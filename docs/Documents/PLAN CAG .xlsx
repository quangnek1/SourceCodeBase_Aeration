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userName="Production Control 11" algorithmName="SHA-512" hashValue="PAB5jAMcMPqcmP9OukOLGt80Zg7BZodJMVdgrvrm8NTwT7hvwWRPgPnDiGaPyd3k2rNae+rctM2HSe6wK5YL3Q==" saltValue="Ds9EgnqzM6W4vddEGJ5JGA==" spinCount="10000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172.16.33.40\Production Control\VIII.PRODUCTION PLAN\I. DAILY PLAN\5. STERILIZE\2026\"/>
    </mc:Choice>
  </mc:AlternateContent>
  <bookViews>
    <workbookView xWindow="-108" yWindow="-108" windowWidth="19416" windowHeight="10296" tabRatio="824"/>
  </bookViews>
  <sheets>
    <sheet name="PLAN" sheetId="1" r:id="rId1"/>
    <sheet name="Sheet2" sheetId="14" r:id="rId2"/>
    <sheet name="Sheet3" sheetId="13" state="hidden" r:id="rId3"/>
    <sheet name="Label" sheetId="11" r:id="rId4"/>
    <sheet name="seal (2)" sheetId="9" r:id="rId5"/>
    <sheet name="total" sheetId="4" r:id="rId6"/>
    <sheet name="Sheet1" sheetId="6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3" hidden="1">Label!$A$6:$Q$666</definedName>
    <definedName name="_xlnm._FilterDatabase" localSheetId="0" hidden="1">PLAN!$A$2:$AQ$669</definedName>
    <definedName name="_xlnm._FilterDatabase" localSheetId="4" hidden="1">'seal (2)'!$A$6:$AC$1049</definedName>
    <definedName name="_xlnm._FilterDatabase" localSheetId="2" hidden="1">Sheet3!$A$1:$AE$32</definedName>
    <definedName name="eratet" localSheetId="3">'[1]PLAN  PTCA'!#REF!</definedName>
    <definedName name="eratet" localSheetId="4">#REF!</definedName>
    <definedName name="eratet" localSheetId="5">'[1]PLAN  PTCA'!#REF!</definedName>
    <definedName name="eratet">'[1]PLAN  PTCA'!#REF!</definedName>
    <definedName name="_xlnm.Print_Area" localSheetId="3">Label!$A$1:$P$673</definedName>
    <definedName name="_xlnm.Print_Area" localSheetId="4">'seal (2)'!$C$1:$Z$1049</definedName>
    <definedName name="_xlnm.Print_Titles" localSheetId="3">Label!$1:$6</definedName>
    <definedName name="_xlnm.Print_Titles" localSheetId="4">'seal (2)'!$1:$6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37" i="11" l="1"/>
  <c r="K637" i="11"/>
  <c r="J637" i="11"/>
  <c r="I637" i="11"/>
  <c r="H637" i="11"/>
  <c r="G637" i="11"/>
  <c r="F637" i="11"/>
  <c r="E637" i="11"/>
  <c r="D637" i="11"/>
  <c r="C637" i="11"/>
  <c r="B637" i="11"/>
  <c r="Q636" i="11"/>
  <c r="K636" i="11"/>
  <c r="J636" i="11"/>
  <c r="I636" i="11"/>
  <c r="H636" i="11"/>
  <c r="G636" i="11"/>
  <c r="F636" i="11"/>
  <c r="E636" i="11"/>
  <c r="D636" i="11"/>
  <c r="C636" i="11"/>
  <c r="B636" i="11"/>
  <c r="Q635" i="11"/>
  <c r="K635" i="11"/>
  <c r="J635" i="11"/>
  <c r="I635" i="11"/>
  <c r="H635" i="11"/>
  <c r="G635" i="11"/>
  <c r="F635" i="11"/>
  <c r="E635" i="11"/>
  <c r="D635" i="11"/>
  <c r="C635" i="11"/>
  <c r="B635" i="11"/>
  <c r="Q634" i="11"/>
  <c r="K634" i="11"/>
  <c r="J634" i="11"/>
  <c r="I634" i="11"/>
  <c r="H634" i="11"/>
  <c r="G634" i="11"/>
  <c r="F634" i="11"/>
  <c r="E634" i="11"/>
  <c r="D634" i="11"/>
  <c r="C634" i="11"/>
  <c r="B634" i="11"/>
  <c r="Q633" i="11"/>
  <c r="K633" i="11"/>
  <c r="J633" i="11"/>
  <c r="I633" i="11"/>
  <c r="H633" i="11"/>
  <c r="G633" i="11"/>
  <c r="F633" i="11"/>
  <c r="E633" i="11"/>
  <c r="D633" i="11"/>
  <c r="C633" i="11"/>
  <c r="B633" i="11"/>
  <c r="Q632" i="11"/>
  <c r="K632" i="11"/>
  <c r="J632" i="11"/>
  <c r="I632" i="11"/>
  <c r="H632" i="11"/>
  <c r="G632" i="11"/>
  <c r="F632" i="11"/>
  <c r="E632" i="11"/>
  <c r="D632" i="11"/>
  <c r="C632" i="11"/>
  <c r="B632" i="11"/>
  <c r="Q631" i="11"/>
  <c r="K631" i="11"/>
  <c r="J631" i="11"/>
  <c r="I631" i="11"/>
  <c r="H631" i="11"/>
  <c r="G631" i="11"/>
  <c r="F631" i="11"/>
  <c r="E631" i="11"/>
  <c r="D631" i="11"/>
  <c r="C631" i="11"/>
  <c r="B631" i="11"/>
  <c r="Q630" i="11"/>
  <c r="K630" i="11"/>
  <c r="J630" i="11"/>
  <c r="I630" i="11"/>
  <c r="H630" i="11"/>
  <c r="G630" i="11"/>
  <c r="F630" i="11"/>
  <c r="E630" i="11"/>
  <c r="D630" i="11"/>
  <c r="C630" i="11"/>
  <c r="B630" i="11"/>
  <c r="Q629" i="11"/>
  <c r="K629" i="11"/>
  <c r="J629" i="11"/>
  <c r="I629" i="11"/>
  <c r="H629" i="11"/>
  <c r="G629" i="11"/>
  <c r="F629" i="11"/>
  <c r="E629" i="11"/>
  <c r="D629" i="11"/>
  <c r="C629" i="11"/>
  <c r="B629" i="11"/>
  <c r="Q628" i="11"/>
  <c r="K628" i="11"/>
  <c r="J628" i="11"/>
  <c r="I628" i="11"/>
  <c r="H628" i="11"/>
  <c r="G628" i="11"/>
  <c r="F628" i="11"/>
  <c r="E628" i="11"/>
  <c r="D628" i="11"/>
  <c r="C628" i="11"/>
  <c r="B628" i="11"/>
  <c r="Q627" i="11"/>
  <c r="K627" i="11"/>
  <c r="J627" i="11"/>
  <c r="I627" i="11"/>
  <c r="H627" i="11"/>
  <c r="G627" i="11"/>
  <c r="F627" i="11"/>
  <c r="E627" i="11"/>
  <c r="D627" i="11"/>
  <c r="C627" i="11"/>
  <c r="B627" i="11"/>
  <c r="Q626" i="11"/>
  <c r="K626" i="11"/>
  <c r="J626" i="11"/>
  <c r="I626" i="11"/>
  <c r="H626" i="11"/>
  <c r="G626" i="11"/>
  <c r="F626" i="11"/>
  <c r="E626" i="11"/>
  <c r="D626" i="11"/>
  <c r="C626" i="11"/>
  <c r="B626" i="11"/>
  <c r="Q625" i="11"/>
  <c r="K625" i="11"/>
  <c r="J625" i="11"/>
  <c r="I625" i="11"/>
  <c r="H625" i="11"/>
  <c r="G625" i="11"/>
  <c r="F625" i="11"/>
  <c r="E625" i="11"/>
  <c r="D625" i="11"/>
  <c r="C625" i="11"/>
  <c r="B625" i="11"/>
  <c r="Q624" i="11"/>
  <c r="K624" i="11"/>
  <c r="J624" i="11"/>
  <c r="I624" i="11"/>
  <c r="H624" i="11"/>
  <c r="G624" i="11"/>
  <c r="F624" i="11"/>
  <c r="E624" i="11"/>
  <c r="D624" i="11"/>
  <c r="C624" i="11"/>
  <c r="B624" i="11"/>
  <c r="Q623" i="11"/>
  <c r="K623" i="11"/>
  <c r="J623" i="11"/>
  <c r="I623" i="11"/>
  <c r="H623" i="11"/>
  <c r="G623" i="11"/>
  <c r="F623" i="11"/>
  <c r="E623" i="11"/>
  <c r="D623" i="11"/>
  <c r="C623" i="11"/>
  <c r="B623" i="11"/>
  <c r="Q622" i="11"/>
  <c r="K622" i="11"/>
  <c r="J622" i="11"/>
  <c r="I622" i="11"/>
  <c r="H622" i="11"/>
  <c r="G622" i="11"/>
  <c r="F622" i="11"/>
  <c r="E622" i="11"/>
  <c r="D622" i="11"/>
  <c r="C622" i="11"/>
  <c r="B622" i="11"/>
  <c r="Q621" i="11"/>
  <c r="K621" i="11"/>
  <c r="J621" i="11"/>
  <c r="I621" i="11"/>
  <c r="H621" i="11"/>
  <c r="G621" i="11"/>
  <c r="F621" i="11"/>
  <c r="E621" i="11"/>
  <c r="D621" i="11"/>
  <c r="C621" i="11"/>
  <c r="B621" i="11"/>
  <c r="Q620" i="11"/>
  <c r="K620" i="11"/>
  <c r="J620" i="11"/>
  <c r="I620" i="11"/>
  <c r="H620" i="11"/>
  <c r="G620" i="11"/>
  <c r="F620" i="11"/>
  <c r="E620" i="11"/>
  <c r="D620" i="11"/>
  <c r="C620" i="11"/>
  <c r="B620" i="11"/>
  <c r="Q619" i="11"/>
  <c r="K619" i="11"/>
  <c r="J619" i="11"/>
  <c r="I619" i="11"/>
  <c r="H619" i="11"/>
  <c r="G619" i="11"/>
  <c r="F619" i="11"/>
  <c r="E619" i="11"/>
  <c r="D619" i="11"/>
  <c r="C619" i="11"/>
  <c r="B619" i="11"/>
  <c r="Q618" i="11"/>
  <c r="K618" i="11"/>
  <c r="J618" i="11"/>
  <c r="I618" i="11"/>
  <c r="H618" i="11"/>
  <c r="G618" i="11"/>
  <c r="F618" i="11"/>
  <c r="E618" i="11"/>
  <c r="D618" i="11"/>
  <c r="C618" i="11"/>
  <c r="B618" i="11"/>
  <c r="Q617" i="11"/>
  <c r="K617" i="11"/>
  <c r="J617" i="11"/>
  <c r="I617" i="11"/>
  <c r="H617" i="11"/>
  <c r="G617" i="11"/>
  <c r="F617" i="11"/>
  <c r="E617" i="11"/>
  <c r="D617" i="11"/>
  <c r="C617" i="11"/>
  <c r="B617" i="11"/>
  <c r="Q616" i="11"/>
  <c r="K616" i="11"/>
  <c r="J616" i="11"/>
  <c r="I616" i="11"/>
  <c r="H616" i="11"/>
  <c r="G616" i="11"/>
  <c r="F616" i="11"/>
  <c r="E616" i="11"/>
  <c r="D616" i="11"/>
  <c r="C616" i="11"/>
  <c r="B616" i="11"/>
  <c r="Q615" i="11"/>
  <c r="K615" i="11"/>
  <c r="J615" i="11"/>
  <c r="I615" i="11"/>
  <c r="H615" i="11"/>
  <c r="G615" i="11"/>
  <c r="F615" i="11"/>
  <c r="E615" i="11"/>
  <c r="D615" i="11"/>
  <c r="C615" i="11"/>
  <c r="B615" i="11"/>
  <c r="Q614" i="11"/>
  <c r="K614" i="11"/>
  <c r="J614" i="11"/>
  <c r="I614" i="11"/>
  <c r="H614" i="11"/>
  <c r="G614" i="11"/>
  <c r="F614" i="11"/>
  <c r="E614" i="11"/>
  <c r="D614" i="11"/>
  <c r="C614" i="11"/>
  <c r="B614" i="11"/>
  <c r="Q613" i="11"/>
  <c r="K613" i="11"/>
  <c r="J613" i="11"/>
  <c r="I613" i="11"/>
  <c r="H613" i="11"/>
  <c r="G613" i="11"/>
  <c r="F613" i="11"/>
  <c r="E613" i="11"/>
  <c r="D613" i="11"/>
  <c r="C613" i="11"/>
  <c r="B613" i="11"/>
  <c r="Q612" i="11"/>
  <c r="K612" i="11"/>
  <c r="J612" i="11"/>
  <c r="I612" i="11"/>
  <c r="H612" i="11"/>
  <c r="G612" i="11"/>
  <c r="F612" i="11"/>
  <c r="E612" i="11"/>
  <c r="D612" i="11"/>
  <c r="C612" i="11"/>
  <c r="B612" i="11"/>
  <c r="Q611" i="11"/>
  <c r="K611" i="11"/>
  <c r="J611" i="11"/>
  <c r="I611" i="11"/>
  <c r="H611" i="11"/>
  <c r="G611" i="11"/>
  <c r="F611" i="11"/>
  <c r="E611" i="11"/>
  <c r="D611" i="11"/>
  <c r="C611" i="11"/>
  <c r="B611" i="11"/>
  <c r="Q610" i="11"/>
  <c r="K610" i="11"/>
  <c r="J610" i="11"/>
  <c r="I610" i="11"/>
  <c r="H610" i="11"/>
  <c r="G610" i="11"/>
  <c r="F610" i="11"/>
  <c r="E610" i="11"/>
  <c r="D610" i="11"/>
  <c r="C610" i="11"/>
  <c r="B610" i="11"/>
  <c r="Q609" i="11"/>
  <c r="K609" i="11"/>
  <c r="J609" i="11"/>
  <c r="I609" i="11"/>
  <c r="H609" i="11"/>
  <c r="G609" i="11"/>
  <c r="F609" i="11"/>
  <c r="E609" i="11"/>
  <c r="D609" i="11"/>
  <c r="C609" i="11"/>
  <c r="B609" i="11"/>
  <c r="Q608" i="11"/>
  <c r="K608" i="11"/>
  <c r="J608" i="11"/>
  <c r="I608" i="11"/>
  <c r="H608" i="11"/>
  <c r="G608" i="11"/>
  <c r="F608" i="11"/>
  <c r="E608" i="11"/>
  <c r="D608" i="11"/>
  <c r="C608" i="11"/>
  <c r="B608" i="11"/>
  <c r="Q607" i="11"/>
  <c r="K607" i="11"/>
  <c r="J607" i="11"/>
  <c r="I607" i="11"/>
  <c r="H607" i="11"/>
  <c r="G607" i="11"/>
  <c r="F607" i="11"/>
  <c r="E607" i="11"/>
  <c r="D607" i="11"/>
  <c r="C607" i="11"/>
  <c r="B607" i="11"/>
  <c r="Q606" i="11"/>
  <c r="K606" i="11"/>
  <c r="J606" i="11"/>
  <c r="I606" i="11"/>
  <c r="H606" i="11"/>
  <c r="G606" i="11"/>
  <c r="F606" i="11"/>
  <c r="E606" i="11"/>
  <c r="D606" i="11"/>
  <c r="C606" i="11"/>
  <c r="B606" i="11"/>
  <c r="Q605" i="11"/>
  <c r="K605" i="11"/>
  <c r="J605" i="11"/>
  <c r="I605" i="11"/>
  <c r="H605" i="11"/>
  <c r="G605" i="11"/>
  <c r="F605" i="11"/>
  <c r="E605" i="11"/>
  <c r="D605" i="11"/>
  <c r="C605" i="11"/>
  <c r="B605" i="11"/>
  <c r="Q604" i="11"/>
  <c r="K604" i="11"/>
  <c r="J604" i="11"/>
  <c r="I604" i="11"/>
  <c r="H604" i="11"/>
  <c r="G604" i="11"/>
  <c r="F604" i="11"/>
  <c r="E604" i="11"/>
  <c r="D604" i="11"/>
  <c r="C604" i="11"/>
  <c r="B604" i="11"/>
  <c r="Q603" i="11"/>
  <c r="K603" i="11"/>
  <c r="J603" i="11"/>
  <c r="I603" i="11"/>
  <c r="H603" i="11"/>
  <c r="G603" i="11"/>
  <c r="F603" i="11"/>
  <c r="E603" i="11"/>
  <c r="D603" i="11"/>
  <c r="C603" i="11"/>
  <c r="B603" i="11"/>
  <c r="Q602" i="11"/>
  <c r="K602" i="11"/>
  <c r="J602" i="11"/>
  <c r="I602" i="11"/>
  <c r="H602" i="11"/>
  <c r="G602" i="11"/>
  <c r="F602" i="11"/>
  <c r="E602" i="11"/>
  <c r="D602" i="11"/>
  <c r="C602" i="11"/>
  <c r="B602" i="11"/>
  <c r="Q601" i="11"/>
  <c r="K601" i="11"/>
  <c r="J601" i="11"/>
  <c r="I601" i="11"/>
  <c r="H601" i="11"/>
  <c r="G601" i="11"/>
  <c r="F601" i="11"/>
  <c r="E601" i="11"/>
  <c r="D601" i="11"/>
  <c r="C601" i="11"/>
  <c r="B601" i="11"/>
  <c r="Q600" i="11"/>
  <c r="K600" i="11"/>
  <c r="J600" i="11"/>
  <c r="I600" i="11"/>
  <c r="H600" i="11"/>
  <c r="G600" i="11"/>
  <c r="F600" i="11"/>
  <c r="E600" i="11"/>
  <c r="D600" i="11"/>
  <c r="C600" i="11"/>
  <c r="B600" i="11"/>
  <c r="Q599" i="11"/>
  <c r="K599" i="11"/>
  <c r="J599" i="11"/>
  <c r="I599" i="11"/>
  <c r="H599" i="11"/>
  <c r="G599" i="11"/>
  <c r="F599" i="11"/>
  <c r="E599" i="11"/>
  <c r="D599" i="11"/>
  <c r="C599" i="11"/>
  <c r="B599" i="11"/>
  <c r="Q598" i="11"/>
  <c r="K598" i="11"/>
  <c r="J598" i="11"/>
  <c r="I598" i="11"/>
  <c r="H598" i="11"/>
  <c r="G598" i="11"/>
  <c r="F598" i="11"/>
  <c r="E598" i="11"/>
  <c r="D598" i="11"/>
  <c r="C598" i="11"/>
  <c r="B598" i="11"/>
  <c r="Q597" i="11"/>
  <c r="K597" i="11"/>
  <c r="J597" i="11"/>
  <c r="I597" i="11"/>
  <c r="H597" i="11"/>
  <c r="G597" i="11"/>
  <c r="F597" i="11"/>
  <c r="E597" i="11"/>
  <c r="D597" i="11"/>
  <c r="C597" i="11"/>
  <c r="B597" i="11"/>
  <c r="Q596" i="11"/>
  <c r="K596" i="11"/>
  <c r="J596" i="11"/>
  <c r="I596" i="11"/>
  <c r="H596" i="11"/>
  <c r="G596" i="11"/>
  <c r="F596" i="11"/>
  <c r="E596" i="11"/>
  <c r="D596" i="11"/>
  <c r="C596" i="11"/>
  <c r="B596" i="11"/>
  <c r="Q595" i="11"/>
  <c r="K595" i="11"/>
  <c r="J595" i="11"/>
  <c r="I595" i="11"/>
  <c r="H595" i="11"/>
  <c r="G595" i="11"/>
  <c r="F595" i="11"/>
  <c r="E595" i="11"/>
  <c r="D595" i="11"/>
  <c r="C595" i="11"/>
  <c r="B595" i="11"/>
  <c r="Q594" i="11"/>
  <c r="K594" i="11"/>
  <c r="J594" i="11"/>
  <c r="I594" i="11"/>
  <c r="H594" i="11"/>
  <c r="G594" i="11"/>
  <c r="F594" i="11"/>
  <c r="E594" i="11"/>
  <c r="D594" i="11"/>
  <c r="C594" i="11"/>
  <c r="B594" i="11"/>
  <c r="Q593" i="11"/>
  <c r="K593" i="11"/>
  <c r="J593" i="11"/>
  <c r="I593" i="11"/>
  <c r="H593" i="11"/>
  <c r="G593" i="11"/>
  <c r="F593" i="11"/>
  <c r="E593" i="11"/>
  <c r="D593" i="11"/>
  <c r="C593" i="11"/>
  <c r="B593" i="11"/>
  <c r="Q592" i="11"/>
  <c r="K592" i="11"/>
  <c r="J592" i="11"/>
  <c r="I592" i="11"/>
  <c r="H592" i="11"/>
  <c r="G592" i="11"/>
  <c r="F592" i="11"/>
  <c r="E592" i="11"/>
  <c r="D592" i="11"/>
  <c r="C592" i="11"/>
  <c r="B592" i="11"/>
  <c r="Q591" i="11"/>
  <c r="K591" i="11"/>
  <c r="J591" i="11"/>
  <c r="I591" i="11"/>
  <c r="H591" i="11"/>
  <c r="G591" i="11"/>
  <c r="F591" i="11"/>
  <c r="E591" i="11"/>
  <c r="D591" i="11"/>
  <c r="C591" i="11"/>
  <c r="B591" i="11"/>
  <c r="Q590" i="11"/>
  <c r="K590" i="11"/>
  <c r="J590" i="11"/>
  <c r="I590" i="11"/>
  <c r="H590" i="11"/>
  <c r="G590" i="11"/>
  <c r="F590" i="11"/>
  <c r="E590" i="11"/>
  <c r="D590" i="11"/>
  <c r="C590" i="11"/>
  <c r="B590" i="11"/>
  <c r="Q589" i="11"/>
  <c r="K589" i="11"/>
  <c r="J589" i="11"/>
  <c r="I589" i="11"/>
  <c r="H589" i="11"/>
  <c r="G589" i="11"/>
  <c r="F589" i="11"/>
  <c r="E589" i="11"/>
  <c r="D589" i="11"/>
  <c r="C589" i="11"/>
  <c r="B589" i="11"/>
  <c r="Q588" i="11"/>
  <c r="K588" i="11"/>
  <c r="J588" i="11"/>
  <c r="I588" i="11"/>
  <c r="H588" i="11"/>
  <c r="G588" i="11"/>
  <c r="F588" i="11"/>
  <c r="E588" i="11"/>
  <c r="D588" i="11"/>
  <c r="C588" i="11"/>
  <c r="B588" i="11"/>
  <c r="Q587" i="11"/>
  <c r="K587" i="11"/>
  <c r="J587" i="11"/>
  <c r="I587" i="11"/>
  <c r="H587" i="11"/>
  <c r="G587" i="11"/>
  <c r="F587" i="11"/>
  <c r="E587" i="11"/>
  <c r="D587" i="11"/>
  <c r="C587" i="11"/>
  <c r="B587" i="11"/>
  <c r="Q586" i="11"/>
  <c r="K586" i="11"/>
  <c r="J586" i="11"/>
  <c r="I586" i="11"/>
  <c r="H586" i="11"/>
  <c r="G586" i="11"/>
  <c r="F586" i="11"/>
  <c r="E586" i="11"/>
  <c r="D586" i="11"/>
  <c r="C586" i="11"/>
  <c r="B586" i="11"/>
  <c r="Q585" i="11"/>
  <c r="K585" i="11"/>
  <c r="J585" i="11"/>
  <c r="I585" i="11"/>
  <c r="H585" i="11"/>
  <c r="G585" i="11"/>
  <c r="F585" i="11"/>
  <c r="E585" i="11"/>
  <c r="D585" i="11"/>
  <c r="C585" i="11"/>
  <c r="B585" i="11"/>
  <c r="Q584" i="11"/>
  <c r="K584" i="11"/>
  <c r="J584" i="11"/>
  <c r="I584" i="11"/>
  <c r="H584" i="11"/>
  <c r="G584" i="11"/>
  <c r="F584" i="11"/>
  <c r="E584" i="11"/>
  <c r="D584" i="11"/>
  <c r="C584" i="11"/>
  <c r="B584" i="11"/>
  <c r="Q583" i="11"/>
  <c r="K583" i="11"/>
  <c r="J583" i="11"/>
  <c r="I583" i="11"/>
  <c r="H583" i="11"/>
  <c r="G583" i="11"/>
  <c r="F583" i="11"/>
  <c r="E583" i="11"/>
  <c r="D583" i="11"/>
  <c r="C583" i="11"/>
  <c r="B583" i="11"/>
  <c r="Q582" i="11"/>
  <c r="K582" i="11"/>
  <c r="J582" i="11"/>
  <c r="I582" i="11"/>
  <c r="H582" i="11"/>
  <c r="G582" i="11"/>
  <c r="F582" i="11"/>
  <c r="E582" i="11"/>
  <c r="D582" i="11"/>
  <c r="C582" i="11"/>
  <c r="B582" i="11"/>
  <c r="Q581" i="11"/>
  <c r="K581" i="11"/>
  <c r="J581" i="11"/>
  <c r="I581" i="11"/>
  <c r="H581" i="11"/>
  <c r="G581" i="11"/>
  <c r="F581" i="11"/>
  <c r="E581" i="11"/>
  <c r="D581" i="11"/>
  <c r="C581" i="11"/>
  <c r="B581" i="11"/>
  <c r="Q580" i="11"/>
  <c r="K580" i="11"/>
  <c r="J580" i="11"/>
  <c r="I580" i="11"/>
  <c r="H580" i="11"/>
  <c r="G580" i="11"/>
  <c r="F580" i="11"/>
  <c r="E580" i="11"/>
  <c r="D580" i="11"/>
  <c r="C580" i="11"/>
  <c r="B580" i="11"/>
  <c r="Q579" i="11"/>
  <c r="K579" i="11"/>
  <c r="J579" i="11"/>
  <c r="I579" i="11"/>
  <c r="H579" i="11"/>
  <c r="G579" i="11"/>
  <c r="F579" i="11"/>
  <c r="E579" i="11"/>
  <c r="D579" i="11"/>
  <c r="C579" i="11"/>
  <c r="B579" i="11"/>
  <c r="Q578" i="11"/>
  <c r="K578" i="11"/>
  <c r="J578" i="11"/>
  <c r="I578" i="11"/>
  <c r="H578" i="11"/>
  <c r="G578" i="11"/>
  <c r="F578" i="11"/>
  <c r="E578" i="11"/>
  <c r="D578" i="11"/>
  <c r="C578" i="11"/>
  <c r="B578" i="11"/>
  <c r="Q577" i="11"/>
  <c r="K577" i="11"/>
  <c r="J577" i="11"/>
  <c r="I577" i="11"/>
  <c r="H577" i="11"/>
  <c r="G577" i="11"/>
  <c r="F577" i="11"/>
  <c r="E577" i="11"/>
  <c r="D577" i="11"/>
  <c r="C577" i="11"/>
  <c r="B577" i="11"/>
  <c r="Q576" i="11"/>
  <c r="K576" i="11"/>
  <c r="J576" i="11"/>
  <c r="I576" i="11"/>
  <c r="H576" i="11"/>
  <c r="G576" i="11"/>
  <c r="F576" i="11"/>
  <c r="E576" i="11"/>
  <c r="D576" i="11"/>
  <c r="C576" i="11"/>
  <c r="B576" i="11"/>
  <c r="Q575" i="11"/>
  <c r="K575" i="11"/>
  <c r="J575" i="11"/>
  <c r="I575" i="11"/>
  <c r="H575" i="11"/>
  <c r="G575" i="11"/>
  <c r="F575" i="11"/>
  <c r="E575" i="11"/>
  <c r="D575" i="11"/>
  <c r="C575" i="11"/>
  <c r="B575" i="11"/>
  <c r="Q574" i="11"/>
  <c r="K574" i="11"/>
  <c r="J574" i="11"/>
  <c r="I574" i="11"/>
  <c r="H574" i="11"/>
  <c r="G574" i="11"/>
  <c r="F574" i="11"/>
  <c r="E574" i="11"/>
  <c r="D574" i="11"/>
  <c r="C574" i="11"/>
  <c r="B574" i="11"/>
  <c r="Q573" i="11"/>
  <c r="K573" i="11"/>
  <c r="J573" i="11"/>
  <c r="I573" i="11"/>
  <c r="H573" i="11"/>
  <c r="G573" i="11"/>
  <c r="F573" i="11"/>
  <c r="E573" i="11"/>
  <c r="D573" i="11"/>
  <c r="C573" i="11"/>
  <c r="B573" i="11"/>
  <c r="Q572" i="11"/>
  <c r="K572" i="11"/>
  <c r="J572" i="11"/>
  <c r="I572" i="11"/>
  <c r="H572" i="11"/>
  <c r="G572" i="11"/>
  <c r="F572" i="11"/>
  <c r="E572" i="11"/>
  <c r="D572" i="11"/>
  <c r="C572" i="11"/>
  <c r="B572" i="11"/>
  <c r="Q571" i="11"/>
  <c r="K571" i="11"/>
  <c r="J571" i="11"/>
  <c r="I571" i="11"/>
  <c r="H571" i="11"/>
  <c r="G571" i="11"/>
  <c r="F571" i="11"/>
  <c r="E571" i="11"/>
  <c r="D571" i="11"/>
  <c r="C571" i="11"/>
  <c r="B571" i="11"/>
  <c r="Q570" i="11"/>
  <c r="K570" i="11"/>
  <c r="J570" i="11"/>
  <c r="I570" i="11"/>
  <c r="H570" i="11"/>
  <c r="G570" i="11"/>
  <c r="F570" i="11"/>
  <c r="E570" i="11"/>
  <c r="D570" i="11"/>
  <c r="C570" i="11"/>
  <c r="B570" i="11"/>
  <c r="Q569" i="11"/>
  <c r="K569" i="11"/>
  <c r="J569" i="11"/>
  <c r="I569" i="11"/>
  <c r="H569" i="11"/>
  <c r="G569" i="11"/>
  <c r="F569" i="11"/>
  <c r="E569" i="11"/>
  <c r="D569" i="11"/>
  <c r="C569" i="11"/>
  <c r="B569" i="11"/>
  <c r="Q568" i="11"/>
  <c r="K568" i="11"/>
  <c r="J568" i="11"/>
  <c r="I568" i="11"/>
  <c r="H568" i="11"/>
  <c r="G568" i="11"/>
  <c r="F568" i="11"/>
  <c r="E568" i="11"/>
  <c r="D568" i="11"/>
  <c r="C568" i="11"/>
  <c r="B568" i="11"/>
  <c r="Q567" i="11"/>
  <c r="K567" i="11"/>
  <c r="J567" i="11"/>
  <c r="I567" i="11"/>
  <c r="H567" i="11"/>
  <c r="G567" i="11"/>
  <c r="F567" i="11"/>
  <c r="E567" i="11"/>
  <c r="D567" i="11"/>
  <c r="C567" i="11"/>
  <c r="B567" i="11"/>
  <c r="Q566" i="11"/>
  <c r="K566" i="11"/>
  <c r="J566" i="11"/>
  <c r="I566" i="11"/>
  <c r="H566" i="11"/>
  <c r="G566" i="11"/>
  <c r="F566" i="11"/>
  <c r="E566" i="11"/>
  <c r="D566" i="11"/>
  <c r="C566" i="11"/>
  <c r="B566" i="11"/>
  <c r="Q565" i="11"/>
  <c r="K565" i="11"/>
  <c r="J565" i="11"/>
  <c r="I565" i="11"/>
  <c r="H565" i="11"/>
  <c r="G565" i="11"/>
  <c r="F565" i="11"/>
  <c r="E565" i="11"/>
  <c r="D565" i="11"/>
  <c r="C565" i="11"/>
  <c r="B565" i="11"/>
  <c r="Q564" i="11"/>
  <c r="K564" i="11"/>
  <c r="J564" i="11"/>
  <c r="I564" i="11"/>
  <c r="H564" i="11"/>
  <c r="G564" i="11"/>
  <c r="F564" i="11"/>
  <c r="E564" i="11"/>
  <c r="D564" i="11"/>
  <c r="C564" i="11"/>
  <c r="B564" i="11"/>
  <c r="Q563" i="11"/>
  <c r="K563" i="11"/>
  <c r="J563" i="11"/>
  <c r="I563" i="11"/>
  <c r="H563" i="11"/>
  <c r="G563" i="11"/>
  <c r="F563" i="11"/>
  <c r="E563" i="11"/>
  <c r="D563" i="11"/>
  <c r="C563" i="11"/>
  <c r="B563" i="11"/>
  <c r="Q562" i="11"/>
  <c r="K562" i="11"/>
  <c r="J562" i="11"/>
  <c r="I562" i="11"/>
  <c r="H562" i="11"/>
  <c r="G562" i="11"/>
  <c r="F562" i="11"/>
  <c r="E562" i="11"/>
  <c r="D562" i="11"/>
  <c r="C562" i="11"/>
  <c r="B562" i="11"/>
  <c r="Q561" i="11"/>
  <c r="K561" i="11"/>
  <c r="J561" i="11"/>
  <c r="I561" i="11"/>
  <c r="H561" i="11"/>
  <c r="G561" i="11"/>
  <c r="F561" i="11"/>
  <c r="E561" i="11"/>
  <c r="D561" i="11"/>
  <c r="C561" i="11"/>
  <c r="B561" i="11"/>
  <c r="Q560" i="11"/>
  <c r="K560" i="11"/>
  <c r="J560" i="11"/>
  <c r="I560" i="11"/>
  <c r="H560" i="11"/>
  <c r="G560" i="11"/>
  <c r="F560" i="11"/>
  <c r="E560" i="11"/>
  <c r="D560" i="11"/>
  <c r="C560" i="11"/>
  <c r="B560" i="11"/>
  <c r="Q559" i="11"/>
  <c r="K559" i="11"/>
  <c r="J559" i="11"/>
  <c r="I559" i="11"/>
  <c r="H559" i="11"/>
  <c r="G559" i="11"/>
  <c r="F559" i="11"/>
  <c r="E559" i="11"/>
  <c r="D559" i="11"/>
  <c r="C559" i="11"/>
  <c r="B559" i="11"/>
  <c r="Q558" i="11"/>
  <c r="K558" i="11"/>
  <c r="J558" i="11"/>
  <c r="I558" i="11"/>
  <c r="H558" i="11"/>
  <c r="G558" i="11"/>
  <c r="F558" i="11"/>
  <c r="E558" i="11"/>
  <c r="D558" i="11"/>
  <c r="C558" i="11"/>
  <c r="B558" i="11"/>
  <c r="AC872" i="1" l="1"/>
  <c r="AB872" i="1"/>
  <c r="AC871" i="1"/>
  <c r="AB871" i="1"/>
  <c r="AC870" i="1"/>
  <c r="AB870" i="1"/>
  <c r="AC869" i="1"/>
  <c r="AB869" i="1"/>
  <c r="AC868" i="1"/>
  <c r="AB868" i="1"/>
  <c r="AC867" i="1"/>
  <c r="AB867" i="1"/>
  <c r="AC866" i="1"/>
  <c r="AB866" i="1"/>
  <c r="AC865" i="1"/>
  <c r="AB865" i="1"/>
  <c r="AC864" i="1"/>
  <c r="AB864" i="1"/>
  <c r="AC863" i="1"/>
  <c r="AB863" i="1"/>
  <c r="AC862" i="1"/>
  <c r="AB862" i="1"/>
  <c r="AC861" i="1"/>
  <c r="AB861" i="1"/>
  <c r="AC860" i="1"/>
  <c r="AB860" i="1"/>
  <c r="AC859" i="1"/>
  <c r="AB859" i="1"/>
  <c r="AC858" i="1"/>
  <c r="AB858" i="1"/>
  <c r="AC857" i="1"/>
  <c r="AB857" i="1"/>
  <c r="AC856" i="1"/>
  <c r="AB856" i="1"/>
  <c r="AC855" i="1"/>
  <c r="AB855" i="1"/>
  <c r="AC854" i="1"/>
  <c r="AB854" i="1"/>
  <c r="AC853" i="1"/>
  <c r="AB853" i="1"/>
  <c r="AC852" i="1"/>
  <c r="AB852" i="1"/>
  <c r="AC851" i="1"/>
  <c r="AB851" i="1"/>
  <c r="AC850" i="1"/>
  <c r="AB850" i="1"/>
  <c r="AC849" i="1"/>
  <c r="AB849" i="1"/>
  <c r="AC848" i="1"/>
  <c r="AB848" i="1"/>
  <c r="AC847" i="1"/>
  <c r="AB847" i="1"/>
  <c r="AC846" i="1"/>
  <c r="AB846" i="1"/>
  <c r="AC845" i="1"/>
  <c r="AB845" i="1"/>
  <c r="AC844" i="1"/>
  <c r="AB844" i="1"/>
  <c r="AC843" i="1"/>
  <c r="AB843" i="1"/>
  <c r="AC842" i="1"/>
  <c r="AB842" i="1"/>
  <c r="AC841" i="1"/>
  <c r="AB841" i="1"/>
  <c r="AC840" i="1"/>
  <c r="AB840" i="1"/>
  <c r="AC839" i="1"/>
  <c r="AB839" i="1"/>
  <c r="AC838" i="1"/>
  <c r="AB838" i="1"/>
  <c r="AC837" i="1"/>
  <c r="AB837" i="1"/>
  <c r="AC836" i="1"/>
  <c r="AB836" i="1"/>
  <c r="AC835" i="1"/>
  <c r="AB835" i="1"/>
  <c r="AC834" i="1"/>
  <c r="AB834" i="1"/>
  <c r="AC833" i="1"/>
  <c r="AB833" i="1"/>
  <c r="AC832" i="1"/>
  <c r="AB832" i="1"/>
  <c r="AC831" i="1"/>
  <c r="AB831" i="1"/>
  <c r="AC830" i="1"/>
  <c r="AB830" i="1"/>
  <c r="AC829" i="1"/>
  <c r="AB829" i="1"/>
  <c r="AC828" i="1"/>
  <c r="AB828" i="1"/>
  <c r="AC827" i="1"/>
  <c r="AB827" i="1"/>
  <c r="AC826" i="1"/>
  <c r="AB826" i="1"/>
  <c r="AC825" i="1"/>
  <c r="AB825" i="1"/>
  <c r="AC824" i="1"/>
  <c r="AB824" i="1"/>
  <c r="AC823" i="1"/>
  <c r="AB823" i="1"/>
  <c r="AC822" i="1"/>
  <c r="AB822" i="1"/>
  <c r="AC821" i="1"/>
  <c r="AB821" i="1"/>
  <c r="AC820" i="1"/>
  <c r="AB820" i="1"/>
  <c r="AC819" i="1"/>
  <c r="AB819" i="1"/>
  <c r="AC818" i="1"/>
  <c r="AB818" i="1"/>
  <c r="AC817" i="1"/>
  <c r="AB817" i="1"/>
  <c r="AC816" i="1"/>
  <c r="AB816" i="1"/>
  <c r="AC815" i="1"/>
  <c r="AB815" i="1"/>
  <c r="AC814" i="1"/>
  <c r="AB814" i="1"/>
  <c r="AC813" i="1"/>
  <c r="AB813" i="1"/>
  <c r="AC812" i="1"/>
  <c r="AB812" i="1"/>
  <c r="AC811" i="1"/>
  <c r="AB811" i="1"/>
  <c r="AC810" i="1"/>
  <c r="AB810" i="1"/>
  <c r="AC809" i="1"/>
  <c r="AB809" i="1"/>
  <c r="AC808" i="1"/>
  <c r="AB808" i="1"/>
  <c r="AC807" i="1"/>
  <c r="AB807" i="1"/>
  <c r="AC806" i="1"/>
  <c r="AB806" i="1"/>
  <c r="AC805" i="1"/>
  <c r="AB805" i="1"/>
  <c r="AC804" i="1"/>
  <c r="AB804" i="1"/>
  <c r="AC803" i="1"/>
  <c r="AB803" i="1"/>
  <c r="AC802" i="1"/>
  <c r="AB802" i="1"/>
  <c r="AC801" i="1"/>
  <c r="AB801" i="1"/>
  <c r="AC800" i="1"/>
  <c r="AB800" i="1"/>
  <c r="AC799" i="1"/>
  <c r="AB799" i="1"/>
  <c r="AC798" i="1"/>
  <c r="AB798" i="1"/>
  <c r="AC797" i="1"/>
  <c r="AB797" i="1"/>
  <c r="AC796" i="1"/>
  <c r="AB796" i="1"/>
  <c r="AC795" i="1"/>
  <c r="AB795" i="1"/>
  <c r="AC794" i="1"/>
  <c r="AB794" i="1"/>
  <c r="AC793" i="1"/>
  <c r="AB793" i="1"/>
  <c r="AC792" i="1"/>
  <c r="AB792" i="1"/>
  <c r="AC791" i="1"/>
  <c r="AB791" i="1"/>
  <c r="AC790" i="1"/>
  <c r="AB790" i="1"/>
  <c r="AC789" i="1"/>
  <c r="AB789" i="1"/>
  <c r="AC788" i="1"/>
  <c r="AB788" i="1"/>
  <c r="AC787" i="1"/>
  <c r="AB787" i="1"/>
  <c r="AC786" i="1"/>
  <c r="AB786" i="1"/>
  <c r="AC785" i="1"/>
  <c r="AB785" i="1"/>
  <c r="AC784" i="1"/>
  <c r="AB784" i="1"/>
  <c r="AC783" i="1"/>
  <c r="AB783" i="1"/>
  <c r="AC782" i="1"/>
  <c r="AB782" i="1"/>
  <c r="AC781" i="1"/>
  <c r="AB781" i="1"/>
  <c r="AC780" i="1"/>
  <c r="AB780" i="1"/>
  <c r="AC779" i="1"/>
  <c r="AB779" i="1"/>
  <c r="AC778" i="1"/>
  <c r="AB778" i="1"/>
  <c r="AC777" i="1"/>
  <c r="AB777" i="1"/>
  <c r="AC776" i="1"/>
  <c r="AB776" i="1"/>
  <c r="AC775" i="1"/>
  <c r="AB775" i="1"/>
  <c r="AC774" i="1"/>
  <c r="AB774" i="1"/>
  <c r="AC773" i="1"/>
  <c r="AB773" i="1"/>
  <c r="AC772" i="1"/>
  <c r="AB772" i="1"/>
  <c r="AC771" i="1"/>
  <c r="AB771" i="1"/>
  <c r="AC770" i="1"/>
  <c r="AB770" i="1"/>
  <c r="AC769" i="1"/>
  <c r="AB769" i="1"/>
  <c r="AC768" i="1"/>
  <c r="AB768" i="1"/>
  <c r="AC767" i="1"/>
  <c r="AB767" i="1"/>
  <c r="AC766" i="1"/>
  <c r="AB766" i="1"/>
  <c r="AC765" i="1"/>
  <c r="AB765" i="1"/>
  <c r="AC764" i="1"/>
  <c r="AB764" i="1"/>
  <c r="AC763" i="1"/>
  <c r="AB763" i="1"/>
  <c r="AC762" i="1"/>
  <c r="AB762" i="1"/>
  <c r="AC761" i="1"/>
  <c r="AB761" i="1"/>
  <c r="AC760" i="1"/>
  <c r="AB760" i="1"/>
  <c r="AC759" i="1"/>
  <c r="AB759" i="1"/>
  <c r="AC758" i="1"/>
  <c r="AB758" i="1"/>
  <c r="AC757" i="1"/>
  <c r="AB757" i="1"/>
  <c r="AC756" i="1"/>
  <c r="AB756" i="1"/>
  <c r="AC755" i="1"/>
  <c r="AB755" i="1"/>
  <c r="AC754" i="1"/>
  <c r="AB754" i="1"/>
  <c r="AC753" i="1"/>
  <c r="AB753" i="1"/>
  <c r="AC752" i="1"/>
  <c r="AB752" i="1"/>
  <c r="AC751" i="1"/>
  <c r="AB751" i="1"/>
  <c r="AC750" i="1"/>
  <c r="AB750" i="1"/>
  <c r="AC749" i="1"/>
  <c r="AB749" i="1"/>
  <c r="AC748" i="1"/>
  <c r="AB748" i="1"/>
  <c r="AC747" i="1"/>
  <c r="AB747" i="1"/>
  <c r="AC746" i="1"/>
  <c r="AB746" i="1"/>
  <c r="AC745" i="1"/>
  <c r="AB745" i="1"/>
  <c r="AC744" i="1"/>
  <c r="AB744" i="1"/>
  <c r="AC743" i="1"/>
  <c r="AB743" i="1"/>
  <c r="AC742" i="1"/>
  <c r="AB742" i="1"/>
  <c r="AC741" i="1"/>
  <c r="AB741" i="1"/>
  <c r="AC740" i="1"/>
  <c r="AB740" i="1"/>
  <c r="AC739" i="1"/>
  <c r="AB739" i="1"/>
  <c r="AC738" i="1"/>
  <c r="AB738" i="1"/>
  <c r="AC737" i="1"/>
  <c r="AB737" i="1"/>
  <c r="AC736" i="1"/>
  <c r="AB736" i="1"/>
  <c r="AC735" i="1"/>
  <c r="AB735" i="1"/>
  <c r="AC734" i="1"/>
  <c r="AB734" i="1"/>
  <c r="AC733" i="1"/>
  <c r="AB733" i="1"/>
  <c r="AC732" i="1"/>
  <c r="AB732" i="1"/>
  <c r="AC731" i="1"/>
  <c r="AB731" i="1"/>
  <c r="AC730" i="1"/>
  <c r="AB730" i="1"/>
  <c r="AC729" i="1"/>
  <c r="AB729" i="1"/>
  <c r="AC728" i="1"/>
  <c r="AB728" i="1"/>
  <c r="AC727" i="1"/>
  <c r="AB727" i="1"/>
  <c r="AC726" i="1"/>
  <c r="AB726" i="1"/>
  <c r="AC725" i="1"/>
  <c r="AB725" i="1"/>
  <c r="AC724" i="1"/>
  <c r="AB724" i="1"/>
  <c r="AC723" i="1"/>
  <c r="AB723" i="1"/>
  <c r="AC722" i="1"/>
  <c r="AB722" i="1"/>
  <c r="AC721" i="1"/>
  <c r="AB721" i="1"/>
  <c r="AC720" i="1"/>
  <c r="AB720" i="1"/>
  <c r="AC719" i="1"/>
  <c r="AB719" i="1"/>
  <c r="AC718" i="1"/>
  <c r="AB718" i="1"/>
  <c r="AC717" i="1"/>
  <c r="AB717" i="1"/>
  <c r="AC716" i="1"/>
  <c r="AB716" i="1"/>
  <c r="AC715" i="1"/>
  <c r="AB715" i="1"/>
  <c r="AC714" i="1"/>
  <c r="AB714" i="1"/>
  <c r="AC713" i="1"/>
  <c r="AB713" i="1"/>
  <c r="AC712" i="1"/>
  <c r="AB712" i="1"/>
  <c r="AC711" i="1"/>
  <c r="AB711" i="1"/>
  <c r="AC710" i="1"/>
  <c r="AB710" i="1"/>
  <c r="AC709" i="1"/>
  <c r="AB709" i="1"/>
  <c r="AC708" i="1"/>
  <c r="AB708" i="1"/>
  <c r="AC707" i="1"/>
  <c r="AB707" i="1"/>
  <c r="AC706" i="1"/>
  <c r="AB706" i="1"/>
  <c r="AC705" i="1"/>
  <c r="AB705" i="1"/>
  <c r="AC704" i="1"/>
  <c r="AB704" i="1"/>
  <c r="AC703" i="1"/>
  <c r="AB703" i="1"/>
  <c r="AC702" i="1"/>
  <c r="AB702" i="1"/>
  <c r="AC701" i="1"/>
  <c r="AB701" i="1"/>
  <c r="AC700" i="1"/>
  <c r="AB700" i="1"/>
  <c r="AC699" i="1"/>
  <c r="AB699" i="1"/>
  <c r="AC698" i="1"/>
  <c r="AB698" i="1"/>
  <c r="AC697" i="1"/>
  <c r="AB697" i="1"/>
  <c r="AC696" i="1"/>
  <c r="AB696" i="1"/>
  <c r="AC695" i="1"/>
  <c r="AB695" i="1"/>
  <c r="AC694" i="1"/>
  <c r="AB694" i="1"/>
  <c r="AC693" i="1"/>
  <c r="AB693" i="1"/>
  <c r="AC692" i="1"/>
  <c r="AB692" i="1"/>
  <c r="AC691" i="1"/>
  <c r="AB691" i="1"/>
  <c r="AC690" i="1"/>
  <c r="AB690" i="1"/>
  <c r="AC689" i="1"/>
  <c r="AB689" i="1"/>
  <c r="AC688" i="1"/>
  <c r="AB688" i="1"/>
  <c r="AC687" i="1"/>
  <c r="AB687" i="1"/>
  <c r="AC686" i="1"/>
  <c r="AB686" i="1"/>
  <c r="AC685" i="1"/>
  <c r="AB685" i="1"/>
  <c r="AC684" i="1"/>
  <c r="AB684" i="1"/>
  <c r="AC683" i="1"/>
  <c r="AB683" i="1"/>
  <c r="AC682" i="1"/>
  <c r="AB682" i="1"/>
  <c r="AC681" i="1"/>
  <c r="AB681" i="1"/>
  <c r="AC680" i="1"/>
  <c r="AB680" i="1"/>
  <c r="AC679" i="1"/>
  <c r="AB679" i="1"/>
  <c r="AC678" i="1"/>
  <c r="AB678" i="1"/>
  <c r="AC677" i="1"/>
  <c r="AB677" i="1"/>
  <c r="AC676" i="1"/>
  <c r="AB676" i="1"/>
  <c r="AC675" i="1"/>
  <c r="AB675" i="1"/>
  <c r="AC674" i="1"/>
  <c r="AB674" i="1"/>
  <c r="AC673" i="1"/>
  <c r="AB673" i="1"/>
  <c r="AC672" i="1"/>
  <c r="AB672" i="1"/>
  <c r="AC671" i="1"/>
  <c r="AB671" i="1"/>
  <c r="AC670" i="1"/>
  <c r="AB670" i="1"/>
  <c r="AC669" i="1"/>
  <c r="AB669" i="1"/>
  <c r="AC668" i="1"/>
  <c r="AB668" i="1"/>
  <c r="AC667" i="1"/>
  <c r="AB667" i="1"/>
  <c r="AC666" i="1"/>
  <c r="AB666" i="1"/>
  <c r="AC665" i="1"/>
  <c r="AB665" i="1"/>
  <c r="AC664" i="1"/>
  <c r="AB664" i="1"/>
  <c r="AC663" i="1"/>
  <c r="AB663" i="1"/>
  <c r="AC662" i="1"/>
  <c r="AB662" i="1"/>
  <c r="AC661" i="1"/>
  <c r="AB661" i="1"/>
  <c r="AC660" i="1"/>
  <c r="AB660" i="1"/>
  <c r="AC659" i="1"/>
  <c r="AB659" i="1"/>
  <c r="AC658" i="1"/>
  <c r="AB658" i="1"/>
  <c r="AC657" i="1"/>
  <c r="AB657" i="1"/>
  <c r="AC656" i="1"/>
  <c r="AB656" i="1"/>
  <c r="AC655" i="1"/>
  <c r="AB655" i="1"/>
  <c r="AC654" i="1"/>
  <c r="AB654" i="1"/>
  <c r="AC653" i="1"/>
  <c r="AB653" i="1"/>
  <c r="AC652" i="1"/>
  <c r="AB652" i="1"/>
  <c r="AC651" i="1"/>
  <c r="AB651" i="1"/>
  <c r="AC650" i="1"/>
  <c r="AB650" i="1"/>
  <c r="AC649" i="1"/>
  <c r="AB649" i="1"/>
  <c r="AC648" i="1"/>
  <c r="AB648" i="1"/>
  <c r="AC647" i="1"/>
  <c r="AB647" i="1"/>
  <c r="AC646" i="1"/>
  <c r="AB646" i="1"/>
  <c r="AC645" i="1"/>
  <c r="AB645" i="1"/>
  <c r="AD1" i="1" l="1"/>
  <c r="AB813" i="9" l="1"/>
  <c r="F915" i="9" l="1"/>
  <c r="AB1030" i="9" l="1"/>
  <c r="V1030" i="9"/>
  <c r="U1030" i="9"/>
  <c r="P1030" i="9"/>
  <c r="O1030" i="9"/>
  <c r="N1030" i="9"/>
  <c r="M1030" i="9"/>
  <c r="L1030" i="9"/>
  <c r="K1030" i="9"/>
  <c r="S1030" i="9" s="1"/>
  <c r="J1030" i="9"/>
  <c r="I1030" i="9"/>
  <c r="H1030" i="9"/>
  <c r="G1030" i="9"/>
  <c r="F1030" i="9"/>
  <c r="E1030" i="9"/>
  <c r="D1030" i="9"/>
  <c r="C1030" i="9"/>
  <c r="AB1029" i="9"/>
  <c r="V1029" i="9"/>
  <c r="U1029" i="9"/>
  <c r="P1029" i="9"/>
  <c r="O1029" i="9"/>
  <c r="N1029" i="9"/>
  <c r="M1029" i="9"/>
  <c r="L1029" i="9"/>
  <c r="K1029" i="9"/>
  <c r="S1029" i="9" s="1"/>
  <c r="J1029" i="9"/>
  <c r="I1029" i="9"/>
  <c r="H1029" i="9"/>
  <c r="G1029" i="9"/>
  <c r="F1029" i="9"/>
  <c r="E1029" i="9"/>
  <c r="D1029" i="9"/>
  <c r="C1029" i="9"/>
  <c r="AB1028" i="9"/>
  <c r="V1028" i="9"/>
  <c r="U1028" i="9"/>
  <c r="P1028" i="9"/>
  <c r="O1028" i="9"/>
  <c r="N1028" i="9"/>
  <c r="M1028" i="9"/>
  <c r="L1028" i="9"/>
  <c r="K1028" i="9"/>
  <c r="S1028" i="9" s="1"/>
  <c r="J1028" i="9"/>
  <c r="I1028" i="9"/>
  <c r="H1028" i="9"/>
  <c r="G1028" i="9"/>
  <c r="F1028" i="9"/>
  <c r="E1028" i="9"/>
  <c r="D1028" i="9"/>
  <c r="C1028" i="9"/>
  <c r="AB1027" i="9"/>
  <c r="V1027" i="9"/>
  <c r="U1027" i="9"/>
  <c r="P1027" i="9"/>
  <c r="O1027" i="9"/>
  <c r="N1027" i="9"/>
  <c r="M1027" i="9"/>
  <c r="L1027" i="9"/>
  <c r="K1027" i="9"/>
  <c r="S1027" i="9" s="1"/>
  <c r="J1027" i="9"/>
  <c r="I1027" i="9"/>
  <c r="H1027" i="9"/>
  <c r="G1027" i="9"/>
  <c r="F1027" i="9"/>
  <c r="E1027" i="9"/>
  <c r="D1027" i="9"/>
  <c r="C1027" i="9"/>
  <c r="AB1026" i="9"/>
  <c r="V1026" i="9"/>
  <c r="U1026" i="9"/>
  <c r="P1026" i="9"/>
  <c r="O1026" i="9"/>
  <c r="N1026" i="9"/>
  <c r="M1026" i="9"/>
  <c r="L1026" i="9"/>
  <c r="K1026" i="9"/>
  <c r="S1026" i="9" s="1"/>
  <c r="J1026" i="9"/>
  <c r="I1026" i="9"/>
  <c r="H1026" i="9"/>
  <c r="G1026" i="9"/>
  <c r="F1026" i="9"/>
  <c r="E1026" i="9"/>
  <c r="D1026" i="9"/>
  <c r="C1026" i="9"/>
  <c r="AB1025" i="9"/>
  <c r="V1025" i="9"/>
  <c r="U1025" i="9"/>
  <c r="P1025" i="9"/>
  <c r="O1025" i="9"/>
  <c r="N1025" i="9"/>
  <c r="M1025" i="9"/>
  <c r="L1025" i="9"/>
  <c r="K1025" i="9"/>
  <c r="S1025" i="9" s="1"/>
  <c r="J1025" i="9"/>
  <c r="I1025" i="9"/>
  <c r="H1025" i="9"/>
  <c r="G1025" i="9"/>
  <c r="F1025" i="9"/>
  <c r="E1025" i="9"/>
  <c r="D1025" i="9"/>
  <c r="C1025" i="9"/>
  <c r="AB1024" i="9"/>
  <c r="V1024" i="9"/>
  <c r="U1024" i="9"/>
  <c r="P1024" i="9"/>
  <c r="O1024" i="9"/>
  <c r="N1024" i="9"/>
  <c r="M1024" i="9"/>
  <c r="L1024" i="9"/>
  <c r="K1024" i="9"/>
  <c r="S1024" i="9" s="1"/>
  <c r="J1024" i="9"/>
  <c r="I1024" i="9"/>
  <c r="H1024" i="9"/>
  <c r="G1024" i="9"/>
  <c r="F1024" i="9"/>
  <c r="E1024" i="9"/>
  <c r="D1024" i="9"/>
  <c r="C1024" i="9"/>
  <c r="AB1023" i="9"/>
  <c r="V1023" i="9"/>
  <c r="U1023" i="9"/>
  <c r="P1023" i="9"/>
  <c r="O1023" i="9"/>
  <c r="N1023" i="9"/>
  <c r="M1023" i="9"/>
  <c r="L1023" i="9"/>
  <c r="K1023" i="9"/>
  <c r="S1023" i="9" s="1"/>
  <c r="J1023" i="9"/>
  <c r="I1023" i="9"/>
  <c r="H1023" i="9"/>
  <c r="G1023" i="9"/>
  <c r="F1023" i="9"/>
  <c r="E1023" i="9"/>
  <c r="D1023" i="9"/>
  <c r="C1023" i="9"/>
  <c r="AB1022" i="9"/>
  <c r="V1022" i="9"/>
  <c r="U1022" i="9"/>
  <c r="P1022" i="9"/>
  <c r="O1022" i="9"/>
  <c r="N1022" i="9"/>
  <c r="M1022" i="9"/>
  <c r="L1022" i="9"/>
  <c r="K1022" i="9"/>
  <c r="S1022" i="9" s="1"/>
  <c r="J1022" i="9"/>
  <c r="I1022" i="9"/>
  <c r="H1022" i="9"/>
  <c r="G1022" i="9"/>
  <c r="F1022" i="9"/>
  <c r="E1022" i="9"/>
  <c r="D1022" i="9"/>
  <c r="C1022" i="9"/>
  <c r="AB1021" i="9"/>
  <c r="V1021" i="9"/>
  <c r="U1021" i="9"/>
  <c r="P1021" i="9"/>
  <c r="O1021" i="9"/>
  <c r="N1021" i="9"/>
  <c r="M1021" i="9"/>
  <c r="L1021" i="9"/>
  <c r="K1021" i="9"/>
  <c r="S1021" i="9" s="1"/>
  <c r="J1021" i="9"/>
  <c r="I1021" i="9"/>
  <c r="H1021" i="9"/>
  <c r="G1021" i="9"/>
  <c r="F1021" i="9"/>
  <c r="E1021" i="9"/>
  <c r="D1021" i="9"/>
  <c r="C1021" i="9"/>
  <c r="AB1020" i="9"/>
  <c r="V1020" i="9"/>
  <c r="U1020" i="9"/>
  <c r="P1020" i="9"/>
  <c r="O1020" i="9"/>
  <c r="N1020" i="9"/>
  <c r="M1020" i="9"/>
  <c r="L1020" i="9"/>
  <c r="K1020" i="9"/>
  <c r="S1020" i="9" s="1"/>
  <c r="J1020" i="9"/>
  <c r="I1020" i="9"/>
  <c r="H1020" i="9"/>
  <c r="G1020" i="9"/>
  <c r="F1020" i="9"/>
  <c r="E1020" i="9"/>
  <c r="D1020" i="9"/>
  <c r="C1020" i="9"/>
  <c r="AB1019" i="9"/>
  <c r="V1019" i="9"/>
  <c r="U1019" i="9"/>
  <c r="P1019" i="9"/>
  <c r="O1019" i="9"/>
  <c r="N1019" i="9"/>
  <c r="M1019" i="9"/>
  <c r="L1019" i="9"/>
  <c r="K1019" i="9"/>
  <c r="S1019" i="9" s="1"/>
  <c r="J1019" i="9"/>
  <c r="I1019" i="9"/>
  <c r="H1019" i="9"/>
  <c r="G1019" i="9"/>
  <c r="F1019" i="9"/>
  <c r="E1019" i="9"/>
  <c r="D1019" i="9"/>
  <c r="C1019" i="9"/>
  <c r="AB1018" i="9"/>
  <c r="V1018" i="9"/>
  <c r="U1018" i="9"/>
  <c r="P1018" i="9"/>
  <c r="O1018" i="9"/>
  <c r="N1018" i="9"/>
  <c r="M1018" i="9"/>
  <c r="L1018" i="9"/>
  <c r="K1018" i="9"/>
  <c r="S1018" i="9" s="1"/>
  <c r="J1018" i="9"/>
  <c r="I1018" i="9"/>
  <c r="H1018" i="9"/>
  <c r="G1018" i="9"/>
  <c r="F1018" i="9"/>
  <c r="E1018" i="9"/>
  <c r="D1018" i="9"/>
  <c r="C1018" i="9"/>
  <c r="AB1017" i="9"/>
  <c r="V1017" i="9"/>
  <c r="U1017" i="9"/>
  <c r="P1017" i="9"/>
  <c r="O1017" i="9"/>
  <c r="N1017" i="9"/>
  <c r="M1017" i="9"/>
  <c r="L1017" i="9"/>
  <c r="K1017" i="9"/>
  <c r="S1017" i="9" s="1"/>
  <c r="J1017" i="9"/>
  <c r="I1017" i="9"/>
  <c r="H1017" i="9"/>
  <c r="G1017" i="9"/>
  <c r="F1017" i="9"/>
  <c r="E1017" i="9"/>
  <c r="D1017" i="9"/>
  <c r="C1017" i="9"/>
  <c r="AB1016" i="9"/>
  <c r="V1016" i="9"/>
  <c r="U1016" i="9"/>
  <c r="P1016" i="9"/>
  <c r="O1016" i="9"/>
  <c r="N1016" i="9"/>
  <c r="M1016" i="9"/>
  <c r="L1016" i="9"/>
  <c r="K1016" i="9"/>
  <c r="S1016" i="9" s="1"/>
  <c r="J1016" i="9"/>
  <c r="I1016" i="9"/>
  <c r="H1016" i="9"/>
  <c r="G1016" i="9"/>
  <c r="F1016" i="9"/>
  <c r="E1016" i="9"/>
  <c r="D1016" i="9"/>
  <c r="C1016" i="9"/>
  <c r="AB1015" i="9"/>
  <c r="V1015" i="9"/>
  <c r="U1015" i="9"/>
  <c r="P1015" i="9"/>
  <c r="O1015" i="9"/>
  <c r="N1015" i="9"/>
  <c r="M1015" i="9"/>
  <c r="L1015" i="9"/>
  <c r="K1015" i="9"/>
  <c r="S1015" i="9" s="1"/>
  <c r="J1015" i="9"/>
  <c r="I1015" i="9"/>
  <c r="H1015" i="9"/>
  <c r="G1015" i="9"/>
  <c r="F1015" i="9"/>
  <c r="E1015" i="9"/>
  <c r="D1015" i="9"/>
  <c r="C1015" i="9"/>
  <c r="AB1014" i="9"/>
  <c r="V1014" i="9"/>
  <c r="U1014" i="9"/>
  <c r="P1014" i="9"/>
  <c r="O1014" i="9"/>
  <c r="N1014" i="9"/>
  <c r="M1014" i="9"/>
  <c r="L1014" i="9"/>
  <c r="K1014" i="9"/>
  <c r="S1014" i="9" s="1"/>
  <c r="J1014" i="9"/>
  <c r="I1014" i="9"/>
  <c r="H1014" i="9"/>
  <c r="G1014" i="9"/>
  <c r="F1014" i="9"/>
  <c r="E1014" i="9"/>
  <c r="D1014" i="9"/>
  <c r="C1014" i="9"/>
  <c r="AB1013" i="9"/>
  <c r="V1013" i="9"/>
  <c r="U1013" i="9"/>
  <c r="P1013" i="9"/>
  <c r="O1013" i="9"/>
  <c r="N1013" i="9"/>
  <c r="M1013" i="9"/>
  <c r="L1013" i="9"/>
  <c r="K1013" i="9"/>
  <c r="S1013" i="9" s="1"/>
  <c r="J1013" i="9"/>
  <c r="I1013" i="9"/>
  <c r="H1013" i="9"/>
  <c r="G1013" i="9"/>
  <c r="F1013" i="9"/>
  <c r="E1013" i="9"/>
  <c r="D1013" i="9"/>
  <c r="C1013" i="9"/>
  <c r="AB1012" i="9"/>
  <c r="V1012" i="9"/>
  <c r="U1012" i="9"/>
  <c r="P1012" i="9"/>
  <c r="O1012" i="9"/>
  <c r="N1012" i="9"/>
  <c r="M1012" i="9"/>
  <c r="L1012" i="9"/>
  <c r="K1012" i="9"/>
  <c r="S1012" i="9" s="1"/>
  <c r="J1012" i="9"/>
  <c r="I1012" i="9"/>
  <c r="H1012" i="9"/>
  <c r="G1012" i="9"/>
  <c r="F1012" i="9"/>
  <c r="E1012" i="9"/>
  <c r="D1012" i="9"/>
  <c r="C1012" i="9"/>
  <c r="AB1011" i="9"/>
  <c r="V1011" i="9"/>
  <c r="U1011" i="9"/>
  <c r="P1011" i="9"/>
  <c r="O1011" i="9"/>
  <c r="N1011" i="9"/>
  <c r="M1011" i="9"/>
  <c r="L1011" i="9"/>
  <c r="K1011" i="9"/>
  <c r="S1011" i="9" s="1"/>
  <c r="J1011" i="9"/>
  <c r="I1011" i="9"/>
  <c r="H1011" i="9"/>
  <c r="G1011" i="9"/>
  <c r="F1011" i="9"/>
  <c r="E1011" i="9"/>
  <c r="D1011" i="9"/>
  <c r="C1011" i="9"/>
  <c r="AB1010" i="9"/>
  <c r="V1010" i="9"/>
  <c r="U1010" i="9"/>
  <c r="P1010" i="9"/>
  <c r="O1010" i="9"/>
  <c r="N1010" i="9"/>
  <c r="M1010" i="9"/>
  <c r="L1010" i="9"/>
  <c r="K1010" i="9"/>
  <c r="S1010" i="9" s="1"/>
  <c r="J1010" i="9"/>
  <c r="I1010" i="9"/>
  <c r="H1010" i="9"/>
  <c r="G1010" i="9"/>
  <c r="F1010" i="9"/>
  <c r="E1010" i="9"/>
  <c r="D1010" i="9"/>
  <c r="C1010" i="9"/>
  <c r="AB1009" i="9"/>
  <c r="V1009" i="9"/>
  <c r="U1009" i="9"/>
  <c r="P1009" i="9"/>
  <c r="O1009" i="9"/>
  <c r="N1009" i="9"/>
  <c r="M1009" i="9"/>
  <c r="L1009" i="9"/>
  <c r="K1009" i="9"/>
  <c r="S1009" i="9" s="1"/>
  <c r="J1009" i="9"/>
  <c r="I1009" i="9"/>
  <c r="H1009" i="9"/>
  <c r="G1009" i="9"/>
  <c r="F1009" i="9"/>
  <c r="E1009" i="9"/>
  <c r="D1009" i="9"/>
  <c r="C1009" i="9"/>
  <c r="AB1008" i="9"/>
  <c r="V1008" i="9"/>
  <c r="U1008" i="9"/>
  <c r="P1008" i="9"/>
  <c r="O1008" i="9"/>
  <c r="N1008" i="9"/>
  <c r="M1008" i="9"/>
  <c r="L1008" i="9"/>
  <c r="K1008" i="9"/>
  <c r="S1008" i="9" s="1"/>
  <c r="J1008" i="9"/>
  <c r="I1008" i="9"/>
  <c r="H1008" i="9"/>
  <c r="G1008" i="9"/>
  <c r="F1008" i="9"/>
  <c r="E1008" i="9"/>
  <c r="D1008" i="9"/>
  <c r="C1008" i="9"/>
  <c r="AB1007" i="9"/>
  <c r="V1007" i="9"/>
  <c r="U1007" i="9"/>
  <c r="P1007" i="9"/>
  <c r="O1007" i="9"/>
  <c r="N1007" i="9"/>
  <c r="M1007" i="9"/>
  <c r="L1007" i="9"/>
  <c r="K1007" i="9"/>
  <c r="S1007" i="9" s="1"/>
  <c r="J1007" i="9"/>
  <c r="I1007" i="9"/>
  <c r="H1007" i="9"/>
  <c r="G1007" i="9"/>
  <c r="F1007" i="9"/>
  <c r="E1007" i="9"/>
  <c r="D1007" i="9"/>
  <c r="C1007" i="9"/>
  <c r="AB1006" i="9"/>
  <c r="V1006" i="9"/>
  <c r="U1006" i="9"/>
  <c r="P1006" i="9"/>
  <c r="O1006" i="9"/>
  <c r="N1006" i="9"/>
  <c r="M1006" i="9"/>
  <c r="L1006" i="9"/>
  <c r="K1006" i="9"/>
  <c r="S1006" i="9" s="1"/>
  <c r="J1006" i="9"/>
  <c r="I1006" i="9"/>
  <c r="H1006" i="9"/>
  <c r="G1006" i="9"/>
  <c r="F1006" i="9"/>
  <c r="E1006" i="9"/>
  <c r="D1006" i="9"/>
  <c r="C1006" i="9"/>
  <c r="AB1005" i="9"/>
  <c r="V1005" i="9"/>
  <c r="U1005" i="9"/>
  <c r="P1005" i="9"/>
  <c r="O1005" i="9"/>
  <c r="N1005" i="9"/>
  <c r="M1005" i="9"/>
  <c r="L1005" i="9"/>
  <c r="K1005" i="9"/>
  <c r="S1005" i="9" s="1"/>
  <c r="J1005" i="9"/>
  <c r="I1005" i="9"/>
  <c r="H1005" i="9"/>
  <c r="G1005" i="9"/>
  <c r="F1005" i="9"/>
  <c r="E1005" i="9"/>
  <c r="D1005" i="9"/>
  <c r="C1005" i="9"/>
  <c r="AB1004" i="9"/>
  <c r="V1004" i="9"/>
  <c r="U1004" i="9"/>
  <c r="P1004" i="9"/>
  <c r="O1004" i="9"/>
  <c r="N1004" i="9"/>
  <c r="M1004" i="9"/>
  <c r="L1004" i="9"/>
  <c r="K1004" i="9"/>
  <c r="S1004" i="9" s="1"/>
  <c r="J1004" i="9"/>
  <c r="I1004" i="9"/>
  <c r="H1004" i="9"/>
  <c r="G1004" i="9"/>
  <c r="F1004" i="9"/>
  <c r="E1004" i="9"/>
  <c r="D1004" i="9"/>
  <c r="C1004" i="9"/>
  <c r="AB1003" i="9"/>
  <c r="V1003" i="9"/>
  <c r="U1003" i="9"/>
  <c r="P1003" i="9"/>
  <c r="O1003" i="9"/>
  <c r="N1003" i="9"/>
  <c r="M1003" i="9"/>
  <c r="L1003" i="9"/>
  <c r="K1003" i="9"/>
  <c r="S1003" i="9" s="1"/>
  <c r="J1003" i="9"/>
  <c r="I1003" i="9"/>
  <c r="H1003" i="9"/>
  <c r="G1003" i="9"/>
  <c r="F1003" i="9"/>
  <c r="E1003" i="9"/>
  <c r="D1003" i="9"/>
  <c r="C1003" i="9"/>
  <c r="AB1002" i="9"/>
  <c r="V1002" i="9"/>
  <c r="U1002" i="9"/>
  <c r="P1002" i="9"/>
  <c r="O1002" i="9"/>
  <c r="N1002" i="9"/>
  <c r="M1002" i="9"/>
  <c r="L1002" i="9"/>
  <c r="K1002" i="9"/>
  <c r="S1002" i="9" s="1"/>
  <c r="J1002" i="9"/>
  <c r="I1002" i="9"/>
  <c r="H1002" i="9"/>
  <c r="G1002" i="9"/>
  <c r="F1002" i="9"/>
  <c r="E1002" i="9"/>
  <c r="D1002" i="9"/>
  <c r="C1002" i="9"/>
  <c r="AB1001" i="9"/>
  <c r="V1001" i="9"/>
  <c r="U1001" i="9"/>
  <c r="P1001" i="9"/>
  <c r="O1001" i="9"/>
  <c r="N1001" i="9"/>
  <c r="M1001" i="9"/>
  <c r="L1001" i="9"/>
  <c r="K1001" i="9"/>
  <c r="S1001" i="9" s="1"/>
  <c r="J1001" i="9"/>
  <c r="I1001" i="9"/>
  <c r="H1001" i="9"/>
  <c r="G1001" i="9"/>
  <c r="F1001" i="9"/>
  <c r="E1001" i="9"/>
  <c r="D1001" i="9"/>
  <c r="C1001" i="9"/>
  <c r="AB999" i="9"/>
  <c r="V999" i="9"/>
  <c r="U999" i="9"/>
  <c r="P999" i="9"/>
  <c r="O999" i="9"/>
  <c r="N999" i="9"/>
  <c r="M999" i="9"/>
  <c r="L999" i="9"/>
  <c r="K999" i="9"/>
  <c r="J999" i="9"/>
  <c r="I999" i="9"/>
  <c r="H999" i="9"/>
  <c r="G999" i="9"/>
  <c r="F999" i="9"/>
  <c r="E999" i="9"/>
  <c r="D999" i="9"/>
  <c r="C999" i="9"/>
  <c r="AB998" i="9"/>
  <c r="V998" i="9"/>
  <c r="U998" i="9"/>
  <c r="P998" i="9"/>
  <c r="O998" i="9"/>
  <c r="N998" i="9"/>
  <c r="M998" i="9"/>
  <c r="L998" i="9"/>
  <c r="K998" i="9"/>
  <c r="S1000" i="9" s="1"/>
  <c r="J998" i="9"/>
  <c r="I998" i="9"/>
  <c r="H998" i="9"/>
  <c r="G998" i="9"/>
  <c r="F998" i="9"/>
  <c r="E998" i="9"/>
  <c r="D998" i="9"/>
  <c r="C998" i="9"/>
  <c r="AB997" i="9"/>
  <c r="V997" i="9"/>
  <c r="U997" i="9"/>
  <c r="P997" i="9"/>
  <c r="O997" i="9"/>
  <c r="N997" i="9"/>
  <c r="M997" i="9"/>
  <c r="L997" i="9"/>
  <c r="K997" i="9"/>
  <c r="J997" i="9"/>
  <c r="I997" i="9"/>
  <c r="H997" i="9"/>
  <c r="G997" i="9"/>
  <c r="F997" i="9"/>
  <c r="E997" i="9"/>
  <c r="D997" i="9"/>
  <c r="C997" i="9"/>
  <c r="AB996" i="9"/>
  <c r="V996" i="9"/>
  <c r="U996" i="9"/>
  <c r="P996" i="9"/>
  <c r="O996" i="9"/>
  <c r="N996" i="9"/>
  <c r="M996" i="9"/>
  <c r="L996" i="9"/>
  <c r="K996" i="9"/>
  <c r="S997" i="9" s="1"/>
  <c r="J996" i="9"/>
  <c r="I996" i="9"/>
  <c r="H996" i="9"/>
  <c r="G996" i="9"/>
  <c r="F996" i="9"/>
  <c r="E996" i="9"/>
  <c r="D996" i="9"/>
  <c r="C996" i="9"/>
  <c r="AB995" i="9"/>
  <c r="V995" i="9"/>
  <c r="U995" i="9"/>
  <c r="P995" i="9"/>
  <c r="O995" i="9"/>
  <c r="N995" i="9"/>
  <c r="M995" i="9"/>
  <c r="L995" i="9"/>
  <c r="K995" i="9"/>
  <c r="J995" i="9"/>
  <c r="I995" i="9"/>
  <c r="H995" i="9"/>
  <c r="G995" i="9"/>
  <c r="F995" i="9"/>
  <c r="E995" i="9"/>
  <c r="D995" i="9"/>
  <c r="C995" i="9"/>
  <c r="AB994" i="9"/>
  <c r="V994" i="9"/>
  <c r="U994" i="9"/>
  <c r="P994" i="9"/>
  <c r="O994" i="9"/>
  <c r="N994" i="9"/>
  <c r="M994" i="9"/>
  <c r="L994" i="9"/>
  <c r="K994" i="9"/>
  <c r="J994" i="9"/>
  <c r="I994" i="9"/>
  <c r="H994" i="9"/>
  <c r="G994" i="9"/>
  <c r="F994" i="9"/>
  <c r="E994" i="9"/>
  <c r="D994" i="9"/>
  <c r="C994" i="9"/>
  <c r="AB993" i="9"/>
  <c r="V993" i="9"/>
  <c r="U993" i="9"/>
  <c r="P993" i="9"/>
  <c r="O993" i="9"/>
  <c r="N993" i="9"/>
  <c r="M993" i="9"/>
  <c r="L993" i="9"/>
  <c r="K993" i="9"/>
  <c r="S995" i="9" s="1"/>
  <c r="J993" i="9"/>
  <c r="I993" i="9"/>
  <c r="H993" i="9"/>
  <c r="G993" i="9"/>
  <c r="F993" i="9"/>
  <c r="E993" i="9"/>
  <c r="D993" i="9"/>
  <c r="C993" i="9"/>
  <c r="AB992" i="9"/>
  <c r="V992" i="9"/>
  <c r="U992" i="9"/>
  <c r="P992" i="9"/>
  <c r="O992" i="9"/>
  <c r="N992" i="9"/>
  <c r="M992" i="9"/>
  <c r="L992" i="9"/>
  <c r="K992" i="9"/>
  <c r="J992" i="9"/>
  <c r="I992" i="9"/>
  <c r="H992" i="9"/>
  <c r="G992" i="9"/>
  <c r="F992" i="9"/>
  <c r="E992" i="9"/>
  <c r="D992" i="9"/>
  <c r="C992" i="9"/>
  <c r="AB991" i="9"/>
  <c r="V991" i="9"/>
  <c r="U991" i="9"/>
  <c r="P991" i="9"/>
  <c r="O991" i="9"/>
  <c r="N991" i="9"/>
  <c r="M991" i="9"/>
  <c r="L991" i="9"/>
  <c r="K991" i="9"/>
  <c r="S992" i="9" s="1"/>
  <c r="J991" i="9"/>
  <c r="I991" i="9"/>
  <c r="H991" i="9"/>
  <c r="G991" i="9"/>
  <c r="F991" i="9"/>
  <c r="E991" i="9"/>
  <c r="D991" i="9"/>
  <c r="C991" i="9"/>
  <c r="AB990" i="9"/>
  <c r="V990" i="9"/>
  <c r="U990" i="9"/>
  <c r="P990" i="9"/>
  <c r="O990" i="9"/>
  <c r="N990" i="9"/>
  <c r="M990" i="9"/>
  <c r="L990" i="9"/>
  <c r="K990" i="9"/>
  <c r="J990" i="9"/>
  <c r="I990" i="9"/>
  <c r="H990" i="9"/>
  <c r="G990" i="9"/>
  <c r="F990" i="9"/>
  <c r="E990" i="9"/>
  <c r="D990" i="9"/>
  <c r="C990" i="9"/>
  <c r="AB989" i="9"/>
  <c r="V989" i="9"/>
  <c r="U989" i="9"/>
  <c r="P989" i="9"/>
  <c r="O989" i="9"/>
  <c r="N989" i="9"/>
  <c r="M989" i="9"/>
  <c r="L989" i="9"/>
  <c r="K989" i="9"/>
  <c r="S990" i="9" s="1"/>
  <c r="J989" i="9"/>
  <c r="I989" i="9"/>
  <c r="H989" i="9"/>
  <c r="G989" i="9"/>
  <c r="F989" i="9"/>
  <c r="E989" i="9"/>
  <c r="D989" i="9"/>
  <c r="C989" i="9"/>
  <c r="AB988" i="9"/>
  <c r="V988" i="9"/>
  <c r="U988" i="9"/>
  <c r="P988" i="9"/>
  <c r="O988" i="9"/>
  <c r="N988" i="9"/>
  <c r="M988" i="9"/>
  <c r="L988" i="9"/>
  <c r="K988" i="9"/>
  <c r="S988" i="9" s="1"/>
  <c r="J988" i="9"/>
  <c r="I988" i="9"/>
  <c r="H988" i="9"/>
  <c r="G988" i="9"/>
  <c r="F988" i="9"/>
  <c r="E988" i="9"/>
  <c r="D988" i="9"/>
  <c r="C988" i="9"/>
  <c r="AB987" i="9"/>
  <c r="V987" i="9"/>
  <c r="U987" i="9"/>
  <c r="P987" i="9"/>
  <c r="O987" i="9"/>
  <c r="N987" i="9"/>
  <c r="M987" i="9"/>
  <c r="L987" i="9"/>
  <c r="K987" i="9"/>
  <c r="S987" i="9" s="1"/>
  <c r="J987" i="9"/>
  <c r="I987" i="9"/>
  <c r="H987" i="9"/>
  <c r="G987" i="9"/>
  <c r="F987" i="9"/>
  <c r="E987" i="9"/>
  <c r="D987" i="9"/>
  <c r="C987" i="9"/>
  <c r="AB986" i="9"/>
  <c r="V986" i="9"/>
  <c r="U986" i="9"/>
  <c r="P986" i="9"/>
  <c r="O986" i="9"/>
  <c r="N986" i="9"/>
  <c r="M986" i="9"/>
  <c r="L986" i="9"/>
  <c r="K986" i="9"/>
  <c r="S986" i="9" s="1"/>
  <c r="J986" i="9"/>
  <c r="I986" i="9"/>
  <c r="H986" i="9"/>
  <c r="G986" i="9"/>
  <c r="F986" i="9"/>
  <c r="E986" i="9"/>
  <c r="D986" i="9"/>
  <c r="C986" i="9"/>
  <c r="AB985" i="9"/>
  <c r="V985" i="9"/>
  <c r="U985" i="9"/>
  <c r="P985" i="9"/>
  <c r="O985" i="9"/>
  <c r="N985" i="9"/>
  <c r="M985" i="9"/>
  <c r="L985" i="9"/>
  <c r="K985" i="9"/>
  <c r="S985" i="9" s="1"/>
  <c r="J985" i="9"/>
  <c r="I985" i="9"/>
  <c r="H985" i="9"/>
  <c r="G985" i="9"/>
  <c r="F985" i="9"/>
  <c r="E985" i="9"/>
  <c r="D985" i="9"/>
  <c r="C985" i="9"/>
  <c r="AB984" i="9"/>
  <c r="V984" i="9"/>
  <c r="U984" i="9"/>
  <c r="P984" i="9"/>
  <c r="O984" i="9"/>
  <c r="N984" i="9"/>
  <c r="M984" i="9"/>
  <c r="L984" i="9"/>
  <c r="K984" i="9"/>
  <c r="J984" i="9"/>
  <c r="I984" i="9"/>
  <c r="H984" i="9"/>
  <c r="G984" i="9"/>
  <c r="F984" i="9"/>
  <c r="E984" i="9"/>
  <c r="D984" i="9"/>
  <c r="C984" i="9"/>
  <c r="AB983" i="9"/>
  <c r="V983" i="9"/>
  <c r="U983" i="9"/>
  <c r="P983" i="9"/>
  <c r="O983" i="9"/>
  <c r="N983" i="9"/>
  <c r="M983" i="9"/>
  <c r="L983" i="9"/>
  <c r="K983" i="9"/>
  <c r="S984" i="9" s="1"/>
  <c r="J983" i="9"/>
  <c r="I983" i="9"/>
  <c r="H983" i="9"/>
  <c r="G983" i="9"/>
  <c r="F983" i="9"/>
  <c r="E983" i="9"/>
  <c r="D983" i="9"/>
  <c r="C983" i="9"/>
  <c r="AB982" i="9"/>
  <c r="V982" i="9"/>
  <c r="U982" i="9"/>
  <c r="P982" i="9"/>
  <c r="O982" i="9"/>
  <c r="N982" i="9"/>
  <c r="M982" i="9"/>
  <c r="L982" i="9"/>
  <c r="K982" i="9"/>
  <c r="S982" i="9" s="1"/>
  <c r="J982" i="9"/>
  <c r="I982" i="9"/>
  <c r="H982" i="9"/>
  <c r="G982" i="9"/>
  <c r="F982" i="9"/>
  <c r="E982" i="9"/>
  <c r="D982" i="9"/>
  <c r="C982" i="9"/>
  <c r="AB981" i="9"/>
  <c r="V981" i="9"/>
  <c r="U981" i="9"/>
  <c r="P981" i="9"/>
  <c r="O981" i="9"/>
  <c r="N981" i="9"/>
  <c r="M981" i="9"/>
  <c r="L981" i="9"/>
  <c r="K981" i="9"/>
  <c r="S981" i="9" s="1"/>
  <c r="J981" i="9"/>
  <c r="I981" i="9"/>
  <c r="H981" i="9"/>
  <c r="G981" i="9"/>
  <c r="F981" i="9"/>
  <c r="E981" i="9"/>
  <c r="D981" i="9"/>
  <c r="C981" i="9"/>
  <c r="AB980" i="9"/>
  <c r="V980" i="9"/>
  <c r="U980" i="9"/>
  <c r="P980" i="9"/>
  <c r="O980" i="9"/>
  <c r="N980" i="9"/>
  <c r="M980" i="9"/>
  <c r="L980" i="9"/>
  <c r="K980" i="9"/>
  <c r="S980" i="9" s="1"/>
  <c r="J980" i="9"/>
  <c r="I980" i="9"/>
  <c r="H980" i="9"/>
  <c r="G980" i="9"/>
  <c r="F980" i="9"/>
  <c r="E980" i="9"/>
  <c r="D980" i="9"/>
  <c r="C980" i="9"/>
  <c r="AB979" i="9"/>
  <c r="V979" i="9"/>
  <c r="U979" i="9"/>
  <c r="P979" i="9"/>
  <c r="O979" i="9"/>
  <c r="N979" i="9"/>
  <c r="M979" i="9"/>
  <c r="L979" i="9"/>
  <c r="K979" i="9"/>
  <c r="S979" i="9" s="1"/>
  <c r="J979" i="9"/>
  <c r="I979" i="9"/>
  <c r="H979" i="9"/>
  <c r="G979" i="9"/>
  <c r="F979" i="9"/>
  <c r="E979" i="9"/>
  <c r="D979" i="9"/>
  <c r="C979" i="9"/>
  <c r="AB978" i="9"/>
  <c r="V978" i="9"/>
  <c r="U978" i="9"/>
  <c r="P978" i="9"/>
  <c r="O978" i="9"/>
  <c r="N978" i="9"/>
  <c r="M978" i="9"/>
  <c r="L978" i="9"/>
  <c r="K978" i="9"/>
  <c r="S978" i="9" s="1"/>
  <c r="J978" i="9"/>
  <c r="I978" i="9"/>
  <c r="H978" i="9"/>
  <c r="G978" i="9"/>
  <c r="F978" i="9"/>
  <c r="E978" i="9"/>
  <c r="D978" i="9"/>
  <c r="C978" i="9"/>
  <c r="AB977" i="9"/>
  <c r="V977" i="9"/>
  <c r="U977" i="9"/>
  <c r="P977" i="9"/>
  <c r="O977" i="9"/>
  <c r="N977" i="9"/>
  <c r="M977" i="9"/>
  <c r="L977" i="9"/>
  <c r="K977" i="9"/>
  <c r="S977" i="9" s="1"/>
  <c r="J977" i="9"/>
  <c r="I977" i="9"/>
  <c r="H977" i="9"/>
  <c r="G977" i="9"/>
  <c r="F977" i="9"/>
  <c r="E977" i="9"/>
  <c r="D977" i="9"/>
  <c r="C977" i="9"/>
  <c r="AB976" i="9"/>
  <c r="V976" i="9"/>
  <c r="U976" i="9"/>
  <c r="P976" i="9"/>
  <c r="O976" i="9"/>
  <c r="N976" i="9"/>
  <c r="M976" i="9"/>
  <c r="L976" i="9"/>
  <c r="K976" i="9"/>
  <c r="S976" i="9" s="1"/>
  <c r="J976" i="9"/>
  <c r="I976" i="9"/>
  <c r="H976" i="9"/>
  <c r="G976" i="9"/>
  <c r="F976" i="9"/>
  <c r="E976" i="9"/>
  <c r="D976" i="9"/>
  <c r="C976" i="9"/>
  <c r="AB975" i="9"/>
  <c r="V975" i="9"/>
  <c r="U975" i="9"/>
  <c r="P975" i="9"/>
  <c r="O975" i="9"/>
  <c r="N975" i="9"/>
  <c r="M975" i="9"/>
  <c r="L975" i="9"/>
  <c r="K975" i="9"/>
  <c r="S975" i="9" s="1"/>
  <c r="J975" i="9"/>
  <c r="I975" i="9"/>
  <c r="H975" i="9"/>
  <c r="G975" i="9"/>
  <c r="F975" i="9"/>
  <c r="E975" i="9"/>
  <c r="D975" i="9"/>
  <c r="C975" i="9"/>
  <c r="AB974" i="9"/>
  <c r="V974" i="9"/>
  <c r="U974" i="9"/>
  <c r="P974" i="9"/>
  <c r="O974" i="9"/>
  <c r="N974" i="9"/>
  <c r="M974" i="9"/>
  <c r="L974" i="9"/>
  <c r="K974" i="9"/>
  <c r="S974" i="9" s="1"/>
  <c r="J974" i="9"/>
  <c r="I974" i="9"/>
  <c r="H974" i="9"/>
  <c r="G974" i="9"/>
  <c r="F974" i="9"/>
  <c r="E974" i="9"/>
  <c r="D974" i="9"/>
  <c r="C974" i="9"/>
  <c r="AB973" i="9"/>
  <c r="V973" i="9"/>
  <c r="U973" i="9"/>
  <c r="P973" i="9"/>
  <c r="O973" i="9"/>
  <c r="N973" i="9"/>
  <c r="M973" i="9"/>
  <c r="L973" i="9"/>
  <c r="K973" i="9"/>
  <c r="S973" i="9" s="1"/>
  <c r="J973" i="9"/>
  <c r="I973" i="9"/>
  <c r="H973" i="9"/>
  <c r="G973" i="9"/>
  <c r="F973" i="9"/>
  <c r="E973" i="9"/>
  <c r="D973" i="9"/>
  <c r="C973" i="9"/>
  <c r="AB972" i="9"/>
  <c r="V972" i="9"/>
  <c r="U972" i="9"/>
  <c r="P972" i="9"/>
  <c r="O972" i="9"/>
  <c r="N972" i="9"/>
  <c r="M972" i="9"/>
  <c r="L972" i="9"/>
  <c r="K972" i="9"/>
  <c r="S972" i="9" s="1"/>
  <c r="J972" i="9"/>
  <c r="I972" i="9"/>
  <c r="H972" i="9"/>
  <c r="G972" i="9"/>
  <c r="F972" i="9"/>
  <c r="E972" i="9"/>
  <c r="D972" i="9"/>
  <c r="C972" i="9"/>
  <c r="AB971" i="9"/>
  <c r="V971" i="9"/>
  <c r="U971" i="9"/>
  <c r="P971" i="9"/>
  <c r="O971" i="9"/>
  <c r="N971" i="9"/>
  <c r="M971" i="9"/>
  <c r="L971" i="9"/>
  <c r="K971" i="9"/>
  <c r="S971" i="9" s="1"/>
  <c r="J971" i="9"/>
  <c r="I971" i="9"/>
  <c r="H971" i="9"/>
  <c r="G971" i="9"/>
  <c r="F971" i="9"/>
  <c r="E971" i="9"/>
  <c r="D971" i="9"/>
  <c r="C971" i="9"/>
  <c r="AB970" i="9"/>
  <c r="V970" i="9"/>
  <c r="U970" i="9"/>
  <c r="P970" i="9"/>
  <c r="O970" i="9"/>
  <c r="N970" i="9"/>
  <c r="M970" i="9"/>
  <c r="L970" i="9"/>
  <c r="K970" i="9"/>
  <c r="S970" i="9" s="1"/>
  <c r="J970" i="9"/>
  <c r="I970" i="9"/>
  <c r="H970" i="9"/>
  <c r="G970" i="9"/>
  <c r="F970" i="9"/>
  <c r="E970" i="9"/>
  <c r="D970" i="9"/>
  <c r="C970" i="9"/>
  <c r="AB968" i="9"/>
  <c r="V968" i="9"/>
  <c r="U968" i="9"/>
  <c r="P968" i="9"/>
  <c r="O968" i="9"/>
  <c r="N968" i="9"/>
  <c r="M968" i="9"/>
  <c r="L968" i="9"/>
  <c r="K968" i="9"/>
  <c r="J968" i="9"/>
  <c r="I968" i="9"/>
  <c r="H968" i="9"/>
  <c r="G968" i="9"/>
  <c r="F968" i="9"/>
  <c r="E968" i="9"/>
  <c r="D968" i="9"/>
  <c r="C968" i="9"/>
  <c r="AB967" i="9"/>
  <c r="V967" i="9"/>
  <c r="U967" i="9"/>
  <c r="P967" i="9"/>
  <c r="O967" i="9"/>
  <c r="N967" i="9"/>
  <c r="M967" i="9"/>
  <c r="L967" i="9"/>
  <c r="K967" i="9"/>
  <c r="S967" i="9" s="1"/>
  <c r="J967" i="9"/>
  <c r="I967" i="9"/>
  <c r="H967" i="9"/>
  <c r="G967" i="9"/>
  <c r="F967" i="9"/>
  <c r="E967" i="9"/>
  <c r="D967" i="9"/>
  <c r="C967" i="9"/>
  <c r="AB965" i="9"/>
  <c r="V965" i="9"/>
  <c r="U965" i="9"/>
  <c r="P965" i="9"/>
  <c r="O965" i="9"/>
  <c r="N965" i="9"/>
  <c r="M965" i="9"/>
  <c r="L965" i="9"/>
  <c r="K965" i="9"/>
  <c r="J965" i="9"/>
  <c r="I965" i="9"/>
  <c r="H965" i="9"/>
  <c r="G965" i="9"/>
  <c r="F965" i="9"/>
  <c r="E965" i="9"/>
  <c r="D965" i="9"/>
  <c r="C965" i="9"/>
  <c r="AB964" i="9"/>
  <c r="V964" i="9"/>
  <c r="U964" i="9"/>
  <c r="P964" i="9"/>
  <c r="O964" i="9"/>
  <c r="N964" i="9"/>
  <c r="M964" i="9"/>
  <c r="L964" i="9"/>
  <c r="K964" i="9"/>
  <c r="S964" i="9" s="1"/>
  <c r="J964" i="9"/>
  <c r="I964" i="9"/>
  <c r="H964" i="9"/>
  <c r="G964" i="9"/>
  <c r="F964" i="9"/>
  <c r="E964" i="9"/>
  <c r="D964" i="9"/>
  <c r="C964" i="9"/>
  <c r="AB963" i="9"/>
  <c r="V963" i="9"/>
  <c r="U963" i="9"/>
  <c r="P963" i="9"/>
  <c r="O963" i="9"/>
  <c r="N963" i="9"/>
  <c r="M963" i="9"/>
  <c r="L963" i="9"/>
  <c r="K963" i="9"/>
  <c r="S963" i="9" s="1"/>
  <c r="J963" i="9"/>
  <c r="I963" i="9"/>
  <c r="H963" i="9"/>
  <c r="G963" i="9"/>
  <c r="F963" i="9"/>
  <c r="E963" i="9"/>
  <c r="D963" i="9"/>
  <c r="C963" i="9"/>
  <c r="AB962" i="9"/>
  <c r="V962" i="9"/>
  <c r="U962" i="9"/>
  <c r="P962" i="9"/>
  <c r="O962" i="9"/>
  <c r="N962" i="9"/>
  <c r="M962" i="9"/>
  <c r="L962" i="9"/>
  <c r="K962" i="9"/>
  <c r="S962" i="9" s="1"/>
  <c r="J962" i="9"/>
  <c r="I962" i="9"/>
  <c r="H962" i="9"/>
  <c r="G962" i="9"/>
  <c r="F962" i="9"/>
  <c r="E962" i="9"/>
  <c r="D962" i="9"/>
  <c r="C962" i="9"/>
  <c r="AB961" i="9"/>
  <c r="V961" i="9"/>
  <c r="U961" i="9"/>
  <c r="P961" i="9"/>
  <c r="O961" i="9"/>
  <c r="N961" i="9"/>
  <c r="M961" i="9"/>
  <c r="L961" i="9"/>
  <c r="K961" i="9"/>
  <c r="S961" i="9" s="1"/>
  <c r="J961" i="9"/>
  <c r="I961" i="9"/>
  <c r="H961" i="9"/>
  <c r="G961" i="9"/>
  <c r="F961" i="9"/>
  <c r="E961" i="9"/>
  <c r="D961" i="9"/>
  <c r="C961" i="9"/>
  <c r="AB960" i="9"/>
  <c r="V960" i="9"/>
  <c r="U960" i="9"/>
  <c r="P960" i="9"/>
  <c r="O960" i="9"/>
  <c r="N960" i="9"/>
  <c r="M960" i="9"/>
  <c r="L960" i="9"/>
  <c r="K960" i="9"/>
  <c r="S960" i="9" s="1"/>
  <c r="J960" i="9"/>
  <c r="I960" i="9"/>
  <c r="H960" i="9"/>
  <c r="G960" i="9"/>
  <c r="F960" i="9"/>
  <c r="E960" i="9"/>
  <c r="D960" i="9"/>
  <c r="C960" i="9"/>
  <c r="AB959" i="9"/>
  <c r="V959" i="9"/>
  <c r="U959" i="9"/>
  <c r="P959" i="9"/>
  <c r="O959" i="9"/>
  <c r="N959" i="9"/>
  <c r="M959" i="9"/>
  <c r="L959" i="9"/>
  <c r="K959" i="9"/>
  <c r="S959" i="9" s="1"/>
  <c r="J959" i="9"/>
  <c r="I959" i="9"/>
  <c r="H959" i="9"/>
  <c r="G959" i="9"/>
  <c r="F959" i="9"/>
  <c r="E959" i="9"/>
  <c r="D959" i="9"/>
  <c r="C959" i="9"/>
  <c r="AB958" i="9"/>
  <c r="V958" i="9"/>
  <c r="U958" i="9"/>
  <c r="P958" i="9"/>
  <c r="O958" i="9"/>
  <c r="N958" i="9"/>
  <c r="M958" i="9"/>
  <c r="L958" i="9"/>
  <c r="K958" i="9"/>
  <c r="S958" i="9" s="1"/>
  <c r="J958" i="9"/>
  <c r="I958" i="9"/>
  <c r="H958" i="9"/>
  <c r="G958" i="9"/>
  <c r="F958" i="9"/>
  <c r="E958" i="9"/>
  <c r="D958" i="9"/>
  <c r="C958" i="9"/>
  <c r="AB957" i="9"/>
  <c r="V957" i="9"/>
  <c r="U957" i="9"/>
  <c r="P957" i="9"/>
  <c r="O957" i="9"/>
  <c r="N957" i="9"/>
  <c r="M957" i="9"/>
  <c r="L957" i="9"/>
  <c r="K957" i="9"/>
  <c r="S957" i="9" s="1"/>
  <c r="J957" i="9"/>
  <c r="I957" i="9"/>
  <c r="H957" i="9"/>
  <c r="G957" i="9"/>
  <c r="F957" i="9"/>
  <c r="E957" i="9"/>
  <c r="D957" i="9"/>
  <c r="C957" i="9"/>
  <c r="AB956" i="9"/>
  <c r="V956" i="9"/>
  <c r="U956" i="9"/>
  <c r="P956" i="9"/>
  <c r="O956" i="9"/>
  <c r="N956" i="9"/>
  <c r="M956" i="9"/>
  <c r="L956" i="9"/>
  <c r="K956" i="9"/>
  <c r="S956" i="9" s="1"/>
  <c r="J956" i="9"/>
  <c r="I956" i="9"/>
  <c r="H956" i="9"/>
  <c r="G956" i="9"/>
  <c r="F956" i="9"/>
  <c r="E956" i="9"/>
  <c r="D956" i="9"/>
  <c r="C956" i="9"/>
  <c r="AB955" i="9"/>
  <c r="V955" i="9"/>
  <c r="U955" i="9"/>
  <c r="P955" i="9"/>
  <c r="O955" i="9"/>
  <c r="N955" i="9"/>
  <c r="M955" i="9"/>
  <c r="L955" i="9"/>
  <c r="K955" i="9"/>
  <c r="S955" i="9" s="1"/>
  <c r="J955" i="9"/>
  <c r="I955" i="9"/>
  <c r="H955" i="9"/>
  <c r="G955" i="9"/>
  <c r="F955" i="9"/>
  <c r="E955" i="9"/>
  <c r="D955" i="9"/>
  <c r="C955" i="9"/>
  <c r="AB954" i="9"/>
  <c r="V954" i="9"/>
  <c r="U954" i="9"/>
  <c r="P954" i="9"/>
  <c r="O954" i="9"/>
  <c r="N954" i="9"/>
  <c r="M954" i="9"/>
  <c r="L954" i="9"/>
  <c r="K954" i="9"/>
  <c r="S954" i="9" s="1"/>
  <c r="J954" i="9"/>
  <c r="I954" i="9"/>
  <c r="H954" i="9"/>
  <c r="G954" i="9"/>
  <c r="F954" i="9"/>
  <c r="E954" i="9"/>
  <c r="D954" i="9"/>
  <c r="C954" i="9"/>
  <c r="AB953" i="9"/>
  <c r="V953" i="9"/>
  <c r="U953" i="9"/>
  <c r="P953" i="9"/>
  <c r="O953" i="9"/>
  <c r="N953" i="9"/>
  <c r="M953" i="9"/>
  <c r="L953" i="9"/>
  <c r="K953" i="9"/>
  <c r="S953" i="9" s="1"/>
  <c r="J953" i="9"/>
  <c r="I953" i="9"/>
  <c r="H953" i="9"/>
  <c r="G953" i="9"/>
  <c r="F953" i="9"/>
  <c r="E953" i="9"/>
  <c r="D953" i="9"/>
  <c r="C953" i="9"/>
  <c r="AB952" i="9"/>
  <c r="V952" i="9"/>
  <c r="U952" i="9"/>
  <c r="P952" i="9"/>
  <c r="O952" i="9"/>
  <c r="N952" i="9"/>
  <c r="M952" i="9"/>
  <c r="L952" i="9"/>
  <c r="K952" i="9"/>
  <c r="S952" i="9" s="1"/>
  <c r="J952" i="9"/>
  <c r="I952" i="9"/>
  <c r="H952" i="9"/>
  <c r="G952" i="9"/>
  <c r="F952" i="9"/>
  <c r="E952" i="9"/>
  <c r="D952" i="9"/>
  <c r="C952" i="9"/>
  <c r="AB951" i="9"/>
  <c r="V951" i="9"/>
  <c r="U951" i="9"/>
  <c r="P951" i="9"/>
  <c r="O951" i="9"/>
  <c r="N951" i="9"/>
  <c r="M951" i="9"/>
  <c r="L951" i="9"/>
  <c r="K951" i="9"/>
  <c r="S951" i="9" s="1"/>
  <c r="J951" i="9"/>
  <c r="I951" i="9"/>
  <c r="H951" i="9"/>
  <c r="G951" i="9"/>
  <c r="F951" i="9"/>
  <c r="E951" i="9"/>
  <c r="D951" i="9"/>
  <c r="C951" i="9"/>
  <c r="AB950" i="9"/>
  <c r="V950" i="9"/>
  <c r="U950" i="9"/>
  <c r="P950" i="9"/>
  <c r="O950" i="9"/>
  <c r="N950" i="9"/>
  <c r="M950" i="9"/>
  <c r="L950" i="9"/>
  <c r="K950" i="9"/>
  <c r="S950" i="9" s="1"/>
  <c r="J950" i="9"/>
  <c r="I950" i="9"/>
  <c r="H950" i="9"/>
  <c r="G950" i="9"/>
  <c r="F950" i="9"/>
  <c r="E950" i="9"/>
  <c r="D950" i="9"/>
  <c r="C950" i="9"/>
  <c r="AB949" i="9"/>
  <c r="V949" i="9"/>
  <c r="U949" i="9"/>
  <c r="P949" i="9"/>
  <c r="O949" i="9"/>
  <c r="N949" i="9"/>
  <c r="M949" i="9"/>
  <c r="L949" i="9"/>
  <c r="K949" i="9"/>
  <c r="S949" i="9" s="1"/>
  <c r="J949" i="9"/>
  <c r="I949" i="9"/>
  <c r="H949" i="9"/>
  <c r="G949" i="9"/>
  <c r="F949" i="9"/>
  <c r="E949" i="9"/>
  <c r="D949" i="9"/>
  <c r="C949" i="9"/>
  <c r="AB947" i="9"/>
  <c r="V947" i="9"/>
  <c r="U947" i="9"/>
  <c r="P947" i="9"/>
  <c r="O947" i="9"/>
  <c r="N947" i="9"/>
  <c r="M947" i="9"/>
  <c r="L947" i="9"/>
  <c r="K947" i="9"/>
  <c r="S948" i="9" s="1"/>
  <c r="J947" i="9"/>
  <c r="I947" i="9"/>
  <c r="H947" i="9"/>
  <c r="G947" i="9"/>
  <c r="F947" i="9"/>
  <c r="E947" i="9"/>
  <c r="D947" i="9"/>
  <c r="C947" i="9"/>
  <c r="AB945" i="9"/>
  <c r="V945" i="9"/>
  <c r="U945" i="9"/>
  <c r="P945" i="9"/>
  <c r="O945" i="9"/>
  <c r="N945" i="9"/>
  <c r="M945" i="9"/>
  <c r="L945" i="9"/>
  <c r="K945" i="9"/>
  <c r="S946" i="9" s="1"/>
  <c r="J945" i="9"/>
  <c r="I945" i="9"/>
  <c r="H945" i="9"/>
  <c r="G945" i="9"/>
  <c r="F945" i="9"/>
  <c r="E945" i="9"/>
  <c r="D945" i="9"/>
  <c r="C945" i="9"/>
  <c r="AB944" i="9"/>
  <c r="V944" i="9"/>
  <c r="U944" i="9"/>
  <c r="P944" i="9"/>
  <c r="O944" i="9"/>
  <c r="N944" i="9"/>
  <c r="M944" i="9"/>
  <c r="L944" i="9"/>
  <c r="K944" i="9"/>
  <c r="S944" i="9" s="1"/>
  <c r="J944" i="9"/>
  <c r="I944" i="9"/>
  <c r="H944" i="9"/>
  <c r="G944" i="9"/>
  <c r="F944" i="9"/>
  <c r="E944" i="9"/>
  <c r="D944" i="9"/>
  <c r="C944" i="9"/>
  <c r="AB943" i="9"/>
  <c r="V943" i="9"/>
  <c r="U943" i="9"/>
  <c r="P943" i="9"/>
  <c r="O943" i="9"/>
  <c r="N943" i="9"/>
  <c r="M943" i="9"/>
  <c r="L943" i="9"/>
  <c r="K943" i="9"/>
  <c r="S943" i="9" s="1"/>
  <c r="J943" i="9"/>
  <c r="I943" i="9"/>
  <c r="H943" i="9"/>
  <c r="G943" i="9"/>
  <c r="F943" i="9"/>
  <c r="E943" i="9"/>
  <c r="D943" i="9"/>
  <c r="C943" i="9"/>
  <c r="AB942" i="9"/>
  <c r="V942" i="9"/>
  <c r="U942" i="9"/>
  <c r="P942" i="9"/>
  <c r="O942" i="9"/>
  <c r="N942" i="9"/>
  <c r="M942" i="9"/>
  <c r="L942" i="9"/>
  <c r="K942" i="9"/>
  <c r="S942" i="9" s="1"/>
  <c r="J942" i="9"/>
  <c r="I942" i="9"/>
  <c r="H942" i="9"/>
  <c r="G942" i="9"/>
  <c r="F942" i="9"/>
  <c r="E942" i="9"/>
  <c r="D942" i="9"/>
  <c r="C942" i="9"/>
  <c r="AB941" i="9"/>
  <c r="V941" i="9"/>
  <c r="U941" i="9"/>
  <c r="P941" i="9"/>
  <c r="O941" i="9"/>
  <c r="N941" i="9"/>
  <c r="M941" i="9"/>
  <c r="L941" i="9"/>
  <c r="K941" i="9"/>
  <c r="S941" i="9" s="1"/>
  <c r="J941" i="9"/>
  <c r="I941" i="9"/>
  <c r="H941" i="9"/>
  <c r="G941" i="9"/>
  <c r="F941" i="9"/>
  <c r="E941" i="9"/>
  <c r="D941" i="9"/>
  <c r="C941" i="9"/>
  <c r="AB940" i="9"/>
  <c r="V940" i="9"/>
  <c r="U940" i="9"/>
  <c r="P940" i="9"/>
  <c r="O940" i="9"/>
  <c r="N940" i="9"/>
  <c r="M940" i="9"/>
  <c r="L940" i="9"/>
  <c r="K940" i="9"/>
  <c r="S940" i="9" s="1"/>
  <c r="J940" i="9"/>
  <c r="I940" i="9"/>
  <c r="H940" i="9"/>
  <c r="G940" i="9"/>
  <c r="F940" i="9"/>
  <c r="E940" i="9"/>
  <c r="D940" i="9"/>
  <c r="C940" i="9"/>
  <c r="AB939" i="9"/>
  <c r="V939" i="9"/>
  <c r="U939" i="9"/>
  <c r="P939" i="9"/>
  <c r="O939" i="9"/>
  <c r="N939" i="9"/>
  <c r="M939" i="9"/>
  <c r="L939" i="9"/>
  <c r="K939" i="9"/>
  <c r="S939" i="9" s="1"/>
  <c r="J939" i="9"/>
  <c r="I939" i="9"/>
  <c r="H939" i="9"/>
  <c r="G939" i="9"/>
  <c r="F939" i="9"/>
  <c r="E939" i="9"/>
  <c r="D939" i="9"/>
  <c r="C939" i="9"/>
  <c r="AB938" i="9"/>
  <c r="V938" i="9"/>
  <c r="U938" i="9"/>
  <c r="P938" i="9"/>
  <c r="O938" i="9"/>
  <c r="N938" i="9"/>
  <c r="M938" i="9"/>
  <c r="L938" i="9"/>
  <c r="K938" i="9"/>
  <c r="S938" i="9" s="1"/>
  <c r="J938" i="9"/>
  <c r="I938" i="9"/>
  <c r="H938" i="9"/>
  <c r="G938" i="9"/>
  <c r="F938" i="9"/>
  <c r="E938" i="9"/>
  <c r="D938" i="9"/>
  <c r="C938" i="9"/>
  <c r="AB937" i="9"/>
  <c r="V937" i="9"/>
  <c r="U937" i="9"/>
  <c r="P937" i="9"/>
  <c r="O937" i="9"/>
  <c r="N937" i="9"/>
  <c r="M937" i="9"/>
  <c r="L937" i="9"/>
  <c r="K937" i="9"/>
  <c r="S937" i="9" s="1"/>
  <c r="J937" i="9"/>
  <c r="I937" i="9"/>
  <c r="H937" i="9"/>
  <c r="G937" i="9"/>
  <c r="F937" i="9"/>
  <c r="E937" i="9"/>
  <c r="D937" i="9"/>
  <c r="C937" i="9"/>
  <c r="AB936" i="9"/>
  <c r="V936" i="9"/>
  <c r="U936" i="9"/>
  <c r="P936" i="9"/>
  <c r="O936" i="9"/>
  <c r="N936" i="9"/>
  <c r="M936" i="9"/>
  <c r="L936" i="9"/>
  <c r="K936" i="9"/>
  <c r="S936" i="9" s="1"/>
  <c r="J936" i="9"/>
  <c r="I936" i="9"/>
  <c r="H936" i="9"/>
  <c r="G936" i="9"/>
  <c r="F936" i="9"/>
  <c r="E936" i="9"/>
  <c r="D936" i="9"/>
  <c r="C936" i="9"/>
  <c r="AB935" i="9"/>
  <c r="V935" i="9"/>
  <c r="U935" i="9"/>
  <c r="P935" i="9"/>
  <c r="O935" i="9"/>
  <c r="N935" i="9"/>
  <c r="M935" i="9"/>
  <c r="L935" i="9"/>
  <c r="K935" i="9"/>
  <c r="S935" i="9" s="1"/>
  <c r="J935" i="9"/>
  <c r="I935" i="9"/>
  <c r="H935" i="9"/>
  <c r="G935" i="9"/>
  <c r="F935" i="9"/>
  <c r="E935" i="9"/>
  <c r="D935" i="9"/>
  <c r="C935" i="9"/>
  <c r="AB934" i="9"/>
  <c r="V934" i="9"/>
  <c r="U934" i="9"/>
  <c r="P934" i="9"/>
  <c r="O934" i="9"/>
  <c r="N934" i="9"/>
  <c r="M934" i="9"/>
  <c r="L934" i="9"/>
  <c r="K934" i="9"/>
  <c r="S934" i="9" s="1"/>
  <c r="J934" i="9"/>
  <c r="I934" i="9"/>
  <c r="H934" i="9"/>
  <c r="G934" i="9"/>
  <c r="F934" i="9"/>
  <c r="E934" i="9"/>
  <c r="D934" i="9"/>
  <c r="C934" i="9"/>
  <c r="AB933" i="9"/>
  <c r="V933" i="9"/>
  <c r="U933" i="9"/>
  <c r="P933" i="9"/>
  <c r="O933" i="9"/>
  <c r="N933" i="9"/>
  <c r="M933" i="9"/>
  <c r="L933" i="9"/>
  <c r="K933" i="9"/>
  <c r="S933" i="9" s="1"/>
  <c r="J933" i="9"/>
  <c r="I933" i="9"/>
  <c r="H933" i="9"/>
  <c r="G933" i="9"/>
  <c r="F933" i="9"/>
  <c r="E933" i="9"/>
  <c r="D933" i="9"/>
  <c r="C933" i="9"/>
  <c r="AB932" i="9"/>
  <c r="V932" i="9"/>
  <c r="U932" i="9"/>
  <c r="P932" i="9"/>
  <c r="O932" i="9"/>
  <c r="N932" i="9"/>
  <c r="M932" i="9"/>
  <c r="L932" i="9"/>
  <c r="K932" i="9"/>
  <c r="S932" i="9" s="1"/>
  <c r="J932" i="9"/>
  <c r="I932" i="9"/>
  <c r="H932" i="9"/>
  <c r="G932" i="9"/>
  <c r="F932" i="9"/>
  <c r="E932" i="9"/>
  <c r="D932" i="9"/>
  <c r="C932" i="9"/>
  <c r="AB931" i="9"/>
  <c r="V931" i="9"/>
  <c r="U931" i="9"/>
  <c r="P931" i="9"/>
  <c r="O931" i="9"/>
  <c r="N931" i="9"/>
  <c r="M931" i="9"/>
  <c r="L931" i="9"/>
  <c r="K931" i="9"/>
  <c r="S931" i="9" s="1"/>
  <c r="J931" i="9"/>
  <c r="I931" i="9"/>
  <c r="H931" i="9"/>
  <c r="G931" i="9"/>
  <c r="F931" i="9"/>
  <c r="E931" i="9"/>
  <c r="D931" i="9"/>
  <c r="C931" i="9"/>
  <c r="AB930" i="9"/>
  <c r="V930" i="9"/>
  <c r="U930" i="9"/>
  <c r="P930" i="9"/>
  <c r="O930" i="9"/>
  <c r="N930" i="9"/>
  <c r="M930" i="9"/>
  <c r="L930" i="9"/>
  <c r="K930" i="9"/>
  <c r="S930" i="9" s="1"/>
  <c r="J930" i="9"/>
  <c r="I930" i="9"/>
  <c r="H930" i="9"/>
  <c r="G930" i="9"/>
  <c r="F930" i="9"/>
  <c r="E930" i="9"/>
  <c r="D930" i="9"/>
  <c r="C930" i="9"/>
  <c r="AB929" i="9"/>
  <c r="V929" i="9"/>
  <c r="U929" i="9"/>
  <c r="P929" i="9"/>
  <c r="O929" i="9"/>
  <c r="N929" i="9"/>
  <c r="M929" i="9"/>
  <c r="L929" i="9"/>
  <c r="K929" i="9"/>
  <c r="S929" i="9" s="1"/>
  <c r="J929" i="9"/>
  <c r="I929" i="9"/>
  <c r="H929" i="9"/>
  <c r="G929" i="9"/>
  <c r="F929" i="9"/>
  <c r="E929" i="9"/>
  <c r="D929" i="9"/>
  <c r="C929" i="9"/>
  <c r="AB928" i="9"/>
  <c r="V928" i="9"/>
  <c r="U928" i="9"/>
  <c r="P928" i="9"/>
  <c r="O928" i="9"/>
  <c r="N928" i="9"/>
  <c r="M928" i="9"/>
  <c r="L928" i="9"/>
  <c r="K928" i="9"/>
  <c r="S928" i="9" s="1"/>
  <c r="J928" i="9"/>
  <c r="I928" i="9"/>
  <c r="H928" i="9"/>
  <c r="G928" i="9"/>
  <c r="F928" i="9"/>
  <c r="E928" i="9"/>
  <c r="D928" i="9"/>
  <c r="C928" i="9"/>
  <c r="AB927" i="9"/>
  <c r="V927" i="9"/>
  <c r="U927" i="9"/>
  <c r="P927" i="9"/>
  <c r="O927" i="9"/>
  <c r="N927" i="9"/>
  <c r="M927" i="9"/>
  <c r="L927" i="9"/>
  <c r="K927" i="9"/>
  <c r="S927" i="9" s="1"/>
  <c r="J927" i="9"/>
  <c r="I927" i="9"/>
  <c r="H927" i="9"/>
  <c r="G927" i="9"/>
  <c r="F927" i="9"/>
  <c r="E927" i="9"/>
  <c r="D927" i="9"/>
  <c r="C927" i="9"/>
  <c r="AB926" i="9"/>
  <c r="V926" i="9"/>
  <c r="U926" i="9"/>
  <c r="P926" i="9"/>
  <c r="O926" i="9"/>
  <c r="N926" i="9"/>
  <c r="M926" i="9"/>
  <c r="L926" i="9"/>
  <c r="K926" i="9"/>
  <c r="S926" i="9" s="1"/>
  <c r="J926" i="9"/>
  <c r="I926" i="9"/>
  <c r="H926" i="9"/>
  <c r="G926" i="9"/>
  <c r="F926" i="9"/>
  <c r="E926" i="9"/>
  <c r="D926" i="9"/>
  <c r="C926" i="9"/>
  <c r="AB925" i="9"/>
  <c r="V925" i="9"/>
  <c r="U925" i="9"/>
  <c r="P925" i="9"/>
  <c r="O925" i="9"/>
  <c r="N925" i="9"/>
  <c r="M925" i="9"/>
  <c r="L925" i="9"/>
  <c r="K925" i="9"/>
  <c r="S925" i="9" s="1"/>
  <c r="J925" i="9"/>
  <c r="I925" i="9"/>
  <c r="H925" i="9"/>
  <c r="G925" i="9"/>
  <c r="F925" i="9"/>
  <c r="E925" i="9"/>
  <c r="D925" i="9"/>
  <c r="C925" i="9"/>
  <c r="AB924" i="9"/>
  <c r="V924" i="9"/>
  <c r="U924" i="9"/>
  <c r="P924" i="9"/>
  <c r="O924" i="9"/>
  <c r="N924" i="9"/>
  <c r="M924" i="9"/>
  <c r="L924" i="9"/>
  <c r="K924" i="9"/>
  <c r="S924" i="9" s="1"/>
  <c r="J924" i="9"/>
  <c r="I924" i="9"/>
  <c r="H924" i="9"/>
  <c r="G924" i="9"/>
  <c r="F924" i="9"/>
  <c r="E924" i="9"/>
  <c r="D924" i="9"/>
  <c r="C924" i="9"/>
  <c r="AB923" i="9"/>
  <c r="V923" i="9"/>
  <c r="U923" i="9"/>
  <c r="P923" i="9"/>
  <c r="O923" i="9"/>
  <c r="N923" i="9"/>
  <c r="M923" i="9"/>
  <c r="L923" i="9"/>
  <c r="K923" i="9"/>
  <c r="S923" i="9" s="1"/>
  <c r="J923" i="9"/>
  <c r="I923" i="9"/>
  <c r="H923" i="9"/>
  <c r="G923" i="9"/>
  <c r="F923" i="9"/>
  <c r="E923" i="9"/>
  <c r="D923" i="9"/>
  <c r="C923" i="9"/>
  <c r="AB922" i="9"/>
  <c r="V922" i="9"/>
  <c r="U922" i="9"/>
  <c r="P922" i="9"/>
  <c r="O922" i="9"/>
  <c r="N922" i="9"/>
  <c r="M922" i="9"/>
  <c r="L922" i="9"/>
  <c r="K922" i="9"/>
  <c r="S922" i="9" s="1"/>
  <c r="J922" i="9"/>
  <c r="I922" i="9"/>
  <c r="H922" i="9"/>
  <c r="G922" i="9"/>
  <c r="F922" i="9"/>
  <c r="E922" i="9"/>
  <c r="D922" i="9"/>
  <c r="C922" i="9"/>
  <c r="AB921" i="9"/>
  <c r="V921" i="9"/>
  <c r="U921" i="9"/>
  <c r="P921" i="9"/>
  <c r="O921" i="9"/>
  <c r="N921" i="9"/>
  <c r="M921" i="9"/>
  <c r="L921" i="9"/>
  <c r="K921" i="9"/>
  <c r="S921" i="9" s="1"/>
  <c r="J921" i="9"/>
  <c r="I921" i="9"/>
  <c r="H921" i="9"/>
  <c r="G921" i="9"/>
  <c r="F921" i="9"/>
  <c r="E921" i="9"/>
  <c r="D921" i="9"/>
  <c r="C921" i="9"/>
  <c r="AB920" i="9"/>
  <c r="V920" i="9"/>
  <c r="U920" i="9"/>
  <c r="P920" i="9"/>
  <c r="O920" i="9"/>
  <c r="N920" i="9"/>
  <c r="M920" i="9"/>
  <c r="L920" i="9"/>
  <c r="K920" i="9"/>
  <c r="S920" i="9" s="1"/>
  <c r="J920" i="9"/>
  <c r="I920" i="9"/>
  <c r="H920" i="9"/>
  <c r="G920" i="9"/>
  <c r="F920" i="9"/>
  <c r="E920" i="9"/>
  <c r="D920" i="9"/>
  <c r="C920" i="9"/>
  <c r="AB919" i="9"/>
  <c r="V919" i="9"/>
  <c r="U919" i="9"/>
  <c r="P919" i="9"/>
  <c r="O919" i="9"/>
  <c r="N919" i="9"/>
  <c r="M919" i="9"/>
  <c r="L919" i="9"/>
  <c r="K919" i="9"/>
  <c r="S919" i="9" s="1"/>
  <c r="J919" i="9"/>
  <c r="I919" i="9"/>
  <c r="H919" i="9"/>
  <c r="G919" i="9"/>
  <c r="F919" i="9"/>
  <c r="E919" i="9"/>
  <c r="D919" i="9"/>
  <c r="C919" i="9"/>
  <c r="AB918" i="9"/>
  <c r="V918" i="9"/>
  <c r="U918" i="9"/>
  <c r="P918" i="9"/>
  <c r="O918" i="9"/>
  <c r="N918" i="9"/>
  <c r="M918" i="9"/>
  <c r="L918" i="9"/>
  <c r="K918" i="9"/>
  <c r="S918" i="9" s="1"/>
  <c r="J918" i="9"/>
  <c r="I918" i="9"/>
  <c r="H918" i="9"/>
  <c r="G918" i="9"/>
  <c r="F918" i="9"/>
  <c r="E918" i="9"/>
  <c r="D918" i="9"/>
  <c r="C918" i="9"/>
  <c r="AB917" i="9"/>
  <c r="V917" i="9"/>
  <c r="U917" i="9"/>
  <c r="P917" i="9"/>
  <c r="O917" i="9"/>
  <c r="N917" i="9"/>
  <c r="M917" i="9"/>
  <c r="L917" i="9"/>
  <c r="K917" i="9"/>
  <c r="S917" i="9" s="1"/>
  <c r="J917" i="9"/>
  <c r="I917" i="9"/>
  <c r="H917" i="9"/>
  <c r="G917" i="9"/>
  <c r="F917" i="9"/>
  <c r="E917" i="9"/>
  <c r="D917" i="9"/>
  <c r="C917" i="9"/>
  <c r="AB915" i="9"/>
  <c r="V915" i="9"/>
  <c r="U915" i="9"/>
  <c r="P915" i="9"/>
  <c r="O915" i="9"/>
  <c r="N915" i="9"/>
  <c r="M915" i="9"/>
  <c r="L915" i="9"/>
  <c r="K915" i="9"/>
  <c r="J915" i="9"/>
  <c r="I915" i="9"/>
  <c r="H915" i="9"/>
  <c r="G915" i="9"/>
  <c r="E915" i="9"/>
  <c r="D915" i="9"/>
  <c r="C915" i="9"/>
  <c r="AB914" i="9"/>
  <c r="V914" i="9"/>
  <c r="U914" i="9"/>
  <c r="P914" i="9"/>
  <c r="O914" i="9"/>
  <c r="N914" i="9"/>
  <c r="M914" i="9"/>
  <c r="L914" i="9"/>
  <c r="K914" i="9"/>
  <c r="S914" i="9" s="1"/>
  <c r="J914" i="9"/>
  <c r="I914" i="9"/>
  <c r="H914" i="9"/>
  <c r="G914" i="9"/>
  <c r="F914" i="9"/>
  <c r="E914" i="9"/>
  <c r="D914" i="9"/>
  <c r="C914" i="9"/>
  <c r="AB913" i="9"/>
  <c r="V913" i="9"/>
  <c r="U913" i="9"/>
  <c r="P913" i="9"/>
  <c r="O913" i="9"/>
  <c r="N913" i="9"/>
  <c r="M913" i="9"/>
  <c r="L913" i="9"/>
  <c r="K913" i="9"/>
  <c r="S913" i="9" s="1"/>
  <c r="J913" i="9"/>
  <c r="I913" i="9"/>
  <c r="H913" i="9"/>
  <c r="G913" i="9"/>
  <c r="F913" i="9"/>
  <c r="E913" i="9"/>
  <c r="D913" i="9"/>
  <c r="C913" i="9"/>
  <c r="AB912" i="9"/>
  <c r="V912" i="9"/>
  <c r="U912" i="9"/>
  <c r="P912" i="9"/>
  <c r="O912" i="9"/>
  <c r="N912" i="9"/>
  <c r="M912" i="9"/>
  <c r="L912" i="9"/>
  <c r="K912" i="9"/>
  <c r="S912" i="9" s="1"/>
  <c r="J912" i="9"/>
  <c r="I912" i="9"/>
  <c r="H912" i="9"/>
  <c r="G912" i="9"/>
  <c r="F912" i="9"/>
  <c r="E912" i="9"/>
  <c r="D912" i="9"/>
  <c r="C912" i="9"/>
  <c r="AB911" i="9"/>
  <c r="V911" i="9"/>
  <c r="U911" i="9"/>
  <c r="P911" i="9"/>
  <c r="O911" i="9"/>
  <c r="N911" i="9"/>
  <c r="M911" i="9"/>
  <c r="L911" i="9"/>
  <c r="K911" i="9"/>
  <c r="S911" i="9" s="1"/>
  <c r="J911" i="9"/>
  <c r="I911" i="9"/>
  <c r="H911" i="9"/>
  <c r="G911" i="9"/>
  <c r="F911" i="9"/>
  <c r="E911" i="9"/>
  <c r="D911" i="9"/>
  <c r="C911" i="9"/>
  <c r="AB910" i="9"/>
  <c r="V910" i="9"/>
  <c r="U910" i="9"/>
  <c r="P910" i="9"/>
  <c r="O910" i="9"/>
  <c r="N910" i="9"/>
  <c r="M910" i="9"/>
  <c r="L910" i="9"/>
  <c r="K910" i="9"/>
  <c r="S910" i="9" s="1"/>
  <c r="J910" i="9"/>
  <c r="I910" i="9"/>
  <c r="H910" i="9"/>
  <c r="G910" i="9"/>
  <c r="F910" i="9"/>
  <c r="E910" i="9"/>
  <c r="D910" i="9"/>
  <c r="C910" i="9"/>
  <c r="AB909" i="9"/>
  <c r="V909" i="9"/>
  <c r="U909" i="9"/>
  <c r="P909" i="9"/>
  <c r="O909" i="9"/>
  <c r="N909" i="9"/>
  <c r="M909" i="9"/>
  <c r="L909" i="9"/>
  <c r="K909" i="9"/>
  <c r="S909" i="9" s="1"/>
  <c r="J909" i="9"/>
  <c r="I909" i="9"/>
  <c r="H909" i="9"/>
  <c r="G909" i="9"/>
  <c r="F909" i="9"/>
  <c r="E909" i="9"/>
  <c r="D909" i="9"/>
  <c r="C909" i="9"/>
  <c r="AB908" i="9"/>
  <c r="V908" i="9"/>
  <c r="U908" i="9"/>
  <c r="P908" i="9"/>
  <c r="O908" i="9"/>
  <c r="N908" i="9"/>
  <c r="M908" i="9"/>
  <c r="L908" i="9"/>
  <c r="K908" i="9"/>
  <c r="S908" i="9" s="1"/>
  <c r="J908" i="9"/>
  <c r="I908" i="9"/>
  <c r="H908" i="9"/>
  <c r="G908" i="9"/>
  <c r="F908" i="9"/>
  <c r="E908" i="9"/>
  <c r="D908" i="9"/>
  <c r="C908" i="9"/>
  <c r="AB907" i="9"/>
  <c r="V907" i="9"/>
  <c r="U907" i="9"/>
  <c r="P907" i="9"/>
  <c r="O907" i="9"/>
  <c r="N907" i="9"/>
  <c r="M907" i="9"/>
  <c r="L907" i="9"/>
  <c r="K907" i="9"/>
  <c r="S907" i="9" s="1"/>
  <c r="J907" i="9"/>
  <c r="I907" i="9"/>
  <c r="H907" i="9"/>
  <c r="G907" i="9"/>
  <c r="F907" i="9"/>
  <c r="E907" i="9"/>
  <c r="D907" i="9"/>
  <c r="C907" i="9"/>
  <c r="AB906" i="9"/>
  <c r="V906" i="9"/>
  <c r="U906" i="9"/>
  <c r="P906" i="9"/>
  <c r="O906" i="9"/>
  <c r="N906" i="9"/>
  <c r="M906" i="9"/>
  <c r="L906" i="9"/>
  <c r="K906" i="9"/>
  <c r="S906" i="9" s="1"/>
  <c r="J906" i="9"/>
  <c r="I906" i="9"/>
  <c r="H906" i="9"/>
  <c r="G906" i="9"/>
  <c r="F906" i="9"/>
  <c r="E906" i="9"/>
  <c r="D906" i="9"/>
  <c r="C906" i="9"/>
  <c r="V905" i="9"/>
  <c r="U905" i="9"/>
  <c r="P905" i="9"/>
  <c r="O905" i="9"/>
  <c r="N905" i="9"/>
  <c r="M905" i="9"/>
  <c r="L905" i="9"/>
  <c r="K905" i="9"/>
  <c r="J905" i="9"/>
  <c r="I905" i="9"/>
  <c r="H905" i="9"/>
  <c r="G905" i="9"/>
  <c r="F905" i="9"/>
  <c r="E905" i="9"/>
  <c r="D905" i="9"/>
  <c r="C905" i="9"/>
  <c r="AB904" i="9"/>
  <c r="V904" i="9"/>
  <c r="U904" i="9"/>
  <c r="P904" i="9"/>
  <c r="O904" i="9"/>
  <c r="N904" i="9"/>
  <c r="M904" i="9"/>
  <c r="L904" i="9"/>
  <c r="K904" i="9"/>
  <c r="J904" i="9"/>
  <c r="I904" i="9"/>
  <c r="H904" i="9"/>
  <c r="G904" i="9"/>
  <c r="F904" i="9"/>
  <c r="E904" i="9"/>
  <c r="D904" i="9"/>
  <c r="C904" i="9"/>
  <c r="V903" i="9"/>
  <c r="U903" i="9"/>
  <c r="P903" i="9"/>
  <c r="O903" i="9"/>
  <c r="N903" i="9"/>
  <c r="M903" i="9"/>
  <c r="L903" i="9"/>
  <c r="K903" i="9"/>
  <c r="J903" i="9"/>
  <c r="I903" i="9"/>
  <c r="H903" i="9"/>
  <c r="G903" i="9"/>
  <c r="F903" i="9"/>
  <c r="E903" i="9"/>
  <c r="D903" i="9"/>
  <c r="C903" i="9"/>
  <c r="AB902" i="9"/>
  <c r="V902" i="9"/>
  <c r="U902" i="9"/>
  <c r="P902" i="9"/>
  <c r="O902" i="9"/>
  <c r="N902" i="9"/>
  <c r="M902" i="9"/>
  <c r="L902" i="9"/>
  <c r="K902" i="9"/>
  <c r="S903" i="9" s="1"/>
  <c r="J902" i="9"/>
  <c r="I902" i="9"/>
  <c r="H902" i="9"/>
  <c r="G902" i="9"/>
  <c r="F902" i="9"/>
  <c r="E902" i="9"/>
  <c r="D902" i="9"/>
  <c r="C902" i="9"/>
  <c r="AB901" i="9"/>
  <c r="V901" i="9"/>
  <c r="U901" i="9"/>
  <c r="P901" i="9"/>
  <c r="O901" i="9"/>
  <c r="N901" i="9"/>
  <c r="M901" i="9"/>
  <c r="L901" i="9"/>
  <c r="K901" i="9"/>
  <c r="S901" i="9" s="1"/>
  <c r="J901" i="9"/>
  <c r="I901" i="9"/>
  <c r="H901" i="9"/>
  <c r="G901" i="9"/>
  <c r="F901" i="9"/>
  <c r="E901" i="9"/>
  <c r="D901" i="9"/>
  <c r="C901" i="9"/>
  <c r="AB900" i="9"/>
  <c r="V900" i="9"/>
  <c r="U900" i="9"/>
  <c r="P900" i="9"/>
  <c r="O900" i="9"/>
  <c r="N900" i="9"/>
  <c r="M900" i="9"/>
  <c r="L900" i="9"/>
  <c r="K900" i="9"/>
  <c r="S900" i="9" s="1"/>
  <c r="J900" i="9"/>
  <c r="I900" i="9"/>
  <c r="H900" i="9"/>
  <c r="G900" i="9"/>
  <c r="F900" i="9"/>
  <c r="E900" i="9"/>
  <c r="D900" i="9"/>
  <c r="C900" i="9"/>
  <c r="AB899" i="9"/>
  <c r="V899" i="9"/>
  <c r="U899" i="9"/>
  <c r="P899" i="9"/>
  <c r="O899" i="9"/>
  <c r="N899" i="9"/>
  <c r="M899" i="9"/>
  <c r="L899" i="9"/>
  <c r="K899" i="9"/>
  <c r="S899" i="9" s="1"/>
  <c r="J899" i="9"/>
  <c r="I899" i="9"/>
  <c r="H899" i="9"/>
  <c r="G899" i="9"/>
  <c r="F899" i="9"/>
  <c r="E899" i="9"/>
  <c r="D899" i="9"/>
  <c r="C899" i="9"/>
  <c r="AB897" i="9"/>
  <c r="V897" i="9"/>
  <c r="U897" i="9"/>
  <c r="P897" i="9"/>
  <c r="O897" i="9"/>
  <c r="N897" i="9"/>
  <c r="M897" i="9"/>
  <c r="L897" i="9"/>
  <c r="K897" i="9"/>
  <c r="J897" i="9"/>
  <c r="I897" i="9"/>
  <c r="H897" i="9"/>
  <c r="G897" i="9"/>
  <c r="F897" i="9"/>
  <c r="E897" i="9"/>
  <c r="D897" i="9"/>
  <c r="C897" i="9"/>
  <c r="AB896" i="9"/>
  <c r="V896" i="9"/>
  <c r="U896" i="9"/>
  <c r="P896" i="9"/>
  <c r="O896" i="9"/>
  <c r="N896" i="9"/>
  <c r="M896" i="9"/>
  <c r="L896" i="9"/>
  <c r="K896" i="9"/>
  <c r="S896" i="9" s="1"/>
  <c r="J896" i="9"/>
  <c r="I896" i="9"/>
  <c r="H896" i="9"/>
  <c r="G896" i="9"/>
  <c r="F896" i="9"/>
  <c r="E896" i="9"/>
  <c r="D896" i="9"/>
  <c r="C896" i="9"/>
  <c r="AB894" i="9"/>
  <c r="V894" i="9"/>
  <c r="U894" i="9"/>
  <c r="P894" i="9"/>
  <c r="O894" i="9"/>
  <c r="N894" i="9"/>
  <c r="M894" i="9"/>
  <c r="L894" i="9"/>
  <c r="K894" i="9"/>
  <c r="J894" i="9"/>
  <c r="I894" i="9"/>
  <c r="H894" i="9"/>
  <c r="G894" i="9"/>
  <c r="F894" i="9"/>
  <c r="E894" i="9"/>
  <c r="D894" i="9"/>
  <c r="C894" i="9"/>
  <c r="AB893" i="9"/>
  <c r="V893" i="9"/>
  <c r="U893" i="9"/>
  <c r="P893" i="9"/>
  <c r="O893" i="9"/>
  <c r="N893" i="9"/>
  <c r="M893" i="9"/>
  <c r="L893" i="9"/>
  <c r="K893" i="9"/>
  <c r="S893" i="9" s="1"/>
  <c r="J893" i="9"/>
  <c r="I893" i="9"/>
  <c r="H893" i="9"/>
  <c r="G893" i="9"/>
  <c r="F893" i="9"/>
  <c r="E893" i="9"/>
  <c r="D893" i="9"/>
  <c r="C893" i="9"/>
  <c r="AB892" i="9"/>
  <c r="V892" i="9"/>
  <c r="U892" i="9"/>
  <c r="P892" i="9"/>
  <c r="O892" i="9"/>
  <c r="N892" i="9"/>
  <c r="M892" i="9"/>
  <c r="L892" i="9"/>
  <c r="K892" i="9"/>
  <c r="S892" i="9" s="1"/>
  <c r="J892" i="9"/>
  <c r="I892" i="9"/>
  <c r="H892" i="9"/>
  <c r="G892" i="9"/>
  <c r="F892" i="9"/>
  <c r="E892" i="9"/>
  <c r="D892" i="9"/>
  <c r="C892" i="9"/>
  <c r="AB891" i="9"/>
  <c r="V891" i="9"/>
  <c r="U891" i="9"/>
  <c r="P891" i="9"/>
  <c r="O891" i="9"/>
  <c r="N891" i="9"/>
  <c r="M891" i="9"/>
  <c r="L891" i="9"/>
  <c r="K891" i="9"/>
  <c r="S891" i="9" s="1"/>
  <c r="J891" i="9"/>
  <c r="I891" i="9"/>
  <c r="H891" i="9"/>
  <c r="G891" i="9"/>
  <c r="F891" i="9"/>
  <c r="E891" i="9"/>
  <c r="D891" i="9"/>
  <c r="C891" i="9"/>
  <c r="AB890" i="9"/>
  <c r="V890" i="9"/>
  <c r="U890" i="9"/>
  <c r="P890" i="9"/>
  <c r="O890" i="9"/>
  <c r="N890" i="9"/>
  <c r="M890" i="9"/>
  <c r="L890" i="9"/>
  <c r="K890" i="9"/>
  <c r="S890" i="9" s="1"/>
  <c r="J890" i="9"/>
  <c r="I890" i="9"/>
  <c r="H890" i="9"/>
  <c r="G890" i="9"/>
  <c r="F890" i="9"/>
  <c r="E890" i="9"/>
  <c r="D890" i="9"/>
  <c r="C890" i="9"/>
  <c r="AB889" i="9"/>
  <c r="V889" i="9"/>
  <c r="U889" i="9"/>
  <c r="P889" i="9"/>
  <c r="O889" i="9"/>
  <c r="N889" i="9"/>
  <c r="M889" i="9"/>
  <c r="L889" i="9"/>
  <c r="K889" i="9"/>
  <c r="S889" i="9" s="1"/>
  <c r="J889" i="9"/>
  <c r="I889" i="9"/>
  <c r="H889" i="9"/>
  <c r="G889" i="9"/>
  <c r="F889" i="9"/>
  <c r="E889" i="9"/>
  <c r="D889" i="9"/>
  <c r="C889" i="9"/>
  <c r="AB887" i="9"/>
  <c r="V887" i="9"/>
  <c r="U887" i="9"/>
  <c r="P887" i="9"/>
  <c r="O887" i="9"/>
  <c r="N887" i="9"/>
  <c r="M887" i="9"/>
  <c r="L887" i="9"/>
  <c r="K887" i="9"/>
  <c r="J887" i="9"/>
  <c r="I887" i="9"/>
  <c r="H887" i="9"/>
  <c r="G887" i="9"/>
  <c r="F887" i="9"/>
  <c r="E887" i="9"/>
  <c r="D887" i="9"/>
  <c r="C887" i="9"/>
  <c r="AB886" i="9"/>
  <c r="V886" i="9"/>
  <c r="U886" i="9"/>
  <c r="P886" i="9"/>
  <c r="O886" i="9"/>
  <c r="N886" i="9"/>
  <c r="M886" i="9"/>
  <c r="L886" i="9"/>
  <c r="K886" i="9"/>
  <c r="S886" i="9" s="1"/>
  <c r="J886" i="9"/>
  <c r="I886" i="9"/>
  <c r="H886" i="9"/>
  <c r="G886" i="9"/>
  <c r="F886" i="9"/>
  <c r="E886" i="9"/>
  <c r="D886" i="9"/>
  <c r="C886" i="9"/>
  <c r="AB884" i="9"/>
  <c r="V884" i="9"/>
  <c r="U884" i="9"/>
  <c r="P884" i="9"/>
  <c r="O884" i="9"/>
  <c r="N884" i="9"/>
  <c r="M884" i="9"/>
  <c r="L884" i="9"/>
  <c r="K884" i="9"/>
  <c r="J884" i="9"/>
  <c r="I884" i="9"/>
  <c r="H884" i="9"/>
  <c r="G884" i="9"/>
  <c r="F884" i="9"/>
  <c r="E884" i="9"/>
  <c r="D884" i="9"/>
  <c r="C884" i="9"/>
  <c r="AB883" i="9"/>
  <c r="V883" i="9"/>
  <c r="U883" i="9"/>
  <c r="P883" i="9"/>
  <c r="O883" i="9"/>
  <c r="N883" i="9"/>
  <c r="M883" i="9"/>
  <c r="L883" i="9"/>
  <c r="K883" i="9"/>
  <c r="S883" i="9" s="1"/>
  <c r="J883" i="9"/>
  <c r="I883" i="9"/>
  <c r="H883" i="9"/>
  <c r="G883" i="9"/>
  <c r="F883" i="9"/>
  <c r="E883" i="9"/>
  <c r="D883" i="9"/>
  <c r="C883" i="9"/>
  <c r="AB882" i="9"/>
  <c r="V882" i="9"/>
  <c r="U882" i="9"/>
  <c r="P882" i="9"/>
  <c r="O882" i="9"/>
  <c r="N882" i="9"/>
  <c r="M882" i="9"/>
  <c r="L882" i="9"/>
  <c r="K882" i="9"/>
  <c r="S882" i="9" s="1"/>
  <c r="J882" i="9"/>
  <c r="I882" i="9"/>
  <c r="H882" i="9"/>
  <c r="G882" i="9"/>
  <c r="F882" i="9"/>
  <c r="E882" i="9"/>
  <c r="D882" i="9"/>
  <c r="C882" i="9"/>
  <c r="AB881" i="9"/>
  <c r="V881" i="9"/>
  <c r="U881" i="9"/>
  <c r="P881" i="9"/>
  <c r="O881" i="9"/>
  <c r="N881" i="9"/>
  <c r="M881" i="9"/>
  <c r="L881" i="9"/>
  <c r="K881" i="9"/>
  <c r="S881" i="9" s="1"/>
  <c r="J881" i="9"/>
  <c r="I881" i="9"/>
  <c r="H881" i="9"/>
  <c r="G881" i="9"/>
  <c r="F881" i="9"/>
  <c r="E881" i="9"/>
  <c r="D881" i="9"/>
  <c r="C881" i="9"/>
  <c r="AB880" i="9"/>
  <c r="V880" i="9"/>
  <c r="U880" i="9"/>
  <c r="P880" i="9"/>
  <c r="O880" i="9"/>
  <c r="N880" i="9"/>
  <c r="M880" i="9"/>
  <c r="L880" i="9"/>
  <c r="K880" i="9"/>
  <c r="S880" i="9" s="1"/>
  <c r="J880" i="9"/>
  <c r="I880" i="9"/>
  <c r="H880" i="9"/>
  <c r="G880" i="9"/>
  <c r="F880" i="9"/>
  <c r="E880" i="9"/>
  <c r="D880" i="9"/>
  <c r="C880" i="9"/>
  <c r="AB879" i="9"/>
  <c r="V879" i="9"/>
  <c r="U879" i="9"/>
  <c r="P879" i="9"/>
  <c r="O879" i="9"/>
  <c r="N879" i="9"/>
  <c r="M879" i="9"/>
  <c r="L879" i="9"/>
  <c r="K879" i="9"/>
  <c r="S879" i="9" s="1"/>
  <c r="J879" i="9"/>
  <c r="I879" i="9"/>
  <c r="H879" i="9"/>
  <c r="G879" i="9"/>
  <c r="F879" i="9"/>
  <c r="E879" i="9"/>
  <c r="D879" i="9"/>
  <c r="C879" i="9"/>
  <c r="AB878" i="9"/>
  <c r="V878" i="9"/>
  <c r="U878" i="9"/>
  <c r="P878" i="9"/>
  <c r="O878" i="9"/>
  <c r="N878" i="9"/>
  <c r="M878" i="9"/>
  <c r="L878" i="9"/>
  <c r="K878" i="9"/>
  <c r="S878" i="9" s="1"/>
  <c r="J878" i="9"/>
  <c r="I878" i="9"/>
  <c r="H878" i="9"/>
  <c r="G878" i="9"/>
  <c r="F878" i="9"/>
  <c r="E878" i="9"/>
  <c r="D878" i="9"/>
  <c r="C878" i="9"/>
  <c r="AB877" i="9"/>
  <c r="V877" i="9"/>
  <c r="U877" i="9"/>
  <c r="P877" i="9"/>
  <c r="O877" i="9"/>
  <c r="N877" i="9"/>
  <c r="M877" i="9"/>
  <c r="L877" i="9"/>
  <c r="K877" i="9"/>
  <c r="S877" i="9" s="1"/>
  <c r="J877" i="9"/>
  <c r="I877" i="9"/>
  <c r="H877" i="9"/>
  <c r="G877" i="9"/>
  <c r="F877" i="9"/>
  <c r="E877" i="9"/>
  <c r="D877" i="9"/>
  <c r="C877" i="9"/>
  <c r="AB876" i="9"/>
  <c r="V876" i="9"/>
  <c r="U876" i="9"/>
  <c r="P876" i="9"/>
  <c r="O876" i="9"/>
  <c r="N876" i="9"/>
  <c r="M876" i="9"/>
  <c r="L876" i="9"/>
  <c r="K876" i="9"/>
  <c r="S876" i="9" s="1"/>
  <c r="J876" i="9"/>
  <c r="I876" i="9"/>
  <c r="H876" i="9"/>
  <c r="G876" i="9"/>
  <c r="F876" i="9"/>
  <c r="E876" i="9"/>
  <c r="D876" i="9"/>
  <c r="C876" i="9"/>
  <c r="AB875" i="9"/>
  <c r="V875" i="9"/>
  <c r="U875" i="9"/>
  <c r="P875" i="9"/>
  <c r="O875" i="9"/>
  <c r="N875" i="9"/>
  <c r="M875" i="9"/>
  <c r="L875" i="9"/>
  <c r="K875" i="9"/>
  <c r="S875" i="9" s="1"/>
  <c r="J875" i="9"/>
  <c r="I875" i="9"/>
  <c r="H875" i="9"/>
  <c r="G875" i="9"/>
  <c r="F875" i="9"/>
  <c r="E875" i="9"/>
  <c r="D875" i="9"/>
  <c r="C875" i="9"/>
  <c r="AB874" i="9"/>
  <c r="V874" i="9"/>
  <c r="U874" i="9"/>
  <c r="P874" i="9"/>
  <c r="O874" i="9"/>
  <c r="N874" i="9"/>
  <c r="M874" i="9"/>
  <c r="L874" i="9"/>
  <c r="K874" i="9"/>
  <c r="S874" i="9" s="1"/>
  <c r="J874" i="9"/>
  <c r="I874" i="9"/>
  <c r="H874" i="9"/>
  <c r="G874" i="9"/>
  <c r="F874" i="9"/>
  <c r="E874" i="9"/>
  <c r="D874" i="9"/>
  <c r="C874" i="9"/>
  <c r="AB873" i="9"/>
  <c r="V873" i="9"/>
  <c r="U873" i="9"/>
  <c r="P873" i="9"/>
  <c r="O873" i="9"/>
  <c r="N873" i="9"/>
  <c r="M873" i="9"/>
  <c r="L873" i="9"/>
  <c r="K873" i="9"/>
  <c r="S873" i="9" s="1"/>
  <c r="J873" i="9"/>
  <c r="I873" i="9"/>
  <c r="H873" i="9"/>
  <c r="G873" i="9"/>
  <c r="F873" i="9"/>
  <c r="E873" i="9"/>
  <c r="D873" i="9"/>
  <c r="C873" i="9"/>
  <c r="AB872" i="9"/>
  <c r="V872" i="9"/>
  <c r="U872" i="9"/>
  <c r="P872" i="9"/>
  <c r="O872" i="9"/>
  <c r="N872" i="9"/>
  <c r="M872" i="9"/>
  <c r="L872" i="9"/>
  <c r="K872" i="9"/>
  <c r="S872" i="9" s="1"/>
  <c r="J872" i="9"/>
  <c r="I872" i="9"/>
  <c r="H872" i="9"/>
  <c r="G872" i="9"/>
  <c r="F872" i="9"/>
  <c r="E872" i="9"/>
  <c r="D872" i="9"/>
  <c r="C872" i="9"/>
  <c r="AB871" i="9"/>
  <c r="V871" i="9"/>
  <c r="U871" i="9"/>
  <c r="P871" i="9"/>
  <c r="O871" i="9"/>
  <c r="N871" i="9"/>
  <c r="M871" i="9"/>
  <c r="L871" i="9"/>
  <c r="K871" i="9"/>
  <c r="S871" i="9" s="1"/>
  <c r="J871" i="9"/>
  <c r="I871" i="9"/>
  <c r="H871" i="9"/>
  <c r="G871" i="9"/>
  <c r="F871" i="9"/>
  <c r="E871" i="9"/>
  <c r="D871" i="9"/>
  <c r="C871" i="9"/>
  <c r="AB870" i="9"/>
  <c r="V870" i="9"/>
  <c r="U870" i="9"/>
  <c r="P870" i="9"/>
  <c r="O870" i="9"/>
  <c r="N870" i="9"/>
  <c r="M870" i="9"/>
  <c r="L870" i="9"/>
  <c r="K870" i="9"/>
  <c r="S870" i="9" s="1"/>
  <c r="J870" i="9"/>
  <c r="I870" i="9"/>
  <c r="H870" i="9"/>
  <c r="G870" i="9"/>
  <c r="F870" i="9"/>
  <c r="E870" i="9"/>
  <c r="D870" i="9"/>
  <c r="C870" i="9"/>
  <c r="AB869" i="9"/>
  <c r="V869" i="9"/>
  <c r="U869" i="9"/>
  <c r="P869" i="9"/>
  <c r="O869" i="9"/>
  <c r="N869" i="9"/>
  <c r="M869" i="9"/>
  <c r="L869" i="9"/>
  <c r="K869" i="9"/>
  <c r="S869" i="9" s="1"/>
  <c r="J869" i="9"/>
  <c r="I869" i="9"/>
  <c r="H869" i="9"/>
  <c r="G869" i="9"/>
  <c r="F869" i="9"/>
  <c r="E869" i="9"/>
  <c r="D869" i="9"/>
  <c r="C869" i="9"/>
  <c r="AB868" i="9"/>
  <c r="V868" i="9"/>
  <c r="U868" i="9"/>
  <c r="P868" i="9"/>
  <c r="O868" i="9"/>
  <c r="N868" i="9"/>
  <c r="M868" i="9"/>
  <c r="L868" i="9"/>
  <c r="K868" i="9"/>
  <c r="S868" i="9" s="1"/>
  <c r="J868" i="9"/>
  <c r="I868" i="9"/>
  <c r="H868" i="9"/>
  <c r="G868" i="9"/>
  <c r="F868" i="9"/>
  <c r="E868" i="9"/>
  <c r="D868" i="9"/>
  <c r="C868" i="9"/>
  <c r="AB867" i="9"/>
  <c r="V867" i="9"/>
  <c r="U867" i="9"/>
  <c r="P867" i="9"/>
  <c r="O867" i="9"/>
  <c r="N867" i="9"/>
  <c r="M867" i="9"/>
  <c r="L867" i="9"/>
  <c r="K867" i="9"/>
  <c r="S867" i="9" s="1"/>
  <c r="J867" i="9"/>
  <c r="I867" i="9"/>
  <c r="H867" i="9"/>
  <c r="G867" i="9"/>
  <c r="F867" i="9"/>
  <c r="E867" i="9"/>
  <c r="D867" i="9"/>
  <c r="C867" i="9"/>
  <c r="AB866" i="9"/>
  <c r="V866" i="9"/>
  <c r="U866" i="9"/>
  <c r="P866" i="9"/>
  <c r="O866" i="9"/>
  <c r="N866" i="9"/>
  <c r="M866" i="9"/>
  <c r="L866" i="9"/>
  <c r="K866" i="9"/>
  <c r="S866" i="9" s="1"/>
  <c r="J866" i="9"/>
  <c r="I866" i="9"/>
  <c r="H866" i="9"/>
  <c r="G866" i="9"/>
  <c r="F866" i="9"/>
  <c r="E866" i="9"/>
  <c r="D866" i="9"/>
  <c r="C866" i="9"/>
  <c r="AB865" i="9"/>
  <c r="V865" i="9"/>
  <c r="U865" i="9"/>
  <c r="P865" i="9"/>
  <c r="O865" i="9"/>
  <c r="N865" i="9"/>
  <c r="M865" i="9"/>
  <c r="L865" i="9"/>
  <c r="K865" i="9"/>
  <c r="S865" i="9" s="1"/>
  <c r="J865" i="9"/>
  <c r="I865" i="9"/>
  <c r="H865" i="9"/>
  <c r="G865" i="9"/>
  <c r="F865" i="9"/>
  <c r="E865" i="9"/>
  <c r="D865" i="9"/>
  <c r="C865" i="9"/>
  <c r="AB864" i="9"/>
  <c r="V864" i="9"/>
  <c r="U864" i="9"/>
  <c r="P864" i="9"/>
  <c r="O864" i="9"/>
  <c r="N864" i="9"/>
  <c r="M864" i="9"/>
  <c r="L864" i="9"/>
  <c r="K864" i="9"/>
  <c r="S864" i="9" s="1"/>
  <c r="J864" i="9"/>
  <c r="I864" i="9"/>
  <c r="H864" i="9"/>
  <c r="G864" i="9"/>
  <c r="F864" i="9"/>
  <c r="E864" i="9"/>
  <c r="D864" i="9"/>
  <c r="C864" i="9"/>
  <c r="AB863" i="9"/>
  <c r="V863" i="9"/>
  <c r="U863" i="9"/>
  <c r="P863" i="9"/>
  <c r="O863" i="9"/>
  <c r="N863" i="9"/>
  <c r="M863" i="9"/>
  <c r="L863" i="9"/>
  <c r="K863" i="9"/>
  <c r="S863" i="9" s="1"/>
  <c r="J863" i="9"/>
  <c r="I863" i="9"/>
  <c r="H863" i="9"/>
  <c r="G863" i="9"/>
  <c r="F863" i="9"/>
  <c r="E863" i="9"/>
  <c r="D863" i="9"/>
  <c r="C863" i="9"/>
  <c r="AB862" i="9"/>
  <c r="V862" i="9"/>
  <c r="U862" i="9"/>
  <c r="P862" i="9"/>
  <c r="O862" i="9"/>
  <c r="N862" i="9"/>
  <c r="M862" i="9"/>
  <c r="L862" i="9"/>
  <c r="K862" i="9"/>
  <c r="S862" i="9" s="1"/>
  <c r="J862" i="9"/>
  <c r="I862" i="9"/>
  <c r="H862" i="9"/>
  <c r="G862" i="9"/>
  <c r="F862" i="9"/>
  <c r="E862" i="9"/>
  <c r="D862" i="9"/>
  <c r="C862" i="9"/>
  <c r="AB861" i="9"/>
  <c r="V861" i="9"/>
  <c r="U861" i="9"/>
  <c r="P861" i="9"/>
  <c r="O861" i="9"/>
  <c r="N861" i="9"/>
  <c r="M861" i="9"/>
  <c r="L861" i="9"/>
  <c r="K861" i="9"/>
  <c r="S861" i="9" s="1"/>
  <c r="J861" i="9"/>
  <c r="I861" i="9"/>
  <c r="H861" i="9"/>
  <c r="G861" i="9"/>
  <c r="F861" i="9"/>
  <c r="E861" i="9"/>
  <c r="D861" i="9"/>
  <c r="C861" i="9"/>
  <c r="AB860" i="9"/>
  <c r="V860" i="9"/>
  <c r="U860" i="9"/>
  <c r="P860" i="9"/>
  <c r="O860" i="9"/>
  <c r="N860" i="9"/>
  <c r="M860" i="9"/>
  <c r="L860" i="9"/>
  <c r="K860" i="9"/>
  <c r="S860" i="9" s="1"/>
  <c r="J860" i="9"/>
  <c r="I860" i="9"/>
  <c r="H860" i="9"/>
  <c r="G860" i="9"/>
  <c r="F860" i="9"/>
  <c r="E860" i="9"/>
  <c r="D860" i="9"/>
  <c r="C860" i="9"/>
  <c r="AB859" i="9"/>
  <c r="V859" i="9"/>
  <c r="U859" i="9"/>
  <c r="P859" i="9"/>
  <c r="O859" i="9"/>
  <c r="N859" i="9"/>
  <c r="M859" i="9"/>
  <c r="L859" i="9"/>
  <c r="K859" i="9"/>
  <c r="S859" i="9" s="1"/>
  <c r="J859" i="9"/>
  <c r="I859" i="9"/>
  <c r="H859" i="9"/>
  <c r="G859" i="9"/>
  <c r="F859" i="9"/>
  <c r="E859" i="9"/>
  <c r="D859" i="9"/>
  <c r="C859" i="9"/>
  <c r="AB858" i="9"/>
  <c r="V858" i="9"/>
  <c r="U858" i="9"/>
  <c r="P858" i="9"/>
  <c r="O858" i="9"/>
  <c r="N858" i="9"/>
  <c r="M858" i="9"/>
  <c r="L858" i="9"/>
  <c r="K858" i="9"/>
  <c r="S858" i="9" s="1"/>
  <c r="J858" i="9"/>
  <c r="I858" i="9"/>
  <c r="H858" i="9"/>
  <c r="G858" i="9"/>
  <c r="F858" i="9"/>
  <c r="E858" i="9"/>
  <c r="D858" i="9"/>
  <c r="C858" i="9"/>
  <c r="AB857" i="9"/>
  <c r="V857" i="9"/>
  <c r="U857" i="9"/>
  <c r="P857" i="9"/>
  <c r="O857" i="9"/>
  <c r="N857" i="9"/>
  <c r="M857" i="9"/>
  <c r="L857" i="9"/>
  <c r="K857" i="9"/>
  <c r="S857" i="9" s="1"/>
  <c r="J857" i="9"/>
  <c r="I857" i="9"/>
  <c r="H857" i="9"/>
  <c r="G857" i="9"/>
  <c r="F857" i="9"/>
  <c r="E857" i="9"/>
  <c r="D857" i="9"/>
  <c r="C857" i="9"/>
  <c r="AB856" i="9"/>
  <c r="V856" i="9"/>
  <c r="U856" i="9"/>
  <c r="P856" i="9"/>
  <c r="O856" i="9"/>
  <c r="N856" i="9"/>
  <c r="M856" i="9"/>
  <c r="L856" i="9"/>
  <c r="K856" i="9"/>
  <c r="S856" i="9" s="1"/>
  <c r="J856" i="9"/>
  <c r="I856" i="9"/>
  <c r="H856" i="9"/>
  <c r="G856" i="9"/>
  <c r="F856" i="9"/>
  <c r="E856" i="9"/>
  <c r="D856" i="9"/>
  <c r="C856" i="9"/>
  <c r="AB855" i="9"/>
  <c r="V855" i="9"/>
  <c r="U855" i="9"/>
  <c r="P855" i="9"/>
  <c r="O855" i="9"/>
  <c r="N855" i="9"/>
  <c r="M855" i="9"/>
  <c r="L855" i="9"/>
  <c r="K855" i="9"/>
  <c r="S855" i="9" s="1"/>
  <c r="J855" i="9"/>
  <c r="I855" i="9"/>
  <c r="H855" i="9"/>
  <c r="G855" i="9"/>
  <c r="F855" i="9"/>
  <c r="E855" i="9"/>
  <c r="D855" i="9"/>
  <c r="C855" i="9"/>
  <c r="AB854" i="9"/>
  <c r="V854" i="9"/>
  <c r="U854" i="9"/>
  <c r="P854" i="9"/>
  <c r="O854" i="9"/>
  <c r="N854" i="9"/>
  <c r="M854" i="9"/>
  <c r="L854" i="9"/>
  <c r="K854" i="9"/>
  <c r="S854" i="9" s="1"/>
  <c r="J854" i="9"/>
  <c r="I854" i="9"/>
  <c r="H854" i="9"/>
  <c r="G854" i="9"/>
  <c r="F854" i="9"/>
  <c r="E854" i="9"/>
  <c r="D854" i="9"/>
  <c r="C854" i="9"/>
  <c r="AB853" i="9"/>
  <c r="V853" i="9"/>
  <c r="U853" i="9"/>
  <c r="P853" i="9"/>
  <c r="O853" i="9"/>
  <c r="N853" i="9"/>
  <c r="M853" i="9"/>
  <c r="L853" i="9"/>
  <c r="K853" i="9"/>
  <c r="S853" i="9" s="1"/>
  <c r="J853" i="9"/>
  <c r="I853" i="9"/>
  <c r="H853" i="9"/>
  <c r="G853" i="9"/>
  <c r="F853" i="9"/>
  <c r="E853" i="9"/>
  <c r="D853" i="9"/>
  <c r="C853" i="9"/>
  <c r="AB852" i="9"/>
  <c r="V852" i="9"/>
  <c r="U852" i="9"/>
  <c r="P852" i="9"/>
  <c r="O852" i="9"/>
  <c r="N852" i="9"/>
  <c r="M852" i="9"/>
  <c r="L852" i="9"/>
  <c r="K852" i="9"/>
  <c r="S852" i="9" s="1"/>
  <c r="J852" i="9"/>
  <c r="I852" i="9"/>
  <c r="H852" i="9"/>
  <c r="G852" i="9"/>
  <c r="F852" i="9"/>
  <c r="E852" i="9"/>
  <c r="D852" i="9"/>
  <c r="C852" i="9"/>
  <c r="AB851" i="9"/>
  <c r="V851" i="9"/>
  <c r="U851" i="9"/>
  <c r="P851" i="9"/>
  <c r="O851" i="9"/>
  <c r="N851" i="9"/>
  <c r="M851" i="9"/>
  <c r="L851" i="9"/>
  <c r="K851" i="9"/>
  <c r="S851" i="9" s="1"/>
  <c r="J851" i="9"/>
  <c r="I851" i="9"/>
  <c r="H851" i="9"/>
  <c r="G851" i="9"/>
  <c r="F851" i="9"/>
  <c r="E851" i="9"/>
  <c r="D851" i="9"/>
  <c r="C851" i="9"/>
  <c r="AB849" i="9"/>
  <c r="V849" i="9"/>
  <c r="U849" i="9"/>
  <c r="P849" i="9"/>
  <c r="O849" i="9"/>
  <c r="N849" i="9"/>
  <c r="M849" i="9"/>
  <c r="L849" i="9"/>
  <c r="K849" i="9"/>
  <c r="S850" i="9" s="1"/>
  <c r="J849" i="9"/>
  <c r="I849" i="9"/>
  <c r="H849" i="9"/>
  <c r="G849" i="9"/>
  <c r="F849" i="9"/>
  <c r="E849" i="9"/>
  <c r="D849" i="9"/>
  <c r="C849" i="9"/>
  <c r="AB848" i="9"/>
  <c r="V848" i="9"/>
  <c r="U848" i="9"/>
  <c r="P848" i="9"/>
  <c r="O848" i="9"/>
  <c r="N848" i="9"/>
  <c r="M848" i="9"/>
  <c r="L848" i="9"/>
  <c r="K848" i="9"/>
  <c r="S848" i="9" s="1"/>
  <c r="J848" i="9"/>
  <c r="I848" i="9"/>
  <c r="H848" i="9"/>
  <c r="G848" i="9"/>
  <c r="F848" i="9"/>
  <c r="E848" i="9"/>
  <c r="D848" i="9"/>
  <c r="C848" i="9"/>
  <c r="AB847" i="9"/>
  <c r="V847" i="9"/>
  <c r="U847" i="9"/>
  <c r="P847" i="9"/>
  <c r="O847" i="9"/>
  <c r="N847" i="9"/>
  <c r="M847" i="9"/>
  <c r="L847" i="9"/>
  <c r="K847" i="9"/>
  <c r="S847" i="9" s="1"/>
  <c r="J847" i="9"/>
  <c r="I847" i="9"/>
  <c r="H847" i="9"/>
  <c r="G847" i="9"/>
  <c r="F847" i="9"/>
  <c r="E847" i="9"/>
  <c r="D847" i="9"/>
  <c r="C847" i="9"/>
  <c r="AB846" i="9"/>
  <c r="V846" i="9"/>
  <c r="U846" i="9"/>
  <c r="P846" i="9"/>
  <c r="O846" i="9"/>
  <c r="N846" i="9"/>
  <c r="M846" i="9"/>
  <c r="L846" i="9"/>
  <c r="K846" i="9"/>
  <c r="S846" i="9" s="1"/>
  <c r="J846" i="9"/>
  <c r="I846" i="9"/>
  <c r="H846" i="9"/>
  <c r="G846" i="9"/>
  <c r="F846" i="9"/>
  <c r="E846" i="9"/>
  <c r="D846" i="9"/>
  <c r="C846" i="9"/>
  <c r="AB845" i="9"/>
  <c r="V845" i="9"/>
  <c r="U845" i="9"/>
  <c r="P845" i="9"/>
  <c r="O845" i="9"/>
  <c r="N845" i="9"/>
  <c r="M845" i="9"/>
  <c r="L845" i="9"/>
  <c r="K845" i="9"/>
  <c r="S845" i="9" s="1"/>
  <c r="J845" i="9"/>
  <c r="I845" i="9"/>
  <c r="H845" i="9"/>
  <c r="G845" i="9"/>
  <c r="F845" i="9"/>
  <c r="E845" i="9"/>
  <c r="D845" i="9"/>
  <c r="C845" i="9"/>
  <c r="AB843" i="9"/>
  <c r="V843" i="9"/>
  <c r="U843" i="9"/>
  <c r="P843" i="9"/>
  <c r="O843" i="9"/>
  <c r="N843" i="9"/>
  <c r="M843" i="9"/>
  <c r="L843" i="9"/>
  <c r="K843" i="9"/>
  <c r="S844" i="9" s="1"/>
  <c r="J843" i="9"/>
  <c r="I843" i="9"/>
  <c r="H843" i="9"/>
  <c r="G843" i="9"/>
  <c r="F843" i="9"/>
  <c r="E843" i="9"/>
  <c r="D843" i="9"/>
  <c r="C843" i="9"/>
  <c r="AB841" i="9"/>
  <c r="V841" i="9"/>
  <c r="U841" i="9"/>
  <c r="P841" i="9"/>
  <c r="O841" i="9"/>
  <c r="N841" i="9"/>
  <c r="M841" i="9"/>
  <c r="L841" i="9"/>
  <c r="K841" i="9"/>
  <c r="J841" i="9"/>
  <c r="I841" i="9"/>
  <c r="H841" i="9"/>
  <c r="G841" i="9"/>
  <c r="F841" i="9"/>
  <c r="E841" i="9"/>
  <c r="D841" i="9"/>
  <c r="C841" i="9"/>
  <c r="AB839" i="9"/>
  <c r="V839" i="9"/>
  <c r="U839" i="9"/>
  <c r="P839" i="9"/>
  <c r="O839" i="9"/>
  <c r="N839" i="9"/>
  <c r="M839" i="9"/>
  <c r="L839" i="9"/>
  <c r="K839" i="9"/>
  <c r="S840" i="9" s="1"/>
  <c r="J839" i="9"/>
  <c r="I839" i="9"/>
  <c r="H839" i="9"/>
  <c r="G839" i="9"/>
  <c r="F839" i="9"/>
  <c r="E839" i="9"/>
  <c r="D839" i="9"/>
  <c r="C839" i="9"/>
  <c r="AB838" i="9"/>
  <c r="V838" i="9"/>
  <c r="U838" i="9"/>
  <c r="P838" i="9"/>
  <c r="O838" i="9"/>
  <c r="N838" i="9"/>
  <c r="M838" i="9"/>
  <c r="L838" i="9"/>
  <c r="K838" i="9"/>
  <c r="S838" i="9" s="1"/>
  <c r="J838" i="9"/>
  <c r="I838" i="9"/>
  <c r="H838" i="9"/>
  <c r="G838" i="9"/>
  <c r="F838" i="9"/>
  <c r="E838" i="9"/>
  <c r="D838" i="9"/>
  <c r="C838" i="9"/>
  <c r="AB837" i="9"/>
  <c r="V837" i="9"/>
  <c r="U837" i="9"/>
  <c r="P837" i="9"/>
  <c r="O837" i="9"/>
  <c r="N837" i="9"/>
  <c r="M837" i="9"/>
  <c r="L837" i="9"/>
  <c r="K837" i="9"/>
  <c r="S837" i="9" s="1"/>
  <c r="J837" i="9"/>
  <c r="I837" i="9"/>
  <c r="H837" i="9"/>
  <c r="G837" i="9"/>
  <c r="F837" i="9"/>
  <c r="E837" i="9"/>
  <c r="D837" i="9"/>
  <c r="C837" i="9"/>
  <c r="AB836" i="9"/>
  <c r="V836" i="9"/>
  <c r="U836" i="9"/>
  <c r="P836" i="9"/>
  <c r="O836" i="9"/>
  <c r="N836" i="9"/>
  <c r="M836" i="9"/>
  <c r="L836" i="9"/>
  <c r="K836" i="9"/>
  <c r="S836" i="9" s="1"/>
  <c r="J836" i="9"/>
  <c r="I836" i="9"/>
  <c r="H836" i="9"/>
  <c r="G836" i="9"/>
  <c r="F836" i="9"/>
  <c r="E836" i="9"/>
  <c r="D836" i="9"/>
  <c r="C836" i="9"/>
  <c r="AB835" i="9"/>
  <c r="V835" i="9"/>
  <c r="U835" i="9"/>
  <c r="P835" i="9"/>
  <c r="O835" i="9"/>
  <c r="N835" i="9"/>
  <c r="M835" i="9"/>
  <c r="L835" i="9"/>
  <c r="K835" i="9"/>
  <c r="S835" i="9" s="1"/>
  <c r="J835" i="9"/>
  <c r="I835" i="9"/>
  <c r="H835" i="9"/>
  <c r="G835" i="9"/>
  <c r="F835" i="9"/>
  <c r="E835" i="9"/>
  <c r="D835" i="9"/>
  <c r="C835" i="9"/>
  <c r="AB834" i="9"/>
  <c r="V834" i="9"/>
  <c r="U834" i="9"/>
  <c r="P834" i="9"/>
  <c r="O834" i="9"/>
  <c r="N834" i="9"/>
  <c r="M834" i="9"/>
  <c r="L834" i="9"/>
  <c r="K834" i="9"/>
  <c r="S834" i="9" s="1"/>
  <c r="J834" i="9"/>
  <c r="I834" i="9"/>
  <c r="H834" i="9"/>
  <c r="G834" i="9"/>
  <c r="F834" i="9"/>
  <c r="E834" i="9"/>
  <c r="D834" i="9"/>
  <c r="C834" i="9"/>
  <c r="AB833" i="9"/>
  <c r="V833" i="9"/>
  <c r="U833" i="9"/>
  <c r="P833" i="9"/>
  <c r="O833" i="9"/>
  <c r="N833" i="9"/>
  <c r="M833" i="9"/>
  <c r="L833" i="9"/>
  <c r="K833" i="9"/>
  <c r="S833" i="9" s="1"/>
  <c r="J833" i="9"/>
  <c r="I833" i="9"/>
  <c r="H833" i="9"/>
  <c r="G833" i="9"/>
  <c r="F833" i="9"/>
  <c r="E833" i="9"/>
  <c r="D833" i="9"/>
  <c r="C833" i="9"/>
  <c r="AB832" i="9"/>
  <c r="V832" i="9"/>
  <c r="U832" i="9"/>
  <c r="P832" i="9"/>
  <c r="O832" i="9"/>
  <c r="N832" i="9"/>
  <c r="M832" i="9"/>
  <c r="L832" i="9"/>
  <c r="K832" i="9"/>
  <c r="S832" i="9" s="1"/>
  <c r="J832" i="9"/>
  <c r="I832" i="9"/>
  <c r="H832" i="9"/>
  <c r="G832" i="9"/>
  <c r="F832" i="9"/>
  <c r="E832" i="9"/>
  <c r="D832" i="9"/>
  <c r="C832" i="9"/>
  <c r="AB831" i="9"/>
  <c r="V831" i="9"/>
  <c r="U831" i="9"/>
  <c r="P831" i="9"/>
  <c r="O831" i="9"/>
  <c r="N831" i="9"/>
  <c r="M831" i="9"/>
  <c r="L831" i="9"/>
  <c r="K831" i="9"/>
  <c r="S831" i="9" s="1"/>
  <c r="J831" i="9"/>
  <c r="I831" i="9"/>
  <c r="H831" i="9"/>
  <c r="G831" i="9"/>
  <c r="F831" i="9"/>
  <c r="E831" i="9"/>
  <c r="D831" i="9"/>
  <c r="C831" i="9"/>
  <c r="AB830" i="9"/>
  <c r="V830" i="9"/>
  <c r="U830" i="9"/>
  <c r="P830" i="9"/>
  <c r="O830" i="9"/>
  <c r="N830" i="9"/>
  <c r="M830" i="9"/>
  <c r="L830" i="9"/>
  <c r="K830" i="9"/>
  <c r="S830" i="9" s="1"/>
  <c r="J830" i="9"/>
  <c r="I830" i="9"/>
  <c r="H830" i="9"/>
  <c r="G830" i="9"/>
  <c r="F830" i="9"/>
  <c r="E830" i="9"/>
  <c r="D830" i="9"/>
  <c r="C830" i="9"/>
  <c r="AB829" i="9"/>
  <c r="V829" i="9"/>
  <c r="U829" i="9"/>
  <c r="P829" i="9"/>
  <c r="O829" i="9"/>
  <c r="N829" i="9"/>
  <c r="M829" i="9"/>
  <c r="L829" i="9"/>
  <c r="K829" i="9"/>
  <c r="S829" i="9" s="1"/>
  <c r="J829" i="9"/>
  <c r="I829" i="9"/>
  <c r="H829" i="9"/>
  <c r="G829" i="9"/>
  <c r="F829" i="9"/>
  <c r="E829" i="9"/>
  <c r="D829" i="9"/>
  <c r="C829" i="9"/>
  <c r="AB828" i="9"/>
  <c r="V828" i="9"/>
  <c r="U828" i="9"/>
  <c r="P828" i="9"/>
  <c r="O828" i="9"/>
  <c r="N828" i="9"/>
  <c r="M828" i="9"/>
  <c r="L828" i="9"/>
  <c r="K828" i="9"/>
  <c r="S828" i="9" s="1"/>
  <c r="J828" i="9"/>
  <c r="I828" i="9"/>
  <c r="H828" i="9"/>
  <c r="G828" i="9"/>
  <c r="F828" i="9"/>
  <c r="E828" i="9"/>
  <c r="D828" i="9"/>
  <c r="C828" i="9"/>
  <c r="AB826" i="9"/>
  <c r="V826" i="9"/>
  <c r="U826" i="9"/>
  <c r="P826" i="9"/>
  <c r="O826" i="9"/>
  <c r="N826" i="9"/>
  <c r="M826" i="9"/>
  <c r="L826" i="9"/>
  <c r="K826" i="9"/>
  <c r="S827" i="9" s="1"/>
  <c r="J826" i="9"/>
  <c r="I826" i="9"/>
  <c r="H826" i="9"/>
  <c r="G826" i="9"/>
  <c r="F826" i="9"/>
  <c r="E826" i="9"/>
  <c r="D826" i="9"/>
  <c r="C826" i="9"/>
  <c r="AB825" i="9"/>
  <c r="V825" i="9"/>
  <c r="U825" i="9"/>
  <c r="P825" i="9"/>
  <c r="O825" i="9"/>
  <c r="N825" i="9"/>
  <c r="M825" i="9"/>
  <c r="L825" i="9"/>
  <c r="K825" i="9"/>
  <c r="S825" i="9" s="1"/>
  <c r="J825" i="9"/>
  <c r="I825" i="9"/>
  <c r="H825" i="9"/>
  <c r="G825" i="9"/>
  <c r="F825" i="9"/>
  <c r="E825" i="9"/>
  <c r="D825" i="9"/>
  <c r="C825" i="9"/>
  <c r="AB824" i="9"/>
  <c r="V824" i="9"/>
  <c r="U824" i="9"/>
  <c r="P824" i="9"/>
  <c r="O824" i="9"/>
  <c r="N824" i="9"/>
  <c r="M824" i="9"/>
  <c r="L824" i="9"/>
  <c r="K824" i="9"/>
  <c r="S824" i="9" s="1"/>
  <c r="J824" i="9"/>
  <c r="I824" i="9"/>
  <c r="H824" i="9"/>
  <c r="G824" i="9"/>
  <c r="F824" i="9"/>
  <c r="E824" i="9"/>
  <c r="D824" i="9"/>
  <c r="C824" i="9"/>
  <c r="AB823" i="9"/>
  <c r="V823" i="9"/>
  <c r="U823" i="9"/>
  <c r="P823" i="9"/>
  <c r="O823" i="9"/>
  <c r="N823" i="9"/>
  <c r="M823" i="9"/>
  <c r="L823" i="9"/>
  <c r="K823" i="9"/>
  <c r="S823" i="9" s="1"/>
  <c r="J823" i="9"/>
  <c r="I823" i="9"/>
  <c r="H823" i="9"/>
  <c r="G823" i="9"/>
  <c r="F823" i="9"/>
  <c r="E823" i="9"/>
  <c r="D823" i="9"/>
  <c r="C823" i="9"/>
  <c r="AB822" i="9"/>
  <c r="V822" i="9"/>
  <c r="U822" i="9"/>
  <c r="P822" i="9"/>
  <c r="O822" i="9"/>
  <c r="N822" i="9"/>
  <c r="M822" i="9"/>
  <c r="L822" i="9"/>
  <c r="K822" i="9"/>
  <c r="S822" i="9" s="1"/>
  <c r="J822" i="9"/>
  <c r="I822" i="9"/>
  <c r="H822" i="9"/>
  <c r="G822" i="9"/>
  <c r="F822" i="9"/>
  <c r="E822" i="9"/>
  <c r="D822" i="9"/>
  <c r="C822" i="9"/>
  <c r="AB821" i="9"/>
  <c r="V821" i="9"/>
  <c r="U821" i="9"/>
  <c r="P821" i="9"/>
  <c r="O821" i="9"/>
  <c r="N821" i="9"/>
  <c r="M821" i="9"/>
  <c r="L821" i="9"/>
  <c r="K821" i="9"/>
  <c r="S821" i="9" s="1"/>
  <c r="J821" i="9"/>
  <c r="I821" i="9"/>
  <c r="H821" i="9"/>
  <c r="G821" i="9"/>
  <c r="F821" i="9"/>
  <c r="E821" i="9"/>
  <c r="D821" i="9"/>
  <c r="C821" i="9"/>
  <c r="AB820" i="9"/>
  <c r="V820" i="9"/>
  <c r="U820" i="9"/>
  <c r="P820" i="9"/>
  <c r="O820" i="9"/>
  <c r="N820" i="9"/>
  <c r="M820" i="9"/>
  <c r="L820" i="9"/>
  <c r="K820" i="9"/>
  <c r="S820" i="9" s="1"/>
  <c r="J820" i="9"/>
  <c r="I820" i="9"/>
  <c r="H820" i="9"/>
  <c r="G820" i="9"/>
  <c r="F820" i="9"/>
  <c r="E820" i="9"/>
  <c r="D820" i="9"/>
  <c r="C820" i="9"/>
  <c r="AB818" i="9"/>
  <c r="V818" i="9"/>
  <c r="U818" i="9"/>
  <c r="P818" i="9"/>
  <c r="O818" i="9"/>
  <c r="N818" i="9"/>
  <c r="M818" i="9"/>
  <c r="L818" i="9"/>
  <c r="K818" i="9"/>
  <c r="S819" i="9" s="1"/>
  <c r="J818" i="9"/>
  <c r="I818" i="9"/>
  <c r="H818" i="9"/>
  <c r="G818" i="9"/>
  <c r="F818" i="9"/>
  <c r="E818" i="9"/>
  <c r="D818" i="9"/>
  <c r="C818" i="9"/>
  <c r="AB817" i="9"/>
  <c r="V817" i="9"/>
  <c r="U817" i="9"/>
  <c r="P817" i="9"/>
  <c r="O817" i="9"/>
  <c r="N817" i="9"/>
  <c r="M817" i="9"/>
  <c r="L817" i="9"/>
  <c r="K817" i="9"/>
  <c r="S817" i="9" s="1"/>
  <c r="J817" i="9"/>
  <c r="I817" i="9"/>
  <c r="H817" i="9"/>
  <c r="G817" i="9"/>
  <c r="F817" i="9"/>
  <c r="E817" i="9"/>
  <c r="D817" i="9"/>
  <c r="C817" i="9"/>
  <c r="AB815" i="9"/>
  <c r="V815" i="9"/>
  <c r="U815" i="9"/>
  <c r="P815" i="9"/>
  <c r="O815" i="9"/>
  <c r="N815" i="9"/>
  <c r="M815" i="9"/>
  <c r="L815" i="9"/>
  <c r="K815" i="9"/>
  <c r="S816" i="9" s="1"/>
  <c r="J815" i="9"/>
  <c r="I815" i="9"/>
  <c r="H815" i="9"/>
  <c r="G815" i="9"/>
  <c r="F815" i="9"/>
  <c r="E815" i="9"/>
  <c r="D815" i="9"/>
  <c r="C815" i="9"/>
  <c r="V814" i="9"/>
  <c r="U814" i="9"/>
  <c r="P814" i="9"/>
  <c r="O814" i="9"/>
  <c r="N814" i="9"/>
  <c r="M814" i="9"/>
  <c r="L814" i="9"/>
  <c r="K814" i="9"/>
  <c r="S814" i="9" s="1"/>
  <c r="J814" i="9"/>
  <c r="I814" i="9"/>
  <c r="H814" i="9"/>
  <c r="G814" i="9"/>
  <c r="F814" i="9"/>
  <c r="E814" i="9"/>
  <c r="D814" i="9"/>
  <c r="C814" i="9"/>
  <c r="V813" i="9"/>
  <c r="U813" i="9"/>
  <c r="P813" i="9"/>
  <c r="O813" i="9"/>
  <c r="N813" i="9"/>
  <c r="M813" i="9"/>
  <c r="L813" i="9"/>
  <c r="K813" i="9"/>
  <c r="S813" i="9" s="1"/>
  <c r="J813" i="9"/>
  <c r="I813" i="9"/>
  <c r="H813" i="9"/>
  <c r="G813" i="9"/>
  <c r="F813" i="9"/>
  <c r="E813" i="9"/>
  <c r="D813" i="9"/>
  <c r="C813" i="9"/>
  <c r="Q557" i="11"/>
  <c r="K557" i="11"/>
  <c r="J557" i="11"/>
  <c r="I557" i="11"/>
  <c r="H557" i="11"/>
  <c r="G557" i="11"/>
  <c r="F557" i="11"/>
  <c r="E557" i="11"/>
  <c r="D557" i="11"/>
  <c r="C557" i="11"/>
  <c r="B557" i="11"/>
  <c r="Q556" i="11"/>
  <c r="K556" i="11"/>
  <c r="J556" i="11"/>
  <c r="I556" i="11"/>
  <c r="H556" i="11"/>
  <c r="G556" i="11"/>
  <c r="F556" i="11"/>
  <c r="E556" i="11"/>
  <c r="D556" i="11"/>
  <c r="C556" i="11"/>
  <c r="B556" i="11"/>
  <c r="Q555" i="11"/>
  <c r="K555" i="11"/>
  <c r="J555" i="11"/>
  <c r="I555" i="11"/>
  <c r="H555" i="11"/>
  <c r="G555" i="11"/>
  <c r="F555" i="11"/>
  <c r="E555" i="11"/>
  <c r="D555" i="11"/>
  <c r="C555" i="11"/>
  <c r="B555" i="11"/>
  <c r="Q554" i="11"/>
  <c r="K554" i="11"/>
  <c r="J554" i="11"/>
  <c r="I554" i="11"/>
  <c r="H554" i="11"/>
  <c r="G554" i="11"/>
  <c r="F554" i="11"/>
  <c r="E554" i="11"/>
  <c r="D554" i="11"/>
  <c r="C554" i="11"/>
  <c r="B554" i="11"/>
  <c r="Q553" i="11"/>
  <c r="K553" i="11"/>
  <c r="J553" i="11"/>
  <c r="I553" i="11"/>
  <c r="H553" i="11"/>
  <c r="G553" i="11"/>
  <c r="F553" i="11"/>
  <c r="E553" i="11"/>
  <c r="D553" i="11"/>
  <c r="C553" i="11"/>
  <c r="B553" i="11"/>
  <c r="Q552" i="11"/>
  <c r="K552" i="11"/>
  <c r="J552" i="11"/>
  <c r="I552" i="11"/>
  <c r="H552" i="11"/>
  <c r="G552" i="11"/>
  <c r="F552" i="11"/>
  <c r="E552" i="11"/>
  <c r="D552" i="11"/>
  <c r="C552" i="11"/>
  <c r="B552" i="11"/>
  <c r="Q551" i="11"/>
  <c r="K551" i="11"/>
  <c r="J551" i="11"/>
  <c r="I551" i="11"/>
  <c r="H551" i="11"/>
  <c r="G551" i="11"/>
  <c r="F551" i="11"/>
  <c r="E551" i="11"/>
  <c r="D551" i="11"/>
  <c r="C551" i="11"/>
  <c r="B551" i="11"/>
  <c r="Q550" i="11"/>
  <c r="K550" i="11"/>
  <c r="J550" i="11"/>
  <c r="I550" i="11"/>
  <c r="H550" i="11"/>
  <c r="G550" i="11"/>
  <c r="F550" i="11"/>
  <c r="E550" i="11"/>
  <c r="D550" i="11"/>
  <c r="C550" i="11"/>
  <c r="B550" i="11"/>
  <c r="Q549" i="11"/>
  <c r="K549" i="11"/>
  <c r="J549" i="11"/>
  <c r="I549" i="11"/>
  <c r="H549" i="11"/>
  <c r="G549" i="11"/>
  <c r="F549" i="11"/>
  <c r="E549" i="11"/>
  <c r="D549" i="11"/>
  <c r="C549" i="11"/>
  <c r="B549" i="11"/>
  <c r="Q548" i="11"/>
  <c r="K548" i="11"/>
  <c r="J548" i="11"/>
  <c r="I548" i="11"/>
  <c r="H548" i="11"/>
  <c r="G548" i="11"/>
  <c r="F548" i="11"/>
  <c r="E548" i="11"/>
  <c r="D548" i="11"/>
  <c r="C548" i="11"/>
  <c r="B548" i="11"/>
  <c r="Q547" i="11"/>
  <c r="K547" i="11"/>
  <c r="J547" i="11"/>
  <c r="I547" i="11"/>
  <c r="H547" i="11"/>
  <c r="G547" i="11"/>
  <c r="F547" i="11"/>
  <c r="E547" i="11"/>
  <c r="D547" i="11"/>
  <c r="C547" i="11"/>
  <c r="B547" i="11"/>
  <c r="Q546" i="11"/>
  <c r="K546" i="11"/>
  <c r="J546" i="11"/>
  <c r="I546" i="11"/>
  <c r="H546" i="11"/>
  <c r="G546" i="11"/>
  <c r="F546" i="11"/>
  <c r="E546" i="11"/>
  <c r="D546" i="11"/>
  <c r="C546" i="11"/>
  <c r="B546" i="11"/>
  <c r="Q545" i="11"/>
  <c r="K545" i="11"/>
  <c r="J545" i="11"/>
  <c r="I545" i="11"/>
  <c r="H545" i="11"/>
  <c r="G545" i="11"/>
  <c r="F545" i="11"/>
  <c r="E545" i="11"/>
  <c r="D545" i="11"/>
  <c r="C545" i="11"/>
  <c r="B545" i="11"/>
  <c r="Q544" i="11"/>
  <c r="K544" i="11"/>
  <c r="J544" i="11"/>
  <c r="I544" i="11"/>
  <c r="H544" i="11"/>
  <c r="G544" i="11"/>
  <c r="F544" i="11"/>
  <c r="E544" i="11"/>
  <c r="D544" i="11"/>
  <c r="C544" i="11"/>
  <c r="B544" i="11"/>
  <c r="Q543" i="11"/>
  <c r="K543" i="11"/>
  <c r="J543" i="11"/>
  <c r="I543" i="11"/>
  <c r="H543" i="11"/>
  <c r="G543" i="11"/>
  <c r="F543" i="11"/>
  <c r="E543" i="11"/>
  <c r="D543" i="11"/>
  <c r="C543" i="11"/>
  <c r="B543" i="11"/>
  <c r="Q542" i="11"/>
  <c r="K542" i="11"/>
  <c r="J542" i="11"/>
  <c r="I542" i="11"/>
  <c r="H542" i="11"/>
  <c r="G542" i="11"/>
  <c r="F542" i="11"/>
  <c r="E542" i="11"/>
  <c r="D542" i="11"/>
  <c r="C542" i="11"/>
  <c r="B542" i="11"/>
  <c r="Q541" i="11"/>
  <c r="K541" i="11"/>
  <c r="J541" i="11"/>
  <c r="I541" i="11"/>
  <c r="H541" i="11"/>
  <c r="G541" i="11"/>
  <c r="F541" i="11"/>
  <c r="E541" i="11"/>
  <c r="D541" i="11"/>
  <c r="C541" i="11"/>
  <c r="B541" i="11"/>
  <c r="Q540" i="11"/>
  <c r="K540" i="11"/>
  <c r="J540" i="11"/>
  <c r="I540" i="11"/>
  <c r="H540" i="11"/>
  <c r="G540" i="11"/>
  <c r="F540" i="11"/>
  <c r="E540" i="11"/>
  <c r="D540" i="11"/>
  <c r="C540" i="11"/>
  <c r="B540" i="11"/>
  <c r="Q539" i="11"/>
  <c r="K539" i="11"/>
  <c r="J539" i="11"/>
  <c r="I539" i="11"/>
  <c r="H539" i="11"/>
  <c r="G539" i="11"/>
  <c r="F539" i="11"/>
  <c r="E539" i="11"/>
  <c r="D539" i="11"/>
  <c r="C539" i="11"/>
  <c r="B539" i="11"/>
  <c r="Q538" i="11"/>
  <c r="K538" i="11"/>
  <c r="J538" i="11"/>
  <c r="I538" i="11"/>
  <c r="H538" i="11"/>
  <c r="G538" i="11"/>
  <c r="F538" i="11"/>
  <c r="E538" i="11"/>
  <c r="D538" i="11"/>
  <c r="C538" i="11"/>
  <c r="B538" i="11"/>
  <c r="Q537" i="11"/>
  <c r="K537" i="11"/>
  <c r="J537" i="11"/>
  <c r="I537" i="11"/>
  <c r="H537" i="11"/>
  <c r="G537" i="11"/>
  <c r="F537" i="11"/>
  <c r="E537" i="11"/>
  <c r="D537" i="11"/>
  <c r="C537" i="11"/>
  <c r="B537" i="11"/>
  <c r="Q536" i="11"/>
  <c r="K536" i="11"/>
  <c r="J536" i="11"/>
  <c r="I536" i="11"/>
  <c r="H536" i="11"/>
  <c r="G536" i="11"/>
  <c r="F536" i="11"/>
  <c r="E536" i="11"/>
  <c r="D536" i="11"/>
  <c r="C536" i="11"/>
  <c r="B536" i="11"/>
  <c r="Q535" i="11"/>
  <c r="K535" i="11"/>
  <c r="J535" i="11"/>
  <c r="I535" i="11"/>
  <c r="H535" i="11"/>
  <c r="G535" i="11"/>
  <c r="F535" i="11"/>
  <c r="E535" i="11"/>
  <c r="D535" i="11"/>
  <c r="C535" i="11"/>
  <c r="B535" i="11"/>
  <c r="Q534" i="11"/>
  <c r="K534" i="11"/>
  <c r="J534" i="11"/>
  <c r="I534" i="11"/>
  <c r="H534" i="11"/>
  <c r="G534" i="11"/>
  <c r="F534" i="11"/>
  <c r="E534" i="11"/>
  <c r="D534" i="11"/>
  <c r="C534" i="11"/>
  <c r="B534" i="11"/>
  <c r="Q533" i="11"/>
  <c r="K533" i="11"/>
  <c r="J533" i="11"/>
  <c r="I533" i="11"/>
  <c r="H533" i="11"/>
  <c r="G533" i="11"/>
  <c r="F533" i="11"/>
  <c r="E533" i="11"/>
  <c r="D533" i="11"/>
  <c r="C533" i="11"/>
  <c r="B533" i="11"/>
  <c r="Q532" i="11"/>
  <c r="K532" i="11"/>
  <c r="J532" i="11"/>
  <c r="I532" i="11"/>
  <c r="H532" i="11"/>
  <c r="G532" i="11"/>
  <c r="F532" i="11"/>
  <c r="E532" i="11"/>
  <c r="D532" i="11"/>
  <c r="C532" i="11"/>
  <c r="B532" i="11"/>
  <c r="Q531" i="11"/>
  <c r="K531" i="11"/>
  <c r="J531" i="11"/>
  <c r="I531" i="11"/>
  <c r="H531" i="11"/>
  <c r="G531" i="11"/>
  <c r="F531" i="11"/>
  <c r="E531" i="11"/>
  <c r="D531" i="11"/>
  <c r="C531" i="11"/>
  <c r="B531" i="11"/>
  <c r="Q530" i="11"/>
  <c r="K530" i="11"/>
  <c r="J530" i="11"/>
  <c r="I530" i="11"/>
  <c r="H530" i="11"/>
  <c r="G530" i="11"/>
  <c r="F530" i="11"/>
  <c r="E530" i="11"/>
  <c r="D530" i="11"/>
  <c r="C530" i="11"/>
  <c r="B530" i="11"/>
  <c r="Q529" i="11"/>
  <c r="K529" i="11"/>
  <c r="J529" i="11"/>
  <c r="I529" i="11"/>
  <c r="H529" i="11"/>
  <c r="G529" i="11"/>
  <c r="F529" i="11"/>
  <c r="E529" i="11"/>
  <c r="D529" i="11"/>
  <c r="C529" i="11"/>
  <c r="B529" i="11"/>
  <c r="Q528" i="11"/>
  <c r="K528" i="11"/>
  <c r="J528" i="11"/>
  <c r="I528" i="11"/>
  <c r="H528" i="11"/>
  <c r="G528" i="11"/>
  <c r="F528" i="11"/>
  <c r="E528" i="11"/>
  <c r="D528" i="11"/>
  <c r="C528" i="11"/>
  <c r="B528" i="11"/>
  <c r="Q527" i="11"/>
  <c r="K527" i="11"/>
  <c r="J527" i="11"/>
  <c r="I527" i="11"/>
  <c r="H527" i="11"/>
  <c r="G527" i="11"/>
  <c r="F527" i="11"/>
  <c r="E527" i="11"/>
  <c r="D527" i="11"/>
  <c r="C527" i="11"/>
  <c r="B527" i="11"/>
  <c r="Q526" i="11"/>
  <c r="K526" i="11"/>
  <c r="J526" i="11"/>
  <c r="I526" i="11"/>
  <c r="H526" i="11"/>
  <c r="G526" i="11"/>
  <c r="F526" i="11"/>
  <c r="E526" i="11"/>
  <c r="D526" i="11"/>
  <c r="C526" i="11"/>
  <c r="B526" i="11"/>
  <c r="Q525" i="11"/>
  <c r="K525" i="11"/>
  <c r="J525" i="11"/>
  <c r="I525" i="11"/>
  <c r="H525" i="11"/>
  <c r="G525" i="11"/>
  <c r="F525" i="11"/>
  <c r="E525" i="11"/>
  <c r="D525" i="11"/>
  <c r="C525" i="11"/>
  <c r="B525" i="11"/>
  <c r="Q524" i="11"/>
  <c r="K524" i="11"/>
  <c r="J524" i="11"/>
  <c r="I524" i="11"/>
  <c r="H524" i="11"/>
  <c r="G524" i="11"/>
  <c r="F524" i="11"/>
  <c r="E524" i="11"/>
  <c r="D524" i="11"/>
  <c r="C524" i="11"/>
  <c r="B524" i="11"/>
  <c r="Q523" i="11"/>
  <c r="K523" i="11"/>
  <c r="J523" i="11"/>
  <c r="I523" i="11"/>
  <c r="H523" i="11"/>
  <c r="G523" i="11"/>
  <c r="F523" i="11"/>
  <c r="E523" i="11"/>
  <c r="D523" i="11"/>
  <c r="C523" i="11"/>
  <c r="B523" i="11"/>
  <c r="Q522" i="11"/>
  <c r="K522" i="11"/>
  <c r="J522" i="11"/>
  <c r="I522" i="11"/>
  <c r="H522" i="11"/>
  <c r="G522" i="11"/>
  <c r="F522" i="11"/>
  <c r="E522" i="11"/>
  <c r="D522" i="11"/>
  <c r="C522" i="11"/>
  <c r="B522" i="11"/>
  <c r="Q521" i="11"/>
  <c r="K521" i="11"/>
  <c r="J521" i="11"/>
  <c r="I521" i="11"/>
  <c r="H521" i="11"/>
  <c r="G521" i="11"/>
  <c r="F521" i="11"/>
  <c r="E521" i="11"/>
  <c r="D521" i="11"/>
  <c r="C521" i="11"/>
  <c r="B521" i="11"/>
  <c r="Q520" i="11"/>
  <c r="K520" i="11"/>
  <c r="J520" i="11"/>
  <c r="I520" i="11"/>
  <c r="H520" i="11"/>
  <c r="G520" i="11"/>
  <c r="F520" i="11"/>
  <c r="E520" i="11"/>
  <c r="D520" i="11"/>
  <c r="C520" i="11"/>
  <c r="B520" i="11"/>
  <c r="Q519" i="11"/>
  <c r="K519" i="11"/>
  <c r="J519" i="11"/>
  <c r="I519" i="11"/>
  <c r="H519" i="11"/>
  <c r="G519" i="11"/>
  <c r="F519" i="11"/>
  <c r="E519" i="11"/>
  <c r="D519" i="11"/>
  <c r="C519" i="11"/>
  <c r="B519" i="11"/>
  <c r="Q518" i="11"/>
  <c r="K518" i="11"/>
  <c r="J518" i="11"/>
  <c r="I518" i="11"/>
  <c r="H518" i="11"/>
  <c r="G518" i="11"/>
  <c r="F518" i="11"/>
  <c r="E518" i="11"/>
  <c r="D518" i="11"/>
  <c r="C518" i="11"/>
  <c r="B518" i="11"/>
  <c r="Q517" i="11"/>
  <c r="K517" i="11"/>
  <c r="J517" i="11"/>
  <c r="I517" i="11"/>
  <c r="H517" i="11"/>
  <c r="G517" i="11"/>
  <c r="F517" i="11"/>
  <c r="E517" i="11"/>
  <c r="D517" i="11"/>
  <c r="C517" i="11"/>
  <c r="B517" i="11"/>
  <c r="Q516" i="11"/>
  <c r="K516" i="11"/>
  <c r="J516" i="11"/>
  <c r="I516" i="11"/>
  <c r="H516" i="11"/>
  <c r="G516" i="11"/>
  <c r="F516" i="11"/>
  <c r="E516" i="11"/>
  <c r="D516" i="11"/>
  <c r="C516" i="11"/>
  <c r="B516" i="11"/>
  <c r="Q515" i="11"/>
  <c r="K515" i="11"/>
  <c r="J515" i="11"/>
  <c r="I515" i="11"/>
  <c r="H515" i="11"/>
  <c r="G515" i="11"/>
  <c r="F515" i="11"/>
  <c r="E515" i="11"/>
  <c r="D515" i="11"/>
  <c r="C515" i="11"/>
  <c r="B515" i="11"/>
  <c r="Q514" i="11"/>
  <c r="K514" i="11"/>
  <c r="J514" i="11"/>
  <c r="I514" i="11"/>
  <c r="H514" i="11"/>
  <c r="G514" i="11"/>
  <c r="F514" i="11"/>
  <c r="E514" i="11"/>
  <c r="D514" i="11"/>
  <c r="C514" i="11"/>
  <c r="B514" i="11"/>
  <c r="Q513" i="11"/>
  <c r="K513" i="11"/>
  <c r="J513" i="11"/>
  <c r="I513" i="11"/>
  <c r="H513" i="11"/>
  <c r="G513" i="11"/>
  <c r="F513" i="11"/>
  <c r="E513" i="11"/>
  <c r="D513" i="11"/>
  <c r="C513" i="11"/>
  <c r="B513" i="11"/>
  <c r="Q512" i="11"/>
  <c r="K512" i="11"/>
  <c r="J512" i="11"/>
  <c r="I512" i="11"/>
  <c r="H512" i="11"/>
  <c r="G512" i="11"/>
  <c r="F512" i="11"/>
  <c r="E512" i="11"/>
  <c r="D512" i="11"/>
  <c r="C512" i="11"/>
  <c r="B512" i="11"/>
  <c r="Q511" i="11"/>
  <c r="K511" i="11"/>
  <c r="J511" i="11"/>
  <c r="I511" i="11"/>
  <c r="H511" i="11"/>
  <c r="G511" i="11"/>
  <c r="F511" i="11"/>
  <c r="E511" i="11"/>
  <c r="D511" i="11"/>
  <c r="C511" i="11"/>
  <c r="B511" i="11"/>
  <c r="Q510" i="11"/>
  <c r="K510" i="11"/>
  <c r="J510" i="11"/>
  <c r="I510" i="11"/>
  <c r="H510" i="11"/>
  <c r="G510" i="11"/>
  <c r="F510" i="11"/>
  <c r="E510" i="11"/>
  <c r="D510" i="11"/>
  <c r="C510" i="11"/>
  <c r="B510" i="11"/>
  <c r="Q509" i="11"/>
  <c r="K509" i="11"/>
  <c r="J509" i="11"/>
  <c r="I509" i="11"/>
  <c r="H509" i="11"/>
  <c r="G509" i="11"/>
  <c r="F509" i="11"/>
  <c r="E509" i="11"/>
  <c r="D509" i="11"/>
  <c r="C509" i="11"/>
  <c r="B509" i="11"/>
  <c r="Q508" i="11"/>
  <c r="K508" i="11"/>
  <c r="J508" i="11"/>
  <c r="I508" i="11"/>
  <c r="H508" i="11"/>
  <c r="G508" i="11"/>
  <c r="F508" i="11"/>
  <c r="E508" i="11"/>
  <c r="D508" i="11"/>
  <c r="C508" i="11"/>
  <c r="B508" i="11"/>
  <c r="Q507" i="11"/>
  <c r="K507" i="11"/>
  <c r="J507" i="11"/>
  <c r="I507" i="11"/>
  <c r="H507" i="11"/>
  <c r="G507" i="11"/>
  <c r="F507" i="11"/>
  <c r="E507" i="11"/>
  <c r="D507" i="11"/>
  <c r="C507" i="11"/>
  <c r="B507" i="11"/>
  <c r="Q506" i="11"/>
  <c r="K506" i="11"/>
  <c r="J506" i="11"/>
  <c r="I506" i="11"/>
  <c r="H506" i="11"/>
  <c r="G506" i="11"/>
  <c r="F506" i="11"/>
  <c r="E506" i="11"/>
  <c r="D506" i="11"/>
  <c r="C506" i="11"/>
  <c r="B506" i="11"/>
  <c r="Q505" i="11"/>
  <c r="K505" i="11"/>
  <c r="J505" i="11"/>
  <c r="I505" i="11"/>
  <c r="H505" i="11"/>
  <c r="G505" i="11"/>
  <c r="F505" i="11"/>
  <c r="E505" i="11"/>
  <c r="D505" i="11"/>
  <c r="C505" i="11"/>
  <c r="B505" i="11"/>
  <c r="Q504" i="11"/>
  <c r="K504" i="11"/>
  <c r="J504" i="11"/>
  <c r="I504" i="11"/>
  <c r="H504" i="11"/>
  <c r="G504" i="11"/>
  <c r="F504" i="11"/>
  <c r="E504" i="11"/>
  <c r="D504" i="11"/>
  <c r="C504" i="11"/>
  <c r="B504" i="11"/>
  <c r="Q503" i="11"/>
  <c r="K503" i="11"/>
  <c r="J503" i="11"/>
  <c r="I503" i="11"/>
  <c r="H503" i="11"/>
  <c r="G503" i="11"/>
  <c r="F503" i="11"/>
  <c r="E503" i="11"/>
  <c r="D503" i="11"/>
  <c r="C503" i="11"/>
  <c r="B503" i="11"/>
  <c r="Q502" i="11"/>
  <c r="K502" i="11"/>
  <c r="J502" i="11"/>
  <c r="I502" i="11"/>
  <c r="H502" i="11"/>
  <c r="G502" i="11"/>
  <c r="F502" i="11"/>
  <c r="E502" i="11"/>
  <c r="D502" i="11"/>
  <c r="C502" i="11"/>
  <c r="B502" i="11"/>
  <c r="Q501" i="11"/>
  <c r="K501" i="11"/>
  <c r="J501" i="11"/>
  <c r="I501" i="11"/>
  <c r="H501" i="11"/>
  <c r="G501" i="11"/>
  <c r="F501" i="11"/>
  <c r="E501" i="11"/>
  <c r="D501" i="11"/>
  <c r="C501" i="11"/>
  <c r="B501" i="11"/>
  <c r="Q500" i="11"/>
  <c r="K500" i="11"/>
  <c r="J500" i="11"/>
  <c r="I500" i="11"/>
  <c r="H500" i="11"/>
  <c r="G500" i="11"/>
  <c r="F500" i="11"/>
  <c r="E500" i="11"/>
  <c r="D500" i="11"/>
  <c r="C500" i="11"/>
  <c r="B500" i="11"/>
  <c r="Q499" i="11"/>
  <c r="K499" i="11"/>
  <c r="J499" i="11"/>
  <c r="I499" i="11"/>
  <c r="H499" i="11"/>
  <c r="G499" i="11"/>
  <c r="F499" i="11"/>
  <c r="E499" i="11"/>
  <c r="D499" i="11"/>
  <c r="C499" i="11"/>
  <c r="B499" i="11"/>
  <c r="Q498" i="11"/>
  <c r="K498" i="11"/>
  <c r="J498" i="11"/>
  <c r="I498" i="11"/>
  <c r="H498" i="11"/>
  <c r="G498" i="11"/>
  <c r="F498" i="11"/>
  <c r="E498" i="11"/>
  <c r="D498" i="11"/>
  <c r="C498" i="11"/>
  <c r="B498" i="11"/>
  <c r="Q497" i="11"/>
  <c r="K497" i="11"/>
  <c r="J497" i="11"/>
  <c r="I497" i="11"/>
  <c r="H497" i="11"/>
  <c r="G497" i="11"/>
  <c r="F497" i="11"/>
  <c r="E497" i="11"/>
  <c r="D497" i="11"/>
  <c r="C497" i="11"/>
  <c r="B497" i="11"/>
  <c r="Q496" i="11"/>
  <c r="K496" i="11"/>
  <c r="J496" i="11"/>
  <c r="I496" i="11"/>
  <c r="H496" i="11"/>
  <c r="G496" i="11"/>
  <c r="F496" i="11"/>
  <c r="E496" i="11"/>
  <c r="D496" i="11"/>
  <c r="C496" i="11"/>
  <c r="B496" i="11"/>
  <c r="Q495" i="11"/>
  <c r="K495" i="11"/>
  <c r="J495" i="11"/>
  <c r="I495" i="11"/>
  <c r="H495" i="11"/>
  <c r="G495" i="11"/>
  <c r="F495" i="11"/>
  <c r="E495" i="11"/>
  <c r="D495" i="11"/>
  <c r="C495" i="11"/>
  <c r="B495" i="11"/>
  <c r="Q494" i="11"/>
  <c r="K494" i="11"/>
  <c r="J494" i="11"/>
  <c r="I494" i="11"/>
  <c r="H494" i="11"/>
  <c r="G494" i="11"/>
  <c r="F494" i="11"/>
  <c r="E494" i="11"/>
  <c r="D494" i="11"/>
  <c r="C494" i="11"/>
  <c r="B494" i="11"/>
  <c r="Q493" i="11"/>
  <c r="K493" i="11"/>
  <c r="J493" i="11"/>
  <c r="I493" i="11"/>
  <c r="H493" i="11"/>
  <c r="G493" i="11"/>
  <c r="F493" i="11"/>
  <c r="E493" i="11"/>
  <c r="D493" i="11"/>
  <c r="C493" i="11"/>
  <c r="B493" i="11"/>
  <c r="Q492" i="11"/>
  <c r="K492" i="11"/>
  <c r="J492" i="11"/>
  <c r="I492" i="11"/>
  <c r="H492" i="11"/>
  <c r="G492" i="11"/>
  <c r="F492" i="11"/>
  <c r="E492" i="11"/>
  <c r="D492" i="11"/>
  <c r="C492" i="11"/>
  <c r="B492" i="11"/>
  <c r="Q491" i="11"/>
  <c r="K491" i="11"/>
  <c r="J491" i="11"/>
  <c r="I491" i="11"/>
  <c r="H491" i="11"/>
  <c r="G491" i="11"/>
  <c r="F491" i="11"/>
  <c r="E491" i="11"/>
  <c r="D491" i="11"/>
  <c r="C491" i="11"/>
  <c r="B491" i="11"/>
  <c r="Q490" i="11"/>
  <c r="K490" i="11"/>
  <c r="J490" i="11"/>
  <c r="I490" i="11"/>
  <c r="H490" i="11"/>
  <c r="G490" i="11"/>
  <c r="F490" i="11"/>
  <c r="E490" i="11"/>
  <c r="D490" i="11"/>
  <c r="C490" i="11"/>
  <c r="B490" i="11"/>
  <c r="Q489" i="11"/>
  <c r="K489" i="11"/>
  <c r="J489" i="11"/>
  <c r="I489" i="11"/>
  <c r="H489" i="11"/>
  <c r="G489" i="11"/>
  <c r="F489" i="11"/>
  <c r="E489" i="11"/>
  <c r="D489" i="11"/>
  <c r="C489" i="11"/>
  <c r="B489" i="11"/>
  <c r="Q488" i="11"/>
  <c r="K488" i="11"/>
  <c r="J488" i="11"/>
  <c r="I488" i="11"/>
  <c r="H488" i="11"/>
  <c r="G488" i="11"/>
  <c r="F488" i="11"/>
  <c r="E488" i="11"/>
  <c r="D488" i="11"/>
  <c r="C488" i="11"/>
  <c r="B488" i="11"/>
  <c r="Q487" i="11"/>
  <c r="K487" i="11"/>
  <c r="J487" i="11"/>
  <c r="I487" i="11"/>
  <c r="H487" i="11"/>
  <c r="G487" i="11"/>
  <c r="F487" i="11"/>
  <c r="E487" i="11"/>
  <c r="D487" i="11"/>
  <c r="C487" i="11"/>
  <c r="B487" i="11"/>
  <c r="Q486" i="11"/>
  <c r="K486" i="11"/>
  <c r="J486" i="11"/>
  <c r="I486" i="11"/>
  <c r="H486" i="11"/>
  <c r="G486" i="11"/>
  <c r="F486" i="11"/>
  <c r="E486" i="11"/>
  <c r="D486" i="11"/>
  <c r="C486" i="11"/>
  <c r="B486" i="11"/>
  <c r="Q485" i="11"/>
  <c r="K485" i="11"/>
  <c r="J485" i="11"/>
  <c r="I485" i="11"/>
  <c r="H485" i="11"/>
  <c r="G485" i="11"/>
  <c r="F485" i="11"/>
  <c r="E485" i="11"/>
  <c r="D485" i="11"/>
  <c r="C485" i="11"/>
  <c r="B485" i="11"/>
  <c r="Q484" i="11"/>
  <c r="K484" i="11"/>
  <c r="J484" i="11"/>
  <c r="I484" i="11"/>
  <c r="H484" i="11"/>
  <c r="G484" i="11"/>
  <c r="F484" i="11"/>
  <c r="E484" i="11"/>
  <c r="D484" i="11"/>
  <c r="C484" i="11"/>
  <c r="B484" i="11"/>
  <c r="Q483" i="11"/>
  <c r="K483" i="11"/>
  <c r="J483" i="11"/>
  <c r="I483" i="11"/>
  <c r="H483" i="11"/>
  <c r="G483" i="11"/>
  <c r="F483" i="11"/>
  <c r="E483" i="11"/>
  <c r="D483" i="11"/>
  <c r="C483" i="11"/>
  <c r="B483" i="11"/>
  <c r="Q482" i="11"/>
  <c r="K482" i="11"/>
  <c r="J482" i="11"/>
  <c r="I482" i="11"/>
  <c r="H482" i="11"/>
  <c r="G482" i="11"/>
  <c r="F482" i="11"/>
  <c r="E482" i="11"/>
  <c r="D482" i="11"/>
  <c r="C482" i="11"/>
  <c r="B482" i="11"/>
  <c r="Q481" i="11"/>
  <c r="K481" i="11"/>
  <c r="J481" i="11"/>
  <c r="I481" i="11"/>
  <c r="H481" i="11"/>
  <c r="G481" i="11"/>
  <c r="F481" i="11"/>
  <c r="E481" i="11"/>
  <c r="D481" i="11"/>
  <c r="C481" i="11"/>
  <c r="B481" i="11"/>
  <c r="Q480" i="11"/>
  <c r="K480" i="11"/>
  <c r="J480" i="11"/>
  <c r="I480" i="11"/>
  <c r="H480" i="11"/>
  <c r="G480" i="11"/>
  <c r="F480" i="11"/>
  <c r="E480" i="11"/>
  <c r="D480" i="11"/>
  <c r="C480" i="11"/>
  <c r="B480" i="11"/>
  <c r="Q479" i="11"/>
  <c r="K479" i="11"/>
  <c r="J479" i="11"/>
  <c r="I479" i="11"/>
  <c r="H479" i="11"/>
  <c r="G479" i="11"/>
  <c r="F479" i="11"/>
  <c r="E479" i="11"/>
  <c r="D479" i="11"/>
  <c r="C479" i="11"/>
  <c r="B479" i="11"/>
  <c r="Q478" i="11"/>
  <c r="K478" i="11"/>
  <c r="J478" i="11"/>
  <c r="I478" i="11"/>
  <c r="H478" i="11"/>
  <c r="G478" i="11"/>
  <c r="F478" i="11"/>
  <c r="E478" i="11"/>
  <c r="D478" i="11"/>
  <c r="C478" i="11"/>
  <c r="B478" i="11"/>
  <c r="Q477" i="11"/>
  <c r="K477" i="11"/>
  <c r="J477" i="11"/>
  <c r="I477" i="11"/>
  <c r="H477" i="11"/>
  <c r="G477" i="11"/>
  <c r="F477" i="11"/>
  <c r="E477" i="11"/>
  <c r="D477" i="11"/>
  <c r="C477" i="11"/>
  <c r="B477" i="11"/>
  <c r="AC637" i="1" l="1"/>
  <c r="AB637" i="1"/>
  <c r="AC636" i="1"/>
  <c r="AB636" i="1"/>
  <c r="AA636" i="1"/>
  <c r="Z636" i="1"/>
  <c r="Y636" i="1"/>
  <c r="AC635" i="1"/>
  <c r="AB635" i="1"/>
  <c r="AA635" i="1"/>
  <c r="Z635" i="1"/>
  <c r="Y635" i="1"/>
  <c r="AC634" i="1"/>
  <c r="AB634" i="1"/>
  <c r="AA634" i="1"/>
  <c r="Z634" i="1"/>
  <c r="Y634" i="1"/>
  <c r="AC633" i="1"/>
  <c r="AB633" i="1"/>
  <c r="AA633" i="1"/>
  <c r="Z633" i="1"/>
  <c r="Y633" i="1"/>
  <c r="AC632" i="1"/>
  <c r="AB632" i="1"/>
  <c r="AA632" i="1"/>
  <c r="Z632" i="1"/>
  <c r="Y632" i="1"/>
  <c r="AC631" i="1"/>
  <c r="AB631" i="1"/>
  <c r="AA631" i="1"/>
  <c r="Z631" i="1"/>
  <c r="Y631" i="1"/>
  <c r="AC630" i="1"/>
  <c r="AB630" i="1"/>
  <c r="AA630" i="1"/>
  <c r="Z630" i="1"/>
  <c r="Y630" i="1"/>
  <c r="AC629" i="1"/>
  <c r="AB629" i="1"/>
  <c r="AA629" i="1"/>
  <c r="Z629" i="1"/>
  <c r="Y629" i="1"/>
  <c r="AC628" i="1"/>
  <c r="AB628" i="1"/>
  <c r="AA628" i="1"/>
  <c r="Z628" i="1"/>
  <c r="Y628" i="1"/>
  <c r="AC627" i="1"/>
  <c r="AB627" i="1"/>
  <c r="AA627" i="1"/>
  <c r="Z627" i="1"/>
  <c r="Y627" i="1"/>
  <c r="AC626" i="1"/>
  <c r="AB626" i="1"/>
  <c r="AA626" i="1"/>
  <c r="Z626" i="1"/>
  <c r="Y626" i="1"/>
  <c r="AC625" i="1"/>
  <c r="AB625" i="1"/>
  <c r="AA625" i="1"/>
  <c r="Z625" i="1"/>
  <c r="Y625" i="1"/>
  <c r="AC624" i="1"/>
  <c r="AB624" i="1"/>
  <c r="AA624" i="1"/>
  <c r="Z624" i="1"/>
  <c r="Y624" i="1"/>
  <c r="AC623" i="1"/>
  <c r="AB623" i="1"/>
  <c r="AA623" i="1"/>
  <c r="Z623" i="1"/>
  <c r="Y623" i="1"/>
  <c r="AC622" i="1"/>
  <c r="AB622" i="1"/>
  <c r="AA622" i="1"/>
  <c r="Z622" i="1"/>
  <c r="Y622" i="1"/>
  <c r="AC621" i="1"/>
  <c r="AB621" i="1"/>
  <c r="AA621" i="1"/>
  <c r="Z621" i="1"/>
  <c r="Y621" i="1"/>
  <c r="AC620" i="1"/>
  <c r="AB620" i="1"/>
  <c r="AA620" i="1"/>
  <c r="Z620" i="1"/>
  <c r="Y620" i="1"/>
  <c r="AC619" i="1"/>
  <c r="AB619" i="1"/>
  <c r="AA619" i="1"/>
  <c r="Z619" i="1"/>
  <c r="Y619" i="1"/>
  <c r="AC618" i="1"/>
  <c r="AB618" i="1"/>
  <c r="AA618" i="1"/>
  <c r="Z618" i="1"/>
  <c r="Y618" i="1"/>
  <c r="AC617" i="1"/>
  <c r="AB617" i="1"/>
  <c r="AA617" i="1"/>
  <c r="Z617" i="1"/>
  <c r="Y617" i="1"/>
  <c r="AC616" i="1"/>
  <c r="AB616" i="1"/>
  <c r="AA616" i="1"/>
  <c r="Z616" i="1"/>
  <c r="Y616" i="1"/>
  <c r="AC615" i="1"/>
  <c r="AB615" i="1"/>
  <c r="AA615" i="1"/>
  <c r="Z615" i="1"/>
  <c r="Y615" i="1"/>
  <c r="AC614" i="1"/>
  <c r="AB614" i="1"/>
  <c r="AA614" i="1"/>
  <c r="Z614" i="1"/>
  <c r="Y614" i="1"/>
  <c r="AC613" i="1"/>
  <c r="AB613" i="1"/>
  <c r="AA613" i="1"/>
  <c r="Z613" i="1"/>
  <c r="Y613" i="1"/>
  <c r="AC612" i="1"/>
  <c r="AB612" i="1"/>
  <c r="AA612" i="1"/>
  <c r="Z612" i="1"/>
  <c r="Y612" i="1"/>
  <c r="AC611" i="1"/>
  <c r="AB611" i="1"/>
  <c r="AA611" i="1"/>
  <c r="Z611" i="1"/>
  <c r="Y611" i="1"/>
  <c r="AC610" i="1"/>
  <c r="AB610" i="1"/>
  <c r="AA610" i="1"/>
  <c r="Z610" i="1"/>
  <c r="Y610" i="1"/>
  <c r="AC609" i="1"/>
  <c r="AB609" i="1"/>
  <c r="AA609" i="1"/>
  <c r="Z609" i="1"/>
  <c r="Y609" i="1"/>
  <c r="AC608" i="1"/>
  <c r="AB608" i="1"/>
  <c r="AA608" i="1"/>
  <c r="Z608" i="1"/>
  <c r="Y608" i="1"/>
  <c r="AC607" i="1"/>
  <c r="AB607" i="1"/>
  <c r="AA607" i="1"/>
  <c r="Z607" i="1"/>
  <c r="Y607" i="1"/>
  <c r="AC606" i="1"/>
  <c r="AB606" i="1"/>
  <c r="AA606" i="1"/>
  <c r="Z606" i="1"/>
  <c r="Y606" i="1"/>
  <c r="AC605" i="1"/>
  <c r="AB605" i="1"/>
  <c r="AA605" i="1"/>
  <c r="Z605" i="1"/>
  <c r="Y605" i="1"/>
  <c r="AC604" i="1"/>
  <c r="AB604" i="1"/>
  <c r="AA604" i="1"/>
  <c r="Z604" i="1"/>
  <c r="Y604" i="1"/>
  <c r="AC603" i="1"/>
  <c r="AB603" i="1"/>
  <c r="AA603" i="1"/>
  <c r="Z603" i="1"/>
  <c r="Y603" i="1"/>
  <c r="AC602" i="1"/>
  <c r="AB602" i="1"/>
  <c r="AA602" i="1"/>
  <c r="Z602" i="1"/>
  <c r="Y602" i="1"/>
  <c r="AC601" i="1"/>
  <c r="AB601" i="1"/>
  <c r="AA601" i="1"/>
  <c r="Z601" i="1"/>
  <c r="Y601" i="1"/>
  <c r="AC600" i="1"/>
  <c r="AB600" i="1"/>
  <c r="AA600" i="1"/>
  <c r="Z600" i="1"/>
  <c r="Y600" i="1"/>
  <c r="AC599" i="1"/>
  <c r="AB599" i="1"/>
  <c r="AA599" i="1"/>
  <c r="Z599" i="1"/>
  <c r="Y599" i="1"/>
  <c r="AC598" i="1"/>
  <c r="AB598" i="1"/>
  <c r="AA598" i="1"/>
  <c r="Z598" i="1"/>
  <c r="Y598" i="1"/>
  <c r="AC597" i="1"/>
  <c r="AB597" i="1"/>
  <c r="AA597" i="1"/>
  <c r="Z597" i="1"/>
  <c r="Y597" i="1"/>
  <c r="AC596" i="1"/>
  <c r="AB596" i="1"/>
  <c r="AA596" i="1"/>
  <c r="Z596" i="1"/>
  <c r="Y596" i="1"/>
  <c r="AC595" i="1"/>
  <c r="AB595" i="1"/>
  <c r="AA595" i="1"/>
  <c r="Z595" i="1"/>
  <c r="Y595" i="1"/>
  <c r="AC594" i="1"/>
  <c r="AB594" i="1"/>
  <c r="AA594" i="1"/>
  <c r="Z594" i="1"/>
  <c r="Y594" i="1"/>
  <c r="AC593" i="1"/>
  <c r="AB593" i="1"/>
  <c r="AA593" i="1"/>
  <c r="Z593" i="1"/>
  <c r="Y593" i="1"/>
  <c r="AC592" i="1"/>
  <c r="AB592" i="1"/>
  <c r="AA592" i="1"/>
  <c r="Z592" i="1"/>
  <c r="Y592" i="1"/>
  <c r="AC591" i="1"/>
  <c r="AB591" i="1"/>
  <c r="AA591" i="1"/>
  <c r="Z591" i="1"/>
  <c r="Y591" i="1"/>
  <c r="AC590" i="1"/>
  <c r="AB590" i="1"/>
  <c r="AA590" i="1"/>
  <c r="Z590" i="1"/>
  <c r="Y590" i="1"/>
  <c r="AC589" i="1"/>
  <c r="AB589" i="1"/>
  <c r="AA589" i="1"/>
  <c r="Z589" i="1"/>
  <c r="Y589" i="1"/>
  <c r="AC588" i="1"/>
  <c r="AB588" i="1"/>
  <c r="AA588" i="1"/>
  <c r="Z588" i="1"/>
  <c r="Y588" i="1"/>
  <c r="AC587" i="1"/>
  <c r="AB587" i="1"/>
  <c r="AA587" i="1"/>
  <c r="Z587" i="1"/>
  <c r="Y587" i="1"/>
  <c r="AC586" i="1"/>
  <c r="AB586" i="1"/>
  <c r="AA586" i="1"/>
  <c r="Z586" i="1"/>
  <c r="Y586" i="1"/>
  <c r="AC585" i="1"/>
  <c r="AB585" i="1"/>
  <c r="AA585" i="1"/>
  <c r="Z585" i="1"/>
  <c r="Y585" i="1"/>
  <c r="AC584" i="1"/>
  <c r="AB584" i="1"/>
  <c r="AA584" i="1"/>
  <c r="Z584" i="1"/>
  <c r="Y584" i="1"/>
  <c r="AC583" i="1"/>
  <c r="AB583" i="1"/>
  <c r="AA583" i="1"/>
  <c r="Z583" i="1"/>
  <c r="Y583" i="1"/>
  <c r="AC582" i="1"/>
  <c r="AB582" i="1"/>
  <c r="AA582" i="1"/>
  <c r="Z582" i="1"/>
  <c r="Y582" i="1"/>
  <c r="AC581" i="1"/>
  <c r="AB581" i="1"/>
  <c r="AA581" i="1"/>
  <c r="Z581" i="1"/>
  <c r="Y581" i="1"/>
  <c r="AC580" i="1"/>
  <c r="AB580" i="1"/>
  <c r="AA580" i="1"/>
  <c r="Z580" i="1"/>
  <c r="Y580" i="1"/>
  <c r="AC579" i="1"/>
  <c r="AB579" i="1"/>
  <c r="AA579" i="1"/>
  <c r="Z579" i="1"/>
  <c r="Y579" i="1"/>
  <c r="AC578" i="1"/>
  <c r="AB578" i="1"/>
  <c r="AA578" i="1"/>
  <c r="Z578" i="1"/>
  <c r="Y578" i="1"/>
  <c r="AC577" i="1"/>
  <c r="AB577" i="1"/>
  <c r="AA577" i="1"/>
  <c r="Z577" i="1"/>
  <c r="Y577" i="1"/>
  <c r="AC576" i="1"/>
  <c r="AB576" i="1"/>
  <c r="AA576" i="1"/>
  <c r="Z576" i="1"/>
  <c r="Y576" i="1"/>
  <c r="AC575" i="1"/>
  <c r="AB575" i="1"/>
  <c r="AA575" i="1"/>
  <c r="Z575" i="1"/>
  <c r="Y575" i="1"/>
  <c r="AC574" i="1"/>
  <c r="AB574" i="1"/>
  <c r="AA574" i="1"/>
  <c r="Z574" i="1"/>
  <c r="Y574" i="1"/>
  <c r="AC573" i="1"/>
  <c r="AB573" i="1"/>
  <c r="AA573" i="1"/>
  <c r="Z573" i="1"/>
  <c r="Y573" i="1"/>
  <c r="AC572" i="1"/>
  <c r="AB572" i="1"/>
  <c r="AA572" i="1"/>
  <c r="Z572" i="1"/>
  <c r="Y572" i="1"/>
  <c r="AC571" i="1"/>
  <c r="AB571" i="1"/>
  <c r="AA571" i="1"/>
  <c r="Z571" i="1"/>
  <c r="Y571" i="1"/>
  <c r="AC570" i="1"/>
  <c r="AB570" i="1"/>
  <c r="AA570" i="1"/>
  <c r="Z570" i="1"/>
  <c r="Y570" i="1"/>
  <c r="AC569" i="1"/>
  <c r="AB569" i="1"/>
  <c r="AA569" i="1"/>
  <c r="Z569" i="1"/>
  <c r="Y569" i="1"/>
  <c r="AC568" i="1"/>
  <c r="AB568" i="1"/>
  <c r="AA568" i="1"/>
  <c r="Z568" i="1"/>
  <c r="Y568" i="1"/>
  <c r="AC567" i="1"/>
  <c r="AB567" i="1"/>
  <c r="AA567" i="1"/>
  <c r="Z567" i="1"/>
  <c r="Y567" i="1"/>
  <c r="AC566" i="1"/>
  <c r="AB566" i="1"/>
  <c r="AA566" i="1"/>
  <c r="Z566" i="1"/>
  <c r="Y566" i="1"/>
  <c r="AC565" i="1"/>
  <c r="AB565" i="1"/>
  <c r="AA565" i="1"/>
  <c r="Z565" i="1"/>
  <c r="Y565" i="1"/>
  <c r="AC564" i="1"/>
  <c r="AB564" i="1"/>
  <c r="AA564" i="1"/>
  <c r="Z564" i="1"/>
  <c r="Y564" i="1"/>
  <c r="AC563" i="1"/>
  <c r="AB563" i="1"/>
  <c r="AA563" i="1"/>
  <c r="Z563" i="1"/>
  <c r="Y563" i="1"/>
  <c r="AC562" i="1"/>
  <c r="AB562" i="1"/>
  <c r="AA562" i="1"/>
  <c r="Z562" i="1"/>
  <c r="Y562" i="1"/>
  <c r="AC561" i="1"/>
  <c r="AB561" i="1"/>
  <c r="AA561" i="1"/>
  <c r="Z561" i="1"/>
  <c r="Y561" i="1"/>
  <c r="AC560" i="1"/>
  <c r="AB560" i="1"/>
  <c r="AA560" i="1"/>
  <c r="Z560" i="1"/>
  <c r="Y560" i="1"/>
  <c r="AC559" i="1"/>
  <c r="AB559" i="1"/>
  <c r="AA559" i="1"/>
  <c r="Z559" i="1"/>
  <c r="Y559" i="1"/>
  <c r="AC558" i="1"/>
  <c r="AB558" i="1"/>
  <c r="AA558" i="1"/>
  <c r="Z558" i="1"/>
  <c r="Y558" i="1"/>
  <c r="AJ477" i="1" l="1"/>
  <c r="AJ476" i="1"/>
  <c r="AJ475" i="1"/>
  <c r="AJ473" i="1"/>
  <c r="AJ472" i="1"/>
  <c r="AJ471" i="1"/>
  <c r="AJ470" i="1"/>
  <c r="AJ469" i="1"/>
  <c r="AC557" i="1" l="1"/>
  <c r="AB557" i="1"/>
  <c r="AA557" i="1"/>
  <c r="Z557" i="1"/>
  <c r="Y557" i="1"/>
  <c r="AC556" i="1"/>
  <c r="AB556" i="1"/>
  <c r="AA556" i="1"/>
  <c r="Z556" i="1"/>
  <c r="Y556" i="1"/>
  <c r="AC555" i="1"/>
  <c r="AB555" i="1"/>
  <c r="AA555" i="1"/>
  <c r="Z555" i="1"/>
  <c r="Y555" i="1"/>
  <c r="AC554" i="1"/>
  <c r="AB554" i="1"/>
  <c r="AA554" i="1"/>
  <c r="Z554" i="1"/>
  <c r="Y554" i="1"/>
  <c r="AC553" i="1"/>
  <c r="AB553" i="1"/>
  <c r="AA553" i="1"/>
  <c r="Z553" i="1"/>
  <c r="Y553" i="1"/>
  <c r="AC552" i="1"/>
  <c r="AB552" i="1"/>
  <c r="AA552" i="1"/>
  <c r="Z552" i="1"/>
  <c r="Y552" i="1"/>
  <c r="AC551" i="1"/>
  <c r="AB551" i="1"/>
  <c r="AA551" i="1"/>
  <c r="Z551" i="1"/>
  <c r="Y551" i="1"/>
  <c r="AC550" i="1"/>
  <c r="AB550" i="1"/>
  <c r="AA550" i="1"/>
  <c r="Z550" i="1"/>
  <c r="Y550" i="1"/>
  <c r="AC549" i="1"/>
  <c r="AB549" i="1"/>
  <c r="AA549" i="1"/>
  <c r="Z549" i="1"/>
  <c r="Y549" i="1"/>
  <c r="AC548" i="1"/>
  <c r="AB548" i="1"/>
  <c r="AA548" i="1"/>
  <c r="Z548" i="1"/>
  <c r="Y548" i="1"/>
  <c r="AC547" i="1"/>
  <c r="AB547" i="1"/>
  <c r="AA547" i="1"/>
  <c r="Z547" i="1"/>
  <c r="Y547" i="1"/>
  <c r="AC546" i="1"/>
  <c r="AB546" i="1"/>
  <c r="AA546" i="1"/>
  <c r="Z546" i="1"/>
  <c r="Y546" i="1"/>
  <c r="AC545" i="1"/>
  <c r="AB545" i="1"/>
  <c r="AA545" i="1"/>
  <c r="Z545" i="1"/>
  <c r="Y545" i="1"/>
  <c r="AC544" i="1"/>
  <c r="AB544" i="1"/>
  <c r="AA544" i="1"/>
  <c r="Z544" i="1"/>
  <c r="Y544" i="1"/>
  <c r="AC543" i="1"/>
  <c r="AB543" i="1"/>
  <c r="AA543" i="1"/>
  <c r="Z543" i="1"/>
  <c r="Y543" i="1"/>
  <c r="AC542" i="1"/>
  <c r="AB542" i="1"/>
  <c r="AA542" i="1"/>
  <c r="Z542" i="1"/>
  <c r="Y542" i="1"/>
  <c r="AC541" i="1"/>
  <c r="AB541" i="1"/>
  <c r="AA541" i="1"/>
  <c r="Z541" i="1"/>
  <c r="Y541" i="1"/>
  <c r="AC540" i="1"/>
  <c r="AB540" i="1"/>
  <c r="AA540" i="1"/>
  <c r="Z540" i="1"/>
  <c r="Y540" i="1"/>
  <c r="AC539" i="1"/>
  <c r="AB539" i="1"/>
  <c r="AA539" i="1"/>
  <c r="Z539" i="1"/>
  <c r="Y539" i="1"/>
  <c r="AC538" i="1"/>
  <c r="AB538" i="1"/>
  <c r="AA538" i="1"/>
  <c r="Z538" i="1"/>
  <c r="Y538" i="1"/>
  <c r="AC537" i="1"/>
  <c r="AB537" i="1"/>
  <c r="AA537" i="1"/>
  <c r="Z537" i="1"/>
  <c r="Y537" i="1"/>
  <c r="AC536" i="1"/>
  <c r="AB536" i="1"/>
  <c r="AA536" i="1"/>
  <c r="Z536" i="1"/>
  <c r="Y536" i="1"/>
  <c r="AC535" i="1"/>
  <c r="AB535" i="1"/>
  <c r="AA535" i="1"/>
  <c r="Z535" i="1"/>
  <c r="Y535" i="1"/>
  <c r="AC534" i="1"/>
  <c r="AB534" i="1"/>
  <c r="AA534" i="1"/>
  <c r="Z534" i="1"/>
  <c r="Y534" i="1"/>
  <c r="AC533" i="1"/>
  <c r="AB533" i="1"/>
  <c r="AA533" i="1"/>
  <c r="Z533" i="1"/>
  <c r="Y533" i="1"/>
  <c r="AC532" i="1"/>
  <c r="AB532" i="1"/>
  <c r="AA532" i="1"/>
  <c r="Z532" i="1"/>
  <c r="Y532" i="1"/>
  <c r="AC531" i="1"/>
  <c r="AB531" i="1"/>
  <c r="AA531" i="1"/>
  <c r="Z531" i="1"/>
  <c r="Y531" i="1"/>
  <c r="AC530" i="1"/>
  <c r="AB530" i="1"/>
  <c r="AA530" i="1"/>
  <c r="Z530" i="1"/>
  <c r="Y530" i="1"/>
  <c r="AC529" i="1"/>
  <c r="AB529" i="1"/>
  <c r="AA529" i="1"/>
  <c r="Z529" i="1"/>
  <c r="Y529" i="1"/>
  <c r="AC528" i="1"/>
  <c r="AB528" i="1"/>
  <c r="AA528" i="1"/>
  <c r="Z528" i="1"/>
  <c r="Y528" i="1"/>
  <c r="Q432" i="11"/>
  <c r="K432" i="11"/>
  <c r="J432" i="11"/>
  <c r="I432" i="11"/>
  <c r="H432" i="11"/>
  <c r="G432" i="11"/>
  <c r="F432" i="11"/>
  <c r="E432" i="11"/>
  <c r="D432" i="11"/>
  <c r="C432" i="11"/>
  <c r="B432" i="11"/>
  <c r="Q431" i="11"/>
  <c r="K431" i="11"/>
  <c r="J431" i="11"/>
  <c r="I431" i="11"/>
  <c r="H431" i="11"/>
  <c r="G431" i="11"/>
  <c r="F431" i="11"/>
  <c r="E431" i="11"/>
  <c r="D431" i="11"/>
  <c r="C431" i="11"/>
  <c r="B431" i="11"/>
  <c r="Q430" i="11"/>
  <c r="K430" i="11"/>
  <c r="J430" i="11"/>
  <c r="I430" i="11"/>
  <c r="H430" i="11"/>
  <c r="G430" i="11"/>
  <c r="F430" i="11"/>
  <c r="E430" i="11"/>
  <c r="D430" i="11"/>
  <c r="C430" i="11"/>
  <c r="B430" i="11"/>
  <c r="Q429" i="11"/>
  <c r="K429" i="11"/>
  <c r="J429" i="11"/>
  <c r="I429" i="11"/>
  <c r="H429" i="11"/>
  <c r="G429" i="11"/>
  <c r="F429" i="11"/>
  <c r="E429" i="11"/>
  <c r="D429" i="11"/>
  <c r="C429" i="11"/>
  <c r="B429" i="11"/>
  <c r="Q428" i="11"/>
  <c r="K428" i="11"/>
  <c r="J428" i="11"/>
  <c r="I428" i="11"/>
  <c r="H428" i="11"/>
  <c r="G428" i="11"/>
  <c r="F428" i="11"/>
  <c r="E428" i="11"/>
  <c r="D428" i="11"/>
  <c r="C428" i="11"/>
  <c r="B428" i="11"/>
  <c r="Q427" i="11"/>
  <c r="K427" i="11"/>
  <c r="J427" i="11"/>
  <c r="I427" i="11"/>
  <c r="H427" i="11"/>
  <c r="G427" i="11"/>
  <c r="F427" i="11"/>
  <c r="E427" i="11"/>
  <c r="D427" i="11"/>
  <c r="C427" i="11"/>
  <c r="B427" i="11"/>
  <c r="Q426" i="11"/>
  <c r="K426" i="11"/>
  <c r="J426" i="11"/>
  <c r="I426" i="11"/>
  <c r="H426" i="11"/>
  <c r="G426" i="11"/>
  <c r="F426" i="11"/>
  <c r="E426" i="11"/>
  <c r="D426" i="11"/>
  <c r="C426" i="11"/>
  <c r="B426" i="11"/>
  <c r="Q425" i="11"/>
  <c r="K425" i="11"/>
  <c r="J425" i="11"/>
  <c r="I425" i="11"/>
  <c r="H425" i="11"/>
  <c r="G425" i="11"/>
  <c r="F425" i="11"/>
  <c r="E425" i="11"/>
  <c r="D425" i="11"/>
  <c r="C425" i="11"/>
  <c r="B425" i="11"/>
  <c r="Q424" i="11"/>
  <c r="K424" i="11"/>
  <c r="J424" i="11"/>
  <c r="I424" i="11"/>
  <c r="H424" i="11"/>
  <c r="G424" i="11"/>
  <c r="F424" i="11"/>
  <c r="E424" i="11"/>
  <c r="D424" i="11"/>
  <c r="C424" i="11"/>
  <c r="B424" i="11"/>
  <c r="Q423" i="11"/>
  <c r="K423" i="11"/>
  <c r="J423" i="11"/>
  <c r="I423" i="11"/>
  <c r="H423" i="11"/>
  <c r="G423" i="11"/>
  <c r="F423" i="11"/>
  <c r="E423" i="11"/>
  <c r="D423" i="11"/>
  <c r="C423" i="11"/>
  <c r="B423" i="11"/>
  <c r="Q422" i="11"/>
  <c r="K422" i="11"/>
  <c r="J422" i="11"/>
  <c r="I422" i="11"/>
  <c r="H422" i="11"/>
  <c r="G422" i="11"/>
  <c r="F422" i="11"/>
  <c r="E422" i="11"/>
  <c r="D422" i="11"/>
  <c r="C422" i="11"/>
  <c r="B422" i="11"/>
  <c r="Q421" i="11"/>
  <c r="K421" i="11"/>
  <c r="J421" i="11"/>
  <c r="I421" i="11"/>
  <c r="H421" i="11"/>
  <c r="G421" i="11"/>
  <c r="F421" i="11"/>
  <c r="E421" i="11"/>
  <c r="D421" i="11"/>
  <c r="C421" i="11"/>
  <c r="B421" i="11"/>
  <c r="Q420" i="11"/>
  <c r="K420" i="11"/>
  <c r="J420" i="11"/>
  <c r="I420" i="11"/>
  <c r="H420" i="11"/>
  <c r="G420" i="11"/>
  <c r="F420" i="11"/>
  <c r="E420" i="11"/>
  <c r="D420" i="11"/>
  <c r="C420" i="11"/>
  <c r="B420" i="11"/>
  <c r="Q419" i="11"/>
  <c r="K419" i="11"/>
  <c r="J419" i="11"/>
  <c r="I419" i="11"/>
  <c r="H419" i="11"/>
  <c r="G419" i="11"/>
  <c r="F419" i="11"/>
  <c r="E419" i="11"/>
  <c r="D419" i="11"/>
  <c r="C419" i="11"/>
  <c r="B419" i="11"/>
  <c r="Q418" i="11"/>
  <c r="K418" i="11"/>
  <c r="J418" i="11"/>
  <c r="I418" i="11"/>
  <c r="H418" i="11"/>
  <c r="G418" i="11"/>
  <c r="F418" i="11"/>
  <c r="E418" i="11"/>
  <c r="D418" i="11"/>
  <c r="C418" i="11"/>
  <c r="B418" i="11"/>
  <c r="Q417" i="11"/>
  <c r="K417" i="11"/>
  <c r="J417" i="11"/>
  <c r="I417" i="11"/>
  <c r="H417" i="11"/>
  <c r="G417" i="11"/>
  <c r="F417" i="11"/>
  <c r="E417" i="11"/>
  <c r="D417" i="11"/>
  <c r="C417" i="11"/>
  <c r="B417" i="11"/>
  <c r="Q416" i="11"/>
  <c r="K416" i="11"/>
  <c r="J416" i="11"/>
  <c r="I416" i="11"/>
  <c r="H416" i="11"/>
  <c r="G416" i="11"/>
  <c r="F416" i="11"/>
  <c r="E416" i="11"/>
  <c r="D416" i="11"/>
  <c r="C416" i="11"/>
  <c r="B416" i="11"/>
  <c r="Q415" i="11"/>
  <c r="K415" i="11"/>
  <c r="J415" i="11"/>
  <c r="I415" i="11"/>
  <c r="H415" i="11"/>
  <c r="G415" i="11"/>
  <c r="F415" i="11"/>
  <c r="E415" i="11"/>
  <c r="D415" i="11"/>
  <c r="C415" i="11"/>
  <c r="B415" i="11"/>
  <c r="Q414" i="11"/>
  <c r="K414" i="11"/>
  <c r="J414" i="11"/>
  <c r="I414" i="11"/>
  <c r="H414" i="11"/>
  <c r="G414" i="11"/>
  <c r="F414" i="11"/>
  <c r="E414" i="11"/>
  <c r="D414" i="11"/>
  <c r="C414" i="11"/>
  <c r="B414" i="11"/>
  <c r="Q413" i="11"/>
  <c r="K413" i="11"/>
  <c r="J413" i="11"/>
  <c r="I413" i="11"/>
  <c r="H413" i="11"/>
  <c r="G413" i="11"/>
  <c r="F413" i="11"/>
  <c r="E413" i="11"/>
  <c r="D413" i="11"/>
  <c r="C413" i="11"/>
  <c r="B413" i="11"/>
  <c r="Q412" i="11"/>
  <c r="K412" i="11"/>
  <c r="J412" i="11"/>
  <c r="I412" i="11"/>
  <c r="H412" i="11"/>
  <c r="G412" i="11"/>
  <c r="F412" i="11"/>
  <c r="E412" i="11"/>
  <c r="D412" i="11"/>
  <c r="C412" i="11"/>
  <c r="B412" i="11"/>
  <c r="Q411" i="11"/>
  <c r="K411" i="11"/>
  <c r="J411" i="11"/>
  <c r="I411" i="11"/>
  <c r="H411" i="11"/>
  <c r="G411" i="11"/>
  <c r="F411" i="11"/>
  <c r="E411" i="11"/>
  <c r="D411" i="11"/>
  <c r="C411" i="11"/>
  <c r="B411" i="11"/>
  <c r="Q410" i="11"/>
  <c r="K410" i="11"/>
  <c r="J410" i="11"/>
  <c r="I410" i="11"/>
  <c r="H410" i="11"/>
  <c r="G410" i="11"/>
  <c r="F410" i="11"/>
  <c r="E410" i="11"/>
  <c r="D410" i="11"/>
  <c r="C410" i="11"/>
  <c r="B410" i="11"/>
  <c r="Q409" i="11"/>
  <c r="K409" i="11"/>
  <c r="J409" i="11"/>
  <c r="I409" i="11"/>
  <c r="H409" i="11"/>
  <c r="G409" i="11"/>
  <c r="F409" i="11"/>
  <c r="E409" i="11"/>
  <c r="D409" i="11"/>
  <c r="C409" i="11"/>
  <c r="B409" i="11"/>
  <c r="Q408" i="11"/>
  <c r="K408" i="11"/>
  <c r="J408" i="11"/>
  <c r="I408" i="11"/>
  <c r="H408" i="11"/>
  <c r="G408" i="11"/>
  <c r="F408" i="11"/>
  <c r="E408" i="11"/>
  <c r="D408" i="11"/>
  <c r="C408" i="11"/>
  <c r="B408" i="11"/>
  <c r="Q407" i="11"/>
  <c r="K407" i="11"/>
  <c r="J407" i="11"/>
  <c r="I407" i="11"/>
  <c r="H407" i="11"/>
  <c r="G407" i="11"/>
  <c r="F407" i="11"/>
  <c r="E407" i="11"/>
  <c r="D407" i="11"/>
  <c r="C407" i="11"/>
  <c r="B407" i="11"/>
  <c r="Q406" i="11"/>
  <c r="K406" i="11"/>
  <c r="J406" i="11"/>
  <c r="I406" i="11"/>
  <c r="H406" i="11"/>
  <c r="G406" i="11"/>
  <c r="F406" i="11"/>
  <c r="E406" i="11"/>
  <c r="D406" i="11"/>
  <c r="C406" i="11"/>
  <c r="B406" i="11"/>
  <c r="Q405" i="11"/>
  <c r="K405" i="11"/>
  <c r="J405" i="11"/>
  <c r="I405" i="11"/>
  <c r="H405" i="11"/>
  <c r="G405" i="11"/>
  <c r="F405" i="11"/>
  <c r="E405" i="11"/>
  <c r="D405" i="11"/>
  <c r="C405" i="11"/>
  <c r="B405" i="11"/>
  <c r="Q404" i="11"/>
  <c r="K404" i="11"/>
  <c r="J404" i="11"/>
  <c r="I404" i="11"/>
  <c r="H404" i="11"/>
  <c r="G404" i="11"/>
  <c r="F404" i="11"/>
  <c r="E404" i="11"/>
  <c r="D404" i="11"/>
  <c r="C404" i="11"/>
  <c r="B404" i="11"/>
  <c r="Q403" i="11"/>
  <c r="K403" i="11"/>
  <c r="J403" i="11"/>
  <c r="I403" i="11"/>
  <c r="H403" i="11"/>
  <c r="G403" i="11"/>
  <c r="F403" i="11"/>
  <c r="E403" i="11"/>
  <c r="D403" i="11"/>
  <c r="C403" i="11"/>
  <c r="B403" i="11"/>
  <c r="Q402" i="11"/>
  <c r="K402" i="11"/>
  <c r="J402" i="11"/>
  <c r="I402" i="11"/>
  <c r="H402" i="11"/>
  <c r="G402" i="11"/>
  <c r="F402" i="11"/>
  <c r="E402" i="11"/>
  <c r="D402" i="11"/>
  <c r="C402" i="11"/>
  <c r="B402" i="11"/>
  <c r="Q401" i="11"/>
  <c r="K401" i="11"/>
  <c r="J401" i="11"/>
  <c r="I401" i="11"/>
  <c r="H401" i="11"/>
  <c r="G401" i="11"/>
  <c r="F401" i="11"/>
  <c r="E401" i="11"/>
  <c r="D401" i="11"/>
  <c r="C401" i="11"/>
  <c r="B401" i="11"/>
  <c r="Q400" i="11"/>
  <c r="K400" i="11"/>
  <c r="J400" i="11"/>
  <c r="I400" i="11"/>
  <c r="H400" i="11"/>
  <c r="G400" i="11"/>
  <c r="F400" i="11"/>
  <c r="E400" i="11"/>
  <c r="D400" i="11"/>
  <c r="C400" i="11"/>
  <c r="B400" i="11"/>
  <c r="Q399" i="11"/>
  <c r="K399" i="11"/>
  <c r="J399" i="11"/>
  <c r="I399" i="11"/>
  <c r="H399" i="11"/>
  <c r="G399" i="11"/>
  <c r="F399" i="11"/>
  <c r="E399" i="11"/>
  <c r="D399" i="11"/>
  <c r="C399" i="11"/>
  <c r="B399" i="11"/>
  <c r="Q398" i="11"/>
  <c r="K398" i="11"/>
  <c r="J398" i="11"/>
  <c r="I398" i="11"/>
  <c r="H398" i="11"/>
  <c r="G398" i="11"/>
  <c r="F398" i="11"/>
  <c r="E398" i="11"/>
  <c r="D398" i="11"/>
  <c r="C398" i="11"/>
  <c r="B398" i="11"/>
  <c r="Q397" i="11"/>
  <c r="K397" i="11"/>
  <c r="J397" i="11"/>
  <c r="I397" i="11"/>
  <c r="H397" i="11"/>
  <c r="G397" i="11"/>
  <c r="F397" i="11"/>
  <c r="E397" i="11"/>
  <c r="D397" i="11"/>
  <c r="C397" i="11"/>
  <c r="B397" i="11"/>
  <c r="Q396" i="11"/>
  <c r="K396" i="11"/>
  <c r="J396" i="11"/>
  <c r="I396" i="11"/>
  <c r="H396" i="11"/>
  <c r="G396" i="11"/>
  <c r="F396" i="11"/>
  <c r="E396" i="11"/>
  <c r="D396" i="11"/>
  <c r="C396" i="11"/>
  <c r="B396" i="11"/>
  <c r="Q395" i="11"/>
  <c r="K395" i="11"/>
  <c r="J395" i="11"/>
  <c r="I395" i="11"/>
  <c r="H395" i="11"/>
  <c r="G395" i="11"/>
  <c r="F395" i="11"/>
  <c r="E395" i="11"/>
  <c r="D395" i="11"/>
  <c r="C395" i="11"/>
  <c r="B395" i="11"/>
  <c r="Q394" i="11"/>
  <c r="K394" i="11"/>
  <c r="J394" i="11"/>
  <c r="I394" i="11"/>
  <c r="H394" i="11"/>
  <c r="G394" i="11"/>
  <c r="F394" i="11"/>
  <c r="E394" i="11"/>
  <c r="D394" i="11"/>
  <c r="C394" i="11"/>
  <c r="B394" i="11"/>
  <c r="Q393" i="11"/>
  <c r="K393" i="11"/>
  <c r="J393" i="11"/>
  <c r="I393" i="11"/>
  <c r="H393" i="11"/>
  <c r="G393" i="11"/>
  <c r="F393" i="11"/>
  <c r="E393" i="11"/>
  <c r="D393" i="11"/>
  <c r="C393" i="11"/>
  <c r="B393" i="11"/>
  <c r="Q392" i="11"/>
  <c r="K392" i="11"/>
  <c r="J392" i="11"/>
  <c r="I392" i="11"/>
  <c r="H392" i="11"/>
  <c r="G392" i="11"/>
  <c r="F392" i="11"/>
  <c r="E392" i="11"/>
  <c r="D392" i="11"/>
  <c r="C392" i="11"/>
  <c r="B392" i="11"/>
  <c r="Q391" i="11"/>
  <c r="K391" i="11"/>
  <c r="J391" i="11"/>
  <c r="I391" i="11"/>
  <c r="H391" i="11"/>
  <c r="G391" i="11"/>
  <c r="F391" i="11"/>
  <c r="E391" i="11"/>
  <c r="D391" i="11"/>
  <c r="C391" i="11"/>
  <c r="B391" i="11"/>
  <c r="Q390" i="11"/>
  <c r="K390" i="11"/>
  <c r="J390" i="11"/>
  <c r="I390" i="11"/>
  <c r="H390" i="11"/>
  <c r="G390" i="11"/>
  <c r="F390" i="11"/>
  <c r="E390" i="11"/>
  <c r="D390" i="11"/>
  <c r="C390" i="11"/>
  <c r="B390" i="11"/>
  <c r="Q389" i="11"/>
  <c r="K389" i="11"/>
  <c r="J389" i="11"/>
  <c r="I389" i="11"/>
  <c r="H389" i="11"/>
  <c r="G389" i="11"/>
  <c r="F389" i="11"/>
  <c r="E389" i="11"/>
  <c r="D389" i="11"/>
  <c r="C389" i="11"/>
  <c r="B389" i="11"/>
  <c r="Q388" i="11"/>
  <c r="K388" i="11"/>
  <c r="J388" i="11"/>
  <c r="I388" i="11"/>
  <c r="H388" i="11"/>
  <c r="G388" i="11"/>
  <c r="F388" i="11"/>
  <c r="E388" i="11"/>
  <c r="D388" i="11"/>
  <c r="C388" i="11"/>
  <c r="B388" i="11"/>
  <c r="AC527" i="1"/>
  <c r="AB527" i="1"/>
  <c r="AA527" i="1"/>
  <c r="Z527" i="1"/>
  <c r="Y527" i="1"/>
  <c r="AC526" i="1"/>
  <c r="AB526" i="1"/>
  <c r="AA526" i="1"/>
  <c r="Z526" i="1"/>
  <c r="Y526" i="1"/>
  <c r="AC525" i="1"/>
  <c r="AB525" i="1"/>
  <c r="AA525" i="1"/>
  <c r="Z525" i="1"/>
  <c r="Y525" i="1"/>
  <c r="AC524" i="1"/>
  <c r="AB524" i="1"/>
  <c r="AA524" i="1"/>
  <c r="Z524" i="1"/>
  <c r="Y524" i="1"/>
  <c r="AC523" i="1"/>
  <c r="AB523" i="1"/>
  <c r="AA523" i="1"/>
  <c r="Z523" i="1"/>
  <c r="Y523" i="1"/>
  <c r="AC522" i="1"/>
  <c r="AB522" i="1"/>
  <c r="AA522" i="1"/>
  <c r="Z522" i="1"/>
  <c r="Y522" i="1"/>
  <c r="AC521" i="1"/>
  <c r="AB521" i="1"/>
  <c r="AA521" i="1"/>
  <c r="Z521" i="1"/>
  <c r="Y521" i="1"/>
  <c r="AC520" i="1"/>
  <c r="AB520" i="1"/>
  <c r="AA520" i="1"/>
  <c r="Z520" i="1"/>
  <c r="Y520" i="1"/>
  <c r="AC519" i="1"/>
  <c r="AB519" i="1"/>
  <c r="AA519" i="1"/>
  <c r="Z519" i="1"/>
  <c r="Y519" i="1"/>
  <c r="AC518" i="1"/>
  <c r="AB518" i="1"/>
  <c r="AA518" i="1"/>
  <c r="Z518" i="1"/>
  <c r="Y518" i="1"/>
  <c r="AC517" i="1"/>
  <c r="AB517" i="1"/>
  <c r="AA517" i="1"/>
  <c r="Z517" i="1"/>
  <c r="Y517" i="1"/>
  <c r="AC516" i="1"/>
  <c r="AB516" i="1"/>
  <c r="AA516" i="1"/>
  <c r="Z516" i="1"/>
  <c r="Y516" i="1"/>
  <c r="AB697" i="9" l="1"/>
  <c r="V697" i="9"/>
  <c r="U697" i="9"/>
  <c r="P697" i="9"/>
  <c r="O697" i="9"/>
  <c r="N697" i="9"/>
  <c r="M697" i="9"/>
  <c r="L697" i="9"/>
  <c r="K697" i="9"/>
  <c r="S697" i="9" s="1"/>
  <c r="J697" i="9"/>
  <c r="I697" i="9"/>
  <c r="H697" i="9"/>
  <c r="G697" i="9"/>
  <c r="F697" i="9"/>
  <c r="E697" i="9"/>
  <c r="D697" i="9"/>
  <c r="C697" i="9"/>
  <c r="AC515" i="1"/>
  <c r="AB515" i="1"/>
  <c r="AA515" i="1"/>
  <c r="Z515" i="1"/>
  <c r="Y515" i="1"/>
  <c r="AC494" i="1"/>
  <c r="AB494" i="1"/>
  <c r="AA494" i="1"/>
  <c r="Z494" i="1"/>
  <c r="Y494" i="1"/>
  <c r="AC514" i="1"/>
  <c r="AB514" i="1"/>
  <c r="AA514" i="1"/>
  <c r="Z514" i="1"/>
  <c r="Y514" i="1"/>
  <c r="AC513" i="1"/>
  <c r="AB513" i="1"/>
  <c r="AA513" i="1"/>
  <c r="Z513" i="1"/>
  <c r="Y513" i="1"/>
  <c r="AC512" i="1"/>
  <c r="AB512" i="1"/>
  <c r="AA512" i="1"/>
  <c r="Z512" i="1"/>
  <c r="Y512" i="1"/>
  <c r="AC511" i="1"/>
  <c r="AB511" i="1"/>
  <c r="AA511" i="1"/>
  <c r="Z511" i="1"/>
  <c r="Y511" i="1"/>
  <c r="AC510" i="1"/>
  <c r="AB510" i="1"/>
  <c r="AA510" i="1"/>
  <c r="Z510" i="1"/>
  <c r="Y510" i="1"/>
  <c r="AC509" i="1"/>
  <c r="AB509" i="1"/>
  <c r="AA509" i="1"/>
  <c r="Z509" i="1"/>
  <c r="Y509" i="1"/>
  <c r="AC508" i="1"/>
  <c r="AB508" i="1"/>
  <c r="AA508" i="1"/>
  <c r="Z508" i="1"/>
  <c r="Y508" i="1"/>
  <c r="AC507" i="1"/>
  <c r="AB507" i="1"/>
  <c r="AA507" i="1"/>
  <c r="Z507" i="1"/>
  <c r="Y507" i="1"/>
  <c r="AC506" i="1"/>
  <c r="AB506" i="1"/>
  <c r="AA506" i="1"/>
  <c r="Z506" i="1"/>
  <c r="Y506" i="1"/>
  <c r="AC505" i="1"/>
  <c r="AB505" i="1"/>
  <c r="AA505" i="1"/>
  <c r="Z505" i="1"/>
  <c r="Y505" i="1"/>
  <c r="AC504" i="1"/>
  <c r="AB504" i="1"/>
  <c r="AA504" i="1"/>
  <c r="Z504" i="1"/>
  <c r="Y504" i="1"/>
  <c r="AC503" i="1"/>
  <c r="AB503" i="1"/>
  <c r="AA503" i="1"/>
  <c r="Z503" i="1"/>
  <c r="Y503" i="1"/>
  <c r="AC502" i="1"/>
  <c r="AB502" i="1"/>
  <c r="AA502" i="1"/>
  <c r="Z502" i="1"/>
  <c r="Y502" i="1"/>
  <c r="AC501" i="1"/>
  <c r="AB501" i="1"/>
  <c r="AA501" i="1"/>
  <c r="Z501" i="1"/>
  <c r="Y501" i="1"/>
  <c r="AC500" i="1"/>
  <c r="AB500" i="1"/>
  <c r="AA500" i="1"/>
  <c r="Z500" i="1"/>
  <c r="Y500" i="1"/>
  <c r="AC499" i="1"/>
  <c r="AB499" i="1"/>
  <c r="AA499" i="1"/>
  <c r="Z499" i="1"/>
  <c r="Y499" i="1"/>
  <c r="AC498" i="1"/>
  <c r="AB498" i="1"/>
  <c r="AA498" i="1"/>
  <c r="Z498" i="1"/>
  <c r="Y498" i="1"/>
  <c r="AC497" i="1"/>
  <c r="AB497" i="1"/>
  <c r="AA497" i="1"/>
  <c r="Z497" i="1"/>
  <c r="Y497" i="1"/>
  <c r="AC496" i="1"/>
  <c r="AB496" i="1"/>
  <c r="AA496" i="1"/>
  <c r="Z496" i="1"/>
  <c r="Y496" i="1"/>
  <c r="AC495" i="1"/>
  <c r="AB495" i="1"/>
  <c r="AA495" i="1"/>
  <c r="Z495" i="1"/>
  <c r="Y495" i="1"/>
  <c r="AC493" i="1"/>
  <c r="AB493" i="1"/>
  <c r="AA493" i="1"/>
  <c r="Z493" i="1"/>
  <c r="Y493" i="1"/>
  <c r="AC492" i="1"/>
  <c r="AB492" i="1"/>
  <c r="AA492" i="1"/>
  <c r="Z492" i="1"/>
  <c r="Y492" i="1"/>
  <c r="AC491" i="1"/>
  <c r="AB491" i="1"/>
  <c r="AA491" i="1"/>
  <c r="Z491" i="1"/>
  <c r="Y491" i="1"/>
  <c r="AC490" i="1"/>
  <c r="AB490" i="1"/>
  <c r="AA490" i="1"/>
  <c r="Z490" i="1"/>
  <c r="Y490" i="1"/>
  <c r="AC489" i="1"/>
  <c r="AB489" i="1"/>
  <c r="AA489" i="1"/>
  <c r="Z489" i="1"/>
  <c r="Y489" i="1"/>
  <c r="AC488" i="1"/>
  <c r="AB488" i="1"/>
  <c r="AA488" i="1"/>
  <c r="Z488" i="1"/>
  <c r="Y488" i="1"/>
  <c r="AC487" i="1"/>
  <c r="AB487" i="1"/>
  <c r="AA487" i="1"/>
  <c r="Z487" i="1"/>
  <c r="Y487" i="1"/>
  <c r="AC486" i="1"/>
  <c r="AB486" i="1"/>
  <c r="AA486" i="1"/>
  <c r="Z486" i="1"/>
  <c r="Y486" i="1"/>
  <c r="AC485" i="1"/>
  <c r="AB485" i="1"/>
  <c r="AA485" i="1"/>
  <c r="Z485" i="1"/>
  <c r="Y485" i="1"/>
  <c r="AC484" i="1"/>
  <c r="AB484" i="1"/>
  <c r="AA484" i="1"/>
  <c r="Z484" i="1"/>
  <c r="Y484" i="1"/>
  <c r="AC483" i="1"/>
  <c r="AB483" i="1"/>
  <c r="AA483" i="1"/>
  <c r="Z483" i="1"/>
  <c r="Y483" i="1"/>
  <c r="AC482" i="1"/>
  <c r="AB482" i="1"/>
  <c r="AA482" i="1"/>
  <c r="Z482" i="1"/>
  <c r="Y482" i="1"/>
  <c r="AC481" i="1"/>
  <c r="AB481" i="1"/>
  <c r="AA481" i="1"/>
  <c r="Z481" i="1"/>
  <c r="Y481" i="1"/>
  <c r="AC480" i="1"/>
  <c r="AB480" i="1"/>
  <c r="AA480" i="1"/>
  <c r="Z480" i="1"/>
  <c r="Y480" i="1"/>
  <c r="AC479" i="1"/>
  <c r="AB479" i="1"/>
  <c r="AA479" i="1"/>
  <c r="Z479" i="1"/>
  <c r="Y479" i="1"/>
  <c r="AC478" i="1"/>
  <c r="AB478" i="1"/>
  <c r="AA478" i="1"/>
  <c r="Z478" i="1"/>
  <c r="Y478" i="1"/>
  <c r="AC477" i="1"/>
  <c r="AB477" i="1"/>
  <c r="AA477" i="1"/>
  <c r="Z477" i="1"/>
  <c r="Y477" i="1"/>
  <c r="AC476" i="1"/>
  <c r="AB476" i="1"/>
  <c r="AA476" i="1"/>
  <c r="Z476" i="1"/>
  <c r="Y476" i="1"/>
  <c r="AC475" i="1"/>
  <c r="AB475" i="1"/>
  <c r="AA475" i="1"/>
  <c r="Z475" i="1"/>
  <c r="Y475" i="1"/>
  <c r="AC474" i="1"/>
  <c r="AB474" i="1"/>
  <c r="AA474" i="1"/>
  <c r="Z474" i="1"/>
  <c r="Y474" i="1"/>
  <c r="AC473" i="1"/>
  <c r="AB473" i="1"/>
  <c r="AA473" i="1"/>
  <c r="Z473" i="1"/>
  <c r="Y473" i="1"/>
  <c r="AC472" i="1"/>
  <c r="AB472" i="1"/>
  <c r="AA472" i="1"/>
  <c r="Z472" i="1"/>
  <c r="Y472" i="1"/>
  <c r="AC471" i="1"/>
  <c r="AB471" i="1"/>
  <c r="AA471" i="1"/>
  <c r="Z471" i="1"/>
  <c r="Y471" i="1"/>
  <c r="AC470" i="1"/>
  <c r="AB470" i="1"/>
  <c r="AA470" i="1"/>
  <c r="Z470" i="1"/>
  <c r="Y470" i="1"/>
  <c r="AC469" i="1"/>
  <c r="AB469" i="1"/>
  <c r="AA469" i="1"/>
  <c r="Z469" i="1"/>
  <c r="Y469" i="1"/>
  <c r="V648" i="9" l="1"/>
  <c r="U648" i="9"/>
  <c r="P648" i="9"/>
  <c r="O648" i="9"/>
  <c r="N648" i="9"/>
  <c r="M648" i="9"/>
  <c r="L648" i="9"/>
  <c r="K648" i="9"/>
  <c r="S649" i="9" s="1"/>
  <c r="J648" i="9"/>
  <c r="I648" i="9"/>
  <c r="H648" i="9"/>
  <c r="G648" i="9"/>
  <c r="F648" i="9"/>
  <c r="E648" i="9"/>
  <c r="D648" i="9"/>
  <c r="C648" i="9"/>
  <c r="AB648" i="9"/>
  <c r="Q361" i="11"/>
  <c r="K361" i="11"/>
  <c r="J361" i="11"/>
  <c r="I361" i="11"/>
  <c r="H361" i="11"/>
  <c r="G361" i="11"/>
  <c r="F361" i="11"/>
  <c r="E361" i="11"/>
  <c r="D361" i="11"/>
  <c r="C361" i="11"/>
  <c r="B361" i="11"/>
  <c r="AC468" i="1" l="1"/>
  <c r="AB468" i="1"/>
  <c r="AA468" i="1"/>
  <c r="Z468" i="1"/>
  <c r="Y468" i="1"/>
  <c r="AC467" i="1"/>
  <c r="AB467" i="1"/>
  <c r="AA467" i="1"/>
  <c r="Z467" i="1"/>
  <c r="Y467" i="1"/>
  <c r="AC466" i="1"/>
  <c r="AB466" i="1"/>
  <c r="AA466" i="1"/>
  <c r="Z466" i="1"/>
  <c r="Y466" i="1"/>
  <c r="AC465" i="1"/>
  <c r="AB465" i="1"/>
  <c r="AA465" i="1"/>
  <c r="Z465" i="1"/>
  <c r="Y465" i="1"/>
  <c r="AC464" i="1"/>
  <c r="AB464" i="1"/>
  <c r="AA464" i="1"/>
  <c r="Z464" i="1"/>
  <c r="Y464" i="1"/>
  <c r="AC463" i="1"/>
  <c r="AB463" i="1"/>
  <c r="AA463" i="1"/>
  <c r="Z463" i="1"/>
  <c r="Y463" i="1"/>
  <c r="AC462" i="1"/>
  <c r="AB462" i="1"/>
  <c r="AA462" i="1"/>
  <c r="Z462" i="1"/>
  <c r="Y462" i="1"/>
  <c r="AC461" i="1"/>
  <c r="AB461" i="1"/>
  <c r="AA461" i="1"/>
  <c r="Z461" i="1"/>
  <c r="Y461" i="1"/>
  <c r="AC460" i="1"/>
  <c r="AB460" i="1"/>
  <c r="AA460" i="1"/>
  <c r="Z460" i="1"/>
  <c r="Y460" i="1"/>
  <c r="AC459" i="1"/>
  <c r="AB459" i="1"/>
  <c r="AA459" i="1"/>
  <c r="Z459" i="1"/>
  <c r="Y459" i="1"/>
  <c r="AC458" i="1"/>
  <c r="AB458" i="1"/>
  <c r="AA458" i="1"/>
  <c r="Z458" i="1"/>
  <c r="Y458" i="1"/>
  <c r="AC457" i="1"/>
  <c r="AB457" i="1"/>
  <c r="AA457" i="1"/>
  <c r="Z457" i="1"/>
  <c r="Y457" i="1"/>
  <c r="AC456" i="1"/>
  <c r="AB456" i="1"/>
  <c r="AA456" i="1"/>
  <c r="Z456" i="1"/>
  <c r="Y456" i="1"/>
  <c r="AC455" i="1"/>
  <c r="AB455" i="1"/>
  <c r="AA455" i="1"/>
  <c r="Z455" i="1"/>
  <c r="Y455" i="1"/>
  <c r="AC454" i="1"/>
  <c r="AB454" i="1"/>
  <c r="AA454" i="1"/>
  <c r="Z454" i="1"/>
  <c r="Y454" i="1"/>
  <c r="AC453" i="1"/>
  <c r="AB453" i="1"/>
  <c r="AA453" i="1"/>
  <c r="Z453" i="1"/>
  <c r="Y453" i="1"/>
  <c r="AC452" i="1"/>
  <c r="AB452" i="1"/>
  <c r="AA452" i="1"/>
  <c r="Z452" i="1"/>
  <c r="Y452" i="1"/>
  <c r="AC451" i="1"/>
  <c r="AB451" i="1"/>
  <c r="AA451" i="1"/>
  <c r="Z451" i="1"/>
  <c r="Y451" i="1"/>
  <c r="AC450" i="1"/>
  <c r="AB450" i="1"/>
  <c r="AA450" i="1"/>
  <c r="Z450" i="1"/>
  <c r="Y450" i="1"/>
  <c r="AC449" i="1"/>
  <c r="AB449" i="1"/>
  <c r="AA449" i="1"/>
  <c r="Z449" i="1"/>
  <c r="Y449" i="1"/>
  <c r="AC448" i="1"/>
  <c r="AB448" i="1"/>
  <c r="AA448" i="1"/>
  <c r="Z448" i="1"/>
  <c r="Y448" i="1"/>
  <c r="AC447" i="1"/>
  <c r="AB447" i="1"/>
  <c r="AA447" i="1"/>
  <c r="Z447" i="1"/>
  <c r="Y447" i="1"/>
  <c r="AA445" i="1"/>
  <c r="Z445" i="1"/>
  <c r="AC446" i="1"/>
  <c r="AB630" i="9" l="1"/>
  <c r="V630" i="9"/>
  <c r="U630" i="9"/>
  <c r="P630" i="9"/>
  <c r="O630" i="9"/>
  <c r="N630" i="9"/>
  <c r="M630" i="9"/>
  <c r="L630" i="9"/>
  <c r="K630" i="9"/>
  <c r="S632" i="9" s="1"/>
  <c r="J630" i="9"/>
  <c r="I630" i="9"/>
  <c r="H630" i="9"/>
  <c r="G630" i="9"/>
  <c r="F630" i="9"/>
  <c r="E630" i="9"/>
  <c r="D630" i="9"/>
  <c r="C630" i="9"/>
  <c r="AB596" i="9" l="1"/>
  <c r="V596" i="9"/>
  <c r="U596" i="9"/>
  <c r="P596" i="9"/>
  <c r="O596" i="9"/>
  <c r="N596" i="9"/>
  <c r="M596" i="9"/>
  <c r="L596" i="9"/>
  <c r="K596" i="9"/>
  <c r="S596" i="9" s="1"/>
  <c r="J596" i="9"/>
  <c r="I596" i="9"/>
  <c r="H596" i="9"/>
  <c r="G596" i="9"/>
  <c r="F596" i="9"/>
  <c r="E596" i="9"/>
  <c r="D596" i="9"/>
  <c r="C596" i="9"/>
  <c r="Q655" i="11"/>
  <c r="K655" i="11"/>
  <c r="J655" i="11"/>
  <c r="I655" i="11"/>
  <c r="H655" i="11"/>
  <c r="G655" i="11"/>
  <c r="F655" i="11"/>
  <c r="E655" i="11"/>
  <c r="D655" i="11"/>
  <c r="C655" i="11"/>
  <c r="B655" i="11"/>
  <c r="Q654" i="11"/>
  <c r="K654" i="11"/>
  <c r="J654" i="11"/>
  <c r="I654" i="11"/>
  <c r="H654" i="11"/>
  <c r="G654" i="11"/>
  <c r="F654" i="11"/>
  <c r="E654" i="11"/>
  <c r="D654" i="11"/>
  <c r="C654" i="11"/>
  <c r="B654" i="11"/>
  <c r="Q653" i="11"/>
  <c r="K653" i="11"/>
  <c r="J653" i="11"/>
  <c r="I653" i="11"/>
  <c r="H653" i="11"/>
  <c r="G653" i="11"/>
  <c r="F653" i="11"/>
  <c r="E653" i="11"/>
  <c r="D653" i="11"/>
  <c r="C653" i="11"/>
  <c r="B653" i="11"/>
  <c r="Q652" i="11"/>
  <c r="K652" i="11"/>
  <c r="J652" i="11"/>
  <c r="I652" i="11"/>
  <c r="H652" i="11"/>
  <c r="G652" i="11"/>
  <c r="F652" i="11"/>
  <c r="E652" i="11"/>
  <c r="D652" i="11"/>
  <c r="C652" i="11"/>
  <c r="B652" i="11"/>
  <c r="Q651" i="11"/>
  <c r="K651" i="11"/>
  <c r="J651" i="11"/>
  <c r="I651" i="11"/>
  <c r="H651" i="11"/>
  <c r="G651" i="11"/>
  <c r="F651" i="11"/>
  <c r="E651" i="11"/>
  <c r="D651" i="11"/>
  <c r="C651" i="11"/>
  <c r="B651" i="11"/>
  <c r="Q650" i="11"/>
  <c r="K650" i="11"/>
  <c r="J650" i="11"/>
  <c r="I650" i="11"/>
  <c r="H650" i="11"/>
  <c r="G650" i="11"/>
  <c r="F650" i="11"/>
  <c r="E650" i="11"/>
  <c r="D650" i="11"/>
  <c r="C650" i="11"/>
  <c r="B650" i="11"/>
  <c r="Q649" i="11"/>
  <c r="K649" i="11"/>
  <c r="J649" i="11"/>
  <c r="I649" i="11"/>
  <c r="H649" i="11"/>
  <c r="G649" i="11"/>
  <c r="F649" i="11"/>
  <c r="E649" i="11"/>
  <c r="D649" i="11"/>
  <c r="C649" i="11"/>
  <c r="B649" i="11"/>
  <c r="Q648" i="11"/>
  <c r="K648" i="11"/>
  <c r="J648" i="11"/>
  <c r="I648" i="11"/>
  <c r="H648" i="11"/>
  <c r="G648" i="11"/>
  <c r="F648" i="11"/>
  <c r="E648" i="11"/>
  <c r="D648" i="11"/>
  <c r="C648" i="11"/>
  <c r="B648" i="11"/>
  <c r="Q647" i="11"/>
  <c r="K647" i="11"/>
  <c r="J647" i="11"/>
  <c r="I647" i="11"/>
  <c r="H647" i="11"/>
  <c r="G647" i="11"/>
  <c r="F647" i="11"/>
  <c r="E647" i="11"/>
  <c r="D647" i="11"/>
  <c r="C647" i="11"/>
  <c r="B647" i="11"/>
  <c r="Q646" i="11"/>
  <c r="K646" i="11"/>
  <c r="J646" i="11"/>
  <c r="I646" i="11"/>
  <c r="H646" i="11"/>
  <c r="G646" i="11"/>
  <c r="F646" i="11"/>
  <c r="E646" i="11"/>
  <c r="D646" i="11"/>
  <c r="C646" i="11"/>
  <c r="B646" i="11"/>
  <c r="Q645" i="11"/>
  <c r="K645" i="11"/>
  <c r="J645" i="11"/>
  <c r="I645" i="11"/>
  <c r="H645" i="11"/>
  <c r="G645" i="11"/>
  <c r="F645" i="11"/>
  <c r="E645" i="11"/>
  <c r="D645" i="11"/>
  <c r="C645" i="11"/>
  <c r="B645" i="11"/>
  <c r="Q644" i="11"/>
  <c r="K644" i="11"/>
  <c r="J644" i="11"/>
  <c r="I644" i="11"/>
  <c r="H644" i="11"/>
  <c r="G644" i="11"/>
  <c r="F644" i="11"/>
  <c r="E644" i="11"/>
  <c r="D644" i="11"/>
  <c r="C644" i="11"/>
  <c r="B644" i="11"/>
  <c r="Q643" i="11"/>
  <c r="K643" i="11"/>
  <c r="J643" i="11"/>
  <c r="I643" i="11"/>
  <c r="H643" i="11"/>
  <c r="G643" i="11"/>
  <c r="F643" i="11"/>
  <c r="E643" i="11"/>
  <c r="D643" i="11"/>
  <c r="C643" i="11"/>
  <c r="B643" i="11"/>
  <c r="Q642" i="11"/>
  <c r="K642" i="11"/>
  <c r="J642" i="11"/>
  <c r="I642" i="11"/>
  <c r="H642" i="11"/>
  <c r="G642" i="11"/>
  <c r="F642" i="11"/>
  <c r="E642" i="11"/>
  <c r="D642" i="11"/>
  <c r="C642" i="11"/>
  <c r="B642" i="11"/>
  <c r="Q641" i="11"/>
  <c r="K641" i="11"/>
  <c r="J641" i="11"/>
  <c r="I641" i="11"/>
  <c r="H641" i="11"/>
  <c r="G641" i="11"/>
  <c r="F641" i="11"/>
  <c r="E641" i="11"/>
  <c r="D641" i="11"/>
  <c r="C641" i="11"/>
  <c r="B641" i="11"/>
  <c r="Q640" i="11"/>
  <c r="K640" i="11"/>
  <c r="J640" i="11"/>
  <c r="I640" i="11"/>
  <c r="H640" i="11"/>
  <c r="G640" i="11"/>
  <c r="F640" i="11"/>
  <c r="E640" i="11"/>
  <c r="D640" i="11"/>
  <c r="C640" i="11"/>
  <c r="B640" i="11"/>
  <c r="Q639" i="11"/>
  <c r="K639" i="11"/>
  <c r="J639" i="11"/>
  <c r="I639" i="11"/>
  <c r="H639" i="11"/>
  <c r="G639" i="11"/>
  <c r="F639" i="11"/>
  <c r="E639" i="11"/>
  <c r="D639" i="11"/>
  <c r="C639" i="11"/>
  <c r="B639" i="11"/>
  <c r="Q638" i="11"/>
  <c r="K638" i="11"/>
  <c r="J638" i="11"/>
  <c r="I638" i="11"/>
  <c r="H638" i="11"/>
  <c r="G638" i="11"/>
  <c r="F638" i="11"/>
  <c r="E638" i="11"/>
  <c r="D638" i="11"/>
  <c r="C638" i="11"/>
  <c r="B638" i="11"/>
  <c r="Q476" i="11"/>
  <c r="K476" i="11"/>
  <c r="J476" i="11"/>
  <c r="I476" i="11"/>
  <c r="H476" i="11"/>
  <c r="G476" i="11"/>
  <c r="F476" i="11"/>
  <c r="E476" i="11"/>
  <c r="D476" i="11"/>
  <c r="C476" i="11"/>
  <c r="B476" i="11"/>
  <c r="Q475" i="11"/>
  <c r="K475" i="11"/>
  <c r="J475" i="11"/>
  <c r="I475" i="11"/>
  <c r="H475" i="11"/>
  <c r="G475" i="11"/>
  <c r="F475" i="11"/>
  <c r="E475" i="11"/>
  <c r="D475" i="11"/>
  <c r="C475" i="11"/>
  <c r="B475" i="11"/>
  <c r="Q474" i="11"/>
  <c r="K474" i="11"/>
  <c r="J474" i="11"/>
  <c r="I474" i="11"/>
  <c r="H474" i="11"/>
  <c r="G474" i="11"/>
  <c r="F474" i="11"/>
  <c r="E474" i="11"/>
  <c r="D474" i="11"/>
  <c r="C474" i="11"/>
  <c r="B474" i="11"/>
  <c r="Q473" i="11"/>
  <c r="K473" i="11"/>
  <c r="J473" i="11"/>
  <c r="I473" i="11"/>
  <c r="H473" i="11"/>
  <c r="G473" i="11"/>
  <c r="F473" i="11"/>
  <c r="E473" i="11"/>
  <c r="D473" i="11"/>
  <c r="C473" i="11"/>
  <c r="B473" i="11"/>
  <c r="Q472" i="11"/>
  <c r="K472" i="11"/>
  <c r="J472" i="11"/>
  <c r="I472" i="11"/>
  <c r="H472" i="11"/>
  <c r="G472" i="11"/>
  <c r="F472" i="11"/>
  <c r="E472" i="11"/>
  <c r="D472" i="11"/>
  <c r="C472" i="11"/>
  <c r="B472" i="11"/>
  <c r="Q471" i="11"/>
  <c r="K471" i="11"/>
  <c r="J471" i="11"/>
  <c r="I471" i="11"/>
  <c r="H471" i="11"/>
  <c r="G471" i="11"/>
  <c r="F471" i="11"/>
  <c r="E471" i="11"/>
  <c r="D471" i="11"/>
  <c r="C471" i="11"/>
  <c r="B471" i="11"/>
  <c r="Q470" i="11"/>
  <c r="K470" i="11"/>
  <c r="J470" i="11"/>
  <c r="I470" i="11"/>
  <c r="H470" i="11"/>
  <c r="G470" i="11"/>
  <c r="F470" i="11"/>
  <c r="E470" i="11"/>
  <c r="D470" i="11"/>
  <c r="C470" i="11"/>
  <c r="B470" i="11"/>
  <c r="Q469" i="11"/>
  <c r="K469" i="11"/>
  <c r="J469" i="11"/>
  <c r="I469" i="11"/>
  <c r="H469" i="11"/>
  <c r="G469" i="11"/>
  <c r="F469" i="11"/>
  <c r="E469" i="11"/>
  <c r="D469" i="11"/>
  <c r="C469" i="11"/>
  <c r="B469" i="11"/>
  <c r="Q468" i="11"/>
  <c r="K468" i="11"/>
  <c r="J468" i="11"/>
  <c r="I468" i="11"/>
  <c r="H468" i="11"/>
  <c r="G468" i="11"/>
  <c r="F468" i="11"/>
  <c r="E468" i="11"/>
  <c r="D468" i="11"/>
  <c r="C468" i="11"/>
  <c r="B468" i="11"/>
  <c r="Q467" i="11"/>
  <c r="K467" i="11"/>
  <c r="J467" i="11"/>
  <c r="I467" i="11"/>
  <c r="H467" i="11"/>
  <c r="G467" i="11"/>
  <c r="F467" i="11"/>
  <c r="E467" i="11"/>
  <c r="D467" i="11"/>
  <c r="C467" i="11"/>
  <c r="B467" i="11"/>
  <c r="Q466" i="11"/>
  <c r="K466" i="11"/>
  <c r="J466" i="11"/>
  <c r="I466" i="11"/>
  <c r="H466" i="11"/>
  <c r="G466" i="11"/>
  <c r="F466" i="11"/>
  <c r="E466" i="11"/>
  <c r="D466" i="11"/>
  <c r="C466" i="11"/>
  <c r="B466" i="11"/>
  <c r="Q465" i="11"/>
  <c r="K465" i="11"/>
  <c r="J465" i="11"/>
  <c r="I465" i="11"/>
  <c r="H465" i="11"/>
  <c r="G465" i="11"/>
  <c r="F465" i="11"/>
  <c r="E465" i="11"/>
  <c r="D465" i="11"/>
  <c r="C465" i="11"/>
  <c r="B465" i="11"/>
  <c r="Q464" i="11"/>
  <c r="K464" i="11"/>
  <c r="J464" i="11"/>
  <c r="I464" i="11"/>
  <c r="H464" i="11"/>
  <c r="G464" i="11"/>
  <c r="F464" i="11"/>
  <c r="E464" i="11"/>
  <c r="D464" i="11"/>
  <c r="C464" i="11"/>
  <c r="B464" i="11"/>
  <c r="Q463" i="11"/>
  <c r="K463" i="11"/>
  <c r="J463" i="11"/>
  <c r="I463" i="11"/>
  <c r="H463" i="11"/>
  <c r="G463" i="11"/>
  <c r="F463" i="11"/>
  <c r="E463" i="11"/>
  <c r="D463" i="11"/>
  <c r="C463" i="11"/>
  <c r="B463" i="11"/>
  <c r="Q462" i="11"/>
  <c r="K462" i="11"/>
  <c r="J462" i="11"/>
  <c r="I462" i="11"/>
  <c r="H462" i="11"/>
  <c r="G462" i="11"/>
  <c r="F462" i="11"/>
  <c r="E462" i="11"/>
  <c r="D462" i="11"/>
  <c r="C462" i="11"/>
  <c r="B462" i="11"/>
  <c r="Q461" i="11"/>
  <c r="K461" i="11"/>
  <c r="J461" i="11"/>
  <c r="I461" i="11"/>
  <c r="H461" i="11"/>
  <c r="G461" i="11"/>
  <c r="F461" i="11"/>
  <c r="E461" i="11"/>
  <c r="D461" i="11"/>
  <c r="C461" i="11"/>
  <c r="B461" i="11"/>
  <c r="Q460" i="11"/>
  <c r="K460" i="11"/>
  <c r="J460" i="11"/>
  <c r="I460" i="11"/>
  <c r="H460" i="11"/>
  <c r="G460" i="11"/>
  <c r="F460" i="11"/>
  <c r="E460" i="11"/>
  <c r="D460" i="11"/>
  <c r="C460" i="11"/>
  <c r="B460" i="11"/>
  <c r="Q459" i="11"/>
  <c r="K459" i="11"/>
  <c r="J459" i="11"/>
  <c r="I459" i="11"/>
  <c r="H459" i="11"/>
  <c r="G459" i="11"/>
  <c r="F459" i="11"/>
  <c r="E459" i="11"/>
  <c r="D459" i="11"/>
  <c r="C459" i="11"/>
  <c r="B459" i="11"/>
  <c r="Q458" i="11"/>
  <c r="K458" i="11"/>
  <c r="J458" i="11"/>
  <c r="I458" i="11"/>
  <c r="H458" i="11"/>
  <c r="G458" i="11"/>
  <c r="F458" i="11"/>
  <c r="E458" i="11"/>
  <c r="D458" i="11"/>
  <c r="C458" i="11"/>
  <c r="B458" i="11"/>
  <c r="Q457" i="11"/>
  <c r="K457" i="11"/>
  <c r="J457" i="11"/>
  <c r="I457" i="11"/>
  <c r="H457" i="11"/>
  <c r="G457" i="11"/>
  <c r="F457" i="11"/>
  <c r="E457" i="11"/>
  <c r="D457" i="11"/>
  <c r="C457" i="11"/>
  <c r="B457" i="11"/>
  <c r="Q456" i="11"/>
  <c r="K456" i="11"/>
  <c r="J456" i="11"/>
  <c r="I456" i="11"/>
  <c r="H456" i="11"/>
  <c r="G456" i="11"/>
  <c r="F456" i="11"/>
  <c r="E456" i="11"/>
  <c r="D456" i="11"/>
  <c r="C456" i="11"/>
  <c r="B456" i="11"/>
  <c r="Q455" i="11"/>
  <c r="K455" i="11"/>
  <c r="J455" i="11"/>
  <c r="I455" i="11"/>
  <c r="H455" i="11"/>
  <c r="G455" i="11"/>
  <c r="F455" i="11"/>
  <c r="E455" i="11"/>
  <c r="D455" i="11"/>
  <c r="C455" i="11"/>
  <c r="B455" i="11"/>
  <c r="Q454" i="11"/>
  <c r="K454" i="11"/>
  <c r="J454" i="11"/>
  <c r="I454" i="11"/>
  <c r="H454" i="11"/>
  <c r="G454" i="11"/>
  <c r="F454" i="11"/>
  <c r="E454" i="11"/>
  <c r="D454" i="11"/>
  <c r="C454" i="11"/>
  <c r="B454" i="11"/>
  <c r="Q453" i="11"/>
  <c r="K453" i="11"/>
  <c r="J453" i="11"/>
  <c r="I453" i="11"/>
  <c r="H453" i="11"/>
  <c r="G453" i="11"/>
  <c r="F453" i="11"/>
  <c r="E453" i="11"/>
  <c r="D453" i="11"/>
  <c r="C453" i="11"/>
  <c r="B453" i="11"/>
  <c r="Q452" i="11"/>
  <c r="K452" i="11"/>
  <c r="J452" i="11"/>
  <c r="I452" i="11"/>
  <c r="H452" i="11"/>
  <c r="G452" i="11"/>
  <c r="F452" i="11"/>
  <c r="E452" i="11"/>
  <c r="D452" i="11"/>
  <c r="C452" i="11"/>
  <c r="B452" i="11"/>
  <c r="Q451" i="11"/>
  <c r="K451" i="11"/>
  <c r="J451" i="11"/>
  <c r="I451" i="11"/>
  <c r="H451" i="11"/>
  <c r="G451" i="11"/>
  <c r="F451" i="11"/>
  <c r="E451" i="11"/>
  <c r="D451" i="11"/>
  <c r="C451" i="11"/>
  <c r="B451" i="11"/>
  <c r="Q450" i="11"/>
  <c r="K450" i="11"/>
  <c r="J450" i="11"/>
  <c r="I450" i="11"/>
  <c r="H450" i="11"/>
  <c r="G450" i="11"/>
  <c r="F450" i="11"/>
  <c r="E450" i="11"/>
  <c r="D450" i="11"/>
  <c r="C450" i="11"/>
  <c r="B450" i="11"/>
  <c r="Q449" i="11"/>
  <c r="K449" i="11"/>
  <c r="J449" i="11"/>
  <c r="I449" i="11"/>
  <c r="H449" i="11"/>
  <c r="G449" i="11"/>
  <c r="F449" i="11"/>
  <c r="E449" i="11"/>
  <c r="D449" i="11"/>
  <c r="C449" i="11"/>
  <c r="B449" i="11"/>
  <c r="Q448" i="11"/>
  <c r="K448" i="11"/>
  <c r="J448" i="11"/>
  <c r="I448" i="11"/>
  <c r="H448" i="11"/>
  <c r="G448" i="11"/>
  <c r="F448" i="11"/>
  <c r="E448" i="11"/>
  <c r="D448" i="11"/>
  <c r="C448" i="11"/>
  <c r="B448" i="11"/>
  <c r="Q447" i="11"/>
  <c r="K447" i="11"/>
  <c r="J447" i="11"/>
  <c r="I447" i="11"/>
  <c r="H447" i="11"/>
  <c r="G447" i="11"/>
  <c r="F447" i="11"/>
  <c r="E447" i="11"/>
  <c r="D447" i="11"/>
  <c r="C447" i="11"/>
  <c r="B447" i="11"/>
  <c r="Q446" i="11"/>
  <c r="K446" i="11"/>
  <c r="J446" i="11"/>
  <c r="I446" i="11"/>
  <c r="H446" i="11"/>
  <c r="G446" i="11"/>
  <c r="F446" i="11"/>
  <c r="E446" i="11"/>
  <c r="D446" i="11"/>
  <c r="C446" i="11"/>
  <c r="B446" i="11"/>
  <c r="Q445" i="11"/>
  <c r="K445" i="11"/>
  <c r="J445" i="11"/>
  <c r="I445" i="11"/>
  <c r="H445" i="11"/>
  <c r="G445" i="11"/>
  <c r="F445" i="11"/>
  <c r="E445" i="11"/>
  <c r="D445" i="11"/>
  <c r="C445" i="11"/>
  <c r="B445" i="11"/>
  <c r="Q444" i="11"/>
  <c r="K444" i="11"/>
  <c r="J444" i="11"/>
  <c r="I444" i="11"/>
  <c r="H444" i="11"/>
  <c r="G444" i="11"/>
  <c r="F444" i="11"/>
  <c r="E444" i="11"/>
  <c r="D444" i="11"/>
  <c r="C444" i="11"/>
  <c r="B444" i="11"/>
  <c r="Q443" i="11"/>
  <c r="K443" i="11"/>
  <c r="J443" i="11"/>
  <c r="I443" i="11"/>
  <c r="H443" i="11"/>
  <c r="G443" i="11"/>
  <c r="F443" i="11"/>
  <c r="E443" i="11"/>
  <c r="D443" i="11"/>
  <c r="C443" i="11"/>
  <c r="B443" i="11"/>
  <c r="Q442" i="11"/>
  <c r="K442" i="11"/>
  <c r="J442" i="11"/>
  <c r="I442" i="11"/>
  <c r="H442" i="11"/>
  <c r="G442" i="11"/>
  <c r="F442" i="11"/>
  <c r="E442" i="11"/>
  <c r="D442" i="11"/>
  <c r="C442" i="11"/>
  <c r="B442" i="11"/>
  <c r="Q441" i="11"/>
  <c r="K441" i="11"/>
  <c r="J441" i="11"/>
  <c r="I441" i="11"/>
  <c r="H441" i="11"/>
  <c r="G441" i="11"/>
  <c r="F441" i="11"/>
  <c r="E441" i="11"/>
  <c r="D441" i="11"/>
  <c r="C441" i="11"/>
  <c r="B441" i="11"/>
  <c r="Q440" i="11"/>
  <c r="K440" i="11"/>
  <c r="J440" i="11"/>
  <c r="I440" i="11"/>
  <c r="H440" i="11"/>
  <c r="G440" i="11"/>
  <c r="F440" i="11"/>
  <c r="E440" i="11"/>
  <c r="D440" i="11"/>
  <c r="C440" i="11"/>
  <c r="B440" i="11"/>
  <c r="Q439" i="11"/>
  <c r="K439" i="11"/>
  <c r="J439" i="11"/>
  <c r="I439" i="11"/>
  <c r="H439" i="11"/>
  <c r="G439" i="11"/>
  <c r="F439" i="11"/>
  <c r="E439" i="11"/>
  <c r="D439" i="11"/>
  <c r="C439" i="11"/>
  <c r="B439" i="11"/>
  <c r="Q438" i="11"/>
  <c r="K438" i="11"/>
  <c r="J438" i="11"/>
  <c r="I438" i="11"/>
  <c r="H438" i="11"/>
  <c r="G438" i="11"/>
  <c r="F438" i="11"/>
  <c r="E438" i="11"/>
  <c r="D438" i="11"/>
  <c r="C438" i="11"/>
  <c r="B438" i="11"/>
  <c r="Q437" i="11"/>
  <c r="K437" i="11"/>
  <c r="J437" i="11"/>
  <c r="I437" i="11"/>
  <c r="H437" i="11"/>
  <c r="G437" i="11"/>
  <c r="F437" i="11"/>
  <c r="E437" i="11"/>
  <c r="D437" i="11"/>
  <c r="C437" i="11"/>
  <c r="B437" i="11"/>
  <c r="Q436" i="11"/>
  <c r="K436" i="11"/>
  <c r="J436" i="11"/>
  <c r="I436" i="11"/>
  <c r="H436" i="11"/>
  <c r="G436" i="11"/>
  <c r="F436" i="11"/>
  <c r="E436" i="11"/>
  <c r="D436" i="11"/>
  <c r="C436" i="11"/>
  <c r="B436" i="11"/>
  <c r="Q435" i="11"/>
  <c r="K435" i="11"/>
  <c r="J435" i="11"/>
  <c r="I435" i="11"/>
  <c r="H435" i="11"/>
  <c r="G435" i="11"/>
  <c r="F435" i="11"/>
  <c r="E435" i="11"/>
  <c r="D435" i="11"/>
  <c r="C435" i="11"/>
  <c r="B435" i="11"/>
  <c r="Q434" i="11"/>
  <c r="K434" i="11"/>
  <c r="J434" i="11"/>
  <c r="I434" i="11"/>
  <c r="H434" i="11"/>
  <c r="G434" i="11"/>
  <c r="F434" i="11"/>
  <c r="E434" i="11"/>
  <c r="D434" i="11"/>
  <c r="C434" i="11"/>
  <c r="B434" i="11"/>
  <c r="Q433" i="11"/>
  <c r="K433" i="11"/>
  <c r="J433" i="11"/>
  <c r="I433" i="11"/>
  <c r="H433" i="11"/>
  <c r="G433" i="11"/>
  <c r="F433" i="11"/>
  <c r="E433" i="11"/>
  <c r="D433" i="11"/>
  <c r="C433" i="11"/>
  <c r="B433" i="11"/>
  <c r="Q387" i="11"/>
  <c r="K387" i="11"/>
  <c r="J387" i="11"/>
  <c r="I387" i="11"/>
  <c r="H387" i="11"/>
  <c r="G387" i="11"/>
  <c r="F387" i="11"/>
  <c r="E387" i="11"/>
  <c r="D387" i="11"/>
  <c r="C387" i="11"/>
  <c r="B387" i="11"/>
  <c r="Q386" i="11"/>
  <c r="K386" i="11"/>
  <c r="J386" i="11"/>
  <c r="I386" i="11"/>
  <c r="H386" i="11"/>
  <c r="G386" i="11"/>
  <c r="F386" i="11"/>
  <c r="E386" i="11"/>
  <c r="D386" i="11"/>
  <c r="C386" i="11"/>
  <c r="B386" i="11"/>
  <c r="Q385" i="11"/>
  <c r="K385" i="11"/>
  <c r="J385" i="11"/>
  <c r="I385" i="11"/>
  <c r="H385" i="11"/>
  <c r="G385" i="11"/>
  <c r="F385" i="11"/>
  <c r="E385" i="11"/>
  <c r="D385" i="11"/>
  <c r="C385" i="11"/>
  <c r="B385" i="11"/>
  <c r="Q384" i="11"/>
  <c r="K384" i="11"/>
  <c r="J384" i="11"/>
  <c r="I384" i="11"/>
  <c r="H384" i="11"/>
  <c r="G384" i="11"/>
  <c r="F384" i="11"/>
  <c r="E384" i="11"/>
  <c r="D384" i="11"/>
  <c r="C384" i="11"/>
  <c r="B384" i="11"/>
  <c r="Q383" i="11"/>
  <c r="K383" i="11"/>
  <c r="J383" i="11"/>
  <c r="I383" i="11"/>
  <c r="H383" i="11"/>
  <c r="G383" i="11"/>
  <c r="F383" i="11"/>
  <c r="E383" i="11"/>
  <c r="D383" i="11"/>
  <c r="C383" i="11"/>
  <c r="B383" i="11"/>
  <c r="Q382" i="11"/>
  <c r="K382" i="11"/>
  <c r="J382" i="11"/>
  <c r="I382" i="11"/>
  <c r="H382" i="11"/>
  <c r="G382" i="11"/>
  <c r="F382" i="11"/>
  <c r="E382" i="11"/>
  <c r="D382" i="11"/>
  <c r="C382" i="11"/>
  <c r="B382" i="11"/>
  <c r="Q381" i="11"/>
  <c r="K381" i="11"/>
  <c r="J381" i="11"/>
  <c r="I381" i="11"/>
  <c r="H381" i="11"/>
  <c r="G381" i="11"/>
  <c r="F381" i="11"/>
  <c r="E381" i="11"/>
  <c r="D381" i="11"/>
  <c r="C381" i="11"/>
  <c r="B381" i="11"/>
  <c r="Q380" i="11"/>
  <c r="K380" i="11"/>
  <c r="J380" i="11"/>
  <c r="I380" i="11"/>
  <c r="H380" i="11"/>
  <c r="G380" i="11"/>
  <c r="F380" i="11"/>
  <c r="E380" i="11"/>
  <c r="D380" i="11"/>
  <c r="C380" i="11"/>
  <c r="B380" i="11"/>
  <c r="Q379" i="11"/>
  <c r="K379" i="11"/>
  <c r="J379" i="11"/>
  <c r="I379" i="11"/>
  <c r="H379" i="11"/>
  <c r="G379" i="11"/>
  <c r="F379" i="11"/>
  <c r="E379" i="11"/>
  <c r="D379" i="11"/>
  <c r="C379" i="11"/>
  <c r="B379" i="11"/>
  <c r="Q378" i="11"/>
  <c r="K378" i="11"/>
  <c r="J378" i="11"/>
  <c r="I378" i="11"/>
  <c r="H378" i="11"/>
  <c r="G378" i="11"/>
  <c r="F378" i="11"/>
  <c r="E378" i="11"/>
  <c r="D378" i="11"/>
  <c r="C378" i="11"/>
  <c r="B378" i="11"/>
  <c r="Q377" i="11"/>
  <c r="K377" i="11"/>
  <c r="J377" i="11"/>
  <c r="I377" i="11"/>
  <c r="H377" i="11"/>
  <c r="G377" i="11"/>
  <c r="F377" i="11"/>
  <c r="E377" i="11"/>
  <c r="D377" i="11"/>
  <c r="C377" i="11"/>
  <c r="B377" i="11"/>
  <c r="Q376" i="11"/>
  <c r="K376" i="11"/>
  <c r="J376" i="11"/>
  <c r="I376" i="11"/>
  <c r="H376" i="11"/>
  <c r="G376" i="11"/>
  <c r="F376" i="11"/>
  <c r="E376" i="11"/>
  <c r="D376" i="11"/>
  <c r="C376" i="11"/>
  <c r="B376" i="11"/>
  <c r="Q375" i="11"/>
  <c r="K375" i="11"/>
  <c r="J375" i="11"/>
  <c r="I375" i="11"/>
  <c r="H375" i="11"/>
  <c r="G375" i="11"/>
  <c r="F375" i="11"/>
  <c r="E375" i="11"/>
  <c r="D375" i="11"/>
  <c r="C375" i="11"/>
  <c r="B375" i="11"/>
  <c r="Q374" i="11"/>
  <c r="K374" i="11"/>
  <c r="J374" i="11"/>
  <c r="I374" i="11"/>
  <c r="H374" i="11"/>
  <c r="G374" i="11"/>
  <c r="F374" i="11"/>
  <c r="E374" i="11"/>
  <c r="D374" i="11"/>
  <c r="C374" i="11"/>
  <c r="B374" i="11"/>
  <c r="Q373" i="11"/>
  <c r="K373" i="11"/>
  <c r="J373" i="11"/>
  <c r="I373" i="11"/>
  <c r="H373" i="11"/>
  <c r="G373" i="11"/>
  <c r="F373" i="11"/>
  <c r="E373" i="11"/>
  <c r="D373" i="11"/>
  <c r="C373" i="11"/>
  <c r="B373" i="11"/>
  <c r="Q372" i="11"/>
  <c r="K372" i="11"/>
  <c r="J372" i="11"/>
  <c r="I372" i="11"/>
  <c r="H372" i="11"/>
  <c r="G372" i="11"/>
  <c r="F372" i="11"/>
  <c r="E372" i="11"/>
  <c r="D372" i="11"/>
  <c r="C372" i="11"/>
  <c r="B372" i="11"/>
  <c r="Q371" i="11"/>
  <c r="K371" i="11"/>
  <c r="J371" i="11"/>
  <c r="I371" i="11"/>
  <c r="H371" i="11"/>
  <c r="G371" i="11"/>
  <c r="F371" i="11"/>
  <c r="E371" i="11"/>
  <c r="D371" i="11"/>
  <c r="C371" i="11"/>
  <c r="B371" i="11"/>
  <c r="Q370" i="11"/>
  <c r="K370" i="11"/>
  <c r="J370" i="11"/>
  <c r="I370" i="11"/>
  <c r="H370" i="11"/>
  <c r="G370" i="11"/>
  <c r="F370" i="11"/>
  <c r="E370" i="11"/>
  <c r="D370" i="11"/>
  <c r="C370" i="11"/>
  <c r="B370" i="11"/>
  <c r="Q369" i="11"/>
  <c r="K369" i="11"/>
  <c r="J369" i="11"/>
  <c r="I369" i="11"/>
  <c r="H369" i="11"/>
  <c r="G369" i="11"/>
  <c r="F369" i="11"/>
  <c r="E369" i="11"/>
  <c r="D369" i="11"/>
  <c r="C369" i="11"/>
  <c r="B369" i="11"/>
  <c r="Q368" i="11"/>
  <c r="K368" i="11"/>
  <c r="J368" i="11"/>
  <c r="I368" i="11"/>
  <c r="H368" i="11"/>
  <c r="G368" i="11"/>
  <c r="F368" i="11"/>
  <c r="E368" i="11"/>
  <c r="D368" i="11"/>
  <c r="C368" i="11"/>
  <c r="B368" i="11"/>
  <c r="Q367" i="11"/>
  <c r="K367" i="11"/>
  <c r="J367" i="11"/>
  <c r="I367" i="11"/>
  <c r="H367" i="11"/>
  <c r="G367" i="11"/>
  <c r="F367" i="11"/>
  <c r="E367" i="11"/>
  <c r="D367" i="11"/>
  <c r="C367" i="11"/>
  <c r="B367" i="11"/>
  <c r="Q366" i="11"/>
  <c r="K366" i="11"/>
  <c r="J366" i="11"/>
  <c r="I366" i="11"/>
  <c r="H366" i="11"/>
  <c r="G366" i="11"/>
  <c r="F366" i="11"/>
  <c r="E366" i="11"/>
  <c r="D366" i="11"/>
  <c r="C366" i="11"/>
  <c r="B366" i="11"/>
  <c r="Q365" i="11"/>
  <c r="K365" i="11"/>
  <c r="J365" i="11"/>
  <c r="I365" i="11"/>
  <c r="H365" i="11"/>
  <c r="G365" i="11"/>
  <c r="F365" i="11"/>
  <c r="E365" i="11"/>
  <c r="D365" i="11"/>
  <c r="C365" i="11"/>
  <c r="B365" i="11"/>
  <c r="Q364" i="11"/>
  <c r="K364" i="11"/>
  <c r="J364" i="11"/>
  <c r="I364" i="11"/>
  <c r="H364" i="11"/>
  <c r="G364" i="11"/>
  <c r="F364" i="11"/>
  <c r="E364" i="11"/>
  <c r="D364" i="11"/>
  <c r="C364" i="11"/>
  <c r="B364" i="11"/>
  <c r="Q363" i="11"/>
  <c r="K363" i="11"/>
  <c r="J363" i="11"/>
  <c r="I363" i="11"/>
  <c r="H363" i="11"/>
  <c r="G363" i="11"/>
  <c r="F363" i="11"/>
  <c r="E363" i="11"/>
  <c r="D363" i="11"/>
  <c r="C363" i="11"/>
  <c r="B363" i="11"/>
  <c r="Q362" i="11"/>
  <c r="K362" i="11"/>
  <c r="J362" i="11"/>
  <c r="I362" i="11"/>
  <c r="H362" i="11"/>
  <c r="G362" i="11"/>
  <c r="F362" i="11"/>
  <c r="E362" i="11"/>
  <c r="D362" i="11"/>
  <c r="C362" i="11"/>
  <c r="B362" i="11"/>
  <c r="Q360" i="11"/>
  <c r="K360" i="11"/>
  <c r="J360" i="11"/>
  <c r="I360" i="11"/>
  <c r="H360" i="11"/>
  <c r="G360" i="11"/>
  <c r="F360" i="11"/>
  <c r="E360" i="11"/>
  <c r="D360" i="11"/>
  <c r="C360" i="11"/>
  <c r="B360" i="11"/>
  <c r="Q359" i="11"/>
  <c r="K359" i="11"/>
  <c r="J359" i="11"/>
  <c r="I359" i="11"/>
  <c r="H359" i="11"/>
  <c r="G359" i="11"/>
  <c r="F359" i="11"/>
  <c r="E359" i="11"/>
  <c r="D359" i="11"/>
  <c r="C359" i="11"/>
  <c r="B359" i="11"/>
  <c r="Q358" i="11"/>
  <c r="K358" i="11"/>
  <c r="J358" i="11"/>
  <c r="I358" i="11"/>
  <c r="H358" i="11"/>
  <c r="G358" i="11"/>
  <c r="F358" i="11"/>
  <c r="E358" i="11"/>
  <c r="D358" i="11"/>
  <c r="C358" i="11"/>
  <c r="B358" i="11"/>
  <c r="AC445" i="1"/>
  <c r="AB445" i="1"/>
  <c r="Y445" i="1"/>
  <c r="AC444" i="1"/>
  <c r="AB444" i="1"/>
  <c r="AA444" i="1"/>
  <c r="Z444" i="1"/>
  <c r="Y444" i="1"/>
  <c r="AC443" i="1"/>
  <c r="AB443" i="1"/>
  <c r="AA443" i="1"/>
  <c r="Z443" i="1"/>
  <c r="Y443" i="1"/>
  <c r="AC442" i="1"/>
  <c r="AB442" i="1"/>
  <c r="AA442" i="1"/>
  <c r="Z442" i="1"/>
  <c r="Y442" i="1"/>
  <c r="AC441" i="1"/>
  <c r="AB441" i="1"/>
  <c r="AA441" i="1"/>
  <c r="Z441" i="1"/>
  <c r="Y441" i="1"/>
  <c r="AC440" i="1"/>
  <c r="AB440" i="1"/>
  <c r="AA440" i="1"/>
  <c r="Z440" i="1"/>
  <c r="Y440" i="1"/>
  <c r="AC439" i="1"/>
  <c r="AB439" i="1"/>
  <c r="AA439" i="1"/>
  <c r="Z439" i="1"/>
  <c r="Y439" i="1"/>
  <c r="AC438" i="1"/>
  <c r="AB438" i="1"/>
  <c r="AA438" i="1"/>
  <c r="Z438" i="1"/>
  <c r="Y438" i="1"/>
  <c r="AC437" i="1"/>
  <c r="AB437" i="1"/>
  <c r="AA437" i="1"/>
  <c r="Z437" i="1"/>
  <c r="Y437" i="1"/>
  <c r="AC436" i="1"/>
  <c r="AB436" i="1"/>
  <c r="AA436" i="1"/>
  <c r="Z436" i="1"/>
  <c r="Y436" i="1"/>
  <c r="AC435" i="1"/>
  <c r="AB435" i="1"/>
  <c r="AA435" i="1"/>
  <c r="Z435" i="1"/>
  <c r="Y435" i="1"/>
  <c r="AC434" i="1"/>
  <c r="AB434" i="1"/>
  <c r="AA434" i="1"/>
  <c r="Z434" i="1"/>
  <c r="Y434" i="1"/>
  <c r="AC433" i="1"/>
  <c r="AB433" i="1"/>
  <c r="AA433" i="1"/>
  <c r="Z433" i="1"/>
  <c r="Y433" i="1"/>
  <c r="AC432" i="1"/>
  <c r="AB432" i="1"/>
  <c r="AA432" i="1"/>
  <c r="Z432" i="1"/>
  <c r="Y432" i="1"/>
  <c r="AC431" i="1"/>
  <c r="AB431" i="1"/>
  <c r="AA431" i="1"/>
  <c r="Z431" i="1"/>
  <c r="Y431" i="1"/>
  <c r="AC430" i="1"/>
  <c r="AB430" i="1"/>
  <c r="AA430" i="1"/>
  <c r="Z430" i="1"/>
  <c r="Y430" i="1"/>
  <c r="AC429" i="1"/>
  <c r="AB429" i="1"/>
  <c r="AA429" i="1"/>
  <c r="Z429" i="1"/>
  <c r="Y429" i="1"/>
  <c r="AC428" i="1"/>
  <c r="AB428" i="1"/>
  <c r="AA428" i="1"/>
  <c r="Z428" i="1"/>
  <c r="Y428" i="1"/>
  <c r="AC427" i="1"/>
  <c r="AB427" i="1"/>
  <c r="AA427" i="1"/>
  <c r="Z427" i="1"/>
  <c r="Y427" i="1"/>
  <c r="AC426" i="1"/>
  <c r="AB426" i="1"/>
  <c r="AA426" i="1"/>
  <c r="Z426" i="1"/>
  <c r="Y426" i="1"/>
  <c r="AC425" i="1"/>
  <c r="AB425" i="1"/>
  <c r="AA425" i="1"/>
  <c r="Z425" i="1"/>
  <c r="Y425" i="1"/>
  <c r="AC424" i="1"/>
  <c r="AB424" i="1"/>
  <c r="AA424" i="1"/>
  <c r="Z424" i="1"/>
  <c r="Y424" i="1"/>
  <c r="AC423" i="1"/>
  <c r="AB423" i="1"/>
  <c r="AA423" i="1"/>
  <c r="Z423" i="1"/>
  <c r="Y423" i="1"/>
  <c r="AC422" i="1"/>
  <c r="AB422" i="1"/>
  <c r="AA422" i="1"/>
  <c r="Z422" i="1"/>
  <c r="Y422" i="1"/>
  <c r="AC421" i="1"/>
  <c r="AB421" i="1"/>
  <c r="AA421" i="1"/>
  <c r="Z421" i="1"/>
  <c r="Y421" i="1"/>
  <c r="AC420" i="1"/>
  <c r="AB420" i="1"/>
  <c r="AA420" i="1"/>
  <c r="Z420" i="1"/>
  <c r="Y420" i="1"/>
  <c r="AC419" i="1"/>
  <c r="AB419" i="1"/>
  <c r="AA419" i="1"/>
  <c r="Z419" i="1"/>
  <c r="Y419" i="1"/>
  <c r="AC418" i="1"/>
  <c r="AB418" i="1"/>
  <c r="AA418" i="1"/>
  <c r="Z418" i="1"/>
  <c r="Y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3" i="1"/>
  <c r="AB402" i="1"/>
  <c r="AB401" i="1"/>
  <c r="AB400" i="1"/>
  <c r="AB399" i="1"/>
  <c r="AB398" i="1"/>
  <c r="AB397" i="1"/>
  <c r="AB395" i="1"/>
  <c r="AB394" i="1"/>
  <c r="AB393" i="1"/>
  <c r="AB392" i="1"/>
  <c r="AC417" i="1"/>
  <c r="AA417" i="1"/>
  <c r="Z417" i="1"/>
  <c r="Y417" i="1"/>
  <c r="AC416" i="1"/>
  <c r="AA416" i="1"/>
  <c r="Z416" i="1"/>
  <c r="Y416" i="1"/>
  <c r="AC415" i="1"/>
  <c r="AA415" i="1"/>
  <c r="Z415" i="1"/>
  <c r="Y415" i="1"/>
  <c r="AC414" i="1"/>
  <c r="AA414" i="1"/>
  <c r="Z414" i="1"/>
  <c r="Y414" i="1"/>
  <c r="AC413" i="1"/>
  <c r="AA413" i="1"/>
  <c r="Z413" i="1"/>
  <c r="Y413" i="1"/>
  <c r="AC412" i="1"/>
  <c r="AA412" i="1"/>
  <c r="Z412" i="1"/>
  <c r="Y412" i="1"/>
  <c r="AC411" i="1"/>
  <c r="AA411" i="1"/>
  <c r="Z411" i="1"/>
  <c r="Y411" i="1"/>
  <c r="AC410" i="1"/>
  <c r="AA410" i="1"/>
  <c r="Z410" i="1"/>
  <c r="Y410" i="1"/>
  <c r="AC409" i="1"/>
  <c r="AA409" i="1"/>
  <c r="Z409" i="1"/>
  <c r="Y409" i="1"/>
  <c r="AC408" i="1"/>
  <c r="AA408" i="1"/>
  <c r="Z408" i="1"/>
  <c r="Y408" i="1"/>
  <c r="AC407" i="1"/>
  <c r="AA407" i="1"/>
  <c r="Z407" i="1"/>
  <c r="Y407" i="1"/>
  <c r="AC406" i="1"/>
  <c r="AA406" i="1"/>
  <c r="Z406" i="1"/>
  <c r="Y406" i="1"/>
  <c r="AC405" i="1"/>
  <c r="AA405" i="1"/>
  <c r="Z405" i="1"/>
  <c r="Y405" i="1"/>
  <c r="AB561" i="9" l="1"/>
  <c r="V561" i="9"/>
  <c r="U561" i="9"/>
  <c r="P561" i="9"/>
  <c r="O561" i="9"/>
  <c r="N561" i="9"/>
  <c r="M561" i="9"/>
  <c r="L561" i="9"/>
  <c r="K561" i="9"/>
  <c r="S565" i="9" s="1"/>
  <c r="J561" i="9"/>
  <c r="I561" i="9"/>
  <c r="H561" i="9"/>
  <c r="G561" i="9"/>
  <c r="F561" i="9"/>
  <c r="E561" i="9"/>
  <c r="D561" i="9"/>
  <c r="C561" i="9"/>
  <c r="AB560" i="9"/>
  <c r="V560" i="9"/>
  <c r="U560" i="9"/>
  <c r="P560" i="9"/>
  <c r="O560" i="9"/>
  <c r="N560" i="9"/>
  <c r="M560" i="9"/>
  <c r="L560" i="9"/>
  <c r="K560" i="9"/>
  <c r="S560" i="9" s="1"/>
  <c r="J560" i="9"/>
  <c r="I560" i="9"/>
  <c r="H560" i="9"/>
  <c r="G560" i="9"/>
  <c r="F560" i="9"/>
  <c r="E560" i="9"/>
  <c r="D560" i="9"/>
  <c r="C560" i="9"/>
  <c r="AB543" i="9"/>
  <c r="V543" i="9"/>
  <c r="U543" i="9"/>
  <c r="P543" i="9"/>
  <c r="O543" i="9"/>
  <c r="N543" i="9"/>
  <c r="M543" i="9"/>
  <c r="L543" i="9"/>
  <c r="K543" i="9"/>
  <c r="S544" i="9" s="1"/>
  <c r="J543" i="9"/>
  <c r="I543" i="9"/>
  <c r="H543" i="9"/>
  <c r="G543" i="9"/>
  <c r="F543" i="9"/>
  <c r="E543" i="9"/>
  <c r="D543" i="9"/>
  <c r="C543" i="9"/>
  <c r="AB534" i="9"/>
  <c r="V534" i="9"/>
  <c r="U534" i="9"/>
  <c r="P534" i="9"/>
  <c r="O534" i="9"/>
  <c r="N534" i="9"/>
  <c r="M534" i="9"/>
  <c r="L534" i="9"/>
  <c r="K534" i="9"/>
  <c r="S535" i="9" s="1"/>
  <c r="J534" i="9"/>
  <c r="I534" i="9"/>
  <c r="H534" i="9"/>
  <c r="G534" i="9"/>
  <c r="F534" i="9"/>
  <c r="E534" i="9"/>
  <c r="D534" i="9"/>
  <c r="C534" i="9"/>
  <c r="AB533" i="9"/>
  <c r="V533" i="9"/>
  <c r="U533" i="9"/>
  <c r="P533" i="9"/>
  <c r="O533" i="9"/>
  <c r="N533" i="9"/>
  <c r="M533" i="9"/>
  <c r="L533" i="9"/>
  <c r="K533" i="9"/>
  <c r="S533" i="9" s="1"/>
  <c r="J533" i="9"/>
  <c r="I533" i="9"/>
  <c r="H533" i="9"/>
  <c r="G533" i="9"/>
  <c r="F533" i="9"/>
  <c r="E533" i="9"/>
  <c r="D533" i="9"/>
  <c r="C533" i="9"/>
  <c r="Q351" i="11"/>
  <c r="K351" i="11"/>
  <c r="J351" i="11"/>
  <c r="I351" i="11"/>
  <c r="H351" i="11"/>
  <c r="G351" i="11"/>
  <c r="F351" i="11"/>
  <c r="E351" i="11"/>
  <c r="D351" i="11"/>
  <c r="C351" i="11"/>
  <c r="B351" i="11"/>
  <c r="Q350" i="11"/>
  <c r="K350" i="11"/>
  <c r="J350" i="11"/>
  <c r="I350" i="11"/>
  <c r="H350" i="11"/>
  <c r="G350" i="11"/>
  <c r="F350" i="11"/>
  <c r="E350" i="11"/>
  <c r="D350" i="11"/>
  <c r="C350" i="11"/>
  <c r="B350" i="11"/>
  <c r="Q349" i="11"/>
  <c r="K349" i="11"/>
  <c r="J349" i="11"/>
  <c r="I349" i="11"/>
  <c r="H349" i="11"/>
  <c r="G349" i="11"/>
  <c r="F349" i="11"/>
  <c r="E349" i="11"/>
  <c r="D349" i="11"/>
  <c r="C349" i="11"/>
  <c r="B349" i="11"/>
  <c r="Q348" i="11"/>
  <c r="K348" i="11"/>
  <c r="J348" i="11"/>
  <c r="I348" i="11"/>
  <c r="H348" i="11"/>
  <c r="G348" i="11"/>
  <c r="F348" i="11"/>
  <c r="E348" i="11"/>
  <c r="D348" i="11"/>
  <c r="C348" i="11"/>
  <c r="B348" i="11"/>
  <c r="Q347" i="11"/>
  <c r="K347" i="11"/>
  <c r="J347" i="11"/>
  <c r="I347" i="11"/>
  <c r="H347" i="11"/>
  <c r="G347" i="11"/>
  <c r="F347" i="11"/>
  <c r="E347" i="11"/>
  <c r="D347" i="11"/>
  <c r="C347" i="11"/>
  <c r="B347" i="11"/>
  <c r="Q346" i="11"/>
  <c r="K346" i="11"/>
  <c r="J346" i="11"/>
  <c r="I346" i="11"/>
  <c r="H346" i="11"/>
  <c r="G346" i="11"/>
  <c r="F346" i="11"/>
  <c r="E346" i="11"/>
  <c r="D346" i="11"/>
  <c r="C346" i="11"/>
  <c r="B346" i="11"/>
  <c r="Q345" i="11"/>
  <c r="K345" i="11"/>
  <c r="J345" i="11"/>
  <c r="I345" i="11"/>
  <c r="H345" i="11"/>
  <c r="G345" i="11"/>
  <c r="F345" i="11"/>
  <c r="E345" i="11"/>
  <c r="D345" i="11"/>
  <c r="C345" i="11"/>
  <c r="B345" i="11"/>
  <c r="Q344" i="11"/>
  <c r="K344" i="11"/>
  <c r="J344" i="11"/>
  <c r="I344" i="11"/>
  <c r="H344" i="11"/>
  <c r="G344" i="11"/>
  <c r="F344" i="11"/>
  <c r="E344" i="11"/>
  <c r="D344" i="11"/>
  <c r="C344" i="11"/>
  <c r="B344" i="11"/>
  <c r="Q343" i="11"/>
  <c r="K343" i="11"/>
  <c r="J343" i="11"/>
  <c r="I343" i="11"/>
  <c r="H343" i="11"/>
  <c r="G343" i="11"/>
  <c r="F343" i="11"/>
  <c r="E343" i="11"/>
  <c r="D343" i="11"/>
  <c r="C343" i="11"/>
  <c r="B343" i="11"/>
  <c r="Q342" i="11"/>
  <c r="K342" i="11"/>
  <c r="J342" i="11"/>
  <c r="I342" i="11"/>
  <c r="H342" i="11"/>
  <c r="G342" i="11"/>
  <c r="F342" i="11"/>
  <c r="E342" i="11"/>
  <c r="D342" i="11"/>
  <c r="C342" i="11"/>
  <c r="B342" i="11"/>
  <c r="Q341" i="11"/>
  <c r="K341" i="11"/>
  <c r="J341" i="11"/>
  <c r="I341" i="11"/>
  <c r="H341" i="11"/>
  <c r="G341" i="11"/>
  <c r="F341" i="11"/>
  <c r="E341" i="11"/>
  <c r="D341" i="11"/>
  <c r="C341" i="11"/>
  <c r="B341" i="11"/>
  <c r="Q340" i="11"/>
  <c r="K340" i="11"/>
  <c r="J340" i="11"/>
  <c r="I340" i="11"/>
  <c r="H340" i="11"/>
  <c r="G340" i="11"/>
  <c r="F340" i="11"/>
  <c r="E340" i="11"/>
  <c r="D340" i="11"/>
  <c r="C340" i="11"/>
  <c r="B340" i="11"/>
  <c r="Q339" i="11"/>
  <c r="K339" i="11"/>
  <c r="J339" i="11"/>
  <c r="I339" i="11"/>
  <c r="H339" i="11"/>
  <c r="G339" i="11"/>
  <c r="F339" i="11"/>
  <c r="E339" i="11"/>
  <c r="D339" i="11"/>
  <c r="C339" i="11"/>
  <c r="B339" i="11"/>
  <c r="Q338" i="11"/>
  <c r="K338" i="11"/>
  <c r="J338" i="11"/>
  <c r="I338" i="11"/>
  <c r="H338" i="11"/>
  <c r="G338" i="11"/>
  <c r="F338" i="11"/>
  <c r="E338" i="11"/>
  <c r="D338" i="11"/>
  <c r="C338" i="11"/>
  <c r="B338" i="11"/>
  <c r="Q337" i="11"/>
  <c r="K337" i="11"/>
  <c r="J337" i="11"/>
  <c r="I337" i="11"/>
  <c r="H337" i="11"/>
  <c r="G337" i="11"/>
  <c r="F337" i="11"/>
  <c r="E337" i="11"/>
  <c r="D337" i="11"/>
  <c r="C337" i="11"/>
  <c r="B337" i="11"/>
  <c r="Q336" i="11"/>
  <c r="K336" i="11"/>
  <c r="J336" i="11"/>
  <c r="I336" i="11"/>
  <c r="H336" i="11"/>
  <c r="G336" i="11"/>
  <c r="F336" i="11"/>
  <c r="E336" i="11"/>
  <c r="D336" i="11"/>
  <c r="C336" i="11"/>
  <c r="B336" i="11"/>
  <c r="Q335" i="11"/>
  <c r="K335" i="11"/>
  <c r="J335" i="11"/>
  <c r="I335" i="11"/>
  <c r="H335" i="11"/>
  <c r="G335" i="11"/>
  <c r="F335" i="11"/>
  <c r="E335" i="11"/>
  <c r="D335" i="11"/>
  <c r="C335" i="11"/>
  <c r="B335" i="11"/>
  <c r="Q334" i="11"/>
  <c r="K334" i="11"/>
  <c r="J334" i="11"/>
  <c r="I334" i="11"/>
  <c r="H334" i="11"/>
  <c r="G334" i="11"/>
  <c r="F334" i="11"/>
  <c r="E334" i="11"/>
  <c r="D334" i="11"/>
  <c r="C334" i="11"/>
  <c r="B334" i="11"/>
  <c r="Q333" i="11"/>
  <c r="K333" i="11"/>
  <c r="J333" i="11"/>
  <c r="I333" i="11"/>
  <c r="H333" i="11"/>
  <c r="G333" i="11"/>
  <c r="F333" i="11"/>
  <c r="E333" i="11"/>
  <c r="D333" i="11"/>
  <c r="C333" i="11"/>
  <c r="B333" i="11"/>
  <c r="Q332" i="11"/>
  <c r="K332" i="11"/>
  <c r="J332" i="11"/>
  <c r="I332" i="11"/>
  <c r="H332" i="11"/>
  <c r="G332" i="11"/>
  <c r="F332" i="11"/>
  <c r="E332" i="11"/>
  <c r="D332" i="11"/>
  <c r="C332" i="11"/>
  <c r="B332" i="11"/>
  <c r="Q331" i="11"/>
  <c r="K331" i="11"/>
  <c r="J331" i="11"/>
  <c r="I331" i="11"/>
  <c r="H331" i="11"/>
  <c r="G331" i="11"/>
  <c r="F331" i="11"/>
  <c r="E331" i="11"/>
  <c r="D331" i="11"/>
  <c r="C331" i="11"/>
  <c r="B331" i="11"/>
  <c r="Q330" i="11"/>
  <c r="K330" i="11"/>
  <c r="J330" i="11"/>
  <c r="I330" i="11"/>
  <c r="H330" i="11"/>
  <c r="G330" i="11"/>
  <c r="F330" i="11"/>
  <c r="E330" i="11"/>
  <c r="D330" i="11"/>
  <c r="C330" i="11"/>
  <c r="B330" i="11"/>
  <c r="Q329" i="11"/>
  <c r="K329" i="11"/>
  <c r="J329" i="11"/>
  <c r="I329" i="11"/>
  <c r="H329" i="11"/>
  <c r="G329" i="11"/>
  <c r="F329" i="11"/>
  <c r="E329" i="11"/>
  <c r="D329" i="11"/>
  <c r="C329" i="11"/>
  <c r="B329" i="11"/>
  <c r="Q328" i="11"/>
  <c r="K328" i="11"/>
  <c r="J328" i="11"/>
  <c r="I328" i="11"/>
  <c r="H328" i="11"/>
  <c r="G328" i="11"/>
  <c r="F328" i="11"/>
  <c r="E328" i="11"/>
  <c r="D328" i="11"/>
  <c r="C328" i="11"/>
  <c r="B328" i="11"/>
  <c r="Q327" i="11"/>
  <c r="K327" i="11"/>
  <c r="J327" i="11"/>
  <c r="I327" i="11"/>
  <c r="H327" i="11"/>
  <c r="G327" i="11"/>
  <c r="F327" i="11"/>
  <c r="E327" i="11"/>
  <c r="D327" i="11"/>
  <c r="C327" i="11"/>
  <c r="B327" i="11"/>
  <c r="Q326" i="11"/>
  <c r="K326" i="11"/>
  <c r="J326" i="11"/>
  <c r="I326" i="11"/>
  <c r="H326" i="11"/>
  <c r="G326" i="11"/>
  <c r="F326" i="11"/>
  <c r="E326" i="11"/>
  <c r="D326" i="11"/>
  <c r="C326" i="11"/>
  <c r="B326" i="11"/>
  <c r="Q325" i="11"/>
  <c r="K325" i="11"/>
  <c r="J325" i="11"/>
  <c r="I325" i="11"/>
  <c r="H325" i="11"/>
  <c r="G325" i="11"/>
  <c r="F325" i="11"/>
  <c r="E325" i="11"/>
  <c r="D325" i="11"/>
  <c r="C325" i="11"/>
  <c r="B325" i="11"/>
  <c r="Q324" i="11"/>
  <c r="K324" i="11"/>
  <c r="J324" i="11"/>
  <c r="I324" i="11"/>
  <c r="H324" i="11"/>
  <c r="G324" i="11"/>
  <c r="F324" i="11"/>
  <c r="E324" i="11"/>
  <c r="D324" i="11"/>
  <c r="C324" i="11"/>
  <c r="B324" i="11"/>
  <c r="Q323" i="11"/>
  <c r="K323" i="11"/>
  <c r="J323" i="11"/>
  <c r="I323" i="11"/>
  <c r="H323" i="11"/>
  <c r="G323" i="11"/>
  <c r="F323" i="11"/>
  <c r="E323" i="11"/>
  <c r="D323" i="11"/>
  <c r="C323" i="11"/>
  <c r="B323" i="11"/>
  <c r="Q322" i="11"/>
  <c r="K322" i="11"/>
  <c r="J322" i="11"/>
  <c r="I322" i="11"/>
  <c r="H322" i="11"/>
  <c r="G322" i="11"/>
  <c r="F322" i="11"/>
  <c r="E322" i="11"/>
  <c r="D322" i="11"/>
  <c r="C322" i="11"/>
  <c r="B322" i="11"/>
  <c r="Q321" i="11"/>
  <c r="K321" i="11"/>
  <c r="J321" i="11"/>
  <c r="I321" i="11"/>
  <c r="H321" i="11"/>
  <c r="G321" i="11"/>
  <c r="F321" i="11"/>
  <c r="E321" i="11"/>
  <c r="D321" i="11"/>
  <c r="C321" i="11"/>
  <c r="B321" i="11"/>
  <c r="Q320" i="11"/>
  <c r="K320" i="11"/>
  <c r="J320" i="11"/>
  <c r="I320" i="11"/>
  <c r="H320" i="11"/>
  <c r="G320" i="11"/>
  <c r="F320" i="11"/>
  <c r="E320" i="11"/>
  <c r="D320" i="11"/>
  <c r="C320" i="11"/>
  <c r="B320" i="11"/>
  <c r="Q319" i="11"/>
  <c r="K319" i="11"/>
  <c r="J319" i="11"/>
  <c r="I319" i="11"/>
  <c r="H319" i="11"/>
  <c r="G319" i="11"/>
  <c r="F319" i="11"/>
  <c r="E319" i="11"/>
  <c r="D319" i="11"/>
  <c r="C319" i="11"/>
  <c r="B319" i="11"/>
  <c r="Q318" i="11"/>
  <c r="K318" i="11"/>
  <c r="J318" i="11"/>
  <c r="I318" i="11"/>
  <c r="H318" i="11"/>
  <c r="G318" i="11"/>
  <c r="F318" i="11"/>
  <c r="E318" i="11"/>
  <c r="D318" i="11"/>
  <c r="C318" i="11"/>
  <c r="B318" i="11"/>
  <c r="Q317" i="11"/>
  <c r="K317" i="11"/>
  <c r="J317" i="11"/>
  <c r="I317" i="11"/>
  <c r="H317" i="11"/>
  <c r="G317" i="11"/>
  <c r="F317" i="11"/>
  <c r="E317" i="11"/>
  <c r="D317" i="11"/>
  <c r="C317" i="11"/>
  <c r="B317" i="11"/>
  <c r="Q316" i="11"/>
  <c r="K316" i="11"/>
  <c r="J316" i="11"/>
  <c r="I316" i="11"/>
  <c r="H316" i="11"/>
  <c r="G316" i="11"/>
  <c r="F316" i="11"/>
  <c r="E316" i="11"/>
  <c r="D316" i="11"/>
  <c r="C316" i="11"/>
  <c r="B316" i="11"/>
  <c r="Q315" i="11"/>
  <c r="K315" i="11"/>
  <c r="J315" i="11"/>
  <c r="I315" i="11"/>
  <c r="H315" i="11"/>
  <c r="G315" i="11"/>
  <c r="F315" i="11"/>
  <c r="E315" i="11"/>
  <c r="D315" i="11"/>
  <c r="C315" i="11"/>
  <c r="B315" i="11"/>
  <c r="Q314" i="11"/>
  <c r="K314" i="11"/>
  <c r="J314" i="11"/>
  <c r="I314" i="11"/>
  <c r="H314" i="11"/>
  <c r="G314" i="11"/>
  <c r="F314" i="11"/>
  <c r="E314" i="11"/>
  <c r="D314" i="11"/>
  <c r="C314" i="11"/>
  <c r="B314" i="11"/>
  <c r="Q313" i="11"/>
  <c r="K313" i="11"/>
  <c r="J313" i="11"/>
  <c r="I313" i="11"/>
  <c r="H313" i="11"/>
  <c r="G313" i="11"/>
  <c r="F313" i="11"/>
  <c r="E313" i="11"/>
  <c r="D313" i="11"/>
  <c r="C313" i="11"/>
  <c r="B313" i="11"/>
  <c r="Q312" i="11"/>
  <c r="K312" i="11"/>
  <c r="J312" i="11"/>
  <c r="I312" i="11"/>
  <c r="H312" i="11"/>
  <c r="G312" i="11"/>
  <c r="F312" i="11"/>
  <c r="E312" i="11"/>
  <c r="D312" i="11"/>
  <c r="C312" i="11"/>
  <c r="B312" i="11"/>
  <c r="Q311" i="11"/>
  <c r="K311" i="11"/>
  <c r="J311" i="11"/>
  <c r="I311" i="11"/>
  <c r="H311" i="11"/>
  <c r="G311" i="11"/>
  <c r="F311" i="11"/>
  <c r="E311" i="11"/>
  <c r="D311" i="11"/>
  <c r="C311" i="11"/>
  <c r="B311" i="11"/>
  <c r="Q310" i="11"/>
  <c r="K310" i="11"/>
  <c r="J310" i="11"/>
  <c r="I310" i="11"/>
  <c r="H310" i="11"/>
  <c r="G310" i="11"/>
  <c r="F310" i="11"/>
  <c r="E310" i="11"/>
  <c r="D310" i="11"/>
  <c r="C310" i="11"/>
  <c r="B310" i="11"/>
  <c r="Q309" i="11"/>
  <c r="K309" i="11"/>
  <c r="J309" i="11"/>
  <c r="I309" i="11"/>
  <c r="H309" i="11"/>
  <c r="G309" i="11"/>
  <c r="F309" i="11"/>
  <c r="E309" i="11"/>
  <c r="D309" i="11"/>
  <c r="C309" i="11"/>
  <c r="B309" i="11"/>
  <c r="Q308" i="11"/>
  <c r="K308" i="11"/>
  <c r="J308" i="11"/>
  <c r="I308" i="11"/>
  <c r="H308" i="11"/>
  <c r="G308" i="11"/>
  <c r="F308" i="11"/>
  <c r="E308" i="11"/>
  <c r="D308" i="11"/>
  <c r="C308" i="11"/>
  <c r="B308" i="11"/>
  <c r="Q307" i="11"/>
  <c r="K307" i="11"/>
  <c r="J307" i="11"/>
  <c r="I307" i="11"/>
  <c r="H307" i="11"/>
  <c r="G307" i="11"/>
  <c r="F307" i="11"/>
  <c r="E307" i="11"/>
  <c r="D307" i="11"/>
  <c r="C307" i="11"/>
  <c r="B307" i="11"/>
  <c r="Q306" i="11"/>
  <c r="K306" i="11"/>
  <c r="J306" i="11"/>
  <c r="I306" i="11"/>
  <c r="H306" i="11"/>
  <c r="G306" i="11"/>
  <c r="F306" i="11"/>
  <c r="E306" i="11"/>
  <c r="D306" i="11"/>
  <c r="C306" i="11"/>
  <c r="B306" i="11"/>
  <c r="Q305" i="11"/>
  <c r="K305" i="11"/>
  <c r="J305" i="11"/>
  <c r="I305" i="11"/>
  <c r="H305" i="11"/>
  <c r="G305" i="11"/>
  <c r="F305" i="11"/>
  <c r="E305" i="11"/>
  <c r="D305" i="11"/>
  <c r="C305" i="11"/>
  <c r="B305" i="11"/>
  <c r="Q304" i="11"/>
  <c r="K304" i="11"/>
  <c r="J304" i="11"/>
  <c r="I304" i="11"/>
  <c r="H304" i="11"/>
  <c r="G304" i="11"/>
  <c r="F304" i="11"/>
  <c r="E304" i="11"/>
  <c r="D304" i="11"/>
  <c r="C304" i="11"/>
  <c r="B304" i="11"/>
  <c r="AC404" i="1" l="1"/>
  <c r="AA404" i="1"/>
  <c r="Z404" i="1"/>
  <c r="Y404" i="1"/>
  <c r="AC403" i="1" l="1"/>
  <c r="AA403" i="1"/>
  <c r="Z403" i="1"/>
  <c r="Y403" i="1"/>
  <c r="AC402" i="1"/>
  <c r="AA402" i="1"/>
  <c r="Z402" i="1"/>
  <c r="Y402" i="1"/>
  <c r="AC401" i="1"/>
  <c r="AA401" i="1"/>
  <c r="Z401" i="1"/>
  <c r="Y401" i="1"/>
  <c r="AC400" i="1"/>
  <c r="AA400" i="1"/>
  <c r="Z400" i="1"/>
  <c r="Y400" i="1"/>
  <c r="AC399" i="1"/>
  <c r="AA399" i="1"/>
  <c r="Z399" i="1"/>
  <c r="Y399" i="1"/>
  <c r="AC398" i="1"/>
  <c r="AA398" i="1"/>
  <c r="Z398" i="1"/>
  <c r="Y398" i="1"/>
  <c r="AC397" i="1"/>
  <c r="AA397" i="1"/>
  <c r="Z397" i="1"/>
  <c r="Y397" i="1"/>
  <c r="AC396" i="1"/>
  <c r="AB396" i="1"/>
  <c r="AA396" i="1"/>
  <c r="Z396" i="1"/>
  <c r="Y396" i="1"/>
  <c r="AC395" i="1"/>
  <c r="AA395" i="1"/>
  <c r="Z395" i="1"/>
  <c r="Y395" i="1"/>
  <c r="AC394" i="1"/>
  <c r="AA394" i="1"/>
  <c r="Z394" i="1"/>
  <c r="Y394" i="1"/>
  <c r="AC393" i="1"/>
  <c r="AA393" i="1"/>
  <c r="Z393" i="1"/>
  <c r="Y393" i="1"/>
  <c r="AC392" i="1"/>
  <c r="AA392" i="1"/>
  <c r="Z392" i="1"/>
  <c r="Y392" i="1"/>
  <c r="AC391" i="1"/>
  <c r="AB391" i="1"/>
  <c r="AA391" i="1"/>
  <c r="Z391" i="1"/>
  <c r="Y391" i="1"/>
  <c r="AC390" i="1"/>
  <c r="AB390" i="1"/>
  <c r="AA390" i="1"/>
  <c r="Z390" i="1"/>
  <c r="Y390" i="1"/>
  <c r="AC389" i="1"/>
  <c r="AB389" i="1"/>
  <c r="AA389" i="1"/>
  <c r="Z389" i="1"/>
  <c r="Y389" i="1"/>
  <c r="AC388" i="1"/>
  <c r="AB388" i="1"/>
  <c r="AA388" i="1"/>
  <c r="Z388" i="1"/>
  <c r="Y388" i="1"/>
  <c r="AC387" i="1"/>
  <c r="AB387" i="1"/>
  <c r="AA387" i="1"/>
  <c r="Z387" i="1"/>
  <c r="Y387" i="1"/>
  <c r="AC386" i="1"/>
  <c r="AB386" i="1"/>
  <c r="AA386" i="1"/>
  <c r="Z386" i="1"/>
  <c r="Y386" i="1"/>
  <c r="AC385" i="1"/>
  <c r="AB385" i="1"/>
  <c r="AA385" i="1"/>
  <c r="Z385" i="1"/>
  <c r="Y385" i="1"/>
  <c r="AC384" i="1" l="1"/>
  <c r="AB384" i="1"/>
  <c r="AA384" i="1"/>
  <c r="Z384" i="1"/>
  <c r="Y384" i="1"/>
  <c r="AC383" i="1"/>
  <c r="AB383" i="1"/>
  <c r="AA383" i="1"/>
  <c r="Z383" i="1"/>
  <c r="Y383" i="1"/>
  <c r="AC382" i="1"/>
  <c r="AB382" i="1"/>
  <c r="AA382" i="1"/>
  <c r="Z382" i="1"/>
  <c r="Y382" i="1"/>
  <c r="AC381" i="1"/>
  <c r="AB381" i="1"/>
  <c r="AA381" i="1"/>
  <c r="Z381" i="1"/>
  <c r="Y381" i="1"/>
  <c r="AB501" i="9" l="1"/>
  <c r="V501" i="9"/>
  <c r="U501" i="9"/>
  <c r="P501" i="9"/>
  <c r="O501" i="9"/>
  <c r="N501" i="9"/>
  <c r="M501" i="9"/>
  <c r="L501" i="9"/>
  <c r="K501" i="9"/>
  <c r="S501" i="9" s="1"/>
  <c r="J501" i="9"/>
  <c r="I501" i="9"/>
  <c r="H501" i="9"/>
  <c r="G501" i="9"/>
  <c r="F501" i="9"/>
  <c r="E501" i="9"/>
  <c r="D501" i="9"/>
  <c r="C501" i="9"/>
  <c r="P490" i="9"/>
  <c r="O490" i="9"/>
  <c r="N490" i="9"/>
  <c r="M490" i="9"/>
  <c r="L490" i="9"/>
  <c r="K490" i="9"/>
  <c r="S494" i="9" s="1"/>
  <c r="J490" i="9"/>
  <c r="I490" i="9"/>
  <c r="H490" i="9"/>
  <c r="G490" i="9"/>
  <c r="F490" i="9"/>
  <c r="E490" i="9"/>
  <c r="D490" i="9"/>
  <c r="C490" i="9"/>
  <c r="AB490" i="9"/>
  <c r="AC375" i="1" l="1"/>
  <c r="AB375" i="1"/>
  <c r="AA375" i="1"/>
  <c r="Z375" i="1"/>
  <c r="Y375" i="1"/>
  <c r="AC380" i="1"/>
  <c r="AB380" i="1"/>
  <c r="AA380" i="1"/>
  <c r="Z380" i="1"/>
  <c r="Y380" i="1"/>
  <c r="AC379" i="1"/>
  <c r="AB379" i="1"/>
  <c r="AA379" i="1"/>
  <c r="Z379" i="1"/>
  <c r="Y379" i="1"/>
  <c r="AC378" i="1"/>
  <c r="AB378" i="1"/>
  <c r="AA378" i="1"/>
  <c r="Z378" i="1"/>
  <c r="Y378" i="1"/>
  <c r="AC377" i="1"/>
  <c r="AB377" i="1"/>
  <c r="AA377" i="1"/>
  <c r="Z377" i="1"/>
  <c r="Y377" i="1"/>
  <c r="AC376" i="1"/>
  <c r="AB376" i="1"/>
  <c r="AA376" i="1"/>
  <c r="Z376" i="1"/>
  <c r="Y376" i="1"/>
  <c r="AC374" i="1"/>
  <c r="AB374" i="1"/>
  <c r="AA374" i="1"/>
  <c r="Z374" i="1"/>
  <c r="Y374" i="1"/>
  <c r="AC373" i="1"/>
  <c r="AB373" i="1"/>
  <c r="AA373" i="1"/>
  <c r="Z373" i="1"/>
  <c r="Y373" i="1"/>
  <c r="AC372" i="1"/>
  <c r="AB372" i="1"/>
  <c r="AA372" i="1"/>
  <c r="Z372" i="1"/>
  <c r="Y372" i="1"/>
  <c r="Q285" i="11" l="1"/>
  <c r="K285" i="11"/>
  <c r="J285" i="11"/>
  <c r="I285" i="11"/>
  <c r="H285" i="11"/>
  <c r="G285" i="11"/>
  <c r="F285" i="11"/>
  <c r="E285" i="11"/>
  <c r="D285" i="11"/>
  <c r="C285" i="11"/>
  <c r="B285" i="11"/>
  <c r="Q284" i="11"/>
  <c r="K284" i="11"/>
  <c r="J284" i="11"/>
  <c r="I284" i="11"/>
  <c r="H284" i="11"/>
  <c r="G284" i="11"/>
  <c r="F284" i="11"/>
  <c r="E284" i="11"/>
  <c r="D284" i="11"/>
  <c r="C284" i="11"/>
  <c r="B284" i="11"/>
  <c r="AB371" i="1"/>
  <c r="AB370" i="1"/>
  <c r="AB369" i="1"/>
  <c r="AB368" i="1"/>
  <c r="AB367" i="1"/>
  <c r="AB366" i="1"/>
  <c r="AC371" i="1"/>
  <c r="AA371" i="1"/>
  <c r="Z371" i="1"/>
  <c r="Y371" i="1"/>
  <c r="AC370" i="1"/>
  <c r="AA370" i="1"/>
  <c r="Z370" i="1"/>
  <c r="Y370" i="1"/>
  <c r="AC369" i="1"/>
  <c r="AA369" i="1"/>
  <c r="Z369" i="1"/>
  <c r="Y369" i="1"/>
  <c r="AC368" i="1"/>
  <c r="AA368" i="1"/>
  <c r="Z368" i="1"/>
  <c r="Y368" i="1"/>
  <c r="AC367" i="1"/>
  <c r="AA367" i="1"/>
  <c r="Z367" i="1"/>
  <c r="Y367" i="1"/>
  <c r="AC366" i="1"/>
  <c r="AA366" i="1"/>
  <c r="Z366" i="1"/>
  <c r="Y366" i="1"/>
  <c r="AA197" i="1" l="1"/>
  <c r="Z197" i="1"/>
  <c r="AB359" i="1" l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57" i="1"/>
  <c r="AB56" i="1"/>
  <c r="AB55" i="1"/>
  <c r="AB54" i="1"/>
  <c r="AB53" i="1"/>
  <c r="AB48" i="1"/>
  <c r="AB47" i="1"/>
  <c r="AB46" i="1"/>
  <c r="AB45" i="1"/>
  <c r="AB44" i="1"/>
  <c r="AB42" i="1"/>
  <c r="AB41" i="1"/>
  <c r="AB40" i="1"/>
  <c r="AB39" i="1"/>
  <c r="AB38" i="1"/>
  <c r="AB37" i="1"/>
  <c r="AB36" i="1"/>
  <c r="AB35" i="1"/>
  <c r="AB34" i="1"/>
  <c r="AB33" i="1"/>
  <c r="AB29" i="1"/>
  <c r="AB28" i="1"/>
  <c r="AB27" i="1"/>
  <c r="AB26" i="1"/>
  <c r="K283" i="11" l="1"/>
  <c r="J283" i="11"/>
  <c r="I283" i="11"/>
  <c r="H283" i="11"/>
  <c r="G283" i="11"/>
  <c r="F283" i="11"/>
  <c r="E283" i="11"/>
  <c r="D283" i="11"/>
  <c r="C283" i="11"/>
  <c r="B283" i="11"/>
  <c r="K282" i="11"/>
  <c r="J282" i="11"/>
  <c r="I282" i="11"/>
  <c r="H282" i="11"/>
  <c r="G282" i="11"/>
  <c r="F282" i="11"/>
  <c r="E282" i="11"/>
  <c r="D282" i="11"/>
  <c r="C282" i="11"/>
  <c r="B282" i="11"/>
  <c r="Q281" i="11" l="1"/>
  <c r="K281" i="11"/>
  <c r="J281" i="11"/>
  <c r="I281" i="11"/>
  <c r="H281" i="11"/>
  <c r="G281" i="11"/>
  <c r="F281" i="11"/>
  <c r="E281" i="11"/>
  <c r="D281" i="11"/>
  <c r="C281" i="11"/>
  <c r="B281" i="11"/>
  <c r="Q280" i="11"/>
  <c r="K280" i="11"/>
  <c r="J280" i="11"/>
  <c r="I280" i="11"/>
  <c r="H280" i="11"/>
  <c r="G280" i="11"/>
  <c r="F280" i="11"/>
  <c r="E280" i="11"/>
  <c r="D280" i="11"/>
  <c r="C280" i="11"/>
  <c r="B280" i="11"/>
  <c r="Q279" i="11"/>
  <c r="K279" i="11"/>
  <c r="J279" i="11"/>
  <c r="I279" i="11"/>
  <c r="H279" i="11"/>
  <c r="G279" i="11"/>
  <c r="F279" i="11"/>
  <c r="E279" i="11"/>
  <c r="D279" i="11"/>
  <c r="C279" i="11"/>
  <c r="B279" i="11"/>
  <c r="Q278" i="11"/>
  <c r="K278" i="11"/>
  <c r="J278" i="11"/>
  <c r="I278" i="11"/>
  <c r="H278" i="11"/>
  <c r="G278" i="11"/>
  <c r="F278" i="11"/>
  <c r="E278" i="11"/>
  <c r="D278" i="11"/>
  <c r="C278" i="11"/>
  <c r="B278" i="11"/>
  <c r="Q277" i="11"/>
  <c r="K277" i="11"/>
  <c r="J277" i="11"/>
  <c r="I277" i="11"/>
  <c r="H277" i="11"/>
  <c r="G277" i="11"/>
  <c r="F277" i="11"/>
  <c r="E277" i="11"/>
  <c r="D277" i="11"/>
  <c r="C277" i="11"/>
  <c r="B277" i="11"/>
  <c r="Q276" i="11"/>
  <c r="K276" i="11"/>
  <c r="J276" i="11"/>
  <c r="I276" i="11"/>
  <c r="H276" i="11"/>
  <c r="G276" i="11"/>
  <c r="F276" i="11"/>
  <c r="E276" i="11"/>
  <c r="D276" i="11"/>
  <c r="C276" i="11"/>
  <c r="B276" i="11"/>
  <c r="Q275" i="11"/>
  <c r="K275" i="11"/>
  <c r="J275" i="11"/>
  <c r="I275" i="11"/>
  <c r="H275" i="11"/>
  <c r="G275" i="11"/>
  <c r="F275" i="11"/>
  <c r="E275" i="11"/>
  <c r="D275" i="11"/>
  <c r="C275" i="11"/>
  <c r="B275" i="11"/>
  <c r="Q274" i="11"/>
  <c r="K274" i="11"/>
  <c r="J274" i="11"/>
  <c r="I274" i="11"/>
  <c r="H274" i="11"/>
  <c r="G274" i="11"/>
  <c r="F274" i="11"/>
  <c r="E274" i="11"/>
  <c r="D274" i="11"/>
  <c r="C274" i="11"/>
  <c r="B274" i="11"/>
  <c r="Q273" i="11"/>
  <c r="K273" i="11"/>
  <c r="J273" i="11"/>
  <c r="I273" i="11"/>
  <c r="H273" i="11"/>
  <c r="G273" i="11"/>
  <c r="F273" i="11"/>
  <c r="E273" i="11"/>
  <c r="D273" i="11"/>
  <c r="C273" i="11"/>
  <c r="B273" i="11"/>
  <c r="Q272" i="11"/>
  <c r="K272" i="11"/>
  <c r="J272" i="11"/>
  <c r="I272" i="11"/>
  <c r="H272" i="11"/>
  <c r="G272" i="11"/>
  <c r="F272" i="11"/>
  <c r="E272" i="11"/>
  <c r="D272" i="11"/>
  <c r="C272" i="11"/>
  <c r="B272" i="11"/>
  <c r="Q271" i="11"/>
  <c r="K271" i="11"/>
  <c r="J271" i="11"/>
  <c r="I271" i="11"/>
  <c r="H271" i="11"/>
  <c r="G271" i="11"/>
  <c r="F271" i="11"/>
  <c r="E271" i="11"/>
  <c r="D271" i="11"/>
  <c r="C271" i="11"/>
  <c r="B271" i="11"/>
  <c r="Q270" i="11"/>
  <c r="K270" i="11"/>
  <c r="J270" i="11"/>
  <c r="I270" i="11"/>
  <c r="H270" i="11"/>
  <c r="G270" i="11"/>
  <c r="F270" i="11"/>
  <c r="E270" i="11"/>
  <c r="D270" i="11"/>
  <c r="C270" i="11"/>
  <c r="B270" i="11"/>
  <c r="Q269" i="11"/>
  <c r="K269" i="11"/>
  <c r="J269" i="11"/>
  <c r="I269" i="11"/>
  <c r="H269" i="11"/>
  <c r="G269" i="11"/>
  <c r="F269" i="11"/>
  <c r="E269" i="11"/>
  <c r="D269" i="11"/>
  <c r="C269" i="11"/>
  <c r="B269" i="11"/>
  <c r="Q268" i="11"/>
  <c r="K268" i="11"/>
  <c r="J268" i="11"/>
  <c r="I268" i="11"/>
  <c r="H268" i="11"/>
  <c r="G268" i="11"/>
  <c r="F268" i="11"/>
  <c r="E268" i="11"/>
  <c r="D268" i="11"/>
  <c r="C268" i="11"/>
  <c r="B268" i="11"/>
  <c r="Q267" i="11"/>
  <c r="K267" i="11"/>
  <c r="J267" i="11"/>
  <c r="I267" i="11"/>
  <c r="H267" i="11"/>
  <c r="G267" i="11"/>
  <c r="F267" i="11"/>
  <c r="E267" i="11"/>
  <c r="D267" i="11"/>
  <c r="C267" i="11"/>
  <c r="B267" i="11"/>
  <c r="Q266" i="11"/>
  <c r="K266" i="11"/>
  <c r="J266" i="11"/>
  <c r="I266" i="11"/>
  <c r="H266" i="11"/>
  <c r="G266" i="11"/>
  <c r="F266" i="11"/>
  <c r="E266" i="11"/>
  <c r="D266" i="11"/>
  <c r="C266" i="11"/>
  <c r="B266" i="11"/>
  <c r="Q265" i="11"/>
  <c r="K265" i="11"/>
  <c r="J265" i="11"/>
  <c r="I265" i="11"/>
  <c r="H265" i="11"/>
  <c r="G265" i="11"/>
  <c r="F265" i="11"/>
  <c r="E265" i="11"/>
  <c r="D265" i="11"/>
  <c r="C265" i="11"/>
  <c r="B265" i="11"/>
  <c r="Q264" i="11"/>
  <c r="K264" i="11"/>
  <c r="J264" i="11"/>
  <c r="I264" i="11"/>
  <c r="H264" i="11"/>
  <c r="G264" i="11"/>
  <c r="F264" i="11"/>
  <c r="E264" i="11"/>
  <c r="D264" i="11"/>
  <c r="C264" i="11"/>
  <c r="B264" i="11"/>
  <c r="Q263" i="11"/>
  <c r="K263" i="11"/>
  <c r="J263" i="11"/>
  <c r="I263" i="11"/>
  <c r="H263" i="11"/>
  <c r="G263" i="11"/>
  <c r="F263" i="11"/>
  <c r="E263" i="11"/>
  <c r="D263" i="11"/>
  <c r="C263" i="11"/>
  <c r="B263" i="11"/>
  <c r="Q262" i="11"/>
  <c r="K262" i="11"/>
  <c r="J262" i="11"/>
  <c r="I262" i="11"/>
  <c r="H262" i="11"/>
  <c r="G262" i="11"/>
  <c r="F262" i="11"/>
  <c r="E262" i="11"/>
  <c r="D262" i="11"/>
  <c r="C262" i="11"/>
  <c r="B262" i="11"/>
  <c r="Q261" i="11"/>
  <c r="K261" i="11"/>
  <c r="J261" i="11"/>
  <c r="I261" i="11"/>
  <c r="H261" i="11"/>
  <c r="G261" i="11"/>
  <c r="F261" i="11"/>
  <c r="E261" i="11"/>
  <c r="D261" i="11"/>
  <c r="C261" i="11"/>
  <c r="B261" i="11"/>
  <c r="Q260" i="11"/>
  <c r="K260" i="11"/>
  <c r="J260" i="11"/>
  <c r="I260" i="11"/>
  <c r="H260" i="11"/>
  <c r="G260" i="11"/>
  <c r="F260" i="11"/>
  <c r="E260" i="11"/>
  <c r="D260" i="11"/>
  <c r="C260" i="11"/>
  <c r="B260" i="11"/>
  <c r="Q259" i="11"/>
  <c r="K259" i="11"/>
  <c r="J259" i="11"/>
  <c r="I259" i="11"/>
  <c r="H259" i="11"/>
  <c r="G259" i="11"/>
  <c r="F259" i="11"/>
  <c r="E259" i="11"/>
  <c r="D259" i="11"/>
  <c r="C259" i="11"/>
  <c r="B259" i="11"/>
  <c r="Q258" i="11"/>
  <c r="K258" i="11"/>
  <c r="J258" i="11"/>
  <c r="I258" i="11"/>
  <c r="H258" i="11"/>
  <c r="G258" i="11"/>
  <c r="F258" i="11"/>
  <c r="E258" i="11"/>
  <c r="D258" i="11"/>
  <c r="C258" i="11"/>
  <c r="B258" i="11"/>
  <c r="Q257" i="11"/>
  <c r="K257" i="11"/>
  <c r="J257" i="11"/>
  <c r="I257" i="11"/>
  <c r="H257" i="11"/>
  <c r="G257" i="11"/>
  <c r="F257" i="11"/>
  <c r="E257" i="11"/>
  <c r="D257" i="11"/>
  <c r="C257" i="11"/>
  <c r="B257" i="11"/>
  <c r="Q256" i="11"/>
  <c r="K256" i="11"/>
  <c r="J256" i="11"/>
  <c r="I256" i="11"/>
  <c r="H256" i="11"/>
  <c r="G256" i="11"/>
  <c r="F256" i="11"/>
  <c r="E256" i="11"/>
  <c r="D256" i="11"/>
  <c r="C256" i="11"/>
  <c r="B256" i="11"/>
  <c r="Q255" i="11"/>
  <c r="K255" i="11"/>
  <c r="J255" i="11"/>
  <c r="I255" i="11"/>
  <c r="H255" i="11"/>
  <c r="G255" i="11"/>
  <c r="F255" i="11"/>
  <c r="E255" i="11"/>
  <c r="D255" i="11"/>
  <c r="C255" i="11"/>
  <c r="B255" i="11"/>
  <c r="Q254" i="11"/>
  <c r="K254" i="11"/>
  <c r="J254" i="11"/>
  <c r="I254" i="11"/>
  <c r="H254" i="11"/>
  <c r="G254" i="11"/>
  <c r="F254" i="11"/>
  <c r="E254" i="11"/>
  <c r="D254" i="11"/>
  <c r="C254" i="11"/>
  <c r="B254" i="11"/>
  <c r="Q253" i="11"/>
  <c r="K253" i="11"/>
  <c r="J253" i="11"/>
  <c r="I253" i="11"/>
  <c r="H253" i="11"/>
  <c r="G253" i="11"/>
  <c r="F253" i="11"/>
  <c r="E253" i="11"/>
  <c r="D253" i="11"/>
  <c r="C253" i="11"/>
  <c r="B253" i="11"/>
  <c r="Q252" i="11"/>
  <c r="K252" i="11"/>
  <c r="J252" i="11"/>
  <c r="I252" i="11"/>
  <c r="H252" i="11"/>
  <c r="G252" i="11"/>
  <c r="F252" i="11"/>
  <c r="E252" i="11"/>
  <c r="D252" i="11"/>
  <c r="C252" i="11"/>
  <c r="B252" i="11"/>
  <c r="Q251" i="11"/>
  <c r="K251" i="11"/>
  <c r="J251" i="11"/>
  <c r="I251" i="11"/>
  <c r="H251" i="11"/>
  <c r="G251" i="11"/>
  <c r="F251" i="11"/>
  <c r="E251" i="11"/>
  <c r="D251" i="11"/>
  <c r="C251" i="11"/>
  <c r="B251" i="11"/>
  <c r="Q250" i="11"/>
  <c r="K250" i="11"/>
  <c r="J250" i="11"/>
  <c r="I250" i="11"/>
  <c r="H250" i="11"/>
  <c r="G250" i="11"/>
  <c r="F250" i="11"/>
  <c r="E250" i="11"/>
  <c r="D250" i="11"/>
  <c r="C250" i="11"/>
  <c r="B250" i="11"/>
  <c r="Q249" i="11"/>
  <c r="K249" i="11"/>
  <c r="J249" i="11"/>
  <c r="I249" i="11"/>
  <c r="H249" i="11"/>
  <c r="G249" i="11"/>
  <c r="F249" i="11"/>
  <c r="E249" i="11"/>
  <c r="D249" i="11"/>
  <c r="C249" i="11"/>
  <c r="B249" i="11"/>
  <c r="Q248" i="11"/>
  <c r="K248" i="11"/>
  <c r="J248" i="11"/>
  <c r="I248" i="11"/>
  <c r="H248" i="11"/>
  <c r="G248" i="11"/>
  <c r="F248" i="11"/>
  <c r="E248" i="11"/>
  <c r="D248" i="11"/>
  <c r="C248" i="11"/>
  <c r="B248" i="11"/>
  <c r="Q247" i="11"/>
  <c r="K247" i="11"/>
  <c r="J247" i="11"/>
  <c r="I247" i="11"/>
  <c r="H247" i="11"/>
  <c r="G247" i="11"/>
  <c r="F247" i="11"/>
  <c r="E247" i="11"/>
  <c r="D247" i="11"/>
  <c r="C247" i="11"/>
  <c r="B247" i="11"/>
  <c r="Q246" i="11"/>
  <c r="K246" i="11"/>
  <c r="J246" i="11"/>
  <c r="I246" i="11"/>
  <c r="H246" i="11"/>
  <c r="G246" i="11"/>
  <c r="F246" i="11"/>
  <c r="E246" i="11"/>
  <c r="D246" i="11"/>
  <c r="C246" i="11"/>
  <c r="B246" i="11"/>
  <c r="Q245" i="11"/>
  <c r="K245" i="11"/>
  <c r="J245" i="11"/>
  <c r="I245" i="11"/>
  <c r="H245" i="11"/>
  <c r="G245" i="11"/>
  <c r="F245" i="11"/>
  <c r="E245" i="11"/>
  <c r="D245" i="11"/>
  <c r="C245" i="11"/>
  <c r="B245" i="11"/>
  <c r="Q244" i="11"/>
  <c r="K244" i="11"/>
  <c r="J244" i="11"/>
  <c r="I244" i="11"/>
  <c r="H244" i="11"/>
  <c r="G244" i="11"/>
  <c r="F244" i="11"/>
  <c r="E244" i="11"/>
  <c r="D244" i="11"/>
  <c r="C244" i="11"/>
  <c r="B244" i="11"/>
  <c r="Q243" i="11"/>
  <c r="K243" i="11"/>
  <c r="J243" i="11"/>
  <c r="I243" i="11"/>
  <c r="H243" i="11"/>
  <c r="G243" i="11"/>
  <c r="F243" i="11"/>
  <c r="E243" i="11"/>
  <c r="D243" i="11"/>
  <c r="C243" i="11"/>
  <c r="B243" i="11"/>
  <c r="Q242" i="11"/>
  <c r="K242" i="11"/>
  <c r="J242" i="11"/>
  <c r="I242" i="11"/>
  <c r="H242" i="11"/>
  <c r="G242" i="11"/>
  <c r="F242" i="11"/>
  <c r="E242" i="11"/>
  <c r="D242" i="11"/>
  <c r="C242" i="11"/>
  <c r="B242" i="11"/>
  <c r="Q241" i="11"/>
  <c r="K241" i="11"/>
  <c r="J241" i="11"/>
  <c r="I241" i="11"/>
  <c r="H241" i="11"/>
  <c r="G241" i="11"/>
  <c r="F241" i="11"/>
  <c r="E241" i="11"/>
  <c r="D241" i="11"/>
  <c r="C241" i="11"/>
  <c r="B241" i="11"/>
  <c r="Q240" i="11"/>
  <c r="K240" i="11"/>
  <c r="J240" i="11"/>
  <c r="I240" i="11"/>
  <c r="H240" i="11"/>
  <c r="G240" i="11"/>
  <c r="F240" i="11"/>
  <c r="E240" i="11"/>
  <c r="D240" i="11"/>
  <c r="C240" i="11"/>
  <c r="B240" i="11"/>
  <c r="Q239" i="11"/>
  <c r="K239" i="11"/>
  <c r="J239" i="11"/>
  <c r="I239" i="11"/>
  <c r="H239" i="11"/>
  <c r="G239" i="11"/>
  <c r="F239" i="11"/>
  <c r="E239" i="11"/>
  <c r="D239" i="11"/>
  <c r="C239" i="11"/>
  <c r="B239" i="11"/>
  <c r="Q238" i="11"/>
  <c r="K238" i="11"/>
  <c r="J238" i="11"/>
  <c r="I238" i="11"/>
  <c r="H238" i="11"/>
  <c r="G238" i="11"/>
  <c r="F238" i="11"/>
  <c r="E238" i="11"/>
  <c r="D238" i="11"/>
  <c r="C238" i="11"/>
  <c r="B238" i="11"/>
  <c r="Q237" i="11"/>
  <c r="K237" i="11"/>
  <c r="J237" i="11"/>
  <c r="I237" i="11"/>
  <c r="H237" i="11"/>
  <c r="G237" i="11"/>
  <c r="F237" i="11"/>
  <c r="E237" i="11"/>
  <c r="D237" i="11"/>
  <c r="C237" i="11"/>
  <c r="B237" i="11"/>
  <c r="Q236" i="11"/>
  <c r="K236" i="11"/>
  <c r="J236" i="11"/>
  <c r="I236" i="11"/>
  <c r="H236" i="11"/>
  <c r="G236" i="11"/>
  <c r="F236" i="11"/>
  <c r="E236" i="11"/>
  <c r="D236" i="11"/>
  <c r="C236" i="11"/>
  <c r="B236" i="11"/>
  <c r="Q235" i="11"/>
  <c r="K235" i="11"/>
  <c r="J235" i="11"/>
  <c r="I235" i="11"/>
  <c r="H235" i="11"/>
  <c r="G235" i="11"/>
  <c r="F235" i="11"/>
  <c r="E235" i="11"/>
  <c r="D235" i="11"/>
  <c r="C235" i="11"/>
  <c r="B235" i="11"/>
  <c r="Q234" i="11"/>
  <c r="K234" i="11"/>
  <c r="J234" i="11"/>
  <c r="I234" i="11"/>
  <c r="H234" i="11"/>
  <c r="G234" i="11"/>
  <c r="F234" i="11"/>
  <c r="E234" i="11"/>
  <c r="D234" i="11"/>
  <c r="C234" i="11"/>
  <c r="B234" i="11"/>
  <c r="Q233" i="11"/>
  <c r="K233" i="11"/>
  <c r="J233" i="11"/>
  <c r="I233" i="11"/>
  <c r="H233" i="11"/>
  <c r="G233" i="11"/>
  <c r="F233" i="11"/>
  <c r="E233" i="11"/>
  <c r="D233" i="11"/>
  <c r="C233" i="11"/>
  <c r="B233" i="11"/>
  <c r="Q232" i="11"/>
  <c r="K232" i="11"/>
  <c r="J232" i="11"/>
  <c r="I232" i="11"/>
  <c r="H232" i="11"/>
  <c r="G232" i="11"/>
  <c r="F232" i="11"/>
  <c r="E232" i="11"/>
  <c r="D232" i="11"/>
  <c r="C232" i="11"/>
  <c r="B232" i="11"/>
  <c r="Q231" i="11"/>
  <c r="K231" i="11"/>
  <c r="J231" i="11"/>
  <c r="I231" i="11"/>
  <c r="H231" i="11"/>
  <c r="G231" i="11"/>
  <c r="F231" i="11"/>
  <c r="E231" i="11"/>
  <c r="D231" i="11"/>
  <c r="C231" i="11"/>
  <c r="B231" i="11"/>
  <c r="Q230" i="11"/>
  <c r="K230" i="11"/>
  <c r="J230" i="11"/>
  <c r="I230" i="11"/>
  <c r="H230" i="11"/>
  <c r="G230" i="11"/>
  <c r="F230" i="11"/>
  <c r="E230" i="11"/>
  <c r="D230" i="11"/>
  <c r="C230" i="11"/>
  <c r="B230" i="11"/>
  <c r="Q229" i="11"/>
  <c r="K229" i="11"/>
  <c r="J229" i="11"/>
  <c r="I229" i="11"/>
  <c r="H229" i="11"/>
  <c r="G229" i="11"/>
  <c r="F229" i="11"/>
  <c r="E229" i="11"/>
  <c r="D229" i="11"/>
  <c r="C229" i="11"/>
  <c r="B229" i="11"/>
  <c r="Q228" i="11"/>
  <c r="K228" i="11"/>
  <c r="J228" i="11"/>
  <c r="I228" i="11"/>
  <c r="H228" i="11"/>
  <c r="G228" i="11"/>
  <c r="F228" i="11"/>
  <c r="E228" i="11"/>
  <c r="D228" i="11"/>
  <c r="C228" i="11"/>
  <c r="B228" i="11"/>
  <c r="AC359" i="1"/>
  <c r="AA359" i="1"/>
  <c r="Z359" i="1"/>
  <c r="Y359" i="1"/>
  <c r="AC358" i="1"/>
  <c r="AA358" i="1"/>
  <c r="Z358" i="1"/>
  <c r="Y358" i="1"/>
  <c r="AC357" i="1"/>
  <c r="AA357" i="1"/>
  <c r="Z357" i="1"/>
  <c r="Y357" i="1"/>
  <c r="AC356" i="1"/>
  <c r="AA356" i="1"/>
  <c r="Z356" i="1"/>
  <c r="Y356" i="1"/>
  <c r="AC355" i="1"/>
  <c r="AA355" i="1"/>
  <c r="Z355" i="1"/>
  <c r="Y355" i="1"/>
  <c r="AC354" i="1"/>
  <c r="AA354" i="1"/>
  <c r="Z354" i="1"/>
  <c r="Y354" i="1"/>
  <c r="AC353" i="1"/>
  <c r="AA353" i="1"/>
  <c r="Z353" i="1"/>
  <c r="Y353" i="1"/>
  <c r="AC352" i="1"/>
  <c r="AA352" i="1"/>
  <c r="Z352" i="1"/>
  <c r="Y352" i="1"/>
  <c r="AC351" i="1"/>
  <c r="AA351" i="1"/>
  <c r="Z351" i="1"/>
  <c r="Y351" i="1"/>
  <c r="AC350" i="1"/>
  <c r="AA350" i="1"/>
  <c r="Z350" i="1"/>
  <c r="Y350" i="1"/>
  <c r="AC349" i="1"/>
  <c r="AA349" i="1"/>
  <c r="Z349" i="1"/>
  <c r="Y349" i="1"/>
  <c r="AC348" i="1"/>
  <c r="AA348" i="1"/>
  <c r="Z348" i="1"/>
  <c r="Y348" i="1"/>
  <c r="AC347" i="1"/>
  <c r="AA347" i="1"/>
  <c r="Z347" i="1"/>
  <c r="Y347" i="1"/>
  <c r="AC346" i="1"/>
  <c r="AA346" i="1"/>
  <c r="Z346" i="1"/>
  <c r="Y346" i="1"/>
  <c r="AC345" i="1"/>
  <c r="AA345" i="1"/>
  <c r="Z345" i="1"/>
  <c r="Y345" i="1"/>
  <c r="AC344" i="1"/>
  <c r="AA344" i="1"/>
  <c r="Z344" i="1"/>
  <c r="Y344" i="1"/>
  <c r="AC343" i="1"/>
  <c r="AA343" i="1"/>
  <c r="Z343" i="1"/>
  <c r="Y343" i="1"/>
  <c r="AC342" i="1"/>
  <c r="AA342" i="1"/>
  <c r="Z342" i="1"/>
  <c r="Y342" i="1"/>
  <c r="AC341" i="1"/>
  <c r="AA341" i="1"/>
  <c r="Z341" i="1"/>
  <c r="Y341" i="1"/>
  <c r="AC340" i="1"/>
  <c r="AA340" i="1"/>
  <c r="Z340" i="1"/>
  <c r="Y340" i="1"/>
  <c r="AC339" i="1"/>
  <c r="AA339" i="1"/>
  <c r="Z339" i="1"/>
  <c r="Y339" i="1"/>
  <c r="AC338" i="1"/>
  <c r="AA338" i="1"/>
  <c r="Z338" i="1"/>
  <c r="Y338" i="1"/>
  <c r="AC337" i="1"/>
  <c r="AA337" i="1"/>
  <c r="Z337" i="1"/>
  <c r="Y337" i="1"/>
  <c r="AC336" i="1"/>
  <c r="AA336" i="1"/>
  <c r="Z336" i="1"/>
  <c r="Y336" i="1"/>
  <c r="AC335" i="1"/>
  <c r="AA335" i="1"/>
  <c r="Z335" i="1"/>
  <c r="Y335" i="1"/>
  <c r="AC334" i="1"/>
  <c r="AA334" i="1"/>
  <c r="Z334" i="1"/>
  <c r="Y334" i="1"/>
  <c r="AC333" i="1"/>
  <c r="AA333" i="1"/>
  <c r="Z333" i="1"/>
  <c r="Y333" i="1"/>
  <c r="AC332" i="1"/>
  <c r="AA332" i="1"/>
  <c r="Z332" i="1"/>
  <c r="Y332" i="1"/>
  <c r="AC331" i="1"/>
  <c r="AA331" i="1"/>
  <c r="Z331" i="1"/>
  <c r="Y331" i="1"/>
  <c r="AC330" i="1"/>
  <c r="AA330" i="1"/>
  <c r="Z330" i="1"/>
  <c r="Y330" i="1"/>
  <c r="AC329" i="1"/>
  <c r="AA329" i="1"/>
  <c r="Z329" i="1"/>
  <c r="Y329" i="1"/>
  <c r="AC328" i="1"/>
  <c r="AA328" i="1"/>
  <c r="Z328" i="1"/>
  <c r="Y328" i="1"/>
  <c r="AC327" i="1"/>
  <c r="AA327" i="1"/>
  <c r="Z327" i="1"/>
  <c r="Y327" i="1"/>
  <c r="AC326" i="1"/>
  <c r="AA326" i="1"/>
  <c r="Z326" i="1"/>
  <c r="Y326" i="1"/>
  <c r="AC325" i="1"/>
  <c r="AA325" i="1"/>
  <c r="Z325" i="1"/>
  <c r="Y325" i="1"/>
  <c r="AC324" i="1"/>
  <c r="AA324" i="1"/>
  <c r="Z324" i="1"/>
  <c r="Y324" i="1"/>
  <c r="AC323" i="1"/>
  <c r="AA323" i="1"/>
  <c r="Z323" i="1"/>
  <c r="Y323" i="1"/>
  <c r="AC322" i="1"/>
  <c r="AA322" i="1"/>
  <c r="Z322" i="1"/>
  <c r="Y322" i="1"/>
  <c r="AC321" i="1"/>
  <c r="AA321" i="1"/>
  <c r="Z321" i="1"/>
  <c r="Y321" i="1"/>
  <c r="AC320" i="1"/>
  <c r="AA320" i="1"/>
  <c r="Z320" i="1"/>
  <c r="Y320" i="1"/>
  <c r="AC319" i="1"/>
  <c r="AA319" i="1"/>
  <c r="Z319" i="1"/>
  <c r="Y319" i="1"/>
  <c r="AC318" i="1"/>
  <c r="AA318" i="1"/>
  <c r="Z318" i="1"/>
  <c r="Y318" i="1"/>
  <c r="AC317" i="1"/>
  <c r="AA317" i="1"/>
  <c r="Z317" i="1"/>
  <c r="Y317" i="1"/>
  <c r="AC316" i="1"/>
  <c r="AA316" i="1"/>
  <c r="Z316" i="1"/>
  <c r="Y316" i="1"/>
  <c r="AC315" i="1"/>
  <c r="AA315" i="1"/>
  <c r="Z315" i="1"/>
  <c r="Y315" i="1"/>
  <c r="AC314" i="1"/>
  <c r="AA314" i="1"/>
  <c r="Z314" i="1"/>
  <c r="Y314" i="1"/>
  <c r="AC313" i="1"/>
  <c r="AA313" i="1"/>
  <c r="Z313" i="1"/>
  <c r="Y313" i="1"/>
  <c r="AC312" i="1"/>
  <c r="AA312" i="1"/>
  <c r="Z312" i="1"/>
  <c r="Y312" i="1"/>
  <c r="AC311" i="1"/>
  <c r="AA311" i="1"/>
  <c r="Z311" i="1"/>
  <c r="Y311" i="1"/>
  <c r="AC310" i="1"/>
  <c r="AA310" i="1"/>
  <c r="Z310" i="1"/>
  <c r="Y310" i="1"/>
  <c r="AC309" i="1"/>
  <c r="AA309" i="1"/>
  <c r="Z309" i="1"/>
  <c r="Y309" i="1"/>
  <c r="AC308" i="1"/>
  <c r="AA308" i="1"/>
  <c r="Z308" i="1"/>
  <c r="Y308" i="1"/>
  <c r="AC307" i="1"/>
  <c r="AA307" i="1"/>
  <c r="Z307" i="1"/>
  <c r="Y307" i="1"/>
  <c r="AC306" i="1"/>
  <c r="AA306" i="1"/>
  <c r="Z306" i="1"/>
  <c r="Y306" i="1"/>
  <c r="AB371" i="9" l="1"/>
  <c r="V371" i="9"/>
  <c r="U371" i="9"/>
  <c r="P371" i="9"/>
  <c r="O371" i="9"/>
  <c r="N371" i="9"/>
  <c r="M371" i="9"/>
  <c r="L371" i="9"/>
  <c r="K371" i="9"/>
  <c r="S371" i="9" s="1"/>
  <c r="J371" i="9"/>
  <c r="I371" i="9"/>
  <c r="H371" i="9"/>
  <c r="G371" i="9"/>
  <c r="F371" i="9"/>
  <c r="E371" i="9"/>
  <c r="D371" i="9"/>
  <c r="C371" i="9"/>
  <c r="AB370" i="9"/>
  <c r="V370" i="9"/>
  <c r="U370" i="9"/>
  <c r="P370" i="9"/>
  <c r="O370" i="9"/>
  <c r="N370" i="9"/>
  <c r="M370" i="9"/>
  <c r="L370" i="9"/>
  <c r="K370" i="9"/>
  <c r="S370" i="9" s="1"/>
  <c r="J370" i="9"/>
  <c r="I370" i="9"/>
  <c r="H370" i="9"/>
  <c r="G370" i="9"/>
  <c r="F370" i="9"/>
  <c r="E370" i="9"/>
  <c r="D370" i="9"/>
  <c r="C370" i="9"/>
  <c r="Q353" i="11"/>
  <c r="K353" i="11"/>
  <c r="J353" i="11"/>
  <c r="I353" i="11"/>
  <c r="H353" i="11"/>
  <c r="G353" i="11"/>
  <c r="F353" i="11"/>
  <c r="E353" i="11"/>
  <c r="D353" i="11"/>
  <c r="C353" i="11"/>
  <c r="B353" i="11"/>
  <c r="Q352" i="11"/>
  <c r="K352" i="11"/>
  <c r="J352" i="11"/>
  <c r="I352" i="11"/>
  <c r="H352" i="11"/>
  <c r="G352" i="11"/>
  <c r="F352" i="11"/>
  <c r="E352" i="11"/>
  <c r="D352" i="11"/>
  <c r="C352" i="11"/>
  <c r="B352" i="11"/>
  <c r="Q303" i="11"/>
  <c r="K303" i="11"/>
  <c r="J303" i="11"/>
  <c r="I303" i="11"/>
  <c r="H303" i="11"/>
  <c r="G303" i="11"/>
  <c r="F303" i="11"/>
  <c r="E303" i="11"/>
  <c r="D303" i="11"/>
  <c r="C303" i="11"/>
  <c r="B303" i="11"/>
  <c r="Q302" i="11"/>
  <c r="K302" i="11"/>
  <c r="J302" i="11"/>
  <c r="I302" i="11"/>
  <c r="H302" i="11"/>
  <c r="G302" i="11"/>
  <c r="F302" i="11"/>
  <c r="E302" i="11"/>
  <c r="D302" i="11"/>
  <c r="C302" i="11"/>
  <c r="B302" i="11"/>
  <c r="Q301" i="11"/>
  <c r="K301" i="11"/>
  <c r="J301" i="11"/>
  <c r="I301" i="11"/>
  <c r="H301" i="11"/>
  <c r="G301" i="11"/>
  <c r="F301" i="11"/>
  <c r="E301" i="11"/>
  <c r="D301" i="11"/>
  <c r="C301" i="11"/>
  <c r="B301" i="11"/>
  <c r="Q300" i="11"/>
  <c r="K300" i="11"/>
  <c r="J300" i="11"/>
  <c r="I300" i="11"/>
  <c r="H300" i="11"/>
  <c r="G300" i="11"/>
  <c r="F300" i="11"/>
  <c r="E300" i="11"/>
  <c r="D300" i="11"/>
  <c r="C300" i="11"/>
  <c r="B300" i="11"/>
  <c r="Q299" i="11"/>
  <c r="K299" i="11"/>
  <c r="J299" i="11"/>
  <c r="I299" i="11"/>
  <c r="H299" i="11"/>
  <c r="G299" i="11"/>
  <c r="F299" i="11"/>
  <c r="E299" i="11"/>
  <c r="D299" i="11"/>
  <c r="C299" i="11"/>
  <c r="B299" i="11"/>
  <c r="Q298" i="11"/>
  <c r="K298" i="11"/>
  <c r="J298" i="11"/>
  <c r="I298" i="11"/>
  <c r="H298" i="11"/>
  <c r="G298" i="11"/>
  <c r="F298" i="11"/>
  <c r="E298" i="11"/>
  <c r="D298" i="11"/>
  <c r="C298" i="11"/>
  <c r="B298" i="11"/>
  <c r="Q297" i="11"/>
  <c r="K297" i="11"/>
  <c r="J297" i="11"/>
  <c r="I297" i="11"/>
  <c r="H297" i="11"/>
  <c r="G297" i="11"/>
  <c r="F297" i="11"/>
  <c r="E297" i="11"/>
  <c r="D297" i="11"/>
  <c r="C297" i="11"/>
  <c r="B297" i="11"/>
  <c r="Q296" i="11"/>
  <c r="K296" i="11"/>
  <c r="J296" i="11"/>
  <c r="I296" i="11"/>
  <c r="H296" i="11"/>
  <c r="G296" i="11"/>
  <c r="F296" i="11"/>
  <c r="E296" i="11"/>
  <c r="D296" i="11"/>
  <c r="C296" i="11"/>
  <c r="B296" i="11"/>
  <c r="Q295" i="11"/>
  <c r="K295" i="11"/>
  <c r="J295" i="11"/>
  <c r="I295" i="11"/>
  <c r="H295" i="11"/>
  <c r="G295" i="11"/>
  <c r="F295" i="11"/>
  <c r="E295" i="11"/>
  <c r="D295" i="11"/>
  <c r="C295" i="11"/>
  <c r="B295" i="11"/>
  <c r="Q294" i="11"/>
  <c r="K294" i="11"/>
  <c r="J294" i="11"/>
  <c r="I294" i="11"/>
  <c r="H294" i="11"/>
  <c r="G294" i="11"/>
  <c r="F294" i="11"/>
  <c r="E294" i="11"/>
  <c r="D294" i="11"/>
  <c r="C294" i="11"/>
  <c r="B294" i="11"/>
  <c r="Q293" i="11"/>
  <c r="K293" i="11"/>
  <c r="J293" i="11"/>
  <c r="I293" i="11"/>
  <c r="H293" i="11"/>
  <c r="G293" i="11"/>
  <c r="F293" i="11"/>
  <c r="E293" i="11"/>
  <c r="D293" i="11"/>
  <c r="C293" i="11"/>
  <c r="B293" i="11"/>
  <c r="Q292" i="11"/>
  <c r="K292" i="11"/>
  <c r="J292" i="11"/>
  <c r="I292" i="11"/>
  <c r="H292" i="11"/>
  <c r="G292" i="11"/>
  <c r="F292" i="11"/>
  <c r="E292" i="11"/>
  <c r="D292" i="11"/>
  <c r="C292" i="11"/>
  <c r="B292" i="11"/>
  <c r="Q291" i="11"/>
  <c r="K291" i="11"/>
  <c r="J291" i="11"/>
  <c r="I291" i="11"/>
  <c r="H291" i="11"/>
  <c r="G291" i="11"/>
  <c r="F291" i="11"/>
  <c r="E291" i="11"/>
  <c r="D291" i="11"/>
  <c r="C291" i="11"/>
  <c r="B291" i="11"/>
  <c r="Q290" i="11"/>
  <c r="K290" i="11"/>
  <c r="J290" i="11"/>
  <c r="I290" i="11"/>
  <c r="H290" i="11"/>
  <c r="G290" i="11"/>
  <c r="F290" i="11"/>
  <c r="E290" i="11"/>
  <c r="D290" i="11"/>
  <c r="C290" i="11"/>
  <c r="B290" i="11"/>
  <c r="Q289" i="11"/>
  <c r="K289" i="11"/>
  <c r="J289" i="11"/>
  <c r="I289" i="11"/>
  <c r="H289" i="11"/>
  <c r="G289" i="11"/>
  <c r="F289" i="11"/>
  <c r="E289" i="11"/>
  <c r="D289" i="11"/>
  <c r="C289" i="11"/>
  <c r="B289" i="11"/>
  <c r="AB788" i="9"/>
  <c r="V788" i="9"/>
  <c r="U788" i="9"/>
  <c r="P788" i="9"/>
  <c r="O788" i="9"/>
  <c r="N788" i="9"/>
  <c r="M788" i="9"/>
  <c r="L788" i="9"/>
  <c r="K788" i="9"/>
  <c r="S788" i="9" s="1"/>
  <c r="J788" i="9"/>
  <c r="I788" i="9"/>
  <c r="H788" i="9"/>
  <c r="G788" i="9"/>
  <c r="F788" i="9"/>
  <c r="E788" i="9"/>
  <c r="D788" i="9"/>
  <c r="C788" i="9"/>
  <c r="AB787" i="9"/>
  <c r="V787" i="9"/>
  <c r="U787" i="9"/>
  <c r="P787" i="9"/>
  <c r="O787" i="9"/>
  <c r="N787" i="9"/>
  <c r="M787" i="9"/>
  <c r="L787" i="9"/>
  <c r="K787" i="9"/>
  <c r="S787" i="9" s="1"/>
  <c r="J787" i="9"/>
  <c r="I787" i="9"/>
  <c r="H787" i="9"/>
  <c r="G787" i="9"/>
  <c r="F787" i="9"/>
  <c r="E787" i="9"/>
  <c r="D787" i="9"/>
  <c r="C787" i="9"/>
  <c r="AB786" i="9"/>
  <c r="V786" i="9"/>
  <c r="U786" i="9"/>
  <c r="P786" i="9"/>
  <c r="O786" i="9"/>
  <c r="N786" i="9"/>
  <c r="M786" i="9"/>
  <c r="L786" i="9"/>
  <c r="K786" i="9"/>
  <c r="S786" i="9" s="1"/>
  <c r="J786" i="9"/>
  <c r="I786" i="9"/>
  <c r="H786" i="9"/>
  <c r="G786" i="9"/>
  <c r="F786" i="9"/>
  <c r="E786" i="9"/>
  <c r="D786" i="9"/>
  <c r="C786" i="9"/>
  <c r="AB785" i="9"/>
  <c r="V785" i="9"/>
  <c r="U785" i="9"/>
  <c r="P785" i="9"/>
  <c r="O785" i="9"/>
  <c r="N785" i="9"/>
  <c r="M785" i="9"/>
  <c r="L785" i="9"/>
  <c r="K785" i="9"/>
  <c r="S785" i="9" s="1"/>
  <c r="J785" i="9"/>
  <c r="I785" i="9"/>
  <c r="H785" i="9"/>
  <c r="G785" i="9"/>
  <c r="F785" i="9"/>
  <c r="E785" i="9"/>
  <c r="D785" i="9"/>
  <c r="C785" i="9"/>
  <c r="AB784" i="9"/>
  <c r="V784" i="9"/>
  <c r="U784" i="9"/>
  <c r="P784" i="9"/>
  <c r="O784" i="9"/>
  <c r="N784" i="9"/>
  <c r="M784" i="9"/>
  <c r="L784" i="9"/>
  <c r="K784" i="9"/>
  <c r="S784" i="9" s="1"/>
  <c r="J784" i="9"/>
  <c r="I784" i="9"/>
  <c r="H784" i="9"/>
  <c r="G784" i="9"/>
  <c r="F784" i="9"/>
  <c r="E784" i="9"/>
  <c r="D784" i="9"/>
  <c r="C784" i="9"/>
  <c r="AB783" i="9"/>
  <c r="V783" i="9"/>
  <c r="U783" i="9"/>
  <c r="P783" i="9"/>
  <c r="O783" i="9"/>
  <c r="N783" i="9"/>
  <c r="M783" i="9"/>
  <c r="L783" i="9"/>
  <c r="K783" i="9"/>
  <c r="S783" i="9" s="1"/>
  <c r="J783" i="9"/>
  <c r="I783" i="9"/>
  <c r="H783" i="9"/>
  <c r="G783" i="9"/>
  <c r="F783" i="9"/>
  <c r="E783" i="9"/>
  <c r="D783" i="9"/>
  <c r="C783" i="9"/>
  <c r="AB782" i="9"/>
  <c r="V782" i="9"/>
  <c r="U782" i="9"/>
  <c r="P782" i="9"/>
  <c r="O782" i="9"/>
  <c r="N782" i="9"/>
  <c r="M782" i="9"/>
  <c r="L782" i="9"/>
  <c r="K782" i="9"/>
  <c r="S782" i="9" s="1"/>
  <c r="J782" i="9"/>
  <c r="I782" i="9"/>
  <c r="H782" i="9"/>
  <c r="G782" i="9"/>
  <c r="F782" i="9"/>
  <c r="E782" i="9"/>
  <c r="D782" i="9"/>
  <c r="C782" i="9"/>
  <c r="AB780" i="9"/>
  <c r="V780" i="9"/>
  <c r="U780" i="9"/>
  <c r="P780" i="9"/>
  <c r="O780" i="9"/>
  <c r="N780" i="9"/>
  <c r="M780" i="9"/>
  <c r="L780" i="9"/>
  <c r="K780" i="9"/>
  <c r="S781" i="9" s="1"/>
  <c r="J780" i="9"/>
  <c r="I780" i="9"/>
  <c r="H780" i="9"/>
  <c r="G780" i="9"/>
  <c r="F780" i="9"/>
  <c r="E780" i="9"/>
  <c r="D780" i="9"/>
  <c r="C780" i="9"/>
  <c r="AB779" i="9"/>
  <c r="V779" i="9"/>
  <c r="U779" i="9"/>
  <c r="P779" i="9"/>
  <c r="O779" i="9"/>
  <c r="N779" i="9"/>
  <c r="M779" i="9"/>
  <c r="L779" i="9"/>
  <c r="K779" i="9"/>
  <c r="S779" i="9" s="1"/>
  <c r="J779" i="9"/>
  <c r="I779" i="9"/>
  <c r="H779" i="9"/>
  <c r="G779" i="9"/>
  <c r="F779" i="9"/>
  <c r="E779" i="9"/>
  <c r="D779" i="9"/>
  <c r="C779" i="9"/>
  <c r="V777" i="9"/>
  <c r="U777" i="9"/>
  <c r="P777" i="9"/>
  <c r="O777" i="9"/>
  <c r="N777" i="9"/>
  <c r="M777" i="9"/>
  <c r="L777" i="9"/>
  <c r="K777" i="9"/>
  <c r="J777" i="9"/>
  <c r="I777" i="9"/>
  <c r="H777" i="9"/>
  <c r="G777" i="9"/>
  <c r="F777" i="9"/>
  <c r="E777" i="9"/>
  <c r="D777" i="9"/>
  <c r="C777" i="9"/>
  <c r="AB776" i="9"/>
  <c r="V776" i="9"/>
  <c r="U776" i="9"/>
  <c r="P776" i="9"/>
  <c r="O776" i="9"/>
  <c r="N776" i="9"/>
  <c r="M776" i="9"/>
  <c r="L776" i="9"/>
  <c r="K776" i="9"/>
  <c r="S776" i="9" s="1"/>
  <c r="J776" i="9"/>
  <c r="I776" i="9"/>
  <c r="H776" i="9"/>
  <c r="G776" i="9"/>
  <c r="F776" i="9"/>
  <c r="E776" i="9"/>
  <c r="D776" i="9"/>
  <c r="C776" i="9"/>
  <c r="AB775" i="9"/>
  <c r="V775" i="9"/>
  <c r="U775" i="9"/>
  <c r="P775" i="9"/>
  <c r="O775" i="9"/>
  <c r="N775" i="9"/>
  <c r="M775" i="9"/>
  <c r="L775" i="9"/>
  <c r="K775" i="9"/>
  <c r="S775" i="9" s="1"/>
  <c r="J775" i="9"/>
  <c r="I775" i="9"/>
  <c r="H775" i="9"/>
  <c r="G775" i="9"/>
  <c r="F775" i="9"/>
  <c r="E775" i="9"/>
  <c r="D775" i="9"/>
  <c r="C775" i="9"/>
  <c r="AB774" i="9"/>
  <c r="V774" i="9"/>
  <c r="U774" i="9"/>
  <c r="P774" i="9"/>
  <c r="O774" i="9"/>
  <c r="N774" i="9"/>
  <c r="M774" i="9"/>
  <c r="L774" i="9"/>
  <c r="K774" i="9"/>
  <c r="S774" i="9" s="1"/>
  <c r="J774" i="9"/>
  <c r="I774" i="9"/>
  <c r="H774" i="9"/>
  <c r="G774" i="9"/>
  <c r="F774" i="9"/>
  <c r="E774" i="9"/>
  <c r="D774" i="9"/>
  <c r="C774" i="9"/>
  <c r="AB773" i="9"/>
  <c r="V773" i="9"/>
  <c r="U773" i="9"/>
  <c r="P773" i="9"/>
  <c r="O773" i="9"/>
  <c r="N773" i="9"/>
  <c r="M773" i="9"/>
  <c r="L773" i="9"/>
  <c r="K773" i="9"/>
  <c r="S773" i="9" s="1"/>
  <c r="J773" i="9"/>
  <c r="I773" i="9"/>
  <c r="H773" i="9"/>
  <c r="G773" i="9"/>
  <c r="F773" i="9"/>
  <c r="E773" i="9"/>
  <c r="D773" i="9"/>
  <c r="C773" i="9"/>
  <c r="V772" i="9"/>
  <c r="U772" i="9"/>
  <c r="P772" i="9"/>
  <c r="O772" i="9"/>
  <c r="N772" i="9"/>
  <c r="M772" i="9"/>
  <c r="L772" i="9"/>
  <c r="K772" i="9"/>
  <c r="J772" i="9"/>
  <c r="I772" i="9"/>
  <c r="H772" i="9"/>
  <c r="G772" i="9"/>
  <c r="F772" i="9"/>
  <c r="E772" i="9"/>
  <c r="D772" i="9"/>
  <c r="C772" i="9"/>
  <c r="V771" i="9"/>
  <c r="U771" i="9"/>
  <c r="P771" i="9"/>
  <c r="O771" i="9"/>
  <c r="N771" i="9"/>
  <c r="M771" i="9"/>
  <c r="L771" i="9"/>
  <c r="K771" i="9"/>
  <c r="J771" i="9"/>
  <c r="I771" i="9"/>
  <c r="H771" i="9"/>
  <c r="G771" i="9"/>
  <c r="F771" i="9"/>
  <c r="E771" i="9"/>
  <c r="D771" i="9"/>
  <c r="C771" i="9"/>
  <c r="V770" i="9"/>
  <c r="U770" i="9"/>
  <c r="P770" i="9"/>
  <c r="O770" i="9"/>
  <c r="N770" i="9"/>
  <c r="M770" i="9"/>
  <c r="L770" i="9"/>
  <c r="K770" i="9"/>
  <c r="J770" i="9"/>
  <c r="I770" i="9"/>
  <c r="H770" i="9"/>
  <c r="G770" i="9"/>
  <c r="F770" i="9"/>
  <c r="E770" i="9"/>
  <c r="D770" i="9"/>
  <c r="C770" i="9"/>
  <c r="V769" i="9"/>
  <c r="U769" i="9"/>
  <c r="P769" i="9"/>
  <c r="O769" i="9"/>
  <c r="N769" i="9"/>
  <c r="M769" i="9"/>
  <c r="L769" i="9"/>
  <c r="K769" i="9"/>
  <c r="J769" i="9"/>
  <c r="I769" i="9"/>
  <c r="H769" i="9"/>
  <c r="G769" i="9"/>
  <c r="F769" i="9"/>
  <c r="E769" i="9"/>
  <c r="D769" i="9"/>
  <c r="C769" i="9"/>
  <c r="V768" i="9"/>
  <c r="U768" i="9"/>
  <c r="P768" i="9"/>
  <c r="O768" i="9"/>
  <c r="N768" i="9"/>
  <c r="M768" i="9"/>
  <c r="L768" i="9"/>
  <c r="K768" i="9"/>
  <c r="J768" i="9"/>
  <c r="I768" i="9"/>
  <c r="H768" i="9"/>
  <c r="G768" i="9"/>
  <c r="F768" i="9"/>
  <c r="E768" i="9"/>
  <c r="D768" i="9"/>
  <c r="C768" i="9"/>
  <c r="AB767" i="9"/>
  <c r="V767" i="9"/>
  <c r="U767" i="9"/>
  <c r="P767" i="9"/>
  <c r="O767" i="9"/>
  <c r="N767" i="9"/>
  <c r="M767" i="9"/>
  <c r="L767" i="9"/>
  <c r="K767" i="9"/>
  <c r="S772" i="9" s="1"/>
  <c r="J767" i="9"/>
  <c r="I767" i="9"/>
  <c r="H767" i="9"/>
  <c r="G767" i="9"/>
  <c r="F767" i="9"/>
  <c r="E767" i="9"/>
  <c r="D767" i="9"/>
  <c r="C767" i="9"/>
  <c r="V766" i="9"/>
  <c r="U766" i="9"/>
  <c r="P766" i="9"/>
  <c r="O766" i="9"/>
  <c r="N766" i="9"/>
  <c r="M766" i="9"/>
  <c r="L766" i="9"/>
  <c r="K766" i="9"/>
  <c r="J766" i="9"/>
  <c r="I766" i="9"/>
  <c r="H766" i="9"/>
  <c r="G766" i="9"/>
  <c r="F766" i="9"/>
  <c r="E766" i="9"/>
  <c r="D766" i="9"/>
  <c r="C766" i="9"/>
  <c r="AB765" i="9"/>
  <c r="V765" i="9"/>
  <c r="U765" i="9"/>
  <c r="P765" i="9"/>
  <c r="O765" i="9"/>
  <c r="N765" i="9"/>
  <c r="M765" i="9"/>
  <c r="L765" i="9"/>
  <c r="K765" i="9"/>
  <c r="S766" i="9" s="1"/>
  <c r="J765" i="9"/>
  <c r="I765" i="9"/>
  <c r="H765" i="9"/>
  <c r="G765" i="9"/>
  <c r="F765" i="9"/>
  <c r="E765" i="9"/>
  <c r="D765" i="9"/>
  <c r="C765" i="9"/>
  <c r="V764" i="9"/>
  <c r="U764" i="9"/>
  <c r="P764" i="9"/>
  <c r="O764" i="9"/>
  <c r="N764" i="9"/>
  <c r="M764" i="9"/>
  <c r="L764" i="9"/>
  <c r="K764" i="9"/>
  <c r="J764" i="9"/>
  <c r="I764" i="9"/>
  <c r="H764" i="9"/>
  <c r="G764" i="9"/>
  <c r="F764" i="9"/>
  <c r="E764" i="9"/>
  <c r="D764" i="9"/>
  <c r="C764" i="9"/>
  <c r="AB763" i="9"/>
  <c r="V763" i="9"/>
  <c r="U763" i="9"/>
  <c r="P763" i="9"/>
  <c r="O763" i="9"/>
  <c r="N763" i="9"/>
  <c r="M763" i="9"/>
  <c r="L763" i="9"/>
  <c r="K763" i="9"/>
  <c r="S764" i="9" s="1"/>
  <c r="J763" i="9"/>
  <c r="I763" i="9"/>
  <c r="H763" i="9"/>
  <c r="G763" i="9"/>
  <c r="F763" i="9"/>
  <c r="E763" i="9"/>
  <c r="D763" i="9"/>
  <c r="C763" i="9"/>
  <c r="V762" i="9"/>
  <c r="U762" i="9"/>
  <c r="P762" i="9"/>
  <c r="O762" i="9"/>
  <c r="N762" i="9"/>
  <c r="M762" i="9"/>
  <c r="L762" i="9"/>
  <c r="K762" i="9"/>
  <c r="J762" i="9"/>
  <c r="I762" i="9"/>
  <c r="H762" i="9"/>
  <c r="G762" i="9"/>
  <c r="F762" i="9"/>
  <c r="E762" i="9"/>
  <c r="D762" i="9"/>
  <c r="C762" i="9"/>
  <c r="AB761" i="9"/>
  <c r="V761" i="9"/>
  <c r="U761" i="9"/>
  <c r="P761" i="9"/>
  <c r="O761" i="9"/>
  <c r="N761" i="9"/>
  <c r="M761" i="9"/>
  <c r="L761" i="9"/>
  <c r="K761" i="9"/>
  <c r="S762" i="9" s="1"/>
  <c r="J761" i="9"/>
  <c r="I761" i="9"/>
  <c r="H761" i="9"/>
  <c r="G761" i="9"/>
  <c r="F761" i="9"/>
  <c r="E761" i="9"/>
  <c r="D761" i="9"/>
  <c r="C761" i="9"/>
  <c r="AB759" i="9"/>
  <c r="V759" i="9"/>
  <c r="U759" i="9"/>
  <c r="P759" i="9"/>
  <c r="O759" i="9"/>
  <c r="N759" i="9"/>
  <c r="M759" i="9"/>
  <c r="L759" i="9"/>
  <c r="K759" i="9"/>
  <c r="S760" i="9" s="1"/>
  <c r="J759" i="9"/>
  <c r="I759" i="9"/>
  <c r="H759" i="9"/>
  <c r="G759" i="9"/>
  <c r="F759" i="9"/>
  <c r="E759" i="9"/>
  <c r="D759" i="9"/>
  <c r="C759" i="9"/>
  <c r="AB758" i="9"/>
  <c r="V758" i="9"/>
  <c r="U758" i="9"/>
  <c r="P758" i="9"/>
  <c r="O758" i="9"/>
  <c r="N758" i="9"/>
  <c r="M758" i="9"/>
  <c r="L758" i="9"/>
  <c r="K758" i="9"/>
  <c r="S758" i="9" s="1"/>
  <c r="J758" i="9"/>
  <c r="I758" i="9"/>
  <c r="H758" i="9"/>
  <c r="G758" i="9"/>
  <c r="F758" i="9"/>
  <c r="E758" i="9"/>
  <c r="D758" i="9"/>
  <c r="C758" i="9"/>
  <c r="AB757" i="9"/>
  <c r="V757" i="9"/>
  <c r="U757" i="9"/>
  <c r="P757" i="9"/>
  <c r="O757" i="9"/>
  <c r="N757" i="9"/>
  <c r="M757" i="9"/>
  <c r="L757" i="9"/>
  <c r="K757" i="9"/>
  <c r="S757" i="9" s="1"/>
  <c r="J757" i="9"/>
  <c r="I757" i="9"/>
  <c r="H757" i="9"/>
  <c r="G757" i="9"/>
  <c r="F757" i="9"/>
  <c r="E757" i="9"/>
  <c r="D757" i="9"/>
  <c r="C757" i="9"/>
  <c r="AB756" i="9"/>
  <c r="V756" i="9"/>
  <c r="U756" i="9"/>
  <c r="P756" i="9"/>
  <c r="O756" i="9"/>
  <c r="N756" i="9"/>
  <c r="M756" i="9"/>
  <c r="L756" i="9"/>
  <c r="K756" i="9"/>
  <c r="S756" i="9" s="1"/>
  <c r="J756" i="9"/>
  <c r="I756" i="9"/>
  <c r="H756" i="9"/>
  <c r="G756" i="9"/>
  <c r="F756" i="9"/>
  <c r="E756" i="9"/>
  <c r="D756" i="9"/>
  <c r="C756" i="9"/>
  <c r="AB754" i="9"/>
  <c r="V754" i="9"/>
  <c r="U754" i="9"/>
  <c r="P754" i="9"/>
  <c r="O754" i="9"/>
  <c r="N754" i="9"/>
  <c r="M754" i="9"/>
  <c r="L754" i="9"/>
  <c r="K754" i="9"/>
  <c r="S755" i="9" s="1"/>
  <c r="J754" i="9"/>
  <c r="I754" i="9"/>
  <c r="H754" i="9"/>
  <c r="G754" i="9"/>
  <c r="F754" i="9"/>
  <c r="E754" i="9"/>
  <c r="D754" i="9"/>
  <c r="C754" i="9"/>
  <c r="AB753" i="9"/>
  <c r="V753" i="9"/>
  <c r="U753" i="9"/>
  <c r="P753" i="9"/>
  <c r="O753" i="9"/>
  <c r="N753" i="9"/>
  <c r="M753" i="9"/>
  <c r="L753" i="9"/>
  <c r="K753" i="9"/>
  <c r="S753" i="9" s="1"/>
  <c r="J753" i="9"/>
  <c r="I753" i="9"/>
  <c r="H753" i="9"/>
  <c r="G753" i="9"/>
  <c r="F753" i="9"/>
  <c r="E753" i="9"/>
  <c r="D753" i="9"/>
  <c r="C753" i="9"/>
  <c r="AB752" i="9"/>
  <c r="V752" i="9"/>
  <c r="U752" i="9"/>
  <c r="P752" i="9"/>
  <c r="O752" i="9"/>
  <c r="N752" i="9"/>
  <c r="M752" i="9"/>
  <c r="L752" i="9"/>
  <c r="K752" i="9"/>
  <c r="S752" i="9" s="1"/>
  <c r="J752" i="9"/>
  <c r="I752" i="9"/>
  <c r="H752" i="9"/>
  <c r="G752" i="9"/>
  <c r="F752" i="9"/>
  <c r="E752" i="9"/>
  <c r="D752" i="9"/>
  <c r="C752" i="9"/>
  <c r="AB751" i="9"/>
  <c r="V751" i="9"/>
  <c r="U751" i="9"/>
  <c r="P751" i="9"/>
  <c r="O751" i="9"/>
  <c r="N751" i="9"/>
  <c r="M751" i="9"/>
  <c r="L751" i="9"/>
  <c r="K751" i="9"/>
  <c r="S751" i="9" s="1"/>
  <c r="J751" i="9"/>
  <c r="I751" i="9"/>
  <c r="H751" i="9"/>
  <c r="G751" i="9"/>
  <c r="F751" i="9"/>
  <c r="E751" i="9"/>
  <c r="D751" i="9"/>
  <c r="C751" i="9"/>
  <c r="AB749" i="9"/>
  <c r="V749" i="9"/>
  <c r="U749" i="9"/>
  <c r="P749" i="9"/>
  <c r="O749" i="9"/>
  <c r="N749" i="9"/>
  <c r="M749" i="9"/>
  <c r="L749" i="9"/>
  <c r="K749" i="9"/>
  <c r="S750" i="9" s="1"/>
  <c r="J749" i="9"/>
  <c r="I749" i="9"/>
  <c r="H749" i="9"/>
  <c r="G749" i="9"/>
  <c r="F749" i="9"/>
  <c r="E749" i="9"/>
  <c r="D749" i="9"/>
  <c r="C749" i="9"/>
  <c r="AB748" i="9"/>
  <c r="V748" i="9"/>
  <c r="U748" i="9"/>
  <c r="P748" i="9"/>
  <c r="O748" i="9"/>
  <c r="N748" i="9"/>
  <c r="M748" i="9"/>
  <c r="L748" i="9"/>
  <c r="K748" i="9"/>
  <c r="S748" i="9" s="1"/>
  <c r="J748" i="9"/>
  <c r="I748" i="9"/>
  <c r="H748" i="9"/>
  <c r="G748" i="9"/>
  <c r="F748" i="9"/>
  <c r="E748" i="9"/>
  <c r="D748" i="9"/>
  <c r="C748" i="9"/>
  <c r="V747" i="9"/>
  <c r="U747" i="9"/>
  <c r="P747" i="9"/>
  <c r="O747" i="9"/>
  <c r="N747" i="9"/>
  <c r="M747" i="9"/>
  <c r="L747" i="9"/>
  <c r="K747" i="9"/>
  <c r="J747" i="9"/>
  <c r="I747" i="9"/>
  <c r="H747" i="9"/>
  <c r="G747" i="9"/>
  <c r="F747" i="9"/>
  <c r="E747" i="9"/>
  <c r="D747" i="9"/>
  <c r="C747" i="9"/>
  <c r="AB746" i="9"/>
  <c r="V746" i="9"/>
  <c r="U746" i="9"/>
  <c r="P746" i="9"/>
  <c r="O746" i="9"/>
  <c r="N746" i="9"/>
  <c r="M746" i="9"/>
  <c r="L746" i="9"/>
  <c r="K746" i="9"/>
  <c r="J746" i="9"/>
  <c r="I746" i="9"/>
  <c r="H746" i="9"/>
  <c r="G746" i="9"/>
  <c r="F746" i="9"/>
  <c r="E746" i="9"/>
  <c r="D746" i="9"/>
  <c r="C746" i="9"/>
  <c r="V745" i="9"/>
  <c r="U745" i="9"/>
  <c r="P745" i="9"/>
  <c r="O745" i="9"/>
  <c r="N745" i="9"/>
  <c r="M745" i="9"/>
  <c r="L745" i="9"/>
  <c r="K745" i="9"/>
  <c r="J745" i="9"/>
  <c r="I745" i="9"/>
  <c r="H745" i="9"/>
  <c r="G745" i="9"/>
  <c r="F745" i="9"/>
  <c r="E745" i="9"/>
  <c r="D745" i="9"/>
  <c r="C745" i="9"/>
  <c r="AB744" i="9"/>
  <c r="V744" i="9"/>
  <c r="U744" i="9"/>
  <c r="P744" i="9"/>
  <c r="O744" i="9"/>
  <c r="N744" i="9"/>
  <c r="M744" i="9"/>
  <c r="L744" i="9"/>
  <c r="K744" i="9"/>
  <c r="S745" i="9" s="1"/>
  <c r="J744" i="9"/>
  <c r="I744" i="9"/>
  <c r="H744" i="9"/>
  <c r="G744" i="9"/>
  <c r="F744" i="9"/>
  <c r="E744" i="9"/>
  <c r="D744" i="9"/>
  <c r="C744" i="9"/>
  <c r="AB742" i="9"/>
  <c r="V742" i="9"/>
  <c r="U742" i="9"/>
  <c r="P742" i="9"/>
  <c r="O742" i="9"/>
  <c r="N742" i="9"/>
  <c r="M742" i="9"/>
  <c r="L742" i="9"/>
  <c r="K742" i="9"/>
  <c r="S743" i="9" s="1"/>
  <c r="J742" i="9"/>
  <c r="I742" i="9"/>
  <c r="H742" i="9"/>
  <c r="G742" i="9"/>
  <c r="F742" i="9"/>
  <c r="E742" i="9"/>
  <c r="D742" i="9"/>
  <c r="C742" i="9"/>
  <c r="AB740" i="9"/>
  <c r="V740" i="9"/>
  <c r="U740" i="9"/>
  <c r="P740" i="9"/>
  <c r="O740" i="9"/>
  <c r="N740" i="9"/>
  <c r="M740" i="9"/>
  <c r="L740" i="9"/>
  <c r="K740" i="9"/>
  <c r="S741" i="9" s="1"/>
  <c r="J740" i="9"/>
  <c r="I740" i="9"/>
  <c r="H740" i="9"/>
  <c r="G740" i="9"/>
  <c r="F740" i="9"/>
  <c r="E740" i="9"/>
  <c r="D740" i="9"/>
  <c r="C740" i="9"/>
  <c r="AB738" i="9"/>
  <c r="V738" i="9"/>
  <c r="U738" i="9"/>
  <c r="P738" i="9"/>
  <c r="O738" i="9"/>
  <c r="N738" i="9"/>
  <c r="M738" i="9"/>
  <c r="L738" i="9"/>
  <c r="K738" i="9"/>
  <c r="S739" i="9" s="1"/>
  <c r="J738" i="9"/>
  <c r="I738" i="9"/>
  <c r="H738" i="9"/>
  <c r="G738" i="9"/>
  <c r="F738" i="9"/>
  <c r="E738" i="9"/>
  <c r="D738" i="9"/>
  <c r="C738" i="9"/>
  <c r="AB737" i="9"/>
  <c r="V737" i="9"/>
  <c r="U737" i="9"/>
  <c r="P737" i="9"/>
  <c r="O737" i="9"/>
  <c r="N737" i="9"/>
  <c r="M737" i="9"/>
  <c r="L737" i="9"/>
  <c r="K737" i="9"/>
  <c r="S737" i="9" s="1"/>
  <c r="J737" i="9"/>
  <c r="I737" i="9"/>
  <c r="H737" i="9"/>
  <c r="G737" i="9"/>
  <c r="F737" i="9"/>
  <c r="E737" i="9"/>
  <c r="D737" i="9"/>
  <c r="C737" i="9"/>
  <c r="AB736" i="9"/>
  <c r="V736" i="9"/>
  <c r="U736" i="9"/>
  <c r="P736" i="9"/>
  <c r="O736" i="9"/>
  <c r="N736" i="9"/>
  <c r="M736" i="9"/>
  <c r="L736" i="9"/>
  <c r="K736" i="9"/>
  <c r="S736" i="9" s="1"/>
  <c r="J736" i="9"/>
  <c r="I736" i="9"/>
  <c r="H736" i="9"/>
  <c r="G736" i="9"/>
  <c r="F736" i="9"/>
  <c r="E736" i="9"/>
  <c r="D736" i="9"/>
  <c r="C736" i="9"/>
  <c r="AB735" i="9"/>
  <c r="V735" i="9"/>
  <c r="U735" i="9"/>
  <c r="P735" i="9"/>
  <c r="O735" i="9"/>
  <c r="N735" i="9"/>
  <c r="M735" i="9"/>
  <c r="L735" i="9"/>
  <c r="K735" i="9"/>
  <c r="S735" i="9" s="1"/>
  <c r="J735" i="9"/>
  <c r="I735" i="9"/>
  <c r="H735" i="9"/>
  <c r="G735" i="9"/>
  <c r="F735" i="9"/>
  <c r="E735" i="9"/>
  <c r="D735" i="9"/>
  <c r="C735" i="9"/>
  <c r="AB734" i="9"/>
  <c r="V734" i="9"/>
  <c r="U734" i="9"/>
  <c r="P734" i="9"/>
  <c r="O734" i="9"/>
  <c r="N734" i="9"/>
  <c r="M734" i="9"/>
  <c r="L734" i="9"/>
  <c r="K734" i="9"/>
  <c r="S734" i="9" s="1"/>
  <c r="J734" i="9"/>
  <c r="I734" i="9"/>
  <c r="H734" i="9"/>
  <c r="G734" i="9"/>
  <c r="F734" i="9"/>
  <c r="E734" i="9"/>
  <c r="D734" i="9"/>
  <c r="C734" i="9"/>
  <c r="AB733" i="9"/>
  <c r="V733" i="9"/>
  <c r="U733" i="9"/>
  <c r="P733" i="9"/>
  <c r="O733" i="9"/>
  <c r="N733" i="9"/>
  <c r="M733" i="9"/>
  <c r="L733" i="9"/>
  <c r="K733" i="9"/>
  <c r="S733" i="9" s="1"/>
  <c r="J733" i="9"/>
  <c r="I733" i="9"/>
  <c r="H733" i="9"/>
  <c r="G733" i="9"/>
  <c r="F733" i="9"/>
  <c r="E733" i="9"/>
  <c r="D733" i="9"/>
  <c r="C733" i="9"/>
  <c r="V732" i="9"/>
  <c r="U732" i="9"/>
  <c r="P732" i="9"/>
  <c r="O732" i="9"/>
  <c r="N732" i="9"/>
  <c r="M732" i="9"/>
  <c r="L732" i="9"/>
  <c r="K732" i="9"/>
  <c r="J732" i="9"/>
  <c r="I732" i="9"/>
  <c r="H732" i="9"/>
  <c r="G732" i="9"/>
  <c r="F732" i="9"/>
  <c r="E732" i="9"/>
  <c r="D732" i="9"/>
  <c r="C732" i="9"/>
  <c r="AB731" i="9"/>
  <c r="V731" i="9"/>
  <c r="U731" i="9"/>
  <c r="P731" i="9"/>
  <c r="O731" i="9"/>
  <c r="N731" i="9"/>
  <c r="M731" i="9"/>
  <c r="L731" i="9"/>
  <c r="K731" i="9"/>
  <c r="S732" i="9" s="1"/>
  <c r="J731" i="9"/>
  <c r="I731" i="9"/>
  <c r="H731" i="9"/>
  <c r="G731" i="9"/>
  <c r="F731" i="9"/>
  <c r="E731" i="9"/>
  <c r="D731" i="9"/>
  <c r="C731" i="9"/>
  <c r="AB730" i="9"/>
  <c r="V730" i="9"/>
  <c r="U730" i="9"/>
  <c r="P730" i="9"/>
  <c r="O730" i="9"/>
  <c r="N730" i="9"/>
  <c r="M730" i="9"/>
  <c r="L730" i="9"/>
  <c r="K730" i="9"/>
  <c r="S730" i="9" s="1"/>
  <c r="J730" i="9"/>
  <c r="I730" i="9"/>
  <c r="H730" i="9"/>
  <c r="G730" i="9"/>
  <c r="F730" i="9"/>
  <c r="E730" i="9"/>
  <c r="D730" i="9"/>
  <c r="C730" i="9"/>
  <c r="AB729" i="9"/>
  <c r="V729" i="9"/>
  <c r="U729" i="9"/>
  <c r="P729" i="9"/>
  <c r="O729" i="9"/>
  <c r="N729" i="9"/>
  <c r="M729" i="9"/>
  <c r="L729" i="9"/>
  <c r="K729" i="9"/>
  <c r="S729" i="9" s="1"/>
  <c r="J729" i="9"/>
  <c r="I729" i="9"/>
  <c r="H729" i="9"/>
  <c r="G729" i="9"/>
  <c r="F729" i="9"/>
  <c r="E729" i="9"/>
  <c r="D729" i="9"/>
  <c r="C729" i="9"/>
  <c r="AB728" i="9"/>
  <c r="V728" i="9"/>
  <c r="U728" i="9"/>
  <c r="P728" i="9"/>
  <c r="O728" i="9"/>
  <c r="N728" i="9"/>
  <c r="M728" i="9"/>
  <c r="L728" i="9"/>
  <c r="K728" i="9"/>
  <c r="S728" i="9" s="1"/>
  <c r="J728" i="9"/>
  <c r="I728" i="9"/>
  <c r="H728" i="9"/>
  <c r="G728" i="9"/>
  <c r="F728" i="9"/>
  <c r="E728" i="9"/>
  <c r="D728" i="9"/>
  <c r="C728" i="9"/>
  <c r="AB727" i="9"/>
  <c r="V727" i="9"/>
  <c r="U727" i="9"/>
  <c r="P727" i="9"/>
  <c r="O727" i="9"/>
  <c r="N727" i="9"/>
  <c r="M727" i="9"/>
  <c r="L727" i="9"/>
  <c r="K727" i="9"/>
  <c r="S727" i="9" s="1"/>
  <c r="J727" i="9"/>
  <c r="I727" i="9"/>
  <c r="H727" i="9"/>
  <c r="G727" i="9"/>
  <c r="F727" i="9"/>
  <c r="E727" i="9"/>
  <c r="D727" i="9"/>
  <c r="C727" i="9"/>
  <c r="AB726" i="9"/>
  <c r="V726" i="9"/>
  <c r="U726" i="9"/>
  <c r="P726" i="9"/>
  <c r="O726" i="9"/>
  <c r="N726" i="9"/>
  <c r="M726" i="9"/>
  <c r="L726" i="9"/>
  <c r="K726" i="9"/>
  <c r="S726" i="9" s="1"/>
  <c r="J726" i="9"/>
  <c r="I726" i="9"/>
  <c r="H726" i="9"/>
  <c r="G726" i="9"/>
  <c r="F726" i="9"/>
  <c r="E726" i="9"/>
  <c r="D726" i="9"/>
  <c r="C726" i="9"/>
  <c r="AB725" i="9"/>
  <c r="V725" i="9"/>
  <c r="U725" i="9"/>
  <c r="P725" i="9"/>
  <c r="O725" i="9"/>
  <c r="N725" i="9"/>
  <c r="M725" i="9"/>
  <c r="L725" i="9"/>
  <c r="K725" i="9"/>
  <c r="S725" i="9" s="1"/>
  <c r="J725" i="9"/>
  <c r="I725" i="9"/>
  <c r="H725" i="9"/>
  <c r="G725" i="9"/>
  <c r="F725" i="9"/>
  <c r="E725" i="9"/>
  <c r="D725" i="9"/>
  <c r="C725" i="9"/>
  <c r="AB723" i="9"/>
  <c r="V723" i="9"/>
  <c r="U723" i="9"/>
  <c r="P723" i="9"/>
  <c r="O723" i="9"/>
  <c r="N723" i="9"/>
  <c r="M723" i="9"/>
  <c r="L723" i="9"/>
  <c r="K723" i="9"/>
  <c r="S724" i="9" s="1"/>
  <c r="J723" i="9"/>
  <c r="I723" i="9"/>
  <c r="H723" i="9"/>
  <c r="G723" i="9"/>
  <c r="F723" i="9"/>
  <c r="E723" i="9"/>
  <c r="D723" i="9"/>
  <c r="C723" i="9"/>
  <c r="AB722" i="9"/>
  <c r="V722" i="9"/>
  <c r="U722" i="9"/>
  <c r="P722" i="9"/>
  <c r="O722" i="9"/>
  <c r="N722" i="9"/>
  <c r="M722" i="9"/>
  <c r="L722" i="9"/>
  <c r="K722" i="9"/>
  <c r="S722" i="9" s="1"/>
  <c r="J722" i="9"/>
  <c r="I722" i="9"/>
  <c r="H722" i="9"/>
  <c r="G722" i="9"/>
  <c r="F722" i="9"/>
  <c r="E722" i="9"/>
  <c r="D722" i="9"/>
  <c r="C722" i="9"/>
  <c r="AB721" i="9"/>
  <c r="V721" i="9"/>
  <c r="U721" i="9"/>
  <c r="P721" i="9"/>
  <c r="O721" i="9"/>
  <c r="N721" i="9"/>
  <c r="M721" i="9"/>
  <c r="L721" i="9"/>
  <c r="K721" i="9"/>
  <c r="S721" i="9" s="1"/>
  <c r="J721" i="9"/>
  <c r="I721" i="9"/>
  <c r="H721" i="9"/>
  <c r="G721" i="9"/>
  <c r="F721" i="9"/>
  <c r="E721" i="9"/>
  <c r="D721" i="9"/>
  <c r="C721" i="9"/>
  <c r="AB718" i="9"/>
  <c r="V718" i="9"/>
  <c r="U718" i="9"/>
  <c r="P718" i="9"/>
  <c r="O718" i="9"/>
  <c r="N718" i="9"/>
  <c r="M718" i="9"/>
  <c r="L718" i="9"/>
  <c r="K718" i="9"/>
  <c r="S720" i="9" s="1"/>
  <c r="J718" i="9"/>
  <c r="I718" i="9"/>
  <c r="H718" i="9"/>
  <c r="G718" i="9"/>
  <c r="F718" i="9"/>
  <c r="E718" i="9"/>
  <c r="D718" i="9"/>
  <c r="C718" i="9"/>
  <c r="AB716" i="9"/>
  <c r="V716" i="9"/>
  <c r="U716" i="9"/>
  <c r="P716" i="9"/>
  <c r="O716" i="9"/>
  <c r="N716" i="9"/>
  <c r="M716" i="9"/>
  <c r="L716" i="9"/>
  <c r="K716" i="9"/>
  <c r="S717" i="9" s="1"/>
  <c r="J716" i="9"/>
  <c r="I716" i="9"/>
  <c r="H716" i="9"/>
  <c r="G716" i="9"/>
  <c r="F716" i="9"/>
  <c r="E716" i="9"/>
  <c r="D716" i="9"/>
  <c r="C716" i="9"/>
  <c r="AB714" i="9"/>
  <c r="V714" i="9"/>
  <c r="U714" i="9"/>
  <c r="P714" i="9"/>
  <c r="O714" i="9"/>
  <c r="N714" i="9"/>
  <c r="M714" i="9"/>
  <c r="L714" i="9"/>
  <c r="K714" i="9"/>
  <c r="S715" i="9" s="1"/>
  <c r="J714" i="9"/>
  <c r="I714" i="9"/>
  <c r="H714" i="9"/>
  <c r="G714" i="9"/>
  <c r="F714" i="9"/>
  <c r="E714" i="9"/>
  <c r="D714" i="9"/>
  <c r="C714" i="9"/>
  <c r="V713" i="9"/>
  <c r="U713" i="9"/>
  <c r="P713" i="9"/>
  <c r="O713" i="9"/>
  <c r="N713" i="9"/>
  <c r="M713" i="9"/>
  <c r="L713" i="9"/>
  <c r="K713" i="9"/>
  <c r="J713" i="9"/>
  <c r="I713" i="9"/>
  <c r="H713" i="9"/>
  <c r="G713" i="9"/>
  <c r="F713" i="9"/>
  <c r="E713" i="9"/>
  <c r="D713" i="9"/>
  <c r="C713" i="9"/>
  <c r="AB712" i="9"/>
  <c r="V712" i="9"/>
  <c r="U712" i="9"/>
  <c r="P712" i="9"/>
  <c r="O712" i="9"/>
  <c r="N712" i="9"/>
  <c r="M712" i="9"/>
  <c r="L712" i="9"/>
  <c r="K712" i="9"/>
  <c r="S713" i="9" s="1"/>
  <c r="J712" i="9"/>
  <c r="I712" i="9"/>
  <c r="H712" i="9"/>
  <c r="G712" i="9"/>
  <c r="F712" i="9"/>
  <c r="E712" i="9"/>
  <c r="D712" i="9"/>
  <c r="C712" i="9"/>
  <c r="AB711" i="9"/>
  <c r="V711" i="9"/>
  <c r="U711" i="9"/>
  <c r="P711" i="9"/>
  <c r="O711" i="9"/>
  <c r="N711" i="9"/>
  <c r="M711" i="9"/>
  <c r="L711" i="9"/>
  <c r="K711" i="9"/>
  <c r="S711" i="9" s="1"/>
  <c r="J711" i="9"/>
  <c r="I711" i="9"/>
  <c r="H711" i="9"/>
  <c r="G711" i="9"/>
  <c r="F711" i="9"/>
  <c r="E711" i="9"/>
  <c r="D711" i="9"/>
  <c r="C711" i="9"/>
  <c r="AB710" i="9"/>
  <c r="V710" i="9"/>
  <c r="U710" i="9"/>
  <c r="P710" i="9"/>
  <c r="O710" i="9"/>
  <c r="N710" i="9"/>
  <c r="M710" i="9"/>
  <c r="L710" i="9"/>
  <c r="K710" i="9"/>
  <c r="S710" i="9" s="1"/>
  <c r="J710" i="9"/>
  <c r="I710" i="9"/>
  <c r="H710" i="9"/>
  <c r="G710" i="9"/>
  <c r="F710" i="9"/>
  <c r="E710" i="9"/>
  <c r="D710" i="9"/>
  <c r="C710" i="9"/>
  <c r="AB709" i="9"/>
  <c r="V709" i="9"/>
  <c r="U709" i="9"/>
  <c r="P709" i="9"/>
  <c r="O709" i="9"/>
  <c r="N709" i="9"/>
  <c r="M709" i="9"/>
  <c r="L709" i="9"/>
  <c r="K709" i="9"/>
  <c r="S709" i="9" s="1"/>
  <c r="J709" i="9"/>
  <c r="I709" i="9"/>
  <c r="H709" i="9"/>
  <c r="G709" i="9"/>
  <c r="F709" i="9"/>
  <c r="E709" i="9"/>
  <c r="D709" i="9"/>
  <c r="C709" i="9"/>
  <c r="V708" i="9"/>
  <c r="U708" i="9"/>
  <c r="P708" i="9"/>
  <c r="O708" i="9"/>
  <c r="N708" i="9"/>
  <c r="M708" i="9"/>
  <c r="L708" i="9"/>
  <c r="K708" i="9"/>
  <c r="J708" i="9"/>
  <c r="I708" i="9"/>
  <c r="H708" i="9"/>
  <c r="G708" i="9"/>
  <c r="F708" i="9"/>
  <c r="E708" i="9"/>
  <c r="D708" i="9"/>
  <c r="C708" i="9"/>
  <c r="AB707" i="9"/>
  <c r="V707" i="9"/>
  <c r="U707" i="9"/>
  <c r="P707" i="9"/>
  <c r="O707" i="9"/>
  <c r="N707" i="9"/>
  <c r="M707" i="9"/>
  <c r="L707" i="9"/>
  <c r="K707" i="9"/>
  <c r="S708" i="9" s="1"/>
  <c r="J707" i="9"/>
  <c r="I707" i="9"/>
  <c r="H707" i="9"/>
  <c r="G707" i="9"/>
  <c r="F707" i="9"/>
  <c r="E707" i="9"/>
  <c r="D707" i="9"/>
  <c r="C707" i="9"/>
  <c r="AB706" i="9"/>
  <c r="V706" i="9"/>
  <c r="U706" i="9"/>
  <c r="P706" i="9"/>
  <c r="O706" i="9"/>
  <c r="N706" i="9"/>
  <c r="M706" i="9"/>
  <c r="L706" i="9"/>
  <c r="K706" i="9"/>
  <c r="S706" i="9" s="1"/>
  <c r="J706" i="9"/>
  <c r="I706" i="9"/>
  <c r="H706" i="9"/>
  <c r="G706" i="9"/>
  <c r="F706" i="9"/>
  <c r="E706" i="9"/>
  <c r="D706" i="9"/>
  <c r="C706" i="9"/>
  <c r="AB705" i="9"/>
  <c r="V705" i="9"/>
  <c r="U705" i="9"/>
  <c r="P705" i="9"/>
  <c r="O705" i="9"/>
  <c r="N705" i="9"/>
  <c r="M705" i="9"/>
  <c r="L705" i="9"/>
  <c r="K705" i="9"/>
  <c r="S705" i="9" s="1"/>
  <c r="J705" i="9"/>
  <c r="I705" i="9"/>
  <c r="H705" i="9"/>
  <c r="G705" i="9"/>
  <c r="F705" i="9"/>
  <c r="E705" i="9"/>
  <c r="D705" i="9"/>
  <c r="C705" i="9"/>
  <c r="AB704" i="9"/>
  <c r="V704" i="9"/>
  <c r="U704" i="9"/>
  <c r="P704" i="9"/>
  <c r="O704" i="9"/>
  <c r="N704" i="9"/>
  <c r="M704" i="9"/>
  <c r="L704" i="9"/>
  <c r="K704" i="9"/>
  <c r="S704" i="9" s="1"/>
  <c r="J704" i="9"/>
  <c r="I704" i="9"/>
  <c r="H704" i="9"/>
  <c r="G704" i="9"/>
  <c r="F704" i="9"/>
  <c r="E704" i="9"/>
  <c r="D704" i="9"/>
  <c r="C704" i="9"/>
  <c r="AB703" i="9"/>
  <c r="V703" i="9"/>
  <c r="U703" i="9"/>
  <c r="P703" i="9"/>
  <c r="O703" i="9"/>
  <c r="N703" i="9"/>
  <c r="M703" i="9"/>
  <c r="L703" i="9"/>
  <c r="K703" i="9"/>
  <c r="S703" i="9" s="1"/>
  <c r="J703" i="9"/>
  <c r="I703" i="9"/>
  <c r="H703" i="9"/>
  <c r="G703" i="9"/>
  <c r="F703" i="9"/>
  <c r="E703" i="9"/>
  <c r="D703" i="9"/>
  <c r="C703" i="9"/>
  <c r="AB702" i="9"/>
  <c r="V702" i="9"/>
  <c r="U702" i="9"/>
  <c r="P702" i="9"/>
  <c r="O702" i="9"/>
  <c r="N702" i="9"/>
  <c r="M702" i="9"/>
  <c r="L702" i="9"/>
  <c r="K702" i="9"/>
  <c r="S702" i="9" s="1"/>
  <c r="J702" i="9"/>
  <c r="I702" i="9"/>
  <c r="H702" i="9"/>
  <c r="G702" i="9"/>
  <c r="F702" i="9"/>
  <c r="E702" i="9"/>
  <c r="D702" i="9"/>
  <c r="C702" i="9"/>
  <c r="AB701" i="9"/>
  <c r="V701" i="9"/>
  <c r="U701" i="9"/>
  <c r="P701" i="9"/>
  <c r="O701" i="9"/>
  <c r="N701" i="9"/>
  <c r="M701" i="9"/>
  <c r="L701" i="9"/>
  <c r="K701" i="9"/>
  <c r="S701" i="9" s="1"/>
  <c r="J701" i="9"/>
  <c r="I701" i="9"/>
  <c r="H701" i="9"/>
  <c r="G701" i="9"/>
  <c r="F701" i="9"/>
  <c r="E701" i="9"/>
  <c r="D701" i="9"/>
  <c r="C701" i="9"/>
  <c r="AB700" i="9"/>
  <c r="V700" i="9"/>
  <c r="U700" i="9"/>
  <c r="P700" i="9"/>
  <c r="O700" i="9"/>
  <c r="N700" i="9"/>
  <c r="M700" i="9"/>
  <c r="L700" i="9"/>
  <c r="K700" i="9"/>
  <c r="S700" i="9" s="1"/>
  <c r="J700" i="9"/>
  <c r="I700" i="9"/>
  <c r="H700" i="9"/>
  <c r="G700" i="9"/>
  <c r="F700" i="9"/>
  <c r="E700" i="9"/>
  <c r="D700" i="9"/>
  <c r="C700" i="9"/>
  <c r="AB699" i="9"/>
  <c r="V699" i="9"/>
  <c r="U699" i="9"/>
  <c r="P699" i="9"/>
  <c r="O699" i="9"/>
  <c r="N699" i="9"/>
  <c r="M699" i="9"/>
  <c r="L699" i="9"/>
  <c r="K699" i="9"/>
  <c r="S699" i="9" s="1"/>
  <c r="J699" i="9"/>
  <c r="I699" i="9"/>
  <c r="H699" i="9"/>
  <c r="G699" i="9"/>
  <c r="F699" i="9"/>
  <c r="E699" i="9"/>
  <c r="D699" i="9"/>
  <c r="C699" i="9"/>
  <c r="AB698" i="9"/>
  <c r="V698" i="9"/>
  <c r="U698" i="9"/>
  <c r="P698" i="9"/>
  <c r="O698" i="9"/>
  <c r="N698" i="9"/>
  <c r="M698" i="9"/>
  <c r="L698" i="9"/>
  <c r="K698" i="9"/>
  <c r="S698" i="9" s="1"/>
  <c r="J698" i="9"/>
  <c r="I698" i="9"/>
  <c r="H698" i="9"/>
  <c r="G698" i="9"/>
  <c r="F698" i="9"/>
  <c r="E698" i="9"/>
  <c r="D698" i="9"/>
  <c r="C698" i="9"/>
  <c r="AB696" i="9"/>
  <c r="V696" i="9"/>
  <c r="U696" i="9"/>
  <c r="P696" i="9"/>
  <c r="O696" i="9"/>
  <c r="N696" i="9"/>
  <c r="M696" i="9"/>
  <c r="L696" i="9"/>
  <c r="K696" i="9"/>
  <c r="S696" i="9" s="1"/>
  <c r="J696" i="9"/>
  <c r="I696" i="9"/>
  <c r="H696" i="9"/>
  <c r="G696" i="9"/>
  <c r="F696" i="9"/>
  <c r="E696" i="9"/>
  <c r="D696" i="9"/>
  <c r="C696" i="9"/>
  <c r="AB695" i="9"/>
  <c r="V695" i="9"/>
  <c r="U695" i="9"/>
  <c r="P695" i="9"/>
  <c r="O695" i="9"/>
  <c r="N695" i="9"/>
  <c r="M695" i="9"/>
  <c r="L695" i="9"/>
  <c r="K695" i="9"/>
  <c r="S695" i="9" s="1"/>
  <c r="J695" i="9"/>
  <c r="I695" i="9"/>
  <c r="H695" i="9"/>
  <c r="G695" i="9"/>
  <c r="F695" i="9"/>
  <c r="E695" i="9"/>
  <c r="D695" i="9"/>
  <c r="C695" i="9"/>
  <c r="AB693" i="9"/>
  <c r="V693" i="9"/>
  <c r="U693" i="9"/>
  <c r="P693" i="9"/>
  <c r="O693" i="9"/>
  <c r="N693" i="9"/>
  <c r="M693" i="9"/>
  <c r="L693" i="9"/>
  <c r="K693" i="9"/>
  <c r="S694" i="9" s="1"/>
  <c r="J693" i="9"/>
  <c r="I693" i="9"/>
  <c r="H693" i="9"/>
  <c r="G693" i="9"/>
  <c r="F693" i="9"/>
  <c r="E693" i="9"/>
  <c r="D693" i="9"/>
  <c r="C693" i="9"/>
  <c r="AB691" i="9"/>
  <c r="V691" i="9"/>
  <c r="U691" i="9"/>
  <c r="P691" i="9"/>
  <c r="O691" i="9"/>
  <c r="N691" i="9"/>
  <c r="M691" i="9"/>
  <c r="L691" i="9"/>
  <c r="K691" i="9"/>
  <c r="S692" i="9" s="1"/>
  <c r="J691" i="9"/>
  <c r="I691" i="9"/>
  <c r="H691" i="9"/>
  <c r="G691" i="9"/>
  <c r="F691" i="9"/>
  <c r="E691" i="9"/>
  <c r="D691" i="9"/>
  <c r="C691" i="9"/>
  <c r="AB690" i="9"/>
  <c r="V690" i="9"/>
  <c r="U690" i="9"/>
  <c r="P690" i="9"/>
  <c r="O690" i="9"/>
  <c r="N690" i="9"/>
  <c r="M690" i="9"/>
  <c r="L690" i="9"/>
  <c r="K690" i="9"/>
  <c r="S690" i="9" s="1"/>
  <c r="J690" i="9"/>
  <c r="I690" i="9"/>
  <c r="H690" i="9"/>
  <c r="G690" i="9"/>
  <c r="F690" i="9"/>
  <c r="E690" i="9"/>
  <c r="D690" i="9"/>
  <c r="C690" i="9"/>
  <c r="AB688" i="9"/>
  <c r="V688" i="9"/>
  <c r="U688" i="9"/>
  <c r="P688" i="9"/>
  <c r="O688" i="9"/>
  <c r="N688" i="9"/>
  <c r="M688" i="9"/>
  <c r="L688" i="9"/>
  <c r="K688" i="9"/>
  <c r="S689" i="9" s="1"/>
  <c r="J688" i="9"/>
  <c r="I688" i="9"/>
  <c r="H688" i="9"/>
  <c r="G688" i="9"/>
  <c r="F688" i="9"/>
  <c r="E688" i="9"/>
  <c r="D688" i="9"/>
  <c r="C688" i="9"/>
  <c r="AB687" i="9"/>
  <c r="V687" i="9"/>
  <c r="U687" i="9"/>
  <c r="P687" i="9"/>
  <c r="O687" i="9"/>
  <c r="N687" i="9"/>
  <c r="M687" i="9"/>
  <c r="L687" i="9"/>
  <c r="K687" i="9"/>
  <c r="S687" i="9" s="1"/>
  <c r="J687" i="9"/>
  <c r="I687" i="9"/>
  <c r="H687" i="9"/>
  <c r="G687" i="9"/>
  <c r="F687" i="9"/>
  <c r="E687" i="9"/>
  <c r="D687" i="9"/>
  <c r="C687" i="9"/>
  <c r="AB686" i="9"/>
  <c r="V686" i="9"/>
  <c r="U686" i="9"/>
  <c r="P686" i="9"/>
  <c r="O686" i="9"/>
  <c r="N686" i="9"/>
  <c r="M686" i="9"/>
  <c r="L686" i="9"/>
  <c r="K686" i="9"/>
  <c r="S686" i="9" s="1"/>
  <c r="J686" i="9"/>
  <c r="I686" i="9"/>
  <c r="H686" i="9"/>
  <c r="G686" i="9"/>
  <c r="F686" i="9"/>
  <c r="E686" i="9"/>
  <c r="D686" i="9"/>
  <c r="C686" i="9"/>
  <c r="V685" i="9"/>
  <c r="U685" i="9"/>
  <c r="P685" i="9"/>
  <c r="O685" i="9"/>
  <c r="N685" i="9"/>
  <c r="M685" i="9"/>
  <c r="L685" i="9"/>
  <c r="K685" i="9"/>
  <c r="J685" i="9"/>
  <c r="I685" i="9"/>
  <c r="H685" i="9"/>
  <c r="G685" i="9"/>
  <c r="F685" i="9"/>
  <c r="E685" i="9"/>
  <c r="D685" i="9"/>
  <c r="C685" i="9"/>
  <c r="AB684" i="9"/>
  <c r="V684" i="9"/>
  <c r="U684" i="9"/>
  <c r="P684" i="9"/>
  <c r="O684" i="9"/>
  <c r="N684" i="9"/>
  <c r="M684" i="9"/>
  <c r="L684" i="9"/>
  <c r="K684" i="9"/>
  <c r="S685" i="9" s="1"/>
  <c r="J684" i="9"/>
  <c r="I684" i="9"/>
  <c r="H684" i="9"/>
  <c r="G684" i="9"/>
  <c r="F684" i="9"/>
  <c r="E684" i="9"/>
  <c r="D684" i="9"/>
  <c r="C684" i="9"/>
  <c r="AB682" i="9"/>
  <c r="V682" i="9"/>
  <c r="U682" i="9"/>
  <c r="P682" i="9"/>
  <c r="O682" i="9"/>
  <c r="N682" i="9"/>
  <c r="M682" i="9"/>
  <c r="L682" i="9"/>
  <c r="K682" i="9"/>
  <c r="S683" i="9" s="1"/>
  <c r="J682" i="9"/>
  <c r="I682" i="9"/>
  <c r="H682" i="9"/>
  <c r="G682" i="9"/>
  <c r="F682" i="9"/>
  <c r="E682" i="9"/>
  <c r="D682" i="9"/>
  <c r="C682" i="9"/>
  <c r="AB681" i="9"/>
  <c r="V681" i="9"/>
  <c r="U681" i="9"/>
  <c r="P681" i="9"/>
  <c r="O681" i="9"/>
  <c r="N681" i="9"/>
  <c r="M681" i="9"/>
  <c r="L681" i="9"/>
  <c r="K681" i="9"/>
  <c r="S681" i="9" s="1"/>
  <c r="J681" i="9"/>
  <c r="I681" i="9"/>
  <c r="H681" i="9"/>
  <c r="G681" i="9"/>
  <c r="F681" i="9"/>
  <c r="E681" i="9"/>
  <c r="D681" i="9"/>
  <c r="C681" i="9"/>
  <c r="AB677" i="9"/>
  <c r="V677" i="9"/>
  <c r="U677" i="9"/>
  <c r="P677" i="9"/>
  <c r="O677" i="9"/>
  <c r="N677" i="9"/>
  <c r="M677" i="9"/>
  <c r="L677" i="9"/>
  <c r="K677" i="9"/>
  <c r="S680" i="9" s="1"/>
  <c r="J677" i="9"/>
  <c r="I677" i="9"/>
  <c r="H677" i="9"/>
  <c r="G677" i="9"/>
  <c r="F677" i="9"/>
  <c r="E677" i="9"/>
  <c r="D677" i="9"/>
  <c r="C677" i="9"/>
  <c r="AB676" i="9"/>
  <c r="V676" i="9"/>
  <c r="U676" i="9"/>
  <c r="P676" i="9"/>
  <c r="O676" i="9"/>
  <c r="N676" i="9"/>
  <c r="M676" i="9"/>
  <c r="L676" i="9"/>
  <c r="K676" i="9"/>
  <c r="S676" i="9" s="1"/>
  <c r="J676" i="9"/>
  <c r="I676" i="9"/>
  <c r="H676" i="9"/>
  <c r="G676" i="9"/>
  <c r="F676" i="9"/>
  <c r="E676" i="9"/>
  <c r="D676" i="9"/>
  <c r="C676" i="9"/>
  <c r="AB675" i="9"/>
  <c r="V675" i="9"/>
  <c r="U675" i="9"/>
  <c r="P675" i="9"/>
  <c r="O675" i="9"/>
  <c r="N675" i="9"/>
  <c r="M675" i="9"/>
  <c r="L675" i="9"/>
  <c r="K675" i="9"/>
  <c r="S675" i="9" s="1"/>
  <c r="J675" i="9"/>
  <c r="I675" i="9"/>
  <c r="H675" i="9"/>
  <c r="G675" i="9"/>
  <c r="F675" i="9"/>
  <c r="E675" i="9"/>
  <c r="D675" i="9"/>
  <c r="C675" i="9"/>
  <c r="AB674" i="9"/>
  <c r="V674" i="9"/>
  <c r="U674" i="9"/>
  <c r="P674" i="9"/>
  <c r="O674" i="9"/>
  <c r="N674" i="9"/>
  <c r="M674" i="9"/>
  <c r="L674" i="9"/>
  <c r="K674" i="9"/>
  <c r="S674" i="9" s="1"/>
  <c r="J674" i="9"/>
  <c r="I674" i="9"/>
  <c r="H674" i="9"/>
  <c r="G674" i="9"/>
  <c r="F674" i="9"/>
  <c r="E674" i="9"/>
  <c r="D674" i="9"/>
  <c r="C674" i="9"/>
  <c r="AB673" i="9"/>
  <c r="V673" i="9"/>
  <c r="U673" i="9"/>
  <c r="P673" i="9"/>
  <c r="O673" i="9"/>
  <c r="N673" i="9"/>
  <c r="M673" i="9"/>
  <c r="L673" i="9"/>
  <c r="K673" i="9"/>
  <c r="S673" i="9" s="1"/>
  <c r="J673" i="9"/>
  <c r="I673" i="9"/>
  <c r="H673" i="9"/>
  <c r="G673" i="9"/>
  <c r="F673" i="9"/>
  <c r="E673" i="9"/>
  <c r="D673" i="9"/>
  <c r="C673" i="9"/>
  <c r="AB672" i="9"/>
  <c r="V672" i="9"/>
  <c r="U672" i="9"/>
  <c r="P672" i="9"/>
  <c r="O672" i="9"/>
  <c r="N672" i="9"/>
  <c r="M672" i="9"/>
  <c r="L672" i="9"/>
  <c r="K672" i="9"/>
  <c r="S672" i="9" s="1"/>
  <c r="J672" i="9"/>
  <c r="I672" i="9"/>
  <c r="H672" i="9"/>
  <c r="G672" i="9"/>
  <c r="F672" i="9"/>
  <c r="E672" i="9"/>
  <c r="D672" i="9"/>
  <c r="C672" i="9"/>
  <c r="AB671" i="9"/>
  <c r="V671" i="9"/>
  <c r="U671" i="9"/>
  <c r="P671" i="9"/>
  <c r="O671" i="9"/>
  <c r="N671" i="9"/>
  <c r="M671" i="9"/>
  <c r="L671" i="9"/>
  <c r="K671" i="9"/>
  <c r="S671" i="9" s="1"/>
  <c r="J671" i="9"/>
  <c r="I671" i="9"/>
  <c r="H671" i="9"/>
  <c r="G671" i="9"/>
  <c r="F671" i="9"/>
  <c r="E671" i="9"/>
  <c r="D671" i="9"/>
  <c r="C671" i="9"/>
  <c r="AB670" i="9"/>
  <c r="V670" i="9"/>
  <c r="U670" i="9"/>
  <c r="P670" i="9"/>
  <c r="O670" i="9"/>
  <c r="N670" i="9"/>
  <c r="M670" i="9"/>
  <c r="L670" i="9"/>
  <c r="K670" i="9"/>
  <c r="S670" i="9" s="1"/>
  <c r="J670" i="9"/>
  <c r="I670" i="9"/>
  <c r="H670" i="9"/>
  <c r="G670" i="9"/>
  <c r="F670" i="9"/>
  <c r="E670" i="9"/>
  <c r="D670" i="9"/>
  <c r="C670" i="9"/>
  <c r="AB669" i="9"/>
  <c r="V669" i="9"/>
  <c r="U669" i="9"/>
  <c r="P669" i="9"/>
  <c r="O669" i="9"/>
  <c r="N669" i="9"/>
  <c r="M669" i="9"/>
  <c r="L669" i="9"/>
  <c r="K669" i="9"/>
  <c r="S669" i="9" s="1"/>
  <c r="J669" i="9"/>
  <c r="I669" i="9"/>
  <c r="H669" i="9"/>
  <c r="G669" i="9"/>
  <c r="F669" i="9"/>
  <c r="E669" i="9"/>
  <c r="D669" i="9"/>
  <c r="C669" i="9"/>
  <c r="AB668" i="9"/>
  <c r="V668" i="9"/>
  <c r="U668" i="9"/>
  <c r="P668" i="9"/>
  <c r="O668" i="9"/>
  <c r="N668" i="9"/>
  <c r="M668" i="9"/>
  <c r="L668" i="9"/>
  <c r="K668" i="9"/>
  <c r="S668" i="9" s="1"/>
  <c r="J668" i="9"/>
  <c r="I668" i="9"/>
  <c r="H668" i="9"/>
  <c r="G668" i="9"/>
  <c r="F668" i="9"/>
  <c r="E668" i="9"/>
  <c r="D668" i="9"/>
  <c r="C668" i="9"/>
  <c r="AB667" i="9"/>
  <c r="V667" i="9"/>
  <c r="U667" i="9"/>
  <c r="P667" i="9"/>
  <c r="O667" i="9"/>
  <c r="N667" i="9"/>
  <c r="M667" i="9"/>
  <c r="L667" i="9"/>
  <c r="K667" i="9"/>
  <c r="S667" i="9" s="1"/>
  <c r="J667" i="9"/>
  <c r="I667" i="9"/>
  <c r="H667" i="9"/>
  <c r="G667" i="9"/>
  <c r="F667" i="9"/>
  <c r="E667" i="9"/>
  <c r="D667" i="9"/>
  <c r="C667" i="9"/>
  <c r="V661" i="9"/>
  <c r="U661" i="9"/>
  <c r="P661" i="9"/>
  <c r="O661" i="9"/>
  <c r="N661" i="9"/>
  <c r="M661" i="9"/>
  <c r="L661" i="9"/>
  <c r="K661" i="9"/>
  <c r="J661" i="9"/>
  <c r="I661" i="9"/>
  <c r="H661" i="9"/>
  <c r="G661" i="9"/>
  <c r="F661" i="9"/>
  <c r="E661" i="9"/>
  <c r="D661" i="9"/>
  <c r="C661" i="9"/>
  <c r="V660" i="9"/>
  <c r="U660" i="9"/>
  <c r="P660" i="9"/>
  <c r="O660" i="9"/>
  <c r="N660" i="9"/>
  <c r="M660" i="9"/>
  <c r="L660" i="9"/>
  <c r="K660" i="9"/>
  <c r="J660" i="9"/>
  <c r="I660" i="9"/>
  <c r="H660" i="9"/>
  <c r="G660" i="9"/>
  <c r="F660" i="9"/>
  <c r="E660" i="9"/>
  <c r="D660" i="9"/>
  <c r="C660" i="9"/>
  <c r="V659" i="9"/>
  <c r="U659" i="9"/>
  <c r="P659" i="9"/>
  <c r="O659" i="9"/>
  <c r="N659" i="9"/>
  <c r="M659" i="9"/>
  <c r="L659" i="9"/>
  <c r="K659" i="9"/>
  <c r="J659" i="9"/>
  <c r="I659" i="9"/>
  <c r="H659" i="9"/>
  <c r="G659" i="9"/>
  <c r="F659" i="9"/>
  <c r="E659" i="9"/>
  <c r="D659" i="9"/>
  <c r="C659" i="9"/>
  <c r="AB658" i="9"/>
  <c r="V658" i="9"/>
  <c r="U658" i="9"/>
  <c r="P658" i="9"/>
  <c r="O658" i="9"/>
  <c r="N658" i="9"/>
  <c r="M658" i="9"/>
  <c r="L658" i="9"/>
  <c r="K658" i="9"/>
  <c r="S661" i="9" s="1"/>
  <c r="J658" i="9"/>
  <c r="I658" i="9"/>
  <c r="H658" i="9"/>
  <c r="G658" i="9"/>
  <c r="F658" i="9"/>
  <c r="E658" i="9"/>
  <c r="D658" i="9"/>
  <c r="C658" i="9"/>
  <c r="AB655" i="9"/>
  <c r="V655" i="9"/>
  <c r="U655" i="9"/>
  <c r="P655" i="9"/>
  <c r="O655" i="9"/>
  <c r="N655" i="9"/>
  <c r="M655" i="9"/>
  <c r="L655" i="9"/>
  <c r="K655" i="9"/>
  <c r="S657" i="9" s="1"/>
  <c r="J655" i="9"/>
  <c r="I655" i="9"/>
  <c r="H655" i="9"/>
  <c r="G655" i="9"/>
  <c r="F655" i="9"/>
  <c r="E655" i="9"/>
  <c r="D655" i="9"/>
  <c r="C655" i="9"/>
  <c r="AB653" i="9"/>
  <c r="V653" i="9"/>
  <c r="U653" i="9"/>
  <c r="P653" i="9"/>
  <c r="O653" i="9"/>
  <c r="N653" i="9"/>
  <c r="M653" i="9"/>
  <c r="L653" i="9"/>
  <c r="K653" i="9"/>
  <c r="S654" i="9" s="1"/>
  <c r="J653" i="9"/>
  <c r="I653" i="9"/>
  <c r="H653" i="9"/>
  <c r="G653" i="9"/>
  <c r="F653" i="9"/>
  <c r="E653" i="9"/>
  <c r="D653" i="9"/>
  <c r="C653" i="9"/>
  <c r="AB652" i="9"/>
  <c r="V652" i="9"/>
  <c r="U652" i="9"/>
  <c r="P652" i="9"/>
  <c r="O652" i="9"/>
  <c r="N652" i="9"/>
  <c r="M652" i="9"/>
  <c r="L652" i="9"/>
  <c r="K652" i="9"/>
  <c r="S652" i="9" s="1"/>
  <c r="J652" i="9"/>
  <c r="I652" i="9"/>
  <c r="H652" i="9"/>
  <c r="G652" i="9"/>
  <c r="F652" i="9"/>
  <c r="E652" i="9"/>
  <c r="D652" i="9"/>
  <c r="C652" i="9"/>
  <c r="AB651" i="9"/>
  <c r="V651" i="9"/>
  <c r="U651" i="9"/>
  <c r="P651" i="9"/>
  <c r="O651" i="9"/>
  <c r="N651" i="9"/>
  <c r="M651" i="9"/>
  <c r="L651" i="9"/>
  <c r="K651" i="9"/>
  <c r="S651" i="9" s="1"/>
  <c r="J651" i="9"/>
  <c r="I651" i="9"/>
  <c r="H651" i="9"/>
  <c r="G651" i="9"/>
  <c r="F651" i="9"/>
  <c r="E651" i="9"/>
  <c r="D651" i="9"/>
  <c r="C651" i="9"/>
  <c r="AB650" i="9"/>
  <c r="V650" i="9"/>
  <c r="U650" i="9"/>
  <c r="P650" i="9"/>
  <c r="O650" i="9"/>
  <c r="N650" i="9"/>
  <c r="M650" i="9"/>
  <c r="L650" i="9"/>
  <c r="K650" i="9"/>
  <c r="S650" i="9" s="1"/>
  <c r="J650" i="9"/>
  <c r="I650" i="9"/>
  <c r="H650" i="9"/>
  <c r="G650" i="9"/>
  <c r="F650" i="9"/>
  <c r="E650" i="9"/>
  <c r="D650" i="9"/>
  <c r="C650" i="9"/>
  <c r="V634" i="9"/>
  <c r="U634" i="9"/>
  <c r="P634" i="9"/>
  <c r="O634" i="9"/>
  <c r="N634" i="9"/>
  <c r="M634" i="9"/>
  <c r="L634" i="9"/>
  <c r="K634" i="9"/>
  <c r="J634" i="9"/>
  <c r="I634" i="9"/>
  <c r="H634" i="9"/>
  <c r="G634" i="9"/>
  <c r="F634" i="9"/>
  <c r="E634" i="9"/>
  <c r="D634" i="9"/>
  <c r="C634" i="9"/>
  <c r="AB633" i="9"/>
  <c r="V633" i="9"/>
  <c r="U633" i="9"/>
  <c r="P633" i="9"/>
  <c r="O633" i="9"/>
  <c r="N633" i="9"/>
  <c r="M633" i="9"/>
  <c r="L633" i="9"/>
  <c r="K633" i="9"/>
  <c r="J633" i="9"/>
  <c r="I633" i="9"/>
  <c r="H633" i="9"/>
  <c r="G633" i="9"/>
  <c r="F633" i="9"/>
  <c r="E633" i="9"/>
  <c r="D633" i="9"/>
  <c r="C633" i="9"/>
  <c r="V647" i="9"/>
  <c r="U647" i="9"/>
  <c r="P647" i="9"/>
  <c r="O647" i="9"/>
  <c r="N647" i="9"/>
  <c r="M647" i="9"/>
  <c r="L647" i="9"/>
  <c r="K647" i="9"/>
  <c r="J647" i="9"/>
  <c r="I647" i="9"/>
  <c r="H647" i="9"/>
  <c r="G647" i="9"/>
  <c r="F647" i="9"/>
  <c r="E647" i="9"/>
  <c r="D647" i="9"/>
  <c r="C647" i="9"/>
  <c r="AB646" i="9"/>
  <c r="V646" i="9"/>
  <c r="U646" i="9"/>
  <c r="P646" i="9"/>
  <c r="O646" i="9"/>
  <c r="N646" i="9"/>
  <c r="M646" i="9"/>
  <c r="L646" i="9"/>
  <c r="K646" i="9"/>
  <c r="S647" i="9" s="1"/>
  <c r="J646" i="9"/>
  <c r="I646" i="9"/>
  <c r="H646" i="9"/>
  <c r="G646" i="9"/>
  <c r="F646" i="9"/>
  <c r="E646" i="9"/>
  <c r="D646" i="9"/>
  <c r="C646" i="9"/>
  <c r="AB645" i="9"/>
  <c r="V645" i="9"/>
  <c r="U645" i="9"/>
  <c r="P645" i="9"/>
  <c r="O645" i="9"/>
  <c r="N645" i="9"/>
  <c r="M645" i="9"/>
  <c r="L645" i="9"/>
  <c r="K645" i="9"/>
  <c r="S645" i="9" s="1"/>
  <c r="J645" i="9"/>
  <c r="I645" i="9"/>
  <c r="H645" i="9"/>
  <c r="G645" i="9"/>
  <c r="F645" i="9"/>
  <c r="E645" i="9"/>
  <c r="D645" i="9"/>
  <c r="C645" i="9"/>
  <c r="AB641" i="9"/>
  <c r="V641" i="9"/>
  <c r="U641" i="9"/>
  <c r="P641" i="9"/>
  <c r="O641" i="9"/>
  <c r="N641" i="9"/>
  <c r="M641" i="9"/>
  <c r="L641" i="9"/>
  <c r="K641" i="9"/>
  <c r="S644" i="9" s="1"/>
  <c r="J641" i="9"/>
  <c r="I641" i="9"/>
  <c r="H641" i="9"/>
  <c r="G641" i="9"/>
  <c r="F641" i="9"/>
  <c r="E641" i="9"/>
  <c r="D641" i="9"/>
  <c r="C641" i="9"/>
  <c r="AB640" i="9"/>
  <c r="V640" i="9"/>
  <c r="U640" i="9"/>
  <c r="P640" i="9"/>
  <c r="O640" i="9"/>
  <c r="N640" i="9"/>
  <c r="M640" i="9"/>
  <c r="L640" i="9"/>
  <c r="K640" i="9"/>
  <c r="S640" i="9" s="1"/>
  <c r="J640" i="9"/>
  <c r="I640" i="9"/>
  <c r="H640" i="9"/>
  <c r="G640" i="9"/>
  <c r="F640" i="9"/>
  <c r="E640" i="9"/>
  <c r="D640" i="9"/>
  <c r="C640" i="9"/>
  <c r="AB639" i="9"/>
  <c r="V639" i="9"/>
  <c r="U639" i="9"/>
  <c r="P639" i="9"/>
  <c r="O639" i="9"/>
  <c r="N639" i="9"/>
  <c r="M639" i="9"/>
  <c r="L639" i="9"/>
  <c r="K639" i="9"/>
  <c r="S639" i="9" s="1"/>
  <c r="J639" i="9"/>
  <c r="I639" i="9"/>
  <c r="H639" i="9"/>
  <c r="G639" i="9"/>
  <c r="F639" i="9"/>
  <c r="E639" i="9"/>
  <c r="D639" i="9"/>
  <c r="C639" i="9"/>
  <c r="AB635" i="9"/>
  <c r="V635" i="9"/>
  <c r="U635" i="9"/>
  <c r="P635" i="9"/>
  <c r="O635" i="9"/>
  <c r="N635" i="9"/>
  <c r="M635" i="9"/>
  <c r="L635" i="9"/>
  <c r="K635" i="9"/>
  <c r="S638" i="9" s="1"/>
  <c r="J635" i="9"/>
  <c r="I635" i="9"/>
  <c r="H635" i="9"/>
  <c r="G635" i="9"/>
  <c r="F635" i="9"/>
  <c r="E635" i="9"/>
  <c r="D635" i="9"/>
  <c r="C635" i="9"/>
  <c r="AB666" i="9"/>
  <c r="V666" i="9"/>
  <c r="U666" i="9"/>
  <c r="P666" i="9"/>
  <c r="O666" i="9"/>
  <c r="N666" i="9"/>
  <c r="M666" i="9"/>
  <c r="L666" i="9"/>
  <c r="K666" i="9"/>
  <c r="S666" i="9" s="1"/>
  <c r="J666" i="9"/>
  <c r="I666" i="9"/>
  <c r="H666" i="9"/>
  <c r="G666" i="9"/>
  <c r="F666" i="9"/>
  <c r="E666" i="9"/>
  <c r="D666" i="9"/>
  <c r="C666" i="9"/>
  <c r="AB665" i="9"/>
  <c r="V665" i="9"/>
  <c r="U665" i="9"/>
  <c r="P665" i="9"/>
  <c r="O665" i="9"/>
  <c r="N665" i="9"/>
  <c r="M665" i="9"/>
  <c r="L665" i="9"/>
  <c r="K665" i="9"/>
  <c r="S665" i="9" s="1"/>
  <c r="J665" i="9"/>
  <c r="I665" i="9"/>
  <c r="H665" i="9"/>
  <c r="G665" i="9"/>
  <c r="F665" i="9"/>
  <c r="E665" i="9"/>
  <c r="D665" i="9"/>
  <c r="C665" i="9"/>
  <c r="AB664" i="9"/>
  <c r="V664" i="9"/>
  <c r="U664" i="9"/>
  <c r="P664" i="9"/>
  <c r="O664" i="9"/>
  <c r="N664" i="9"/>
  <c r="M664" i="9"/>
  <c r="L664" i="9"/>
  <c r="K664" i="9"/>
  <c r="S664" i="9" s="1"/>
  <c r="J664" i="9"/>
  <c r="I664" i="9"/>
  <c r="H664" i="9"/>
  <c r="G664" i="9"/>
  <c r="F664" i="9"/>
  <c r="E664" i="9"/>
  <c r="D664" i="9"/>
  <c r="C664" i="9"/>
  <c r="AB662" i="9"/>
  <c r="V662" i="9"/>
  <c r="U662" i="9"/>
  <c r="P662" i="9"/>
  <c r="O662" i="9"/>
  <c r="N662" i="9"/>
  <c r="M662" i="9"/>
  <c r="L662" i="9"/>
  <c r="K662" i="9"/>
  <c r="S663" i="9" s="1"/>
  <c r="J662" i="9"/>
  <c r="I662" i="9"/>
  <c r="H662" i="9"/>
  <c r="G662" i="9"/>
  <c r="F662" i="9"/>
  <c r="E662" i="9"/>
  <c r="D662" i="9"/>
  <c r="C662" i="9"/>
  <c r="V631" i="9"/>
  <c r="U631" i="9"/>
  <c r="P631" i="9"/>
  <c r="O631" i="9"/>
  <c r="N631" i="9"/>
  <c r="M631" i="9"/>
  <c r="L631" i="9"/>
  <c r="K631" i="9"/>
  <c r="J631" i="9"/>
  <c r="I631" i="9"/>
  <c r="H631" i="9"/>
  <c r="G631" i="9"/>
  <c r="F631" i="9"/>
  <c r="E631" i="9"/>
  <c r="D631" i="9"/>
  <c r="C631" i="9"/>
  <c r="AB627" i="9"/>
  <c r="V627" i="9"/>
  <c r="U627" i="9"/>
  <c r="P627" i="9"/>
  <c r="O627" i="9"/>
  <c r="N627" i="9"/>
  <c r="M627" i="9"/>
  <c r="L627" i="9"/>
  <c r="K627" i="9"/>
  <c r="S629" i="9" s="1"/>
  <c r="J627" i="9"/>
  <c r="I627" i="9"/>
  <c r="H627" i="9"/>
  <c r="G627" i="9"/>
  <c r="F627" i="9"/>
  <c r="E627" i="9"/>
  <c r="D627" i="9"/>
  <c r="C627" i="9"/>
  <c r="AB625" i="9"/>
  <c r="V625" i="9"/>
  <c r="U625" i="9"/>
  <c r="P625" i="9"/>
  <c r="O625" i="9"/>
  <c r="N625" i="9"/>
  <c r="M625" i="9"/>
  <c r="L625" i="9"/>
  <c r="K625" i="9"/>
  <c r="S626" i="9" s="1"/>
  <c r="J625" i="9"/>
  <c r="I625" i="9"/>
  <c r="H625" i="9"/>
  <c r="G625" i="9"/>
  <c r="F625" i="9"/>
  <c r="E625" i="9"/>
  <c r="D625" i="9"/>
  <c r="C625" i="9"/>
  <c r="AB623" i="9"/>
  <c r="V623" i="9"/>
  <c r="U623" i="9"/>
  <c r="P623" i="9"/>
  <c r="O623" i="9"/>
  <c r="N623" i="9"/>
  <c r="M623" i="9"/>
  <c r="L623" i="9"/>
  <c r="K623" i="9"/>
  <c r="S624" i="9" s="1"/>
  <c r="J623" i="9"/>
  <c r="I623" i="9"/>
  <c r="H623" i="9"/>
  <c r="G623" i="9"/>
  <c r="F623" i="9"/>
  <c r="E623" i="9"/>
  <c r="D623" i="9"/>
  <c r="C623" i="9"/>
  <c r="AB619" i="9"/>
  <c r="V619" i="9"/>
  <c r="U619" i="9"/>
  <c r="P619" i="9"/>
  <c r="O619" i="9"/>
  <c r="N619" i="9"/>
  <c r="M619" i="9"/>
  <c r="L619" i="9"/>
  <c r="K619" i="9"/>
  <c r="S622" i="9" s="1"/>
  <c r="J619" i="9"/>
  <c r="I619" i="9"/>
  <c r="H619" i="9"/>
  <c r="G619" i="9"/>
  <c r="F619" i="9"/>
  <c r="E619" i="9"/>
  <c r="D619" i="9"/>
  <c r="C619" i="9"/>
  <c r="AB617" i="9"/>
  <c r="V617" i="9"/>
  <c r="U617" i="9"/>
  <c r="P617" i="9"/>
  <c r="O617" i="9"/>
  <c r="N617" i="9"/>
  <c r="M617" i="9"/>
  <c r="L617" i="9"/>
  <c r="K617" i="9"/>
  <c r="S618" i="9" s="1"/>
  <c r="J617" i="9"/>
  <c r="I617" i="9"/>
  <c r="H617" i="9"/>
  <c r="G617" i="9"/>
  <c r="F617" i="9"/>
  <c r="E617" i="9"/>
  <c r="D617" i="9"/>
  <c r="C617" i="9"/>
  <c r="AB615" i="9"/>
  <c r="V615" i="9"/>
  <c r="U615" i="9"/>
  <c r="P615" i="9"/>
  <c r="O615" i="9"/>
  <c r="N615" i="9"/>
  <c r="M615" i="9"/>
  <c r="L615" i="9"/>
  <c r="K615" i="9"/>
  <c r="S616" i="9" s="1"/>
  <c r="J615" i="9"/>
  <c r="I615" i="9"/>
  <c r="H615" i="9"/>
  <c r="G615" i="9"/>
  <c r="F615" i="9"/>
  <c r="E615" i="9"/>
  <c r="D615" i="9"/>
  <c r="C615" i="9"/>
  <c r="AB614" i="9"/>
  <c r="V614" i="9"/>
  <c r="U614" i="9"/>
  <c r="P614" i="9"/>
  <c r="O614" i="9"/>
  <c r="N614" i="9"/>
  <c r="M614" i="9"/>
  <c r="L614" i="9"/>
  <c r="K614" i="9"/>
  <c r="S614" i="9" s="1"/>
  <c r="J614" i="9"/>
  <c r="I614" i="9"/>
  <c r="H614" i="9"/>
  <c r="G614" i="9"/>
  <c r="F614" i="9"/>
  <c r="E614" i="9"/>
  <c r="D614" i="9"/>
  <c r="C614" i="9"/>
  <c r="AB613" i="9"/>
  <c r="V613" i="9"/>
  <c r="U613" i="9"/>
  <c r="P613" i="9"/>
  <c r="O613" i="9"/>
  <c r="N613" i="9"/>
  <c r="M613" i="9"/>
  <c r="L613" i="9"/>
  <c r="K613" i="9"/>
  <c r="S613" i="9" s="1"/>
  <c r="J613" i="9"/>
  <c r="I613" i="9"/>
  <c r="H613" i="9"/>
  <c r="G613" i="9"/>
  <c r="F613" i="9"/>
  <c r="E613" i="9"/>
  <c r="D613" i="9"/>
  <c r="C613" i="9"/>
  <c r="AB612" i="9"/>
  <c r="V612" i="9"/>
  <c r="U612" i="9"/>
  <c r="P612" i="9"/>
  <c r="O612" i="9"/>
  <c r="N612" i="9"/>
  <c r="M612" i="9"/>
  <c r="L612" i="9"/>
  <c r="K612" i="9"/>
  <c r="S612" i="9" s="1"/>
  <c r="J612" i="9"/>
  <c r="I612" i="9"/>
  <c r="H612" i="9"/>
  <c r="G612" i="9"/>
  <c r="F612" i="9"/>
  <c r="E612" i="9"/>
  <c r="D612" i="9"/>
  <c r="C612" i="9"/>
  <c r="AB610" i="9"/>
  <c r="V610" i="9"/>
  <c r="U610" i="9"/>
  <c r="P610" i="9"/>
  <c r="O610" i="9"/>
  <c r="N610" i="9"/>
  <c r="M610" i="9"/>
  <c r="L610" i="9"/>
  <c r="K610" i="9"/>
  <c r="S611" i="9" s="1"/>
  <c r="J610" i="9"/>
  <c r="I610" i="9"/>
  <c r="H610" i="9"/>
  <c r="G610" i="9"/>
  <c r="F610" i="9"/>
  <c r="E610" i="9"/>
  <c r="D610" i="9"/>
  <c r="C610" i="9"/>
  <c r="AB609" i="9"/>
  <c r="V609" i="9"/>
  <c r="U609" i="9"/>
  <c r="P609" i="9"/>
  <c r="O609" i="9"/>
  <c r="N609" i="9"/>
  <c r="M609" i="9"/>
  <c r="L609" i="9"/>
  <c r="K609" i="9"/>
  <c r="S609" i="9" s="1"/>
  <c r="J609" i="9"/>
  <c r="I609" i="9"/>
  <c r="H609" i="9"/>
  <c r="G609" i="9"/>
  <c r="F609" i="9"/>
  <c r="E609" i="9"/>
  <c r="D609" i="9"/>
  <c r="C609" i="9"/>
  <c r="AB608" i="9"/>
  <c r="V608" i="9"/>
  <c r="U608" i="9"/>
  <c r="P608" i="9"/>
  <c r="O608" i="9"/>
  <c r="N608" i="9"/>
  <c r="M608" i="9"/>
  <c r="L608" i="9"/>
  <c r="K608" i="9"/>
  <c r="S608" i="9" s="1"/>
  <c r="J608" i="9"/>
  <c r="I608" i="9"/>
  <c r="H608" i="9"/>
  <c r="G608" i="9"/>
  <c r="F608" i="9"/>
  <c r="E608" i="9"/>
  <c r="D608" i="9"/>
  <c r="C608" i="9"/>
  <c r="AB607" i="9"/>
  <c r="V607" i="9"/>
  <c r="U607" i="9"/>
  <c r="P607" i="9"/>
  <c r="O607" i="9"/>
  <c r="N607" i="9"/>
  <c r="M607" i="9"/>
  <c r="L607" i="9"/>
  <c r="K607" i="9"/>
  <c r="S607" i="9" s="1"/>
  <c r="J607" i="9"/>
  <c r="I607" i="9"/>
  <c r="H607" i="9"/>
  <c r="G607" i="9"/>
  <c r="F607" i="9"/>
  <c r="E607" i="9"/>
  <c r="D607" i="9"/>
  <c r="C607" i="9"/>
  <c r="AB606" i="9"/>
  <c r="V606" i="9"/>
  <c r="U606" i="9"/>
  <c r="P606" i="9"/>
  <c r="O606" i="9"/>
  <c r="N606" i="9"/>
  <c r="M606" i="9"/>
  <c r="L606" i="9"/>
  <c r="K606" i="9"/>
  <c r="S606" i="9" s="1"/>
  <c r="J606" i="9"/>
  <c r="I606" i="9"/>
  <c r="H606" i="9"/>
  <c r="G606" i="9"/>
  <c r="F606" i="9"/>
  <c r="E606" i="9"/>
  <c r="D606" i="9"/>
  <c r="C606" i="9"/>
  <c r="AB605" i="9"/>
  <c r="V605" i="9"/>
  <c r="U605" i="9"/>
  <c r="P605" i="9"/>
  <c r="O605" i="9"/>
  <c r="N605" i="9"/>
  <c r="M605" i="9"/>
  <c r="L605" i="9"/>
  <c r="K605" i="9"/>
  <c r="S605" i="9" s="1"/>
  <c r="J605" i="9"/>
  <c r="I605" i="9"/>
  <c r="H605" i="9"/>
  <c r="G605" i="9"/>
  <c r="F605" i="9"/>
  <c r="E605" i="9"/>
  <c r="D605" i="9"/>
  <c r="C605" i="9"/>
  <c r="AB604" i="9"/>
  <c r="V604" i="9"/>
  <c r="U604" i="9"/>
  <c r="P604" i="9"/>
  <c r="O604" i="9"/>
  <c r="N604" i="9"/>
  <c r="M604" i="9"/>
  <c r="L604" i="9"/>
  <c r="K604" i="9"/>
  <c r="S604" i="9" s="1"/>
  <c r="J604" i="9"/>
  <c r="I604" i="9"/>
  <c r="H604" i="9"/>
  <c r="G604" i="9"/>
  <c r="F604" i="9"/>
  <c r="E604" i="9"/>
  <c r="D604" i="9"/>
  <c r="C604" i="9"/>
  <c r="AB603" i="9"/>
  <c r="V603" i="9"/>
  <c r="U603" i="9"/>
  <c r="P603" i="9"/>
  <c r="O603" i="9"/>
  <c r="N603" i="9"/>
  <c r="M603" i="9"/>
  <c r="L603" i="9"/>
  <c r="K603" i="9"/>
  <c r="S603" i="9" s="1"/>
  <c r="J603" i="9"/>
  <c r="I603" i="9"/>
  <c r="H603" i="9"/>
  <c r="G603" i="9"/>
  <c r="F603" i="9"/>
  <c r="E603" i="9"/>
  <c r="D603" i="9"/>
  <c r="C603" i="9"/>
  <c r="AB602" i="9"/>
  <c r="V602" i="9"/>
  <c r="U602" i="9"/>
  <c r="P602" i="9"/>
  <c r="O602" i="9"/>
  <c r="N602" i="9"/>
  <c r="M602" i="9"/>
  <c r="L602" i="9"/>
  <c r="K602" i="9"/>
  <c r="S602" i="9" s="1"/>
  <c r="J602" i="9"/>
  <c r="I602" i="9"/>
  <c r="H602" i="9"/>
  <c r="G602" i="9"/>
  <c r="F602" i="9"/>
  <c r="E602" i="9"/>
  <c r="D602" i="9"/>
  <c r="C602" i="9"/>
  <c r="AB601" i="9"/>
  <c r="V601" i="9"/>
  <c r="U601" i="9"/>
  <c r="P601" i="9"/>
  <c r="O601" i="9"/>
  <c r="N601" i="9"/>
  <c r="M601" i="9"/>
  <c r="L601" i="9"/>
  <c r="K601" i="9"/>
  <c r="S601" i="9" s="1"/>
  <c r="J601" i="9"/>
  <c r="I601" i="9"/>
  <c r="H601" i="9"/>
  <c r="G601" i="9"/>
  <c r="F601" i="9"/>
  <c r="E601" i="9"/>
  <c r="D601" i="9"/>
  <c r="C601" i="9"/>
  <c r="AB600" i="9"/>
  <c r="V600" i="9"/>
  <c r="U600" i="9"/>
  <c r="P600" i="9"/>
  <c r="O600" i="9"/>
  <c r="N600" i="9"/>
  <c r="M600" i="9"/>
  <c r="L600" i="9"/>
  <c r="K600" i="9"/>
  <c r="S600" i="9" s="1"/>
  <c r="J600" i="9"/>
  <c r="I600" i="9"/>
  <c r="H600" i="9"/>
  <c r="G600" i="9"/>
  <c r="F600" i="9"/>
  <c r="E600" i="9"/>
  <c r="D600" i="9"/>
  <c r="C600" i="9"/>
  <c r="AB599" i="9"/>
  <c r="V599" i="9"/>
  <c r="U599" i="9"/>
  <c r="P599" i="9"/>
  <c r="O599" i="9"/>
  <c r="N599" i="9"/>
  <c r="M599" i="9"/>
  <c r="L599" i="9"/>
  <c r="K599" i="9"/>
  <c r="S599" i="9" s="1"/>
  <c r="J599" i="9"/>
  <c r="I599" i="9"/>
  <c r="H599" i="9"/>
  <c r="G599" i="9"/>
  <c r="F599" i="9"/>
  <c r="E599" i="9"/>
  <c r="D599" i="9"/>
  <c r="C599" i="9"/>
  <c r="V598" i="9"/>
  <c r="U598" i="9"/>
  <c r="P598" i="9"/>
  <c r="O598" i="9"/>
  <c r="N598" i="9"/>
  <c r="M598" i="9"/>
  <c r="L598" i="9"/>
  <c r="K598" i="9"/>
  <c r="J598" i="9"/>
  <c r="I598" i="9"/>
  <c r="H598" i="9"/>
  <c r="G598" i="9"/>
  <c r="F598" i="9"/>
  <c r="E598" i="9"/>
  <c r="D598" i="9"/>
  <c r="C598" i="9"/>
  <c r="AB597" i="9"/>
  <c r="V597" i="9"/>
  <c r="U597" i="9"/>
  <c r="P597" i="9"/>
  <c r="O597" i="9"/>
  <c r="N597" i="9"/>
  <c r="M597" i="9"/>
  <c r="L597" i="9"/>
  <c r="K597" i="9"/>
  <c r="S598" i="9" s="1"/>
  <c r="J597" i="9"/>
  <c r="I597" i="9"/>
  <c r="H597" i="9"/>
  <c r="G597" i="9"/>
  <c r="F597" i="9"/>
  <c r="E597" i="9"/>
  <c r="D597" i="9"/>
  <c r="C597" i="9"/>
  <c r="AB591" i="9"/>
  <c r="V591" i="9"/>
  <c r="U591" i="9"/>
  <c r="P591" i="9"/>
  <c r="O591" i="9"/>
  <c r="N591" i="9"/>
  <c r="M591" i="9"/>
  <c r="L591" i="9"/>
  <c r="K591" i="9"/>
  <c r="J591" i="9"/>
  <c r="I591" i="9"/>
  <c r="H591" i="9"/>
  <c r="G591" i="9"/>
  <c r="F591" i="9"/>
  <c r="E591" i="9"/>
  <c r="D591" i="9"/>
  <c r="C591" i="9"/>
  <c r="AB590" i="9"/>
  <c r="V590" i="9"/>
  <c r="U590" i="9"/>
  <c r="P590" i="9"/>
  <c r="O590" i="9"/>
  <c r="N590" i="9"/>
  <c r="M590" i="9"/>
  <c r="L590" i="9"/>
  <c r="K590" i="9"/>
  <c r="S590" i="9" s="1"/>
  <c r="J590" i="9"/>
  <c r="I590" i="9"/>
  <c r="H590" i="9"/>
  <c r="G590" i="9"/>
  <c r="F590" i="9"/>
  <c r="E590" i="9"/>
  <c r="D590" i="9"/>
  <c r="C590" i="9"/>
  <c r="AB588" i="9"/>
  <c r="V588" i="9"/>
  <c r="U588" i="9"/>
  <c r="P588" i="9"/>
  <c r="O588" i="9"/>
  <c r="N588" i="9"/>
  <c r="M588" i="9"/>
  <c r="L588" i="9"/>
  <c r="K588" i="9"/>
  <c r="S589" i="9" s="1"/>
  <c r="J588" i="9"/>
  <c r="I588" i="9"/>
  <c r="H588" i="9"/>
  <c r="G588" i="9"/>
  <c r="F588" i="9"/>
  <c r="E588" i="9"/>
  <c r="D588" i="9"/>
  <c r="C588" i="9"/>
  <c r="AB586" i="9"/>
  <c r="V586" i="9"/>
  <c r="U586" i="9"/>
  <c r="P586" i="9"/>
  <c r="O586" i="9"/>
  <c r="N586" i="9"/>
  <c r="M586" i="9"/>
  <c r="L586" i="9"/>
  <c r="K586" i="9"/>
  <c r="S587" i="9" s="1"/>
  <c r="J586" i="9"/>
  <c r="I586" i="9"/>
  <c r="H586" i="9"/>
  <c r="G586" i="9"/>
  <c r="F586" i="9"/>
  <c r="E586" i="9"/>
  <c r="D586" i="9"/>
  <c r="C586" i="9"/>
  <c r="AB583" i="9"/>
  <c r="V583" i="9"/>
  <c r="U583" i="9"/>
  <c r="P583" i="9"/>
  <c r="O583" i="9"/>
  <c r="N583" i="9"/>
  <c r="M583" i="9"/>
  <c r="L583" i="9"/>
  <c r="K583" i="9"/>
  <c r="S585" i="9" s="1"/>
  <c r="J583" i="9"/>
  <c r="I583" i="9"/>
  <c r="H583" i="9"/>
  <c r="G583" i="9"/>
  <c r="F583" i="9"/>
  <c r="E583" i="9"/>
  <c r="D583" i="9"/>
  <c r="C583" i="9"/>
  <c r="AB581" i="9"/>
  <c r="V581" i="9"/>
  <c r="U581" i="9"/>
  <c r="P581" i="9"/>
  <c r="O581" i="9"/>
  <c r="N581" i="9"/>
  <c r="M581" i="9"/>
  <c r="L581" i="9"/>
  <c r="K581" i="9"/>
  <c r="S582" i="9" s="1"/>
  <c r="J581" i="9"/>
  <c r="I581" i="9"/>
  <c r="H581" i="9"/>
  <c r="G581" i="9"/>
  <c r="F581" i="9"/>
  <c r="E581" i="9"/>
  <c r="D581" i="9"/>
  <c r="C581" i="9"/>
  <c r="V580" i="9"/>
  <c r="U580" i="9"/>
  <c r="P580" i="9"/>
  <c r="O580" i="9"/>
  <c r="N580" i="9"/>
  <c r="M580" i="9"/>
  <c r="L580" i="9"/>
  <c r="K580" i="9"/>
  <c r="J580" i="9"/>
  <c r="I580" i="9"/>
  <c r="H580" i="9"/>
  <c r="G580" i="9"/>
  <c r="F580" i="9"/>
  <c r="E580" i="9"/>
  <c r="D580" i="9"/>
  <c r="C580" i="9"/>
  <c r="V579" i="9"/>
  <c r="U579" i="9"/>
  <c r="P579" i="9"/>
  <c r="O579" i="9"/>
  <c r="N579" i="9"/>
  <c r="M579" i="9"/>
  <c r="L579" i="9"/>
  <c r="K579" i="9"/>
  <c r="J579" i="9"/>
  <c r="I579" i="9"/>
  <c r="H579" i="9"/>
  <c r="G579" i="9"/>
  <c r="F579" i="9"/>
  <c r="E579" i="9"/>
  <c r="D579" i="9"/>
  <c r="C579" i="9"/>
  <c r="V578" i="9"/>
  <c r="U578" i="9"/>
  <c r="P578" i="9"/>
  <c r="O578" i="9"/>
  <c r="N578" i="9"/>
  <c r="M578" i="9"/>
  <c r="L578" i="9"/>
  <c r="K578" i="9"/>
  <c r="J578" i="9"/>
  <c r="I578" i="9"/>
  <c r="H578" i="9"/>
  <c r="G578" i="9"/>
  <c r="F578" i="9"/>
  <c r="E578" i="9"/>
  <c r="D578" i="9"/>
  <c r="C578" i="9"/>
  <c r="V577" i="9"/>
  <c r="U577" i="9"/>
  <c r="P577" i="9"/>
  <c r="O577" i="9"/>
  <c r="N577" i="9"/>
  <c r="M577" i="9"/>
  <c r="L577" i="9"/>
  <c r="K577" i="9"/>
  <c r="J577" i="9"/>
  <c r="I577" i="9"/>
  <c r="H577" i="9"/>
  <c r="G577" i="9"/>
  <c r="F577" i="9"/>
  <c r="E577" i="9"/>
  <c r="D577" i="9"/>
  <c r="C577" i="9"/>
  <c r="AB576" i="9"/>
  <c r="V576" i="9"/>
  <c r="U576" i="9"/>
  <c r="P576" i="9"/>
  <c r="O576" i="9"/>
  <c r="N576" i="9"/>
  <c r="M576" i="9"/>
  <c r="L576" i="9"/>
  <c r="K576" i="9"/>
  <c r="S580" i="9" s="1"/>
  <c r="J576" i="9"/>
  <c r="I576" i="9"/>
  <c r="H576" i="9"/>
  <c r="G576" i="9"/>
  <c r="F576" i="9"/>
  <c r="E576" i="9"/>
  <c r="D576" i="9"/>
  <c r="C576" i="9"/>
  <c r="AB573" i="9"/>
  <c r="V573" i="9"/>
  <c r="U573" i="9"/>
  <c r="P573" i="9"/>
  <c r="O573" i="9"/>
  <c r="N573" i="9"/>
  <c r="M573" i="9"/>
  <c r="L573" i="9"/>
  <c r="K573" i="9"/>
  <c r="S575" i="9" s="1"/>
  <c r="J573" i="9"/>
  <c r="I573" i="9"/>
  <c r="H573" i="9"/>
  <c r="G573" i="9"/>
  <c r="F573" i="9"/>
  <c r="E573" i="9"/>
  <c r="D573" i="9"/>
  <c r="C573" i="9"/>
  <c r="AB572" i="9"/>
  <c r="V572" i="9"/>
  <c r="U572" i="9"/>
  <c r="P572" i="9"/>
  <c r="O572" i="9"/>
  <c r="N572" i="9"/>
  <c r="M572" i="9"/>
  <c r="L572" i="9"/>
  <c r="K572" i="9"/>
  <c r="S572" i="9" s="1"/>
  <c r="J572" i="9"/>
  <c r="I572" i="9"/>
  <c r="H572" i="9"/>
  <c r="G572" i="9"/>
  <c r="F572" i="9"/>
  <c r="E572" i="9"/>
  <c r="D572" i="9"/>
  <c r="C572" i="9"/>
  <c r="AB571" i="9"/>
  <c r="V571" i="9"/>
  <c r="U571" i="9"/>
  <c r="P571" i="9"/>
  <c r="O571" i="9"/>
  <c r="N571" i="9"/>
  <c r="M571" i="9"/>
  <c r="L571" i="9"/>
  <c r="K571" i="9"/>
  <c r="S571" i="9" s="1"/>
  <c r="J571" i="9"/>
  <c r="I571" i="9"/>
  <c r="H571" i="9"/>
  <c r="G571" i="9"/>
  <c r="F571" i="9"/>
  <c r="E571" i="9"/>
  <c r="D571" i="9"/>
  <c r="C571" i="9"/>
  <c r="AB566" i="9"/>
  <c r="V566" i="9"/>
  <c r="U566" i="9"/>
  <c r="P566" i="9"/>
  <c r="O566" i="9"/>
  <c r="N566" i="9"/>
  <c r="M566" i="9"/>
  <c r="L566" i="9"/>
  <c r="K566" i="9"/>
  <c r="S570" i="9" s="1"/>
  <c r="J566" i="9"/>
  <c r="I566" i="9"/>
  <c r="H566" i="9"/>
  <c r="G566" i="9"/>
  <c r="F566" i="9"/>
  <c r="E566" i="9"/>
  <c r="D566" i="9"/>
  <c r="C566" i="9"/>
  <c r="V565" i="9"/>
  <c r="U565" i="9"/>
  <c r="P565" i="9"/>
  <c r="O565" i="9"/>
  <c r="N565" i="9"/>
  <c r="M565" i="9"/>
  <c r="L565" i="9"/>
  <c r="K565" i="9"/>
  <c r="J565" i="9"/>
  <c r="I565" i="9"/>
  <c r="H565" i="9"/>
  <c r="G565" i="9"/>
  <c r="F565" i="9"/>
  <c r="E565" i="9"/>
  <c r="D565" i="9"/>
  <c r="C565" i="9"/>
  <c r="V564" i="9"/>
  <c r="U564" i="9"/>
  <c r="P564" i="9"/>
  <c r="O564" i="9"/>
  <c r="N564" i="9"/>
  <c r="M564" i="9"/>
  <c r="L564" i="9"/>
  <c r="K564" i="9"/>
  <c r="J564" i="9"/>
  <c r="I564" i="9"/>
  <c r="H564" i="9"/>
  <c r="G564" i="9"/>
  <c r="F564" i="9"/>
  <c r="E564" i="9"/>
  <c r="D564" i="9"/>
  <c r="C564" i="9"/>
  <c r="V563" i="9"/>
  <c r="U563" i="9"/>
  <c r="P563" i="9"/>
  <c r="O563" i="9"/>
  <c r="N563" i="9"/>
  <c r="M563" i="9"/>
  <c r="L563" i="9"/>
  <c r="K563" i="9"/>
  <c r="J563" i="9"/>
  <c r="I563" i="9"/>
  <c r="H563" i="9"/>
  <c r="G563" i="9"/>
  <c r="F563" i="9"/>
  <c r="E563" i="9"/>
  <c r="D563" i="9"/>
  <c r="C563" i="9"/>
  <c r="V562" i="9"/>
  <c r="U562" i="9"/>
  <c r="P562" i="9"/>
  <c r="O562" i="9"/>
  <c r="N562" i="9"/>
  <c r="M562" i="9"/>
  <c r="L562" i="9"/>
  <c r="K562" i="9"/>
  <c r="J562" i="9"/>
  <c r="I562" i="9"/>
  <c r="H562" i="9"/>
  <c r="G562" i="9"/>
  <c r="F562" i="9"/>
  <c r="E562" i="9"/>
  <c r="D562" i="9"/>
  <c r="C562" i="9"/>
  <c r="AB555" i="9"/>
  <c r="V555" i="9"/>
  <c r="U555" i="9"/>
  <c r="P555" i="9"/>
  <c r="O555" i="9"/>
  <c r="N555" i="9"/>
  <c r="M555" i="9"/>
  <c r="L555" i="9"/>
  <c r="K555" i="9"/>
  <c r="S559" i="9" s="1"/>
  <c r="J555" i="9"/>
  <c r="I555" i="9"/>
  <c r="H555" i="9"/>
  <c r="G555" i="9"/>
  <c r="F555" i="9"/>
  <c r="E555" i="9"/>
  <c r="D555" i="9"/>
  <c r="C555" i="9"/>
  <c r="V554" i="9"/>
  <c r="U554" i="9"/>
  <c r="P554" i="9"/>
  <c r="O554" i="9"/>
  <c r="N554" i="9"/>
  <c r="M554" i="9"/>
  <c r="L554" i="9"/>
  <c r="K554" i="9"/>
  <c r="J554" i="9"/>
  <c r="I554" i="9"/>
  <c r="H554" i="9"/>
  <c r="G554" i="9"/>
  <c r="F554" i="9"/>
  <c r="E554" i="9"/>
  <c r="D554" i="9"/>
  <c r="C554" i="9"/>
  <c r="AB553" i="9"/>
  <c r="V553" i="9"/>
  <c r="U553" i="9"/>
  <c r="P553" i="9"/>
  <c r="O553" i="9"/>
  <c r="N553" i="9"/>
  <c r="M553" i="9"/>
  <c r="L553" i="9"/>
  <c r="K553" i="9"/>
  <c r="S554" i="9" s="1"/>
  <c r="J553" i="9"/>
  <c r="I553" i="9"/>
  <c r="H553" i="9"/>
  <c r="G553" i="9"/>
  <c r="F553" i="9"/>
  <c r="E553" i="9"/>
  <c r="D553" i="9"/>
  <c r="C553" i="9"/>
  <c r="AB549" i="9"/>
  <c r="V549" i="9"/>
  <c r="U549" i="9"/>
  <c r="P549" i="9"/>
  <c r="O549" i="9"/>
  <c r="N549" i="9"/>
  <c r="M549" i="9"/>
  <c r="L549" i="9"/>
  <c r="K549" i="9"/>
  <c r="S552" i="9" s="1"/>
  <c r="J549" i="9"/>
  <c r="I549" i="9"/>
  <c r="H549" i="9"/>
  <c r="G549" i="9"/>
  <c r="F549" i="9"/>
  <c r="E549" i="9"/>
  <c r="D549" i="9"/>
  <c r="C549" i="9"/>
  <c r="AB547" i="9"/>
  <c r="V547" i="9"/>
  <c r="U547" i="9"/>
  <c r="P547" i="9"/>
  <c r="O547" i="9"/>
  <c r="N547" i="9"/>
  <c r="M547" i="9"/>
  <c r="L547" i="9"/>
  <c r="K547" i="9"/>
  <c r="S548" i="9" s="1"/>
  <c r="J547" i="9"/>
  <c r="I547" i="9"/>
  <c r="H547" i="9"/>
  <c r="G547" i="9"/>
  <c r="F547" i="9"/>
  <c r="E547" i="9"/>
  <c r="D547" i="9"/>
  <c r="C547" i="9"/>
  <c r="V546" i="9"/>
  <c r="U546" i="9"/>
  <c r="P546" i="9"/>
  <c r="O546" i="9"/>
  <c r="N546" i="9"/>
  <c r="M546" i="9"/>
  <c r="L546" i="9"/>
  <c r="K546" i="9"/>
  <c r="J546" i="9"/>
  <c r="I546" i="9"/>
  <c r="H546" i="9"/>
  <c r="G546" i="9"/>
  <c r="F546" i="9"/>
  <c r="E546" i="9"/>
  <c r="D546" i="9"/>
  <c r="C546" i="9"/>
  <c r="AB545" i="9"/>
  <c r="V545" i="9"/>
  <c r="U545" i="9"/>
  <c r="P545" i="9"/>
  <c r="O545" i="9"/>
  <c r="N545" i="9"/>
  <c r="M545" i="9"/>
  <c r="L545" i="9"/>
  <c r="K545" i="9"/>
  <c r="S546" i="9" s="1"/>
  <c r="J545" i="9"/>
  <c r="I545" i="9"/>
  <c r="H545" i="9"/>
  <c r="G545" i="9"/>
  <c r="F545" i="9"/>
  <c r="E545" i="9"/>
  <c r="D545" i="9"/>
  <c r="C545" i="9"/>
  <c r="AB539" i="9"/>
  <c r="V539" i="9"/>
  <c r="U539" i="9"/>
  <c r="P539" i="9"/>
  <c r="O539" i="9"/>
  <c r="N539" i="9"/>
  <c r="M539" i="9"/>
  <c r="L539" i="9"/>
  <c r="K539" i="9"/>
  <c r="S542" i="9" s="1"/>
  <c r="J539" i="9"/>
  <c r="I539" i="9"/>
  <c r="H539" i="9"/>
  <c r="G539" i="9"/>
  <c r="F539" i="9"/>
  <c r="E539" i="9"/>
  <c r="D539" i="9"/>
  <c r="C539" i="9"/>
  <c r="V537" i="9"/>
  <c r="U537" i="9"/>
  <c r="P537" i="9"/>
  <c r="O537" i="9"/>
  <c r="N537" i="9"/>
  <c r="M537" i="9"/>
  <c r="L537" i="9"/>
  <c r="K537" i="9"/>
  <c r="J537" i="9"/>
  <c r="I537" i="9"/>
  <c r="H537" i="9"/>
  <c r="G537" i="9"/>
  <c r="F537" i="9"/>
  <c r="E537" i="9"/>
  <c r="D537" i="9"/>
  <c r="C537" i="9"/>
  <c r="AB536" i="9"/>
  <c r="V536" i="9"/>
  <c r="U536" i="9"/>
  <c r="P536" i="9"/>
  <c r="O536" i="9"/>
  <c r="N536" i="9"/>
  <c r="M536" i="9"/>
  <c r="L536" i="9"/>
  <c r="K536" i="9"/>
  <c r="S538" i="9" s="1"/>
  <c r="J536" i="9"/>
  <c r="I536" i="9"/>
  <c r="H536" i="9"/>
  <c r="G536" i="9"/>
  <c r="F536" i="9"/>
  <c r="E536" i="9"/>
  <c r="D536" i="9"/>
  <c r="C536" i="9"/>
  <c r="V535" i="9"/>
  <c r="U535" i="9"/>
  <c r="P535" i="9"/>
  <c r="O535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AB525" i="9"/>
  <c r="V525" i="9"/>
  <c r="U525" i="9"/>
  <c r="P525" i="9"/>
  <c r="O525" i="9"/>
  <c r="N525" i="9"/>
  <c r="M525" i="9"/>
  <c r="L525" i="9"/>
  <c r="K525" i="9"/>
  <c r="S532" i="9" s="1"/>
  <c r="J525" i="9"/>
  <c r="I525" i="9"/>
  <c r="H525" i="9"/>
  <c r="G525" i="9"/>
  <c r="F525" i="9"/>
  <c r="E525" i="9"/>
  <c r="D525" i="9"/>
  <c r="C525" i="9"/>
  <c r="AB523" i="9"/>
  <c r="V523" i="9"/>
  <c r="U523" i="9"/>
  <c r="P523" i="9"/>
  <c r="O523" i="9"/>
  <c r="N523" i="9"/>
  <c r="M523" i="9"/>
  <c r="L523" i="9"/>
  <c r="K523" i="9"/>
  <c r="S524" i="9" s="1"/>
  <c r="J523" i="9"/>
  <c r="I523" i="9"/>
  <c r="H523" i="9"/>
  <c r="G523" i="9"/>
  <c r="F523" i="9"/>
  <c r="E523" i="9"/>
  <c r="D523" i="9"/>
  <c r="C523" i="9"/>
  <c r="V522" i="9"/>
  <c r="U522" i="9"/>
  <c r="P522" i="9"/>
  <c r="O522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AB521" i="9"/>
  <c r="V521" i="9"/>
  <c r="U521" i="9"/>
  <c r="P521" i="9"/>
  <c r="O521" i="9"/>
  <c r="N521" i="9"/>
  <c r="M521" i="9"/>
  <c r="L521" i="9"/>
  <c r="K521" i="9"/>
  <c r="S522" i="9" s="1"/>
  <c r="J521" i="9"/>
  <c r="I521" i="9"/>
  <c r="H521" i="9"/>
  <c r="G521" i="9"/>
  <c r="F521" i="9"/>
  <c r="E521" i="9"/>
  <c r="D521" i="9"/>
  <c r="C521" i="9"/>
  <c r="V520" i="9"/>
  <c r="U520" i="9"/>
  <c r="P520" i="9"/>
  <c r="O520" i="9"/>
  <c r="N520" i="9"/>
  <c r="M520" i="9"/>
  <c r="L520" i="9"/>
  <c r="K520" i="9"/>
  <c r="J520" i="9"/>
  <c r="I520" i="9"/>
  <c r="H520" i="9"/>
  <c r="G520" i="9"/>
  <c r="F520" i="9"/>
  <c r="E520" i="9"/>
  <c r="D520" i="9"/>
  <c r="C520" i="9"/>
  <c r="AB519" i="9"/>
  <c r="V519" i="9"/>
  <c r="U519" i="9"/>
  <c r="P519" i="9"/>
  <c r="O519" i="9"/>
  <c r="N519" i="9"/>
  <c r="M519" i="9"/>
  <c r="L519" i="9"/>
  <c r="K519" i="9"/>
  <c r="S520" i="9" s="1"/>
  <c r="J519" i="9"/>
  <c r="I519" i="9"/>
  <c r="H519" i="9"/>
  <c r="G519" i="9"/>
  <c r="F519" i="9"/>
  <c r="E519" i="9"/>
  <c r="D519" i="9"/>
  <c r="C519" i="9"/>
  <c r="V518" i="9"/>
  <c r="U518" i="9"/>
  <c r="P518" i="9"/>
  <c r="O518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AB517" i="9"/>
  <c r="V517" i="9"/>
  <c r="U517" i="9"/>
  <c r="P517" i="9"/>
  <c r="O517" i="9"/>
  <c r="N517" i="9"/>
  <c r="M517" i="9"/>
  <c r="L517" i="9"/>
  <c r="K517" i="9"/>
  <c r="S518" i="9" s="1"/>
  <c r="J517" i="9"/>
  <c r="I517" i="9"/>
  <c r="H517" i="9"/>
  <c r="G517" i="9"/>
  <c r="F517" i="9"/>
  <c r="E517" i="9"/>
  <c r="D517" i="9"/>
  <c r="C517" i="9"/>
  <c r="V516" i="9"/>
  <c r="U516" i="9"/>
  <c r="P516" i="9"/>
  <c r="O516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AB515" i="9"/>
  <c r="V515" i="9"/>
  <c r="U515" i="9"/>
  <c r="P515" i="9"/>
  <c r="O515" i="9"/>
  <c r="N515" i="9"/>
  <c r="M515" i="9"/>
  <c r="L515" i="9"/>
  <c r="K515" i="9"/>
  <c r="S516" i="9" s="1"/>
  <c r="J515" i="9"/>
  <c r="I515" i="9"/>
  <c r="H515" i="9"/>
  <c r="G515" i="9"/>
  <c r="F515" i="9"/>
  <c r="E515" i="9"/>
  <c r="D515" i="9"/>
  <c r="C515" i="9"/>
  <c r="V509" i="9"/>
  <c r="U509" i="9"/>
  <c r="P509" i="9"/>
  <c r="O509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V508" i="9"/>
  <c r="U508" i="9"/>
  <c r="P508" i="9"/>
  <c r="O508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V507" i="9"/>
  <c r="U507" i="9"/>
  <c r="P507" i="9"/>
  <c r="O507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V506" i="9"/>
  <c r="U506" i="9"/>
  <c r="P506" i="9"/>
  <c r="O506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V505" i="9"/>
  <c r="U505" i="9"/>
  <c r="P505" i="9"/>
  <c r="O505" i="9"/>
  <c r="N505" i="9"/>
  <c r="M505" i="9"/>
  <c r="L505" i="9"/>
  <c r="K505" i="9"/>
  <c r="J505" i="9"/>
  <c r="I505" i="9"/>
  <c r="H505" i="9"/>
  <c r="G505" i="9"/>
  <c r="F505" i="9"/>
  <c r="E505" i="9"/>
  <c r="D505" i="9"/>
  <c r="C505" i="9"/>
  <c r="V504" i="9"/>
  <c r="U504" i="9"/>
  <c r="P504" i="9"/>
  <c r="O504" i="9"/>
  <c r="N504" i="9"/>
  <c r="M504" i="9"/>
  <c r="L504" i="9"/>
  <c r="K504" i="9"/>
  <c r="J504" i="9"/>
  <c r="I504" i="9"/>
  <c r="H504" i="9"/>
  <c r="G504" i="9"/>
  <c r="F504" i="9"/>
  <c r="E504" i="9"/>
  <c r="D504" i="9"/>
  <c r="C504" i="9"/>
  <c r="V503" i="9"/>
  <c r="U503" i="9"/>
  <c r="P503" i="9"/>
  <c r="O503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AB502" i="9"/>
  <c r="V502" i="9"/>
  <c r="U502" i="9"/>
  <c r="P502" i="9"/>
  <c r="O502" i="9"/>
  <c r="N502" i="9"/>
  <c r="M502" i="9"/>
  <c r="L502" i="9"/>
  <c r="K502" i="9"/>
  <c r="S509" i="9" s="1"/>
  <c r="J502" i="9"/>
  <c r="I502" i="9"/>
  <c r="H502" i="9"/>
  <c r="G502" i="9"/>
  <c r="F502" i="9"/>
  <c r="E502" i="9"/>
  <c r="D502" i="9"/>
  <c r="C502" i="9"/>
  <c r="V514" i="9"/>
  <c r="U514" i="9"/>
  <c r="P514" i="9"/>
  <c r="O514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V513" i="9"/>
  <c r="U513" i="9"/>
  <c r="P513" i="9"/>
  <c r="O513" i="9"/>
  <c r="N513" i="9"/>
  <c r="M513" i="9"/>
  <c r="L513" i="9"/>
  <c r="K513" i="9"/>
  <c r="J513" i="9"/>
  <c r="I513" i="9"/>
  <c r="H513" i="9"/>
  <c r="G513" i="9"/>
  <c r="F513" i="9"/>
  <c r="E513" i="9"/>
  <c r="D513" i="9"/>
  <c r="C513" i="9"/>
  <c r="V512" i="9"/>
  <c r="U512" i="9"/>
  <c r="P512" i="9"/>
  <c r="O512" i="9"/>
  <c r="N512" i="9"/>
  <c r="M512" i="9"/>
  <c r="L512" i="9"/>
  <c r="K512" i="9"/>
  <c r="J512" i="9"/>
  <c r="I512" i="9"/>
  <c r="H512" i="9"/>
  <c r="G512" i="9"/>
  <c r="F512" i="9"/>
  <c r="E512" i="9"/>
  <c r="D512" i="9"/>
  <c r="C512" i="9"/>
  <c r="AB511" i="9"/>
  <c r="V511" i="9"/>
  <c r="U511" i="9"/>
  <c r="P511" i="9"/>
  <c r="O511" i="9"/>
  <c r="N511" i="9"/>
  <c r="M511" i="9"/>
  <c r="L511" i="9"/>
  <c r="K511" i="9"/>
  <c r="S514" i="9" s="1"/>
  <c r="J511" i="9"/>
  <c r="I511" i="9"/>
  <c r="H511" i="9"/>
  <c r="G511" i="9"/>
  <c r="F511" i="9"/>
  <c r="E511" i="9"/>
  <c r="D511" i="9"/>
  <c r="C511" i="9"/>
  <c r="AB510" i="9"/>
  <c r="V510" i="9"/>
  <c r="U510" i="9"/>
  <c r="P510" i="9"/>
  <c r="O510" i="9"/>
  <c r="N510" i="9"/>
  <c r="M510" i="9"/>
  <c r="L510" i="9"/>
  <c r="K510" i="9"/>
  <c r="S510" i="9" s="1"/>
  <c r="J510" i="9"/>
  <c r="I510" i="9"/>
  <c r="H510" i="9"/>
  <c r="G510" i="9"/>
  <c r="F510" i="9"/>
  <c r="E510" i="9"/>
  <c r="D510" i="9"/>
  <c r="C510" i="9"/>
  <c r="AB495" i="9"/>
  <c r="V495" i="9"/>
  <c r="U495" i="9"/>
  <c r="P495" i="9"/>
  <c r="O495" i="9"/>
  <c r="N495" i="9"/>
  <c r="M495" i="9"/>
  <c r="L495" i="9"/>
  <c r="K495" i="9"/>
  <c r="S500" i="9" s="1"/>
  <c r="J495" i="9"/>
  <c r="I495" i="9"/>
  <c r="H495" i="9"/>
  <c r="G495" i="9"/>
  <c r="F495" i="9"/>
  <c r="E495" i="9"/>
  <c r="D495" i="9"/>
  <c r="C495" i="9"/>
  <c r="V489" i="9"/>
  <c r="U489" i="9"/>
  <c r="P489" i="9"/>
  <c r="O489" i="9"/>
  <c r="N489" i="9"/>
  <c r="M489" i="9"/>
  <c r="L489" i="9"/>
  <c r="K489" i="9"/>
  <c r="J489" i="9"/>
  <c r="I489" i="9"/>
  <c r="H489" i="9"/>
  <c r="G489" i="9"/>
  <c r="F489" i="9"/>
  <c r="E489" i="9"/>
  <c r="D489" i="9"/>
  <c r="C489" i="9"/>
  <c r="AB488" i="9"/>
  <c r="V488" i="9"/>
  <c r="U488" i="9"/>
  <c r="P488" i="9"/>
  <c r="O488" i="9"/>
  <c r="N488" i="9"/>
  <c r="M488" i="9"/>
  <c r="L488" i="9"/>
  <c r="K488" i="9"/>
  <c r="S489" i="9" s="1"/>
  <c r="J488" i="9"/>
  <c r="I488" i="9"/>
  <c r="H488" i="9"/>
  <c r="G488" i="9"/>
  <c r="F488" i="9"/>
  <c r="E488" i="9"/>
  <c r="D488" i="9"/>
  <c r="C488" i="9"/>
  <c r="AB480" i="9"/>
  <c r="V480" i="9"/>
  <c r="U480" i="9"/>
  <c r="P480" i="9"/>
  <c r="O480" i="9"/>
  <c r="N480" i="9"/>
  <c r="M480" i="9"/>
  <c r="L480" i="9"/>
  <c r="K480" i="9"/>
  <c r="S487" i="9" s="1"/>
  <c r="J480" i="9"/>
  <c r="I480" i="9"/>
  <c r="H480" i="9"/>
  <c r="G480" i="9"/>
  <c r="F480" i="9"/>
  <c r="E480" i="9"/>
  <c r="D480" i="9"/>
  <c r="C480" i="9"/>
  <c r="V479" i="9"/>
  <c r="U479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AB478" i="9"/>
  <c r="V478" i="9"/>
  <c r="U478" i="9"/>
  <c r="P478" i="9"/>
  <c r="O478" i="9"/>
  <c r="N478" i="9"/>
  <c r="M478" i="9"/>
  <c r="L478" i="9"/>
  <c r="K478" i="9"/>
  <c r="S479" i="9" s="1"/>
  <c r="J478" i="9"/>
  <c r="I478" i="9"/>
  <c r="H478" i="9"/>
  <c r="G478" i="9"/>
  <c r="F478" i="9"/>
  <c r="E478" i="9"/>
  <c r="D478" i="9"/>
  <c r="C478" i="9"/>
  <c r="V477" i="9"/>
  <c r="U477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V476" i="9"/>
  <c r="U476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V475" i="9"/>
  <c r="U475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AB474" i="9"/>
  <c r="V474" i="9"/>
  <c r="U474" i="9"/>
  <c r="P474" i="9"/>
  <c r="O474" i="9"/>
  <c r="N474" i="9"/>
  <c r="M474" i="9"/>
  <c r="L474" i="9"/>
  <c r="K474" i="9"/>
  <c r="S477" i="9" s="1"/>
  <c r="J474" i="9"/>
  <c r="I474" i="9"/>
  <c r="H474" i="9"/>
  <c r="G474" i="9"/>
  <c r="F474" i="9"/>
  <c r="E474" i="9"/>
  <c r="D474" i="9"/>
  <c r="C474" i="9"/>
  <c r="V473" i="9"/>
  <c r="U473" i="9"/>
  <c r="P473" i="9"/>
  <c r="O473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AB472" i="9"/>
  <c r="V472" i="9"/>
  <c r="U472" i="9"/>
  <c r="P472" i="9"/>
  <c r="O472" i="9"/>
  <c r="N472" i="9"/>
  <c r="M472" i="9"/>
  <c r="L472" i="9"/>
  <c r="K472" i="9"/>
  <c r="S473" i="9" s="1"/>
  <c r="J472" i="9"/>
  <c r="I472" i="9"/>
  <c r="H472" i="9"/>
  <c r="G472" i="9"/>
  <c r="F472" i="9"/>
  <c r="E472" i="9"/>
  <c r="D472" i="9"/>
  <c r="C472" i="9"/>
  <c r="V471" i="9"/>
  <c r="U471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AB470" i="9"/>
  <c r="V470" i="9"/>
  <c r="U470" i="9"/>
  <c r="P470" i="9"/>
  <c r="O470" i="9"/>
  <c r="N470" i="9"/>
  <c r="M470" i="9"/>
  <c r="L470" i="9"/>
  <c r="K470" i="9"/>
  <c r="S471" i="9" s="1"/>
  <c r="J470" i="9"/>
  <c r="I470" i="9"/>
  <c r="H470" i="9"/>
  <c r="G470" i="9"/>
  <c r="F470" i="9"/>
  <c r="E470" i="9"/>
  <c r="D470" i="9"/>
  <c r="C470" i="9"/>
  <c r="AB465" i="9"/>
  <c r="V465" i="9"/>
  <c r="U465" i="9"/>
  <c r="P465" i="9"/>
  <c r="O465" i="9"/>
  <c r="N465" i="9"/>
  <c r="M465" i="9"/>
  <c r="L465" i="9"/>
  <c r="K465" i="9"/>
  <c r="S469" i="9" s="1"/>
  <c r="J465" i="9"/>
  <c r="I465" i="9"/>
  <c r="H465" i="9"/>
  <c r="G465" i="9"/>
  <c r="F465" i="9"/>
  <c r="E465" i="9"/>
  <c r="D465" i="9"/>
  <c r="C465" i="9"/>
  <c r="AB464" i="9"/>
  <c r="V464" i="9"/>
  <c r="U464" i="9"/>
  <c r="P464" i="9"/>
  <c r="O464" i="9"/>
  <c r="N464" i="9"/>
  <c r="M464" i="9"/>
  <c r="L464" i="9"/>
  <c r="K464" i="9"/>
  <c r="S464" i="9" s="1"/>
  <c r="J464" i="9"/>
  <c r="I464" i="9"/>
  <c r="H464" i="9"/>
  <c r="G464" i="9"/>
  <c r="F464" i="9"/>
  <c r="E464" i="9"/>
  <c r="D464" i="9"/>
  <c r="C464" i="9"/>
  <c r="AB458" i="9"/>
  <c r="V458" i="9"/>
  <c r="U458" i="9"/>
  <c r="P458" i="9"/>
  <c r="O458" i="9"/>
  <c r="N458" i="9"/>
  <c r="M458" i="9"/>
  <c r="L458" i="9"/>
  <c r="K458" i="9"/>
  <c r="S463" i="9" s="1"/>
  <c r="J458" i="9"/>
  <c r="I458" i="9"/>
  <c r="H458" i="9"/>
  <c r="G458" i="9"/>
  <c r="F458" i="9"/>
  <c r="E458" i="9"/>
  <c r="D458" i="9"/>
  <c r="C458" i="9"/>
  <c r="AB457" i="9"/>
  <c r="V457" i="9"/>
  <c r="U457" i="9"/>
  <c r="P457" i="9"/>
  <c r="O457" i="9"/>
  <c r="N457" i="9"/>
  <c r="M457" i="9"/>
  <c r="L457" i="9"/>
  <c r="K457" i="9"/>
  <c r="S457" i="9" s="1"/>
  <c r="J457" i="9"/>
  <c r="I457" i="9"/>
  <c r="H457" i="9"/>
  <c r="G457" i="9"/>
  <c r="F457" i="9"/>
  <c r="E457" i="9"/>
  <c r="D457" i="9"/>
  <c r="C457" i="9"/>
  <c r="AB456" i="9"/>
  <c r="V456" i="9"/>
  <c r="U456" i="9"/>
  <c r="N456" i="9"/>
  <c r="M456" i="9"/>
  <c r="L456" i="9"/>
  <c r="K456" i="9"/>
  <c r="S456" i="9" s="1"/>
  <c r="J456" i="9"/>
  <c r="I456" i="9"/>
  <c r="H456" i="9"/>
  <c r="G456" i="9"/>
  <c r="F456" i="9"/>
  <c r="E456" i="9"/>
  <c r="D456" i="9"/>
  <c r="C456" i="9"/>
  <c r="AB455" i="9"/>
  <c r="V455" i="9"/>
  <c r="U455" i="9"/>
  <c r="N455" i="9"/>
  <c r="M455" i="9"/>
  <c r="L455" i="9"/>
  <c r="K455" i="9"/>
  <c r="S455" i="9" s="1"/>
  <c r="J455" i="9"/>
  <c r="I455" i="9"/>
  <c r="H455" i="9"/>
  <c r="G455" i="9"/>
  <c r="F455" i="9"/>
  <c r="E455" i="9"/>
  <c r="D455" i="9"/>
  <c r="C455" i="9"/>
  <c r="AB454" i="9"/>
  <c r="V454" i="9"/>
  <c r="U454" i="9"/>
  <c r="N454" i="9"/>
  <c r="M454" i="9"/>
  <c r="L454" i="9"/>
  <c r="K454" i="9"/>
  <c r="S454" i="9" s="1"/>
  <c r="J454" i="9"/>
  <c r="I454" i="9"/>
  <c r="H454" i="9"/>
  <c r="G454" i="9"/>
  <c r="F454" i="9"/>
  <c r="E454" i="9"/>
  <c r="D454" i="9"/>
  <c r="C454" i="9"/>
  <c r="AB453" i="9"/>
  <c r="V453" i="9"/>
  <c r="U453" i="9"/>
  <c r="N453" i="9"/>
  <c r="M453" i="9"/>
  <c r="L453" i="9"/>
  <c r="K453" i="9"/>
  <c r="S453" i="9" s="1"/>
  <c r="J453" i="9"/>
  <c r="I453" i="9"/>
  <c r="H453" i="9"/>
  <c r="G453" i="9"/>
  <c r="F453" i="9"/>
  <c r="E453" i="9"/>
  <c r="D453" i="9"/>
  <c r="C453" i="9"/>
  <c r="AB452" i="9"/>
  <c r="V452" i="9"/>
  <c r="U452" i="9"/>
  <c r="N452" i="9"/>
  <c r="M452" i="9"/>
  <c r="L452" i="9"/>
  <c r="K452" i="9"/>
  <c r="S452" i="9" s="1"/>
  <c r="J452" i="9"/>
  <c r="I452" i="9"/>
  <c r="H452" i="9"/>
  <c r="G452" i="9"/>
  <c r="F452" i="9"/>
  <c r="E452" i="9"/>
  <c r="D452" i="9"/>
  <c r="C452" i="9"/>
  <c r="AB451" i="9"/>
  <c r="V451" i="9"/>
  <c r="U451" i="9"/>
  <c r="N451" i="9"/>
  <c r="M451" i="9"/>
  <c r="L451" i="9"/>
  <c r="K451" i="9"/>
  <c r="S451" i="9" s="1"/>
  <c r="J451" i="9"/>
  <c r="I451" i="9"/>
  <c r="H451" i="9"/>
  <c r="G451" i="9"/>
  <c r="F451" i="9"/>
  <c r="E451" i="9"/>
  <c r="D451" i="9"/>
  <c r="C451" i="9"/>
  <c r="AB450" i="9"/>
  <c r="V450" i="9"/>
  <c r="U450" i="9"/>
  <c r="P450" i="9"/>
  <c r="O450" i="9"/>
  <c r="N450" i="9"/>
  <c r="M450" i="9"/>
  <c r="L450" i="9"/>
  <c r="K450" i="9"/>
  <c r="S450" i="9" s="1"/>
  <c r="J450" i="9"/>
  <c r="I450" i="9"/>
  <c r="H450" i="9"/>
  <c r="G450" i="9"/>
  <c r="F450" i="9"/>
  <c r="E450" i="9"/>
  <c r="D450" i="9"/>
  <c r="C450" i="9"/>
  <c r="AB449" i="9"/>
  <c r="V449" i="9"/>
  <c r="U449" i="9"/>
  <c r="P449" i="9"/>
  <c r="O449" i="9"/>
  <c r="N449" i="9"/>
  <c r="M449" i="9"/>
  <c r="L449" i="9"/>
  <c r="K449" i="9"/>
  <c r="S449" i="9" s="1"/>
  <c r="J449" i="9"/>
  <c r="I449" i="9"/>
  <c r="H449" i="9"/>
  <c r="G449" i="9"/>
  <c r="F449" i="9"/>
  <c r="E449" i="9"/>
  <c r="D449" i="9"/>
  <c r="C449" i="9"/>
  <c r="AB448" i="9"/>
  <c r="V448" i="9"/>
  <c r="U448" i="9"/>
  <c r="P448" i="9"/>
  <c r="O448" i="9"/>
  <c r="N448" i="9"/>
  <c r="M448" i="9"/>
  <c r="L448" i="9"/>
  <c r="K448" i="9"/>
  <c r="S448" i="9" s="1"/>
  <c r="J448" i="9"/>
  <c r="I448" i="9"/>
  <c r="H448" i="9"/>
  <c r="G448" i="9"/>
  <c r="F448" i="9"/>
  <c r="E448" i="9"/>
  <c r="D448" i="9"/>
  <c r="C448" i="9"/>
  <c r="AB447" i="9"/>
  <c r="V447" i="9"/>
  <c r="U447" i="9"/>
  <c r="P447" i="9"/>
  <c r="O447" i="9"/>
  <c r="N447" i="9"/>
  <c r="M447" i="9"/>
  <c r="L447" i="9"/>
  <c r="K447" i="9"/>
  <c r="S447" i="9" s="1"/>
  <c r="J447" i="9"/>
  <c r="I447" i="9"/>
  <c r="H447" i="9"/>
  <c r="G447" i="9"/>
  <c r="F447" i="9"/>
  <c r="E447" i="9"/>
  <c r="D447" i="9"/>
  <c r="C447" i="9"/>
  <c r="AB446" i="9"/>
  <c r="V446" i="9"/>
  <c r="U446" i="9"/>
  <c r="P446" i="9"/>
  <c r="O446" i="9"/>
  <c r="N446" i="9"/>
  <c r="M446" i="9"/>
  <c r="L446" i="9"/>
  <c r="K446" i="9"/>
  <c r="S446" i="9" s="1"/>
  <c r="J446" i="9"/>
  <c r="I446" i="9"/>
  <c r="H446" i="9"/>
  <c r="G446" i="9"/>
  <c r="F446" i="9"/>
  <c r="E446" i="9"/>
  <c r="D446" i="9"/>
  <c r="C446" i="9"/>
  <c r="AB445" i="9"/>
  <c r="V445" i="9"/>
  <c r="U445" i="9"/>
  <c r="P445" i="9"/>
  <c r="O445" i="9"/>
  <c r="N445" i="9"/>
  <c r="M445" i="9"/>
  <c r="L445" i="9"/>
  <c r="K445" i="9"/>
  <c r="S445" i="9" s="1"/>
  <c r="J445" i="9"/>
  <c r="I445" i="9"/>
  <c r="H445" i="9"/>
  <c r="G445" i="9"/>
  <c r="F445" i="9"/>
  <c r="E445" i="9"/>
  <c r="D445" i="9"/>
  <c r="C445" i="9"/>
  <c r="AB444" i="9"/>
  <c r="V444" i="9"/>
  <c r="U444" i="9"/>
  <c r="P444" i="9"/>
  <c r="O444" i="9"/>
  <c r="N444" i="9"/>
  <c r="M444" i="9"/>
  <c r="L444" i="9"/>
  <c r="K444" i="9"/>
  <c r="S444" i="9" s="1"/>
  <c r="J444" i="9"/>
  <c r="I444" i="9"/>
  <c r="H444" i="9"/>
  <c r="G444" i="9"/>
  <c r="F444" i="9"/>
  <c r="E444" i="9"/>
  <c r="D444" i="9"/>
  <c r="C444" i="9"/>
  <c r="AB443" i="9"/>
  <c r="V443" i="9"/>
  <c r="U443" i="9"/>
  <c r="P443" i="9"/>
  <c r="O443" i="9"/>
  <c r="N443" i="9"/>
  <c r="M443" i="9"/>
  <c r="L443" i="9"/>
  <c r="K443" i="9"/>
  <c r="S443" i="9" s="1"/>
  <c r="J443" i="9"/>
  <c r="I443" i="9"/>
  <c r="H443" i="9"/>
  <c r="G443" i="9"/>
  <c r="F443" i="9"/>
  <c r="E443" i="9"/>
  <c r="D443" i="9"/>
  <c r="C443" i="9"/>
  <c r="AB442" i="9"/>
  <c r="V442" i="9"/>
  <c r="U442" i="9"/>
  <c r="P442" i="9"/>
  <c r="O442" i="9"/>
  <c r="N442" i="9"/>
  <c r="M442" i="9"/>
  <c r="L442" i="9"/>
  <c r="K442" i="9"/>
  <c r="S442" i="9" s="1"/>
  <c r="J442" i="9"/>
  <c r="I442" i="9"/>
  <c r="H442" i="9"/>
  <c r="G442" i="9"/>
  <c r="F442" i="9"/>
  <c r="E442" i="9"/>
  <c r="D442" i="9"/>
  <c r="C442" i="9"/>
  <c r="AB440" i="9"/>
  <c r="V440" i="9"/>
  <c r="U440" i="9"/>
  <c r="P440" i="9"/>
  <c r="O440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AB439" i="9"/>
  <c r="V439" i="9"/>
  <c r="U439" i="9"/>
  <c r="P439" i="9"/>
  <c r="O439" i="9"/>
  <c r="N439" i="9"/>
  <c r="M439" i="9"/>
  <c r="L439" i="9"/>
  <c r="K439" i="9"/>
  <c r="S439" i="9" s="1"/>
  <c r="J439" i="9"/>
  <c r="I439" i="9"/>
  <c r="H439" i="9"/>
  <c r="G439" i="9"/>
  <c r="F439" i="9"/>
  <c r="E439" i="9"/>
  <c r="D439" i="9"/>
  <c r="C439" i="9"/>
  <c r="AB438" i="9"/>
  <c r="V438" i="9"/>
  <c r="U438" i="9"/>
  <c r="P438" i="9"/>
  <c r="O438" i="9"/>
  <c r="N438" i="9"/>
  <c r="M438" i="9"/>
  <c r="L438" i="9"/>
  <c r="K438" i="9"/>
  <c r="S438" i="9" s="1"/>
  <c r="J438" i="9"/>
  <c r="I438" i="9"/>
  <c r="H438" i="9"/>
  <c r="G438" i="9"/>
  <c r="F438" i="9"/>
  <c r="E438" i="9"/>
  <c r="D438" i="9"/>
  <c r="C438" i="9"/>
  <c r="AB437" i="9"/>
  <c r="V437" i="9"/>
  <c r="U437" i="9"/>
  <c r="P437" i="9"/>
  <c r="O437" i="9"/>
  <c r="N437" i="9"/>
  <c r="M437" i="9"/>
  <c r="L437" i="9"/>
  <c r="K437" i="9"/>
  <c r="S437" i="9" s="1"/>
  <c r="J437" i="9"/>
  <c r="I437" i="9"/>
  <c r="H437" i="9"/>
  <c r="G437" i="9"/>
  <c r="F437" i="9"/>
  <c r="E437" i="9"/>
  <c r="D437" i="9"/>
  <c r="C437" i="9"/>
  <c r="AB436" i="9"/>
  <c r="V436" i="9"/>
  <c r="U436" i="9"/>
  <c r="P436" i="9"/>
  <c r="O436" i="9"/>
  <c r="N436" i="9"/>
  <c r="M436" i="9"/>
  <c r="L436" i="9"/>
  <c r="K436" i="9"/>
  <c r="S436" i="9" s="1"/>
  <c r="J436" i="9"/>
  <c r="I436" i="9"/>
  <c r="H436" i="9"/>
  <c r="G436" i="9"/>
  <c r="F436" i="9"/>
  <c r="E436" i="9"/>
  <c r="D436" i="9"/>
  <c r="C436" i="9"/>
  <c r="AB435" i="9"/>
  <c r="V435" i="9"/>
  <c r="U435" i="9"/>
  <c r="P435" i="9"/>
  <c r="O435" i="9"/>
  <c r="N435" i="9"/>
  <c r="M435" i="9"/>
  <c r="L435" i="9"/>
  <c r="K435" i="9"/>
  <c r="S435" i="9" s="1"/>
  <c r="J435" i="9"/>
  <c r="I435" i="9"/>
  <c r="H435" i="9"/>
  <c r="G435" i="9"/>
  <c r="F435" i="9"/>
  <c r="E435" i="9"/>
  <c r="D435" i="9"/>
  <c r="C435" i="9"/>
  <c r="AB434" i="9"/>
  <c r="V434" i="9"/>
  <c r="U434" i="9"/>
  <c r="P434" i="9"/>
  <c r="O434" i="9"/>
  <c r="N434" i="9"/>
  <c r="M434" i="9"/>
  <c r="L434" i="9"/>
  <c r="K434" i="9"/>
  <c r="S434" i="9" s="1"/>
  <c r="J434" i="9"/>
  <c r="I434" i="9"/>
  <c r="H434" i="9"/>
  <c r="G434" i="9"/>
  <c r="F434" i="9"/>
  <c r="E434" i="9"/>
  <c r="D434" i="9"/>
  <c r="C434" i="9"/>
  <c r="AB433" i="9"/>
  <c r="V433" i="9"/>
  <c r="U433" i="9"/>
  <c r="P433" i="9"/>
  <c r="O433" i="9"/>
  <c r="N433" i="9"/>
  <c r="M433" i="9"/>
  <c r="L433" i="9"/>
  <c r="K433" i="9"/>
  <c r="S433" i="9" s="1"/>
  <c r="J433" i="9"/>
  <c r="I433" i="9"/>
  <c r="H433" i="9"/>
  <c r="G433" i="9"/>
  <c r="F433" i="9"/>
  <c r="E433" i="9"/>
  <c r="D433" i="9"/>
  <c r="C433" i="9"/>
  <c r="AB432" i="9"/>
  <c r="V432" i="9"/>
  <c r="U432" i="9"/>
  <c r="P432" i="9"/>
  <c r="O432" i="9"/>
  <c r="N432" i="9"/>
  <c r="M432" i="9"/>
  <c r="L432" i="9"/>
  <c r="K432" i="9"/>
  <c r="S432" i="9" s="1"/>
  <c r="J432" i="9"/>
  <c r="I432" i="9"/>
  <c r="H432" i="9"/>
  <c r="G432" i="9"/>
  <c r="F432" i="9"/>
  <c r="E432" i="9"/>
  <c r="D432" i="9"/>
  <c r="C432" i="9"/>
  <c r="AB431" i="9"/>
  <c r="V431" i="9"/>
  <c r="U431" i="9"/>
  <c r="P431" i="9"/>
  <c r="O431" i="9"/>
  <c r="N431" i="9"/>
  <c r="M431" i="9"/>
  <c r="L431" i="9"/>
  <c r="K431" i="9"/>
  <c r="S431" i="9" s="1"/>
  <c r="J431" i="9"/>
  <c r="I431" i="9"/>
  <c r="H431" i="9"/>
  <c r="G431" i="9"/>
  <c r="F431" i="9"/>
  <c r="E431" i="9"/>
  <c r="D431" i="9"/>
  <c r="C431" i="9"/>
  <c r="AB430" i="9"/>
  <c r="V430" i="9"/>
  <c r="U430" i="9"/>
  <c r="P430" i="9"/>
  <c r="O430" i="9"/>
  <c r="N430" i="9"/>
  <c r="M430" i="9"/>
  <c r="L430" i="9"/>
  <c r="K430" i="9"/>
  <c r="S430" i="9" s="1"/>
  <c r="J430" i="9"/>
  <c r="I430" i="9"/>
  <c r="H430" i="9"/>
  <c r="G430" i="9"/>
  <c r="F430" i="9"/>
  <c r="E430" i="9"/>
  <c r="D430" i="9"/>
  <c r="C430" i="9"/>
  <c r="AB429" i="9"/>
  <c r="V429" i="9"/>
  <c r="U429" i="9"/>
  <c r="P429" i="9"/>
  <c r="O429" i="9"/>
  <c r="N429" i="9"/>
  <c r="M429" i="9"/>
  <c r="L429" i="9"/>
  <c r="K429" i="9"/>
  <c r="S429" i="9" s="1"/>
  <c r="J429" i="9"/>
  <c r="I429" i="9"/>
  <c r="H429" i="9"/>
  <c r="G429" i="9"/>
  <c r="F429" i="9"/>
  <c r="E429" i="9"/>
  <c r="D429" i="9"/>
  <c r="C429" i="9"/>
  <c r="AB428" i="9"/>
  <c r="V428" i="9"/>
  <c r="U428" i="9"/>
  <c r="P428" i="9"/>
  <c r="O428" i="9"/>
  <c r="N428" i="9"/>
  <c r="M428" i="9"/>
  <c r="L428" i="9"/>
  <c r="K428" i="9"/>
  <c r="S428" i="9" s="1"/>
  <c r="J428" i="9"/>
  <c r="I428" i="9"/>
  <c r="H428" i="9"/>
  <c r="G428" i="9"/>
  <c r="F428" i="9"/>
  <c r="E428" i="9"/>
  <c r="D428" i="9"/>
  <c r="C428" i="9"/>
  <c r="AB427" i="9"/>
  <c r="V427" i="9"/>
  <c r="U427" i="9"/>
  <c r="P427" i="9"/>
  <c r="O427" i="9"/>
  <c r="N427" i="9"/>
  <c r="M427" i="9"/>
  <c r="L427" i="9"/>
  <c r="K427" i="9"/>
  <c r="S427" i="9" s="1"/>
  <c r="J427" i="9"/>
  <c r="I427" i="9"/>
  <c r="H427" i="9"/>
  <c r="G427" i="9"/>
  <c r="F427" i="9"/>
  <c r="E427" i="9"/>
  <c r="D427" i="9"/>
  <c r="C427" i="9"/>
  <c r="AB426" i="9"/>
  <c r="V426" i="9"/>
  <c r="U426" i="9"/>
  <c r="P426" i="9"/>
  <c r="O426" i="9"/>
  <c r="N426" i="9"/>
  <c r="M426" i="9"/>
  <c r="L426" i="9"/>
  <c r="K426" i="9"/>
  <c r="S426" i="9" s="1"/>
  <c r="J426" i="9"/>
  <c r="I426" i="9"/>
  <c r="H426" i="9"/>
  <c r="G426" i="9"/>
  <c r="F426" i="9"/>
  <c r="E426" i="9"/>
  <c r="D426" i="9"/>
  <c r="C426" i="9"/>
  <c r="AB425" i="9"/>
  <c r="V425" i="9"/>
  <c r="U425" i="9"/>
  <c r="P425" i="9"/>
  <c r="O425" i="9"/>
  <c r="N425" i="9"/>
  <c r="M425" i="9"/>
  <c r="L425" i="9"/>
  <c r="K425" i="9"/>
  <c r="S425" i="9" s="1"/>
  <c r="J425" i="9"/>
  <c r="I425" i="9"/>
  <c r="H425" i="9"/>
  <c r="G425" i="9"/>
  <c r="F425" i="9"/>
  <c r="E425" i="9"/>
  <c r="D425" i="9"/>
  <c r="C425" i="9"/>
  <c r="AB424" i="9"/>
  <c r="V424" i="9"/>
  <c r="U424" i="9"/>
  <c r="P424" i="9"/>
  <c r="O424" i="9"/>
  <c r="N424" i="9"/>
  <c r="M424" i="9"/>
  <c r="L424" i="9"/>
  <c r="K424" i="9"/>
  <c r="S424" i="9" s="1"/>
  <c r="J424" i="9"/>
  <c r="I424" i="9"/>
  <c r="H424" i="9"/>
  <c r="G424" i="9"/>
  <c r="F424" i="9"/>
  <c r="E424" i="9"/>
  <c r="D424" i="9"/>
  <c r="C424" i="9"/>
  <c r="AB423" i="9"/>
  <c r="V423" i="9"/>
  <c r="U423" i="9"/>
  <c r="P423" i="9"/>
  <c r="O423" i="9"/>
  <c r="N423" i="9"/>
  <c r="M423" i="9"/>
  <c r="L423" i="9"/>
  <c r="K423" i="9"/>
  <c r="S423" i="9" s="1"/>
  <c r="J423" i="9"/>
  <c r="I423" i="9"/>
  <c r="H423" i="9"/>
  <c r="G423" i="9"/>
  <c r="F423" i="9"/>
  <c r="E423" i="9"/>
  <c r="D423" i="9"/>
  <c r="C423" i="9"/>
  <c r="AB422" i="9"/>
  <c r="V422" i="9"/>
  <c r="U422" i="9"/>
  <c r="P422" i="9"/>
  <c r="O422" i="9"/>
  <c r="N422" i="9"/>
  <c r="M422" i="9"/>
  <c r="L422" i="9"/>
  <c r="K422" i="9"/>
  <c r="S422" i="9" s="1"/>
  <c r="J422" i="9"/>
  <c r="I422" i="9"/>
  <c r="H422" i="9"/>
  <c r="G422" i="9"/>
  <c r="F422" i="9"/>
  <c r="E422" i="9"/>
  <c r="D422" i="9"/>
  <c r="C422" i="9"/>
  <c r="AB421" i="9"/>
  <c r="V421" i="9"/>
  <c r="U421" i="9"/>
  <c r="P421" i="9"/>
  <c r="O421" i="9"/>
  <c r="N421" i="9"/>
  <c r="M421" i="9"/>
  <c r="L421" i="9"/>
  <c r="K421" i="9"/>
  <c r="S421" i="9" s="1"/>
  <c r="J421" i="9"/>
  <c r="I421" i="9"/>
  <c r="H421" i="9"/>
  <c r="G421" i="9"/>
  <c r="F421" i="9"/>
  <c r="E421" i="9"/>
  <c r="D421" i="9"/>
  <c r="C421" i="9"/>
  <c r="AB420" i="9"/>
  <c r="V420" i="9"/>
  <c r="U420" i="9"/>
  <c r="P420" i="9"/>
  <c r="O420" i="9"/>
  <c r="N420" i="9"/>
  <c r="M420" i="9"/>
  <c r="L420" i="9"/>
  <c r="K420" i="9"/>
  <c r="S420" i="9" s="1"/>
  <c r="J420" i="9"/>
  <c r="I420" i="9"/>
  <c r="H420" i="9"/>
  <c r="G420" i="9"/>
  <c r="F420" i="9"/>
  <c r="E420" i="9"/>
  <c r="D420" i="9"/>
  <c r="C420" i="9"/>
  <c r="AB419" i="9"/>
  <c r="V419" i="9"/>
  <c r="U419" i="9"/>
  <c r="P419" i="9"/>
  <c r="O419" i="9"/>
  <c r="N419" i="9"/>
  <c r="M419" i="9"/>
  <c r="L419" i="9"/>
  <c r="K419" i="9"/>
  <c r="S419" i="9" s="1"/>
  <c r="J419" i="9"/>
  <c r="I419" i="9"/>
  <c r="H419" i="9"/>
  <c r="G419" i="9"/>
  <c r="F419" i="9"/>
  <c r="E419" i="9"/>
  <c r="D419" i="9"/>
  <c r="C419" i="9"/>
  <c r="AB418" i="9"/>
  <c r="V418" i="9"/>
  <c r="U418" i="9"/>
  <c r="P418" i="9"/>
  <c r="O418" i="9"/>
  <c r="N418" i="9"/>
  <c r="M418" i="9"/>
  <c r="L418" i="9"/>
  <c r="K418" i="9"/>
  <c r="S418" i="9" s="1"/>
  <c r="J418" i="9"/>
  <c r="I418" i="9"/>
  <c r="H418" i="9"/>
  <c r="G418" i="9"/>
  <c r="F418" i="9"/>
  <c r="E418" i="9"/>
  <c r="D418" i="9"/>
  <c r="C418" i="9"/>
  <c r="AB417" i="9"/>
  <c r="V417" i="9"/>
  <c r="U417" i="9"/>
  <c r="P417" i="9"/>
  <c r="O417" i="9"/>
  <c r="N417" i="9"/>
  <c r="M417" i="9"/>
  <c r="L417" i="9"/>
  <c r="K417" i="9"/>
  <c r="S417" i="9" s="1"/>
  <c r="J417" i="9"/>
  <c r="I417" i="9"/>
  <c r="H417" i="9"/>
  <c r="G417" i="9"/>
  <c r="F417" i="9"/>
  <c r="E417" i="9"/>
  <c r="D417" i="9"/>
  <c r="C417" i="9"/>
  <c r="AB416" i="9"/>
  <c r="V416" i="9"/>
  <c r="U416" i="9"/>
  <c r="P416" i="9"/>
  <c r="O416" i="9"/>
  <c r="N416" i="9"/>
  <c r="M416" i="9"/>
  <c r="L416" i="9"/>
  <c r="K416" i="9"/>
  <c r="S416" i="9" s="1"/>
  <c r="J416" i="9"/>
  <c r="I416" i="9"/>
  <c r="H416" i="9"/>
  <c r="G416" i="9"/>
  <c r="F416" i="9"/>
  <c r="E416" i="9"/>
  <c r="D416" i="9"/>
  <c r="C416" i="9"/>
  <c r="AB415" i="9"/>
  <c r="V415" i="9"/>
  <c r="U415" i="9"/>
  <c r="P415" i="9"/>
  <c r="O415" i="9"/>
  <c r="N415" i="9"/>
  <c r="M415" i="9"/>
  <c r="L415" i="9"/>
  <c r="K415" i="9"/>
  <c r="S415" i="9" s="1"/>
  <c r="J415" i="9"/>
  <c r="I415" i="9"/>
  <c r="H415" i="9"/>
  <c r="G415" i="9"/>
  <c r="F415" i="9"/>
  <c r="E415" i="9"/>
  <c r="D415" i="9"/>
  <c r="C415" i="9"/>
  <c r="AB414" i="9"/>
  <c r="V414" i="9"/>
  <c r="U414" i="9"/>
  <c r="P414" i="9"/>
  <c r="O414" i="9"/>
  <c r="N414" i="9"/>
  <c r="M414" i="9"/>
  <c r="L414" i="9"/>
  <c r="K414" i="9"/>
  <c r="S414" i="9" s="1"/>
  <c r="J414" i="9"/>
  <c r="I414" i="9"/>
  <c r="H414" i="9"/>
  <c r="G414" i="9"/>
  <c r="F414" i="9"/>
  <c r="E414" i="9"/>
  <c r="D414" i="9"/>
  <c r="C414" i="9"/>
  <c r="AB413" i="9"/>
  <c r="V413" i="9"/>
  <c r="U413" i="9"/>
  <c r="P413" i="9"/>
  <c r="O413" i="9"/>
  <c r="N413" i="9"/>
  <c r="M413" i="9"/>
  <c r="L413" i="9"/>
  <c r="K413" i="9"/>
  <c r="S413" i="9" s="1"/>
  <c r="J413" i="9"/>
  <c r="I413" i="9"/>
  <c r="H413" i="9"/>
  <c r="G413" i="9"/>
  <c r="F413" i="9"/>
  <c r="E413" i="9"/>
  <c r="D413" i="9"/>
  <c r="C413" i="9"/>
  <c r="AB412" i="9"/>
  <c r="V412" i="9"/>
  <c r="U412" i="9"/>
  <c r="P412" i="9"/>
  <c r="O412" i="9"/>
  <c r="N412" i="9"/>
  <c r="M412" i="9"/>
  <c r="L412" i="9"/>
  <c r="K412" i="9"/>
  <c r="S412" i="9" s="1"/>
  <c r="J412" i="9"/>
  <c r="I412" i="9"/>
  <c r="H412" i="9"/>
  <c r="G412" i="9"/>
  <c r="F412" i="9"/>
  <c r="E412" i="9"/>
  <c r="D412" i="9"/>
  <c r="C412" i="9"/>
  <c r="AB411" i="9"/>
  <c r="V411" i="9"/>
  <c r="U411" i="9"/>
  <c r="P411" i="9"/>
  <c r="O411" i="9"/>
  <c r="N411" i="9"/>
  <c r="M411" i="9"/>
  <c r="L411" i="9"/>
  <c r="K411" i="9"/>
  <c r="S411" i="9" s="1"/>
  <c r="J411" i="9"/>
  <c r="I411" i="9"/>
  <c r="H411" i="9"/>
  <c r="G411" i="9"/>
  <c r="F411" i="9"/>
  <c r="E411" i="9"/>
  <c r="D411" i="9"/>
  <c r="C411" i="9"/>
  <c r="AB410" i="9"/>
  <c r="V410" i="9"/>
  <c r="U410" i="9"/>
  <c r="P410" i="9"/>
  <c r="O410" i="9"/>
  <c r="N410" i="9"/>
  <c r="M410" i="9"/>
  <c r="L410" i="9"/>
  <c r="K410" i="9"/>
  <c r="S410" i="9" s="1"/>
  <c r="J410" i="9"/>
  <c r="I410" i="9"/>
  <c r="H410" i="9"/>
  <c r="G410" i="9"/>
  <c r="F410" i="9"/>
  <c r="E410" i="9"/>
  <c r="D410" i="9"/>
  <c r="C410" i="9"/>
  <c r="AB409" i="9"/>
  <c r="V409" i="9"/>
  <c r="U409" i="9"/>
  <c r="P409" i="9"/>
  <c r="O409" i="9"/>
  <c r="N409" i="9"/>
  <c r="M409" i="9"/>
  <c r="L409" i="9"/>
  <c r="K409" i="9"/>
  <c r="S409" i="9" s="1"/>
  <c r="J409" i="9"/>
  <c r="I409" i="9"/>
  <c r="H409" i="9"/>
  <c r="G409" i="9"/>
  <c r="F409" i="9"/>
  <c r="E409" i="9"/>
  <c r="D409" i="9"/>
  <c r="C409" i="9"/>
  <c r="AB407" i="9"/>
  <c r="V407" i="9"/>
  <c r="U407" i="9"/>
  <c r="P407" i="9"/>
  <c r="O407" i="9"/>
  <c r="N407" i="9"/>
  <c r="M407" i="9"/>
  <c r="L407" i="9"/>
  <c r="K407" i="9"/>
  <c r="S408" i="9" s="1"/>
  <c r="J407" i="9"/>
  <c r="I407" i="9"/>
  <c r="H407" i="9"/>
  <c r="G407" i="9"/>
  <c r="F407" i="9"/>
  <c r="E407" i="9"/>
  <c r="D407" i="9"/>
  <c r="C407" i="9"/>
  <c r="AB406" i="9"/>
  <c r="V406" i="9"/>
  <c r="U406" i="9"/>
  <c r="P406" i="9"/>
  <c r="O406" i="9"/>
  <c r="N406" i="9"/>
  <c r="M406" i="9"/>
  <c r="L406" i="9"/>
  <c r="K406" i="9"/>
  <c r="S406" i="9" s="1"/>
  <c r="J406" i="9"/>
  <c r="I406" i="9"/>
  <c r="H406" i="9"/>
  <c r="G406" i="9"/>
  <c r="F406" i="9"/>
  <c r="E406" i="9"/>
  <c r="D406" i="9"/>
  <c r="C406" i="9"/>
  <c r="AB405" i="9"/>
  <c r="V405" i="9"/>
  <c r="U405" i="9"/>
  <c r="P405" i="9"/>
  <c r="O405" i="9"/>
  <c r="N405" i="9"/>
  <c r="M405" i="9"/>
  <c r="L405" i="9"/>
  <c r="K405" i="9"/>
  <c r="S405" i="9" s="1"/>
  <c r="J405" i="9"/>
  <c r="I405" i="9"/>
  <c r="H405" i="9"/>
  <c r="G405" i="9"/>
  <c r="F405" i="9"/>
  <c r="E405" i="9"/>
  <c r="D405" i="9"/>
  <c r="C405" i="9"/>
  <c r="AB403" i="9"/>
  <c r="V403" i="9"/>
  <c r="U403" i="9"/>
  <c r="P403" i="9"/>
  <c r="O403" i="9"/>
  <c r="N403" i="9"/>
  <c r="M403" i="9"/>
  <c r="L403" i="9"/>
  <c r="K403" i="9"/>
  <c r="S404" i="9" s="1"/>
  <c r="J403" i="9"/>
  <c r="I403" i="9"/>
  <c r="H403" i="9"/>
  <c r="G403" i="9"/>
  <c r="F403" i="9"/>
  <c r="E403" i="9"/>
  <c r="D403" i="9"/>
  <c r="C403" i="9"/>
  <c r="AB402" i="9"/>
  <c r="V402" i="9"/>
  <c r="U402" i="9"/>
  <c r="P402" i="9"/>
  <c r="O402" i="9"/>
  <c r="N402" i="9"/>
  <c r="M402" i="9"/>
  <c r="L402" i="9"/>
  <c r="K402" i="9"/>
  <c r="S402" i="9" s="1"/>
  <c r="J402" i="9"/>
  <c r="I402" i="9"/>
  <c r="H402" i="9"/>
  <c r="G402" i="9"/>
  <c r="F402" i="9"/>
  <c r="E402" i="9"/>
  <c r="D402" i="9"/>
  <c r="C402" i="9"/>
  <c r="AB401" i="9"/>
  <c r="V401" i="9"/>
  <c r="U401" i="9"/>
  <c r="P401" i="9"/>
  <c r="O401" i="9"/>
  <c r="N401" i="9"/>
  <c r="M401" i="9"/>
  <c r="L401" i="9"/>
  <c r="K401" i="9"/>
  <c r="S401" i="9" s="1"/>
  <c r="J401" i="9"/>
  <c r="I401" i="9"/>
  <c r="H401" i="9"/>
  <c r="G401" i="9"/>
  <c r="F401" i="9"/>
  <c r="E401" i="9"/>
  <c r="D401" i="9"/>
  <c r="C401" i="9"/>
  <c r="AB400" i="9"/>
  <c r="V400" i="9"/>
  <c r="U400" i="9"/>
  <c r="P400" i="9"/>
  <c r="O400" i="9"/>
  <c r="N400" i="9"/>
  <c r="M400" i="9"/>
  <c r="L400" i="9"/>
  <c r="K400" i="9"/>
  <c r="S400" i="9" s="1"/>
  <c r="J400" i="9"/>
  <c r="I400" i="9"/>
  <c r="H400" i="9"/>
  <c r="G400" i="9"/>
  <c r="F400" i="9"/>
  <c r="E400" i="9"/>
  <c r="D400" i="9"/>
  <c r="C400" i="9"/>
  <c r="AB398" i="9"/>
  <c r="V398" i="9"/>
  <c r="U398" i="9"/>
  <c r="P398" i="9"/>
  <c r="O398" i="9"/>
  <c r="N398" i="9"/>
  <c r="M398" i="9"/>
  <c r="L398" i="9"/>
  <c r="K398" i="9"/>
  <c r="S399" i="9" s="1"/>
  <c r="J398" i="9"/>
  <c r="I398" i="9"/>
  <c r="H398" i="9"/>
  <c r="G398" i="9"/>
  <c r="F398" i="9"/>
  <c r="E398" i="9"/>
  <c r="D398" i="9"/>
  <c r="C398" i="9"/>
  <c r="AB397" i="9"/>
  <c r="V397" i="9"/>
  <c r="U397" i="9"/>
  <c r="P397" i="9"/>
  <c r="O397" i="9"/>
  <c r="N397" i="9"/>
  <c r="M397" i="9"/>
  <c r="L397" i="9"/>
  <c r="K397" i="9"/>
  <c r="S397" i="9" s="1"/>
  <c r="J397" i="9"/>
  <c r="I397" i="9"/>
  <c r="H397" i="9"/>
  <c r="G397" i="9"/>
  <c r="F397" i="9"/>
  <c r="E397" i="9"/>
  <c r="D397" i="9"/>
  <c r="C397" i="9"/>
  <c r="AB396" i="9"/>
  <c r="V396" i="9"/>
  <c r="U396" i="9"/>
  <c r="P396" i="9"/>
  <c r="O396" i="9"/>
  <c r="N396" i="9"/>
  <c r="M396" i="9"/>
  <c r="L396" i="9"/>
  <c r="K396" i="9"/>
  <c r="S396" i="9" s="1"/>
  <c r="J396" i="9"/>
  <c r="I396" i="9"/>
  <c r="H396" i="9"/>
  <c r="G396" i="9"/>
  <c r="F396" i="9"/>
  <c r="E396" i="9"/>
  <c r="D396" i="9"/>
  <c r="C396" i="9"/>
  <c r="AB391" i="9"/>
  <c r="V391" i="9"/>
  <c r="U391" i="9"/>
  <c r="P391" i="9"/>
  <c r="O391" i="9"/>
  <c r="N391" i="9"/>
  <c r="M391" i="9"/>
  <c r="L391" i="9"/>
  <c r="K391" i="9"/>
  <c r="S395" i="9" s="1"/>
  <c r="J391" i="9"/>
  <c r="I391" i="9"/>
  <c r="H391" i="9"/>
  <c r="G391" i="9"/>
  <c r="F391" i="9"/>
  <c r="E391" i="9"/>
  <c r="D391" i="9"/>
  <c r="C391" i="9"/>
  <c r="AB390" i="9"/>
  <c r="V390" i="9"/>
  <c r="U390" i="9"/>
  <c r="P390" i="9"/>
  <c r="O390" i="9"/>
  <c r="N390" i="9"/>
  <c r="M390" i="9"/>
  <c r="L390" i="9"/>
  <c r="K390" i="9"/>
  <c r="S390" i="9" s="1"/>
  <c r="J390" i="9"/>
  <c r="I390" i="9"/>
  <c r="H390" i="9"/>
  <c r="G390" i="9"/>
  <c r="F390" i="9"/>
  <c r="E390" i="9"/>
  <c r="D390" i="9"/>
  <c r="C390" i="9"/>
  <c r="AB388" i="9"/>
  <c r="V388" i="9"/>
  <c r="U388" i="9"/>
  <c r="P388" i="9"/>
  <c r="O388" i="9"/>
  <c r="N388" i="9"/>
  <c r="M388" i="9"/>
  <c r="L388" i="9"/>
  <c r="K388" i="9"/>
  <c r="S389" i="9" s="1"/>
  <c r="J388" i="9"/>
  <c r="I388" i="9"/>
  <c r="H388" i="9"/>
  <c r="G388" i="9"/>
  <c r="F388" i="9"/>
  <c r="E388" i="9"/>
  <c r="D388" i="9"/>
  <c r="C388" i="9"/>
  <c r="AB387" i="9"/>
  <c r="V387" i="9"/>
  <c r="U387" i="9"/>
  <c r="P387" i="9"/>
  <c r="O387" i="9"/>
  <c r="N387" i="9"/>
  <c r="M387" i="9"/>
  <c r="L387" i="9"/>
  <c r="K387" i="9"/>
  <c r="S387" i="9" s="1"/>
  <c r="J387" i="9"/>
  <c r="I387" i="9"/>
  <c r="H387" i="9"/>
  <c r="G387" i="9"/>
  <c r="F387" i="9"/>
  <c r="E387" i="9"/>
  <c r="D387" i="9"/>
  <c r="C387" i="9"/>
  <c r="AB386" i="9"/>
  <c r="V386" i="9"/>
  <c r="U386" i="9"/>
  <c r="P386" i="9"/>
  <c r="O386" i="9"/>
  <c r="N386" i="9"/>
  <c r="M386" i="9"/>
  <c r="L386" i="9"/>
  <c r="K386" i="9"/>
  <c r="S386" i="9" s="1"/>
  <c r="J386" i="9"/>
  <c r="I386" i="9"/>
  <c r="H386" i="9"/>
  <c r="G386" i="9"/>
  <c r="F386" i="9"/>
  <c r="E386" i="9"/>
  <c r="D386" i="9"/>
  <c r="C386" i="9"/>
  <c r="V385" i="9"/>
  <c r="U385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V384" i="9"/>
  <c r="U384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AB383" i="9"/>
  <c r="V383" i="9"/>
  <c r="U383" i="9"/>
  <c r="P383" i="9"/>
  <c r="O383" i="9"/>
  <c r="N383" i="9"/>
  <c r="M383" i="9"/>
  <c r="L383" i="9"/>
  <c r="K383" i="9"/>
  <c r="S385" i="9" s="1"/>
  <c r="J383" i="9"/>
  <c r="I383" i="9"/>
  <c r="H383" i="9"/>
  <c r="G383" i="9"/>
  <c r="F383" i="9"/>
  <c r="E383" i="9"/>
  <c r="D383" i="9"/>
  <c r="C383" i="9"/>
  <c r="AB382" i="9"/>
  <c r="V382" i="9"/>
  <c r="U382" i="9"/>
  <c r="P382" i="9"/>
  <c r="O382" i="9"/>
  <c r="N382" i="9"/>
  <c r="M382" i="9"/>
  <c r="L382" i="9"/>
  <c r="K382" i="9"/>
  <c r="S382" i="9" s="1"/>
  <c r="J382" i="9"/>
  <c r="I382" i="9"/>
  <c r="H382" i="9"/>
  <c r="G382" i="9"/>
  <c r="F382" i="9"/>
  <c r="E382" i="9"/>
  <c r="D382" i="9"/>
  <c r="C382" i="9"/>
  <c r="AB381" i="9"/>
  <c r="V381" i="9"/>
  <c r="U381" i="9"/>
  <c r="P381" i="9"/>
  <c r="O381" i="9"/>
  <c r="N381" i="9"/>
  <c r="M381" i="9"/>
  <c r="L381" i="9"/>
  <c r="K381" i="9"/>
  <c r="S381" i="9" s="1"/>
  <c r="J381" i="9"/>
  <c r="I381" i="9"/>
  <c r="H381" i="9"/>
  <c r="G381" i="9"/>
  <c r="F381" i="9"/>
  <c r="E381" i="9"/>
  <c r="D381" i="9"/>
  <c r="C381" i="9"/>
  <c r="AB380" i="9"/>
  <c r="V380" i="9"/>
  <c r="U380" i="9"/>
  <c r="P380" i="9"/>
  <c r="O380" i="9"/>
  <c r="N380" i="9"/>
  <c r="M380" i="9"/>
  <c r="L380" i="9"/>
  <c r="K380" i="9"/>
  <c r="S380" i="9" s="1"/>
  <c r="J380" i="9"/>
  <c r="I380" i="9"/>
  <c r="H380" i="9"/>
  <c r="G380" i="9"/>
  <c r="F380" i="9"/>
  <c r="E380" i="9"/>
  <c r="D380" i="9"/>
  <c r="C380" i="9"/>
  <c r="V379" i="9"/>
  <c r="U379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AB378" i="9"/>
  <c r="V378" i="9"/>
  <c r="U378" i="9"/>
  <c r="P378" i="9"/>
  <c r="O378" i="9"/>
  <c r="N378" i="9"/>
  <c r="M378" i="9"/>
  <c r="L378" i="9"/>
  <c r="K378" i="9"/>
  <c r="S379" i="9" s="1"/>
  <c r="J378" i="9"/>
  <c r="I378" i="9"/>
  <c r="H378" i="9"/>
  <c r="G378" i="9"/>
  <c r="F378" i="9"/>
  <c r="E378" i="9"/>
  <c r="D378" i="9"/>
  <c r="C378" i="9"/>
  <c r="AB377" i="9"/>
  <c r="V377" i="9"/>
  <c r="U377" i="9"/>
  <c r="P377" i="9"/>
  <c r="O377" i="9"/>
  <c r="N377" i="9"/>
  <c r="M377" i="9"/>
  <c r="L377" i="9"/>
  <c r="K377" i="9"/>
  <c r="S377" i="9" s="1"/>
  <c r="J377" i="9"/>
  <c r="I377" i="9"/>
  <c r="H377" i="9"/>
  <c r="G377" i="9"/>
  <c r="F377" i="9"/>
  <c r="E377" i="9"/>
  <c r="D377" i="9"/>
  <c r="C377" i="9"/>
  <c r="AB375" i="9"/>
  <c r="V375" i="9"/>
  <c r="U375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AB374" i="9"/>
  <c r="V374" i="9"/>
  <c r="U374" i="9"/>
  <c r="P374" i="9"/>
  <c r="O374" i="9"/>
  <c r="N374" i="9"/>
  <c r="M374" i="9"/>
  <c r="L374" i="9"/>
  <c r="K374" i="9"/>
  <c r="S374" i="9" s="1"/>
  <c r="J374" i="9"/>
  <c r="I374" i="9"/>
  <c r="H374" i="9"/>
  <c r="G374" i="9"/>
  <c r="F374" i="9"/>
  <c r="E374" i="9"/>
  <c r="D374" i="9"/>
  <c r="C374" i="9"/>
  <c r="AB373" i="9"/>
  <c r="V373" i="9"/>
  <c r="U373" i="9"/>
  <c r="P373" i="9"/>
  <c r="O373" i="9"/>
  <c r="N373" i="9"/>
  <c r="M373" i="9"/>
  <c r="L373" i="9"/>
  <c r="K373" i="9"/>
  <c r="S373" i="9" s="1"/>
  <c r="J373" i="9"/>
  <c r="I373" i="9"/>
  <c r="H373" i="9"/>
  <c r="G373" i="9"/>
  <c r="F373" i="9"/>
  <c r="E373" i="9"/>
  <c r="D373" i="9"/>
  <c r="C373" i="9"/>
  <c r="AB372" i="9"/>
  <c r="V372" i="9"/>
  <c r="U372" i="9"/>
  <c r="P372" i="9"/>
  <c r="O372" i="9"/>
  <c r="N372" i="9"/>
  <c r="M372" i="9"/>
  <c r="L372" i="9"/>
  <c r="K372" i="9"/>
  <c r="S372" i="9" s="1"/>
  <c r="J372" i="9"/>
  <c r="I372" i="9"/>
  <c r="H372" i="9"/>
  <c r="G372" i="9"/>
  <c r="F372" i="9"/>
  <c r="E372" i="9"/>
  <c r="D372" i="9"/>
  <c r="C372" i="9"/>
  <c r="V376" i="9"/>
  <c r="U376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AB369" i="9"/>
  <c r="V369" i="9"/>
  <c r="U369" i="9"/>
  <c r="P369" i="9"/>
  <c r="O369" i="9"/>
  <c r="N369" i="9"/>
  <c r="M369" i="9"/>
  <c r="L369" i="9"/>
  <c r="K369" i="9"/>
  <c r="S369" i="9" s="1"/>
  <c r="J369" i="9"/>
  <c r="I369" i="9"/>
  <c r="H369" i="9"/>
  <c r="G369" i="9"/>
  <c r="F369" i="9"/>
  <c r="E369" i="9"/>
  <c r="D369" i="9"/>
  <c r="C369" i="9"/>
  <c r="AB368" i="9"/>
  <c r="V368" i="9"/>
  <c r="U368" i="9"/>
  <c r="P368" i="9"/>
  <c r="O368" i="9"/>
  <c r="N368" i="9"/>
  <c r="M368" i="9"/>
  <c r="L368" i="9"/>
  <c r="K368" i="9"/>
  <c r="S368" i="9" s="1"/>
  <c r="J368" i="9"/>
  <c r="I368" i="9"/>
  <c r="H368" i="9"/>
  <c r="G368" i="9"/>
  <c r="F368" i="9"/>
  <c r="E368" i="9"/>
  <c r="D368" i="9"/>
  <c r="C368" i="9"/>
  <c r="AB367" i="9"/>
  <c r="V367" i="9"/>
  <c r="U367" i="9"/>
  <c r="P367" i="9"/>
  <c r="O367" i="9"/>
  <c r="N367" i="9"/>
  <c r="M367" i="9"/>
  <c r="L367" i="9"/>
  <c r="K367" i="9"/>
  <c r="S367" i="9" s="1"/>
  <c r="J367" i="9"/>
  <c r="I367" i="9"/>
  <c r="H367" i="9"/>
  <c r="G367" i="9"/>
  <c r="F367" i="9"/>
  <c r="E367" i="9"/>
  <c r="D367" i="9"/>
  <c r="C367" i="9"/>
  <c r="AB366" i="9"/>
  <c r="V366" i="9"/>
  <c r="U366" i="9"/>
  <c r="P366" i="9"/>
  <c r="O366" i="9"/>
  <c r="N366" i="9"/>
  <c r="M366" i="9"/>
  <c r="L366" i="9"/>
  <c r="K366" i="9"/>
  <c r="S366" i="9" s="1"/>
  <c r="J366" i="9"/>
  <c r="I366" i="9"/>
  <c r="H366" i="9"/>
  <c r="G366" i="9"/>
  <c r="F366" i="9"/>
  <c r="E366" i="9"/>
  <c r="D366" i="9"/>
  <c r="C366" i="9"/>
  <c r="AB365" i="9"/>
  <c r="V365" i="9"/>
  <c r="U365" i="9"/>
  <c r="P365" i="9"/>
  <c r="O365" i="9"/>
  <c r="N365" i="9"/>
  <c r="M365" i="9"/>
  <c r="L365" i="9"/>
  <c r="K365" i="9"/>
  <c r="S365" i="9" s="1"/>
  <c r="J365" i="9"/>
  <c r="I365" i="9"/>
  <c r="H365" i="9"/>
  <c r="G365" i="9"/>
  <c r="F365" i="9"/>
  <c r="E365" i="9"/>
  <c r="D365" i="9"/>
  <c r="C365" i="9"/>
  <c r="AB364" i="9"/>
  <c r="V364" i="9"/>
  <c r="U364" i="9"/>
  <c r="P364" i="9"/>
  <c r="O364" i="9"/>
  <c r="N364" i="9"/>
  <c r="M364" i="9"/>
  <c r="L364" i="9"/>
  <c r="K364" i="9"/>
  <c r="S364" i="9" s="1"/>
  <c r="J364" i="9"/>
  <c r="I364" i="9"/>
  <c r="H364" i="9"/>
  <c r="G364" i="9"/>
  <c r="F364" i="9"/>
  <c r="E364" i="9"/>
  <c r="D364" i="9"/>
  <c r="C364" i="9"/>
  <c r="AB363" i="9"/>
  <c r="V363" i="9"/>
  <c r="U363" i="9"/>
  <c r="P363" i="9"/>
  <c r="O363" i="9"/>
  <c r="N363" i="9"/>
  <c r="M363" i="9"/>
  <c r="L363" i="9"/>
  <c r="K363" i="9"/>
  <c r="S363" i="9" s="1"/>
  <c r="J363" i="9"/>
  <c r="I363" i="9"/>
  <c r="H363" i="9"/>
  <c r="G363" i="9"/>
  <c r="F363" i="9"/>
  <c r="E363" i="9"/>
  <c r="D363" i="9"/>
  <c r="C363" i="9"/>
  <c r="AB362" i="9"/>
  <c r="V362" i="9"/>
  <c r="U362" i="9"/>
  <c r="P362" i="9"/>
  <c r="O362" i="9"/>
  <c r="N362" i="9"/>
  <c r="M362" i="9"/>
  <c r="L362" i="9"/>
  <c r="K362" i="9"/>
  <c r="S362" i="9" s="1"/>
  <c r="J362" i="9"/>
  <c r="I362" i="9"/>
  <c r="H362" i="9"/>
  <c r="G362" i="9"/>
  <c r="F362" i="9"/>
  <c r="E362" i="9"/>
  <c r="D362" i="9"/>
  <c r="C362" i="9"/>
  <c r="AB361" i="9"/>
  <c r="V361" i="9"/>
  <c r="U361" i="9"/>
  <c r="P361" i="9"/>
  <c r="O361" i="9"/>
  <c r="N361" i="9"/>
  <c r="M361" i="9"/>
  <c r="L361" i="9"/>
  <c r="K361" i="9"/>
  <c r="S361" i="9" s="1"/>
  <c r="J361" i="9"/>
  <c r="I361" i="9"/>
  <c r="H361" i="9"/>
  <c r="G361" i="9"/>
  <c r="F361" i="9"/>
  <c r="E361" i="9"/>
  <c r="D361" i="9"/>
  <c r="C361" i="9"/>
  <c r="AB360" i="9"/>
  <c r="V360" i="9"/>
  <c r="U360" i="9"/>
  <c r="P360" i="9"/>
  <c r="O360" i="9"/>
  <c r="N360" i="9"/>
  <c r="M360" i="9"/>
  <c r="L360" i="9"/>
  <c r="K360" i="9"/>
  <c r="S360" i="9" s="1"/>
  <c r="J360" i="9"/>
  <c r="I360" i="9"/>
  <c r="H360" i="9"/>
  <c r="G360" i="9"/>
  <c r="F360" i="9"/>
  <c r="E360" i="9"/>
  <c r="D360" i="9"/>
  <c r="C360" i="9"/>
  <c r="AB359" i="9"/>
  <c r="V359" i="9"/>
  <c r="U359" i="9"/>
  <c r="P359" i="9"/>
  <c r="O359" i="9"/>
  <c r="N359" i="9"/>
  <c r="M359" i="9"/>
  <c r="L359" i="9"/>
  <c r="K359" i="9"/>
  <c r="S359" i="9" s="1"/>
  <c r="J359" i="9"/>
  <c r="I359" i="9"/>
  <c r="H359" i="9"/>
  <c r="G359" i="9"/>
  <c r="F359" i="9"/>
  <c r="E359" i="9"/>
  <c r="D359" i="9"/>
  <c r="C359" i="9"/>
  <c r="AB357" i="9"/>
  <c r="V357" i="9"/>
  <c r="U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AB356" i="9"/>
  <c r="V356" i="9"/>
  <c r="U356" i="9"/>
  <c r="P356" i="9"/>
  <c r="O356" i="9"/>
  <c r="N356" i="9"/>
  <c r="M356" i="9"/>
  <c r="L356" i="9"/>
  <c r="K356" i="9"/>
  <c r="S356" i="9" s="1"/>
  <c r="J356" i="9"/>
  <c r="I356" i="9"/>
  <c r="H356" i="9"/>
  <c r="G356" i="9"/>
  <c r="F356" i="9"/>
  <c r="E356" i="9"/>
  <c r="D356" i="9"/>
  <c r="C356" i="9"/>
  <c r="AB355" i="9"/>
  <c r="V355" i="9"/>
  <c r="U355" i="9"/>
  <c r="P355" i="9"/>
  <c r="O355" i="9"/>
  <c r="N355" i="9"/>
  <c r="M355" i="9"/>
  <c r="L355" i="9"/>
  <c r="K355" i="9"/>
  <c r="S355" i="9" s="1"/>
  <c r="J355" i="9"/>
  <c r="I355" i="9"/>
  <c r="H355" i="9"/>
  <c r="G355" i="9"/>
  <c r="F355" i="9"/>
  <c r="E355" i="9"/>
  <c r="D355" i="9"/>
  <c r="C355" i="9"/>
  <c r="AB354" i="9"/>
  <c r="V354" i="9"/>
  <c r="U354" i="9"/>
  <c r="P354" i="9"/>
  <c r="O354" i="9"/>
  <c r="N354" i="9"/>
  <c r="M354" i="9"/>
  <c r="L354" i="9"/>
  <c r="K354" i="9"/>
  <c r="S354" i="9" s="1"/>
  <c r="J354" i="9"/>
  <c r="I354" i="9"/>
  <c r="H354" i="9"/>
  <c r="G354" i="9"/>
  <c r="F354" i="9"/>
  <c r="E354" i="9"/>
  <c r="D354" i="9"/>
  <c r="C354" i="9"/>
  <c r="AB353" i="9"/>
  <c r="V353" i="9"/>
  <c r="U353" i="9"/>
  <c r="P353" i="9"/>
  <c r="O353" i="9"/>
  <c r="N353" i="9"/>
  <c r="M353" i="9"/>
  <c r="L353" i="9"/>
  <c r="K353" i="9"/>
  <c r="S353" i="9" s="1"/>
  <c r="J353" i="9"/>
  <c r="I353" i="9"/>
  <c r="H353" i="9"/>
  <c r="G353" i="9"/>
  <c r="F353" i="9"/>
  <c r="E353" i="9"/>
  <c r="D353" i="9"/>
  <c r="C353" i="9"/>
  <c r="AB352" i="9"/>
  <c r="V352" i="9"/>
  <c r="U352" i="9"/>
  <c r="P352" i="9"/>
  <c r="O352" i="9"/>
  <c r="N352" i="9"/>
  <c r="M352" i="9"/>
  <c r="L352" i="9"/>
  <c r="K352" i="9"/>
  <c r="S352" i="9" s="1"/>
  <c r="J352" i="9"/>
  <c r="I352" i="9"/>
  <c r="H352" i="9"/>
  <c r="G352" i="9"/>
  <c r="F352" i="9"/>
  <c r="E352" i="9"/>
  <c r="D352" i="9"/>
  <c r="C352" i="9"/>
  <c r="AB351" i="9"/>
  <c r="V351" i="9"/>
  <c r="U351" i="9"/>
  <c r="P351" i="9"/>
  <c r="O351" i="9"/>
  <c r="N351" i="9"/>
  <c r="M351" i="9"/>
  <c r="L351" i="9"/>
  <c r="K351" i="9"/>
  <c r="S351" i="9" s="1"/>
  <c r="J351" i="9"/>
  <c r="I351" i="9"/>
  <c r="H351" i="9"/>
  <c r="G351" i="9"/>
  <c r="F351" i="9"/>
  <c r="E351" i="9"/>
  <c r="D351" i="9"/>
  <c r="C351" i="9"/>
  <c r="AB350" i="9"/>
  <c r="V350" i="9"/>
  <c r="U350" i="9"/>
  <c r="P350" i="9"/>
  <c r="O350" i="9"/>
  <c r="N350" i="9"/>
  <c r="M350" i="9"/>
  <c r="L350" i="9"/>
  <c r="K350" i="9"/>
  <c r="S350" i="9" s="1"/>
  <c r="J350" i="9"/>
  <c r="I350" i="9"/>
  <c r="H350" i="9"/>
  <c r="G350" i="9"/>
  <c r="F350" i="9"/>
  <c r="E350" i="9"/>
  <c r="D350" i="9"/>
  <c r="C350" i="9"/>
  <c r="AB349" i="9"/>
  <c r="V349" i="9"/>
  <c r="U349" i="9"/>
  <c r="P349" i="9"/>
  <c r="O349" i="9"/>
  <c r="N349" i="9"/>
  <c r="M349" i="9"/>
  <c r="L349" i="9"/>
  <c r="K349" i="9"/>
  <c r="S349" i="9" s="1"/>
  <c r="J349" i="9"/>
  <c r="I349" i="9"/>
  <c r="H349" i="9"/>
  <c r="G349" i="9"/>
  <c r="F349" i="9"/>
  <c r="E349" i="9"/>
  <c r="D349" i="9"/>
  <c r="C349" i="9"/>
  <c r="AB348" i="9"/>
  <c r="V348" i="9"/>
  <c r="U348" i="9"/>
  <c r="P348" i="9"/>
  <c r="O348" i="9"/>
  <c r="N348" i="9"/>
  <c r="M348" i="9"/>
  <c r="L348" i="9"/>
  <c r="K348" i="9"/>
  <c r="S348" i="9" s="1"/>
  <c r="J348" i="9"/>
  <c r="I348" i="9"/>
  <c r="H348" i="9"/>
  <c r="G348" i="9"/>
  <c r="F348" i="9"/>
  <c r="E348" i="9"/>
  <c r="D348" i="9"/>
  <c r="C348" i="9"/>
  <c r="AB347" i="9"/>
  <c r="V347" i="9"/>
  <c r="U347" i="9"/>
  <c r="P347" i="9"/>
  <c r="O347" i="9"/>
  <c r="N347" i="9"/>
  <c r="M347" i="9"/>
  <c r="L347" i="9"/>
  <c r="K347" i="9"/>
  <c r="S347" i="9" s="1"/>
  <c r="J347" i="9"/>
  <c r="I347" i="9"/>
  <c r="H347" i="9"/>
  <c r="G347" i="9"/>
  <c r="F347" i="9"/>
  <c r="E347" i="9"/>
  <c r="D347" i="9"/>
  <c r="C347" i="9"/>
  <c r="AB346" i="9"/>
  <c r="V346" i="9"/>
  <c r="U346" i="9"/>
  <c r="P346" i="9"/>
  <c r="O346" i="9"/>
  <c r="N346" i="9"/>
  <c r="M346" i="9"/>
  <c r="L346" i="9"/>
  <c r="K346" i="9"/>
  <c r="S346" i="9" s="1"/>
  <c r="J346" i="9"/>
  <c r="I346" i="9"/>
  <c r="H346" i="9"/>
  <c r="G346" i="9"/>
  <c r="F346" i="9"/>
  <c r="E346" i="9"/>
  <c r="D346" i="9"/>
  <c r="C346" i="9"/>
  <c r="AB345" i="9"/>
  <c r="V345" i="9"/>
  <c r="U345" i="9"/>
  <c r="P345" i="9"/>
  <c r="O345" i="9"/>
  <c r="N345" i="9"/>
  <c r="M345" i="9"/>
  <c r="L345" i="9"/>
  <c r="K345" i="9"/>
  <c r="S345" i="9" s="1"/>
  <c r="J345" i="9"/>
  <c r="I345" i="9"/>
  <c r="H345" i="9"/>
  <c r="G345" i="9"/>
  <c r="F345" i="9"/>
  <c r="E345" i="9"/>
  <c r="D345" i="9"/>
  <c r="C345" i="9"/>
  <c r="AB344" i="9"/>
  <c r="V344" i="9"/>
  <c r="U344" i="9"/>
  <c r="P344" i="9"/>
  <c r="O344" i="9"/>
  <c r="N344" i="9"/>
  <c r="M344" i="9"/>
  <c r="L344" i="9"/>
  <c r="K344" i="9"/>
  <c r="S344" i="9" s="1"/>
  <c r="J344" i="9"/>
  <c r="I344" i="9"/>
  <c r="H344" i="9"/>
  <c r="G344" i="9"/>
  <c r="F344" i="9"/>
  <c r="E344" i="9"/>
  <c r="D344" i="9"/>
  <c r="C344" i="9"/>
  <c r="AB343" i="9"/>
  <c r="V343" i="9"/>
  <c r="U343" i="9"/>
  <c r="P343" i="9"/>
  <c r="O343" i="9"/>
  <c r="N343" i="9"/>
  <c r="M343" i="9"/>
  <c r="L343" i="9"/>
  <c r="K343" i="9"/>
  <c r="S343" i="9" s="1"/>
  <c r="J343" i="9"/>
  <c r="I343" i="9"/>
  <c r="H343" i="9"/>
  <c r="G343" i="9"/>
  <c r="F343" i="9"/>
  <c r="E343" i="9"/>
  <c r="D343" i="9"/>
  <c r="C343" i="9"/>
  <c r="AB342" i="9"/>
  <c r="V342" i="9"/>
  <c r="U342" i="9"/>
  <c r="P342" i="9"/>
  <c r="O342" i="9"/>
  <c r="N342" i="9"/>
  <c r="M342" i="9"/>
  <c r="L342" i="9"/>
  <c r="K342" i="9"/>
  <c r="S342" i="9" s="1"/>
  <c r="J342" i="9"/>
  <c r="I342" i="9"/>
  <c r="H342" i="9"/>
  <c r="G342" i="9"/>
  <c r="F342" i="9"/>
  <c r="E342" i="9"/>
  <c r="D342" i="9"/>
  <c r="C342" i="9"/>
  <c r="AB341" i="9"/>
  <c r="V341" i="9"/>
  <c r="U341" i="9"/>
  <c r="P341" i="9"/>
  <c r="O341" i="9"/>
  <c r="N341" i="9"/>
  <c r="M341" i="9"/>
  <c r="L341" i="9"/>
  <c r="K341" i="9"/>
  <c r="S341" i="9" s="1"/>
  <c r="J341" i="9"/>
  <c r="I341" i="9"/>
  <c r="H341" i="9"/>
  <c r="G341" i="9"/>
  <c r="F341" i="9"/>
  <c r="E341" i="9"/>
  <c r="D341" i="9"/>
  <c r="C341" i="9"/>
  <c r="AB340" i="9"/>
  <c r="V340" i="9"/>
  <c r="U340" i="9"/>
  <c r="P340" i="9"/>
  <c r="O340" i="9"/>
  <c r="N340" i="9"/>
  <c r="M340" i="9"/>
  <c r="L340" i="9"/>
  <c r="K340" i="9"/>
  <c r="S340" i="9" s="1"/>
  <c r="J340" i="9"/>
  <c r="I340" i="9"/>
  <c r="H340" i="9"/>
  <c r="G340" i="9"/>
  <c r="F340" i="9"/>
  <c r="E340" i="9"/>
  <c r="D340" i="9"/>
  <c r="C340" i="9"/>
  <c r="AB339" i="9"/>
  <c r="V339" i="9"/>
  <c r="U339" i="9"/>
  <c r="P339" i="9"/>
  <c r="O339" i="9"/>
  <c r="N339" i="9"/>
  <c r="M339" i="9"/>
  <c r="L339" i="9"/>
  <c r="K339" i="9"/>
  <c r="S339" i="9" s="1"/>
  <c r="J339" i="9"/>
  <c r="I339" i="9"/>
  <c r="H339" i="9"/>
  <c r="G339" i="9"/>
  <c r="F339" i="9"/>
  <c r="E339" i="9"/>
  <c r="D339" i="9"/>
  <c r="C339" i="9"/>
  <c r="AB338" i="9"/>
  <c r="V338" i="9"/>
  <c r="U338" i="9"/>
  <c r="P338" i="9"/>
  <c r="O338" i="9"/>
  <c r="N338" i="9"/>
  <c r="M338" i="9"/>
  <c r="L338" i="9"/>
  <c r="K338" i="9"/>
  <c r="S338" i="9" s="1"/>
  <c r="J338" i="9"/>
  <c r="I338" i="9"/>
  <c r="H338" i="9"/>
  <c r="G338" i="9"/>
  <c r="F338" i="9"/>
  <c r="E338" i="9"/>
  <c r="D338" i="9"/>
  <c r="C338" i="9"/>
  <c r="AB337" i="9"/>
  <c r="V337" i="9"/>
  <c r="U337" i="9"/>
  <c r="P337" i="9"/>
  <c r="O337" i="9"/>
  <c r="N337" i="9"/>
  <c r="M337" i="9"/>
  <c r="L337" i="9"/>
  <c r="K337" i="9"/>
  <c r="S337" i="9" s="1"/>
  <c r="J337" i="9"/>
  <c r="I337" i="9"/>
  <c r="H337" i="9"/>
  <c r="G337" i="9"/>
  <c r="F337" i="9"/>
  <c r="E337" i="9"/>
  <c r="D337" i="9"/>
  <c r="C337" i="9"/>
  <c r="AB336" i="9"/>
  <c r="V336" i="9"/>
  <c r="U336" i="9"/>
  <c r="P336" i="9"/>
  <c r="O336" i="9"/>
  <c r="N336" i="9"/>
  <c r="M336" i="9"/>
  <c r="L336" i="9"/>
  <c r="K336" i="9"/>
  <c r="S336" i="9" s="1"/>
  <c r="J336" i="9"/>
  <c r="I336" i="9"/>
  <c r="H336" i="9"/>
  <c r="G336" i="9"/>
  <c r="F336" i="9"/>
  <c r="E336" i="9"/>
  <c r="D336" i="9"/>
  <c r="C336" i="9"/>
  <c r="AB335" i="9"/>
  <c r="V335" i="9"/>
  <c r="U335" i="9"/>
  <c r="P335" i="9"/>
  <c r="O335" i="9"/>
  <c r="N335" i="9"/>
  <c r="M335" i="9"/>
  <c r="L335" i="9"/>
  <c r="K335" i="9"/>
  <c r="S335" i="9" s="1"/>
  <c r="J335" i="9"/>
  <c r="I335" i="9"/>
  <c r="H335" i="9"/>
  <c r="G335" i="9"/>
  <c r="F335" i="9"/>
  <c r="E335" i="9"/>
  <c r="D335" i="9"/>
  <c r="C335" i="9"/>
  <c r="AB334" i="9"/>
  <c r="V334" i="9"/>
  <c r="U334" i="9"/>
  <c r="P334" i="9"/>
  <c r="O334" i="9"/>
  <c r="N334" i="9"/>
  <c r="M334" i="9"/>
  <c r="L334" i="9"/>
  <c r="K334" i="9"/>
  <c r="S334" i="9" s="1"/>
  <c r="J334" i="9"/>
  <c r="I334" i="9"/>
  <c r="H334" i="9"/>
  <c r="G334" i="9"/>
  <c r="F334" i="9"/>
  <c r="E334" i="9"/>
  <c r="D334" i="9"/>
  <c r="C334" i="9"/>
  <c r="AB333" i="9"/>
  <c r="V333" i="9"/>
  <c r="U333" i="9"/>
  <c r="P333" i="9"/>
  <c r="O333" i="9"/>
  <c r="N333" i="9"/>
  <c r="M333" i="9"/>
  <c r="L333" i="9"/>
  <c r="K333" i="9"/>
  <c r="S333" i="9" s="1"/>
  <c r="J333" i="9"/>
  <c r="I333" i="9"/>
  <c r="H333" i="9"/>
  <c r="G333" i="9"/>
  <c r="F333" i="9"/>
  <c r="E333" i="9"/>
  <c r="D333" i="9"/>
  <c r="C333" i="9"/>
  <c r="AB332" i="9"/>
  <c r="V332" i="9"/>
  <c r="U332" i="9"/>
  <c r="P332" i="9"/>
  <c r="O332" i="9"/>
  <c r="N332" i="9"/>
  <c r="M332" i="9"/>
  <c r="L332" i="9"/>
  <c r="K332" i="9"/>
  <c r="S332" i="9" s="1"/>
  <c r="J332" i="9"/>
  <c r="I332" i="9"/>
  <c r="H332" i="9"/>
  <c r="G332" i="9"/>
  <c r="F332" i="9"/>
  <c r="E332" i="9"/>
  <c r="D332" i="9"/>
  <c r="C332" i="9"/>
  <c r="AB331" i="9"/>
  <c r="V331" i="9"/>
  <c r="U331" i="9"/>
  <c r="P331" i="9"/>
  <c r="O331" i="9"/>
  <c r="N331" i="9"/>
  <c r="M331" i="9"/>
  <c r="L331" i="9"/>
  <c r="K331" i="9"/>
  <c r="S331" i="9" s="1"/>
  <c r="J331" i="9"/>
  <c r="I331" i="9"/>
  <c r="H331" i="9"/>
  <c r="G331" i="9"/>
  <c r="F331" i="9"/>
  <c r="E331" i="9"/>
  <c r="D331" i="9"/>
  <c r="C331" i="9"/>
  <c r="AB330" i="9"/>
  <c r="V330" i="9"/>
  <c r="U330" i="9"/>
  <c r="P330" i="9"/>
  <c r="O330" i="9"/>
  <c r="N330" i="9"/>
  <c r="M330" i="9"/>
  <c r="L330" i="9"/>
  <c r="K330" i="9"/>
  <c r="S330" i="9" s="1"/>
  <c r="J330" i="9"/>
  <c r="I330" i="9"/>
  <c r="H330" i="9"/>
  <c r="G330" i="9"/>
  <c r="F330" i="9"/>
  <c r="E330" i="9"/>
  <c r="D330" i="9"/>
  <c r="C330" i="9"/>
  <c r="AB329" i="9"/>
  <c r="V329" i="9"/>
  <c r="U329" i="9"/>
  <c r="P329" i="9"/>
  <c r="O329" i="9"/>
  <c r="N329" i="9"/>
  <c r="M329" i="9"/>
  <c r="L329" i="9"/>
  <c r="K329" i="9"/>
  <c r="S329" i="9" s="1"/>
  <c r="J329" i="9"/>
  <c r="I329" i="9"/>
  <c r="H329" i="9"/>
  <c r="G329" i="9"/>
  <c r="F329" i="9"/>
  <c r="E329" i="9"/>
  <c r="D329" i="9"/>
  <c r="C329" i="9"/>
  <c r="AB328" i="9"/>
  <c r="V328" i="9"/>
  <c r="U328" i="9"/>
  <c r="P328" i="9"/>
  <c r="O328" i="9"/>
  <c r="N328" i="9"/>
  <c r="M328" i="9"/>
  <c r="L328" i="9"/>
  <c r="K328" i="9"/>
  <c r="S328" i="9" s="1"/>
  <c r="J328" i="9"/>
  <c r="I328" i="9"/>
  <c r="H328" i="9"/>
  <c r="G328" i="9"/>
  <c r="F328" i="9"/>
  <c r="E328" i="9"/>
  <c r="D328" i="9"/>
  <c r="C328" i="9"/>
  <c r="AB327" i="9"/>
  <c r="V327" i="9"/>
  <c r="U327" i="9"/>
  <c r="P327" i="9"/>
  <c r="O327" i="9"/>
  <c r="N327" i="9"/>
  <c r="M327" i="9"/>
  <c r="L327" i="9"/>
  <c r="K327" i="9"/>
  <c r="S327" i="9" s="1"/>
  <c r="J327" i="9"/>
  <c r="I327" i="9"/>
  <c r="H327" i="9"/>
  <c r="G327" i="9"/>
  <c r="F327" i="9"/>
  <c r="E327" i="9"/>
  <c r="D327" i="9"/>
  <c r="C327" i="9"/>
  <c r="AB326" i="9"/>
  <c r="V326" i="9"/>
  <c r="U326" i="9"/>
  <c r="P326" i="9"/>
  <c r="O326" i="9"/>
  <c r="N326" i="9"/>
  <c r="M326" i="9"/>
  <c r="L326" i="9"/>
  <c r="K326" i="9"/>
  <c r="S326" i="9" s="1"/>
  <c r="J326" i="9"/>
  <c r="I326" i="9"/>
  <c r="H326" i="9"/>
  <c r="G326" i="9"/>
  <c r="F326" i="9"/>
  <c r="E326" i="9"/>
  <c r="D326" i="9"/>
  <c r="C326" i="9"/>
  <c r="AB325" i="9"/>
  <c r="V325" i="9"/>
  <c r="U325" i="9"/>
  <c r="P325" i="9"/>
  <c r="O325" i="9"/>
  <c r="N325" i="9"/>
  <c r="M325" i="9"/>
  <c r="L325" i="9"/>
  <c r="K325" i="9"/>
  <c r="S325" i="9" s="1"/>
  <c r="J325" i="9"/>
  <c r="I325" i="9"/>
  <c r="H325" i="9"/>
  <c r="G325" i="9"/>
  <c r="F325" i="9"/>
  <c r="E325" i="9"/>
  <c r="D325" i="9"/>
  <c r="C325" i="9"/>
  <c r="Q288" i="11"/>
  <c r="K288" i="11"/>
  <c r="J288" i="11"/>
  <c r="I288" i="11"/>
  <c r="H288" i="11"/>
  <c r="G288" i="11"/>
  <c r="F288" i="11"/>
  <c r="E288" i="11"/>
  <c r="D288" i="11"/>
  <c r="C288" i="11"/>
  <c r="B288" i="11"/>
  <c r="Q287" i="11"/>
  <c r="K287" i="11"/>
  <c r="J287" i="11"/>
  <c r="I287" i="11"/>
  <c r="H287" i="11"/>
  <c r="G287" i="11"/>
  <c r="F287" i="11"/>
  <c r="E287" i="11"/>
  <c r="D287" i="11"/>
  <c r="C287" i="11"/>
  <c r="B287" i="11"/>
  <c r="Q286" i="11"/>
  <c r="K286" i="11"/>
  <c r="J286" i="11"/>
  <c r="I286" i="11"/>
  <c r="H286" i="11"/>
  <c r="G286" i="11"/>
  <c r="F286" i="11"/>
  <c r="E286" i="11"/>
  <c r="D286" i="11"/>
  <c r="C286" i="11"/>
  <c r="B286" i="11"/>
  <c r="Q227" i="11"/>
  <c r="K227" i="11"/>
  <c r="J227" i="11"/>
  <c r="I227" i="11"/>
  <c r="H227" i="11"/>
  <c r="G227" i="11"/>
  <c r="F227" i="11"/>
  <c r="E227" i="11"/>
  <c r="D227" i="11"/>
  <c r="C227" i="11"/>
  <c r="B227" i="11"/>
  <c r="Q226" i="11"/>
  <c r="K226" i="11"/>
  <c r="J226" i="11"/>
  <c r="I226" i="11"/>
  <c r="H226" i="11"/>
  <c r="G226" i="11"/>
  <c r="F226" i="11"/>
  <c r="E226" i="11"/>
  <c r="D226" i="11"/>
  <c r="C226" i="11"/>
  <c r="B226" i="11"/>
  <c r="Q225" i="11"/>
  <c r="K225" i="11"/>
  <c r="J225" i="11"/>
  <c r="I225" i="11"/>
  <c r="H225" i="11"/>
  <c r="G225" i="11"/>
  <c r="F225" i="11"/>
  <c r="E225" i="11"/>
  <c r="D225" i="11"/>
  <c r="C225" i="11"/>
  <c r="B225" i="11"/>
  <c r="Q224" i="11"/>
  <c r="K224" i="11"/>
  <c r="J224" i="11"/>
  <c r="I224" i="11"/>
  <c r="H224" i="11"/>
  <c r="G224" i="11"/>
  <c r="F224" i="11"/>
  <c r="E224" i="11"/>
  <c r="D224" i="11"/>
  <c r="C224" i="11"/>
  <c r="B224" i="11"/>
  <c r="Q223" i="11"/>
  <c r="K223" i="11"/>
  <c r="J223" i="11"/>
  <c r="I223" i="11"/>
  <c r="H223" i="11"/>
  <c r="G223" i="11"/>
  <c r="F223" i="11"/>
  <c r="E223" i="11"/>
  <c r="D223" i="11"/>
  <c r="C223" i="11"/>
  <c r="B223" i="11"/>
  <c r="Q222" i="11"/>
  <c r="K222" i="11"/>
  <c r="J222" i="11"/>
  <c r="I222" i="11"/>
  <c r="H222" i="11"/>
  <c r="G222" i="11"/>
  <c r="F222" i="11"/>
  <c r="E222" i="11"/>
  <c r="D222" i="11"/>
  <c r="C222" i="11"/>
  <c r="B222" i="11"/>
  <c r="Q221" i="11"/>
  <c r="K221" i="11"/>
  <c r="J221" i="11"/>
  <c r="I221" i="11"/>
  <c r="H221" i="11"/>
  <c r="G221" i="11"/>
  <c r="F221" i="11"/>
  <c r="E221" i="11"/>
  <c r="D221" i="11"/>
  <c r="C221" i="11"/>
  <c r="B221" i="11"/>
  <c r="Q220" i="11"/>
  <c r="K220" i="11"/>
  <c r="J220" i="11"/>
  <c r="I220" i="11"/>
  <c r="H220" i="11"/>
  <c r="G220" i="11"/>
  <c r="F220" i="11"/>
  <c r="E220" i="11"/>
  <c r="D220" i="11"/>
  <c r="C220" i="11"/>
  <c r="B220" i="11"/>
  <c r="Q219" i="11"/>
  <c r="K219" i="11"/>
  <c r="J219" i="11"/>
  <c r="I219" i="11"/>
  <c r="H219" i="11"/>
  <c r="G219" i="11"/>
  <c r="F219" i="11"/>
  <c r="E219" i="11"/>
  <c r="D219" i="11"/>
  <c r="C219" i="11"/>
  <c r="B219" i="11"/>
  <c r="Q218" i="11"/>
  <c r="K218" i="11"/>
  <c r="J218" i="11"/>
  <c r="I218" i="11"/>
  <c r="H218" i="11"/>
  <c r="G218" i="11"/>
  <c r="F218" i="11"/>
  <c r="E218" i="11"/>
  <c r="D218" i="11"/>
  <c r="C218" i="11"/>
  <c r="B218" i="11"/>
  <c r="Q217" i="11"/>
  <c r="K217" i="11"/>
  <c r="J217" i="11"/>
  <c r="I217" i="11"/>
  <c r="H217" i="11"/>
  <c r="G217" i="11"/>
  <c r="F217" i="11"/>
  <c r="E217" i="11"/>
  <c r="D217" i="11"/>
  <c r="C217" i="11"/>
  <c r="B217" i="11"/>
  <c r="Q216" i="11"/>
  <c r="K216" i="11"/>
  <c r="J216" i="11"/>
  <c r="I216" i="11"/>
  <c r="H216" i="11"/>
  <c r="G216" i="11"/>
  <c r="F216" i="11"/>
  <c r="E216" i="11"/>
  <c r="D216" i="11"/>
  <c r="C216" i="11"/>
  <c r="B216" i="11"/>
  <c r="Q215" i="11"/>
  <c r="K215" i="11"/>
  <c r="J215" i="11"/>
  <c r="I215" i="11"/>
  <c r="H215" i="11"/>
  <c r="G215" i="11"/>
  <c r="F215" i="11"/>
  <c r="E215" i="11"/>
  <c r="D215" i="11"/>
  <c r="C215" i="11"/>
  <c r="B215" i="11"/>
  <c r="Q214" i="11"/>
  <c r="K214" i="11"/>
  <c r="J214" i="11"/>
  <c r="I214" i="11"/>
  <c r="H214" i="11"/>
  <c r="G214" i="11"/>
  <c r="F214" i="11"/>
  <c r="E214" i="11"/>
  <c r="D214" i="11"/>
  <c r="C214" i="11"/>
  <c r="B214" i="11"/>
  <c r="Q213" i="11"/>
  <c r="K213" i="11"/>
  <c r="J213" i="11"/>
  <c r="I213" i="11"/>
  <c r="H213" i="11"/>
  <c r="G213" i="11"/>
  <c r="F213" i="11"/>
  <c r="E213" i="11"/>
  <c r="D213" i="11"/>
  <c r="C213" i="11"/>
  <c r="B213" i="11"/>
  <c r="Q212" i="11"/>
  <c r="K212" i="11"/>
  <c r="J212" i="11"/>
  <c r="I212" i="11"/>
  <c r="H212" i="11"/>
  <c r="G212" i="11"/>
  <c r="F212" i="11"/>
  <c r="E212" i="11"/>
  <c r="D212" i="11"/>
  <c r="C212" i="11"/>
  <c r="B212" i="11"/>
  <c r="Q211" i="11"/>
  <c r="K211" i="11"/>
  <c r="J211" i="11"/>
  <c r="I211" i="11"/>
  <c r="H211" i="11"/>
  <c r="G211" i="11"/>
  <c r="F211" i="11"/>
  <c r="E211" i="11"/>
  <c r="D211" i="11"/>
  <c r="C211" i="11"/>
  <c r="B211" i="11"/>
  <c r="Q210" i="11"/>
  <c r="K210" i="11"/>
  <c r="J210" i="11"/>
  <c r="I210" i="11"/>
  <c r="H210" i="11"/>
  <c r="G210" i="11"/>
  <c r="F210" i="11"/>
  <c r="E210" i="11"/>
  <c r="D210" i="11"/>
  <c r="C210" i="11"/>
  <c r="B210" i="11"/>
  <c r="Q209" i="11"/>
  <c r="K209" i="11"/>
  <c r="J209" i="11"/>
  <c r="I209" i="11"/>
  <c r="H209" i="11"/>
  <c r="G209" i="11"/>
  <c r="F209" i="11"/>
  <c r="E209" i="11"/>
  <c r="D209" i="11"/>
  <c r="C209" i="11"/>
  <c r="B209" i="11"/>
  <c r="Q208" i="11"/>
  <c r="K208" i="11"/>
  <c r="J208" i="11"/>
  <c r="I208" i="11"/>
  <c r="H208" i="11"/>
  <c r="G208" i="11"/>
  <c r="F208" i="11"/>
  <c r="E208" i="11"/>
  <c r="D208" i="11"/>
  <c r="C208" i="11"/>
  <c r="B208" i="11"/>
  <c r="Q207" i="11"/>
  <c r="K207" i="11"/>
  <c r="J207" i="11"/>
  <c r="I207" i="11"/>
  <c r="H207" i="11"/>
  <c r="G207" i="11"/>
  <c r="F207" i="11"/>
  <c r="E207" i="11"/>
  <c r="D207" i="11"/>
  <c r="C207" i="11"/>
  <c r="B207" i="11"/>
  <c r="Q206" i="11"/>
  <c r="K206" i="11"/>
  <c r="J206" i="11"/>
  <c r="I206" i="11"/>
  <c r="H206" i="11"/>
  <c r="G206" i="11"/>
  <c r="F206" i="11"/>
  <c r="E206" i="11"/>
  <c r="D206" i="11"/>
  <c r="C206" i="11"/>
  <c r="B206" i="11"/>
  <c r="Q205" i="11"/>
  <c r="K205" i="11"/>
  <c r="J205" i="11"/>
  <c r="I205" i="11"/>
  <c r="H205" i="11"/>
  <c r="G205" i="11"/>
  <c r="F205" i="11"/>
  <c r="E205" i="11"/>
  <c r="D205" i="11"/>
  <c r="C205" i="11"/>
  <c r="B205" i="11"/>
  <c r="Q204" i="11"/>
  <c r="K204" i="11"/>
  <c r="J204" i="11"/>
  <c r="I204" i="11"/>
  <c r="H204" i="11"/>
  <c r="G204" i="11"/>
  <c r="F204" i="11"/>
  <c r="E204" i="11"/>
  <c r="D204" i="11"/>
  <c r="C204" i="11"/>
  <c r="B204" i="11"/>
  <c r="Q203" i="11"/>
  <c r="K203" i="11"/>
  <c r="J203" i="11"/>
  <c r="I203" i="11"/>
  <c r="H203" i="11"/>
  <c r="G203" i="11"/>
  <c r="F203" i="11"/>
  <c r="E203" i="11"/>
  <c r="D203" i="11"/>
  <c r="C203" i="11"/>
  <c r="B203" i="11"/>
  <c r="Q202" i="11"/>
  <c r="K202" i="11"/>
  <c r="J202" i="11"/>
  <c r="I202" i="11"/>
  <c r="H202" i="11"/>
  <c r="G202" i="11"/>
  <c r="F202" i="11"/>
  <c r="E202" i="11"/>
  <c r="D202" i="11"/>
  <c r="C202" i="11"/>
  <c r="B202" i="11"/>
  <c r="Q201" i="11"/>
  <c r="K201" i="11"/>
  <c r="J201" i="11"/>
  <c r="I201" i="11"/>
  <c r="H201" i="11"/>
  <c r="G201" i="11"/>
  <c r="F201" i="11"/>
  <c r="E201" i="11"/>
  <c r="D201" i="11"/>
  <c r="C201" i="11"/>
  <c r="B201" i="11"/>
  <c r="Q200" i="11"/>
  <c r="K200" i="11"/>
  <c r="J200" i="11"/>
  <c r="I200" i="11"/>
  <c r="H200" i="11"/>
  <c r="G200" i="11"/>
  <c r="F200" i="11"/>
  <c r="E200" i="11"/>
  <c r="D200" i="11"/>
  <c r="C200" i="11"/>
  <c r="B200" i="11"/>
  <c r="Q199" i="11"/>
  <c r="K199" i="11"/>
  <c r="J199" i="11"/>
  <c r="I199" i="11"/>
  <c r="H199" i="11"/>
  <c r="G199" i="11"/>
  <c r="F199" i="11"/>
  <c r="E199" i="11"/>
  <c r="D199" i="11"/>
  <c r="C199" i="11"/>
  <c r="B199" i="11"/>
  <c r="Q198" i="11"/>
  <c r="K198" i="11"/>
  <c r="J198" i="11"/>
  <c r="I198" i="11"/>
  <c r="H198" i="11"/>
  <c r="G198" i="11"/>
  <c r="F198" i="11"/>
  <c r="E198" i="11"/>
  <c r="D198" i="11"/>
  <c r="C198" i="11"/>
  <c r="B198" i="11"/>
  <c r="Q197" i="11"/>
  <c r="K197" i="11"/>
  <c r="J197" i="11"/>
  <c r="I197" i="11"/>
  <c r="H197" i="11"/>
  <c r="G197" i="11"/>
  <c r="F197" i="11"/>
  <c r="E197" i="11"/>
  <c r="D197" i="11"/>
  <c r="C197" i="11"/>
  <c r="B197" i="11"/>
  <c r="Q196" i="11"/>
  <c r="K196" i="11"/>
  <c r="J196" i="11"/>
  <c r="I196" i="11"/>
  <c r="H196" i="11"/>
  <c r="G196" i="11"/>
  <c r="F196" i="11"/>
  <c r="E196" i="11"/>
  <c r="D196" i="11"/>
  <c r="C196" i="11"/>
  <c r="B196" i="11"/>
  <c r="Q195" i="11"/>
  <c r="K195" i="11"/>
  <c r="J195" i="11"/>
  <c r="I195" i="11"/>
  <c r="H195" i="11"/>
  <c r="G195" i="11"/>
  <c r="F195" i="11"/>
  <c r="E195" i="11"/>
  <c r="D195" i="11"/>
  <c r="C195" i="11"/>
  <c r="B195" i="11"/>
  <c r="Q194" i="11"/>
  <c r="K194" i="11"/>
  <c r="J194" i="11"/>
  <c r="I194" i="11"/>
  <c r="H194" i="11"/>
  <c r="G194" i="11"/>
  <c r="F194" i="11"/>
  <c r="E194" i="11"/>
  <c r="D194" i="11"/>
  <c r="C194" i="11"/>
  <c r="B194" i="11"/>
  <c r="Q193" i="11"/>
  <c r="K193" i="11"/>
  <c r="J193" i="11"/>
  <c r="I193" i="11"/>
  <c r="H193" i="11"/>
  <c r="G193" i="11"/>
  <c r="F193" i="11"/>
  <c r="E193" i="11"/>
  <c r="D193" i="11"/>
  <c r="C193" i="11"/>
  <c r="B193" i="11"/>
  <c r="Q192" i="11"/>
  <c r="K192" i="11"/>
  <c r="J192" i="11"/>
  <c r="I192" i="11"/>
  <c r="H192" i="11"/>
  <c r="G192" i="11"/>
  <c r="F192" i="11"/>
  <c r="E192" i="11"/>
  <c r="D192" i="11"/>
  <c r="C192" i="11"/>
  <c r="B192" i="11"/>
  <c r="Q191" i="11"/>
  <c r="K191" i="11"/>
  <c r="J191" i="11"/>
  <c r="I191" i="11"/>
  <c r="H191" i="11"/>
  <c r="G191" i="11"/>
  <c r="F191" i="11"/>
  <c r="E191" i="11"/>
  <c r="D191" i="11"/>
  <c r="C191" i="11"/>
  <c r="B191" i="11"/>
  <c r="Q190" i="11"/>
  <c r="K190" i="11"/>
  <c r="J190" i="11"/>
  <c r="I190" i="11"/>
  <c r="H190" i="11"/>
  <c r="G190" i="11"/>
  <c r="F190" i="11"/>
  <c r="E190" i="11"/>
  <c r="D190" i="11"/>
  <c r="C190" i="11"/>
  <c r="B190" i="11"/>
  <c r="Q189" i="11"/>
  <c r="K189" i="11"/>
  <c r="J189" i="11"/>
  <c r="I189" i="11"/>
  <c r="H189" i="11"/>
  <c r="G189" i="11"/>
  <c r="F189" i="11"/>
  <c r="E189" i="11"/>
  <c r="D189" i="11"/>
  <c r="C189" i="11"/>
  <c r="B189" i="11"/>
  <c r="Q188" i="11"/>
  <c r="K188" i="11"/>
  <c r="J188" i="11"/>
  <c r="I188" i="11"/>
  <c r="H188" i="11"/>
  <c r="G188" i="11"/>
  <c r="F188" i="11"/>
  <c r="E188" i="11"/>
  <c r="D188" i="11"/>
  <c r="C188" i="11"/>
  <c r="B188" i="11"/>
  <c r="Q187" i="11"/>
  <c r="K187" i="11"/>
  <c r="J187" i="11"/>
  <c r="I187" i="11"/>
  <c r="H187" i="11"/>
  <c r="G187" i="11"/>
  <c r="F187" i="11"/>
  <c r="E187" i="11"/>
  <c r="D187" i="11"/>
  <c r="C187" i="11"/>
  <c r="B187" i="11"/>
  <c r="Q186" i="11"/>
  <c r="K186" i="11"/>
  <c r="J186" i="11"/>
  <c r="I186" i="11"/>
  <c r="H186" i="11"/>
  <c r="G186" i="11"/>
  <c r="F186" i="11"/>
  <c r="E186" i="11"/>
  <c r="D186" i="11"/>
  <c r="C186" i="11"/>
  <c r="B186" i="11"/>
  <c r="Q185" i="11"/>
  <c r="K185" i="11"/>
  <c r="J185" i="11"/>
  <c r="I185" i="11"/>
  <c r="H185" i="11"/>
  <c r="G185" i="11"/>
  <c r="F185" i="11"/>
  <c r="E185" i="11"/>
  <c r="D185" i="11"/>
  <c r="C185" i="11"/>
  <c r="B185" i="11"/>
  <c r="Q184" i="11"/>
  <c r="K184" i="11"/>
  <c r="J184" i="11"/>
  <c r="I184" i="11"/>
  <c r="H184" i="11"/>
  <c r="G184" i="11"/>
  <c r="F184" i="11"/>
  <c r="E184" i="11"/>
  <c r="D184" i="11"/>
  <c r="C184" i="11"/>
  <c r="B184" i="11"/>
  <c r="Q183" i="11"/>
  <c r="K183" i="11"/>
  <c r="J183" i="11"/>
  <c r="I183" i="11"/>
  <c r="H183" i="11"/>
  <c r="G183" i="11"/>
  <c r="F183" i="11"/>
  <c r="E183" i="11"/>
  <c r="D183" i="11"/>
  <c r="C183" i="11"/>
  <c r="B183" i="11"/>
  <c r="Q182" i="11"/>
  <c r="K182" i="11"/>
  <c r="J182" i="11"/>
  <c r="I182" i="11"/>
  <c r="H182" i="11"/>
  <c r="G182" i="11"/>
  <c r="F182" i="11"/>
  <c r="E182" i="11"/>
  <c r="D182" i="11"/>
  <c r="C182" i="11"/>
  <c r="B182" i="11"/>
  <c r="Q181" i="11"/>
  <c r="K181" i="11"/>
  <c r="J181" i="11"/>
  <c r="I181" i="11"/>
  <c r="H181" i="11"/>
  <c r="G181" i="11"/>
  <c r="F181" i="11"/>
  <c r="E181" i="11"/>
  <c r="D181" i="11"/>
  <c r="C181" i="11"/>
  <c r="B181" i="11"/>
  <c r="Q180" i="11"/>
  <c r="K180" i="11"/>
  <c r="J180" i="11"/>
  <c r="I180" i="11"/>
  <c r="H180" i="11"/>
  <c r="G180" i="11"/>
  <c r="F180" i="11"/>
  <c r="E180" i="11"/>
  <c r="D180" i="11"/>
  <c r="C180" i="11"/>
  <c r="B180" i="11"/>
  <c r="Q179" i="11"/>
  <c r="K179" i="11"/>
  <c r="J179" i="11"/>
  <c r="I179" i="11"/>
  <c r="H179" i="11"/>
  <c r="G179" i="11"/>
  <c r="F179" i="11"/>
  <c r="E179" i="11"/>
  <c r="D179" i="11"/>
  <c r="C179" i="11"/>
  <c r="B179" i="11"/>
  <c r="Q178" i="11"/>
  <c r="K178" i="11"/>
  <c r="J178" i="11"/>
  <c r="I178" i="11"/>
  <c r="H178" i="11"/>
  <c r="G178" i="11"/>
  <c r="F178" i="11"/>
  <c r="E178" i="11"/>
  <c r="D178" i="11"/>
  <c r="C178" i="11"/>
  <c r="B178" i="11"/>
  <c r="Q177" i="11"/>
  <c r="K177" i="11"/>
  <c r="J177" i="11"/>
  <c r="I177" i="11"/>
  <c r="H177" i="11"/>
  <c r="G177" i="11"/>
  <c r="F177" i="11"/>
  <c r="E177" i="11"/>
  <c r="D177" i="11"/>
  <c r="C177" i="11"/>
  <c r="B177" i="11"/>
  <c r="Q176" i="11"/>
  <c r="K176" i="11"/>
  <c r="J176" i="11"/>
  <c r="I176" i="11"/>
  <c r="H176" i="11"/>
  <c r="G176" i="11"/>
  <c r="F176" i="11"/>
  <c r="E176" i="11"/>
  <c r="D176" i="11"/>
  <c r="C176" i="11"/>
  <c r="B176" i="11"/>
  <c r="Q175" i="11"/>
  <c r="K175" i="11"/>
  <c r="J175" i="11"/>
  <c r="I175" i="11"/>
  <c r="H175" i="11"/>
  <c r="G175" i="11"/>
  <c r="F175" i="11"/>
  <c r="E175" i="11"/>
  <c r="D175" i="11"/>
  <c r="C175" i="11"/>
  <c r="B175" i="11"/>
  <c r="Q174" i="11"/>
  <c r="K174" i="11"/>
  <c r="J174" i="11"/>
  <c r="I174" i="11"/>
  <c r="H174" i="11"/>
  <c r="G174" i="11"/>
  <c r="F174" i="11"/>
  <c r="E174" i="11"/>
  <c r="D174" i="11"/>
  <c r="C174" i="11"/>
  <c r="B174" i="11"/>
  <c r="Q173" i="11"/>
  <c r="K173" i="11"/>
  <c r="J173" i="11"/>
  <c r="I173" i="11"/>
  <c r="H173" i="11"/>
  <c r="G173" i="11"/>
  <c r="F173" i="11"/>
  <c r="E173" i="11"/>
  <c r="D173" i="11"/>
  <c r="C173" i="11"/>
  <c r="B173" i="11"/>
  <c r="Q172" i="11"/>
  <c r="K172" i="11"/>
  <c r="J172" i="11"/>
  <c r="I172" i="11"/>
  <c r="H172" i="11"/>
  <c r="G172" i="11"/>
  <c r="F172" i="11"/>
  <c r="E172" i="11"/>
  <c r="D172" i="11"/>
  <c r="C172" i="11"/>
  <c r="B172" i="11"/>
  <c r="Q171" i="11"/>
  <c r="K171" i="11"/>
  <c r="J171" i="11"/>
  <c r="I171" i="11"/>
  <c r="H171" i="11"/>
  <c r="G171" i="11"/>
  <c r="F171" i="11"/>
  <c r="E171" i="11"/>
  <c r="D171" i="11"/>
  <c r="C171" i="11"/>
  <c r="B171" i="11"/>
  <c r="Q170" i="11"/>
  <c r="K170" i="11"/>
  <c r="J170" i="11"/>
  <c r="I170" i="11"/>
  <c r="H170" i="11"/>
  <c r="G170" i="11"/>
  <c r="F170" i="11"/>
  <c r="E170" i="11"/>
  <c r="D170" i="11"/>
  <c r="C170" i="11"/>
  <c r="B170" i="1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A305" i="1"/>
  <c r="Z305" i="1"/>
  <c r="Y305" i="1"/>
  <c r="AA304" i="1"/>
  <c r="Z304" i="1"/>
  <c r="Y304" i="1"/>
  <c r="AA303" i="1"/>
  <c r="Z303" i="1"/>
  <c r="Y303" i="1"/>
  <c r="AA302" i="1"/>
  <c r="Z302" i="1"/>
  <c r="Y302" i="1"/>
  <c r="AA301" i="1"/>
  <c r="Z301" i="1"/>
  <c r="Y301" i="1"/>
  <c r="AA300" i="1"/>
  <c r="Z300" i="1"/>
  <c r="Y300" i="1"/>
  <c r="AA299" i="1"/>
  <c r="Z299" i="1"/>
  <c r="Y299" i="1"/>
  <c r="AA298" i="1"/>
  <c r="Z298" i="1"/>
  <c r="Y298" i="1"/>
  <c r="AA297" i="1"/>
  <c r="Z297" i="1"/>
  <c r="Y297" i="1"/>
  <c r="AA296" i="1"/>
  <c r="Z296" i="1"/>
  <c r="Y296" i="1"/>
  <c r="AA295" i="1"/>
  <c r="Z295" i="1"/>
  <c r="Y295" i="1"/>
  <c r="AA294" i="1"/>
  <c r="Z294" i="1"/>
  <c r="Y294" i="1"/>
  <c r="AA293" i="1"/>
  <c r="Z293" i="1"/>
  <c r="Y293" i="1"/>
  <c r="AA292" i="1"/>
  <c r="Z292" i="1"/>
  <c r="Y292" i="1"/>
  <c r="AA291" i="1"/>
  <c r="Z291" i="1"/>
  <c r="Y291" i="1"/>
  <c r="AA290" i="1"/>
  <c r="Z290" i="1"/>
  <c r="Y290" i="1"/>
  <c r="AA289" i="1"/>
  <c r="Z289" i="1"/>
  <c r="Y289" i="1"/>
  <c r="AA288" i="1"/>
  <c r="Z288" i="1"/>
  <c r="Y288" i="1"/>
  <c r="AA287" i="1"/>
  <c r="Z287" i="1"/>
  <c r="Y287" i="1"/>
  <c r="AA286" i="1"/>
  <c r="Z286" i="1"/>
  <c r="Y286" i="1"/>
  <c r="AA285" i="1"/>
  <c r="Z285" i="1"/>
  <c r="Y285" i="1"/>
  <c r="AA284" i="1"/>
  <c r="Z284" i="1"/>
  <c r="Y284" i="1"/>
  <c r="AA283" i="1"/>
  <c r="Z283" i="1"/>
  <c r="Y283" i="1"/>
  <c r="AA282" i="1"/>
  <c r="Z282" i="1"/>
  <c r="Y282" i="1"/>
  <c r="AA281" i="1"/>
  <c r="Z281" i="1"/>
  <c r="Y281" i="1"/>
  <c r="AA280" i="1"/>
  <c r="Z280" i="1"/>
  <c r="Y280" i="1"/>
  <c r="AA279" i="1"/>
  <c r="Z279" i="1"/>
  <c r="Y279" i="1"/>
  <c r="AA278" i="1"/>
  <c r="Z278" i="1"/>
  <c r="Y278" i="1"/>
  <c r="AA277" i="1"/>
  <c r="Z277" i="1"/>
  <c r="Y277" i="1"/>
  <c r="AA276" i="1"/>
  <c r="Z276" i="1"/>
  <c r="Y276" i="1"/>
  <c r="AA275" i="1"/>
  <c r="Z275" i="1"/>
  <c r="Y275" i="1"/>
  <c r="AA274" i="1"/>
  <c r="Z274" i="1"/>
  <c r="Y274" i="1"/>
  <c r="AA273" i="1"/>
  <c r="Z273" i="1"/>
  <c r="Y273" i="1"/>
  <c r="AA272" i="1"/>
  <c r="Z272" i="1"/>
  <c r="Y272" i="1"/>
  <c r="AA271" i="1"/>
  <c r="Z271" i="1"/>
  <c r="Y271" i="1"/>
  <c r="AA270" i="1"/>
  <c r="Z270" i="1"/>
  <c r="Y270" i="1"/>
  <c r="AA269" i="1"/>
  <c r="Z269" i="1"/>
  <c r="Y269" i="1"/>
  <c r="AA268" i="1"/>
  <c r="Z268" i="1"/>
  <c r="Y268" i="1"/>
  <c r="AA267" i="1"/>
  <c r="Z267" i="1"/>
  <c r="Y267" i="1"/>
  <c r="AA266" i="1"/>
  <c r="Z266" i="1"/>
  <c r="Y266" i="1"/>
  <c r="AA265" i="1"/>
  <c r="Z265" i="1"/>
  <c r="Y265" i="1"/>
  <c r="AA264" i="1"/>
  <c r="Z264" i="1"/>
  <c r="Y264" i="1"/>
  <c r="AA263" i="1"/>
  <c r="Z263" i="1"/>
  <c r="Y263" i="1"/>
  <c r="AA262" i="1"/>
  <c r="Z262" i="1"/>
  <c r="Y262" i="1"/>
  <c r="AA261" i="1"/>
  <c r="Z261" i="1"/>
  <c r="Y261" i="1"/>
  <c r="AA260" i="1"/>
  <c r="Z260" i="1"/>
  <c r="Y260" i="1"/>
  <c r="AA259" i="1"/>
  <c r="Z259" i="1"/>
  <c r="Y259" i="1"/>
  <c r="AA258" i="1"/>
  <c r="Z258" i="1"/>
  <c r="Y258" i="1"/>
  <c r="AA257" i="1"/>
  <c r="Z257" i="1"/>
  <c r="Y257" i="1"/>
  <c r="AA256" i="1"/>
  <c r="Z256" i="1"/>
  <c r="Y256" i="1"/>
  <c r="AA255" i="1"/>
  <c r="Z255" i="1"/>
  <c r="Y255" i="1"/>
  <c r="AA254" i="1"/>
  <c r="Z254" i="1"/>
  <c r="Y254" i="1"/>
  <c r="AA253" i="1"/>
  <c r="Z253" i="1"/>
  <c r="Y253" i="1"/>
  <c r="AA252" i="1"/>
  <c r="Z252" i="1"/>
  <c r="Y252" i="1"/>
  <c r="AA251" i="1"/>
  <c r="Z251" i="1"/>
  <c r="Y251" i="1"/>
  <c r="AA250" i="1"/>
  <c r="Z250" i="1"/>
  <c r="Y250" i="1"/>
  <c r="AA249" i="1"/>
  <c r="Z249" i="1"/>
  <c r="Y249" i="1"/>
  <c r="AA248" i="1"/>
  <c r="Z248" i="1"/>
  <c r="Y248" i="1"/>
  <c r="Q169" i="11" l="1"/>
  <c r="K169" i="11"/>
  <c r="J169" i="11"/>
  <c r="I169" i="11"/>
  <c r="H169" i="11"/>
  <c r="G169" i="11"/>
  <c r="F169" i="11"/>
  <c r="E169" i="11"/>
  <c r="D169" i="11"/>
  <c r="C169" i="11"/>
  <c r="B169" i="11"/>
  <c r="Q168" i="11"/>
  <c r="K168" i="11"/>
  <c r="J168" i="11"/>
  <c r="I168" i="11"/>
  <c r="H168" i="11"/>
  <c r="G168" i="11"/>
  <c r="F168" i="11"/>
  <c r="E168" i="11"/>
  <c r="D168" i="11"/>
  <c r="C168" i="11"/>
  <c r="B168" i="11"/>
  <c r="Q167" i="11"/>
  <c r="K167" i="11"/>
  <c r="J167" i="11"/>
  <c r="I167" i="11"/>
  <c r="H167" i="11"/>
  <c r="G167" i="11"/>
  <c r="F167" i="11"/>
  <c r="E167" i="11"/>
  <c r="D167" i="11"/>
  <c r="C167" i="11"/>
  <c r="B167" i="11"/>
  <c r="Q166" i="11"/>
  <c r="K166" i="11"/>
  <c r="J166" i="11"/>
  <c r="I166" i="11"/>
  <c r="H166" i="11"/>
  <c r="G166" i="11"/>
  <c r="F166" i="11"/>
  <c r="E166" i="11"/>
  <c r="D166" i="11"/>
  <c r="C166" i="11"/>
  <c r="B166" i="11"/>
  <c r="Q165" i="11"/>
  <c r="K165" i="11"/>
  <c r="J165" i="11"/>
  <c r="I165" i="11"/>
  <c r="H165" i="11"/>
  <c r="G165" i="11"/>
  <c r="F165" i="11"/>
  <c r="E165" i="11"/>
  <c r="D165" i="11"/>
  <c r="C165" i="11"/>
  <c r="B165" i="11"/>
  <c r="Q164" i="11"/>
  <c r="K164" i="11"/>
  <c r="J164" i="11"/>
  <c r="I164" i="11"/>
  <c r="H164" i="11"/>
  <c r="G164" i="11"/>
  <c r="F164" i="11"/>
  <c r="E164" i="11"/>
  <c r="D164" i="11"/>
  <c r="C164" i="11"/>
  <c r="B164" i="11"/>
  <c r="Q163" i="11"/>
  <c r="K163" i="11"/>
  <c r="J163" i="11"/>
  <c r="I163" i="11"/>
  <c r="H163" i="11"/>
  <c r="G163" i="11"/>
  <c r="F163" i="11"/>
  <c r="E163" i="11"/>
  <c r="D163" i="11"/>
  <c r="C163" i="11"/>
  <c r="B163" i="11"/>
  <c r="Q162" i="11"/>
  <c r="K162" i="11"/>
  <c r="J162" i="11"/>
  <c r="I162" i="11"/>
  <c r="H162" i="11"/>
  <c r="G162" i="11"/>
  <c r="F162" i="11"/>
  <c r="E162" i="11"/>
  <c r="D162" i="11"/>
  <c r="C162" i="11"/>
  <c r="B162" i="11"/>
  <c r="Q161" i="11"/>
  <c r="K161" i="11"/>
  <c r="J161" i="11"/>
  <c r="I161" i="11"/>
  <c r="H161" i="11"/>
  <c r="G161" i="11"/>
  <c r="F161" i="11"/>
  <c r="E161" i="11"/>
  <c r="D161" i="11"/>
  <c r="C161" i="11"/>
  <c r="B161" i="11"/>
  <c r="Q160" i="11"/>
  <c r="K160" i="11"/>
  <c r="J160" i="11"/>
  <c r="I160" i="11"/>
  <c r="H160" i="11"/>
  <c r="G160" i="11"/>
  <c r="F160" i="11"/>
  <c r="E160" i="11"/>
  <c r="D160" i="11"/>
  <c r="C160" i="11"/>
  <c r="B160" i="11"/>
  <c r="Q159" i="11"/>
  <c r="K159" i="11"/>
  <c r="J159" i="11"/>
  <c r="I159" i="11"/>
  <c r="H159" i="11"/>
  <c r="G159" i="11"/>
  <c r="F159" i="11"/>
  <c r="E159" i="11"/>
  <c r="D159" i="11"/>
  <c r="C159" i="11"/>
  <c r="B159" i="11"/>
  <c r="Q158" i="11"/>
  <c r="K158" i="11"/>
  <c r="J158" i="11"/>
  <c r="I158" i="11"/>
  <c r="H158" i="11"/>
  <c r="G158" i="11"/>
  <c r="F158" i="11"/>
  <c r="E158" i="11"/>
  <c r="D158" i="11"/>
  <c r="C158" i="11"/>
  <c r="B158" i="11"/>
  <c r="Q157" i="11"/>
  <c r="K157" i="11"/>
  <c r="J157" i="11"/>
  <c r="I157" i="11"/>
  <c r="H157" i="11"/>
  <c r="G157" i="11"/>
  <c r="F157" i="11"/>
  <c r="E157" i="11"/>
  <c r="D157" i="11"/>
  <c r="C157" i="11"/>
  <c r="B157" i="11"/>
  <c r="Q156" i="11"/>
  <c r="K156" i="11"/>
  <c r="J156" i="11"/>
  <c r="I156" i="11"/>
  <c r="H156" i="11"/>
  <c r="G156" i="11"/>
  <c r="F156" i="11"/>
  <c r="E156" i="11"/>
  <c r="D156" i="11"/>
  <c r="C156" i="11"/>
  <c r="B156" i="11"/>
  <c r="Q155" i="11"/>
  <c r="K155" i="11"/>
  <c r="J155" i="11"/>
  <c r="I155" i="11"/>
  <c r="H155" i="11"/>
  <c r="G155" i="11"/>
  <c r="F155" i="11"/>
  <c r="E155" i="11"/>
  <c r="D155" i="11"/>
  <c r="C155" i="11"/>
  <c r="B155" i="11"/>
  <c r="Q154" i="11"/>
  <c r="K154" i="11"/>
  <c r="J154" i="11"/>
  <c r="I154" i="11"/>
  <c r="H154" i="11"/>
  <c r="G154" i="11"/>
  <c r="F154" i="11"/>
  <c r="E154" i="11"/>
  <c r="D154" i="11"/>
  <c r="C154" i="11"/>
  <c r="B154" i="11"/>
  <c r="Q153" i="11"/>
  <c r="K153" i="11"/>
  <c r="J153" i="11"/>
  <c r="I153" i="11"/>
  <c r="H153" i="11"/>
  <c r="G153" i="11"/>
  <c r="F153" i="11"/>
  <c r="E153" i="11"/>
  <c r="D153" i="11"/>
  <c r="C153" i="11"/>
  <c r="B153" i="11"/>
  <c r="Q152" i="11"/>
  <c r="K152" i="11"/>
  <c r="J152" i="11"/>
  <c r="I152" i="11"/>
  <c r="H152" i="11"/>
  <c r="G152" i="11"/>
  <c r="F152" i="11"/>
  <c r="E152" i="11"/>
  <c r="D152" i="11"/>
  <c r="C152" i="11"/>
  <c r="B152" i="11"/>
  <c r="Q151" i="11"/>
  <c r="K151" i="11"/>
  <c r="J151" i="11"/>
  <c r="I151" i="11"/>
  <c r="H151" i="11"/>
  <c r="G151" i="11"/>
  <c r="F151" i="11"/>
  <c r="E151" i="11"/>
  <c r="D151" i="11"/>
  <c r="C151" i="11"/>
  <c r="B151" i="11"/>
  <c r="Q150" i="11"/>
  <c r="K150" i="11"/>
  <c r="J150" i="11"/>
  <c r="I150" i="11"/>
  <c r="H150" i="11"/>
  <c r="G150" i="11"/>
  <c r="F150" i="11"/>
  <c r="E150" i="11"/>
  <c r="D150" i="11"/>
  <c r="C150" i="11"/>
  <c r="B150" i="11"/>
  <c r="Q149" i="11"/>
  <c r="K149" i="11"/>
  <c r="J149" i="11"/>
  <c r="I149" i="11"/>
  <c r="H149" i="11"/>
  <c r="G149" i="11"/>
  <c r="F149" i="11"/>
  <c r="E149" i="11"/>
  <c r="D149" i="11"/>
  <c r="C149" i="11"/>
  <c r="B149" i="11"/>
  <c r="Q148" i="11"/>
  <c r="K148" i="11"/>
  <c r="J148" i="11"/>
  <c r="I148" i="11"/>
  <c r="H148" i="11"/>
  <c r="G148" i="11"/>
  <c r="F148" i="11"/>
  <c r="E148" i="11"/>
  <c r="D148" i="11"/>
  <c r="C148" i="11"/>
  <c r="B148" i="11"/>
  <c r="Q147" i="11"/>
  <c r="K147" i="11"/>
  <c r="J147" i="11"/>
  <c r="I147" i="11"/>
  <c r="H147" i="11"/>
  <c r="G147" i="11"/>
  <c r="F147" i="11"/>
  <c r="E147" i="11"/>
  <c r="D147" i="11"/>
  <c r="C147" i="11"/>
  <c r="B147" i="11"/>
  <c r="Q146" i="11"/>
  <c r="K146" i="11"/>
  <c r="J146" i="11"/>
  <c r="I146" i="11"/>
  <c r="H146" i="11"/>
  <c r="G146" i="11"/>
  <c r="F146" i="11"/>
  <c r="E146" i="11"/>
  <c r="D146" i="11"/>
  <c r="C146" i="11"/>
  <c r="B146" i="11"/>
  <c r="Q145" i="11"/>
  <c r="K145" i="11"/>
  <c r="J145" i="11"/>
  <c r="I145" i="11"/>
  <c r="H145" i="11"/>
  <c r="G145" i="11"/>
  <c r="F145" i="11"/>
  <c r="E145" i="11"/>
  <c r="D145" i="11"/>
  <c r="C145" i="11"/>
  <c r="B145" i="11"/>
  <c r="Q144" i="11"/>
  <c r="K144" i="11"/>
  <c r="J144" i="11"/>
  <c r="I144" i="11"/>
  <c r="H144" i="11"/>
  <c r="G144" i="11"/>
  <c r="F144" i="11"/>
  <c r="E144" i="11"/>
  <c r="D144" i="11"/>
  <c r="C144" i="11"/>
  <c r="B144" i="11"/>
  <c r="Q143" i="11"/>
  <c r="K143" i="11"/>
  <c r="J143" i="11"/>
  <c r="I143" i="11"/>
  <c r="H143" i="11"/>
  <c r="G143" i="11"/>
  <c r="F143" i="11"/>
  <c r="E143" i="11"/>
  <c r="D143" i="11"/>
  <c r="C143" i="11"/>
  <c r="B143" i="11"/>
  <c r="Q142" i="11"/>
  <c r="K142" i="11"/>
  <c r="J142" i="11"/>
  <c r="I142" i="11"/>
  <c r="H142" i="11"/>
  <c r="G142" i="11"/>
  <c r="F142" i="11"/>
  <c r="E142" i="11"/>
  <c r="D142" i="11"/>
  <c r="C142" i="11"/>
  <c r="B142" i="11"/>
  <c r="Q141" i="11"/>
  <c r="K141" i="11"/>
  <c r="J141" i="11"/>
  <c r="I141" i="11"/>
  <c r="H141" i="11"/>
  <c r="G141" i="11"/>
  <c r="F141" i="11"/>
  <c r="E141" i="11"/>
  <c r="D141" i="11"/>
  <c r="C141" i="11"/>
  <c r="B141" i="11"/>
  <c r="Q140" i="11"/>
  <c r="K140" i="11"/>
  <c r="J140" i="11"/>
  <c r="I140" i="11"/>
  <c r="H140" i="11"/>
  <c r="G140" i="11"/>
  <c r="F140" i="11"/>
  <c r="E140" i="11"/>
  <c r="D140" i="11"/>
  <c r="C140" i="11"/>
  <c r="B140" i="11"/>
  <c r="Q139" i="11"/>
  <c r="K139" i="11"/>
  <c r="J139" i="11"/>
  <c r="I139" i="11"/>
  <c r="H139" i="11"/>
  <c r="G139" i="11"/>
  <c r="F139" i="11"/>
  <c r="E139" i="11"/>
  <c r="D139" i="11"/>
  <c r="C139" i="11"/>
  <c r="B139" i="11"/>
  <c r="Q138" i="11"/>
  <c r="K138" i="11"/>
  <c r="J138" i="11"/>
  <c r="I138" i="11"/>
  <c r="H138" i="11"/>
  <c r="G138" i="11"/>
  <c r="F138" i="11"/>
  <c r="E138" i="11"/>
  <c r="D138" i="11"/>
  <c r="C138" i="11"/>
  <c r="B138" i="11"/>
  <c r="Q137" i="11"/>
  <c r="K137" i="11"/>
  <c r="J137" i="11"/>
  <c r="I137" i="11"/>
  <c r="H137" i="11"/>
  <c r="G137" i="11"/>
  <c r="F137" i="11"/>
  <c r="E137" i="11"/>
  <c r="D137" i="11"/>
  <c r="C137" i="11"/>
  <c r="B137" i="11"/>
  <c r="Q136" i="11"/>
  <c r="K136" i="11"/>
  <c r="J136" i="11"/>
  <c r="I136" i="11"/>
  <c r="H136" i="11"/>
  <c r="G136" i="11"/>
  <c r="F136" i="11"/>
  <c r="E136" i="11"/>
  <c r="D136" i="11"/>
  <c r="C136" i="11"/>
  <c r="B136" i="11"/>
  <c r="Q135" i="11"/>
  <c r="K135" i="11"/>
  <c r="J135" i="11"/>
  <c r="I135" i="11"/>
  <c r="H135" i="11"/>
  <c r="G135" i="11"/>
  <c r="F135" i="11"/>
  <c r="E135" i="11"/>
  <c r="D135" i="11"/>
  <c r="C135" i="11"/>
  <c r="B135" i="11"/>
  <c r="Q134" i="11"/>
  <c r="K134" i="11"/>
  <c r="J134" i="11"/>
  <c r="I134" i="11"/>
  <c r="H134" i="11"/>
  <c r="G134" i="11"/>
  <c r="F134" i="11"/>
  <c r="E134" i="11"/>
  <c r="D134" i="11"/>
  <c r="C134" i="11"/>
  <c r="B134" i="11"/>
  <c r="Q133" i="11"/>
  <c r="K133" i="11"/>
  <c r="J133" i="11"/>
  <c r="I133" i="11"/>
  <c r="H133" i="11"/>
  <c r="G133" i="11"/>
  <c r="F133" i="11"/>
  <c r="E133" i="11"/>
  <c r="D133" i="11"/>
  <c r="C133" i="11"/>
  <c r="B133" i="11"/>
  <c r="Q132" i="11"/>
  <c r="K132" i="11"/>
  <c r="J132" i="11"/>
  <c r="I132" i="11"/>
  <c r="H132" i="11"/>
  <c r="G132" i="11"/>
  <c r="F132" i="11"/>
  <c r="E132" i="11"/>
  <c r="D132" i="11"/>
  <c r="C132" i="11"/>
  <c r="B132" i="11"/>
  <c r="Q131" i="11"/>
  <c r="K131" i="11"/>
  <c r="J131" i="11"/>
  <c r="I131" i="11"/>
  <c r="H131" i="11"/>
  <c r="G131" i="11"/>
  <c r="F131" i="11"/>
  <c r="E131" i="11"/>
  <c r="D131" i="11"/>
  <c r="C131" i="11"/>
  <c r="B131" i="11"/>
  <c r="Q130" i="11"/>
  <c r="K130" i="11"/>
  <c r="J130" i="11"/>
  <c r="I130" i="11"/>
  <c r="H130" i="11"/>
  <c r="G130" i="11"/>
  <c r="F130" i="11"/>
  <c r="E130" i="11"/>
  <c r="D130" i="11"/>
  <c r="C130" i="11"/>
  <c r="B130" i="11"/>
  <c r="Q129" i="11"/>
  <c r="K129" i="11"/>
  <c r="J129" i="11"/>
  <c r="I129" i="11"/>
  <c r="H129" i="11"/>
  <c r="G129" i="11"/>
  <c r="F129" i="11"/>
  <c r="E129" i="11"/>
  <c r="D129" i="11"/>
  <c r="C129" i="11"/>
  <c r="B129" i="11"/>
  <c r="Q128" i="11"/>
  <c r="K128" i="11"/>
  <c r="J128" i="11"/>
  <c r="I128" i="11"/>
  <c r="H128" i="11"/>
  <c r="G128" i="11"/>
  <c r="F128" i="11"/>
  <c r="E128" i="11"/>
  <c r="D128" i="11"/>
  <c r="C128" i="11"/>
  <c r="B128" i="11"/>
  <c r="Q127" i="11"/>
  <c r="K127" i="11"/>
  <c r="J127" i="11"/>
  <c r="I127" i="11"/>
  <c r="H127" i="11"/>
  <c r="G127" i="11"/>
  <c r="F127" i="11"/>
  <c r="E127" i="11"/>
  <c r="D127" i="11"/>
  <c r="C127" i="11"/>
  <c r="B127" i="11"/>
  <c r="Q126" i="11"/>
  <c r="K126" i="11"/>
  <c r="J126" i="11"/>
  <c r="I126" i="11"/>
  <c r="H126" i="11"/>
  <c r="G126" i="11"/>
  <c r="F126" i="11"/>
  <c r="E126" i="11"/>
  <c r="D126" i="11"/>
  <c r="C126" i="11"/>
  <c r="B126" i="11"/>
  <c r="Q125" i="11"/>
  <c r="K125" i="11"/>
  <c r="J125" i="11"/>
  <c r="I125" i="11"/>
  <c r="H125" i="11"/>
  <c r="G125" i="11"/>
  <c r="F125" i="11"/>
  <c r="E125" i="11"/>
  <c r="D125" i="11"/>
  <c r="C125" i="11"/>
  <c r="B125" i="11"/>
  <c r="Q124" i="11"/>
  <c r="K124" i="11"/>
  <c r="J124" i="11"/>
  <c r="I124" i="11"/>
  <c r="H124" i="11"/>
  <c r="G124" i="11"/>
  <c r="F124" i="11"/>
  <c r="E124" i="11"/>
  <c r="D124" i="11"/>
  <c r="C124" i="11"/>
  <c r="B124" i="11"/>
  <c r="Q123" i="11"/>
  <c r="K123" i="11"/>
  <c r="J123" i="11"/>
  <c r="I123" i="11"/>
  <c r="H123" i="11"/>
  <c r="G123" i="11"/>
  <c r="F123" i="11"/>
  <c r="E123" i="11"/>
  <c r="D123" i="11"/>
  <c r="C123" i="11"/>
  <c r="B123" i="11"/>
  <c r="Q122" i="11"/>
  <c r="K122" i="11"/>
  <c r="J122" i="11"/>
  <c r="I122" i="11"/>
  <c r="H122" i="11"/>
  <c r="G122" i="11"/>
  <c r="F122" i="11"/>
  <c r="E122" i="11"/>
  <c r="D122" i="11"/>
  <c r="C122" i="11"/>
  <c r="B122" i="11"/>
  <c r="Q121" i="11"/>
  <c r="K121" i="11"/>
  <c r="J121" i="11"/>
  <c r="I121" i="11"/>
  <c r="H121" i="11"/>
  <c r="G121" i="11"/>
  <c r="F121" i="11"/>
  <c r="E121" i="11"/>
  <c r="D121" i="11"/>
  <c r="C121" i="11"/>
  <c r="B121" i="11"/>
  <c r="Q120" i="11"/>
  <c r="Q119" i="11"/>
  <c r="Q118" i="11"/>
  <c r="Q117" i="11"/>
  <c r="Q116" i="11"/>
  <c r="Q115" i="11"/>
  <c r="Q114" i="11"/>
  <c r="K120" i="11"/>
  <c r="J120" i="11"/>
  <c r="I120" i="11"/>
  <c r="H120" i="11"/>
  <c r="G120" i="11"/>
  <c r="F120" i="11"/>
  <c r="E120" i="11"/>
  <c r="D120" i="11"/>
  <c r="C120" i="11"/>
  <c r="B120" i="11"/>
  <c r="K119" i="11"/>
  <c r="J119" i="11"/>
  <c r="I119" i="11"/>
  <c r="H119" i="11"/>
  <c r="G119" i="11"/>
  <c r="F119" i="11"/>
  <c r="E119" i="11"/>
  <c r="D119" i="11"/>
  <c r="C119" i="11"/>
  <c r="B119" i="11"/>
  <c r="K118" i="11"/>
  <c r="J118" i="11"/>
  <c r="I118" i="11"/>
  <c r="H118" i="11"/>
  <c r="G118" i="11"/>
  <c r="F118" i="11"/>
  <c r="E118" i="11"/>
  <c r="D118" i="11"/>
  <c r="C118" i="11"/>
  <c r="B118" i="11"/>
  <c r="K117" i="11"/>
  <c r="J117" i="11"/>
  <c r="I117" i="11"/>
  <c r="H117" i="11"/>
  <c r="G117" i="11"/>
  <c r="F117" i="11"/>
  <c r="E117" i="11"/>
  <c r="D117" i="11"/>
  <c r="C117" i="11"/>
  <c r="B117" i="11"/>
  <c r="K116" i="11"/>
  <c r="J116" i="11"/>
  <c r="I116" i="11"/>
  <c r="H116" i="11"/>
  <c r="G116" i="11"/>
  <c r="F116" i="11"/>
  <c r="E116" i="11"/>
  <c r="D116" i="11"/>
  <c r="C116" i="11"/>
  <c r="B116" i="11"/>
  <c r="K115" i="11"/>
  <c r="J115" i="11"/>
  <c r="I115" i="11"/>
  <c r="H115" i="11"/>
  <c r="G115" i="11"/>
  <c r="F115" i="11"/>
  <c r="E115" i="11"/>
  <c r="D115" i="11"/>
  <c r="C115" i="11"/>
  <c r="B115" i="11"/>
  <c r="K114" i="11"/>
  <c r="J114" i="11"/>
  <c r="I114" i="11"/>
  <c r="H114" i="11"/>
  <c r="G114" i="11"/>
  <c r="F114" i="11"/>
  <c r="E114" i="11"/>
  <c r="D114" i="11"/>
  <c r="C114" i="11"/>
  <c r="B114" i="11"/>
  <c r="AA247" i="1"/>
  <c r="Z247" i="1"/>
  <c r="Y247" i="1"/>
  <c r="AA246" i="1"/>
  <c r="Z246" i="1"/>
  <c r="Y246" i="1"/>
  <c r="AA245" i="1"/>
  <c r="Z245" i="1"/>
  <c r="Y245" i="1"/>
  <c r="AA244" i="1"/>
  <c r="Z244" i="1"/>
  <c r="Y244" i="1"/>
  <c r="AA243" i="1"/>
  <c r="Z243" i="1"/>
  <c r="Y243" i="1"/>
  <c r="AA242" i="1"/>
  <c r="Z242" i="1"/>
  <c r="Y242" i="1"/>
  <c r="AA241" i="1"/>
  <c r="Z241" i="1"/>
  <c r="Y241" i="1"/>
  <c r="AA240" i="1"/>
  <c r="Z240" i="1"/>
  <c r="Y240" i="1"/>
  <c r="AA239" i="1"/>
  <c r="Z239" i="1"/>
  <c r="Y239" i="1"/>
  <c r="AA238" i="1"/>
  <c r="Z238" i="1"/>
  <c r="Y238" i="1"/>
  <c r="AA237" i="1"/>
  <c r="Z237" i="1"/>
  <c r="Y237" i="1"/>
  <c r="AA236" i="1"/>
  <c r="Z236" i="1"/>
  <c r="Y236" i="1"/>
  <c r="AA234" i="1"/>
  <c r="Z234" i="1"/>
  <c r="Y234" i="1"/>
  <c r="AA233" i="1"/>
  <c r="Z233" i="1"/>
  <c r="Y233" i="1"/>
  <c r="AA232" i="1"/>
  <c r="Z232" i="1"/>
  <c r="Y232" i="1"/>
  <c r="AA231" i="1"/>
  <c r="Z231" i="1"/>
  <c r="Y231" i="1"/>
  <c r="AA230" i="1"/>
  <c r="Z230" i="1"/>
  <c r="Y230" i="1"/>
  <c r="AA229" i="1"/>
  <c r="Z229" i="1"/>
  <c r="Y229" i="1"/>
  <c r="AA228" i="1"/>
  <c r="Z228" i="1"/>
  <c r="Y228" i="1"/>
  <c r="AA227" i="1"/>
  <c r="Z227" i="1"/>
  <c r="Y227" i="1"/>
  <c r="AA226" i="1"/>
  <c r="Z226" i="1"/>
  <c r="Y226" i="1"/>
  <c r="AA225" i="1"/>
  <c r="Z225" i="1"/>
  <c r="Y225" i="1"/>
  <c r="AA224" i="1"/>
  <c r="Z224" i="1"/>
  <c r="Y224" i="1"/>
  <c r="AA223" i="1"/>
  <c r="Z223" i="1"/>
  <c r="Y223" i="1"/>
  <c r="AA221" i="1"/>
  <c r="Z221" i="1"/>
  <c r="Y221" i="1"/>
  <c r="AA220" i="1"/>
  <c r="Z220" i="1"/>
  <c r="Y220" i="1"/>
  <c r="AA219" i="1"/>
  <c r="Z219" i="1"/>
  <c r="Y219" i="1"/>
  <c r="AA218" i="1"/>
  <c r="Z218" i="1"/>
  <c r="Y218" i="1"/>
  <c r="AA216" i="1"/>
  <c r="Z216" i="1"/>
  <c r="Y216" i="1"/>
  <c r="AA215" i="1"/>
  <c r="Z215" i="1"/>
  <c r="Y215" i="1"/>
  <c r="AA214" i="1"/>
  <c r="Z214" i="1"/>
  <c r="Y214" i="1"/>
  <c r="AA213" i="1"/>
  <c r="Z213" i="1"/>
  <c r="Y213" i="1"/>
  <c r="AA212" i="1"/>
  <c r="Z212" i="1"/>
  <c r="Y212" i="1"/>
  <c r="AA211" i="1"/>
  <c r="Z211" i="1"/>
  <c r="Y211" i="1"/>
  <c r="AA210" i="1"/>
  <c r="Z210" i="1"/>
  <c r="Y210" i="1"/>
  <c r="AA209" i="1"/>
  <c r="Z209" i="1"/>
  <c r="Y209" i="1"/>
  <c r="AA208" i="1"/>
  <c r="Z208" i="1"/>
  <c r="Y208" i="1"/>
  <c r="AA207" i="1"/>
  <c r="Z207" i="1"/>
  <c r="Y207" i="1"/>
  <c r="AA206" i="1"/>
  <c r="Z206" i="1"/>
  <c r="Y206" i="1"/>
  <c r="AA205" i="1"/>
  <c r="Z205" i="1"/>
  <c r="Y205" i="1"/>
  <c r="AA204" i="1"/>
  <c r="Z204" i="1"/>
  <c r="Y204" i="1"/>
  <c r="AA203" i="1"/>
  <c r="Z203" i="1"/>
  <c r="Y203" i="1"/>
  <c r="AA202" i="1"/>
  <c r="Z202" i="1"/>
  <c r="Y202" i="1"/>
  <c r="AA201" i="1"/>
  <c r="Z201" i="1"/>
  <c r="Y201" i="1"/>
  <c r="AA200" i="1"/>
  <c r="Z200" i="1"/>
  <c r="Y200" i="1"/>
  <c r="AA199" i="1"/>
  <c r="Z199" i="1"/>
  <c r="Y199" i="1"/>
  <c r="Y197" i="1"/>
  <c r="AA196" i="1"/>
  <c r="Z196" i="1"/>
  <c r="Y196" i="1"/>
  <c r="AA195" i="1"/>
  <c r="Z195" i="1"/>
  <c r="Y195" i="1"/>
  <c r="AA194" i="1"/>
  <c r="Z194" i="1"/>
  <c r="Y194" i="1"/>
  <c r="AA193" i="1"/>
  <c r="Z193" i="1"/>
  <c r="Y193" i="1"/>
  <c r="AA192" i="1"/>
  <c r="Z192" i="1"/>
  <c r="Y192" i="1"/>
  <c r="AB217" i="1"/>
  <c r="K113" i="11" l="1"/>
  <c r="J113" i="11"/>
  <c r="I113" i="11"/>
  <c r="H113" i="11"/>
  <c r="G113" i="11"/>
  <c r="F113" i="11"/>
  <c r="E113" i="11"/>
  <c r="D113" i="11"/>
  <c r="C113" i="11"/>
  <c r="B113" i="11"/>
  <c r="D249" i="9"/>
  <c r="P249" i="9"/>
  <c r="O249" i="9"/>
  <c r="N249" i="9"/>
  <c r="M249" i="9"/>
  <c r="L249" i="9"/>
  <c r="K249" i="9"/>
  <c r="S249" i="9" s="1"/>
  <c r="J249" i="9"/>
  <c r="I249" i="9"/>
  <c r="H249" i="9"/>
  <c r="G249" i="9"/>
  <c r="F249" i="9"/>
  <c r="E249" i="9"/>
  <c r="Q249" i="9"/>
  <c r="U117" i="9" l="1"/>
  <c r="AA191" i="1" l="1"/>
  <c r="Z191" i="1"/>
  <c r="Y191" i="1"/>
  <c r="C226" i="9" l="1"/>
  <c r="C225" i="9"/>
  <c r="C224" i="9"/>
  <c r="C223" i="9"/>
  <c r="C222" i="9"/>
  <c r="C221" i="9"/>
  <c r="C220" i="9"/>
  <c r="AA190" i="1"/>
  <c r="Z190" i="1"/>
  <c r="Y190" i="1"/>
  <c r="AA189" i="1"/>
  <c r="Z189" i="1"/>
  <c r="Y189" i="1"/>
  <c r="AA188" i="1"/>
  <c r="Z188" i="1"/>
  <c r="Y188" i="1"/>
  <c r="AA187" i="1"/>
  <c r="Z187" i="1"/>
  <c r="Y187" i="1"/>
  <c r="AA186" i="1"/>
  <c r="Z186" i="1"/>
  <c r="Y186" i="1"/>
  <c r="AC185" i="1"/>
  <c r="AA185" i="1"/>
  <c r="Z185" i="1"/>
  <c r="Y185" i="1"/>
  <c r="AC184" i="1"/>
  <c r="AA184" i="1"/>
  <c r="Z184" i="1"/>
  <c r="Y184" i="1"/>
  <c r="AC183" i="1"/>
  <c r="AA183" i="1"/>
  <c r="Z183" i="1"/>
  <c r="Y183" i="1"/>
  <c r="AC182" i="1"/>
  <c r="AA182" i="1"/>
  <c r="Z182" i="1"/>
  <c r="Y182" i="1"/>
  <c r="AC181" i="1"/>
  <c r="AA181" i="1"/>
  <c r="Z181" i="1"/>
  <c r="Y181" i="1"/>
  <c r="AC180" i="1"/>
  <c r="K1" i="1" l="1"/>
  <c r="AB219" i="9" l="1"/>
  <c r="V219" i="9"/>
  <c r="U219" i="9"/>
  <c r="P219" i="9"/>
  <c r="O219" i="9"/>
  <c r="N219" i="9"/>
  <c r="M219" i="9"/>
  <c r="L219" i="9"/>
  <c r="K219" i="9"/>
  <c r="S219" i="9" s="1"/>
  <c r="J219" i="9"/>
  <c r="I219" i="9"/>
  <c r="H219" i="9"/>
  <c r="G219" i="9"/>
  <c r="F219" i="9"/>
  <c r="E219" i="9"/>
  <c r="D219" i="9"/>
  <c r="C219" i="9"/>
  <c r="AB211" i="9"/>
  <c r="V211" i="9"/>
  <c r="U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AB1000" i="9" l="1"/>
  <c r="V1000" i="9"/>
  <c r="U1000" i="9"/>
  <c r="P1000" i="9"/>
  <c r="O1000" i="9"/>
  <c r="N1000" i="9"/>
  <c r="M1000" i="9"/>
  <c r="L1000" i="9"/>
  <c r="K1000" i="9"/>
  <c r="J1000" i="9"/>
  <c r="I1000" i="9"/>
  <c r="H1000" i="9"/>
  <c r="G1000" i="9"/>
  <c r="F1000" i="9"/>
  <c r="E1000" i="9"/>
  <c r="D1000" i="9"/>
  <c r="C1000" i="9"/>
  <c r="AB812" i="9"/>
  <c r="V812" i="9"/>
  <c r="U812" i="9"/>
  <c r="P812" i="9"/>
  <c r="O812" i="9"/>
  <c r="N812" i="9"/>
  <c r="M812" i="9"/>
  <c r="L812" i="9"/>
  <c r="K812" i="9"/>
  <c r="S812" i="9" s="1"/>
  <c r="J812" i="9"/>
  <c r="I812" i="9"/>
  <c r="H812" i="9"/>
  <c r="G812" i="9"/>
  <c r="F812" i="9"/>
  <c r="E812" i="9"/>
  <c r="D812" i="9"/>
  <c r="C812" i="9"/>
  <c r="AB811" i="9"/>
  <c r="V811" i="9"/>
  <c r="U811" i="9"/>
  <c r="P811" i="9"/>
  <c r="O811" i="9"/>
  <c r="N811" i="9"/>
  <c r="M811" i="9"/>
  <c r="L811" i="9"/>
  <c r="K811" i="9"/>
  <c r="S811" i="9" s="1"/>
  <c r="J811" i="9"/>
  <c r="I811" i="9"/>
  <c r="H811" i="9"/>
  <c r="G811" i="9"/>
  <c r="F811" i="9"/>
  <c r="E811" i="9"/>
  <c r="D811" i="9"/>
  <c r="C811" i="9"/>
  <c r="AB809" i="9"/>
  <c r="V809" i="9"/>
  <c r="U809" i="9"/>
  <c r="P809" i="9"/>
  <c r="O809" i="9"/>
  <c r="N809" i="9"/>
  <c r="M809" i="9"/>
  <c r="L809" i="9"/>
  <c r="K809" i="9"/>
  <c r="J809" i="9"/>
  <c r="I809" i="9"/>
  <c r="H809" i="9"/>
  <c r="G809" i="9"/>
  <c r="F809" i="9"/>
  <c r="E809" i="9"/>
  <c r="D809" i="9"/>
  <c r="C809" i="9"/>
  <c r="AB808" i="9"/>
  <c r="V808" i="9"/>
  <c r="U808" i="9"/>
  <c r="P808" i="9"/>
  <c r="O808" i="9"/>
  <c r="N808" i="9"/>
  <c r="M808" i="9"/>
  <c r="L808" i="9"/>
  <c r="K808" i="9"/>
  <c r="S808" i="9" s="1"/>
  <c r="J808" i="9"/>
  <c r="I808" i="9"/>
  <c r="H808" i="9"/>
  <c r="G808" i="9"/>
  <c r="F808" i="9"/>
  <c r="E808" i="9"/>
  <c r="D808" i="9"/>
  <c r="C808" i="9"/>
  <c r="AB807" i="9"/>
  <c r="V807" i="9"/>
  <c r="U807" i="9"/>
  <c r="P807" i="9"/>
  <c r="O807" i="9"/>
  <c r="N807" i="9"/>
  <c r="M807" i="9"/>
  <c r="L807" i="9"/>
  <c r="K807" i="9"/>
  <c r="S807" i="9" s="1"/>
  <c r="J807" i="9"/>
  <c r="I807" i="9"/>
  <c r="H807" i="9"/>
  <c r="G807" i="9"/>
  <c r="F807" i="9"/>
  <c r="E807" i="9"/>
  <c r="D807" i="9"/>
  <c r="C807" i="9"/>
  <c r="AB806" i="9"/>
  <c r="V806" i="9"/>
  <c r="U806" i="9"/>
  <c r="P806" i="9"/>
  <c r="O806" i="9"/>
  <c r="N806" i="9"/>
  <c r="M806" i="9"/>
  <c r="L806" i="9"/>
  <c r="K806" i="9"/>
  <c r="S806" i="9" s="1"/>
  <c r="J806" i="9"/>
  <c r="I806" i="9"/>
  <c r="H806" i="9"/>
  <c r="G806" i="9"/>
  <c r="F806" i="9"/>
  <c r="E806" i="9"/>
  <c r="D806" i="9"/>
  <c r="C806" i="9"/>
  <c r="AB805" i="9"/>
  <c r="V805" i="9"/>
  <c r="U805" i="9"/>
  <c r="P805" i="9"/>
  <c r="O805" i="9"/>
  <c r="N805" i="9"/>
  <c r="M805" i="9"/>
  <c r="L805" i="9"/>
  <c r="K805" i="9"/>
  <c r="S805" i="9" s="1"/>
  <c r="J805" i="9"/>
  <c r="I805" i="9"/>
  <c r="H805" i="9"/>
  <c r="G805" i="9"/>
  <c r="F805" i="9"/>
  <c r="E805" i="9"/>
  <c r="D805" i="9"/>
  <c r="C805" i="9"/>
  <c r="AB804" i="9"/>
  <c r="V804" i="9"/>
  <c r="U804" i="9"/>
  <c r="P804" i="9"/>
  <c r="O804" i="9"/>
  <c r="N804" i="9"/>
  <c r="M804" i="9"/>
  <c r="L804" i="9"/>
  <c r="K804" i="9"/>
  <c r="S804" i="9" s="1"/>
  <c r="J804" i="9"/>
  <c r="I804" i="9"/>
  <c r="H804" i="9"/>
  <c r="G804" i="9"/>
  <c r="F804" i="9"/>
  <c r="E804" i="9"/>
  <c r="D804" i="9"/>
  <c r="C804" i="9"/>
  <c r="AB803" i="9"/>
  <c r="V803" i="9"/>
  <c r="U803" i="9"/>
  <c r="P803" i="9"/>
  <c r="O803" i="9"/>
  <c r="N803" i="9"/>
  <c r="M803" i="9"/>
  <c r="L803" i="9"/>
  <c r="K803" i="9"/>
  <c r="J803" i="9"/>
  <c r="I803" i="9"/>
  <c r="H803" i="9"/>
  <c r="G803" i="9"/>
  <c r="F803" i="9"/>
  <c r="E803" i="9"/>
  <c r="D803" i="9"/>
  <c r="C803" i="9"/>
  <c r="AB800" i="9"/>
  <c r="V800" i="9"/>
  <c r="U800" i="9"/>
  <c r="P800" i="9"/>
  <c r="O800" i="9"/>
  <c r="N800" i="9"/>
  <c r="M800" i="9"/>
  <c r="L800" i="9"/>
  <c r="K800" i="9"/>
  <c r="S802" i="9" s="1"/>
  <c r="J800" i="9"/>
  <c r="I800" i="9"/>
  <c r="H800" i="9"/>
  <c r="G800" i="9"/>
  <c r="F800" i="9"/>
  <c r="E800" i="9"/>
  <c r="D800" i="9"/>
  <c r="C800" i="9"/>
  <c r="AB797" i="9"/>
  <c r="V797" i="9"/>
  <c r="U797" i="9"/>
  <c r="P797" i="9"/>
  <c r="O797" i="9"/>
  <c r="N797" i="9"/>
  <c r="M797" i="9"/>
  <c r="L797" i="9"/>
  <c r="K797" i="9"/>
  <c r="J797" i="9"/>
  <c r="I797" i="9"/>
  <c r="H797" i="9"/>
  <c r="G797" i="9"/>
  <c r="F797" i="9"/>
  <c r="E797" i="9"/>
  <c r="D797" i="9"/>
  <c r="C797" i="9"/>
  <c r="AB795" i="9"/>
  <c r="V795" i="9"/>
  <c r="U795" i="9"/>
  <c r="P795" i="9"/>
  <c r="O795" i="9"/>
  <c r="N795" i="9"/>
  <c r="M795" i="9"/>
  <c r="L795" i="9"/>
  <c r="K795" i="9"/>
  <c r="S796" i="9" s="1"/>
  <c r="J795" i="9"/>
  <c r="I795" i="9"/>
  <c r="H795" i="9"/>
  <c r="G795" i="9"/>
  <c r="F795" i="9"/>
  <c r="E795" i="9"/>
  <c r="D795" i="9"/>
  <c r="C795" i="9"/>
  <c r="AB794" i="9"/>
  <c r="V794" i="9"/>
  <c r="U794" i="9"/>
  <c r="P794" i="9"/>
  <c r="O794" i="9"/>
  <c r="N794" i="9"/>
  <c r="M794" i="9"/>
  <c r="L794" i="9"/>
  <c r="K794" i="9"/>
  <c r="S794" i="9" s="1"/>
  <c r="J794" i="9"/>
  <c r="I794" i="9"/>
  <c r="H794" i="9"/>
  <c r="G794" i="9"/>
  <c r="F794" i="9"/>
  <c r="E794" i="9"/>
  <c r="D794" i="9"/>
  <c r="C794" i="9"/>
  <c r="AB792" i="9"/>
  <c r="V792" i="9"/>
  <c r="U792" i="9"/>
  <c r="P792" i="9"/>
  <c r="O792" i="9"/>
  <c r="N792" i="9"/>
  <c r="M792" i="9"/>
  <c r="L792" i="9"/>
  <c r="K792" i="9"/>
  <c r="J792" i="9"/>
  <c r="I792" i="9"/>
  <c r="H792" i="9"/>
  <c r="G792" i="9"/>
  <c r="F792" i="9"/>
  <c r="E792" i="9"/>
  <c r="D792" i="9"/>
  <c r="C792" i="9"/>
  <c r="AB791" i="9"/>
  <c r="V791" i="9"/>
  <c r="U791" i="9"/>
  <c r="P791" i="9"/>
  <c r="O791" i="9"/>
  <c r="N791" i="9"/>
  <c r="M791" i="9"/>
  <c r="L791" i="9"/>
  <c r="K791" i="9"/>
  <c r="S791" i="9" s="1"/>
  <c r="J791" i="9"/>
  <c r="I791" i="9"/>
  <c r="H791" i="9"/>
  <c r="G791" i="9"/>
  <c r="F791" i="9"/>
  <c r="E791" i="9"/>
  <c r="D791" i="9"/>
  <c r="C791" i="9"/>
  <c r="AB790" i="9"/>
  <c r="V790" i="9"/>
  <c r="U790" i="9"/>
  <c r="P790" i="9"/>
  <c r="O790" i="9"/>
  <c r="N790" i="9"/>
  <c r="M790" i="9"/>
  <c r="L790" i="9"/>
  <c r="K790" i="9"/>
  <c r="S790" i="9" s="1"/>
  <c r="J790" i="9"/>
  <c r="I790" i="9"/>
  <c r="H790" i="9"/>
  <c r="G790" i="9"/>
  <c r="F790" i="9"/>
  <c r="E790" i="9"/>
  <c r="D790" i="9"/>
  <c r="C790" i="9"/>
  <c r="AB789" i="9"/>
  <c r="V789" i="9"/>
  <c r="U789" i="9"/>
  <c r="P789" i="9"/>
  <c r="O789" i="9"/>
  <c r="N789" i="9"/>
  <c r="M789" i="9"/>
  <c r="L789" i="9"/>
  <c r="K789" i="9"/>
  <c r="S789" i="9" s="1"/>
  <c r="J789" i="9"/>
  <c r="I789" i="9"/>
  <c r="H789" i="9"/>
  <c r="G789" i="9"/>
  <c r="F789" i="9"/>
  <c r="E789" i="9"/>
  <c r="D789" i="9"/>
  <c r="C789" i="9"/>
  <c r="AB324" i="9"/>
  <c r="V324" i="9"/>
  <c r="U324" i="9"/>
  <c r="P324" i="9"/>
  <c r="O324" i="9"/>
  <c r="N324" i="9"/>
  <c r="M324" i="9"/>
  <c r="L324" i="9"/>
  <c r="K324" i="9"/>
  <c r="S324" i="9" s="1"/>
  <c r="J324" i="9"/>
  <c r="I324" i="9"/>
  <c r="H324" i="9"/>
  <c r="G324" i="9"/>
  <c r="F324" i="9"/>
  <c r="E324" i="9"/>
  <c r="D324" i="9"/>
  <c r="C324" i="9"/>
  <c r="AB323" i="9"/>
  <c r="V323" i="9"/>
  <c r="U323" i="9"/>
  <c r="P323" i="9"/>
  <c r="O323" i="9"/>
  <c r="N323" i="9"/>
  <c r="M323" i="9"/>
  <c r="L323" i="9"/>
  <c r="K323" i="9"/>
  <c r="S323" i="9" s="1"/>
  <c r="J323" i="9"/>
  <c r="I323" i="9"/>
  <c r="H323" i="9"/>
  <c r="G323" i="9"/>
  <c r="F323" i="9"/>
  <c r="E323" i="9"/>
  <c r="D323" i="9"/>
  <c r="C323" i="9"/>
  <c r="AB322" i="9"/>
  <c r="V322" i="9"/>
  <c r="U322" i="9"/>
  <c r="P322" i="9"/>
  <c r="O322" i="9"/>
  <c r="N322" i="9"/>
  <c r="M322" i="9"/>
  <c r="L322" i="9"/>
  <c r="K322" i="9"/>
  <c r="S322" i="9" s="1"/>
  <c r="J322" i="9"/>
  <c r="I322" i="9"/>
  <c r="H322" i="9"/>
  <c r="G322" i="9"/>
  <c r="F322" i="9"/>
  <c r="E322" i="9"/>
  <c r="D322" i="9"/>
  <c r="C322" i="9"/>
  <c r="AB321" i="9"/>
  <c r="V321" i="9"/>
  <c r="U321" i="9"/>
  <c r="P321" i="9"/>
  <c r="O321" i="9"/>
  <c r="N321" i="9"/>
  <c r="M321" i="9"/>
  <c r="L321" i="9"/>
  <c r="K321" i="9"/>
  <c r="S321" i="9" s="1"/>
  <c r="J321" i="9"/>
  <c r="I321" i="9"/>
  <c r="H321" i="9"/>
  <c r="G321" i="9"/>
  <c r="F321" i="9"/>
  <c r="E321" i="9"/>
  <c r="D321" i="9"/>
  <c r="C321" i="9"/>
  <c r="AB320" i="9"/>
  <c r="V320" i="9"/>
  <c r="U320" i="9"/>
  <c r="P320" i="9"/>
  <c r="O320" i="9"/>
  <c r="N320" i="9"/>
  <c r="M320" i="9"/>
  <c r="L320" i="9"/>
  <c r="K320" i="9"/>
  <c r="S320" i="9" s="1"/>
  <c r="J320" i="9"/>
  <c r="I320" i="9"/>
  <c r="H320" i="9"/>
  <c r="G320" i="9"/>
  <c r="F320" i="9"/>
  <c r="E320" i="9"/>
  <c r="D320" i="9"/>
  <c r="C320" i="9"/>
  <c r="AB319" i="9"/>
  <c r="V319" i="9"/>
  <c r="U319" i="9"/>
  <c r="P319" i="9"/>
  <c r="O319" i="9"/>
  <c r="N319" i="9"/>
  <c r="M319" i="9"/>
  <c r="L319" i="9"/>
  <c r="K319" i="9"/>
  <c r="S319" i="9" s="1"/>
  <c r="J319" i="9"/>
  <c r="I319" i="9"/>
  <c r="H319" i="9"/>
  <c r="G319" i="9"/>
  <c r="F319" i="9"/>
  <c r="E319" i="9"/>
  <c r="D319" i="9"/>
  <c r="C319" i="9"/>
  <c r="AB318" i="9"/>
  <c r="V318" i="9"/>
  <c r="U318" i="9"/>
  <c r="P318" i="9"/>
  <c r="O318" i="9"/>
  <c r="N318" i="9"/>
  <c r="M318" i="9"/>
  <c r="L318" i="9"/>
  <c r="K318" i="9"/>
  <c r="S318" i="9" s="1"/>
  <c r="J318" i="9"/>
  <c r="I318" i="9"/>
  <c r="H318" i="9"/>
  <c r="G318" i="9"/>
  <c r="F318" i="9"/>
  <c r="E318" i="9"/>
  <c r="D318" i="9"/>
  <c r="C318" i="9"/>
  <c r="AB317" i="9"/>
  <c r="V317" i="9"/>
  <c r="U317" i="9"/>
  <c r="P317" i="9"/>
  <c r="O317" i="9"/>
  <c r="N317" i="9"/>
  <c r="M317" i="9"/>
  <c r="L317" i="9"/>
  <c r="K317" i="9"/>
  <c r="S317" i="9" s="1"/>
  <c r="J317" i="9"/>
  <c r="I317" i="9"/>
  <c r="H317" i="9"/>
  <c r="G317" i="9"/>
  <c r="F317" i="9"/>
  <c r="E317" i="9"/>
  <c r="D317" i="9"/>
  <c r="C317" i="9"/>
  <c r="AB316" i="9"/>
  <c r="V316" i="9"/>
  <c r="U316" i="9"/>
  <c r="P316" i="9"/>
  <c r="O316" i="9"/>
  <c r="N316" i="9"/>
  <c r="M316" i="9"/>
  <c r="L316" i="9"/>
  <c r="K316" i="9"/>
  <c r="S316" i="9" s="1"/>
  <c r="J316" i="9"/>
  <c r="I316" i="9"/>
  <c r="H316" i="9"/>
  <c r="G316" i="9"/>
  <c r="F316" i="9"/>
  <c r="E316" i="9"/>
  <c r="D316" i="9"/>
  <c r="C316" i="9"/>
  <c r="AB315" i="9"/>
  <c r="V315" i="9"/>
  <c r="U315" i="9"/>
  <c r="P315" i="9"/>
  <c r="O315" i="9"/>
  <c r="N315" i="9"/>
  <c r="M315" i="9"/>
  <c r="L315" i="9"/>
  <c r="K315" i="9"/>
  <c r="S315" i="9" s="1"/>
  <c r="J315" i="9"/>
  <c r="I315" i="9"/>
  <c r="H315" i="9"/>
  <c r="G315" i="9"/>
  <c r="F315" i="9"/>
  <c r="E315" i="9"/>
  <c r="D315" i="9"/>
  <c r="C315" i="9"/>
  <c r="AB313" i="9"/>
  <c r="V313" i="9"/>
  <c r="U313" i="9"/>
  <c r="P313" i="9"/>
  <c r="O313" i="9"/>
  <c r="N313" i="9"/>
  <c r="M313" i="9"/>
  <c r="L313" i="9"/>
  <c r="K313" i="9"/>
  <c r="S314" i="9" s="1"/>
  <c r="J313" i="9"/>
  <c r="I313" i="9"/>
  <c r="H313" i="9"/>
  <c r="G313" i="9"/>
  <c r="F313" i="9"/>
  <c r="E313" i="9"/>
  <c r="D313" i="9"/>
  <c r="C313" i="9"/>
  <c r="AB312" i="9"/>
  <c r="V312" i="9"/>
  <c r="U312" i="9"/>
  <c r="P312" i="9"/>
  <c r="O312" i="9"/>
  <c r="N312" i="9"/>
  <c r="M312" i="9"/>
  <c r="L312" i="9"/>
  <c r="K312" i="9"/>
  <c r="S312" i="9" s="1"/>
  <c r="J312" i="9"/>
  <c r="I312" i="9"/>
  <c r="H312" i="9"/>
  <c r="G312" i="9"/>
  <c r="F312" i="9"/>
  <c r="E312" i="9"/>
  <c r="D312" i="9"/>
  <c r="C312" i="9"/>
  <c r="AB310" i="9"/>
  <c r="V310" i="9"/>
  <c r="U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AB308" i="9"/>
  <c r="V308" i="9"/>
  <c r="U308" i="9"/>
  <c r="P308" i="9"/>
  <c r="O308" i="9"/>
  <c r="N308" i="9"/>
  <c r="M308" i="9"/>
  <c r="L308" i="9"/>
  <c r="K308" i="9"/>
  <c r="S309" i="9" s="1"/>
  <c r="J308" i="9"/>
  <c r="I308" i="9"/>
  <c r="H308" i="9"/>
  <c r="G308" i="9"/>
  <c r="F308" i="9"/>
  <c r="E308" i="9"/>
  <c r="D308" i="9"/>
  <c r="C308" i="9"/>
  <c r="AB307" i="9"/>
  <c r="V307" i="9"/>
  <c r="U307" i="9"/>
  <c r="P307" i="9"/>
  <c r="O307" i="9"/>
  <c r="N307" i="9"/>
  <c r="M307" i="9"/>
  <c r="L307" i="9"/>
  <c r="K307" i="9"/>
  <c r="S307" i="9" s="1"/>
  <c r="J307" i="9"/>
  <c r="I307" i="9"/>
  <c r="H307" i="9"/>
  <c r="G307" i="9"/>
  <c r="F307" i="9"/>
  <c r="E307" i="9"/>
  <c r="D307" i="9"/>
  <c r="C307" i="9"/>
  <c r="AB306" i="9"/>
  <c r="V306" i="9"/>
  <c r="U306" i="9"/>
  <c r="P306" i="9"/>
  <c r="O306" i="9"/>
  <c r="N306" i="9"/>
  <c r="M306" i="9"/>
  <c r="L306" i="9"/>
  <c r="K306" i="9"/>
  <c r="S306" i="9" s="1"/>
  <c r="J306" i="9"/>
  <c r="I306" i="9"/>
  <c r="H306" i="9"/>
  <c r="G306" i="9"/>
  <c r="F306" i="9"/>
  <c r="E306" i="9"/>
  <c r="D306" i="9"/>
  <c r="C306" i="9"/>
  <c r="AB304" i="9"/>
  <c r="V304" i="9"/>
  <c r="U304" i="9"/>
  <c r="P304" i="9"/>
  <c r="O304" i="9"/>
  <c r="N304" i="9"/>
  <c r="M304" i="9"/>
  <c r="L304" i="9"/>
  <c r="K304" i="9"/>
  <c r="S305" i="9" s="1"/>
  <c r="J304" i="9"/>
  <c r="I304" i="9"/>
  <c r="H304" i="9"/>
  <c r="G304" i="9"/>
  <c r="F304" i="9"/>
  <c r="E304" i="9"/>
  <c r="D304" i="9"/>
  <c r="C304" i="9"/>
  <c r="AB303" i="9"/>
  <c r="V303" i="9"/>
  <c r="U303" i="9"/>
  <c r="P303" i="9"/>
  <c r="O303" i="9"/>
  <c r="N303" i="9"/>
  <c r="M303" i="9"/>
  <c r="L303" i="9"/>
  <c r="K303" i="9"/>
  <c r="S303" i="9" s="1"/>
  <c r="J303" i="9"/>
  <c r="I303" i="9"/>
  <c r="H303" i="9"/>
  <c r="G303" i="9"/>
  <c r="F303" i="9"/>
  <c r="E303" i="9"/>
  <c r="D303" i="9"/>
  <c r="C303" i="9"/>
  <c r="AB302" i="9"/>
  <c r="V302" i="9"/>
  <c r="U302" i="9"/>
  <c r="P302" i="9"/>
  <c r="O302" i="9"/>
  <c r="N302" i="9"/>
  <c r="M302" i="9"/>
  <c r="L302" i="9"/>
  <c r="K302" i="9"/>
  <c r="S302" i="9" s="1"/>
  <c r="J302" i="9"/>
  <c r="I302" i="9"/>
  <c r="H302" i="9"/>
  <c r="G302" i="9"/>
  <c r="F302" i="9"/>
  <c r="E302" i="9"/>
  <c r="D302" i="9"/>
  <c r="C302" i="9"/>
  <c r="AB301" i="9"/>
  <c r="V301" i="9"/>
  <c r="U301" i="9"/>
  <c r="P301" i="9"/>
  <c r="O301" i="9"/>
  <c r="N301" i="9"/>
  <c r="M301" i="9"/>
  <c r="L301" i="9"/>
  <c r="K301" i="9"/>
  <c r="S301" i="9" s="1"/>
  <c r="J301" i="9"/>
  <c r="I301" i="9"/>
  <c r="H301" i="9"/>
  <c r="G301" i="9"/>
  <c r="F301" i="9"/>
  <c r="E301" i="9"/>
  <c r="D301" i="9"/>
  <c r="C301" i="9"/>
  <c r="AB300" i="9"/>
  <c r="V300" i="9"/>
  <c r="U300" i="9"/>
  <c r="P300" i="9"/>
  <c r="O300" i="9"/>
  <c r="N300" i="9"/>
  <c r="M300" i="9"/>
  <c r="L300" i="9"/>
  <c r="K300" i="9"/>
  <c r="S300" i="9" s="1"/>
  <c r="J300" i="9"/>
  <c r="I300" i="9"/>
  <c r="H300" i="9"/>
  <c r="G300" i="9"/>
  <c r="F300" i="9"/>
  <c r="E300" i="9"/>
  <c r="D300" i="9"/>
  <c r="C300" i="9"/>
  <c r="AB297" i="9"/>
  <c r="V297" i="9"/>
  <c r="U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AB295" i="9"/>
  <c r="V295" i="9"/>
  <c r="U295" i="9"/>
  <c r="P295" i="9"/>
  <c r="O295" i="9"/>
  <c r="N295" i="9"/>
  <c r="M295" i="9"/>
  <c r="L295" i="9"/>
  <c r="K295" i="9"/>
  <c r="S295" i="9" s="1"/>
  <c r="J295" i="9"/>
  <c r="I295" i="9"/>
  <c r="H295" i="9"/>
  <c r="G295" i="9"/>
  <c r="F295" i="9"/>
  <c r="E295" i="9"/>
  <c r="D295" i="9"/>
  <c r="C295" i="9"/>
  <c r="AB294" i="9"/>
  <c r="V294" i="9"/>
  <c r="U294" i="9"/>
  <c r="P294" i="9"/>
  <c r="O294" i="9"/>
  <c r="N294" i="9"/>
  <c r="M294" i="9"/>
  <c r="L294" i="9"/>
  <c r="K294" i="9"/>
  <c r="S294" i="9" s="1"/>
  <c r="J294" i="9"/>
  <c r="I294" i="9"/>
  <c r="H294" i="9"/>
  <c r="G294" i="9"/>
  <c r="F294" i="9"/>
  <c r="E294" i="9"/>
  <c r="D294" i="9"/>
  <c r="C294" i="9"/>
  <c r="AB292" i="9"/>
  <c r="V292" i="9"/>
  <c r="U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AB290" i="9"/>
  <c r="V290" i="9"/>
  <c r="U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AB288" i="9"/>
  <c r="V288" i="9"/>
  <c r="U288" i="9"/>
  <c r="P288" i="9"/>
  <c r="O288" i="9"/>
  <c r="N288" i="9"/>
  <c r="M288" i="9"/>
  <c r="L288" i="9"/>
  <c r="K288" i="9"/>
  <c r="S289" i="9" s="1"/>
  <c r="J288" i="9"/>
  <c r="I288" i="9"/>
  <c r="H288" i="9"/>
  <c r="G288" i="9"/>
  <c r="F288" i="9"/>
  <c r="E288" i="9"/>
  <c r="D288" i="9"/>
  <c r="C288" i="9"/>
  <c r="AB286" i="9"/>
  <c r="V286" i="9"/>
  <c r="U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AB284" i="9"/>
  <c r="V284" i="9"/>
  <c r="U284" i="9"/>
  <c r="P284" i="9"/>
  <c r="O284" i="9"/>
  <c r="N284" i="9"/>
  <c r="M284" i="9"/>
  <c r="L284" i="9"/>
  <c r="K284" i="9"/>
  <c r="S285" i="9" s="1"/>
  <c r="J284" i="9"/>
  <c r="I284" i="9"/>
  <c r="H284" i="9"/>
  <c r="G284" i="9"/>
  <c r="F284" i="9"/>
  <c r="E284" i="9"/>
  <c r="D284" i="9"/>
  <c r="C284" i="9"/>
  <c r="AB283" i="9"/>
  <c r="V283" i="9"/>
  <c r="U283" i="9"/>
  <c r="P283" i="9"/>
  <c r="O283" i="9"/>
  <c r="N283" i="9"/>
  <c r="M283" i="9"/>
  <c r="L283" i="9"/>
  <c r="K283" i="9"/>
  <c r="S283" i="9" s="1"/>
  <c r="J283" i="9"/>
  <c r="I283" i="9"/>
  <c r="H283" i="9"/>
  <c r="G283" i="9"/>
  <c r="F283" i="9"/>
  <c r="E283" i="9"/>
  <c r="D283" i="9"/>
  <c r="C283" i="9"/>
  <c r="AB282" i="9"/>
  <c r="V282" i="9"/>
  <c r="U282" i="9"/>
  <c r="P282" i="9"/>
  <c r="O282" i="9"/>
  <c r="N282" i="9"/>
  <c r="M282" i="9"/>
  <c r="L282" i="9"/>
  <c r="K282" i="9"/>
  <c r="S282" i="9" s="1"/>
  <c r="J282" i="9"/>
  <c r="I282" i="9"/>
  <c r="H282" i="9"/>
  <c r="G282" i="9"/>
  <c r="F282" i="9"/>
  <c r="E282" i="9"/>
  <c r="D282" i="9"/>
  <c r="C282" i="9"/>
  <c r="AB281" i="9"/>
  <c r="V281" i="9"/>
  <c r="U281" i="9"/>
  <c r="P281" i="9"/>
  <c r="O281" i="9"/>
  <c r="N281" i="9"/>
  <c r="M281" i="9"/>
  <c r="L281" i="9"/>
  <c r="K281" i="9"/>
  <c r="S281" i="9" s="1"/>
  <c r="J281" i="9"/>
  <c r="I281" i="9"/>
  <c r="H281" i="9"/>
  <c r="G281" i="9"/>
  <c r="F281" i="9"/>
  <c r="E281" i="9"/>
  <c r="D281" i="9"/>
  <c r="C281" i="9"/>
  <c r="AB280" i="9"/>
  <c r="V280" i="9"/>
  <c r="U280" i="9"/>
  <c r="P280" i="9"/>
  <c r="O280" i="9"/>
  <c r="N280" i="9"/>
  <c r="M280" i="9"/>
  <c r="L280" i="9"/>
  <c r="K280" i="9"/>
  <c r="S280" i="9" s="1"/>
  <c r="J280" i="9"/>
  <c r="I280" i="9"/>
  <c r="H280" i="9"/>
  <c r="G280" i="9"/>
  <c r="F280" i="9"/>
  <c r="E280" i="9"/>
  <c r="D280" i="9"/>
  <c r="C280" i="9"/>
  <c r="AB278" i="9"/>
  <c r="V278" i="9"/>
  <c r="U278" i="9"/>
  <c r="P278" i="9"/>
  <c r="O278" i="9"/>
  <c r="N278" i="9"/>
  <c r="M278" i="9"/>
  <c r="L278" i="9"/>
  <c r="K278" i="9"/>
  <c r="S279" i="9" s="1"/>
  <c r="J278" i="9"/>
  <c r="I278" i="9"/>
  <c r="H278" i="9"/>
  <c r="G278" i="9"/>
  <c r="F278" i="9"/>
  <c r="E278" i="9"/>
  <c r="D278" i="9"/>
  <c r="C278" i="9"/>
  <c r="AB277" i="9"/>
  <c r="V277" i="9"/>
  <c r="U277" i="9"/>
  <c r="P277" i="9"/>
  <c r="O277" i="9"/>
  <c r="N277" i="9"/>
  <c r="M277" i="9"/>
  <c r="L277" i="9"/>
  <c r="K277" i="9"/>
  <c r="S277" i="9" s="1"/>
  <c r="J277" i="9"/>
  <c r="I277" i="9"/>
  <c r="H277" i="9"/>
  <c r="G277" i="9"/>
  <c r="F277" i="9"/>
  <c r="E277" i="9"/>
  <c r="D277" i="9"/>
  <c r="C277" i="9"/>
  <c r="AB274" i="9"/>
  <c r="V274" i="9"/>
  <c r="U274" i="9"/>
  <c r="P274" i="9"/>
  <c r="O274" i="9"/>
  <c r="N274" i="9"/>
  <c r="M274" i="9"/>
  <c r="L274" i="9"/>
  <c r="K274" i="9"/>
  <c r="S276" i="9" s="1"/>
  <c r="J274" i="9"/>
  <c r="I274" i="9"/>
  <c r="H274" i="9"/>
  <c r="G274" i="9"/>
  <c r="F274" i="9"/>
  <c r="E274" i="9"/>
  <c r="D274" i="9"/>
  <c r="C274" i="9"/>
  <c r="AB272" i="9"/>
  <c r="V272" i="9"/>
  <c r="U272" i="9"/>
  <c r="P272" i="9"/>
  <c r="O272" i="9"/>
  <c r="N272" i="9"/>
  <c r="M272" i="9"/>
  <c r="L272" i="9"/>
  <c r="K272" i="9"/>
  <c r="S273" i="9" s="1"/>
  <c r="J272" i="9"/>
  <c r="I272" i="9"/>
  <c r="H272" i="9"/>
  <c r="G272" i="9"/>
  <c r="F272" i="9"/>
  <c r="E272" i="9"/>
  <c r="D272" i="9"/>
  <c r="C272" i="9"/>
  <c r="AB270" i="9"/>
  <c r="V270" i="9"/>
  <c r="U270" i="9"/>
  <c r="P270" i="9"/>
  <c r="O270" i="9"/>
  <c r="N270" i="9"/>
  <c r="M270" i="9"/>
  <c r="L270" i="9"/>
  <c r="K270" i="9"/>
  <c r="S271" i="9" s="1"/>
  <c r="J270" i="9"/>
  <c r="I270" i="9"/>
  <c r="H270" i="9"/>
  <c r="G270" i="9"/>
  <c r="F270" i="9"/>
  <c r="E270" i="9"/>
  <c r="D270" i="9"/>
  <c r="C270" i="9"/>
  <c r="AB269" i="9"/>
  <c r="V269" i="9"/>
  <c r="U269" i="9"/>
  <c r="P269" i="9"/>
  <c r="O269" i="9"/>
  <c r="N269" i="9"/>
  <c r="M269" i="9"/>
  <c r="L269" i="9"/>
  <c r="K269" i="9"/>
  <c r="S269" i="9" s="1"/>
  <c r="J269" i="9"/>
  <c r="I269" i="9"/>
  <c r="H269" i="9"/>
  <c r="G269" i="9"/>
  <c r="F269" i="9"/>
  <c r="E269" i="9"/>
  <c r="D269" i="9"/>
  <c r="C269" i="9"/>
  <c r="AB268" i="9"/>
  <c r="V268" i="9"/>
  <c r="U268" i="9"/>
  <c r="P268" i="9"/>
  <c r="O268" i="9"/>
  <c r="N268" i="9"/>
  <c r="M268" i="9"/>
  <c r="L268" i="9"/>
  <c r="K268" i="9"/>
  <c r="S268" i="9" s="1"/>
  <c r="J268" i="9"/>
  <c r="I268" i="9"/>
  <c r="H268" i="9"/>
  <c r="G268" i="9"/>
  <c r="F268" i="9"/>
  <c r="E268" i="9"/>
  <c r="D268" i="9"/>
  <c r="C268" i="9"/>
  <c r="AB267" i="9"/>
  <c r="V267" i="9"/>
  <c r="U267" i="9"/>
  <c r="P267" i="9"/>
  <c r="O267" i="9"/>
  <c r="N267" i="9"/>
  <c r="M267" i="9"/>
  <c r="L267" i="9"/>
  <c r="K267" i="9"/>
  <c r="S267" i="9" s="1"/>
  <c r="J267" i="9"/>
  <c r="I267" i="9"/>
  <c r="H267" i="9"/>
  <c r="G267" i="9"/>
  <c r="F267" i="9"/>
  <c r="E267" i="9"/>
  <c r="D267" i="9"/>
  <c r="C267" i="9"/>
  <c r="AB266" i="9"/>
  <c r="V266" i="9"/>
  <c r="U266" i="9"/>
  <c r="P266" i="9"/>
  <c r="O266" i="9"/>
  <c r="N266" i="9"/>
  <c r="M266" i="9"/>
  <c r="L266" i="9"/>
  <c r="K266" i="9"/>
  <c r="S266" i="9" s="1"/>
  <c r="J266" i="9"/>
  <c r="I266" i="9"/>
  <c r="H266" i="9"/>
  <c r="G266" i="9"/>
  <c r="F266" i="9"/>
  <c r="E266" i="9"/>
  <c r="D266" i="9"/>
  <c r="C266" i="9"/>
  <c r="AB265" i="9"/>
  <c r="V265" i="9"/>
  <c r="U265" i="9"/>
  <c r="P265" i="9"/>
  <c r="O265" i="9"/>
  <c r="N265" i="9"/>
  <c r="M265" i="9"/>
  <c r="L265" i="9"/>
  <c r="K265" i="9"/>
  <c r="S265" i="9" s="1"/>
  <c r="J265" i="9"/>
  <c r="I265" i="9"/>
  <c r="H265" i="9"/>
  <c r="G265" i="9"/>
  <c r="F265" i="9"/>
  <c r="E265" i="9"/>
  <c r="D265" i="9"/>
  <c r="C265" i="9"/>
  <c r="AB264" i="9"/>
  <c r="V264" i="9"/>
  <c r="U264" i="9"/>
  <c r="P264" i="9"/>
  <c r="O264" i="9"/>
  <c r="N264" i="9"/>
  <c r="M264" i="9"/>
  <c r="L264" i="9"/>
  <c r="K264" i="9"/>
  <c r="S264" i="9" s="1"/>
  <c r="J264" i="9"/>
  <c r="I264" i="9"/>
  <c r="H264" i="9"/>
  <c r="G264" i="9"/>
  <c r="F264" i="9"/>
  <c r="E264" i="9"/>
  <c r="D264" i="9"/>
  <c r="C264" i="9"/>
  <c r="AB263" i="9"/>
  <c r="V263" i="9"/>
  <c r="U263" i="9"/>
  <c r="P263" i="9"/>
  <c r="O263" i="9"/>
  <c r="N263" i="9"/>
  <c r="M263" i="9"/>
  <c r="L263" i="9"/>
  <c r="K263" i="9"/>
  <c r="S263" i="9" s="1"/>
  <c r="J263" i="9"/>
  <c r="I263" i="9"/>
  <c r="H263" i="9"/>
  <c r="G263" i="9"/>
  <c r="F263" i="9"/>
  <c r="E263" i="9"/>
  <c r="D263" i="9"/>
  <c r="C263" i="9"/>
  <c r="AB262" i="9"/>
  <c r="V262" i="9"/>
  <c r="U262" i="9"/>
  <c r="P262" i="9"/>
  <c r="O262" i="9"/>
  <c r="N262" i="9"/>
  <c r="M262" i="9"/>
  <c r="L262" i="9"/>
  <c r="K262" i="9"/>
  <c r="S262" i="9" s="1"/>
  <c r="J262" i="9"/>
  <c r="I262" i="9"/>
  <c r="H262" i="9"/>
  <c r="G262" i="9"/>
  <c r="F262" i="9"/>
  <c r="E262" i="9"/>
  <c r="D262" i="9"/>
  <c r="C262" i="9"/>
  <c r="AB261" i="9"/>
  <c r="V261" i="9"/>
  <c r="U261" i="9"/>
  <c r="P261" i="9"/>
  <c r="O261" i="9"/>
  <c r="N261" i="9"/>
  <c r="M261" i="9"/>
  <c r="L261" i="9"/>
  <c r="K261" i="9"/>
  <c r="S261" i="9" s="1"/>
  <c r="J261" i="9"/>
  <c r="I261" i="9"/>
  <c r="H261" i="9"/>
  <c r="G261" i="9"/>
  <c r="F261" i="9"/>
  <c r="E261" i="9"/>
  <c r="D261" i="9"/>
  <c r="C261" i="9"/>
  <c r="AB260" i="9"/>
  <c r="V260" i="9"/>
  <c r="U260" i="9"/>
  <c r="P260" i="9"/>
  <c r="O260" i="9"/>
  <c r="N260" i="9"/>
  <c r="M260" i="9"/>
  <c r="L260" i="9"/>
  <c r="K260" i="9"/>
  <c r="S260" i="9" s="1"/>
  <c r="J260" i="9"/>
  <c r="I260" i="9"/>
  <c r="H260" i="9"/>
  <c r="G260" i="9"/>
  <c r="F260" i="9"/>
  <c r="E260" i="9"/>
  <c r="D260" i="9"/>
  <c r="C260" i="9"/>
  <c r="AB259" i="9"/>
  <c r="V259" i="9"/>
  <c r="U259" i="9"/>
  <c r="P259" i="9"/>
  <c r="O259" i="9"/>
  <c r="N259" i="9"/>
  <c r="M259" i="9"/>
  <c r="L259" i="9"/>
  <c r="K259" i="9"/>
  <c r="S259" i="9" s="1"/>
  <c r="J259" i="9"/>
  <c r="I259" i="9"/>
  <c r="H259" i="9"/>
  <c r="G259" i="9"/>
  <c r="F259" i="9"/>
  <c r="E259" i="9"/>
  <c r="D259" i="9"/>
  <c r="C259" i="9"/>
  <c r="AB258" i="9"/>
  <c r="V258" i="9"/>
  <c r="U258" i="9"/>
  <c r="P258" i="9"/>
  <c r="O258" i="9"/>
  <c r="N258" i="9"/>
  <c r="M258" i="9"/>
  <c r="L258" i="9"/>
  <c r="K258" i="9"/>
  <c r="S258" i="9" s="1"/>
  <c r="J258" i="9"/>
  <c r="I258" i="9"/>
  <c r="H258" i="9"/>
  <c r="G258" i="9"/>
  <c r="F258" i="9"/>
  <c r="E258" i="9"/>
  <c r="D258" i="9"/>
  <c r="C258" i="9"/>
  <c r="AB257" i="9"/>
  <c r="V257" i="9"/>
  <c r="U257" i="9"/>
  <c r="P257" i="9"/>
  <c r="O257" i="9"/>
  <c r="N257" i="9"/>
  <c r="M257" i="9"/>
  <c r="L257" i="9"/>
  <c r="K257" i="9"/>
  <c r="S257" i="9" s="1"/>
  <c r="J257" i="9"/>
  <c r="I257" i="9"/>
  <c r="H257" i="9"/>
  <c r="G257" i="9"/>
  <c r="F257" i="9"/>
  <c r="E257" i="9"/>
  <c r="D257" i="9"/>
  <c r="C257" i="9"/>
  <c r="AB256" i="9"/>
  <c r="V256" i="9"/>
  <c r="U256" i="9"/>
  <c r="P256" i="9"/>
  <c r="O256" i="9"/>
  <c r="N256" i="9"/>
  <c r="M256" i="9"/>
  <c r="L256" i="9"/>
  <c r="K256" i="9"/>
  <c r="S256" i="9" s="1"/>
  <c r="J256" i="9"/>
  <c r="I256" i="9"/>
  <c r="H256" i="9"/>
  <c r="G256" i="9"/>
  <c r="F256" i="9"/>
  <c r="E256" i="9"/>
  <c r="D256" i="9"/>
  <c r="C256" i="9"/>
  <c r="AB255" i="9"/>
  <c r="V255" i="9"/>
  <c r="U255" i="9"/>
  <c r="P255" i="9"/>
  <c r="O255" i="9"/>
  <c r="N255" i="9"/>
  <c r="M255" i="9"/>
  <c r="L255" i="9"/>
  <c r="K255" i="9"/>
  <c r="S255" i="9" s="1"/>
  <c r="J255" i="9"/>
  <c r="I255" i="9"/>
  <c r="H255" i="9"/>
  <c r="G255" i="9"/>
  <c r="F255" i="9"/>
  <c r="E255" i="9"/>
  <c r="D255" i="9"/>
  <c r="C255" i="9"/>
  <c r="AB252" i="9"/>
  <c r="V252" i="9"/>
  <c r="U252" i="9"/>
  <c r="P252" i="9"/>
  <c r="O252" i="9"/>
  <c r="N252" i="9"/>
  <c r="M252" i="9"/>
  <c r="L252" i="9"/>
  <c r="K252" i="9"/>
  <c r="S254" i="9" s="1"/>
  <c r="J252" i="9"/>
  <c r="I252" i="9"/>
  <c r="H252" i="9"/>
  <c r="G252" i="9"/>
  <c r="F252" i="9"/>
  <c r="E252" i="9"/>
  <c r="D252" i="9"/>
  <c r="C252" i="9"/>
  <c r="AB251" i="9"/>
  <c r="V251" i="9"/>
  <c r="U251" i="9"/>
  <c r="P251" i="9"/>
  <c r="O251" i="9"/>
  <c r="N251" i="9"/>
  <c r="M251" i="9"/>
  <c r="L251" i="9"/>
  <c r="K251" i="9"/>
  <c r="S251" i="9" s="1"/>
  <c r="J251" i="9"/>
  <c r="I251" i="9"/>
  <c r="H251" i="9"/>
  <c r="G251" i="9"/>
  <c r="F251" i="9"/>
  <c r="E251" i="9"/>
  <c r="D251" i="9"/>
  <c r="C251" i="9"/>
  <c r="AB250" i="9"/>
  <c r="V250" i="9"/>
  <c r="U250" i="9"/>
  <c r="P250" i="9"/>
  <c r="O250" i="9"/>
  <c r="N250" i="9"/>
  <c r="M250" i="9"/>
  <c r="L250" i="9"/>
  <c r="K250" i="9"/>
  <c r="S250" i="9" s="1"/>
  <c r="J250" i="9"/>
  <c r="I250" i="9"/>
  <c r="H250" i="9"/>
  <c r="G250" i="9"/>
  <c r="F250" i="9"/>
  <c r="E250" i="9"/>
  <c r="D250" i="9"/>
  <c r="C250" i="9"/>
  <c r="V249" i="9"/>
  <c r="U249" i="9"/>
  <c r="C249" i="9"/>
  <c r="AB248" i="9"/>
  <c r="V248" i="9"/>
  <c r="U248" i="9"/>
  <c r="P248" i="9"/>
  <c r="O248" i="9"/>
  <c r="N248" i="9"/>
  <c r="M248" i="9"/>
  <c r="L248" i="9"/>
  <c r="K248" i="9"/>
  <c r="S248" i="9" s="1"/>
  <c r="J248" i="9"/>
  <c r="I248" i="9"/>
  <c r="H248" i="9"/>
  <c r="G248" i="9"/>
  <c r="F248" i="9"/>
  <c r="E248" i="9"/>
  <c r="D248" i="9"/>
  <c r="C248" i="9"/>
  <c r="AB247" i="9"/>
  <c r="V247" i="9"/>
  <c r="U247" i="9"/>
  <c r="P247" i="9"/>
  <c r="O247" i="9"/>
  <c r="N247" i="9"/>
  <c r="M247" i="9"/>
  <c r="L247" i="9"/>
  <c r="K247" i="9"/>
  <c r="S247" i="9" s="1"/>
  <c r="J247" i="9"/>
  <c r="I247" i="9"/>
  <c r="H247" i="9"/>
  <c r="G247" i="9"/>
  <c r="F247" i="9"/>
  <c r="E247" i="9"/>
  <c r="D247" i="9"/>
  <c r="C247" i="9"/>
  <c r="AB246" i="9"/>
  <c r="V246" i="9"/>
  <c r="U246" i="9"/>
  <c r="P246" i="9"/>
  <c r="O246" i="9"/>
  <c r="N246" i="9"/>
  <c r="M246" i="9"/>
  <c r="L246" i="9"/>
  <c r="K246" i="9"/>
  <c r="S246" i="9" s="1"/>
  <c r="J246" i="9"/>
  <c r="I246" i="9"/>
  <c r="H246" i="9"/>
  <c r="G246" i="9"/>
  <c r="F246" i="9"/>
  <c r="E246" i="9"/>
  <c r="D246" i="9"/>
  <c r="C246" i="9"/>
  <c r="AB241" i="9"/>
  <c r="V241" i="9"/>
  <c r="U241" i="9"/>
  <c r="P241" i="9"/>
  <c r="O241" i="9"/>
  <c r="N241" i="9"/>
  <c r="M241" i="9"/>
  <c r="L241" i="9"/>
  <c r="K241" i="9"/>
  <c r="S245" i="9" s="1"/>
  <c r="J241" i="9"/>
  <c r="I241" i="9"/>
  <c r="H241" i="9"/>
  <c r="G241" i="9"/>
  <c r="F241" i="9"/>
  <c r="E241" i="9"/>
  <c r="D241" i="9"/>
  <c r="C241" i="9"/>
  <c r="AB239" i="9"/>
  <c r="V239" i="9"/>
  <c r="U239" i="9"/>
  <c r="P239" i="9"/>
  <c r="O239" i="9"/>
  <c r="N239" i="9"/>
  <c r="M239" i="9"/>
  <c r="L239" i="9"/>
  <c r="K239" i="9"/>
  <c r="S240" i="9" s="1"/>
  <c r="J239" i="9"/>
  <c r="I239" i="9"/>
  <c r="H239" i="9"/>
  <c r="G239" i="9"/>
  <c r="F239" i="9"/>
  <c r="E239" i="9"/>
  <c r="D239" i="9"/>
  <c r="C239" i="9"/>
  <c r="AB233" i="9"/>
  <c r="V233" i="9"/>
  <c r="U233" i="9"/>
  <c r="P233" i="9"/>
  <c r="O233" i="9"/>
  <c r="N233" i="9"/>
  <c r="M233" i="9"/>
  <c r="L233" i="9"/>
  <c r="K233" i="9"/>
  <c r="S238" i="9" s="1"/>
  <c r="J233" i="9"/>
  <c r="I233" i="9"/>
  <c r="H233" i="9"/>
  <c r="G233" i="9"/>
  <c r="F233" i="9"/>
  <c r="E233" i="9"/>
  <c r="D233" i="9"/>
  <c r="C233" i="9"/>
  <c r="AB228" i="9"/>
  <c r="V228" i="9"/>
  <c r="U228" i="9"/>
  <c r="P228" i="9"/>
  <c r="O228" i="9"/>
  <c r="N228" i="9"/>
  <c r="M228" i="9"/>
  <c r="L228" i="9"/>
  <c r="K228" i="9"/>
  <c r="S232" i="9" s="1"/>
  <c r="J228" i="9"/>
  <c r="I228" i="9"/>
  <c r="H228" i="9"/>
  <c r="G228" i="9"/>
  <c r="F228" i="9"/>
  <c r="E228" i="9"/>
  <c r="D228" i="9"/>
  <c r="C228" i="9"/>
  <c r="V227" i="9"/>
  <c r="U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AB226" i="9"/>
  <c r="V226" i="9"/>
  <c r="U226" i="9"/>
  <c r="P226" i="9"/>
  <c r="O226" i="9"/>
  <c r="N226" i="9"/>
  <c r="M226" i="9"/>
  <c r="L226" i="9"/>
  <c r="K226" i="9"/>
  <c r="S227" i="9" s="1"/>
  <c r="J226" i="9"/>
  <c r="I226" i="9"/>
  <c r="H226" i="9"/>
  <c r="G226" i="9"/>
  <c r="F226" i="9"/>
  <c r="E226" i="9"/>
  <c r="D226" i="9"/>
  <c r="AB225" i="9"/>
  <c r="V225" i="9"/>
  <c r="U225" i="9"/>
  <c r="P225" i="9"/>
  <c r="O225" i="9"/>
  <c r="N225" i="9"/>
  <c r="M225" i="9"/>
  <c r="L225" i="9"/>
  <c r="K225" i="9"/>
  <c r="S225" i="9" s="1"/>
  <c r="J225" i="9"/>
  <c r="I225" i="9"/>
  <c r="H225" i="9"/>
  <c r="G225" i="9"/>
  <c r="F225" i="9"/>
  <c r="E225" i="9"/>
  <c r="D225" i="9"/>
  <c r="AB224" i="9"/>
  <c r="V224" i="9"/>
  <c r="U224" i="9"/>
  <c r="P224" i="9"/>
  <c r="O224" i="9"/>
  <c r="N224" i="9"/>
  <c r="M224" i="9"/>
  <c r="L224" i="9"/>
  <c r="K224" i="9"/>
  <c r="S224" i="9" s="1"/>
  <c r="J224" i="9"/>
  <c r="I224" i="9"/>
  <c r="H224" i="9"/>
  <c r="G224" i="9"/>
  <c r="F224" i="9"/>
  <c r="E224" i="9"/>
  <c r="D224" i="9"/>
  <c r="V223" i="9"/>
  <c r="U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V222" i="9"/>
  <c r="U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AC179" i="1"/>
  <c r="AA179" i="1"/>
  <c r="Z179" i="1"/>
  <c r="Y179" i="1"/>
  <c r="AC178" i="1"/>
  <c r="AA178" i="1"/>
  <c r="Z178" i="1"/>
  <c r="Y178" i="1"/>
  <c r="AC177" i="1"/>
  <c r="AA177" i="1"/>
  <c r="Z177" i="1"/>
  <c r="Y177" i="1"/>
  <c r="AC176" i="1"/>
  <c r="AA176" i="1"/>
  <c r="Z176" i="1"/>
  <c r="Y176" i="1"/>
  <c r="AC175" i="1"/>
  <c r="AA175" i="1"/>
  <c r="Z175" i="1"/>
  <c r="Y175" i="1"/>
  <c r="AC174" i="1"/>
  <c r="AA174" i="1"/>
  <c r="Z174" i="1"/>
  <c r="Y174" i="1"/>
  <c r="AC173" i="1"/>
  <c r="AA173" i="1"/>
  <c r="Z173" i="1"/>
  <c r="Y173" i="1"/>
  <c r="AC172" i="1"/>
  <c r="AA172" i="1"/>
  <c r="Z172" i="1"/>
  <c r="Y172" i="1"/>
  <c r="AC171" i="1"/>
  <c r="AA171" i="1"/>
  <c r="Z171" i="1"/>
  <c r="Y171" i="1"/>
  <c r="AC170" i="1"/>
  <c r="AA170" i="1"/>
  <c r="Z170" i="1"/>
  <c r="Y170" i="1"/>
  <c r="AC169" i="1"/>
  <c r="AA169" i="1"/>
  <c r="Z169" i="1"/>
  <c r="Y169" i="1"/>
  <c r="AC168" i="1"/>
  <c r="AA168" i="1"/>
  <c r="Z168" i="1"/>
  <c r="Y168" i="1"/>
  <c r="AC167" i="1"/>
  <c r="AA167" i="1"/>
  <c r="Z167" i="1"/>
  <c r="Y167" i="1"/>
  <c r="AC166" i="1"/>
  <c r="AA166" i="1"/>
  <c r="Z166" i="1"/>
  <c r="Y166" i="1"/>
  <c r="V185" i="9" l="1"/>
  <c r="U185" i="9"/>
  <c r="P185" i="9"/>
  <c r="O185" i="9"/>
  <c r="N185" i="9"/>
  <c r="M185" i="9"/>
  <c r="L185" i="9"/>
  <c r="K185" i="9"/>
  <c r="S185" i="9" s="1"/>
  <c r="J185" i="9"/>
  <c r="I185" i="9"/>
  <c r="H185" i="9"/>
  <c r="G185" i="9"/>
  <c r="F185" i="9"/>
  <c r="E185" i="9"/>
  <c r="D185" i="9"/>
  <c r="C185" i="9"/>
  <c r="V184" i="9"/>
  <c r="U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V183" i="9"/>
  <c r="U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V182" i="9"/>
  <c r="U182" i="9"/>
  <c r="P182" i="9"/>
  <c r="O182" i="9"/>
  <c r="N182" i="9"/>
  <c r="M182" i="9"/>
  <c r="L182" i="9"/>
  <c r="K182" i="9"/>
  <c r="S182" i="9" s="1"/>
  <c r="J182" i="9"/>
  <c r="I182" i="9"/>
  <c r="H182" i="9"/>
  <c r="G182" i="9"/>
  <c r="F182" i="9"/>
  <c r="E182" i="9"/>
  <c r="D182" i="9"/>
  <c r="C182" i="9"/>
  <c r="V180" i="9"/>
  <c r="U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V179" i="9"/>
  <c r="U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V178" i="9"/>
  <c r="U178" i="9"/>
  <c r="P178" i="9"/>
  <c r="O178" i="9"/>
  <c r="N178" i="9"/>
  <c r="M178" i="9"/>
  <c r="L178" i="9"/>
  <c r="K178" i="9"/>
  <c r="S178" i="9" s="1"/>
  <c r="J178" i="9"/>
  <c r="I178" i="9"/>
  <c r="H178" i="9"/>
  <c r="G178" i="9"/>
  <c r="F178" i="9"/>
  <c r="E178" i="9"/>
  <c r="D178" i="9"/>
  <c r="C178" i="9"/>
  <c r="V177" i="9"/>
  <c r="U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V176" i="9"/>
  <c r="U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V175" i="9"/>
  <c r="U175" i="9"/>
  <c r="P175" i="9"/>
  <c r="O175" i="9"/>
  <c r="N175" i="9"/>
  <c r="M175" i="9"/>
  <c r="L175" i="9"/>
  <c r="K175" i="9"/>
  <c r="S175" i="9" s="1"/>
  <c r="J175" i="9"/>
  <c r="I175" i="9"/>
  <c r="H175" i="9"/>
  <c r="G175" i="9"/>
  <c r="F175" i="9"/>
  <c r="E175" i="9"/>
  <c r="D175" i="9"/>
  <c r="C175" i="9"/>
  <c r="V174" i="9"/>
  <c r="U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V173" i="9"/>
  <c r="U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V172" i="9"/>
  <c r="U172" i="9"/>
  <c r="P172" i="9"/>
  <c r="O172" i="9"/>
  <c r="N172" i="9"/>
  <c r="M172" i="9"/>
  <c r="L172" i="9"/>
  <c r="K172" i="9"/>
  <c r="S172" i="9" s="1"/>
  <c r="J172" i="9"/>
  <c r="I172" i="9"/>
  <c r="H172" i="9"/>
  <c r="G172" i="9"/>
  <c r="F172" i="9"/>
  <c r="E172" i="9"/>
  <c r="D172" i="9"/>
  <c r="C172" i="9"/>
  <c r="V171" i="9"/>
  <c r="U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V170" i="9"/>
  <c r="U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V169" i="9"/>
  <c r="U169" i="9"/>
  <c r="P169" i="9"/>
  <c r="O169" i="9"/>
  <c r="N169" i="9"/>
  <c r="M169" i="9"/>
  <c r="L169" i="9"/>
  <c r="K169" i="9"/>
  <c r="S169" i="9" s="1"/>
  <c r="J169" i="9"/>
  <c r="I169" i="9"/>
  <c r="H169" i="9"/>
  <c r="G169" i="9"/>
  <c r="F169" i="9"/>
  <c r="E169" i="9"/>
  <c r="D169" i="9"/>
  <c r="C169" i="9"/>
  <c r="V168" i="9"/>
  <c r="U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V167" i="9"/>
  <c r="U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V166" i="9"/>
  <c r="U166" i="9"/>
  <c r="P166" i="9"/>
  <c r="O166" i="9"/>
  <c r="N166" i="9"/>
  <c r="M166" i="9"/>
  <c r="L166" i="9"/>
  <c r="K166" i="9"/>
  <c r="S166" i="9" s="1"/>
  <c r="J166" i="9"/>
  <c r="I166" i="9"/>
  <c r="H166" i="9"/>
  <c r="G166" i="9"/>
  <c r="F166" i="9"/>
  <c r="E166" i="9"/>
  <c r="D166" i="9"/>
  <c r="C166" i="9"/>
  <c r="V165" i="9"/>
  <c r="U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V164" i="9"/>
  <c r="U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V163" i="9"/>
  <c r="U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V162" i="9"/>
  <c r="U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V161" i="9"/>
  <c r="U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V160" i="9"/>
  <c r="U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AB159" i="9"/>
  <c r="V159" i="9"/>
  <c r="U159" i="9"/>
  <c r="P159" i="9"/>
  <c r="O159" i="9"/>
  <c r="N159" i="9"/>
  <c r="M159" i="9"/>
  <c r="L159" i="9"/>
  <c r="K159" i="9"/>
  <c r="S165" i="9" s="1"/>
  <c r="J159" i="9"/>
  <c r="I159" i="9"/>
  <c r="H159" i="9"/>
  <c r="G159" i="9"/>
  <c r="F159" i="9"/>
  <c r="E159" i="9"/>
  <c r="D159" i="9"/>
  <c r="C159" i="9"/>
  <c r="V158" i="9"/>
  <c r="U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AB155" i="9"/>
  <c r="V155" i="9"/>
  <c r="U155" i="9"/>
  <c r="P155" i="9"/>
  <c r="O155" i="9"/>
  <c r="N155" i="9"/>
  <c r="M155" i="9"/>
  <c r="L155" i="9"/>
  <c r="K155" i="9"/>
  <c r="S158" i="9" s="1"/>
  <c r="J155" i="9"/>
  <c r="I155" i="9"/>
  <c r="H155" i="9"/>
  <c r="G155" i="9"/>
  <c r="F155" i="9"/>
  <c r="E155" i="9"/>
  <c r="D155" i="9"/>
  <c r="C155" i="9"/>
  <c r="AB154" i="9"/>
  <c r="V154" i="9"/>
  <c r="U154" i="9"/>
  <c r="P154" i="9"/>
  <c r="O154" i="9"/>
  <c r="N154" i="9"/>
  <c r="M154" i="9"/>
  <c r="L154" i="9"/>
  <c r="K154" i="9"/>
  <c r="S154" i="9" s="1"/>
  <c r="J154" i="9"/>
  <c r="I154" i="9"/>
  <c r="H154" i="9"/>
  <c r="G154" i="9"/>
  <c r="F154" i="9"/>
  <c r="E154" i="9"/>
  <c r="D154" i="9"/>
  <c r="C154" i="9"/>
  <c r="AB151" i="9"/>
  <c r="V151" i="9"/>
  <c r="U151" i="9"/>
  <c r="P151" i="9"/>
  <c r="O151" i="9"/>
  <c r="N151" i="9"/>
  <c r="M151" i="9"/>
  <c r="L151" i="9"/>
  <c r="K151" i="9"/>
  <c r="S153" i="9" s="1"/>
  <c r="J151" i="9"/>
  <c r="I151" i="9"/>
  <c r="H151" i="9"/>
  <c r="G151" i="9"/>
  <c r="F151" i="9"/>
  <c r="E151" i="9"/>
  <c r="D151" i="9"/>
  <c r="C151" i="9"/>
  <c r="AB150" i="9"/>
  <c r="V150" i="9"/>
  <c r="U150" i="9"/>
  <c r="P150" i="9"/>
  <c r="O150" i="9"/>
  <c r="N150" i="9"/>
  <c r="M150" i="9"/>
  <c r="L150" i="9"/>
  <c r="K150" i="9"/>
  <c r="S150" i="9" s="1"/>
  <c r="J150" i="9"/>
  <c r="I150" i="9"/>
  <c r="H150" i="9"/>
  <c r="G150" i="9"/>
  <c r="F150" i="9"/>
  <c r="E150" i="9"/>
  <c r="D150" i="9"/>
  <c r="C150" i="9"/>
  <c r="AB149" i="9"/>
  <c r="V149" i="9"/>
  <c r="U149" i="9"/>
  <c r="P149" i="9"/>
  <c r="O149" i="9"/>
  <c r="N149" i="9"/>
  <c r="M149" i="9"/>
  <c r="L149" i="9"/>
  <c r="K149" i="9"/>
  <c r="S149" i="9" s="1"/>
  <c r="J149" i="9"/>
  <c r="I149" i="9"/>
  <c r="H149" i="9"/>
  <c r="G149" i="9"/>
  <c r="F149" i="9"/>
  <c r="E149" i="9"/>
  <c r="D149" i="9"/>
  <c r="C149" i="9"/>
  <c r="AB148" i="9"/>
  <c r="V148" i="9"/>
  <c r="U148" i="9"/>
  <c r="P148" i="9"/>
  <c r="O148" i="9"/>
  <c r="N148" i="9"/>
  <c r="M148" i="9"/>
  <c r="L148" i="9"/>
  <c r="K148" i="9"/>
  <c r="S148" i="9" s="1"/>
  <c r="J148" i="9"/>
  <c r="I148" i="9"/>
  <c r="H148" i="9"/>
  <c r="G148" i="9"/>
  <c r="F148" i="9"/>
  <c r="E148" i="9"/>
  <c r="D148" i="9"/>
  <c r="C148" i="9"/>
  <c r="AB147" i="9"/>
  <c r="V147" i="9"/>
  <c r="U147" i="9"/>
  <c r="P147" i="9"/>
  <c r="O147" i="9"/>
  <c r="N147" i="9"/>
  <c r="M147" i="9"/>
  <c r="L147" i="9"/>
  <c r="K147" i="9"/>
  <c r="S147" i="9" s="1"/>
  <c r="J147" i="9"/>
  <c r="I147" i="9"/>
  <c r="H147" i="9"/>
  <c r="G147" i="9"/>
  <c r="F147" i="9"/>
  <c r="E147" i="9"/>
  <c r="D147" i="9"/>
  <c r="C147" i="9"/>
  <c r="AB146" i="9"/>
  <c r="V146" i="9"/>
  <c r="U146" i="9"/>
  <c r="P146" i="9"/>
  <c r="O146" i="9"/>
  <c r="N146" i="9"/>
  <c r="M146" i="9"/>
  <c r="L146" i="9"/>
  <c r="K146" i="9"/>
  <c r="S146" i="9" s="1"/>
  <c r="J146" i="9"/>
  <c r="I146" i="9"/>
  <c r="H146" i="9"/>
  <c r="G146" i="9"/>
  <c r="F146" i="9"/>
  <c r="E146" i="9"/>
  <c r="D146" i="9"/>
  <c r="C146" i="9"/>
  <c r="AB145" i="9"/>
  <c r="V145" i="9"/>
  <c r="U145" i="9"/>
  <c r="P145" i="9"/>
  <c r="O145" i="9"/>
  <c r="N145" i="9"/>
  <c r="M145" i="9"/>
  <c r="L145" i="9"/>
  <c r="K145" i="9"/>
  <c r="S145" i="9" s="1"/>
  <c r="J145" i="9"/>
  <c r="I145" i="9"/>
  <c r="H145" i="9"/>
  <c r="G145" i="9"/>
  <c r="F145" i="9"/>
  <c r="E145" i="9"/>
  <c r="D145" i="9"/>
  <c r="C145" i="9"/>
  <c r="AB144" i="9"/>
  <c r="V144" i="9"/>
  <c r="U144" i="9"/>
  <c r="P144" i="9"/>
  <c r="O144" i="9"/>
  <c r="N144" i="9"/>
  <c r="M144" i="9"/>
  <c r="L144" i="9"/>
  <c r="K144" i="9"/>
  <c r="S144" i="9" s="1"/>
  <c r="J144" i="9"/>
  <c r="I144" i="9"/>
  <c r="H144" i="9"/>
  <c r="G144" i="9"/>
  <c r="F144" i="9"/>
  <c r="E144" i="9"/>
  <c r="D144" i="9"/>
  <c r="C144" i="9"/>
  <c r="AB143" i="9"/>
  <c r="V143" i="9"/>
  <c r="U143" i="9"/>
  <c r="P143" i="9"/>
  <c r="O143" i="9"/>
  <c r="N143" i="9"/>
  <c r="M143" i="9"/>
  <c r="L143" i="9"/>
  <c r="K143" i="9"/>
  <c r="S143" i="9" s="1"/>
  <c r="J143" i="9"/>
  <c r="I143" i="9"/>
  <c r="H143" i="9"/>
  <c r="G143" i="9"/>
  <c r="F143" i="9"/>
  <c r="E143" i="9"/>
  <c r="D143" i="9"/>
  <c r="C143" i="9"/>
  <c r="AB142" i="9"/>
  <c r="V142" i="9"/>
  <c r="U142" i="9"/>
  <c r="P142" i="9"/>
  <c r="O142" i="9"/>
  <c r="N142" i="9"/>
  <c r="M142" i="9"/>
  <c r="L142" i="9"/>
  <c r="K142" i="9"/>
  <c r="S142" i="9" s="1"/>
  <c r="J142" i="9"/>
  <c r="I142" i="9"/>
  <c r="H142" i="9"/>
  <c r="G142" i="9"/>
  <c r="F142" i="9"/>
  <c r="E142" i="9"/>
  <c r="D142" i="9"/>
  <c r="C142" i="9"/>
  <c r="AB141" i="9"/>
  <c r="V141" i="9"/>
  <c r="U141" i="9"/>
  <c r="P141" i="9"/>
  <c r="O141" i="9"/>
  <c r="N141" i="9"/>
  <c r="M141" i="9"/>
  <c r="L141" i="9"/>
  <c r="K141" i="9"/>
  <c r="S141" i="9" s="1"/>
  <c r="J141" i="9"/>
  <c r="I141" i="9"/>
  <c r="H141" i="9"/>
  <c r="G141" i="9"/>
  <c r="F141" i="9"/>
  <c r="E141" i="9"/>
  <c r="D141" i="9"/>
  <c r="C141" i="9"/>
  <c r="AB140" i="9"/>
  <c r="V140" i="9"/>
  <c r="U140" i="9"/>
  <c r="P140" i="9"/>
  <c r="O140" i="9"/>
  <c r="N140" i="9"/>
  <c r="M140" i="9"/>
  <c r="L140" i="9"/>
  <c r="K140" i="9"/>
  <c r="S140" i="9" s="1"/>
  <c r="J140" i="9"/>
  <c r="I140" i="9"/>
  <c r="H140" i="9"/>
  <c r="G140" i="9"/>
  <c r="F140" i="9"/>
  <c r="E140" i="9"/>
  <c r="D140" i="9"/>
  <c r="C140" i="9"/>
  <c r="AB139" i="9"/>
  <c r="V139" i="9"/>
  <c r="U139" i="9"/>
  <c r="P139" i="9"/>
  <c r="O139" i="9"/>
  <c r="N139" i="9"/>
  <c r="M139" i="9"/>
  <c r="L139" i="9"/>
  <c r="K139" i="9"/>
  <c r="S139" i="9" s="1"/>
  <c r="J139" i="9"/>
  <c r="I139" i="9"/>
  <c r="H139" i="9"/>
  <c r="G139" i="9"/>
  <c r="F139" i="9"/>
  <c r="E139" i="9"/>
  <c r="D139" i="9"/>
  <c r="C139" i="9"/>
  <c r="AB138" i="9"/>
  <c r="V138" i="9"/>
  <c r="U138" i="9"/>
  <c r="P138" i="9"/>
  <c r="O138" i="9"/>
  <c r="N138" i="9"/>
  <c r="M138" i="9"/>
  <c r="L138" i="9"/>
  <c r="K138" i="9"/>
  <c r="S138" i="9" s="1"/>
  <c r="J138" i="9"/>
  <c r="I138" i="9"/>
  <c r="H138" i="9"/>
  <c r="G138" i="9"/>
  <c r="F138" i="9"/>
  <c r="E138" i="9"/>
  <c r="D138" i="9"/>
  <c r="C138" i="9"/>
  <c r="AB137" i="9"/>
  <c r="V137" i="9"/>
  <c r="U137" i="9"/>
  <c r="P137" i="9"/>
  <c r="O137" i="9"/>
  <c r="N137" i="9"/>
  <c r="M137" i="9"/>
  <c r="L137" i="9"/>
  <c r="K137" i="9"/>
  <c r="S137" i="9" s="1"/>
  <c r="J137" i="9"/>
  <c r="I137" i="9"/>
  <c r="H137" i="9"/>
  <c r="G137" i="9"/>
  <c r="F137" i="9"/>
  <c r="E137" i="9"/>
  <c r="D137" i="9"/>
  <c r="C137" i="9"/>
  <c r="AB136" i="9"/>
  <c r="V136" i="9"/>
  <c r="U136" i="9"/>
  <c r="P136" i="9"/>
  <c r="O136" i="9"/>
  <c r="N136" i="9"/>
  <c r="M136" i="9"/>
  <c r="L136" i="9"/>
  <c r="K136" i="9"/>
  <c r="S136" i="9" s="1"/>
  <c r="J136" i="9"/>
  <c r="I136" i="9"/>
  <c r="H136" i="9"/>
  <c r="G136" i="9"/>
  <c r="F136" i="9"/>
  <c r="E136" i="9"/>
  <c r="D136" i="9"/>
  <c r="C136" i="9"/>
  <c r="AB135" i="9"/>
  <c r="V135" i="9"/>
  <c r="U135" i="9"/>
  <c r="P135" i="9"/>
  <c r="O135" i="9"/>
  <c r="N135" i="9"/>
  <c r="M135" i="9"/>
  <c r="L135" i="9"/>
  <c r="K135" i="9"/>
  <c r="S135" i="9" s="1"/>
  <c r="J135" i="9"/>
  <c r="I135" i="9"/>
  <c r="H135" i="9"/>
  <c r="G135" i="9"/>
  <c r="F135" i="9"/>
  <c r="E135" i="9"/>
  <c r="D135" i="9"/>
  <c r="C135" i="9"/>
  <c r="AB134" i="9"/>
  <c r="V134" i="9"/>
  <c r="U134" i="9"/>
  <c r="P134" i="9"/>
  <c r="O134" i="9"/>
  <c r="N134" i="9"/>
  <c r="M134" i="9"/>
  <c r="L134" i="9"/>
  <c r="K134" i="9"/>
  <c r="S134" i="9" s="1"/>
  <c r="J134" i="9"/>
  <c r="I134" i="9"/>
  <c r="H134" i="9"/>
  <c r="G134" i="9"/>
  <c r="F134" i="9"/>
  <c r="E134" i="9"/>
  <c r="D134" i="9"/>
  <c r="C134" i="9"/>
  <c r="AB133" i="9"/>
  <c r="V133" i="9"/>
  <c r="U133" i="9"/>
  <c r="P133" i="9"/>
  <c r="O133" i="9"/>
  <c r="N133" i="9"/>
  <c r="M133" i="9"/>
  <c r="L133" i="9"/>
  <c r="K133" i="9"/>
  <c r="S133" i="9" s="1"/>
  <c r="J133" i="9"/>
  <c r="I133" i="9"/>
  <c r="H133" i="9"/>
  <c r="G133" i="9"/>
  <c r="F133" i="9"/>
  <c r="E133" i="9"/>
  <c r="D133" i="9"/>
  <c r="C133" i="9"/>
  <c r="AB132" i="9"/>
  <c r="V132" i="9"/>
  <c r="U132" i="9"/>
  <c r="P132" i="9"/>
  <c r="O132" i="9"/>
  <c r="N132" i="9"/>
  <c r="M132" i="9"/>
  <c r="L132" i="9"/>
  <c r="K132" i="9"/>
  <c r="S132" i="9" s="1"/>
  <c r="J132" i="9"/>
  <c r="I132" i="9"/>
  <c r="H132" i="9"/>
  <c r="G132" i="9"/>
  <c r="F132" i="9"/>
  <c r="E132" i="9"/>
  <c r="D132" i="9"/>
  <c r="C132" i="9"/>
  <c r="AB131" i="9"/>
  <c r="V131" i="9"/>
  <c r="U131" i="9"/>
  <c r="P131" i="9"/>
  <c r="O131" i="9"/>
  <c r="N131" i="9"/>
  <c r="M131" i="9"/>
  <c r="L131" i="9"/>
  <c r="K131" i="9"/>
  <c r="S131" i="9" s="1"/>
  <c r="J131" i="9"/>
  <c r="I131" i="9"/>
  <c r="H131" i="9"/>
  <c r="G131" i="9"/>
  <c r="F131" i="9"/>
  <c r="E131" i="9"/>
  <c r="D131" i="9"/>
  <c r="C131" i="9"/>
  <c r="Q112" i="11" l="1"/>
  <c r="K112" i="11"/>
  <c r="J112" i="11"/>
  <c r="I112" i="11"/>
  <c r="H112" i="11"/>
  <c r="G112" i="11"/>
  <c r="F112" i="11"/>
  <c r="E112" i="11"/>
  <c r="D112" i="11"/>
  <c r="C112" i="11"/>
  <c r="B112" i="11"/>
  <c r="Q111" i="11"/>
  <c r="K111" i="11"/>
  <c r="J111" i="11"/>
  <c r="I111" i="11"/>
  <c r="H111" i="11"/>
  <c r="G111" i="11"/>
  <c r="F111" i="11"/>
  <c r="E111" i="11"/>
  <c r="D111" i="11"/>
  <c r="C111" i="11"/>
  <c r="B111" i="11"/>
  <c r="Q110" i="11"/>
  <c r="K110" i="11"/>
  <c r="J110" i="11"/>
  <c r="I110" i="11"/>
  <c r="H110" i="11"/>
  <c r="G110" i="11"/>
  <c r="F110" i="11"/>
  <c r="E110" i="11"/>
  <c r="D110" i="11"/>
  <c r="C110" i="11"/>
  <c r="B110" i="11"/>
  <c r="Q109" i="11"/>
  <c r="K109" i="11"/>
  <c r="J109" i="11"/>
  <c r="I109" i="11"/>
  <c r="H109" i="11"/>
  <c r="G109" i="11"/>
  <c r="F109" i="11"/>
  <c r="E109" i="11"/>
  <c r="D109" i="11"/>
  <c r="C109" i="11"/>
  <c r="B109" i="11"/>
  <c r="Q108" i="11"/>
  <c r="K108" i="11"/>
  <c r="J108" i="11"/>
  <c r="I108" i="11"/>
  <c r="H108" i="11"/>
  <c r="G108" i="11"/>
  <c r="F108" i="11"/>
  <c r="E108" i="11"/>
  <c r="D108" i="11"/>
  <c r="C108" i="11"/>
  <c r="B108" i="11"/>
  <c r="Q107" i="11"/>
  <c r="K107" i="11"/>
  <c r="J107" i="11"/>
  <c r="I107" i="11"/>
  <c r="H107" i="11"/>
  <c r="G107" i="11"/>
  <c r="F107" i="11"/>
  <c r="E107" i="11"/>
  <c r="D107" i="11"/>
  <c r="C107" i="11"/>
  <c r="B107" i="11"/>
  <c r="Q106" i="11"/>
  <c r="K106" i="11"/>
  <c r="J106" i="11"/>
  <c r="I106" i="11"/>
  <c r="H106" i="11"/>
  <c r="G106" i="11"/>
  <c r="F106" i="11"/>
  <c r="E106" i="11"/>
  <c r="D106" i="11"/>
  <c r="C106" i="11"/>
  <c r="B106" i="11"/>
  <c r="Q105" i="11"/>
  <c r="K105" i="11"/>
  <c r="J105" i="11"/>
  <c r="I105" i="11"/>
  <c r="H105" i="11"/>
  <c r="G105" i="11"/>
  <c r="F105" i="11"/>
  <c r="E105" i="11"/>
  <c r="D105" i="11"/>
  <c r="C105" i="11"/>
  <c r="B105" i="11"/>
  <c r="Q104" i="11"/>
  <c r="K104" i="11"/>
  <c r="J104" i="11"/>
  <c r="I104" i="11"/>
  <c r="H104" i="11"/>
  <c r="G104" i="11"/>
  <c r="F104" i="11"/>
  <c r="E104" i="11"/>
  <c r="D104" i="11"/>
  <c r="C104" i="11"/>
  <c r="B104" i="11"/>
  <c r="Q103" i="11"/>
  <c r="K103" i="11"/>
  <c r="J103" i="11"/>
  <c r="I103" i="11"/>
  <c r="H103" i="11"/>
  <c r="G103" i="11"/>
  <c r="F103" i="11"/>
  <c r="E103" i="11"/>
  <c r="D103" i="11"/>
  <c r="C103" i="11"/>
  <c r="B103" i="11"/>
  <c r="Q102" i="11"/>
  <c r="K102" i="11"/>
  <c r="J102" i="11"/>
  <c r="I102" i="11"/>
  <c r="H102" i="11"/>
  <c r="G102" i="11"/>
  <c r="F102" i="11"/>
  <c r="E102" i="11"/>
  <c r="D102" i="11"/>
  <c r="C102" i="11"/>
  <c r="B102" i="11"/>
  <c r="Q101" i="11"/>
  <c r="K101" i="11"/>
  <c r="J101" i="11"/>
  <c r="I101" i="11"/>
  <c r="H101" i="11"/>
  <c r="G101" i="11"/>
  <c r="F101" i="11"/>
  <c r="E101" i="11"/>
  <c r="D101" i="11"/>
  <c r="C101" i="11"/>
  <c r="B101" i="11"/>
  <c r="Q100" i="11"/>
  <c r="K100" i="11"/>
  <c r="J100" i="11"/>
  <c r="I100" i="11"/>
  <c r="H100" i="11"/>
  <c r="G100" i="11"/>
  <c r="F100" i="11"/>
  <c r="E100" i="11"/>
  <c r="D100" i="11"/>
  <c r="C100" i="11"/>
  <c r="B100" i="11"/>
  <c r="Q99" i="11"/>
  <c r="K99" i="11"/>
  <c r="J99" i="11"/>
  <c r="I99" i="11"/>
  <c r="H99" i="11"/>
  <c r="G99" i="11"/>
  <c r="F99" i="11"/>
  <c r="E99" i="11"/>
  <c r="D99" i="11"/>
  <c r="C99" i="11"/>
  <c r="B99" i="11"/>
  <c r="Q98" i="11"/>
  <c r="K98" i="11"/>
  <c r="J98" i="11"/>
  <c r="I98" i="11"/>
  <c r="H98" i="11"/>
  <c r="G98" i="11"/>
  <c r="F98" i="11"/>
  <c r="E98" i="11"/>
  <c r="D98" i="11"/>
  <c r="C98" i="11"/>
  <c r="B98" i="11"/>
  <c r="Q97" i="11"/>
  <c r="K97" i="11"/>
  <c r="J97" i="11"/>
  <c r="I97" i="11"/>
  <c r="H97" i="11"/>
  <c r="G97" i="11"/>
  <c r="F97" i="11"/>
  <c r="E97" i="11"/>
  <c r="D97" i="11"/>
  <c r="C97" i="11"/>
  <c r="B97" i="11"/>
  <c r="Q96" i="11"/>
  <c r="K96" i="11"/>
  <c r="J96" i="11"/>
  <c r="I96" i="11"/>
  <c r="H96" i="11"/>
  <c r="G96" i="11"/>
  <c r="F96" i="11"/>
  <c r="E96" i="11"/>
  <c r="D96" i="11"/>
  <c r="C96" i="11"/>
  <c r="B96" i="11"/>
  <c r="Q95" i="11"/>
  <c r="K95" i="11"/>
  <c r="J95" i="11"/>
  <c r="I95" i="11"/>
  <c r="H95" i="11"/>
  <c r="G95" i="11"/>
  <c r="F95" i="11"/>
  <c r="E95" i="11"/>
  <c r="D95" i="11"/>
  <c r="C95" i="11"/>
  <c r="B95" i="11"/>
  <c r="Q94" i="11"/>
  <c r="K94" i="11"/>
  <c r="J94" i="11"/>
  <c r="I94" i="11"/>
  <c r="H94" i="11"/>
  <c r="G94" i="11"/>
  <c r="F94" i="11"/>
  <c r="E94" i="11"/>
  <c r="D94" i="11"/>
  <c r="C94" i="11"/>
  <c r="B94" i="11"/>
  <c r="Q93" i="11"/>
  <c r="K93" i="11"/>
  <c r="J93" i="11"/>
  <c r="I93" i="11"/>
  <c r="H93" i="11"/>
  <c r="G93" i="11"/>
  <c r="F93" i="11"/>
  <c r="E93" i="11"/>
  <c r="D93" i="11"/>
  <c r="C93" i="11"/>
  <c r="B93" i="11"/>
  <c r="Q92" i="11"/>
  <c r="K92" i="11"/>
  <c r="J92" i="11"/>
  <c r="I92" i="11"/>
  <c r="H92" i="11"/>
  <c r="G92" i="11"/>
  <c r="F92" i="11"/>
  <c r="E92" i="11"/>
  <c r="D92" i="11"/>
  <c r="C92" i="11"/>
  <c r="B92" i="11"/>
  <c r="Q91" i="11"/>
  <c r="K91" i="11"/>
  <c r="J91" i="11"/>
  <c r="I91" i="11"/>
  <c r="H91" i="11"/>
  <c r="G91" i="11"/>
  <c r="F91" i="11"/>
  <c r="E91" i="11"/>
  <c r="D91" i="11"/>
  <c r="C91" i="11"/>
  <c r="B91" i="11"/>
  <c r="Q90" i="11"/>
  <c r="K90" i="11"/>
  <c r="J90" i="11"/>
  <c r="I90" i="11"/>
  <c r="H90" i="11"/>
  <c r="G90" i="11"/>
  <c r="F90" i="11"/>
  <c r="E90" i="11"/>
  <c r="D90" i="11"/>
  <c r="C90" i="11"/>
  <c r="B90" i="11"/>
  <c r="Q89" i="11"/>
  <c r="K89" i="11"/>
  <c r="J89" i="11"/>
  <c r="I89" i="11"/>
  <c r="H89" i="11"/>
  <c r="G89" i="11"/>
  <c r="F89" i="11"/>
  <c r="E89" i="11"/>
  <c r="D89" i="11"/>
  <c r="C89" i="11"/>
  <c r="B89" i="11"/>
  <c r="K88" i="11"/>
  <c r="J88" i="11"/>
  <c r="I88" i="11"/>
  <c r="H88" i="11"/>
  <c r="G88" i="11"/>
  <c r="F88" i="11"/>
  <c r="E88" i="11"/>
  <c r="D88" i="11"/>
  <c r="C88" i="11"/>
  <c r="B88" i="11"/>
  <c r="K87" i="11"/>
  <c r="J87" i="11"/>
  <c r="I87" i="11"/>
  <c r="H87" i="11"/>
  <c r="G87" i="11"/>
  <c r="F87" i="11"/>
  <c r="E87" i="11"/>
  <c r="D87" i="11"/>
  <c r="C87" i="11"/>
  <c r="B87" i="11"/>
  <c r="K86" i="11"/>
  <c r="J86" i="11"/>
  <c r="I86" i="11"/>
  <c r="H86" i="11"/>
  <c r="G86" i="11"/>
  <c r="F86" i="11"/>
  <c r="E86" i="11"/>
  <c r="D86" i="11"/>
  <c r="C86" i="11"/>
  <c r="B86" i="11"/>
  <c r="K85" i="11"/>
  <c r="J85" i="11"/>
  <c r="I85" i="11"/>
  <c r="H85" i="11"/>
  <c r="G85" i="11"/>
  <c r="F85" i="11"/>
  <c r="E85" i="11"/>
  <c r="D85" i="11"/>
  <c r="C85" i="11"/>
  <c r="B85" i="11"/>
  <c r="K84" i="11"/>
  <c r="J84" i="11"/>
  <c r="I84" i="11"/>
  <c r="H84" i="11"/>
  <c r="G84" i="11"/>
  <c r="F84" i="11"/>
  <c r="E84" i="11"/>
  <c r="D84" i="11"/>
  <c r="C84" i="11"/>
  <c r="B84" i="11"/>
  <c r="K83" i="11"/>
  <c r="J83" i="11"/>
  <c r="I83" i="11"/>
  <c r="H83" i="11"/>
  <c r="G83" i="11"/>
  <c r="F83" i="11"/>
  <c r="E83" i="11"/>
  <c r="D83" i="11"/>
  <c r="C83" i="11"/>
  <c r="B83" i="11"/>
  <c r="K82" i="11"/>
  <c r="J82" i="11"/>
  <c r="I82" i="11"/>
  <c r="H82" i="11"/>
  <c r="G82" i="11"/>
  <c r="F82" i="11"/>
  <c r="E82" i="11"/>
  <c r="D82" i="11"/>
  <c r="C82" i="11"/>
  <c r="B82" i="11"/>
  <c r="K81" i="11"/>
  <c r="J81" i="11"/>
  <c r="I81" i="11"/>
  <c r="H81" i="11"/>
  <c r="G81" i="11"/>
  <c r="F81" i="11"/>
  <c r="E81" i="11"/>
  <c r="D81" i="11"/>
  <c r="C81" i="11"/>
  <c r="B81" i="11"/>
  <c r="Q80" i="11"/>
  <c r="K80" i="11"/>
  <c r="J80" i="11"/>
  <c r="I80" i="11"/>
  <c r="H80" i="11"/>
  <c r="G80" i="11"/>
  <c r="F80" i="11"/>
  <c r="E80" i="11"/>
  <c r="D80" i="11"/>
  <c r="C80" i="11"/>
  <c r="B80" i="11"/>
  <c r="AC139" i="1" l="1"/>
  <c r="AA139" i="1"/>
  <c r="Z139" i="1"/>
  <c r="Y139" i="1"/>
  <c r="AC138" i="1"/>
  <c r="AA138" i="1"/>
  <c r="Z138" i="1"/>
  <c r="Y138" i="1"/>
  <c r="AC137" i="1"/>
  <c r="AA137" i="1"/>
  <c r="Z137" i="1"/>
  <c r="Y137" i="1"/>
  <c r="AC136" i="1"/>
  <c r="AA136" i="1"/>
  <c r="Z136" i="1"/>
  <c r="Y136" i="1"/>
  <c r="AC135" i="1"/>
  <c r="AA135" i="1"/>
  <c r="Z135" i="1"/>
  <c r="Y135" i="1"/>
  <c r="AC134" i="1"/>
  <c r="AA134" i="1"/>
  <c r="Z134" i="1"/>
  <c r="Y134" i="1"/>
  <c r="AC133" i="1"/>
  <c r="AA133" i="1"/>
  <c r="Z133" i="1"/>
  <c r="Y133" i="1"/>
  <c r="AC132" i="1"/>
  <c r="AA132" i="1"/>
  <c r="Z132" i="1"/>
  <c r="Y132" i="1"/>
  <c r="AC131" i="1"/>
  <c r="AA131" i="1"/>
  <c r="Z131" i="1"/>
  <c r="Y131" i="1"/>
  <c r="AC130" i="1"/>
  <c r="AA130" i="1"/>
  <c r="Z130" i="1"/>
  <c r="Y130" i="1"/>
  <c r="AC129" i="1"/>
  <c r="AA129" i="1"/>
  <c r="Z129" i="1"/>
  <c r="Y129" i="1"/>
  <c r="AC128" i="1"/>
  <c r="AA128" i="1"/>
  <c r="Z128" i="1"/>
  <c r="Y128" i="1"/>
  <c r="AC127" i="1"/>
  <c r="AA127" i="1"/>
  <c r="Z127" i="1"/>
  <c r="Y127" i="1"/>
  <c r="AC126" i="1"/>
  <c r="AA126" i="1"/>
  <c r="Z126" i="1"/>
  <c r="Y126" i="1"/>
  <c r="AC125" i="1"/>
  <c r="AC124" i="1"/>
  <c r="AA124" i="1"/>
  <c r="Z124" i="1"/>
  <c r="Y124" i="1"/>
  <c r="AC123" i="1"/>
  <c r="AA123" i="1"/>
  <c r="Z123" i="1"/>
  <c r="Y123" i="1"/>
  <c r="AC122" i="1"/>
  <c r="AA122" i="1"/>
  <c r="Z122" i="1"/>
  <c r="Y122" i="1"/>
  <c r="AC121" i="1"/>
  <c r="AA121" i="1"/>
  <c r="Z121" i="1"/>
  <c r="Y121" i="1"/>
  <c r="AC120" i="1"/>
  <c r="AA120" i="1"/>
  <c r="Z120" i="1"/>
  <c r="Y120" i="1"/>
  <c r="AC119" i="1"/>
  <c r="AA119" i="1"/>
  <c r="Z119" i="1"/>
  <c r="Y119" i="1"/>
  <c r="AC118" i="1"/>
  <c r="AA118" i="1"/>
  <c r="Z118" i="1"/>
  <c r="Y118" i="1"/>
  <c r="AC117" i="1"/>
  <c r="AA117" i="1"/>
  <c r="Z117" i="1"/>
  <c r="Y117" i="1"/>
  <c r="AC116" i="1"/>
  <c r="AA116" i="1"/>
  <c r="Z116" i="1"/>
  <c r="Y116" i="1"/>
  <c r="AC115" i="1"/>
  <c r="AA115" i="1"/>
  <c r="Z115" i="1"/>
  <c r="Y115" i="1"/>
  <c r="AC114" i="1"/>
  <c r="AA114" i="1"/>
  <c r="Z114" i="1"/>
  <c r="Y114" i="1"/>
  <c r="Q79" i="11" l="1"/>
  <c r="K79" i="11"/>
  <c r="J79" i="11"/>
  <c r="I79" i="11"/>
  <c r="H79" i="11"/>
  <c r="G79" i="11"/>
  <c r="F79" i="11"/>
  <c r="E79" i="11"/>
  <c r="D79" i="11"/>
  <c r="C79" i="11"/>
  <c r="B79" i="11"/>
  <c r="Q78" i="11"/>
  <c r="K78" i="11"/>
  <c r="J78" i="11"/>
  <c r="I78" i="11"/>
  <c r="H78" i="11"/>
  <c r="G78" i="11"/>
  <c r="F78" i="11"/>
  <c r="E78" i="11"/>
  <c r="D78" i="11"/>
  <c r="C78" i="11"/>
  <c r="B78" i="11"/>
  <c r="Q77" i="11"/>
  <c r="K77" i="11"/>
  <c r="J77" i="11"/>
  <c r="I77" i="11"/>
  <c r="H77" i="11"/>
  <c r="G77" i="11"/>
  <c r="F77" i="11"/>
  <c r="E77" i="11"/>
  <c r="D77" i="11"/>
  <c r="C77" i="11"/>
  <c r="B77" i="11"/>
  <c r="Q76" i="11"/>
  <c r="K76" i="11"/>
  <c r="J76" i="11"/>
  <c r="I76" i="11"/>
  <c r="H76" i="11"/>
  <c r="G76" i="11"/>
  <c r="F76" i="11"/>
  <c r="E76" i="11"/>
  <c r="D76" i="11"/>
  <c r="C76" i="11"/>
  <c r="B76" i="11"/>
  <c r="Q75" i="11"/>
  <c r="K75" i="11"/>
  <c r="J75" i="11"/>
  <c r="I75" i="11"/>
  <c r="H75" i="11"/>
  <c r="G75" i="11"/>
  <c r="F75" i="11"/>
  <c r="E75" i="11"/>
  <c r="D75" i="11"/>
  <c r="C75" i="11"/>
  <c r="B75" i="11"/>
  <c r="Q74" i="11"/>
  <c r="K74" i="11"/>
  <c r="J74" i="11"/>
  <c r="I74" i="11"/>
  <c r="H74" i="11"/>
  <c r="G74" i="11"/>
  <c r="F74" i="11"/>
  <c r="E74" i="11"/>
  <c r="D74" i="11"/>
  <c r="C74" i="11"/>
  <c r="B74" i="11"/>
  <c r="Q73" i="11"/>
  <c r="K73" i="11"/>
  <c r="J73" i="11"/>
  <c r="I73" i="11"/>
  <c r="H73" i="11"/>
  <c r="G73" i="11"/>
  <c r="F73" i="11"/>
  <c r="E73" i="11"/>
  <c r="D73" i="11"/>
  <c r="C73" i="11"/>
  <c r="B73" i="11"/>
  <c r="Q72" i="11"/>
  <c r="K72" i="11"/>
  <c r="J72" i="11"/>
  <c r="I72" i="11"/>
  <c r="H72" i="11"/>
  <c r="G72" i="11"/>
  <c r="F72" i="11"/>
  <c r="E72" i="11"/>
  <c r="D72" i="11"/>
  <c r="C72" i="11"/>
  <c r="B72" i="11"/>
  <c r="Q71" i="11"/>
  <c r="K71" i="11"/>
  <c r="J71" i="11"/>
  <c r="I71" i="11"/>
  <c r="H71" i="11"/>
  <c r="G71" i="11"/>
  <c r="F71" i="11"/>
  <c r="E71" i="11"/>
  <c r="D71" i="11"/>
  <c r="C71" i="11"/>
  <c r="B71" i="11"/>
  <c r="Q70" i="11"/>
  <c r="K70" i="11"/>
  <c r="J70" i="11"/>
  <c r="I70" i="11"/>
  <c r="H70" i="11"/>
  <c r="G70" i="11"/>
  <c r="F70" i="11"/>
  <c r="E70" i="11"/>
  <c r="D70" i="11"/>
  <c r="C70" i="11"/>
  <c r="B70" i="11"/>
  <c r="Q69" i="11"/>
  <c r="K69" i="11"/>
  <c r="J69" i="11"/>
  <c r="I69" i="11"/>
  <c r="H69" i="11"/>
  <c r="G69" i="11"/>
  <c r="F69" i="11"/>
  <c r="E69" i="11"/>
  <c r="D69" i="11"/>
  <c r="C69" i="11"/>
  <c r="B69" i="11"/>
  <c r="Q68" i="11"/>
  <c r="K68" i="11"/>
  <c r="J68" i="11"/>
  <c r="I68" i="11"/>
  <c r="H68" i="11"/>
  <c r="G68" i="11"/>
  <c r="F68" i="11"/>
  <c r="E68" i="11"/>
  <c r="D68" i="11"/>
  <c r="C68" i="11"/>
  <c r="B68" i="11"/>
  <c r="Q67" i="11"/>
  <c r="K67" i="11"/>
  <c r="J67" i="11"/>
  <c r="I67" i="11"/>
  <c r="H67" i="11"/>
  <c r="G67" i="11"/>
  <c r="F67" i="11"/>
  <c r="E67" i="11"/>
  <c r="D67" i="11"/>
  <c r="C67" i="11"/>
  <c r="B67" i="11"/>
  <c r="Q66" i="11"/>
  <c r="K66" i="11"/>
  <c r="J66" i="11"/>
  <c r="I66" i="11"/>
  <c r="H66" i="11"/>
  <c r="G66" i="11"/>
  <c r="F66" i="11"/>
  <c r="E66" i="11"/>
  <c r="D66" i="11"/>
  <c r="C66" i="11"/>
  <c r="B66" i="11"/>
  <c r="Q65" i="11"/>
  <c r="K65" i="11"/>
  <c r="J65" i="11"/>
  <c r="I65" i="11"/>
  <c r="H65" i="11"/>
  <c r="G65" i="11"/>
  <c r="F65" i="11"/>
  <c r="E65" i="11"/>
  <c r="D65" i="11"/>
  <c r="C65" i="11"/>
  <c r="B65" i="11"/>
  <c r="Q64" i="11"/>
  <c r="K64" i="11"/>
  <c r="J64" i="11"/>
  <c r="I64" i="11"/>
  <c r="H64" i="11"/>
  <c r="G64" i="11"/>
  <c r="F64" i="11"/>
  <c r="E64" i="11"/>
  <c r="D64" i="11"/>
  <c r="C64" i="11"/>
  <c r="B64" i="11"/>
  <c r="Q63" i="11"/>
  <c r="K63" i="11"/>
  <c r="J63" i="11"/>
  <c r="I63" i="11"/>
  <c r="H63" i="11"/>
  <c r="G63" i="11"/>
  <c r="F63" i="11"/>
  <c r="E63" i="11"/>
  <c r="D63" i="11"/>
  <c r="C63" i="11"/>
  <c r="B63" i="11"/>
  <c r="Q62" i="11"/>
  <c r="K62" i="11"/>
  <c r="J62" i="11"/>
  <c r="I62" i="11"/>
  <c r="H62" i="11"/>
  <c r="G62" i="11"/>
  <c r="F62" i="11"/>
  <c r="E62" i="11"/>
  <c r="D62" i="11"/>
  <c r="C62" i="11"/>
  <c r="B62" i="11"/>
  <c r="Q61" i="11"/>
  <c r="K61" i="11"/>
  <c r="J61" i="11"/>
  <c r="I61" i="11"/>
  <c r="H61" i="11"/>
  <c r="G61" i="11"/>
  <c r="F61" i="11"/>
  <c r="E61" i="11"/>
  <c r="D61" i="11"/>
  <c r="C61" i="11"/>
  <c r="B61" i="11"/>
  <c r="Q60" i="11"/>
  <c r="K60" i="11"/>
  <c r="J60" i="11"/>
  <c r="I60" i="11"/>
  <c r="H60" i="11"/>
  <c r="G60" i="11"/>
  <c r="F60" i="11"/>
  <c r="E60" i="11"/>
  <c r="D60" i="11"/>
  <c r="C60" i="11"/>
  <c r="B60" i="11"/>
  <c r="Q59" i="11"/>
  <c r="K59" i="11"/>
  <c r="J59" i="11"/>
  <c r="I59" i="11"/>
  <c r="H59" i="11"/>
  <c r="G59" i="11"/>
  <c r="F59" i="11"/>
  <c r="E59" i="11"/>
  <c r="D59" i="11"/>
  <c r="C59" i="11"/>
  <c r="B59" i="11"/>
  <c r="Q58" i="11"/>
  <c r="K58" i="11"/>
  <c r="J58" i="11"/>
  <c r="I58" i="11"/>
  <c r="H58" i="11"/>
  <c r="G58" i="11"/>
  <c r="F58" i="11"/>
  <c r="E58" i="11"/>
  <c r="D58" i="11"/>
  <c r="C58" i="11"/>
  <c r="B58" i="11"/>
  <c r="Q57" i="11"/>
  <c r="K57" i="11"/>
  <c r="J57" i="11"/>
  <c r="I57" i="11"/>
  <c r="H57" i="11"/>
  <c r="G57" i="11"/>
  <c r="F57" i="11"/>
  <c r="E57" i="11"/>
  <c r="D57" i="11"/>
  <c r="C57" i="11"/>
  <c r="B57" i="11"/>
  <c r="Q56" i="11"/>
  <c r="K56" i="11"/>
  <c r="J56" i="11"/>
  <c r="I56" i="11"/>
  <c r="H56" i="11"/>
  <c r="G56" i="11"/>
  <c r="F56" i="11"/>
  <c r="E56" i="11"/>
  <c r="D56" i="11"/>
  <c r="C56" i="11"/>
  <c r="B56" i="11"/>
  <c r="Q55" i="11"/>
  <c r="K55" i="11"/>
  <c r="J55" i="11"/>
  <c r="I55" i="11"/>
  <c r="H55" i="11"/>
  <c r="G55" i="11"/>
  <c r="F55" i="11"/>
  <c r="E55" i="11"/>
  <c r="D55" i="11"/>
  <c r="C55" i="11"/>
  <c r="B55" i="11"/>
  <c r="Q54" i="11"/>
  <c r="K54" i="11"/>
  <c r="J54" i="11"/>
  <c r="I54" i="11"/>
  <c r="H54" i="11"/>
  <c r="G54" i="11"/>
  <c r="F54" i="11"/>
  <c r="E54" i="11"/>
  <c r="D54" i="11"/>
  <c r="C54" i="11"/>
  <c r="B54" i="11"/>
  <c r="Q53" i="11"/>
  <c r="K53" i="11"/>
  <c r="J53" i="11"/>
  <c r="I53" i="11"/>
  <c r="H53" i="11"/>
  <c r="G53" i="11"/>
  <c r="F53" i="11"/>
  <c r="E53" i="11"/>
  <c r="D53" i="11"/>
  <c r="C53" i="11"/>
  <c r="B53" i="11"/>
  <c r="Q52" i="11"/>
  <c r="K52" i="11"/>
  <c r="J52" i="11"/>
  <c r="I52" i="11"/>
  <c r="H52" i="11"/>
  <c r="G52" i="11"/>
  <c r="F52" i="11"/>
  <c r="E52" i="11"/>
  <c r="D52" i="11"/>
  <c r="C52" i="11"/>
  <c r="B52" i="11"/>
  <c r="Q51" i="11"/>
  <c r="K51" i="11"/>
  <c r="J51" i="11"/>
  <c r="I51" i="11"/>
  <c r="H51" i="11"/>
  <c r="G51" i="11"/>
  <c r="F51" i="11"/>
  <c r="E51" i="11"/>
  <c r="D51" i="11"/>
  <c r="C51" i="11"/>
  <c r="B51" i="11"/>
  <c r="AC57" i="1"/>
  <c r="AA57" i="1"/>
  <c r="Z57" i="1"/>
  <c r="Y57" i="1"/>
  <c r="AC56" i="1"/>
  <c r="AA56" i="1"/>
  <c r="Z56" i="1"/>
  <c r="Y56" i="1"/>
  <c r="AC55" i="1"/>
  <c r="AA55" i="1"/>
  <c r="Z55" i="1"/>
  <c r="Y55" i="1"/>
  <c r="AC54" i="1" l="1"/>
  <c r="AA54" i="1"/>
  <c r="Z54" i="1"/>
  <c r="Y54" i="1"/>
  <c r="AC53" i="1"/>
  <c r="AA53" i="1"/>
  <c r="Z53" i="1"/>
  <c r="Y53" i="1"/>
  <c r="V91" i="9" l="1"/>
  <c r="U91" i="9"/>
  <c r="P91" i="9"/>
  <c r="O91" i="9"/>
  <c r="N91" i="9"/>
  <c r="M91" i="9"/>
  <c r="L91" i="9"/>
  <c r="K91" i="9"/>
  <c r="S96" i="9" s="1"/>
  <c r="J91" i="9"/>
  <c r="I91" i="9"/>
  <c r="H91" i="9"/>
  <c r="G91" i="9"/>
  <c r="F91" i="9"/>
  <c r="E91" i="9"/>
  <c r="D91" i="9"/>
  <c r="C91" i="9"/>
  <c r="V87" i="9"/>
  <c r="U87" i="9"/>
  <c r="P87" i="9"/>
  <c r="O87" i="9"/>
  <c r="N87" i="9"/>
  <c r="M87" i="9"/>
  <c r="L87" i="9"/>
  <c r="K87" i="9"/>
  <c r="S90" i="9" s="1"/>
  <c r="J87" i="9"/>
  <c r="I87" i="9"/>
  <c r="H87" i="9"/>
  <c r="G87" i="9"/>
  <c r="F87" i="9"/>
  <c r="E87" i="9"/>
  <c r="D87" i="9"/>
  <c r="C87" i="9"/>
  <c r="V81" i="9"/>
  <c r="U81" i="9"/>
  <c r="P81" i="9"/>
  <c r="O81" i="9"/>
  <c r="N81" i="9"/>
  <c r="M81" i="9"/>
  <c r="L81" i="9"/>
  <c r="K81" i="9"/>
  <c r="S86" i="9" s="1"/>
  <c r="J81" i="9"/>
  <c r="I81" i="9"/>
  <c r="H81" i="9"/>
  <c r="G81" i="9"/>
  <c r="F81" i="9"/>
  <c r="E81" i="9"/>
  <c r="D81" i="9"/>
  <c r="C81" i="9"/>
  <c r="V80" i="9"/>
  <c r="U80" i="9"/>
  <c r="P80" i="9"/>
  <c r="O80" i="9"/>
  <c r="N80" i="9"/>
  <c r="M80" i="9"/>
  <c r="L80" i="9"/>
  <c r="K80" i="9"/>
  <c r="S80" i="9" s="1"/>
  <c r="J80" i="9"/>
  <c r="I80" i="9"/>
  <c r="H80" i="9"/>
  <c r="G80" i="9"/>
  <c r="F80" i="9"/>
  <c r="E80" i="9"/>
  <c r="D80" i="9"/>
  <c r="C80" i="9"/>
  <c r="V73" i="9"/>
  <c r="U73" i="9"/>
  <c r="P73" i="9"/>
  <c r="O73" i="9"/>
  <c r="N73" i="9"/>
  <c r="M73" i="9"/>
  <c r="L73" i="9"/>
  <c r="K73" i="9"/>
  <c r="S79" i="9" s="1"/>
  <c r="J73" i="9"/>
  <c r="I73" i="9"/>
  <c r="H73" i="9"/>
  <c r="G73" i="9"/>
  <c r="F73" i="9"/>
  <c r="E73" i="9"/>
  <c r="D73" i="9"/>
  <c r="C73" i="9"/>
  <c r="V104" i="9"/>
  <c r="U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AB97" i="9"/>
  <c r="V97" i="9"/>
  <c r="U97" i="9"/>
  <c r="P97" i="9"/>
  <c r="O97" i="9"/>
  <c r="N97" i="9"/>
  <c r="M97" i="9"/>
  <c r="L97" i="9"/>
  <c r="K97" i="9"/>
  <c r="S104" i="9" s="1"/>
  <c r="J97" i="9"/>
  <c r="I97" i="9"/>
  <c r="H97" i="9"/>
  <c r="G97" i="9"/>
  <c r="F97" i="9"/>
  <c r="E97" i="9"/>
  <c r="D97" i="9"/>
  <c r="C97" i="9"/>
  <c r="V96" i="9"/>
  <c r="U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V95" i="9"/>
  <c r="U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V94" i="9"/>
  <c r="U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V93" i="9"/>
  <c r="U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V92" i="9"/>
  <c r="U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AB91" i="9"/>
  <c r="AB81" i="9"/>
  <c r="AB80" i="9"/>
  <c r="AB73" i="9"/>
  <c r="K31" i="11"/>
  <c r="J31" i="11"/>
  <c r="I31" i="11"/>
  <c r="H31" i="11"/>
  <c r="G31" i="11"/>
  <c r="F31" i="11"/>
  <c r="E31" i="11"/>
  <c r="D31" i="11"/>
  <c r="C31" i="11"/>
  <c r="B31" i="11"/>
  <c r="V45" i="9"/>
  <c r="U45" i="9"/>
  <c r="P45" i="9"/>
  <c r="O45" i="9"/>
  <c r="N45" i="9"/>
  <c r="M45" i="9"/>
  <c r="L45" i="9"/>
  <c r="K45" i="9"/>
  <c r="S45" i="9" s="1"/>
  <c r="J45" i="9"/>
  <c r="I45" i="9"/>
  <c r="H45" i="9"/>
  <c r="G45" i="9"/>
  <c r="F45" i="9"/>
  <c r="E45" i="9"/>
  <c r="D45" i="9"/>
  <c r="C45" i="9"/>
  <c r="Q50" i="11"/>
  <c r="K50" i="11"/>
  <c r="J50" i="11"/>
  <c r="I50" i="11"/>
  <c r="H50" i="11"/>
  <c r="G50" i="11"/>
  <c r="F50" i="11"/>
  <c r="E50" i="11"/>
  <c r="D50" i="11"/>
  <c r="C50" i="11"/>
  <c r="B50" i="11"/>
  <c r="Q49" i="11"/>
  <c r="K49" i="11"/>
  <c r="J49" i="11"/>
  <c r="I49" i="11"/>
  <c r="H49" i="11"/>
  <c r="G49" i="11"/>
  <c r="F49" i="11"/>
  <c r="E49" i="11"/>
  <c r="D49" i="11"/>
  <c r="C49" i="11"/>
  <c r="B49" i="11"/>
  <c r="Q48" i="11"/>
  <c r="K48" i="11"/>
  <c r="J48" i="11"/>
  <c r="I48" i="11"/>
  <c r="H48" i="11"/>
  <c r="G48" i="11"/>
  <c r="F48" i="11"/>
  <c r="E48" i="11"/>
  <c r="D48" i="11"/>
  <c r="C48" i="11"/>
  <c r="B48" i="11"/>
  <c r="Q47" i="11"/>
  <c r="K47" i="11"/>
  <c r="J47" i="11"/>
  <c r="I47" i="11"/>
  <c r="H47" i="11"/>
  <c r="G47" i="11"/>
  <c r="F47" i="11"/>
  <c r="E47" i="11"/>
  <c r="D47" i="11"/>
  <c r="C47" i="11"/>
  <c r="B47" i="11"/>
  <c r="Q46" i="11"/>
  <c r="K46" i="11"/>
  <c r="J46" i="11"/>
  <c r="I46" i="11"/>
  <c r="H46" i="11"/>
  <c r="G46" i="11"/>
  <c r="F46" i="11"/>
  <c r="E46" i="11"/>
  <c r="D46" i="11"/>
  <c r="C46" i="11"/>
  <c r="B46" i="11"/>
  <c r="Q45" i="11"/>
  <c r="K45" i="11"/>
  <c r="J45" i="11"/>
  <c r="I45" i="11"/>
  <c r="H45" i="11"/>
  <c r="G45" i="11"/>
  <c r="F45" i="11"/>
  <c r="E45" i="11"/>
  <c r="D45" i="11"/>
  <c r="C45" i="11"/>
  <c r="B45" i="11"/>
  <c r="AC48" i="1"/>
  <c r="AA48" i="1"/>
  <c r="Z48" i="1"/>
  <c r="Y48" i="1"/>
  <c r="AC47" i="1"/>
  <c r="AA47" i="1"/>
  <c r="Z47" i="1"/>
  <c r="Y47" i="1"/>
  <c r="AC46" i="1"/>
  <c r="AA46" i="1"/>
  <c r="Z46" i="1"/>
  <c r="Y46" i="1"/>
  <c r="AC45" i="1"/>
  <c r="AA45" i="1"/>
  <c r="Z45" i="1"/>
  <c r="Y45" i="1"/>
  <c r="AC44" i="1"/>
  <c r="AA44" i="1"/>
  <c r="Z44" i="1"/>
  <c r="Y44" i="1"/>
  <c r="AA43" i="1" l="1"/>
  <c r="Z43" i="1"/>
  <c r="Y43" i="1"/>
  <c r="AC43" i="1" l="1"/>
  <c r="AB64" i="9" l="1"/>
  <c r="V64" i="9"/>
  <c r="U64" i="9"/>
  <c r="P64" i="9"/>
  <c r="O64" i="9"/>
  <c r="N64" i="9"/>
  <c r="M64" i="9"/>
  <c r="L64" i="9"/>
  <c r="K64" i="9"/>
  <c r="S67" i="9" s="1"/>
  <c r="J64" i="9"/>
  <c r="I64" i="9"/>
  <c r="H64" i="9"/>
  <c r="G64" i="9"/>
  <c r="F64" i="9"/>
  <c r="E64" i="9"/>
  <c r="D64" i="9"/>
  <c r="C64" i="9"/>
  <c r="AB60" i="9"/>
  <c r="V60" i="9"/>
  <c r="U60" i="9"/>
  <c r="P60" i="9"/>
  <c r="O60" i="9"/>
  <c r="N60" i="9"/>
  <c r="M60" i="9"/>
  <c r="L60" i="9"/>
  <c r="K60" i="9"/>
  <c r="S63" i="9" s="1"/>
  <c r="J60" i="9"/>
  <c r="I60" i="9"/>
  <c r="H60" i="9"/>
  <c r="G60" i="9"/>
  <c r="F60" i="9"/>
  <c r="E60" i="9"/>
  <c r="D60" i="9"/>
  <c r="C60" i="9"/>
  <c r="AB58" i="9"/>
  <c r="V58" i="9"/>
  <c r="U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AB57" i="9"/>
  <c r="V57" i="9"/>
  <c r="U57" i="9"/>
  <c r="P57" i="9"/>
  <c r="O57" i="9"/>
  <c r="N57" i="9"/>
  <c r="M57" i="9"/>
  <c r="L57" i="9"/>
  <c r="K57" i="9"/>
  <c r="S57" i="9" s="1"/>
  <c r="J57" i="9"/>
  <c r="I57" i="9"/>
  <c r="H57" i="9"/>
  <c r="G57" i="9"/>
  <c r="F57" i="9"/>
  <c r="E57" i="9"/>
  <c r="D57" i="9"/>
  <c r="C57" i="9"/>
  <c r="AB53" i="9"/>
  <c r="V53" i="9"/>
  <c r="U53" i="9"/>
  <c r="P53" i="9"/>
  <c r="O53" i="9"/>
  <c r="N53" i="9"/>
  <c r="M53" i="9"/>
  <c r="L53" i="9"/>
  <c r="K53" i="9"/>
  <c r="S56" i="9" s="1"/>
  <c r="J53" i="9"/>
  <c r="I53" i="9"/>
  <c r="H53" i="9"/>
  <c r="G53" i="9"/>
  <c r="F53" i="9"/>
  <c r="E53" i="9"/>
  <c r="D53" i="9"/>
  <c r="C53" i="9"/>
  <c r="AB51" i="9"/>
  <c r="V51" i="9"/>
  <c r="U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AB50" i="9"/>
  <c r="V50" i="9"/>
  <c r="U50" i="9"/>
  <c r="P50" i="9"/>
  <c r="O50" i="9"/>
  <c r="N50" i="9"/>
  <c r="M50" i="9"/>
  <c r="L50" i="9"/>
  <c r="K50" i="9"/>
  <c r="S50" i="9" s="1"/>
  <c r="J50" i="9"/>
  <c r="I50" i="9"/>
  <c r="H50" i="9"/>
  <c r="G50" i="9"/>
  <c r="F50" i="9"/>
  <c r="E50" i="9"/>
  <c r="D50" i="9"/>
  <c r="C50" i="9"/>
  <c r="AB49" i="9"/>
  <c r="V49" i="9"/>
  <c r="U49" i="9"/>
  <c r="P49" i="9"/>
  <c r="O49" i="9"/>
  <c r="N49" i="9"/>
  <c r="M49" i="9"/>
  <c r="L49" i="9"/>
  <c r="K49" i="9"/>
  <c r="S49" i="9" s="1"/>
  <c r="J49" i="9"/>
  <c r="I49" i="9"/>
  <c r="H49" i="9"/>
  <c r="G49" i="9"/>
  <c r="F49" i="9"/>
  <c r="E49" i="9"/>
  <c r="D49" i="9"/>
  <c r="C49" i="9"/>
  <c r="AB48" i="9"/>
  <c r="V48" i="9"/>
  <c r="U48" i="9"/>
  <c r="P48" i="9"/>
  <c r="O48" i="9"/>
  <c r="N48" i="9"/>
  <c r="M48" i="9"/>
  <c r="L48" i="9"/>
  <c r="K48" i="9"/>
  <c r="S48" i="9" s="1"/>
  <c r="J48" i="9"/>
  <c r="I48" i="9"/>
  <c r="H48" i="9"/>
  <c r="G48" i="9"/>
  <c r="F48" i="9"/>
  <c r="E48" i="9"/>
  <c r="D48" i="9"/>
  <c r="C48" i="9"/>
  <c r="Q44" i="11"/>
  <c r="K44" i="11"/>
  <c r="J44" i="11"/>
  <c r="I44" i="11"/>
  <c r="H44" i="11"/>
  <c r="G44" i="11"/>
  <c r="F44" i="11"/>
  <c r="E44" i="11"/>
  <c r="D44" i="11"/>
  <c r="C44" i="11"/>
  <c r="B44" i="11"/>
  <c r="Q43" i="11"/>
  <c r="K43" i="11"/>
  <c r="J43" i="11"/>
  <c r="I43" i="11"/>
  <c r="H43" i="11"/>
  <c r="G43" i="11"/>
  <c r="F43" i="11"/>
  <c r="E43" i="11"/>
  <c r="D43" i="11"/>
  <c r="C43" i="11"/>
  <c r="B43" i="11"/>
  <c r="Q42" i="11"/>
  <c r="K42" i="11"/>
  <c r="J42" i="11"/>
  <c r="I42" i="11"/>
  <c r="H42" i="11"/>
  <c r="G42" i="11"/>
  <c r="F42" i="11"/>
  <c r="E42" i="11"/>
  <c r="D42" i="11"/>
  <c r="C42" i="11"/>
  <c r="B42" i="11"/>
  <c r="Q41" i="11"/>
  <c r="K41" i="11"/>
  <c r="J41" i="11"/>
  <c r="I41" i="11"/>
  <c r="H41" i="11"/>
  <c r="G41" i="11"/>
  <c r="F41" i="11"/>
  <c r="E41" i="11"/>
  <c r="D41" i="11"/>
  <c r="C41" i="11"/>
  <c r="B41" i="11"/>
  <c r="Q40" i="11"/>
  <c r="K40" i="11"/>
  <c r="J40" i="11"/>
  <c r="I40" i="11"/>
  <c r="H40" i="11"/>
  <c r="G40" i="11"/>
  <c r="F40" i="11"/>
  <c r="E40" i="11"/>
  <c r="D40" i="11"/>
  <c r="C40" i="11"/>
  <c r="B40" i="11"/>
  <c r="Q39" i="11"/>
  <c r="K39" i="11"/>
  <c r="J39" i="11"/>
  <c r="I39" i="11"/>
  <c r="H39" i="11"/>
  <c r="G39" i="11"/>
  <c r="F39" i="11"/>
  <c r="E39" i="11"/>
  <c r="D39" i="11"/>
  <c r="C39" i="11"/>
  <c r="B39" i="11"/>
  <c r="Q38" i="11"/>
  <c r="K38" i="11"/>
  <c r="J38" i="11"/>
  <c r="I38" i="11"/>
  <c r="H38" i="11"/>
  <c r="G38" i="11"/>
  <c r="F38" i="11"/>
  <c r="E38" i="11"/>
  <c r="D38" i="11"/>
  <c r="C38" i="11"/>
  <c r="B38" i="11"/>
  <c r="Q37" i="11"/>
  <c r="K37" i="11"/>
  <c r="J37" i="11"/>
  <c r="I37" i="11"/>
  <c r="H37" i="11"/>
  <c r="G37" i="11"/>
  <c r="F37" i="11"/>
  <c r="E37" i="11"/>
  <c r="D37" i="11"/>
  <c r="C37" i="11"/>
  <c r="B37" i="11"/>
  <c r="Q36" i="11"/>
  <c r="K36" i="11"/>
  <c r="J36" i="11"/>
  <c r="I36" i="11"/>
  <c r="H36" i="11"/>
  <c r="G36" i="11"/>
  <c r="F36" i="11"/>
  <c r="E36" i="11"/>
  <c r="D36" i="11"/>
  <c r="C36" i="11"/>
  <c r="B36" i="11"/>
  <c r="Q35" i="11"/>
  <c r="K35" i="11"/>
  <c r="J35" i="11"/>
  <c r="I35" i="11"/>
  <c r="H35" i="11"/>
  <c r="G35" i="11"/>
  <c r="F35" i="11"/>
  <c r="E35" i="11"/>
  <c r="D35" i="11"/>
  <c r="C35" i="11"/>
  <c r="B35" i="11"/>
  <c r="Q34" i="11"/>
  <c r="K34" i="11"/>
  <c r="J34" i="11"/>
  <c r="I34" i="11"/>
  <c r="H34" i="11"/>
  <c r="G34" i="11"/>
  <c r="F34" i="11"/>
  <c r="E34" i="11"/>
  <c r="D34" i="11"/>
  <c r="C34" i="11"/>
  <c r="B34" i="11"/>
  <c r="AC42" i="1"/>
  <c r="AA42" i="1"/>
  <c r="Z42" i="1"/>
  <c r="Y42" i="1"/>
  <c r="AC41" i="1"/>
  <c r="AA41" i="1"/>
  <c r="Z41" i="1"/>
  <c r="Y41" i="1"/>
  <c r="AC40" i="1"/>
  <c r="AA40" i="1"/>
  <c r="Z40" i="1"/>
  <c r="Y40" i="1"/>
  <c r="AC39" i="1"/>
  <c r="AA39" i="1"/>
  <c r="Z39" i="1"/>
  <c r="Y39" i="1"/>
  <c r="AC38" i="1"/>
  <c r="AA38" i="1"/>
  <c r="Z38" i="1"/>
  <c r="Y38" i="1"/>
  <c r="AC37" i="1"/>
  <c r="AA37" i="1"/>
  <c r="Z37" i="1"/>
  <c r="Y37" i="1"/>
  <c r="AC36" i="1"/>
  <c r="AA36" i="1"/>
  <c r="Z36" i="1"/>
  <c r="Y36" i="1"/>
  <c r="AC35" i="1"/>
  <c r="AA35" i="1"/>
  <c r="Z35" i="1"/>
  <c r="Y35" i="1"/>
  <c r="AC34" i="1"/>
  <c r="AA34" i="1"/>
  <c r="Z34" i="1"/>
  <c r="Y34" i="1"/>
  <c r="AC33" i="1"/>
  <c r="AA33" i="1"/>
  <c r="Z33" i="1"/>
  <c r="Y33" i="1"/>
  <c r="AC32" i="1" l="1"/>
  <c r="AC31" i="1"/>
  <c r="AC30" i="1"/>
  <c r="AB17" i="9" l="1"/>
  <c r="V17" i="9"/>
  <c r="U17" i="9"/>
  <c r="P17" i="9"/>
  <c r="O17" i="9"/>
  <c r="N17" i="9"/>
  <c r="M17" i="9"/>
  <c r="L17" i="9"/>
  <c r="K17" i="9"/>
  <c r="S24" i="9" s="1"/>
  <c r="J17" i="9"/>
  <c r="I17" i="9"/>
  <c r="H17" i="9"/>
  <c r="G17" i="9"/>
  <c r="F17" i="9"/>
  <c r="E17" i="9"/>
  <c r="D17" i="9"/>
  <c r="C17" i="9"/>
  <c r="AB15" i="9"/>
  <c r="V15" i="9"/>
  <c r="U15" i="9"/>
  <c r="P15" i="9"/>
  <c r="O15" i="9"/>
  <c r="N15" i="9"/>
  <c r="M15" i="9"/>
  <c r="L15" i="9"/>
  <c r="K15" i="9"/>
  <c r="S16" i="9" s="1"/>
  <c r="J15" i="9"/>
  <c r="I15" i="9"/>
  <c r="H15" i="9"/>
  <c r="G15" i="9"/>
  <c r="F15" i="9"/>
  <c r="E15" i="9"/>
  <c r="D15" i="9"/>
  <c r="C15" i="9"/>
  <c r="AB14" i="9"/>
  <c r="V14" i="9"/>
  <c r="U14" i="9"/>
  <c r="P14" i="9"/>
  <c r="O14" i="9"/>
  <c r="N14" i="9"/>
  <c r="M14" i="9"/>
  <c r="L14" i="9"/>
  <c r="K14" i="9"/>
  <c r="S14" i="9" s="1"/>
  <c r="J14" i="9"/>
  <c r="I14" i="9"/>
  <c r="H14" i="9"/>
  <c r="G14" i="9"/>
  <c r="F14" i="9"/>
  <c r="E14" i="9"/>
  <c r="D14" i="9"/>
  <c r="C14" i="9"/>
  <c r="Q11" i="11"/>
  <c r="K11" i="11"/>
  <c r="J11" i="11"/>
  <c r="I11" i="11"/>
  <c r="H11" i="11"/>
  <c r="G11" i="11"/>
  <c r="F11" i="11"/>
  <c r="E11" i="11"/>
  <c r="D11" i="11"/>
  <c r="C11" i="11"/>
  <c r="B11" i="11"/>
  <c r="Q10" i="11"/>
  <c r="K10" i="11"/>
  <c r="J10" i="11"/>
  <c r="I10" i="11"/>
  <c r="H10" i="11"/>
  <c r="G10" i="11"/>
  <c r="F10" i="11"/>
  <c r="E10" i="11"/>
  <c r="D10" i="11"/>
  <c r="C10" i="11"/>
  <c r="B10" i="11"/>
  <c r="Q9" i="11"/>
  <c r="K9" i="11"/>
  <c r="J9" i="11"/>
  <c r="I9" i="11"/>
  <c r="H9" i="11"/>
  <c r="G9" i="11"/>
  <c r="F9" i="11"/>
  <c r="E9" i="11"/>
  <c r="D9" i="11"/>
  <c r="C9" i="11"/>
  <c r="B9" i="11"/>
  <c r="AC27" i="1"/>
  <c r="AA27" i="1"/>
  <c r="Z27" i="1"/>
  <c r="Y27" i="1"/>
  <c r="AC29" i="1"/>
  <c r="AA29" i="1"/>
  <c r="Z29" i="1"/>
  <c r="Y29" i="1"/>
  <c r="AC28" i="1"/>
  <c r="AA28" i="1"/>
  <c r="Z28" i="1"/>
  <c r="Y28" i="1"/>
  <c r="V120" i="9"/>
  <c r="U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V119" i="9"/>
  <c r="U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V118" i="9"/>
  <c r="U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V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V116" i="9"/>
  <c r="U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B115" i="9"/>
  <c r="V115" i="9"/>
  <c r="U115" i="9"/>
  <c r="P115" i="9"/>
  <c r="O115" i="9"/>
  <c r="N115" i="9"/>
  <c r="M115" i="9"/>
  <c r="L115" i="9"/>
  <c r="K115" i="9"/>
  <c r="S120" i="9" s="1"/>
  <c r="J115" i="9"/>
  <c r="I115" i="9"/>
  <c r="H115" i="9"/>
  <c r="G115" i="9"/>
  <c r="F115" i="9"/>
  <c r="E115" i="9"/>
  <c r="D115" i="9"/>
  <c r="C115" i="9"/>
  <c r="V114" i="9"/>
  <c r="U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AB113" i="9"/>
  <c r="V113" i="9"/>
  <c r="U113" i="9"/>
  <c r="P113" i="9"/>
  <c r="O113" i="9"/>
  <c r="N113" i="9"/>
  <c r="M113" i="9"/>
  <c r="L113" i="9"/>
  <c r="K113" i="9"/>
  <c r="S114" i="9" s="1"/>
  <c r="J113" i="9"/>
  <c r="I113" i="9"/>
  <c r="H113" i="9"/>
  <c r="G113" i="9"/>
  <c r="F113" i="9"/>
  <c r="E113" i="9"/>
  <c r="D113" i="9"/>
  <c r="C113" i="9"/>
  <c r="AB107" i="9"/>
  <c r="V107" i="9"/>
  <c r="U107" i="9"/>
  <c r="P107" i="9"/>
  <c r="O107" i="9"/>
  <c r="N107" i="9"/>
  <c r="M107" i="9"/>
  <c r="L107" i="9"/>
  <c r="K107" i="9"/>
  <c r="S112" i="9" s="1"/>
  <c r="J107" i="9"/>
  <c r="I107" i="9"/>
  <c r="H107" i="9"/>
  <c r="G107" i="9"/>
  <c r="F107" i="9"/>
  <c r="E107" i="9"/>
  <c r="D107" i="9"/>
  <c r="C107" i="9"/>
  <c r="AB105" i="9"/>
  <c r="V105" i="9"/>
  <c r="U105" i="9"/>
  <c r="P105" i="9"/>
  <c r="O105" i="9"/>
  <c r="N105" i="9"/>
  <c r="M105" i="9"/>
  <c r="L105" i="9"/>
  <c r="K105" i="9"/>
  <c r="S106" i="9" s="1"/>
  <c r="J105" i="9"/>
  <c r="I105" i="9"/>
  <c r="H105" i="9"/>
  <c r="G105" i="9"/>
  <c r="F105" i="9"/>
  <c r="E105" i="9"/>
  <c r="D105" i="9"/>
  <c r="C105" i="9"/>
  <c r="AB72" i="9"/>
  <c r="V72" i="9"/>
  <c r="U72" i="9"/>
  <c r="P72" i="9"/>
  <c r="O72" i="9"/>
  <c r="N72" i="9"/>
  <c r="M72" i="9"/>
  <c r="L72" i="9"/>
  <c r="K72" i="9"/>
  <c r="S72" i="9" s="1"/>
  <c r="J72" i="9"/>
  <c r="I72" i="9"/>
  <c r="H72" i="9"/>
  <c r="G72" i="9"/>
  <c r="F72" i="9"/>
  <c r="E72" i="9"/>
  <c r="D72" i="9"/>
  <c r="C72" i="9"/>
  <c r="V71" i="9"/>
  <c r="U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V70" i="9"/>
  <c r="U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V69" i="9"/>
  <c r="U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B68" i="9"/>
  <c r="V68" i="9"/>
  <c r="U68" i="9"/>
  <c r="P68" i="9"/>
  <c r="O68" i="9"/>
  <c r="N68" i="9"/>
  <c r="M68" i="9"/>
  <c r="L68" i="9"/>
  <c r="K68" i="9"/>
  <c r="S71" i="9" s="1"/>
  <c r="J68" i="9"/>
  <c r="I68" i="9"/>
  <c r="H68" i="9"/>
  <c r="G68" i="9"/>
  <c r="F68" i="9"/>
  <c r="E68" i="9"/>
  <c r="D68" i="9"/>
  <c r="C68" i="9"/>
  <c r="V47" i="9"/>
  <c r="U47" i="9"/>
  <c r="P47" i="9"/>
  <c r="O47" i="9"/>
  <c r="N47" i="9"/>
  <c r="M47" i="9"/>
  <c r="L47" i="9"/>
  <c r="K47" i="9"/>
  <c r="S47" i="9" s="1"/>
  <c r="J47" i="9"/>
  <c r="I47" i="9"/>
  <c r="H47" i="9"/>
  <c r="G47" i="9"/>
  <c r="F47" i="9"/>
  <c r="E47" i="9"/>
  <c r="D47" i="9"/>
  <c r="C47" i="9"/>
  <c r="V46" i="9"/>
  <c r="U46" i="9"/>
  <c r="P46" i="9"/>
  <c r="O46" i="9"/>
  <c r="N46" i="9"/>
  <c r="M46" i="9"/>
  <c r="L46" i="9"/>
  <c r="K46" i="9"/>
  <c r="S46" i="9" s="1"/>
  <c r="J46" i="9"/>
  <c r="I46" i="9"/>
  <c r="H46" i="9"/>
  <c r="G46" i="9"/>
  <c r="F46" i="9"/>
  <c r="E46" i="9"/>
  <c r="D46" i="9"/>
  <c r="C46" i="9"/>
  <c r="V44" i="9"/>
  <c r="U44" i="9"/>
  <c r="P44" i="9"/>
  <c r="O44" i="9"/>
  <c r="N44" i="9"/>
  <c r="M44" i="9"/>
  <c r="L44" i="9"/>
  <c r="K44" i="9"/>
  <c r="S44" i="9" s="1"/>
  <c r="J44" i="9"/>
  <c r="I44" i="9"/>
  <c r="H44" i="9"/>
  <c r="G44" i="9"/>
  <c r="F44" i="9"/>
  <c r="E44" i="9"/>
  <c r="D44" i="9"/>
  <c r="C44" i="9"/>
  <c r="V43" i="9"/>
  <c r="U43" i="9"/>
  <c r="P43" i="9"/>
  <c r="O43" i="9"/>
  <c r="N43" i="9"/>
  <c r="M43" i="9"/>
  <c r="L43" i="9"/>
  <c r="K43" i="9"/>
  <c r="S43" i="9" s="1"/>
  <c r="J43" i="9"/>
  <c r="I43" i="9"/>
  <c r="H43" i="9"/>
  <c r="G43" i="9"/>
  <c r="F43" i="9"/>
  <c r="E43" i="9"/>
  <c r="D43" i="9"/>
  <c r="C43" i="9"/>
  <c r="V42" i="9"/>
  <c r="U42" i="9"/>
  <c r="P42" i="9"/>
  <c r="O42" i="9"/>
  <c r="N42" i="9"/>
  <c r="M42" i="9"/>
  <c r="L42" i="9"/>
  <c r="K42" i="9"/>
  <c r="S42" i="9" s="1"/>
  <c r="J42" i="9"/>
  <c r="I42" i="9"/>
  <c r="H42" i="9"/>
  <c r="G42" i="9"/>
  <c r="F42" i="9"/>
  <c r="E42" i="9"/>
  <c r="D42" i="9"/>
  <c r="C42" i="9"/>
  <c r="V41" i="9"/>
  <c r="U41" i="9"/>
  <c r="P41" i="9"/>
  <c r="O41" i="9"/>
  <c r="N41" i="9"/>
  <c r="M41" i="9"/>
  <c r="L41" i="9"/>
  <c r="K41" i="9"/>
  <c r="S41" i="9" s="1"/>
  <c r="J41" i="9"/>
  <c r="I41" i="9"/>
  <c r="H41" i="9"/>
  <c r="G41" i="9"/>
  <c r="F41" i="9"/>
  <c r="E41" i="9"/>
  <c r="D41" i="9"/>
  <c r="C41" i="9"/>
  <c r="V40" i="9"/>
  <c r="U40" i="9"/>
  <c r="P40" i="9"/>
  <c r="O40" i="9"/>
  <c r="N40" i="9"/>
  <c r="M40" i="9"/>
  <c r="L40" i="9"/>
  <c r="K40" i="9"/>
  <c r="S40" i="9" s="1"/>
  <c r="J40" i="9"/>
  <c r="I40" i="9"/>
  <c r="H40" i="9"/>
  <c r="G40" i="9"/>
  <c r="F40" i="9"/>
  <c r="E40" i="9"/>
  <c r="D40" i="9"/>
  <c r="C40" i="9"/>
  <c r="V39" i="9"/>
  <c r="U39" i="9"/>
  <c r="P39" i="9"/>
  <c r="O39" i="9"/>
  <c r="N39" i="9"/>
  <c r="M39" i="9"/>
  <c r="L39" i="9"/>
  <c r="K39" i="9"/>
  <c r="S39" i="9" s="1"/>
  <c r="J39" i="9"/>
  <c r="I39" i="9"/>
  <c r="H39" i="9"/>
  <c r="G39" i="9"/>
  <c r="F39" i="9"/>
  <c r="E39" i="9"/>
  <c r="D39" i="9"/>
  <c r="C39" i="9"/>
  <c r="V38" i="9"/>
  <c r="U38" i="9"/>
  <c r="P38" i="9"/>
  <c r="O38" i="9"/>
  <c r="N38" i="9"/>
  <c r="M38" i="9"/>
  <c r="L38" i="9"/>
  <c r="K38" i="9"/>
  <c r="S38" i="9" s="1"/>
  <c r="J38" i="9"/>
  <c r="I38" i="9"/>
  <c r="H38" i="9"/>
  <c r="G38" i="9"/>
  <c r="F38" i="9"/>
  <c r="E38" i="9"/>
  <c r="D38" i="9"/>
  <c r="C38" i="9"/>
  <c r="V37" i="9"/>
  <c r="U37" i="9"/>
  <c r="P37" i="9"/>
  <c r="O37" i="9"/>
  <c r="N37" i="9"/>
  <c r="M37" i="9"/>
  <c r="L37" i="9"/>
  <c r="K37" i="9"/>
  <c r="S37" i="9" s="1"/>
  <c r="J37" i="9"/>
  <c r="I37" i="9"/>
  <c r="H37" i="9"/>
  <c r="G37" i="9"/>
  <c r="F37" i="9"/>
  <c r="E37" i="9"/>
  <c r="D37" i="9"/>
  <c r="C37" i="9"/>
  <c r="V35" i="9"/>
  <c r="U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V34" i="9"/>
  <c r="U34" i="9"/>
  <c r="P34" i="9"/>
  <c r="O34" i="9"/>
  <c r="N34" i="9"/>
  <c r="M34" i="9"/>
  <c r="L34" i="9"/>
  <c r="K34" i="9"/>
  <c r="S34" i="9" s="1"/>
  <c r="J34" i="9"/>
  <c r="I34" i="9"/>
  <c r="H34" i="9"/>
  <c r="G34" i="9"/>
  <c r="F34" i="9"/>
  <c r="E34" i="9"/>
  <c r="D34" i="9"/>
  <c r="C34" i="9"/>
  <c r="V33" i="9"/>
  <c r="U33" i="9"/>
  <c r="P33" i="9"/>
  <c r="O33" i="9"/>
  <c r="N33" i="9"/>
  <c r="M33" i="9"/>
  <c r="L33" i="9"/>
  <c r="K33" i="9"/>
  <c r="S33" i="9" s="1"/>
  <c r="J33" i="9"/>
  <c r="I33" i="9"/>
  <c r="H33" i="9"/>
  <c r="G33" i="9"/>
  <c r="F33" i="9"/>
  <c r="E33" i="9"/>
  <c r="D33" i="9"/>
  <c r="C33" i="9"/>
  <c r="V32" i="9"/>
  <c r="U32" i="9"/>
  <c r="P32" i="9"/>
  <c r="O32" i="9"/>
  <c r="N32" i="9"/>
  <c r="M32" i="9"/>
  <c r="L32" i="9"/>
  <c r="K32" i="9"/>
  <c r="S32" i="9" s="1"/>
  <c r="J32" i="9"/>
  <c r="I32" i="9"/>
  <c r="H32" i="9"/>
  <c r="G32" i="9"/>
  <c r="F32" i="9"/>
  <c r="E32" i="9"/>
  <c r="D32" i="9"/>
  <c r="C32" i="9"/>
  <c r="V31" i="9"/>
  <c r="U31" i="9"/>
  <c r="P31" i="9"/>
  <c r="O31" i="9"/>
  <c r="N31" i="9"/>
  <c r="M31" i="9"/>
  <c r="L31" i="9"/>
  <c r="K31" i="9"/>
  <c r="S31" i="9" s="1"/>
  <c r="J31" i="9"/>
  <c r="I31" i="9"/>
  <c r="H31" i="9"/>
  <c r="G31" i="9"/>
  <c r="F31" i="9"/>
  <c r="E31" i="9"/>
  <c r="D31" i="9"/>
  <c r="C31" i="9"/>
  <c r="V30" i="9"/>
  <c r="U30" i="9"/>
  <c r="P30" i="9"/>
  <c r="O30" i="9"/>
  <c r="N30" i="9"/>
  <c r="M30" i="9"/>
  <c r="L30" i="9"/>
  <c r="K30" i="9"/>
  <c r="S30" i="9" s="1"/>
  <c r="J30" i="9"/>
  <c r="I30" i="9"/>
  <c r="H30" i="9"/>
  <c r="G30" i="9"/>
  <c r="F30" i="9"/>
  <c r="E30" i="9"/>
  <c r="D30" i="9"/>
  <c r="C30" i="9"/>
  <c r="V29" i="9"/>
  <c r="U29" i="9"/>
  <c r="P29" i="9"/>
  <c r="O29" i="9"/>
  <c r="N29" i="9"/>
  <c r="M29" i="9"/>
  <c r="L29" i="9"/>
  <c r="K29" i="9"/>
  <c r="S29" i="9" s="1"/>
  <c r="J29" i="9"/>
  <c r="I29" i="9"/>
  <c r="H29" i="9"/>
  <c r="G29" i="9"/>
  <c r="F29" i="9"/>
  <c r="E29" i="9"/>
  <c r="D29" i="9"/>
  <c r="C29" i="9"/>
  <c r="V28" i="9"/>
  <c r="U28" i="9"/>
  <c r="P28" i="9"/>
  <c r="O28" i="9"/>
  <c r="N28" i="9"/>
  <c r="M28" i="9"/>
  <c r="L28" i="9"/>
  <c r="K28" i="9"/>
  <c r="S28" i="9" s="1"/>
  <c r="J28" i="9"/>
  <c r="I28" i="9"/>
  <c r="H28" i="9"/>
  <c r="G28" i="9"/>
  <c r="F28" i="9"/>
  <c r="E28" i="9"/>
  <c r="D28" i="9"/>
  <c r="C28" i="9"/>
  <c r="V27" i="9"/>
  <c r="U27" i="9"/>
  <c r="P27" i="9"/>
  <c r="O27" i="9"/>
  <c r="N27" i="9"/>
  <c r="M27" i="9"/>
  <c r="L27" i="9"/>
  <c r="K27" i="9"/>
  <c r="S27" i="9" s="1"/>
  <c r="J27" i="9"/>
  <c r="I27" i="9"/>
  <c r="H27" i="9"/>
  <c r="G27" i="9"/>
  <c r="F27" i="9"/>
  <c r="E27" i="9"/>
  <c r="D27" i="9"/>
  <c r="C27" i="9"/>
  <c r="V26" i="9"/>
  <c r="U26" i="9"/>
  <c r="P26" i="9"/>
  <c r="O26" i="9"/>
  <c r="N26" i="9"/>
  <c r="M26" i="9"/>
  <c r="L26" i="9"/>
  <c r="K26" i="9"/>
  <c r="S26" i="9" s="1"/>
  <c r="J26" i="9"/>
  <c r="I26" i="9"/>
  <c r="H26" i="9"/>
  <c r="G26" i="9"/>
  <c r="F26" i="9"/>
  <c r="E26" i="9"/>
  <c r="D26" i="9"/>
  <c r="C26" i="9"/>
  <c r="V25" i="9"/>
  <c r="U25" i="9"/>
  <c r="P25" i="9"/>
  <c r="O25" i="9"/>
  <c r="N25" i="9"/>
  <c r="M25" i="9"/>
  <c r="L25" i="9"/>
  <c r="K25" i="9"/>
  <c r="S25" i="9" s="1"/>
  <c r="J25" i="9"/>
  <c r="I25" i="9"/>
  <c r="H25" i="9"/>
  <c r="G25" i="9"/>
  <c r="F25" i="9"/>
  <c r="E25" i="9"/>
  <c r="D25" i="9"/>
  <c r="C25" i="9"/>
  <c r="Q8" i="11" l="1"/>
  <c r="K8" i="11"/>
  <c r="J8" i="11"/>
  <c r="I8" i="11"/>
  <c r="H8" i="11"/>
  <c r="G8" i="11"/>
  <c r="F8" i="11"/>
  <c r="E8" i="11"/>
  <c r="D8" i="11"/>
  <c r="C8" i="11"/>
  <c r="B8" i="11"/>
  <c r="AC26" i="1"/>
  <c r="AA26" i="1"/>
  <c r="Z26" i="1"/>
  <c r="Y26" i="1"/>
  <c r="AB11" i="9" l="1"/>
  <c r="V11" i="9"/>
  <c r="U11" i="9"/>
  <c r="P11" i="9"/>
  <c r="O11" i="9"/>
  <c r="N11" i="9"/>
  <c r="M11" i="9"/>
  <c r="L11" i="9"/>
  <c r="K11" i="9"/>
  <c r="S13" i="9" s="1"/>
  <c r="J11" i="9"/>
  <c r="I11" i="9"/>
  <c r="H11" i="9"/>
  <c r="G11" i="9"/>
  <c r="F11" i="9"/>
  <c r="E11" i="9"/>
  <c r="D11" i="9"/>
  <c r="C11" i="9"/>
  <c r="K17" i="11" l="1"/>
  <c r="J17" i="11"/>
  <c r="I17" i="11"/>
  <c r="H17" i="11"/>
  <c r="G17" i="11"/>
  <c r="F17" i="11"/>
  <c r="E17" i="11"/>
  <c r="D17" i="11"/>
  <c r="C17" i="11"/>
  <c r="B17" i="11"/>
  <c r="K16" i="11"/>
  <c r="J16" i="11"/>
  <c r="I16" i="11"/>
  <c r="H16" i="11"/>
  <c r="G16" i="11"/>
  <c r="F16" i="11"/>
  <c r="E16" i="11"/>
  <c r="D16" i="11"/>
  <c r="C16" i="11"/>
  <c r="B16" i="11"/>
  <c r="K15" i="11"/>
  <c r="J15" i="11"/>
  <c r="I15" i="11"/>
  <c r="H15" i="11"/>
  <c r="G15" i="11"/>
  <c r="F15" i="11"/>
  <c r="E15" i="11"/>
  <c r="D15" i="11"/>
  <c r="C15" i="11"/>
  <c r="B15" i="11"/>
  <c r="K14" i="11"/>
  <c r="J14" i="11"/>
  <c r="I14" i="11"/>
  <c r="H14" i="11"/>
  <c r="G14" i="11"/>
  <c r="F14" i="11"/>
  <c r="E14" i="11"/>
  <c r="D14" i="11"/>
  <c r="C14" i="11"/>
  <c r="B14" i="11"/>
  <c r="K13" i="11"/>
  <c r="J13" i="11"/>
  <c r="I13" i="11"/>
  <c r="H13" i="11"/>
  <c r="G13" i="11"/>
  <c r="F13" i="11"/>
  <c r="E13" i="11"/>
  <c r="D13" i="11"/>
  <c r="C13" i="11"/>
  <c r="B13" i="11"/>
  <c r="K12" i="11"/>
  <c r="J12" i="11"/>
  <c r="I12" i="11"/>
  <c r="H12" i="11"/>
  <c r="G12" i="11"/>
  <c r="F12" i="11"/>
  <c r="E12" i="11"/>
  <c r="D12" i="11"/>
  <c r="C12" i="11"/>
  <c r="B12" i="11"/>
  <c r="B3" i="6" l="1"/>
  <c r="C3" i="6"/>
  <c r="D3" i="6"/>
  <c r="E3" i="6"/>
  <c r="F3" i="6"/>
  <c r="G3" i="6"/>
  <c r="H3" i="6"/>
  <c r="I3" i="6"/>
  <c r="J3" i="6"/>
  <c r="K3" i="6"/>
  <c r="L3" i="6"/>
  <c r="M3" i="6"/>
  <c r="N3" i="6"/>
  <c r="B4" i="6"/>
  <c r="C4" i="6"/>
  <c r="D4" i="6"/>
  <c r="E4" i="6"/>
  <c r="F4" i="6"/>
  <c r="G4" i="6"/>
  <c r="H4" i="6"/>
  <c r="I4" i="6"/>
  <c r="J4" i="6"/>
  <c r="K4" i="6"/>
  <c r="L4" i="6"/>
  <c r="M4" i="6"/>
  <c r="N4" i="6"/>
  <c r="B5" i="6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51" i="6" l="1"/>
  <c r="O123" i="6"/>
  <c r="O23" i="6"/>
  <c r="O55" i="6"/>
  <c r="O171" i="6"/>
  <c r="O139" i="6"/>
  <c r="O75" i="6"/>
  <c r="O71" i="6"/>
  <c r="O63" i="6"/>
  <c r="O83" i="6"/>
  <c r="O115" i="6"/>
  <c r="O107" i="6"/>
  <c r="O11" i="6"/>
  <c r="O170" i="6"/>
  <c r="O94" i="6"/>
  <c r="O86" i="6"/>
  <c r="O53" i="6"/>
  <c r="O50" i="6"/>
  <c r="O3" i="6"/>
  <c r="O167" i="6"/>
  <c r="O159" i="6"/>
  <c r="O149" i="6"/>
  <c r="O146" i="6"/>
  <c r="O97" i="6"/>
  <c r="O91" i="6"/>
  <c r="O42" i="6"/>
  <c r="O147" i="6"/>
  <c r="O129" i="6"/>
  <c r="O43" i="6"/>
  <c r="O151" i="6"/>
  <c r="O138" i="6"/>
  <c r="O100" i="6"/>
  <c r="O62" i="6"/>
  <c r="O39" i="6"/>
  <c r="O143" i="6"/>
  <c r="O135" i="6"/>
  <c r="O127" i="6"/>
  <c r="O117" i="6"/>
  <c r="O114" i="6"/>
  <c r="O65" i="6"/>
  <c r="O59" i="6"/>
  <c r="O54" i="6"/>
  <c r="O21" i="6"/>
  <c r="O158" i="6"/>
  <c r="O150" i="6"/>
  <c r="O119" i="6"/>
  <c r="O106" i="6"/>
  <c r="O161" i="6"/>
  <c r="O155" i="6"/>
  <c r="O111" i="6"/>
  <c r="O103" i="6"/>
  <c r="O95" i="6"/>
  <c r="O85" i="6"/>
  <c r="O82" i="6"/>
  <c r="O30" i="6"/>
  <c r="O126" i="6"/>
  <c r="O118" i="6"/>
  <c r="O74" i="6"/>
  <c r="O33" i="6"/>
  <c r="O87" i="6"/>
  <c r="O152" i="6"/>
  <c r="O120" i="6"/>
  <c r="O88" i="6"/>
  <c r="O56" i="6"/>
  <c r="O24" i="6"/>
  <c r="O18" i="6"/>
  <c r="O164" i="6"/>
  <c r="O132" i="6"/>
  <c r="O36" i="6"/>
  <c r="O4" i="6"/>
  <c r="O68" i="6"/>
  <c r="O163" i="6"/>
  <c r="O144" i="6"/>
  <c r="O141" i="6"/>
  <c r="O131" i="6"/>
  <c r="O112" i="6"/>
  <c r="O109" i="6"/>
  <c r="O99" i="6"/>
  <c r="O80" i="6"/>
  <c r="O77" i="6"/>
  <c r="O67" i="6"/>
  <c r="O48" i="6"/>
  <c r="O45" i="6"/>
  <c r="O35" i="6"/>
  <c r="O16" i="6"/>
  <c r="O13" i="6"/>
  <c r="O25" i="6"/>
  <c r="O22" i="6"/>
  <c r="O15" i="6"/>
  <c r="O5" i="6"/>
  <c r="O92" i="6"/>
  <c r="O57" i="6"/>
  <c r="O168" i="6"/>
  <c r="O165" i="6"/>
  <c r="O162" i="6"/>
  <c r="O136" i="6"/>
  <c r="O133" i="6"/>
  <c r="O130" i="6"/>
  <c r="O104" i="6"/>
  <c r="O101" i="6"/>
  <c r="O98" i="6"/>
  <c r="O72" i="6"/>
  <c r="O69" i="6"/>
  <c r="O66" i="6"/>
  <c r="O40" i="6"/>
  <c r="O37" i="6"/>
  <c r="O34" i="6"/>
  <c r="O27" i="6"/>
  <c r="O8" i="6"/>
  <c r="O156" i="6"/>
  <c r="O124" i="6"/>
  <c r="O148" i="6"/>
  <c r="O145" i="6"/>
  <c r="O142" i="6"/>
  <c r="O116" i="6"/>
  <c r="O113" i="6"/>
  <c r="O110" i="6"/>
  <c r="O84" i="6"/>
  <c r="O81" i="6"/>
  <c r="O78" i="6"/>
  <c r="O52" i="6"/>
  <c r="O49" i="6"/>
  <c r="O46" i="6"/>
  <c r="O20" i="6"/>
  <c r="O17" i="6"/>
  <c r="O14" i="6"/>
  <c r="O7" i="6"/>
  <c r="O153" i="6"/>
  <c r="O121" i="6"/>
  <c r="O60" i="6"/>
  <c r="O47" i="6"/>
  <c r="O160" i="6"/>
  <c r="O157" i="6"/>
  <c r="O154" i="6"/>
  <c r="O128" i="6"/>
  <c r="O125" i="6"/>
  <c r="O122" i="6"/>
  <c r="O96" i="6"/>
  <c r="O93" i="6"/>
  <c r="O90" i="6"/>
  <c r="O64" i="6"/>
  <c r="O61" i="6"/>
  <c r="O58" i="6"/>
  <c r="O32" i="6"/>
  <c r="O29" i="6"/>
  <c r="O26" i="6"/>
  <c r="O19" i="6"/>
  <c r="O89" i="6"/>
  <c r="O79" i="6"/>
  <c r="O28" i="6"/>
  <c r="O172" i="6"/>
  <c r="O169" i="6"/>
  <c r="O166" i="6"/>
  <c r="O140" i="6"/>
  <c r="O137" i="6"/>
  <c r="O134" i="6"/>
  <c r="O108" i="6"/>
  <c r="O105" i="6"/>
  <c r="O102" i="6"/>
  <c r="O76" i="6"/>
  <c r="O73" i="6"/>
  <c r="O70" i="6"/>
  <c r="O44" i="6"/>
  <c r="O41" i="6"/>
  <c r="O38" i="6"/>
  <c r="O31" i="6"/>
  <c r="O12" i="6"/>
  <c r="O10" i="6"/>
  <c r="O9" i="6"/>
  <c r="O6" i="6"/>
  <c r="AB220" i="9" l="1"/>
  <c r="V220" i="9"/>
  <c r="U220" i="9"/>
  <c r="P220" i="9"/>
  <c r="O220" i="9"/>
  <c r="N220" i="9"/>
  <c r="M220" i="9"/>
  <c r="L220" i="9"/>
  <c r="K220" i="9"/>
  <c r="S223" i="9" s="1"/>
  <c r="J220" i="9"/>
  <c r="I220" i="9"/>
  <c r="H220" i="9"/>
  <c r="G220" i="9"/>
  <c r="F220" i="9"/>
  <c r="E220" i="9"/>
  <c r="D220" i="9"/>
  <c r="AB209" i="9"/>
  <c r="V209" i="9"/>
  <c r="U209" i="9"/>
  <c r="P209" i="9"/>
  <c r="O209" i="9"/>
  <c r="N209" i="9"/>
  <c r="M209" i="9"/>
  <c r="L209" i="9"/>
  <c r="K209" i="9"/>
  <c r="S210" i="9" s="1"/>
  <c r="J209" i="9"/>
  <c r="I209" i="9"/>
  <c r="H209" i="9"/>
  <c r="G209" i="9"/>
  <c r="F209" i="9"/>
  <c r="E209" i="9"/>
  <c r="D209" i="9"/>
  <c r="C209" i="9"/>
  <c r="V208" i="9"/>
  <c r="U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AB201" i="9"/>
  <c r="V201" i="9"/>
  <c r="U201" i="9"/>
  <c r="P201" i="9"/>
  <c r="O201" i="9"/>
  <c r="N201" i="9"/>
  <c r="M201" i="9"/>
  <c r="L201" i="9"/>
  <c r="K201" i="9"/>
  <c r="S208" i="9" s="1"/>
  <c r="J201" i="9"/>
  <c r="I201" i="9"/>
  <c r="H201" i="9"/>
  <c r="G201" i="9"/>
  <c r="F201" i="9"/>
  <c r="E201" i="9"/>
  <c r="D201" i="9"/>
  <c r="C201" i="9"/>
  <c r="AB199" i="9"/>
  <c r="V199" i="9"/>
  <c r="U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AB198" i="9"/>
  <c r="V198" i="9"/>
  <c r="U198" i="9"/>
  <c r="P198" i="9"/>
  <c r="O198" i="9"/>
  <c r="N198" i="9"/>
  <c r="M198" i="9"/>
  <c r="L198" i="9"/>
  <c r="K198" i="9"/>
  <c r="S198" i="9" s="1"/>
  <c r="J198" i="9"/>
  <c r="I198" i="9"/>
  <c r="H198" i="9"/>
  <c r="G198" i="9"/>
  <c r="F198" i="9"/>
  <c r="E198" i="9"/>
  <c r="D198" i="9"/>
  <c r="C198" i="9"/>
  <c r="AB197" i="9"/>
  <c r="V197" i="9"/>
  <c r="U197" i="9"/>
  <c r="P197" i="9"/>
  <c r="O197" i="9"/>
  <c r="N197" i="9"/>
  <c r="M197" i="9"/>
  <c r="L197" i="9"/>
  <c r="K197" i="9"/>
  <c r="S197" i="9" s="1"/>
  <c r="J197" i="9"/>
  <c r="I197" i="9"/>
  <c r="H197" i="9"/>
  <c r="G197" i="9"/>
  <c r="F197" i="9"/>
  <c r="E197" i="9"/>
  <c r="D197" i="9"/>
  <c r="C197" i="9"/>
  <c r="AB196" i="9"/>
  <c r="V196" i="9"/>
  <c r="U196" i="9"/>
  <c r="P196" i="9"/>
  <c r="O196" i="9"/>
  <c r="N196" i="9"/>
  <c r="M196" i="9"/>
  <c r="L196" i="9"/>
  <c r="K196" i="9"/>
  <c r="S196" i="9" s="1"/>
  <c r="J196" i="9"/>
  <c r="I196" i="9"/>
  <c r="H196" i="9"/>
  <c r="G196" i="9"/>
  <c r="F196" i="9"/>
  <c r="E196" i="9"/>
  <c r="D196" i="9"/>
  <c r="C196" i="9"/>
  <c r="AB195" i="9"/>
  <c r="V195" i="9"/>
  <c r="U195" i="9"/>
  <c r="P195" i="9"/>
  <c r="O195" i="9"/>
  <c r="N195" i="9"/>
  <c r="M195" i="9"/>
  <c r="L195" i="9"/>
  <c r="K195" i="9"/>
  <c r="S195" i="9" s="1"/>
  <c r="J195" i="9"/>
  <c r="I195" i="9"/>
  <c r="H195" i="9"/>
  <c r="G195" i="9"/>
  <c r="F195" i="9"/>
  <c r="E195" i="9"/>
  <c r="D195" i="9"/>
  <c r="C195" i="9"/>
  <c r="AB194" i="9"/>
  <c r="V194" i="9"/>
  <c r="U194" i="9"/>
  <c r="P194" i="9"/>
  <c r="O194" i="9"/>
  <c r="N194" i="9"/>
  <c r="M194" i="9"/>
  <c r="L194" i="9"/>
  <c r="K194" i="9"/>
  <c r="S194" i="9" s="1"/>
  <c r="J194" i="9"/>
  <c r="I194" i="9"/>
  <c r="H194" i="9"/>
  <c r="G194" i="9"/>
  <c r="F194" i="9"/>
  <c r="E194" i="9"/>
  <c r="D194" i="9"/>
  <c r="C194" i="9"/>
  <c r="AB193" i="9"/>
  <c r="V193" i="9"/>
  <c r="U193" i="9"/>
  <c r="P193" i="9"/>
  <c r="O193" i="9"/>
  <c r="N193" i="9"/>
  <c r="M193" i="9"/>
  <c r="L193" i="9"/>
  <c r="K193" i="9"/>
  <c r="S193" i="9" s="1"/>
  <c r="J193" i="9"/>
  <c r="I193" i="9"/>
  <c r="H193" i="9"/>
  <c r="G193" i="9"/>
  <c r="F193" i="9"/>
  <c r="E193" i="9"/>
  <c r="D193" i="9"/>
  <c r="C193" i="9"/>
  <c r="AB192" i="9"/>
  <c r="V192" i="9"/>
  <c r="U192" i="9"/>
  <c r="P192" i="9"/>
  <c r="O192" i="9"/>
  <c r="N192" i="9"/>
  <c r="M192" i="9"/>
  <c r="L192" i="9"/>
  <c r="K192" i="9"/>
  <c r="S192" i="9" s="1"/>
  <c r="J192" i="9"/>
  <c r="I192" i="9"/>
  <c r="H192" i="9"/>
  <c r="G192" i="9"/>
  <c r="F192" i="9"/>
  <c r="E192" i="9"/>
  <c r="D192" i="9"/>
  <c r="C192" i="9"/>
  <c r="AB191" i="9"/>
  <c r="V191" i="9"/>
  <c r="U191" i="9"/>
  <c r="P191" i="9"/>
  <c r="O191" i="9"/>
  <c r="N191" i="9"/>
  <c r="M191" i="9"/>
  <c r="L191" i="9"/>
  <c r="K191" i="9"/>
  <c r="S191" i="9" s="1"/>
  <c r="J191" i="9"/>
  <c r="I191" i="9"/>
  <c r="H191" i="9"/>
  <c r="G191" i="9"/>
  <c r="F191" i="9"/>
  <c r="E191" i="9"/>
  <c r="D191" i="9"/>
  <c r="C191" i="9"/>
  <c r="V190" i="9"/>
  <c r="U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V189" i="9"/>
  <c r="U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V188" i="9"/>
  <c r="U188" i="9"/>
  <c r="P188" i="9"/>
  <c r="O188" i="9"/>
  <c r="N188" i="9"/>
  <c r="M188" i="9"/>
  <c r="L188" i="9"/>
  <c r="K188" i="9"/>
  <c r="S188" i="9" s="1"/>
  <c r="J188" i="9"/>
  <c r="I188" i="9"/>
  <c r="H188" i="9"/>
  <c r="G188" i="9"/>
  <c r="F188" i="9"/>
  <c r="E188" i="9"/>
  <c r="D188" i="9"/>
  <c r="C188" i="9"/>
  <c r="V187" i="9"/>
  <c r="U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V186" i="9"/>
  <c r="U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AB125" i="9"/>
  <c r="V125" i="9"/>
  <c r="U125" i="9"/>
  <c r="P125" i="9"/>
  <c r="O125" i="9"/>
  <c r="N125" i="9"/>
  <c r="M125" i="9"/>
  <c r="L125" i="9"/>
  <c r="K125" i="9"/>
  <c r="S130" i="9" s="1"/>
  <c r="J125" i="9"/>
  <c r="I125" i="9"/>
  <c r="H125" i="9"/>
  <c r="G125" i="9"/>
  <c r="F125" i="9"/>
  <c r="E125" i="9"/>
  <c r="D125" i="9"/>
  <c r="C125" i="9"/>
  <c r="AB121" i="9"/>
  <c r="V121" i="9"/>
  <c r="U121" i="9"/>
  <c r="P121" i="9"/>
  <c r="O121" i="9"/>
  <c r="N121" i="9"/>
  <c r="M121" i="9"/>
  <c r="L121" i="9"/>
  <c r="K121" i="9"/>
  <c r="S124" i="9" s="1"/>
  <c r="J121" i="9"/>
  <c r="I121" i="9"/>
  <c r="H121" i="9"/>
  <c r="G121" i="9"/>
  <c r="F121" i="9"/>
  <c r="E121" i="9"/>
  <c r="D121" i="9"/>
  <c r="C121" i="9"/>
  <c r="K28" i="11" l="1"/>
  <c r="J28" i="11"/>
  <c r="I28" i="11"/>
  <c r="H28" i="11"/>
  <c r="G28" i="11"/>
  <c r="F28" i="11"/>
  <c r="E28" i="11"/>
  <c r="D28" i="11"/>
  <c r="C28" i="11"/>
  <c r="B28" i="11"/>
  <c r="K27" i="11"/>
  <c r="J27" i="11"/>
  <c r="I27" i="11"/>
  <c r="H27" i="11"/>
  <c r="G27" i="11"/>
  <c r="F27" i="11"/>
  <c r="E27" i="11"/>
  <c r="D27" i="11"/>
  <c r="C27" i="11"/>
  <c r="B27" i="11"/>
  <c r="K26" i="11"/>
  <c r="J26" i="11"/>
  <c r="I26" i="11"/>
  <c r="H26" i="11"/>
  <c r="G26" i="11"/>
  <c r="F26" i="11"/>
  <c r="E26" i="11"/>
  <c r="D26" i="11"/>
  <c r="C26" i="11"/>
  <c r="B26" i="11"/>
  <c r="K25" i="11"/>
  <c r="J25" i="11"/>
  <c r="I25" i="11"/>
  <c r="H25" i="11"/>
  <c r="G25" i="11"/>
  <c r="F25" i="11"/>
  <c r="E25" i="11"/>
  <c r="D25" i="11"/>
  <c r="C25" i="11"/>
  <c r="B25" i="11"/>
  <c r="K24" i="11"/>
  <c r="J24" i="11"/>
  <c r="I24" i="11"/>
  <c r="H24" i="11"/>
  <c r="G24" i="11"/>
  <c r="F24" i="11"/>
  <c r="E24" i="11"/>
  <c r="D24" i="11"/>
  <c r="C24" i="11"/>
  <c r="B24" i="11"/>
  <c r="K23" i="11"/>
  <c r="J23" i="11"/>
  <c r="I23" i="11"/>
  <c r="H23" i="11"/>
  <c r="G23" i="11"/>
  <c r="F23" i="11"/>
  <c r="E23" i="11"/>
  <c r="D23" i="11"/>
  <c r="C23" i="11"/>
  <c r="B23" i="11"/>
  <c r="K22" i="11"/>
  <c r="J22" i="11"/>
  <c r="I22" i="11"/>
  <c r="H22" i="11"/>
  <c r="G22" i="11"/>
  <c r="F22" i="11"/>
  <c r="E22" i="11"/>
  <c r="D22" i="11"/>
  <c r="C22" i="11"/>
  <c r="B22" i="11"/>
  <c r="K21" i="11"/>
  <c r="J21" i="11"/>
  <c r="I21" i="11"/>
  <c r="H21" i="11"/>
  <c r="G21" i="11"/>
  <c r="F21" i="11"/>
  <c r="E21" i="11"/>
  <c r="D21" i="11"/>
  <c r="C21" i="11"/>
  <c r="B21" i="11"/>
  <c r="K20" i="11"/>
  <c r="J20" i="11"/>
  <c r="I20" i="11"/>
  <c r="H20" i="11"/>
  <c r="G20" i="11"/>
  <c r="F20" i="11"/>
  <c r="E20" i="11"/>
  <c r="D20" i="11"/>
  <c r="C20" i="11"/>
  <c r="B20" i="11"/>
  <c r="K19" i="11"/>
  <c r="J19" i="11"/>
  <c r="I19" i="11"/>
  <c r="H19" i="11"/>
  <c r="G19" i="11"/>
  <c r="F19" i="11"/>
  <c r="E19" i="11"/>
  <c r="D19" i="11"/>
  <c r="C19" i="11"/>
  <c r="B19" i="11"/>
  <c r="K18" i="11"/>
  <c r="J18" i="11"/>
  <c r="I18" i="11"/>
  <c r="H18" i="11"/>
  <c r="G18" i="11"/>
  <c r="F18" i="11"/>
  <c r="E18" i="11"/>
  <c r="D18" i="11"/>
  <c r="C18" i="11"/>
  <c r="B18" i="11"/>
  <c r="AC3" i="1" l="1"/>
  <c r="AA3" i="1"/>
  <c r="Z3" i="1"/>
  <c r="Y3" i="1"/>
  <c r="V221" i="9" l="1"/>
  <c r="U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V10" i="9"/>
  <c r="U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V9" i="9"/>
  <c r="U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V8" i="9"/>
  <c r="U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B7" i="9"/>
  <c r="V7" i="9"/>
  <c r="U7" i="9"/>
  <c r="P7" i="9"/>
  <c r="O7" i="9"/>
  <c r="N7" i="9"/>
  <c r="M7" i="9"/>
  <c r="L7" i="9"/>
  <c r="K7" i="9"/>
  <c r="S10" i="9" s="1"/>
  <c r="J7" i="9"/>
  <c r="I7" i="9"/>
  <c r="H7" i="9"/>
  <c r="G7" i="9"/>
  <c r="F7" i="9"/>
  <c r="E7" i="9"/>
  <c r="D7" i="9"/>
  <c r="C7" i="9"/>
  <c r="Q7" i="11" l="1"/>
  <c r="K7" i="11"/>
  <c r="J7" i="11"/>
  <c r="I7" i="11"/>
  <c r="H7" i="11"/>
  <c r="G7" i="11"/>
  <c r="F7" i="11"/>
  <c r="E7" i="11"/>
  <c r="D7" i="11"/>
  <c r="C7" i="11"/>
  <c r="B7" i="11"/>
  <c r="Q355" i="11" l="1"/>
  <c r="K355" i="11"/>
  <c r="J355" i="11"/>
  <c r="I355" i="11"/>
  <c r="H355" i="11"/>
  <c r="G355" i="11"/>
  <c r="F355" i="11"/>
  <c r="E355" i="11"/>
  <c r="D355" i="11"/>
  <c r="C355" i="11"/>
  <c r="B355" i="11"/>
  <c r="Q354" i="11"/>
  <c r="K354" i="11"/>
  <c r="J354" i="11"/>
  <c r="I354" i="11"/>
  <c r="H354" i="11"/>
  <c r="G354" i="11"/>
  <c r="F354" i="11"/>
  <c r="E354" i="11"/>
  <c r="D354" i="11"/>
  <c r="C354" i="11"/>
  <c r="B354" i="11"/>
  <c r="K33" i="11"/>
  <c r="J33" i="11"/>
  <c r="I33" i="11"/>
  <c r="H33" i="11"/>
  <c r="G33" i="11"/>
  <c r="F33" i="11"/>
  <c r="E33" i="11"/>
  <c r="D33" i="11"/>
  <c r="C33" i="11"/>
  <c r="B33" i="11"/>
  <c r="K32" i="11"/>
  <c r="J32" i="11"/>
  <c r="I32" i="11"/>
  <c r="H32" i="11"/>
  <c r="G32" i="11"/>
  <c r="F32" i="11"/>
  <c r="E32" i="11"/>
  <c r="D32" i="11"/>
  <c r="C32" i="11"/>
  <c r="B32" i="11"/>
  <c r="K30" i="11"/>
  <c r="J30" i="11"/>
  <c r="I30" i="11"/>
  <c r="H30" i="11"/>
  <c r="G30" i="11"/>
  <c r="F30" i="11"/>
  <c r="E30" i="11"/>
  <c r="D30" i="11"/>
  <c r="C30" i="11"/>
  <c r="B30" i="11"/>
  <c r="K29" i="11"/>
  <c r="J29" i="11"/>
  <c r="I29" i="11"/>
  <c r="H29" i="11"/>
  <c r="G29" i="11"/>
  <c r="F29" i="11"/>
  <c r="E29" i="11"/>
  <c r="D29" i="11"/>
  <c r="C29" i="11"/>
  <c r="B29" i="11"/>
  <c r="N2" i="6" l="1"/>
  <c r="M2" i="6"/>
  <c r="L2" i="6"/>
  <c r="K2" i="6"/>
  <c r="J2" i="6"/>
  <c r="I2" i="6"/>
  <c r="H2" i="6"/>
  <c r="G2" i="6"/>
  <c r="F2" i="6"/>
  <c r="E2" i="6"/>
  <c r="D2" i="6"/>
  <c r="C2" i="6"/>
  <c r="B2" i="6"/>
  <c r="CA4" i="4"/>
  <c r="CA5" i="4" s="1"/>
  <c r="BS4" i="4"/>
  <c r="BS5" i="4" s="1"/>
  <c r="BR4" i="4"/>
  <c r="BR5" i="4" s="1"/>
  <c r="BQ4" i="4"/>
  <c r="BQ5" i="4" s="1"/>
  <c r="BM4" i="4"/>
  <c r="BM5" i="4" s="1"/>
  <c r="BF4" i="4"/>
  <c r="BF5" i="4" s="1"/>
  <c r="BF8" i="4" s="1"/>
  <c r="BB4" i="4"/>
  <c r="BB5" i="4" s="1"/>
  <c r="BA4" i="4"/>
  <c r="BA5" i="4" s="1"/>
  <c r="AY4" i="4"/>
  <c r="AY5" i="4" s="1"/>
  <c r="AX4" i="4"/>
  <c r="AX5" i="4" s="1"/>
  <c r="AX8" i="4" s="1"/>
  <c r="AW4" i="4"/>
  <c r="AW5" i="4" s="1"/>
  <c r="AU4" i="4"/>
  <c r="AU5" i="4" s="1"/>
  <c r="AT4" i="4"/>
  <c r="AT5" i="4" s="1"/>
  <c r="AS4" i="4"/>
  <c r="AS5" i="4" s="1"/>
  <c r="AR4" i="4"/>
  <c r="AR5" i="4" s="1"/>
  <c r="AQ4" i="4"/>
  <c r="AQ5" i="4" s="1"/>
  <c r="AP4" i="4"/>
  <c r="AP5" i="4" s="1"/>
  <c r="AP8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H8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Z8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R8" i="4" s="1"/>
  <c r="Q4" i="4"/>
  <c r="Q5" i="4" s="1"/>
  <c r="P4" i="4"/>
  <c r="P5" i="4" s="1"/>
  <c r="O4" i="4"/>
  <c r="O5" i="4" s="1"/>
  <c r="M4" i="4"/>
  <c r="M5" i="4" s="1"/>
  <c r="L4" i="4"/>
  <c r="L5" i="4" s="1"/>
  <c r="J4" i="4"/>
  <c r="J5" i="4" s="1"/>
  <c r="J8" i="4" s="1"/>
  <c r="I4" i="4"/>
  <c r="I5" i="4" s="1"/>
  <c r="H4" i="4"/>
  <c r="H5" i="4" s="1"/>
  <c r="G4" i="4"/>
  <c r="G5" i="4" s="1"/>
  <c r="F4" i="4"/>
  <c r="F5" i="4" s="1"/>
  <c r="D4" i="4"/>
  <c r="D5" i="4" s="1"/>
  <c r="C4" i="4"/>
  <c r="C5" i="4" s="1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N1036" i="9"/>
  <c r="N1035" i="9"/>
  <c r="B1035" i="9"/>
  <c r="A1035" i="9" s="1"/>
  <c r="AB1034" i="9"/>
  <c r="V1034" i="9"/>
  <c r="U1034" i="9"/>
  <c r="P1034" i="9"/>
  <c r="O1034" i="9"/>
  <c r="N1034" i="9"/>
  <c r="M1034" i="9"/>
  <c r="L1034" i="9"/>
  <c r="K1034" i="9"/>
  <c r="S1034" i="9" s="1"/>
  <c r="J1034" i="9"/>
  <c r="I1034" i="9"/>
  <c r="H1034" i="9"/>
  <c r="G1034" i="9"/>
  <c r="F1034" i="9"/>
  <c r="E1034" i="9"/>
  <c r="D1034" i="9"/>
  <c r="C1034" i="9"/>
  <c r="AB1033" i="9"/>
  <c r="V1033" i="9"/>
  <c r="U1033" i="9"/>
  <c r="P1033" i="9"/>
  <c r="O1033" i="9"/>
  <c r="N1033" i="9"/>
  <c r="M1033" i="9"/>
  <c r="L1033" i="9"/>
  <c r="K1033" i="9"/>
  <c r="S1033" i="9" s="1"/>
  <c r="J1033" i="9"/>
  <c r="I1033" i="9"/>
  <c r="H1033" i="9"/>
  <c r="G1033" i="9"/>
  <c r="F1033" i="9"/>
  <c r="E1033" i="9"/>
  <c r="D1033" i="9"/>
  <c r="C1033" i="9"/>
  <c r="AB1032" i="9"/>
  <c r="V1032" i="9"/>
  <c r="U1032" i="9"/>
  <c r="P1032" i="9"/>
  <c r="O1032" i="9"/>
  <c r="N1032" i="9"/>
  <c r="M1032" i="9"/>
  <c r="L1032" i="9"/>
  <c r="K1032" i="9"/>
  <c r="S1032" i="9" s="1"/>
  <c r="J1032" i="9"/>
  <c r="I1032" i="9"/>
  <c r="H1032" i="9"/>
  <c r="G1032" i="9"/>
  <c r="F1032" i="9"/>
  <c r="E1032" i="9"/>
  <c r="D1032" i="9"/>
  <c r="C1032" i="9"/>
  <c r="AB1031" i="9"/>
  <c r="V1031" i="9"/>
  <c r="U1031" i="9"/>
  <c r="P1031" i="9"/>
  <c r="O1031" i="9"/>
  <c r="N1031" i="9"/>
  <c r="M1031" i="9"/>
  <c r="L1031" i="9"/>
  <c r="K1031" i="9"/>
  <c r="S1031" i="9" s="1"/>
  <c r="J1031" i="9"/>
  <c r="I1031" i="9"/>
  <c r="H1031" i="9"/>
  <c r="G1031" i="9"/>
  <c r="F1031" i="9"/>
  <c r="E1031" i="9"/>
  <c r="D1031" i="9"/>
  <c r="C1031" i="9"/>
  <c r="Q657" i="11"/>
  <c r="K657" i="11"/>
  <c r="J657" i="11"/>
  <c r="I657" i="11"/>
  <c r="H657" i="11"/>
  <c r="G657" i="11"/>
  <c r="F657" i="11"/>
  <c r="E657" i="11"/>
  <c r="D657" i="11"/>
  <c r="C657" i="11"/>
  <c r="B657" i="11"/>
  <c r="Q656" i="11"/>
  <c r="K656" i="11"/>
  <c r="J656" i="11"/>
  <c r="I656" i="11"/>
  <c r="H656" i="11"/>
  <c r="G656" i="11"/>
  <c r="F656" i="11"/>
  <c r="E656" i="11"/>
  <c r="D656" i="11"/>
  <c r="C656" i="11"/>
  <c r="B656" i="11"/>
  <c r="Q357" i="11"/>
  <c r="K357" i="11"/>
  <c r="J357" i="11"/>
  <c r="I357" i="11"/>
  <c r="H357" i="11"/>
  <c r="G357" i="11"/>
  <c r="F357" i="11"/>
  <c r="E357" i="11"/>
  <c r="D357" i="11"/>
  <c r="C357" i="11"/>
  <c r="B357" i="11"/>
  <c r="Q356" i="11"/>
  <c r="K356" i="11"/>
  <c r="J356" i="11"/>
  <c r="I356" i="11"/>
  <c r="H356" i="11"/>
  <c r="G356" i="11"/>
  <c r="F356" i="11"/>
  <c r="E356" i="11"/>
  <c r="D356" i="11"/>
  <c r="C356" i="11"/>
  <c r="B356" i="11"/>
  <c r="G1" i="1"/>
  <c r="I661" i="11" l="1"/>
  <c r="O2" i="6"/>
  <c r="B1036" i="9"/>
  <c r="B1037" i="9" s="1"/>
  <c r="B1038" i="9" s="1"/>
  <c r="K1037" i="9"/>
  <c r="S1037" i="9"/>
  <c r="T7" i="4"/>
  <c r="T8" i="4"/>
  <c r="T9" i="4"/>
  <c r="AB7" i="4"/>
  <c r="AB8" i="4"/>
  <c r="AB9" i="4"/>
  <c r="AJ7" i="4"/>
  <c r="AJ8" i="4"/>
  <c r="AJ9" i="4"/>
  <c r="AR7" i="4"/>
  <c r="AR8" i="4"/>
  <c r="AR9" i="4"/>
  <c r="BB7" i="4"/>
  <c r="BB8" i="4"/>
  <c r="BB9" i="4"/>
  <c r="BL4" i="4"/>
  <c r="BL5" i="4" s="1"/>
  <c r="BN4" i="4"/>
  <c r="BN5" i="4" s="1"/>
  <c r="BP4" i="4"/>
  <c r="BP5" i="4" s="1"/>
  <c r="BT4" i="4"/>
  <c r="BT5" i="4" s="1"/>
  <c r="E4" i="4"/>
  <c r="E5" i="4" s="1"/>
  <c r="K4" i="4"/>
  <c r="K5" i="4" s="1"/>
  <c r="BV4" i="4"/>
  <c r="BV5" i="4" s="1"/>
  <c r="BW4" i="4"/>
  <c r="BW5" i="4" s="1"/>
  <c r="BY4" i="4"/>
  <c r="BY5" i="4" s="1"/>
  <c r="CC4" i="4"/>
  <c r="CC5" i="4" s="1"/>
  <c r="L7" i="4"/>
  <c r="L8" i="4"/>
  <c r="L9" i="4"/>
  <c r="U7" i="4"/>
  <c r="U8" i="4"/>
  <c r="U9" i="4"/>
  <c r="AC7" i="4"/>
  <c r="AC8" i="4"/>
  <c r="AC9" i="4"/>
  <c r="AK7" i="4"/>
  <c r="AK8" i="4"/>
  <c r="AK9" i="4"/>
  <c r="AS7" i="4"/>
  <c r="AS8" i="4"/>
  <c r="AS9" i="4"/>
  <c r="BE4" i="4"/>
  <c r="BE5" i="4" s="1"/>
  <c r="BG4" i="4"/>
  <c r="BG5" i="4" s="1"/>
  <c r="BH4" i="4"/>
  <c r="BH5" i="4" s="1"/>
  <c r="BI4" i="4"/>
  <c r="BI5" i="4" s="1"/>
  <c r="C9" i="4"/>
  <c r="C7" i="4"/>
  <c r="C8" i="4"/>
  <c r="M7" i="4"/>
  <c r="M8" i="4"/>
  <c r="M9" i="4"/>
  <c r="V7" i="4"/>
  <c r="V8" i="4"/>
  <c r="V9" i="4"/>
  <c r="AD7" i="4"/>
  <c r="AD8" i="4"/>
  <c r="AD9" i="4"/>
  <c r="AL7" i="4"/>
  <c r="AL8" i="4"/>
  <c r="AL9" i="4"/>
  <c r="AT7" i="4"/>
  <c r="AT8" i="4"/>
  <c r="AT9" i="4"/>
  <c r="BM7" i="4"/>
  <c r="BM8" i="4"/>
  <c r="BM9" i="4"/>
  <c r="AV4" i="4"/>
  <c r="AV5" i="4" s="1"/>
  <c r="D7" i="4"/>
  <c r="D8" i="4"/>
  <c r="D9" i="4"/>
  <c r="O7" i="4"/>
  <c r="O8" i="4"/>
  <c r="O9" i="4"/>
  <c r="W7" i="4"/>
  <c r="W8" i="4"/>
  <c r="W9" i="4"/>
  <c r="AE7" i="4"/>
  <c r="AE8" i="4"/>
  <c r="AE9" i="4"/>
  <c r="AM7" i="4"/>
  <c r="AM8" i="4"/>
  <c r="AM9" i="4"/>
  <c r="AU7" i="4"/>
  <c r="AU8" i="4"/>
  <c r="AU9" i="4"/>
  <c r="BQ7" i="4"/>
  <c r="BQ8" i="4"/>
  <c r="BQ9" i="4"/>
  <c r="F7" i="4"/>
  <c r="F8" i="4"/>
  <c r="F9" i="4"/>
  <c r="P7" i="4"/>
  <c r="P8" i="4"/>
  <c r="P9" i="4"/>
  <c r="X7" i="4"/>
  <c r="X8" i="4"/>
  <c r="X9" i="4"/>
  <c r="AF7" i="4"/>
  <c r="AF8" i="4"/>
  <c r="AF9" i="4"/>
  <c r="AN7" i="4"/>
  <c r="AN8" i="4"/>
  <c r="AN9" i="4"/>
  <c r="AW7" i="4"/>
  <c r="AW8" i="4"/>
  <c r="AW9" i="4"/>
  <c r="BR7" i="4"/>
  <c r="BR8" i="4"/>
  <c r="BR9" i="4"/>
  <c r="BO4" i="4"/>
  <c r="BO5" i="4" s="1"/>
  <c r="N4" i="4"/>
  <c r="N5" i="4" s="1"/>
  <c r="BU4" i="4"/>
  <c r="BU5" i="4" s="1"/>
  <c r="BX4" i="4"/>
  <c r="BX5" i="4" s="1"/>
  <c r="G7" i="4"/>
  <c r="G8" i="4"/>
  <c r="G9" i="4"/>
  <c r="Q7" i="4"/>
  <c r="Q8" i="4"/>
  <c r="Q9" i="4"/>
  <c r="Y7" i="4"/>
  <c r="Y8" i="4"/>
  <c r="Y9" i="4"/>
  <c r="AG7" i="4"/>
  <c r="AG8" i="4"/>
  <c r="AG9" i="4"/>
  <c r="AO7" i="4"/>
  <c r="AO8" i="4"/>
  <c r="AO9" i="4"/>
  <c r="BS7" i="4"/>
  <c r="BS8" i="4"/>
  <c r="BS9" i="4"/>
  <c r="BK4" i="4"/>
  <c r="BK5" i="4" s="1"/>
  <c r="BC4" i="4"/>
  <c r="BC5" i="4" s="1"/>
  <c r="H7" i="4"/>
  <c r="H8" i="4"/>
  <c r="H9" i="4"/>
  <c r="AY9" i="4"/>
  <c r="AY7" i="4"/>
  <c r="AY8" i="4"/>
  <c r="CA7" i="4"/>
  <c r="CA8" i="4"/>
  <c r="CA9" i="4"/>
  <c r="AZ4" i="4"/>
  <c r="AZ5" i="4" s="1"/>
  <c r="BD4" i="4"/>
  <c r="BD5" i="4" s="1"/>
  <c r="BJ4" i="4"/>
  <c r="BJ5" i="4" s="1"/>
  <c r="BZ4" i="4"/>
  <c r="BZ5" i="4" s="1"/>
  <c r="CB4" i="4"/>
  <c r="CB5" i="4" s="1"/>
  <c r="I7" i="4"/>
  <c r="I8" i="4"/>
  <c r="I9" i="4"/>
  <c r="S9" i="4"/>
  <c r="S7" i="4"/>
  <c r="S8" i="4"/>
  <c r="AA9" i="4"/>
  <c r="AA7" i="4"/>
  <c r="AA8" i="4"/>
  <c r="AI9" i="4"/>
  <c r="AI7" i="4"/>
  <c r="AI8" i="4"/>
  <c r="AQ9" i="4"/>
  <c r="AQ7" i="4"/>
  <c r="AQ8" i="4"/>
  <c r="BA7" i="4"/>
  <c r="BA8" i="4"/>
  <c r="BA9" i="4"/>
  <c r="J7" i="4"/>
  <c r="R7" i="4"/>
  <c r="Z7" i="4"/>
  <c r="AH7" i="4"/>
  <c r="AP7" i="4"/>
  <c r="AX7" i="4"/>
  <c r="BF7" i="4"/>
  <c r="J9" i="4"/>
  <c r="R9" i="4"/>
  <c r="Z9" i="4"/>
  <c r="AH9" i="4"/>
  <c r="AP9" i="4"/>
  <c r="AX9" i="4"/>
  <c r="BF9" i="4"/>
  <c r="A1036" i="9" l="1"/>
  <c r="A1037" i="9"/>
  <c r="A1038" i="9"/>
  <c r="B1039" i="9"/>
  <c r="BU7" i="4"/>
  <c r="BU8" i="4"/>
  <c r="BU9" i="4"/>
  <c r="BG9" i="4"/>
  <c r="BG7" i="4"/>
  <c r="BG8" i="4"/>
  <c r="CB7" i="4"/>
  <c r="CB8" i="4"/>
  <c r="CB9" i="4"/>
  <c r="BK7" i="4"/>
  <c r="BK8" i="4"/>
  <c r="BK9" i="4"/>
  <c r="BV8" i="4"/>
  <c r="BV9" i="4"/>
  <c r="BV7" i="4"/>
  <c r="BP7" i="4"/>
  <c r="BP8" i="4"/>
  <c r="BP9" i="4"/>
  <c r="N7" i="4"/>
  <c r="N8" i="4"/>
  <c r="N9" i="4"/>
  <c r="BE7" i="4"/>
  <c r="BE8" i="4"/>
  <c r="BE9" i="4"/>
  <c r="BZ7" i="4"/>
  <c r="BZ8" i="4"/>
  <c r="BZ9" i="4"/>
  <c r="BJ7" i="4"/>
  <c r="BJ8" i="4"/>
  <c r="BJ9" i="4"/>
  <c r="BX7" i="4"/>
  <c r="BX8" i="4"/>
  <c r="BX9" i="4"/>
  <c r="CC7" i="4"/>
  <c r="CC8" i="4"/>
  <c r="CC9" i="4"/>
  <c r="K9" i="4"/>
  <c r="K7" i="4"/>
  <c r="K8" i="4"/>
  <c r="BN8" i="4"/>
  <c r="BN9" i="4"/>
  <c r="BN7" i="4"/>
  <c r="BO9" i="4"/>
  <c r="BO7" i="4"/>
  <c r="BO8" i="4"/>
  <c r="BI7" i="4"/>
  <c r="BI8" i="4"/>
  <c r="BI9" i="4"/>
  <c r="BD7" i="4"/>
  <c r="BD8" i="4"/>
  <c r="BD9" i="4"/>
  <c r="BY7" i="4"/>
  <c r="BY8" i="4"/>
  <c r="BY9" i="4"/>
  <c r="E7" i="4"/>
  <c r="E8" i="4"/>
  <c r="E9" i="4"/>
  <c r="BL7" i="4"/>
  <c r="BL8" i="4"/>
  <c r="BL9" i="4"/>
  <c r="BH7" i="4"/>
  <c r="BH8" i="4"/>
  <c r="BH9" i="4"/>
  <c r="AZ7" i="4"/>
  <c r="AZ8" i="4"/>
  <c r="AZ9" i="4"/>
  <c r="BC7" i="4"/>
  <c r="BC8" i="4"/>
  <c r="BC9" i="4"/>
  <c r="AV7" i="4"/>
  <c r="AV8" i="4"/>
  <c r="AV9" i="4"/>
  <c r="BW9" i="4"/>
  <c r="BW7" i="4"/>
  <c r="BW8" i="4"/>
  <c r="BT7" i="4"/>
  <c r="BT8" i="4"/>
  <c r="BT9" i="4"/>
  <c r="A1039" i="9" l="1"/>
  <c r="B1040" i="9"/>
  <c r="B1041" i="9" l="1"/>
  <c r="A1040" i="9"/>
  <c r="B1042" i="9" l="1"/>
  <c r="A1041" i="9"/>
  <c r="A1042" i="9" l="1"/>
  <c r="B1043" i="9"/>
  <c r="A1043" i="9" l="1"/>
  <c r="B1044" i="9"/>
  <c r="A1044" i="9" s="1"/>
</calcChain>
</file>

<file path=xl/sharedStrings.xml><?xml version="1.0" encoding="utf-8"?>
<sst xmlns="http://schemas.openxmlformats.org/spreadsheetml/2006/main" count="13627" uniqueCount="6046">
  <si>
    <t>No</t>
  </si>
  <si>
    <t>Destination</t>
  </si>
  <si>
    <t>Label</t>
  </si>
  <si>
    <t>Seal</t>
  </si>
  <si>
    <t>Sterilize</t>
  </si>
  <si>
    <t>Boxing</t>
  </si>
  <si>
    <t>DIV/ SECTION</t>
  </si>
  <si>
    <t>DAILY PLAN AND IN-OUT LABEL CONTROL LIST
( Kế hoạch sản xuất hàng ngày và quản lý việc In-Out Label)</t>
  </si>
  <si>
    <t>GPC/  Order control</t>
  </si>
  <si>
    <t>PLAN DATE :</t>
  </si>
  <si>
    <t>Q'ty</t>
  </si>
  <si>
    <t>Finish</t>
  </si>
  <si>
    <t>Out label control</t>
  </si>
  <si>
    <t>Remark</t>
  </si>
  <si>
    <t>Date</t>
  </si>
  <si>
    <t>Batch</t>
  </si>
  <si>
    <t>Bag</t>
  </si>
  <si>
    <t>Box</t>
  </si>
  <si>
    <r>
      <rPr>
        <b/>
        <sz val="18"/>
        <rFont val="Times New Roman"/>
        <family val="1"/>
      </rPr>
      <t xml:space="preserve">PRODUCTION PLAN FOR STERILIZE </t>
    </r>
    <r>
      <rPr>
        <b/>
        <sz val="14"/>
        <rFont val="Times New Roman"/>
        <family val="1"/>
      </rPr>
      <t xml:space="preserve">
</t>
    </r>
    <r>
      <rPr>
        <sz val="12"/>
        <rFont val="Times New Roman"/>
        <family val="1"/>
      </rPr>
      <t>(KẾ HOẠCH SẢN XUẤT CỦA PHÒNG STERILIZE)</t>
    </r>
  </si>
  <si>
    <t>Plan date:</t>
  </si>
  <si>
    <t>Q`ty</t>
  </si>
  <si>
    <t>Wip request infomation</t>
  </si>
  <si>
    <t xml:space="preserve">Q`ty </t>
  </si>
  <si>
    <t>Sheft</t>
  </si>
  <si>
    <t>Seal-Check</t>
  </si>
  <si>
    <t>Sụbject</t>
  </si>
  <si>
    <t>Seak</t>
  </si>
  <si>
    <t>UH</t>
  </si>
  <si>
    <t>Total time</t>
  </si>
  <si>
    <t>Plan time</t>
  </si>
  <si>
    <t>Man</t>
  </si>
  <si>
    <t>KEEP</t>
  </si>
  <si>
    <t>ETD</t>
  </si>
  <si>
    <t xml:space="preserve">Test Endotoxin
 ( pcs)
</t>
  </si>
  <si>
    <t>A</t>
  </si>
  <si>
    <t>External Lot</t>
  </si>
  <si>
    <t>Material No</t>
  </si>
  <si>
    <t>Internal Lot</t>
  </si>
  <si>
    <t>Material</t>
  </si>
  <si>
    <t>Plnd order /
 PO</t>
  </si>
  <si>
    <t>Schuled Finish Date</t>
  </si>
  <si>
    <t>Internal Lot
(SAP Lot)</t>
  </si>
  <si>
    <r>
      <rPr>
        <b/>
        <sz val="8"/>
        <color theme="1"/>
        <rFont val="Times New Roman"/>
        <family val="1"/>
      </rPr>
      <t>External Lot</t>
    </r>
    <r>
      <rPr>
        <b/>
        <sz val="9"/>
        <color theme="1"/>
        <rFont val="Times New Roman"/>
        <family val="1"/>
      </rPr>
      <t xml:space="preserve">
(Hanoi Lot)</t>
    </r>
  </si>
  <si>
    <t>F-1469 Ver 1.07</t>
  </si>
  <si>
    <t>Item name/
Description</t>
  </si>
  <si>
    <t>External Lot 
(Hanoi Lot)</t>
  </si>
  <si>
    <t>Item code
Type C</t>
  </si>
  <si>
    <t>Material
Type C</t>
  </si>
  <si>
    <t>Drawing 
list No</t>
  </si>
  <si>
    <t>WH</t>
  </si>
  <si>
    <t>PROCESS</t>
  </si>
  <si>
    <t>MẺ</t>
  </si>
  <si>
    <t>Scheduled Finish Date</t>
  </si>
  <si>
    <t>Bioburden</t>
  </si>
  <si>
    <t>M8</t>
  </si>
  <si>
    <t>M6</t>
  </si>
  <si>
    <t>M7</t>
  </si>
  <si>
    <t>M9</t>
  </si>
  <si>
    <t>M10</t>
  </si>
  <si>
    <t>M1</t>
  </si>
  <si>
    <t>M2</t>
  </si>
  <si>
    <t>M3</t>
  </si>
  <si>
    <t>M4</t>
  </si>
  <si>
    <t>M5</t>
  </si>
  <si>
    <t>M11</t>
  </si>
  <si>
    <t>add</t>
  </si>
  <si>
    <t>test</t>
  </si>
  <si>
    <t>PR19SR002-0-D</t>
  </si>
  <si>
    <t>Family</t>
  </si>
  <si>
    <t>HW60SP350P10000 CN</t>
  </si>
  <si>
    <t>HW60JR400P10000 CN</t>
  </si>
  <si>
    <t>HW60AL070P10002 CN</t>
  </si>
  <si>
    <t>CHINA</t>
  </si>
  <si>
    <t>PR2145021-0-A</t>
  </si>
  <si>
    <t>2112099-0-C-CN</t>
  </si>
  <si>
    <t>2112061-0-C-CN</t>
  </si>
  <si>
    <t>2112083-0-C-CN</t>
  </si>
  <si>
    <t>Time</t>
  </si>
  <si>
    <t>Start date 
(Sealing)</t>
  </si>
  <si>
    <t>CAG</t>
  </si>
  <si>
    <t>Test Particle
 ( pcs)</t>
  </si>
  <si>
    <t xml:space="preserve">Test Particle
 ( pcs)
</t>
  </si>
  <si>
    <t>F-  5740  Ver:2</t>
  </si>
  <si>
    <t>Tổng test</t>
  </si>
  <si>
    <t>Địa Chỉ Label QR code</t>
  </si>
  <si>
    <t>11PL021-A</t>
  </si>
  <si>
    <t>13000790</t>
  </si>
  <si>
    <t>0100233959</t>
  </si>
  <si>
    <t>16PL002-0</t>
  </si>
  <si>
    <t>13000689</t>
  </si>
  <si>
    <t>0102442414</t>
  </si>
  <si>
    <t>2009051 Masters HF CN</t>
  </si>
  <si>
    <t>TEST</t>
  </si>
  <si>
    <t>HF</t>
  </si>
  <si>
    <t>Oversea</t>
  </si>
  <si>
    <t>1942141-B-C</t>
  </si>
  <si>
    <t>1942140-B-C</t>
  </si>
  <si>
    <t>2112041-0-C</t>
  </si>
  <si>
    <t>2112099-0-C</t>
  </si>
  <si>
    <t>2112061-0-C</t>
  </si>
  <si>
    <t>2112095-0-C</t>
  </si>
  <si>
    <t>2112017-0-C</t>
  </si>
  <si>
    <t>2112175-0-C</t>
  </si>
  <si>
    <t>2112071-0-C</t>
  </si>
  <si>
    <t>2112007-0-C</t>
  </si>
  <si>
    <t>2112069-0-C</t>
  </si>
  <si>
    <t>2112003-0-C</t>
  </si>
  <si>
    <t>Cột ƯỚc</t>
  </si>
  <si>
    <t>2211130-C-A</t>
  </si>
  <si>
    <t>HW70JR400P10000 NOCE</t>
  </si>
  <si>
    <t>ＡＩＨ
C</t>
  </si>
  <si>
    <t>ＡＩＨ
D</t>
  </si>
  <si>
    <t>1</t>
  </si>
  <si>
    <t>×</t>
  </si>
  <si>
    <t>PLAN STER - CAG</t>
  </si>
  <si>
    <t>PO No.</t>
  </si>
  <si>
    <t>TT</t>
  </si>
  <si>
    <t>PldOrd</t>
  </si>
  <si>
    <t>Item code</t>
  </si>
  <si>
    <t>Item name</t>
  </si>
  <si>
    <t xml:space="preserve">Q'ty  </t>
  </si>
  <si>
    <t>Complete 
Date</t>
  </si>
  <si>
    <t>External Lot
Ster</t>
  </si>
  <si>
    <t>Q'ty  Input</t>
  </si>
  <si>
    <t>Material No
Type C</t>
  </si>
  <si>
    <t>Item Code
Type C</t>
  </si>
  <si>
    <t>QA test</t>
  </si>
  <si>
    <t>Ster</t>
  </si>
  <si>
    <t>BOXING</t>
  </si>
  <si>
    <t>ngày lưu kho</t>
  </si>
  <si>
    <t>USA</t>
  </si>
  <si>
    <t>1811875-J-A</t>
  </si>
  <si>
    <t>1811861-J-A</t>
  </si>
  <si>
    <t>HW60AL070P10000 CN</t>
  </si>
  <si>
    <t>1811907-L-A</t>
  </si>
  <si>
    <t>HW60SP300P10000 CN</t>
  </si>
  <si>
    <t>1811909-L-A</t>
  </si>
  <si>
    <t>2112003-0-C-CN</t>
  </si>
  <si>
    <t>2112095-0-C-CN</t>
  </si>
  <si>
    <t>1811851-J-A</t>
  </si>
  <si>
    <t>1811827-J-A</t>
  </si>
  <si>
    <t>HW60JL350P10000 CN</t>
  </si>
  <si>
    <t>2112041-0-C-CN</t>
  </si>
  <si>
    <t>1811863-J-A</t>
  </si>
  <si>
    <t>HW60AL100P10000 CN</t>
  </si>
  <si>
    <t>1811831-J-A</t>
  </si>
  <si>
    <t>HW60JL400P10000 CN</t>
  </si>
  <si>
    <t>1811849-J-A</t>
  </si>
  <si>
    <t>HW60JR350P10000 CN</t>
  </si>
  <si>
    <t>2112007-0-C-CN</t>
  </si>
  <si>
    <t>2112045-0-C-CN</t>
  </si>
  <si>
    <t>2112059-0-C-CN</t>
  </si>
  <si>
    <t>M8-1</t>
  </si>
  <si>
    <t>M9-1</t>
  </si>
  <si>
    <t>1811955-G-A</t>
  </si>
  <si>
    <t>HW70JL350P10000 CN</t>
  </si>
  <si>
    <t>1811979-G-A</t>
  </si>
  <si>
    <t>HW70JR400P10000 CN</t>
  </si>
  <si>
    <t>1811989-G-A</t>
  </si>
  <si>
    <t>HW70AL070P10000 CN</t>
  </si>
  <si>
    <t>1811877-J-A</t>
  </si>
  <si>
    <t>HW60AL100P10002 CN</t>
  </si>
  <si>
    <t>1861036-H-A</t>
  </si>
  <si>
    <t>HW70SP300P10000 CN</t>
  </si>
  <si>
    <t>1811911-L-A</t>
  </si>
  <si>
    <t>HW60SP370P10000 CN</t>
  </si>
  <si>
    <t>1861038-L-A</t>
  </si>
  <si>
    <t>HW70SP350P10000 CN</t>
  </si>
  <si>
    <t>2112149-0-C-CN</t>
  </si>
  <si>
    <t>2112175-0-C-CN</t>
  </si>
  <si>
    <t>2112105-0-C-CN</t>
  </si>
  <si>
    <t>2112085-0-C-CN</t>
  </si>
  <si>
    <t>2112223-0-C-CN</t>
  </si>
  <si>
    <t>2112101-0-C-CN</t>
  </si>
  <si>
    <t>2112226-0-C-CN</t>
  </si>
  <si>
    <t>2141049-D-A</t>
  </si>
  <si>
    <t>CRV135-19P CN</t>
  </si>
  <si>
    <t>2141050-D-A</t>
  </si>
  <si>
    <t>CRV150-19P CN</t>
  </si>
  <si>
    <t>2041189-D-A</t>
  </si>
  <si>
    <t>CSR135-26P CN</t>
  </si>
  <si>
    <t>2041190-D-A</t>
  </si>
  <si>
    <t>CSR150-26P CN</t>
  </si>
  <si>
    <t>1842014-C-C-CN</t>
  </si>
  <si>
    <t>1842015-B-C-CN</t>
  </si>
  <si>
    <t>2342019-A-C-CN</t>
  </si>
  <si>
    <t>2342020-A-C-CN</t>
  </si>
  <si>
    <t>M8-2</t>
  </si>
  <si>
    <t>M10-1</t>
  </si>
  <si>
    <t>M9-2</t>
  </si>
  <si>
    <t>2211002-C-A</t>
  </si>
  <si>
    <t>HW60JR400P10000 NOCE</t>
  </si>
  <si>
    <t>2211092-E-A</t>
  </si>
  <si>
    <t>HW60SP350P10000 NOCE</t>
  </si>
  <si>
    <t>2341004-B-A</t>
  </si>
  <si>
    <t>CRV150-19P CE3</t>
  </si>
  <si>
    <t>2341003-B-A</t>
  </si>
  <si>
    <t>CRV135-19P CE3</t>
  </si>
  <si>
    <t>10</t>
  </si>
  <si>
    <t>0</t>
  </si>
  <si>
    <t>ＡＩＨ
B</t>
  </si>
  <si>
    <t>ＡＩＨ
 B</t>
  </si>
  <si>
    <t>36</t>
  </si>
  <si>
    <t>a</t>
  </si>
  <si>
    <t xml:space="preserve"> Effective date : 02 Jul 2021</t>
  </si>
  <si>
    <t>ASAHI INTECC HANOI CO., LTD</t>
  </si>
  <si>
    <t xml:space="preserve">  AVPC -0100</t>
  </si>
  <si>
    <t xml:space="preserve">          Related document :   </t>
  </si>
  <si>
    <t xml:space="preserve"> * E-Form</t>
  </si>
  <si>
    <t>Item name/Description</t>
  </si>
  <si>
    <t>Drawing List No</t>
  </si>
  <si>
    <t>1861004-G-A</t>
  </si>
  <si>
    <t>HW70AL070P10002 CN</t>
  </si>
  <si>
    <t>2112203-0-C-CN</t>
  </si>
  <si>
    <t>Đăng</t>
  </si>
  <si>
    <t>N/A</t>
  </si>
  <si>
    <t>2211030-D-A</t>
  </si>
  <si>
    <t>HW60PB350P10000 NOCE</t>
  </si>
  <si>
    <t>1941011-D-A</t>
  </si>
  <si>
    <t>1941022-F-A</t>
  </si>
  <si>
    <t>1941009-D-A</t>
  </si>
  <si>
    <t>1941065-D-A</t>
  </si>
  <si>
    <t>1941063-D-A</t>
  </si>
  <si>
    <t>1941064-D-A</t>
  </si>
  <si>
    <t>1941029-F-A</t>
  </si>
  <si>
    <t>1941031-F-A</t>
  </si>
  <si>
    <t>1942042-A-C</t>
  </si>
  <si>
    <t>2042139-B-C</t>
  </si>
  <si>
    <t>1942040-A-C</t>
  </si>
  <si>
    <t>1942080-A-C</t>
  </si>
  <si>
    <t>1942078-A-C</t>
  </si>
  <si>
    <t>1942079-A-C</t>
  </si>
  <si>
    <t>1942060-A-C</t>
  </si>
  <si>
    <t>1942062-A-C</t>
  </si>
  <si>
    <t>TER-PE-260232-01</t>
  </si>
  <si>
    <t>VEL105-16SR_JP</t>
  </si>
  <si>
    <t>0103341900</t>
  </si>
  <si>
    <t>260402X13B</t>
  </si>
  <si>
    <t>TER-PE-260232-02</t>
  </si>
  <si>
    <t>0103341597</t>
  </si>
  <si>
    <t>260402X02B</t>
  </si>
  <si>
    <t>TER-PE-260232-03</t>
  </si>
  <si>
    <t>0103341601</t>
  </si>
  <si>
    <t>260402X03B</t>
  </si>
  <si>
    <t>TER-PE-260232-07</t>
  </si>
  <si>
    <t>VEL150-16SR_JP</t>
  </si>
  <si>
    <t>0103341645</t>
  </si>
  <si>
    <t>260402X07B</t>
  </si>
  <si>
    <t>TER-PE-260232-08</t>
  </si>
  <si>
    <t>0103341651</t>
  </si>
  <si>
    <t>260402X08B</t>
  </si>
  <si>
    <t>TER-PE-260232-09</t>
  </si>
  <si>
    <t>0103341654</t>
  </si>
  <si>
    <t>260402X09B</t>
  </si>
  <si>
    <t>TER-PE-260232-10</t>
  </si>
  <si>
    <t>0103341656</t>
  </si>
  <si>
    <t>260402X10B</t>
  </si>
  <si>
    <t>TER-PE-260232-11</t>
  </si>
  <si>
    <t>0103341659</t>
  </si>
  <si>
    <t>260402X11B</t>
  </si>
  <si>
    <t>TER-PE-260232-12</t>
  </si>
  <si>
    <t>0103341660</t>
  </si>
  <si>
    <t>260402X12B</t>
  </si>
  <si>
    <t>2041303-C-A</t>
  </si>
  <si>
    <t>MST125-27HFR CN</t>
  </si>
  <si>
    <t>2042140-B-C-CN</t>
  </si>
  <si>
    <t>MST105-27HFR_JP</t>
  </si>
  <si>
    <t>TER-PE-260235-03</t>
  </si>
  <si>
    <t>21.Apr,.26</t>
  </si>
  <si>
    <t>0103348715</t>
  </si>
  <si>
    <t>260406X03B</t>
  </si>
  <si>
    <t>MST105-18PWSFR_JP</t>
  </si>
  <si>
    <t>16.Apr.26</t>
  </si>
  <si>
    <t>TER-PE-260234-04</t>
  </si>
  <si>
    <t>18.May.26</t>
  </si>
  <si>
    <t>0103345627</t>
  </si>
  <si>
    <t>260404X13B</t>
  </si>
  <si>
    <t>TER-PE-260234-05</t>
  </si>
  <si>
    <t>0103345628</t>
  </si>
  <si>
    <t>260404X14B</t>
  </si>
  <si>
    <t>TER-PE-260234-06</t>
  </si>
  <si>
    <t>0103345629</t>
  </si>
  <si>
    <t>260404X15B</t>
  </si>
  <si>
    <t>23.Apr.26</t>
  </si>
  <si>
    <t>MST150-18PWSFR_JP</t>
  </si>
  <si>
    <t>22.Apr.26</t>
  </si>
  <si>
    <t>TER-PE-260234-13</t>
  </si>
  <si>
    <t>0103345643</t>
  </si>
  <si>
    <t>260404X22B</t>
  </si>
  <si>
    <t>TER-PE-260234-14</t>
  </si>
  <si>
    <t>0103345649</t>
  </si>
  <si>
    <t>260404X23B</t>
  </si>
  <si>
    <t>TER-PE-260234-15</t>
  </si>
  <si>
    <t>0103345655</t>
  </si>
  <si>
    <t>260404X24B</t>
  </si>
  <si>
    <t>Lân2 N22</t>
  </si>
  <si>
    <t>Lân2 N7</t>
  </si>
  <si>
    <t>PR1944001-0-A</t>
  </si>
  <si>
    <t>TLS105-16YR_JP</t>
  </si>
  <si>
    <t>0103345839</t>
  </si>
  <si>
    <t>260404X25B</t>
  </si>
  <si>
    <t>0103345841</t>
  </si>
  <si>
    <t>260404X26B</t>
  </si>
  <si>
    <t>0103345844</t>
  </si>
  <si>
    <t>260404X27B</t>
  </si>
  <si>
    <t>0103345846</t>
  </si>
  <si>
    <t>260404X28B</t>
  </si>
  <si>
    <t>0103345848</t>
  </si>
  <si>
    <t>260404X29B</t>
  </si>
  <si>
    <t>0103345849</t>
  </si>
  <si>
    <t>260404X30B</t>
  </si>
  <si>
    <t>TLS125-16YR_JP</t>
  </si>
  <si>
    <t>0103345852</t>
  </si>
  <si>
    <t>260404X31B</t>
  </si>
  <si>
    <t>0103345853</t>
  </si>
  <si>
    <t>260404X32B</t>
  </si>
  <si>
    <t>0103345855</t>
  </si>
  <si>
    <t>260404X33B</t>
  </si>
  <si>
    <t>TLS150-16YR_JP</t>
  </si>
  <si>
    <t>0103345856</t>
  </si>
  <si>
    <t>260404X34B</t>
  </si>
  <si>
    <t>0103345857</t>
  </si>
  <si>
    <t>260404X35B</t>
  </si>
  <si>
    <t>0103345858</t>
  </si>
  <si>
    <t>260404X36B</t>
  </si>
  <si>
    <t>0103345859</t>
  </si>
  <si>
    <t>260404X37B</t>
  </si>
  <si>
    <t>0103345861</t>
  </si>
  <si>
    <t>260404X38B</t>
  </si>
  <si>
    <t>0103345862</t>
  </si>
  <si>
    <t>260404X39B</t>
  </si>
  <si>
    <t>TER-PE-260233-01</t>
  </si>
  <si>
    <t>TER-PE-260233-02</t>
  </si>
  <si>
    <t>TER-PE-260233-03</t>
  </si>
  <si>
    <t>TER-PE-260233-04</t>
  </si>
  <si>
    <t>TER-PE-260233-05</t>
  </si>
  <si>
    <t>TER-PE-260233-06</t>
  </si>
  <si>
    <t>TER-PE-260233-07</t>
  </si>
  <si>
    <t>TER-PE-260233-08</t>
  </si>
  <si>
    <t>TER-PE-260233-09</t>
  </si>
  <si>
    <t>TER-PE-260233-10</t>
  </si>
  <si>
    <t>TER-PE-260233-11</t>
  </si>
  <si>
    <t>TER-PE-260233-12</t>
  </si>
  <si>
    <t>TER-PE-260233-13</t>
  </si>
  <si>
    <t>TER-PE-260233-14</t>
  </si>
  <si>
    <t>TER-PE-260233-15</t>
  </si>
  <si>
    <t>Lân2 N11</t>
  </si>
  <si>
    <t>STR 1</t>
  </si>
  <si>
    <t>STR 2</t>
  </si>
  <si>
    <t>PSC35170S-E-A</t>
  </si>
  <si>
    <t>PSC35170S-E-C</t>
  </si>
  <si>
    <t>1811910-L-A</t>
  </si>
  <si>
    <t>HW60SP352P10000 CN</t>
  </si>
  <si>
    <t>2112100-0-C-CN</t>
  </si>
  <si>
    <t>Australia</t>
  </si>
  <si>
    <t>2211091-E-A</t>
  </si>
  <si>
    <t>HW60SP300P10000 NOCE</t>
  </si>
  <si>
    <t>2211007-C-A</t>
  </si>
  <si>
    <t>HW60AR100P10000 NOCE</t>
  </si>
  <si>
    <t>2211018-C-A</t>
  </si>
  <si>
    <t>HW60JL350P10000 NOCE</t>
  </si>
  <si>
    <t>2211037-C-A</t>
  </si>
  <si>
    <t>HW60AL070P10000 NOCE</t>
  </si>
  <si>
    <t>2211038-C-A</t>
  </si>
  <si>
    <t>HW60AL100P10000 NOCE</t>
  </si>
  <si>
    <t>2212035-0-C</t>
  </si>
  <si>
    <t>0103415924</t>
  </si>
  <si>
    <t>HF26511D8</t>
  </si>
  <si>
    <t>15</t>
  </si>
  <si>
    <t>M10-2</t>
  </si>
  <si>
    <t>2112062-0-C</t>
  </si>
  <si>
    <t>2112187-0-C</t>
  </si>
  <si>
    <t>J-sales</t>
  </si>
  <si>
    <t>2211158-D-A</t>
  </si>
  <si>
    <t>HW70PB350P10000 NOCE</t>
  </si>
  <si>
    <t>2112105-0-C</t>
  </si>
  <si>
    <t>0103383152</t>
  </si>
  <si>
    <t>JP26424A3</t>
  </si>
  <si>
    <t>0102933042</t>
  </si>
  <si>
    <t>JF25908A8</t>
  </si>
  <si>
    <t>0103421622</t>
  </si>
  <si>
    <t>JF26513A9</t>
  </si>
  <si>
    <t>CA-H2606-PD-089</t>
  </si>
  <si>
    <t>23UP002-0 YUPO BOARD</t>
  </si>
  <si>
    <t>1811862-G-A</t>
  </si>
  <si>
    <t>HW60AL072P10000 CN</t>
  </si>
  <si>
    <t>2112004-0-C-CN</t>
  </si>
  <si>
    <t>0102935796</t>
  </si>
  <si>
    <t>HF25908H9</t>
  </si>
  <si>
    <t>0103415904</t>
  </si>
  <si>
    <t>HF26511B8</t>
  </si>
  <si>
    <t>0103458440</t>
  </si>
  <si>
    <t>HF26529D4</t>
  </si>
  <si>
    <t>1521545-M-A</t>
  </si>
  <si>
    <t>MS3552H21-ANG100M</t>
  </si>
  <si>
    <t>FILMECC</t>
  </si>
  <si>
    <t>1521543-K-A</t>
  </si>
  <si>
    <t>MS3552H21-ANG70G</t>
  </si>
  <si>
    <t>1521546-M-A</t>
  </si>
  <si>
    <t>MS3552H21-PIG100N</t>
  </si>
  <si>
    <t>1521544-M-A</t>
  </si>
  <si>
    <t>MS3552H26-PIG110J</t>
  </si>
  <si>
    <t>2042100-A-C</t>
  </si>
  <si>
    <t>2042098-A-C</t>
  </si>
  <si>
    <t>2042101-A-C</t>
  </si>
  <si>
    <t>2042099-A-C</t>
  </si>
  <si>
    <t>0103443359</t>
  </si>
  <si>
    <t>HF26522F8</t>
  </si>
  <si>
    <t>0103371503</t>
  </si>
  <si>
    <t>HF26420G2</t>
  </si>
  <si>
    <t>1811959-G-A</t>
  </si>
  <si>
    <t>HW70JL400P10000 CN</t>
  </si>
  <si>
    <t>1811991-G-A</t>
  </si>
  <si>
    <t>HW70AL100P10000 CN</t>
  </si>
  <si>
    <t>2112156-0-C-CN</t>
  </si>
  <si>
    <t>2112110-0-C-CN</t>
  </si>
  <si>
    <t>0103432219</t>
  </si>
  <si>
    <t>HF26519A3</t>
  </si>
  <si>
    <t>0103466067</t>
  </si>
  <si>
    <t>HF26602H1</t>
  </si>
  <si>
    <t>0103466068</t>
  </si>
  <si>
    <t>HF26602H2</t>
  </si>
  <si>
    <t>0103120585</t>
  </si>
  <si>
    <t>HF25C08F1</t>
  </si>
  <si>
    <t>1811913-L-A</t>
  </si>
  <si>
    <t>HW60SP400P10000 CN</t>
  </si>
  <si>
    <t>2112103-0-C-CN</t>
  </si>
  <si>
    <t>2341002-0-A</t>
  </si>
  <si>
    <t>2342002-0-C</t>
  </si>
  <si>
    <t>0103403188</t>
  </si>
  <si>
    <t>HF26505G7</t>
  </si>
  <si>
    <t>0103476723</t>
  </si>
  <si>
    <t>JF26606A3</t>
  </si>
  <si>
    <t>0103499891</t>
  </si>
  <si>
    <t>HF26617A2</t>
  </si>
  <si>
    <t>1941061-G-A</t>
  </si>
  <si>
    <t>TLS125-16SSRR JP</t>
  </si>
  <si>
    <t>1942084-B-C</t>
  </si>
  <si>
    <t>0103437721</t>
  </si>
  <si>
    <t>JF26520A2</t>
  </si>
  <si>
    <t>0103498269</t>
  </si>
  <si>
    <t>JF26616C2</t>
  </si>
  <si>
    <t>MJ03</t>
  </si>
  <si>
    <t>VNM0</t>
  </si>
  <si>
    <t>M8-3</t>
  </si>
  <si>
    <t>V43GH15</t>
  </si>
  <si>
    <t>V43GJ19</t>
  </si>
  <si>
    <t>V43GQ19</t>
  </si>
  <si>
    <t>1001897397</t>
  </si>
  <si>
    <t>0103516476</t>
  </si>
  <si>
    <t>260625K01A</t>
  </si>
  <si>
    <t>Aug15-01</t>
  </si>
  <si>
    <t>0103383153</t>
  </si>
  <si>
    <t>JP26424A4</t>
  </si>
  <si>
    <t>0103457714</t>
  </si>
  <si>
    <t>JP26528E4</t>
  </si>
  <si>
    <t>0103457715</t>
  </si>
  <si>
    <t>JP26528E5</t>
  </si>
  <si>
    <t>0103457716</t>
  </si>
  <si>
    <t>JP26528E6</t>
  </si>
  <si>
    <t>2211055-C-A</t>
  </si>
  <si>
    <t>HW60MP010P10000 NOCE</t>
  </si>
  <si>
    <t>2211029-D-A</t>
  </si>
  <si>
    <t>HW60PB300P10000 NOCE</t>
  </si>
  <si>
    <t>2212051-0-C</t>
  </si>
  <si>
    <t>0103502481</t>
  </si>
  <si>
    <t>JF26618A7</t>
  </si>
  <si>
    <t>1841034-D-A</t>
  </si>
  <si>
    <t>CRV150-19M JP</t>
  </si>
  <si>
    <t>JAPAN</t>
  </si>
  <si>
    <t>1841033-E-A</t>
  </si>
  <si>
    <t>CRV135-19M JP</t>
  </si>
  <si>
    <t>1842015-B-C</t>
  </si>
  <si>
    <t>1842014-C-C</t>
  </si>
  <si>
    <t>1911044-D-A</t>
  </si>
  <si>
    <t>HJ60JL400P09000 JP</t>
  </si>
  <si>
    <t>1911013-D-A</t>
  </si>
  <si>
    <t>HJ60AL150P10021 JP</t>
  </si>
  <si>
    <t>1911169-D-A</t>
  </si>
  <si>
    <t>HJ70JR350P10020 JP</t>
  </si>
  <si>
    <t>1911095-E-A</t>
  </si>
  <si>
    <t>HJ60SP320P10000 JP</t>
  </si>
  <si>
    <t>2112046-0-C</t>
  </si>
  <si>
    <t>2112015-0-C</t>
  </si>
  <si>
    <t>2112171-0-C</t>
  </si>
  <si>
    <t>2112097-0-C</t>
  </si>
  <si>
    <t>0103104074</t>
  </si>
  <si>
    <t>HF25B28C5</t>
  </si>
  <si>
    <t>0102960948</t>
  </si>
  <si>
    <t>HF25919D2</t>
  </si>
  <si>
    <t>0103479022</t>
  </si>
  <si>
    <t>HF26608H2</t>
  </si>
  <si>
    <t>0103451897</t>
  </si>
  <si>
    <t>JF26527A1</t>
  </si>
  <si>
    <t>0103104082</t>
  </si>
  <si>
    <t>HF25B28D4</t>
  </si>
  <si>
    <t>0103493623</t>
  </si>
  <si>
    <t>HF26615B9</t>
  </si>
  <si>
    <t>1911008-D-A</t>
  </si>
  <si>
    <t>HJ60AL102P09020 JP</t>
  </si>
  <si>
    <t>1941002-D-A</t>
  </si>
  <si>
    <t>CSR150-26PR JP</t>
  </si>
  <si>
    <t>1941079-D-A</t>
  </si>
  <si>
    <t>CSRP135-26NR JP</t>
  </si>
  <si>
    <t>1941001-D-A</t>
  </si>
  <si>
    <t>CSR135-26PR JP</t>
  </si>
  <si>
    <t>PR2545028-0-A</t>
  </si>
  <si>
    <t>2342020-A-C</t>
  </si>
  <si>
    <t>1942114-B-C</t>
  </si>
  <si>
    <t>2342019-A-C</t>
  </si>
  <si>
    <t>2112010-0-C</t>
  </si>
  <si>
    <t>0103472967</t>
  </si>
  <si>
    <t>JF26605B2</t>
  </si>
  <si>
    <t>0103350006</t>
  </si>
  <si>
    <t>JF26407C4</t>
  </si>
  <si>
    <t>0103476721</t>
  </si>
  <si>
    <t>JF26606A1</t>
  </si>
  <si>
    <t>0103209269</t>
  </si>
  <si>
    <t>JP26128A2</t>
  </si>
  <si>
    <t>MST105-27HFR JP</t>
  </si>
  <si>
    <t>1941013-E-A</t>
  </si>
  <si>
    <t>MST45A-18PWSFR JP</t>
  </si>
  <si>
    <t>TLS105-16YR JP</t>
  </si>
  <si>
    <t>1941060-G-A</t>
  </si>
  <si>
    <t>TLS125-16ASR JP</t>
  </si>
  <si>
    <t>1941057-F-A</t>
  </si>
  <si>
    <t>TLS125-16SR JP</t>
  </si>
  <si>
    <t>1941062-G-A</t>
  </si>
  <si>
    <t>TLS125-16SSLR JP</t>
  </si>
  <si>
    <t>TLS125-16YR JP</t>
  </si>
  <si>
    <t>1941033-G-A</t>
  </si>
  <si>
    <t>VEL125-16ASR JP</t>
  </si>
  <si>
    <t>1942044-B-C</t>
  </si>
  <si>
    <t>1942082-B-C</t>
  </si>
  <si>
    <t>1942085-B-C</t>
  </si>
  <si>
    <t>1942064-B-C</t>
  </si>
  <si>
    <t>0103338922</t>
  </si>
  <si>
    <t>JF26401A8</t>
  </si>
  <si>
    <t>0103456620</t>
  </si>
  <si>
    <t>JF26528C3</t>
  </si>
  <si>
    <t>0103456624</t>
  </si>
  <si>
    <t>JF26528C7</t>
  </si>
  <si>
    <t>0103456623</t>
  </si>
  <si>
    <t>JF26528C6</t>
  </si>
  <si>
    <t>0103100160</t>
  </si>
  <si>
    <t>JF25B26A8</t>
  </si>
  <si>
    <t>0103456625</t>
  </si>
  <si>
    <t>JF26528C8</t>
  </si>
  <si>
    <t>V43XH03</t>
  </si>
  <si>
    <t>CA-H2607-PD-013</t>
  </si>
  <si>
    <t>CA-H2607-PD-006</t>
  </si>
  <si>
    <t>2112226-0-C</t>
  </si>
  <si>
    <t>2041304-C-A</t>
  </si>
  <si>
    <t>2042141-B-C-CN</t>
  </si>
  <si>
    <t>0103478958</t>
  </si>
  <si>
    <t>HF26608A1</t>
  </si>
  <si>
    <t>0103415303</t>
  </si>
  <si>
    <t>JF26511A8</t>
  </si>
  <si>
    <t>0103415296</t>
  </si>
  <si>
    <t>JF26511A1</t>
  </si>
  <si>
    <t>0103499939</t>
  </si>
  <si>
    <t>HF26617F3</t>
  </si>
  <si>
    <t>0103478990</t>
  </si>
  <si>
    <t>HF26608D6</t>
  </si>
  <si>
    <t>1911037-D-A</t>
  </si>
  <si>
    <t>HJ60IM002P10030 JP</t>
  </si>
  <si>
    <t>1911050-D-A</t>
  </si>
  <si>
    <t>HJ60JL452P10020 JP</t>
  </si>
  <si>
    <t>1911062-D-A</t>
  </si>
  <si>
    <t>HJ60JR402P09020 JP</t>
  </si>
  <si>
    <t>2111063-D-A</t>
  </si>
  <si>
    <t>HJ60SL102P10000 JP</t>
  </si>
  <si>
    <t>1911054-D-A</t>
  </si>
  <si>
    <t>HJ60JL502P10020 JP</t>
  </si>
  <si>
    <t>1911160-D-A</t>
  </si>
  <si>
    <t>HJ70JL402P09021 JP</t>
  </si>
  <si>
    <t>1911004-D-A</t>
  </si>
  <si>
    <t>HJ60AL072P10021 JP</t>
  </si>
  <si>
    <t>1911034-D-A</t>
  </si>
  <si>
    <t>HJ60IL402P10020 JP</t>
  </si>
  <si>
    <t>1911164-D-A</t>
  </si>
  <si>
    <t>HJ70JL452P10021 JP</t>
  </si>
  <si>
    <t>1911103-D-A</t>
  </si>
  <si>
    <t>HJ70AL070P10020 JP</t>
  </si>
  <si>
    <t>1911032-D-A</t>
  </si>
  <si>
    <t>HJ60IL352P10020 JP</t>
  </si>
  <si>
    <t>1911042-D-A</t>
  </si>
  <si>
    <t>HJ60JL352P10021 JP</t>
  </si>
  <si>
    <t>1911201-D-A</t>
  </si>
  <si>
    <t>HJ70AL070P10022 JP</t>
  </si>
  <si>
    <t>1911007-D-A</t>
  </si>
  <si>
    <t>HJ60AL102P10020 JP</t>
  </si>
  <si>
    <t>1911096-E-A</t>
  </si>
  <si>
    <t>HJ60SP322P10020 JP</t>
  </si>
  <si>
    <t>1911068-E-A</t>
  </si>
  <si>
    <t>HJ60PB302P10020 JP</t>
  </si>
  <si>
    <t>1911163-D-A</t>
  </si>
  <si>
    <t>HJ70JL450P10001 JP</t>
  </si>
  <si>
    <t>1911328-D-A</t>
  </si>
  <si>
    <t>HJ80AL100P09002 JP</t>
  </si>
  <si>
    <t>1911295-D-A</t>
  </si>
  <si>
    <t>HJ80JR400P10000 JP</t>
  </si>
  <si>
    <t>1911325-D-A</t>
  </si>
  <si>
    <t>HJ80AL072P10002 JP</t>
  </si>
  <si>
    <t>2112039-0-C</t>
  </si>
  <si>
    <t>2112052-0-C</t>
  </si>
  <si>
    <t>2112064-0-C</t>
  </si>
  <si>
    <t>2112002-A-C</t>
  </si>
  <si>
    <t>2112056-0-C</t>
  </si>
  <si>
    <t>2112162-0-C</t>
  </si>
  <si>
    <t>2112006-0-C</t>
  </si>
  <si>
    <t>2112036-0-C</t>
  </si>
  <si>
    <t>2112166-0-C</t>
  </si>
  <si>
    <t>2112034-0-C</t>
  </si>
  <si>
    <t>2112044-0-C</t>
  </si>
  <si>
    <t>2112203-0-C</t>
  </si>
  <si>
    <t>2112009-0-C</t>
  </si>
  <si>
    <t>2112098-0-C</t>
  </si>
  <si>
    <t>2112070-0-C</t>
  </si>
  <si>
    <t>2112232-0-C</t>
  </si>
  <si>
    <t>2112229-0-C</t>
  </si>
  <si>
    <t>2112165-0-C</t>
  </si>
  <si>
    <t>2112330-0-C</t>
  </si>
  <si>
    <t>2112297-0-C</t>
  </si>
  <si>
    <t>2112327-0-C</t>
  </si>
  <si>
    <t>1911236-D-A</t>
  </si>
  <si>
    <t>HJ80AL072P10000 JP</t>
  </si>
  <si>
    <t>1911171-D-A</t>
  </si>
  <si>
    <t>HJ70JR352P10020 JP</t>
  </si>
  <si>
    <t>1911297-D-A</t>
  </si>
  <si>
    <t>HJ80JR402P10000 JP</t>
  </si>
  <si>
    <t>CA-H2607-PD-015</t>
  </si>
  <si>
    <t>2112238-0-C</t>
  </si>
  <si>
    <t>2112173-0-C</t>
  </si>
  <si>
    <t>2112299-0-C</t>
  </si>
  <si>
    <t>0103518458</t>
  </si>
  <si>
    <t>HF26626B6</t>
  </si>
  <si>
    <t>0103463169</t>
  </si>
  <si>
    <t>HF26601B6</t>
  </si>
  <si>
    <t>0103526860</t>
  </si>
  <si>
    <t>HF26702C9</t>
  </si>
  <si>
    <t>0103526862</t>
  </si>
  <si>
    <t>HF26702D2</t>
  </si>
  <si>
    <t>0103432260</t>
  </si>
  <si>
    <t>HF26519E3</t>
  </si>
  <si>
    <t>1941102-C-A</t>
  </si>
  <si>
    <t>CRV135-19P US2</t>
  </si>
  <si>
    <t>Tân</t>
  </si>
  <si>
    <t>2000126703</t>
  </si>
  <si>
    <t>Masters PARKWAY SOFT 150cm Straight</t>
  </si>
  <si>
    <t>2000126704</t>
  </si>
  <si>
    <t>2000126705</t>
  </si>
  <si>
    <t>CROSSWALK 035 170cm Straight</t>
  </si>
  <si>
    <t>2000126706</t>
  </si>
  <si>
    <t>0103539406</t>
  </si>
  <si>
    <t>260707Y17A</t>
  </si>
  <si>
    <t>0103539408</t>
  </si>
  <si>
    <t>260707Y17D</t>
  </si>
  <si>
    <t>0103539409</t>
  </si>
  <si>
    <t>260707Y18A</t>
  </si>
  <si>
    <t>0103539410</t>
  </si>
  <si>
    <t>260707Y18D</t>
  </si>
  <si>
    <t>2000126709</t>
  </si>
  <si>
    <t>Accessories for Masters Parkway HF</t>
  </si>
  <si>
    <t>2000126710</t>
  </si>
  <si>
    <t>0103539413</t>
  </si>
  <si>
    <t>260707Y20A</t>
  </si>
  <si>
    <t>0103539414</t>
  </si>
  <si>
    <t>260707Y20D</t>
  </si>
  <si>
    <t>260707Y21A</t>
  </si>
  <si>
    <t>260707Y21D</t>
  </si>
  <si>
    <t>2000126731</t>
  </si>
  <si>
    <t>ASAHI Masters PARKWAY HF 150cm Straight</t>
  </si>
  <si>
    <t>2000126732</t>
  </si>
  <si>
    <t>2000126733</t>
  </si>
  <si>
    <t>2000126734</t>
  </si>
  <si>
    <t>ASAHI Caravel 150cm</t>
  </si>
  <si>
    <t>2000126735</t>
  </si>
  <si>
    <t>2000126736</t>
  </si>
  <si>
    <t>2000126737</t>
  </si>
  <si>
    <t>ASAHI Corsair Pro 150㎝</t>
  </si>
  <si>
    <t>2000126738</t>
  </si>
  <si>
    <t>2000126739</t>
  </si>
  <si>
    <t>1911329-D-A</t>
  </si>
  <si>
    <t>HJ80AL102P10002 JP</t>
  </si>
  <si>
    <t>2000126740</t>
  </si>
  <si>
    <t>2000126742</t>
  </si>
  <si>
    <t>2000126743</t>
  </si>
  <si>
    <t>0103539435</t>
  </si>
  <si>
    <t>260707Y30A</t>
  </si>
  <si>
    <t>0103539437</t>
  </si>
  <si>
    <t>260707Y30B</t>
  </si>
  <si>
    <t>0103539438</t>
  </si>
  <si>
    <t>260707Y30D</t>
  </si>
  <si>
    <t>0103539439</t>
  </si>
  <si>
    <t>260707Y31A</t>
  </si>
  <si>
    <t>0103539440</t>
  </si>
  <si>
    <t>260707Y31B</t>
  </si>
  <si>
    <t>0103539441</t>
  </si>
  <si>
    <t>260707Y31D</t>
  </si>
  <si>
    <t>0103539442</t>
  </si>
  <si>
    <t>260707Y32A</t>
  </si>
  <si>
    <t>0103539443</t>
  </si>
  <si>
    <t>260707Y32D</t>
  </si>
  <si>
    <t>0103539445</t>
  </si>
  <si>
    <t>260707Y33A</t>
  </si>
  <si>
    <t>0103539446</t>
  </si>
  <si>
    <t>260707Y33B</t>
  </si>
  <si>
    <t>0103539448</t>
  </si>
  <si>
    <t>260707Y34A</t>
  </si>
  <si>
    <t>0103539449</t>
  </si>
  <si>
    <t>260707Y34D</t>
  </si>
  <si>
    <t xml:space="preserve"> 1942042-A-C</t>
  </si>
  <si>
    <t xml:space="preserve"> PR19SR003-0-D</t>
  </si>
  <si>
    <t>2042141-B-C</t>
  </si>
  <si>
    <t xml:space="preserve"> 1842015-B-C</t>
  </si>
  <si>
    <t xml:space="preserve">2342020-A-C-CN </t>
  </si>
  <si>
    <t>2112331-0-C</t>
  </si>
  <si>
    <t xml:space="preserve"> PR19SR002-0-D</t>
  </si>
  <si>
    <t>QC-5</t>
  </si>
  <si>
    <t>QC-6</t>
  </si>
  <si>
    <t>QC-7</t>
  </si>
  <si>
    <t>QC-8</t>
  </si>
  <si>
    <t>QC-9</t>
  </si>
  <si>
    <t>QC-10</t>
  </si>
  <si>
    <t>QC-11</t>
  </si>
  <si>
    <t>QC-12</t>
  </si>
  <si>
    <t>QC-13</t>
  </si>
  <si>
    <t>QC-14</t>
  </si>
  <si>
    <t>QC-15</t>
  </si>
  <si>
    <t>QC-16</t>
  </si>
  <si>
    <t>QC-17</t>
  </si>
  <si>
    <t>QC-18</t>
  </si>
  <si>
    <t>QC-19</t>
  </si>
  <si>
    <t>QC-20</t>
  </si>
  <si>
    <t>QC-21</t>
  </si>
  <si>
    <t>QC-22</t>
  </si>
  <si>
    <t>QC-23</t>
  </si>
  <si>
    <t>QC-24</t>
  </si>
  <si>
    <t>QC-25</t>
  </si>
  <si>
    <t>CA-H2607-PD-348</t>
  </si>
  <si>
    <t>PSC35135A-E-A</t>
  </si>
  <si>
    <t>PSC35135A US</t>
  </si>
  <si>
    <t>1941010-D-A</t>
  </si>
  <si>
    <t>MST125-18PWSFR JP</t>
  </si>
  <si>
    <t>MST150-18PWSFR JP</t>
  </si>
  <si>
    <t>1941012-E-A</t>
  </si>
  <si>
    <t>MST45A-18PWSSFR JP</t>
  </si>
  <si>
    <t>1941056-F-A</t>
  </si>
  <si>
    <t>TLS105-16SR JP</t>
  </si>
  <si>
    <t>1941058-F-A</t>
  </si>
  <si>
    <t>TLS150-16SR JP</t>
  </si>
  <si>
    <t>TLS150-16YR JP</t>
  </si>
  <si>
    <t>1941032-G-A</t>
  </si>
  <si>
    <t>VEL105-16ASR JP</t>
  </si>
  <si>
    <t>VEL105-16SR JP</t>
  </si>
  <si>
    <t>1941030-F-A</t>
  </si>
  <si>
    <t>VEL125-16SR JP</t>
  </si>
  <si>
    <t>CA-H2607-PD-003</t>
  </si>
  <si>
    <t>1001910173</t>
  </si>
  <si>
    <t>0103541259</t>
  </si>
  <si>
    <t>260709K24A</t>
  </si>
  <si>
    <t>PSC35135A-E-C</t>
  </si>
  <si>
    <t>1942041-A-C</t>
  </si>
  <si>
    <t>1942043-B-C</t>
  </si>
  <si>
    <t>1942063-B-C</t>
  </si>
  <si>
    <t>1942061-A-C</t>
  </si>
  <si>
    <t>1911166-D-A</t>
  </si>
  <si>
    <t>HJ70JL502P10020 JP</t>
  </si>
  <si>
    <t>1911088-D-A</t>
  </si>
  <si>
    <t>HJ60AL202P10022 JP</t>
  </si>
  <si>
    <t>1911064-D-A</t>
  </si>
  <si>
    <t>HJ60JR452P10020 JP</t>
  </si>
  <si>
    <t>1911090-D-A</t>
  </si>
  <si>
    <t>HJ60SC352P10020 JP</t>
  </si>
  <si>
    <t>1911066-D-A</t>
  </si>
  <si>
    <t>HJ60JR502P10020 JP</t>
  </si>
  <si>
    <t>1911076-D-A</t>
  </si>
  <si>
    <t>HJ60RB102P10020 JP</t>
  </si>
  <si>
    <t>1911333-D-A</t>
  </si>
  <si>
    <t>HJ80AL152P10002 JP</t>
  </si>
  <si>
    <t>1911086-D-A</t>
  </si>
  <si>
    <t>HJ60AL152P10022 JP</t>
  </si>
  <si>
    <t>1911010-D-A</t>
  </si>
  <si>
    <t>HJ60AL102P10021 JP</t>
  </si>
  <si>
    <t>1911253-D-A</t>
  </si>
  <si>
    <t>HJ80AL202P10000 JP</t>
  </si>
  <si>
    <t>1911012-D-A</t>
  </si>
  <si>
    <t>HJ60AL152P10020 JP</t>
  </si>
  <si>
    <t>2112168-0-C</t>
  </si>
  <si>
    <t>2112090-0-C</t>
  </si>
  <si>
    <t>2112066-0-C</t>
  </si>
  <si>
    <t>2112092-0-C</t>
  </si>
  <si>
    <t>2112068-0-C</t>
  </si>
  <si>
    <t>2112078-0-C</t>
  </si>
  <si>
    <t>2112335-0-C</t>
  </si>
  <si>
    <t>2112088-0-C</t>
  </si>
  <si>
    <t>2112012-0-C</t>
  </si>
  <si>
    <t>2112255-0-C</t>
  </si>
  <si>
    <t>2112014-0-C</t>
  </si>
  <si>
    <t>Jul29-02</t>
  </si>
  <si>
    <t>0103499900</t>
  </si>
  <si>
    <t>HF26617B1</t>
  </si>
  <si>
    <t>0103499906</t>
  </si>
  <si>
    <t>HF26617B7</t>
  </si>
  <si>
    <t>0103526899</t>
  </si>
  <si>
    <t>HF26702G9</t>
  </si>
  <si>
    <t>0103526895</t>
  </si>
  <si>
    <t>HF26702G5</t>
  </si>
  <si>
    <t>0103526893</t>
  </si>
  <si>
    <t>HF26702G3</t>
  </si>
  <si>
    <t>0103118890</t>
  </si>
  <si>
    <t>HF25C06E9</t>
  </si>
  <si>
    <t>0103479012</t>
  </si>
  <si>
    <t>HF26608G1</t>
  </si>
  <si>
    <t>0103503948</t>
  </si>
  <si>
    <t>JF26618B8</t>
  </si>
  <si>
    <t>0103527217</t>
  </si>
  <si>
    <t>JF26702A2</t>
  </si>
  <si>
    <t>0103527220</t>
  </si>
  <si>
    <t>JF26702A5</t>
  </si>
  <si>
    <t>0103527221</t>
  </si>
  <si>
    <t>JF26702A6</t>
  </si>
  <si>
    <t>0103527224</t>
  </si>
  <si>
    <t>JF26702A9</t>
  </si>
  <si>
    <t>0103527225</t>
  </si>
  <si>
    <t>JF26702B1</t>
  </si>
  <si>
    <t>0103527223</t>
  </si>
  <si>
    <t>JF26702A8</t>
  </si>
  <si>
    <t>0103456618</t>
  </si>
  <si>
    <t>JF26528C1</t>
  </si>
  <si>
    <t>0103527219</t>
  </si>
  <si>
    <t>JF26702A4</t>
  </si>
  <si>
    <t>0103502482</t>
  </si>
  <si>
    <t>JF26618A8</t>
  </si>
  <si>
    <t>0103502483</t>
  </si>
  <si>
    <t>JF26618A9</t>
  </si>
  <si>
    <t>1911229-E-A</t>
  </si>
  <si>
    <t>HJ70SP372P09020 JP</t>
  </si>
  <si>
    <t>1911254-D-A</t>
  </si>
  <si>
    <t>HJ80CP152P10000 JP</t>
  </si>
  <si>
    <t>1911284-D-A</t>
  </si>
  <si>
    <t>HJ80JL452P10000 JP</t>
  </si>
  <si>
    <t>1911172-D-A</t>
  </si>
  <si>
    <t>HJ70JR352P09020 JP</t>
  </si>
  <si>
    <t>1911294-D-A</t>
  </si>
  <si>
    <t>HJ80JR352P09000 JP</t>
  </si>
  <si>
    <t>1911264-D-A</t>
  </si>
  <si>
    <t>HJ80HS012P10000 JP</t>
  </si>
  <si>
    <t>1911291-D-A</t>
  </si>
  <si>
    <t>HJ80JR350P10000 JP</t>
  </si>
  <si>
    <t>1911220-D-A</t>
  </si>
  <si>
    <t>HJ70SC402P10020 JP</t>
  </si>
  <si>
    <t>1911001-D-A</t>
  </si>
  <si>
    <t>HJ60AL070P10020 JP</t>
  </si>
  <si>
    <t>1911293-D-A</t>
  </si>
  <si>
    <t>HJ80JR352P10000 JP</t>
  </si>
  <si>
    <t>1911111-D-A</t>
  </si>
  <si>
    <t>HJ70AL102P09020 JP</t>
  </si>
  <si>
    <t>1911208-D-A</t>
  </si>
  <si>
    <t>HJ70AL102P09022 JP</t>
  </si>
  <si>
    <t>1911146-D-A</t>
  </si>
  <si>
    <t>HJ70IM002P10020 JP</t>
  </si>
  <si>
    <t>1911248-D-A</t>
  </si>
  <si>
    <t>HJ80AL152P10000 JP</t>
  </si>
  <si>
    <t>1911031-D-A</t>
  </si>
  <si>
    <t>HJ60IL350P10000 JP</t>
  </si>
  <si>
    <t>2112256-0-C</t>
  </si>
  <si>
    <t>2112286-0-C</t>
  </si>
  <si>
    <t>2112174-0-C</t>
  </si>
  <si>
    <t>2112296-0-C</t>
  </si>
  <si>
    <t>2112266-0-C</t>
  </si>
  <si>
    <t>2112293-0-C</t>
  </si>
  <si>
    <t>2112222-0-C</t>
  </si>
  <si>
    <t>2112295-0-C</t>
  </si>
  <si>
    <t>2112113-0-C</t>
  </si>
  <si>
    <t>2112210-0-C</t>
  </si>
  <si>
    <t>2112148-0-C</t>
  </si>
  <si>
    <t>2112250-0-C</t>
  </si>
  <si>
    <t>2112033-0-C</t>
  </si>
  <si>
    <t>2112231-0-C</t>
  </si>
  <si>
    <t>0103529907</t>
  </si>
  <si>
    <t>HF26703C1</t>
  </si>
  <si>
    <t>0103529898</t>
  </si>
  <si>
    <t>HF26703B1</t>
  </si>
  <si>
    <t>0103529930</t>
  </si>
  <si>
    <t>HF26703E6</t>
  </si>
  <si>
    <t>0103529931</t>
  </si>
  <si>
    <t>HF26703E7</t>
  </si>
  <si>
    <t>0103529903</t>
  </si>
  <si>
    <t>HF26703B6</t>
  </si>
  <si>
    <t>CA-H2606-PD-223</t>
  </si>
  <si>
    <t>1001910722</t>
  </si>
  <si>
    <t>0103542125</t>
  </si>
  <si>
    <t>260709K25A</t>
  </si>
  <si>
    <t>CA-H2606-PD-222</t>
  </si>
  <si>
    <t>1001910723</t>
  </si>
  <si>
    <t>0103542126</t>
  </si>
  <si>
    <t>260709K26A</t>
  </si>
  <si>
    <t>1001910724</t>
  </si>
  <si>
    <t>0103542127</t>
  </si>
  <si>
    <t>260709K27A</t>
  </si>
  <si>
    <t>Jul30-01</t>
  </si>
  <si>
    <t>Jul30-02</t>
  </si>
  <si>
    <t>Jul30-03</t>
  </si>
  <si>
    <t>0103502484</t>
  </si>
  <si>
    <t>JF26618B1</t>
  </si>
  <si>
    <t>0103502485</t>
  </si>
  <si>
    <t>JF26618B2</t>
  </si>
  <si>
    <t>0103513959</t>
  </si>
  <si>
    <t>JF26624A2</t>
  </si>
  <si>
    <t>0103513960</t>
  </si>
  <si>
    <t>JF26624A3</t>
  </si>
  <si>
    <t>0103513962</t>
  </si>
  <si>
    <t>JF26624A4</t>
  </si>
  <si>
    <t>0103513963</t>
  </si>
  <si>
    <t>JF26624A5</t>
  </si>
  <si>
    <t>0103513965</t>
  </si>
  <si>
    <t>JF26624A6</t>
  </si>
  <si>
    <t>0103513966</t>
  </si>
  <si>
    <t>JF26624A7</t>
  </si>
  <si>
    <t>Z376-1001-0-A</t>
  </si>
  <si>
    <t>Z376-1001-0-A_MS3552H26-PIG110J</t>
  </si>
  <si>
    <t>Z376-1002-0-A</t>
  </si>
  <si>
    <t>Z376-1002-0-A_MS3552H26-PIG110J</t>
  </si>
  <si>
    <t>Z376-1003-0-A</t>
  </si>
  <si>
    <t>Z376-1003-0-A_MS3552H26-PIG110J</t>
  </si>
  <si>
    <t>0103542343</t>
  </si>
  <si>
    <t>260706X01A</t>
  </si>
  <si>
    <t>0103542344</t>
  </si>
  <si>
    <t>260706X02A</t>
  </si>
  <si>
    <t>0103542345</t>
  </si>
  <si>
    <t>260706X03A</t>
  </si>
  <si>
    <t>Z376-2001-0-C</t>
  </si>
  <si>
    <t>Z376-2002-0-C</t>
  </si>
  <si>
    <t>Z376-2003-0-C</t>
  </si>
  <si>
    <t>Liên PE</t>
  </si>
  <si>
    <t>Bio</t>
  </si>
  <si>
    <t xml:space="preserve">0103527220 </t>
  </si>
  <si>
    <t xml:space="preserve"> JF26702A5 </t>
  </si>
  <si>
    <t>0103343196</t>
  </si>
  <si>
    <t>JF26401B3</t>
  </si>
  <si>
    <t>TER-PE-260447-01</t>
  </si>
  <si>
    <t>TER-PE-260447-02</t>
  </si>
  <si>
    <t>TER-PE-260447-03</t>
  </si>
  <si>
    <t>CA-H2607-PD-018</t>
  </si>
  <si>
    <t>1001913378</t>
  </si>
  <si>
    <t>0103547088</t>
  </si>
  <si>
    <t>CA-H2607-PD-016</t>
  </si>
  <si>
    <t>1001913379</t>
  </si>
  <si>
    <t>0103547089</t>
  </si>
  <si>
    <t>CA-H2607-PD-014</t>
  </si>
  <si>
    <t>1001913380</t>
  </si>
  <si>
    <t>0103547090</t>
  </si>
  <si>
    <t>CA-H2607-PD-017</t>
  </si>
  <si>
    <t>1001913381</t>
  </si>
  <si>
    <t>0103547091</t>
  </si>
  <si>
    <t>CA-H2606-PD-226</t>
  </si>
  <si>
    <t>1001913382</t>
  </si>
  <si>
    <t>0103547092</t>
  </si>
  <si>
    <t>CA-H2607-PD-005</t>
  </si>
  <si>
    <t>1001913383</t>
  </si>
  <si>
    <t>0103547093</t>
  </si>
  <si>
    <t>CA-H2607-PD-008</t>
  </si>
  <si>
    <t>1001913384</t>
  </si>
  <si>
    <t>0103547094</t>
  </si>
  <si>
    <t>CA-H2607-PD-011</t>
  </si>
  <si>
    <t>1001913385</t>
  </si>
  <si>
    <t>0103547095</t>
  </si>
  <si>
    <t>CA-H2607-PD-010</t>
  </si>
  <si>
    <t>1001913386</t>
  </si>
  <si>
    <t>0103547096</t>
  </si>
  <si>
    <t>1911335-D-A</t>
  </si>
  <si>
    <t>HJ80AL200P10002 JP</t>
  </si>
  <si>
    <t>1911119-D-A</t>
  </si>
  <si>
    <t>HJ70AL152P10021 JP</t>
  </si>
  <si>
    <t>1911055-D-A</t>
  </si>
  <si>
    <t>HJ60JL500P10001 JP</t>
  </si>
  <si>
    <t>1911178-D-A</t>
  </si>
  <si>
    <t>HJ70JR452P10020 JP</t>
  </si>
  <si>
    <t>1911126-D-A</t>
  </si>
  <si>
    <t>HJ70CP202P10020 JP</t>
  </si>
  <si>
    <t>1911339-D-A</t>
  </si>
  <si>
    <t>HJ80SC350P10000 JP</t>
  </si>
  <si>
    <t>1911276-D-A</t>
  </si>
  <si>
    <t>HJ80JL400P10000 JP</t>
  </si>
  <si>
    <t>1911337-D-A</t>
  </si>
  <si>
    <t>HJ80AL202P10002 JP</t>
  </si>
  <si>
    <t>1911194-D-A</t>
  </si>
  <si>
    <t>HJ70RB072P10020 JP</t>
  </si>
  <si>
    <t>1911196-D-A</t>
  </si>
  <si>
    <t>HJ70RB102P10020 JP</t>
  </si>
  <si>
    <t>1911060-D-A</t>
  </si>
  <si>
    <t>HJ60JR400P09020 JP</t>
  </si>
  <si>
    <t>1911279-D-A</t>
  </si>
  <si>
    <t>HJ80JL402P09000 JP</t>
  </si>
  <si>
    <t>1911211-D-A</t>
  </si>
  <si>
    <t>HJ70AL152P10022 JP</t>
  </si>
  <si>
    <t>1911053-D-A</t>
  </si>
  <si>
    <t>HJ60JL500P10000 JP</t>
  </si>
  <si>
    <t>1911281-D-A</t>
  </si>
  <si>
    <t>HJ80JL402P10001 JP</t>
  </si>
  <si>
    <t>1911113-D-A</t>
  </si>
  <si>
    <t>HJ70AL102P10021 JP</t>
  </si>
  <si>
    <t>1911271-D-A</t>
  </si>
  <si>
    <t>HJ80JL352P10000 JP</t>
  </si>
  <si>
    <t>1911305-E-A</t>
  </si>
  <si>
    <t>HJ80PB302P10000 JP</t>
  </si>
  <si>
    <t>1911348-E-A</t>
  </si>
  <si>
    <t>HJ80SP352P09000 JP</t>
  </si>
  <si>
    <t>1911344-E-A</t>
  </si>
  <si>
    <t>HJ80SP302P10000 JP</t>
  </si>
  <si>
    <t>2112337-0-C</t>
  </si>
  <si>
    <t>2112121-0-C</t>
  </si>
  <si>
    <t>2112057-0-C</t>
  </si>
  <si>
    <t>2112180-0-C</t>
  </si>
  <si>
    <t>2112128-0-C</t>
  </si>
  <si>
    <t>2112341-0-C</t>
  </si>
  <si>
    <t>2112278-0-C</t>
  </si>
  <si>
    <t>2112339-0-C</t>
  </si>
  <si>
    <t>2112196-0-C</t>
  </si>
  <si>
    <t>2112198-0-C</t>
  </si>
  <si>
    <t>2112281-0-C</t>
  </si>
  <si>
    <t>2112213-0-C</t>
  </si>
  <si>
    <t>2112055-0-C</t>
  </si>
  <si>
    <t>2112037-0-C</t>
  </si>
  <si>
    <t>2112283-0-C</t>
  </si>
  <si>
    <t>2112115-0-C</t>
  </si>
  <si>
    <t>2112273-0-C</t>
  </si>
  <si>
    <t>2112307-0-C</t>
  </si>
  <si>
    <t>2112350-0-C</t>
  </si>
  <si>
    <t>2112346-0-C</t>
  </si>
  <si>
    <t>1911353-E-A</t>
  </si>
  <si>
    <t>HJ80SP402P10000 JP</t>
  </si>
  <si>
    <t>1001913433</t>
  </si>
  <si>
    <t>0103547143</t>
  </si>
  <si>
    <t>260713C56A</t>
  </si>
  <si>
    <t>2112355-0-C</t>
  </si>
  <si>
    <t>Jul30-04</t>
  </si>
  <si>
    <t>Jul30-05</t>
  </si>
  <si>
    <t>Jul30-06</t>
  </si>
  <si>
    <t>Jul30-07</t>
  </si>
  <si>
    <t>Jul30-08</t>
  </si>
  <si>
    <t>Jul30-09</t>
  </si>
  <si>
    <t>Jul30-10</t>
  </si>
  <si>
    <t>Jul30-11</t>
  </si>
  <si>
    <t>Jul30-12</t>
  </si>
  <si>
    <t>Jul31-01</t>
  </si>
  <si>
    <t>260713C01A</t>
  </si>
  <si>
    <t>260713C02A</t>
  </si>
  <si>
    <t>260713C03A</t>
  </si>
  <si>
    <t>260713C04A</t>
  </si>
  <si>
    <t>260713C05A</t>
  </si>
  <si>
    <t>260713C06A</t>
  </si>
  <si>
    <t>260713C07A</t>
  </si>
  <si>
    <t>260713C08A</t>
  </si>
  <si>
    <t>260713C09A</t>
  </si>
  <si>
    <t>0103529927</t>
  </si>
  <si>
    <t>HF26703E3</t>
  </si>
  <si>
    <t>0103529901</t>
  </si>
  <si>
    <t>HF26703B4</t>
  </si>
  <si>
    <t>0103499955</t>
  </si>
  <si>
    <t>HF26617H1</t>
  </si>
  <si>
    <t>0103512381</t>
  </si>
  <si>
    <t>HF26623B3</t>
  </si>
  <si>
    <t>0103432261</t>
  </si>
  <si>
    <t>HF26519E4</t>
  </si>
  <si>
    <t>0103443304</t>
  </si>
  <si>
    <t>HF26522A1</t>
  </si>
  <si>
    <t>0103443305</t>
  </si>
  <si>
    <t>HF26522A2</t>
  </si>
  <si>
    <t>0103529920</t>
  </si>
  <si>
    <t>HF26703D5</t>
  </si>
  <si>
    <t>0103458477</t>
  </si>
  <si>
    <t>HF26529H2</t>
  </si>
  <si>
    <t>0103466069</t>
  </si>
  <si>
    <t>HF26602H3</t>
  </si>
  <si>
    <t>0103475069</t>
  </si>
  <si>
    <t>HF26605C4</t>
  </si>
  <si>
    <t>0103458434</t>
  </si>
  <si>
    <t>HF26529C7</t>
  </si>
  <si>
    <t>0103458435</t>
  </si>
  <si>
    <t>HF26529C8</t>
  </si>
  <si>
    <t>0103458471</t>
  </si>
  <si>
    <t>HF26529G6</t>
  </si>
  <si>
    <t>0103443306</t>
  </si>
  <si>
    <t>HF26522A3</t>
  </si>
  <si>
    <t>0103443307</t>
  </si>
  <si>
    <t>HF26522A4</t>
  </si>
  <si>
    <t>0103443321</t>
  </si>
  <si>
    <t>HF26522B8</t>
  </si>
  <si>
    <t>0103532698</t>
  </si>
  <si>
    <t>HF26704G9</t>
  </si>
  <si>
    <t>260616C17B</t>
  </si>
  <si>
    <t>1001914294</t>
  </si>
  <si>
    <t>0103548549</t>
  </si>
  <si>
    <t>Jul31-02</t>
  </si>
  <si>
    <t>2112244-0-C-CN</t>
  </si>
  <si>
    <t>2211671-D-A</t>
  </si>
  <si>
    <t>HW80AL102P10000 CN</t>
  </si>
  <si>
    <t>2000127122</t>
  </si>
  <si>
    <t>2000127121</t>
  </si>
  <si>
    <t>0103548965</t>
  </si>
  <si>
    <t>0103548970</t>
  </si>
  <si>
    <t>260713Y01A</t>
  </si>
  <si>
    <t>260713Y01D</t>
  </si>
  <si>
    <t>1911003-D-A</t>
  </si>
  <si>
    <t>HJ60AL070P10021 JP</t>
  </si>
  <si>
    <t>1911063-D-A</t>
  </si>
  <si>
    <t>HJ60JR450P10020 JP</t>
  </si>
  <si>
    <t>1911073-D-A</t>
  </si>
  <si>
    <t>HJ60RB070P10020 JP</t>
  </si>
  <si>
    <t>1911165-D-A</t>
  </si>
  <si>
    <t>HJ70JL500P10000 JP</t>
  </si>
  <si>
    <t>1911018-D-A</t>
  </si>
  <si>
    <t>HJ60CP150P10020 JP</t>
  </si>
  <si>
    <t>1911046-D-A</t>
  </si>
  <si>
    <t>HJ60JL402P09020 JP</t>
  </si>
  <si>
    <t>1911085-D-A</t>
  </si>
  <si>
    <t>HJ60AL150P10022 JP</t>
  </si>
  <si>
    <t>1911089-D-A</t>
  </si>
  <si>
    <t>HJ60SC350P10000 JP</t>
  </si>
  <si>
    <t>1911015-D-A</t>
  </si>
  <si>
    <t>HJ60AL200P10020 JP</t>
  </si>
  <si>
    <t>1911033-D-A</t>
  </si>
  <si>
    <t>HJ60IL400P10000 JP</t>
  </si>
  <si>
    <t>1911306-E-A</t>
  </si>
  <si>
    <t>HJ80PB302P09000 JP</t>
  </si>
  <si>
    <t>1911343-E-A</t>
  </si>
  <si>
    <t>HJ80SP300P10000 JP</t>
  </si>
  <si>
    <t>1001916295</t>
  </si>
  <si>
    <t>0103552270</t>
  </si>
  <si>
    <t>260715C44A</t>
  </si>
  <si>
    <t>1911177-D-A</t>
  </si>
  <si>
    <t>HJ70JR450P10020 JP</t>
  </si>
  <si>
    <t>1911206-D-A</t>
  </si>
  <si>
    <t>HJ70AL100P09022 JP</t>
  </si>
  <si>
    <t>1911161-D-A</t>
  </si>
  <si>
    <t>HJ70JL450P10000 JP</t>
  </si>
  <si>
    <t>2112005-0-C</t>
  </si>
  <si>
    <t>2112065-0-C</t>
  </si>
  <si>
    <t>2112075-0-C</t>
  </si>
  <si>
    <t>2112167-0-C</t>
  </si>
  <si>
    <t>2112020-0-C</t>
  </si>
  <si>
    <t>2112048-0-C</t>
  </si>
  <si>
    <t>2112087-0-C</t>
  </si>
  <si>
    <t>2112029-0-C</t>
  </si>
  <si>
    <t>2112091-0-C</t>
  </si>
  <si>
    <t>2112035-0-C</t>
  </si>
  <si>
    <t>2112308-0-C</t>
  </si>
  <si>
    <t>2112345-0-C</t>
  </si>
  <si>
    <t>2112179-0-C</t>
  </si>
  <si>
    <t>2112208-0-C</t>
  </si>
  <si>
    <t>2112163-0-C</t>
  </si>
  <si>
    <t>1911148-D-A</t>
  </si>
  <si>
    <t>HJ70JL350P09000 JP</t>
  </si>
  <si>
    <t>1911195-D-A</t>
  </si>
  <si>
    <t>HJ70RB100P10020 JP</t>
  </si>
  <si>
    <t>1911123-D-A</t>
  </si>
  <si>
    <t>HJ70CP150P10020 JP</t>
  </si>
  <si>
    <t>1911120-D-A</t>
  </si>
  <si>
    <t>HJ70AL200P10020 JP</t>
  </si>
  <si>
    <t>1911219-D-A</t>
  </si>
  <si>
    <t>HJ70SC400P10000 JP</t>
  </si>
  <si>
    <t>1911114-D-A</t>
  </si>
  <si>
    <t>HJ70AL150P10020 JP</t>
  </si>
  <si>
    <t>1001916320</t>
  </si>
  <si>
    <t>0103552300</t>
  </si>
  <si>
    <t>260715C69A</t>
  </si>
  <si>
    <t>1001916321</t>
  </si>
  <si>
    <t>0103552301</t>
  </si>
  <si>
    <t>260715C70A</t>
  </si>
  <si>
    <t>2112150-0-C</t>
  </si>
  <si>
    <t>2112197-0-C</t>
  </si>
  <si>
    <t>2112125-0-C</t>
  </si>
  <si>
    <t>2112122-0-C</t>
  </si>
  <si>
    <t>2112221-0-C</t>
  </si>
  <si>
    <t>2112116-0-C</t>
  </si>
  <si>
    <t>CA-H2606-PD-225</t>
  </si>
  <si>
    <t>1001916337</t>
  </si>
  <si>
    <t>0103552318</t>
  </si>
  <si>
    <t>260715K15A</t>
  </si>
  <si>
    <t>CA-H2607-PD-001</t>
  </si>
  <si>
    <t>1001916338</t>
  </si>
  <si>
    <t>0103552319</t>
  </si>
  <si>
    <t>260715K16A</t>
  </si>
  <si>
    <t>Aug03-01</t>
  </si>
  <si>
    <t>Aug04-01</t>
  </si>
  <si>
    <t>Aug04-02</t>
  </si>
  <si>
    <t>Aug04-03</t>
  </si>
  <si>
    <t>Aug04-04</t>
  </si>
  <si>
    <t>0103549106</t>
  </si>
  <si>
    <t>HF26713J2</t>
  </si>
  <si>
    <t>QC-26</t>
  </si>
  <si>
    <t>0103104105</t>
  </si>
  <si>
    <t>HF25B28F9</t>
  </si>
  <si>
    <t>0103104092</t>
  </si>
  <si>
    <t>HF25B28E5</t>
  </si>
  <si>
    <t>0103370001</t>
  </si>
  <si>
    <t>HF26418F7</t>
  </si>
  <si>
    <t>0103381962</t>
  </si>
  <si>
    <t>HF26424B2</t>
  </si>
  <si>
    <t>0103381964</t>
  </si>
  <si>
    <t>HF26424B3</t>
  </si>
  <si>
    <t>0103382006</t>
  </si>
  <si>
    <t>HF26424E5</t>
  </si>
  <si>
    <t>0103382018</t>
  </si>
  <si>
    <t>HF26424F8</t>
  </si>
  <si>
    <t>0103415912</t>
  </si>
  <si>
    <t>HF26511C6</t>
  </si>
  <si>
    <t>0103454411</t>
  </si>
  <si>
    <t>JF26528A9</t>
  </si>
  <si>
    <t>0103497224</t>
  </si>
  <si>
    <t>JF26616B4</t>
  </si>
  <si>
    <t>0103451907</t>
  </si>
  <si>
    <t>JF26527B2</t>
  </si>
  <si>
    <t>0103497211</t>
  </si>
  <si>
    <t>JF26616A1</t>
  </si>
  <si>
    <t>0103497212</t>
  </si>
  <si>
    <t>JF26616A2</t>
  </si>
  <si>
    <t>0103497213</t>
  </si>
  <si>
    <t>JF26616A3</t>
  </si>
  <si>
    <t>0103497214</t>
  </si>
  <si>
    <t>JF26616A4</t>
  </si>
  <si>
    <t>0103497215</t>
  </si>
  <si>
    <t>JF26616A5</t>
  </si>
  <si>
    <t>0103497216</t>
  </si>
  <si>
    <t>JF26616A6</t>
  </si>
  <si>
    <t>0103478978</t>
  </si>
  <si>
    <t>HF26608C3</t>
  </si>
  <si>
    <t>0103499901</t>
  </si>
  <si>
    <t>HF26617B2</t>
  </si>
  <si>
    <t>0103499902</t>
  </si>
  <si>
    <t>HF26617B3</t>
  </si>
  <si>
    <t>0103443322</t>
  </si>
  <si>
    <t>HF26522B9</t>
  </si>
  <si>
    <t>0103443323</t>
  </si>
  <si>
    <t>HF26522C1</t>
  </si>
  <si>
    <t>0103443324</t>
  </si>
  <si>
    <t>HF26522C2</t>
  </si>
  <si>
    <t>0103463230</t>
  </si>
  <si>
    <t>HF26601H3</t>
  </si>
  <si>
    <t>0103463231</t>
  </si>
  <si>
    <t>HF26601H4</t>
  </si>
  <si>
    <t>2009009 Veloute</t>
  </si>
  <si>
    <t>2000127274</t>
  </si>
  <si>
    <t xml:space="preserve"> 2000127275</t>
  </si>
  <si>
    <t>0103553325</t>
  </si>
  <si>
    <t>0103553326</t>
  </si>
  <si>
    <t>2041190-D-A_CSR150-26P_CN</t>
  </si>
  <si>
    <t>141050-D-A_CRV150-19P_CN</t>
  </si>
  <si>
    <t>22.May.26</t>
  </si>
  <si>
    <t>0103552657</t>
  </si>
  <si>
    <t>V260714X01</t>
  </si>
  <si>
    <t>0103552659</t>
  </si>
  <si>
    <t>V260714X02</t>
  </si>
  <si>
    <t>TER-PE-260478-01</t>
  </si>
  <si>
    <t>TER-PE-260478-02</t>
  </si>
  <si>
    <t>Hiên trang</t>
  </si>
  <si>
    <t>21UP001-0 YUPO SHEET</t>
  </si>
  <si>
    <t>CA-H2607-PD-004</t>
  </si>
  <si>
    <t>1001919159</t>
  </si>
  <si>
    <t>0103558153</t>
  </si>
  <si>
    <t>1001919160</t>
  </si>
  <si>
    <t>0103558154</t>
  </si>
  <si>
    <t>260716K09A</t>
  </si>
  <si>
    <t>260716K10A</t>
  </si>
  <si>
    <t>1001919161</t>
  </si>
  <si>
    <t>0103558155</t>
  </si>
  <si>
    <t>260716C01A</t>
  </si>
  <si>
    <t>1911233-E-A</t>
  </si>
  <si>
    <t>HJ70SP452P10020 JP</t>
  </si>
  <si>
    <t>1911189-E-A</t>
  </si>
  <si>
    <t>HJ70PB400P10000 JP</t>
  </si>
  <si>
    <t>1911051-D-A</t>
  </si>
  <si>
    <t>HJ60JL450P10001 JP</t>
  </si>
  <si>
    <t>1001919195</t>
  </si>
  <si>
    <t>0103558188</t>
  </si>
  <si>
    <t>260716C33A</t>
  </si>
  <si>
    <t>1001919196</t>
  </si>
  <si>
    <t>0103558189</t>
  </si>
  <si>
    <t>260716C34A</t>
  </si>
  <si>
    <t>2112235-0-C</t>
  </si>
  <si>
    <t>2112191-0-C</t>
  </si>
  <si>
    <t>2112053-0-C</t>
  </si>
  <si>
    <t>Aug07-01</t>
  </si>
  <si>
    <t>Aug07-02</t>
  </si>
  <si>
    <t>Aug05-01</t>
  </si>
  <si>
    <t>Aug06-01</t>
  </si>
  <si>
    <t>Aug06-02</t>
  </si>
  <si>
    <t>0103466056</t>
  </si>
  <si>
    <t>HF26602F8</t>
  </si>
  <si>
    <t>0103466061</t>
  </si>
  <si>
    <t>HF26602G4</t>
  </si>
  <si>
    <t>0103475070</t>
  </si>
  <si>
    <t>HF26605C5</t>
  </si>
  <si>
    <t>0103475103</t>
  </si>
  <si>
    <t>HF26605F3</t>
  </si>
  <si>
    <t>0103475104</t>
  </si>
  <si>
    <t>HF26605F4</t>
  </si>
  <si>
    <t>0103475105</t>
  </si>
  <si>
    <t>HF26605F5</t>
  </si>
  <si>
    <t>0103478961</t>
  </si>
  <si>
    <t>HF26608A4</t>
  </si>
  <si>
    <t>0103540217</t>
  </si>
  <si>
    <t>HF26708F5</t>
  </si>
  <si>
    <t>0103415917</t>
  </si>
  <si>
    <t>HF26511D2</t>
  </si>
  <si>
    <t>0103415918</t>
  </si>
  <si>
    <t>HF26511D3</t>
  </si>
  <si>
    <t>0103443360</t>
  </si>
  <si>
    <t>HF26522F9</t>
  </si>
  <si>
    <t>0103443361</t>
  </si>
  <si>
    <t>HF26522G1</t>
  </si>
  <si>
    <t>0103443362</t>
  </si>
  <si>
    <t>HF26522G2</t>
  </si>
  <si>
    <t>0103458436</t>
  </si>
  <si>
    <t>HF26529C9</t>
  </si>
  <si>
    <t>0103550826</t>
  </si>
  <si>
    <t>JF26713B7</t>
  </si>
  <si>
    <t>0103476725</t>
  </si>
  <si>
    <t>JF26606A4</t>
  </si>
  <si>
    <t>0103532251</t>
  </si>
  <si>
    <t>JF26703A1</t>
  </si>
  <si>
    <t>0103513967</t>
  </si>
  <si>
    <t>JF26624A8</t>
  </si>
  <si>
    <t>0103513968</t>
  </si>
  <si>
    <t>JF26624A9</t>
  </si>
  <si>
    <t>0103513969</t>
  </si>
  <si>
    <t>JF26624B1</t>
  </si>
  <si>
    <t>0103513970</t>
  </si>
  <si>
    <t>JF26624B2</t>
  </si>
  <si>
    <t>0103513971</t>
  </si>
  <si>
    <t>JF26624B3</t>
  </si>
  <si>
    <t>2041304-C-A_MST150-27HFR_CN</t>
  </si>
  <si>
    <t>PR2145021-0-A_2009051_Masters HF CN</t>
  </si>
  <si>
    <t>0103558748</t>
  </si>
  <si>
    <t>V260716X01</t>
  </si>
  <si>
    <t>0103558757</t>
  </si>
  <si>
    <t>V260716X02</t>
  </si>
  <si>
    <t>23.Jul.26</t>
  </si>
  <si>
    <t>TER-PE-260519_1</t>
  </si>
  <si>
    <t>TER-PE-260519_2</t>
  </si>
  <si>
    <t>Quỳnh</t>
  </si>
  <si>
    <t>2611008-001-A</t>
  </si>
  <si>
    <t>2611008-001_CROSSRIDGE 6Fr STRAIGHT100cm</t>
  </si>
  <si>
    <t>2511508-001-A</t>
  </si>
  <si>
    <t>2511508-001_CROSSRIDGE 6Fr 60cm_Kit</t>
  </si>
  <si>
    <t>TER-PE-260506-1</t>
  </si>
  <si>
    <t>TER-PE-260506-2</t>
  </si>
  <si>
    <t>TER-PE-260506-3</t>
  </si>
  <si>
    <t>TER-PE-260506-4</t>
  </si>
  <si>
    <t>TER-PE-260506-5</t>
  </si>
  <si>
    <t>TER-PE-260506-6</t>
  </si>
  <si>
    <t>TER-PE-260506-7</t>
  </si>
  <si>
    <t>TER-PE-260506-8</t>
  </si>
  <si>
    <t>TER-PE-260506-9</t>
  </si>
  <si>
    <t>TER-PE-260339-16</t>
  </si>
  <si>
    <t>TER-PE-260339-17</t>
  </si>
  <si>
    <t>TER-PE-260339-18</t>
  </si>
  <si>
    <t>TER-PE-260339-19</t>
  </si>
  <si>
    <t>TER-PE-260339-20</t>
  </si>
  <si>
    <t>TER-PE-260339-21</t>
  </si>
  <si>
    <t>31.Jul.26</t>
  </si>
  <si>
    <t>2512222-001-C</t>
  </si>
  <si>
    <t>2512036-001-C</t>
  </si>
  <si>
    <t>2512040-001-C</t>
  </si>
  <si>
    <t>2512221-001-C</t>
  </si>
  <si>
    <t>2512035-001-C</t>
  </si>
  <si>
    <t>Huệ</t>
  </si>
  <si>
    <t>0103561425</t>
  </si>
  <si>
    <t>260717X01B</t>
  </si>
  <si>
    <t>260717X02B</t>
  </si>
  <si>
    <t>260717X03B</t>
  </si>
  <si>
    <t>260717X04B</t>
  </si>
  <si>
    <t>260717X05B</t>
  </si>
  <si>
    <t>260717X06B</t>
  </si>
  <si>
    <t>0103561431</t>
  </si>
  <si>
    <t>260717X07B</t>
  </si>
  <si>
    <t>0103561432</t>
  </si>
  <si>
    <t>260717X08B</t>
  </si>
  <si>
    <t>260717X09B</t>
  </si>
  <si>
    <t>260717X10B</t>
  </si>
  <si>
    <t>260717X11B</t>
  </si>
  <si>
    <t>260717X12B</t>
  </si>
  <si>
    <t>260717X13B</t>
  </si>
  <si>
    <t>260717X14B</t>
  </si>
  <si>
    <t>260717X15B</t>
  </si>
  <si>
    <t>1911014-D-A</t>
  </si>
  <si>
    <t>HJ60AL152P10021 JP</t>
  </si>
  <si>
    <t>1001921212</t>
  </si>
  <si>
    <t>0103562310</t>
  </si>
  <si>
    <t>260720C31A</t>
  </si>
  <si>
    <t>1001921213</t>
  </si>
  <si>
    <t>0103562311</t>
  </si>
  <si>
    <t>260720C32A</t>
  </si>
  <si>
    <t>CA-H2607-PD-367</t>
  </si>
  <si>
    <t>1001921214</t>
  </si>
  <si>
    <t>0103562312</t>
  </si>
  <si>
    <t>260720C33A</t>
  </si>
  <si>
    <t>CA-H2607-PD-431</t>
  </si>
  <si>
    <t>1001921216</t>
  </si>
  <si>
    <t>0103562313</t>
  </si>
  <si>
    <t>260720C34A</t>
  </si>
  <si>
    <t>CA-H2607-PD-451</t>
  </si>
  <si>
    <t>1001921217</t>
  </si>
  <si>
    <t>0103562314</t>
  </si>
  <si>
    <t>260720C35A</t>
  </si>
  <si>
    <t>CA-H2607-PD-456</t>
  </si>
  <si>
    <t>1001921218</t>
  </si>
  <si>
    <t>0103562316</t>
  </si>
  <si>
    <t>260720C36A</t>
  </si>
  <si>
    <t>CA-H2607-PD-452</t>
  </si>
  <si>
    <t>1001921219</t>
  </si>
  <si>
    <t>0103562317</t>
  </si>
  <si>
    <t>260720C37A</t>
  </si>
  <si>
    <t>CA-H2607-PD-438</t>
  </si>
  <si>
    <t>1001921220</t>
  </si>
  <si>
    <t>0103562318</t>
  </si>
  <si>
    <t>260720C38A</t>
  </si>
  <si>
    <t>CA-H2607-PD-442</t>
  </si>
  <si>
    <t>1001921221</t>
  </si>
  <si>
    <t>0103562319</t>
  </si>
  <si>
    <t>260720C39A</t>
  </si>
  <si>
    <t>CA-H2607-PD-446</t>
  </si>
  <si>
    <t>1001921222</t>
  </si>
  <si>
    <t>0103562320</t>
  </si>
  <si>
    <t>260720C40A</t>
  </si>
  <si>
    <t>CA-H2607-PD-418</t>
  </si>
  <si>
    <t>1001921223</t>
  </si>
  <si>
    <t>1911127-D-A</t>
  </si>
  <si>
    <t>HJ70CP250P10020 JP</t>
  </si>
  <si>
    <t>0103562322</t>
  </si>
  <si>
    <t>260720C41A</t>
  </si>
  <si>
    <t>CA-H2607-PD-443</t>
  </si>
  <si>
    <t>1001921224</t>
  </si>
  <si>
    <t>0103562324</t>
  </si>
  <si>
    <t>260720C42A</t>
  </si>
  <si>
    <t>CA-H2607-PD-448</t>
  </si>
  <si>
    <t>1001921225</t>
  </si>
  <si>
    <t>0103562325</t>
  </si>
  <si>
    <t>260720C43A</t>
  </si>
  <si>
    <t>CA-H2607-PD-449</t>
  </si>
  <si>
    <t>1001921226</t>
  </si>
  <si>
    <t>0103562326</t>
  </si>
  <si>
    <t>260720C44A</t>
  </si>
  <si>
    <t>CA-H2607-PD-450</t>
  </si>
  <si>
    <t>1001921228</t>
  </si>
  <si>
    <t>0103562328</t>
  </si>
  <si>
    <t>260720C45A</t>
  </si>
  <si>
    <t>CA-H2607-PD-454</t>
  </si>
  <si>
    <t>1001921229</t>
  </si>
  <si>
    <t>0103562329</t>
  </si>
  <si>
    <t>260720C46A</t>
  </si>
  <si>
    <t>CA-H2607-PD-430</t>
  </si>
  <si>
    <t>1001921230</t>
  </si>
  <si>
    <t>0103562330</t>
  </si>
  <si>
    <t>260720C47A</t>
  </si>
  <si>
    <t>CA-H2607-PD-433</t>
  </si>
  <si>
    <t>1001921231</t>
  </si>
  <si>
    <t>0103562331</t>
  </si>
  <si>
    <t>260720C48A</t>
  </si>
  <si>
    <t>CA-H2607-PD-434</t>
  </si>
  <si>
    <t>1001921232</t>
  </si>
  <si>
    <t>0103562333</t>
  </si>
  <si>
    <t>260720C49A</t>
  </si>
  <si>
    <t>CA-H2607-PD-441</t>
  </si>
  <si>
    <t>1001921233</t>
  </si>
  <si>
    <t>0103562334</t>
  </si>
  <si>
    <t>260720C50A</t>
  </si>
  <si>
    <t>CA-H2607-PD-444</t>
  </si>
  <si>
    <t>1001921234</t>
  </si>
  <si>
    <t>0103562335</t>
  </si>
  <si>
    <t>260720C51A</t>
  </si>
  <si>
    <t>CA-H2607-PD-447</t>
  </si>
  <si>
    <t>1001921235</t>
  </si>
  <si>
    <t>0103562336</t>
  </si>
  <si>
    <t>260720C52A</t>
  </si>
  <si>
    <t>1911267-D-A</t>
  </si>
  <si>
    <t>HJ80IM000P10010 JP</t>
  </si>
  <si>
    <t>1001921245</t>
  </si>
  <si>
    <t>0103562349</t>
  </si>
  <si>
    <t>260720C61A</t>
  </si>
  <si>
    <t>1001921246</t>
  </si>
  <si>
    <t>0103562350</t>
  </si>
  <si>
    <t>260720C62A</t>
  </si>
  <si>
    <t>1001921247</t>
  </si>
  <si>
    <t>0103562351</t>
  </si>
  <si>
    <t>260720C63A</t>
  </si>
  <si>
    <t>1001921248</t>
  </si>
  <si>
    <t>0103562352</t>
  </si>
  <si>
    <t>260720C64A</t>
  </si>
  <si>
    <t>2112016-0-C</t>
  </si>
  <si>
    <t>2112129-0-C</t>
  </si>
  <si>
    <t>2112269-0-C</t>
  </si>
  <si>
    <t>Aug01-01</t>
  </si>
  <si>
    <t>Aug01-02</t>
  </si>
  <si>
    <t>Aug01-03</t>
  </si>
  <si>
    <t>Aug01-04</t>
  </si>
  <si>
    <t>Aug01-05</t>
  </si>
  <si>
    <t>Aug01-06</t>
  </si>
  <si>
    <t>Aug01-07</t>
  </si>
  <si>
    <t>Aug01-08</t>
  </si>
  <si>
    <t>Aug01-09</t>
  </si>
  <si>
    <t>Aug01-10</t>
  </si>
  <si>
    <t>Aug01-11</t>
  </si>
  <si>
    <t>Aug01-12</t>
  </si>
  <si>
    <t>Aug01-13</t>
  </si>
  <si>
    <t>Aug01-14</t>
  </si>
  <si>
    <t>Aug01-15</t>
  </si>
  <si>
    <t>Aug01-16</t>
  </si>
  <si>
    <t>Aug01-17</t>
  </si>
  <si>
    <t>Aug01-18</t>
  </si>
  <si>
    <t>Aug01-19</t>
  </si>
  <si>
    <t>Aug01-20</t>
  </si>
  <si>
    <t>Aug07-03</t>
  </si>
  <si>
    <t>Aug07-04</t>
  </si>
  <si>
    <t>Aug13-01</t>
  </si>
  <si>
    <t>Aug13-02</t>
  </si>
  <si>
    <t>Aug13-03</t>
  </si>
  <si>
    <t>Aug13-04</t>
  </si>
  <si>
    <t>1861043-G-A</t>
  </si>
  <si>
    <t>ASAHI hyperion7Fr SPB4.0SH 100cm-CN</t>
  </si>
  <si>
    <t>0103562258</t>
  </si>
  <si>
    <t>V260718X01</t>
  </si>
  <si>
    <t>2112233-0-C-CN</t>
  </si>
  <si>
    <t>TER-PE-260522</t>
  </si>
  <si>
    <t>0103478962</t>
  </si>
  <si>
    <t>HF26608A5</t>
  </si>
  <si>
    <t>0103478963</t>
  </si>
  <si>
    <t>HF26608A6</t>
  </si>
  <si>
    <t>0103478964</t>
  </si>
  <si>
    <t>HF26608A7</t>
  </si>
  <si>
    <t>0103478981</t>
  </si>
  <si>
    <t>HF26608C6</t>
  </si>
  <si>
    <t>0103478982</t>
  </si>
  <si>
    <t>HF26608C7</t>
  </si>
  <si>
    <t>0103478983</t>
  </si>
  <si>
    <t>HF26608C8</t>
  </si>
  <si>
    <t>0103478984</t>
  </si>
  <si>
    <t>HF26608C9</t>
  </si>
  <si>
    <t>0103478992</t>
  </si>
  <si>
    <t>HF26608D8</t>
  </si>
  <si>
    <t>0103548921</t>
  </si>
  <si>
    <t>HF26713H2</t>
  </si>
  <si>
    <t>0103549136</t>
  </si>
  <si>
    <t>HF26713M5</t>
  </si>
  <si>
    <t>0103549141</t>
  </si>
  <si>
    <t>HF26713M9</t>
  </si>
  <si>
    <t>0103549135</t>
  </si>
  <si>
    <t>HF26713M4</t>
  </si>
  <si>
    <t>0103549123</t>
  </si>
  <si>
    <t>HF26713L1</t>
  </si>
  <si>
    <t>0103549138</t>
  </si>
  <si>
    <t>HF26713M7</t>
  </si>
  <si>
    <t>0103549124</t>
  </si>
  <si>
    <t>HF26713L2</t>
  </si>
  <si>
    <t>0103549121</t>
  </si>
  <si>
    <t>HF26713K8</t>
  </si>
  <si>
    <t>0103549129</t>
  </si>
  <si>
    <t>HF26713L7</t>
  </si>
  <si>
    <t>0103549132</t>
  </si>
  <si>
    <t>HF26713M1</t>
  </si>
  <si>
    <t>0103549133</t>
  </si>
  <si>
    <t>HF26713M2</t>
  </si>
  <si>
    <t>0103549134</t>
  </si>
  <si>
    <t>HF26713M3</t>
  </si>
  <si>
    <t>0103549126</t>
  </si>
  <si>
    <t>HF26713L4</t>
  </si>
  <si>
    <t>0103549122</t>
  </si>
  <si>
    <t>HF26713K9</t>
  </si>
  <si>
    <t>0103549117</t>
  </si>
  <si>
    <t>HF26713K4</t>
  </si>
  <si>
    <t>0103549118</t>
  </si>
  <si>
    <t>HF26713K5</t>
  </si>
  <si>
    <t>0103549125</t>
  </si>
  <si>
    <t>HF26713L3</t>
  </si>
  <si>
    <t>0103549130</t>
  </si>
  <si>
    <t>HF26713L8</t>
  </si>
  <si>
    <t>0103549127</t>
  </si>
  <si>
    <t>HF26713L5</t>
  </si>
  <si>
    <t>0103549143</t>
  </si>
  <si>
    <t>HF26713N2</t>
  </si>
  <si>
    <t>0103478991</t>
  </si>
  <si>
    <t>HF26608D7</t>
  </si>
  <si>
    <t>0103479002</t>
  </si>
  <si>
    <t>HF26608E9</t>
  </si>
  <si>
    <t>0103458437</t>
  </si>
  <si>
    <t>HF26529D1</t>
  </si>
  <si>
    <t>0103458438</t>
  </si>
  <si>
    <t>HF26529D2</t>
  </si>
  <si>
    <t>0103458473</t>
  </si>
  <si>
    <t>HF26529G8</t>
  </si>
  <si>
    <t>0103458474</t>
  </si>
  <si>
    <t>HF26529G9</t>
  </si>
  <si>
    <t>0103458476</t>
  </si>
  <si>
    <t>HF26529H1</t>
  </si>
  <si>
    <t>0103463183</t>
  </si>
  <si>
    <t>HF26601D1</t>
  </si>
  <si>
    <t>0103463185</t>
  </si>
  <si>
    <t>HF26601D2</t>
  </si>
  <si>
    <t>0103466057</t>
  </si>
  <si>
    <t>HF26602F9</t>
  </si>
  <si>
    <t>CRV150-19S_MDR</t>
  </si>
  <si>
    <t>0103563243</t>
  </si>
  <si>
    <t>260718X02A</t>
  </si>
  <si>
    <t>TER-PE-260460</t>
  </si>
  <si>
    <t>2000127633</t>
  </si>
  <si>
    <t>2511509-001</t>
  </si>
  <si>
    <t>CROSSRIDGE 6Fr 100cm_Kit</t>
  </si>
  <si>
    <t>0103565388</t>
  </si>
  <si>
    <t>260720Y01A</t>
  </si>
  <si>
    <t>2000127634</t>
  </si>
  <si>
    <t>0103565391</t>
  </si>
  <si>
    <t>260720Y02A</t>
  </si>
  <si>
    <t>2000127635</t>
  </si>
  <si>
    <t>0103565392</t>
  </si>
  <si>
    <t>260720Y03A</t>
  </si>
  <si>
    <t>2000127636</t>
  </si>
  <si>
    <t>0103565394</t>
  </si>
  <si>
    <t>260720Y04A</t>
  </si>
  <si>
    <t>2000127637</t>
  </si>
  <si>
    <t>0103565396</t>
  </si>
  <si>
    <t>260720Y05A</t>
  </si>
  <si>
    <t>2000127638</t>
  </si>
  <si>
    <t>0103565398</t>
  </si>
  <si>
    <t>260720Y06A</t>
  </si>
  <si>
    <t>2000127639</t>
  </si>
  <si>
    <t>0103565400</t>
  </si>
  <si>
    <t>260720Y07A</t>
  </si>
  <si>
    <t>2000127640</t>
  </si>
  <si>
    <t>0103565402</t>
  </si>
  <si>
    <t>260720Y07D</t>
  </si>
  <si>
    <t>Bio-1</t>
  </si>
  <si>
    <t>Bio-2</t>
  </si>
  <si>
    <t>Bio-3</t>
  </si>
  <si>
    <t>Bio-4</t>
  </si>
  <si>
    <t>Bio-5</t>
  </si>
  <si>
    <t>Bio-6</t>
  </si>
  <si>
    <t>Bio-7</t>
  </si>
  <si>
    <t>Bio-8</t>
  </si>
  <si>
    <t>HZ2652009</t>
  </si>
  <si>
    <t>HZ2652005</t>
  </si>
  <si>
    <t>0103327188</t>
  </si>
  <si>
    <t>HX26324E7</t>
  </si>
  <si>
    <t>0103327190</t>
  </si>
  <si>
    <t>HX26324E8</t>
  </si>
  <si>
    <t>CA-H2607-PD-019</t>
  </si>
  <si>
    <t>1001923411</t>
  </si>
  <si>
    <t>0103566724</t>
  </si>
  <si>
    <t>CA-H2607-PD-020</t>
  </si>
  <si>
    <t>1001923412</t>
  </si>
  <si>
    <t>0103566726</t>
  </si>
  <si>
    <t>CA-H2607-PD-021</t>
  </si>
  <si>
    <t>1001923413</t>
  </si>
  <si>
    <t>0103566727</t>
  </si>
  <si>
    <t>CA-H2607-PD-022</t>
  </si>
  <si>
    <t>1001923414</t>
  </si>
  <si>
    <t>1861006-G-A</t>
  </si>
  <si>
    <t>HW70AL100P10002 CN</t>
  </si>
  <si>
    <t>0103566728</t>
  </si>
  <si>
    <t>CA-H2607-PD-023</t>
  </si>
  <si>
    <t>1001923415</t>
  </si>
  <si>
    <t>0103566729</t>
  </si>
  <si>
    <t>CA-H2607-PD-024</t>
  </si>
  <si>
    <t>1001923417</t>
  </si>
  <si>
    <t>0103566730</t>
  </si>
  <si>
    <t>CA-H2607-PD-025</t>
  </si>
  <si>
    <t>1001923418</t>
  </si>
  <si>
    <t>1811977-G-A</t>
  </si>
  <si>
    <t>HW70JR350P10000 CN</t>
  </si>
  <si>
    <t>0103566731</t>
  </si>
  <si>
    <t>CA-H2607-PD-026</t>
  </si>
  <si>
    <t>1001923419</t>
  </si>
  <si>
    <t>0103566732</t>
  </si>
  <si>
    <t>1001923420</t>
  </si>
  <si>
    <t>0103566733</t>
  </si>
  <si>
    <t>1001923421</t>
  </si>
  <si>
    <t>0103566734</t>
  </si>
  <si>
    <t>1001923423</t>
  </si>
  <si>
    <t>0103566736</t>
  </si>
  <si>
    <t>1001923424</t>
  </si>
  <si>
    <t>0103566737</t>
  </si>
  <si>
    <t>1001923425</t>
  </si>
  <si>
    <t>0103566738</t>
  </si>
  <si>
    <t>1001923426</t>
  </si>
  <si>
    <t>0103566739</t>
  </si>
  <si>
    <t>2112207-0-C-CN</t>
  </si>
  <si>
    <t>2112171-0-C-CN</t>
  </si>
  <si>
    <t>Aug14-01</t>
  </si>
  <si>
    <t>Aug14-02</t>
  </si>
  <si>
    <t>Aug14-03</t>
  </si>
  <si>
    <t>Aug14-04</t>
  </si>
  <si>
    <t>Aug14-05</t>
  </si>
  <si>
    <t>Aug14-06</t>
  </si>
  <si>
    <t>Aug14-07</t>
  </si>
  <si>
    <t>Aug14-08</t>
  </si>
  <si>
    <t>Aug14-09</t>
  </si>
  <si>
    <t>Aug14-10</t>
  </si>
  <si>
    <t>Aug14-11</t>
  </si>
  <si>
    <t>Aug15-02</t>
  </si>
  <si>
    <t>Aug15-03</t>
  </si>
  <si>
    <t>Aug15-04</t>
  </si>
  <si>
    <t>0103529921</t>
  </si>
  <si>
    <t>HF26703D6</t>
  </si>
  <si>
    <t>0103529922</t>
  </si>
  <si>
    <t>HF26703D7</t>
  </si>
  <si>
    <t>0103016669</t>
  </si>
  <si>
    <t>HF25A16B2</t>
  </si>
  <si>
    <t>0103529923</t>
  </si>
  <si>
    <t>HF26703D8</t>
  </si>
  <si>
    <t>0103529924</t>
  </si>
  <si>
    <t>HF26703D9</t>
  </si>
  <si>
    <t>0103529925</t>
  </si>
  <si>
    <t>HF26703E1</t>
  </si>
  <si>
    <t>0103529926</t>
  </si>
  <si>
    <t>HF26703E2</t>
  </si>
  <si>
    <t>0103479003</t>
  </si>
  <si>
    <t>HF26608F1</t>
  </si>
  <si>
    <t>0103479015</t>
  </si>
  <si>
    <t>HF26608G4</t>
  </si>
  <si>
    <t>0103479016</t>
  </si>
  <si>
    <t>HF26608G5</t>
  </si>
  <si>
    <t>0103493614</t>
  </si>
  <si>
    <t>HF26615B2</t>
  </si>
  <si>
    <t>0103493616</t>
  </si>
  <si>
    <t>HF26615B3</t>
  </si>
  <si>
    <t>0103493630</t>
  </si>
  <si>
    <t>HF26615C7</t>
  </si>
  <si>
    <t>0103493631</t>
  </si>
  <si>
    <t>HF26615C8</t>
  </si>
  <si>
    <t>0103499892</t>
  </si>
  <si>
    <t>HF26617A3</t>
  </si>
  <si>
    <t>0103499893</t>
  </si>
  <si>
    <t>HF26617A4</t>
  </si>
  <si>
    <t>0103499903</t>
  </si>
  <si>
    <t>HF26617B4</t>
  </si>
  <si>
    <t>0103499904</t>
  </si>
  <si>
    <t>HF26617B5</t>
  </si>
  <si>
    <t>0103499913</t>
  </si>
  <si>
    <t>HF26617C5</t>
  </si>
  <si>
    <t>0103499914</t>
  </si>
  <si>
    <t>HF26617C6</t>
  </si>
  <si>
    <t>0103499915</t>
  </si>
  <si>
    <t>HF26617C7</t>
  </si>
  <si>
    <t>0103499927</t>
  </si>
  <si>
    <t>HF26617D9</t>
  </si>
  <si>
    <t>0103499928</t>
  </si>
  <si>
    <t>HF26617E1</t>
  </si>
  <si>
    <t>0103499929</t>
  </si>
  <si>
    <t>HF26617E2</t>
  </si>
  <si>
    <t>0103499930</t>
  </si>
  <si>
    <t>HF26617E3</t>
  </si>
  <si>
    <t>0103458472</t>
  </si>
  <si>
    <t>HF26529G7</t>
  </si>
  <si>
    <t>0103463181</t>
  </si>
  <si>
    <t>HF26601C8</t>
  </si>
  <si>
    <t>0103463182</t>
  </si>
  <si>
    <t>HF26601C9</t>
  </si>
  <si>
    <t>260721C01A</t>
  </si>
  <si>
    <t>260721C02A</t>
  </si>
  <si>
    <t>260721C03A</t>
  </si>
  <si>
    <t>260721C04A</t>
  </si>
  <si>
    <t>260721C05A</t>
  </si>
  <si>
    <t>260721C06A</t>
  </si>
  <si>
    <t>260721C07A</t>
  </si>
  <si>
    <t>260721C08A</t>
  </si>
  <si>
    <t>260721C09A</t>
  </si>
  <si>
    <t>260721C10A</t>
  </si>
  <si>
    <t>260721C11A</t>
  </si>
  <si>
    <t>260721C12A</t>
  </si>
  <si>
    <t>260721C13A</t>
  </si>
  <si>
    <t>260721C14A</t>
  </si>
  <si>
    <t>CA-H2607-PD-373</t>
  </si>
  <si>
    <t>1001925380</t>
  </si>
  <si>
    <t>2211045-C-A</t>
  </si>
  <si>
    <t>HW60HS010P10000 NOCE</t>
  </si>
  <si>
    <t>0103570637</t>
  </si>
  <si>
    <t>260723C01A</t>
  </si>
  <si>
    <t>CA-H2607-PD-376</t>
  </si>
  <si>
    <t>1001925381</t>
  </si>
  <si>
    <t>0103570638</t>
  </si>
  <si>
    <t>260723C02A</t>
  </si>
  <si>
    <t>CA-H2607-PD-379</t>
  </si>
  <si>
    <t>1001925382</t>
  </si>
  <si>
    <t>0103570640</t>
  </si>
  <si>
    <t>260723C03A</t>
  </si>
  <si>
    <t>1001925383</t>
  </si>
  <si>
    <t>0103570641</t>
  </si>
  <si>
    <t>260723C04A</t>
  </si>
  <si>
    <t>CA-H2607-PD-012</t>
  </si>
  <si>
    <t>1001925384</t>
  </si>
  <si>
    <t>0103570642</t>
  </si>
  <si>
    <t>260723C05A</t>
  </si>
  <si>
    <t>1001925385</t>
  </si>
  <si>
    <t>0103570643</t>
  </si>
  <si>
    <t>260723C06A</t>
  </si>
  <si>
    <t>CA-H2607-PD-009</t>
  </si>
  <si>
    <t>1001925386</t>
  </si>
  <si>
    <t>0103570644</t>
  </si>
  <si>
    <t>260723C07A</t>
  </si>
  <si>
    <t>SP-H2608-PD-013</t>
  </si>
  <si>
    <t>1001925387</t>
  </si>
  <si>
    <t>0103570645</t>
  </si>
  <si>
    <t>260723H01A</t>
  </si>
  <si>
    <t>SP-H2608-PD-014</t>
  </si>
  <si>
    <t>1001925388</t>
  </si>
  <si>
    <t>0103570646</t>
  </si>
  <si>
    <t>260723H02A</t>
  </si>
  <si>
    <t>SP-H2608-PD-015</t>
  </si>
  <si>
    <t>1001925389</t>
  </si>
  <si>
    <t>0103570648</t>
  </si>
  <si>
    <t>260723H03A</t>
  </si>
  <si>
    <t>SP-H2608-PD-016</t>
  </si>
  <si>
    <t>1001925390</t>
  </si>
  <si>
    <t>0103570649</t>
  </si>
  <si>
    <t>260723H04A</t>
  </si>
  <si>
    <t>Aug08-01</t>
  </si>
  <si>
    <t>Aug07-05</t>
  </si>
  <si>
    <t>Aug07-07</t>
  </si>
  <si>
    <t>Aug08-04</t>
  </si>
  <si>
    <t>Aug07-06</t>
  </si>
  <si>
    <t>Aug08-02</t>
  </si>
  <si>
    <t>Aug08-03</t>
  </si>
  <si>
    <t>Aug17-01</t>
  </si>
  <si>
    <t>Aug17-02</t>
  </si>
  <si>
    <t>Aug17-03</t>
  </si>
  <si>
    <t>Aug17-04</t>
  </si>
  <si>
    <t>0103549144</t>
  </si>
  <si>
    <t>HF26713N3</t>
  </si>
  <si>
    <t>0103556348</t>
  </si>
  <si>
    <t>HF26715A9</t>
  </si>
  <si>
    <t>0103556347</t>
  </si>
  <si>
    <t>HF26715A8</t>
  </si>
  <si>
    <t>0103463221</t>
  </si>
  <si>
    <t>HF26601G4</t>
  </si>
  <si>
    <t>0103463222</t>
  </si>
  <si>
    <t>HF26601G5</t>
  </si>
  <si>
    <t>0103466029</t>
  </si>
  <si>
    <t>HF26602C8</t>
  </si>
  <si>
    <t>0103466030</t>
  </si>
  <si>
    <t>HF26602C9</t>
  </si>
  <si>
    <t>0103415905</t>
  </si>
  <si>
    <t>HF26511B9</t>
  </si>
  <si>
    <t>0103415906</t>
  </si>
  <si>
    <t>HF26511C1</t>
  </si>
  <si>
    <t>0103415907</t>
  </si>
  <si>
    <t>HF26511C2</t>
  </si>
  <si>
    <t>0103458441</t>
  </si>
  <si>
    <t>HF26529D5</t>
  </si>
  <si>
    <t>0103458442</t>
  </si>
  <si>
    <t>HF26529D6</t>
  </si>
  <si>
    <t>0103458478</t>
  </si>
  <si>
    <t>HF26529H3</t>
  </si>
  <si>
    <t>0103403189</t>
  </si>
  <si>
    <t>HF26505G8</t>
  </si>
  <si>
    <t>0103415896</t>
  </si>
  <si>
    <t>HF26511A9</t>
  </si>
  <si>
    <t>0103415897</t>
  </si>
  <si>
    <t>HF26511B1</t>
  </si>
  <si>
    <t>0103415898</t>
  </si>
  <si>
    <t>HF26511B2</t>
  </si>
  <si>
    <t>0103523183</t>
  </si>
  <si>
    <t>VF26701A1</t>
  </si>
  <si>
    <t>0103523185</t>
  </si>
  <si>
    <t>VF26701A2</t>
  </si>
  <si>
    <t>0103523186</t>
  </si>
  <si>
    <t>VF26701A3</t>
  </si>
  <si>
    <t>PSC35150S-E-A</t>
  </si>
  <si>
    <t>PSC35150S US</t>
  </si>
  <si>
    <t>2000127842</t>
  </si>
  <si>
    <t>0103569851</t>
  </si>
  <si>
    <t>260722Z01A</t>
  </si>
  <si>
    <t>Tan-01</t>
  </si>
  <si>
    <t>CA-H2607-PD-533</t>
  </si>
  <si>
    <t>260727C01A</t>
  </si>
  <si>
    <t>CA-H2606-PD-239</t>
  </si>
  <si>
    <t>2211221-E-A</t>
  </si>
  <si>
    <t>HW70SP370P10000 NOCE</t>
  </si>
  <si>
    <t>260727C02A</t>
  </si>
  <si>
    <t>CA-H2606-PD-238</t>
  </si>
  <si>
    <t>2211224-D-A</t>
  </si>
  <si>
    <t>HW70SP350P09000 NOCE</t>
  </si>
  <si>
    <t>260727C03A</t>
  </si>
  <si>
    <t>CA-H2606-PD-232</t>
  </si>
  <si>
    <t>260727C04A</t>
  </si>
  <si>
    <t>CA-H2606-PD-233</t>
  </si>
  <si>
    <t>260727C05A</t>
  </si>
  <si>
    <t>CA-H2606-PD-237</t>
  </si>
  <si>
    <t>260727C06A</t>
  </si>
  <si>
    <t>CA-H2606-PD-234</t>
  </si>
  <si>
    <t>260727C07A</t>
  </si>
  <si>
    <t>CA-H2607-PD-044</t>
  </si>
  <si>
    <t>2211222-E-A</t>
  </si>
  <si>
    <t>HW70SP400P10000 NOCE</t>
  </si>
  <si>
    <t>260727C08A</t>
  </si>
  <si>
    <t>CA-H2607-PD-045</t>
  </si>
  <si>
    <t>260727C09A</t>
  </si>
  <si>
    <t>CA-H2607-PD-042</t>
  </si>
  <si>
    <t>260727C10A</t>
  </si>
  <si>
    <t>CA-H2607-PD-041</t>
  </si>
  <si>
    <t>260727C11A</t>
  </si>
  <si>
    <t>CA-H2607-PD-040</t>
  </si>
  <si>
    <t>260727C12A</t>
  </si>
  <si>
    <t>CA-H2607-PD-037</t>
  </si>
  <si>
    <t>260727C13A</t>
  </si>
  <si>
    <t>CA-H2607-PD-036</t>
  </si>
  <si>
    <t>260727C14A</t>
  </si>
  <si>
    <t>CA-H2607-PD-046</t>
  </si>
  <si>
    <t>2211294-C-A</t>
  </si>
  <si>
    <t>HW80AL100P10000 NOCE</t>
  </si>
  <si>
    <t>260727C15A</t>
  </si>
  <si>
    <t>CA-H2607-PD-038</t>
  </si>
  <si>
    <t>2211100-C-A</t>
  </si>
  <si>
    <t>HW60IM000P10000 NOCE</t>
  </si>
  <si>
    <t>260727C16A</t>
  </si>
  <si>
    <t>CA-H2607-PD-043</t>
  </si>
  <si>
    <t>260727C17A</t>
  </si>
  <si>
    <t>CA-H2607-PD-035</t>
  </si>
  <si>
    <t>260727C18A</t>
  </si>
  <si>
    <t>CA-H2607-PD-039</t>
  </si>
  <si>
    <t>260727C19A</t>
  </si>
  <si>
    <t>CA-H2606-PD-229</t>
  </si>
  <si>
    <t>260727C20A</t>
  </si>
  <si>
    <t>CA-H2606-PD-235</t>
  </si>
  <si>
    <t>2211168-C-A</t>
  </si>
  <si>
    <t>HW70AL100P09000 NOCE</t>
  </si>
  <si>
    <t>260727C21A</t>
  </si>
  <si>
    <t>CA-H2606-PD-230</t>
  </si>
  <si>
    <t>260727C22A</t>
  </si>
  <si>
    <t>CA-H2606-PD-236</t>
  </si>
  <si>
    <t>260727C23A</t>
  </si>
  <si>
    <t>CA-H2606-PD-231</t>
  </si>
  <si>
    <t>260727C24A</t>
  </si>
  <si>
    <t>CA-H2607-PD-547</t>
  </si>
  <si>
    <t>260727C25A</t>
  </si>
  <si>
    <t>CA-H2607-PD-501</t>
  </si>
  <si>
    <t>260727C26A</t>
  </si>
  <si>
    <t>CA-H2607-PD-515</t>
  </si>
  <si>
    <t>260727C27A</t>
  </si>
  <si>
    <t>CA-H2607-PD-516</t>
  </si>
  <si>
    <t>260727C28A</t>
  </si>
  <si>
    <t>CA-H2607-PD-505</t>
  </si>
  <si>
    <t>260727C29A</t>
  </si>
  <si>
    <t>CA-H2607-PD-558</t>
  </si>
  <si>
    <t>260727C30A</t>
  </si>
  <si>
    <t>CA-H2607-PD-556</t>
  </si>
  <si>
    <t>260727C31A</t>
  </si>
  <si>
    <t>CA-H2607-PD-499</t>
  </si>
  <si>
    <t>260727C32A</t>
  </si>
  <si>
    <t>CA-H2607-PD-509</t>
  </si>
  <si>
    <t>260727C33A</t>
  </si>
  <si>
    <t>2212065-0-C</t>
  </si>
  <si>
    <t>2112242-0-C</t>
  </si>
  <si>
    <t>2112111-0-C</t>
  </si>
  <si>
    <t>Aug08-05</t>
  </si>
  <si>
    <t>Aug08-06</t>
  </si>
  <si>
    <t>Aug08-07</t>
  </si>
  <si>
    <t>Aug08-08</t>
  </si>
  <si>
    <t>Aug08-09</t>
  </si>
  <si>
    <t>Aug08-10</t>
  </si>
  <si>
    <t>Aug08-11</t>
  </si>
  <si>
    <t>Aug08-12</t>
  </si>
  <si>
    <t>Aug08-13</t>
  </si>
  <si>
    <t>Aug08-14</t>
  </si>
  <si>
    <t>Aug08-15</t>
  </si>
  <si>
    <t>Aug08-16</t>
  </si>
  <si>
    <t>Aug08-17</t>
  </si>
  <si>
    <t>Aug08-18</t>
  </si>
  <si>
    <t>Aug08-19</t>
  </si>
  <si>
    <t>Aug08-20</t>
  </si>
  <si>
    <t>Aug08-21</t>
  </si>
  <si>
    <t>Aug08-22</t>
  </si>
  <si>
    <t>Aug08-23</t>
  </si>
  <si>
    <t>Aug08-24</t>
  </si>
  <si>
    <t>Aug08-25</t>
  </si>
  <si>
    <t>Aug08-26</t>
  </si>
  <si>
    <t>Aug08-27</t>
  </si>
  <si>
    <t>Aug08-28</t>
  </si>
  <si>
    <t>Aug08-29</t>
  </si>
  <si>
    <t>Aug08-30</t>
  </si>
  <si>
    <t>Aug08-31</t>
  </si>
  <si>
    <t>Aug08-32</t>
  </si>
  <si>
    <t>Aug08-33</t>
  </si>
  <si>
    <t>Aug08-34</t>
  </si>
  <si>
    <t>Aug08-35</t>
  </si>
  <si>
    <t>Aug08-36</t>
  </si>
  <si>
    <t>Aug08-37</t>
  </si>
  <si>
    <t>M8-30</t>
  </si>
  <si>
    <t>CA-H2607-PD-489</t>
  </si>
  <si>
    <t>1001928729</t>
  </si>
  <si>
    <t>0103577664</t>
  </si>
  <si>
    <t>260727K01A</t>
  </si>
  <si>
    <t>CA-H2607-PD-491</t>
  </si>
  <si>
    <t>1001928730</t>
  </si>
  <si>
    <t>0103577665</t>
  </si>
  <si>
    <t>260727K02A</t>
  </si>
  <si>
    <t>CA-H2607-PD-490</t>
  </si>
  <si>
    <t>1001928731</t>
  </si>
  <si>
    <t>0103577666</t>
  </si>
  <si>
    <t>260727K03A</t>
  </si>
  <si>
    <t>CA-H2607-PD-605</t>
  </si>
  <si>
    <t>1001928732</t>
  </si>
  <si>
    <t>0103577667</t>
  </si>
  <si>
    <t>260727K04A</t>
  </si>
  <si>
    <t>CA-H2607-PD-604</t>
  </si>
  <si>
    <t>1001928733</t>
  </si>
  <si>
    <t>0103577668</t>
  </si>
  <si>
    <t>260727K05A</t>
  </si>
  <si>
    <t>CA-H2607-PD-606</t>
  </si>
  <si>
    <t>1001928734</t>
  </si>
  <si>
    <t>0103577670</t>
  </si>
  <si>
    <t>260727K06A</t>
  </si>
  <si>
    <t>CA-H2607-PD-600</t>
  </si>
  <si>
    <t>1001928735</t>
  </si>
  <si>
    <t>0103577671</t>
  </si>
  <si>
    <t>260727K07A</t>
  </si>
  <si>
    <t>CA-H2607-PD-603</t>
  </si>
  <si>
    <t>1001928736</t>
  </si>
  <si>
    <t>0103577672</t>
  </si>
  <si>
    <t>260727K08A</t>
  </si>
  <si>
    <t>CA-H2607-PD-599</t>
  </si>
  <si>
    <t>1001928737</t>
  </si>
  <si>
    <t>0103577673</t>
  </si>
  <si>
    <t>260727K09A</t>
  </si>
  <si>
    <t>CA-H2607-PD-597</t>
  </si>
  <si>
    <t>1001928738</t>
  </si>
  <si>
    <t>0103577675</t>
  </si>
  <si>
    <t>260727K10A</t>
  </si>
  <si>
    <t>CA-H2607-PD-595</t>
  </si>
  <si>
    <t>1001928739</t>
  </si>
  <si>
    <t>0103577677</t>
  </si>
  <si>
    <t>260727K11A</t>
  </si>
  <si>
    <t>CA-H2607-PD-594</t>
  </si>
  <si>
    <t>1001928740</t>
  </si>
  <si>
    <t>0103577678</t>
  </si>
  <si>
    <t>260727K12A</t>
  </si>
  <si>
    <t>CA-H2607-PD-590</t>
  </si>
  <si>
    <t>1001928741</t>
  </si>
  <si>
    <t>0103577680</t>
  </si>
  <si>
    <t>260727K13A</t>
  </si>
  <si>
    <t>CA-H2607-PD-591</t>
  </si>
  <si>
    <t>1001928742</t>
  </si>
  <si>
    <t>0103577681</t>
  </si>
  <si>
    <t>260727K14A</t>
  </si>
  <si>
    <t>CA-H2607-PD-593</t>
  </si>
  <si>
    <t>1001928743</t>
  </si>
  <si>
    <t>0103577682</t>
  </si>
  <si>
    <t>260727K15A</t>
  </si>
  <si>
    <t>CA-H2607-PD-592</t>
  </si>
  <si>
    <t>1001928744</t>
  </si>
  <si>
    <t>0103577683</t>
  </si>
  <si>
    <t>260727K16A</t>
  </si>
  <si>
    <t>CA-H2607-PD-492</t>
  </si>
  <si>
    <t>1001928745</t>
  </si>
  <si>
    <t>0103577684</t>
  </si>
  <si>
    <t>260727K17A</t>
  </si>
  <si>
    <t>CA-H2607-PD-494</t>
  </si>
  <si>
    <t>1001928746</t>
  </si>
  <si>
    <t>0103577685</t>
  </si>
  <si>
    <t>260727K18A</t>
  </si>
  <si>
    <t>CA-H2607-PD-481</t>
  </si>
  <si>
    <t>1001928747</t>
  </si>
  <si>
    <t>0103577687</t>
  </si>
  <si>
    <t>260727K19A</t>
  </si>
  <si>
    <t>CA-H2607-PD-470</t>
  </si>
  <si>
    <t>1001928748</t>
  </si>
  <si>
    <t>0103577688</t>
  </si>
  <si>
    <t>260727K20A</t>
  </si>
  <si>
    <t>CA-H2607-PD-359</t>
  </si>
  <si>
    <t>1001928749</t>
  </si>
  <si>
    <t>0103577689</t>
  </si>
  <si>
    <t>260727K21A</t>
  </si>
  <si>
    <t>CA-H2607-PD-482</t>
  </si>
  <si>
    <t>1001928750</t>
  </si>
  <si>
    <t>0103577690</t>
  </si>
  <si>
    <t>260727K22A</t>
  </si>
  <si>
    <t>CA-H2607-PD-360</t>
  </si>
  <si>
    <t>1001928751</t>
  </si>
  <si>
    <t>0103577691</t>
  </si>
  <si>
    <t>260727K23A</t>
  </si>
  <si>
    <t>1001928752</t>
  </si>
  <si>
    <t>0103577692</t>
  </si>
  <si>
    <t>1001928753</t>
  </si>
  <si>
    <t>0103577693</t>
  </si>
  <si>
    <t>1001928754</t>
  </si>
  <si>
    <t>0103577694</t>
  </si>
  <si>
    <t>1001928755</t>
  </si>
  <si>
    <t>0103577695</t>
  </si>
  <si>
    <t>1001928756</t>
  </si>
  <si>
    <t>0103577696</t>
  </si>
  <si>
    <t>1001928757</t>
  </si>
  <si>
    <t>0103577697</t>
  </si>
  <si>
    <t>1001928758</t>
  </si>
  <si>
    <t>0103577698</t>
  </si>
  <si>
    <t>1001928759</t>
  </si>
  <si>
    <t>0103577699</t>
  </si>
  <si>
    <t>1001928760</t>
  </si>
  <si>
    <t>0103577700</t>
  </si>
  <si>
    <t>1001928761</t>
  </si>
  <si>
    <t>0103577702</t>
  </si>
  <si>
    <t>1001928762</t>
  </si>
  <si>
    <t>0103577703</t>
  </si>
  <si>
    <t>1001928763</t>
  </si>
  <si>
    <t>0103577704</t>
  </si>
  <si>
    <t>1001928764</t>
  </si>
  <si>
    <t>0103577706</t>
  </si>
  <si>
    <t>1001928765</t>
  </si>
  <si>
    <t>0103577707</t>
  </si>
  <si>
    <t>1001928766</t>
  </si>
  <si>
    <t>0103577708</t>
  </si>
  <si>
    <t>1001928767</t>
  </si>
  <si>
    <t>0103577709</t>
  </si>
  <si>
    <t>1001928768</t>
  </si>
  <si>
    <t>0103577710</t>
  </si>
  <si>
    <t>1001928769</t>
  </si>
  <si>
    <t>0103577711</t>
  </si>
  <si>
    <t>1001928770</t>
  </si>
  <si>
    <t>0103577712</t>
  </si>
  <si>
    <t>1001928771</t>
  </si>
  <si>
    <t>0103577713</t>
  </si>
  <si>
    <t>1001928772</t>
  </si>
  <si>
    <t>0103577714</t>
  </si>
  <si>
    <t>1001928773</t>
  </si>
  <si>
    <t>0103577715</t>
  </si>
  <si>
    <t>1001928774</t>
  </si>
  <si>
    <t>0103577716</t>
  </si>
  <si>
    <t>1001928775</t>
  </si>
  <si>
    <t>0103577717</t>
  </si>
  <si>
    <t>1001928776</t>
  </si>
  <si>
    <t>0103577719</t>
  </si>
  <si>
    <t>1001928777</t>
  </si>
  <si>
    <t>0103577720</t>
  </si>
  <si>
    <t>1001928778</t>
  </si>
  <si>
    <t>0103577721</t>
  </si>
  <si>
    <t>1001928779</t>
  </si>
  <si>
    <t>0103577723</t>
  </si>
  <si>
    <t>1001928780</t>
  </si>
  <si>
    <t>0103577724</t>
  </si>
  <si>
    <t>1001928781</t>
  </si>
  <si>
    <t>0103577726</t>
  </si>
  <si>
    <t>1001928782</t>
  </si>
  <si>
    <t>0103577727</t>
  </si>
  <si>
    <t>1001928783</t>
  </si>
  <si>
    <t>0103577728</t>
  </si>
  <si>
    <t>1001928784</t>
  </si>
  <si>
    <t>0103577729</t>
  </si>
  <si>
    <t>Aug08-38</t>
  </si>
  <si>
    <t>Aug08-39</t>
  </si>
  <si>
    <t>Aug08-40</t>
  </si>
  <si>
    <t>Aug08-41</t>
  </si>
  <si>
    <t>Aug08-42</t>
  </si>
  <si>
    <t>Aug08-43</t>
  </si>
  <si>
    <t>Aug08-44</t>
  </si>
  <si>
    <t>Aug08-45</t>
  </si>
  <si>
    <t>Aug08-46</t>
  </si>
  <si>
    <t>Aug08-47</t>
  </si>
  <si>
    <t>Aug08-48</t>
  </si>
  <si>
    <t>Aug08-49</t>
  </si>
  <si>
    <t>Aug08-50</t>
  </si>
  <si>
    <t>Aug08-51</t>
  </si>
  <si>
    <t>Aug08-52</t>
  </si>
  <si>
    <t>Aug08-53</t>
  </si>
  <si>
    <t>Aug08-54</t>
  </si>
  <si>
    <t>Aug08-55</t>
  </si>
  <si>
    <t>Aug08-56</t>
  </si>
  <si>
    <t>Aug08-57</t>
  </si>
  <si>
    <t>Aug08-58</t>
  </si>
  <si>
    <t>Aug08-59</t>
  </si>
  <si>
    <t>Aug08-60</t>
  </si>
  <si>
    <t>0103421620</t>
  </si>
  <si>
    <t>JF26513A7</t>
  </si>
  <si>
    <t>0103472968</t>
  </si>
  <si>
    <t>JF26605B3</t>
  </si>
  <si>
    <t>0103451908</t>
  </si>
  <si>
    <t>JF26527B3</t>
  </si>
  <si>
    <t>0103451909</t>
  </si>
  <si>
    <t>JF26527B4</t>
  </si>
  <si>
    <t>0103451910</t>
  </si>
  <si>
    <t>JF26527B5</t>
  </si>
  <si>
    <t>0103497217</t>
  </si>
  <si>
    <t>JF26616A7</t>
  </si>
  <si>
    <t>0103518172</t>
  </si>
  <si>
    <t>JF26625A3</t>
  </si>
  <si>
    <t>0103526907</t>
  </si>
  <si>
    <t>HF26702H7</t>
  </si>
  <si>
    <t>0103540186</t>
  </si>
  <si>
    <t>HF26708D1</t>
  </si>
  <si>
    <t>0103548871</t>
  </si>
  <si>
    <t>HF26713B8</t>
  </si>
  <si>
    <t>0103499908</t>
  </si>
  <si>
    <t>HF26617B9</t>
  </si>
  <si>
    <t>0103529900</t>
  </si>
  <si>
    <t>HF26703B3</t>
  </si>
  <si>
    <t>0103540239</t>
  </si>
  <si>
    <t>HF26708H6</t>
  </si>
  <si>
    <t>0103548902</t>
  </si>
  <si>
    <t>HF26713F3</t>
  </si>
  <si>
    <t>0103532696</t>
  </si>
  <si>
    <t>HF26704G7</t>
  </si>
  <si>
    <t>0103556346</t>
  </si>
  <si>
    <t>HF26715A7</t>
  </si>
  <si>
    <t>0103526833</t>
  </si>
  <si>
    <t>HF26702A1</t>
  </si>
  <si>
    <t>0103548870</t>
  </si>
  <si>
    <t>HF26713B7</t>
  </si>
  <si>
    <t>0103548866</t>
  </si>
  <si>
    <t>HF26713B3</t>
  </si>
  <si>
    <t>0103167345</t>
  </si>
  <si>
    <t>HF26108E1</t>
  </si>
  <si>
    <t>0103526905</t>
  </si>
  <si>
    <t>HF26702H5</t>
  </si>
  <si>
    <t>0103548904</t>
  </si>
  <si>
    <t>HF26713F5</t>
  </si>
  <si>
    <t>CA-H2607-PD-504</t>
  </si>
  <si>
    <t>1001929526</t>
  </si>
  <si>
    <t>0103578955</t>
  </si>
  <si>
    <t>260727C34A</t>
  </si>
  <si>
    <t>CA-H2607-PD-508</t>
  </si>
  <si>
    <t>1001929527</t>
  </si>
  <si>
    <t>0103578956</t>
  </si>
  <si>
    <t>260727C35A</t>
  </si>
  <si>
    <t>CA-H2607-PD-513</t>
  </si>
  <si>
    <t>1001929528</t>
  </si>
  <si>
    <t>0103578957</t>
  </si>
  <si>
    <t>260727C36A</t>
  </si>
  <si>
    <t>CA-H2607-PD-528</t>
  </si>
  <si>
    <t>1001929531</t>
  </si>
  <si>
    <t>0103578958</t>
  </si>
  <si>
    <t>260727C37A</t>
  </si>
  <si>
    <t>CA-H2607-PD-531</t>
  </si>
  <si>
    <t>1001929533</t>
  </si>
  <si>
    <t>0103578960</t>
  </si>
  <si>
    <t>260727C38A</t>
  </si>
  <si>
    <t>CA-H2607-PD-543</t>
  </si>
  <si>
    <t>1001929535</t>
  </si>
  <si>
    <t>1911118-D-A</t>
  </si>
  <si>
    <t>HJ70AL150P10021 JP</t>
  </si>
  <si>
    <t>0103578963</t>
  </si>
  <si>
    <t>260727C39A</t>
  </si>
  <si>
    <t>CA-H2607-PD-549</t>
  </si>
  <si>
    <t>1001929537</t>
  </si>
  <si>
    <t>0103578965</t>
  </si>
  <si>
    <t>260727C40A</t>
  </si>
  <si>
    <t>CA-H2607-PD-553</t>
  </si>
  <si>
    <t>1001929539</t>
  </si>
  <si>
    <t>0103578967</t>
  </si>
  <si>
    <t>260727C41A</t>
  </si>
  <si>
    <t>CA-H2607-PD-554</t>
  </si>
  <si>
    <t>1001929541</t>
  </si>
  <si>
    <t>0103578969</t>
  </si>
  <si>
    <t>260727C42A</t>
  </si>
  <si>
    <t>CA-H2607-PD-557</t>
  </si>
  <si>
    <t>1001929543</t>
  </si>
  <si>
    <t>0103578971</t>
  </si>
  <si>
    <t>260727C43A</t>
  </si>
  <si>
    <t>CA-H2607-PD-573</t>
  </si>
  <si>
    <t>1001929545</t>
  </si>
  <si>
    <t>0103578973</t>
  </si>
  <si>
    <t>260727C44A</t>
  </si>
  <si>
    <t>CA-H2607-PD-574</t>
  </si>
  <si>
    <t>1001929547</t>
  </si>
  <si>
    <t>1911331-D-A</t>
  </si>
  <si>
    <t>HJ80AL150P10002 JP</t>
  </si>
  <si>
    <t>0103578975</t>
  </si>
  <si>
    <t>260727C45A</t>
  </si>
  <si>
    <t>CA-H2607-PD-582</t>
  </si>
  <si>
    <t>1001929549</t>
  </si>
  <si>
    <t>0103578977</t>
  </si>
  <si>
    <t>260727C46A</t>
  </si>
  <si>
    <t>CA-H2607-PD-498</t>
  </si>
  <si>
    <t>1001929551</t>
  </si>
  <si>
    <t>0103578979</t>
  </si>
  <si>
    <t>260727C47A</t>
  </si>
  <si>
    <t>CA-H2607-PD-512</t>
  </si>
  <si>
    <t>1001929552</t>
  </si>
  <si>
    <t>0103578980</t>
  </si>
  <si>
    <t>260727C48A</t>
  </si>
  <si>
    <t>CA-H2607-PD-518</t>
  </si>
  <si>
    <t>1001929553</t>
  </si>
  <si>
    <t>0103578981</t>
  </si>
  <si>
    <t>260727C49A</t>
  </si>
  <si>
    <t>CA-H2607-PD-523</t>
  </si>
  <si>
    <t>1001929554</t>
  </si>
  <si>
    <t>0103578983</t>
  </si>
  <si>
    <t>260727C50A</t>
  </si>
  <si>
    <t>CA-H2607-PD-561</t>
  </si>
  <si>
    <t>1001929555</t>
  </si>
  <si>
    <t>0103578984</t>
  </si>
  <si>
    <t>260727C51A</t>
  </si>
  <si>
    <t>CA-H2607-PD-580</t>
  </si>
  <si>
    <t>1001929556</t>
  </si>
  <si>
    <t>0103578985</t>
  </si>
  <si>
    <t>260727C52A</t>
  </si>
  <si>
    <t>CA-H2607-PD-526</t>
  </si>
  <si>
    <t>1001929557</t>
  </si>
  <si>
    <t>0103578986</t>
  </si>
  <si>
    <t>260727C53A</t>
  </si>
  <si>
    <t>CA-H2607-PD-532</t>
  </si>
  <si>
    <t>1001929558</t>
  </si>
  <si>
    <t>0103578987</t>
  </si>
  <si>
    <t>260727C54A</t>
  </si>
  <si>
    <t>CA-H2607-PD-541</t>
  </si>
  <si>
    <t>1001929559</t>
  </si>
  <si>
    <t>1911210-D-A</t>
  </si>
  <si>
    <t>HJ70AL150P09022 JP</t>
  </si>
  <si>
    <t>0103578988</t>
  </si>
  <si>
    <t>260727C55A</t>
  </si>
  <si>
    <t>CA-H2607-PD-555</t>
  </si>
  <si>
    <t>1001929560</t>
  </si>
  <si>
    <t>0103578989</t>
  </si>
  <si>
    <t>260727C56A</t>
  </si>
  <si>
    <t>CA-H2607-PD-566</t>
  </si>
  <si>
    <t>1001929562</t>
  </si>
  <si>
    <t>0103578990</t>
  </si>
  <si>
    <t>260727C57A</t>
  </si>
  <si>
    <t>CA-H2607-PD-577</t>
  </si>
  <si>
    <t>1001929563</t>
  </si>
  <si>
    <t>0103578991</t>
  </si>
  <si>
    <t>260727C58A</t>
  </si>
  <si>
    <t>CA-H2607-PD-579</t>
  </si>
  <si>
    <t>1001929564</t>
  </si>
  <si>
    <t>0103578992</t>
  </si>
  <si>
    <t>260727C59A</t>
  </si>
  <si>
    <t>CA-H2607-PD-496</t>
  </si>
  <si>
    <t>1001929565</t>
  </si>
  <si>
    <t>0103578993</t>
  </si>
  <si>
    <t>260727C60A</t>
  </si>
  <si>
    <t>CA-H2607-PD-525</t>
  </si>
  <si>
    <t>1001929566</t>
  </si>
  <si>
    <t>0103578994</t>
  </si>
  <si>
    <t>260727C61A</t>
  </si>
  <si>
    <t>CA-H2607-PD-551</t>
  </si>
  <si>
    <t>1001929567</t>
  </si>
  <si>
    <t>0103578995</t>
  </si>
  <si>
    <t>260727C62A</t>
  </si>
  <si>
    <t>CA-H2607-PD-581</t>
  </si>
  <si>
    <t>1001929568</t>
  </si>
  <si>
    <t>0103578996</t>
  </si>
  <si>
    <t>260727C63A</t>
  </si>
  <si>
    <t>CA-H2607-PD-502</t>
  </si>
  <si>
    <t>1001929569</t>
  </si>
  <si>
    <t>0103578997</t>
  </si>
  <si>
    <t>260727C64A</t>
  </si>
  <si>
    <t>CA-H2607-PD-500</t>
  </si>
  <si>
    <t>1001929570</t>
  </si>
  <si>
    <t>0103578998</t>
  </si>
  <si>
    <t>260727C65A</t>
  </si>
  <si>
    <t>CA-H2607-PD-529</t>
  </si>
  <si>
    <t>1001929571</t>
  </si>
  <si>
    <t>0103578999</t>
  </si>
  <si>
    <t>260727C66A</t>
  </si>
  <si>
    <t>CA-H2607-PD-570</t>
  </si>
  <si>
    <t>1001929572</t>
  </si>
  <si>
    <t>1911323-D-A</t>
  </si>
  <si>
    <t>HJ80AL070P10002 JP</t>
  </si>
  <si>
    <t>0103579000</t>
  </si>
  <si>
    <t>260727C67A</t>
  </si>
  <si>
    <t>CA-H2607-PD-507</t>
  </si>
  <si>
    <t>1001929573</t>
  </si>
  <si>
    <t>0103579001</t>
  </si>
  <si>
    <t>260727C68A</t>
  </si>
  <si>
    <t>CA-H2607-PD-583</t>
  </si>
  <si>
    <t>1001929574</t>
  </si>
  <si>
    <t>0103579002</t>
  </si>
  <si>
    <t>260727C69A</t>
  </si>
  <si>
    <t>CA-H2607-PD-521</t>
  </si>
  <si>
    <t>1001929575</t>
  </si>
  <si>
    <t>0103579003</t>
  </si>
  <si>
    <t>260727C70A</t>
  </si>
  <si>
    <t>CA-H2607-PD-497</t>
  </si>
  <si>
    <t>1001929576</t>
  </si>
  <si>
    <t>0103579004</t>
  </si>
  <si>
    <t>260727C71A</t>
  </si>
  <si>
    <t>CA-H2607-PD-506</t>
  </si>
  <si>
    <t>1001929577</t>
  </si>
  <si>
    <t>0103579005</t>
  </si>
  <si>
    <t>260727C72A</t>
  </si>
  <si>
    <t>CA-H2607-PD-510</t>
  </si>
  <si>
    <t>1001929578</t>
  </si>
  <si>
    <t>0103579006</t>
  </si>
  <si>
    <t>260727C73A</t>
  </si>
  <si>
    <t>CA-H2607-PD-514</t>
  </si>
  <si>
    <t>1001929579</t>
  </si>
  <si>
    <t>0103579007</t>
  </si>
  <si>
    <t>260727C74A</t>
  </si>
  <si>
    <t>CA-H2607-PD-585</t>
  </si>
  <si>
    <t>1001929580</t>
  </si>
  <si>
    <t>0103579008</t>
  </si>
  <si>
    <t>260727C75A</t>
  </si>
  <si>
    <t>CA-H2607-PD-560</t>
  </si>
  <si>
    <t>1001929581</t>
  </si>
  <si>
    <t>0103579009</t>
  </si>
  <si>
    <t>260727C76A</t>
  </si>
  <si>
    <t>CA-H2607-PD-576</t>
  </si>
  <si>
    <t>1001929582</t>
  </si>
  <si>
    <t>0103579010</t>
  </si>
  <si>
    <t>260727C77A</t>
  </si>
  <si>
    <t>CA-H2607-PD-578</t>
  </si>
  <si>
    <t>1001929583</t>
  </si>
  <si>
    <t>0103579011</t>
  </si>
  <si>
    <t>260727C78A</t>
  </si>
  <si>
    <t>CA-H2607-PD-572</t>
  </si>
  <si>
    <t>1001929584</t>
  </si>
  <si>
    <t>0103579012</t>
  </si>
  <si>
    <t>260727C79A</t>
  </si>
  <si>
    <t>CA-H2607-PD-511</t>
  </si>
  <si>
    <t>1001929585</t>
  </si>
  <si>
    <t>0103579013</t>
  </si>
  <si>
    <t>260727C80A</t>
  </si>
  <si>
    <t>CA-H2607-PD-571</t>
  </si>
  <si>
    <t>1001929586</t>
  </si>
  <si>
    <t>0103579014</t>
  </si>
  <si>
    <t>260727C81A</t>
  </si>
  <si>
    <t>CA-H2607-PD-575</t>
  </si>
  <si>
    <t>1001929587</t>
  </si>
  <si>
    <t>0103579015</t>
  </si>
  <si>
    <t>260727C82A</t>
  </si>
  <si>
    <t>CA-H2607-PD-503</t>
  </si>
  <si>
    <t>1001929588</t>
  </si>
  <si>
    <t>0103579017</t>
  </si>
  <si>
    <t>260727C83A</t>
  </si>
  <si>
    <t>CA-H2607-PD-007</t>
  </si>
  <si>
    <t>1001929589</t>
  </si>
  <si>
    <t>0103579018</t>
  </si>
  <si>
    <t>260727C84A</t>
  </si>
  <si>
    <t>1001929590</t>
  </si>
  <si>
    <t>0103579019</t>
  </si>
  <si>
    <t>260727C85A</t>
  </si>
  <si>
    <t>CA-H2607-PD-029</t>
  </si>
  <si>
    <t>1001929591</t>
  </si>
  <si>
    <t>0103579020</t>
  </si>
  <si>
    <t>260727C86A</t>
  </si>
  <si>
    <t>CA-H2607-PD-030</t>
  </si>
  <si>
    <t>1001929592</t>
  </si>
  <si>
    <t>2211685-D-A</t>
  </si>
  <si>
    <t>HW80AL102P10002 CN</t>
  </si>
  <si>
    <t>0103579021</t>
  </si>
  <si>
    <t>260727C87A</t>
  </si>
  <si>
    <t>CA-H2607-PD-027</t>
  </si>
  <si>
    <t>1001929593</t>
  </si>
  <si>
    <t>0103579022</t>
  </si>
  <si>
    <t>260727C88A</t>
  </si>
  <si>
    <t>CA-H2607-PD-028</t>
  </si>
  <si>
    <t>1001929595</t>
  </si>
  <si>
    <t>0103579023</t>
  </si>
  <si>
    <t>260727C89A</t>
  </si>
  <si>
    <t>CA-H2607-PD-031</t>
  </si>
  <si>
    <t>1001929596</t>
  </si>
  <si>
    <t>2211704-E-A</t>
  </si>
  <si>
    <t>HW80SP352P10000 CN</t>
  </si>
  <si>
    <t>0103579024</t>
  </si>
  <si>
    <t>260727C90A</t>
  </si>
  <si>
    <t>CA-H2607-PD-032</t>
  </si>
  <si>
    <t>1001929597</t>
  </si>
  <si>
    <t>2211706-E-A</t>
  </si>
  <si>
    <t>HW80SP372P10000 CN</t>
  </si>
  <si>
    <t>0103579025</t>
  </si>
  <si>
    <t>260727C91A</t>
  </si>
  <si>
    <t>2112212-0-C</t>
  </si>
  <si>
    <t>2112325-0-C</t>
  </si>
  <si>
    <t>2112331-0-C-CN</t>
  </si>
  <si>
    <t>2112349-0-C-CN</t>
  </si>
  <si>
    <t>2112352-0-C-CN</t>
  </si>
  <si>
    <t>2112120-0-C</t>
  </si>
  <si>
    <t>2112333-0-C</t>
  </si>
  <si>
    <t>Aug13-05</t>
  </si>
  <si>
    <t>Aug13-06</t>
  </si>
  <si>
    <t>Aug13-07</t>
  </si>
  <si>
    <t>Aug13-08</t>
  </si>
  <si>
    <t>Aug13-09</t>
  </si>
  <si>
    <t>Aug13-10</t>
  </si>
  <si>
    <t>Aug13-11</t>
  </si>
  <si>
    <t>Aug13-12</t>
  </si>
  <si>
    <t>Aug13-13</t>
  </si>
  <si>
    <t>Aug13-14</t>
  </si>
  <si>
    <t>Aug13-15</t>
  </si>
  <si>
    <t>Aug13-16</t>
  </si>
  <si>
    <t>Aug13-17</t>
  </si>
  <si>
    <t>Aug13-18</t>
  </si>
  <si>
    <t>Aug13-19</t>
  </si>
  <si>
    <t>Aug13-20</t>
  </si>
  <si>
    <t>Aug13-21</t>
  </si>
  <si>
    <t>Aug13-22</t>
  </si>
  <si>
    <t>Aug13-23</t>
  </si>
  <si>
    <t>Aug13-24</t>
  </si>
  <si>
    <t>Aug13-25</t>
  </si>
  <si>
    <t>Aug13-26</t>
  </si>
  <si>
    <t>Aug13-27</t>
  </si>
  <si>
    <t>Aug13-28</t>
  </si>
  <si>
    <t>Aug13-29</t>
  </si>
  <si>
    <t>Aug13-30</t>
  </si>
  <si>
    <t>Aug13-31</t>
  </si>
  <si>
    <t>Aug13-32</t>
  </si>
  <si>
    <t>Aug13-33</t>
  </si>
  <si>
    <t>Aug13-34</t>
  </si>
  <si>
    <t>Aug13-35</t>
  </si>
  <si>
    <t>Aug13-36</t>
  </si>
  <si>
    <t>Aug13-37</t>
  </si>
  <si>
    <t>Aug13-38</t>
  </si>
  <si>
    <t>Aug13-39</t>
  </si>
  <si>
    <t>Aug13-40</t>
  </si>
  <si>
    <t>Aug13-41</t>
  </si>
  <si>
    <t>Aug13-42</t>
  </si>
  <si>
    <t>Aug13-43</t>
  </si>
  <si>
    <t>Aug13-44</t>
  </si>
  <si>
    <t>Aug13-45</t>
  </si>
  <si>
    <t>Aug13-46</t>
  </si>
  <si>
    <t>Aug13-47</t>
  </si>
  <si>
    <t>Aug13-48</t>
  </si>
  <si>
    <t>Aug13-49</t>
  </si>
  <si>
    <t>Aug13-50</t>
  </si>
  <si>
    <t>Aug13-51</t>
  </si>
  <si>
    <t>Aug13-52</t>
  </si>
  <si>
    <t>Aug13-53</t>
  </si>
  <si>
    <t>Aug13-54</t>
  </si>
  <si>
    <t>Aug19-01</t>
  </si>
  <si>
    <t>Aug19-02</t>
  </si>
  <si>
    <t>Aug19-03</t>
  </si>
  <si>
    <t>Aug19-04</t>
  </si>
  <si>
    <t>Aug19-05</t>
  </si>
  <si>
    <t>Aug19-06</t>
  </si>
  <si>
    <t>Aug19-07</t>
  </si>
  <si>
    <t>Aug19-08</t>
  </si>
  <si>
    <t>0103574497</t>
  </si>
  <si>
    <t>HF26724F2</t>
  </si>
  <si>
    <t>0103574477</t>
  </si>
  <si>
    <t>HF26724C9</t>
  </si>
  <si>
    <t>0103574493</t>
  </si>
  <si>
    <t>HF26724E7</t>
  </si>
  <si>
    <t>0103574475</t>
  </si>
  <si>
    <t>HF26724C7</t>
  </si>
  <si>
    <t>0103574469</t>
  </si>
  <si>
    <t>HF26724C1</t>
  </si>
  <si>
    <t>0103574505</t>
  </si>
  <si>
    <t>HF26724G1</t>
  </si>
  <si>
    <t>0103574506</t>
  </si>
  <si>
    <t>HF26724G2</t>
  </si>
  <si>
    <t>0103574479</t>
  </si>
  <si>
    <t>HF26724D2</t>
  </si>
  <si>
    <t>0103574501</t>
  </si>
  <si>
    <t>HF26724F6</t>
  </si>
  <si>
    <t>0103574498</t>
  </si>
  <si>
    <t>HF26724F3</t>
  </si>
  <si>
    <t>0103574459</t>
  </si>
  <si>
    <t>HF26724A9</t>
  </si>
  <si>
    <t>0103574487</t>
  </si>
  <si>
    <t>HF26724E1</t>
  </si>
  <si>
    <t>0103574454</t>
  </si>
  <si>
    <t>HF26724A4</t>
  </si>
  <si>
    <t>0103574462</t>
  </si>
  <si>
    <t>HF26724B3</t>
  </si>
  <si>
    <t>0103574494</t>
  </si>
  <si>
    <t>HF26724E8</t>
  </si>
  <si>
    <t>0103574465</t>
  </si>
  <si>
    <t>HF26724B6</t>
  </si>
  <si>
    <t>0103574463</t>
  </si>
  <si>
    <t>HF26724B4</t>
  </si>
  <si>
    <t>0103574508</t>
  </si>
  <si>
    <t>HF26724G4</t>
  </si>
  <si>
    <t>0103574486</t>
  </si>
  <si>
    <t>HF26724D9</t>
  </si>
  <si>
    <t>0103574491</t>
  </si>
  <si>
    <t>HF26724E5</t>
  </si>
  <si>
    <t>0103574496</t>
  </si>
  <si>
    <t>HF26724F1</t>
  </si>
  <si>
    <t>0103574504</t>
  </si>
  <si>
    <t>HF26724F9</t>
  </si>
  <si>
    <t>0103574499</t>
  </si>
  <si>
    <t>HF26724F4</t>
  </si>
  <si>
    <t>0103574503</t>
  </si>
  <si>
    <t>HF26724F8</t>
  </si>
  <si>
    <t>0103574488</t>
  </si>
  <si>
    <t>HF26724E2</t>
  </si>
  <si>
    <t>0103574489</t>
  </si>
  <si>
    <t>HF26724E3</t>
  </si>
  <si>
    <t>0103574478</t>
  </si>
  <si>
    <t>HF26724D1</t>
  </si>
  <si>
    <t>0103574490</t>
  </si>
  <si>
    <t>HF26724E4</t>
  </si>
  <si>
    <t>0103574507</t>
  </si>
  <si>
    <t>HF26724G3</t>
  </si>
  <si>
    <t>0103574453</t>
  </si>
  <si>
    <t>HF26724A3</t>
  </si>
  <si>
    <t>0103574474</t>
  </si>
  <si>
    <t>HF26724C6</t>
  </si>
  <si>
    <t>0103574468</t>
  </si>
  <si>
    <t>HF26724B9</t>
  </si>
  <si>
    <t>0103574472</t>
  </si>
  <si>
    <t>HF26724C4</t>
  </si>
  <si>
    <t>0103574457</t>
  </si>
  <si>
    <t>HF26724A7</t>
  </si>
  <si>
    <t>0103574471</t>
  </si>
  <si>
    <t>HF26724C3</t>
  </si>
  <si>
    <t>0103574455</t>
  </si>
  <si>
    <t>HF26724A5</t>
  </si>
  <si>
    <t>0103574466</t>
  </si>
  <si>
    <t>HF26724B7</t>
  </si>
  <si>
    <t>0103574464</t>
  </si>
  <si>
    <t>HF26724B5</t>
  </si>
  <si>
    <t>0103574473</t>
  </si>
  <si>
    <t>HF26724C5</t>
  </si>
  <si>
    <t>0103574495</t>
  </si>
  <si>
    <t>HF26724E9</t>
  </si>
  <si>
    <t>0103574461</t>
  </si>
  <si>
    <t>HF26724B2</t>
  </si>
  <si>
    <t>0103574456</t>
  </si>
  <si>
    <t>HF26724A6</t>
  </si>
  <si>
    <t>0103574500</t>
  </si>
  <si>
    <t>HF26724F5</t>
  </si>
  <si>
    <t>0103574483</t>
  </si>
  <si>
    <t>HF26724D6</t>
  </si>
  <si>
    <t>0103574481</t>
  </si>
  <si>
    <t>HF26724D4</t>
  </si>
  <si>
    <t>0103574458</t>
  </si>
  <si>
    <t>HF26724A8</t>
  </si>
  <si>
    <t>0103574476</t>
  </si>
  <si>
    <t>HF26724C8</t>
  </si>
  <si>
    <t>0103574452</t>
  </si>
  <si>
    <t>HF26724A2</t>
  </si>
  <si>
    <t>0103574480</t>
  </si>
  <si>
    <t>HF26724D3</t>
  </si>
  <si>
    <t>0103574470</t>
  </si>
  <si>
    <t>HF26724C2</t>
  </si>
  <si>
    <t>0103518468</t>
  </si>
  <si>
    <t>HF26626C7</t>
  </si>
  <si>
    <t>0103549107</t>
  </si>
  <si>
    <t>HF26713J3</t>
  </si>
  <si>
    <t>0103556366</t>
  </si>
  <si>
    <t>HF26715C9</t>
  </si>
  <si>
    <t>0103556367</t>
  </si>
  <si>
    <t>HF26715D1</t>
  </si>
  <si>
    <t>0103556379</t>
  </si>
  <si>
    <t>HF26715E4</t>
  </si>
  <si>
    <t>0103549108</t>
  </si>
  <si>
    <t>HF26713J4</t>
  </si>
  <si>
    <t>0103549109</t>
  </si>
  <si>
    <t>HF26713J5</t>
  </si>
  <si>
    <t>CA-H2606-PD-224</t>
  </si>
  <si>
    <t>1001930977</t>
  </si>
  <si>
    <t>0103582497</t>
  </si>
  <si>
    <t>260729K01A</t>
  </si>
  <si>
    <t>CA-H2607-PD-002</t>
  </si>
  <si>
    <t>1001930978</t>
  </si>
  <si>
    <t>0103582498</t>
  </si>
  <si>
    <t>260729K02A</t>
  </si>
  <si>
    <t>CA-H2607-PD-033</t>
  </si>
  <si>
    <t>1001930979</t>
  </si>
  <si>
    <t>0103582499</t>
  </si>
  <si>
    <t>260729K03A</t>
  </si>
  <si>
    <t>CA-H2607-PD-472</t>
  </si>
  <si>
    <t>1001930980</t>
  </si>
  <si>
    <t>0103582500</t>
  </si>
  <si>
    <t>260729K04A</t>
  </si>
  <si>
    <t>CA-H2607-PD-473</t>
  </si>
  <si>
    <t>1001930981</t>
  </si>
  <si>
    <t>0103582501</t>
  </si>
  <si>
    <t>260729K05A</t>
  </si>
  <si>
    <t>CA-H2607-PD-493</t>
  </si>
  <si>
    <t>1001930982</t>
  </si>
  <si>
    <t>0103582502</t>
  </si>
  <si>
    <t>260729K06A</t>
  </si>
  <si>
    <t>CA-H2607-PD-592-1</t>
  </si>
  <si>
    <t>1001930983</t>
  </si>
  <si>
    <t>1941011-E-A</t>
  </si>
  <si>
    <t>0103582503</t>
  </si>
  <si>
    <t>260729K07A</t>
  </si>
  <si>
    <t>CA-H2607-PD-593-1</t>
  </si>
  <si>
    <t>1001930984</t>
  </si>
  <si>
    <t>1941013-F-A</t>
  </si>
  <si>
    <t>0103582504</t>
  </si>
  <si>
    <t>260729K08A</t>
  </si>
  <si>
    <t>CA-H2607-PD-596</t>
  </si>
  <si>
    <t>1001930985</t>
  </si>
  <si>
    <t>0103582505</t>
  </si>
  <si>
    <t>260729K09A</t>
  </si>
  <si>
    <t>CA-H2607-PD-598</t>
  </si>
  <si>
    <t>1001930986</t>
  </si>
  <si>
    <t>0103582506</t>
  </si>
  <si>
    <t>260729K10A</t>
  </si>
  <si>
    <t>CA-H2607-PD-601</t>
  </si>
  <si>
    <t>1001930987</t>
  </si>
  <si>
    <t>0103582507</t>
  </si>
  <si>
    <t>260729K11A</t>
  </si>
  <si>
    <t>CA-H2607-PD-602</t>
  </si>
  <si>
    <t>1001930988</t>
  </si>
  <si>
    <t>0103582508</t>
  </si>
  <si>
    <t>260729K12A</t>
  </si>
  <si>
    <t>CA-H2607-PD-607</t>
  </si>
  <si>
    <t>1001930989</t>
  </si>
  <si>
    <t>0103582509</t>
  </si>
  <si>
    <t>260729K13A</t>
  </si>
  <si>
    <t>1001930990</t>
  </si>
  <si>
    <t>0103582510</t>
  </si>
  <si>
    <t>260729K14A</t>
  </si>
  <si>
    <t>2442035-0-C</t>
  </si>
  <si>
    <t>2442057-0-C</t>
  </si>
  <si>
    <t>CA-H2607-PD-520</t>
  </si>
  <si>
    <t>1001930991</t>
  </si>
  <si>
    <t>0103582511</t>
  </si>
  <si>
    <t>260729C01A</t>
  </si>
  <si>
    <t>CA-H2607-PD-539</t>
  </si>
  <si>
    <t>1001930992</t>
  </si>
  <si>
    <t>0103582512</t>
  </si>
  <si>
    <t>260729C02A</t>
  </si>
  <si>
    <t>CA-H2607-PD-540</t>
  </si>
  <si>
    <t>1001930993</t>
  </si>
  <si>
    <t>0103582513</t>
  </si>
  <si>
    <t>260729C03A</t>
  </si>
  <si>
    <t>CA-H2607-PD-544</t>
  </si>
  <si>
    <t>1001930994</t>
  </si>
  <si>
    <t>0103582514</t>
  </si>
  <si>
    <t>260729C04A</t>
  </si>
  <si>
    <t>CA-H2607-PD-548</t>
  </si>
  <si>
    <t>1001930995</t>
  </si>
  <si>
    <t>0103582515</t>
  </si>
  <si>
    <t>260729C05A</t>
  </si>
  <si>
    <t>CA-H2607-PD-550</t>
  </si>
  <si>
    <t>1001930996</t>
  </si>
  <si>
    <t>0103582516</t>
  </si>
  <si>
    <t>260729C06A</t>
  </si>
  <si>
    <t>CA-H2607-PD-552</t>
  </si>
  <si>
    <t>1001930997</t>
  </si>
  <si>
    <t>0103582517</t>
  </si>
  <si>
    <t>260729C07A</t>
  </si>
  <si>
    <t>CA-H2607-PD-559</t>
  </si>
  <si>
    <t>1001930998</t>
  </si>
  <si>
    <t>0103582519</t>
  </si>
  <si>
    <t>260729C08A</t>
  </si>
  <si>
    <t>CA-H2607-PD-567</t>
  </si>
  <si>
    <t>1001931000</t>
  </si>
  <si>
    <t>0103582520</t>
  </si>
  <si>
    <t>260729C09A</t>
  </si>
  <si>
    <t>CA-H2607-PD-517</t>
  </si>
  <si>
    <t>1001931001</t>
  </si>
  <si>
    <t>0103582521</t>
  </si>
  <si>
    <t>260729C10A</t>
  </si>
  <si>
    <t>CA-H2607-PD-524</t>
  </si>
  <si>
    <t>1001931002</t>
  </si>
  <si>
    <t>0103582522</t>
  </si>
  <si>
    <t>260729C11A</t>
  </si>
  <si>
    <t>CA-H2607-PD-563</t>
  </si>
  <si>
    <t>1001931003</t>
  </si>
  <si>
    <t>1911179-D-A</t>
  </si>
  <si>
    <t>HJ70JR500P10020 JP</t>
  </si>
  <si>
    <t>0103582523</t>
  </si>
  <si>
    <t>260729C12A</t>
  </si>
  <si>
    <t>CA-H2607-PD-564</t>
  </si>
  <si>
    <t>1001931004</t>
  </si>
  <si>
    <t>1911180-D-A</t>
  </si>
  <si>
    <t>HJ70JR502P10020 JP</t>
  </si>
  <si>
    <t>0103582524</t>
  </si>
  <si>
    <t>260729C13A</t>
  </si>
  <si>
    <t>CA-H2607-PD-522</t>
  </si>
  <si>
    <t>1001931005</t>
  </si>
  <si>
    <t>0103582525</t>
  </si>
  <si>
    <t>260729C14A</t>
  </si>
  <si>
    <t>CA-H2607-PD-538</t>
  </si>
  <si>
    <t>1001931006</t>
  </si>
  <si>
    <t>0103582526</t>
  </si>
  <si>
    <t>260729C15A</t>
  </si>
  <si>
    <t>CA-H2607-PD-530</t>
  </si>
  <si>
    <t>1001931007</t>
  </si>
  <si>
    <t>0103582527</t>
  </si>
  <si>
    <t>260729C16A</t>
  </si>
  <si>
    <t>CA-H2607-PD-536</t>
  </si>
  <si>
    <t>1001931008</t>
  </si>
  <si>
    <t>0103582528</t>
  </si>
  <si>
    <t>260729C17A</t>
  </si>
  <si>
    <t>CA-H2607-PD-546</t>
  </si>
  <si>
    <t>1001931009</t>
  </si>
  <si>
    <t>0103582529</t>
  </si>
  <si>
    <t>260729C18A</t>
  </si>
  <si>
    <t>CA-H2607-PD-562</t>
  </si>
  <si>
    <t>1001931010</t>
  </si>
  <si>
    <t>0103582530</t>
  </si>
  <si>
    <t>260729C19A</t>
  </si>
  <si>
    <t>CA-H2607-PD-568</t>
  </si>
  <si>
    <t>1001931011</t>
  </si>
  <si>
    <t>0103582531</t>
  </si>
  <si>
    <t>260729C20A</t>
  </si>
  <si>
    <t>CA-H2607-PD-519</t>
  </si>
  <si>
    <t>1001931012</t>
  </si>
  <si>
    <t>0103582532</t>
  </si>
  <si>
    <t>260729C21A</t>
  </si>
  <si>
    <t>CA-H2607-PD-537</t>
  </si>
  <si>
    <t>1001931013</t>
  </si>
  <si>
    <t>0103582533</t>
  </si>
  <si>
    <t>260729C22A</t>
  </si>
  <si>
    <t>CA-H2607-PD-542</t>
  </si>
  <si>
    <t>1001931014</t>
  </si>
  <si>
    <t>0103582534</t>
  </si>
  <si>
    <t>260729C23A</t>
  </si>
  <si>
    <t>CA-H2607-PD-495</t>
  </si>
  <si>
    <t>1001931015</t>
  </si>
  <si>
    <t>0103582535</t>
  </si>
  <si>
    <t>260729C24A</t>
  </si>
  <si>
    <t>CA-H2607-PD-586</t>
  </si>
  <si>
    <t>1001931016</t>
  </si>
  <si>
    <t>0103582536</t>
  </si>
  <si>
    <t>260729C25A</t>
  </si>
  <si>
    <t>CA-H2607-PD-584</t>
  </si>
  <si>
    <t>1001931017</t>
  </si>
  <si>
    <t>0103582537</t>
  </si>
  <si>
    <t>260729C26A</t>
  </si>
  <si>
    <t>CA-H2607-PD-545</t>
  </si>
  <si>
    <t>1001931018</t>
  </si>
  <si>
    <t>0103582538</t>
  </si>
  <si>
    <t>260729C27A</t>
  </si>
  <si>
    <t>CA-H2607-PD-535</t>
  </si>
  <si>
    <t>1001931019</t>
  </si>
  <si>
    <t>0103582539</t>
  </si>
  <si>
    <t>260729C28A</t>
  </si>
  <si>
    <t>CA-H2607-PD-565</t>
  </si>
  <si>
    <t>1001931020</t>
  </si>
  <si>
    <t>0103582540</t>
  </si>
  <si>
    <t>260729C29A</t>
  </si>
  <si>
    <t>CA-H2607-PD-588</t>
  </si>
  <si>
    <t>1001931021</t>
  </si>
  <si>
    <t>0103582541</t>
  </si>
  <si>
    <t>260729C30A</t>
  </si>
  <si>
    <t>CA-H2607-PD-569</t>
  </si>
  <si>
    <t>1001931022</t>
  </si>
  <si>
    <t>0103582542</t>
  </si>
  <si>
    <t>260729C31A</t>
  </si>
  <si>
    <t>CA-H2607-PD-589</t>
  </si>
  <si>
    <t>1001931023</t>
  </si>
  <si>
    <t>0103582543</t>
  </si>
  <si>
    <t>260729C32A</t>
  </si>
  <si>
    <t>CA-H2607-PD-587</t>
  </si>
  <si>
    <t>1001931024</t>
  </si>
  <si>
    <t>0103582544</t>
  </si>
  <si>
    <t>260729C33A</t>
  </si>
  <si>
    <t>CA-H2607-PD-613</t>
  </si>
  <si>
    <t>1001931025</t>
  </si>
  <si>
    <t>2211220-E-A</t>
  </si>
  <si>
    <t>HW70SP350P10000 NOCE</t>
  </si>
  <si>
    <t>0103582545</t>
  </si>
  <si>
    <t>260729C34A</t>
  </si>
  <si>
    <t>CA-H2607-PD-611</t>
  </si>
  <si>
    <t>1001931026</t>
  </si>
  <si>
    <t>0103582547</t>
  </si>
  <si>
    <t>260729C35A</t>
  </si>
  <si>
    <t>CA-H2607-PD-614</t>
  </si>
  <si>
    <t>1001931028</t>
  </si>
  <si>
    <t>0103582548</t>
  </si>
  <si>
    <t>260729C36A</t>
  </si>
  <si>
    <t>CA-H2607-PD-479</t>
  </si>
  <si>
    <t>1001931029</t>
  </si>
  <si>
    <t>0103582549</t>
  </si>
  <si>
    <t>260729C37A</t>
  </si>
  <si>
    <t>CA-H2607-PD-480</t>
  </si>
  <si>
    <t>1001931030</t>
  </si>
  <si>
    <t>0103582550</t>
  </si>
  <si>
    <t>260729C38A</t>
  </si>
  <si>
    <t>CA-H2607-PD-527</t>
  </si>
  <si>
    <t>1001931041</t>
  </si>
  <si>
    <t>0103582593</t>
  </si>
  <si>
    <t>260729C39A</t>
  </si>
  <si>
    <t>CA-H2607-PD-534</t>
  </si>
  <si>
    <t>1001931042</t>
  </si>
  <si>
    <t>0103582594</t>
  </si>
  <si>
    <t>260729C40A</t>
  </si>
  <si>
    <t>2112181-0-C</t>
  </si>
  <si>
    <t>2112182-0-C</t>
  </si>
  <si>
    <t>Aug14-12</t>
  </si>
  <si>
    <t>Aug14-13</t>
  </si>
  <si>
    <t>Aug14-14</t>
  </si>
  <si>
    <t>Aug14-15</t>
  </si>
  <si>
    <t>Aug14-16</t>
  </si>
  <si>
    <t>Aug14-17</t>
  </si>
  <si>
    <t>Aug14-18</t>
  </si>
  <si>
    <t>Aug14-19</t>
  </si>
  <si>
    <t>Aug14-20</t>
  </si>
  <si>
    <t>Aug14-21</t>
  </si>
  <si>
    <t>Aug14-22</t>
  </si>
  <si>
    <t>Aug14-23</t>
  </si>
  <si>
    <t>Aug14-24</t>
  </si>
  <si>
    <t>Aug14-25</t>
  </si>
  <si>
    <t>Aug14-26</t>
  </si>
  <si>
    <t>Aug14-27</t>
  </si>
  <si>
    <t>Aug14-28</t>
  </si>
  <si>
    <t>Aug14-29</t>
  </si>
  <si>
    <t>Aug14-30</t>
  </si>
  <si>
    <t>Aug14-31</t>
  </si>
  <si>
    <t>Aug14-32</t>
  </si>
  <si>
    <t>Aug14-33</t>
  </si>
  <si>
    <t>Aug14-34</t>
  </si>
  <si>
    <t>Aug14-35</t>
  </si>
  <si>
    <t>Aug14-36</t>
  </si>
  <si>
    <t>Aug14-37</t>
  </si>
  <si>
    <t>Aug14-38</t>
  </si>
  <si>
    <t>Aug14-39</t>
  </si>
  <si>
    <t>Aug14-40</t>
  </si>
  <si>
    <t>Aug14-41</t>
  </si>
  <si>
    <t>Aug14-42</t>
  </si>
  <si>
    <t>Aug14-43</t>
  </si>
  <si>
    <t>Aug14-44</t>
  </si>
  <si>
    <t>Aug14-45</t>
  </si>
  <si>
    <t>Aug14-46</t>
  </si>
  <si>
    <t>Aug14-47</t>
  </si>
  <si>
    <t>Aug14-48</t>
  </si>
  <si>
    <t>Aug14-49</t>
  </si>
  <si>
    <t>Aug14-50</t>
  </si>
  <si>
    <t>Aug14-51</t>
  </si>
  <si>
    <t>Aug14-52</t>
  </si>
  <si>
    <t>Aug14-53</t>
  </si>
  <si>
    <t>Aug14-54</t>
  </si>
  <si>
    <t>Aug14-55</t>
  </si>
  <si>
    <t>Aug14-56</t>
  </si>
  <si>
    <t>Aug14-57</t>
  </si>
  <si>
    <t>Aug14-58</t>
  </si>
  <si>
    <t>Aug14-59</t>
  </si>
  <si>
    <t>Aug14-60</t>
  </si>
  <si>
    <t>Aug14-61</t>
  </si>
  <si>
    <t>Aug14-62</t>
  </si>
  <si>
    <t>Aug20-01</t>
  </si>
  <si>
    <t>Aug20-02</t>
  </si>
  <si>
    <t>Aug20-03</t>
  </si>
  <si>
    <t>0103497225</t>
  </si>
  <si>
    <t>JF26616B5</t>
  </si>
  <si>
    <t>0103415304</t>
  </si>
  <si>
    <t>JF26511A9</t>
  </si>
  <si>
    <t>0103462954</t>
  </si>
  <si>
    <t>JF26601A4</t>
  </si>
  <si>
    <t>0103462955</t>
  </si>
  <si>
    <t>JF26601A5</t>
  </si>
  <si>
    <t>0103462956</t>
  </si>
  <si>
    <t>JF26601A6</t>
  </si>
  <si>
    <t>0103574810</t>
  </si>
  <si>
    <t>JF26728A1</t>
  </si>
  <si>
    <t>0103575145</t>
  </si>
  <si>
    <t>JF26724A1</t>
  </si>
  <si>
    <t>0103575146</t>
  </si>
  <si>
    <t>JF26724A2</t>
  </si>
  <si>
    <t>0103575148</t>
  </si>
  <si>
    <t>JF26724A4</t>
  </si>
  <si>
    <t>0103575149</t>
  </si>
  <si>
    <t>JF26724A5</t>
  </si>
  <si>
    <t>0103575150</t>
  </si>
  <si>
    <t>JF26724A6</t>
  </si>
  <si>
    <t>0103575147</t>
  </si>
  <si>
    <t>JF26724A3</t>
  </si>
  <si>
    <t>0103574526</t>
  </si>
  <si>
    <t>HF26724J3</t>
  </si>
  <si>
    <t>0103574513</t>
  </si>
  <si>
    <t>HF26724G9</t>
  </si>
  <si>
    <t>0103574518</t>
  </si>
  <si>
    <t>HF26724H5</t>
  </si>
  <si>
    <t>0103574519</t>
  </si>
  <si>
    <t>HF26724H6</t>
  </si>
  <si>
    <t>0103574520</t>
  </si>
  <si>
    <t>HF26724H7</t>
  </si>
  <si>
    <t>0103574516</t>
  </si>
  <si>
    <t>HF26724H3</t>
  </si>
  <si>
    <t>0103574510</t>
  </si>
  <si>
    <t>HF26724G6</t>
  </si>
  <si>
    <t>0103574514</t>
  </si>
  <si>
    <t>HF26724H1</t>
  </si>
  <si>
    <t>0103574534</t>
  </si>
  <si>
    <t>HF26724K2</t>
  </si>
  <si>
    <t>0103574527</t>
  </si>
  <si>
    <t>HF26724J4</t>
  </si>
  <si>
    <t>0103574530</t>
  </si>
  <si>
    <t>HF26724J7</t>
  </si>
  <si>
    <t>0103574536</t>
  </si>
  <si>
    <t>HF26724K4</t>
  </si>
  <si>
    <t>0103574522</t>
  </si>
  <si>
    <t>HF26724H8</t>
  </si>
  <si>
    <t>0103574525</t>
  </si>
  <si>
    <t>HF26724J2</t>
  </si>
  <si>
    <t>0103574512</t>
  </si>
  <si>
    <t>HF26724G8</t>
  </si>
  <si>
    <t>0103574529</t>
  </si>
  <si>
    <t>HF26724J6</t>
  </si>
  <si>
    <t>0103574532</t>
  </si>
  <si>
    <t>HF26724J9</t>
  </si>
  <si>
    <t>0103574538</t>
  </si>
  <si>
    <t>HF26724K6</t>
  </si>
  <si>
    <t>0103574523</t>
  </si>
  <si>
    <t>HF26724H9</t>
  </si>
  <si>
    <t>0103574515</t>
  </si>
  <si>
    <t>HF26724H2</t>
  </si>
  <si>
    <t>0103574528</t>
  </si>
  <si>
    <t>HF26724J5</t>
  </si>
  <si>
    <t>0103574533</t>
  </si>
  <si>
    <t>HF26724K1</t>
  </si>
  <si>
    <t>0103574537</t>
  </si>
  <si>
    <t>HF26724K5</t>
  </si>
  <si>
    <t>0103574524</t>
  </si>
  <si>
    <t>HF26724J1</t>
  </si>
  <si>
    <t>0103574451</t>
  </si>
  <si>
    <t>HF26724A1</t>
  </si>
  <si>
    <t>0103574482</t>
  </si>
  <si>
    <t>HF26724D5</t>
  </si>
  <si>
    <t>0103574517</t>
  </si>
  <si>
    <t>HF26724H4</t>
  </si>
  <si>
    <t>0103574531</t>
  </si>
  <si>
    <t>HF26724J8</t>
  </si>
  <si>
    <t>0103574535</t>
  </si>
  <si>
    <t>HF26724K3</t>
  </si>
  <si>
    <t>0103574460</t>
  </si>
  <si>
    <t>HF26724B1</t>
  </si>
  <si>
    <t>0103574511</t>
  </si>
  <si>
    <t>HF26724G7</t>
  </si>
  <si>
    <t>0103574485</t>
  </si>
  <si>
    <t>HF26724D8</t>
  </si>
  <si>
    <t>0103574484</t>
  </si>
  <si>
    <t>HF26724D7</t>
  </si>
  <si>
    <t>0103574467</t>
  </si>
  <si>
    <t>HF26724B8</t>
  </si>
  <si>
    <t>0103574492</t>
  </si>
  <si>
    <t>HF26724E6</t>
  </si>
  <si>
    <t>0103584147</t>
  </si>
  <si>
    <t>260730Y01A</t>
  </si>
  <si>
    <t>0103584149</t>
  </si>
  <si>
    <t>260730Y02A</t>
  </si>
  <si>
    <t>Bio-9</t>
  </si>
  <si>
    <t>Bio-10</t>
  </si>
  <si>
    <t>M9-31</t>
  </si>
  <si>
    <t>HZ2672206</t>
  </si>
  <si>
    <t>0103574502</t>
  </si>
  <si>
    <t>HF26724F7</t>
  </si>
  <si>
    <t>FINISH</t>
  </si>
  <si>
    <t>CA-H2608-PD-027</t>
  </si>
  <si>
    <t>1001936155</t>
  </si>
  <si>
    <t>0103591605</t>
  </si>
  <si>
    <t>260803C01A</t>
  </si>
  <si>
    <t>CA-H2608-PD-030</t>
  </si>
  <si>
    <t>1001936156</t>
  </si>
  <si>
    <t>0103591606</t>
  </si>
  <si>
    <t>260803C02A</t>
  </si>
  <si>
    <t>CA-H2608-PD-032</t>
  </si>
  <si>
    <t>1001936157</t>
  </si>
  <si>
    <t>0103591607</t>
  </si>
  <si>
    <t>260803C03A</t>
  </si>
  <si>
    <t>CA-H2608-PD-035</t>
  </si>
  <si>
    <t>1001936159</t>
  </si>
  <si>
    <t>0103591608</t>
  </si>
  <si>
    <t>260803C04A</t>
  </si>
  <si>
    <t>CA-H2608-PD-037</t>
  </si>
  <si>
    <t>1001936161</t>
  </si>
  <si>
    <t>0103591610</t>
  </si>
  <si>
    <t>260803C05A</t>
  </si>
  <si>
    <t>CA-H2608-PD-036</t>
  </si>
  <si>
    <t>1001936162</t>
  </si>
  <si>
    <t>0103591611</t>
  </si>
  <si>
    <t>260803C06A</t>
  </si>
  <si>
    <t>Aug21-01</t>
  </si>
  <si>
    <t>Aug21-02</t>
  </si>
  <si>
    <t>Aug21-03</t>
  </si>
  <si>
    <t>Aug21-04</t>
  </si>
  <si>
    <t>Aug21-05</t>
  </si>
  <si>
    <t>Aug21-06</t>
  </si>
  <si>
    <t>0103583263</t>
  </si>
  <si>
    <t>VF26730A1</t>
  </si>
  <si>
    <t>0103499916</t>
  </si>
  <si>
    <t>HF26617C8</t>
  </si>
  <si>
    <t>0103499917</t>
  </si>
  <si>
    <t>HF26617C9</t>
  </si>
  <si>
    <t>0103499931</t>
  </si>
  <si>
    <t>HF26617E4</t>
  </si>
  <si>
    <t>0103499932</t>
  </si>
  <si>
    <t>HF26617E5</t>
  </si>
  <si>
    <t>0103499940</t>
  </si>
  <si>
    <t>HF26617F4</t>
  </si>
  <si>
    <t>0103466064</t>
  </si>
  <si>
    <t>HF26602G7</t>
  </si>
  <si>
    <t>0103466065</t>
  </si>
  <si>
    <t>HF26602G8</t>
  </si>
  <si>
    <t>0103475067</t>
  </si>
  <si>
    <t>HF26605C2</t>
  </si>
  <si>
    <t>0103475068</t>
  </si>
  <si>
    <t>HF26605C3</t>
  </si>
  <si>
    <t>0103499942</t>
  </si>
  <si>
    <t>HF26617F6</t>
  </si>
  <si>
    <t>0103478993</t>
  </si>
  <si>
    <t>HF26608D9</t>
  </si>
  <si>
    <t>0103466058</t>
  </si>
  <si>
    <t>HF26602G1</t>
  </si>
  <si>
    <t>0103466070</t>
  </si>
  <si>
    <t>HF26602H4</t>
  </si>
  <si>
    <t>0103466071</t>
  </si>
  <si>
    <t>HF26602H5</t>
  </si>
  <si>
    <t>CA-H2608-PD-025</t>
  </si>
  <si>
    <t>1001936553</t>
  </si>
  <si>
    <t>0103592377</t>
  </si>
  <si>
    <t>CA-H2608-PD-024</t>
  </si>
  <si>
    <t>1001936554</t>
  </si>
  <si>
    <t>0103592378</t>
  </si>
  <si>
    <t>CA-H2608-PD-046</t>
  </si>
  <si>
    <t>1001936555</t>
  </si>
  <si>
    <t>0103592379</t>
  </si>
  <si>
    <t>260803K01A</t>
  </si>
  <si>
    <t>260803K02A</t>
  </si>
  <si>
    <t>260803K03A</t>
  </si>
  <si>
    <t>CA-H2608-PD-033</t>
  </si>
  <si>
    <t>1001936547</t>
  </si>
  <si>
    <t>0103592371</t>
  </si>
  <si>
    <t>260803C07A</t>
  </si>
  <si>
    <t>CA-H2608-PD-034</t>
  </si>
  <si>
    <t>1001936548</t>
  </si>
  <si>
    <t>0103592372</t>
  </si>
  <si>
    <t>260803C08A</t>
  </si>
  <si>
    <t>1001936549</t>
  </si>
  <si>
    <t>0103592373</t>
  </si>
  <si>
    <t>260803C09A</t>
  </si>
  <si>
    <t>CA-H2608-PD-041</t>
  </si>
  <si>
    <t>1001936550</t>
  </si>
  <si>
    <t>0103592374</t>
  </si>
  <si>
    <t>260803C10A</t>
  </si>
  <si>
    <t>1001936551</t>
  </si>
  <si>
    <t>0103592375</t>
  </si>
  <si>
    <t>260803C11A</t>
  </si>
  <si>
    <t>1001936552</t>
  </si>
  <si>
    <t>0103592376</t>
  </si>
  <si>
    <t>260803C12A</t>
  </si>
  <si>
    <t>Aug24-01</t>
  </si>
  <si>
    <t>Aug27-01</t>
  </si>
  <si>
    <t>Aug24-02</t>
  </si>
  <si>
    <t>Aug24-03</t>
  </si>
  <si>
    <t>Aug24-04</t>
  </si>
  <si>
    <t>Aug24-05</t>
  </si>
  <si>
    <t>Aug24-06</t>
  </si>
  <si>
    <t>Aug24-07</t>
  </si>
  <si>
    <t>Aug24-08</t>
  </si>
  <si>
    <t>0103532252</t>
  </si>
  <si>
    <t>JF26703A2</t>
  </si>
  <si>
    <t>0103532253</t>
  </si>
  <si>
    <t>JF26703A3</t>
  </si>
  <si>
    <t>0103532254</t>
  </si>
  <si>
    <t>JF26703A4</t>
  </si>
  <si>
    <t>0103532255</t>
  </si>
  <si>
    <t>JF26703A5</t>
  </si>
  <si>
    <t>0103532256</t>
  </si>
  <si>
    <t>JF26703A6</t>
  </si>
  <si>
    <t>0103532257</t>
  </si>
  <si>
    <t>JF26703A7</t>
  </si>
  <si>
    <t>0103532258</t>
  </si>
  <si>
    <t>JF26703A8</t>
  </si>
  <si>
    <t>0103532260</t>
  </si>
  <si>
    <t>JF26703A9</t>
  </si>
  <si>
    <t>0103540317</t>
  </si>
  <si>
    <t>HF26708J7</t>
  </si>
  <si>
    <t>0103458479</t>
  </si>
  <si>
    <t>HF26529H4</t>
  </si>
  <si>
    <t>0103518481</t>
  </si>
  <si>
    <t>HF26626F1</t>
  </si>
  <si>
    <t>0103518482</t>
  </si>
  <si>
    <t>HF26626F2</t>
  </si>
  <si>
    <t>0103518483</t>
  </si>
  <si>
    <t>HF26626F3</t>
  </si>
  <si>
    <t>0103499943</t>
  </si>
  <si>
    <t>HF26617F7</t>
  </si>
  <si>
    <t>0103499944</t>
  </si>
  <si>
    <t>HF26617F8</t>
  </si>
  <si>
    <t>0103499945</t>
  </si>
  <si>
    <t>HF26617F9</t>
  </si>
  <si>
    <t>0103499951</t>
  </si>
  <si>
    <t>HF26617G6</t>
  </si>
  <si>
    <t>0103499952</t>
  </si>
  <si>
    <t>HF26617G7</t>
  </si>
  <si>
    <t>0103475071</t>
  </si>
  <si>
    <t>HF26605C6</t>
  </si>
  <si>
    <t>0103475106</t>
  </si>
  <si>
    <t>HF26605F6</t>
  </si>
  <si>
    <t>0103478965</t>
  </si>
  <si>
    <t>HF26608A8</t>
  </si>
  <si>
    <t>0103462957</t>
  </si>
  <si>
    <t>JF26601A7</t>
  </si>
  <si>
    <t>0103513586</t>
  </si>
  <si>
    <t>JF26623A1</t>
  </si>
  <si>
    <t>0103519719</t>
  </si>
  <si>
    <t>JF26626A2</t>
  </si>
  <si>
    <t>0103527232</t>
  </si>
  <si>
    <t>JF26702B7</t>
  </si>
  <si>
    <t>0103527233</t>
  </si>
  <si>
    <t>JF26702B8</t>
  </si>
  <si>
    <t>0103527234</t>
  </si>
  <si>
    <t>JF26702B9</t>
  </si>
  <si>
    <t>0103527235</t>
  </si>
  <si>
    <t>JF26702C1</t>
  </si>
  <si>
    <t>CA-H2608-PD-079</t>
  </si>
  <si>
    <t>1001938824</t>
  </si>
  <si>
    <t>1911069-F-A</t>
  </si>
  <si>
    <t>HJ60PB350P10000 JP</t>
  </si>
  <si>
    <t>0103596318</t>
  </si>
  <si>
    <t>260805C01A</t>
  </si>
  <si>
    <t>CA-H2608-PD-081</t>
  </si>
  <si>
    <t>1001938825</t>
  </si>
  <si>
    <t>1911093-F-A</t>
  </si>
  <si>
    <t>HJ60SP300P10000 JP</t>
  </si>
  <si>
    <t>0103596319</t>
  </si>
  <si>
    <t>260805C02A</t>
  </si>
  <si>
    <t>CA-H2608-PD-084</t>
  </si>
  <si>
    <t>1001938826</t>
  </si>
  <si>
    <t>1911098-F-A</t>
  </si>
  <si>
    <t>HJ60SP352P10020 JP</t>
  </si>
  <si>
    <t>0103596320</t>
  </si>
  <si>
    <t>260805C03A</t>
  </si>
  <si>
    <t>CA-H2608-PD-083</t>
  </si>
  <si>
    <t>1001938827</t>
  </si>
  <si>
    <t>1911097-F-A</t>
  </si>
  <si>
    <t>HJ60SP350P10000 JP</t>
  </si>
  <si>
    <t>0103596321</t>
  </si>
  <si>
    <t>260805C04A</t>
  </si>
  <si>
    <t>2112100-0-C</t>
  </si>
  <si>
    <t>Aug21-07</t>
  </si>
  <si>
    <t>Aug21-08</t>
  </si>
  <si>
    <t>Aug21-09</t>
  </si>
  <si>
    <t>Aug21-10</t>
  </si>
  <si>
    <t>0103563107</t>
  </si>
  <si>
    <t>HF26718A9</t>
  </si>
  <si>
    <t>0103563147</t>
  </si>
  <si>
    <t>HF26718F4</t>
  </si>
  <si>
    <t>0103493620</t>
  </si>
  <si>
    <t>HF26615B6</t>
  </si>
  <si>
    <t>0103548863</t>
  </si>
  <si>
    <t>HF26713A9</t>
  </si>
  <si>
    <t>0103499909</t>
  </si>
  <si>
    <t>HF26617C1</t>
  </si>
  <si>
    <t>0103499910</t>
  </si>
  <si>
    <t>HF26617C2</t>
  </si>
  <si>
    <t>CA-H2608-PD-134</t>
  </si>
  <si>
    <t>1001938867</t>
  </si>
  <si>
    <t>2141056-D-A</t>
  </si>
  <si>
    <t>CRV135-19P KR</t>
  </si>
  <si>
    <t>KOREA</t>
  </si>
  <si>
    <t>0103596400</t>
  </si>
  <si>
    <t>260805K01A</t>
  </si>
  <si>
    <t>CA-H2608-PD-049</t>
  </si>
  <si>
    <t>1001938868</t>
  </si>
  <si>
    <t>0103596401</t>
  </si>
  <si>
    <t>260805K02A</t>
  </si>
  <si>
    <t>1001938869</t>
  </si>
  <si>
    <t>0103596402</t>
  </si>
  <si>
    <t>260805K03A</t>
  </si>
  <si>
    <t>CA-H2608-PD-052</t>
  </si>
  <si>
    <t>1001938870</t>
  </si>
  <si>
    <t>1941080-D-A</t>
  </si>
  <si>
    <t>CSRP150-26NR JP</t>
  </si>
  <si>
    <t>0103596403</t>
  </si>
  <si>
    <t>260805K04A</t>
  </si>
  <si>
    <t>CA-H2608-PD-050</t>
  </si>
  <si>
    <t>1001938871</t>
  </si>
  <si>
    <t>0103596404</t>
  </si>
  <si>
    <t>260805K05A</t>
  </si>
  <si>
    <t>1942115-B-C</t>
  </si>
  <si>
    <t>CA-H2608-PD-114</t>
  </si>
  <si>
    <t>1001938853</t>
  </si>
  <si>
    <t>1911231-F-A</t>
  </si>
  <si>
    <t>HJ70SP402P10020 JP</t>
  </si>
  <si>
    <t>0103596386</t>
  </si>
  <si>
    <t>260805C05A</t>
  </si>
  <si>
    <t>1001938854</t>
  </si>
  <si>
    <t>0103596387</t>
  </si>
  <si>
    <t>260805C06A</t>
  </si>
  <si>
    <t>CA-H2608-PD-112</t>
  </si>
  <si>
    <t>1001938855</t>
  </si>
  <si>
    <t>1911228-F-A</t>
  </si>
  <si>
    <t>HJ70SP372P10020 JP</t>
  </si>
  <si>
    <t>0103596388</t>
  </si>
  <si>
    <t>260805C07A</t>
  </si>
  <si>
    <t>CA-H2608-PD-110</t>
  </si>
  <si>
    <t>1001938856</t>
  </si>
  <si>
    <t>1911225-F-A</t>
  </si>
  <si>
    <t>HJ70SP352P10020 JP</t>
  </si>
  <si>
    <t>0103596389</t>
  </si>
  <si>
    <t>260805C08A</t>
  </si>
  <si>
    <t>CA-H2608-PD-068</t>
  </si>
  <si>
    <t>1001938857</t>
  </si>
  <si>
    <t>1911039-E-A</t>
  </si>
  <si>
    <t>HJ60JL350P10000 JP</t>
  </si>
  <si>
    <t>0103596390</t>
  </si>
  <si>
    <t>260805C09A</t>
  </si>
  <si>
    <t>CA-H2608-PD-069</t>
  </si>
  <si>
    <t>1001938858</t>
  </si>
  <si>
    <t>1911041-D-A</t>
  </si>
  <si>
    <t>HJ60JL350P10001 JP</t>
  </si>
  <si>
    <t>0103596391</t>
  </si>
  <si>
    <t>260805C10A</t>
  </si>
  <si>
    <t>CA-H2608-PD-096</t>
  </si>
  <si>
    <t>1001938859</t>
  </si>
  <si>
    <t>1911149-D-A</t>
  </si>
  <si>
    <t>HJ70JL352P10020 JP</t>
  </si>
  <si>
    <t>0103596392</t>
  </si>
  <si>
    <t>260805C11A</t>
  </si>
  <si>
    <t>CA-H2608-PD-059</t>
  </si>
  <si>
    <t>1001938860</t>
  </si>
  <si>
    <t>1911084-E-A</t>
  </si>
  <si>
    <t>HJ60AL102P10022 JP</t>
  </si>
  <si>
    <t>0103596393</t>
  </si>
  <si>
    <t>260805C12A</t>
  </si>
  <si>
    <t>CA-H2608-PD-057</t>
  </si>
  <si>
    <t>1001938861</t>
  </si>
  <si>
    <t>1911083-D-A</t>
  </si>
  <si>
    <t>HJ60AL100P10022 JP</t>
  </si>
  <si>
    <t>0103596394</t>
  </si>
  <si>
    <t>260805C13A</t>
  </si>
  <si>
    <t>1001938862</t>
  </si>
  <si>
    <t>0103596395</t>
  </si>
  <si>
    <t>260805C14A</t>
  </si>
  <si>
    <t>CA-H2608-PD-075</t>
  </si>
  <si>
    <t>1001938863</t>
  </si>
  <si>
    <t>1911059-D-A</t>
  </si>
  <si>
    <t>HJ60JR400P10020 JP</t>
  </si>
  <si>
    <t>0103596396</t>
  </si>
  <si>
    <t>260805C15A</t>
  </si>
  <si>
    <t>CA-H2608-PD-098</t>
  </si>
  <si>
    <t>1001938864</t>
  </si>
  <si>
    <t>1911154-D-A</t>
  </si>
  <si>
    <t>HJ70JL400P10000 JP</t>
  </si>
  <si>
    <t>0103596397</t>
  </si>
  <si>
    <t>260805C16A</t>
  </si>
  <si>
    <t>CA-H2608-PD-092</t>
  </si>
  <si>
    <t>1001938865</t>
  </si>
  <si>
    <t>1911207-D-A</t>
  </si>
  <si>
    <t>HJ70AL102P10022 JP</t>
  </si>
  <si>
    <t>0103596398</t>
  </si>
  <si>
    <t>260805C17A</t>
  </si>
  <si>
    <t>1001938866</t>
  </si>
  <si>
    <t>0103596399</t>
  </si>
  <si>
    <t>260805C18A</t>
  </si>
  <si>
    <t>2112233-0-C</t>
  </si>
  <si>
    <t>2112230-0-C</t>
  </si>
  <si>
    <t>2112227-0-C</t>
  </si>
  <si>
    <t>2112043-0-C</t>
  </si>
  <si>
    <t>2112151-0-C</t>
  </si>
  <si>
    <t>2112086-0-C</t>
  </si>
  <si>
    <t>2112085-0-C</t>
  </si>
  <si>
    <t>2112156-0-C</t>
  </si>
  <si>
    <t>2112209-0-C</t>
  </si>
  <si>
    <t>Aug24-09</t>
  </si>
  <si>
    <t>Aug24-10</t>
  </si>
  <si>
    <t>Aug24-11</t>
  </si>
  <si>
    <t>Aug24-12</t>
  </si>
  <si>
    <t>Aug24-13</t>
  </si>
  <si>
    <t>Aug24-14</t>
  </si>
  <si>
    <t>Aug24-15</t>
  </si>
  <si>
    <t>Aug24-16</t>
  </si>
  <si>
    <t>Aug24-17</t>
  </si>
  <si>
    <t>Aug24-18</t>
  </si>
  <si>
    <t>Aug24-19</t>
  </si>
  <si>
    <t>Aug25-01</t>
  </si>
  <si>
    <t>Aug25-02</t>
  </si>
  <si>
    <t>Aug25-03</t>
  </si>
  <si>
    <t>Aug25-04</t>
  </si>
  <si>
    <t>Aug25-05</t>
  </si>
  <si>
    <t>Aug25-06</t>
  </si>
  <si>
    <t>Aug25-07</t>
  </si>
  <si>
    <t>Aug25-08</t>
  </si>
  <si>
    <t>1001939134</t>
  </si>
  <si>
    <t>2009007 MASTERS HF</t>
  </si>
  <si>
    <t>0103596796</t>
  </si>
  <si>
    <t>260805K06A</t>
  </si>
  <si>
    <t>7</t>
  </si>
  <si>
    <t>Aug24-20</t>
  </si>
  <si>
    <t>0103497218</t>
  </si>
  <si>
    <t>JF26616A8</t>
  </si>
  <si>
    <t>0103472969</t>
  </si>
  <si>
    <t>JF26605B4</t>
  </si>
  <si>
    <t>0103472970</t>
  </si>
  <si>
    <t>JF26605B5</t>
  </si>
  <si>
    <t>0103518175</t>
  </si>
  <si>
    <t>JF26625A6</t>
  </si>
  <si>
    <t>0103518176</t>
  </si>
  <si>
    <t>JF26625A7</t>
  </si>
  <si>
    <t>0103518177</t>
  </si>
  <si>
    <t>JF26625A8</t>
  </si>
  <si>
    <t>0103518178</t>
  </si>
  <si>
    <t>JF26625A9</t>
  </si>
  <si>
    <t>0103532532</t>
  </si>
  <si>
    <t>JF26704A1</t>
  </si>
  <si>
    <t>0103532670</t>
  </si>
  <si>
    <t>HF26704D8</t>
  </si>
  <si>
    <t>0103499894</t>
  </si>
  <si>
    <t>HF26617A5</t>
  </si>
  <si>
    <t>0103548895</t>
  </si>
  <si>
    <t>HF26713E5</t>
  </si>
  <si>
    <t>0103548896</t>
  </si>
  <si>
    <t>HF26713E6</t>
  </si>
  <si>
    <t>0103540312</t>
  </si>
  <si>
    <t>HF26708J2</t>
  </si>
  <si>
    <t>0103540320</t>
  </si>
  <si>
    <t>HF26708K1</t>
  </si>
  <si>
    <t>0103540321</t>
  </si>
  <si>
    <t>HF26708K2</t>
  </si>
  <si>
    <t>0103563141</t>
  </si>
  <si>
    <t>HF26718E7</t>
  </si>
  <si>
    <t>0103499907</t>
  </si>
  <si>
    <t>HF26617B8</t>
  </si>
  <si>
    <t>0103432253</t>
  </si>
  <si>
    <t>HF26519D7</t>
  </si>
  <si>
    <t>0103432254</t>
  </si>
  <si>
    <t>HF26519D8</t>
  </si>
  <si>
    <t>0103548864</t>
  </si>
  <si>
    <t>HF26713B1</t>
  </si>
  <si>
    <t>0103479025</t>
  </si>
  <si>
    <t>HF26608H5</t>
  </si>
  <si>
    <t>0103479026</t>
  </si>
  <si>
    <t>HF26608H6</t>
  </si>
  <si>
    <t>0103548900</t>
  </si>
  <si>
    <t>HF26713F1</t>
  </si>
  <si>
    <t>0103548901</t>
  </si>
  <si>
    <t>HF26713F2</t>
  </si>
  <si>
    <t>0103457717</t>
  </si>
  <si>
    <t>JP26528E7</t>
  </si>
  <si>
    <t>0103532533</t>
  </si>
  <si>
    <t>JF26704A2</t>
  </si>
  <si>
    <t>0103532534</t>
  </si>
  <si>
    <t>JF26704A3</t>
  </si>
  <si>
    <t>0103532535</t>
  </si>
  <si>
    <t>JF26704A4</t>
  </si>
  <si>
    <t>0103532540</t>
  </si>
  <si>
    <t>JF26704A9</t>
  </si>
  <si>
    <t>0103513957</t>
  </si>
  <si>
    <t>JF26624A1</t>
  </si>
  <si>
    <t>0103454412</t>
  </si>
  <si>
    <t>JF26528B1</t>
  </si>
  <si>
    <t>0103454413</t>
  </si>
  <si>
    <t>JF26528B2</t>
  </si>
  <si>
    <t>0103454414</t>
  </si>
  <si>
    <t>JF26528B3</t>
  </si>
  <si>
    <t>0103454415</t>
  </si>
  <si>
    <t>JF26528B4</t>
  </si>
  <si>
    <t>0103499923</t>
  </si>
  <si>
    <t>HF26617D5</t>
  </si>
  <si>
    <t>0103499924</t>
  </si>
  <si>
    <t>HF26617D6</t>
  </si>
  <si>
    <t>0103499935</t>
  </si>
  <si>
    <t>HF26617E8</t>
  </si>
  <si>
    <t>0103499936</t>
  </si>
  <si>
    <t>HF26617E9</t>
  </si>
  <si>
    <t>0103548903</t>
  </si>
  <si>
    <t>HF26713F4</t>
  </si>
  <si>
    <t>0103526882</t>
  </si>
  <si>
    <t>HF26702F2</t>
  </si>
  <si>
    <t>0103548897</t>
  </si>
  <si>
    <t>HF26713E7</t>
  </si>
  <si>
    <t>0103549112</t>
  </si>
  <si>
    <t>HF26713J8</t>
  </si>
  <si>
    <t>0103499920</t>
  </si>
  <si>
    <t>HF26617D3</t>
  </si>
  <si>
    <t>0103499922</t>
  </si>
  <si>
    <t>HF26617D4</t>
  </si>
  <si>
    <t>0103499933</t>
  </si>
  <si>
    <t>HF26617E6</t>
  </si>
  <si>
    <t>0103499934</t>
  </si>
  <si>
    <t>HF26617E7</t>
  </si>
  <si>
    <t>CA-H2608-PD-158</t>
  </si>
  <si>
    <t>1001940457</t>
  </si>
  <si>
    <t>0103599590</t>
  </si>
  <si>
    <t>260807K01A</t>
  </si>
  <si>
    <t>CA-H2608-PD-156</t>
  </si>
  <si>
    <t>1001940458</t>
  </si>
  <si>
    <t>0103599591</t>
  </si>
  <si>
    <t>260807K02A</t>
  </si>
  <si>
    <t>CA-H2608-PD-159</t>
  </si>
  <si>
    <t>1001940459</t>
  </si>
  <si>
    <t>PSC14150S-E-A</t>
  </si>
  <si>
    <t>PSC14150S US</t>
  </si>
  <si>
    <t>0103599592</t>
  </si>
  <si>
    <t>260807K03A</t>
  </si>
  <si>
    <t>CA-H2608-PD-155</t>
  </si>
  <si>
    <t>1001940460</t>
  </si>
  <si>
    <t>PSC18150S-E-A</t>
  </si>
  <si>
    <t>PSC18150S US</t>
  </si>
  <si>
    <t>0103599593</t>
  </si>
  <si>
    <t>260807K04A</t>
  </si>
  <si>
    <t>CA-H2608-PD-157</t>
  </si>
  <si>
    <t>1001940461</t>
  </si>
  <si>
    <t>1941097-B-A</t>
  </si>
  <si>
    <t>CSR150-26P US</t>
  </si>
  <si>
    <t>0103599594</t>
  </si>
  <si>
    <t>260807K05A</t>
  </si>
  <si>
    <t>CA-H2608-PD-162</t>
  </si>
  <si>
    <t>1001940462</t>
  </si>
  <si>
    <t>1941096-B-A</t>
  </si>
  <si>
    <t>CSR135-26P US</t>
  </si>
  <si>
    <t>0103599595</t>
  </si>
  <si>
    <t>260807K06A</t>
  </si>
  <si>
    <t>1001940463</t>
  </si>
  <si>
    <t>0103599596</t>
  </si>
  <si>
    <t>260807K07A</t>
  </si>
  <si>
    <t>CA-H2608-PD-161</t>
  </si>
  <si>
    <t>1001940464</t>
  </si>
  <si>
    <t>0103599597</t>
  </si>
  <si>
    <t>260807K08A</t>
  </si>
  <si>
    <t>1001940465</t>
  </si>
  <si>
    <t>0103599598</t>
  </si>
  <si>
    <t>260807K09A</t>
  </si>
  <si>
    <t>CA-H2608-PD-164</t>
  </si>
  <si>
    <t>1001940466</t>
  </si>
  <si>
    <t>2141057-D-A</t>
  </si>
  <si>
    <t>CRV150-19P KR</t>
  </si>
  <si>
    <t>0103599599</t>
  </si>
  <si>
    <t>260807K10A</t>
  </si>
  <si>
    <t>CA-H2608-PD-153</t>
  </si>
  <si>
    <t>1001940467</t>
  </si>
  <si>
    <t>0103599600</t>
  </si>
  <si>
    <t>260807K11A</t>
  </si>
  <si>
    <t>CA-H2608-PD-154</t>
  </si>
  <si>
    <t>1001940468</t>
  </si>
  <si>
    <t>0103599601</t>
  </si>
  <si>
    <t>260807K12A</t>
  </si>
  <si>
    <t>CA-H2608-PD-121</t>
  </si>
  <si>
    <t>1001940469</t>
  </si>
  <si>
    <t>1941023-F-A</t>
  </si>
  <si>
    <t>MST125-27HFR JP</t>
  </si>
  <si>
    <t>0103599602</t>
  </si>
  <si>
    <t>260807K13A</t>
  </si>
  <si>
    <t>PSC35150S-E-C</t>
  </si>
  <si>
    <t>PSC14150S-F-C</t>
  </si>
  <si>
    <t>PSC18150S-F-C</t>
  </si>
  <si>
    <t>2042140-B-C</t>
  </si>
  <si>
    <t>CA-H2608-PD-135</t>
  </si>
  <si>
    <t>1001940470</t>
  </si>
  <si>
    <t>2211774-E-A</t>
  </si>
  <si>
    <t>HW60AL070P10002 KR</t>
  </si>
  <si>
    <t>0103599603</t>
  </si>
  <si>
    <t>260807C01A</t>
  </si>
  <si>
    <t>CA-H2608-PD-146</t>
  </si>
  <si>
    <t>1001940471</t>
  </si>
  <si>
    <t>2211910-E-A</t>
  </si>
  <si>
    <t>HW70AL100P10002 KR</t>
  </si>
  <si>
    <t>0103599604</t>
  </si>
  <si>
    <t>260807C02A</t>
  </si>
  <si>
    <t>CA-H2608-PD-151</t>
  </si>
  <si>
    <t>1001940472</t>
  </si>
  <si>
    <t>2211978-E-A</t>
  </si>
  <si>
    <t>HW70JR400P10000 KR</t>
  </si>
  <si>
    <t>0103599605</t>
  </si>
  <si>
    <t>260807C03A</t>
  </si>
  <si>
    <t>CA-H2608-PD-140</t>
  </si>
  <si>
    <t>1001940473</t>
  </si>
  <si>
    <t>2211850-E-A</t>
  </si>
  <si>
    <t>HW60JR400P10000 KR</t>
  </si>
  <si>
    <t>0103599606</t>
  </si>
  <si>
    <t>260807C04A</t>
  </si>
  <si>
    <t>CA-H2608-PD-169</t>
  </si>
  <si>
    <t>1001940474</t>
  </si>
  <si>
    <t>2211824-E-A</t>
  </si>
  <si>
    <t>HW60JL350P10000 KR</t>
  </si>
  <si>
    <t>0103599607</t>
  </si>
  <si>
    <t>260807C05A</t>
  </si>
  <si>
    <t>CA-H2608-PD-138</t>
  </si>
  <si>
    <t>1001940475</t>
  </si>
  <si>
    <t>0103599608</t>
  </si>
  <si>
    <t>260807C06A</t>
  </si>
  <si>
    <t>CA-H2608-PD-150</t>
  </si>
  <si>
    <t>1001940476</t>
  </si>
  <si>
    <t>2211956-E-A</t>
  </si>
  <si>
    <t>HW70JL352P10000 KR</t>
  </si>
  <si>
    <t>0103599609</t>
  </si>
  <si>
    <t>260807C07A</t>
  </si>
  <si>
    <t>CA-H2608-PD-177</t>
  </si>
  <si>
    <t>1001940477</t>
  </si>
  <si>
    <t>2211952-E-A</t>
  </si>
  <si>
    <t>HW70JL350P10000 KR</t>
  </si>
  <si>
    <t>0103599610</t>
  </si>
  <si>
    <t>260807C08A</t>
  </si>
  <si>
    <t>CA-H2608-PD-139</t>
  </si>
  <si>
    <t>1001940478</t>
  </si>
  <si>
    <t>2211828-E-A</t>
  </si>
  <si>
    <t>HW60JL352P10000 KR</t>
  </si>
  <si>
    <t>0103599611</t>
  </si>
  <si>
    <t>260807C09A</t>
  </si>
  <si>
    <t>CA-H2608-PD-165</t>
  </si>
  <si>
    <t>1001940479</t>
  </si>
  <si>
    <t>2211785-E-A</t>
  </si>
  <si>
    <t>HW60AL102P10000 KR</t>
  </si>
  <si>
    <t>0103599612</t>
  </si>
  <si>
    <t>260807C10A</t>
  </si>
  <si>
    <t>CA-H2608-PD-149</t>
  </si>
  <si>
    <t>1001940480</t>
  </si>
  <si>
    <t>0103599613</t>
  </si>
  <si>
    <t>260807C11A</t>
  </si>
  <si>
    <t>CA-H2608-PD-176</t>
  </si>
  <si>
    <t>1001940481</t>
  </si>
  <si>
    <t>2211914-E-A</t>
  </si>
  <si>
    <t>HW70AL102P10002 KR</t>
  </si>
  <si>
    <t>0103599614</t>
  </si>
  <si>
    <t>260807C12A</t>
  </si>
  <si>
    <t>CA-H2608-PD-147</t>
  </si>
  <si>
    <t>1001940482</t>
  </si>
  <si>
    <t>0103599615</t>
  </si>
  <si>
    <t>260807C13A</t>
  </si>
  <si>
    <t>CA-H2608-PD-166</t>
  </si>
  <si>
    <t>1001940483</t>
  </si>
  <si>
    <t>2211786-E-A</t>
  </si>
  <si>
    <t>HW60AL102P10002 KR</t>
  </si>
  <si>
    <t>0103599616</t>
  </si>
  <si>
    <t>260807C14A</t>
  </si>
  <si>
    <t>CA-H2607-PD-612</t>
  </si>
  <si>
    <t>1001940484</t>
  </si>
  <si>
    <t>0103599617</t>
  </si>
  <si>
    <t>260807C15A</t>
  </si>
  <si>
    <t>CA-H2608-PD-014</t>
  </si>
  <si>
    <t>1001940485</t>
  </si>
  <si>
    <t>0103599618</t>
  </si>
  <si>
    <t>260807C16A</t>
  </si>
  <si>
    <t>CA-H2608-PD-015</t>
  </si>
  <si>
    <t>1001940486</t>
  </si>
  <si>
    <t>0103599619</t>
  </si>
  <si>
    <t>260807C17A</t>
  </si>
  <si>
    <t>CA-H2607-PD-476</t>
  </si>
  <si>
    <t>1001940487</t>
  </si>
  <si>
    <t>2211019-C-A</t>
  </si>
  <si>
    <t>HW60JL400P10000 NOCE</t>
  </si>
  <si>
    <t>0103599620</t>
  </si>
  <si>
    <t>260807C18A</t>
  </si>
  <si>
    <t>1001940488</t>
  </si>
  <si>
    <t>0103599621</t>
  </si>
  <si>
    <t>260807C19A</t>
  </si>
  <si>
    <t>CA-H2608-PD-103</t>
  </si>
  <si>
    <t>1001940489</t>
  </si>
  <si>
    <t>1911173-D-A</t>
  </si>
  <si>
    <t>HJ70JR400P10020 JP</t>
  </si>
  <si>
    <t>0103599622</t>
  </si>
  <si>
    <t>260807C20A</t>
  </si>
  <si>
    <t>CA-H2608-PD-104</t>
  </si>
  <si>
    <t>1001940490</t>
  </si>
  <si>
    <t>1911175-D-A</t>
  </si>
  <si>
    <t>HJ70JR402P10020 JP</t>
  </si>
  <si>
    <t>0103599623</t>
  </si>
  <si>
    <t>260807C21A</t>
  </si>
  <si>
    <t>1001940491</t>
  </si>
  <si>
    <t>0103599624</t>
  </si>
  <si>
    <t>260807C22A</t>
  </si>
  <si>
    <t>CA-H2608-PD-085</t>
  </si>
  <si>
    <t>1001940492</t>
  </si>
  <si>
    <t>1911099-F-A</t>
  </si>
  <si>
    <t>HJ60SP370P10000 JP</t>
  </si>
  <si>
    <t>0103599625</t>
  </si>
  <si>
    <t>260807C23A</t>
  </si>
  <si>
    <t>CA-H2608-PD-109</t>
  </si>
  <si>
    <t>1001940493</t>
  </si>
  <si>
    <t>1911224-F-A</t>
  </si>
  <si>
    <t>HJ70SP350P10000 JP</t>
  </si>
  <si>
    <t>0103599626</t>
  </si>
  <si>
    <t>260807C24A</t>
  </si>
  <si>
    <t>CA-H2608-PD-142</t>
  </si>
  <si>
    <t>1001940494</t>
  </si>
  <si>
    <t>2211886-D-A</t>
  </si>
  <si>
    <t>HW60SP300P10000 KR</t>
  </si>
  <si>
    <t>0103599627</t>
  </si>
  <si>
    <t>260807C25A</t>
  </si>
  <si>
    <t>CA-H2608-PD-143</t>
  </si>
  <si>
    <t>1001940495</t>
  </si>
  <si>
    <t>2211890-D-A</t>
  </si>
  <si>
    <t>HW60SP350P10000 KR</t>
  </si>
  <si>
    <t>0103599628</t>
  </si>
  <si>
    <t>260807C26A</t>
  </si>
  <si>
    <t>CA-H2608-PD-144</t>
  </si>
  <si>
    <t>1001940496</t>
  </si>
  <si>
    <t>2211893-D-A</t>
  </si>
  <si>
    <t>HW60SP370P10000 KR</t>
  </si>
  <si>
    <t>0103599629</t>
  </si>
  <si>
    <t>260807C27A</t>
  </si>
  <si>
    <t>CA-H2608-PD-145</t>
  </si>
  <si>
    <t>1001940497</t>
  </si>
  <si>
    <t>2211896-D-A</t>
  </si>
  <si>
    <t>HW60SP400P10000 KR</t>
  </si>
  <si>
    <t>0103599630</t>
  </si>
  <si>
    <t>260807C28A</t>
  </si>
  <si>
    <t>2112083-0-C</t>
  </si>
  <si>
    <t>2112207-0-C</t>
  </si>
  <si>
    <t>2112149-0-C</t>
  </si>
  <si>
    <t>2112042-0-C</t>
  </si>
  <si>
    <t>2112045-0-C</t>
  </si>
  <si>
    <t>2112177-0-C</t>
  </si>
  <si>
    <t>2112101-0-C</t>
  </si>
  <si>
    <t>2112103-0-C</t>
  </si>
  <si>
    <t>Aug26-01</t>
  </si>
  <si>
    <t>Aug26-02</t>
  </si>
  <si>
    <t>Aug26-03</t>
  </si>
  <si>
    <t>Aug26-04</t>
  </si>
  <si>
    <t>Aug26-05</t>
  </si>
  <si>
    <t>Aug26-06</t>
  </si>
  <si>
    <t>Aug26-07</t>
  </si>
  <si>
    <t>Aug26-08</t>
  </si>
  <si>
    <t>Aug26-09</t>
  </si>
  <si>
    <t>Aug26-10</t>
  </si>
  <si>
    <t>Aug26-11</t>
  </si>
  <si>
    <t>Aug26-12</t>
  </si>
  <si>
    <t>Aug26-13</t>
  </si>
  <si>
    <t>Aug26-14</t>
  </si>
  <si>
    <t>Aug26-15</t>
  </si>
  <si>
    <t>Aug26-16</t>
  </si>
  <si>
    <t>Aug26-17</t>
  </si>
  <si>
    <t>Aug26-18</t>
  </si>
  <si>
    <t>Aug26-19</t>
  </si>
  <si>
    <t>Aug26-20</t>
  </si>
  <si>
    <t>Aug26-21</t>
  </si>
  <si>
    <t>Aug26-22</t>
  </si>
  <si>
    <t>Aug26-23</t>
  </si>
  <si>
    <t>Aug26-24</t>
  </si>
  <si>
    <t>Aug26-25</t>
  </si>
  <si>
    <t>Aug26-26</t>
  </si>
  <si>
    <t>Aug26-27</t>
  </si>
  <si>
    <t>Aug26-28</t>
  </si>
  <si>
    <t>Aug26-29</t>
  </si>
  <si>
    <t>Aug26-30</t>
  </si>
  <si>
    <t>Aug26-31</t>
  </si>
  <si>
    <t>Aug26-32</t>
  </si>
  <si>
    <t>Aug26-33</t>
  </si>
  <si>
    <t>Aug26-34</t>
  </si>
  <si>
    <t>Aug26-35</t>
  </si>
  <si>
    <t>0103490136</t>
  </si>
  <si>
    <t>JF26611B1</t>
  </si>
  <si>
    <t>0103503951</t>
  </si>
  <si>
    <t>JF26618C1</t>
  </si>
  <si>
    <t>0103537179</t>
  </si>
  <si>
    <t>JF26706A2</t>
  </si>
  <si>
    <t>0103556527</t>
  </si>
  <si>
    <t>JF26715B6</t>
  </si>
  <si>
    <t>0103503944</t>
  </si>
  <si>
    <t>JF26618B4</t>
  </si>
  <si>
    <t>0103521218</t>
  </si>
  <si>
    <t>JF26630A2</t>
  </si>
  <si>
    <t>0103537188</t>
  </si>
  <si>
    <t>JF26706B2</t>
  </si>
  <si>
    <t>0103556543</t>
  </si>
  <si>
    <t>JF26715D4</t>
  </si>
  <si>
    <t>0103454416</t>
  </si>
  <si>
    <t>JF26528B5</t>
  </si>
  <si>
    <t>0103454417</t>
  </si>
  <si>
    <t>JF26528B6</t>
  </si>
  <si>
    <t>0103454418</t>
  </si>
  <si>
    <t>JF26528B7</t>
  </si>
  <si>
    <t>0103454419</t>
  </si>
  <si>
    <t>JF26528B8</t>
  </si>
  <si>
    <t>0103454420</t>
  </si>
  <si>
    <t>JF26528B9</t>
  </si>
  <si>
    <t>Aug27-02</t>
  </si>
  <si>
    <t>Aug27-03</t>
  </si>
  <si>
    <t>Aug27-04</t>
  </si>
  <si>
    <t>Aug27-05</t>
  </si>
  <si>
    <t>Aug27-06</t>
  </si>
  <si>
    <t>Aug27-07</t>
  </si>
  <si>
    <t>Aug27-08</t>
  </si>
  <si>
    <t>0103493633</t>
  </si>
  <si>
    <t>HF26615D1</t>
  </si>
  <si>
    <t>0103563156</t>
  </si>
  <si>
    <t>HF26718G4</t>
  </si>
  <si>
    <t>0103443325</t>
  </si>
  <si>
    <t>HF26522C3</t>
  </si>
  <si>
    <t>0103540212</t>
  </si>
  <si>
    <t>HF26708E9</t>
  </si>
  <si>
    <t>0103497219</t>
  </si>
  <si>
    <t>JF26616A9</t>
  </si>
  <si>
    <t>0103497220</t>
  </si>
  <si>
    <t>JF26616B1</t>
  </si>
  <si>
    <t>0103497222</t>
  </si>
  <si>
    <t>JF26616B2</t>
  </si>
  <si>
    <t>0103518173</t>
  </si>
  <si>
    <t>JF26625A4</t>
  </si>
  <si>
    <t>0103518174</t>
  </si>
  <si>
    <t>JF26625A5</t>
  </si>
  <si>
    <t>0103518181</t>
  </si>
  <si>
    <t>JF26625B3</t>
  </si>
  <si>
    <t>0103527229</t>
  </si>
  <si>
    <t>JF26702B4</t>
  </si>
  <si>
    <t>0103527230</t>
  </si>
  <si>
    <t>JF26702B5</t>
  </si>
  <si>
    <t>0103493618</t>
  </si>
  <si>
    <t>HF26615B5</t>
  </si>
  <si>
    <t>0103493632</t>
  </si>
  <si>
    <t>HF26615C9</t>
  </si>
  <si>
    <t>0103563110</t>
  </si>
  <si>
    <t>HF26718B3</t>
  </si>
  <si>
    <t>0103493627</t>
  </si>
  <si>
    <t>HF26615C4</t>
  </si>
  <si>
    <t>0103493624</t>
  </si>
  <si>
    <t>HF26615C1</t>
  </si>
  <si>
    <t>0103493625</t>
  </si>
  <si>
    <t>HF26615C2</t>
  </si>
  <si>
    <t>0103493628</t>
  </si>
  <si>
    <t>HF26615C5</t>
  </si>
  <si>
    <t>0103493638</t>
  </si>
  <si>
    <t>HF26615D6</t>
  </si>
  <si>
    <t>0103493639</t>
  </si>
  <si>
    <t>HF26615D7</t>
  </si>
  <si>
    <t>0103478968</t>
  </si>
  <si>
    <t>HF26608B2</t>
  </si>
  <si>
    <t>0103580465</t>
  </si>
  <si>
    <t>HF26728C1</t>
  </si>
  <si>
    <t>0103499937</t>
  </si>
  <si>
    <t>HF26617F1</t>
  </si>
  <si>
    <t>0103548865</t>
  </si>
  <si>
    <t>HF26713B2</t>
  </si>
  <si>
    <t>0103548898</t>
  </si>
  <si>
    <t>HF26713E8</t>
  </si>
  <si>
    <t>0103556353</t>
  </si>
  <si>
    <t>HF26715B5</t>
  </si>
  <si>
    <t>0103518457</t>
  </si>
  <si>
    <t>HF26626B5</t>
  </si>
  <si>
    <t>0103563157</t>
  </si>
  <si>
    <t>HF26718G5</t>
  </si>
  <si>
    <t>0103529896</t>
  </si>
  <si>
    <t>HF26703A8</t>
  </si>
  <si>
    <t>0103563108</t>
  </si>
  <si>
    <t>HF26718B1</t>
  </si>
  <si>
    <t>1001941083</t>
  </si>
  <si>
    <t>PR1944007-0-A</t>
  </si>
  <si>
    <t>2009015 Tellus</t>
  </si>
  <si>
    <t>0103600407</t>
  </si>
  <si>
    <t>260807K14A</t>
  </si>
  <si>
    <t>TL</t>
  </si>
  <si>
    <t>PR19SR005-0-D</t>
  </si>
  <si>
    <t>Aug26-36</t>
  </si>
  <si>
    <t>0102985864</t>
  </si>
  <si>
    <t>JP25A01A2</t>
  </si>
  <si>
    <t>0103209268</t>
  </si>
  <si>
    <t>JP26128A1</t>
  </si>
  <si>
    <t>CA-H2608-PD-195</t>
  </si>
  <si>
    <t>1001941061</t>
  </si>
  <si>
    <t>1911019-D-A</t>
  </si>
  <si>
    <t>HJ60CP152P10020 JP</t>
  </si>
  <si>
    <t>0103600385</t>
  </si>
  <si>
    <t>260807C29A</t>
  </si>
  <si>
    <t>CA-H2608-PD-246</t>
  </si>
  <si>
    <t>1001941062</t>
  </si>
  <si>
    <t>0103600386</t>
  </si>
  <si>
    <t>260807C30A</t>
  </si>
  <si>
    <t>CA-H2608-PD-199</t>
  </si>
  <si>
    <t>1001941063</t>
  </si>
  <si>
    <t>0103600387</t>
  </si>
  <si>
    <t>260807C31A</t>
  </si>
  <si>
    <t>CA-H2608-PD-055</t>
  </si>
  <si>
    <t>1001941064</t>
  </si>
  <si>
    <t>1911005-E-A</t>
  </si>
  <si>
    <t>HJ60AL100P10020 JP</t>
  </si>
  <si>
    <t>0103600388</t>
  </si>
  <si>
    <t>260807C32A</t>
  </si>
  <si>
    <t>CA-H2608-PD-076</t>
  </si>
  <si>
    <t>1001941065</t>
  </si>
  <si>
    <t>1911061-D-A</t>
  </si>
  <si>
    <t>HJ60JR402P10020 JP</t>
  </si>
  <si>
    <t>0103600389</t>
  </si>
  <si>
    <t>260807C33A</t>
  </si>
  <si>
    <t>CA-H2608-PD-071</t>
  </si>
  <si>
    <t>1001941066</t>
  </si>
  <si>
    <t>1911043-E-A</t>
  </si>
  <si>
    <t>HJ60JL400P10000 JP</t>
  </si>
  <si>
    <t>0103600390</t>
  </si>
  <si>
    <t>260807C34A</t>
  </si>
  <si>
    <t>CA-H2608-PD-297</t>
  </si>
  <si>
    <t>1001941067</t>
  </si>
  <si>
    <t>1911351-E-A</t>
  </si>
  <si>
    <t>HJ80SP372P09000 JP</t>
  </si>
  <si>
    <t>0103600391</t>
  </si>
  <si>
    <t>260807C35A</t>
  </si>
  <si>
    <t>CA-H2608-PD-255</t>
  </si>
  <si>
    <t>1001941068</t>
  </si>
  <si>
    <t>0103600392</t>
  </si>
  <si>
    <t>260807C36A</t>
  </si>
  <si>
    <t>CA-H2608-PD-212</t>
  </si>
  <si>
    <t>1001941069</t>
  </si>
  <si>
    <t>0103600394</t>
  </si>
  <si>
    <t>260807C37A</t>
  </si>
  <si>
    <t>CA-H2608-PD-082</t>
  </si>
  <si>
    <t>1001941071</t>
  </si>
  <si>
    <t>1911094-E-A</t>
  </si>
  <si>
    <t>HJ60SP302P10020 JP</t>
  </si>
  <si>
    <t>0103600395</t>
  </si>
  <si>
    <t>260807C38A</t>
  </si>
  <si>
    <t>CA-H2608-PD-077</t>
  </si>
  <si>
    <t>1001941072</t>
  </si>
  <si>
    <t>1911067-E-A</t>
  </si>
  <si>
    <t>HJ60PB300P10000 JP</t>
  </si>
  <si>
    <t>0103600396</t>
  </si>
  <si>
    <t>260807C39A</t>
  </si>
  <si>
    <t>CA-H2608-PD-214</t>
  </si>
  <si>
    <t>1001941073</t>
  </si>
  <si>
    <t>1911102-E-A</t>
  </si>
  <si>
    <t>HJ60SP402P10020 JP</t>
  </si>
  <si>
    <t>0103600397</t>
  </si>
  <si>
    <t>260807C40A</t>
  </si>
  <si>
    <t>1911222-E-A</t>
  </si>
  <si>
    <t>HJ70SP302P10020 JP</t>
  </si>
  <si>
    <t>260807C41A</t>
  </si>
  <si>
    <t>CA-H2608-PD-261</t>
  </si>
  <si>
    <t>1001941075</t>
  </si>
  <si>
    <t>0103600399</t>
  </si>
  <si>
    <t>260807C42A</t>
  </si>
  <si>
    <t>CA-H2608-PD-087</t>
  </si>
  <si>
    <t>1001941076</t>
  </si>
  <si>
    <t>1911101-F-A</t>
  </si>
  <si>
    <t>HJ60SP400P10000 JP</t>
  </si>
  <si>
    <t>0103600400</t>
  </si>
  <si>
    <t>260807C43A</t>
  </si>
  <si>
    <t>CA-H2608-PD-086</t>
  </si>
  <si>
    <t>1001941077</t>
  </si>
  <si>
    <t>1911100-F-A</t>
  </si>
  <si>
    <t>HJ60SP372P10020 JP</t>
  </si>
  <si>
    <t>0103600401</t>
  </si>
  <si>
    <t>260807C44A</t>
  </si>
  <si>
    <t>1001941078</t>
  </si>
  <si>
    <t>0103600402</t>
  </si>
  <si>
    <t>260807C45A</t>
  </si>
  <si>
    <t>CA-H2608-PD-174</t>
  </si>
  <si>
    <t>1001941079</t>
  </si>
  <si>
    <t>0103600403</t>
  </si>
  <si>
    <t>260807C46A</t>
  </si>
  <si>
    <t>CA-H2608-PD-173</t>
  </si>
  <si>
    <t>1001941080</t>
  </si>
  <si>
    <t>0103600404</t>
  </si>
  <si>
    <t>260807C47A</t>
  </si>
  <si>
    <t>CA-H2608-PD-152</t>
  </si>
  <si>
    <t>1001941081</t>
  </si>
  <si>
    <t>2311161-D-A</t>
  </si>
  <si>
    <t>HW70SP350P10000 KR</t>
  </si>
  <si>
    <t>0103600405</t>
  </si>
  <si>
    <t>260807C48A</t>
  </si>
  <si>
    <t>CA-H2608-PD-172</t>
  </si>
  <si>
    <t>1001941082</t>
  </si>
  <si>
    <t>0103600406</t>
  </si>
  <si>
    <t>260807C49A</t>
  </si>
  <si>
    <t>2112021-0-C</t>
  </si>
  <si>
    <t>2112063-0-C</t>
  </si>
  <si>
    <t>2112353-0-C</t>
  </si>
  <si>
    <t>2112096-0-C</t>
  </si>
  <si>
    <t>2112104-0-C</t>
  </si>
  <si>
    <t>2112224-0-C</t>
  </si>
  <si>
    <t>2112102-0-C</t>
  </si>
  <si>
    <t>Aug27-09</t>
  </si>
  <si>
    <t>Aug27-10</t>
  </si>
  <si>
    <t>Aug27-11</t>
  </si>
  <si>
    <t>Aug27-12</t>
  </si>
  <si>
    <t>Aug27-13</t>
  </si>
  <si>
    <t>Aug27-14</t>
  </si>
  <si>
    <t>Aug27-15</t>
  </si>
  <si>
    <t>Aug27-16</t>
  </si>
  <si>
    <t>Aug27-17</t>
  </si>
  <si>
    <t>Aug27-18</t>
  </si>
  <si>
    <t>Aug27-19</t>
  </si>
  <si>
    <t>Aug27-20</t>
  </si>
  <si>
    <t>Aug27-21</t>
  </si>
  <si>
    <t>Aug27-22</t>
  </si>
  <si>
    <t>Aug27-23</t>
  </si>
  <si>
    <t>Aug27-24</t>
  </si>
  <si>
    <t>Aug27-25</t>
  </si>
  <si>
    <t>Aug27-26</t>
  </si>
  <si>
    <t>Aug27-27</t>
  </si>
  <si>
    <t>Aug27-28</t>
  </si>
  <si>
    <t>0102960933</t>
  </si>
  <si>
    <t>HF25919B6</t>
  </si>
  <si>
    <t>0103548899</t>
  </si>
  <si>
    <t>HF26713E9</t>
  </si>
  <si>
    <t>0103475072</t>
  </si>
  <si>
    <t>HF26605C7</t>
  </si>
  <si>
    <t>0103493622</t>
  </si>
  <si>
    <t>HF26615B8</t>
  </si>
  <si>
    <t>0103563146</t>
  </si>
  <si>
    <t>HF26718F3</t>
  </si>
  <si>
    <t>0103493626</t>
  </si>
  <si>
    <t>HF26615C3</t>
  </si>
  <si>
    <t>0103493635</t>
  </si>
  <si>
    <t>HF26615D3</t>
  </si>
  <si>
    <t>0103493636</t>
  </si>
  <si>
    <t>HF26615D4</t>
  </si>
  <si>
    <t>0103104097</t>
  </si>
  <si>
    <t>HF25B28F1</t>
  </si>
  <si>
    <t>0103591443</t>
  </si>
  <si>
    <t>HF26803D8</t>
  </si>
  <si>
    <t>0103423839</t>
  </si>
  <si>
    <t>HF26514D6</t>
  </si>
  <si>
    <t>0103591442</t>
  </si>
  <si>
    <t>HF26803D7</t>
  </si>
  <si>
    <t>0103104066</t>
  </si>
  <si>
    <t>HF25B28B6</t>
  </si>
  <si>
    <t>0103532638</t>
  </si>
  <si>
    <t>HF26704A4</t>
  </si>
  <si>
    <t>0103591440</t>
  </si>
  <si>
    <t>HF26803D5</t>
  </si>
  <si>
    <t>0103563109</t>
  </si>
  <si>
    <t>HF26718B2</t>
  </si>
  <si>
    <t>0103563117</t>
  </si>
  <si>
    <t>HF26718C1</t>
  </si>
  <si>
    <t>0103563118</t>
  </si>
  <si>
    <t>HF26718C2</t>
  </si>
  <si>
    <t>0103499946</t>
  </si>
  <si>
    <t>HF26617G1</t>
  </si>
  <si>
    <t>0103563127</t>
  </si>
  <si>
    <t>HF26718D2</t>
  </si>
  <si>
    <t>1001941128</t>
  </si>
  <si>
    <t>0103600442</t>
  </si>
  <si>
    <t>CA-H2608-PD-206</t>
  </si>
  <si>
    <t>CA-H2608-PD-262</t>
  </si>
  <si>
    <t>1001941129</t>
  </si>
  <si>
    <t>1911226-E-A</t>
  </si>
  <si>
    <t>HJ70SP352P09020 JP</t>
  </si>
  <si>
    <t>0103600443</t>
  </si>
  <si>
    <t>260807C50A</t>
  </si>
  <si>
    <t>Aug27-29</t>
  </si>
  <si>
    <t>2112228-0-C</t>
  </si>
  <si>
    <t>0103526904</t>
  </si>
  <si>
    <t>HF26702H4</t>
  </si>
  <si>
    <t>CA-H2608-PD-047</t>
  </si>
  <si>
    <t>CA-H2608-PD-048</t>
  </si>
  <si>
    <t>V43GH12</t>
  </si>
  <si>
    <t>V43GQ16</t>
  </si>
  <si>
    <t>5</t>
  </si>
  <si>
    <t>Cancel</t>
  </si>
  <si>
    <t>0103580453</t>
  </si>
  <si>
    <t>HF26728A8</t>
  </si>
  <si>
    <t>CA-H2608-PD-184</t>
  </si>
  <si>
    <t>1001942984</t>
  </si>
  <si>
    <t>0103603903</t>
  </si>
  <si>
    <t>260813K01A</t>
  </si>
  <si>
    <t>CA-H2608-PD-182</t>
  </si>
  <si>
    <t>1001942985</t>
  </si>
  <si>
    <t>0103603904</t>
  </si>
  <si>
    <t>260813K02A</t>
  </si>
  <si>
    <t>CA-H2607-PD-485</t>
  </si>
  <si>
    <t>1001942986</t>
  </si>
  <si>
    <t>CRV150-19S MDR</t>
  </si>
  <si>
    <t>0103603905</t>
  </si>
  <si>
    <t>260813K03A</t>
  </si>
  <si>
    <t>CA-H2607-PD-486</t>
  </si>
  <si>
    <t>1001942987</t>
  </si>
  <si>
    <t>2341001-0-A</t>
  </si>
  <si>
    <t>CRV135-19S MDR</t>
  </si>
  <si>
    <t>0103603906</t>
  </si>
  <si>
    <t>260813K04A</t>
  </si>
  <si>
    <t>1001942988</t>
  </si>
  <si>
    <t>0103603907</t>
  </si>
  <si>
    <t>260813K05A</t>
  </si>
  <si>
    <t>1001942989</t>
  </si>
  <si>
    <t>0103603908</t>
  </si>
  <si>
    <t>260813K06A</t>
  </si>
  <si>
    <t>CA-H2608-PD-122</t>
  </si>
  <si>
    <t>1001942990</t>
  </si>
  <si>
    <t>0103603909</t>
  </si>
  <si>
    <t>260813K07A</t>
  </si>
  <si>
    <t>CA-H2608-PD-123</t>
  </si>
  <si>
    <t>1001942991</t>
  </si>
  <si>
    <t>1941024-F-A</t>
  </si>
  <si>
    <t>MST150-27HFR JP</t>
  </si>
  <si>
    <t>0103603910</t>
  </si>
  <si>
    <t>260813K08A</t>
  </si>
  <si>
    <t>CA-H2608-PD-120</t>
  </si>
  <si>
    <t>1001942992</t>
  </si>
  <si>
    <t>0103603911</t>
  </si>
  <si>
    <t>260813K09A</t>
  </si>
  <si>
    <t>CA-H2608-PD-304</t>
  </si>
  <si>
    <t>1001942993</t>
  </si>
  <si>
    <t>0103603912</t>
  </si>
  <si>
    <t>260813K10A</t>
  </si>
  <si>
    <t>CA-H2608-PD-126</t>
  </si>
  <si>
    <t>1001942994</t>
  </si>
  <si>
    <t>0103603913</t>
  </si>
  <si>
    <t>260813K11A</t>
  </si>
  <si>
    <t>CA-H2608-PD-125</t>
  </si>
  <si>
    <t>1001942995</t>
  </si>
  <si>
    <t>0103603914</t>
  </si>
  <si>
    <t>260813K12A</t>
  </si>
  <si>
    <t>CA-H2608-PD-129</t>
  </si>
  <si>
    <t>1001942996</t>
  </si>
  <si>
    <t>0103603915</t>
  </si>
  <si>
    <t>260813K13A</t>
  </si>
  <si>
    <t>CA-H2608-PD-128</t>
  </si>
  <si>
    <t>1001942997</t>
  </si>
  <si>
    <t>0103603916</t>
  </si>
  <si>
    <t>260813K14A</t>
  </si>
  <si>
    <t>CA-H2608-PD-130</t>
  </si>
  <si>
    <t>1001942998</t>
  </si>
  <si>
    <t>0103603917</t>
  </si>
  <si>
    <t>260813K15A</t>
  </si>
  <si>
    <t>CA-H2608-PD-133</t>
  </si>
  <si>
    <t>1001942999</t>
  </si>
  <si>
    <t>VEL150-16SR JP</t>
  </si>
  <si>
    <t>0103603918</t>
  </si>
  <si>
    <t>260813K16A</t>
  </si>
  <si>
    <t>CA-H2608-PD-132</t>
  </si>
  <si>
    <t>1001943000</t>
  </si>
  <si>
    <t>0103603919</t>
  </si>
  <si>
    <t>260813K17A</t>
  </si>
  <si>
    <t>CA-H2608-PD-051</t>
  </si>
  <si>
    <t>1001943001</t>
  </si>
  <si>
    <t>0103603920</t>
  </si>
  <si>
    <t>260813K18A</t>
  </si>
  <si>
    <t>CA-H2608-PD-185</t>
  </si>
  <si>
    <t>1001943002</t>
  </si>
  <si>
    <t>0103603921</t>
  </si>
  <si>
    <t>260813K19A</t>
  </si>
  <si>
    <t>CA-H2608-PD-183</t>
  </si>
  <si>
    <t>1001943003</t>
  </si>
  <si>
    <t>0103603922</t>
  </si>
  <si>
    <t>260813K20A</t>
  </si>
  <si>
    <t>CA-H2608-PD-178</t>
  </si>
  <si>
    <t>1001943004</t>
  </si>
  <si>
    <t>PSC35090A-E-A</t>
  </si>
  <si>
    <t>PSC35090A US</t>
  </si>
  <si>
    <t>0103603924</t>
  </si>
  <si>
    <t>260813K21A</t>
  </si>
  <si>
    <t>CA-H2608-PD-179</t>
  </si>
  <si>
    <t>1001943005</t>
  </si>
  <si>
    <t>PSC35135S-E-A</t>
  </si>
  <si>
    <t>PSC35135S US</t>
  </si>
  <si>
    <t>0103603925</t>
  </si>
  <si>
    <t>260813K22A</t>
  </si>
  <si>
    <t>CA-H2608-PD-180</t>
  </si>
  <si>
    <t>1001943006</t>
  </si>
  <si>
    <t>PSC18110S-D-A</t>
  </si>
  <si>
    <t>PSC18110S US</t>
  </si>
  <si>
    <t>0103603926</t>
  </si>
  <si>
    <t>260813K23A</t>
  </si>
  <si>
    <t>1001943007</t>
  </si>
  <si>
    <t>0103603927</t>
  </si>
  <si>
    <t>260813K24A</t>
  </si>
  <si>
    <t>1001943008</t>
  </si>
  <si>
    <t>0103603928</t>
  </si>
  <si>
    <t>260813K25A</t>
  </si>
  <si>
    <t>2342001-0-C</t>
  </si>
  <si>
    <t>PSC35090A-E-C</t>
  </si>
  <si>
    <t>PSC35135S-E-C</t>
  </si>
  <si>
    <t>PSC18110S-F-C</t>
  </si>
  <si>
    <t>CA-H2608-PD-009</t>
  </si>
  <si>
    <t>1001943009</t>
  </si>
  <si>
    <t>0103603929</t>
  </si>
  <si>
    <t>260813C01A</t>
  </si>
  <si>
    <t>CA-H2608-PD-010</t>
  </si>
  <si>
    <t>1001943010</t>
  </si>
  <si>
    <t>0103603930</t>
  </si>
  <si>
    <t>260813C02A</t>
  </si>
  <si>
    <t>CA-H2608-PD-021</t>
  </si>
  <si>
    <t>1001943011</t>
  </si>
  <si>
    <t>0103603931</t>
  </si>
  <si>
    <t>260813C03A</t>
  </si>
  <si>
    <t>CA-H2608-PD-018</t>
  </si>
  <si>
    <t>1001943012</t>
  </si>
  <si>
    <t>0103603932</t>
  </si>
  <si>
    <t>260813C04A</t>
  </si>
  <si>
    <t>CA-H2608-PD-016</t>
  </si>
  <si>
    <t>1001943013</t>
  </si>
  <si>
    <t>0103603933</t>
  </si>
  <si>
    <t>260813C05A</t>
  </si>
  <si>
    <t>CA-H2608-PD-017</t>
  </si>
  <si>
    <t>1001943014</t>
  </si>
  <si>
    <t>0103603934</t>
  </si>
  <si>
    <t>260813C06A</t>
  </si>
  <si>
    <t>CA-H2608-PD-141</t>
  </si>
  <si>
    <t>1001943015</t>
  </si>
  <si>
    <t>2211868-F-A</t>
  </si>
  <si>
    <t>HW60PB352P10000 KR</t>
  </si>
  <si>
    <t>0103603935</t>
  </si>
  <si>
    <t>260813C07A</t>
  </si>
  <si>
    <t>CA-H2608-PD-111</t>
  </si>
  <si>
    <t>1001943016</t>
  </si>
  <si>
    <t>1911227-F-A</t>
  </si>
  <si>
    <t>HJ70SP370P10000 JP</t>
  </si>
  <si>
    <t>0103603936</t>
  </si>
  <si>
    <t>260813C08A</t>
  </si>
  <si>
    <t>CA-H2608-PD-008</t>
  </si>
  <si>
    <t>1001943017</t>
  </si>
  <si>
    <t>2211146-C-A</t>
  </si>
  <si>
    <t>HW70JL350P10000 NOCE</t>
  </si>
  <si>
    <t>0103603937</t>
  </si>
  <si>
    <t>260813C09A</t>
  </si>
  <si>
    <t>CA-H2608-PD-012</t>
  </si>
  <si>
    <t>1001943018</t>
  </si>
  <si>
    <t>0103603938</t>
  </si>
  <si>
    <t>260813C10A</t>
  </si>
  <si>
    <t>CA-H2608-PD-011</t>
  </si>
  <si>
    <t>1001943019</t>
  </si>
  <si>
    <t>0103603939</t>
  </si>
  <si>
    <t>260813C11A</t>
  </si>
  <si>
    <t>CA-H2608-PD-020</t>
  </si>
  <si>
    <t>1001943020</t>
  </si>
  <si>
    <t>0103603940</t>
  </si>
  <si>
    <t>260813C12A</t>
  </si>
  <si>
    <t>CA-H2608-PD-019</t>
  </si>
  <si>
    <t>1001943021</t>
  </si>
  <si>
    <t>2211165-C-A</t>
  </si>
  <si>
    <t>HW70AL070P10000 NOCE</t>
  </si>
  <si>
    <t>0103603941</t>
  </si>
  <si>
    <t>260813C13A</t>
  </si>
  <si>
    <t>CA-H2608-PD-073</t>
  </si>
  <si>
    <t>1001943022</t>
  </si>
  <si>
    <t>1911045-D-A</t>
  </si>
  <si>
    <t>HJ60JL402P10020 JP</t>
  </si>
  <si>
    <t>0103603942</t>
  </si>
  <si>
    <t>260813C14A</t>
  </si>
  <si>
    <t>CA-H2608-PD-067</t>
  </si>
  <si>
    <t>1001943023</t>
  </si>
  <si>
    <t>1911035-D-A</t>
  </si>
  <si>
    <t>HJ60IM000P10000 JP</t>
  </si>
  <si>
    <t>0103603943</t>
  </si>
  <si>
    <t>260813C15A</t>
  </si>
  <si>
    <t>1001943024</t>
  </si>
  <si>
    <t>0103603944</t>
  </si>
  <si>
    <t>260813C16A</t>
  </si>
  <si>
    <t>CA-H2608-PD-100</t>
  </si>
  <si>
    <t>1001943025</t>
  </si>
  <si>
    <t>1911156-D-A</t>
  </si>
  <si>
    <t>HJ70JL402P10020 JP</t>
  </si>
  <si>
    <t>0103603945</t>
  </si>
  <si>
    <t>260813C17A</t>
  </si>
  <si>
    <t>CA-H2608-PD-187</t>
  </si>
  <si>
    <t>1001943026</t>
  </si>
  <si>
    <t>1911081-D-A</t>
  </si>
  <si>
    <t>HJ60AL070P10022 JP</t>
  </si>
  <si>
    <t>0103603946</t>
  </si>
  <si>
    <t>260813C18A</t>
  </si>
  <si>
    <t>CA-H2608-PD-070</t>
  </si>
  <si>
    <t>1001943027</t>
  </si>
  <si>
    <t>1911040-D-A</t>
  </si>
  <si>
    <t>HJ60JL352P10020 JP</t>
  </si>
  <si>
    <t>0103603947</t>
  </si>
  <si>
    <t>260813C19A</t>
  </si>
  <si>
    <t>1001943028</t>
  </si>
  <si>
    <t>0103603948</t>
  </si>
  <si>
    <t>260813C20A</t>
  </si>
  <si>
    <t>CA-H2608-PD-091</t>
  </si>
  <si>
    <t>1001943029</t>
  </si>
  <si>
    <t>1911110-D-A</t>
  </si>
  <si>
    <t>HJ70AL102P10020 JP</t>
  </si>
  <si>
    <t>0103603949</t>
  </si>
  <si>
    <t>260813C21A</t>
  </si>
  <si>
    <t>2112072-0-C</t>
  </si>
  <si>
    <t>2112047-0-C</t>
  </si>
  <si>
    <t>2112158-0-C</t>
  </si>
  <si>
    <t>2112112-0-C</t>
  </si>
  <si>
    <t>4000017499</t>
  </si>
  <si>
    <t>0103603951</t>
  </si>
  <si>
    <t>260312C43B</t>
  </si>
  <si>
    <t>2311160-C-A</t>
  </si>
  <si>
    <t>Aug28-01</t>
  </si>
  <si>
    <t>Aug28-04</t>
  </si>
  <si>
    <t>Aug28-03</t>
  </si>
  <si>
    <t>Aug28-02</t>
  </si>
  <si>
    <t>Aug28-05</t>
  </si>
  <si>
    <t>Aug28-06</t>
  </si>
  <si>
    <t>Aug28-07</t>
  </si>
  <si>
    <t>Aug28-08</t>
  </si>
  <si>
    <t>Aug28-09</t>
  </si>
  <si>
    <t>Aug28-10</t>
  </si>
  <si>
    <t>Aug28-11</t>
  </si>
  <si>
    <t>Aug28-12</t>
  </si>
  <si>
    <t>Aug28-13</t>
  </si>
  <si>
    <t>Aug28-14</t>
  </si>
  <si>
    <t>Aug28-15</t>
  </si>
  <si>
    <t>Aug28-16</t>
  </si>
  <si>
    <t>Aug28-17</t>
  </si>
  <si>
    <t>Aug28-18</t>
  </si>
  <si>
    <t>Aug28-19</t>
  </si>
  <si>
    <t>Aug28-20</t>
  </si>
  <si>
    <t>Aug28-21</t>
  </si>
  <si>
    <t>Aug28-22</t>
  </si>
  <si>
    <t>Aug28-23</t>
  </si>
  <si>
    <t>Aug28-24</t>
  </si>
  <si>
    <t>Aug28-25</t>
  </si>
  <si>
    <t>Aug28-26</t>
  </si>
  <si>
    <t>Aug28-27</t>
  </si>
  <si>
    <t>Aug28-28</t>
  </si>
  <si>
    <t>Aug28-29</t>
  </si>
  <si>
    <t>Aug28-30</t>
  </si>
  <si>
    <t>Aug28-31</t>
  </si>
  <si>
    <t>Aug28-32</t>
  </si>
  <si>
    <t>Aug28-33</t>
  </si>
  <si>
    <t>Aug28-34</t>
  </si>
  <si>
    <t>Aug28-35</t>
  </si>
  <si>
    <t>Aug28-36</t>
  </si>
  <si>
    <t>Aug28-37</t>
  </si>
  <si>
    <t>Aug28-38</t>
  </si>
  <si>
    <t>Aug28-39</t>
  </si>
  <si>
    <t>Aug28-40</t>
  </si>
  <si>
    <t>Aug28-41</t>
  </si>
  <si>
    <t>Aug28-42</t>
  </si>
  <si>
    <t>Aug28-43</t>
  </si>
  <si>
    <t>Aug28-44</t>
  </si>
  <si>
    <t>Aug28-45</t>
  </si>
  <si>
    <t>Sep07-01</t>
  </si>
  <si>
    <t>Sep07-02</t>
  </si>
  <si>
    <t>0103451898</t>
  </si>
  <si>
    <t>JF26527A2</t>
  </si>
  <si>
    <t>0103518171</t>
  </si>
  <si>
    <t>JF26625A2</t>
  </si>
  <si>
    <t>0103578780</t>
  </si>
  <si>
    <t>JF26727A1</t>
  </si>
  <si>
    <t>0103518170</t>
  </si>
  <si>
    <t>JF26625A1</t>
  </si>
  <si>
    <t>0103578781</t>
  </si>
  <si>
    <t>JF26727A2</t>
  </si>
  <si>
    <t>0103527218</t>
  </si>
  <si>
    <t>JF26702A3</t>
  </si>
  <si>
    <t>0103527222</t>
  </si>
  <si>
    <t>JF26702A7</t>
  </si>
  <si>
    <t>0103596413</t>
  </si>
  <si>
    <t>JF26805A1</t>
  </si>
  <si>
    <t>0103537185</t>
  </si>
  <si>
    <t>JF26706A8</t>
  </si>
  <si>
    <t>0103490135</t>
  </si>
  <si>
    <t>JF26611A9</t>
  </si>
  <si>
    <t>0103503949</t>
  </si>
  <si>
    <t>JF26618B9</t>
  </si>
  <si>
    <t>0103556540</t>
  </si>
  <si>
    <t>JF26715D1</t>
  </si>
  <si>
    <t>0103603579</t>
  </si>
  <si>
    <t>JF26808A1</t>
  </si>
  <si>
    <t>0103532261</t>
  </si>
  <si>
    <t>JF26703B1</t>
  </si>
  <si>
    <t>0103527236</t>
  </si>
  <si>
    <t>JF26702C2</t>
  </si>
  <si>
    <t>0103527237</t>
  </si>
  <si>
    <t>JF26702C3</t>
  </si>
  <si>
    <t>0103527238</t>
  </si>
  <si>
    <t>JF26702C4</t>
  </si>
  <si>
    <t>0103591456</t>
  </si>
  <si>
    <t>HF26803F3</t>
  </si>
  <si>
    <t>0103591460</t>
  </si>
  <si>
    <t>HF26803F7</t>
  </si>
  <si>
    <t>0103597365</t>
  </si>
  <si>
    <t>HF26806C7</t>
  </si>
  <si>
    <t>0103591455</t>
  </si>
  <si>
    <t>HF26803F2</t>
  </si>
  <si>
    <t>0103493637</t>
  </si>
  <si>
    <t>HF26615D5</t>
  </si>
  <si>
    <t>0103591458</t>
  </si>
  <si>
    <t>HF26803F5</t>
  </si>
  <si>
    <t>0102247541</t>
  </si>
  <si>
    <t>HF24927E3</t>
  </si>
  <si>
    <t>0103591457</t>
  </si>
  <si>
    <t>HF26803F4</t>
  </si>
  <si>
    <t>0103591439</t>
  </si>
  <si>
    <t>HF26803D4</t>
  </si>
  <si>
    <t>0103493634</t>
  </si>
  <si>
    <t>HF26615D2</t>
  </si>
  <si>
    <t>0103580451</t>
  </si>
  <si>
    <t>HF26728A6</t>
  </si>
  <si>
    <t>0103443326</t>
  </si>
  <si>
    <t>HF26522C4</t>
  </si>
  <si>
    <t>0103591453</t>
  </si>
  <si>
    <t>HF26803E9</t>
  </si>
  <si>
    <t>0103540324</t>
  </si>
  <si>
    <t>HF26708K5</t>
  </si>
  <si>
    <t>0103499896</t>
  </si>
  <si>
    <t>HF26617A6</t>
  </si>
  <si>
    <t>0103580464</t>
  </si>
  <si>
    <t>HF26728B9</t>
  </si>
  <si>
    <t>260312C43A</t>
  </si>
  <si>
    <t>0103300511</t>
  </si>
  <si>
    <t>1001943037</t>
  </si>
  <si>
    <t>0103604005</t>
  </si>
  <si>
    <t>260813K26A</t>
  </si>
  <si>
    <t>CA-H2608-PD-302</t>
  </si>
  <si>
    <t>1001943038</t>
  </si>
  <si>
    <t>1941012-F-A</t>
  </si>
  <si>
    <t>0103604006</t>
  </si>
  <si>
    <t>260813K27A</t>
  </si>
  <si>
    <t>CA-H2608-PD-301</t>
  </si>
  <si>
    <t>1001943039</t>
  </si>
  <si>
    <t>MST105-18PWSFR JP</t>
  </si>
  <si>
    <t>0103604007</t>
  </si>
  <si>
    <t>260813K28A</t>
  </si>
  <si>
    <t>CA-H2608-PD-124</t>
  </si>
  <si>
    <t>1001943040</t>
  </si>
  <si>
    <t>0103604008</t>
  </si>
  <si>
    <t>260813K29A</t>
  </si>
  <si>
    <t>CA-H2608-PD-119</t>
  </si>
  <si>
    <t>1001943041</t>
  </si>
  <si>
    <t>0103604009</t>
  </si>
  <si>
    <t>260813K30A</t>
  </si>
  <si>
    <t>CA-H2608-PD-305</t>
  </si>
  <si>
    <t>1001943042</t>
  </si>
  <si>
    <t>0103604010</t>
  </si>
  <si>
    <t>260813K31A</t>
  </si>
  <si>
    <t>CA-H2608-PD-303</t>
  </si>
  <si>
    <t>1001943043</t>
  </si>
  <si>
    <t>1941067-E-A</t>
  </si>
  <si>
    <t>TLS125-16AYR JP</t>
  </si>
  <si>
    <t>0103604011</t>
  </si>
  <si>
    <t>260813K32A</t>
  </si>
  <si>
    <t>CA-H2608-PD-127</t>
  </si>
  <si>
    <t>1001943044</t>
  </si>
  <si>
    <t>0103604012</t>
  </si>
  <si>
    <t>260813K33A</t>
  </si>
  <si>
    <t>CA-H2608-PD-306</t>
  </si>
  <si>
    <t>1001943045</t>
  </si>
  <si>
    <t>0103604013</t>
  </si>
  <si>
    <t>260813K34A</t>
  </si>
  <si>
    <t>CA-H2608-PD-131</t>
  </si>
  <si>
    <t>1001943046</t>
  </si>
  <si>
    <t>0103604014</t>
  </si>
  <si>
    <t>260813K35A</t>
  </si>
  <si>
    <t>CA-H2608-PD-023</t>
  </si>
  <si>
    <t>1001943047</t>
  </si>
  <si>
    <t>0103604015</t>
  </si>
  <si>
    <t>260813K36A</t>
  </si>
  <si>
    <t>CA-H2608-PD-022</t>
  </si>
  <si>
    <t>1001943048</t>
  </si>
  <si>
    <t>0103604016</t>
  </si>
  <si>
    <t>260813K37A</t>
  </si>
  <si>
    <t>2442056-0-C</t>
  </si>
  <si>
    <t>Aug29-01</t>
  </si>
  <si>
    <t>Aug29-03</t>
  </si>
  <si>
    <t>Aug29-02</t>
  </si>
  <si>
    <t>Aug29-04</t>
  </si>
  <si>
    <t>Aug29-05</t>
  </si>
  <si>
    <t>Aug29-06</t>
  </si>
  <si>
    <t>Aug29-07</t>
  </si>
  <si>
    <t>Aug29-08</t>
  </si>
  <si>
    <t>Aug29-09</t>
  </si>
  <si>
    <t>Aug29-10</t>
  </si>
  <si>
    <t>Sep08-01</t>
  </si>
  <si>
    <t>Sep08-02</t>
  </si>
  <si>
    <t>0103578792</t>
  </si>
  <si>
    <t>JF26727B4</t>
  </si>
  <si>
    <t>0103600200</t>
  </si>
  <si>
    <t>JF26806A7</t>
  </si>
  <si>
    <t>0103527216</t>
  </si>
  <si>
    <t>JF26702A1</t>
  </si>
  <si>
    <t>0103599164</t>
  </si>
  <si>
    <t>JF26806A4</t>
  </si>
  <si>
    <t>0103599165</t>
  </si>
  <si>
    <t>JF26806A5</t>
  </si>
  <si>
    <t>0103600199</t>
  </si>
  <si>
    <t>JF26806A6</t>
  </si>
  <si>
    <t>0103599160</t>
  </si>
  <si>
    <t>JF26806A1</t>
  </si>
  <si>
    <t>0103556492</t>
  </si>
  <si>
    <t>JF26715A1</t>
  </si>
  <si>
    <t>0103497226</t>
  </si>
  <si>
    <t>JF26616B6</t>
  </si>
  <si>
    <t>0103518179</t>
  </si>
  <si>
    <t>JF26625B1</t>
  </si>
  <si>
    <t>0103518180</t>
  </si>
  <si>
    <t>JF26625B2</t>
  </si>
  <si>
    <t>0103532536</t>
  </si>
  <si>
    <t>JF26704A5</t>
  </si>
  <si>
    <t>0103532537</t>
  </si>
  <si>
    <t>JF26704A6</t>
  </si>
  <si>
    <t>CA-H2608-PD-296</t>
  </si>
  <si>
    <t>1001943049</t>
  </si>
  <si>
    <t>1911349-E-A</t>
  </si>
  <si>
    <t>HJ80SP370P10000 JP</t>
  </si>
  <si>
    <t>0103604032</t>
  </si>
  <si>
    <t>260813C22A</t>
  </si>
  <si>
    <t>CA-H2608-PD-078</t>
  </si>
  <si>
    <t>1001943050</t>
  </si>
  <si>
    <t>0103604033</t>
  </si>
  <si>
    <t>260813C23A</t>
  </si>
  <si>
    <t>CA-H2608-PD-295</t>
  </si>
  <si>
    <t>1001943051</t>
  </si>
  <si>
    <t>0103604034</t>
  </si>
  <si>
    <t>260813C24A</t>
  </si>
  <si>
    <t>1001943052</t>
  </si>
  <si>
    <t>0103604035</t>
  </si>
  <si>
    <t>260813C25A</t>
  </si>
  <si>
    <t>CA-H2608-PD-118</t>
  </si>
  <si>
    <t>1001943053</t>
  </si>
  <si>
    <t>1911350-E-A</t>
  </si>
  <si>
    <t>HJ80SP372P10000 JP</t>
  </si>
  <si>
    <t>0103604036</t>
  </si>
  <si>
    <t>260813C26A</t>
  </si>
  <si>
    <t>CA-H2608-PD-117</t>
  </si>
  <si>
    <t>1001943054</t>
  </si>
  <si>
    <t>1911347-F-A</t>
  </si>
  <si>
    <t>HJ80SP352P10000 JP</t>
  </si>
  <si>
    <t>0103604037</t>
  </si>
  <si>
    <t>260813C27A</t>
  </si>
  <si>
    <t>CA-H2608-PD-300</t>
  </si>
  <si>
    <t>1001943055</t>
  </si>
  <si>
    <t>0103604038</t>
  </si>
  <si>
    <t>260813C28A</t>
  </si>
  <si>
    <t>1001943056</t>
  </si>
  <si>
    <t>0103604039</t>
  </si>
  <si>
    <t>260813C29A</t>
  </si>
  <si>
    <t>CA-H2608-PD-286</t>
  </si>
  <si>
    <t>1001943057</t>
  </si>
  <si>
    <t>0103604040</t>
  </si>
  <si>
    <t>260813C30A</t>
  </si>
  <si>
    <t>CA-H2608-PD-284</t>
  </si>
  <si>
    <t>1001943058</t>
  </si>
  <si>
    <t>0103604041</t>
  </si>
  <si>
    <t>260813C31A</t>
  </si>
  <si>
    <t>CA-H2608-PD-116</t>
  </si>
  <si>
    <t>1001943059</t>
  </si>
  <si>
    <t>0103604042</t>
  </si>
  <si>
    <t>260813C32A</t>
  </si>
  <si>
    <t>CA-H2608-PD-053</t>
  </si>
  <si>
    <t>1001943060</t>
  </si>
  <si>
    <t>1911002-D-A</t>
  </si>
  <si>
    <t>HJ60AL072P10020 JP</t>
  </si>
  <si>
    <t>0103604043</t>
  </si>
  <si>
    <t>260813C33A</t>
  </si>
  <si>
    <t>CA-H2608-PD-061</t>
  </si>
  <si>
    <t>1001943061</t>
  </si>
  <si>
    <t>0103604044</t>
  </si>
  <si>
    <t>260813C34A</t>
  </si>
  <si>
    <t>CA-H2608-PD-054</t>
  </si>
  <si>
    <t>1001943062</t>
  </si>
  <si>
    <t>1911082-D-A</t>
  </si>
  <si>
    <t>HJ60AL072P10022 JP</t>
  </si>
  <si>
    <t>0103604045</t>
  </si>
  <si>
    <t>260813C35A</t>
  </si>
  <si>
    <t>CA-H2608-PD-101</t>
  </si>
  <si>
    <t>1001943063</t>
  </si>
  <si>
    <t>1911159-D-A</t>
  </si>
  <si>
    <t>HJ70JL402P10021 JP</t>
  </si>
  <si>
    <t>0103604046</t>
  </si>
  <si>
    <t>260813C36A</t>
  </si>
  <si>
    <t>CA-H2608-PD-072</t>
  </si>
  <si>
    <t>1001943064</t>
  </si>
  <si>
    <t>1911047-D-A</t>
  </si>
  <si>
    <t>HJ60JL400P10001 JP</t>
  </si>
  <si>
    <t>0103604047</t>
  </si>
  <si>
    <t>260813C37A</t>
  </si>
  <si>
    <t>CA-H2608-PD-115</t>
  </si>
  <si>
    <t>1001943065</t>
  </si>
  <si>
    <t>1911242-D-A</t>
  </si>
  <si>
    <t>HJ80AL102P10000 JP</t>
  </si>
  <si>
    <t>0103604049</t>
  </si>
  <si>
    <t>260813C38A</t>
  </si>
  <si>
    <t>CA-H2608-PD-089</t>
  </si>
  <si>
    <t>1001943066</t>
  </si>
  <si>
    <t>1911108-D-A</t>
  </si>
  <si>
    <t>HJ70AL100P10020 JP</t>
  </si>
  <si>
    <t>0103604050</t>
  </si>
  <si>
    <t>260813C39A</t>
  </si>
  <si>
    <t>CA-H2608-PD-074</t>
  </si>
  <si>
    <t>1001943067</t>
  </si>
  <si>
    <t>1911057-D-A</t>
  </si>
  <si>
    <t>HJ60JR350P10020 JP</t>
  </si>
  <si>
    <t>0103604051</t>
  </si>
  <si>
    <t>260813C40A</t>
  </si>
  <si>
    <t>CA-H2608-PD-058</t>
  </si>
  <si>
    <t>1001943068</t>
  </si>
  <si>
    <t>0103604052</t>
  </si>
  <si>
    <t>260813C41A</t>
  </si>
  <si>
    <t>CA-H2608-PD-090</t>
  </si>
  <si>
    <t>1001943069</t>
  </si>
  <si>
    <t>1911205-D-A</t>
  </si>
  <si>
    <t>HJ70AL100P10022 JP</t>
  </si>
  <si>
    <t>0103604053</t>
  </si>
  <si>
    <t>260813C42A</t>
  </si>
  <si>
    <t>CA-H2608-PD-136</t>
  </si>
  <si>
    <t>1001943070</t>
  </si>
  <si>
    <t>2211778-E-A</t>
  </si>
  <si>
    <t>HW60AL072P10002 KR</t>
  </si>
  <si>
    <t>0103604054</t>
  </si>
  <si>
    <t>260813C43A</t>
  </si>
  <si>
    <t>CA-H2608-PD-168</t>
  </si>
  <si>
    <t>1001943071</t>
  </si>
  <si>
    <t>2211814-E-A</t>
  </si>
  <si>
    <t>HW60HS012P10000 KR</t>
  </si>
  <si>
    <t>0103604055</t>
  </si>
  <si>
    <t>260813C44A</t>
  </si>
  <si>
    <t>CA-H2608-PD-163</t>
  </si>
  <si>
    <t>1001943072</t>
  </si>
  <si>
    <t>2211931-E-A</t>
  </si>
  <si>
    <t>HW70AR200P10000 KR</t>
  </si>
  <si>
    <t>0103604056</t>
  </si>
  <si>
    <t>260813C45A</t>
  </si>
  <si>
    <t>CA-H2608-PD-148</t>
  </si>
  <si>
    <t>1001943073</t>
  </si>
  <si>
    <t>2211924-E-A</t>
  </si>
  <si>
    <t>HW70AL200P10000 KR</t>
  </si>
  <si>
    <t>0103604057</t>
  </si>
  <si>
    <t>260813C46A</t>
  </si>
  <si>
    <t>CA-H2608-PD-171</t>
  </si>
  <si>
    <t>1001943074</t>
  </si>
  <si>
    <t>2211843-E-A</t>
  </si>
  <si>
    <t>HW60JL502P10000 KR</t>
  </si>
  <si>
    <t>0103604058</t>
  </si>
  <si>
    <t>260813C47A</t>
  </si>
  <si>
    <t>CA-H2608-PD-137</t>
  </si>
  <si>
    <t>1001943075</t>
  </si>
  <si>
    <t>2211819-E-A</t>
  </si>
  <si>
    <t>HW60JL300P10000 KR</t>
  </si>
  <si>
    <t>0103604059</t>
  </si>
  <si>
    <t>260813C48A</t>
  </si>
  <si>
    <t>CA-H2608-PD-167</t>
  </si>
  <si>
    <t>1001943076</t>
  </si>
  <si>
    <t>2211799-E-A</t>
  </si>
  <si>
    <t>HW60AL202P10000 KR</t>
  </si>
  <si>
    <t>0103604060</t>
  </si>
  <si>
    <t>260813C49A</t>
  </si>
  <si>
    <t>CA-H2608-PD-175</t>
  </si>
  <si>
    <t>1001943077</t>
  </si>
  <si>
    <t>2211902-E-A</t>
  </si>
  <si>
    <t>HW70AL070P10002 KR</t>
  </si>
  <si>
    <t>0103604061</t>
  </si>
  <si>
    <t>260813C50A</t>
  </si>
  <si>
    <t>CA-H2608-PD-170</t>
  </si>
  <si>
    <t>1001943078</t>
  </si>
  <si>
    <t>2211841-E-A</t>
  </si>
  <si>
    <t>HW60JL500P10000 KR</t>
  </si>
  <si>
    <t>0103604062</t>
  </si>
  <si>
    <t>260813C51A</t>
  </si>
  <si>
    <t>2112351-0-C</t>
  </si>
  <si>
    <t>2112352-0-C</t>
  </si>
  <si>
    <t>2112349-0-C</t>
  </si>
  <si>
    <t>2112004-0-C</t>
  </si>
  <si>
    <t>2112084-0-C</t>
  </si>
  <si>
    <t>2112161-0-C</t>
  </si>
  <si>
    <t>2112049-0-C</t>
  </si>
  <si>
    <t>2112244-0-C</t>
  </si>
  <si>
    <t>2112110-0-C</t>
  </si>
  <si>
    <t>2112059-0-C</t>
  </si>
  <si>
    <t>2112030-0-C</t>
  </si>
  <si>
    <t>2212062-0-C</t>
  </si>
  <si>
    <t>2212013-0-C</t>
  </si>
  <si>
    <t>2112018-0-C</t>
  </si>
  <si>
    <t>Aug29-11</t>
  </si>
  <si>
    <t>Aug29-12</t>
  </si>
  <si>
    <t>Aug29-13</t>
  </si>
  <si>
    <t>Aug29-14</t>
  </si>
  <si>
    <t>Aug29-15</t>
  </si>
  <si>
    <t>Aug29-16</t>
  </si>
  <si>
    <t>Aug29-17</t>
  </si>
  <si>
    <t>Aug29-18</t>
  </si>
  <si>
    <t>Aug29-19</t>
  </si>
  <si>
    <t>Aug29-20</t>
  </si>
  <si>
    <t>Aug29-21</t>
  </si>
  <si>
    <t>Aug29-22</t>
  </si>
  <si>
    <t>Aug29-23</t>
  </si>
  <si>
    <t>Aug29-24</t>
  </si>
  <si>
    <t>Aug29-25</t>
  </si>
  <si>
    <t>Aug29-26</t>
  </si>
  <si>
    <t>Aug29-27</t>
  </si>
  <si>
    <t>Aug29-28</t>
  </si>
  <si>
    <t>Aug29-29</t>
  </si>
  <si>
    <t>Aug29-30</t>
  </si>
  <si>
    <t>Aug29-31</t>
  </si>
  <si>
    <t>Aug29-32</t>
  </si>
  <si>
    <t>Aug29-33</t>
  </si>
  <si>
    <t>Aug29-34</t>
  </si>
  <si>
    <t>Aug29-35</t>
  </si>
  <si>
    <t>Aug29-36</t>
  </si>
  <si>
    <t>Aug29-37</t>
  </si>
  <si>
    <t>Aug29-38</t>
  </si>
  <si>
    <t>Aug29-39</t>
  </si>
  <si>
    <t>Aug29-40</t>
  </si>
  <si>
    <t>0103597388</t>
  </si>
  <si>
    <t>HF26806F1</t>
  </si>
  <si>
    <t>0103601467</t>
  </si>
  <si>
    <t>HF26807A3</t>
  </si>
  <si>
    <t>0103597362</t>
  </si>
  <si>
    <t>HF26806C4</t>
  </si>
  <si>
    <t>0103601468</t>
  </si>
  <si>
    <t>HF26807A4</t>
  </si>
  <si>
    <t>0103597368</t>
  </si>
  <si>
    <t>HF26806C9</t>
  </si>
  <si>
    <t>0103597357</t>
  </si>
  <si>
    <t>HF26806B8</t>
  </si>
  <si>
    <t>0103540159</t>
  </si>
  <si>
    <t>HF26708A1</t>
  </si>
  <si>
    <t>0103597356</t>
  </si>
  <si>
    <t>HF26806B7</t>
  </si>
  <si>
    <t>0103601469</t>
  </si>
  <si>
    <t>HF26807A5</t>
  </si>
  <si>
    <t>0103597358</t>
  </si>
  <si>
    <t>HF26806B9</t>
  </si>
  <si>
    <t>0103601465</t>
  </si>
  <si>
    <t>HF26807A2</t>
  </si>
  <si>
    <t>0103601464</t>
  </si>
  <si>
    <t>HF26807A1</t>
  </si>
  <si>
    <t>0103597355</t>
  </si>
  <si>
    <t>HF26806B6</t>
  </si>
  <si>
    <t>0103597359</t>
  </si>
  <si>
    <t>HF26806C1</t>
  </si>
  <si>
    <t>0103597363</t>
  </si>
  <si>
    <t>HF26806C5</t>
  </si>
  <si>
    <t>0103597361</t>
  </si>
  <si>
    <t>HF26806C3</t>
  </si>
  <si>
    <t>0103597384</t>
  </si>
  <si>
    <t>HF26806E6</t>
  </si>
  <si>
    <t>0103597367</t>
  </si>
  <si>
    <t>HF26806C8</t>
  </si>
  <si>
    <t>0103526885</t>
  </si>
  <si>
    <t>HF26702F5</t>
  </si>
  <si>
    <t>0103597354</t>
  </si>
  <si>
    <t>HF26806B5</t>
  </si>
  <si>
    <t>0103597390</t>
  </si>
  <si>
    <t>HF26806F3</t>
  </si>
  <si>
    <t>0103313653</t>
  </si>
  <si>
    <t>HF26319A6</t>
  </si>
  <si>
    <t>0103597369</t>
  </si>
  <si>
    <t>HF26806D1</t>
  </si>
  <si>
    <t>0103591441</t>
  </si>
  <si>
    <t>HF26803D6</t>
  </si>
  <si>
    <t>0103597360</t>
  </si>
  <si>
    <t>HF26806C2</t>
  </si>
  <si>
    <t>0103599196</t>
  </si>
  <si>
    <t>HF26806J6</t>
  </si>
  <si>
    <t>0103548905</t>
  </si>
  <si>
    <t>HF26713F6</t>
  </si>
  <si>
    <t>0103597391</t>
  </si>
  <si>
    <t>HF26806F4</t>
  </si>
  <si>
    <t>0103599200</t>
  </si>
  <si>
    <t>HF26806K1</t>
  </si>
  <si>
    <t>0103599202</t>
  </si>
  <si>
    <t>HF26806K3</t>
  </si>
  <si>
    <t>0103597394</t>
  </si>
  <si>
    <t>HF26806F7</t>
  </si>
  <si>
    <t>0103599198</t>
  </si>
  <si>
    <t>HF26806J8</t>
  </si>
  <si>
    <t>0103597395</t>
  </si>
  <si>
    <t>HF26806F8</t>
  </si>
  <si>
    <t>0103526894</t>
  </si>
  <si>
    <t>HF26702G4</t>
  </si>
  <si>
    <t>0103597364</t>
  </si>
  <si>
    <t>HF26806C6</t>
  </si>
  <si>
    <t>0103599201</t>
  </si>
  <si>
    <t>HF26806K2</t>
  </si>
  <si>
    <t>0103599197</t>
  </si>
  <si>
    <t>HF26806J7</t>
  </si>
  <si>
    <t>0103556390</t>
  </si>
  <si>
    <t>HF26715F6</t>
  </si>
  <si>
    <t>V43GQ17</t>
  </si>
  <si>
    <t>V43GH13</t>
  </si>
  <si>
    <t>V43GJ17</t>
  </si>
  <si>
    <t>CA-H2608-PD-316</t>
  </si>
  <si>
    <t>1001947841</t>
  </si>
  <si>
    <t>PSC18110A-D-A</t>
  </si>
  <si>
    <t>PSC18110A US</t>
  </si>
  <si>
    <t>0103613253</t>
  </si>
  <si>
    <t>260815K01A</t>
  </si>
  <si>
    <t>CA-H2608-PD-317</t>
  </si>
  <si>
    <t>1001947842</t>
  </si>
  <si>
    <t>PSC18170A-D-A</t>
  </si>
  <si>
    <t>PSC18170A US</t>
  </si>
  <si>
    <t>0103613254</t>
  </si>
  <si>
    <t>260815K02A</t>
  </si>
  <si>
    <t>CA-H2608-PD-160</t>
  </si>
  <si>
    <t>1001947843</t>
  </si>
  <si>
    <t>1941103-C-A</t>
  </si>
  <si>
    <t>CRV150-19P US2</t>
  </si>
  <si>
    <t>0103613255</t>
  </si>
  <si>
    <t>260815K03A</t>
  </si>
  <si>
    <t>CA-H2608-PD-181</t>
  </si>
  <si>
    <t>1001947844</t>
  </si>
  <si>
    <t>0103613256</t>
  </si>
  <si>
    <t>260815K04A</t>
  </si>
  <si>
    <t>CA-H2608-PD-315</t>
  </si>
  <si>
    <t>1001947845</t>
  </si>
  <si>
    <t>0103613257</t>
  </si>
  <si>
    <t>260815K05A</t>
  </si>
  <si>
    <t>CA-H2608-PD-314</t>
  </si>
  <si>
    <t>1001947846</t>
  </si>
  <si>
    <t>0103613258</t>
  </si>
  <si>
    <t>260815K06A</t>
  </si>
  <si>
    <t>CA-H2608-PD-308</t>
  </si>
  <si>
    <t>1001947847</t>
  </si>
  <si>
    <t>0103613259</t>
  </si>
  <si>
    <t>260815K07A</t>
  </si>
  <si>
    <t>CA-H2608-PD-307</t>
  </si>
  <si>
    <t>1001947848</t>
  </si>
  <si>
    <t>0103613260</t>
  </si>
  <si>
    <t>260815K08A</t>
  </si>
  <si>
    <t>CA-H2608-PD-312</t>
  </si>
  <si>
    <t>1001947849</t>
  </si>
  <si>
    <t>0103613261</t>
  </si>
  <si>
    <t>260815K09A</t>
  </si>
  <si>
    <t>CA-H2608-PD-311</t>
  </si>
  <si>
    <t>1001947850</t>
  </si>
  <si>
    <t>0103613262</t>
  </si>
  <si>
    <t>260815K10A</t>
  </si>
  <si>
    <t>CA-H2608-PD-310</t>
  </si>
  <si>
    <t>1001947851</t>
  </si>
  <si>
    <t>0103613263</t>
  </si>
  <si>
    <t>260815K11A</t>
  </si>
  <si>
    <t>CA-H2608-PD-309</t>
  </si>
  <si>
    <t>1001947852</t>
  </si>
  <si>
    <t>0103613264</t>
  </si>
  <si>
    <t>260815K12A</t>
  </si>
  <si>
    <t>PSC18110A-F-C</t>
  </si>
  <si>
    <t>PSC18170A-F-C</t>
  </si>
  <si>
    <t>CA-H2607-PD-610</t>
  </si>
  <si>
    <t>1001947776</t>
  </si>
  <si>
    <t>2211219-E-A</t>
  </si>
  <si>
    <t>HW70SP300P10000 NOCE</t>
  </si>
  <si>
    <t>0103613187</t>
  </si>
  <si>
    <t>260815C01A</t>
  </si>
  <si>
    <t>CA-H2608-PD-293</t>
  </si>
  <si>
    <t>1001947777</t>
  </si>
  <si>
    <t>1911313-E-A</t>
  </si>
  <si>
    <t>HJ80PB402P10000 JP</t>
  </si>
  <si>
    <t>0103613188</t>
  </si>
  <si>
    <t>260815C02A</t>
  </si>
  <si>
    <t>CA-H2608-PD-294</t>
  </si>
  <si>
    <t>1001947778</t>
  </si>
  <si>
    <t>0103613189</t>
  </si>
  <si>
    <t>260815C03A</t>
  </si>
  <si>
    <t>CA-H2608-PD-299</t>
  </si>
  <si>
    <t>1001947779</t>
  </si>
  <si>
    <t>1911354-E-A</t>
  </si>
  <si>
    <t>HJ80SP402P09000 JP</t>
  </si>
  <si>
    <t>0103613190</t>
  </si>
  <si>
    <t>260815C04A</t>
  </si>
  <si>
    <t>CA-H2608-PD-260</t>
  </si>
  <si>
    <t>1001947780</t>
  </si>
  <si>
    <t>1911221-E-A</t>
  </si>
  <si>
    <t>HJ70SP300P10000 JP</t>
  </si>
  <si>
    <t>0103613191</t>
  </si>
  <si>
    <t>260815C05A</t>
  </si>
  <si>
    <t>CA-H2608-PD-213</t>
  </si>
  <si>
    <t>1001947781</t>
  </si>
  <si>
    <t>0103613192</t>
  </si>
  <si>
    <t>260815C06A</t>
  </si>
  <si>
    <t>CA-H2608-PD-298</t>
  </si>
  <si>
    <t>1001947782</t>
  </si>
  <si>
    <t>1911352-E-A</t>
  </si>
  <si>
    <t>HJ80SP400P10000 JP</t>
  </si>
  <si>
    <t>0103613193</t>
  </si>
  <si>
    <t>260815C07A</t>
  </si>
  <si>
    <t>CA-H2608-PD-264</t>
  </si>
  <si>
    <t>1001947783</t>
  </si>
  <si>
    <t>1911230-F-A</t>
  </si>
  <si>
    <t>HJ70SP400P10000 JP</t>
  </si>
  <si>
    <t>0103613194</t>
  </si>
  <si>
    <t>260815C08A</t>
  </si>
  <si>
    <t>CA-H2608-PD-105</t>
  </si>
  <si>
    <t>1001947784</t>
  </si>
  <si>
    <t>1911181-E-A</t>
  </si>
  <si>
    <t>HJ70PB300P10000 JP</t>
  </si>
  <si>
    <t>0103613195</t>
  </si>
  <si>
    <t>260815C09A</t>
  </si>
  <si>
    <t>CA-H2608-PD-263</t>
  </si>
  <si>
    <t>1001947785</t>
  </si>
  <si>
    <t>0103613196</t>
  </si>
  <si>
    <t>260815C10A</t>
  </si>
  <si>
    <t>CA-H2608-PD-207</t>
  </si>
  <si>
    <t>1001947786</t>
  </si>
  <si>
    <t>1911070-E-A</t>
  </si>
  <si>
    <t>HJ60PB352P10020 JP</t>
  </si>
  <si>
    <t>0103613197</t>
  </si>
  <si>
    <t>260815C11A</t>
  </si>
  <si>
    <t>CA-H2608-PD-108</t>
  </si>
  <si>
    <t>1001947787</t>
  </si>
  <si>
    <t>0103613198</t>
  </si>
  <si>
    <t>260815C12A</t>
  </si>
  <si>
    <t>CA-H2608-PD-265</t>
  </si>
  <si>
    <t>1001947788</t>
  </si>
  <si>
    <t>0103613199</t>
  </si>
  <si>
    <t>260815C13A</t>
  </si>
  <si>
    <t>CA-H2608-PD-106</t>
  </si>
  <si>
    <t>1001947789</t>
  </si>
  <si>
    <t>1911185-E-A</t>
  </si>
  <si>
    <t>HJ70PB350P10000 JP</t>
  </si>
  <si>
    <t>0103613200</t>
  </si>
  <si>
    <t>260815C14A</t>
  </si>
  <si>
    <t>CA-H2608-PD-107</t>
  </si>
  <si>
    <t>1001947790</t>
  </si>
  <si>
    <t>0103613201</t>
  </si>
  <si>
    <t>260815C15A</t>
  </si>
  <si>
    <t>1001947791</t>
  </si>
  <si>
    <t>0103613202</t>
  </si>
  <si>
    <t>260815C16A</t>
  </si>
  <si>
    <t>CA-H2608-PD-254</t>
  </si>
  <si>
    <t>1001947792</t>
  </si>
  <si>
    <t>1911187-E-A</t>
  </si>
  <si>
    <t>HJ70PB352P10020 JP</t>
  </si>
  <si>
    <t>0103613203</t>
  </si>
  <si>
    <t>260815C17A</t>
  </si>
  <si>
    <t>CA-H2608-PD-113</t>
  </si>
  <si>
    <t>1001947793</t>
  </si>
  <si>
    <t>0103613204</t>
  </si>
  <si>
    <t>260815C18A</t>
  </si>
  <si>
    <t>1001947794</t>
  </si>
  <si>
    <t>0103613205</t>
  </si>
  <si>
    <t>260815C19A</t>
  </si>
  <si>
    <t>CA-H2608-PD-204</t>
  </si>
  <si>
    <t>1001947795</t>
  </si>
  <si>
    <t>1911065-D-A</t>
  </si>
  <si>
    <t>HJ60JR500P10020 JP</t>
  </si>
  <si>
    <t>0103613206</t>
  </si>
  <si>
    <t>260815C20A</t>
  </si>
  <si>
    <t>CA-H2608-PD-208</t>
  </si>
  <si>
    <t>1001947796</t>
  </si>
  <si>
    <t>0103613207</t>
  </si>
  <si>
    <t>260815C21A</t>
  </si>
  <si>
    <t>CA-H2608-PD-211</t>
  </si>
  <si>
    <t>1001947797</t>
  </si>
  <si>
    <t>0103613208</t>
  </si>
  <si>
    <t>260815C22A</t>
  </si>
  <si>
    <t>CA-H2608-PD-267</t>
  </si>
  <si>
    <t>1001947798</t>
  </si>
  <si>
    <t>0103613209</t>
  </si>
  <si>
    <t>260815C23A</t>
  </si>
  <si>
    <t>CA-H2608-PD-285</t>
  </si>
  <si>
    <t>1001947799</t>
  </si>
  <si>
    <t>0103613210</t>
  </si>
  <si>
    <t>260815C24A</t>
  </si>
  <si>
    <t>CA-H2608-PD-291</t>
  </si>
  <si>
    <t>1001947800</t>
  </si>
  <si>
    <t>1911298-D-A</t>
  </si>
  <si>
    <t>HJ80JR402P09000 JP</t>
  </si>
  <si>
    <t>0103613211</t>
  </si>
  <si>
    <t>260815C25A</t>
  </si>
  <si>
    <t>CA-H2608-PD-056</t>
  </si>
  <si>
    <t>1001947801</t>
  </si>
  <si>
    <t>1911009-D-A</t>
  </si>
  <si>
    <t>HJ60AL100P10021 JP</t>
  </si>
  <si>
    <t>0103613212</t>
  </si>
  <si>
    <t>260815C26A</t>
  </si>
  <si>
    <t>CA-H2608-PD-102</t>
  </si>
  <si>
    <t>1001947802</t>
  </si>
  <si>
    <t>1911162-D-A</t>
  </si>
  <si>
    <t>HJ70JL452P10020 JP</t>
  </si>
  <si>
    <t>0103613213</t>
  </si>
  <si>
    <t>260815C27A</t>
  </si>
  <si>
    <t>CA-H2608-PD-188</t>
  </si>
  <si>
    <t>1001947803</t>
  </si>
  <si>
    <t>1911006-D-A</t>
  </si>
  <si>
    <t>HJ60AL100P09020 JP</t>
  </si>
  <si>
    <t>0103613214</t>
  </si>
  <si>
    <t>260815C28A</t>
  </si>
  <si>
    <t>CA-H2608-PD-193</t>
  </si>
  <si>
    <t>1001947804</t>
  </si>
  <si>
    <t>0103613215</t>
  </si>
  <si>
    <t>260815C29A</t>
  </si>
  <si>
    <t>CA-H2608-PD-203</t>
  </si>
  <si>
    <t>1001947805</t>
  </si>
  <si>
    <t>0103613216</t>
  </si>
  <si>
    <t>260815C30A</t>
  </si>
  <si>
    <t>CA-H2608-PD-245</t>
  </si>
  <si>
    <t>1001947806</t>
  </si>
  <si>
    <t>0103613217</t>
  </si>
  <si>
    <t>260815C31A</t>
  </si>
  <si>
    <t>CA-H2608-PD-200</t>
  </si>
  <si>
    <t>1001947807</t>
  </si>
  <si>
    <t>1911049-D-A</t>
  </si>
  <si>
    <t>HJ60JL450P10000 JP</t>
  </si>
  <si>
    <t>0103613218</t>
  </si>
  <si>
    <t>260815C32A</t>
  </si>
  <si>
    <t>CA-H2608-PD-063</t>
  </si>
  <si>
    <t>1001947808</t>
  </si>
  <si>
    <t>1911016-D-A</t>
  </si>
  <si>
    <t>HJ60AL202P10020 JP</t>
  </si>
  <si>
    <t>0103613219</t>
  </si>
  <si>
    <t>260815C33A</t>
  </si>
  <si>
    <t>CA-H2608-PD-190</t>
  </si>
  <si>
    <t>1001947809</t>
  </si>
  <si>
    <t>0103613220</t>
  </si>
  <si>
    <t>260815C34A</t>
  </si>
  <si>
    <t>CA-H2608-PD-198</t>
  </si>
  <si>
    <t>1001947810</t>
  </si>
  <si>
    <t>0103613221</t>
  </si>
  <si>
    <t>260815C35A</t>
  </si>
  <si>
    <t>CA-H2608-PD-201</t>
  </si>
  <si>
    <t>1001947811</t>
  </si>
  <si>
    <t>0103613222</t>
  </si>
  <si>
    <t>260815C36A</t>
  </si>
  <si>
    <t>CA-H2608-PD-205</t>
  </si>
  <si>
    <t>1001947812</t>
  </si>
  <si>
    <t>0103613223</t>
  </si>
  <si>
    <t>260815C37A</t>
  </si>
  <si>
    <t>CA-H2608-PD-269</t>
  </si>
  <si>
    <t>1001947813</t>
  </si>
  <si>
    <t>0103613224</t>
  </si>
  <si>
    <t>260815C38A</t>
  </si>
  <si>
    <t>CA-H2608-PD-273</t>
  </si>
  <si>
    <t>1001947814</t>
  </si>
  <si>
    <t>1911330-D-A</t>
  </si>
  <si>
    <t>HJ80AL102P09002 JP</t>
  </si>
  <si>
    <t>0103613225</t>
  </si>
  <si>
    <t>260815C39A</t>
  </si>
  <si>
    <t>CA-H2608-PD-197</t>
  </si>
  <si>
    <t>1001947815</t>
  </si>
  <si>
    <t>0103613226</t>
  </si>
  <si>
    <t>260815C40A</t>
  </si>
  <si>
    <t>CA-H2608-PD-290</t>
  </si>
  <si>
    <t>1001947816</t>
  </si>
  <si>
    <t>0103613227</t>
  </si>
  <si>
    <t>260815C41A</t>
  </si>
  <si>
    <t>CA-H2608-PD-189</t>
  </si>
  <si>
    <t>1001947817</t>
  </si>
  <si>
    <t>0103613228</t>
  </si>
  <si>
    <t>260815C42A</t>
  </si>
  <si>
    <t>CA-H2608-PD-060</t>
  </si>
  <si>
    <t>1001947818</t>
  </si>
  <si>
    <t>0103613229</t>
  </si>
  <si>
    <t>260815C43A</t>
  </si>
  <si>
    <t>1001947819</t>
  </si>
  <si>
    <t>0103613230</t>
  </si>
  <si>
    <t>260815C44A</t>
  </si>
  <si>
    <t>CA-H2608-PD-271</t>
  </si>
  <si>
    <t>1001947820</t>
  </si>
  <si>
    <t>0103613231</t>
  </si>
  <si>
    <t>260815C45A</t>
  </si>
  <si>
    <t>CA-H2608-PD-062</t>
  </si>
  <si>
    <t>1001947821</t>
  </si>
  <si>
    <t>0103613232</t>
  </si>
  <si>
    <t>260815C46A</t>
  </si>
  <si>
    <t>CA-H2608-PD-065</t>
  </si>
  <si>
    <t>1001947822</t>
  </si>
  <si>
    <t>0103613233</t>
  </si>
  <si>
    <t>260815C47A</t>
  </si>
  <si>
    <t>CA-H2608-PD-097</t>
  </si>
  <si>
    <t>1001947823</t>
  </si>
  <si>
    <t>1911152-D-A</t>
  </si>
  <si>
    <t>HJ70JL352P10021 JP</t>
  </si>
  <si>
    <t>0103613234</t>
  </si>
  <si>
    <t>260815C48A</t>
  </si>
  <si>
    <t>CA-H2608-PD-292</t>
  </si>
  <si>
    <t>1001947824</t>
  </si>
  <si>
    <t>0103613235</t>
  </si>
  <si>
    <t>260815C49A</t>
  </si>
  <si>
    <t>CA-H2608-PD-191</t>
  </si>
  <si>
    <t>1001947825</t>
  </si>
  <si>
    <t>0103613236</t>
  </si>
  <si>
    <t>260815C50A</t>
  </si>
  <si>
    <t>2112223-0-C</t>
  </si>
  <si>
    <t>2112315-0-C</t>
  </si>
  <si>
    <t>2112356-0-C</t>
  </si>
  <si>
    <t>2112354-0-C</t>
  </si>
  <si>
    <t>2112183-0-C</t>
  </si>
  <si>
    <t>2112189-0-C</t>
  </si>
  <si>
    <t>2112067-0-C</t>
  </si>
  <si>
    <t>2112300-0-C</t>
  </si>
  <si>
    <t>2112011-0-C</t>
  </si>
  <si>
    <t>2112164-0-C</t>
  </si>
  <si>
    <t>2112008-0-C</t>
  </si>
  <si>
    <t>2112051-0-C</t>
  </si>
  <si>
    <t>2112332-0-C</t>
  </si>
  <si>
    <t>2112154-0-C</t>
  </si>
  <si>
    <t>CA-H2608-PD-080</t>
  </si>
  <si>
    <t>1001947826</t>
  </si>
  <si>
    <t>0103613237</t>
  </si>
  <si>
    <t>260815C51A</t>
  </si>
  <si>
    <t>CA-H2608-PD-275</t>
  </si>
  <si>
    <t>1001947827</t>
  </si>
  <si>
    <t>0103613238</t>
  </si>
  <si>
    <t>260815C52A</t>
  </si>
  <si>
    <t>CA-H2608-PD-186</t>
  </si>
  <si>
    <t>1001947828</t>
  </si>
  <si>
    <t>0103613240</t>
  </si>
  <si>
    <t>260815C53A</t>
  </si>
  <si>
    <t>CA-H2608-PD-278</t>
  </si>
  <si>
    <t>1001947829</t>
  </si>
  <si>
    <t>0103613241</t>
  </si>
  <si>
    <t>260815C54A</t>
  </si>
  <si>
    <t>CA-H2608-PD-202</t>
  </si>
  <si>
    <t>1001947830</t>
  </si>
  <si>
    <t>1911058-D-A</t>
  </si>
  <si>
    <t>HJ60JR352P10020 JP</t>
  </si>
  <si>
    <t>0103613242</t>
  </si>
  <si>
    <t>260815C55A</t>
  </si>
  <si>
    <t>CA-H2608-PD-225</t>
  </si>
  <si>
    <t>1001947831</t>
  </si>
  <si>
    <t>0103613243</t>
  </si>
  <si>
    <t>260815C56A</t>
  </si>
  <si>
    <t>CA-H2608-PD-088</t>
  </si>
  <si>
    <t>1001947832</t>
  </si>
  <si>
    <t>1911203-D-A</t>
  </si>
  <si>
    <t>HJ70AL072P10022 JP</t>
  </si>
  <si>
    <t>0103613244</t>
  </si>
  <si>
    <t>260815C57A</t>
  </si>
  <si>
    <t>CA-H2608-PD-219</t>
  </si>
  <si>
    <t>1001947833</t>
  </si>
  <si>
    <t>1911104-D-A</t>
  </si>
  <si>
    <t>HJ70AL072P10020 JP</t>
  </si>
  <si>
    <t>0103613245</t>
  </si>
  <si>
    <t>260815C58A</t>
  </si>
  <si>
    <t>CA-H2608-PD-093</t>
  </si>
  <si>
    <t>1001947834</t>
  </si>
  <si>
    <t>1911116-D-A</t>
  </si>
  <si>
    <t>HJ70AL152P10020 JP</t>
  </si>
  <si>
    <t>0103613246</t>
  </si>
  <si>
    <t>260815C59A</t>
  </si>
  <si>
    <t>1001947835</t>
  </si>
  <si>
    <t>0103613247</t>
  </si>
  <si>
    <t>260815C60A</t>
  </si>
  <si>
    <t>CA-H2608-PD-066</t>
  </si>
  <si>
    <t>1001947836</t>
  </si>
  <si>
    <t>0103613248</t>
  </si>
  <si>
    <t>260815C61A</t>
  </si>
  <si>
    <t>CA-H2608-PD-099</t>
  </si>
  <si>
    <t>1001947837</t>
  </si>
  <si>
    <t>1911158-D-A</t>
  </si>
  <si>
    <t>HJ70JL400P10001 JP</t>
  </si>
  <si>
    <t>0103613249</t>
  </si>
  <si>
    <t>260815C62A</t>
  </si>
  <si>
    <t>CA-H2608-PD-095</t>
  </si>
  <si>
    <t>1001947838</t>
  </si>
  <si>
    <t>1911151-D-A</t>
  </si>
  <si>
    <t>HJ70JL350P10001 JP</t>
  </si>
  <si>
    <t>0103613250</t>
  </si>
  <si>
    <t>260815C63A</t>
  </si>
  <si>
    <t>CA-H2608-PD-064</t>
  </si>
  <si>
    <t>1001947839</t>
  </si>
  <si>
    <t>0103613251</t>
  </si>
  <si>
    <t>260815C64A</t>
  </si>
  <si>
    <t>CA-H2608-PD-094</t>
  </si>
  <si>
    <t>1001947840</t>
  </si>
  <si>
    <t>1911147-D-A</t>
  </si>
  <si>
    <t>HJ70JL350P10000 JP</t>
  </si>
  <si>
    <t>0103613252</t>
  </si>
  <si>
    <t>260815C65A</t>
  </si>
  <si>
    <t>2112060-0-C</t>
  </si>
  <si>
    <t>2112205-0-C</t>
  </si>
  <si>
    <t>2112106-0-C</t>
  </si>
  <si>
    <t>2112118-0-C</t>
  </si>
  <si>
    <t>2112160-0-C</t>
  </si>
  <si>
    <t>2112153-0-C</t>
  </si>
  <si>
    <t>1001947863</t>
  </si>
  <si>
    <t>0103613282</t>
  </si>
  <si>
    <t>260815C66A</t>
  </si>
  <si>
    <t>CA-H2608-PD-013</t>
  </si>
  <si>
    <t>1001947864</t>
  </si>
  <si>
    <t>0103613285</t>
  </si>
  <si>
    <t>260815C67A</t>
  </si>
  <si>
    <t>CA-H2607-PD-615</t>
  </si>
  <si>
    <t>1001947866</t>
  </si>
  <si>
    <t>2211017-C-A</t>
  </si>
  <si>
    <t>HW60JL300P10000 NOCE</t>
  </si>
  <si>
    <t>0103613286</t>
  </si>
  <si>
    <t>260815C68A</t>
  </si>
  <si>
    <t>1911346-E-A</t>
  </si>
  <si>
    <t>ASAHI HYPERION 8FR SPB3.5 100CM</t>
  </si>
  <si>
    <t>0103612900</t>
  </si>
  <si>
    <t>V260815Z01</t>
  </si>
  <si>
    <t>0103612998</t>
  </si>
  <si>
    <t>V260815Z02</t>
  </si>
  <si>
    <t>TER-PE-260548-1</t>
  </si>
  <si>
    <t>TER-PE-260548-2</t>
  </si>
  <si>
    <t>2112348-0-C</t>
  </si>
  <si>
    <t>Aug29-41</t>
  </si>
  <si>
    <t>Aug29-42</t>
  </si>
  <si>
    <t>Aug29-43</t>
  </si>
  <si>
    <t>Aug29-44</t>
  </si>
  <si>
    <t>Aug29-45</t>
  </si>
  <si>
    <t>Aug29-46</t>
  </si>
  <si>
    <t>Aug29-47</t>
  </si>
  <si>
    <t>Aug29-48</t>
  </si>
  <si>
    <t>Aug29-49</t>
  </si>
  <si>
    <t>Aug29-50</t>
  </si>
  <si>
    <t>Aug29-51</t>
  </si>
  <si>
    <t>Aug29-52</t>
  </si>
  <si>
    <t>Aug29-53</t>
  </si>
  <si>
    <t>Aug29-54</t>
  </si>
  <si>
    <t>Aug29-55</t>
  </si>
  <si>
    <t>Aug29-56</t>
  </si>
  <si>
    <t>Aug29-57</t>
  </si>
  <si>
    <t>Aug29-58</t>
  </si>
  <si>
    <t>Aug29-59</t>
  </si>
  <si>
    <t>Aug29-60</t>
  </si>
  <si>
    <t>Aug29-61</t>
  </si>
  <si>
    <t>Aug29-62</t>
  </si>
  <si>
    <t>Aug29-63</t>
  </si>
  <si>
    <t>Aug29-64</t>
  </si>
  <si>
    <t>Aug29-65</t>
  </si>
  <si>
    <t>Aug29-66</t>
  </si>
  <si>
    <t>Aug29-67</t>
  </si>
  <si>
    <t>Aug29-68</t>
  </si>
  <si>
    <t>Aug29-69</t>
  </si>
  <si>
    <t>Aug29-70</t>
  </si>
  <si>
    <t>Aug29-71</t>
  </si>
  <si>
    <t>Aug29-72</t>
  </si>
  <si>
    <t>Aug29-73</t>
  </si>
  <si>
    <t>Aug29-74</t>
  </si>
  <si>
    <t>Aug29-75</t>
  </si>
  <si>
    <t>Aug29-76</t>
  </si>
  <si>
    <t>Aug29-77</t>
  </si>
  <si>
    <t>Aug29-78</t>
  </si>
  <si>
    <t>Aug29-79</t>
  </si>
  <si>
    <t>Aug29-80</t>
  </si>
  <si>
    <t>Aug29-81</t>
  </si>
  <si>
    <t>Aug29-82</t>
  </si>
  <si>
    <t>Aug29-83</t>
  </si>
  <si>
    <t>Aug29-84</t>
  </si>
  <si>
    <t>Aug29-85</t>
  </si>
  <si>
    <t>Aug29-86</t>
  </si>
  <si>
    <t>Aug29-87</t>
  </si>
  <si>
    <t>Aug29-88</t>
  </si>
  <si>
    <t>Aug29-89</t>
  </si>
  <si>
    <t>Aug29-90</t>
  </si>
  <si>
    <t>Aug29-91</t>
  </si>
  <si>
    <t>Aug29-92</t>
  </si>
  <si>
    <t>Aug29-93</t>
  </si>
  <si>
    <t>Aug29-94</t>
  </si>
  <si>
    <t>Aug29-95</t>
  </si>
  <si>
    <t>Aug29-96</t>
  </si>
  <si>
    <t>Aug29-97</t>
  </si>
  <si>
    <t>Aug29-98</t>
  </si>
  <si>
    <t>Aug29-99</t>
  </si>
  <si>
    <t>Aug29-100</t>
  </si>
  <si>
    <t>Aug29-101</t>
  </si>
  <si>
    <t>Aug29-102</t>
  </si>
  <si>
    <t>Aug29-103</t>
  </si>
  <si>
    <t>Aug29-104</t>
  </si>
  <si>
    <t>Aug29-105</t>
  </si>
  <si>
    <t>Aug29-106</t>
  </si>
  <si>
    <t>Aug29-107</t>
  </si>
  <si>
    <t>Aug29-108</t>
  </si>
  <si>
    <t>Aug29-109</t>
  </si>
  <si>
    <t>Aug29-110</t>
  </si>
  <si>
    <t>Aug29-111</t>
  </si>
  <si>
    <t>Aug29-112</t>
  </si>
  <si>
    <t>Sep04-01</t>
  </si>
  <si>
    <t>Sep04-02</t>
  </si>
  <si>
    <t>Sep04-03</t>
  </si>
  <si>
    <t>Sep04-04</t>
  </si>
  <si>
    <t>Sep07-03</t>
  </si>
  <si>
    <t>Sep07-04</t>
  </si>
  <si>
    <t>Sep07-05</t>
  </si>
  <si>
    <t>Sep07-06</t>
  </si>
  <si>
    <t>0103611056</t>
  </si>
  <si>
    <t>JF26814A1</t>
  </si>
  <si>
    <t>0103611060</t>
  </si>
  <si>
    <t>JF26814A2</t>
  </si>
  <si>
    <t>0103578796</t>
  </si>
  <si>
    <t>JF26727B8</t>
  </si>
  <si>
    <t>0103518182</t>
  </si>
  <si>
    <t>JF26625B4</t>
  </si>
  <si>
    <t>0103532262</t>
  </si>
  <si>
    <t>JF26703B2</t>
  </si>
  <si>
    <t>0103597422</t>
  </si>
  <si>
    <t>HF26806J4</t>
  </si>
  <si>
    <t>0103604070</t>
  </si>
  <si>
    <t>HF26808A1</t>
  </si>
  <si>
    <t>0103604114</t>
  </si>
  <si>
    <t>HF26808E9</t>
  </si>
  <si>
    <t>0103601471</t>
  </si>
  <si>
    <t>HF26807A7</t>
  </si>
  <si>
    <t>0103601472</t>
  </si>
  <si>
    <t>HF26807A8</t>
  </si>
  <si>
    <t>0103601475</t>
  </si>
  <si>
    <t>HF26807B1</t>
  </si>
  <si>
    <t>0103601502</t>
  </si>
  <si>
    <t>HF26807D4</t>
  </si>
  <si>
    <t>0103601473</t>
  </si>
  <si>
    <t>HF26807A9</t>
  </si>
  <si>
    <t>0103597389</t>
  </si>
  <si>
    <t>HF26806F2</t>
  </si>
  <si>
    <t>0103604115</t>
  </si>
  <si>
    <t>HF26808F1</t>
  </si>
  <si>
    <t>0103597392</t>
  </si>
  <si>
    <t>HF26806F5</t>
  </si>
  <si>
    <t>0103604087</t>
  </si>
  <si>
    <t>HF26808B9</t>
  </si>
  <si>
    <t>0103601500</t>
  </si>
  <si>
    <t>HF26807D3</t>
  </si>
  <si>
    <t>0103597385</t>
  </si>
  <si>
    <t>HF26806E7</t>
  </si>
  <si>
    <t>0103601506</t>
  </si>
  <si>
    <t>HF26807D8</t>
  </si>
  <si>
    <t>0103601507</t>
  </si>
  <si>
    <t>HF26807D9</t>
  </si>
  <si>
    <t>0103597393</t>
  </si>
  <si>
    <t>HF26806F6</t>
  </si>
  <si>
    <t>0103591459</t>
  </si>
  <si>
    <t>HF26803F6</t>
  </si>
  <si>
    <t>0103604093</t>
  </si>
  <si>
    <t>HF26808C6</t>
  </si>
  <si>
    <t>0103597423</t>
  </si>
  <si>
    <t>HF26806J5</t>
  </si>
  <si>
    <t>0103604086</t>
  </si>
  <si>
    <t>HF26808B8</t>
  </si>
  <si>
    <t>0103597409</t>
  </si>
  <si>
    <t>HF26806H3</t>
  </si>
  <si>
    <t>0103604071</t>
  </si>
  <si>
    <t>HF26808A2</t>
  </si>
  <si>
    <t>0103601514</t>
  </si>
  <si>
    <t>HF26807E6</t>
  </si>
  <si>
    <t>0103601498</t>
  </si>
  <si>
    <t>HF26807D1</t>
  </si>
  <si>
    <t>0103601504</t>
  </si>
  <si>
    <t>HF26807D6</t>
  </si>
  <si>
    <t>0103601482</t>
  </si>
  <si>
    <t>HF26807B7</t>
  </si>
  <si>
    <t>0103601470</t>
  </si>
  <si>
    <t>HF26807A6</t>
  </si>
  <si>
    <t>0103601481</t>
  </si>
  <si>
    <t>HF26807B6</t>
  </si>
  <si>
    <t>0103597413</t>
  </si>
  <si>
    <t>HF26806H7</t>
  </si>
  <si>
    <t>0103597382</t>
  </si>
  <si>
    <t>HF26806E4</t>
  </si>
  <si>
    <t>0103601509</t>
  </si>
  <si>
    <t>HF26807E2</t>
  </si>
  <si>
    <t>0103601497</t>
  </si>
  <si>
    <t>HF26807C9</t>
  </si>
  <si>
    <t>0103601491</t>
  </si>
  <si>
    <t>HF26807C5</t>
  </si>
  <si>
    <t>0103601505</t>
  </si>
  <si>
    <t>HF26807D7</t>
  </si>
  <si>
    <t>0103601510</t>
  </si>
  <si>
    <t>HF26807E3</t>
  </si>
  <si>
    <t>0103599199</t>
  </si>
  <si>
    <t>HF26806J9</t>
  </si>
  <si>
    <t>0103601494</t>
  </si>
  <si>
    <t>HF26807C7</t>
  </si>
  <si>
    <t>0103601488</t>
  </si>
  <si>
    <t>HF26807C2</t>
  </si>
  <si>
    <t>0103601492</t>
  </si>
  <si>
    <t>HF26807C6</t>
  </si>
  <si>
    <t>0103601499</t>
  </si>
  <si>
    <t>HF26807D2</t>
  </si>
  <si>
    <t>0103601478</t>
  </si>
  <si>
    <t>HF26807B4</t>
  </si>
  <si>
    <t>0103601485</t>
  </si>
  <si>
    <t>HF26807B9</t>
  </si>
  <si>
    <t>0103601503</t>
  </si>
  <si>
    <t>HF26807D5</t>
  </si>
  <si>
    <t>0103601480</t>
  </si>
  <si>
    <t>HF26807B5</t>
  </si>
  <si>
    <t>0103601490</t>
  </si>
  <si>
    <t>HF26807C4</t>
  </si>
  <si>
    <t>0103597412</t>
  </si>
  <si>
    <t>HF26806H6</t>
  </si>
  <si>
    <t>0103597378</t>
  </si>
  <si>
    <t>HF26806D9</t>
  </si>
  <si>
    <t>0103601484</t>
  </si>
  <si>
    <t>HF26807B8</t>
  </si>
  <si>
    <t>0103597411</t>
  </si>
  <si>
    <t>HF26806H5</t>
  </si>
  <si>
    <t>0103597381</t>
  </si>
  <si>
    <t>HF26806E3</t>
  </si>
  <si>
    <t>0103597383</t>
  </si>
  <si>
    <t>HF26806E5</t>
  </si>
  <si>
    <t>0103601476</t>
  </si>
  <si>
    <t>HF26807B2</t>
  </si>
  <si>
    <t>0103601496</t>
  </si>
  <si>
    <t>HF26807C8</t>
  </si>
  <si>
    <t>0103597410</t>
  </si>
  <si>
    <t>HF26806H4</t>
  </si>
  <si>
    <t>0103601477</t>
  </si>
  <si>
    <t>HF26807B3</t>
  </si>
  <si>
    <t>0103601508</t>
  </si>
  <si>
    <t>HF26807E1</t>
  </si>
  <si>
    <t>0103601487</t>
  </si>
  <si>
    <t>HF26807C1</t>
  </si>
  <si>
    <t>0103601489</t>
  </si>
  <si>
    <t>HF26807C3</t>
  </si>
  <si>
    <t>0103604102</t>
  </si>
  <si>
    <t>HF26808D6</t>
  </si>
  <si>
    <t>0103597386</t>
  </si>
  <si>
    <t>HF26806E8</t>
  </si>
  <si>
    <t>0103526879</t>
  </si>
  <si>
    <t>HF26702E9</t>
  </si>
  <si>
    <t>0103604081</t>
  </si>
  <si>
    <t>HF26808B3</t>
  </si>
  <si>
    <t>0103597387</t>
  </si>
  <si>
    <t>HF26806E9</t>
  </si>
  <si>
    <t>0103597407</t>
  </si>
  <si>
    <t>HF26806H1</t>
  </si>
  <si>
    <t>0103597418</t>
  </si>
  <si>
    <t>HF26806H9</t>
  </si>
  <si>
    <t>0103597421</t>
  </si>
  <si>
    <t>HF26806J3</t>
  </si>
  <si>
    <t>0103597420</t>
  </si>
  <si>
    <t>HF26806J2</t>
  </si>
  <si>
    <t>0103597417</t>
  </si>
  <si>
    <t>HF26806H8</t>
  </si>
  <si>
    <t>0103597419</t>
  </si>
  <si>
    <t>HF26806J1</t>
  </si>
  <si>
    <t>V43GJ16</t>
  </si>
  <si>
    <t>1001942483</t>
  </si>
  <si>
    <t>2351005-0-A</t>
  </si>
  <si>
    <t>TES0018S US</t>
  </si>
  <si>
    <t>0103602697</t>
  </si>
  <si>
    <t>260807G02A</t>
  </si>
  <si>
    <t>Test EN dotoxin</t>
  </si>
  <si>
    <t>cancel</t>
  </si>
  <si>
    <t>Page:          /  3</t>
  </si>
  <si>
    <t>M8-4</t>
  </si>
  <si>
    <t>CA-H2608-PD-449</t>
  </si>
  <si>
    <t xml:space="preserve">Masters parkway </t>
  </si>
  <si>
    <t>1941011-F-A</t>
  </si>
  <si>
    <t>V43GQ20</t>
  </si>
  <si>
    <t>V43GJ20</t>
  </si>
  <si>
    <t>V43GK09</t>
  </si>
  <si>
    <t>M5-3</t>
  </si>
  <si>
    <t>Reject</t>
  </si>
  <si>
    <t>CATH</t>
  </si>
  <si>
    <t>Trang 1</t>
  </si>
  <si>
    <t>-</t>
  </si>
  <si>
    <t>21.Aug.26</t>
  </si>
  <si>
    <t>Trang 2</t>
  </si>
  <si>
    <t>Quynh1</t>
  </si>
  <si>
    <t>MST150-27HFR_CN</t>
  </si>
  <si>
    <t>Quynh2</t>
  </si>
  <si>
    <t>2009051_Masters HF CN</t>
  </si>
  <si>
    <t>Thuy1</t>
  </si>
  <si>
    <t>EL150-16R_JP</t>
  </si>
  <si>
    <t>CA-H2608-PD-242</t>
  </si>
  <si>
    <t>1001950262</t>
  </si>
  <si>
    <t>0103617951</t>
  </si>
  <si>
    <t>260818C01A</t>
  </si>
  <si>
    <t>CA-H2608-PD-243</t>
  </si>
  <si>
    <t>1001950263</t>
  </si>
  <si>
    <t>0103617952</t>
  </si>
  <si>
    <t>260818C02A</t>
  </si>
  <si>
    <t>CA-H2608-PD-244</t>
  </si>
  <si>
    <t>1001950264</t>
  </si>
  <si>
    <t>0103617954</t>
  </si>
  <si>
    <t>260818C03A</t>
  </si>
  <si>
    <t>CA-H2608-PD-247</t>
  </si>
  <si>
    <t>1001950265</t>
  </si>
  <si>
    <t>0103617955</t>
  </si>
  <si>
    <t>260818C04A</t>
  </si>
  <si>
    <t>CA-H2608-PD-251</t>
  </si>
  <si>
    <t>1001950266</t>
  </si>
  <si>
    <t>0103617956</t>
  </si>
  <si>
    <t>260818C05A</t>
  </si>
  <si>
    <t>CA-H2608-PD-339</t>
  </si>
  <si>
    <t>1001950267</t>
  </si>
  <si>
    <t>0103617957</t>
  </si>
  <si>
    <t>260818C06A</t>
  </si>
  <si>
    <t>CA-H2608-PD-194</t>
  </si>
  <si>
    <t>1001950268</t>
  </si>
  <si>
    <t>0103617958</t>
  </si>
  <si>
    <t>260818C07A</t>
  </si>
  <si>
    <t>CA-H2608-PD-216</t>
  </si>
  <si>
    <t>1001950269</t>
  </si>
  <si>
    <t>1911106-D-A</t>
  </si>
  <si>
    <t>HJ70AL070P10021 JP</t>
  </si>
  <si>
    <t>0103617959</t>
  </si>
  <si>
    <t>260818C08A</t>
  </si>
  <si>
    <t>CA-H2608-PD-239</t>
  </si>
  <si>
    <t>1001950270</t>
  </si>
  <si>
    <t>1911150-D-A</t>
  </si>
  <si>
    <t>HJ70JL352P09020 JP</t>
  </si>
  <si>
    <t>0103617960</t>
  </si>
  <si>
    <t>260818C09A</t>
  </si>
  <si>
    <t>CA-H2608-PD-241</t>
  </si>
  <si>
    <t>1001950271</t>
  </si>
  <si>
    <t>1911157-D-A</t>
  </si>
  <si>
    <t>HJ70JL402P09020 JP</t>
  </si>
  <si>
    <t>0103617961</t>
  </si>
  <si>
    <t>260818C10A</t>
  </si>
  <si>
    <t>CA-H2608-PD-253</t>
  </si>
  <si>
    <t>1001950272</t>
  </si>
  <si>
    <t>0103617962</t>
  </si>
  <si>
    <t>260818C11A</t>
  </si>
  <si>
    <t>CA-H2608-PD-259</t>
  </si>
  <si>
    <t>1001950273</t>
  </si>
  <si>
    <t>0103617963</t>
  </si>
  <si>
    <t>260818C12A</t>
  </si>
  <si>
    <t>CA-H2608-PD-209</t>
  </si>
  <si>
    <t>1001950274</t>
  </si>
  <si>
    <t>0103617964</t>
  </si>
  <si>
    <t>260818C13A</t>
  </si>
  <si>
    <t>CA-H2608-PD-240</t>
  </si>
  <si>
    <t>1001950275</t>
  </si>
  <si>
    <t>0103617965</t>
  </si>
  <si>
    <t>260818C14A</t>
  </si>
  <si>
    <t>CA-H2608-PD-257</t>
  </si>
  <si>
    <t>1001950276</t>
  </si>
  <si>
    <t>1911218-D-A</t>
  </si>
  <si>
    <t>HJ70SC352P10020 JP</t>
  </si>
  <si>
    <t>0103617966</t>
  </si>
  <si>
    <t>260818C15A</t>
  </si>
  <si>
    <t>CA-H2608-PD-234</t>
  </si>
  <si>
    <t>1001950277</t>
  </si>
  <si>
    <t>1911121-D-A</t>
  </si>
  <si>
    <t>HJ70AL202P10020 JP</t>
  </si>
  <si>
    <t>0103617967</t>
  </si>
  <si>
    <t>260818C16A</t>
  </si>
  <si>
    <t>CA-H2608-PD-249</t>
  </si>
  <si>
    <t>1001950278</t>
  </si>
  <si>
    <t>1911176-D-A</t>
  </si>
  <si>
    <t>HJ70JR402P09020 JP</t>
  </si>
  <si>
    <t>0103617968</t>
  </si>
  <si>
    <t>260818C17A</t>
  </si>
  <si>
    <t>CA-H2608-PD-196</t>
  </si>
  <si>
    <t>1001950279</t>
  </si>
  <si>
    <t>1911020-D-A</t>
  </si>
  <si>
    <t>HJ60CP200P10020 JP</t>
  </si>
  <si>
    <t>0103617969</t>
  </si>
  <si>
    <t>260818C18A</t>
  </si>
  <si>
    <t>CA-H2608-PD-218</t>
  </si>
  <si>
    <t>1001950280</t>
  </si>
  <si>
    <t>1911204-D-A</t>
  </si>
  <si>
    <t>HJ70AL072P09022 JP</t>
  </si>
  <si>
    <t>0103617970</t>
  </si>
  <si>
    <t>260818C19A</t>
  </si>
  <si>
    <t>CA-H2608-PD-224</t>
  </si>
  <si>
    <t>1001950281</t>
  </si>
  <si>
    <t>0103617971</t>
  </si>
  <si>
    <t>260818C20A</t>
  </si>
  <si>
    <t>CA-H2608-PD-231</t>
  </si>
  <si>
    <t>1001950282</t>
  </si>
  <si>
    <t>0103617972</t>
  </si>
  <si>
    <t>260818C21A</t>
  </si>
  <si>
    <t>CA-H2608-PD-272</t>
  </si>
  <si>
    <t>1001950283</t>
  </si>
  <si>
    <t>1911327-D-A</t>
  </si>
  <si>
    <t>HJ80AL100P10002 JP</t>
  </si>
  <si>
    <t>0103617973</t>
  </si>
  <si>
    <t>260818C22A</t>
  </si>
  <si>
    <t>CA-H2608-PD-238</t>
  </si>
  <si>
    <t>1001950284</t>
  </si>
  <si>
    <t>0103617974</t>
  </si>
  <si>
    <t>260818C23A</t>
  </si>
  <si>
    <t>CA-H2608-PD-220</t>
  </si>
  <si>
    <t>1001950285</t>
  </si>
  <si>
    <t>1911107-D-A</t>
  </si>
  <si>
    <t>HJ70AL072P10021 JP</t>
  </si>
  <si>
    <t>0103617975</t>
  </si>
  <si>
    <t>260818C24A</t>
  </si>
  <si>
    <t>CA-H2608-PD-229</t>
  </si>
  <si>
    <t>1001950286</t>
  </si>
  <si>
    <t>0103617976</t>
  </si>
  <si>
    <t>260818C25A</t>
  </si>
  <si>
    <t>CA-H2608-PD-235</t>
  </si>
  <si>
    <t>1001950287</t>
  </si>
  <si>
    <t>1911215-D-A</t>
  </si>
  <si>
    <t>HJ70AL202P10022 JP</t>
  </si>
  <si>
    <t>0103617977</t>
  </si>
  <si>
    <t>260818C26A</t>
  </si>
  <si>
    <t>CA-H2608-PD-192</t>
  </si>
  <si>
    <t>1001950288</t>
  </si>
  <si>
    <t>1911087-D-A</t>
  </si>
  <si>
    <t>HJ60AL200P10022 JP</t>
  </si>
  <si>
    <t>0103617978</t>
  </si>
  <si>
    <t>260818C27A</t>
  </si>
  <si>
    <t>CA-H2608-PD-215</t>
  </si>
  <si>
    <t>1001950289</t>
  </si>
  <si>
    <t>0103617979</t>
  </si>
  <si>
    <t>260818C28A</t>
  </si>
  <si>
    <t>CA-H2608-PD-230</t>
  </si>
  <si>
    <t>1001950290</t>
  </si>
  <si>
    <t>0103617980</t>
  </si>
  <si>
    <t>260818C29A</t>
  </si>
  <si>
    <t>CA-H2608-PD-210</t>
  </si>
  <si>
    <t>1001950291</t>
  </si>
  <si>
    <t>1911091-D-A</t>
  </si>
  <si>
    <t>HJ60SC400P10000 JP</t>
  </si>
  <si>
    <t>0103617981</t>
  </si>
  <si>
    <t>260818C30A</t>
  </si>
  <si>
    <t>CA-H2608-PD-223</t>
  </si>
  <si>
    <t>1001950292</t>
  </si>
  <si>
    <t>0103617982</t>
  </si>
  <si>
    <t>260818C31A</t>
  </si>
  <si>
    <t>CA-H2608-PD-248</t>
  </si>
  <si>
    <t>1001950293</t>
  </si>
  <si>
    <t>0103617983</t>
  </si>
  <si>
    <t>260818C32A</t>
  </si>
  <si>
    <t>CA-H2608-PD-342</t>
  </si>
  <si>
    <t>1001950294</t>
  </si>
  <si>
    <t>0103617984</t>
  </si>
  <si>
    <t>260818C33A</t>
  </si>
  <si>
    <t>CA-H2608-PD-327</t>
  </si>
  <si>
    <t>1001950295</t>
  </si>
  <si>
    <t>0103617985</t>
  </si>
  <si>
    <t>260818C34A</t>
  </si>
  <si>
    <t>CA-H2608-PD-323</t>
  </si>
  <si>
    <t>1001950296</t>
  </si>
  <si>
    <t>0103617986</t>
  </si>
  <si>
    <t>260818C35A</t>
  </si>
  <si>
    <t>CA-H2608-PD-375</t>
  </si>
  <si>
    <t>1001950297</t>
  </si>
  <si>
    <t>0103617987</t>
  </si>
  <si>
    <t>260818C36A</t>
  </si>
  <si>
    <t>CA-H2608-PD-347</t>
  </si>
  <si>
    <t>1001950298</t>
  </si>
  <si>
    <t>0103617988</t>
  </si>
  <si>
    <t>260818C37A</t>
  </si>
  <si>
    <t>CA-H2608-PD-340</t>
  </si>
  <si>
    <t>1001950299</t>
  </si>
  <si>
    <t>0103617989</t>
  </si>
  <si>
    <t>260818C38A</t>
  </si>
  <si>
    <t>CA-H2608-PD-325</t>
  </si>
  <si>
    <t>1001950300</t>
  </si>
  <si>
    <t>0103617990</t>
  </si>
  <si>
    <t>260818C39A</t>
  </si>
  <si>
    <t>CA-H2608-PD-337</t>
  </si>
  <si>
    <t>1001950301</t>
  </si>
  <si>
    <t>0103617991</t>
  </si>
  <si>
    <t>260818C40A</t>
  </si>
  <si>
    <t>CA-H2608-PD-377</t>
  </si>
  <si>
    <t>1001950302</t>
  </si>
  <si>
    <t>0103617992</t>
  </si>
  <si>
    <t>260818C41A</t>
  </si>
  <si>
    <t>CA-H2608-PD-222</t>
  </si>
  <si>
    <t>1001950303</t>
  </si>
  <si>
    <t>1911112-D-A</t>
  </si>
  <si>
    <t>HJ70AL100P10021 JP</t>
  </si>
  <si>
    <t>0103617993</t>
  </si>
  <si>
    <t>260818C42A</t>
  </si>
  <si>
    <t>CA-H2608-PD-226</t>
  </si>
  <si>
    <t>1001950304</t>
  </si>
  <si>
    <t>0103617994</t>
  </si>
  <si>
    <t>260818C43A</t>
  </si>
  <si>
    <t>CA-H2608-PD-268</t>
  </si>
  <si>
    <t>1001950305</t>
  </si>
  <si>
    <t>1911326-D-A</t>
  </si>
  <si>
    <t>HJ80AL072P09002 JP</t>
  </si>
  <si>
    <t>0103617995</t>
  </si>
  <si>
    <t>260818C44A</t>
  </si>
  <si>
    <t>CA-H2608-PD-270</t>
  </si>
  <si>
    <t>1001950306</t>
  </si>
  <si>
    <t>1911239-D-A</t>
  </si>
  <si>
    <t>HJ80AL072P10001 JP</t>
  </si>
  <si>
    <t>0103617997</t>
  </si>
  <si>
    <t>260818C45A</t>
  </si>
  <si>
    <t>CA-H2608-PD-282</t>
  </si>
  <si>
    <t>1001950307</t>
  </si>
  <si>
    <t>0103617998</t>
  </si>
  <si>
    <t>260818C46A</t>
  </si>
  <si>
    <t>CA-H2608-PD-283</t>
  </si>
  <si>
    <t>1001950308</t>
  </si>
  <si>
    <t>1911268-D-A</t>
  </si>
  <si>
    <t>HJ80IM002P10010 JP</t>
  </si>
  <si>
    <t>0103617999</t>
  </si>
  <si>
    <t>260818C47A</t>
  </si>
  <si>
    <t>CA-H2608-PD-289</t>
  </si>
  <si>
    <t>1001950309</t>
  </si>
  <si>
    <t>0103618000</t>
  </si>
  <si>
    <t>260818C48A</t>
  </si>
  <si>
    <t>CA-H2608-PD-252</t>
  </si>
  <si>
    <t>1001950310</t>
  </si>
  <si>
    <t>0103618001</t>
  </si>
  <si>
    <t>260818C49A</t>
  </si>
  <si>
    <t>CA-H2608-PD-279</t>
  </si>
  <si>
    <t>1001950311</t>
  </si>
  <si>
    <t>1911251-D-A</t>
  </si>
  <si>
    <t>HJ80AL152P10001 JP</t>
  </si>
  <si>
    <t>0103618002</t>
  </si>
  <si>
    <t>260818C50A</t>
  </si>
  <si>
    <t>CA-H2608-PD-281</t>
  </si>
  <si>
    <t>1001950312</t>
  </si>
  <si>
    <t>0103618003</t>
  </si>
  <si>
    <t>260818C51A</t>
  </si>
  <si>
    <t>2112108-0-C</t>
  </si>
  <si>
    <t>2112152-0-C</t>
  </si>
  <si>
    <t>2112159-0-C</t>
  </si>
  <si>
    <t>2112220-0-C</t>
  </si>
  <si>
    <t>2112123-0-C</t>
  </si>
  <si>
    <t>2112178-0-C</t>
  </si>
  <si>
    <t>2112022-0-C</t>
  </si>
  <si>
    <t>2112206-0-C</t>
  </si>
  <si>
    <t>2112329-0-C</t>
  </si>
  <si>
    <t>2112109-0-C</t>
  </si>
  <si>
    <t>2112217-0-C</t>
  </si>
  <si>
    <t>2112089-0-C</t>
  </si>
  <si>
    <t>2112093-0-C</t>
  </si>
  <si>
    <t>2112114-0-C</t>
  </si>
  <si>
    <t>2112328-0-C</t>
  </si>
  <si>
    <t>2112241-0-C</t>
  </si>
  <si>
    <t>2112270-0-C</t>
  </si>
  <si>
    <t>2112253-0-C</t>
  </si>
  <si>
    <t>CA-H2608-PD-237</t>
  </si>
  <si>
    <t>1001950313</t>
  </si>
  <si>
    <t>1911143-D-A</t>
  </si>
  <si>
    <t>HJ70IM000P10000 JP</t>
  </si>
  <si>
    <t>0103618004</t>
  </si>
  <si>
    <t>260818C52A</t>
  </si>
  <si>
    <t>CA-H2608-PD-256</t>
  </si>
  <si>
    <t>1001950314</t>
  </si>
  <si>
    <t>1911217-D-A</t>
  </si>
  <si>
    <t>HJ70SC350P10000 JP</t>
  </si>
  <si>
    <t>0103618005</t>
  </si>
  <si>
    <t>260818C53A</t>
  </si>
  <si>
    <t>CA-H2608-PD-276</t>
  </si>
  <si>
    <t>1001950315</t>
  </si>
  <si>
    <t>0103618006</t>
  </si>
  <si>
    <t>260818C54A</t>
  </si>
  <si>
    <t>CA-H2608-PD-277</t>
  </si>
  <si>
    <t>1001950316</t>
  </si>
  <si>
    <t>1911249-D-A</t>
  </si>
  <si>
    <t>HJ80AL152P09000 JP</t>
  </si>
  <si>
    <t>0103618007</t>
  </si>
  <si>
    <t>260818C55A</t>
  </si>
  <si>
    <t>CA-H2608-PD-287</t>
  </si>
  <si>
    <t>1001950317</t>
  </si>
  <si>
    <t>0103618008</t>
  </si>
  <si>
    <t>260818C56A</t>
  </si>
  <si>
    <t>CA-H2608-PD-258</t>
  </si>
  <si>
    <t>1001950318</t>
  </si>
  <si>
    <t>0103618009</t>
  </si>
  <si>
    <t>260818C57A</t>
  </si>
  <si>
    <t>CA-H2608-PD-280</t>
  </si>
  <si>
    <t>1001950319</t>
  </si>
  <si>
    <t>0103618010</t>
  </si>
  <si>
    <t>260818C58A</t>
  </si>
  <si>
    <t>CA-H2608-PD-236</t>
  </si>
  <si>
    <t>1001950320</t>
  </si>
  <si>
    <t>0103618011</t>
  </si>
  <si>
    <t>260818C59A</t>
  </si>
  <si>
    <t>CA-H2608-PD-250</t>
  </si>
  <si>
    <t>1001950321</t>
  </si>
  <si>
    <t>0103618012</t>
  </si>
  <si>
    <t>260818C60A</t>
  </si>
  <si>
    <t>CA-H2608-PD-288</t>
  </si>
  <si>
    <t>1001950322</t>
  </si>
  <si>
    <t>0103618013</t>
  </si>
  <si>
    <t>260818C61A</t>
  </si>
  <si>
    <t>CA-H2608-PD-221</t>
  </si>
  <si>
    <t>1001950323</t>
  </si>
  <si>
    <t>0103618014</t>
  </si>
  <si>
    <t>260818C62A</t>
  </si>
  <si>
    <t>CA-H2608-PD-228</t>
  </si>
  <si>
    <t>1001950324</t>
  </si>
  <si>
    <t>0103618015</t>
  </si>
  <si>
    <t>260818C63A</t>
  </si>
  <si>
    <t>CA-H2608-PD-274</t>
  </si>
  <si>
    <t>1001950325</t>
  </si>
  <si>
    <t>1911245-D-A</t>
  </si>
  <si>
    <t>HJ80AL102P10001 JP</t>
  </si>
  <si>
    <t>0103618016</t>
  </si>
  <si>
    <t>260818C64A</t>
  </si>
  <si>
    <t>CA-H2608-PD-233</t>
  </si>
  <si>
    <t>1001950326</t>
  </si>
  <si>
    <t>1911213-D-A</t>
  </si>
  <si>
    <t>HJ70AL200P10022 JP</t>
  </si>
  <si>
    <t>0103618017</t>
  </si>
  <si>
    <t>260818C65A</t>
  </si>
  <si>
    <t>CA-H2608-PD-217</t>
  </si>
  <si>
    <t>1001950327</t>
  </si>
  <si>
    <t>0103618018</t>
  </si>
  <si>
    <t>260818C66A</t>
  </si>
  <si>
    <t>CA-H2608-PD-232</t>
  </si>
  <si>
    <t>1001950328</t>
  </si>
  <si>
    <t>0103618019</t>
  </si>
  <si>
    <t>260818C67A</t>
  </si>
  <si>
    <t>CA-H2608-PD-227</t>
  </si>
  <si>
    <t>1001950329</t>
  </si>
  <si>
    <t>0103618020</t>
  </si>
  <si>
    <t>260818C68A</t>
  </si>
  <si>
    <t>CA-H2608-PD-443</t>
  </si>
  <si>
    <t>1001950330</t>
  </si>
  <si>
    <t>0103618022</t>
  </si>
  <si>
    <t>260818C69A</t>
  </si>
  <si>
    <t>CA-H2608-PD-266</t>
  </si>
  <si>
    <t>1001950331</t>
  </si>
  <si>
    <t>0103618023</t>
  </si>
  <si>
    <t>260818C70A</t>
  </si>
  <si>
    <t>CA-H2608-PD-363</t>
  </si>
  <si>
    <t>1001950332</t>
  </si>
  <si>
    <t>0103618024</t>
  </si>
  <si>
    <t>260818C71A</t>
  </si>
  <si>
    <t>CA-H2608-PD-365</t>
  </si>
  <si>
    <t>1001950333</t>
  </si>
  <si>
    <t>0103618025</t>
  </si>
  <si>
    <t>260818C72A</t>
  </si>
  <si>
    <t>CA-H2608-PD-358</t>
  </si>
  <si>
    <t>1001950334</t>
  </si>
  <si>
    <t>0103618026</t>
  </si>
  <si>
    <t>260818C73A</t>
  </si>
  <si>
    <t>CA-H2608-PD-349</t>
  </si>
  <si>
    <t>1001950335</t>
  </si>
  <si>
    <t>0103618027</t>
  </si>
  <si>
    <t>260818C74A</t>
  </si>
  <si>
    <t>CA-H2608-PD-351</t>
  </si>
  <si>
    <t>1001950336</t>
  </si>
  <si>
    <t>0103618028</t>
  </si>
  <si>
    <t>260818C75A</t>
  </si>
  <si>
    <t>CA-H2608-PD-411</t>
  </si>
  <si>
    <t>1001950337</t>
  </si>
  <si>
    <t>0103618029</t>
  </si>
  <si>
    <t>260818C76A</t>
  </si>
  <si>
    <t>CA-H2608-PD-362</t>
  </si>
  <si>
    <t>1001950338</t>
  </si>
  <si>
    <t>0103618030</t>
  </si>
  <si>
    <t>260818C77A</t>
  </si>
  <si>
    <t>CA-H2608-PD-361</t>
  </si>
  <si>
    <t>1001950339</t>
  </si>
  <si>
    <t>0103618031</t>
  </si>
  <si>
    <t>260818C78A</t>
  </si>
  <si>
    <t>CA-H2608-PD-360</t>
  </si>
  <si>
    <t>1001950340</t>
  </si>
  <si>
    <t>0103618032</t>
  </si>
  <si>
    <t>260818C79A</t>
  </si>
  <si>
    <t>CA-H2608-PD-409</t>
  </si>
  <si>
    <t>1001950341</t>
  </si>
  <si>
    <t>0103618033</t>
  </si>
  <si>
    <t>260818C80A</t>
  </si>
  <si>
    <t>2112145-0-C</t>
  </si>
  <si>
    <t>2112219-0-C</t>
  </si>
  <si>
    <t>2112251-0-C</t>
  </si>
  <si>
    <t>2112247-0-C</t>
  </si>
  <si>
    <t>2112215-0-C</t>
  </si>
  <si>
    <t>Aug29-113</t>
  </si>
  <si>
    <t>Aug29-114</t>
  </si>
  <si>
    <t>Aug29-115</t>
  </si>
  <si>
    <t>Aug29-116</t>
  </si>
  <si>
    <t>Aug29-117</t>
  </si>
  <si>
    <t>Aug29-118</t>
  </si>
  <si>
    <t>Aug29-119</t>
  </si>
  <si>
    <t>Aug29-120</t>
  </si>
  <si>
    <t>Aug29-121</t>
  </si>
  <si>
    <t>Aug29-122</t>
  </si>
  <si>
    <t>Aug29-123</t>
  </si>
  <si>
    <t>Aug29-124</t>
  </si>
  <si>
    <t>Aug29-125</t>
  </si>
  <si>
    <t>Aug29-126</t>
  </si>
  <si>
    <t>Aug29-127</t>
  </si>
  <si>
    <t>Aug29-128</t>
  </si>
  <si>
    <t>Aug29-129</t>
  </si>
  <si>
    <t>Aug29-130</t>
  </si>
  <si>
    <t>Aug29-131</t>
  </si>
  <si>
    <t>Aug29-132</t>
  </si>
  <si>
    <t>Aug29-133</t>
  </si>
  <si>
    <t>Aug29-134</t>
  </si>
  <si>
    <t>Aug29-135</t>
  </si>
  <si>
    <t>Aug29-136</t>
  </si>
  <si>
    <t>Aug29-137</t>
  </si>
  <si>
    <t>Aug29-138</t>
  </si>
  <si>
    <t>Aug29-139</t>
  </si>
  <si>
    <t>Aug29-140</t>
  </si>
  <si>
    <t>Aug29-141</t>
  </si>
  <si>
    <t>Aug29-142</t>
  </si>
  <si>
    <t>Aug29-143</t>
  </si>
  <si>
    <t>Aug29-144</t>
  </si>
  <si>
    <t>Aug29-145</t>
  </si>
  <si>
    <t>Aug29-146</t>
  </si>
  <si>
    <t>Aug29-147</t>
  </si>
  <si>
    <t>Aug29-148</t>
  </si>
  <si>
    <t>Aug29-149</t>
  </si>
  <si>
    <t>Aug29-150</t>
  </si>
  <si>
    <t>Aug29-151</t>
  </si>
  <si>
    <t>Aug29-152</t>
  </si>
  <si>
    <t>Aug29-153</t>
  </si>
  <si>
    <t>Aug29-154</t>
  </si>
  <si>
    <t>Aug29-155</t>
  </si>
  <si>
    <t>Aug29-156</t>
  </si>
  <si>
    <t>Aug29-157</t>
  </si>
  <si>
    <t>Aug29-158</t>
  </si>
  <si>
    <t>Aug29-159</t>
  </si>
  <si>
    <t>Aug29-160</t>
  </si>
  <si>
    <t>Aug29-161</t>
  </si>
  <si>
    <t>Aug29-162</t>
  </si>
  <si>
    <t>Aug29-163</t>
  </si>
  <si>
    <t>Aug29-164</t>
  </si>
  <si>
    <t>Aug29-165</t>
  </si>
  <si>
    <t>Aug29-166</t>
  </si>
  <si>
    <t>Aug29-167</t>
  </si>
  <si>
    <t>Aug29-168</t>
  </si>
  <si>
    <t>Aug29-169</t>
  </si>
  <si>
    <t>Aug29-170</t>
  </si>
  <si>
    <t>Aug29-171</t>
  </si>
  <si>
    <t>Aug29-172</t>
  </si>
  <si>
    <t>Aug29-173</t>
  </si>
  <si>
    <t>Aug29-174</t>
  </si>
  <si>
    <t>Aug29-175</t>
  </si>
  <si>
    <t>Aug29-176</t>
  </si>
  <si>
    <t>Aug29-177</t>
  </si>
  <si>
    <t>Aug29-178</t>
  </si>
  <si>
    <t>Aug29-179</t>
  </si>
  <si>
    <t>Aug29-180</t>
  </si>
  <si>
    <t>Aug29-181</t>
  </si>
  <si>
    <t>Aug29-182</t>
  </si>
  <si>
    <t>Aug29-183</t>
  </si>
  <si>
    <t>Aug29-184</t>
  </si>
  <si>
    <t>Aug29-185</t>
  </si>
  <si>
    <t>Aug29-186</t>
  </si>
  <si>
    <t>Aug29-187</t>
  </si>
  <si>
    <t>Aug29-188</t>
  </si>
  <si>
    <t>Aug29-189</t>
  </si>
  <si>
    <t>Aug29-190</t>
  </si>
  <si>
    <t>Aug29-191</t>
  </si>
  <si>
    <t>Aug29-192</t>
  </si>
  <si>
    <t>0103604085</t>
  </si>
  <si>
    <t>HF26808B7</t>
  </si>
  <si>
    <t>0103604111</t>
  </si>
  <si>
    <t>HF26808E6</t>
  </si>
  <si>
    <t>0103604113</t>
  </si>
  <si>
    <t>HF26808E8</t>
  </si>
  <si>
    <t>0103604091</t>
  </si>
  <si>
    <t>HF26808C4</t>
  </si>
  <si>
    <t>0103604105</t>
  </si>
  <si>
    <t>HF26808D9</t>
  </si>
  <si>
    <t>0103604108</t>
  </si>
  <si>
    <t>HF26808E3</t>
  </si>
  <si>
    <t>0103604110</t>
  </si>
  <si>
    <t>HF26808E5</t>
  </si>
  <si>
    <t>0103604083</t>
  </si>
  <si>
    <t>HF26808B5</t>
  </si>
  <si>
    <t>0103526884</t>
  </si>
  <si>
    <t>HF26702F4</t>
  </si>
  <si>
    <t>0103604084</t>
  </si>
  <si>
    <t>HF26808B6</t>
  </si>
  <si>
    <t>0103604104</t>
  </si>
  <si>
    <t>HF26808D8</t>
  </si>
  <si>
    <t>0103604095</t>
  </si>
  <si>
    <t>HF26808C8</t>
  </si>
  <si>
    <t>0103601513</t>
  </si>
  <si>
    <t>HF26807E5</t>
  </si>
  <si>
    <t>0103604112</t>
  </si>
  <si>
    <t>HF26808E7</t>
  </si>
  <si>
    <t>0103604094</t>
  </si>
  <si>
    <t>HF26808C7</t>
  </si>
  <si>
    <t>0103604098</t>
  </si>
  <si>
    <t>HF26808D2</t>
  </si>
  <si>
    <t>0103604092</t>
  </si>
  <si>
    <t>HF26808C5</t>
  </si>
  <si>
    <t>0103604109</t>
  </si>
  <si>
    <t>HF26808E4</t>
  </si>
  <si>
    <t>0103604089</t>
  </si>
  <si>
    <t>HF26808C2</t>
  </si>
  <si>
    <t>0103604090</t>
  </si>
  <si>
    <t>HF26808C3</t>
  </si>
  <si>
    <t>0103604099</t>
  </si>
  <si>
    <t>HF26808D3</t>
  </si>
  <si>
    <t>0103604080</t>
  </si>
  <si>
    <t>HF26808B2</t>
  </si>
  <si>
    <t>0103604096</t>
  </si>
  <si>
    <t>HF26808C9</t>
  </si>
  <si>
    <t>0103604101</t>
  </si>
  <si>
    <t>HF26808D5</t>
  </si>
  <si>
    <t>0103604097</t>
  </si>
  <si>
    <t>HF26808D1</t>
  </si>
  <si>
    <t>0103604100</t>
  </si>
  <si>
    <t>HF26808D4</t>
  </si>
  <si>
    <t>0103604106</t>
  </si>
  <si>
    <t>HF26808E1</t>
  </si>
  <si>
    <t>0103604116</t>
  </si>
  <si>
    <t>HF26808F2</t>
  </si>
  <si>
    <t>0103604103</t>
  </si>
  <si>
    <t>HF26808D7</t>
  </si>
  <si>
    <t>0103604107</t>
  </si>
  <si>
    <t>HF26808E2</t>
  </si>
  <si>
    <t>0103604088</t>
  </si>
  <si>
    <t>HF26808C1</t>
  </si>
  <si>
    <t>0103604082</t>
  </si>
  <si>
    <t>HF26808B4</t>
  </si>
  <si>
    <t>0103493621</t>
  </si>
  <si>
    <t>HF26615B7</t>
  </si>
  <si>
    <t>0103563120</t>
  </si>
  <si>
    <t>HF26718C4</t>
  </si>
  <si>
    <t>0103540322</t>
  </si>
  <si>
    <t>HF26708K3</t>
  </si>
  <si>
    <t>0103604142</t>
  </si>
  <si>
    <t>HF26808J1</t>
  </si>
  <si>
    <t>0103604141</t>
  </si>
  <si>
    <t>HF26808H9</t>
  </si>
  <si>
    <t>0103604119</t>
  </si>
  <si>
    <t>HF26808F5</t>
  </si>
  <si>
    <t>0103604120</t>
  </si>
  <si>
    <t>HF26808F6</t>
  </si>
  <si>
    <t>0103604124</t>
  </si>
  <si>
    <t>HF26808G1</t>
  </si>
  <si>
    <t>0103604125</t>
  </si>
  <si>
    <t>HF26808G2</t>
  </si>
  <si>
    <t>0103604127</t>
  </si>
  <si>
    <t>HF26808G4</t>
  </si>
  <si>
    <t>0103604136</t>
  </si>
  <si>
    <t>HF26808H4</t>
  </si>
  <si>
    <t>0103604123</t>
  </si>
  <si>
    <t>HF26808F9</t>
  </si>
  <si>
    <t>0103604129</t>
  </si>
  <si>
    <t>HF26808G6</t>
  </si>
  <si>
    <t>0103604134</t>
  </si>
  <si>
    <t>HF26808H2</t>
  </si>
  <si>
    <t>0103604135</t>
  </si>
  <si>
    <t>HF26808H3</t>
  </si>
  <si>
    <t>0103604128</t>
  </si>
  <si>
    <t>HF26808G5</t>
  </si>
  <si>
    <t>0103604122</t>
  </si>
  <si>
    <t>HF26808F8</t>
  </si>
  <si>
    <t>0103604117</t>
  </si>
  <si>
    <t>HF26808F3</t>
  </si>
  <si>
    <t>0103604132</t>
  </si>
  <si>
    <t>HF26808G9</t>
  </si>
  <si>
    <t>0103604118</t>
  </si>
  <si>
    <t>HF26808F4</t>
  </si>
  <si>
    <t>0103604140</t>
  </si>
  <si>
    <t>HF26808H8</t>
  </si>
  <si>
    <t>0103604144</t>
  </si>
  <si>
    <t>HF26808J3</t>
  </si>
  <si>
    <t>0103604126</t>
  </si>
  <si>
    <t>HF26808G3</t>
  </si>
  <si>
    <t>0103604131</t>
  </si>
  <si>
    <t>HF26808G8</t>
  </si>
  <si>
    <t>0103604143</t>
  </si>
  <si>
    <t>HF26808J2</t>
  </si>
  <si>
    <t>0103604121</t>
  </si>
  <si>
    <t>HF26808F7</t>
  </si>
  <si>
    <t>0103604139</t>
  </si>
  <si>
    <t>HF26808H7</t>
  </si>
  <si>
    <t>0103604130</t>
  </si>
  <si>
    <t>HF26808G7</t>
  </si>
  <si>
    <t>0103604138</t>
  </si>
  <si>
    <t>HF26808H6</t>
  </si>
  <si>
    <t>0103604137</t>
  </si>
  <si>
    <t>HF26808H5</t>
  </si>
  <si>
    <t>0103616193</t>
  </si>
  <si>
    <t>HF26818C1</t>
  </si>
  <si>
    <t>0103604145</t>
  </si>
  <si>
    <t>HF26808J4</t>
  </si>
  <si>
    <t>0103104083</t>
  </si>
  <si>
    <t>HF25B28D5</t>
  </si>
  <si>
    <t>0103563106</t>
  </si>
  <si>
    <t>HF26718A8</t>
  </si>
  <si>
    <t>0103499947</t>
  </si>
  <si>
    <t>HF26617G2</t>
  </si>
  <si>
    <t>0103563128</t>
  </si>
  <si>
    <t>HF26718D3</t>
  </si>
  <si>
    <t>0103563139</t>
  </si>
  <si>
    <t>HF26718E5</t>
  </si>
  <si>
    <t>CA-H2608-PD-414</t>
  </si>
  <si>
    <t>1001950533</t>
  </si>
  <si>
    <t>0103618360</t>
  </si>
  <si>
    <t>260818C81A</t>
  </si>
  <si>
    <t>1001950535</t>
  </si>
  <si>
    <t>0103618362</t>
  </si>
  <si>
    <t>260818C82A</t>
  </si>
  <si>
    <t>CA-H2608-PD-397</t>
  </si>
  <si>
    <t>1001950537</t>
  </si>
  <si>
    <t>0103618364</t>
  </si>
  <si>
    <t>260818C83A</t>
  </si>
  <si>
    <t>CA-H2608-PD-394</t>
  </si>
  <si>
    <t>1001950540</t>
  </si>
  <si>
    <t>0103618367</t>
  </si>
  <si>
    <t>260818C84A</t>
  </si>
  <si>
    <t>CA-H2608-PD-399</t>
  </si>
  <si>
    <t>1001950542</t>
  </si>
  <si>
    <t>0103618369</t>
  </si>
  <si>
    <t>260818C85A</t>
  </si>
  <si>
    <t>SP-H2609-PD-001</t>
  </si>
  <si>
    <t>1001950544</t>
  </si>
  <si>
    <t>0103618371</t>
  </si>
  <si>
    <t>260818H01A</t>
  </si>
  <si>
    <t>SP-H2609-PD-002</t>
  </si>
  <si>
    <t>1001950546</t>
  </si>
  <si>
    <t>0103618373</t>
  </si>
  <si>
    <t>260818H02A</t>
  </si>
  <si>
    <t>SP-H2609-PD-003</t>
  </si>
  <si>
    <t>1001950548</t>
  </si>
  <si>
    <t>0103618375</t>
  </si>
  <si>
    <t>260818H03A</t>
  </si>
  <si>
    <t>SP-H2609-PD-004</t>
  </si>
  <si>
    <t>1001950551</t>
  </si>
  <si>
    <t>0103618378</t>
  </si>
  <si>
    <t>260818H04A</t>
  </si>
  <si>
    <t>Sep05-01</t>
  </si>
  <si>
    <t>Sep05-02</t>
  </si>
  <si>
    <t>Sep05-03</t>
  </si>
  <si>
    <t>Sep05-04</t>
  </si>
  <si>
    <t>Sep05-05</t>
  </si>
  <si>
    <t>Sep05-06</t>
  </si>
  <si>
    <t>Sep05-07</t>
  </si>
  <si>
    <t>Sep05-08</t>
  </si>
  <si>
    <t>Sep05-09</t>
  </si>
  <si>
    <t>0103580463</t>
  </si>
  <si>
    <t>HF26728B8</t>
  </si>
  <si>
    <t>0103563148</t>
  </si>
  <si>
    <t>HF26718F5</t>
  </si>
  <si>
    <t>0103563149</t>
  </si>
  <si>
    <t>HF26718F6</t>
  </si>
  <si>
    <t>0103580992</t>
  </si>
  <si>
    <t>VF26728A1</t>
  </si>
  <si>
    <t>0103580994</t>
  </si>
  <si>
    <t>VF26728A3</t>
  </si>
  <si>
    <t>0103580995</t>
  </si>
  <si>
    <t>VF26728A4</t>
  </si>
  <si>
    <t>0103580993</t>
  </si>
  <si>
    <t>VF26728A2</t>
  </si>
  <si>
    <t>Page :        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</si>
</sst>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;@"/>
    <numFmt numFmtId="166" formatCode="0.0"/>
    <numFmt numFmtId="167" formatCode="#,##0;\-#,##0;&quot;-&quot;"/>
    <numFmt numFmtId="168" formatCode="_-* #,##0.00_-;\-* #,##0.00_-;_-* &quot;-&quot;??_-;_-@_-"/>
    <numFmt numFmtId="169" formatCode="0.00_)"/>
    <numFmt numFmtId="170" formatCode="_ * #,##0_ ;_ * \-#,##0_ ;_ * &quot;-&quot;_ ;_ @_ "/>
    <numFmt numFmtId="171" formatCode="_ * #,##0.00_ ;_ * \-#,##0.00_ ;_ * &quot;-&quot;??_ ;_ @_ "/>
    <numFmt numFmtId="172" formatCode="#,##0\-;&quot;▲&quot;#,##0\-"/>
    <numFmt numFmtId="173" formatCode="&quot;¥&quot;#,##0\-;&quot;¥&quot;&quot;▲&quot;#,##0\-"/>
    <numFmt numFmtId="174" formatCode="0_);\(0\)"/>
    <numFmt numFmtId="175" formatCode="[$-409]d/mmm/yy;@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sz val="11"/>
      <color theme="0"/>
      <name val="Times New Roman"/>
      <family val="1"/>
    </font>
    <font>
      <sz val="11"/>
      <color theme="1"/>
      <name val="Calibri Light"/>
      <family val="3"/>
      <charset val="128"/>
      <scheme val="major"/>
    </font>
    <font>
      <b/>
      <sz val="12"/>
      <color theme="1"/>
      <name val="Times New Roman"/>
      <family val="1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theme="0"/>
      <name val="Calibri"/>
      <family val="3"/>
      <charset val="128"/>
      <scheme val="minor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sz val="11"/>
      <color rgb="FF9C0006"/>
      <name val="Calibri"/>
      <family val="3"/>
      <charset val="128"/>
      <scheme val="minor"/>
    </font>
    <font>
      <sz val="11"/>
      <color rgb="FF9C0006"/>
      <name val="Times New Roman"/>
      <family val="1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3"/>
      <charset val="128"/>
      <scheme val="minor"/>
    </font>
    <font>
      <b/>
      <sz val="11"/>
      <color rgb="FFFA7D00"/>
      <name val="Times New Roman"/>
      <family val="1"/>
    </font>
    <font>
      <b/>
      <sz val="11"/>
      <color indexed="9"/>
      <name val="Calibri"/>
      <family val="2"/>
    </font>
    <font>
      <b/>
      <sz val="11"/>
      <color theme="0"/>
      <name val="Calibri"/>
      <family val="3"/>
      <charset val="128"/>
      <scheme val="minor"/>
    </font>
    <font>
      <b/>
      <sz val="11"/>
      <color theme="0"/>
      <name val="Times New Roman"/>
      <family val="1"/>
    </font>
    <font>
      <sz val="14"/>
      <name val="Cordia New"/>
      <family val="2"/>
    </font>
    <font>
      <b/>
      <sz val="9"/>
      <name val="ＭＳ Ｐゴシック"/>
      <family val="3"/>
      <charset val="128"/>
    </font>
    <font>
      <sz val="11"/>
      <name val="明朝"/>
      <family val="1"/>
      <charset val="128"/>
    </font>
    <font>
      <i/>
      <sz val="11"/>
      <color indexed="23"/>
      <name val="Calibri"/>
      <family val="2"/>
    </font>
    <font>
      <i/>
      <sz val="11"/>
      <color rgb="FF7F7F7F"/>
      <name val="Calibri"/>
      <family val="3"/>
      <charset val="128"/>
      <scheme val="minor"/>
    </font>
    <font>
      <i/>
      <sz val="11"/>
      <color rgb="FF7F7F7F"/>
      <name val="Times New Roman"/>
      <family val="1"/>
    </font>
    <font>
      <sz val="11"/>
      <color indexed="17"/>
      <name val="Calibri"/>
      <family val="2"/>
    </font>
    <font>
      <sz val="11"/>
      <color rgb="FF006100"/>
      <name val="Calibri"/>
      <family val="3"/>
      <charset val="128"/>
      <scheme val="minor"/>
    </font>
    <font>
      <sz val="11"/>
      <color rgb="FF00610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3"/>
      <charset val="128"/>
      <scheme val="minor"/>
    </font>
    <font>
      <b/>
      <sz val="15"/>
      <color theme="3"/>
      <name val="Times New Roman"/>
      <family val="1"/>
    </font>
    <font>
      <b/>
      <sz val="13"/>
      <color indexed="56"/>
      <name val="Calibri"/>
      <family val="2"/>
    </font>
    <font>
      <b/>
      <sz val="13"/>
      <color theme="3"/>
      <name val="Calibri"/>
      <family val="3"/>
      <charset val="128"/>
      <scheme val="minor"/>
    </font>
    <font>
      <b/>
      <sz val="13"/>
      <color theme="3"/>
      <name val="Times New Roman"/>
      <family val="1"/>
    </font>
    <font>
      <b/>
      <sz val="11"/>
      <color indexed="56"/>
      <name val="Calibri"/>
      <family val="2"/>
    </font>
    <font>
      <b/>
      <sz val="11"/>
      <color theme="3"/>
      <name val="Calibri"/>
      <family val="3"/>
      <charset val="128"/>
      <scheme val="minor"/>
    </font>
    <font>
      <b/>
      <sz val="11"/>
      <color theme="3"/>
      <name val="Times New Roman"/>
      <family val="1"/>
    </font>
    <font>
      <sz val="11"/>
      <color indexed="62"/>
      <name val="Calibri"/>
      <family val="2"/>
    </font>
    <font>
      <sz val="11"/>
      <color rgb="FF3F3F76"/>
      <name val="Calibri"/>
      <family val="3"/>
      <charset val="128"/>
      <scheme val="minor"/>
    </font>
    <font>
      <sz val="11"/>
      <color rgb="FF3F3F76"/>
      <name val="Times New Roman"/>
      <family val="1"/>
    </font>
    <font>
      <sz val="10"/>
      <name val="ＭＳ ゴシック"/>
      <family val="3"/>
      <charset val="128"/>
    </font>
    <font>
      <sz val="11"/>
      <color indexed="52"/>
      <name val="Calibri"/>
      <family val="2"/>
    </font>
    <font>
      <sz val="11"/>
      <color rgb="FFFA7D00"/>
      <name val="Calibri"/>
      <family val="3"/>
      <charset val="128"/>
      <scheme val="minor"/>
    </font>
    <font>
      <sz val="11"/>
      <color rgb="FFFA7D00"/>
      <name val="Times New Roman"/>
      <family val="1"/>
    </font>
    <font>
      <sz val="11"/>
      <color indexed="60"/>
      <name val="Calibri"/>
      <family val="2"/>
    </font>
    <font>
      <sz val="11"/>
      <color rgb="FF9C6500"/>
      <name val="Calibri"/>
      <family val="3"/>
      <charset val="128"/>
      <scheme val="minor"/>
    </font>
    <font>
      <sz val="11"/>
      <color rgb="FF9C6500"/>
      <name val="Times New Roman"/>
      <family val="1"/>
    </font>
    <font>
      <sz val="7"/>
      <name val="Small Fonts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sz val="11"/>
      <color theme="1"/>
      <name val="Calibri"/>
      <family val="2"/>
    </font>
    <font>
      <sz val="8"/>
      <color theme="1"/>
      <name val="Meiryo UI"/>
      <family val="3"/>
      <charset val="128"/>
    </font>
    <font>
      <b/>
      <sz val="11"/>
      <color indexed="63"/>
      <name val="Calibri"/>
      <family val="2"/>
    </font>
    <font>
      <b/>
      <sz val="11"/>
      <color rgb="FF3F3F3F"/>
      <name val="Calibri"/>
      <family val="3"/>
      <charset val="128"/>
      <scheme val="minor"/>
    </font>
    <font>
      <b/>
      <sz val="11"/>
      <color rgb="FF3F3F3F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1"/>
      <name val="Helv"/>
      <family val="2"/>
    </font>
    <font>
      <b/>
      <sz val="18"/>
      <color indexed="56"/>
      <name val="Cambria"/>
      <family val="1"/>
    </font>
    <font>
      <b/>
      <sz val="18"/>
      <color theme="3"/>
      <name val="Calibri Light"/>
      <family val="3"/>
      <charset val="128"/>
      <scheme val="major"/>
    </font>
    <font>
      <b/>
      <sz val="11"/>
      <color indexed="8"/>
      <name val="Calibri"/>
      <family val="2"/>
    </font>
    <font>
      <b/>
      <sz val="11"/>
      <color theme="1"/>
      <name val="Calibri"/>
      <family val="3"/>
      <charset val="128"/>
      <scheme val="minor"/>
    </font>
    <font>
      <sz val="10"/>
      <name val="ＭＳ 明朝"/>
      <family val="1"/>
      <charset val="128"/>
    </font>
    <font>
      <sz val="11"/>
      <color indexed="10"/>
      <name val="Calibri"/>
      <family val="2"/>
    </font>
    <font>
      <sz val="11"/>
      <color rgb="FFFF0000"/>
      <name val="Calibri"/>
      <family val="3"/>
      <charset val="128"/>
      <scheme val="minor"/>
    </font>
    <font>
      <sz val="11"/>
      <color rgb="FFFF0000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.5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明朝"/>
      <family val="1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sz val="11"/>
      <name val="Calibri"/>
      <family val="2"/>
      <scheme val="minor"/>
    </font>
    <font>
      <b/>
      <sz val="10"/>
      <color rgb="FF7030A0"/>
      <name val="Times New Roman"/>
      <family val="1"/>
    </font>
    <font>
      <sz val="11"/>
      <color rgb="FF7030A0"/>
      <name val="Times New Roman"/>
      <family val="1"/>
    </font>
    <font>
      <sz val="11"/>
      <color rgb="FF7030A0"/>
      <name val="Calibri"/>
      <family val="2"/>
      <scheme val="minor"/>
    </font>
    <font>
      <b/>
      <sz val="11"/>
      <color rgb="FF7030A0"/>
      <name val="Times New Roman"/>
      <family val="1"/>
    </font>
    <font>
      <b/>
      <sz val="12"/>
      <color rgb="FF7030A0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0.5"/>
      <name val="Times New Roman"/>
      <family val="1"/>
    </font>
    <font>
      <b/>
      <sz val="9"/>
      <name val="Times New Roman"/>
      <family val="1"/>
    </font>
    <font>
      <sz val="14"/>
      <color theme="1"/>
      <name val="Times New Roman"/>
      <family val="1"/>
    </font>
    <font>
      <sz val="10.5"/>
      <color theme="1"/>
      <name val="Times New Roman"/>
      <family val="1"/>
    </font>
    <font>
      <sz val="7"/>
      <color theme="0"/>
      <name val="Times New Roman"/>
      <family val="1"/>
    </font>
    <font>
      <sz val="11"/>
      <color theme="0"/>
      <name val="Arial"/>
      <family val="2"/>
    </font>
    <font>
      <b/>
      <sz val="7"/>
      <name val="Times New Roman"/>
      <family val="1"/>
    </font>
    <font>
      <b/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3"/>
      <charset val="128"/>
      <scheme val="minor"/>
    </font>
    <font>
      <b/>
      <sz val="10"/>
      <color theme="1"/>
      <name val="Calibri"/>
      <family val="2"/>
      <scheme val="minor"/>
    </font>
    <font>
      <sz val="9"/>
      <color theme="0"/>
      <name val="Times New Roman"/>
      <family val="1"/>
    </font>
    <font>
      <sz val="12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48">
    <xf numFmtId="0" fontId="0" fillId="0" borderId="0"/>
    <xf numFmtId="0" fontId="2" fillId="0" borderId="0"/>
    <xf numFmtId="0" fontId="19" fillId="0" borderId="0"/>
    <xf numFmtId="41" fontId="2" fillId="0" borderId="0" applyFont="0" applyFill="0" applyBorder="0" applyAlignment="0" applyProtection="0"/>
    <xf numFmtId="0" fontId="19" fillId="0" borderId="0"/>
    <xf numFmtId="0" fontId="21" fillId="0" borderId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3" fillId="12" borderId="0" applyNumberFormat="0" applyBorder="0" applyAlignment="0" applyProtection="0"/>
    <xf numFmtId="0" fontId="5" fillId="12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3" fillId="16" borderId="0" applyNumberFormat="0" applyBorder="0" applyAlignment="0" applyProtection="0"/>
    <xf numFmtId="0" fontId="5" fillId="1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20" borderId="0" applyNumberFormat="0" applyBorder="0" applyAlignment="0" applyProtection="0"/>
    <xf numFmtId="0" fontId="5" fillId="20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24" borderId="0" applyNumberFormat="0" applyBorder="0" applyAlignment="0" applyProtection="0"/>
    <xf numFmtId="0" fontId="5" fillId="24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3" fillId="28" borderId="0" applyNumberFormat="0" applyBorder="0" applyAlignment="0" applyProtection="0"/>
    <xf numFmtId="0" fontId="5" fillId="28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32" borderId="0" applyNumberFormat="0" applyBorder="0" applyAlignment="0" applyProtection="0"/>
    <xf numFmtId="0" fontId="5" fillId="32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13" borderId="0" applyNumberFormat="0" applyBorder="0" applyAlignment="0" applyProtection="0"/>
    <xf numFmtId="0" fontId="5" fillId="13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17" borderId="0" applyNumberFormat="0" applyBorder="0" applyAlignment="0" applyProtection="0"/>
    <xf numFmtId="0" fontId="5" fillId="17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21" borderId="0" applyNumberFormat="0" applyBorder="0" applyAlignment="0" applyProtection="0"/>
    <xf numFmtId="0" fontId="5" fillId="21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25" borderId="0" applyNumberFormat="0" applyBorder="0" applyAlignment="0" applyProtection="0"/>
    <xf numFmtId="0" fontId="5" fillId="25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9" borderId="0" applyNumberFormat="0" applyBorder="0" applyAlignment="0" applyProtection="0"/>
    <xf numFmtId="0" fontId="5" fillId="2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33" borderId="0" applyNumberFormat="0" applyBorder="0" applyAlignment="0" applyProtection="0"/>
    <xf numFmtId="0" fontId="5" fillId="33" borderId="0" applyNumberFormat="0" applyBorder="0" applyAlignment="0" applyProtection="0"/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6" fillId="14" borderId="0" applyNumberFormat="0" applyBorder="0" applyAlignment="0" applyProtection="0"/>
    <xf numFmtId="0" fontId="18" fillId="14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6" fillId="18" borderId="0" applyNumberFormat="0" applyBorder="0" applyAlignment="0" applyProtection="0"/>
    <xf numFmtId="0" fontId="18" fillId="18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6" fillId="22" borderId="0" applyNumberFormat="0" applyBorder="0" applyAlignment="0" applyProtection="0"/>
    <xf numFmtId="0" fontId="18" fillId="2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6" fillId="26" borderId="0" applyNumberFormat="0" applyBorder="0" applyAlignment="0" applyProtection="0"/>
    <xf numFmtId="0" fontId="18" fillId="2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6" fillId="30" borderId="0" applyNumberFormat="0" applyBorder="0" applyAlignment="0" applyProtection="0"/>
    <xf numFmtId="0" fontId="18" fillId="30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6" fillId="34" borderId="0" applyNumberFormat="0" applyBorder="0" applyAlignment="0" applyProtection="0"/>
    <xf numFmtId="0" fontId="18" fillId="34" borderId="0" applyNumberFormat="0" applyBorder="0" applyAlignment="0" applyProtection="0"/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6" fillId="11" borderId="0" applyNumberFormat="0" applyBorder="0" applyAlignment="0" applyProtection="0"/>
    <xf numFmtId="0" fontId="18" fillId="11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6" fillId="15" borderId="0" applyNumberFormat="0" applyBorder="0" applyAlignment="0" applyProtection="0"/>
    <xf numFmtId="0" fontId="18" fillId="15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6" fillId="19" borderId="0" applyNumberFormat="0" applyBorder="0" applyAlignment="0" applyProtection="0"/>
    <xf numFmtId="0" fontId="18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6" fillId="23" borderId="0" applyNumberFormat="0" applyBorder="0" applyAlignment="0" applyProtection="0"/>
    <xf numFmtId="0" fontId="18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6" fillId="27" borderId="0" applyNumberFormat="0" applyBorder="0" applyAlignment="0" applyProtection="0"/>
    <xf numFmtId="0" fontId="18" fillId="27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6" fillId="31" borderId="0" applyNumberFormat="0" applyBorder="0" applyAlignment="0" applyProtection="0"/>
    <xf numFmtId="0" fontId="18" fillId="31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9" fillId="5" borderId="0" applyNumberFormat="0" applyBorder="0" applyAlignment="0" applyProtection="0"/>
    <xf numFmtId="0" fontId="30" fillId="5" borderId="0" applyNumberFormat="0" applyBorder="0" applyAlignment="0" applyProtection="0"/>
    <xf numFmtId="167" fontId="31" fillId="0" borderId="0" applyFill="0" applyBorder="0" applyAlignment="0"/>
    <xf numFmtId="167" fontId="31" fillId="0" borderId="0" applyFill="0" applyBorder="0" applyAlignment="0"/>
    <xf numFmtId="0" fontId="32" fillId="53" borderId="38" applyNumberFormat="0" applyAlignment="0" applyProtection="0"/>
    <xf numFmtId="0" fontId="32" fillId="53" borderId="38" applyNumberFormat="0" applyAlignment="0" applyProtection="0"/>
    <xf numFmtId="0" fontId="33" fillId="8" borderId="32" applyNumberFormat="0" applyAlignment="0" applyProtection="0"/>
    <xf numFmtId="0" fontId="34" fillId="8" borderId="32" applyNumberFormat="0" applyAlignment="0" applyProtection="0"/>
    <xf numFmtId="0" fontId="35" fillId="54" borderId="39" applyNumberFormat="0" applyAlignment="0" applyProtection="0"/>
    <xf numFmtId="0" fontId="35" fillId="54" borderId="39" applyNumberFormat="0" applyAlignment="0" applyProtection="0"/>
    <xf numFmtId="0" fontId="36" fillId="9" borderId="35" applyNumberFormat="0" applyAlignment="0" applyProtection="0"/>
    <xf numFmtId="0" fontId="37" fillId="9" borderId="35" applyNumberFormat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41" fontId="23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8" fontId="38" fillId="0" borderId="0" applyFont="0" applyFill="0" applyBorder="0" applyAlignment="0" applyProtection="0"/>
    <xf numFmtId="0" fontId="21" fillId="0" borderId="0" applyFont="0" applyFill="0" applyBorder="0" applyAlignment="0" applyProtection="0">
      <alignment vertical="center"/>
    </xf>
    <xf numFmtId="168" fontId="38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8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40" fontId="39" fillId="0" borderId="0" applyFont="0" applyFill="0" applyBorder="0" applyAlignment="0" applyProtection="0">
      <alignment vertical="top" wrapText="1"/>
      <protection locked="0"/>
    </xf>
    <xf numFmtId="43" fontId="22" fillId="0" borderId="0" applyFont="0" applyFill="0" applyBorder="0" applyAlignment="0" applyProtection="0"/>
    <xf numFmtId="0" fontId="40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5" fillId="4" borderId="0" applyNumberFormat="0" applyBorder="0" applyAlignment="0" applyProtection="0"/>
    <xf numFmtId="0" fontId="46" fillId="4" borderId="0" applyNumberFormat="0" applyBorder="0" applyAlignment="0" applyProtection="0"/>
    <xf numFmtId="38" fontId="47" fillId="55" borderId="0" applyNumberFormat="0" applyBorder="0" applyAlignment="0" applyProtection="0"/>
    <xf numFmtId="0" fontId="48" fillId="0" borderId="40" applyNumberFormat="0" applyAlignment="0" applyProtection="0">
      <alignment horizontal="left" vertical="center"/>
    </xf>
    <xf numFmtId="0" fontId="48" fillId="0" borderId="12">
      <alignment horizontal="left" vertical="center"/>
    </xf>
    <xf numFmtId="0" fontId="49" fillId="0" borderId="41" applyNumberFormat="0" applyFill="0" applyAlignment="0" applyProtection="0"/>
    <xf numFmtId="0" fontId="49" fillId="0" borderId="41" applyNumberFormat="0" applyFill="0" applyAlignment="0" applyProtection="0"/>
    <xf numFmtId="0" fontId="50" fillId="0" borderId="29" applyNumberFormat="0" applyFill="0" applyAlignment="0" applyProtection="0"/>
    <xf numFmtId="0" fontId="51" fillId="0" borderId="29" applyNumberFormat="0" applyFill="0" applyAlignment="0" applyProtection="0"/>
    <xf numFmtId="0" fontId="52" fillId="0" borderId="42" applyNumberFormat="0" applyFill="0" applyAlignment="0" applyProtection="0"/>
    <xf numFmtId="0" fontId="52" fillId="0" borderId="42" applyNumberFormat="0" applyFill="0" applyAlignment="0" applyProtection="0"/>
    <xf numFmtId="0" fontId="53" fillId="0" borderId="30" applyNumberFormat="0" applyFill="0" applyAlignment="0" applyProtection="0"/>
    <xf numFmtId="0" fontId="54" fillId="0" borderId="30" applyNumberFormat="0" applyFill="0" applyAlignment="0" applyProtection="0"/>
    <xf numFmtId="0" fontId="55" fillId="0" borderId="43" applyNumberFormat="0" applyFill="0" applyAlignment="0" applyProtection="0"/>
    <xf numFmtId="0" fontId="55" fillId="0" borderId="43" applyNumberFormat="0" applyFill="0" applyAlignment="0" applyProtection="0"/>
    <xf numFmtId="0" fontId="56" fillId="0" borderId="31" applyNumberFormat="0" applyFill="0" applyAlignment="0" applyProtection="0"/>
    <xf numFmtId="0" fontId="57" fillId="0" borderId="31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0" fontId="47" fillId="56" borderId="3" applyNumberFormat="0" applyBorder="0" applyAlignment="0" applyProtection="0"/>
    <xf numFmtId="0" fontId="58" fillId="40" borderId="38" applyNumberFormat="0" applyAlignment="0" applyProtection="0"/>
    <xf numFmtId="0" fontId="58" fillId="40" borderId="38" applyNumberFormat="0" applyAlignment="0" applyProtection="0"/>
    <xf numFmtId="0" fontId="59" fillId="7" borderId="32" applyNumberFormat="0" applyAlignment="0" applyProtection="0"/>
    <xf numFmtId="0" fontId="59" fillId="7" borderId="32" applyNumberFormat="0" applyAlignment="0" applyProtection="0"/>
    <xf numFmtId="0" fontId="60" fillId="7" borderId="32" applyNumberFormat="0" applyAlignment="0" applyProtection="0"/>
    <xf numFmtId="1" fontId="61" fillId="0" borderId="0" applyProtection="0">
      <protection locked="0"/>
    </xf>
    <xf numFmtId="0" fontId="62" fillId="0" borderId="44" applyNumberFormat="0" applyFill="0" applyAlignment="0" applyProtection="0"/>
    <xf numFmtId="0" fontId="62" fillId="0" borderId="44" applyNumberFormat="0" applyFill="0" applyAlignment="0" applyProtection="0"/>
    <xf numFmtId="0" fontId="63" fillId="0" borderId="34" applyNumberFormat="0" applyFill="0" applyAlignment="0" applyProtection="0"/>
    <xf numFmtId="0" fontId="64" fillId="0" borderId="34" applyNumberFormat="0" applyFill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37" fontId="68" fillId="0" borderId="0"/>
    <xf numFmtId="0" fontId="68" fillId="0" borderId="0"/>
    <xf numFmtId="0" fontId="69" fillId="0" borderId="0"/>
    <xf numFmtId="0" fontId="69" fillId="0" borderId="0"/>
    <xf numFmtId="37" fontId="69" fillId="0" borderId="0"/>
    <xf numFmtId="169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17" fillId="0" borderId="0">
      <alignment vertical="center"/>
    </xf>
    <xf numFmtId="0" fontId="21" fillId="0" borderId="0"/>
    <xf numFmtId="0" fontId="71" fillId="0" borderId="0"/>
    <xf numFmtId="0" fontId="21" fillId="0" borderId="0">
      <alignment vertical="center"/>
    </xf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72" fillId="0" borderId="0"/>
    <xf numFmtId="0" fontId="23" fillId="0" borderId="0"/>
    <xf numFmtId="0" fontId="23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8" fillId="0" borderId="0"/>
    <xf numFmtId="0" fontId="21" fillId="0" borderId="0"/>
    <xf numFmtId="0" fontId="21" fillId="0" borderId="0"/>
    <xf numFmtId="0" fontId="38" fillId="0" borderId="0"/>
    <xf numFmtId="0" fontId="23" fillId="0" borderId="0"/>
    <xf numFmtId="0" fontId="21" fillId="0" borderId="0"/>
    <xf numFmtId="0" fontId="39" fillId="0" borderId="0" applyAlignment="0">
      <alignment vertical="top" wrapText="1"/>
      <protection locked="0"/>
    </xf>
    <xf numFmtId="0" fontId="21" fillId="0" borderId="0"/>
    <xf numFmtId="0" fontId="21" fillId="0" borderId="0"/>
    <xf numFmtId="0" fontId="21" fillId="0" borderId="0"/>
    <xf numFmtId="0" fontId="23" fillId="0" borderId="0"/>
    <xf numFmtId="0" fontId="1" fillId="0" borderId="0"/>
    <xf numFmtId="0" fontId="21" fillId="0" borderId="0"/>
    <xf numFmtId="0" fontId="5" fillId="0" borderId="0"/>
    <xf numFmtId="0" fontId="23" fillId="0" borderId="0"/>
    <xf numFmtId="0" fontId="23" fillId="0" borderId="0"/>
    <xf numFmtId="0" fontId="38" fillId="58" borderId="45" applyNumberFormat="0" applyFont="0" applyAlignment="0" applyProtection="0"/>
    <xf numFmtId="0" fontId="22" fillId="58" borderId="45" applyNumberFormat="0" applyFont="0" applyAlignment="0" applyProtection="0"/>
    <xf numFmtId="0" fontId="22" fillId="10" borderId="36" applyNumberFormat="0" applyFont="0" applyAlignment="0" applyProtection="0"/>
    <xf numFmtId="0" fontId="23" fillId="10" borderId="36" applyNumberFormat="0" applyFont="0" applyAlignment="0" applyProtection="0"/>
    <xf numFmtId="0" fontId="22" fillId="10" borderId="36" applyNumberFormat="0" applyFont="0" applyAlignment="0" applyProtection="0"/>
    <xf numFmtId="0" fontId="22" fillId="58" borderId="45" applyNumberFormat="0" applyFont="0" applyAlignment="0" applyProtection="0"/>
    <xf numFmtId="0" fontId="5" fillId="10" borderId="36" applyNumberFormat="0" applyFont="0" applyAlignment="0" applyProtection="0"/>
    <xf numFmtId="0" fontId="23" fillId="10" borderId="36" applyNumberFormat="0" applyFont="0" applyAlignment="0" applyProtection="0"/>
    <xf numFmtId="0" fontId="73" fillId="53" borderId="46" applyNumberFormat="0" applyAlignment="0" applyProtection="0"/>
    <xf numFmtId="0" fontId="73" fillId="53" borderId="46" applyNumberFormat="0" applyAlignment="0" applyProtection="0"/>
    <xf numFmtId="0" fontId="74" fillId="8" borderId="33" applyNumberFormat="0" applyAlignment="0" applyProtection="0"/>
    <xf numFmtId="0" fontId="75" fillId="8" borderId="33" applyNumberFormat="0" applyAlignment="0" applyProtection="0"/>
    <xf numFmtId="10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76" fillId="0" borderId="0" applyNumberFormat="0" applyFont="0" applyFill="0" applyBorder="0" applyAlignment="0" applyProtection="0">
      <alignment horizontal="left"/>
    </xf>
    <xf numFmtId="0" fontId="77" fillId="0" borderId="22">
      <alignment horizontal="center"/>
    </xf>
    <xf numFmtId="1" fontId="13" fillId="0" borderId="0" applyBorder="0">
      <alignment horizontal="left" vertical="top" wrapText="1"/>
    </xf>
    <xf numFmtId="0" fontId="78" fillId="0" borderId="3">
      <alignment horizontal="center"/>
    </xf>
    <xf numFmtId="0" fontId="78" fillId="0" borderId="0">
      <alignment horizontal="center" vertical="center"/>
    </xf>
    <xf numFmtId="0" fontId="79" fillId="59" borderId="0" applyNumberFormat="0" applyFill="0">
      <alignment horizontal="left" vertical="center"/>
    </xf>
    <xf numFmtId="0" fontId="80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47" applyNumberFormat="0" applyFill="0" applyAlignment="0" applyProtection="0"/>
    <xf numFmtId="0" fontId="83" fillId="0" borderId="47" applyNumberFormat="0" applyFill="0" applyAlignment="0" applyProtection="0"/>
    <xf numFmtId="0" fontId="84" fillId="0" borderId="37" applyNumberFormat="0" applyFill="0" applyAlignment="0" applyProtection="0"/>
    <xf numFmtId="0" fontId="8" fillId="0" borderId="37" applyNumberFormat="0" applyFill="0" applyAlignment="0" applyProtection="0"/>
    <xf numFmtId="0" fontId="85" fillId="0" borderId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54" borderId="39" applyNumberFormat="0" applyAlignment="0" applyProtection="0">
      <alignment vertical="center"/>
    </xf>
    <xf numFmtId="0" fontId="90" fillId="54" borderId="39" applyNumberFormat="0" applyAlignment="0" applyProtection="0">
      <alignment vertical="center"/>
    </xf>
    <xf numFmtId="0" fontId="90" fillId="54" borderId="39" applyNumberFormat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1" fillId="58" borderId="45" applyNumberFormat="0" applyFont="0" applyAlignment="0" applyProtection="0">
      <alignment vertical="center"/>
    </xf>
    <xf numFmtId="0" fontId="21" fillId="58" borderId="45" applyNumberFormat="0" applyFont="0" applyAlignment="0" applyProtection="0">
      <alignment vertical="center"/>
    </xf>
    <xf numFmtId="0" fontId="21" fillId="58" borderId="45" applyNumberFormat="0" applyFont="0" applyAlignment="0" applyProtection="0">
      <alignment vertical="center"/>
    </xf>
    <xf numFmtId="0" fontId="92" fillId="0" borderId="44" applyNumberFormat="0" applyFill="0" applyAlignment="0" applyProtection="0">
      <alignment vertical="center"/>
    </xf>
    <xf numFmtId="170" fontId="2" fillId="0" borderId="0" applyFont="0" applyFill="0" applyBorder="0" applyAlignment="0" applyProtection="0"/>
    <xf numFmtId="0" fontId="93" fillId="40" borderId="38" applyNumberFormat="0" applyAlignment="0" applyProtection="0">
      <alignment vertical="center"/>
    </xf>
    <xf numFmtId="0" fontId="94" fillId="53" borderId="46" applyNumberFormat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0" borderId="0">
      <alignment vertical="center"/>
    </xf>
    <xf numFmtId="0" fontId="97" fillId="0" borderId="0"/>
    <xf numFmtId="38" fontId="21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61" fillId="0" borderId="0">
      <alignment vertical="center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8" fillId="37" borderId="0" applyNumberFormat="0" applyBorder="0" applyAlignment="0" applyProtection="0">
      <alignment vertical="center"/>
    </xf>
    <xf numFmtId="0" fontId="99" fillId="0" borderId="41" applyNumberFormat="0" applyFill="0" applyAlignment="0" applyProtection="0">
      <alignment vertical="center"/>
    </xf>
    <xf numFmtId="0" fontId="100" fillId="0" borderId="42" applyNumberFormat="0" applyFill="0" applyAlignment="0" applyProtection="0">
      <alignment vertical="center"/>
    </xf>
    <xf numFmtId="0" fontId="101" fillId="0" borderId="43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172" fontId="102" fillId="0" borderId="48">
      <protection locked="0"/>
    </xf>
    <xf numFmtId="172" fontId="102" fillId="0" borderId="48">
      <protection locked="0"/>
    </xf>
    <xf numFmtId="173" fontId="102" fillId="0" borderId="48">
      <protection locked="0"/>
    </xf>
    <xf numFmtId="0" fontId="103" fillId="53" borderId="38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61" fillId="0" borderId="0">
      <alignment vertical="center"/>
    </xf>
    <xf numFmtId="0" fontId="106" fillId="0" borderId="0">
      <alignment horizontal="center" vertical="center"/>
    </xf>
    <xf numFmtId="0" fontId="107" fillId="0" borderId="47" applyNumberFormat="0" applyFill="0" applyAlignment="0" applyProtection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</cellStyleXfs>
  <cellXfs count="503">
    <xf numFmtId="0" fontId="0" fillId="0" borderId="0" xfId="0"/>
    <xf numFmtId="0" fontId="5" fillId="2" borderId="3" xfId="0" applyFont="1" applyFill="1" applyBorder="1" applyAlignment="1">
      <alignment horizontal="center" vertical="center" shrinkToFit="1"/>
    </xf>
    <xf numFmtId="0" fontId="6" fillId="2" borderId="0" xfId="1" applyFont="1" applyFill="1" applyBorder="1"/>
    <xf numFmtId="0" fontId="17" fillId="2" borderId="0" xfId="1" applyFont="1" applyFill="1" applyBorder="1"/>
    <xf numFmtId="0" fontId="12" fillId="2" borderId="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1" fontId="6" fillId="2" borderId="3" xfId="1" applyNumberFormat="1" applyFont="1" applyFill="1" applyBorder="1" applyAlignment="1">
      <alignment horizontal="center" vertical="center"/>
    </xf>
    <xf numFmtId="166" fontId="5" fillId="2" borderId="25" xfId="1" applyNumberFormat="1" applyFont="1" applyFill="1" applyBorder="1" applyAlignment="1">
      <alignment horizontal="center" vertical="center"/>
    </xf>
    <xf numFmtId="0" fontId="12" fillId="2" borderId="27" xfId="1" applyFont="1" applyFill="1" applyBorder="1" applyAlignment="1">
      <alignment horizontal="center" vertical="center"/>
    </xf>
    <xf numFmtId="166" fontId="5" fillId="2" borderId="27" xfId="1" applyNumberFormat="1" applyFont="1" applyFill="1" applyBorder="1" applyAlignment="1">
      <alignment horizontal="center" vertical="center"/>
    </xf>
    <xf numFmtId="0" fontId="12" fillId="2" borderId="28" xfId="1" applyFont="1" applyFill="1" applyBorder="1" applyAlignment="1">
      <alignment horizontal="center" vertical="center"/>
    </xf>
    <xf numFmtId="166" fontId="5" fillId="2" borderId="28" xfId="1" applyNumberFormat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 shrinkToFit="1"/>
    </xf>
    <xf numFmtId="165" fontId="6" fillId="0" borderId="3" xfId="1" applyNumberFormat="1" applyFont="1" applyBorder="1" applyAlignment="1">
      <alignment horizontal="center" vertical="center" shrinkToFit="1"/>
    </xf>
    <xf numFmtId="1" fontId="6" fillId="0" borderId="3" xfId="1" applyNumberFormat="1" applyFont="1" applyBorder="1" applyAlignment="1">
      <alignment horizontal="center" vertical="center" shrinkToFit="1"/>
    </xf>
    <xf numFmtId="165" fontId="5" fillId="2" borderId="3" xfId="0" applyNumberFormat="1" applyFont="1" applyFill="1" applyBorder="1" applyAlignment="1">
      <alignment horizontal="center" vertical="center" shrinkToFit="1"/>
    </xf>
    <xf numFmtId="165" fontId="5" fillId="0" borderId="0" xfId="0" applyNumberFormat="1" applyFont="1" applyAlignment="1">
      <alignment horizontal="center" vertical="center" shrinkToFit="1"/>
    </xf>
    <xf numFmtId="166" fontId="6" fillId="2" borderId="3" xfId="1" quotePrefix="1" applyNumberFormat="1" applyFont="1" applyFill="1" applyBorder="1" applyAlignment="1">
      <alignment horizontal="center" shrinkToFit="1"/>
    </xf>
    <xf numFmtId="0" fontId="5" fillId="0" borderId="3" xfId="0" applyFont="1" applyFill="1" applyBorder="1" applyAlignment="1">
      <alignment horizontal="center" vertical="center" shrinkToFit="1"/>
    </xf>
    <xf numFmtId="164" fontId="5" fillId="0" borderId="3" xfId="0" applyNumberFormat="1" applyFont="1" applyFill="1" applyBorder="1" applyAlignment="1">
      <alignment horizontal="center" vertical="center" shrinkToFit="1"/>
    </xf>
    <xf numFmtId="0" fontId="5" fillId="0" borderId="3" xfId="0" applyNumberFormat="1" applyFont="1" applyFill="1" applyBorder="1" applyAlignment="1">
      <alignment horizontal="center" vertical="center" shrinkToFit="1"/>
    </xf>
    <xf numFmtId="0" fontId="0" fillId="0" borderId="0" xfId="0" applyFill="1"/>
    <xf numFmtId="0" fontId="6" fillId="0" borderId="3" xfId="0" applyFont="1" applyFill="1" applyBorder="1" applyAlignment="1">
      <alignment horizontal="center" vertical="center" shrinkToFit="1"/>
    </xf>
    <xf numFmtId="164" fontId="6" fillId="0" borderId="3" xfId="0" applyNumberFormat="1" applyFont="1" applyFill="1" applyBorder="1" applyAlignment="1">
      <alignment horizontal="center" vertical="center" shrinkToFi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165" fontId="4" fillId="0" borderId="5" xfId="1" applyNumberFormat="1" applyFont="1" applyFill="1" applyBorder="1" applyAlignment="1" applyProtection="1">
      <alignment horizontal="center" vertical="center" wrapText="1"/>
    </xf>
    <xf numFmtId="166" fontId="4" fillId="0" borderId="3" xfId="1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wrapText="1"/>
    </xf>
    <xf numFmtId="0" fontId="108" fillId="0" borderId="0" xfId="0" applyFont="1" applyFill="1"/>
    <xf numFmtId="0" fontId="0" fillId="0" borderId="0" xfId="0" applyNumberFormat="1" applyFill="1"/>
    <xf numFmtId="166" fontId="0" fillId="0" borderId="0" xfId="0" applyNumberFormat="1" applyFill="1"/>
    <xf numFmtId="1" fontId="6" fillId="0" borderId="3" xfId="1" applyNumberFormat="1" applyFont="1" applyFill="1" applyBorder="1" applyAlignment="1">
      <alignment horizontal="center" vertical="center"/>
    </xf>
    <xf numFmtId="165" fontId="4" fillId="0" borderId="3" xfId="1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Fill="1" applyBorder="1" applyAlignment="1">
      <alignment horizontal="center" vertical="center" shrinkToFit="1"/>
    </xf>
    <xf numFmtId="165" fontId="0" fillId="0" borderId="0" xfId="0" applyNumberFormat="1" applyFill="1"/>
    <xf numFmtId="165" fontId="4" fillId="0" borderId="1" xfId="1" applyNumberFormat="1" applyFont="1" applyFill="1" applyBorder="1" applyAlignment="1" applyProtection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165" fontId="6" fillId="2" borderId="3" xfId="1" applyNumberFormat="1" applyFont="1" applyFill="1" applyBorder="1" applyAlignment="1">
      <alignment horizontal="center" shrinkToFit="1"/>
    </xf>
    <xf numFmtId="0" fontId="109" fillId="60" borderId="1" xfId="1" applyFont="1" applyFill="1" applyBorder="1" applyAlignment="1">
      <alignment horizontal="center" vertical="center" wrapText="1"/>
    </xf>
    <xf numFmtId="0" fontId="110" fillId="0" borderId="3" xfId="0" applyFont="1" applyFill="1" applyBorder="1" applyAlignment="1">
      <alignment horizontal="center" vertical="center" shrinkToFit="1"/>
    </xf>
    <xf numFmtId="0" fontId="111" fillId="0" borderId="0" xfId="0" applyFont="1" applyFill="1"/>
    <xf numFmtId="0" fontId="112" fillId="6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0" fillId="0" borderId="3" xfId="0" applyFont="1" applyFill="1" applyBorder="1" applyAlignment="1">
      <alignment horizontal="center" vertical="center" wrapText="1"/>
    </xf>
    <xf numFmtId="49" fontId="0" fillId="0" borderId="0" xfId="0" applyNumberFormat="1" applyFill="1"/>
    <xf numFmtId="49" fontId="113" fillId="60" borderId="3" xfId="0" applyNumberFormat="1" applyFont="1" applyFill="1" applyBorder="1" applyAlignment="1">
      <alignment horizontal="center" vertical="center" wrapText="1"/>
    </xf>
    <xf numFmtId="49" fontId="110" fillId="0" borderId="3" xfId="0" applyNumberFormat="1" applyFont="1" applyFill="1" applyBorder="1" applyAlignment="1">
      <alignment horizontal="center" vertical="center" shrinkToFit="1"/>
    </xf>
    <xf numFmtId="49" fontId="111" fillId="0" borderId="0" xfId="0" applyNumberFormat="1" applyFont="1" applyFill="1"/>
    <xf numFmtId="1" fontId="4" fillId="0" borderId="1" xfId="1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4" fillId="60" borderId="3" xfId="1" applyNumberFormat="1" applyFont="1" applyFill="1" applyBorder="1" applyAlignment="1" applyProtection="1">
      <alignment horizontal="center" vertical="center" wrapText="1"/>
    </xf>
    <xf numFmtId="0" fontId="5" fillId="0" borderId="0" xfId="445" applyFont="1"/>
    <xf numFmtId="0" fontId="3" fillId="0" borderId="56" xfId="444" applyFont="1" applyBorder="1" applyAlignment="1" applyProtection="1">
      <alignment horizontal="center" vertical="center"/>
      <protection locked="0"/>
    </xf>
    <xf numFmtId="0" fontId="119" fillId="0" borderId="56" xfId="444" applyFont="1" applyBorder="1" applyAlignment="1" applyProtection="1">
      <alignment horizontal="center" vertical="center"/>
      <protection locked="0"/>
    </xf>
    <xf numFmtId="0" fontId="120" fillId="0" borderId="56" xfId="444" applyFont="1" applyBorder="1" applyAlignment="1" applyProtection="1">
      <alignment horizontal="center" vertical="center" shrinkToFit="1"/>
      <protection locked="0"/>
    </xf>
    <xf numFmtId="164" fontId="5" fillId="2" borderId="58" xfId="444" quotePrefix="1" applyNumberFormat="1" applyFont="1" applyFill="1" applyBorder="1" applyAlignment="1" applyProtection="1">
      <alignment horizontal="left" vertical="center"/>
      <protection locked="0"/>
    </xf>
    <xf numFmtId="164" fontId="121" fillId="2" borderId="7" xfId="444" quotePrefix="1" applyNumberFormat="1" applyFont="1" applyFill="1" applyBorder="1" applyAlignment="1" applyProtection="1">
      <alignment horizontal="center" vertical="center"/>
      <protection locked="0"/>
    </xf>
    <xf numFmtId="165" fontId="121" fillId="2" borderId="7" xfId="444" quotePrefix="1" applyNumberFormat="1" applyFont="1" applyFill="1" applyBorder="1" applyAlignment="1" applyProtection="1">
      <alignment vertical="center"/>
      <protection locked="0"/>
    </xf>
    <xf numFmtId="164" fontId="8" fillId="2" borderId="51" xfId="444" quotePrefix="1" applyNumberFormat="1" applyFont="1" applyFill="1" applyBorder="1" applyAlignment="1" applyProtection="1">
      <alignment vertical="center"/>
      <protection locked="0"/>
    </xf>
    <xf numFmtId="164" fontId="8" fillId="2" borderId="7" xfId="444" quotePrefix="1" applyNumberFormat="1" applyFont="1" applyFill="1" applyBorder="1" applyAlignment="1" applyProtection="1">
      <alignment vertical="center"/>
      <protection locked="0"/>
    </xf>
    <xf numFmtId="164" fontId="116" fillId="2" borderId="7" xfId="444" quotePrefix="1" applyNumberFormat="1" applyFont="1" applyFill="1" applyBorder="1" applyAlignment="1" applyProtection="1">
      <alignment vertical="center"/>
      <protection locked="0"/>
    </xf>
    <xf numFmtId="164" fontId="114" fillId="2" borderId="7" xfId="444" quotePrefix="1" applyNumberFormat="1" applyFont="1" applyFill="1" applyBorder="1" applyAlignment="1" applyProtection="1">
      <alignment vertical="center" shrinkToFit="1"/>
      <protection locked="0"/>
    </xf>
    <xf numFmtId="165" fontId="10" fillId="2" borderId="7" xfId="444" quotePrefix="1" applyNumberFormat="1" applyFont="1" applyFill="1" applyBorder="1" applyAlignment="1" applyProtection="1">
      <alignment vertical="center" shrinkToFit="1"/>
      <protection locked="0"/>
    </xf>
    <xf numFmtId="0" fontId="20" fillId="0" borderId="0" xfId="445" applyFont="1"/>
    <xf numFmtId="0" fontId="8" fillId="0" borderId="3" xfId="444" applyFont="1" applyFill="1" applyBorder="1" applyAlignment="1" applyProtection="1">
      <alignment horizontal="center" vertical="center" wrapText="1"/>
      <protection locked="0"/>
    </xf>
    <xf numFmtId="0" fontId="10" fillId="0" borderId="3" xfId="445" applyFont="1" applyFill="1" applyBorder="1" applyAlignment="1">
      <alignment horizontal="center" vertical="center" wrapText="1"/>
    </xf>
    <xf numFmtId="0" fontId="20" fillId="0" borderId="3" xfId="444" applyFont="1" applyFill="1" applyBorder="1" applyAlignment="1" applyProtection="1">
      <alignment horizontal="center" vertical="center" shrinkToFit="1"/>
      <protection locked="0"/>
    </xf>
    <xf numFmtId="165" fontId="10" fillId="2" borderId="3" xfId="444" applyNumberFormat="1" applyFont="1" applyFill="1" applyBorder="1" applyAlignment="1" applyProtection="1">
      <alignment horizontal="center" vertical="center" shrinkToFit="1"/>
      <protection locked="0"/>
    </xf>
    <xf numFmtId="0" fontId="8" fillId="2" borderId="3" xfId="444" applyFont="1" applyFill="1" applyBorder="1" applyAlignment="1" applyProtection="1">
      <alignment horizontal="center" vertical="center" wrapText="1"/>
      <protection locked="0"/>
    </xf>
    <xf numFmtId="0" fontId="8" fillId="0" borderId="0" xfId="445" applyFont="1"/>
    <xf numFmtId="0" fontId="6" fillId="0" borderId="3" xfId="444" applyFont="1" applyFill="1" applyBorder="1" applyAlignment="1">
      <alignment horizontal="center" vertical="center" shrinkToFit="1"/>
    </xf>
    <xf numFmtId="165" fontId="6" fillId="0" borderId="3" xfId="444" applyNumberFormat="1" applyFont="1" applyFill="1" applyBorder="1" applyAlignment="1">
      <alignment horizontal="center" vertical="center" shrinkToFit="1"/>
    </xf>
    <xf numFmtId="0" fontId="12" fillId="2" borderId="0" xfId="445" applyFont="1" applyFill="1" applyAlignment="1">
      <alignment horizontal="center" vertical="center"/>
    </xf>
    <xf numFmtId="0" fontId="5" fillId="2" borderId="61" xfId="445" applyFont="1" applyFill="1" applyBorder="1"/>
    <xf numFmtId="0" fontId="5" fillId="2" borderId="49" xfId="445" applyFont="1" applyFill="1" applyBorder="1"/>
    <xf numFmtId="165" fontId="5" fillId="2" borderId="49" xfId="445" applyNumberFormat="1" applyFont="1" applyFill="1" applyBorder="1"/>
    <xf numFmtId="0" fontId="3" fillId="2" borderId="49" xfId="444" applyFont="1" applyFill="1" applyBorder="1" applyAlignment="1">
      <alignment horizontal="center" vertical="center"/>
    </xf>
    <xf numFmtId="0" fontId="12" fillId="0" borderId="0" xfId="445" applyFont="1"/>
    <xf numFmtId="0" fontId="5" fillId="2" borderId="0" xfId="445" applyFont="1" applyFill="1" applyBorder="1" applyAlignment="1">
      <alignment horizontal="left"/>
    </xf>
    <xf numFmtId="165" fontId="5" fillId="2" borderId="0" xfId="445" applyNumberFormat="1" applyFont="1" applyFill="1" applyBorder="1" applyAlignment="1"/>
    <xf numFmtId="0" fontId="5" fillId="2" borderId="0" xfId="445" applyFont="1" applyFill="1" applyBorder="1" applyAlignment="1"/>
    <xf numFmtId="0" fontId="5" fillId="2" borderId="0" xfId="445" applyFont="1" applyFill="1" applyBorder="1"/>
    <xf numFmtId="0" fontId="5" fillId="0" borderId="0" xfId="445" applyFont="1" applyBorder="1" applyAlignment="1">
      <alignment horizontal="left"/>
    </xf>
    <xf numFmtId="165" fontId="5" fillId="0" borderId="0" xfId="445" applyNumberFormat="1" applyFont="1" applyBorder="1" applyAlignment="1">
      <alignment horizontal="left"/>
    </xf>
    <xf numFmtId="0" fontId="122" fillId="0" borderId="0" xfId="445" applyFont="1" applyBorder="1" applyAlignment="1">
      <alignment horizontal="left"/>
    </xf>
    <xf numFmtId="0" fontId="5" fillId="0" borderId="0" xfId="445" applyFont="1" applyBorder="1" applyAlignment="1"/>
    <xf numFmtId="0" fontId="9" fillId="0" borderId="0" xfId="445" applyFont="1" applyBorder="1" applyAlignment="1">
      <alignment horizontal="left"/>
    </xf>
    <xf numFmtId="0" fontId="9" fillId="2" borderId="0" xfId="445" applyFont="1" applyFill="1" applyBorder="1" applyAlignment="1">
      <alignment horizontal="left"/>
    </xf>
    <xf numFmtId="0" fontId="9" fillId="0" borderId="0" xfId="445" applyFont="1" applyBorder="1" applyAlignment="1">
      <alignment vertical="center" wrapText="1"/>
    </xf>
    <xf numFmtId="165" fontId="9" fillId="0" borderId="0" xfId="445" applyNumberFormat="1" applyFont="1" applyBorder="1" applyAlignment="1">
      <alignment vertical="center" wrapText="1"/>
    </xf>
    <xf numFmtId="0" fontId="9" fillId="2" borderId="0" xfId="445" applyFont="1" applyFill="1" applyBorder="1" applyAlignment="1">
      <alignment vertical="center" wrapText="1"/>
    </xf>
    <xf numFmtId="0" fontId="5" fillId="2" borderId="0" xfId="445" applyFont="1" applyFill="1" applyBorder="1" applyAlignment="1">
      <alignment vertical="center" wrapText="1"/>
    </xf>
    <xf numFmtId="0" fontId="9" fillId="0" borderId="0" xfId="445" applyFont="1" applyBorder="1" applyAlignment="1">
      <alignment wrapText="1"/>
    </xf>
    <xf numFmtId="0" fontId="9" fillId="2" borderId="0" xfId="445" applyFont="1" applyFill="1" applyBorder="1" applyAlignment="1">
      <alignment wrapText="1"/>
    </xf>
    <xf numFmtId="0" fontId="5" fillId="2" borderId="0" xfId="445" applyFont="1" applyFill="1" applyBorder="1" applyAlignment="1">
      <alignment wrapText="1"/>
    </xf>
    <xf numFmtId="0" fontId="9" fillId="0" borderId="22" xfId="445" applyFont="1" applyBorder="1" applyAlignment="1">
      <alignment wrapText="1"/>
    </xf>
    <xf numFmtId="0" fontId="9" fillId="2" borderId="22" xfId="445" applyFont="1" applyFill="1" applyBorder="1" applyAlignment="1">
      <alignment wrapText="1"/>
    </xf>
    <xf numFmtId="0" fontId="5" fillId="2" borderId="22" xfId="445" applyFont="1" applyFill="1" applyBorder="1" applyAlignment="1">
      <alignment wrapText="1"/>
    </xf>
    <xf numFmtId="0" fontId="5" fillId="2" borderId="22" xfId="445" applyFont="1" applyFill="1" applyBorder="1" applyAlignment="1"/>
    <xf numFmtId="0" fontId="5" fillId="2" borderId="0" xfId="445" applyFont="1" applyFill="1"/>
    <xf numFmtId="165" fontId="5" fillId="0" borderId="0" xfId="445" applyNumberFormat="1" applyFont="1"/>
    <xf numFmtId="0" fontId="122" fillId="0" borderId="0" xfId="445" applyFont="1"/>
    <xf numFmtId="0" fontId="14" fillId="0" borderId="0" xfId="445" applyFont="1" applyAlignment="1">
      <alignment shrinkToFit="1"/>
    </xf>
    <xf numFmtId="165" fontId="12" fillId="2" borderId="0" xfId="445" applyNumberFormat="1" applyFont="1" applyFill="1" applyAlignment="1">
      <alignment shrinkToFit="1"/>
    </xf>
    <xf numFmtId="164" fontId="3" fillId="0" borderId="56" xfId="444" applyNumberFormat="1" applyFont="1" applyBorder="1" applyAlignment="1" applyProtection="1">
      <alignment horizontal="center" vertical="center"/>
      <protection locked="0"/>
    </xf>
    <xf numFmtId="164" fontId="121" fillId="2" borderId="7" xfId="444" quotePrefix="1" applyNumberFormat="1" applyFont="1" applyFill="1" applyBorder="1" applyAlignment="1" applyProtection="1">
      <alignment vertical="center"/>
      <protection locked="0"/>
    </xf>
    <xf numFmtId="164" fontId="6" fillId="0" borderId="3" xfId="444" applyNumberFormat="1" applyFont="1" applyFill="1" applyBorder="1" applyAlignment="1">
      <alignment horizontal="center" vertical="center" shrinkToFit="1"/>
    </xf>
    <xf numFmtId="164" fontId="5" fillId="2" borderId="49" xfId="445" applyNumberFormat="1" applyFont="1" applyFill="1" applyBorder="1"/>
    <xf numFmtId="164" fontId="5" fillId="2" borderId="0" xfId="445" applyNumberFormat="1" applyFont="1" applyFill="1" applyBorder="1" applyAlignment="1"/>
    <xf numFmtId="164" fontId="5" fillId="0" borderId="0" xfId="445" applyNumberFormat="1" applyFont="1" applyBorder="1" applyAlignment="1">
      <alignment horizontal="left"/>
    </xf>
    <xf numFmtId="164" fontId="9" fillId="0" borderId="0" xfId="445" applyNumberFormat="1" applyFont="1" applyBorder="1" applyAlignment="1">
      <alignment vertical="center" wrapText="1"/>
    </xf>
    <xf numFmtId="164" fontId="9" fillId="0" borderId="0" xfId="445" applyNumberFormat="1" applyFont="1" applyBorder="1" applyAlignment="1">
      <alignment horizontal="left" vertical="center" wrapText="1"/>
    </xf>
    <xf numFmtId="164" fontId="5" fillId="0" borderId="0" xfId="445" applyNumberFormat="1" applyFont="1"/>
    <xf numFmtId="165" fontId="3" fillId="0" borderId="56" xfId="444" applyNumberFormat="1" applyFont="1" applyBorder="1" applyAlignment="1" applyProtection="1">
      <alignment horizontal="center" vertical="center" shrinkToFit="1"/>
      <protection locked="0"/>
    </xf>
    <xf numFmtId="0" fontId="6" fillId="0" borderId="2" xfId="444" applyFont="1" applyFill="1" applyBorder="1" applyAlignment="1">
      <alignment horizontal="center" vertical="center" shrinkToFit="1"/>
    </xf>
    <xf numFmtId="0" fontId="6" fillId="0" borderId="1" xfId="444" applyFont="1" applyFill="1" applyBorder="1" applyAlignment="1">
      <alignment horizontal="center" vertical="center" shrinkToFit="1"/>
    </xf>
    <xf numFmtId="164" fontId="6" fillId="0" borderId="1" xfId="444" applyNumberFormat="1" applyFont="1" applyFill="1" applyBorder="1" applyAlignment="1">
      <alignment horizontal="center" vertical="center" shrinkToFit="1"/>
    </xf>
    <xf numFmtId="0" fontId="5" fillId="0" borderId="1" xfId="445" applyFont="1" applyFill="1" applyBorder="1" applyAlignment="1">
      <alignment horizontal="center" vertical="center" shrinkToFit="1"/>
    </xf>
    <xf numFmtId="165" fontId="124" fillId="2" borderId="3" xfId="444" applyNumberFormat="1" applyFont="1" applyFill="1" applyBorder="1" applyAlignment="1">
      <alignment horizontal="center" vertical="center"/>
    </xf>
    <xf numFmtId="165" fontId="18" fillId="2" borderId="0" xfId="445" applyNumberFormat="1" applyFont="1" applyFill="1" applyBorder="1"/>
    <xf numFmtId="165" fontId="18" fillId="2" borderId="0" xfId="445" applyNumberFormat="1" applyFont="1" applyFill="1" applyBorder="1" applyAlignment="1"/>
    <xf numFmtId="165" fontId="18" fillId="2" borderId="22" xfId="445" applyNumberFormat="1" applyFont="1" applyFill="1" applyBorder="1" applyAlignment="1"/>
    <xf numFmtId="0" fontId="125" fillId="60" borderId="3" xfId="0" applyFont="1" applyFill="1" applyBorder="1" applyAlignment="1">
      <alignment horizontal="center" vertical="center" wrapText="1"/>
    </xf>
    <xf numFmtId="0" fontId="115" fillId="60" borderId="1" xfId="267" applyFont="1" applyFill="1" applyBorder="1" applyAlignment="1" applyProtection="1">
      <alignment horizontal="center" vertical="center" wrapText="1"/>
      <protection locked="0"/>
    </xf>
    <xf numFmtId="0" fontId="6" fillId="0" borderId="3" xfId="444" applyNumberFormat="1" applyFont="1" applyFill="1" applyBorder="1" applyAlignment="1" applyProtection="1">
      <alignment horizontal="center" vertical="center" shrinkToFit="1"/>
      <protection locked="0" hidden="1"/>
    </xf>
    <xf numFmtId="16" fontId="12" fillId="2" borderId="0" xfId="445" applyNumberFormat="1" applyFont="1" applyFill="1" applyAlignment="1">
      <alignment horizontal="center" vertical="center"/>
    </xf>
    <xf numFmtId="165" fontId="124" fillId="2" borderId="49" xfId="444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shrinkToFit="1"/>
    </xf>
    <xf numFmtId="49" fontId="3" fillId="0" borderId="56" xfId="444" applyNumberFormat="1" applyFont="1" applyBorder="1" applyAlignment="1" applyProtection="1">
      <alignment horizontal="center" vertical="center"/>
      <protection locked="0"/>
    </xf>
    <xf numFmtId="49" fontId="8" fillId="2" borderId="7" xfId="444" quotePrefix="1" applyNumberFormat="1" applyFont="1" applyFill="1" applyBorder="1" applyAlignment="1" applyProtection="1">
      <alignment vertical="center"/>
      <protection locked="0"/>
    </xf>
    <xf numFmtId="49" fontId="5" fillId="0" borderId="1" xfId="445" applyNumberFormat="1" applyFont="1" applyFill="1" applyBorder="1" applyAlignment="1">
      <alignment horizontal="center" vertical="center" shrinkToFit="1"/>
    </xf>
    <xf numFmtId="49" fontId="5" fillId="2" borderId="49" xfId="445" applyNumberFormat="1" applyFont="1" applyFill="1" applyBorder="1"/>
    <xf numFmtId="49" fontId="5" fillId="2" borderId="0" xfId="445" applyNumberFormat="1" applyFont="1" applyFill="1" applyBorder="1"/>
    <xf numFmtId="49" fontId="5" fillId="0" borderId="0" xfId="445" applyNumberFormat="1" applyFont="1" applyBorder="1" applyAlignment="1"/>
    <xf numFmtId="49" fontId="5" fillId="0" borderId="22" xfId="445" applyNumberFormat="1" applyFont="1" applyBorder="1" applyAlignment="1"/>
    <xf numFmtId="49" fontId="5" fillId="2" borderId="0" xfId="445" applyNumberFormat="1" applyFont="1" applyFill="1"/>
    <xf numFmtId="174" fontId="6" fillId="0" borderId="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 shrinkToFit="1"/>
    </xf>
    <xf numFmtId="16" fontId="12" fillId="0" borderId="3" xfId="1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49" fontId="12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/>
    </xf>
    <xf numFmtId="0" fontId="3" fillId="0" borderId="56" xfId="444" applyFont="1" applyFill="1" applyBorder="1" applyAlignment="1" applyProtection="1">
      <alignment horizontal="center" vertical="center"/>
      <protection locked="0"/>
    </xf>
    <xf numFmtId="164" fontId="8" fillId="0" borderId="7" xfId="444" quotePrefix="1" applyNumberFormat="1" applyFont="1" applyFill="1" applyBorder="1" applyAlignment="1" applyProtection="1">
      <alignment vertical="center"/>
      <protection locked="0"/>
    </xf>
    <xf numFmtId="0" fontId="5" fillId="0" borderId="49" xfId="445" applyFont="1" applyFill="1" applyBorder="1"/>
    <xf numFmtId="0" fontId="5" fillId="0" borderId="0" xfId="445" applyFont="1" applyFill="1" applyBorder="1"/>
    <xf numFmtId="0" fontId="5" fillId="0" borderId="0" xfId="445" applyFont="1" applyFill="1" applyBorder="1" applyAlignment="1"/>
    <xf numFmtId="0" fontId="5" fillId="0" borderId="22" xfId="445" applyFont="1" applyFill="1" applyBorder="1" applyAlignment="1"/>
    <xf numFmtId="0" fontId="5" fillId="0" borderId="0" xfId="445" applyFont="1" applyFill="1"/>
    <xf numFmtId="0" fontId="5" fillId="61" borderId="3" xfId="0" applyFont="1" applyFill="1" applyBorder="1" applyAlignment="1">
      <alignment horizontal="center" vertical="center"/>
    </xf>
    <xf numFmtId="1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6" fillId="60" borderId="62" xfId="413" applyNumberFormat="1" applyFont="1" applyFill="1" applyBorder="1" applyAlignment="1">
      <alignment horizontal="center" vertical="center"/>
    </xf>
    <xf numFmtId="0" fontId="9" fillId="0" borderId="0" xfId="445" applyFont="1" applyBorder="1" applyAlignment="1">
      <alignment horizontal="left" vertical="center" wrapText="1"/>
    </xf>
    <xf numFmtId="165" fontId="5" fillId="0" borderId="0" xfId="445" applyNumberFormat="1" applyFont="1" applyFill="1"/>
    <xf numFmtId="0" fontId="5" fillId="2" borderId="0" xfId="445" applyFont="1" applyFill="1" applyAlignment="1">
      <alignment horizontal="left"/>
    </xf>
    <xf numFmtId="164" fontId="5" fillId="2" borderId="0" xfId="445" applyNumberFormat="1" applyFont="1" applyFill="1"/>
    <xf numFmtId="1" fontId="5" fillId="0" borderId="0" xfId="445" applyNumberFormat="1" applyFont="1" applyFill="1"/>
    <xf numFmtId="165" fontId="12" fillId="2" borderId="0" xfId="445" applyNumberFormat="1" applyFont="1" applyFill="1" applyBorder="1" applyAlignment="1">
      <alignment shrinkToFit="1"/>
    </xf>
    <xf numFmtId="0" fontId="14" fillId="0" borderId="0" xfId="445" applyFont="1" applyBorder="1" applyAlignment="1">
      <alignment shrinkToFit="1"/>
    </xf>
    <xf numFmtId="1" fontId="5" fillId="0" borderId="0" xfId="445" applyNumberFormat="1" applyFont="1" applyFill="1" applyBorder="1" applyAlignment="1"/>
    <xf numFmtId="49" fontId="5" fillId="2" borderId="0" xfId="445" applyNumberFormat="1" applyFont="1" applyFill="1" applyAlignment="1">
      <alignment wrapText="1"/>
    </xf>
    <xf numFmtId="0" fontId="5" fillId="2" borderId="0" xfId="445" applyFont="1" applyFill="1" applyAlignment="1">
      <alignment wrapText="1"/>
    </xf>
    <xf numFmtId="0" fontId="122" fillId="0" borderId="0" xfId="445" applyFont="1" applyBorder="1" applyAlignment="1"/>
    <xf numFmtId="0" fontId="5" fillId="0" borderId="0" xfId="445" applyFont="1" applyAlignment="1">
      <alignment wrapText="1"/>
    </xf>
    <xf numFmtId="165" fontId="5" fillId="0" borderId="0" xfId="445" applyNumberFormat="1" applyFont="1" applyAlignment="1">
      <alignment wrapText="1"/>
    </xf>
    <xf numFmtId="164" fontId="5" fillId="0" borderId="0" xfId="445" applyNumberFormat="1" applyFont="1" applyAlignment="1">
      <alignment wrapText="1"/>
    </xf>
    <xf numFmtId="0" fontId="5" fillId="0" borderId="0" xfId="445" applyFont="1" applyFill="1" applyBorder="1" applyAlignment="1">
      <alignment horizontal="center"/>
    </xf>
    <xf numFmtId="0" fontId="18" fillId="2" borderId="0" xfId="445" applyFont="1" applyFill="1" applyBorder="1" applyAlignment="1">
      <alignment horizontal="left"/>
    </xf>
    <xf numFmtId="0" fontId="14" fillId="2" borderId="0" xfId="445" applyFont="1" applyFill="1" applyBorder="1" applyAlignment="1">
      <alignment shrinkToFit="1"/>
    </xf>
    <xf numFmtId="164" fontId="1" fillId="0" borderId="0" xfId="445" applyNumberFormat="1" applyFill="1" applyBorder="1" applyAlignment="1">
      <alignment horizontal="center"/>
    </xf>
    <xf numFmtId="0" fontId="122" fillId="2" borderId="0" xfId="445" applyFont="1" applyFill="1"/>
    <xf numFmtId="165" fontId="5" fillId="2" borderId="0" xfId="445" applyNumberFormat="1" applyFont="1" applyFill="1"/>
    <xf numFmtId="165" fontId="123" fillId="0" borderId="23" xfId="445" applyNumberFormat="1" applyFont="1" applyFill="1" applyBorder="1" applyAlignment="1"/>
    <xf numFmtId="164" fontId="12" fillId="2" borderId="0" xfId="445" applyNumberFormat="1" applyFont="1" applyFill="1" applyBorder="1" applyAlignment="1"/>
    <xf numFmtId="0" fontId="9" fillId="2" borderId="0" xfId="445" applyFont="1" applyFill="1"/>
    <xf numFmtId="0" fontId="9" fillId="0" borderId="0" xfId="445" applyFont="1"/>
    <xf numFmtId="165" fontId="9" fillId="0" borderId="0" xfId="445" applyNumberFormat="1" applyFont="1"/>
    <xf numFmtId="164" fontId="9" fillId="0" borderId="0" xfId="445" applyNumberFormat="1" applyFont="1"/>
    <xf numFmtId="0" fontId="9" fillId="0" borderId="23" xfId="445" applyFont="1" applyBorder="1" applyAlignment="1">
      <alignment horizontal="left" wrapText="1"/>
    </xf>
    <xf numFmtId="164" fontId="12" fillId="2" borderId="22" xfId="445" applyNumberFormat="1" applyFont="1" applyFill="1" applyBorder="1" applyAlignment="1"/>
    <xf numFmtId="1" fontId="5" fillId="0" borderId="22" xfId="445" applyNumberFormat="1" applyFont="1" applyFill="1" applyBorder="1" applyAlignment="1"/>
    <xf numFmtId="0" fontId="9" fillId="0" borderId="19" xfId="445" applyFont="1" applyBorder="1" applyAlignment="1">
      <alignment horizontal="left" wrapText="1"/>
    </xf>
    <xf numFmtId="0" fontId="9" fillId="0" borderId="19" xfId="445" applyFont="1" applyBorder="1" applyAlignment="1">
      <alignment horizontal="left" vertical="center" wrapText="1"/>
    </xf>
    <xf numFmtId="0" fontId="5" fillId="2" borderId="19" xfId="445" applyFont="1" applyFill="1" applyBorder="1" applyAlignment="1"/>
    <xf numFmtId="0" fontId="5" fillId="2" borderId="59" xfId="445" applyFont="1" applyFill="1" applyBorder="1"/>
    <xf numFmtId="164" fontId="6" fillId="0" borderId="13" xfId="0" applyNumberFormat="1" applyFont="1" applyFill="1" applyBorder="1" applyAlignment="1">
      <alignment horizontal="center" vertical="center"/>
    </xf>
    <xf numFmtId="0" fontId="5" fillId="0" borderId="57" xfId="445" applyFont="1" applyFill="1" applyBorder="1" applyAlignment="1">
      <alignment horizontal="center" vertical="center" shrinkToFit="1"/>
    </xf>
    <xf numFmtId="1" fontId="6" fillId="0" borderId="3" xfId="0" applyNumberFormat="1" applyFont="1" applyFill="1" applyBorder="1" applyAlignment="1" applyProtection="1">
      <alignment horizontal="center" vertical="center" shrinkToFit="1"/>
      <protection locked="0"/>
    </xf>
    <xf numFmtId="0" fontId="5" fillId="0" borderId="13" xfId="445" applyFont="1" applyFill="1" applyBorder="1" applyAlignment="1">
      <alignment horizontal="center" vertical="center" shrinkToFit="1"/>
    </xf>
    <xf numFmtId="165" fontId="6" fillId="0" borderId="1" xfId="444" applyNumberFormat="1" applyFont="1" applyFill="1" applyBorder="1" applyAlignment="1">
      <alignment horizontal="center" vertical="center" shrinkToFit="1"/>
    </xf>
    <xf numFmtId="165" fontId="12" fillId="0" borderId="0" xfId="445" applyNumberFormat="1" applyFont="1" applyFill="1" applyAlignment="1">
      <alignment horizontal="center" vertical="center"/>
    </xf>
    <xf numFmtId="0" fontId="8" fillId="0" borderId="0" xfId="444" applyFont="1" applyFill="1" applyBorder="1" applyAlignment="1" applyProtection="1">
      <alignment horizontal="center" vertical="center" wrapText="1"/>
      <protection locked="0"/>
    </xf>
    <xf numFmtId="1" fontId="10" fillId="0" borderId="3" xfId="444" applyNumberFormat="1" applyFont="1" applyFill="1" applyBorder="1" applyAlignment="1" applyProtection="1">
      <alignment horizontal="center" vertical="center" wrapText="1"/>
      <protection locked="0"/>
    </xf>
    <xf numFmtId="49" fontId="10" fillId="0" borderId="3" xfId="445" applyNumberFormat="1" applyFont="1" applyFill="1" applyBorder="1" applyAlignment="1">
      <alignment horizontal="center" vertical="center" wrapText="1"/>
    </xf>
    <xf numFmtId="165" fontId="20" fillId="0" borderId="0" xfId="445" applyNumberFormat="1" applyFont="1" applyFill="1"/>
    <xf numFmtId="0" fontId="20" fillId="0" borderId="0" xfId="444" applyFont="1" applyFill="1" applyBorder="1" applyAlignment="1" applyProtection="1">
      <alignment horizontal="center" vertical="center" wrapText="1"/>
      <protection locked="0"/>
    </xf>
    <xf numFmtId="0" fontId="8" fillId="0" borderId="0" xfId="444" applyFont="1" applyFill="1" applyBorder="1" applyAlignment="1" applyProtection="1">
      <alignment horizontal="center" vertical="center"/>
      <protection locked="0"/>
    </xf>
    <xf numFmtId="1" fontId="8" fillId="0" borderId="7" xfId="444" quotePrefix="1" applyNumberFormat="1" applyFont="1" applyFill="1" applyBorder="1" applyAlignment="1" applyProtection="1">
      <alignment vertical="center"/>
      <protection locked="0"/>
    </xf>
    <xf numFmtId="0" fontId="3" fillId="0" borderId="0" xfId="444" applyFont="1" applyFill="1" applyBorder="1" applyAlignment="1" applyProtection="1">
      <alignment horizontal="center" vertical="center"/>
      <protection locked="0"/>
    </xf>
    <xf numFmtId="0" fontId="3" fillId="0" borderId="22" xfId="444" applyFont="1" applyBorder="1" applyAlignment="1" applyProtection="1">
      <alignment horizontal="left" vertical="center"/>
      <protection locked="0"/>
    </xf>
    <xf numFmtId="1" fontId="3" fillId="0" borderId="56" xfId="444" applyNumberFormat="1" applyFont="1" applyFill="1" applyBorder="1" applyAlignment="1" applyProtection="1">
      <alignment horizontal="center" vertical="center"/>
      <protection locked="0"/>
    </xf>
    <xf numFmtId="0" fontId="3" fillId="0" borderId="22" xfId="444" applyFont="1" applyFill="1" applyBorder="1" applyAlignment="1" applyProtection="1">
      <alignment horizontal="left" vertical="center"/>
      <protection locked="0"/>
    </xf>
    <xf numFmtId="0" fontId="5" fillId="0" borderId="12" xfId="445" applyFont="1" applyFill="1" applyBorder="1" applyAlignment="1">
      <alignment horizontal="center" vertical="center" shrinkToFit="1"/>
    </xf>
    <xf numFmtId="0" fontId="5" fillId="0" borderId="56" xfId="445" applyFont="1" applyFill="1" applyBorder="1"/>
    <xf numFmtId="0" fontId="9" fillId="0" borderId="0" xfId="445" applyFont="1" applyFill="1" applyBorder="1" applyAlignment="1">
      <alignment horizontal="left" vertical="center" wrapText="1"/>
    </xf>
    <xf numFmtId="0" fontId="9" fillId="0" borderId="0" xfId="445" applyFont="1" applyFill="1" applyBorder="1" applyAlignment="1">
      <alignment horizontal="left" wrapText="1"/>
    </xf>
    <xf numFmtId="0" fontId="9" fillId="0" borderId="22" xfId="445" applyFont="1" applyFill="1" applyBorder="1" applyAlignment="1">
      <alignment horizontal="left" wrapText="1"/>
    </xf>
    <xf numFmtId="0" fontId="5" fillId="0" borderId="0" xfId="445" applyFont="1" applyFill="1" applyBorder="1" applyAlignment="1">
      <alignment horizontal="left"/>
    </xf>
    <xf numFmtId="0" fontId="18" fillId="0" borderId="0" xfId="445" applyFont="1" applyFill="1" applyBorder="1" applyAlignment="1">
      <alignment horizontal="left"/>
    </xf>
    <xf numFmtId="0" fontId="5" fillId="0" borderId="0" xfId="445" applyFont="1" applyFill="1" applyAlignment="1">
      <alignment horizontal="left"/>
    </xf>
    <xf numFmtId="0" fontId="5" fillId="0" borderId="15" xfId="0" applyFont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Alignment="1">
      <alignment horizontal="center" wrapText="1"/>
    </xf>
    <xf numFmtId="164" fontId="0" fillId="0" borderId="0" xfId="0" applyNumberFormat="1" applyFill="1"/>
    <xf numFmtId="0" fontId="115" fillId="60" borderId="1" xfId="444" applyFont="1" applyFill="1" applyBorder="1" applyAlignment="1" applyProtection="1">
      <alignment vertical="center" wrapText="1"/>
      <protection locked="0"/>
    </xf>
    <xf numFmtId="0" fontId="6" fillId="3" borderId="3" xfId="444" applyFont="1" applyFill="1" applyBorder="1" applyAlignment="1">
      <alignment horizontal="center" vertical="center" shrinkToFit="1"/>
    </xf>
    <xf numFmtId="164" fontId="3" fillId="2" borderId="22" xfId="444" applyNumberFormat="1" applyFont="1" applyFill="1" applyBorder="1" applyAlignment="1" applyProtection="1">
      <alignment horizontal="center" vertical="center"/>
      <protection locked="0"/>
    </xf>
    <xf numFmtId="0" fontId="3" fillId="2" borderId="22" xfId="444" applyFont="1" applyFill="1" applyBorder="1" applyAlignment="1" applyProtection="1">
      <alignment horizontal="left" vertical="center"/>
      <protection locked="0"/>
    </xf>
    <xf numFmtId="164" fontId="8" fillId="2" borderId="69" xfId="444" applyNumberFormat="1" applyFont="1" applyFill="1" applyBorder="1" applyAlignment="1" applyProtection="1">
      <alignment horizontal="center" vertical="center" wrapText="1"/>
      <protection locked="0"/>
    </xf>
    <xf numFmtId="164" fontId="8" fillId="2" borderId="68" xfId="444" applyNumberFormat="1" applyFont="1" applyFill="1" applyBorder="1" applyAlignment="1" applyProtection="1">
      <alignment horizontal="center" vertical="center" wrapText="1"/>
      <protection locked="0"/>
    </xf>
    <xf numFmtId="164" fontId="5" fillId="2" borderId="67" xfId="445" applyNumberFormat="1" applyFont="1" applyFill="1" applyBorder="1" applyAlignment="1">
      <alignment horizontal="center" vertical="center" shrinkToFit="1"/>
    </xf>
    <xf numFmtId="0" fontId="5" fillId="2" borderId="65" xfId="445" applyFont="1" applyFill="1" applyBorder="1" applyAlignment="1">
      <alignment horizontal="center" vertical="center" shrinkToFit="1"/>
    </xf>
    <xf numFmtId="164" fontId="5" fillId="2" borderId="66" xfId="445" applyNumberFormat="1" applyFont="1" applyFill="1" applyBorder="1" applyAlignment="1">
      <alignment horizontal="center" vertical="center" shrinkToFit="1"/>
    </xf>
    <xf numFmtId="0" fontId="5" fillId="2" borderId="64" xfId="445" applyFont="1" applyFill="1" applyBorder="1"/>
    <xf numFmtId="0" fontId="5" fillId="2" borderId="63" xfId="445" applyFont="1" applyFill="1" applyBorder="1"/>
    <xf numFmtId="0" fontId="9" fillId="2" borderId="0" xfId="445" applyFont="1" applyFill="1" applyBorder="1" applyAlignment="1">
      <alignment horizontal="left" vertical="center" wrapText="1"/>
    </xf>
    <xf numFmtId="0" fontId="9" fillId="2" borderId="0" xfId="445" applyFont="1" applyFill="1" applyBorder="1" applyAlignment="1">
      <alignment horizontal="left" wrapText="1"/>
    </xf>
    <xf numFmtId="0" fontId="9" fillId="2" borderId="22" xfId="445" applyFont="1" applyFill="1" applyBorder="1" applyAlignment="1">
      <alignment horizontal="left" wrapText="1"/>
    </xf>
    <xf numFmtId="0" fontId="0" fillId="2" borderId="0" xfId="0" applyFill="1"/>
    <xf numFmtId="0" fontId="11" fillId="62" borderId="0" xfId="0" applyFont="1" applyFill="1" applyAlignment="1">
      <alignment horizontal="center" wrapText="1"/>
    </xf>
    <xf numFmtId="0" fontId="0" fillId="62" borderId="0" xfId="0" applyFill="1"/>
    <xf numFmtId="0" fontId="127" fillId="62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60" borderId="3" xfId="0" applyFont="1" applyFill="1" applyBorder="1" applyAlignment="1">
      <alignment horizontal="center" vertical="center" shrinkToFit="1"/>
    </xf>
    <xf numFmtId="0" fontId="0" fillId="0" borderId="0" xfId="0" quotePrefix="1" applyAlignment="1">
      <alignment horizontal="center" vertical="center"/>
    </xf>
    <xf numFmtId="49" fontId="10" fillId="0" borderId="1" xfId="1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/>
    <xf numFmtId="2" fontId="6" fillId="0" borderId="6" xfId="444" applyNumberFormat="1" applyFont="1" applyFill="1" applyBorder="1" applyAlignment="1">
      <alignment horizontal="center" vertical="center" shrinkToFit="1"/>
    </xf>
    <xf numFmtId="1" fontId="3" fillId="0" borderId="55" xfId="444" applyNumberFormat="1" applyFont="1" applyBorder="1" applyAlignment="1" applyProtection="1">
      <alignment horizontal="center" vertical="center"/>
      <protection locked="0"/>
    </xf>
    <xf numFmtId="1" fontId="5" fillId="2" borderId="50" xfId="444" quotePrefix="1" applyNumberFormat="1" applyFont="1" applyFill="1" applyBorder="1" applyAlignment="1" applyProtection="1">
      <alignment horizontal="left" vertical="center"/>
      <protection locked="0"/>
    </xf>
    <xf numFmtId="1" fontId="9" fillId="0" borderId="0" xfId="445" applyNumberFormat="1" applyFont="1" applyBorder="1" applyAlignment="1">
      <alignment horizontal="left" vertical="center" wrapText="1"/>
    </xf>
    <xf numFmtId="1" fontId="9" fillId="0" borderId="0" xfId="445" applyNumberFormat="1" applyFont="1"/>
    <xf numFmtId="1" fontId="5" fillId="2" borderId="0" xfId="445" applyNumberFormat="1" applyFont="1" applyFill="1"/>
    <xf numFmtId="1" fontId="5" fillId="0" borderId="0" xfId="445" applyNumberFormat="1" applyFont="1" applyAlignment="1">
      <alignment wrapText="1"/>
    </xf>
    <xf numFmtId="1" fontId="5" fillId="0" borderId="0" xfId="445" applyNumberFormat="1" applyFont="1"/>
    <xf numFmtId="1" fontId="0" fillId="0" borderId="0" xfId="0" applyNumberFormat="1"/>
    <xf numFmtId="0" fontId="11" fillId="63" borderId="0" xfId="0" applyFont="1" applyFill="1" applyAlignment="1">
      <alignment horizontal="center" vertical="center" wrapText="1"/>
    </xf>
    <xf numFmtId="0" fontId="128" fillId="64" borderId="3" xfId="301" applyFont="1" applyFill="1" applyBorder="1" applyAlignment="1">
      <alignment horizontal="center" vertical="center" wrapText="1"/>
    </xf>
    <xf numFmtId="0" fontId="0" fillId="0" borderId="3" xfId="0" applyFill="1" applyBorder="1"/>
    <xf numFmtId="0" fontId="118" fillId="0" borderId="9" xfId="0" applyFont="1" applyFill="1" applyBorder="1" applyAlignment="1">
      <alignment vertical="center" shrinkToFit="1"/>
    </xf>
    <xf numFmtId="49" fontId="16" fillId="0" borderId="9" xfId="0" applyNumberFormat="1" applyFont="1" applyFill="1" applyBorder="1" applyAlignment="1">
      <alignment vertical="center"/>
    </xf>
    <xf numFmtId="0" fontId="16" fillId="0" borderId="9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9" fillId="0" borderId="3" xfId="0" applyFont="1" applyFill="1" applyBorder="1" applyAlignment="1">
      <alignment horizontal="center" wrapText="1"/>
    </xf>
    <xf numFmtId="0" fontId="129" fillId="0" borderId="0" xfId="0" applyFont="1" applyFill="1" applyAlignment="1">
      <alignment horizontal="center" vertical="center" wrapText="1"/>
    </xf>
    <xf numFmtId="0" fontId="0" fillId="60" borderId="0" xfId="0" applyFill="1" applyAlignment="1">
      <alignment horizontal="center"/>
    </xf>
    <xf numFmtId="165" fontId="6" fillId="0" borderId="49" xfId="444" applyNumberFormat="1" applyFont="1" applyFill="1" applyBorder="1" applyAlignment="1">
      <alignment horizontal="center" vertical="center" shrinkToFit="1"/>
    </xf>
    <xf numFmtId="0" fontId="6" fillId="3" borderId="49" xfId="444" applyFont="1" applyFill="1" applyBorder="1" applyAlignment="1">
      <alignment horizontal="center" vertical="center" shrinkToFit="1"/>
    </xf>
    <xf numFmtId="2" fontId="6" fillId="0" borderId="60" xfId="444" applyNumberFormat="1" applyFont="1" applyFill="1" applyBorder="1" applyAlignment="1">
      <alignment horizontal="center" vertical="center" shrinkToFit="1"/>
    </xf>
    <xf numFmtId="2" fontId="6" fillId="0" borderId="72" xfId="444" applyNumberFormat="1" applyFont="1" applyFill="1" applyBorder="1" applyAlignment="1">
      <alignment horizontal="center" vertical="center" shrinkToFit="1"/>
    </xf>
    <xf numFmtId="0" fontId="5" fillId="2" borderId="7" xfId="445" applyFont="1" applyFill="1" applyBorder="1" applyAlignment="1">
      <alignment horizontal="left"/>
    </xf>
    <xf numFmtId="164" fontId="5" fillId="2" borderId="7" xfId="445" applyNumberFormat="1" applyFont="1" applyFill="1" applyBorder="1" applyAlignment="1"/>
    <xf numFmtId="165" fontId="5" fillId="2" borderId="7" xfId="445" applyNumberFormat="1" applyFont="1" applyFill="1" applyBorder="1" applyAlignment="1"/>
    <xf numFmtId="0" fontId="5" fillId="2" borderId="7" xfId="445" applyFont="1" applyFill="1" applyBorder="1" applyAlignment="1"/>
    <xf numFmtId="2" fontId="6" fillId="0" borderId="20" xfId="444" applyNumberFormat="1" applyFont="1" applyFill="1" applyBorder="1" applyAlignment="1">
      <alignment horizontal="center" vertical="center" shrinkToFit="1"/>
    </xf>
    <xf numFmtId="49" fontId="12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1" fillId="0" borderId="0" xfId="445"/>
    <xf numFmtId="0" fontId="1" fillId="2" borderId="0" xfId="445" applyFill="1"/>
    <xf numFmtId="0" fontId="5" fillId="2" borderId="0" xfId="445" applyFont="1" applyFill="1" applyAlignment="1">
      <alignment horizontal="center" vertical="center"/>
    </xf>
    <xf numFmtId="165" fontId="5" fillId="2" borderId="0" xfId="445" applyNumberFormat="1" applyFont="1" applyFill="1" applyAlignment="1">
      <alignment vertical="center"/>
    </xf>
    <xf numFmtId="0" fontId="5" fillId="0" borderId="0" xfId="445" applyFont="1" applyAlignment="1">
      <alignment horizontal="center" vertical="center"/>
    </xf>
    <xf numFmtId="0" fontId="1" fillId="0" borderId="0" xfId="445" applyBorder="1"/>
    <xf numFmtId="0" fontId="1" fillId="2" borderId="0" xfId="445" applyFill="1" applyBorder="1"/>
    <xf numFmtId="0" fontId="5" fillId="0" borderId="0" xfId="445" applyFont="1" applyBorder="1"/>
    <xf numFmtId="0" fontId="12" fillId="2" borderId="3" xfId="445" applyFont="1" applyFill="1" applyBorder="1" applyAlignment="1">
      <alignment horizontal="center" vertical="center"/>
    </xf>
    <xf numFmtId="165" fontId="12" fillId="2" borderId="3" xfId="445" applyNumberFormat="1" applyFont="1" applyFill="1" applyBorder="1" applyAlignment="1">
      <alignment horizontal="center" vertical="center"/>
    </xf>
    <xf numFmtId="0" fontId="12" fillId="0" borderId="3" xfId="445" applyFont="1" applyBorder="1" applyAlignment="1">
      <alignment horizontal="center" vertical="center"/>
    </xf>
    <xf numFmtId="0" fontId="14" fillId="0" borderId="3" xfId="445" applyFont="1" applyBorder="1" applyAlignment="1">
      <alignment horizontal="center" vertical="center"/>
    </xf>
    <xf numFmtId="0" fontId="5" fillId="2" borderId="3" xfId="445" applyFont="1" applyFill="1" applyBorder="1" applyAlignment="1">
      <alignment horizontal="center" vertical="center"/>
    </xf>
    <xf numFmtId="1" fontId="5" fillId="2" borderId="3" xfId="445" applyNumberFormat="1" applyFont="1" applyFill="1" applyBorder="1" applyAlignment="1">
      <alignment horizontal="center" vertical="center"/>
    </xf>
    <xf numFmtId="165" fontId="5" fillId="2" borderId="3" xfId="445" applyNumberFormat="1" applyFont="1" applyFill="1" applyBorder="1" applyAlignment="1">
      <alignment horizontal="center" vertical="center"/>
    </xf>
    <xf numFmtId="1" fontId="6" fillId="0" borderId="3" xfId="444" applyNumberFormat="1" applyFont="1" applyBorder="1" applyAlignment="1">
      <alignment horizontal="center" vertical="center"/>
    </xf>
    <xf numFmtId="165" fontId="6" fillId="0" borderId="3" xfId="444" applyNumberFormat="1" applyFont="1" applyBorder="1" applyAlignment="1">
      <alignment horizontal="center" vertical="center"/>
    </xf>
    <xf numFmtId="0" fontId="6" fillId="0" borderId="3" xfId="444" applyFont="1" applyBorder="1" applyAlignment="1">
      <alignment horizontal="center" vertical="center"/>
    </xf>
    <xf numFmtId="0" fontId="8" fillId="2" borderId="3" xfId="445" applyFont="1" applyFill="1" applyBorder="1" applyAlignment="1">
      <alignment horizontal="center" vertical="center"/>
    </xf>
    <xf numFmtId="165" fontId="8" fillId="2" borderId="3" xfId="445" applyNumberFormat="1" applyFont="1" applyFill="1" applyBorder="1" applyAlignment="1">
      <alignment horizontal="center" vertical="center"/>
    </xf>
    <xf numFmtId="0" fontId="9" fillId="0" borderId="9" xfId="445" applyFont="1" applyBorder="1" applyAlignment="1">
      <alignment horizontal="center" vertical="center"/>
    </xf>
    <xf numFmtId="0" fontId="9" fillId="2" borderId="9" xfId="445" applyFont="1" applyFill="1" applyBorder="1" applyAlignment="1">
      <alignment horizontal="center" vertical="center"/>
    </xf>
    <xf numFmtId="165" fontId="9" fillId="2" borderId="9" xfId="445" applyNumberFormat="1" applyFont="1" applyFill="1" applyBorder="1" applyAlignment="1">
      <alignment horizontal="center" vertical="center"/>
    </xf>
    <xf numFmtId="164" fontId="9" fillId="0" borderId="9" xfId="445" applyNumberFormat="1" applyFont="1" applyBorder="1" applyAlignment="1">
      <alignment horizontal="center" vertical="center"/>
    </xf>
    <xf numFmtId="0" fontId="5" fillId="0" borderId="14" xfId="445" applyFont="1" applyBorder="1" applyAlignment="1">
      <alignment horizontal="center" vertical="center"/>
    </xf>
    <xf numFmtId="0" fontId="5" fillId="2" borderId="14" xfId="445" applyFont="1" applyFill="1" applyBorder="1" applyAlignment="1">
      <alignment horizontal="center" vertical="center"/>
    </xf>
    <xf numFmtId="165" fontId="5" fillId="2" borderId="14" xfId="445" applyNumberFormat="1" applyFont="1" applyFill="1" applyBorder="1" applyAlignment="1">
      <alignment horizontal="center" vertical="center"/>
    </xf>
    <xf numFmtId="0" fontId="8" fillId="3" borderId="16" xfId="445" applyFont="1" applyFill="1" applyBorder="1" applyAlignment="1">
      <alignment horizontal="center" vertical="center"/>
    </xf>
    <xf numFmtId="165" fontId="1" fillId="0" borderId="0" xfId="445" applyNumberFormat="1" applyAlignment="1">
      <alignment horizontal="center"/>
    </xf>
    <xf numFmtId="165" fontId="131" fillId="0" borderId="0" xfId="445" applyNumberFormat="1" applyFont="1" applyAlignment="1">
      <alignment horizontal="center"/>
    </xf>
    <xf numFmtId="165" fontId="1" fillId="0" borderId="0" xfId="445" applyNumberFormat="1" applyFont="1" applyAlignment="1">
      <alignment horizontal="center"/>
    </xf>
    <xf numFmtId="165" fontId="5" fillId="0" borderId="0" xfId="445" applyNumberFormat="1" applyFont="1" applyAlignment="1">
      <alignment horizontal="center"/>
    </xf>
    <xf numFmtId="0" fontId="14" fillId="0" borderId="14" xfId="445" applyFont="1" applyBorder="1" applyAlignment="1">
      <alignment horizontal="center" vertical="center"/>
    </xf>
    <xf numFmtId="164" fontId="14" fillId="0" borderId="9" xfId="445" applyNumberFormat="1" applyFont="1" applyBorder="1" applyAlignment="1">
      <alignment horizontal="center" vertical="center"/>
    </xf>
    <xf numFmtId="0" fontId="132" fillId="0" borderId="3" xfId="444" applyFont="1" applyBorder="1" applyAlignment="1">
      <alignment horizontal="center" vertical="center"/>
    </xf>
    <xf numFmtId="0" fontId="133" fillId="0" borderId="0" xfId="445" applyFont="1" applyBorder="1"/>
    <xf numFmtId="0" fontId="14" fillId="0" borderId="0" xfId="445" applyFont="1" applyBorder="1"/>
    <xf numFmtId="0" fontId="133" fillId="0" borderId="0" xfId="445" applyFont="1"/>
    <xf numFmtId="0" fontId="14" fillId="0" borderId="0" xfId="445" applyFont="1" applyAlignment="1">
      <alignment horizontal="center" vertical="center"/>
    </xf>
    <xf numFmtId="0" fontId="14" fillId="0" borderId="0" xfId="445" applyFont="1"/>
    <xf numFmtId="0" fontId="8" fillId="3" borderId="1" xfId="445" applyFont="1" applyFill="1" applyBorder="1" applyAlignment="1">
      <alignment horizontal="center" vertical="center"/>
    </xf>
    <xf numFmtId="0" fontId="14" fillId="0" borderId="15" xfId="445" applyFont="1" applyBorder="1" applyAlignment="1">
      <alignment horizontal="center" vertical="center"/>
    </xf>
    <xf numFmtId="0" fontId="130" fillId="0" borderId="15" xfId="445" applyFont="1" applyBorder="1" applyAlignment="1">
      <alignment horizontal="center" vertical="center"/>
    </xf>
    <xf numFmtId="0" fontId="5" fillId="2" borderId="18" xfId="445" applyFont="1" applyFill="1" applyBorder="1" applyAlignment="1">
      <alignment horizontal="center" vertical="center"/>
    </xf>
    <xf numFmtId="0" fontId="12" fillId="2" borderId="18" xfId="445" applyFont="1" applyFill="1" applyBorder="1" applyAlignment="1">
      <alignment horizontal="center" vertical="center"/>
    </xf>
    <xf numFmtId="0" fontId="131" fillId="0" borderId="0" xfId="445" applyFont="1" applyBorder="1" applyAlignment="1">
      <alignment horizontal="center"/>
    </xf>
    <xf numFmtId="16" fontId="5" fillId="0" borderId="3" xfId="0" applyNumberFormat="1" applyFont="1" applyFill="1" applyBorder="1" applyAlignment="1">
      <alignment horizontal="center" vertical="center" shrinkToFit="1"/>
    </xf>
    <xf numFmtId="0" fontId="12" fillId="0" borderId="14" xfId="445" applyFont="1" applyBorder="1" applyAlignment="1">
      <alignment horizontal="center" vertical="center" shrinkToFit="1"/>
    </xf>
    <xf numFmtId="0" fontId="12" fillId="0" borderId="1" xfId="445" applyFont="1" applyBorder="1" applyAlignment="1">
      <alignment horizontal="center" vertical="center" shrinkToFit="1"/>
    </xf>
    <xf numFmtId="0" fontId="12" fillId="0" borderId="16" xfId="445" applyFont="1" applyBorder="1" applyAlignment="1">
      <alignment horizontal="center" vertical="center" shrinkToFit="1"/>
    </xf>
    <xf numFmtId="0" fontId="13" fillId="0" borderId="3" xfId="444" applyFont="1" applyBorder="1" applyAlignment="1">
      <alignment horizontal="center" vertical="center" shrinkToFit="1"/>
    </xf>
    <xf numFmtId="0" fontId="12" fillId="0" borderId="3" xfId="445" applyFont="1" applyBorder="1" applyAlignment="1">
      <alignment horizontal="center" vertical="center" shrinkToFit="1"/>
    </xf>
    <xf numFmtId="0" fontId="11" fillId="0" borderId="0" xfId="445" applyFont="1" applyBorder="1" applyAlignment="1">
      <alignment shrinkToFit="1"/>
    </xf>
    <xf numFmtId="0" fontId="12" fillId="0" borderId="0" xfId="445" applyFont="1" applyBorder="1" applyAlignment="1">
      <alignment shrinkToFit="1"/>
    </xf>
    <xf numFmtId="0" fontId="12" fillId="0" borderId="0" xfId="445" applyFont="1" applyAlignment="1">
      <alignment vertical="center" shrinkToFit="1"/>
    </xf>
    <xf numFmtId="0" fontId="12" fillId="0" borderId="0" xfId="445" applyFont="1" applyAlignment="1">
      <alignment shrinkToFit="1"/>
    </xf>
    <xf numFmtId="0" fontId="11" fillId="0" borderId="0" xfId="445" applyFont="1" applyAlignment="1">
      <alignment shrinkToFit="1"/>
    </xf>
    <xf numFmtId="0" fontId="12" fillId="0" borderId="0" xfId="445" applyFont="1" applyBorder="1" applyAlignment="1"/>
    <xf numFmtId="0" fontId="11" fillId="0" borderId="0" xfId="445" applyFont="1" applyBorder="1" applyAlignment="1"/>
    <xf numFmtId="164" fontId="5" fillId="65" borderId="3" xfId="0" applyNumberFormat="1" applyFont="1" applyFill="1" applyBorder="1" applyAlignment="1">
      <alignment horizontal="center" vertical="center" shrinkToFit="1"/>
    </xf>
    <xf numFmtId="165" fontId="5" fillId="62" borderId="3" xfId="0" applyNumberFormat="1" applyFont="1" applyFill="1" applyBorder="1" applyAlignment="1">
      <alignment horizontal="center" vertical="center" shrinkToFit="1"/>
    </xf>
    <xf numFmtId="0" fontId="110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3" xfId="445" applyFont="1" applyFill="1" applyBorder="1" applyAlignment="1">
      <alignment horizontal="center" vertical="center" shrinkToFit="1"/>
    </xf>
    <xf numFmtId="1" fontId="5" fillId="62" borderId="3" xfId="0" applyNumberFormat="1" applyFont="1" applyFill="1" applyBorder="1" applyAlignment="1">
      <alignment horizontal="center" vertical="center"/>
    </xf>
    <xf numFmtId="49" fontId="5" fillId="0" borderId="3" xfId="0" quotePrefix="1" applyNumberFormat="1" applyFont="1" applyFill="1" applyBorder="1" applyAlignment="1">
      <alignment horizontal="center" vertical="center" shrinkToFit="1"/>
    </xf>
    <xf numFmtId="49" fontId="12" fillId="0" borderId="3" xfId="0" quotePrefix="1" applyNumberFormat="1" applyFont="1" applyFill="1" applyBorder="1" applyAlignment="1">
      <alignment horizontal="center" vertical="center" wrapText="1"/>
    </xf>
    <xf numFmtId="0" fontId="6" fillId="62" borderId="3" xfId="0" applyFont="1" applyFill="1" applyBorder="1" applyAlignment="1">
      <alignment horizontal="center" vertical="center" shrinkToFit="1"/>
    </xf>
    <xf numFmtId="0" fontId="5" fillId="0" borderId="13" xfId="445" applyFont="1" applyFill="1" applyBorder="1" applyAlignment="1">
      <alignment horizontal="center" vertical="center" shrinkToFit="1"/>
    </xf>
    <xf numFmtId="1" fontId="5" fillId="2" borderId="3" xfId="0" applyNumberFormat="1" applyFont="1" applyFill="1" applyBorder="1" applyAlignment="1">
      <alignment horizontal="center" vertical="center"/>
    </xf>
    <xf numFmtId="49" fontId="6" fillId="0" borderId="3" xfId="3" applyNumberFormat="1" applyFont="1" applyFill="1" applyBorder="1" applyAlignment="1" applyProtection="1">
      <alignment horizontal="center" vertical="center" shrinkToFit="1"/>
      <protection locked="0"/>
    </xf>
    <xf numFmtId="0" fontId="5" fillId="0" borderId="13" xfId="445" applyFont="1" applyFill="1" applyBorder="1" applyAlignment="1">
      <alignment horizontal="center" vertical="center" shrinkToFit="1"/>
    </xf>
    <xf numFmtId="165" fontId="6" fillId="62" borderId="3" xfId="1" applyNumberFormat="1" applyFont="1" applyFill="1" applyBorder="1" applyAlignment="1">
      <alignment horizontal="center" shrinkToFit="1"/>
    </xf>
    <xf numFmtId="0" fontId="6" fillId="66" borderId="3" xfId="444" applyFont="1" applyFill="1" applyBorder="1" applyAlignment="1">
      <alignment horizontal="center" vertical="center" shrinkToFit="1"/>
    </xf>
    <xf numFmtId="49" fontId="5" fillId="66" borderId="3" xfId="0" applyNumberFormat="1" applyFont="1" applyFill="1" applyBorder="1" applyAlignment="1">
      <alignment horizontal="center" vertical="center" shrinkToFit="1"/>
    </xf>
    <xf numFmtId="0" fontId="110" fillId="66" borderId="3" xfId="0" applyFont="1" applyFill="1" applyBorder="1" applyAlignment="1">
      <alignment horizontal="center" vertical="center" shrinkToFit="1"/>
    </xf>
    <xf numFmtId="0" fontId="5" fillId="66" borderId="3" xfId="0" applyFont="1" applyFill="1" applyBorder="1" applyAlignment="1">
      <alignment horizontal="center" vertical="center" shrinkToFit="1"/>
    </xf>
    <xf numFmtId="0" fontId="6" fillId="66" borderId="3" xfId="0" applyFont="1" applyFill="1" applyBorder="1" applyAlignment="1">
      <alignment horizontal="center" vertical="center" shrinkToFit="1"/>
    </xf>
    <xf numFmtId="49" fontId="110" fillId="66" borderId="3" xfId="0" applyNumberFormat="1" applyFont="1" applyFill="1" applyBorder="1" applyAlignment="1">
      <alignment horizontal="center" vertical="center" shrinkToFit="1"/>
    </xf>
    <xf numFmtId="0" fontId="0" fillId="0" borderId="3" xfId="0" applyFill="1" applyBorder="1" applyAlignment="1">
      <alignment horizontal="center" vertical="center"/>
    </xf>
    <xf numFmtId="49" fontId="5" fillId="60" borderId="3" xfId="0" applyNumberFormat="1" applyFont="1" applyFill="1" applyBorder="1" applyAlignment="1">
      <alignment horizontal="center" vertical="center" shrinkToFit="1"/>
    </xf>
    <xf numFmtId="0" fontId="110" fillId="60" borderId="3" xfId="0" applyFont="1" applyFill="1" applyBorder="1" applyAlignment="1">
      <alignment horizontal="center" vertical="center" shrinkToFit="1"/>
    </xf>
    <xf numFmtId="0" fontId="5" fillId="60" borderId="3" xfId="0" applyFont="1" applyFill="1" applyBorder="1" applyAlignment="1">
      <alignment horizontal="center" vertical="center" shrinkToFit="1"/>
    </xf>
    <xf numFmtId="164" fontId="5" fillId="60" borderId="3" xfId="0" applyNumberFormat="1" applyFont="1" applyFill="1" applyBorder="1" applyAlignment="1">
      <alignment horizontal="center" vertical="center" shrinkToFit="1"/>
    </xf>
    <xf numFmtId="49" fontId="110" fillId="60" borderId="3" xfId="0" applyNumberFormat="1" applyFont="1" applyFill="1" applyBorder="1" applyAlignment="1">
      <alignment horizontal="center" vertical="center" shrinkToFit="1"/>
    </xf>
    <xf numFmtId="0" fontId="111" fillId="0" borderId="3" xfId="446" applyFont="1" applyFill="1" applyBorder="1" applyAlignment="1">
      <alignment horizontal="center" vertical="center"/>
    </xf>
    <xf numFmtId="0" fontId="1" fillId="0" borderId="3" xfId="446" applyFill="1" applyBorder="1" applyAlignment="1">
      <alignment horizontal="center" vertical="center"/>
    </xf>
    <xf numFmtId="1" fontId="6" fillId="62" borderId="3" xfId="1" applyNumberFormat="1" applyFont="1" applyFill="1" applyBorder="1" applyAlignment="1">
      <alignment horizontal="center" vertical="center"/>
    </xf>
    <xf numFmtId="2" fontId="18" fillId="0" borderId="6" xfId="444" applyNumberFormat="1" applyFont="1" applyFill="1" applyBorder="1" applyAlignment="1">
      <alignment horizontal="center" vertical="center" shrinkToFit="1"/>
    </xf>
    <xf numFmtId="0" fontId="18" fillId="0" borderId="3" xfId="444" applyFont="1" applyFill="1" applyBorder="1" applyAlignment="1">
      <alignment horizontal="center" vertical="center" shrinkToFit="1"/>
    </xf>
    <xf numFmtId="164" fontId="18" fillId="0" borderId="3" xfId="444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/>
    </xf>
    <xf numFmtId="49" fontId="110" fillId="0" borderId="3" xfId="0" quotePrefix="1" applyNumberFormat="1" applyFont="1" applyFill="1" applyBorder="1" applyAlignment="1">
      <alignment horizontal="center" vertical="center" shrinkToFit="1"/>
    </xf>
    <xf numFmtId="49" fontId="6" fillId="0" borderId="25" xfId="3" applyNumberFormat="1" applyFont="1" applyFill="1" applyBorder="1" applyAlignment="1" applyProtection="1">
      <alignment horizontal="center" vertical="center" shrinkToFit="1"/>
      <protection locked="0"/>
    </xf>
    <xf numFmtId="49" fontId="6" fillId="65" borderId="3" xfId="3" applyNumberFormat="1" applyFont="1" applyFill="1" applyBorder="1" applyAlignment="1" applyProtection="1">
      <alignment horizontal="center" vertical="center" shrinkToFit="1"/>
      <protection locked="0"/>
    </xf>
    <xf numFmtId="0" fontId="5" fillId="65" borderId="3" xfId="0" applyFont="1" applyFill="1" applyBorder="1" applyAlignment="1">
      <alignment horizontal="center" vertical="center"/>
    </xf>
    <xf numFmtId="49" fontId="6" fillId="62" borderId="3" xfId="3" applyNumberFormat="1" applyFont="1" applyFill="1" applyBorder="1" applyAlignment="1" applyProtection="1">
      <alignment horizontal="center" vertical="center" shrinkToFit="1"/>
      <protection locked="0"/>
    </xf>
    <xf numFmtId="0" fontId="5" fillId="62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13" fillId="2" borderId="3" xfId="444" applyFont="1" applyFill="1" applyBorder="1" applyAlignment="1">
      <alignment horizontal="center" vertical="center" shrinkToFit="1"/>
    </xf>
    <xf numFmtId="1" fontId="6" fillId="0" borderId="3" xfId="0" applyNumberFormat="1" applyFont="1" applyFill="1" applyBorder="1" applyAlignment="1">
      <alignment horizontal="center" vertical="center"/>
    </xf>
    <xf numFmtId="164" fontId="20" fillId="0" borderId="3" xfId="0" applyNumberFormat="1" applyFont="1" applyFill="1" applyBorder="1" applyAlignment="1">
      <alignment horizontal="center" vertical="center" wrapText="1"/>
    </xf>
    <xf numFmtId="175" fontId="0" fillId="0" borderId="3" xfId="0" applyNumberFormat="1" applyFill="1" applyBorder="1" applyAlignment="1">
      <alignment horizontal="center"/>
    </xf>
    <xf numFmtId="1" fontId="5" fillId="0" borderId="3" xfId="0" applyNumberFormat="1" applyFont="1" applyFill="1" applyBorder="1" applyAlignment="1">
      <alignment horizontal="center" vertical="center" shrinkToFit="1"/>
    </xf>
    <xf numFmtId="49" fontId="6" fillId="2" borderId="3" xfId="3" applyNumberFormat="1" applyFont="1" applyFill="1" applyBorder="1" applyAlignment="1" applyProtection="1">
      <alignment horizontal="center" vertical="center" shrinkToFit="1"/>
      <protection locked="0"/>
    </xf>
    <xf numFmtId="49" fontId="5" fillId="0" borderId="18" xfId="0" applyNumberFormat="1" applyFont="1" applyFill="1" applyBorder="1" applyAlignment="1">
      <alignment horizontal="center" vertical="center" shrinkToFit="1"/>
    </xf>
    <xf numFmtId="174" fontId="0" fillId="0" borderId="0" xfId="0" applyNumberFormat="1" applyFill="1"/>
    <xf numFmtId="49" fontId="6" fillId="0" borderId="3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shrinkToFit="1"/>
    </xf>
    <xf numFmtId="0" fontId="6" fillId="60" borderId="3" xfId="0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49" fontId="110" fillId="0" borderId="3" xfId="0" applyNumberFormat="1" applyFont="1" applyFill="1" applyBorder="1" applyAlignment="1">
      <alignment horizontal="center" vertical="center"/>
    </xf>
    <xf numFmtId="1" fontId="6" fillId="60" borderId="3" xfId="1" applyNumberFormat="1" applyFont="1" applyFill="1" applyBorder="1" applyAlignment="1">
      <alignment horizontal="center" vertical="center"/>
    </xf>
    <xf numFmtId="165" fontId="5" fillId="60" borderId="3" xfId="0" applyNumberFormat="1" applyFont="1" applyFill="1" applyBorder="1" applyAlignment="1">
      <alignment horizontal="center" vertical="center" shrinkToFit="1"/>
    </xf>
    <xf numFmtId="166" fontId="6" fillId="60" borderId="3" xfId="1" quotePrefix="1" applyNumberFormat="1" applyFont="1" applyFill="1" applyBorder="1" applyAlignment="1">
      <alignment horizontal="center" shrinkToFit="1"/>
    </xf>
    <xf numFmtId="165" fontId="6" fillId="60" borderId="3" xfId="1" applyNumberFormat="1" applyFont="1" applyFill="1" applyBorder="1" applyAlignment="1">
      <alignment horizontal="center" shrinkToFit="1"/>
    </xf>
    <xf numFmtId="0" fontId="5" fillId="60" borderId="3" xfId="0" applyNumberFormat="1" applyFont="1" applyFill="1" applyBorder="1" applyAlignment="1">
      <alignment horizontal="center" vertical="center" shrinkToFit="1"/>
    </xf>
    <xf numFmtId="174" fontId="6" fillId="60" borderId="3" xfId="0" applyNumberFormat="1" applyFont="1" applyFill="1" applyBorder="1" applyAlignment="1">
      <alignment horizontal="center" vertical="center"/>
    </xf>
    <xf numFmtId="164" fontId="6" fillId="60" borderId="3" xfId="0" applyNumberFormat="1" applyFont="1" applyFill="1" applyBorder="1" applyAlignment="1">
      <alignment horizontal="center" vertical="center" shrinkToFit="1"/>
    </xf>
    <xf numFmtId="0" fontId="120" fillId="3" borderId="1" xfId="444" applyFont="1" applyFill="1" applyBorder="1" applyAlignment="1" applyProtection="1">
      <alignment horizontal="center" vertical="center"/>
      <protection locked="0"/>
    </xf>
    <xf numFmtId="0" fontId="120" fillId="3" borderId="16" xfId="444" applyFont="1" applyFill="1" applyBorder="1" applyAlignment="1" applyProtection="1">
      <alignment horizontal="center" vertical="center"/>
      <protection locked="0"/>
    </xf>
    <xf numFmtId="0" fontId="3" fillId="3" borderId="1" xfId="444" applyFont="1" applyFill="1" applyBorder="1" applyAlignment="1" applyProtection="1">
      <alignment horizontal="center" vertical="center" wrapText="1"/>
      <protection locked="0"/>
    </xf>
    <xf numFmtId="0" fontId="3" fillId="3" borderId="16" xfId="444" applyFont="1" applyFill="1" applyBorder="1" applyAlignment="1" applyProtection="1">
      <alignment horizontal="center" vertical="center"/>
      <protection locked="0"/>
    </xf>
    <xf numFmtId="0" fontId="8" fillId="2" borderId="18" xfId="445" applyFont="1" applyFill="1" applyBorder="1" applyAlignment="1">
      <alignment horizontal="center" vertical="center"/>
    </xf>
    <xf numFmtId="0" fontId="8" fillId="2" borderId="15" xfId="445" applyFont="1" applyFill="1" applyBorder="1" applyAlignment="1">
      <alignment horizontal="center" vertical="center"/>
    </xf>
    <xf numFmtId="0" fontId="13" fillId="2" borderId="18" xfId="444" applyFont="1" applyFill="1" applyBorder="1" applyAlignment="1" applyProtection="1">
      <alignment horizontal="center" vertical="center" shrinkToFit="1"/>
      <protection locked="0"/>
    </xf>
    <xf numFmtId="0" fontId="13" fillId="2" borderId="15" xfId="444" applyFont="1" applyFill="1" applyBorder="1" applyAlignment="1" applyProtection="1">
      <alignment horizontal="center" vertical="center" shrinkToFit="1"/>
      <protection locked="0"/>
    </xf>
    <xf numFmtId="0" fontId="12" fillId="0" borderId="9" xfId="445" applyFont="1" applyBorder="1" applyAlignment="1">
      <alignment horizontal="center" vertical="top" shrinkToFit="1"/>
    </xf>
    <xf numFmtId="0" fontId="12" fillId="3" borderId="0" xfId="445" applyFont="1" applyFill="1" applyBorder="1" applyAlignment="1"/>
    <xf numFmtId="0" fontId="11" fillId="0" borderId="0" xfId="0" applyFont="1" applyAlignment="1"/>
    <xf numFmtId="0" fontId="8" fillId="2" borderId="12" xfId="445" applyFont="1" applyFill="1" applyBorder="1" applyAlignment="1">
      <alignment horizontal="center" vertical="center"/>
    </xf>
    <xf numFmtId="0" fontId="8" fillId="0" borderId="15" xfId="445" applyFont="1" applyBorder="1" applyAlignment="1">
      <alignment horizontal="center" vertical="center"/>
    </xf>
    <xf numFmtId="0" fontId="8" fillId="2" borderId="18" xfId="445" applyFont="1" applyFill="1" applyBorder="1" applyAlignment="1">
      <alignment horizontal="left" vertical="center"/>
    </xf>
    <xf numFmtId="0" fontId="8" fillId="2" borderId="12" xfId="445" applyFont="1" applyFill="1" applyBorder="1" applyAlignment="1">
      <alignment horizontal="left" vertical="center"/>
    </xf>
    <xf numFmtId="0" fontId="8" fillId="0" borderId="15" xfId="445" applyFont="1" applyBorder="1" applyAlignment="1">
      <alignment horizontal="left" vertical="center"/>
    </xf>
    <xf numFmtId="0" fontId="7" fillId="0" borderId="2" xfId="445" applyFont="1" applyBorder="1" applyAlignment="1">
      <alignment horizontal="center" vertical="center" wrapText="1"/>
    </xf>
    <xf numFmtId="0" fontId="7" fillId="0" borderId="14" xfId="445" applyFont="1" applyBorder="1" applyAlignment="1">
      <alignment horizontal="center" vertical="center" wrapText="1"/>
    </xf>
    <xf numFmtId="0" fontId="7" fillId="0" borderId="4" xfId="445" applyFont="1" applyBorder="1" applyAlignment="1">
      <alignment horizontal="center" vertical="center" wrapText="1"/>
    </xf>
    <xf numFmtId="0" fontId="7" fillId="0" borderId="5" xfId="445" applyFont="1" applyBorder="1" applyAlignment="1">
      <alignment horizontal="center" vertical="center" wrapText="1"/>
    </xf>
    <xf numFmtId="0" fontId="7" fillId="0" borderId="9" xfId="445" applyFont="1" applyBorder="1" applyAlignment="1">
      <alignment horizontal="center" vertical="center" wrapText="1"/>
    </xf>
    <xf numFmtId="0" fontId="7" fillId="0" borderId="10" xfId="445" applyFont="1" applyBorder="1" applyAlignment="1">
      <alignment horizontal="center" vertical="center" wrapText="1"/>
    </xf>
    <xf numFmtId="0" fontId="8" fillId="0" borderId="2" xfId="445" applyFont="1" applyBorder="1" applyAlignment="1">
      <alignment horizontal="center" vertical="center"/>
    </xf>
    <xf numFmtId="0" fontId="8" fillId="0" borderId="4" xfId="445" applyFont="1" applyBorder="1" applyAlignment="1">
      <alignment horizontal="center" vertical="center"/>
    </xf>
    <xf numFmtId="0" fontId="8" fillId="0" borderId="5" xfId="445" applyFont="1" applyBorder="1" applyAlignment="1">
      <alignment horizontal="center" vertical="center"/>
    </xf>
    <xf numFmtId="0" fontId="8" fillId="0" borderId="10" xfId="445" applyFont="1" applyBorder="1" applyAlignment="1">
      <alignment horizontal="center" vertical="center"/>
    </xf>
    <xf numFmtId="0" fontId="10" fillId="3" borderId="1" xfId="445" applyFont="1" applyFill="1" applyBorder="1" applyAlignment="1">
      <alignment horizontal="center" vertical="center" wrapText="1"/>
    </xf>
    <xf numFmtId="0" fontId="10" fillId="3" borderId="16" xfId="445" applyFont="1" applyFill="1" applyBorder="1" applyAlignment="1">
      <alignment horizontal="center" vertical="center" wrapText="1"/>
    </xf>
    <xf numFmtId="164" fontId="10" fillId="3" borderId="1" xfId="445" applyNumberFormat="1" applyFont="1" applyFill="1" applyBorder="1" applyAlignment="1">
      <alignment horizontal="center" vertical="center" wrapText="1"/>
    </xf>
    <xf numFmtId="164" fontId="10" fillId="3" borderId="16" xfId="445" applyNumberFormat="1" applyFont="1" applyFill="1" applyBorder="1" applyAlignment="1">
      <alignment horizontal="center" vertical="center" wrapText="1"/>
    </xf>
    <xf numFmtId="0" fontId="114" fillId="3" borderId="1" xfId="445" applyFont="1" applyFill="1" applyBorder="1" applyAlignment="1">
      <alignment horizontal="center" vertical="center" wrapText="1"/>
    </xf>
    <xf numFmtId="0" fontId="114" fillId="3" borderId="16" xfId="445" applyFont="1" applyFill="1" applyBorder="1" applyAlignment="1">
      <alignment horizontal="center" vertical="center"/>
    </xf>
    <xf numFmtId="0" fontId="8" fillId="0" borderId="1" xfId="445" applyFont="1" applyBorder="1" applyAlignment="1">
      <alignment horizontal="center" vertical="center"/>
    </xf>
    <xf numFmtId="0" fontId="8" fillId="0" borderId="16" xfId="445" applyFont="1" applyBorder="1" applyAlignment="1">
      <alignment horizontal="center" vertical="center"/>
    </xf>
    <xf numFmtId="0" fontId="8" fillId="2" borderId="1" xfId="445" applyFont="1" applyFill="1" applyBorder="1" applyAlignment="1">
      <alignment horizontal="center" vertical="center"/>
    </xf>
    <xf numFmtId="0" fontId="8" fillId="2" borderId="16" xfId="445" applyFont="1" applyFill="1" applyBorder="1" applyAlignment="1">
      <alignment horizontal="center" vertical="center"/>
    </xf>
    <xf numFmtId="0" fontId="114" fillId="3" borderId="1" xfId="445" applyFont="1" applyFill="1" applyBorder="1" applyAlignment="1">
      <alignment horizontal="center" vertical="center"/>
    </xf>
    <xf numFmtId="0" fontId="3" fillId="0" borderId="50" xfId="444" applyFont="1" applyBorder="1" applyAlignment="1" applyProtection="1">
      <alignment horizontal="center" vertical="center"/>
      <protection locked="0"/>
    </xf>
    <xf numFmtId="0" fontId="3" fillId="0" borderId="51" xfId="444" applyFont="1" applyBorder="1" applyAlignment="1" applyProtection="1">
      <alignment horizontal="center" vertical="center"/>
      <protection locked="0"/>
    </xf>
    <xf numFmtId="0" fontId="15" fillId="0" borderId="52" xfId="444" applyFont="1" applyBorder="1" applyAlignment="1" applyProtection="1">
      <alignment horizontal="center" vertical="center" wrapText="1"/>
      <protection locked="0"/>
    </xf>
    <xf numFmtId="0" fontId="15" fillId="0" borderId="7" xfId="444" applyFont="1" applyBorder="1" applyAlignment="1" applyProtection="1">
      <alignment horizontal="center" vertical="center" wrapText="1"/>
      <protection locked="0"/>
    </xf>
    <xf numFmtId="0" fontId="15" fillId="0" borderId="7" xfId="444" applyFont="1" applyFill="1" applyBorder="1" applyAlignment="1" applyProtection="1">
      <alignment horizontal="center" vertical="center" wrapText="1"/>
      <protection locked="0"/>
    </xf>
    <xf numFmtId="0" fontId="15" fillId="0" borderId="8" xfId="444" applyFont="1" applyBorder="1" applyAlignment="1" applyProtection="1">
      <alignment horizontal="center" vertical="center" wrapText="1"/>
      <protection locked="0"/>
    </xf>
    <xf numFmtId="0" fontId="15" fillId="0" borderId="5" xfId="444" applyFont="1" applyBorder="1" applyAlignment="1" applyProtection="1">
      <alignment horizontal="center" vertical="center" wrapText="1"/>
      <protection locked="0"/>
    </xf>
    <xf numFmtId="0" fontId="15" fillId="0" borderId="9" xfId="444" applyFont="1" applyBorder="1" applyAlignment="1" applyProtection="1">
      <alignment horizontal="center" vertical="center" wrapText="1"/>
      <protection locked="0"/>
    </xf>
    <xf numFmtId="0" fontId="15" fillId="0" borderId="9" xfId="444" applyFont="1" applyFill="1" applyBorder="1" applyAlignment="1" applyProtection="1">
      <alignment horizontal="center" vertical="center" wrapText="1"/>
      <protection locked="0"/>
    </xf>
    <xf numFmtId="0" fontId="15" fillId="0" borderId="10" xfId="444" applyFont="1" applyBorder="1" applyAlignment="1" applyProtection="1">
      <alignment horizontal="center" vertical="center" wrapText="1"/>
      <protection locked="0"/>
    </xf>
    <xf numFmtId="164" fontId="8" fillId="2" borderId="67" xfId="444" applyNumberFormat="1" applyFont="1" applyFill="1" applyBorder="1" applyAlignment="1" applyProtection="1">
      <alignment horizontal="center" vertical="center" wrapText="1"/>
      <protection locked="0"/>
    </xf>
    <xf numFmtId="164" fontId="8" fillId="2" borderId="65" xfId="444" applyNumberFormat="1" applyFont="1" applyFill="1" applyBorder="1" applyAlignment="1" applyProtection="1">
      <alignment horizontal="center" vertical="center" wrapText="1"/>
      <protection locked="0"/>
    </xf>
    <xf numFmtId="0" fontId="4" fillId="2" borderId="53" xfId="444" applyFont="1" applyFill="1" applyBorder="1" applyAlignment="1" applyProtection="1">
      <alignment horizontal="center" vertical="center" shrinkToFit="1"/>
    </xf>
    <xf numFmtId="0" fontId="4" fillId="2" borderId="58" xfId="444" applyFont="1" applyFill="1" applyBorder="1" applyAlignment="1" applyProtection="1">
      <alignment horizontal="center" vertical="center" shrinkToFit="1"/>
    </xf>
    <xf numFmtId="0" fontId="4" fillId="0" borderId="58" xfId="444" applyFont="1" applyBorder="1" applyAlignment="1" applyProtection="1">
      <alignment horizontal="center" vertical="center" shrinkToFit="1"/>
    </xf>
    <xf numFmtId="0" fontId="4" fillId="0" borderId="54" xfId="444" applyFont="1" applyBorder="1" applyAlignment="1" applyProtection="1">
      <alignment horizontal="center" vertical="center" shrinkToFit="1"/>
    </xf>
    <xf numFmtId="0" fontId="118" fillId="2" borderId="11" xfId="444" applyFont="1" applyFill="1" applyBorder="1" applyAlignment="1" applyProtection="1">
      <alignment horizontal="center" vertical="center"/>
      <protection locked="0"/>
    </xf>
    <xf numFmtId="0" fontId="118" fillId="2" borderId="15" xfId="444" applyFont="1" applyFill="1" applyBorder="1" applyAlignment="1" applyProtection="1">
      <alignment horizontal="center" vertical="center"/>
      <protection locked="0"/>
    </xf>
    <xf numFmtId="0" fontId="117" fillId="2" borderId="61" xfId="444" applyFont="1" applyFill="1" applyBorder="1" applyAlignment="1" applyProtection="1">
      <alignment horizontal="center" vertical="center"/>
      <protection locked="0"/>
    </xf>
    <xf numFmtId="0" fontId="117" fillId="2" borderId="56" xfId="444" applyFont="1" applyFill="1" applyBorder="1" applyAlignment="1" applyProtection="1">
      <alignment horizontal="center" vertical="center"/>
      <protection locked="0"/>
    </xf>
    <xf numFmtId="0" fontId="117" fillId="0" borderId="56" xfId="444" applyFont="1" applyBorder="1" applyAlignment="1" applyProtection="1">
      <alignment horizontal="center" vertical="center"/>
      <protection locked="0"/>
    </xf>
    <xf numFmtId="0" fontId="117" fillId="0" borderId="57" xfId="444" applyFont="1" applyBorder="1" applyAlignment="1" applyProtection="1">
      <alignment horizontal="center" vertical="center"/>
      <protection locked="0"/>
    </xf>
    <xf numFmtId="164" fontId="9" fillId="0" borderId="58" xfId="445" applyNumberFormat="1" applyFont="1" applyBorder="1" applyAlignment="1">
      <alignment horizontal="center" vertical="center"/>
    </xf>
    <xf numFmtId="164" fontId="9" fillId="0" borderId="51" xfId="445" applyNumberFormat="1" applyFont="1" applyBorder="1" applyAlignment="1">
      <alignment horizontal="center" vertical="center"/>
    </xf>
    <xf numFmtId="0" fontId="115" fillId="0" borderId="1" xfId="444" applyFont="1" applyFill="1" applyBorder="1" applyAlignment="1" applyProtection="1">
      <alignment horizontal="center" vertical="center" wrapText="1"/>
      <protection locked="0"/>
    </xf>
    <xf numFmtId="0" fontId="115" fillId="0" borderId="16" xfId="444" applyFont="1" applyFill="1" applyBorder="1" applyAlignment="1" applyProtection="1">
      <alignment horizontal="center" vertical="center" wrapText="1"/>
      <protection locked="0"/>
    </xf>
    <xf numFmtId="0" fontId="8" fillId="0" borderId="18" xfId="444" applyFont="1" applyFill="1" applyBorder="1" applyAlignment="1" applyProtection="1">
      <alignment horizontal="center" vertical="center" wrapText="1"/>
      <protection locked="0"/>
    </xf>
    <xf numFmtId="0" fontId="8" fillId="0" borderId="12" xfId="444" applyFont="1" applyFill="1" applyBorder="1" applyAlignment="1" applyProtection="1">
      <alignment horizontal="center" vertical="center" wrapText="1"/>
      <protection locked="0"/>
    </xf>
    <xf numFmtId="1" fontId="8" fillId="2" borderId="60" xfId="444" applyNumberFormat="1" applyFont="1" applyFill="1" applyBorder="1" applyAlignment="1" applyProtection="1">
      <alignment horizontal="center" vertical="center" wrapText="1"/>
      <protection locked="0"/>
    </xf>
    <xf numFmtId="1" fontId="8" fillId="2" borderId="17" xfId="444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444" applyFont="1" applyFill="1" applyBorder="1" applyAlignment="1" applyProtection="1">
      <alignment horizontal="center" vertical="center"/>
      <protection locked="0"/>
    </xf>
    <xf numFmtId="0" fontId="8" fillId="0" borderId="16" xfId="444" applyFont="1" applyFill="1" applyBorder="1" applyAlignment="1" applyProtection="1">
      <alignment horizontal="center" vertical="center"/>
      <protection locked="0"/>
    </xf>
    <xf numFmtId="0" fontId="115" fillId="0" borderId="1" xfId="445" applyFont="1" applyFill="1" applyBorder="1" applyAlignment="1">
      <alignment horizontal="center" vertical="center" wrapText="1"/>
    </xf>
    <xf numFmtId="0" fontId="115" fillId="0" borderId="16" xfId="445" applyFont="1" applyFill="1" applyBorder="1" applyAlignment="1">
      <alignment horizontal="center" vertical="center" wrapText="1"/>
    </xf>
    <xf numFmtId="0" fontId="8" fillId="0" borderId="1" xfId="444" applyFont="1" applyFill="1" applyBorder="1" applyAlignment="1" applyProtection="1">
      <alignment horizontal="center" vertical="center" wrapText="1"/>
      <protection locked="0"/>
    </xf>
    <xf numFmtId="0" fontId="8" fillId="0" borderId="16" xfId="444" applyFont="1" applyFill="1" applyBorder="1" applyAlignment="1" applyProtection="1">
      <alignment horizontal="center" vertical="center" wrapText="1"/>
      <protection locked="0"/>
    </xf>
    <xf numFmtId="164" fontId="8" fillId="0" borderId="1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16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2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70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5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71" xfId="444" applyNumberFormat="1" applyFont="1" applyFill="1" applyBorder="1" applyAlignment="1" applyProtection="1">
      <alignment horizontal="center" vertical="center" wrapText="1"/>
      <protection locked="0"/>
    </xf>
    <xf numFmtId="0" fontId="20" fillId="0" borderId="20" xfId="445" applyFont="1" applyFill="1" applyBorder="1" applyAlignment="1">
      <alignment horizontal="left" vertical="center" wrapText="1"/>
    </xf>
    <xf numFmtId="0" fontId="20" fillId="0" borderId="0" xfId="445" applyFont="1" applyFill="1" applyBorder="1" applyAlignment="1">
      <alignment horizontal="left" vertical="center" wrapText="1"/>
    </xf>
    <xf numFmtId="0" fontId="9" fillId="0" borderId="20" xfId="445" applyFont="1" applyBorder="1" applyAlignment="1">
      <alignment horizontal="left" vertical="center" wrapText="1"/>
    </xf>
    <xf numFmtId="0" fontId="9" fillId="0" borderId="0" xfId="445" applyFont="1" applyBorder="1" applyAlignment="1">
      <alignment horizontal="left" vertical="center" wrapText="1"/>
    </xf>
    <xf numFmtId="0" fontId="9" fillId="0" borderId="21" xfId="445" applyFont="1" applyBorder="1" applyAlignment="1">
      <alignment horizontal="left" vertical="center" wrapText="1"/>
    </xf>
    <xf numFmtId="0" fontId="9" fillId="0" borderId="22" xfId="445" applyFont="1" applyBorder="1" applyAlignment="1">
      <alignment horizontal="left" vertical="center" wrapText="1"/>
    </xf>
    <xf numFmtId="0" fontId="8" fillId="2" borderId="18" xfId="444" applyFont="1" applyFill="1" applyBorder="1" applyAlignment="1" applyProtection="1">
      <alignment horizontal="center" vertical="center" shrinkToFit="1"/>
      <protection locked="0"/>
    </xf>
    <xf numFmtId="0" fontId="8" fillId="2" borderId="15" xfId="444" applyFont="1" applyFill="1" applyBorder="1" applyAlignment="1" applyProtection="1">
      <alignment horizontal="center" vertical="center" shrinkToFit="1"/>
      <protection locked="0"/>
    </xf>
    <xf numFmtId="0" fontId="8" fillId="2" borderId="7" xfId="445" applyFont="1" applyFill="1" applyBorder="1" applyAlignment="1">
      <alignment horizontal="center"/>
    </xf>
    <xf numFmtId="0" fontId="8" fillId="0" borderId="7" xfId="445" applyFont="1" applyFill="1" applyBorder="1" applyAlignment="1">
      <alignment horizontal="center"/>
    </xf>
    <xf numFmtId="2" fontId="20" fillId="0" borderId="1" xfId="445" applyNumberFormat="1" applyFont="1" applyFill="1" applyBorder="1" applyAlignment="1">
      <alignment horizontal="center" vertical="center" wrapText="1"/>
    </xf>
    <xf numFmtId="2" fontId="20" fillId="0" borderId="16" xfId="445" applyNumberFormat="1" applyFont="1" applyFill="1" applyBorder="1" applyAlignment="1">
      <alignment horizontal="center" vertical="center" wrapText="1"/>
    </xf>
    <xf numFmtId="0" fontId="114" fillId="0" borderId="1" xfId="444" applyFont="1" applyFill="1" applyBorder="1" applyAlignment="1" applyProtection="1">
      <alignment horizontal="center" vertical="center" wrapText="1"/>
      <protection locked="0"/>
    </xf>
    <xf numFmtId="0" fontId="114" fillId="0" borderId="16" xfId="444" applyFont="1" applyFill="1" applyBorder="1" applyAlignment="1" applyProtection="1">
      <alignment horizontal="center" vertical="center" wrapText="1"/>
      <protection locked="0"/>
    </xf>
    <xf numFmtId="0" fontId="116" fillId="0" borderId="1" xfId="444" applyFont="1" applyFill="1" applyBorder="1" applyAlignment="1" applyProtection="1">
      <alignment horizontal="center" vertical="center" wrapText="1"/>
      <protection locked="0"/>
    </xf>
    <xf numFmtId="0" fontId="116" fillId="0" borderId="16" xfId="444" applyFont="1" applyFill="1" applyBorder="1" applyAlignment="1" applyProtection="1">
      <alignment horizontal="center" vertical="center" wrapText="1"/>
      <protection locked="0"/>
    </xf>
    <xf numFmtId="0" fontId="115" fillId="3" borderId="1" xfId="444" applyFont="1" applyFill="1" applyBorder="1" applyAlignment="1" applyProtection="1">
      <alignment horizontal="center" vertical="center" wrapText="1"/>
      <protection locked="0"/>
    </xf>
    <xf numFmtId="0" fontId="115" fillId="3" borderId="16" xfId="444" applyFont="1" applyFill="1" applyBorder="1" applyAlignment="1" applyProtection="1">
      <alignment horizontal="center" vertical="center" wrapText="1"/>
      <protection locked="0"/>
    </xf>
    <xf numFmtId="0" fontId="9" fillId="2" borderId="26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/>
    </xf>
    <xf numFmtId="0" fontId="9" fillId="2" borderId="15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</cellXfs>
  <cellStyles count="448">
    <cellStyle name="20% - Accent1 2" xfId="6"/>
    <cellStyle name="20% - Accent1 3" xfId="7"/>
    <cellStyle name="20% - Accent1 3 2" xfId="8"/>
    <cellStyle name="20% - Accent1 4" xfId="9"/>
    <cellStyle name="20% - Accent2 2" xfId="10"/>
    <cellStyle name="20% - Accent2 3" xfId="11"/>
    <cellStyle name="20% - Accent2 3 2" xfId="12"/>
    <cellStyle name="20% - Accent2 4" xfId="13"/>
    <cellStyle name="20% - Accent3 2" xfId="14"/>
    <cellStyle name="20% - Accent3 3" xfId="15"/>
    <cellStyle name="20% - Accent3 3 2" xfId="16"/>
    <cellStyle name="20% - Accent3 4" xfId="17"/>
    <cellStyle name="20% - Accent4 2" xfId="18"/>
    <cellStyle name="20% - Accent4 3" xfId="19"/>
    <cellStyle name="20% - Accent4 3 2" xfId="20"/>
    <cellStyle name="20% - Accent4 4" xfId="21"/>
    <cellStyle name="20% - Accent5 2" xfId="22"/>
    <cellStyle name="20% - Accent5 3" xfId="23"/>
    <cellStyle name="20% - Accent5 3 2" xfId="24"/>
    <cellStyle name="20% - Accent5 4" xfId="25"/>
    <cellStyle name="20% - Accent6 2" xfId="26"/>
    <cellStyle name="20% - Accent6 3" xfId="27"/>
    <cellStyle name="20% - Accent6 3 2" xfId="28"/>
    <cellStyle name="20% - Accent6 4" xfId="29"/>
    <cellStyle name="20% - アクセント 1 2" xfId="30"/>
    <cellStyle name="20% - アクセント 2 2" xfId="31"/>
    <cellStyle name="20% - アクセント 3 2" xfId="32"/>
    <cellStyle name="20% - アクセント 4 2" xfId="33"/>
    <cellStyle name="20% - アクセント 5 2" xfId="34"/>
    <cellStyle name="20% - アクセント 6 2" xfId="35"/>
    <cellStyle name="40% - Accent1 2" xfId="36"/>
    <cellStyle name="40% - Accent1 3" xfId="37"/>
    <cellStyle name="40% - Accent1 3 2" xfId="38"/>
    <cellStyle name="40% - Accent1 4" xfId="39"/>
    <cellStyle name="40% - Accent2 2" xfId="40"/>
    <cellStyle name="40% - Accent2 3" xfId="41"/>
    <cellStyle name="40% - Accent2 3 2" xfId="42"/>
    <cellStyle name="40% - Accent2 4" xfId="43"/>
    <cellStyle name="40% - Accent3 2" xfId="44"/>
    <cellStyle name="40% - Accent3 3" xfId="45"/>
    <cellStyle name="40% - Accent3 3 2" xfId="46"/>
    <cellStyle name="40% - Accent3 4" xfId="47"/>
    <cellStyle name="40% - Accent4 2" xfId="48"/>
    <cellStyle name="40% - Accent4 3" xfId="49"/>
    <cellStyle name="40% - Accent4 3 2" xfId="50"/>
    <cellStyle name="40% - Accent4 4" xfId="51"/>
    <cellStyle name="40% - Accent5 2" xfId="52"/>
    <cellStyle name="40% - Accent5 3" xfId="53"/>
    <cellStyle name="40% - Accent5 3 2" xfId="54"/>
    <cellStyle name="40% - Accent5 4" xfId="55"/>
    <cellStyle name="40% - Accent6 2" xfId="56"/>
    <cellStyle name="40% - Accent6 3" xfId="57"/>
    <cellStyle name="40% - Accent6 3 2" xfId="58"/>
    <cellStyle name="40% - Accent6 4" xfId="59"/>
    <cellStyle name="40% - アクセント 1 2" xfId="60"/>
    <cellStyle name="40% - アクセント 2 2" xfId="61"/>
    <cellStyle name="40% - アクセント 3 2" xfId="62"/>
    <cellStyle name="40% - アクセント 4 2" xfId="63"/>
    <cellStyle name="40% - アクセント 5 2" xfId="64"/>
    <cellStyle name="40% - アクセント 6 2" xfId="65"/>
    <cellStyle name="60% - Accent1 2" xfId="66"/>
    <cellStyle name="60% - Accent1 3" xfId="67"/>
    <cellStyle name="60% - Accent1 3 2" xfId="68"/>
    <cellStyle name="60% - Accent1 4" xfId="69"/>
    <cellStyle name="60% - Accent2 2" xfId="70"/>
    <cellStyle name="60% - Accent2 3" xfId="71"/>
    <cellStyle name="60% - Accent2 3 2" xfId="72"/>
    <cellStyle name="60% - Accent2 4" xfId="73"/>
    <cellStyle name="60% - Accent3 2" xfId="74"/>
    <cellStyle name="60% - Accent3 3" xfId="75"/>
    <cellStyle name="60% - Accent3 3 2" xfId="76"/>
    <cellStyle name="60% - Accent3 4" xfId="77"/>
    <cellStyle name="60% - Accent4 2" xfId="78"/>
    <cellStyle name="60% - Accent4 3" xfId="79"/>
    <cellStyle name="60% - Accent4 3 2" xfId="80"/>
    <cellStyle name="60% - Accent4 4" xfId="81"/>
    <cellStyle name="60% - Accent5 2" xfId="82"/>
    <cellStyle name="60% - Accent5 3" xfId="83"/>
    <cellStyle name="60% - Accent5 3 2" xfId="84"/>
    <cellStyle name="60% - Accent5 4" xfId="85"/>
    <cellStyle name="60% - Accent6 2" xfId="86"/>
    <cellStyle name="60% - Accent6 3" xfId="87"/>
    <cellStyle name="60% - Accent6 3 2" xfId="88"/>
    <cellStyle name="60% - Accent6 4" xfId="89"/>
    <cellStyle name="60% - アクセント 1 2" xfId="90"/>
    <cellStyle name="60% - アクセント 1 2 2" xfId="91"/>
    <cellStyle name="60% - アクセント 1 3" xfId="92"/>
    <cellStyle name="60% - アクセント 2 2" xfId="93"/>
    <cellStyle name="60% - アクセント 2 2 2" xfId="94"/>
    <cellStyle name="60% - アクセント 2 3" xfId="95"/>
    <cellStyle name="60% - アクセント 3 2" xfId="96"/>
    <cellStyle name="60% - アクセント 3 2 2" xfId="97"/>
    <cellStyle name="60% - アクセント 3 3" xfId="98"/>
    <cellStyle name="60% - アクセント 4 2" xfId="99"/>
    <cellStyle name="60% - アクセント 4 2 2" xfId="100"/>
    <cellStyle name="60% - アクセント 4 3" xfId="101"/>
    <cellStyle name="60% - アクセント 5 2" xfId="102"/>
    <cellStyle name="60% - アクセント 5 2 2" xfId="103"/>
    <cellStyle name="60% - アクセント 5 3" xfId="104"/>
    <cellStyle name="60% - アクセント 6 2" xfId="105"/>
    <cellStyle name="60% - アクセント 6 2 2" xfId="106"/>
    <cellStyle name="60% - アクセント 6 3" xfId="107"/>
    <cellStyle name="Accent1 2" xfId="108"/>
    <cellStyle name="Accent1 3" xfId="109"/>
    <cellStyle name="Accent1 3 2" xfId="110"/>
    <cellStyle name="Accent1 4" xfId="111"/>
    <cellStyle name="Accent2 2" xfId="112"/>
    <cellStyle name="Accent2 3" xfId="113"/>
    <cellStyle name="Accent2 3 2" xfId="114"/>
    <cellStyle name="Accent2 4" xfId="115"/>
    <cellStyle name="Accent3 2" xfId="116"/>
    <cellStyle name="Accent3 3" xfId="117"/>
    <cellStyle name="Accent3 3 2" xfId="118"/>
    <cellStyle name="Accent3 4" xfId="119"/>
    <cellStyle name="Accent4 2" xfId="120"/>
    <cellStyle name="Accent4 3" xfId="121"/>
    <cellStyle name="Accent4 3 2" xfId="122"/>
    <cellStyle name="Accent4 4" xfId="123"/>
    <cellStyle name="Accent5 2" xfId="124"/>
    <cellStyle name="Accent5 3" xfId="125"/>
    <cellStyle name="Accent5 3 2" xfId="126"/>
    <cellStyle name="Accent5 4" xfId="127"/>
    <cellStyle name="Accent6 2" xfId="128"/>
    <cellStyle name="Accent6 3" xfId="129"/>
    <cellStyle name="Accent6 3 2" xfId="130"/>
    <cellStyle name="Accent6 4" xfId="131"/>
    <cellStyle name="Bad 2" xfId="132"/>
    <cellStyle name="Bad 3" xfId="133"/>
    <cellStyle name="Bad 3 2" xfId="134"/>
    <cellStyle name="Bad 4" xfId="135"/>
    <cellStyle name="Calc Currency (0)" xfId="136"/>
    <cellStyle name="Calc Currency (0?" xfId="137"/>
    <cellStyle name="Calculation 2" xfId="138"/>
    <cellStyle name="Calculation 3" xfId="139"/>
    <cellStyle name="Calculation 3 2" xfId="140"/>
    <cellStyle name="Calculation 4" xfId="141"/>
    <cellStyle name="Check Cell 2" xfId="142"/>
    <cellStyle name="Check Cell 3" xfId="143"/>
    <cellStyle name="Check Cell 3 2" xfId="144"/>
    <cellStyle name="Check Cell 4" xfId="145"/>
    <cellStyle name="Comma [0] 2" xfId="146"/>
    <cellStyle name="Comma [0] 2 2" xfId="147"/>
    <cellStyle name="Comma [0] 2 2 2" xfId="148"/>
    <cellStyle name="Comma [0] 2 2 3" xfId="149"/>
    <cellStyle name="Comma [0] 2 3" xfId="150"/>
    <cellStyle name="Comma [0] 2 4" xfId="151"/>
    <cellStyle name="Comma [0] 2 5" xfId="152"/>
    <cellStyle name="Comma [0] 3" xfId="153"/>
    <cellStyle name="Comma [0] 3 2" xfId="154"/>
    <cellStyle name="Comma [0] 3 2 2" xfId="155"/>
    <cellStyle name="Comma [0] 3 2 3" xfId="156"/>
    <cellStyle name="Comma [0] 3 3" xfId="157"/>
    <cellStyle name="Comma [0] 3 3 2" xfId="158"/>
    <cellStyle name="Comma [0] 3 3 3" xfId="159"/>
    <cellStyle name="Comma [0] 3 4" xfId="160"/>
    <cellStyle name="Comma [0] 4" xfId="161"/>
    <cellStyle name="Comma [0] 4 2" xfId="162"/>
    <cellStyle name="Comma [0] 4 2 2" xfId="163"/>
    <cellStyle name="Comma [0] 4 2 3" xfId="164"/>
    <cellStyle name="Comma [0] 4 3" xfId="165"/>
    <cellStyle name="Comma [0] 4 4" xfId="166"/>
    <cellStyle name="Comma [0] 4 5" xfId="167"/>
    <cellStyle name="Comma [0] 5" xfId="168"/>
    <cellStyle name="Comma [0] 5 2" xfId="3"/>
    <cellStyle name="Comma [0] 5 3" xfId="169"/>
    <cellStyle name="Comma [0] 5 4" xfId="170"/>
    <cellStyle name="Comma [0] 5 5" xfId="171"/>
    <cellStyle name="Comma [0] 6" xfId="172"/>
    <cellStyle name="Comma [0] 6 2" xfId="173"/>
    <cellStyle name="Comma [0] 6 3" xfId="174"/>
    <cellStyle name="Comma [0] 7" xfId="175"/>
    <cellStyle name="Comma [0] 8" xfId="176"/>
    <cellStyle name="Comma 10" xfId="177"/>
    <cellStyle name="Comma 11" xfId="178"/>
    <cellStyle name="Comma 12" xfId="179"/>
    <cellStyle name="Comma 13" xfId="180"/>
    <cellStyle name="Comma 14" xfId="181"/>
    <cellStyle name="Comma 15" xfId="182"/>
    <cellStyle name="Comma 16" xfId="183"/>
    <cellStyle name="Comma 17" xfId="184"/>
    <cellStyle name="Comma 18" xfId="185"/>
    <cellStyle name="Comma 2" xfId="186"/>
    <cellStyle name="Comma 3" xfId="187"/>
    <cellStyle name="Comma 4" xfId="188"/>
    <cellStyle name="Comma 4 2" xfId="189"/>
    <cellStyle name="Comma 5" xfId="190"/>
    <cellStyle name="Comma 5 2" xfId="191"/>
    <cellStyle name="Comma 6" xfId="192"/>
    <cellStyle name="Comma 6 2" xfId="193"/>
    <cellStyle name="Comma 7" xfId="194"/>
    <cellStyle name="Comma 8" xfId="195"/>
    <cellStyle name="Comma 9" xfId="196"/>
    <cellStyle name="dialog" xfId="197"/>
    <cellStyle name="Explanatory Text 2" xfId="198"/>
    <cellStyle name="Explanatory Text 3" xfId="199"/>
    <cellStyle name="Explanatory Text 3 2" xfId="200"/>
    <cellStyle name="Explanatory Text 4" xfId="201"/>
    <cellStyle name="Good 2" xfId="202"/>
    <cellStyle name="Good 3" xfId="203"/>
    <cellStyle name="Good 3 2" xfId="204"/>
    <cellStyle name="Good 4" xfId="205"/>
    <cellStyle name="Grey" xfId="206"/>
    <cellStyle name="Header1" xfId="207"/>
    <cellStyle name="Header2" xfId="208"/>
    <cellStyle name="Heading 1 2" xfId="209"/>
    <cellStyle name="Heading 1 3" xfId="210"/>
    <cellStyle name="Heading 1 3 2" xfId="211"/>
    <cellStyle name="Heading 1 4" xfId="212"/>
    <cellStyle name="Heading 2 2" xfId="213"/>
    <cellStyle name="Heading 2 3" xfId="214"/>
    <cellStyle name="Heading 2 3 2" xfId="215"/>
    <cellStyle name="Heading 2 4" xfId="216"/>
    <cellStyle name="Heading 3 2" xfId="217"/>
    <cellStyle name="Heading 3 3" xfId="218"/>
    <cellStyle name="Heading 3 3 2" xfId="219"/>
    <cellStyle name="Heading 3 4" xfId="220"/>
    <cellStyle name="Heading 4 2" xfId="221"/>
    <cellStyle name="Heading 4 3" xfId="222"/>
    <cellStyle name="Heading 4 3 2" xfId="223"/>
    <cellStyle name="Heading 4 4" xfId="224"/>
    <cellStyle name="Input [yellow]" xfId="225"/>
    <cellStyle name="Input 2" xfId="226"/>
    <cellStyle name="Input 3" xfId="227"/>
    <cellStyle name="Input 3 2" xfId="228"/>
    <cellStyle name="Input 4" xfId="229"/>
    <cellStyle name="Input 4 2" xfId="230"/>
    <cellStyle name="KWE標準" xfId="231"/>
    <cellStyle name="Linked Cell 2" xfId="232"/>
    <cellStyle name="Linked Cell 3" xfId="233"/>
    <cellStyle name="Linked Cell 3 2" xfId="234"/>
    <cellStyle name="Linked Cell 4" xfId="235"/>
    <cellStyle name="Neutral 2" xfId="236"/>
    <cellStyle name="Neutral 3" xfId="237"/>
    <cellStyle name="Neutral 3 2" xfId="238"/>
    <cellStyle name="Neutral 4" xfId="239"/>
    <cellStyle name="no dec" xfId="240"/>
    <cellStyle name="no dec 2" xfId="241"/>
    <cellStyle name="no dec 2 2" xfId="242"/>
    <cellStyle name="no dec 3" xfId="243"/>
    <cellStyle name="no dec 4" xfId="244"/>
    <cellStyle name="Normal" xfId="0" builtinId="0"/>
    <cellStyle name="Normal - Style1" xfId="245"/>
    <cellStyle name="Normal - スタイル1" xfId="246"/>
    <cellStyle name="Normal - スタイル2" xfId="247"/>
    <cellStyle name="Normal - スタイル3" xfId="248"/>
    <cellStyle name="Normal - スタイル4" xfId="249"/>
    <cellStyle name="Normal - スタイル5" xfId="250"/>
    <cellStyle name="Normal - スタイル6" xfId="251"/>
    <cellStyle name="Normal - スタイル7" xfId="252"/>
    <cellStyle name="Normal - スタイル8" xfId="253"/>
    <cellStyle name="Normal 10" xfId="254"/>
    <cellStyle name="Normal 11" xfId="255"/>
    <cellStyle name="Normal 11 2" xfId="256"/>
    <cellStyle name="Normal 12" xfId="257"/>
    <cellStyle name="Normal 13" xfId="258"/>
    <cellStyle name="Normal 14" xfId="259"/>
    <cellStyle name="Normal 15" xfId="260"/>
    <cellStyle name="Normal 16" xfId="261"/>
    <cellStyle name="Normal 17" xfId="262"/>
    <cellStyle name="Normal 18" xfId="263"/>
    <cellStyle name="Normal 19" xfId="264"/>
    <cellStyle name="Normal 2" xfId="1"/>
    <cellStyle name="Normal 2 2" xfId="265"/>
    <cellStyle name="Normal 2 2 2" xfId="266"/>
    <cellStyle name="Normal 2 2 3" xfId="267"/>
    <cellStyle name="Normal 2 2 3 2" xfId="444"/>
    <cellStyle name="Normal 2 3" xfId="268"/>
    <cellStyle name="Normal 2 4" xfId="269"/>
    <cellStyle name="Normal 2 5" xfId="270"/>
    <cellStyle name="Normal 2 6" xfId="271"/>
    <cellStyle name="Normal 2_Jan-March.2012" xfId="272"/>
    <cellStyle name="Normal 20" xfId="273"/>
    <cellStyle name="Normal 21" xfId="274"/>
    <cellStyle name="Normal 22" xfId="275"/>
    <cellStyle name="Normal 23" xfId="276"/>
    <cellStyle name="Normal 24" xfId="277"/>
    <cellStyle name="Normal 25" xfId="278"/>
    <cellStyle name="Normal 26" xfId="279"/>
    <cellStyle name="Normal 27" xfId="280"/>
    <cellStyle name="Normal 28" xfId="281"/>
    <cellStyle name="Normal 29" xfId="282"/>
    <cellStyle name="Normal 3" xfId="283"/>
    <cellStyle name="Normal 3 2" xfId="284"/>
    <cellStyle name="Normal 3 2 2" xfId="5"/>
    <cellStyle name="Normal 3 3" xfId="285"/>
    <cellStyle name="Normal 3 4" xfId="2"/>
    <cellStyle name="Normal 3 4 2" xfId="4"/>
    <cellStyle name="Normal 3_Jan-March.2012" xfId="286"/>
    <cellStyle name="Normal 30" xfId="287"/>
    <cellStyle name="Normal 31" xfId="288"/>
    <cellStyle name="Normal 4" xfId="289"/>
    <cellStyle name="Normal 4 2" xfId="290"/>
    <cellStyle name="Normal 4 2 2" xfId="291"/>
    <cellStyle name="Normal 4 3" xfId="292"/>
    <cellStyle name="Normal 4 4" xfId="293"/>
    <cellStyle name="Normal 4_Jan-March.2012" xfId="294"/>
    <cellStyle name="Normal 5" xfId="295"/>
    <cellStyle name="Normal 5 2" xfId="296"/>
    <cellStyle name="Normal 5 2 2" xfId="297"/>
    <cellStyle name="Normal 5 3" xfId="298"/>
    <cellStyle name="Normal 5 4" xfId="299"/>
    <cellStyle name="Normal 5_Jan-March.2012" xfId="300"/>
    <cellStyle name="Normal 6" xfId="301"/>
    <cellStyle name="Normal 6 2" xfId="302"/>
    <cellStyle name="Normal 6 3" xfId="303"/>
    <cellStyle name="Normal 67" xfId="304"/>
    <cellStyle name="Normal 7" xfId="305"/>
    <cellStyle name="Normal 7 2" xfId="306"/>
    <cellStyle name="Normal 7 2 4 2 3" xfId="446"/>
    <cellStyle name="Normal 7 2 4 2 3 5 3 2" xfId="447"/>
    <cellStyle name="Normal 8" xfId="307"/>
    <cellStyle name="Normal 8 2" xfId="445"/>
    <cellStyle name="Normal 9" xfId="308"/>
    <cellStyle name="Note 2" xfId="309"/>
    <cellStyle name="Note 3" xfId="310"/>
    <cellStyle name="Note 3 2" xfId="311"/>
    <cellStyle name="Note 3 3" xfId="312"/>
    <cellStyle name="Note 3 4" xfId="313"/>
    <cellStyle name="Note 4" xfId="314"/>
    <cellStyle name="Note 4 2" xfId="315"/>
    <cellStyle name="Note 4 3" xfId="316"/>
    <cellStyle name="Output 2" xfId="317"/>
    <cellStyle name="Output 3" xfId="318"/>
    <cellStyle name="Output 3 2" xfId="319"/>
    <cellStyle name="Output 4" xfId="320"/>
    <cellStyle name="Percent [2]" xfId="321"/>
    <cellStyle name="Percent 10" xfId="322"/>
    <cellStyle name="Percent 11" xfId="323"/>
    <cellStyle name="Percent 12" xfId="324"/>
    <cellStyle name="Percent 13" xfId="325"/>
    <cellStyle name="Percent 14" xfId="326"/>
    <cellStyle name="Percent 15" xfId="327"/>
    <cellStyle name="Percent 16" xfId="328"/>
    <cellStyle name="Percent 17" xfId="329"/>
    <cellStyle name="Percent 18" xfId="330"/>
    <cellStyle name="Percent 19" xfId="331"/>
    <cellStyle name="Percent 2" xfId="332"/>
    <cellStyle name="Percent 2 2" xfId="333"/>
    <cellStyle name="Percent 20" xfId="334"/>
    <cellStyle name="Percent 21" xfId="335"/>
    <cellStyle name="Percent 22" xfId="336"/>
    <cellStyle name="Percent 23" xfId="337"/>
    <cellStyle name="Percent 24" xfId="338"/>
    <cellStyle name="Percent 3" xfId="339"/>
    <cellStyle name="Percent 3 2" xfId="340"/>
    <cellStyle name="Percent 4" xfId="341"/>
    <cellStyle name="Percent 4 2" xfId="342"/>
    <cellStyle name="Percent 5" xfId="343"/>
    <cellStyle name="Percent 6" xfId="344"/>
    <cellStyle name="Percent 7" xfId="345"/>
    <cellStyle name="Percent 8" xfId="346"/>
    <cellStyle name="Percent 9" xfId="347"/>
    <cellStyle name="PSChar" xfId="348"/>
    <cellStyle name="PSHeading" xfId="349"/>
    <cellStyle name="SPOl" xfId="350"/>
    <cellStyle name="style" xfId="351"/>
    <cellStyle name="style1" xfId="352"/>
    <cellStyle name="style2" xfId="353"/>
    <cellStyle name="subhead" xfId="354"/>
    <cellStyle name="Title 2" xfId="355"/>
    <cellStyle name="Title 3" xfId="356"/>
    <cellStyle name="Title 3 2" xfId="357"/>
    <cellStyle name="Title 3 3" xfId="358"/>
    <cellStyle name="Title 4" xfId="359"/>
    <cellStyle name="Title 4 2" xfId="360"/>
    <cellStyle name="Total 2" xfId="361"/>
    <cellStyle name="Total 3" xfId="362"/>
    <cellStyle name="Total 3 2" xfId="363"/>
    <cellStyle name="Total 4" xfId="364"/>
    <cellStyle name="umeda" xfId="365"/>
    <cellStyle name="Warning Text 2" xfId="366"/>
    <cellStyle name="Warning Text 3" xfId="367"/>
    <cellStyle name="Warning Text 3 2" xfId="368"/>
    <cellStyle name="Warning Text 4" xfId="369"/>
    <cellStyle name="アクセント 1 2" xfId="370"/>
    <cellStyle name="アクセント 1 2 2" xfId="371"/>
    <cellStyle name="アクセント 1 3" xfId="372"/>
    <cellStyle name="アクセント 2 2" xfId="373"/>
    <cellStyle name="アクセント 2 2 2" xfId="374"/>
    <cellStyle name="アクセント 2 3" xfId="375"/>
    <cellStyle name="アクセント 3 2" xfId="376"/>
    <cellStyle name="アクセント 3 2 2" xfId="377"/>
    <cellStyle name="アクセント 3 3" xfId="378"/>
    <cellStyle name="アクセント 4 2" xfId="379"/>
    <cellStyle name="アクセント 4 2 2" xfId="380"/>
    <cellStyle name="アクセント 4 3" xfId="381"/>
    <cellStyle name="アクセント 5 2" xfId="382"/>
    <cellStyle name="アクセント 5 2 2" xfId="383"/>
    <cellStyle name="アクセント 5 3" xfId="384"/>
    <cellStyle name="アクセント 6 2" xfId="385"/>
    <cellStyle name="アクセント 6 2 2" xfId="386"/>
    <cellStyle name="アクセント 6 3" xfId="387"/>
    <cellStyle name="タイトル 2" xfId="388"/>
    <cellStyle name="チェック セル 2" xfId="389"/>
    <cellStyle name="チェック セル 2 2" xfId="390"/>
    <cellStyle name="チェック セル 3" xfId="391"/>
    <cellStyle name="どちらでもない 2" xfId="392"/>
    <cellStyle name="パーセント 2" xfId="393"/>
    <cellStyle name="メモ 2" xfId="394"/>
    <cellStyle name="メモ 2 2" xfId="395"/>
    <cellStyle name="メモ 3" xfId="396"/>
    <cellStyle name="リンク セル 2" xfId="397"/>
    <cellStyle name="_x001d_・&amp;・・・G_x0008__x0009_X_x000a__x0007__x0001__x0001_" xfId="398"/>
    <cellStyle name="入力 2" xfId="399"/>
    <cellStyle name="出力 2" xfId="400"/>
    <cellStyle name="悪い 2" xfId="401"/>
    <cellStyle name="方眼タイプ" xfId="402"/>
    <cellStyle name="未定義" xfId="403"/>
    <cellStyle name="桁区切り 2" xfId="404"/>
    <cellStyle name="桁区切り 2 2" xfId="405"/>
    <cellStyle name="桁区切り 2 3" xfId="406"/>
    <cellStyle name="桁蟻唇Ｆ [0.00]_laroux" xfId="407"/>
    <cellStyle name="桁蟻唇Ｆ_laroux" xfId="408"/>
    <cellStyle name="標準 10" xfId="409"/>
    <cellStyle name="標準 11" xfId="410"/>
    <cellStyle name="標準 12" xfId="411"/>
    <cellStyle name="標準 2" xfId="412"/>
    <cellStyle name="標準 2 2" xfId="413"/>
    <cellStyle name="標準 2 3" xfId="414"/>
    <cellStyle name="標準 3" xfId="415"/>
    <cellStyle name="標準 3 2" xfId="416"/>
    <cellStyle name="標準 3 3" xfId="417"/>
    <cellStyle name="標準 4" xfId="418"/>
    <cellStyle name="標準 5" xfId="419"/>
    <cellStyle name="標準 5 2" xfId="420"/>
    <cellStyle name="標準 6" xfId="421"/>
    <cellStyle name="標準 6 2" xfId="422"/>
    <cellStyle name="標準 6 3" xfId="423"/>
    <cellStyle name="標準 7" xfId="424"/>
    <cellStyle name="標準 8" xfId="425"/>
    <cellStyle name="標準 9" xfId="426"/>
    <cellStyle name="浦普N標準" xfId="427"/>
    <cellStyle name="脱浦 [0.00]_laroux" xfId="428"/>
    <cellStyle name="脱浦_laroux" xfId="429"/>
    <cellStyle name="良い 2" xfId="430"/>
    <cellStyle name="見出し 1 2" xfId="431"/>
    <cellStyle name="見出し 2 2" xfId="432"/>
    <cellStyle name="見出し 3 2" xfId="433"/>
    <cellStyle name="見出し 4 2" xfId="434"/>
    <cellStyle name="見積桁区切り" xfId="435"/>
    <cellStyle name="見積-桁区切り" xfId="436"/>
    <cellStyle name="見積-通貨記号" xfId="437"/>
    <cellStyle name="計算 2" xfId="438"/>
    <cellStyle name="説明文 2" xfId="439"/>
    <cellStyle name="警告文 2" xfId="440"/>
    <cellStyle name="貨物標準" xfId="441"/>
    <cellStyle name="追加スタイル（梅田）" xfId="442"/>
    <cellStyle name="集計 2" xfId="443"/>
  </cellStyles>
  <dxfs count="13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662</xdr:row>
      <xdr:rowOff>10831</xdr:rowOff>
    </xdr:from>
    <xdr:ext cx="5683006" cy="90357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5497231"/>
          <a:ext cx="5683006" cy="903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461130</xdr:colOff>
      <xdr:row>1038</xdr:row>
      <xdr:rowOff>21166</xdr:rowOff>
    </xdr:from>
    <xdr:ext cx="6235370" cy="12496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8630" y="5090583"/>
          <a:ext cx="6235370" cy="1249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Production\Common\STR\3.Production%20Plan\1.Plan%20process%20new\01.Plan%20process\2017\07-Jul-2017\Plan%20PTCA%20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III.PRODUCTION%20PLAN/I.%20DAILY%20PLAN/5.%20STERILIZE/OTHER/UH%20GP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octl18\Desktop\China%20Aeration%20famili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III.PRODUCTION%20PLAN/IV.%20LOT%20CONTROL%20CHECK%20SHEET/5.%20STERILIZE/2026/LOT%20CAG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"/>
    </sheetNames>
    <sheetDataSet>
      <sheetData sheetId="0">
        <row r="1">
          <cell r="B1" t="str">
            <v>Item name</v>
          </cell>
          <cell r="C1"/>
          <cell r="D1" t="str">
            <v>Label</v>
          </cell>
          <cell r="E1" t="str">
            <v>seal</v>
          </cell>
          <cell r="F1"/>
          <cell r="G1" t="str">
            <v>Boxing</v>
          </cell>
        </row>
        <row r="2">
          <cell r="B2" t="str">
            <v>AG142000</v>
          </cell>
          <cell r="C2"/>
          <cell r="D2">
            <v>45</v>
          </cell>
          <cell r="E2">
            <v>117.9</v>
          </cell>
          <cell r="F2"/>
          <cell r="G2">
            <v>135.81</v>
          </cell>
        </row>
        <row r="3">
          <cell r="B3" t="str">
            <v>AG14M050</v>
          </cell>
          <cell r="C3"/>
          <cell r="D3">
            <v>21.9</v>
          </cell>
          <cell r="E3">
            <v>117.9</v>
          </cell>
          <cell r="F3"/>
          <cell r="G3">
            <v>148.4</v>
          </cell>
        </row>
        <row r="4">
          <cell r="B4" t="str">
            <v>CKV 165-14</v>
          </cell>
          <cell r="C4"/>
          <cell r="D4">
            <v>44.4</v>
          </cell>
          <cell r="E4">
            <v>140.9</v>
          </cell>
          <cell r="F4"/>
          <cell r="G4">
            <v>174</v>
          </cell>
        </row>
        <row r="5">
          <cell r="B5" t="str">
            <v>AHW14R001S APG</v>
          </cell>
          <cell r="C5"/>
          <cell r="D5">
            <v>21.9</v>
          </cell>
          <cell r="E5">
            <v>117.9</v>
          </cell>
          <cell r="F5"/>
          <cell r="G5">
            <v>135.81</v>
          </cell>
        </row>
        <row r="6">
          <cell r="B6" t="str">
            <v>AGH146300 APG</v>
          </cell>
          <cell r="C6"/>
          <cell r="D6">
            <v>21.9</v>
          </cell>
          <cell r="E6">
            <v>135</v>
          </cell>
          <cell r="F6"/>
          <cell r="G6">
            <v>135.81</v>
          </cell>
        </row>
        <row r="7">
          <cell r="B7" t="str">
            <v>AG145300 APG</v>
          </cell>
          <cell r="C7"/>
          <cell r="D7">
            <v>21.9</v>
          </cell>
          <cell r="E7">
            <v>135</v>
          </cell>
          <cell r="F7"/>
          <cell r="G7">
            <v>135.81</v>
          </cell>
        </row>
        <row r="8">
          <cell r="B8" t="str">
            <v>PAGH143092 AP</v>
          </cell>
          <cell r="C8"/>
          <cell r="D8">
            <v>21.9</v>
          </cell>
          <cell r="E8">
            <v>141</v>
          </cell>
          <cell r="F8"/>
          <cell r="G8">
            <v>158.5</v>
          </cell>
        </row>
        <row r="9">
          <cell r="B9" t="str">
            <v>STM180-18 S</v>
          </cell>
          <cell r="C9"/>
          <cell r="D9">
            <v>43</v>
          </cell>
          <cell r="E9">
            <v>166.9</v>
          </cell>
          <cell r="F9"/>
          <cell r="G9">
            <v>145.30000000000001</v>
          </cell>
        </row>
        <row r="10">
          <cell r="B10" t="str">
            <v>DHN18-01PS</v>
          </cell>
          <cell r="C10"/>
          <cell r="D10">
            <v>21.9</v>
          </cell>
          <cell r="E10">
            <v>91.6</v>
          </cell>
          <cell r="F10"/>
          <cell r="G10">
            <v>135.81</v>
          </cell>
        </row>
        <row r="11">
          <cell r="B11" t="str">
            <v>PAGH18M071 AP</v>
          </cell>
          <cell r="C11"/>
          <cell r="D11">
            <v>21.9</v>
          </cell>
          <cell r="E11">
            <v>117.9</v>
          </cell>
          <cell r="F11"/>
          <cell r="G11">
            <v>158.5</v>
          </cell>
        </row>
        <row r="12">
          <cell r="B12" t="str">
            <v>AG141302 J OS CE</v>
          </cell>
          <cell r="C12"/>
          <cell r="D12">
            <v>21.9</v>
          </cell>
          <cell r="E12">
            <v>91.6</v>
          </cell>
          <cell r="F12"/>
          <cell r="G12">
            <v>42.7</v>
          </cell>
        </row>
        <row r="13">
          <cell r="B13" t="str">
            <v>LOG135-18N</v>
          </cell>
          <cell r="C13"/>
          <cell r="D13">
            <v>72</v>
          </cell>
          <cell r="E13">
            <v>240</v>
          </cell>
          <cell r="F13"/>
          <cell r="G13">
            <v>168</v>
          </cell>
        </row>
        <row r="14">
          <cell r="B14" t="str">
            <v>LOG150-18N</v>
          </cell>
          <cell r="C14"/>
          <cell r="D14">
            <v>43</v>
          </cell>
          <cell r="E14">
            <v>166.9</v>
          </cell>
          <cell r="F14"/>
          <cell r="G14">
            <v>136</v>
          </cell>
        </row>
        <row r="15">
          <cell r="B15" t="str">
            <v>LOG165-18 NA</v>
          </cell>
          <cell r="C15"/>
          <cell r="D15">
            <v>43</v>
          </cell>
          <cell r="E15">
            <v>166.9</v>
          </cell>
          <cell r="F15"/>
          <cell r="G15">
            <v>136</v>
          </cell>
        </row>
        <row r="16">
          <cell r="B16" t="str">
            <v>AHW14S303S APG</v>
          </cell>
          <cell r="C16"/>
          <cell r="D16">
            <v>21.9</v>
          </cell>
          <cell r="E16">
            <v>91.6</v>
          </cell>
          <cell r="F16"/>
          <cell r="G16">
            <v>135.81</v>
          </cell>
        </row>
        <row r="17">
          <cell r="B17" t="str">
            <v>PAGH18M371 AP</v>
          </cell>
          <cell r="C17"/>
          <cell r="D17">
            <v>21.9</v>
          </cell>
          <cell r="E17">
            <v>91.6</v>
          </cell>
          <cell r="F17"/>
          <cell r="G17">
            <v>135.81</v>
          </cell>
        </row>
        <row r="18">
          <cell r="B18" t="str">
            <v>AGP140000J APG</v>
          </cell>
          <cell r="C18"/>
          <cell r="D18">
            <v>21.9</v>
          </cell>
          <cell r="E18">
            <v>117.9</v>
          </cell>
          <cell r="F18"/>
          <cell r="G18">
            <v>135.81</v>
          </cell>
        </row>
        <row r="19">
          <cell r="B19" t="str">
            <v>AG141000J APG</v>
          </cell>
          <cell r="C19"/>
          <cell r="D19">
            <v>21.9</v>
          </cell>
          <cell r="E19">
            <v>117.9</v>
          </cell>
          <cell r="F19"/>
          <cell r="G19">
            <v>135.81</v>
          </cell>
        </row>
        <row r="20">
          <cell r="B20" t="str">
            <v>AG141000 APG</v>
          </cell>
          <cell r="C20"/>
          <cell r="D20">
            <v>21.9</v>
          </cell>
          <cell r="E20">
            <v>117.9</v>
          </cell>
          <cell r="F20"/>
          <cell r="G20">
            <v>135.81</v>
          </cell>
        </row>
        <row r="21">
          <cell r="B21" t="str">
            <v>AG143090J Q OS CE</v>
          </cell>
          <cell r="C21"/>
          <cell r="D21">
            <v>21.9</v>
          </cell>
          <cell r="E21">
            <v>91.6</v>
          </cell>
          <cell r="F21"/>
          <cell r="G21">
            <v>42.7</v>
          </cell>
        </row>
        <row r="22">
          <cell r="B22" t="str">
            <v>AG141002J APG</v>
          </cell>
          <cell r="C22"/>
          <cell r="D22">
            <v>21.9</v>
          </cell>
          <cell r="E22">
            <v>117.9</v>
          </cell>
          <cell r="F22"/>
          <cell r="G22">
            <v>135.81</v>
          </cell>
        </row>
        <row r="23">
          <cell r="B23" t="str">
            <v>AG143000J APG</v>
          </cell>
          <cell r="C23"/>
          <cell r="D23">
            <v>21.9</v>
          </cell>
          <cell r="E23">
            <v>135</v>
          </cell>
          <cell r="F23"/>
          <cell r="G23">
            <v>135.81</v>
          </cell>
        </row>
        <row r="24">
          <cell r="B24" t="str">
            <v>V01-1810</v>
          </cell>
          <cell r="C24"/>
          <cell r="D24">
            <v>77.67</v>
          </cell>
          <cell r="E24">
            <v>117.9</v>
          </cell>
          <cell r="F24"/>
          <cell r="G24">
            <v>0</v>
          </cell>
        </row>
        <row r="25">
          <cell r="B25" t="str">
            <v>V01-1618</v>
          </cell>
          <cell r="C25"/>
          <cell r="D25">
            <v>77.67</v>
          </cell>
          <cell r="E25">
            <v>117.9</v>
          </cell>
          <cell r="F25"/>
          <cell r="G25">
            <v>0</v>
          </cell>
        </row>
        <row r="26">
          <cell r="B26" t="str">
            <v>AGP140000 APG</v>
          </cell>
          <cell r="C26"/>
          <cell r="D26">
            <v>21.9</v>
          </cell>
          <cell r="E26">
            <v>117.9</v>
          </cell>
          <cell r="F26"/>
          <cell r="G26">
            <v>135.81</v>
          </cell>
        </row>
        <row r="27">
          <cell r="B27" t="str">
            <v>HS8614H REEDITION 2</v>
          </cell>
          <cell r="C27"/>
          <cell r="D27">
            <v>77.67</v>
          </cell>
          <cell r="E27">
            <v>117.9</v>
          </cell>
          <cell r="F27"/>
          <cell r="G27">
            <v>0</v>
          </cell>
        </row>
        <row r="28">
          <cell r="B28" t="str">
            <v>HS8616H REEDITION 2</v>
          </cell>
          <cell r="C28"/>
          <cell r="D28">
            <v>77.67</v>
          </cell>
          <cell r="E28">
            <v>117.9</v>
          </cell>
          <cell r="F28"/>
          <cell r="G28">
            <v>0</v>
          </cell>
        </row>
        <row r="29">
          <cell r="B29" t="str">
            <v>WAIN-CKI-008-200</v>
          </cell>
          <cell r="C29"/>
          <cell r="D29">
            <v>43</v>
          </cell>
          <cell r="E29">
            <v>162.4</v>
          </cell>
          <cell r="F29"/>
          <cell r="G29">
            <v>136</v>
          </cell>
        </row>
        <row r="30">
          <cell r="B30" t="str">
            <v>AHW10S302S OS CE</v>
          </cell>
          <cell r="C30"/>
          <cell r="D30">
            <v>21.9</v>
          </cell>
          <cell r="E30">
            <v>102.2</v>
          </cell>
          <cell r="F30"/>
          <cell r="G30">
            <v>42.7</v>
          </cell>
        </row>
        <row r="31">
          <cell r="B31" t="str">
            <v>AGH143090 APG</v>
          </cell>
          <cell r="C31"/>
          <cell r="D31">
            <v>21.9</v>
          </cell>
          <cell r="E31">
            <v>141</v>
          </cell>
          <cell r="F31"/>
          <cell r="G31">
            <v>135.81</v>
          </cell>
        </row>
        <row r="32">
          <cell r="B32" t="str">
            <v>AG14M350J OS CE</v>
          </cell>
          <cell r="C32"/>
          <cell r="D32">
            <v>21.9</v>
          </cell>
          <cell r="E32">
            <v>91.6</v>
          </cell>
          <cell r="F32"/>
          <cell r="G32">
            <v>42.7</v>
          </cell>
        </row>
        <row r="33">
          <cell r="B33" t="str">
            <v>AG14M345J OS CE</v>
          </cell>
          <cell r="C33"/>
          <cell r="D33">
            <v>21.9</v>
          </cell>
          <cell r="E33">
            <v>91.6</v>
          </cell>
          <cell r="F33"/>
          <cell r="G33">
            <v>42.7</v>
          </cell>
        </row>
        <row r="34">
          <cell r="B34" t="str">
            <v>AG14M070J OS CE</v>
          </cell>
          <cell r="C34"/>
          <cell r="D34">
            <v>21.9</v>
          </cell>
          <cell r="E34">
            <v>117.9</v>
          </cell>
          <cell r="F34"/>
          <cell r="G34">
            <v>42.7</v>
          </cell>
        </row>
        <row r="35">
          <cell r="B35" t="str">
            <v>AG14M060J OS CE</v>
          </cell>
          <cell r="C35"/>
          <cell r="D35">
            <v>21.9</v>
          </cell>
          <cell r="E35">
            <v>117.9</v>
          </cell>
          <cell r="F35"/>
          <cell r="G35">
            <v>42.7</v>
          </cell>
        </row>
        <row r="36">
          <cell r="B36" t="str">
            <v>AG14M360J OS CE</v>
          </cell>
          <cell r="C36"/>
          <cell r="D36">
            <v>21.9</v>
          </cell>
          <cell r="E36">
            <v>91.6</v>
          </cell>
          <cell r="F36"/>
          <cell r="G36">
            <v>42.7</v>
          </cell>
        </row>
        <row r="37">
          <cell r="B37" t="str">
            <v>AG14M045J OS CE</v>
          </cell>
          <cell r="C37"/>
          <cell r="D37">
            <v>21.9</v>
          </cell>
          <cell r="E37">
            <v>117.9</v>
          </cell>
          <cell r="F37"/>
          <cell r="G37">
            <v>42.7</v>
          </cell>
        </row>
        <row r="38">
          <cell r="B38" t="str">
            <v>AGP140001 AGP</v>
          </cell>
          <cell r="C38"/>
          <cell r="D38">
            <v>21.9</v>
          </cell>
          <cell r="E38">
            <v>117.9</v>
          </cell>
          <cell r="F38"/>
          <cell r="G38">
            <v>148.4</v>
          </cell>
        </row>
        <row r="39">
          <cell r="B39" t="str">
            <v>APW14R005S OSCE</v>
          </cell>
          <cell r="C39"/>
          <cell r="D39">
            <v>21.9</v>
          </cell>
          <cell r="E39">
            <v>91.6</v>
          </cell>
          <cell r="F39"/>
          <cell r="G39">
            <v>158.5</v>
          </cell>
        </row>
        <row r="40">
          <cell r="B40" t="str">
            <v>AGP140001 ABBOTT</v>
          </cell>
          <cell r="C40"/>
          <cell r="D40">
            <v>21.9</v>
          </cell>
          <cell r="E40">
            <v>135</v>
          </cell>
          <cell r="F40"/>
          <cell r="G40">
            <v>148.4</v>
          </cell>
        </row>
        <row r="41">
          <cell r="B41" t="str">
            <v>AH10S315S</v>
          </cell>
          <cell r="C41"/>
          <cell r="D41">
            <v>21.9</v>
          </cell>
          <cell r="E41">
            <v>135</v>
          </cell>
          <cell r="F41"/>
          <cell r="G41">
            <v>158.5</v>
          </cell>
        </row>
        <row r="42">
          <cell r="B42" t="str">
            <v>DMN18-03 HS</v>
          </cell>
          <cell r="C42"/>
          <cell r="D42">
            <v>45</v>
          </cell>
          <cell r="E42">
            <v>135</v>
          </cell>
          <cell r="F42"/>
          <cell r="G42">
            <v>135.81</v>
          </cell>
        </row>
        <row r="43">
          <cell r="B43" t="str">
            <v>AG14M045 APG</v>
          </cell>
          <cell r="C43"/>
          <cell r="D43">
            <v>45</v>
          </cell>
          <cell r="E43">
            <v>117.9</v>
          </cell>
          <cell r="F43">
            <v>20</v>
          </cell>
          <cell r="G43">
            <v>135.81</v>
          </cell>
        </row>
        <row r="44">
          <cell r="B44" t="str">
            <v>PAGH18M070</v>
          </cell>
          <cell r="C44"/>
          <cell r="D44">
            <v>45</v>
          </cell>
          <cell r="E44">
            <v>117.9</v>
          </cell>
          <cell r="F44">
            <v>22</v>
          </cell>
          <cell r="G44">
            <v>135.81</v>
          </cell>
        </row>
        <row r="45">
          <cell r="B45" t="str">
            <v>PAG14M070</v>
          </cell>
          <cell r="C45"/>
          <cell r="D45">
            <v>45</v>
          </cell>
          <cell r="E45">
            <v>117.9</v>
          </cell>
          <cell r="F45">
            <v>22</v>
          </cell>
          <cell r="G45">
            <v>135.81</v>
          </cell>
        </row>
        <row r="46">
          <cell r="B46" t="str">
            <v>PAG149001</v>
          </cell>
          <cell r="C46"/>
          <cell r="D46">
            <v>45</v>
          </cell>
          <cell r="E46">
            <v>117.9</v>
          </cell>
          <cell r="F46">
            <v>22</v>
          </cell>
          <cell r="G46">
            <v>135.81</v>
          </cell>
        </row>
        <row r="47">
          <cell r="B47" t="str">
            <v>PAGH146300</v>
          </cell>
          <cell r="C47"/>
          <cell r="D47">
            <v>45</v>
          </cell>
          <cell r="E47">
            <v>135</v>
          </cell>
          <cell r="F47">
            <v>22</v>
          </cell>
          <cell r="G47">
            <v>135.81</v>
          </cell>
        </row>
        <row r="48">
          <cell r="B48" t="str">
            <v>PAGH143091</v>
          </cell>
          <cell r="C48"/>
          <cell r="D48">
            <v>45</v>
          </cell>
          <cell r="E48">
            <v>141</v>
          </cell>
          <cell r="F48">
            <v>22</v>
          </cell>
          <cell r="G48">
            <v>135.81</v>
          </cell>
        </row>
        <row r="49">
          <cell r="B49" t="str">
            <v>PAGH143094</v>
          </cell>
          <cell r="C49"/>
          <cell r="D49">
            <v>45</v>
          </cell>
          <cell r="E49">
            <v>141</v>
          </cell>
          <cell r="F49">
            <v>22</v>
          </cell>
          <cell r="G49">
            <v>135.81</v>
          </cell>
        </row>
        <row r="50">
          <cell r="B50" t="str">
            <v>PAGP140000</v>
          </cell>
          <cell r="C50"/>
          <cell r="D50">
            <v>45</v>
          </cell>
          <cell r="E50">
            <v>117.9</v>
          </cell>
          <cell r="F50">
            <v>22</v>
          </cell>
          <cell r="G50">
            <v>135.81</v>
          </cell>
        </row>
        <row r="51">
          <cell r="B51" t="str">
            <v>PAG141302</v>
          </cell>
          <cell r="C51"/>
          <cell r="D51">
            <v>45</v>
          </cell>
          <cell r="E51">
            <v>135</v>
          </cell>
          <cell r="F51">
            <v>22</v>
          </cell>
          <cell r="G51">
            <v>135.81</v>
          </cell>
        </row>
        <row r="52">
          <cell r="B52" t="str">
            <v>PAGH146000</v>
          </cell>
          <cell r="C52"/>
          <cell r="D52">
            <v>45</v>
          </cell>
          <cell r="E52">
            <v>117.9</v>
          </cell>
          <cell r="F52">
            <v>22</v>
          </cell>
          <cell r="G52">
            <v>135.81</v>
          </cell>
        </row>
        <row r="53">
          <cell r="B53" t="str">
            <v>WAIN-CKI-10-200 US</v>
          </cell>
          <cell r="C53"/>
          <cell r="D53">
            <v>44.4</v>
          </cell>
          <cell r="E53">
            <v>140.9</v>
          </cell>
          <cell r="F53">
            <v>22</v>
          </cell>
          <cell r="G53">
            <v>147.4</v>
          </cell>
        </row>
        <row r="54">
          <cell r="B54" t="str">
            <v>PAGH18M072</v>
          </cell>
          <cell r="C54"/>
          <cell r="D54">
            <v>45</v>
          </cell>
          <cell r="E54">
            <v>117.9</v>
          </cell>
          <cell r="F54">
            <v>22</v>
          </cell>
          <cell r="G54">
            <v>135.81</v>
          </cell>
        </row>
        <row r="55">
          <cell r="B55" t="str">
            <v>WAIN-CKI-10-300 US</v>
          </cell>
          <cell r="C55"/>
          <cell r="D55">
            <v>72</v>
          </cell>
          <cell r="E55">
            <v>219.4</v>
          </cell>
          <cell r="F55">
            <v>22</v>
          </cell>
          <cell r="G55">
            <v>168</v>
          </cell>
        </row>
        <row r="56">
          <cell r="B56" t="str">
            <v>AGH143092 Q OS NO CE</v>
          </cell>
          <cell r="C56"/>
          <cell r="D56">
            <v>45</v>
          </cell>
          <cell r="E56">
            <v>117.9</v>
          </cell>
          <cell r="F56">
            <v>22</v>
          </cell>
          <cell r="G56">
            <v>135.81</v>
          </cell>
        </row>
        <row r="57">
          <cell r="B57" t="str">
            <v>WAIN-CKI-300-BA</v>
          </cell>
          <cell r="C57"/>
          <cell r="D57">
            <v>43</v>
          </cell>
          <cell r="E57">
            <v>201.4</v>
          </cell>
          <cell r="F57">
            <v>22</v>
          </cell>
          <cell r="G57">
            <v>136</v>
          </cell>
        </row>
        <row r="58">
          <cell r="B58" t="str">
            <v>AG141010 OS NO CE</v>
          </cell>
          <cell r="C58"/>
          <cell r="D58">
            <v>45</v>
          </cell>
          <cell r="E58">
            <v>117.9</v>
          </cell>
          <cell r="F58">
            <v>22</v>
          </cell>
          <cell r="G58">
            <v>135.81</v>
          </cell>
        </row>
        <row r="59">
          <cell r="B59" t="str">
            <v>AG149000 OS CE</v>
          </cell>
          <cell r="C59"/>
          <cell r="D59">
            <v>45</v>
          </cell>
          <cell r="E59">
            <v>117.9</v>
          </cell>
          <cell r="F59">
            <v>22</v>
          </cell>
          <cell r="G59">
            <v>60</v>
          </cell>
        </row>
        <row r="60">
          <cell r="B60" t="str">
            <v>WAIN-CKI-10-200 CE 2</v>
          </cell>
          <cell r="C60"/>
          <cell r="D60">
            <v>44.4</v>
          </cell>
          <cell r="E60">
            <v>201.4</v>
          </cell>
          <cell r="F60">
            <v>22</v>
          </cell>
          <cell r="G60">
            <v>147.4</v>
          </cell>
        </row>
        <row r="61">
          <cell r="B61" t="str">
            <v>DFN18-Z8HS</v>
          </cell>
          <cell r="C61"/>
          <cell r="D61">
            <v>21.9</v>
          </cell>
          <cell r="E61">
            <v>117.9</v>
          </cell>
          <cell r="F61">
            <v>22</v>
          </cell>
          <cell r="G61">
            <v>158.5</v>
          </cell>
        </row>
        <row r="62">
          <cell r="B62" t="str">
            <v>PAGH18M071</v>
          </cell>
          <cell r="C62"/>
          <cell r="D62">
            <v>21.9</v>
          </cell>
          <cell r="E62">
            <v>117.9</v>
          </cell>
          <cell r="F62">
            <v>22</v>
          </cell>
          <cell r="G62">
            <v>158.5</v>
          </cell>
        </row>
        <row r="63">
          <cell r="B63" t="str">
            <v>PAGH18M372</v>
          </cell>
          <cell r="C63"/>
          <cell r="D63">
            <v>45</v>
          </cell>
          <cell r="E63">
            <v>141</v>
          </cell>
          <cell r="F63">
            <v>22</v>
          </cell>
          <cell r="G63">
            <v>135.81</v>
          </cell>
        </row>
        <row r="64">
          <cell r="B64" t="str">
            <v>AHW14R304S OS CE</v>
          </cell>
          <cell r="C64"/>
          <cell r="D64">
            <v>21.9</v>
          </cell>
          <cell r="E64">
            <v>102.2</v>
          </cell>
          <cell r="F64">
            <v>22</v>
          </cell>
          <cell r="G64">
            <v>42.7</v>
          </cell>
        </row>
        <row r="65">
          <cell r="B65" t="str">
            <v>AHW14R004J OS CE</v>
          </cell>
          <cell r="C65"/>
          <cell r="D65">
            <v>21.9</v>
          </cell>
          <cell r="E65">
            <v>117.9</v>
          </cell>
          <cell r="F65">
            <v>22</v>
          </cell>
          <cell r="G65">
            <v>42.7</v>
          </cell>
        </row>
        <row r="66">
          <cell r="B66" t="str">
            <v>AHW14R304J OS CE</v>
          </cell>
          <cell r="C66"/>
          <cell r="D66">
            <v>21.9</v>
          </cell>
          <cell r="E66">
            <v>102.2</v>
          </cell>
          <cell r="F66">
            <v>22</v>
          </cell>
          <cell r="G66">
            <v>42.7</v>
          </cell>
        </row>
        <row r="67">
          <cell r="B67" t="str">
            <v>AIN-CKI-10-200 T2</v>
          </cell>
          <cell r="C67"/>
          <cell r="D67">
            <v>43</v>
          </cell>
          <cell r="E67">
            <v>162.4</v>
          </cell>
          <cell r="F67">
            <v>22</v>
          </cell>
          <cell r="G67">
            <v>136</v>
          </cell>
        </row>
        <row r="68">
          <cell r="B68" t="str">
            <v>AIN-CKI-10-200 T1</v>
          </cell>
          <cell r="C68"/>
          <cell r="D68">
            <v>44.4</v>
          </cell>
          <cell r="E68">
            <v>162.4</v>
          </cell>
          <cell r="F68">
            <v>22</v>
          </cell>
          <cell r="G68">
            <v>174</v>
          </cell>
        </row>
        <row r="69">
          <cell r="B69" t="str">
            <v>WCKV180-14 US NO CE</v>
          </cell>
          <cell r="C69"/>
          <cell r="D69">
            <v>44.4</v>
          </cell>
          <cell r="E69">
            <v>140.9</v>
          </cell>
          <cell r="F69">
            <v>22</v>
          </cell>
          <cell r="G69">
            <v>147.4</v>
          </cell>
        </row>
        <row r="70">
          <cell r="B70" t="str">
            <v>WAIN-CKI-200 US</v>
          </cell>
          <cell r="C70"/>
          <cell r="D70">
            <v>44.4</v>
          </cell>
          <cell r="E70">
            <v>140.9</v>
          </cell>
          <cell r="F70">
            <v>22</v>
          </cell>
          <cell r="G70">
            <v>147.4</v>
          </cell>
        </row>
        <row r="71">
          <cell r="B71" t="str">
            <v>WAIN-CKI-300 US</v>
          </cell>
          <cell r="C71"/>
          <cell r="D71">
            <v>44.4</v>
          </cell>
          <cell r="E71">
            <v>140.9</v>
          </cell>
          <cell r="F71">
            <v>22</v>
          </cell>
          <cell r="G71">
            <v>147.4</v>
          </cell>
        </row>
        <row r="72">
          <cell r="B72" t="str">
            <v>WCKV165-14 US NO CE</v>
          </cell>
          <cell r="C72"/>
          <cell r="D72">
            <v>44.4</v>
          </cell>
          <cell r="E72">
            <v>162.4</v>
          </cell>
          <cell r="F72">
            <v>22</v>
          </cell>
          <cell r="G72">
            <v>147.4</v>
          </cell>
        </row>
        <row r="73">
          <cell r="B73" t="str">
            <v>AHW14R004S OS CE</v>
          </cell>
          <cell r="C73"/>
          <cell r="D73">
            <v>21.9</v>
          </cell>
          <cell r="E73">
            <v>117.9</v>
          </cell>
          <cell r="F73">
            <v>22</v>
          </cell>
          <cell r="G73">
            <v>42.7</v>
          </cell>
        </row>
        <row r="74">
          <cell r="B74" t="str">
            <v>APW14R305S OS CE</v>
          </cell>
          <cell r="C74"/>
          <cell r="D74">
            <v>21.9</v>
          </cell>
          <cell r="E74">
            <v>91.6</v>
          </cell>
          <cell r="F74">
            <v>22</v>
          </cell>
          <cell r="G74">
            <v>42.7</v>
          </cell>
        </row>
        <row r="75">
          <cell r="B75" t="str">
            <v>WAIN-CKI-300-BS CE</v>
          </cell>
          <cell r="C75"/>
          <cell r="D75">
            <v>43</v>
          </cell>
          <cell r="E75">
            <v>201.4</v>
          </cell>
          <cell r="F75">
            <v>22</v>
          </cell>
          <cell r="G75">
            <v>141.4</v>
          </cell>
        </row>
        <row r="76">
          <cell r="B76" t="str">
            <v>WAIN-CKI-300-BA CE</v>
          </cell>
          <cell r="C76"/>
          <cell r="D76">
            <v>43</v>
          </cell>
          <cell r="E76">
            <v>201.4</v>
          </cell>
          <cell r="F76">
            <v>22</v>
          </cell>
          <cell r="G76">
            <v>141.4</v>
          </cell>
        </row>
        <row r="77">
          <cell r="B77" t="str">
            <v>AGH146000J R OS CE2</v>
          </cell>
          <cell r="C77"/>
          <cell r="D77">
            <v>21.9</v>
          </cell>
          <cell r="E77">
            <v>91.6</v>
          </cell>
          <cell r="F77">
            <v>22</v>
          </cell>
          <cell r="G77">
            <v>42.7</v>
          </cell>
        </row>
        <row r="78">
          <cell r="B78" t="str">
            <v>AGH146300 R OS CE2</v>
          </cell>
          <cell r="C78"/>
          <cell r="D78">
            <v>21.9</v>
          </cell>
          <cell r="E78">
            <v>91.6</v>
          </cell>
          <cell r="F78">
            <v>22</v>
          </cell>
          <cell r="G78">
            <v>42.7</v>
          </cell>
        </row>
        <row r="79">
          <cell r="B79" t="str">
            <v>AG14M360 OS CE2</v>
          </cell>
          <cell r="C79"/>
          <cell r="D79">
            <v>21.9</v>
          </cell>
          <cell r="E79">
            <v>91.6</v>
          </cell>
          <cell r="F79">
            <v>22</v>
          </cell>
          <cell r="G79">
            <v>42.7</v>
          </cell>
        </row>
        <row r="80">
          <cell r="B80" t="str">
            <v>AGH147000J R OS CE2</v>
          </cell>
          <cell r="C80"/>
          <cell r="D80">
            <v>21.9</v>
          </cell>
          <cell r="E80">
            <v>91.6</v>
          </cell>
          <cell r="F80">
            <v>22</v>
          </cell>
          <cell r="G80">
            <v>42.7</v>
          </cell>
        </row>
        <row r="81">
          <cell r="B81" t="str">
            <v>AGH146300J P OS CE2</v>
          </cell>
          <cell r="C81"/>
          <cell r="D81">
            <v>21.9</v>
          </cell>
          <cell r="E81">
            <v>91.6</v>
          </cell>
          <cell r="F81">
            <v>22</v>
          </cell>
          <cell r="G81">
            <v>42.7</v>
          </cell>
        </row>
        <row r="82">
          <cell r="B82" t="str">
            <v>AGH146300 P OS CE2</v>
          </cell>
          <cell r="C82"/>
          <cell r="D82">
            <v>21.9</v>
          </cell>
          <cell r="E82">
            <v>91.6</v>
          </cell>
          <cell r="F82">
            <v>22</v>
          </cell>
          <cell r="G82">
            <v>42.7</v>
          </cell>
        </row>
        <row r="83">
          <cell r="B83" t="str">
            <v>AGH146000J P OS CE2</v>
          </cell>
          <cell r="C83"/>
          <cell r="D83">
            <v>21.9</v>
          </cell>
          <cell r="E83">
            <v>91.6</v>
          </cell>
          <cell r="F83">
            <v>22</v>
          </cell>
          <cell r="G83">
            <v>42.7</v>
          </cell>
        </row>
        <row r="84">
          <cell r="B84" t="str">
            <v>AG14M045 B OS CE2</v>
          </cell>
          <cell r="C84"/>
          <cell r="D84">
            <v>21.9</v>
          </cell>
          <cell r="E84">
            <v>91.6</v>
          </cell>
          <cell r="F84">
            <v>22.31</v>
          </cell>
          <cell r="G84">
            <v>42.7</v>
          </cell>
        </row>
        <row r="85">
          <cell r="B85" t="str">
            <v>AG14M050 B OS CE2</v>
          </cell>
          <cell r="C85"/>
          <cell r="D85">
            <v>21.9</v>
          </cell>
          <cell r="E85">
            <v>91.6</v>
          </cell>
          <cell r="F85">
            <v>22</v>
          </cell>
          <cell r="G85">
            <v>42.7</v>
          </cell>
        </row>
        <row r="86">
          <cell r="B86" t="str">
            <v>AG14M070 OS CE2</v>
          </cell>
          <cell r="C86"/>
          <cell r="D86">
            <v>21.9</v>
          </cell>
          <cell r="E86">
            <v>91.6</v>
          </cell>
          <cell r="F86">
            <v>22</v>
          </cell>
          <cell r="G86">
            <v>42.7</v>
          </cell>
        </row>
        <row r="87">
          <cell r="B87" t="str">
            <v>AGH146000 P OS CE2</v>
          </cell>
          <cell r="C87"/>
          <cell r="D87">
            <v>21.9</v>
          </cell>
          <cell r="E87">
            <v>91.6</v>
          </cell>
          <cell r="F87">
            <v>22</v>
          </cell>
          <cell r="G87">
            <v>42.7</v>
          </cell>
        </row>
        <row r="88">
          <cell r="B88" t="str">
            <v>AG14M370 B OS CE2</v>
          </cell>
          <cell r="C88"/>
          <cell r="D88">
            <v>21.9</v>
          </cell>
          <cell r="E88">
            <v>91.6</v>
          </cell>
          <cell r="F88">
            <v>22</v>
          </cell>
          <cell r="G88">
            <v>42.7</v>
          </cell>
        </row>
        <row r="89">
          <cell r="B89" t="str">
            <v>AGH147300 P OS CE2</v>
          </cell>
          <cell r="C89"/>
          <cell r="D89">
            <v>21.9</v>
          </cell>
          <cell r="E89">
            <v>91.6</v>
          </cell>
          <cell r="F89">
            <v>22.31</v>
          </cell>
          <cell r="G89">
            <v>42.7</v>
          </cell>
        </row>
        <row r="90">
          <cell r="B90" t="str">
            <v>AGH146000 R OS CE2</v>
          </cell>
          <cell r="C90"/>
          <cell r="D90">
            <v>21.9</v>
          </cell>
          <cell r="E90">
            <v>91.6</v>
          </cell>
          <cell r="F90">
            <v>22.31</v>
          </cell>
          <cell r="G90">
            <v>42.7</v>
          </cell>
        </row>
        <row r="91">
          <cell r="B91" t="str">
            <v>AHW14S003J OS CE2</v>
          </cell>
          <cell r="C91"/>
          <cell r="D91">
            <v>21.9</v>
          </cell>
          <cell r="E91">
            <v>91.6</v>
          </cell>
          <cell r="F91">
            <v>22</v>
          </cell>
          <cell r="G91">
            <v>42.7</v>
          </cell>
        </row>
        <row r="92">
          <cell r="B92" t="str">
            <v>AHW14S303S OS CE2</v>
          </cell>
          <cell r="C92"/>
          <cell r="D92">
            <v>21.9</v>
          </cell>
          <cell r="E92">
            <v>91.6</v>
          </cell>
          <cell r="F92">
            <v>22</v>
          </cell>
          <cell r="G92">
            <v>42.7</v>
          </cell>
        </row>
        <row r="93">
          <cell r="B93" t="str">
            <v>AHW14S003S OS CE2</v>
          </cell>
          <cell r="C93"/>
          <cell r="D93">
            <v>21.9</v>
          </cell>
          <cell r="E93">
            <v>91.6</v>
          </cell>
          <cell r="F93">
            <v>22</v>
          </cell>
          <cell r="G93">
            <v>42.7</v>
          </cell>
        </row>
        <row r="94">
          <cell r="B94" t="str">
            <v>AGH143391 F OS CE2</v>
          </cell>
          <cell r="C94"/>
          <cell r="D94">
            <v>21.9</v>
          </cell>
          <cell r="E94">
            <v>91.6</v>
          </cell>
          <cell r="F94">
            <v>22</v>
          </cell>
          <cell r="G94">
            <v>42.7</v>
          </cell>
        </row>
        <row r="95">
          <cell r="B95" t="str">
            <v>AGH143091 F OS CE2</v>
          </cell>
          <cell r="C95"/>
          <cell r="D95">
            <v>21.9</v>
          </cell>
          <cell r="E95">
            <v>91.6</v>
          </cell>
          <cell r="F95">
            <v>22</v>
          </cell>
          <cell r="G95">
            <v>42.7</v>
          </cell>
        </row>
        <row r="96">
          <cell r="B96" t="str">
            <v>AGH143390 F OS CE2</v>
          </cell>
          <cell r="C96"/>
          <cell r="D96">
            <v>21.9</v>
          </cell>
          <cell r="E96">
            <v>91.6</v>
          </cell>
          <cell r="F96">
            <v>22</v>
          </cell>
          <cell r="G96">
            <v>42.7</v>
          </cell>
        </row>
        <row r="97">
          <cell r="B97" t="str">
            <v>AGH143090 F OS CE2</v>
          </cell>
          <cell r="C97"/>
          <cell r="D97">
            <v>21.9</v>
          </cell>
          <cell r="E97">
            <v>91.6</v>
          </cell>
          <cell r="F97">
            <v>22</v>
          </cell>
          <cell r="G97">
            <v>42.7</v>
          </cell>
        </row>
        <row r="98">
          <cell r="B98" t="str">
            <v>AG143390 F OS CE2</v>
          </cell>
          <cell r="C98"/>
          <cell r="D98">
            <v>21.9</v>
          </cell>
          <cell r="E98">
            <v>91.6</v>
          </cell>
          <cell r="F98">
            <v>22</v>
          </cell>
          <cell r="G98">
            <v>42.7</v>
          </cell>
        </row>
        <row r="99">
          <cell r="B99" t="str">
            <v>AG143090 F OS CE2</v>
          </cell>
          <cell r="C99"/>
          <cell r="D99">
            <v>21.9</v>
          </cell>
          <cell r="E99">
            <v>91.6</v>
          </cell>
          <cell r="F99">
            <v>22</v>
          </cell>
          <cell r="G99">
            <v>42.7</v>
          </cell>
        </row>
        <row r="100">
          <cell r="B100" t="str">
            <v>AG142300 M OS CE2</v>
          </cell>
          <cell r="C100"/>
          <cell r="D100">
            <v>21.9</v>
          </cell>
          <cell r="E100">
            <v>91.6</v>
          </cell>
          <cell r="F100">
            <v>22</v>
          </cell>
          <cell r="G100">
            <v>42.7</v>
          </cell>
        </row>
        <row r="101">
          <cell r="B101" t="str">
            <v>AG142000 M OS CE2</v>
          </cell>
          <cell r="C101"/>
          <cell r="D101">
            <v>21.9</v>
          </cell>
          <cell r="E101">
            <v>91.6</v>
          </cell>
          <cell r="F101">
            <v>22</v>
          </cell>
          <cell r="G101">
            <v>42.7</v>
          </cell>
        </row>
        <row r="102">
          <cell r="B102" t="str">
            <v>AG14M070 B OS CE2</v>
          </cell>
          <cell r="C102"/>
          <cell r="D102">
            <v>21.9</v>
          </cell>
          <cell r="E102">
            <v>91.6</v>
          </cell>
          <cell r="F102">
            <v>22</v>
          </cell>
          <cell r="G102">
            <v>42.7</v>
          </cell>
        </row>
        <row r="103">
          <cell r="B103" t="str">
            <v>AG14M350 B OS CE2</v>
          </cell>
          <cell r="C103"/>
          <cell r="D103">
            <v>21.9</v>
          </cell>
          <cell r="E103">
            <v>91.6</v>
          </cell>
          <cell r="F103">
            <v>22</v>
          </cell>
          <cell r="G103">
            <v>42.7</v>
          </cell>
        </row>
        <row r="104">
          <cell r="B104" t="str">
            <v>AG14M360 B OS CE2</v>
          </cell>
          <cell r="C104"/>
          <cell r="D104">
            <v>21.9</v>
          </cell>
          <cell r="E104">
            <v>91.6</v>
          </cell>
          <cell r="F104">
            <v>22</v>
          </cell>
          <cell r="G104">
            <v>42.7</v>
          </cell>
        </row>
        <row r="105">
          <cell r="B105" t="str">
            <v>AG14M060 B OS CE2</v>
          </cell>
          <cell r="C105"/>
          <cell r="D105">
            <v>21.9</v>
          </cell>
          <cell r="E105">
            <v>91.6</v>
          </cell>
          <cell r="F105">
            <v>22.31</v>
          </cell>
          <cell r="G105">
            <v>42.7</v>
          </cell>
        </row>
        <row r="106">
          <cell r="B106" t="str">
            <v>AG14M345 B OS CE2</v>
          </cell>
          <cell r="C106"/>
          <cell r="D106">
            <v>21.9</v>
          </cell>
          <cell r="E106">
            <v>91.6</v>
          </cell>
          <cell r="F106">
            <v>22.31</v>
          </cell>
          <cell r="G106">
            <v>42.7</v>
          </cell>
        </row>
        <row r="107">
          <cell r="B107" t="str">
            <v>AGH143091 Q OS CE2</v>
          </cell>
          <cell r="C107"/>
          <cell r="D107">
            <v>21.9</v>
          </cell>
          <cell r="E107">
            <v>91.6</v>
          </cell>
          <cell r="F107">
            <v>22</v>
          </cell>
          <cell r="G107">
            <v>42.7</v>
          </cell>
        </row>
        <row r="108">
          <cell r="B108" t="str">
            <v>AG145300 J OS CE2</v>
          </cell>
          <cell r="C108"/>
          <cell r="D108">
            <v>21.9</v>
          </cell>
          <cell r="E108">
            <v>91.6</v>
          </cell>
          <cell r="F108">
            <v>22</v>
          </cell>
          <cell r="G108">
            <v>42.7</v>
          </cell>
        </row>
        <row r="109">
          <cell r="B109" t="str">
            <v>AG141000 OS CE2</v>
          </cell>
          <cell r="C109"/>
          <cell r="D109">
            <v>21.9</v>
          </cell>
          <cell r="E109">
            <v>91.6</v>
          </cell>
          <cell r="F109">
            <v>22</v>
          </cell>
          <cell r="G109">
            <v>42.7</v>
          </cell>
        </row>
        <row r="110">
          <cell r="B110" t="str">
            <v>AG141000J OS CE2</v>
          </cell>
          <cell r="C110"/>
          <cell r="D110">
            <v>21.9</v>
          </cell>
          <cell r="E110">
            <v>91.6</v>
          </cell>
          <cell r="F110">
            <v>22</v>
          </cell>
          <cell r="G110">
            <v>42.7</v>
          </cell>
        </row>
        <row r="111">
          <cell r="B111" t="str">
            <v>AG141300 OS CE2</v>
          </cell>
          <cell r="C111"/>
          <cell r="D111">
            <v>21.9</v>
          </cell>
          <cell r="E111">
            <v>91.6</v>
          </cell>
          <cell r="F111">
            <v>22.31</v>
          </cell>
          <cell r="G111">
            <v>42.7</v>
          </cell>
        </row>
        <row r="112">
          <cell r="B112" t="str">
            <v>AG141300J OS CE2</v>
          </cell>
          <cell r="C112"/>
          <cell r="D112">
            <v>21.9</v>
          </cell>
          <cell r="E112">
            <v>91.6</v>
          </cell>
          <cell r="F112">
            <v>22.31</v>
          </cell>
          <cell r="G112">
            <v>42.7</v>
          </cell>
        </row>
        <row r="113">
          <cell r="B113" t="str">
            <v>AG14M350J OS CE2</v>
          </cell>
          <cell r="C113"/>
          <cell r="D113">
            <v>21.9</v>
          </cell>
          <cell r="E113">
            <v>91.6</v>
          </cell>
          <cell r="F113">
            <v>22</v>
          </cell>
          <cell r="G113">
            <v>42.7</v>
          </cell>
        </row>
        <row r="114">
          <cell r="B114" t="str">
            <v>AG14M070J OS CE2</v>
          </cell>
          <cell r="C114"/>
          <cell r="D114">
            <v>21.9</v>
          </cell>
          <cell r="E114">
            <v>117.9</v>
          </cell>
          <cell r="F114">
            <v>22</v>
          </cell>
          <cell r="G114">
            <v>42.7</v>
          </cell>
        </row>
        <row r="115">
          <cell r="B115" t="str">
            <v>AG145300 OS CE2</v>
          </cell>
          <cell r="C115"/>
          <cell r="D115">
            <v>21.9</v>
          </cell>
          <cell r="E115">
            <v>91.6</v>
          </cell>
          <cell r="F115">
            <v>22.31</v>
          </cell>
          <cell r="G115">
            <v>42.7</v>
          </cell>
        </row>
        <row r="116">
          <cell r="B116" t="str">
            <v>AG145000J OS CE2</v>
          </cell>
          <cell r="C116"/>
          <cell r="D116">
            <v>21.9</v>
          </cell>
          <cell r="E116">
            <v>91.6</v>
          </cell>
          <cell r="F116">
            <v>22.31</v>
          </cell>
          <cell r="G116">
            <v>42.7</v>
          </cell>
        </row>
        <row r="117">
          <cell r="B117" t="str">
            <v>AG145000 OS CE2</v>
          </cell>
          <cell r="C117"/>
          <cell r="D117">
            <v>21.9</v>
          </cell>
          <cell r="E117">
            <v>91.6</v>
          </cell>
          <cell r="F117">
            <v>22</v>
          </cell>
          <cell r="G117">
            <v>42.7</v>
          </cell>
        </row>
        <row r="118">
          <cell r="B118" t="str">
            <v>AHW14S303J OS CE2</v>
          </cell>
          <cell r="C118"/>
          <cell r="D118">
            <v>21.9</v>
          </cell>
          <cell r="E118">
            <v>91.6</v>
          </cell>
          <cell r="F118">
            <v>22</v>
          </cell>
          <cell r="G118">
            <v>42.7</v>
          </cell>
        </row>
        <row r="119">
          <cell r="B119" t="str">
            <v>AGH146300J R OS CE2</v>
          </cell>
          <cell r="C119"/>
          <cell r="D119">
            <v>21.9</v>
          </cell>
          <cell r="E119">
            <v>91.6</v>
          </cell>
          <cell r="F119">
            <v>22</v>
          </cell>
          <cell r="G119">
            <v>42.7</v>
          </cell>
        </row>
        <row r="120">
          <cell r="B120" t="str">
            <v>AG14M050 OS CE2</v>
          </cell>
          <cell r="C120"/>
          <cell r="D120">
            <v>21.9</v>
          </cell>
          <cell r="E120">
            <v>91.6</v>
          </cell>
          <cell r="F120">
            <v>22</v>
          </cell>
          <cell r="G120">
            <v>42.7</v>
          </cell>
        </row>
        <row r="121">
          <cell r="B121" t="str">
            <v>AG14M345J OS CE2</v>
          </cell>
          <cell r="C121"/>
          <cell r="D121">
            <v>21.9</v>
          </cell>
          <cell r="E121">
            <v>91.6</v>
          </cell>
          <cell r="F121">
            <v>22</v>
          </cell>
          <cell r="G121">
            <v>42.7</v>
          </cell>
        </row>
        <row r="122">
          <cell r="B122" t="str">
            <v>AG14M060 OS CE2</v>
          </cell>
          <cell r="C122"/>
          <cell r="D122">
            <v>21.9</v>
          </cell>
          <cell r="E122">
            <v>91.6</v>
          </cell>
          <cell r="F122">
            <v>22</v>
          </cell>
          <cell r="G122">
            <v>42.7</v>
          </cell>
        </row>
        <row r="123">
          <cell r="B123" t="str">
            <v>AG14M060J OS CE2</v>
          </cell>
          <cell r="C123"/>
          <cell r="D123">
            <v>21.9</v>
          </cell>
          <cell r="E123">
            <v>117.9</v>
          </cell>
          <cell r="F123">
            <v>22</v>
          </cell>
          <cell r="G123">
            <v>42.7</v>
          </cell>
        </row>
        <row r="124">
          <cell r="B124" t="str">
            <v>AG14M360J OS CE2</v>
          </cell>
          <cell r="C124"/>
          <cell r="D124">
            <v>21.9</v>
          </cell>
          <cell r="E124">
            <v>91.6</v>
          </cell>
          <cell r="F124">
            <v>22</v>
          </cell>
          <cell r="G124">
            <v>42.7</v>
          </cell>
        </row>
        <row r="125">
          <cell r="B125" t="str">
            <v>AGP140302 OS CE2</v>
          </cell>
          <cell r="C125"/>
          <cell r="D125">
            <v>21.9</v>
          </cell>
          <cell r="E125">
            <v>91.6</v>
          </cell>
          <cell r="F125">
            <v>22</v>
          </cell>
          <cell r="G125">
            <v>42.7</v>
          </cell>
        </row>
        <row r="126">
          <cell r="B126" t="str">
            <v>AGH147000 R OS CE2</v>
          </cell>
          <cell r="C126"/>
          <cell r="D126">
            <v>21.9</v>
          </cell>
          <cell r="E126">
            <v>91.6</v>
          </cell>
          <cell r="F126">
            <v>22</v>
          </cell>
          <cell r="G126">
            <v>42.7</v>
          </cell>
        </row>
        <row r="127">
          <cell r="B127" t="str">
            <v>AGH147300 R OS CE2</v>
          </cell>
          <cell r="C127"/>
          <cell r="D127">
            <v>21.9</v>
          </cell>
          <cell r="E127">
            <v>91.6</v>
          </cell>
          <cell r="F127">
            <v>22</v>
          </cell>
          <cell r="G127">
            <v>42.7</v>
          </cell>
        </row>
        <row r="128">
          <cell r="B128" t="str">
            <v>AGH147000 P OS CE2</v>
          </cell>
          <cell r="C128"/>
          <cell r="D128">
            <v>21.9</v>
          </cell>
          <cell r="E128">
            <v>91.6</v>
          </cell>
          <cell r="F128">
            <v>22</v>
          </cell>
          <cell r="G128">
            <v>42.7</v>
          </cell>
        </row>
        <row r="129">
          <cell r="B129" t="str">
            <v>AG143300 OS CE2</v>
          </cell>
          <cell r="C129"/>
          <cell r="D129">
            <v>21.9</v>
          </cell>
          <cell r="E129">
            <v>91.6</v>
          </cell>
          <cell r="F129">
            <v>22</v>
          </cell>
          <cell r="G129">
            <v>42.7</v>
          </cell>
        </row>
        <row r="130">
          <cell r="B130" t="str">
            <v>AG14M045 OS CE2</v>
          </cell>
          <cell r="C130"/>
          <cell r="D130">
            <v>21.9</v>
          </cell>
          <cell r="E130">
            <v>91.6</v>
          </cell>
          <cell r="F130">
            <v>22</v>
          </cell>
          <cell r="G130">
            <v>42.7</v>
          </cell>
        </row>
        <row r="131">
          <cell r="B131" t="str">
            <v>AG14M345 OS CE2</v>
          </cell>
          <cell r="C131"/>
          <cell r="D131">
            <v>21.9</v>
          </cell>
          <cell r="E131">
            <v>91.6</v>
          </cell>
          <cell r="F131">
            <v>22</v>
          </cell>
          <cell r="G131">
            <v>42.7</v>
          </cell>
        </row>
        <row r="132">
          <cell r="B132" t="str">
            <v>AG14M045J OS CE2</v>
          </cell>
          <cell r="C132"/>
          <cell r="D132">
            <v>21.9</v>
          </cell>
          <cell r="E132">
            <v>117.9</v>
          </cell>
          <cell r="F132">
            <v>22</v>
          </cell>
          <cell r="G132">
            <v>42.7</v>
          </cell>
        </row>
        <row r="133">
          <cell r="B133" t="str">
            <v>AGH143390J Q OS CE2</v>
          </cell>
          <cell r="C133"/>
          <cell r="D133">
            <v>21.9</v>
          </cell>
          <cell r="E133">
            <v>91.6</v>
          </cell>
          <cell r="F133">
            <v>22</v>
          </cell>
          <cell r="G133">
            <v>42.7</v>
          </cell>
        </row>
        <row r="134">
          <cell r="B134" t="str">
            <v>AG143000J OS CE2</v>
          </cell>
          <cell r="C134"/>
          <cell r="D134">
            <v>21.9</v>
          </cell>
          <cell r="E134">
            <v>91.6</v>
          </cell>
          <cell r="F134">
            <v>22</v>
          </cell>
          <cell r="G134">
            <v>42.7</v>
          </cell>
        </row>
        <row r="135">
          <cell r="B135" t="str">
            <v>AG143000 OS CE2</v>
          </cell>
          <cell r="C135"/>
          <cell r="D135">
            <v>21.9</v>
          </cell>
          <cell r="E135">
            <v>91.6</v>
          </cell>
          <cell r="F135">
            <v>22</v>
          </cell>
          <cell r="G135">
            <v>42.7</v>
          </cell>
        </row>
        <row r="136">
          <cell r="B136" t="str">
            <v>AG141302J OS CE2</v>
          </cell>
          <cell r="C136"/>
          <cell r="D136">
            <v>21.9</v>
          </cell>
          <cell r="E136">
            <v>91.6</v>
          </cell>
          <cell r="F136">
            <v>22</v>
          </cell>
          <cell r="G136">
            <v>42.7</v>
          </cell>
        </row>
        <row r="137">
          <cell r="B137" t="str">
            <v>AG141302 OS CE2</v>
          </cell>
          <cell r="C137"/>
          <cell r="D137">
            <v>21.9</v>
          </cell>
          <cell r="E137">
            <v>91.6</v>
          </cell>
          <cell r="F137">
            <v>22</v>
          </cell>
          <cell r="G137">
            <v>42.7</v>
          </cell>
        </row>
        <row r="138">
          <cell r="B138" t="str">
            <v>AG141002J OS CE2</v>
          </cell>
          <cell r="C138"/>
          <cell r="D138">
            <v>21.9</v>
          </cell>
          <cell r="E138">
            <v>91.6</v>
          </cell>
          <cell r="F138">
            <v>22</v>
          </cell>
          <cell r="G138">
            <v>42.7</v>
          </cell>
        </row>
        <row r="139">
          <cell r="B139" t="str">
            <v>AG143390J Q OS CE2</v>
          </cell>
          <cell r="C139"/>
          <cell r="D139">
            <v>21.9</v>
          </cell>
          <cell r="E139">
            <v>91.6</v>
          </cell>
          <cell r="F139">
            <v>22</v>
          </cell>
          <cell r="G139">
            <v>42.7</v>
          </cell>
        </row>
        <row r="140">
          <cell r="B140" t="str">
            <v>AG141002 OS CE2</v>
          </cell>
          <cell r="C140"/>
          <cell r="D140">
            <v>21.9</v>
          </cell>
          <cell r="E140">
            <v>91.6</v>
          </cell>
          <cell r="F140">
            <v>22</v>
          </cell>
          <cell r="G140">
            <v>42.7</v>
          </cell>
        </row>
        <row r="141">
          <cell r="B141" t="str">
            <v>AG142000 I OS CE2</v>
          </cell>
          <cell r="C141"/>
          <cell r="D141">
            <v>21.9</v>
          </cell>
          <cell r="E141">
            <v>91.6</v>
          </cell>
          <cell r="F141">
            <v>22</v>
          </cell>
          <cell r="G141">
            <v>42.7</v>
          </cell>
        </row>
        <row r="142">
          <cell r="B142" t="str">
            <v>AGP140000 OS CE2</v>
          </cell>
          <cell r="C142"/>
          <cell r="D142">
            <v>21.9</v>
          </cell>
          <cell r="E142">
            <v>91.6</v>
          </cell>
          <cell r="F142">
            <v>22</v>
          </cell>
          <cell r="G142">
            <v>42.7</v>
          </cell>
        </row>
        <row r="143">
          <cell r="B143" t="str">
            <v>AGP140300 OS CE2</v>
          </cell>
          <cell r="C143"/>
          <cell r="D143">
            <v>21.9</v>
          </cell>
          <cell r="E143">
            <v>91.6</v>
          </cell>
          <cell r="F143">
            <v>22</v>
          </cell>
          <cell r="G143">
            <v>42.7</v>
          </cell>
        </row>
        <row r="144">
          <cell r="B144" t="str">
            <v>AGP140001 OS CE2</v>
          </cell>
          <cell r="C144"/>
          <cell r="D144">
            <v>21.9</v>
          </cell>
          <cell r="E144">
            <v>91.6</v>
          </cell>
          <cell r="F144">
            <v>22</v>
          </cell>
          <cell r="G144">
            <v>42.7</v>
          </cell>
        </row>
        <row r="145">
          <cell r="B145" t="str">
            <v>AGP140001J OS CE2</v>
          </cell>
          <cell r="C145"/>
          <cell r="D145">
            <v>21.9</v>
          </cell>
          <cell r="E145">
            <v>91.6</v>
          </cell>
          <cell r="F145">
            <v>22</v>
          </cell>
          <cell r="G145">
            <v>42.7</v>
          </cell>
        </row>
        <row r="146">
          <cell r="B146" t="str">
            <v>WAIN-CKI-200 CE</v>
          </cell>
          <cell r="C146"/>
          <cell r="D146">
            <v>43</v>
          </cell>
          <cell r="E146">
            <v>162.4</v>
          </cell>
          <cell r="F146">
            <v>22</v>
          </cell>
          <cell r="G146">
            <v>141.4</v>
          </cell>
        </row>
        <row r="147">
          <cell r="B147" t="str">
            <v>WAIN-CKI-10-200 CE</v>
          </cell>
          <cell r="C147"/>
          <cell r="D147">
            <v>43</v>
          </cell>
          <cell r="E147">
            <v>162.4</v>
          </cell>
          <cell r="F147">
            <v>22</v>
          </cell>
          <cell r="G147">
            <v>141.4</v>
          </cell>
        </row>
        <row r="148">
          <cell r="B148" t="str">
            <v>WAIN-CKI-10-300 CE</v>
          </cell>
          <cell r="C148"/>
          <cell r="D148">
            <v>43</v>
          </cell>
          <cell r="E148">
            <v>162.4</v>
          </cell>
          <cell r="F148">
            <v>22</v>
          </cell>
          <cell r="G148">
            <v>141.4</v>
          </cell>
        </row>
        <row r="149">
          <cell r="B149" t="str">
            <v>AGP140301 OS CE2</v>
          </cell>
          <cell r="C149"/>
          <cell r="D149">
            <v>21.9</v>
          </cell>
          <cell r="E149">
            <v>91.6</v>
          </cell>
          <cell r="F149">
            <v>22</v>
          </cell>
          <cell r="G149">
            <v>42.7</v>
          </cell>
        </row>
        <row r="150">
          <cell r="B150" t="str">
            <v>AGP140301J OS CE2</v>
          </cell>
          <cell r="C150"/>
          <cell r="D150">
            <v>21.9</v>
          </cell>
          <cell r="E150">
            <v>91.6</v>
          </cell>
          <cell r="F150">
            <v>22.31</v>
          </cell>
          <cell r="G150">
            <v>42.7</v>
          </cell>
        </row>
        <row r="151">
          <cell r="B151" t="str">
            <v>AGP140002 OS CE2</v>
          </cell>
          <cell r="C151"/>
          <cell r="D151">
            <v>21.9</v>
          </cell>
          <cell r="E151">
            <v>91.6</v>
          </cell>
          <cell r="F151">
            <v>22.31</v>
          </cell>
          <cell r="G151">
            <v>42.7</v>
          </cell>
        </row>
        <row r="152">
          <cell r="B152" t="str">
            <v>AG143390 Q OS CE2</v>
          </cell>
          <cell r="C152"/>
          <cell r="D152">
            <v>21.9</v>
          </cell>
          <cell r="E152">
            <v>91.6</v>
          </cell>
          <cell r="F152">
            <v>22</v>
          </cell>
          <cell r="G152">
            <v>42.7</v>
          </cell>
        </row>
        <row r="153">
          <cell r="B153" t="str">
            <v>AGH143090J Q OS CE2</v>
          </cell>
          <cell r="C153"/>
          <cell r="D153">
            <v>21.9</v>
          </cell>
          <cell r="E153">
            <v>91.6</v>
          </cell>
          <cell r="F153">
            <v>22</v>
          </cell>
          <cell r="G153">
            <v>42.7</v>
          </cell>
        </row>
        <row r="154">
          <cell r="B154" t="str">
            <v>AG14M050J OS CE2</v>
          </cell>
          <cell r="C154"/>
          <cell r="D154">
            <v>21.9</v>
          </cell>
          <cell r="E154">
            <v>91.6</v>
          </cell>
          <cell r="F154">
            <v>22</v>
          </cell>
          <cell r="G154">
            <v>42.7</v>
          </cell>
        </row>
        <row r="155">
          <cell r="B155" t="str">
            <v>AG14M350 OS CE2</v>
          </cell>
          <cell r="C155"/>
          <cell r="D155">
            <v>21.9</v>
          </cell>
          <cell r="E155">
            <v>91.6</v>
          </cell>
          <cell r="F155">
            <v>22</v>
          </cell>
          <cell r="G155">
            <v>42.7</v>
          </cell>
        </row>
        <row r="156">
          <cell r="B156" t="str">
            <v>AGH143090 Q OS CE2</v>
          </cell>
          <cell r="C156"/>
          <cell r="D156">
            <v>21.9</v>
          </cell>
          <cell r="E156">
            <v>91.6</v>
          </cell>
          <cell r="F156">
            <v>22</v>
          </cell>
          <cell r="G156">
            <v>42.7</v>
          </cell>
        </row>
        <row r="157">
          <cell r="B157" t="str">
            <v>AGH143390 Q OS CE2</v>
          </cell>
          <cell r="C157"/>
          <cell r="D157">
            <v>21.9</v>
          </cell>
          <cell r="E157">
            <v>91.6</v>
          </cell>
          <cell r="F157">
            <v>0</v>
          </cell>
          <cell r="G157">
            <v>42.7</v>
          </cell>
        </row>
        <row r="158">
          <cell r="B158" t="str">
            <v>AG143090J Q OS CE2</v>
          </cell>
          <cell r="C158"/>
          <cell r="D158">
            <v>21.9</v>
          </cell>
          <cell r="E158">
            <v>91.6</v>
          </cell>
          <cell r="F158">
            <v>22</v>
          </cell>
          <cell r="G158">
            <v>42.7</v>
          </cell>
        </row>
        <row r="159">
          <cell r="B159" t="str">
            <v>AG143090 Q OS CE2</v>
          </cell>
          <cell r="C159"/>
          <cell r="D159">
            <v>21.9</v>
          </cell>
          <cell r="E159">
            <v>91.6</v>
          </cell>
          <cell r="F159">
            <v>22</v>
          </cell>
          <cell r="G159">
            <v>42.7</v>
          </cell>
        </row>
        <row r="160">
          <cell r="B160" t="str">
            <v>AG143300J OS CE2</v>
          </cell>
          <cell r="C160"/>
          <cell r="D160">
            <v>21.9</v>
          </cell>
          <cell r="E160">
            <v>91.6</v>
          </cell>
          <cell r="F160">
            <v>22</v>
          </cell>
          <cell r="G160">
            <v>42.7</v>
          </cell>
        </row>
        <row r="161">
          <cell r="B161" t="str">
            <v>AGH147000J P OS CE2</v>
          </cell>
          <cell r="C161"/>
          <cell r="D161">
            <v>21.9</v>
          </cell>
          <cell r="E161">
            <v>91.6</v>
          </cell>
          <cell r="F161">
            <v>22</v>
          </cell>
          <cell r="G161">
            <v>42.7</v>
          </cell>
        </row>
        <row r="162">
          <cell r="B162" t="str">
            <v>AG142300 I OS CE2</v>
          </cell>
          <cell r="C162"/>
          <cell r="D162">
            <v>21.9</v>
          </cell>
          <cell r="E162">
            <v>91.6</v>
          </cell>
          <cell r="F162">
            <v>22</v>
          </cell>
          <cell r="G162">
            <v>42.7</v>
          </cell>
        </row>
        <row r="163">
          <cell r="B163" t="str">
            <v>AG142300J I OS CE2</v>
          </cell>
          <cell r="C163"/>
          <cell r="D163">
            <v>21.9</v>
          </cell>
          <cell r="E163">
            <v>91.6</v>
          </cell>
          <cell r="F163">
            <v>22</v>
          </cell>
          <cell r="G163">
            <v>42.7</v>
          </cell>
        </row>
        <row r="164">
          <cell r="B164" t="str">
            <v>DHN18-01 PS</v>
          </cell>
          <cell r="C164"/>
          <cell r="D164">
            <v>21.9</v>
          </cell>
          <cell r="E164">
            <v>117.9</v>
          </cell>
          <cell r="F164">
            <v>22</v>
          </cell>
          <cell r="G164">
            <v>158.5</v>
          </cell>
        </row>
        <row r="165">
          <cell r="B165" t="str">
            <v>WAIN-CKI-008-200 US</v>
          </cell>
          <cell r="C165"/>
          <cell r="D165">
            <v>44.4</v>
          </cell>
          <cell r="E165">
            <v>140.9</v>
          </cell>
          <cell r="F165">
            <v>22</v>
          </cell>
          <cell r="G165">
            <v>147.4</v>
          </cell>
        </row>
        <row r="166">
          <cell r="B166" t="str">
            <v>WAIN-CKI-18-200-BS US</v>
          </cell>
          <cell r="C166"/>
          <cell r="D166">
            <v>44.4</v>
          </cell>
          <cell r="E166">
            <v>172.4</v>
          </cell>
          <cell r="F166">
            <v>22</v>
          </cell>
          <cell r="G166">
            <v>147.4</v>
          </cell>
        </row>
        <row r="167">
          <cell r="B167" t="str">
            <v>WAIN-CKI-200-BA US</v>
          </cell>
          <cell r="C167"/>
          <cell r="D167">
            <v>44.4</v>
          </cell>
          <cell r="E167">
            <v>172.4</v>
          </cell>
          <cell r="F167">
            <v>22</v>
          </cell>
          <cell r="G167">
            <v>147.4</v>
          </cell>
        </row>
        <row r="168">
          <cell r="B168" t="str">
            <v>WAIN-CKI-200-BS US</v>
          </cell>
          <cell r="C168"/>
          <cell r="D168">
            <v>44.4</v>
          </cell>
          <cell r="E168">
            <v>172.4</v>
          </cell>
          <cell r="F168">
            <v>20</v>
          </cell>
          <cell r="G168">
            <v>147.4</v>
          </cell>
        </row>
        <row r="169">
          <cell r="B169" t="str">
            <v>WAIN-CKI-300-BA US</v>
          </cell>
          <cell r="C169"/>
          <cell r="D169">
            <v>44.4</v>
          </cell>
          <cell r="E169">
            <v>172.4</v>
          </cell>
          <cell r="F169">
            <v>22</v>
          </cell>
          <cell r="G169">
            <v>147.4</v>
          </cell>
        </row>
        <row r="170">
          <cell r="B170" t="str">
            <v>WAIN-CKI-300-BS US</v>
          </cell>
          <cell r="C170"/>
          <cell r="D170">
            <v>72</v>
          </cell>
          <cell r="E170">
            <v>235.8</v>
          </cell>
          <cell r="F170">
            <v>22</v>
          </cell>
          <cell r="G170">
            <v>168</v>
          </cell>
        </row>
        <row r="171">
          <cell r="B171" t="str">
            <v>AMS-165-1645-T</v>
          </cell>
          <cell r="C171"/>
          <cell r="D171">
            <v>72</v>
          </cell>
          <cell r="E171">
            <v>201.4</v>
          </cell>
          <cell r="F171">
            <v>22</v>
          </cell>
          <cell r="G171">
            <v>136</v>
          </cell>
        </row>
        <row r="172">
          <cell r="B172" t="str">
            <v>WAIN-CKI-200 KOREA</v>
          </cell>
          <cell r="C172"/>
          <cell r="D172">
            <v>72</v>
          </cell>
          <cell r="E172">
            <v>219.4</v>
          </cell>
          <cell r="F172">
            <v>22</v>
          </cell>
          <cell r="G172">
            <v>139.4</v>
          </cell>
        </row>
        <row r="173">
          <cell r="B173" t="str">
            <v>WCKV180-14 OS CE</v>
          </cell>
          <cell r="C173"/>
          <cell r="D173">
            <v>72</v>
          </cell>
          <cell r="E173">
            <v>162.4</v>
          </cell>
          <cell r="F173">
            <v>22</v>
          </cell>
          <cell r="G173">
            <v>174</v>
          </cell>
        </row>
        <row r="174">
          <cell r="B174" t="str">
            <v>AGP140000J OS CE2</v>
          </cell>
          <cell r="C174"/>
          <cell r="D174">
            <v>21.9</v>
          </cell>
          <cell r="E174">
            <v>117.9</v>
          </cell>
          <cell r="F174">
            <v>22</v>
          </cell>
          <cell r="G174">
            <v>42.7</v>
          </cell>
        </row>
        <row r="175">
          <cell r="B175" t="str">
            <v>AIN-CKI-300-BA</v>
          </cell>
          <cell r="C175"/>
          <cell r="D175">
            <v>43</v>
          </cell>
          <cell r="E175">
            <v>201.4</v>
          </cell>
          <cell r="F175">
            <v>22</v>
          </cell>
          <cell r="G175">
            <v>136</v>
          </cell>
        </row>
        <row r="176">
          <cell r="B176" t="str">
            <v>WAIN-CKI-300-RC US</v>
          </cell>
          <cell r="C176"/>
          <cell r="D176">
            <v>72</v>
          </cell>
          <cell r="E176">
            <v>235.8</v>
          </cell>
          <cell r="F176">
            <v>22</v>
          </cell>
          <cell r="G176">
            <v>174</v>
          </cell>
        </row>
        <row r="177">
          <cell r="B177" t="str">
            <v>WAIN-CKI-200-RC US</v>
          </cell>
          <cell r="C177"/>
          <cell r="D177">
            <v>72</v>
          </cell>
          <cell r="E177">
            <v>235.8</v>
          </cell>
          <cell r="F177">
            <v>22</v>
          </cell>
          <cell r="G177">
            <v>174</v>
          </cell>
        </row>
        <row r="178">
          <cell r="B178" t="str">
            <v>AHW14R304J KR</v>
          </cell>
          <cell r="C178"/>
          <cell r="D178">
            <v>27.6</v>
          </cell>
          <cell r="E178">
            <v>135</v>
          </cell>
          <cell r="F178">
            <v>22</v>
          </cell>
          <cell r="G178">
            <v>48.9</v>
          </cell>
        </row>
        <row r="179">
          <cell r="B179" t="str">
            <v>AMS-135-1445</v>
          </cell>
          <cell r="C179"/>
          <cell r="D179">
            <v>92</v>
          </cell>
          <cell r="E179">
            <v>201.4</v>
          </cell>
          <cell r="F179">
            <v>22</v>
          </cell>
          <cell r="G179">
            <v>136</v>
          </cell>
        </row>
        <row r="180">
          <cell r="B180" t="str">
            <v>AMS-165-1445</v>
          </cell>
          <cell r="C180"/>
          <cell r="D180">
            <v>72</v>
          </cell>
          <cell r="E180">
            <v>201.4</v>
          </cell>
          <cell r="F180">
            <v>22</v>
          </cell>
          <cell r="G180">
            <v>174</v>
          </cell>
        </row>
        <row r="181">
          <cell r="B181" t="str">
            <v>AIN-CKI-200-B-SFT</v>
          </cell>
          <cell r="C181"/>
          <cell r="D181">
            <v>44.4</v>
          </cell>
          <cell r="E181">
            <v>172.4</v>
          </cell>
          <cell r="F181">
            <v>22</v>
          </cell>
          <cell r="G181">
            <v>140.80000000000001</v>
          </cell>
        </row>
        <row r="182">
          <cell r="B182" t="str">
            <v>AIN-CKI-180-B-SFT</v>
          </cell>
          <cell r="C182"/>
          <cell r="D182">
            <v>92</v>
          </cell>
          <cell r="E182">
            <v>256.33</v>
          </cell>
          <cell r="F182">
            <v>22</v>
          </cell>
          <cell r="G182">
            <v>174</v>
          </cell>
        </row>
        <row r="183">
          <cell r="B183" t="str">
            <v>AHW14R304S CN</v>
          </cell>
          <cell r="C183"/>
          <cell r="D183">
            <v>41</v>
          </cell>
          <cell r="E183">
            <v>135</v>
          </cell>
          <cell r="F183">
            <v>22</v>
          </cell>
          <cell r="G183">
            <v>58</v>
          </cell>
        </row>
        <row r="184">
          <cell r="B184" t="str">
            <v>AH14R013S T</v>
          </cell>
          <cell r="C184"/>
          <cell r="D184">
            <v>45</v>
          </cell>
          <cell r="E184">
            <v>135</v>
          </cell>
          <cell r="F184">
            <v>22</v>
          </cell>
          <cell r="G184">
            <v>60</v>
          </cell>
        </row>
        <row r="185">
          <cell r="B185" t="str">
            <v>AH14R000S T</v>
          </cell>
          <cell r="C185"/>
          <cell r="D185">
            <v>45</v>
          </cell>
          <cell r="E185">
            <v>117.9</v>
          </cell>
          <cell r="F185">
            <v>22</v>
          </cell>
          <cell r="G185">
            <v>60</v>
          </cell>
        </row>
        <row r="186">
          <cell r="B186" t="str">
            <v>AG149000 CN</v>
          </cell>
          <cell r="C186"/>
          <cell r="D186">
            <v>80</v>
          </cell>
          <cell r="E186">
            <v>117.9</v>
          </cell>
          <cell r="F186">
            <v>20</v>
          </cell>
          <cell r="G186">
            <v>90</v>
          </cell>
        </row>
        <row r="187">
          <cell r="B187" t="str">
            <v>STM180-14A45 CN</v>
          </cell>
          <cell r="C187"/>
          <cell r="D187">
            <v>59</v>
          </cell>
          <cell r="E187">
            <v>166.9</v>
          </cell>
          <cell r="F187">
            <v>32</v>
          </cell>
          <cell r="G187">
            <v>145.30000000000001</v>
          </cell>
        </row>
        <row r="188">
          <cell r="B188" t="str">
            <v>CKV180-14</v>
          </cell>
          <cell r="C188"/>
          <cell r="D188">
            <v>43</v>
          </cell>
          <cell r="E188">
            <v>162.4</v>
          </cell>
          <cell r="F188">
            <v>32</v>
          </cell>
          <cell r="G188">
            <v>147.1</v>
          </cell>
        </row>
        <row r="189">
          <cell r="B189" t="str">
            <v>CKV165-14</v>
          </cell>
          <cell r="C189"/>
          <cell r="D189">
            <v>43</v>
          </cell>
          <cell r="E189">
            <v>162.4</v>
          </cell>
          <cell r="F189">
            <v>32</v>
          </cell>
          <cell r="G189">
            <v>147.1</v>
          </cell>
        </row>
        <row r="190">
          <cell r="B190" t="str">
            <v>BGN180-14P</v>
          </cell>
          <cell r="C190"/>
          <cell r="D190">
            <v>43</v>
          </cell>
          <cell r="E190">
            <v>166.9</v>
          </cell>
          <cell r="F190">
            <v>32</v>
          </cell>
          <cell r="G190">
            <v>147.1</v>
          </cell>
        </row>
        <row r="191">
          <cell r="B191" t="str">
            <v>BGN135-14</v>
          </cell>
          <cell r="C191"/>
          <cell r="D191">
            <v>43</v>
          </cell>
          <cell r="E191">
            <v>166.9</v>
          </cell>
          <cell r="F191">
            <v>32</v>
          </cell>
          <cell r="G191">
            <v>148.1</v>
          </cell>
        </row>
        <row r="192">
          <cell r="B192" t="str">
            <v>BGN165-14</v>
          </cell>
          <cell r="C192"/>
          <cell r="D192">
            <v>43</v>
          </cell>
          <cell r="E192">
            <v>166.9</v>
          </cell>
          <cell r="F192">
            <v>32</v>
          </cell>
          <cell r="G192">
            <v>147.1</v>
          </cell>
        </row>
        <row r="193">
          <cell r="B193" t="str">
            <v>BGN180-14</v>
          </cell>
          <cell r="C193"/>
          <cell r="D193">
            <v>43</v>
          </cell>
          <cell r="E193">
            <v>166.9</v>
          </cell>
          <cell r="F193">
            <v>32</v>
          </cell>
          <cell r="G193">
            <v>147.1</v>
          </cell>
        </row>
        <row r="194">
          <cell r="B194" t="str">
            <v>BGN180-14A</v>
          </cell>
          <cell r="C194"/>
          <cell r="D194">
            <v>43</v>
          </cell>
          <cell r="E194">
            <v>166.9</v>
          </cell>
          <cell r="F194">
            <v>22</v>
          </cell>
          <cell r="G194">
            <v>147.1</v>
          </cell>
        </row>
        <row r="195">
          <cell r="B195" t="str">
            <v>BGN080-14</v>
          </cell>
          <cell r="C195"/>
          <cell r="D195">
            <v>43</v>
          </cell>
          <cell r="E195">
            <v>166.9</v>
          </cell>
          <cell r="F195">
            <v>22</v>
          </cell>
          <cell r="G195">
            <v>147.1</v>
          </cell>
        </row>
        <row r="196">
          <cell r="B196" t="str">
            <v>BGN080-14P</v>
          </cell>
          <cell r="C196"/>
          <cell r="D196">
            <v>43</v>
          </cell>
          <cell r="E196">
            <v>166.9</v>
          </cell>
          <cell r="F196">
            <v>22</v>
          </cell>
          <cell r="G196">
            <v>155.4</v>
          </cell>
        </row>
        <row r="197">
          <cell r="B197" t="str">
            <v>BGN165-14P</v>
          </cell>
          <cell r="C197"/>
          <cell r="D197">
            <v>43</v>
          </cell>
          <cell r="E197">
            <v>166.9</v>
          </cell>
          <cell r="F197">
            <v>22</v>
          </cell>
          <cell r="G197">
            <v>147.1</v>
          </cell>
        </row>
        <row r="198">
          <cell r="B198" t="str">
            <v>BGN135-14P</v>
          </cell>
          <cell r="C198"/>
          <cell r="D198">
            <v>43</v>
          </cell>
          <cell r="E198">
            <v>166.9</v>
          </cell>
          <cell r="F198">
            <v>22</v>
          </cell>
          <cell r="G198">
            <v>148.1</v>
          </cell>
        </row>
        <row r="199">
          <cell r="B199" t="str">
            <v>LOG165-18N</v>
          </cell>
          <cell r="C199"/>
          <cell r="D199">
            <v>43</v>
          </cell>
          <cell r="E199">
            <v>166.9</v>
          </cell>
          <cell r="F199">
            <v>22</v>
          </cell>
          <cell r="G199">
            <v>147.1</v>
          </cell>
        </row>
        <row r="200">
          <cell r="B200" t="str">
            <v>BGN180-14AP</v>
          </cell>
          <cell r="C200"/>
          <cell r="D200">
            <v>43</v>
          </cell>
          <cell r="E200">
            <v>166.9</v>
          </cell>
          <cell r="F200">
            <v>22</v>
          </cell>
          <cell r="G200">
            <v>147.1</v>
          </cell>
        </row>
        <row r="201">
          <cell r="B201" t="str">
            <v>LOG080-18N</v>
          </cell>
          <cell r="C201"/>
          <cell r="D201">
            <v>43</v>
          </cell>
          <cell r="E201">
            <v>166.9</v>
          </cell>
          <cell r="F201">
            <v>22</v>
          </cell>
          <cell r="G201">
            <v>147.1</v>
          </cell>
        </row>
        <row r="202">
          <cell r="B202" t="str">
            <v>LOG135-18 N</v>
          </cell>
          <cell r="C202"/>
          <cell r="D202">
            <v>43</v>
          </cell>
          <cell r="E202">
            <v>166.9</v>
          </cell>
          <cell r="F202">
            <v>22</v>
          </cell>
          <cell r="G202">
            <v>154.1</v>
          </cell>
        </row>
        <row r="203">
          <cell r="B203" t="str">
            <v>AIN-CKI-200</v>
          </cell>
          <cell r="C203"/>
          <cell r="D203">
            <v>43</v>
          </cell>
          <cell r="E203">
            <v>162.4</v>
          </cell>
          <cell r="F203">
            <v>20</v>
          </cell>
          <cell r="G203">
            <v>147.1</v>
          </cell>
        </row>
        <row r="204">
          <cell r="B204" t="str">
            <v>AHW14R013S KR</v>
          </cell>
          <cell r="C204"/>
          <cell r="D204">
            <v>27.6</v>
          </cell>
          <cell r="E204">
            <v>135</v>
          </cell>
          <cell r="F204">
            <v>32</v>
          </cell>
          <cell r="G204">
            <v>48.9</v>
          </cell>
        </row>
        <row r="205">
          <cell r="B205" t="str">
            <v>AHW14R313S ABBOTT</v>
          </cell>
          <cell r="C205"/>
          <cell r="D205">
            <v>21.9</v>
          </cell>
          <cell r="E205">
            <v>123</v>
          </cell>
          <cell r="F205">
            <v>32</v>
          </cell>
          <cell r="G205">
            <v>65.5</v>
          </cell>
        </row>
        <row r="206">
          <cell r="B206" t="str">
            <v>AHW14R313S KR</v>
          </cell>
          <cell r="C206"/>
          <cell r="D206">
            <v>45</v>
          </cell>
          <cell r="E206">
            <v>135</v>
          </cell>
          <cell r="F206">
            <v>32</v>
          </cell>
          <cell r="G206">
            <v>48.9</v>
          </cell>
        </row>
        <row r="207">
          <cell r="B207" t="str">
            <v>AHW14R313P ABBOTT</v>
          </cell>
          <cell r="C207"/>
          <cell r="D207">
            <v>21.9</v>
          </cell>
          <cell r="E207">
            <v>123</v>
          </cell>
          <cell r="F207">
            <v>32</v>
          </cell>
          <cell r="G207">
            <v>65.5</v>
          </cell>
        </row>
        <row r="208">
          <cell r="B208" t="str">
            <v>AHW14R313P KR</v>
          </cell>
          <cell r="C208"/>
          <cell r="D208">
            <v>45</v>
          </cell>
          <cell r="E208">
            <v>135</v>
          </cell>
          <cell r="F208">
            <v>32</v>
          </cell>
          <cell r="G208">
            <v>48.9</v>
          </cell>
        </row>
        <row r="209">
          <cell r="B209" t="str">
            <v>WAIN-CKI-200-RC KR</v>
          </cell>
          <cell r="C209"/>
          <cell r="D209">
            <v>45.3</v>
          </cell>
          <cell r="E209">
            <v>162.4</v>
          </cell>
          <cell r="F209">
            <v>20</v>
          </cell>
          <cell r="G209">
            <v>141.4</v>
          </cell>
        </row>
        <row r="210">
          <cell r="B210" t="str">
            <v>AHW14R013S ABBOTT</v>
          </cell>
          <cell r="C210"/>
          <cell r="D210">
            <v>21.9</v>
          </cell>
          <cell r="E210">
            <v>92.6</v>
          </cell>
          <cell r="F210">
            <v>32</v>
          </cell>
          <cell r="G210">
            <v>65.5</v>
          </cell>
        </row>
        <row r="211">
          <cell r="B211" t="str">
            <v>WAMS-165-16WA NO CE</v>
          </cell>
          <cell r="C211"/>
          <cell r="D211">
            <v>43</v>
          </cell>
          <cell r="E211">
            <v>201.4</v>
          </cell>
          <cell r="F211">
            <v>32</v>
          </cell>
          <cell r="G211">
            <v>140.9</v>
          </cell>
        </row>
        <row r="212">
          <cell r="B212" t="str">
            <v>AMS-165-16ST</v>
          </cell>
          <cell r="C212"/>
          <cell r="D212">
            <v>43</v>
          </cell>
          <cell r="E212">
            <v>201.4</v>
          </cell>
          <cell r="F212">
            <v>20</v>
          </cell>
          <cell r="G212">
            <v>145.1</v>
          </cell>
        </row>
        <row r="213">
          <cell r="B213" t="str">
            <v>WAIN-CKI-300-RC KR</v>
          </cell>
          <cell r="C213"/>
          <cell r="D213">
            <v>45.3</v>
          </cell>
          <cell r="E213">
            <v>162.4</v>
          </cell>
          <cell r="F213">
            <v>32</v>
          </cell>
          <cell r="G213">
            <v>141.4</v>
          </cell>
        </row>
        <row r="214">
          <cell r="B214" t="str">
            <v>AMS-165-1645</v>
          </cell>
          <cell r="C214"/>
          <cell r="D214">
            <v>43</v>
          </cell>
          <cell r="E214">
            <v>201.4</v>
          </cell>
          <cell r="F214">
            <v>20</v>
          </cell>
          <cell r="G214">
            <v>147.1</v>
          </cell>
        </row>
        <row r="215">
          <cell r="B215" t="str">
            <v>AIN-CKI-180-B-SFT JP</v>
          </cell>
          <cell r="C215"/>
          <cell r="D215">
            <v>43</v>
          </cell>
          <cell r="E215">
            <v>201.4</v>
          </cell>
          <cell r="F215">
            <v>32</v>
          </cell>
          <cell r="G215">
            <v>145.1</v>
          </cell>
        </row>
        <row r="216">
          <cell r="B216" t="str">
            <v>AIN-CKI-200-RC</v>
          </cell>
          <cell r="C216"/>
          <cell r="D216">
            <v>43</v>
          </cell>
          <cell r="E216">
            <v>162.4</v>
          </cell>
          <cell r="F216">
            <v>32</v>
          </cell>
          <cell r="G216">
            <v>145.1</v>
          </cell>
        </row>
        <row r="217">
          <cell r="B217" t="str">
            <v>WAMS-165-1645 NO CE</v>
          </cell>
          <cell r="C217"/>
          <cell r="D217">
            <v>43</v>
          </cell>
          <cell r="E217">
            <v>201.4</v>
          </cell>
          <cell r="F217">
            <v>20</v>
          </cell>
          <cell r="G217">
            <v>140.9</v>
          </cell>
        </row>
        <row r="218">
          <cell r="B218" t="str">
            <v>AMS-165-16WA</v>
          </cell>
          <cell r="C218"/>
          <cell r="D218">
            <v>43</v>
          </cell>
          <cell r="E218">
            <v>201.4</v>
          </cell>
          <cell r="F218">
            <v>32</v>
          </cell>
          <cell r="G218">
            <v>147.1</v>
          </cell>
        </row>
        <row r="219">
          <cell r="B219" t="str">
            <v>WAMS-180-16WA KR</v>
          </cell>
          <cell r="C219"/>
          <cell r="D219">
            <v>45.2</v>
          </cell>
          <cell r="E219">
            <v>201.4</v>
          </cell>
          <cell r="F219">
            <v>32</v>
          </cell>
          <cell r="G219">
            <v>141.4</v>
          </cell>
        </row>
        <row r="220">
          <cell r="B220" t="str">
            <v>WCKV180-14 US2</v>
          </cell>
          <cell r="C220"/>
          <cell r="D220">
            <v>43</v>
          </cell>
          <cell r="E220">
            <v>162.4</v>
          </cell>
          <cell r="F220">
            <v>32</v>
          </cell>
          <cell r="G220">
            <v>136</v>
          </cell>
        </row>
        <row r="221">
          <cell r="B221" t="str">
            <v>WAMS-135-16ST US</v>
          </cell>
          <cell r="C221"/>
          <cell r="D221">
            <v>43</v>
          </cell>
          <cell r="E221">
            <v>201.4</v>
          </cell>
          <cell r="F221">
            <v>32</v>
          </cell>
          <cell r="G221">
            <v>145.1</v>
          </cell>
        </row>
        <row r="222">
          <cell r="B222" t="str">
            <v>WAMS-135-16WA US</v>
          </cell>
          <cell r="C222"/>
          <cell r="D222">
            <v>43</v>
          </cell>
          <cell r="E222">
            <v>201.4</v>
          </cell>
          <cell r="F222">
            <v>32</v>
          </cell>
          <cell r="G222">
            <v>145.1</v>
          </cell>
        </row>
        <row r="223">
          <cell r="B223" t="str">
            <v>WAMS-165-16ST NO CE</v>
          </cell>
          <cell r="C223"/>
          <cell r="D223">
            <v>43</v>
          </cell>
          <cell r="E223">
            <v>201.4</v>
          </cell>
          <cell r="F223">
            <v>32</v>
          </cell>
          <cell r="G223">
            <v>140.9</v>
          </cell>
        </row>
        <row r="224">
          <cell r="B224" t="str">
            <v>WAMS-180-1645 NO CE</v>
          </cell>
          <cell r="C224"/>
          <cell r="D224">
            <v>43</v>
          </cell>
          <cell r="E224">
            <v>201.4</v>
          </cell>
          <cell r="F224">
            <v>32</v>
          </cell>
          <cell r="G224">
            <v>140.9</v>
          </cell>
        </row>
        <row r="225">
          <cell r="B225" t="str">
            <v>AMS-180-16WA</v>
          </cell>
          <cell r="C225"/>
          <cell r="D225">
            <v>43</v>
          </cell>
          <cell r="E225">
            <v>201.4</v>
          </cell>
          <cell r="F225">
            <v>32</v>
          </cell>
          <cell r="G225">
            <v>145.1</v>
          </cell>
        </row>
        <row r="226">
          <cell r="B226" t="str">
            <v>WAMS-180-16WA NOCE</v>
          </cell>
          <cell r="C226"/>
          <cell r="D226">
            <v>43</v>
          </cell>
          <cell r="E226">
            <v>201.4</v>
          </cell>
          <cell r="F226">
            <v>32</v>
          </cell>
          <cell r="G226">
            <v>140.9</v>
          </cell>
        </row>
        <row r="227">
          <cell r="B227" t="str">
            <v>AMS-180-16ST</v>
          </cell>
          <cell r="C227"/>
          <cell r="D227">
            <v>43</v>
          </cell>
          <cell r="E227">
            <v>201.4</v>
          </cell>
          <cell r="F227">
            <v>32</v>
          </cell>
          <cell r="G227">
            <v>145.1</v>
          </cell>
        </row>
        <row r="228">
          <cell r="B228" t="str">
            <v>WAMS-180-16ST NO CE</v>
          </cell>
          <cell r="C228"/>
          <cell r="D228">
            <v>43</v>
          </cell>
          <cell r="E228">
            <v>201.4</v>
          </cell>
          <cell r="F228">
            <v>32</v>
          </cell>
          <cell r="G228">
            <v>140.9</v>
          </cell>
        </row>
        <row r="229">
          <cell r="B229" t="str">
            <v>WAMS-180-16ST KR</v>
          </cell>
          <cell r="C229"/>
          <cell r="D229">
            <v>45.2</v>
          </cell>
          <cell r="E229">
            <v>201.4</v>
          </cell>
          <cell r="F229">
            <v>32</v>
          </cell>
          <cell r="G229">
            <v>141.4</v>
          </cell>
        </row>
        <row r="230">
          <cell r="B230" t="str">
            <v>TRF-10-200 JP</v>
          </cell>
          <cell r="C230"/>
          <cell r="D230">
            <v>44.4</v>
          </cell>
          <cell r="E230">
            <v>201.4</v>
          </cell>
          <cell r="F230">
            <v>32</v>
          </cell>
          <cell r="G230">
            <v>174</v>
          </cell>
        </row>
        <row r="231">
          <cell r="B231" t="str">
            <v>AIN-CKI-10-200</v>
          </cell>
          <cell r="C231"/>
          <cell r="D231">
            <v>43</v>
          </cell>
          <cell r="E231">
            <v>162.4</v>
          </cell>
          <cell r="F231">
            <v>32</v>
          </cell>
          <cell r="G231">
            <v>147.1</v>
          </cell>
        </row>
        <row r="232">
          <cell r="B232" t="str">
            <v>AG149000 US</v>
          </cell>
          <cell r="C232"/>
          <cell r="D232">
            <v>34</v>
          </cell>
          <cell r="E232">
            <v>117.9</v>
          </cell>
          <cell r="F232">
            <v>32</v>
          </cell>
          <cell r="G232">
            <v>60</v>
          </cell>
        </row>
        <row r="233">
          <cell r="B233" t="str">
            <v>APW14R010S US</v>
          </cell>
          <cell r="C233"/>
          <cell r="D233">
            <v>34</v>
          </cell>
          <cell r="E233">
            <v>101</v>
          </cell>
          <cell r="F233">
            <v>20</v>
          </cell>
          <cell r="G233">
            <v>60</v>
          </cell>
        </row>
        <row r="234">
          <cell r="B234" t="str">
            <v>APW14R310S US</v>
          </cell>
          <cell r="C234"/>
          <cell r="D234">
            <v>34</v>
          </cell>
          <cell r="E234">
            <v>101</v>
          </cell>
          <cell r="F234">
            <v>20</v>
          </cell>
          <cell r="G234">
            <v>60</v>
          </cell>
        </row>
        <row r="235">
          <cell r="B235" t="str">
            <v>AIN-CKI-200-BA</v>
          </cell>
          <cell r="C235"/>
          <cell r="D235">
            <v>53.8</v>
          </cell>
          <cell r="E235">
            <v>201.4</v>
          </cell>
          <cell r="F235">
            <v>20</v>
          </cell>
          <cell r="G235">
            <v>154.1</v>
          </cell>
        </row>
        <row r="236">
          <cell r="B236" t="str">
            <v>WAIN-CKI-200-BA KR</v>
          </cell>
          <cell r="C236"/>
          <cell r="D236">
            <v>48</v>
          </cell>
          <cell r="E236">
            <v>195.1</v>
          </cell>
          <cell r="F236">
            <v>20</v>
          </cell>
          <cell r="G236">
            <v>144</v>
          </cell>
        </row>
        <row r="237">
          <cell r="B237" t="str">
            <v>APW14R310J US</v>
          </cell>
          <cell r="C237"/>
          <cell r="D237">
            <v>34</v>
          </cell>
          <cell r="E237">
            <v>101</v>
          </cell>
          <cell r="F237">
            <v>32</v>
          </cell>
          <cell r="G237">
            <v>60</v>
          </cell>
        </row>
        <row r="238">
          <cell r="B238" t="str">
            <v>APW14R310P US</v>
          </cell>
          <cell r="C238"/>
          <cell r="D238">
            <v>34</v>
          </cell>
          <cell r="E238">
            <v>101</v>
          </cell>
          <cell r="F238">
            <v>32</v>
          </cell>
          <cell r="G238">
            <v>60</v>
          </cell>
        </row>
        <row r="239">
          <cell r="B239" t="str">
            <v>WAIN-CKI-18-200-BS KR</v>
          </cell>
          <cell r="C239"/>
          <cell r="D239">
            <v>43.3</v>
          </cell>
          <cell r="E239">
            <v>195.1</v>
          </cell>
          <cell r="F239">
            <v>20</v>
          </cell>
          <cell r="G239">
            <v>141.4</v>
          </cell>
        </row>
        <row r="240">
          <cell r="B240" t="str">
            <v>AIN-CKI-200-B-SFT JP</v>
          </cell>
          <cell r="C240"/>
          <cell r="D240">
            <v>50.4</v>
          </cell>
          <cell r="E240">
            <v>178.8</v>
          </cell>
          <cell r="F240">
            <v>32</v>
          </cell>
          <cell r="G240">
            <v>154.1</v>
          </cell>
        </row>
        <row r="241">
          <cell r="B241" t="str">
            <v>APW14R010P US</v>
          </cell>
          <cell r="C241"/>
          <cell r="D241">
            <v>34</v>
          </cell>
          <cell r="E241">
            <v>101</v>
          </cell>
          <cell r="F241">
            <v>32</v>
          </cell>
          <cell r="G241">
            <v>60</v>
          </cell>
        </row>
        <row r="242">
          <cell r="B242" t="str">
            <v>APW14R010J US</v>
          </cell>
          <cell r="C242"/>
          <cell r="D242">
            <v>34</v>
          </cell>
          <cell r="E242">
            <v>101</v>
          </cell>
          <cell r="F242">
            <v>32</v>
          </cell>
          <cell r="G242">
            <v>60</v>
          </cell>
        </row>
        <row r="243">
          <cell r="B243" t="str">
            <v>AIN-CKI-300</v>
          </cell>
          <cell r="C243"/>
          <cell r="D243">
            <v>50.4</v>
          </cell>
          <cell r="E243">
            <v>162.4</v>
          </cell>
          <cell r="F243">
            <v>32</v>
          </cell>
          <cell r="G243">
            <v>147.1</v>
          </cell>
        </row>
        <row r="244">
          <cell r="B244" t="str">
            <v>AIN-CKI-10-300</v>
          </cell>
          <cell r="C244"/>
          <cell r="D244">
            <v>50.4</v>
          </cell>
          <cell r="E244">
            <v>162.4</v>
          </cell>
          <cell r="F244">
            <v>32</v>
          </cell>
          <cell r="G244">
            <v>147.1</v>
          </cell>
        </row>
        <row r="245">
          <cell r="B245" t="str">
            <v>AG14M350 OS CE</v>
          </cell>
          <cell r="C245"/>
          <cell r="D245">
            <v>45</v>
          </cell>
          <cell r="E245">
            <v>141</v>
          </cell>
          <cell r="F245">
            <v>32</v>
          </cell>
          <cell r="G245">
            <v>60</v>
          </cell>
        </row>
        <row r="246">
          <cell r="B246" t="str">
            <v>AG14M345 OS CE</v>
          </cell>
          <cell r="C246"/>
          <cell r="D246">
            <v>45</v>
          </cell>
          <cell r="E246">
            <v>141</v>
          </cell>
          <cell r="F246">
            <v>32</v>
          </cell>
          <cell r="G246">
            <v>60</v>
          </cell>
        </row>
        <row r="247">
          <cell r="B247" t="str">
            <v>AG14M360 OS CE</v>
          </cell>
          <cell r="C247"/>
          <cell r="D247">
            <v>45</v>
          </cell>
          <cell r="E247">
            <v>141</v>
          </cell>
          <cell r="F247">
            <v>20</v>
          </cell>
          <cell r="G247">
            <v>60</v>
          </cell>
        </row>
        <row r="248">
          <cell r="B248" t="str">
            <v>AGH147300 R OS CE</v>
          </cell>
          <cell r="C248"/>
          <cell r="D248">
            <v>21.9</v>
          </cell>
          <cell r="E248">
            <v>94.9</v>
          </cell>
          <cell r="F248">
            <v>32</v>
          </cell>
          <cell r="G248">
            <v>42.7</v>
          </cell>
        </row>
        <row r="249">
          <cell r="B249" t="str">
            <v>AGH147300 P OS CE</v>
          </cell>
          <cell r="C249"/>
          <cell r="D249">
            <v>21.9</v>
          </cell>
          <cell r="E249">
            <v>91.6</v>
          </cell>
          <cell r="F249">
            <v>32</v>
          </cell>
          <cell r="G249">
            <v>42.7</v>
          </cell>
        </row>
        <row r="250">
          <cell r="B250" t="str">
            <v>AG142300J I OS CE</v>
          </cell>
          <cell r="C250"/>
          <cell r="D250">
            <v>45</v>
          </cell>
          <cell r="E250">
            <v>135</v>
          </cell>
          <cell r="F250">
            <v>32</v>
          </cell>
          <cell r="G250">
            <v>60</v>
          </cell>
        </row>
        <row r="251">
          <cell r="B251" t="str">
            <v>WAIN-CKI-300-BA US2</v>
          </cell>
          <cell r="C251"/>
          <cell r="D251">
            <v>44.4</v>
          </cell>
          <cell r="E251">
            <v>201.4</v>
          </cell>
          <cell r="F251">
            <v>32</v>
          </cell>
          <cell r="G251">
            <v>168</v>
          </cell>
        </row>
        <row r="252">
          <cell r="B252" t="str">
            <v>WAIN-CKI-300-BS US2</v>
          </cell>
          <cell r="C252"/>
          <cell r="D252">
            <v>44.4</v>
          </cell>
          <cell r="E252">
            <v>201.4</v>
          </cell>
          <cell r="F252">
            <v>32</v>
          </cell>
          <cell r="G252">
            <v>168</v>
          </cell>
        </row>
        <row r="253">
          <cell r="B253" t="str">
            <v>AGH146000J ABBOTT</v>
          </cell>
          <cell r="C253"/>
          <cell r="D253">
            <v>21.9</v>
          </cell>
          <cell r="E253">
            <v>135</v>
          </cell>
          <cell r="F253">
            <v>32</v>
          </cell>
          <cell r="G253">
            <v>67.599999999999994</v>
          </cell>
        </row>
        <row r="254">
          <cell r="B254" t="str">
            <v>AGH146300 ABBOTT</v>
          </cell>
          <cell r="C254"/>
          <cell r="D254">
            <v>21.9</v>
          </cell>
          <cell r="E254">
            <v>135</v>
          </cell>
          <cell r="F254">
            <v>32</v>
          </cell>
          <cell r="G254">
            <v>67.599999999999994</v>
          </cell>
        </row>
        <row r="255">
          <cell r="B255" t="str">
            <v>AGH146300J ABBOTT</v>
          </cell>
          <cell r="C255"/>
          <cell r="D255">
            <v>21.9</v>
          </cell>
          <cell r="E255">
            <v>135</v>
          </cell>
          <cell r="F255">
            <v>32</v>
          </cell>
          <cell r="G255">
            <v>67.599999999999994</v>
          </cell>
        </row>
        <row r="256">
          <cell r="B256" t="str">
            <v>AGH146000 ABBOTT</v>
          </cell>
          <cell r="C256"/>
          <cell r="D256">
            <v>21.9</v>
          </cell>
          <cell r="E256">
            <v>135</v>
          </cell>
          <cell r="F256">
            <v>32</v>
          </cell>
          <cell r="G256">
            <v>67.599999999999994</v>
          </cell>
        </row>
        <row r="257">
          <cell r="B257" t="str">
            <v>AG14M060 B OS CE</v>
          </cell>
          <cell r="C257"/>
          <cell r="D257">
            <v>21.9</v>
          </cell>
          <cell r="E257">
            <v>117.9</v>
          </cell>
          <cell r="F257">
            <v>32</v>
          </cell>
          <cell r="G257">
            <v>42.7</v>
          </cell>
        </row>
        <row r="258">
          <cell r="B258" t="str">
            <v>AG14M360 B OS CE</v>
          </cell>
          <cell r="C258"/>
          <cell r="D258">
            <v>21.9</v>
          </cell>
          <cell r="E258">
            <v>94.9</v>
          </cell>
          <cell r="F258">
            <v>32</v>
          </cell>
          <cell r="G258">
            <v>42.7</v>
          </cell>
        </row>
        <row r="259">
          <cell r="B259" t="str">
            <v>AGH147000J P OS CE</v>
          </cell>
          <cell r="C259"/>
          <cell r="D259">
            <v>21.9</v>
          </cell>
          <cell r="E259">
            <v>117.9</v>
          </cell>
          <cell r="F259">
            <v>20</v>
          </cell>
          <cell r="G259">
            <v>42.7</v>
          </cell>
        </row>
        <row r="260">
          <cell r="B260" t="str">
            <v>AGH147000J R OS CE</v>
          </cell>
          <cell r="C260"/>
          <cell r="D260">
            <v>21.9</v>
          </cell>
          <cell r="E260">
            <v>117.9</v>
          </cell>
          <cell r="F260">
            <v>32</v>
          </cell>
          <cell r="G260">
            <v>60</v>
          </cell>
        </row>
        <row r="261">
          <cell r="B261" t="str">
            <v>AG14M050J OS CE</v>
          </cell>
          <cell r="C261"/>
          <cell r="D261">
            <v>45</v>
          </cell>
          <cell r="E261">
            <v>117.9</v>
          </cell>
          <cell r="F261">
            <v>32</v>
          </cell>
          <cell r="G261">
            <v>60</v>
          </cell>
        </row>
        <row r="262">
          <cell r="B262" t="str">
            <v>PAGH18M371 OS</v>
          </cell>
          <cell r="C262"/>
          <cell r="D262">
            <v>21.9</v>
          </cell>
          <cell r="E262">
            <v>94.9</v>
          </cell>
          <cell r="F262">
            <v>32</v>
          </cell>
          <cell r="G262">
            <v>158.5</v>
          </cell>
        </row>
        <row r="263">
          <cell r="B263" t="str">
            <v>AGH146300 R OS CE</v>
          </cell>
          <cell r="C263"/>
          <cell r="D263">
            <v>21.9</v>
          </cell>
          <cell r="E263">
            <v>135</v>
          </cell>
          <cell r="F263">
            <v>20</v>
          </cell>
          <cell r="G263">
            <v>42.7</v>
          </cell>
        </row>
        <row r="264">
          <cell r="B264" t="str">
            <v>AGH146300J R OS CE</v>
          </cell>
          <cell r="C264"/>
          <cell r="D264">
            <v>21.9</v>
          </cell>
          <cell r="E264">
            <v>91.6</v>
          </cell>
          <cell r="F264">
            <v>20</v>
          </cell>
          <cell r="G264">
            <v>42.7</v>
          </cell>
        </row>
        <row r="265">
          <cell r="B265" t="str">
            <v>AHW14S303S OS CE</v>
          </cell>
          <cell r="C265"/>
          <cell r="D265">
            <v>21.9</v>
          </cell>
          <cell r="E265">
            <v>91.6</v>
          </cell>
          <cell r="F265">
            <v>32</v>
          </cell>
          <cell r="G265">
            <v>42.7</v>
          </cell>
        </row>
        <row r="266">
          <cell r="B266" t="str">
            <v>AIN-CKI-300-RC</v>
          </cell>
          <cell r="C266"/>
          <cell r="D266">
            <v>50.4</v>
          </cell>
          <cell r="E266">
            <v>162.4</v>
          </cell>
          <cell r="F266">
            <v>20</v>
          </cell>
          <cell r="G266">
            <v>147.1</v>
          </cell>
        </row>
        <row r="267">
          <cell r="B267" t="str">
            <v>AG145000 OS CE</v>
          </cell>
          <cell r="C267"/>
          <cell r="D267">
            <v>21.9</v>
          </cell>
          <cell r="E267">
            <v>117.9</v>
          </cell>
          <cell r="F267">
            <v>32</v>
          </cell>
          <cell r="G267">
            <v>42.7</v>
          </cell>
        </row>
        <row r="268">
          <cell r="B268" t="str">
            <v>AG14M045 OS CE</v>
          </cell>
          <cell r="C268"/>
          <cell r="D268">
            <v>21.9</v>
          </cell>
          <cell r="E268">
            <v>117.9</v>
          </cell>
          <cell r="F268">
            <v>32</v>
          </cell>
          <cell r="G268">
            <v>42.7</v>
          </cell>
        </row>
        <row r="269">
          <cell r="B269" t="str">
            <v>AHW14R001S OS CE</v>
          </cell>
          <cell r="C269"/>
          <cell r="D269">
            <v>27.8</v>
          </cell>
          <cell r="E269">
            <v>117.9</v>
          </cell>
          <cell r="F269">
            <v>20</v>
          </cell>
          <cell r="G269">
            <v>44.7</v>
          </cell>
        </row>
        <row r="270">
          <cell r="B270" t="str">
            <v>AHW14R301S OS CE</v>
          </cell>
          <cell r="C270"/>
          <cell r="D270">
            <v>27.8</v>
          </cell>
          <cell r="E270">
            <v>91.6</v>
          </cell>
          <cell r="F270">
            <v>20</v>
          </cell>
          <cell r="G270">
            <v>44.7</v>
          </cell>
        </row>
        <row r="271">
          <cell r="B271" t="str">
            <v>AHW14R001J OS CE</v>
          </cell>
          <cell r="C271"/>
          <cell r="D271">
            <v>21.9</v>
          </cell>
          <cell r="E271">
            <v>117.9</v>
          </cell>
          <cell r="F271">
            <v>32</v>
          </cell>
          <cell r="G271">
            <v>42.7</v>
          </cell>
        </row>
        <row r="272">
          <cell r="B272" t="str">
            <v>AHW14R301J OS CE</v>
          </cell>
          <cell r="C272"/>
          <cell r="D272">
            <v>21.9</v>
          </cell>
          <cell r="E272">
            <v>94.9</v>
          </cell>
          <cell r="F272">
            <v>32</v>
          </cell>
          <cell r="G272">
            <v>42.7</v>
          </cell>
        </row>
        <row r="273">
          <cell r="B273" t="str">
            <v>AGH146000J R OS CE</v>
          </cell>
          <cell r="C273"/>
          <cell r="D273">
            <v>21.9</v>
          </cell>
          <cell r="E273">
            <v>117.9</v>
          </cell>
          <cell r="F273">
            <v>32</v>
          </cell>
          <cell r="G273">
            <v>42.7</v>
          </cell>
        </row>
        <row r="274">
          <cell r="B274" t="str">
            <v>AG14M060 OS CE</v>
          </cell>
          <cell r="C274"/>
          <cell r="D274">
            <v>21.9</v>
          </cell>
          <cell r="E274">
            <v>117.9</v>
          </cell>
          <cell r="F274">
            <v>32</v>
          </cell>
          <cell r="G274">
            <v>42.7</v>
          </cell>
        </row>
        <row r="275">
          <cell r="B275" t="str">
            <v>AG14M070 OS CE</v>
          </cell>
          <cell r="C275"/>
          <cell r="D275">
            <v>21.9</v>
          </cell>
          <cell r="E275">
            <v>117.9</v>
          </cell>
          <cell r="F275">
            <v>32</v>
          </cell>
          <cell r="G275">
            <v>42.7</v>
          </cell>
        </row>
        <row r="276">
          <cell r="B276" t="str">
            <v>AG14M070 B OS CE</v>
          </cell>
          <cell r="C276"/>
          <cell r="D276">
            <v>21.9</v>
          </cell>
          <cell r="E276">
            <v>117.9</v>
          </cell>
          <cell r="F276">
            <v>32</v>
          </cell>
          <cell r="G276">
            <v>42.7</v>
          </cell>
        </row>
        <row r="277">
          <cell r="B277" t="str">
            <v>AG145000J OS CE</v>
          </cell>
          <cell r="C277"/>
          <cell r="D277">
            <v>21.9</v>
          </cell>
          <cell r="E277">
            <v>117.9</v>
          </cell>
          <cell r="F277">
            <v>20</v>
          </cell>
          <cell r="G277">
            <v>42.7</v>
          </cell>
        </row>
        <row r="278">
          <cell r="B278" t="str">
            <v>AG145300J OS CE</v>
          </cell>
          <cell r="C278"/>
          <cell r="D278">
            <v>21.9</v>
          </cell>
          <cell r="E278">
            <v>94.9</v>
          </cell>
          <cell r="F278">
            <v>32</v>
          </cell>
          <cell r="G278">
            <v>42.7</v>
          </cell>
        </row>
        <row r="279">
          <cell r="B279" t="str">
            <v>AG141000J OS CE</v>
          </cell>
          <cell r="C279"/>
          <cell r="D279">
            <v>21.9</v>
          </cell>
          <cell r="E279">
            <v>117.9</v>
          </cell>
          <cell r="F279">
            <v>20</v>
          </cell>
          <cell r="G279">
            <v>42.7</v>
          </cell>
        </row>
        <row r="280">
          <cell r="B280" t="str">
            <v>AG141300J OS CE</v>
          </cell>
          <cell r="C280"/>
          <cell r="D280">
            <v>21.9</v>
          </cell>
          <cell r="E280">
            <v>135</v>
          </cell>
          <cell r="F280">
            <v>32</v>
          </cell>
          <cell r="G280">
            <v>42.7</v>
          </cell>
        </row>
        <row r="281">
          <cell r="B281" t="str">
            <v>AHW14S003S OS CE</v>
          </cell>
          <cell r="C281"/>
          <cell r="D281">
            <v>21.9</v>
          </cell>
          <cell r="E281">
            <v>117.9</v>
          </cell>
          <cell r="F281">
            <v>22</v>
          </cell>
          <cell r="G281">
            <v>42.7</v>
          </cell>
        </row>
        <row r="282">
          <cell r="B282" t="str">
            <v>AGP140301 OS CE</v>
          </cell>
          <cell r="C282"/>
          <cell r="D282">
            <v>21.9</v>
          </cell>
          <cell r="E282">
            <v>94.9</v>
          </cell>
          <cell r="F282">
            <v>22</v>
          </cell>
          <cell r="G282">
            <v>42.7</v>
          </cell>
        </row>
        <row r="283">
          <cell r="B283" t="str">
            <v>AG141302J OS CE</v>
          </cell>
          <cell r="C283"/>
          <cell r="D283">
            <v>21.9</v>
          </cell>
          <cell r="E283">
            <v>91.6</v>
          </cell>
          <cell r="F283">
            <v>22</v>
          </cell>
          <cell r="G283">
            <v>42.7</v>
          </cell>
        </row>
        <row r="284">
          <cell r="B284" t="str">
            <v>AG141002J OS CE</v>
          </cell>
          <cell r="C284"/>
          <cell r="D284">
            <v>21.9</v>
          </cell>
          <cell r="E284">
            <v>117.9</v>
          </cell>
          <cell r="F284">
            <v>22</v>
          </cell>
          <cell r="G284">
            <v>42.7</v>
          </cell>
        </row>
        <row r="285">
          <cell r="B285" t="str">
            <v>AG143390 US</v>
          </cell>
          <cell r="C285"/>
          <cell r="D285">
            <v>34</v>
          </cell>
          <cell r="E285">
            <v>101</v>
          </cell>
          <cell r="F285">
            <v>20</v>
          </cell>
          <cell r="G285">
            <v>60</v>
          </cell>
        </row>
        <row r="286">
          <cell r="B286" t="str">
            <v>AGP140000J OS CE</v>
          </cell>
          <cell r="C286"/>
          <cell r="D286">
            <v>21.9</v>
          </cell>
          <cell r="E286">
            <v>117.9</v>
          </cell>
          <cell r="F286">
            <v>20</v>
          </cell>
          <cell r="G286">
            <v>42.7</v>
          </cell>
        </row>
        <row r="287">
          <cell r="B287" t="str">
            <v>AGP140001J OS CE</v>
          </cell>
          <cell r="C287"/>
          <cell r="D287">
            <v>21.9</v>
          </cell>
          <cell r="E287">
            <v>117.9</v>
          </cell>
          <cell r="F287">
            <v>32</v>
          </cell>
          <cell r="G287">
            <v>42.7</v>
          </cell>
        </row>
        <row r="288">
          <cell r="B288" t="str">
            <v>AG143000J OS CE</v>
          </cell>
          <cell r="C288"/>
          <cell r="D288">
            <v>21.9</v>
          </cell>
          <cell r="E288">
            <v>92.6</v>
          </cell>
          <cell r="F288">
            <v>20</v>
          </cell>
          <cell r="G288">
            <v>42.7</v>
          </cell>
        </row>
        <row r="289">
          <cell r="B289" t="str">
            <v>AG143300 OS CE</v>
          </cell>
          <cell r="C289"/>
          <cell r="D289">
            <v>21.9</v>
          </cell>
          <cell r="E289">
            <v>135</v>
          </cell>
          <cell r="F289">
            <v>20</v>
          </cell>
          <cell r="G289">
            <v>42.7</v>
          </cell>
        </row>
        <row r="290">
          <cell r="B290" t="str">
            <v>AG143390 Q OS CE</v>
          </cell>
          <cell r="C290"/>
          <cell r="D290">
            <v>21.9</v>
          </cell>
          <cell r="E290">
            <v>91.6</v>
          </cell>
          <cell r="F290">
            <v>32</v>
          </cell>
          <cell r="G290">
            <v>42.7</v>
          </cell>
        </row>
        <row r="291">
          <cell r="B291" t="str">
            <v>AGH143090 Q OS CE</v>
          </cell>
          <cell r="C291"/>
          <cell r="D291">
            <v>21.9</v>
          </cell>
          <cell r="E291">
            <v>91.6</v>
          </cell>
          <cell r="F291">
            <v>32</v>
          </cell>
          <cell r="G291">
            <v>42.7</v>
          </cell>
        </row>
        <row r="292">
          <cell r="B292" t="str">
            <v>AGH143390 Q OS CE</v>
          </cell>
          <cell r="C292"/>
          <cell r="D292">
            <v>21.9</v>
          </cell>
          <cell r="E292">
            <v>91.6</v>
          </cell>
          <cell r="F292">
            <v>32</v>
          </cell>
          <cell r="G292">
            <v>42.7</v>
          </cell>
        </row>
        <row r="293">
          <cell r="B293" t="str">
            <v>AGH143090 F OS CE</v>
          </cell>
          <cell r="C293"/>
          <cell r="D293">
            <v>21.9</v>
          </cell>
          <cell r="E293">
            <v>91.6</v>
          </cell>
          <cell r="F293">
            <v>32</v>
          </cell>
          <cell r="G293">
            <v>42.7</v>
          </cell>
        </row>
        <row r="294">
          <cell r="B294" t="str">
            <v>AGH143390 F OS CE</v>
          </cell>
          <cell r="C294"/>
          <cell r="D294">
            <v>21.9</v>
          </cell>
          <cell r="E294">
            <v>94.9</v>
          </cell>
          <cell r="F294">
            <v>32</v>
          </cell>
          <cell r="G294">
            <v>42.7</v>
          </cell>
        </row>
        <row r="295">
          <cell r="B295" t="str">
            <v>AGH143091 F OS CE</v>
          </cell>
          <cell r="C295"/>
          <cell r="D295">
            <v>21.9</v>
          </cell>
          <cell r="E295">
            <v>91.6</v>
          </cell>
          <cell r="F295">
            <v>32</v>
          </cell>
          <cell r="G295">
            <v>42.7</v>
          </cell>
        </row>
        <row r="296">
          <cell r="B296" t="str">
            <v>AGP140002 OS CE</v>
          </cell>
          <cell r="C296"/>
          <cell r="D296">
            <v>21.9</v>
          </cell>
          <cell r="E296">
            <v>117.9</v>
          </cell>
          <cell r="F296">
            <v>20</v>
          </cell>
          <cell r="G296">
            <v>42.7</v>
          </cell>
        </row>
        <row r="297">
          <cell r="B297" t="str">
            <v>AGP140000 OS CE</v>
          </cell>
          <cell r="C297"/>
          <cell r="D297">
            <v>21.9</v>
          </cell>
          <cell r="E297">
            <v>117.9</v>
          </cell>
          <cell r="F297">
            <v>20</v>
          </cell>
          <cell r="G297">
            <v>42.7</v>
          </cell>
        </row>
        <row r="298">
          <cell r="B298" t="str">
            <v>AGP140001 OS CE</v>
          </cell>
          <cell r="C298"/>
          <cell r="D298">
            <v>21.9</v>
          </cell>
          <cell r="E298">
            <v>117.9</v>
          </cell>
          <cell r="F298">
            <v>20</v>
          </cell>
          <cell r="G298">
            <v>42.7</v>
          </cell>
        </row>
        <row r="299">
          <cell r="B299" t="str">
            <v>AGP140300 OS CE</v>
          </cell>
          <cell r="C299"/>
          <cell r="D299">
            <v>21.9</v>
          </cell>
          <cell r="E299">
            <v>94.9</v>
          </cell>
          <cell r="F299">
            <v>32</v>
          </cell>
          <cell r="G299">
            <v>42.7</v>
          </cell>
        </row>
        <row r="300">
          <cell r="B300" t="str">
            <v>AGP140302 OS CE</v>
          </cell>
          <cell r="C300"/>
          <cell r="D300">
            <v>21.9</v>
          </cell>
          <cell r="E300">
            <v>94.9</v>
          </cell>
          <cell r="F300">
            <v>32</v>
          </cell>
          <cell r="G300">
            <v>42.7</v>
          </cell>
        </row>
        <row r="301">
          <cell r="B301" t="str">
            <v>AGH143391 F OS CE</v>
          </cell>
          <cell r="C301"/>
          <cell r="D301">
            <v>21.9</v>
          </cell>
          <cell r="E301">
            <v>94.9</v>
          </cell>
          <cell r="F301">
            <v>32</v>
          </cell>
          <cell r="G301">
            <v>42.7</v>
          </cell>
        </row>
        <row r="302">
          <cell r="B302" t="str">
            <v>AHW14S003J OS CE</v>
          </cell>
          <cell r="C302"/>
          <cell r="D302">
            <v>21.9</v>
          </cell>
          <cell r="E302">
            <v>117.9</v>
          </cell>
          <cell r="F302">
            <v>32</v>
          </cell>
          <cell r="G302">
            <v>42.7</v>
          </cell>
        </row>
        <row r="303">
          <cell r="B303" t="str">
            <v>AHW14S303 J OS CE</v>
          </cell>
          <cell r="C303"/>
          <cell r="D303">
            <v>21.9</v>
          </cell>
          <cell r="E303">
            <v>92.6</v>
          </cell>
          <cell r="F303">
            <v>20</v>
          </cell>
          <cell r="G303">
            <v>42.7</v>
          </cell>
        </row>
        <row r="304">
          <cell r="B304" t="str">
            <v>AG141000 OS CE</v>
          </cell>
          <cell r="C304"/>
          <cell r="D304">
            <v>21.9</v>
          </cell>
          <cell r="E304">
            <v>117.9</v>
          </cell>
          <cell r="F304">
            <v>20</v>
          </cell>
          <cell r="G304">
            <v>42.7</v>
          </cell>
        </row>
        <row r="305">
          <cell r="B305" t="str">
            <v>AGH147000 R OS CE</v>
          </cell>
          <cell r="C305"/>
          <cell r="D305">
            <v>45</v>
          </cell>
          <cell r="E305">
            <v>117.9</v>
          </cell>
          <cell r="F305">
            <v>20</v>
          </cell>
          <cell r="G305">
            <v>60</v>
          </cell>
        </row>
        <row r="306">
          <cell r="B306" t="str">
            <v>AGH147000 P OS CE</v>
          </cell>
          <cell r="C306"/>
          <cell r="D306">
            <v>21.9</v>
          </cell>
          <cell r="E306">
            <v>117.9</v>
          </cell>
          <cell r="F306">
            <v>20</v>
          </cell>
          <cell r="G306">
            <v>42.7</v>
          </cell>
        </row>
        <row r="307">
          <cell r="B307" t="str">
            <v>AGH146000 R OS CE</v>
          </cell>
          <cell r="C307"/>
          <cell r="D307">
            <v>21.9</v>
          </cell>
          <cell r="E307">
            <v>117.9</v>
          </cell>
          <cell r="F307">
            <v>20</v>
          </cell>
          <cell r="G307">
            <v>42.7</v>
          </cell>
        </row>
        <row r="308">
          <cell r="B308" t="str">
            <v>AG143090 Q OS CE</v>
          </cell>
          <cell r="C308"/>
          <cell r="D308">
            <v>21.9</v>
          </cell>
          <cell r="E308">
            <v>92.6</v>
          </cell>
          <cell r="F308">
            <v>20</v>
          </cell>
          <cell r="G308">
            <v>42.7</v>
          </cell>
        </row>
        <row r="309">
          <cell r="B309" t="str">
            <v>AGH143091 Q OS CE</v>
          </cell>
          <cell r="C309"/>
          <cell r="D309">
            <v>21.9</v>
          </cell>
          <cell r="E309">
            <v>91.6</v>
          </cell>
          <cell r="F309">
            <v>32</v>
          </cell>
          <cell r="G309">
            <v>42.7</v>
          </cell>
        </row>
        <row r="310">
          <cell r="B310" t="str">
            <v>AG142000 M OS CE</v>
          </cell>
          <cell r="C310"/>
          <cell r="D310">
            <v>21.9</v>
          </cell>
          <cell r="E310">
            <v>117.9</v>
          </cell>
          <cell r="F310">
            <v>32</v>
          </cell>
          <cell r="G310">
            <v>42.7</v>
          </cell>
        </row>
        <row r="311">
          <cell r="B311" t="str">
            <v>AG142300 M OS CE</v>
          </cell>
          <cell r="C311"/>
          <cell r="D311">
            <v>21.9</v>
          </cell>
          <cell r="E311">
            <v>135</v>
          </cell>
          <cell r="F311">
            <v>32</v>
          </cell>
          <cell r="G311">
            <v>42.7</v>
          </cell>
        </row>
        <row r="312">
          <cell r="B312" t="str">
            <v>AG143390 F OS CE</v>
          </cell>
          <cell r="C312"/>
          <cell r="D312">
            <v>21.9</v>
          </cell>
          <cell r="E312">
            <v>91.6</v>
          </cell>
          <cell r="F312">
            <v>20</v>
          </cell>
          <cell r="G312">
            <v>42.7</v>
          </cell>
        </row>
        <row r="313">
          <cell r="B313" t="str">
            <v>AG145300 OS CE</v>
          </cell>
          <cell r="C313"/>
          <cell r="D313">
            <v>45</v>
          </cell>
          <cell r="E313">
            <v>135</v>
          </cell>
          <cell r="F313">
            <v>20</v>
          </cell>
          <cell r="G313">
            <v>60</v>
          </cell>
        </row>
        <row r="314">
          <cell r="B314" t="str">
            <v>AG141300 OS CE</v>
          </cell>
          <cell r="C314"/>
          <cell r="D314">
            <v>21.9</v>
          </cell>
          <cell r="E314">
            <v>94.9</v>
          </cell>
          <cell r="F314">
            <v>20</v>
          </cell>
          <cell r="G314">
            <v>42.7</v>
          </cell>
        </row>
        <row r="315">
          <cell r="B315" t="str">
            <v>AG141302 OS CE</v>
          </cell>
          <cell r="C315"/>
          <cell r="D315">
            <v>21.9</v>
          </cell>
          <cell r="E315">
            <v>94.9</v>
          </cell>
          <cell r="F315">
            <v>20</v>
          </cell>
          <cell r="G315">
            <v>42.7</v>
          </cell>
        </row>
        <row r="316">
          <cell r="B316" t="str">
            <v>AG142300 I OS CE</v>
          </cell>
          <cell r="C316"/>
          <cell r="D316">
            <v>21.9</v>
          </cell>
          <cell r="E316">
            <v>94.9</v>
          </cell>
          <cell r="F316">
            <v>20</v>
          </cell>
          <cell r="G316">
            <v>42.7</v>
          </cell>
        </row>
        <row r="317">
          <cell r="B317" t="str">
            <v>AG14M050 B OS CE</v>
          </cell>
          <cell r="C317"/>
          <cell r="D317">
            <v>21.9</v>
          </cell>
          <cell r="E317">
            <v>117.9</v>
          </cell>
          <cell r="F317">
            <v>20</v>
          </cell>
          <cell r="G317">
            <v>42.7</v>
          </cell>
        </row>
        <row r="318">
          <cell r="B318" t="str">
            <v>AG14M350 B OS CE</v>
          </cell>
          <cell r="C318"/>
          <cell r="D318">
            <v>21.9</v>
          </cell>
          <cell r="E318">
            <v>94.9</v>
          </cell>
          <cell r="F318">
            <v>20</v>
          </cell>
          <cell r="G318">
            <v>42.7</v>
          </cell>
        </row>
        <row r="319">
          <cell r="B319" t="str">
            <v>AG14M045 B OS CE</v>
          </cell>
          <cell r="C319"/>
          <cell r="D319">
            <v>21.9</v>
          </cell>
          <cell r="E319">
            <v>117.9</v>
          </cell>
          <cell r="F319">
            <v>20</v>
          </cell>
          <cell r="G319">
            <v>42.7</v>
          </cell>
        </row>
        <row r="320">
          <cell r="B320" t="str">
            <v>AG14M345 B OS CE</v>
          </cell>
          <cell r="C320"/>
          <cell r="D320">
            <v>21.9</v>
          </cell>
          <cell r="E320">
            <v>141</v>
          </cell>
          <cell r="F320">
            <v>20</v>
          </cell>
          <cell r="G320">
            <v>42.7</v>
          </cell>
        </row>
        <row r="321">
          <cell r="B321" t="str">
            <v>AGH146000 P OS CE</v>
          </cell>
          <cell r="C321"/>
          <cell r="D321">
            <v>21.9</v>
          </cell>
          <cell r="E321">
            <v>117.9</v>
          </cell>
          <cell r="F321">
            <v>20</v>
          </cell>
          <cell r="G321">
            <v>42.7</v>
          </cell>
        </row>
        <row r="322">
          <cell r="B322" t="str">
            <v>AGH146300 P OS CE</v>
          </cell>
          <cell r="C322"/>
          <cell r="D322">
            <v>21.9</v>
          </cell>
          <cell r="E322">
            <v>91.6</v>
          </cell>
          <cell r="F322">
            <v>20</v>
          </cell>
          <cell r="G322">
            <v>42.7</v>
          </cell>
        </row>
        <row r="323">
          <cell r="B323" t="str">
            <v>AGH146000J P OS CE</v>
          </cell>
          <cell r="C323"/>
          <cell r="D323">
            <v>21.9</v>
          </cell>
          <cell r="E323">
            <v>117.9</v>
          </cell>
          <cell r="F323">
            <v>20</v>
          </cell>
          <cell r="G323">
            <v>42.7</v>
          </cell>
        </row>
        <row r="324">
          <cell r="B324" t="str">
            <v>AGH146300J P OS CE</v>
          </cell>
          <cell r="C324"/>
          <cell r="D324">
            <v>21.9</v>
          </cell>
          <cell r="E324">
            <v>135</v>
          </cell>
          <cell r="F324">
            <v>20</v>
          </cell>
          <cell r="G324">
            <v>42.7</v>
          </cell>
        </row>
        <row r="325">
          <cell r="B325" t="str">
            <v>AG14M050 OS CE</v>
          </cell>
          <cell r="C325"/>
          <cell r="D325">
            <v>21.9</v>
          </cell>
          <cell r="E325">
            <v>117.9</v>
          </cell>
          <cell r="F325">
            <v>20</v>
          </cell>
          <cell r="G325">
            <v>42.7</v>
          </cell>
        </row>
        <row r="326">
          <cell r="B326" t="str">
            <v>AIN-ENV</v>
          </cell>
          <cell r="C326"/>
          <cell r="D326">
            <v>50.4</v>
          </cell>
          <cell r="E326">
            <v>117.9</v>
          </cell>
          <cell r="F326">
            <v>20</v>
          </cell>
          <cell r="G326">
            <v>147.1</v>
          </cell>
        </row>
        <row r="327">
          <cell r="B327" t="str">
            <v>AG143090 F OS CE</v>
          </cell>
          <cell r="C327"/>
          <cell r="D327">
            <v>21.9</v>
          </cell>
          <cell r="E327">
            <v>92.6</v>
          </cell>
          <cell r="F327">
            <v>32</v>
          </cell>
          <cell r="G327">
            <v>42.7</v>
          </cell>
        </row>
        <row r="328">
          <cell r="B328" t="str">
            <v>AG141002 OS CE</v>
          </cell>
          <cell r="C328"/>
          <cell r="D328">
            <v>21.9</v>
          </cell>
          <cell r="E328">
            <v>117.9</v>
          </cell>
          <cell r="F328">
            <v>32</v>
          </cell>
          <cell r="G328">
            <v>42.7</v>
          </cell>
        </row>
        <row r="329">
          <cell r="B329" t="str">
            <v>AG143000 OS CE</v>
          </cell>
          <cell r="C329"/>
          <cell r="D329">
            <v>21.9</v>
          </cell>
          <cell r="E329">
            <v>92.6</v>
          </cell>
          <cell r="F329">
            <v>20</v>
          </cell>
          <cell r="G329">
            <v>42.7</v>
          </cell>
        </row>
        <row r="330">
          <cell r="B330" t="str">
            <v>AG14M370 B OS CE</v>
          </cell>
          <cell r="C330"/>
          <cell r="D330">
            <v>21.9</v>
          </cell>
          <cell r="E330">
            <v>94.9</v>
          </cell>
          <cell r="F330">
            <v>20</v>
          </cell>
          <cell r="G330">
            <v>42.7</v>
          </cell>
        </row>
        <row r="331">
          <cell r="B331" t="str">
            <v>AGH146300J P CE2</v>
          </cell>
          <cell r="C331"/>
          <cell r="D331">
            <v>21</v>
          </cell>
          <cell r="E331">
            <v>88</v>
          </cell>
          <cell r="F331">
            <v>32</v>
          </cell>
          <cell r="G331">
            <v>43</v>
          </cell>
        </row>
        <row r="332">
          <cell r="B332" t="str">
            <v>AJ1653573-01-A</v>
          </cell>
          <cell r="C332"/>
          <cell r="D332">
            <v>45</v>
          </cell>
          <cell r="E332">
            <v>184</v>
          </cell>
          <cell r="F332">
            <v>20</v>
          </cell>
          <cell r="G332">
            <v>90</v>
          </cell>
        </row>
        <row r="333">
          <cell r="B333" t="str">
            <v>AG149001 OS CE</v>
          </cell>
          <cell r="C333"/>
          <cell r="D333">
            <v>21.9</v>
          </cell>
          <cell r="E333">
            <v>117.9</v>
          </cell>
          <cell r="F333">
            <v>32</v>
          </cell>
          <cell r="G333">
            <v>42.7</v>
          </cell>
        </row>
        <row r="334">
          <cell r="B334" t="str">
            <v>AG142000 I OS CE</v>
          </cell>
          <cell r="C334"/>
          <cell r="D334">
            <v>21.9</v>
          </cell>
          <cell r="E334">
            <v>117.9</v>
          </cell>
          <cell r="F334">
            <v>32</v>
          </cell>
          <cell r="G334">
            <v>42.7</v>
          </cell>
        </row>
        <row r="335">
          <cell r="B335" t="str">
            <v>AG142000J I OS CE</v>
          </cell>
          <cell r="C335"/>
          <cell r="D335">
            <v>21.9</v>
          </cell>
          <cell r="E335">
            <v>117.9</v>
          </cell>
          <cell r="F335">
            <v>32</v>
          </cell>
          <cell r="G335">
            <v>42.7</v>
          </cell>
        </row>
        <row r="336">
          <cell r="B336" t="str">
            <v>AG14M045 CE2</v>
          </cell>
          <cell r="C336"/>
          <cell r="D336">
            <v>21</v>
          </cell>
          <cell r="E336">
            <v>117.9</v>
          </cell>
          <cell r="F336">
            <v>32</v>
          </cell>
          <cell r="G336">
            <v>43</v>
          </cell>
        </row>
        <row r="337">
          <cell r="B337" t="str">
            <v>AG145300 CE2</v>
          </cell>
          <cell r="C337"/>
          <cell r="D337">
            <v>21</v>
          </cell>
          <cell r="E337">
            <v>88</v>
          </cell>
          <cell r="F337">
            <v>20</v>
          </cell>
          <cell r="G337">
            <v>43</v>
          </cell>
        </row>
        <row r="338">
          <cell r="B338" t="str">
            <v>AGH147300 R CE2</v>
          </cell>
          <cell r="C338"/>
          <cell r="D338">
            <v>21</v>
          </cell>
          <cell r="E338">
            <v>88</v>
          </cell>
          <cell r="F338">
            <v>20</v>
          </cell>
          <cell r="G338">
            <v>43</v>
          </cell>
        </row>
        <row r="339">
          <cell r="B339" t="str">
            <v>AG143300J CE2</v>
          </cell>
          <cell r="C339"/>
          <cell r="D339">
            <v>21.9</v>
          </cell>
          <cell r="E339">
            <v>94.9</v>
          </cell>
          <cell r="F339">
            <v>20</v>
          </cell>
          <cell r="G339">
            <v>42.7</v>
          </cell>
        </row>
        <row r="340">
          <cell r="B340" t="str">
            <v>AGH146300J US</v>
          </cell>
          <cell r="C340"/>
          <cell r="D340">
            <v>34</v>
          </cell>
          <cell r="E340">
            <v>101</v>
          </cell>
          <cell r="F340">
            <v>32</v>
          </cell>
          <cell r="G340">
            <v>60</v>
          </cell>
        </row>
        <row r="341">
          <cell r="B341" t="str">
            <v>AGP140000 US</v>
          </cell>
          <cell r="C341"/>
          <cell r="D341">
            <v>34</v>
          </cell>
          <cell r="E341">
            <v>117.9</v>
          </cell>
          <cell r="F341">
            <v>20</v>
          </cell>
          <cell r="G341">
            <v>60</v>
          </cell>
        </row>
        <row r="342">
          <cell r="B342" t="str">
            <v>AGP140300 US</v>
          </cell>
          <cell r="C342"/>
          <cell r="D342">
            <v>34</v>
          </cell>
          <cell r="E342">
            <v>101</v>
          </cell>
          <cell r="F342">
            <v>20</v>
          </cell>
          <cell r="G342">
            <v>60</v>
          </cell>
        </row>
        <row r="343">
          <cell r="B343" t="str">
            <v>AIN-CKI-200T US</v>
          </cell>
          <cell r="C343"/>
          <cell r="D343">
            <v>46</v>
          </cell>
          <cell r="E343">
            <v>162.4</v>
          </cell>
          <cell r="F343">
            <v>32</v>
          </cell>
          <cell r="G343">
            <v>147</v>
          </cell>
        </row>
        <row r="344">
          <cell r="B344" t="str">
            <v>PAGH143094R JP</v>
          </cell>
          <cell r="C344"/>
          <cell r="D344">
            <v>27.5</v>
          </cell>
          <cell r="E344">
            <v>92.6</v>
          </cell>
          <cell r="F344">
            <v>20</v>
          </cell>
          <cell r="G344">
            <v>70</v>
          </cell>
        </row>
        <row r="345">
          <cell r="B345" t="str">
            <v>A0419-01PSR JP</v>
          </cell>
          <cell r="C345"/>
          <cell r="D345">
            <v>22</v>
          </cell>
          <cell r="E345">
            <v>117.9</v>
          </cell>
          <cell r="F345">
            <v>32</v>
          </cell>
          <cell r="G345">
            <v>70</v>
          </cell>
        </row>
        <row r="346">
          <cell r="B346" t="str">
            <v>AIN-CKI-300R JP</v>
          </cell>
          <cell r="C346"/>
          <cell r="D346">
            <v>44</v>
          </cell>
          <cell r="E346">
            <v>162.4</v>
          </cell>
          <cell r="F346">
            <v>32</v>
          </cell>
          <cell r="G346">
            <v>141</v>
          </cell>
        </row>
        <row r="347">
          <cell r="B347" t="str">
            <v>AH14R013SR JP</v>
          </cell>
          <cell r="C347"/>
          <cell r="D347">
            <v>22</v>
          </cell>
          <cell r="E347">
            <v>138</v>
          </cell>
          <cell r="F347">
            <v>32</v>
          </cell>
          <cell r="G347">
            <v>70</v>
          </cell>
        </row>
        <row r="348">
          <cell r="B348" t="str">
            <v>AIN-CKI-10-200R JP</v>
          </cell>
          <cell r="C348"/>
          <cell r="D348">
            <v>44</v>
          </cell>
          <cell r="E348">
            <v>162.4</v>
          </cell>
          <cell r="F348">
            <v>32</v>
          </cell>
          <cell r="G348">
            <v>141</v>
          </cell>
        </row>
        <row r="349">
          <cell r="B349" t="str">
            <v>AHW14R013P ABBOTT</v>
          </cell>
          <cell r="C349"/>
          <cell r="D349">
            <v>21.9</v>
          </cell>
          <cell r="E349">
            <v>92.6</v>
          </cell>
          <cell r="F349">
            <v>32</v>
          </cell>
          <cell r="G349">
            <v>65.5</v>
          </cell>
        </row>
        <row r="350">
          <cell r="B350" t="str">
            <v>AG141000R JP</v>
          </cell>
          <cell r="C350"/>
          <cell r="D350">
            <v>27.5</v>
          </cell>
          <cell r="E350">
            <v>117.9</v>
          </cell>
          <cell r="F350">
            <v>32</v>
          </cell>
          <cell r="G350">
            <v>70</v>
          </cell>
        </row>
        <row r="351">
          <cell r="B351" t="str">
            <v>AG141002R JP</v>
          </cell>
          <cell r="C351"/>
          <cell r="D351">
            <v>27.5</v>
          </cell>
          <cell r="E351">
            <v>117.9</v>
          </cell>
          <cell r="F351">
            <v>32</v>
          </cell>
          <cell r="G351">
            <v>70</v>
          </cell>
        </row>
        <row r="352">
          <cell r="B352" t="str">
            <v>AIN-CKI-315-EXCR JP</v>
          </cell>
          <cell r="C352"/>
          <cell r="D352">
            <v>44</v>
          </cell>
          <cell r="E352">
            <v>162.4</v>
          </cell>
          <cell r="F352">
            <v>32</v>
          </cell>
          <cell r="G352">
            <v>141</v>
          </cell>
        </row>
        <row r="353">
          <cell r="B353" t="str">
            <v>AIN-CKI-200-B-SFTR JP</v>
          </cell>
          <cell r="C353"/>
          <cell r="D353">
            <v>44</v>
          </cell>
          <cell r="E353">
            <v>201.4</v>
          </cell>
          <cell r="F353">
            <v>32</v>
          </cell>
          <cell r="G353">
            <v>141</v>
          </cell>
        </row>
        <row r="354">
          <cell r="B354" t="str">
            <v>AIN-CKI-200-BSR JP</v>
          </cell>
          <cell r="C354"/>
          <cell r="D354">
            <v>44</v>
          </cell>
          <cell r="E354">
            <v>201.4</v>
          </cell>
          <cell r="F354">
            <v>32</v>
          </cell>
          <cell r="G354">
            <v>141</v>
          </cell>
        </row>
        <row r="355">
          <cell r="B355" t="str">
            <v>AIN-CKI-200-BAR JP</v>
          </cell>
          <cell r="C355"/>
          <cell r="D355">
            <v>44</v>
          </cell>
          <cell r="E355">
            <v>201.4</v>
          </cell>
          <cell r="F355">
            <v>32</v>
          </cell>
          <cell r="G355">
            <v>141</v>
          </cell>
        </row>
        <row r="356">
          <cell r="B356" t="str">
            <v>AIN-CKI-10-300R JP</v>
          </cell>
          <cell r="C356"/>
          <cell r="D356">
            <v>44</v>
          </cell>
          <cell r="E356">
            <v>162.4</v>
          </cell>
          <cell r="F356">
            <v>32</v>
          </cell>
          <cell r="G356">
            <v>141</v>
          </cell>
        </row>
        <row r="357">
          <cell r="B357" t="str">
            <v>AP14R010PR JP</v>
          </cell>
          <cell r="C357"/>
          <cell r="D357">
            <v>27.5</v>
          </cell>
          <cell r="E357">
            <v>92.6</v>
          </cell>
          <cell r="F357">
            <v>20</v>
          </cell>
          <cell r="G357">
            <v>70</v>
          </cell>
        </row>
        <row r="358">
          <cell r="B358" t="str">
            <v>AIN-CKI-180-B-SFTR JP</v>
          </cell>
          <cell r="C358"/>
          <cell r="D358">
            <v>44</v>
          </cell>
          <cell r="E358">
            <v>201.4</v>
          </cell>
          <cell r="F358">
            <v>20</v>
          </cell>
          <cell r="G358">
            <v>141</v>
          </cell>
        </row>
        <row r="359">
          <cell r="B359" t="str">
            <v>AIN-CKI-200-RCR JP</v>
          </cell>
          <cell r="C359"/>
          <cell r="D359">
            <v>44</v>
          </cell>
          <cell r="E359">
            <v>162.4</v>
          </cell>
          <cell r="F359">
            <v>32</v>
          </cell>
          <cell r="G359">
            <v>141</v>
          </cell>
        </row>
        <row r="360">
          <cell r="B360" t="str">
            <v>AGP140000R JP</v>
          </cell>
          <cell r="C360"/>
          <cell r="D360">
            <v>21</v>
          </cell>
          <cell r="E360">
            <v>117.9</v>
          </cell>
          <cell r="F360">
            <v>20</v>
          </cell>
          <cell r="G360">
            <v>43</v>
          </cell>
        </row>
        <row r="361">
          <cell r="B361" t="str">
            <v>AGP140001R JP</v>
          </cell>
          <cell r="C361"/>
          <cell r="D361">
            <v>21</v>
          </cell>
          <cell r="E361">
            <v>117.9</v>
          </cell>
          <cell r="F361">
            <v>20</v>
          </cell>
          <cell r="G361">
            <v>43</v>
          </cell>
        </row>
        <row r="362">
          <cell r="B362" t="str">
            <v>AGP140301R JP</v>
          </cell>
          <cell r="C362"/>
          <cell r="D362">
            <v>21</v>
          </cell>
          <cell r="E362">
            <v>88</v>
          </cell>
          <cell r="F362">
            <v>20</v>
          </cell>
          <cell r="G362">
            <v>43</v>
          </cell>
        </row>
        <row r="363">
          <cell r="B363" t="str">
            <v>AH14R000SR JP</v>
          </cell>
          <cell r="C363"/>
          <cell r="D363">
            <v>22</v>
          </cell>
          <cell r="E363">
            <v>117.9</v>
          </cell>
          <cell r="F363">
            <v>20</v>
          </cell>
          <cell r="G363">
            <v>70</v>
          </cell>
        </row>
        <row r="364">
          <cell r="B364" t="str">
            <v>AG14M050R JP</v>
          </cell>
          <cell r="C364"/>
          <cell r="D364">
            <v>27.5</v>
          </cell>
          <cell r="E364">
            <v>117.9</v>
          </cell>
          <cell r="F364">
            <v>20</v>
          </cell>
          <cell r="G364">
            <v>70</v>
          </cell>
        </row>
        <row r="365">
          <cell r="B365" t="str">
            <v>AG14M060R JP</v>
          </cell>
          <cell r="C365"/>
          <cell r="D365">
            <v>27.5</v>
          </cell>
          <cell r="E365">
            <v>117.9</v>
          </cell>
          <cell r="F365">
            <v>20</v>
          </cell>
          <cell r="G365">
            <v>70</v>
          </cell>
        </row>
        <row r="366">
          <cell r="B366" t="str">
            <v>AG14M070R JP</v>
          </cell>
          <cell r="C366"/>
          <cell r="D366">
            <v>34</v>
          </cell>
          <cell r="E366">
            <v>117.9</v>
          </cell>
          <cell r="F366">
            <v>20</v>
          </cell>
          <cell r="G366">
            <v>70</v>
          </cell>
        </row>
        <row r="367">
          <cell r="B367" t="str">
            <v>AG141302R JP</v>
          </cell>
          <cell r="C367"/>
          <cell r="D367">
            <v>27.5</v>
          </cell>
          <cell r="E367">
            <v>92.6</v>
          </cell>
          <cell r="F367">
            <v>20</v>
          </cell>
          <cell r="G367">
            <v>68</v>
          </cell>
        </row>
        <row r="368">
          <cell r="B368" t="str">
            <v>AGH146010R JP</v>
          </cell>
          <cell r="C368"/>
          <cell r="D368">
            <v>22</v>
          </cell>
          <cell r="E368">
            <v>117.9</v>
          </cell>
          <cell r="F368">
            <v>20</v>
          </cell>
          <cell r="G368">
            <v>70</v>
          </cell>
        </row>
        <row r="369">
          <cell r="B369" t="str">
            <v>AGH143090R JP</v>
          </cell>
          <cell r="C369"/>
          <cell r="D369">
            <v>22</v>
          </cell>
          <cell r="E369">
            <v>93</v>
          </cell>
          <cell r="F369">
            <v>20</v>
          </cell>
          <cell r="G369">
            <v>70</v>
          </cell>
        </row>
        <row r="370">
          <cell r="B370" t="str">
            <v>PAGH146000R JP</v>
          </cell>
          <cell r="C370"/>
          <cell r="D370">
            <v>27.5</v>
          </cell>
          <cell r="E370">
            <v>117.9</v>
          </cell>
          <cell r="F370">
            <v>20</v>
          </cell>
          <cell r="G370">
            <v>70</v>
          </cell>
        </row>
        <row r="371">
          <cell r="B371" t="str">
            <v>AMS-180-1445 KR</v>
          </cell>
          <cell r="C371"/>
          <cell r="D371">
            <v>44</v>
          </cell>
          <cell r="E371">
            <v>201.4</v>
          </cell>
          <cell r="F371">
            <v>20</v>
          </cell>
          <cell r="G371">
            <v>138</v>
          </cell>
        </row>
        <row r="372">
          <cell r="B372" t="str">
            <v>R0419-Z6PSR JP</v>
          </cell>
          <cell r="C372"/>
          <cell r="D372">
            <v>22</v>
          </cell>
          <cell r="E372">
            <v>117.9</v>
          </cell>
          <cell r="F372">
            <v>20</v>
          </cell>
          <cell r="G372">
            <v>70</v>
          </cell>
        </row>
        <row r="373">
          <cell r="B373" t="str">
            <v>PX9419-Z8PSR JP</v>
          </cell>
          <cell r="C373"/>
          <cell r="D373">
            <v>22</v>
          </cell>
          <cell r="E373">
            <v>117.9</v>
          </cell>
          <cell r="F373">
            <v>20</v>
          </cell>
          <cell r="G373">
            <v>70</v>
          </cell>
        </row>
        <row r="374">
          <cell r="B374" t="str">
            <v>PAGH18M070R JP</v>
          </cell>
          <cell r="C374"/>
          <cell r="D374">
            <v>27.5</v>
          </cell>
          <cell r="E374">
            <v>117.9</v>
          </cell>
          <cell r="F374">
            <v>20</v>
          </cell>
          <cell r="G374">
            <v>70</v>
          </cell>
        </row>
        <row r="375">
          <cell r="B375" t="str">
            <v>PAGH18M071R JP</v>
          </cell>
          <cell r="C375"/>
          <cell r="D375">
            <v>27.5</v>
          </cell>
          <cell r="E375">
            <v>117.9</v>
          </cell>
          <cell r="F375">
            <v>20</v>
          </cell>
          <cell r="G375">
            <v>70</v>
          </cell>
        </row>
        <row r="376">
          <cell r="B376" t="str">
            <v>PAGH18M072R JP</v>
          </cell>
          <cell r="C376"/>
          <cell r="D376">
            <v>27.5</v>
          </cell>
          <cell r="E376">
            <v>117.9</v>
          </cell>
          <cell r="F376">
            <v>20</v>
          </cell>
          <cell r="G376">
            <v>70</v>
          </cell>
        </row>
        <row r="377">
          <cell r="B377" t="str">
            <v>PAGH18M372R JP</v>
          </cell>
          <cell r="C377"/>
          <cell r="D377">
            <v>27.5</v>
          </cell>
          <cell r="E377">
            <v>92.6</v>
          </cell>
          <cell r="F377">
            <v>32</v>
          </cell>
          <cell r="G377">
            <v>70</v>
          </cell>
        </row>
        <row r="378">
          <cell r="B378" t="str">
            <v>PAGP140000R JP</v>
          </cell>
          <cell r="C378"/>
          <cell r="D378">
            <v>27.5</v>
          </cell>
          <cell r="E378">
            <v>117.9</v>
          </cell>
          <cell r="F378">
            <v>20</v>
          </cell>
          <cell r="G378">
            <v>70</v>
          </cell>
        </row>
        <row r="379">
          <cell r="B379" t="str">
            <v>PAG141302R JP</v>
          </cell>
          <cell r="C379"/>
          <cell r="D379">
            <v>27.5</v>
          </cell>
          <cell r="E379">
            <v>92.6</v>
          </cell>
          <cell r="F379">
            <v>20</v>
          </cell>
          <cell r="G379">
            <v>68</v>
          </cell>
        </row>
        <row r="380">
          <cell r="B380" t="str">
            <v>PAG14M070R JP</v>
          </cell>
          <cell r="C380"/>
          <cell r="D380">
            <v>27.5</v>
          </cell>
          <cell r="E380">
            <v>117.9</v>
          </cell>
          <cell r="F380">
            <v>20</v>
          </cell>
          <cell r="G380">
            <v>70</v>
          </cell>
        </row>
        <row r="381">
          <cell r="B381" t="str">
            <v>X9419-Z8PSR JP</v>
          </cell>
          <cell r="C381"/>
          <cell r="D381">
            <v>22</v>
          </cell>
          <cell r="E381">
            <v>117.9</v>
          </cell>
          <cell r="F381">
            <v>20</v>
          </cell>
          <cell r="G381">
            <v>70</v>
          </cell>
        </row>
        <row r="382">
          <cell r="B382" t="str">
            <v>PAGH146300R JP</v>
          </cell>
          <cell r="C382"/>
          <cell r="D382">
            <v>27.5</v>
          </cell>
          <cell r="E382">
            <v>92.6</v>
          </cell>
          <cell r="F382">
            <v>20</v>
          </cell>
          <cell r="G382">
            <v>70</v>
          </cell>
        </row>
        <row r="383">
          <cell r="B383" t="str">
            <v>AG142300 I CE2</v>
          </cell>
          <cell r="C383"/>
          <cell r="D383">
            <v>21</v>
          </cell>
          <cell r="E383">
            <v>88</v>
          </cell>
          <cell r="F383">
            <v>32</v>
          </cell>
          <cell r="G383">
            <v>43</v>
          </cell>
        </row>
        <row r="384">
          <cell r="B384" t="str">
            <v>AG143300 CE2</v>
          </cell>
          <cell r="C384"/>
          <cell r="D384">
            <v>21</v>
          </cell>
          <cell r="E384">
            <v>88</v>
          </cell>
          <cell r="F384">
            <v>32</v>
          </cell>
          <cell r="G384">
            <v>43</v>
          </cell>
        </row>
        <row r="385">
          <cell r="B385" t="str">
            <v>AG14M350 CE2</v>
          </cell>
          <cell r="C385"/>
          <cell r="D385">
            <v>21</v>
          </cell>
          <cell r="E385">
            <v>88</v>
          </cell>
          <cell r="F385">
            <v>32</v>
          </cell>
          <cell r="G385">
            <v>43</v>
          </cell>
        </row>
        <row r="386">
          <cell r="B386" t="str">
            <v>AG14M345 CE2</v>
          </cell>
          <cell r="C386"/>
          <cell r="D386">
            <v>21</v>
          </cell>
          <cell r="E386">
            <v>88</v>
          </cell>
          <cell r="F386">
            <v>32</v>
          </cell>
          <cell r="G386">
            <v>43</v>
          </cell>
        </row>
        <row r="387">
          <cell r="B387" t="str">
            <v>AG14M360 CE2</v>
          </cell>
          <cell r="C387"/>
          <cell r="D387">
            <v>21</v>
          </cell>
          <cell r="E387">
            <v>88</v>
          </cell>
          <cell r="F387">
            <v>32</v>
          </cell>
          <cell r="G387">
            <v>43</v>
          </cell>
        </row>
        <row r="388">
          <cell r="B388" t="str">
            <v>PX9419-Z8PS</v>
          </cell>
          <cell r="C388"/>
          <cell r="D388">
            <v>92.8</v>
          </cell>
          <cell r="E388">
            <v>117.9</v>
          </cell>
          <cell r="F388">
            <v>32</v>
          </cell>
          <cell r="G388">
            <v>69.900000000000006</v>
          </cell>
        </row>
        <row r="389">
          <cell r="B389" t="str">
            <v>AGP140000J US</v>
          </cell>
          <cell r="C389"/>
          <cell r="D389">
            <v>34</v>
          </cell>
          <cell r="E389">
            <v>117.9</v>
          </cell>
          <cell r="F389">
            <v>20</v>
          </cell>
          <cell r="G389">
            <v>60</v>
          </cell>
        </row>
        <row r="390">
          <cell r="B390" t="str">
            <v>AGP140300J US</v>
          </cell>
          <cell r="C390"/>
          <cell r="D390">
            <v>34</v>
          </cell>
          <cell r="E390">
            <v>101</v>
          </cell>
          <cell r="F390">
            <v>20</v>
          </cell>
          <cell r="G390">
            <v>60</v>
          </cell>
        </row>
        <row r="391">
          <cell r="B391" t="str">
            <v>AGP140001J US</v>
          </cell>
          <cell r="C391"/>
          <cell r="D391">
            <v>34</v>
          </cell>
          <cell r="E391">
            <v>117.9</v>
          </cell>
          <cell r="F391">
            <v>20</v>
          </cell>
          <cell r="G391">
            <v>60</v>
          </cell>
        </row>
        <row r="392">
          <cell r="B392" t="str">
            <v>AGP140301 US</v>
          </cell>
          <cell r="C392"/>
          <cell r="D392">
            <v>34</v>
          </cell>
          <cell r="E392">
            <v>101</v>
          </cell>
          <cell r="F392">
            <v>20</v>
          </cell>
          <cell r="G392">
            <v>60</v>
          </cell>
        </row>
        <row r="393">
          <cell r="B393" t="str">
            <v>AGP140301J US</v>
          </cell>
          <cell r="C393"/>
          <cell r="D393">
            <v>34</v>
          </cell>
          <cell r="E393">
            <v>101</v>
          </cell>
          <cell r="F393">
            <v>20</v>
          </cell>
          <cell r="G393">
            <v>60</v>
          </cell>
        </row>
        <row r="394">
          <cell r="B394" t="str">
            <v>AG141300J US</v>
          </cell>
          <cell r="C394"/>
          <cell r="D394">
            <v>34</v>
          </cell>
          <cell r="E394">
            <v>101</v>
          </cell>
          <cell r="F394">
            <v>154</v>
          </cell>
          <cell r="G394">
            <v>60</v>
          </cell>
        </row>
        <row r="395">
          <cell r="B395" t="str">
            <v>AG145000J CE2</v>
          </cell>
          <cell r="C395"/>
          <cell r="D395">
            <v>21</v>
          </cell>
          <cell r="E395">
            <v>117.9</v>
          </cell>
          <cell r="F395">
            <v>154</v>
          </cell>
          <cell r="G395">
            <v>43</v>
          </cell>
        </row>
        <row r="396">
          <cell r="B396" t="str">
            <v>AGH147000J R CE2</v>
          </cell>
          <cell r="C396"/>
          <cell r="D396">
            <v>21</v>
          </cell>
          <cell r="E396">
            <v>117.9</v>
          </cell>
          <cell r="F396">
            <v>20</v>
          </cell>
          <cell r="G396">
            <v>43</v>
          </cell>
        </row>
        <row r="397">
          <cell r="B397" t="str">
            <v>AGP140001 US</v>
          </cell>
          <cell r="C397"/>
          <cell r="D397">
            <v>34</v>
          </cell>
          <cell r="E397">
            <v>117.9</v>
          </cell>
          <cell r="F397">
            <v>20</v>
          </cell>
          <cell r="G397">
            <v>60</v>
          </cell>
        </row>
        <row r="398">
          <cell r="B398" t="str">
            <v>AG145300J US</v>
          </cell>
          <cell r="C398"/>
          <cell r="D398">
            <v>34</v>
          </cell>
          <cell r="E398">
            <v>101</v>
          </cell>
          <cell r="F398">
            <v>32</v>
          </cell>
          <cell r="G398">
            <v>60</v>
          </cell>
        </row>
        <row r="399">
          <cell r="B399" t="str">
            <v>AG145000J US</v>
          </cell>
          <cell r="C399"/>
          <cell r="D399">
            <v>34</v>
          </cell>
          <cell r="E399">
            <v>117.9</v>
          </cell>
          <cell r="F399">
            <v>32</v>
          </cell>
          <cell r="G399">
            <v>60</v>
          </cell>
        </row>
        <row r="400">
          <cell r="B400" t="str">
            <v>AG145300 US</v>
          </cell>
          <cell r="C400"/>
          <cell r="D400">
            <v>34</v>
          </cell>
          <cell r="E400">
            <v>101</v>
          </cell>
          <cell r="F400">
            <v>32</v>
          </cell>
          <cell r="G400">
            <v>60</v>
          </cell>
        </row>
        <row r="401">
          <cell r="B401" t="str">
            <v>AG145000 US</v>
          </cell>
          <cell r="C401"/>
          <cell r="D401">
            <v>34</v>
          </cell>
          <cell r="E401">
            <v>117.9</v>
          </cell>
          <cell r="F401">
            <v>32</v>
          </cell>
          <cell r="G401">
            <v>60</v>
          </cell>
        </row>
        <row r="402">
          <cell r="B402" t="str">
            <v>AG141300 US</v>
          </cell>
          <cell r="C402"/>
          <cell r="D402">
            <v>34</v>
          </cell>
          <cell r="E402">
            <v>101</v>
          </cell>
          <cell r="F402">
            <v>32</v>
          </cell>
          <cell r="G402">
            <v>60</v>
          </cell>
        </row>
        <row r="403">
          <cell r="B403" t="str">
            <v>AG142000J I CE2</v>
          </cell>
          <cell r="C403"/>
          <cell r="D403">
            <v>21</v>
          </cell>
          <cell r="E403">
            <v>117.9</v>
          </cell>
          <cell r="F403">
            <v>32</v>
          </cell>
          <cell r="G403">
            <v>43</v>
          </cell>
        </row>
        <row r="404">
          <cell r="B404" t="str">
            <v>AG143000J CE2</v>
          </cell>
          <cell r="C404"/>
          <cell r="D404">
            <v>21</v>
          </cell>
          <cell r="E404">
            <v>88</v>
          </cell>
          <cell r="F404">
            <v>32</v>
          </cell>
          <cell r="G404">
            <v>43</v>
          </cell>
        </row>
        <row r="405">
          <cell r="B405" t="str">
            <v>AG14M050J CE2</v>
          </cell>
          <cell r="C405"/>
          <cell r="D405">
            <v>21</v>
          </cell>
          <cell r="E405">
            <v>117.9</v>
          </cell>
          <cell r="F405">
            <v>32</v>
          </cell>
          <cell r="G405">
            <v>43</v>
          </cell>
        </row>
        <row r="406">
          <cell r="B406" t="str">
            <v>AHW14S303J CE2</v>
          </cell>
          <cell r="C406"/>
          <cell r="D406">
            <v>21</v>
          </cell>
          <cell r="E406">
            <v>88</v>
          </cell>
          <cell r="F406">
            <v>32</v>
          </cell>
          <cell r="G406">
            <v>43</v>
          </cell>
        </row>
        <row r="407">
          <cell r="B407" t="str">
            <v>AGH146300J R CE2</v>
          </cell>
          <cell r="C407"/>
          <cell r="D407">
            <v>21</v>
          </cell>
          <cell r="E407">
            <v>88</v>
          </cell>
          <cell r="F407">
            <v>32</v>
          </cell>
          <cell r="G407">
            <v>43</v>
          </cell>
        </row>
        <row r="408">
          <cell r="B408" t="str">
            <v>AG142300J I CE2</v>
          </cell>
          <cell r="C408"/>
          <cell r="D408">
            <v>21</v>
          </cell>
          <cell r="E408">
            <v>88</v>
          </cell>
          <cell r="F408">
            <v>32</v>
          </cell>
          <cell r="G408">
            <v>43</v>
          </cell>
        </row>
        <row r="409">
          <cell r="B409" t="str">
            <v>AG141002J US</v>
          </cell>
          <cell r="C409"/>
          <cell r="D409">
            <v>34</v>
          </cell>
          <cell r="E409">
            <v>117.9</v>
          </cell>
          <cell r="F409">
            <v>32</v>
          </cell>
          <cell r="G409">
            <v>60</v>
          </cell>
        </row>
        <row r="410">
          <cell r="B410" t="str">
            <v>AG141002 US</v>
          </cell>
          <cell r="C410"/>
          <cell r="D410">
            <v>34</v>
          </cell>
          <cell r="E410">
            <v>117.9</v>
          </cell>
          <cell r="F410">
            <v>32</v>
          </cell>
          <cell r="G410">
            <v>60</v>
          </cell>
        </row>
        <row r="411">
          <cell r="B411" t="str">
            <v>AGH146300 US</v>
          </cell>
          <cell r="C411"/>
          <cell r="D411">
            <v>34</v>
          </cell>
          <cell r="E411">
            <v>101</v>
          </cell>
          <cell r="F411">
            <v>32</v>
          </cell>
          <cell r="G411">
            <v>60</v>
          </cell>
        </row>
        <row r="412">
          <cell r="B412" t="str">
            <v>AGH147300 US</v>
          </cell>
          <cell r="C412"/>
          <cell r="D412">
            <v>34</v>
          </cell>
          <cell r="E412">
            <v>101</v>
          </cell>
          <cell r="F412">
            <v>32</v>
          </cell>
          <cell r="G412">
            <v>60</v>
          </cell>
        </row>
        <row r="413">
          <cell r="B413" t="str">
            <v>AGH147300J US</v>
          </cell>
          <cell r="C413"/>
          <cell r="D413">
            <v>34</v>
          </cell>
          <cell r="E413">
            <v>101</v>
          </cell>
          <cell r="F413">
            <v>20</v>
          </cell>
          <cell r="G413">
            <v>60</v>
          </cell>
        </row>
        <row r="414">
          <cell r="B414" t="str">
            <v>AHW10S302S US</v>
          </cell>
          <cell r="C414"/>
          <cell r="D414">
            <v>34</v>
          </cell>
          <cell r="E414">
            <v>101</v>
          </cell>
          <cell r="F414">
            <v>32</v>
          </cell>
          <cell r="G414">
            <v>60</v>
          </cell>
        </row>
        <row r="415">
          <cell r="B415" t="str">
            <v>AG142000 M CE2</v>
          </cell>
          <cell r="C415"/>
          <cell r="D415">
            <v>21</v>
          </cell>
          <cell r="E415">
            <v>117.9</v>
          </cell>
          <cell r="F415">
            <v>32</v>
          </cell>
          <cell r="G415">
            <v>43</v>
          </cell>
        </row>
        <row r="416">
          <cell r="B416" t="str">
            <v>AG14M045 B CE2</v>
          </cell>
          <cell r="C416"/>
          <cell r="D416">
            <v>21</v>
          </cell>
          <cell r="E416">
            <v>117.9</v>
          </cell>
          <cell r="F416">
            <v>32</v>
          </cell>
          <cell r="G416">
            <v>43</v>
          </cell>
        </row>
        <row r="417">
          <cell r="B417" t="str">
            <v>AG14M350 B CE2</v>
          </cell>
          <cell r="C417"/>
          <cell r="D417">
            <v>21</v>
          </cell>
          <cell r="E417">
            <v>88</v>
          </cell>
          <cell r="F417">
            <v>32</v>
          </cell>
          <cell r="G417">
            <v>43</v>
          </cell>
        </row>
        <row r="418">
          <cell r="B418" t="str">
            <v>AG14M345 B CE2</v>
          </cell>
          <cell r="C418"/>
          <cell r="D418">
            <v>21</v>
          </cell>
          <cell r="E418">
            <v>88</v>
          </cell>
          <cell r="F418">
            <v>32</v>
          </cell>
          <cell r="G418">
            <v>43</v>
          </cell>
        </row>
        <row r="419">
          <cell r="B419" t="str">
            <v>AG145000 CE2</v>
          </cell>
          <cell r="C419"/>
          <cell r="D419">
            <v>21</v>
          </cell>
          <cell r="E419">
            <v>117.9</v>
          </cell>
          <cell r="F419">
            <v>32</v>
          </cell>
          <cell r="G419">
            <v>43</v>
          </cell>
        </row>
        <row r="420">
          <cell r="B420" t="str">
            <v>AG142300 M CE2</v>
          </cell>
          <cell r="C420"/>
          <cell r="D420">
            <v>21</v>
          </cell>
          <cell r="E420">
            <v>88</v>
          </cell>
          <cell r="F420">
            <v>20</v>
          </cell>
          <cell r="G420">
            <v>43</v>
          </cell>
        </row>
        <row r="421">
          <cell r="B421" t="str">
            <v>AGH143390J Q CE2</v>
          </cell>
          <cell r="C421"/>
          <cell r="D421">
            <v>22</v>
          </cell>
          <cell r="E421">
            <v>94.9</v>
          </cell>
          <cell r="F421">
            <v>32</v>
          </cell>
          <cell r="G421">
            <v>42.7</v>
          </cell>
        </row>
        <row r="422">
          <cell r="B422" t="str">
            <v>BGN180-14AR JP</v>
          </cell>
          <cell r="C422"/>
          <cell r="D422">
            <v>44.4</v>
          </cell>
          <cell r="E422">
            <v>166.9</v>
          </cell>
          <cell r="F422">
            <v>32</v>
          </cell>
          <cell r="G422">
            <v>147.1</v>
          </cell>
        </row>
        <row r="423">
          <cell r="B423" t="str">
            <v>AG142000 I CE2</v>
          </cell>
          <cell r="C423"/>
          <cell r="D423">
            <v>21</v>
          </cell>
          <cell r="E423">
            <v>117.9</v>
          </cell>
          <cell r="F423">
            <v>20</v>
          </cell>
          <cell r="G423">
            <v>43</v>
          </cell>
        </row>
        <row r="424">
          <cell r="B424" t="str">
            <v>AG143000 CE2</v>
          </cell>
          <cell r="C424"/>
          <cell r="D424">
            <v>21</v>
          </cell>
          <cell r="E424">
            <v>88</v>
          </cell>
          <cell r="F424">
            <v>20</v>
          </cell>
          <cell r="G424">
            <v>43</v>
          </cell>
        </row>
        <row r="425">
          <cell r="B425" t="str">
            <v>WAMS-180-1645</v>
          </cell>
          <cell r="C425"/>
          <cell r="D425">
            <v>44.4</v>
          </cell>
          <cell r="E425">
            <v>201.4</v>
          </cell>
          <cell r="F425">
            <v>32</v>
          </cell>
          <cell r="G425">
            <v>144</v>
          </cell>
        </row>
        <row r="426">
          <cell r="B426" t="str">
            <v>WCKV180-14</v>
          </cell>
          <cell r="C426"/>
          <cell r="D426">
            <v>72</v>
          </cell>
          <cell r="E426">
            <v>162.4</v>
          </cell>
          <cell r="F426">
            <v>32</v>
          </cell>
          <cell r="G426">
            <v>174</v>
          </cell>
        </row>
        <row r="427">
          <cell r="B427" t="str">
            <v>AG143090 KR</v>
          </cell>
          <cell r="C427"/>
          <cell r="D427">
            <v>27.6</v>
          </cell>
          <cell r="E427">
            <v>92.6</v>
          </cell>
          <cell r="F427">
            <v>20</v>
          </cell>
          <cell r="G427">
            <v>50.5</v>
          </cell>
        </row>
        <row r="428">
          <cell r="B428" t="str">
            <v>AG141302J KR</v>
          </cell>
          <cell r="C428"/>
          <cell r="D428">
            <v>27.6</v>
          </cell>
          <cell r="E428">
            <v>135</v>
          </cell>
          <cell r="F428">
            <v>20</v>
          </cell>
          <cell r="G428">
            <v>50.5</v>
          </cell>
        </row>
        <row r="429">
          <cell r="B429" t="str">
            <v>AHW14S303S KR</v>
          </cell>
          <cell r="C429"/>
          <cell r="D429">
            <v>27.6</v>
          </cell>
          <cell r="E429">
            <v>135</v>
          </cell>
          <cell r="F429">
            <v>20</v>
          </cell>
          <cell r="G429">
            <v>50.5</v>
          </cell>
        </row>
        <row r="430">
          <cell r="B430" t="str">
            <v>AHW14S303J KR</v>
          </cell>
          <cell r="C430"/>
          <cell r="D430">
            <v>27.6</v>
          </cell>
          <cell r="E430">
            <v>135</v>
          </cell>
          <cell r="F430">
            <v>20</v>
          </cell>
          <cell r="G430">
            <v>45.7</v>
          </cell>
        </row>
        <row r="431">
          <cell r="B431" t="str">
            <v>AHW14R013P CN</v>
          </cell>
          <cell r="C431"/>
          <cell r="D431">
            <v>42.4</v>
          </cell>
          <cell r="E431">
            <v>92.6</v>
          </cell>
          <cell r="F431">
            <v>20</v>
          </cell>
          <cell r="G431">
            <v>58</v>
          </cell>
        </row>
        <row r="432">
          <cell r="B432" t="str">
            <v>LOG080-18NR JP</v>
          </cell>
          <cell r="C432"/>
          <cell r="D432">
            <v>44.4</v>
          </cell>
          <cell r="E432">
            <v>166.9</v>
          </cell>
          <cell r="F432">
            <v>20</v>
          </cell>
          <cell r="G432">
            <v>147.1</v>
          </cell>
        </row>
        <row r="433">
          <cell r="B433" t="str">
            <v>AG142300J KR</v>
          </cell>
          <cell r="C433"/>
          <cell r="D433">
            <v>27.6</v>
          </cell>
          <cell r="E433">
            <v>135</v>
          </cell>
          <cell r="F433">
            <v>32</v>
          </cell>
          <cell r="G433">
            <v>50.5</v>
          </cell>
        </row>
        <row r="434">
          <cell r="B434" t="str">
            <v>AG141300 KR</v>
          </cell>
          <cell r="C434"/>
          <cell r="D434">
            <v>27.6</v>
          </cell>
          <cell r="E434">
            <v>135</v>
          </cell>
          <cell r="F434">
            <v>32</v>
          </cell>
          <cell r="G434">
            <v>50.5</v>
          </cell>
        </row>
        <row r="435">
          <cell r="B435" t="str">
            <v>AG141300J KR</v>
          </cell>
          <cell r="C435"/>
          <cell r="D435">
            <v>27.6</v>
          </cell>
          <cell r="E435">
            <v>135</v>
          </cell>
          <cell r="F435">
            <v>20</v>
          </cell>
          <cell r="G435">
            <v>50.5</v>
          </cell>
        </row>
        <row r="436">
          <cell r="B436" t="str">
            <v>AG143390 KR</v>
          </cell>
          <cell r="C436"/>
          <cell r="D436">
            <v>27.6</v>
          </cell>
          <cell r="E436">
            <v>141</v>
          </cell>
          <cell r="F436">
            <v>20</v>
          </cell>
          <cell r="G436">
            <v>50.5</v>
          </cell>
        </row>
        <row r="437">
          <cell r="B437" t="str">
            <v>AHW14S003J KR</v>
          </cell>
          <cell r="C437"/>
          <cell r="D437">
            <v>27.6</v>
          </cell>
          <cell r="E437">
            <v>117.9</v>
          </cell>
          <cell r="F437">
            <v>20</v>
          </cell>
          <cell r="G437">
            <v>45.7</v>
          </cell>
        </row>
        <row r="438">
          <cell r="B438" t="str">
            <v>AHW14R301J KR</v>
          </cell>
          <cell r="C438"/>
          <cell r="D438">
            <v>27.6</v>
          </cell>
          <cell r="E438">
            <v>135</v>
          </cell>
          <cell r="F438">
            <v>20</v>
          </cell>
          <cell r="G438">
            <v>50.5</v>
          </cell>
        </row>
        <row r="439">
          <cell r="B439" t="str">
            <v>AGH146300J KR</v>
          </cell>
          <cell r="C439"/>
          <cell r="D439">
            <v>27.6</v>
          </cell>
          <cell r="E439">
            <v>135</v>
          </cell>
          <cell r="F439">
            <v>32</v>
          </cell>
          <cell r="G439">
            <v>50.5</v>
          </cell>
        </row>
        <row r="440">
          <cell r="B440" t="str">
            <v>AG142300 KR</v>
          </cell>
          <cell r="C440"/>
          <cell r="D440">
            <v>27.6</v>
          </cell>
          <cell r="E440">
            <v>135</v>
          </cell>
          <cell r="F440">
            <v>20</v>
          </cell>
          <cell r="G440">
            <v>50.5</v>
          </cell>
        </row>
        <row r="441">
          <cell r="B441" t="str">
            <v>WAIN-CKI-300 KR</v>
          </cell>
          <cell r="C441"/>
          <cell r="D441">
            <v>45.3</v>
          </cell>
          <cell r="E441">
            <v>162.4</v>
          </cell>
          <cell r="F441">
            <v>20</v>
          </cell>
          <cell r="G441">
            <v>153.4</v>
          </cell>
        </row>
        <row r="442">
          <cell r="B442" t="str">
            <v>AGP140301J KR</v>
          </cell>
          <cell r="C442"/>
          <cell r="D442">
            <v>27.6</v>
          </cell>
          <cell r="E442">
            <v>135</v>
          </cell>
          <cell r="F442">
            <v>20</v>
          </cell>
          <cell r="G442">
            <v>45.7</v>
          </cell>
        </row>
        <row r="443">
          <cell r="B443" t="str">
            <v>AG14M350 KR</v>
          </cell>
          <cell r="C443"/>
          <cell r="D443">
            <v>27.6</v>
          </cell>
          <cell r="E443">
            <v>141</v>
          </cell>
          <cell r="F443">
            <v>20</v>
          </cell>
          <cell r="G443">
            <v>50.5</v>
          </cell>
        </row>
        <row r="444">
          <cell r="B444" t="str">
            <v>AG14M045 KR</v>
          </cell>
          <cell r="C444"/>
          <cell r="D444">
            <v>27.6</v>
          </cell>
          <cell r="E444">
            <v>117.9</v>
          </cell>
          <cell r="F444">
            <v>20</v>
          </cell>
          <cell r="G444">
            <v>45.7</v>
          </cell>
        </row>
        <row r="445">
          <cell r="B445" t="str">
            <v>AG14M050J KR</v>
          </cell>
          <cell r="C445"/>
          <cell r="D445">
            <v>27.6</v>
          </cell>
          <cell r="E445">
            <v>117.9</v>
          </cell>
          <cell r="F445">
            <v>32</v>
          </cell>
          <cell r="G445">
            <v>50.5</v>
          </cell>
        </row>
        <row r="446">
          <cell r="B446" t="str">
            <v>AG14M345 KR</v>
          </cell>
          <cell r="C446"/>
          <cell r="D446">
            <v>27.6</v>
          </cell>
          <cell r="E446">
            <v>141</v>
          </cell>
          <cell r="F446">
            <v>20</v>
          </cell>
          <cell r="G446">
            <v>50.5</v>
          </cell>
        </row>
        <row r="447">
          <cell r="B447" t="str">
            <v>AG14M360 KR</v>
          </cell>
          <cell r="C447"/>
          <cell r="D447">
            <v>27.6</v>
          </cell>
          <cell r="E447">
            <v>141</v>
          </cell>
          <cell r="F447">
            <v>20</v>
          </cell>
          <cell r="G447">
            <v>50.5</v>
          </cell>
        </row>
        <row r="448">
          <cell r="B448" t="str">
            <v>AIN-ENV JP</v>
          </cell>
          <cell r="C448"/>
          <cell r="D448">
            <v>44.4</v>
          </cell>
          <cell r="E448">
            <v>117.9</v>
          </cell>
          <cell r="F448">
            <v>20</v>
          </cell>
          <cell r="G448">
            <v>174</v>
          </cell>
        </row>
        <row r="449">
          <cell r="B449" t="str">
            <v>PAG149001 JP</v>
          </cell>
          <cell r="C449"/>
          <cell r="D449">
            <v>27.5</v>
          </cell>
          <cell r="E449">
            <v>117.9</v>
          </cell>
          <cell r="F449">
            <v>20</v>
          </cell>
          <cell r="G449">
            <v>174</v>
          </cell>
        </row>
        <row r="450">
          <cell r="B450" t="str">
            <v>AIN-CKI-18-200-SFT JP</v>
          </cell>
          <cell r="C450"/>
          <cell r="D450">
            <v>44.4</v>
          </cell>
          <cell r="E450">
            <v>201.4</v>
          </cell>
          <cell r="F450">
            <v>20</v>
          </cell>
          <cell r="G450">
            <v>148</v>
          </cell>
        </row>
        <row r="451">
          <cell r="B451" t="str">
            <v>AIN-CKX-14-200-SFT JP</v>
          </cell>
          <cell r="C451"/>
          <cell r="D451">
            <v>44</v>
          </cell>
          <cell r="E451">
            <v>162.4</v>
          </cell>
          <cell r="F451">
            <v>32</v>
          </cell>
          <cell r="G451">
            <v>146</v>
          </cell>
        </row>
        <row r="452">
          <cell r="B452" t="str">
            <v>WAIN-CKI-200-BA CN</v>
          </cell>
          <cell r="C452"/>
          <cell r="D452">
            <v>43</v>
          </cell>
          <cell r="E452">
            <v>201.4</v>
          </cell>
          <cell r="F452">
            <v>20</v>
          </cell>
          <cell r="G452">
            <v>144</v>
          </cell>
        </row>
        <row r="453">
          <cell r="B453" t="str">
            <v>AP14R010SR JP</v>
          </cell>
          <cell r="C453"/>
          <cell r="D453">
            <v>27.5</v>
          </cell>
          <cell r="E453">
            <v>92.6</v>
          </cell>
          <cell r="F453">
            <v>20</v>
          </cell>
          <cell r="G453">
            <v>69.599999999999994</v>
          </cell>
        </row>
        <row r="454">
          <cell r="B454" t="str">
            <v>AGH147000J KR</v>
          </cell>
          <cell r="C454"/>
          <cell r="D454">
            <v>27.6</v>
          </cell>
          <cell r="E454">
            <v>117.9</v>
          </cell>
          <cell r="F454">
            <v>20</v>
          </cell>
          <cell r="G454">
            <v>50.5</v>
          </cell>
        </row>
        <row r="455">
          <cell r="B455" t="str">
            <v>AG142000 KR</v>
          </cell>
          <cell r="C455"/>
          <cell r="D455">
            <v>27.6</v>
          </cell>
          <cell r="E455">
            <v>117.9</v>
          </cell>
          <cell r="F455">
            <v>20</v>
          </cell>
          <cell r="G455">
            <v>45.7</v>
          </cell>
        </row>
        <row r="456">
          <cell r="B456" t="str">
            <v>AGH143390 KR</v>
          </cell>
          <cell r="C456"/>
          <cell r="D456">
            <v>27.6</v>
          </cell>
          <cell r="E456">
            <v>141</v>
          </cell>
          <cell r="F456">
            <v>20</v>
          </cell>
          <cell r="G456">
            <v>50.5</v>
          </cell>
        </row>
        <row r="457">
          <cell r="B457" t="str">
            <v>WAIN-CKI-300 CE</v>
          </cell>
          <cell r="C457"/>
          <cell r="D457">
            <v>43</v>
          </cell>
          <cell r="E457">
            <v>162.4</v>
          </cell>
          <cell r="F457">
            <v>20</v>
          </cell>
          <cell r="G457">
            <v>147.4</v>
          </cell>
        </row>
        <row r="458">
          <cell r="B458" t="str">
            <v>AMS-135-1445 JP</v>
          </cell>
          <cell r="C458"/>
          <cell r="D458">
            <v>43</v>
          </cell>
          <cell r="E458">
            <v>201.4</v>
          </cell>
          <cell r="F458">
            <v>20</v>
          </cell>
          <cell r="G458">
            <v>138</v>
          </cell>
        </row>
        <row r="459">
          <cell r="B459" t="str">
            <v>AGH147000 KR</v>
          </cell>
          <cell r="C459"/>
          <cell r="D459">
            <v>27.6</v>
          </cell>
          <cell r="E459">
            <v>117.9</v>
          </cell>
          <cell r="F459">
            <v>20</v>
          </cell>
          <cell r="G459">
            <v>77.900000000000006</v>
          </cell>
        </row>
        <row r="460">
          <cell r="B460" t="str">
            <v>AG141002J KR</v>
          </cell>
          <cell r="C460"/>
          <cell r="D460">
            <v>27.6</v>
          </cell>
          <cell r="E460">
            <v>117.9</v>
          </cell>
          <cell r="F460">
            <v>20</v>
          </cell>
          <cell r="G460">
            <v>50.5</v>
          </cell>
        </row>
        <row r="461">
          <cell r="B461" t="str">
            <v>AGP140001J KR</v>
          </cell>
          <cell r="C461"/>
          <cell r="D461">
            <v>27.6</v>
          </cell>
          <cell r="E461">
            <v>117.9</v>
          </cell>
          <cell r="F461">
            <v>20</v>
          </cell>
          <cell r="G461">
            <v>45.7</v>
          </cell>
        </row>
        <row r="462">
          <cell r="B462" t="str">
            <v>AGP140300 KR</v>
          </cell>
          <cell r="C462"/>
          <cell r="D462">
            <v>27.6</v>
          </cell>
          <cell r="E462">
            <v>135</v>
          </cell>
          <cell r="F462">
            <v>20</v>
          </cell>
          <cell r="G462">
            <v>45.7</v>
          </cell>
        </row>
        <row r="463">
          <cell r="B463" t="str">
            <v>AG142000J KR</v>
          </cell>
          <cell r="C463"/>
          <cell r="D463">
            <v>27.6</v>
          </cell>
          <cell r="E463">
            <v>117.9</v>
          </cell>
          <cell r="F463">
            <v>20</v>
          </cell>
          <cell r="G463">
            <v>50.5</v>
          </cell>
        </row>
        <row r="464">
          <cell r="B464" t="str">
            <v>AG14M070 CE2</v>
          </cell>
          <cell r="C464"/>
          <cell r="D464">
            <v>21</v>
          </cell>
          <cell r="E464">
            <v>91.6</v>
          </cell>
          <cell r="F464">
            <v>20</v>
          </cell>
          <cell r="G464">
            <v>43</v>
          </cell>
        </row>
        <row r="465">
          <cell r="B465" t="str">
            <v>BGN080-14R JP</v>
          </cell>
          <cell r="C465"/>
          <cell r="D465">
            <v>44.4</v>
          </cell>
          <cell r="E465">
            <v>166.9</v>
          </cell>
          <cell r="F465">
            <v>20</v>
          </cell>
          <cell r="G465">
            <v>148.1</v>
          </cell>
        </row>
        <row r="466">
          <cell r="B466" t="str">
            <v>BGN135-14R JP</v>
          </cell>
          <cell r="C466"/>
          <cell r="D466">
            <v>44.4</v>
          </cell>
          <cell r="E466">
            <v>166.9</v>
          </cell>
          <cell r="F466">
            <v>20</v>
          </cell>
          <cell r="G466">
            <v>148.1</v>
          </cell>
        </row>
        <row r="467">
          <cell r="B467" t="str">
            <v>BGN165-14R JP</v>
          </cell>
          <cell r="C467"/>
          <cell r="D467">
            <v>44.4</v>
          </cell>
          <cell r="E467">
            <v>166.9</v>
          </cell>
          <cell r="F467">
            <v>20</v>
          </cell>
          <cell r="G467">
            <v>148.1</v>
          </cell>
        </row>
        <row r="468">
          <cell r="B468" t="str">
            <v>LOG135-18NR JP</v>
          </cell>
          <cell r="C468"/>
          <cell r="D468">
            <v>44.4</v>
          </cell>
          <cell r="E468">
            <v>166.9</v>
          </cell>
          <cell r="F468">
            <v>20</v>
          </cell>
          <cell r="G468">
            <v>147.1</v>
          </cell>
        </row>
        <row r="469">
          <cell r="B469" t="str">
            <v>LOG180-18NR JP</v>
          </cell>
          <cell r="C469"/>
          <cell r="D469">
            <v>44.4</v>
          </cell>
          <cell r="E469">
            <v>166.9</v>
          </cell>
          <cell r="F469">
            <v>20</v>
          </cell>
          <cell r="G469">
            <v>147.1</v>
          </cell>
        </row>
        <row r="470">
          <cell r="B470" t="str">
            <v>LOG165-18NR JP</v>
          </cell>
          <cell r="C470"/>
          <cell r="D470">
            <v>44.4</v>
          </cell>
          <cell r="E470">
            <v>166.9</v>
          </cell>
          <cell r="F470">
            <v>20</v>
          </cell>
          <cell r="G470">
            <v>147.1</v>
          </cell>
        </row>
        <row r="471">
          <cell r="B471" t="str">
            <v>BGN135-14PR JP</v>
          </cell>
          <cell r="C471"/>
          <cell r="D471">
            <v>44.4</v>
          </cell>
          <cell r="E471">
            <v>166.9</v>
          </cell>
          <cell r="F471">
            <v>20</v>
          </cell>
          <cell r="G471">
            <v>148.1</v>
          </cell>
        </row>
        <row r="472">
          <cell r="B472" t="str">
            <v>BGN165-14PR JP</v>
          </cell>
          <cell r="C472"/>
          <cell r="D472">
            <v>44.4</v>
          </cell>
          <cell r="E472">
            <v>166.9</v>
          </cell>
          <cell r="F472">
            <v>20</v>
          </cell>
          <cell r="G472">
            <v>148.1</v>
          </cell>
        </row>
        <row r="473">
          <cell r="B473" t="str">
            <v>BGN180-14PR JP</v>
          </cell>
          <cell r="C473"/>
          <cell r="D473">
            <v>44.4</v>
          </cell>
          <cell r="E473">
            <v>166.9</v>
          </cell>
          <cell r="F473">
            <v>20</v>
          </cell>
          <cell r="G473">
            <v>148.1</v>
          </cell>
        </row>
        <row r="474">
          <cell r="B474" t="str">
            <v>BGN180-14APR JP</v>
          </cell>
          <cell r="C474"/>
          <cell r="D474">
            <v>44.4</v>
          </cell>
          <cell r="E474">
            <v>166.9</v>
          </cell>
          <cell r="F474">
            <v>20</v>
          </cell>
          <cell r="G474">
            <v>148.1</v>
          </cell>
        </row>
        <row r="475">
          <cell r="B475" t="str">
            <v>BGN080-14PR JP</v>
          </cell>
          <cell r="C475"/>
          <cell r="D475">
            <v>44.4</v>
          </cell>
          <cell r="E475">
            <v>166.9</v>
          </cell>
          <cell r="F475">
            <v>20</v>
          </cell>
          <cell r="G475">
            <v>148.1</v>
          </cell>
        </row>
        <row r="476">
          <cell r="B476" t="str">
            <v>AGH146000J P CE2</v>
          </cell>
          <cell r="C476"/>
          <cell r="D476">
            <v>21</v>
          </cell>
          <cell r="E476">
            <v>88</v>
          </cell>
          <cell r="F476">
            <v>20</v>
          </cell>
          <cell r="G476">
            <v>43</v>
          </cell>
        </row>
        <row r="477">
          <cell r="B477" t="str">
            <v>AGH147000J US</v>
          </cell>
          <cell r="C477"/>
          <cell r="D477">
            <v>23.5</v>
          </cell>
          <cell r="E477">
            <v>101</v>
          </cell>
          <cell r="F477">
            <v>20</v>
          </cell>
          <cell r="G477">
            <v>60</v>
          </cell>
        </row>
        <row r="478">
          <cell r="B478" t="str">
            <v>AGH147000J P CE2</v>
          </cell>
          <cell r="C478"/>
          <cell r="D478">
            <v>21</v>
          </cell>
          <cell r="E478">
            <v>88</v>
          </cell>
          <cell r="F478">
            <v>20</v>
          </cell>
          <cell r="G478">
            <v>43</v>
          </cell>
        </row>
        <row r="479">
          <cell r="B479" t="str">
            <v>AHW14R001J CE2</v>
          </cell>
          <cell r="C479"/>
          <cell r="D479">
            <v>21</v>
          </cell>
          <cell r="E479">
            <v>91.6</v>
          </cell>
          <cell r="F479">
            <v>20</v>
          </cell>
          <cell r="G479">
            <v>43</v>
          </cell>
        </row>
        <row r="480">
          <cell r="B480" t="str">
            <v>AHW14R004J CE2</v>
          </cell>
          <cell r="C480"/>
          <cell r="D480">
            <v>21</v>
          </cell>
          <cell r="E480">
            <v>91.6</v>
          </cell>
          <cell r="F480">
            <v>20</v>
          </cell>
          <cell r="G480">
            <v>43</v>
          </cell>
        </row>
        <row r="481">
          <cell r="B481" t="str">
            <v>AG141302J CE2</v>
          </cell>
          <cell r="C481"/>
          <cell r="D481">
            <v>21</v>
          </cell>
          <cell r="E481">
            <v>88</v>
          </cell>
          <cell r="F481">
            <v>20</v>
          </cell>
          <cell r="G481">
            <v>43</v>
          </cell>
        </row>
        <row r="482">
          <cell r="B482" t="str">
            <v>AHW14R301J CE2</v>
          </cell>
          <cell r="C482"/>
          <cell r="D482">
            <v>21</v>
          </cell>
          <cell r="E482">
            <v>91.6</v>
          </cell>
          <cell r="F482">
            <v>20</v>
          </cell>
          <cell r="G482">
            <v>43</v>
          </cell>
        </row>
        <row r="483">
          <cell r="B483" t="str">
            <v>WAMS-180-16WAC CN</v>
          </cell>
          <cell r="C483"/>
          <cell r="D483">
            <v>46</v>
          </cell>
          <cell r="E483">
            <v>201.4</v>
          </cell>
          <cell r="F483">
            <v>20</v>
          </cell>
          <cell r="G483">
            <v>147</v>
          </cell>
        </row>
        <row r="484">
          <cell r="B484" t="str">
            <v>WAMS-180-16STC CN</v>
          </cell>
          <cell r="C484"/>
          <cell r="D484">
            <v>46</v>
          </cell>
          <cell r="E484">
            <v>201.4</v>
          </cell>
          <cell r="F484">
            <v>20</v>
          </cell>
          <cell r="G484">
            <v>147</v>
          </cell>
        </row>
        <row r="485">
          <cell r="B485" t="str">
            <v>APW14R010S CN</v>
          </cell>
          <cell r="C485"/>
          <cell r="D485">
            <v>42.4</v>
          </cell>
          <cell r="E485">
            <v>92.6</v>
          </cell>
          <cell r="F485">
            <v>20</v>
          </cell>
          <cell r="G485">
            <v>58</v>
          </cell>
        </row>
        <row r="486">
          <cell r="B486" t="str">
            <v>AG14M050 CE2</v>
          </cell>
          <cell r="C486"/>
          <cell r="D486">
            <v>21</v>
          </cell>
          <cell r="E486">
            <v>91.6</v>
          </cell>
          <cell r="F486">
            <v>20</v>
          </cell>
          <cell r="G486">
            <v>43</v>
          </cell>
        </row>
        <row r="487">
          <cell r="B487" t="str">
            <v>AG14M050 B CE2</v>
          </cell>
          <cell r="C487"/>
          <cell r="D487">
            <v>21</v>
          </cell>
          <cell r="E487">
            <v>91.6</v>
          </cell>
          <cell r="F487">
            <v>20</v>
          </cell>
          <cell r="G487">
            <v>43</v>
          </cell>
        </row>
        <row r="488">
          <cell r="B488" t="str">
            <v>AG14M060 CE2</v>
          </cell>
          <cell r="C488"/>
          <cell r="D488">
            <v>21</v>
          </cell>
          <cell r="E488">
            <v>88</v>
          </cell>
          <cell r="F488">
            <v>20</v>
          </cell>
          <cell r="G488">
            <v>43</v>
          </cell>
        </row>
        <row r="489">
          <cell r="B489" t="str">
            <v>AHW14S003S CE2</v>
          </cell>
          <cell r="C489"/>
          <cell r="D489">
            <v>21</v>
          </cell>
          <cell r="E489">
            <v>91.6</v>
          </cell>
          <cell r="F489">
            <v>20</v>
          </cell>
          <cell r="G489">
            <v>43</v>
          </cell>
        </row>
        <row r="490">
          <cell r="B490" t="str">
            <v>AGP140002 CE2</v>
          </cell>
          <cell r="C490"/>
          <cell r="D490">
            <v>21</v>
          </cell>
          <cell r="E490">
            <v>91.6</v>
          </cell>
          <cell r="F490">
            <v>20</v>
          </cell>
          <cell r="G490">
            <v>43</v>
          </cell>
        </row>
        <row r="491">
          <cell r="B491" t="str">
            <v>WAIN-CKI-200-BS KR</v>
          </cell>
          <cell r="C491"/>
          <cell r="D491">
            <v>43.3</v>
          </cell>
          <cell r="E491">
            <v>195.1</v>
          </cell>
          <cell r="F491">
            <v>22</v>
          </cell>
          <cell r="G491">
            <v>141.4</v>
          </cell>
        </row>
        <row r="492">
          <cell r="B492" t="str">
            <v>AGH143091 US</v>
          </cell>
          <cell r="C492"/>
          <cell r="D492">
            <v>23.5</v>
          </cell>
          <cell r="E492">
            <v>123</v>
          </cell>
          <cell r="F492">
            <v>22</v>
          </cell>
          <cell r="G492">
            <v>75</v>
          </cell>
        </row>
        <row r="493">
          <cell r="B493" t="str">
            <v>AG14M070 B CE2</v>
          </cell>
          <cell r="C493"/>
          <cell r="D493">
            <v>21</v>
          </cell>
          <cell r="E493">
            <v>88</v>
          </cell>
          <cell r="F493">
            <v>22</v>
          </cell>
          <cell r="G493">
            <v>43</v>
          </cell>
        </row>
        <row r="494">
          <cell r="B494" t="str">
            <v>AGH143090 US</v>
          </cell>
          <cell r="C494"/>
          <cell r="D494">
            <v>23.5</v>
          </cell>
          <cell r="E494">
            <v>123</v>
          </cell>
          <cell r="F494">
            <v>22</v>
          </cell>
          <cell r="G494">
            <v>75</v>
          </cell>
        </row>
        <row r="495">
          <cell r="B495" t="str">
            <v>AGH143090 Q CE2</v>
          </cell>
          <cell r="C495"/>
          <cell r="D495">
            <v>21</v>
          </cell>
          <cell r="E495">
            <v>88</v>
          </cell>
          <cell r="F495">
            <v>22</v>
          </cell>
          <cell r="G495">
            <v>43</v>
          </cell>
        </row>
        <row r="496">
          <cell r="B496" t="str">
            <v>AGH143090 F CE2</v>
          </cell>
          <cell r="C496"/>
          <cell r="D496">
            <v>21</v>
          </cell>
          <cell r="E496">
            <v>88</v>
          </cell>
          <cell r="F496">
            <v>22</v>
          </cell>
          <cell r="G496">
            <v>43</v>
          </cell>
        </row>
        <row r="497">
          <cell r="B497" t="str">
            <v>AGP140301 CE2</v>
          </cell>
          <cell r="C497"/>
          <cell r="D497">
            <v>21</v>
          </cell>
          <cell r="E497">
            <v>88</v>
          </cell>
          <cell r="F497">
            <v>22</v>
          </cell>
          <cell r="G497">
            <v>43</v>
          </cell>
        </row>
        <row r="498">
          <cell r="B498" t="str">
            <v>AHW14R004S CE2</v>
          </cell>
          <cell r="C498"/>
          <cell r="D498">
            <v>21</v>
          </cell>
          <cell r="E498">
            <v>91.6</v>
          </cell>
          <cell r="F498">
            <v>22</v>
          </cell>
          <cell r="G498">
            <v>43</v>
          </cell>
        </row>
        <row r="499">
          <cell r="B499" t="str">
            <v>AHW10S302S CE2</v>
          </cell>
          <cell r="C499"/>
          <cell r="D499">
            <v>21</v>
          </cell>
          <cell r="E499">
            <v>91.6</v>
          </cell>
          <cell r="F499">
            <v>22</v>
          </cell>
          <cell r="G499">
            <v>43</v>
          </cell>
        </row>
        <row r="500">
          <cell r="B500" t="str">
            <v>AHW14R101S US</v>
          </cell>
          <cell r="C500"/>
          <cell r="D500">
            <v>34</v>
          </cell>
          <cell r="E500">
            <v>101</v>
          </cell>
          <cell r="F500">
            <v>22</v>
          </cell>
          <cell r="G500">
            <v>60</v>
          </cell>
        </row>
        <row r="501">
          <cell r="B501" t="str">
            <v>AHW14R301J US</v>
          </cell>
          <cell r="C501"/>
          <cell r="D501">
            <v>34</v>
          </cell>
          <cell r="E501">
            <v>101</v>
          </cell>
          <cell r="F501">
            <v>22</v>
          </cell>
          <cell r="G501">
            <v>60</v>
          </cell>
        </row>
        <row r="502">
          <cell r="B502" t="str">
            <v>AHW14R301S US</v>
          </cell>
          <cell r="C502"/>
          <cell r="D502">
            <v>34</v>
          </cell>
          <cell r="E502">
            <v>101</v>
          </cell>
          <cell r="F502">
            <v>22</v>
          </cell>
          <cell r="G502">
            <v>60</v>
          </cell>
        </row>
        <row r="503">
          <cell r="B503" t="str">
            <v>WAMS-180-1645 KR</v>
          </cell>
          <cell r="C503"/>
          <cell r="D503">
            <v>45.3</v>
          </cell>
          <cell r="E503">
            <v>207.8</v>
          </cell>
          <cell r="F503">
            <v>22</v>
          </cell>
          <cell r="G503">
            <v>141.4</v>
          </cell>
        </row>
        <row r="504">
          <cell r="B504" t="str">
            <v>PAGP140000 CE</v>
          </cell>
          <cell r="C504"/>
          <cell r="D504">
            <v>21.9</v>
          </cell>
          <cell r="E504">
            <v>93</v>
          </cell>
          <cell r="F504">
            <v>22</v>
          </cell>
          <cell r="G504">
            <v>70</v>
          </cell>
        </row>
        <row r="505">
          <cell r="B505" t="str">
            <v>AHW14R104P US</v>
          </cell>
          <cell r="C505"/>
          <cell r="D505">
            <v>22</v>
          </cell>
          <cell r="E505">
            <v>153.5</v>
          </cell>
          <cell r="F505">
            <v>22</v>
          </cell>
          <cell r="G505">
            <v>65.5</v>
          </cell>
        </row>
        <row r="506">
          <cell r="B506" t="str">
            <v>PAGH18M072 CE</v>
          </cell>
          <cell r="C506"/>
          <cell r="D506">
            <v>21.9</v>
          </cell>
          <cell r="E506">
            <v>91.6</v>
          </cell>
          <cell r="F506">
            <v>22</v>
          </cell>
          <cell r="G506">
            <v>68</v>
          </cell>
        </row>
        <row r="507">
          <cell r="B507" t="str">
            <v>AGH146300 KR</v>
          </cell>
          <cell r="C507"/>
          <cell r="D507">
            <v>27.6</v>
          </cell>
          <cell r="E507">
            <v>135</v>
          </cell>
          <cell r="F507">
            <v>22</v>
          </cell>
          <cell r="G507">
            <v>50.5</v>
          </cell>
        </row>
        <row r="508">
          <cell r="B508" t="str">
            <v>AHW14R301P US</v>
          </cell>
          <cell r="C508"/>
          <cell r="D508">
            <v>34</v>
          </cell>
          <cell r="E508">
            <v>101</v>
          </cell>
          <cell r="F508">
            <v>22</v>
          </cell>
          <cell r="G508">
            <v>60</v>
          </cell>
        </row>
        <row r="509">
          <cell r="B509" t="str">
            <v>AH14R011PR JP</v>
          </cell>
          <cell r="C509"/>
          <cell r="D509">
            <v>21.9</v>
          </cell>
          <cell r="E509">
            <v>92.6</v>
          </cell>
          <cell r="F509">
            <v>22</v>
          </cell>
          <cell r="G509">
            <v>69.900000000000006</v>
          </cell>
        </row>
        <row r="510">
          <cell r="B510" t="str">
            <v>APW14R010S CE2</v>
          </cell>
          <cell r="C510"/>
          <cell r="D510">
            <v>21</v>
          </cell>
          <cell r="E510">
            <v>91.6</v>
          </cell>
          <cell r="F510">
            <v>22</v>
          </cell>
          <cell r="G510">
            <v>60</v>
          </cell>
        </row>
        <row r="511">
          <cell r="B511" t="str">
            <v>AG141000 KR</v>
          </cell>
          <cell r="C511"/>
          <cell r="D511">
            <v>27.6</v>
          </cell>
          <cell r="E511">
            <v>125.8</v>
          </cell>
          <cell r="F511">
            <v>22</v>
          </cell>
          <cell r="G511">
            <v>50.5</v>
          </cell>
        </row>
        <row r="512">
          <cell r="B512" t="str">
            <v>AGH146000 KR</v>
          </cell>
          <cell r="C512"/>
          <cell r="D512">
            <v>27.6</v>
          </cell>
          <cell r="E512">
            <v>125.8</v>
          </cell>
          <cell r="F512">
            <v>22</v>
          </cell>
          <cell r="G512">
            <v>50.5</v>
          </cell>
        </row>
        <row r="513">
          <cell r="B513" t="str">
            <v>AGH146000J KR</v>
          </cell>
          <cell r="C513"/>
          <cell r="D513">
            <v>27.6</v>
          </cell>
          <cell r="E513">
            <v>125.8</v>
          </cell>
          <cell r="F513">
            <v>22</v>
          </cell>
          <cell r="G513">
            <v>50.5</v>
          </cell>
        </row>
        <row r="514">
          <cell r="B514" t="str">
            <v>AG14M050 KR</v>
          </cell>
          <cell r="C514"/>
          <cell r="D514">
            <v>27.6</v>
          </cell>
          <cell r="E514">
            <v>125.8</v>
          </cell>
          <cell r="F514">
            <v>22</v>
          </cell>
          <cell r="G514">
            <v>45.7</v>
          </cell>
        </row>
        <row r="515">
          <cell r="B515" t="str">
            <v>AHW14R101J US</v>
          </cell>
          <cell r="C515"/>
          <cell r="D515">
            <v>34</v>
          </cell>
          <cell r="E515">
            <v>101</v>
          </cell>
          <cell r="F515">
            <v>22</v>
          </cell>
          <cell r="G515">
            <v>60</v>
          </cell>
        </row>
        <row r="516">
          <cell r="B516" t="str">
            <v>AHW14R001J US</v>
          </cell>
          <cell r="C516"/>
          <cell r="D516">
            <v>34</v>
          </cell>
          <cell r="E516">
            <v>125.8</v>
          </cell>
          <cell r="F516">
            <v>22</v>
          </cell>
          <cell r="G516">
            <v>60</v>
          </cell>
        </row>
        <row r="517">
          <cell r="B517" t="str">
            <v>AHW14R001S US</v>
          </cell>
          <cell r="C517"/>
          <cell r="D517">
            <v>34</v>
          </cell>
          <cell r="E517">
            <v>125.8</v>
          </cell>
          <cell r="F517">
            <v>22</v>
          </cell>
          <cell r="G517">
            <v>60</v>
          </cell>
        </row>
        <row r="518">
          <cell r="B518" t="str">
            <v>AHW14R304P US</v>
          </cell>
          <cell r="C518"/>
          <cell r="D518">
            <v>23.5</v>
          </cell>
          <cell r="E518">
            <v>92.6</v>
          </cell>
          <cell r="F518">
            <v>22</v>
          </cell>
          <cell r="G518">
            <v>58.1</v>
          </cell>
        </row>
        <row r="519">
          <cell r="B519" t="str">
            <v>AG141302 KR</v>
          </cell>
          <cell r="C519"/>
          <cell r="D519">
            <v>27.6</v>
          </cell>
          <cell r="E519">
            <v>92.6</v>
          </cell>
          <cell r="F519">
            <v>22</v>
          </cell>
          <cell r="G519">
            <v>50.5</v>
          </cell>
        </row>
        <row r="520">
          <cell r="B520" t="str">
            <v>Z130-1005-A-A</v>
          </cell>
          <cell r="C520"/>
          <cell r="D520">
            <v>132</v>
          </cell>
          <cell r="E520">
            <v>152</v>
          </cell>
          <cell r="F520">
            <v>22</v>
          </cell>
          <cell r="G520">
            <v>76</v>
          </cell>
        </row>
        <row r="521">
          <cell r="B521" t="str">
            <v>AHW14R101P US</v>
          </cell>
          <cell r="C521"/>
          <cell r="D521">
            <v>34</v>
          </cell>
          <cell r="E521">
            <v>101</v>
          </cell>
          <cell r="F521">
            <v>22</v>
          </cell>
          <cell r="G521">
            <v>60</v>
          </cell>
        </row>
        <row r="522">
          <cell r="B522" t="str">
            <v>AGH146300 R CE2</v>
          </cell>
          <cell r="C522"/>
          <cell r="D522">
            <v>21</v>
          </cell>
          <cell r="E522">
            <v>117.9</v>
          </cell>
          <cell r="F522">
            <v>22</v>
          </cell>
          <cell r="G522">
            <v>43</v>
          </cell>
        </row>
        <row r="523">
          <cell r="B523" t="str">
            <v>AGP140001 CN</v>
          </cell>
          <cell r="C523"/>
          <cell r="D523">
            <v>42.4</v>
          </cell>
          <cell r="E523">
            <v>117.9</v>
          </cell>
          <cell r="F523">
            <v>22</v>
          </cell>
          <cell r="G523">
            <v>58</v>
          </cell>
        </row>
        <row r="524">
          <cell r="B524" t="str">
            <v>AGP140301 CN</v>
          </cell>
          <cell r="C524"/>
          <cell r="D524">
            <v>42.4</v>
          </cell>
          <cell r="E524">
            <v>92.6</v>
          </cell>
          <cell r="F524">
            <v>22</v>
          </cell>
          <cell r="G524">
            <v>58</v>
          </cell>
        </row>
        <row r="525">
          <cell r="B525" t="str">
            <v>AGP140001J CN</v>
          </cell>
          <cell r="C525"/>
          <cell r="D525">
            <v>42.4</v>
          </cell>
          <cell r="E525">
            <v>117.9</v>
          </cell>
          <cell r="F525">
            <v>22</v>
          </cell>
          <cell r="G525">
            <v>58</v>
          </cell>
        </row>
        <row r="526">
          <cell r="B526" t="str">
            <v>AGP140301J CN</v>
          </cell>
          <cell r="C526"/>
          <cell r="D526">
            <v>42.4</v>
          </cell>
          <cell r="E526">
            <v>135</v>
          </cell>
          <cell r="F526">
            <v>22</v>
          </cell>
          <cell r="G526">
            <v>58</v>
          </cell>
        </row>
        <row r="527">
          <cell r="B527" t="str">
            <v>AGP140302 CN</v>
          </cell>
          <cell r="C527"/>
          <cell r="D527">
            <v>42.4</v>
          </cell>
          <cell r="E527">
            <v>94.9</v>
          </cell>
          <cell r="F527">
            <v>22</v>
          </cell>
          <cell r="G527">
            <v>58</v>
          </cell>
        </row>
        <row r="528">
          <cell r="B528" t="str">
            <v>AG149001 JP</v>
          </cell>
          <cell r="C528"/>
          <cell r="D528">
            <v>72</v>
          </cell>
          <cell r="E528">
            <v>125.8</v>
          </cell>
          <cell r="F528">
            <v>22</v>
          </cell>
          <cell r="G528">
            <v>68</v>
          </cell>
        </row>
        <row r="529">
          <cell r="B529" t="str">
            <v>AGP140001 CE2</v>
          </cell>
          <cell r="C529"/>
          <cell r="D529">
            <v>21</v>
          </cell>
          <cell r="E529">
            <v>88</v>
          </cell>
          <cell r="F529">
            <v>22</v>
          </cell>
          <cell r="G529">
            <v>43</v>
          </cell>
        </row>
        <row r="530">
          <cell r="B530" t="str">
            <v>AHW14R001S CE2</v>
          </cell>
          <cell r="C530"/>
          <cell r="D530">
            <v>21</v>
          </cell>
          <cell r="E530">
            <v>91.6</v>
          </cell>
          <cell r="F530">
            <v>22</v>
          </cell>
          <cell r="G530">
            <v>43</v>
          </cell>
        </row>
        <row r="531">
          <cell r="B531" t="str">
            <v>AGP140302 CE2</v>
          </cell>
          <cell r="C531"/>
          <cell r="D531">
            <v>21</v>
          </cell>
          <cell r="E531">
            <v>88</v>
          </cell>
          <cell r="F531">
            <v>22</v>
          </cell>
          <cell r="G531">
            <v>43</v>
          </cell>
        </row>
        <row r="532">
          <cell r="B532" t="str">
            <v>AGP140001J CE2</v>
          </cell>
          <cell r="C532"/>
          <cell r="D532">
            <v>21</v>
          </cell>
          <cell r="E532">
            <v>88</v>
          </cell>
          <cell r="F532">
            <v>22</v>
          </cell>
          <cell r="G532">
            <v>43</v>
          </cell>
        </row>
        <row r="533">
          <cell r="B533" t="str">
            <v>AHW14S003J CE2</v>
          </cell>
          <cell r="C533"/>
          <cell r="D533">
            <v>21.9</v>
          </cell>
          <cell r="E533">
            <v>92.6</v>
          </cell>
          <cell r="F533">
            <v>22</v>
          </cell>
          <cell r="G533">
            <v>42.7</v>
          </cell>
        </row>
        <row r="534">
          <cell r="B534" t="str">
            <v>WAMS-165-1645 US</v>
          </cell>
          <cell r="C534"/>
          <cell r="D534">
            <v>43</v>
          </cell>
          <cell r="E534">
            <v>178.8</v>
          </cell>
          <cell r="F534">
            <v>22</v>
          </cell>
          <cell r="G534">
            <v>147.4</v>
          </cell>
        </row>
        <row r="535">
          <cell r="B535" t="str">
            <v>WAMS-180-1645 US</v>
          </cell>
          <cell r="C535"/>
          <cell r="D535">
            <v>43</v>
          </cell>
          <cell r="E535">
            <v>178.8</v>
          </cell>
          <cell r="F535">
            <v>22</v>
          </cell>
          <cell r="G535">
            <v>147.4</v>
          </cell>
        </row>
        <row r="536">
          <cell r="B536" t="str">
            <v>AHW14R301S CN</v>
          </cell>
          <cell r="C536"/>
          <cell r="D536">
            <v>42.4</v>
          </cell>
          <cell r="E536">
            <v>135</v>
          </cell>
          <cell r="F536">
            <v>22</v>
          </cell>
          <cell r="G536">
            <v>58</v>
          </cell>
        </row>
        <row r="537">
          <cell r="B537" t="str">
            <v>AGH143090 CN</v>
          </cell>
          <cell r="C537"/>
          <cell r="D537">
            <v>42.4</v>
          </cell>
          <cell r="E537">
            <v>92.6</v>
          </cell>
          <cell r="F537">
            <v>22</v>
          </cell>
          <cell r="G537">
            <v>58</v>
          </cell>
        </row>
        <row r="538">
          <cell r="B538" t="str">
            <v>AGH143090J CN</v>
          </cell>
          <cell r="C538"/>
          <cell r="D538">
            <v>42.4</v>
          </cell>
          <cell r="E538">
            <v>141</v>
          </cell>
          <cell r="F538">
            <v>22</v>
          </cell>
          <cell r="G538">
            <v>58</v>
          </cell>
        </row>
        <row r="539">
          <cell r="B539" t="str">
            <v>AGH143390 CN</v>
          </cell>
          <cell r="C539"/>
          <cell r="D539">
            <v>42.4</v>
          </cell>
          <cell r="E539">
            <v>141</v>
          </cell>
          <cell r="F539">
            <v>22</v>
          </cell>
          <cell r="G539">
            <v>58</v>
          </cell>
        </row>
        <row r="540">
          <cell r="B540" t="str">
            <v>AGH143390J CN</v>
          </cell>
          <cell r="C540"/>
          <cell r="D540">
            <v>42.4</v>
          </cell>
          <cell r="E540">
            <v>141</v>
          </cell>
          <cell r="F540">
            <v>22</v>
          </cell>
          <cell r="G540">
            <v>58</v>
          </cell>
        </row>
        <row r="541">
          <cell r="B541" t="str">
            <v>AGH143391 CN</v>
          </cell>
          <cell r="C541"/>
          <cell r="D541">
            <v>42.4</v>
          </cell>
          <cell r="E541">
            <v>141</v>
          </cell>
          <cell r="F541">
            <v>22</v>
          </cell>
          <cell r="G541">
            <v>58</v>
          </cell>
        </row>
        <row r="542">
          <cell r="B542" t="str">
            <v>AGP140000 CN</v>
          </cell>
          <cell r="C542"/>
          <cell r="D542">
            <v>42.4</v>
          </cell>
          <cell r="E542">
            <v>117.9</v>
          </cell>
          <cell r="F542">
            <v>22</v>
          </cell>
          <cell r="G542">
            <v>58</v>
          </cell>
        </row>
        <row r="543">
          <cell r="B543" t="str">
            <v>AH14R007PR JP</v>
          </cell>
          <cell r="C543"/>
          <cell r="D543">
            <v>27.8</v>
          </cell>
          <cell r="E543">
            <v>117.9</v>
          </cell>
          <cell r="F543">
            <v>22</v>
          </cell>
          <cell r="G543">
            <v>69.599999999999994</v>
          </cell>
        </row>
        <row r="544">
          <cell r="B544" t="str">
            <v>AG141010 CN</v>
          </cell>
          <cell r="C544"/>
          <cell r="D544">
            <v>42.4</v>
          </cell>
          <cell r="E544">
            <v>117.9</v>
          </cell>
          <cell r="F544">
            <v>22</v>
          </cell>
          <cell r="G544">
            <v>58</v>
          </cell>
        </row>
        <row r="545">
          <cell r="B545" t="str">
            <v>AG142000 CN</v>
          </cell>
          <cell r="C545"/>
          <cell r="D545">
            <v>42.4</v>
          </cell>
          <cell r="E545">
            <v>117.9</v>
          </cell>
          <cell r="F545">
            <v>22</v>
          </cell>
          <cell r="G545">
            <v>58</v>
          </cell>
        </row>
        <row r="546">
          <cell r="B546" t="str">
            <v>AGP140000 CE2</v>
          </cell>
          <cell r="C546"/>
          <cell r="D546">
            <v>21</v>
          </cell>
          <cell r="E546">
            <v>91.6</v>
          </cell>
          <cell r="F546">
            <v>22</v>
          </cell>
          <cell r="G546">
            <v>43</v>
          </cell>
        </row>
        <row r="547">
          <cell r="B547" t="str">
            <v>AGP140300 CE2</v>
          </cell>
          <cell r="C547"/>
          <cell r="D547">
            <v>21</v>
          </cell>
          <cell r="E547">
            <v>91.6</v>
          </cell>
          <cell r="F547">
            <v>22</v>
          </cell>
          <cell r="G547">
            <v>43</v>
          </cell>
        </row>
        <row r="548">
          <cell r="B548" t="str">
            <v>AGP140000J CE2</v>
          </cell>
          <cell r="C548"/>
          <cell r="D548">
            <v>21.9</v>
          </cell>
          <cell r="E548">
            <v>91.6</v>
          </cell>
          <cell r="F548">
            <v>22</v>
          </cell>
          <cell r="G548">
            <v>42.7</v>
          </cell>
        </row>
        <row r="549">
          <cell r="B549" t="str">
            <v>AGP140301J CE2</v>
          </cell>
          <cell r="C549"/>
          <cell r="D549">
            <v>21</v>
          </cell>
          <cell r="E549">
            <v>91.6</v>
          </cell>
          <cell r="F549">
            <v>22</v>
          </cell>
          <cell r="G549">
            <v>43</v>
          </cell>
        </row>
        <row r="550">
          <cell r="B550" t="str">
            <v>AG141000 US</v>
          </cell>
          <cell r="C550"/>
          <cell r="D550">
            <v>34</v>
          </cell>
          <cell r="E550">
            <v>101</v>
          </cell>
          <cell r="F550">
            <v>22</v>
          </cell>
          <cell r="G550">
            <v>69.900000000000006</v>
          </cell>
        </row>
        <row r="551">
          <cell r="B551" t="str">
            <v>AG141000 CE2</v>
          </cell>
          <cell r="C551"/>
          <cell r="D551">
            <v>21</v>
          </cell>
          <cell r="E551">
            <v>88</v>
          </cell>
          <cell r="F551">
            <v>32</v>
          </cell>
          <cell r="G551">
            <v>43</v>
          </cell>
        </row>
        <row r="552">
          <cell r="B552" t="str">
            <v>AGH147000 US</v>
          </cell>
          <cell r="C552"/>
          <cell r="D552">
            <v>23.5</v>
          </cell>
          <cell r="E552">
            <v>101</v>
          </cell>
          <cell r="F552">
            <v>20</v>
          </cell>
          <cell r="G552">
            <v>60</v>
          </cell>
        </row>
        <row r="553">
          <cell r="B553" t="str">
            <v>AGH146000 P CE2</v>
          </cell>
          <cell r="C553"/>
          <cell r="D553">
            <v>21</v>
          </cell>
          <cell r="E553">
            <v>91.6</v>
          </cell>
          <cell r="F553">
            <v>20</v>
          </cell>
          <cell r="G553">
            <v>43</v>
          </cell>
        </row>
        <row r="554">
          <cell r="B554" t="str">
            <v>AG143090 US</v>
          </cell>
          <cell r="C554"/>
          <cell r="D554">
            <v>23.5</v>
          </cell>
          <cell r="E554">
            <v>92.6</v>
          </cell>
          <cell r="F554">
            <v>20</v>
          </cell>
          <cell r="G554">
            <v>58.1</v>
          </cell>
        </row>
        <row r="555">
          <cell r="B555" t="str">
            <v>AG143090 Q CE2</v>
          </cell>
          <cell r="C555"/>
          <cell r="D555">
            <v>21</v>
          </cell>
          <cell r="E555">
            <v>91.6</v>
          </cell>
          <cell r="F555">
            <v>20</v>
          </cell>
          <cell r="G555">
            <v>43</v>
          </cell>
        </row>
        <row r="556">
          <cell r="B556" t="str">
            <v>AG143090 F CE2</v>
          </cell>
          <cell r="C556"/>
          <cell r="D556">
            <v>21</v>
          </cell>
          <cell r="E556">
            <v>91.6</v>
          </cell>
          <cell r="F556">
            <v>20</v>
          </cell>
          <cell r="G556">
            <v>43</v>
          </cell>
        </row>
        <row r="557">
          <cell r="B557" t="str">
            <v>AGP140000J CN</v>
          </cell>
          <cell r="C557"/>
          <cell r="D557">
            <v>42.4</v>
          </cell>
          <cell r="E557">
            <v>117.9</v>
          </cell>
          <cell r="F557">
            <v>20</v>
          </cell>
          <cell r="G557">
            <v>58</v>
          </cell>
        </row>
        <row r="558">
          <cell r="B558" t="str">
            <v>AGP140300 CN</v>
          </cell>
          <cell r="C558"/>
          <cell r="D558">
            <v>42.4</v>
          </cell>
          <cell r="E558">
            <v>135</v>
          </cell>
          <cell r="F558">
            <v>20</v>
          </cell>
          <cell r="G558">
            <v>58</v>
          </cell>
        </row>
        <row r="559">
          <cell r="B559" t="str">
            <v>AGP140300J CN</v>
          </cell>
          <cell r="C559"/>
          <cell r="D559">
            <v>42.4</v>
          </cell>
          <cell r="E559">
            <v>135</v>
          </cell>
          <cell r="F559">
            <v>32</v>
          </cell>
          <cell r="G559">
            <v>58</v>
          </cell>
        </row>
        <row r="560">
          <cell r="B560" t="str">
            <v>AG141000 CN</v>
          </cell>
          <cell r="C560"/>
          <cell r="D560">
            <v>42.4</v>
          </cell>
          <cell r="E560">
            <v>117.9</v>
          </cell>
          <cell r="F560">
            <v>32</v>
          </cell>
          <cell r="G560">
            <v>58</v>
          </cell>
        </row>
        <row r="561">
          <cell r="B561" t="str">
            <v>AG14M045 CN</v>
          </cell>
          <cell r="C561"/>
          <cell r="D561">
            <v>42.4</v>
          </cell>
          <cell r="E561">
            <v>117.9</v>
          </cell>
          <cell r="F561">
            <v>32</v>
          </cell>
          <cell r="G561">
            <v>58</v>
          </cell>
        </row>
        <row r="562">
          <cell r="B562" t="str">
            <v>WAMS-165-16ST CE</v>
          </cell>
          <cell r="C562"/>
          <cell r="D562">
            <v>43</v>
          </cell>
          <cell r="E562">
            <v>201.4</v>
          </cell>
          <cell r="F562">
            <v>32</v>
          </cell>
          <cell r="G562">
            <v>140.9</v>
          </cell>
        </row>
        <row r="563">
          <cell r="B563" t="str">
            <v>AGH147000 P CE2</v>
          </cell>
          <cell r="C563"/>
          <cell r="D563">
            <v>21</v>
          </cell>
          <cell r="E563">
            <v>88</v>
          </cell>
          <cell r="F563">
            <v>20</v>
          </cell>
          <cell r="G563">
            <v>43</v>
          </cell>
        </row>
        <row r="564">
          <cell r="B564" t="str">
            <v>AGH146000 R CE2</v>
          </cell>
          <cell r="C564"/>
          <cell r="D564">
            <v>21</v>
          </cell>
          <cell r="E564">
            <v>91.6</v>
          </cell>
          <cell r="F564">
            <v>32</v>
          </cell>
          <cell r="G564">
            <v>43</v>
          </cell>
        </row>
        <row r="565">
          <cell r="B565" t="str">
            <v>AGH146000 US</v>
          </cell>
          <cell r="C565"/>
          <cell r="D565">
            <v>34</v>
          </cell>
          <cell r="E565">
            <v>101</v>
          </cell>
          <cell r="F565">
            <v>20</v>
          </cell>
          <cell r="G565">
            <v>60</v>
          </cell>
        </row>
        <row r="566">
          <cell r="B566" t="str">
            <v>AG149001 US</v>
          </cell>
          <cell r="C566"/>
          <cell r="D566">
            <v>34</v>
          </cell>
          <cell r="E566">
            <v>92.6</v>
          </cell>
          <cell r="F566">
            <v>32</v>
          </cell>
          <cell r="G566">
            <v>58.1</v>
          </cell>
        </row>
        <row r="567">
          <cell r="B567" t="str">
            <v>AG149001 CE2</v>
          </cell>
          <cell r="C567"/>
          <cell r="D567">
            <v>21</v>
          </cell>
          <cell r="E567">
            <v>88</v>
          </cell>
          <cell r="F567">
            <v>32</v>
          </cell>
          <cell r="G567">
            <v>43</v>
          </cell>
        </row>
        <row r="568">
          <cell r="B568" t="str">
            <v>AG141300 CE2</v>
          </cell>
          <cell r="C568"/>
          <cell r="D568">
            <v>21</v>
          </cell>
          <cell r="E568">
            <v>91.6</v>
          </cell>
          <cell r="F568">
            <v>32</v>
          </cell>
          <cell r="G568">
            <v>43</v>
          </cell>
        </row>
        <row r="569">
          <cell r="B569" t="str">
            <v>AG141002 CE2</v>
          </cell>
          <cell r="C569"/>
          <cell r="D569">
            <v>21</v>
          </cell>
          <cell r="E569">
            <v>88</v>
          </cell>
          <cell r="F569">
            <v>20</v>
          </cell>
          <cell r="G569">
            <v>43</v>
          </cell>
        </row>
        <row r="570">
          <cell r="B570" t="str">
            <v>AG145000 CN</v>
          </cell>
          <cell r="C570"/>
          <cell r="D570">
            <v>42.4</v>
          </cell>
          <cell r="E570">
            <v>117.9</v>
          </cell>
          <cell r="F570">
            <v>32</v>
          </cell>
          <cell r="G570">
            <v>58</v>
          </cell>
        </row>
        <row r="571">
          <cell r="B571" t="str">
            <v>AHW14R304J US</v>
          </cell>
          <cell r="C571"/>
          <cell r="D571">
            <v>23.5</v>
          </cell>
          <cell r="E571">
            <v>92.6</v>
          </cell>
          <cell r="F571">
            <v>32</v>
          </cell>
          <cell r="G571">
            <v>58.1</v>
          </cell>
        </row>
        <row r="572">
          <cell r="B572" t="str">
            <v>AHW14R304S US</v>
          </cell>
          <cell r="C572"/>
          <cell r="D572">
            <v>23.5</v>
          </cell>
          <cell r="E572">
            <v>92.6</v>
          </cell>
          <cell r="F572">
            <v>20</v>
          </cell>
          <cell r="G572">
            <v>58.1</v>
          </cell>
        </row>
        <row r="573">
          <cell r="B573" t="str">
            <v>AHW14R007P CN</v>
          </cell>
          <cell r="C573"/>
          <cell r="D573">
            <v>42.4</v>
          </cell>
          <cell r="E573">
            <v>92.6</v>
          </cell>
          <cell r="F573">
            <v>32</v>
          </cell>
          <cell r="G573">
            <v>58</v>
          </cell>
        </row>
        <row r="574">
          <cell r="B574" t="str">
            <v>AGH147000 CN</v>
          </cell>
          <cell r="C574"/>
          <cell r="D574">
            <v>80</v>
          </cell>
          <cell r="E574">
            <v>117.9</v>
          </cell>
          <cell r="F574">
            <v>32</v>
          </cell>
          <cell r="G574">
            <v>58</v>
          </cell>
        </row>
        <row r="575">
          <cell r="B575" t="str">
            <v>WAMS-135-1645 CE</v>
          </cell>
          <cell r="C575"/>
          <cell r="D575">
            <v>43</v>
          </cell>
          <cell r="E575">
            <v>201.4</v>
          </cell>
          <cell r="F575">
            <v>20</v>
          </cell>
          <cell r="G575">
            <v>140.9</v>
          </cell>
        </row>
        <row r="576">
          <cell r="B576" t="str">
            <v>WAMS-135-16WA CE</v>
          </cell>
          <cell r="C576"/>
          <cell r="D576">
            <v>43</v>
          </cell>
          <cell r="E576">
            <v>201.4</v>
          </cell>
          <cell r="F576">
            <v>32</v>
          </cell>
          <cell r="G576">
            <v>140.9</v>
          </cell>
        </row>
        <row r="577">
          <cell r="B577" t="str">
            <v>WAMS-135-16ST CE</v>
          </cell>
          <cell r="C577"/>
          <cell r="D577">
            <v>43</v>
          </cell>
          <cell r="E577">
            <v>201.4</v>
          </cell>
          <cell r="F577">
            <v>32</v>
          </cell>
          <cell r="G577">
            <v>140.9</v>
          </cell>
        </row>
        <row r="578">
          <cell r="B578" t="str">
            <v>AHW14R008S CN</v>
          </cell>
          <cell r="C578"/>
          <cell r="D578">
            <v>41</v>
          </cell>
          <cell r="E578">
            <v>135</v>
          </cell>
          <cell r="F578">
            <v>20</v>
          </cell>
          <cell r="G578">
            <v>58</v>
          </cell>
        </row>
        <row r="579">
          <cell r="B579" t="str">
            <v>AHW14R308S CN</v>
          </cell>
          <cell r="C579"/>
          <cell r="D579">
            <v>42.4</v>
          </cell>
          <cell r="E579">
            <v>135</v>
          </cell>
          <cell r="F579">
            <v>20</v>
          </cell>
          <cell r="G579">
            <v>58</v>
          </cell>
        </row>
        <row r="580">
          <cell r="B580" t="str">
            <v>AHW14R011P CN</v>
          </cell>
          <cell r="C580"/>
          <cell r="D580">
            <v>42.4</v>
          </cell>
          <cell r="E580">
            <v>92.6</v>
          </cell>
          <cell r="F580">
            <v>22.08</v>
          </cell>
          <cell r="G580">
            <v>58</v>
          </cell>
        </row>
        <row r="581">
          <cell r="B581" t="str">
            <v>AHW14R311P CN</v>
          </cell>
          <cell r="C581"/>
          <cell r="D581">
            <v>42.4</v>
          </cell>
          <cell r="E581">
            <v>135</v>
          </cell>
          <cell r="F581">
            <v>20</v>
          </cell>
          <cell r="G581">
            <v>58</v>
          </cell>
        </row>
        <row r="582">
          <cell r="B582" t="str">
            <v>AIN-CKX-10-200-R JP</v>
          </cell>
          <cell r="C582"/>
          <cell r="D582">
            <v>43</v>
          </cell>
          <cell r="E582">
            <v>162.4</v>
          </cell>
          <cell r="F582">
            <v>20</v>
          </cell>
          <cell r="G582">
            <v>146.30000000000001</v>
          </cell>
        </row>
        <row r="583">
          <cell r="B583" t="str">
            <v>AG141302 CE2</v>
          </cell>
          <cell r="C583"/>
          <cell r="D583">
            <v>21</v>
          </cell>
          <cell r="E583">
            <v>88</v>
          </cell>
          <cell r="F583">
            <v>20</v>
          </cell>
          <cell r="G583">
            <v>43</v>
          </cell>
        </row>
        <row r="584">
          <cell r="B584" t="str">
            <v>AG143390 Q CE2</v>
          </cell>
          <cell r="C584"/>
          <cell r="D584">
            <v>21</v>
          </cell>
          <cell r="E584">
            <v>88</v>
          </cell>
          <cell r="F584">
            <v>20</v>
          </cell>
          <cell r="G584">
            <v>43</v>
          </cell>
        </row>
        <row r="585">
          <cell r="B585" t="str">
            <v>AGH146300 P CE2</v>
          </cell>
          <cell r="C585"/>
          <cell r="D585">
            <v>21</v>
          </cell>
          <cell r="E585">
            <v>88</v>
          </cell>
          <cell r="F585">
            <v>20</v>
          </cell>
          <cell r="G585">
            <v>43</v>
          </cell>
        </row>
        <row r="586">
          <cell r="B586" t="str">
            <v>AGH143390 F CE2</v>
          </cell>
          <cell r="C586"/>
          <cell r="D586">
            <v>21</v>
          </cell>
          <cell r="E586">
            <v>88</v>
          </cell>
          <cell r="F586">
            <v>22.08</v>
          </cell>
          <cell r="G586">
            <v>43</v>
          </cell>
        </row>
        <row r="587">
          <cell r="B587" t="str">
            <v>AHW14S303S CE2</v>
          </cell>
          <cell r="C587"/>
          <cell r="D587">
            <v>21</v>
          </cell>
          <cell r="E587">
            <v>88</v>
          </cell>
          <cell r="F587">
            <v>22.08</v>
          </cell>
          <cell r="G587">
            <v>43</v>
          </cell>
        </row>
        <row r="588">
          <cell r="B588" t="str">
            <v>AHW14R004J US</v>
          </cell>
          <cell r="C588"/>
          <cell r="D588">
            <v>23.5</v>
          </cell>
          <cell r="E588">
            <v>125.8</v>
          </cell>
          <cell r="F588">
            <v>22.08</v>
          </cell>
          <cell r="G588">
            <v>58.1</v>
          </cell>
        </row>
        <row r="589">
          <cell r="B589" t="str">
            <v>AHW14R004S US</v>
          </cell>
          <cell r="C589"/>
          <cell r="D589">
            <v>23.5</v>
          </cell>
          <cell r="E589">
            <v>125.8</v>
          </cell>
          <cell r="F589">
            <v>22.08</v>
          </cell>
          <cell r="G589">
            <v>58.1</v>
          </cell>
        </row>
        <row r="590">
          <cell r="B590" t="str">
            <v>APW14R305S CN</v>
          </cell>
          <cell r="C590"/>
          <cell r="D590">
            <v>42.4</v>
          </cell>
          <cell r="E590">
            <v>135</v>
          </cell>
          <cell r="F590">
            <v>20</v>
          </cell>
          <cell r="G590">
            <v>58</v>
          </cell>
        </row>
        <row r="591">
          <cell r="B591" t="str">
            <v>WAMS-180-1645C CN</v>
          </cell>
          <cell r="C591"/>
          <cell r="D591">
            <v>46</v>
          </cell>
          <cell r="E591">
            <v>201.4</v>
          </cell>
          <cell r="F591">
            <v>20</v>
          </cell>
          <cell r="G591">
            <v>147</v>
          </cell>
        </row>
        <row r="592">
          <cell r="B592" t="str">
            <v>AG14M360 B CE2</v>
          </cell>
          <cell r="C592"/>
          <cell r="D592">
            <v>21</v>
          </cell>
          <cell r="E592">
            <v>88</v>
          </cell>
          <cell r="F592">
            <v>20</v>
          </cell>
          <cell r="G592">
            <v>43</v>
          </cell>
        </row>
        <row r="593">
          <cell r="B593" t="str">
            <v>AG141000J CE2</v>
          </cell>
          <cell r="C593"/>
          <cell r="D593">
            <v>21</v>
          </cell>
          <cell r="E593">
            <v>91.6</v>
          </cell>
          <cell r="F593">
            <v>20</v>
          </cell>
          <cell r="G593">
            <v>43</v>
          </cell>
        </row>
        <row r="594">
          <cell r="B594" t="str">
            <v>AG141000J KR</v>
          </cell>
          <cell r="C594"/>
          <cell r="D594">
            <v>27.6</v>
          </cell>
          <cell r="E594">
            <v>92.6</v>
          </cell>
          <cell r="F594">
            <v>20</v>
          </cell>
          <cell r="G594">
            <v>50.5</v>
          </cell>
        </row>
        <row r="595">
          <cell r="B595" t="str">
            <v>AH14R008PR JP</v>
          </cell>
          <cell r="C595"/>
          <cell r="D595">
            <v>22</v>
          </cell>
          <cell r="E595">
            <v>93</v>
          </cell>
          <cell r="F595">
            <v>20</v>
          </cell>
          <cell r="G595">
            <v>70</v>
          </cell>
        </row>
        <row r="596">
          <cell r="B596" t="str">
            <v>AG141002J CE2</v>
          </cell>
          <cell r="C596"/>
          <cell r="D596">
            <v>21</v>
          </cell>
          <cell r="E596">
            <v>88</v>
          </cell>
          <cell r="F596">
            <v>20</v>
          </cell>
          <cell r="G596">
            <v>43</v>
          </cell>
        </row>
        <row r="597">
          <cell r="B597" t="str">
            <v>AGH146000J R CE2</v>
          </cell>
          <cell r="C597"/>
          <cell r="D597">
            <v>21</v>
          </cell>
          <cell r="E597">
            <v>92.6</v>
          </cell>
          <cell r="F597">
            <v>20</v>
          </cell>
          <cell r="G597">
            <v>43</v>
          </cell>
        </row>
        <row r="598">
          <cell r="B598" t="str">
            <v>AGH146000J US</v>
          </cell>
          <cell r="C598"/>
          <cell r="D598">
            <v>23.5</v>
          </cell>
          <cell r="E598">
            <v>101</v>
          </cell>
          <cell r="F598">
            <v>20</v>
          </cell>
          <cell r="G598">
            <v>60</v>
          </cell>
        </row>
        <row r="599">
          <cell r="B599" t="str">
            <v>AHW14R307P CN</v>
          </cell>
          <cell r="C599"/>
          <cell r="D599">
            <v>42.4</v>
          </cell>
          <cell r="E599">
            <v>135</v>
          </cell>
          <cell r="F599">
            <v>20</v>
          </cell>
          <cell r="G599">
            <v>58</v>
          </cell>
        </row>
        <row r="600">
          <cell r="B600" t="str">
            <v>AHW14R007S CN</v>
          </cell>
          <cell r="C600"/>
          <cell r="D600">
            <v>42.4</v>
          </cell>
          <cell r="E600">
            <v>135</v>
          </cell>
          <cell r="F600">
            <v>20</v>
          </cell>
          <cell r="G600">
            <v>58</v>
          </cell>
        </row>
        <row r="601">
          <cell r="B601" t="str">
            <v>AHW14R008P CN</v>
          </cell>
          <cell r="C601"/>
          <cell r="D601">
            <v>42.4</v>
          </cell>
          <cell r="E601">
            <v>92.6</v>
          </cell>
          <cell r="F601">
            <v>20</v>
          </cell>
          <cell r="G601">
            <v>58</v>
          </cell>
        </row>
        <row r="602">
          <cell r="B602" t="str">
            <v>AHW14R308P CN</v>
          </cell>
          <cell r="C602"/>
          <cell r="D602">
            <v>42.4</v>
          </cell>
          <cell r="E602">
            <v>135</v>
          </cell>
          <cell r="F602">
            <v>20</v>
          </cell>
          <cell r="G602">
            <v>58</v>
          </cell>
        </row>
        <row r="603">
          <cell r="B603" t="str">
            <v>1151003-A-B</v>
          </cell>
          <cell r="C603"/>
          <cell r="D603">
            <v>77.67</v>
          </cell>
          <cell r="E603">
            <v>132.72</v>
          </cell>
          <cell r="F603"/>
          <cell r="G603">
            <v>0</v>
          </cell>
        </row>
        <row r="604">
          <cell r="B604" t="str">
            <v>1051015-C-B</v>
          </cell>
          <cell r="C604"/>
          <cell r="D604">
            <v>77.67</v>
          </cell>
          <cell r="E604">
            <v>132.72</v>
          </cell>
          <cell r="F604"/>
          <cell r="G604">
            <v>0</v>
          </cell>
        </row>
        <row r="605">
          <cell r="B605" t="str">
            <v>AH14R104PR JP</v>
          </cell>
          <cell r="C605"/>
          <cell r="D605">
            <v>21.9</v>
          </cell>
          <cell r="E605">
            <v>92.6</v>
          </cell>
          <cell r="F605">
            <v>20</v>
          </cell>
          <cell r="G605">
            <v>69.900000000000006</v>
          </cell>
        </row>
        <row r="606">
          <cell r="B606" t="str">
            <v>AGH143391 F CE2</v>
          </cell>
          <cell r="C606"/>
          <cell r="D606">
            <v>21.9</v>
          </cell>
          <cell r="E606">
            <v>91.6</v>
          </cell>
          <cell r="F606">
            <v>20</v>
          </cell>
          <cell r="G606">
            <v>42.7</v>
          </cell>
        </row>
        <row r="607">
          <cell r="B607" t="str">
            <v>AHW14R011S CN</v>
          </cell>
          <cell r="C607"/>
          <cell r="D607">
            <v>42.4</v>
          </cell>
          <cell r="E607">
            <v>135</v>
          </cell>
          <cell r="F607">
            <v>20</v>
          </cell>
          <cell r="G607">
            <v>58</v>
          </cell>
        </row>
        <row r="608">
          <cell r="B608" t="str">
            <v>AHW14R311S CN</v>
          </cell>
          <cell r="C608"/>
          <cell r="D608">
            <v>42.4</v>
          </cell>
          <cell r="E608">
            <v>135</v>
          </cell>
          <cell r="F608">
            <v>20</v>
          </cell>
          <cell r="G608">
            <v>58</v>
          </cell>
        </row>
        <row r="609">
          <cell r="B609" t="str">
            <v>APW14R009S CN</v>
          </cell>
          <cell r="C609"/>
          <cell r="D609">
            <v>42.4</v>
          </cell>
          <cell r="E609">
            <v>92.6</v>
          </cell>
          <cell r="F609">
            <v>32</v>
          </cell>
          <cell r="G609">
            <v>58</v>
          </cell>
        </row>
        <row r="610">
          <cell r="B610" t="str">
            <v>APW14R309S CN</v>
          </cell>
          <cell r="C610"/>
          <cell r="D610">
            <v>42.4</v>
          </cell>
          <cell r="E610">
            <v>135</v>
          </cell>
          <cell r="F610">
            <v>32</v>
          </cell>
          <cell r="G610">
            <v>58</v>
          </cell>
        </row>
        <row r="611">
          <cell r="B611" t="str">
            <v>APW14R005S CN</v>
          </cell>
          <cell r="C611"/>
          <cell r="D611">
            <v>42.4</v>
          </cell>
          <cell r="E611">
            <v>92.6</v>
          </cell>
          <cell r="F611">
            <v>32</v>
          </cell>
          <cell r="G611">
            <v>58</v>
          </cell>
        </row>
        <row r="612">
          <cell r="B612" t="str">
            <v>AH14S003SR JP</v>
          </cell>
          <cell r="C612"/>
          <cell r="D612">
            <v>22</v>
          </cell>
          <cell r="E612">
            <v>117.9</v>
          </cell>
          <cell r="F612">
            <v>32</v>
          </cell>
          <cell r="G612">
            <v>70</v>
          </cell>
        </row>
        <row r="613">
          <cell r="B613" t="str">
            <v>AJ1653331-01-A</v>
          </cell>
          <cell r="C613"/>
          <cell r="D613">
            <v>32</v>
          </cell>
          <cell r="E613">
            <v>101</v>
          </cell>
          <cell r="F613">
            <v>32</v>
          </cell>
          <cell r="G613">
            <v>60</v>
          </cell>
        </row>
        <row r="614">
          <cell r="B614" t="str">
            <v>AJ1653510-01-A</v>
          </cell>
          <cell r="C614"/>
          <cell r="D614">
            <v>27</v>
          </cell>
          <cell r="E614">
            <v>99</v>
          </cell>
          <cell r="F614"/>
          <cell r="G614">
            <v>0</v>
          </cell>
        </row>
        <row r="615">
          <cell r="B615" t="str">
            <v>AIN-CKI-300-BS</v>
          </cell>
          <cell r="C615"/>
          <cell r="D615">
            <v>98.39</v>
          </cell>
          <cell r="E615">
            <v>201.4</v>
          </cell>
          <cell r="F615">
            <v>32</v>
          </cell>
          <cell r="G615">
            <v>196.25</v>
          </cell>
        </row>
        <row r="616">
          <cell r="B616" t="str">
            <v>X9419-Z8PS</v>
          </cell>
          <cell r="C616"/>
          <cell r="D616">
            <v>45</v>
          </cell>
          <cell r="E616">
            <v>135</v>
          </cell>
          <cell r="F616">
            <v>32</v>
          </cell>
          <cell r="G616">
            <v>135.81</v>
          </cell>
        </row>
        <row r="617">
          <cell r="B617" t="str">
            <v>APW14R005S CE3</v>
          </cell>
          <cell r="C617"/>
          <cell r="D617">
            <v>21.9</v>
          </cell>
          <cell r="E617">
            <v>117.9</v>
          </cell>
          <cell r="F617">
            <v>20</v>
          </cell>
          <cell r="G617">
            <v>158.5</v>
          </cell>
        </row>
        <row r="618">
          <cell r="B618" t="str">
            <v>AGH147000 R CE2</v>
          </cell>
          <cell r="C618"/>
          <cell r="D618">
            <v>21</v>
          </cell>
          <cell r="E618">
            <v>117.9</v>
          </cell>
          <cell r="F618">
            <v>20</v>
          </cell>
          <cell r="G618">
            <v>43</v>
          </cell>
        </row>
        <row r="619">
          <cell r="B619" t="str">
            <v>AGH143090J Q CE2</v>
          </cell>
          <cell r="C619"/>
          <cell r="D619">
            <v>21.9</v>
          </cell>
          <cell r="E619">
            <v>91.6</v>
          </cell>
          <cell r="F619">
            <v>20</v>
          </cell>
          <cell r="G619">
            <v>42.7</v>
          </cell>
        </row>
        <row r="620">
          <cell r="B620" t="str">
            <v>APW14R310P CN</v>
          </cell>
          <cell r="C620"/>
          <cell r="D620">
            <v>53</v>
          </cell>
          <cell r="E620">
            <v>91.6</v>
          </cell>
          <cell r="F620">
            <v>20</v>
          </cell>
          <cell r="G620">
            <v>58</v>
          </cell>
        </row>
        <row r="621">
          <cell r="B621" t="str">
            <v>AMS-180-1645</v>
          </cell>
          <cell r="C621"/>
          <cell r="D621">
            <v>72</v>
          </cell>
          <cell r="E621">
            <v>235.8</v>
          </cell>
          <cell r="F621">
            <v>20</v>
          </cell>
          <cell r="G621">
            <v>174</v>
          </cell>
        </row>
        <row r="622">
          <cell r="B622" t="str">
            <v>AGP140301 J OS CE</v>
          </cell>
          <cell r="C622"/>
          <cell r="D622">
            <v>45</v>
          </cell>
          <cell r="E622">
            <v>135</v>
          </cell>
          <cell r="F622">
            <v>20</v>
          </cell>
          <cell r="G622">
            <v>60</v>
          </cell>
        </row>
        <row r="623">
          <cell r="B623" t="str">
            <v>AHW14R313S CE2</v>
          </cell>
          <cell r="C623"/>
          <cell r="D623">
            <v>21</v>
          </cell>
          <cell r="E623">
            <v>88</v>
          </cell>
          <cell r="F623">
            <v>20</v>
          </cell>
          <cell r="G623">
            <v>43</v>
          </cell>
        </row>
        <row r="624">
          <cell r="B624" t="str">
            <v>Z130-1005-B-A</v>
          </cell>
          <cell r="C624"/>
          <cell r="D624">
            <v>21.9</v>
          </cell>
          <cell r="E624">
            <v>117.9</v>
          </cell>
          <cell r="F624">
            <v>32</v>
          </cell>
          <cell r="G624">
            <v>44.7</v>
          </cell>
        </row>
        <row r="625">
          <cell r="B625" t="str">
            <v>AHW14R004J CN</v>
          </cell>
          <cell r="C625"/>
          <cell r="D625">
            <v>41</v>
          </cell>
          <cell r="E625">
            <v>117.9</v>
          </cell>
          <cell r="F625">
            <v>32</v>
          </cell>
          <cell r="G625">
            <v>58</v>
          </cell>
        </row>
        <row r="626">
          <cell r="B626" t="str">
            <v>WAMS-135-1645 US</v>
          </cell>
          <cell r="C626"/>
          <cell r="D626">
            <v>43</v>
          </cell>
          <cell r="E626">
            <v>201.4</v>
          </cell>
          <cell r="F626">
            <v>32</v>
          </cell>
          <cell r="G626">
            <v>145.1</v>
          </cell>
        </row>
        <row r="627">
          <cell r="B627" t="str">
            <v>WAIN-CKI-200-BA CE</v>
          </cell>
          <cell r="C627"/>
          <cell r="D627">
            <v>43</v>
          </cell>
          <cell r="E627">
            <v>201.4</v>
          </cell>
          <cell r="F627">
            <v>32</v>
          </cell>
          <cell r="G627">
            <v>140.9</v>
          </cell>
        </row>
        <row r="628">
          <cell r="B628" t="str">
            <v>WAIN-CKI-200-BS CE</v>
          </cell>
          <cell r="C628"/>
          <cell r="D628">
            <v>43</v>
          </cell>
          <cell r="E628">
            <v>201.4</v>
          </cell>
          <cell r="F628">
            <v>32</v>
          </cell>
          <cell r="G628">
            <v>140.9</v>
          </cell>
        </row>
        <row r="629">
          <cell r="B629" t="str">
            <v>AHW14R313P CE</v>
          </cell>
          <cell r="C629"/>
          <cell r="D629">
            <v>21.9</v>
          </cell>
          <cell r="E629">
            <v>92.6</v>
          </cell>
          <cell r="F629">
            <v>20</v>
          </cell>
          <cell r="G629">
            <v>42.7</v>
          </cell>
        </row>
        <row r="630">
          <cell r="B630" t="str">
            <v>AHW14R313S CE</v>
          </cell>
          <cell r="C630"/>
          <cell r="D630">
            <v>21.9</v>
          </cell>
          <cell r="E630">
            <v>92.6</v>
          </cell>
          <cell r="F630">
            <v>32</v>
          </cell>
          <cell r="G630">
            <v>42.7</v>
          </cell>
        </row>
        <row r="631">
          <cell r="B631" t="str">
            <v>WAIN-CKI-200-RC CE2</v>
          </cell>
          <cell r="C631"/>
          <cell r="D631">
            <v>72</v>
          </cell>
          <cell r="E631">
            <v>140.9</v>
          </cell>
          <cell r="F631">
            <v>20</v>
          </cell>
          <cell r="G631">
            <v>174</v>
          </cell>
        </row>
        <row r="632">
          <cell r="B632" t="str">
            <v>WAIN-CKI-300-RC CE2</v>
          </cell>
          <cell r="C632"/>
          <cell r="D632">
            <v>42</v>
          </cell>
          <cell r="E632">
            <v>134</v>
          </cell>
          <cell r="F632">
            <v>20</v>
          </cell>
          <cell r="G632">
            <v>147</v>
          </cell>
        </row>
        <row r="633">
          <cell r="B633" t="str">
            <v>AP14R010JR JP</v>
          </cell>
          <cell r="C633"/>
          <cell r="D633">
            <v>21.9</v>
          </cell>
          <cell r="E633">
            <v>117.9</v>
          </cell>
          <cell r="F633">
            <v>32</v>
          </cell>
          <cell r="G633">
            <v>44.7</v>
          </cell>
        </row>
        <row r="634">
          <cell r="B634" t="str">
            <v>WAIN-CKI-200-RC CE</v>
          </cell>
          <cell r="C634"/>
          <cell r="D634">
            <v>43</v>
          </cell>
          <cell r="E634">
            <v>162.4</v>
          </cell>
          <cell r="F634">
            <v>20</v>
          </cell>
          <cell r="G634">
            <v>138</v>
          </cell>
        </row>
        <row r="635">
          <cell r="B635" t="str">
            <v>WAIN-CKI-300-RC CE</v>
          </cell>
          <cell r="C635"/>
          <cell r="D635">
            <v>50.4</v>
          </cell>
          <cell r="E635">
            <v>162.4</v>
          </cell>
          <cell r="F635">
            <v>20</v>
          </cell>
          <cell r="G635">
            <v>147.4</v>
          </cell>
        </row>
        <row r="636">
          <cell r="B636" t="str">
            <v>AIN-CKX-10-200-R CE</v>
          </cell>
          <cell r="C636"/>
          <cell r="D636">
            <v>44</v>
          </cell>
          <cell r="E636">
            <v>162.4</v>
          </cell>
          <cell r="F636">
            <v>20</v>
          </cell>
          <cell r="G636">
            <v>146</v>
          </cell>
        </row>
        <row r="637">
          <cell r="B637" t="str">
            <v>AIN-CKI-18-200-SFT CE</v>
          </cell>
          <cell r="C637"/>
          <cell r="D637">
            <v>47</v>
          </cell>
          <cell r="E637">
            <v>160</v>
          </cell>
          <cell r="F637">
            <v>20</v>
          </cell>
          <cell r="G637">
            <v>148</v>
          </cell>
        </row>
        <row r="638">
          <cell r="B638" t="str">
            <v>AIN-CKI-200-B-SFT CE</v>
          </cell>
          <cell r="C638"/>
          <cell r="D638">
            <v>46</v>
          </cell>
          <cell r="E638">
            <v>179</v>
          </cell>
          <cell r="F638">
            <v>32</v>
          </cell>
          <cell r="G638">
            <v>147</v>
          </cell>
        </row>
        <row r="639">
          <cell r="B639" t="str">
            <v>2051001-001-A</v>
          </cell>
          <cell r="C639"/>
          <cell r="D639">
            <v>21.9</v>
          </cell>
          <cell r="E639">
            <v>117.9</v>
          </cell>
          <cell r="F639">
            <v>32</v>
          </cell>
          <cell r="G639">
            <v>44.7</v>
          </cell>
        </row>
        <row r="640">
          <cell r="B640" t="str">
            <v>2051002-001-A</v>
          </cell>
          <cell r="C640"/>
          <cell r="D640">
            <v>21.9</v>
          </cell>
          <cell r="E640">
            <v>117.9</v>
          </cell>
          <cell r="F640">
            <v>20</v>
          </cell>
          <cell r="G640">
            <v>44.7</v>
          </cell>
        </row>
        <row r="641">
          <cell r="B641" t="str">
            <v>AH14R101JR JP</v>
          </cell>
          <cell r="C641"/>
          <cell r="D641">
            <v>21.9</v>
          </cell>
          <cell r="E641">
            <v>117.9</v>
          </cell>
          <cell r="F641">
            <v>20</v>
          </cell>
          <cell r="G641">
            <v>44.7</v>
          </cell>
        </row>
        <row r="642">
          <cell r="B642" t="str">
            <v>AHW14R013P CE</v>
          </cell>
          <cell r="C642"/>
          <cell r="D642">
            <v>32.46</v>
          </cell>
          <cell r="E642">
            <v>92.6</v>
          </cell>
          <cell r="F642">
            <v>20</v>
          </cell>
          <cell r="G642">
            <v>42.7</v>
          </cell>
        </row>
        <row r="643">
          <cell r="B643" t="str">
            <v>AHW14R013S CE</v>
          </cell>
          <cell r="C643"/>
          <cell r="D643">
            <v>21.9</v>
          </cell>
          <cell r="E643">
            <v>92.6</v>
          </cell>
          <cell r="F643">
            <v>20</v>
          </cell>
          <cell r="G643">
            <v>42.7</v>
          </cell>
        </row>
        <row r="644">
          <cell r="B644" t="str">
            <v>WAIN-CKI-300 CE2</v>
          </cell>
          <cell r="C644"/>
          <cell r="D644">
            <v>50.4</v>
          </cell>
          <cell r="E644">
            <v>162.4</v>
          </cell>
          <cell r="F644">
            <v>20</v>
          </cell>
          <cell r="G644">
            <v>147.4</v>
          </cell>
        </row>
        <row r="645">
          <cell r="B645" t="str">
            <v>WAIN-CKI-10-200 CE2</v>
          </cell>
          <cell r="C645"/>
          <cell r="D645">
            <v>43</v>
          </cell>
          <cell r="E645">
            <v>162.4</v>
          </cell>
          <cell r="F645">
            <v>22</v>
          </cell>
          <cell r="G645">
            <v>140.9</v>
          </cell>
        </row>
        <row r="646">
          <cell r="B646" t="str">
            <v>WAIN-CKI-10-300 CE2</v>
          </cell>
          <cell r="C646"/>
          <cell r="D646">
            <v>50.4</v>
          </cell>
          <cell r="E646">
            <v>162.4</v>
          </cell>
          <cell r="F646">
            <v>22</v>
          </cell>
          <cell r="G646">
            <v>147.4</v>
          </cell>
        </row>
        <row r="647">
          <cell r="B647" t="str">
            <v>WAIN-CKI-008-200 CE</v>
          </cell>
          <cell r="C647"/>
          <cell r="D647">
            <v>43</v>
          </cell>
          <cell r="E647">
            <v>162.4</v>
          </cell>
          <cell r="F647">
            <v>22</v>
          </cell>
          <cell r="G647">
            <v>140.9</v>
          </cell>
        </row>
        <row r="648">
          <cell r="B648" t="str">
            <v>A42FC4000M04500R JP</v>
          </cell>
          <cell r="C648"/>
          <cell r="D648">
            <v>22</v>
          </cell>
          <cell r="E648">
            <v>234</v>
          </cell>
          <cell r="F648">
            <v>20</v>
          </cell>
          <cell r="G648">
            <v>123.8</v>
          </cell>
        </row>
        <row r="649">
          <cell r="B649" t="str">
            <v>A42IM0000J10000R JP</v>
          </cell>
          <cell r="C649"/>
          <cell r="D649">
            <v>22</v>
          </cell>
          <cell r="E649">
            <v>168.3</v>
          </cell>
          <cell r="F649">
            <v>20</v>
          </cell>
          <cell r="G649">
            <v>162</v>
          </cell>
        </row>
        <row r="650">
          <cell r="B650" t="str">
            <v>A52JL4000H10001R JP</v>
          </cell>
          <cell r="C650"/>
          <cell r="D650">
            <v>22</v>
          </cell>
          <cell r="E650">
            <v>168.3</v>
          </cell>
          <cell r="F650">
            <v>20</v>
          </cell>
          <cell r="G650">
            <v>162</v>
          </cell>
        </row>
        <row r="651">
          <cell r="B651" t="str">
            <v>A52JB0200J13000R JP</v>
          </cell>
          <cell r="C651"/>
          <cell r="D651">
            <v>22</v>
          </cell>
          <cell r="E651">
            <v>277.5</v>
          </cell>
          <cell r="F651">
            <v>22</v>
          </cell>
          <cell r="G651">
            <v>174</v>
          </cell>
        </row>
        <row r="652">
          <cell r="B652" t="str">
            <v>A52B23500H08000</v>
          </cell>
          <cell r="C652"/>
          <cell r="D652">
            <v>60.4</v>
          </cell>
          <cell r="E652">
            <v>234</v>
          </cell>
          <cell r="F652">
            <v>20</v>
          </cell>
          <cell r="G652">
            <v>162</v>
          </cell>
        </row>
        <row r="653">
          <cell r="B653" t="str">
            <v>A52AL0302H10000</v>
          </cell>
          <cell r="C653"/>
          <cell r="D653">
            <v>60.4</v>
          </cell>
          <cell r="E653">
            <v>234</v>
          </cell>
          <cell r="F653">
            <v>20</v>
          </cell>
          <cell r="G653">
            <v>162</v>
          </cell>
        </row>
        <row r="654">
          <cell r="B654" t="str">
            <v>A42P04008G06500R JP</v>
          </cell>
          <cell r="C654"/>
          <cell r="D654">
            <v>22</v>
          </cell>
          <cell r="E654">
            <v>234</v>
          </cell>
          <cell r="F654">
            <v>22</v>
          </cell>
          <cell r="G654">
            <v>162</v>
          </cell>
        </row>
        <row r="655">
          <cell r="B655" t="str">
            <v>A42P04012G11000R JP</v>
          </cell>
          <cell r="C655"/>
          <cell r="D655">
            <v>22</v>
          </cell>
          <cell r="E655">
            <v>168.3</v>
          </cell>
          <cell r="F655">
            <v>22</v>
          </cell>
          <cell r="G655">
            <v>162</v>
          </cell>
        </row>
        <row r="656">
          <cell r="B656" t="str">
            <v>A42P34006G110P0R JP</v>
          </cell>
          <cell r="C656"/>
          <cell r="D656">
            <v>22</v>
          </cell>
          <cell r="E656">
            <v>234</v>
          </cell>
          <cell r="F656">
            <v>22</v>
          </cell>
          <cell r="G656">
            <v>162</v>
          </cell>
        </row>
        <row r="657">
          <cell r="B657" t="str">
            <v>A60JR4000H10000R JP</v>
          </cell>
          <cell r="C657"/>
          <cell r="D657">
            <v>22</v>
          </cell>
          <cell r="E657">
            <v>234</v>
          </cell>
          <cell r="F657">
            <v>22</v>
          </cell>
          <cell r="G657">
            <v>162</v>
          </cell>
        </row>
        <row r="658">
          <cell r="B658" t="str">
            <v>A42JR4500M10004R JP</v>
          </cell>
          <cell r="C658"/>
          <cell r="D658">
            <v>22</v>
          </cell>
          <cell r="E658">
            <v>234</v>
          </cell>
          <cell r="F658">
            <v>22</v>
          </cell>
          <cell r="G658">
            <v>162</v>
          </cell>
        </row>
        <row r="659">
          <cell r="B659" t="str">
            <v>A42JR5000H10000R JP</v>
          </cell>
          <cell r="C659"/>
          <cell r="D659">
            <v>22</v>
          </cell>
          <cell r="E659">
            <v>234</v>
          </cell>
          <cell r="F659">
            <v>32</v>
          </cell>
          <cell r="G659">
            <v>162</v>
          </cell>
        </row>
        <row r="660">
          <cell r="B660" t="str">
            <v>A42JR5000J10000R JP</v>
          </cell>
          <cell r="C660"/>
          <cell r="D660">
            <v>22</v>
          </cell>
          <cell r="E660">
            <v>168.3</v>
          </cell>
          <cell r="F660">
            <v>20</v>
          </cell>
          <cell r="G660">
            <v>162</v>
          </cell>
        </row>
        <row r="661">
          <cell r="B661" t="str">
            <v>A42JR5002H10000R JP</v>
          </cell>
          <cell r="C661"/>
          <cell r="D661">
            <v>22</v>
          </cell>
          <cell r="E661">
            <v>168.3</v>
          </cell>
          <cell r="F661">
            <v>20</v>
          </cell>
          <cell r="G661">
            <v>162</v>
          </cell>
        </row>
        <row r="662">
          <cell r="B662" t="str">
            <v>A42JR5002J10000R JP</v>
          </cell>
          <cell r="C662"/>
          <cell r="D662">
            <v>22</v>
          </cell>
          <cell r="E662">
            <v>234</v>
          </cell>
          <cell r="F662">
            <v>20</v>
          </cell>
          <cell r="G662">
            <v>162</v>
          </cell>
        </row>
        <row r="663">
          <cell r="B663" t="str">
            <v>A42NH3006J08000R JP</v>
          </cell>
          <cell r="C663"/>
          <cell r="D663">
            <v>22</v>
          </cell>
          <cell r="E663">
            <v>168.3</v>
          </cell>
          <cell r="F663">
            <v>20</v>
          </cell>
          <cell r="G663">
            <v>162</v>
          </cell>
        </row>
        <row r="664">
          <cell r="B664" t="str">
            <v>A52CS0004J10004R JP</v>
          </cell>
          <cell r="C664"/>
          <cell r="D664">
            <v>22</v>
          </cell>
          <cell r="E664">
            <v>168.3</v>
          </cell>
          <cell r="F664">
            <v>20</v>
          </cell>
          <cell r="G664">
            <v>162</v>
          </cell>
        </row>
        <row r="665">
          <cell r="B665" t="str">
            <v>A52FC0000M10000R JP</v>
          </cell>
          <cell r="C665"/>
          <cell r="D665">
            <v>22</v>
          </cell>
          <cell r="E665">
            <v>234</v>
          </cell>
          <cell r="F665">
            <v>20</v>
          </cell>
          <cell r="G665">
            <v>162</v>
          </cell>
        </row>
        <row r="666">
          <cell r="B666" t="str">
            <v>A52IM0000H10000R JP</v>
          </cell>
          <cell r="C666"/>
          <cell r="D666">
            <v>22</v>
          </cell>
          <cell r="E666">
            <v>168.3</v>
          </cell>
          <cell r="F666">
            <v>20</v>
          </cell>
          <cell r="G666">
            <v>162</v>
          </cell>
        </row>
        <row r="667">
          <cell r="B667" t="str">
            <v>A52IM0000J10000R JP</v>
          </cell>
          <cell r="C667"/>
          <cell r="D667">
            <v>22</v>
          </cell>
          <cell r="E667">
            <v>168.3</v>
          </cell>
          <cell r="F667">
            <v>20</v>
          </cell>
          <cell r="G667">
            <v>162</v>
          </cell>
        </row>
        <row r="668">
          <cell r="B668" t="str">
            <v>A52IM0000J10005R JP</v>
          </cell>
          <cell r="C668"/>
          <cell r="D668">
            <v>22</v>
          </cell>
          <cell r="E668">
            <v>234</v>
          </cell>
          <cell r="F668">
            <v>20</v>
          </cell>
          <cell r="G668">
            <v>162</v>
          </cell>
        </row>
        <row r="669">
          <cell r="B669" t="str">
            <v>A52IM0000M10005MR JP</v>
          </cell>
          <cell r="C669"/>
          <cell r="D669">
            <v>22</v>
          </cell>
          <cell r="E669">
            <v>168.3</v>
          </cell>
          <cell r="F669">
            <v>20</v>
          </cell>
          <cell r="G669">
            <v>162</v>
          </cell>
        </row>
        <row r="670">
          <cell r="B670" t="str">
            <v>A52IM0002J10000R JP</v>
          </cell>
          <cell r="C670"/>
          <cell r="D670">
            <v>22</v>
          </cell>
          <cell r="E670">
            <v>234</v>
          </cell>
          <cell r="F670">
            <v>20</v>
          </cell>
          <cell r="G670">
            <v>162</v>
          </cell>
        </row>
        <row r="671">
          <cell r="B671" t="str">
            <v>A52JL3000J10000R JP</v>
          </cell>
          <cell r="C671"/>
          <cell r="D671">
            <v>22</v>
          </cell>
          <cell r="E671">
            <v>234</v>
          </cell>
          <cell r="F671">
            <v>20</v>
          </cell>
          <cell r="G671">
            <v>162</v>
          </cell>
        </row>
        <row r="672">
          <cell r="B672" t="str">
            <v>A52SO4000H10000R JP</v>
          </cell>
          <cell r="C672"/>
          <cell r="D672">
            <v>44.4</v>
          </cell>
          <cell r="E672">
            <v>168.3</v>
          </cell>
          <cell r="F672">
            <v>20</v>
          </cell>
          <cell r="G672">
            <v>252</v>
          </cell>
        </row>
        <row r="673">
          <cell r="B673" t="str">
            <v>A60JL3500H10000R JP</v>
          </cell>
          <cell r="C673"/>
          <cell r="D673">
            <v>22</v>
          </cell>
          <cell r="E673">
            <v>234</v>
          </cell>
          <cell r="F673">
            <v>20</v>
          </cell>
          <cell r="G673">
            <v>162</v>
          </cell>
        </row>
        <row r="674">
          <cell r="B674" t="str">
            <v>A60JL4000H10003R JP</v>
          </cell>
          <cell r="C674"/>
          <cell r="D674">
            <v>22</v>
          </cell>
          <cell r="E674">
            <v>234</v>
          </cell>
          <cell r="F674">
            <v>20</v>
          </cell>
          <cell r="G674">
            <v>162</v>
          </cell>
        </row>
        <row r="675">
          <cell r="B675" t="str">
            <v>A60JL4002H10000R JP</v>
          </cell>
          <cell r="C675"/>
          <cell r="D675">
            <v>22</v>
          </cell>
          <cell r="E675">
            <v>234</v>
          </cell>
          <cell r="F675">
            <v>20</v>
          </cell>
          <cell r="G675">
            <v>162</v>
          </cell>
        </row>
        <row r="676">
          <cell r="B676" t="str">
            <v>A60JR3500H10000R JP</v>
          </cell>
          <cell r="C676"/>
          <cell r="D676">
            <v>22</v>
          </cell>
          <cell r="E676">
            <v>234</v>
          </cell>
          <cell r="F676">
            <v>20</v>
          </cell>
          <cell r="G676">
            <v>162</v>
          </cell>
        </row>
        <row r="677">
          <cell r="B677" t="str">
            <v>A42JR3502J10000R JP</v>
          </cell>
          <cell r="C677"/>
          <cell r="D677">
            <v>22</v>
          </cell>
          <cell r="E677">
            <v>168.3</v>
          </cell>
          <cell r="F677">
            <v>32</v>
          </cell>
          <cell r="G677">
            <v>162</v>
          </cell>
        </row>
        <row r="678">
          <cell r="B678" t="str">
            <v>A42JR4000H10000R JP</v>
          </cell>
          <cell r="C678"/>
          <cell r="D678">
            <v>22</v>
          </cell>
          <cell r="E678">
            <v>168.3</v>
          </cell>
          <cell r="F678">
            <v>20</v>
          </cell>
          <cell r="G678">
            <v>162</v>
          </cell>
        </row>
        <row r="679">
          <cell r="B679" t="str">
            <v>A42JR4000H10002R JP</v>
          </cell>
          <cell r="C679"/>
          <cell r="D679">
            <v>22</v>
          </cell>
          <cell r="E679">
            <v>234</v>
          </cell>
          <cell r="F679">
            <v>20</v>
          </cell>
          <cell r="G679">
            <v>123.8</v>
          </cell>
        </row>
        <row r="680">
          <cell r="B680" t="str">
            <v>A42JR4000J10000R JP</v>
          </cell>
          <cell r="C680"/>
          <cell r="D680">
            <v>22</v>
          </cell>
          <cell r="E680">
            <v>168.3</v>
          </cell>
          <cell r="F680">
            <v>20</v>
          </cell>
          <cell r="G680">
            <v>162</v>
          </cell>
        </row>
        <row r="681">
          <cell r="B681" t="str">
            <v>A42JR4000M10004R JP</v>
          </cell>
          <cell r="C681"/>
          <cell r="D681">
            <v>22</v>
          </cell>
          <cell r="E681">
            <v>168.3</v>
          </cell>
          <cell r="F681">
            <v>20</v>
          </cell>
          <cell r="G681">
            <v>162</v>
          </cell>
        </row>
        <row r="682">
          <cell r="B682" t="str">
            <v>A42JR4002H10000R JP</v>
          </cell>
          <cell r="C682"/>
          <cell r="D682">
            <v>22</v>
          </cell>
          <cell r="E682">
            <v>168.3</v>
          </cell>
          <cell r="F682">
            <v>20</v>
          </cell>
          <cell r="G682">
            <v>162</v>
          </cell>
        </row>
        <row r="683">
          <cell r="B683" t="str">
            <v>A42JR4002J10000R JP</v>
          </cell>
          <cell r="C683"/>
          <cell r="D683">
            <v>22</v>
          </cell>
          <cell r="E683">
            <v>168.3</v>
          </cell>
          <cell r="F683">
            <v>20</v>
          </cell>
          <cell r="G683">
            <v>162</v>
          </cell>
        </row>
        <row r="684">
          <cell r="B684" t="str">
            <v>A42JR4002J10003R JP</v>
          </cell>
          <cell r="C684"/>
          <cell r="D684">
            <v>22</v>
          </cell>
          <cell r="E684">
            <v>168.3</v>
          </cell>
          <cell r="F684">
            <v>20</v>
          </cell>
          <cell r="G684">
            <v>162</v>
          </cell>
        </row>
        <row r="685">
          <cell r="B685" t="str">
            <v>A42JR4500J10000R JP</v>
          </cell>
          <cell r="C685"/>
          <cell r="D685">
            <v>22</v>
          </cell>
          <cell r="E685">
            <v>168.3</v>
          </cell>
          <cell r="F685">
            <v>20</v>
          </cell>
          <cell r="G685">
            <v>123.8</v>
          </cell>
        </row>
        <row r="686">
          <cell r="B686" t="str">
            <v>A52CS0004H10004R JP</v>
          </cell>
          <cell r="C686"/>
          <cell r="D686">
            <v>22</v>
          </cell>
          <cell r="E686">
            <v>234</v>
          </cell>
          <cell r="F686">
            <v>20</v>
          </cell>
          <cell r="G686">
            <v>162</v>
          </cell>
        </row>
        <row r="687">
          <cell r="B687" t="str">
            <v>A52B14000H10000R JP</v>
          </cell>
          <cell r="C687"/>
          <cell r="D687">
            <v>22</v>
          </cell>
          <cell r="E687">
            <v>168.3</v>
          </cell>
          <cell r="F687">
            <v>20</v>
          </cell>
          <cell r="G687">
            <v>162</v>
          </cell>
        </row>
        <row r="688">
          <cell r="B688" t="str">
            <v>A52B14001H10000R JP</v>
          </cell>
          <cell r="C688"/>
          <cell r="D688">
            <v>22</v>
          </cell>
          <cell r="E688">
            <v>168.3</v>
          </cell>
          <cell r="F688">
            <v>20</v>
          </cell>
          <cell r="G688">
            <v>162</v>
          </cell>
        </row>
        <row r="689">
          <cell r="B689" t="str">
            <v>A52B14002H10004R JP</v>
          </cell>
          <cell r="C689"/>
          <cell r="D689">
            <v>22</v>
          </cell>
          <cell r="E689">
            <v>234</v>
          </cell>
          <cell r="F689">
            <v>20</v>
          </cell>
          <cell r="G689">
            <v>162</v>
          </cell>
        </row>
        <row r="690">
          <cell r="B690" t="str">
            <v>A52B34002H10004R JP</v>
          </cell>
          <cell r="C690"/>
          <cell r="D690">
            <v>22</v>
          </cell>
          <cell r="E690">
            <v>168.3</v>
          </cell>
          <cell r="F690">
            <v>20</v>
          </cell>
          <cell r="G690">
            <v>162</v>
          </cell>
        </row>
        <row r="691">
          <cell r="B691" t="str">
            <v>A52JR5000H10000R JP</v>
          </cell>
          <cell r="C691"/>
          <cell r="D691">
            <v>22</v>
          </cell>
          <cell r="E691">
            <v>168.3</v>
          </cell>
          <cell r="F691">
            <v>20</v>
          </cell>
          <cell r="G691">
            <v>162</v>
          </cell>
        </row>
        <row r="692">
          <cell r="B692" t="str">
            <v>A52JR5000J10000R JP</v>
          </cell>
          <cell r="C692"/>
          <cell r="D692">
            <v>22</v>
          </cell>
          <cell r="E692">
            <v>168.3</v>
          </cell>
          <cell r="F692">
            <v>20</v>
          </cell>
          <cell r="G692">
            <v>162</v>
          </cell>
        </row>
        <row r="693">
          <cell r="B693" t="str">
            <v>A52JR5000M10002MR JP</v>
          </cell>
          <cell r="C693"/>
          <cell r="D693">
            <v>22</v>
          </cell>
          <cell r="E693">
            <v>234</v>
          </cell>
          <cell r="F693">
            <v>20</v>
          </cell>
          <cell r="G693">
            <v>162</v>
          </cell>
        </row>
        <row r="694">
          <cell r="B694" t="str">
            <v>A52JR5002J10000R JP</v>
          </cell>
          <cell r="C694"/>
          <cell r="D694">
            <v>22</v>
          </cell>
          <cell r="E694">
            <v>234</v>
          </cell>
          <cell r="F694">
            <v>20</v>
          </cell>
          <cell r="G694">
            <v>162</v>
          </cell>
        </row>
        <row r="695">
          <cell r="B695" t="str">
            <v>A52NH3006J10000R JP</v>
          </cell>
          <cell r="C695"/>
          <cell r="D695">
            <v>22</v>
          </cell>
          <cell r="E695">
            <v>234</v>
          </cell>
          <cell r="F695">
            <v>20</v>
          </cell>
          <cell r="G695">
            <v>162</v>
          </cell>
        </row>
        <row r="696">
          <cell r="B696" t="str">
            <v>A52SO3002J10000R JP</v>
          </cell>
          <cell r="C696"/>
          <cell r="D696">
            <v>44.4</v>
          </cell>
          <cell r="E696">
            <v>168.3</v>
          </cell>
          <cell r="F696">
            <v>20</v>
          </cell>
          <cell r="G696">
            <v>252</v>
          </cell>
        </row>
        <row r="697">
          <cell r="B697" t="str">
            <v>A52SO3500H10000R JP</v>
          </cell>
          <cell r="C697"/>
          <cell r="D697">
            <v>44.4</v>
          </cell>
          <cell r="E697">
            <v>234</v>
          </cell>
          <cell r="F697">
            <v>20</v>
          </cell>
          <cell r="G697">
            <v>252</v>
          </cell>
        </row>
        <row r="698">
          <cell r="B698" t="str">
            <v>A52SO3500J10000R JP</v>
          </cell>
          <cell r="C698"/>
          <cell r="D698">
            <v>44.4</v>
          </cell>
          <cell r="E698">
            <v>234</v>
          </cell>
          <cell r="F698">
            <v>20</v>
          </cell>
          <cell r="G698">
            <v>252</v>
          </cell>
        </row>
        <row r="699">
          <cell r="B699" t="str">
            <v>A52SO3502J10000R JP</v>
          </cell>
          <cell r="C699"/>
          <cell r="D699">
            <v>44.4</v>
          </cell>
          <cell r="E699">
            <v>234</v>
          </cell>
          <cell r="F699">
            <v>20</v>
          </cell>
          <cell r="G699">
            <v>252</v>
          </cell>
        </row>
        <row r="700">
          <cell r="B700" t="str">
            <v>A42JL5000J1000GR JP</v>
          </cell>
          <cell r="C700"/>
          <cell r="D700">
            <v>22</v>
          </cell>
          <cell r="E700">
            <v>168.3</v>
          </cell>
          <cell r="F700">
            <v>20</v>
          </cell>
          <cell r="G700">
            <v>162</v>
          </cell>
        </row>
        <row r="701">
          <cell r="B701" t="str">
            <v>A42JL5000M10001R JP</v>
          </cell>
          <cell r="C701"/>
          <cell r="D701">
            <v>22</v>
          </cell>
          <cell r="E701">
            <v>234</v>
          </cell>
          <cell r="F701">
            <v>20</v>
          </cell>
          <cell r="G701">
            <v>162</v>
          </cell>
        </row>
        <row r="702">
          <cell r="B702" t="str">
            <v>A42JL5000M10004R JP</v>
          </cell>
          <cell r="C702"/>
          <cell r="D702">
            <v>22</v>
          </cell>
          <cell r="E702">
            <v>234</v>
          </cell>
          <cell r="F702">
            <v>20</v>
          </cell>
          <cell r="G702">
            <v>162</v>
          </cell>
        </row>
        <row r="703">
          <cell r="B703" t="str">
            <v>A42JL5002H10000R JP</v>
          </cell>
          <cell r="C703"/>
          <cell r="D703">
            <v>22</v>
          </cell>
          <cell r="E703">
            <v>168.3</v>
          </cell>
          <cell r="F703">
            <v>20</v>
          </cell>
          <cell r="G703">
            <v>162</v>
          </cell>
        </row>
        <row r="704">
          <cell r="B704" t="str">
            <v>A42JL5002J10000R JP</v>
          </cell>
          <cell r="C704"/>
          <cell r="D704">
            <v>22</v>
          </cell>
          <cell r="E704">
            <v>234</v>
          </cell>
          <cell r="F704">
            <v>20</v>
          </cell>
          <cell r="G704">
            <v>162</v>
          </cell>
        </row>
        <row r="705">
          <cell r="B705" t="str">
            <v>A42JR3500H10000R JP</v>
          </cell>
          <cell r="C705"/>
          <cell r="D705">
            <v>22</v>
          </cell>
          <cell r="E705">
            <v>168.3</v>
          </cell>
          <cell r="F705">
            <v>20</v>
          </cell>
          <cell r="G705">
            <v>162</v>
          </cell>
        </row>
        <row r="706">
          <cell r="B706" t="str">
            <v>A42JR3500J10000R JP</v>
          </cell>
          <cell r="C706"/>
          <cell r="D706">
            <v>22</v>
          </cell>
          <cell r="E706">
            <v>168.3</v>
          </cell>
          <cell r="F706">
            <v>20</v>
          </cell>
          <cell r="G706">
            <v>162</v>
          </cell>
        </row>
        <row r="707">
          <cell r="B707" t="str">
            <v>A42JR3500M10005R JP</v>
          </cell>
          <cell r="C707"/>
          <cell r="D707">
            <v>22</v>
          </cell>
          <cell r="E707">
            <v>168.3</v>
          </cell>
          <cell r="F707">
            <v>20</v>
          </cell>
          <cell r="G707">
            <v>162</v>
          </cell>
        </row>
        <row r="708">
          <cell r="B708" t="str">
            <v>A42JR3502H10000R JP</v>
          </cell>
          <cell r="C708"/>
          <cell r="D708">
            <v>22</v>
          </cell>
          <cell r="E708">
            <v>168.3</v>
          </cell>
          <cell r="F708">
            <v>20</v>
          </cell>
          <cell r="G708">
            <v>162</v>
          </cell>
        </row>
        <row r="709">
          <cell r="B709" t="str">
            <v>A52B04000H10000R JP</v>
          </cell>
          <cell r="C709"/>
          <cell r="D709">
            <v>22</v>
          </cell>
          <cell r="E709">
            <v>168.3</v>
          </cell>
          <cell r="F709">
            <v>20</v>
          </cell>
          <cell r="G709">
            <v>162</v>
          </cell>
        </row>
        <row r="710">
          <cell r="B710" t="str">
            <v>A52B04000J10000R JP</v>
          </cell>
          <cell r="C710"/>
          <cell r="D710">
            <v>22</v>
          </cell>
          <cell r="E710">
            <v>234</v>
          </cell>
          <cell r="F710">
            <v>20</v>
          </cell>
          <cell r="G710">
            <v>162</v>
          </cell>
        </row>
        <row r="711">
          <cell r="B711" t="str">
            <v>A52B04001H10000R JP</v>
          </cell>
          <cell r="C711"/>
          <cell r="D711">
            <v>22</v>
          </cell>
          <cell r="E711">
            <v>168.3</v>
          </cell>
          <cell r="F711">
            <v>20</v>
          </cell>
          <cell r="G711">
            <v>162</v>
          </cell>
        </row>
        <row r="712">
          <cell r="B712" t="str">
            <v>A52B13500H10000R JP</v>
          </cell>
          <cell r="C712"/>
          <cell r="D712">
            <v>22</v>
          </cell>
          <cell r="E712">
            <v>168.3</v>
          </cell>
          <cell r="F712">
            <v>20</v>
          </cell>
          <cell r="G712">
            <v>162</v>
          </cell>
        </row>
        <row r="713">
          <cell r="B713" t="str">
            <v>A52B13501H10000R JP</v>
          </cell>
          <cell r="C713"/>
          <cell r="D713">
            <v>22</v>
          </cell>
          <cell r="E713">
            <v>168.3</v>
          </cell>
          <cell r="F713">
            <v>20</v>
          </cell>
          <cell r="G713">
            <v>162</v>
          </cell>
        </row>
        <row r="714">
          <cell r="B714" t="str">
            <v>A52JR4000H10002R JP</v>
          </cell>
          <cell r="C714"/>
          <cell r="D714">
            <v>22</v>
          </cell>
          <cell r="E714">
            <v>168.3</v>
          </cell>
          <cell r="F714">
            <v>20</v>
          </cell>
          <cell r="G714">
            <v>162</v>
          </cell>
        </row>
        <row r="715">
          <cell r="B715" t="str">
            <v>A52JR4000H10003R JP</v>
          </cell>
          <cell r="C715"/>
          <cell r="D715">
            <v>22</v>
          </cell>
          <cell r="E715">
            <v>168.3</v>
          </cell>
          <cell r="F715">
            <v>20</v>
          </cell>
          <cell r="G715">
            <v>162</v>
          </cell>
        </row>
        <row r="716">
          <cell r="B716" t="str">
            <v>A52JR4000J10000R JP</v>
          </cell>
          <cell r="C716"/>
          <cell r="D716">
            <v>22</v>
          </cell>
          <cell r="E716">
            <v>168.3</v>
          </cell>
          <cell r="F716">
            <v>20</v>
          </cell>
          <cell r="G716">
            <v>162</v>
          </cell>
        </row>
        <row r="717">
          <cell r="B717" t="str">
            <v>A52JR4000L10000R JP</v>
          </cell>
          <cell r="C717"/>
          <cell r="D717">
            <v>22</v>
          </cell>
          <cell r="E717">
            <v>168.3</v>
          </cell>
          <cell r="F717">
            <v>20</v>
          </cell>
          <cell r="G717">
            <v>162</v>
          </cell>
        </row>
        <row r="718">
          <cell r="B718" t="str">
            <v>A52JR4000M10002MR JP</v>
          </cell>
          <cell r="C718"/>
          <cell r="D718">
            <v>22</v>
          </cell>
          <cell r="E718">
            <v>168.3</v>
          </cell>
          <cell r="F718">
            <v>20</v>
          </cell>
          <cell r="G718">
            <v>162</v>
          </cell>
        </row>
        <row r="719">
          <cell r="B719" t="str">
            <v>A52JR4002H10000R JP</v>
          </cell>
          <cell r="C719"/>
          <cell r="D719">
            <v>22</v>
          </cell>
          <cell r="E719">
            <v>168.3</v>
          </cell>
          <cell r="F719">
            <v>20</v>
          </cell>
          <cell r="G719">
            <v>162</v>
          </cell>
        </row>
        <row r="720">
          <cell r="B720" t="str">
            <v>A52JR4002J08000R JP</v>
          </cell>
          <cell r="C720"/>
          <cell r="D720">
            <v>22</v>
          </cell>
          <cell r="E720">
            <v>234</v>
          </cell>
          <cell r="F720">
            <v>20</v>
          </cell>
          <cell r="G720">
            <v>123.8</v>
          </cell>
        </row>
        <row r="721">
          <cell r="B721" t="str">
            <v>A52JR4002J10000R JP</v>
          </cell>
          <cell r="C721"/>
          <cell r="D721">
            <v>22</v>
          </cell>
          <cell r="E721">
            <v>168.3</v>
          </cell>
          <cell r="F721">
            <v>20</v>
          </cell>
          <cell r="G721">
            <v>162</v>
          </cell>
        </row>
        <row r="722">
          <cell r="B722" t="str">
            <v>A52JR4500J10000R JP</v>
          </cell>
          <cell r="C722"/>
          <cell r="D722">
            <v>22</v>
          </cell>
          <cell r="E722">
            <v>234</v>
          </cell>
          <cell r="F722">
            <v>20</v>
          </cell>
          <cell r="G722">
            <v>162</v>
          </cell>
        </row>
        <row r="723">
          <cell r="B723" t="str">
            <v>A42JL4002M10001R JP</v>
          </cell>
          <cell r="C723"/>
          <cell r="D723">
            <v>22</v>
          </cell>
          <cell r="E723">
            <v>234</v>
          </cell>
          <cell r="F723">
            <v>20</v>
          </cell>
          <cell r="G723">
            <v>162</v>
          </cell>
        </row>
        <row r="724">
          <cell r="B724" t="str">
            <v>A42JL4500J10000R JP</v>
          </cell>
          <cell r="C724"/>
          <cell r="D724">
            <v>22</v>
          </cell>
          <cell r="E724">
            <v>168.3</v>
          </cell>
          <cell r="F724">
            <v>20</v>
          </cell>
          <cell r="G724">
            <v>162</v>
          </cell>
        </row>
        <row r="725">
          <cell r="B725" t="str">
            <v>A42JL4502H10000R JP</v>
          </cell>
          <cell r="C725"/>
          <cell r="D725">
            <v>22</v>
          </cell>
          <cell r="E725">
            <v>168.3</v>
          </cell>
          <cell r="F725">
            <v>20</v>
          </cell>
          <cell r="G725">
            <v>162</v>
          </cell>
        </row>
        <row r="726">
          <cell r="B726" t="str">
            <v>A42JL4502J10000R JP</v>
          </cell>
          <cell r="C726"/>
          <cell r="D726">
            <v>22</v>
          </cell>
          <cell r="E726">
            <v>168.3</v>
          </cell>
          <cell r="F726">
            <v>20</v>
          </cell>
          <cell r="G726">
            <v>162</v>
          </cell>
        </row>
        <row r="727">
          <cell r="B727" t="str">
            <v>A42JL5000H10000R JP</v>
          </cell>
          <cell r="C727"/>
          <cell r="D727">
            <v>22</v>
          </cell>
          <cell r="E727">
            <v>234</v>
          </cell>
          <cell r="F727">
            <v>20</v>
          </cell>
          <cell r="G727">
            <v>162</v>
          </cell>
        </row>
        <row r="728">
          <cell r="B728" t="str">
            <v>A42JL5000H1000GR JP</v>
          </cell>
          <cell r="C728"/>
          <cell r="D728">
            <v>22</v>
          </cell>
          <cell r="E728">
            <v>234</v>
          </cell>
          <cell r="F728">
            <v>20</v>
          </cell>
          <cell r="G728">
            <v>162</v>
          </cell>
        </row>
        <row r="729">
          <cell r="B729" t="str">
            <v>A42JL5000J10000R JP</v>
          </cell>
          <cell r="C729"/>
          <cell r="D729">
            <v>22</v>
          </cell>
          <cell r="E729">
            <v>168.3</v>
          </cell>
          <cell r="F729">
            <v>20</v>
          </cell>
          <cell r="G729">
            <v>162</v>
          </cell>
        </row>
        <row r="730">
          <cell r="B730" t="str">
            <v>A52AL0200J10000R JP</v>
          </cell>
          <cell r="C730"/>
          <cell r="D730">
            <v>22</v>
          </cell>
          <cell r="E730">
            <v>168.3</v>
          </cell>
          <cell r="F730">
            <v>20</v>
          </cell>
          <cell r="G730">
            <v>123.8</v>
          </cell>
        </row>
        <row r="731">
          <cell r="B731" t="str">
            <v>A52AL0200M10000MR JP</v>
          </cell>
          <cell r="C731"/>
          <cell r="D731">
            <v>22</v>
          </cell>
          <cell r="E731">
            <v>234</v>
          </cell>
          <cell r="F731">
            <v>20</v>
          </cell>
          <cell r="G731">
            <v>162</v>
          </cell>
        </row>
        <row r="732">
          <cell r="B732" t="str">
            <v>A52AL0202H10000R JP</v>
          </cell>
          <cell r="C732"/>
          <cell r="D732">
            <v>22</v>
          </cell>
          <cell r="E732">
            <v>234</v>
          </cell>
          <cell r="F732">
            <v>20</v>
          </cell>
          <cell r="G732">
            <v>123.8</v>
          </cell>
        </row>
        <row r="733">
          <cell r="B733" t="str">
            <v>A52AL0202J10000R JP</v>
          </cell>
          <cell r="C733"/>
          <cell r="D733">
            <v>22</v>
          </cell>
          <cell r="E733">
            <v>234</v>
          </cell>
          <cell r="F733">
            <v>20</v>
          </cell>
          <cell r="G733">
            <v>162</v>
          </cell>
        </row>
        <row r="734">
          <cell r="B734" t="str">
            <v>A52AL0702J10000R JP</v>
          </cell>
          <cell r="C734"/>
          <cell r="D734">
            <v>22</v>
          </cell>
          <cell r="E734">
            <v>168.3</v>
          </cell>
          <cell r="F734">
            <v>20</v>
          </cell>
          <cell r="G734">
            <v>162</v>
          </cell>
        </row>
        <row r="735">
          <cell r="B735" t="str">
            <v>A52AL1502H10000R JP</v>
          </cell>
          <cell r="C735"/>
          <cell r="D735">
            <v>22</v>
          </cell>
          <cell r="E735">
            <v>234</v>
          </cell>
          <cell r="F735">
            <v>20</v>
          </cell>
          <cell r="G735">
            <v>162</v>
          </cell>
        </row>
        <row r="736">
          <cell r="B736" t="str">
            <v>A52AR0200J10000R JP</v>
          </cell>
          <cell r="C736"/>
          <cell r="D736">
            <v>22</v>
          </cell>
          <cell r="E736">
            <v>234</v>
          </cell>
          <cell r="F736">
            <v>20</v>
          </cell>
          <cell r="G736">
            <v>162</v>
          </cell>
        </row>
        <row r="737">
          <cell r="B737" t="str">
            <v>A52B03500H10000R JP</v>
          </cell>
          <cell r="C737"/>
          <cell r="D737">
            <v>22</v>
          </cell>
          <cell r="E737">
            <v>168.3</v>
          </cell>
          <cell r="F737">
            <v>20</v>
          </cell>
          <cell r="G737">
            <v>123.8</v>
          </cell>
        </row>
        <row r="738">
          <cell r="B738" t="str">
            <v>A52B03501H10000R JP</v>
          </cell>
          <cell r="C738"/>
          <cell r="D738">
            <v>22</v>
          </cell>
          <cell r="E738">
            <v>168.3</v>
          </cell>
          <cell r="F738">
            <v>20</v>
          </cell>
          <cell r="G738">
            <v>162</v>
          </cell>
        </row>
        <row r="739">
          <cell r="B739" t="str">
            <v>A52JR3500L10000R JP</v>
          </cell>
          <cell r="C739"/>
          <cell r="D739">
            <v>22</v>
          </cell>
          <cell r="E739">
            <v>168.3</v>
          </cell>
          <cell r="F739">
            <v>20</v>
          </cell>
          <cell r="G739">
            <v>162</v>
          </cell>
        </row>
        <row r="740">
          <cell r="B740" t="str">
            <v>A52JR3500M10006MR JP</v>
          </cell>
          <cell r="C740"/>
          <cell r="D740">
            <v>22</v>
          </cell>
          <cell r="E740">
            <v>234</v>
          </cell>
          <cell r="F740">
            <v>20</v>
          </cell>
          <cell r="G740">
            <v>162</v>
          </cell>
        </row>
        <row r="741">
          <cell r="B741" t="str">
            <v>A52JR3502H10000R JP</v>
          </cell>
          <cell r="C741"/>
          <cell r="D741">
            <v>22</v>
          </cell>
          <cell r="E741">
            <v>168.3</v>
          </cell>
          <cell r="F741">
            <v>20</v>
          </cell>
          <cell r="G741">
            <v>162</v>
          </cell>
        </row>
        <row r="742">
          <cell r="B742" t="str">
            <v>A52JR3502J10000R JP</v>
          </cell>
          <cell r="C742"/>
          <cell r="D742">
            <v>22</v>
          </cell>
          <cell r="E742">
            <v>234</v>
          </cell>
          <cell r="F742">
            <v>20</v>
          </cell>
          <cell r="G742">
            <v>123.8</v>
          </cell>
        </row>
        <row r="743">
          <cell r="B743" t="str">
            <v>A52JR4000H10000R JP</v>
          </cell>
          <cell r="C743"/>
          <cell r="D743">
            <v>22</v>
          </cell>
          <cell r="E743">
            <v>168.3</v>
          </cell>
          <cell r="F743">
            <v>20</v>
          </cell>
          <cell r="G743">
            <v>162</v>
          </cell>
        </row>
        <row r="744">
          <cell r="B744" t="str">
            <v>A42JL4002J1000GR JP</v>
          </cell>
          <cell r="C744"/>
          <cell r="D744">
            <v>22</v>
          </cell>
          <cell r="E744">
            <v>168.3</v>
          </cell>
          <cell r="F744">
            <v>20</v>
          </cell>
          <cell r="G744">
            <v>162</v>
          </cell>
        </row>
        <row r="745">
          <cell r="B745" t="str">
            <v>A42JL4002M10000R JP</v>
          </cell>
          <cell r="C745"/>
          <cell r="D745">
            <v>22</v>
          </cell>
          <cell r="E745">
            <v>168.3</v>
          </cell>
          <cell r="F745">
            <v>20</v>
          </cell>
          <cell r="G745">
            <v>162</v>
          </cell>
        </row>
        <row r="746">
          <cell r="B746" t="str">
            <v>A42JL4002H10001R JP</v>
          </cell>
          <cell r="C746"/>
          <cell r="D746">
            <v>22</v>
          </cell>
          <cell r="E746">
            <v>168.3</v>
          </cell>
          <cell r="F746">
            <v>20</v>
          </cell>
          <cell r="G746">
            <v>162</v>
          </cell>
        </row>
        <row r="747">
          <cell r="B747" t="str">
            <v>A42JL4002J10000R JP</v>
          </cell>
          <cell r="C747"/>
          <cell r="D747">
            <v>22</v>
          </cell>
          <cell r="E747">
            <v>168.3</v>
          </cell>
          <cell r="F747">
            <v>20</v>
          </cell>
          <cell r="G747">
            <v>162</v>
          </cell>
        </row>
        <row r="748">
          <cell r="B748" t="str">
            <v>A42JL4002J10004R JP</v>
          </cell>
          <cell r="C748"/>
          <cell r="D748">
            <v>22</v>
          </cell>
          <cell r="E748">
            <v>168.3</v>
          </cell>
          <cell r="F748">
            <v>20</v>
          </cell>
          <cell r="G748">
            <v>162</v>
          </cell>
        </row>
        <row r="749">
          <cell r="B749" t="str">
            <v>A52AL0100H10000R JP</v>
          </cell>
          <cell r="C749"/>
          <cell r="D749">
            <v>22</v>
          </cell>
          <cell r="E749">
            <v>168.3</v>
          </cell>
          <cell r="F749">
            <v>20</v>
          </cell>
          <cell r="G749">
            <v>162</v>
          </cell>
        </row>
        <row r="750">
          <cell r="B750" t="str">
            <v>A52AL0100J10000R JP</v>
          </cell>
          <cell r="C750"/>
          <cell r="D750">
            <v>22</v>
          </cell>
          <cell r="E750">
            <v>168.3</v>
          </cell>
          <cell r="F750">
            <v>20</v>
          </cell>
          <cell r="G750">
            <v>162</v>
          </cell>
        </row>
        <row r="751">
          <cell r="B751" t="str">
            <v>A52AL0100J10004R JP</v>
          </cell>
          <cell r="C751"/>
          <cell r="D751">
            <v>22</v>
          </cell>
          <cell r="E751">
            <v>168.3</v>
          </cell>
          <cell r="F751">
            <v>20</v>
          </cell>
          <cell r="G751">
            <v>162</v>
          </cell>
        </row>
        <row r="752">
          <cell r="B752" t="str">
            <v>A52AL0100L10000R JP</v>
          </cell>
          <cell r="C752"/>
          <cell r="D752">
            <v>22</v>
          </cell>
          <cell r="E752">
            <v>234</v>
          </cell>
          <cell r="F752">
            <v>20</v>
          </cell>
          <cell r="G752">
            <v>162</v>
          </cell>
        </row>
        <row r="753">
          <cell r="B753" t="str">
            <v>A52AL0100M10000MR JP</v>
          </cell>
          <cell r="C753"/>
          <cell r="D753">
            <v>22</v>
          </cell>
          <cell r="E753">
            <v>168.3</v>
          </cell>
          <cell r="F753">
            <v>20</v>
          </cell>
          <cell r="G753">
            <v>162</v>
          </cell>
        </row>
        <row r="754">
          <cell r="B754" t="str">
            <v>A52AL0102H10000R JP</v>
          </cell>
          <cell r="C754"/>
          <cell r="D754">
            <v>22</v>
          </cell>
          <cell r="E754">
            <v>234</v>
          </cell>
          <cell r="F754">
            <v>20</v>
          </cell>
          <cell r="G754">
            <v>162</v>
          </cell>
        </row>
        <row r="755">
          <cell r="B755" t="str">
            <v>A52AL0102J10000R JP</v>
          </cell>
          <cell r="C755"/>
          <cell r="D755">
            <v>22</v>
          </cell>
          <cell r="E755">
            <v>234</v>
          </cell>
          <cell r="F755">
            <v>20</v>
          </cell>
          <cell r="G755">
            <v>162</v>
          </cell>
        </row>
        <row r="756">
          <cell r="B756" t="str">
            <v>A52AL0102M10004R JP</v>
          </cell>
          <cell r="C756"/>
          <cell r="D756">
            <v>22</v>
          </cell>
          <cell r="E756">
            <v>234</v>
          </cell>
          <cell r="F756">
            <v>20</v>
          </cell>
          <cell r="G756">
            <v>162</v>
          </cell>
        </row>
        <row r="757">
          <cell r="B757" t="str">
            <v>A52AL0200H10000R JP</v>
          </cell>
          <cell r="C757"/>
          <cell r="D757">
            <v>22</v>
          </cell>
          <cell r="E757">
            <v>168.3</v>
          </cell>
          <cell r="F757">
            <v>20</v>
          </cell>
          <cell r="G757">
            <v>162</v>
          </cell>
        </row>
        <row r="758">
          <cell r="B758" t="str">
            <v>A52JL5002J10000R JP</v>
          </cell>
          <cell r="C758"/>
          <cell r="D758">
            <v>22</v>
          </cell>
          <cell r="E758">
            <v>234</v>
          </cell>
          <cell r="F758">
            <v>20</v>
          </cell>
          <cell r="G758">
            <v>162</v>
          </cell>
        </row>
        <row r="759">
          <cell r="B759" t="str">
            <v>A52JR3500H10000R JP</v>
          </cell>
          <cell r="C759"/>
          <cell r="D759">
            <v>22</v>
          </cell>
          <cell r="E759">
            <v>168.3</v>
          </cell>
          <cell r="F759">
            <v>20</v>
          </cell>
          <cell r="G759">
            <v>162</v>
          </cell>
        </row>
        <row r="760">
          <cell r="B760" t="str">
            <v>A52JR3500H10003R JP</v>
          </cell>
          <cell r="C760"/>
          <cell r="D760">
            <v>22</v>
          </cell>
          <cell r="E760">
            <v>168.3</v>
          </cell>
          <cell r="F760">
            <v>20</v>
          </cell>
          <cell r="G760">
            <v>162</v>
          </cell>
        </row>
        <row r="761">
          <cell r="B761" t="str">
            <v>A52JR3500J10000R JP</v>
          </cell>
          <cell r="C761"/>
          <cell r="D761">
            <v>22</v>
          </cell>
          <cell r="E761">
            <v>168.3</v>
          </cell>
          <cell r="F761">
            <v>20</v>
          </cell>
          <cell r="G761">
            <v>162</v>
          </cell>
        </row>
        <row r="762">
          <cell r="B762" t="str">
            <v>A52JL5000M1000GMR JP</v>
          </cell>
          <cell r="C762"/>
          <cell r="D762">
            <v>22</v>
          </cell>
          <cell r="E762">
            <v>168.3</v>
          </cell>
          <cell r="F762">
            <v>20</v>
          </cell>
          <cell r="G762">
            <v>162</v>
          </cell>
        </row>
        <row r="763">
          <cell r="B763" t="str">
            <v>A42JL4000J10001R JP</v>
          </cell>
          <cell r="C763"/>
          <cell r="D763">
            <v>22</v>
          </cell>
          <cell r="E763">
            <v>234</v>
          </cell>
          <cell r="F763">
            <v>20</v>
          </cell>
          <cell r="G763">
            <v>162</v>
          </cell>
        </row>
        <row r="764">
          <cell r="B764" t="str">
            <v>A42JL4000J1000GR JP</v>
          </cell>
          <cell r="C764"/>
          <cell r="D764">
            <v>22</v>
          </cell>
          <cell r="E764">
            <v>168.3</v>
          </cell>
          <cell r="F764">
            <v>20</v>
          </cell>
          <cell r="G764">
            <v>162</v>
          </cell>
        </row>
        <row r="765">
          <cell r="B765" t="str">
            <v>A42JL4000J10041R JP</v>
          </cell>
          <cell r="C765"/>
          <cell r="D765">
            <v>22</v>
          </cell>
          <cell r="E765">
            <v>168.3</v>
          </cell>
          <cell r="F765">
            <v>20</v>
          </cell>
          <cell r="G765">
            <v>162</v>
          </cell>
        </row>
        <row r="766">
          <cell r="B766" t="str">
            <v>A42JL4000M10001R JP</v>
          </cell>
          <cell r="C766"/>
          <cell r="D766">
            <v>22</v>
          </cell>
          <cell r="E766">
            <v>168.3</v>
          </cell>
          <cell r="F766">
            <v>20</v>
          </cell>
          <cell r="G766">
            <v>162</v>
          </cell>
        </row>
        <row r="767">
          <cell r="B767" t="str">
            <v>A42JL4000M10004R JP</v>
          </cell>
          <cell r="C767"/>
          <cell r="D767">
            <v>22</v>
          </cell>
          <cell r="E767">
            <v>168.3</v>
          </cell>
          <cell r="F767">
            <v>20</v>
          </cell>
          <cell r="G767">
            <v>162</v>
          </cell>
        </row>
        <row r="768">
          <cell r="B768" t="str">
            <v>A42JL4002H10000R JP</v>
          </cell>
          <cell r="C768"/>
          <cell r="D768">
            <v>22</v>
          </cell>
          <cell r="E768">
            <v>168.3</v>
          </cell>
          <cell r="F768">
            <v>20</v>
          </cell>
          <cell r="G768">
            <v>162</v>
          </cell>
        </row>
        <row r="769">
          <cell r="B769" t="str">
            <v>A42XO0002J06500R JP</v>
          </cell>
          <cell r="C769"/>
          <cell r="D769">
            <v>22</v>
          </cell>
          <cell r="E769">
            <v>168.3</v>
          </cell>
          <cell r="F769">
            <v>20</v>
          </cell>
          <cell r="G769">
            <v>162</v>
          </cell>
        </row>
        <row r="770">
          <cell r="B770" t="str">
            <v>A50P04002G110P1R JP</v>
          </cell>
          <cell r="C770"/>
          <cell r="D770">
            <v>22</v>
          </cell>
          <cell r="E770">
            <v>234</v>
          </cell>
          <cell r="F770">
            <v>20</v>
          </cell>
          <cell r="G770">
            <v>162</v>
          </cell>
        </row>
        <row r="771">
          <cell r="B771" t="str">
            <v>A50P04006G06500R JP</v>
          </cell>
          <cell r="C771"/>
          <cell r="D771">
            <v>22</v>
          </cell>
          <cell r="E771">
            <v>168.3</v>
          </cell>
          <cell r="F771">
            <v>20</v>
          </cell>
          <cell r="G771">
            <v>162</v>
          </cell>
        </row>
        <row r="772">
          <cell r="B772" t="str">
            <v>A50P04012G11000R JP</v>
          </cell>
          <cell r="C772"/>
          <cell r="D772">
            <v>22</v>
          </cell>
          <cell r="E772">
            <v>168.3</v>
          </cell>
          <cell r="F772">
            <v>20</v>
          </cell>
          <cell r="G772">
            <v>162</v>
          </cell>
        </row>
        <row r="773">
          <cell r="B773" t="str">
            <v>A50P32004G11000R JP</v>
          </cell>
          <cell r="C773"/>
          <cell r="D773">
            <v>22</v>
          </cell>
          <cell r="E773">
            <v>168.3</v>
          </cell>
          <cell r="F773">
            <v>20</v>
          </cell>
          <cell r="G773">
            <v>162</v>
          </cell>
        </row>
        <row r="774">
          <cell r="B774" t="str">
            <v>A50P44010G11000R JP</v>
          </cell>
          <cell r="C774"/>
          <cell r="D774">
            <v>22</v>
          </cell>
          <cell r="E774">
            <v>234</v>
          </cell>
          <cell r="F774">
            <v>20</v>
          </cell>
          <cell r="G774">
            <v>162</v>
          </cell>
        </row>
        <row r="775">
          <cell r="B775" t="str">
            <v>A50P44012G11000R JP</v>
          </cell>
          <cell r="C775"/>
          <cell r="D775">
            <v>22</v>
          </cell>
          <cell r="E775">
            <v>168.3</v>
          </cell>
          <cell r="F775">
            <v>20</v>
          </cell>
          <cell r="G775">
            <v>162</v>
          </cell>
        </row>
        <row r="776">
          <cell r="B776" t="str">
            <v>A50P54012G11000R JP</v>
          </cell>
          <cell r="C776"/>
          <cell r="D776">
            <v>22</v>
          </cell>
          <cell r="E776">
            <v>168.3</v>
          </cell>
          <cell r="F776">
            <v>20</v>
          </cell>
          <cell r="G776">
            <v>162</v>
          </cell>
        </row>
        <row r="777">
          <cell r="B777" t="str">
            <v>A52JL4500H10000R JP</v>
          </cell>
          <cell r="C777"/>
          <cell r="D777">
            <v>22</v>
          </cell>
          <cell r="E777">
            <v>234</v>
          </cell>
          <cell r="F777">
            <v>20</v>
          </cell>
          <cell r="G777">
            <v>162</v>
          </cell>
        </row>
        <row r="778">
          <cell r="B778" t="str">
            <v>A52JL4500J10000R JP</v>
          </cell>
          <cell r="C778"/>
          <cell r="D778">
            <v>22</v>
          </cell>
          <cell r="E778">
            <v>168.3</v>
          </cell>
          <cell r="F778">
            <v>20</v>
          </cell>
          <cell r="G778">
            <v>162</v>
          </cell>
        </row>
        <row r="779">
          <cell r="B779" t="str">
            <v>A52JL4502J10000R JP</v>
          </cell>
          <cell r="C779"/>
          <cell r="D779">
            <v>22</v>
          </cell>
          <cell r="E779">
            <v>168.3</v>
          </cell>
          <cell r="F779">
            <v>20</v>
          </cell>
          <cell r="G779">
            <v>123.8</v>
          </cell>
        </row>
        <row r="780">
          <cell r="B780" t="str">
            <v>A52JL5000H10000R JP</v>
          </cell>
          <cell r="C780"/>
          <cell r="D780">
            <v>22</v>
          </cell>
          <cell r="E780">
            <v>168.3</v>
          </cell>
          <cell r="F780">
            <v>20</v>
          </cell>
          <cell r="G780">
            <v>162</v>
          </cell>
        </row>
        <row r="781">
          <cell r="B781" t="str">
            <v>A52JL5000H10001R JP</v>
          </cell>
          <cell r="C781"/>
          <cell r="D781">
            <v>22</v>
          </cell>
          <cell r="E781">
            <v>234</v>
          </cell>
          <cell r="F781">
            <v>20</v>
          </cell>
          <cell r="G781">
            <v>162</v>
          </cell>
        </row>
        <row r="782">
          <cell r="B782" t="str">
            <v>A52JL5000H1000GR JP</v>
          </cell>
          <cell r="C782"/>
          <cell r="D782">
            <v>22</v>
          </cell>
          <cell r="E782">
            <v>168.3</v>
          </cell>
          <cell r="F782">
            <v>20</v>
          </cell>
          <cell r="G782">
            <v>123.8</v>
          </cell>
        </row>
        <row r="783">
          <cell r="B783" t="str">
            <v>A52JL5000J10000R JP</v>
          </cell>
          <cell r="C783"/>
          <cell r="D783">
            <v>22</v>
          </cell>
          <cell r="E783">
            <v>168.3</v>
          </cell>
          <cell r="F783">
            <v>20</v>
          </cell>
          <cell r="G783">
            <v>162</v>
          </cell>
        </row>
        <row r="784">
          <cell r="B784" t="str">
            <v>A52JL5000J1000GR JP</v>
          </cell>
          <cell r="C784"/>
          <cell r="D784">
            <v>22</v>
          </cell>
          <cell r="E784">
            <v>168.3</v>
          </cell>
          <cell r="F784">
            <v>20</v>
          </cell>
          <cell r="G784">
            <v>162</v>
          </cell>
        </row>
        <row r="785">
          <cell r="B785" t="str">
            <v>A42JL3502H10004R JP</v>
          </cell>
          <cell r="C785"/>
          <cell r="D785">
            <v>22</v>
          </cell>
          <cell r="E785">
            <v>234</v>
          </cell>
          <cell r="F785">
            <v>20</v>
          </cell>
          <cell r="G785">
            <v>162</v>
          </cell>
        </row>
        <row r="786">
          <cell r="B786" t="str">
            <v>A42JL3502J10000R JP</v>
          </cell>
          <cell r="C786"/>
          <cell r="D786">
            <v>22</v>
          </cell>
          <cell r="E786">
            <v>168.3</v>
          </cell>
          <cell r="F786">
            <v>20</v>
          </cell>
          <cell r="G786">
            <v>162</v>
          </cell>
        </row>
        <row r="787">
          <cell r="B787" t="str">
            <v>A42JL3502J10004R JP</v>
          </cell>
          <cell r="C787"/>
          <cell r="D787">
            <v>22</v>
          </cell>
          <cell r="E787">
            <v>168.3</v>
          </cell>
          <cell r="F787">
            <v>20</v>
          </cell>
          <cell r="G787">
            <v>162</v>
          </cell>
        </row>
        <row r="788">
          <cell r="B788" t="str">
            <v>A42JL3502J1000GR JP</v>
          </cell>
          <cell r="C788"/>
          <cell r="D788">
            <v>22</v>
          </cell>
          <cell r="E788">
            <v>234</v>
          </cell>
          <cell r="F788">
            <v>20</v>
          </cell>
          <cell r="G788">
            <v>162</v>
          </cell>
        </row>
        <row r="789">
          <cell r="B789" t="str">
            <v>A42JL3502M10001R JP</v>
          </cell>
          <cell r="C789"/>
          <cell r="D789">
            <v>22</v>
          </cell>
          <cell r="E789">
            <v>234</v>
          </cell>
          <cell r="F789">
            <v>20</v>
          </cell>
          <cell r="G789">
            <v>162</v>
          </cell>
        </row>
        <row r="790">
          <cell r="B790" t="str">
            <v>A42JL3700M10004R JP</v>
          </cell>
          <cell r="C790"/>
          <cell r="D790">
            <v>22</v>
          </cell>
          <cell r="E790">
            <v>168.3</v>
          </cell>
          <cell r="F790">
            <v>20</v>
          </cell>
          <cell r="G790">
            <v>162</v>
          </cell>
        </row>
        <row r="791">
          <cell r="B791" t="str">
            <v>A42JL4000H10000R JP</v>
          </cell>
          <cell r="C791"/>
          <cell r="D791">
            <v>22</v>
          </cell>
          <cell r="E791">
            <v>168.3</v>
          </cell>
          <cell r="F791">
            <v>20</v>
          </cell>
          <cell r="G791">
            <v>162</v>
          </cell>
        </row>
        <row r="792">
          <cell r="B792" t="str">
            <v>A42JL4000H1000GR JP</v>
          </cell>
          <cell r="C792"/>
          <cell r="D792">
            <v>22</v>
          </cell>
          <cell r="E792">
            <v>168.3</v>
          </cell>
          <cell r="F792">
            <v>20</v>
          </cell>
          <cell r="G792">
            <v>162</v>
          </cell>
        </row>
        <row r="793">
          <cell r="B793" t="str">
            <v>A42JL4000J10000R JP</v>
          </cell>
          <cell r="C793"/>
          <cell r="D793">
            <v>22</v>
          </cell>
          <cell r="E793">
            <v>168.3</v>
          </cell>
          <cell r="F793">
            <v>20</v>
          </cell>
          <cell r="G793">
            <v>162</v>
          </cell>
        </row>
        <row r="794">
          <cell r="B794" t="str">
            <v>A42UC3702H11000R JP</v>
          </cell>
          <cell r="C794"/>
          <cell r="D794">
            <v>22</v>
          </cell>
          <cell r="E794">
            <v>168.3</v>
          </cell>
          <cell r="F794">
            <v>20</v>
          </cell>
          <cell r="G794">
            <v>162</v>
          </cell>
        </row>
        <row r="795">
          <cell r="B795" t="str">
            <v>A60FC0000L11000R JP</v>
          </cell>
          <cell r="C795"/>
          <cell r="D795">
            <v>22</v>
          </cell>
          <cell r="E795">
            <v>302</v>
          </cell>
          <cell r="F795">
            <v>20</v>
          </cell>
          <cell r="G795">
            <v>174</v>
          </cell>
        </row>
        <row r="796">
          <cell r="B796" t="str">
            <v>A60JB0200J12500R JP</v>
          </cell>
          <cell r="C796"/>
          <cell r="D796">
            <v>22</v>
          </cell>
          <cell r="E796">
            <v>277.5</v>
          </cell>
          <cell r="F796">
            <v>20</v>
          </cell>
          <cell r="G796">
            <v>174</v>
          </cell>
        </row>
        <row r="797">
          <cell r="B797" t="str">
            <v>A42P54012G12000R JP</v>
          </cell>
          <cell r="C797"/>
          <cell r="D797">
            <v>22</v>
          </cell>
          <cell r="E797">
            <v>277.5</v>
          </cell>
          <cell r="F797">
            <v>20</v>
          </cell>
          <cell r="G797">
            <v>174</v>
          </cell>
        </row>
        <row r="798">
          <cell r="B798" t="str">
            <v>A42P54012G13000R JP</v>
          </cell>
          <cell r="C798"/>
          <cell r="D798">
            <v>22</v>
          </cell>
          <cell r="E798">
            <v>277.5</v>
          </cell>
          <cell r="F798">
            <v>20</v>
          </cell>
          <cell r="G798">
            <v>174</v>
          </cell>
        </row>
        <row r="799">
          <cell r="B799" t="str">
            <v>A42SO3002H13000R JP</v>
          </cell>
          <cell r="C799"/>
          <cell r="D799">
            <v>44.4</v>
          </cell>
          <cell r="E799">
            <v>302</v>
          </cell>
          <cell r="F799">
            <v>20</v>
          </cell>
          <cell r="G799">
            <v>252</v>
          </cell>
        </row>
        <row r="800">
          <cell r="B800" t="str">
            <v>A42SO3502H13000R JP</v>
          </cell>
          <cell r="C800"/>
          <cell r="D800">
            <v>44.4</v>
          </cell>
          <cell r="E800">
            <v>302</v>
          </cell>
          <cell r="F800">
            <v>20</v>
          </cell>
          <cell r="G800">
            <v>252</v>
          </cell>
        </row>
        <row r="801">
          <cell r="B801" t="str">
            <v>A42SO4002H13000R JP</v>
          </cell>
          <cell r="C801"/>
          <cell r="D801">
            <v>44.4</v>
          </cell>
          <cell r="E801">
            <v>277.5</v>
          </cell>
          <cell r="F801">
            <v>20</v>
          </cell>
          <cell r="G801">
            <v>252</v>
          </cell>
        </row>
        <row r="802">
          <cell r="B802" t="str">
            <v>A50P04012G13001R JP</v>
          </cell>
          <cell r="C802"/>
          <cell r="D802">
            <v>22</v>
          </cell>
          <cell r="E802">
            <v>302</v>
          </cell>
          <cell r="F802">
            <v>20</v>
          </cell>
          <cell r="G802">
            <v>174</v>
          </cell>
        </row>
        <row r="803">
          <cell r="B803" t="str">
            <v>A50P54012G13000R JP</v>
          </cell>
          <cell r="C803"/>
          <cell r="D803">
            <v>22</v>
          </cell>
          <cell r="E803">
            <v>277.5</v>
          </cell>
          <cell r="F803">
            <v>20</v>
          </cell>
          <cell r="G803">
            <v>174</v>
          </cell>
        </row>
        <row r="804">
          <cell r="B804" t="str">
            <v>A50P73008G13001R JP</v>
          </cell>
          <cell r="C804"/>
          <cell r="D804">
            <v>22</v>
          </cell>
          <cell r="E804">
            <v>277.5</v>
          </cell>
          <cell r="F804">
            <v>20</v>
          </cell>
          <cell r="G804">
            <v>174</v>
          </cell>
        </row>
        <row r="805">
          <cell r="B805" t="str">
            <v>A52FC0000M13000R JP</v>
          </cell>
          <cell r="C805"/>
          <cell r="D805">
            <v>22</v>
          </cell>
          <cell r="E805">
            <v>302</v>
          </cell>
          <cell r="F805">
            <v>20</v>
          </cell>
          <cell r="G805">
            <v>151.19999999999999</v>
          </cell>
        </row>
        <row r="806">
          <cell r="B806" t="str">
            <v>A52JB0300J13000R JP</v>
          </cell>
          <cell r="C806"/>
          <cell r="D806">
            <v>22</v>
          </cell>
          <cell r="E806">
            <v>302</v>
          </cell>
          <cell r="F806">
            <v>20</v>
          </cell>
          <cell r="G806">
            <v>174</v>
          </cell>
        </row>
        <row r="807">
          <cell r="B807" t="str">
            <v>A52JL4000J13000R JP</v>
          </cell>
          <cell r="C807"/>
          <cell r="D807">
            <v>22</v>
          </cell>
          <cell r="E807">
            <v>302</v>
          </cell>
          <cell r="F807">
            <v>20</v>
          </cell>
          <cell r="G807">
            <v>174</v>
          </cell>
        </row>
        <row r="808">
          <cell r="B808" t="str">
            <v>A52JL7000J13000R JP</v>
          </cell>
          <cell r="C808"/>
          <cell r="D808">
            <v>22</v>
          </cell>
          <cell r="E808">
            <v>277.5</v>
          </cell>
          <cell r="F808">
            <v>20</v>
          </cell>
          <cell r="G808">
            <v>151.19999999999999</v>
          </cell>
        </row>
        <row r="809">
          <cell r="B809" t="str">
            <v>A52JR4000J12000R JP</v>
          </cell>
          <cell r="C809"/>
          <cell r="D809">
            <v>22</v>
          </cell>
          <cell r="E809">
            <v>277.5</v>
          </cell>
          <cell r="F809">
            <v>32</v>
          </cell>
          <cell r="G809">
            <v>174</v>
          </cell>
        </row>
        <row r="810">
          <cell r="B810" t="str">
            <v>A52JR4000J13000R JP</v>
          </cell>
          <cell r="C810"/>
          <cell r="D810">
            <v>22</v>
          </cell>
          <cell r="E810">
            <v>277.5</v>
          </cell>
          <cell r="F810">
            <v>20</v>
          </cell>
          <cell r="G810">
            <v>174</v>
          </cell>
        </row>
        <row r="811">
          <cell r="B811" t="str">
            <v>A52SO3502J13000R JP</v>
          </cell>
          <cell r="C811"/>
          <cell r="D811">
            <v>44.4</v>
          </cell>
          <cell r="E811">
            <v>302</v>
          </cell>
          <cell r="F811">
            <v>20</v>
          </cell>
          <cell r="G811">
            <v>252</v>
          </cell>
        </row>
        <row r="812">
          <cell r="B812" t="str">
            <v>A42FC0000H11500R JP</v>
          </cell>
          <cell r="C812"/>
          <cell r="D812">
            <v>22</v>
          </cell>
          <cell r="E812">
            <v>277.5</v>
          </cell>
          <cell r="F812">
            <v>20</v>
          </cell>
          <cell r="G812">
            <v>174</v>
          </cell>
        </row>
        <row r="813">
          <cell r="B813" t="str">
            <v>A42FC0000H13000R JP</v>
          </cell>
          <cell r="C813"/>
          <cell r="D813">
            <v>22</v>
          </cell>
          <cell r="E813">
            <v>302</v>
          </cell>
          <cell r="F813">
            <v>22</v>
          </cell>
          <cell r="G813">
            <v>174</v>
          </cell>
        </row>
        <row r="814">
          <cell r="B814" t="str">
            <v>A42FC0000M11500R JP</v>
          </cell>
          <cell r="C814"/>
          <cell r="D814">
            <v>22</v>
          </cell>
          <cell r="E814">
            <v>277.5</v>
          </cell>
          <cell r="F814">
            <v>22</v>
          </cell>
          <cell r="G814">
            <v>174</v>
          </cell>
        </row>
        <row r="815">
          <cell r="B815" t="str">
            <v>A42FC0000M12500R JP</v>
          </cell>
          <cell r="C815"/>
          <cell r="D815">
            <v>22</v>
          </cell>
          <cell r="E815">
            <v>302</v>
          </cell>
          <cell r="F815">
            <v>22</v>
          </cell>
          <cell r="G815">
            <v>174</v>
          </cell>
        </row>
        <row r="816">
          <cell r="B816" t="str">
            <v>A42FC0000M13000R JP</v>
          </cell>
          <cell r="C816"/>
          <cell r="D816">
            <v>22</v>
          </cell>
          <cell r="E816">
            <v>277.5</v>
          </cell>
          <cell r="F816">
            <v>22</v>
          </cell>
          <cell r="G816">
            <v>174</v>
          </cell>
        </row>
        <row r="817">
          <cell r="B817" t="str">
            <v>A42JB0200J13000R JP</v>
          </cell>
          <cell r="C817"/>
          <cell r="D817">
            <v>22</v>
          </cell>
          <cell r="E817">
            <v>302</v>
          </cell>
          <cell r="F817">
            <v>22</v>
          </cell>
          <cell r="G817">
            <v>174</v>
          </cell>
        </row>
        <row r="818">
          <cell r="B818" t="str">
            <v>A42JR4000J13000R JP</v>
          </cell>
          <cell r="C818"/>
          <cell r="D818">
            <v>22</v>
          </cell>
          <cell r="E818">
            <v>277.5</v>
          </cell>
          <cell r="F818">
            <v>22</v>
          </cell>
          <cell r="G818">
            <v>174</v>
          </cell>
        </row>
        <row r="819">
          <cell r="B819" t="str">
            <v>A42JR4002H12000R JP</v>
          </cell>
          <cell r="C819"/>
          <cell r="D819">
            <v>22</v>
          </cell>
          <cell r="E819">
            <v>277.5</v>
          </cell>
          <cell r="F819">
            <v>22</v>
          </cell>
          <cell r="G819">
            <v>174</v>
          </cell>
        </row>
        <row r="820">
          <cell r="B820" t="str">
            <v>A42JR4002H13000R JP</v>
          </cell>
          <cell r="C820"/>
          <cell r="D820">
            <v>22</v>
          </cell>
          <cell r="E820">
            <v>277.5</v>
          </cell>
          <cell r="F820">
            <v>22</v>
          </cell>
          <cell r="G820">
            <v>174</v>
          </cell>
        </row>
        <row r="821">
          <cell r="B821" t="str">
            <v>A42P04008G13000R JP</v>
          </cell>
          <cell r="C821"/>
          <cell r="D821">
            <v>22</v>
          </cell>
          <cell r="E821">
            <v>277.5</v>
          </cell>
          <cell r="F821">
            <v>22</v>
          </cell>
          <cell r="G821">
            <v>174</v>
          </cell>
        </row>
        <row r="822">
          <cell r="B822" t="str">
            <v>A42P04012G13000R JP</v>
          </cell>
          <cell r="C822"/>
          <cell r="D822">
            <v>22</v>
          </cell>
          <cell r="E822">
            <v>277.5</v>
          </cell>
          <cell r="F822">
            <v>22</v>
          </cell>
          <cell r="G822">
            <v>174</v>
          </cell>
        </row>
        <row r="823">
          <cell r="B823" t="str">
            <v>A42P54006G120P0R JP</v>
          </cell>
          <cell r="C823"/>
          <cell r="D823">
            <v>22</v>
          </cell>
          <cell r="E823">
            <v>277.5</v>
          </cell>
          <cell r="F823">
            <v>22</v>
          </cell>
          <cell r="G823">
            <v>174</v>
          </cell>
        </row>
        <row r="824">
          <cell r="B824" t="str">
            <v>A42P54008G13000R JP</v>
          </cell>
          <cell r="C824"/>
          <cell r="D824">
            <v>22</v>
          </cell>
          <cell r="E824">
            <v>302</v>
          </cell>
          <cell r="F824">
            <v>22</v>
          </cell>
          <cell r="G824">
            <v>174</v>
          </cell>
        </row>
        <row r="825">
          <cell r="B825" t="str">
            <v>A42SO4002H10000R JP</v>
          </cell>
          <cell r="C825"/>
          <cell r="D825">
            <v>44.4</v>
          </cell>
          <cell r="E825">
            <v>234</v>
          </cell>
          <cell r="F825">
            <v>22</v>
          </cell>
          <cell r="G825">
            <v>252</v>
          </cell>
        </row>
        <row r="826">
          <cell r="B826" t="str">
            <v>A42UC3002H11000R JP</v>
          </cell>
          <cell r="C826"/>
          <cell r="D826">
            <v>22</v>
          </cell>
          <cell r="E826">
            <v>168.3</v>
          </cell>
          <cell r="F826" t="e">
            <v>#N/A</v>
          </cell>
          <cell r="G826">
            <v>162</v>
          </cell>
        </row>
        <row r="827">
          <cell r="B827" t="str">
            <v>A42UC3502H11000R JP</v>
          </cell>
          <cell r="C827"/>
          <cell r="D827">
            <v>22</v>
          </cell>
          <cell r="E827">
            <v>168.3</v>
          </cell>
          <cell r="F827">
            <v>22</v>
          </cell>
          <cell r="G827">
            <v>162</v>
          </cell>
        </row>
        <row r="828">
          <cell r="B828" t="str">
            <v>A52JL3502J10000R JP</v>
          </cell>
          <cell r="C828"/>
          <cell r="D828">
            <v>22</v>
          </cell>
          <cell r="E828">
            <v>168.3</v>
          </cell>
          <cell r="F828">
            <v>22</v>
          </cell>
          <cell r="G828">
            <v>162</v>
          </cell>
        </row>
        <row r="829">
          <cell r="B829" t="str">
            <v>A52JL4000H10000R JP</v>
          </cell>
          <cell r="C829"/>
          <cell r="D829">
            <v>22</v>
          </cell>
          <cell r="E829">
            <v>168.3</v>
          </cell>
          <cell r="F829">
            <v>22</v>
          </cell>
          <cell r="G829">
            <v>162</v>
          </cell>
        </row>
        <row r="830">
          <cell r="B830" t="str">
            <v>A52JL4000H1000GR JP</v>
          </cell>
          <cell r="C830"/>
          <cell r="D830">
            <v>22</v>
          </cell>
          <cell r="E830">
            <v>168.3</v>
          </cell>
          <cell r="F830">
            <v>22</v>
          </cell>
          <cell r="G830">
            <v>162</v>
          </cell>
        </row>
        <row r="831">
          <cell r="B831" t="str">
            <v>A52JL4000J10000R JP</v>
          </cell>
          <cell r="C831"/>
          <cell r="D831">
            <v>22</v>
          </cell>
          <cell r="E831">
            <v>168.3</v>
          </cell>
          <cell r="F831">
            <v>22</v>
          </cell>
          <cell r="G831">
            <v>162</v>
          </cell>
        </row>
        <row r="832">
          <cell r="B832" t="str">
            <v>A52JL4000J1000GR JP</v>
          </cell>
          <cell r="C832"/>
          <cell r="D832">
            <v>22</v>
          </cell>
          <cell r="E832">
            <v>168.3</v>
          </cell>
          <cell r="F832">
            <v>22</v>
          </cell>
          <cell r="G832">
            <v>162</v>
          </cell>
        </row>
        <row r="833">
          <cell r="B833" t="str">
            <v>A52JL4000L10001R JP</v>
          </cell>
          <cell r="C833"/>
          <cell r="D833">
            <v>22</v>
          </cell>
          <cell r="E833">
            <v>168.3</v>
          </cell>
          <cell r="F833">
            <v>22</v>
          </cell>
          <cell r="G833">
            <v>162</v>
          </cell>
        </row>
        <row r="834">
          <cell r="B834" t="str">
            <v>A52JL4000M1000GMR JP</v>
          </cell>
          <cell r="C834"/>
          <cell r="D834">
            <v>22</v>
          </cell>
          <cell r="E834">
            <v>168.3</v>
          </cell>
          <cell r="F834">
            <v>22</v>
          </cell>
          <cell r="G834">
            <v>162</v>
          </cell>
        </row>
        <row r="835">
          <cell r="B835" t="str">
            <v>A52JL4002H10000R JP</v>
          </cell>
          <cell r="C835"/>
          <cell r="D835">
            <v>22</v>
          </cell>
          <cell r="E835">
            <v>168.3</v>
          </cell>
          <cell r="F835">
            <v>22</v>
          </cell>
          <cell r="G835">
            <v>162</v>
          </cell>
        </row>
        <row r="836">
          <cell r="B836" t="str">
            <v>A52JL4002J10000R JP</v>
          </cell>
          <cell r="C836"/>
          <cell r="D836">
            <v>22</v>
          </cell>
          <cell r="E836">
            <v>168.3</v>
          </cell>
          <cell r="F836">
            <v>22</v>
          </cell>
          <cell r="G836">
            <v>162</v>
          </cell>
        </row>
        <row r="837">
          <cell r="B837" t="str">
            <v>A42SO3502H10000R JP</v>
          </cell>
          <cell r="C837"/>
          <cell r="D837">
            <v>44.4</v>
          </cell>
          <cell r="E837">
            <v>168.3</v>
          </cell>
          <cell r="F837" t="e">
            <v>#N/A</v>
          </cell>
          <cell r="G837">
            <v>252</v>
          </cell>
        </row>
        <row r="838">
          <cell r="B838" t="str">
            <v>A42SO3502J08000R JP</v>
          </cell>
          <cell r="C838"/>
          <cell r="D838">
            <v>44.4</v>
          </cell>
          <cell r="E838">
            <v>234</v>
          </cell>
          <cell r="F838">
            <v>22</v>
          </cell>
          <cell r="G838">
            <v>252</v>
          </cell>
        </row>
        <row r="839">
          <cell r="B839" t="str">
            <v>A42SO3502J10000R JP</v>
          </cell>
          <cell r="C839"/>
          <cell r="D839">
            <v>44.4</v>
          </cell>
          <cell r="E839">
            <v>234</v>
          </cell>
          <cell r="F839">
            <v>22</v>
          </cell>
          <cell r="G839">
            <v>252</v>
          </cell>
        </row>
        <row r="840">
          <cell r="B840" t="str">
            <v>A42SO3502J11000R JP</v>
          </cell>
          <cell r="C840"/>
          <cell r="D840">
            <v>44.4</v>
          </cell>
          <cell r="E840">
            <v>234</v>
          </cell>
          <cell r="F840">
            <v>22</v>
          </cell>
          <cell r="G840">
            <v>252</v>
          </cell>
        </row>
        <row r="841">
          <cell r="B841" t="str">
            <v>A42SO4000J10000R JP</v>
          </cell>
          <cell r="C841"/>
          <cell r="D841">
            <v>44.4</v>
          </cell>
          <cell r="E841">
            <v>234</v>
          </cell>
          <cell r="F841">
            <v>22</v>
          </cell>
          <cell r="G841">
            <v>252</v>
          </cell>
        </row>
        <row r="842">
          <cell r="B842" t="str">
            <v>A52JL3000M1000GMR JP</v>
          </cell>
          <cell r="C842"/>
          <cell r="D842">
            <v>22</v>
          </cell>
          <cell r="E842">
            <v>234</v>
          </cell>
          <cell r="F842">
            <v>22</v>
          </cell>
          <cell r="G842">
            <v>162</v>
          </cell>
        </row>
        <row r="843">
          <cell r="B843" t="str">
            <v>A52JL3500H10000R JP</v>
          </cell>
          <cell r="C843"/>
          <cell r="D843">
            <v>22</v>
          </cell>
          <cell r="E843">
            <v>168.3</v>
          </cell>
          <cell r="F843">
            <v>22</v>
          </cell>
          <cell r="G843">
            <v>162</v>
          </cell>
        </row>
        <row r="844">
          <cell r="B844" t="str">
            <v>A52JL3500H10001R JP</v>
          </cell>
          <cell r="C844"/>
          <cell r="D844">
            <v>22</v>
          </cell>
          <cell r="E844">
            <v>168.3</v>
          </cell>
          <cell r="F844">
            <v>22</v>
          </cell>
          <cell r="G844">
            <v>162</v>
          </cell>
        </row>
        <row r="845">
          <cell r="B845" t="str">
            <v>A52JL3500H1000GR JP</v>
          </cell>
          <cell r="C845"/>
          <cell r="D845">
            <v>22</v>
          </cell>
          <cell r="E845">
            <v>168.3</v>
          </cell>
          <cell r="F845">
            <v>22</v>
          </cell>
          <cell r="G845">
            <v>162</v>
          </cell>
        </row>
        <row r="846">
          <cell r="B846" t="str">
            <v>A52JL3500J10000R JP</v>
          </cell>
          <cell r="C846"/>
          <cell r="D846">
            <v>22</v>
          </cell>
          <cell r="E846">
            <v>168.3</v>
          </cell>
          <cell r="F846">
            <v>22</v>
          </cell>
          <cell r="G846">
            <v>162</v>
          </cell>
        </row>
        <row r="847">
          <cell r="B847" t="str">
            <v>A52JL3500J1000GR JP</v>
          </cell>
          <cell r="C847"/>
          <cell r="D847">
            <v>22</v>
          </cell>
          <cell r="E847">
            <v>168.3</v>
          </cell>
          <cell r="F847">
            <v>22</v>
          </cell>
          <cell r="G847">
            <v>162</v>
          </cell>
        </row>
        <row r="848">
          <cell r="B848" t="str">
            <v>A52JL3500L10001R JP</v>
          </cell>
          <cell r="C848"/>
          <cell r="D848">
            <v>22</v>
          </cell>
          <cell r="E848">
            <v>168.3</v>
          </cell>
          <cell r="F848">
            <v>22</v>
          </cell>
          <cell r="G848">
            <v>162</v>
          </cell>
        </row>
        <row r="849">
          <cell r="B849" t="str">
            <v>A52JL3500M1000GMR JP</v>
          </cell>
          <cell r="C849"/>
          <cell r="D849">
            <v>22</v>
          </cell>
          <cell r="E849">
            <v>168.3</v>
          </cell>
          <cell r="F849">
            <v>22</v>
          </cell>
          <cell r="G849">
            <v>162</v>
          </cell>
        </row>
        <row r="850">
          <cell r="B850" t="str">
            <v>A52JL3502H10000R JP</v>
          </cell>
          <cell r="C850"/>
          <cell r="D850">
            <v>22</v>
          </cell>
          <cell r="E850">
            <v>168.3</v>
          </cell>
          <cell r="F850">
            <v>22</v>
          </cell>
          <cell r="G850">
            <v>162</v>
          </cell>
        </row>
        <row r="851">
          <cell r="B851" t="str">
            <v>A60JR4000H10002R JP</v>
          </cell>
          <cell r="C851"/>
          <cell r="D851">
            <v>22</v>
          </cell>
          <cell r="E851">
            <v>234</v>
          </cell>
          <cell r="F851">
            <v>22</v>
          </cell>
          <cell r="G851">
            <v>162</v>
          </cell>
        </row>
        <row r="852">
          <cell r="B852" t="str">
            <v>A60NH4506G10000R JP</v>
          </cell>
          <cell r="C852"/>
          <cell r="D852">
            <v>22</v>
          </cell>
          <cell r="E852">
            <v>234</v>
          </cell>
          <cell r="F852">
            <v>22</v>
          </cell>
          <cell r="G852">
            <v>162</v>
          </cell>
        </row>
        <row r="853">
          <cell r="B853" t="str">
            <v>A60NS0110J11000R JP</v>
          </cell>
          <cell r="C853"/>
          <cell r="D853">
            <v>22</v>
          </cell>
          <cell r="E853">
            <v>234</v>
          </cell>
          <cell r="F853">
            <v>22</v>
          </cell>
          <cell r="G853">
            <v>162</v>
          </cell>
        </row>
        <row r="854">
          <cell r="B854" t="str">
            <v>A60P44012G11000R JP</v>
          </cell>
          <cell r="C854"/>
          <cell r="D854">
            <v>22</v>
          </cell>
          <cell r="E854">
            <v>234</v>
          </cell>
          <cell r="F854">
            <v>22</v>
          </cell>
          <cell r="G854">
            <v>162</v>
          </cell>
        </row>
        <row r="855">
          <cell r="B855" t="str">
            <v>A60P54012G11000R JP</v>
          </cell>
          <cell r="C855"/>
          <cell r="D855">
            <v>22</v>
          </cell>
          <cell r="E855">
            <v>168.3</v>
          </cell>
          <cell r="F855">
            <v>22</v>
          </cell>
          <cell r="G855">
            <v>162</v>
          </cell>
        </row>
        <row r="856">
          <cell r="B856" t="str">
            <v>A60SO3500H10000R JP</v>
          </cell>
          <cell r="C856"/>
          <cell r="D856">
            <v>44.4</v>
          </cell>
          <cell r="E856">
            <v>234</v>
          </cell>
          <cell r="F856">
            <v>22</v>
          </cell>
          <cell r="G856">
            <v>252</v>
          </cell>
        </row>
        <row r="857">
          <cell r="B857" t="str">
            <v>A42P44012G11000R JP</v>
          </cell>
          <cell r="C857"/>
          <cell r="D857">
            <v>22</v>
          </cell>
          <cell r="E857">
            <v>168.3</v>
          </cell>
          <cell r="F857">
            <v>22</v>
          </cell>
          <cell r="G857">
            <v>162</v>
          </cell>
        </row>
        <row r="858">
          <cell r="B858" t="str">
            <v>A42P54006G110P0R JP</v>
          </cell>
          <cell r="C858"/>
          <cell r="D858">
            <v>22</v>
          </cell>
          <cell r="E858">
            <v>168.3</v>
          </cell>
          <cell r="F858">
            <v>22</v>
          </cell>
          <cell r="G858">
            <v>162</v>
          </cell>
        </row>
        <row r="859">
          <cell r="B859" t="str">
            <v>A42P54012G11000R JP</v>
          </cell>
          <cell r="C859"/>
          <cell r="D859">
            <v>22</v>
          </cell>
          <cell r="E859">
            <v>168.3</v>
          </cell>
          <cell r="F859">
            <v>22</v>
          </cell>
          <cell r="G859">
            <v>162</v>
          </cell>
        </row>
        <row r="860">
          <cell r="B860" t="str">
            <v>A42PA0008G11004R JP</v>
          </cell>
          <cell r="C860"/>
          <cell r="D860">
            <v>22</v>
          </cell>
          <cell r="E860">
            <v>234</v>
          </cell>
          <cell r="F860">
            <v>22</v>
          </cell>
          <cell r="G860">
            <v>162</v>
          </cell>
        </row>
        <row r="861">
          <cell r="B861" t="str">
            <v>A42PA0012G110P2R JP</v>
          </cell>
          <cell r="C861"/>
          <cell r="D861">
            <v>22</v>
          </cell>
          <cell r="E861">
            <v>168.3</v>
          </cell>
          <cell r="F861">
            <v>22</v>
          </cell>
          <cell r="G861">
            <v>162</v>
          </cell>
        </row>
        <row r="862">
          <cell r="B862" t="str">
            <v>A42SO3001J10000R JP</v>
          </cell>
          <cell r="C862"/>
          <cell r="D862">
            <v>44.4</v>
          </cell>
          <cell r="E862">
            <v>168.3</v>
          </cell>
          <cell r="F862">
            <v>22</v>
          </cell>
          <cell r="G862">
            <v>252</v>
          </cell>
        </row>
        <row r="863">
          <cell r="B863" t="str">
            <v>A42SO3500H08000R JP</v>
          </cell>
          <cell r="C863"/>
          <cell r="D863">
            <v>44.4</v>
          </cell>
          <cell r="E863">
            <v>234</v>
          </cell>
          <cell r="F863">
            <v>22</v>
          </cell>
          <cell r="G863">
            <v>252</v>
          </cell>
        </row>
        <row r="864">
          <cell r="B864" t="str">
            <v>A42SO3500H10000R JP</v>
          </cell>
          <cell r="C864"/>
          <cell r="D864">
            <v>44.4</v>
          </cell>
          <cell r="E864">
            <v>234</v>
          </cell>
          <cell r="F864">
            <v>22</v>
          </cell>
          <cell r="G864">
            <v>252</v>
          </cell>
        </row>
        <row r="865">
          <cell r="B865" t="str">
            <v>A42SO3500J10000R JP</v>
          </cell>
          <cell r="C865"/>
          <cell r="D865">
            <v>44.4</v>
          </cell>
          <cell r="E865">
            <v>168.3</v>
          </cell>
          <cell r="F865">
            <v>22</v>
          </cell>
          <cell r="G865">
            <v>252</v>
          </cell>
        </row>
        <row r="866">
          <cell r="B866" t="str">
            <v>A42JL3502H10001R JP</v>
          </cell>
          <cell r="C866"/>
          <cell r="D866">
            <v>22</v>
          </cell>
          <cell r="E866">
            <v>168.3</v>
          </cell>
          <cell r="F866">
            <v>22</v>
          </cell>
          <cell r="G866">
            <v>162</v>
          </cell>
        </row>
        <row r="867">
          <cell r="B867" t="str">
            <v>A52FC0000L11500R JP</v>
          </cell>
          <cell r="C867"/>
          <cell r="D867">
            <v>22</v>
          </cell>
          <cell r="E867">
            <v>279</v>
          </cell>
          <cell r="F867">
            <v>22</v>
          </cell>
          <cell r="G867">
            <v>151</v>
          </cell>
        </row>
        <row r="868">
          <cell r="B868" t="str">
            <v>A52FC0000M11500R JP</v>
          </cell>
          <cell r="C868"/>
          <cell r="D868">
            <v>22</v>
          </cell>
          <cell r="E868">
            <v>277.5</v>
          </cell>
          <cell r="F868">
            <v>22</v>
          </cell>
          <cell r="G868">
            <v>151</v>
          </cell>
        </row>
        <row r="869">
          <cell r="B869" t="str">
            <v>A42AL0100H10000R JP</v>
          </cell>
          <cell r="C869"/>
          <cell r="D869">
            <v>22</v>
          </cell>
          <cell r="E869">
            <v>168.3</v>
          </cell>
          <cell r="F869">
            <v>22</v>
          </cell>
          <cell r="G869">
            <v>162</v>
          </cell>
        </row>
        <row r="870">
          <cell r="B870" t="str">
            <v>A42AL0100H10004R JP</v>
          </cell>
          <cell r="C870"/>
          <cell r="D870">
            <v>22</v>
          </cell>
          <cell r="E870">
            <v>234</v>
          </cell>
          <cell r="F870">
            <v>22</v>
          </cell>
          <cell r="G870">
            <v>162</v>
          </cell>
        </row>
        <row r="871">
          <cell r="B871" t="str">
            <v>A42AL0100J10000R JP</v>
          </cell>
          <cell r="C871"/>
          <cell r="D871">
            <v>22</v>
          </cell>
          <cell r="E871">
            <v>168.3</v>
          </cell>
          <cell r="F871">
            <v>22</v>
          </cell>
          <cell r="G871">
            <v>162</v>
          </cell>
        </row>
        <row r="872">
          <cell r="B872" t="str">
            <v>A42JL3500H10000R JP</v>
          </cell>
          <cell r="C872"/>
          <cell r="D872">
            <v>22</v>
          </cell>
          <cell r="E872">
            <v>168.3</v>
          </cell>
          <cell r="F872">
            <v>22</v>
          </cell>
          <cell r="G872">
            <v>162</v>
          </cell>
        </row>
        <row r="873">
          <cell r="B873" t="str">
            <v>A42JL3500H10001R JP</v>
          </cell>
          <cell r="C873"/>
          <cell r="D873">
            <v>22</v>
          </cell>
          <cell r="E873">
            <v>234</v>
          </cell>
          <cell r="F873">
            <v>22</v>
          </cell>
          <cell r="G873">
            <v>162</v>
          </cell>
        </row>
        <row r="874">
          <cell r="B874" t="str">
            <v>A42JL3500H1000GR JP</v>
          </cell>
          <cell r="C874"/>
          <cell r="D874">
            <v>22</v>
          </cell>
          <cell r="E874">
            <v>168.3</v>
          </cell>
          <cell r="F874">
            <v>22</v>
          </cell>
          <cell r="G874">
            <v>162</v>
          </cell>
        </row>
        <row r="875">
          <cell r="B875" t="str">
            <v>A42JL3500J10000R JP</v>
          </cell>
          <cell r="C875"/>
          <cell r="D875">
            <v>22</v>
          </cell>
          <cell r="E875">
            <v>168.3</v>
          </cell>
          <cell r="F875">
            <v>22</v>
          </cell>
          <cell r="G875">
            <v>162</v>
          </cell>
        </row>
        <row r="876">
          <cell r="B876" t="str">
            <v>A42JL3500J10005R JP</v>
          </cell>
          <cell r="C876"/>
          <cell r="D876">
            <v>22</v>
          </cell>
          <cell r="E876">
            <v>168.3</v>
          </cell>
          <cell r="F876">
            <v>22</v>
          </cell>
          <cell r="G876">
            <v>162</v>
          </cell>
        </row>
        <row r="877">
          <cell r="B877" t="str">
            <v>A42JL3500J1000GR JP</v>
          </cell>
          <cell r="C877"/>
          <cell r="D877">
            <v>22</v>
          </cell>
          <cell r="E877">
            <v>168.3</v>
          </cell>
          <cell r="F877">
            <v>22</v>
          </cell>
          <cell r="G877">
            <v>162</v>
          </cell>
        </row>
        <row r="878">
          <cell r="B878" t="str">
            <v>A42JL3500M10001R JP</v>
          </cell>
          <cell r="C878"/>
          <cell r="D878">
            <v>22</v>
          </cell>
          <cell r="E878">
            <v>168.3</v>
          </cell>
          <cell r="F878">
            <v>22</v>
          </cell>
          <cell r="G878">
            <v>162</v>
          </cell>
        </row>
        <row r="879">
          <cell r="B879" t="str">
            <v>A42JL3502H10000R JP</v>
          </cell>
          <cell r="C879"/>
          <cell r="D879">
            <v>22</v>
          </cell>
          <cell r="E879">
            <v>168.3</v>
          </cell>
          <cell r="F879">
            <v>22</v>
          </cell>
          <cell r="G879">
            <v>162</v>
          </cell>
        </row>
        <row r="880">
          <cell r="B880" t="str">
            <v>A42FC3000J06500R JP</v>
          </cell>
          <cell r="C880"/>
          <cell r="D880">
            <v>22</v>
          </cell>
          <cell r="E880">
            <v>234</v>
          </cell>
          <cell r="F880">
            <v>22</v>
          </cell>
          <cell r="G880">
            <v>162</v>
          </cell>
        </row>
        <row r="881">
          <cell r="B881" t="str">
            <v>A42FC3000J08000R JP</v>
          </cell>
          <cell r="C881"/>
          <cell r="D881">
            <v>22</v>
          </cell>
          <cell r="E881">
            <v>168.3</v>
          </cell>
          <cell r="F881">
            <v>22</v>
          </cell>
          <cell r="G881">
            <v>162</v>
          </cell>
        </row>
        <row r="882">
          <cell r="B882" t="str">
            <v>A42FC3001H08000R JP</v>
          </cell>
          <cell r="C882"/>
          <cell r="D882">
            <v>22</v>
          </cell>
          <cell r="E882">
            <v>168.3</v>
          </cell>
          <cell r="F882">
            <v>22</v>
          </cell>
          <cell r="G882">
            <v>162</v>
          </cell>
        </row>
        <row r="883">
          <cell r="B883" t="str">
            <v>A42FC4500J08000R JP</v>
          </cell>
          <cell r="C883"/>
          <cell r="D883">
            <v>22</v>
          </cell>
          <cell r="E883">
            <v>234</v>
          </cell>
          <cell r="F883">
            <v>22</v>
          </cell>
          <cell r="G883">
            <v>162</v>
          </cell>
        </row>
        <row r="884">
          <cell r="B884" t="str">
            <v>A42FC4501H08000R JP</v>
          </cell>
          <cell r="C884"/>
          <cell r="D884">
            <v>22</v>
          </cell>
          <cell r="E884">
            <v>168.3</v>
          </cell>
          <cell r="F884">
            <v>22</v>
          </cell>
          <cell r="G884">
            <v>162</v>
          </cell>
        </row>
        <row r="885">
          <cell r="B885" t="str">
            <v>A42FC4501J10000R JP</v>
          </cell>
          <cell r="C885"/>
          <cell r="D885">
            <v>22</v>
          </cell>
          <cell r="E885">
            <v>234</v>
          </cell>
          <cell r="F885">
            <v>22</v>
          </cell>
          <cell r="G885">
            <v>162</v>
          </cell>
        </row>
        <row r="886">
          <cell r="B886" t="str">
            <v>A42FC0000M06500R JP</v>
          </cell>
          <cell r="C886"/>
          <cell r="D886">
            <v>22</v>
          </cell>
          <cell r="E886">
            <v>168.3</v>
          </cell>
          <cell r="F886">
            <v>22</v>
          </cell>
          <cell r="G886">
            <v>162</v>
          </cell>
        </row>
        <row r="887">
          <cell r="B887" t="str">
            <v>A42FC0000M08000R JP</v>
          </cell>
          <cell r="C887"/>
          <cell r="D887">
            <v>22</v>
          </cell>
          <cell r="E887">
            <v>168.3</v>
          </cell>
          <cell r="F887">
            <v>22</v>
          </cell>
          <cell r="G887">
            <v>162</v>
          </cell>
        </row>
        <row r="888">
          <cell r="B888" t="str">
            <v>A42FC0000M10500R JP</v>
          </cell>
          <cell r="C888"/>
          <cell r="D888">
            <v>22</v>
          </cell>
          <cell r="E888">
            <v>234</v>
          </cell>
          <cell r="F888">
            <v>22</v>
          </cell>
          <cell r="G888">
            <v>162</v>
          </cell>
        </row>
        <row r="889">
          <cell r="B889" t="str">
            <v>A42FK0200M08004R JP</v>
          </cell>
          <cell r="C889"/>
          <cell r="D889">
            <v>22</v>
          </cell>
          <cell r="E889">
            <v>168.3</v>
          </cell>
          <cell r="F889">
            <v>22</v>
          </cell>
          <cell r="G889">
            <v>162</v>
          </cell>
        </row>
        <row r="890">
          <cell r="B890" t="str">
            <v>A42IM0000H10000R JP</v>
          </cell>
          <cell r="C890"/>
          <cell r="D890">
            <v>22</v>
          </cell>
          <cell r="E890">
            <v>168.3</v>
          </cell>
          <cell r="F890">
            <v>22</v>
          </cell>
          <cell r="G890">
            <v>162</v>
          </cell>
        </row>
        <row r="891">
          <cell r="B891" t="str">
            <v>A42IM0000M10000R JP</v>
          </cell>
          <cell r="C891"/>
          <cell r="D891">
            <v>22</v>
          </cell>
          <cell r="E891">
            <v>234</v>
          </cell>
          <cell r="F891">
            <v>22</v>
          </cell>
          <cell r="G891">
            <v>162</v>
          </cell>
        </row>
        <row r="892">
          <cell r="B892" t="str">
            <v>A42IM0002H10000R JP</v>
          </cell>
          <cell r="C892"/>
          <cell r="D892">
            <v>22</v>
          </cell>
          <cell r="E892">
            <v>168.3</v>
          </cell>
          <cell r="F892">
            <v>22</v>
          </cell>
          <cell r="G892">
            <v>162</v>
          </cell>
        </row>
        <row r="893">
          <cell r="B893" t="str">
            <v>A42IM0002J08000R JP</v>
          </cell>
          <cell r="C893"/>
          <cell r="D893">
            <v>22</v>
          </cell>
          <cell r="E893">
            <v>234</v>
          </cell>
          <cell r="F893">
            <v>22</v>
          </cell>
          <cell r="G893">
            <v>162</v>
          </cell>
        </row>
        <row r="894">
          <cell r="B894" t="str">
            <v>A42IM0002J10000R JP</v>
          </cell>
          <cell r="C894"/>
          <cell r="D894">
            <v>22</v>
          </cell>
          <cell r="E894">
            <v>168.3</v>
          </cell>
          <cell r="F894">
            <v>22</v>
          </cell>
          <cell r="G894">
            <v>162</v>
          </cell>
        </row>
        <row r="895">
          <cell r="B895" t="str">
            <v>A42JL1000H10000R JP</v>
          </cell>
          <cell r="C895"/>
          <cell r="D895">
            <v>22</v>
          </cell>
          <cell r="E895">
            <v>168.3</v>
          </cell>
          <cell r="F895">
            <v>22</v>
          </cell>
          <cell r="G895">
            <v>162</v>
          </cell>
        </row>
        <row r="896">
          <cell r="B896" t="str">
            <v>A42JL3000J10000R JP</v>
          </cell>
          <cell r="C896"/>
          <cell r="D896">
            <v>22</v>
          </cell>
          <cell r="E896">
            <v>168.3</v>
          </cell>
          <cell r="F896">
            <v>22</v>
          </cell>
          <cell r="G896">
            <v>162</v>
          </cell>
        </row>
        <row r="897">
          <cell r="B897" t="str">
            <v>A42JL3002H10000R JP</v>
          </cell>
          <cell r="C897"/>
          <cell r="D897">
            <v>22</v>
          </cell>
          <cell r="E897">
            <v>234</v>
          </cell>
          <cell r="F897">
            <v>22</v>
          </cell>
          <cell r="G897">
            <v>162</v>
          </cell>
        </row>
        <row r="898">
          <cell r="B898" t="str">
            <v>A42B23502J10000R JP</v>
          </cell>
          <cell r="C898"/>
          <cell r="D898">
            <v>22</v>
          </cell>
          <cell r="E898">
            <v>168.3</v>
          </cell>
          <cell r="F898">
            <v>22</v>
          </cell>
          <cell r="G898">
            <v>162</v>
          </cell>
        </row>
        <row r="899">
          <cell r="B899" t="str">
            <v>A42B24502J10001R JP</v>
          </cell>
          <cell r="C899"/>
          <cell r="D899">
            <v>22</v>
          </cell>
          <cell r="E899">
            <v>234</v>
          </cell>
          <cell r="F899">
            <v>22</v>
          </cell>
          <cell r="G899">
            <v>162</v>
          </cell>
        </row>
        <row r="900">
          <cell r="B900" t="str">
            <v>A42B33500J10004R JP</v>
          </cell>
          <cell r="C900"/>
          <cell r="D900">
            <v>22</v>
          </cell>
          <cell r="E900">
            <v>234</v>
          </cell>
          <cell r="F900">
            <v>22</v>
          </cell>
          <cell r="G900">
            <v>162</v>
          </cell>
        </row>
        <row r="901">
          <cell r="B901" t="str">
            <v>A42B33502J10006R JP</v>
          </cell>
          <cell r="C901"/>
          <cell r="D901">
            <v>22</v>
          </cell>
          <cell r="E901">
            <v>234</v>
          </cell>
          <cell r="F901">
            <v>22</v>
          </cell>
          <cell r="G901">
            <v>162</v>
          </cell>
        </row>
        <row r="902">
          <cell r="B902" t="str">
            <v>A42B34000H10000R JP</v>
          </cell>
          <cell r="C902"/>
          <cell r="D902">
            <v>22</v>
          </cell>
          <cell r="E902">
            <v>168.3</v>
          </cell>
          <cell r="F902">
            <v>22</v>
          </cell>
          <cell r="G902">
            <v>162</v>
          </cell>
        </row>
        <row r="903">
          <cell r="B903" t="str">
            <v>A42B34001J10001R JP</v>
          </cell>
          <cell r="C903"/>
          <cell r="D903">
            <v>22</v>
          </cell>
          <cell r="E903">
            <v>168.3</v>
          </cell>
          <cell r="F903">
            <v>22</v>
          </cell>
          <cell r="G903">
            <v>123.8</v>
          </cell>
        </row>
        <row r="904">
          <cell r="B904" t="str">
            <v>A42B34001J10004R JP</v>
          </cell>
          <cell r="C904"/>
          <cell r="D904">
            <v>22</v>
          </cell>
          <cell r="E904">
            <v>234</v>
          </cell>
          <cell r="F904">
            <v>22</v>
          </cell>
          <cell r="G904">
            <v>123.8</v>
          </cell>
        </row>
        <row r="905">
          <cell r="B905" t="str">
            <v>A42B34002J10005R JP</v>
          </cell>
          <cell r="C905"/>
          <cell r="D905">
            <v>22</v>
          </cell>
          <cell r="E905">
            <v>234</v>
          </cell>
          <cell r="F905">
            <v>22</v>
          </cell>
          <cell r="G905">
            <v>123.8</v>
          </cell>
        </row>
        <row r="906">
          <cell r="B906" t="str">
            <v>A42FC0000M04500R JP</v>
          </cell>
          <cell r="C906"/>
          <cell r="D906">
            <v>22</v>
          </cell>
          <cell r="E906">
            <v>168.3</v>
          </cell>
          <cell r="F906">
            <v>22</v>
          </cell>
          <cell r="G906">
            <v>162</v>
          </cell>
        </row>
        <row r="907">
          <cell r="B907" t="str">
            <v>A42B14000H10000R JP</v>
          </cell>
          <cell r="C907"/>
          <cell r="D907">
            <v>22</v>
          </cell>
          <cell r="E907">
            <v>168.3</v>
          </cell>
          <cell r="F907">
            <v>22</v>
          </cell>
          <cell r="G907">
            <v>162</v>
          </cell>
        </row>
        <row r="908">
          <cell r="B908" t="str">
            <v>A42B14001H10000R JP</v>
          </cell>
          <cell r="C908"/>
          <cell r="D908">
            <v>22</v>
          </cell>
          <cell r="E908">
            <v>168.3</v>
          </cell>
          <cell r="F908">
            <v>22</v>
          </cell>
          <cell r="G908">
            <v>162</v>
          </cell>
        </row>
        <row r="909">
          <cell r="B909" t="str">
            <v>A42B23000H10000R JP</v>
          </cell>
          <cell r="C909"/>
          <cell r="D909">
            <v>22</v>
          </cell>
          <cell r="E909">
            <v>234</v>
          </cell>
          <cell r="F909">
            <v>22</v>
          </cell>
          <cell r="G909">
            <v>162</v>
          </cell>
        </row>
        <row r="910">
          <cell r="B910" t="str">
            <v>A42B23002M11000R JP</v>
          </cell>
          <cell r="C910"/>
          <cell r="D910">
            <v>22</v>
          </cell>
          <cell r="E910">
            <v>234</v>
          </cell>
          <cell r="F910">
            <v>22</v>
          </cell>
          <cell r="G910">
            <v>162</v>
          </cell>
        </row>
        <row r="911">
          <cell r="B911" t="str">
            <v>A42B23502H10000R JP</v>
          </cell>
          <cell r="C911"/>
          <cell r="D911">
            <v>22</v>
          </cell>
          <cell r="E911">
            <v>234</v>
          </cell>
          <cell r="F911">
            <v>22</v>
          </cell>
          <cell r="G911">
            <v>162</v>
          </cell>
        </row>
        <row r="912">
          <cell r="B912" t="str">
            <v>A42B13500H10000R JP</v>
          </cell>
          <cell r="C912"/>
          <cell r="D912">
            <v>22</v>
          </cell>
          <cell r="E912">
            <v>234</v>
          </cell>
          <cell r="F912">
            <v>22</v>
          </cell>
          <cell r="G912">
            <v>162</v>
          </cell>
        </row>
        <row r="913">
          <cell r="B913" t="str">
            <v>A42B13501H10000R JP</v>
          </cell>
          <cell r="C913"/>
          <cell r="D913">
            <v>22</v>
          </cell>
          <cell r="E913">
            <v>168.3</v>
          </cell>
          <cell r="F913">
            <v>22</v>
          </cell>
          <cell r="G913">
            <v>162</v>
          </cell>
        </row>
        <row r="914">
          <cell r="B914" t="str">
            <v>A42B13501H10500R JP</v>
          </cell>
          <cell r="C914"/>
          <cell r="D914">
            <v>22</v>
          </cell>
          <cell r="E914">
            <v>168.3</v>
          </cell>
          <cell r="F914">
            <v>22</v>
          </cell>
          <cell r="G914">
            <v>162</v>
          </cell>
        </row>
        <row r="915">
          <cell r="B915" t="str">
            <v>A42B13501J10000R JP</v>
          </cell>
          <cell r="C915"/>
          <cell r="D915">
            <v>22</v>
          </cell>
          <cell r="E915">
            <v>234</v>
          </cell>
          <cell r="F915">
            <v>22</v>
          </cell>
          <cell r="G915">
            <v>162</v>
          </cell>
        </row>
        <row r="916">
          <cell r="B916" t="str">
            <v>A42B03500J10000R JP</v>
          </cell>
          <cell r="C916"/>
          <cell r="D916">
            <v>22</v>
          </cell>
          <cell r="E916">
            <v>234</v>
          </cell>
          <cell r="F916">
            <v>22</v>
          </cell>
          <cell r="G916">
            <v>162</v>
          </cell>
        </row>
        <row r="917">
          <cell r="B917" t="str">
            <v>A42B03501H10000R JP</v>
          </cell>
          <cell r="C917"/>
          <cell r="D917">
            <v>22</v>
          </cell>
          <cell r="E917">
            <v>168.3</v>
          </cell>
          <cell r="F917">
            <v>22</v>
          </cell>
          <cell r="G917">
            <v>162</v>
          </cell>
        </row>
        <row r="918">
          <cell r="B918" t="str">
            <v>A42B03502J10000R JP</v>
          </cell>
          <cell r="C918"/>
          <cell r="D918">
            <v>22</v>
          </cell>
          <cell r="E918">
            <v>168.3</v>
          </cell>
          <cell r="F918">
            <v>22</v>
          </cell>
          <cell r="G918">
            <v>162</v>
          </cell>
        </row>
        <row r="919">
          <cell r="B919" t="str">
            <v>A42B04000H10000R JP</v>
          </cell>
          <cell r="C919"/>
          <cell r="D919">
            <v>22</v>
          </cell>
          <cell r="E919">
            <v>234</v>
          </cell>
          <cell r="F919">
            <v>22</v>
          </cell>
          <cell r="G919">
            <v>162</v>
          </cell>
        </row>
        <row r="920">
          <cell r="B920" t="str">
            <v>A42B04000J10000R JP</v>
          </cell>
          <cell r="C920"/>
          <cell r="D920">
            <v>22</v>
          </cell>
          <cell r="E920">
            <v>168.3</v>
          </cell>
          <cell r="F920">
            <v>22</v>
          </cell>
          <cell r="G920">
            <v>162</v>
          </cell>
        </row>
        <row r="921">
          <cell r="B921" t="str">
            <v>A42B04001H10000R JP</v>
          </cell>
          <cell r="C921"/>
          <cell r="D921">
            <v>22</v>
          </cell>
          <cell r="E921">
            <v>168.3</v>
          </cell>
          <cell r="F921">
            <v>22</v>
          </cell>
          <cell r="G921">
            <v>162</v>
          </cell>
        </row>
        <row r="922">
          <cell r="B922" t="str">
            <v>A42B04001J10000R JP</v>
          </cell>
          <cell r="C922"/>
          <cell r="D922">
            <v>22</v>
          </cell>
          <cell r="E922">
            <v>168.3</v>
          </cell>
          <cell r="F922">
            <v>22</v>
          </cell>
          <cell r="G922">
            <v>162</v>
          </cell>
        </row>
        <row r="923">
          <cell r="B923" t="str">
            <v>A42B04002J10000R JP</v>
          </cell>
          <cell r="C923"/>
          <cell r="D923">
            <v>22</v>
          </cell>
          <cell r="E923">
            <v>168.3</v>
          </cell>
          <cell r="F923">
            <v>22</v>
          </cell>
          <cell r="G923">
            <v>162</v>
          </cell>
        </row>
        <row r="924">
          <cell r="B924" t="str">
            <v>A42B04002J11000R JP</v>
          </cell>
          <cell r="C924"/>
          <cell r="D924">
            <v>22</v>
          </cell>
          <cell r="E924">
            <v>168.3</v>
          </cell>
          <cell r="F924">
            <v>22</v>
          </cell>
          <cell r="G924">
            <v>162</v>
          </cell>
        </row>
        <row r="925">
          <cell r="B925" t="str">
            <v>A42AL0202J10000R JP</v>
          </cell>
          <cell r="C925"/>
          <cell r="D925">
            <v>22</v>
          </cell>
          <cell r="E925">
            <v>234</v>
          </cell>
          <cell r="F925">
            <v>22</v>
          </cell>
          <cell r="G925">
            <v>162</v>
          </cell>
        </row>
        <row r="926">
          <cell r="B926" t="str">
            <v>A42AL0700J10000R JP</v>
          </cell>
          <cell r="C926"/>
          <cell r="D926">
            <v>22</v>
          </cell>
          <cell r="E926">
            <v>168.3</v>
          </cell>
          <cell r="F926">
            <v>22</v>
          </cell>
          <cell r="G926">
            <v>162</v>
          </cell>
        </row>
        <row r="927">
          <cell r="B927" t="str">
            <v>A42AL0700J10001R JP</v>
          </cell>
          <cell r="C927"/>
          <cell r="D927">
            <v>22</v>
          </cell>
          <cell r="E927">
            <v>234</v>
          </cell>
          <cell r="F927">
            <v>22</v>
          </cell>
          <cell r="G927">
            <v>162</v>
          </cell>
        </row>
        <row r="928">
          <cell r="B928" t="str">
            <v>A42AL0702H10000R JP</v>
          </cell>
          <cell r="C928"/>
          <cell r="D928">
            <v>22</v>
          </cell>
          <cell r="E928">
            <v>234</v>
          </cell>
          <cell r="F928">
            <v>22</v>
          </cell>
          <cell r="G928">
            <v>123.8</v>
          </cell>
        </row>
        <row r="929">
          <cell r="B929" t="str">
            <v>A42AL1500J10000R JP</v>
          </cell>
          <cell r="C929"/>
          <cell r="D929">
            <v>22</v>
          </cell>
          <cell r="E929">
            <v>168.3</v>
          </cell>
          <cell r="F929">
            <v>22</v>
          </cell>
          <cell r="G929">
            <v>162</v>
          </cell>
        </row>
        <row r="930">
          <cell r="B930" t="str">
            <v>A42AR0100H10000R JP</v>
          </cell>
          <cell r="C930"/>
          <cell r="D930">
            <v>22</v>
          </cell>
          <cell r="E930">
            <v>234</v>
          </cell>
          <cell r="F930">
            <v>22</v>
          </cell>
          <cell r="G930">
            <v>162</v>
          </cell>
        </row>
        <row r="931">
          <cell r="B931" t="str">
            <v>A42AR0100J10000R JP</v>
          </cell>
          <cell r="C931"/>
          <cell r="D931">
            <v>22</v>
          </cell>
          <cell r="E931">
            <v>234</v>
          </cell>
          <cell r="F931">
            <v>22</v>
          </cell>
          <cell r="G931">
            <v>162</v>
          </cell>
        </row>
        <row r="932">
          <cell r="B932" t="str">
            <v>A42AR0200J10000R JP</v>
          </cell>
          <cell r="C932"/>
          <cell r="D932">
            <v>22</v>
          </cell>
          <cell r="E932">
            <v>168.3</v>
          </cell>
          <cell r="F932">
            <v>22</v>
          </cell>
          <cell r="G932">
            <v>162</v>
          </cell>
        </row>
        <row r="933">
          <cell r="B933" t="str">
            <v>A42B03500H10000R JP</v>
          </cell>
          <cell r="C933"/>
          <cell r="D933">
            <v>22</v>
          </cell>
          <cell r="E933">
            <v>168.3</v>
          </cell>
          <cell r="F933">
            <v>22</v>
          </cell>
          <cell r="G933">
            <v>162</v>
          </cell>
        </row>
        <row r="934">
          <cell r="B934" t="str">
            <v>A42AL0102J10000R JP</v>
          </cell>
          <cell r="C934"/>
          <cell r="D934">
            <v>22</v>
          </cell>
          <cell r="E934">
            <v>168.3</v>
          </cell>
          <cell r="F934">
            <v>22</v>
          </cell>
          <cell r="G934">
            <v>162</v>
          </cell>
        </row>
        <row r="935">
          <cell r="B935" t="str">
            <v>A42AL0200H10000R JP</v>
          </cell>
          <cell r="C935"/>
          <cell r="D935">
            <v>22</v>
          </cell>
          <cell r="E935">
            <v>234</v>
          </cell>
          <cell r="F935">
            <v>22</v>
          </cell>
          <cell r="G935">
            <v>162</v>
          </cell>
        </row>
        <row r="936">
          <cell r="B936" t="str">
            <v>A42AL0200J10000R JP</v>
          </cell>
          <cell r="C936"/>
          <cell r="D936">
            <v>22</v>
          </cell>
          <cell r="E936">
            <v>168.3</v>
          </cell>
          <cell r="F936">
            <v>22</v>
          </cell>
          <cell r="G936">
            <v>162</v>
          </cell>
        </row>
        <row r="937">
          <cell r="B937" t="str">
            <v>A42AL0200J10001R JP</v>
          </cell>
          <cell r="C937"/>
          <cell r="D937">
            <v>22</v>
          </cell>
          <cell r="E937">
            <v>234</v>
          </cell>
          <cell r="F937">
            <v>22</v>
          </cell>
          <cell r="G937">
            <v>162</v>
          </cell>
        </row>
        <row r="938">
          <cell r="B938" t="str">
            <v>A42AL0200M10001R JP</v>
          </cell>
          <cell r="C938"/>
          <cell r="D938">
            <v>22</v>
          </cell>
          <cell r="E938">
            <v>234</v>
          </cell>
          <cell r="F938">
            <v>22</v>
          </cell>
          <cell r="G938">
            <v>162</v>
          </cell>
        </row>
        <row r="939">
          <cell r="B939" t="str">
            <v>A42AL0202H10000R JP</v>
          </cell>
          <cell r="C939"/>
          <cell r="D939">
            <v>22</v>
          </cell>
          <cell r="E939">
            <v>168.3</v>
          </cell>
          <cell r="F939">
            <v>22</v>
          </cell>
          <cell r="G939">
            <v>162</v>
          </cell>
        </row>
        <row r="940">
          <cell r="B940" t="str">
            <v>A42AL0100M10000R JP</v>
          </cell>
          <cell r="C940"/>
          <cell r="D940">
            <v>22</v>
          </cell>
          <cell r="E940">
            <v>168.3</v>
          </cell>
          <cell r="F940">
            <v>22</v>
          </cell>
          <cell r="G940">
            <v>162</v>
          </cell>
        </row>
        <row r="941">
          <cell r="B941" t="str">
            <v>A42AL0100M10001R JP</v>
          </cell>
          <cell r="C941"/>
          <cell r="D941">
            <v>22</v>
          </cell>
          <cell r="E941">
            <v>168.3</v>
          </cell>
          <cell r="F941">
            <v>22</v>
          </cell>
          <cell r="G941">
            <v>162</v>
          </cell>
        </row>
        <row r="942">
          <cell r="B942" t="str">
            <v>A42AL0102H10000R JP</v>
          </cell>
          <cell r="C942"/>
          <cell r="D942">
            <v>22</v>
          </cell>
          <cell r="E942">
            <v>168.3</v>
          </cell>
          <cell r="F942">
            <v>22</v>
          </cell>
          <cell r="G942">
            <v>162</v>
          </cell>
        </row>
        <row r="943">
          <cell r="B943" t="str">
            <v>A60SO4000J12500</v>
          </cell>
          <cell r="C943"/>
          <cell r="D943">
            <v>22</v>
          </cell>
          <cell r="E943">
            <v>300</v>
          </cell>
          <cell r="F943">
            <v>22</v>
          </cell>
          <cell r="G943">
            <v>167</v>
          </cell>
        </row>
        <row r="944">
          <cell r="B944" t="str">
            <v>A60FC4500J12500</v>
          </cell>
          <cell r="C944"/>
          <cell r="D944">
            <v>22</v>
          </cell>
          <cell r="E944">
            <v>300</v>
          </cell>
          <cell r="F944">
            <v>22</v>
          </cell>
          <cell r="G944">
            <v>167</v>
          </cell>
        </row>
        <row r="945">
          <cell r="B945" t="str">
            <v>A60FK0200J12500</v>
          </cell>
          <cell r="C945"/>
          <cell r="D945">
            <v>22</v>
          </cell>
          <cell r="E945">
            <v>300</v>
          </cell>
          <cell r="F945">
            <v>22</v>
          </cell>
          <cell r="G945">
            <v>167</v>
          </cell>
        </row>
        <row r="946">
          <cell r="B946" t="str">
            <v>A52AL0700M10000M</v>
          </cell>
          <cell r="C946"/>
          <cell r="D946">
            <v>21.9</v>
          </cell>
          <cell r="E946">
            <v>270</v>
          </cell>
          <cell r="F946">
            <v>20</v>
          </cell>
          <cell r="G946">
            <v>140.69999999999999</v>
          </cell>
        </row>
        <row r="947">
          <cell r="B947" t="str">
            <v>A42B34002J10005</v>
          </cell>
          <cell r="C947"/>
          <cell r="D947">
            <v>21.9</v>
          </cell>
          <cell r="E947">
            <v>176</v>
          </cell>
          <cell r="F947">
            <v>20</v>
          </cell>
          <cell r="G947">
            <v>132</v>
          </cell>
        </row>
        <row r="948">
          <cell r="B948" t="str">
            <v>AJ1729012-01-A</v>
          </cell>
          <cell r="C948"/>
          <cell r="D948">
            <v>56</v>
          </cell>
          <cell r="E948">
            <v>183.5</v>
          </cell>
          <cell r="F948">
            <v>20</v>
          </cell>
          <cell r="G948">
            <v>192</v>
          </cell>
        </row>
        <row r="949">
          <cell r="B949" t="str">
            <v>AJ1729013-01-A</v>
          </cell>
          <cell r="C949"/>
          <cell r="D949">
            <v>56</v>
          </cell>
          <cell r="E949">
            <v>183.5</v>
          </cell>
          <cell r="F949">
            <v>20</v>
          </cell>
          <cell r="G949">
            <v>192</v>
          </cell>
        </row>
        <row r="950">
          <cell r="B950" t="str">
            <v>AJ1728002-01-A</v>
          </cell>
          <cell r="C950"/>
          <cell r="D950">
            <v>56</v>
          </cell>
          <cell r="E950">
            <v>183.5</v>
          </cell>
          <cell r="F950">
            <v>20</v>
          </cell>
          <cell r="G950">
            <v>192</v>
          </cell>
        </row>
        <row r="951">
          <cell r="B951" t="str">
            <v>A52B34002H10004</v>
          </cell>
          <cell r="C951"/>
          <cell r="D951">
            <v>21.9</v>
          </cell>
          <cell r="E951">
            <v>168</v>
          </cell>
          <cell r="F951">
            <v>20</v>
          </cell>
          <cell r="G951">
            <v>140.69999999999999</v>
          </cell>
        </row>
        <row r="952">
          <cell r="B952" t="str">
            <v>A52B04000J08000</v>
          </cell>
          <cell r="C952"/>
          <cell r="D952">
            <v>21.9</v>
          </cell>
          <cell r="E952">
            <v>177.9</v>
          </cell>
          <cell r="F952">
            <v>22</v>
          </cell>
          <cell r="G952">
            <v>140.69999999999999</v>
          </cell>
        </row>
        <row r="953">
          <cell r="B953" t="str">
            <v>A52B04002J10000</v>
          </cell>
          <cell r="C953"/>
          <cell r="D953">
            <v>21.9</v>
          </cell>
          <cell r="E953">
            <v>177.9</v>
          </cell>
          <cell r="F953">
            <v>22</v>
          </cell>
          <cell r="G953">
            <v>140.69999999999999</v>
          </cell>
        </row>
        <row r="954">
          <cell r="B954" t="str">
            <v>A52B04001L10000</v>
          </cell>
          <cell r="C954"/>
          <cell r="D954">
            <v>21.9</v>
          </cell>
          <cell r="E954">
            <v>177.9</v>
          </cell>
          <cell r="F954">
            <v>22</v>
          </cell>
          <cell r="G954">
            <v>140.69999999999999</v>
          </cell>
        </row>
        <row r="955">
          <cell r="B955" t="str">
            <v>A52B13500J08000</v>
          </cell>
          <cell r="C955"/>
          <cell r="D955">
            <v>21.9</v>
          </cell>
          <cell r="E955">
            <v>177.9</v>
          </cell>
          <cell r="F955">
            <v>22</v>
          </cell>
          <cell r="G955">
            <v>140.69999999999999</v>
          </cell>
        </row>
        <row r="956">
          <cell r="B956" t="str">
            <v>A52B33502J10004</v>
          </cell>
          <cell r="C956"/>
          <cell r="D956">
            <v>21.9</v>
          </cell>
          <cell r="E956">
            <v>177.9</v>
          </cell>
          <cell r="F956">
            <v>22</v>
          </cell>
          <cell r="G956">
            <v>140.69999999999999</v>
          </cell>
        </row>
        <row r="957">
          <cell r="B957" t="str">
            <v>A52FC0000L06500</v>
          </cell>
          <cell r="C957"/>
          <cell r="D957">
            <v>21.9</v>
          </cell>
          <cell r="E957">
            <v>177.9</v>
          </cell>
          <cell r="F957">
            <v>22</v>
          </cell>
          <cell r="G957">
            <v>140.69999999999999</v>
          </cell>
        </row>
        <row r="958">
          <cell r="B958" t="str">
            <v>A52B23002J10000</v>
          </cell>
          <cell r="C958"/>
          <cell r="D958">
            <v>21.9</v>
          </cell>
          <cell r="E958">
            <v>177.9</v>
          </cell>
          <cell r="F958">
            <v>22</v>
          </cell>
          <cell r="G958">
            <v>140.69999999999999</v>
          </cell>
        </row>
        <row r="959">
          <cell r="B959" t="str">
            <v>A42AL0102H10004</v>
          </cell>
          <cell r="C959"/>
          <cell r="D959">
            <v>21.9</v>
          </cell>
          <cell r="E959">
            <v>177.9</v>
          </cell>
          <cell r="F959">
            <v>22</v>
          </cell>
          <cell r="G959">
            <v>140.69999999999999</v>
          </cell>
        </row>
        <row r="960">
          <cell r="B960" t="str">
            <v>A52B34001L10001</v>
          </cell>
          <cell r="C960"/>
          <cell r="D960">
            <v>21.9</v>
          </cell>
          <cell r="E960">
            <v>177.9</v>
          </cell>
          <cell r="F960">
            <v>22</v>
          </cell>
          <cell r="G960">
            <v>140.69999999999999</v>
          </cell>
        </row>
        <row r="961">
          <cell r="B961" t="str">
            <v>A52B24002J08000</v>
          </cell>
          <cell r="C961"/>
          <cell r="D961">
            <v>21.9</v>
          </cell>
          <cell r="E961">
            <v>177.9</v>
          </cell>
          <cell r="F961">
            <v>22</v>
          </cell>
          <cell r="G961">
            <v>140.69999999999999</v>
          </cell>
        </row>
        <row r="962">
          <cell r="B962" t="str">
            <v>A52B23502J10000</v>
          </cell>
          <cell r="C962"/>
          <cell r="D962">
            <v>21.9</v>
          </cell>
          <cell r="E962">
            <v>177.9</v>
          </cell>
          <cell r="F962">
            <v>22</v>
          </cell>
          <cell r="G962">
            <v>140.69999999999999</v>
          </cell>
        </row>
        <row r="963">
          <cell r="B963" t="str">
            <v>A52B23502J08000</v>
          </cell>
          <cell r="C963"/>
          <cell r="D963">
            <v>21.9</v>
          </cell>
          <cell r="E963">
            <v>177.9</v>
          </cell>
          <cell r="F963">
            <v>22</v>
          </cell>
          <cell r="G963">
            <v>140.69999999999999</v>
          </cell>
        </row>
        <row r="964">
          <cell r="B964" t="str">
            <v>A52B23500J10000</v>
          </cell>
          <cell r="C964"/>
          <cell r="D964">
            <v>21.9</v>
          </cell>
          <cell r="E964">
            <v>177.9</v>
          </cell>
          <cell r="F964">
            <v>22</v>
          </cell>
          <cell r="G964">
            <v>140.69999999999999</v>
          </cell>
        </row>
        <row r="965">
          <cell r="B965" t="str">
            <v>A52B03702J10000</v>
          </cell>
          <cell r="C965"/>
          <cell r="D965">
            <v>21.9</v>
          </cell>
          <cell r="E965">
            <v>177.9</v>
          </cell>
          <cell r="F965">
            <v>22</v>
          </cell>
          <cell r="G965">
            <v>140.69999999999999</v>
          </cell>
        </row>
        <row r="966">
          <cell r="B966" t="str">
            <v>A52B04000H08000</v>
          </cell>
          <cell r="C966"/>
          <cell r="D966">
            <v>21.9</v>
          </cell>
          <cell r="E966">
            <v>177.9</v>
          </cell>
          <cell r="F966">
            <v>22</v>
          </cell>
          <cell r="G966">
            <v>140.69999999999999</v>
          </cell>
        </row>
        <row r="967">
          <cell r="B967" t="str">
            <v>A52B13500J10000</v>
          </cell>
          <cell r="C967"/>
          <cell r="D967">
            <v>21.9</v>
          </cell>
          <cell r="E967">
            <v>177.9</v>
          </cell>
          <cell r="F967">
            <v>22</v>
          </cell>
          <cell r="G967">
            <v>140.69999999999999</v>
          </cell>
        </row>
        <row r="968">
          <cell r="B968" t="str">
            <v>A52B03501L10000</v>
          </cell>
          <cell r="C968"/>
          <cell r="D968">
            <v>21.9</v>
          </cell>
          <cell r="E968">
            <v>177.9</v>
          </cell>
          <cell r="F968">
            <v>22</v>
          </cell>
          <cell r="G968">
            <v>140.69999999999999</v>
          </cell>
        </row>
        <row r="969">
          <cell r="B969" t="str">
            <v>A60JR3500H10004M</v>
          </cell>
          <cell r="C969"/>
          <cell r="D969">
            <v>21.9</v>
          </cell>
          <cell r="E969">
            <v>162</v>
          </cell>
          <cell r="F969">
            <v>22</v>
          </cell>
          <cell r="G969">
            <v>140.69999999999999</v>
          </cell>
        </row>
        <row r="970">
          <cell r="B970" t="str">
            <v>A60JL4002J08000</v>
          </cell>
          <cell r="C970"/>
          <cell r="D970">
            <v>21.9</v>
          </cell>
          <cell r="E970">
            <v>177.9</v>
          </cell>
          <cell r="F970">
            <v>22</v>
          </cell>
          <cell r="G970">
            <v>140.69999999999999</v>
          </cell>
        </row>
        <row r="971">
          <cell r="B971" t="str">
            <v>A60JL3500L1000GM</v>
          </cell>
          <cell r="C971"/>
          <cell r="D971">
            <v>21.9</v>
          </cell>
          <cell r="E971">
            <v>162</v>
          </cell>
          <cell r="F971">
            <v>22</v>
          </cell>
          <cell r="G971">
            <v>140.69999999999999</v>
          </cell>
        </row>
        <row r="972">
          <cell r="B972" t="str">
            <v>A52JL4002J10004</v>
          </cell>
          <cell r="C972"/>
          <cell r="D972">
            <v>21.9</v>
          </cell>
          <cell r="E972">
            <v>177.9</v>
          </cell>
          <cell r="F972">
            <v>22</v>
          </cell>
          <cell r="G972">
            <v>140.69999999999999</v>
          </cell>
        </row>
        <row r="973">
          <cell r="B973" t="str">
            <v>A52JL3702J10000</v>
          </cell>
          <cell r="C973"/>
          <cell r="D973">
            <v>21.9</v>
          </cell>
          <cell r="E973">
            <v>177.9</v>
          </cell>
          <cell r="F973">
            <v>22</v>
          </cell>
          <cell r="G973">
            <v>140.69999999999999</v>
          </cell>
        </row>
        <row r="974">
          <cell r="B974" t="str">
            <v>A52JL3700L12001</v>
          </cell>
          <cell r="C974"/>
          <cell r="D974">
            <v>21.9</v>
          </cell>
          <cell r="E974">
            <v>300.10000000000002</v>
          </cell>
          <cell r="F974">
            <v>22</v>
          </cell>
          <cell r="G974">
            <v>166.9</v>
          </cell>
        </row>
        <row r="975">
          <cell r="B975" t="str">
            <v>A52JB0100J13000</v>
          </cell>
          <cell r="C975"/>
          <cell r="D975">
            <v>21.9</v>
          </cell>
          <cell r="E975">
            <v>300.10000000000002</v>
          </cell>
          <cell r="F975">
            <v>22</v>
          </cell>
          <cell r="G975">
            <v>166.9</v>
          </cell>
        </row>
        <row r="976">
          <cell r="B976" t="str">
            <v>A52IM0000J10006</v>
          </cell>
          <cell r="C976"/>
          <cell r="D976">
            <v>21.9</v>
          </cell>
          <cell r="E976">
            <v>177.9</v>
          </cell>
          <cell r="F976">
            <v>22</v>
          </cell>
          <cell r="G976">
            <v>140.69999999999999</v>
          </cell>
        </row>
        <row r="977">
          <cell r="B977" t="str">
            <v>A52IM0000J10004</v>
          </cell>
          <cell r="C977"/>
          <cell r="D977">
            <v>21.9</v>
          </cell>
          <cell r="E977">
            <v>177.9</v>
          </cell>
          <cell r="F977">
            <v>22</v>
          </cell>
          <cell r="G977">
            <v>140.69999999999999</v>
          </cell>
        </row>
        <row r="978">
          <cell r="B978" t="str">
            <v>A52B03501J08000</v>
          </cell>
          <cell r="C978"/>
          <cell r="D978">
            <v>21.9</v>
          </cell>
          <cell r="E978">
            <v>177.9</v>
          </cell>
          <cell r="F978">
            <v>22</v>
          </cell>
          <cell r="G978">
            <v>140.69999999999999</v>
          </cell>
        </row>
        <row r="979">
          <cell r="B979" t="str">
            <v>A60FC0000G11500</v>
          </cell>
          <cell r="C979"/>
          <cell r="D979">
            <v>21.9</v>
          </cell>
          <cell r="E979">
            <v>300.10000000000002</v>
          </cell>
          <cell r="F979">
            <v>22</v>
          </cell>
          <cell r="G979">
            <v>166.9</v>
          </cell>
        </row>
        <row r="980">
          <cell r="B980" t="str">
            <v>A60SO4000J10000</v>
          </cell>
          <cell r="C980"/>
          <cell r="D980">
            <v>44.4</v>
          </cell>
          <cell r="E980">
            <v>177.9</v>
          </cell>
          <cell r="F980">
            <v>22</v>
          </cell>
          <cell r="G980">
            <v>346.7</v>
          </cell>
        </row>
        <row r="981">
          <cell r="B981" t="str">
            <v>A52JL3502H10001</v>
          </cell>
          <cell r="C981"/>
          <cell r="D981">
            <v>21.9</v>
          </cell>
          <cell r="E981">
            <v>177.9</v>
          </cell>
          <cell r="F981">
            <v>22</v>
          </cell>
          <cell r="G981">
            <v>140.69999999999999</v>
          </cell>
        </row>
        <row r="982">
          <cell r="B982" t="str">
            <v>A60SO3500J10000</v>
          </cell>
          <cell r="C982"/>
          <cell r="D982">
            <v>44.4</v>
          </cell>
          <cell r="E982">
            <v>177.9</v>
          </cell>
          <cell r="F982">
            <v>22</v>
          </cell>
          <cell r="G982">
            <v>346.7</v>
          </cell>
        </row>
        <row r="983">
          <cell r="B983" t="str">
            <v>A42JL4002H12000</v>
          </cell>
          <cell r="C983"/>
          <cell r="D983">
            <v>21.9</v>
          </cell>
          <cell r="E983">
            <v>300.10000000000002</v>
          </cell>
          <cell r="F983">
            <v>20</v>
          </cell>
          <cell r="G983">
            <v>166.9</v>
          </cell>
        </row>
        <row r="984">
          <cell r="B984" t="str">
            <v>A42JL3500H10005</v>
          </cell>
          <cell r="C984"/>
          <cell r="D984">
            <v>21.9</v>
          </cell>
          <cell r="E984">
            <v>177.9</v>
          </cell>
          <cell r="F984">
            <v>20</v>
          </cell>
          <cell r="G984">
            <v>140.69999999999999</v>
          </cell>
        </row>
        <row r="985">
          <cell r="B985" t="str">
            <v>A42JL3500J10006</v>
          </cell>
          <cell r="C985"/>
          <cell r="D985">
            <v>21.9</v>
          </cell>
          <cell r="E985">
            <v>177.9</v>
          </cell>
          <cell r="F985">
            <v>20</v>
          </cell>
          <cell r="G985">
            <v>140.69999999999999</v>
          </cell>
        </row>
        <row r="986">
          <cell r="B986" t="str">
            <v>A42JB0200J12500</v>
          </cell>
          <cell r="C986"/>
          <cell r="D986">
            <v>21.9</v>
          </cell>
          <cell r="E986">
            <v>300.10000000000002</v>
          </cell>
          <cell r="F986">
            <v>20</v>
          </cell>
          <cell r="G986">
            <v>166.9</v>
          </cell>
        </row>
        <row r="987">
          <cell r="B987" t="str">
            <v>A42FK0100J12004</v>
          </cell>
          <cell r="C987"/>
          <cell r="D987">
            <v>21.9</v>
          </cell>
          <cell r="E987">
            <v>300.10000000000002</v>
          </cell>
          <cell r="F987">
            <v>20</v>
          </cell>
          <cell r="G987">
            <v>166.9</v>
          </cell>
        </row>
        <row r="988">
          <cell r="B988" t="str">
            <v>A42FC4500J04500</v>
          </cell>
          <cell r="C988"/>
          <cell r="D988">
            <v>21.9</v>
          </cell>
          <cell r="E988">
            <v>177.9</v>
          </cell>
          <cell r="F988">
            <v>20</v>
          </cell>
          <cell r="G988">
            <v>140.69999999999999</v>
          </cell>
        </row>
        <row r="989">
          <cell r="B989" t="str">
            <v>A42JL4002J11000</v>
          </cell>
          <cell r="C989"/>
          <cell r="D989">
            <v>21.9</v>
          </cell>
          <cell r="E989">
            <v>177.9</v>
          </cell>
          <cell r="F989">
            <v>22</v>
          </cell>
          <cell r="G989">
            <v>140.69999999999999</v>
          </cell>
        </row>
        <row r="990">
          <cell r="B990" t="str">
            <v>A42JL3502H12000</v>
          </cell>
          <cell r="C990"/>
          <cell r="D990">
            <v>21.9</v>
          </cell>
          <cell r="E990">
            <v>300.10000000000002</v>
          </cell>
          <cell r="F990">
            <v>22</v>
          </cell>
          <cell r="G990">
            <v>166.9</v>
          </cell>
        </row>
        <row r="991">
          <cell r="B991" t="str">
            <v>A52B14001L08004</v>
          </cell>
          <cell r="C991"/>
          <cell r="D991">
            <v>21.9</v>
          </cell>
          <cell r="E991">
            <v>177.9</v>
          </cell>
          <cell r="F991">
            <v>22</v>
          </cell>
          <cell r="G991">
            <v>140.69999999999999</v>
          </cell>
        </row>
        <row r="992">
          <cell r="B992" t="str">
            <v>A52B14001L10000</v>
          </cell>
          <cell r="C992"/>
          <cell r="D992">
            <v>21.9</v>
          </cell>
          <cell r="E992">
            <v>177.9</v>
          </cell>
          <cell r="F992">
            <v>22</v>
          </cell>
          <cell r="G992">
            <v>140.69999999999999</v>
          </cell>
        </row>
        <row r="993">
          <cell r="B993" t="str">
            <v>A52B13501J08000</v>
          </cell>
          <cell r="C993"/>
          <cell r="D993">
            <v>21.9</v>
          </cell>
          <cell r="E993">
            <v>177.9</v>
          </cell>
          <cell r="F993">
            <v>22</v>
          </cell>
          <cell r="G993">
            <v>140.69999999999999</v>
          </cell>
        </row>
        <row r="994">
          <cell r="B994" t="str">
            <v>A42B33502J08004</v>
          </cell>
          <cell r="C994"/>
          <cell r="D994">
            <v>21.9</v>
          </cell>
          <cell r="E994">
            <v>177.9</v>
          </cell>
          <cell r="F994">
            <v>22</v>
          </cell>
          <cell r="G994">
            <v>140.69999999999999</v>
          </cell>
        </row>
        <row r="995">
          <cell r="B995" t="str">
            <v>A42B33002J10004</v>
          </cell>
          <cell r="C995"/>
          <cell r="D995">
            <v>21.9</v>
          </cell>
          <cell r="E995">
            <v>177.9</v>
          </cell>
          <cell r="F995">
            <v>22</v>
          </cell>
          <cell r="G995">
            <v>140.69999999999999</v>
          </cell>
        </row>
        <row r="996">
          <cell r="B996" t="str">
            <v>A42B03500H08000</v>
          </cell>
          <cell r="C996"/>
          <cell r="D996">
            <v>21.9</v>
          </cell>
          <cell r="E996">
            <v>177.9</v>
          </cell>
          <cell r="F996">
            <v>22</v>
          </cell>
          <cell r="G996">
            <v>140.69999999999999</v>
          </cell>
        </row>
        <row r="997">
          <cell r="B997" t="str">
            <v>A42B23000H08000</v>
          </cell>
          <cell r="C997"/>
          <cell r="D997">
            <v>21.9</v>
          </cell>
          <cell r="E997">
            <v>177.9</v>
          </cell>
          <cell r="F997">
            <v>22</v>
          </cell>
          <cell r="G997">
            <v>140.69999999999999</v>
          </cell>
        </row>
        <row r="998">
          <cell r="B998" t="str">
            <v>A42B14001H08000</v>
          </cell>
          <cell r="C998"/>
          <cell r="D998">
            <v>21.9</v>
          </cell>
          <cell r="E998">
            <v>177.9</v>
          </cell>
          <cell r="F998">
            <v>22</v>
          </cell>
          <cell r="G998">
            <v>140.69999999999999</v>
          </cell>
        </row>
        <row r="999">
          <cell r="B999" t="str">
            <v>A42B14002H08000</v>
          </cell>
          <cell r="C999"/>
          <cell r="D999">
            <v>21.9</v>
          </cell>
          <cell r="E999">
            <v>177.9</v>
          </cell>
          <cell r="F999">
            <v>22</v>
          </cell>
          <cell r="G999">
            <v>140.69999999999999</v>
          </cell>
        </row>
        <row r="1000">
          <cell r="B1000" t="str">
            <v>A42B03501H08000</v>
          </cell>
          <cell r="C1000"/>
          <cell r="D1000">
            <v>21.9</v>
          </cell>
          <cell r="E1000">
            <v>177.9</v>
          </cell>
          <cell r="F1000">
            <v>22</v>
          </cell>
          <cell r="G1000">
            <v>140.69999999999999</v>
          </cell>
        </row>
        <row r="1001">
          <cell r="B1001" t="str">
            <v>A52B14002H10000</v>
          </cell>
          <cell r="C1001"/>
          <cell r="D1001">
            <v>21.9</v>
          </cell>
          <cell r="E1001">
            <v>177.9</v>
          </cell>
          <cell r="F1001">
            <v>22</v>
          </cell>
          <cell r="G1001">
            <v>140.69999999999999</v>
          </cell>
        </row>
        <row r="1002">
          <cell r="B1002" t="str">
            <v>A52B23000H10000</v>
          </cell>
          <cell r="C1002"/>
          <cell r="D1002">
            <v>21.9</v>
          </cell>
          <cell r="E1002">
            <v>177.9</v>
          </cell>
          <cell r="F1002">
            <v>22</v>
          </cell>
          <cell r="G1002">
            <v>140.69999999999999</v>
          </cell>
        </row>
        <row r="1003">
          <cell r="B1003" t="str">
            <v>A52B14000J10000</v>
          </cell>
          <cell r="C1003"/>
          <cell r="D1003">
            <v>21.9</v>
          </cell>
          <cell r="E1003">
            <v>177.9</v>
          </cell>
          <cell r="F1003">
            <v>22</v>
          </cell>
          <cell r="G1003">
            <v>140.69999999999999</v>
          </cell>
        </row>
        <row r="1004">
          <cell r="B1004" t="str">
            <v>A52B14001J08000</v>
          </cell>
          <cell r="C1004"/>
          <cell r="D1004">
            <v>21.9</v>
          </cell>
          <cell r="E1004">
            <v>177.9</v>
          </cell>
          <cell r="F1004">
            <v>22</v>
          </cell>
          <cell r="G1004">
            <v>140.69999999999999</v>
          </cell>
        </row>
        <row r="1005">
          <cell r="B1005" t="str">
            <v>A52B14001J10000</v>
          </cell>
          <cell r="C1005"/>
          <cell r="D1005">
            <v>21.9</v>
          </cell>
          <cell r="E1005">
            <v>177.9</v>
          </cell>
          <cell r="F1005">
            <v>22</v>
          </cell>
          <cell r="G1005">
            <v>140.69999999999999</v>
          </cell>
        </row>
        <row r="1006">
          <cell r="B1006" t="str">
            <v>A42B34002J08004</v>
          </cell>
          <cell r="C1006"/>
          <cell r="D1006">
            <v>21.9</v>
          </cell>
          <cell r="E1006">
            <v>177.9</v>
          </cell>
          <cell r="F1006">
            <v>22</v>
          </cell>
          <cell r="G1006">
            <v>140.69999999999999</v>
          </cell>
        </row>
        <row r="1007">
          <cell r="B1007" t="str">
            <v>A52B14000J08000</v>
          </cell>
          <cell r="C1007"/>
          <cell r="D1007">
            <v>21.9</v>
          </cell>
          <cell r="E1007">
            <v>177.9</v>
          </cell>
          <cell r="F1007">
            <v>20</v>
          </cell>
          <cell r="G1007">
            <v>140.69999999999999</v>
          </cell>
        </row>
        <row r="1008">
          <cell r="B1008" t="str">
            <v>A52B23000J08000</v>
          </cell>
          <cell r="C1008"/>
          <cell r="D1008">
            <v>21.9</v>
          </cell>
          <cell r="E1008">
            <v>177.9</v>
          </cell>
          <cell r="F1008">
            <v>20</v>
          </cell>
          <cell r="G1008">
            <v>140.69999999999999</v>
          </cell>
        </row>
        <row r="1009">
          <cell r="B1009" t="str">
            <v>A52B13501J10000</v>
          </cell>
          <cell r="C1009"/>
          <cell r="D1009">
            <v>21.9</v>
          </cell>
          <cell r="E1009">
            <v>177.9</v>
          </cell>
          <cell r="F1009">
            <v>20</v>
          </cell>
          <cell r="G1009">
            <v>140.69999999999999</v>
          </cell>
        </row>
        <row r="1010">
          <cell r="B1010" t="str">
            <v>A52JR4002J10004</v>
          </cell>
          <cell r="C1010"/>
          <cell r="D1010">
            <v>21.9</v>
          </cell>
          <cell r="E1010">
            <v>177.9</v>
          </cell>
          <cell r="F1010">
            <v>20</v>
          </cell>
          <cell r="G1010">
            <v>140.69999999999999</v>
          </cell>
        </row>
        <row r="1011">
          <cell r="B1011" t="str">
            <v>A52JR3700H12000</v>
          </cell>
          <cell r="C1011"/>
          <cell r="D1011">
            <v>21.9</v>
          </cell>
          <cell r="E1011">
            <v>300.10000000000002</v>
          </cell>
          <cell r="F1011">
            <v>20</v>
          </cell>
          <cell r="G1011">
            <v>166.9</v>
          </cell>
        </row>
        <row r="1012">
          <cell r="B1012" t="str">
            <v>A52JR3702J10000</v>
          </cell>
          <cell r="C1012"/>
          <cell r="D1012">
            <v>21.9</v>
          </cell>
          <cell r="E1012">
            <v>177.9</v>
          </cell>
          <cell r="F1012">
            <v>20</v>
          </cell>
          <cell r="G1012">
            <v>140.69999999999999</v>
          </cell>
        </row>
        <row r="1013">
          <cell r="B1013" t="str">
            <v>A52JL3500L10000</v>
          </cell>
          <cell r="C1013"/>
          <cell r="D1013">
            <v>21.9</v>
          </cell>
          <cell r="E1013">
            <v>177.9</v>
          </cell>
          <cell r="F1013">
            <v>20</v>
          </cell>
          <cell r="G1013">
            <v>140.69999999999999</v>
          </cell>
        </row>
        <row r="1014">
          <cell r="B1014" t="str">
            <v>A52JL3000L10000</v>
          </cell>
          <cell r="C1014"/>
          <cell r="D1014">
            <v>21.9</v>
          </cell>
          <cell r="E1014">
            <v>177.9</v>
          </cell>
          <cell r="F1014">
            <v>20</v>
          </cell>
          <cell r="G1014">
            <v>140.69999999999999</v>
          </cell>
        </row>
        <row r="1015">
          <cell r="B1015" t="str">
            <v>A52B23002J08000</v>
          </cell>
          <cell r="C1015"/>
          <cell r="D1015">
            <v>21.9</v>
          </cell>
          <cell r="E1015">
            <v>177.9</v>
          </cell>
          <cell r="F1015">
            <v>20</v>
          </cell>
          <cell r="G1015">
            <v>140.69999999999999</v>
          </cell>
        </row>
        <row r="1016">
          <cell r="B1016" t="str">
            <v>A52B23000J10000</v>
          </cell>
          <cell r="C1016"/>
          <cell r="D1016">
            <v>21.9</v>
          </cell>
          <cell r="E1016">
            <v>177.9</v>
          </cell>
          <cell r="F1016">
            <v>20</v>
          </cell>
          <cell r="G1016">
            <v>140.69999999999999</v>
          </cell>
        </row>
        <row r="1017">
          <cell r="B1017" t="str">
            <v>A42FC0000M11000</v>
          </cell>
          <cell r="C1017"/>
          <cell r="D1017">
            <v>21.9</v>
          </cell>
          <cell r="E1017">
            <v>177.9</v>
          </cell>
          <cell r="F1017">
            <v>20</v>
          </cell>
          <cell r="G1017">
            <v>166.9</v>
          </cell>
        </row>
        <row r="1018">
          <cell r="B1018" t="str">
            <v>A52B23500J08000</v>
          </cell>
          <cell r="C1018"/>
          <cell r="D1018">
            <v>21.9</v>
          </cell>
          <cell r="E1018">
            <v>177.9</v>
          </cell>
          <cell r="F1018">
            <v>32</v>
          </cell>
          <cell r="G1018">
            <v>140.69999999999999</v>
          </cell>
        </row>
        <row r="1019">
          <cell r="B1019" t="str">
            <v>A52B23002L10000</v>
          </cell>
          <cell r="C1019"/>
          <cell r="D1019">
            <v>21.9</v>
          </cell>
          <cell r="E1019">
            <v>177.9</v>
          </cell>
          <cell r="F1019">
            <v>20</v>
          </cell>
          <cell r="G1019">
            <v>140.69999999999999</v>
          </cell>
        </row>
        <row r="1020">
          <cell r="B1020" t="str">
            <v>A60CR9000J08000</v>
          </cell>
          <cell r="C1020"/>
          <cell r="D1020">
            <v>21.9</v>
          </cell>
          <cell r="E1020">
            <v>177.9</v>
          </cell>
          <cell r="F1020">
            <v>20</v>
          </cell>
          <cell r="G1020">
            <v>140.69999999999999</v>
          </cell>
        </row>
        <row r="1021">
          <cell r="B1021" t="str">
            <v>A60CR4500J08000</v>
          </cell>
          <cell r="C1021"/>
          <cell r="D1021">
            <v>21.9</v>
          </cell>
          <cell r="E1021">
            <v>177.9</v>
          </cell>
          <cell r="F1021">
            <v>20</v>
          </cell>
          <cell r="G1021">
            <v>140.69999999999999</v>
          </cell>
        </row>
        <row r="1022">
          <cell r="B1022" t="str">
            <v>A52SO3502H11000</v>
          </cell>
          <cell r="C1022"/>
          <cell r="D1022">
            <v>44.4</v>
          </cell>
          <cell r="E1022">
            <v>177.9</v>
          </cell>
          <cell r="F1022">
            <v>20</v>
          </cell>
          <cell r="G1022">
            <v>346.7</v>
          </cell>
        </row>
        <row r="1023">
          <cell r="B1023" t="str">
            <v>A52SH0000J08004</v>
          </cell>
          <cell r="C1023"/>
          <cell r="D1023">
            <v>21.9</v>
          </cell>
          <cell r="E1023">
            <v>177.9</v>
          </cell>
          <cell r="F1023">
            <v>20</v>
          </cell>
          <cell r="G1023">
            <v>140.69999999999999</v>
          </cell>
        </row>
        <row r="1024">
          <cell r="B1024" t="str">
            <v>A52SC4000J10000</v>
          </cell>
          <cell r="C1024"/>
          <cell r="D1024">
            <v>21.9</v>
          </cell>
          <cell r="E1024">
            <v>177.9</v>
          </cell>
          <cell r="F1024">
            <v>20</v>
          </cell>
          <cell r="G1024">
            <v>140.69999999999999</v>
          </cell>
        </row>
        <row r="1025">
          <cell r="B1025" t="str">
            <v>A52PR0000J10000</v>
          </cell>
          <cell r="C1025"/>
          <cell r="D1025">
            <v>21.9</v>
          </cell>
          <cell r="E1025">
            <v>177.9</v>
          </cell>
          <cell r="F1025">
            <v>20</v>
          </cell>
          <cell r="G1025">
            <v>140.69999999999999</v>
          </cell>
        </row>
        <row r="1026">
          <cell r="B1026" t="str">
            <v>A52MH0012H06004</v>
          </cell>
          <cell r="C1026"/>
          <cell r="D1026">
            <v>21.9</v>
          </cell>
          <cell r="E1026">
            <v>177.9</v>
          </cell>
          <cell r="F1026">
            <v>20</v>
          </cell>
          <cell r="G1026">
            <v>140.69999999999999</v>
          </cell>
        </row>
        <row r="1027">
          <cell r="B1027" t="str">
            <v>A52AR0100J10004</v>
          </cell>
          <cell r="C1027"/>
          <cell r="D1027">
            <v>21.9</v>
          </cell>
          <cell r="E1027">
            <v>177.9</v>
          </cell>
          <cell r="F1027">
            <v>0</v>
          </cell>
          <cell r="G1027">
            <v>140.69999999999999</v>
          </cell>
        </row>
        <row r="1028">
          <cell r="B1028" t="str">
            <v>A52B03500J10000</v>
          </cell>
          <cell r="C1028"/>
          <cell r="D1028">
            <v>21.9</v>
          </cell>
          <cell r="E1028">
            <v>177.9</v>
          </cell>
          <cell r="F1028">
            <v>0</v>
          </cell>
          <cell r="G1028">
            <v>140.69999999999999</v>
          </cell>
        </row>
        <row r="1029">
          <cell r="B1029" t="str">
            <v>A52AR0202H10000</v>
          </cell>
          <cell r="C1029"/>
          <cell r="D1029">
            <v>21.9</v>
          </cell>
          <cell r="E1029">
            <v>177.9</v>
          </cell>
          <cell r="F1029">
            <v>0</v>
          </cell>
          <cell r="G1029">
            <v>140.69999999999999</v>
          </cell>
        </row>
        <row r="1030">
          <cell r="B1030" t="str">
            <v>A42SO4000H08000</v>
          </cell>
          <cell r="C1030"/>
          <cell r="D1030">
            <v>44.4</v>
          </cell>
          <cell r="E1030">
            <v>177.9</v>
          </cell>
          <cell r="F1030">
            <v>0</v>
          </cell>
          <cell r="G1030">
            <v>346.7</v>
          </cell>
        </row>
        <row r="1031">
          <cell r="B1031" t="str">
            <v>A52AR0200M10000M</v>
          </cell>
          <cell r="C1031"/>
          <cell r="D1031">
            <v>21.9</v>
          </cell>
          <cell r="E1031">
            <v>162</v>
          </cell>
          <cell r="F1031">
            <v>0</v>
          </cell>
          <cell r="G1031">
            <v>140.69999999999999</v>
          </cell>
        </row>
        <row r="1032">
          <cell r="B1032" t="str">
            <v>A52AL0200M10000</v>
          </cell>
          <cell r="C1032"/>
          <cell r="D1032">
            <v>21.9</v>
          </cell>
          <cell r="E1032">
            <v>177.9</v>
          </cell>
          <cell r="F1032">
            <v>22</v>
          </cell>
          <cell r="G1032">
            <v>140.69999999999999</v>
          </cell>
        </row>
        <row r="1033">
          <cell r="B1033" t="str">
            <v>A52AR0100J10000</v>
          </cell>
          <cell r="C1033"/>
          <cell r="D1033">
            <v>21.9</v>
          </cell>
          <cell r="E1033">
            <v>177.9</v>
          </cell>
          <cell r="F1033">
            <v>22</v>
          </cell>
          <cell r="G1033">
            <v>140.69999999999999</v>
          </cell>
        </row>
        <row r="1034">
          <cell r="B1034" t="str">
            <v>A52B03500J08000</v>
          </cell>
          <cell r="C1034"/>
          <cell r="D1034">
            <v>21.9</v>
          </cell>
          <cell r="E1034">
            <v>177.9</v>
          </cell>
          <cell r="F1034">
            <v>22</v>
          </cell>
          <cell r="G1034">
            <v>140.69999999999999</v>
          </cell>
        </row>
        <row r="1035">
          <cell r="B1035" t="str">
            <v>A52AR0102H10000</v>
          </cell>
          <cell r="C1035"/>
          <cell r="D1035">
            <v>21.9</v>
          </cell>
          <cell r="E1035">
            <v>177.9</v>
          </cell>
          <cell r="F1035">
            <v>20</v>
          </cell>
          <cell r="G1035">
            <v>140.69999999999999</v>
          </cell>
        </row>
        <row r="1036">
          <cell r="B1036" t="str">
            <v>A42JR4000H10005</v>
          </cell>
          <cell r="C1036"/>
          <cell r="D1036">
            <v>21.9</v>
          </cell>
          <cell r="E1036">
            <v>177.9</v>
          </cell>
          <cell r="F1036">
            <v>20</v>
          </cell>
          <cell r="G1036">
            <v>140.69999999999999</v>
          </cell>
        </row>
        <row r="1037">
          <cell r="B1037" t="str">
            <v>A52AL0100J10001</v>
          </cell>
          <cell r="C1037"/>
          <cell r="D1037">
            <v>21.9</v>
          </cell>
          <cell r="E1037">
            <v>177.9</v>
          </cell>
          <cell r="F1037">
            <v>20</v>
          </cell>
          <cell r="G1037">
            <v>140.69999999999999</v>
          </cell>
        </row>
        <row r="1038">
          <cell r="B1038" t="str">
            <v>A42JR4002M11000</v>
          </cell>
          <cell r="C1038"/>
          <cell r="D1038">
            <v>21.9</v>
          </cell>
          <cell r="E1038">
            <v>177.9</v>
          </cell>
          <cell r="F1038">
            <v>20</v>
          </cell>
          <cell r="G1038">
            <v>140.69999999999999</v>
          </cell>
        </row>
        <row r="1039">
          <cell r="B1039" t="str">
            <v>A42MH0012H06000</v>
          </cell>
          <cell r="C1039"/>
          <cell r="D1039">
            <v>21.9</v>
          </cell>
          <cell r="E1039">
            <v>177.9</v>
          </cell>
          <cell r="F1039">
            <v>32</v>
          </cell>
          <cell r="G1039">
            <v>140.69999999999999</v>
          </cell>
        </row>
        <row r="1040">
          <cell r="B1040" t="str">
            <v>A42P04008G09004</v>
          </cell>
          <cell r="C1040"/>
          <cell r="D1040">
            <v>21.9</v>
          </cell>
          <cell r="E1040">
            <v>177.9</v>
          </cell>
          <cell r="F1040">
            <v>20</v>
          </cell>
          <cell r="G1040">
            <v>140.69999999999999</v>
          </cell>
        </row>
        <row r="1041">
          <cell r="B1041" t="str">
            <v>A42SC4000J10000</v>
          </cell>
          <cell r="C1041"/>
          <cell r="D1041">
            <v>21.9</v>
          </cell>
          <cell r="E1041">
            <v>177.9</v>
          </cell>
          <cell r="F1041">
            <v>20</v>
          </cell>
          <cell r="G1041">
            <v>140.69999999999999</v>
          </cell>
        </row>
        <row r="1042">
          <cell r="B1042" t="str">
            <v>A50P54006G110P0</v>
          </cell>
          <cell r="C1042"/>
          <cell r="D1042">
            <v>21.9</v>
          </cell>
          <cell r="E1042">
            <v>177.9</v>
          </cell>
          <cell r="F1042">
            <v>20</v>
          </cell>
          <cell r="G1042">
            <v>140.69999999999999</v>
          </cell>
        </row>
        <row r="1043">
          <cell r="B1043" t="str">
            <v>A50P04012G09001</v>
          </cell>
          <cell r="C1043"/>
          <cell r="D1043">
            <v>21.9</v>
          </cell>
          <cell r="E1043">
            <v>177.9</v>
          </cell>
          <cell r="F1043">
            <v>20</v>
          </cell>
          <cell r="G1043">
            <v>140.69999999999999</v>
          </cell>
        </row>
        <row r="1044">
          <cell r="B1044" t="str">
            <v>A42JR3502M11000</v>
          </cell>
          <cell r="C1044"/>
          <cell r="D1044">
            <v>21.9</v>
          </cell>
          <cell r="E1044">
            <v>177.9</v>
          </cell>
          <cell r="F1044">
            <v>32</v>
          </cell>
          <cell r="G1044">
            <v>140.69999999999999</v>
          </cell>
        </row>
        <row r="1045">
          <cell r="B1045" t="str">
            <v>A42JL5002J11000</v>
          </cell>
          <cell r="C1045"/>
          <cell r="D1045">
            <v>21.9</v>
          </cell>
          <cell r="E1045">
            <v>177.9</v>
          </cell>
          <cell r="F1045">
            <v>20</v>
          </cell>
          <cell r="G1045">
            <v>140.69999999999999</v>
          </cell>
        </row>
        <row r="1046">
          <cell r="B1046" t="str">
            <v>A50PA0008G11004</v>
          </cell>
          <cell r="C1046"/>
          <cell r="D1046">
            <v>21.9</v>
          </cell>
          <cell r="E1046">
            <v>177.9</v>
          </cell>
          <cell r="F1046">
            <v>32</v>
          </cell>
          <cell r="G1046">
            <v>140.69999999999999</v>
          </cell>
        </row>
        <row r="1047">
          <cell r="B1047" t="str">
            <v>A42IM0002H10000</v>
          </cell>
          <cell r="C1047"/>
          <cell r="D1047">
            <v>60.4</v>
          </cell>
          <cell r="E1047">
            <v>234</v>
          </cell>
          <cell r="F1047"/>
          <cell r="G1047">
            <v>162</v>
          </cell>
        </row>
        <row r="1048">
          <cell r="B1048" t="str">
            <v>A42B13501H10500</v>
          </cell>
          <cell r="C1048"/>
          <cell r="D1048">
            <v>60.4</v>
          </cell>
          <cell r="E1048">
            <v>234</v>
          </cell>
          <cell r="F1048"/>
          <cell r="G1048">
            <v>162</v>
          </cell>
        </row>
        <row r="1049">
          <cell r="B1049" t="str">
            <v>A42B04000H08000</v>
          </cell>
          <cell r="C1049"/>
          <cell r="D1049">
            <v>60.4</v>
          </cell>
          <cell r="E1049">
            <v>234</v>
          </cell>
          <cell r="F1049"/>
          <cell r="G1049">
            <v>162</v>
          </cell>
        </row>
        <row r="1050">
          <cell r="B1050" t="str">
            <v>A42B34001J10004</v>
          </cell>
          <cell r="C1050"/>
          <cell r="D1050">
            <v>60.4</v>
          </cell>
          <cell r="E1050">
            <v>234</v>
          </cell>
          <cell r="F1050"/>
          <cell r="G1050">
            <v>162</v>
          </cell>
        </row>
        <row r="1051">
          <cell r="B1051" t="str">
            <v>MS3552M22-ANG110B</v>
          </cell>
          <cell r="C1051"/>
          <cell r="D1051">
            <v>72.239999999999995</v>
          </cell>
          <cell r="E1051">
            <v>234</v>
          </cell>
          <cell r="F1051"/>
          <cell r="G1051">
            <v>252</v>
          </cell>
        </row>
        <row r="1052">
          <cell r="B1052" t="str">
            <v>MS3552M22-PIG70C</v>
          </cell>
          <cell r="C1052"/>
          <cell r="D1052">
            <v>72.239999999999995</v>
          </cell>
          <cell r="E1052">
            <v>234</v>
          </cell>
          <cell r="F1052"/>
          <cell r="G1052">
            <v>252</v>
          </cell>
        </row>
        <row r="1053">
          <cell r="B1053" t="str">
            <v>A42B34001J10005</v>
          </cell>
          <cell r="C1053"/>
          <cell r="D1053">
            <v>21.9</v>
          </cell>
          <cell r="E1053">
            <v>168.3</v>
          </cell>
          <cell r="F1053"/>
          <cell r="G1053">
            <v>123.8</v>
          </cell>
        </row>
        <row r="1054">
          <cell r="B1054" t="str">
            <v>A42IM0000M10000</v>
          </cell>
          <cell r="C1054"/>
          <cell r="D1054">
            <v>60.4</v>
          </cell>
          <cell r="E1054">
            <v>234</v>
          </cell>
          <cell r="F1054"/>
          <cell r="G1054">
            <v>162</v>
          </cell>
        </row>
        <row r="1055">
          <cell r="B1055" t="str">
            <v>A42IM0002J08000</v>
          </cell>
          <cell r="C1055"/>
          <cell r="D1055">
            <v>60.4</v>
          </cell>
          <cell r="E1055">
            <v>234</v>
          </cell>
          <cell r="F1055"/>
          <cell r="G1055">
            <v>162</v>
          </cell>
        </row>
        <row r="1056">
          <cell r="B1056" t="str">
            <v>W20335000A</v>
          </cell>
          <cell r="C1056"/>
          <cell r="D1056">
            <v>55</v>
          </cell>
          <cell r="E1056">
            <v>238.96</v>
          </cell>
          <cell r="F1056"/>
          <cell r="G1056">
            <v>220.8</v>
          </cell>
        </row>
        <row r="1057">
          <cell r="B1057" t="str">
            <v>A60JL3500H1000G</v>
          </cell>
          <cell r="C1057"/>
          <cell r="D1057">
            <v>60.4</v>
          </cell>
          <cell r="E1057">
            <v>234</v>
          </cell>
          <cell r="F1057"/>
          <cell r="G1057">
            <v>162</v>
          </cell>
        </row>
        <row r="1058">
          <cell r="B1058" t="str">
            <v>A42AL1502J10000</v>
          </cell>
          <cell r="C1058"/>
          <cell r="D1058">
            <v>60.4</v>
          </cell>
          <cell r="E1058">
            <v>234</v>
          </cell>
          <cell r="F1058"/>
          <cell r="G1058">
            <v>162</v>
          </cell>
        </row>
        <row r="1059">
          <cell r="B1059" t="str">
            <v>A52FC0000M10800</v>
          </cell>
          <cell r="C1059"/>
          <cell r="D1059">
            <v>60.4</v>
          </cell>
          <cell r="E1059">
            <v>234</v>
          </cell>
          <cell r="F1059"/>
          <cell r="G1059">
            <v>162</v>
          </cell>
        </row>
        <row r="1060">
          <cell r="B1060" t="str">
            <v>A52B04002J10004</v>
          </cell>
          <cell r="C1060"/>
          <cell r="D1060">
            <v>60.4</v>
          </cell>
          <cell r="E1060">
            <v>234</v>
          </cell>
          <cell r="F1060"/>
          <cell r="G1060">
            <v>162</v>
          </cell>
        </row>
        <row r="1061">
          <cell r="B1061" t="str">
            <v>A42FC3000J13000</v>
          </cell>
          <cell r="C1061"/>
          <cell r="D1061">
            <v>60.4</v>
          </cell>
          <cell r="E1061">
            <v>302</v>
          </cell>
          <cell r="F1061"/>
          <cell r="G1061">
            <v>174</v>
          </cell>
        </row>
        <row r="1062">
          <cell r="B1062" t="str">
            <v>A52PL0002J10004</v>
          </cell>
          <cell r="C1062"/>
          <cell r="D1062">
            <v>60.4</v>
          </cell>
          <cell r="E1062">
            <v>234</v>
          </cell>
          <cell r="F1062"/>
          <cell r="G1062">
            <v>162</v>
          </cell>
        </row>
        <row r="1063">
          <cell r="B1063" t="str">
            <v>A60P04012G11000</v>
          </cell>
          <cell r="C1063"/>
          <cell r="D1063">
            <v>60.4</v>
          </cell>
          <cell r="E1063">
            <v>234</v>
          </cell>
          <cell r="F1063"/>
          <cell r="G1063">
            <v>162</v>
          </cell>
        </row>
        <row r="1064">
          <cell r="B1064" t="str">
            <v>A42P54006G120P0</v>
          </cell>
          <cell r="C1064"/>
          <cell r="D1064">
            <v>60.4</v>
          </cell>
          <cell r="E1064">
            <v>234</v>
          </cell>
          <cell r="F1064"/>
          <cell r="G1064">
            <v>174</v>
          </cell>
        </row>
        <row r="1065">
          <cell r="B1065" t="str">
            <v>A42JR4002J11000</v>
          </cell>
          <cell r="C1065"/>
          <cell r="D1065">
            <v>60.4</v>
          </cell>
          <cell r="E1065">
            <v>234</v>
          </cell>
          <cell r="F1065"/>
          <cell r="G1065">
            <v>162</v>
          </cell>
        </row>
        <row r="1066">
          <cell r="B1066" t="str">
            <v>A60JL4000H1000GM</v>
          </cell>
          <cell r="C1066"/>
          <cell r="D1066">
            <v>60.4</v>
          </cell>
          <cell r="E1066">
            <v>234</v>
          </cell>
          <cell r="F1066"/>
          <cell r="G1066">
            <v>162</v>
          </cell>
        </row>
        <row r="1067">
          <cell r="B1067" t="str">
            <v>A42PA0012G110P2</v>
          </cell>
          <cell r="C1067"/>
          <cell r="D1067">
            <v>60.4</v>
          </cell>
          <cell r="E1067">
            <v>234</v>
          </cell>
          <cell r="F1067"/>
          <cell r="G1067">
            <v>162</v>
          </cell>
        </row>
        <row r="1068">
          <cell r="B1068" t="str">
            <v>A52FC0000L13000</v>
          </cell>
          <cell r="C1068"/>
          <cell r="D1068">
            <v>60.4</v>
          </cell>
          <cell r="E1068">
            <v>302</v>
          </cell>
          <cell r="F1068"/>
          <cell r="G1068">
            <v>174</v>
          </cell>
        </row>
        <row r="1069">
          <cell r="B1069" t="str">
            <v>C6U235F0002</v>
          </cell>
          <cell r="C1069"/>
          <cell r="D1069">
            <v>72.239999999999995</v>
          </cell>
          <cell r="E1069">
            <v>234</v>
          </cell>
          <cell r="F1069"/>
          <cell r="G1069">
            <v>192</v>
          </cell>
        </row>
        <row r="1070">
          <cell r="B1070" t="str">
            <v>A42LT0000J11004</v>
          </cell>
          <cell r="C1070"/>
          <cell r="D1070">
            <v>60.4</v>
          </cell>
          <cell r="E1070">
            <v>234</v>
          </cell>
          <cell r="F1070"/>
          <cell r="G1070">
            <v>162</v>
          </cell>
        </row>
        <row r="1071">
          <cell r="B1071" t="str">
            <v>A42SO3500H08000</v>
          </cell>
          <cell r="C1071"/>
          <cell r="D1071">
            <v>72</v>
          </cell>
          <cell r="E1071">
            <v>234</v>
          </cell>
          <cell r="F1071"/>
          <cell r="G1071">
            <v>252</v>
          </cell>
        </row>
        <row r="1072">
          <cell r="B1072" t="str">
            <v>A52SO3502J10000</v>
          </cell>
          <cell r="C1072"/>
          <cell r="D1072">
            <v>72.239999999999995</v>
          </cell>
          <cell r="E1072">
            <v>234</v>
          </cell>
          <cell r="F1072"/>
          <cell r="G1072">
            <v>252</v>
          </cell>
        </row>
        <row r="1073">
          <cell r="B1073" t="str">
            <v>A42JL3702J11004</v>
          </cell>
          <cell r="C1073"/>
          <cell r="D1073">
            <v>60.4</v>
          </cell>
          <cell r="E1073">
            <v>234</v>
          </cell>
          <cell r="F1073"/>
          <cell r="G1073">
            <v>162</v>
          </cell>
        </row>
        <row r="1074">
          <cell r="B1074" t="str">
            <v>A42AL0202J10000</v>
          </cell>
          <cell r="C1074"/>
          <cell r="D1074">
            <v>60.4</v>
          </cell>
          <cell r="E1074">
            <v>234</v>
          </cell>
          <cell r="F1074"/>
          <cell r="G1074">
            <v>162</v>
          </cell>
        </row>
        <row r="1075">
          <cell r="B1075" t="str">
            <v>C6U378F1012-PE</v>
          </cell>
          <cell r="C1075"/>
          <cell r="D1075">
            <v>72.239999999999995</v>
          </cell>
          <cell r="E1075">
            <v>234</v>
          </cell>
          <cell r="F1075"/>
          <cell r="G1075">
            <v>192</v>
          </cell>
        </row>
        <row r="1076">
          <cell r="B1076" t="str">
            <v>A42SO3502H13000</v>
          </cell>
          <cell r="C1076"/>
          <cell r="D1076">
            <v>72</v>
          </cell>
          <cell r="E1076">
            <v>302</v>
          </cell>
          <cell r="F1076"/>
          <cell r="G1076">
            <v>264</v>
          </cell>
        </row>
        <row r="1077">
          <cell r="B1077" t="str">
            <v>A42SO3002H13000</v>
          </cell>
          <cell r="C1077"/>
          <cell r="D1077">
            <v>72</v>
          </cell>
          <cell r="E1077">
            <v>302</v>
          </cell>
          <cell r="F1077"/>
          <cell r="G1077">
            <v>264</v>
          </cell>
        </row>
        <row r="1078">
          <cell r="B1078" t="str">
            <v>A42P64008G11001</v>
          </cell>
          <cell r="C1078"/>
          <cell r="D1078">
            <v>60.4</v>
          </cell>
          <cell r="E1078">
            <v>234</v>
          </cell>
          <cell r="F1078"/>
          <cell r="G1078">
            <v>162</v>
          </cell>
        </row>
        <row r="1079">
          <cell r="B1079" t="str">
            <v>C5N325C2010-PB</v>
          </cell>
          <cell r="C1079"/>
          <cell r="D1079">
            <v>72.239999999999995</v>
          </cell>
          <cell r="E1079">
            <v>234</v>
          </cell>
          <cell r="F1079"/>
          <cell r="G1079">
            <v>204</v>
          </cell>
        </row>
        <row r="1080">
          <cell r="B1080" t="str">
            <v>C4J240A0002-2</v>
          </cell>
          <cell r="C1080"/>
          <cell r="D1080">
            <v>72.239999999999995</v>
          </cell>
          <cell r="E1080">
            <v>234</v>
          </cell>
          <cell r="F1080"/>
          <cell r="G1080">
            <v>192</v>
          </cell>
        </row>
        <row r="1081">
          <cell r="B1081" t="str">
            <v>A60JR4000H10002M</v>
          </cell>
          <cell r="C1081"/>
          <cell r="D1081">
            <v>60.4</v>
          </cell>
          <cell r="E1081">
            <v>234</v>
          </cell>
          <cell r="F1081"/>
          <cell r="G1081">
            <v>162</v>
          </cell>
        </row>
        <row r="1082">
          <cell r="B1082" t="str">
            <v>A50P04006G06500</v>
          </cell>
          <cell r="C1082"/>
          <cell r="D1082">
            <v>60.4</v>
          </cell>
          <cell r="E1082">
            <v>234</v>
          </cell>
          <cell r="F1082"/>
          <cell r="G1082">
            <v>162</v>
          </cell>
        </row>
        <row r="1083">
          <cell r="B1083" t="str">
            <v>A42JR4000M13004</v>
          </cell>
          <cell r="C1083"/>
          <cell r="D1083">
            <v>60.4</v>
          </cell>
          <cell r="E1083">
            <v>302</v>
          </cell>
          <cell r="F1083"/>
          <cell r="G1083">
            <v>174</v>
          </cell>
        </row>
        <row r="1084">
          <cell r="B1084" t="str">
            <v>A52FC0000M10000</v>
          </cell>
          <cell r="C1084"/>
          <cell r="D1084">
            <v>60.4</v>
          </cell>
          <cell r="E1084">
            <v>234</v>
          </cell>
          <cell r="F1084"/>
          <cell r="G1084">
            <v>162</v>
          </cell>
        </row>
        <row r="1085">
          <cell r="B1085" t="str">
            <v>A52JB0300J13000</v>
          </cell>
          <cell r="C1085"/>
          <cell r="D1085">
            <v>60.4</v>
          </cell>
          <cell r="E1085">
            <v>302</v>
          </cell>
          <cell r="F1085"/>
          <cell r="G1085">
            <v>174</v>
          </cell>
        </row>
        <row r="1086">
          <cell r="B1086" t="str">
            <v>A42JR4500J10000</v>
          </cell>
          <cell r="C1086"/>
          <cell r="D1086">
            <v>60.4</v>
          </cell>
          <cell r="E1086">
            <v>234</v>
          </cell>
          <cell r="F1086"/>
          <cell r="G1086">
            <v>162</v>
          </cell>
        </row>
        <row r="1087">
          <cell r="B1087" t="str">
            <v>A42JL3500H10001</v>
          </cell>
          <cell r="C1087"/>
          <cell r="D1087">
            <v>60.4</v>
          </cell>
          <cell r="E1087">
            <v>234</v>
          </cell>
          <cell r="F1087"/>
          <cell r="G1087">
            <v>162</v>
          </cell>
        </row>
        <row r="1088">
          <cell r="B1088" t="str">
            <v>A52JR4502J10000</v>
          </cell>
          <cell r="C1088"/>
          <cell r="D1088">
            <v>60.4</v>
          </cell>
          <cell r="E1088">
            <v>234</v>
          </cell>
          <cell r="F1088"/>
          <cell r="G1088">
            <v>162</v>
          </cell>
        </row>
        <row r="1089">
          <cell r="B1089" t="str">
            <v>A52SH0000H08004</v>
          </cell>
          <cell r="C1089"/>
          <cell r="D1089">
            <v>60.4</v>
          </cell>
          <cell r="E1089">
            <v>234</v>
          </cell>
          <cell r="F1089"/>
          <cell r="G1089">
            <v>162</v>
          </cell>
        </row>
        <row r="1090">
          <cell r="B1090" t="str">
            <v>A60IM0000J10000</v>
          </cell>
          <cell r="C1090"/>
          <cell r="D1090">
            <v>60.4</v>
          </cell>
          <cell r="E1090">
            <v>234</v>
          </cell>
          <cell r="F1090"/>
          <cell r="G1090">
            <v>162</v>
          </cell>
        </row>
        <row r="1091">
          <cell r="B1091" t="str">
            <v>W20225000A</v>
          </cell>
          <cell r="C1091"/>
          <cell r="D1091">
            <v>55</v>
          </cell>
          <cell r="E1091">
            <v>234</v>
          </cell>
          <cell r="F1091"/>
          <cell r="G1091">
            <v>220.8</v>
          </cell>
        </row>
        <row r="1092">
          <cell r="B1092" t="str">
            <v>A42JL1000H10004</v>
          </cell>
          <cell r="C1092"/>
          <cell r="D1092">
            <v>60.4</v>
          </cell>
          <cell r="E1092">
            <v>234</v>
          </cell>
          <cell r="F1092"/>
          <cell r="G1092">
            <v>162</v>
          </cell>
        </row>
        <row r="1093">
          <cell r="B1093" t="str">
            <v>A52AL0202H10000</v>
          </cell>
          <cell r="C1093"/>
          <cell r="D1093">
            <v>60.4</v>
          </cell>
          <cell r="E1093">
            <v>234</v>
          </cell>
          <cell r="F1093"/>
          <cell r="G1093">
            <v>162</v>
          </cell>
        </row>
        <row r="1094">
          <cell r="B1094" t="str">
            <v>A42B34002J11004</v>
          </cell>
          <cell r="C1094"/>
          <cell r="D1094">
            <v>60.4</v>
          </cell>
          <cell r="E1094">
            <v>234</v>
          </cell>
          <cell r="F1094"/>
          <cell r="G1094">
            <v>162</v>
          </cell>
        </row>
        <row r="1095">
          <cell r="B1095" t="str">
            <v>A42FC0000M10800</v>
          </cell>
          <cell r="C1095"/>
          <cell r="D1095">
            <v>60.4</v>
          </cell>
          <cell r="E1095">
            <v>234</v>
          </cell>
          <cell r="F1095"/>
          <cell r="G1095">
            <v>162</v>
          </cell>
        </row>
        <row r="1096">
          <cell r="B1096" t="str">
            <v>A50P04006G08000</v>
          </cell>
          <cell r="C1096"/>
          <cell r="D1096">
            <v>60.4</v>
          </cell>
          <cell r="E1096">
            <v>234</v>
          </cell>
          <cell r="F1096"/>
          <cell r="G1096">
            <v>162</v>
          </cell>
        </row>
        <row r="1097">
          <cell r="B1097" t="str">
            <v>A52B23502L10000</v>
          </cell>
          <cell r="C1097"/>
          <cell r="D1097">
            <v>60.4</v>
          </cell>
          <cell r="E1097">
            <v>234</v>
          </cell>
          <cell r="F1097"/>
          <cell r="G1097">
            <v>162</v>
          </cell>
        </row>
        <row r="1098">
          <cell r="B1098" t="str">
            <v>A52B24002H10000</v>
          </cell>
          <cell r="C1098"/>
          <cell r="D1098">
            <v>60.4</v>
          </cell>
          <cell r="E1098">
            <v>234</v>
          </cell>
          <cell r="F1098"/>
          <cell r="G1098">
            <v>162</v>
          </cell>
        </row>
        <row r="1099">
          <cell r="B1099" t="str">
            <v>A52JR5000L10000</v>
          </cell>
          <cell r="C1099"/>
          <cell r="D1099">
            <v>60.4</v>
          </cell>
          <cell r="E1099">
            <v>234</v>
          </cell>
          <cell r="F1099"/>
          <cell r="G1099">
            <v>162</v>
          </cell>
        </row>
        <row r="1100">
          <cell r="B1100" t="str">
            <v>A42IM0002J08004</v>
          </cell>
          <cell r="C1100"/>
          <cell r="D1100">
            <v>60.4</v>
          </cell>
          <cell r="E1100">
            <v>234</v>
          </cell>
          <cell r="F1100"/>
          <cell r="G1100">
            <v>162</v>
          </cell>
        </row>
        <row r="1101">
          <cell r="B1101" t="str">
            <v>A52JR5002J10000</v>
          </cell>
          <cell r="C1101"/>
          <cell r="D1101">
            <v>60.4</v>
          </cell>
          <cell r="E1101">
            <v>234</v>
          </cell>
          <cell r="F1101"/>
          <cell r="G1101">
            <v>162</v>
          </cell>
        </row>
        <row r="1102">
          <cell r="B1102" t="str">
            <v>W05245010A</v>
          </cell>
          <cell r="C1102"/>
          <cell r="D1102">
            <v>55</v>
          </cell>
          <cell r="E1102">
            <v>234</v>
          </cell>
          <cell r="F1102"/>
          <cell r="G1102">
            <v>220.8</v>
          </cell>
        </row>
        <row r="1103">
          <cell r="B1103" t="str">
            <v>A42SO3001J10000</v>
          </cell>
          <cell r="C1103"/>
          <cell r="D1103">
            <v>72</v>
          </cell>
          <cell r="E1103">
            <v>234</v>
          </cell>
          <cell r="F1103"/>
          <cell r="G1103">
            <v>252</v>
          </cell>
        </row>
        <row r="1104">
          <cell r="B1104" t="str">
            <v>W20515000A</v>
          </cell>
          <cell r="C1104"/>
          <cell r="D1104">
            <v>55</v>
          </cell>
          <cell r="E1104">
            <v>238.96</v>
          </cell>
          <cell r="F1104"/>
          <cell r="G1104">
            <v>220.8</v>
          </cell>
        </row>
        <row r="1105">
          <cell r="B1105" t="str">
            <v>W24135010S</v>
          </cell>
          <cell r="C1105"/>
          <cell r="D1105">
            <v>55</v>
          </cell>
          <cell r="E1105">
            <v>238.96</v>
          </cell>
          <cell r="F1105"/>
          <cell r="G1105">
            <v>220.8</v>
          </cell>
        </row>
        <row r="1106">
          <cell r="B1106" t="str">
            <v>A60JL4000H10000</v>
          </cell>
          <cell r="C1106"/>
          <cell r="D1106">
            <v>60.4</v>
          </cell>
          <cell r="E1106">
            <v>234</v>
          </cell>
          <cell r="F1106"/>
          <cell r="G1106">
            <v>162</v>
          </cell>
        </row>
        <row r="1107">
          <cell r="B1107" t="str">
            <v>A52IM0002H10000</v>
          </cell>
          <cell r="C1107"/>
          <cell r="D1107">
            <v>60.4</v>
          </cell>
          <cell r="E1107">
            <v>234</v>
          </cell>
          <cell r="F1107"/>
          <cell r="G1107">
            <v>162</v>
          </cell>
        </row>
        <row r="1108">
          <cell r="B1108" t="str">
            <v>A52FC0000M06500</v>
          </cell>
          <cell r="C1108"/>
          <cell r="D1108">
            <v>60.4</v>
          </cell>
          <cell r="E1108">
            <v>234</v>
          </cell>
          <cell r="F1108"/>
          <cell r="G1108">
            <v>162</v>
          </cell>
        </row>
        <row r="1109">
          <cell r="B1109" t="str">
            <v>A52B23002H10000</v>
          </cell>
          <cell r="C1109"/>
          <cell r="D1109">
            <v>60.4</v>
          </cell>
          <cell r="E1109">
            <v>234</v>
          </cell>
          <cell r="F1109"/>
          <cell r="G1109">
            <v>162</v>
          </cell>
        </row>
        <row r="1110">
          <cell r="B1110" t="str">
            <v>A52B23502H08000</v>
          </cell>
          <cell r="C1110"/>
          <cell r="D1110">
            <v>60.4</v>
          </cell>
          <cell r="E1110">
            <v>234</v>
          </cell>
          <cell r="F1110"/>
          <cell r="G1110">
            <v>162</v>
          </cell>
        </row>
        <row r="1111">
          <cell r="B1111" t="str">
            <v>A52AL1502H10000</v>
          </cell>
          <cell r="C1111"/>
          <cell r="D1111">
            <v>60.4</v>
          </cell>
          <cell r="E1111">
            <v>234</v>
          </cell>
          <cell r="F1111"/>
          <cell r="G1111">
            <v>162</v>
          </cell>
        </row>
        <row r="1112">
          <cell r="B1112" t="str">
            <v>A50PA0012G11004</v>
          </cell>
          <cell r="C1112"/>
          <cell r="D1112">
            <v>60.4</v>
          </cell>
          <cell r="E1112">
            <v>234</v>
          </cell>
          <cell r="F1112"/>
          <cell r="G1112">
            <v>162</v>
          </cell>
        </row>
        <row r="1113">
          <cell r="B1113" t="str">
            <v>A52AL0100L10000</v>
          </cell>
          <cell r="C1113"/>
          <cell r="D1113">
            <v>60.4</v>
          </cell>
          <cell r="E1113">
            <v>234</v>
          </cell>
          <cell r="F1113"/>
          <cell r="G1113">
            <v>162</v>
          </cell>
        </row>
        <row r="1114">
          <cell r="B1114" t="str">
            <v>A52AL0102H10000</v>
          </cell>
          <cell r="C1114"/>
          <cell r="D1114">
            <v>60.4</v>
          </cell>
          <cell r="E1114">
            <v>234</v>
          </cell>
          <cell r="F1114"/>
          <cell r="G1114">
            <v>162</v>
          </cell>
        </row>
        <row r="1115">
          <cell r="B1115" t="str">
            <v>A52B03502J10000</v>
          </cell>
          <cell r="C1115"/>
          <cell r="D1115">
            <v>60.4</v>
          </cell>
          <cell r="E1115">
            <v>234</v>
          </cell>
          <cell r="F1115"/>
          <cell r="G1115">
            <v>162</v>
          </cell>
        </row>
        <row r="1116">
          <cell r="B1116" t="str">
            <v>A42JR3702J10004</v>
          </cell>
          <cell r="C1116"/>
          <cell r="D1116">
            <v>60.4</v>
          </cell>
          <cell r="E1116">
            <v>234</v>
          </cell>
          <cell r="F1116"/>
          <cell r="G1116">
            <v>162</v>
          </cell>
        </row>
        <row r="1117">
          <cell r="B1117" t="str">
            <v>W22135000B</v>
          </cell>
          <cell r="C1117"/>
          <cell r="D1117">
            <v>55</v>
          </cell>
          <cell r="E1117">
            <v>238.96</v>
          </cell>
          <cell r="F1117"/>
          <cell r="G1117">
            <v>220.8</v>
          </cell>
        </row>
        <row r="1118">
          <cell r="B1118" t="str">
            <v>W22135080B</v>
          </cell>
          <cell r="C1118"/>
          <cell r="D1118">
            <v>55</v>
          </cell>
          <cell r="E1118">
            <v>238.96</v>
          </cell>
          <cell r="F1118"/>
          <cell r="G1118">
            <v>220.8</v>
          </cell>
        </row>
        <row r="1119">
          <cell r="B1119" t="str">
            <v>W23525000A</v>
          </cell>
          <cell r="C1119"/>
          <cell r="D1119">
            <v>55</v>
          </cell>
          <cell r="E1119">
            <v>238.96</v>
          </cell>
          <cell r="F1119"/>
          <cell r="G1119">
            <v>220.8</v>
          </cell>
        </row>
        <row r="1120">
          <cell r="B1120" t="str">
            <v>W23935000B</v>
          </cell>
          <cell r="C1120"/>
          <cell r="D1120">
            <v>55</v>
          </cell>
          <cell r="E1120">
            <v>238.96</v>
          </cell>
          <cell r="F1120"/>
          <cell r="G1120">
            <v>220.8</v>
          </cell>
        </row>
        <row r="1121">
          <cell r="B1121" t="str">
            <v>W20415000A</v>
          </cell>
          <cell r="C1121"/>
          <cell r="D1121">
            <v>55</v>
          </cell>
          <cell r="E1121">
            <v>234</v>
          </cell>
          <cell r="F1121"/>
          <cell r="G1121">
            <v>220.8</v>
          </cell>
        </row>
        <row r="1122">
          <cell r="B1122" t="str">
            <v>A42JL3500J10000</v>
          </cell>
          <cell r="C1122"/>
          <cell r="D1122">
            <v>60.4</v>
          </cell>
          <cell r="E1122">
            <v>234</v>
          </cell>
          <cell r="F1122"/>
          <cell r="G1122">
            <v>162</v>
          </cell>
        </row>
        <row r="1123">
          <cell r="B1123" t="str">
            <v>A52JL3000J10000</v>
          </cell>
          <cell r="C1123"/>
          <cell r="D1123">
            <v>60.4</v>
          </cell>
          <cell r="E1123">
            <v>234</v>
          </cell>
          <cell r="F1123"/>
          <cell r="G1123">
            <v>162</v>
          </cell>
        </row>
        <row r="1124">
          <cell r="B1124" t="str">
            <v>A52AL0100J10004</v>
          </cell>
          <cell r="C1124"/>
          <cell r="D1124">
            <v>60.4</v>
          </cell>
          <cell r="E1124">
            <v>234</v>
          </cell>
          <cell r="F1124"/>
          <cell r="G1124">
            <v>162</v>
          </cell>
        </row>
        <row r="1125">
          <cell r="B1125" t="str">
            <v>A52XO0002H06500</v>
          </cell>
          <cell r="C1125"/>
          <cell r="D1125">
            <v>60.4</v>
          </cell>
          <cell r="E1125">
            <v>234</v>
          </cell>
          <cell r="F1125"/>
          <cell r="G1125">
            <v>162</v>
          </cell>
        </row>
        <row r="1126">
          <cell r="B1126" t="str">
            <v>A42JL4500M10001</v>
          </cell>
          <cell r="C1126"/>
          <cell r="D1126">
            <v>60.4</v>
          </cell>
          <cell r="E1126">
            <v>234</v>
          </cell>
          <cell r="F1126"/>
          <cell r="G1126">
            <v>162</v>
          </cell>
        </row>
        <row r="1127">
          <cell r="B1127" t="str">
            <v>A42JL5000M10004</v>
          </cell>
          <cell r="C1127"/>
          <cell r="D1127">
            <v>60.4</v>
          </cell>
          <cell r="E1127">
            <v>234</v>
          </cell>
          <cell r="F1127"/>
          <cell r="G1127">
            <v>162</v>
          </cell>
        </row>
        <row r="1128">
          <cell r="B1128" t="str">
            <v>A42JR4500M10004</v>
          </cell>
          <cell r="C1128"/>
          <cell r="D1128">
            <v>60.4</v>
          </cell>
          <cell r="E1128">
            <v>234</v>
          </cell>
          <cell r="F1128"/>
          <cell r="G1128">
            <v>162</v>
          </cell>
        </row>
        <row r="1129">
          <cell r="B1129" t="str">
            <v>A42NH3006J08000</v>
          </cell>
          <cell r="C1129"/>
          <cell r="D1129">
            <v>60.4</v>
          </cell>
          <cell r="E1129">
            <v>234</v>
          </cell>
          <cell r="F1129"/>
          <cell r="G1129">
            <v>162</v>
          </cell>
        </row>
        <row r="1130">
          <cell r="B1130" t="str">
            <v>A52JL5002H10000</v>
          </cell>
          <cell r="C1130"/>
          <cell r="D1130">
            <v>60.4</v>
          </cell>
          <cell r="E1130">
            <v>234</v>
          </cell>
          <cell r="F1130"/>
          <cell r="G1130">
            <v>162</v>
          </cell>
        </row>
        <row r="1131">
          <cell r="B1131" t="str">
            <v>A42JR4002H13000</v>
          </cell>
          <cell r="C1131"/>
          <cell r="D1131">
            <v>60.4</v>
          </cell>
          <cell r="E1131">
            <v>302</v>
          </cell>
          <cell r="F1131"/>
          <cell r="G1131">
            <v>174</v>
          </cell>
        </row>
        <row r="1132">
          <cell r="B1132" t="str">
            <v>A52AL0702J10000</v>
          </cell>
          <cell r="C1132"/>
          <cell r="D1132">
            <v>60.4</v>
          </cell>
          <cell r="E1132">
            <v>234</v>
          </cell>
          <cell r="F1132"/>
          <cell r="G1132">
            <v>162</v>
          </cell>
        </row>
        <row r="1133">
          <cell r="B1133" t="str">
            <v>A42JL4500H10000</v>
          </cell>
          <cell r="C1133"/>
          <cell r="D1133">
            <v>60.4</v>
          </cell>
          <cell r="E1133">
            <v>234</v>
          </cell>
          <cell r="F1133"/>
          <cell r="G1133">
            <v>162</v>
          </cell>
        </row>
        <row r="1134">
          <cell r="B1134" t="str">
            <v>A42JL4000M10004</v>
          </cell>
          <cell r="C1134"/>
          <cell r="D1134">
            <v>60.4</v>
          </cell>
          <cell r="E1134">
            <v>234</v>
          </cell>
          <cell r="F1134"/>
          <cell r="G1134">
            <v>162</v>
          </cell>
        </row>
        <row r="1135">
          <cell r="B1135" t="str">
            <v>A42B13501H08000</v>
          </cell>
          <cell r="C1135"/>
          <cell r="D1135">
            <v>60.4</v>
          </cell>
          <cell r="E1135">
            <v>234</v>
          </cell>
          <cell r="F1135"/>
          <cell r="G1135">
            <v>162</v>
          </cell>
        </row>
        <row r="1136">
          <cell r="B1136" t="str">
            <v>A42JL3702M11004</v>
          </cell>
          <cell r="C1136"/>
          <cell r="D1136">
            <v>60.4</v>
          </cell>
          <cell r="E1136">
            <v>234</v>
          </cell>
          <cell r="F1136"/>
          <cell r="G1136">
            <v>162</v>
          </cell>
        </row>
        <row r="1137">
          <cell r="B1137" t="str">
            <v>A42AR0100M10000</v>
          </cell>
          <cell r="C1137"/>
          <cell r="D1137">
            <v>60.4</v>
          </cell>
          <cell r="E1137">
            <v>234</v>
          </cell>
          <cell r="F1137"/>
          <cell r="G1137">
            <v>162</v>
          </cell>
        </row>
        <row r="1138">
          <cell r="B1138" t="str">
            <v>A60FC0000L11000</v>
          </cell>
          <cell r="C1138"/>
          <cell r="D1138">
            <v>60.4</v>
          </cell>
          <cell r="E1138">
            <v>234</v>
          </cell>
          <cell r="F1138"/>
          <cell r="G1138">
            <v>174</v>
          </cell>
        </row>
        <row r="1139">
          <cell r="B1139" t="str">
            <v>W23925000B</v>
          </cell>
          <cell r="C1139"/>
          <cell r="D1139">
            <v>55</v>
          </cell>
          <cell r="E1139">
            <v>238.96</v>
          </cell>
          <cell r="F1139"/>
          <cell r="G1139">
            <v>220.8</v>
          </cell>
        </row>
        <row r="1140">
          <cell r="B1140" t="str">
            <v>A52PL0000J10004</v>
          </cell>
          <cell r="C1140"/>
          <cell r="D1140">
            <v>60.4</v>
          </cell>
          <cell r="E1140">
            <v>234</v>
          </cell>
          <cell r="F1140"/>
          <cell r="G1140">
            <v>162</v>
          </cell>
        </row>
        <row r="1141">
          <cell r="B1141" t="str">
            <v>A52JR4000J12000</v>
          </cell>
          <cell r="C1141"/>
          <cell r="D1141">
            <v>60.4</v>
          </cell>
          <cell r="E1141">
            <v>302</v>
          </cell>
          <cell r="F1141"/>
          <cell r="G1141">
            <v>174</v>
          </cell>
        </row>
        <row r="1142">
          <cell r="B1142" t="str">
            <v>A52PR0000J10004M</v>
          </cell>
          <cell r="C1142"/>
          <cell r="D1142">
            <v>60.4</v>
          </cell>
          <cell r="E1142">
            <v>234</v>
          </cell>
          <cell r="F1142"/>
          <cell r="G1142">
            <v>162</v>
          </cell>
        </row>
        <row r="1143">
          <cell r="B1143" t="str">
            <v>A50P32004G11000</v>
          </cell>
          <cell r="C1143"/>
          <cell r="D1143">
            <v>60.4</v>
          </cell>
          <cell r="E1143">
            <v>234</v>
          </cell>
          <cell r="F1143"/>
          <cell r="G1143">
            <v>162</v>
          </cell>
        </row>
        <row r="1144">
          <cell r="B1144" t="str">
            <v>A42JL3500M10001</v>
          </cell>
          <cell r="C1144"/>
          <cell r="D1144">
            <v>60.4</v>
          </cell>
          <cell r="E1144">
            <v>234</v>
          </cell>
          <cell r="F1144"/>
          <cell r="G1144">
            <v>162</v>
          </cell>
        </row>
        <row r="1145">
          <cell r="B1145" t="str">
            <v>A60JR4002H10000</v>
          </cell>
          <cell r="C1145"/>
          <cell r="D1145">
            <v>60.4</v>
          </cell>
          <cell r="E1145">
            <v>234</v>
          </cell>
          <cell r="F1145"/>
          <cell r="G1145">
            <v>162</v>
          </cell>
        </row>
        <row r="1146">
          <cell r="B1146" t="str">
            <v>A60JL4002H10000</v>
          </cell>
          <cell r="C1146"/>
          <cell r="D1146">
            <v>60.4</v>
          </cell>
          <cell r="E1146">
            <v>234</v>
          </cell>
          <cell r="F1146"/>
          <cell r="G1146">
            <v>162</v>
          </cell>
        </row>
        <row r="1147">
          <cell r="B1147" t="str">
            <v>A42LT0000M11005</v>
          </cell>
          <cell r="C1147"/>
          <cell r="D1147">
            <v>60.4</v>
          </cell>
          <cell r="E1147">
            <v>234</v>
          </cell>
          <cell r="F1147"/>
          <cell r="G1147">
            <v>162</v>
          </cell>
        </row>
        <row r="1148">
          <cell r="B1148" t="str">
            <v>W20314200A</v>
          </cell>
          <cell r="C1148"/>
          <cell r="D1148">
            <v>55</v>
          </cell>
          <cell r="E1148">
            <v>234</v>
          </cell>
          <cell r="F1148"/>
          <cell r="G1148">
            <v>220.8</v>
          </cell>
        </row>
        <row r="1149">
          <cell r="B1149" t="str">
            <v>W20324200A</v>
          </cell>
          <cell r="C1149"/>
          <cell r="D1149">
            <v>55</v>
          </cell>
          <cell r="E1149">
            <v>234</v>
          </cell>
          <cell r="F1149"/>
          <cell r="G1149">
            <v>220.8</v>
          </cell>
        </row>
        <row r="1150">
          <cell r="B1150" t="str">
            <v>A42B23501H08000</v>
          </cell>
          <cell r="C1150"/>
          <cell r="D1150">
            <v>60.4</v>
          </cell>
          <cell r="E1150">
            <v>234</v>
          </cell>
          <cell r="F1150"/>
          <cell r="G1150">
            <v>162</v>
          </cell>
        </row>
        <row r="1151">
          <cell r="B1151" t="str">
            <v>A50P57012G11000</v>
          </cell>
          <cell r="C1151"/>
          <cell r="D1151">
            <v>60.4</v>
          </cell>
          <cell r="E1151">
            <v>234</v>
          </cell>
          <cell r="F1151"/>
          <cell r="G1151">
            <v>162</v>
          </cell>
        </row>
        <row r="1152">
          <cell r="B1152" t="str">
            <v>A42B23001H08000</v>
          </cell>
          <cell r="C1152"/>
          <cell r="D1152">
            <v>60.4</v>
          </cell>
          <cell r="E1152">
            <v>234</v>
          </cell>
          <cell r="F1152"/>
          <cell r="G1152">
            <v>162</v>
          </cell>
        </row>
        <row r="1153">
          <cell r="B1153" t="str">
            <v>A42B03502H08000</v>
          </cell>
          <cell r="C1153"/>
          <cell r="D1153">
            <v>60.4</v>
          </cell>
          <cell r="E1153">
            <v>234</v>
          </cell>
          <cell r="F1153"/>
          <cell r="G1153">
            <v>162</v>
          </cell>
        </row>
        <row r="1154">
          <cell r="B1154" t="str">
            <v>A42JL4002H10001</v>
          </cell>
          <cell r="C1154"/>
          <cell r="D1154">
            <v>60.4</v>
          </cell>
          <cell r="E1154">
            <v>234</v>
          </cell>
          <cell r="F1154"/>
          <cell r="G1154">
            <v>162</v>
          </cell>
        </row>
        <row r="1155">
          <cell r="B1155" t="str">
            <v>A52JL4000L10001</v>
          </cell>
          <cell r="C1155"/>
          <cell r="D1155">
            <v>60.4</v>
          </cell>
          <cell r="E1155">
            <v>234</v>
          </cell>
          <cell r="F1155"/>
          <cell r="G1155">
            <v>162</v>
          </cell>
        </row>
        <row r="1156">
          <cell r="B1156" t="str">
            <v>A42JL4000J10000</v>
          </cell>
          <cell r="C1156"/>
          <cell r="D1156">
            <v>60.4</v>
          </cell>
          <cell r="E1156">
            <v>234</v>
          </cell>
          <cell r="F1156"/>
          <cell r="G1156">
            <v>162</v>
          </cell>
        </row>
        <row r="1157">
          <cell r="B1157" t="str">
            <v>A60JL3502H10000</v>
          </cell>
          <cell r="C1157"/>
          <cell r="D1157">
            <v>60.4</v>
          </cell>
          <cell r="E1157">
            <v>234</v>
          </cell>
          <cell r="F1157"/>
          <cell r="G1157">
            <v>162</v>
          </cell>
        </row>
        <row r="1158">
          <cell r="B1158" t="str">
            <v>A42FC4501J10000</v>
          </cell>
          <cell r="C1158"/>
          <cell r="D1158">
            <v>60.4</v>
          </cell>
          <cell r="E1158">
            <v>234</v>
          </cell>
          <cell r="F1158"/>
          <cell r="G1158">
            <v>162</v>
          </cell>
        </row>
        <row r="1159">
          <cell r="B1159" t="str">
            <v>A52B23500H10000</v>
          </cell>
          <cell r="C1159"/>
          <cell r="D1159">
            <v>60.4</v>
          </cell>
          <cell r="E1159">
            <v>234</v>
          </cell>
          <cell r="F1159"/>
          <cell r="G1159">
            <v>162</v>
          </cell>
        </row>
        <row r="1160">
          <cell r="B1160" t="str">
            <v>A52AL0102M10004</v>
          </cell>
          <cell r="C1160"/>
          <cell r="D1160">
            <v>60.4</v>
          </cell>
          <cell r="E1160">
            <v>234</v>
          </cell>
          <cell r="F1160"/>
          <cell r="G1160">
            <v>162</v>
          </cell>
        </row>
        <row r="1161">
          <cell r="B1161" t="str">
            <v>A52B34001H10001</v>
          </cell>
          <cell r="C1161"/>
          <cell r="D1161">
            <v>60.4</v>
          </cell>
          <cell r="E1161">
            <v>234</v>
          </cell>
          <cell r="F1161"/>
          <cell r="G1161">
            <v>162</v>
          </cell>
        </row>
        <row r="1162">
          <cell r="B1162" t="str">
            <v>A52SO3502J12000</v>
          </cell>
          <cell r="C1162"/>
          <cell r="D1162">
            <v>72.239999999999995</v>
          </cell>
          <cell r="E1162">
            <v>302</v>
          </cell>
          <cell r="F1162"/>
          <cell r="G1162">
            <v>264</v>
          </cell>
        </row>
        <row r="1163">
          <cell r="B1163" t="str">
            <v>A52SO3502J13000</v>
          </cell>
          <cell r="C1163"/>
          <cell r="D1163">
            <v>72.239999999999995</v>
          </cell>
          <cell r="E1163">
            <v>302</v>
          </cell>
          <cell r="F1163"/>
          <cell r="G1163">
            <v>264</v>
          </cell>
        </row>
        <row r="1164">
          <cell r="B1164" t="str">
            <v>A42B04002H08000</v>
          </cell>
          <cell r="C1164"/>
          <cell r="D1164">
            <v>60.4</v>
          </cell>
          <cell r="E1164">
            <v>234</v>
          </cell>
          <cell r="F1164"/>
          <cell r="G1164">
            <v>162</v>
          </cell>
        </row>
        <row r="1165">
          <cell r="B1165" t="str">
            <v>A42JR3700J11000</v>
          </cell>
          <cell r="C1165"/>
          <cell r="D1165">
            <v>60.4</v>
          </cell>
          <cell r="E1165">
            <v>234</v>
          </cell>
          <cell r="F1165"/>
          <cell r="G1165">
            <v>162</v>
          </cell>
        </row>
        <row r="1166">
          <cell r="B1166" t="str">
            <v>A42P54012G12000</v>
          </cell>
          <cell r="C1166"/>
          <cell r="D1166">
            <v>60.4</v>
          </cell>
          <cell r="E1166">
            <v>302</v>
          </cell>
          <cell r="F1166"/>
          <cell r="G1166">
            <v>174</v>
          </cell>
        </row>
        <row r="1167">
          <cell r="B1167" t="str">
            <v>A52PL0000J10004M</v>
          </cell>
          <cell r="C1167"/>
          <cell r="D1167">
            <v>60.4</v>
          </cell>
          <cell r="E1167">
            <v>234</v>
          </cell>
          <cell r="F1167"/>
          <cell r="G1167">
            <v>162</v>
          </cell>
        </row>
        <row r="1168">
          <cell r="B1168" t="str">
            <v>A60AL0200J10000</v>
          </cell>
          <cell r="C1168"/>
          <cell r="D1168">
            <v>60.4</v>
          </cell>
          <cell r="E1168">
            <v>234</v>
          </cell>
          <cell r="F1168"/>
          <cell r="G1168">
            <v>162</v>
          </cell>
        </row>
        <row r="1169">
          <cell r="B1169" t="str">
            <v>A60JR4002J08000</v>
          </cell>
          <cell r="C1169"/>
          <cell r="D1169">
            <v>60.4</v>
          </cell>
          <cell r="E1169">
            <v>234</v>
          </cell>
          <cell r="F1169"/>
          <cell r="G1169">
            <v>162</v>
          </cell>
        </row>
        <row r="1170">
          <cell r="B1170" t="str">
            <v>A42JR4000J10000</v>
          </cell>
          <cell r="C1170"/>
          <cell r="D1170">
            <v>60.4</v>
          </cell>
          <cell r="E1170">
            <v>234</v>
          </cell>
          <cell r="F1170"/>
          <cell r="G1170">
            <v>162</v>
          </cell>
        </row>
        <row r="1171">
          <cell r="B1171" t="str">
            <v>A42AL0200J10001</v>
          </cell>
          <cell r="C1171"/>
          <cell r="D1171">
            <v>60.4</v>
          </cell>
          <cell r="E1171">
            <v>234</v>
          </cell>
          <cell r="F1171"/>
          <cell r="G1171">
            <v>162</v>
          </cell>
        </row>
        <row r="1172">
          <cell r="B1172" t="str">
            <v>A42B03502H10004</v>
          </cell>
          <cell r="C1172"/>
          <cell r="D1172">
            <v>60.4</v>
          </cell>
          <cell r="E1172">
            <v>234</v>
          </cell>
          <cell r="F1172"/>
          <cell r="G1172">
            <v>162</v>
          </cell>
        </row>
        <row r="1173">
          <cell r="B1173" t="str">
            <v>A42B04502H10004</v>
          </cell>
          <cell r="C1173"/>
          <cell r="D1173">
            <v>60.4</v>
          </cell>
          <cell r="E1173">
            <v>234</v>
          </cell>
          <cell r="F1173"/>
          <cell r="G1173">
            <v>162</v>
          </cell>
        </row>
        <row r="1174">
          <cell r="B1174" t="str">
            <v>A42AL0700J10001</v>
          </cell>
          <cell r="C1174"/>
          <cell r="D1174">
            <v>60.4</v>
          </cell>
          <cell r="E1174">
            <v>234</v>
          </cell>
          <cell r="F1174"/>
          <cell r="G1174">
            <v>162</v>
          </cell>
        </row>
        <row r="1175">
          <cell r="B1175" t="str">
            <v>W23524280A</v>
          </cell>
          <cell r="C1175"/>
          <cell r="D1175">
            <v>55</v>
          </cell>
          <cell r="E1175">
            <v>238.96</v>
          </cell>
          <cell r="F1175"/>
          <cell r="G1175">
            <v>220.8</v>
          </cell>
        </row>
        <row r="1176">
          <cell r="B1176" t="str">
            <v>W04225000A</v>
          </cell>
          <cell r="C1176"/>
          <cell r="D1176">
            <v>55</v>
          </cell>
          <cell r="E1176">
            <v>238.96</v>
          </cell>
          <cell r="F1176"/>
          <cell r="G1176">
            <v>220.8</v>
          </cell>
        </row>
        <row r="1177">
          <cell r="B1177" t="str">
            <v>A42B04002H10004</v>
          </cell>
          <cell r="C1177"/>
          <cell r="D1177">
            <v>60.4</v>
          </cell>
          <cell r="E1177">
            <v>234</v>
          </cell>
          <cell r="F1177"/>
          <cell r="G1177">
            <v>162</v>
          </cell>
        </row>
        <row r="1178">
          <cell r="B1178" t="str">
            <v>A52JL6000J10000</v>
          </cell>
          <cell r="C1178"/>
          <cell r="D1178">
            <v>60.4</v>
          </cell>
          <cell r="E1178">
            <v>234</v>
          </cell>
          <cell r="F1178"/>
          <cell r="G1178">
            <v>162</v>
          </cell>
        </row>
        <row r="1179">
          <cell r="B1179" t="str">
            <v>A50P04002G110P1</v>
          </cell>
          <cell r="C1179"/>
          <cell r="D1179">
            <v>60.4</v>
          </cell>
          <cell r="E1179">
            <v>234</v>
          </cell>
          <cell r="F1179"/>
          <cell r="G1179">
            <v>162</v>
          </cell>
        </row>
        <row r="1180">
          <cell r="B1180" t="str">
            <v>A52CS0004H10004</v>
          </cell>
          <cell r="C1180"/>
          <cell r="D1180">
            <v>60.4</v>
          </cell>
          <cell r="E1180">
            <v>234</v>
          </cell>
          <cell r="F1180"/>
          <cell r="G1180">
            <v>162</v>
          </cell>
        </row>
        <row r="1181">
          <cell r="B1181" t="str">
            <v>A42JL4000J11000</v>
          </cell>
          <cell r="C1181"/>
          <cell r="D1181">
            <v>60.4</v>
          </cell>
          <cell r="E1181">
            <v>234</v>
          </cell>
          <cell r="F1181"/>
          <cell r="G1181">
            <v>162</v>
          </cell>
        </row>
        <row r="1182">
          <cell r="B1182" t="str">
            <v>A42JR3002J10000</v>
          </cell>
          <cell r="C1182"/>
          <cell r="D1182">
            <v>60.4</v>
          </cell>
          <cell r="E1182">
            <v>234</v>
          </cell>
          <cell r="F1182"/>
          <cell r="G1182">
            <v>162</v>
          </cell>
        </row>
        <row r="1183">
          <cell r="B1183" t="str">
            <v>A52B33502H10001</v>
          </cell>
          <cell r="C1183"/>
          <cell r="D1183">
            <v>60.4</v>
          </cell>
          <cell r="E1183">
            <v>234</v>
          </cell>
          <cell r="F1183"/>
          <cell r="G1183">
            <v>162</v>
          </cell>
        </row>
        <row r="1184">
          <cell r="B1184" t="str">
            <v>A42AR0100J10000</v>
          </cell>
          <cell r="C1184"/>
          <cell r="D1184">
            <v>60.4</v>
          </cell>
          <cell r="E1184">
            <v>234</v>
          </cell>
          <cell r="F1184"/>
          <cell r="G1184">
            <v>162</v>
          </cell>
        </row>
        <row r="1185">
          <cell r="B1185" t="str">
            <v>A42JL3502J10004</v>
          </cell>
          <cell r="C1185"/>
          <cell r="D1185">
            <v>60.4</v>
          </cell>
          <cell r="E1185">
            <v>234</v>
          </cell>
          <cell r="F1185"/>
          <cell r="G1185">
            <v>162</v>
          </cell>
        </row>
        <row r="1186">
          <cell r="B1186" t="str">
            <v>A42JL3502J11000</v>
          </cell>
          <cell r="C1186"/>
          <cell r="D1186">
            <v>60.4</v>
          </cell>
          <cell r="E1186">
            <v>234</v>
          </cell>
          <cell r="F1186"/>
          <cell r="G1186">
            <v>162</v>
          </cell>
        </row>
        <row r="1187">
          <cell r="B1187" t="str">
            <v>W20244200A</v>
          </cell>
          <cell r="C1187"/>
          <cell r="D1187">
            <v>55</v>
          </cell>
          <cell r="E1187">
            <v>234</v>
          </cell>
          <cell r="F1187"/>
          <cell r="G1187">
            <v>220.8</v>
          </cell>
        </row>
        <row r="1188">
          <cell r="B1188" t="str">
            <v>W24024200A</v>
          </cell>
          <cell r="C1188"/>
          <cell r="D1188">
            <v>55</v>
          </cell>
          <cell r="E1188">
            <v>238.96</v>
          </cell>
          <cell r="F1188"/>
          <cell r="G1188">
            <v>220.8</v>
          </cell>
        </row>
        <row r="1189">
          <cell r="B1189" t="str">
            <v>W20345000A</v>
          </cell>
          <cell r="C1189"/>
          <cell r="D1189">
            <v>55</v>
          </cell>
          <cell r="E1189">
            <v>238.96</v>
          </cell>
          <cell r="F1189"/>
          <cell r="G1189">
            <v>220.8</v>
          </cell>
        </row>
        <row r="1190">
          <cell r="B1190" t="str">
            <v>A52JL6000M1000GM</v>
          </cell>
          <cell r="C1190"/>
          <cell r="D1190">
            <v>60.4</v>
          </cell>
          <cell r="E1190">
            <v>234</v>
          </cell>
          <cell r="F1190"/>
          <cell r="G1190">
            <v>162</v>
          </cell>
        </row>
        <row r="1191">
          <cell r="B1191" t="str">
            <v>A42P04006G08001</v>
          </cell>
          <cell r="C1191"/>
          <cell r="D1191">
            <v>60.4</v>
          </cell>
          <cell r="E1191">
            <v>234</v>
          </cell>
          <cell r="F1191"/>
          <cell r="G1191">
            <v>162</v>
          </cell>
        </row>
        <row r="1192">
          <cell r="B1192" t="str">
            <v>A42JL3502H10004</v>
          </cell>
          <cell r="C1192"/>
          <cell r="D1192">
            <v>60.4</v>
          </cell>
          <cell r="E1192">
            <v>234</v>
          </cell>
          <cell r="F1192"/>
          <cell r="G1192">
            <v>162</v>
          </cell>
        </row>
        <row r="1193">
          <cell r="B1193" t="str">
            <v>A52JL3502H10006</v>
          </cell>
          <cell r="C1193"/>
          <cell r="D1193">
            <v>60.4</v>
          </cell>
          <cell r="E1193">
            <v>234</v>
          </cell>
          <cell r="F1193"/>
          <cell r="G1193">
            <v>162</v>
          </cell>
        </row>
        <row r="1194">
          <cell r="B1194" t="str">
            <v>A52JL4002H10005</v>
          </cell>
          <cell r="C1194"/>
          <cell r="D1194">
            <v>60.4</v>
          </cell>
          <cell r="E1194">
            <v>234</v>
          </cell>
          <cell r="F1194"/>
          <cell r="G1194">
            <v>162</v>
          </cell>
        </row>
        <row r="1195">
          <cell r="B1195" t="str">
            <v>A52JL4000J13000</v>
          </cell>
          <cell r="C1195"/>
          <cell r="D1195">
            <v>60.4</v>
          </cell>
          <cell r="E1195">
            <v>302</v>
          </cell>
          <cell r="F1195"/>
          <cell r="G1195">
            <v>174</v>
          </cell>
        </row>
        <row r="1196">
          <cell r="B1196" t="str">
            <v>W24014200A</v>
          </cell>
          <cell r="C1196"/>
          <cell r="D1196">
            <v>55</v>
          </cell>
          <cell r="E1196">
            <v>238.96</v>
          </cell>
          <cell r="F1196"/>
          <cell r="G1196">
            <v>220.8</v>
          </cell>
        </row>
        <row r="1197">
          <cell r="B1197" t="str">
            <v>W20326000A</v>
          </cell>
          <cell r="C1197"/>
          <cell r="D1197">
            <v>55</v>
          </cell>
          <cell r="E1197">
            <v>238.96</v>
          </cell>
          <cell r="F1197"/>
          <cell r="G1197">
            <v>220.8</v>
          </cell>
        </row>
        <row r="1198">
          <cell r="B1198" t="str">
            <v>W20226000B</v>
          </cell>
          <cell r="C1198"/>
          <cell r="D1198">
            <v>55</v>
          </cell>
          <cell r="E1198">
            <v>238.96</v>
          </cell>
          <cell r="F1198"/>
          <cell r="G1198">
            <v>220.8</v>
          </cell>
        </row>
        <row r="1199">
          <cell r="B1199" t="str">
            <v>A52B23000H08000</v>
          </cell>
          <cell r="C1199"/>
          <cell r="D1199">
            <v>60.4</v>
          </cell>
          <cell r="E1199">
            <v>234</v>
          </cell>
          <cell r="F1199"/>
          <cell r="G1199">
            <v>162</v>
          </cell>
        </row>
        <row r="1200">
          <cell r="B1200" t="str">
            <v>A52B03500H08000</v>
          </cell>
          <cell r="C1200"/>
          <cell r="D1200">
            <v>60.4</v>
          </cell>
          <cell r="E1200">
            <v>234</v>
          </cell>
          <cell r="F1200"/>
          <cell r="G1200">
            <v>162</v>
          </cell>
        </row>
        <row r="1201">
          <cell r="B1201" t="str">
            <v>A52B13501L10000</v>
          </cell>
          <cell r="C1201"/>
          <cell r="D1201">
            <v>60.4</v>
          </cell>
          <cell r="E1201">
            <v>234</v>
          </cell>
          <cell r="F1201"/>
          <cell r="G1201">
            <v>162</v>
          </cell>
        </row>
        <row r="1202">
          <cell r="B1202" t="str">
            <v>A52B34000H08001</v>
          </cell>
          <cell r="C1202"/>
          <cell r="D1202">
            <v>60.4</v>
          </cell>
          <cell r="E1202">
            <v>234</v>
          </cell>
          <cell r="F1202"/>
          <cell r="G1202">
            <v>162</v>
          </cell>
        </row>
        <row r="1203">
          <cell r="B1203" t="str">
            <v>A52B14000H08000</v>
          </cell>
          <cell r="C1203"/>
          <cell r="D1203">
            <v>60.4</v>
          </cell>
          <cell r="E1203">
            <v>234</v>
          </cell>
          <cell r="F1203"/>
          <cell r="G1203">
            <v>162</v>
          </cell>
        </row>
        <row r="1204">
          <cell r="B1204" t="str">
            <v>A52SO3500H10000</v>
          </cell>
          <cell r="C1204"/>
          <cell r="D1204">
            <v>72.239999999999995</v>
          </cell>
          <cell r="E1204">
            <v>234</v>
          </cell>
          <cell r="F1204"/>
          <cell r="G1204">
            <v>252</v>
          </cell>
        </row>
        <row r="1205">
          <cell r="B1205" t="str">
            <v>A42FC0000M12500</v>
          </cell>
          <cell r="C1205"/>
          <cell r="D1205">
            <v>60.4</v>
          </cell>
          <cell r="E1205">
            <v>302</v>
          </cell>
          <cell r="F1205"/>
          <cell r="G1205">
            <v>174</v>
          </cell>
        </row>
        <row r="1206">
          <cell r="B1206" t="str">
            <v>A42JL3502H10001</v>
          </cell>
          <cell r="C1206"/>
          <cell r="D1206">
            <v>60.4</v>
          </cell>
          <cell r="E1206">
            <v>234</v>
          </cell>
          <cell r="F1206"/>
          <cell r="G1206">
            <v>162</v>
          </cell>
        </row>
        <row r="1207">
          <cell r="B1207" t="str">
            <v>A42PA0012G110P3</v>
          </cell>
          <cell r="C1207"/>
          <cell r="D1207">
            <v>60.4</v>
          </cell>
          <cell r="E1207">
            <v>234</v>
          </cell>
          <cell r="F1207"/>
          <cell r="G1207">
            <v>162</v>
          </cell>
        </row>
        <row r="1208">
          <cell r="B1208" t="str">
            <v>A42JL3002H10000</v>
          </cell>
          <cell r="C1208"/>
          <cell r="D1208">
            <v>60.4</v>
          </cell>
          <cell r="E1208">
            <v>234</v>
          </cell>
          <cell r="F1208"/>
          <cell r="G1208">
            <v>162</v>
          </cell>
        </row>
        <row r="1209">
          <cell r="B1209" t="str">
            <v>A42JL4002M10000</v>
          </cell>
          <cell r="C1209"/>
          <cell r="D1209">
            <v>60.4</v>
          </cell>
          <cell r="E1209">
            <v>234</v>
          </cell>
          <cell r="F1209"/>
          <cell r="G1209">
            <v>162</v>
          </cell>
        </row>
        <row r="1210">
          <cell r="B1210" t="str">
            <v>A42JR3500M10005</v>
          </cell>
          <cell r="C1210"/>
          <cell r="D1210">
            <v>60.4</v>
          </cell>
          <cell r="E1210">
            <v>234</v>
          </cell>
          <cell r="F1210"/>
          <cell r="G1210">
            <v>162</v>
          </cell>
        </row>
        <row r="1211">
          <cell r="B1211" t="str">
            <v>A42P04008G06500</v>
          </cell>
          <cell r="C1211"/>
          <cell r="D1211">
            <v>60.4</v>
          </cell>
          <cell r="E1211">
            <v>234</v>
          </cell>
          <cell r="F1211"/>
          <cell r="G1211">
            <v>162</v>
          </cell>
        </row>
        <row r="1212">
          <cell r="B1212" t="str">
            <v>A42SO3002H10000</v>
          </cell>
          <cell r="C1212"/>
          <cell r="D1212">
            <v>72</v>
          </cell>
          <cell r="E1212">
            <v>234</v>
          </cell>
          <cell r="F1212"/>
          <cell r="G1212">
            <v>252</v>
          </cell>
        </row>
        <row r="1213">
          <cell r="B1213" t="str">
            <v>A42JL4500H10001</v>
          </cell>
          <cell r="C1213"/>
          <cell r="D1213">
            <v>60.4</v>
          </cell>
          <cell r="E1213">
            <v>234</v>
          </cell>
          <cell r="F1213"/>
          <cell r="G1213">
            <v>162</v>
          </cell>
        </row>
        <row r="1214">
          <cell r="B1214" t="str">
            <v>A42B23502H10005</v>
          </cell>
          <cell r="C1214"/>
          <cell r="D1214">
            <v>60.4</v>
          </cell>
          <cell r="E1214">
            <v>234</v>
          </cell>
          <cell r="F1214"/>
          <cell r="G1214">
            <v>162</v>
          </cell>
        </row>
        <row r="1215">
          <cell r="B1215" t="str">
            <v>A42FC0000M10500</v>
          </cell>
          <cell r="C1215"/>
          <cell r="D1215">
            <v>60.4</v>
          </cell>
          <cell r="E1215">
            <v>234</v>
          </cell>
          <cell r="F1215"/>
          <cell r="G1215">
            <v>162</v>
          </cell>
        </row>
        <row r="1216">
          <cell r="B1216" t="str">
            <v>A42FC3001H08000</v>
          </cell>
          <cell r="C1216"/>
          <cell r="D1216">
            <v>60.4</v>
          </cell>
          <cell r="E1216">
            <v>234</v>
          </cell>
          <cell r="F1216"/>
          <cell r="G1216">
            <v>162</v>
          </cell>
        </row>
        <row r="1217">
          <cell r="B1217" t="str">
            <v>A42FC4501H08000</v>
          </cell>
          <cell r="C1217"/>
          <cell r="D1217">
            <v>60.4</v>
          </cell>
          <cell r="E1217">
            <v>234</v>
          </cell>
          <cell r="F1217"/>
          <cell r="G1217">
            <v>162</v>
          </cell>
        </row>
        <row r="1218">
          <cell r="B1218" t="str">
            <v>A42JL3002J10000</v>
          </cell>
          <cell r="C1218"/>
          <cell r="D1218">
            <v>60.4</v>
          </cell>
          <cell r="E1218">
            <v>234</v>
          </cell>
          <cell r="F1218"/>
          <cell r="G1218">
            <v>162</v>
          </cell>
        </row>
        <row r="1219">
          <cell r="B1219" t="str">
            <v>A42HS0100M10004</v>
          </cell>
          <cell r="C1219"/>
          <cell r="D1219">
            <v>60.4</v>
          </cell>
          <cell r="E1219">
            <v>234</v>
          </cell>
          <cell r="F1219"/>
          <cell r="G1219">
            <v>162</v>
          </cell>
        </row>
        <row r="1220">
          <cell r="B1220" t="str">
            <v>A42AL0100M10000</v>
          </cell>
          <cell r="C1220"/>
          <cell r="D1220">
            <v>60.4</v>
          </cell>
          <cell r="E1220">
            <v>234</v>
          </cell>
          <cell r="F1220"/>
          <cell r="G1220">
            <v>162</v>
          </cell>
        </row>
        <row r="1221">
          <cell r="B1221" t="str">
            <v>A42B03502J10000</v>
          </cell>
          <cell r="C1221"/>
          <cell r="D1221">
            <v>60.4</v>
          </cell>
          <cell r="E1221">
            <v>234</v>
          </cell>
          <cell r="F1221"/>
          <cell r="G1221">
            <v>162</v>
          </cell>
        </row>
        <row r="1222">
          <cell r="B1222" t="str">
            <v>A42B33502J10006</v>
          </cell>
          <cell r="C1222"/>
          <cell r="D1222">
            <v>60.4</v>
          </cell>
          <cell r="E1222">
            <v>234</v>
          </cell>
          <cell r="F1222"/>
          <cell r="G1222">
            <v>162</v>
          </cell>
        </row>
        <row r="1223">
          <cell r="B1223" t="str">
            <v>A42B03502J11000</v>
          </cell>
          <cell r="C1223"/>
          <cell r="D1223">
            <v>60.4</v>
          </cell>
          <cell r="E1223">
            <v>234</v>
          </cell>
          <cell r="F1223"/>
          <cell r="G1223">
            <v>162</v>
          </cell>
        </row>
        <row r="1224">
          <cell r="B1224" t="str">
            <v>A42B04002J11000</v>
          </cell>
          <cell r="C1224"/>
          <cell r="D1224">
            <v>60.4</v>
          </cell>
          <cell r="E1224">
            <v>234</v>
          </cell>
          <cell r="F1224"/>
          <cell r="G1224">
            <v>162</v>
          </cell>
        </row>
        <row r="1225">
          <cell r="B1225" t="str">
            <v>A42B23002M11000</v>
          </cell>
          <cell r="C1225"/>
          <cell r="D1225">
            <v>60.4</v>
          </cell>
          <cell r="E1225">
            <v>234</v>
          </cell>
          <cell r="F1225"/>
          <cell r="G1225">
            <v>162</v>
          </cell>
        </row>
        <row r="1226">
          <cell r="B1226" t="str">
            <v>A42B33500J10004</v>
          </cell>
          <cell r="C1226"/>
          <cell r="D1226">
            <v>60.4</v>
          </cell>
          <cell r="E1226">
            <v>234</v>
          </cell>
          <cell r="F1226"/>
          <cell r="G1226">
            <v>162</v>
          </cell>
        </row>
        <row r="1227">
          <cell r="B1227" t="str">
            <v>A42JL3500J10005</v>
          </cell>
          <cell r="C1227"/>
          <cell r="D1227">
            <v>60.4</v>
          </cell>
          <cell r="E1227">
            <v>234</v>
          </cell>
          <cell r="F1227"/>
          <cell r="G1227">
            <v>162</v>
          </cell>
        </row>
        <row r="1228">
          <cell r="B1228" t="str">
            <v>A42JL3700M10004</v>
          </cell>
          <cell r="C1228"/>
          <cell r="D1228">
            <v>60.4</v>
          </cell>
          <cell r="E1228">
            <v>234</v>
          </cell>
          <cell r="F1228"/>
          <cell r="G1228">
            <v>162</v>
          </cell>
        </row>
        <row r="1229">
          <cell r="B1229" t="str">
            <v>A42JL4000J10001</v>
          </cell>
          <cell r="C1229"/>
          <cell r="D1229">
            <v>60.4</v>
          </cell>
          <cell r="E1229">
            <v>234</v>
          </cell>
          <cell r="F1229"/>
          <cell r="G1229">
            <v>162</v>
          </cell>
        </row>
        <row r="1230">
          <cell r="B1230" t="str">
            <v>A42JL4002J10004</v>
          </cell>
          <cell r="C1230"/>
          <cell r="D1230">
            <v>60.4</v>
          </cell>
          <cell r="E1230">
            <v>234</v>
          </cell>
          <cell r="F1230"/>
          <cell r="G1230">
            <v>162</v>
          </cell>
        </row>
        <row r="1231">
          <cell r="B1231" t="str">
            <v>A42SO3500H10000</v>
          </cell>
          <cell r="C1231"/>
          <cell r="D1231">
            <v>72</v>
          </cell>
          <cell r="E1231">
            <v>234</v>
          </cell>
          <cell r="F1231"/>
          <cell r="G1231">
            <v>252</v>
          </cell>
        </row>
        <row r="1232">
          <cell r="B1232" t="str">
            <v>A42SO3502H10000</v>
          </cell>
          <cell r="C1232"/>
          <cell r="D1232">
            <v>72</v>
          </cell>
          <cell r="E1232">
            <v>234</v>
          </cell>
          <cell r="F1232"/>
          <cell r="G1232">
            <v>252</v>
          </cell>
        </row>
        <row r="1233">
          <cell r="B1233" t="str">
            <v>A42JL3500J1000G</v>
          </cell>
          <cell r="C1233"/>
          <cell r="D1233">
            <v>60.4</v>
          </cell>
          <cell r="E1233">
            <v>234</v>
          </cell>
          <cell r="F1233"/>
          <cell r="G1233">
            <v>162</v>
          </cell>
        </row>
        <row r="1234">
          <cell r="B1234" t="str">
            <v>A42JL4000J1000G</v>
          </cell>
          <cell r="C1234"/>
          <cell r="D1234">
            <v>60.4</v>
          </cell>
          <cell r="E1234">
            <v>234</v>
          </cell>
          <cell r="F1234"/>
          <cell r="G1234">
            <v>162</v>
          </cell>
        </row>
        <row r="1235">
          <cell r="B1235" t="str">
            <v>A42JL5000J1000G</v>
          </cell>
          <cell r="C1235"/>
          <cell r="D1235">
            <v>60.4</v>
          </cell>
          <cell r="E1235">
            <v>234</v>
          </cell>
          <cell r="F1235"/>
          <cell r="G1235">
            <v>162</v>
          </cell>
        </row>
        <row r="1236">
          <cell r="B1236" t="str">
            <v>A42B03500J10000</v>
          </cell>
          <cell r="C1236"/>
          <cell r="D1236">
            <v>60.4</v>
          </cell>
          <cell r="E1236">
            <v>234</v>
          </cell>
          <cell r="F1236"/>
          <cell r="G1236">
            <v>162</v>
          </cell>
        </row>
        <row r="1237">
          <cell r="B1237" t="str">
            <v>A42B04000J10000</v>
          </cell>
          <cell r="C1237"/>
          <cell r="D1237">
            <v>60.4</v>
          </cell>
          <cell r="E1237">
            <v>234</v>
          </cell>
          <cell r="F1237"/>
          <cell r="G1237">
            <v>162</v>
          </cell>
        </row>
        <row r="1238">
          <cell r="B1238" t="str">
            <v>A42B14000J10000</v>
          </cell>
          <cell r="C1238"/>
          <cell r="D1238">
            <v>60.4</v>
          </cell>
          <cell r="E1238">
            <v>234</v>
          </cell>
          <cell r="F1238"/>
          <cell r="G1238">
            <v>162</v>
          </cell>
        </row>
        <row r="1239">
          <cell r="B1239" t="str">
            <v>A42JL3500H1000G</v>
          </cell>
          <cell r="C1239"/>
          <cell r="D1239">
            <v>60.4</v>
          </cell>
          <cell r="E1239">
            <v>234</v>
          </cell>
          <cell r="F1239"/>
          <cell r="G1239">
            <v>162</v>
          </cell>
        </row>
        <row r="1240">
          <cell r="B1240" t="str">
            <v>A42JL4000H1000G</v>
          </cell>
          <cell r="C1240"/>
          <cell r="D1240">
            <v>60.4</v>
          </cell>
          <cell r="E1240">
            <v>234</v>
          </cell>
          <cell r="F1240"/>
          <cell r="G1240">
            <v>162</v>
          </cell>
        </row>
        <row r="1241">
          <cell r="B1241" t="str">
            <v>A42JL5000H1000G</v>
          </cell>
          <cell r="C1241"/>
          <cell r="D1241">
            <v>60.4</v>
          </cell>
          <cell r="E1241">
            <v>234</v>
          </cell>
          <cell r="F1241"/>
          <cell r="G1241">
            <v>162</v>
          </cell>
        </row>
        <row r="1242">
          <cell r="B1242" t="str">
            <v>A42JL3502M10001</v>
          </cell>
          <cell r="C1242"/>
          <cell r="D1242">
            <v>60.4</v>
          </cell>
          <cell r="E1242">
            <v>234</v>
          </cell>
          <cell r="F1242"/>
          <cell r="G1242">
            <v>162</v>
          </cell>
        </row>
        <row r="1243">
          <cell r="B1243" t="str">
            <v>A42JL4002M10001</v>
          </cell>
          <cell r="C1243"/>
          <cell r="D1243">
            <v>60.4</v>
          </cell>
          <cell r="E1243">
            <v>234</v>
          </cell>
          <cell r="F1243"/>
          <cell r="G1243">
            <v>162</v>
          </cell>
        </row>
        <row r="1244">
          <cell r="B1244" t="str">
            <v>A42P54008G12000</v>
          </cell>
          <cell r="C1244"/>
          <cell r="D1244">
            <v>60.4</v>
          </cell>
          <cell r="E1244">
            <v>302</v>
          </cell>
          <cell r="F1244"/>
          <cell r="G1244">
            <v>174</v>
          </cell>
        </row>
        <row r="1245">
          <cell r="B1245" t="str">
            <v>A42FC0000H13000</v>
          </cell>
          <cell r="C1245"/>
          <cell r="D1245">
            <v>60.4</v>
          </cell>
          <cell r="E1245">
            <v>302</v>
          </cell>
          <cell r="F1245"/>
          <cell r="G1245">
            <v>174</v>
          </cell>
        </row>
        <row r="1246">
          <cell r="B1246" t="str">
            <v>A42UC3002H11000</v>
          </cell>
          <cell r="C1246"/>
          <cell r="D1246">
            <v>60.4</v>
          </cell>
          <cell r="E1246">
            <v>234</v>
          </cell>
          <cell r="F1246"/>
          <cell r="G1246">
            <v>162</v>
          </cell>
        </row>
        <row r="1247">
          <cell r="B1247" t="str">
            <v>A50P04012G11001</v>
          </cell>
          <cell r="C1247"/>
          <cell r="D1247">
            <v>60.4</v>
          </cell>
          <cell r="E1247">
            <v>234</v>
          </cell>
          <cell r="F1247"/>
          <cell r="G1247">
            <v>162</v>
          </cell>
        </row>
        <row r="1248">
          <cell r="B1248" t="str">
            <v>A42JL4502J10000</v>
          </cell>
          <cell r="C1248"/>
          <cell r="D1248">
            <v>60.4</v>
          </cell>
          <cell r="E1248">
            <v>234</v>
          </cell>
          <cell r="F1248"/>
          <cell r="G1248">
            <v>162</v>
          </cell>
        </row>
        <row r="1249">
          <cell r="B1249" t="str">
            <v>A50P04012G13001</v>
          </cell>
          <cell r="C1249"/>
          <cell r="D1249">
            <v>60.4</v>
          </cell>
          <cell r="E1249">
            <v>302</v>
          </cell>
          <cell r="F1249"/>
          <cell r="G1249">
            <v>174</v>
          </cell>
        </row>
        <row r="1250">
          <cell r="B1250" t="str">
            <v>A60JL5000J1000G</v>
          </cell>
          <cell r="C1250"/>
          <cell r="D1250">
            <v>60.4</v>
          </cell>
          <cell r="E1250">
            <v>234</v>
          </cell>
          <cell r="F1250"/>
          <cell r="G1250">
            <v>162</v>
          </cell>
        </row>
        <row r="1251">
          <cell r="B1251" t="str">
            <v>A60JR4000J13000</v>
          </cell>
          <cell r="C1251"/>
          <cell r="D1251">
            <v>60.4</v>
          </cell>
          <cell r="E1251">
            <v>302</v>
          </cell>
          <cell r="F1251"/>
          <cell r="G1251">
            <v>174</v>
          </cell>
        </row>
        <row r="1252">
          <cell r="B1252" t="str">
            <v>A60JR5000J10000</v>
          </cell>
          <cell r="C1252"/>
          <cell r="D1252">
            <v>60.4</v>
          </cell>
          <cell r="E1252">
            <v>234</v>
          </cell>
          <cell r="F1252"/>
          <cell r="G1252">
            <v>162</v>
          </cell>
        </row>
        <row r="1253">
          <cell r="B1253" t="str">
            <v>A60P44012G11000</v>
          </cell>
          <cell r="C1253"/>
          <cell r="D1253">
            <v>60.4</v>
          </cell>
          <cell r="E1253">
            <v>234</v>
          </cell>
          <cell r="F1253"/>
          <cell r="G1253">
            <v>162</v>
          </cell>
        </row>
        <row r="1254">
          <cell r="B1254" t="str">
            <v>A42JL5002H10001</v>
          </cell>
          <cell r="C1254"/>
          <cell r="D1254">
            <v>60.4</v>
          </cell>
          <cell r="E1254">
            <v>234</v>
          </cell>
          <cell r="F1254"/>
          <cell r="G1254">
            <v>162</v>
          </cell>
        </row>
        <row r="1255">
          <cell r="B1255" t="str">
            <v>A42AL0100H10000</v>
          </cell>
          <cell r="C1255"/>
          <cell r="D1255">
            <v>60.4</v>
          </cell>
          <cell r="E1255">
            <v>234</v>
          </cell>
          <cell r="F1255"/>
          <cell r="G1255">
            <v>162</v>
          </cell>
        </row>
        <row r="1256">
          <cell r="B1256" t="str">
            <v>A42AL0102H10000</v>
          </cell>
          <cell r="C1256"/>
          <cell r="D1256">
            <v>60.4</v>
          </cell>
          <cell r="E1256">
            <v>234</v>
          </cell>
          <cell r="F1256"/>
          <cell r="G1256">
            <v>162</v>
          </cell>
        </row>
        <row r="1257">
          <cell r="B1257" t="str">
            <v>A42AL0200H10000</v>
          </cell>
          <cell r="C1257"/>
          <cell r="D1257">
            <v>60.4</v>
          </cell>
          <cell r="E1257">
            <v>234</v>
          </cell>
          <cell r="F1257"/>
          <cell r="G1257">
            <v>162</v>
          </cell>
        </row>
        <row r="1258">
          <cell r="B1258" t="str">
            <v>A42JL3500H10000</v>
          </cell>
          <cell r="C1258"/>
          <cell r="D1258">
            <v>60.4</v>
          </cell>
          <cell r="E1258">
            <v>234</v>
          </cell>
          <cell r="F1258"/>
          <cell r="G1258">
            <v>162</v>
          </cell>
        </row>
        <row r="1259">
          <cell r="B1259" t="str">
            <v>A42JL3502H10000</v>
          </cell>
          <cell r="C1259"/>
          <cell r="D1259">
            <v>60.4</v>
          </cell>
          <cell r="E1259">
            <v>234</v>
          </cell>
          <cell r="F1259"/>
          <cell r="G1259">
            <v>162</v>
          </cell>
        </row>
        <row r="1260">
          <cell r="B1260" t="str">
            <v>A42JR3500H10000</v>
          </cell>
          <cell r="C1260"/>
          <cell r="D1260">
            <v>60.4</v>
          </cell>
          <cell r="E1260">
            <v>234</v>
          </cell>
          <cell r="F1260"/>
          <cell r="G1260">
            <v>162</v>
          </cell>
        </row>
        <row r="1261">
          <cell r="B1261" t="str">
            <v>A42JR3502H10000</v>
          </cell>
          <cell r="C1261"/>
          <cell r="D1261">
            <v>60.4</v>
          </cell>
          <cell r="E1261">
            <v>234</v>
          </cell>
          <cell r="F1261"/>
          <cell r="G1261">
            <v>162</v>
          </cell>
        </row>
        <row r="1262">
          <cell r="B1262" t="str">
            <v>A52JR5002H10000</v>
          </cell>
          <cell r="C1262"/>
          <cell r="D1262">
            <v>60.4</v>
          </cell>
          <cell r="E1262">
            <v>234</v>
          </cell>
          <cell r="F1262"/>
          <cell r="G1262">
            <v>162</v>
          </cell>
        </row>
        <row r="1263">
          <cell r="B1263" t="str">
            <v>A42SO3500J10000</v>
          </cell>
          <cell r="C1263"/>
          <cell r="D1263">
            <v>72</v>
          </cell>
          <cell r="E1263">
            <v>234</v>
          </cell>
          <cell r="F1263"/>
          <cell r="G1263">
            <v>252</v>
          </cell>
        </row>
        <row r="1264">
          <cell r="B1264" t="str">
            <v>A42SO3502J10000</v>
          </cell>
          <cell r="C1264"/>
          <cell r="D1264">
            <v>72</v>
          </cell>
          <cell r="E1264">
            <v>234</v>
          </cell>
          <cell r="F1264"/>
          <cell r="G1264">
            <v>252</v>
          </cell>
        </row>
        <row r="1265">
          <cell r="B1265" t="str">
            <v>A42SO4000J10000</v>
          </cell>
          <cell r="C1265"/>
          <cell r="D1265">
            <v>72</v>
          </cell>
          <cell r="E1265">
            <v>234</v>
          </cell>
          <cell r="F1265"/>
          <cell r="G1265">
            <v>252</v>
          </cell>
        </row>
        <row r="1266">
          <cell r="B1266" t="str">
            <v>A42SO3502J11000</v>
          </cell>
          <cell r="C1266"/>
          <cell r="D1266">
            <v>72</v>
          </cell>
          <cell r="E1266">
            <v>234</v>
          </cell>
          <cell r="F1266"/>
          <cell r="G1266">
            <v>252</v>
          </cell>
        </row>
        <row r="1267">
          <cell r="B1267" t="str">
            <v>A42P41506G11001</v>
          </cell>
          <cell r="C1267"/>
          <cell r="D1267">
            <v>60.4</v>
          </cell>
          <cell r="E1267">
            <v>234</v>
          </cell>
          <cell r="F1267"/>
          <cell r="G1267">
            <v>162</v>
          </cell>
        </row>
        <row r="1268">
          <cell r="B1268" t="str">
            <v>A42IM0000H10000</v>
          </cell>
          <cell r="C1268"/>
          <cell r="D1268">
            <v>60.4</v>
          </cell>
          <cell r="E1268">
            <v>234</v>
          </cell>
          <cell r="F1268"/>
          <cell r="G1268">
            <v>162</v>
          </cell>
        </row>
        <row r="1269">
          <cell r="B1269" t="str">
            <v>A42P04012G13000</v>
          </cell>
          <cell r="C1269"/>
          <cell r="D1269">
            <v>60.4</v>
          </cell>
          <cell r="E1269">
            <v>302</v>
          </cell>
          <cell r="F1269"/>
          <cell r="G1269">
            <v>174</v>
          </cell>
        </row>
        <row r="1270">
          <cell r="B1270" t="str">
            <v>A52JL7000J13000</v>
          </cell>
          <cell r="C1270"/>
          <cell r="D1270">
            <v>60.4</v>
          </cell>
          <cell r="E1270">
            <v>302</v>
          </cell>
          <cell r="F1270"/>
          <cell r="G1270">
            <v>174</v>
          </cell>
        </row>
        <row r="1271">
          <cell r="B1271" t="str">
            <v>A60NH4506G10000</v>
          </cell>
          <cell r="C1271"/>
          <cell r="D1271">
            <v>60.4</v>
          </cell>
          <cell r="E1271">
            <v>234</v>
          </cell>
          <cell r="F1271"/>
          <cell r="G1271">
            <v>162</v>
          </cell>
        </row>
        <row r="1272">
          <cell r="B1272" t="str">
            <v>A42B13500H08000</v>
          </cell>
          <cell r="C1272"/>
          <cell r="D1272">
            <v>60.4</v>
          </cell>
          <cell r="E1272">
            <v>234</v>
          </cell>
          <cell r="F1272"/>
          <cell r="G1272">
            <v>162</v>
          </cell>
        </row>
        <row r="1273">
          <cell r="B1273" t="str">
            <v>A42AL0202H10000</v>
          </cell>
          <cell r="C1273"/>
          <cell r="D1273">
            <v>60.4</v>
          </cell>
          <cell r="E1273">
            <v>234</v>
          </cell>
          <cell r="F1273"/>
          <cell r="G1273">
            <v>162</v>
          </cell>
        </row>
        <row r="1274">
          <cell r="B1274" t="str">
            <v>A60AL0200H10000</v>
          </cell>
          <cell r="C1274"/>
          <cell r="D1274">
            <v>60.4</v>
          </cell>
          <cell r="E1274">
            <v>234</v>
          </cell>
          <cell r="F1274"/>
          <cell r="G1274">
            <v>162</v>
          </cell>
        </row>
        <row r="1275">
          <cell r="B1275" t="str">
            <v>A52JR5000H10000</v>
          </cell>
          <cell r="C1275"/>
          <cell r="D1275">
            <v>60.4</v>
          </cell>
          <cell r="E1275">
            <v>234</v>
          </cell>
          <cell r="F1275"/>
          <cell r="G1275">
            <v>162</v>
          </cell>
        </row>
        <row r="1276">
          <cell r="B1276" t="str">
            <v>A52JL3502J08000</v>
          </cell>
          <cell r="C1276"/>
          <cell r="D1276">
            <v>60.4</v>
          </cell>
          <cell r="E1276">
            <v>234</v>
          </cell>
          <cell r="F1276"/>
          <cell r="G1276">
            <v>162</v>
          </cell>
        </row>
        <row r="1277">
          <cell r="B1277" t="str">
            <v>A52JR4500J10000</v>
          </cell>
          <cell r="C1277"/>
          <cell r="D1277">
            <v>60.4</v>
          </cell>
          <cell r="E1277">
            <v>234</v>
          </cell>
          <cell r="F1277"/>
          <cell r="G1277">
            <v>162</v>
          </cell>
        </row>
        <row r="1278">
          <cell r="B1278" t="str">
            <v>A52B23502H10000</v>
          </cell>
          <cell r="C1278"/>
          <cell r="D1278">
            <v>60.4</v>
          </cell>
          <cell r="E1278">
            <v>234</v>
          </cell>
          <cell r="F1278"/>
          <cell r="G1278">
            <v>162</v>
          </cell>
        </row>
        <row r="1279">
          <cell r="B1279" t="str">
            <v>A52B04001J08000</v>
          </cell>
          <cell r="C1279"/>
          <cell r="D1279">
            <v>60.4</v>
          </cell>
          <cell r="E1279">
            <v>234</v>
          </cell>
          <cell r="F1279"/>
          <cell r="G1279">
            <v>162</v>
          </cell>
        </row>
        <row r="1280">
          <cell r="B1280" t="str">
            <v>A42B23502H10000</v>
          </cell>
          <cell r="C1280"/>
          <cell r="D1280">
            <v>60.4</v>
          </cell>
          <cell r="E1280">
            <v>234</v>
          </cell>
          <cell r="F1280"/>
          <cell r="G1280">
            <v>162</v>
          </cell>
        </row>
        <row r="1281">
          <cell r="B1281" t="str">
            <v>A52JR3500L10000</v>
          </cell>
          <cell r="C1281"/>
          <cell r="D1281">
            <v>60.4</v>
          </cell>
          <cell r="E1281">
            <v>234</v>
          </cell>
          <cell r="F1281"/>
          <cell r="G1281">
            <v>162</v>
          </cell>
        </row>
        <row r="1282">
          <cell r="B1282" t="str">
            <v>A52JR4000L10000</v>
          </cell>
          <cell r="C1282"/>
          <cell r="D1282">
            <v>60.4</v>
          </cell>
          <cell r="E1282">
            <v>234</v>
          </cell>
          <cell r="F1282"/>
          <cell r="G1282">
            <v>162</v>
          </cell>
        </row>
        <row r="1283">
          <cell r="B1283" t="str">
            <v>A52JL5000J10000</v>
          </cell>
          <cell r="C1283"/>
          <cell r="D1283">
            <v>60.4</v>
          </cell>
          <cell r="E1283">
            <v>234</v>
          </cell>
          <cell r="F1283"/>
          <cell r="G1283">
            <v>162</v>
          </cell>
        </row>
        <row r="1284">
          <cell r="B1284" t="str">
            <v>A52AR0200J10000</v>
          </cell>
          <cell r="C1284"/>
          <cell r="D1284">
            <v>60.4</v>
          </cell>
          <cell r="E1284">
            <v>234</v>
          </cell>
          <cell r="F1284"/>
          <cell r="G1284">
            <v>162</v>
          </cell>
        </row>
        <row r="1285">
          <cell r="B1285" t="str">
            <v>A52AL0200H10000</v>
          </cell>
          <cell r="C1285"/>
          <cell r="D1285">
            <v>60.4</v>
          </cell>
          <cell r="E1285">
            <v>234</v>
          </cell>
          <cell r="F1285"/>
          <cell r="G1285">
            <v>162</v>
          </cell>
        </row>
        <row r="1286">
          <cell r="B1286" t="str">
            <v>A52JL3500L10001</v>
          </cell>
          <cell r="C1286"/>
          <cell r="D1286">
            <v>60.4</v>
          </cell>
          <cell r="E1286">
            <v>234</v>
          </cell>
          <cell r="F1286"/>
          <cell r="G1286">
            <v>162</v>
          </cell>
        </row>
        <row r="1287">
          <cell r="B1287" t="str">
            <v>A52JL4500L10001</v>
          </cell>
          <cell r="C1287"/>
          <cell r="D1287">
            <v>60.4</v>
          </cell>
          <cell r="E1287">
            <v>234</v>
          </cell>
          <cell r="F1287"/>
          <cell r="G1287">
            <v>162</v>
          </cell>
        </row>
        <row r="1288">
          <cell r="B1288" t="str">
            <v>A52JL5000L10001</v>
          </cell>
          <cell r="C1288"/>
          <cell r="D1288">
            <v>60.4</v>
          </cell>
          <cell r="E1288">
            <v>234</v>
          </cell>
          <cell r="F1288"/>
          <cell r="G1288">
            <v>162</v>
          </cell>
        </row>
        <row r="1289">
          <cell r="B1289" t="str">
            <v>A52JR5000J10000</v>
          </cell>
          <cell r="C1289"/>
          <cell r="D1289">
            <v>60.4</v>
          </cell>
          <cell r="E1289">
            <v>234</v>
          </cell>
          <cell r="F1289"/>
          <cell r="G1289">
            <v>162</v>
          </cell>
        </row>
        <row r="1290">
          <cell r="B1290" t="str">
            <v>A52B40102J10000</v>
          </cell>
          <cell r="C1290"/>
          <cell r="D1290">
            <v>60.4</v>
          </cell>
          <cell r="E1290">
            <v>234</v>
          </cell>
          <cell r="F1290"/>
          <cell r="G1290">
            <v>162</v>
          </cell>
        </row>
        <row r="1291">
          <cell r="B1291" t="str">
            <v>A52FC0000M11500</v>
          </cell>
          <cell r="C1291"/>
          <cell r="D1291">
            <v>60.4</v>
          </cell>
          <cell r="E1291">
            <v>302</v>
          </cell>
          <cell r="F1291"/>
          <cell r="G1291">
            <v>174</v>
          </cell>
        </row>
        <row r="1292">
          <cell r="B1292" t="str">
            <v>A42JL4000H10001</v>
          </cell>
          <cell r="C1292"/>
          <cell r="D1292">
            <v>60.4</v>
          </cell>
          <cell r="E1292">
            <v>234</v>
          </cell>
          <cell r="F1292"/>
          <cell r="G1292">
            <v>162</v>
          </cell>
        </row>
        <row r="1293">
          <cell r="B1293" t="str">
            <v>A42JR4002J12000</v>
          </cell>
          <cell r="C1293"/>
          <cell r="D1293">
            <v>60.4</v>
          </cell>
          <cell r="E1293">
            <v>302</v>
          </cell>
          <cell r="F1293"/>
          <cell r="G1293">
            <v>174</v>
          </cell>
        </row>
        <row r="1294">
          <cell r="B1294" t="str">
            <v>A42SH0000J07004</v>
          </cell>
          <cell r="C1294"/>
          <cell r="D1294">
            <v>60.4</v>
          </cell>
          <cell r="E1294">
            <v>234</v>
          </cell>
          <cell r="F1294"/>
          <cell r="G1294">
            <v>162</v>
          </cell>
        </row>
        <row r="1295">
          <cell r="B1295" t="str">
            <v>A42SH0000J07005</v>
          </cell>
          <cell r="C1295"/>
          <cell r="D1295">
            <v>60.4</v>
          </cell>
          <cell r="E1295">
            <v>234</v>
          </cell>
          <cell r="F1295"/>
          <cell r="G1295">
            <v>162</v>
          </cell>
        </row>
        <row r="1296">
          <cell r="B1296" t="str">
            <v>A52B34002H10001</v>
          </cell>
          <cell r="C1296"/>
          <cell r="D1296">
            <v>60.4</v>
          </cell>
          <cell r="E1296">
            <v>234</v>
          </cell>
          <cell r="F1296"/>
          <cell r="G1296">
            <v>162</v>
          </cell>
        </row>
        <row r="1297">
          <cell r="B1297" t="str">
            <v>A42AR0200J10000</v>
          </cell>
          <cell r="C1297"/>
          <cell r="D1297">
            <v>60.4</v>
          </cell>
          <cell r="E1297">
            <v>234</v>
          </cell>
          <cell r="F1297"/>
          <cell r="G1297">
            <v>162</v>
          </cell>
        </row>
        <row r="1298">
          <cell r="B1298" t="str">
            <v>A42B13501H10000</v>
          </cell>
          <cell r="C1298"/>
          <cell r="D1298">
            <v>60.4</v>
          </cell>
          <cell r="E1298">
            <v>234</v>
          </cell>
          <cell r="F1298"/>
          <cell r="G1298">
            <v>162</v>
          </cell>
        </row>
        <row r="1299">
          <cell r="B1299" t="str">
            <v>A42B14001H10000</v>
          </cell>
          <cell r="C1299"/>
          <cell r="D1299">
            <v>60.4</v>
          </cell>
          <cell r="E1299">
            <v>234</v>
          </cell>
          <cell r="F1299"/>
          <cell r="G1299">
            <v>162</v>
          </cell>
        </row>
        <row r="1300">
          <cell r="B1300" t="str">
            <v>A42B23001H10000</v>
          </cell>
          <cell r="C1300"/>
          <cell r="D1300">
            <v>60.4</v>
          </cell>
          <cell r="E1300">
            <v>234</v>
          </cell>
          <cell r="F1300"/>
          <cell r="G1300">
            <v>162</v>
          </cell>
        </row>
        <row r="1301">
          <cell r="B1301" t="str">
            <v>A42B23501H10000</v>
          </cell>
          <cell r="C1301"/>
          <cell r="D1301">
            <v>60.4</v>
          </cell>
          <cell r="E1301">
            <v>234</v>
          </cell>
          <cell r="F1301"/>
          <cell r="G1301">
            <v>162</v>
          </cell>
        </row>
        <row r="1302">
          <cell r="B1302" t="str">
            <v>A42AL0700J10000</v>
          </cell>
          <cell r="C1302"/>
          <cell r="D1302">
            <v>60.4</v>
          </cell>
          <cell r="E1302">
            <v>234</v>
          </cell>
          <cell r="F1302"/>
          <cell r="G1302">
            <v>162</v>
          </cell>
        </row>
        <row r="1303">
          <cell r="B1303" t="str">
            <v>A42AL1500J10000</v>
          </cell>
          <cell r="C1303"/>
          <cell r="D1303">
            <v>60.4</v>
          </cell>
          <cell r="E1303">
            <v>234</v>
          </cell>
          <cell r="F1303"/>
          <cell r="G1303">
            <v>162</v>
          </cell>
        </row>
        <row r="1304">
          <cell r="B1304" t="str">
            <v>A42JL3000J10000</v>
          </cell>
          <cell r="C1304"/>
          <cell r="D1304">
            <v>60.4</v>
          </cell>
          <cell r="E1304">
            <v>234</v>
          </cell>
          <cell r="F1304"/>
          <cell r="G1304">
            <v>162</v>
          </cell>
        </row>
        <row r="1305">
          <cell r="B1305" t="str">
            <v>A42FK0200M08004</v>
          </cell>
          <cell r="C1305"/>
          <cell r="D1305">
            <v>60.4</v>
          </cell>
          <cell r="E1305">
            <v>234</v>
          </cell>
          <cell r="F1305"/>
          <cell r="G1305">
            <v>162</v>
          </cell>
        </row>
        <row r="1306">
          <cell r="B1306" t="str">
            <v>A42LT0000M11004</v>
          </cell>
          <cell r="C1306"/>
          <cell r="D1306">
            <v>60.4</v>
          </cell>
          <cell r="E1306">
            <v>234</v>
          </cell>
          <cell r="F1306"/>
          <cell r="G1306">
            <v>162</v>
          </cell>
        </row>
        <row r="1307">
          <cell r="B1307" t="str">
            <v>A42JL4502H10000</v>
          </cell>
          <cell r="C1307"/>
          <cell r="D1307">
            <v>60.4</v>
          </cell>
          <cell r="E1307">
            <v>234</v>
          </cell>
          <cell r="F1307"/>
          <cell r="G1307">
            <v>162</v>
          </cell>
        </row>
        <row r="1308">
          <cell r="B1308" t="str">
            <v>A42JL1000H10000</v>
          </cell>
          <cell r="C1308"/>
          <cell r="D1308">
            <v>60.4</v>
          </cell>
          <cell r="E1308">
            <v>234</v>
          </cell>
          <cell r="F1308"/>
          <cell r="G1308">
            <v>162</v>
          </cell>
        </row>
        <row r="1309">
          <cell r="B1309" t="str">
            <v>A42FC0000H11500</v>
          </cell>
          <cell r="C1309"/>
          <cell r="D1309">
            <v>60.4</v>
          </cell>
          <cell r="E1309">
            <v>302</v>
          </cell>
          <cell r="F1309"/>
          <cell r="G1309">
            <v>174</v>
          </cell>
        </row>
        <row r="1310">
          <cell r="B1310" t="str">
            <v>A42B33500H10001</v>
          </cell>
          <cell r="C1310"/>
          <cell r="D1310">
            <v>60.4</v>
          </cell>
          <cell r="E1310">
            <v>234</v>
          </cell>
          <cell r="F1310"/>
          <cell r="G1310">
            <v>162</v>
          </cell>
        </row>
        <row r="1311">
          <cell r="B1311" t="str">
            <v>A42B23500H08000</v>
          </cell>
          <cell r="C1311"/>
          <cell r="D1311">
            <v>60.4</v>
          </cell>
          <cell r="E1311">
            <v>234</v>
          </cell>
          <cell r="F1311"/>
          <cell r="G1311">
            <v>162</v>
          </cell>
        </row>
        <row r="1312">
          <cell r="B1312" t="str">
            <v>A42B14000H08000</v>
          </cell>
          <cell r="C1312"/>
          <cell r="D1312">
            <v>60.4</v>
          </cell>
          <cell r="E1312">
            <v>234</v>
          </cell>
          <cell r="F1312"/>
          <cell r="G1312">
            <v>162</v>
          </cell>
        </row>
        <row r="1313">
          <cell r="B1313" t="str">
            <v>A42B13502H08000</v>
          </cell>
          <cell r="C1313"/>
          <cell r="D1313">
            <v>60.4</v>
          </cell>
          <cell r="E1313">
            <v>234</v>
          </cell>
          <cell r="F1313"/>
          <cell r="G1313">
            <v>162</v>
          </cell>
        </row>
        <row r="1314">
          <cell r="B1314" t="str">
            <v>A52JL3500H10001</v>
          </cell>
          <cell r="C1314"/>
          <cell r="D1314">
            <v>60.4</v>
          </cell>
          <cell r="E1314">
            <v>234</v>
          </cell>
          <cell r="F1314"/>
          <cell r="G1314">
            <v>162</v>
          </cell>
        </row>
        <row r="1315">
          <cell r="B1315" t="str">
            <v>A52B13501H08000</v>
          </cell>
          <cell r="C1315"/>
          <cell r="D1315">
            <v>60.4</v>
          </cell>
          <cell r="E1315">
            <v>234</v>
          </cell>
          <cell r="F1315"/>
          <cell r="G1315">
            <v>162</v>
          </cell>
        </row>
        <row r="1316">
          <cell r="B1316" t="str">
            <v>A52B14001H08000</v>
          </cell>
          <cell r="C1316"/>
          <cell r="D1316">
            <v>60.4</v>
          </cell>
          <cell r="E1316">
            <v>234</v>
          </cell>
          <cell r="F1316"/>
          <cell r="G1316">
            <v>162</v>
          </cell>
        </row>
        <row r="1317">
          <cell r="B1317" t="str">
            <v>A52AL0100J10000</v>
          </cell>
          <cell r="C1317"/>
          <cell r="D1317">
            <v>60.4</v>
          </cell>
          <cell r="E1317">
            <v>234</v>
          </cell>
          <cell r="F1317"/>
          <cell r="G1317">
            <v>162</v>
          </cell>
        </row>
        <row r="1318">
          <cell r="B1318" t="str">
            <v>A52JR3500H10003</v>
          </cell>
          <cell r="C1318"/>
          <cell r="D1318">
            <v>60.4</v>
          </cell>
          <cell r="E1318">
            <v>234</v>
          </cell>
          <cell r="F1318"/>
          <cell r="G1318">
            <v>162</v>
          </cell>
        </row>
        <row r="1319">
          <cell r="B1319" t="str">
            <v>A52JR4000H10002</v>
          </cell>
          <cell r="C1319"/>
          <cell r="D1319">
            <v>60.4</v>
          </cell>
          <cell r="E1319">
            <v>234</v>
          </cell>
          <cell r="F1319"/>
          <cell r="G1319">
            <v>162</v>
          </cell>
        </row>
        <row r="1320">
          <cell r="B1320" t="str">
            <v>A52AL0100H10000</v>
          </cell>
          <cell r="C1320"/>
          <cell r="D1320">
            <v>60.4</v>
          </cell>
          <cell r="E1320">
            <v>234</v>
          </cell>
          <cell r="F1320"/>
          <cell r="G1320">
            <v>162</v>
          </cell>
        </row>
        <row r="1321">
          <cell r="B1321" t="str">
            <v>A52B03501H08000</v>
          </cell>
          <cell r="C1321"/>
          <cell r="D1321">
            <v>60.4</v>
          </cell>
          <cell r="E1321">
            <v>234</v>
          </cell>
          <cell r="F1321"/>
          <cell r="G1321">
            <v>162</v>
          </cell>
        </row>
        <row r="1322">
          <cell r="B1322" t="str">
            <v>A52IM0002J10000</v>
          </cell>
          <cell r="C1322"/>
          <cell r="D1322">
            <v>60.4</v>
          </cell>
          <cell r="E1322">
            <v>234</v>
          </cell>
          <cell r="F1322"/>
          <cell r="G1322">
            <v>162</v>
          </cell>
        </row>
        <row r="1323">
          <cell r="B1323" t="str">
            <v>A52B13501H10000</v>
          </cell>
          <cell r="C1323"/>
          <cell r="D1323">
            <v>60.4</v>
          </cell>
          <cell r="E1323">
            <v>234</v>
          </cell>
          <cell r="F1323"/>
          <cell r="G1323">
            <v>162</v>
          </cell>
        </row>
        <row r="1324">
          <cell r="B1324" t="str">
            <v>A52B14001H10000</v>
          </cell>
          <cell r="C1324"/>
          <cell r="D1324">
            <v>60.4</v>
          </cell>
          <cell r="E1324">
            <v>234</v>
          </cell>
          <cell r="F1324"/>
          <cell r="G1324">
            <v>162</v>
          </cell>
        </row>
        <row r="1325">
          <cell r="B1325" t="str">
            <v>A52B03501H10000</v>
          </cell>
          <cell r="C1325"/>
          <cell r="D1325">
            <v>60.4</v>
          </cell>
          <cell r="E1325">
            <v>234</v>
          </cell>
          <cell r="F1325"/>
          <cell r="G1325">
            <v>162</v>
          </cell>
        </row>
        <row r="1326">
          <cell r="B1326" t="str">
            <v>A52B04001H10000</v>
          </cell>
          <cell r="C1326"/>
          <cell r="D1326">
            <v>60.4</v>
          </cell>
          <cell r="E1326">
            <v>234</v>
          </cell>
          <cell r="F1326"/>
          <cell r="G1326">
            <v>162</v>
          </cell>
        </row>
        <row r="1327">
          <cell r="B1327" t="str">
            <v>A52IM0000H10000</v>
          </cell>
          <cell r="C1327"/>
          <cell r="D1327">
            <v>60.4</v>
          </cell>
          <cell r="E1327">
            <v>234</v>
          </cell>
          <cell r="F1327"/>
          <cell r="G1327">
            <v>162</v>
          </cell>
        </row>
        <row r="1328">
          <cell r="B1328" t="str">
            <v>A42JL4000M10001</v>
          </cell>
          <cell r="C1328"/>
          <cell r="D1328">
            <v>60.4</v>
          </cell>
          <cell r="E1328">
            <v>234</v>
          </cell>
          <cell r="F1328"/>
          <cell r="G1328">
            <v>162</v>
          </cell>
        </row>
        <row r="1329">
          <cell r="B1329" t="str">
            <v>A42JR3500M10004</v>
          </cell>
          <cell r="C1329"/>
          <cell r="D1329">
            <v>60.4</v>
          </cell>
          <cell r="E1329">
            <v>234</v>
          </cell>
          <cell r="F1329"/>
          <cell r="G1329">
            <v>162</v>
          </cell>
        </row>
        <row r="1330">
          <cell r="B1330" t="str">
            <v>A42JR4000M10004</v>
          </cell>
          <cell r="C1330"/>
          <cell r="D1330">
            <v>60.4</v>
          </cell>
          <cell r="E1330">
            <v>234</v>
          </cell>
          <cell r="F1330"/>
          <cell r="G1330">
            <v>162</v>
          </cell>
        </row>
        <row r="1331">
          <cell r="B1331" t="str">
            <v>A42AL0200M10001</v>
          </cell>
          <cell r="C1331"/>
          <cell r="D1331">
            <v>60.4</v>
          </cell>
          <cell r="E1331">
            <v>234</v>
          </cell>
          <cell r="F1331"/>
          <cell r="G1331">
            <v>162</v>
          </cell>
        </row>
        <row r="1332">
          <cell r="B1332" t="str">
            <v>A42B23000H10000</v>
          </cell>
          <cell r="C1332"/>
          <cell r="D1332">
            <v>60.4</v>
          </cell>
          <cell r="E1332">
            <v>234</v>
          </cell>
          <cell r="F1332"/>
          <cell r="G1332">
            <v>162</v>
          </cell>
        </row>
        <row r="1333">
          <cell r="B1333" t="str">
            <v>A42FC0000M06500</v>
          </cell>
          <cell r="C1333"/>
          <cell r="D1333">
            <v>60.4</v>
          </cell>
          <cell r="E1333">
            <v>234</v>
          </cell>
          <cell r="F1333"/>
          <cell r="G1333">
            <v>162</v>
          </cell>
        </row>
        <row r="1334">
          <cell r="B1334" t="str">
            <v>A42JR4000J13000</v>
          </cell>
          <cell r="C1334"/>
          <cell r="D1334">
            <v>60.4</v>
          </cell>
          <cell r="E1334">
            <v>302</v>
          </cell>
          <cell r="F1334"/>
          <cell r="G1334">
            <v>174</v>
          </cell>
        </row>
        <row r="1335">
          <cell r="B1335" t="str">
            <v>A42JL5000M10001</v>
          </cell>
          <cell r="C1335"/>
          <cell r="D1335">
            <v>60.4</v>
          </cell>
          <cell r="E1335">
            <v>234</v>
          </cell>
          <cell r="F1335"/>
          <cell r="G1335">
            <v>162</v>
          </cell>
        </row>
        <row r="1336">
          <cell r="B1336" t="str">
            <v>A42AL0100M10001</v>
          </cell>
          <cell r="C1336"/>
          <cell r="D1336">
            <v>60.4</v>
          </cell>
          <cell r="E1336">
            <v>234</v>
          </cell>
          <cell r="F1336"/>
          <cell r="G1336">
            <v>162</v>
          </cell>
        </row>
        <row r="1337">
          <cell r="B1337" t="str">
            <v>A42JL5000H10000</v>
          </cell>
          <cell r="C1337"/>
          <cell r="D1337">
            <v>60.4</v>
          </cell>
          <cell r="E1337">
            <v>234</v>
          </cell>
          <cell r="F1337"/>
          <cell r="G1337">
            <v>162</v>
          </cell>
        </row>
        <row r="1338">
          <cell r="B1338" t="str">
            <v>A52SO4000H10000</v>
          </cell>
          <cell r="C1338"/>
          <cell r="D1338">
            <v>72.239999999999995</v>
          </cell>
          <cell r="E1338">
            <v>234</v>
          </cell>
          <cell r="F1338"/>
          <cell r="G1338">
            <v>252</v>
          </cell>
        </row>
        <row r="1339">
          <cell r="B1339" t="str">
            <v>A52IM0000J10000</v>
          </cell>
          <cell r="C1339"/>
          <cell r="D1339">
            <v>60.4</v>
          </cell>
          <cell r="E1339">
            <v>234</v>
          </cell>
          <cell r="F1339"/>
          <cell r="G1339">
            <v>162</v>
          </cell>
        </row>
        <row r="1340">
          <cell r="B1340" t="str">
            <v>A52JR4000J13000</v>
          </cell>
          <cell r="C1340"/>
          <cell r="D1340">
            <v>60.4</v>
          </cell>
          <cell r="E1340">
            <v>302</v>
          </cell>
          <cell r="F1340"/>
          <cell r="G1340">
            <v>174</v>
          </cell>
        </row>
        <row r="1341">
          <cell r="B1341" t="str">
            <v>A52AL0200J10000</v>
          </cell>
          <cell r="C1341"/>
          <cell r="D1341">
            <v>60.4</v>
          </cell>
          <cell r="E1341">
            <v>234</v>
          </cell>
          <cell r="F1341"/>
          <cell r="G1341">
            <v>162</v>
          </cell>
        </row>
        <row r="1342">
          <cell r="B1342" t="str">
            <v>A52JL5000H10001</v>
          </cell>
          <cell r="C1342"/>
          <cell r="D1342">
            <v>60.4</v>
          </cell>
          <cell r="E1342">
            <v>234</v>
          </cell>
          <cell r="F1342"/>
          <cell r="G1342">
            <v>162</v>
          </cell>
        </row>
        <row r="1343">
          <cell r="B1343" t="str">
            <v>A42SO3502J08000</v>
          </cell>
          <cell r="C1343"/>
          <cell r="D1343">
            <v>72</v>
          </cell>
          <cell r="E1343">
            <v>234</v>
          </cell>
          <cell r="F1343"/>
          <cell r="G1343">
            <v>252</v>
          </cell>
        </row>
        <row r="1344">
          <cell r="B1344" t="str">
            <v>A52JR4000M10002</v>
          </cell>
          <cell r="C1344"/>
          <cell r="D1344">
            <v>60.4</v>
          </cell>
          <cell r="E1344">
            <v>234</v>
          </cell>
          <cell r="F1344"/>
          <cell r="G1344">
            <v>162</v>
          </cell>
        </row>
        <row r="1345">
          <cell r="B1345" t="str">
            <v>A60P54012G11000</v>
          </cell>
          <cell r="C1345"/>
          <cell r="D1345">
            <v>60.4</v>
          </cell>
          <cell r="E1345">
            <v>234</v>
          </cell>
          <cell r="F1345"/>
          <cell r="G1345">
            <v>162</v>
          </cell>
        </row>
        <row r="1346">
          <cell r="B1346" t="str">
            <v>A60SO4000H10000</v>
          </cell>
          <cell r="C1346"/>
          <cell r="D1346">
            <v>72</v>
          </cell>
          <cell r="E1346">
            <v>234</v>
          </cell>
          <cell r="F1346"/>
          <cell r="G1346">
            <v>252</v>
          </cell>
        </row>
        <row r="1347">
          <cell r="B1347" t="str">
            <v>A60JR5000H10000M</v>
          </cell>
          <cell r="C1347"/>
          <cell r="D1347">
            <v>60.4</v>
          </cell>
          <cell r="E1347">
            <v>234</v>
          </cell>
          <cell r="F1347"/>
          <cell r="G1347">
            <v>162</v>
          </cell>
        </row>
        <row r="1348">
          <cell r="B1348" t="str">
            <v>A60JL5000H1000G</v>
          </cell>
          <cell r="C1348"/>
          <cell r="D1348">
            <v>60.4</v>
          </cell>
          <cell r="E1348">
            <v>234</v>
          </cell>
          <cell r="F1348"/>
          <cell r="G1348">
            <v>162</v>
          </cell>
        </row>
        <row r="1349">
          <cell r="B1349" t="str">
            <v>A60JR5000H10000</v>
          </cell>
          <cell r="C1349"/>
          <cell r="D1349">
            <v>60.4</v>
          </cell>
          <cell r="E1349">
            <v>234</v>
          </cell>
          <cell r="F1349"/>
          <cell r="G1349">
            <v>162</v>
          </cell>
        </row>
        <row r="1350">
          <cell r="B1350" t="str">
            <v>A60JL3500H10000</v>
          </cell>
          <cell r="C1350"/>
          <cell r="D1350">
            <v>60.4</v>
          </cell>
          <cell r="E1350">
            <v>234</v>
          </cell>
          <cell r="F1350"/>
          <cell r="G1350">
            <v>162</v>
          </cell>
        </row>
        <row r="1351">
          <cell r="B1351" t="str">
            <v>A60IM0000H10000</v>
          </cell>
          <cell r="C1351"/>
          <cell r="D1351">
            <v>60.4</v>
          </cell>
          <cell r="E1351">
            <v>234</v>
          </cell>
          <cell r="F1351"/>
          <cell r="G1351">
            <v>162</v>
          </cell>
        </row>
        <row r="1352">
          <cell r="B1352" t="str">
            <v>A52AL0102J10000</v>
          </cell>
          <cell r="C1352"/>
          <cell r="D1352">
            <v>60.4</v>
          </cell>
          <cell r="E1352">
            <v>234</v>
          </cell>
          <cell r="F1352"/>
          <cell r="G1352">
            <v>162</v>
          </cell>
        </row>
        <row r="1353">
          <cell r="B1353" t="str">
            <v>A52AL0202J10000</v>
          </cell>
          <cell r="C1353"/>
          <cell r="D1353">
            <v>60.4</v>
          </cell>
          <cell r="E1353">
            <v>234</v>
          </cell>
          <cell r="F1353"/>
          <cell r="G1353">
            <v>162</v>
          </cell>
        </row>
        <row r="1354">
          <cell r="B1354" t="str">
            <v>A52JL4002H10000</v>
          </cell>
          <cell r="C1354"/>
          <cell r="D1354">
            <v>60.4</v>
          </cell>
          <cell r="E1354">
            <v>234</v>
          </cell>
          <cell r="F1354"/>
          <cell r="G1354">
            <v>162</v>
          </cell>
        </row>
        <row r="1355">
          <cell r="B1355" t="str">
            <v>A52JR3500H10000</v>
          </cell>
          <cell r="C1355"/>
          <cell r="D1355">
            <v>60.4</v>
          </cell>
          <cell r="E1355">
            <v>234</v>
          </cell>
          <cell r="F1355"/>
          <cell r="G1355">
            <v>162</v>
          </cell>
        </row>
        <row r="1356">
          <cell r="B1356" t="str">
            <v>A52JR3502H10000</v>
          </cell>
          <cell r="C1356"/>
          <cell r="D1356">
            <v>60.4</v>
          </cell>
          <cell r="E1356">
            <v>234</v>
          </cell>
          <cell r="F1356"/>
          <cell r="G1356">
            <v>162</v>
          </cell>
        </row>
        <row r="1357">
          <cell r="B1357" t="str">
            <v>A52JR4002H10000</v>
          </cell>
          <cell r="C1357"/>
          <cell r="D1357">
            <v>60.4</v>
          </cell>
          <cell r="E1357">
            <v>234</v>
          </cell>
          <cell r="F1357"/>
          <cell r="G1357">
            <v>162</v>
          </cell>
        </row>
        <row r="1358">
          <cell r="B1358" t="str">
            <v>A52B03500H10000</v>
          </cell>
          <cell r="C1358"/>
          <cell r="D1358">
            <v>60.4</v>
          </cell>
          <cell r="E1358">
            <v>234</v>
          </cell>
          <cell r="F1358"/>
          <cell r="G1358">
            <v>162</v>
          </cell>
        </row>
        <row r="1359">
          <cell r="B1359" t="str">
            <v>A52B04000H10000</v>
          </cell>
          <cell r="C1359"/>
          <cell r="D1359">
            <v>60.4</v>
          </cell>
          <cell r="E1359">
            <v>234</v>
          </cell>
          <cell r="F1359"/>
          <cell r="G1359">
            <v>162</v>
          </cell>
        </row>
        <row r="1360">
          <cell r="B1360" t="str">
            <v>A52B13500H10000</v>
          </cell>
          <cell r="C1360"/>
          <cell r="D1360">
            <v>60.4</v>
          </cell>
          <cell r="E1360">
            <v>234</v>
          </cell>
          <cell r="F1360"/>
          <cell r="G1360">
            <v>162</v>
          </cell>
        </row>
        <row r="1361">
          <cell r="B1361" t="str">
            <v>A52B14000H10000</v>
          </cell>
          <cell r="C1361"/>
          <cell r="D1361">
            <v>60.4</v>
          </cell>
          <cell r="E1361">
            <v>234</v>
          </cell>
          <cell r="F1361"/>
          <cell r="G1361">
            <v>162</v>
          </cell>
        </row>
        <row r="1362">
          <cell r="B1362" t="str">
            <v>A52JL5002J10000</v>
          </cell>
          <cell r="C1362"/>
          <cell r="D1362">
            <v>60.4</v>
          </cell>
          <cell r="E1362">
            <v>234</v>
          </cell>
          <cell r="F1362"/>
          <cell r="G1362">
            <v>162</v>
          </cell>
        </row>
        <row r="1363">
          <cell r="B1363" t="str">
            <v>A52SO3002J10000</v>
          </cell>
          <cell r="C1363"/>
          <cell r="D1363">
            <v>72.239999999999995</v>
          </cell>
          <cell r="E1363">
            <v>234</v>
          </cell>
          <cell r="F1363"/>
          <cell r="G1363">
            <v>252</v>
          </cell>
        </row>
        <row r="1364">
          <cell r="B1364" t="str">
            <v>A52SO3500J10000</v>
          </cell>
          <cell r="C1364"/>
          <cell r="D1364">
            <v>72.239999999999995</v>
          </cell>
          <cell r="E1364">
            <v>234</v>
          </cell>
          <cell r="F1364"/>
          <cell r="G1364">
            <v>252</v>
          </cell>
        </row>
        <row r="1365">
          <cell r="B1365" t="str">
            <v>A52SO4000J10000</v>
          </cell>
          <cell r="C1365"/>
          <cell r="D1365">
            <v>72.239999999999995</v>
          </cell>
          <cell r="E1365">
            <v>234</v>
          </cell>
          <cell r="F1365"/>
          <cell r="G1365">
            <v>252</v>
          </cell>
        </row>
        <row r="1366">
          <cell r="B1366" t="str">
            <v>A52SO4002J10000</v>
          </cell>
          <cell r="C1366"/>
          <cell r="D1366">
            <v>72.239999999999995</v>
          </cell>
          <cell r="E1366">
            <v>234</v>
          </cell>
          <cell r="F1366"/>
          <cell r="G1366">
            <v>252</v>
          </cell>
        </row>
        <row r="1367">
          <cell r="B1367" t="str">
            <v>A52JL3502H10000</v>
          </cell>
          <cell r="C1367"/>
          <cell r="D1367">
            <v>60.4</v>
          </cell>
          <cell r="E1367">
            <v>234</v>
          </cell>
          <cell r="F1367"/>
          <cell r="G1367">
            <v>162</v>
          </cell>
        </row>
        <row r="1368">
          <cell r="B1368" t="str">
            <v>A42B03501H10000</v>
          </cell>
          <cell r="C1368"/>
          <cell r="D1368">
            <v>60.4</v>
          </cell>
          <cell r="E1368">
            <v>234</v>
          </cell>
          <cell r="F1368"/>
          <cell r="G1368">
            <v>162</v>
          </cell>
        </row>
        <row r="1369">
          <cell r="B1369" t="str">
            <v>A42B03500H10000</v>
          </cell>
          <cell r="C1369"/>
          <cell r="D1369">
            <v>60.4</v>
          </cell>
          <cell r="E1369">
            <v>234</v>
          </cell>
          <cell r="F1369"/>
          <cell r="G1369">
            <v>162</v>
          </cell>
        </row>
        <row r="1370">
          <cell r="B1370" t="str">
            <v>A42B13500H10000</v>
          </cell>
          <cell r="C1370"/>
          <cell r="D1370">
            <v>60.4</v>
          </cell>
          <cell r="E1370">
            <v>234</v>
          </cell>
          <cell r="F1370"/>
          <cell r="G1370">
            <v>162</v>
          </cell>
        </row>
        <row r="1371">
          <cell r="B1371" t="str">
            <v>A42B23500H10000</v>
          </cell>
          <cell r="C1371"/>
          <cell r="D1371">
            <v>60.4</v>
          </cell>
          <cell r="E1371">
            <v>234</v>
          </cell>
          <cell r="F1371"/>
          <cell r="G1371">
            <v>162</v>
          </cell>
        </row>
        <row r="1372">
          <cell r="B1372" t="str">
            <v>A42B04001H10000</v>
          </cell>
          <cell r="C1372"/>
          <cell r="D1372">
            <v>60.4</v>
          </cell>
          <cell r="E1372">
            <v>234</v>
          </cell>
          <cell r="F1372"/>
          <cell r="G1372">
            <v>162</v>
          </cell>
        </row>
        <row r="1373">
          <cell r="B1373" t="str">
            <v>A42B04000H10000</v>
          </cell>
          <cell r="C1373"/>
          <cell r="D1373">
            <v>60.4</v>
          </cell>
          <cell r="E1373">
            <v>234</v>
          </cell>
          <cell r="F1373"/>
          <cell r="G1373">
            <v>162</v>
          </cell>
        </row>
        <row r="1374">
          <cell r="B1374" t="str">
            <v>A42B14000H10000</v>
          </cell>
          <cell r="C1374"/>
          <cell r="D1374">
            <v>60.4</v>
          </cell>
          <cell r="E1374">
            <v>234</v>
          </cell>
          <cell r="F1374"/>
          <cell r="G1374">
            <v>162</v>
          </cell>
        </row>
        <row r="1375">
          <cell r="B1375" t="str">
            <v>A42B34000H10000</v>
          </cell>
          <cell r="C1375"/>
          <cell r="D1375">
            <v>60.4</v>
          </cell>
          <cell r="E1375">
            <v>234</v>
          </cell>
          <cell r="F1375"/>
          <cell r="G1375">
            <v>162</v>
          </cell>
        </row>
        <row r="1376">
          <cell r="B1376" t="str">
            <v>A50P44010G11000</v>
          </cell>
          <cell r="C1376"/>
          <cell r="D1376">
            <v>60.4</v>
          </cell>
          <cell r="E1376">
            <v>234</v>
          </cell>
          <cell r="F1376"/>
          <cell r="G1376">
            <v>162</v>
          </cell>
        </row>
        <row r="1377">
          <cell r="B1377" t="str">
            <v>A52JL3502J10000</v>
          </cell>
          <cell r="C1377"/>
          <cell r="D1377">
            <v>60.4</v>
          </cell>
          <cell r="E1377">
            <v>234</v>
          </cell>
          <cell r="F1377"/>
          <cell r="G1377">
            <v>162</v>
          </cell>
        </row>
        <row r="1378">
          <cell r="B1378" t="str">
            <v>A52JL4002J10000</v>
          </cell>
          <cell r="C1378"/>
          <cell r="D1378">
            <v>60.4</v>
          </cell>
          <cell r="E1378">
            <v>234</v>
          </cell>
          <cell r="F1378"/>
          <cell r="G1378">
            <v>162</v>
          </cell>
        </row>
        <row r="1379">
          <cell r="B1379" t="str">
            <v>A52JL4500J10000</v>
          </cell>
          <cell r="C1379"/>
          <cell r="D1379">
            <v>60.4</v>
          </cell>
          <cell r="E1379">
            <v>234</v>
          </cell>
          <cell r="F1379"/>
          <cell r="G1379">
            <v>162</v>
          </cell>
        </row>
        <row r="1380">
          <cell r="B1380" t="str">
            <v>A52JL4502J10000</v>
          </cell>
          <cell r="C1380"/>
          <cell r="D1380">
            <v>60.4</v>
          </cell>
          <cell r="E1380">
            <v>234</v>
          </cell>
          <cell r="F1380"/>
          <cell r="G1380">
            <v>162</v>
          </cell>
        </row>
        <row r="1381">
          <cell r="B1381" t="str">
            <v>A52JR4002J10000</v>
          </cell>
          <cell r="C1381"/>
          <cell r="D1381">
            <v>60.4</v>
          </cell>
          <cell r="E1381">
            <v>234</v>
          </cell>
          <cell r="F1381"/>
          <cell r="G1381">
            <v>162</v>
          </cell>
        </row>
        <row r="1382">
          <cell r="B1382" t="str">
            <v>A52JR3500J10000</v>
          </cell>
          <cell r="C1382"/>
          <cell r="D1382">
            <v>60.4</v>
          </cell>
          <cell r="E1382">
            <v>234</v>
          </cell>
          <cell r="F1382"/>
          <cell r="G1382">
            <v>162</v>
          </cell>
        </row>
        <row r="1383">
          <cell r="B1383" t="str">
            <v>A52JR3502J10000</v>
          </cell>
          <cell r="C1383"/>
          <cell r="D1383">
            <v>60.4</v>
          </cell>
          <cell r="E1383">
            <v>234</v>
          </cell>
          <cell r="F1383"/>
          <cell r="G1383">
            <v>162</v>
          </cell>
        </row>
        <row r="1384">
          <cell r="B1384" t="str">
            <v>A52JL3500H10000</v>
          </cell>
          <cell r="C1384"/>
          <cell r="D1384">
            <v>60.4</v>
          </cell>
          <cell r="E1384">
            <v>234</v>
          </cell>
          <cell r="F1384"/>
          <cell r="G1384">
            <v>162</v>
          </cell>
        </row>
        <row r="1385">
          <cell r="B1385" t="str">
            <v>A42B13501J10000</v>
          </cell>
          <cell r="C1385"/>
          <cell r="D1385">
            <v>60.4</v>
          </cell>
          <cell r="E1385">
            <v>234</v>
          </cell>
          <cell r="F1385"/>
          <cell r="G1385">
            <v>162</v>
          </cell>
        </row>
        <row r="1386">
          <cell r="B1386" t="str">
            <v>A42B04001J10000</v>
          </cell>
          <cell r="C1386"/>
          <cell r="D1386">
            <v>60.4</v>
          </cell>
          <cell r="E1386">
            <v>234</v>
          </cell>
          <cell r="F1386"/>
          <cell r="G1386">
            <v>162</v>
          </cell>
        </row>
        <row r="1387">
          <cell r="B1387" t="str">
            <v>A42JR5000J10000</v>
          </cell>
          <cell r="C1387"/>
          <cell r="D1387">
            <v>60.4</v>
          </cell>
          <cell r="E1387">
            <v>234</v>
          </cell>
          <cell r="F1387"/>
          <cell r="G1387">
            <v>162</v>
          </cell>
        </row>
        <row r="1388">
          <cell r="B1388" t="str">
            <v>A42FC0000M11500</v>
          </cell>
          <cell r="C1388"/>
          <cell r="D1388">
            <v>60.4</v>
          </cell>
          <cell r="E1388">
            <v>302</v>
          </cell>
          <cell r="F1388"/>
          <cell r="G1388">
            <v>174</v>
          </cell>
        </row>
        <row r="1389">
          <cell r="B1389" t="str">
            <v>A50P73008G13001</v>
          </cell>
          <cell r="C1389"/>
          <cell r="D1389">
            <v>60.4</v>
          </cell>
          <cell r="E1389">
            <v>302</v>
          </cell>
          <cell r="F1389"/>
          <cell r="G1389">
            <v>174</v>
          </cell>
        </row>
        <row r="1390">
          <cell r="B1390" t="str">
            <v>A52JL3500J10000</v>
          </cell>
          <cell r="C1390"/>
          <cell r="D1390">
            <v>60.4</v>
          </cell>
          <cell r="E1390">
            <v>234</v>
          </cell>
          <cell r="F1390"/>
          <cell r="G1390">
            <v>162</v>
          </cell>
        </row>
        <row r="1391">
          <cell r="B1391" t="str">
            <v>A42JR5000H10000</v>
          </cell>
          <cell r="C1391"/>
          <cell r="D1391">
            <v>60.4</v>
          </cell>
          <cell r="E1391">
            <v>234</v>
          </cell>
          <cell r="F1391"/>
          <cell r="G1391">
            <v>162</v>
          </cell>
        </row>
        <row r="1392">
          <cell r="B1392" t="str">
            <v>A42JR5002H10000</v>
          </cell>
          <cell r="C1392"/>
          <cell r="D1392">
            <v>60.4</v>
          </cell>
          <cell r="E1392">
            <v>234</v>
          </cell>
          <cell r="F1392"/>
          <cell r="G1392">
            <v>162</v>
          </cell>
        </row>
        <row r="1393">
          <cell r="B1393" t="str">
            <v>A42JL3702J10000</v>
          </cell>
          <cell r="C1393"/>
          <cell r="D1393">
            <v>60.4</v>
          </cell>
          <cell r="E1393">
            <v>234</v>
          </cell>
          <cell r="F1393"/>
          <cell r="G1393">
            <v>162</v>
          </cell>
        </row>
        <row r="1394">
          <cell r="B1394" t="str">
            <v>A42FC0000M13000</v>
          </cell>
          <cell r="C1394"/>
          <cell r="D1394">
            <v>60.4</v>
          </cell>
          <cell r="E1394">
            <v>302</v>
          </cell>
          <cell r="F1394"/>
          <cell r="G1394">
            <v>174</v>
          </cell>
        </row>
        <row r="1395">
          <cell r="B1395" t="str">
            <v>A42B24502J10001</v>
          </cell>
          <cell r="C1395"/>
          <cell r="D1395">
            <v>60.4</v>
          </cell>
          <cell r="E1395">
            <v>234</v>
          </cell>
          <cell r="F1395"/>
          <cell r="G1395">
            <v>162</v>
          </cell>
        </row>
        <row r="1396">
          <cell r="B1396" t="str">
            <v>A42FC0000M08000</v>
          </cell>
          <cell r="C1396"/>
          <cell r="D1396">
            <v>60.4</v>
          </cell>
          <cell r="E1396">
            <v>234</v>
          </cell>
          <cell r="F1396"/>
          <cell r="G1396">
            <v>162</v>
          </cell>
        </row>
        <row r="1397">
          <cell r="B1397" t="str">
            <v>A42FC4500J08000</v>
          </cell>
          <cell r="C1397"/>
          <cell r="D1397">
            <v>60.4</v>
          </cell>
          <cell r="E1397">
            <v>234</v>
          </cell>
          <cell r="F1397"/>
          <cell r="G1397">
            <v>162</v>
          </cell>
        </row>
        <row r="1398">
          <cell r="B1398" t="str">
            <v>A42FC3000J08000</v>
          </cell>
          <cell r="C1398"/>
          <cell r="D1398">
            <v>60.4</v>
          </cell>
          <cell r="E1398">
            <v>234</v>
          </cell>
          <cell r="F1398"/>
          <cell r="G1398">
            <v>162</v>
          </cell>
        </row>
        <row r="1399">
          <cell r="B1399" t="str">
            <v>A42SO4002H13000</v>
          </cell>
          <cell r="C1399"/>
          <cell r="D1399">
            <v>72</v>
          </cell>
          <cell r="E1399">
            <v>302</v>
          </cell>
          <cell r="F1399"/>
          <cell r="G1399">
            <v>264</v>
          </cell>
        </row>
        <row r="1400">
          <cell r="B1400" t="str">
            <v>A42JL5000J10000</v>
          </cell>
          <cell r="C1400"/>
          <cell r="D1400">
            <v>60.4</v>
          </cell>
          <cell r="E1400">
            <v>234</v>
          </cell>
          <cell r="F1400"/>
          <cell r="G1400">
            <v>162</v>
          </cell>
        </row>
        <row r="1401">
          <cell r="B1401" t="str">
            <v>A42AL0100J10000</v>
          </cell>
          <cell r="C1401"/>
          <cell r="D1401">
            <v>60.4</v>
          </cell>
          <cell r="E1401">
            <v>234</v>
          </cell>
          <cell r="F1401"/>
          <cell r="G1401">
            <v>162</v>
          </cell>
        </row>
        <row r="1402">
          <cell r="B1402" t="str">
            <v>A42AL0200J10000</v>
          </cell>
          <cell r="C1402"/>
          <cell r="D1402">
            <v>60.4</v>
          </cell>
          <cell r="E1402">
            <v>234</v>
          </cell>
          <cell r="F1402"/>
          <cell r="G1402">
            <v>162</v>
          </cell>
        </row>
        <row r="1403">
          <cell r="B1403" t="str">
            <v>A42IM0000J10000</v>
          </cell>
          <cell r="C1403"/>
          <cell r="D1403">
            <v>60.4</v>
          </cell>
          <cell r="E1403">
            <v>234</v>
          </cell>
          <cell r="F1403"/>
          <cell r="G1403">
            <v>162</v>
          </cell>
        </row>
        <row r="1404">
          <cell r="B1404" t="str">
            <v>A42B14001J10000</v>
          </cell>
          <cell r="C1404"/>
          <cell r="D1404">
            <v>60.4</v>
          </cell>
          <cell r="E1404">
            <v>234</v>
          </cell>
          <cell r="F1404"/>
          <cell r="G1404">
            <v>162</v>
          </cell>
        </row>
        <row r="1405">
          <cell r="B1405" t="str">
            <v>A42B04002J10000</v>
          </cell>
          <cell r="C1405"/>
          <cell r="D1405">
            <v>60.4</v>
          </cell>
          <cell r="E1405">
            <v>234</v>
          </cell>
          <cell r="F1405"/>
          <cell r="G1405">
            <v>162</v>
          </cell>
        </row>
        <row r="1406">
          <cell r="B1406" t="str">
            <v>A42B03501J10000</v>
          </cell>
          <cell r="C1406"/>
          <cell r="D1406">
            <v>60.4</v>
          </cell>
          <cell r="E1406">
            <v>234</v>
          </cell>
          <cell r="F1406"/>
          <cell r="G1406">
            <v>162</v>
          </cell>
        </row>
        <row r="1407">
          <cell r="B1407" t="str">
            <v>A52JR4000H10003</v>
          </cell>
          <cell r="C1407"/>
          <cell r="D1407">
            <v>60.4</v>
          </cell>
          <cell r="E1407">
            <v>234</v>
          </cell>
          <cell r="F1407"/>
          <cell r="G1407">
            <v>162</v>
          </cell>
        </row>
        <row r="1408">
          <cell r="B1408" t="str">
            <v>A52JR4000H10000</v>
          </cell>
          <cell r="C1408"/>
          <cell r="D1408">
            <v>60.4</v>
          </cell>
          <cell r="E1408">
            <v>234</v>
          </cell>
          <cell r="F1408"/>
          <cell r="G1408">
            <v>162</v>
          </cell>
        </row>
        <row r="1409">
          <cell r="B1409" t="str">
            <v>A42B23502J10000</v>
          </cell>
          <cell r="C1409"/>
          <cell r="D1409">
            <v>60.4</v>
          </cell>
          <cell r="E1409">
            <v>234</v>
          </cell>
          <cell r="F1409"/>
          <cell r="G1409">
            <v>162</v>
          </cell>
        </row>
        <row r="1410">
          <cell r="B1410" t="str">
            <v>A42JR3500J10000</v>
          </cell>
          <cell r="C1410"/>
          <cell r="D1410">
            <v>60.4</v>
          </cell>
          <cell r="E1410">
            <v>234</v>
          </cell>
          <cell r="F1410"/>
          <cell r="G1410">
            <v>162</v>
          </cell>
        </row>
        <row r="1411">
          <cell r="B1411" t="str">
            <v>A42JR3502J10000</v>
          </cell>
          <cell r="C1411"/>
          <cell r="D1411">
            <v>60.4</v>
          </cell>
          <cell r="E1411">
            <v>234</v>
          </cell>
          <cell r="F1411"/>
          <cell r="G1411">
            <v>162</v>
          </cell>
        </row>
        <row r="1412">
          <cell r="B1412" t="str">
            <v>A42JL3502J10000</v>
          </cell>
          <cell r="C1412"/>
          <cell r="D1412">
            <v>60.4</v>
          </cell>
          <cell r="E1412">
            <v>234</v>
          </cell>
          <cell r="F1412"/>
          <cell r="G1412">
            <v>162</v>
          </cell>
        </row>
        <row r="1413">
          <cell r="B1413" t="str">
            <v>A42JL4500J10000</v>
          </cell>
          <cell r="C1413"/>
          <cell r="D1413">
            <v>60.4</v>
          </cell>
          <cell r="E1413">
            <v>234</v>
          </cell>
          <cell r="F1413"/>
          <cell r="G1413">
            <v>162</v>
          </cell>
        </row>
        <row r="1414">
          <cell r="B1414" t="str">
            <v>A42P54012G13000</v>
          </cell>
          <cell r="C1414"/>
          <cell r="D1414">
            <v>60.4</v>
          </cell>
          <cell r="E1414">
            <v>302</v>
          </cell>
          <cell r="F1414"/>
          <cell r="G1414">
            <v>174</v>
          </cell>
        </row>
        <row r="1415">
          <cell r="B1415" t="str">
            <v>A42JL5002J10000</v>
          </cell>
          <cell r="C1415"/>
          <cell r="D1415">
            <v>60.4</v>
          </cell>
          <cell r="E1415">
            <v>234</v>
          </cell>
          <cell r="F1415"/>
          <cell r="G1415">
            <v>162</v>
          </cell>
        </row>
        <row r="1416">
          <cell r="B1416" t="str">
            <v>A42JR5002J10000</v>
          </cell>
          <cell r="C1416"/>
          <cell r="D1416">
            <v>60.4</v>
          </cell>
          <cell r="E1416">
            <v>234</v>
          </cell>
          <cell r="F1416"/>
          <cell r="G1416">
            <v>162</v>
          </cell>
        </row>
        <row r="1417">
          <cell r="B1417" t="str">
            <v>A42AL0102J10000</v>
          </cell>
          <cell r="C1417"/>
          <cell r="D1417">
            <v>60.4</v>
          </cell>
          <cell r="E1417">
            <v>234</v>
          </cell>
          <cell r="F1417"/>
          <cell r="G1417">
            <v>162</v>
          </cell>
        </row>
        <row r="1418">
          <cell r="B1418" t="str">
            <v>A42IM0002J10000</v>
          </cell>
          <cell r="C1418"/>
          <cell r="D1418">
            <v>60.4</v>
          </cell>
          <cell r="E1418">
            <v>234</v>
          </cell>
          <cell r="F1418"/>
          <cell r="G1418">
            <v>162</v>
          </cell>
        </row>
        <row r="1419">
          <cell r="B1419" t="str">
            <v>A42P54012G13500</v>
          </cell>
          <cell r="C1419"/>
          <cell r="D1419">
            <v>60.4</v>
          </cell>
          <cell r="E1419">
            <v>302</v>
          </cell>
          <cell r="F1419"/>
          <cell r="G1419">
            <v>174</v>
          </cell>
        </row>
        <row r="1420">
          <cell r="B1420" t="str">
            <v>A42JL4000J10041</v>
          </cell>
          <cell r="C1420"/>
          <cell r="D1420">
            <v>60.4</v>
          </cell>
          <cell r="E1420">
            <v>234</v>
          </cell>
          <cell r="F1420"/>
          <cell r="G1420">
            <v>162</v>
          </cell>
        </row>
        <row r="1421">
          <cell r="B1421" t="str">
            <v>A42FC0000J11500</v>
          </cell>
          <cell r="C1421"/>
          <cell r="D1421">
            <v>60.4</v>
          </cell>
          <cell r="E1421">
            <v>302</v>
          </cell>
          <cell r="F1421"/>
          <cell r="G1421">
            <v>174</v>
          </cell>
        </row>
        <row r="1422">
          <cell r="B1422" t="str">
            <v>A42B34001J10001</v>
          </cell>
          <cell r="C1422"/>
          <cell r="D1422">
            <v>60.4</v>
          </cell>
          <cell r="E1422">
            <v>234</v>
          </cell>
          <cell r="F1422"/>
          <cell r="G1422">
            <v>162</v>
          </cell>
        </row>
        <row r="1423">
          <cell r="B1423" t="str">
            <v>A42JL4002J10000</v>
          </cell>
          <cell r="C1423"/>
          <cell r="D1423">
            <v>60.4</v>
          </cell>
          <cell r="E1423">
            <v>234</v>
          </cell>
          <cell r="F1423"/>
          <cell r="G1423">
            <v>162</v>
          </cell>
        </row>
        <row r="1424">
          <cell r="B1424" t="str">
            <v>A42JL4000H10000</v>
          </cell>
          <cell r="C1424"/>
          <cell r="D1424">
            <v>60.4</v>
          </cell>
          <cell r="E1424">
            <v>234</v>
          </cell>
          <cell r="F1424"/>
          <cell r="G1424">
            <v>162</v>
          </cell>
        </row>
        <row r="1425">
          <cell r="B1425" t="str">
            <v>A42JL4002H10000</v>
          </cell>
          <cell r="C1425"/>
          <cell r="D1425">
            <v>60.4</v>
          </cell>
          <cell r="E1425">
            <v>234</v>
          </cell>
          <cell r="F1425"/>
          <cell r="G1425">
            <v>162</v>
          </cell>
        </row>
        <row r="1426">
          <cell r="B1426" t="str">
            <v>A42JR4000H10000</v>
          </cell>
          <cell r="C1426"/>
          <cell r="D1426">
            <v>60.4</v>
          </cell>
          <cell r="E1426">
            <v>234</v>
          </cell>
          <cell r="F1426"/>
          <cell r="G1426">
            <v>162</v>
          </cell>
        </row>
        <row r="1427">
          <cell r="B1427" t="str">
            <v>A42JR4002H10000</v>
          </cell>
          <cell r="C1427"/>
          <cell r="D1427">
            <v>60.4</v>
          </cell>
          <cell r="E1427">
            <v>234</v>
          </cell>
          <cell r="F1427"/>
          <cell r="G1427">
            <v>162</v>
          </cell>
        </row>
        <row r="1428">
          <cell r="B1428" t="str">
            <v>A42SO4000H10000</v>
          </cell>
          <cell r="C1428"/>
          <cell r="D1428">
            <v>72</v>
          </cell>
          <cell r="E1428">
            <v>234</v>
          </cell>
          <cell r="F1428"/>
          <cell r="G1428">
            <v>252</v>
          </cell>
        </row>
        <row r="1429">
          <cell r="B1429" t="str">
            <v>A42SO4002H10000</v>
          </cell>
          <cell r="C1429"/>
          <cell r="D1429">
            <v>72</v>
          </cell>
          <cell r="E1429">
            <v>234</v>
          </cell>
          <cell r="F1429"/>
          <cell r="G1429">
            <v>252</v>
          </cell>
        </row>
        <row r="1430">
          <cell r="B1430" t="str">
            <v>A42B04001H08000</v>
          </cell>
          <cell r="C1430"/>
          <cell r="D1430">
            <v>60.4</v>
          </cell>
          <cell r="E1430">
            <v>234</v>
          </cell>
          <cell r="F1430"/>
          <cell r="G1430">
            <v>162</v>
          </cell>
        </row>
        <row r="1431">
          <cell r="B1431" t="str">
            <v>A42JL5002H10000</v>
          </cell>
          <cell r="C1431"/>
          <cell r="D1431">
            <v>60.4</v>
          </cell>
          <cell r="E1431">
            <v>234</v>
          </cell>
          <cell r="F1431"/>
          <cell r="G1431">
            <v>162</v>
          </cell>
        </row>
        <row r="1432">
          <cell r="B1432" t="str">
            <v>A42JR4002J10000</v>
          </cell>
          <cell r="C1432"/>
          <cell r="D1432">
            <v>60.4</v>
          </cell>
          <cell r="E1432">
            <v>234</v>
          </cell>
          <cell r="F1432"/>
          <cell r="G1432">
            <v>162</v>
          </cell>
        </row>
        <row r="1433">
          <cell r="B1433" t="str">
            <v>A50P54012G13000</v>
          </cell>
          <cell r="C1433"/>
          <cell r="D1433">
            <v>60.4</v>
          </cell>
          <cell r="E1433">
            <v>302</v>
          </cell>
          <cell r="F1433"/>
          <cell r="G1433">
            <v>174</v>
          </cell>
        </row>
        <row r="1434">
          <cell r="B1434" t="str">
            <v>A52JL4000J10000</v>
          </cell>
          <cell r="C1434"/>
          <cell r="D1434">
            <v>60.4</v>
          </cell>
          <cell r="E1434">
            <v>234</v>
          </cell>
          <cell r="F1434"/>
          <cell r="G1434">
            <v>162</v>
          </cell>
        </row>
        <row r="1435">
          <cell r="B1435" t="str">
            <v>A52JR4000J10000</v>
          </cell>
          <cell r="C1435"/>
          <cell r="D1435">
            <v>60.4</v>
          </cell>
          <cell r="E1435">
            <v>234</v>
          </cell>
          <cell r="F1435"/>
          <cell r="G1435">
            <v>162</v>
          </cell>
        </row>
        <row r="1436">
          <cell r="B1436" t="str">
            <v>A52B04001H08000</v>
          </cell>
          <cell r="C1436"/>
          <cell r="D1436">
            <v>60.4</v>
          </cell>
          <cell r="E1436">
            <v>234</v>
          </cell>
          <cell r="F1436"/>
          <cell r="G1436">
            <v>162</v>
          </cell>
        </row>
        <row r="1437">
          <cell r="B1437" t="str">
            <v>A52JL4000H10000</v>
          </cell>
          <cell r="C1437"/>
          <cell r="D1437">
            <v>60.4</v>
          </cell>
          <cell r="E1437">
            <v>234</v>
          </cell>
          <cell r="F1437"/>
          <cell r="G1437">
            <v>162</v>
          </cell>
        </row>
        <row r="1438">
          <cell r="B1438" t="str">
            <v>A52JL4000H10001</v>
          </cell>
          <cell r="C1438"/>
          <cell r="D1438">
            <v>60.4</v>
          </cell>
          <cell r="E1438">
            <v>234</v>
          </cell>
          <cell r="F1438"/>
          <cell r="G1438">
            <v>162</v>
          </cell>
        </row>
        <row r="1439">
          <cell r="B1439" t="str">
            <v>A42JL4002J1000G</v>
          </cell>
          <cell r="C1439"/>
          <cell r="D1439">
            <v>60.4</v>
          </cell>
          <cell r="E1439">
            <v>234</v>
          </cell>
          <cell r="F1439"/>
          <cell r="G1439">
            <v>162</v>
          </cell>
        </row>
        <row r="1440">
          <cell r="B1440" t="str">
            <v>A42P34006G110P0</v>
          </cell>
          <cell r="C1440"/>
          <cell r="D1440">
            <v>60.4</v>
          </cell>
          <cell r="E1440">
            <v>234</v>
          </cell>
          <cell r="F1440"/>
          <cell r="G1440">
            <v>162</v>
          </cell>
        </row>
        <row r="1441">
          <cell r="B1441" t="str">
            <v>A42B14002H10004</v>
          </cell>
          <cell r="C1441"/>
          <cell r="D1441">
            <v>60.4</v>
          </cell>
          <cell r="E1441">
            <v>234</v>
          </cell>
          <cell r="F1441"/>
          <cell r="G1441">
            <v>162</v>
          </cell>
        </row>
        <row r="1442">
          <cell r="B1442" t="str">
            <v>A52AL0102J10004</v>
          </cell>
          <cell r="C1442"/>
          <cell r="D1442">
            <v>60.4</v>
          </cell>
          <cell r="E1442">
            <v>234</v>
          </cell>
          <cell r="F1442"/>
          <cell r="G1442">
            <v>162</v>
          </cell>
        </row>
        <row r="1443">
          <cell r="B1443" t="str">
            <v>A52AL0200M10000M</v>
          </cell>
          <cell r="C1443"/>
          <cell r="D1443">
            <v>60.4</v>
          </cell>
          <cell r="E1443">
            <v>234</v>
          </cell>
          <cell r="F1443"/>
          <cell r="G1443">
            <v>162</v>
          </cell>
        </row>
        <row r="1444">
          <cell r="B1444" t="str">
            <v>A52JB0200J13000</v>
          </cell>
          <cell r="C1444"/>
          <cell r="D1444">
            <v>60.4</v>
          </cell>
          <cell r="E1444">
            <v>302</v>
          </cell>
          <cell r="F1444"/>
          <cell r="G1444">
            <v>174</v>
          </cell>
        </row>
        <row r="1445">
          <cell r="B1445" t="str">
            <v>A52B14002H10004</v>
          </cell>
          <cell r="C1445"/>
          <cell r="D1445">
            <v>60.4</v>
          </cell>
          <cell r="E1445">
            <v>234</v>
          </cell>
          <cell r="F1445"/>
          <cell r="G1445">
            <v>162</v>
          </cell>
        </row>
        <row r="1446">
          <cell r="B1446" t="str">
            <v>A60JB0200J12500</v>
          </cell>
          <cell r="C1446"/>
          <cell r="D1446">
            <v>60.4</v>
          </cell>
          <cell r="E1446">
            <v>302</v>
          </cell>
          <cell r="F1446"/>
          <cell r="G1446">
            <v>174</v>
          </cell>
        </row>
        <row r="1447">
          <cell r="B1447" t="str">
            <v>A42JL3502J1000G</v>
          </cell>
          <cell r="C1447"/>
          <cell r="D1447">
            <v>60.4</v>
          </cell>
          <cell r="E1447">
            <v>234</v>
          </cell>
          <cell r="F1447"/>
          <cell r="G1447">
            <v>162</v>
          </cell>
        </row>
        <row r="1448">
          <cell r="B1448" t="str">
            <v>A50P43004G090P1</v>
          </cell>
          <cell r="C1448"/>
          <cell r="D1448">
            <v>60.4</v>
          </cell>
          <cell r="E1448">
            <v>234</v>
          </cell>
          <cell r="F1448"/>
          <cell r="G1448">
            <v>162</v>
          </cell>
        </row>
        <row r="1449">
          <cell r="B1449" t="str">
            <v>A50P04012G11000</v>
          </cell>
          <cell r="C1449"/>
          <cell r="D1449">
            <v>60.4</v>
          </cell>
          <cell r="E1449">
            <v>234</v>
          </cell>
          <cell r="F1449"/>
          <cell r="G1449">
            <v>162</v>
          </cell>
        </row>
        <row r="1450">
          <cell r="B1450" t="str">
            <v>A50P44012G11000</v>
          </cell>
          <cell r="C1450"/>
          <cell r="D1450">
            <v>60.4</v>
          </cell>
          <cell r="E1450">
            <v>234</v>
          </cell>
          <cell r="F1450"/>
          <cell r="G1450">
            <v>162</v>
          </cell>
        </row>
        <row r="1451">
          <cell r="B1451" t="str">
            <v>A50P54012G11000</v>
          </cell>
          <cell r="C1451"/>
          <cell r="D1451">
            <v>60.4</v>
          </cell>
          <cell r="E1451">
            <v>234</v>
          </cell>
          <cell r="F1451"/>
          <cell r="G1451">
            <v>162</v>
          </cell>
        </row>
        <row r="1452">
          <cell r="B1452" t="str">
            <v>A42P04012G11000</v>
          </cell>
          <cell r="C1452"/>
          <cell r="D1452">
            <v>60.4</v>
          </cell>
          <cell r="E1452">
            <v>234</v>
          </cell>
          <cell r="F1452"/>
          <cell r="G1452">
            <v>162</v>
          </cell>
        </row>
        <row r="1453">
          <cell r="B1453" t="str">
            <v>A42P44012G11000</v>
          </cell>
          <cell r="C1453"/>
          <cell r="D1453">
            <v>60.4</v>
          </cell>
          <cell r="E1453">
            <v>234</v>
          </cell>
          <cell r="F1453"/>
          <cell r="G1453">
            <v>162</v>
          </cell>
        </row>
        <row r="1454">
          <cell r="B1454" t="str">
            <v>A42P54012G11000</v>
          </cell>
          <cell r="C1454"/>
          <cell r="D1454">
            <v>60.4</v>
          </cell>
          <cell r="E1454">
            <v>234</v>
          </cell>
          <cell r="F1454"/>
          <cell r="G1454">
            <v>162</v>
          </cell>
        </row>
        <row r="1455">
          <cell r="B1455" t="str">
            <v>A60AL0100H10000M</v>
          </cell>
          <cell r="C1455"/>
          <cell r="D1455">
            <v>60.4</v>
          </cell>
          <cell r="E1455">
            <v>234</v>
          </cell>
          <cell r="F1455"/>
          <cell r="G1455">
            <v>162</v>
          </cell>
        </row>
        <row r="1456">
          <cell r="B1456" t="str">
            <v>A60FC0000H11500</v>
          </cell>
          <cell r="C1456"/>
          <cell r="D1456">
            <v>60.4</v>
          </cell>
          <cell r="E1456">
            <v>302</v>
          </cell>
          <cell r="F1456"/>
          <cell r="G1456">
            <v>174</v>
          </cell>
        </row>
        <row r="1457">
          <cell r="B1457" t="str">
            <v>A60JL4000H1000G</v>
          </cell>
          <cell r="C1457"/>
          <cell r="D1457">
            <v>60.4</v>
          </cell>
          <cell r="E1457">
            <v>234</v>
          </cell>
          <cell r="F1457"/>
          <cell r="G1457">
            <v>162</v>
          </cell>
        </row>
        <row r="1458">
          <cell r="B1458" t="str">
            <v>A60JR3500H10000</v>
          </cell>
          <cell r="C1458"/>
          <cell r="D1458">
            <v>60.4</v>
          </cell>
          <cell r="E1458">
            <v>234</v>
          </cell>
          <cell r="F1458"/>
          <cell r="G1458">
            <v>162</v>
          </cell>
        </row>
        <row r="1459">
          <cell r="B1459" t="str">
            <v>A60JR3500H10004</v>
          </cell>
          <cell r="C1459"/>
          <cell r="D1459">
            <v>60.4</v>
          </cell>
          <cell r="E1459">
            <v>234</v>
          </cell>
          <cell r="F1459"/>
          <cell r="G1459">
            <v>162</v>
          </cell>
        </row>
        <row r="1460">
          <cell r="B1460" t="str">
            <v>A60JR4000H10000</v>
          </cell>
          <cell r="C1460"/>
          <cell r="D1460">
            <v>60.4</v>
          </cell>
          <cell r="E1460">
            <v>234</v>
          </cell>
          <cell r="F1460"/>
          <cell r="G1460">
            <v>162</v>
          </cell>
        </row>
        <row r="1461">
          <cell r="B1461" t="str">
            <v>A60JR4000H10002</v>
          </cell>
          <cell r="C1461"/>
          <cell r="D1461">
            <v>60.4</v>
          </cell>
          <cell r="E1461">
            <v>234</v>
          </cell>
          <cell r="F1461"/>
          <cell r="G1461">
            <v>162</v>
          </cell>
        </row>
        <row r="1462">
          <cell r="B1462" t="str">
            <v>A60JR4000H13002</v>
          </cell>
          <cell r="C1462"/>
          <cell r="D1462">
            <v>60.4</v>
          </cell>
          <cell r="E1462">
            <v>302</v>
          </cell>
          <cell r="F1462"/>
          <cell r="G1462">
            <v>174</v>
          </cell>
        </row>
        <row r="1463">
          <cell r="B1463" t="str">
            <v>A60JL4000H10003</v>
          </cell>
          <cell r="C1463"/>
          <cell r="D1463">
            <v>60.4</v>
          </cell>
          <cell r="E1463">
            <v>234</v>
          </cell>
          <cell r="F1463"/>
          <cell r="G1463">
            <v>162</v>
          </cell>
        </row>
        <row r="1464">
          <cell r="B1464" t="str">
            <v>A42B33002H10004</v>
          </cell>
          <cell r="C1464"/>
          <cell r="D1464">
            <v>60.4</v>
          </cell>
          <cell r="E1464">
            <v>234</v>
          </cell>
          <cell r="F1464"/>
          <cell r="G1464">
            <v>162</v>
          </cell>
        </row>
        <row r="1465">
          <cell r="B1465" t="str">
            <v>A42RD0102J08000</v>
          </cell>
          <cell r="C1465"/>
          <cell r="D1465">
            <v>60.4</v>
          </cell>
          <cell r="E1465">
            <v>234</v>
          </cell>
          <cell r="F1465"/>
          <cell r="G1465">
            <v>162</v>
          </cell>
        </row>
        <row r="1466">
          <cell r="B1466" t="str">
            <v>A42JB0200J13000</v>
          </cell>
          <cell r="C1466"/>
          <cell r="D1466">
            <v>60.4</v>
          </cell>
          <cell r="E1466">
            <v>302</v>
          </cell>
          <cell r="F1466"/>
          <cell r="G1466">
            <v>174</v>
          </cell>
        </row>
        <row r="1467">
          <cell r="B1467" t="str">
            <v>A42PR0000J10001</v>
          </cell>
          <cell r="C1467"/>
          <cell r="D1467">
            <v>60.4</v>
          </cell>
          <cell r="E1467">
            <v>234</v>
          </cell>
          <cell r="F1467"/>
          <cell r="G1467">
            <v>162</v>
          </cell>
        </row>
        <row r="1468">
          <cell r="B1468" t="str">
            <v>A42PL0000J10002</v>
          </cell>
          <cell r="C1468"/>
          <cell r="D1468">
            <v>60.4</v>
          </cell>
          <cell r="E1468">
            <v>234</v>
          </cell>
          <cell r="F1468"/>
          <cell r="G1468">
            <v>162</v>
          </cell>
        </row>
        <row r="1469">
          <cell r="B1469" t="str">
            <v>A42JL6000J10000</v>
          </cell>
          <cell r="C1469"/>
          <cell r="D1469">
            <v>60.4</v>
          </cell>
          <cell r="E1469">
            <v>234</v>
          </cell>
          <cell r="F1469"/>
          <cell r="G1469">
            <v>162</v>
          </cell>
        </row>
        <row r="1470">
          <cell r="B1470" t="str">
            <v>A42B34002J10004</v>
          </cell>
          <cell r="C1470"/>
          <cell r="D1470">
            <v>60.4</v>
          </cell>
          <cell r="E1470">
            <v>234</v>
          </cell>
          <cell r="F1470"/>
          <cell r="G1470">
            <v>162</v>
          </cell>
        </row>
        <row r="1471">
          <cell r="B1471" t="str">
            <v>A60JR4002J10000</v>
          </cell>
          <cell r="C1471"/>
          <cell r="D1471">
            <v>60.4</v>
          </cell>
          <cell r="E1471">
            <v>234</v>
          </cell>
          <cell r="F1471"/>
          <cell r="G1471">
            <v>162</v>
          </cell>
        </row>
        <row r="1472">
          <cell r="B1472" t="str">
            <v>A60P32004G11000</v>
          </cell>
          <cell r="C1472"/>
          <cell r="D1472">
            <v>60.4</v>
          </cell>
          <cell r="E1472">
            <v>234</v>
          </cell>
          <cell r="F1472"/>
          <cell r="G1472">
            <v>162</v>
          </cell>
        </row>
        <row r="1473">
          <cell r="B1473" t="str">
            <v>A60JL4002J10000</v>
          </cell>
          <cell r="C1473"/>
          <cell r="D1473">
            <v>60.4</v>
          </cell>
          <cell r="E1473">
            <v>234</v>
          </cell>
          <cell r="F1473"/>
          <cell r="G1473">
            <v>162</v>
          </cell>
        </row>
        <row r="1474">
          <cell r="B1474" t="str">
            <v>A60CR1100J08000</v>
          </cell>
          <cell r="C1474"/>
          <cell r="D1474">
            <v>60.4</v>
          </cell>
          <cell r="E1474">
            <v>234</v>
          </cell>
          <cell r="F1474"/>
          <cell r="G1474">
            <v>162</v>
          </cell>
        </row>
        <row r="1475">
          <cell r="B1475" t="str">
            <v>A60NS0110J11000</v>
          </cell>
          <cell r="C1475"/>
          <cell r="D1475">
            <v>60.4</v>
          </cell>
          <cell r="E1475">
            <v>234</v>
          </cell>
          <cell r="F1475"/>
          <cell r="G1475">
            <v>162</v>
          </cell>
        </row>
        <row r="1476">
          <cell r="B1476" t="str">
            <v>A42XO0002H06500</v>
          </cell>
          <cell r="C1476"/>
          <cell r="D1476">
            <v>60.4</v>
          </cell>
          <cell r="E1476">
            <v>234</v>
          </cell>
          <cell r="F1476"/>
          <cell r="G1476">
            <v>162</v>
          </cell>
        </row>
        <row r="1477">
          <cell r="B1477" t="str">
            <v>A42FC0000M04500</v>
          </cell>
          <cell r="C1477"/>
          <cell r="D1477">
            <v>60.4</v>
          </cell>
          <cell r="E1477">
            <v>234</v>
          </cell>
          <cell r="F1477"/>
          <cell r="G1477">
            <v>162</v>
          </cell>
        </row>
        <row r="1478">
          <cell r="B1478" t="str">
            <v>A42UC3502H11000</v>
          </cell>
          <cell r="C1478"/>
          <cell r="D1478">
            <v>60.4</v>
          </cell>
          <cell r="E1478">
            <v>234</v>
          </cell>
          <cell r="F1478"/>
          <cell r="G1478">
            <v>162</v>
          </cell>
        </row>
        <row r="1479">
          <cell r="B1479" t="str">
            <v>A42UC3702H11000</v>
          </cell>
          <cell r="C1479"/>
          <cell r="D1479">
            <v>60.4</v>
          </cell>
          <cell r="E1479">
            <v>234</v>
          </cell>
          <cell r="F1479"/>
          <cell r="G1479">
            <v>162</v>
          </cell>
        </row>
        <row r="1480">
          <cell r="B1480" t="str">
            <v>A42JR4000H10002</v>
          </cell>
          <cell r="C1480"/>
          <cell r="D1480">
            <v>60.4</v>
          </cell>
          <cell r="E1480">
            <v>234</v>
          </cell>
          <cell r="F1480"/>
          <cell r="G1480">
            <v>162</v>
          </cell>
        </row>
        <row r="1481">
          <cell r="B1481" t="str">
            <v>A42AL0100H10004</v>
          </cell>
          <cell r="C1481"/>
          <cell r="D1481">
            <v>60.4</v>
          </cell>
          <cell r="E1481">
            <v>234</v>
          </cell>
          <cell r="F1481"/>
          <cell r="G1481">
            <v>162</v>
          </cell>
        </row>
        <row r="1482">
          <cell r="B1482" t="str">
            <v>A42P54006G110P0</v>
          </cell>
          <cell r="C1482"/>
          <cell r="D1482">
            <v>60.4</v>
          </cell>
          <cell r="E1482">
            <v>234</v>
          </cell>
          <cell r="F1482"/>
          <cell r="G1482">
            <v>162</v>
          </cell>
        </row>
        <row r="1483">
          <cell r="B1483" t="str">
            <v>A42FC4000M04500</v>
          </cell>
          <cell r="C1483"/>
          <cell r="D1483">
            <v>60.4</v>
          </cell>
          <cell r="E1483">
            <v>234</v>
          </cell>
          <cell r="F1483"/>
          <cell r="G1483">
            <v>162</v>
          </cell>
        </row>
        <row r="1484">
          <cell r="B1484" t="str">
            <v>A52JL5000H10000</v>
          </cell>
          <cell r="C1484"/>
          <cell r="D1484">
            <v>60.4</v>
          </cell>
          <cell r="E1484">
            <v>234</v>
          </cell>
          <cell r="F1484"/>
          <cell r="G1484">
            <v>162</v>
          </cell>
        </row>
        <row r="1485">
          <cell r="B1485" t="str">
            <v>A52JR4000H10004</v>
          </cell>
          <cell r="C1485"/>
          <cell r="D1485">
            <v>60.4</v>
          </cell>
          <cell r="E1485">
            <v>234</v>
          </cell>
          <cell r="F1485"/>
          <cell r="G1485">
            <v>162</v>
          </cell>
        </row>
        <row r="1486">
          <cell r="B1486" t="str">
            <v>A60AL0100H10000</v>
          </cell>
          <cell r="C1486"/>
          <cell r="D1486">
            <v>60.4</v>
          </cell>
          <cell r="E1486">
            <v>234</v>
          </cell>
          <cell r="F1486"/>
          <cell r="G1486">
            <v>162</v>
          </cell>
        </row>
        <row r="1487">
          <cell r="B1487" t="str">
            <v>A52AR0100M10000M</v>
          </cell>
          <cell r="C1487"/>
          <cell r="D1487">
            <v>60.4</v>
          </cell>
          <cell r="E1487">
            <v>234</v>
          </cell>
          <cell r="F1487"/>
          <cell r="G1487">
            <v>162</v>
          </cell>
        </row>
        <row r="1488">
          <cell r="B1488" t="str">
            <v>A52CS0004J10004</v>
          </cell>
          <cell r="C1488"/>
          <cell r="D1488">
            <v>60.4</v>
          </cell>
          <cell r="E1488">
            <v>234</v>
          </cell>
          <cell r="F1488"/>
          <cell r="G1488">
            <v>162</v>
          </cell>
        </row>
        <row r="1489">
          <cell r="B1489" t="str">
            <v>A52JR5000M10002M</v>
          </cell>
          <cell r="C1489"/>
          <cell r="D1489">
            <v>60.4</v>
          </cell>
          <cell r="E1489">
            <v>234</v>
          </cell>
          <cell r="F1489"/>
          <cell r="G1489">
            <v>162</v>
          </cell>
        </row>
        <row r="1490">
          <cell r="B1490" t="str">
            <v>A52XO0002J06500</v>
          </cell>
          <cell r="C1490"/>
          <cell r="D1490">
            <v>60.4</v>
          </cell>
          <cell r="E1490">
            <v>234</v>
          </cell>
          <cell r="F1490"/>
          <cell r="G1490">
            <v>162</v>
          </cell>
        </row>
        <row r="1491">
          <cell r="B1491" t="str">
            <v>A52IM0000J10005</v>
          </cell>
          <cell r="C1491"/>
          <cell r="D1491">
            <v>60.4</v>
          </cell>
          <cell r="E1491">
            <v>234</v>
          </cell>
          <cell r="F1491"/>
          <cell r="G1491">
            <v>162</v>
          </cell>
        </row>
        <row r="1492">
          <cell r="B1492" t="str">
            <v>A52B23002H08000</v>
          </cell>
          <cell r="C1492"/>
          <cell r="D1492">
            <v>60.4</v>
          </cell>
          <cell r="E1492">
            <v>234</v>
          </cell>
          <cell r="F1492"/>
          <cell r="G1492">
            <v>162</v>
          </cell>
        </row>
        <row r="1493">
          <cell r="B1493" t="str">
            <v>A52NH3006J10000</v>
          </cell>
          <cell r="C1493"/>
          <cell r="D1493">
            <v>60.4</v>
          </cell>
          <cell r="E1493">
            <v>234</v>
          </cell>
          <cell r="F1493"/>
          <cell r="G1493">
            <v>162</v>
          </cell>
        </row>
        <row r="1494">
          <cell r="B1494" t="str">
            <v>A52FC0000M13000</v>
          </cell>
          <cell r="C1494"/>
          <cell r="D1494">
            <v>60.4</v>
          </cell>
          <cell r="E1494">
            <v>302</v>
          </cell>
          <cell r="F1494"/>
          <cell r="G1494">
            <v>174</v>
          </cell>
        </row>
        <row r="1495">
          <cell r="B1495" t="str">
            <v>A52JL3000M1000GM</v>
          </cell>
          <cell r="C1495"/>
          <cell r="D1495">
            <v>60.4</v>
          </cell>
          <cell r="E1495">
            <v>234</v>
          </cell>
          <cell r="F1495"/>
          <cell r="G1495">
            <v>162</v>
          </cell>
        </row>
        <row r="1496">
          <cell r="B1496" t="str">
            <v>A60JL3500J1000G</v>
          </cell>
          <cell r="C1496"/>
          <cell r="D1496">
            <v>60.4</v>
          </cell>
          <cell r="E1496">
            <v>234</v>
          </cell>
          <cell r="F1496"/>
          <cell r="G1496">
            <v>162</v>
          </cell>
        </row>
        <row r="1497">
          <cell r="B1497" t="str">
            <v>A60JL4000J1000G</v>
          </cell>
          <cell r="C1497"/>
          <cell r="D1497">
            <v>60.4</v>
          </cell>
          <cell r="E1497">
            <v>234</v>
          </cell>
          <cell r="F1497"/>
          <cell r="G1497">
            <v>162</v>
          </cell>
        </row>
        <row r="1498">
          <cell r="B1498" t="str">
            <v>A60JR3500J10000</v>
          </cell>
          <cell r="C1498"/>
          <cell r="D1498">
            <v>60.4</v>
          </cell>
          <cell r="E1498">
            <v>234</v>
          </cell>
          <cell r="F1498"/>
          <cell r="G1498">
            <v>162</v>
          </cell>
        </row>
        <row r="1499">
          <cell r="B1499" t="str">
            <v>A60JR4000J10000</v>
          </cell>
          <cell r="C1499"/>
          <cell r="D1499">
            <v>60.4</v>
          </cell>
          <cell r="E1499">
            <v>234</v>
          </cell>
          <cell r="F1499"/>
          <cell r="G1499">
            <v>162</v>
          </cell>
        </row>
        <row r="1500">
          <cell r="B1500" t="str">
            <v>A60AL0100J10000</v>
          </cell>
          <cell r="C1500"/>
          <cell r="D1500">
            <v>60.4</v>
          </cell>
          <cell r="E1500">
            <v>234</v>
          </cell>
          <cell r="F1500"/>
          <cell r="G1500">
            <v>162</v>
          </cell>
        </row>
        <row r="1501">
          <cell r="B1501" t="str">
            <v>A60FK0200J13004</v>
          </cell>
          <cell r="C1501"/>
          <cell r="D1501">
            <v>60.4</v>
          </cell>
          <cell r="E1501">
            <v>302</v>
          </cell>
          <cell r="F1501"/>
          <cell r="G1501">
            <v>174</v>
          </cell>
        </row>
        <row r="1502">
          <cell r="B1502" t="str">
            <v>A60JL3502J10000</v>
          </cell>
          <cell r="C1502"/>
          <cell r="D1502">
            <v>60.4</v>
          </cell>
          <cell r="E1502">
            <v>234</v>
          </cell>
          <cell r="F1502"/>
          <cell r="G1502">
            <v>162</v>
          </cell>
        </row>
        <row r="1503">
          <cell r="B1503" t="str">
            <v>A52JR4002J08000</v>
          </cell>
          <cell r="C1503"/>
          <cell r="D1503">
            <v>60.4</v>
          </cell>
          <cell r="E1503">
            <v>234</v>
          </cell>
          <cell r="F1503"/>
          <cell r="G1503">
            <v>162</v>
          </cell>
        </row>
        <row r="1504">
          <cell r="B1504" t="str">
            <v>A42B13702M11004</v>
          </cell>
          <cell r="C1504"/>
          <cell r="D1504">
            <v>60.4</v>
          </cell>
          <cell r="E1504">
            <v>234</v>
          </cell>
          <cell r="F1504"/>
          <cell r="G1504">
            <v>162</v>
          </cell>
        </row>
        <row r="1505">
          <cell r="B1505" t="str">
            <v>A42JR4002J10003</v>
          </cell>
          <cell r="C1505"/>
          <cell r="D1505">
            <v>60.4</v>
          </cell>
          <cell r="E1505">
            <v>234</v>
          </cell>
          <cell r="F1505"/>
          <cell r="G1505">
            <v>162</v>
          </cell>
        </row>
        <row r="1506">
          <cell r="B1506" t="str">
            <v>A42JR4002H12000</v>
          </cell>
          <cell r="C1506"/>
          <cell r="D1506">
            <v>60.4</v>
          </cell>
          <cell r="E1506">
            <v>302</v>
          </cell>
          <cell r="F1506"/>
          <cell r="G1506">
            <v>174</v>
          </cell>
        </row>
        <row r="1507">
          <cell r="B1507" t="str">
            <v>A42XO0002J06500</v>
          </cell>
          <cell r="C1507"/>
          <cell r="D1507">
            <v>60.4</v>
          </cell>
          <cell r="E1507">
            <v>234</v>
          </cell>
          <cell r="F1507"/>
          <cell r="G1507">
            <v>162</v>
          </cell>
        </row>
        <row r="1508">
          <cell r="B1508" t="str">
            <v>A52JL3500J1000G</v>
          </cell>
          <cell r="C1508"/>
          <cell r="D1508">
            <v>60.4</v>
          </cell>
          <cell r="E1508">
            <v>234</v>
          </cell>
          <cell r="F1508"/>
          <cell r="G1508">
            <v>162</v>
          </cell>
        </row>
        <row r="1509">
          <cell r="B1509" t="str">
            <v>A52JL4000J1000G</v>
          </cell>
          <cell r="C1509"/>
          <cell r="D1509">
            <v>60.4</v>
          </cell>
          <cell r="E1509">
            <v>234</v>
          </cell>
          <cell r="F1509"/>
          <cell r="G1509">
            <v>162</v>
          </cell>
        </row>
        <row r="1510">
          <cell r="B1510" t="str">
            <v>A52JL5000J1000G</v>
          </cell>
          <cell r="C1510"/>
          <cell r="D1510">
            <v>60.4</v>
          </cell>
          <cell r="E1510">
            <v>234</v>
          </cell>
          <cell r="F1510"/>
          <cell r="G1510">
            <v>162</v>
          </cell>
        </row>
        <row r="1511">
          <cell r="B1511" t="str">
            <v>A52B04000J10000</v>
          </cell>
          <cell r="C1511"/>
          <cell r="D1511">
            <v>60.4</v>
          </cell>
          <cell r="E1511">
            <v>234</v>
          </cell>
          <cell r="F1511"/>
          <cell r="G1511">
            <v>162</v>
          </cell>
        </row>
        <row r="1512">
          <cell r="B1512" t="str">
            <v>A52JL3500H1000G</v>
          </cell>
          <cell r="C1512"/>
          <cell r="D1512">
            <v>60.4</v>
          </cell>
          <cell r="E1512">
            <v>234</v>
          </cell>
          <cell r="F1512"/>
          <cell r="G1512">
            <v>162</v>
          </cell>
        </row>
        <row r="1513">
          <cell r="B1513" t="str">
            <v>A52JL4000H1000G</v>
          </cell>
          <cell r="C1513"/>
          <cell r="D1513">
            <v>60.4</v>
          </cell>
          <cell r="E1513">
            <v>234</v>
          </cell>
          <cell r="F1513"/>
          <cell r="G1513">
            <v>162</v>
          </cell>
        </row>
        <row r="1514">
          <cell r="B1514" t="str">
            <v>A52JL5000H1000G</v>
          </cell>
          <cell r="C1514"/>
          <cell r="D1514">
            <v>60.4</v>
          </cell>
          <cell r="E1514">
            <v>234</v>
          </cell>
          <cell r="F1514"/>
          <cell r="G1514">
            <v>162</v>
          </cell>
        </row>
        <row r="1515">
          <cell r="B1515" t="str">
            <v>A52FC0000M10500</v>
          </cell>
          <cell r="C1515"/>
          <cell r="D1515">
            <v>60.4</v>
          </cell>
          <cell r="E1515">
            <v>234</v>
          </cell>
          <cell r="F1515"/>
          <cell r="G1515">
            <v>162</v>
          </cell>
        </row>
        <row r="1516">
          <cell r="B1516" t="str">
            <v>A52B13500H08000</v>
          </cell>
          <cell r="C1516"/>
          <cell r="D1516">
            <v>60.4</v>
          </cell>
          <cell r="E1516">
            <v>234</v>
          </cell>
          <cell r="F1516"/>
          <cell r="G1516">
            <v>162</v>
          </cell>
        </row>
        <row r="1517">
          <cell r="B1517" t="str">
            <v>A52FC0000L11500</v>
          </cell>
          <cell r="C1517"/>
          <cell r="D1517">
            <v>60.4</v>
          </cell>
          <cell r="E1517">
            <v>302</v>
          </cell>
          <cell r="F1517"/>
          <cell r="G1517">
            <v>174</v>
          </cell>
        </row>
        <row r="1518">
          <cell r="B1518" t="str">
            <v>A52AL0100M10000M</v>
          </cell>
          <cell r="C1518"/>
          <cell r="D1518">
            <v>60.4</v>
          </cell>
          <cell r="E1518">
            <v>234</v>
          </cell>
          <cell r="F1518"/>
          <cell r="G1518">
            <v>162</v>
          </cell>
        </row>
        <row r="1519">
          <cell r="B1519" t="str">
            <v>A42P04008G13000</v>
          </cell>
          <cell r="C1519"/>
          <cell r="D1519">
            <v>60.4</v>
          </cell>
          <cell r="E1519">
            <v>302</v>
          </cell>
          <cell r="F1519"/>
          <cell r="G1519">
            <v>174</v>
          </cell>
        </row>
        <row r="1520">
          <cell r="B1520" t="str">
            <v>A42P54008G13000</v>
          </cell>
          <cell r="C1520"/>
          <cell r="D1520">
            <v>60.4</v>
          </cell>
          <cell r="E1520">
            <v>302</v>
          </cell>
          <cell r="F1520"/>
          <cell r="G1520">
            <v>174</v>
          </cell>
        </row>
        <row r="1521">
          <cell r="B1521" t="str">
            <v>A42PA0008G11004</v>
          </cell>
          <cell r="C1521"/>
          <cell r="D1521">
            <v>60.4</v>
          </cell>
          <cell r="E1521">
            <v>234</v>
          </cell>
          <cell r="F1521"/>
          <cell r="G1521">
            <v>162</v>
          </cell>
        </row>
        <row r="1522">
          <cell r="B1522" t="str">
            <v>A42SO4002M10000</v>
          </cell>
          <cell r="C1522"/>
          <cell r="D1522">
            <v>72</v>
          </cell>
          <cell r="E1522">
            <v>234</v>
          </cell>
          <cell r="F1522"/>
          <cell r="G1522">
            <v>252</v>
          </cell>
        </row>
        <row r="1523">
          <cell r="B1523" t="str">
            <v>A42JL3502M10000</v>
          </cell>
          <cell r="C1523"/>
          <cell r="D1523">
            <v>60.4</v>
          </cell>
          <cell r="E1523">
            <v>234</v>
          </cell>
          <cell r="F1523"/>
          <cell r="G1523">
            <v>162</v>
          </cell>
        </row>
        <row r="1524">
          <cell r="B1524" t="str">
            <v>A42JR3502J11000</v>
          </cell>
          <cell r="C1524"/>
          <cell r="D1524">
            <v>60.4</v>
          </cell>
          <cell r="E1524">
            <v>234</v>
          </cell>
          <cell r="F1524"/>
          <cell r="G1524">
            <v>162</v>
          </cell>
        </row>
        <row r="1525">
          <cell r="B1525" t="str">
            <v>A42B13702J11004</v>
          </cell>
          <cell r="C1525"/>
          <cell r="D1525">
            <v>60.4</v>
          </cell>
          <cell r="E1525">
            <v>234</v>
          </cell>
          <cell r="F1525"/>
          <cell r="G1525">
            <v>162</v>
          </cell>
        </row>
        <row r="1526">
          <cell r="B1526" t="str">
            <v>A42AL0102J11000</v>
          </cell>
          <cell r="C1526"/>
          <cell r="D1526">
            <v>60.4</v>
          </cell>
          <cell r="E1526">
            <v>234</v>
          </cell>
          <cell r="F1526"/>
          <cell r="G1526">
            <v>162</v>
          </cell>
        </row>
        <row r="1527">
          <cell r="B1527" t="str">
            <v>A42AL0202J11000</v>
          </cell>
          <cell r="C1527"/>
          <cell r="D1527">
            <v>60.4</v>
          </cell>
          <cell r="E1527">
            <v>234</v>
          </cell>
          <cell r="F1527"/>
          <cell r="G1527">
            <v>162</v>
          </cell>
        </row>
        <row r="1528">
          <cell r="B1528" t="str">
            <v>A52IM0000M10005M</v>
          </cell>
          <cell r="C1528"/>
          <cell r="D1528">
            <v>60.4</v>
          </cell>
          <cell r="E1528">
            <v>234</v>
          </cell>
          <cell r="F1528"/>
          <cell r="G1528">
            <v>162</v>
          </cell>
        </row>
        <row r="1529">
          <cell r="B1529" t="str">
            <v>A52JL3500M1000GM</v>
          </cell>
          <cell r="C1529"/>
          <cell r="D1529">
            <v>60.4</v>
          </cell>
          <cell r="E1529">
            <v>234</v>
          </cell>
          <cell r="F1529"/>
          <cell r="G1529">
            <v>162</v>
          </cell>
        </row>
        <row r="1530">
          <cell r="B1530" t="str">
            <v>A52JL4000M1000GM</v>
          </cell>
          <cell r="C1530"/>
          <cell r="D1530">
            <v>60.4</v>
          </cell>
          <cell r="E1530">
            <v>234</v>
          </cell>
          <cell r="F1530"/>
          <cell r="G1530">
            <v>162</v>
          </cell>
        </row>
        <row r="1531">
          <cell r="B1531" t="str">
            <v>A52JL4002J08000</v>
          </cell>
          <cell r="C1531"/>
          <cell r="D1531">
            <v>60.4</v>
          </cell>
          <cell r="E1531">
            <v>234</v>
          </cell>
          <cell r="F1531"/>
          <cell r="G1531">
            <v>162</v>
          </cell>
        </row>
        <row r="1532">
          <cell r="B1532" t="str">
            <v>A52JL5000M1000GM</v>
          </cell>
          <cell r="C1532"/>
          <cell r="D1532">
            <v>60.4</v>
          </cell>
          <cell r="E1532">
            <v>234</v>
          </cell>
          <cell r="F1532"/>
          <cell r="G1532">
            <v>162</v>
          </cell>
        </row>
        <row r="1533">
          <cell r="B1533" t="str">
            <v>A52JR3500M10006M</v>
          </cell>
          <cell r="C1533"/>
          <cell r="D1533">
            <v>60.4</v>
          </cell>
          <cell r="E1533">
            <v>234</v>
          </cell>
          <cell r="F1533"/>
          <cell r="G1533">
            <v>162</v>
          </cell>
        </row>
        <row r="1534">
          <cell r="B1534" t="str">
            <v>A52JR4000M10002M</v>
          </cell>
          <cell r="C1534"/>
          <cell r="D1534">
            <v>60.4</v>
          </cell>
          <cell r="E1534">
            <v>234</v>
          </cell>
          <cell r="F1534"/>
          <cell r="G1534">
            <v>162</v>
          </cell>
        </row>
        <row r="1535">
          <cell r="B1535" t="str">
            <v>LUBRIGUIDE0.049INCHX3500</v>
          </cell>
          <cell r="C1535"/>
          <cell r="D1535">
            <v>56</v>
          </cell>
          <cell r="E1535">
            <v>135</v>
          </cell>
          <cell r="F1535"/>
          <cell r="G1535">
            <v>148</v>
          </cell>
        </row>
        <row r="1536">
          <cell r="B1536" t="str">
            <v>UJ1535B2000</v>
          </cell>
          <cell r="C1536"/>
          <cell r="D1536">
            <v>21.9</v>
          </cell>
          <cell r="E1536">
            <v>135</v>
          </cell>
          <cell r="F1536"/>
          <cell r="G1536">
            <v>75</v>
          </cell>
        </row>
        <row r="1537">
          <cell r="B1537" t="str">
            <v>UJ3035B1500</v>
          </cell>
          <cell r="C1537"/>
          <cell r="D1537">
            <v>21.9</v>
          </cell>
          <cell r="E1537">
            <v>104.1</v>
          </cell>
          <cell r="F1537"/>
          <cell r="G1537">
            <v>70</v>
          </cell>
        </row>
        <row r="1538">
          <cell r="B1538" t="str">
            <v>UA0035B0800</v>
          </cell>
          <cell r="C1538"/>
          <cell r="D1538">
            <v>34</v>
          </cell>
          <cell r="E1538">
            <v>135</v>
          </cell>
          <cell r="F1538"/>
          <cell r="G1538">
            <v>72.5</v>
          </cell>
        </row>
        <row r="1539">
          <cell r="B1539" t="str">
            <v>UA0035B1750</v>
          </cell>
          <cell r="C1539"/>
          <cell r="D1539">
            <v>34</v>
          </cell>
          <cell r="E1539">
            <v>135</v>
          </cell>
          <cell r="F1539"/>
          <cell r="G1539">
            <v>75</v>
          </cell>
        </row>
        <row r="1540">
          <cell r="B1540" t="str">
            <v>UA0035B2000</v>
          </cell>
          <cell r="C1540"/>
          <cell r="D1540">
            <v>21.9</v>
          </cell>
          <cell r="E1540">
            <v>104.1</v>
          </cell>
          <cell r="F1540"/>
          <cell r="G1540">
            <v>72.5</v>
          </cell>
        </row>
        <row r="1541">
          <cell r="B1541" t="str">
            <v>UA0035B2200</v>
          </cell>
          <cell r="C1541"/>
          <cell r="D1541">
            <v>34</v>
          </cell>
          <cell r="E1541">
            <v>135</v>
          </cell>
          <cell r="F1541"/>
          <cell r="G1541">
            <v>75</v>
          </cell>
        </row>
        <row r="1542">
          <cell r="B1542" t="str">
            <v>UA0035B1800</v>
          </cell>
          <cell r="C1542"/>
          <cell r="D1542">
            <v>21.9</v>
          </cell>
          <cell r="E1542">
            <v>104.1</v>
          </cell>
          <cell r="F1542"/>
          <cell r="G1542">
            <v>72.5</v>
          </cell>
        </row>
        <row r="1543">
          <cell r="B1543" t="str">
            <v>UJ6035B2600</v>
          </cell>
          <cell r="C1543"/>
          <cell r="D1543">
            <v>34</v>
          </cell>
          <cell r="E1543">
            <v>135</v>
          </cell>
          <cell r="F1543"/>
          <cell r="G1543">
            <v>75</v>
          </cell>
        </row>
        <row r="1544">
          <cell r="B1544" t="str">
            <v>UJ6035B3000</v>
          </cell>
          <cell r="C1544"/>
          <cell r="D1544">
            <v>34</v>
          </cell>
          <cell r="E1544">
            <v>135</v>
          </cell>
          <cell r="F1544"/>
          <cell r="G1544">
            <v>75</v>
          </cell>
        </row>
        <row r="1545">
          <cell r="B1545" t="str">
            <v>UJ1535B2200</v>
          </cell>
          <cell r="C1545"/>
          <cell r="D1545">
            <v>35</v>
          </cell>
          <cell r="E1545">
            <v>135</v>
          </cell>
          <cell r="F1545"/>
          <cell r="G1545">
            <v>72.5</v>
          </cell>
        </row>
        <row r="1546">
          <cell r="B1546" t="str">
            <v>UJ1535B3000</v>
          </cell>
          <cell r="C1546"/>
          <cell r="D1546">
            <v>21.9</v>
          </cell>
          <cell r="E1546">
            <v>104.1</v>
          </cell>
          <cell r="F1546"/>
          <cell r="G1546">
            <v>72.5</v>
          </cell>
        </row>
        <row r="1547">
          <cell r="B1547" t="str">
            <v>UJ3035B1800</v>
          </cell>
          <cell r="C1547"/>
          <cell r="D1547">
            <v>21.9</v>
          </cell>
          <cell r="E1547">
            <v>104.1</v>
          </cell>
          <cell r="F1547"/>
          <cell r="G1547">
            <v>76</v>
          </cell>
        </row>
        <row r="1548">
          <cell r="B1548" t="str">
            <v>UJ3035B2000</v>
          </cell>
          <cell r="C1548"/>
          <cell r="D1548">
            <v>34</v>
          </cell>
          <cell r="E1548">
            <v>104.1</v>
          </cell>
          <cell r="F1548"/>
          <cell r="G1548">
            <v>75</v>
          </cell>
        </row>
        <row r="1549">
          <cell r="B1549" t="str">
            <v>UJ3035B3000</v>
          </cell>
          <cell r="C1549"/>
          <cell r="D1549">
            <v>21.9</v>
          </cell>
          <cell r="E1549">
            <v>104.1</v>
          </cell>
          <cell r="F1549"/>
          <cell r="G1549">
            <v>72.5</v>
          </cell>
        </row>
        <row r="1550">
          <cell r="B1550" t="str">
            <v>UJ6035B1500</v>
          </cell>
          <cell r="C1550"/>
          <cell r="D1550">
            <v>21.9</v>
          </cell>
          <cell r="E1550">
            <v>135</v>
          </cell>
          <cell r="F1550"/>
          <cell r="G1550">
            <v>72.5</v>
          </cell>
        </row>
        <row r="1551">
          <cell r="B1551" t="str">
            <v>UJ6035B2000</v>
          </cell>
          <cell r="C1551"/>
          <cell r="D1551">
            <v>34</v>
          </cell>
          <cell r="E1551">
            <v>135</v>
          </cell>
          <cell r="F1551"/>
          <cell r="G1551">
            <v>75</v>
          </cell>
        </row>
        <row r="1552">
          <cell r="B1552" t="str">
            <v>UJ1535B1800</v>
          </cell>
          <cell r="C1552"/>
          <cell r="D1552">
            <v>21.9</v>
          </cell>
          <cell r="E1552">
            <v>104.1</v>
          </cell>
          <cell r="F1552"/>
          <cell r="G1552">
            <v>72.5</v>
          </cell>
        </row>
        <row r="1553">
          <cell r="B1553" t="str">
            <v>UA0035B2000 CN</v>
          </cell>
          <cell r="C1553"/>
          <cell r="D1553">
            <v>41</v>
          </cell>
          <cell r="E1553">
            <v>105.9</v>
          </cell>
          <cell r="F1553"/>
          <cell r="G1553">
            <v>72.5</v>
          </cell>
        </row>
        <row r="1554">
          <cell r="B1554" t="str">
            <v>UA0035B2200 CN</v>
          </cell>
          <cell r="C1554"/>
          <cell r="D1554">
            <v>41</v>
          </cell>
          <cell r="E1554">
            <v>104.1</v>
          </cell>
          <cell r="F1554"/>
          <cell r="G1554">
            <v>72.5</v>
          </cell>
        </row>
        <row r="1555">
          <cell r="B1555" t="str">
            <v>UA0035B3000 CN</v>
          </cell>
          <cell r="C1555"/>
          <cell r="D1555">
            <v>62</v>
          </cell>
          <cell r="E1555">
            <v>104.1</v>
          </cell>
          <cell r="F1555"/>
          <cell r="G1555">
            <v>72.5</v>
          </cell>
        </row>
        <row r="1556">
          <cell r="B1556" t="str">
            <v>UJ1535B1800 CN</v>
          </cell>
          <cell r="C1556"/>
          <cell r="D1556">
            <v>41</v>
          </cell>
          <cell r="E1556">
            <v>104.1</v>
          </cell>
          <cell r="F1556"/>
          <cell r="G1556">
            <v>72.5</v>
          </cell>
        </row>
        <row r="1557">
          <cell r="B1557" t="str">
            <v>UJ1535B2000 CN</v>
          </cell>
          <cell r="C1557"/>
          <cell r="D1557">
            <v>41</v>
          </cell>
          <cell r="E1557">
            <v>104.1</v>
          </cell>
          <cell r="F1557"/>
          <cell r="G1557">
            <v>72.5</v>
          </cell>
        </row>
        <row r="1558">
          <cell r="B1558" t="str">
            <v>UJ1535B2200 CN</v>
          </cell>
          <cell r="C1558"/>
          <cell r="D1558">
            <v>41</v>
          </cell>
          <cell r="E1558">
            <v>104.1</v>
          </cell>
          <cell r="F1558"/>
          <cell r="G1558">
            <v>72.5</v>
          </cell>
        </row>
        <row r="1559">
          <cell r="B1559" t="str">
            <v>UJ1535B3000 CN</v>
          </cell>
          <cell r="C1559"/>
          <cell r="D1559">
            <v>41</v>
          </cell>
          <cell r="E1559">
            <v>104.1</v>
          </cell>
          <cell r="F1559"/>
          <cell r="G1559">
            <v>72.5</v>
          </cell>
        </row>
        <row r="1560">
          <cell r="B1560" t="str">
            <v>US0035B2600 CN</v>
          </cell>
          <cell r="C1560"/>
          <cell r="D1560">
            <v>41</v>
          </cell>
          <cell r="E1560">
            <v>104.1</v>
          </cell>
          <cell r="F1560"/>
          <cell r="G1560">
            <v>72.5</v>
          </cell>
        </row>
        <row r="1561">
          <cell r="B1561" t="str">
            <v>UJ1535B2600 CN</v>
          </cell>
          <cell r="C1561"/>
          <cell r="D1561">
            <v>41</v>
          </cell>
          <cell r="E1561">
            <v>104.1</v>
          </cell>
          <cell r="F1561"/>
          <cell r="G1561">
            <v>72.5</v>
          </cell>
        </row>
        <row r="1562">
          <cell r="B1562" t="str">
            <v>UJ3035B2600 CN</v>
          </cell>
          <cell r="C1562"/>
          <cell r="D1562">
            <v>41</v>
          </cell>
          <cell r="E1562">
            <v>104.1</v>
          </cell>
          <cell r="F1562"/>
          <cell r="G1562">
            <v>72.5</v>
          </cell>
        </row>
        <row r="1563">
          <cell r="B1563" t="str">
            <v>UA0035B2600 CN</v>
          </cell>
          <cell r="C1563"/>
          <cell r="D1563">
            <v>41</v>
          </cell>
          <cell r="E1563">
            <v>104.1</v>
          </cell>
          <cell r="F1563"/>
          <cell r="G1563">
            <v>72.5</v>
          </cell>
        </row>
        <row r="1564">
          <cell r="B1564" t="str">
            <v>US0035B1500 CN</v>
          </cell>
          <cell r="C1564"/>
          <cell r="D1564">
            <v>41</v>
          </cell>
          <cell r="E1564">
            <v>135</v>
          </cell>
          <cell r="F1564"/>
          <cell r="G1564">
            <v>72.5</v>
          </cell>
        </row>
        <row r="1565">
          <cell r="B1565" t="str">
            <v>UA0035B1500 CN</v>
          </cell>
          <cell r="C1565"/>
          <cell r="D1565">
            <v>41</v>
          </cell>
          <cell r="E1565">
            <v>103.9</v>
          </cell>
          <cell r="F1565"/>
          <cell r="G1565">
            <v>72.5</v>
          </cell>
        </row>
        <row r="1566">
          <cell r="B1566" t="str">
            <v>UJ1535B1500 CN</v>
          </cell>
          <cell r="C1566"/>
          <cell r="D1566">
            <v>41</v>
          </cell>
          <cell r="E1566">
            <v>104.1</v>
          </cell>
          <cell r="F1566"/>
          <cell r="G1566">
            <v>72.5</v>
          </cell>
        </row>
        <row r="1567">
          <cell r="B1567" t="str">
            <v>UJ3035B1500 CN</v>
          </cell>
          <cell r="C1567"/>
          <cell r="D1567">
            <v>41</v>
          </cell>
          <cell r="E1567">
            <v>104.1</v>
          </cell>
          <cell r="F1567"/>
          <cell r="G1567">
            <v>72.5</v>
          </cell>
        </row>
        <row r="1568">
          <cell r="B1568" t="str">
            <v>US0035B1800</v>
          </cell>
          <cell r="C1568"/>
          <cell r="D1568">
            <v>21.9</v>
          </cell>
          <cell r="E1568">
            <v>104.1</v>
          </cell>
          <cell r="F1568"/>
          <cell r="G1568">
            <v>72.5</v>
          </cell>
        </row>
        <row r="1569">
          <cell r="B1569" t="str">
            <v>UA0035B3000</v>
          </cell>
          <cell r="C1569"/>
          <cell r="D1569">
            <v>45</v>
          </cell>
          <cell r="E1569">
            <v>104.1</v>
          </cell>
          <cell r="F1569"/>
          <cell r="G1569">
            <v>70</v>
          </cell>
        </row>
        <row r="1570">
          <cell r="B1570" t="str">
            <v>A4038-120 TEST SAMPLE PLGW</v>
          </cell>
          <cell r="C1570"/>
          <cell r="D1570">
            <v>62</v>
          </cell>
          <cell r="E1570">
            <v>135</v>
          </cell>
          <cell r="F1570"/>
          <cell r="G1570">
            <v>82</v>
          </cell>
        </row>
        <row r="1571">
          <cell r="B1571" t="str">
            <v>US0035B2600</v>
          </cell>
          <cell r="C1571"/>
          <cell r="D1571">
            <v>21.9</v>
          </cell>
          <cell r="E1571">
            <v>104.1</v>
          </cell>
          <cell r="F1571"/>
          <cell r="G1571">
            <v>70</v>
          </cell>
        </row>
        <row r="1572">
          <cell r="B1572" t="str">
            <v>UJ1535B2600</v>
          </cell>
          <cell r="C1572"/>
          <cell r="D1572">
            <v>21.9</v>
          </cell>
          <cell r="E1572">
            <v>104.1</v>
          </cell>
          <cell r="F1572"/>
          <cell r="G1572">
            <v>70</v>
          </cell>
        </row>
        <row r="1573">
          <cell r="B1573" t="str">
            <v>UJ3035B2600</v>
          </cell>
          <cell r="C1573"/>
          <cell r="D1573">
            <v>21.9</v>
          </cell>
          <cell r="E1573">
            <v>104.1</v>
          </cell>
          <cell r="F1573"/>
          <cell r="G1573">
            <v>70</v>
          </cell>
        </row>
        <row r="1574">
          <cell r="B1574" t="str">
            <v>UA0035B2600</v>
          </cell>
          <cell r="C1574"/>
          <cell r="D1574">
            <v>21.9</v>
          </cell>
          <cell r="E1574">
            <v>104.1</v>
          </cell>
          <cell r="F1574"/>
          <cell r="G1574">
            <v>72.5</v>
          </cell>
        </row>
        <row r="1575">
          <cell r="B1575" t="str">
            <v>US0035B1500</v>
          </cell>
          <cell r="C1575"/>
          <cell r="D1575">
            <v>45</v>
          </cell>
          <cell r="E1575">
            <v>104.1</v>
          </cell>
          <cell r="F1575"/>
          <cell r="G1575">
            <v>72.5</v>
          </cell>
        </row>
        <row r="1576">
          <cell r="B1576" t="str">
            <v>UA0035B1500</v>
          </cell>
          <cell r="C1576"/>
          <cell r="D1576">
            <v>21.9</v>
          </cell>
          <cell r="E1576">
            <v>104.1</v>
          </cell>
          <cell r="F1576"/>
          <cell r="G1576">
            <v>72.5</v>
          </cell>
        </row>
        <row r="1577">
          <cell r="B1577" t="str">
            <v>UJ1535B1500</v>
          </cell>
          <cell r="C1577"/>
          <cell r="D1577">
            <v>21.9</v>
          </cell>
          <cell r="E1577">
            <v>104.1</v>
          </cell>
          <cell r="F1577"/>
          <cell r="G1577">
            <v>72.5</v>
          </cell>
        </row>
        <row r="1578">
          <cell r="B1578" t="str">
            <v>UJ3035B1800 CN</v>
          </cell>
          <cell r="C1578"/>
          <cell r="D1578">
            <v>41</v>
          </cell>
          <cell r="E1578">
            <v>104.1</v>
          </cell>
          <cell r="F1578"/>
          <cell r="G1578">
            <v>72.5</v>
          </cell>
        </row>
        <row r="1579">
          <cell r="B1579" t="str">
            <v>UJ3035B2000 CN</v>
          </cell>
          <cell r="C1579"/>
          <cell r="D1579">
            <v>41</v>
          </cell>
          <cell r="E1579">
            <v>104.1</v>
          </cell>
          <cell r="F1579"/>
          <cell r="G1579">
            <v>72.5</v>
          </cell>
        </row>
        <row r="1580">
          <cell r="B1580" t="str">
            <v>UJ3035B3000 CN</v>
          </cell>
          <cell r="C1580"/>
          <cell r="D1580">
            <v>41</v>
          </cell>
          <cell r="E1580">
            <v>104.1</v>
          </cell>
          <cell r="F1580"/>
          <cell r="G1580">
            <v>72.5</v>
          </cell>
        </row>
        <row r="1581">
          <cell r="B1581" t="str">
            <v>US0035B1800 CN</v>
          </cell>
          <cell r="C1581"/>
          <cell r="D1581">
            <v>41</v>
          </cell>
          <cell r="E1581">
            <v>104.1</v>
          </cell>
          <cell r="F1581"/>
          <cell r="G1581">
            <v>72.5</v>
          </cell>
        </row>
        <row r="1582">
          <cell r="B1582" t="str">
            <v>UA0035B0500</v>
          </cell>
          <cell r="C1582"/>
          <cell r="D1582">
            <v>21.9</v>
          </cell>
          <cell r="E1582">
            <v>104.1</v>
          </cell>
          <cell r="F1582"/>
          <cell r="G1582">
            <v>72.5</v>
          </cell>
        </row>
        <row r="1583">
          <cell r="B1583" t="str">
            <v>UA0035B0500 CN</v>
          </cell>
          <cell r="C1583"/>
          <cell r="D1583">
            <v>41</v>
          </cell>
          <cell r="E1583">
            <v>104.1</v>
          </cell>
          <cell r="F1583"/>
          <cell r="G1583">
            <v>72.5</v>
          </cell>
        </row>
        <row r="1584">
          <cell r="B1584" t="str">
            <v>UA0035B1800 CN</v>
          </cell>
          <cell r="C1584"/>
          <cell r="D1584">
            <v>41</v>
          </cell>
          <cell r="E1584">
            <v>104.1</v>
          </cell>
          <cell r="F1584"/>
          <cell r="G1584">
            <v>72.5</v>
          </cell>
        </row>
        <row r="1585">
          <cell r="B1585" t="str">
            <v>SA0035N22S NO CE</v>
          </cell>
          <cell r="C1585"/>
          <cell r="D1585">
            <v>34</v>
          </cell>
          <cell r="E1585">
            <v>88</v>
          </cell>
          <cell r="F1585"/>
          <cell r="G1585">
            <v>64</v>
          </cell>
        </row>
        <row r="1586">
          <cell r="B1586" t="str">
            <v>G1126-201 TEST SAMPLE GW</v>
          </cell>
          <cell r="C1586"/>
          <cell r="D1586">
            <v>34</v>
          </cell>
          <cell r="E1586">
            <v>132</v>
          </cell>
          <cell r="F1586"/>
          <cell r="G1586">
            <v>84</v>
          </cell>
        </row>
        <row r="1587">
          <cell r="B1587" t="str">
            <v>SJ1535N22S NO CE</v>
          </cell>
          <cell r="C1587"/>
          <cell r="D1587">
            <v>34</v>
          </cell>
          <cell r="E1587">
            <v>88</v>
          </cell>
          <cell r="F1587"/>
          <cell r="G1587">
            <v>64</v>
          </cell>
        </row>
        <row r="1588">
          <cell r="B1588" t="str">
            <v>SJ3035N30S N0 CE</v>
          </cell>
          <cell r="C1588"/>
          <cell r="D1588">
            <v>34</v>
          </cell>
          <cell r="E1588">
            <v>88</v>
          </cell>
          <cell r="F1588"/>
          <cell r="G1588">
            <v>84</v>
          </cell>
        </row>
        <row r="1589">
          <cell r="B1589" t="str">
            <v>SA0035N22S N0 CE</v>
          </cell>
          <cell r="C1589"/>
          <cell r="D1589">
            <v>34</v>
          </cell>
          <cell r="E1589">
            <v>88</v>
          </cell>
          <cell r="F1589"/>
          <cell r="G1589">
            <v>84</v>
          </cell>
        </row>
        <row r="1590">
          <cell r="B1590" t="str">
            <v>SA0035N18S NO CE</v>
          </cell>
          <cell r="C1590"/>
          <cell r="D1590">
            <v>34</v>
          </cell>
          <cell r="E1590">
            <v>88</v>
          </cell>
          <cell r="F1590"/>
          <cell r="G1590">
            <v>84</v>
          </cell>
        </row>
        <row r="1591">
          <cell r="B1591" t="str">
            <v>SJ1535N20S N0 CE</v>
          </cell>
          <cell r="C1591"/>
          <cell r="D1591">
            <v>34</v>
          </cell>
          <cell r="E1591">
            <v>88</v>
          </cell>
          <cell r="F1591"/>
          <cell r="G1591">
            <v>84</v>
          </cell>
        </row>
        <row r="1592">
          <cell r="B1592" t="str">
            <v>SJ3035N22S NO CE</v>
          </cell>
          <cell r="C1592"/>
          <cell r="D1592">
            <v>34</v>
          </cell>
          <cell r="E1592">
            <v>88</v>
          </cell>
          <cell r="F1592"/>
          <cell r="G1592">
            <v>84</v>
          </cell>
        </row>
        <row r="1593">
          <cell r="B1593" t="str">
            <v>SJ1535N22S US</v>
          </cell>
          <cell r="C1593"/>
          <cell r="D1593">
            <v>22</v>
          </cell>
          <cell r="E1593">
            <v>93</v>
          </cell>
          <cell r="F1593"/>
          <cell r="G1593">
            <v>115</v>
          </cell>
        </row>
        <row r="1594">
          <cell r="B1594" t="str">
            <v>SA0035N15S NO CE</v>
          </cell>
          <cell r="C1594"/>
          <cell r="D1594">
            <v>34</v>
          </cell>
          <cell r="E1594">
            <v>88</v>
          </cell>
          <cell r="F1594"/>
          <cell r="G1594">
            <v>84</v>
          </cell>
        </row>
        <row r="1595">
          <cell r="B1595" t="str">
            <v>SJ3035N20S NO CE</v>
          </cell>
          <cell r="C1595"/>
          <cell r="D1595">
            <v>34</v>
          </cell>
          <cell r="E1595">
            <v>88</v>
          </cell>
          <cell r="F1595"/>
          <cell r="G1595">
            <v>84</v>
          </cell>
        </row>
        <row r="1596">
          <cell r="B1596" t="str">
            <v>SJ1535N18S NO CE</v>
          </cell>
          <cell r="C1596"/>
          <cell r="D1596">
            <v>34</v>
          </cell>
          <cell r="E1596">
            <v>88</v>
          </cell>
          <cell r="F1596"/>
          <cell r="G1596">
            <v>84</v>
          </cell>
        </row>
        <row r="1597">
          <cell r="B1597" t="str">
            <v>SJ3035N18S NO CE</v>
          </cell>
          <cell r="C1597"/>
          <cell r="D1597">
            <v>34</v>
          </cell>
          <cell r="E1597">
            <v>88</v>
          </cell>
          <cell r="F1597"/>
          <cell r="G1597">
            <v>84</v>
          </cell>
        </row>
        <row r="1598">
          <cell r="B1598" t="str">
            <v>SJ1535N20S NO CE</v>
          </cell>
          <cell r="C1598"/>
          <cell r="D1598">
            <v>34</v>
          </cell>
          <cell r="E1598">
            <v>88</v>
          </cell>
          <cell r="F1598"/>
          <cell r="G1598">
            <v>84</v>
          </cell>
        </row>
        <row r="1599">
          <cell r="B1599" t="str">
            <v>SJ3035N15S NO CE</v>
          </cell>
          <cell r="C1599"/>
          <cell r="D1599">
            <v>34</v>
          </cell>
          <cell r="E1599">
            <v>88</v>
          </cell>
          <cell r="F1599"/>
          <cell r="G1599">
            <v>84</v>
          </cell>
        </row>
        <row r="1600">
          <cell r="B1600" t="str">
            <v>SJ1535N30S NO CE</v>
          </cell>
          <cell r="C1600"/>
          <cell r="D1600">
            <v>34</v>
          </cell>
          <cell r="E1600">
            <v>88</v>
          </cell>
          <cell r="F1600"/>
          <cell r="G1600">
            <v>84</v>
          </cell>
        </row>
        <row r="1601">
          <cell r="B1601" t="str">
            <v>SJ3035N30S NO CE</v>
          </cell>
          <cell r="C1601"/>
          <cell r="D1601">
            <v>34</v>
          </cell>
          <cell r="E1601">
            <v>88</v>
          </cell>
          <cell r="F1601"/>
          <cell r="G1601">
            <v>84</v>
          </cell>
        </row>
        <row r="1602">
          <cell r="B1602" t="str">
            <v>SJ1535N15S NO CE</v>
          </cell>
          <cell r="C1602"/>
          <cell r="D1602">
            <v>34</v>
          </cell>
          <cell r="E1602">
            <v>88</v>
          </cell>
          <cell r="F1602"/>
          <cell r="G1602">
            <v>84</v>
          </cell>
        </row>
        <row r="1603">
          <cell r="B1603" t="str">
            <v>SA0035N30S NO CE</v>
          </cell>
          <cell r="C1603"/>
          <cell r="D1603">
            <v>34</v>
          </cell>
          <cell r="E1603">
            <v>88</v>
          </cell>
          <cell r="F1603"/>
          <cell r="G1603">
            <v>84</v>
          </cell>
        </row>
        <row r="1604">
          <cell r="B1604" t="str">
            <v>SJ3035N26S NO CE</v>
          </cell>
          <cell r="C1604"/>
          <cell r="D1604">
            <v>34</v>
          </cell>
          <cell r="E1604">
            <v>88</v>
          </cell>
          <cell r="F1604"/>
          <cell r="G1604">
            <v>84</v>
          </cell>
        </row>
        <row r="1605">
          <cell r="B1605" t="str">
            <v>SA0035N26S NO CE</v>
          </cell>
          <cell r="C1605"/>
          <cell r="D1605">
            <v>34</v>
          </cell>
          <cell r="E1605">
            <v>88</v>
          </cell>
          <cell r="F1605"/>
          <cell r="G1605">
            <v>84</v>
          </cell>
        </row>
        <row r="1606">
          <cell r="B1606" t="str">
            <v>SA0035N20S NO CE</v>
          </cell>
          <cell r="C1606"/>
          <cell r="D1606">
            <v>34</v>
          </cell>
          <cell r="E1606">
            <v>88</v>
          </cell>
          <cell r="F1606"/>
          <cell r="G1606">
            <v>84</v>
          </cell>
        </row>
        <row r="1607">
          <cell r="B1607" t="str">
            <v>SJ3035N22S US</v>
          </cell>
          <cell r="C1607"/>
          <cell r="D1607">
            <v>22</v>
          </cell>
          <cell r="E1607">
            <v>93</v>
          </cell>
          <cell r="F1607"/>
          <cell r="G1607">
            <v>115</v>
          </cell>
        </row>
        <row r="1608">
          <cell r="B1608" t="str">
            <v>SA0035N26S US</v>
          </cell>
          <cell r="C1608"/>
          <cell r="D1608">
            <v>22</v>
          </cell>
          <cell r="E1608">
            <v>93</v>
          </cell>
          <cell r="F1608"/>
          <cell r="G1608">
            <v>115</v>
          </cell>
        </row>
        <row r="1609">
          <cell r="B1609" t="str">
            <v>SJ1535N26S US</v>
          </cell>
          <cell r="C1609"/>
          <cell r="D1609">
            <v>22</v>
          </cell>
          <cell r="E1609">
            <v>93</v>
          </cell>
          <cell r="F1609"/>
          <cell r="G1609">
            <v>115</v>
          </cell>
        </row>
        <row r="1610">
          <cell r="B1610" t="str">
            <v>SJ3035N26S US</v>
          </cell>
          <cell r="C1610"/>
          <cell r="D1610">
            <v>22</v>
          </cell>
          <cell r="E1610">
            <v>93</v>
          </cell>
          <cell r="F1610"/>
          <cell r="G1610">
            <v>115</v>
          </cell>
        </row>
        <row r="1611">
          <cell r="B1611" t="str">
            <v>SA0035N30S US</v>
          </cell>
          <cell r="C1611"/>
          <cell r="D1611">
            <v>22</v>
          </cell>
          <cell r="E1611">
            <v>93</v>
          </cell>
          <cell r="F1611"/>
          <cell r="G1611">
            <v>115</v>
          </cell>
        </row>
        <row r="1612">
          <cell r="B1612" t="str">
            <v>SJ1535N30S US</v>
          </cell>
          <cell r="C1612"/>
          <cell r="D1612">
            <v>22</v>
          </cell>
          <cell r="E1612">
            <v>93</v>
          </cell>
          <cell r="F1612"/>
          <cell r="G1612">
            <v>115</v>
          </cell>
        </row>
        <row r="1613">
          <cell r="B1613" t="str">
            <v>SA0035N22S US</v>
          </cell>
          <cell r="C1613"/>
          <cell r="D1613">
            <v>22</v>
          </cell>
          <cell r="E1613">
            <v>93</v>
          </cell>
          <cell r="F1613"/>
          <cell r="G1613">
            <v>115</v>
          </cell>
        </row>
        <row r="1614">
          <cell r="B1614" t="str">
            <v>SA0035N20S US</v>
          </cell>
          <cell r="C1614"/>
          <cell r="D1614">
            <v>22</v>
          </cell>
          <cell r="E1614">
            <v>93</v>
          </cell>
          <cell r="F1614"/>
          <cell r="G1614">
            <v>115</v>
          </cell>
        </row>
        <row r="1615">
          <cell r="B1615" t="str">
            <v>SJ1535N20S US</v>
          </cell>
          <cell r="C1615"/>
          <cell r="D1615">
            <v>22</v>
          </cell>
          <cell r="E1615">
            <v>93</v>
          </cell>
          <cell r="F1615"/>
          <cell r="G1615">
            <v>115</v>
          </cell>
        </row>
        <row r="1616">
          <cell r="B1616" t="str">
            <v>SJ3035N20S US</v>
          </cell>
          <cell r="C1616"/>
          <cell r="D1616">
            <v>22</v>
          </cell>
          <cell r="E1616">
            <v>93</v>
          </cell>
          <cell r="F1616"/>
          <cell r="G1616">
            <v>115</v>
          </cell>
        </row>
        <row r="1617">
          <cell r="B1617" t="str">
            <v>SJ1535N15S US</v>
          </cell>
          <cell r="C1617"/>
          <cell r="D1617">
            <v>22</v>
          </cell>
          <cell r="E1617">
            <v>93</v>
          </cell>
          <cell r="F1617"/>
          <cell r="G1617">
            <v>115</v>
          </cell>
        </row>
        <row r="1618">
          <cell r="B1618" t="str">
            <v>SA0035N15S US</v>
          </cell>
          <cell r="C1618"/>
          <cell r="D1618">
            <v>22</v>
          </cell>
          <cell r="E1618">
            <v>93</v>
          </cell>
          <cell r="F1618"/>
          <cell r="G1618">
            <v>115</v>
          </cell>
        </row>
        <row r="1619">
          <cell r="B1619" t="str">
            <v>SJ3035N30S US</v>
          </cell>
          <cell r="C1619"/>
          <cell r="D1619">
            <v>22</v>
          </cell>
          <cell r="E1619">
            <v>93</v>
          </cell>
          <cell r="F1619"/>
          <cell r="G1619">
            <v>115</v>
          </cell>
        </row>
        <row r="1620">
          <cell r="B1620" t="str">
            <v>SJ3035N15S US</v>
          </cell>
          <cell r="C1620"/>
          <cell r="D1620">
            <v>22</v>
          </cell>
          <cell r="E1620">
            <v>93</v>
          </cell>
          <cell r="F1620"/>
          <cell r="G1620">
            <v>115</v>
          </cell>
        </row>
        <row r="1621">
          <cell r="B1621" t="str">
            <v>SA0035N18S US</v>
          </cell>
          <cell r="C1621"/>
          <cell r="D1621">
            <v>22</v>
          </cell>
          <cell r="E1621">
            <v>93</v>
          </cell>
          <cell r="F1621"/>
          <cell r="G1621">
            <v>115</v>
          </cell>
        </row>
        <row r="1622">
          <cell r="B1622" t="str">
            <v>SJ1535N18S US</v>
          </cell>
          <cell r="C1622"/>
          <cell r="D1622">
            <v>22</v>
          </cell>
          <cell r="E1622">
            <v>93</v>
          </cell>
          <cell r="F1622"/>
          <cell r="G1622">
            <v>115</v>
          </cell>
        </row>
        <row r="1623">
          <cell r="B1623" t="str">
            <v>SJ3035N18S US</v>
          </cell>
          <cell r="C1623"/>
          <cell r="D1623">
            <v>22</v>
          </cell>
          <cell r="E1623">
            <v>93</v>
          </cell>
          <cell r="F1623"/>
          <cell r="G1623">
            <v>115</v>
          </cell>
        </row>
        <row r="1624">
          <cell r="B1624" t="str">
            <v>SJ1535N26S KR</v>
          </cell>
          <cell r="C1624"/>
          <cell r="D1624">
            <v>27.6</v>
          </cell>
          <cell r="E1624">
            <v>92.6</v>
          </cell>
          <cell r="F1624"/>
          <cell r="G1624">
            <v>64</v>
          </cell>
        </row>
        <row r="1625">
          <cell r="B1625" t="str">
            <v>SJ3035N26S KR</v>
          </cell>
          <cell r="C1625"/>
          <cell r="D1625">
            <v>39.700000000000003</v>
          </cell>
          <cell r="E1625">
            <v>92.6</v>
          </cell>
          <cell r="F1625"/>
          <cell r="G1625">
            <v>64</v>
          </cell>
        </row>
        <row r="1626">
          <cell r="B1626" t="str">
            <v>SA0035N30S KR</v>
          </cell>
          <cell r="C1626"/>
          <cell r="D1626">
            <v>21.9</v>
          </cell>
          <cell r="E1626">
            <v>92.6</v>
          </cell>
          <cell r="F1626"/>
          <cell r="G1626">
            <v>64</v>
          </cell>
        </row>
        <row r="1627">
          <cell r="B1627" t="str">
            <v>SJ1535N30S KR</v>
          </cell>
          <cell r="C1627"/>
          <cell r="D1627">
            <v>21.9</v>
          </cell>
          <cell r="E1627">
            <v>92.6</v>
          </cell>
          <cell r="F1627"/>
          <cell r="G1627">
            <v>64</v>
          </cell>
        </row>
        <row r="1628">
          <cell r="B1628" t="str">
            <v>SJ3035N30S KR</v>
          </cell>
          <cell r="C1628"/>
          <cell r="D1628">
            <v>33.700000000000003</v>
          </cell>
          <cell r="E1628">
            <v>92.6</v>
          </cell>
          <cell r="F1628"/>
          <cell r="G1628">
            <v>84</v>
          </cell>
        </row>
        <row r="1629">
          <cell r="B1629" t="str">
            <v>SJ3035N18S KR</v>
          </cell>
          <cell r="C1629"/>
          <cell r="D1629">
            <v>28.5</v>
          </cell>
          <cell r="E1629">
            <v>92.6</v>
          </cell>
          <cell r="F1629"/>
          <cell r="G1629">
            <v>64</v>
          </cell>
        </row>
        <row r="1630">
          <cell r="B1630" t="str">
            <v>SJ1535N15S KR</v>
          </cell>
          <cell r="C1630"/>
          <cell r="D1630">
            <v>28.5</v>
          </cell>
          <cell r="E1630">
            <v>92.6</v>
          </cell>
          <cell r="F1630"/>
          <cell r="G1630">
            <v>64</v>
          </cell>
        </row>
        <row r="1631">
          <cell r="B1631" t="str">
            <v>SJ3035N15S KR</v>
          </cell>
          <cell r="C1631"/>
          <cell r="D1631">
            <v>33.700000000000003</v>
          </cell>
          <cell r="E1631">
            <v>92.6</v>
          </cell>
          <cell r="F1631"/>
          <cell r="G1631">
            <v>64</v>
          </cell>
        </row>
        <row r="1632">
          <cell r="B1632" t="str">
            <v>SA0035N15S KR</v>
          </cell>
          <cell r="C1632"/>
          <cell r="D1632">
            <v>28.5</v>
          </cell>
          <cell r="E1632">
            <v>92.6</v>
          </cell>
          <cell r="F1632"/>
          <cell r="G1632">
            <v>64</v>
          </cell>
        </row>
        <row r="1633">
          <cell r="B1633" t="str">
            <v>SA0035N20S KR</v>
          </cell>
          <cell r="C1633"/>
          <cell r="D1633">
            <v>27.6</v>
          </cell>
          <cell r="E1633">
            <v>92.6</v>
          </cell>
          <cell r="F1633"/>
          <cell r="G1633">
            <v>64</v>
          </cell>
        </row>
        <row r="1634">
          <cell r="B1634" t="str">
            <v>SJ1535N20S KR</v>
          </cell>
          <cell r="C1634"/>
          <cell r="D1634">
            <v>33.700000000000003</v>
          </cell>
          <cell r="E1634">
            <v>122</v>
          </cell>
          <cell r="F1634"/>
          <cell r="G1634">
            <v>64</v>
          </cell>
        </row>
        <row r="1635">
          <cell r="B1635" t="str">
            <v>SJ3035N20S KR</v>
          </cell>
          <cell r="C1635"/>
          <cell r="D1635">
            <v>33.700000000000003</v>
          </cell>
          <cell r="E1635">
            <v>92.6</v>
          </cell>
          <cell r="F1635"/>
          <cell r="G1635">
            <v>64</v>
          </cell>
        </row>
        <row r="1636">
          <cell r="B1636" t="str">
            <v>SA0035N22S KR</v>
          </cell>
          <cell r="C1636"/>
          <cell r="D1636">
            <v>33.700000000000003</v>
          </cell>
          <cell r="E1636">
            <v>92.6</v>
          </cell>
          <cell r="F1636"/>
          <cell r="G1636">
            <v>64</v>
          </cell>
        </row>
        <row r="1637">
          <cell r="B1637" t="str">
            <v>SJ1535N22S KR</v>
          </cell>
          <cell r="C1637"/>
          <cell r="D1637">
            <v>33.700000000000003</v>
          </cell>
          <cell r="E1637">
            <v>92.6</v>
          </cell>
          <cell r="F1637"/>
          <cell r="G1637">
            <v>84</v>
          </cell>
        </row>
        <row r="1638">
          <cell r="B1638" t="str">
            <v>SJ1535N18S KR</v>
          </cell>
          <cell r="C1638"/>
          <cell r="D1638">
            <v>27.6</v>
          </cell>
          <cell r="E1638">
            <v>92.6</v>
          </cell>
          <cell r="F1638"/>
          <cell r="G1638">
            <v>64</v>
          </cell>
        </row>
        <row r="1639">
          <cell r="B1639" t="str">
            <v>SA0035N18S KR</v>
          </cell>
          <cell r="C1639"/>
          <cell r="D1639">
            <v>27.6</v>
          </cell>
          <cell r="E1639">
            <v>92.6</v>
          </cell>
          <cell r="F1639"/>
          <cell r="G1639">
            <v>64</v>
          </cell>
        </row>
        <row r="1640">
          <cell r="B1640" t="str">
            <v>SJ3035N18S</v>
          </cell>
          <cell r="C1640"/>
          <cell r="D1640">
            <v>34</v>
          </cell>
          <cell r="E1640">
            <v>92.6</v>
          </cell>
          <cell r="F1640"/>
          <cell r="G1640">
            <v>84</v>
          </cell>
        </row>
        <row r="1641">
          <cell r="B1641" t="str">
            <v>SA0035N18S</v>
          </cell>
          <cell r="C1641"/>
          <cell r="D1641">
            <v>34</v>
          </cell>
          <cell r="E1641">
            <v>92.6</v>
          </cell>
          <cell r="F1641"/>
          <cell r="G1641">
            <v>84</v>
          </cell>
        </row>
        <row r="1642">
          <cell r="B1642" t="str">
            <v>SJ3035N22S KR</v>
          </cell>
          <cell r="C1642"/>
          <cell r="D1642">
            <v>33.700000000000003</v>
          </cell>
          <cell r="E1642">
            <v>92.6</v>
          </cell>
          <cell r="F1642"/>
          <cell r="G1642">
            <v>84</v>
          </cell>
        </row>
        <row r="1643">
          <cell r="B1643" t="str">
            <v>SA0035N26S KR</v>
          </cell>
          <cell r="C1643"/>
          <cell r="D1643">
            <v>28.5</v>
          </cell>
          <cell r="E1643">
            <v>92.6</v>
          </cell>
          <cell r="F1643"/>
          <cell r="G1643">
            <v>64</v>
          </cell>
        </row>
        <row r="1644">
          <cell r="B1644" t="str">
            <v>SA0025N15S NO CE</v>
          </cell>
          <cell r="C1644"/>
          <cell r="D1644">
            <v>34</v>
          </cell>
          <cell r="E1644">
            <v>132</v>
          </cell>
          <cell r="F1644"/>
          <cell r="G1644">
            <v>84</v>
          </cell>
        </row>
        <row r="1645">
          <cell r="B1645" t="str">
            <v>SA0025N18S JP</v>
          </cell>
          <cell r="C1645"/>
          <cell r="D1645">
            <v>34</v>
          </cell>
          <cell r="E1645">
            <v>92.6</v>
          </cell>
          <cell r="F1645"/>
          <cell r="G1645">
            <v>84</v>
          </cell>
        </row>
        <row r="1646">
          <cell r="B1646" t="str">
            <v>SA0025N18S NO CE</v>
          </cell>
          <cell r="C1646"/>
          <cell r="D1646">
            <v>31.5</v>
          </cell>
          <cell r="E1646">
            <v>92.6</v>
          </cell>
          <cell r="F1646"/>
          <cell r="G1646">
            <v>84</v>
          </cell>
        </row>
        <row r="1647">
          <cell r="B1647" t="str">
            <v>SJ3025N30SP JP</v>
          </cell>
          <cell r="C1647"/>
          <cell r="D1647">
            <v>21.9</v>
          </cell>
          <cell r="E1647">
            <v>117.9</v>
          </cell>
          <cell r="F1647"/>
          <cell r="G1647">
            <v>76</v>
          </cell>
        </row>
        <row r="1648">
          <cell r="B1648" t="str">
            <v>SJ3025N22S NO CE</v>
          </cell>
          <cell r="C1648"/>
          <cell r="D1648">
            <v>34</v>
          </cell>
          <cell r="E1648">
            <v>132</v>
          </cell>
          <cell r="F1648"/>
          <cell r="G1648">
            <v>84</v>
          </cell>
        </row>
        <row r="1649">
          <cell r="B1649" t="str">
            <v>SJ3025N26S JP</v>
          </cell>
          <cell r="C1649"/>
          <cell r="D1649">
            <v>34</v>
          </cell>
          <cell r="E1649">
            <v>92.6</v>
          </cell>
          <cell r="F1649"/>
          <cell r="G1649">
            <v>84</v>
          </cell>
        </row>
        <row r="1650">
          <cell r="B1650" t="str">
            <v>SJ3025N26S NO CE</v>
          </cell>
          <cell r="C1650"/>
          <cell r="D1650">
            <v>34</v>
          </cell>
          <cell r="E1650">
            <v>132</v>
          </cell>
          <cell r="F1650"/>
          <cell r="G1650">
            <v>84</v>
          </cell>
        </row>
        <row r="1651">
          <cell r="B1651" t="str">
            <v>SJ3025N30S JP</v>
          </cell>
          <cell r="C1651"/>
          <cell r="D1651">
            <v>34</v>
          </cell>
          <cell r="E1651">
            <v>132</v>
          </cell>
          <cell r="F1651"/>
          <cell r="G1651">
            <v>84</v>
          </cell>
        </row>
        <row r="1652">
          <cell r="B1652" t="str">
            <v>SJ3025N30S NO CE</v>
          </cell>
          <cell r="C1652"/>
          <cell r="D1652">
            <v>31.5</v>
          </cell>
          <cell r="E1652">
            <v>92.6</v>
          </cell>
          <cell r="F1652"/>
          <cell r="G1652">
            <v>84</v>
          </cell>
        </row>
        <row r="1653">
          <cell r="B1653" t="str">
            <v>SJ1535N18S</v>
          </cell>
          <cell r="C1653"/>
          <cell r="D1653">
            <v>33.700000000000003</v>
          </cell>
          <cell r="E1653">
            <v>92.6</v>
          </cell>
          <cell r="F1653"/>
          <cell r="G1653">
            <v>84</v>
          </cell>
        </row>
        <row r="1654">
          <cell r="B1654" t="str">
            <v>SA0025N30S JP</v>
          </cell>
          <cell r="C1654"/>
          <cell r="D1654">
            <v>34</v>
          </cell>
          <cell r="E1654">
            <v>132</v>
          </cell>
          <cell r="F1654"/>
          <cell r="G1654">
            <v>84</v>
          </cell>
        </row>
        <row r="1655">
          <cell r="B1655" t="str">
            <v>SA0025N30S NO CE</v>
          </cell>
          <cell r="C1655"/>
          <cell r="D1655">
            <v>31.5</v>
          </cell>
          <cell r="E1655">
            <v>92.6</v>
          </cell>
          <cell r="F1655"/>
          <cell r="G1655">
            <v>84</v>
          </cell>
        </row>
        <row r="1656">
          <cell r="B1656" t="str">
            <v>SA0025N20S JP</v>
          </cell>
          <cell r="C1656"/>
          <cell r="D1656">
            <v>34</v>
          </cell>
          <cell r="E1656">
            <v>92.6</v>
          </cell>
          <cell r="F1656"/>
          <cell r="G1656">
            <v>76</v>
          </cell>
        </row>
        <row r="1657">
          <cell r="B1657" t="str">
            <v>SA0025N20S NO CE</v>
          </cell>
          <cell r="C1657"/>
          <cell r="D1657">
            <v>34</v>
          </cell>
          <cell r="E1657">
            <v>132</v>
          </cell>
          <cell r="F1657"/>
          <cell r="G1657">
            <v>84</v>
          </cell>
        </row>
        <row r="1658">
          <cell r="B1658" t="str">
            <v>SA0025N22S JP</v>
          </cell>
          <cell r="C1658"/>
          <cell r="D1658">
            <v>34</v>
          </cell>
          <cell r="E1658">
            <v>132</v>
          </cell>
          <cell r="F1658"/>
          <cell r="G1658">
            <v>84</v>
          </cell>
        </row>
        <row r="1659">
          <cell r="B1659" t="str">
            <v>SA0025N22S NO CE</v>
          </cell>
          <cell r="C1659"/>
          <cell r="D1659">
            <v>34</v>
          </cell>
          <cell r="E1659">
            <v>132</v>
          </cell>
          <cell r="F1659"/>
          <cell r="G1659">
            <v>84</v>
          </cell>
        </row>
        <row r="1660">
          <cell r="B1660" t="str">
            <v>SA0025N15S JP</v>
          </cell>
          <cell r="C1660"/>
          <cell r="D1660">
            <v>34</v>
          </cell>
          <cell r="E1660">
            <v>132</v>
          </cell>
          <cell r="F1660"/>
          <cell r="G1660">
            <v>84</v>
          </cell>
        </row>
        <row r="1661">
          <cell r="B1661" t="str">
            <v>SA0025N26S JP</v>
          </cell>
          <cell r="C1661"/>
          <cell r="D1661">
            <v>34</v>
          </cell>
          <cell r="E1661">
            <v>92.6</v>
          </cell>
          <cell r="F1661"/>
          <cell r="G1661">
            <v>84</v>
          </cell>
        </row>
        <row r="1662">
          <cell r="B1662" t="str">
            <v>SA0025N26S NO CE</v>
          </cell>
          <cell r="C1662"/>
          <cell r="D1662">
            <v>34</v>
          </cell>
          <cell r="E1662">
            <v>132</v>
          </cell>
          <cell r="F1662"/>
          <cell r="G1662">
            <v>84</v>
          </cell>
        </row>
        <row r="1663">
          <cell r="B1663" t="str">
            <v>SA0035N22S CE</v>
          </cell>
          <cell r="C1663"/>
          <cell r="D1663">
            <v>22</v>
          </cell>
          <cell r="E1663">
            <v>117.9</v>
          </cell>
          <cell r="F1663"/>
          <cell r="G1663">
            <v>115</v>
          </cell>
        </row>
        <row r="1664">
          <cell r="B1664" t="str">
            <v>SJ1535N15SP JP</v>
          </cell>
          <cell r="C1664"/>
          <cell r="D1664">
            <v>21.9</v>
          </cell>
          <cell r="E1664">
            <v>117.9</v>
          </cell>
          <cell r="F1664"/>
          <cell r="G1664">
            <v>76</v>
          </cell>
        </row>
        <row r="1665">
          <cell r="B1665" t="str">
            <v>SJ3035N15SP JP</v>
          </cell>
          <cell r="C1665"/>
          <cell r="D1665">
            <v>21.9</v>
          </cell>
          <cell r="E1665">
            <v>117.9</v>
          </cell>
          <cell r="F1665"/>
          <cell r="G1665">
            <v>76</v>
          </cell>
        </row>
        <row r="1666">
          <cell r="B1666" t="str">
            <v>SA0035N20SP JP</v>
          </cell>
          <cell r="C1666"/>
          <cell r="D1666">
            <v>21.9</v>
          </cell>
          <cell r="E1666">
            <v>117.9</v>
          </cell>
          <cell r="F1666"/>
          <cell r="G1666">
            <v>76</v>
          </cell>
        </row>
        <row r="1667">
          <cell r="B1667" t="str">
            <v>SJ1535N20SP JP</v>
          </cell>
          <cell r="C1667"/>
          <cell r="D1667">
            <v>21.9</v>
          </cell>
          <cell r="E1667">
            <v>117.9</v>
          </cell>
          <cell r="F1667"/>
          <cell r="G1667">
            <v>76</v>
          </cell>
        </row>
        <row r="1668">
          <cell r="B1668" t="str">
            <v>SJ3035N20SP JP</v>
          </cell>
          <cell r="C1668"/>
          <cell r="D1668">
            <v>21.9</v>
          </cell>
          <cell r="E1668">
            <v>117.9</v>
          </cell>
          <cell r="F1668"/>
          <cell r="G1668">
            <v>76</v>
          </cell>
        </row>
        <row r="1669">
          <cell r="B1669" t="str">
            <v>SA0035N22SP JP</v>
          </cell>
          <cell r="C1669"/>
          <cell r="D1669">
            <v>21.9</v>
          </cell>
          <cell r="E1669">
            <v>117.9</v>
          </cell>
          <cell r="F1669"/>
          <cell r="G1669">
            <v>76</v>
          </cell>
        </row>
        <row r="1670">
          <cell r="B1670" t="str">
            <v>SJ1535N22SP JP</v>
          </cell>
          <cell r="C1670"/>
          <cell r="D1670">
            <v>21.9</v>
          </cell>
          <cell r="E1670">
            <v>117.9</v>
          </cell>
          <cell r="F1670"/>
          <cell r="G1670">
            <v>76</v>
          </cell>
        </row>
        <row r="1671">
          <cell r="B1671" t="str">
            <v>SJ3035N22SP JP</v>
          </cell>
          <cell r="C1671"/>
          <cell r="D1671">
            <v>21.9</v>
          </cell>
          <cell r="E1671">
            <v>117.9</v>
          </cell>
          <cell r="F1671"/>
          <cell r="G1671">
            <v>76</v>
          </cell>
        </row>
        <row r="1672">
          <cell r="B1672" t="str">
            <v>SA0035N26SP JP</v>
          </cell>
          <cell r="C1672"/>
          <cell r="D1672">
            <v>21.9</v>
          </cell>
          <cell r="E1672">
            <v>117.9</v>
          </cell>
          <cell r="F1672"/>
          <cell r="G1672">
            <v>76</v>
          </cell>
        </row>
        <row r="1673">
          <cell r="B1673" t="str">
            <v>SA0035N15S</v>
          </cell>
          <cell r="C1673"/>
          <cell r="D1673">
            <v>33.700000000000003</v>
          </cell>
          <cell r="E1673">
            <v>92.6</v>
          </cell>
          <cell r="F1673"/>
          <cell r="G1673">
            <v>84</v>
          </cell>
        </row>
        <row r="1674">
          <cell r="B1674" t="str">
            <v>SA0035N20S</v>
          </cell>
          <cell r="C1674"/>
          <cell r="D1674">
            <v>33.700000000000003</v>
          </cell>
          <cell r="E1674">
            <v>92.6</v>
          </cell>
          <cell r="F1674"/>
          <cell r="G1674">
            <v>84</v>
          </cell>
        </row>
        <row r="1675">
          <cell r="B1675" t="str">
            <v>SA0035N20S CE</v>
          </cell>
          <cell r="C1675"/>
          <cell r="D1675">
            <v>22</v>
          </cell>
          <cell r="E1675">
            <v>93</v>
          </cell>
          <cell r="F1675"/>
          <cell r="G1675">
            <v>66.400000000000006</v>
          </cell>
        </row>
        <row r="1676">
          <cell r="B1676" t="str">
            <v>SJ3035N20S</v>
          </cell>
          <cell r="C1676"/>
          <cell r="D1676">
            <v>33.700000000000003</v>
          </cell>
          <cell r="E1676">
            <v>92.6</v>
          </cell>
          <cell r="F1676"/>
          <cell r="G1676">
            <v>84</v>
          </cell>
        </row>
        <row r="1677">
          <cell r="B1677" t="str">
            <v>SJ3035N20S CE</v>
          </cell>
          <cell r="C1677"/>
          <cell r="D1677">
            <v>22</v>
          </cell>
          <cell r="E1677">
            <v>93</v>
          </cell>
          <cell r="F1677"/>
          <cell r="G1677">
            <v>64</v>
          </cell>
        </row>
        <row r="1678">
          <cell r="B1678" t="str">
            <v>SJ1535N22S CE</v>
          </cell>
          <cell r="C1678"/>
          <cell r="D1678">
            <v>22</v>
          </cell>
          <cell r="E1678">
            <v>201.4</v>
          </cell>
          <cell r="F1678"/>
          <cell r="G1678">
            <v>115</v>
          </cell>
        </row>
        <row r="1679">
          <cell r="B1679" t="str">
            <v>SJ1535N26SP JP</v>
          </cell>
          <cell r="C1679"/>
          <cell r="D1679">
            <v>21.9</v>
          </cell>
          <cell r="E1679">
            <v>117.9</v>
          </cell>
          <cell r="F1679"/>
          <cell r="G1679">
            <v>76</v>
          </cell>
        </row>
        <row r="1680">
          <cell r="B1680" t="str">
            <v>SJ3035N26SP JP</v>
          </cell>
          <cell r="C1680"/>
          <cell r="D1680">
            <v>21.9</v>
          </cell>
          <cell r="E1680">
            <v>117.9</v>
          </cell>
          <cell r="F1680"/>
          <cell r="G1680">
            <v>76</v>
          </cell>
        </row>
        <row r="1681">
          <cell r="B1681" t="str">
            <v>SA0035N15SP JP</v>
          </cell>
          <cell r="C1681"/>
          <cell r="D1681">
            <v>21.9</v>
          </cell>
          <cell r="E1681">
            <v>117.9</v>
          </cell>
          <cell r="F1681"/>
          <cell r="G1681">
            <v>76</v>
          </cell>
        </row>
        <row r="1682">
          <cell r="B1682" t="str">
            <v>SA0035N26S</v>
          </cell>
          <cell r="C1682"/>
          <cell r="D1682">
            <v>33.700000000000003</v>
          </cell>
          <cell r="E1682">
            <v>92.6</v>
          </cell>
          <cell r="F1682"/>
          <cell r="G1682">
            <v>84</v>
          </cell>
        </row>
        <row r="1683">
          <cell r="B1683" t="str">
            <v>SA0035N26S CE</v>
          </cell>
          <cell r="C1683"/>
          <cell r="D1683">
            <v>22</v>
          </cell>
          <cell r="E1683">
            <v>117.9</v>
          </cell>
          <cell r="F1683"/>
          <cell r="G1683">
            <v>115</v>
          </cell>
        </row>
        <row r="1684">
          <cell r="B1684" t="str">
            <v>SJ1535N15S</v>
          </cell>
          <cell r="C1684"/>
          <cell r="D1684">
            <v>33.700000000000003</v>
          </cell>
          <cell r="E1684">
            <v>92.6</v>
          </cell>
          <cell r="F1684"/>
          <cell r="G1684">
            <v>84</v>
          </cell>
        </row>
        <row r="1685">
          <cell r="B1685" t="str">
            <v>SJ1535N20S</v>
          </cell>
          <cell r="C1685"/>
          <cell r="D1685">
            <v>33.700000000000003</v>
          </cell>
          <cell r="E1685">
            <v>92.6</v>
          </cell>
          <cell r="F1685"/>
          <cell r="G1685">
            <v>84</v>
          </cell>
        </row>
        <row r="1686">
          <cell r="B1686" t="str">
            <v>SJ1535N20S CE</v>
          </cell>
          <cell r="C1686"/>
          <cell r="D1686">
            <v>22</v>
          </cell>
          <cell r="E1686">
            <v>166.9</v>
          </cell>
          <cell r="F1686"/>
          <cell r="G1686">
            <v>115</v>
          </cell>
        </row>
        <row r="1687">
          <cell r="B1687" t="str">
            <v>SJ1535N22S</v>
          </cell>
          <cell r="C1687"/>
          <cell r="D1687">
            <v>33.700000000000003</v>
          </cell>
          <cell r="E1687">
            <v>92.6</v>
          </cell>
          <cell r="F1687"/>
          <cell r="G1687">
            <v>84</v>
          </cell>
        </row>
        <row r="1688">
          <cell r="B1688" t="str">
            <v>SA0035N22S</v>
          </cell>
          <cell r="C1688"/>
          <cell r="D1688">
            <v>33.700000000000003</v>
          </cell>
          <cell r="E1688">
            <v>92.6</v>
          </cell>
          <cell r="F1688"/>
          <cell r="G1688">
            <v>84</v>
          </cell>
        </row>
        <row r="1689">
          <cell r="B1689" t="str">
            <v>SJ1525N20SP JP</v>
          </cell>
          <cell r="C1689"/>
          <cell r="D1689">
            <v>21.9</v>
          </cell>
          <cell r="E1689">
            <v>117.9</v>
          </cell>
          <cell r="F1689"/>
          <cell r="G1689">
            <v>76</v>
          </cell>
        </row>
        <row r="1690">
          <cell r="B1690" t="str">
            <v>SA0035N30S</v>
          </cell>
          <cell r="C1690"/>
          <cell r="D1690">
            <v>21.9</v>
          </cell>
          <cell r="E1690">
            <v>92.6</v>
          </cell>
          <cell r="F1690"/>
          <cell r="G1690">
            <v>115</v>
          </cell>
        </row>
        <row r="1691">
          <cell r="B1691" t="str">
            <v>SA0035N30S CE</v>
          </cell>
          <cell r="C1691"/>
          <cell r="D1691">
            <v>22</v>
          </cell>
          <cell r="E1691">
            <v>117.9</v>
          </cell>
          <cell r="F1691"/>
          <cell r="G1691">
            <v>115</v>
          </cell>
        </row>
        <row r="1692">
          <cell r="B1692" t="str">
            <v>SJ1535N30S</v>
          </cell>
          <cell r="C1692"/>
          <cell r="D1692">
            <v>21.9</v>
          </cell>
          <cell r="E1692">
            <v>92.6</v>
          </cell>
          <cell r="F1692"/>
          <cell r="G1692">
            <v>115</v>
          </cell>
        </row>
        <row r="1693">
          <cell r="B1693" t="str">
            <v>SJ1535N30S CE</v>
          </cell>
          <cell r="C1693"/>
          <cell r="D1693">
            <v>22</v>
          </cell>
          <cell r="E1693">
            <v>117.9</v>
          </cell>
          <cell r="F1693"/>
          <cell r="G1693">
            <v>115</v>
          </cell>
        </row>
        <row r="1694">
          <cell r="B1694" t="str">
            <v>SJ3035N26S</v>
          </cell>
          <cell r="C1694"/>
          <cell r="D1694">
            <v>39.700000000000003</v>
          </cell>
          <cell r="E1694">
            <v>92.6</v>
          </cell>
          <cell r="F1694"/>
          <cell r="G1694">
            <v>115</v>
          </cell>
        </row>
        <row r="1695">
          <cell r="B1695" t="str">
            <v>SJ3035N22S</v>
          </cell>
          <cell r="C1695"/>
          <cell r="D1695">
            <v>33.700000000000003</v>
          </cell>
          <cell r="E1695">
            <v>92.6</v>
          </cell>
          <cell r="F1695"/>
          <cell r="G1695">
            <v>84</v>
          </cell>
        </row>
        <row r="1696">
          <cell r="B1696" t="str">
            <v>SJ3035N22S CE</v>
          </cell>
          <cell r="C1696"/>
          <cell r="D1696">
            <v>22</v>
          </cell>
          <cell r="E1696">
            <v>117.9</v>
          </cell>
          <cell r="F1696"/>
          <cell r="G1696">
            <v>115</v>
          </cell>
        </row>
        <row r="1697">
          <cell r="B1697" t="str">
            <v>SJ3035N18SP JP</v>
          </cell>
          <cell r="C1697"/>
          <cell r="D1697">
            <v>21.9</v>
          </cell>
          <cell r="E1697">
            <v>117.9</v>
          </cell>
          <cell r="F1697"/>
          <cell r="G1697">
            <v>76</v>
          </cell>
        </row>
        <row r="1698">
          <cell r="B1698" t="str">
            <v>SJ1535N18SP JP</v>
          </cell>
          <cell r="C1698"/>
          <cell r="D1698">
            <v>21.9</v>
          </cell>
          <cell r="E1698">
            <v>117.9</v>
          </cell>
          <cell r="F1698"/>
          <cell r="G1698">
            <v>76</v>
          </cell>
        </row>
        <row r="1699">
          <cell r="B1699" t="str">
            <v>SA0035N18SP JP</v>
          </cell>
          <cell r="C1699"/>
          <cell r="D1699">
            <v>21.9</v>
          </cell>
          <cell r="E1699">
            <v>117.9</v>
          </cell>
          <cell r="F1699"/>
          <cell r="G1699">
            <v>76</v>
          </cell>
        </row>
        <row r="1700">
          <cell r="B1700" t="str">
            <v>SA0035N30SP JP</v>
          </cell>
          <cell r="C1700"/>
          <cell r="D1700">
            <v>21.9</v>
          </cell>
          <cell r="E1700">
            <v>117.9</v>
          </cell>
          <cell r="F1700"/>
          <cell r="G1700">
            <v>76</v>
          </cell>
        </row>
        <row r="1701">
          <cell r="B1701" t="str">
            <v>SJ1535N30SP JP</v>
          </cell>
          <cell r="C1701"/>
          <cell r="D1701">
            <v>21.9</v>
          </cell>
          <cell r="E1701">
            <v>117.9</v>
          </cell>
          <cell r="F1701"/>
          <cell r="G1701">
            <v>76</v>
          </cell>
        </row>
        <row r="1702">
          <cell r="B1702" t="str">
            <v>SJ1535N26S</v>
          </cell>
          <cell r="C1702"/>
          <cell r="D1702">
            <v>33.700000000000003</v>
          </cell>
          <cell r="E1702">
            <v>92.6</v>
          </cell>
          <cell r="F1702"/>
          <cell r="G1702">
            <v>84</v>
          </cell>
        </row>
        <row r="1703">
          <cell r="B1703" t="str">
            <v>SJ1535N26S CE</v>
          </cell>
          <cell r="C1703"/>
          <cell r="D1703">
            <v>22</v>
          </cell>
          <cell r="E1703">
            <v>117.9</v>
          </cell>
          <cell r="F1703"/>
          <cell r="G1703">
            <v>115</v>
          </cell>
        </row>
        <row r="1704">
          <cell r="B1704" t="str">
            <v>SJ3035N15S</v>
          </cell>
          <cell r="C1704"/>
          <cell r="D1704">
            <v>33.700000000000003</v>
          </cell>
          <cell r="E1704">
            <v>92.6</v>
          </cell>
          <cell r="F1704"/>
          <cell r="G1704">
            <v>84</v>
          </cell>
        </row>
        <row r="1705">
          <cell r="B1705" t="str">
            <v>SJ1525N26SP JP</v>
          </cell>
          <cell r="C1705"/>
          <cell r="D1705">
            <v>21.9</v>
          </cell>
          <cell r="E1705">
            <v>117.9</v>
          </cell>
          <cell r="F1705"/>
          <cell r="G1705">
            <v>76</v>
          </cell>
        </row>
        <row r="1706">
          <cell r="B1706" t="str">
            <v>SJ3025N26SP JP</v>
          </cell>
          <cell r="C1706"/>
          <cell r="D1706">
            <v>21.9</v>
          </cell>
          <cell r="E1706">
            <v>117.9</v>
          </cell>
          <cell r="F1706"/>
          <cell r="G1706">
            <v>76</v>
          </cell>
        </row>
        <row r="1707">
          <cell r="B1707" t="str">
            <v>SA0025N30SP JP</v>
          </cell>
          <cell r="C1707"/>
          <cell r="D1707">
            <v>21.9</v>
          </cell>
          <cell r="E1707">
            <v>117.9</v>
          </cell>
          <cell r="F1707"/>
          <cell r="G1707">
            <v>76</v>
          </cell>
        </row>
        <row r="1708">
          <cell r="B1708" t="str">
            <v>SJ1525N15S NO CE</v>
          </cell>
          <cell r="C1708"/>
          <cell r="D1708">
            <v>34</v>
          </cell>
          <cell r="E1708">
            <v>132</v>
          </cell>
          <cell r="F1708"/>
          <cell r="G1708">
            <v>84</v>
          </cell>
        </row>
        <row r="1709">
          <cell r="B1709" t="str">
            <v>SJ3035N26S CE</v>
          </cell>
          <cell r="C1709"/>
          <cell r="D1709">
            <v>22</v>
          </cell>
          <cell r="E1709">
            <v>93</v>
          </cell>
          <cell r="F1709"/>
          <cell r="G1709">
            <v>115</v>
          </cell>
        </row>
        <row r="1710">
          <cell r="B1710" t="str">
            <v>SJ3035N30S</v>
          </cell>
          <cell r="C1710"/>
          <cell r="D1710">
            <v>39.700000000000003</v>
          </cell>
          <cell r="E1710">
            <v>92.6</v>
          </cell>
          <cell r="F1710"/>
          <cell r="G1710">
            <v>115</v>
          </cell>
        </row>
        <row r="1711">
          <cell r="B1711" t="str">
            <v>SJ3035N30S CE</v>
          </cell>
          <cell r="C1711"/>
          <cell r="D1711">
            <v>22</v>
          </cell>
          <cell r="E1711">
            <v>117.9</v>
          </cell>
          <cell r="F1711"/>
          <cell r="G1711">
            <v>115</v>
          </cell>
        </row>
        <row r="1712">
          <cell r="B1712" t="str">
            <v>SJ1525N15S JP</v>
          </cell>
          <cell r="C1712"/>
          <cell r="D1712">
            <v>34</v>
          </cell>
          <cell r="E1712">
            <v>132</v>
          </cell>
          <cell r="F1712"/>
          <cell r="G1712">
            <v>84</v>
          </cell>
        </row>
        <row r="1713">
          <cell r="B1713" t="str">
            <v>SJ3035N30SP JP</v>
          </cell>
          <cell r="C1713"/>
          <cell r="D1713">
            <v>21.9</v>
          </cell>
          <cell r="E1713">
            <v>117.9</v>
          </cell>
          <cell r="F1713"/>
          <cell r="G1713">
            <v>76</v>
          </cell>
        </row>
        <row r="1714">
          <cell r="B1714" t="str">
            <v>SA0025N15SP JP</v>
          </cell>
          <cell r="C1714"/>
          <cell r="D1714">
            <v>21.9</v>
          </cell>
          <cell r="E1714">
            <v>117.9</v>
          </cell>
          <cell r="F1714"/>
          <cell r="G1714">
            <v>76</v>
          </cell>
        </row>
        <row r="1715">
          <cell r="B1715" t="str">
            <v>SJ1525N15SP JP</v>
          </cell>
          <cell r="C1715"/>
          <cell r="D1715">
            <v>21.9</v>
          </cell>
          <cell r="E1715">
            <v>117.9</v>
          </cell>
          <cell r="F1715"/>
          <cell r="G1715">
            <v>76</v>
          </cell>
        </row>
        <row r="1716">
          <cell r="B1716" t="str">
            <v>SJ3025N15SP JP</v>
          </cell>
          <cell r="C1716"/>
          <cell r="D1716">
            <v>21.9</v>
          </cell>
          <cell r="E1716">
            <v>117.9</v>
          </cell>
          <cell r="F1716"/>
          <cell r="G1716">
            <v>76</v>
          </cell>
        </row>
        <row r="1717">
          <cell r="B1717" t="str">
            <v>SA0025N18SP JP</v>
          </cell>
          <cell r="C1717"/>
          <cell r="D1717">
            <v>21.9</v>
          </cell>
          <cell r="E1717">
            <v>117.9</v>
          </cell>
          <cell r="F1717"/>
          <cell r="G1717">
            <v>76</v>
          </cell>
        </row>
        <row r="1718">
          <cell r="B1718" t="str">
            <v>SJ1525N18SP JP</v>
          </cell>
          <cell r="C1718"/>
          <cell r="D1718">
            <v>21.9</v>
          </cell>
          <cell r="E1718">
            <v>117.9</v>
          </cell>
          <cell r="F1718"/>
          <cell r="G1718">
            <v>76</v>
          </cell>
        </row>
        <row r="1719">
          <cell r="B1719" t="str">
            <v>SJ3025N18SP JP</v>
          </cell>
          <cell r="C1719"/>
          <cell r="D1719">
            <v>21.9</v>
          </cell>
          <cell r="E1719">
            <v>117.9</v>
          </cell>
          <cell r="F1719"/>
          <cell r="G1719">
            <v>76</v>
          </cell>
        </row>
        <row r="1720">
          <cell r="B1720" t="str">
            <v>SA0025N20SP JP</v>
          </cell>
          <cell r="C1720"/>
          <cell r="D1720">
            <v>21.9</v>
          </cell>
          <cell r="E1720">
            <v>117.9</v>
          </cell>
          <cell r="F1720"/>
          <cell r="G1720">
            <v>76</v>
          </cell>
        </row>
        <row r="1721">
          <cell r="B1721" t="str">
            <v>SA0035N15S CE</v>
          </cell>
          <cell r="C1721"/>
          <cell r="D1721">
            <v>22</v>
          </cell>
          <cell r="E1721">
            <v>92.6</v>
          </cell>
          <cell r="F1721"/>
          <cell r="G1721">
            <v>115</v>
          </cell>
        </row>
        <row r="1722">
          <cell r="B1722" t="str">
            <v>SJ1535N15S CE</v>
          </cell>
          <cell r="C1722"/>
          <cell r="D1722">
            <v>22</v>
          </cell>
          <cell r="E1722">
            <v>92.6</v>
          </cell>
          <cell r="F1722"/>
          <cell r="G1722">
            <v>66.400000000000006</v>
          </cell>
        </row>
        <row r="1723">
          <cell r="B1723" t="str">
            <v>SJ3035N15S CE</v>
          </cell>
          <cell r="C1723"/>
          <cell r="D1723">
            <v>22</v>
          </cell>
          <cell r="E1723">
            <v>92.6</v>
          </cell>
          <cell r="F1723"/>
          <cell r="G1723">
            <v>115</v>
          </cell>
        </row>
        <row r="1724">
          <cell r="B1724" t="str">
            <v>SJ1525N18S JP</v>
          </cell>
          <cell r="C1724"/>
          <cell r="D1724">
            <v>34</v>
          </cell>
          <cell r="E1724">
            <v>92.6</v>
          </cell>
          <cell r="F1724"/>
          <cell r="G1724">
            <v>84</v>
          </cell>
        </row>
        <row r="1725">
          <cell r="B1725" t="str">
            <v>SJ1525N18S NO CE</v>
          </cell>
          <cell r="C1725"/>
          <cell r="D1725">
            <v>34</v>
          </cell>
          <cell r="E1725">
            <v>132</v>
          </cell>
          <cell r="F1725"/>
          <cell r="G1725">
            <v>84</v>
          </cell>
        </row>
        <row r="1726">
          <cell r="B1726" t="str">
            <v>SJ1525N20S JP</v>
          </cell>
          <cell r="C1726"/>
          <cell r="D1726">
            <v>34</v>
          </cell>
          <cell r="E1726">
            <v>92.6</v>
          </cell>
          <cell r="F1726"/>
          <cell r="G1726">
            <v>84</v>
          </cell>
        </row>
        <row r="1727">
          <cell r="B1727" t="str">
            <v>SJ1525N20S NO CE</v>
          </cell>
          <cell r="C1727"/>
          <cell r="D1727">
            <v>34</v>
          </cell>
          <cell r="E1727">
            <v>132</v>
          </cell>
          <cell r="F1727"/>
          <cell r="G1727">
            <v>84</v>
          </cell>
        </row>
        <row r="1728">
          <cell r="B1728" t="str">
            <v>SJ1525N22S JP</v>
          </cell>
          <cell r="C1728"/>
          <cell r="D1728">
            <v>34</v>
          </cell>
          <cell r="E1728">
            <v>132</v>
          </cell>
          <cell r="F1728"/>
          <cell r="G1728">
            <v>84</v>
          </cell>
        </row>
        <row r="1729">
          <cell r="B1729" t="str">
            <v>SJ1525N22S NO CE</v>
          </cell>
          <cell r="C1729"/>
          <cell r="D1729">
            <v>34</v>
          </cell>
          <cell r="E1729">
            <v>132</v>
          </cell>
          <cell r="F1729"/>
          <cell r="G1729">
            <v>84</v>
          </cell>
        </row>
        <row r="1730">
          <cell r="B1730" t="str">
            <v>SJ1525N26S JP</v>
          </cell>
          <cell r="C1730"/>
          <cell r="D1730">
            <v>34</v>
          </cell>
          <cell r="E1730">
            <v>92.6</v>
          </cell>
          <cell r="F1730"/>
          <cell r="G1730">
            <v>84</v>
          </cell>
        </row>
        <row r="1731">
          <cell r="B1731" t="str">
            <v>SJ1525N26S NO CE</v>
          </cell>
          <cell r="C1731"/>
          <cell r="D1731">
            <v>34</v>
          </cell>
          <cell r="E1731">
            <v>132</v>
          </cell>
          <cell r="F1731"/>
          <cell r="G1731">
            <v>84</v>
          </cell>
        </row>
        <row r="1732">
          <cell r="B1732" t="str">
            <v>SJ3025N20SP JP</v>
          </cell>
          <cell r="C1732"/>
          <cell r="D1732">
            <v>21.9</v>
          </cell>
          <cell r="E1732">
            <v>117.9</v>
          </cell>
          <cell r="F1732"/>
          <cell r="G1732">
            <v>76</v>
          </cell>
        </row>
        <row r="1733">
          <cell r="B1733" t="str">
            <v>SA0025N22SP JP</v>
          </cell>
          <cell r="C1733"/>
          <cell r="D1733">
            <v>21.9</v>
          </cell>
          <cell r="E1733">
            <v>117.9</v>
          </cell>
          <cell r="F1733"/>
          <cell r="G1733">
            <v>76</v>
          </cell>
        </row>
        <row r="1734">
          <cell r="B1734" t="str">
            <v>SJ1525N22SP JP</v>
          </cell>
          <cell r="C1734"/>
          <cell r="D1734">
            <v>21.9</v>
          </cell>
          <cell r="E1734">
            <v>117.9</v>
          </cell>
          <cell r="F1734"/>
          <cell r="G1734">
            <v>76</v>
          </cell>
        </row>
        <row r="1735">
          <cell r="B1735" t="str">
            <v>SJ3025N22SP JP</v>
          </cell>
          <cell r="C1735"/>
          <cell r="D1735">
            <v>21.9</v>
          </cell>
          <cell r="E1735">
            <v>117.9</v>
          </cell>
          <cell r="F1735"/>
          <cell r="G1735">
            <v>76</v>
          </cell>
        </row>
        <row r="1736">
          <cell r="B1736" t="str">
            <v>SA0025N26SP JP</v>
          </cell>
          <cell r="C1736"/>
          <cell r="D1736">
            <v>21.9</v>
          </cell>
          <cell r="E1736">
            <v>117.9</v>
          </cell>
          <cell r="F1736"/>
          <cell r="G1736">
            <v>76</v>
          </cell>
        </row>
        <row r="1737">
          <cell r="B1737" t="str">
            <v>SA0035N18S CE</v>
          </cell>
          <cell r="C1737"/>
          <cell r="D1737">
            <v>22</v>
          </cell>
          <cell r="E1737">
            <v>92.6</v>
          </cell>
          <cell r="F1737"/>
          <cell r="G1737">
            <v>115</v>
          </cell>
        </row>
        <row r="1738">
          <cell r="B1738" t="str">
            <v>SJ1535N18S CE</v>
          </cell>
          <cell r="C1738"/>
          <cell r="D1738">
            <v>22</v>
          </cell>
          <cell r="E1738">
            <v>117.9</v>
          </cell>
          <cell r="F1738"/>
          <cell r="G1738">
            <v>115</v>
          </cell>
        </row>
        <row r="1739">
          <cell r="B1739" t="str">
            <v>SJ3035N18S CE</v>
          </cell>
          <cell r="C1739"/>
          <cell r="D1739">
            <v>22</v>
          </cell>
          <cell r="E1739">
            <v>93</v>
          </cell>
          <cell r="F1739"/>
          <cell r="G1739">
            <v>115</v>
          </cell>
        </row>
        <row r="1740">
          <cell r="B1740" t="str">
            <v>SJ1525N30S JP</v>
          </cell>
          <cell r="C1740"/>
          <cell r="D1740">
            <v>34</v>
          </cell>
          <cell r="E1740">
            <v>92.6</v>
          </cell>
          <cell r="F1740"/>
          <cell r="G1740">
            <v>84</v>
          </cell>
        </row>
        <row r="1741">
          <cell r="B1741" t="str">
            <v>SJ1525N30S NO CE</v>
          </cell>
          <cell r="C1741"/>
          <cell r="D1741">
            <v>34</v>
          </cell>
          <cell r="E1741">
            <v>132</v>
          </cell>
          <cell r="F1741"/>
          <cell r="G1741">
            <v>84</v>
          </cell>
        </row>
        <row r="1742">
          <cell r="B1742" t="str">
            <v>SJ3025N15S JP</v>
          </cell>
          <cell r="C1742"/>
          <cell r="D1742">
            <v>34</v>
          </cell>
          <cell r="E1742">
            <v>132</v>
          </cell>
          <cell r="F1742"/>
          <cell r="G1742">
            <v>76</v>
          </cell>
        </row>
        <row r="1743">
          <cell r="B1743" t="str">
            <v>SJ3025N15S NO CE</v>
          </cell>
          <cell r="C1743"/>
          <cell r="D1743">
            <v>34</v>
          </cell>
          <cell r="E1743">
            <v>132</v>
          </cell>
          <cell r="F1743"/>
          <cell r="G1743">
            <v>84</v>
          </cell>
        </row>
        <row r="1744">
          <cell r="B1744" t="str">
            <v>SJ3025N18S JP</v>
          </cell>
          <cell r="C1744"/>
          <cell r="D1744">
            <v>34</v>
          </cell>
          <cell r="E1744">
            <v>92.6</v>
          </cell>
          <cell r="F1744"/>
          <cell r="G1744">
            <v>84</v>
          </cell>
        </row>
        <row r="1745">
          <cell r="B1745" t="str">
            <v>SJ3025N18S NO CE</v>
          </cell>
          <cell r="C1745"/>
          <cell r="D1745">
            <v>31.5</v>
          </cell>
          <cell r="E1745">
            <v>92.6</v>
          </cell>
          <cell r="F1745"/>
          <cell r="G1745">
            <v>84</v>
          </cell>
        </row>
        <row r="1746">
          <cell r="B1746" t="str">
            <v>SJ3025N20S JP</v>
          </cell>
          <cell r="C1746"/>
          <cell r="D1746">
            <v>34</v>
          </cell>
          <cell r="E1746">
            <v>92.6</v>
          </cell>
          <cell r="F1746"/>
          <cell r="G1746">
            <v>84</v>
          </cell>
        </row>
        <row r="1747">
          <cell r="B1747" t="str">
            <v>SJ3025N20S NO CE</v>
          </cell>
          <cell r="C1747"/>
          <cell r="D1747">
            <v>34</v>
          </cell>
          <cell r="E1747">
            <v>132</v>
          </cell>
          <cell r="F1747"/>
          <cell r="G1747">
            <v>84</v>
          </cell>
        </row>
        <row r="1748">
          <cell r="B1748" t="str">
            <v>SJ3025N22S JP</v>
          </cell>
          <cell r="C1748"/>
          <cell r="D1748">
            <v>34</v>
          </cell>
          <cell r="E1748">
            <v>132</v>
          </cell>
          <cell r="F1748"/>
          <cell r="G1748">
            <v>84</v>
          </cell>
        </row>
        <row r="1749">
          <cell r="B1749" t="str">
            <v>SJ1525N30SP JP</v>
          </cell>
          <cell r="C1749"/>
          <cell r="D1749">
            <v>21.9</v>
          </cell>
          <cell r="E1749">
            <v>117.9</v>
          </cell>
          <cell r="F1749"/>
          <cell r="G1749">
            <v>76</v>
          </cell>
        </row>
        <row r="1750">
          <cell r="B1750" t="str">
            <v>SJ3035N30S CN</v>
          </cell>
          <cell r="C1750"/>
          <cell r="D1750">
            <v>21.9</v>
          </cell>
          <cell r="E1750">
            <v>117.9</v>
          </cell>
          <cell r="F1750"/>
          <cell r="G1750">
            <v>44.7</v>
          </cell>
        </row>
        <row r="1751">
          <cell r="B1751" t="str">
            <v>HJ80JL402P10000</v>
          </cell>
          <cell r="C1751"/>
          <cell r="D1751">
            <v>45</v>
          </cell>
          <cell r="E1751">
            <v>220</v>
          </cell>
          <cell r="F1751"/>
          <cell r="G1751">
            <v>263.2</v>
          </cell>
        </row>
        <row r="1752">
          <cell r="B1752" t="str">
            <v>HJ70JL402P10000</v>
          </cell>
          <cell r="C1752"/>
          <cell r="D1752">
            <v>45</v>
          </cell>
          <cell r="E1752">
            <v>220</v>
          </cell>
          <cell r="F1752"/>
          <cell r="G1752">
            <v>263.2</v>
          </cell>
        </row>
        <row r="1753">
          <cell r="B1753" t="str">
            <v>HJ60JL402P10000</v>
          </cell>
          <cell r="C1753"/>
          <cell r="D1753">
            <v>45</v>
          </cell>
          <cell r="E1753">
            <v>220</v>
          </cell>
          <cell r="F1753"/>
          <cell r="G1753">
            <v>263.2</v>
          </cell>
        </row>
        <row r="1754">
          <cell r="B1754" t="str">
            <v>D6-ST-L100</v>
          </cell>
          <cell r="C1754"/>
          <cell r="D1754">
            <v>46</v>
          </cell>
          <cell r="E1754">
            <v>321</v>
          </cell>
          <cell r="F1754"/>
          <cell r="G1754">
            <v>115</v>
          </cell>
        </row>
        <row r="1755">
          <cell r="B1755" t="str">
            <v>HJ70JL402P10020JP</v>
          </cell>
          <cell r="C1755"/>
          <cell r="D1755">
            <v>56</v>
          </cell>
          <cell r="E1755">
            <v>234</v>
          </cell>
          <cell r="F1755"/>
          <cell r="G1755">
            <v>306.39999999999998</v>
          </cell>
        </row>
        <row r="1756">
          <cell r="B1756" t="str">
            <v>HJ60JL402P10020JP</v>
          </cell>
          <cell r="C1756"/>
          <cell r="D1756">
            <v>56</v>
          </cell>
          <cell r="E1756">
            <v>234</v>
          </cell>
          <cell r="F1756"/>
          <cell r="G1756">
            <v>306.39999999999998</v>
          </cell>
        </row>
        <row r="1757">
          <cell r="B1757" t="str">
            <v>D7-ST-L102</v>
          </cell>
          <cell r="C1757"/>
          <cell r="D1757">
            <v>72</v>
          </cell>
          <cell r="E1757">
            <v>238</v>
          </cell>
          <cell r="F1757"/>
          <cell r="G1757">
            <v>45.7</v>
          </cell>
        </row>
        <row r="1758">
          <cell r="B1758" t="str">
            <v>D6-ST-L102</v>
          </cell>
          <cell r="C1758"/>
          <cell r="D1758">
            <v>72</v>
          </cell>
          <cell r="E1758">
            <v>238</v>
          </cell>
          <cell r="F1758"/>
          <cell r="G1758">
            <v>117.2</v>
          </cell>
        </row>
        <row r="1759">
          <cell r="B1759" t="str">
            <v>D7-ST-L100</v>
          </cell>
          <cell r="C1759"/>
          <cell r="D1759">
            <v>46</v>
          </cell>
          <cell r="E1759">
            <v>321</v>
          </cell>
          <cell r="F1759"/>
          <cell r="G1759">
            <v>115</v>
          </cell>
        </row>
        <row r="1760">
          <cell r="B1760" t="str">
            <v>HJ70JL402P10020 JP</v>
          </cell>
          <cell r="C1760"/>
          <cell r="D1760">
            <v>56</v>
          </cell>
          <cell r="E1760">
            <v>234</v>
          </cell>
          <cell r="F1760"/>
          <cell r="G1760">
            <v>289.2</v>
          </cell>
        </row>
        <row r="1761">
          <cell r="B1761" t="str">
            <v>HJ60PB352P10020 JP</v>
          </cell>
          <cell r="C1761"/>
          <cell r="D1761">
            <v>72</v>
          </cell>
          <cell r="E1761">
            <v>238</v>
          </cell>
          <cell r="F1761"/>
          <cell r="G1761">
            <v>289.2</v>
          </cell>
        </row>
        <row r="1762">
          <cell r="B1762" t="str">
            <v>HJ60PB350P10000 JP</v>
          </cell>
          <cell r="C1762"/>
          <cell r="D1762">
            <v>72</v>
          </cell>
          <cell r="E1762">
            <v>234</v>
          </cell>
          <cell r="F1762"/>
          <cell r="G1762">
            <v>289</v>
          </cell>
        </row>
        <row r="1763">
          <cell r="B1763" t="str">
            <v>HJ60JR500P10020 JP</v>
          </cell>
          <cell r="C1763"/>
          <cell r="D1763">
            <v>56</v>
          </cell>
          <cell r="E1763">
            <v>234</v>
          </cell>
          <cell r="F1763"/>
          <cell r="G1763">
            <v>289.2</v>
          </cell>
        </row>
        <row r="1764">
          <cell r="B1764" t="str">
            <v>HJ60JL400P10001 JP</v>
          </cell>
          <cell r="C1764"/>
          <cell r="D1764">
            <v>56</v>
          </cell>
          <cell r="E1764">
            <v>234</v>
          </cell>
          <cell r="F1764"/>
          <cell r="G1764">
            <v>289.2</v>
          </cell>
        </row>
        <row r="1765">
          <cell r="B1765" t="str">
            <v>HJ60JL402P10021 JP</v>
          </cell>
          <cell r="C1765"/>
          <cell r="D1765">
            <v>56</v>
          </cell>
          <cell r="E1765">
            <v>234</v>
          </cell>
          <cell r="F1765"/>
          <cell r="G1765">
            <v>289.2</v>
          </cell>
        </row>
        <row r="1766">
          <cell r="B1766" t="str">
            <v>HJ60JL450P10000 JP</v>
          </cell>
          <cell r="C1766"/>
          <cell r="D1766">
            <v>56</v>
          </cell>
          <cell r="E1766">
            <v>234</v>
          </cell>
          <cell r="F1766"/>
          <cell r="G1766">
            <v>263.2</v>
          </cell>
        </row>
        <row r="1767">
          <cell r="B1767" t="str">
            <v>HJ60JL452P10020 JP</v>
          </cell>
          <cell r="C1767"/>
          <cell r="D1767">
            <v>56</v>
          </cell>
          <cell r="E1767">
            <v>234</v>
          </cell>
          <cell r="F1767"/>
          <cell r="G1767">
            <v>289.2</v>
          </cell>
        </row>
        <row r="1768">
          <cell r="B1768" t="str">
            <v>HJ60JL450P10001 JP</v>
          </cell>
          <cell r="C1768"/>
          <cell r="D1768">
            <v>56</v>
          </cell>
          <cell r="E1768">
            <v>234</v>
          </cell>
          <cell r="F1768"/>
          <cell r="G1768">
            <v>289.2</v>
          </cell>
        </row>
        <row r="1769">
          <cell r="B1769" t="str">
            <v>HJ60JL452P10021 JP</v>
          </cell>
          <cell r="C1769"/>
          <cell r="D1769">
            <v>56</v>
          </cell>
          <cell r="E1769">
            <v>234</v>
          </cell>
          <cell r="F1769"/>
          <cell r="G1769">
            <v>289.2</v>
          </cell>
        </row>
        <row r="1770">
          <cell r="B1770" t="str">
            <v>HJ60JL500P10000 JP</v>
          </cell>
          <cell r="C1770"/>
          <cell r="D1770">
            <v>56</v>
          </cell>
          <cell r="E1770">
            <v>234</v>
          </cell>
          <cell r="F1770"/>
          <cell r="G1770">
            <v>289.2</v>
          </cell>
        </row>
        <row r="1771">
          <cell r="B1771" t="str">
            <v>HJ60JL502P10020 JP</v>
          </cell>
          <cell r="C1771"/>
          <cell r="D1771">
            <v>56</v>
          </cell>
          <cell r="E1771">
            <v>234</v>
          </cell>
          <cell r="F1771"/>
          <cell r="G1771">
            <v>289.2</v>
          </cell>
        </row>
        <row r="1772">
          <cell r="B1772" t="str">
            <v>HJ60JL500P10001 JP</v>
          </cell>
          <cell r="C1772"/>
          <cell r="D1772">
            <v>56</v>
          </cell>
          <cell r="E1772">
            <v>234</v>
          </cell>
          <cell r="F1772"/>
          <cell r="G1772">
            <v>289.2</v>
          </cell>
        </row>
        <row r="1773">
          <cell r="B1773" t="str">
            <v>HJ60JL402P10020 JP</v>
          </cell>
          <cell r="C1773"/>
          <cell r="D1773">
            <v>56</v>
          </cell>
          <cell r="E1773">
            <v>234</v>
          </cell>
          <cell r="F1773"/>
          <cell r="G1773">
            <v>289.2</v>
          </cell>
        </row>
        <row r="1774">
          <cell r="B1774" t="str">
            <v>HJ70JL400P10000 JP</v>
          </cell>
          <cell r="C1774"/>
          <cell r="D1774">
            <v>56</v>
          </cell>
          <cell r="E1774">
            <v>234</v>
          </cell>
          <cell r="F1774"/>
          <cell r="G1774">
            <v>289.2</v>
          </cell>
        </row>
        <row r="1775">
          <cell r="B1775" t="str">
            <v>HJ60SA352P10020 JP</v>
          </cell>
          <cell r="C1775"/>
          <cell r="D1775">
            <v>56</v>
          </cell>
          <cell r="E1775">
            <v>234</v>
          </cell>
          <cell r="F1775"/>
          <cell r="G1775">
            <v>289.2</v>
          </cell>
        </row>
        <row r="1776">
          <cell r="B1776" t="str">
            <v>HJ60SA400P10000 JP</v>
          </cell>
          <cell r="C1776"/>
          <cell r="D1776">
            <v>56</v>
          </cell>
          <cell r="E1776">
            <v>234</v>
          </cell>
          <cell r="F1776"/>
          <cell r="G1776">
            <v>289.2</v>
          </cell>
        </row>
        <row r="1777">
          <cell r="B1777" t="str">
            <v>HJ60SA402P10020 JP</v>
          </cell>
          <cell r="C1777"/>
          <cell r="D1777">
            <v>56</v>
          </cell>
          <cell r="E1777">
            <v>234</v>
          </cell>
          <cell r="F1777"/>
          <cell r="G1777">
            <v>289.2</v>
          </cell>
        </row>
        <row r="1778">
          <cell r="B1778" t="str">
            <v>HJ60AL070P10022 JP</v>
          </cell>
          <cell r="C1778"/>
          <cell r="D1778">
            <v>56</v>
          </cell>
          <cell r="E1778">
            <v>234</v>
          </cell>
          <cell r="F1778"/>
          <cell r="G1778">
            <v>289.2</v>
          </cell>
        </row>
        <row r="1779">
          <cell r="B1779" t="str">
            <v>HJ60AL072P10022 JP</v>
          </cell>
          <cell r="C1779"/>
          <cell r="D1779">
            <v>56</v>
          </cell>
          <cell r="E1779">
            <v>234</v>
          </cell>
          <cell r="F1779"/>
          <cell r="G1779">
            <v>289.2</v>
          </cell>
        </row>
        <row r="1780">
          <cell r="B1780" t="str">
            <v>HJ60AL100P10022 JP</v>
          </cell>
          <cell r="C1780"/>
          <cell r="D1780">
            <v>56</v>
          </cell>
          <cell r="E1780">
            <v>234</v>
          </cell>
          <cell r="F1780"/>
          <cell r="G1780">
            <v>289.2</v>
          </cell>
        </row>
        <row r="1781">
          <cell r="B1781" t="str">
            <v>HJ60JL502P10021 JP</v>
          </cell>
          <cell r="C1781"/>
          <cell r="D1781">
            <v>56</v>
          </cell>
          <cell r="E1781">
            <v>234</v>
          </cell>
          <cell r="F1781"/>
          <cell r="G1781">
            <v>289.2</v>
          </cell>
        </row>
        <row r="1782">
          <cell r="B1782" t="str">
            <v>HJ60JR350P10020 JP</v>
          </cell>
          <cell r="C1782"/>
          <cell r="D1782">
            <v>56</v>
          </cell>
          <cell r="E1782">
            <v>234</v>
          </cell>
          <cell r="F1782"/>
          <cell r="G1782">
            <v>289.2</v>
          </cell>
        </row>
        <row r="1783">
          <cell r="B1783" t="str">
            <v>HJ60JR352P10020 JP</v>
          </cell>
          <cell r="C1783"/>
          <cell r="D1783">
            <v>56</v>
          </cell>
          <cell r="E1783">
            <v>234</v>
          </cell>
          <cell r="F1783"/>
          <cell r="G1783">
            <v>289.2</v>
          </cell>
        </row>
        <row r="1784">
          <cell r="B1784" t="str">
            <v>HJ60JR400P10020 JP</v>
          </cell>
          <cell r="C1784"/>
          <cell r="D1784">
            <v>56</v>
          </cell>
          <cell r="E1784">
            <v>234</v>
          </cell>
          <cell r="F1784"/>
          <cell r="G1784">
            <v>289.2</v>
          </cell>
        </row>
        <row r="1785">
          <cell r="B1785" t="str">
            <v>HJ60JR400P09020 JP</v>
          </cell>
          <cell r="C1785"/>
          <cell r="D1785">
            <v>56</v>
          </cell>
          <cell r="E1785">
            <v>234</v>
          </cell>
          <cell r="F1785"/>
          <cell r="G1785">
            <v>289.2</v>
          </cell>
        </row>
        <row r="1786">
          <cell r="B1786" t="str">
            <v>HJ60JR402P10020 JP</v>
          </cell>
          <cell r="C1786"/>
          <cell r="D1786">
            <v>56</v>
          </cell>
          <cell r="E1786">
            <v>234</v>
          </cell>
          <cell r="F1786"/>
          <cell r="G1786">
            <v>289.2</v>
          </cell>
        </row>
        <row r="1787">
          <cell r="B1787" t="str">
            <v>HJ60JR402P09020 JP</v>
          </cell>
          <cell r="C1787"/>
          <cell r="D1787">
            <v>56</v>
          </cell>
          <cell r="E1787">
            <v>234</v>
          </cell>
          <cell r="F1787"/>
          <cell r="G1787">
            <v>289.2</v>
          </cell>
        </row>
        <row r="1788">
          <cell r="B1788" t="str">
            <v>HJ60JR450P10020 JP</v>
          </cell>
          <cell r="C1788"/>
          <cell r="D1788">
            <v>56</v>
          </cell>
          <cell r="E1788">
            <v>234</v>
          </cell>
          <cell r="F1788"/>
          <cell r="G1788">
            <v>263.2</v>
          </cell>
        </row>
        <row r="1789">
          <cell r="B1789" t="str">
            <v>HJ60JR452P10020 JP</v>
          </cell>
          <cell r="C1789"/>
          <cell r="D1789">
            <v>56</v>
          </cell>
          <cell r="E1789">
            <v>234</v>
          </cell>
          <cell r="F1789"/>
          <cell r="G1789">
            <v>289.2</v>
          </cell>
        </row>
        <row r="1790">
          <cell r="B1790" t="str">
            <v>HJ60SP302P10020 JP</v>
          </cell>
          <cell r="C1790"/>
          <cell r="D1790">
            <v>56</v>
          </cell>
          <cell r="E1790">
            <v>234</v>
          </cell>
          <cell r="F1790"/>
          <cell r="G1790">
            <v>289.2</v>
          </cell>
        </row>
        <row r="1791">
          <cell r="B1791" t="str">
            <v>HJ60SP350P10000 JP</v>
          </cell>
          <cell r="C1791"/>
          <cell r="D1791">
            <v>56</v>
          </cell>
          <cell r="E1791">
            <v>234</v>
          </cell>
          <cell r="F1791"/>
          <cell r="G1791">
            <v>289.2</v>
          </cell>
        </row>
        <row r="1792">
          <cell r="B1792" t="str">
            <v>HJ60SP352P10020 JP</v>
          </cell>
          <cell r="C1792"/>
          <cell r="D1792">
            <v>56</v>
          </cell>
          <cell r="E1792">
            <v>234</v>
          </cell>
          <cell r="F1792"/>
          <cell r="G1792">
            <v>289.2</v>
          </cell>
        </row>
        <row r="1793">
          <cell r="B1793" t="str">
            <v>HJ60SP370P10000 JP</v>
          </cell>
          <cell r="C1793"/>
          <cell r="D1793">
            <v>56</v>
          </cell>
          <cell r="E1793">
            <v>234</v>
          </cell>
          <cell r="F1793"/>
          <cell r="G1793">
            <v>289.2</v>
          </cell>
        </row>
        <row r="1794">
          <cell r="B1794" t="str">
            <v>HJ60SP372P10020 JP</v>
          </cell>
          <cell r="C1794"/>
          <cell r="D1794">
            <v>56</v>
          </cell>
          <cell r="E1794">
            <v>234</v>
          </cell>
          <cell r="F1794"/>
          <cell r="G1794">
            <v>289.2</v>
          </cell>
        </row>
        <row r="1795">
          <cell r="B1795" t="str">
            <v>HJ60SP400P10000 JP</v>
          </cell>
          <cell r="C1795"/>
          <cell r="D1795">
            <v>56</v>
          </cell>
          <cell r="E1795">
            <v>234</v>
          </cell>
          <cell r="F1795"/>
          <cell r="G1795">
            <v>289.2</v>
          </cell>
        </row>
        <row r="1796">
          <cell r="B1796" t="str">
            <v>HJ60JR502P10020 JP</v>
          </cell>
          <cell r="C1796"/>
          <cell r="D1796">
            <v>56</v>
          </cell>
          <cell r="E1796">
            <v>234</v>
          </cell>
          <cell r="F1796"/>
          <cell r="G1796">
            <v>289.2</v>
          </cell>
        </row>
        <row r="1797">
          <cell r="B1797" t="str">
            <v>HJ60PB300P10000 JP</v>
          </cell>
          <cell r="C1797"/>
          <cell r="D1797">
            <v>56</v>
          </cell>
          <cell r="E1797">
            <v>234</v>
          </cell>
          <cell r="F1797"/>
          <cell r="G1797">
            <v>289.2</v>
          </cell>
        </row>
        <row r="1798">
          <cell r="B1798" t="str">
            <v>HJ60PB302P10020 JP</v>
          </cell>
          <cell r="C1798"/>
          <cell r="D1798">
            <v>56</v>
          </cell>
          <cell r="E1798">
            <v>234</v>
          </cell>
          <cell r="F1798"/>
          <cell r="G1798">
            <v>289.2</v>
          </cell>
        </row>
        <row r="1799">
          <cell r="B1799" t="str">
            <v>HJ60PB400P10000 JP</v>
          </cell>
          <cell r="C1799"/>
          <cell r="D1799">
            <v>56</v>
          </cell>
          <cell r="E1799">
            <v>234</v>
          </cell>
          <cell r="F1799"/>
          <cell r="G1799">
            <v>289.2</v>
          </cell>
        </row>
        <row r="1800">
          <cell r="B1800" t="str">
            <v>HJ60PB402P10020 JP</v>
          </cell>
          <cell r="C1800"/>
          <cell r="D1800">
            <v>56</v>
          </cell>
          <cell r="E1800">
            <v>234</v>
          </cell>
          <cell r="F1800"/>
          <cell r="G1800">
            <v>289.2</v>
          </cell>
        </row>
        <row r="1801">
          <cell r="B1801" t="str">
            <v>HJ60RB070P10020 JP</v>
          </cell>
          <cell r="C1801"/>
          <cell r="D1801">
            <v>56</v>
          </cell>
          <cell r="E1801">
            <v>234</v>
          </cell>
          <cell r="F1801"/>
          <cell r="G1801">
            <v>289.2</v>
          </cell>
        </row>
        <row r="1802">
          <cell r="B1802" t="str">
            <v>HJ60RB072P10020 JP</v>
          </cell>
          <cell r="C1802"/>
          <cell r="D1802">
            <v>56</v>
          </cell>
          <cell r="E1802">
            <v>234</v>
          </cell>
          <cell r="F1802"/>
          <cell r="G1802">
            <v>289.2</v>
          </cell>
        </row>
        <row r="1803">
          <cell r="B1803" t="str">
            <v>HJ60RB100P10020 JP</v>
          </cell>
          <cell r="C1803"/>
          <cell r="D1803">
            <v>56</v>
          </cell>
          <cell r="E1803">
            <v>234</v>
          </cell>
          <cell r="F1803"/>
          <cell r="G1803">
            <v>289.2</v>
          </cell>
        </row>
        <row r="1804">
          <cell r="B1804" t="str">
            <v>HJ60RB102P10020 JP</v>
          </cell>
          <cell r="C1804"/>
          <cell r="D1804">
            <v>56</v>
          </cell>
          <cell r="E1804">
            <v>234</v>
          </cell>
          <cell r="F1804"/>
          <cell r="G1804">
            <v>289.2</v>
          </cell>
        </row>
        <row r="1805">
          <cell r="B1805" t="str">
            <v>HJ60SA350P10000 JP</v>
          </cell>
          <cell r="C1805"/>
          <cell r="D1805">
            <v>56</v>
          </cell>
          <cell r="E1805">
            <v>234</v>
          </cell>
          <cell r="F1805"/>
          <cell r="G1805">
            <v>289.2</v>
          </cell>
        </row>
        <row r="1806">
          <cell r="B1806" t="str">
            <v>HJ70SP372P10020 JP</v>
          </cell>
          <cell r="C1806"/>
          <cell r="D1806">
            <v>56</v>
          </cell>
          <cell r="E1806">
            <v>234</v>
          </cell>
          <cell r="F1806"/>
          <cell r="G1806">
            <v>289.2</v>
          </cell>
        </row>
        <row r="1807">
          <cell r="B1807" t="str">
            <v>HJ70AL070P10020 JP</v>
          </cell>
          <cell r="C1807"/>
          <cell r="D1807">
            <v>56</v>
          </cell>
          <cell r="E1807">
            <v>234</v>
          </cell>
          <cell r="F1807"/>
          <cell r="G1807">
            <v>289.2</v>
          </cell>
        </row>
        <row r="1808">
          <cell r="B1808" t="str">
            <v>HJ70AL072P10020 JP</v>
          </cell>
          <cell r="C1808"/>
          <cell r="D1808">
            <v>56</v>
          </cell>
          <cell r="E1808">
            <v>234</v>
          </cell>
          <cell r="F1808"/>
          <cell r="G1808">
            <v>289.2</v>
          </cell>
        </row>
        <row r="1809">
          <cell r="B1809" t="str">
            <v>HJ70AL072P09020 JP</v>
          </cell>
          <cell r="C1809"/>
          <cell r="D1809">
            <v>56</v>
          </cell>
          <cell r="E1809">
            <v>234</v>
          </cell>
          <cell r="F1809"/>
          <cell r="G1809">
            <v>289.2</v>
          </cell>
        </row>
        <row r="1810">
          <cell r="B1810" t="str">
            <v>HJ70AL100P10020 JP</v>
          </cell>
          <cell r="C1810"/>
          <cell r="D1810">
            <v>56</v>
          </cell>
          <cell r="E1810">
            <v>234</v>
          </cell>
          <cell r="F1810"/>
          <cell r="G1810">
            <v>289.2</v>
          </cell>
        </row>
        <row r="1811">
          <cell r="B1811" t="str">
            <v>HJ70AL100P09020 JP</v>
          </cell>
          <cell r="C1811"/>
          <cell r="D1811">
            <v>56</v>
          </cell>
          <cell r="E1811">
            <v>234</v>
          </cell>
          <cell r="F1811"/>
          <cell r="G1811">
            <v>289.2</v>
          </cell>
        </row>
        <row r="1812">
          <cell r="B1812" t="str">
            <v>HJ60SP402P10020 JP</v>
          </cell>
          <cell r="C1812"/>
          <cell r="D1812">
            <v>56</v>
          </cell>
          <cell r="E1812">
            <v>234</v>
          </cell>
          <cell r="F1812"/>
          <cell r="G1812">
            <v>289.2</v>
          </cell>
        </row>
        <row r="1813">
          <cell r="B1813" t="str">
            <v>HJ60AL102P10022 JP</v>
          </cell>
          <cell r="C1813"/>
          <cell r="D1813">
            <v>56</v>
          </cell>
          <cell r="E1813">
            <v>234</v>
          </cell>
          <cell r="F1813"/>
          <cell r="G1813">
            <v>289.2</v>
          </cell>
        </row>
        <row r="1814">
          <cell r="B1814" t="str">
            <v>HJ60AL150P10022 JP</v>
          </cell>
          <cell r="C1814"/>
          <cell r="D1814">
            <v>56</v>
          </cell>
          <cell r="E1814">
            <v>234</v>
          </cell>
          <cell r="F1814"/>
          <cell r="G1814">
            <v>289.2</v>
          </cell>
        </row>
        <row r="1815">
          <cell r="B1815" t="str">
            <v>HJ60AL152P10022 JP</v>
          </cell>
          <cell r="C1815"/>
          <cell r="D1815">
            <v>56</v>
          </cell>
          <cell r="E1815">
            <v>234</v>
          </cell>
          <cell r="F1815"/>
          <cell r="G1815">
            <v>289.2</v>
          </cell>
        </row>
        <row r="1816">
          <cell r="B1816" t="str">
            <v>HJ60AL200P10022 JP</v>
          </cell>
          <cell r="C1816"/>
          <cell r="D1816">
            <v>56</v>
          </cell>
          <cell r="E1816">
            <v>234</v>
          </cell>
          <cell r="F1816"/>
          <cell r="G1816">
            <v>289.2</v>
          </cell>
        </row>
        <row r="1817">
          <cell r="B1817" t="str">
            <v>HJ60AL202P10022 JP</v>
          </cell>
          <cell r="C1817"/>
          <cell r="D1817">
            <v>56</v>
          </cell>
          <cell r="E1817">
            <v>234</v>
          </cell>
          <cell r="F1817"/>
          <cell r="G1817">
            <v>289.2</v>
          </cell>
        </row>
        <row r="1818">
          <cell r="B1818" t="str">
            <v>HJ60SC350P10000 JP</v>
          </cell>
          <cell r="C1818"/>
          <cell r="D1818">
            <v>56</v>
          </cell>
          <cell r="E1818">
            <v>234</v>
          </cell>
          <cell r="F1818"/>
          <cell r="G1818">
            <v>289.2</v>
          </cell>
        </row>
        <row r="1819">
          <cell r="B1819" t="str">
            <v>HJ60SC352P10020 JP</v>
          </cell>
          <cell r="C1819"/>
          <cell r="D1819">
            <v>56</v>
          </cell>
          <cell r="E1819">
            <v>234</v>
          </cell>
          <cell r="F1819"/>
          <cell r="G1819">
            <v>289.2</v>
          </cell>
        </row>
        <row r="1820">
          <cell r="B1820" t="str">
            <v>HJ60SC400P10000 JP</v>
          </cell>
          <cell r="C1820"/>
          <cell r="D1820">
            <v>56</v>
          </cell>
          <cell r="E1820">
            <v>234</v>
          </cell>
          <cell r="F1820"/>
          <cell r="G1820">
            <v>289.2</v>
          </cell>
        </row>
        <row r="1821">
          <cell r="B1821" t="str">
            <v>HJ60SC402P10020 JP</v>
          </cell>
          <cell r="C1821"/>
          <cell r="D1821">
            <v>56</v>
          </cell>
          <cell r="E1821">
            <v>234</v>
          </cell>
          <cell r="F1821"/>
          <cell r="G1821">
            <v>289.2</v>
          </cell>
        </row>
        <row r="1822">
          <cell r="B1822" t="str">
            <v>HJ60SP300P10000 JP</v>
          </cell>
          <cell r="C1822"/>
          <cell r="D1822">
            <v>56</v>
          </cell>
          <cell r="E1822">
            <v>234</v>
          </cell>
          <cell r="F1822"/>
          <cell r="G1822">
            <v>289.2</v>
          </cell>
        </row>
        <row r="1823">
          <cell r="B1823" t="str">
            <v>HJ70CP200P10020 JP</v>
          </cell>
          <cell r="C1823"/>
          <cell r="D1823">
            <v>56</v>
          </cell>
          <cell r="E1823">
            <v>234</v>
          </cell>
          <cell r="F1823"/>
          <cell r="G1823">
            <v>289.2</v>
          </cell>
        </row>
        <row r="1824">
          <cell r="B1824" t="str">
            <v>HJ70HS012P10020 JP</v>
          </cell>
          <cell r="C1824"/>
          <cell r="D1824">
            <v>56</v>
          </cell>
          <cell r="E1824">
            <v>234</v>
          </cell>
          <cell r="F1824"/>
          <cell r="G1824">
            <v>289.2</v>
          </cell>
        </row>
        <row r="1825">
          <cell r="B1825" t="str">
            <v>HJ70HS020P10020 JP</v>
          </cell>
          <cell r="C1825"/>
          <cell r="D1825">
            <v>56</v>
          </cell>
          <cell r="E1825">
            <v>234</v>
          </cell>
          <cell r="F1825"/>
          <cell r="G1825">
            <v>289.2</v>
          </cell>
        </row>
        <row r="1826">
          <cell r="B1826" t="str">
            <v>HJ70HS022P10020 JP</v>
          </cell>
          <cell r="C1826"/>
          <cell r="D1826">
            <v>56</v>
          </cell>
          <cell r="E1826">
            <v>234</v>
          </cell>
          <cell r="F1826"/>
          <cell r="G1826">
            <v>289.2</v>
          </cell>
        </row>
        <row r="1827">
          <cell r="B1827" t="str">
            <v>HJ70IM000P10000 JP</v>
          </cell>
          <cell r="C1827"/>
          <cell r="D1827">
            <v>56</v>
          </cell>
          <cell r="E1827">
            <v>234</v>
          </cell>
          <cell r="F1827"/>
          <cell r="G1827">
            <v>289.2</v>
          </cell>
        </row>
        <row r="1828">
          <cell r="B1828" t="str">
            <v>HJ70IM002P10020 JP</v>
          </cell>
          <cell r="C1828"/>
          <cell r="D1828">
            <v>56</v>
          </cell>
          <cell r="E1828">
            <v>234</v>
          </cell>
          <cell r="F1828"/>
          <cell r="G1828">
            <v>289.2</v>
          </cell>
        </row>
        <row r="1829">
          <cell r="B1829" t="str">
            <v>HJ70JL350P10000 JP</v>
          </cell>
          <cell r="C1829"/>
          <cell r="D1829">
            <v>56</v>
          </cell>
          <cell r="E1829">
            <v>234</v>
          </cell>
          <cell r="F1829"/>
          <cell r="G1829">
            <v>289.2</v>
          </cell>
        </row>
        <row r="1830">
          <cell r="B1830" t="str">
            <v>HJ70JL350P09000 JP</v>
          </cell>
          <cell r="C1830"/>
          <cell r="D1830">
            <v>56</v>
          </cell>
          <cell r="E1830">
            <v>234</v>
          </cell>
          <cell r="F1830"/>
          <cell r="G1830">
            <v>289.2</v>
          </cell>
        </row>
        <row r="1831">
          <cell r="B1831" t="str">
            <v>HJ70AL102P10020 JP</v>
          </cell>
          <cell r="C1831"/>
          <cell r="D1831">
            <v>56</v>
          </cell>
          <cell r="E1831">
            <v>234</v>
          </cell>
          <cell r="F1831"/>
          <cell r="G1831">
            <v>289.2</v>
          </cell>
        </row>
        <row r="1832">
          <cell r="B1832" t="str">
            <v>HJ70JL352P10020 JP</v>
          </cell>
          <cell r="C1832"/>
          <cell r="D1832">
            <v>56</v>
          </cell>
          <cell r="E1832">
            <v>234</v>
          </cell>
          <cell r="F1832"/>
          <cell r="G1832">
            <v>289.2</v>
          </cell>
        </row>
        <row r="1833">
          <cell r="B1833" t="str">
            <v>HJ70JL350P10001 JP</v>
          </cell>
          <cell r="C1833"/>
          <cell r="D1833">
            <v>56</v>
          </cell>
          <cell r="E1833">
            <v>234</v>
          </cell>
          <cell r="F1833"/>
          <cell r="G1833">
            <v>289.2</v>
          </cell>
        </row>
        <row r="1834">
          <cell r="B1834" t="str">
            <v>HJ70JR400P10020 JP</v>
          </cell>
          <cell r="C1834"/>
          <cell r="D1834">
            <v>56</v>
          </cell>
          <cell r="E1834">
            <v>234</v>
          </cell>
          <cell r="F1834"/>
          <cell r="G1834">
            <v>289.2</v>
          </cell>
        </row>
        <row r="1835">
          <cell r="B1835" t="str">
            <v>HJ70SP300P10000 JP</v>
          </cell>
          <cell r="C1835"/>
          <cell r="D1835">
            <v>56</v>
          </cell>
          <cell r="E1835">
            <v>234</v>
          </cell>
          <cell r="F1835"/>
          <cell r="G1835">
            <v>289.2</v>
          </cell>
        </row>
        <row r="1836">
          <cell r="B1836" t="str">
            <v>HJ70SP352P09020 JP</v>
          </cell>
          <cell r="C1836"/>
          <cell r="D1836">
            <v>56</v>
          </cell>
          <cell r="E1836">
            <v>234</v>
          </cell>
          <cell r="F1836"/>
          <cell r="G1836">
            <v>289.2</v>
          </cell>
        </row>
        <row r="1837">
          <cell r="B1837" t="str">
            <v>HJ70SP370P10000 JP</v>
          </cell>
          <cell r="C1837"/>
          <cell r="D1837">
            <v>56</v>
          </cell>
          <cell r="E1837">
            <v>234</v>
          </cell>
          <cell r="F1837"/>
          <cell r="G1837">
            <v>289.2</v>
          </cell>
        </row>
        <row r="1838">
          <cell r="B1838" t="str">
            <v>HJ70CP202P10020 JP</v>
          </cell>
          <cell r="C1838"/>
          <cell r="D1838">
            <v>56</v>
          </cell>
          <cell r="E1838">
            <v>234</v>
          </cell>
          <cell r="F1838"/>
          <cell r="G1838">
            <v>289.2</v>
          </cell>
        </row>
        <row r="1839">
          <cell r="B1839" t="str">
            <v>HJ70CP250P10020 JP</v>
          </cell>
          <cell r="C1839"/>
          <cell r="D1839">
            <v>56</v>
          </cell>
          <cell r="E1839">
            <v>234</v>
          </cell>
          <cell r="F1839"/>
          <cell r="G1839">
            <v>289.2</v>
          </cell>
        </row>
        <row r="1840">
          <cell r="B1840" t="str">
            <v>HJ70CP252P10020 JP</v>
          </cell>
          <cell r="C1840"/>
          <cell r="D1840">
            <v>56</v>
          </cell>
          <cell r="E1840">
            <v>234</v>
          </cell>
          <cell r="F1840"/>
          <cell r="G1840">
            <v>289.2</v>
          </cell>
        </row>
        <row r="1841">
          <cell r="B1841" t="str">
            <v>HJ70CP270P10020 JP</v>
          </cell>
          <cell r="C1841"/>
          <cell r="D1841">
            <v>56</v>
          </cell>
          <cell r="E1841">
            <v>234</v>
          </cell>
          <cell r="F1841"/>
          <cell r="G1841">
            <v>289.2</v>
          </cell>
        </row>
        <row r="1842">
          <cell r="B1842" t="str">
            <v>HJ70CP320P10020 JP</v>
          </cell>
          <cell r="C1842"/>
          <cell r="D1842">
            <v>56</v>
          </cell>
          <cell r="E1842">
            <v>234</v>
          </cell>
          <cell r="F1842"/>
          <cell r="G1842">
            <v>289.2</v>
          </cell>
        </row>
        <row r="1843">
          <cell r="B1843" t="str">
            <v>HJ70CP322P10020 JP</v>
          </cell>
          <cell r="C1843"/>
          <cell r="D1843">
            <v>56</v>
          </cell>
          <cell r="E1843">
            <v>234</v>
          </cell>
          <cell r="F1843"/>
          <cell r="G1843">
            <v>289.2</v>
          </cell>
        </row>
        <row r="1844">
          <cell r="B1844" t="str">
            <v>HJ70CP370P10020 JP</v>
          </cell>
          <cell r="C1844"/>
          <cell r="D1844">
            <v>56</v>
          </cell>
          <cell r="E1844">
            <v>234</v>
          </cell>
          <cell r="F1844"/>
          <cell r="G1844">
            <v>289.2</v>
          </cell>
        </row>
        <row r="1845">
          <cell r="B1845" t="str">
            <v>HJ70CP372P10020 JP</v>
          </cell>
          <cell r="C1845"/>
          <cell r="D1845">
            <v>56</v>
          </cell>
          <cell r="E1845">
            <v>234</v>
          </cell>
          <cell r="F1845"/>
          <cell r="G1845">
            <v>289.2</v>
          </cell>
        </row>
        <row r="1846">
          <cell r="B1846" t="str">
            <v>HJ70HS010P10020 JP</v>
          </cell>
          <cell r="C1846"/>
          <cell r="D1846">
            <v>56</v>
          </cell>
          <cell r="E1846">
            <v>234</v>
          </cell>
          <cell r="F1846"/>
          <cell r="G1846">
            <v>289.2</v>
          </cell>
        </row>
        <row r="1847">
          <cell r="B1847" t="str">
            <v>HJ70AL102P09020 JP</v>
          </cell>
          <cell r="C1847"/>
          <cell r="D1847">
            <v>56</v>
          </cell>
          <cell r="E1847">
            <v>234</v>
          </cell>
          <cell r="F1847"/>
          <cell r="G1847">
            <v>289.2</v>
          </cell>
        </row>
        <row r="1848">
          <cell r="B1848" t="str">
            <v>HJ70AL150P10020 JP</v>
          </cell>
          <cell r="C1848"/>
          <cell r="D1848">
            <v>56</v>
          </cell>
          <cell r="E1848">
            <v>234</v>
          </cell>
          <cell r="F1848"/>
          <cell r="G1848">
            <v>289.2</v>
          </cell>
        </row>
        <row r="1849">
          <cell r="B1849" t="str">
            <v>HJ70AL150P09020 JP</v>
          </cell>
          <cell r="C1849"/>
          <cell r="D1849">
            <v>56</v>
          </cell>
          <cell r="E1849">
            <v>234</v>
          </cell>
          <cell r="F1849"/>
          <cell r="G1849">
            <v>289.2</v>
          </cell>
        </row>
        <row r="1850">
          <cell r="B1850" t="str">
            <v>HJ70AL152P10020 JP</v>
          </cell>
          <cell r="C1850"/>
          <cell r="D1850">
            <v>56</v>
          </cell>
          <cell r="E1850">
            <v>234</v>
          </cell>
          <cell r="F1850"/>
          <cell r="G1850">
            <v>289.2</v>
          </cell>
        </row>
        <row r="1851">
          <cell r="B1851" t="str">
            <v>HJ70AL152P09020 JP</v>
          </cell>
          <cell r="C1851"/>
          <cell r="D1851">
            <v>56</v>
          </cell>
          <cell r="E1851">
            <v>234</v>
          </cell>
          <cell r="F1851"/>
          <cell r="G1851">
            <v>289.2</v>
          </cell>
        </row>
        <row r="1852">
          <cell r="B1852" t="str">
            <v>HJ70CP100P10020 JP</v>
          </cell>
          <cell r="C1852"/>
          <cell r="D1852">
            <v>56</v>
          </cell>
          <cell r="E1852">
            <v>234</v>
          </cell>
          <cell r="F1852"/>
          <cell r="G1852">
            <v>289.2</v>
          </cell>
        </row>
        <row r="1853">
          <cell r="B1853" t="str">
            <v>HJ70CP150P10020 JP</v>
          </cell>
          <cell r="C1853"/>
          <cell r="D1853">
            <v>56</v>
          </cell>
          <cell r="E1853">
            <v>234</v>
          </cell>
          <cell r="F1853"/>
          <cell r="G1853">
            <v>289.2</v>
          </cell>
        </row>
        <row r="1854">
          <cell r="B1854" t="str">
            <v>HJ70CP152P10020 JP</v>
          </cell>
          <cell r="C1854"/>
          <cell r="D1854">
            <v>56</v>
          </cell>
          <cell r="E1854">
            <v>234</v>
          </cell>
          <cell r="F1854"/>
          <cell r="G1854">
            <v>289.2</v>
          </cell>
        </row>
        <row r="1855">
          <cell r="B1855" t="str">
            <v>HJ70JR352P09020 JP</v>
          </cell>
          <cell r="C1855"/>
          <cell r="D1855">
            <v>56</v>
          </cell>
          <cell r="E1855">
            <v>234</v>
          </cell>
          <cell r="F1855"/>
          <cell r="G1855">
            <v>289.2</v>
          </cell>
        </row>
        <row r="1856">
          <cell r="B1856" t="str">
            <v>HJ70JL452P10021 JP</v>
          </cell>
          <cell r="C1856"/>
          <cell r="D1856">
            <v>56</v>
          </cell>
          <cell r="E1856">
            <v>234</v>
          </cell>
          <cell r="F1856"/>
          <cell r="G1856">
            <v>289.2</v>
          </cell>
        </row>
        <row r="1857">
          <cell r="B1857" t="str">
            <v>HJ70JL500P10000 JP</v>
          </cell>
          <cell r="C1857"/>
          <cell r="D1857">
            <v>56</v>
          </cell>
          <cell r="E1857">
            <v>234</v>
          </cell>
          <cell r="F1857"/>
          <cell r="G1857">
            <v>263.2</v>
          </cell>
        </row>
        <row r="1858">
          <cell r="B1858" t="str">
            <v>HJ70JL502P10020 JP</v>
          </cell>
          <cell r="C1858"/>
          <cell r="D1858">
            <v>56</v>
          </cell>
          <cell r="E1858">
            <v>234</v>
          </cell>
          <cell r="F1858"/>
          <cell r="G1858">
            <v>289.2</v>
          </cell>
        </row>
        <row r="1859">
          <cell r="B1859" t="str">
            <v>HJ70JL352P09021 JP</v>
          </cell>
          <cell r="C1859"/>
          <cell r="D1859">
            <v>56</v>
          </cell>
          <cell r="E1859">
            <v>234</v>
          </cell>
          <cell r="F1859"/>
          <cell r="G1859">
            <v>289.2</v>
          </cell>
        </row>
        <row r="1860">
          <cell r="B1860" t="str">
            <v>HJ70JL400P09000 JP</v>
          </cell>
          <cell r="C1860"/>
          <cell r="D1860">
            <v>56</v>
          </cell>
          <cell r="E1860">
            <v>234</v>
          </cell>
          <cell r="F1860"/>
          <cell r="G1860">
            <v>289.2</v>
          </cell>
        </row>
        <row r="1861">
          <cell r="B1861" t="str">
            <v>HJ70JL402P09020 JP</v>
          </cell>
          <cell r="C1861"/>
          <cell r="D1861">
            <v>56</v>
          </cell>
          <cell r="E1861">
            <v>234</v>
          </cell>
          <cell r="F1861"/>
          <cell r="G1861">
            <v>289.2</v>
          </cell>
        </row>
        <row r="1862">
          <cell r="B1862" t="str">
            <v>HJ70JL400P10001 JP</v>
          </cell>
          <cell r="C1862"/>
          <cell r="D1862">
            <v>56</v>
          </cell>
          <cell r="E1862">
            <v>234</v>
          </cell>
          <cell r="F1862"/>
          <cell r="G1862">
            <v>289.2</v>
          </cell>
        </row>
        <row r="1863">
          <cell r="B1863" t="str">
            <v>HJ70JL402P10021 JP</v>
          </cell>
          <cell r="C1863"/>
          <cell r="D1863">
            <v>56</v>
          </cell>
          <cell r="E1863">
            <v>234</v>
          </cell>
          <cell r="F1863"/>
          <cell r="G1863">
            <v>289.2</v>
          </cell>
        </row>
        <row r="1864">
          <cell r="B1864" t="str">
            <v>HJ70JL402P09021 JP</v>
          </cell>
          <cell r="C1864"/>
          <cell r="D1864">
            <v>56</v>
          </cell>
          <cell r="E1864">
            <v>234</v>
          </cell>
          <cell r="F1864"/>
          <cell r="G1864">
            <v>289.2</v>
          </cell>
        </row>
        <row r="1865">
          <cell r="B1865" t="str">
            <v>HJ70JL450P10000 JP</v>
          </cell>
          <cell r="C1865"/>
          <cell r="D1865">
            <v>56</v>
          </cell>
          <cell r="E1865">
            <v>234</v>
          </cell>
          <cell r="F1865"/>
          <cell r="G1865">
            <v>289.2</v>
          </cell>
        </row>
        <row r="1866">
          <cell r="B1866" t="str">
            <v>HJ70JL452P10020 JP</v>
          </cell>
          <cell r="C1866"/>
          <cell r="D1866">
            <v>56</v>
          </cell>
          <cell r="E1866">
            <v>234</v>
          </cell>
          <cell r="F1866"/>
          <cell r="G1866">
            <v>289.2</v>
          </cell>
        </row>
        <row r="1867">
          <cell r="B1867" t="str">
            <v>HJ70JL450P10001 JP</v>
          </cell>
          <cell r="C1867"/>
          <cell r="D1867">
            <v>56</v>
          </cell>
          <cell r="E1867">
            <v>234</v>
          </cell>
          <cell r="F1867"/>
          <cell r="G1867">
            <v>289.2</v>
          </cell>
        </row>
        <row r="1868">
          <cell r="B1868" t="str">
            <v>HJ70AL072P10022 JP</v>
          </cell>
          <cell r="C1868"/>
          <cell r="D1868">
            <v>56</v>
          </cell>
          <cell r="E1868">
            <v>234</v>
          </cell>
          <cell r="F1868"/>
          <cell r="G1868">
            <v>289.2</v>
          </cell>
        </row>
        <row r="1869">
          <cell r="B1869" t="str">
            <v>HJ70JL352P09020 JP</v>
          </cell>
          <cell r="C1869"/>
          <cell r="D1869">
            <v>56</v>
          </cell>
          <cell r="E1869">
            <v>234</v>
          </cell>
          <cell r="F1869"/>
          <cell r="G1869">
            <v>289.2</v>
          </cell>
        </row>
        <row r="1870">
          <cell r="B1870" t="str">
            <v>HJ70JL352P10021 JP</v>
          </cell>
          <cell r="C1870"/>
          <cell r="D1870">
            <v>56</v>
          </cell>
          <cell r="E1870">
            <v>234</v>
          </cell>
          <cell r="F1870"/>
          <cell r="G1870">
            <v>289.2</v>
          </cell>
        </row>
        <row r="1871">
          <cell r="B1871" t="str">
            <v>HJ80JL350P10000 JP</v>
          </cell>
          <cell r="C1871"/>
          <cell r="D1871">
            <v>56</v>
          </cell>
          <cell r="E1871">
            <v>234</v>
          </cell>
          <cell r="F1871"/>
          <cell r="G1871">
            <v>234</v>
          </cell>
        </row>
        <row r="1872">
          <cell r="B1872" t="str">
            <v>HJ80JR400P10000 JP</v>
          </cell>
          <cell r="C1872"/>
          <cell r="D1872">
            <v>56</v>
          </cell>
          <cell r="E1872">
            <v>234</v>
          </cell>
          <cell r="F1872"/>
          <cell r="G1872">
            <v>234</v>
          </cell>
        </row>
        <row r="1873">
          <cell r="B1873" t="str">
            <v>HJ70PB300P09000 JP</v>
          </cell>
          <cell r="C1873"/>
          <cell r="D1873">
            <v>56</v>
          </cell>
          <cell r="E1873">
            <v>234</v>
          </cell>
          <cell r="F1873"/>
          <cell r="G1873">
            <v>289.2</v>
          </cell>
        </row>
        <row r="1874">
          <cell r="B1874" t="str">
            <v>HJ70JR400P09020 JP</v>
          </cell>
          <cell r="C1874"/>
          <cell r="D1874">
            <v>56</v>
          </cell>
          <cell r="E1874">
            <v>234</v>
          </cell>
          <cell r="F1874"/>
          <cell r="G1874">
            <v>289.2</v>
          </cell>
        </row>
        <row r="1875">
          <cell r="B1875" t="str">
            <v>HJ70JR402P10020 JP</v>
          </cell>
          <cell r="C1875"/>
          <cell r="D1875">
            <v>56</v>
          </cell>
          <cell r="E1875">
            <v>234</v>
          </cell>
          <cell r="F1875"/>
          <cell r="G1875">
            <v>289.2</v>
          </cell>
        </row>
        <row r="1876">
          <cell r="B1876" t="str">
            <v>HJ70JR402P09020 JP</v>
          </cell>
          <cell r="C1876"/>
          <cell r="D1876">
            <v>56</v>
          </cell>
          <cell r="E1876">
            <v>234</v>
          </cell>
          <cell r="F1876"/>
          <cell r="G1876">
            <v>289.2</v>
          </cell>
        </row>
        <row r="1877">
          <cell r="B1877" t="str">
            <v>HJ70JR450P10020 JP</v>
          </cell>
          <cell r="C1877"/>
          <cell r="D1877">
            <v>56</v>
          </cell>
          <cell r="E1877">
            <v>234</v>
          </cell>
          <cell r="F1877"/>
          <cell r="G1877">
            <v>289.2</v>
          </cell>
        </row>
        <row r="1878">
          <cell r="B1878" t="str">
            <v>HJ70JR452P10020 JP</v>
          </cell>
          <cell r="C1878"/>
          <cell r="D1878">
            <v>56</v>
          </cell>
          <cell r="E1878">
            <v>234</v>
          </cell>
          <cell r="F1878"/>
          <cell r="G1878">
            <v>289.2</v>
          </cell>
        </row>
        <row r="1879">
          <cell r="B1879" t="str">
            <v>HJ70JR500P10020 JP</v>
          </cell>
          <cell r="C1879"/>
          <cell r="D1879">
            <v>56</v>
          </cell>
          <cell r="E1879">
            <v>234</v>
          </cell>
          <cell r="F1879"/>
          <cell r="G1879">
            <v>289.2</v>
          </cell>
        </row>
        <row r="1880">
          <cell r="B1880" t="str">
            <v>HJ70JR502P10020 JP</v>
          </cell>
          <cell r="C1880"/>
          <cell r="D1880">
            <v>56</v>
          </cell>
          <cell r="E1880">
            <v>234</v>
          </cell>
          <cell r="F1880"/>
          <cell r="G1880">
            <v>289.2</v>
          </cell>
        </row>
        <row r="1881">
          <cell r="B1881" t="str">
            <v>HJ70PB300P10000 JP</v>
          </cell>
          <cell r="C1881"/>
          <cell r="D1881">
            <v>56</v>
          </cell>
          <cell r="E1881">
            <v>234</v>
          </cell>
          <cell r="F1881"/>
          <cell r="G1881">
            <v>289.2</v>
          </cell>
        </row>
        <row r="1882">
          <cell r="B1882" t="str">
            <v>HJ70JL500P10001 JP</v>
          </cell>
          <cell r="C1882"/>
          <cell r="D1882">
            <v>56</v>
          </cell>
          <cell r="E1882">
            <v>234</v>
          </cell>
          <cell r="F1882"/>
          <cell r="G1882">
            <v>289.2</v>
          </cell>
        </row>
        <row r="1883">
          <cell r="B1883" t="str">
            <v>HJ70JL502P10021 JP</v>
          </cell>
          <cell r="C1883"/>
          <cell r="D1883">
            <v>56</v>
          </cell>
          <cell r="E1883">
            <v>234</v>
          </cell>
          <cell r="F1883"/>
          <cell r="G1883">
            <v>289.2</v>
          </cell>
        </row>
        <row r="1884">
          <cell r="B1884" t="str">
            <v>HJ70JR350P10020 JP</v>
          </cell>
          <cell r="C1884"/>
          <cell r="D1884">
            <v>56</v>
          </cell>
          <cell r="E1884">
            <v>234</v>
          </cell>
          <cell r="F1884"/>
          <cell r="G1884">
            <v>289.2</v>
          </cell>
        </row>
        <row r="1885">
          <cell r="B1885" t="str">
            <v>HJ70JR350P09020 JP</v>
          </cell>
          <cell r="C1885"/>
          <cell r="D1885">
            <v>56</v>
          </cell>
          <cell r="E1885">
            <v>234</v>
          </cell>
          <cell r="F1885"/>
          <cell r="G1885">
            <v>289.2</v>
          </cell>
        </row>
        <row r="1886">
          <cell r="B1886" t="str">
            <v>HJ70JR352P10020 JP</v>
          </cell>
          <cell r="C1886"/>
          <cell r="D1886">
            <v>56</v>
          </cell>
          <cell r="E1886">
            <v>234</v>
          </cell>
          <cell r="F1886"/>
          <cell r="G1886">
            <v>289.2</v>
          </cell>
        </row>
        <row r="1887">
          <cell r="B1887" t="str">
            <v>HJ70PB402P09020 JP</v>
          </cell>
          <cell r="C1887"/>
          <cell r="D1887">
            <v>56</v>
          </cell>
          <cell r="E1887">
            <v>234</v>
          </cell>
          <cell r="F1887"/>
          <cell r="G1887">
            <v>289.2</v>
          </cell>
        </row>
        <row r="1888">
          <cell r="B1888" t="str">
            <v>HJ70RB070P10020 JP</v>
          </cell>
          <cell r="C1888"/>
          <cell r="D1888">
            <v>56</v>
          </cell>
          <cell r="E1888">
            <v>234</v>
          </cell>
          <cell r="F1888"/>
          <cell r="G1888">
            <v>289.2</v>
          </cell>
        </row>
        <row r="1889">
          <cell r="B1889" t="str">
            <v>HJ70RB072P10020 JP</v>
          </cell>
          <cell r="C1889"/>
          <cell r="D1889">
            <v>56</v>
          </cell>
          <cell r="E1889">
            <v>234</v>
          </cell>
          <cell r="F1889"/>
          <cell r="G1889">
            <v>289.2</v>
          </cell>
        </row>
        <row r="1890">
          <cell r="B1890" t="str">
            <v>HJ70RB100P10020 JP</v>
          </cell>
          <cell r="C1890"/>
          <cell r="D1890">
            <v>56</v>
          </cell>
          <cell r="E1890">
            <v>234</v>
          </cell>
          <cell r="F1890"/>
          <cell r="G1890">
            <v>289.2</v>
          </cell>
        </row>
        <row r="1891">
          <cell r="B1891" t="str">
            <v>HJ70PB302P10020 JP</v>
          </cell>
          <cell r="C1891"/>
          <cell r="D1891">
            <v>56</v>
          </cell>
          <cell r="E1891">
            <v>234</v>
          </cell>
          <cell r="F1891"/>
          <cell r="G1891">
            <v>289.2</v>
          </cell>
        </row>
        <row r="1892">
          <cell r="B1892" t="str">
            <v>HJ70PB302P09020 JP</v>
          </cell>
          <cell r="C1892"/>
          <cell r="D1892">
            <v>56</v>
          </cell>
          <cell r="E1892">
            <v>234</v>
          </cell>
          <cell r="F1892"/>
          <cell r="G1892">
            <v>289.2</v>
          </cell>
        </row>
        <row r="1893">
          <cell r="B1893" t="str">
            <v>HJ70PB350P10000 JP</v>
          </cell>
          <cell r="C1893"/>
          <cell r="D1893">
            <v>56</v>
          </cell>
          <cell r="E1893">
            <v>234</v>
          </cell>
          <cell r="F1893"/>
          <cell r="G1893">
            <v>289.2</v>
          </cell>
        </row>
        <row r="1894">
          <cell r="B1894" t="str">
            <v>HJ70PB350P09000 JP</v>
          </cell>
          <cell r="C1894"/>
          <cell r="D1894">
            <v>56</v>
          </cell>
          <cell r="E1894">
            <v>234</v>
          </cell>
          <cell r="F1894"/>
          <cell r="G1894">
            <v>289.2</v>
          </cell>
        </row>
        <row r="1895">
          <cell r="B1895" t="str">
            <v>HJ70PB352P10020 JP</v>
          </cell>
          <cell r="C1895"/>
          <cell r="D1895">
            <v>56</v>
          </cell>
          <cell r="E1895">
            <v>234</v>
          </cell>
          <cell r="F1895"/>
          <cell r="G1895">
            <v>289.2</v>
          </cell>
        </row>
        <row r="1896">
          <cell r="B1896" t="str">
            <v>HJ70PB352P09020 JP</v>
          </cell>
          <cell r="C1896"/>
          <cell r="D1896">
            <v>56</v>
          </cell>
          <cell r="E1896">
            <v>234</v>
          </cell>
          <cell r="F1896"/>
          <cell r="G1896">
            <v>289.2</v>
          </cell>
        </row>
        <row r="1897">
          <cell r="B1897" t="str">
            <v>HJ70PB400P10000 JP</v>
          </cell>
          <cell r="C1897"/>
          <cell r="D1897">
            <v>56</v>
          </cell>
          <cell r="E1897">
            <v>234</v>
          </cell>
          <cell r="F1897"/>
          <cell r="G1897">
            <v>289.2</v>
          </cell>
        </row>
        <row r="1898">
          <cell r="B1898" t="str">
            <v>HJ70PB400P09000 JP</v>
          </cell>
          <cell r="C1898"/>
          <cell r="D1898">
            <v>56</v>
          </cell>
          <cell r="E1898">
            <v>234</v>
          </cell>
          <cell r="F1898"/>
          <cell r="G1898">
            <v>289.2</v>
          </cell>
        </row>
        <row r="1899">
          <cell r="B1899" t="str">
            <v>HJ70PB402P10020 JP</v>
          </cell>
          <cell r="C1899"/>
          <cell r="D1899">
            <v>56</v>
          </cell>
          <cell r="E1899">
            <v>234</v>
          </cell>
          <cell r="F1899"/>
          <cell r="G1899">
            <v>289.2</v>
          </cell>
        </row>
        <row r="1900">
          <cell r="B1900" t="str">
            <v>HJ80SP350P10000 JP</v>
          </cell>
          <cell r="C1900"/>
          <cell r="D1900">
            <v>56</v>
          </cell>
          <cell r="E1900">
            <v>234</v>
          </cell>
          <cell r="F1900"/>
          <cell r="G1900">
            <v>234</v>
          </cell>
        </row>
        <row r="1901">
          <cell r="B1901" t="str">
            <v>HJ80JL400P10000 JP</v>
          </cell>
          <cell r="C1901"/>
          <cell r="D1901">
            <v>56</v>
          </cell>
          <cell r="E1901">
            <v>234</v>
          </cell>
          <cell r="F1901"/>
          <cell r="G1901">
            <v>234</v>
          </cell>
        </row>
        <row r="1902">
          <cell r="B1902" t="str">
            <v>HJ70SC352P10020 JP</v>
          </cell>
          <cell r="C1902"/>
          <cell r="D1902">
            <v>56</v>
          </cell>
          <cell r="E1902">
            <v>234</v>
          </cell>
          <cell r="F1902"/>
          <cell r="G1902">
            <v>289.2</v>
          </cell>
        </row>
        <row r="1903">
          <cell r="B1903" t="str">
            <v>HJ70SC400P10000 JP</v>
          </cell>
          <cell r="C1903"/>
          <cell r="D1903">
            <v>56</v>
          </cell>
          <cell r="E1903">
            <v>234</v>
          </cell>
          <cell r="F1903"/>
          <cell r="G1903">
            <v>289.2</v>
          </cell>
        </row>
        <row r="1904">
          <cell r="B1904" t="str">
            <v>HJ70AL070P10022 JP</v>
          </cell>
          <cell r="C1904"/>
          <cell r="D1904">
            <v>56</v>
          </cell>
          <cell r="E1904">
            <v>234</v>
          </cell>
          <cell r="F1904"/>
          <cell r="G1904">
            <v>234</v>
          </cell>
        </row>
        <row r="1905">
          <cell r="B1905" t="str">
            <v>HJ70AL070P09022 JP</v>
          </cell>
          <cell r="C1905"/>
          <cell r="D1905">
            <v>56</v>
          </cell>
          <cell r="E1905">
            <v>234</v>
          </cell>
          <cell r="F1905"/>
          <cell r="G1905">
            <v>289.2</v>
          </cell>
        </row>
        <row r="1906">
          <cell r="B1906" t="str">
            <v>HJ70AL072P09022 JP</v>
          </cell>
          <cell r="C1906"/>
          <cell r="D1906">
            <v>56</v>
          </cell>
          <cell r="E1906">
            <v>234</v>
          </cell>
          <cell r="F1906"/>
          <cell r="G1906">
            <v>289.2</v>
          </cell>
        </row>
        <row r="1907">
          <cell r="B1907" t="str">
            <v>HJ70AL100P10022 JP</v>
          </cell>
          <cell r="C1907"/>
          <cell r="D1907">
            <v>56</v>
          </cell>
          <cell r="E1907">
            <v>234</v>
          </cell>
          <cell r="F1907"/>
          <cell r="G1907">
            <v>289.2</v>
          </cell>
        </row>
        <row r="1908">
          <cell r="B1908" t="str">
            <v>HJ70AL100P09022 JP</v>
          </cell>
          <cell r="C1908"/>
          <cell r="D1908">
            <v>56</v>
          </cell>
          <cell r="E1908">
            <v>234</v>
          </cell>
          <cell r="F1908"/>
          <cell r="G1908">
            <v>289.2</v>
          </cell>
        </row>
        <row r="1909">
          <cell r="B1909" t="str">
            <v>HJ70AL102P10022 JP</v>
          </cell>
          <cell r="C1909"/>
          <cell r="D1909">
            <v>56</v>
          </cell>
          <cell r="E1909">
            <v>234</v>
          </cell>
          <cell r="F1909"/>
          <cell r="G1909">
            <v>289.2</v>
          </cell>
        </row>
        <row r="1910">
          <cell r="B1910" t="str">
            <v>HJ70AL102P09022 JP</v>
          </cell>
          <cell r="C1910"/>
          <cell r="D1910">
            <v>56</v>
          </cell>
          <cell r="E1910">
            <v>234</v>
          </cell>
          <cell r="F1910"/>
          <cell r="G1910">
            <v>289.2</v>
          </cell>
        </row>
        <row r="1911">
          <cell r="B1911" t="str">
            <v>HJ70AL150P10022 JP</v>
          </cell>
          <cell r="C1911"/>
          <cell r="D1911">
            <v>56</v>
          </cell>
          <cell r="E1911">
            <v>234</v>
          </cell>
          <cell r="F1911"/>
          <cell r="G1911">
            <v>289.2</v>
          </cell>
        </row>
        <row r="1912">
          <cell r="B1912" t="str">
            <v>HJ70AL150P09022 JP</v>
          </cell>
          <cell r="C1912"/>
          <cell r="D1912">
            <v>56</v>
          </cell>
          <cell r="E1912">
            <v>234</v>
          </cell>
          <cell r="F1912"/>
          <cell r="G1912">
            <v>289.2</v>
          </cell>
        </row>
        <row r="1913">
          <cell r="B1913" t="str">
            <v>HJ70RB102P10020 JP</v>
          </cell>
          <cell r="C1913"/>
          <cell r="D1913">
            <v>56</v>
          </cell>
          <cell r="E1913">
            <v>234</v>
          </cell>
          <cell r="F1913"/>
          <cell r="G1913">
            <v>289.2</v>
          </cell>
        </row>
        <row r="1914">
          <cell r="B1914" t="str">
            <v>HJ70SA350P10000 JP</v>
          </cell>
          <cell r="C1914"/>
          <cell r="D1914">
            <v>56</v>
          </cell>
          <cell r="E1914">
            <v>234</v>
          </cell>
          <cell r="F1914"/>
          <cell r="G1914">
            <v>289.2</v>
          </cell>
        </row>
        <row r="1915">
          <cell r="B1915" t="str">
            <v>HJ70SA352P10020 JP</v>
          </cell>
          <cell r="C1915"/>
          <cell r="D1915">
            <v>56</v>
          </cell>
          <cell r="E1915">
            <v>234</v>
          </cell>
          <cell r="F1915"/>
          <cell r="G1915">
            <v>289.2</v>
          </cell>
        </row>
        <row r="1916">
          <cell r="B1916" t="str">
            <v>HJ70SA400P10000 JP</v>
          </cell>
          <cell r="C1916"/>
          <cell r="D1916">
            <v>56</v>
          </cell>
          <cell r="E1916">
            <v>234</v>
          </cell>
          <cell r="F1916"/>
          <cell r="G1916">
            <v>289.2</v>
          </cell>
        </row>
        <row r="1917">
          <cell r="B1917" t="str">
            <v>HJ70SA402P10020 JP</v>
          </cell>
          <cell r="C1917"/>
          <cell r="D1917">
            <v>56</v>
          </cell>
          <cell r="E1917">
            <v>234</v>
          </cell>
          <cell r="F1917"/>
          <cell r="G1917">
            <v>289.2</v>
          </cell>
        </row>
        <row r="1918">
          <cell r="B1918" t="str">
            <v>HJ70SP350P10000 JP</v>
          </cell>
          <cell r="C1918"/>
          <cell r="D1918">
            <v>56</v>
          </cell>
          <cell r="E1918">
            <v>234</v>
          </cell>
          <cell r="F1918"/>
          <cell r="G1918">
            <v>289.2</v>
          </cell>
        </row>
        <row r="1919">
          <cell r="B1919" t="str">
            <v>HJ70SP352P10020 JP</v>
          </cell>
          <cell r="C1919"/>
          <cell r="D1919">
            <v>56</v>
          </cell>
          <cell r="E1919">
            <v>234</v>
          </cell>
          <cell r="F1919"/>
          <cell r="G1919">
            <v>289.2</v>
          </cell>
        </row>
        <row r="1920">
          <cell r="B1920" t="str">
            <v>HJ70SP372P09020 JP</v>
          </cell>
          <cell r="C1920"/>
          <cell r="D1920">
            <v>56</v>
          </cell>
          <cell r="E1920">
            <v>234</v>
          </cell>
          <cell r="F1920"/>
          <cell r="G1920">
            <v>234</v>
          </cell>
        </row>
        <row r="1921">
          <cell r="B1921" t="str">
            <v>HJ70SP400P10000 JP</v>
          </cell>
          <cell r="C1921"/>
          <cell r="D1921">
            <v>56</v>
          </cell>
          <cell r="E1921">
            <v>234</v>
          </cell>
          <cell r="F1921"/>
          <cell r="G1921">
            <v>289.2</v>
          </cell>
        </row>
        <row r="1922">
          <cell r="B1922" t="str">
            <v>HJ70SP402P10020 JP</v>
          </cell>
          <cell r="C1922"/>
          <cell r="D1922">
            <v>56</v>
          </cell>
          <cell r="E1922">
            <v>234</v>
          </cell>
          <cell r="F1922"/>
          <cell r="G1922">
            <v>289.2</v>
          </cell>
        </row>
        <row r="1923">
          <cell r="B1923" t="str">
            <v>HJ70SP402P09020 JP</v>
          </cell>
          <cell r="C1923"/>
          <cell r="D1923">
            <v>56</v>
          </cell>
          <cell r="E1923">
            <v>234</v>
          </cell>
          <cell r="F1923"/>
          <cell r="G1923">
            <v>289.2</v>
          </cell>
        </row>
        <row r="1924">
          <cell r="B1924" t="str">
            <v>HJ70SC402P10020 JP</v>
          </cell>
          <cell r="C1924"/>
          <cell r="D1924">
            <v>56</v>
          </cell>
          <cell r="E1924">
            <v>234</v>
          </cell>
          <cell r="F1924"/>
          <cell r="G1924">
            <v>289.2</v>
          </cell>
        </row>
        <row r="1925">
          <cell r="B1925" t="str">
            <v>HJ70SP302P10020 JP</v>
          </cell>
          <cell r="C1925"/>
          <cell r="D1925">
            <v>56</v>
          </cell>
          <cell r="E1925">
            <v>234</v>
          </cell>
          <cell r="F1925"/>
          <cell r="G1925">
            <v>289.2</v>
          </cell>
        </row>
        <row r="1926">
          <cell r="B1926" t="str">
            <v>HJ70SP302P09020 JP</v>
          </cell>
          <cell r="C1926"/>
          <cell r="D1926">
            <v>56</v>
          </cell>
          <cell r="E1926">
            <v>234</v>
          </cell>
          <cell r="F1926"/>
          <cell r="G1926">
            <v>289.2</v>
          </cell>
        </row>
        <row r="1927">
          <cell r="B1927" t="str">
            <v>HJ70AL152P10022 JP</v>
          </cell>
          <cell r="C1927"/>
          <cell r="D1927">
            <v>56</v>
          </cell>
          <cell r="E1927">
            <v>234</v>
          </cell>
          <cell r="F1927"/>
          <cell r="G1927">
            <v>289.2</v>
          </cell>
        </row>
        <row r="1928">
          <cell r="B1928" t="str">
            <v>HJ70AL152P09022 JP</v>
          </cell>
          <cell r="C1928"/>
          <cell r="D1928">
            <v>56</v>
          </cell>
          <cell r="E1928">
            <v>234</v>
          </cell>
          <cell r="F1928"/>
          <cell r="G1928">
            <v>289.2</v>
          </cell>
        </row>
        <row r="1929">
          <cell r="B1929" t="str">
            <v>HJ70AL200P10022 JP</v>
          </cell>
          <cell r="C1929"/>
          <cell r="D1929">
            <v>56</v>
          </cell>
          <cell r="E1929">
            <v>234</v>
          </cell>
          <cell r="F1929"/>
          <cell r="G1929">
            <v>289.2</v>
          </cell>
        </row>
        <row r="1930">
          <cell r="B1930" t="str">
            <v>HJ70AL200P09022 JP</v>
          </cell>
          <cell r="C1930"/>
          <cell r="D1930">
            <v>56</v>
          </cell>
          <cell r="E1930">
            <v>234</v>
          </cell>
          <cell r="F1930"/>
          <cell r="G1930">
            <v>289.2</v>
          </cell>
        </row>
        <row r="1931">
          <cell r="B1931" t="str">
            <v>HJ70AL202P10022 JP</v>
          </cell>
          <cell r="C1931"/>
          <cell r="D1931">
            <v>56</v>
          </cell>
          <cell r="E1931">
            <v>234</v>
          </cell>
          <cell r="F1931"/>
          <cell r="G1931">
            <v>289.2</v>
          </cell>
        </row>
        <row r="1932">
          <cell r="B1932" t="str">
            <v>HJ70AL202P09022 JP</v>
          </cell>
          <cell r="C1932"/>
          <cell r="D1932">
            <v>56</v>
          </cell>
          <cell r="E1932">
            <v>234</v>
          </cell>
          <cell r="F1932"/>
          <cell r="G1932">
            <v>289.2</v>
          </cell>
        </row>
        <row r="1933">
          <cell r="B1933" t="str">
            <v>HJ70SC350P10000 JP</v>
          </cell>
          <cell r="C1933"/>
          <cell r="D1933">
            <v>56</v>
          </cell>
          <cell r="E1933">
            <v>234</v>
          </cell>
          <cell r="F1933"/>
          <cell r="G1933">
            <v>289.2</v>
          </cell>
        </row>
        <row r="1934">
          <cell r="B1934" t="str">
            <v>HJ60CP250P10020 JP</v>
          </cell>
          <cell r="C1934"/>
          <cell r="D1934">
            <v>56</v>
          </cell>
          <cell r="E1934">
            <v>234</v>
          </cell>
          <cell r="F1934"/>
          <cell r="G1934">
            <v>289.2</v>
          </cell>
        </row>
        <row r="1935">
          <cell r="B1935" t="str">
            <v>HJ60CP270P10020 JP</v>
          </cell>
          <cell r="C1935"/>
          <cell r="D1935">
            <v>56</v>
          </cell>
          <cell r="E1935">
            <v>234</v>
          </cell>
          <cell r="F1935"/>
          <cell r="G1935">
            <v>289.2</v>
          </cell>
        </row>
        <row r="1936">
          <cell r="B1936" t="str">
            <v>HJ60CP150P10020 JP</v>
          </cell>
          <cell r="C1936"/>
          <cell r="D1936">
            <v>56</v>
          </cell>
          <cell r="E1936">
            <v>234</v>
          </cell>
          <cell r="F1936"/>
          <cell r="G1936">
            <v>289.2</v>
          </cell>
        </row>
        <row r="1937">
          <cell r="B1937" t="str">
            <v>HJ60AL102P10020 JP</v>
          </cell>
          <cell r="C1937"/>
          <cell r="D1937">
            <v>56</v>
          </cell>
          <cell r="E1937">
            <v>234</v>
          </cell>
          <cell r="F1937"/>
          <cell r="G1937">
            <v>289.2</v>
          </cell>
        </row>
        <row r="1938">
          <cell r="B1938" t="str">
            <v>HJ60AL102P09020 JP</v>
          </cell>
          <cell r="C1938"/>
          <cell r="D1938">
            <v>56</v>
          </cell>
          <cell r="E1938">
            <v>234</v>
          </cell>
          <cell r="F1938"/>
          <cell r="G1938">
            <v>289.2</v>
          </cell>
        </row>
        <row r="1939">
          <cell r="B1939" t="str">
            <v>HJ60AL150P10020 JP</v>
          </cell>
          <cell r="C1939"/>
          <cell r="D1939">
            <v>56</v>
          </cell>
          <cell r="E1939">
            <v>234</v>
          </cell>
          <cell r="F1939"/>
          <cell r="G1939">
            <v>263.2</v>
          </cell>
        </row>
        <row r="1940">
          <cell r="B1940" t="str">
            <v>HJ60AL152P10020 JP</v>
          </cell>
          <cell r="C1940"/>
          <cell r="D1940">
            <v>56</v>
          </cell>
          <cell r="E1940">
            <v>234</v>
          </cell>
          <cell r="F1940"/>
          <cell r="G1940">
            <v>289.2</v>
          </cell>
        </row>
        <row r="1941">
          <cell r="B1941" t="str">
            <v>HJ60AL200P10020 JP</v>
          </cell>
          <cell r="C1941"/>
          <cell r="D1941">
            <v>56</v>
          </cell>
          <cell r="E1941">
            <v>234</v>
          </cell>
          <cell r="F1941"/>
          <cell r="G1941">
            <v>289.2</v>
          </cell>
        </row>
        <row r="1942">
          <cell r="B1942" t="str">
            <v>HJ60AL202P10020 JP</v>
          </cell>
          <cell r="C1942"/>
          <cell r="D1942">
            <v>56</v>
          </cell>
          <cell r="E1942">
            <v>234</v>
          </cell>
          <cell r="F1942"/>
          <cell r="G1942">
            <v>263.2</v>
          </cell>
        </row>
        <row r="1943">
          <cell r="B1943" t="str">
            <v>HJ60CP100P10020 JP</v>
          </cell>
          <cell r="C1943"/>
          <cell r="D1943">
            <v>56</v>
          </cell>
          <cell r="E1943">
            <v>234</v>
          </cell>
          <cell r="F1943"/>
          <cell r="G1943">
            <v>289.2</v>
          </cell>
        </row>
        <row r="1944">
          <cell r="B1944" t="str">
            <v>HJ60AL070P10020 JP</v>
          </cell>
          <cell r="C1944"/>
          <cell r="D1944">
            <v>56</v>
          </cell>
          <cell r="E1944">
            <v>234</v>
          </cell>
          <cell r="F1944"/>
          <cell r="G1944">
            <v>289.2</v>
          </cell>
        </row>
        <row r="1945">
          <cell r="B1945" t="str">
            <v>HJ80JL402P10000 JP</v>
          </cell>
          <cell r="C1945"/>
          <cell r="D1945">
            <v>56</v>
          </cell>
          <cell r="E1945">
            <v>234</v>
          </cell>
          <cell r="F1945"/>
          <cell r="G1945">
            <v>289.2</v>
          </cell>
        </row>
        <row r="1946">
          <cell r="B1946" t="str">
            <v>HJ60AL072P10020 JP</v>
          </cell>
          <cell r="C1946"/>
          <cell r="D1946">
            <v>56</v>
          </cell>
          <cell r="E1946">
            <v>234</v>
          </cell>
          <cell r="F1946"/>
          <cell r="G1946">
            <v>289.2</v>
          </cell>
        </row>
        <row r="1947">
          <cell r="B1947" t="str">
            <v>HJ60AL100P10020 JP</v>
          </cell>
          <cell r="C1947"/>
          <cell r="D1947">
            <v>56</v>
          </cell>
          <cell r="E1947">
            <v>234</v>
          </cell>
          <cell r="F1947"/>
          <cell r="G1947">
            <v>289.2</v>
          </cell>
        </row>
        <row r="1948">
          <cell r="B1948" t="str">
            <v>HJ60AL100P09020 JP</v>
          </cell>
          <cell r="C1948"/>
          <cell r="D1948">
            <v>56</v>
          </cell>
          <cell r="E1948">
            <v>234</v>
          </cell>
          <cell r="F1948"/>
          <cell r="G1948">
            <v>289.2</v>
          </cell>
        </row>
        <row r="1949">
          <cell r="B1949" t="str">
            <v>HJ60HS022P10020 JP</v>
          </cell>
          <cell r="C1949"/>
          <cell r="D1949">
            <v>56</v>
          </cell>
          <cell r="E1949">
            <v>234</v>
          </cell>
          <cell r="F1949"/>
          <cell r="G1949">
            <v>289.2</v>
          </cell>
        </row>
        <row r="1950">
          <cell r="B1950" t="str">
            <v>HJ60IM000P10000 JP</v>
          </cell>
          <cell r="C1950"/>
          <cell r="D1950">
            <v>56</v>
          </cell>
          <cell r="E1950">
            <v>234</v>
          </cell>
          <cell r="F1950"/>
          <cell r="G1950">
            <v>289.2</v>
          </cell>
        </row>
        <row r="1951">
          <cell r="B1951" t="str">
            <v>HJ60IM002P10020 JP</v>
          </cell>
          <cell r="C1951"/>
          <cell r="D1951">
            <v>56</v>
          </cell>
          <cell r="E1951">
            <v>234</v>
          </cell>
          <cell r="F1951"/>
          <cell r="G1951">
            <v>289.2</v>
          </cell>
        </row>
        <row r="1952">
          <cell r="B1952" t="str">
            <v>HJ60JL350P10000 JP</v>
          </cell>
          <cell r="C1952"/>
          <cell r="D1952">
            <v>56</v>
          </cell>
          <cell r="E1952">
            <v>234</v>
          </cell>
          <cell r="F1952"/>
          <cell r="G1952">
            <v>289.2</v>
          </cell>
        </row>
        <row r="1953">
          <cell r="B1953" t="str">
            <v>HJ60JL352P10020 JP</v>
          </cell>
          <cell r="C1953"/>
          <cell r="D1953">
            <v>56</v>
          </cell>
          <cell r="E1953">
            <v>234</v>
          </cell>
          <cell r="F1953"/>
          <cell r="G1953">
            <v>289.2</v>
          </cell>
        </row>
        <row r="1954">
          <cell r="B1954" t="str">
            <v>HJ60JL350P10001 JP</v>
          </cell>
          <cell r="C1954"/>
          <cell r="D1954">
            <v>56</v>
          </cell>
          <cell r="E1954">
            <v>234</v>
          </cell>
          <cell r="F1954"/>
          <cell r="G1954">
            <v>289.2</v>
          </cell>
        </row>
        <row r="1955">
          <cell r="B1955" t="str">
            <v>HJ60JL352P10021 JP</v>
          </cell>
          <cell r="C1955"/>
          <cell r="D1955">
            <v>56</v>
          </cell>
          <cell r="E1955">
            <v>234</v>
          </cell>
          <cell r="F1955"/>
          <cell r="G1955">
            <v>289.2</v>
          </cell>
        </row>
        <row r="1956">
          <cell r="B1956" t="str">
            <v>HJ60JL400P09000 JP</v>
          </cell>
          <cell r="C1956"/>
          <cell r="D1956">
            <v>56</v>
          </cell>
          <cell r="E1956">
            <v>234</v>
          </cell>
          <cell r="F1956"/>
          <cell r="G1956">
            <v>289.2</v>
          </cell>
        </row>
        <row r="1957">
          <cell r="B1957" t="str">
            <v>HJ60JL402P09020 JP</v>
          </cell>
          <cell r="C1957"/>
          <cell r="D1957">
            <v>56</v>
          </cell>
          <cell r="E1957">
            <v>234</v>
          </cell>
          <cell r="F1957"/>
          <cell r="G1957">
            <v>289.2</v>
          </cell>
        </row>
        <row r="1958">
          <cell r="B1958" t="str">
            <v>HJ60CP320P10020 JP</v>
          </cell>
          <cell r="C1958"/>
          <cell r="D1958">
            <v>56</v>
          </cell>
          <cell r="E1958">
            <v>234</v>
          </cell>
          <cell r="F1958"/>
          <cell r="G1958">
            <v>289.2</v>
          </cell>
        </row>
        <row r="1959">
          <cell r="B1959" t="str">
            <v>HJ60CP350P10020 JP</v>
          </cell>
          <cell r="C1959"/>
          <cell r="D1959">
            <v>56</v>
          </cell>
          <cell r="E1959">
            <v>234</v>
          </cell>
          <cell r="F1959"/>
          <cell r="G1959">
            <v>289.2</v>
          </cell>
        </row>
        <row r="1960">
          <cell r="B1960" t="str">
            <v>HJ60CP370P10020 JP</v>
          </cell>
          <cell r="C1960"/>
          <cell r="D1960">
            <v>56</v>
          </cell>
          <cell r="E1960">
            <v>234</v>
          </cell>
          <cell r="F1960"/>
          <cell r="G1960">
            <v>289.2</v>
          </cell>
        </row>
        <row r="1961">
          <cell r="B1961" t="str">
            <v>HJ60HS010P10020 JP</v>
          </cell>
          <cell r="C1961"/>
          <cell r="D1961">
            <v>56</v>
          </cell>
          <cell r="E1961">
            <v>234</v>
          </cell>
          <cell r="F1961"/>
          <cell r="G1961">
            <v>289.2</v>
          </cell>
        </row>
        <row r="1962">
          <cell r="B1962" t="str">
            <v>HJ60HS012P10020 JP</v>
          </cell>
          <cell r="C1962"/>
          <cell r="D1962">
            <v>56</v>
          </cell>
          <cell r="E1962">
            <v>234</v>
          </cell>
          <cell r="F1962"/>
          <cell r="G1962">
            <v>289.2</v>
          </cell>
        </row>
        <row r="1963">
          <cell r="B1963" t="str">
            <v>HJ60HS020P10020 JP</v>
          </cell>
          <cell r="C1963"/>
          <cell r="D1963">
            <v>56</v>
          </cell>
          <cell r="E1963">
            <v>234</v>
          </cell>
          <cell r="F1963"/>
          <cell r="G1963">
            <v>289.2</v>
          </cell>
        </row>
        <row r="1964">
          <cell r="B1964" t="str">
            <v>HJ60CP200P10020 JP</v>
          </cell>
          <cell r="C1964"/>
          <cell r="D1964">
            <v>56</v>
          </cell>
          <cell r="E1964">
            <v>234</v>
          </cell>
          <cell r="F1964"/>
          <cell r="G1964">
            <v>289.2</v>
          </cell>
        </row>
        <row r="1965">
          <cell r="B1965" t="str">
            <v>HJ80JR400P09000 JP</v>
          </cell>
          <cell r="C1965"/>
          <cell r="D1965">
            <v>56</v>
          </cell>
          <cell r="E1965">
            <v>234</v>
          </cell>
          <cell r="F1965"/>
          <cell r="G1965">
            <v>289.2</v>
          </cell>
        </row>
        <row r="1966">
          <cell r="B1966" t="str">
            <v>HJ80JR402P10000 JP</v>
          </cell>
          <cell r="C1966"/>
          <cell r="D1966">
            <v>56</v>
          </cell>
          <cell r="E1966">
            <v>234</v>
          </cell>
          <cell r="F1966"/>
          <cell r="G1966">
            <v>289.2</v>
          </cell>
        </row>
        <row r="1967">
          <cell r="B1967" t="str">
            <v>HJ80JR402P09000 JP</v>
          </cell>
          <cell r="C1967"/>
          <cell r="D1967">
            <v>56</v>
          </cell>
          <cell r="E1967">
            <v>234</v>
          </cell>
          <cell r="F1967"/>
          <cell r="G1967">
            <v>289.2</v>
          </cell>
        </row>
        <row r="1968">
          <cell r="B1968" t="str">
            <v>HJ80AL070P10002 JP</v>
          </cell>
          <cell r="C1968"/>
          <cell r="D1968">
            <v>56</v>
          </cell>
          <cell r="E1968">
            <v>234</v>
          </cell>
          <cell r="F1968"/>
          <cell r="G1968">
            <v>289.2</v>
          </cell>
        </row>
        <row r="1969">
          <cell r="B1969" t="str">
            <v>HJ80AL070P09002 JP</v>
          </cell>
          <cell r="C1969"/>
          <cell r="D1969">
            <v>56</v>
          </cell>
          <cell r="E1969">
            <v>234</v>
          </cell>
          <cell r="F1969"/>
          <cell r="G1969">
            <v>289.2</v>
          </cell>
        </row>
        <row r="1970">
          <cell r="B1970" t="str">
            <v>HJ80AL072P10002 JP</v>
          </cell>
          <cell r="C1970"/>
          <cell r="D1970">
            <v>56</v>
          </cell>
          <cell r="E1970">
            <v>234</v>
          </cell>
          <cell r="F1970"/>
          <cell r="G1970">
            <v>289.2</v>
          </cell>
        </row>
        <row r="1971">
          <cell r="B1971" t="str">
            <v>HJ80AL072P10000 JP</v>
          </cell>
          <cell r="C1971"/>
          <cell r="D1971">
            <v>56</v>
          </cell>
          <cell r="E1971">
            <v>234</v>
          </cell>
          <cell r="F1971"/>
          <cell r="G1971">
            <v>289.2</v>
          </cell>
        </row>
        <row r="1972">
          <cell r="B1972" t="str">
            <v>HJ80AL072P09000 JP</v>
          </cell>
          <cell r="C1972"/>
          <cell r="D1972">
            <v>56</v>
          </cell>
          <cell r="E1972">
            <v>234</v>
          </cell>
          <cell r="F1972"/>
          <cell r="G1972">
            <v>289.2</v>
          </cell>
        </row>
        <row r="1973">
          <cell r="B1973" t="str">
            <v>HJ80AL100P10000 JP</v>
          </cell>
          <cell r="C1973"/>
          <cell r="D1973">
            <v>56</v>
          </cell>
          <cell r="E1973">
            <v>234</v>
          </cell>
          <cell r="F1973"/>
          <cell r="G1973">
            <v>289.2</v>
          </cell>
        </row>
        <row r="1974">
          <cell r="B1974" t="str">
            <v>HJ80AL100P09000 JP</v>
          </cell>
          <cell r="C1974"/>
          <cell r="D1974">
            <v>56</v>
          </cell>
          <cell r="E1974">
            <v>234</v>
          </cell>
          <cell r="F1974"/>
          <cell r="G1974">
            <v>289.2</v>
          </cell>
        </row>
        <row r="1975">
          <cell r="B1975" t="str">
            <v>HJ80AL102P09000 JP</v>
          </cell>
          <cell r="C1975"/>
          <cell r="D1975">
            <v>56</v>
          </cell>
          <cell r="E1975">
            <v>234</v>
          </cell>
          <cell r="F1975"/>
          <cell r="G1975">
            <v>289.2</v>
          </cell>
        </row>
        <row r="1976">
          <cell r="B1976" t="str">
            <v>HJ80JL350P09000 JP</v>
          </cell>
          <cell r="C1976"/>
          <cell r="D1976">
            <v>56</v>
          </cell>
          <cell r="E1976">
            <v>234</v>
          </cell>
          <cell r="F1976"/>
          <cell r="G1976">
            <v>289.2</v>
          </cell>
        </row>
        <row r="1977">
          <cell r="B1977" t="str">
            <v>HJ80JL352P10000 JP</v>
          </cell>
          <cell r="C1977"/>
          <cell r="D1977">
            <v>56</v>
          </cell>
          <cell r="E1977">
            <v>234</v>
          </cell>
          <cell r="F1977"/>
          <cell r="G1977">
            <v>289.2</v>
          </cell>
        </row>
        <row r="1978">
          <cell r="B1978" t="str">
            <v>HJ80JL352P09000 JP</v>
          </cell>
          <cell r="C1978"/>
          <cell r="D1978">
            <v>56</v>
          </cell>
          <cell r="E1978">
            <v>234</v>
          </cell>
          <cell r="F1978"/>
          <cell r="G1978">
            <v>289.2</v>
          </cell>
        </row>
        <row r="1979">
          <cell r="B1979" t="str">
            <v>HJ80JL400P09000 JP</v>
          </cell>
          <cell r="C1979"/>
          <cell r="D1979">
            <v>56</v>
          </cell>
          <cell r="E1979">
            <v>234</v>
          </cell>
          <cell r="F1979"/>
          <cell r="G1979">
            <v>289.2</v>
          </cell>
        </row>
        <row r="1980">
          <cell r="B1980" t="str">
            <v>HJ80SP372P09000 JP</v>
          </cell>
          <cell r="C1980"/>
          <cell r="D1980">
            <v>56</v>
          </cell>
          <cell r="E1980">
            <v>234</v>
          </cell>
          <cell r="F1980"/>
          <cell r="G1980">
            <v>289.2</v>
          </cell>
        </row>
        <row r="1981">
          <cell r="B1981" t="str">
            <v>HJ80AL102P09002 JP</v>
          </cell>
          <cell r="C1981"/>
          <cell r="D1981">
            <v>56</v>
          </cell>
          <cell r="E1981">
            <v>234</v>
          </cell>
          <cell r="F1981"/>
          <cell r="G1981">
            <v>289.2</v>
          </cell>
        </row>
        <row r="1982">
          <cell r="B1982" t="str">
            <v>HJ80SP352P10000 JP</v>
          </cell>
          <cell r="C1982"/>
          <cell r="D1982">
            <v>56</v>
          </cell>
          <cell r="E1982">
            <v>234</v>
          </cell>
          <cell r="F1982"/>
          <cell r="G1982">
            <v>289.2</v>
          </cell>
        </row>
        <row r="1983">
          <cell r="B1983" t="str">
            <v>HJ80SP352P09000 JP</v>
          </cell>
          <cell r="C1983"/>
          <cell r="D1983">
            <v>56</v>
          </cell>
          <cell r="E1983">
            <v>234</v>
          </cell>
          <cell r="F1983"/>
          <cell r="G1983">
            <v>289.2</v>
          </cell>
        </row>
        <row r="1984">
          <cell r="B1984" t="str">
            <v>HJ80SP370P10000 JP</v>
          </cell>
          <cell r="C1984"/>
          <cell r="D1984">
            <v>56</v>
          </cell>
          <cell r="E1984">
            <v>234</v>
          </cell>
          <cell r="F1984"/>
          <cell r="G1984">
            <v>289.2</v>
          </cell>
        </row>
        <row r="1985">
          <cell r="B1985" t="str">
            <v>HJ80SP372P10000 JP</v>
          </cell>
          <cell r="C1985"/>
          <cell r="D1985">
            <v>56</v>
          </cell>
          <cell r="E1985">
            <v>234</v>
          </cell>
          <cell r="F1985"/>
          <cell r="G1985">
            <v>289.2</v>
          </cell>
        </row>
        <row r="1986">
          <cell r="B1986" t="str">
            <v>HJ80AL072P09002 JP</v>
          </cell>
          <cell r="C1986"/>
          <cell r="D1986">
            <v>56</v>
          </cell>
          <cell r="E1986">
            <v>234</v>
          </cell>
          <cell r="F1986"/>
          <cell r="G1986">
            <v>289.2</v>
          </cell>
        </row>
        <row r="1987">
          <cell r="B1987" t="str">
            <v>HJ80AL100P10002 JP</v>
          </cell>
          <cell r="C1987"/>
          <cell r="D1987">
            <v>56</v>
          </cell>
          <cell r="E1987">
            <v>234</v>
          </cell>
          <cell r="F1987"/>
          <cell r="G1987">
            <v>289.2</v>
          </cell>
        </row>
        <row r="1988">
          <cell r="B1988" t="str">
            <v>HJ80AL100P09002 JP</v>
          </cell>
          <cell r="C1988"/>
          <cell r="D1988">
            <v>56</v>
          </cell>
          <cell r="E1988">
            <v>234</v>
          </cell>
          <cell r="F1988"/>
          <cell r="G1988">
            <v>289.2</v>
          </cell>
        </row>
        <row r="1989">
          <cell r="B1989" t="str">
            <v>HJ80AL102P10002 JP</v>
          </cell>
          <cell r="C1989"/>
          <cell r="D1989">
            <v>56</v>
          </cell>
          <cell r="E1989">
            <v>234</v>
          </cell>
          <cell r="F1989"/>
          <cell r="G1989">
            <v>289.2</v>
          </cell>
        </row>
        <row r="1990">
          <cell r="B1990" t="str">
            <v>HJ80JL402P09000 JP</v>
          </cell>
          <cell r="C1990"/>
          <cell r="D1990">
            <v>56</v>
          </cell>
          <cell r="E1990">
            <v>234</v>
          </cell>
          <cell r="F1990"/>
          <cell r="G1990">
            <v>289.2</v>
          </cell>
        </row>
        <row r="1991">
          <cell r="B1991" t="str">
            <v>HJ80JL400P10001 JP</v>
          </cell>
          <cell r="C1991"/>
          <cell r="D1991">
            <v>56</v>
          </cell>
          <cell r="E1991">
            <v>234</v>
          </cell>
          <cell r="F1991"/>
          <cell r="G1991">
            <v>289.2</v>
          </cell>
        </row>
        <row r="1992">
          <cell r="B1992" t="str">
            <v>HJ80JL402P10001 JP</v>
          </cell>
          <cell r="C1992"/>
          <cell r="D1992">
            <v>56</v>
          </cell>
          <cell r="E1992">
            <v>234</v>
          </cell>
          <cell r="F1992"/>
          <cell r="G1992">
            <v>289.2</v>
          </cell>
        </row>
        <row r="1993">
          <cell r="B1993" t="str">
            <v>HJ80AL102P10000 JP</v>
          </cell>
          <cell r="C1993"/>
          <cell r="D1993">
            <v>56</v>
          </cell>
          <cell r="E1993">
            <v>234</v>
          </cell>
          <cell r="F1993"/>
          <cell r="G1993">
            <v>289.2</v>
          </cell>
        </row>
        <row r="1994">
          <cell r="B1994" t="str">
            <v>D6-ST-L100 JP</v>
          </cell>
          <cell r="C1994"/>
          <cell r="D1994">
            <v>56</v>
          </cell>
          <cell r="E1994">
            <v>234</v>
          </cell>
          <cell r="F1994"/>
          <cell r="G1994">
            <v>289.2</v>
          </cell>
        </row>
        <row r="1995">
          <cell r="B1995" t="str">
            <v>D7-ST-L100 JP</v>
          </cell>
          <cell r="C1995"/>
          <cell r="D1995">
            <v>56</v>
          </cell>
          <cell r="E1995">
            <v>234</v>
          </cell>
          <cell r="F1995"/>
          <cell r="G1995">
            <v>289.2</v>
          </cell>
        </row>
        <row r="1996">
          <cell r="B1996" t="str">
            <v>HJ80JL402P09001 JP</v>
          </cell>
          <cell r="C1996"/>
          <cell r="D1996">
            <v>56</v>
          </cell>
          <cell r="E1996">
            <v>234</v>
          </cell>
          <cell r="F1996"/>
          <cell r="G1996">
            <v>289.2</v>
          </cell>
        </row>
        <row r="1997">
          <cell r="B1997" t="str">
            <v>HJ60JL400P10000 JP</v>
          </cell>
          <cell r="C1997"/>
          <cell r="D1997">
            <v>56</v>
          </cell>
          <cell r="E1997">
            <v>234</v>
          </cell>
          <cell r="F1997"/>
          <cell r="G1997">
            <v>306.39999999999998</v>
          </cell>
        </row>
        <row r="1998">
          <cell r="B1998" t="str">
            <v>MTA0025N48S T1</v>
          </cell>
          <cell r="C1998"/>
          <cell r="D1998">
            <v>72</v>
          </cell>
          <cell r="E1998">
            <v>224</v>
          </cell>
          <cell r="F1998"/>
          <cell r="G1998">
            <v>174</v>
          </cell>
        </row>
        <row r="1999">
          <cell r="B1999" t="str">
            <v>MTS0025N48S T1</v>
          </cell>
          <cell r="C1999"/>
          <cell r="D1999">
            <v>72</v>
          </cell>
          <cell r="E1999">
            <v>224</v>
          </cell>
          <cell r="F1999"/>
          <cell r="G1999">
            <v>174</v>
          </cell>
        </row>
        <row r="2000">
          <cell r="B2000" t="str">
            <v>MTA0025N48S T4</v>
          </cell>
          <cell r="C2000"/>
          <cell r="D2000">
            <v>56</v>
          </cell>
          <cell r="E2000">
            <v>206.8</v>
          </cell>
          <cell r="F2000"/>
          <cell r="G2000">
            <v>172</v>
          </cell>
        </row>
        <row r="2001">
          <cell r="B2001" t="str">
            <v>NCUA0025N48S-T</v>
          </cell>
          <cell r="C2001"/>
          <cell r="D2001">
            <v>56</v>
          </cell>
          <cell r="E2001">
            <v>206.8</v>
          </cell>
          <cell r="F2001"/>
          <cell r="G2001">
            <v>172</v>
          </cell>
        </row>
        <row r="2002">
          <cell r="B2002" t="str">
            <v>MTA0025N48S T3</v>
          </cell>
          <cell r="C2002"/>
          <cell r="D2002">
            <v>56</v>
          </cell>
          <cell r="E2002">
            <v>206.8</v>
          </cell>
          <cell r="F2002"/>
          <cell r="G2002">
            <v>172</v>
          </cell>
        </row>
        <row r="2003">
          <cell r="B2003" t="str">
            <v>MTF0025N48S</v>
          </cell>
          <cell r="C2003"/>
          <cell r="D2003">
            <v>56</v>
          </cell>
          <cell r="E2003">
            <v>206.8</v>
          </cell>
          <cell r="F2003"/>
          <cell r="G2003">
            <v>172</v>
          </cell>
        </row>
        <row r="2004">
          <cell r="B2004" t="str">
            <v>FIELDER25 STRAIGHT</v>
          </cell>
          <cell r="C2004"/>
          <cell r="D2004">
            <v>44</v>
          </cell>
          <cell r="E2004">
            <v>162.4</v>
          </cell>
          <cell r="F2004"/>
          <cell r="G2004">
            <v>0</v>
          </cell>
        </row>
        <row r="2005">
          <cell r="B2005" t="str">
            <v>E0018480AG</v>
          </cell>
          <cell r="C2005"/>
          <cell r="D2005">
            <v>56</v>
          </cell>
          <cell r="E2005">
            <v>207</v>
          </cell>
          <cell r="F2005"/>
          <cell r="G2005">
            <v>172</v>
          </cell>
        </row>
        <row r="2006">
          <cell r="B2006" t="str">
            <v>MTA0025N48S</v>
          </cell>
          <cell r="C2006"/>
          <cell r="D2006">
            <v>56</v>
          </cell>
          <cell r="E2006">
            <v>206</v>
          </cell>
          <cell r="F2006"/>
          <cell r="G2006">
            <v>172</v>
          </cell>
        </row>
        <row r="2007">
          <cell r="B2007" t="str">
            <v>MTS0025N48S</v>
          </cell>
          <cell r="C2007"/>
          <cell r="D2007">
            <v>56</v>
          </cell>
          <cell r="E2007">
            <v>206</v>
          </cell>
          <cell r="F2007"/>
          <cell r="G2007">
            <v>164.9</v>
          </cell>
        </row>
        <row r="2008">
          <cell r="B2008" t="str">
            <v>E0018450AG-2</v>
          </cell>
          <cell r="C2008"/>
          <cell r="D2008">
            <v>56</v>
          </cell>
          <cell r="E2008">
            <v>207</v>
          </cell>
          <cell r="F2008"/>
          <cell r="G2008">
            <v>172</v>
          </cell>
        </row>
        <row r="2009">
          <cell r="B2009" t="str">
            <v>MTA0025N48S POLYMER CHANGE</v>
          </cell>
          <cell r="C2009"/>
          <cell r="D2009">
            <v>56</v>
          </cell>
          <cell r="E2009">
            <v>154.9</v>
          </cell>
          <cell r="F2009"/>
          <cell r="G2009">
            <v>172</v>
          </cell>
        </row>
        <row r="2010">
          <cell r="B2010" t="str">
            <v>MST45A-18PWS</v>
          </cell>
          <cell r="C2010"/>
          <cell r="D2010">
            <v>56</v>
          </cell>
          <cell r="E2010">
            <v>154.9</v>
          </cell>
          <cell r="F2010"/>
          <cell r="G2010">
            <v>184</v>
          </cell>
        </row>
        <row r="2011">
          <cell r="B2011" t="str">
            <v>MST105-18PW</v>
          </cell>
          <cell r="C2011"/>
          <cell r="D2011">
            <v>21.9</v>
          </cell>
          <cell r="E2011">
            <v>154.9</v>
          </cell>
          <cell r="F2011"/>
          <cell r="G2011">
            <v>184</v>
          </cell>
        </row>
        <row r="2012">
          <cell r="B2012" t="str">
            <v>MST150-18PW</v>
          </cell>
          <cell r="C2012"/>
          <cell r="D2012">
            <v>56</v>
          </cell>
          <cell r="E2012">
            <v>177</v>
          </cell>
          <cell r="F2012"/>
          <cell r="G2012">
            <v>184</v>
          </cell>
        </row>
        <row r="2013">
          <cell r="B2013" t="str">
            <v>STD105-26S CN</v>
          </cell>
          <cell r="C2013"/>
          <cell r="D2013">
            <v>60</v>
          </cell>
          <cell r="E2013">
            <v>158</v>
          </cell>
          <cell r="F2013"/>
          <cell r="G2013">
            <v>184</v>
          </cell>
        </row>
        <row r="2014">
          <cell r="B2014" t="str">
            <v>STD125-26S CN</v>
          </cell>
          <cell r="C2014"/>
          <cell r="D2014">
            <v>60</v>
          </cell>
          <cell r="E2014">
            <v>154.9</v>
          </cell>
          <cell r="F2014"/>
          <cell r="G2014">
            <v>184</v>
          </cell>
        </row>
        <row r="2015">
          <cell r="B2015" t="str">
            <v>STD150-26S CN</v>
          </cell>
          <cell r="C2015"/>
          <cell r="D2015">
            <v>60</v>
          </cell>
          <cell r="E2015">
            <v>158</v>
          </cell>
          <cell r="F2015"/>
          <cell r="G2015">
            <v>184</v>
          </cell>
        </row>
        <row r="2016">
          <cell r="B2016" t="str">
            <v>CRV135-19P US2</v>
          </cell>
          <cell r="C2016"/>
          <cell r="D2016">
            <v>53</v>
          </cell>
          <cell r="E2016">
            <v>135</v>
          </cell>
          <cell r="F2016"/>
          <cell r="G2016">
            <v>142</v>
          </cell>
        </row>
        <row r="2017">
          <cell r="B2017" t="str">
            <v>CRV150-19P US2</v>
          </cell>
          <cell r="C2017"/>
          <cell r="D2017">
            <v>53</v>
          </cell>
          <cell r="E2017">
            <v>135</v>
          </cell>
          <cell r="F2017"/>
          <cell r="G2017">
            <v>142</v>
          </cell>
        </row>
        <row r="2018">
          <cell r="B2018" t="str">
            <v>CRV150-19P</v>
          </cell>
          <cell r="C2018"/>
          <cell r="D2018">
            <v>46.2</v>
          </cell>
          <cell r="E2018">
            <v>135</v>
          </cell>
          <cell r="F2018"/>
          <cell r="G2018">
            <v>141.80000000000001</v>
          </cell>
        </row>
        <row r="2019">
          <cell r="B2019" t="str">
            <v>CRV135-19P</v>
          </cell>
          <cell r="C2019"/>
          <cell r="D2019">
            <v>53.2</v>
          </cell>
          <cell r="E2019">
            <v>140</v>
          </cell>
          <cell r="F2019"/>
          <cell r="G2019">
            <v>141.80000000000001</v>
          </cell>
        </row>
        <row r="2020">
          <cell r="B2020" t="str">
            <v>CSR150-26P</v>
          </cell>
          <cell r="C2020"/>
          <cell r="D2020">
            <v>54</v>
          </cell>
          <cell r="E2020">
            <v>135</v>
          </cell>
          <cell r="F2020"/>
          <cell r="G2020">
            <v>20</v>
          </cell>
        </row>
        <row r="2021">
          <cell r="B2021" t="str">
            <v>CSR135-26P</v>
          </cell>
          <cell r="C2021"/>
          <cell r="D2021">
            <v>54</v>
          </cell>
          <cell r="E2021">
            <v>135</v>
          </cell>
          <cell r="F2021"/>
          <cell r="G2021">
            <v>172</v>
          </cell>
        </row>
        <row r="2022">
          <cell r="B2022" t="str">
            <v>CRV150-19P CN</v>
          </cell>
          <cell r="C2022"/>
          <cell r="D2022">
            <v>54</v>
          </cell>
          <cell r="E2022">
            <v>135</v>
          </cell>
          <cell r="F2022"/>
          <cell r="G2022">
            <v>134.19999999999999</v>
          </cell>
        </row>
        <row r="2023">
          <cell r="B2023" t="str">
            <v>CRV135-19P CE2</v>
          </cell>
          <cell r="C2023"/>
          <cell r="D2023">
            <v>54</v>
          </cell>
          <cell r="E2023">
            <v>135</v>
          </cell>
          <cell r="F2023"/>
          <cell r="G2023">
            <v>134.19999999999999</v>
          </cell>
        </row>
        <row r="2024">
          <cell r="B2024" t="str">
            <v>CRV150-19P CE2</v>
          </cell>
          <cell r="C2024"/>
          <cell r="D2024">
            <v>54</v>
          </cell>
          <cell r="E2024">
            <v>135</v>
          </cell>
          <cell r="F2024"/>
          <cell r="G2024">
            <v>134.19999999999999</v>
          </cell>
        </row>
        <row r="2025">
          <cell r="B2025" t="str">
            <v>CRV150-19M JP</v>
          </cell>
          <cell r="C2025"/>
          <cell r="D2025">
            <v>54</v>
          </cell>
          <cell r="E2025">
            <v>135</v>
          </cell>
          <cell r="F2025"/>
          <cell r="G2025">
            <v>134.19999999999999</v>
          </cell>
        </row>
        <row r="2026">
          <cell r="B2026" t="str">
            <v>CSR135-26P US</v>
          </cell>
          <cell r="C2026"/>
          <cell r="D2026">
            <v>54</v>
          </cell>
          <cell r="E2026">
            <v>135</v>
          </cell>
          <cell r="F2026"/>
          <cell r="G2026">
            <v>172</v>
          </cell>
        </row>
        <row r="2027">
          <cell r="B2027" t="str">
            <v>CRV135-19M JP</v>
          </cell>
          <cell r="C2027"/>
          <cell r="D2027">
            <v>54</v>
          </cell>
          <cell r="E2027">
            <v>135</v>
          </cell>
          <cell r="F2027"/>
          <cell r="G2027">
            <v>134.19999999999999</v>
          </cell>
        </row>
        <row r="2028">
          <cell r="B2028" t="str">
            <v>CSR150-26P US</v>
          </cell>
          <cell r="C2028"/>
          <cell r="D2028">
            <v>54</v>
          </cell>
          <cell r="E2028">
            <v>135</v>
          </cell>
          <cell r="F2028"/>
          <cell r="G2028">
            <v>158.19999999999999</v>
          </cell>
        </row>
        <row r="2029">
          <cell r="B2029" t="str">
            <v>AIN-CKI-008-200</v>
          </cell>
          <cell r="C2029"/>
          <cell r="D2029">
            <v>0</v>
          </cell>
          <cell r="E2029">
            <v>162.4</v>
          </cell>
          <cell r="F2029"/>
          <cell r="G2029">
            <v>0</v>
          </cell>
        </row>
        <row r="2030">
          <cell r="B2030" t="str">
            <v>AH14R000S-T</v>
          </cell>
          <cell r="C2030"/>
          <cell r="D2030">
            <v>0</v>
          </cell>
          <cell r="E2030">
            <v>117.9</v>
          </cell>
          <cell r="F2030"/>
          <cell r="G2030">
            <v>158.5</v>
          </cell>
        </row>
        <row r="2031">
          <cell r="B2031" t="str">
            <v>R0419-Z6PS</v>
          </cell>
          <cell r="C2031"/>
          <cell r="D2031">
            <v>0</v>
          </cell>
          <cell r="E2031">
            <v>92.6</v>
          </cell>
          <cell r="F2031"/>
          <cell r="G2031">
            <v>135.81</v>
          </cell>
        </row>
        <row r="2032">
          <cell r="B2032" t="str">
            <v>A0419-01PS</v>
          </cell>
          <cell r="C2032"/>
          <cell r="D2032">
            <v>0</v>
          </cell>
          <cell r="E2032">
            <v>92.6</v>
          </cell>
          <cell r="F2032"/>
          <cell r="G2032">
            <v>158.5</v>
          </cell>
        </row>
        <row r="2033">
          <cell r="B2033" t="str">
            <v>AIN-CKI-18-200-BS</v>
          </cell>
          <cell r="C2033"/>
          <cell r="D2033">
            <v>0</v>
          </cell>
          <cell r="E2033">
            <v>201.4</v>
          </cell>
          <cell r="F2033"/>
          <cell r="G2033">
            <v>0</v>
          </cell>
        </row>
        <row r="2034">
          <cell r="B2034" t="str">
            <v>LOG180-18N</v>
          </cell>
          <cell r="C2034"/>
          <cell r="D2034">
            <v>0</v>
          </cell>
          <cell r="E2034">
            <v>166.9</v>
          </cell>
          <cell r="F2034"/>
          <cell r="G2034">
            <v>0</v>
          </cell>
        </row>
        <row r="2035">
          <cell r="B2035" t="str">
            <v>AIN-CKI-200-BS</v>
          </cell>
          <cell r="C2035"/>
          <cell r="D2035">
            <v>0</v>
          </cell>
          <cell r="E2035">
            <v>201.4</v>
          </cell>
          <cell r="F2035"/>
          <cell r="G2035">
            <v>0</v>
          </cell>
        </row>
        <row r="2036">
          <cell r="B2036" t="str">
            <v>AIN-CKI-315-EXC</v>
          </cell>
          <cell r="C2036"/>
          <cell r="D2036">
            <v>0</v>
          </cell>
          <cell r="E2036">
            <v>162.4</v>
          </cell>
          <cell r="F2036"/>
          <cell r="G2036">
            <v>0</v>
          </cell>
        </row>
        <row r="2037">
          <cell r="B2037" t="str">
            <v>A0419-01PS-T</v>
          </cell>
          <cell r="C2037"/>
          <cell r="D2037">
            <v>0</v>
          </cell>
          <cell r="E2037">
            <v>92.6</v>
          </cell>
          <cell r="F2037"/>
          <cell r="G2037">
            <v>135.81</v>
          </cell>
        </row>
        <row r="2038">
          <cell r="B2038" t="str">
            <v>R0419-Z6PS-T</v>
          </cell>
          <cell r="C2038"/>
          <cell r="D2038">
            <v>0</v>
          </cell>
          <cell r="E2038">
            <v>92.6</v>
          </cell>
          <cell r="F2038"/>
          <cell r="G2038">
            <v>135.81</v>
          </cell>
        </row>
        <row r="2039">
          <cell r="B2039" t="str">
            <v>AIN-CKI-10-300 T</v>
          </cell>
          <cell r="C2039"/>
          <cell r="D2039">
            <v>0</v>
          </cell>
          <cell r="E2039">
            <v>162.4</v>
          </cell>
          <cell r="F2039"/>
          <cell r="G2039">
            <v>0</v>
          </cell>
        </row>
        <row r="2040">
          <cell r="B2040" t="str">
            <v>AMS-180-1445</v>
          </cell>
          <cell r="C2040"/>
          <cell r="D2040">
            <v>0</v>
          </cell>
          <cell r="E2040">
            <v>201.4</v>
          </cell>
          <cell r="F2040"/>
          <cell r="G2040">
            <v>0</v>
          </cell>
        </row>
        <row r="2041">
          <cell r="B2041" t="str">
            <v>AIN-CKI-200 T</v>
          </cell>
          <cell r="C2041"/>
          <cell r="D2041">
            <v>0</v>
          </cell>
          <cell r="E2041">
            <v>135</v>
          </cell>
          <cell r="F2041"/>
          <cell r="G2041">
            <v>0</v>
          </cell>
        </row>
        <row r="2042">
          <cell r="B2042" t="str">
            <v>AIN-CKI-200-RC T</v>
          </cell>
          <cell r="C2042"/>
          <cell r="D2042">
            <v>0</v>
          </cell>
          <cell r="E2042">
            <v>135</v>
          </cell>
          <cell r="F2042"/>
          <cell r="G2042">
            <v>0</v>
          </cell>
        </row>
        <row r="2043">
          <cell r="B2043" t="str">
            <v>AIN-CKI-008-200T</v>
          </cell>
          <cell r="C2043"/>
          <cell r="D2043">
            <v>0</v>
          </cell>
          <cell r="E2043">
            <v>162.4</v>
          </cell>
          <cell r="F2043"/>
          <cell r="G2043">
            <v>0</v>
          </cell>
        </row>
        <row r="2044">
          <cell r="B2044" t="str">
            <v>AIN-CKI-18-200-BS T</v>
          </cell>
          <cell r="C2044"/>
          <cell r="D2044">
            <v>0</v>
          </cell>
          <cell r="E2044">
            <v>98.8</v>
          </cell>
          <cell r="F2044"/>
          <cell r="G2044">
            <v>0</v>
          </cell>
        </row>
        <row r="2045">
          <cell r="B2045" t="str">
            <v>WCKV180-14 T</v>
          </cell>
          <cell r="C2045"/>
          <cell r="D2045">
            <v>0</v>
          </cell>
          <cell r="E2045">
            <v>141</v>
          </cell>
          <cell r="F2045"/>
          <cell r="G2045">
            <v>0</v>
          </cell>
        </row>
        <row r="2046">
          <cell r="B2046" t="str">
            <v>WAMS-180-1645 T</v>
          </cell>
          <cell r="C2046"/>
          <cell r="D2046">
            <v>0</v>
          </cell>
          <cell r="E2046">
            <v>172</v>
          </cell>
          <cell r="F2046"/>
          <cell r="G2046">
            <v>0</v>
          </cell>
        </row>
        <row r="2047">
          <cell r="B2047" t="str">
            <v>AGH143390R</v>
          </cell>
          <cell r="C2047"/>
          <cell r="D2047">
            <v>0</v>
          </cell>
          <cell r="E2047">
            <v>117.9</v>
          </cell>
          <cell r="F2047"/>
          <cell r="G2047">
            <v>0</v>
          </cell>
        </row>
        <row r="2048">
          <cell r="B2048" t="str">
            <v>AGH143091R</v>
          </cell>
          <cell r="C2048"/>
          <cell r="D2048">
            <v>0</v>
          </cell>
          <cell r="E2048">
            <v>117.9</v>
          </cell>
          <cell r="F2048"/>
          <cell r="G2048">
            <v>0</v>
          </cell>
        </row>
        <row r="2049">
          <cell r="B2049" t="str">
            <v>AH14S303JR</v>
          </cell>
          <cell r="C2049"/>
          <cell r="D2049">
            <v>0</v>
          </cell>
          <cell r="E2049">
            <v>117.9</v>
          </cell>
          <cell r="F2049"/>
          <cell r="G2049">
            <v>0</v>
          </cell>
        </row>
        <row r="2050">
          <cell r="B2050" t="str">
            <v>AH14S003JR</v>
          </cell>
          <cell r="C2050"/>
          <cell r="D2050">
            <v>0</v>
          </cell>
          <cell r="E2050">
            <v>117.9</v>
          </cell>
          <cell r="F2050"/>
          <cell r="G2050">
            <v>0</v>
          </cell>
        </row>
        <row r="2051">
          <cell r="B2051" t="str">
            <v>PAGH18M070R</v>
          </cell>
          <cell r="C2051"/>
          <cell r="D2051">
            <v>0</v>
          </cell>
          <cell r="E2051">
            <v>117.9</v>
          </cell>
          <cell r="F2051"/>
          <cell r="G2051">
            <v>0</v>
          </cell>
        </row>
        <row r="2052">
          <cell r="B2052" t="str">
            <v>AIN-CKI-200-BSR</v>
          </cell>
          <cell r="C2052"/>
          <cell r="D2052">
            <v>0</v>
          </cell>
          <cell r="E2052">
            <v>162.4</v>
          </cell>
          <cell r="F2052"/>
          <cell r="G2052">
            <v>0</v>
          </cell>
        </row>
        <row r="2053">
          <cell r="B2053" t="str">
            <v>AIN-CKI-200-BAR</v>
          </cell>
          <cell r="C2053"/>
          <cell r="D2053">
            <v>0</v>
          </cell>
          <cell r="E2053">
            <v>162.4</v>
          </cell>
          <cell r="F2053"/>
          <cell r="G2053">
            <v>0</v>
          </cell>
        </row>
        <row r="2054">
          <cell r="B2054" t="str">
            <v>AIN-CKI-10-300R</v>
          </cell>
          <cell r="C2054"/>
          <cell r="D2054">
            <v>0</v>
          </cell>
          <cell r="E2054">
            <v>162.4</v>
          </cell>
          <cell r="F2054"/>
          <cell r="G2054">
            <v>0</v>
          </cell>
        </row>
        <row r="2055">
          <cell r="B2055" t="str">
            <v>AIN-CKI-10-200R</v>
          </cell>
          <cell r="C2055"/>
          <cell r="D2055">
            <v>0</v>
          </cell>
          <cell r="E2055">
            <v>162.4</v>
          </cell>
          <cell r="F2055"/>
          <cell r="G2055">
            <v>0</v>
          </cell>
        </row>
        <row r="2056">
          <cell r="B2056" t="str">
            <v>AGP140301JR</v>
          </cell>
          <cell r="C2056"/>
          <cell r="D2056">
            <v>0</v>
          </cell>
          <cell r="E2056">
            <v>117.9</v>
          </cell>
          <cell r="F2056"/>
          <cell r="G2056">
            <v>0</v>
          </cell>
        </row>
        <row r="2057">
          <cell r="B2057" t="str">
            <v>AGP140002R</v>
          </cell>
          <cell r="C2057"/>
          <cell r="D2057">
            <v>0</v>
          </cell>
          <cell r="E2057">
            <v>117.9</v>
          </cell>
          <cell r="F2057"/>
          <cell r="G2057">
            <v>0</v>
          </cell>
        </row>
        <row r="2058">
          <cell r="B2058" t="str">
            <v>AGH143092R</v>
          </cell>
          <cell r="C2058"/>
          <cell r="D2058">
            <v>0</v>
          </cell>
          <cell r="E2058">
            <v>117.9</v>
          </cell>
          <cell r="F2058"/>
          <cell r="G2058">
            <v>0</v>
          </cell>
        </row>
        <row r="2059">
          <cell r="B2059" t="str">
            <v>AGH143090R</v>
          </cell>
          <cell r="C2059"/>
          <cell r="D2059">
            <v>0</v>
          </cell>
          <cell r="E2059">
            <v>117.9</v>
          </cell>
          <cell r="F2059"/>
          <cell r="G2059">
            <v>0</v>
          </cell>
        </row>
        <row r="2060">
          <cell r="B2060" t="str">
            <v>STM135-14SR</v>
          </cell>
          <cell r="C2060"/>
          <cell r="D2060">
            <v>0</v>
          </cell>
          <cell r="E2060">
            <v>162.4</v>
          </cell>
          <cell r="F2060"/>
          <cell r="G2060">
            <v>0</v>
          </cell>
        </row>
        <row r="2061">
          <cell r="B2061" t="str">
            <v>STM180-18SR</v>
          </cell>
          <cell r="C2061"/>
          <cell r="D2061">
            <v>0</v>
          </cell>
          <cell r="E2061">
            <v>162.4</v>
          </cell>
          <cell r="F2061"/>
          <cell r="G2061">
            <v>0</v>
          </cell>
        </row>
        <row r="2062">
          <cell r="B2062" t="str">
            <v>STM080-18SR</v>
          </cell>
          <cell r="C2062"/>
          <cell r="D2062">
            <v>0</v>
          </cell>
          <cell r="E2062">
            <v>162.4</v>
          </cell>
          <cell r="F2062"/>
          <cell r="G2062">
            <v>0</v>
          </cell>
        </row>
        <row r="2063">
          <cell r="B2063" t="str">
            <v>PAGP140000R</v>
          </cell>
          <cell r="C2063"/>
          <cell r="D2063">
            <v>0</v>
          </cell>
          <cell r="E2063">
            <v>117.9</v>
          </cell>
          <cell r="F2063"/>
          <cell r="G2063">
            <v>0</v>
          </cell>
        </row>
        <row r="2064">
          <cell r="B2064" t="str">
            <v>AGP140302R</v>
          </cell>
          <cell r="C2064"/>
          <cell r="D2064">
            <v>0</v>
          </cell>
          <cell r="E2064">
            <v>91.6</v>
          </cell>
          <cell r="F2064"/>
          <cell r="G2064">
            <v>0</v>
          </cell>
        </row>
        <row r="2065">
          <cell r="B2065" t="str">
            <v>AH14R308PR</v>
          </cell>
          <cell r="C2065"/>
          <cell r="D2065">
            <v>0</v>
          </cell>
          <cell r="E2065">
            <v>153.30000000000001</v>
          </cell>
          <cell r="F2065"/>
          <cell r="G2065">
            <v>0</v>
          </cell>
        </row>
        <row r="2066">
          <cell r="B2066" t="str">
            <v>AH14R008PR</v>
          </cell>
          <cell r="C2066"/>
          <cell r="D2066">
            <v>0</v>
          </cell>
          <cell r="E2066">
            <v>153.30000000000001</v>
          </cell>
          <cell r="F2066"/>
          <cell r="G2066">
            <v>0</v>
          </cell>
        </row>
        <row r="2067">
          <cell r="B2067" t="str">
            <v>AGP140000R</v>
          </cell>
          <cell r="C2067"/>
          <cell r="D2067">
            <v>0</v>
          </cell>
          <cell r="E2067">
            <v>117.9</v>
          </cell>
          <cell r="F2067"/>
          <cell r="G2067">
            <v>0</v>
          </cell>
        </row>
        <row r="2068">
          <cell r="B2068" t="str">
            <v>AGP140001JR</v>
          </cell>
          <cell r="C2068"/>
          <cell r="D2068">
            <v>0</v>
          </cell>
          <cell r="E2068">
            <v>117.9</v>
          </cell>
          <cell r="F2068"/>
          <cell r="G2068">
            <v>0</v>
          </cell>
        </row>
        <row r="2069">
          <cell r="B2069" t="str">
            <v>AGP140300R</v>
          </cell>
          <cell r="C2069"/>
          <cell r="D2069">
            <v>0</v>
          </cell>
          <cell r="E2069">
            <v>117.9</v>
          </cell>
          <cell r="F2069"/>
          <cell r="G2069">
            <v>0</v>
          </cell>
        </row>
        <row r="2070">
          <cell r="B2070" t="str">
            <v>STM180-14A45R</v>
          </cell>
          <cell r="C2070"/>
          <cell r="D2070">
            <v>0</v>
          </cell>
          <cell r="E2070">
            <v>162.4</v>
          </cell>
          <cell r="F2070"/>
          <cell r="G2070">
            <v>0</v>
          </cell>
        </row>
        <row r="2071">
          <cell r="B2071" t="str">
            <v>PAGH18M372R</v>
          </cell>
          <cell r="C2071"/>
          <cell r="D2071">
            <v>0</v>
          </cell>
          <cell r="E2071">
            <v>117.9</v>
          </cell>
          <cell r="F2071"/>
          <cell r="G2071">
            <v>0</v>
          </cell>
        </row>
        <row r="2072">
          <cell r="B2072" t="str">
            <v>PAGH18M072R</v>
          </cell>
          <cell r="C2072"/>
          <cell r="D2072">
            <v>0</v>
          </cell>
          <cell r="E2072">
            <v>117.9</v>
          </cell>
          <cell r="F2072"/>
          <cell r="G2072">
            <v>0</v>
          </cell>
        </row>
        <row r="2073">
          <cell r="B2073" t="str">
            <v>PAGH18M071R</v>
          </cell>
          <cell r="C2073"/>
          <cell r="D2073">
            <v>0</v>
          </cell>
          <cell r="E2073">
            <v>117.9</v>
          </cell>
          <cell r="F2073"/>
          <cell r="G2073">
            <v>0</v>
          </cell>
        </row>
        <row r="2074">
          <cell r="B2074" t="str">
            <v>AH14R311PR</v>
          </cell>
          <cell r="C2074"/>
          <cell r="D2074">
            <v>0</v>
          </cell>
          <cell r="E2074">
            <v>153.30000000000001</v>
          </cell>
          <cell r="F2074"/>
          <cell r="G2074">
            <v>0</v>
          </cell>
        </row>
        <row r="2075">
          <cell r="B2075" t="str">
            <v>AH14R011PR</v>
          </cell>
          <cell r="C2075"/>
          <cell r="D2075">
            <v>35</v>
          </cell>
          <cell r="E2075">
            <v>153.30000000000001</v>
          </cell>
          <cell r="F2075">
            <v>22</v>
          </cell>
          <cell r="G2075">
            <v>43.2</v>
          </cell>
        </row>
        <row r="2076">
          <cell r="B2076" t="str">
            <v>AH14R007PR</v>
          </cell>
          <cell r="C2076"/>
          <cell r="D2076">
            <v>0</v>
          </cell>
          <cell r="E2076">
            <v>153.30000000000001</v>
          </cell>
          <cell r="F2076"/>
          <cell r="G2076">
            <v>0</v>
          </cell>
        </row>
        <row r="2077">
          <cell r="B2077" t="str">
            <v>AH14R307PR</v>
          </cell>
          <cell r="C2077"/>
          <cell r="D2077">
            <v>0</v>
          </cell>
          <cell r="E2077">
            <v>153.30000000000001</v>
          </cell>
          <cell r="F2077"/>
          <cell r="G2077">
            <v>0</v>
          </cell>
        </row>
        <row r="2078">
          <cell r="B2078" t="str">
            <v>AIN-CKX-14-200-SFT</v>
          </cell>
          <cell r="C2078"/>
          <cell r="D2078">
            <v>0</v>
          </cell>
          <cell r="E2078">
            <v>92.6</v>
          </cell>
          <cell r="F2078"/>
          <cell r="G2078">
            <v>0</v>
          </cell>
        </row>
        <row r="2079">
          <cell r="B2079" t="str">
            <v>A60FK0200J13004R JP</v>
          </cell>
          <cell r="C2079"/>
          <cell r="D2079">
            <v>0</v>
          </cell>
          <cell r="E2079">
            <v>277.5</v>
          </cell>
          <cell r="F2079"/>
          <cell r="G2079">
            <v>174</v>
          </cell>
        </row>
        <row r="2080">
          <cell r="B2080" t="str">
            <v>A42P54012G13500R JP</v>
          </cell>
          <cell r="C2080"/>
          <cell r="D2080">
            <v>0</v>
          </cell>
          <cell r="E2080">
            <v>302.39999999999998</v>
          </cell>
          <cell r="F2080"/>
          <cell r="G2080">
            <v>174</v>
          </cell>
        </row>
        <row r="2081">
          <cell r="B2081" t="str">
            <v>N4Y1A080011-T5</v>
          </cell>
          <cell r="C2081"/>
          <cell r="D2081">
            <v>0</v>
          </cell>
          <cell r="E2081">
            <v>177.9</v>
          </cell>
          <cell r="F2081"/>
          <cell r="G2081">
            <v>230</v>
          </cell>
        </row>
        <row r="2082">
          <cell r="B2082" t="str">
            <v>N4Y1A080011-T6</v>
          </cell>
          <cell r="C2082"/>
          <cell r="D2082">
            <v>0</v>
          </cell>
          <cell r="E2082">
            <v>177.9</v>
          </cell>
          <cell r="F2082"/>
          <cell r="G2082">
            <v>230</v>
          </cell>
        </row>
        <row r="2083">
          <cell r="B2083" t="str">
            <v>C5N740A1002-T</v>
          </cell>
          <cell r="C2083"/>
          <cell r="D2083">
            <v>0</v>
          </cell>
          <cell r="E2083">
            <v>61.57</v>
          </cell>
          <cell r="F2083"/>
          <cell r="G2083">
            <v>119.3</v>
          </cell>
        </row>
        <row r="2084">
          <cell r="B2084" t="str">
            <v>C6U740A1002-T</v>
          </cell>
          <cell r="C2084"/>
          <cell r="D2084">
            <v>0</v>
          </cell>
          <cell r="E2084">
            <v>61.570999999999998</v>
          </cell>
          <cell r="F2084"/>
          <cell r="G2084">
            <v>119.3</v>
          </cell>
        </row>
        <row r="2085">
          <cell r="B2085" t="str">
            <v>A50CO6000H10000R</v>
          </cell>
          <cell r="C2085"/>
          <cell r="D2085">
            <v>0</v>
          </cell>
          <cell r="E2085">
            <v>176</v>
          </cell>
          <cell r="F2085"/>
          <cell r="G2085">
            <v>174</v>
          </cell>
        </row>
        <row r="2086">
          <cell r="B2086" t="str">
            <v>A40CO6100H10000R</v>
          </cell>
          <cell r="C2086"/>
          <cell r="D2086">
            <v>0</v>
          </cell>
          <cell r="E2086">
            <v>176</v>
          </cell>
          <cell r="F2086"/>
          <cell r="G2086">
            <v>174</v>
          </cell>
        </row>
        <row r="2087">
          <cell r="B2087" t="str">
            <v>A50CO6100H10000R</v>
          </cell>
          <cell r="C2087"/>
          <cell r="D2087">
            <v>0</v>
          </cell>
          <cell r="E2087">
            <v>176</v>
          </cell>
          <cell r="F2087"/>
          <cell r="G2087">
            <v>174</v>
          </cell>
        </row>
        <row r="2088">
          <cell r="B2088" t="str">
            <v>A40CO6200H10000R</v>
          </cell>
          <cell r="C2088"/>
          <cell r="D2088">
            <v>0</v>
          </cell>
          <cell r="E2088">
            <v>176</v>
          </cell>
          <cell r="F2088"/>
          <cell r="G2088">
            <v>174</v>
          </cell>
        </row>
        <row r="2089">
          <cell r="B2089" t="str">
            <v>A50CO6200H10000R</v>
          </cell>
          <cell r="C2089"/>
          <cell r="D2089">
            <v>0</v>
          </cell>
          <cell r="E2089">
            <v>176</v>
          </cell>
          <cell r="F2089"/>
          <cell r="G2089">
            <v>174</v>
          </cell>
        </row>
        <row r="2090">
          <cell r="B2090" t="str">
            <v>A40RH9000H10000R</v>
          </cell>
          <cell r="C2090"/>
          <cell r="D2090">
            <v>0</v>
          </cell>
          <cell r="E2090">
            <v>176</v>
          </cell>
          <cell r="F2090"/>
          <cell r="G2090">
            <v>174</v>
          </cell>
        </row>
        <row r="2091">
          <cell r="B2091" t="str">
            <v>A50RH9000H10000R</v>
          </cell>
          <cell r="C2091"/>
          <cell r="D2091">
            <v>0</v>
          </cell>
          <cell r="E2091">
            <v>176</v>
          </cell>
          <cell r="F2091"/>
          <cell r="G2091">
            <v>174</v>
          </cell>
        </row>
        <row r="2092">
          <cell r="B2092" t="str">
            <v>A40CO6000H10000R</v>
          </cell>
          <cell r="C2092"/>
          <cell r="D2092">
            <v>0</v>
          </cell>
          <cell r="E2092">
            <v>176</v>
          </cell>
          <cell r="F2092"/>
          <cell r="G2092">
            <v>174</v>
          </cell>
        </row>
        <row r="2093">
          <cell r="B2093" t="str">
            <v>A50P54012G13000X CN</v>
          </cell>
          <cell r="C2093"/>
          <cell r="D2093">
            <v>0</v>
          </cell>
          <cell r="E2093">
            <v>176</v>
          </cell>
          <cell r="F2093"/>
          <cell r="G2093">
            <v>140</v>
          </cell>
        </row>
        <row r="2094">
          <cell r="B2094" t="str">
            <v>A42P54012G13000X CN</v>
          </cell>
          <cell r="C2094"/>
          <cell r="D2094">
            <v>0</v>
          </cell>
          <cell r="E2094">
            <v>176</v>
          </cell>
          <cell r="F2094"/>
          <cell r="G2094">
            <v>140</v>
          </cell>
        </row>
        <row r="2095">
          <cell r="B2095" t="str">
            <v>A52SO3502J13000X CN</v>
          </cell>
          <cell r="C2095"/>
          <cell r="D2095">
            <v>0</v>
          </cell>
          <cell r="E2095">
            <v>176</v>
          </cell>
          <cell r="F2095"/>
          <cell r="G2095">
            <v>140</v>
          </cell>
        </row>
        <row r="2096">
          <cell r="B2096" t="str">
            <v>A60SO3500H10000X CN</v>
          </cell>
          <cell r="C2096"/>
          <cell r="D2096">
            <v>0</v>
          </cell>
          <cell r="E2096">
            <v>176</v>
          </cell>
          <cell r="F2096"/>
          <cell r="G2096">
            <v>140</v>
          </cell>
        </row>
        <row r="2097">
          <cell r="B2097" t="str">
            <v>A60FK0200J13004X CN</v>
          </cell>
          <cell r="C2097"/>
          <cell r="D2097">
            <v>0</v>
          </cell>
          <cell r="E2097">
            <v>176</v>
          </cell>
          <cell r="F2097"/>
          <cell r="G2097">
            <v>140</v>
          </cell>
        </row>
        <row r="2098">
          <cell r="B2098" t="str">
            <v>A60FC0000L11000X CN</v>
          </cell>
          <cell r="C2098"/>
          <cell r="D2098">
            <v>0</v>
          </cell>
          <cell r="E2098">
            <v>176</v>
          </cell>
          <cell r="F2098"/>
          <cell r="G2098">
            <v>140</v>
          </cell>
        </row>
        <row r="2099">
          <cell r="B2099" t="str">
            <v>A42P54012G13500R</v>
          </cell>
          <cell r="C2099"/>
          <cell r="D2099">
            <v>0</v>
          </cell>
          <cell r="E2099">
            <v>194</v>
          </cell>
          <cell r="F2099"/>
          <cell r="G2099">
            <v>141</v>
          </cell>
        </row>
        <row r="2100">
          <cell r="B2100" t="str">
            <v>MS3552H26-PIG110J T1</v>
          </cell>
          <cell r="C2100"/>
          <cell r="D2100">
            <v>0</v>
          </cell>
          <cell r="E2100">
            <v>193</v>
          </cell>
          <cell r="F2100"/>
          <cell r="G2100">
            <v>235</v>
          </cell>
        </row>
        <row r="2101">
          <cell r="B2101" t="str">
            <v>A60FC0000L11000R</v>
          </cell>
          <cell r="C2101"/>
          <cell r="D2101">
            <v>0</v>
          </cell>
          <cell r="E2101">
            <v>194</v>
          </cell>
          <cell r="F2101"/>
          <cell r="G2101">
            <v>141</v>
          </cell>
        </row>
        <row r="2102">
          <cell r="B2102" t="str">
            <v>AW52MP2502R10000 NOCE</v>
          </cell>
          <cell r="C2102"/>
          <cell r="D2102">
            <v>0</v>
          </cell>
          <cell r="E2102">
            <v>250</v>
          </cell>
          <cell r="F2102"/>
          <cell r="G2102">
            <v>119</v>
          </cell>
        </row>
        <row r="2103">
          <cell r="B2103" t="str">
            <v>AW52MP4002R10000 NOCE</v>
          </cell>
          <cell r="C2103"/>
          <cell r="D2103">
            <v>0</v>
          </cell>
          <cell r="E2103">
            <v>250</v>
          </cell>
          <cell r="F2103"/>
          <cell r="G2103">
            <v>119</v>
          </cell>
        </row>
        <row r="2104">
          <cell r="B2104" t="str">
            <v>AW52RM3501R11000 NOCE</v>
          </cell>
          <cell r="C2104"/>
          <cell r="D2104">
            <v>0</v>
          </cell>
          <cell r="E2104">
            <v>293.2</v>
          </cell>
          <cell r="F2104"/>
          <cell r="G2104">
            <v>119</v>
          </cell>
        </row>
        <row r="2105">
          <cell r="B2105" t="str">
            <v>AW42RM3500R11000 NOCE</v>
          </cell>
          <cell r="C2105"/>
          <cell r="D2105">
            <v>0</v>
          </cell>
          <cell r="E2105">
            <v>293.2</v>
          </cell>
          <cell r="F2105"/>
          <cell r="G2105">
            <v>119</v>
          </cell>
        </row>
        <row r="2106">
          <cell r="B2106" t="str">
            <v>AW42RM3501R11000 NOCE</v>
          </cell>
          <cell r="C2106"/>
          <cell r="D2106">
            <v>0</v>
          </cell>
          <cell r="E2106">
            <v>293.2</v>
          </cell>
          <cell r="F2106"/>
          <cell r="G2106">
            <v>119</v>
          </cell>
        </row>
        <row r="2107">
          <cell r="B2107" t="str">
            <v>AW60P44012R11000 NOCE</v>
          </cell>
          <cell r="C2107"/>
          <cell r="D2107">
            <v>0</v>
          </cell>
          <cell r="E2107">
            <v>177.9</v>
          </cell>
          <cell r="F2107"/>
          <cell r="G2107">
            <v>119</v>
          </cell>
        </row>
        <row r="2108">
          <cell r="B2108" t="str">
            <v>AW60JR4500R10000 NOCE</v>
          </cell>
          <cell r="C2108"/>
          <cell r="D2108">
            <v>0</v>
          </cell>
          <cell r="E2108">
            <v>177.9</v>
          </cell>
          <cell r="F2108"/>
          <cell r="G2108">
            <v>119</v>
          </cell>
        </row>
        <row r="2109">
          <cell r="B2109" t="str">
            <v>AW60MP3502R10000 NOCE</v>
          </cell>
          <cell r="C2109"/>
          <cell r="D2109">
            <v>0</v>
          </cell>
          <cell r="E2109">
            <v>250</v>
          </cell>
          <cell r="F2109"/>
          <cell r="G2109">
            <v>132</v>
          </cell>
        </row>
        <row r="2110">
          <cell r="B2110" t="str">
            <v>AW42MP4002R10000 NOCE</v>
          </cell>
          <cell r="C2110"/>
          <cell r="D2110">
            <v>0</v>
          </cell>
          <cell r="E2110">
            <v>293.2</v>
          </cell>
          <cell r="F2110"/>
          <cell r="G2110">
            <v>119</v>
          </cell>
        </row>
        <row r="2111">
          <cell r="B2111" t="str">
            <v>AW42TG3501R10000 NOCE</v>
          </cell>
          <cell r="C2111"/>
          <cell r="D2111">
            <v>0</v>
          </cell>
          <cell r="E2111">
            <v>293.2</v>
          </cell>
          <cell r="F2111"/>
          <cell r="G2111">
            <v>119</v>
          </cell>
        </row>
        <row r="2112">
          <cell r="B2112" t="str">
            <v>AW42TG3501R11000 NOCE</v>
          </cell>
          <cell r="C2112"/>
          <cell r="D2112">
            <v>0</v>
          </cell>
          <cell r="E2112">
            <v>293.2</v>
          </cell>
          <cell r="F2112"/>
          <cell r="G2112">
            <v>119</v>
          </cell>
        </row>
        <row r="2113">
          <cell r="B2113" t="str">
            <v>AW42TG4001R10000 NOCE</v>
          </cell>
          <cell r="C2113"/>
          <cell r="D2113">
            <v>0</v>
          </cell>
          <cell r="E2113">
            <v>293.2</v>
          </cell>
          <cell r="F2113"/>
          <cell r="G2113">
            <v>119</v>
          </cell>
        </row>
        <row r="2114">
          <cell r="B2114" t="str">
            <v>AW42TG4001R11000 NOCE</v>
          </cell>
          <cell r="C2114"/>
          <cell r="D2114">
            <v>0</v>
          </cell>
          <cell r="E2114">
            <v>293.2</v>
          </cell>
          <cell r="F2114"/>
          <cell r="G2114">
            <v>119</v>
          </cell>
        </row>
        <row r="2115">
          <cell r="B2115" t="str">
            <v>AW42MP2500R10000 NOCE</v>
          </cell>
          <cell r="C2115"/>
          <cell r="D2115">
            <v>0</v>
          </cell>
          <cell r="E2115">
            <v>177.9</v>
          </cell>
          <cell r="F2115"/>
          <cell r="G2115">
            <v>119</v>
          </cell>
        </row>
        <row r="2116">
          <cell r="B2116" t="str">
            <v>AW42MP2502R10000 NOCE</v>
          </cell>
          <cell r="C2116"/>
          <cell r="D2116">
            <v>0</v>
          </cell>
          <cell r="E2116">
            <v>177.9</v>
          </cell>
          <cell r="F2116"/>
          <cell r="G2116">
            <v>119</v>
          </cell>
        </row>
        <row r="2117">
          <cell r="B2117" t="str">
            <v>AW42MP3500R10000 NOCE</v>
          </cell>
          <cell r="C2117"/>
          <cell r="D2117">
            <v>0</v>
          </cell>
          <cell r="E2117">
            <v>293.2</v>
          </cell>
          <cell r="F2117"/>
          <cell r="G2117">
            <v>119</v>
          </cell>
        </row>
        <row r="2118">
          <cell r="B2118" t="str">
            <v>AW42MP4000R10000 NOCE</v>
          </cell>
          <cell r="C2118"/>
          <cell r="D2118">
            <v>0</v>
          </cell>
          <cell r="E2118">
            <v>293.2</v>
          </cell>
          <cell r="F2118"/>
          <cell r="G2118">
            <v>119</v>
          </cell>
        </row>
        <row r="2119">
          <cell r="B2119" t="str">
            <v>AW60AR3000R10000 NOCE</v>
          </cell>
          <cell r="C2119"/>
          <cell r="D2119">
            <v>0</v>
          </cell>
          <cell r="E2119">
            <v>177.9</v>
          </cell>
          <cell r="F2119"/>
          <cell r="G2119">
            <v>119</v>
          </cell>
        </row>
        <row r="2120">
          <cell r="B2120" t="str">
            <v>AW52RM3500R11000 NOCE</v>
          </cell>
          <cell r="C2120"/>
          <cell r="D2120">
            <v>0</v>
          </cell>
          <cell r="E2120">
            <v>293.2</v>
          </cell>
          <cell r="F2120"/>
          <cell r="G2120">
            <v>119</v>
          </cell>
        </row>
        <row r="2121">
          <cell r="B2121" t="str">
            <v>AW52RM4000R11000 NOCE</v>
          </cell>
          <cell r="C2121"/>
          <cell r="D2121">
            <v>0</v>
          </cell>
          <cell r="E2121">
            <v>187.2</v>
          </cell>
          <cell r="F2121"/>
          <cell r="G2121">
            <v>132</v>
          </cell>
        </row>
        <row r="2122">
          <cell r="B2122" t="str">
            <v>AW52TG3501R11000 NOCE</v>
          </cell>
          <cell r="C2122"/>
          <cell r="D2122">
            <v>0</v>
          </cell>
          <cell r="E2122">
            <v>177.9</v>
          </cell>
          <cell r="F2122"/>
          <cell r="G2122">
            <v>119</v>
          </cell>
        </row>
        <row r="2123">
          <cell r="B2123" t="str">
            <v>AW42RM3500R10000 NOCE</v>
          </cell>
          <cell r="C2123"/>
          <cell r="D2123">
            <v>0</v>
          </cell>
          <cell r="E2123">
            <v>250</v>
          </cell>
          <cell r="F2123"/>
          <cell r="G2123">
            <v>132</v>
          </cell>
        </row>
        <row r="2124">
          <cell r="B2124" t="str">
            <v>AW42TG3500R10000 NOCE</v>
          </cell>
          <cell r="C2124"/>
          <cell r="D2124">
            <v>0</v>
          </cell>
          <cell r="E2124">
            <v>250</v>
          </cell>
          <cell r="F2124"/>
          <cell r="G2124">
            <v>132</v>
          </cell>
        </row>
        <row r="2125">
          <cell r="B2125" t="str">
            <v>AW42TG4000R10000 NOCE</v>
          </cell>
          <cell r="C2125"/>
          <cell r="D2125">
            <v>0</v>
          </cell>
          <cell r="E2125">
            <v>250</v>
          </cell>
          <cell r="F2125"/>
          <cell r="G2125">
            <v>132</v>
          </cell>
        </row>
        <row r="2126">
          <cell r="B2126" t="str">
            <v>AW42MP3000R10000 NOCE</v>
          </cell>
          <cell r="C2126"/>
          <cell r="D2126">
            <v>0</v>
          </cell>
          <cell r="E2126">
            <v>250</v>
          </cell>
          <cell r="F2126"/>
          <cell r="G2126">
            <v>132</v>
          </cell>
        </row>
        <row r="2127">
          <cell r="B2127" t="str">
            <v>AW42P44008S11000 NOCE</v>
          </cell>
          <cell r="C2127"/>
          <cell r="D2127">
            <v>0</v>
          </cell>
          <cell r="E2127">
            <v>250</v>
          </cell>
          <cell r="F2127"/>
          <cell r="G2127">
            <v>132</v>
          </cell>
        </row>
        <row r="2128">
          <cell r="B2128" t="str">
            <v>AW42JR3500R10000 NOCE</v>
          </cell>
          <cell r="C2128"/>
          <cell r="D2128">
            <v>0</v>
          </cell>
          <cell r="E2128">
            <v>177.9</v>
          </cell>
          <cell r="F2128"/>
          <cell r="G2128">
            <v>119</v>
          </cell>
        </row>
        <row r="2129">
          <cell r="B2129" t="str">
            <v>AW42JR4500R10000 NOCE</v>
          </cell>
          <cell r="C2129"/>
          <cell r="D2129">
            <v>0</v>
          </cell>
          <cell r="E2129">
            <v>293.2</v>
          </cell>
          <cell r="F2129"/>
          <cell r="G2129">
            <v>119</v>
          </cell>
        </row>
        <row r="2130">
          <cell r="B2130" t="str">
            <v>AW42JR5000R10000 NOCE</v>
          </cell>
          <cell r="C2130"/>
          <cell r="D2130">
            <v>0</v>
          </cell>
          <cell r="E2130">
            <v>293.2</v>
          </cell>
          <cell r="F2130"/>
          <cell r="G2130">
            <v>119</v>
          </cell>
        </row>
        <row r="2131">
          <cell r="B2131" t="str">
            <v>A4170-400 TEST SAMPLE CAG</v>
          </cell>
          <cell r="C2131"/>
          <cell r="D2131">
            <v>0</v>
          </cell>
          <cell r="E2131">
            <v>176</v>
          </cell>
          <cell r="F2131"/>
          <cell r="G2131">
            <v>140</v>
          </cell>
        </row>
        <row r="2132">
          <cell r="B2132" t="str">
            <v>A4170-200 TEST SAMPLE CAG</v>
          </cell>
          <cell r="C2132"/>
          <cell r="D2132">
            <v>0</v>
          </cell>
          <cell r="E2132">
            <v>176</v>
          </cell>
          <cell r="F2132"/>
          <cell r="G2132">
            <v>140</v>
          </cell>
        </row>
        <row r="2133">
          <cell r="B2133" t="str">
            <v>A4170-100 TEST SAMPLE CAG</v>
          </cell>
          <cell r="C2133"/>
          <cell r="D2133">
            <v>0</v>
          </cell>
          <cell r="E2133">
            <v>176</v>
          </cell>
          <cell r="F2133"/>
          <cell r="G2133">
            <v>140</v>
          </cell>
        </row>
        <row r="2134">
          <cell r="B2134" t="str">
            <v>AW42RM4000R10000 NOCE</v>
          </cell>
          <cell r="C2134"/>
          <cell r="D2134">
            <v>0</v>
          </cell>
          <cell r="E2134">
            <v>250</v>
          </cell>
          <cell r="F2134"/>
          <cell r="G2134">
            <v>115.9</v>
          </cell>
        </row>
        <row r="2135">
          <cell r="B2135" t="str">
            <v>AW52RM3501R10000 NOCE</v>
          </cell>
          <cell r="C2135"/>
          <cell r="D2135">
            <v>0</v>
          </cell>
          <cell r="E2135">
            <v>250</v>
          </cell>
          <cell r="F2135"/>
          <cell r="G2135">
            <v>126.3</v>
          </cell>
        </row>
        <row r="2136">
          <cell r="B2136" t="str">
            <v>AW52RM4001R11000 NOCE</v>
          </cell>
          <cell r="C2136"/>
          <cell r="D2136">
            <v>0</v>
          </cell>
          <cell r="E2136">
            <v>177.9</v>
          </cell>
          <cell r="F2136"/>
          <cell r="G2136">
            <v>119</v>
          </cell>
        </row>
        <row r="2137">
          <cell r="B2137" t="str">
            <v>AW52RM4001R10000 NOCE</v>
          </cell>
          <cell r="C2137"/>
          <cell r="D2137">
            <v>0</v>
          </cell>
          <cell r="E2137">
            <v>250</v>
          </cell>
          <cell r="F2137"/>
          <cell r="G2137">
            <v>119</v>
          </cell>
        </row>
        <row r="2138">
          <cell r="B2138" t="str">
            <v>AW42TG3500R11000 NOCE</v>
          </cell>
          <cell r="C2138"/>
          <cell r="D2138">
            <v>0</v>
          </cell>
          <cell r="E2138">
            <v>293.2</v>
          </cell>
          <cell r="F2138"/>
          <cell r="G2138">
            <v>119</v>
          </cell>
        </row>
        <row r="2139">
          <cell r="B2139" t="str">
            <v>AW42RM4001R11000 NOCE</v>
          </cell>
          <cell r="C2139"/>
          <cell r="D2139">
            <v>0</v>
          </cell>
          <cell r="E2139">
            <v>293.2</v>
          </cell>
          <cell r="F2139"/>
          <cell r="G2139">
            <v>119</v>
          </cell>
        </row>
        <row r="2140">
          <cell r="B2140" t="str">
            <v>AW52TG3501R10000 NOCE</v>
          </cell>
          <cell r="C2140"/>
          <cell r="D2140">
            <v>0</v>
          </cell>
          <cell r="E2140">
            <v>177.9</v>
          </cell>
          <cell r="F2140"/>
          <cell r="G2140">
            <v>119</v>
          </cell>
        </row>
        <row r="2141">
          <cell r="B2141" t="str">
            <v>AW52TG4001R10000 NOCE</v>
          </cell>
          <cell r="C2141"/>
          <cell r="D2141">
            <v>0</v>
          </cell>
          <cell r="E2141">
            <v>293.2</v>
          </cell>
          <cell r="F2141"/>
          <cell r="G2141">
            <v>119</v>
          </cell>
        </row>
        <row r="2142">
          <cell r="B2142" t="str">
            <v>AW60RM4001R11000 NOCE</v>
          </cell>
          <cell r="C2142"/>
          <cell r="D2142">
            <v>0</v>
          </cell>
          <cell r="E2142">
            <v>250</v>
          </cell>
          <cell r="F2142"/>
          <cell r="G2142">
            <v>119</v>
          </cell>
        </row>
        <row r="2143">
          <cell r="B2143" t="str">
            <v>AW60RM4001R10000 NOCE</v>
          </cell>
          <cell r="C2143"/>
          <cell r="D2143">
            <v>0</v>
          </cell>
          <cell r="E2143">
            <v>177.9</v>
          </cell>
          <cell r="F2143"/>
          <cell r="G2143">
            <v>119</v>
          </cell>
        </row>
        <row r="2144">
          <cell r="B2144" t="str">
            <v>AW60TG4001R11000 NOCE</v>
          </cell>
          <cell r="C2144"/>
          <cell r="D2144">
            <v>0</v>
          </cell>
          <cell r="E2144">
            <v>293.2</v>
          </cell>
          <cell r="F2144"/>
          <cell r="G2144">
            <v>119</v>
          </cell>
        </row>
        <row r="2145">
          <cell r="B2145" t="str">
            <v>AW60MP4002R10000 NOCE</v>
          </cell>
          <cell r="C2145"/>
          <cell r="D2145">
            <v>0</v>
          </cell>
          <cell r="E2145">
            <v>250</v>
          </cell>
          <cell r="F2145"/>
          <cell r="G2145">
            <v>108.1</v>
          </cell>
        </row>
        <row r="2146">
          <cell r="B2146" t="str">
            <v>AW60RM4000R11000 NOCE</v>
          </cell>
          <cell r="C2146"/>
          <cell r="D2146">
            <v>0</v>
          </cell>
          <cell r="E2146">
            <v>250</v>
          </cell>
          <cell r="F2146"/>
          <cell r="G2146">
            <v>132</v>
          </cell>
        </row>
        <row r="2147">
          <cell r="B2147" t="str">
            <v>AW60RM3501R11000 NOCE</v>
          </cell>
          <cell r="C2147"/>
          <cell r="D2147">
            <v>0</v>
          </cell>
          <cell r="E2147">
            <v>250</v>
          </cell>
          <cell r="F2147"/>
          <cell r="G2147">
            <v>119</v>
          </cell>
        </row>
        <row r="2148">
          <cell r="B2148" t="str">
            <v>AW42PS4008S11000 NOCE</v>
          </cell>
          <cell r="C2148"/>
          <cell r="D2148">
            <v>22</v>
          </cell>
          <cell r="E2148">
            <v>250</v>
          </cell>
          <cell r="F2148"/>
          <cell r="G2148">
            <v>132</v>
          </cell>
        </row>
        <row r="2149">
          <cell r="B2149" t="str">
            <v>AW42P44012R11000 NOCE</v>
          </cell>
          <cell r="C2149"/>
          <cell r="D2149">
            <v>22</v>
          </cell>
          <cell r="E2149">
            <v>250</v>
          </cell>
          <cell r="F2149"/>
          <cell r="G2149">
            <v>132</v>
          </cell>
        </row>
        <row r="2150">
          <cell r="B2150" t="str">
            <v>AW42JL4000R10000 NOCE</v>
          </cell>
          <cell r="C2150"/>
          <cell r="D2150">
            <v>22</v>
          </cell>
          <cell r="E2150">
            <v>250</v>
          </cell>
          <cell r="F2150"/>
          <cell r="G2150">
            <v>132</v>
          </cell>
        </row>
        <row r="2151">
          <cell r="B2151" t="str">
            <v>AW60PS4012R11000 NOCE</v>
          </cell>
          <cell r="C2151"/>
          <cell r="D2151">
            <v>22</v>
          </cell>
          <cell r="E2151">
            <v>177.9</v>
          </cell>
          <cell r="F2151"/>
          <cell r="G2151">
            <v>119</v>
          </cell>
        </row>
        <row r="2152">
          <cell r="B2152" t="str">
            <v>AW60P54012R11000 NOCE</v>
          </cell>
          <cell r="C2152"/>
          <cell r="D2152">
            <v>22</v>
          </cell>
          <cell r="E2152">
            <v>250</v>
          </cell>
          <cell r="F2152"/>
          <cell r="G2152">
            <v>132</v>
          </cell>
        </row>
        <row r="2153">
          <cell r="B2153" t="str">
            <v>AW60JL4000R10000 NOCE</v>
          </cell>
          <cell r="C2153"/>
          <cell r="D2153">
            <v>22</v>
          </cell>
          <cell r="E2153">
            <v>250</v>
          </cell>
          <cell r="F2153"/>
          <cell r="G2153">
            <v>132</v>
          </cell>
        </row>
        <row r="2154">
          <cell r="B2154" t="str">
            <v>AW52PS4012R11000 NOCE</v>
          </cell>
          <cell r="C2154"/>
          <cell r="D2154">
            <v>22</v>
          </cell>
          <cell r="E2154">
            <v>250</v>
          </cell>
          <cell r="F2154"/>
          <cell r="G2154">
            <v>132</v>
          </cell>
        </row>
        <row r="2155">
          <cell r="B2155" t="str">
            <v>AW52P54012R11000 NOCE</v>
          </cell>
          <cell r="C2155"/>
          <cell r="D2155">
            <v>22</v>
          </cell>
          <cell r="E2155">
            <v>250</v>
          </cell>
          <cell r="F2155"/>
          <cell r="G2155">
            <v>132</v>
          </cell>
        </row>
        <row r="2156">
          <cell r="B2156" t="str">
            <v>AW52JL4000R10000 NOCE</v>
          </cell>
          <cell r="C2156"/>
          <cell r="D2156">
            <v>22</v>
          </cell>
          <cell r="E2156">
            <v>250</v>
          </cell>
          <cell r="F2156"/>
          <cell r="G2156">
            <v>132</v>
          </cell>
        </row>
        <row r="2157">
          <cell r="B2157" t="str">
            <v>AW42PS4012R11000 NOCE</v>
          </cell>
          <cell r="C2157"/>
          <cell r="D2157">
            <v>22</v>
          </cell>
          <cell r="E2157">
            <v>250</v>
          </cell>
          <cell r="F2157"/>
          <cell r="G2157">
            <v>132</v>
          </cell>
        </row>
        <row r="2158">
          <cell r="B2158" t="str">
            <v>AW42RM3501R10000 NOCE</v>
          </cell>
          <cell r="C2158"/>
          <cell r="D2158">
            <v>0</v>
          </cell>
          <cell r="E2158">
            <v>250</v>
          </cell>
          <cell r="F2158"/>
          <cell r="G2158">
            <v>119</v>
          </cell>
        </row>
        <row r="2159">
          <cell r="B2159" t="str">
            <v>AW42RM4001R10000 NOCE</v>
          </cell>
          <cell r="C2159"/>
          <cell r="D2159">
            <v>0</v>
          </cell>
          <cell r="E2159">
            <v>250</v>
          </cell>
          <cell r="F2159"/>
          <cell r="G2159">
            <v>119</v>
          </cell>
        </row>
        <row r="2160">
          <cell r="B2160" t="str">
            <v>AW42RM4000R11000 NOCE</v>
          </cell>
          <cell r="C2160"/>
          <cell r="D2160">
            <v>0</v>
          </cell>
          <cell r="E2160">
            <v>250</v>
          </cell>
          <cell r="F2160"/>
          <cell r="G2160">
            <v>119</v>
          </cell>
        </row>
        <row r="2161">
          <cell r="B2161" t="str">
            <v>AW52MP3000R10000 NOCE</v>
          </cell>
          <cell r="C2161"/>
          <cell r="D2161">
            <v>0</v>
          </cell>
          <cell r="E2161">
            <v>177.9</v>
          </cell>
          <cell r="F2161"/>
          <cell r="G2161">
            <v>119</v>
          </cell>
        </row>
        <row r="2162">
          <cell r="B2162" t="str">
            <v>AW42AL1000R10000 NOCE</v>
          </cell>
          <cell r="C2162"/>
          <cell r="D2162">
            <v>0</v>
          </cell>
          <cell r="E2162">
            <v>250</v>
          </cell>
          <cell r="F2162"/>
          <cell r="G2162">
            <v>132</v>
          </cell>
        </row>
        <row r="2163">
          <cell r="B2163" t="str">
            <v>AW42AR1000R10000 NOCE</v>
          </cell>
          <cell r="C2163"/>
          <cell r="D2163">
            <v>0</v>
          </cell>
          <cell r="E2163">
            <v>250</v>
          </cell>
          <cell r="F2163"/>
          <cell r="G2163">
            <v>132</v>
          </cell>
        </row>
        <row r="2164">
          <cell r="B2164" t="str">
            <v>AW42AR2000R10000 NOCE</v>
          </cell>
          <cell r="C2164"/>
          <cell r="D2164">
            <v>0</v>
          </cell>
          <cell r="E2164">
            <v>250</v>
          </cell>
          <cell r="F2164"/>
          <cell r="G2164">
            <v>132</v>
          </cell>
        </row>
        <row r="2165">
          <cell r="B2165" t="str">
            <v>AW42IM0000R10000 NOCE</v>
          </cell>
          <cell r="C2165"/>
          <cell r="D2165">
            <v>0</v>
          </cell>
          <cell r="E2165">
            <v>293.2</v>
          </cell>
          <cell r="F2165"/>
          <cell r="G2165">
            <v>119</v>
          </cell>
        </row>
        <row r="2166">
          <cell r="B2166" t="str">
            <v>AW42JL3500R10000 NOCE</v>
          </cell>
          <cell r="C2166"/>
          <cell r="D2166">
            <v>0</v>
          </cell>
          <cell r="E2166">
            <v>293.2</v>
          </cell>
          <cell r="F2166"/>
          <cell r="G2166">
            <v>119</v>
          </cell>
        </row>
        <row r="2167">
          <cell r="B2167" t="str">
            <v>AW42JL4500R10000 NOCE</v>
          </cell>
          <cell r="C2167"/>
          <cell r="D2167">
            <v>0</v>
          </cell>
          <cell r="E2167">
            <v>293.2</v>
          </cell>
          <cell r="F2167"/>
          <cell r="G2167">
            <v>119</v>
          </cell>
        </row>
        <row r="2168">
          <cell r="B2168" t="str">
            <v>AW42TG4000R11000 NOCE</v>
          </cell>
          <cell r="C2168"/>
          <cell r="D2168">
            <v>0</v>
          </cell>
          <cell r="E2168">
            <v>250</v>
          </cell>
          <cell r="F2168"/>
          <cell r="G2168">
            <v>119</v>
          </cell>
        </row>
        <row r="2169">
          <cell r="B2169" t="str">
            <v>AW60RM3500R11000 NOCE</v>
          </cell>
          <cell r="C2169"/>
          <cell r="D2169">
            <v>0</v>
          </cell>
          <cell r="E2169">
            <v>177.9</v>
          </cell>
          <cell r="F2169"/>
          <cell r="G2169">
            <v>119</v>
          </cell>
        </row>
        <row r="2170">
          <cell r="B2170" t="str">
            <v>AW52MP3502R10000 NOCE</v>
          </cell>
          <cell r="C2170"/>
          <cell r="D2170">
            <v>0</v>
          </cell>
          <cell r="E2170">
            <v>177.9</v>
          </cell>
          <cell r="F2170"/>
          <cell r="G2170">
            <v>119</v>
          </cell>
        </row>
        <row r="2171">
          <cell r="B2171" t="str">
            <v>AW52MP3002R10000 NOCE</v>
          </cell>
          <cell r="C2171"/>
          <cell r="D2171">
            <v>0</v>
          </cell>
          <cell r="E2171">
            <v>250</v>
          </cell>
          <cell r="F2171"/>
          <cell r="G2171">
            <v>119</v>
          </cell>
        </row>
        <row r="2172">
          <cell r="B2172" t="str">
            <v>AW42AR3000R10000 NOCE</v>
          </cell>
          <cell r="C2172"/>
          <cell r="D2172">
            <v>0</v>
          </cell>
          <cell r="E2172">
            <v>250</v>
          </cell>
          <cell r="F2172"/>
          <cell r="G2172">
            <v>119</v>
          </cell>
        </row>
        <row r="2173">
          <cell r="B2173" t="str">
            <v>AW42AL3000R10000 NOCE</v>
          </cell>
          <cell r="C2173"/>
          <cell r="D2173">
            <v>0</v>
          </cell>
          <cell r="E2173">
            <v>250</v>
          </cell>
          <cell r="F2173"/>
          <cell r="G2173">
            <v>119</v>
          </cell>
        </row>
        <row r="2174">
          <cell r="B2174" t="str">
            <v>AW42MP3502R10000 NOCE</v>
          </cell>
          <cell r="C2174"/>
          <cell r="D2174">
            <v>0</v>
          </cell>
          <cell r="E2174">
            <v>250</v>
          </cell>
          <cell r="F2174"/>
          <cell r="G2174">
            <v>119</v>
          </cell>
        </row>
        <row r="2175">
          <cell r="B2175" t="str">
            <v>AW42MP3002R10000 NOCE</v>
          </cell>
          <cell r="C2175"/>
          <cell r="D2175">
            <v>0</v>
          </cell>
          <cell r="E2175">
            <v>250</v>
          </cell>
          <cell r="F2175"/>
          <cell r="G2175">
            <v>119</v>
          </cell>
        </row>
        <row r="2176">
          <cell r="B2176" t="str">
            <v>AW52P44012R11000</v>
          </cell>
          <cell r="C2176"/>
          <cell r="D2176">
            <v>0</v>
          </cell>
          <cell r="E2176">
            <v>168.3</v>
          </cell>
          <cell r="F2176"/>
          <cell r="G2176">
            <v>222</v>
          </cell>
        </row>
        <row r="2177">
          <cell r="B2177" t="str">
            <v>AW60JL4000R10000</v>
          </cell>
          <cell r="C2177"/>
          <cell r="D2177">
            <v>0</v>
          </cell>
          <cell r="E2177">
            <v>168.3</v>
          </cell>
          <cell r="F2177"/>
          <cell r="G2177">
            <v>222</v>
          </cell>
        </row>
        <row r="2178">
          <cell r="B2178" t="str">
            <v>AW60P44012R11000</v>
          </cell>
          <cell r="C2178"/>
          <cell r="D2178">
            <v>0</v>
          </cell>
          <cell r="E2178">
            <v>167.6</v>
          </cell>
          <cell r="F2178"/>
          <cell r="G2178">
            <v>222</v>
          </cell>
        </row>
        <row r="2179">
          <cell r="B2179" t="str">
            <v>AW52JL4000R10000</v>
          </cell>
          <cell r="C2179"/>
          <cell r="D2179">
            <v>0</v>
          </cell>
          <cell r="E2179">
            <v>168.3</v>
          </cell>
          <cell r="F2179"/>
          <cell r="G2179">
            <v>222</v>
          </cell>
        </row>
        <row r="2180">
          <cell r="B2180" t="str">
            <v>AW42P44012R11000</v>
          </cell>
          <cell r="C2180"/>
          <cell r="D2180">
            <v>0</v>
          </cell>
          <cell r="E2180">
            <v>167.6</v>
          </cell>
          <cell r="F2180"/>
          <cell r="G2180">
            <v>222</v>
          </cell>
        </row>
        <row r="2181">
          <cell r="B2181" t="str">
            <v>AW42JR4000R10000</v>
          </cell>
          <cell r="C2181"/>
          <cell r="D2181">
            <v>0</v>
          </cell>
          <cell r="E2181">
            <v>167.6</v>
          </cell>
          <cell r="F2181"/>
          <cell r="G2181">
            <v>222</v>
          </cell>
        </row>
        <row r="2182">
          <cell r="B2182" t="str">
            <v>AW42JL4000R10000</v>
          </cell>
          <cell r="C2182"/>
          <cell r="D2182">
            <v>0</v>
          </cell>
          <cell r="E2182">
            <v>167.6</v>
          </cell>
          <cell r="F2182"/>
          <cell r="G2182">
            <v>222</v>
          </cell>
        </row>
        <row r="2183">
          <cell r="B2183" t="str">
            <v>AW52JR4000R10000</v>
          </cell>
          <cell r="C2183"/>
          <cell r="D2183">
            <v>0</v>
          </cell>
          <cell r="E2183">
            <v>167.6</v>
          </cell>
          <cell r="F2183"/>
          <cell r="G2183">
            <v>222</v>
          </cell>
        </row>
        <row r="2184">
          <cell r="B2184" t="str">
            <v>MS3552M22-PIG110D</v>
          </cell>
          <cell r="C2184"/>
          <cell r="D2184">
            <v>0</v>
          </cell>
          <cell r="E2184">
            <v>234</v>
          </cell>
          <cell r="F2184"/>
          <cell r="G2184">
            <v>252</v>
          </cell>
        </row>
        <row r="2185">
          <cell r="B2185" t="str">
            <v>MS3552M22-ANG70A</v>
          </cell>
          <cell r="C2185"/>
          <cell r="D2185">
            <v>0</v>
          </cell>
          <cell r="E2185">
            <v>234</v>
          </cell>
          <cell r="F2185"/>
          <cell r="G2185">
            <v>252</v>
          </cell>
        </row>
        <row r="2186">
          <cell r="B2186" t="str">
            <v>G1126-300 SILVERWAY 35 3J</v>
          </cell>
          <cell r="C2186"/>
          <cell r="D2186">
            <v>0</v>
          </cell>
          <cell r="E2186">
            <v>93</v>
          </cell>
          <cell r="F2186"/>
          <cell r="G2186">
            <v>77</v>
          </cell>
        </row>
        <row r="2187">
          <cell r="B2187" t="str">
            <v>G1126-300 SILVERWAY 25 3J</v>
          </cell>
          <cell r="C2187"/>
          <cell r="D2187">
            <v>0</v>
          </cell>
          <cell r="E2187">
            <v>93</v>
          </cell>
          <cell r="F2187"/>
          <cell r="G2187">
            <v>77</v>
          </cell>
        </row>
        <row r="2188">
          <cell r="B2188" t="str">
            <v>G1126-300 SILVERWAY 35 3J (LINE UP)</v>
          </cell>
          <cell r="C2188"/>
          <cell r="D2188">
            <v>0</v>
          </cell>
          <cell r="E2188">
            <v>92.6</v>
          </cell>
          <cell r="F2188"/>
          <cell r="G2188">
            <v>78</v>
          </cell>
        </row>
        <row r="2189">
          <cell r="B2189" t="str">
            <v>AG143390 F CE2</v>
          </cell>
          <cell r="C2189"/>
          <cell r="D2189">
            <v>21</v>
          </cell>
          <cell r="E2189">
            <v>91.6</v>
          </cell>
          <cell r="F2189">
            <v>20</v>
          </cell>
          <cell r="G2189">
            <v>43</v>
          </cell>
        </row>
        <row r="2190">
          <cell r="B2190" t="str">
            <v>AG14M370 B CE2</v>
          </cell>
          <cell r="C2190"/>
          <cell r="D2190">
            <v>21.9</v>
          </cell>
          <cell r="E2190">
            <v>91.6</v>
          </cell>
          <cell r="F2190">
            <v>32</v>
          </cell>
          <cell r="G2190">
            <v>42.7</v>
          </cell>
        </row>
        <row r="2191">
          <cell r="B2191" t="str">
            <v>AHW14R104S US</v>
          </cell>
          <cell r="C2191"/>
          <cell r="D2191">
            <v>23.5</v>
          </cell>
          <cell r="E2191">
            <v>92.6</v>
          </cell>
          <cell r="F2191">
            <v>22</v>
          </cell>
          <cell r="G2191">
            <v>58.1</v>
          </cell>
        </row>
        <row r="2192">
          <cell r="B2192" t="str">
            <v>AHW14R104J US</v>
          </cell>
          <cell r="C2192"/>
          <cell r="D2192">
            <v>23.5</v>
          </cell>
          <cell r="E2192">
            <v>92.6</v>
          </cell>
          <cell r="F2192">
            <v>22</v>
          </cell>
          <cell r="G2192">
            <v>58.1</v>
          </cell>
        </row>
        <row r="2193">
          <cell r="B2193" t="str">
            <v>AHW14R313P US</v>
          </cell>
          <cell r="C2193"/>
          <cell r="D2193">
            <v>23.5</v>
          </cell>
          <cell r="E2193">
            <v>101</v>
          </cell>
          <cell r="F2193">
            <v>20</v>
          </cell>
          <cell r="G2193">
            <v>60</v>
          </cell>
        </row>
        <row r="2194">
          <cell r="B2194" t="str">
            <v>AH14R104SR JP</v>
          </cell>
          <cell r="C2194"/>
          <cell r="D2194">
            <v>21.9</v>
          </cell>
          <cell r="E2194">
            <v>137.5</v>
          </cell>
          <cell r="F2194">
            <v>20</v>
          </cell>
          <cell r="G2194">
            <v>69.900000000000006</v>
          </cell>
        </row>
        <row r="2195">
          <cell r="B2195" t="str">
            <v>AGH147000R JP</v>
          </cell>
          <cell r="C2195"/>
          <cell r="D2195">
            <v>22</v>
          </cell>
          <cell r="E2195">
            <v>117.9</v>
          </cell>
          <cell r="F2195">
            <v>20</v>
          </cell>
          <cell r="G2195">
            <v>70</v>
          </cell>
        </row>
        <row r="2196">
          <cell r="B2196" t="str">
            <v>HJ80AL152P10000 JP</v>
          </cell>
          <cell r="C2196"/>
          <cell r="D2196">
            <v>56</v>
          </cell>
          <cell r="E2196">
            <v>234</v>
          </cell>
          <cell r="F2196">
            <v>22</v>
          </cell>
          <cell r="G2196">
            <v>289</v>
          </cell>
        </row>
        <row r="2197">
          <cell r="B2197" t="str">
            <v>HJ80AL202P10000 JP</v>
          </cell>
          <cell r="C2197"/>
          <cell r="D2197">
            <v>56</v>
          </cell>
          <cell r="E2197">
            <v>234</v>
          </cell>
          <cell r="F2197">
            <v>22</v>
          </cell>
          <cell r="G2197">
            <v>289.2</v>
          </cell>
        </row>
        <row r="2198">
          <cell r="B2198" t="str">
            <v>CSR135-26PR JP</v>
          </cell>
          <cell r="C2198"/>
          <cell r="D2198">
            <v>54</v>
          </cell>
          <cell r="E2198">
            <v>135</v>
          </cell>
          <cell r="F2198">
            <v>20</v>
          </cell>
          <cell r="G2198">
            <v>172</v>
          </cell>
        </row>
        <row r="2199">
          <cell r="B2199" t="str">
            <v>CSR150-26PR JP</v>
          </cell>
          <cell r="C2199"/>
          <cell r="D2199">
            <v>54</v>
          </cell>
          <cell r="E2199">
            <v>135</v>
          </cell>
          <cell r="F2199">
            <v>20</v>
          </cell>
          <cell r="G2199">
            <v>172</v>
          </cell>
        </row>
        <row r="2200">
          <cell r="B2200" t="str">
            <v>AHW14S003S CN</v>
          </cell>
          <cell r="C2200"/>
          <cell r="D2200">
            <v>42.4</v>
          </cell>
          <cell r="E2200">
            <v>92.6</v>
          </cell>
          <cell r="F2200">
            <v>32</v>
          </cell>
          <cell r="G2200">
            <v>58</v>
          </cell>
        </row>
        <row r="2201">
          <cell r="B2201" t="str">
            <v>AHW14R301S KR</v>
          </cell>
          <cell r="C2201"/>
          <cell r="D2201">
            <v>27.6</v>
          </cell>
          <cell r="E2201">
            <v>102.2</v>
          </cell>
          <cell r="F2201">
            <v>20</v>
          </cell>
          <cell r="G2201">
            <v>45.7</v>
          </cell>
        </row>
        <row r="2202">
          <cell r="B2202" t="str">
            <v>WAIN-CKI-200-BS US2</v>
          </cell>
          <cell r="C2202"/>
          <cell r="D2202">
            <v>44.4</v>
          </cell>
          <cell r="E2202">
            <v>201.4</v>
          </cell>
          <cell r="F2202">
            <v>32</v>
          </cell>
          <cell r="G2202">
            <v>138</v>
          </cell>
        </row>
        <row r="2203">
          <cell r="B2203" t="str">
            <v>WAIN-CK-200-BA US2</v>
          </cell>
          <cell r="C2203"/>
          <cell r="D2203">
            <v>44.4</v>
          </cell>
          <cell r="E2203">
            <v>201.4</v>
          </cell>
          <cell r="F2203">
            <v>20</v>
          </cell>
          <cell r="G2203">
            <v>138</v>
          </cell>
        </row>
        <row r="2204">
          <cell r="B2204" t="str">
            <v>WAIN-CKI-18-200-BS US2</v>
          </cell>
          <cell r="C2204"/>
          <cell r="D2204">
            <v>44.4</v>
          </cell>
          <cell r="E2204">
            <v>201.4</v>
          </cell>
          <cell r="F2204">
            <v>20</v>
          </cell>
          <cell r="G2204">
            <v>138</v>
          </cell>
        </row>
        <row r="2205">
          <cell r="B2205" t="str">
            <v>WAIN-CKI-300-RC US2</v>
          </cell>
          <cell r="C2205"/>
          <cell r="D2205">
            <v>72</v>
          </cell>
          <cell r="E2205">
            <v>162.4</v>
          </cell>
          <cell r="F2205">
            <v>20</v>
          </cell>
          <cell r="G2205">
            <v>174</v>
          </cell>
        </row>
        <row r="2206">
          <cell r="B2206" t="str">
            <v>WAIN-CK-300 US2</v>
          </cell>
          <cell r="C2206"/>
          <cell r="D2206">
            <v>44.4</v>
          </cell>
          <cell r="E2206">
            <v>162.4</v>
          </cell>
          <cell r="F2206">
            <v>20</v>
          </cell>
          <cell r="G2206">
            <v>140.9</v>
          </cell>
        </row>
        <row r="2207">
          <cell r="B2207" t="str">
            <v>WAIN-CKI-200-RC US2</v>
          </cell>
          <cell r="C2207"/>
          <cell r="D2207">
            <v>44.4</v>
          </cell>
          <cell r="E2207">
            <v>162.4</v>
          </cell>
          <cell r="F2207">
            <v>32</v>
          </cell>
          <cell r="G2207">
            <v>140.9</v>
          </cell>
        </row>
        <row r="2208">
          <cell r="B2208" t="str">
            <v>WAIN-CKI-200 US2</v>
          </cell>
          <cell r="C2208"/>
          <cell r="D2208">
            <v>44.4</v>
          </cell>
          <cell r="E2208">
            <v>162.4</v>
          </cell>
          <cell r="F2208">
            <v>32</v>
          </cell>
          <cell r="G2208">
            <v>140.9</v>
          </cell>
        </row>
        <row r="2209">
          <cell r="B2209" t="str">
            <v>WAIN-CKI-10-300 US2</v>
          </cell>
          <cell r="C2209"/>
          <cell r="D2209">
            <v>44.4</v>
          </cell>
          <cell r="E2209">
            <v>162.4</v>
          </cell>
          <cell r="F2209">
            <v>20</v>
          </cell>
          <cell r="G2209">
            <v>140.9</v>
          </cell>
        </row>
        <row r="2210">
          <cell r="B2210" t="str">
            <v>WAIN-CKI-10-200 US2</v>
          </cell>
          <cell r="C2210"/>
          <cell r="D2210">
            <v>44.4</v>
          </cell>
          <cell r="E2210">
            <v>162.4</v>
          </cell>
          <cell r="F2210">
            <v>20</v>
          </cell>
          <cell r="G2210">
            <v>140.9</v>
          </cell>
        </row>
        <row r="2211">
          <cell r="B2211" t="str">
            <v>WAIN-CKI-008-200 US2</v>
          </cell>
          <cell r="C2211"/>
          <cell r="D2211">
            <v>44.4</v>
          </cell>
          <cell r="E2211">
            <v>162.4</v>
          </cell>
          <cell r="F2211">
            <v>32</v>
          </cell>
          <cell r="G2211">
            <v>138</v>
          </cell>
        </row>
        <row r="2212">
          <cell r="B2212" t="str">
            <v>AIN-CKX-14-200-SFT US</v>
          </cell>
          <cell r="C2212"/>
          <cell r="D2212">
            <v>44</v>
          </cell>
          <cell r="E2212">
            <v>117.9</v>
          </cell>
          <cell r="F2212">
            <v>20</v>
          </cell>
          <cell r="G2212">
            <v>146</v>
          </cell>
        </row>
        <row r="2213">
          <cell r="B2213" t="str">
            <v>AIN-CKX-10-200-R US</v>
          </cell>
          <cell r="C2213"/>
          <cell r="D2213">
            <v>44</v>
          </cell>
          <cell r="E2213">
            <v>162.4</v>
          </cell>
          <cell r="F2213">
            <v>32</v>
          </cell>
          <cell r="G2213">
            <v>146</v>
          </cell>
        </row>
        <row r="2214">
          <cell r="B2214" t="str">
            <v>AIN-CKI-18-200-SFT US</v>
          </cell>
          <cell r="C2214"/>
          <cell r="D2214">
            <v>44.4</v>
          </cell>
          <cell r="E2214">
            <v>201.4</v>
          </cell>
          <cell r="F2214">
            <v>32</v>
          </cell>
          <cell r="G2214">
            <v>138</v>
          </cell>
        </row>
        <row r="2215">
          <cell r="B2215" t="str">
            <v xml:space="preserve">PSC14150S US </v>
          </cell>
          <cell r="C2215"/>
          <cell r="D2215">
            <v>132</v>
          </cell>
          <cell r="E2215">
            <v>158</v>
          </cell>
          <cell r="F2215">
            <v>154</v>
          </cell>
          <cell r="G2215">
            <v>184</v>
          </cell>
        </row>
        <row r="2216">
          <cell r="B2216" t="str">
            <v>PSC14150A US</v>
          </cell>
          <cell r="C2216"/>
          <cell r="D2216">
            <v>132</v>
          </cell>
          <cell r="E2216">
            <v>158</v>
          </cell>
          <cell r="F2216">
            <v>154</v>
          </cell>
          <cell r="G2216">
            <v>184</v>
          </cell>
        </row>
        <row r="2217">
          <cell r="B2217" t="str">
            <v>PSC18135S US</v>
          </cell>
          <cell r="C2217"/>
          <cell r="D2217">
            <v>132</v>
          </cell>
          <cell r="E2217">
            <v>158</v>
          </cell>
          <cell r="F2217">
            <v>154</v>
          </cell>
          <cell r="G2217">
            <v>184</v>
          </cell>
        </row>
        <row r="2218">
          <cell r="B2218" t="str">
            <v>PSC18150S US</v>
          </cell>
          <cell r="C2218"/>
          <cell r="D2218">
            <v>132</v>
          </cell>
          <cell r="E2218">
            <v>158</v>
          </cell>
          <cell r="F2218">
            <v>154</v>
          </cell>
          <cell r="G2218">
            <v>184</v>
          </cell>
        </row>
        <row r="2219">
          <cell r="B2219" t="str">
            <v xml:space="preserve">PSC18135A US  </v>
          </cell>
          <cell r="C2219"/>
          <cell r="D2219">
            <v>132</v>
          </cell>
          <cell r="E2219">
            <v>158</v>
          </cell>
          <cell r="F2219">
            <v>154</v>
          </cell>
          <cell r="G2219">
            <v>184</v>
          </cell>
        </row>
        <row r="2220">
          <cell r="B2220" t="str">
            <v>MASTERS HF Y CONNECTOR SET</v>
          </cell>
          <cell r="C2220"/>
          <cell r="D2220">
            <v>21</v>
          </cell>
          <cell r="E2220">
            <v>60</v>
          </cell>
          <cell r="F2220">
            <v>20</v>
          </cell>
          <cell r="G2220">
            <v>40</v>
          </cell>
        </row>
        <row r="2221">
          <cell r="B2221" t="str">
            <v>MST125-27HFR JP</v>
          </cell>
          <cell r="C2221"/>
          <cell r="D2221">
            <v>54</v>
          </cell>
          <cell r="E2221">
            <v>185</v>
          </cell>
          <cell r="F2221">
            <v>40</v>
          </cell>
          <cell r="G2221">
            <v>134</v>
          </cell>
        </row>
        <row r="2222">
          <cell r="B2222" t="str">
            <v>WAIN-CKI-200 CN</v>
          </cell>
          <cell r="C2222"/>
          <cell r="D2222">
            <v>54.7</v>
          </cell>
          <cell r="E2222">
            <v>162.4</v>
          </cell>
          <cell r="F2222">
            <v>20</v>
          </cell>
          <cell r="G2222">
            <v>148</v>
          </cell>
        </row>
        <row r="2223">
          <cell r="B2223" t="str">
            <v>WAIN-CKI-300 CN</v>
          </cell>
          <cell r="C2223"/>
          <cell r="D2223">
            <v>54.7</v>
          </cell>
          <cell r="E2223">
            <v>162.4</v>
          </cell>
          <cell r="F2223">
            <v>20</v>
          </cell>
          <cell r="G2223">
            <v>148</v>
          </cell>
        </row>
        <row r="2224">
          <cell r="B2224" t="str">
            <v>WAIN-CKI-10-200 CN</v>
          </cell>
          <cell r="C2224"/>
          <cell r="D2224">
            <v>54.7</v>
          </cell>
          <cell r="E2224">
            <v>162.4</v>
          </cell>
          <cell r="F2224">
            <v>20</v>
          </cell>
          <cell r="G2224">
            <v>148</v>
          </cell>
        </row>
        <row r="2225">
          <cell r="B2225" t="str">
            <v>WAIN-CKI-10-300 CN</v>
          </cell>
          <cell r="C2225"/>
          <cell r="D2225">
            <v>54.7</v>
          </cell>
          <cell r="E2225">
            <v>162.4</v>
          </cell>
          <cell r="F2225">
            <v>32</v>
          </cell>
          <cell r="G2225">
            <v>148</v>
          </cell>
        </row>
        <row r="2226">
          <cell r="B2226" t="str">
            <v>WAIN-CKI-10-300 KR</v>
          </cell>
          <cell r="C2226"/>
          <cell r="D2226">
            <v>45.3</v>
          </cell>
          <cell r="E2226">
            <v>162.4</v>
          </cell>
          <cell r="F2226">
            <v>20</v>
          </cell>
          <cell r="G2226">
            <v>151.9</v>
          </cell>
        </row>
        <row r="2227">
          <cell r="B2227" t="str">
            <v>MTA0025N45S</v>
          </cell>
          <cell r="C2227"/>
          <cell r="D2227">
            <v>44</v>
          </cell>
          <cell r="E2227">
            <v>206</v>
          </cell>
          <cell r="F2227">
            <v>20</v>
          </cell>
          <cell r="G2227">
            <v>172</v>
          </cell>
        </row>
        <row r="2228">
          <cell r="B2228" t="str">
            <v>MTS0025N45S</v>
          </cell>
          <cell r="C2228"/>
          <cell r="D2228">
            <v>44</v>
          </cell>
          <cell r="E2228">
            <v>206</v>
          </cell>
          <cell r="F2228">
            <v>20</v>
          </cell>
          <cell r="G2228">
            <v>172</v>
          </cell>
        </row>
        <row r="2229">
          <cell r="B2229" t="str">
            <v>MTF0025N45S</v>
          </cell>
          <cell r="C2229"/>
          <cell r="D2229">
            <v>44</v>
          </cell>
          <cell r="E2229">
            <v>206</v>
          </cell>
          <cell r="F2229">
            <v>20</v>
          </cell>
          <cell r="G2229">
            <v>172</v>
          </cell>
        </row>
        <row r="2230">
          <cell r="B2230" t="str">
            <v>WCKV180-14C CN</v>
          </cell>
          <cell r="C2230"/>
          <cell r="D2230">
            <v>72</v>
          </cell>
          <cell r="E2230">
            <v>162.4</v>
          </cell>
          <cell r="F2230">
            <v>32</v>
          </cell>
          <cell r="G2230">
            <v>154</v>
          </cell>
        </row>
        <row r="2231">
          <cell r="B2231" t="str">
            <v>STM180-18S CN</v>
          </cell>
          <cell r="C2231"/>
          <cell r="D2231">
            <v>54.7</v>
          </cell>
          <cell r="E2231">
            <v>166.9</v>
          </cell>
          <cell r="F2231">
            <v>20</v>
          </cell>
          <cell r="G2231">
            <v>153.5</v>
          </cell>
        </row>
        <row r="2232">
          <cell r="B2232" t="str">
            <v>STM180-14S CN</v>
          </cell>
          <cell r="C2232"/>
          <cell r="D2232">
            <v>54.7</v>
          </cell>
          <cell r="E2232">
            <v>166.9</v>
          </cell>
          <cell r="F2232">
            <v>20</v>
          </cell>
          <cell r="G2232">
            <v>153.5</v>
          </cell>
        </row>
        <row r="2233">
          <cell r="B2233" t="str">
            <v>PSC35135A US</v>
          </cell>
          <cell r="C2233"/>
          <cell r="D2233">
            <v>132</v>
          </cell>
          <cell r="E2233">
            <v>158</v>
          </cell>
          <cell r="F2233">
            <v>20</v>
          </cell>
          <cell r="G2233">
            <v>184</v>
          </cell>
        </row>
        <row r="2234">
          <cell r="B2234" t="str">
            <v>PSC35090S US</v>
          </cell>
          <cell r="C2234"/>
          <cell r="D2234">
            <v>132</v>
          </cell>
          <cell r="E2234">
            <v>158</v>
          </cell>
          <cell r="F2234">
            <v>20</v>
          </cell>
          <cell r="G2234">
            <v>184</v>
          </cell>
        </row>
        <row r="2235">
          <cell r="B2235" t="str">
            <v>PSC35135S US</v>
          </cell>
          <cell r="C2235"/>
          <cell r="D2235">
            <v>132</v>
          </cell>
          <cell r="E2235">
            <v>158</v>
          </cell>
          <cell r="F2235">
            <v>20</v>
          </cell>
          <cell r="G2235">
            <v>184</v>
          </cell>
        </row>
        <row r="2236">
          <cell r="B2236" t="str">
            <v>PSC35090A US</v>
          </cell>
          <cell r="C2236"/>
          <cell r="D2236">
            <v>132</v>
          </cell>
          <cell r="E2236">
            <v>158</v>
          </cell>
          <cell r="F2236">
            <v>20</v>
          </cell>
          <cell r="G2236">
            <v>184</v>
          </cell>
        </row>
        <row r="2237">
          <cell r="B2237" t="str">
            <v xml:space="preserve">PSC18150A US   </v>
          </cell>
          <cell r="C2237"/>
          <cell r="D2237">
            <v>132</v>
          </cell>
          <cell r="E2237">
            <v>158</v>
          </cell>
          <cell r="F2237">
            <v>20</v>
          </cell>
          <cell r="G2237">
            <v>184</v>
          </cell>
        </row>
        <row r="2238">
          <cell r="B2238" t="str">
            <v xml:space="preserve">PSC18090S US </v>
          </cell>
          <cell r="C2238"/>
          <cell r="D2238">
            <v>132</v>
          </cell>
          <cell r="E2238">
            <v>158</v>
          </cell>
          <cell r="F2238">
            <v>20</v>
          </cell>
          <cell r="G2238">
            <v>184</v>
          </cell>
        </row>
        <row r="2239">
          <cell r="B2239" t="str">
            <v xml:space="preserve">PSC18090A US  </v>
          </cell>
          <cell r="C2239"/>
          <cell r="D2239">
            <v>132</v>
          </cell>
          <cell r="E2239">
            <v>158</v>
          </cell>
          <cell r="F2239">
            <v>20</v>
          </cell>
          <cell r="G2239">
            <v>184</v>
          </cell>
        </row>
        <row r="2240">
          <cell r="B2240" t="str">
            <v>AIN-CKI-200-B-SFT US</v>
          </cell>
          <cell r="C2240"/>
          <cell r="D2240">
            <v>44.4</v>
          </cell>
          <cell r="E2240">
            <v>201.4</v>
          </cell>
          <cell r="F2240">
            <v>32</v>
          </cell>
          <cell r="G2240">
            <v>138</v>
          </cell>
        </row>
        <row r="2241">
          <cell r="B2241" t="str">
            <v>AG141300J CE2</v>
          </cell>
          <cell r="C2241"/>
          <cell r="D2241">
            <v>21</v>
          </cell>
          <cell r="E2241">
            <v>88</v>
          </cell>
          <cell r="F2241">
            <v>32</v>
          </cell>
          <cell r="G2241">
            <v>43</v>
          </cell>
        </row>
        <row r="2242">
          <cell r="B2242" t="str">
            <v>AG141000J US</v>
          </cell>
          <cell r="C2242"/>
          <cell r="D2242">
            <v>34</v>
          </cell>
          <cell r="E2242">
            <v>117.9</v>
          </cell>
          <cell r="F2242">
            <v>20</v>
          </cell>
          <cell r="G2242">
            <v>60</v>
          </cell>
        </row>
        <row r="2243">
          <cell r="B2243" t="str">
            <v>WAIN-CKI-300 US2</v>
          </cell>
          <cell r="C2243"/>
          <cell r="D2243">
            <v>44.4</v>
          </cell>
          <cell r="E2243">
            <v>162.4</v>
          </cell>
          <cell r="F2243">
            <v>20</v>
          </cell>
          <cell r="G2243">
            <v>140.9</v>
          </cell>
        </row>
        <row r="2244">
          <cell r="B2244" t="str">
            <v>AGP140301 KR</v>
          </cell>
          <cell r="C2244"/>
          <cell r="D2244">
            <v>27.6</v>
          </cell>
          <cell r="E2244">
            <v>94.9</v>
          </cell>
          <cell r="F2244">
            <v>20</v>
          </cell>
          <cell r="G2244">
            <v>45.7</v>
          </cell>
        </row>
        <row r="2245">
          <cell r="B2245" t="str">
            <v>WCKV165-14 KR</v>
          </cell>
          <cell r="C2245"/>
          <cell r="D2245">
            <v>45.3</v>
          </cell>
          <cell r="E2245">
            <v>140.9</v>
          </cell>
          <cell r="F2245">
            <v>22</v>
          </cell>
          <cell r="G2245">
            <v>141.4</v>
          </cell>
        </row>
        <row r="2246">
          <cell r="B2246" t="str">
            <v>WAMS-135-16WA KR</v>
          </cell>
          <cell r="C2246"/>
          <cell r="D2246">
            <v>45</v>
          </cell>
          <cell r="E2246">
            <v>201.4</v>
          </cell>
          <cell r="F2246">
            <v>20</v>
          </cell>
          <cell r="G2246">
            <v>141</v>
          </cell>
        </row>
        <row r="2247">
          <cell r="B2247" t="str">
            <v>WAMS-165-1645 CE2</v>
          </cell>
          <cell r="C2247"/>
          <cell r="D2247">
            <v>42</v>
          </cell>
          <cell r="E2247">
            <v>201.4</v>
          </cell>
          <cell r="F2247">
            <v>22</v>
          </cell>
          <cell r="G2247">
            <v>147</v>
          </cell>
        </row>
        <row r="2248">
          <cell r="B2248" t="str">
            <v>WCKV165-14 CE2</v>
          </cell>
          <cell r="C2248"/>
          <cell r="D2248">
            <v>42</v>
          </cell>
          <cell r="E2248">
            <v>140.9</v>
          </cell>
          <cell r="F2248">
            <v>22</v>
          </cell>
          <cell r="G2248">
            <v>147</v>
          </cell>
        </row>
        <row r="2249">
          <cell r="B2249" t="str">
            <v>WAMS-180-1645 CE2</v>
          </cell>
          <cell r="C2249"/>
          <cell r="D2249">
            <v>42</v>
          </cell>
          <cell r="E2249">
            <v>164</v>
          </cell>
          <cell r="F2249">
            <v>22</v>
          </cell>
          <cell r="G2249">
            <v>147</v>
          </cell>
        </row>
        <row r="2250">
          <cell r="B2250" t="str">
            <v>WAMS-135-16ST CE2</v>
          </cell>
          <cell r="C2250"/>
          <cell r="D2250">
            <v>42</v>
          </cell>
          <cell r="E2250">
            <v>201.4</v>
          </cell>
          <cell r="F2250">
            <v>20</v>
          </cell>
          <cell r="G2250">
            <v>147</v>
          </cell>
        </row>
        <row r="2251">
          <cell r="B2251" t="str">
            <v>WAMS-135-16WA CE2</v>
          </cell>
          <cell r="C2251"/>
          <cell r="D2251">
            <v>42</v>
          </cell>
          <cell r="E2251">
            <v>201.4</v>
          </cell>
          <cell r="F2251">
            <v>20</v>
          </cell>
          <cell r="G2251">
            <v>147</v>
          </cell>
        </row>
        <row r="2252">
          <cell r="B2252" t="str">
            <v>WAMS-165-16ST CE2</v>
          </cell>
          <cell r="C2252"/>
          <cell r="D2252">
            <v>42</v>
          </cell>
          <cell r="E2252">
            <v>164</v>
          </cell>
          <cell r="F2252">
            <v>22</v>
          </cell>
          <cell r="G2252">
            <v>147</v>
          </cell>
        </row>
        <row r="2253">
          <cell r="B2253" t="str">
            <v>WAMS-180-16ST CE2</v>
          </cell>
          <cell r="C2253"/>
          <cell r="D2253">
            <v>42</v>
          </cell>
          <cell r="E2253">
            <v>164</v>
          </cell>
          <cell r="F2253">
            <v>32</v>
          </cell>
          <cell r="G2253">
            <v>147</v>
          </cell>
        </row>
        <row r="2254">
          <cell r="B2254" t="str">
            <v>BGN180-14R JP</v>
          </cell>
          <cell r="C2254"/>
          <cell r="D2254"/>
          <cell r="E2254">
            <v>162.4</v>
          </cell>
          <cell r="F2254"/>
          <cell r="G2254">
            <v>148</v>
          </cell>
        </row>
        <row r="2255">
          <cell r="B2255" t="str">
            <v>AH14R101SR JP</v>
          </cell>
          <cell r="C2255"/>
          <cell r="D2255">
            <v>22</v>
          </cell>
          <cell r="E2255">
            <v>132</v>
          </cell>
          <cell r="F2255">
            <v>20</v>
          </cell>
          <cell r="G2255">
            <v>70</v>
          </cell>
        </row>
        <row r="2256">
          <cell r="B2256" t="str">
            <v>WAMS-135-1645 CE2</v>
          </cell>
          <cell r="C2256"/>
          <cell r="D2256">
            <v>42</v>
          </cell>
          <cell r="E2256">
            <v>164</v>
          </cell>
          <cell r="F2256">
            <v>32</v>
          </cell>
          <cell r="G2256">
            <v>147</v>
          </cell>
        </row>
        <row r="2257">
          <cell r="B2257" t="str">
            <v>WAMS-180-16WA CE2</v>
          </cell>
          <cell r="C2257"/>
          <cell r="D2257">
            <v>42</v>
          </cell>
          <cell r="E2257">
            <v>164</v>
          </cell>
          <cell r="F2257">
            <v>32</v>
          </cell>
          <cell r="G2257">
            <v>147</v>
          </cell>
        </row>
        <row r="2258">
          <cell r="B2258" t="str">
            <v>WAMS-165-16WA CE2</v>
          </cell>
          <cell r="C2258"/>
          <cell r="D2258">
            <v>42</v>
          </cell>
          <cell r="E2258">
            <v>164</v>
          </cell>
          <cell r="F2258">
            <v>32</v>
          </cell>
          <cell r="G2258">
            <v>147</v>
          </cell>
        </row>
        <row r="2259">
          <cell r="B2259" t="str">
            <v>WAMS-180-16ST CE</v>
          </cell>
          <cell r="C2259"/>
          <cell r="D2259">
            <v>42</v>
          </cell>
          <cell r="E2259">
            <v>164</v>
          </cell>
          <cell r="F2259">
            <v>32</v>
          </cell>
          <cell r="G2259">
            <v>147</v>
          </cell>
        </row>
        <row r="2260">
          <cell r="B2260" t="str">
            <v>WAIN-CKI-200 CE2</v>
          </cell>
          <cell r="C2260"/>
          <cell r="D2260">
            <v>43</v>
          </cell>
          <cell r="E2260">
            <v>162.4</v>
          </cell>
          <cell r="F2260">
            <v>22</v>
          </cell>
          <cell r="G2260">
            <v>140.9</v>
          </cell>
        </row>
        <row r="2261">
          <cell r="B2261" t="str">
            <v>WAMS-180-1645 CE</v>
          </cell>
          <cell r="C2261"/>
          <cell r="D2261">
            <v>42</v>
          </cell>
          <cell r="E2261">
            <v>164</v>
          </cell>
          <cell r="F2261">
            <v>32</v>
          </cell>
          <cell r="G2261">
            <v>147</v>
          </cell>
        </row>
        <row r="2262">
          <cell r="B2262" t="str">
            <v>AIN-CKI-200R JP</v>
          </cell>
          <cell r="C2262"/>
          <cell r="D2262">
            <v>44.4</v>
          </cell>
          <cell r="E2262">
            <v>162.4</v>
          </cell>
          <cell r="F2262">
            <v>20</v>
          </cell>
          <cell r="G2262">
            <v>148</v>
          </cell>
        </row>
        <row r="2263">
          <cell r="B2263" t="str">
            <v>WCKV165-14 OS CE</v>
          </cell>
          <cell r="C2263"/>
          <cell r="D2263">
            <v>42</v>
          </cell>
          <cell r="E2263">
            <v>164</v>
          </cell>
          <cell r="F2263">
            <v>32</v>
          </cell>
          <cell r="G2263">
            <v>147</v>
          </cell>
        </row>
        <row r="2264">
          <cell r="B2264" t="str">
            <v>WAMS-180-16WA CE</v>
          </cell>
          <cell r="C2264"/>
          <cell r="D2264">
            <v>42</v>
          </cell>
          <cell r="E2264">
            <v>164</v>
          </cell>
          <cell r="F2264">
            <v>32</v>
          </cell>
          <cell r="G2264">
            <v>147</v>
          </cell>
        </row>
        <row r="2265">
          <cell r="B2265" t="str">
            <v>AMS-165-16WAR JP</v>
          </cell>
          <cell r="C2265"/>
          <cell r="D2265">
            <v>42</v>
          </cell>
          <cell r="E2265">
            <v>164</v>
          </cell>
          <cell r="F2265">
            <v>32</v>
          </cell>
          <cell r="G2265">
            <v>147</v>
          </cell>
        </row>
        <row r="2266">
          <cell r="B2266" t="str">
            <v>AMS-165-16STR JP</v>
          </cell>
          <cell r="C2266"/>
          <cell r="D2266">
            <v>42</v>
          </cell>
          <cell r="E2266">
            <v>164</v>
          </cell>
          <cell r="F2266">
            <v>32</v>
          </cell>
          <cell r="G2266">
            <v>147</v>
          </cell>
        </row>
        <row r="2267">
          <cell r="B2267" t="str">
            <v>AMS-180-16WAR JP</v>
          </cell>
          <cell r="C2267"/>
          <cell r="D2267">
            <v>42</v>
          </cell>
          <cell r="E2267">
            <v>164</v>
          </cell>
          <cell r="F2267">
            <v>32</v>
          </cell>
          <cell r="G2267">
            <v>147</v>
          </cell>
        </row>
        <row r="2268">
          <cell r="B2268" t="str">
            <v>AMS-180-1445 JP</v>
          </cell>
          <cell r="C2268"/>
          <cell r="D2268">
            <v>42</v>
          </cell>
          <cell r="E2268">
            <v>164</v>
          </cell>
          <cell r="F2268">
            <v>32</v>
          </cell>
          <cell r="G2268">
            <v>147</v>
          </cell>
        </row>
        <row r="2269">
          <cell r="B2269" t="str">
            <v>CKV180-14R JP</v>
          </cell>
          <cell r="C2269"/>
          <cell r="D2269">
            <v>42</v>
          </cell>
          <cell r="E2269">
            <v>164</v>
          </cell>
          <cell r="F2269">
            <v>32</v>
          </cell>
          <cell r="G2269">
            <v>147</v>
          </cell>
        </row>
        <row r="2270">
          <cell r="B2270" t="str">
            <v>WAMS-180-16ST US</v>
          </cell>
          <cell r="C2270"/>
          <cell r="D2270">
            <v>43</v>
          </cell>
          <cell r="E2270">
            <v>172.4</v>
          </cell>
          <cell r="F2270">
            <v>20</v>
          </cell>
          <cell r="G2270">
            <v>147.4</v>
          </cell>
        </row>
        <row r="2271">
          <cell r="B2271" t="str">
            <v>WAMS-165-16WA CE</v>
          </cell>
          <cell r="C2271"/>
          <cell r="D2271">
            <v>42</v>
          </cell>
          <cell r="E2271">
            <v>164</v>
          </cell>
          <cell r="F2271">
            <v>32</v>
          </cell>
          <cell r="G2271">
            <v>147</v>
          </cell>
        </row>
        <row r="2272">
          <cell r="B2272" t="str">
            <v>HJ80JR352P10000 JP</v>
          </cell>
          <cell r="C2272"/>
          <cell r="D2272">
            <v>56</v>
          </cell>
          <cell r="E2272">
            <v>234</v>
          </cell>
          <cell r="F2272">
            <v>22</v>
          </cell>
          <cell r="G2272">
            <v>289.2</v>
          </cell>
        </row>
        <row r="2273">
          <cell r="B2273" t="str">
            <v>WAMS-135-16ST KR</v>
          </cell>
          <cell r="C2273"/>
          <cell r="D2273">
            <v>45</v>
          </cell>
          <cell r="E2273">
            <v>172.4</v>
          </cell>
          <cell r="F2273">
            <v>20</v>
          </cell>
          <cell r="G2273">
            <v>141</v>
          </cell>
        </row>
        <row r="2274">
          <cell r="B2274" t="str">
            <v>AMS-135-1445 KR</v>
          </cell>
          <cell r="C2274"/>
          <cell r="D2274">
            <v>44</v>
          </cell>
          <cell r="E2274">
            <v>172.4</v>
          </cell>
          <cell r="F2274">
            <v>20</v>
          </cell>
          <cell r="G2274">
            <v>138</v>
          </cell>
        </row>
        <row r="2275">
          <cell r="B2275" t="str">
            <v>AMS-165-1645R JP</v>
          </cell>
          <cell r="C2275"/>
          <cell r="D2275">
            <v>44</v>
          </cell>
          <cell r="E2275">
            <v>172.4</v>
          </cell>
          <cell r="F2275">
            <v>20</v>
          </cell>
          <cell r="G2275">
            <v>138</v>
          </cell>
        </row>
        <row r="2276">
          <cell r="B2276" t="str">
            <v>AMS-180-1645R JP</v>
          </cell>
          <cell r="C2276"/>
          <cell r="D2276">
            <v>44</v>
          </cell>
          <cell r="E2276">
            <v>172.4</v>
          </cell>
          <cell r="F2276">
            <v>20</v>
          </cell>
          <cell r="G2276">
            <v>138</v>
          </cell>
        </row>
        <row r="2277">
          <cell r="B2277" t="str">
            <v>WAMS-165-1645 KR</v>
          </cell>
          <cell r="C2277"/>
          <cell r="D2277">
            <v>45</v>
          </cell>
          <cell r="E2277">
            <v>172.4</v>
          </cell>
          <cell r="F2277">
            <v>20</v>
          </cell>
          <cell r="G2277">
            <v>141</v>
          </cell>
        </row>
        <row r="2278">
          <cell r="B2278" t="str">
            <v>WAMS-165-16WA KR</v>
          </cell>
          <cell r="C2278"/>
          <cell r="D2278">
            <v>45</v>
          </cell>
          <cell r="E2278">
            <v>172.4</v>
          </cell>
          <cell r="F2278">
            <v>20</v>
          </cell>
          <cell r="G2278">
            <v>141</v>
          </cell>
        </row>
        <row r="2279">
          <cell r="B2279" t="str">
            <v>WAMS-165-16ST KR</v>
          </cell>
          <cell r="C2279"/>
          <cell r="D2279">
            <v>45</v>
          </cell>
          <cell r="E2279">
            <v>172.4</v>
          </cell>
          <cell r="F2279">
            <v>20</v>
          </cell>
          <cell r="G2279">
            <v>141</v>
          </cell>
        </row>
        <row r="2280">
          <cell r="B2280" t="str">
            <v>AMS-165-1445 KR</v>
          </cell>
          <cell r="C2280"/>
          <cell r="D2280">
            <v>45</v>
          </cell>
          <cell r="E2280">
            <v>172.4</v>
          </cell>
          <cell r="F2280">
            <v>20</v>
          </cell>
          <cell r="G2280">
            <v>141</v>
          </cell>
        </row>
        <row r="2281">
          <cell r="B2281" t="str">
            <v>CKV165-14R JP</v>
          </cell>
          <cell r="C2281"/>
          <cell r="D2281">
            <v>45.3</v>
          </cell>
          <cell r="E2281">
            <v>162.4</v>
          </cell>
          <cell r="F2281">
            <v>20</v>
          </cell>
          <cell r="G2281">
            <v>141.4</v>
          </cell>
        </row>
        <row r="2282">
          <cell r="B2282" t="str">
            <v>WAMS-135-1645 KR</v>
          </cell>
          <cell r="C2282"/>
          <cell r="D2282">
            <v>45</v>
          </cell>
          <cell r="E2282">
            <v>201.4</v>
          </cell>
          <cell r="F2282">
            <v>20</v>
          </cell>
          <cell r="G2282">
            <v>141</v>
          </cell>
        </row>
        <row r="2283">
          <cell r="B2283" t="str">
            <v>PSC14135S US</v>
          </cell>
          <cell r="C2283"/>
          <cell r="D2283">
            <v>132</v>
          </cell>
          <cell r="E2283">
            <v>158</v>
          </cell>
          <cell r="F2283">
            <v>20</v>
          </cell>
          <cell r="G2283">
            <v>184</v>
          </cell>
        </row>
        <row r="2284">
          <cell r="B2284" t="str">
            <v>PSC14170S US</v>
          </cell>
          <cell r="C2284"/>
          <cell r="D2284">
            <v>132</v>
          </cell>
          <cell r="E2284">
            <v>158</v>
          </cell>
          <cell r="F2284">
            <v>20</v>
          </cell>
          <cell r="G2284">
            <v>184</v>
          </cell>
        </row>
        <row r="2285">
          <cell r="B2285" t="str">
            <v xml:space="preserve">PSC18170A US   </v>
          </cell>
          <cell r="C2285"/>
          <cell r="D2285">
            <v>132</v>
          </cell>
          <cell r="E2285">
            <v>158</v>
          </cell>
          <cell r="F2285">
            <v>20</v>
          </cell>
          <cell r="G2285">
            <v>184</v>
          </cell>
        </row>
        <row r="2286">
          <cell r="B2286" t="str">
            <v>PSC18170S US</v>
          </cell>
          <cell r="C2286"/>
          <cell r="D2286">
            <v>132</v>
          </cell>
          <cell r="E2286">
            <v>158</v>
          </cell>
          <cell r="F2286">
            <v>20</v>
          </cell>
          <cell r="G2286">
            <v>184</v>
          </cell>
        </row>
        <row r="2287">
          <cell r="B2287" t="str">
            <v>PSC35110A US</v>
          </cell>
          <cell r="C2287"/>
          <cell r="D2287">
            <v>132</v>
          </cell>
          <cell r="E2287">
            <v>158</v>
          </cell>
          <cell r="F2287">
            <v>20</v>
          </cell>
          <cell r="G2287">
            <v>184</v>
          </cell>
        </row>
        <row r="2288">
          <cell r="B2288" t="str">
            <v>PSC35110S US</v>
          </cell>
          <cell r="C2288"/>
          <cell r="D2288">
            <v>132</v>
          </cell>
          <cell r="E2288">
            <v>158</v>
          </cell>
          <cell r="F2288">
            <v>20</v>
          </cell>
          <cell r="G2288">
            <v>184</v>
          </cell>
        </row>
        <row r="2289">
          <cell r="B2289" t="str">
            <v>MTA0025N45S JP</v>
          </cell>
          <cell r="C2289"/>
          <cell r="D2289">
            <v>44</v>
          </cell>
          <cell r="E2289">
            <v>179.8</v>
          </cell>
          <cell r="F2289">
            <v>20</v>
          </cell>
          <cell r="G2289">
            <v>172</v>
          </cell>
        </row>
        <row r="2290">
          <cell r="B2290" t="str">
            <v>AMS-180-16STR JP</v>
          </cell>
          <cell r="C2290"/>
          <cell r="D2290">
            <v>42</v>
          </cell>
          <cell r="E2290">
            <v>164</v>
          </cell>
          <cell r="F2290">
            <v>32</v>
          </cell>
          <cell r="G2290">
            <v>147</v>
          </cell>
        </row>
        <row r="2291">
          <cell r="B2291" t="str">
            <v>MTS0025N45S JP</v>
          </cell>
          <cell r="C2291"/>
          <cell r="D2291">
            <v>44</v>
          </cell>
          <cell r="E2291">
            <v>179.8</v>
          </cell>
          <cell r="F2291">
            <v>20</v>
          </cell>
          <cell r="G2291">
            <v>172</v>
          </cell>
        </row>
        <row r="2292">
          <cell r="B2292" t="str">
            <v>MTF0025N45S JP</v>
          </cell>
          <cell r="C2292"/>
          <cell r="D2292">
            <v>44</v>
          </cell>
          <cell r="E2292">
            <v>179.8</v>
          </cell>
          <cell r="F2292">
            <v>20</v>
          </cell>
          <cell r="G2292">
            <v>172</v>
          </cell>
        </row>
        <row r="2293">
          <cell r="B2293" t="str">
            <v>AGH143092 CN</v>
          </cell>
          <cell r="C2293"/>
          <cell r="D2293">
            <v>42.4</v>
          </cell>
          <cell r="E2293">
            <v>92.6</v>
          </cell>
          <cell r="F2293">
            <v>22</v>
          </cell>
          <cell r="G2293">
            <v>58</v>
          </cell>
        </row>
        <row r="2294">
          <cell r="B2294" t="str">
            <v>AGH143092R JP</v>
          </cell>
          <cell r="C2294"/>
          <cell r="D2294">
            <v>22</v>
          </cell>
          <cell r="E2294">
            <v>92.6</v>
          </cell>
          <cell r="F2294">
            <v>20</v>
          </cell>
          <cell r="G2294">
            <v>70</v>
          </cell>
        </row>
        <row r="2295">
          <cell r="B2295" t="str">
            <v>HJ80SP400P10000 JP</v>
          </cell>
          <cell r="C2295"/>
          <cell r="D2295">
            <v>56</v>
          </cell>
          <cell r="E2295">
            <v>234</v>
          </cell>
          <cell r="F2295">
            <v>22</v>
          </cell>
          <cell r="G2295">
            <v>289.2</v>
          </cell>
        </row>
        <row r="2296">
          <cell r="B2296" t="str">
            <v>HJ80JL452P10000 JP</v>
          </cell>
          <cell r="C2296"/>
          <cell r="D2296">
            <v>56</v>
          </cell>
          <cell r="E2296">
            <v>234</v>
          </cell>
          <cell r="F2296">
            <v>22</v>
          </cell>
          <cell r="G2296">
            <v>289.2</v>
          </cell>
        </row>
        <row r="2297">
          <cell r="B2297" t="str">
            <v>HJ80JL452P10001 JP</v>
          </cell>
          <cell r="C2297"/>
          <cell r="D2297">
            <v>56</v>
          </cell>
          <cell r="E2297">
            <v>234</v>
          </cell>
          <cell r="F2297">
            <v>22</v>
          </cell>
          <cell r="G2297">
            <v>289.2</v>
          </cell>
        </row>
        <row r="2298">
          <cell r="B2298" t="str">
            <v>HJ70CP300P10020 JP</v>
          </cell>
          <cell r="C2298"/>
          <cell r="D2298">
            <v>56</v>
          </cell>
          <cell r="E2298">
            <v>234</v>
          </cell>
          <cell r="F2298">
            <v>22</v>
          </cell>
          <cell r="G2298">
            <v>289.2</v>
          </cell>
        </row>
        <row r="2299">
          <cell r="B2299" t="str">
            <v>AHW14R304J CN</v>
          </cell>
          <cell r="C2299"/>
          <cell r="D2299">
            <v>41</v>
          </cell>
          <cell r="E2299">
            <v>135</v>
          </cell>
          <cell r="F2299">
            <v>22</v>
          </cell>
          <cell r="G2299">
            <v>58</v>
          </cell>
        </row>
        <row r="2300">
          <cell r="B2300" t="str">
            <v>WAMS-165-1645 CE</v>
          </cell>
          <cell r="C2300"/>
          <cell r="D2300">
            <v>42</v>
          </cell>
          <cell r="E2300">
            <v>201.4</v>
          </cell>
          <cell r="F2300">
            <v>22</v>
          </cell>
          <cell r="G2300">
            <v>147</v>
          </cell>
        </row>
        <row r="2301">
          <cell r="B2301" t="str">
            <v>HJ80SP300P10000 JP</v>
          </cell>
          <cell r="C2301"/>
          <cell r="D2301">
            <v>56</v>
          </cell>
          <cell r="E2301">
            <v>234</v>
          </cell>
          <cell r="F2301">
            <v>22</v>
          </cell>
          <cell r="G2301">
            <v>289</v>
          </cell>
        </row>
        <row r="2302">
          <cell r="B2302" t="str">
            <v>HJ80SP402P09000 JP</v>
          </cell>
          <cell r="C2302"/>
          <cell r="D2302">
            <v>56</v>
          </cell>
          <cell r="E2302">
            <v>234</v>
          </cell>
          <cell r="F2302">
            <v>22</v>
          </cell>
          <cell r="G2302">
            <v>289</v>
          </cell>
        </row>
        <row r="2303">
          <cell r="B2303" t="str">
            <v>HJ80CP202P10000 JP</v>
          </cell>
          <cell r="C2303"/>
          <cell r="D2303">
            <v>56</v>
          </cell>
          <cell r="E2303">
            <v>234</v>
          </cell>
          <cell r="F2303">
            <v>22</v>
          </cell>
          <cell r="G2303">
            <v>289</v>
          </cell>
        </row>
        <row r="2304">
          <cell r="B2304" t="str">
            <v>HJ80CP252P10000 JP</v>
          </cell>
          <cell r="C2304"/>
          <cell r="D2304">
            <v>56</v>
          </cell>
          <cell r="E2304">
            <v>234</v>
          </cell>
          <cell r="F2304">
            <v>22</v>
          </cell>
          <cell r="G2304">
            <v>289</v>
          </cell>
        </row>
        <row r="2305">
          <cell r="B2305" t="str">
            <v>HJ80CP272P10000 JP</v>
          </cell>
          <cell r="C2305"/>
          <cell r="D2305">
            <v>56</v>
          </cell>
          <cell r="E2305">
            <v>234</v>
          </cell>
          <cell r="F2305">
            <v>22</v>
          </cell>
          <cell r="G2305">
            <v>289</v>
          </cell>
        </row>
        <row r="2306">
          <cell r="B2306" t="str">
            <v>HJ80CP302P10000 JP</v>
          </cell>
          <cell r="C2306"/>
          <cell r="D2306">
            <v>56</v>
          </cell>
          <cell r="E2306">
            <v>234</v>
          </cell>
          <cell r="F2306">
            <v>22</v>
          </cell>
          <cell r="G2306">
            <v>289</v>
          </cell>
        </row>
        <row r="2307">
          <cell r="B2307" t="str">
            <v>HJ80CP322P10000 JP</v>
          </cell>
          <cell r="C2307"/>
          <cell r="D2307">
            <v>56</v>
          </cell>
          <cell r="E2307">
            <v>234</v>
          </cell>
          <cell r="F2307">
            <v>22</v>
          </cell>
          <cell r="G2307">
            <v>289</v>
          </cell>
        </row>
        <row r="2308">
          <cell r="B2308" t="str">
            <v>HJ80CP352P10000 JP</v>
          </cell>
          <cell r="C2308"/>
          <cell r="D2308">
            <v>56</v>
          </cell>
          <cell r="E2308">
            <v>234</v>
          </cell>
          <cell r="F2308">
            <v>22</v>
          </cell>
          <cell r="G2308">
            <v>289</v>
          </cell>
        </row>
        <row r="2309">
          <cell r="B2309" t="str">
            <v>HJ80JR352P09000 JP</v>
          </cell>
          <cell r="C2309"/>
          <cell r="D2309">
            <v>56</v>
          </cell>
          <cell r="E2309">
            <v>234</v>
          </cell>
          <cell r="F2309">
            <v>22</v>
          </cell>
          <cell r="G2309">
            <v>289</v>
          </cell>
        </row>
        <row r="2310">
          <cell r="B2310" t="str">
            <v>HJ80AL202P10002 JP</v>
          </cell>
          <cell r="C2310"/>
          <cell r="D2310">
            <v>56</v>
          </cell>
          <cell r="E2310">
            <v>234</v>
          </cell>
          <cell r="F2310">
            <v>22</v>
          </cell>
          <cell r="G2310">
            <v>289</v>
          </cell>
        </row>
        <row r="2311">
          <cell r="B2311" t="str">
            <v>PAGH143394R JP</v>
          </cell>
          <cell r="C2311"/>
          <cell r="D2311">
            <v>21.9</v>
          </cell>
          <cell r="E2311">
            <v>94.9</v>
          </cell>
          <cell r="F2311">
            <v>32</v>
          </cell>
          <cell r="G2311">
            <v>158.5</v>
          </cell>
        </row>
        <row r="2312">
          <cell r="B2312" t="str">
            <v>AHW14S003S US</v>
          </cell>
          <cell r="C2312"/>
          <cell r="D2312">
            <v>23.5</v>
          </cell>
          <cell r="E2312">
            <v>117.9</v>
          </cell>
          <cell r="F2312">
            <v>32</v>
          </cell>
          <cell r="G2312">
            <v>667</v>
          </cell>
        </row>
        <row r="2313">
          <cell r="B2313" t="str">
            <v>PSC14090A US</v>
          </cell>
          <cell r="C2313"/>
          <cell r="D2313">
            <v>132</v>
          </cell>
          <cell r="E2313">
            <v>158</v>
          </cell>
          <cell r="F2313">
            <v>20</v>
          </cell>
          <cell r="G2313">
            <v>184</v>
          </cell>
        </row>
        <row r="2314">
          <cell r="B2314" t="str">
            <v xml:space="preserve">PSC14090S US  </v>
          </cell>
          <cell r="C2314"/>
          <cell r="D2314">
            <v>132</v>
          </cell>
          <cell r="E2314">
            <v>158</v>
          </cell>
          <cell r="F2314">
            <v>20</v>
          </cell>
          <cell r="G2314">
            <v>184</v>
          </cell>
        </row>
        <row r="2315">
          <cell r="B2315" t="str">
            <v>PSC14135A US</v>
          </cell>
          <cell r="C2315"/>
          <cell r="D2315">
            <v>132</v>
          </cell>
          <cell r="E2315">
            <v>158</v>
          </cell>
          <cell r="F2315">
            <v>20</v>
          </cell>
          <cell r="G2315">
            <v>184</v>
          </cell>
        </row>
        <row r="2316">
          <cell r="B2316" t="str">
            <v xml:space="preserve">PSC14170A US </v>
          </cell>
          <cell r="C2316"/>
          <cell r="D2316">
            <v>132</v>
          </cell>
          <cell r="E2316">
            <v>158</v>
          </cell>
          <cell r="F2316">
            <v>20</v>
          </cell>
          <cell r="G2316">
            <v>184</v>
          </cell>
        </row>
        <row r="2317">
          <cell r="B2317" t="str">
            <v>PSC35150A US</v>
          </cell>
          <cell r="C2317"/>
          <cell r="D2317">
            <v>132</v>
          </cell>
          <cell r="E2317">
            <v>158</v>
          </cell>
          <cell r="F2317">
            <v>20</v>
          </cell>
          <cell r="G2317">
            <v>184</v>
          </cell>
        </row>
        <row r="2318">
          <cell r="B2318" t="str">
            <v>PSC35150S US</v>
          </cell>
          <cell r="C2318"/>
          <cell r="D2318">
            <v>132</v>
          </cell>
          <cell r="E2318">
            <v>158</v>
          </cell>
          <cell r="F2318">
            <v>20</v>
          </cell>
          <cell r="G2318">
            <v>184</v>
          </cell>
        </row>
        <row r="2319">
          <cell r="B2319" t="str">
            <v>PSC35170A US</v>
          </cell>
          <cell r="C2319"/>
          <cell r="D2319">
            <v>132</v>
          </cell>
          <cell r="E2319">
            <v>158</v>
          </cell>
          <cell r="F2319">
            <v>20</v>
          </cell>
          <cell r="G2319">
            <v>184</v>
          </cell>
        </row>
        <row r="2320">
          <cell r="B2320" t="str">
            <v>PSC35170S US</v>
          </cell>
          <cell r="C2320"/>
          <cell r="D2320">
            <v>132</v>
          </cell>
          <cell r="E2320">
            <v>158</v>
          </cell>
          <cell r="F2320">
            <v>20</v>
          </cell>
          <cell r="G2320">
            <v>184</v>
          </cell>
        </row>
        <row r="2321">
          <cell r="B2321" t="str">
            <v>PAGH143391R JP</v>
          </cell>
          <cell r="C2321"/>
          <cell r="D2321">
            <v>21.9</v>
          </cell>
          <cell r="E2321">
            <v>117.9</v>
          </cell>
          <cell r="F2321">
            <v>20</v>
          </cell>
          <cell r="G2321">
            <v>70</v>
          </cell>
        </row>
        <row r="2322">
          <cell r="B2322" t="str">
            <v>HJ60SP320P10000 JP</v>
          </cell>
          <cell r="C2322"/>
          <cell r="D2322">
            <v>56</v>
          </cell>
          <cell r="E2322">
            <v>234</v>
          </cell>
          <cell r="F2322">
            <v>22</v>
          </cell>
          <cell r="G2322">
            <v>289</v>
          </cell>
        </row>
        <row r="2323">
          <cell r="B2323" t="str">
            <v>AG149001 CN</v>
          </cell>
          <cell r="C2323"/>
          <cell r="D2323">
            <v>42.4</v>
          </cell>
          <cell r="E2323">
            <v>117.9</v>
          </cell>
          <cell r="F2323">
            <v>20</v>
          </cell>
          <cell r="G2323">
            <v>58</v>
          </cell>
        </row>
        <row r="2324">
          <cell r="B2324" t="str">
            <v>AMS-165-1445 JP</v>
          </cell>
          <cell r="C2324"/>
          <cell r="D2324">
            <v>43</v>
          </cell>
          <cell r="E2324">
            <v>201.4</v>
          </cell>
          <cell r="F2324">
            <v>22</v>
          </cell>
          <cell r="G2324">
            <v>138</v>
          </cell>
        </row>
        <row r="2325">
          <cell r="B2325" t="str">
            <v>WAMS-180-16WA US</v>
          </cell>
          <cell r="C2325"/>
          <cell r="D2325">
            <v>43</v>
          </cell>
          <cell r="E2325">
            <v>178.8</v>
          </cell>
          <cell r="F2325">
            <v>22</v>
          </cell>
          <cell r="G2325">
            <v>147.4</v>
          </cell>
        </row>
        <row r="2326">
          <cell r="B2326" t="str">
            <v>AG141002 KR</v>
          </cell>
          <cell r="C2326"/>
          <cell r="D2326">
            <v>27.6</v>
          </cell>
          <cell r="E2326">
            <v>92.6</v>
          </cell>
          <cell r="F2326">
            <v>32</v>
          </cell>
          <cell r="G2326">
            <v>50.5</v>
          </cell>
        </row>
        <row r="2327">
          <cell r="B2327" t="str">
            <v>AGP140000 KR</v>
          </cell>
          <cell r="C2327"/>
          <cell r="D2327">
            <v>27.6</v>
          </cell>
          <cell r="E2327">
            <v>91.6</v>
          </cell>
          <cell r="F2327">
            <v>22</v>
          </cell>
          <cell r="G2327">
            <v>45.7</v>
          </cell>
        </row>
        <row r="2328">
          <cell r="B2328" t="str">
            <v>AHW14R004S KR</v>
          </cell>
          <cell r="C2328"/>
          <cell r="D2328">
            <v>27.6</v>
          </cell>
          <cell r="E2328">
            <v>92.6</v>
          </cell>
          <cell r="F2328">
            <v>22</v>
          </cell>
          <cell r="G2328">
            <v>45.7</v>
          </cell>
        </row>
        <row r="2329">
          <cell r="B2329" t="str">
            <v>AGH143091 F CE2</v>
          </cell>
          <cell r="C2329"/>
          <cell r="D2329">
            <v>21</v>
          </cell>
          <cell r="E2329">
            <v>88</v>
          </cell>
          <cell r="F2329">
            <v>22</v>
          </cell>
          <cell r="G2329">
            <v>43</v>
          </cell>
        </row>
        <row r="2330">
          <cell r="B2330" t="str">
            <v>AGH143091R JP</v>
          </cell>
          <cell r="C2330"/>
          <cell r="D2330">
            <v>27.5</v>
          </cell>
          <cell r="E2330">
            <v>92.6</v>
          </cell>
          <cell r="F2330">
            <v>20</v>
          </cell>
          <cell r="G2330">
            <v>70</v>
          </cell>
        </row>
        <row r="2331">
          <cell r="B2331" t="str">
            <v>PAGH143091R JP</v>
          </cell>
          <cell r="C2331"/>
          <cell r="D2331">
            <v>27.5</v>
          </cell>
          <cell r="E2331">
            <v>92.6</v>
          </cell>
          <cell r="F2331">
            <v>20</v>
          </cell>
          <cell r="G2331">
            <v>70</v>
          </cell>
        </row>
        <row r="2332">
          <cell r="B2332" t="str">
            <v>WCKV165-14 US2</v>
          </cell>
          <cell r="C2332"/>
          <cell r="D2332">
            <v>44.4</v>
          </cell>
          <cell r="E2332">
            <v>140.9</v>
          </cell>
          <cell r="F2332">
            <v>22</v>
          </cell>
          <cell r="G2332">
            <v>154.1</v>
          </cell>
        </row>
        <row r="2333">
          <cell r="B2333" t="str">
            <v>AHW14R313P CE2</v>
          </cell>
          <cell r="C2333"/>
          <cell r="D2333">
            <v>21</v>
          </cell>
          <cell r="E2333">
            <v>92.6</v>
          </cell>
          <cell r="F2333">
            <v>20</v>
          </cell>
          <cell r="G2333">
            <v>43</v>
          </cell>
        </row>
        <row r="2334">
          <cell r="B2334" t="str">
            <v>AGP140002 KR</v>
          </cell>
          <cell r="C2334"/>
          <cell r="D2334">
            <v>27.6</v>
          </cell>
          <cell r="E2334">
            <v>117.9</v>
          </cell>
          <cell r="F2334">
            <v>22</v>
          </cell>
          <cell r="G2334">
            <v>45.7</v>
          </cell>
        </row>
        <row r="2335">
          <cell r="B2335" t="str">
            <v>AHW14R301S CE2</v>
          </cell>
          <cell r="C2335"/>
          <cell r="D2335">
            <v>21</v>
          </cell>
          <cell r="E2335">
            <v>91.6</v>
          </cell>
          <cell r="F2335">
            <v>22</v>
          </cell>
          <cell r="G2335">
            <v>43</v>
          </cell>
        </row>
        <row r="2336">
          <cell r="B2336" t="str">
            <v>AG14M060 B CE2</v>
          </cell>
          <cell r="C2336"/>
          <cell r="D2336">
            <v>21</v>
          </cell>
          <cell r="E2336">
            <v>117.9</v>
          </cell>
          <cell r="F2336">
            <v>32</v>
          </cell>
          <cell r="G2336">
            <v>43</v>
          </cell>
        </row>
        <row r="2337">
          <cell r="B2337" t="str">
            <v>WAIN-CKI-300 CE3</v>
          </cell>
          <cell r="C2337"/>
          <cell r="D2337">
            <v>44</v>
          </cell>
          <cell r="E2337">
            <v>162.4</v>
          </cell>
          <cell r="F2337">
            <v>20</v>
          </cell>
          <cell r="G2337">
            <v>147</v>
          </cell>
        </row>
        <row r="2338">
          <cell r="B2338" t="str">
            <v>AHW14R304J CE2</v>
          </cell>
          <cell r="C2338"/>
          <cell r="D2338">
            <v>21</v>
          </cell>
          <cell r="E2338">
            <v>91.6</v>
          </cell>
          <cell r="F2338">
            <v>22</v>
          </cell>
          <cell r="G2338">
            <v>43</v>
          </cell>
        </row>
        <row r="2339">
          <cell r="B2339" t="str">
            <v>AHW14R304S CE2</v>
          </cell>
          <cell r="C2339"/>
          <cell r="D2339">
            <v>21</v>
          </cell>
          <cell r="E2339">
            <v>91.6</v>
          </cell>
          <cell r="F2339">
            <v>20</v>
          </cell>
          <cell r="G2339">
            <v>43</v>
          </cell>
        </row>
        <row r="2340">
          <cell r="B2340" t="str">
            <v>AHW14R013S CE2</v>
          </cell>
          <cell r="C2340"/>
          <cell r="D2340">
            <v>21</v>
          </cell>
          <cell r="E2340">
            <v>92.6</v>
          </cell>
          <cell r="F2340">
            <v>32</v>
          </cell>
          <cell r="G2340">
            <v>43</v>
          </cell>
        </row>
        <row r="2341">
          <cell r="B2341" t="str">
            <v>WAIN-CKI-200 CE3</v>
          </cell>
          <cell r="C2341"/>
          <cell r="D2341">
            <v>42</v>
          </cell>
          <cell r="E2341">
            <v>140.9</v>
          </cell>
          <cell r="F2341">
            <v>20</v>
          </cell>
          <cell r="G2341">
            <v>140</v>
          </cell>
        </row>
        <row r="2342">
          <cell r="B2342" t="str">
            <v>AHW14R013P CE2</v>
          </cell>
          <cell r="C2342"/>
          <cell r="D2342">
            <v>21</v>
          </cell>
          <cell r="E2342">
            <v>92.6</v>
          </cell>
          <cell r="F2342">
            <v>20</v>
          </cell>
          <cell r="G2342">
            <v>43</v>
          </cell>
        </row>
        <row r="2343">
          <cell r="B2343" t="str">
            <v>AH10S302SR JP</v>
          </cell>
          <cell r="C2343"/>
          <cell r="D2343">
            <v>22</v>
          </cell>
          <cell r="E2343">
            <v>92.6</v>
          </cell>
          <cell r="F2343">
            <v>20</v>
          </cell>
          <cell r="G2343">
            <v>70</v>
          </cell>
        </row>
        <row r="2344">
          <cell r="B2344" t="str">
            <v>AW60TG4001R10000 NOCE</v>
          </cell>
          <cell r="C2344"/>
          <cell r="D2344">
            <v>22</v>
          </cell>
          <cell r="E2344">
            <v>177.9</v>
          </cell>
          <cell r="F2344"/>
          <cell r="G2344">
            <v>119</v>
          </cell>
        </row>
        <row r="2345">
          <cell r="B2345" t="str">
            <v>AW52AL1000R10000 NOCE</v>
          </cell>
          <cell r="C2345"/>
          <cell r="D2345">
            <v>22</v>
          </cell>
          <cell r="E2345">
            <v>177.9</v>
          </cell>
          <cell r="F2345"/>
          <cell r="G2345">
            <v>119</v>
          </cell>
        </row>
        <row r="2346">
          <cell r="B2346" t="str">
            <v>AW52AL2000R10000 NOCE</v>
          </cell>
          <cell r="C2346"/>
          <cell r="D2346">
            <v>22</v>
          </cell>
          <cell r="E2346">
            <v>177.9</v>
          </cell>
          <cell r="F2346"/>
          <cell r="G2346">
            <v>119</v>
          </cell>
        </row>
        <row r="2347">
          <cell r="B2347" t="str">
            <v>AW52AR1000R10000 NOCE</v>
          </cell>
          <cell r="C2347"/>
          <cell r="D2347">
            <v>22</v>
          </cell>
          <cell r="E2347">
            <v>177.9</v>
          </cell>
          <cell r="F2347"/>
          <cell r="G2347">
            <v>119</v>
          </cell>
        </row>
        <row r="2348">
          <cell r="B2348" t="str">
            <v>AW52JR3500R10000 NOCE</v>
          </cell>
          <cell r="C2348"/>
          <cell r="D2348">
            <v>22</v>
          </cell>
          <cell r="E2348">
            <v>177.9</v>
          </cell>
          <cell r="F2348"/>
          <cell r="G2348">
            <v>119</v>
          </cell>
        </row>
        <row r="2349">
          <cell r="B2349" t="str">
            <v>AW52RM3500R10000 NOCE</v>
          </cell>
          <cell r="C2349"/>
          <cell r="D2349">
            <v>22</v>
          </cell>
          <cell r="E2349">
            <v>177.9</v>
          </cell>
          <cell r="F2349"/>
          <cell r="G2349">
            <v>119</v>
          </cell>
        </row>
        <row r="2350">
          <cell r="B2350" t="str">
            <v>AW52JL5000R10000 NOCE</v>
          </cell>
          <cell r="C2350"/>
          <cell r="D2350">
            <v>22</v>
          </cell>
          <cell r="E2350">
            <v>177.9</v>
          </cell>
          <cell r="F2350"/>
          <cell r="G2350">
            <v>119</v>
          </cell>
        </row>
        <row r="2351">
          <cell r="B2351" t="str">
            <v>AW52RM4000R10000 NOCE</v>
          </cell>
          <cell r="C2351"/>
          <cell r="D2351">
            <v>22</v>
          </cell>
          <cell r="E2351">
            <v>177.9</v>
          </cell>
          <cell r="F2351"/>
          <cell r="G2351">
            <v>119</v>
          </cell>
        </row>
        <row r="2352">
          <cell r="B2352" t="str">
            <v>AW60AL1000R10000 NOCE</v>
          </cell>
          <cell r="C2352"/>
          <cell r="D2352">
            <v>22</v>
          </cell>
          <cell r="E2352">
            <v>177.9</v>
          </cell>
          <cell r="F2352"/>
          <cell r="G2352">
            <v>119</v>
          </cell>
        </row>
        <row r="2353">
          <cell r="B2353" t="str">
            <v>AW60AL2000R10000 NOCE</v>
          </cell>
          <cell r="C2353"/>
          <cell r="D2353">
            <v>22</v>
          </cell>
          <cell r="E2353">
            <v>177.9</v>
          </cell>
          <cell r="F2353"/>
          <cell r="G2353">
            <v>119</v>
          </cell>
        </row>
        <row r="2354">
          <cell r="B2354" t="str">
            <v>AW60AL3000R10000 NOCE</v>
          </cell>
          <cell r="C2354"/>
          <cell r="D2354">
            <v>22</v>
          </cell>
          <cell r="E2354">
            <v>177.9</v>
          </cell>
          <cell r="F2354"/>
          <cell r="G2354">
            <v>119</v>
          </cell>
        </row>
        <row r="2355">
          <cell r="B2355" t="str">
            <v>AW60JR4000R10000 NOCE</v>
          </cell>
          <cell r="C2355"/>
          <cell r="D2355">
            <v>22</v>
          </cell>
          <cell r="E2355">
            <v>177.9</v>
          </cell>
          <cell r="F2355"/>
          <cell r="G2355">
            <v>119</v>
          </cell>
        </row>
        <row r="2356">
          <cell r="B2356" t="str">
            <v>AW52JR5000R10000 NOCE</v>
          </cell>
          <cell r="C2356"/>
          <cell r="D2356">
            <v>22</v>
          </cell>
          <cell r="E2356">
            <v>177.9</v>
          </cell>
          <cell r="F2356"/>
          <cell r="G2356">
            <v>119</v>
          </cell>
        </row>
        <row r="2357">
          <cell r="B2357" t="str">
            <v>AW52MP2500R10000 NOCE</v>
          </cell>
          <cell r="C2357"/>
          <cell r="D2357">
            <v>22</v>
          </cell>
          <cell r="E2357">
            <v>177.9</v>
          </cell>
          <cell r="F2357"/>
          <cell r="G2357">
            <v>119</v>
          </cell>
        </row>
        <row r="2358">
          <cell r="B2358" t="str">
            <v>AW52MP3500R10000 NOCE</v>
          </cell>
          <cell r="C2358"/>
          <cell r="D2358">
            <v>22</v>
          </cell>
          <cell r="E2358">
            <v>177.9</v>
          </cell>
          <cell r="F2358"/>
          <cell r="G2358">
            <v>119</v>
          </cell>
        </row>
        <row r="2359">
          <cell r="B2359" t="str">
            <v>AW52MP4000R10000 NOCE</v>
          </cell>
          <cell r="C2359"/>
          <cell r="D2359">
            <v>22</v>
          </cell>
          <cell r="E2359">
            <v>177.9</v>
          </cell>
          <cell r="F2359"/>
          <cell r="G2359">
            <v>119</v>
          </cell>
        </row>
        <row r="2360">
          <cell r="B2360" t="str">
            <v>AW52TG4000R11000 NOCE</v>
          </cell>
          <cell r="C2360"/>
          <cell r="D2360">
            <v>22</v>
          </cell>
          <cell r="E2360">
            <v>177.9</v>
          </cell>
          <cell r="F2360"/>
          <cell r="G2360">
            <v>119</v>
          </cell>
        </row>
        <row r="2361">
          <cell r="B2361" t="str">
            <v>AW60AR1000R10000 NOCE</v>
          </cell>
          <cell r="C2361"/>
          <cell r="D2361">
            <v>22</v>
          </cell>
          <cell r="E2361">
            <v>177.9</v>
          </cell>
          <cell r="F2361"/>
          <cell r="G2361">
            <v>119</v>
          </cell>
        </row>
        <row r="2362">
          <cell r="B2362" t="str">
            <v>AW60AR2000R10000 NOCE</v>
          </cell>
          <cell r="C2362"/>
          <cell r="D2362">
            <v>22</v>
          </cell>
          <cell r="E2362">
            <v>177.9</v>
          </cell>
          <cell r="F2362"/>
          <cell r="G2362">
            <v>119</v>
          </cell>
        </row>
        <row r="2363">
          <cell r="B2363" t="str">
            <v>AW60IM0000R10000 NOCE</v>
          </cell>
          <cell r="C2363"/>
          <cell r="D2363">
            <v>22</v>
          </cell>
          <cell r="E2363">
            <v>177.9</v>
          </cell>
          <cell r="F2363"/>
          <cell r="G2363">
            <v>119</v>
          </cell>
        </row>
        <row r="2364">
          <cell r="B2364" t="str">
            <v>AW60RM4000R10000 NOCE</v>
          </cell>
          <cell r="C2364"/>
          <cell r="D2364">
            <v>22</v>
          </cell>
          <cell r="E2364">
            <v>177.9</v>
          </cell>
          <cell r="F2364"/>
          <cell r="G2364">
            <v>119</v>
          </cell>
        </row>
        <row r="2365">
          <cell r="B2365" t="str">
            <v>AW52TG3500R11000 NOCE</v>
          </cell>
          <cell r="C2365"/>
          <cell r="D2365">
            <v>22</v>
          </cell>
          <cell r="E2365">
            <v>177.9</v>
          </cell>
          <cell r="F2365"/>
          <cell r="G2365">
            <v>119</v>
          </cell>
        </row>
        <row r="2366">
          <cell r="B2366" t="str">
            <v>AW60JL5000R10000 NOCE</v>
          </cell>
          <cell r="C2366"/>
          <cell r="D2366">
            <v>22</v>
          </cell>
          <cell r="E2366">
            <v>177.9</v>
          </cell>
          <cell r="F2366"/>
          <cell r="G2366">
            <v>119</v>
          </cell>
        </row>
        <row r="2367">
          <cell r="B2367" t="str">
            <v>AW52AR2000R10000 NOCE</v>
          </cell>
          <cell r="C2367"/>
          <cell r="D2367">
            <v>22</v>
          </cell>
          <cell r="E2367">
            <v>177.9</v>
          </cell>
          <cell r="F2367"/>
          <cell r="G2367">
            <v>119</v>
          </cell>
        </row>
        <row r="2368">
          <cell r="B2368" t="str">
            <v>AW60JR3500R10000 NOCE</v>
          </cell>
          <cell r="C2368"/>
          <cell r="D2368">
            <v>22</v>
          </cell>
          <cell r="E2368">
            <v>177.9</v>
          </cell>
          <cell r="F2368"/>
          <cell r="G2368">
            <v>119</v>
          </cell>
        </row>
        <row r="2369">
          <cell r="B2369" t="str">
            <v>AW60MP3500R10000 NOCE</v>
          </cell>
          <cell r="C2369"/>
          <cell r="D2369">
            <v>22</v>
          </cell>
          <cell r="E2369">
            <v>177.9</v>
          </cell>
          <cell r="F2369"/>
          <cell r="G2369">
            <v>119</v>
          </cell>
        </row>
        <row r="2370">
          <cell r="B2370" t="str">
            <v>AW60RM3500R10000 NOCE</v>
          </cell>
          <cell r="C2370"/>
          <cell r="D2370">
            <v>22</v>
          </cell>
          <cell r="E2370">
            <v>177.9</v>
          </cell>
          <cell r="F2370"/>
          <cell r="G2370">
            <v>119</v>
          </cell>
        </row>
        <row r="2371">
          <cell r="B2371" t="str">
            <v>AW60TG3500R10000 NOCE</v>
          </cell>
          <cell r="C2371"/>
          <cell r="D2371">
            <v>22</v>
          </cell>
          <cell r="E2371">
            <v>177.9</v>
          </cell>
          <cell r="F2371"/>
          <cell r="G2371">
            <v>119</v>
          </cell>
        </row>
        <row r="2372">
          <cell r="B2372" t="str">
            <v>AW52IM0000R10000 NOCE</v>
          </cell>
          <cell r="C2372"/>
          <cell r="D2372">
            <v>22</v>
          </cell>
          <cell r="E2372">
            <v>177.9</v>
          </cell>
          <cell r="F2372"/>
          <cell r="G2372">
            <v>119</v>
          </cell>
        </row>
        <row r="2373">
          <cell r="B2373" t="str">
            <v>AW52JL3500R10000 NOCE</v>
          </cell>
          <cell r="C2373"/>
          <cell r="D2373">
            <v>22</v>
          </cell>
          <cell r="E2373">
            <v>177.9</v>
          </cell>
          <cell r="F2373"/>
          <cell r="G2373">
            <v>119</v>
          </cell>
        </row>
        <row r="2374">
          <cell r="B2374" t="str">
            <v>AW52JR4000R10000 NOCE</v>
          </cell>
          <cell r="C2374"/>
          <cell r="D2374">
            <v>22</v>
          </cell>
          <cell r="E2374">
            <v>177.9</v>
          </cell>
          <cell r="F2374"/>
          <cell r="G2374">
            <v>119</v>
          </cell>
        </row>
        <row r="2375">
          <cell r="B2375" t="str">
            <v>AW52TG4000R10000 NOCE</v>
          </cell>
          <cell r="C2375"/>
          <cell r="D2375">
            <v>22</v>
          </cell>
          <cell r="E2375">
            <v>177.9</v>
          </cell>
          <cell r="F2375"/>
          <cell r="G2375">
            <v>119</v>
          </cell>
        </row>
        <row r="2376">
          <cell r="B2376" t="str">
            <v>AW52TG3500R10000 NOCE</v>
          </cell>
          <cell r="C2376"/>
          <cell r="D2376">
            <v>22</v>
          </cell>
          <cell r="E2376">
            <v>177.9</v>
          </cell>
          <cell r="F2376"/>
          <cell r="G2376">
            <v>119</v>
          </cell>
        </row>
        <row r="2377">
          <cell r="B2377" t="str">
            <v>AW60JL3500R10000 NOCE</v>
          </cell>
          <cell r="C2377"/>
          <cell r="D2377">
            <v>22</v>
          </cell>
          <cell r="E2377">
            <v>177.9</v>
          </cell>
          <cell r="F2377"/>
          <cell r="G2377">
            <v>119</v>
          </cell>
        </row>
        <row r="2378">
          <cell r="B2378" t="str">
            <v>AW60JR5000R10000 NOCE</v>
          </cell>
          <cell r="C2378"/>
          <cell r="D2378">
            <v>22</v>
          </cell>
          <cell r="E2378">
            <v>177.9</v>
          </cell>
          <cell r="F2378"/>
          <cell r="G2378">
            <v>119</v>
          </cell>
        </row>
        <row r="2379">
          <cell r="B2379" t="str">
            <v>AW60MP4000R10000 NOCE</v>
          </cell>
          <cell r="C2379"/>
          <cell r="D2379">
            <v>22</v>
          </cell>
          <cell r="E2379">
            <v>177.9</v>
          </cell>
          <cell r="F2379"/>
          <cell r="G2379">
            <v>119</v>
          </cell>
        </row>
        <row r="2380">
          <cell r="B2380" t="str">
            <v>AW60TG4000R10000 NOCE</v>
          </cell>
          <cell r="C2380"/>
          <cell r="D2380">
            <v>22</v>
          </cell>
          <cell r="E2380">
            <v>177.9</v>
          </cell>
          <cell r="F2380"/>
          <cell r="G2380">
            <v>119</v>
          </cell>
        </row>
        <row r="2381">
          <cell r="B2381" t="str">
            <v>AW60TG3500R11000 NOCE</v>
          </cell>
          <cell r="C2381"/>
          <cell r="D2381">
            <v>22</v>
          </cell>
          <cell r="E2381">
            <v>177.9</v>
          </cell>
          <cell r="F2381"/>
          <cell r="G2381">
            <v>119</v>
          </cell>
        </row>
        <row r="2382">
          <cell r="B2382" t="str">
            <v>MS3552H21-ANG100M</v>
          </cell>
          <cell r="C2382"/>
          <cell r="D2382">
            <v>22</v>
          </cell>
          <cell r="E2382">
            <v>177.9</v>
          </cell>
          <cell r="F2382"/>
          <cell r="G2382">
            <v>119</v>
          </cell>
        </row>
        <row r="2383">
          <cell r="B2383" t="str">
            <v>MS3552H21-ANG70G</v>
          </cell>
          <cell r="C2383"/>
          <cell r="D2383">
            <v>22</v>
          </cell>
          <cell r="E2383">
            <v>177.9</v>
          </cell>
          <cell r="F2383"/>
          <cell r="G2383">
            <v>119</v>
          </cell>
        </row>
        <row r="2384">
          <cell r="B2384" t="str">
            <v>MS3552H21-PIG100N</v>
          </cell>
          <cell r="C2384"/>
          <cell r="D2384">
            <v>22</v>
          </cell>
          <cell r="E2384">
            <v>177.9</v>
          </cell>
          <cell r="F2384"/>
          <cell r="G2384">
            <v>119</v>
          </cell>
        </row>
        <row r="2385">
          <cell r="B2385" t="str">
            <v>MS3552H26-PIG110J</v>
          </cell>
          <cell r="C2385"/>
          <cell r="D2385">
            <v>22</v>
          </cell>
          <cell r="E2385">
            <v>177.9</v>
          </cell>
          <cell r="F2385"/>
          <cell r="G2385">
            <v>119</v>
          </cell>
        </row>
        <row r="2386">
          <cell r="B2386" t="str">
            <v>HJ70CP350P10020 JP</v>
          </cell>
          <cell r="C2386"/>
          <cell r="D2386">
            <v>56</v>
          </cell>
          <cell r="E2386">
            <v>234</v>
          </cell>
          <cell r="F2386">
            <v>22</v>
          </cell>
          <cell r="G2386">
            <v>289</v>
          </cell>
        </row>
        <row r="2387">
          <cell r="B2387" t="str">
            <v>HJ80IM000P10010 JP</v>
          </cell>
          <cell r="C2387"/>
          <cell r="D2387">
            <v>56</v>
          </cell>
          <cell r="E2387">
            <v>234</v>
          </cell>
          <cell r="F2387">
            <v>22</v>
          </cell>
          <cell r="G2387">
            <v>289</v>
          </cell>
        </row>
        <row r="2388">
          <cell r="B2388" t="str">
            <v>HJ80IM002P10010 JP</v>
          </cell>
          <cell r="C2388"/>
          <cell r="D2388">
            <v>56</v>
          </cell>
          <cell r="E2388">
            <v>234</v>
          </cell>
          <cell r="F2388">
            <v>22</v>
          </cell>
          <cell r="G2388">
            <v>289</v>
          </cell>
        </row>
        <row r="2389">
          <cell r="B2389" t="str">
            <v>HJ80SP302P10000 JP</v>
          </cell>
          <cell r="C2389"/>
          <cell r="D2389">
            <v>56</v>
          </cell>
          <cell r="E2389">
            <v>234</v>
          </cell>
          <cell r="F2389">
            <v>22</v>
          </cell>
          <cell r="G2389">
            <v>289</v>
          </cell>
        </row>
        <row r="2390">
          <cell r="B2390" t="str">
            <v>AGH143091 Q CE2</v>
          </cell>
          <cell r="C2390"/>
          <cell r="D2390">
            <v>21</v>
          </cell>
          <cell r="E2390">
            <v>117.9</v>
          </cell>
          <cell r="F2390">
            <v>32</v>
          </cell>
          <cell r="G2390">
            <v>43</v>
          </cell>
        </row>
        <row r="2391">
          <cell r="B2391" t="str">
            <v>AGH143094R JP</v>
          </cell>
          <cell r="C2391"/>
          <cell r="D2391">
            <v>22</v>
          </cell>
          <cell r="E2391">
            <v>93</v>
          </cell>
          <cell r="F2391">
            <v>22</v>
          </cell>
          <cell r="G2391">
            <v>70</v>
          </cell>
        </row>
        <row r="2392">
          <cell r="B2392" t="str">
            <v>AHW14R001J KR</v>
          </cell>
          <cell r="C2392"/>
          <cell r="D2392">
            <v>27.6</v>
          </cell>
          <cell r="E2392">
            <v>92.6</v>
          </cell>
          <cell r="F2392">
            <v>22</v>
          </cell>
          <cell r="G2392">
            <v>50.5</v>
          </cell>
        </row>
        <row r="2393">
          <cell r="B2393" t="str">
            <v>AHW14R004J KR</v>
          </cell>
          <cell r="C2393"/>
          <cell r="D2393">
            <v>27.6</v>
          </cell>
          <cell r="E2393">
            <v>102.2</v>
          </cell>
          <cell r="F2393">
            <v>22</v>
          </cell>
          <cell r="G2393">
            <v>50.5</v>
          </cell>
        </row>
        <row r="2394">
          <cell r="B2394" t="str">
            <v>AGH147300 P CE2</v>
          </cell>
          <cell r="C2394"/>
          <cell r="D2394">
            <v>21</v>
          </cell>
          <cell r="E2394">
            <v>88</v>
          </cell>
          <cell r="F2394">
            <v>22.08</v>
          </cell>
          <cell r="G2394">
            <v>43</v>
          </cell>
        </row>
        <row r="2395">
          <cell r="B2395" t="str">
            <v>AGH143091 CN</v>
          </cell>
          <cell r="C2395"/>
          <cell r="D2395">
            <v>42.4</v>
          </cell>
          <cell r="E2395">
            <v>92.6</v>
          </cell>
          <cell r="F2395">
            <v>22</v>
          </cell>
          <cell r="G2395">
            <v>58</v>
          </cell>
        </row>
        <row r="2396">
          <cell r="B2396" t="str">
            <v>CRV135-19P CN</v>
          </cell>
          <cell r="C2396"/>
          <cell r="D2396">
            <v>54</v>
          </cell>
          <cell r="E2396">
            <v>135</v>
          </cell>
          <cell r="F2396">
            <v>20</v>
          </cell>
          <cell r="G2396">
            <v>134.19999999999999</v>
          </cell>
        </row>
        <row r="2397">
          <cell r="B2397" t="str">
            <v>AG14M060 KR</v>
          </cell>
          <cell r="C2397"/>
          <cell r="D2397">
            <v>27.6</v>
          </cell>
          <cell r="E2397">
            <v>125.8</v>
          </cell>
          <cell r="F2397">
            <v>22</v>
          </cell>
          <cell r="G2397">
            <v>45.7</v>
          </cell>
        </row>
        <row r="2398">
          <cell r="B2398" t="str">
            <v>AGH143091 KR</v>
          </cell>
          <cell r="C2398"/>
          <cell r="D2398">
            <v>27.6</v>
          </cell>
          <cell r="E2398">
            <v>102.2</v>
          </cell>
          <cell r="F2398">
            <v>22</v>
          </cell>
          <cell r="G2398">
            <v>45.7</v>
          </cell>
        </row>
        <row r="2399">
          <cell r="B2399" t="str">
            <v>WAIN-CKI-008-200 KR</v>
          </cell>
          <cell r="C2399"/>
          <cell r="D2399">
            <v>45.3</v>
          </cell>
          <cell r="E2399">
            <v>140.9</v>
          </cell>
          <cell r="F2399">
            <v>22</v>
          </cell>
          <cell r="G2399">
            <v>141.4</v>
          </cell>
        </row>
        <row r="2400">
          <cell r="B2400" t="str">
            <v>AIN-CKI-200-B-SFT KR</v>
          </cell>
          <cell r="C2400"/>
          <cell r="D2400">
            <v>44</v>
          </cell>
          <cell r="E2400">
            <v>201.4</v>
          </cell>
          <cell r="F2400">
            <v>154</v>
          </cell>
          <cell r="G2400">
            <v>154</v>
          </cell>
        </row>
        <row r="2401">
          <cell r="B2401" t="str">
            <v>AIN-CKI-18-200-BSR JP</v>
          </cell>
          <cell r="C2401"/>
          <cell r="D2401">
            <v>44</v>
          </cell>
          <cell r="E2401">
            <v>141</v>
          </cell>
          <cell r="F2401">
            <v>20</v>
          </cell>
          <cell r="G2401">
            <v>141</v>
          </cell>
        </row>
        <row r="2402">
          <cell r="B2402" t="str">
            <v>AG143090 CN</v>
          </cell>
          <cell r="C2402"/>
          <cell r="D2402">
            <v>41</v>
          </cell>
          <cell r="E2402">
            <v>135</v>
          </cell>
          <cell r="F2402">
            <v>22</v>
          </cell>
          <cell r="G2402">
            <v>58</v>
          </cell>
        </row>
        <row r="2403">
          <cell r="B2403" t="str">
            <v>AHW10S302S CN</v>
          </cell>
          <cell r="C2403"/>
          <cell r="D2403">
            <v>41</v>
          </cell>
          <cell r="E2403">
            <v>135</v>
          </cell>
          <cell r="F2403">
            <v>22</v>
          </cell>
          <cell r="G2403">
            <v>58</v>
          </cell>
        </row>
        <row r="2404">
          <cell r="B2404" t="str">
            <v>AG141002 CN</v>
          </cell>
          <cell r="C2404"/>
          <cell r="D2404">
            <v>41</v>
          </cell>
          <cell r="E2404">
            <v>135</v>
          </cell>
          <cell r="F2404">
            <v>22</v>
          </cell>
          <cell r="G2404">
            <v>58</v>
          </cell>
        </row>
        <row r="2405">
          <cell r="B2405" t="str">
            <v>PSC14110A US</v>
          </cell>
          <cell r="C2405"/>
          <cell r="D2405">
            <v>132</v>
          </cell>
          <cell r="E2405">
            <v>158</v>
          </cell>
          <cell r="F2405">
            <v>20</v>
          </cell>
          <cell r="G2405">
            <v>184</v>
          </cell>
        </row>
        <row r="2406">
          <cell r="B2406" t="str">
            <v xml:space="preserve">PSC14110S US   </v>
          </cell>
          <cell r="C2406"/>
          <cell r="D2406">
            <v>132</v>
          </cell>
          <cell r="E2406">
            <v>158</v>
          </cell>
          <cell r="F2406">
            <v>20</v>
          </cell>
          <cell r="G2406">
            <v>184</v>
          </cell>
        </row>
        <row r="2407">
          <cell r="B2407" t="str">
            <v xml:space="preserve">PSC18110A US   </v>
          </cell>
          <cell r="C2407"/>
          <cell r="D2407">
            <v>132</v>
          </cell>
          <cell r="E2407">
            <v>158</v>
          </cell>
          <cell r="F2407">
            <v>20</v>
          </cell>
          <cell r="G2407">
            <v>184</v>
          </cell>
        </row>
        <row r="2408">
          <cell r="B2408" t="str">
            <v>PSC18110S US</v>
          </cell>
          <cell r="C2408"/>
          <cell r="D2408">
            <v>132</v>
          </cell>
          <cell r="E2408">
            <v>158</v>
          </cell>
          <cell r="F2408">
            <v>20</v>
          </cell>
          <cell r="G2408">
            <v>184</v>
          </cell>
        </row>
        <row r="2409">
          <cell r="B2409" t="str">
            <v>AGH143390 Q CE2</v>
          </cell>
          <cell r="C2409"/>
          <cell r="D2409">
            <v>41</v>
          </cell>
          <cell r="E2409">
            <v>135</v>
          </cell>
          <cell r="F2409">
            <v>22</v>
          </cell>
          <cell r="G2409">
            <v>58</v>
          </cell>
        </row>
        <row r="2410">
          <cell r="B2410" t="str">
            <v>AW52TG4001R11000 NOCE</v>
          </cell>
          <cell r="C2410"/>
          <cell r="D2410">
            <v>22</v>
          </cell>
          <cell r="E2410">
            <v>177.9</v>
          </cell>
          <cell r="F2410"/>
          <cell r="G2410">
            <v>119</v>
          </cell>
        </row>
        <row r="2411">
          <cell r="B2411" t="str">
            <v>HJ80PB352P10000 JP</v>
          </cell>
          <cell r="C2411"/>
          <cell r="D2411">
            <v>56</v>
          </cell>
          <cell r="E2411">
            <v>234</v>
          </cell>
          <cell r="F2411">
            <v>22</v>
          </cell>
          <cell r="G2411">
            <v>289</v>
          </cell>
        </row>
        <row r="2412">
          <cell r="B2412" t="str">
            <v>HJ80SP402P10000 JP</v>
          </cell>
          <cell r="C2412"/>
          <cell r="D2412">
            <v>56</v>
          </cell>
          <cell r="E2412">
            <v>234</v>
          </cell>
          <cell r="F2412">
            <v>22</v>
          </cell>
          <cell r="G2412">
            <v>289</v>
          </cell>
        </row>
        <row r="2413">
          <cell r="B2413" t="str">
            <v>HJ80AL152P10002 JP</v>
          </cell>
          <cell r="C2413"/>
          <cell r="D2413">
            <v>56</v>
          </cell>
          <cell r="E2413">
            <v>234</v>
          </cell>
          <cell r="F2413">
            <v>22</v>
          </cell>
          <cell r="G2413">
            <v>289</v>
          </cell>
        </row>
        <row r="2414">
          <cell r="B2414" t="str">
            <v>AW52AR3000R10000 NOCE</v>
          </cell>
          <cell r="C2414"/>
          <cell r="D2414">
            <v>22</v>
          </cell>
          <cell r="E2414">
            <v>177.9</v>
          </cell>
          <cell r="F2414"/>
          <cell r="G2414">
            <v>119</v>
          </cell>
        </row>
        <row r="2415">
          <cell r="B2415" t="str">
            <v>AIN-CKI-008-200R JP</v>
          </cell>
          <cell r="C2415"/>
          <cell r="D2415">
            <v>44</v>
          </cell>
          <cell r="E2415">
            <v>170.4</v>
          </cell>
          <cell r="F2415">
            <v>22</v>
          </cell>
          <cell r="G2415">
            <v>141</v>
          </cell>
        </row>
        <row r="2416">
          <cell r="B2416" t="str">
            <v>A42B23501H10000R JP</v>
          </cell>
          <cell r="C2416"/>
          <cell r="D2416">
            <v>22</v>
          </cell>
          <cell r="E2416">
            <v>177.9</v>
          </cell>
          <cell r="F2416"/>
          <cell r="G2416">
            <v>119</v>
          </cell>
        </row>
        <row r="2417">
          <cell r="B2417" t="str">
            <v>A42FC3000J13000R JP</v>
          </cell>
          <cell r="C2417"/>
          <cell r="D2417">
            <v>22</v>
          </cell>
          <cell r="E2417">
            <v>177.9</v>
          </cell>
          <cell r="F2417"/>
          <cell r="G2417">
            <v>119</v>
          </cell>
        </row>
        <row r="2418">
          <cell r="B2418" t="str">
            <v>A42SO4002M10000R JP</v>
          </cell>
          <cell r="C2418"/>
          <cell r="D2418">
            <v>22</v>
          </cell>
          <cell r="E2418">
            <v>177.9</v>
          </cell>
          <cell r="F2418"/>
          <cell r="G2418">
            <v>119</v>
          </cell>
        </row>
        <row r="2419">
          <cell r="B2419" t="str">
            <v>AW52AL3000R10000 NOCE</v>
          </cell>
          <cell r="C2419"/>
          <cell r="D2419">
            <v>22</v>
          </cell>
          <cell r="E2419">
            <v>177.9</v>
          </cell>
          <cell r="F2419"/>
          <cell r="G2419">
            <v>119</v>
          </cell>
        </row>
        <row r="2420">
          <cell r="B2420" t="str">
            <v>AGH146000 CN</v>
          </cell>
          <cell r="C2420"/>
          <cell r="D2420">
            <v>42.4</v>
          </cell>
          <cell r="E2420">
            <v>117.9</v>
          </cell>
          <cell r="F2420">
            <v>20</v>
          </cell>
          <cell r="G2420">
            <v>58</v>
          </cell>
        </row>
        <row r="2421">
          <cell r="B2421" t="str">
            <v>AG14M070 CN</v>
          </cell>
          <cell r="C2421"/>
          <cell r="D2421">
            <v>42.4</v>
          </cell>
          <cell r="E2421">
            <v>117.9</v>
          </cell>
          <cell r="F2421">
            <v>20</v>
          </cell>
          <cell r="G2421">
            <v>58</v>
          </cell>
        </row>
        <row r="2422">
          <cell r="B2422" t="str">
            <v>AG14M060 CN</v>
          </cell>
          <cell r="C2422"/>
          <cell r="D2422">
            <v>42.4</v>
          </cell>
          <cell r="E2422">
            <v>117.9</v>
          </cell>
          <cell r="F2422">
            <v>20</v>
          </cell>
          <cell r="G2422">
            <v>58</v>
          </cell>
        </row>
        <row r="2423">
          <cell r="B2423" t="str">
            <v>AG14M050 CN</v>
          </cell>
          <cell r="C2423"/>
          <cell r="D2423">
            <v>42.4</v>
          </cell>
          <cell r="E2423">
            <v>117.9</v>
          </cell>
          <cell r="F2423">
            <v>20</v>
          </cell>
          <cell r="G2423">
            <v>58</v>
          </cell>
        </row>
        <row r="2424">
          <cell r="B2424" t="str">
            <v>AG14M070 KR</v>
          </cell>
          <cell r="C2424"/>
          <cell r="D2424">
            <v>33.700000000000003</v>
          </cell>
          <cell r="E2424">
            <v>122</v>
          </cell>
          <cell r="F2424"/>
          <cell r="G2424">
            <v>64</v>
          </cell>
        </row>
        <row r="2425">
          <cell r="B2425" t="str">
            <v>HJ60IL350P10000 JP</v>
          </cell>
          <cell r="C2425"/>
          <cell r="D2425">
            <v>56</v>
          </cell>
          <cell r="E2425">
            <v>234</v>
          </cell>
          <cell r="F2425">
            <v>22</v>
          </cell>
          <cell r="G2425">
            <v>289</v>
          </cell>
        </row>
        <row r="2426">
          <cell r="B2426" t="str">
            <v>HJ60IL400P10000 JP</v>
          </cell>
          <cell r="C2426"/>
          <cell r="D2426">
            <v>56</v>
          </cell>
          <cell r="E2426">
            <v>234</v>
          </cell>
          <cell r="F2426">
            <v>22</v>
          </cell>
          <cell r="G2426">
            <v>289</v>
          </cell>
        </row>
        <row r="2427">
          <cell r="B2427" t="str">
            <v>HJ80PB402P10000 JP</v>
          </cell>
          <cell r="C2427"/>
          <cell r="D2427">
            <v>56</v>
          </cell>
          <cell r="E2427">
            <v>234</v>
          </cell>
          <cell r="F2427">
            <v>22</v>
          </cell>
          <cell r="G2427">
            <v>289</v>
          </cell>
        </row>
        <row r="2428">
          <cell r="B2428" t="str">
            <v>AHW14R313S US</v>
          </cell>
          <cell r="C2428"/>
          <cell r="D2428">
            <v>42.4</v>
          </cell>
          <cell r="E2428">
            <v>117.9</v>
          </cell>
          <cell r="F2428">
            <v>20</v>
          </cell>
          <cell r="G2428">
            <v>58</v>
          </cell>
        </row>
        <row r="2429">
          <cell r="B2429" t="str">
            <v>AGP140302 KR</v>
          </cell>
          <cell r="C2429"/>
          <cell r="D2429">
            <v>42.4</v>
          </cell>
          <cell r="E2429">
            <v>117.9</v>
          </cell>
          <cell r="F2429">
            <v>20</v>
          </cell>
          <cell r="G2429">
            <v>58</v>
          </cell>
        </row>
        <row r="2430">
          <cell r="B2430" t="str">
            <v>AHW14R013P CE3</v>
          </cell>
          <cell r="C2430"/>
          <cell r="D2430">
            <v>21</v>
          </cell>
          <cell r="E2430">
            <v>92.6</v>
          </cell>
          <cell r="F2430">
            <v>20</v>
          </cell>
          <cell r="G2430">
            <v>43</v>
          </cell>
        </row>
        <row r="2431">
          <cell r="B2431" t="str">
            <v>AHW10S302S KR</v>
          </cell>
          <cell r="C2431"/>
          <cell r="D2431">
            <v>21</v>
          </cell>
          <cell r="E2431">
            <v>92.6</v>
          </cell>
          <cell r="F2431">
            <v>20</v>
          </cell>
          <cell r="G2431">
            <v>43</v>
          </cell>
        </row>
        <row r="2432">
          <cell r="B2432" t="str">
            <v>HJ80SC350P10000 JP</v>
          </cell>
          <cell r="C2432"/>
          <cell r="D2432">
            <v>56</v>
          </cell>
          <cell r="E2432">
            <v>234</v>
          </cell>
          <cell r="F2432">
            <v>22</v>
          </cell>
          <cell r="G2432">
            <v>289</v>
          </cell>
        </row>
        <row r="2433">
          <cell r="B2433" t="str">
            <v>HJ60SL102P10000 JP</v>
          </cell>
          <cell r="C2433"/>
          <cell r="D2433">
            <v>56</v>
          </cell>
          <cell r="E2433">
            <v>234</v>
          </cell>
          <cell r="F2433">
            <v>22</v>
          </cell>
          <cell r="G2433">
            <v>289</v>
          </cell>
        </row>
        <row r="2434">
          <cell r="B2434" t="str">
            <v>AHW14R001J CE3</v>
          </cell>
          <cell r="C2434"/>
          <cell r="D2434">
            <v>21</v>
          </cell>
          <cell r="E2434">
            <v>92.6</v>
          </cell>
          <cell r="F2434">
            <v>20</v>
          </cell>
          <cell r="G2434">
            <v>43</v>
          </cell>
        </row>
        <row r="2435">
          <cell r="B2435" t="str">
            <v>AHW14R013P US</v>
          </cell>
          <cell r="C2435"/>
          <cell r="D2435">
            <v>21</v>
          </cell>
          <cell r="E2435">
            <v>92.6</v>
          </cell>
          <cell r="F2435">
            <v>20</v>
          </cell>
          <cell r="G2435">
            <v>43</v>
          </cell>
        </row>
        <row r="2436">
          <cell r="B2436" t="str">
            <v>AHW14R001S CE3</v>
          </cell>
          <cell r="C2436"/>
          <cell r="D2436">
            <v>21</v>
          </cell>
          <cell r="E2436">
            <v>92.6</v>
          </cell>
          <cell r="F2436">
            <v>20</v>
          </cell>
          <cell r="G2436">
            <v>43</v>
          </cell>
        </row>
        <row r="2437">
          <cell r="B2437" t="str">
            <v>AHW14R104S CE</v>
          </cell>
          <cell r="C2437"/>
          <cell r="D2437">
            <v>21</v>
          </cell>
          <cell r="E2437">
            <v>92.6</v>
          </cell>
          <cell r="F2437">
            <v>20</v>
          </cell>
          <cell r="G2437">
            <v>43</v>
          </cell>
        </row>
        <row r="2438">
          <cell r="B2438" t="str">
            <v>AHW14R104J CE</v>
          </cell>
          <cell r="C2438"/>
          <cell r="D2438">
            <v>21</v>
          </cell>
          <cell r="E2438">
            <v>92.6</v>
          </cell>
          <cell r="F2438">
            <v>20</v>
          </cell>
          <cell r="G2438">
            <v>43</v>
          </cell>
        </row>
        <row r="2439">
          <cell r="B2439" t="str">
            <v>AHW14R101J CE</v>
          </cell>
          <cell r="C2439"/>
          <cell r="D2439">
            <v>21</v>
          </cell>
          <cell r="E2439">
            <v>92.6</v>
          </cell>
          <cell r="F2439">
            <v>20</v>
          </cell>
          <cell r="G2439">
            <v>43</v>
          </cell>
        </row>
        <row r="2440">
          <cell r="B2440" t="str">
            <v>AHW14R101P CE</v>
          </cell>
          <cell r="C2440"/>
          <cell r="D2440">
            <v>21</v>
          </cell>
          <cell r="E2440">
            <v>92.6</v>
          </cell>
          <cell r="F2440">
            <v>20</v>
          </cell>
          <cell r="G2440">
            <v>43</v>
          </cell>
        </row>
        <row r="2441">
          <cell r="B2441" t="str">
            <v>AHW14R104P CE</v>
          </cell>
          <cell r="C2441"/>
          <cell r="D2441">
            <v>21</v>
          </cell>
          <cell r="E2441">
            <v>92.6</v>
          </cell>
          <cell r="F2441">
            <v>20</v>
          </cell>
          <cell r="G2441">
            <v>43</v>
          </cell>
        </row>
        <row r="2442">
          <cell r="B2442" t="str">
            <v>AHW14R301P CE</v>
          </cell>
          <cell r="C2442"/>
          <cell r="D2442">
            <v>21</v>
          </cell>
          <cell r="E2442">
            <v>92.6</v>
          </cell>
          <cell r="F2442">
            <v>20</v>
          </cell>
          <cell r="G2442">
            <v>43</v>
          </cell>
        </row>
        <row r="2443">
          <cell r="B2443" t="str">
            <v>AHW14R304P CE</v>
          </cell>
          <cell r="C2443"/>
          <cell r="D2443">
            <v>21</v>
          </cell>
          <cell r="E2443">
            <v>92.6</v>
          </cell>
          <cell r="F2443">
            <v>20</v>
          </cell>
          <cell r="G2443">
            <v>43</v>
          </cell>
        </row>
        <row r="2444">
          <cell r="B2444" t="str">
            <v>AHW14R101S CE</v>
          </cell>
          <cell r="C2444"/>
          <cell r="D2444">
            <v>21</v>
          </cell>
          <cell r="E2444">
            <v>92.6</v>
          </cell>
          <cell r="F2444">
            <v>20</v>
          </cell>
          <cell r="G2444">
            <v>43</v>
          </cell>
        </row>
        <row r="2445">
          <cell r="B2445" t="str">
            <v>AHW14R313S CE4</v>
          </cell>
          <cell r="C2445"/>
          <cell r="D2445">
            <v>21</v>
          </cell>
          <cell r="E2445">
            <v>92.6</v>
          </cell>
          <cell r="F2445">
            <v>20</v>
          </cell>
          <cell r="G2445">
            <v>43</v>
          </cell>
        </row>
        <row r="2446">
          <cell r="B2446" t="str">
            <v>AHW14R013P CE4</v>
          </cell>
          <cell r="C2446"/>
          <cell r="D2446">
            <v>21</v>
          </cell>
          <cell r="E2446">
            <v>92.6</v>
          </cell>
          <cell r="F2446">
            <v>20</v>
          </cell>
          <cell r="G2446">
            <v>43</v>
          </cell>
        </row>
        <row r="2447">
          <cell r="B2447" t="str">
            <v>AHW14R013S CE4</v>
          </cell>
          <cell r="C2447"/>
          <cell r="D2447">
            <v>21</v>
          </cell>
          <cell r="E2447">
            <v>92.6</v>
          </cell>
          <cell r="F2447">
            <v>20</v>
          </cell>
          <cell r="G2447">
            <v>43</v>
          </cell>
        </row>
        <row r="2448">
          <cell r="B2448" t="str">
            <v>AHW14R304S CE3</v>
          </cell>
          <cell r="C2448"/>
          <cell r="D2448">
            <v>21</v>
          </cell>
          <cell r="E2448">
            <v>92.6</v>
          </cell>
          <cell r="F2448">
            <v>20</v>
          </cell>
          <cell r="G2448">
            <v>43</v>
          </cell>
        </row>
        <row r="2449">
          <cell r="B2449" t="str">
            <v>AHW14R004S CE3</v>
          </cell>
          <cell r="C2449"/>
          <cell r="D2449">
            <v>44</v>
          </cell>
          <cell r="E2449">
            <v>162.4</v>
          </cell>
          <cell r="F2449">
            <v>20</v>
          </cell>
          <cell r="G2449">
            <v>147</v>
          </cell>
        </row>
        <row r="2450">
          <cell r="B2450" t="str">
            <v>WAIN-CKI-200-BS CE2</v>
          </cell>
          <cell r="C2450"/>
          <cell r="D2450">
            <v>44</v>
          </cell>
          <cell r="E2450">
            <v>162.4</v>
          </cell>
          <cell r="F2450">
            <v>20</v>
          </cell>
          <cell r="G2450">
            <v>147</v>
          </cell>
        </row>
        <row r="2451">
          <cell r="B2451" t="str">
            <v>AHW14R313P CE3</v>
          </cell>
          <cell r="C2451"/>
          <cell r="D2451">
            <v>21</v>
          </cell>
          <cell r="E2451">
            <v>92.6</v>
          </cell>
          <cell r="F2451">
            <v>20</v>
          </cell>
          <cell r="G2451">
            <v>43</v>
          </cell>
        </row>
        <row r="2452">
          <cell r="B2452" t="str">
            <v>AHW14R004J CE3</v>
          </cell>
          <cell r="C2452"/>
          <cell r="D2452">
            <v>21</v>
          </cell>
          <cell r="E2452">
            <v>92.6</v>
          </cell>
          <cell r="F2452">
            <v>20</v>
          </cell>
          <cell r="G2452">
            <v>43</v>
          </cell>
        </row>
        <row r="2453">
          <cell r="B2453" t="str">
            <v>HJ70AL202P10020 JP</v>
          </cell>
          <cell r="C2453"/>
          <cell r="D2453">
            <v>56</v>
          </cell>
          <cell r="E2453">
            <v>234</v>
          </cell>
          <cell r="F2453">
            <v>22</v>
          </cell>
          <cell r="G2453">
            <v>289</v>
          </cell>
        </row>
        <row r="2454">
          <cell r="B2454" t="str">
            <v>HJ80AL070P10001 JP</v>
          </cell>
          <cell r="C2454"/>
          <cell r="D2454">
            <v>56</v>
          </cell>
          <cell r="E2454">
            <v>234</v>
          </cell>
          <cell r="F2454">
            <v>22</v>
          </cell>
          <cell r="G2454">
            <v>289</v>
          </cell>
        </row>
        <row r="2455">
          <cell r="B2455" t="str">
            <v>WAIN-CKI-008-200 CE2</v>
          </cell>
          <cell r="C2455"/>
          <cell r="D2455">
            <v>44</v>
          </cell>
          <cell r="E2455">
            <v>162.4</v>
          </cell>
          <cell r="F2455">
            <v>20</v>
          </cell>
          <cell r="G2455">
            <v>147</v>
          </cell>
        </row>
        <row r="2456">
          <cell r="B2456" t="str">
            <v>WAIN-CKI-10-200 CE3</v>
          </cell>
          <cell r="C2456"/>
          <cell r="D2456">
            <v>44</v>
          </cell>
          <cell r="E2456">
            <v>162.4</v>
          </cell>
          <cell r="F2456">
            <v>20</v>
          </cell>
          <cell r="G2456">
            <v>147</v>
          </cell>
        </row>
        <row r="2457">
          <cell r="B2457" t="str">
            <v>AGP140001 CE3</v>
          </cell>
          <cell r="C2457"/>
          <cell r="D2457">
            <v>21</v>
          </cell>
          <cell r="E2457">
            <v>92.6</v>
          </cell>
          <cell r="F2457">
            <v>20</v>
          </cell>
          <cell r="G2457">
            <v>43</v>
          </cell>
        </row>
        <row r="2458">
          <cell r="B2458" t="str">
            <v>WAIN-CKI-10-300 CE3</v>
          </cell>
          <cell r="C2458"/>
          <cell r="D2458">
            <v>44</v>
          </cell>
          <cell r="E2458">
            <v>162.4</v>
          </cell>
          <cell r="F2458">
            <v>20</v>
          </cell>
          <cell r="G2458">
            <v>147</v>
          </cell>
        </row>
        <row r="2459">
          <cell r="B2459" t="str">
            <v>WAIN-CKI-18-200-BS CE2</v>
          </cell>
          <cell r="C2459"/>
          <cell r="D2459">
            <v>44</v>
          </cell>
          <cell r="E2459">
            <v>162.4</v>
          </cell>
          <cell r="F2459">
            <v>20</v>
          </cell>
          <cell r="G2459">
            <v>147</v>
          </cell>
        </row>
        <row r="2460">
          <cell r="B2460" t="str">
            <v>AHW14R013S CE3</v>
          </cell>
          <cell r="C2460"/>
          <cell r="D2460">
            <v>21</v>
          </cell>
          <cell r="E2460">
            <v>92.6</v>
          </cell>
          <cell r="F2460">
            <v>20</v>
          </cell>
          <cell r="G2460">
            <v>43</v>
          </cell>
        </row>
        <row r="2461">
          <cell r="B2461" t="str">
            <v>AGH143091 Q CE3</v>
          </cell>
          <cell r="C2461"/>
          <cell r="D2461">
            <v>21</v>
          </cell>
          <cell r="E2461">
            <v>92.6</v>
          </cell>
          <cell r="F2461">
            <v>20</v>
          </cell>
          <cell r="G2461">
            <v>43</v>
          </cell>
        </row>
        <row r="2462">
          <cell r="B2462" t="str">
            <v>AG14M060 CE3</v>
          </cell>
          <cell r="C2462"/>
          <cell r="D2462">
            <v>21</v>
          </cell>
          <cell r="E2462">
            <v>92.6</v>
          </cell>
          <cell r="F2462">
            <v>20</v>
          </cell>
          <cell r="G2462">
            <v>43</v>
          </cell>
        </row>
        <row r="2463">
          <cell r="B2463" t="str">
            <v>WAIN-CKI-200-BA CE2</v>
          </cell>
          <cell r="C2463"/>
          <cell r="D2463">
            <v>44</v>
          </cell>
          <cell r="E2463">
            <v>162.4</v>
          </cell>
          <cell r="F2463">
            <v>20</v>
          </cell>
          <cell r="G2463">
            <v>147</v>
          </cell>
        </row>
        <row r="2464">
          <cell r="B2464" t="str">
            <v>AGH146000 R CE3</v>
          </cell>
          <cell r="C2464"/>
          <cell r="D2464">
            <v>21</v>
          </cell>
          <cell r="E2464">
            <v>92.6</v>
          </cell>
          <cell r="F2464">
            <v>20</v>
          </cell>
          <cell r="G2464">
            <v>43</v>
          </cell>
        </row>
        <row r="2465">
          <cell r="B2465" t="str">
            <v>AGH147000 P CE3</v>
          </cell>
          <cell r="C2465"/>
          <cell r="D2465">
            <v>21</v>
          </cell>
          <cell r="E2465">
            <v>92.6</v>
          </cell>
          <cell r="F2465">
            <v>20</v>
          </cell>
          <cell r="G2465">
            <v>43</v>
          </cell>
        </row>
        <row r="2466">
          <cell r="B2466" t="str">
            <v>AHW10S302S CE3</v>
          </cell>
          <cell r="C2466"/>
          <cell r="D2466">
            <v>21</v>
          </cell>
          <cell r="E2466">
            <v>92.6</v>
          </cell>
          <cell r="F2466">
            <v>20</v>
          </cell>
          <cell r="G2466">
            <v>43</v>
          </cell>
        </row>
        <row r="2467">
          <cell r="B2467" t="str">
            <v>AGP140002 CE3</v>
          </cell>
          <cell r="C2467"/>
          <cell r="D2467">
            <v>21</v>
          </cell>
          <cell r="E2467">
            <v>92.6</v>
          </cell>
          <cell r="F2467">
            <v>20</v>
          </cell>
          <cell r="G2467">
            <v>43</v>
          </cell>
        </row>
        <row r="2468">
          <cell r="B2468" t="str">
            <v>AHW14S003S CE3</v>
          </cell>
          <cell r="C2468"/>
          <cell r="D2468">
            <v>21</v>
          </cell>
          <cell r="E2468">
            <v>92.6</v>
          </cell>
          <cell r="F2468">
            <v>20</v>
          </cell>
          <cell r="G2468">
            <v>43</v>
          </cell>
        </row>
        <row r="2469">
          <cell r="B2469" t="str">
            <v>AG14M050 CE3</v>
          </cell>
          <cell r="C2469"/>
          <cell r="D2469">
            <v>21</v>
          </cell>
          <cell r="E2469">
            <v>92.6</v>
          </cell>
          <cell r="F2469">
            <v>20</v>
          </cell>
          <cell r="G2469">
            <v>43</v>
          </cell>
        </row>
        <row r="2470">
          <cell r="B2470" t="str">
            <v>AG141002 CE3</v>
          </cell>
          <cell r="C2470"/>
          <cell r="D2470">
            <v>21</v>
          </cell>
          <cell r="E2470">
            <v>92.6</v>
          </cell>
          <cell r="F2470">
            <v>20</v>
          </cell>
          <cell r="G2470">
            <v>43</v>
          </cell>
        </row>
        <row r="2471">
          <cell r="B2471" t="str">
            <v>AG14M070 CE3</v>
          </cell>
          <cell r="C2471"/>
          <cell r="D2471">
            <v>21</v>
          </cell>
          <cell r="E2471">
            <v>92.6</v>
          </cell>
          <cell r="F2471">
            <v>20</v>
          </cell>
          <cell r="G2471">
            <v>43</v>
          </cell>
        </row>
        <row r="2472">
          <cell r="B2472" t="str">
            <v>AGH143090 Q CE3</v>
          </cell>
          <cell r="C2472"/>
          <cell r="D2472">
            <v>21</v>
          </cell>
          <cell r="E2472">
            <v>92.6</v>
          </cell>
          <cell r="F2472">
            <v>20</v>
          </cell>
          <cell r="G2472">
            <v>43</v>
          </cell>
        </row>
        <row r="2473">
          <cell r="B2473" t="str">
            <v>AGH143091 F CE3</v>
          </cell>
          <cell r="C2473"/>
          <cell r="D2473">
            <v>21</v>
          </cell>
          <cell r="E2473">
            <v>92.6</v>
          </cell>
          <cell r="F2473">
            <v>20</v>
          </cell>
          <cell r="G2473">
            <v>43</v>
          </cell>
        </row>
        <row r="2474">
          <cell r="B2474" t="str">
            <v>AHW14R304S KR</v>
          </cell>
          <cell r="C2474"/>
          <cell r="D2474">
            <v>21</v>
          </cell>
          <cell r="E2474">
            <v>92.6</v>
          </cell>
          <cell r="F2474">
            <v>20</v>
          </cell>
          <cell r="G2474">
            <v>43</v>
          </cell>
        </row>
        <row r="2475">
          <cell r="B2475" t="str">
            <v>AGP140000 CE3</v>
          </cell>
          <cell r="C2475"/>
          <cell r="D2475">
            <v>21</v>
          </cell>
          <cell r="E2475">
            <v>92.6</v>
          </cell>
          <cell r="F2475">
            <v>20</v>
          </cell>
          <cell r="G2475">
            <v>43</v>
          </cell>
        </row>
        <row r="2476">
          <cell r="B2476" t="str">
            <v>AG143090 Q CE3</v>
          </cell>
          <cell r="C2476"/>
          <cell r="D2476">
            <v>21</v>
          </cell>
          <cell r="E2476">
            <v>92.6</v>
          </cell>
          <cell r="F2476">
            <v>20</v>
          </cell>
          <cell r="G2476">
            <v>43</v>
          </cell>
        </row>
        <row r="2477">
          <cell r="B2477" t="str">
            <v>AH14R013PR JP</v>
          </cell>
          <cell r="C2477"/>
          <cell r="D2477">
            <v>21</v>
          </cell>
          <cell r="E2477">
            <v>92.6</v>
          </cell>
          <cell r="F2477">
            <v>20</v>
          </cell>
          <cell r="G2477">
            <v>43</v>
          </cell>
        </row>
        <row r="2478">
          <cell r="B2478" t="str">
            <v>PAGH143392 CN</v>
          </cell>
          <cell r="C2478"/>
          <cell r="D2478">
            <v>42.4</v>
          </cell>
          <cell r="E2478">
            <v>117.9</v>
          </cell>
          <cell r="F2478">
            <v>20</v>
          </cell>
          <cell r="G2478">
            <v>58</v>
          </cell>
        </row>
        <row r="2479">
          <cell r="B2479" t="str">
            <v>PAGH18M372 CN</v>
          </cell>
          <cell r="C2479"/>
          <cell r="D2479">
            <v>42.4</v>
          </cell>
          <cell r="E2479">
            <v>117.9</v>
          </cell>
          <cell r="F2479">
            <v>20</v>
          </cell>
          <cell r="G2479">
            <v>58</v>
          </cell>
        </row>
        <row r="2480">
          <cell r="B2480" t="str">
            <v>AG14M060 b CE3</v>
          </cell>
          <cell r="C2480"/>
          <cell r="D2480">
            <v>21</v>
          </cell>
          <cell r="E2480">
            <v>92.6</v>
          </cell>
          <cell r="F2480">
            <v>20</v>
          </cell>
          <cell r="G2480">
            <v>43</v>
          </cell>
        </row>
        <row r="2481">
          <cell r="B2481" t="str">
            <v>AGH143090 F CE3</v>
          </cell>
          <cell r="C2481"/>
          <cell r="D2481">
            <v>21</v>
          </cell>
          <cell r="E2481">
            <v>92.6</v>
          </cell>
          <cell r="F2481">
            <v>20</v>
          </cell>
          <cell r="G2481">
            <v>43</v>
          </cell>
        </row>
        <row r="2482">
          <cell r="B2482" t="str">
            <v>AG14M070 b CE3</v>
          </cell>
          <cell r="C2482"/>
          <cell r="D2482">
            <v>21</v>
          </cell>
          <cell r="E2482">
            <v>92.6</v>
          </cell>
          <cell r="F2482">
            <v>20</v>
          </cell>
          <cell r="G2482">
            <v>43</v>
          </cell>
        </row>
        <row r="2483">
          <cell r="B2483" t="str">
            <v>AGH146000 P CE3</v>
          </cell>
          <cell r="C2483"/>
          <cell r="D2483">
            <v>21</v>
          </cell>
          <cell r="E2483">
            <v>92.6</v>
          </cell>
          <cell r="F2483">
            <v>20</v>
          </cell>
          <cell r="G2483">
            <v>43</v>
          </cell>
        </row>
        <row r="2484">
          <cell r="B2484" t="str">
            <v>AG141302 CE3</v>
          </cell>
          <cell r="C2484"/>
          <cell r="D2484">
            <v>21</v>
          </cell>
          <cell r="E2484">
            <v>92.6</v>
          </cell>
          <cell r="F2484">
            <v>20</v>
          </cell>
          <cell r="G2484">
            <v>43</v>
          </cell>
        </row>
        <row r="2485">
          <cell r="B2485" t="str">
            <v>AHW14R013S US</v>
          </cell>
          <cell r="C2485"/>
          <cell r="D2485">
            <v>21</v>
          </cell>
          <cell r="E2485">
            <v>92.6</v>
          </cell>
          <cell r="F2485">
            <v>20</v>
          </cell>
          <cell r="G2485">
            <v>43</v>
          </cell>
        </row>
        <row r="2486">
          <cell r="B2486" t="str">
            <v>AG14M050 b CE3</v>
          </cell>
          <cell r="C2486"/>
          <cell r="D2486">
            <v>21</v>
          </cell>
          <cell r="E2486">
            <v>92.6</v>
          </cell>
          <cell r="F2486">
            <v>20</v>
          </cell>
          <cell r="G2486">
            <v>43</v>
          </cell>
        </row>
        <row r="2487">
          <cell r="B2487" t="str">
            <v>AG141002J CE3</v>
          </cell>
          <cell r="C2487"/>
          <cell r="D2487">
            <v>21</v>
          </cell>
          <cell r="E2487">
            <v>92.6</v>
          </cell>
          <cell r="F2487">
            <v>20</v>
          </cell>
          <cell r="G2487">
            <v>43</v>
          </cell>
        </row>
        <row r="2488">
          <cell r="B2488" t="str">
            <v>AGH147000J P CE3</v>
          </cell>
          <cell r="C2488"/>
          <cell r="D2488">
            <v>21</v>
          </cell>
          <cell r="E2488">
            <v>92.6</v>
          </cell>
          <cell r="F2488">
            <v>20</v>
          </cell>
          <cell r="G2488">
            <v>43</v>
          </cell>
        </row>
        <row r="2489">
          <cell r="B2489" t="str">
            <v>AG14M370 b CE3</v>
          </cell>
          <cell r="C2489"/>
          <cell r="D2489">
            <v>21</v>
          </cell>
          <cell r="E2489">
            <v>92.6</v>
          </cell>
          <cell r="F2489">
            <v>20</v>
          </cell>
          <cell r="G2489">
            <v>43</v>
          </cell>
        </row>
        <row r="2490">
          <cell r="B2490" t="str">
            <v>AG14M360 b CE3</v>
          </cell>
          <cell r="C2490"/>
          <cell r="D2490">
            <v>21</v>
          </cell>
          <cell r="E2490">
            <v>92.6</v>
          </cell>
          <cell r="F2490">
            <v>20</v>
          </cell>
          <cell r="G2490">
            <v>43</v>
          </cell>
        </row>
        <row r="2491">
          <cell r="B2491" t="str">
            <v>AHW14S303S CE3</v>
          </cell>
          <cell r="C2491"/>
          <cell r="D2491">
            <v>21</v>
          </cell>
          <cell r="E2491">
            <v>92.6</v>
          </cell>
          <cell r="F2491">
            <v>20</v>
          </cell>
          <cell r="G2491">
            <v>43</v>
          </cell>
        </row>
        <row r="2492">
          <cell r="B2492" t="str">
            <v>FI025A45 JP</v>
          </cell>
          <cell r="C2492"/>
          <cell r="D2492">
            <v>44</v>
          </cell>
          <cell r="E2492">
            <v>179.8</v>
          </cell>
          <cell r="F2492">
            <v>20</v>
          </cell>
          <cell r="G2492">
            <v>172</v>
          </cell>
        </row>
        <row r="2493">
          <cell r="B2493" t="str">
            <v>AGH146000J R CE3</v>
          </cell>
          <cell r="C2493"/>
          <cell r="D2493">
            <v>21</v>
          </cell>
          <cell r="E2493">
            <v>92.6</v>
          </cell>
          <cell r="F2493">
            <v>20</v>
          </cell>
          <cell r="G2493">
            <v>43</v>
          </cell>
        </row>
        <row r="2494">
          <cell r="B2494" t="str">
            <v>AGH146000J P CE3</v>
          </cell>
          <cell r="C2494"/>
          <cell r="D2494">
            <v>21</v>
          </cell>
          <cell r="E2494">
            <v>92.6</v>
          </cell>
          <cell r="F2494">
            <v>20</v>
          </cell>
          <cell r="G2494">
            <v>43</v>
          </cell>
        </row>
        <row r="2495">
          <cell r="B2495" t="str">
            <v>AGH146000R JP</v>
          </cell>
          <cell r="C2495"/>
          <cell r="D2495">
            <v>21</v>
          </cell>
          <cell r="E2495">
            <v>92.6</v>
          </cell>
          <cell r="F2495">
            <v>20</v>
          </cell>
          <cell r="G2495">
            <v>43</v>
          </cell>
        </row>
        <row r="2496">
          <cell r="B2496" t="str">
            <v>AW52JL4500R10000 NOCE</v>
          </cell>
          <cell r="C2496"/>
          <cell r="D2496">
            <v>22</v>
          </cell>
          <cell r="E2496">
            <v>177.9</v>
          </cell>
          <cell r="F2496"/>
          <cell r="G2496">
            <v>119</v>
          </cell>
        </row>
        <row r="2497">
          <cell r="B2497" t="str">
            <v>AW52JR4500R10000 NOCE</v>
          </cell>
          <cell r="C2497"/>
          <cell r="D2497">
            <v>22</v>
          </cell>
          <cell r="E2497">
            <v>177.9</v>
          </cell>
          <cell r="F2497"/>
          <cell r="G2497">
            <v>119</v>
          </cell>
        </row>
        <row r="2498">
          <cell r="B2498" t="str">
            <v>AW60JL4500R10000 NOCE</v>
          </cell>
          <cell r="C2498"/>
          <cell r="D2498">
            <v>22</v>
          </cell>
          <cell r="E2498">
            <v>177.9</v>
          </cell>
          <cell r="F2498"/>
          <cell r="G2498">
            <v>119</v>
          </cell>
        </row>
        <row r="2499">
          <cell r="B2499" t="str">
            <v>AW60TG3501R10000 NOCE</v>
          </cell>
          <cell r="C2499"/>
          <cell r="D2499">
            <v>22</v>
          </cell>
          <cell r="E2499">
            <v>177.9</v>
          </cell>
          <cell r="F2499"/>
          <cell r="G2499">
            <v>119</v>
          </cell>
        </row>
        <row r="2500">
          <cell r="B2500" t="str">
            <v>AW60TG3501R11000 NOCE</v>
          </cell>
          <cell r="C2500"/>
          <cell r="D2500">
            <v>22</v>
          </cell>
          <cell r="E2500">
            <v>177.9</v>
          </cell>
          <cell r="F2500"/>
          <cell r="G2500">
            <v>119</v>
          </cell>
        </row>
        <row r="2501">
          <cell r="B2501" t="str">
            <v>AW60TG4000R11000 NOCE</v>
          </cell>
          <cell r="C2501"/>
          <cell r="D2501">
            <v>22</v>
          </cell>
          <cell r="E2501">
            <v>177.9</v>
          </cell>
          <cell r="F2501"/>
          <cell r="G2501">
            <v>119</v>
          </cell>
        </row>
        <row r="2502">
          <cell r="B2502" t="str">
            <v>AHW14R301S CE3</v>
          </cell>
          <cell r="C2502"/>
          <cell r="D2502">
            <v>21</v>
          </cell>
          <cell r="E2502">
            <v>92.6</v>
          </cell>
          <cell r="F2502">
            <v>20</v>
          </cell>
          <cell r="G2502">
            <v>43</v>
          </cell>
        </row>
        <row r="2503">
          <cell r="B2503" t="str">
            <v>AGH143391 F CE3</v>
          </cell>
          <cell r="C2503"/>
          <cell r="D2503">
            <v>21</v>
          </cell>
          <cell r="E2503">
            <v>92.6</v>
          </cell>
          <cell r="F2503">
            <v>20</v>
          </cell>
          <cell r="G2503">
            <v>43</v>
          </cell>
        </row>
        <row r="2504">
          <cell r="B2504" t="str">
            <v>AGP140301 CE3</v>
          </cell>
          <cell r="C2504"/>
          <cell r="D2504">
            <v>21</v>
          </cell>
          <cell r="E2504">
            <v>92.6</v>
          </cell>
          <cell r="F2504">
            <v>20</v>
          </cell>
          <cell r="G2504">
            <v>43</v>
          </cell>
        </row>
        <row r="2505">
          <cell r="B2505" t="str">
            <v>AG14M350 b CE3</v>
          </cell>
          <cell r="C2505"/>
          <cell r="D2505">
            <v>21</v>
          </cell>
          <cell r="E2505">
            <v>92.6</v>
          </cell>
          <cell r="F2505">
            <v>20</v>
          </cell>
          <cell r="G2505">
            <v>43</v>
          </cell>
        </row>
        <row r="2506">
          <cell r="B2506" t="str">
            <v>APW14R005S CE4</v>
          </cell>
          <cell r="C2506"/>
          <cell r="D2506">
            <v>21</v>
          </cell>
          <cell r="E2506">
            <v>92.6</v>
          </cell>
          <cell r="F2506">
            <v>20</v>
          </cell>
          <cell r="G2506">
            <v>43</v>
          </cell>
        </row>
        <row r="2507">
          <cell r="B2507" t="str">
            <v>HJ80JL352P10001 JP</v>
          </cell>
          <cell r="C2507"/>
          <cell r="D2507">
            <v>56</v>
          </cell>
          <cell r="E2507">
            <v>234</v>
          </cell>
          <cell r="F2507">
            <v>22</v>
          </cell>
          <cell r="G2507">
            <v>289</v>
          </cell>
        </row>
        <row r="2508">
          <cell r="B2508" t="str">
            <v>AGP140000J CE3</v>
          </cell>
          <cell r="C2508"/>
          <cell r="D2508">
            <v>21</v>
          </cell>
          <cell r="E2508">
            <v>92.6</v>
          </cell>
          <cell r="F2508">
            <v>20</v>
          </cell>
          <cell r="G2508">
            <v>43</v>
          </cell>
        </row>
        <row r="2509">
          <cell r="B2509" t="str">
            <v>WAMS-165-16WA US</v>
          </cell>
          <cell r="C2509"/>
          <cell r="D2509">
            <v>44</v>
          </cell>
          <cell r="E2509">
            <v>162.4</v>
          </cell>
          <cell r="F2509">
            <v>20</v>
          </cell>
          <cell r="G2509">
            <v>147</v>
          </cell>
        </row>
        <row r="2510">
          <cell r="B2510" t="str">
            <v>HJ70AL200P10020 JP</v>
          </cell>
          <cell r="C2510"/>
          <cell r="D2510">
            <v>56</v>
          </cell>
          <cell r="E2510">
            <v>234</v>
          </cell>
          <cell r="F2510">
            <v>22</v>
          </cell>
          <cell r="G2510">
            <v>289</v>
          </cell>
        </row>
        <row r="2511">
          <cell r="B2511" t="str">
            <v>HJ80AL152P10001 JP</v>
          </cell>
          <cell r="C2511"/>
          <cell r="D2511">
            <v>56</v>
          </cell>
          <cell r="E2511">
            <v>234</v>
          </cell>
          <cell r="F2511">
            <v>22</v>
          </cell>
          <cell r="G2511">
            <v>289</v>
          </cell>
        </row>
        <row r="2512">
          <cell r="B2512" t="str">
            <v>AW52P44012R11000 NOCE</v>
          </cell>
          <cell r="C2512"/>
          <cell r="D2512">
            <v>22</v>
          </cell>
          <cell r="E2512">
            <v>177.9</v>
          </cell>
          <cell r="F2512"/>
          <cell r="G2512">
            <v>119</v>
          </cell>
        </row>
        <row r="2513">
          <cell r="B2513" t="str">
            <v>HJ60SP322P10020 JP</v>
          </cell>
          <cell r="C2513"/>
          <cell r="D2513">
            <v>56</v>
          </cell>
          <cell r="E2513">
            <v>234</v>
          </cell>
          <cell r="F2513">
            <v>22</v>
          </cell>
          <cell r="G2513">
            <v>289</v>
          </cell>
        </row>
        <row r="2514">
          <cell r="B2514" t="str">
            <v>WAIN-CKI-18-200-BS CE</v>
          </cell>
          <cell r="C2514"/>
          <cell r="D2514">
            <v>44</v>
          </cell>
          <cell r="E2514">
            <v>162.4</v>
          </cell>
          <cell r="F2514">
            <v>20</v>
          </cell>
          <cell r="G2514">
            <v>147</v>
          </cell>
        </row>
        <row r="2515">
          <cell r="B2515" t="str">
            <v>AHW14S003J CE3</v>
          </cell>
          <cell r="C2515"/>
          <cell r="D2515">
            <v>21</v>
          </cell>
          <cell r="E2515">
            <v>92.6</v>
          </cell>
          <cell r="F2515">
            <v>20</v>
          </cell>
          <cell r="G2515">
            <v>43</v>
          </cell>
        </row>
        <row r="2516">
          <cell r="B2516" t="str">
            <v>AHW14R313P CE4</v>
          </cell>
          <cell r="C2516"/>
          <cell r="D2516">
            <v>21</v>
          </cell>
          <cell r="E2516">
            <v>92.6</v>
          </cell>
          <cell r="F2516">
            <v>20</v>
          </cell>
          <cell r="G2516">
            <v>43</v>
          </cell>
        </row>
        <row r="2517">
          <cell r="B2517" t="str">
            <v>AG143390 Q CE3</v>
          </cell>
          <cell r="C2517"/>
          <cell r="D2517">
            <v>21</v>
          </cell>
          <cell r="E2517">
            <v>92.6</v>
          </cell>
          <cell r="F2517">
            <v>20</v>
          </cell>
          <cell r="G2517">
            <v>43</v>
          </cell>
        </row>
        <row r="2518">
          <cell r="B2518" t="str">
            <v>AG141302J CE3</v>
          </cell>
          <cell r="C2518"/>
          <cell r="D2518">
            <v>21</v>
          </cell>
          <cell r="E2518">
            <v>92.6</v>
          </cell>
          <cell r="F2518">
            <v>20</v>
          </cell>
          <cell r="G2518">
            <v>43</v>
          </cell>
        </row>
        <row r="2519">
          <cell r="B2519" t="str">
            <v>PAGH18M072 CN</v>
          </cell>
          <cell r="C2519"/>
          <cell r="D2519">
            <v>42.4</v>
          </cell>
          <cell r="E2519">
            <v>117.9</v>
          </cell>
          <cell r="F2519">
            <v>20</v>
          </cell>
          <cell r="G2519">
            <v>58</v>
          </cell>
        </row>
        <row r="2520">
          <cell r="B2520" t="str">
            <v>AG143090 F CE3</v>
          </cell>
          <cell r="C2520"/>
          <cell r="D2520">
            <v>21</v>
          </cell>
          <cell r="E2520">
            <v>92.6</v>
          </cell>
          <cell r="F2520">
            <v>20</v>
          </cell>
          <cell r="G2520">
            <v>43</v>
          </cell>
        </row>
        <row r="2521">
          <cell r="B2521" t="str">
            <v>AGP140002 CN</v>
          </cell>
          <cell r="C2521"/>
          <cell r="D2521">
            <v>42.4</v>
          </cell>
          <cell r="E2521">
            <v>117.9</v>
          </cell>
          <cell r="F2521">
            <v>20</v>
          </cell>
          <cell r="G2521">
            <v>58</v>
          </cell>
        </row>
        <row r="2522">
          <cell r="B2522" t="str">
            <v>AHW14R004S CN</v>
          </cell>
          <cell r="C2522"/>
          <cell r="D2522">
            <v>42.4</v>
          </cell>
          <cell r="E2522">
            <v>117.9</v>
          </cell>
          <cell r="F2522">
            <v>20</v>
          </cell>
          <cell r="G2522">
            <v>58</v>
          </cell>
        </row>
        <row r="2523">
          <cell r="B2523" t="str">
            <v>AHW14R001S CN</v>
          </cell>
          <cell r="C2523"/>
          <cell r="D2523">
            <v>42.4</v>
          </cell>
          <cell r="E2523">
            <v>117.9</v>
          </cell>
          <cell r="F2523">
            <v>20</v>
          </cell>
          <cell r="G2523">
            <v>58</v>
          </cell>
        </row>
        <row r="2524">
          <cell r="B2524" t="str">
            <v>AG141000J CE3</v>
          </cell>
          <cell r="C2524"/>
          <cell r="D2524">
            <v>21</v>
          </cell>
          <cell r="E2524">
            <v>92.6</v>
          </cell>
          <cell r="F2524">
            <v>20</v>
          </cell>
          <cell r="G2524">
            <v>43</v>
          </cell>
        </row>
        <row r="2525">
          <cell r="B2525" t="str">
            <v>HJ80JR502P10000 JP</v>
          </cell>
          <cell r="C2525"/>
          <cell r="D2525">
            <v>56</v>
          </cell>
          <cell r="E2525">
            <v>234</v>
          </cell>
          <cell r="F2525">
            <v>22</v>
          </cell>
          <cell r="G2525">
            <v>289</v>
          </cell>
        </row>
        <row r="2526">
          <cell r="B2526" t="str">
            <v>SurePath0.014" Guidewire FG12527</v>
          </cell>
          <cell r="C2526"/>
          <cell r="D2526">
            <v>42.4</v>
          </cell>
          <cell r="E2526">
            <v>117.9</v>
          </cell>
          <cell r="F2526">
            <v>20</v>
          </cell>
          <cell r="G2526">
            <v>58</v>
          </cell>
        </row>
        <row r="2527">
          <cell r="B2527" t="str">
            <v>HJ60IL352P10020 JP</v>
          </cell>
          <cell r="C2527"/>
          <cell r="D2527">
            <v>56</v>
          </cell>
          <cell r="E2527">
            <v>234</v>
          </cell>
          <cell r="F2527">
            <v>22</v>
          </cell>
          <cell r="G2527">
            <v>289</v>
          </cell>
        </row>
        <row r="2528">
          <cell r="B2528" t="str">
            <v>HJ60IL402P10020 JP</v>
          </cell>
          <cell r="C2528"/>
          <cell r="D2528">
            <v>56</v>
          </cell>
          <cell r="E2528">
            <v>234</v>
          </cell>
          <cell r="F2528">
            <v>22</v>
          </cell>
          <cell r="G2528">
            <v>289</v>
          </cell>
        </row>
        <row r="2529">
          <cell r="B2529" t="str">
            <v>HJ70SP502P10020 JP</v>
          </cell>
          <cell r="C2529"/>
          <cell r="D2529">
            <v>56</v>
          </cell>
          <cell r="E2529">
            <v>234</v>
          </cell>
          <cell r="F2529">
            <v>22</v>
          </cell>
          <cell r="G2529">
            <v>289</v>
          </cell>
        </row>
        <row r="2530">
          <cell r="B2530" t="str">
            <v>HJ60AL100P10021 JP</v>
          </cell>
          <cell r="C2530"/>
          <cell r="D2530">
            <v>56</v>
          </cell>
          <cell r="E2530">
            <v>234</v>
          </cell>
          <cell r="F2530">
            <v>22</v>
          </cell>
          <cell r="G2530">
            <v>289</v>
          </cell>
        </row>
        <row r="2531">
          <cell r="B2531" t="str">
            <v>WAIN-CKI-200 KR</v>
          </cell>
          <cell r="C2531"/>
          <cell r="D2531">
            <v>44</v>
          </cell>
          <cell r="E2531">
            <v>162.4</v>
          </cell>
          <cell r="F2531">
            <v>20</v>
          </cell>
          <cell r="G2531">
            <v>147</v>
          </cell>
        </row>
        <row r="2532">
          <cell r="B2532" t="str">
            <v>WAIN-CKI-10-200 KR</v>
          </cell>
          <cell r="C2532"/>
          <cell r="D2532">
            <v>44</v>
          </cell>
          <cell r="E2532">
            <v>162.4</v>
          </cell>
          <cell r="F2532">
            <v>20</v>
          </cell>
          <cell r="G2532">
            <v>147</v>
          </cell>
        </row>
        <row r="2533">
          <cell r="B2533" t="str">
            <v>AHW14S003S KR</v>
          </cell>
          <cell r="C2533"/>
          <cell r="D2533">
            <v>21</v>
          </cell>
          <cell r="E2533">
            <v>92.6</v>
          </cell>
          <cell r="F2533">
            <v>20</v>
          </cell>
          <cell r="G2533">
            <v>43</v>
          </cell>
        </row>
        <row r="2534">
          <cell r="B2534" t="str">
            <v>AHW14R001S KR</v>
          </cell>
          <cell r="C2534"/>
          <cell r="D2534">
            <v>21</v>
          </cell>
          <cell r="E2534">
            <v>92.6</v>
          </cell>
          <cell r="F2534">
            <v>20</v>
          </cell>
          <cell r="G2534">
            <v>43</v>
          </cell>
        </row>
        <row r="2535">
          <cell r="B2535" t="str">
            <v>AGP140001 KR</v>
          </cell>
          <cell r="C2535"/>
          <cell r="D2535">
            <v>21</v>
          </cell>
          <cell r="E2535">
            <v>92.6</v>
          </cell>
          <cell r="F2535">
            <v>20</v>
          </cell>
          <cell r="G2535">
            <v>43</v>
          </cell>
        </row>
        <row r="2536">
          <cell r="B2536" t="str">
            <v>AGH143090 KR</v>
          </cell>
          <cell r="C2536"/>
          <cell r="D2536">
            <v>21</v>
          </cell>
          <cell r="E2536">
            <v>92.6</v>
          </cell>
          <cell r="F2536">
            <v>20</v>
          </cell>
          <cell r="G2536">
            <v>43</v>
          </cell>
        </row>
        <row r="2537">
          <cell r="B2537" t="str">
            <v>AGP140000J KR</v>
          </cell>
          <cell r="C2537"/>
          <cell r="D2537">
            <v>21</v>
          </cell>
          <cell r="E2537">
            <v>92.6</v>
          </cell>
          <cell r="F2537">
            <v>20</v>
          </cell>
          <cell r="G2537">
            <v>43</v>
          </cell>
        </row>
        <row r="2538">
          <cell r="B2538" t="str">
            <v>AG149001 KR</v>
          </cell>
          <cell r="C2538"/>
          <cell r="D2538">
            <v>21</v>
          </cell>
          <cell r="E2538">
            <v>92.6</v>
          </cell>
          <cell r="F2538">
            <v>20</v>
          </cell>
          <cell r="G2538">
            <v>43</v>
          </cell>
        </row>
        <row r="2539">
          <cell r="B2539" t="str">
            <v>AHW14R013P KR</v>
          </cell>
          <cell r="C2539"/>
          <cell r="D2539">
            <v>21</v>
          </cell>
          <cell r="E2539">
            <v>92.6</v>
          </cell>
          <cell r="F2539">
            <v>20</v>
          </cell>
          <cell r="G2539">
            <v>43</v>
          </cell>
        </row>
        <row r="2540">
          <cell r="B2540" t="str">
            <v>WAMS-165-16ST US</v>
          </cell>
          <cell r="C2540"/>
          <cell r="D2540">
            <v>21</v>
          </cell>
          <cell r="E2540">
            <v>92.6</v>
          </cell>
          <cell r="F2540">
            <v>20</v>
          </cell>
          <cell r="G2540">
            <v>43</v>
          </cell>
        </row>
        <row r="2541">
          <cell r="B2541" t="str">
            <v>AW42JR4000R10000 NOCE</v>
          </cell>
          <cell r="C2541"/>
          <cell r="D2541">
            <v>22</v>
          </cell>
          <cell r="E2541">
            <v>177.9</v>
          </cell>
          <cell r="F2541"/>
          <cell r="G2541">
            <v>119</v>
          </cell>
        </row>
        <row r="2542">
          <cell r="B2542" t="str">
            <v>AW42JL5000R10000 NOCE</v>
          </cell>
          <cell r="C2542"/>
          <cell r="D2542">
            <v>22</v>
          </cell>
          <cell r="E2542">
            <v>177.9</v>
          </cell>
          <cell r="F2542"/>
          <cell r="G2542">
            <v>119</v>
          </cell>
        </row>
        <row r="2543">
          <cell r="B2543" t="str">
            <v>AW42AL2000R10000 NOCE</v>
          </cell>
          <cell r="C2543"/>
          <cell r="D2543">
            <v>22</v>
          </cell>
          <cell r="E2543">
            <v>177.9</v>
          </cell>
          <cell r="F2543"/>
          <cell r="G2543">
            <v>119</v>
          </cell>
        </row>
        <row r="2544">
          <cell r="B2544" t="str">
            <v>AGP140001J CE3</v>
          </cell>
          <cell r="C2544"/>
          <cell r="D2544">
            <v>21</v>
          </cell>
          <cell r="E2544">
            <v>92.6</v>
          </cell>
          <cell r="F2544">
            <v>20</v>
          </cell>
          <cell r="G2544">
            <v>43</v>
          </cell>
        </row>
        <row r="2545">
          <cell r="B2545" t="str">
            <v>AGH146300J R CE3</v>
          </cell>
          <cell r="C2545"/>
          <cell r="D2545">
            <v>21</v>
          </cell>
          <cell r="E2545">
            <v>92.6</v>
          </cell>
          <cell r="F2545">
            <v>20</v>
          </cell>
          <cell r="G2545">
            <v>43</v>
          </cell>
        </row>
        <row r="2546">
          <cell r="B2546" t="str">
            <v>AG141300 CE3</v>
          </cell>
          <cell r="C2546"/>
          <cell r="D2546">
            <v>21</v>
          </cell>
          <cell r="E2546">
            <v>92.6</v>
          </cell>
          <cell r="F2546">
            <v>20</v>
          </cell>
          <cell r="G2546">
            <v>43</v>
          </cell>
        </row>
        <row r="2547">
          <cell r="B2547" t="str">
            <v>AG141000 CE3</v>
          </cell>
          <cell r="C2547"/>
          <cell r="D2547">
            <v>21</v>
          </cell>
          <cell r="E2547">
            <v>92.6</v>
          </cell>
          <cell r="F2547">
            <v>20</v>
          </cell>
          <cell r="G2547">
            <v>43</v>
          </cell>
        </row>
        <row r="2548">
          <cell r="B2548" t="str">
            <v>AGP140302 CE3</v>
          </cell>
          <cell r="C2548"/>
          <cell r="D2548">
            <v>21</v>
          </cell>
          <cell r="E2548">
            <v>92.6</v>
          </cell>
          <cell r="F2548">
            <v>20</v>
          </cell>
          <cell r="G2548">
            <v>43</v>
          </cell>
        </row>
        <row r="2549">
          <cell r="B2549" t="str">
            <v>AGH146300 P CE3</v>
          </cell>
          <cell r="C2549"/>
          <cell r="D2549">
            <v>21</v>
          </cell>
          <cell r="E2549">
            <v>92.6</v>
          </cell>
          <cell r="F2549">
            <v>20</v>
          </cell>
          <cell r="G2549">
            <v>43</v>
          </cell>
        </row>
        <row r="2550">
          <cell r="B2550" t="str">
            <v>AIN-CKI-18-200-SFT KR</v>
          </cell>
          <cell r="C2550"/>
          <cell r="D2550">
            <v>21</v>
          </cell>
          <cell r="E2550">
            <v>92.6</v>
          </cell>
          <cell r="F2550">
            <v>20</v>
          </cell>
          <cell r="G2550">
            <v>43</v>
          </cell>
        </row>
        <row r="2551">
          <cell r="B2551" t="str">
            <v>AGH147300 P CE3</v>
          </cell>
          <cell r="C2551"/>
          <cell r="D2551">
            <v>21</v>
          </cell>
          <cell r="E2551">
            <v>92.6</v>
          </cell>
          <cell r="F2551">
            <v>20</v>
          </cell>
          <cell r="G2551">
            <v>43</v>
          </cell>
        </row>
        <row r="2552">
          <cell r="B2552" t="str">
            <v>AGP140300 CE3</v>
          </cell>
          <cell r="C2552"/>
          <cell r="D2552">
            <v>21</v>
          </cell>
          <cell r="E2552">
            <v>92.6</v>
          </cell>
          <cell r="F2552">
            <v>20</v>
          </cell>
          <cell r="G2552">
            <v>43</v>
          </cell>
        </row>
        <row r="2553">
          <cell r="B2553" t="str">
            <v>AGH146300 R CE3</v>
          </cell>
          <cell r="C2553"/>
          <cell r="D2553">
            <v>21</v>
          </cell>
          <cell r="E2553">
            <v>92.6</v>
          </cell>
          <cell r="F2553">
            <v>20</v>
          </cell>
          <cell r="G2553">
            <v>43</v>
          </cell>
        </row>
        <row r="2554">
          <cell r="B2554" t="str">
            <v>AG14M350 CE3</v>
          </cell>
          <cell r="C2554"/>
          <cell r="D2554">
            <v>21</v>
          </cell>
          <cell r="E2554">
            <v>92.6</v>
          </cell>
          <cell r="F2554">
            <v>20</v>
          </cell>
          <cell r="G2554">
            <v>43</v>
          </cell>
        </row>
        <row r="2555">
          <cell r="B2555" t="str">
            <v>HJ80AL150P10001 JP</v>
          </cell>
          <cell r="C2555"/>
          <cell r="D2555">
            <v>56</v>
          </cell>
          <cell r="E2555">
            <v>234</v>
          </cell>
          <cell r="F2555">
            <v>22</v>
          </cell>
          <cell r="G2555">
            <v>289</v>
          </cell>
        </row>
        <row r="2556">
          <cell r="B2556" t="str">
            <v>HJ80AL200P09002 JP</v>
          </cell>
          <cell r="C2556"/>
          <cell r="D2556">
            <v>56</v>
          </cell>
          <cell r="E2556">
            <v>234</v>
          </cell>
          <cell r="F2556">
            <v>22</v>
          </cell>
          <cell r="G2556">
            <v>289</v>
          </cell>
        </row>
        <row r="2557">
          <cell r="B2557" t="str">
            <v>HJ80RB072P10000 JP</v>
          </cell>
          <cell r="C2557"/>
          <cell r="D2557">
            <v>56</v>
          </cell>
          <cell r="E2557">
            <v>234</v>
          </cell>
          <cell r="F2557">
            <v>22</v>
          </cell>
          <cell r="G2557">
            <v>289</v>
          </cell>
        </row>
        <row r="2558">
          <cell r="B2558" t="str">
            <v>HJ60AL150P10021 JP</v>
          </cell>
          <cell r="C2558"/>
          <cell r="D2558">
            <v>56</v>
          </cell>
          <cell r="E2558">
            <v>234</v>
          </cell>
          <cell r="F2558">
            <v>22</v>
          </cell>
          <cell r="G2558">
            <v>289</v>
          </cell>
        </row>
        <row r="2559">
          <cell r="B2559" t="str">
            <v>HJ60AL152P10021 JP</v>
          </cell>
          <cell r="C2559"/>
          <cell r="D2559">
            <v>56</v>
          </cell>
          <cell r="E2559">
            <v>234</v>
          </cell>
          <cell r="F2559">
            <v>22</v>
          </cell>
          <cell r="G2559">
            <v>289</v>
          </cell>
        </row>
        <row r="2560">
          <cell r="B2560" t="str">
            <v>HJ80AL102P10001 JP</v>
          </cell>
          <cell r="C2560"/>
          <cell r="D2560">
            <v>56</v>
          </cell>
          <cell r="E2560">
            <v>234</v>
          </cell>
          <cell r="F2560">
            <v>22</v>
          </cell>
          <cell r="G2560">
            <v>289</v>
          </cell>
        </row>
        <row r="2561">
          <cell r="B2561" t="str">
            <v>HJ70AL100P10021 JP</v>
          </cell>
          <cell r="C2561"/>
          <cell r="D2561">
            <v>56</v>
          </cell>
          <cell r="E2561">
            <v>234</v>
          </cell>
          <cell r="F2561">
            <v>22</v>
          </cell>
          <cell r="G2561">
            <v>289</v>
          </cell>
        </row>
        <row r="2562">
          <cell r="B2562" t="str">
            <v>HJ60AL102P10021 JP</v>
          </cell>
          <cell r="C2562"/>
          <cell r="D2562">
            <v>56</v>
          </cell>
          <cell r="E2562">
            <v>234</v>
          </cell>
          <cell r="F2562">
            <v>22</v>
          </cell>
          <cell r="G2562">
            <v>289</v>
          </cell>
        </row>
        <row r="2563">
          <cell r="B2563" t="str">
            <v>HJ70AL102P10021 JP</v>
          </cell>
          <cell r="C2563"/>
          <cell r="D2563">
            <v>56</v>
          </cell>
          <cell r="E2563">
            <v>234</v>
          </cell>
          <cell r="F2563">
            <v>22</v>
          </cell>
          <cell r="G2563">
            <v>289</v>
          </cell>
        </row>
        <row r="2564">
          <cell r="B2564" t="str">
            <v>WAIN-CKI-200-RC CN</v>
          </cell>
          <cell r="C2564"/>
          <cell r="D2564">
            <v>42.4</v>
          </cell>
          <cell r="E2564">
            <v>117.9</v>
          </cell>
          <cell r="F2564">
            <v>20</v>
          </cell>
          <cell r="G2564">
            <v>58</v>
          </cell>
        </row>
        <row r="2565">
          <cell r="B2565" t="str">
            <v>WAIN-CKI-300-RC CN</v>
          </cell>
          <cell r="C2565"/>
          <cell r="D2565">
            <v>42.4</v>
          </cell>
          <cell r="E2565">
            <v>117.9</v>
          </cell>
          <cell r="F2565">
            <v>20</v>
          </cell>
          <cell r="G2565">
            <v>58</v>
          </cell>
        </row>
        <row r="2566">
          <cell r="B2566" t="str">
            <v>WAIN-CKI-200-BS CN</v>
          </cell>
          <cell r="C2566"/>
          <cell r="D2566">
            <v>42.4</v>
          </cell>
          <cell r="E2566">
            <v>117.9</v>
          </cell>
          <cell r="F2566">
            <v>20</v>
          </cell>
          <cell r="G2566">
            <v>58</v>
          </cell>
        </row>
        <row r="2567">
          <cell r="B2567" t="str">
            <v>HJ60AL070P10021 JP</v>
          </cell>
          <cell r="C2567"/>
          <cell r="D2567">
            <v>56</v>
          </cell>
          <cell r="E2567">
            <v>234</v>
          </cell>
          <cell r="F2567">
            <v>22</v>
          </cell>
          <cell r="G2567">
            <v>289</v>
          </cell>
        </row>
        <row r="2568">
          <cell r="B2568" t="str">
            <v>HJ60AL072P10021 JP</v>
          </cell>
          <cell r="C2568"/>
          <cell r="D2568">
            <v>56</v>
          </cell>
          <cell r="E2568">
            <v>234</v>
          </cell>
          <cell r="F2568">
            <v>22</v>
          </cell>
          <cell r="G2568">
            <v>289</v>
          </cell>
        </row>
        <row r="2569">
          <cell r="B2569" t="str">
            <v>HJ70AL072P10021 JP</v>
          </cell>
          <cell r="C2569"/>
          <cell r="D2569">
            <v>56</v>
          </cell>
          <cell r="E2569">
            <v>234</v>
          </cell>
          <cell r="F2569">
            <v>22</v>
          </cell>
          <cell r="G2569">
            <v>289</v>
          </cell>
        </row>
        <row r="2570">
          <cell r="B2570" t="str">
            <v>HJ70AL150P10021 JP</v>
          </cell>
          <cell r="C2570"/>
          <cell r="D2570">
            <v>56</v>
          </cell>
          <cell r="E2570">
            <v>234</v>
          </cell>
          <cell r="F2570">
            <v>22</v>
          </cell>
          <cell r="G2570">
            <v>289</v>
          </cell>
        </row>
        <row r="2571">
          <cell r="B2571" t="str">
            <v>HJ70AL152P10021 JP</v>
          </cell>
          <cell r="C2571"/>
          <cell r="D2571">
            <v>56</v>
          </cell>
          <cell r="E2571">
            <v>234</v>
          </cell>
          <cell r="F2571">
            <v>22</v>
          </cell>
          <cell r="G2571">
            <v>289</v>
          </cell>
        </row>
        <row r="2572">
          <cell r="B2572" t="str">
            <v>HJ80SC352P10000 JP</v>
          </cell>
          <cell r="C2572"/>
          <cell r="D2572">
            <v>56</v>
          </cell>
          <cell r="E2572">
            <v>234</v>
          </cell>
          <cell r="F2572">
            <v>22</v>
          </cell>
          <cell r="G2572">
            <v>289</v>
          </cell>
        </row>
        <row r="2573">
          <cell r="B2573" t="str">
            <v>HJ80AL152P09000 JP</v>
          </cell>
          <cell r="C2573"/>
          <cell r="D2573">
            <v>56</v>
          </cell>
          <cell r="E2573">
            <v>234</v>
          </cell>
          <cell r="F2573">
            <v>22</v>
          </cell>
          <cell r="G2573">
            <v>289</v>
          </cell>
        </row>
        <row r="2574">
          <cell r="B2574" t="str">
            <v>HJ80RB102P10000 JP</v>
          </cell>
          <cell r="C2574"/>
          <cell r="D2574">
            <v>56</v>
          </cell>
          <cell r="E2574">
            <v>234</v>
          </cell>
          <cell r="F2574">
            <v>22</v>
          </cell>
          <cell r="G2574">
            <v>289</v>
          </cell>
        </row>
        <row r="2575">
          <cell r="B2575" t="str">
            <v>HJ80AL150P10002 JP</v>
          </cell>
          <cell r="C2575"/>
          <cell r="D2575">
            <v>56</v>
          </cell>
          <cell r="E2575">
            <v>234</v>
          </cell>
          <cell r="F2575">
            <v>22</v>
          </cell>
          <cell r="G2575">
            <v>289</v>
          </cell>
        </row>
        <row r="2576">
          <cell r="B2576" t="str">
            <v>A60AL0100H10000R JP</v>
          </cell>
          <cell r="C2576"/>
          <cell r="D2576">
            <v>22</v>
          </cell>
          <cell r="E2576">
            <v>177.9</v>
          </cell>
          <cell r="F2576"/>
          <cell r="G2576">
            <v>119</v>
          </cell>
        </row>
        <row r="2577">
          <cell r="B2577" t="str">
            <v>A60JL4000H10000R JP</v>
          </cell>
          <cell r="C2577"/>
          <cell r="D2577">
            <v>22</v>
          </cell>
          <cell r="E2577">
            <v>177.9</v>
          </cell>
          <cell r="F2577"/>
          <cell r="G2577">
            <v>119</v>
          </cell>
        </row>
        <row r="2578">
          <cell r="B2578" t="str">
            <v>A60JL4000H1000GR JP</v>
          </cell>
          <cell r="C2578"/>
          <cell r="D2578">
            <v>22</v>
          </cell>
          <cell r="E2578">
            <v>177.9</v>
          </cell>
          <cell r="F2578"/>
          <cell r="G2578">
            <v>119</v>
          </cell>
        </row>
        <row r="2579">
          <cell r="B2579" t="str">
            <v>HJ70AL070P10021 JP</v>
          </cell>
          <cell r="C2579"/>
          <cell r="D2579">
            <v>56</v>
          </cell>
          <cell r="E2579">
            <v>234</v>
          </cell>
          <cell r="F2579">
            <v>22</v>
          </cell>
          <cell r="G2579">
            <v>289</v>
          </cell>
        </row>
        <row r="2580">
          <cell r="B2580" t="str">
            <v>HJ70IM000P10010 JP</v>
          </cell>
          <cell r="C2580"/>
          <cell r="D2580">
            <v>56</v>
          </cell>
          <cell r="E2580">
            <v>234</v>
          </cell>
          <cell r="F2580">
            <v>22</v>
          </cell>
          <cell r="G2580">
            <v>289</v>
          </cell>
        </row>
        <row r="2581">
          <cell r="B2581" t="str">
            <v>HJ80AL072P10001 JP</v>
          </cell>
          <cell r="C2581"/>
          <cell r="D2581">
            <v>56</v>
          </cell>
          <cell r="E2581">
            <v>234</v>
          </cell>
          <cell r="F2581">
            <v>22</v>
          </cell>
          <cell r="G2581">
            <v>289</v>
          </cell>
        </row>
        <row r="2582">
          <cell r="B2582" t="str">
            <v>E0018450AG-2 ES</v>
          </cell>
          <cell r="C2582"/>
          <cell r="D2582">
            <v>56</v>
          </cell>
          <cell r="E2582">
            <v>207</v>
          </cell>
          <cell r="F2582"/>
          <cell r="G2582">
            <v>172</v>
          </cell>
        </row>
        <row r="2583">
          <cell r="B2583" t="str">
            <v>AHW14R013P NOCE</v>
          </cell>
          <cell r="C2583"/>
          <cell r="D2583">
            <v>22</v>
          </cell>
          <cell r="E2583">
            <v>93</v>
          </cell>
          <cell r="F2583">
            <v>20</v>
          </cell>
          <cell r="G2583">
            <v>115</v>
          </cell>
        </row>
        <row r="2584">
          <cell r="B2584" t="str">
            <v>PSC14090S US</v>
          </cell>
          <cell r="C2584"/>
          <cell r="D2584">
            <v>132</v>
          </cell>
          <cell r="E2584">
            <v>158</v>
          </cell>
          <cell r="F2584">
            <v>20</v>
          </cell>
          <cell r="G2584">
            <v>184</v>
          </cell>
        </row>
        <row r="2585">
          <cell r="B2585" t="str">
            <v>PSC14150S US</v>
          </cell>
          <cell r="C2585"/>
          <cell r="D2585">
            <v>132</v>
          </cell>
          <cell r="E2585">
            <v>158</v>
          </cell>
          <cell r="F2585">
            <v>20</v>
          </cell>
          <cell r="G2585">
            <v>184</v>
          </cell>
        </row>
        <row r="2586">
          <cell r="B2586" t="str">
            <v>PSC14170A US</v>
          </cell>
          <cell r="C2586"/>
          <cell r="D2586">
            <v>132</v>
          </cell>
          <cell r="E2586">
            <v>158</v>
          </cell>
          <cell r="F2586">
            <v>20</v>
          </cell>
          <cell r="G2586">
            <v>184</v>
          </cell>
        </row>
        <row r="2587">
          <cell r="B2587" t="str">
            <v>PSC18090A US</v>
          </cell>
          <cell r="C2587"/>
          <cell r="D2587">
            <v>132</v>
          </cell>
          <cell r="E2587">
            <v>158</v>
          </cell>
          <cell r="F2587">
            <v>20</v>
          </cell>
          <cell r="G2587">
            <v>184</v>
          </cell>
        </row>
        <row r="2588">
          <cell r="B2588" t="str">
            <v>PSC18090S US</v>
          </cell>
          <cell r="C2588"/>
          <cell r="D2588">
            <v>132</v>
          </cell>
          <cell r="E2588">
            <v>158</v>
          </cell>
          <cell r="F2588">
            <v>20</v>
          </cell>
          <cell r="G2588">
            <v>184</v>
          </cell>
        </row>
        <row r="2589">
          <cell r="B2589" t="str">
            <v>PSC18110A US</v>
          </cell>
          <cell r="C2589"/>
          <cell r="D2589">
            <v>132</v>
          </cell>
          <cell r="E2589">
            <v>158</v>
          </cell>
          <cell r="F2589">
            <v>20</v>
          </cell>
          <cell r="G2589">
            <v>184</v>
          </cell>
        </row>
        <row r="2590">
          <cell r="B2590" t="str">
            <v>PSC14110S US</v>
          </cell>
          <cell r="C2590"/>
          <cell r="D2590">
            <v>132</v>
          </cell>
          <cell r="E2590">
            <v>158</v>
          </cell>
          <cell r="F2590">
            <v>20</v>
          </cell>
          <cell r="G2590">
            <v>184</v>
          </cell>
        </row>
        <row r="2591">
          <cell r="B2591" t="str">
            <v>PSC18170A US</v>
          </cell>
          <cell r="C2591"/>
          <cell r="D2591">
            <v>132</v>
          </cell>
          <cell r="E2591">
            <v>158</v>
          </cell>
          <cell r="F2591">
            <v>20</v>
          </cell>
          <cell r="G2591">
            <v>184</v>
          </cell>
        </row>
        <row r="2592">
          <cell r="B2592" t="str">
            <v>PSC18135A US</v>
          </cell>
          <cell r="C2592"/>
          <cell r="D2592">
            <v>132</v>
          </cell>
          <cell r="E2592">
            <v>158</v>
          </cell>
          <cell r="F2592">
            <v>20</v>
          </cell>
          <cell r="G2592">
            <v>184</v>
          </cell>
        </row>
        <row r="2593">
          <cell r="B2593" t="str">
            <v>PSC18150A US</v>
          </cell>
          <cell r="C2593"/>
          <cell r="D2593">
            <v>132</v>
          </cell>
          <cell r="E2593">
            <v>158</v>
          </cell>
          <cell r="F2593">
            <v>20</v>
          </cell>
          <cell r="G2593">
            <v>184</v>
          </cell>
        </row>
        <row r="2594">
          <cell r="B2594" t="str">
            <v>AHW14R013S NOCE</v>
          </cell>
          <cell r="C2594"/>
          <cell r="D2594">
            <v>44</v>
          </cell>
          <cell r="E2594">
            <v>162.4</v>
          </cell>
          <cell r="F2594">
            <v>20</v>
          </cell>
          <cell r="G2594">
            <v>147</v>
          </cell>
        </row>
        <row r="2595">
          <cell r="B2595" t="str">
            <v>WAIN-CKI-008-200 NOCE</v>
          </cell>
          <cell r="C2595"/>
          <cell r="D2595">
            <v>44</v>
          </cell>
          <cell r="E2595">
            <v>162.4</v>
          </cell>
          <cell r="F2595">
            <v>20</v>
          </cell>
          <cell r="G2595">
            <v>147</v>
          </cell>
        </row>
        <row r="2596">
          <cell r="B2596" t="str">
            <v>WAIN-CKI-10-200 NOCE</v>
          </cell>
          <cell r="C2596"/>
          <cell r="D2596">
            <v>44</v>
          </cell>
          <cell r="E2596">
            <v>162.4</v>
          </cell>
          <cell r="F2596">
            <v>20</v>
          </cell>
          <cell r="G2596">
            <v>147</v>
          </cell>
        </row>
        <row r="2597">
          <cell r="B2597" t="str">
            <v>WAIN-CKI-18-200-BS NOCE</v>
          </cell>
          <cell r="C2597"/>
          <cell r="D2597">
            <v>44</v>
          </cell>
          <cell r="E2597">
            <v>162.4</v>
          </cell>
          <cell r="F2597">
            <v>20</v>
          </cell>
          <cell r="G2597">
            <v>147</v>
          </cell>
        </row>
        <row r="2598">
          <cell r="B2598" t="str">
            <v>AIN-CKI-18-200-SFT NOCE</v>
          </cell>
          <cell r="C2598"/>
          <cell r="D2598">
            <v>44</v>
          </cell>
          <cell r="E2598">
            <v>162.4</v>
          </cell>
          <cell r="F2598">
            <v>20</v>
          </cell>
          <cell r="G2598">
            <v>147</v>
          </cell>
        </row>
        <row r="2599">
          <cell r="B2599" t="str">
            <v>TES0025S JP</v>
          </cell>
          <cell r="C2599"/>
          <cell r="D2599">
            <v>22</v>
          </cell>
          <cell r="E2599">
            <v>93</v>
          </cell>
          <cell r="F2599">
            <v>20</v>
          </cell>
          <cell r="G2599">
            <v>115</v>
          </cell>
        </row>
        <row r="2600">
          <cell r="B2600" t="str">
            <v>TES0018S JP</v>
          </cell>
          <cell r="C2600"/>
          <cell r="D2600">
            <v>22</v>
          </cell>
          <cell r="E2600">
            <v>93</v>
          </cell>
          <cell r="F2600">
            <v>20</v>
          </cell>
          <cell r="G2600">
            <v>115</v>
          </cell>
        </row>
        <row r="2601">
          <cell r="B2601" t="str">
            <v>WAIN-CKI-200 NOCE</v>
          </cell>
          <cell r="C2601"/>
          <cell r="D2601">
            <v>44</v>
          </cell>
          <cell r="E2601">
            <v>162.4</v>
          </cell>
          <cell r="F2601">
            <v>20</v>
          </cell>
          <cell r="G2601">
            <v>147</v>
          </cell>
        </row>
        <row r="2602">
          <cell r="B2602" t="str">
            <v>WAIN-CKI-200-BS NOCE</v>
          </cell>
          <cell r="C2602"/>
          <cell r="D2602">
            <v>44</v>
          </cell>
          <cell r="E2602">
            <v>162.4</v>
          </cell>
          <cell r="F2602">
            <v>20</v>
          </cell>
          <cell r="G2602">
            <v>147</v>
          </cell>
        </row>
        <row r="2603">
          <cell r="B2603" t="str">
            <v>WAIN-CKI-200-BA NOCE</v>
          </cell>
          <cell r="C2603"/>
          <cell r="D2603">
            <v>44</v>
          </cell>
          <cell r="E2603">
            <v>162.4</v>
          </cell>
          <cell r="F2603">
            <v>20</v>
          </cell>
          <cell r="G2603">
            <v>147</v>
          </cell>
        </row>
        <row r="2604">
          <cell r="B2604" t="str">
            <v>WAIN-CKI-300 NOCE</v>
          </cell>
          <cell r="C2604"/>
          <cell r="D2604">
            <v>44</v>
          </cell>
          <cell r="E2604">
            <v>162.4</v>
          </cell>
          <cell r="F2604">
            <v>20</v>
          </cell>
          <cell r="G2604">
            <v>147</v>
          </cell>
        </row>
        <row r="2605">
          <cell r="B2605" t="str">
            <v>WAIN-CKI-10-300 NOCE</v>
          </cell>
          <cell r="C2605"/>
          <cell r="D2605">
            <v>44</v>
          </cell>
          <cell r="E2605">
            <v>162.4</v>
          </cell>
          <cell r="F2605">
            <v>20</v>
          </cell>
          <cell r="G2605">
            <v>147</v>
          </cell>
        </row>
        <row r="2606">
          <cell r="B2606" t="str">
            <v>HJ80PB302P09000 JP</v>
          </cell>
          <cell r="C2606"/>
          <cell r="D2606">
            <v>56</v>
          </cell>
          <cell r="E2606">
            <v>234</v>
          </cell>
          <cell r="F2606">
            <v>22</v>
          </cell>
          <cell r="G2606">
            <v>289</v>
          </cell>
        </row>
        <row r="2607">
          <cell r="B2607" t="str">
            <v>HJ80AL200P10002 JP</v>
          </cell>
          <cell r="C2607"/>
          <cell r="D2607">
            <v>56</v>
          </cell>
          <cell r="E2607">
            <v>234</v>
          </cell>
          <cell r="F2607">
            <v>22</v>
          </cell>
          <cell r="G2607">
            <v>289</v>
          </cell>
        </row>
        <row r="2608">
          <cell r="B2608" t="str">
            <v>KNT135-19M JP</v>
          </cell>
          <cell r="C2608"/>
          <cell r="D2608">
            <v>42.4</v>
          </cell>
          <cell r="E2608">
            <v>117.9</v>
          </cell>
          <cell r="F2608">
            <v>20</v>
          </cell>
          <cell r="G2608">
            <v>58</v>
          </cell>
        </row>
        <row r="2609">
          <cell r="B2609" t="str">
            <v>HJ80JL502P10001 JP</v>
          </cell>
          <cell r="C2609"/>
          <cell r="D2609">
            <v>56</v>
          </cell>
          <cell r="E2609">
            <v>234</v>
          </cell>
          <cell r="F2609">
            <v>22</v>
          </cell>
          <cell r="G2609">
            <v>289</v>
          </cell>
        </row>
        <row r="2610">
          <cell r="B2610" t="str">
            <v>HJ80JR350P10000 JP</v>
          </cell>
          <cell r="C2610"/>
          <cell r="D2610">
            <v>56</v>
          </cell>
          <cell r="E2610">
            <v>234</v>
          </cell>
          <cell r="F2610">
            <v>22</v>
          </cell>
          <cell r="G2610">
            <v>289</v>
          </cell>
        </row>
        <row r="2611">
          <cell r="B2611" t="str">
            <v>HJ80PB352P09000 JP</v>
          </cell>
          <cell r="C2611"/>
          <cell r="D2611">
            <v>56</v>
          </cell>
          <cell r="E2611">
            <v>234</v>
          </cell>
          <cell r="F2611">
            <v>22</v>
          </cell>
          <cell r="G2611">
            <v>289</v>
          </cell>
        </row>
        <row r="2612">
          <cell r="B2612" t="str">
            <v>HJ80PB402P09000 JP</v>
          </cell>
          <cell r="C2612"/>
          <cell r="D2612">
            <v>56</v>
          </cell>
          <cell r="E2612">
            <v>234</v>
          </cell>
          <cell r="F2612">
            <v>22</v>
          </cell>
          <cell r="G2612">
            <v>289</v>
          </cell>
        </row>
        <row r="2613">
          <cell r="B2613" t="str">
            <v>HJ80AL152P09002 JP</v>
          </cell>
          <cell r="C2613"/>
          <cell r="D2613">
            <v>56</v>
          </cell>
          <cell r="E2613">
            <v>234</v>
          </cell>
          <cell r="F2613">
            <v>22</v>
          </cell>
          <cell r="G2613">
            <v>289</v>
          </cell>
        </row>
        <row r="2614">
          <cell r="B2614" t="str">
            <v>HJ80AL202P09002 JP</v>
          </cell>
          <cell r="C2614"/>
          <cell r="D2614">
            <v>56</v>
          </cell>
          <cell r="E2614">
            <v>234</v>
          </cell>
          <cell r="F2614">
            <v>22</v>
          </cell>
          <cell r="G2614">
            <v>289</v>
          </cell>
        </row>
        <row r="2615">
          <cell r="B2615" t="str">
            <v>AIN-CKX-10-200-R NOCE</v>
          </cell>
          <cell r="C2615"/>
          <cell r="D2615">
            <v>44</v>
          </cell>
          <cell r="E2615">
            <v>162.4</v>
          </cell>
          <cell r="F2615">
            <v>20</v>
          </cell>
          <cell r="G2615">
            <v>147</v>
          </cell>
        </row>
        <row r="2616">
          <cell r="B2616" t="str">
            <v>CRV135-19P KR</v>
          </cell>
          <cell r="C2616"/>
          <cell r="D2616">
            <v>42.4</v>
          </cell>
          <cell r="E2616">
            <v>117.9</v>
          </cell>
          <cell r="F2616">
            <v>20</v>
          </cell>
          <cell r="G2616">
            <v>58</v>
          </cell>
        </row>
        <row r="2617">
          <cell r="B2617" t="str">
            <v>CRV150-19P KR</v>
          </cell>
          <cell r="C2617"/>
          <cell r="D2617">
            <v>42.4</v>
          </cell>
          <cell r="E2617">
            <v>117.9</v>
          </cell>
          <cell r="F2617">
            <v>20</v>
          </cell>
          <cell r="G2617">
            <v>58</v>
          </cell>
        </row>
        <row r="2618">
          <cell r="B2618" t="str">
            <v>HJ80AL200P10000 JP</v>
          </cell>
          <cell r="C2618"/>
          <cell r="D2618">
            <v>56</v>
          </cell>
          <cell r="E2618">
            <v>234</v>
          </cell>
          <cell r="F2618">
            <v>22</v>
          </cell>
          <cell r="G2618">
            <v>289</v>
          </cell>
        </row>
        <row r="2619">
          <cell r="B2619" t="str">
            <v>AHW14S303S CN</v>
          </cell>
          <cell r="C2619"/>
          <cell r="D2619">
            <v>42.4</v>
          </cell>
          <cell r="E2619">
            <v>117.9</v>
          </cell>
          <cell r="F2619">
            <v>20</v>
          </cell>
          <cell r="G2619">
            <v>58</v>
          </cell>
        </row>
        <row r="2620">
          <cell r="B2620" t="str">
            <v>AIN-CKI-200-B-SFT NOCE</v>
          </cell>
          <cell r="C2620"/>
          <cell r="D2620">
            <v>44</v>
          </cell>
          <cell r="E2620">
            <v>162.4</v>
          </cell>
          <cell r="F2620">
            <v>20</v>
          </cell>
          <cell r="G2620">
            <v>147</v>
          </cell>
        </row>
        <row r="2621">
          <cell r="B2621" t="str">
            <v>AHW14R304J CE3</v>
          </cell>
          <cell r="C2621"/>
          <cell r="D2621">
            <v>44</v>
          </cell>
          <cell r="E2621">
            <v>162.4</v>
          </cell>
          <cell r="F2621">
            <v>20</v>
          </cell>
          <cell r="G2621">
            <v>147</v>
          </cell>
        </row>
        <row r="2622">
          <cell r="B2622" t="str">
            <v>HJ70IM002P10030 JP</v>
          </cell>
          <cell r="C2622"/>
          <cell r="D2622">
            <v>56</v>
          </cell>
          <cell r="E2622">
            <v>234</v>
          </cell>
          <cell r="F2622">
            <v>22</v>
          </cell>
          <cell r="G2622">
            <v>289</v>
          </cell>
        </row>
        <row r="2623">
          <cell r="B2623" t="str">
            <v>HJ80HS012P10000 JP</v>
          </cell>
          <cell r="C2623"/>
          <cell r="D2623">
            <v>56</v>
          </cell>
          <cell r="E2623">
            <v>234</v>
          </cell>
          <cell r="F2623">
            <v>22</v>
          </cell>
          <cell r="G2623">
            <v>289</v>
          </cell>
        </row>
        <row r="2624">
          <cell r="B2624" t="str">
            <v>AHW14R313S NOCE</v>
          </cell>
          <cell r="C2624"/>
          <cell r="D2624">
            <v>44</v>
          </cell>
          <cell r="E2624">
            <v>162.4</v>
          </cell>
          <cell r="F2624">
            <v>20</v>
          </cell>
          <cell r="G2624">
            <v>147</v>
          </cell>
        </row>
        <row r="2625">
          <cell r="B2625" t="str">
            <v>WAIN-CKI-200-RC NOCE</v>
          </cell>
          <cell r="C2625"/>
          <cell r="D2625">
            <v>44</v>
          </cell>
          <cell r="E2625">
            <v>162.4</v>
          </cell>
          <cell r="F2625">
            <v>20</v>
          </cell>
          <cell r="G2625">
            <v>147</v>
          </cell>
        </row>
        <row r="2626">
          <cell r="B2626" t="str">
            <v>HJ60CP300P10020 JP</v>
          </cell>
          <cell r="C2626"/>
          <cell r="D2626">
            <v>56</v>
          </cell>
          <cell r="E2626">
            <v>234</v>
          </cell>
          <cell r="F2626">
            <v>22</v>
          </cell>
          <cell r="G2626">
            <v>289</v>
          </cell>
        </row>
        <row r="2627">
          <cell r="B2627" t="str">
            <v>HJ80HS010P10000 JP</v>
          </cell>
          <cell r="C2627"/>
          <cell r="D2627">
            <v>56</v>
          </cell>
          <cell r="E2627">
            <v>234</v>
          </cell>
          <cell r="F2627">
            <v>22</v>
          </cell>
          <cell r="G2627">
            <v>289</v>
          </cell>
        </row>
        <row r="2628">
          <cell r="B2628" t="str">
            <v xml:space="preserve">MTA0025N45S </v>
          </cell>
          <cell r="C2628"/>
          <cell r="D2628">
            <v>22</v>
          </cell>
          <cell r="E2628">
            <v>177.9</v>
          </cell>
          <cell r="F2628"/>
          <cell r="G2628">
            <v>119</v>
          </cell>
        </row>
        <row r="2629">
          <cell r="B2629" t="str">
            <v xml:space="preserve">MTF0025N45S </v>
          </cell>
          <cell r="C2629"/>
          <cell r="D2629">
            <v>22</v>
          </cell>
          <cell r="E2629">
            <v>177.9</v>
          </cell>
          <cell r="F2629"/>
          <cell r="G2629">
            <v>119</v>
          </cell>
        </row>
        <row r="2630">
          <cell r="B2630" t="str">
            <v>AHW14R313P NOCE</v>
          </cell>
          <cell r="C2630"/>
          <cell r="D2630">
            <v>44</v>
          </cell>
          <cell r="E2630">
            <v>162.4</v>
          </cell>
          <cell r="F2630">
            <v>20</v>
          </cell>
          <cell r="G2630">
            <v>147</v>
          </cell>
        </row>
        <row r="2631">
          <cell r="B2631" t="str">
            <v>FI025S45 JP</v>
          </cell>
          <cell r="C2631"/>
          <cell r="D2631">
            <v>22</v>
          </cell>
          <cell r="E2631">
            <v>177.9</v>
          </cell>
          <cell r="F2631"/>
          <cell r="G2631">
            <v>119</v>
          </cell>
        </row>
        <row r="2632">
          <cell r="B2632" t="str">
            <v>PAGH143392 CE2</v>
          </cell>
          <cell r="C2632"/>
          <cell r="D2632">
            <v>44</v>
          </cell>
          <cell r="E2632">
            <v>162.4</v>
          </cell>
          <cell r="F2632"/>
          <cell r="G2632">
            <v>147</v>
          </cell>
        </row>
        <row r="2633">
          <cell r="B2633" t="str">
            <v>PAGHW143094 CE3</v>
          </cell>
          <cell r="C2633"/>
          <cell r="D2633">
            <v>44</v>
          </cell>
          <cell r="E2633">
            <v>162.4</v>
          </cell>
          <cell r="F2633"/>
          <cell r="G2633">
            <v>147</v>
          </cell>
        </row>
        <row r="2634">
          <cell r="B2634" t="str">
            <v>PAGH18M371 CE2</v>
          </cell>
          <cell r="C2634"/>
          <cell r="D2634">
            <v>44</v>
          </cell>
          <cell r="E2634">
            <v>162.4</v>
          </cell>
          <cell r="F2634"/>
          <cell r="G2634">
            <v>147</v>
          </cell>
        </row>
        <row r="2635">
          <cell r="B2635" t="str">
            <v>PAGHW143394 CE3</v>
          </cell>
          <cell r="C2635"/>
          <cell r="D2635">
            <v>44</v>
          </cell>
          <cell r="E2635">
            <v>162.4</v>
          </cell>
          <cell r="F2635"/>
          <cell r="G2635">
            <v>147</v>
          </cell>
        </row>
        <row r="2636">
          <cell r="B2636" t="str">
            <v>PAGH18M071 CE2</v>
          </cell>
          <cell r="C2636"/>
          <cell r="D2636">
            <v>44</v>
          </cell>
          <cell r="E2636">
            <v>162.4</v>
          </cell>
          <cell r="F2636"/>
          <cell r="G2636">
            <v>147</v>
          </cell>
        </row>
        <row r="2637">
          <cell r="B2637" t="str">
            <v>PAGH143092 CE2</v>
          </cell>
          <cell r="C2637"/>
          <cell r="D2637">
            <v>44</v>
          </cell>
          <cell r="E2637">
            <v>162.4</v>
          </cell>
          <cell r="F2637"/>
          <cell r="G2637">
            <v>147</v>
          </cell>
        </row>
        <row r="2638">
          <cell r="B2638" t="str">
            <v>HW60JL350P10000 CN</v>
          </cell>
          <cell r="C2638"/>
          <cell r="D2638">
            <v>56</v>
          </cell>
          <cell r="E2638">
            <v>234</v>
          </cell>
          <cell r="F2638"/>
          <cell r="G2638">
            <v>289</v>
          </cell>
        </row>
        <row r="2639">
          <cell r="B2639" t="str">
            <v>HW60JL400P10000 CN</v>
          </cell>
          <cell r="C2639"/>
          <cell r="D2639">
            <v>56</v>
          </cell>
          <cell r="E2639">
            <v>234</v>
          </cell>
          <cell r="F2639"/>
          <cell r="G2639">
            <v>289</v>
          </cell>
        </row>
        <row r="2640">
          <cell r="B2640" t="str">
            <v>HW60JR350P10000 CN</v>
          </cell>
          <cell r="C2640"/>
          <cell r="D2640">
            <v>56</v>
          </cell>
          <cell r="E2640">
            <v>234</v>
          </cell>
          <cell r="F2640"/>
          <cell r="G2640">
            <v>289</v>
          </cell>
        </row>
        <row r="2641">
          <cell r="B2641" t="str">
            <v>HW60JR400P10000 CN</v>
          </cell>
          <cell r="C2641"/>
          <cell r="D2641">
            <v>56</v>
          </cell>
          <cell r="E2641">
            <v>234</v>
          </cell>
          <cell r="F2641"/>
          <cell r="G2641">
            <v>289</v>
          </cell>
        </row>
        <row r="2642">
          <cell r="B2642" t="str">
            <v>HW60AL100P10000 CN</v>
          </cell>
          <cell r="C2642"/>
          <cell r="D2642">
            <v>56</v>
          </cell>
          <cell r="E2642">
            <v>234</v>
          </cell>
          <cell r="F2642"/>
          <cell r="G2642">
            <v>289</v>
          </cell>
        </row>
        <row r="2643">
          <cell r="B2643" t="str">
            <v>HW60AL070P10002 CN</v>
          </cell>
          <cell r="C2643"/>
          <cell r="D2643">
            <v>56</v>
          </cell>
          <cell r="E2643">
            <v>234</v>
          </cell>
          <cell r="F2643"/>
          <cell r="G2643">
            <v>289</v>
          </cell>
        </row>
        <row r="2644">
          <cell r="B2644" t="str">
            <v>HW60AL100P10002 CN</v>
          </cell>
          <cell r="C2644"/>
          <cell r="D2644">
            <v>56</v>
          </cell>
          <cell r="E2644">
            <v>234</v>
          </cell>
          <cell r="F2644"/>
          <cell r="G2644">
            <v>289</v>
          </cell>
        </row>
        <row r="2645">
          <cell r="B2645" t="str">
            <v>HW60SP300P10000 CN</v>
          </cell>
          <cell r="C2645"/>
          <cell r="D2645">
            <v>56</v>
          </cell>
          <cell r="E2645">
            <v>234</v>
          </cell>
          <cell r="F2645"/>
          <cell r="G2645">
            <v>289</v>
          </cell>
        </row>
        <row r="2646">
          <cell r="B2646" t="str">
            <v>HW60SP350P10000 CN</v>
          </cell>
          <cell r="C2646"/>
          <cell r="D2646">
            <v>56</v>
          </cell>
          <cell r="E2646">
            <v>234</v>
          </cell>
          <cell r="F2646"/>
          <cell r="G2646">
            <v>289</v>
          </cell>
        </row>
        <row r="2647">
          <cell r="B2647" t="str">
            <v>HW60SP370P10000 CN</v>
          </cell>
          <cell r="C2647"/>
          <cell r="D2647">
            <v>56</v>
          </cell>
          <cell r="E2647">
            <v>234</v>
          </cell>
          <cell r="F2647"/>
          <cell r="G2647">
            <v>289</v>
          </cell>
        </row>
        <row r="2648">
          <cell r="B2648" t="str">
            <v>HW70SP350P10000 CN</v>
          </cell>
          <cell r="C2648"/>
          <cell r="D2648">
            <v>56</v>
          </cell>
          <cell r="E2648">
            <v>234</v>
          </cell>
          <cell r="F2648"/>
          <cell r="G2648">
            <v>289</v>
          </cell>
        </row>
        <row r="2649">
          <cell r="B2649" t="str">
            <v>APW14R010S CE3</v>
          </cell>
          <cell r="C2649"/>
          <cell r="D2649">
            <v>21</v>
          </cell>
          <cell r="E2649">
            <v>91.6</v>
          </cell>
          <cell r="F2649">
            <v>22</v>
          </cell>
          <cell r="G2649">
            <v>60</v>
          </cell>
        </row>
        <row r="2650">
          <cell r="B2650" t="str">
            <v>AHW14R007P CE3</v>
          </cell>
          <cell r="C2650"/>
          <cell r="D2650">
            <v>21</v>
          </cell>
          <cell r="E2650">
            <v>92.6</v>
          </cell>
          <cell r="F2650">
            <v>20</v>
          </cell>
          <cell r="G2650">
            <v>43</v>
          </cell>
        </row>
        <row r="2651">
          <cell r="B2651" t="str">
            <v>AHW14R301J CE3</v>
          </cell>
          <cell r="C2651"/>
          <cell r="D2651">
            <v>21</v>
          </cell>
          <cell r="E2651">
            <v>92.6</v>
          </cell>
          <cell r="F2651">
            <v>20</v>
          </cell>
          <cell r="G2651">
            <v>43</v>
          </cell>
        </row>
        <row r="2652">
          <cell r="B2652" t="str">
            <v>AHW14R313S CE3</v>
          </cell>
          <cell r="C2652"/>
          <cell r="D2652">
            <v>21</v>
          </cell>
          <cell r="E2652">
            <v>92.6</v>
          </cell>
          <cell r="F2652">
            <v>20</v>
          </cell>
          <cell r="G2652">
            <v>43</v>
          </cell>
        </row>
        <row r="2653">
          <cell r="B2653" t="str">
            <v>AGP140301 NOCE</v>
          </cell>
          <cell r="C2653"/>
          <cell r="D2653">
            <v>21</v>
          </cell>
          <cell r="E2653">
            <v>92.6</v>
          </cell>
          <cell r="F2653">
            <v>20</v>
          </cell>
          <cell r="G2653">
            <v>43</v>
          </cell>
        </row>
        <row r="2654">
          <cell r="B2654" t="str">
            <v>AGP140302 NOCE</v>
          </cell>
          <cell r="C2654"/>
          <cell r="D2654">
            <v>21</v>
          </cell>
          <cell r="E2654">
            <v>92.6</v>
          </cell>
          <cell r="F2654">
            <v>20</v>
          </cell>
          <cell r="G2654">
            <v>43</v>
          </cell>
        </row>
        <row r="2655">
          <cell r="B2655" t="str">
            <v>AG14M350 NOCE</v>
          </cell>
          <cell r="C2655"/>
          <cell r="D2655">
            <v>21</v>
          </cell>
          <cell r="E2655">
            <v>92.6</v>
          </cell>
          <cell r="F2655">
            <v>20</v>
          </cell>
          <cell r="G2655">
            <v>43</v>
          </cell>
        </row>
        <row r="2656">
          <cell r="B2656" t="str">
            <v>AG14M360 NOCE</v>
          </cell>
          <cell r="C2656"/>
          <cell r="D2656">
            <v>21</v>
          </cell>
          <cell r="E2656">
            <v>92.6</v>
          </cell>
          <cell r="F2656">
            <v>20</v>
          </cell>
          <cell r="G2656">
            <v>43</v>
          </cell>
        </row>
        <row r="2657">
          <cell r="B2657" t="str">
            <v>AG14M070 NOCE</v>
          </cell>
          <cell r="C2657"/>
          <cell r="D2657">
            <v>21</v>
          </cell>
          <cell r="E2657">
            <v>92.6</v>
          </cell>
          <cell r="F2657">
            <v>20</v>
          </cell>
          <cell r="G2657">
            <v>43</v>
          </cell>
        </row>
        <row r="2658">
          <cell r="B2658" t="str">
            <v>APW14R305S CE4</v>
          </cell>
          <cell r="C2658"/>
          <cell r="D2658">
            <v>21</v>
          </cell>
          <cell r="E2658">
            <v>92.6</v>
          </cell>
          <cell r="F2658">
            <v>20</v>
          </cell>
          <cell r="G2658">
            <v>43</v>
          </cell>
        </row>
        <row r="2659">
          <cell r="B2659" t="str">
            <v>AGH147000 P NOCE</v>
          </cell>
          <cell r="C2659"/>
          <cell r="D2659">
            <v>21</v>
          </cell>
          <cell r="E2659">
            <v>92.6</v>
          </cell>
          <cell r="F2659">
            <v>20</v>
          </cell>
          <cell r="G2659">
            <v>43</v>
          </cell>
        </row>
        <row r="2660">
          <cell r="B2660" t="str">
            <v>AGH143091 Q NOCE</v>
          </cell>
          <cell r="C2660"/>
          <cell r="D2660">
            <v>21</v>
          </cell>
          <cell r="E2660">
            <v>92.6</v>
          </cell>
          <cell r="F2660">
            <v>20</v>
          </cell>
          <cell r="G2660">
            <v>43</v>
          </cell>
        </row>
        <row r="2661">
          <cell r="B2661" t="str">
            <v>AGH143090 Q NOCE</v>
          </cell>
          <cell r="C2661"/>
          <cell r="D2661">
            <v>21</v>
          </cell>
          <cell r="E2661">
            <v>92.6</v>
          </cell>
          <cell r="F2661">
            <v>20</v>
          </cell>
          <cell r="G2661">
            <v>43</v>
          </cell>
        </row>
        <row r="2662">
          <cell r="B2662" t="str">
            <v>AG141002J NOCE</v>
          </cell>
          <cell r="C2662"/>
          <cell r="D2662">
            <v>21</v>
          </cell>
          <cell r="E2662">
            <v>92.6</v>
          </cell>
          <cell r="F2662">
            <v>20</v>
          </cell>
          <cell r="G2662">
            <v>43</v>
          </cell>
        </row>
        <row r="2663">
          <cell r="B2663" t="str">
            <v>AG141002 NOCE</v>
          </cell>
          <cell r="C2663"/>
          <cell r="D2663">
            <v>21</v>
          </cell>
          <cell r="E2663">
            <v>92.6</v>
          </cell>
          <cell r="F2663">
            <v>20</v>
          </cell>
          <cell r="G2663">
            <v>43</v>
          </cell>
        </row>
        <row r="2664">
          <cell r="B2664" t="str">
            <v>AG141302 NOCE</v>
          </cell>
          <cell r="C2664"/>
          <cell r="D2664">
            <v>21</v>
          </cell>
          <cell r="E2664">
            <v>92.6</v>
          </cell>
          <cell r="F2664">
            <v>20</v>
          </cell>
          <cell r="G2664">
            <v>43</v>
          </cell>
        </row>
        <row r="2665">
          <cell r="B2665" t="str">
            <v>AG14M050 NOCE</v>
          </cell>
          <cell r="C2665"/>
          <cell r="D2665">
            <v>21</v>
          </cell>
          <cell r="E2665">
            <v>92.6</v>
          </cell>
          <cell r="F2665">
            <v>20</v>
          </cell>
          <cell r="G2665">
            <v>43</v>
          </cell>
        </row>
        <row r="2666">
          <cell r="B2666" t="str">
            <v>AG14M060 NOCE</v>
          </cell>
          <cell r="C2666"/>
          <cell r="D2666">
            <v>21</v>
          </cell>
          <cell r="E2666">
            <v>92.6</v>
          </cell>
          <cell r="F2666">
            <v>20</v>
          </cell>
          <cell r="G2666">
            <v>43</v>
          </cell>
        </row>
        <row r="2667">
          <cell r="B2667" t="str">
            <v>AGH146000 R NOCE</v>
          </cell>
          <cell r="C2667"/>
          <cell r="D2667">
            <v>21</v>
          </cell>
          <cell r="E2667">
            <v>92.6</v>
          </cell>
          <cell r="F2667">
            <v>20</v>
          </cell>
          <cell r="G2667">
            <v>43</v>
          </cell>
        </row>
        <row r="2668">
          <cell r="B2668" t="str">
            <v>AGH146300 R NOCE</v>
          </cell>
          <cell r="C2668"/>
          <cell r="D2668">
            <v>21</v>
          </cell>
          <cell r="E2668">
            <v>92.6</v>
          </cell>
          <cell r="F2668">
            <v>20</v>
          </cell>
          <cell r="G2668">
            <v>43</v>
          </cell>
        </row>
        <row r="2669">
          <cell r="B2669" t="str">
            <v>AGP140001 NOCE</v>
          </cell>
          <cell r="C2669"/>
          <cell r="D2669">
            <v>21</v>
          </cell>
          <cell r="E2669">
            <v>92.6</v>
          </cell>
          <cell r="F2669">
            <v>20</v>
          </cell>
          <cell r="G2669">
            <v>43</v>
          </cell>
        </row>
        <row r="2670">
          <cell r="B2670" t="str">
            <v>AGP140002 NOCE</v>
          </cell>
          <cell r="C2670"/>
          <cell r="D2670">
            <v>21</v>
          </cell>
          <cell r="E2670">
            <v>92.6</v>
          </cell>
          <cell r="F2670">
            <v>20</v>
          </cell>
          <cell r="G2670">
            <v>43</v>
          </cell>
        </row>
        <row r="2671">
          <cell r="B2671" t="str">
            <v>AHW14S003S NOCE</v>
          </cell>
          <cell r="C2671"/>
          <cell r="D2671">
            <v>21</v>
          </cell>
          <cell r="E2671">
            <v>92.6</v>
          </cell>
          <cell r="F2671">
            <v>20</v>
          </cell>
          <cell r="G2671">
            <v>43</v>
          </cell>
        </row>
        <row r="2672">
          <cell r="B2672" t="str">
            <v>AHW14S303J NOCE</v>
          </cell>
          <cell r="C2672"/>
          <cell r="D2672">
            <v>21</v>
          </cell>
          <cell r="E2672">
            <v>92.6</v>
          </cell>
          <cell r="F2672">
            <v>20</v>
          </cell>
          <cell r="G2672">
            <v>43</v>
          </cell>
        </row>
        <row r="2673">
          <cell r="B2673" t="str">
            <v>AHW14R008P CE3</v>
          </cell>
          <cell r="C2673"/>
          <cell r="D2673">
            <v>21</v>
          </cell>
          <cell r="E2673">
            <v>92.6</v>
          </cell>
          <cell r="F2673">
            <v>20</v>
          </cell>
          <cell r="G2673">
            <v>43</v>
          </cell>
        </row>
        <row r="2674">
          <cell r="B2674" t="str">
            <v>AHW14R011P CE3</v>
          </cell>
          <cell r="C2674"/>
          <cell r="D2674">
            <v>21</v>
          </cell>
          <cell r="E2674">
            <v>92.6</v>
          </cell>
          <cell r="F2674">
            <v>20</v>
          </cell>
          <cell r="G2674">
            <v>43</v>
          </cell>
        </row>
        <row r="2675">
          <cell r="B2675" t="str">
            <v>HW60AL070P10000 CN</v>
          </cell>
          <cell r="C2675"/>
          <cell r="D2675">
            <v>56</v>
          </cell>
          <cell r="E2675">
            <v>234</v>
          </cell>
          <cell r="F2675"/>
          <cell r="G2675">
            <v>289</v>
          </cell>
        </row>
        <row r="2676">
          <cell r="B2676" t="str">
            <v>HW60RB100P10000 CN</v>
          </cell>
          <cell r="C2676"/>
          <cell r="D2676">
            <v>56</v>
          </cell>
          <cell r="E2676">
            <v>234</v>
          </cell>
          <cell r="F2676"/>
          <cell r="G2676">
            <v>289</v>
          </cell>
        </row>
        <row r="2677">
          <cell r="B2677" t="str">
            <v>PP14R005P</v>
          </cell>
          <cell r="C2677"/>
          <cell r="D2677">
            <v>21</v>
          </cell>
          <cell r="E2677">
            <v>92.6</v>
          </cell>
          <cell r="F2677">
            <v>20</v>
          </cell>
          <cell r="G2677">
            <v>43</v>
          </cell>
        </row>
        <row r="2678">
          <cell r="B2678" t="str">
            <v>WCKV165-14 NOCE</v>
          </cell>
          <cell r="C2678"/>
          <cell r="D2678">
            <v>21</v>
          </cell>
          <cell r="E2678">
            <v>92.6</v>
          </cell>
          <cell r="F2678">
            <v>20</v>
          </cell>
          <cell r="G2678">
            <v>43</v>
          </cell>
        </row>
        <row r="2679">
          <cell r="B2679" t="str">
            <v>AHW14R004S NOCE</v>
          </cell>
          <cell r="C2679"/>
          <cell r="D2679">
            <v>21</v>
          </cell>
          <cell r="E2679">
            <v>92.6</v>
          </cell>
          <cell r="F2679">
            <v>20</v>
          </cell>
          <cell r="G2679">
            <v>43</v>
          </cell>
        </row>
        <row r="2680">
          <cell r="B2680" t="str">
            <v>HW70SP370P10000 CN</v>
          </cell>
          <cell r="C2680"/>
          <cell r="D2680">
            <v>56</v>
          </cell>
          <cell r="E2680">
            <v>234</v>
          </cell>
          <cell r="F2680"/>
          <cell r="G2680">
            <v>289</v>
          </cell>
        </row>
        <row r="2681">
          <cell r="B2681" t="str">
            <v>APW14R010J CE3</v>
          </cell>
          <cell r="C2681"/>
          <cell r="D2681">
            <v>21</v>
          </cell>
          <cell r="E2681">
            <v>92.6</v>
          </cell>
          <cell r="F2681">
            <v>20</v>
          </cell>
          <cell r="G2681">
            <v>43</v>
          </cell>
        </row>
        <row r="2682">
          <cell r="B2682" t="str">
            <v>APW14R310J CE3</v>
          </cell>
          <cell r="C2682"/>
          <cell r="D2682">
            <v>21</v>
          </cell>
          <cell r="E2682">
            <v>92.6</v>
          </cell>
          <cell r="F2682">
            <v>20</v>
          </cell>
          <cell r="G2682">
            <v>43</v>
          </cell>
        </row>
        <row r="2683">
          <cell r="B2683" t="str">
            <v>PP14R200PR JP</v>
          </cell>
          <cell r="C2683"/>
          <cell r="D2683">
            <v>21</v>
          </cell>
          <cell r="E2683">
            <v>92.6</v>
          </cell>
          <cell r="F2683">
            <v>20</v>
          </cell>
          <cell r="G2683">
            <v>43</v>
          </cell>
        </row>
        <row r="2684">
          <cell r="B2684" t="str">
            <v>PH14R101PR JP</v>
          </cell>
          <cell r="C2684"/>
          <cell r="D2684">
            <v>21</v>
          </cell>
          <cell r="E2684">
            <v>92.6</v>
          </cell>
          <cell r="F2684">
            <v>20</v>
          </cell>
          <cell r="G2684">
            <v>43</v>
          </cell>
        </row>
        <row r="2685">
          <cell r="B2685" t="str">
            <v>AG141000 NOCE</v>
          </cell>
          <cell r="C2685"/>
          <cell r="D2685">
            <v>21</v>
          </cell>
          <cell r="E2685">
            <v>92.6</v>
          </cell>
          <cell r="F2685">
            <v>20</v>
          </cell>
          <cell r="G2685">
            <v>43</v>
          </cell>
        </row>
        <row r="2686">
          <cell r="B2686" t="str">
            <v>AGP140000 NOCE</v>
          </cell>
          <cell r="C2686"/>
          <cell r="D2686">
            <v>21</v>
          </cell>
          <cell r="E2686">
            <v>92.6</v>
          </cell>
          <cell r="F2686">
            <v>20</v>
          </cell>
          <cell r="G2686">
            <v>43</v>
          </cell>
        </row>
        <row r="2687">
          <cell r="B2687" t="str">
            <v>HJ80JL502P10000 JP</v>
          </cell>
          <cell r="C2687"/>
          <cell r="D2687">
            <v>56</v>
          </cell>
          <cell r="E2687">
            <v>234</v>
          </cell>
          <cell r="F2687"/>
          <cell r="G2687">
            <v>289</v>
          </cell>
        </row>
        <row r="2688">
          <cell r="B2688" t="str">
            <v>AGP140300 NOCE</v>
          </cell>
          <cell r="C2688"/>
          <cell r="D2688">
            <v>21</v>
          </cell>
          <cell r="E2688">
            <v>92.6</v>
          </cell>
          <cell r="F2688">
            <v>20</v>
          </cell>
          <cell r="G2688">
            <v>43</v>
          </cell>
        </row>
        <row r="2689">
          <cell r="B2689" t="str">
            <v>PP14R005P JP</v>
          </cell>
          <cell r="C2689"/>
          <cell r="D2689">
            <v>21</v>
          </cell>
          <cell r="E2689">
            <v>92.6</v>
          </cell>
          <cell r="F2689">
            <v>20</v>
          </cell>
          <cell r="G2689">
            <v>43</v>
          </cell>
        </row>
        <row r="2690">
          <cell r="B2690" t="str">
            <v>AGH146000J R NOCE</v>
          </cell>
          <cell r="C2690"/>
          <cell r="D2690">
            <v>21</v>
          </cell>
          <cell r="E2690">
            <v>92.6</v>
          </cell>
          <cell r="F2690">
            <v>20</v>
          </cell>
          <cell r="G2690">
            <v>43</v>
          </cell>
        </row>
        <row r="2691">
          <cell r="B2691" t="str">
            <v>AHW14R007P NOCE</v>
          </cell>
          <cell r="C2691"/>
          <cell r="D2691">
            <v>21</v>
          </cell>
          <cell r="E2691">
            <v>92.6</v>
          </cell>
          <cell r="F2691">
            <v>20</v>
          </cell>
          <cell r="G2691">
            <v>43</v>
          </cell>
        </row>
        <row r="2692">
          <cell r="B2692" t="str">
            <v>AHW14R008P NOCE</v>
          </cell>
          <cell r="C2692"/>
          <cell r="D2692">
            <v>21</v>
          </cell>
          <cell r="E2692">
            <v>92.6</v>
          </cell>
          <cell r="F2692">
            <v>20</v>
          </cell>
          <cell r="G2692">
            <v>43</v>
          </cell>
        </row>
        <row r="2693">
          <cell r="B2693" t="str">
            <v>AHW14R011P NOCE</v>
          </cell>
          <cell r="C2693"/>
          <cell r="D2693">
            <v>21</v>
          </cell>
          <cell r="E2693">
            <v>92.6</v>
          </cell>
          <cell r="F2693">
            <v>20</v>
          </cell>
          <cell r="G2693">
            <v>43</v>
          </cell>
        </row>
        <row r="2694">
          <cell r="B2694" t="str">
            <v>APW14R009S NOCE</v>
          </cell>
          <cell r="C2694"/>
          <cell r="D2694">
            <v>21</v>
          </cell>
          <cell r="E2694">
            <v>92.6</v>
          </cell>
          <cell r="F2694">
            <v>20</v>
          </cell>
          <cell r="G2694">
            <v>43</v>
          </cell>
        </row>
        <row r="2695">
          <cell r="B2695" t="str">
            <v>APW14R005S NOCE</v>
          </cell>
          <cell r="C2695"/>
          <cell r="D2695">
            <v>21</v>
          </cell>
          <cell r="E2695">
            <v>92.6</v>
          </cell>
          <cell r="F2695">
            <v>20</v>
          </cell>
          <cell r="G2695">
            <v>43</v>
          </cell>
        </row>
        <row r="2696">
          <cell r="B2696" t="str">
            <v>HW60AL200P10000 CN</v>
          </cell>
          <cell r="C2696"/>
          <cell r="D2696">
            <v>56</v>
          </cell>
          <cell r="E2696">
            <v>234</v>
          </cell>
          <cell r="F2696"/>
          <cell r="G2696">
            <v>289</v>
          </cell>
        </row>
        <row r="2697">
          <cell r="B2697" t="str">
            <v>HW60AL072P10002 CN</v>
          </cell>
          <cell r="C2697"/>
          <cell r="D2697">
            <v>56</v>
          </cell>
          <cell r="E2697">
            <v>234</v>
          </cell>
          <cell r="F2697"/>
          <cell r="G2697">
            <v>289</v>
          </cell>
        </row>
        <row r="2698">
          <cell r="B2698" t="str">
            <v>HW60JR402P10000 CN</v>
          </cell>
          <cell r="C2698"/>
          <cell r="D2698">
            <v>56</v>
          </cell>
          <cell r="E2698">
            <v>234</v>
          </cell>
          <cell r="F2698"/>
          <cell r="G2698">
            <v>289</v>
          </cell>
        </row>
        <row r="2699">
          <cell r="B2699" t="str">
            <v>HW60SP302P10000 CN</v>
          </cell>
          <cell r="C2699"/>
          <cell r="D2699">
            <v>56</v>
          </cell>
          <cell r="E2699">
            <v>234</v>
          </cell>
          <cell r="F2699"/>
          <cell r="G2699">
            <v>289</v>
          </cell>
        </row>
        <row r="2700">
          <cell r="B2700" t="str">
            <v>HW60SP372P10000 CN</v>
          </cell>
          <cell r="C2700"/>
          <cell r="D2700">
            <v>56</v>
          </cell>
          <cell r="E2700">
            <v>234</v>
          </cell>
          <cell r="F2700"/>
          <cell r="G2700">
            <v>289</v>
          </cell>
        </row>
        <row r="2701">
          <cell r="B2701" t="str">
            <v>HW60RB070P10000 CN</v>
          </cell>
          <cell r="C2701"/>
          <cell r="D2701">
            <v>56</v>
          </cell>
          <cell r="E2701">
            <v>234</v>
          </cell>
          <cell r="F2701"/>
          <cell r="G2701">
            <v>289</v>
          </cell>
        </row>
        <row r="2702">
          <cell r="B2702" t="str">
            <v>HW70JL350P10000 CN</v>
          </cell>
          <cell r="C2702"/>
          <cell r="D2702">
            <v>56</v>
          </cell>
          <cell r="E2702">
            <v>234</v>
          </cell>
          <cell r="F2702"/>
          <cell r="G2702">
            <v>289</v>
          </cell>
        </row>
        <row r="2703">
          <cell r="B2703" t="str">
            <v>HW70JL350P10001 CN</v>
          </cell>
          <cell r="C2703"/>
          <cell r="D2703">
            <v>56</v>
          </cell>
          <cell r="E2703">
            <v>234</v>
          </cell>
          <cell r="F2703"/>
          <cell r="G2703">
            <v>289</v>
          </cell>
        </row>
        <row r="2704">
          <cell r="B2704" t="str">
            <v>HW70JL352P10000 CN</v>
          </cell>
          <cell r="C2704"/>
          <cell r="D2704">
            <v>56</v>
          </cell>
          <cell r="E2704">
            <v>234</v>
          </cell>
          <cell r="F2704"/>
          <cell r="G2704">
            <v>289</v>
          </cell>
        </row>
        <row r="2705">
          <cell r="B2705" t="str">
            <v>HW70JL400P10000 CN</v>
          </cell>
          <cell r="C2705"/>
          <cell r="D2705">
            <v>56</v>
          </cell>
          <cell r="E2705">
            <v>234</v>
          </cell>
          <cell r="F2705"/>
          <cell r="G2705">
            <v>289</v>
          </cell>
        </row>
        <row r="2706">
          <cell r="B2706" t="str">
            <v>HW70JR350P10000 CN</v>
          </cell>
          <cell r="C2706"/>
          <cell r="D2706">
            <v>56</v>
          </cell>
          <cell r="E2706">
            <v>234</v>
          </cell>
          <cell r="F2706"/>
          <cell r="G2706">
            <v>289</v>
          </cell>
        </row>
        <row r="2707">
          <cell r="B2707" t="str">
            <v>HW70JR400P10000 CN</v>
          </cell>
          <cell r="C2707"/>
          <cell r="D2707">
            <v>56</v>
          </cell>
          <cell r="E2707">
            <v>234</v>
          </cell>
          <cell r="F2707"/>
          <cell r="G2707">
            <v>289</v>
          </cell>
        </row>
        <row r="2708">
          <cell r="B2708" t="str">
            <v>HW70AL070P10000 CN</v>
          </cell>
          <cell r="C2708"/>
          <cell r="D2708">
            <v>56</v>
          </cell>
          <cell r="E2708">
            <v>234</v>
          </cell>
          <cell r="F2708"/>
          <cell r="G2708">
            <v>289</v>
          </cell>
        </row>
        <row r="2709">
          <cell r="B2709" t="str">
            <v>HW70AL072P10000 CN</v>
          </cell>
          <cell r="C2709"/>
          <cell r="D2709">
            <v>56</v>
          </cell>
          <cell r="E2709">
            <v>234</v>
          </cell>
          <cell r="F2709"/>
          <cell r="G2709">
            <v>289</v>
          </cell>
        </row>
        <row r="2710">
          <cell r="B2710" t="str">
            <v>HW70AL100P10000 CN</v>
          </cell>
          <cell r="C2710"/>
          <cell r="D2710">
            <v>56</v>
          </cell>
          <cell r="E2710">
            <v>234</v>
          </cell>
          <cell r="F2710"/>
          <cell r="G2710">
            <v>289</v>
          </cell>
        </row>
        <row r="2711">
          <cell r="B2711" t="str">
            <v>HW70AL150P10000 CN</v>
          </cell>
          <cell r="C2711"/>
          <cell r="D2711">
            <v>56</v>
          </cell>
          <cell r="E2711">
            <v>234</v>
          </cell>
          <cell r="F2711"/>
          <cell r="G2711">
            <v>289</v>
          </cell>
        </row>
        <row r="2712">
          <cell r="B2712" t="str">
            <v>HW70AL070P10002 CN</v>
          </cell>
          <cell r="C2712"/>
          <cell r="D2712">
            <v>56</v>
          </cell>
          <cell r="E2712">
            <v>234</v>
          </cell>
          <cell r="F2712"/>
          <cell r="G2712">
            <v>289</v>
          </cell>
        </row>
        <row r="2713">
          <cell r="B2713" t="str">
            <v>HW70AL072P10002 CN</v>
          </cell>
          <cell r="C2713"/>
          <cell r="D2713">
            <v>56</v>
          </cell>
          <cell r="E2713">
            <v>234</v>
          </cell>
          <cell r="F2713"/>
          <cell r="G2713">
            <v>289</v>
          </cell>
        </row>
        <row r="2714">
          <cell r="B2714" t="str">
            <v>HW70AL100P10002 CN</v>
          </cell>
          <cell r="C2714"/>
          <cell r="D2714">
            <v>56</v>
          </cell>
          <cell r="E2714">
            <v>234</v>
          </cell>
          <cell r="F2714"/>
          <cell r="G2714">
            <v>289</v>
          </cell>
        </row>
        <row r="2715">
          <cell r="B2715" t="str">
            <v>HW70AL102P10002 CN</v>
          </cell>
          <cell r="C2715"/>
          <cell r="D2715">
            <v>56</v>
          </cell>
          <cell r="E2715">
            <v>234</v>
          </cell>
          <cell r="F2715"/>
          <cell r="G2715">
            <v>289</v>
          </cell>
        </row>
        <row r="2716">
          <cell r="B2716" t="str">
            <v>HW60AR100P10000 CN</v>
          </cell>
          <cell r="C2716"/>
          <cell r="D2716">
            <v>56</v>
          </cell>
          <cell r="E2716">
            <v>234</v>
          </cell>
          <cell r="F2716"/>
          <cell r="G2716">
            <v>289</v>
          </cell>
        </row>
        <row r="2717">
          <cell r="B2717" t="str">
            <v>HJ80PB302P10000 JP</v>
          </cell>
          <cell r="C2717"/>
          <cell r="D2717">
            <v>56</v>
          </cell>
          <cell r="E2717">
            <v>234</v>
          </cell>
          <cell r="F2717"/>
          <cell r="G2717">
            <v>289</v>
          </cell>
        </row>
        <row r="2718">
          <cell r="B2718" t="str">
            <v>HJ80AL100P10001 JP</v>
          </cell>
          <cell r="C2718"/>
          <cell r="D2718">
            <v>56</v>
          </cell>
          <cell r="E2718">
            <v>234</v>
          </cell>
          <cell r="F2718"/>
          <cell r="G2718">
            <v>289</v>
          </cell>
        </row>
        <row r="2719">
          <cell r="B2719" t="str">
            <v>AHW14R004J NOCE</v>
          </cell>
          <cell r="C2719"/>
          <cell r="D2719">
            <v>21</v>
          </cell>
          <cell r="E2719">
            <v>92.6</v>
          </cell>
          <cell r="F2719">
            <v>20</v>
          </cell>
          <cell r="G2719">
            <v>43</v>
          </cell>
        </row>
        <row r="2720">
          <cell r="B2720" t="str">
            <v>AGP140000J NOCE</v>
          </cell>
          <cell r="C2720"/>
          <cell r="D2720">
            <v>21</v>
          </cell>
          <cell r="E2720">
            <v>92.6</v>
          </cell>
          <cell r="F2720">
            <v>20</v>
          </cell>
          <cell r="G2720">
            <v>43</v>
          </cell>
        </row>
        <row r="2721">
          <cell r="B2721" t="str">
            <v>HW70AL102P09002 CN</v>
          </cell>
          <cell r="C2721"/>
          <cell r="D2721">
            <v>56</v>
          </cell>
          <cell r="E2721">
            <v>234</v>
          </cell>
          <cell r="F2721"/>
          <cell r="G2721">
            <v>289</v>
          </cell>
        </row>
        <row r="2722">
          <cell r="B2722" t="str">
            <v>HW70SP300P10000 CN</v>
          </cell>
          <cell r="C2722"/>
          <cell r="D2722">
            <v>56</v>
          </cell>
          <cell r="E2722">
            <v>234</v>
          </cell>
          <cell r="F2722"/>
          <cell r="G2722">
            <v>289</v>
          </cell>
        </row>
        <row r="2723">
          <cell r="B2723" t="str">
            <v>HW70SP372P10000 CN</v>
          </cell>
          <cell r="C2723"/>
          <cell r="D2723">
            <v>56</v>
          </cell>
          <cell r="E2723">
            <v>234</v>
          </cell>
          <cell r="F2723"/>
          <cell r="G2723">
            <v>289</v>
          </cell>
        </row>
        <row r="2724">
          <cell r="B2724" t="str">
            <v>HW70SP352P10000 CN</v>
          </cell>
          <cell r="C2724"/>
          <cell r="D2724">
            <v>56</v>
          </cell>
          <cell r="E2724">
            <v>234</v>
          </cell>
          <cell r="F2724"/>
          <cell r="G2724">
            <v>289</v>
          </cell>
        </row>
        <row r="2725">
          <cell r="B2725" t="str">
            <v>HW60RB102P10000 CN</v>
          </cell>
          <cell r="C2725"/>
          <cell r="D2725">
            <v>56</v>
          </cell>
          <cell r="E2725">
            <v>234</v>
          </cell>
          <cell r="F2725"/>
          <cell r="G2725">
            <v>289</v>
          </cell>
        </row>
        <row r="2726">
          <cell r="B2726" t="str">
            <v>HW70JL400P10001 CN</v>
          </cell>
          <cell r="C2726"/>
          <cell r="D2726">
            <v>56</v>
          </cell>
          <cell r="E2726">
            <v>234</v>
          </cell>
          <cell r="F2726"/>
          <cell r="G2726">
            <v>289</v>
          </cell>
        </row>
        <row r="2727">
          <cell r="B2727" t="str">
            <v>HW60SP352P10000 CN</v>
          </cell>
          <cell r="C2727"/>
          <cell r="D2727">
            <v>56</v>
          </cell>
          <cell r="E2727">
            <v>234</v>
          </cell>
          <cell r="F2727"/>
          <cell r="G2727">
            <v>289</v>
          </cell>
        </row>
        <row r="2728">
          <cell r="B2728" t="str">
            <v>HW60SP400P10000 CN</v>
          </cell>
          <cell r="C2728"/>
          <cell r="D2728">
            <v>56</v>
          </cell>
          <cell r="E2728">
            <v>234</v>
          </cell>
          <cell r="F2728"/>
          <cell r="G2728">
            <v>289</v>
          </cell>
        </row>
        <row r="2729">
          <cell r="B2729" t="str">
            <v>HW60AL102P10002 CN</v>
          </cell>
          <cell r="C2729"/>
          <cell r="D2729">
            <v>56</v>
          </cell>
          <cell r="E2729">
            <v>234</v>
          </cell>
          <cell r="F2729"/>
          <cell r="G2729">
            <v>289</v>
          </cell>
        </row>
        <row r="2730">
          <cell r="B2730" t="str">
            <v>HW60AL150P10002 CN</v>
          </cell>
          <cell r="C2730"/>
          <cell r="D2730">
            <v>56</v>
          </cell>
          <cell r="E2730">
            <v>234</v>
          </cell>
          <cell r="F2730"/>
          <cell r="G2730">
            <v>289</v>
          </cell>
        </row>
        <row r="2731">
          <cell r="B2731" t="str">
            <v>HW60PB300P10000 CN</v>
          </cell>
          <cell r="C2731"/>
          <cell r="D2731">
            <v>56</v>
          </cell>
          <cell r="E2731">
            <v>234</v>
          </cell>
          <cell r="F2731"/>
          <cell r="G2731">
            <v>289</v>
          </cell>
        </row>
        <row r="2732">
          <cell r="B2732" t="str">
            <v>HW60PB350P10000 CN</v>
          </cell>
          <cell r="C2732"/>
          <cell r="D2732">
            <v>56</v>
          </cell>
          <cell r="E2732">
            <v>234</v>
          </cell>
          <cell r="F2732"/>
          <cell r="G2732">
            <v>289</v>
          </cell>
        </row>
        <row r="2733">
          <cell r="B2733" t="str">
            <v>HW70AL102P10000 CN</v>
          </cell>
          <cell r="C2733"/>
          <cell r="D2733">
            <v>56</v>
          </cell>
          <cell r="E2733">
            <v>234</v>
          </cell>
          <cell r="F2733"/>
          <cell r="G2733">
            <v>289</v>
          </cell>
        </row>
        <row r="2734">
          <cell r="B2734" t="str">
            <v>HW70SP352P09000 CN</v>
          </cell>
          <cell r="C2734"/>
          <cell r="D2734">
            <v>56</v>
          </cell>
          <cell r="E2734">
            <v>234</v>
          </cell>
          <cell r="F2734"/>
          <cell r="G2734">
            <v>289</v>
          </cell>
        </row>
        <row r="2735">
          <cell r="B2735" t="str">
            <v>MST45A-18PWSFR_JP</v>
          </cell>
          <cell r="C2735"/>
          <cell r="D2735">
            <v>56</v>
          </cell>
          <cell r="E2735">
            <v>154.9</v>
          </cell>
          <cell r="F2735"/>
          <cell r="G2735">
            <v>184</v>
          </cell>
        </row>
        <row r="2736">
          <cell r="B2736" t="str">
            <v>SA0035N26S NOCE</v>
          </cell>
          <cell r="C2736"/>
          <cell r="D2736">
            <v>34</v>
          </cell>
          <cell r="E2736">
            <v>88</v>
          </cell>
          <cell r="F2736"/>
          <cell r="G2736">
            <v>84</v>
          </cell>
        </row>
        <row r="2737">
          <cell r="B2737" t="str">
            <v>SJ3035N26S NOCE</v>
          </cell>
          <cell r="C2737"/>
          <cell r="D2737">
            <v>34</v>
          </cell>
          <cell r="E2737">
            <v>88</v>
          </cell>
          <cell r="F2737"/>
          <cell r="G2737">
            <v>84</v>
          </cell>
        </row>
        <row r="2738">
          <cell r="B2738" t="str">
            <v>E0018450AG-2 JP</v>
          </cell>
          <cell r="C2738"/>
          <cell r="D2738">
            <v>56</v>
          </cell>
          <cell r="E2738">
            <v>207</v>
          </cell>
          <cell r="F2738"/>
          <cell r="G2738">
            <v>172</v>
          </cell>
        </row>
        <row r="2739">
          <cell r="B2739" t="str">
            <v>WAMS-135-1645 CE3</v>
          </cell>
          <cell r="C2739"/>
          <cell r="D2739">
            <v>42</v>
          </cell>
          <cell r="E2739">
            <v>164</v>
          </cell>
          <cell r="F2739">
            <v>32</v>
          </cell>
          <cell r="G2739">
            <v>147</v>
          </cell>
        </row>
        <row r="2740">
          <cell r="B2740" t="str">
            <v>WAMS-165-1645 CE3</v>
          </cell>
          <cell r="C2740"/>
          <cell r="D2740">
            <v>42</v>
          </cell>
          <cell r="E2740">
            <v>201.4</v>
          </cell>
          <cell r="F2740">
            <v>22</v>
          </cell>
          <cell r="G2740">
            <v>147</v>
          </cell>
        </row>
        <row r="2741">
          <cell r="B2741" t="str">
            <v>WAMS-180-1645 CE3</v>
          </cell>
          <cell r="C2741"/>
          <cell r="D2741">
            <v>43</v>
          </cell>
          <cell r="E2741">
            <v>178.8</v>
          </cell>
          <cell r="F2741">
            <v>22</v>
          </cell>
          <cell r="G2741">
            <v>147.4</v>
          </cell>
        </row>
        <row r="2742">
          <cell r="B2742" t="str">
            <v>WAMS-135-16ST CE3</v>
          </cell>
          <cell r="C2742"/>
          <cell r="D2742">
            <v>42</v>
          </cell>
          <cell r="E2742">
            <v>164</v>
          </cell>
          <cell r="F2742">
            <v>32</v>
          </cell>
          <cell r="G2742">
            <v>147</v>
          </cell>
        </row>
        <row r="2743">
          <cell r="B2743" t="str">
            <v>WAMS-165-16ST CE3</v>
          </cell>
          <cell r="C2743"/>
          <cell r="D2743">
            <v>42</v>
          </cell>
          <cell r="E2743">
            <v>201.4</v>
          </cell>
          <cell r="F2743">
            <v>22</v>
          </cell>
          <cell r="G2743">
            <v>147</v>
          </cell>
        </row>
        <row r="2744">
          <cell r="B2744" t="str">
            <v>WAMS-135-16WA CE3</v>
          </cell>
          <cell r="C2744"/>
          <cell r="D2744">
            <v>42</v>
          </cell>
          <cell r="E2744">
            <v>164</v>
          </cell>
          <cell r="F2744">
            <v>32</v>
          </cell>
          <cell r="G2744">
            <v>147</v>
          </cell>
        </row>
        <row r="2745">
          <cell r="B2745" t="str">
            <v>PP14R305P JP</v>
          </cell>
          <cell r="C2745"/>
          <cell r="D2745">
            <v>21</v>
          </cell>
          <cell r="E2745">
            <v>92.6</v>
          </cell>
          <cell r="F2745">
            <v>20</v>
          </cell>
          <cell r="G2745">
            <v>43</v>
          </cell>
        </row>
        <row r="2746">
          <cell r="B2746" t="str">
            <v>PPW14R300P CN</v>
          </cell>
          <cell r="C2746"/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B2747" t="str">
            <v>CRV135-19P CE3</v>
          </cell>
          <cell r="C2747"/>
          <cell r="D2747">
            <v>54</v>
          </cell>
          <cell r="E2747">
            <v>135</v>
          </cell>
          <cell r="F2747"/>
          <cell r="G2747">
            <v>134.19999999999999</v>
          </cell>
        </row>
        <row r="2748">
          <cell r="B2748" t="str">
            <v>CRV150-19P CE3</v>
          </cell>
          <cell r="C2748"/>
          <cell r="D2748">
            <v>54</v>
          </cell>
          <cell r="E2748">
            <v>135</v>
          </cell>
          <cell r="F2748"/>
          <cell r="G2748">
            <v>134.19999999999999</v>
          </cell>
        </row>
        <row r="2749">
          <cell r="B2749" t="str">
            <v>APW14R005S CE5</v>
          </cell>
          <cell r="C2749"/>
          <cell r="D2749">
            <v>21</v>
          </cell>
          <cell r="E2749">
            <v>92.6</v>
          </cell>
          <cell r="F2749">
            <v>20</v>
          </cell>
          <cell r="G2749">
            <v>43</v>
          </cell>
        </row>
        <row r="2750">
          <cell r="B2750" t="str">
            <v>AHW14R101S CE2</v>
          </cell>
          <cell r="C2750"/>
          <cell r="D2750">
            <v>21</v>
          </cell>
          <cell r="E2750">
            <v>92.6</v>
          </cell>
          <cell r="F2750">
            <v>20</v>
          </cell>
          <cell r="G2750">
            <v>43</v>
          </cell>
        </row>
        <row r="2751">
          <cell r="B2751" t="str">
            <v>AHW14R104S CE2</v>
          </cell>
          <cell r="C2751"/>
          <cell r="D2751">
            <v>21</v>
          </cell>
          <cell r="E2751">
            <v>92.6</v>
          </cell>
          <cell r="F2751">
            <v>20</v>
          </cell>
          <cell r="G2751">
            <v>43</v>
          </cell>
        </row>
        <row r="2752">
          <cell r="B2752" t="str">
            <v>APW14R010S CE4</v>
          </cell>
          <cell r="C2752"/>
          <cell r="D2752">
            <v>21</v>
          </cell>
          <cell r="E2752">
            <v>91.6</v>
          </cell>
          <cell r="F2752">
            <v>22</v>
          </cell>
          <cell r="G2752">
            <v>60</v>
          </cell>
        </row>
        <row r="2753">
          <cell r="B2753" t="str">
            <v>AHW14R013P CE5</v>
          </cell>
          <cell r="C2753"/>
          <cell r="D2753">
            <v>21</v>
          </cell>
          <cell r="E2753">
            <v>92.6</v>
          </cell>
          <cell r="F2753">
            <v>20</v>
          </cell>
          <cell r="G2753">
            <v>43</v>
          </cell>
        </row>
        <row r="2754">
          <cell r="B2754" t="str">
            <v>AHW10S302S CE4</v>
          </cell>
          <cell r="C2754"/>
          <cell r="D2754">
            <v>21</v>
          </cell>
          <cell r="E2754">
            <v>92.6</v>
          </cell>
          <cell r="F2754">
            <v>20</v>
          </cell>
          <cell r="G2754">
            <v>43</v>
          </cell>
        </row>
        <row r="2755">
          <cell r="B2755" t="str">
            <v>AHW14R004S  CE5</v>
          </cell>
          <cell r="C2755"/>
          <cell r="D2755">
            <v>44</v>
          </cell>
          <cell r="E2755">
            <v>162.4</v>
          </cell>
          <cell r="F2755">
            <v>20</v>
          </cell>
          <cell r="G2755">
            <v>147</v>
          </cell>
        </row>
        <row r="2756">
          <cell r="B2756" t="str">
            <v>SJ1535N26S NOCE</v>
          </cell>
          <cell r="C2756"/>
          <cell r="D2756">
            <v>34</v>
          </cell>
          <cell r="E2756">
            <v>88</v>
          </cell>
          <cell r="F2756"/>
          <cell r="G2756">
            <v>84</v>
          </cell>
        </row>
        <row r="2757">
          <cell r="B2757" t="str">
            <v>SJ3035N15S CE2</v>
          </cell>
          <cell r="C2757"/>
          <cell r="D2757">
            <v>22</v>
          </cell>
          <cell r="E2757">
            <v>92.6</v>
          </cell>
          <cell r="F2757"/>
          <cell r="G2757">
            <v>115</v>
          </cell>
        </row>
        <row r="2758">
          <cell r="B2758" t="str">
            <v>AG149001 CE3</v>
          </cell>
          <cell r="C2758"/>
          <cell r="D2758">
            <v>21</v>
          </cell>
          <cell r="E2758">
            <v>88</v>
          </cell>
          <cell r="F2758">
            <v>32</v>
          </cell>
          <cell r="G2758">
            <v>43</v>
          </cell>
        </row>
        <row r="2759">
          <cell r="B2759" t="str">
            <v>WAMS-180-16WA CE3</v>
          </cell>
          <cell r="C2759"/>
          <cell r="D2759">
            <v>42</v>
          </cell>
          <cell r="E2759">
            <v>164</v>
          </cell>
          <cell r="F2759">
            <v>32</v>
          </cell>
          <cell r="G2759">
            <v>147</v>
          </cell>
        </row>
        <row r="2760">
          <cell r="B2760" t="str">
            <v>SJ3035N26S CE2</v>
          </cell>
          <cell r="C2760"/>
          <cell r="D2760">
            <v>22</v>
          </cell>
          <cell r="E2760">
            <v>93</v>
          </cell>
          <cell r="F2760"/>
          <cell r="G2760">
            <v>115</v>
          </cell>
        </row>
        <row r="2761">
          <cell r="B2761" t="str">
            <v xml:space="preserve">WAMS-165-16WA CE3 </v>
          </cell>
          <cell r="C2761"/>
          <cell r="D2761">
            <v>42</v>
          </cell>
          <cell r="E2761">
            <v>164</v>
          </cell>
          <cell r="F2761">
            <v>32</v>
          </cell>
          <cell r="G2761">
            <v>147</v>
          </cell>
        </row>
        <row r="2762">
          <cell r="B2762" t="str">
            <v>AHW14R104J CE2</v>
          </cell>
          <cell r="C2762"/>
          <cell r="D2762">
            <v>21</v>
          </cell>
          <cell r="E2762">
            <v>92.6</v>
          </cell>
          <cell r="F2762">
            <v>20</v>
          </cell>
          <cell r="G2762">
            <v>43</v>
          </cell>
        </row>
        <row r="2763">
          <cell r="B2763" t="str">
            <v>WAMS-180-16ST CE3</v>
          </cell>
          <cell r="C2763"/>
          <cell r="D2763">
            <v>42</v>
          </cell>
          <cell r="E2763">
            <v>164</v>
          </cell>
          <cell r="F2763">
            <v>32</v>
          </cell>
          <cell r="G2763">
            <v>147</v>
          </cell>
        </row>
        <row r="2764">
          <cell r="B2764" t="str">
            <v>AHW14R304S CE5</v>
          </cell>
          <cell r="C2764"/>
          <cell r="D2764">
            <v>21</v>
          </cell>
          <cell r="E2764">
            <v>92.6</v>
          </cell>
          <cell r="F2764">
            <v>20</v>
          </cell>
          <cell r="G2764">
            <v>43</v>
          </cell>
        </row>
        <row r="2765">
          <cell r="B2765" t="str">
            <v>AHW14R304J CE5</v>
          </cell>
          <cell r="C2765"/>
          <cell r="D2765">
            <v>44</v>
          </cell>
          <cell r="E2765">
            <v>162.4</v>
          </cell>
          <cell r="F2765">
            <v>20</v>
          </cell>
          <cell r="G2765">
            <v>147</v>
          </cell>
        </row>
        <row r="2766">
          <cell r="B2766" t="str">
            <v xml:space="preserve">AHW14R101J CE2 </v>
          </cell>
          <cell r="C2766"/>
          <cell r="D2766">
            <v>21</v>
          </cell>
          <cell r="E2766">
            <v>92.6</v>
          </cell>
          <cell r="F2766">
            <v>20</v>
          </cell>
          <cell r="G2766">
            <v>43</v>
          </cell>
        </row>
        <row r="2767">
          <cell r="B2767" t="str">
            <v>SJ3035N22S CE2</v>
          </cell>
          <cell r="C2767"/>
          <cell r="D2767">
            <v>22</v>
          </cell>
          <cell r="E2767">
            <v>117.9</v>
          </cell>
          <cell r="F2767"/>
          <cell r="G2767">
            <v>115</v>
          </cell>
        </row>
        <row r="2768">
          <cell r="B2768" t="str">
            <v>SJ3035N30S CE2</v>
          </cell>
          <cell r="C2768"/>
          <cell r="D2768">
            <v>22</v>
          </cell>
          <cell r="E2768">
            <v>117.9</v>
          </cell>
          <cell r="F2768"/>
          <cell r="G2768">
            <v>115</v>
          </cell>
        </row>
        <row r="2769">
          <cell r="B2769" t="str">
            <v>SA0035N15S CE2</v>
          </cell>
          <cell r="C2769"/>
          <cell r="D2769">
            <v>22</v>
          </cell>
          <cell r="E2769">
            <v>92.6</v>
          </cell>
          <cell r="F2769"/>
          <cell r="G2769">
            <v>115</v>
          </cell>
        </row>
        <row r="2770">
          <cell r="B2770" t="str">
            <v>SA0035N22S CE2</v>
          </cell>
          <cell r="C2770"/>
          <cell r="D2770">
            <v>22</v>
          </cell>
          <cell r="E2770">
            <v>117.9</v>
          </cell>
          <cell r="F2770"/>
          <cell r="G2770">
            <v>115</v>
          </cell>
        </row>
        <row r="2771">
          <cell r="B2771" t="str">
            <v>SA0035N26S CE2</v>
          </cell>
          <cell r="C2771"/>
          <cell r="D2771">
            <v>22</v>
          </cell>
          <cell r="E2771">
            <v>117.9</v>
          </cell>
          <cell r="F2771"/>
          <cell r="G2771">
            <v>115</v>
          </cell>
        </row>
        <row r="2772">
          <cell r="B2772" t="str">
            <v>SA0035N18S CE2</v>
          </cell>
          <cell r="C2772"/>
          <cell r="D2772">
            <v>22</v>
          </cell>
          <cell r="E2772">
            <v>117.9</v>
          </cell>
          <cell r="F2772"/>
          <cell r="G2772">
            <v>115</v>
          </cell>
        </row>
        <row r="2773">
          <cell r="B2773" t="str">
            <v>SJ1535N18S CE2</v>
          </cell>
          <cell r="C2773"/>
          <cell r="D2773">
            <v>22</v>
          </cell>
          <cell r="E2773">
            <v>117.9</v>
          </cell>
          <cell r="F2773"/>
          <cell r="G2773">
            <v>115</v>
          </cell>
        </row>
        <row r="2774">
          <cell r="B2774" t="str">
            <v>SJ1535N22S CE2</v>
          </cell>
          <cell r="C2774"/>
          <cell r="D2774">
            <v>22</v>
          </cell>
          <cell r="E2774">
            <v>117.9</v>
          </cell>
          <cell r="F2774"/>
          <cell r="G2774">
            <v>115</v>
          </cell>
        </row>
        <row r="2775">
          <cell r="B2775" t="str">
            <v>SA0035N30S CE2</v>
          </cell>
          <cell r="C2775"/>
          <cell r="D2775">
            <v>22</v>
          </cell>
          <cell r="E2775">
            <v>117.9</v>
          </cell>
          <cell r="F2775"/>
          <cell r="G2775">
            <v>115</v>
          </cell>
        </row>
        <row r="2776">
          <cell r="B2776" t="str">
            <v>SA0035N20S CE2</v>
          </cell>
          <cell r="C2776"/>
          <cell r="D2776">
            <v>22</v>
          </cell>
          <cell r="E2776">
            <v>117.9</v>
          </cell>
          <cell r="F2776"/>
          <cell r="G2776">
            <v>115</v>
          </cell>
        </row>
        <row r="2777">
          <cell r="B2777" t="str">
            <v>SJ1535N15S CE2</v>
          </cell>
          <cell r="C2777"/>
          <cell r="D2777">
            <v>22</v>
          </cell>
          <cell r="E2777">
            <v>117.9</v>
          </cell>
          <cell r="F2777"/>
          <cell r="G2777">
            <v>115</v>
          </cell>
        </row>
        <row r="2778">
          <cell r="B2778" t="str">
            <v>SJ1535N20S CE2</v>
          </cell>
          <cell r="C2778"/>
          <cell r="D2778">
            <v>22</v>
          </cell>
          <cell r="E2778">
            <v>117.9</v>
          </cell>
          <cell r="F2778"/>
          <cell r="G2778">
            <v>115</v>
          </cell>
        </row>
        <row r="2779">
          <cell r="B2779" t="str">
            <v>SJ1535N26S CE2</v>
          </cell>
          <cell r="C2779"/>
          <cell r="D2779">
            <v>22</v>
          </cell>
          <cell r="E2779">
            <v>117.9</v>
          </cell>
          <cell r="F2779"/>
          <cell r="G2779">
            <v>115</v>
          </cell>
        </row>
        <row r="2780">
          <cell r="B2780" t="str">
            <v>SJ1535N30S CE2</v>
          </cell>
          <cell r="C2780"/>
          <cell r="D2780">
            <v>22</v>
          </cell>
          <cell r="E2780">
            <v>117.9</v>
          </cell>
          <cell r="F2780"/>
          <cell r="G2780">
            <v>115</v>
          </cell>
        </row>
        <row r="2781">
          <cell r="B2781" t="str">
            <v>AP14R310SR JP</v>
          </cell>
          <cell r="C2781"/>
          <cell r="D2781">
            <v>21.9</v>
          </cell>
          <cell r="E2781">
            <v>183.5</v>
          </cell>
          <cell r="F2781">
            <v>32</v>
          </cell>
          <cell r="G2781">
            <v>69.900000000000006</v>
          </cell>
        </row>
        <row r="2782">
          <cell r="B2782" t="str">
            <v>HW80JL352P10000 CN</v>
          </cell>
          <cell r="C2782"/>
          <cell r="D2782">
            <v>56</v>
          </cell>
          <cell r="E2782">
            <v>234</v>
          </cell>
          <cell r="F2782"/>
          <cell r="G2782">
            <v>289</v>
          </cell>
        </row>
        <row r="2783">
          <cell r="B2783" t="str">
            <v>HW80AL072P10002 CN</v>
          </cell>
          <cell r="C2783"/>
          <cell r="D2783">
            <v>56</v>
          </cell>
          <cell r="E2783">
            <v>234</v>
          </cell>
          <cell r="F2783"/>
          <cell r="G2783">
            <v>289</v>
          </cell>
        </row>
        <row r="2784">
          <cell r="B2784" t="str">
            <v>HW80AL102P10002 CN</v>
          </cell>
          <cell r="C2784"/>
          <cell r="D2784">
            <v>56</v>
          </cell>
          <cell r="E2784">
            <v>234</v>
          </cell>
          <cell r="F2784"/>
          <cell r="G2784">
            <v>289</v>
          </cell>
        </row>
        <row r="2785">
          <cell r="B2785" t="str">
            <v>HW80SP352P10000 CN</v>
          </cell>
          <cell r="C2785"/>
          <cell r="D2785">
            <v>56</v>
          </cell>
          <cell r="E2785">
            <v>234</v>
          </cell>
          <cell r="F2785"/>
          <cell r="G2785">
            <v>289</v>
          </cell>
        </row>
        <row r="2786">
          <cell r="B2786" t="str">
            <v>HW80SP370P10000 CN</v>
          </cell>
          <cell r="C2786"/>
          <cell r="D2786">
            <v>56</v>
          </cell>
          <cell r="E2786">
            <v>234</v>
          </cell>
          <cell r="F2786"/>
          <cell r="G2786">
            <v>289</v>
          </cell>
        </row>
        <row r="2787">
          <cell r="B2787" t="str">
            <v>HW80JR352P10000 CN</v>
          </cell>
          <cell r="C2787"/>
          <cell r="D2787">
            <v>56</v>
          </cell>
          <cell r="E2787">
            <v>234</v>
          </cell>
          <cell r="F2787"/>
          <cell r="G2787">
            <v>289</v>
          </cell>
        </row>
        <row r="2788">
          <cell r="B2788" t="str">
            <v>HW80JR402P10000 CN</v>
          </cell>
          <cell r="C2788"/>
          <cell r="D2788">
            <v>56</v>
          </cell>
          <cell r="E2788">
            <v>234</v>
          </cell>
          <cell r="F2788"/>
          <cell r="G2788">
            <v>289</v>
          </cell>
        </row>
        <row r="2789">
          <cell r="B2789" t="str">
            <v>HW80AL072P10000 CN</v>
          </cell>
          <cell r="C2789"/>
          <cell r="D2789">
            <v>56</v>
          </cell>
          <cell r="E2789">
            <v>234</v>
          </cell>
          <cell r="F2789"/>
          <cell r="G2789">
            <v>289</v>
          </cell>
        </row>
        <row r="2790">
          <cell r="B2790" t="str">
            <v>HW80AL072P09002 CN</v>
          </cell>
          <cell r="C2790"/>
          <cell r="D2790">
            <v>56</v>
          </cell>
          <cell r="E2790">
            <v>234</v>
          </cell>
          <cell r="F2790"/>
          <cell r="G2790">
            <v>289</v>
          </cell>
        </row>
        <row r="2791">
          <cell r="B2791" t="str">
            <v>AHW14R001S CE4</v>
          </cell>
          <cell r="C2791"/>
          <cell r="D2791">
            <v>22</v>
          </cell>
          <cell r="E2791">
            <v>117.9</v>
          </cell>
          <cell r="F2791"/>
          <cell r="G2791">
            <v>115</v>
          </cell>
        </row>
        <row r="2792">
          <cell r="B2792" t="str">
            <v>PPW18R300P CN</v>
          </cell>
          <cell r="C2792"/>
          <cell r="D2792">
            <v>22</v>
          </cell>
          <cell r="E2792">
            <v>117.9</v>
          </cell>
          <cell r="F2792"/>
          <cell r="G2792">
            <v>115</v>
          </cell>
        </row>
        <row r="2793">
          <cell r="B2793" t="str">
            <v>AHW14R004J  NOCE</v>
          </cell>
          <cell r="C2793"/>
          <cell r="D2793">
            <v>22</v>
          </cell>
          <cell r="E2793">
            <v>117.9</v>
          </cell>
          <cell r="F2793"/>
          <cell r="G2793">
            <v>115</v>
          </cell>
        </row>
        <row r="2794">
          <cell r="B2794" t="str">
            <v>HW80JL350P10000 CN</v>
          </cell>
          <cell r="C2794"/>
          <cell r="D2794">
            <v>56</v>
          </cell>
          <cell r="E2794">
            <v>234</v>
          </cell>
          <cell r="F2794"/>
          <cell r="G2794">
            <v>289</v>
          </cell>
        </row>
        <row r="2795">
          <cell r="B2795" t="str">
            <v>HW80JL400P10000 CN</v>
          </cell>
          <cell r="C2795"/>
          <cell r="D2795">
            <v>56</v>
          </cell>
          <cell r="E2795">
            <v>234</v>
          </cell>
          <cell r="F2795"/>
          <cell r="G2795">
            <v>289</v>
          </cell>
        </row>
        <row r="2796">
          <cell r="B2796" t="str">
            <v>HW80JR350P10000 CN</v>
          </cell>
          <cell r="C2796"/>
          <cell r="D2796">
            <v>56</v>
          </cell>
          <cell r="E2796">
            <v>234</v>
          </cell>
          <cell r="F2796"/>
          <cell r="G2796">
            <v>289</v>
          </cell>
        </row>
        <row r="2797">
          <cell r="B2797" t="str">
            <v>HW80AL100P10000 CN</v>
          </cell>
          <cell r="C2797"/>
          <cell r="D2797">
            <v>56</v>
          </cell>
          <cell r="E2797">
            <v>234</v>
          </cell>
          <cell r="F2797"/>
          <cell r="G2797">
            <v>289</v>
          </cell>
        </row>
        <row r="2798">
          <cell r="B2798" t="str">
            <v>HW80AL072P09000 CN</v>
          </cell>
          <cell r="C2798"/>
          <cell r="D2798">
            <v>56</v>
          </cell>
          <cell r="E2798">
            <v>234</v>
          </cell>
          <cell r="F2798"/>
          <cell r="G2798">
            <v>289</v>
          </cell>
        </row>
        <row r="2799">
          <cell r="B2799" t="str">
            <v>HW80AL102P09000 CN</v>
          </cell>
          <cell r="C2799"/>
          <cell r="D2799">
            <v>56</v>
          </cell>
          <cell r="E2799">
            <v>234</v>
          </cell>
          <cell r="F2799"/>
          <cell r="G2799">
            <v>289</v>
          </cell>
        </row>
        <row r="2800">
          <cell r="B2800" t="str">
            <v>HW80SP350P10000 CN</v>
          </cell>
          <cell r="C2800"/>
          <cell r="D2800">
            <v>56</v>
          </cell>
          <cell r="E2800">
            <v>234</v>
          </cell>
          <cell r="F2800"/>
          <cell r="G2800">
            <v>289</v>
          </cell>
        </row>
        <row r="2801">
          <cell r="B2801" t="str">
            <v>HW80JR400P10000 CN</v>
          </cell>
          <cell r="C2801"/>
          <cell r="D2801">
            <v>56</v>
          </cell>
          <cell r="E2801">
            <v>234</v>
          </cell>
          <cell r="F2801"/>
          <cell r="G2801">
            <v>289</v>
          </cell>
        </row>
        <row r="2802">
          <cell r="B2802" t="str">
            <v>HW80AL070P10000 CN</v>
          </cell>
          <cell r="C2802"/>
          <cell r="D2802">
            <v>56</v>
          </cell>
          <cell r="E2802">
            <v>234</v>
          </cell>
          <cell r="F2802"/>
          <cell r="G2802">
            <v>289</v>
          </cell>
        </row>
        <row r="2803">
          <cell r="B2803" t="str">
            <v>HW80AL102P09002 CN</v>
          </cell>
          <cell r="C2803"/>
          <cell r="D2803">
            <v>56</v>
          </cell>
          <cell r="E2803">
            <v>234</v>
          </cell>
          <cell r="F2803"/>
          <cell r="G2803">
            <v>289</v>
          </cell>
        </row>
        <row r="2804">
          <cell r="B2804" t="str">
            <v>HW80SP352P09000 CN</v>
          </cell>
          <cell r="C2804"/>
          <cell r="D2804">
            <v>56</v>
          </cell>
          <cell r="E2804">
            <v>234</v>
          </cell>
          <cell r="F2804"/>
          <cell r="G2804">
            <v>289</v>
          </cell>
        </row>
        <row r="2805">
          <cell r="B2805" t="str">
            <v>HW80JL402P10000 CN</v>
          </cell>
          <cell r="C2805"/>
          <cell r="D2805">
            <v>56</v>
          </cell>
          <cell r="E2805">
            <v>234</v>
          </cell>
          <cell r="F2805"/>
          <cell r="G2805">
            <v>289</v>
          </cell>
        </row>
        <row r="2806">
          <cell r="B2806" t="str">
            <v>HW80JL352P09000 CN</v>
          </cell>
          <cell r="C2806"/>
          <cell r="D2806">
            <v>56</v>
          </cell>
          <cell r="E2806">
            <v>234</v>
          </cell>
          <cell r="F2806"/>
          <cell r="G2806">
            <v>289</v>
          </cell>
        </row>
        <row r="2807">
          <cell r="B2807" t="str">
            <v>HW80JL402P09000 CN</v>
          </cell>
          <cell r="C2807"/>
          <cell r="D2807">
            <v>56</v>
          </cell>
          <cell r="E2807">
            <v>234</v>
          </cell>
          <cell r="F2807"/>
          <cell r="G2807">
            <v>289</v>
          </cell>
        </row>
        <row r="2808">
          <cell r="B2808" t="str">
            <v>HW80AL102P10000 CN</v>
          </cell>
          <cell r="C2808"/>
          <cell r="D2808">
            <v>56</v>
          </cell>
          <cell r="E2808">
            <v>234</v>
          </cell>
          <cell r="F2808"/>
          <cell r="G2808">
            <v>289</v>
          </cell>
        </row>
        <row r="2809">
          <cell r="B2809" t="str">
            <v>HW80SP372P10000 CN</v>
          </cell>
          <cell r="C2809"/>
          <cell r="D2809">
            <v>56</v>
          </cell>
          <cell r="E2809">
            <v>234</v>
          </cell>
          <cell r="F2809"/>
          <cell r="G2809">
            <v>289</v>
          </cell>
        </row>
        <row r="2810">
          <cell r="B2810" t="str">
            <v>HW80JR352P09000 CN</v>
          </cell>
          <cell r="C2810"/>
          <cell r="D2810">
            <v>56</v>
          </cell>
          <cell r="E2810">
            <v>234</v>
          </cell>
          <cell r="F2810"/>
          <cell r="G2810">
            <v>289</v>
          </cell>
        </row>
        <row r="2811">
          <cell r="B2811" t="str">
            <v>HW80JR402P09000 CN</v>
          </cell>
          <cell r="C2811"/>
          <cell r="D2811">
            <v>56</v>
          </cell>
          <cell r="E2811">
            <v>234</v>
          </cell>
          <cell r="F2811"/>
          <cell r="G2811">
            <v>289</v>
          </cell>
        </row>
        <row r="2812">
          <cell r="B2812" t="str">
            <v>NC22512K JP</v>
          </cell>
          <cell r="C2812"/>
          <cell r="D2812">
            <v>22</v>
          </cell>
          <cell r="E2812">
            <v>117.9</v>
          </cell>
          <cell r="F2812"/>
          <cell r="G2812">
            <v>115</v>
          </cell>
        </row>
        <row r="2813">
          <cell r="B2813" t="str">
            <v>NC20012K JP</v>
          </cell>
          <cell r="C2813"/>
          <cell r="D2813">
            <v>22</v>
          </cell>
          <cell r="E2813">
            <v>117.9</v>
          </cell>
          <cell r="F2813"/>
          <cell r="G2813">
            <v>115</v>
          </cell>
        </row>
        <row r="2814">
          <cell r="B2814" t="str">
            <v>NC25012K JP</v>
          </cell>
          <cell r="C2814"/>
          <cell r="D2814">
            <v>22</v>
          </cell>
          <cell r="E2814">
            <v>117.9</v>
          </cell>
          <cell r="F2814"/>
          <cell r="G2814">
            <v>115</v>
          </cell>
        </row>
        <row r="2815">
          <cell r="B2815" t="str">
            <v>NC27512K JP</v>
          </cell>
          <cell r="C2815"/>
          <cell r="D2815">
            <v>22</v>
          </cell>
          <cell r="E2815">
            <v>117.9</v>
          </cell>
          <cell r="F2815"/>
          <cell r="G2815">
            <v>115</v>
          </cell>
        </row>
        <row r="2816">
          <cell r="B2816" t="str">
            <v>NC30012K JP</v>
          </cell>
          <cell r="C2816"/>
          <cell r="D2816">
            <v>22</v>
          </cell>
          <cell r="E2816">
            <v>117.9</v>
          </cell>
          <cell r="F2816"/>
          <cell r="G2816">
            <v>115</v>
          </cell>
        </row>
        <row r="2817">
          <cell r="B2817" t="str">
            <v>HJ80JR452P10000 JP</v>
          </cell>
          <cell r="C2817"/>
          <cell r="D2817">
            <v>56</v>
          </cell>
          <cell r="E2817">
            <v>234</v>
          </cell>
          <cell r="F2817"/>
          <cell r="G2817">
            <v>289</v>
          </cell>
        </row>
        <row r="2818">
          <cell r="B2818" t="str">
            <v>AHW14R013S CE5</v>
          </cell>
          <cell r="C2818"/>
          <cell r="D2818">
            <v>22</v>
          </cell>
          <cell r="E2818">
            <v>117.9</v>
          </cell>
          <cell r="F2818"/>
          <cell r="G2818">
            <v>115</v>
          </cell>
        </row>
        <row r="2819">
          <cell r="B2819" t="str">
            <v>AHW14R301S CE4</v>
          </cell>
          <cell r="C2819"/>
          <cell r="D2819">
            <v>22</v>
          </cell>
          <cell r="E2819">
            <v>117.9</v>
          </cell>
          <cell r="F2819"/>
          <cell r="G2819">
            <v>115</v>
          </cell>
        </row>
        <row r="2820">
          <cell r="B2820" t="str">
            <v>AH14R017SR JP</v>
          </cell>
          <cell r="C2820"/>
          <cell r="D2820">
            <v>22</v>
          </cell>
          <cell r="E2820">
            <v>117.9</v>
          </cell>
          <cell r="F2820"/>
          <cell r="G2820">
            <v>115</v>
          </cell>
        </row>
        <row r="2821">
          <cell r="B2821" t="str">
            <v>HW60AL102P10000 CN</v>
          </cell>
          <cell r="C2821"/>
          <cell r="D2821">
            <v>56</v>
          </cell>
          <cell r="E2821">
            <v>234</v>
          </cell>
          <cell r="F2821"/>
          <cell r="G2821">
            <v>289</v>
          </cell>
        </row>
        <row r="2822">
          <cell r="B2822" t="str">
            <v>AHW14R313P CE5</v>
          </cell>
          <cell r="C2822"/>
          <cell r="D2822">
            <v>21</v>
          </cell>
          <cell r="E2822">
            <v>92.6</v>
          </cell>
          <cell r="F2822"/>
          <cell r="G2822">
            <v>43</v>
          </cell>
        </row>
        <row r="2823">
          <cell r="B2823" t="str">
            <v>AIN-CKX-14-200</v>
          </cell>
          <cell r="C2823"/>
          <cell r="D2823">
            <v>21</v>
          </cell>
          <cell r="E2823">
            <v>92.6</v>
          </cell>
          <cell r="F2823"/>
          <cell r="G2823">
            <v>43</v>
          </cell>
        </row>
        <row r="2824">
          <cell r="B2824" t="str">
            <v>PP14R300PR JP</v>
          </cell>
          <cell r="C2824"/>
          <cell r="D2824">
            <v>21</v>
          </cell>
          <cell r="E2824">
            <v>92.6</v>
          </cell>
          <cell r="F2824"/>
          <cell r="G2824">
            <v>43</v>
          </cell>
        </row>
        <row r="2825">
          <cell r="B2825" t="str">
            <v>PH18R101PR JP</v>
          </cell>
          <cell r="C2825"/>
          <cell r="D2825">
            <v>21</v>
          </cell>
          <cell r="E2825">
            <v>92.6</v>
          </cell>
          <cell r="F2825"/>
          <cell r="G2825">
            <v>43</v>
          </cell>
        </row>
        <row r="2826">
          <cell r="B2826" t="str">
            <v>AHW14R001S CN 
(use PS-55)</v>
          </cell>
          <cell r="C2826"/>
          <cell r="D2826">
            <v>53</v>
          </cell>
          <cell r="E2826">
            <v>92.6</v>
          </cell>
          <cell r="F2826">
            <v>22</v>
          </cell>
          <cell r="G2826">
            <v>82</v>
          </cell>
        </row>
        <row r="2827">
          <cell r="B2827" t="str">
            <v>AHW14R004S CN
(use PS-55)</v>
          </cell>
          <cell r="C2827"/>
          <cell r="D2827">
            <v>53</v>
          </cell>
          <cell r="E2827">
            <v>92.6</v>
          </cell>
          <cell r="F2827">
            <v>22</v>
          </cell>
          <cell r="G2827">
            <v>82</v>
          </cell>
        </row>
        <row r="2828">
          <cell r="B2828" t="str">
            <v>AG14M360 US</v>
          </cell>
          <cell r="C2828"/>
          <cell r="D2828">
            <v>22</v>
          </cell>
          <cell r="E2828">
            <v>117.9</v>
          </cell>
          <cell r="F2828"/>
          <cell r="G2828">
            <v>115</v>
          </cell>
        </row>
        <row r="2829">
          <cell r="B2829" t="str">
            <v>AG14M370 US</v>
          </cell>
          <cell r="C2829"/>
          <cell r="D2829">
            <v>22</v>
          </cell>
          <cell r="E2829">
            <v>117.9</v>
          </cell>
          <cell r="F2829"/>
          <cell r="G2829">
            <v>115</v>
          </cell>
        </row>
        <row r="2830">
          <cell r="B2830" t="str">
            <v>AG141302 US</v>
          </cell>
          <cell r="C2830"/>
          <cell r="D2830">
            <v>22</v>
          </cell>
          <cell r="E2830">
            <v>117.9</v>
          </cell>
          <cell r="F2830"/>
          <cell r="G2830">
            <v>115</v>
          </cell>
        </row>
        <row r="2831">
          <cell r="B2831" t="str">
            <v>AG141302J US</v>
          </cell>
          <cell r="C2831"/>
          <cell r="D2831">
            <v>22</v>
          </cell>
          <cell r="E2831">
            <v>117.9</v>
          </cell>
          <cell r="F2831"/>
          <cell r="G2831">
            <v>115</v>
          </cell>
        </row>
        <row r="2832">
          <cell r="B2832" t="str">
            <v>WAIN-CKI-18-200-BS NO CE</v>
          </cell>
          <cell r="C2832"/>
          <cell r="D2832">
            <v>22</v>
          </cell>
          <cell r="E2832">
            <v>117.9</v>
          </cell>
          <cell r="F2832"/>
          <cell r="G2832">
            <v>115</v>
          </cell>
        </row>
        <row r="2833">
          <cell r="B2833" t="str">
            <v>WAIN-CKI-200 NO CE</v>
          </cell>
          <cell r="C2833"/>
          <cell r="D2833">
            <v>22</v>
          </cell>
          <cell r="E2833">
            <v>117.9</v>
          </cell>
          <cell r="F2833"/>
          <cell r="G2833">
            <v>115</v>
          </cell>
        </row>
        <row r="2834">
          <cell r="B2834" t="str">
            <v>WAIN-CKI-10-200 NO CE</v>
          </cell>
          <cell r="C2834"/>
          <cell r="D2834">
            <v>22</v>
          </cell>
          <cell r="E2834">
            <v>117.9</v>
          </cell>
          <cell r="F2834"/>
          <cell r="G2834">
            <v>115</v>
          </cell>
        </row>
        <row r="2835">
          <cell r="B2835" t="str">
            <v>WAIN-CKI-200-BS NO CE</v>
          </cell>
          <cell r="C2835"/>
          <cell r="D2835">
            <v>22</v>
          </cell>
          <cell r="E2835">
            <v>117.9</v>
          </cell>
          <cell r="F2835"/>
          <cell r="G2835">
            <v>115</v>
          </cell>
        </row>
        <row r="2836">
          <cell r="B2836" t="str">
            <v>AHW14R013P NO CE</v>
          </cell>
          <cell r="C2836"/>
          <cell r="D2836">
            <v>22</v>
          </cell>
          <cell r="E2836">
            <v>117.9</v>
          </cell>
          <cell r="F2836"/>
          <cell r="G2836">
            <v>115</v>
          </cell>
        </row>
        <row r="2837">
          <cell r="B2837" t="str">
            <v>AIN-CKI-200-B-SFT NO CE</v>
          </cell>
          <cell r="C2837"/>
          <cell r="D2837">
            <v>22</v>
          </cell>
          <cell r="E2837">
            <v>117.9</v>
          </cell>
          <cell r="F2837"/>
          <cell r="G2837">
            <v>115</v>
          </cell>
        </row>
        <row r="2838">
          <cell r="B2838" t="str">
            <v>AHW14R313P NO CE</v>
          </cell>
          <cell r="C2838"/>
          <cell r="D2838">
            <v>22</v>
          </cell>
          <cell r="E2838">
            <v>117.9</v>
          </cell>
          <cell r="F2838"/>
          <cell r="G2838">
            <v>115</v>
          </cell>
        </row>
        <row r="2839">
          <cell r="B2839" t="str">
            <v>WAIN-CKI-008-200 NO CE</v>
          </cell>
          <cell r="C2839"/>
          <cell r="D2839">
            <v>22</v>
          </cell>
          <cell r="E2839">
            <v>117.9</v>
          </cell>
          <cell r="F2839"/>
          <cell r="G2839">
            <v>115</v>
          </cell>
        </row>
        <row r="2840">
          <cell r="B2840" t="str">
            <v>HW60AL070P09002 CN</v>
          </cell>
          <cell r="C2840"/>
          <cell r="D2840">
            <v>56</v>
          </cell>
          <cell r="E2840">
            <v>234</v>
          </cell>
          <cell r="F2840"/>
          <cell r="G2840">
            <v>289</v>
          </cell>
        </row>
        <row r="2841">
          <cell r="B2841" t="str">
            <v>AHW14R313P CN</v>
          </cell>
          <cell r="C2841"/>
          <cell r="D2841">
            <v>22</v>
          </cell>
          <cell r="E2841">
            <v>117.9</v>
          </cell>
          <cell r="F2841"/>
          <cell r="G2841">
            <v>115</v>
          </cell>
        </row>
        <row r="2842">
          <cell r="B2842" t="str">
            <v>SJ1535N26S NO CE</v>
          </cell>
          <cell r="C2842"/>
          <cell r="D2842">
            <v>22</v>
          </cell>
          <cell r="E2842">
            <v>117.9</v>
          </cell>
          <cell r="F2842"/>
          <cell r="G2842">
            <v>115</v>
          </cell>
        </row>
        <row r="2843">
          <cell r="B2843" t="str">
            <v>AHW14R013S NO CE</v>
          </cell>
          <cell r="C2843"/>
          <cell r="D2843">
            <v>22</v>
          </cell>
          <cell r="E2843">
            <v>117.9</v>
          </cell>
          <cell r="F2843"/>
          <cell r="G2843">
            <v>115</v>
          </cell>
        </row>
        <row r="2844">
          <cell r="B2844" t="str">
            <v>MST150-27HFR JP</v>
          </cell>
          <cell r="C2844"/>
          <cell r="D2844">
            <v>56</v>
          </cell>
          <cell r="E2844">
            <v>234</v>
          </cell>
          <cell r="F2844"/>
          <cell r="G2844">
            <v>289</v>
          </cell>
        </row>
        <row r="2845">
          <cell r="B2845" t="str">
            <v>WAIN-CKI-300 NO CE</v>
          </cell>
          <cell r="C2845"/>
          <cell r="D2845">
            <v>22</v>
          </cell>
          <cell r="E2845">
            <v>117.9</v>
          </cell>
          <cell r="F2845"/>
          <cell r="G2845">
            <v>115</v>
          </cell>
        </row>
        <row r="2846">
          <cell r="B2846" t="str">
            <v>WCKV165-14 NO CE</v>
          </cell>
          <cell r="C2846"/>
          <cell r="D2846">
            <v>22</v>
          </cell>
          <cell r="E2846">
            <v>117.9</v>
          </cell>
          <cell r="F2846"/>
          <cell r="G2846">
            <v>115</v>
          </cell>
        </row>
        <row r="2847">
          <cell r="B2847" t="str">
            <v>AIN-CKX-14-200 JP</v>
          </cell>
          <cell r="C2847"/>
          <cell r="D2847">
            <v>22</v>
          </cell>
          <cell r="E2847">
            <v>117.9</v>
          </cell>
          <cell r="F2847"/>
          <cell r="G2847">
            <v>115</v>
          </cell>
        </row>
        <row r="2848">
          <cell r="B2848" t="str">
            <v>HJ80AL150P09002 JP</v>
          </cell>
          <cell r="C2848"/>
          <cell r="D2848">
            <v>56</v>
          </cell>
          <cell r="E2848">
            <v>234</v>
          </cell>
          <cell r="F2848"/>
          <cell r="G2848">
            <v>289</v>
          </cell>
        </row>
        <row r="2849">
          <cell r="B2849" t="str">
            <v>MST105-18PWSFR JP</v>
          </cell>
          <cell r="C2849"/>
          <cell r="D2849">
            <v>56</v>
          </cell>
          <cell r="E2849">
            <v>234</v>
          </cell>
          <cell r="F2849"/>
          <cell r="G2849">
            <v>289</v>
          </cell>
        </row>
        <row r="2850">
          <cell r="B2850" t="str">
            <v>MST125-18PWSFR JP</v>
          </cell>
          <cell r="C2850"/>
          <cell r="D2850">
            <v>56</v>
          </cell>
          <cell r="E2850">
            <v>234</v>
          </cell>
          <cell r="F2850"/>
          <cell r="G2850">
            <v>289</v>
          </cell>
        </row>
        <row r="2851">
          <cell r="B2851" t="str">
            <v>MST45A-18PWSFR JP</v>
          </cell>
          <cell r="C2851"/>
          <cell r="D2851">
            <v>56</v>
          </cell>
          <cell r="E2851">
            <v>234</v>
          </cell>
          <cell r="F2851"/>
          <cell r="G2851">
            <v>289</v>
          </cell>
        </row>
        <row r="2852">
          <cell r="B2852" t="str">
            <v>MST150-18PWSFR JP</v>
          </cell>
          <cell r="C2852"/>
          <cell r="D2852">
            <v>56</v>
          </cell>
          <cell r="E2852">
            <v>234</v>
          </cell>
          <cell r="F2852"/>
          <cell r="G2852">
            <v>289</v>
          </cell>
        </row>
        <row r="2853">
          <cell r="B2853" t="str">
            <v>AG141300 NO CE</v>
          </cell>
          <cell r="C2853"/>
          <cell r="D2853">
            <v>22</v>
          </cell>
          <cell r="E2853">
            <v>117.9</v>
          </cell>
          <cell r="F2853"/>
          <cell r="G2853">
            <v>115</v>
          </cell>
        </row>
        <row r="2854">
          <cell r="B2854" t="str">
            <v>AGH146300 R NO CE</v>
          </cell>
          <cell r="C2854"/>
          <cell r="D2854">
            <v>22</v>
          </cell>
          <cell r="E2854">
            <v>117.9</v>
          </cell>
          <cell r="F2854"/>
          <cell r="G2854">
            <v>115</v>
          </cell>
        </row>
        <row r="2855">
          <cell r="B2855" t="str">
            <v>AGH147300 P NOCE</v>
          </cell>
          <cell r="C2855"/>
          <cell r="D2855">
            <v>22</v>
          </cell>
          <cell r="E2855">
            <v>117.9</v>
          </cell>
          <cell r="F2855"/>
          <cell r="G2855">
            <v>115</v>
          </cell>
        </row>
        <row r="2856">
          <cell r="B2856" t="str">
            <v>AGP140000J NO CE</v>
          </cell>
          <cell r="C2856"/>
          <cell r="D2856">
            <v>22</v>
          </cell>
          <cell r="E2856">
            <v>117.9</v>
          </cell>
          <cell r="F2856"/>
          <cell r="G2856">
            <v>115</v>
          </cell>
        </row>
        <row r="2857">
          <cell r="B2857" t="str">
            <v>HJ80AL070P10000 JP</v>
          </cell>
          <cell r="C2857"/>
          <cell r="D2857">
            <v>56</v>
          </cell>
          <cell r="E2857">
            <v>234</v>
          </cell>
          <cell r="F2857"/>
          <cell r="G2857">
            <v>289</v>
          </cell>
        </row>
        <row r="2858">
          <cell r="B2858" t="str">
            <v>AGP140301J NO CE</v>
          </cell>
          <cell r="C2858"/>
          <cell r="D2858">
            <v>22</v>
          </cell>
          <cell r="E2858">
            <v>117.9</v>
          </cell>
          <cell r="F2858"/>
          <cell r="G2858">
            <v>115</v>
          </cell>
        </row>
        <row r="2859">
          <cell r="B2859" t="str">
            <v>AHW14S003S NO CE</v>
          </cell>
          <cell r="C2859"/>
          <cell r="D2859">
            <v>22</v>
          </cell>
          <cell r="E2859">
            <v>117.9</v>
          </cell>
          <cell r="F2859"/>
          <cell r="G2859">
            <v>115</v>
          </cell>
        </row>
        <row r="2860">
          <cell r="B2860" t="str">
            <v>AIN-CKI-18-200-SFT NO CE</v>
          </cell>
          <cell r="C2860"/>
          <cell r="D2860">
            <v>22</v>
          </cell>
          <cell r="E2860">
            <v>117.9</v>
          </cell>
          <cell r="F2860"/>
          <cell r="G2860">
            <v>115</v>
          </cell>
        </row>
        <row r="2861">
          <cell r="B2861" t="str">
            <v>AIN-CKX-10-200-R NO CE</v>
          </cell>
          <cell r="C2861"/>
          <cell r="D2861">
            <v>22</v>
          </cell>
          <cell r="E2861">
            <v>117.9</v>
          </cell>
          <cell r="F2861"/>
          <cell r="G2861">
            <v>115</v>
          </cell>
        </row>
        <row r="2862">
          <cell r="B2862" t="str">
            <v>AHW14R004J CE5</v>
          </cell>
          <cell r="C2862"/>
          <cell r="D2862">
            <v>22</v>
          </cell>
          <cell r="E2862">
            <v>117.9</v>
          </cell>
          <cell r="F2862"/>
          <cell r="G2862">
            <v>115</v>
          </cell>
        </row>
        <row r="2863">
          <cell r="B2863" t="str">
            <v>AGP140000 NO CE</v>
          </cell>
          <cell r="C2863"/>
          <cell r="D2863">
            <v>22</v>
          </cell>
          <cell r="E2863">
            <v>117.9</v>
          </cell>
          <cell r="F2863"/>
          <cell r="G2863">
            <v>115</v>
          </cell>
        </row>
        <row r="2864">
          <cell r="B2864" t="str">
            <v>HW70SP400P10000 CN</v>
          </cell>
          <cell r="C2864"/>
          <cell r="D2864">
            <v>56</v>
          </cell>
          <cell r="E2864">
            <v>234</v>
          </cell>
          <cell r="F2864"/>
          <cell r="G2864">
            <v>289</v>
          </cell>
        </row>
        <row r="2865">
          <cell r="B2865" t="str">
            <v>WAIN-CKI-200-RC NO CE</v>
          </cell>
          <cell r="C2865"/>
          <cell r="D2865">
            <v>22</v>
          </cell>
          <cell r="E2865">
            <v>117.9</v>
          </cell>
          <cell r="F2865"/>
          <cell r="G2865">
            <v>115</v>
          </cell>
        </row>
        <row r="2866">
          <cell r="B2866" t="str">
            <v>AIN-CKX-14-200P JP</v>
          </cell>
          <cell r="C2866"/>
          <cell r="D2866">
            <v>22</v>
          </cell>
          <cell r="E2866">
            <v>117.9</v>
          </cell>
          <cell r="F2866"/>
          <cell r="G2866">
            <v>115</v>
          </cell>
        </row>
        <row r="2867">
          <cell r="B2867" t="str">
            <v>UA0035B1500 NOCE</v>
          </cell>
          <cell r="C2867"/>
          <cell r="D2867">
            <v>22</v>
          </cell>
          <cell r="E2867">
            <v>117.9</v>
          </cell>
          <cell r="F2867"/>
          <cell r="G2867">
            <v>115</v>
          </cell>
        </row>
        <row r="2868">
          <cell r="B2868" t="str">
            <v>AH14R101PR JP</v>
          </cell>
          <cell r="C2868"/>
          <cell r="D2868">
            <v>22</v>
          </cell>
          <cell r="E2868">
            <v>117.9</v>
          </cell>
          <cell r="F2868"/>
          <cell r="G2868">
            <v>115</v>
          </cell>
        </row>
        <row r="2869">
          <cell r="B2869" t="str">
            <v>AH14R017PR JP</v>
          </cell>
          <cell r="C2869"/>
          <cell r="D2869">
            <v>22</v>
          </cell>
          <cell r="E2869">
            <v>117.9</v>
          </cell>
          <cell r="F2869"/>
          <cell r="G2869">
            <v>115</v>
          </cell>
        </row>
        <row r="2870">
          <cell r="B2870" t="str">
            <v>HW60JL400P10001 CN</v>
          </cell>
          <cell r="C2870"/>
          <cell r="D2870">
            <v>56</v>
          </cell>
          <cell r="E2870">
            <v>234</v>
          </cell>
          <cell r="F2870"/>
          <cell r="G2870">
            <v>289</v>
          </cell>
        </row>
        <row r="2871">
          <cell r="B2871" t="str">
            <v>HJ60CP152P10020 JP</v>
          </cell>
          <cell r="C2871"/>
          <cell r="D2871">
            <v>56</v>
          </cell>
          <cell r="E2871">
            <v>234</v>
          </cell>
          <cell r="F2871"/>
          <cell r="G2871">
            <v>289</v>
          </cell>
        </row>
        <row r="2872">
          <cell r="B2872" t="str">
            <v>MST105-27HFR JP</v>
          </cell>
          <cell r="C2872"/>
          <cell r="D2872">
            <v>22</v>
          </cell>
          <cell r="E2872">
            <v>117.9</v>
          </cell>
          <cell r="F2872"/>
          <cell r="G2872">
            <v>115</v>
          </cell>
        </row>
        <row r="2873">
          <cell r="B2873" t="str">
            <v>HW70AL150P10002 CN</v>
          </cell>
          <cell r="C2873"/>
          <cell r="D2873">
            <v>56</v>
          </cell>
          <cell r="E2873">
            <v>234</v>
          </cell>
          <cell r="F2873"/>
          <cell r="G2873">
            <v>289</v>
          </cell>
        </row>
        <row r="2874">
          <cell r="B2874" t="str">
            <v>HW70AL200P10002 CN</v>
          </cell>
          <cell r="C2874"/>
          <cell r="D2874">
            <v>56</v>
          </cell>
          <cell r="E2874">
            <v>234</v>
          </cell>
          <cell r="F2874"/>
          <cell r="G2874">
            <v>289</v>
          </cell>
        </row>
        <row r="2875">
          <cell r="B2875" t="str">
            <v>AHW14R313S NO CE</v>
          </cell>
          <cell r="C2875"/>
          <cell r="D2875">
            <v>22</v>
          </cell>
          <cell r="E2875">
            <v>117.9</v>
          </cell>
          <cell r="F2875"/>
          <cell r="G2875">
            <v>115</v>
          </cell>
        </row>
        <row r="2876">
          <cell r="B2876" t="str">
            <v>AIT350725 JP</v>
          </cell>
          <cell r="C2876"/>
          <cell r="D2876">
            <v>22</v>
          </cell>
          <cell r="E2876">
            <v>117.9</v>
          </cell>
          <cell r="F2876"/>
          <cell r="G2876">
            <v>115</v>
          </cell>
        </row>
        <row r="2877">
          <cell r="B2877" t="str">
            <v>ENL115132 JP</v>
          </cell>
          <cell r="C2877"/>
          <cell r="D2877">
            <v>22</v>
          </cell>
          <cell r="E2877">
            <v>117.9</v>
          </cell>
          <cell r="F2877"/>
          <cell r="G2877">
            <v>115</v>
          </cell>
        </row>
        <row r="2878">
          <cell r="B2878" t="str">
            <v>WAMS-135-1645 NO CE</v>
          </cell>
          <cell r="C2878"/>
          <cell r="D2878">
            <v>22</v>
          </cell>
          <cell r="E2878">
            <v>117.9</v>
          </cell>
          <cell r="F2878"/>
          <cell r="G2878">
            <v>115</v>
          </cell>
        </row>
        <row r="2879">
          <cell r="B2879" t="str">
            <v>WAMS-135-16WA NO CE</v>
          </cell>
          <cell r="C2879"/>
          <cell r="D2879">
            <v>22</v>
          </cell>
          <cell r="E2879">
            <v>117.9</v>
          </cell>
          <cell r="F2879"/>
          <cell r="G2879">
            <v>115</v>
          </cell>
        </row>
        <row r="2880">
          <cell r="B2880" t="str">
            <v>MST125-27HFR CN</v>
          </cell>
          <cell r="C2880"/>
          <cell r="D2880">
            <v>56</v>
          </cell>
          <cell r="E2880">
            <v>234</v>
          </cell>
          <cell r="F2880"/>
          <cell r="G2880">
            <v>289</v>
          </cell>
        </row>
        <row r="2881">
          <cell r="B2881" t="str">
            <v>SJ3035N18S CE2</v>
          </cell>
          <cell r="C2881"/>
          <cell r="D2881">
            <v>22</v>
          </cell>
          <cell r="E2881">
            <v>117.9</v>
          </cell>
          <cell r="F2881"/>
          <cell r="G2881">
            <v>115</v>
          </cell>
        </row>
        <row r="2882">
          <cell r="B2882" t="str">
            <v>WAMS-180-1645 NOCE</v>
          </cell>
          <cell r="C2882"/>
          <cell r="D2882">
            <v>22</v>
          </cell>
          <cell r="E2882">
            <v>117.9</v>
          </cell>
          <cell r="F2882"/>
          <cell r="G2882">
            <v>115</v>
          </cell>
        </row>
        <row r="2883">
          <cell r="B2883" t="str">
            <v>WAMS-135-1645 NOCE</v>
          </cell>
          <cell r="C2883"/>
          <cell r="D2883">
            <v>22</v>
          </cell>
          <cell r="E2883">
            <v>117.9</v>
          </cell>
          <cell r="F2883"/>
          <cell r="G2883">
            <v>115</v>
          </cell>
        </row>
        <row r="2884">
          <cell r="B2884" t="str">
            <v>WAMS-135-16WA NOCE</v>
          </cell>
          <cell r="C2884"/>
          <cell r="D2884">
            <v>22</v>
          </cell>
          <cell r="E2884">
            <v>117.9</v>
          </cell>
          <cell r="F2884"/>
          <cell r="G2884">
            <v>115</v>
          </cell>
        </row>
        <row r="2885">
          <cell r="B2885" t="str">
            <v>PH18R102PR JP</v>
          </cell>
          <cell r="C2885"/>
          <cell r="D2885">
            <v>22</v>
          </cell>
          <cell r="E2885">
            <v>117.9</v>
          </cell>
          <cell r="F2885"/>
          <cell r="G2885">
            <v>115</v>
          </cell>
        </row>
        <row r="2886">
          <cell r="B2886" t="str">
            <v>AIN-CKX-14-300 JP</v>
          </cell>
          <cell r="C2886"/>
          <cell r="D2886">
            <v>22</v>
          </cell>
          <cell r="E2886">
            <v>117.9</v>
          </cell>
          <cell r="F2886"/>
          <cell r="G2886">
            <v>115</v>
          </cell>
        </row>
        <row r="2887">
          <cell r="B2887" t="str">
            <v>AHW14R001S NOCE</v>
          </cell>
          <cell r="C2887"/>
          <cell r="D2887">
            <v>22</v>
          </cell>
          <cell r="E2887">
            <v>117.9</v>
          </cell>
          <cell r="F2887"/>
          <cell r="G2887">
            <v>115</v>
          </cell>
        </row>
        <row r="2888">
          <cell r="B2888" t="str">
            <v>AHW14R001J NOCE</v>
          </cell>
          <cell r="C2888"/>
          <cell r="D2888">
            <v>22</v>
          </cell>
          <cell r="E2888">
            <v>117.9</v>
          </cell>
          <cell r="F2888"/>
          <cell r="G2888">
            <v>115</v>
          </cell>
        </row>
        <row r="2889">
          <cell r="B2889" t="str">
            <v>AHW14R301S NO CE</v>
          </cell>
          <cell r="C2889"/>
          <cell r="D2889">
            <v>22</v>
          </cell>
          <cell r="E2889">
            <v>117.9</v>
          </cell>
          <cell r="F2889"/>
          <cell r="G2889">
            <v>115</v>
          </cell>
        </row>
        <row r="2890">
          <cell r="B2890" t="str">
            <v>PP14R100PR JP</v>
          </cell>
          <cell r="C2890"/>
          <cell r="D2890">
            <v>22</v>
          </cell>
          <cell r="E2890">
            <v>117.9</v>
          </cell>
          <cell r="F2890"/>
          <cell r="G2890">
            <v>115</v>
          </cell>
        </row>
        <row r="2891">
          <cell r="B2891" t="str">
            <v>WAMS-135-16ST NOCE</v>
          </cell>
          <cell r="C2891"/>
          <cell r="D2891">
            <v>22</v>
          </cell>
          <cell r="E2891">
            <v>117.9</v>
          </cell>
          <cell r="F2891"/>
          <cell r="G2891">
            <v>115</v>
          </cell>
        </row>
        <row r="2892">
          <cell r="B2892" t="str">
            <v>WAMS-180-16ST NOCE</v>
          </cell>
          <cell r="C2892"/>
          <cell r="D2892">
            <v>22</v>
          </cell>
          <cell r="E2892">
            <v>117.9</v>
          </cell>
          <cell r="F2892"/>
          <cell r="G2892">
            <v>115</v>
          </cell>
        </row>
        <row r="2893">
          <cell r="B2893" t="str">
            <v>WAMS-165-16WA NOCE</v>
          </cell>
          <cell r="C2893"/>
          <cell r="D2893">
            <v>22</v>
          </cell>
          <cell r="E2893">
            <v>117.9</v>
          </cell>
          <cell r="F2893"/>
          <cell r="G2893">
            <v>115</v>
          </cell>
        </row>
        <row r="2894">
          <cell r="B2894" t="str">
            <v>AHW14R301J NO CE</v>
          </cell>
          <cell r="C2894"/>
          <cell r="D2894">
            <v>22</v>
          </cell>
          <cell r="E2894">
            <v>117.9</v>
          </cell>
          <cell r="F2894"/>
          <cell r="G2894">
            <v>115</v>
          </cell>
        </row>
        <row r="2895">
          <cell r="B2895" t="str">
            <v>AHW14R004J  NO CE</v>
          </cell>
          <cell r="C2895"/>
          <cell r="D2895">
            <v>22</v>
          </cell>
          <cell r="E2895">
            <v>117.9</v>
          </cell>
          <cell r="F2895"/>
          <cell r="G2895">
            <v>115</v>
          </cell>
        </row>
        <row r="2896">
          <cell r="B2896" t="str">
            <v>AHW14R304S  NO CE</v>
          </cell>
          <cell r="C2896"/>
          <cell r="D2896">
            <v>22</v>
          </cell>
          <cell r="E2896">
            <v>117.9</v>
          </cell>
          <cell r="F2896"/>
          <cell r="G2896">
            <v>115</v>
          </cell>
        </row>
        <row r="2897">
          <cell r="B2897" t="str">
            <v>HJ70SP452P10020 JP</v>
          </cell>
          <cell r="C2897"/>
          <cell r="D2897">
            <v>22</v>
          </cell>
          <cell r="E2897">
            <v>117.9</v>
          </cell>
          <cell r="F2897"/>
          <cell r="G2897">
            <v>115</v>
          </cell>
        </row>
        <row r="2898">
          <cell r="B2898" t="str">
            <v>VEL105-16SR JP</v>
          </cell>
          <cell r="C2898"/>
          <cell r="D2898">
            <v>22</v>
          </cell>
          <cell r="E2898">
            <v>117.9</v>
          </cell>
          <cell r="F2898"/>
          <cell r="G2898">
            <v>115</v>
          </cell>
        </row>
        <row r="2899">
          <cell r="B2899" t="str">
            <v>VEL125-16SR JP</v>
          </cell>
          <cell r="C2899"/>
          <cell r="D2899">
            <v>22</v>
          </cell>
          <cell r="E2899">
            <v>117.9</v>
          </cell>
          <cell r="F2899"/>
          <cell r="G2899">
            <v>115</v>
          </cell>
        </row>
        <row r="2900">
          <cell r="B2900" t="str">
            <v>VEL150-16SR JP</v>
          </cell>
          <cell r="C2900"/>
          <cell r="D2900">
            <v>22</v>
          </cell>
          <cell r="E2900">
            <v>117.9</v>
          </cell>
          <cell r="F2900"/>
          <cell r="G2900">
            <v>115</v>
          </cell>
        </row>
        <row r="2901">
          <cell r="B2901" t="str">
            <v>VEL105-16ASR JP</v>
          </cell>
          <cell r="C2901"/>
          <cell r="D2901">
            <v>22</v>
          </cell>
          <cell r="E2901">
            <v>117.9</v>
          </cell>
          <cell r="F2901"/>
          <cell r="G2901">
            <v>115</v>
          </cell>
        </row>
        <row r="2902">
          <cell r="B2902" t="str">
            <v>VEL125-16ASR JP</v>
          </cell>
          <cell r="C2902"/>
          <cell r="D2902">
            <v>22</v>
          </cell>
          <cell r="E2902">
            <v>117.9</v>
          </cell>
          <cell r="F2902"/>
          <cell r="G2902">
            <v>115</v>
          </cell>
        </row>
        <row r="2903">
          <cell r="B2903" t="str">
            <v>WAIN-CKI-18-200-BS CE3</v>
          </cell>
          <cell r="C2903"/>
          <cell r="D2903">
            <v>22</v>
          </cell>
          <cell r="E2903">
            <v>117.9</v>
          </cell>
          <cell r="F2903"/>
          <cell r="G2903">
            <v>115</v>
          </cell>
        </row>
        <row r="2904">
          <cell r="B2904">
            <v>2009051</v>
          </cell>
          <cell r="C2904"/>
          <cell r="D2904">
            <v>22</v>
          </cell>
          <cell r="E2904">
            <v>117.9</v>
          </cell>
          <cell r="F2904"/>
          <cell r="G2904">
            <v>115</v>
          </cell>
        </row>
        <row r="2905">
          <cell r="B2905" t="str">
            <v>HW60AL072P10000 CN</v>
          </cell>
          <cell r="C2905"/>
          <cell r="D2905">
            <v>56</v>
          </cell>
          <cell r="E2905">
            <v>234</v>
          </cell>
          <cell r="F2905"/>
          <cell r="G2905">
            <v>289</v>
          </cell>
        </row>
        <row r="2906">
          <cell r="B2906" t="str">
            <v>WAIN-CKI-200-RC CE3</v>
          </cell>
          <cell r="C2906"/>
          <cell r="D2906">
            <v>22</v>
          </cell>
          <cell r="E2906">
            <v>117.9</v>
          </cell>
          <cell r="F2906"/>
          <cell r="G2906">
            <v>115</v>
          </cell>
        </row>
        <row r="2907">
          <cell r="B2907" t="str">
            <v>WAIN-CKI-200-BA US2</v>
          </cell>
          <cell r="C2907"/>
          <cell r="D2907">
            <v>22</v>
          </cell>
          <cell r="E2907">
            <v>117.9</v>
          </cell>
          <cell r="F2907"/>
          <cell r="G2907">
            <v>115</v>
          </cell>
        </row>
        <row r="2908">
          <cell r="B2908" t="str">
            <v>AIN-CKX-10-200-R CE2</v>
          </cell>
          <cell r="C2908"/>
          <cell r="D2908">
            <v>22</v>
          </cell>
          <cell r="E2908">
            <v>117.9</v>
          </cell>
          <cell r="F2908"/>
          <cell r="G2908">
            <v>115</v>
          </cell>
        </row>
        <row r="2909">
          <cell r="B2909" t="str">
            <v>2009004 PARKWAY SOFT</v>
          </cell>
          <cell r="C2909"/>
          <cell r="D2909">
            <v>22</v>
          </cell>
          <cell r="E2909">
            <v>117.9</v>
          </cell>
          <cell r="F2909"/>
          <cell r="G2909">
            <v>115</v>
          </cell>
        </row>
        <row r="2910">
          <cell r="B2910" t="str">
            <v>2009007 MASTERS HF</v>
          </cell>
          <cell r="C2910"/>
          <cell r="D2910">
            <v>22</v>
          </cell>
          <cell r="E2910">
            <v>117.9</v>
          </cell>
          <cell r="F2910"/>
          <cell r="G2910">
            <v>115</v>
          </cell>
        </row>
        <row r="2911">
          <cell r="B2911" t="str">
            <v>CSRP135-26NR JP</v>
          </cell>
          <cell r="C2911"/>
          <cell r="D2911">
            <v>22</v>
          </cell>
          <cell r="E2911">
            <v>117.9</v>
          </cell>
          <cell r="F2911"/>
          <cell r="G2911">
            <v>115</v>
          </cell>
        </row>
        <row r="2912">
          <cell r="B2912" t="str">
            <v>CSRP150-26NR JP</v>
          </cell>
          <cell r="C2912"/>
          <cell r="D2912">
            <v>22</v>
          </cell>
          <cell r="E2912">
            <v>117.9</v>
          </cell>
          <cell r="F2912"/>
          <cell r="G2912">
            <v>115</v>
          </cell>
        </row>
        <row r="2913">
          <cell r="B2913" t="str">
            <v>HW70AL200P10000 CN</v>
          </cell>
          <cell r="C2913"/>
          <cell r="D2913">
            <v>56</v>
          </cell>
          <cell r="E2913">
            <v>234</v>
          </cell>
          <cell r="F2913"/>
          <cell r="G2913">
            <v>289</v>
          </cell>
        </row>
        <row r="2914">
          <cell r="B2914" t="str">
            <v>HW60JL352P10000 CN</v>
          </cell>
          <cell r="C2914"/>
          <cell r="D2914">
            <v>56</v>
          </cell>
          <cell r="E2914">
            <v>234</v>
          </cell>
          <cell r="F2914"/>
          <cell r="G2914">
            <v>289</v>
          </cell>
        </row>
        <row r="2915">
          <cell r="B2915" t="str">
            <v>HW60JR352P10000 CN</v>
          </cell>
          <cell r="C2915"/>
          <cell r="D2915">
            <v>56</v>
          </cell>
          <cell r="E2915">
            <v>234</v>
          </cell>
          <cell r="F2915"/>
          <cell r="G2915">
            <v>289</v>
          </cell>
        </row>
        <row r="2916">
          <cell r="B2916" t="str">
            <v>WAIN-CKI-008-200 CE3</v>
          </cell>
          <cell r="C2916"/>
          <cell r="D2916">
            <v>22</v>
          </cell>
          <cell r="E2916">
            <v>117.9</v>
          </cell>
          <cell r="F2916"/>
          <cell r="G2916">
            <v>115</v>
          </cell>
        </row>
        <row r="2917">
          <cell r="B2917" t="str">
            <v>AIN-CKI-18-200-SFT CE2</v>
          </cell>
          <cell r="C2917"/>
          <cell r="D2917">
            <v>22</v>
          </cell>
          <cell r="E2917">
            <v>117.9</v>
          </cell>
          <cell r="F2917"/>
          <cell r="G2917">
            <v>115</v>
          </cell>
        </row>
        <row r="2918">
          <cell r="B2918" t="str">
            <v>WAIN-CKI-10-200 CE4</v>
          </cell>
          <cell r="C2918"/>
          <cell r="D2918">
            <v>22</v>
          </cell>
          <cell r="E2918">
            <v>117.9</v>
          </cell>
          <cell r="F2918"/>
          <cell r="G2918">
            <v>115</v>
          </cell>
        </row>
        <row r="2919">
          <cell r="B2919" t="str">
            <v>WAIN-CKI-200-BA CE3</v>
          </cell>
          <cell r="C2919"/>
          <cell r="D2919">
            <v>22</v>
          </cell>
          <cell r="E2919">
            <v>117.9</v>
          </cell>
          <cell r="F2919"/>
          <cell r="G2919">
            <v>115</v>
          </cell>
        </row>
        <row r="2920">
          <cell r="B2920" t="str">
            <v>AIN-CKI-200-B-SFT CE2</v>
          </cell>
          <cell r="C2920"/>
          <cell r="D2920">
            <v>22</v>
          </cell>
          <cell r="E2920">
            <v>117.9</v>
          </cell>
          <cell r="F2920"/>
          <cell r="G2920">
            <v>115</v>
          </cell>
        </row>
        <row r="2921">
          <cell r="B2921" t="str">
            <v>PAGHW143394 CN</v>
          </cell>
          <cell r="C2921"/>
          <cell r="D2921">
            <v>22</v>
          </cell>
          <cell r="E2921">
            <v>117.9</v>
          </cell>
          <cell r="F2921"/>
          <cell r="G2921">
            <v>115</v>
          </cell>
        </row>
        <row r="2922">
          <cell r="B2922" t="str">
            <v>AGH143090J KR</v>
          </cell>
          <cell r="C2922"/>
          <cell r="D2922">
            <v>22</v>
          </cell>
          <cell r="E2922">
            <v>117.9</v>
          </cell>
          <cell r="F2922"/>
          <cell r="G2922">
            <v>115</v>
          </cell>
        </row>
        <row r="2923">
          <cell r="B2923" t="str">
            <v>AIN-CKX-14-300P JP</v>
          </cell>
          <cell r="C2923"/>
          <cell r="D2923">
            <v>22</v>
          </cell>
          <cell r="E2923">
            <v>117.9</v>
          </cell>
          <cell r="F2923"/>
          <cell r="G2923">
            <v>115</v>
          </cell>
        </row>
        <row r="2924">
          <cell r="B2924" t="str">
            <v>WAIN-CKI-200-BS CE3</v>
          </cell>
          <cell r="C2924"/>
          <cell r="D2924">
            <v>22</v>
          </cell>
          <cell r="E2924">
            <v>117.9</v>
          </cell>
          <cell r="F2924"/>
          <cell r="G2924">
            <v>115</v>
          </cell>
        </row>
        <row r="2925">
          <cell r="B2925" t="str">
            <v>AHW14R101P CE2</v>
          </cell>
          <cell r="C2925"/>
          <cell r="D2925">
            <v>22</v>
          </cell>
          <cell r="E2925">
            <v>117.9</v>
          </cell>
          <cell r="F2925"/>
          <cell r="G2925">
            <v>115</v>
          </cell>
        </row>
        <row r="2926">
          <cell r="B2926" t="str">
            <v>WAIN-CKI-200 CE4</v>
          </cell>
          <cell r="C2926"/>
          <cell r="D2926">
            <v>22</v>
          </cell>
          <cell r="E2926">
            <v>117.9</v>
          </cell>
          <cell r="F2926"/>
          <cell r="G2926">
            <v>115</v>
          </cell>
        </row>
        <row r="2927">
          <cell r="B2927" t="str">
            <v>AHW14R104P CE2</v>
          </cell>
          <cell r="C2927"/>
          <cell r="D2927">
            <v>22</v>
          </cell>
          <cell r="E2927">
            <v>117.9</v>
          </cell>
          <cell r="F2927"/>
          <cell r="G2927">
            <v>115</v>
          </cell>
        </row>
        <row r="2928">
          <cell r="B2928" t="str">
            <v>AHW14S003S CE4</v>
          </cell>
          <cell r="C2928"/>
          <cell r="D2928">
            <v>22</v>
          </cell>
          <cell r="E2928">
            <v>117.9</v>
          </cell>
          <cell r="F2928"/>
          <cell r="G2928">
            <v>115</v>
          </cell>
        </row>
        <row r="2929">
          <cell r="B2929" t="str">
            <v>HW70AL072P09000 CN</v>
          </cell>
          <cell r="C2929"/>
          <cell r="D2929">
            <v>56</v>
          </cell>
          <cell r="E2929">
            <v>234</v>
          </cell>
          <cell r="F2929"/>
          <cell r="G2929">
            <v>289</v>
          </cell>
        </row>
        <row r="2930">
          <cell r="B2930" t="str">
            <v>2009051 Masters HF CN</v>
          </cell>
          <cell r="C2930"/>
          <cell r="D2930">
            <v>22</v>
          </cell>
          <cell r="E2930">
            <v>117.9</v>
          </cell>
          <cell r="F2930"/>
          <cell r="G2930">
            <v>115</v>
          </cell>
        </row>
        <row r="2931">
          <cell r="B2931" t="str">
            <v>MST150-27HFR CN</v>
          </cell>
          <cell r="C2931"/>
          <cell r="D2931">
            <v>22</v>
          </cell>
          <cell r="E2931">
            <v>117.9</v>
          </cell>
          <cell r="F2931"/>
          <cell r="G2931">
            <v>115</v>
          </cell>
        </row>
        <row r="2932">
          <cell r="B2932" t="str">
            <v>AHW14R004S NO CE</v>
          </cell>
          <cell r="C2932"/>
          <cell r="D2932">
            <v>22</v>
          </cell>
          <cell r="E2932">
            <v>117.9</v>
          </cell>
          <cell r="F2932"/>
          <cell r="G2932">
            <v>115</v>
          </cell>
        </row>
        <row r="2933">
          <cell r="B2933" t="str">
            <v>PP18R300SR JP</v>
          </cell>
          <cell r="C2933"/>
          <cell r="D2933">
            <v>22</v>
          </cell>
          <cell r="E2933">
            <v>117.9</v>
          </cell>
          <cell r="F2933"/>
          <cell r="G2933">
            <v>115</v>
          </cell>
        </row>
        <row r="2934">
          <cell r="B2934" t="str">
            <v>WAIN-CKI-300 CE4</v>
          </cell>
          <cell r="C2934"/>
          <cell r="D2934">
            <v>44</v>
          </cell>
          <cell r="E2934">
            <v>162.4</v>
          </cell>
          <cell r="F2934">
            <v>20</v>
          </cell>
          <cell r="G2934">
            <v>147</v>
          </cell>
        </row>
        <row r="2935">
          <cell r="B2935" t="str">
            <v>WAIN-CKI-300-RC CE3</v>
          </cell>
          <cell r="C2935"/>
          <cell r="D2935">
            <v>42</v>
          </cell>
          <cell r="E2935">
            <v>134</v>
          </cell>
          <cell r="F2935">
            <v>20</v>
          </cell>
          <cell r="G2935">
            <v>147</v>
          </cell>
        </row>
        <row r="2936">
          <cell r="B2936" t="str">
            <v>2009014_Tellus</v>
          </cell>
          <cell r="C2936"/>
          <cell r="D2936">
            <v>40</v>
          </cell>
          <cell r="E2936">
            <v>185</v>
          </cell>
          <cell r="F2936">
            <v>8.3000000000000007</v>
          </cell>
          <cell r="G2936">
            <v>30</v>
          </cell>
        </row>
        <row r="2937">
          <cell r="B2937" t="str">
            <v>TLS125-16ASR JP</v>
          </cell>
          <cell r="C2937"/>
          <cell r="D2937">
            <v>22</v>
          </cell>
          <cell r="E2937">
            <v>117.9</v>
          </cell>
          <cell r="F2937"/>
          <cell r="G2937">
            <v>115</v>
          </cell>
        </row>
        <row r="2938">
          <cell r="B2938" t="str">
            <v>TLS125-16SR JP</v>
          </cell>
          <cell r="C2938"/>
          <cell r="D2938">
            <v>22</v>
          </cell>
          <cell r="E2938">
            <v>117.9</v>
          </cell>
          <cell r="F2938"/>
          <cell r="G2938">
            <v>115</v>
          </cell>
        </row>
        <row r="2939">
          <cell r="B2939" t="str">
            <v>WCKV180-14 US</v>
          </cell>
          <cell r="C2939"/>
          <cell r="D2939">
            <v>22</v>
          </cell>
          <cell r="E2939">
            <v>117.9</v>
          </cell>
          <cell r="F2939"/>
          <cell r="G2939">
            <v>115</v>
          </cell>
        </row>
        <row r="2940">
          <cell r="B2940" t="str">
            <v>WCKV180-14 NO CE</v>
          </cell>
          <cell r="C2940"/>
          <cell r="D2940">
            <v>22</v>
          </cell>
          <cell r="E2940">
            <v>117.9</v>
          </cell>
          <cell r="F2940"/>
          <cell r="G2940">
            <v>115</v>
          </cell>
        </row>
        <row r="2941">
          <cell r="B2941" t="str">
            <v xml:space="preserve"> 2009007 MASTERS HF</v>
          </cell>
          <cell r="C2941">
            <v>0</v>
          </cell>
          <cell r="D2941">
            <v>22</v>
          </cell>
          <cell r="E2941">
            <v>117.9</v>
          </cell>
          <cell r="F2941"/>
          <cell r="G2941">
            <v>115</v>
          </cell>
        </row>
        <row r="2942">
          <cell r="B2942" t="str">
            <v>PPW18R300S CN</v>
          </cell>
          <cell r="C2942"/>
          <cell r="D2942">
            <v>22</v>
          </cell>
          <cell r="E2942">
            <v>117.9</v>
          </cell>
          <cell r="F2942"/>
          <cell r="G2942">
            <v>115</v>
          </cell>
        </row>
        <row r="2943">
          <cell r="B2943" t="str">
            <v>PHW18R301S CN</v>
          </cell>
          <cell r="C2943"/>
          <cell r="D2943">
            <v>22</v>
          </cell>
          <cell r="E2943">
            <v>117.9</v>
          </cell>
          <cell r="F2943"/>
          <cell r="G2943">
            <v>115</v>
          </cell>
        </row>
        <row r="2944">
          <cell r="B2944" t="str">
            <v>PHW18R302S CN</v>
          </cell>
          <cell r="C2944"/>
          <cell r="D2944">
            <v>22</v>
          </cell>
          <cell r="E2944">
            <v>117.9</v>
          </cell>
          <cell r="F2944"/>
          <cell r="G2944">
            <v>115</v>
          </cell>
        </row>
        <row r="2945">
          <cell r="B2945" t="str">
            <v>PPW14R300S CN</v>
          </cell>
          <cell r="C2945"/>
          <cell r="D2945">
            <v>22</v>
          </cell>
          <cell r="E2945">
            <v>117.9</v>
          </cell>
          <cell r="F2945"/>
          <cell r="G2945">
            <v>115</v>
          </cell>
        </row>
        <row r="2946">
          <cell r="B2946" t="str">
            <v>PHW18R301P CN</v>
          </cell>
          <cell r="C2946"/>
          <cell r="D2946">
            <v>22</v>
          </cell>
          <cell r="E2946">
            <v>117.9</v>
          </cell>
          <cell r="F2946"/>
          <cell r="G2946">
            <v>115</v>
          </cell>
        </row>
        <row r="2947">
          <cell r="B2947" t="str">
            <v>AIN-CNX-14-215 JP</v>
          </cell>
          <cell r="C2947"/>
          <cell r="D2947">
            <v>22</v>
          </cell>
          <cell r="E2947">
            <v>117.9</v>
          </cell>
          <cell r="F2947"/>
          <cell r="G2947">
            <v>115</v>
          </cell>
        </row>
        <row r="2948">
          <cell r="B2948" t="str">
            <v>AIN-CNX-14-215P JP</v>
          </cell>
          <cell r="C2948"/>
          <cell r="D2948">
            <v>22</v>
          </cell>
          <cell r="E2948">
            <v>117.9</v>
          </cell>
          <cell r="F2948"/>
          <cell r="G2948">
            <v>115</v>
          </cell>
        </row>
        <row r="2949">
          <cell r="B2949" t="str">
            <v>SJ1535N15S JP</v>
          </cell>
          <cell r="C2949"/>
          <cell r="D2949">
            <v>22</v>
          </cell>
          <cell r="E2949">
            <v>117.9</v>
          </cell>
          <cell r="F2949"/>
          <cell r="G2949">
            <v>115</v>
          </cell>
        </row>
        <row r="2950">
          <cell r="B2950" t="str">
            <v>SJ1535N20S JP</v>
          </cell>
          <cell r="C2950"/>
          <cell r="D2950">
            <v>22</v>
          </cell>
          <cell r="E2950">
            <v>117.9</v>
          </cell>
          <cell r="F2950"/>
          <cell r="G2950">
            <v>115</v>
          </cell>
        </row>
        <row r="2951">
          <cell r="B2951" t="str">
            <v>SJ1535N26S JP</v>
          </cell>
          <cell r="C2951"/>
          <cell r="D2951">
            <v>22</v>
          </cell>
          <cell r="E2951">
            <v>117.9</v>
          </cell>
          <cell r="F2951"/>
          <cell r="G2951">
            <v>115</v>
          </cell>
        </row>
        <row r="2952">
          <cell r="B2952" t="str">
            <v>SJ1535N30S JP</v>
          </cell>
          <cell r="C2952"/>
          <cell r="D2952">
            <v>22</v>
          </cell>
          <cell r="E2952">
            <v>117.9</v>
          </cell>
          <cell r="F2952"/>
          <cell r="G2952">
            <v>115</v>
          </cell>
        </row>
        <row r="2953">
          <cell r="B2953" t="str">
            <v>SJ3035N15S JP</v>
          </cell>
          <cell r="C2953"/>
          <cell r="D2953">
            <v>22</v>
          </cell>
          <cell r="E2953">
            <v>117.9</v>
          </cell>
          <cell r="F2953"/>
          <cell r="G2953">
            <v>115</v>
          </cell>
        </row>
        <row r="2954">
          <cell r="B2954" t="str">
            <v>HW60JR400P09000 CN</v>
          </cell>
          <cell r="C2954"/>
          <cell r="D2954">
            <v>56</v>
          </cell>
          <cell r="E2954">
            <v>234</v>
          </cell>
          <cell r="F2954"/>
          <cell r="G2954">
            <v>289</v>
          </cell>
        </row>
        <row r="2955">
          <cell r="B2955" t="str">
            <v>SJ1535N18S JP</v>
          </cell>
          <cell r="C2955"/>
          <cell r="D2955">
            <v>22</v>
          </cell>
          <cell r="E2955">
            <v>117.9</v>
          </cell>
          <cell r="F2955"/>
          <cell r="G2955">
            <v>115</v>
          </cell>
        </row>
        <row r="2956">
          <cell r="B2956" t="str">
            <v>SJ1535N22S JP</v>
          </cell>
          <cell r="C2956">
            <v>0</v>
          </cell>
          <cell r="D2956">
            <v>22</v>
          </cell>
          <cell r="E2956">
            <v>117.9</v>
          </cell>
          <cell r="F2956"/>
          <cell r="G2956">
            <v>115</v>
          </cell>
        </row>
        <row r="2957">
          <cell r="B2957" t="str">
            <v>WAIN-CKI-10-300 CE4</v>
          </cell>
          <cell r="C2957"/>
          <cell r="D2957">
            <v>22</v>
          </cell>
          <cell r="E2957">
            <v>117.9</v>
          </cell>
          <cell r="F2957"/>
          <cell r="G2957">
            <v>115</v>
          </cell>
        </row>
        <row r="2958">
          <cell r="B2958" t="str">
            <v>SJ3035N18S JP</v>
          </cell>
          <cell r="C2958"/>
          <cell r="D2958">
            <v>22</v>
          </cell>
          <cell r="E2958">
            <v>117.9</v>
          </cell>
          <cell r="F2958"/>
          <cell r="G2958">
            <v>115</v>
          </cell>
        </row>
        <row r="2959">
          <cell r="B2959" t="str">
            <v>HW60AL102P10000 KR</v>
          </cell>
          <cell r="C2959"/>
          <cell r="D2959">
            <v>22</v>
          </cell>
          <cell r="E2959">
            <v>117.9</v>
          </cell>
          <cell r="F2959"/>
          <cell r="G2959">
            <v>115</v>
          </cell>
        </row>
        <row r="2960">
          <cell r="B2960" t="str">
            <v>HW60AL150P10000 KR</v>
          </cell>
          <cell r="C2960"/>
          <cell r="D2960">
            <v>22</v>
          </cell>
          <cell r="E2960">
            <v>117.9</v>
          </cell>
          <cell r="F2960"/>
          <cell r="G2960">
            <v>115</v>
          </cell>
        </row>
        <row r="2961">
          <cell r="B2961" t="str">
            <v>HW60AL070P10002 KR</v>
          </cell>
          <cell r="C2961"/>
          <cell r="D2961">
            <v>22</v>
          </cell>
          <cell r="E2961">
            <v>117.9</v>
          </cell>
          <cell r="F2961"/>
          <cell r="G2961">
            <v>115</v>
          </cell>
        </row>
        <row r="2962">
          <cell r="B2962" t="str">
            <v>HW60AL072P10002 KR</v>
          </cell>
          <cell r="C2962"/>
          <cell r="D2962">
            <v>22</v>
          </cell>
          <cell r="E2962">
            <v>117.9</v>
          </cell>
          <cell r="F2962"/>
          <cell r="G2962">
            <v>115</v>
          </cell>
        </row>
        <row r="2963">
          <cell r="B2963" t="str">
            <v>HW60SP350P10000 KR</v>
          </cell>
          <cell r="C2963"/>
          <cell r="D2963">
            <v>22</v>
          </cell>
          <cell r="E2963">
            <v>117.9</v>
          </cell>
          <cell r="F2963"/>
          <cell r="G2963">
            <v>115</v>
          </cell>
        </row>
        <row r="2964">
          <cell r="B2964" t="str">
            <v>HW60PB400P10000 KR</v>
          </cell>
          <cell r="C2964"/>
          <cell r="D2964">
            <v>22</v>
          </cell>
          <cell r="E2964">
            <v>117.9</v>
          </cell>
          <cell r="F2964"/>
          <cell r="G2964">
            <v>115</v>
          </cell>
        </row>
        <row r="2965">
          <cell r="B2965" t="str">
            <v>HW60JL352P10000 KR</v>
          </cell>
          <cell r="C2965"/>
          <cell r="D2965">
            <v>22</v>
          </cell>
          <cell r="E2965">
            <v>117.9</v>
          </cell>
          <cell r="F2965"/>
          <cell r="G2965">
            <v>115</v>
          </cell>
        </row>
        <row r="2966">
          <cell r="B2966" t="str">
            <v>HW60JL352P10001 KR</v>
          </cell>
          <cell r="C2966"/>
          <cell r="D2966">
            <v>22</v>
          </cell>
          <cell r="E2966">
            <v>117.9</v>
          </cell>
          <cell r="F2966"/>
          <cell r="G2966">
            <v>115</v>
          </cell>
        </row>
        <row r="2967">
          <cell r="B2967" t="str">
            <v>HW60JR402P10000 KR</v>
          </cell>
          <cell r="C2967"/>
          <cell r="D2967">
            <v>22</v>
          </cell>
          <cell r="E2967">
            <v>117.9</v>
          </cell>
          <cell r="F2967"/>
          <cell r="G2967">
            <v>115</v>
          </cell>
        </row>
        <row r="2968">
          <cell r="B2968" t="str">
            <v>HW60AR200P10000 KR</v>
          </cell>
          <cell r="C2968"/>
          <cell r="D2968">
            <v>22</v>
          </cell>
          <cell r="E2968">
            <v>117.9</v>
          </cell>
          <cell r="F2968"/>
          <cell r="G2968">
            <v>115</v>
          </cell>
        </row>
        <row r="2969">
          <cell r="B2969" t="str">
            <v>HW60SP352P10000 KR</v>
          </cell>
          <cell r="C2969"/>
          <cell r="D2969">
            <v>22</v>
          </cell>
          <cell r="E2969">
            <v>117.9</v>
          </cell>
          <cell r="F2969"/>
          <cell r="G2969">
            <v>115</v>
          </cell>
        </row>
        <row r="2970">
          <cell r="B2970" t="str">
            <v>HW60SP350P09000 KR</v>
          </cell>
          <cell r="C2970"/>
          <cell r="D2970">
            <v>22</v>
          </cell>
          <cell r="E2970">
            <v>117.9</v>
          </cell>
          <cell r="F2970"/>
          <cell r="G2970">
            <v>115</v>
          </cell>
        </row>
        <row r="2971">
          <cell r="B2971" t="str">
            <v>AH14R007PR CN</v>
          </cell>
          <cell r="C2971"/>
          <cell r="D2971">
            <v>27.8</v>
          </cell>
          <cell r="E2971">
            <v>117.9</v>
          </cell>
          <cell r="F2971">
            <v>22</v>
          </cell>
          <cell r="G2971">
            <v>69.599999999999994</v>
          </cell>
        </row>
        <row r="2972">
          <cell r="B2972" t="str">
            <v>AH14R008PR CN</v>
          </cell>
          <cell r="C2972"/>
          <cell r="D2972">
            <v>22</v>
          </cell>
          <cell r="E2972">
            <v>93</v>
          </cell>
          <cell r="F2972">
            <v>20</v>
          </cell>
          <cell r="G2972">
            <v>70</v>
          </cell>
        </row>
        <row r="2973">
          <cell r="B2973" t="str">
            <v>AH14R011PR CN</v>
          </cell>
          <cell r="C2973"/>
          <cell r="D2973">
            <v>35</v>
          </cell>
          <cell r="E2973">
            <v>153.30000000000001</v>
          </cell>
          <cell r="F2973">
            <v>22</v>
          </cell>
          <cell r="G2973">
            <v>43.2</v>
          </cell>
        </row>
        <row r="2974">
          <cell r="B2974" t="str">
            <v>HW60AL070P10000 KR</v>
          </cell>
          <cell r="C2974"/>
          <cell r="D2974">
            <v>22</v>
          </cell>
          <cell r="E2974">
            <v>117.9</v>
          </cell>
          <cell r="F2974"/>
          <cell r="G2974">
            <v>115</v>
          </cell>
        </row>
        <row r="2975">
          <cell r="B2975" t="str">
            <v>HW60AL100P10000 KR</v>
          </cell>
          <cell r="C2975"/>
          <cell r="D2975">
            <v>22</v>
          </cell>
          <cell r="E2975">
            <v>117.9</v>
          </cell>
          <cell r="F2975"/>
          <cell r="G2975">
            <v>115</v>
          </cell>
        </row>
        <row r="2976">
          <cell r="B2976" t="str">
            <v>HW60AL202P10000 KR</v>
          </cell>
          <cell r="C2976"/>
          <cell r="D2976">
            <v>22</v>
          </cell>
          <cell r="E2976">
            <v>117.9</v>
          </cell>
          <cell r="F2976"/>
          <cell r="G2976">
            <v>115</v>
          </cell>
        </row>
        <row r="2977">
          <cell r="B2977" t="str">
            <v>HW60AL100P10002 KR</v>
          </cell>
          <cell r="C2977"/>
          <cell r="D2977">
            <v>22</v>
          </cell>
          <cell r="E2977">
            <v>117.9</v>
          </cell>
          <cell r="F2977"/>
          <cell r="G2977">
            <v>115</v>
          </cell>
        </row>
        <row r="2978">
          <cell r="B2978" t="str">
            <v>HW60AL102P10002 KR</v>
          </cell>
          <cell r="C2978"/>
          <cell r="D2978">
            <v>22</v>
          </cell>
          <cell r="E2978">
            <v>117.9</v>
          </cell>
          <cell r="F2978"/>
          <cell r="G2978">
            <v>115</v>
          </cell>
        </row>
        <row r="2979">
          <cell r="B2979" t="str">
            <v>HW60SP300P10000 KR</v>
          </cell>
          <cell r="C2979"/>
          <cell r="D2979">
            <v>22</v>
          </cell>
          <cell r="E2979">
            <v>117.9</v>
          </cell>
          <cell r="F2979"/>
          <cell r="G2979">
            <v>115</v>
          </cell>
        </row>
        <row r="2980">
          <cell r="B2980" t="str">
            <v>HW60SP370P10000 KR</v>
          </cell>
          <cell r="C2980"/>
          <cell r="D2980">
            <v>22</v>
          </cell>
          <cell r="E2980">
            <v>117.9</v>
          </cell>
          <cell r="F2980"/>
          <cell r="G2980">
            <v>115</v>
          </cell>
        </row>
        <row r="2981">
          <cell r="B2981" t="str">
            <v>HW60SP372P10000 KR</v>
          </cell>
          <cell r="C2981"/>
          <cell r="D2981">
            <v>22</v>
          </cell>
          <cell r="E2981">
            <v>117.9</v>
          </cell>
          <cell r="F2981"/>
          <cell r="G2981">
            <v>115</v>
          </cell>
        </row>
        <row r="2982">
          <cell r="B2982" t="str">
            <v>HW60PB350P10000 KR</v>
          </cell>
          <cell r="C2982"/>
          <cell r="D2982">
            <v>22</v>
          </cell>
          <cell r="E2982">
            <v>117.9</v>
          </cell>
          <cell r="F2982"/>
          <cell r="G2982">
            <v>115</v>
          </cell>
        </row>
        <row r="2983">
          <cell r="B2983" t="str">
            <v>HW60PB352P10000 KR</v>
          </cell>
          <cell r="C2983"/>
          <cell r="D2983">
            <v>22</v>
          </cell>
          <cell r="E2983">
            <v>117.9</v>
          </cell>
          <cell r="F2983"/>
          <cell r="G2983">
            <v>115</v>
          </cell>
        </row>
        <row r="2984">
          <cell r="B2984" t="str">
            <v>HW60JL300P10000 KR</v>
          </cell>
          <cell r="C2984"/>
          <cell r="D2984">
            <v>22</v>
          </cell>
          <cell r="E2984">
            <v>117.9</v>
          </cell>
          <cell r="F2984"/>
          <cell r="G2984">
            <v>115</v>
          </cell>
        </row>
        <row r="2985">
          <cell r="B2985" t="str">
            <v>HW60JL350P10000 KR</v>
          </cell>
          <cell r="C2985"/>
          <cell r="D2985">
            <v>22</v>
          </cell>
          <cell r="E2985">
            <v>117.9</v>
          </cell>
          <cell r="F2985"/>
          <cell r="G2985">
            <v>115</v>
          </cell>
        </row>
        <row r="2986">
          <cell r="B2986" t="str">
            <v>HW60JL400P10000 KR</v>
          </cell>
          <cell r="C2986"/>
          <cell r="D2986">
            <v>22</v>
          </cell>
          <cell r="E2986">
            <v>117.9</v>
          </cell>
          <cell r="F2986"/>
          <cell r="G2986">
            <v>115</v>
          </cell>
        </row>
        <row r="2987">
          <cell r="B2987" t="str">
            <v>HW60JL402P10000 KR</v>
          </cell>
          <cell r="C2987"/>
          <cell r="D2987">
            <v>22</v>
          </cell>
          <cell r="E2987">
            <v>117.9</v>
          </cell>
          <cell r="F2987"/>
          <cell r="G2987">
            <v>115</v>
          </cell>
        </row>
        <row r="2988">
          <cell r="B2988" t="str">
            <v>HW60JL450P10000 KR</v>
          </cell>
          <cell r="C2988"/>
          <cell r="D2988">
            <v>22</v>
          </cell>
          <cell r="E2988">
            <v>117.9</v>
          </cell>
          <cell r="F2988"/>
          <cell r="G2988">
            <v>115</v>
          </cell>
        </row>
        <row r="2989">
          <cell r="B2989" t="str">
            <v>HW60JR400P10000 KR</v>
          </cell>
          <cell r="C2989"/>
          <cell r="D2989">
            <v>22</v>
          </cell>
          <cell r="E2989">
            <v>117.9</v>
          </cell>
          <cell r="F2989"/>
          <cell r="G2989">
            <v>115</v>
          </cell>
        </row>
        <row r="2990">
          <cell r="B2990" t="str">
            <v>HW60AR102P10000 KR</v>
          </cell>
          <cell r="C2990"/>
          <cell r="D2990">
            <v>22</v>
          </cell>
          <cell r="E2990">
            <v>117.9</v>
          </cell>
          <cell r="F2990"/>
          <cell r="G2990">
            <v>115</v>
          </cell>
        </row>
        <row r="2991">
          <cell r="B2991" t="str">
            <v>HW60RB072P10000 KR</v>
          </cell>
          <cell r="C2991"/>
          <cell r="D2991">
            <v>22</v>
          </cell>
          <cell r="E2991">
            <v>117.9</v>
          </cell>
          <cell r="F2991"/>
          <cell r="G2991">
            <v>115</v>
          </cell>
        </row>
        <row r="2992">
          <cell r="B2992" t="str">
            <v>HW80SP350P10000 KR</v>
          </cell>
          <cell r="C2992"/>
          <cell r="D2992">
            <v>22</v>
          </cell>
          <cell r="E2992">
            <v>117.9</v>
          </cell>
          <cell r="F2992"/>
          <cell r="G2992">
            <v>115</v>
          </cell>
        </row>
        <row r="2993">
          <cell r="B2993" t="str">
            <v>HW80SP370P10000 KR</v>
          </cell>
          <cell r="C2993"/>
          <cell r="D2993">
            <v>22</v>
          </cell>
          <cell r="E2993">
            <v>117.9</v>
          </cell>
          <cell r="F2993"/>
          <cell r="G2993">
            <v>115</v>
          </cell>
        </row>
        <row r="2994">
          <cell r="B2994" t="str">
            <v>HW80JL400P10000 KR</v>
          </cell>
          <cell r="C2994"/>
          <cell r="D2994">
            <v>22</v>
          </cell>
          <cell r="E2994">
            <v>117.9</v>
          </cell>
          <cell r="F2994"/>
          <cell r="G2994">
            <v>115</v>
          </cell>
        </row>
        <row r="2995">
          <cell r="B2995" t="str">
            <v>HW60IM002P10000 KR</v>
          </cell>
          <cell r="C2995"/>
          <cell r="D2995">
            <v>22</v>
          </cell>
          <cell r="E2995">
            <v>117.9</v>
          </cell>
          <cell r="F2995"/>
          <cell r="G2995">
            <v>115</v>
          </cell>
        </row>
        <row r="2996">
          <cell r="B2996" t="str">
            <v>WAMS-135-1645C CN</v>
          </cell>
          <cell r="C2996"/>
          <cell r="D2996">
            <v>42</v>
          </cell>
          <cell r="E2996">
            <v>164</v>
          </cell>
          <cell r="F2996">
            <v>32</v>
          </cell>
          <cell r="G2996">
            <v>147</v>
          </cell>
        </row>
        <row r="2997">
          <cell r="B2997" t="str">
            <v>WCKV165-14C CN</v>
          </cell>
          <cell r="C2997"/>
          <cell r="D2997">
            <v>42</v>
          </cell>
          <cell r="E2997">
            <v>140.9</v>
          </cell>
          <cell r="F2997">
            <v>22</v>
          </cell>
          <cell r="G2997">
            <v>147</v>
          </cell>
        </row>
        <row r="2998">
          <cell r="B2998" t="str">
            <v>HW60JL350P10001 KR</v>
          </cell>
          <cell r="C2998"/>
          <cell r="D2998">
            <v>86.3</v>
          </cell>
          <cell r="E2998">
            <v>98</v>
          </cell>
          <cell r="F2998">
            <v>12.4</v>
          </cell>
          <cell r="G2998">
            <v>195</v>
          </cell>
        </row>
        <row r="2999">
          <cell r="B2999" t="str">
            <v>HW60RB070P10000 KR</v>
          </cell>
          <cell r="C2999"/>
          <cell r="D2999">
            <v>86.3</v>
          </cell>
          <cell r="E2999">
            <v>98</v>
          </cell>
          <cell r="F2999">
            <v>12.4</v>
          </cell>
          <cell r="G2999">
            <v>195</v>
          </cell>
        </row>
        <row r="3000">
          <cell r="B3000" t="str">
            <v>HW70AL100P10000 KR</v>
          </cell>
          <cell r="C3000"/>
          <cell r="D3000">
            <v>86.3</v>
          </cell>
          <cell r="E3000">
            <v>98</v>
          </cell>
          <cell r="F3000">
            <v>12.4</v>
          </cell>
          <cell r="G3000">
            <v>195</v>
          </cell>
        </row>
        <row r="3001">
          <cell r="B3001" t="str">
            <v>HW70AL102P10002 KR</v>
          </cell>
          <cell r="C3001"/>
          <cell r="D3001">
            <v>86.3</v>
          </cell>
          <cell r="E3001">
            <v>98</v>
          </cell>
          <cell r="F3001">
            <v>12.4</v>
          </cell>
          <cell r="G3001">
            <v>195</v>
          </cell>
        </row>
        <row r="3002">
          <cell r="B3002" t="str">
            <v>HW70JL350P10000 KR</v>
          </cell>
          <cell r="C3002"/>
          <cell r="D3002">
            <v>86.3</v>
          </cell>
          <cell r="E3002">
            <v>98</v>
          </cell>
          <cell r="F3002">
            <v>12.4</v>
          </cell>
          <cell r="G3002">
            <v>195</v>
          </cell>
        </row>
        <row r="3003">
          <cell r="B3003" t="str">
            <v>HW70JL400P10000 KR</v>
          </cell>
          <cell r="C3003"/>
          <cell r="D3003">
            <v>86.3</v>
          </cell>
          <cell r="E3003">
            <v>98</v>
          </cell>
          <cell r="F3003">
            <v>12.4</v>
          </cell>
          <cell r="G3003">
            <v>195</v>
          </cell>
        </row>
        <row r="3004">
          <cell r="B3004" t="str">
            <v>HW70JR400P10000 KR</v>
          </cell>
          <cell r="C3004"/>
          <cell r="D3004">
            <v>86.3</v>
          </cell>
          <cell r="E3004">
            <v>98</v>
          </cell>
          <cell r="F3004">
            <v>12.4</v>
          </cell>
          <cell r="G3004">
            <v>195</v>
          </cell>
        </row>
        <row r="3005">
          <cell r="B3005" t="str">
            <v>HW70RB070P10000 KR</v>
          </cell>
          <cell r="C3005"/>
          <cell r="D3005">
            <v>86.3</v>
          </cell>
          <cell r="E3005">
            <v>98</v>
          </cell>
          <cell r="F3005">
            <v>12.4</v>
          </cell>
          <cell r="G3005">
            <v>195</v>
          </cell>
        </row>
        <row r="3006">
          <cell r="B3006" t="str">
            <v>UA0035B2600 NOCE</v>
          </cell>
          <cell r="C3006"/>
          <cell r="D3006">
            <v>21.9</v>
          </cell>
          <cell r="E3006">
            <v>104.1</v>
          </cell>
          <cell r="F3006"/>
          <cell r="G3006">
            <v>72.5</v>
          </cell>
        </row>
        <row r="3007">
          <cell r="B3007" t="str">
            <v>UJ1535B1800 NOCE</v>
          </cell>
          <cell r="C3007"/>
          <cell r="D3007">
            <v>21.9</v>
          </cell>
          <cell r="E3007">
            <v>104.1</v>
          </cell>
          <cell r="F3007"/>
          <cell r="G3007">
            <v>72.5</v>
          </cell>
        </row>
        <row r="3008">
          <cell r="B3008" t="str">
            <v>UJ3035B2000 NOCE</v>
          </cell>
          <cell r="C3008"/>
          <cell r="D3008">
            <v>21.9</v>
          </cell>
          <cell r="E3008">
            <v>104.1</v>
          </cell>
          <cell r="F3008"/>
          <cell r="G3008">
            <v>72.5</v>
          </cell>
        </row>
        <row r="3009">
          <cell r="B3009" t="str">
            <v>UA0035B2000 NOCE</v>
          </cell>
          <cell r="C3009"/>
          <cell r="D3009">
            <v>21.9</v>
          </cell>
          <cell r="E3009">
            <v>104.1</v>
          </cell>
          <cell r="F3009"/>
          <cell r="G3009">
            <v>72.5</v>
          </cell>
        </row>
        <row r="3010">
          <cell r="B3010" t="str">
            <v>UJ3035B1500 NOCE</v>
          </cell>
          <cell r="C3010"/>
          <cell r="D3010">
            <v>21.9</v>
          </cell>
          <cell r="E3010">
            <v>104.1</v>
          </cell>
          <cell r="F3010"/>
          <cell r="G3010">
            <v>72.5</v>
          </cell>
        </row>
        <row r="3011">
          <cell r="B3011" t="str">
            <v>UA0035B1800 NOCE</v>
          </cell>
          <cell r="C3011"/>
          <cell r="D3011">
            <v>21.9</v>
          </cell>
          <cell r="E3011">
            <v>104.1</v>
          </cell>
          <cell r="F3011"/>
          <cell r="G3011">
            <v>72.5</v>
          </cell>
        </row>
        <row r="3012">
          <cell r="B3012" t="str">
            <v>UA0035B3000 NOCE</v>
          </cell>
          <cell r="C3012"/>
          <cell r="D3012">
            <v>21.9</v>
          </cell>
          <cell r="E3012">
            <v>104.1</v>
          </cell>
          <cell r="F3012"/>
          <cell r="G3012">
            <v>72.5</v>
          </cell>
        </row>
        <row r="3013">
          <cell r="B3013" t="str">
            <v>UJ1535B3000 NOCE</v>
          </cell>
          <cell r="C3013"/>
          <cell r="D3013">
            <v>21.9</v>
          </cell>
          <cell r="E3013">
            <v>104.1</v>
          </cell>
          <cell r="F3013"/>
          <cell r="G3013">
            <v>72.5</v>
          </cell>
        </row>
        <row r="3014">
          <cell r="B3014" t="str">
            <v>HW60SP402P10000 KR</v>
          </cell>
          <cell r="C3014"/>
          <cell r="D3014">
            <v>86.3</v>
          </cell>
          <cell r="E3014">
            <v>98</v>
          </cell>
          <cell r="F3014">
            <v>12.4</v>
          </cell>
          <cell r="G3014">
            <v>195</v>
          </cell>
        </row>
        <row r="3015">
          <cell r="B3015" t="str">
            <v>HW70SP350P10000 KR</v>
          </cell>
          <cell r="C3015"/>
          <cell r="D3015">
            <v>86.3</v>
          </cell>
          <cell r="E3015">
            <v>98</v>
          </cell>
          <cell r="F3015">
            <v>12.4</v>
          </cell>
          <cell r="G3015">
            <v>195</v>
          </cell>
        </row>
        <row r="3016">
          <cell r="B3016" t="str">
            <v>HW70SP352P10000 KR</v>
          </cell>
          <cell r="C3016"/>
          <cell r="D3016">
            <v>86.3</v>
          </cell>
          <cell r="E3016">
            <v>98</v>
          </cell>
          <cell r="F3016">
            <v>12.4</v>
          </cell>
          <cell r="G3016">
            <v>195</v>
          </cell>
        </row>
        <row r="3017">
          <cell r="B3017" t="str">
            <v>HW70SP372P10000 KR</v>
          </cell>
          <cell r="C3017"/>
          <cell r="D3017">
            <v>86.3</v>
          </cell>
          <cell r="E3017">
            <v>98</v>
          </cell>
          <cell r="F3017">
            <v>12.4</v>
          </cell>
          <cell r="G3017">
            <v>195</v>
          </cell>
        </row>
        <row r="3018">
          <cell r="B3018" t="str">
            <v>HW70SP350P09000 KR</v>
          </cell>
          <cell r="C3018"/>
          <cell r="D3018">
            <v>86.3</v>
          </cell>
          <cell r="E3018">
            <v>98</v>
          </cell>
          <cell r="F3018">
            <v>12.4</v>
          </cell>
          <cell r="G3018">
            <v>195</v>
          </cell>
        </row>
        <row r="3019">
          <cell r="B3019" t="str">
            <v>HW60MP010P10000 KR</v>
          </cell>
          <cell r="C3019"/>
          <cell r="D3019">
            <v>86.3</v>
          </cell>
          <cell r="E3019">
            <v>98</v>
          </cell>
          <cell r="F3019">
            <v>12.4</v>
          </cell>
          <cell r="G3019">
            <v>195</v>
          </cell>
        </row>
        <row r="3020">
          <cell r="B3020" t="str">
            <v>HW70AL102P10000 KR</v>
          </cell>
          <cell r="C3020"/>
          <cell r="D3020">
            <v>86.3</v>
          </cell>
          <cell r="E3020">
            <v>98</v>
          </cell>
          <cell r="F3020">
            <v>12.4</v>
          </cell>
          <cell r="G3020">
            <v>195</v>
          </cell>
        </row>
        <row r="3021">
          <cell r="B3021" t="str">
            <v>HW70PB400P10000 KR</v>
          </cell>
          <cell r="C3021"/>
          <cell r="D3021">
            <v>86.3</v>
          </cell>
          <cell r="E3021">
            <v>98</v>
          </cell>
          <cell r="F3021">
            <v>12.4</v>
          </cell>
          <cell r="G3021">
            <v>195</v>
          </cell>
        </row>
        <row r="3022">
          <cell r="B3022" t="str">
            <v>HW70JL402P10000 KR</v>
          </cell>
          <cell r="C3022"/>
          <cell r="D3022">
            <v>86.3</v>
          </cell>
          <cell r="E3022">
            <v>98</v>
          </cell>
          <cell r="F3022">
            <v>12.4</v>
          </cell>
          <cell r="G3022">
            <v>195</v>
          </cell>
        </row>
        <row r="3023">
          <cell r="B3023" t="str">
            <v>HW70JR402P10000 KR</v>
          </cell>
          <cell r="C3023"/>
          <cell r="D3023">
            <v>86.3</v>
          </cell>
          <cell r="E3023">
            <v>98</v>
          </cell>
          <cell r="F3023">
            <v>12.4</v>
          </cell>
          <cell r="G3023">
            <v>195</v>
          </cell>
        </row>
        <row r="3024">
          <cell r="B3024" t="str">
            <v>HW70JR500P10000 KR</v>
          </cell>
          <cell r="C3024"/>
          <cell r="D3024">
            <v>86.3</v>
          </cell>
          <cell r="E3024">
            <v>98</v>
          </cell>
          <cell r="F3024">
            <v>12.4</v>
          </cell>
          <cell r="G3024">
            <v>195</v>
          </cell>
        </row>
        <row r="3025">
          <cell r="B3025" t="str">
            <v>HW70JR350P09000 KR</v>
          </cell>
          <cell r="C3025"/>
          <cell r="D3025">
            <v>86.3</v>
          </cell>
          <cell r="E3025">
            <v>98</v>
          </cell>
          <cell r="F3025">
            <v>12.4</v>
          </cell>
          <cell r="G3025">
            <v>195</v>
          </cell>
        </row>
        <row r="3026">
          <cell r="B3026" t="str">
            <v>TLS150-16SR JP</v>
          </cell>
          <cell r="C3026"/>
          <cell r="D3026">
            <v>40</v>
          </cell>
          <cell r="E3026">
            <v>160</v>
          </cell>
          <cell r="F3026">
            <v>8.3000000000000007</v>
          </cell>
          <cell r="G3026">
            <v>166</v>
          </cell>
        </row>
        <row r="3027">
          <cell r="B3027" t="str">
            <v>TLS105-16SR JP</v>
          </cell>
          <cell r="C3027"/>
          <cell r="D3027">
            <v>40</v>
          </cell>
          <cell r="E3027">
            <v>160</v>
          </cell>
          <cell r="F3027">
            <v>8.3000000000000007</v>
          </cell>
          <cell r="G3027">
            <v>166</v>
          </cell>
        </row>
        <row r="3028">
          <cell r="B3028" t="str">
            <v>TLS105-16YR JP</v>
          </cell>
          <cell r="C3028"/>
          <cell r="D3028">
            <v>40</v>
          </cell>
          <cell r="E3028">
            <v>160</v>
          </cell>
          <cell r="F3028">
            <v>8.3000000000000007</v>
          </cell>
          <cell r="G3028">
            <v>166</v>
          </cell>
        </row>
        <row r="3029">
          <cell r="B3029" t="str">
            <v>TLS150-16YR JP</v>
          </cell>
          <cell r="C3029"/>
          <cell r="D3029">
            <v>40</v>
          </cell>
          <cell r="E3029">
            <v>160</v>
          </cell>
          <cell r="F3029">
            <v>8.3000000000000007</v>
          </cell>
          <cell r="G3029">
            <v>166</v>
          </cell>
        </row>
        <row r="3030">
          <cell r="B3030" t="str">
            <v>MST45A-18PWSSFR JP</v>
          </cell>
          <cell r="C3030"/>
          <cell r="D3030">
            <v>37.5</v>
          </cell>
          <cell r="E3030">
            <v>64.5</v>
          </cell>
          <cell r="F3030">
            <v>8.3000000000000007</v>
          </cell>
          <cell r="G3030">
            <v>166</v>
          </cell>
        </row>
        <row r="3031">
          <cell r="B3031" t="str">
            <v>2009051_Masters HF CN</v>
          </cell>
          <cell r="C3031"/>
          <cell r="D3031">
            <v>27.7</v>
          </cell>
          <cell r="E3031">
            <v>121.2</v>
          </cell>
          <cell r="F3031">
            <v>8.3000000000000007</v>
          </cell>
          <cell r="G3031">
            <v>12.6</v>
          </cell>
        </row>
        <row r="3032">
          <cell r="B3032" t="str">
            <v>AG149001 NOCE</v>
          </cell>
          <cell r="C3032"/>
          <cell r="D3032">
            <v>21</v>
          </cell>
          <cell r="E3032">
            <v>88</v>
          </cell>
          <cell r="F3032">
            <v>32</v>
          </cell>
          <cell r="G3032">
            <v>43</v>
          </cell>
        </row>
        <row r="3033">
          <cell r="B3033" t="str">
            <v>AHW10S302S NO CE</v>
          </cell>
          <cell r="C3033"/>
          <cell r="D3033">
            <v>21</v>
          </cell>
          <cell r="E3033">
            <v>92.6</v>
          </cell>
          <cell r="F3033">
            <v>20</v>
          </cell>
          <cell r="G3033">
            <v>43</v>
          </cell>
        </row>
        <row r="3034">
          <cell r="B3034" t="str">
            <v>TLS105-16ASR JP</v>
          </cell>
          <cell r="C3034"/>
          <cell r="D3034">
            <v>40</v>
          </cell>
          <cell r="E3034">
            <v>160</v>
          </cell>
          <cell r="F3034">
            <v>8.3000000000000007</v>
          </cell>
          <cell r="G3034">
            <v>166</v>
          </cell>
        </row>
        <row r="3035">
          <cell r="B3035" t="str">
            <v>TLS125-16AYR JP</v>
          </cell>
          <cell r="C3035"/>
          <cell r="D3035">
            <v>40</v>
          </cell>
          <cell r="E3035">
            <v>160</v>
          </cell>
          <cell r="F3035">
            <v>8.3000000000000007</v>
          </cell>
          <cell r="G3035">
            <v>166</v>
          </cell>
        </row>
        <row r="3036">
          <cell r="B3036" t="str">
            <v>TLS125-16YR JP</v>
          </cell>
          <cell r="C3036"/>
          <cell r="D3036">
            <v>40</v>
          </cell>
          <cell r="E3036">
            <v>160</v>
          </cell>
          <cell r="F3036">
            <v>8.3000000000000007</v>
          </cell>
          <cell r="G3036">
            <v>166</v>
          </cell>
        </row>
        <row r="3037">
          <cell r="B3037" t="str">
            <v>TES0018S US</v>
          </cell>
          <cell r="C3037"/>
          <cell r="D3037">
            <v>22</v>
          </cell>
          <cell r="E3037">
            <v>93</v>
          </cell>
          <cell r="F3037">
            <v>20</v>
          </cell>
          <cell r="G3037">
            <v>115</v>
          </cell>
        </row>
        <row r="3038">
          <cell r="B3038" t="str">
            <v>TES0025S US</v>
          </cell>
          <cell r="C3038"/>
          <cell r="D3038">
            <v>22</v>
          </cell>
          <cell r="E3038">
            <v>93</v>
          </cell>
          <cell r="F3038">
            <v>20</v>
          </cell>
          <cell r="G3038">
            <v>115</v>
          </cell>
        </row>
        <row r="3039">
          <cell r="B3039" t="str">
            <v>E0018450AG-2 US</v>
          </cell>
          <cell r="C3039"/>
          <cell r="D3039">
            <v>56</v>
          </cell>
          <cell r="E3039">
            <v>207</v>
          </cell>
          <cell r="F3039"/>
          <cell r="G3039">
            <v>172</v>
          </cell>
        </row>
        <row r="3040">
          <cell r="B3040" t="str">
            <v>2009009 VELOUTE</v>
          </cell>
          <cell r="C3040"/>
          <cell r="D3040">
            <v>27.7</v>
          </cell>
          <cell r="E3040">
            <v>120.3</v>
          </cell>
          <cell r="F3040">
            <v>8.3000000000000007</v>
          </cell>
          <cell r="G3040">
            <v>12.6</v>
          </cell>
        </row>
        <row r="3041">
          <cell r="B3041" t="str">
            <v>TLS125-16SSLR JP</v>
          </cell>
          <cell r="C3041"/>
          <cell r="D3041">
            <v>40</v>
          </cell>
          <cell r="E3041">
            <v>160</v>
          </cell>
          <cell r="F3041">
            <v>8.3000000000000007</v>
          </cell>
          <cell r="G3041">
            <v>166</v>
          </cell>
        </row>
        <row r="3042">
          <cell r="B3042" t="str">
            <v>HW70JL400P09000 KR</v>
          </cell>
          <cell r="C3042"/>
          <cell r="D3042">
            <v>86.3</v>
          </cell>
          <cell r="E3042">
            <v>98</v>
          </cell>
          <cell r="F3042">
            <v>12.4</v>
          </cell>
          <cell r="G3042">
            <v>195</v>
          </cell>
        </row>
        <row r="3043">
          <cell r="B3043" t="str">
            <v>HW80JL402P10000 KR</v>
          </cell>
          <cell r="C3043"/>
          <cell r="D3043">
            <v>86.3</v>
          </cell>
          <cell r="E3043">
            <v>98</v>
          </cell>
          <cell r="F3043">
            <v>12.4</v>
          </cell>
          <cell r="G3043">
            <v>195</v>
          </cell>
        </row>
        <row r="3044">
          <cell r="B3044" t="str">
            <v>HW70AR200P10000 KR</v>
          </cell>
          <cell r="C3044"/>
          <cell r="D3044">
            <v>86.3</v>
          </cell>
          <cell r="E3044">
            <v>98</v>
          </cell>
          <cell r="F3044">
            <v>12.4</v>
          </cell>
          <cell r="G3044">
            <v>195</v>
          </cell>
        </row>
        <row r="3045">
          <cell r="B3045" t="str">
            <v>HW70IM000P10000 KR</v>
          </cell>
          <cell r="C3045"/>
          <cell r="D3045">
            <v>86.3</v>
          </cell>
          <cell r="E3045">
            <v>98</v>
          </cell>
          <cell r="F3045">
            <v>12.4</v>
          </cell>
          <cell r="G3045">
            <v>195</v>
          </cell>
        </row>
        <row r="3046">
          <cell r="B3046" t="str">
            <v>HW70JL350P09000 KR</v>
          </cell>
          <cell r="C3046"/>
          <cell r="D3046">
            <v>86.3</v>
          </cell>
          <cell r="E3046">
            <v>98</v>
          </cell>
          <cell r="F3046">
            <v>12.4</v>
          </cell>
          <cell r="G3046">
            <v>195</v>
          </cell>
        </row>
        <row r="3047">
          <cell r="B3047" t="str">
            <v>HW70AR100P10000 KR</v>
          </cell>
          <cell r="C3047"/>
          <cell r="D3047">
            <v>86.3</v>
          </cell>
          <cell r="E3047">
            <v>98</v>
          </cell>
          <cell r="F3047">
            <v>12.4</v>
          </cell>
          <cell r="G3047">
            <v>195</v>
          </cell>
        </row>
        <row r="3048">
          <cell r="B3048" t="str">
            <v>HW70AL070P10002 KR</v>
          </cell>
          <cell r="C3048"/>
          <cell r="D3048">
            <v>86.3</v>
          </cell>
          <cell r="E3048">
            <v>98</v>
          </cell>
          <cell r="F3048">
            <v>12.4</v>
          </cell>
          <cell r="G3048">
            <v>195</v>
          </cell>
        </row>
        <row r="3049">
          <cell r="B3049" t="str">
            <v>HW70JR400P09000 NOCE</v>
          </cell>
          <cell r="C3049"/>
          <cell r="D3049">
            <v>21</v>
          </cell>
          <cell r="E3049">
            <v>92.6</v>
          </cell>
          <cell r="F3049">
            <v>20</v>
          </cell>
          <cell r="G3049">
            <v>43</v>
          </cell>
        </row>
        <row r="3050">
          <cell r="B3050" t="str">
            <v>HW60JR402P10000 NOCE</v>
          </cell>
          <cell r="C3050"/>
          <cell r="D3050">
            <v>21</v>
          </cell>
          <cell r="E3050">
            <v>92.6</v>
          </cell>
          <cell r="F3050">
            <v>20</v>
          </cell>
          <cell r="G3050">
            <v>43</v>
          </cell>
        </row>
        <row r="3051">
          <cell r="B3051" t="str">
            <v>HW70JR400P10000 NOCE</v>
          </cell>
          <cell r="C3051"/>
          <cell r="D3051">
            <v>21</v>
          </cell>
          <cell r="E3051">
            <v>92.6</v>
          </cell>
          <cell r="F3051">
            <v>20</v>
          </cell>
          <cell r="G3051">
            <v>43</v>
          </cell>
        </row>
        <row r="3052">
          <cell r="B3052" t="str">
            <v>HW60AL200P10000 NOCE</v>
          </cell>
          <cell r="C3052"/>
          <cell r="D3052">
            <v>21</v>
          </cell>
          <cell r="E3052">
            <v>92.6</v>
          </cell>
          <cell r="F3052">
            <v>20</v>
          </cell>
          <cell r="G3052">
            <v>43</v>
          </cell>
        </row>
        <row r="3053">
          <cell r="B3053" t="str">
            <v>HW60JR350P10000 NOCE</v>
          </cell>
          <cell r="C3053"/>
          <cell r="D3053">
            <v>21</v>
          </cell>
          <cell r="E3053">
            <v>92.6</v>
          </cell>
          <cell r="F3053">
            <v>20</v>
          </cell>
          <cell r="G3053">
            <v>43</v>
          </cell>
        </row>
        <row r="3054">
          <cell r="B3054" t="str">
            <v>HW60JL400P10000 NOCE</v>
          </cell>
          <cell r="C3054"/>
          <cell r="D3054">
            <v>21</v>
          </cell>
          <cell r="E3054">
            <v>92.6</v>
          </cell>
          <cell r="F3054">
            <v>20</v>
          </cell>
          <cell r="G3054">
            <v>43</v>
          </cell>
        </row>
        <row r="3055">
          <cell r="B3055" t="str">
            <v>HW70JL400P10000 NOCE</v>
          </cell>
          <cell r="C3055"/>
          <cell r="D3055">
            <v>21</v>
          </cell>
          <cell r="E3055">
            <v>92.6</v>
          </cell>
          <cell r="F3055">
            <v>20</v>
          </cell>
          <cell r="G3055">
            <v>43</v>
          </cell>
        </row>
        <row r="3056">
          <cell r="B3056" t="str">
            <v>HW80JR402P10000 NOCE</v>
          </cell>
          <cell r="C3056"/>
          <cell r="D3056">
            <v>21</v>
          </cell>
          <cell r="E3056">
            <v>92.6</v>
          </cell>
          <cell r="F3056">
            <v>20</v>
          </cell>
          <cell r="G3056">
            <v>43</v>
          </cell>
        </row>
        <row r="3057">
          <cell r="B3057" t="str">
            <v>HW60IM000P10000 NOCE</v>
          </cell>
          <cell r="C3057"/>
          <cell r="D3057">
            <v>21</v>
          </cell>
          <cell r="E3057">
            <v>92.6</v>
          </cell>
          <cell r="F3057">
            <v>20</v>
          </cell>
          <cell r="G3057">
            <v>43</v>
          </cell>
        </row>
        <row r="3058">
          <cell r="B3058" t="str">
            <v>HW60MP010P10000 NOCE</v>
          </cell>
          <cell r="C3058"/>
          <cell r="D3058">
            <v>21</v>
          </cell>
          <cell r="E3058">
            <v>92.6</v>
          </cell>
          <cell r="F3058">
            <v>20</v>
          </cell>
          <cell r="G3058">
            <v>43</v>
          </cell>
        </row>
        <row r="3059">
          <cell r="B3059" t="str">
            <v>HW80AL070P10000 NOCE</v>
          </cell>
          <cell r="C3059"/>
          <cell r="D3059">
            <v>21</v>
          </cell>
          <cell r="E3059">
            <v>92.6</v>
          </cell>
          <cell r="F3059">
            <v>20</v>
          </cell>
          <cell r="G3059">
            <v>43</v>
          </cell>
        </row>
        <row r="3060">
          <cell r="B3060" t="str">
            <v>HW80AL100P10000 NOCE</v>
          </cell>
          <cell r="C3060"/>
          <cell r="D3060">
            <v>21</v>
          </cell>
          <cell r="E3060">
            <v>92.6</v>
          </cell>
          <cell r="F3060">
            <v>20</v>
          </cell>
          <cell r="G3060">
            <v>43</v>
          </cell>
        </row>
        <row r="3061">
          <cell r="B3061" t="str">
            <v>HW70AL070P10000 NOCE</v>
          </cell>
          <cell r="C3061"/>
          <cell r="D3061">
            <v>21</v>
          </cell>
          <cell r="E3061">
            <v>92.6</v>
          </cell>
          <cell r="F3061">
            <v>20</v>
          </cell>
          <cell r="G3061">
            <v>43</v>
          </cell>
        </row>
        <row r="3062">
          <cell r="B3062" t="str">
            <v>HW80SP352P10000 NOCE</v>
          </cell>
          <cell r="C3062"/>
          <cell r="D3062">
            <v>21</v>
          </cell>
          <cell r="E3062">
            <v>92.6</v>
          </cell>
          <cell r="F3062">
            <v>20</v>
          </cell>
          <cell r="G3062">
            <v>43</v>
          </cell>
        </row>
        <row r="3063">
          <cell r="B3063" t="str">
            <v>HW60PB350P10000 NOCE</v>
          </cell>
          <cell r="C3063"/>
          <cell r="D3063">
            <v>21</v>
          </cell>
          <cell r="E3063">
            <v>92.6</v>
          </cell>
          <cell r="F3063">
            <v>20</v>
          </cell>
          <cell r="G3063">
            <v>43</v>
          </cell>
        </row>
        <row r="3064">
          <cell r="B3064" t="str">
            <v>HW70SP352P09000 KR</v>
          </cell>
          <cell r="C3064"/>
          <cell r="D3064">
            <v>86.3</v>
          </cell>
          <cell r="E3064">
            <v>98</v>
          </cell>
          <cell r="F3064">
            <v>12.4</v>
          </cell>
          <cell r="G3064">
            <v>195</v>
          </cell>
        </row>
        <row r="3065">
          <cell r="B3065" t="str">
            <v>HW70SP402P09000 KR</v>
          </cell>
          <cell r="C3065"/>
          <cell r="D3065">
            <v>86.3</v>
          </cell>
          <cell r="E3065">
            <v>98</v>
          </cell>
          <cell r="F3065">
            <v>12.4</v>
          </cell>
          <cell r="G3065">
            <v>195</v>
          </cell>
        </row>
        <row r="3066">
          <cell r="B3066" t="str">
            <v>HW70PB402P10000 KR</v>
          </cell>
          <cell r="C3066"/>
          <cell r="D3066">
            <v>86.3</v>
          </cell>
          <cell r="E3066">
            <v>98</v>
          </cell>
          <cell r="F3066">
            <v>12.4</v>
          </cell>
          <cell r="G3066">
            <v>195</v>
          </cell>
        </row>
        <row r="3067">
          <cell r="B3067" t="str">
            <v>HW70SP350P10000 NOCE</v>
          </cell>
          <cell r="C3067"/>
          <cell r="D3067">
            <v>86.3</v>
          </cell>
          <cell r="E3067">
            <v>98</v>
          </cell>
          <cell r="F3067">
            <v>12.4</v>
          </cell>
          <cell r="G3067">
            <v>195</v>
          </cell>
        </row>
        <row r="3068">
          <cell r="B3068" t="str">
            <v>HW60SP350P10000 NOCE</v>
          </cell>
          <cell r="C3068"/>
          <cell r="D3068">
            <v>86.3</v>
          </cell>
          <cell r="E3068">
            <v>98</v>
          </cell>
          <cell r="F3068">
            <v>12.4</v>
          </cell>
          <cell r="G3068">
            <v>195</v>
          </cell>
        </row>
        <row r="3069">
          <cell r="B3069" t="str">
            <v>HW60PB300P10000 NOCE</v>
          </cell>
          <cell r="C3069"/>
          <cell r="D3069">
            <v>86.3</v>
          </cell>
          <cell r="E3069">
            <v>98</v>
          </cell>
          <cell r="F3069">
            <v>12.4</v>
          </cell>
          <cell r="G3069">
            <v>195</v>
          </cell>
        </row>
        <row r="3070">
          <cell r="B3070" t="str">
            <v>HW60SP370P10000 NOCE</v>
          </cell>
          <cell r="C3070"/>
          <cell r="D3070">
            <v>86.3</v>
          </cell>
          <cell r="E3070">
            <v>98</v>
          </cell>
          <cell r="F3070">
            <v>12.4</v>
          </cell>
          <cell r="G3070">
            <v>195</v>
          </cell>
        </row>
        <row r="3071">
          <cell r="B3071" t="str">
            <v>LPM01830S US</v>
          </cell>
          <cell r="C3071"/>
          <cell r="D3071">
            <v>27.5</v>
          </cell>
          <cell r="E3071">
            <v>60.9</v>
          </cell>
          <cell r="F3071">
            <v>8.3000000000000007</v>
          </cell>
          <cell r="G3071">
            <v>71.3</v>
          </cell>
        </row>
        <row r="3072">
          <cell r="B3072" t="str">
            <v>AIN-CNX-14-215P US</v>
          </cell>
          <cell r="C3072"/>
          <cell r="D3072">
            <v>35</v>
          </cell>
          <cell r="E3072">
            <v>62.6</v>
          </cell>
          <cell r="F3072">
            <v>8.3000000000000007</v>
          </cell>
          <cell r="G3072">
            <v>127</v>
          </cell>
        </row>
        <row r="3073">
          <cell r="B3073" t="str">
            <v>AIN-CNX-14-215 US</v>
          </cell>
          <cell r="C3073"/>
          <cell r="D3073">
            <v>35</v>
          </cell>
          <cell r="E3073">
            <v>62.6</v>
          </cell>
          <cell r="F3073">
            <v>8.3000000000000007</v>
          </cell>
          <cell r="G3073">
            <v>127</v>
          </cell>
        </row>
        <row r="3074">
          <cell r="B3074" t="str">
            <v>WAMS-165-1645 NOCE</v>
          </cell>
          <cell r="C3074"/>
          <cell r="D3074">
            <v>35</v>
          </cell>
          <cell r="E3074">
            <v>72.2</v>
          </cell>
          <cell r="F3074">
            <v>8.3000000000000007</v>
          </cell>
          <cell r="G3074">
            <v>111.3</v>
          </cell>
        </row>
        <row r="3075">
          <cell r="B3075" t="str">
            <v>WAMS-165-16ST NOCE</v>
          </cell>
          <cell r="C3075"/>
          <cell r="D3075">
            <v>35</v>
          </cell>
          <cell r="E3075">
            <v>72.2</v>
          </cell>
          <cell r="F3075">
            <v>8.3000000000000007</v>
          </cell>
          <cell r="G3075">
            <v>111.3</v>
          </cell>
        </row>
        <row r="3076">
          <cell r="B3076" t="str">
            <v>HW60AR100P10000 NOCE</v>
          </cell>
          <cell r="C3076"/>
          <cell r="D3076">
            <v>21</v>
          </cell>
          <cell r="E3076">
            <v>92.6</v>
          </cell>
          <cell r="F3076">
            <v>20</v>
          </cell>
          <cell r="G3076">
            <v>43</v>
          </cell>
        </row>
        <row r="3077">
          <cell r="B3077" t="str">
            <v>HW60RB070P10000 NOCE</v>
          </cell>
          <cell r="C3077"/>
          <cell r="D3077">
            <v>21</v>
          </cell>
          <cell r="E3077">
            <v>92.6</v>
          </cell>
          <cell r="F3077">
            <v>20</v>
          </cell>
          <cell r="G3077">
            <v>43</v>
          </cell>
        </row>
        <row r="3078">
          <cell r="B3078" t="str">
            <v>HW60PB400P10000 NOCE</v>
          </cell>
          <cell r="C3078"/>
          <cell r="D3078">
            <v>21</v>
          </cell>
          <cell r="E3078">
            <v>92.6</v>
          </cell>
          <cell r="F3078">
            <v>20</v>
          </cell>
          <cell r="G3078">
            <v>43</v>
          </cell>
        </row>
        <row r="3079">
          <cell r="B3079" t="str">
            <v>HW70SP402P10000 KR</v>
          </cell>
          <cell r="C3079"/>
          <cell r="D3079">
            <v>86.3</v>
          </cell>
          <cell r="E3079">
            <v>98</v>
          </cell>
          <cell r="F3079">
            <v>12.4</v>
          </cell>
          <cell r="G3079">
            <v>195</v>
          </cell>
        </row>
        <row r="3080">
          <cell r="B3080" t="str">
            <v>HW60PB300P10000 KR</v>
          </cell>
          <cell r="C3080"/>
          <cell r="D3080">
            <v>86.3</v>
          </cell>
          <cell r="E3080">
            <v>98</v>
          </cell>
          <cell r="F3080">
            <v>12.4</v>
          </cell>
          <cell r="G3080">
            <v>195</v>
          </cell>
        </row>
        <row r="3081">
          <cell r="B3081" t="str">
            <v>HW60AL100P10000 NOCE</v>
          </cell>
          <cell r="C3081"/>
          <cell r="D3081">
            <v>21</v>
          </cell>
          <cell r="E3081">
            <v>92.6</v>
          </cell>
          <cell r="F3081">
            <v>20</v>
          </cell>
          <cell r="G3081">
            <v>43</v>
          </cell>
        </row>
        <row r="3082">
          <cell r="B3082" t="str">
            <v>AIN-FBK-6SR JP</v>
          </cell>
          <cell r="C3082"/>
          <cell r="D3082">
            <v>86.3</v>
          </cell>
          <cell r="E3082">
            <v>98</v>
          </cell>
          <cell r="F3082">
            <v>12.4</v>
          </cell>
          <cell r="G3082">
            <v>195</v>
          </cell>
        </row>
        <row r="3083">
          <cell r="B3083" t="str">
            <v>AIN-FBK-4SDR JP</v>
          </cell>
          <cell r="C3083"/>
          <cell r="D3083"/>
          <cell r="E3083"/>
          <cell r="F3083"/>
          <cell r="G3083"/>
        </row>
        <row r="3084">
          <cell r="B3084" t="str">
            <v>HW70AL100P10000 NOCE</v>
          </cell>
          <cell r="C3084"/>
          <cell r="D3084">
            <v>21</v>
          </cell>
          <cell r="E3084">
            <v>92.6</v>
          </cell>
          <cell r="F3084">
            <v>20</v>
          </cell>
          <cell r="G3084">
            <v>43</v>
          </cell>
        </row>
        <row r="3085">
          <cell r="B3085" t="str">
            <v>HW60JR400P10000 NOCE</v>
          </cell>
          <cell r="C3085"/>
          <cell r="D3085">
            <v>21</v>
          </cell>
          <cell r="E3085">
            <v>92.6</v>
          </cell>
          <cell r="F3085">
            <v>20</v>
          </cell>
          <cell r="G3085">
            <v>43</v>
          </cell>
        </row>
        <row r="3086">
          <cell r="B3086" t="str">
            <v>HW70AL100P10002 KR</v>
          </cell>
          <cell r="C3086"/>
          <cell r="D3086">
            <v>86.3</v>
          </cell>
          <cell r="E3086">
            <v>98</v>
          </cell>
          <cell r="F3086">
            <v>12.4</v>
          </cell>
          <cell r="G3086">
            <v>195</v>
          </cell>
        </row>
        <row r="3087">
          <cell r="B3087" t="str">
            <v>HW60RB100P10000 NOCE</v>
          </cell>
          <cell r="C3087"/>
          <cell r="D3087">
            <v>21</v>
          </cell>
          <cell r="E3087">
            <v>92.6</v>
          </cell>
          <cell r="F3087">
            <v>20</v>
          </cell>
          <cell r="G3087">
            <v>43</v>
          </cell>
        </row>
        <row r="3088">
          <cell r="B3088" t="str">
            <v>HW60RB102P10000 KR</v>
          </cell>
          <cell r="C3088"/>
          <cell r="D3088">
            <v>86.3</v>
          </cell>
          <cell r="E3088">
            <v>98</v>
          </cell>
          <cell r="F3088">
            <v>12.4</v>
          </cell>
          <cell r="G3088">
            <v>195</v>
          </cell>
        </row>
        <row r="3089">
          <cell r="B3089" t="str">
            <v>HW60AL200P10000 KR</v>
          </cell>
          <cell r="C3089"/>
          <cell r="D3089">
            <v>86.3</v>
          </cell>
          <cell r="E3089">
            <v>98</v>
          </cell>
          <cell r="F3089">
            <v>12.4</v>
          </cell>
          <cell r="G3089">
            <v>195</v>
          </cell>
        </row>
        <row r="3090">
          <cell r="B3090" t="str">
            <v>HW70SP352P10000 NOCE</v>
          </cell>
          <cell r="C3090"/>
          <cell r="D3090">
            <v>21</v>
          </cell>
          <cell r="E3090">
            <v>92.6</v>
          </cell>
          <cell r="F3090">
            <v>20</v>
          </cell>
          <cell r="G3090">
            <v>43</v>
          </cell>
        </row>
        <row r="3091">
          <cell r="B3091" t="str">
            <v>HW70JL350P10000 NOCE</v>
          </cell>
          <cell r="C3091"/>
          <cell r="D3091">
            <v>21</v>
          </cell>
          <cell r="E3091">
            <v>92.6</v>
          </cell>
          <cell r="F3091">
            <v>20</v>
          </cell>
          <cell r="G3091">
            <v>43</v>
          </cell>
        </row>
        <row r="3092">
          <cell r="B3092" t="str">
            <v>HW70JL350P10000 NOCE</v>
          </cell>
          <cell r="C3092"/>
          <cell r="D3092">
            <v>21</v>
          </cell>
          <cell r="E3092">
            <v>92.6</v>
          </cell>
          <cell r="F3092">
            <v>20</v>
          </cell>
          <cell r="G3092">
            <v>43</v>
          </cell>
        </row>
        <row r="3093">
          <cell r="B3093" t="str">
            <v>HW60AL070P10002 NOCE</v>
          </cell>
          <cell r="C3093"/>
          <cell r="D3093">
            <v>21</v>
          </cell>
          <cell r="E3093">
            <v>92.6</v>
          </cell>
          <cell r="F3093">
            <v>20</v>
          </cell>
          <cell r="G3093">
            <v>43</v>
          </cell>
        </row>
        <row r="3094">
          <cell r="B3094" t="str">
            <v>HW60JL350P10000 NOCE</v>
          </cell>
          <cell r="C3094"/>
          <cell r="D3094">
            <v>21</v>
          </cell>
          <cell r="E3094">
            <v>92.6</v>
          </cell>
          <cell r="F3094">
            <v>20</v>
          </cell>
          <cell r="G3094">
            <v>43</v>
          </cell>
        </row>
        <row r="3095">
          <cell r="B3095" t="str">
            <v>AHW14R301J CE4</v>
          </cell>
          <cell r="C3095"/>
          <cell r="D3095">
            <v>21</v>
          </cell>
          <cell r="E3095">
            <v>92.6</v>
          </cell>
          <cell r="F3095">
            <v>20</v>
          </cell>
          <cell r="G3095">
            <v>43</v>
          </cell>
        </row>
        <row r="3096">
          <cell r="B3096" t="str">
            <v>SJ3035N22S JP</v>
          </cell>
          <cell r="C3096"/>
          <cell r="D3096">
            <v>21.9</v>
          </cell>
          <cell r="E3096">
            <v>117.9</v>
          </cell>
          <cell r="F3096">
            <v>20</v>
          </cell>
          <cell r="G3096">
            <v>76</v>
          </cell>
        </row>
        <row r="3097">
          <cell r="B3097" t="str">
            <v>SA0035N20S JP</v>
          </cell>
          <cell r="C3097"/>
          <cell r="D3097">
            <v>21.9</v>
          </cell>
          <cell r="E3097">
            <v>117.9</v>
          </cell>
          <cell r="F3097">
            <v>20</v>
          </cell>
          <cell r="G3097">
            <v>76</v>
          </cell>
        </row>
        <row r="3098">
          <cell r="B3098" t="str">
            <v>SJ3035N20S JP</v>
          </cell>
          <cell r="C3098"/>
          <cell r="D3098">
            <v>21.9</v>
          </cell>
          <cell r="E3098">
            <v>117.9</v>
          </cell>
          <cell r="F3098">
            <v>20</v>
          </cell>
          <cell r="G3098">
            <v>76</v>
          </cell>
        </row>
        <row r="3099">
          <cell r="B3099" t="str">
            <v>APW14R010S NOCE</v>
          </cell>
          <cell r="C3099"/>
          <cell r="D3099">
            <v>21</v>
          </cell>
          <cell r="E3099">
            <v>91.6</v>
          </cell>
          <cell r="F3099">
            <v>22</v>
          </cell>
          <cell r="G3099">
            <v>60</v>
          </cell>
        </row>
        <row r="3100">
          <cell r="B3100" t="str">
            <v>HW70JR350P10000 NOCE</v>
          </cell>
          <cell r="C3100"/>
          <cell r="D3100">
            <v>21</v>
          </cell>
          <cell r="E3100">
            <v>92.6</v>
          </cell>
          <cell r="F3100">
            <v>20</v>
          </cell>
          <cell r="G3100">
            <v>43</v>
          </cell>
        </row>
        <row r="3101">
          <cell r="B3101" t="str">
            <v>HW60PB402P10000 KR</v>
          </cell>
          <cell r="C3101"/>
          <cell r="D3101">
            <v>86.3</v>
          </cell>
          <cell r="E3101">
            <v>98</v>
          </cell>
          <cell r="F3101">
            <v>12.4</v>
          </cell>
          <cell r="G3101">
            <v>195</v>
          </cell>
        </row>
        <row r="3102">
          <cell r="B3102" t="str">
            <v>HJ60IM002P10030 JP</v>
          </cell>
          <cell r="C3102"/>
          <cell r="D3102">
            <v>56</v>
          </cell>
          <cell r="E3102">
            <v>234</v>
          </cell>
          <cell r="F3102">
            <v>32</v>
          </cell>
          <cell r="G3102">
            <v>289</v>
          </cell>
        </row>
        <row r="3103">
          <cell r="B3103" t="str">
            <v>HW60SP400P10000 KR</v>
          </cell>
          <cell r="C3103"/>
          <cell r="D3103">
            <v>86.3</v>
          </cell>
          <cell r="E3103">
            <v>98</v>
          </cell>
          <cell r="F3103">
            <v>12.4</v>
          </cell>
          <cell r="G3103">
            <v>195</v>
          </cell>
        </row>
        <row r="3104">
          <cell r="B3104" t="str">
            <v>HW80AL102P10002 KR</v>
          </cell>
          <cell r="C3104"/>
          <cell r="D3104">
            <v>86.3</v>
          </cell>
          <cell r="E3104">
            <v>98</v>
          </cell>
          <cell r="F3104">
            <v>12.4</v>
          </cell>
          <cell r="G3104">
            <v>195</v>
          </cell>
        </row>
        <row r="3105">
          <cell r="B3105" t="str">
            <v>HW70JR350P10000 KR</v>
          </cell>
          <cell r="C3105"/>
          <cell r="D3105">
            <v>86.3</v>
          </cell>
          <cell r="E3105">
            <v>98</v>
          </cell>
          <cell r="F3105">
            <v>12.4</v>
          </cell>
          <cell r="G3105">
            <v>195</v>
          </cell>
        </row>
        <row r="3106">
          <cell r="B3106" t="str">
            <v>HW70AL072P10002 KR</v>
          </cell>
          <cell r="C3106"/>
          <cell r="D3106">
            <v>86.3</v>
          </cell>
          <cell r="E3106">
            <v>98</v>
          </cell>
          <cell r="F3106">
            <v>12.4</v>
          </cell>
          <cell r="G3106">
            <v>195</v>
          </cell>
        </row>
        <row r="3107">
          <cell r="B3107" t="str">
            <v>HW70AL202P10000 KR</v>
          </cell>
          <cell r="C3107"/>
          <cell r="D3107">
            <v>86.3</v>
          </cell>
          <cell r="E3107">
            <v>98</v>
          </cell>
          <cell r="F3107">
            <v>12.4</v>
          </cell>
          <cell r="G3107">
            <v>195</v>
          </cell>
        </row>
        <row r="3108">
          <cell r="B3108" t="str">
            <v>HW60JL500P10000 KR</v>
          </cell>
          <cell r="C3108"/>
          <cell r="D3108">
            <v>86.3</v>
          </cell>
          <cell r="E3108">
            <v>98</v>
          </cell>
          <cell r="F3108">
            <v>12.4</v>
          </cell>
          <cell r="G3108">
            <v>195</v>
          </cell>
        </row>
        <row r="3109">
          <cell r="B3109" t="str">
            <v>HW70RB102P10000 KR</v>
          </cell>
          <cell r="C3109"/>
          <cell r="D3109">
            <v>86.3</v>
          </cell>
          <cell r="E3109">
            <v>98</v>
          </cell>
          <cell r="F3109">
            <v>12.4</v>
          </cell>
          <cell r="G3109">
            <v>195</v>
          </cell>
        </row>
        <row r="3110">
          <cell r="B3110" t="str">
            <v>HW60SC350P10000 NOCE</v>
          </cell>
          <cell r="C3110"/>
          <cell r="D3110">
            <v>21</v>
          </cell>
          <cell r="E3110">
            <v>92.6</v>
          </cell>
          <cell r="F3110">
            <v>20</v>
          </cell>
          <cell r="G3110">
            <v>43</v>
          </cell>
        </row>
        <row r="3111">
          <cell r="B3111" t="str">
            <v>HW70SP370P10000 NOCE</v>
          </cell>
          <cell r="C3111"/>
          <cell r="D3111">
            <v>21</v>
          </cell>
          <cell r="E3111">
            <v>92.6</v>
          </cell>
          <cell r="F3111">
            <v>20</v>
          </cell>
          <cell r="G3111">
            <v>43</v>
          </cell>
        </row>
        <row r="3112">
          <cell r="B3112" t="str">
            <v>SA0035N26S JP</v>
          </cell>
          <cell r="C3112"/>
          <cell r="D3112">
            <v>21.9</v>
          </cell>
          <cell r="E3112">
            <v>117.9</v>
          </cell>
          <cell r="F3112">
            <v>20</v>
          </cell>
          <cell r="G3112">
            <v>76</v>
          </cell>
        </row>
        <row r="3113">
          <cell r="B3113" t="str">
            <v>SJ3035N30S JP</v>
          </cell>
          <cell r="C3113"/>
          <cell r="D3113">
            <v>21.9</v>
          </cell>
          <cell r="E3113">
            <v>117.9</v>
          </cell>
          <cell r="F3113">
            <v>20</v>
          </cell>
          <cell r="G3113">
            <v>76</v>
          </cell>
        </row>
        <row r="3114">
          <cell r="B3114" t="str">
            <v>SA0035N18S JP</v>
          </cell>
          <cell r="C3114"/>
          <cell r="D3114">
            <v>21.9</v>
          </cell>
          <cell r="E3114">
            <v>117.9</v>
          </cell>
          <cell r="F3114">
            <v>20</v>
          </cell>
          <cell r="G3114">
            <v>76</v>
          </cell>
        </row>
        <row r="3115">
          <cell r="B3115" t="str">
            <v>SA0035N22S JP</v>
          </cell>
          <cell r="C3115"/>
          <cell r="D3115">
            <v>21.9</v>
          </cell>
          <cell r="E3115">
            <v>117.9</v>
          </cell>
          <cell r="F3115">
            <v>20</v>
          </cell>
          <cell r="G3115">
            <v>76</v>
          </cell>
        </row>
        <row r="3116">
          <cell r="B3116" t="str">
            <v>SJ3035N26S JP</v>
          </cell>
          <cell r="C3116"/>
          <cell r="D3116">
            <v>21.9</v>
          </cell>
          <cell r="E3116">
            <v>117.9</v>
          </cell>
          <cell r="F3116">
            <v>20</v>
          </cell>
          <cell r="G3116">
            <v>76</v>
          </cell>
        </row>
        <row r="3117">
          <cell r="B3117" t="str">
            <v>SA0035N15S JP</v>
          </cell>
          <cell r="C3117"/>
          <cell r="D3117">
            <v>21.9</v>
          </cell>
          <cell r="E3117">
            <v>117.9</v>
          </cell>
          <cell r="F3117">
            <v>20</v>
          </cell>
          <cell r="G3117">
            <v>76</v>
          </cell>
        </row>
        <row r="3118">
          <cell r="B3118" t="str">
            <v>FI025F45 JP</v>
          </cell>
          <cell r="C3118"/>
          <cell r="D3118">
            <v>33.299999999999997</v>
          </cell>
          <cell r="E3118">
            <v>74.5</v>
          </cell>
          <cell r="F3118">
            <v>8.3000000000000007</v>
          </cell>
          <cell r="G3118">
            <v>137.9</v>
          </cell>
        </row>
        <row r="3119">
          <cell r="B3119" t="str">
            <v>TLS105-16AYR JP</v>
          </cell>
          <cell r="C3119"/>
          <cell r="D3119">
            <v>40</v>
          </cell>
          <cell r="E3119">
            <v>160</v>
          </cell>
          <cell r="F3119">
            <v>8.3000000000000007</v>
          </cell>
          <cell r="G3119">
            <v>166</v>
          </cell>
        </row>
        <row r="3120">
          <cell r="B3120" t="str">
            <v>HW70JL302P10000 KR</v>
          </cell>
          <cell r="C3120"/>
          <cell r="D3120">
            <v>86.3</v>
          </cell>
          <cell r="E3120">
            <v>98</v>
          </cell>
          <cell r="F3120">
            <v>12.4</v>
          </cell>
          <cell r="G3120">
            <v>195</v>
          </cell>
        </row>
        <row r="3121">
          <cell r="B3121" t="str">
            <v>HW70AL200P10000 KR</v>
          </cell>
          <cell r="C3121"/>
          <cell r="D3121">
            <v>86.3</v>
          </cell>
          <cell r="E3121">
            <v>98</v>
          </cell>
          <cell r="F3121">
            <v>12.4</v>
          </cell>
          <cell r="G3121">
            <v>195</v>
          </cell>
        </row>
        <row r="3122">
          <cell r="B3122" t="str">
            <v>HW70AR102P10000 KR</v>
          </cell>
          <cell r="C3122"/>
          <cell r="D3122">
            <v>86.3</v>
          </cell>
          <cell r="E3122">
            <v>98</v>
          </cell>
          <cell r="F3122">
            <v>12.4</v>
          </cell>
          <cell r="G3122">
            <v>195</v>
          </cell>
        </row>
        <row r="3123">
          <cell r="B3123" t="str">
            <v>HW60AR202P10000 KR</v>
          </cell>
          <cell r="C3123"/>
          <cell r="D3123">
            <v>86.3</v>
          </cell>
          <cell r="E3123">
            <v>98</v>
          </cell>
          <cell r="F3123">
            <v>12.4</v>
          </cell>
          <cell r="G3123">
            <v>195</v>
          </cell>
        </row>
        <row r="3124">
          <cell r="B3124" t="str">
            <v>HW70JR352P10000 KR</v>
          </cell>
          <cell r="C3124"/>
          <cell r="D3124">
            <v>86.3</v>
          </cell>
          <cell r="E3124">
            <v>98</v>
          </cell>
          <cell r="F3124">
            <v>12.4</v>
          </cell>
          <cell r="G3124">
            <v>195</v>
          </cell>
        </row>
        <row r="3125">
          <cell r="B3125" t="str">
            <v>HW60JL302P10000 KR</v>
          </cell>
          <cell r="C3125"/>
          <cell r="D3125">
            <v>86.3</v>
          </cell>
          <cell r="E3125">
            <v>98</v>
          </cell>
          <cell r="F3125">
            <v>12.4</v>
          </cell>
          <cell r="G3125">
            <v>195</v>
          </cell>
        </row>
        <row r="3126">
          <cell r="B3126" t="str">
            <v>HW60AL072P10000 KR</v>
          </cell>
          <cell r="C3126"/>
          <cell r="D3126">
            <v>86.3</v>
          </cell>
          <cell r="E3126">
            <v>98</v>
          </cell>
          <cell r="F3126">
            <v>12.4</v>
          </cell>
          <cell r="G3126">
            <v>195</v>
          </cell>
        </row>
        <row r="3127">
          <cell r="B3127" t="str">
            <v>HW60JR352P10000 KR</v>
          </cell>
          <cell r="C3127"/>
          <cell r="D3127">
            <v>86.3</v>
          </cell>
          <cell r="E3127">
            <v>98</v>
          </cell>
          <cell r="F3127">
            <v>12.4</v>
          </cell>
          <cell r="G3127">
            <v>195</v>
          </cell>
        </row>
        <row r="3128">
          <cell r="B3128" t="str">
            <v>HW60AR200P10000 NOCE</v>
          </cell>
          <cell r="C3128"/>
          <cell r="D3128">
            <v>21</v>
          </cell>
          <cell r="E3128">
            <v>92.6</v>
          </cell>
          <cell r="F3128">
            <v>20</v>
          </cell>
          <cell r="G3128">
            <v>43</v>
          </cell>
        </row>
        <row r="3129">
          <cell r="B3129" t="str">
            <v>HW70PB300P10000 KR</v>
          </cell>
          <cell r="C3129"/>
          <cell r="D3129">
            <v>86.3</v>
          </cell>
          <cell r="E3129">
            <v>98</v>
          </cell>
          <cell r="F3129">
            <v>12.4</v>
          </cell>
          <cell r="G3129">
            <v>195</v>
          </cell>
        </row>
        <row r="3130">
          <cell r="B3130" t="str">
            <v>HW70PB352P10000 KR</v>
          </cell>
          <cell r="C3130"/>
          <cell r="D3130">
            <v>86.3</v>
          </cell>
          <cell r="E3130">
            <v>98</v>
          </cell>
          <cell r="F3130">
            <v>12.4</v>
          </cell>
          <cell r="G3130">
            <v>195</v>
          </cell>
        </row>
        <row r="3131">
          <cell r="B3131" t="str">
            <v>HW60PB302P10000 KR</v>
          </cell>
          <cell r="C3131"/>
          <cell r="D3131">
            <v>86.3</v>
          </cell>
          <cell r="E3131">
            <v>98</v>
          </cell>
          <cell r="F3131">
            <v>12.4</v>
          </cell>
          <cell r="G3131">
            <v>195</v>
          </cell>
        </row>
        <row r="3132">
          <cell r="B3132" t="str">
            <v>HW70SP400P10000 KR</v>
          </cell>
          <cell r="C3132"/>
          <cell r="D3132">
            <v>86.3</v>
          </cell>
          <cell r="E3132">
            <v>98</v>
          </cell>
          <cell r="F3132">
            <v>12.4</v>
          </cell>
          <cell r="G3132">
            <v>195</v>
          </cell>
        </row>
        <row r="3133">
          <cell r="B3133" t="str">
            <v>HW70PB350P10000 KR</v>
          </cell>
          <cell r="C3133"/>
          <cell r="D3133">
            <v>86.3</v>
          </cell>
          <cell r="E3133">
            <v>98</v>
          </cell>
          <cell r="F3133">
            <v>12.4</v>
          </cell>
          <cell r="G3133">
            <v>195</v>
          </cell>
        </row>
        <row r="3134">
          <cell r="B3134" t="str">
            <v>HW70JL502P10000 KR</v>
          </cell>
          <cell r="C3134"/>
          <cell r="D3134">
            <v>86.3</v>
          </cell>
          <cell r="E3134">
            <v>98</v>
          </cell>
          <cell r="F3134">
            <v>12.4</v>
          </cell>
          <cell r="G3134">
            <v>195</v>
          </cell>
        </row>
        <row r="3135">
          <cell r="B3135" t="str">
            <v>HW70AL072P10000 KR</v>
          </cell>
          <cell r="C3135"/>
          <cell r="D3135">
            <v>86.3</v>
          </cell>
          <cell r="E3135">
            <v>98</v>
          </cell>
          <cell r="F3135">
            <v>12.4</v>
          </cell>
          <cell r="G3135">
            <v>195</v>
          </cell>
        </row>
        <row r="3136">
          <cell r="B3136" t="str">
            <v>HW70JL300P10000 KR</v>
          </cell>
          <cell r="C3136"/>
          <cell r="D3136">
            <v>86.3</v>
          </cell>
          <cell r="E3136">
            <v>98</v>
          </cell>
          <cell r="F3136">
            <v>12.4</v>
          </cell>
          <cell r="G3136">
            <v>195</v>
          </cell>
        </row>
        <row r="3137">
          <cell r="B3137" t="str">
            <v>HW70AL070P09002 KR</v>
          </cell>
          <cell r="C3137"/>
          <cell r="D3137">
            <v>86.3</v>
          </cell>
          <cell r="E3137">
            <v>98</v>
          </cell>
          <cell r="F3137">
            <v>12.4</v>
          </cell>
          <cell r="G3137">
            <v>195</v>
          </cell>
        </row>
        <row r="3138">
          <cell r="B3138" t="str">
            <v>HW60JL350P09000 KR</v>
          </cell>
          <cell r="C3138"/>
          <cell r="D3138">
            <v>86.3</v>
          </cell>
          <cell r="E3138">
            <v>98</v>
          </cell>
          <cell r="F3138">
            <v>12.4</v>
          </cell>
          <cell r="G3138">
            <v>195</v>
          </cell>
        </row>
        <row r="3139">
          <cell r="B3139" t="str">
            <v>CSR135-26P CN</v>
          </cell>
          <cell r="C3139"/>
          <cell r="D3139">
            <v>33.6</v>
          </cell>
          <cell r="E3139">
            <v>64.5</v>
          </cell>
          <cell r="F3139">
            <v>8.3000000000000007</v>
          </cell>
          <cell r="G3139">
            <v>133.30000000000001</v>
          </cell>
        </row>
        <row r="3140">
          <cell r="B3140" t="str">
            <v>CSR150-26P CN</v>
          </cell>
          <cell r="C3140"/>
          <cell r="D3140">
            <v>33.6</v>
          </cell>
          <cell r="E3140">
            <v>64.5</v>
          </cell>
          <cell r="F3140">
            <v>8.3000000000000007</v>
          </cell>
          <cell r="G3140">
            <v>133.30000000000001</v>
          </cell>
        </row>
        <row r="3141">
          <cell r="B3141" t="str">
            <v>HW70AL100P09002 KR</v>
          </cell>
          <cell r="C3141"/>
          <cell r="D3141">
            <v>86.3</v>
          </cell>
          <cell r="E3141">
            <v>98</v>
          </cell>
          <cell r="F3141">
            <v>12.4</v>
          </cell>
          <cell r="G3141">
            <v>195</v>
          </cell>
        </row>
        <row r="3142">
          <cell r="B3142" t="str">
            <v>HW70JL352P10000 KR</v>
          </cell>
          <cell r="C3142"/>
          <cell r="D3142">
            <v>86.3</v>
          </cell>
          <cell r="E3142">
            <v>98</v>
          </cell>
          <cell r="F3142">
            <v>12.4</v>
          </cell>
          <cell r="G3142">
            <v>195</v>
          </cell>
        </row>
        <row r="3143">
          <cell r="B3143" t="str">
            <v>HW60AR100P10000 KR</v>
          </cell>
          <cell r="C3143"/>
          <cell r="D3143">
            <v>86.3</v>
          </cell>
          <cell r="E3143">
            <v>98</v>
          </cell>
          <cell r="F3143">
            <v>12.4</v>
          </cell>
          <cell r="G3143">
            <v>195</v>
          </cell>
        </row>
        <row r="3144">
          <cell r="B3144" t="str">
            <v>HW60AL070P09000 NOCE</v>
          </cell>
          <cell r="C3144"/>
          <cell r="D3144">
            <v>21</v>
          </cell>
          <cell r="E3144">
            <v>92.6</v>
          </cell>
          <cell r="F3144">
            <v>20</v>
          </cell>
          <cell r="G3144">
            <v>43</v>
          </cell>
        </row>
        <row r="3145">
          <cell r="B3145" t="str">
            <v>HW70SP370P10000 KR</v>
          </cell>
          <cell r="C3145"/>
          <cell r="D3145">
            <v>86.3</v>
          </cell>
          <cell r="E3145">
            <v>98</v>
          </cell>
          <cell r="F3145">
            <v>12.4</v>
          </cell>
          <cell r="G3145">
            <v>195</v>
          </cell>
        </row>
        <row r="3146">
          <cell r="B3146" t="str">
            <v>HW70SP300P10000 KR</v>
          </cell>
          <cell r="C3146"/>
          <cell r="D3146">
            <v>86.3</v>
          </cell>
          <cell r="E3146">
            <v>98</v>
          </cell>
          <cell r="F3146">
            <v>12.4</v>
          </cell>
          <cell r="G3146">
            <v>195</v>
          </cell>
        </row>
        <row r="3147">
          <cell r="B3147" t="str">
            <v>HW60SP302P10000 KR</v>
          </cell>
          <cell r="C3147"/>
          <cell r="D3147">
            <v>86.3</v>
          </cell>
          <cell r="E3147">
            <v>98</v>
          </cell>
          <cell r="F3147">
            <v>12.4</v>
          </cell>
          <cell r="G3147">
            <v>195</v>
          </cell>
        </row>
        <row r="3148">
          <cell r="B3148" t="str">
            <v>HW60SP300P10000 NOCE</v>
          </cell>
          <cell r="C3148"/>
          <cell r="D3148">
            <v>21</v>
          </cell>
          <cell r="E3148">
            <v>92.6</v>
          </cell>
          <cell r="F3148">
            <v>20</v>
          </cell>
          <cell r="G3148">
            <v>43</v>
          </cell>
        </row>
        <row r="3149">
          <cell r="B3149" t="str">
            <v>HW70SP300P10000 NOCE</v>
          </cell>
          <cell r="C3149"/>
          <cell r="D3149">
            <v>21</v>
          </cell>
          <cell r="E3149">
            <v>92.6</v>
          </cell>
          <cell r="F3149">
            <v>20</v>
          </cell>
          <cell r="G3149">
            <v>43</v>
          </cell>
        </row>
        <row r="3150">
          <cell r="B3150" t="str">
            <v>HW70AR202P10000 KR</v>
          </cell>
          <cell r="C3150"/>
          <cell r="D3150">
            <v>86.3</v>
          </cell>
          <cell r="E3150">
            <v>98</v>
          </cell>
          <cell r="F3150">
            <v>12.4</v>
          </cell>
          <cell r="G3150">
            <v>195</v>
          </cell>
        </row>
        <row r="3151">
          <cell r="B3151" t="str">
            <v>HW60AL150P10000 CN</v>
          </cell>
          <cell r="C3151"/>
          <cell r="D3151">
            <v>56</v>
          </cell>
          <cell r="E3151">
            <v>234</v>
          </cell>
          <cell r="F3151"/>
          <cell r="G3151">
            <v>289</v>
          </cell>
        </row>
        <row r="3152">
          <cell r="B3152" t="str">
            <v>HW60AL102P10000 NOCE</v>
          </cell>
          <cell r="C3152"/>
          <cell r="D3152">
            <v>21</v>
          </cell>
          <cell r="E3152">
            <v>92.6</v>
          </cell>
          <cell r="F3152">
            <v>20</v>
          </cell>
          <cell r="G3152">
            <v>43</v>
          </cell>
        </row>
        <row r="3153">
          <cell r="B3153" t="str">
            <v>HW70PB350P10000 NOCE</v>
          </cell>
          <cell r="C3153"/>
          <cell r="D3153">
            <v>21</v>
          </cell>
          <cell r="E3153">
            <v>92.6</v>
          </cell>
          <cell r="F3153">
            <v>20</v>
          </cell>
          <cell r="G3153">
            <v>43</v>
          </cell>
        </row>
        <row r="3154">
          <cell r="B3154" t="str">
            <v>HW80AL070P09000 NOCE</v>
          </cell>
          <cell r="C3154"/>
          <cell r="D3154">
            <v>21</v>
          </cell>
          <cell r="E3154">
            <v>92.6</v>
          </cell>
          <cell r="F3154">
            <v>20</v>
          </cell>
          <cell r="G3154">
            <v>43</v>
          </cell>
        </row>
        <row r="3155">
          <cell r="B3155" t="str">
            <v>HW60AL070P10000 NOCE</v>
          </cell>
          <cell r="C3155"/>
          <cell r="D3155">
            <v>21</v>
          </cell>
          <cell r="E3155">
            <v>92.6</v>
          </cell>
          <cell r="F3155">
            <v>20</v>
          </cell>
          <cell r="G3155">
            <v>43</v>
          </cell>
        </row>
        <row r="3156">
          <cell r="B3156" t="str">
            <v>HW70PB350P09000 NOCE</v>
          </cell>
          <cell r="C3156"/>
          <cell r="D3156">
            <v>21</v>
          </cell>
          <cell r="E3156">
            <v>92.6</v>
          </cell>
          <cell r="F3156">
            <v>20</v>
          </cell>
          <cell r="G3156">
            <v>43</v>
          </cell>
        </row>
        <row r="3157">
          <cell r="B3157" t="str">
            <v>HW80AL102P10000 KR</v>
          </cell>
          <cell r="C3157"/>
          <cell r="D3157">
            <v>86.3</v>
          </cell>
          <cell r="E3157">
            <v>98</v>
          </cell>
          <cell r="F3157">
            <v>12.4</v>
          </cell>
          <cell r="G3157">
            <v>195</v>
          </cell>
        </row>
        <row r="3158">
          <cell r="B3158" t="str">
            <v>LPM01823S US</v>
          </cell>
          <cell r="C3158"/>
          <cell r="D3158">
            <v>27.5</v>
          </cell>
          <cell r="E3158">
            <v>92.4</v>
          </cell>
          <cell r="F3158">
            <v>8.3000000000000007</v>
          </cell>
          <cell r="G3158">
            <v>71.3</v>
          </cell>
        </row>
        <row r="3159">
          <cell r="B3159" t="str">
            <v>AIN-FBK-4SD110R JP</v>
          </cell>
          <cell r="C3159"/>
          <cell r="D3159">
            <v>86.3</v>
          </cell>
          <cell r="E3159">
            <v>98</v>
          </cell>
          <cell r="F3159">
            <v>12.4</v>
          </cell>
          <cell r="G3159">
            <v>195</v>
          </cell>
        </row>
        <row r="3160">
          <cell r="B3160" t="str">
            <v>AIN-FBK-5SD110R JP</v>
          </cell>
          <cell r="C3160"/>
          <cell r="D3160">
            <v>86.3</v>
          </cell>
          <cell r="E3160">
            <v>98</v>
          </cell>
          <cell r="F3160">
            <v>12.4</v>
          </cell>
          <cell r="G3160">
            <v>195</v>
          </cell>
        </row>
        <row r="3161">
          <cell r="B3161" t="str">
            <v>AIN-FBK-6SD110R JP</v>
          </cell>
          <cell r="C3161"/>
          <cell r="D3161">
            <v>86.3</v>
          </cell>
          <cell r="E3161">
            <v>98</v>
          </cell>
          <cell r="F3161">
            <v>12.4</v>
          </cell>
          <cell r="G3161">
            <v>195</v>
          </cell>
        </row>
        <row r="3162">
          <cell r="B3162" t="str">
            <v>CRV135-19S MDR</v>
          </cell>
          <cell r="C3162"/>
          <cell r="D3162">
            <v>31.2</v>
          </cell>
          <cell r="E3162">
            <v>64.5</v>
          </cell>
          <cell r="F3162">
            <v>8.3000000000000007</v>
          </cell>
          <cell r="G3162">
            <v>127</v>
          </cell>
        </row>
        <row r="3163">
          <cell r="B3163" t="str">
            <v>CRV150-19S MDR</v>
          </cell>
          <cell r="C3163"/>
          <cell r="D3163">
            <v>31.2</v>
          </cell>
          <cell r="E3163">
            <v>64.5</v>
          </cell>
          <cell r="F3163">
            <v>8.3000000000000007</v>
          </cell>
          <cell r="G3163">
            <v>127</v>
          </cell>
        </row>
        <row r="3164">
          <cell r="B3164" t="str">
            <v>HW60JL300P10000 CN</v>
          </cell>
          <cell r="C3164"/>
          <cell r="D3164">
            <v>67.2</v>
          </cell>
          <cell r="E3164">
            <v>142</v>
          </cell>
          <cell r="F3164">
            <v>12.4</v>
          </cell>
          <cell r="G3164">
            <v>190.8</v>
          </cell>
        </row>
        <row r="3165">
          <cell r="B3165" t="str">
            <v>HW60JL500P10000 CN</v>
          </cell>
          <cell r="C3165"/>
          <cell r="D3165">
            <v>67.2</v>
          </cell>
          <cell r="E3165">
            <v>142</v>
          </cell>
          <cell r="F3165">
            <v>12.4</v>
          </cell>
          <cell r="G3165">
            <v>190.8</v>
          </cell>
        </row>
        <row r="3166">
          <cell r="B3166" t="str">
            <v>HW80SP300P10000 CN</v>
          </cell>
          <cell r="C3166"/>
          <cell r="D3166">
            <v>67.2</v>
          </cell>
          <cell r="E3166">
            <v>142</v>
          </cell>
          <cell r="F3166">
            <v>12.4</v>
          </cell>
          <cell r="G3166">
            <v>190.8</v>
          </cell>
        </row>
        <row r="3167">
          <cell r="B3167"/>
          <cell r="C3167"/>
          <cell r="D3167"/>
          <cell r="E3167"/>
          <cell r="F3167"/>
          <cell r="G3167"/>
        </row>
        <row r="3168">
          <cell r="B3168"/>
          <cell r="C3168"/>
          <cell r="D3168"/>
          <cell r="E3168"/>
          <cell r="F3168"/>
          <cell r="G3168"/>
        </row>
        <row r="3169">
          <cell r="B3169"/>
          <cell r="C3169"/>
          <cell r="D3169"/>
          <cell r="E3169"/>
          <cell r="F3169"/>
          <cell r="G3169"/>
        </row>
        <row r="3170">
          <cell r="B3170"/>
          <cell r="C3170"/>
          <cell r="D3170"/>
          <cell r="E3170"/>
          <cell r="F3170"/>
          <cell r="G3170"/>
        </row>
        <row r="3171">
          <cell r="B3171"/>
          <cell r="C3171"/>
          <cell r="D3171"/>
          <cell r="E3171"/>
          <cell r="F3171"/>
          <cell r="G3171"/>
        </row>
        <row r="3172">
          <cell r="B3172"/>
          <cell r="C3172"/>
          <cell r="D3172"/>
          <cell r="E3172"/>
          <cell r="F3172"/>
          <cell r="G3172"/>
        </row>
        <row r="3173">
          <cell r="B3173"/>
          <cell r="C3173"/>
          <cell r="D3173"/>
          <cell r="E3173"/>
          <cell r="F3173"/>
          <cell r="G3173"/>
        </row>
        <row r="3174">
          <cell r="B3174"/>
          <cell r="C3174"/>
          <cell r="D3174"/>
          <cell r="E3174"/>
          <cell r="F3174"/>
          <cell r="G3174"/>
        </row>
        <row r="3175">
          <cell r="B3175"/>
          <cell r="C3175"/>
          <cell r="D3175"/>
          <cell r="E3175"/>
          <cell r="F3175"/>
          <cell r="G3175"/>
        </row>
        <row r="3176">
          <cell r="B3176"/>
          <cell r="C3176"/>
          <cell r="D3176"/>
          <cell r="E3176"/>
          <cell r="F3176"/>
          <cell r="G3176"/>
        </row>
        <row r="3177">
          <cell r="B3177"/>
          <cell r="C3177"/>
          <cell r="D3177"/>
          <cell r="E3177"/>
          <cell r="F3177"/>
          <cell r="G3177"/>
        </row>
        <row r="3178">
          <cell r="B3178"/>
          <cell r="C3178"/>
          <cell r="D3178"/>
          <cell r="E3178"/>
          <cell r="F3178"/>
          <cell r="G3178"/>
        </row>
        <row r="3179">
          <cell r="B3179"/>
          <cell r="C3179"/>
          <cell r="D3179"/>
          <cell r="E3179"/>
          <cell r="F3179"/>
          <cell r="G3179"/>
        </row>
        <row r="3180">
          <cell r="B3180"/>
          <cell r="C3180"/>
          <cell r="D3180"/>
          <cell r="E3180"/>
          <cell r="F3180"/>
          <cell r="G3180"/>
        </row>
        <row r="3181">
          <cell r="B3181"/>
          <cell r="C3181"/>
          <cell r="D3181"/>
          <cell r="E3181"/>
          <cell r="F3181"/>
          <cell r="G3181"/>
        </row>
        <row r="3182">
          <cell r="B3182"/>
          <cell r="C3182"/>
          <cell r="D3182"/>
          <cell r="E3182"/>
          <cell r="F3182"/>
          <cell r="G3182"/>
        </row>
        <row r="3183">
          <cell r="B3183"/>
          <cell r="C3183"/>
          <cell r="D3183"/>
          <cell r="E3183"/>
          <cell r="F3183"/>
          <cell r="G3183"/>
        </row>
        <row r="3184">
          <cell r="B3184"/>
          <cell r="C3184"/>
          <cell r="D3184"/>
          <cell r="E3184"/>
          <cell r="F3184"/>
          <cell r="G3184"/>
        </row>
        <row r="3185">
          <cell r="B3185"/>
          <cell r="C3185"/>
          <cell r="D3185"/>
          <cell r="E3185"/>
          <cell r="F3185"/>
          <cell r="G3185"/>
        </row>
        <row r="3186">
          <cell r="B3186"/>
          <cell r="C3186"/>
          <cell r="D3186"/>
          <cell r="E3186"/>
          <cell r="F3186"/>
          <cell r="G3186"/>
        </row>
        <row r="3187">
          <cell r="B3187"/>
          <cell r="C3187"/>
          <cell r="D3187"/>
          <cell r="E3187"/>
          <cell r="F3187"/>
          <cell r="G3187"/>
        </row>
        <row r="3188">
          <cell r="B3188"/>
          <cell r="C3188"/>
          <cell r="D3188"/>
          <cell r="E3188"/>
          <cell r="F3188"/>
          <cell r="G3188"/>
        </row>
        <row r="3189">
          <cell r="B3189"/>
          <cell r="C3189"/>
          <cell r="D3189"/>
          <cell r="E3189"/>
          <cell r="F3189"/>
          <cell r="G3189"/>
        </row>
        <row r="3190">
          <cell r="B3190"/>
          <cell r="C3190"/>
          <cell r="D3190"/>
          <cell r="E3190"/>
          <cell r="F3190"/>
          <cell r="G3190"/>
        </row>
        <row r="3191">
          <cell r="B3191"/>
          <cell r="C3191"/>
          <cell r="D3191"/>
          <cell r="E3191"/>
          <cell r="F3191"/>
          <cell r="G3191"/>
        </row>
        <row r="3192">
          <cell r="B3192"/>
          <cell r="C3192"/>
          <cell r="D3192"/>
          <cell r="E3192"/>
          <cell r="F3192"/>
          <cell r="G3192"/>
        </row>
        <row r="3193">
          <cell r="B3193"/>
          <cell r="C3193"/>
          <cell r="D3193"/>
          <cell r="E3193"/>
          <cell r="F3193"/>
          <cell r="G3193"/>
        </row>
        <row r="3194">
          <cell r="B3194"/>
          <cell r="C3194"/>
          <cell r="D3194"/>
          <cell r="E3194"/>
          <cell r="F3194"/>
          <cell r="G3194"/>
        </row>
        <row r="3195">
          <cell r="B3195"/>
          <cell r="C3195"/>
          <cell r="D3195"/>
          <cell r="E3195"/>
          <cell r="F3195"/>
          <cell r="G3195"/>
        </row>
        <row r="3196">
          <cell r="B3196"/>
          <cell r="C3196"/>
          <cell r="D3196"/>
          <cell r="E3196"/>
          <cell r="F3196"/>
          <cell r="G3196"/>
        </row>
        <row r="3197">
          <cell r="B3197"/>
          <cell r="C3197"/>
          <cell r="D3197"/>
          <cell r="E3197"/>
          <cell r="F3197"/>
          <cell r="G3197"/>
        </row>
        <row r="3198">
          <cell r="B3198"/>
          <cell r="C3198"/>
          <cell r="D3198"/>
          <cell r="E3198"/>
          <cell r="F3198"/>
          <cell r="G3198"/>
        </row>
        <row r="3199">
          <cell r="B3199"/>
          <cell r="C3199"/>
          <cell r="D3199"/>
          <cell r="E3199"/>
          <cell r="F3199"/>
          <cell r="G3199"/>
        </row>
        <row r="3200">
          <cell r="B3200"/>
          <cell r="C3200"/>
          <cell r="D3200"/>
          <cell r="E3200"/>
          <cell r="F3200"/>
          <cell r="G3200"/>
        </row>
        <row r="3201">
          <cell r="B3201"/>
          <cell r="C3201"/>
          <cell r="D3201"/>
          <cell r="E3201"/>
          <cell r="F3201"/>
          <cell r="G3201"/>
        </row>
        <row r="3202">
          <cell r="B3202"/>
          <cell r="C3202"/>
          <cell r="D3202"/>
          <cell r="E3202"/>
          <cell r="F3202"/>
          <cell r="G3202"/>
        </row>
        <row r="3203">
          <cell r="B3203"/>
          <cell r="C3203"/>
          <cell r="D3203"/>
          <cell r="E3203"/>
          <cell r="F3203"/>
          <cell r="G3203"/>
        </row>
        <row r="3204">
          <cell r="B3204"/>
          <cell r="C3204"/>
          <cell r="D3204"/>
          <cell r="E3204"/>
          <cell r="F3204"/>
          <cell r="G3204"/>
        </row>
        <row r="3205">
          <cell r="B3205"/>
          <cell r="C3205"/>
          <cell r="D3205"/>
          <cell r="E3205"/>
          <cell r="F3205"/>
          <cell r="G3205"/>
        </row>
        <row r="3206">
          <cell r="B3206"/>
          <cell r="C3206"/>
          <cell r="D3206"/>
          <cell r="E3206"/>
          <cell r="F3206"/>
          <cell r="G3206"/>
        </row>
        <row r="3207">
          <cell r="B3207"/>
          <cell r="C3207"/>
          <cell r="D3207"/>
          <cell r="E3207"/>
          <cell r="F3207"/>
          <cell r="G3207"/>
        </row>
        <row r="3208">
          <cell r="B3208"/>
          <cell r="C3208"/>
          <cell r="D3208"/>
          <cell r="E3208"/>
          <cell r="F3208"/>
          <cell r="G3208"/>
        </row>
        <row r="3209">
          <cell r="B3209"/>
          <cell r="C3209"/>
          <cell r="D3209"/>
          <cell r="E3209"/>
          <cell r="F3209"/>
          <cell r="G3209"/>
        </row>
        <row r="3210">
          <cell r="B3210"/>
          <cell r="C3210"/>
          <cell r="D3210"/>
          <cell r="E3210"/>
          <cell r="F3210"/>
          <cell r="G3210"/>
        </row>
        <row r="3211">
          <cell r="B3211"/>
          <cell r="C3211"/>
          <cell r="D3211"/>
          <cell r="E3211"/>
          <cell r="F3211"/>
          <cell r="G3211"/>
        </row>
        <row r="3212">
          <cell r="B3212"/>
          <cell r="C3212"/>
          <cell r="D3212"/>
          <cell r="E3212"/>
          <cell r="F3212"/>
          <cell r="G3212"/>
        </row>
        <row r="3213">
          <cell r="B3213"/>
          <cell r="C3213"/>
          <cell r="D3213"/>
          <cell r="E3213"/>
          <cell r="F3213"/>
          <cell r="G3213"/>
        </row>
        <row r="3214">
          <cell r="B3214"/>
          <cell r="C3214"/>
          <cell r="D3214"/>
          <cell r="E3214"/>
          <cell r="F3214"/>
          <cell r="G3214"/>
        </row>
        <row r="3215">
          <cell r="B3215"/>
          <cell r="C3215"/>
          <cell r="D3215"/>
          <cell r="E3215"/>
          <cell r="F3215"/>
          <cell r="G3215"/>
        </row>
        <row r="3216">
          <cell r="B3216"/>
          <cell r="C3216"/>
          <cell r="D3216"/>
          <cell r="E3216"/>
          <cell r="F3216"/>
          <cell r="G3216"/>
        </row>
        <row r="3217">
          <cell r="B3217"/>
          <cell r="C3217"/>
          <cell r="D3217"/>
          <cell r="E3217"/>
          <cell r="F3217"/>
          <cell r="G3217"/>
        </row>
        <row r="3218">
          <cell r="B3218"/>
          <cell r="C3218"/>
          <cell r="D3218"/>
          <cell r="E3218"/>
          <cell r="F3218"/>
          <cell r="G3218"/>
        </row>
        <row r="3219">
          <cell r="B3219"/>
          <cell r="C3219"/>
          <cell r="D3219"/>
          <cell r="E3219"/>
          <cell r="F3219"/>
          <cell r="G3219"/>
        </row>
        <row r="3220">
          <cell r="B3220"/>
          <cell r="C3220"/>
          <cell r="D3220"/>
          <cell r="E3220"/>
          <cell r="F3220"/>
          <cell r="G3220"/>
        </row>
        <row r="3221">
          <cell r="B3221"/>
          <cell r="C3221"/>
          <cell r="D3221"/>
          <cell r="E3221"/>
          <cell r="F3221"/>
          <cell r="G3221"/>
        </row>
        <row r="3222">
          <cell r="B3222"/>
          <cell r="C3222"/>
          <cell r="D3222"/>
          <cell r="E3222"/>
          <cell r="F3222"/>
          <cell r="G3222"/>
        </row>
        <row r="3223">
          <cell r="B3223"/>
          <cell r="C3223"/>
          <cell r="D3223"/>
          <cell r="E3223"/>
          <cell r="F3223"/>
          <cell r="G3223"/>
        </row>
        <row r="3224">
          <cell r="B3224"/>
          <cell r="C3224"/>
          <cell r="D3224"/>
          <cell r="E3224"/>
          <cell r="F3224"/>
          <cell r="G3224"/>
        </row>
        <row r="3225">
          <cell r="B3225"/>
          <cell r="C3225"/>
          <cell r="D3225"/>
          <cell r="E3225"/>
          <cell r="F3225"/>
          <cell r="G3225"/>
        </row>
        <row r="3226">
          <cell r="B3226"/>
          <cell r="C3226"/>
          <cell r="D3226"/>
          <cell r="E3226"/>
          <cell r="F3226"/>
          <cell r="G3226"/>
        </row>
        <row r="3227">
          <cell r="B3227"/>
          <cell r="C3227"/>
          <cell r="D3227"/>
          <cell r="E3227"/>
          <cell r="F3227"/>
          <cell r="G3227"/>
        </row>
        <row r="3228">
          <cell r="B3228"/>
          <cell r="C3228"/>
          <cell r="D3228"/>
          <cell r="E3228"/>
          <cell r="F3228"/>
          <cell r="G3228"/>
        </row>
        <row r="3229">
          <cell r="B3229"/>
          <cell r="C3229"/>
          <cell r="D3229"/>
          <cell r="E3229"/>
          <cell r="F3229"/>
          <cell r="G3229"/>
        </row>
        <row r="3230">
          <cell r="B3230"/>
          <cell r="C3230"/>
          <cell r="D3230"/>
          <cell r="E3230"/>
          <cell r="F3230"/>
          <cell r="G3230"/>
        </row>
        <row r="3231">
          <cell r="B3231"/>
          <cell r="C3231"/>
          <cell r="D3231"/>
          <cell r="E3231"/>
          <cell r="F3231"/>
          <cell r="G3231"/>
        </row>
        <row r="3232">
          <cell r="B3232"/>
          <cell r="C3232"/>
          <cell r="D3232"/>
          <cell r="E3232"/>
          <cell r="F3232"/>
          <cell r="G3232"/>
        </row>
        <row r="3233">
          <cell r="B3233"/>
          <cell r="C3233"/>
          <cell r="D3233"/>
          <cell r="E3233"/>
          <cell r="F3233"/>
          <cell r="G3233"/>
        </row>
        <row r="3234">
          <cell r="B3234"/>
          <cell r="C3234"/>
          <cell r="D3234"/>
          <cell r="E3234"/>
          <cell r="F3234"/>
          <cell r="G3234"/>
        </row>
        <row r="3235">
          <cell r="B3235"/>
          <cell r="C3235"/>
          <cell r="D3235"/>
          <cell r="E3235"/>
          <cell r="F3235"/>
          <cell r="G3235"/>
        </row>
        <row r="3236">
          <cell r="B3236"/>
          <cell r="C3236"/>
          <cell r="D3236"/>
          <cell r="E3236"/>
          <cell r="F3236"/>
          <cell r="G3236"/>
        </row>
        <row r="3237">
          <cell r="B3237"/>
          <cell r="C3237"/>
          <cell r="D3237"/>
          <cell r="E3237"/>
          <cell r="F3237"/>
          <cell r="G3237"/>
        </row>
        <row r="3238">
          <cell r="B3238"/>
          <cell r="C3238"/>
          <cell r="D3238"/>
          <cell r="E3238"/>
          <cell r="F3238"/>
          <cell r="G3238"/>
        </row>
        <row r="3239">
          <cell r="B3239"/>
          <cell r="C3239"/>
          <cell r="D3239"/>
          <cell r="E3239"/>
          <cell r="F3239"/>
          <cell r="G3239"/>
        </row>
        <row r="3240">
          <cell r="B3240"/>
          <cell r="C3240"/>
          <cell r="D3240"/>
          <cell r="E3240"/>
          <cell r="F3240"/>
          <cell r="G3240"/>
        </row>
        <row r="3241">
          <cell r="B3241"/>
          <cell r="C3241"/>
          <cell r="D3241"/>
          <cell r="E3241"/>
          <cell r="F3241"/>
          <cell r="G3241"/>
        </row>
        <row r="3242">
          <cell r="B3242"/>
          <cell r="C3242"/>
          <cell r="D3242"/>
          <cell r="E3242"/>
          <cell r="F3242"/>
          <cell r="G3242"/>
        </row>
        <row r="3243">
          <cell r="B3243"/>
          <cell r="C3243"/>
          <cell r="D3243"/>
          <cell r="E3243"/>
          <cell r="F3243"/>
          <cell r="G3243"/>
        </row>
        <row r="3244">
          <cell r="B3244"/>
          <cell r="C3244"/>
          <cell r="D3244"/>
          <cell r="E3244"/>
          <cell r="F3244"/>
          <cell r="G3244"/>
        </row>
        <row r="3245">
          <cell r="B3245"/>
          <cell r="C3245"/>
          <cell r="D3245"/>
          <cell r="E3245"/>
          <cell r="F3245"/>
          <cell r="G3245"/>
        </row>
        <row r="3246">
          <cell r="B3246"/>
          <cell r="C3246"/>
          <cell r="D3246"/>
          <cell r="E3246"/>
          <cell r="F3246"/>
          <cell r="G3246"/>
        </row>
        <row r="3247">
          <cell r="B3247"/>
          <cell r="C3247"/>
          <cell r="D3247"/>
          <cell r="E3247"/>
          <cell r="F3247"/>
          <cell r="G3247"/>
        </row>
        <row r="3248">
          <cell r="B3248"/>
          <cell r="C3248"/>
          <cell r="D3248"/>
          <cell r="E3248"/>
          <cell r="F3248"/>
          <cell r="G3248"/>
        </row>
        <row r="3249">
          <cell r="B3249"/>
          <cell r="C3249"/>
          <cell r="D3249"/>
          <cell r="E3249"/>
          <cell r="F3249"/>
          <cell r="G3249"/>
        </row>
        <row r="3250">
          <cell r="B3250"/>
          <cell r="C3250"/>
          <cell r="D3250"/>
          <cell r="E3250"/>
          <cell r="F3250"/>
          <cell r="G3250"/>
        </row>
        <row r="3251">
          <cell r="B3251"/>
          <cell r="C3251"/>
          <cell r="D3251"/>
          <cell r="E3251"/>
          <cell r="F3251"/>
          <cell r="G3251"/>
        </row>
        <row r="3252">
          <cell r="B3252"/>
          <cell r="C3252"/>
          <cell r="D3252"/>
          <cell r="E3252"/>
          <cell r="F3252"/>
          <cell r="G3252"/>
        </row>
        <row r="3253">
          <cell r="B3253"/>
          <cell r="C3253"/>
          <cell r="D3253"/>
          <cell r="E3253"/>
          <cell r="F3253"/>
          <cell r="G3253"/>
        </row>
        <row r="3254">
          <cell r="B3254"/>
          <cell r="C3254"/>
          <cell r="D3254"/>
          <cell r="E3254"/>
          <cell r="F3254"/>
          <cell r="G3254"/>
        </row>
        <row r="3255">
          <cell r="B3255"/>
          <cell r="C3255"/>
          <cell r="D3255"/>
          <cell r="E3255"/>
          <cell r="F3255"/>
          <cell r="G3255"/>
        </row>
        <row r="3256">
          <cell r="B3256"/>
          <cell r="C3256"/>
          <cell r="D3256"/>
          <cell r="E3256"/>
          <cell r="F3256"/>
          <cell r="G3256"/>
        </row>
        <row r="3257">
          <cell r="B3257"/>
          <cell r="C3257"/>
          <cell r="D3257"/>
          <cell r="E3257"/>
          <cell r="F3257"/>
          <cell r="G3257"/>
        </row>
        <row r="3258">
          <cell r="B3258"/>
          <cell r="C3258"/>
          <cell r="D3258"/>
          <cell r="E3258"/>
          <cell r="F3258"/>
          <cell r="G3258"/>
        </row>
        <row r="3259">
          <cell r="B3259"/>
          <cell r="C3259"/>
          <cell r="D3259"/>
          <cell r="E3259"/>
          <cell r="F3259"/>
          <cell r="G3259"/>
        </row>
        <row r="3260">
          <cell r="B3260"/>
          <cell r="C3260"/>
          <cell r="D3260"/>
          <cell r="E3260"/>
          <cell r="F3260"/>
          <cell r="G3260"/>
        </row>
        <row r="3261">
          <cell r="B3261"/>
          <cell r="C3261"/>
          <cell r="D3261"/>
          <cell r="E3261"/>
          <cell r="F3261"/>
          <cell r="G3261"/>
        </row>
        <row r="3262">
          <cell r="B3262"/>
          <cell r="C3262"/>
          <cell r="D3262"/>
          <cell r="E3262"/>
          <cell r="F3262"/>
          <cell r="G3262"/>
        </row>
        <row r="3263">
          <cell r="B3263"/>
          <cell r="C3263"/>
          <cell r="D3263"/>
          <cell r="E3263"/>
          <cell r="F3263"/>
          <cell r="G3263"/>
        </row>
        <row r="3264">
          <cell r="B3264"/>
          <cell r="C3264"/>
          <cell r="D3264"/>
          <cell r="E3264"/>
          <cell r="F3264"/>
          <cell r="G3264"/>
        </row>
        <row r="3265">
          <cell r="B3265"/>
          <cell r="C3265"/>
          <cell r="D3265"/>
          <cell r="E3265"/>
          <cell r="F3265"/>
          <cell r="G3265"/>
        </row>
        <row r="3266">
          <cell r="B3266"/>
          <cell r="C3266"/>
          <cell r="D3266"/>
          <cell r="E3266"/>
          <cell r="F3266"/>
          <cell r="G3266"/>
        </row>
        <row r="3267">
          <cell r="B3267"/>
          <cell r="C3267"/>
          <cell r="D3267"/>
          <cell r="E3267"/>
          <cell r="F3267"/>
          <cell r="G3267"/>
        </row>
        <row r="3268">
          <cell r="B3268"/>
          <cell r="C3268"/>
          <cell r="D3268"/>
          <cell r="E3268"/>
          <cell r="F3268"/>
          <cell r="G3268"/>
        </row>
        <row r="3269">
          <cell r="B3269"/>
          <cell r="C3269"/>
          <cell r="D3269"/>
          <cell r="E3269"/>
          <cell r="F3269"/>
          <cell r="G3269"/>
        </row>
        <row r="3270">
          <cell r="B3270"/>
          <cell r="C3270"/>
          <cell r="D3270"/>
          <cell r="E3270"/>
          <cell r="F3270"/>
          <cell r="G3270"/>
        </row>
        <row r="3271">
          <cell r="B3271"/>
          <cell r="C3271"/>
          <cell r="D3271"/>
          <cell r="E3271"/>
          <cell r="F3271"/>
          <cell r="G3271"/>
        </row>
        <row r="3272">
          <cell r="B3272"/>
          <cell r="C3272"/>
          <cell r="D3272"/>
          <cell r="E3272"/>
          <cell r="F3272"/>
          <cell r="G3272"/>
        </row>
        <row r="3273">
          <cell r="B3273"/>
          <cell r="C3273"/>
          <cell r="D3273"/>
          <cell r="E3273"/>
          <cell r="F3273"/>
          <cell r="G3273"/>
        </row>
        <row r="3274">
          <cell r="B3274"/>
          <cell r="C3274"/>
          <cell r="D3274"/>
          <cell r="E3274"/>
          <cell r="F3274"/>
          <cell r="G3274"/>
        </row>
        <row r="3275">
          <cell r="B3275"/>
          <cell r="C3275"/>
          <cell r="D3275"/>
          <cell r="E3275"/>
          <cell r="F3275"/>
          <cell r="G3275"/>
        </row>
        <row r="3276">
          <cell r="B3276"/>
          <cell r="C3276"/>
          <cell r="D3276"/>
          <cell r="E3276"/>
          <cell r="F3276"/>
          <cell r="G3276"/>
        </row>
        <row r="3277">
          <cell r="B3277"/>
          <cell r="C3277"/>
          <cell r="D3277"/>
          <cell r="E3277"/>
          <cell r="F3277"/>
          <cell r="G3277"/>
        </row>
        <row r="3278">
          <cell r="B3278"/>
          <cell r="C3278"/>
          <cell r="D3278"/>
          <cell r="E3278"/>
          <cell r="F3278"/>
          <cell r="G3278"/>
        </row>
        <row r="3279">
          <cell r="B3279"/>
          <cell r="C3279"/>
          <cell r="D3279"/>
          <cell r="E3279"/>
          <cell r="F3279"/>
          <cell r="G3279"/>
        </row>
        <row r="3280">
          <cell r="B3280"/>
          <cell r="C3280"/>
          <cell r="D3280"/>
          <cell r="E3280"/>
          <cell r="F3280"/>
          <cell r="G3280"/>
        </row>
        <row r="3281">
          <cell r="B3281"/>
          <cell r="C3281"/>
          <cell r="D3281"/>
          <cell r="E3281"/>
          <cell r="F3281"/>
          <cell r="G3281"/>
        </row>
        <row r="3282">
          <cell r="B3282"/>
          <cell r="C3282"/>
          <cell r="D3282"/>
          <cell r="E3282"/>
          <cell r="F3282"/>
          <cell r="G3282"/>
        </row>
        <row r="3283">
          <cell r="B3283"/>
          <cell r="C3283"/>
          <cell r="D3283"/>
          <cell r="E3283"/>
          <cell r="F3283"/>
          <cell r="G3283"/>
        </row>
        <row r="3284">
          <cell r="B3284"/>
          <cell r="C3284"/>
          <cell r="D3284"/>
          <cell r="E3284"/>
          <cell r="F3284"/>
          <cell r="G3284"/>
        </row>
        <row r="3285">
          <cell r="B3285"/>
          <cell r="C3285"/>
          <cell r="D3285"/>
          <cell r="E3285"/>
          <cell r="F3285"/>
          <cell r="G3285"/>
        </row>
        <row r="3286">
          <cell r="B3286"/>
          <cell r="C3286"/>
          <cell r="D3286"/>
          <cell r="E3286"/>
          <cell r="F3286"/>
          <cell r="G3286"/>
        </row>
        <row r="3287">
          <cell r="B3287"/>
          <cell r="C3287"/>
          <cell r="D3287"/>
          <cell r="E3287"/>
          <cell r="F3287"/>
          <cell r="G3287"/>
        </row>
        <row r="3288">
          <cell r="B3288"/>
          <cell r="C3288"/>
          <cell r="D3288"/>
          <cell r="E3288"/>
          <cell r="F3288"/>
          <cell r="G3288"/>
        </row>
        <row r="3289">
          <cell r="B3289"/>
          <cell r="C3289"/>
          <cell r="D3289"/>
          <cell r="E3289"/>
          <cell r="F3289"/>
          <cell r="G3289"/>
        </row>
        <row r="3290">
          <cell r="B3290"/>
          <cell r="C3290"/>
          <cell r="D3290"/>
          <cell r="E3290"/>
          <cell r="F3290"/>
          <cell r="G3290"/>
        </row>
        <row r="3291">
          <cell r="B3291"/>
          <cell r="C3291"/>
          <cell r="D3291"/>
          <cell r="E3291"/>
          <cell r="F3291"/>
          <cell r="G3291"/>
        </row>
        <row r="3292">
          <cell r="B3292"/>
          <cell r="C3292"/>
          <cell r="D3292"/>
          <cell r="E3292"/>
          <cell r="F3292"/>
          <cell r="G3292"/>
        </row>
        <row r="3293">
          <cell r="B3293"/>
          <cell r="C3293"/>
          <cell r="D3293"/>
          <cell r="E3293"/>
          <cell r="F3293"/>
          <cell r="G3293"/>
        </row>
        <row r="3294">
          <cell r="B3294"/>
          <cell r="C3294"/>
          <cell r="D3294"/>
          <cell r="E3294"/>
          <cell r="F3294"/>
          <cell r="G3294"/>
        </row>
        <row r="3295">
          <cell r="B3295"/>
          <cell r="C3295"/>
          <cell r="D3295"/>
          <cell r="E3295"/>
          <cell r="F3295"/>
          <cell r="G3295"/>
        </row>
        <row r="3296">
          <cell r="B3296"/>
          <cell r="C3296"/>
          <cell r="D3296"/>
          <cell r="E3296"/>
          <cell r="F3296"/>
          <cell r="G3296"/>
        </row>
        <row r="3297">
          <cell r="B3297"/>
          <cell r="C3297"/>
          <cell r="D3297"/>
          <cell r="E3297"/>
          <cell r="F3297"/>
          <cell r="G3297"/>
        </row>
        <row r="3298">
          <cell r="B3298"/>
          <cell r="C3298"/>
          <cell r="D3298"/>
          <cell r="E3298"/>
          <cell r="F3298"/>
          <cell r="G3298"/>
        </row>
        <row r="3299">
          <cell r="B3299"/>
          <cell r="C3299"/>
          <cell r="D3299"/>
          <cell r="E3299"/>
          <cell r="F3299"/>
          <cell r="G3299"/>
        </row>
        <row r="3300">
          <cell r="B3300"/>
          <cell r="C3300"/>
          <cell r="D3300"/>
          <cell r="E3300"/>
          <cell r="F3300"/>
          <cell r="G3300"/>
        </row>
        <row r="3301">
          <cell r="B3301"/>
          <cell r="C3301"/>
          <cell r="D3301"/>
          <cell r="E3301"/>
          <cell r="F3301"/>
          <cell r="G3301"/>
        </row>
        <row r="3302">
          <cell r="B3302"/>
          <cell r="C3302"/>
          <cell r="D3302"/>
          <cell r="E3302"/>
          <cell r="F3302"/>
          <cell r="G3302"/>
        </row>
        <row r="3303">
          <cell r="B3303"/>
          <cell r="C3303"/>
          <cell r="D3303"/>
          <cell r="E3303"/>
          <cell r="F3303"/>
          <cell r="G3303"/>
        </row>
        <row r="3304">
          <cell r="B3304"/>
          <cell r="C3304"/>
          <cell r="D3304"/>
          <cell r="E3304"/>
          <cell r="F3304"/>
          <cell r="G3304"/>
        </row>
        <row r="3305">
          <cell r="B3305"/>
          <cell r="C3305"/>
          <cell r="D3305"/>
          <cell r="E3305"/>
          <cell r="F3305"/>
          <cell r="G3305"/>
        </row>
        <row r="3306">
          <cell r="B3306"/>
          <cell r="C3306"/>
          <cell r="D3306"/>
          <cell r="E3306"/>
          <cell r="F3306"/>
          <cell r="G3306"/>
        </row>
        <row r="3307">
          <cell r="B3307"/>
          <cell r="C3307"/>
          <cell r="D3307"/>
          <cell r="E3307"/>
          <cell r="F3307"/>
          <cell r="G3307"/>
        </row>
        <row r="3308">
          <cell r="B3308"/>
          <cell r="C3308"/>
          <cell r="D3308"/>
          <cell r="E3308"/>
          <cell r="F3308"/>
          <cell r="G3308"/>
        </row>
        <row r="3309">
          <cell r="B3309"/>
          <cell r="C3309"/>
          <cell r="D3309"/>
          <cell r="E3309"/>
          <cell r="F3309"/>
          <cell r="G3309"/>
        </row>
        <row r="3310">
          <cell r="B3310"/>
          <cell r="C3310"/>
          <cell r="D3310"/>
          <cell r="E3310"/>
          <cell r="F3310"/>
          <cell r="G3310"/>
        </row>
        <row r="3311">
          <cell r="B3311"/>
          <cell r="C3311"/>
          <cell r="D3311"/>
          <cell r="E3311"/>
          <cell r="F3311"/>
          <cell r="G3311"/>
        </row>
        <row r="3312">
          <cell r="B3312"/>
          <cell r="C3312"/>
          <cell r="D3312"/>
          <cell r="E3312"/>
          <cell r="F3312"/>
          <cell r="G3312"/>
        </row>
        <row r="3313">
          <cell r="B3313"/>
          <cell r="C3313"/>
          <cell r="D3313"/>
          <cell r="E3313"/>
          <cell r="F3313"/>
          <cell r="G3313"/>
        </row>
        <row r="3314">
          <cell r="B3314"/>
          <cell r="C3314"/>
          <cell r="D3314"/>
          <cell r="E3314"/>
          <cell r="F3314"/>
          <cell r="G3314"/>
        </row>
        <row r="3315">
          <cell r="B3315"/>
          <cell r="C3315"/>
          <cell r="D3315"/>
          <cell r="E3315"/>
          <cell r="F3315"/>
          <cell r="G3315"/>
        </row>
        <row r="3316">
          <cell r="B3316"/>
          <cell r="C3316"/>
          <cell r="D3316"/>
          <cell r="E3316"/>
          <cell r="F3316"/>
          <cell r="G3316"/>
        </row>
        <row r="3317">
          <cell r="B3317"/>
          <cell r="C3317"/>
          <cell r="D3317"/>
          <cell r="E3317"/>
          <cell r="F3317"/>
          <cell r="G3317"/>
        </row>
        <row r="3318">
          <cell r="B3318"/>
          <cell r="C3318"/>
          <cell r="D3318"/>
          <cell r="E3318"/>
          <cell r="F3318"/>
          <cell r="G3318"/>
        </row>
        <row r="3319">
          <cell r="B3319"/>
          <cell r="C3319"/>
          <cell r="D3319"/>
          <cell r="E3319"/>
          <cell r="F3319"/>
          <cell r="G3319"/>
        </row>
        <row r="3320">
          <cell r="B3320"/>
          <cell r="C3320"/>
          <cell r="D3320"/>
          <cell r="E3320"/>
          <cell r="F3320"/>
          <cell r="G3320"/>
        </row>
        <row r="3321">
          <cell r="B3321"/>
          <cell r="C3321"/>
          <cell r="D3321"/>
          <cell r="E3321"/>
          <cell r="F3321"/>
          <cell r="G3321"/>
        </row>
        <row r="3322">
          <cell r="B3322"/>
          <cell r="C3322"/>
          <cell r="D3322"/>
          <cell r="E3322"/>
          <cell r="F3322"/>
          <cell r="G3322"/>
        </row>
        <row r="3323">
          <cell r="B3323"/>
          <cell r="C3323"/>
          <cell r="D3323"/>
          <cell r="E3323"/>
          <cell r="F3323"/>
          <cell r="G3323"/>
        </row>
        <row r="3324">
          <cell r="B3324"/>
          <cell r="C3324"/>
          <cell r="D3324"/>
          <cell r="E3324"/>
          <cell r="F3324"/>
          <cell r="G3324"/>
        </row>
        <row r="3325">
          <cell r="B3325"/>
          <cell r="C3325"/>
          <cell r="D3325"/>
          <cell r="E3325"/>
          <cell r="F3325"/>
          <cell r="G3325"/>
        </row>
        <row r="3326">
          <cell r="B3326"/>
          <cell r="C3326"/>
          <cell r="D3326"/>
          <cell r="E3326"/>
          <cell r="F3326"/>
          <cell r="G3326"/>
        </row>
        <row r="3327">
          <cell r="B3327"/>
          <cell r="C3327"/>
          <cell r="D3327"/>
          <cell r="E3327"/>
          <cell r="F3327"/>
          <cell r="G3327"/>
        </row>
        <row r="3328">
          <cell r="B3328"/>
          <cell r="C3328"/>
          <cell r="D3328"/>
          <cell r="E3328"/>
          <cell r="F3328"/>
          <cell r="G3328"/>
        </row>
        <row r="3329">
          <cell r="B3329"/>
          <cell r="C3329"/>
          <cell r="D3329"/>
          <cell r="E3329"/>
          <cell r="F3329"/>
          <cell r="G3329"/>
        </row>
        <row r="3330">
          <cell r="B3330"/>
          <cell r="C3330"/>
          <cell r="D3330"/>
          <cell r="E3330"/>
          <cell r="F3330"/>
          <cell r="G3330"/>
        </row>
        <row r="3331">
          <cell r="B3331"/>
          <cell r="C3331"/>
          <cell r="D3331"/>
          <cell r="E3331"/>
          <cell r="F3331"/>
          <cell r="G3331"/>
        </row>
        <row r="3332">
          <cell r="B3332"/>
          <cell r="C3332"/>
          <cell r="D3332"/>
          <cell r="E3332"/>
          <cell r="F3332"/>
          <cell r="G3332"/>
        </row>
        <row r="3333">
          <cell r="B3333"/>
          <cell r="C3333"/>
          <cell r="D3333"/>
          <cell r="E3333"/>
          <cell r="F3333"/>
          <cell r="G3333"/>
        </row>
        <row r="3334">
          <cell r="B3334"/>
          <cell r="C3334"/>
          <cell r="D3334"/>
          <cell r="E3334"/>
          <cell r="F3334"/>
          <cell r="G3334"/>
        </row>
        <row r="3335">
          <cell r="B3335"/>
          <cell r="C3335"/>
          <cell r="D3335"/>
          <cell r="E3335"/>
          <cell r="F3335"/>
          <cell r="G3335"/>
        </row>
        <row r="3336">
          <cell r="B3336"/>
          <cell r="C3336"/>
          <cell r="D3336"/>
          <cell r="E3336"/>
          <cell r="F3336"/>
          <cell r="G3336"/>
        </row>
        <row r="3337">
          <cell r="B3337"/>
          <cell r="C3337"/>
          <cell r="D3337"/>
          <cell r="E3337"/>
          <cell r="F3337"/>
          <cell r="G3337"/>
        </row>
        <row r="3338">
          <cell r="B3338"/>
          <cell r="C3338"/>
          <cell r="D3338"/>
          <cell r="E3338"/>
          <cell r="F3338"/>
          <cell r="G3338"/>
        </row>
        <row r="3339">
          <cell r="B3339"/>
          <cell r="C3339"/>
          <cell r="D3339"/>
          <cell r="E3339"/>
          <cell r="F3339"/>
          <cell r="G3339"/>
        </row>
        <row r="3340">
          <cell r="B3340"/>
          <cell r="C3340"/>
          <cell r="D3340"/>
          <cell r="E3340"/>
          <cell r="F3340"/>
          <cell r="G3340"/>
        </row>
        <row r="3341">
          <cell r="B3341"/>
          <cell r="C3341"/>
          <cell r="D3341"/>
          <cell r="E3341"/>
          <cell r="F3341"/>
          <cell r="G3341"/>
        </row>
        <row r="3342">
          <cell r="B3342"/>
          <cell r="C3342"/>
          <cell r="D3342"/>
          <cell r="E3342"/>
          <cell r="F3342"/>
          <cell r="G3342"/>
        </row>
        <row r="3343">
          <cell r="B3343"/>
          <cell r="C3343"/>
          <cell r="D3343"/>
          <cell r="E3343"/>
          <cell r="F3343"/>
          <cell r="G3343"/>
        </row>
        <row r="3344">
          <cell r="B3344"/>
          <cell r="C3344"/>
          <cell r="D3344"/>
          <cell r="E3344"/>
          <cell r="F3344"/>
          <cell r="G3344"/>
        </row>
        <row r="3345">
          <cell r="B3345"/>
          <cell r="C3345"/>
          <cell r="D3345"/>
          <cell r="E3345"/>
          <cell r="F3345"/>
          <cell r="G3345"/>
        </row>
        <row r="3346">
          <cell r="B3346"/>
          <cell r="C3346"/>
          <cell r="D3346"/>
          <cell r="E3346"/>
          <cell r="F3346"/>
          <cell r="G3346"/>
        </row>
        <row r="3347">
          <cell r="B3347"/>
          <cell r="C3347"/>
          <cell r="D3347"/>
          <cell r="E3347"/>
          <cell r="F3347"/>
          <cell r="G3347"/>
        </row>
        <row r="3348">
          <cell r="B3348"/>
          <cell r="C3348"/>
          <cell r="D3348"/>
          <cell r="E3348"/>
          <cell r="F3348"/>
          <cell r="G3348"/>
        </row>
        <row r="3349">
          <cell r="B3349"/>
          <cell r="C3349"/>
          <cell r="D3349"/>
          <cell r="E3349"/>
          <cell r="F3349"/>
          <cell r="G3349"/>
        </row>
        <row r="3350">
          <cell r="B3350"/>
          <cell r="C3350"/>
          <cell r="D3350"/>
          <cell r="E3350"/>
          <cell r="F3350"/>
          <cell r="G3350"/>
        </row>
        <row r="3351">
          <cell r="B3351"/>
          <cell r="C3351"/>
          <cell r="D3351"/>
          <cell r="E3351"/>
          <cell r="F3351"/>
          <cell r="G3351"/>
        </row>
        <row r="3352">
          <cell r="B3352"/>
          <cell r="C3352"/>
          <cell r="D3352"/>
          <cell r="E3352"/>
          <cell r="F3352"/>
          <cell r="G3352"/>
        </row>
        <row r="3353">
          <cell r="B3353"/>
          <cell r="C3353"/>
          <cell r="D3353"/>
          <cell r="E3353"/>
          <cell r="F3353"/>
          <cell r="G3353"/>
        </row>
        <row r="3354">
          <cell r="B3354"/>
          <cell r="C3354"/>
          <cell r="D3354"/>
          <cell r="E3354"/>
          <cell r="F3354"/>
          <cell r="G3354"/>
        </row>
        <row r="3355">
          <cell r="B3355"/>
          <cell r="C3355"/>
          <cell r="D3355"/>
          <cell r="E3355"/>
          <cell r="F3355"/>
          <cell r="G3355"/>
        </row>
        <row r="3356">
          <cell r="B3356"/>
          <cell r="C3356"/>
          <cell r="D3356"/>
          <cell r="E3356"/>
          <cell r="F3356"/>
          <cell r="G3356"/>
        </row>
        <row r="3357">
          <cell r="B3357"/>
          <cell r="C3357"/>
          <cell r="D3357"/>
          <cell r="E3357"/>
          <cell r="F3357"/>
          <cell r="G3357"/>
        </row>
        <row r="3358">
          <cell r="B3358"/>
          <cell r="C3358"/>
          <cell r="D3358"/>
          <cell r="E3358"/>
          <cell r="F3358"/>
          <cell r="G3358"/>
        </row>
        <row r="3359">
          <cell r="B3359"/>
          <cell r="C3359"/>
          <cell r="D3359"/>
          <cell r="E3359"/>
          <cell r="F3359"/>
          <cell r="G3359"/>
        </row>
        <row r="3360">
          <cell r="B3360"/>
          <cell r="C3360"/>
          <cell r="D3360"/>
          <cell r="E3360"/>
          <cell r="F3360"/>
          <cell r="G3360"/>
        </row>
        <row r="3361">
          <cell r="B3361"/>
          <cell r="C3361"/>
          <cell r="D3361"/>
          <cell r="E3361"/>
          <cell r="F3361"/>
          <cell r="G3361"/>
        </row>
        <row r="3362">
          <cell r="B3362"/>
          <cell r="C3362"/>
          <cell r="D3362"/>
          <cell r="E3362"/>
          <cell r="F3362"/>
          <cell r="G3362"/>
        </row>
        <row r="3363">
          <cell r="B3363"/>
          <cell r="C3363"/>
          <cell r="D3363"/>
          <cell r="E3363"/>
          <cell r="F3363"/>
          <cell r="G3363"/>
        </row>
        <row r="3364">
          <cell r="B3364"/>
          <cell r="C3364"/>
          <cell r="D3364"/>
          <cell r="E3364"/>
          <cell r="F3364"/>
          <cell r="G3364"/>
        </row>
        <row r="3365">
          <cell r="B3365"/>
          <cell r="C3365"/>
          <cell r="D3365"/>
          <cell r="E3365"/>
          <cell r="F3365"/>
          <cell r="G3365"/>
        </row>
        <row r="3366">
          <cell r="B3366"/>
          <cell r="C3366"/>
          <cell r="D3366"/>
          <cell r="E3366"/>
          <cell r="F3366"/>
          <cell r="G3366"/>
        </row>
        <row r="3367">
          <cell r="B3367"/>
          <cell r="C3367"/>
          <cell r="D3367"/>
          <cell r="E3367"/>
          <cell r="F3367"/>
          <cell r="G3367"/>
        </row>
        <row r="3368">
          <cell r="B3368"/>
          <cell r="C3368"/>
          <cell r="D3368"/>
          <cell r="E3368"/>
          <cell r="F3368"/>
          <cell r="G3368"/>
        </row>
        <row r="3369">
          <cell r="B3369"/>
          <cell r="C3369"/>
          <cell r="D3369"/>
          <cell r="E3369"/>
          <cell r="F3369"/>
          <cell r="G3369"/>
        </row>
        <row r="3370">
          <cell r="B3370"/>
          <cell r="C3370"/>
          <cell r="D3370"/>
          <cell r="E3370"/>
          <cell r="F3370"/>
          <cell r="G3370"/>
        </row>
        <row r="3371">
          <cell r="B3371"/>
          <cell r="C3371"/>
          <cell r="D3371"/>
          <cell r="E3371"/>
          <cell r="F3371"/>
          <cell r="G3371"/>
        </row>
        <row r="3372">
          <cell r="B3372"/>
          <cell r="C3372"/>
          <cell r="D3372"/>
          <cell r="E3372"/>
          <cell r="F3372"/>
          <cell r="G3372"/>
        </row>
        <row r="3373">
          <cell r="B3373"/>
          <cell r="C3373"/>
          <cell r="D3373"/>
          <cell r="E3373"/>
          <cell r="F3373"/>
          <cell r="G3373"/>
        </row>
        <row r="3374">
          <cell r="B3374"/>
          <cell r="C3374"/>
          <cell r="D3374"/>
          <cell r="E3374"/>
          <cell r="F3374"/>
          <cell r="G3374"/>
        </row>
        <row r="3375">
          <cell r="B3375"/>
          <cell r="C3375"/>
          <cell r="D3375"/>
          <cell r="E3375"/>
          <cell r="F3375"/>
          <cell r="G3375"/>
        </row>
        <row r="3376">
          <cell r="B3376"/>
          <cell r="C3376"/>
          <cell r="D3376"/>
          <cell r="E3376"/>
          <cell r="F3376"/>
          <cell r="G3376"/>
        </row>
        <row r="3377">
          <cell r="B3377"/>
          <cell r="C3377"/>
          <cell r="D3377"/>
          <cell r="E3377"/>
          <cell r="F3377"/>
          <cell r="G3377"/>
        </row>
        <row r="3378">
          <cell r="B3378"/>
          <cell r="C3378"/>
          <cell r="D3378"/>
          <cell r="E3378"/>
          <cell r="F3378"/>
          <cell r="G3378"/>
        </row>
        <row r="3379">
          <cell r="B3379"/>
          <cell r="C3379"/>
          <cell r="D3379"/>
          <cell r="E3379"/>
          <cell r="F3379"/>
          <cell r="G3379"/>
        </row>
        <row r="3380">
          <cell r="B3380"/>
          <cell r="C3380"/>
          <cell r="D3380"/>
          <cell r="E3380"/>
          <cell r="F3380"/>
          <cell r="G3380"/>
        </row>
        <row r="3381">
          <cell r="B3381"/>
          <cell r="C3381"/>
          <cell r="D3381"/>
          <cell r="E3381"/>
          <cell r="F3381"/>
          <cell r="G3381"/>
        </row>
        <row r="3382">
          <cell r="B3382"/>
          <cell r="C3382"/>
          <cell r="D3382"/>
          <cell r="E3382"/>
          <cell r="F3382"/>
          <cell r="G3382"/>
        </row>
        <row r="3383">
          <cell r="B3383"/>
          <cell r="C3383"/>
          <cell r="D3383"/>
          <cell r="E3383"/>
          <cell r="F3383"/>
          <cell r="G3383"/>
        </row>
        <row r="3384">
          <cell r="B3384"/>
          <cell r="C3384"/>
          <cell r="D3384"/>
          <cell r="E3384"/>
          <cell r="F3384"/>
          <cell r="G3384"/>
        </row>
        <row r="3385">
          <cell r="B3385"/>
          <cell r="C3385"/>
          <cell r="D3385"/>
          <cell r="E3385"/>
          <cell r="F3385"/>
          <cell r="G3385"/>
        </row>
        <row r="3386">
          <cell r="B3386"/>
          <cell r="C3386"/>
          <cell r="D3386"/>
          <cell r="E3386"/>
          <cell r="F3386"/>
          <cell r="G3386"/>
        </row>
        <row r="3387">
          <cell r="B3387"/>
          <cell r="C3387"/>
          <cell r="D3387"/>
          <cell r="E3387"/>
          <cell r="F3387"/>
          <cell r="G3387"/>
        </row>
        <row r="3388">
          <cell r="B3388"/>
          <cell r="C3388"/>
          <cell r="D3388"/>
          <cell r="E3388"/>
          <cell r="F3388"/>
          <cell r="G3388"/>
        </row>
        <row r="3389">
          <cell r="B3389"/>
          <cell r="C3389"/>
          <cell r="D3389"/>
          <cell r="E3389"/>
          <cell r="F3389"/>
          <cell r="G3389"/>
        </row>
        <row r="3390">
          <cell r="B3390"/>
          <cell r="C3390"/>
          <cell r="D3390"/>
          <cell r="E3390"/>
          <cell r="F3390"/>
          <cell r="G3390"/>
        </row>
        <row r="3391">
          <cell r="B3391"/>
          <cell r="C3391"/>
          <cell r="D3391"/>
          <cell r="E3391"/>
          <cell r="F3391"/>
          <cell r="G3391"/>
        </row>
        <row r="3392">
          <cell r="B3392"/>
          <cell r="C3392"/>
          <cell r="D3392"/>
          <cell r="E3392"/>
          <cell r="F3392"/>
          <cell r="G3392"/>
        </row>
        <row r="3393">
          <cell r="B3393"/>
          <cell r="C3393"/>
          <cell r="D3393"/>
          <cell r="E3393"/>
          <cell r="F3393"/>
          <cell r="G3393"/>
        </row>
        <row r="3394">
          <cell r="B3394"/>
          <cell r="C3394"/>
          <cell r="D3394"/>
          <cell r="E3394"/>
          <cell r="F3394"/>
          <cell r="G3394"/>
        </row>
        <row r="3395">
          <cell r="B3395"/>
          <cell r="C3395"/>
          <cell r="D3395"/>
          <cell r="E3395"/>
          <cell r="F3395"/>
          <cell r="G3395"/>
        </row>
        <row r="3396">
          <cell r="B3396"/>
          <cell r="C3396"/>
          <cell r="D3396"/>
          <cell r="E3396"/>
          <cell r="F3396"/>
          <cell r="G3396"/>
        </row>
        <row r="3397">
          <cell r="B3397"/>
          <cell r="C3397"/>
          <cell r="D3397"/>
          <cell r="E3397"/>
          <cell r="F3397"/>
          <cell r="G3397"/>
        </row>
        <row r="3398">
          <cell r="B3398"/>
          <cell r="C3398"/>
          <cell r="D3398"/>
          <cell r="E3398"/>
          <cell r="F3398"/>
          <cell r="G3398"/>
        </row>
        <row r="3399">
          <cell r="B3399"/>
          <cell r="C3399"/>
          <cell r="D3399"/>
          <cell r="E3399"/>
          <cell r="F3399"/>
          <cell r="G3399"/>
        </row>
        <row r="3400">
          <cell r="B3400"/>
          <cell r="C3400"/>
          <cell r="D3400"/>
          <cell r="E3400"/>
          <cell r="F3400"/>
          <cell r="G3400"/>
        </row>
        <row r="3401">
          <cell r="B3401"/>
          <cell r="C3401"/>
          <cell r="D3401"/>
          <cell r="E3401"/>
          <cell r="F3401"/>
          <cell r="G3401"/>
        </row>
        <row r="3402">
          <cell r="B3402"/>
          <cell r="C3402"/>
          <cell r="D3402"/>
          <cell r="E3402"/>
          <cell r="F3402"/>
          <cell r="G3402"/>
        </row>
        <row r="3403">
          <cell r="B3403"/>
          <cell r="C3403"/>
          <cell r="D3403"/>
          <cell r="E3403"/>
          <cell r="F3403"/>
          <cell r="G3403"/>
        </row>
        <row r="3404">
          <cell r="B3404"/>
          <cell r="C3404"/>
          <cell r="D3404"/>
          <cell r="E3404"/>
          <cell r="F3404"/>
          <cell r="G3404"/>
        </row>
        <row r="3405">
          <cell r="B3405"/>
          <cell r="C3405"/>
          <cell r="D3405"/>
          <cell r="E3405"/>
          <cell r="F3405"/>
          <cell r="G3405"/>
        </row>
        <row r="3406">
          <cell r="B3406"/>
          <cell r="C3406"/>
          <cell r="D3406"/>
          <cell r="E3406"/>
          <cell r="F3406"/>
          <cell r="G3406"/>
        </row>
        <row r="3407">
          <cell r="B3407"/>
          <cell r="C3407"/>
          <cell r="D3407"/>
          <cell r="E3407"/>
          <cell r="F3407"/>
          <cell r="G3407"/>
        </row>
        <row r="3408">
          <cell r="B3408"/>
          <cell r="C3408"/>
          <cell r="D3408"/>
          <cell r="E3408"/>
          <cell r="F3408"/>
          <cell r="G3408"/>
        </row>
        <row r="3409">
          <cell r="B3409"/>
          <cell r="C3409"/>
          <cell r="D3409"/>
          <cell r="E3409"/>
          <cell r="F3409"/>
          <cell r="G3409"/>
        </row>
        <row r="3410">
          <cell r="B3410"/>
          <cell r="C3410"/>
          <cell r="D3410"/>
          <cell r="E3410"/>
          <cell r="F3410"/>
          <cell r="G3410"/>
        </row>
        <row r="3411">
          <cell r="B3411"/>
          <cell r="C3411"/>
          <cell r="D3411"/>
          <cell r="E3411"/>
          <cell r="F3411"/>
          <cell r="G3411"/>
        </row>
        <row r="3412">
          <cell r="B3412"/>
          <cell r="C3412"/>
          <cell r="D3412"/>
          <cell r="E3412"/>
          <cell r="F3412"/>
          <cell r="G3412"/>
        </row>
        <row r="3413">
          <cell r="B3413"/>
          <cell r="C3413"/>
          <cell r="D3413"/>
          <cell r="E3413"/>
          <cell r="F3413"/>
          <cell r="G3413"/>
        </row>
        <row r="3414">
          <cell r="B3414"/>
          <cell r="C3414"/>
          <cell r="D3414"/>
          <cell r="E3414"/>
          <cell r="F3414"/>
          <cell r="G3414"/>
        </row>
        <row r="3415">
          <cell r="B3415"/>
          <cell r="C3415"/>
          <cell r="D3415"/>
          <cell r="E3415"/>
          <cell r="F3415"/>
          <cell r="G3415"/>
        </row>
        <row r="3416">
          <cell r="B3416"/>
          <cell r="C3416"/>
          <cell r="D3416"/>
          <cell r="E3416"/>
          <cell r="F3416"/>
          <cell r="G3416"/>
        </row>
        <row r="3417">
          <cell r="B3417"/>
          <cell r="C3417"/>
          <cell r="D3417"/>
          <cell r="E3417"/>
          <cell r="F3417"/>
          <cell r="G3417"/>
        </row>
        <row r="3418">
          <cell r="B3418"/>
          <cell r="C3418"/>
          <cell r="D3418"/>
          <cell r="E3418"/>
          <cell r="F3418"/>
          <cell r="G3418"/>
        </row>
        <row r="3419">
          <cell r="B3419"/>
          <cell r="C3419"/>
          <cell r="D3419"/>
          <cell r="E3419"/>
          <cell r="F3419"/>
          <cell r="G3419"/>
        </row>
        <row r="3420">
          <cell r="B3420"/>
          <cell r="C3420"/>
          <cell r="D3420"/>
          <cell r="E3420"/>
          <cell r="F3420"/>
          <cell r="G3420"/>
        </row>
        <row r="3421">
          <cell r="B3421"/>
          <cell r="C3421"/>
          <cell r="D3421"/>
          <cell r="E3421"/>
          <cell r="F3421"/>
          <cell r="G3421"/>
        </row>
        <row r="3422">
          <cell r="B3422"/>
          <cell r="C3422"/>
          <cell r="D3422"/>
          <cell r="E3422"/>
          <cell r="F3422"/>
          <cell r="G3422"/>
        </row>
        <row r="3423">
          <cell r="B3423"/>
          <cell r="C3423"/>
          <cell r="D3423"/>
          <cell r="E3423"/>
          <cell r="F3423"/>
          <cell r="G3423"/>
        </row>
        <row r="3424">
          <cell r="B3424"/>
          <cell r="C3424"/>
          <cell r="D3424"/>
          <cell r="E3424"/>
          <cell r="F3424"/>
          <cell r="G3424"/>
        </row>
        <row r="3425">
          <cell r="B3425"/>
          <cell r="C3425"/>
          <cell r="D3425"/>
          <cell r="E3425"/>
          <cell r="F3425"/>
          <cell r="G3425"/>
        </row>
        <row r="3426">
          <cell r="B3426"/>
          <cell r="C3426"/>
          <cell r="D3426"/>
          <cell r="E3426"/>
          <cell r="F3426"/>
          <cell r="G3426"/>
        </row>
        <row r="3427">
          <cell r="B3427"/>
          <cell r="C3427"/>
          <cell r="D3427"/>
          <cell r="E3427"/>
          <cell r="F3427"/>
          <cell r="G3427"/>
        </row>
        <row r="3428">
          <cell r="B3428"/>
          <cell r="C3428"/>
          <cell r="D3428"/>
          <cell r="E3428"/>
          <cell r="F3428"/>
          <cell r="G3428"/>
        </row>
        <row r="3429">
          <cell r="B3429"/>
          <cell r="C3429"/>
          <cell r="D3429"/>
          <cell r="E3429"/>
          <cell r="F3429"/>
          <cell r="G3429"/>
        </row>
        <row r="3430">
          <cell r="B3430"/>
          <cell r="C3430"/>
          <cell r="D3430"/>
          <cell r="E3430"/>
          <cell r="F3430"/>
          <cell r="G3430"/>
        </row>
        <row r="3431">
          <cell r="B3431"/>
          <cell r="C3431"/>
          <cell r="D3431"/>
          <cell r="E3431"/>
          <cell r="F3431"/>
          <cell r="G3431"/>
        </row>
        <row r="3432">
          <cell r="B3432"/>
          <cell r="C3432"/>
          <cell r="D3432"/>
          <cell r="E3432"/>
          <cell r="F3432"/>
          <cell r="G3432"/>
        </row>
        <row r="3433">
          <cell r="B3433"/>
          <cell r="C3433"/>
          <cell r="D3433"/>
          <cell r="E3433"/>
          <cell r="F3433"/>
          <cell r="G3433"/>
        </row>
        <row r="3434">
          <cell r="B3434"/>
          <cell r="C3434"/>
          <cell r="D3434"/>
          <cell r="E3434"/>
          <cell r="F3434"/>
          <cell r="G3434"/>
        </row>
        <row r="3435">
          <cell r="B3435"/>
          <cell r="C3435"/>
          <cell r="D3435"/>
          <cell r="E3435"/>
          <cell r="F3435"/>
          <cell r="G3435"/>
        </row>
        <row r="3436">
          <cell r="B3436"/>
          <cell r="C3436"/>
          <cell r="D3436"/>
          <cell r="E3436"/>
          <cell r="F3436"/>
          <cell r="G3436"/>
        </row>
        <row r="3437">
          <cell r="B3437"/>
          <cell r="C3437"/>
          <cell r="D3437"/>
          <cell r="E3437"/>
          <cell r="F3437"/>
          <cell r="G3437"/>
        </row>
        <row r="3438">
          <cell r="B3438"/>
          <cell r="C3438"/>
          <cell r="D3438"/>
          <cell r="E3438"/>
          <cell r="F3438"/>
          <cell r="G3438"/>
        </row>
        <row r="3439">
          <cell r="B3439"/>
          <cell r="C3439"/>
          <cell r="D3439"/>
          <cell r="E3439"/>
          <cell r="F3439"/>
          <cell r="G3439"/>
        </row>
        <row r="3440">
          <cell r="B3440"/>
          <cell r="C3440"/>
          <cell r="D3440"/>
          <cell r="E3440"/>
          <cell r="F3440"/>
          <cell r="G3440"/>
        </row>
        <row r="3441">
          <cell r="B3441"/>
          <cell r="C3441"/>
          <cell r="D3441"/>
          <cell r="E3441"/>
          <cell r="F3441"/>
          <cell r="G3441"/>
        </row>
        <row r="3442">
          <cell r="B3442"/>
          <cell r="C3442"/>
          <cell r="D3442"/>
          <cell r="E3442"/>
          <cell r="F3442"/>
          <cell r="G3442"/>
        </row>
        <row r="3443">
          <cell r="B3443"/>
          <cell r="C3443"/>
          <cell r="D3443"/>
          <cell r="E3443"/>
          <cell r="F3443"/>
          <cell r="G3443"/>
        </row>
        <row r="3444">
          <cell r="B3444"/>
          <cell r="C3444"/>
          <cell r="D3444"/>
          <cell r="E3444"/>
          <cell r="F3444"/>
          <cell r="G3444"/>
        </row>
        <row r="3445">
          <cell r="B3445"/>
          <cell r="C3445"/>
          <cell r="D3445"/>
          <cell r="E3445"/>
          <cell r="F3445"/>
          <cell r="G3445"/>
        </row>
        <row r="3446">
          <cell r="B3446"/>
          <cell r="C3446"/>
          <cell r="D3446"/>
          <cell r="E3446"/>
          <cell r="F3446"/>
          <cell r="G3446"/>
        </row>
        <row r="3447">
          <cell r="B3447"/>
          <cell r="C3447"/>
          <cell r="D3447"/>
          <cell r="E3447"/>
          <cell r="F3447"/>
          <cell r="G3447"/>
        </row>
        <row r="3448">
          <cell r="B3448"/>
          <cell r="C3448"/>
          <cell r="D3448"/>
          <cell r="E3448"/>
          <cell r="F3448"/>
          <cell r="G3448"/>
        </row>
        <row r="3449">
          <cell r="B3449"/>
          <cell r="C3449"/>
          <cell r="D3449"/>
          <cell r="E3449"/>
          <cell r="F3449"/>
          <cell r="G3449"/>
        </row>
        <row r="3450">
          <cell r="B3450"/>
          <cell r="C3450"/>
          <cell r="D3450"/>
          <cell r="E3450"/>
          <cell r="F3450"/>
          <cell r="G3450"/>
        </row>
        <row r="3451">
          <cell r="B3451"/>
          <cell r="C3451"/>
          <cell r="D3451"/>
          <cell r="E3451"/>
          <cell r="F3451"/>
          <cell r="G3451"/>
        </row>
        <row r="3452">
          <cell r="B3452"/>
          <cell r="C3452"/>
          <cell r="D3452"/>
          <cell r="E3452"/>
          <cell r="F3452"/>
          <cell r="G3452"/>
        </row>
        <row r="3453">
          <cell r="B3453"/>
          <cell r="C3453"/>
          <cell r="D3453"/>
          <cell r="E3453"/>
          <cell r="F3453"/>
          <cell r="G3453"/>
        </row>
        <row r="3454">
          <cell r="B3454"/>
          <cell r="C3454"/>
          <cell r="D3454"/>
          <cell r="E3454"/>
          <cell r="F3454"/>
          <cell r="G3454"/>
        </row>
        <row r="3455">
          <cell r="B3455"/>
          <cell r="C3455"/>
          <cell r="D3455"/>
          <cell r="E3455"/>
          <cell r="F3455"/>
          <cell r="G3455"/>
        </row>
        <row r="3456">
          <cell r="B3456"/>
          <cell r="C3456"/>
          <cell r="D3456"/>
          <cell r="E3456"/>
          <cell r="F3456"/>
          <cell r="G3456"/>
        </row>
        <row r="3457">
          <cell r="B3457"/>
          <cell r="C3457"/>
          <cell r="D3457"/>
          <cell r="E3457"/>
          <cell r="F3457"/>
          <cell r="G3457"/>
        </row>
        <row r="3458">
          <cell r="B3458"/>
          <cell r="C3458"/>
          <cell r="D3458"/>
          <cell r="E3458"/>
          <cell r="F3458"/>
          <cell r="G3458"/>
        </row>
        <row r="3459">
          <cell r="B3459"/>
          <cell r="C3459"/>
          <cell r="D3459"/>
          <cell r="E3459"/>
          <cell r="F3459"/>
          <cell r="G3459"/>
        </row>
        <row r="3460">
          <cell r="B3460"/>
          <cell r="C3460"/>
          <cell r="D3460"/>
          <cell r="E3460"/>
          <cell r="F3460"/>
          <cell r="G3460"/>
        </row>
        <row r="3461">
          <cell r="B3461"/>
          <cell r="C3461"/>
          <cell r="D3461"/>
          <cell r="E3461"/>
          <cell r="F3461"/>
          <cell r="G3461"/>
        </row>
        <row r="3462">
          <cell r="B3462"/>
          <cell r="C3462"/>
          <cell r="D3462"/>
          <cell r="E3462"/>
          <cell r="F3462"/>
          <cell r="G3462"/>
        </row>
        <row r="3463">
          <cell r="B3463"/>
          <cell r="C3463"/>
          <cell r="D3463"/>
          <cell r="E3463"/>
          <cell r="F3463"/>
          <cell r="G3463"/>
        </row>
        <row r="3464">
          <cell r="B3464"/>
          <cell r="C3464"/>
          <cell r="D3464"/>
          <cell r="E3464"/>
          <cell r="F3464"/>
          <cell r="G3464"/>
        </row>
        <row r="3465">
          <cell r="B3465"/>
          <cell r="C3465"/>
          <cell r="D3465"/>
          <cell r="E3465"/>
          <cell r="F3465"/>
          <cell r="G3465"/>
        </row>
        <row r="3466">
          <cell r="B3466"/>
          <cell r="C3466"/>
          <cell r="D3466"/>
          <cell r="E3466"/>
          <cell r="F3466"/>
          <cell r="G3466"/>
        </row>
        <row r="3467">
          <cell r="B3467"/>
          <cell r="C3467"/>
          <cell r="D3467"/>
          <cell r="E3467"/>
          <cell r="F3467"/>
          <cell r="G3467"/>
        </row>
        <row r="3468">
          <cell r="B3468"/>
          <cell r="C3468"/>
          <cell r="D3468"/>
          <cell r="E3468"/>
          <cell r="F3468"/>
          <cell r="G3468"/>
        </row>
        <row r="3469">
          <cell r="B3469"/>
          <cell r="C3469"/>
          <cell r="D3469"/>
          <cell r="E3469"/>
          <cell r="F3469"/>
          <cell r="G3469"/>
        </row>
        <row r="3470">
          <cell r="B3470"/>
          <cell r="C3470"/>
          <cell r="D3470"/>
          <cell r="E3470"/>
          <cell r="F3470"/>
          <cell r="G3470"/>
        </row>
        <row r="3471">
          <cell r="B3471"/>
          <cell r="C3471"/>
          <cell r="D3471"/>
          <cell r="E3471"/>
          <cell r="F3471"/>
          <cell r="G3471"/>
        </row>
        <row r="3472">
          <cell r="B3472"/>
          <cell r="C3472"/>
          <cell r="D3472"/>
          <cell r="E3472"/>
          <cell r="F3472"/>
          <cell r="G3472"/>
        </row>
        <row r="3473">
          <cell r="B3473"/>
          <cell r="C3473"/>
          <cell r="D3473"/>
          <cell r="E3473"/>
          <cell r="F3473"/>
          <cell r="G3473"/>
        </row>
        <row r="3474">
          <cell r="B3474"/>
          <cell r="C3474"/>
          <cell r="D3474"/>
          <cell r="E3474"/>
          <cell r="F3474"/>
          <cell r="G3474"/>
        </row>
        <row r="3475">
          <cell r="B3475"/>
          <cell r="C3475"/>
          <cell r="D3475"/>
          <cell r="E3475"/>
          <cell r="F3475"/>
          <cell r="G3475"/>
        </row>
        <row r="3476">
          <cell r="B3476"/>
          <cell r="C3476"/>
          <cell r="D3476"/>
          <cell r="E3476"/>
          <cell r="F3476"/>
          <cell r="G3476"/>
        </row>
        <row r="3477">
          <cell r="B3477"/>
          <cell r="C3477"/>
          <cell r="D3477"/>
          <cell r="E3477"/>
          <cell r="F3477"/>
          <cell r="G3477"/>
        </row>
        <row r="3478">
          <cell r="B3478"/>
          <cell r="C3478"/>
          <cell r="D3478"/>
          <cell r="E3478"/>
          <cell r="F3478"/>
          <cell r="G3478"/>
        </row>
        <row r="3479">
          <cell r="B3479"/>
          <cell r="C3479"/>
          <cell r="D3479"/>
          <cell r="E3479"/>
          <cell r="F3479"/>
          <cell r="G3479"/>
        </row>
        <row r="3480">
          <cell r="B3480"/>
          <cell r="C3480"/>
          <cell r="D3480"/>
          <cell r="E3480"/>
          <cell r="F3480"/>
          <cell r="G3480"/>
        </row>
        <row r="3481">
          <cell r="B3481"/>
          <cell r="C3481"/>
          <cell r="D3481"/>
          <cell r="E3481"/>
          <cell r="F3481"/>
          <cell r="G3481"/>
        </row>
        <row r="3482">
          <cell r="B3482"/>
          <cell r="C3482"/>
          <cell r="D3482"/>
          <cell r="E3482"/>
          <cell r="F3482"/>
          <cell r="G3482"/>
        </row>
        <row r="3483">
          <cell r="B3483"/>
          <cell r="C3483"/>
          <cell r="D3483"/>
          <cell r="E3483"/>
          <cell r="F3483"/>
          <cell r="G3483"/>
        </row>
        <row r="3484">
          <cell r="B3484"/>
          <cell r="C3484"/>
          <cell r="D3484"/>
          <cell r="E3484"/>
          <cell r="F3484"/>
          <cell r="G3484"/>
        </row>
        <row r="3485">
          <cell r="B3485"/>
          <cell r="C3485"/>
          <cell r="D3485"/>
          <cell r="E3485"/>
          <cell r="F3485"/>
          <cell r="G3485"/>
        </row>
        <row r="3486">
          <cell r="B3486"/>
          <cell r="C3486"/>
          <cell r="D3486"/>
          <cell r="E3486"/>
          <cell r="F3486"/>
          <cell r="G3486"/>
        </row>
        <row r="3487">
          <cell r="B3487"/>
          <cell r="C3487"/>
          <cell r="D3487"/>
          <cell r="E3487"/>
          <cell r="F3487"/>
          <cell r="G3487"/>
        </row>
        <row r="3488">
          <cell r="B3488"/>
          <cell r="C3488"/>
          <cell r="D3488"/>
          <cell r="E3488"/>
          <cell r="F3488"/>
          <cell r="G3488"/>
        </row>
        <row r="3489">
          <cell r="B3489"/>
          <cell r="C3489"/>
          <cell r="D3489"/>
          <cell r="E3489"/>
          <cell r="F3489"/>
          <cell r="G3489"/>
        </row>
        <row r="3490">
          <cell r="B3490"/>
          <cell r="C3490"/>
          <cell r="D3490"/>
          <cell r="E3490"/>
          <cell r="F3490"/>
          <cell r="G3490"/>
        </row>
        <row r="3491">
          <cell r="B3491"/>
          <cell r="C3491"/>
          <cell r="D3491"/>
          <cell r="E3491"/>
          <cell r="F3491"/>
          <cell r="G3491"/>
        </row>
        <row r="3492">
          <cell r="B3492"/>
          <cell r="C3492"/>
          <cell r="D3492"/>
          <cell r="E3492"/>
          <cell r="F3492"/>
          <cell r="G3492"/>
        </row>
        <row r="3493">
          <cell r="B3493"/>
          <cell r="C3493"/>
          <cell r="D3493"/>
          <cell r="E3493"/>
          <cell r="F3493"/>
          <cell r="G3493"/>
        </row>
        <row r="3494">
          <cell r="B3494"/>
          <cell r="C3494"/>
          <cell r="D3494"/>
          <cell r="E3494"/>
          <cell r="F3494"/>
          <cell r="G3494"/>
        </row>
        <row r="3495">
          <cell r="B3495"/>
          <cell r="C3495"/>
          <cell r="D3495"/>
          <cell r="E3495"/>
          <cell r="F3495"/>
          <cell r="G3495"/>
        </row>
        <row r="3496">
          <cell r="B3496"/>
          <cell r="C3496"/>
          <cell r="D3496"/>
          <cell r="E3496"/>
          <cell r="F3496"/>
          <cell r="G3496"/>
        </row>
        <row r="3497">
          <cell r="B3497"/>
          <cell r="C3497"/>
          <cell r="D3497"/>
          <cell r="E3497"/>
          <cell r="F3497"/>
          <cell r="G3497"/>
        </row>
        <row r="3498">
          <cell r="B3498"/>
          <cell r="C3498"/>
          <cell r="D3498"/>
          <cell r="E3498"/>
          <cell r="F3498"/>
          <cell r="G3498"/>
        </row>
        <row r="3499">
          <cell r="B3499"/>
          <cell r="C3499"/>
          <cell r="D3499"/>
          <cell r="E3499"/>
          <cell r="F3499"/>
          <cell r="G3499"/>
        </row>
        <row r="3500">
          <cell r="B3500"/>
          <cell r="C3500"/>
          <cell r="D3500"/>
          <cell r="E3500"/>
          <cell r="F3500"/>
          <cell r="G3500"/>
        </row>
        <row r="3501">
          <cell r="B3501"/>
          <cell r="C3501"/>
          <cell r="D3501"/>
          <cell r="E3501"/>
          <cell r="F3501"/>
          <cell r="G3501"/>
        </row>
        <row r="3502">
          <cell r="B3502"/>
          <cell r="C3502"/>
          <cell r="D3502"/>
          <cell r="E3502"/>
          <cell r="F3502"/>
          <cell r="G3502"/>
        </row>
        <row r="3503">
          <cell r="B3503"/>
          <cell r="C3503"/>
          <cell r="D3503"/>
          <cell r="E3503"/>
          <cell r="F3503"/>
          <cell r="G3503"/>
        </row>
        <row r="3504">
          <cell r="B3504"/>
          <cell r="C3504"/>
          <cell r="D3504"/>
          <cell r="E3504"/>
          <cell r="F3504"/>
          <cell r="G3504"/>
        </row>
        <row r="3505">
          <cell r="B3505"/>
          <cell r="C3505"/>
          <cell r="D3505"/>
          <cell r="E3505"/>
          <cell r="F3505"/>
          <cell r="G3505"/>
        </row>
        <row r="3506">
          <cell r="B3506"/>
          <cell r="C3506"/>
          <cell r="D3506"/>
          <cell r="E3506"/>
          <cell r="F3506"/>
          <cell r="G3506"/>
        </row>
        <row r="3507">
          <cell r="B3507"/>
          <cell r="C3507"/>
          <cell r="D3507"/>
          <cell r="E3507"/>
          <cell r="F3507"/>
          <cell r="G3507"/>
        </row>
        <row r="3508">
          <cell r="B3508"/>
          <cell r="C3508"/>
          <cell r="D3508"/>
          <cell r="E3508"/>
          <cell r="F3508"/>
          <cell r="G3508"/>
        </row>
        <row r="3509">
          <cell r="B3509"/>
          <cell r="C3509"/>
          <cell r="D3509"/>
          <cell r="E3509"/>
          <cell r="F3509"/>
          <cell r="G3509"/>
        </row>
        <row r="3510">
          <cell r="B3510"/>
          <cell r="C3510"/>
          <cell r="D3510"/>
          <cell r="E3510"/>
          <cell r="F3510"/>
          <cell r="G3510"/>
        </row>
        <row r="3511">
          <cell r="B3511"/>
          <cell r="C3511"/>
          <cell r="D3511"/>
          <cell r="E3511"/>
          <cell r="F3511"/>
          <cell r="G3511"/>
        </row>
        <row r="3512">
          <cell r="B3512"/>
          <cell r="C3512"/>
          <cell r="D3512"/>
          <cell r="E3512"/>
          <cell r="F3512"/>
          <cell r="G3512"/>
        </row>
        <row r="3513">
          <cell r="B3513"/>
          <cell r="C3513"/>
          <cell r="D3513"/>
          <cell r="E3513"/>
          <cell r="F3513"/>
          <cell r="G3513"/>
        </row>
        <row r="3514">
          <cell r="B3514"/>
          <cell r="C3514"/>
          <cell r="D3514"/>
          <cell r="E3514"/>
          <cell r="F3514"/>
          <cell r="G3514"/>
        </row>
        <row r="3515">
          <cell r="B3515"/>
          <cell r="C3515"/>
          <cell r="D3515"/>
          <cell r="E3515"/>
          <cell r="F3515"/>
          <cell r="G3515"/>
        </row>
        <row r="3516">
          <cell r="B3516"/>
          <cell r="C3516"/>
          <cell r="D3516"/>
          <cell r="E3516"/>
          <cell r="F3516"/>
          <cell r="G3516"/>
        </row>
        <row r="3517">
          <cell r="B3517"/>
          <cell r="C3517"/>
          <cell r="D3517"/>
          <cell r="E3517"/>
          <cell r="F3517"/>
          <cell r="G3517"/>
        </row>
        <row r="3518">
          <cell r="B3518"/>
          <cell r="C3518"/>
          <cell r="D3518"/>
          <cell r="E3518"/>
          <cell r="F3518"/>
          <cell r="G3518"/>
        </row>
        <row r="3519">
          <cell r="B3519"/>
          <cell r="C3519"/>
          <cell r="D3519"/>
          <cell r="E3519"/>
          <cell r="F3519"/>
          <cell r="G3519"/>
        </row>
        <row r="3520">
          <cell r="B3520"/>
          <cell r="C3520"/>
          <cell r="D3520"/>
          <cell r="E3520"/>
          <cell r="F3520"/>
          <cell r="G3520"/>
        </row>
        <row r="3521">
          <cell r="B3521"/>
          <cell r="C3521"/>
          <cell r="D3521"/>
          <cell r="E3521"/>
          <cell r="F3521"/>
          <cell r="G3521"/>
        </row>
        <row r="3522">
          <cell r="B3522"/>
          <cell r="C3522"/>
          <cell r="D3522"/>
          <cell r="E3522"/>
          <cell r="F3522"/>
          <cell r="G3522"/>
        </row>
        <row r="3523">
          <cell r="B3523"/>
          <cell r="C3523"/>
          <cell r="D3523"/>
          <cell r="E3523"/>
          <cell r="F3523"/>
          <cell r="G3523"/>
        </row>
        <row r="3524">
          <cell r="B3524"/>
          <cell r="C3524"/>
          <cell r="D3524"/>
          <cell r="E3524"/>
          <cell r="F3524"/>
          <cell r="G3524"/>
        </row>
        <row r="3525">
          <cell r="B3525"/>
          <cell r="C3525"/>
          <cell r="D3525"/>
          <cell r="E3525"/>
          <cell r="F3525"/>
          <cell r="G3525"/>
        </row>
        <row r="3526">
          <cell r="B3526"/>
          <cell r="C3526"/>
          <cell r="D3526"/>
          <cell r="E3526"/>
          <cell r="F3526"/>
          <cell r="G3526"/>
        </row>
        <row r="3527">
          <cell r="B3527"/>
          <cell r="C3527"/>
          <cell r="D3527"/>
          <cell r="E3527"/>
          <cell r="F3527"/>
          <cell r="G3527"/>
        </row>
        <row r="3528">
          <cell r="B3528"/>
          <cell r="C3528"/>
          <cell r="D3528"/>
          <cell r="E3528"/>
          <cell r="F3528"/>
          <cell r="G3528"/>
        </row>
        <row r="3529">
          <cell r="B3529"/>
          <cell r="C3529"/>
          <cell r="D3529"/>
          <cell r="E3529"/>
          <cell r="F3529"/>
          <cell r="G3529"/>
        </row>
        <row r="3530">
          <cell r="B3530"/>
          <cell r="C3530"/>
          <cell r="D3530"/>
          <cell r="E3530"/>
          <cell r="F3530"/>
          <cell r="G3530"/>
        </row>
        <row r="3531">
          <cell r="B3531"/>
          <cell r="C3531"/>
          <cell r="D3531"/>
          <cell r="E3531"/>
          <cell r="F3531"/>
          <cell r="G3531"/>
        </row>
        <row r="3532">
          <cell r="B3532"/>
          <cell r="C3532"/>
          <cell r="D3532"/>
          <cell r="E3532"/>
          <cell r="F3532"/>
          <cell r="G3532"/>
        </row>
        <row r="3533">
          <cell r="B3533"/>
          <cell r="C3533"/>
          <cell r="D3533"/>
          <cell r="E3533"/>
          <cell r="F3533"/>
          <cell r="G3533"/>
        </row>
        <row r="3534">
          <cell r="B3534"/>
          <cell r="C3534"/>
          <cell r="D3534"/>
          <cell r="E3534"/>
          <cell r="F3534"/>
          <cell r="G3534"/>
        </row>
        <row r="3535">
          <cell r="B3535"/>
          <cell r="C3535"/>
          <cell r="D3535"/>
          <cell r="E3535"/>
          <cell r="F3535"/>
          <cell r="G3535"/>
        </row>
        <row r="3536">
          <cell r="B3536"/>
          <cell r="C3536"/>
          <cell r="D3536"/>
          <cell r="E3536"/>
          <cell r="F3536"/>
          <cell r="G3536"/>
        </row>
        <row r="3537">
          <cell r="B3537"/>
          <cell r="C3537"/>
          <cell r="D3537"/>
          <cell r="E3537"/>
          <cell r="F3537"/>
          <cell r="G3537"/>
        </row>
        <row r="3538">
          <cell r="B3538"/>
          <cell r="C3538"/>
          <cell r="D3538"/>
          <cell r="E3538"/>
          <cell r="F3538"/>
          <cell r="G3538"/>
        </row>
        <row r="3539">
          <cell r="B3539"/>
          <cell r="C3539"/>
          <cell r="D3539"/>
          <cell r="E3539"/>
          <cell r="F3539"/>
          <cell r="G3539"/>
        </row>
        <row r="3540">
          <cell r="B3540"/>
          <cell r="C3540"/>
          <cell r="D3540"/>
          <cell r="E3540"/>
          <cell r="F3540"/>
          <cell r="G3540"/>
        </row>
        <row r="3541">
          <cell r="B3541"/>
          <cell r="C3541"/>
          <cell r="D3541"/>
          <cell r="E3541"/>
          <cell r="F3541"/>
          <cell r="G3541"/>
        </row>
        <row r="3542">
          <cell r="B3542"/>
          <cell r="C3542"/>
          <cell r="D3542"/>
          <cell r="E3542"/>
          <cell r="F3542"/>
          <cell r="G3542"/>
        </row>
        <row r="3543">
          <cell r="B3543"/>
          <cell r="C3543"/>
          <cell r="D3543"/>
          <cell r="E3543"/>
          <cell r="F3543"/>
          <cell r="G3543"/>
        </row>
        <row r="3544">
          <cell r="B3544"/>
          <cell r="C3544"/>
          <cell r="D3544"/>
          <cell r="E3544"/>
          <cell r="F3544"/>
          <cell r="G3544"/>
        </row>
        <row r="3545">
          <cell r="B3545"/>
          <cell r="C3545"/>
          <cell r="D3545"/>
          <cell r="E3545"/>
          <cell r="F3545"/>
          <cell r="G3545"/>
        </row>
        <row r="3546">
          <cell r="B3546"/>
          <cell r="C3546"/>
          <cell r="D3546"/>
          <cell r="E3546"/>
          <cell r="F3546"/>
          <cell r="G3546"/>
        </row>
        <row r="3547">
          <cell r="B3547"/>
          <cell r="C3547"/>
          <cell r="D3547"/>
          <cell r="E3547"/>
          <cell r="F3547"/>
          <cell r="G3547"/>
        </row>
        <row r="3548">
          <cell r="B3548"/>
          <cell r="C3548"/>
          <cell r="D3548"/>
          <cell r="E3548"/>
          <cell r="F3548"/>
          <cell r="G3548"/>
        </row>
        <row r="3549">
          <cell r="B3549"/>
          <cell r="C3549"/>
          <cell r="D3549"/>
          <cell r="E3549"/>
          <cell r="F3549"/>
          <cell r="G3549"/>
        </row>
        <row r="3550">
          <cell r="B3550"/>
          <cell r="C3550"/>
          <cell r="D3550"/>
          <cell r="E3550"/>
          <cell r="F3550"/>
          <cell r="G3550"/>
        </row>
        <row r="3551">
          <cell r="B3551"/>
          <cell r="C3551"/>
          <cell r="D3551"/>
          <cell r="E3551"/>
          <cell r="F3551"/>
          <cell r="G3551"/>
        </row>
        <row r="3552">
          <cell r="B3552"/>
          <cell r="C3552"/>
          <cell r="D3552"/>
          <cell r="E3552"/>
          <cell r="F3552"/>
          <cell r="G3552"/>
        </row>
        <row r="3553">
          <cell r="B3553"/>
          <cell r="C3553"/>
          <cell r="D3553"/>
          <cell r="E3553"/>
          <cell r="F3553"/>
          <cell r="G3553"/>
        </row>
        <row r="3554">
          <cell r="B3554"/>
          <cell r="C3554"/>
          <cell r="D3554"/>
          <cell r="E3554"/>
          <cell r="F3554"/>
          <cell r="G3554"/>
        </row>
        <row r="3555">
          <cell r="B3555"/>
          <cell r="C3555"/>
          <cell r="D3555"/>
          <cell r="E3555"/>
          <cell r="F3555"/>
          <cell r="G3555"/>
        </row>
        <row r="3556">
          <cell r="B3556"/>
          <cell r="C3556"/>
          <cell r="D3556"/>
          <cell r="E3556"/>
          <cell r="F3556"/>
          <cell r="G3556"/>
        </row>
        <row r="3557">
          <cell r="B3557"/>
          <cell r="C3557"/>
          <cell r="D3557"/>
          <cell r="E3557"/>
          <cell r="F3557"/>
          <cell r="G3557"/>
        </row>
        <row r="3558">
          <cell r="B3558"/>
          <cell r="C3558"/>
          <cell r="D3558"/>
          <cell r="E3558"/>
          <cell r="F3558"/>
          <cell r="G3558"/>
        </row>
        <row r="3559">
          <cell r="B3559"/>
          <cell r="C3559"/>
          <cell r="D3559"/>
          <cell r="E3559"/>
          <cell r="F3559"/>
          <cell r="G3559"/>
        </row>
        <row r="3560">
          <cell r="B3560"/>
          <cell r="C3560"/>
          <cell r="D3560"/>
          <cell r="E3560"/>
          <cell r="F3560"/>
          <cell r="G3560"/>
        </row>
        <row r="3561">
          <cell r="B3561"/>
          <cell r="C3561"/>
          <cell r="D3561"/>
          <cell r="E3561"/>
          <cell r="F3561"/>
          <cell r="G3561"/>
        </row>
        <row r="3562">
          <cell r="B3562"/>
          <cell r="C3562"/>
          <cell r="D3562"/>
          <cell r="E3562"/>
          <cell r="F3562"/>
          <cell r="G3562"/>
        </row>
        <row r="3563">
          <cell r="B3563"/>
          <cell r="C3563"/>
          <cell r="D3563"/>
          <cell r="E3563"/>
          <cell r="F3563"/>
          <cell r="G3563"/>
        </row>
        <row r="3564">
          <cell r="B3564"/>
          <cell r="C3564"/>
          <cell r="D3564"/>
          <cell r="E3564"/>
          <cell r="F3564"/>
          <cell r="G3564"/>
        </row>
        <row r="3565">
          <cell r="B3565"/>
          <cell r="C3565"/>
          <cell r="D3565"/>
          <cell r="E3565"/>
          <cell r="F3565"/>
          <cell r="G3565"/>
        </row>
        <row r="3566">
          <cell r="B3566"/>
          <cell r="C3566"/>
          <cell r="D3566"/>
          <cell r="E3566"/>
          <cell r="F3566"/>
          <cell r="G3566"/>
        </row>
        <row r="3567">
          <cell r="B3567"/>
          <cell r="C3567"/>
          <cell r="D3567"/>
          <cell r="E3567"/>
          <cell r="F3567"/>
          <cell r="G3567"/>
        </row>
        <row r="3568">
          <cell r="B3568"/>
          <cell r="C3568"/>
          <cell r="D3568"/>
          <cell r="E3568"/>
          <cell r="F3568"/>
          <cell r="G3568"/>
        </row>
        <row r="3569">
          <cell r="B3569"/>
          <cell r="C3569"/>
          <cell r="D3569"/>
          <cell r="E3569"/>
          <cell r="F3569"/>
          <cell r="G3569"/>
        </row>
        <row r="3570">
          <cell r="B3570"/>
          <cell r="C3570"/>
          <cell r="D3570"/>
          <cell r="E3570"/>
          <cell r="F3570"/>
          <cell r="G3570"/>
        </row>
        <row r="3571">
          <cell r="B3571"/>
          <cell r="C3571"/>
          <cell r="D3571"/>
          <cell r="E3571"/>
          <cell r="F3571"/>
          <cell r="G3571"/>
        </row>
        <row r="3572">
          <cell r="B3572"/>
          <cell r="C3572"/>
          <cell r="D3572"/>
          <cell r="E3572"/>
          <cell r="F3572"/>
          <cell r="G3572"/>
        </row>
        <row r="3573">
          <cell r="B3573"/>
          <cell r="C3573"/>
          <cell r="D3573"/>
          <cell r="E3573"/>
          <cell r="F3573"/>
          <cell r="G3573"/>
        </row>
        <row r="3574">
          <cell r="B3574"/>
          <cell r="C3574"/>
          <cell r="D3574"/>
          <cell r="E3574"/>
          <cell r="F3574"/>
          <cell r="G3574"/>
        </row>
        <row r="3575">
          <cell r="B3575"/>
          <cell r="C3575"/>
          <cell r="D3575"/>
          <cell r="E3575"/>
          <cell r="F3575"/>
          <cell r="G3575"/>
        </row>
        <row r="3576">
          <cell r="B3576"/>
          <cell r="C3576"/>
          <cell r="D3576"/>
          <cell r="E3576"/>
          <cell r="F3576"/>
          <cell r="G3576"/>
        </row>
        <row r="3577">
          <cell r="B3577"/>
          <cell r="C3577"/>
          <cell r="D3577"/>
          <cell r="E3577"/>
          <cell r="F3577"/>
          <cell r="G3577"/>
        </row>
        <row r="3578">
          <cell r="B3578"/>
          <cell r="C3578"/>
          <cell r="D3578"/>
          <cell r="E3578"/>
          <cell r="F3578"/>
          <cell r="G3578"/>
        </row>
        <row r="3579">
          <cell r="B3579"/>
          <cell r="C3579"/>
          <cell r="D3579"/>
          <cell r="E3579"/>
          <cell r="F3579"/>
          <cell r="G3579"/>
        </row>
        <row r="3580">
          <cell r="B3580"/>
          <cell r="C3580"/>
          <cell r="D3580"/>
          <cell r="E3580"/>
          <cell r="F3580"/>
          <cell r="G3580"/>
        </row>
        <row r="3581">
          <cell r="B3581"/>
          <cell r="C3581"/>
          <cell r="D3581"/>
          <cell r="E3581"/>
          <cell r="F3581"/>
          <cell r="G3581"/>
        </row>
        <row r="3582">
          <cell r="B3582"/>
          <cell r="C3582"/>
          <cell r="D3582"/>
          <cell r="E3582"/>
          <cell r="F3582"/>
          <cell r="G3582"/>
        </row>
        <row r="3583">
          <cell r="B3583"/>
          <cell r="C3583"/>
          <cell r="D3583"/>
          <cell r="E3583"/>
          <cell r="F3583"/>
          <cell r="G3583"/>
        </row>
        <row r="3584">
          <cell r="B3584"/>
          <cell r="C3584"/>
          <cell r="D3584"/>
          <cell r="E3584"/>
          <cell r="F3584"/>
          <cell r="G3584"/>
        </row>
        <row r="3585">
          <cell r="B3585"/>
          <cell r="C3585"/>
          <cell r="D3585"/>
          <cell r="E3585"/>
          <cell r="F3585"/>
          <cell r="G3585"/>
        </row>
        <row r="3586">
          <cell r="B3586"/>
          <cell r="C3586"/>
          <cell r="D3586"/>
          <cell r="E3586"/>
          <cell r="F3586"/>
          <cell r="G3586"/>
        </row>
        <row r="3587">
          <cell r="B3587"/>
          <cell r="C3587"/>
          <cell r="D3587"/>
          <cell r="E3587"/>
          <cell r="F3587"/>
          <cell r="G3587"/>
        </row>
        <row r="3588">
          <cell r="B3588"/>
          <cell r="C3588"/>
          <cell r="D3588"/>
          <cell r="E3588"/>
          <cell r="F3588"/>
          <cell r="G3588"/>
        </row>
        <row r="3589">
          <cell r="B3589"/>
          <cell r="C3589"/>
          <cell r="D3589"/>
          <cell r="E3589"/>
          <cell r="F3589"/>
          <cell r="G3589"/>
        </row>
        <row r="3590">
          <cell r="B3590"/>
          <cell r="C3590"/>
          <cell r="D3590"/>
          <cell r="E3590"/>
          <cell r="F3590"/>
          <cell r="G3590"/>
        </row>
        <row r="3591">
          <cell r="B3591"/>
          <cell r="C3591"/>
          <cell r="D3591"/>
          <cell r="E3591"/>
          <cell r="F3591"/>
          <cell r="G3591"/>
        </row>
        <row r="3592">
          <cell r="B3592"/>
          <cell r="C3592"/>
          <cell r="D3592"/>
          <cell r="E3592"/>
          <cell r="F3592"/>
          <cell r="G3592"/>
        </row>
        <row r="3593">
          <cell r="B3593"/>
          <cell r="C3593"/>
          <cell r="D3593"/>
          <cell r="E3593"/>
          <cell r="F3593"/>
          <cell r="G3593"/>
        </row>
        <row r="3594">
          <cell r="B3594"/>
          <cell r="C3594"/>
          <cell r="D3594"/>
          <cell r="E3594"/>
          <cell r="F3594"/>
          <cell r="G3594"/>
        </row>
        <row r="3595">
          <cell r="B3595"/>
          <cell r="C3595"/>
          <cell r="D3595"/>
          <cell r="E3595"/>
          <cell r="F3595"/>
          <cell r="G3595"/>
        </row>
        <row r="3596">
          <cell r="B3596"/>
          <cell r="C3596"/>
          <cell r="D3596"/>
          <cell r="E3596"/>
          <cell r="F3596"/>
          <cell r="G3596"/>
        </row>
        <row r="3597">
          <cell r="B3597"/>
          <cell r="C3597"/>
          <cell r="D3597"/>
          <cell r="E3597"/>
          <cell r="F3597"/>
          <cell r="G3597"/>
        </row>
        <row r="3598">
          <cell r="B3598"/>
          <cell r="C3598"/>
          <cell r="D3598"/>
          <cell r="E3598"/>
          <cell r="F3598"/>
          <cell r="G3598"/>
        </row>
        <row r="3599">
          <cell r="B3599"/>
          <cell r="C3599"/>
          <cell r="D3599"/>
          <cell r="E3599"/>
          <cell r="F3599"/>
          <cell r="G3599"/>
        </row>
        <row r="3600">
          <cell r="B3600"/>
          <cell r="C3600"/>
          <cell r="D3600"/>
          <cell r="E3600"/>
          <cell r="F3600"/>
          <cell r="G3600"/>
        </row>
        <row r="3601">
          <cell r="B3601"/>
          <cell r="C3601"/>
          <cell r="D3601"/>
          <cell r="E3601"/>
          <cell r="F3601"/>
          <cell r="G3601"/>
        </row>
        <row r="3602">
          <cell r="B3602"/>
          <cell r="C3602"/>
          <cell r="D3602"/>
          <cell r="E3602"/>
          <cell r="F3602"/>
          <cell r="G3602"/>
        </row>
        <row r="3603">
          <cell r="B3603"/>
          <cell r="C3603"/>
          <cell r="D3603"/>
          <cell r="E3603"/>
          <cell r="F3603"/>
          <cell r="G3603"/>
        </row>
        <row r="3604">
          <cell r="B3604"/>
          <cell r="C3604"/>
          <cell r="D3604"/>
          <cell r="E3604"/>
          <cell r="F3604"/>
          <cell r="G3604"/>
        </row>
        <row r="3605">
          <cell r="B3605"/>
          <cell r="C3605"/>
          <cell r="D3605"/>
          <cell r="E3605"/>
          <cell r="F3605"/>
          <cell r="G3605"/>
        </row>
        <row r="3606">
          <cell r="B3606"/>
          <cell r="C3606"/>
          <cell r="D3606"/>
          <cell r="E3606"/>
          <cell r="F3606"/>
          <cell r="G3606"/>
        </row>
        <row r="3607">
          <cell r="B3607"/>
          <cell r="C3607"/>
          <cell r="D3607"/>
          <cell r="E3607"/>
          <cell r="F3607"/>
          <cell r="G3607"/>
        </row>
        <row r="3608">
          <cell r="B3608"/>
          <cell r="C3608"/>
          <cell r="D3608"/>
          <cell r="E3608"/>
          <cell r="F3608"/>
          <cell r="G3608"/>
        </row>
        <row r="3609">
          <cell r="B3609"/>
          <cell r="C3609"/>
          <cell r="D3609"/>
          <cell r="E3609"/>
          <cell r="F3609"/>
          <cell r="G3609"/>
        </row>
        <row r="3610">
          <cell r="B3610"/>
          <cell r="C3610"/>
          <cell r="D3610"/>
          <cell r="E3610"/>
          <cell r="F3610"/>
          <cell r="G3610"/>
        </row>
        <row r="3611">
          <cell r="B3611"/>
          <cell r="C3611"/>
          <cell r="D3611"/>
          <cell r="E3611"/>
          <cell r="F3611"/>
          <cell r="G3611"/>
        </row>
        <row r="3612">
          <cell r="B3612"/>
          <cell r="C3612"/>
          <cell r="D3612"/>
          <cell r="E3612"/>
          <cell r="F3612"/>
          <cell r="G3612"/>
        </row>
        <row r="3613">
          <cell r="B3613"/>
          <cell r="C3613"/>
          <cell r="D3613"/>
          <cell r="E3613"/>
          <cell r="F3613"/>
          <cell r="G3613"/>
        </row>
        <row r="3614">
          <cell r="B3614"/>
          <cell r="C3614"/>
          <cell r="D3614"/>
          <cell r="E3614"/>
          <cell r="F3614"/>
          <cell r="G3614"/>
        </row>
        <row r="3615">
          <cell r="B3615"/>
          <cell r="C3615"/>
          <cell r="D3615"/>
          <cell r="E3615"/>
          <cell r="F3615"/>
          <cell r="G3615"/>
        </row>
        <row r="3616">
          <cell r="B3616"/>
          <cell r="C3616"/>
          <cell r="D3616"/>
          <cell r="E3616"/>
          <cell r="F3616"/>
          <cell r="G3616"/>
        </row>
        <row r="3617">
          <cell r="B3617"/>
          <cell r="C3617"/>
          <cell r="D3617"/>
          <cell r="E3617"/>
          <cell r="F3617"/>
          <cell r="G3617"/>
        </row>
        <row r="3618">
          <cell r="B3618"/>
          <cell r="C3618"/>
          <cell r="D3618"/>
          <cell r="E3618"/>
          <cell r="F3618"/>
          <cell r="G3618"/>
        </row>
        <row r="3619">
          <cell r="B3619"/>
          <cell r="C3619"/>
          <cell r="D3619"/>
          <cell r="E3619"/>
          <cell r="F3619"/>
          <cell r="G3619"/>
        </row>
        <row r="3620">
          <cell r="B3620"/>
          <cell r="C3620"/>
          <cell r="D3620"/>
          <cell r="E3620"/>
          <cell r="F3620"/>
          <cell r="G3620"/>
        </row>
        <row r="3621">
          <cell r="B3621"/>
          <cell r="C3621"/>
          <cell r="D3621"/>
          <cell r="E3621"/>
          <cell r="F3621"/>
          <cell r="G3621"/>
        </row>
        <row r="3622">
          <cell r="B3622"/>
          <cell r="C3622"/>
          <cell r="D3622"/>
          <cell r="E3622"/>
          <cell r="F3622"/>
          <cell r="G3622"/>
        </row>
        <row r="3623">
          <cell r="B3623"/>
          <cell r="C3623"/>
          <cell r="D3623"/>
          <cell r="E3623"/>
          <cell r="F3623"/>
          <cell r="G3623"/>
        </row>
        <row r="3624">
          <cell r="B3624"/>
          <cell r="C3624"/>
          <cell r="D3624"/>
          <cell r="E3624"/>
          <cell r="F3624"/>
          <cell r="G3624"/>
        </row>
        <row r="3625">
          <cell r="B3625"/>
          <cell r="C3625"/>
          <cell r="D3625"/>
          <cell r="E3625"/>
          <cell r="F3625"/>
          <cell r="G3625"/>
        </row>
        <row r="3626">
          <cell r="B3626"/>
          <cell r="C3626"/>
          <cell r="D3626"/>
          <cell r="E3626"/>
          <cell r="F3626"/>
          <cell r="G3626"/>
        </row>
        <row r="3627">
          <cell r="B3627"/>
          <cell r="C3627"/>
          <cell r="D3627"/>
          <cell r="E3627"/>
          <cell r="F3627"/>
          <cell r="G3627"/>
        </row>
        <row r="3628">
          <cell r="B3628"/>
          <cell r="C3628"/>
          <cell r="D3628"/>
          <cell r="E3628"/>
          <cell r="F3628"/>
          <cell r="G3628"/>
        </row>
        <row r="3629">
          <cell r="B3629"/>
          <cell r="C3629"/>
          <cell r="D3629"/>
          <cell r="E3629"/>
          <cell r="F3629"/>
          <cell r="G3629"/>
        </row>
        <row r="3630">
          <cell r="B3630"/>
          <cell r="C3630"/>
          <cell r="D3630"/>
          <cell r="E3630"/>
          <cell r="F3630"/>
          <cell r="G3630"/>
        </row>
        <row r="3631">
          <cell r="B3631"/>
          <cell r="C3631"/>
          <cell r="D3631"/>
          <cell r="E3631"/>
          <cell r="F3631"/>
          <cell r="G3631"/>
        </row>
        <row r="3632">
          <cell r="B3632"/>
          <cell r="C3632"/>
          <cell r="D3632"/>
          <cell r="E3632"/>
          <cell r="F3632"/>
          <cell r="G3632"/>
        </row>
        <row r="3633">
          <cell r="B3633"/>
          <cell r="C3633"/>
          <cell r="D3633"/>
          <cell r="E3633"/>
          <cell r="F3633"/>
          <cell r="G3633"/>
        </row>
        <row r="3634">
          <cell r="B3634"/>
          <cell r="C3634"/>
          <cell r="D3634"/>
          <cell r="E3634"/>
          <cell r="F3634"/>
          <cell r="G3634"/>
        </row>
        <row r="3635">
          <cell r="B3635"/>
          <cell r="C3635"/>
          <cell r="D3635"/>
          <cell r="E3635"/>
          <cell r="F3635"/>
          <cell r="G3635"/>
        </row>
        <row r="3636">
          <cell r="B3636"/>
          <cell r="C3636"/>
          <cell r="D3636"/>
          <cell r="E3636"/>
          <cell r="F3636"/>
          <cell r="G3636"/>
        </row>
        <row r="3637">
          <cell r="B3637"/>
          <cell r="C3637"/>
          <cell r="D3637"/>
          <cell r="E3637"/>
          <cell r="F3637"/>
          <cell r="G3637"/>
        </row>
        <row r="3638">
          <cell r="B3638"/>
          <cell r="C3638"/>
          <cell r="D3638"/>
          <cell r="E3638"/>
          <cell r="F3638"/>
          <cell r="G3638"/>
        </row>
        <row r="3639">
          <cell r="B3639"/>
          <cell r="C3639"/>
          <cell r="D3639"/>
          <cell r="E3639"/>
          <cell r="F3639"/>
          <cell r="G3639"/>
        </row>
        <row r="3640">
          <cell r="B3640"/>
          <cell r="C3640"/>
          <cell r="D3640"/>
          <cell r="E3640"/>
          <cell r="F3640"/>
          <cell r="G3640"/>
        </row>
        <row r="3641">
          <cell r="B3641"/>
          <cell r="C3641"/>
          <cell r="D3641"/>
          <cell r="E3641"/>
          <cell r="F3641"/>
          <cell r="G3641"/>
        </row>
        <row r="3642">
          <cell r="B3642"/>
          <cell r="C3642"/>
          <cell r="D3642"/>
          <cell r="E3642"/>
          <cell r="F3642"/>
          <cell r="G3642"/>
        </row>
        <row r="3643">
          <cell r="B3643"/>
          <cell r="C3643"/>
          <cell r="D3643"/>
          <cell r="E3643"/>
          <cell r="F3643"/>
          <cell r="G3643"/>
        </row>
        <row r="3644">
          <cell r="B3644"/>
          <cell r="C3644"/>
          <cell r="D3644"/>
          <cell r="E3644"/>
          <cell r="F3644"/>
          <cell r="G3644"/>
        </row>
        <row r="3645">
          <cell r="B3645"/>
          <cell r="C3645"/>
          <cell r="D3645"/>
          <cell r="E3645"/>
          <cell r="F3645"/>
          <cell r="G3645"/>
        </row>
        <row r="3646">
          <cell r="B3646"/>
          <cell r="C3646"/>
          <cell r="D3646"/>
          <cell r="E3646"/>
          <cell r="F3646"/>
          <cell r="G3646"/>
        </row>
        <row r="3647">
          <cell r="B3647"/>
          <cell r="C3647"/>
          <cell r="D3647"/>
          <cell r="E3647"/>
          <cell r="F3647"/>
          <cell r="G3647"/>
        </row>
        <row r="3648">
          <cell r="B3648"/>
          <cell r="C3648"/>
          <cell r="D3648"/>
          <cell r="E3648"/>
          <cell r="F3648"/>
          <cell r="G3648"/>
        </row>
        <row r="3649">
          <cell r="B3649"/>
          <cell r="C3649"/>
          <cell r="D3649"/>
          <cell r="E3649"/>
          <cell r="F3649"/>
          <cell r="G3649"/>
        </row>
        <row r="3650">
          <cell r="B3650"/>
          <cell r="C3650"/>
          <cell r="D3650"/>
          <cell r="E3650"/>
          <cell r="F3650"/>
          <cell r="G3650"/>
        </row>
        <row r="3651">
          <cell r="B3651"/>
          <cell r="C3651"/>
          <cell r="D3651"/>
          <cell r="E3651"/>
          <cell r="F3651"/>
          <cell r="G3651"/>
        </row>
        <row r="3652">
          <cell r="B3652"/>
          <cell r="C3652"/>
          <cell r="D3652"/>
          <cell r="E3652"/>
          <cell r="F3652"/>
          <cell r="G3652"/>
        </row>
        <row r="3653">
          <cell r="B3653"/>
          <cell r="C3653"/>
          <cell r="D3653"/>
          <cell r="E3653"/>
          <cell r="F3653"/>
          <cell r="G3653"/>
        </row>
        <row r="3654">
          <cell r="B3654"/>
          <cell r="C3654"/>
          <cell r="D3654"/>
          <cell r="E3654"/>
          <cell r="F3654"/>
          <cell r="G3654"/>
        </row>
        <row r="3655">
          <cell r="B3655"/>
          <cell r="C3655"/>
          <cell r="D3655"/>
          <cell r="E3655"/>
          <cell r="F3655"/>
          <cell r="G3655"/>
        </row>
        <row r="3656">
          <cell r="B3656"/>
          <cell r="C3656"/>
          <cell r="D3656"/>
          <cell r="E3656"/>
          <cell r="F3656"/>
          <cell r="G3656"/>
        </row>
        <row r="3657">
          <cell r="B3657"/>
          <cell r="C3657"/>
          <cell r="D3657"/>
          <cell r="E3657"/>
          <cell r="F3657"/>
          <cell r="G3657"/>
        </row>
        <row r="3658">
          <cell r="B3658"/>
          <cell r="C3658"/>
          <cell r="D3658"/>
          <cell r="E3658"/>
          <cell r="F3658"/>
          <cell r="G3658"/>
        </row>
        <row r="3659">
          <cell r="B3659"/>
          <cell r="C3659"/>
          <cell r="D3659"/>
          <cell r="E3659"/>
          <cell r="F3659"/>
          <cell r="G3659"/>
        </row>
        <row r="3660">
          <cell r="B3660"/>
          <cell r="C3660"/>
          <cell r="D3660"/>
          <cell r="E3660"/>
          <cell r="F3660"/>
          <cell r="G3660"/>
        </row>
        <row r="3661">
          <cell r="B3661"/>
          <cell r="C3661"/>
          <cell r="D3661"/>
          <cell r="E3661"/>
          <cell r="F3661"/>
          <cell r="G3661"/>
        </row>
        <row r="3662">
          <cell r="B3662"/>
          <cell r="C3662"/>
          <cell r="D3662"/>
          <cell r="E3662"/>
          <cell r="F3662"/>
          <cell r="G3662"/>
        </row>
        <row r="3663">
          <cell r="B3663"/>
          <cell r="C3663"/>
          <cell r="D3663"/>
          <cell r="E3663"/>
          <cell r="F3663"/>
          <cell r="G3663"/>
        </row>
        <row r="3664">
          <cell r="B3664"/>
          <cell r="C3664"/>
          <cell r="D3664"/>
          <cell r="E3664"/>
          <cell r="F3664"/>
          <cell r="G3664"/>
        </row>
        <row r="3665">
          <cell r="B3665"/>
          <cell r="C3665"/>
          <cell r="D3665"/>
          <cell r="E3665"/>
          <cell r="F3665"/>
          <cell r="G3665"/>
        </row>
        <row r="3666">
          <cell r="B3666"/>
          <cell r="C3666"/>
          <cell r="D3666"/>
          <cell r="E3666"/>
          <cell r="F3666"/>
          <cell r="G3666"/>
        </row>
        <row r="3667">
          <cell r="B3667"/>
          <cell r="C3667"/>
          <cell r="D3667"/>
          <cell r="E3667"/>
          <cell r="F3667"/>
          <cell r="G3667"/>
        </row>
        <row r="3668">
          <cell r="B3668"/>
          <cell r="C3668"/>
          <cell r="D3668"/>
          <cell r="E3668"/>
          <cell r="F3668"/>
          <cell r="G3668"/>
        </row>
        <row r="3669">
          <cell r="B3669"/>
          <cell r="C3669"/>
          <cell r="D3669"/>
          <cell r="E3669"/>
          <cell r="F3669"/>
          <cell r="G3669"/>
        </row>
        <row r="3670">
          <cell r="B3670"/>
          <cell r="C3670"/>
          <cell r="D3670"/>
          <cell r="E3670"/>
          <cell r="F3670"/>
          <cell r="G3670"/>
        </row>
        <row r="3671">
          <cell r="B3671"/>
          <cell r="C3671"/>
          <cell r="D3671"/>
          <cell r="E3671"/>
          <cell r="F3671"/>
          <cell r="G3671"/>
        </row>
        <row r="3672">
          <cell r="B3672"/>
          <cell r="C3672"/>
          <cell r="D3672"/>
          <cell r="E3672"/>
          <cell r="F3672"/>
          <cell r="G3672"/>
        </row>
        <row r="3673">
          <cell r="B3673"/>
          <cell r="C3673"/>
          <cell r="D3673"/>
          <cell r="E3673"/>
          <cell r="F3673"/>
          <cell r="G3673"/>
        </row>
        <row r="3674">
          <cell r="B3674"/>
          <cell r="C3674"/>
          <cell r="D3674"/>
          <cell r="E3674"/>
          <cell r="F3674"/>
          <cell r="G3674"/>
        </row>
        <row r="3675">
          <cell r="B3675"/>
          <cell r="C3675"/>
          <cell r="D3675"/>
          <cell r="E3675"/>
          <cell r="F3675"/>
          <cell r="G3675"/>
        </row>
        <row r="3676">
          <cell r="B3676"/>
          <cell r="C3676"/>
          <cell r="D3676"/>
          <cell r="E3676"/>
          <cell r="F3676"/>
          <cell r="G3676"/>
        </row>
        <row r="3677">
          <cell r="B3677"/>
          <cell r="C3677"/>
          <cell r="D3677"/>
          <cell r="E3677"/>
          <cell r="F3677"/>
          <cell r="G3677"/>
        </row>
        <row r="3678">
          <cell r="B3678"/>
          <cell r="C3678"/>
          <cell r="D3678"/>
          <cell r="E3678"/>
          <cell r="F3678"/>
          <cell r="G3678"/>
        </row>
        <row r="3679">
          <cell r="B3679"/>
          <cell r="C3679"/>
          <cell r="D3679"/>
          <cell r="E3679"/>
          <cell r="F3679"/>
          <cell r="G3679"/>
        </row>
        <row r="3680">
          <cell r="B3680"/>
          <cell r="C3680"/>
          <cell r="D3680"/>
          <cell r="E3680"/>
          <cell r="F3680"/>
          <cell r="G3680"/>
        </row>
        <row r="3681">
          <cell r="B3681"/>
          <cell r="C3681"/>
          <cell r="D3681"/>
          <cell r="E3681"/>
          <cell r="F3681"/>
          <cell r="G3681"/>
        </row>
        <row r="3682">
          <cell r="B3682"/>
          <cell r="C3682"/>
          <cell r="D3682"/>
          <cell r="E3682"/>
          <cell r="F3682"/>
          <cell r="G3682"/>
        </row>
        <row r="3683">
          <cell r="B3683"/>
          <cell r="C3683"/>
          <cell r="D3683"/>
          <cell r="E3683"/>
          <cell r="F3683"/>
          <cell r="G3683"/>
        </row>
        <row r="3684">
          <cell r="B3684"/>
          <cell r="C3684"/>
          <cell r="D3684"/>
          <cell r="E3684"/>
          <cell r="F3684"/>
          <cell r="G3684"/>
        </row>
        <row r="3685">
          <cell r="B3685"/>
          <cell r="C3685"/>
          <cell r="D3685"/>
          <cell r="E3685"/>
          <cell r="F3685"/>
          <cell r="G3685"/>
        </row>
        <row r="3686">
          <cell r="B3686"/>
          <cell r="C3686"/>
          <cell r="D3686"/>
          <cell r="E3686"/>
          <cell r="F3686"/>
          <cell r="G3686"/>
        </row>
        <row r="3687">
          <cell r="B3687"/>
          <cell r="C3687"/>
          <cell r="D3687"/>
          <cell r="E3687"/>
          <cell r="F3687"/>
          <cell r="G3687"/>
        </row>
        <row r="3688">
          <cell r="B3688"/>
          <cell r="C3688"/>
          <cell r="D3688"/>
          <cell r="E3688"/>
          <cell r="F3688"/>
          <cell r="G3688"/>
        </row>
        <row r="3689">
          <cell r="B3689"/>
          <cell r="C3689"/>
          <cell r="D3689"/>
          <cell r="E3689"/>
          <cell r="F3689"/>
          <cell r="G3689"/>
        </row>
        <row r="3690">
          <cell r="B3690"/>
          <cell r="C3690"/>
          <cell r="D3690"/>
          <cell r="E3690"/>
          <cell r="F3690"/>
          <cell r="G3690"/>
        </row>
        <row r="3691">
          <cell r="B3691"/>
          <cell r="C3691"/>
          <cell r="D3691"/>
          <cell r="E3691"/>
          <cell r="F3691"/>
          <cell r="G3691"/>
        </row>
        <row r="3692">
          <cell r="B3692"/>
          <cell r="C3692"/>
          <cell r="D3692"/>
          <cell r="E3692"/>
          <cell r="F3692"/>
          <cell r="G3692"/>
        </row>
        <row r="3693">
          <cell r="B3693"/>
          <cell r="C3693"/>
          <cell r="D3693"/>
          <cell r="E3693"/>
          <cell r="F3693"/>
          <cell r="G3693"/>
        </row>
        <row r="3694">
          <cell r="B3694"/>
          <cell r="C3694"/>
          <cell r="D3694"/>
          <cell r="E3694"/>
          <cell r="F3694"/>
          <cell r="G3694"/>
        </row>
        <row r="3695">
          <cell r="B3695"/>
          <cell r="C3695"/>
          <cell r="D3695"/>
          <cell r="E3695"/>
          <cell r="F3695"/>
          <cell r="G3695"/>
        </row>
        <row r="3696">
          <cell r="B3696"/>
          <cell r="C3696"/>
          <cell r="D3696"/>
          <cell r="E3696"/>
          <cell r="F3696"/>
          <cell r="G3696"/>
        </row>
        <row r="3697">
          <cell r="B3697"/>
          <cell r="C3697"/>
          <cell r="D3697"/>
          <cell r="E3697"/>
          <cell r="F3697"/>
          <cell r="G3697"/>
        </row>
        <row r="3698">
          <cell r="B3698"/>
          <cell r="C3698"/>
          <cell r="D3698"/>
          <cell r="E3698"/>
          <cell r="F3698"/>
          <cell r="G3698"/>
        </row>
        <row r="3699">
          <cell r="B3699"/>
          <cell r="C3699"/>
          <cell r="D3699"/>
          <cell r="E3699"/>
          <cell r="F3699"/>
          <cell r="G3699"/>
        </row>
        <row r="3700">
          <cell r="B3700"/>
          <cell r="C3700"/>
          <cell r="D3700"/>
          <cell r="E3700"/>
          <cell r="F3700"/>
          <cell r="G3700"/>
        </row>
        <row r="3701">
          <cell r="B3701"/>
          <cell r="C3701"/>
          <cell r="D3701"/>
          <cell r="E3701"/>
          <cell r="F3701"/>
          <cell r="G3701"/>
        </row>
        <row r="3702">
          <cell r="B3702"/>
          <cell r="C3702"/>
          <cell r="D3702"/>
          <cell r="E3702"/>
          <cell r="F3702"/>
          <cell r="G3702"/>
        </row>
        <row r="3703">
          <cell r="B3703"/>
          <cell r="C3703"/>
          <cell r="D3703"/>
          <cell r="E3703"/>
          <cell r="F3703"/>
          <cell r="G3703"/>
        </row>
        <row r="3704">
          <cell r="B3704"/>
          <cell r="C3704"/>
          <cell r="D3704"/>
          <cell r="E3704"/>
          <cell r="F3704"/>
          <cell r="G3704"/>
        </row>
        <row r="3705">
          <cell r="B3705"/>
          <cell r="C3705"/>
          <cell r="D3705"/>
          <cell r="E3705"/>
          <cell r="F3705"/>
          <cell r="G3705"/>
        </row>
        <row r="3706">
          <cell r="B3706"/>
          <cell r="C3706"/>
          <cell r="D3706"/>
          <cell r="E3706"/>
          <cell r="F3706"/>
          <cell r="G3706"/>
        </row>
        <row r="3707">
          <cell r="B3707"/>
          <cell r="C3707"/>
          <cell r="D3707"/>
          <cell r="E3707"/>
          <cell r="F3707"/>
          <cell r="G3707"/>
        </row>
        <row r="3708">
          <cell r="B3708"/>
          <cell r="C3708"/>
          <cell r="D3708"/>
          <cell r="E3708"/>
          <cell r="F3708"/>
          <cell r="G3708"/>
        </row>
        <row r="3709">
          <cell r="B3709"/>
          <cell r="C3709"/>
          <cell r="D3709"/>
          <cell r="E3709"/>
          <cell r="F3709"/>
          <cell r="G3709"/>
        </row>
        <row r="3710">
          <cell r="B3710"/>
          <cell r="C3710"/>
          <cell r="D3710"/>
          <cell r="E3710"/>
          <cell r="F3710"/>
          <cell r="G3710"/>
        </row>
        <row r="3711">
          <cell r="B3711"/>
          <cell r="C3711"/>
          <cell r="D3711"/>
          <cell r="E3711"/>
          <cell r="F3711"/>
          <cell r="G3711"/>
        </row>
        <row r="3712">
          <cell r="B3712"/>
          <cell r="C3712"/>
          <cell r="D3712"/>
          <cell r="E3712"/>
          <cell r="F3712"/>
          <cell r="G3712"/>
        </row>
        <row r="3713">
          <cell r="B3713"/>
          <cell r="C3713"/>
          <cell r="D3713"/>
          <cell r="E3713"/>
          <cell r="F3713"/>
          <cell r="G3713"/>
        </row>
        <row r="3714">
          <cell r="B3714"/>
          <cell r="C3714"/>
          <cell r="D3714"/>
          <cell r="E3714"/>
          <cell r="F3714"/>
          <cell r="G3714"/>
        </row>
        <row r="3715">
          <cell r="B3715"/>
          <cell r="C3715"/>
          <cell r="D3715"/>
          <cell r="E3715"/>
          <cell r="F3715"/>
          <cell r="G3715"/>
        </row>
        <row r="3716">
          <cell r="B3716"/>
          <cell r="C3716"/>
          <cell r="D3716"/>
          <cell r="E3716"/>
          <cell r="F3716"/>
          <cell r="G3716"/>
        </row>
        <row r="3717">
          <cell r="B3717"/>
          <cell r="C3717"/>
          <cell r="D3717"/>
          <cell r="E3717"/>
          <cell r="F3717"/>
          <cell r="G3717"/>
        </row>
        <row r="3718">
          <cell r="B3718"/>
          <cell r="C3718"/>
          <cell r="D3718"/>
          <cell r="E3718"/>
          <cell r="F3718"/>
          <cell r="G3718"/>
        </row>
        <row r="3719">
          <cell r="B3719"/>
          <cell r="C3719"/>
          <cell r="D3719"/>
          <cell r="E3719"/>
          <cell r="F3719"/>
          <cell r="G3719"/>
        </row>
        <row r="3720">
          <cell r="B3720"/>
          <cell r="C3720"/>
          <cell r="D3720"/>
          <cell r="E3720"/>
          <cell r="F3720"/>
          <cell r="G3720"/>
        </row>
        <row r="3721">
          <cell r="B3721"/>
          <cell r="C3721"/>
          <cell r="D3721"/>
          <cell r="E3721"/>
          <cell r="F3721"/>
          <cell r="G3721"/>
        </row>
        <row r="3722">
          <cell r="B3722"/>
          <cell r="C3722"/>
          <cell r="D3722"/>
          <cell r="E3722"/>
          <cell r="F3722"/>
          <cell r="G3722"/>
        </row>
        <row r="3723">
          <cell r="B3723"/>
          <cell r="C3723"/>
          <cell r="D3723"/>
          <cell r="E3723"/>
          <cell r="F3723"/>
          <cell r="G3723"/>
        </row>
        <row r="3724">
          <cell r="B3724"/>
          <cell r="C3724"/>
          <cell r="D3724"/>
          <cell r="E3724"/>
          <cell r="F3724"/>
          <cell r="G3724"/>
        </row>
        <row r="3725">
          <cell r="B3725"/>
          <cell r="C3725"/>
          <cell r="D3725"/>
          <cell r="E3725"/>
          <cell r="F3725"/>
          <cell r="G3725"/>
        </row>
        <row r="3726">
          <cell r="B3726"/>
          <cell r="C3726"/>
          <cell r="D3726"/>
          <cell r="E3726"/>
          <cell r="F3726"/>
          <cell r="G3726"/>
        </row>
        <row r="3727">
          <cell r="B3727"/>
          <cell r="C3727"/>
          <cell r="D3727"/>
          <cell r="E3727"/>
          <cell r="F3727"/>
          <cell r="G3727"/>
        </row>
        <row r="3728">
          <cell r="B3728"/>
          <cell r="C3728"/>
          <cell r="D3728"/>
          <cell r="E3728"/>
          <cell r="F3728"/>
          <cell r="G3728"/>
        </row>
        <row r="3729">
          <cell r="B3729"/>
          <cell r="C3729"/>
          <cell r="D3729"/>
          <cell r="E3729"/>
          <cell r="F3729"/>
          <cell r="G3729"/>
        </row>
        <row r="3730">
          <cell r="B3730"/>
          <cell r="C3730"/>
          <cell r="D3730"/>
          <cell r="E3730"/>
          <cell r="F3730"/>
          <cell r="G3730"/>
        </row>
        <row r="3731">
          <cell r="B3731"/>
          <cell r="C3731"/>
          <cell r="D3731"/>
          <cell r="E3731"/>
          <cell r="F3731"/>
          <cell r="G3731"/>
        </row>
        <row r="3732">
          <cell r="B3732"/>
          <cell r="C3732"/>
          <cell r="D3732"/>
          <cell r="E3732"/>
          <cell r="F3732"/>
          <cell r="G3732"/>
        </row>
        <row r="3733">
          <cell r="B3733"/>
          <cell r="C3733"/>
          <cell r="D3733"/>
          <cell r="E3733"/>
          <cell r="F3733"/>
          <cell r="G3733"/>
        </row>
        <row r="3734">
          <cell r="B3734"/>
          <cell r="C3734"/>
          <cell r="D3734"/>
          <cell r="E3734"/>
          <cell r="F3734"/>
          <cell r="G3734"/>
        </row>
        <row r="3735">
          <cell r="B3735"/>
          <cell r="C3735"/>
          <cell r="D3735"/>
          <cell r="E3735"/>
          <cell r="F3735"/>
          <cell r="G3735"/>
        </row>
        <row r="3736">
          <cell r="B3736"/>
          <cell r="C3736"/>
          <cell r="D3736"/>
          <cell r="E3736"/>
          <cell r="F3736"/>
          <cell r="G3736"/>
        </row>
        <row r="3737">
          <cell r="B3737"/>
          <cell r="C3737"/>
          <cell r="D3737"/>
          <cell r="E3737"/>
          <cell r="F3737"/>
          <cell r="G3737"/>
        </row>
        <row r="3738">
          <cell r="B3738"/>
          <cell r="C3738"/>
          <cell r="D3738"/>
          <cell r="E3738"/>
          <cell r="F3738"/>
          <cell r="G3738"/>
        </row>
        <row r="3739">
          <cell r="B3739"/>
          <cell r="C3739"/>
          <cell r="D3739"/>
          <cell r="E3739"/>
          <cell r="F3739"/>
          <cell r="G3739"/>
        </row>
        <row r="3740">
          <cell r="B3740"/>
          <cell r="C3740"/>
          <cell r="D3740"/>
          <cell r="E3740"/>
          <cell r="F3740"/>
          <cell r="G3740"/>
        </row>
        <row r="3741">
          <cell r="B3741"/>
          <cell r="C3741"/>
          <cell r="D3741"/>
          <cell r="E3741"/>
          <cell r="F3741"/>
          <cell r="G3741"/>
        </row>
        <row r="3742">
          <cell r="B3742"/>
          <cell r="C3742"/>
          <cell r="D3742"/>
          <cell r="E3742"/>
          <cell r="F3742"/>
          <cell r="G3742"/>
        </row>
        <row r="3743">
          <cell r="B3743"/>
          <cell r="C3743"/>
          <cell r="D3743"/>
          <cell r="E3743"/>
          <cell r="F3743"/>
          <cell r="G3743"/>
        </row>
        <row r="3744">
          <cell r="B3744"/>
          <cell r="C3744"/>
          <cell r="D3744"/>
          <cell r="E3744"/>
          <cell r="F3744"/>
          <cell r="G3744"/>
        </row>
        <row r="3745">
          <cell r="B3745"/>
          <cell r="C3745"/>
          <cell r="D3745"/>
          <cell r="E3745"/>
          <cell r="F3745"/>
          <cell r="G3745"/>
        </row>
        <row r="3746">
          <cell r="B3746"/>
          <cell r="C3746"/>
          <cell r="D3746"/>
          <cell r="E3746"/>
          <cell r="F3746"/>
          <cell r="G3746"/>
        </row>
        <row r="3747">
          <cell r="B3747"/>
          <cell r="C3747"/>
          <cell r="D3747"/>
          <cell r="E3747"/>
          <cell r="F3747"/>
          <cell r="G3747"/>
        </row>
        <row r="3748">
          <cell r="B3748"/>
          <cell r="C3748"/>
          <cell r="D3748"/>
          <cell r="E3748"/>
          <cell r="F3748"/>
          <cell r="G3748"/>
        </row>
        <row r="3749">
          <cell r="B3749"/>
          <cell r="C3749"/>
          <cell r="D3749"/>
          <cell r="E3749"/>
          <cell r="F3749"/>
          <cell r="G3749"/>
        </row>
        <row r="3750">
          <cell r="B3750"/>
          <cell r="C3750"/>
          <cell r="D3750"/>
          <cell r="E3750"/>
          <cell r="F3750"/>
          <cell r="G3750"/>
        </row>
        <row r="3751">
          <cell r="B3751"/>
          <cell r="C3751"/>
          <cell r="D3751"/>
          <cell r="E3751"/>
          <cell r="F3751"/>
          <cell r="G3751"/>
        </row>
        <row r="3752">
          <cell r="B3752"/>
          <cell r="C3752"/>
          <cell r="D3752"/>
          <cell r="E3752"/>
          <cell r="F3752"/>
          <cell r="G3752"/>
        </row>
        <row r="3753">
          <cell r="B3753"/>
          <cell r="C3753"/>
          <cell r="D3753"/>
          <cell r="E3753"/>
          <cell r="F3753"/>
          <cell r="G3753"/>
        </row>
        <row r="3754">
          <cell r="B3754"/>
          <cell r="C3754"/>
          <cell r="D3754"/>
          <cell r="E3754"/>
          <cell r="F3754"/>
          <cell r="G3754"/>
        </row>
        <row r="3755">
          <cell r="B3755"/>
          <cell r="C3755"/>
          <cell r="D3755"/>
          <cell r="E3755"/>
          <cell r="F3755"/>
          <cell r="G3755"/>
        </row>
        <row r="3756">
          <cell r="B3756"/>
          <cell r="C3756"/>
          <cell r="D3756"/>
          <cell r="E3756"/>
          <cell r="F3756"/>
          <cell r="G3756"/>
        </row>
        <row r="3757">
          <cell r="B3757"/>
          <cell r="C3757"/>
          <cell r="D3757"/>
          <cell r="E3757"/>
          <cell r="F3757"/>
          <cell r="G3757"/>
        </row>
        <row r="3758">
          <cell r="B3758"/>
          <cell r="C3758"/>
          <cell r="D3758"/>
          <cell r="E3758"/>
          <cell r="F3758"/>
          <cell r="G3758"/>
        </row>
        <row r="3759">
          <cell r="B3759"/>
          <cell r="C3759"/>
          <cell r="D3759"/>
          <cell r="E3759"/>
          <cell r="F3759"/>
          <cell r="G3759"/>
        </row>
        <row r="3760">
          <cell r="B3760"/>
          <cell r="C3760"/>
          <cell r="D3760"/>
          <cell r="E3760"/>
          <cell r="F3760"/>
          <cell r="G3760"/>
        </row>
        <row r="3761">
          <cell r="B3761"/>
          <cell r="C3761"/>
          <cell r="D3761"/>
          <cell r="E3761"/>
          <cell r="F3761"/>
          <cell r="G3761"/>
        </row>
        <row r="3762">
          <cell r="B3762"/>
          <cell r="C3762"/>
          <cell r="D3762"/>
          <cell r="E3762"/>
          <cell r="F3762"/>
          <cell r="G3762"/>
        </row>
        <row r="3763">
          <cell r="B3763"/>
          <cell r="C3763"/>
          <cell r="D3763"/>
          <cell r="E3763"/>
          <cell r="F3763"/>
          <cell r="G3763"/>
        </row>
        <row r="3764">
          <cell r="B3764"/>
          <cell r="C3764"/>
          <cell r="D3764"/>
          <cell r="E3764"/>
          <cell r="F3764"/>
          <cell r="G3764"/>
        </row>
        <row r="3765">
          <cell r="B3765"/>
          <cell r="C3765"/>
          <cell r="D3765"/>
          <cell r="E3765"/>
          <cell r="F3765"/>
          <cell r="G3765"/>
        </row>
        <row r="3766">
          <cell r="B3766"/>
          <cell r="C3766"/>
          <cell r="D3766"/>
          <cell r="E3766"/>
          <cell r="F3766"/>
          <cell r="G3766"/>
        </row>
        <row r="3767">
          <cell r="B3767"/>
          <cell r="C3767"/>
          <cell r="D3767"/>
          <cell r="E3767"/>
          <cell r="F3767"/>
          <cell r="G3767"/>
        </row>
        <row r="3768">
          <cell r="B3768"/>
          <cell r="C3768"/>
          <cell r="D3768"/>
          <cell r="E3768"/>
          <cell r="F3768"/>
          <cell r="G3768"/>
        </row>
        <row r="3769">
          <cell r="B3769"/>
          <cell r="C3769"/>
          <cell r="D3769"/>
          <cell r="E3769"/>
          <cell r="F3769"/>
          <cell r="G3769"/>
        </row>
        <row r="3770">
          <cell r="B3770"/>
          <cell r="C3770"/>
          <cell r="D3770"/>
          <cell r="E3770"/>
          <cell r="F3770"/>
          <cell r="G3770"/>
        </row>
        <row r="3771">
          <cell r="B3771"/>
          <cell r="C3771"/>
          <cell r="D3771"/>
          <cell r="E3771"/>
          <cell r="F3771"/>
          <cell r="G3771"/>
        </row>
        <row r="3772">
          <cell r="B3772"/>
          <cell r="C3772"/>
          <cell r="D3772"/>
          <cell r="E3772"/>
          <cell r="F3772"/>
          <cell r="G3772"/>
        </row>
        <row r="3773">
          <cell r="B3773"/>
          <cell r="C3773"/>
          <cell r="D3773"/>
          <cell r="E3773"/>
          <cell r="F3773"/>
          <cell r="G3773"/>
        </row>
        <row r="3774">
          <cell r="B3774"/>
          <cell r="C3774"/>
          <cell r="D3774"/>
          <cell r="E3774"/>
          <cell r="F3774"/>
          <cell r="G3774"/>
        </row>
        <row r="3775">
          <cell r="B3775"/>
          <cell r="C3775"/>
          <cell r="D3775"/>
          <cell r="E3775"/>
          <cell r="F3775"/>
          <cell r="G3775"/>
        </row>
        <row r="3776">
          <cell r="B3776"/>
          <cell r="C3776"/>
          <cell r="D3776"/>
          <cell r="E3776"/>
          <cell r="F3776"/>
          <cell r="G3776"/>
        </row>
        <row r="3777">
          <cell r="B3777"/>
          <cell r="C3777"/>
          <cell r="D3777"/>
          <cell r="E3777"/>
          <cell r="F3777"/>
          <cell r="G3777"/>
        </row>
        <row r="3778">
          <cell r="B3778"/>
          <cell r="C3778"/>
          <cell r="D3778"/>
          <cell r="E3778"/>
          <cell r="F3778"/>
          <cell r="G3778"/>
        </row>
        <row r="3779">
          <cell r="B3779"/>
          <cell r="C3779"/>
          <cell r="D3779"/>
          <cell r="E3779"/>
          <cell r="F3779"/>
          <cell r="G3779"/>
        </row>
        <row r="3780">
          <cell r="B3780"/>
          <cell r="C3780"/>
          <cell r="D3780"/>
          <cell r="E3780"/>
          <cell r="F3780"/>
          <cell r="G3780"/>
        </row>
        <row r="3781">
          <cell r="B3781"/>
          <cell r="C3781"/>
          <cell r="D3781"/>
          <cell r="E3781"/>
          <cell r="F3781"/>
          <cell r="G3781"/>
        </row>
        <row r="3782">
          <cell r="B3782"/>
          <cell r="C3782"/>
          <cell r="D3782"/>
          <cell r="E3782"/>
          <cell r="F3782"/>
          <cell r="G3782"/>
        </row>
        <row r="3783">
          <cell r="B3783"/>
          <cell r="C3783"/>
          <cell r="D3783"/>
          <cell r="E3783"/>
          <cell r="F3783"/>
          <cell r="G3783"/>
        </row>
        <row r="3784">
          <cell r="B3784"/>
          <cell r="C3784"/>
          <cell r="D3784"/>
          <cell r="E3784"/>
          <cell r="F3784"/>
          <cell r="G3784"/>
        </row>
        <row r="3785">
          <cell r="B3785"/>
          <cell r="C3785"/>
          <cell r="D3785"/>
          <cell r="E3785"/>
          <cell r="F3785"/>
          <cell r="G3785"/>
        </row>
        <row r="3786">
          <cell r="B3786"/>
          <cell r="C3786"/>
          <cell r="D3786"/>
          <cell r="E3786"/>
          <cell r="F3786"/>
          <cell r="G3786"/>
        </row>
        <row r="3787">
          <cell r="B3787"/>
          <cell r="C3787"/>
          <cell r="D3787"/>
          <cell r="E3787"/>
          <cell r="F3787"/>
          <cell r="G3787"/>
        </row>
        <row r="3788">
          <cell r="B3788"/>
          <cell r="C3788"/>
          <cell r="D3788"/>
          <cell r="E3788"/>
          <cell r="F3788"/>
          <cell r="G3788"/>
        </row>
        <row r="3789">
          <cell r="B3789"/>
          <cell r="C3789"/>
          <cell r="D3789"/>
          <cell r="E3789"/>
          <cell r="F3789"/>
          <cell r="G3789"/>
        </row>
        <row r="3790">
          <cell r="B3790"/>
          <cell r="C3790"/>
          <cell r="D3790"/>
          <cell r="E3790"/>
          <cell r="F3790"/>
          <cell r="G3790"/>
        </row>
        <row r="3791">
          <cell r="B3791"/>
          <cell r="C3791"/>
          <cell r="D3791"/>
          <cell r="E3791"/>
          <cell r="F3791"/>
          <cell r="G3791"/>
        </row>
        <row r="3792">
          <cell r="B3792"/>
          <cell r="C3792"/>
          <cell r="D3792"/>
          <cell r="E3792"/>
          <cell r="F3792"/>
          <cell r="G3792"/>
        </row>
        <row r="3793">
          <cell r="B3793"/>
          <cell r="C3793"/>
          <cell r="D3793"/>
          <cell r="E3793"/>
          <cell r="F3793"/>
          <cell r="G3793"/>
        </row>
        <row r="3794">
          <cell r="B3794"/>
          <cell r="C3794"/>
          <cell r="D3794"/>
          <cell r="E3794"/>
          <cell r="F3794"/>
          <cell r="G3794"/>
        </row>
        <row r="3795">
          <cell r="B3795"/>
          <cell r="C3795"/>
          <cell r="D3795"/>
          <cell r="E3795"/>
          <cell r="F3795"/>
          <cell r="G3795"/>
        </row>
        <row r="3796">
          <cell r="B3796"/>
          <cell r="C3796"/>
          <cell r="D3796"/>
          <cell r="E3796"/>
          <cell r="F3796"/>
          <cell r="G3796"/>
        </row>
        <row r="3797">
          <cell r="B3797"/>
          <cell r="C3797"/>
          <cell r="D3797"/>
          <cell r="E3797"/>
          <cell r="F3797"/>
          <cell r="G3797"/>
        </row>
        <row r="3798">
          <cell r="B3798"/>
          <cell r="C3798"/>
          <cell r="D3798"/>
          <cell r="E3798"/>
          <cell r="F3798"/>
          <cell r="G3798"/>
        </row>
        <row r="3799">
          <cell r="B3799"/>
          <cell r="C3799"/>
          <cell r="D3799"/>
          <cell r="E3799"/>
          <cell r="F3799"/>
          <cell r="G3799"/>
        </row>
        <row r="3800">
          <cell r="B3800"/>
          <cell r="C3800"/>
          <cell r="D3800"/>
          <cell r="E3800"/>
          <cell r="F3800"/>
          <cell r="G3800"/>
        </row>
        <row r="3801">
          <cell r="B3801"/>
          <cell r="C3801"/>
          <cell r="D3801"/>
          <cell r="E3801"/>
          <cell r="F3801"/>
          <cell r="G3801"/>
        </row>
        <row r="3802">
          <cell r="B3802"/>
          <cell r="C3802"/>
          <cell r="D3802"/>
          <cell r="E3802"/>
          <cell r="F3802"/>
          <cell r="G3802"/>
        </row>
        <row r="3803">
          <cell r="B3803"/>
          <cell r="C3803"/>
          <cell r="D3803"/>
          <cell r="E3803"/>
          <cell r="F3803"/>
          <cell r="G3803"/>
        </row>
        <row r="3804">
          <cell r="B3804"/>
          <cell r="C3804"/>
          <cell r="D3804"/>
          <cell r="E3804"/>
          <cell r="F3804"/>
          <cell r="G3804"/>
        </row>
        <row r="3805">
          <cell r="B3805"/>
          <cell r="C3805"/>
          <cell r="D3805"/>
          <cell r="E3805"/>
          <cell r="F3805"/>
          <cell r="G3805"/>
        </row>
        <row r="3806">
          <cell r="B3806"/>
          <cell r="C3806"/>
          <cell r="D3806"/>
          <cell r="E3806"/>
          <cell r="F3806"/>
          <cell r="G3806"/>
        </row>
        <row r="3807">
          <cell r="B3807"/>
          <cell r="C3807"/>
          <cell r="D3807"/>
          <cell r="E3807"/>
          <cell r="F3807"/>
          <cell r="G3807"/>
        </row>
        <row r="3808">
          <cell r="B3808"/>
          <cell r="C3808"/>
          <cell r="D3808"/>
          <cell r="E3808"/>
          <cell r="F3808"/>
          <cell r="G3808"/>
        </row>
        <row r="3809">
          <cell r="B3809"/>
          <cell r="C3809"/>
          <cell r="D3809"/>
          <cell r="E3809"/>
          <cell r="F3809"/>
          <cell r="G3809"/>
        </row>
        <row r="3810">
          <cell r="B3810"/>
          <cell r="C3810"/>
          <cell r="D3810"/>
          <cell r="E3810"/>
          <cell r="F3810"/>
          <cell r="G3810"/>
        </row>
        <row r="3811">
          <cell r="B3811"/>
          <cell r="C3811"/>
          <cell r="D3811"/>
          <cell r="E3811"/>
          <cell r="F3811"/>
          <cell r="G3811"/>
        </row>
        <row r="3812">
          <cell r="B3812"/>
          <cell r="C3812"/>
          <cell r="D3812"/>
          <cell r="E3812"/>
          <cell r="F3812"/>
          <cell r="G3812"/>
        </row>
        <row r="3813">
          <cell r="B3813"/>
          <cell r="C3813"/>
          <cell r="D3813"/>
          <cell r="E3813"/>
          <cell r="F3813"/>
          <cell r="G3813"/>
        </row>
        <row r="3814">
          <cell r="B3814"/>
          <cell r="C3814"/>
          <cell r="D3814"/>
          <cell r="E3814"/>
          <cell r="F3814"/>
          <cell r="G3814"/>
        </row>
        <row r="3815">
          <cell r="B3815"/>
          <cell r="C3815"/>
          <cell r="D3815"/>
          <cell r="E3815"/>
          <cell r="F3815"/>
          <cell r="G3815"/>
        </row>
        <row r="3816">
          <cell r="B3816"/>
          <cell r="C3816"/>
          <cell r="D3816"/>
          <cell r="E3816"/>
          <cell r="F3816"/>
          <cell r="G3816"/>
        </row>
        <row r="3817">
          <cell r="B3817"/>
          <cell r="C3817"/>
          <cell r="D3817"/>
          <cell r="E3817"/>
          <cell r="F3817"/>
          <cell r="G3817"/>
        </row>
        <row r="3818">
          <cell r="B3818"/>
          <cell r="C3818"/>
          <cell r="D3818"/>
          <cell r="E3818"/>
          <cell r="F3818"/>
          <cell r="G3818"/>
        </row>
        <row r="3819">
          <cell r="B3819"/>
          <cell r="C3819"/>
          <cell r="D3819"/>
          <cell r="E3819"/>
          <cell r="F3819"/>
          <cell r="G3819"/>
        </row>
        <row r="3820">
          <cell r="B3820"/>
          <cell r="C3820"/>
          <cell r="D3820"/>
          <cell r="E3820"/>
          <cell r="F3820"/>
          <cell r="G3820"/>
        </row>
        <row r="3821">
          <cell r="B3821"/>
          <cell r="C3821"/>
          <cell r="D3821"/>
          <cell r="E3821"/>
          <cell r="F3821"/>
          <cell r="G3821"/>
        </row>
        <row r="3822">
          <cell r="B3822"/>
          <cell r="C3822"/>
          <cell r="D3822"/>
          <cell r="E3822"/>
          <cell r="F3822"/>
          <cell r="G3822"/>
        </row>
        <row r="3823">
          <cell r="B3823"/>
          <cell r="C3823"/>
          <cell r="D3823"/>
          <cell r="E3823"/>
          <cell r="F3823"/>
          <cell r="G3823"/>
        </row>
        <row r="3824">
          <cell r="B3824"/>
          <cell r="C3824"/>
          <cell r="D3824"/>
          <cell r="E3824"/>
          <cell r="F3824"/>
          <cell r="G3824"/>
        </row>
        <row r="3825">
          <cell r="B3825"/>
          <cell r="C3825"/>
          <cell r="D3825"/>
          <cell r="E3825"/>
          <cell r="F3825"/>
          <cell r="G3825"/>
        </row>
        <row r="3826">
          <cell r="B3826"/>
          <cell r="C3826"/>
          <cell r="D3826"/>
          <cell r="E3826"/>
          <cell r="F3826"/>
          <cell r="G3826"/>
        </row>
        <row r="3827">
          <cell r="B3827"/>
          <cell r="C3827"/>
          <cell r="D3827"/>
          <cell r="E3827"/>
          <cell r="F3827"/>
          <cell r="G3827"/>
        </row>
        <row r="3828">
          <cell r="B3828"/>
          <cell r="C3828"/>
          <cell r="D3828"/>
          <cell r="E3828"/>
          <cell r="F3828"/>
          <cell r="G3828"/>
        </row>
        <row r="3829">
          <cell r="B3829"/>
          <cell r="C3829"/>
          <cell r="D3829"/>
          <cell r="E3829"/>
          <cell r="F3829"/>
          <cell r="G3829"/>
        </row>
        <row r="3830">
          <cell r="B3830"/>
          <cell r="C3830"/>
          <cell r="D3830"/>
          <cell r="E3830"/>
          <cell r="F3830"/>
          <cell r="G3830"/>
        </row>
        <row r="3831">
          <cell r="B3831"/>
          <cell r="C3831"/>
          <cell r="D3831"/>
          <cell r="E3831"/>
          <cell r="F3831"/>
          <cell r="G3831"/>
        </row>
        <row r="3832">
          <cell r="B3832"/>
          <cell r="C3832"/>
          <cell r="D3832"/>
          <cell r="E3832"/>
          <cell r="F3832"/>
          <cell r="G3832"/>
        </row>
        <row r="3833">
          <cell r="B3833"/>
          <cell r="C3833"/>
          <cell r="D3833"/>
          <cell r="E3833"/>
          <cell r="F3833"/>
          <cell r="G3833"/>
        </row>
        <row r="3834">
          <cell r="B3834"/>
          <cell r="C3834"/>
          <cell r="D3834"/>
          <cell r="E3834"/>
          <cell r="F3834"/>
          <cell r="G3834"/>
        </row>
        <row r="3835">
          <cell r="B3835"/>
          <cell r="C3835"/>
          <cell r="D3835"/>
          <cell r="E3835"/>
          <cell r="F3835"/>
          <cell r="G3835"/>
        </row>
        <row r="3836">
          <cell r="B3836"/>
          <cell r="C3836"/>
          <cell r="D3836"/>
          <cell r="E3836"/>
          <cell r="F3836"/>
          <cell r="G3836"/>
        </row>
        <row r="3837">
          <cell r="B3837"/>
          <cell r="C3837"/>
          <cell r="D3837"/>
          <cell r="E3837"/>
          <cell r="F3837"/>
          <cell r="G3837"/>
        </row>
        <row r="3838">
          <cell r="B3838"/>
          <cell r="C3838"/>
          <cell r="D3838"/>
          <cell r="E3838"/>
          <cell r="F3838"/>
          <cell r="G3838"/>
        </row>
        <row r="3839">
          <cell r="B3839"/>
          <cell r="C3839"/>
          <cell r="D3839"/>
          <cell r="E3839"/>
          <cell r="F3839"/>
          <cell r="G3839"/>
        </row>
        <row r="3840">
          <cell r="B3840"/>
          <cell r="C3840"/>
          <cell r="D3840"/>
          <cell r="E3840"/>
          <cell r="F3840"/>
          <cell r="G3840"/>
        </row>
        <row r="3841">
          <cell r="B3841"/>
          <cell r="C3841"/>
          <cell r="D3841"/>
          <cell r="E3841"/>
          <cell r="F3841"/>
          <cell r="G3841"/>
        </row>
        <row r="3842">
          <cell r="B3842"/>
          <cell r="C3842"/>
          <cell r="D3842"/>
          <cell r="E3842"/>
          <cell r="F3842"/>
          <cell r="G3842"/>
        </row>
        <row r="3843">
          <cell r="B3843"/>
          <cell r="C3843"/>
          <cell r="D3843"/>
          <cell r="E3843"/>
          <cell r="F3843"/>
          <cell r="G3843"/>
        </row>
        <row r="3844">
          <cell r="B3844"/>
          <cell r="C3844"/>
          <cell r="D3844"/>
          <cell r="E3844"/>
          <cell r="F3844"/>
          <cell r="G3844"/>
        </row>
        <row r="3845">
          <cell r="B3845"/>
          <cell r="C3845"/>
          <cell r="D3845"/>
          <cell r="E3845"/>
          <cell r="F3845"/>
          <cell r="G3845"/>
        </row>
        <row r="3846">
          <cell r="B3846"/>
          <cell r="C3846"/>
          <cell r="D3846"/>
          <cell r="E3846"/>
          <cell r="F3846"/>
          <cell r="G3846"/>
        </row>
        <row r="3847">
          <cell r="B3847"/>
          <cell r="C3847"/>
          <cell r="D3847"/>
          <cell r="E3847"/>
          <cell r="F3847"/>
          <cell r="G3847"/>
        </row>
        <row r="3848">
          <cell r="B3848"/>
          <cell r="C3848"/>
          <cell r="D3848"/>
          <cell r="E3848"/>
          <cell r="F3848"/>
          <cell r="G3848"/>
        </row>
        <row r="3849">
          <cell r="B3849"/>
          <cell r="C3849"/>
          <cell r="D3849"/>
          <cell r="E3849"/>
          <cell r="F3849"/>
          <cell r="G3849"/>
        </row>
        <row r="3850">
          <cell r="B3850"/>
          <cell r="C3850"/>
          <cell r="D3850"/>
          <cell r="E3850"/>
          <cell r="F3850"/>
          <cell r="G3850"/>
        </row>
        <row r="3851">
          <cell r="B3851"/>
          <cell r="C3851"/>
          <cell r="D3851"/>
          <cell r="E3851"/>
          <cell r="F3851"/>
          <cell r="G3851"/>
        </row>
        <row r="3852">
          <cell r="B3852"/>
          <cell r="C3852"/>
          <cell r="D3852"/>
          <cell r="E3852"/>
          <cell r="F3852"/>
          <cell r="G3852"/>
        </row>
        <row r="3853">
          <cell r="B3853"/>
          <cell r="C3853"/>
          <cell r="D3853"/>
          <cell r="E3853"/>
          <cell r="F3853"/>
          <cell r="G3853"/>
        </row>
        <row r="3854">
          <cell r="B3854"/>
          <cell r="C3854"/>
          <cell r="D3854"/>
          <cell r="E3854"/>
          <cell r="F3854"/>
          <cell r="G3854"/>
        </row>
        <row r="3855">
          <cell r="B3855"/>
          <cell r="C3855"/>
          <cell r="D3855"/>
          <cell r="E3855"/>
          <cell r="F3855"/>
          <cell r="G3855"/>
        </row>
        <row r="3856">
          <cell r="B3856"/>
          <cell r="C3856"/>
          <cell r="D3856"/>
          <cell r="E3856"/>
          <cell r="F3856"/>
          <cell r="G3856"/>
        </row>
        <row r="3857">
          <cell r="B3857"/>
          <cell r="C3857"/>
          <cell r="D3857"/>
          <cell r="E3857"/>
          <cell r="F3857"/>
          <cell r="G3857"/>
        </row>
        <row r="3858">
          <cell r="B3858"/>
          <cell r="C3858"/>
          <cell r="D3858"/>
          <cell r="E3858"/>
          <cell r="F3858"/>
          <cell r="G3858"/>
        </row>
        <row r="3859">
          <cell r="B3859"/>
          <cell r="C3859"/>
          <cell r="D3859"/>
          <cell r="E3859"/>
          <cell r="F3859"/>
          <cell r="G3859"/>
        </row>
        <row r="3860">
          <cell r="B3860"/>
          <cell r="C3860"/>
          <cell r="D3860"/>
          <cell r="E3860"/>
          <cell r="F3860"/>
          <cell r="G3860"/>
        </row>
        <row r="3861">
          <cell r="B3861"/>
          <cell r="C3861"/>
          <cell r="D3861"/>
          <cell r="E3861"/>
          <cell r="F3861"/>
          <cell r="G3861"/>
        </row>
        <row r="3862">
          <cell r="B3862"/>
          <cell r="C3862"/>
          <cell r="D3862"/>
          <cell r="E3862"/>
          <cell r="F3862"/>
          <cell r="G3862"/>
        </row>
        <row r="3863">
          <cell r="B3863"/>
          <cell r="C3863"/>
          <cell r="D3863"/>
          <cell r="E3863"/>
          <cell r="F3863"/>
          <cell r="G3863"/>
        </row>
        <row r="3864">
          <cell r="B3864"/>
          <cell r="C3864"/>
          <cell r="D3864"/>
          <cell r="E3864"/>
          <cell r="F3864"/>
          <cell r="G3864"/>
        </row>
        <row r="3865">
          <cell r="B3865"/>
          <cell r="C3865"/>
          <cell r="D3865"/>
          <cell r="E3865"/>
          <cell r="F3865"/>
          <cell r="G3865"/>
        </row>
        <row r="3866">
          <cell r="B3866"/>
          <cell r="C3866"/>
          <cell r="D3866"/>
          <cell r="E3866"/>
          <cell r="F3866"/>
          <cell r="G3866"/>
        </row>
        <row r="3867">
          <cell r="B3867"/>
          <cell r="C3867"/>
          <cell r="D3867"/>
          <cell r="E3867"/>
          <cell r="F3867"/>
          <cell r="G3867"/>
        </row>
        <row r="3868">
          <cell r="B3868"/>
          <cell r="C3868"/>
          <cell r="D3868"/>
          <cell r="E3868"/>
          <cell r="F3868"/>
          <cell r="G3868"/>
        </row>
        <row r="3869">
          <cell r="B3869"/>
          <cell r="C3869"/>
          <cell r="D3869"/>
          <cell r="E3869"/>
          <cell r="F3869"/>
          <cell r="G3869"/>
        </row>
        <row r="3870">
          <cell r="B3870"/>
          <cell r="C3870"/>
          <cell r="D3870"/>
          <cell r="E3870"/>
          <cell r="F3870"/>
          <cell r="G3870"/>
        </row>
        <row r="3871">
          <cell r="B3871"/>
          <cell r="C3871"/>
          <cell r="D3871"/>
          <cell r="E3871"/>
          <cell r="F3871"/>
          <cell r="G3871"/>
        </row>
        <row r="3872">
          <cell r="B3872"/>
          <cell r="C3872"/>
          <cell r="D3872"/>
          <cell r="E3872"/>
          <cell r="F3872"/>
          <cell r="G3872"/>
        </row>
        <row r="3873">
          <cell r="B3873"/>
          <cell r="C3873"/>
          <cell r="D3873"/>
          <cell r="E3873"/>
          <cell r="F3873"/>
          <cell r="G3873"/>
        </row>
        <row r="3874">
          <cell r="B3874"/>
          <cell r="C3874"/>
          <cell r="D3874"/>
          <cell r="E3874"/>
          <cell r="F3874"/>
          <cell r="G3874"/>
        </row>
        <row r="3875">
          <cell r="B3875"/>
          <cell r="C3875"/>
          <cell r="D3875"/>
          <cell r="E3875"/>
          <cell r="F3875"/>
          <cell r="G3875"/>
        </row>
        <row r="3876">
          <cell r="B3876"/>
          <cell r="C3876"/>
          <cell r="D3876"/>
          <cell r="E3876"/>
          <cell r="F3876"/>
          <cell r="G3876"/>
        </row>
        <row r="3877">
          <cell r="B3877"/>
          <cell r="C3877"/>
          <cell r="D3877"/>
          <cell r="E3877"/>
          <cell r="F3877"/>
          <cell r="G3877"/>
        </row>
        <row r="3878">
          <cell r="B3878"/>
          <cell r="C3878"/>
          <cell r="D3878"/>
          <cell r="E3878"/>
          <cell r="F3878"/>
          <cell r="G3878"/>
        </row>
        <row r="3879">
          <cell r="B3879"/>
          <cell r="C3879"/>
          <cell r="D3879"/>
          <cell r="E3879"/>
          <cell r="F3879"/>
          <cell r="G3879"/>
        </row>
        <row r="3880">
          <cell r="B3880"/>
          <cell r="C3880"/>
          <cell r="D3880"/>
          <cell r="E3880"/>
          <cell r="F3880"/>
          <cell r="G3880"/>
        </row>
        <row r="3881">
          <cell r="B3881"/>
          <cell r="C3881"/>
          <cell r="D3881"/>
          <cell r="E3881"/>
          <cell r="F3881"/>
          <cell r="G3881"/>
        </row>
        <row r="3882">
          <cell r="B3882"/>
          <cell r="C3882"/>
          <cell r="D3882"/>
          <cell r="E3882"/>
          <cell r="F3882"/>
          <cell r="G3882"/>
        </row>
        <row r="3883">
          <cell r="B3883"/>
          <cell r="C3883"/>
          <cell r="D3883"/>
          <cell r="E3883"/>
          <cell r="F3883"/>
          <cell r="G3883"/>
        </row>
        <row r="3884">
          <cell r="B3884"/>
          <cell r="C3884"/>
          <cell r="D3884"/>
          <cell r="E3884"/>
          <cell r="F3884"/>
          <cell r="G3884"/>
        </row>
        <row r="3885">
          <cell r="B3885"/>
          <cell r="C3885"/>
          <cell r="D3885"/>
          <cell r="E3885"/>
          <cell r="F3885"/>
          <cell r="G3885"/>
        </row>
        <row r="3886">
          <cell r="B3886"/>
          <cell r="C3886"/>
          <cell r="D3886"/>
          <cell r="E3886"/>
          <cell r="F3886"/>
          <cell r="G3886"/>
        </row>
        <row r="3887">
          <cell r="B3887"/>
          <cell r="C3887"/>
          <cell r="D3887"/>
          <cell r="E3887"/>
          <cell r="F3887"/>
          <cell r="G3887"/>
        </row>
        <row r="3888">
          <cell r="B3888"/>
          <cell r="C3888"/>
          <cell r="D3888"/>
          <cell r="E3888"/>
          <cell r="F3888"/>
          <cell r="G3888"/>
        </row>
        <row r="3889">
          <cell r="B3889"/>
          <cell r="C3889"/>
          <cell r="D3889"/>
          <cell r="E3889"/>
          <cell r="F3889"/>
          <cell r="G3889"/>
        </row>
        <row r="3890">
          <cell r="B3890"/>
          <cell r="C3890"/>
          <cell r="D3890"/>
          <cell r="E3890"/>
          <cell r="F3890"/>
          <cell r="G3890"/>
        </row>
        <row r="3891">
          <cell r="B3891"/>
          <cell r="C3891"/>
          <cell r="D3891"/>
          <cell r="E3891"/>
          <cell r="F3891"/>
          <cell r="G3891"/>
        </row>
        <row r="3892">
          <cell r="B3892"/>
          <cell r="C3892"/>
          <cell r="D3892"/>
          <cell r="E3892"/>
          <cell r="F3892"/>
          <cell r="G3892"/>
        </row>
        <row r="3893">
          <cell r="B3893"/>
          <cell r="C3893"/>
          <cell r="D3893"/>
          <cell r="E3893"/>
          <cell r="F3893"/>
          <cell r="G3893"/>
        </row>
        <row r="3894">
          <cell r="B3894"/>
          <cell r="C3894"/>
          <cell r="D3894"/>
          <cell r="E3894"/>
          <cell r="F3894"/>
          <cell r="G3894"/>
        </row>
        <row r="3895">
          <cell r="B3895"/>
          <cell r="C3895"/>
          <cell r="D3895"/>
          <cell r="E3895"/>
          <cell r="F3895"/>
          <cell r="G3895"/>
        </row>
        <row r="3896">
          <cell r="B3896"/>
          <cell r="C3896"/>
          <cell r="D3896"/>
          <cell r="E3896"/>
          <cell r="F3896"/>
          <cell r="G3896"/>
        </row>
        <row r="3897">
          <cell r="B3897"/>
          <cell r="C3897"/>
          <cell r="D3897"/>
          <cell r="E3897"/>
          <cell r="F3897"/>
          <cell r="G3897"/>
        </row>
        <row r="3898">
          <cell r="B3898"/>
          <cell r="C3898"/>
          <cell r="D3898"/>
          <cell r="E3898"/>
          <cell r="F3898"/>
          <cell r="G3898"/>
        </row>
        <row r="3899">
          <cell r="B3899"/>
          <cell r="C3899"/>
          <cell r="D3899"/>
          <cell r="E3899"/>
          <cell r="F3899"/>
          <cell r="G3899"/>
        </row>
        <row r="3900">
          <cell r="B3900"/>
          <cell r="C3900"/>
          <cell r="D3900"/>
          <cell r="E3900"/>
          <cell r="F3900"/>
          <cell r="G3900"/>
        </row>
        <row r="3901">
          <cell r="B3901"/>
          <cell r="C3901"/>
          <cell r="D3901"/>
          <cell r="E3901"/>
          <cell r="F3901"/>
          <cell r="G3901"/>
        </row>
        <row r="3902">
          <cell r="B3902"/>
          <cell r="C3902"/>
          <cell r="D3902"/>
          <cell r="E3902"/>
          <cell r="F3902"/>
          <cell r="G3902"/>
        </row>
        <row r="3903">
          <cell r="B3903"/>
          <cell r="C3903"/>
          <cell r="D3903"/>
          <cell r="E3903"/>
          <cell r="F3903"/>
          <cell r="G3903"/>
        </row>
        <row r="3904">
          <cell r="B3904"/>
          <cell r="C3904"/>
          <cell r="D3904"/>
          <cell r="E3904"/>
          <cell r="F3904"/>
          <cell r="G3904"/>
        </row>
        <row r="3905">
          <cell r="B3905"/>
          <cell r="C3905"/>
          <cell r="D3905"/>
          <cell r="E3905"/>
          <cell r="F3905"/>
          <cell r="G3905"/>
        </row>
        <row r="3906">
          <cell r="B3906"/>
          <cell r="C3906"/>
          <cell r="D3906"/>
          <cell r="E3906"/>
          <cell r="F3906"/>
          <cell r="G3906"/>
        </row>
        <row r="3907">
          <cell r="B3907"/>
          <cell r="C3907"/>
          <cell r="D3907"/>
          <cell r="E3907"/>
          <cell r="F3907"/>
          <cell r="G3907"/>
        </row>
        <row r="3908">
          <cell r="B3908"/>
          <cell r="C3908"/>
          <cell r="D3908"/>
          <cell r="E3908"/>
          <cell r="F3908"/>
          <cell r="G3908"/>
        </row>
        <row r="3909">
          <cell r="B3909"/>
          <cell r="C3909"/>
          <cell r="D3909"/>
          <cell r="E3909"/>
          <cell r="F3909"/>
          <cell r="G3909"/>
        </row>
        <row r="3910">
          <cell r="B3910"/>
          <cell r="C3910"/>
          <cell r="D3910"/>
          <cell r="E3910"/>
          <cell r="F3910"/>
          <cell r="G3910"/>
        </row>
        <row r="3911">
          <cell r="B3911"/>
          <cell r="C3911"/>
          <cell r="D3911"/>
          <cell r="E3911"/>
          <cell r="F3911"/>
          <cell r="G3911"/>
        </row>
        <row r="3912">
          <cell r="B3912"/>
          <cell r="C3912"/>
          <cell r="D3912"/>
          <cell r="E3912"/>
          <cell r="F3912"/>
          <cell r="G3912"/>
        </row>
        <row r="3913">
          <cell r="B3913"/>
          <cell r="C3913"/>
          <cell r="D3913"/>
          <cell r="E3913"/>
          <cell r="F3913"/>
          <cell r="G3913"/>
        </row>
        <row r="3914">
          <cell r="B3914"/>
          <cell r="C3914"/>
          <cell r="D3914"/>
          <cell r="E3914"/>
          <cell r="F3914"/>
          <cell r="G3914"/>
        </row>
        <row r="3915">
          <cell r="B3915"/>
          <cell r="C3915"/>
          <cell r="D3915"/>
          <cell r="E3915"/>
          <cell r="F3915"/>
          <cell r="G3915"/>
        </row>
        <row r="3916">
          <cell r="B3916"/>
          <cell r="C3916"/>
          <cell r="D3916"/>
          <cell r="E3916"/>
          <cell r="F3916"/>
          <cell r="G3916"/>
        </row>
        <row r="3917">
          <cell r="B3917"/>
          <cell r="C3917"/>
          <cell r="D3917"/>
          <cell r="E3917"/>
          <cell r="F3917"/>
          <cell r="G3917"/>
        </row>
        <row r="3918">
          <cell r="B3918"/>
          <cell r="C3918"/>
          <cell r="D3918"/>
          <cell r="E3918"/>
          <cell r="F3918"/>
          <cell r="G3918"/>
        </row>
        <row r="3919">
          <cell r="B3919"/>
          <cell r="C3919"/>
          <cell r="D3919"/>
          <cell r="E3919"/>
          <cell r="F3919"/>
          <cell r="G3919"/>
        </row>
        <row r="3920">
          <cell r="B3920"/>
          <cell r="C3920"/>
          <cell r="D3920"/>
          <cell r="E3920"/>
          <cell r="F3920"/>
          <cell r="G3920"/>
        </row>
        <row r="3921">
          <cell r="B3921"/>
          <cell r="C3921"/>
          <cell r="D3921"/>
          <cell r="E3921"/>
          <cell r="F3921"/>
          <cell r="G3921"/>
        </row>
        <row r="3922">
          <cell r="B3922"/>
          <cell r="C3922"/>
          <cell r="D3922"/>
          <cell r="E3922"/>
          <cell r="F3922"/>
          <cell r="G3922"/>
        </row>
        <row r="3923">
          <cell r="B3923"/>
          <cell r="C3923"/>
          <cell r="D3923"/>
          <cell r="E3923"/>
          <cell r="F3923"/>
          <cell r="G3923"/>
        </row>
        <row r="3924">
          <cell r="B3924"/>
          <cell r="C3924"/>
          <cell r="D3924"/>
          <cell r="E3924"/>
          <cell r="F3924"/>
          <cell r="G3924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AMI-Q408"/>
    </sheetNames>
    <sheetDataSet>
      <sheetData sheetId="0" refreshError="1"/>
      <sheetData sheetId="1" refreshError="1">
        <row r="3">
          <cell r="E3" t="str">
            <v>カタログコード
Catalog code</v>
          </cell>
          <cell r="F3" t="str">
            <v>製品名 Tên sản phẩm</v>
          </cell>
          <cell r="G3" t="str">
            <v>承認番号
Số phê duyệt</v>
          </cell>
          <cell r="H3" t="str">
            <v>Family</v>
          </cell>
        </row>
        <row r="4">
          <cell r="E4" t="str">
            <v>AG141000 CN</v>
          </cell>
          <cell r="F4" t="str">
            <v>ASAHI PTCA Guide Wire Soft 180cm</v>
          </cell>
          <cell r="G4">
            <v>20163035080</v>
          </cell>
          <cell r="H4" t="str">
            <v>A</v>
          </cell>
        </row>
        <row r="5">
          <cell r="E5" t="str">
            <v>AG141002 CN</v>
          </cell>
          <cell r="F5" t="str">
            <v>ASAHI PTCA Guide Wire Grand Slam 180cm</v>
          </cell>
          <cell r="G5">
            <v>20163035080</v>
          </cell>
          <cell r="H5" t="str">
            <v>A</v>
          </cell>
        </row>
        <row r="6">
          <cell r="E6" t="str">
            <v>AG141010 CN</v>
          </cell>
          <cell r="F6" t="str">
            <v>ASAHI PTCA Guide Wire Marker Wire 180cm</v>
          </cell>
          <cell r="G6">
            <v>20163035080</v>
          </cell>
          <cell r="H6" t="str">
            <v>A</v>
          </cell>
        </row>
        <row r="7">
          <cell r="E7" t="str">
            <v>AG143090 CN</v>
          </cell>
          <cell r="F7" t="str">
            <v>ASAHI PTCA Guide Wire Conquest 180cm</v>
          </cell>
          <cell r="G7">
            <v>20163035080</v>
          </cell>
          <cell r="H7" t="str">
            <v>A</v>
          </cell>
        </row>
        <row r="8">
          <cell r="E8" t="str">
            <v>AG14M050 CN</v>
          </cell>
          <cell r="F8" t="str">
            <v>ASAHI PTCA Guide Wire Miracle 3 180cm</v>
          </cell>
          <cell r="G8">
            <v>20163035080</v>
          </cell>
          <cell r="H8" t="str">
            <v>A</v>
          </cell>
        </row>
        <row r="9">
          <cell r="E9" t="str">
            <v>AG14M060 CN</v>
          </cell>
          <cell r="F9" t="str">
            <v>ASAHI PTCA Guide Wire Miracle 6 180cm</v>
          </cell>
          <cell r="G9">
            <v>20163035080</v>
          </cell>
          <cell r="H9" t="str">
            <v>A</v>
          </cell>
        </row>
        <row r="10">
          <cell r="E10" t="str">
            <v>AG14M070 CN</v>
          </cell>
          <cell r="F10" t="str">
            <v>ASAHI PTCA Guide Wire Miracle 12 180cm</v>
          </cell>
          <cell r="G10">
            <v>20163035080</v>
          </cell>
          <cell r="H10" t="str">
            <v>A</v>
          </cell>
        </row>
        <row r="11">
          <cell r="E11" t="str">
            <v>AG149001 CN</v>
          </cell>
          <cell r="F11" t="str">
            <v>ASAHI Extension Wire EXTENSION 165cm</v>
          </cell>
          <cell r="G11">
            <v>20163035080</v>
          </cell>
          <cell r="H11" t="str">
            <v>A</v>
          </cell>
        </row>
        <row r="12">
          <cell r="E12" t="str">
            <v>PAGH18M071 CN</v>
          </cell>
          <cell r="F12" t="str">
            <v>ASAHI Peripheral Guide Wire Astato 30 180cm</v>
          </cell>
          <cell r="G12">
            <v>20183031888</v>
          </cell>
          <cell r="H12" t="str">
            <v>B</v>
          </cell>
        </row>
        <row r="13">
          <cell r="E13" t="str">
            <v>PAGH18M371 CN</v>
          </cell>
          <cell r="F13" t="str">
            <v>ASAHI Peripheral Guide Wire Astato 30 300cm</v>
          </cell>
          <cell r="G13">
            <v>20183031888</v>
          </cell>
          <cell r="H13" t="str">
            <v>B</v>
          </cell>
        </row>
        <row r="14">
          <cell r="E14" t="str">
            <v>PAGH18M070 CN</v>
          </cell>
          <cell r="F14" t="str">
            <v>ASAHI Peripheral Guide Wire Treasure 12 180cm</v>
          </cell>
          <cell r="G14">
            <v>20183031888</v>
          </cell>
          <cell r="H14" t="str">
            <v>B</v>
          </cell>
        </row>
        <row r="15">
          <cell r="E15" t="str">
            <v>PAGH18M370 CN</v>
          </cell>
          <cell r="F15" t="str">
            <v>ASAHI Peripheral Guide Wire Treasure 12 300cm</v>
          </cell>
          <cell r="G15">
            <v>20183031888</v>
          </cell>
          <cell r="H15" t="str">
            <v>B</v>
          </cell>
        </row>
        <row r="16">
          <cell r="E16" t="str">
            <v>AHW14R001S CN</v>
          </cell>
          <cell r="F16" t="str">
            <v>ASAHI PTCA Guide Wire ASAHI SION 180cm</v>
          </cell>
          <cell r="G16">
            <v>20183031886</v>
          </cell>
          <cell r="H16" t="str">
            <v>B</v>
          </cell>
        </row>
        <row r="17">
          <cell r="E17" t="str">
            <v>AHW14R301S CN</v>
          </cell>
          <cell r="F17" t="str">
            <v>ASAHI PTCA Guide Wire ASAHI SION 300cm</v>
          </cell>
          <cell r="G17">
            <v>20183031886</v>
          </cell>
          <cell r="H17" t="str">
            <v>B</v>
          </cell>
        </row>
        <row r="18">
          <cell r="E18" t="str">
            <v>AHW14R007P CN</v>
          </cell>
          <cell r="F18" t="str">
            <v>ASAHI PTCA Guide Wire ASAHI Gaia First Pre-shape 190cm</v>
          </cell>
          <cell r="G18">
            <v>20183031817</v>
          </cell>
          <cell r="H18" t="str">
            <v>B</v>
          </cell>
        </row>
        <row r="19">
          <cell r="E19" t="str">
            <v>AHW14R307P CN</v>
          </cell>
          <cell r="F19" t="str">
            <v>ASAHI PTCA Guide Wire ASAHI Gaia First Pre-shape 300cm</v>
          </cell>
          <cell r="G19">
            <v>20183031817</v>
          </cell>
          <cell r="H19" t="str">
            <v>B</v>
          </cell>
        </row>
        <row r="20">
          <cell r="E20" t="str">
            <v>AHW14R007S CN</v>
          </cell>
          <cell r="F20" t="str">
            <v>ASAHI PTCA Guide Wire ASAHI Gaia First Straight 190cm</v>
          </cell>
          <cell r="G20">
            <v>20183031817</v>
          </cell>
          <cell r="H20" t="str">
            <v>B</v>
          </cell>
        </row>
        <row r="21">
          <cell r="E21" t="str">
            <v>AHW14R307S CN</v>
          </cell>
          <cell r="F21" t="str">
            <v>ASAHI PTCA Guide Wire ASAHI Gaia First Straight 300cm</v>
          </cell>
          <cell r="G21">
            <v>20183031817</v>
          </cell>
          <cell r="H21" t="str">
            <v>B</v>
          </cell>
        </row>
        <row r="22">
          <cell r="E22" t="str">
            <v>AGH143090 CN</v>
          </cell>
          <cell r="F22" t="str">
            <v>ASAHI PTCA Guide Wire Conquest Pro 180cm</v>
          </cell>
          <cell r="G22">
            <v>20183031883</v>
          </cell>
          <cell r="H22" t="str">
            <v>B</v>
          </cell>
        </row>
        <row r="23">
          <cell r="E23" t="str">
            <v>AGH143090J CN</v>
          </cell>
          <cell r="F23" t="str">
            <v>ASAHI PTCA Guide Wire Conquest Pro 180cm J</v>
          </cell>
          <cell r="G23">
            <v>20183031883</v>
          </cell>
          <cell r="H23" t="str">
            <v>B</v>
          </cell>
        </row>
        <row r="24">
          <cell r="E24" t="str">
            <v>AGH143390 CN</v>
          </cell>
          <cell r="F24" t="str">
            <v>ASAHI PTCA Guide Wire Conquest Pro 300cm</v>
          </cell>
          <cell r="G24">
            <v>20183031883</v>
          </cell>
          <cell r="H24" t="str">
            <v>B</v>
          </cell>
        </row>
        <row r="25">
          <cell r="E25" t="str">
            <v>AGH143390J CN</v>
          </cell>
          <cell r="F25" t="str">
            <v>ASAHI PTCA Guide Wire Conquest Pro 300cm J</v>
          </cell>
          <cell r="G25">
            <v>20183031883</v>
          </cell>
          <cell r="H25" t="str">
            <v>B</v>
          </cell>
        </row>
        <row r="26">
          <cell r="E26" t="str">
            <v>AGH143091 CN</v>
          </cell>
          <cell r="F26" t="str">
            <v>ASAHI PTCA Guide Wire Conquest Pro 12 180cm</v>
          </cell>
          <cell r="G26">
            <v>20183031883</v>
          </cell>
          <cell r="H26" t="str">
            <v>B</v>
          </cell>
        </row>
        <row r="27">
          <cell r="E27" t="str">
            <v>AGH143391 CN</v>
          </cell>
          <cell r="F27" t="str">
            <v>ASAHI PTCA Guide Wire Conquest Pro 12 300cm</v>
          </cell>
          <cell r="G27">
            <v>20183031883</v>
          </cell>
          <cell r="H27" t="str">
            <v>B</v>
          </cell>
        </row>
        <row r="28">
          <cell r="E28" t="str">
            <v>AGH143092 CN</v>
          </cell>
          <cell r="F28" t="str">
            <v>ASAHI PTCA Guide Wire Conquest Pro 8-20 180cm</v>
          </cell>
          <cell r="G28">
            <v>20183031883</v>
          </cell>
          <cell r="H28" t="str">
            <v>B</v>
          </cell>
        </row>
        <row r="29">
          <cell r="E29" t="str">
            <v>AHW14S003S CN</v>
          </cell>
          <cell r="F29" t="str">
            <v>ASAHI PTCA Guide Wire ULTIMATEbros 3 180cm</v>
          </cell>
          <cell r="G29">
            <v>20163031479</v>
          </cell>
          <cell r="H29" t="str">
            <v>B</v>
          </cell>
        </row>
        <row r="30">
          <cell r="E30" t="str">
            <v>AHW14S303S CN</v>
          </cell>
          <cell r="F30" t="str">
            <v>ASAHI PTCA Guide Wire ULTIMATEbros 3 300cm</v>
          </cell>
          <cell r="G30">
            <v>20163031479</v>
          </cell>
          <cell r="H30" t="str">
            <v>B</v>
          </cell>
        </row>
        <row r="31">
          <cell r="E31" t="str">
            <v>AHW14S003J CN</v>
          </cell>
          <cell r="F31" t="str">
            <v>ASAHI PTCA Guide Wire ULTIMATEbros 3 180cm J</v>
          </cell>
          <cell r="G31">
            <v>20163031479</v>
          </cell>
          <cell r="H31" t="str">
            <v>B</v>
          </cell>
        </row>
        <row r="32">
          <cell r="E32" t="str">
            <v>AHW14S303J CN</v>
          </cell>
          <cell r="F32" t="str">
            <v>ASAHI PTCA Guide Wire ULTIMATEbros 3 300cm J</v>
          </cell>
          <cell r="G32">
            <v>20163031479</v>
          </cell>
          <cell r="H32" t="str">
            <v>B</v>
          </cell>
        </row>
        <row r="33">
          <cell r="E33" t="str">
            <v>AHW10S302S CN</v>
          </cell>
          <cell r="F33" t="str">
            <v>ASAHI PTCA Guide Wire ASAHI RG3 330cm</v>
          </cell>
          <cell r="G33">
            <v>20163034999</v>
          </cell>
          <cell r="H33" t="str">
            <v>B</v>
          </cell>
        </row>
        <row r="34">
          <cell r="E34" t="str">
            <v>AGH146000 CN</v>
          </cell>
          <cell r="F34" t="str">
            <v>ASAHI PTCA Guide Wire Rinato 180cm</v>
          </cell>
          <cell r="G34">
            <v>20163035080</v>
          </cell>
          <cell r="H34" t="str">
            <v>B</v>
          </cell>
        </row>
        <row r="35">
          <cell r="E35" t="str">
            <v>AGH147000 CN</v>
          </cell>
          <cell r="F35" t="str">
            <v>ASAHI PTCA Guide Wire Route 180cm</v>
          </cell>
          <cell r="G35">
            <v>20163035080</v>
          </cell>
          <cell r="H35" t="str">
            <v>B</v>
          </cell>
        </row>
        <row r="36">
          <cell r="E36" t="str">
            <v>PAGH143092 CN</v>
          </cell>
          <cell r="F36" t="str">
            <v>ASAHI Peripheral Guide Wire Astato XS 20 180cm</v>
          </cell>
          <cell r="G36">
            <v>20173031854</v>
          </cell>
          <cell r="H36" t="str">
            <v>B</v>
          </cell>
        </row>
        <row r="37">
          <cell r="E37" t="str">
            <v>PAGH143392 CN</v>
          </cell>
          <cell r="F37" t="str">
            <v>ASAHI Peripheral Guide Wire Astato XS 20 300cm</v>
          </cell>
          <cell r="G37">
            <v>20173031854</v>
          </cell>
          <cell r="H37" t="str">
            <v>B</v>
          </cell>
        </row>
        <row r="38">
          <cell r="E38" t="str">
            <v>PAGH18M072 CN</v>
          </cell>
          <cell r="F38" t="str">
            <v>ASAHI Peripheral Guide Wire Treasure Floppy 190cm</v>
          </cell>
          <cell r="G38">
            <v>20173031854</v>
          </cell>
          <cell r="H38" t="str">
            <v>B</v>
          </cell>
        </row>
        <row r="39">
          <cell r="E39" t="str">
            <v>PAGH18M372 CN</v>
          </cell>
          <cell r="F39" t="str">
            <v>ASAHI Peripheral Guide Wire Treasure Floppy 300cm</v>
          </cell>
          <cell r="G39">
            <v>20173031854</v>
          </cell>
          <cell r="H39" t="str">
            <v>B</v>
          </cell>
        </row>
        <row r="40">
          <cell r="E40" t="str">
            <v>AHW14R004S CN</v>
          </cell>
          <cell r="F40" t="str">
            <v>ASAHI PTCA Guide Wire ASAHI SION blue 180cm</v>
          </cell>
          <cell r="G40">
            <v>20173036599</v>
          </cell>
          <cell r="H40" t="str">
            <v>B</v>
          </cell>
        </row>
        <row r="41">
          <cell r="E41" t="str">
            <v>AHW14R304S CN</v>
          </cell>
          <cell r="F41" t="str">
            <v>ASAHI PTCA Guide Wire ASAHI SION blue 300cm</v>
          </cell>
          <cell r="G41">
            <v>20173036599</v>
          </cell>
          <cell r="H41" t="str">
            <v>B</v>
          </cell>
        </row>
        <row r="42">
          <cell r="E42" t="str">
            <v>AHW14R004J CN</v>
          </cell>
          <cell r="F42" t="str">
            <v>ASAHI PTCA Guide Wire ASAHI SION blue 180cm J</v>
          </cell>
          <cell r="G42">
            <v>20173036599</v>
          </cell>
          <cell r="H42" t="str">
            <v>B</v>
          </cell>
        </row>
        <row r="43">
          <cell r="E43" t="str">
            <v>AHW14R304J CN</v>
          </cell>
          <cell r="F43" t="str">
            <v>ASAHI PTCA Guide Wire ASAHI SION blue 300cm J</v>
          </cell>
          <cell r="G43">
            <v>20173036599</v>
          </cell>
          <cell r="H43" t="str">
            <v>B</v>
          </cell>
        </row>
        <row r="44">
          <cell r="E44" t="str">
            <v>AHW14R008P CN</v>
          </cell>
          <cell r="F44" t="str">
            <v>ASAHI PTCA Guide Wire ASAHI Gaia Second Pre-shape 190cm</v>
          </cell>
          <cell r="G44">
            <v>20183031817</v>
          </cell>
          <cell r="H44" t="str">
            <v>B</v>
          </cell>
        </row>
        <row r="45">
          <cell r="E45" t="str">
            <v>AHW14R308P CN</v>
          </cell>
          <cell r="F45" t="str">
            <v>ASAHI PTCA Guide Wire ASAHI Gaia Second Pre-shape 300cm</v>
          </cell>
          <cell r="G45">
            <v>20183031817</v>
          </cell>
          <cell r="H45" t="str">
            <v>B</v>
          </cell>
        </row>
        <row r="46">
          <cell r="E46" t="str">
            <v>AHW14R008S CN</v>
          </cell>
          <cell r="F46" t="str">
            <v>ASAHI PTCA Guide Wire ASAHI Gaia Second Straight 190cm</v>
          </cell>
          <cell r="G46">
            <v>20183031817</v>
          </cell>
          <cell r="H46" t="str">
            <v>B</v>
          </cell>
        </row>
        <row r="47">
          <cell r="E47" t="str">
            <v>AHW14R308S CN</v>
          </cell>
          <cell r="F47" t="str">
            <v>ASAHI PTCA Guide Wire ASAHI Gaia Second Straight 300cm</v>
          </cell>
          <cell r="G47">
            <v>20183031817</v>
          </cell>
          <cell r="H47" t="str">
            <v>B</v>
          </cell>
        </row>
        <row r="48">
          <cell r="E48" t="str">
            <v>AHW14R011P CN</v>
          </cell>
          <cell r="F48" t="str">
            <v>ASAHI PTCA Guide Wire ASAHI Gaia Third Pre-shape 190cm</v>
          </cell>
          <cell r="G48">
            <v>20183031817</v>
          </cell>
          <cell r="H48" t="str">
            <v>B</v>
          </cell>
        </row>
        <row r="49">
          <cell r="E49" t="str">
            <v>AHW14R311P CN</v>
          </cell>
          <cell r="F49" t="str">
            <v>ASAHI PTCA Guide Wire ASAHI Gaia Third Pre-shape 300cm</v>
          </cell>
          <cell r="G49">
            <v>20183031817</v>
          </cell>
          <cell r="H49" t="str">
            <v>B</v>
          </cell>
        </row>
        <row r="50">
          <cell r="E50" t="str">
            <v>AHW14R011S CN</v>
          </cell>
          <cell r="F50" t="str">
            <v>ASAHI PTCA Guide Wire ASAHI Gaia Third Straight 190cm</v>
          </cell>
          <cell r="G50">
            <v>20183031817</v>
          </cell>
          <cell r="H50" t="str">
            <v>B</v>
          </cell>
        </row>
        <row r="51">
          <cell r="E51" t="str">
            <v>AHW14R311S CN</v>
          </cell>
          <cell r="F51" t="str">
            <v>ASAHI PTCA Guide Wire ASAHI Gaia Third Straight 300cm</v>
          </cell>
          <cell r="G51">
            <v>20183031817</v>
          </cell>
          <cell r="H51" t="str">
            <v>B</v>
          </cell>
        </row>
        <row r="52">
          <cell r="E52" t="str">
            <v>AHW14R017S CN</v>
          </cell>
          <cell r="F52" t="str">
            <v>ASAHI PTCA Guide Wire ASAHI SION blue ES 190cm</v>
          </cell>
          <cell r="G52">
            <v>20173036599</v>
          </cell>
          <cell r="H52" t="str">
            <v>B</v>
          </cell>
        </row>
        <row r="53">
          <cell r="E53" t="str">
            <v>AHW14R317S CN</v>
          </cell>
          <cell r="F53" t="str">
            <v>ASAHI PTCA Guide Wire ASAHI SION blue ES 300cm</v>
          </cell>
          <cell r="G53">
            <v>20173036599</v>
          </cell>
          <cell r="H53" t="str">
            <v>B</v>
          </cell>
        </row>
        <row r="54">
          <cell r="E54" t="str">
            <v>AHW14R017J CN</v>
          </cell>
          <cell r="F54" t="str">
            <v>ASAHI PTCA Guide Wire ASAHI SION blue ES 190cm J</v>
          </cell>
          <cell r="G54">
            <v>20173036599</v>
          </cell>
          <cell r="H54" t="str">
            <v>B</v>
          </cell>
        </row>
        <row r="55">
          <cell r="E55" t="str">
            <v>AHW14R317J CN</v>
          </cell>
          <cell r="F55" t="str">
            <v>ASAHI PTCA Guide Wire ASAHI SION blue ES 300cm J</v>
          </cell>
          <cell r="G55">
            <v>20173036599</v>
          </cell>
          <cell r="H55" t="str">
            <v>B</v>
          </cell>
        </row>
        <row r="56">
          <cell r="E56" t="str">
            <v>PAGHW143094 CN</v>
          </cell>
          <cell r="F56" t="str">
            <v>ASAHI Peripheral Guide Wire Astato XS 40 200cm</v>
          </cell>
          <cell r="G56">
            <v>20173031854</v>
          </cell>
          <cell r="H56" t="str">
            <v>B</v>
          </cell>
        </row>
        <row r="57">
          <cell r="E57" t="str">
            <v>PAGHW143394 CN</v>
          </cell>
          <cell r="F57" t="str">
            <v>ASAHI Peripheral Guide Wire Astato XS 40 300cm</v>
          </cell>
          <cell r="G57">
            <v>20173031854</v>
          </cell>
          <cell r="H57" t="str">
            <v>B</v>
          </cell>
        </row>
        <row r="58">
          <cell r="E58" t="str">
            <v>PHW18R102S CN</v>
          </cell>
          <cell r="F58" t="str">
            <v>ASAHI Peripheral Guide Wire ASAHI Gaia PV18 Straight 200cm</v>
          </cell>
          <cell r="G58">
            <v>20173031854</v>
          </cell>
          <cell r="H58" t="str">
            <v>B</v>
          </cell>
        </row>
        <row r="59">
          <cell r="E59" t="str">
            <v>PHW18R102P CN</v>
          </cell>
          <cell r="F59" t="str">
            <v>ASAHI Peripheral Guide Wire ASAHI Gaia PV18 Pre-shape 200cm</v>
          </cell>
          <cell r="G59">
            <v>20173031854</v>
          </cell>
          <cell r="H59" t="str">
            <v>B</v>
          </cell>
        </row>
        <row r="60">
          <cell r="E60" t="str">
            <v>PHW18R202S CN</v>
          </cell>
          <cell r="F60" t="str">
            <v>ASAHI Peripheral Guide Wire ASAHI Gaia PV18 Straight 235cm</v>
          </cell>
          <cell r="G60">
            <v>20173031854</v>
          </cell>
          <cell r="H60" t="str">
            <v>B</v>
          </cell>
        </row>
        <row r="61">
          <cell r="E61" t="str">
            <v>PHW18R202P CN</v>
          </cell>
          <cell r="F61" t="str">
            <v>ASAHI Peripheral Guide Wire ASAHI Gaia PV18 Pre-shape 235cm</v>
          </cell>
          <cell r="G61">
            <v>20173031854</v>
          </cell>
          <cell r="H61" t="str">
            <v>B</v>
          </cell>
        </row>
        <row r="62">
          <cell r="E62" t="str">
            <v>PHW18R302S CN</v>
          </cell>
          <cell r="F62" t="str">
            <v>ASAHI Peripheral Guide Wire ASAHI Gaia PV18 Straight 300cm</v>
          </cell>
          <cell r="G62">
            <v>20173031854</v>
          </cell>
          <cell r="H62" t="str">
            <v>B</v>
          </cell>
        </row>
        <row r="63">
          <cell r="E63" t="str">
            <v>PHW18R302P CN</v>
          </cell>
          <cell r="F63" t="str">
            <v>ASAHI Peripheral Guide Wire ASAHI Gaia PV18 Pre-shape 300cm</v>
          </cell>
          <cell r="G63">
            <v>20173031854</v>
          </cell>
          <cell r="H63" t="str">
            <v>B</v>
          </cell>
        </row>
        <row r="64">
          <cell r="E64" t="str">
            <v>PHW14R101S CN</v>
          </cell>
          <cell r="F64" t="str">
            <v>ASAHI Peripheral Guide Wire ASAHI Halberd14 Straight 200cm</v>
          </cell>
          <cell r="G64">
            <v>20173031854</v>
          </cell>
          <cell r="H64" t="str">
            <v>B</v>
          </cell>
        </row>
        <row r="65">
          <cell r="E65" t="str">
            <v>PHW14R101P CN</v>
          </cell>
          <cell r="F65" t="str">
            <v>ASAHI Peripheral Guide Wire ASAHI Halberd14 Pre-shape 200cm</v>
          </cell>
          <cell r="G65">
            <v>20173031854</v>
          </cell>
          <cell r="H65" t="str">
            <v>B</v>
          </cell>
        </row>
        <row r="66">
          <cell r="E66" t="str">
            <v>PHW14R201S CN</v>
          </cell>
          <cell r="F66" t="str">
            <v>ASAHI Peripheral Guide Wire ASAHI Halberd14 Straight 235cm</v>
          </cell>
          <cell r="G66">
            <v>20173031854</v>
          </cell>
          <cell r="H66" t="str">
            <v>B</v>
          </cell>
        </row>
        <row r="67">
          <cell r="E67" t="str">
            <v>PHW14R201P CN</v>
          </cell>
          <cell r="F67" t="str">
            <v>ASAHI Peripheral Guide Wire ASAHI Halberd14 Pre-shape 235cm</v>
          </cell>
          <cell r="G67">
            <v>20173031854</v>
          </cell>
          <cell r="H67" t="str">
            <v>B</v>
          </cell>
        </row>
        <row r="68">
          <cell r="E68" t="str">
            <v>PHW14R301S CN</v>
          </cell>
          <cell r="F68" t="str">
            <v>ASAHI Peripheral Guide Wire ASAHI Halberd14 Straight 300cm</v>
          </cell>
          <cell r="G68">
            <v>20173031854</v>
          </cell>
          <cell r="H68" t="str">
            <v>B</v>
          </cell>
        </row>
        <row r="69">
          <cell r="E69" t="str">
            <v>PHW14R301P CN</v>
          </cell>
          <cell r="F69" t="str">
            <v>ASAHI Peripheral Guide Wire ASAHI Halberd14 Pre-shape 300cm</v>
          </cell>
          <cell r="G69">
            <v>20173031854</v>
          </cell>
          <cell r="H69" t="str">
            <v>B</v>
          </cell>
        </row>
        <row r="70">
          <cell r="E70" t="str">
            <v>PHW18R101S CN</v>
          </cell>
          <cell r="F70" t="str">
            <v>ASAHI Peripheral Guide Wire ASAHI Halberd18 Straight 200cm</v>
          </cell>
          <cell r="G70">
            <v>20173031854</v>
          </cell>
          <cell r="H70" t="str">
            <v>B</v>
          </cell>
        </row>
        <row r="71">
          <cell r="E71" t="str">
            <v>PHW18R101P CN</v>
          </cell>
          <cell r="F71" t="str">
            <v>ASAHI Peripheral Guide Wire ASAHI Halberd18 Pre-shape 200cm</v>
          </cell>
          <cell r="G71">
            <v>20173031854</v>
          </cell>
          <cell r="H71" t="str">
            <v>B</v>
          </cell>
        </row>
        <row r="72">
          <cell r="E72" t="str">
            <v>PHW18R201S CN</v>
          </cell>
          <cell r="F72" t="str">
            <v>ASAHI Peripheral Guide Wire ASAHI Halberd18 Straight 235cm</v>
          </cell>
          <cell r="G72">
            <v>20173031854</v>
          </cell>
          <cell r="H72" t="str">
            <v>B</v>
          </cell>
        </row>
        <row r="73">
          <cell r="E73" t="str">
            <v>PHW18R201P CN</v>
          </cell>
          <cell r="F73" t="str">
            <v>ASAHI Peripheral Guide Wire ASAHI Halberd18 Pre-shape 235cm</v>
          </cell>
          <cell r="G73">
            <v>20173031854</v>
          </cell>
          <cell r="H73" t="str">
            <v>B</v>
          </cell>
        </row>
        <row r="74">
          <cell r="E74" t="str">
            <v>PHW18R301S CN</v>
          </cell>
          <cell r="F74" t="str">
            <v>ASAHI Peripheral Guide Wire ASAHI Halberd18 Straight 300cm</v>
          </cell>
          <cell r="G74">
            <v>20173031854</v>
          </cell>
          <cell r="H74" t="str">
            <v>B</v>
          </cell>
        </row>
        <row r="75">
          <cell r="E75" t="str">
            <v>PHW18R301P CN</v>
          </cell>
          <cell r="F75" t="str">
            <v>ASAHI Peripheral Guide Wire ASAHI Halberd18 Pre-shape 300cm</v>
          </cell>
          <cell r="G75">
            <v>20173031854</v>
          </cell>
          <cell r="H75" t="str">
            <v>B</v>
          </cell>
        </row>
        <row r="76">
          <cell r="E76" t="str">
            <v>AHW14R013S CN</v>
          </cell>
          <cell r="F76" t="str">
            <v>ASAHI PTCA Guide Wire ASAHI SUOH 03 190cm</v>
          </cell>
          <cell r="G76">
            <v>20193030137</v>
          </cell>
          <cell r="H76" t="str">
            <v>B</v>
          </cell>
        </row>
        <row r="77">
          <cell r="E77" t="str">
            <v>AHW14R013P CN</v>
          </cell>
          <cell r="F77" t="str">
            <v>ASAHI PTCA Guide Wire ASAHI SUOH 03 190cm Pre-shape</v>
          </cell>
          <cell r="G77">
            <v>20193030137</v>
          </cell>
          <cell r="H77" t="str">
            <v>B</v>
          </cell>
        </row>
        <row r="78">
          <cell r="E78" t="str">
            <v>AHW14R313S CN</v>
          </cell>
          <cell r="F78" t="str">
            <v>ASAHI PTCA Guide Wire ASAHI SUOH 03 300cm</v>
          </cell>
          <cell r="G78">
            <v>20193030137</v>
          </cell>
          <cell r="H78" t="str">
            <v>B</v>
          </cell>
        </row>
        <row r="79">
          <cell r="E79" t="str">
            <v>AHW14R313P CN</v>
          </cell>
          <cell r="F79" t="str">
            <v>ASAHI PTCA Guide Wire ASAHI SUOH 03 300cm Pre-shape</v>
          </cell>
          <cell r="G79">
            <v>20193030137</v>
          </cell>
          <cell r="H79" t="str">
            <v>B</v>
          </cell>
        </row>
        <row r="80">
          <cell r="E80" t="str">
            <v>PAGP140000 CN</v>
          </cell>
          <cell r="F80" t="str">
            <v>ASAHI Peripheral Guide Wire Regalia XS 1.0 180cm</v>
          </cell>
          <cell r="G80">
            <v>20183031888</v>
          </cell>
          <cell r="H80" t="str">
            <v>C</v>
          </cell>
        </row>
        <row r="81">
          <cell r="E81" t="str">
            <v>PAGP140300 CN</v>
          </cell>
          <cell r="F81" t="str">
            <v>ASAHI Peripheral Guide Wire Regalia XS 1.0 300cm</v>
          </cell>
          <cell r="G81">
            <v>20183031888</v>
          </cell>
          <cell r="H81" t="str">
            <v>C</v>
          </cell>
        </row>
        <row r="82">
          <cell r="E82" t="str">
            <v>AGP140001 CN</v>
          </cell>
          <cell r="F82" t="str">
            <v>ASAHI PTCA Guide Wire Fielder FC 180cm</v>
          </cell>
          <cell r="G82">
            <v>20183031885</v>
          </cell>
          <cell r="H82" t="str">
            <v>C</v>
          </cell>
        </row>
        <row r="83">
          <cell r="E83" t="str">
            <v>AGP140301 CN</v>
          </cell>
          <cell r="F83" t="str">
            <v>ASAHI PTCA Guide Wire Fielder FC 300cm</v>
          </cell>
          <cell r="G83">
            <v>20183031885</v>
          </cell>
          <cell r="H83" t="str">
            <v>C</v>
          </cell>
        </row>
        <row r="84">
          <cell r="E84" t="str">
            <v>AGP140001J CN</v>
          </cell>
          <cell r="F84" t="str">
            <v>ASAHI PTCA Guide Wire Fielder FC 180cm J</v>
          </cell>
          <cell r="G84">
            <v>20183031885</v>
          </cell>
          <cell r="H84" t="str">
            <v>C</v>
          </cell>
        </row>
        <row r="85">
          <cell r="E85" t="str">
            <v>AGP140301J CN</v>
          </cell>
          <cell r="F85" t="str">
            <v>ASAHI PTCA Guide Wire Fielder FC 300cm J</v>
          </cell>
          <cell r="G85">
            <v>20183031885</v>
          </cell>
          <cell r="H85" t="str">
            <v>C</v>
          </cell>
        </row>
        <row r="86">
          <cell r="E86" t="str">
            <v>AGP140002 CN</v>
          </cell>
          <cell r="F86" t="str">
            <v>ASAHI PTCA Guide Wire Fielder XT 190cm</v>
          </cell>
          <cell r="G86">
            <v>20183031885</v>
          </cell>
          <cell r="H86" t="str">
            <v>C</v>
          </cell>
        </row>
        <row r="87">
          <cell r="E87" t="str">
            <v>AGP140302 CN</v>
          </cell>
          <cell r="F87" t="str">
            <v>ASAHI PTCA Guide Wire Fielder XT 300cm</v>
          </cell>
          <cell r="G87">
            <v>20183031885</v>
          </cell>
          <cell r="H87" t="str">
            <v>C</v>
          </cell>
        </row>
        <row r="88">
          <cell r="E88" t="str">
            <v>AGP140000 CN</v>
          </cell>
          <cell r="F88" t="str">
            <v>ASAHI PTCA Guide Wire Fielder 180cm</v>
          </cell>
          <cell r="G88">
            <v>20183031883</v>
          </cell>
          <cell r="H88" t="str">
            <v>C</v>
          </cell>
        </row>
        <row r="89">
          <cell r="E89" t="str">
            <v>AGP140000J CN</v>
          </cell>
          <cell r="F89" t="str">
            <v>ASAHI PTCA Guide Wire Fielder 180cm J</v>
          </cell>
          <cell r="G89">
            <v>20183031883</v>
          </cell>
          <cell r="H89" t="str">
            <v>C</v>
          </cell>
        </row>
        <row r="90">
          <cell r="E90" t="str">
            <v>AGP140300 CN</v>
          </cell>
          <cell r="F90" t="str">
            <v>ASAHI PTCA Guide Wire Fielder 300cm</v>
          </cell>
          <cell r="G90">
            <v>20183031883</v>
          </cell>
          <cell r="H90" t="str">
            <v>C</v>
          </cell>
        </row>
        <row r="91">
          <cell r="E91" t="str">
            <v>AGP140300J CN</v>
          </cell>
          <cell r="F91" t="str">
            <v>ASAHI PTCA Guide Wire Fielder 300cm J</v>
          </cell>
          <cell r="G91">
            <v>20183031883</v>
          </cell>
          <cell r="H91" t="str">
            <v>C</v>
          </cell>
        </row>
        <row r="92">
          <cell r="E92" t="str">
            <v>APW14R009S CN</v>
          </cell>
          <cell r="F92" t="str">
            <v>ASAHI PTCA Guide Wire Fielder XT-A 190cm</v>
          </cell>
          <cell r="G92">
            <v>20183031819</v>
          </cell>
          <cell r="H92" t="str">
            <v>C</v>
          </cell>
        </row>
        <row r="93">
          <cell r="E93" t="str">
            <v>APW14R309S CN</v>
          </cell>
          <cell r="F93" t="str">
            <v>ASAHI PTCA Guide Wire Fielder XT-A 300cm</v>
          </cell>
          <cell r="G93">
            <v>20183031819</v>
          </cell>
          <cell r="H93" t="str">
            <v>C</v>
          </cell>
        </row>
        <row r="94">
          <cell r="E94" t="str">
            <v>APW14R005S CN</v>
          </cell>
          <cell r="F94" t="str">
            <v>ASAHI PTCA Guide Wire Fielder XT-R 190cm</v>
          </cell>
          <cell r="G94">
            <v>20183031819</v>
          </cell>
          <cell r="H94" t="str">
            <v>C</v>
          </cell>
        </row>
        <row r="95">
          <cell r="E95" t="str">
            <v>APW14R305S CN</v>
          </cell>
          <cell r="F95" t="str">
            <v>ASAHI PTCA Guide Wire Fielder XT-R 300cm</v>
          </cell>
          <cell r="G95">
            <v>20183031819</v>
          </cell>
          <cell r="H95" t="str">
            <v>C</v>
          </cell>
        </row>
        <row r="96">
          <cell r="E96" t="str">
            <v>APW14R010P CN</v>
          </cell>
          <cell r="F96" t="str">
            <v>ASAHI PTCA Guide Wire ASAHI SION black Pre-shape 190cm</v>
          </cell>
          <cell r="G96">
            <v>20183031813</v>
          </cell>
          <cell r="H96" t="str">
            <v>C</v>
          </cell>
        </row>
        <row r="97">
          <cell r="E97" t="str">
            <v>APW14R310P CN</v>
          </cell>
          <cell r="F97" t="str">
            <v>ASAHI PTCA Guide Wire ASAHI SION black Pre-shape 300cm</v>
          </cell>
          <cell r="G97">
            <v>20183031813</v>
          </cell>
          <cell r="H97" t="str">
            <v>C</v>
          </cell>
        </row>
        <row r="98">
          <cell r="E98" t="str">
            <v>APW14R010S CN</v>
          </cell>
          <cell r="F98" t="str">
            <v>ASAHI PTCA Guide Wire ASAHI SION black Straight 190cm</v>
          </cell>
          <cell r="G98">
            <v>20183031813</v>
          </cell>
          <cell r="H98" t="str">
            <v>C</v>
          </cell>
        </row>
        <row r="99">
          <cell r="E99" t="str">
            <v>APW14R310S CN</v>
          </cell>
          <cell r="F99" t="str">
            <v>ASAHI PTCA Guide Wire ASAHI SION black Straight 300cm</v>
          </cell>
          <cell r="G99">
            <v>20183031813</v>
          </cell>
          <cell r="H99" t="str">
            <v>C</v>
          </cell>
        </row>
        <row r="100">
          <cell r="E100" t="str">
            <v>APW14R010J CN</v>
          </cell>
          <cell r="F100" t="str">
            <v>ASAHI PTCA Guide Wire ASAHI SION black 190cm J</v>
          </cell>
          <cell r="G100">
            <v>20183031813</v>
          </cell>
          <cell r="H100" t="str">
            <v>C</v>
          </cell>
        </row>
        <row r="101">
          <cell r="E101" t="str">
            <v>APW14R310J CN</v>
          </cell>
          <cell r="F101" t="str">
            <v>ASAHI PTCA Guide Wire ASAHI SION black 300cm J</v>
          </cell>
          <cell r="G101">
            <v>20183031813</v>
          </cell>
          <cell r="H101" t="str">
            <v>C</v>
          </cell>
        </row>
        <row r="102">
          <cell r="E102" t="str">
            <v>PPW14R100S CN</v>
          </cell>
          <cell r="F102" t="str">
            <v>ASAHI Peripheral Guide Wire ASAHI Gladius14 Straight 200cm</v>
          </cell>
          <cell r="G102">
            <v>20173031854</v>
          </cell>
          <cell r="H102" t="str">
            <v>C</v>
          </cell>
        </row>
        <row r="103">
          <cell r="E103" t="str">
            <v>PPW14R100P CN</v>
          </cell>
          <cell r="F103" t="str">
            <v>ASAHI Peripheral Guide Wire ASAHI Gladius14 Pre-shape 200cm</v>
          </cell>
          <cell r="G103">
            <v>20173031854</v>
          </cell>
          <cell r="H103" t="str">
            <v>C</v>
          </cell>
        </row>
        <row r="104">
          <cell r="E104" t="str">
            <v>PPW14R200S CN</v>
          </cell>
          <cell r="F104" t="str">
            <v>ASAHI Peripheral Guide Wire ASAHI Gladius14 Straight 235cm</v>
          </cell>
          <cell r="G104">
            <v>20173031854</v>
          </cell>
          <cell r="H104" t="str">
            <v>C</v>
          </cell>
        </row>
        <row r="105">
          <cell r="E105" t="str">
            <v>PPW14R200P CN</v>
          </cell>
          <cell r="F105" t="str">
            <v>ASAHI Peripheral Guide Wire ASAHI Gladius14 Pre-shape 235cm</v>
          </cell>
          <cell r="G105">
            <v>20173031854</v>
          </cell>
          <cell r="H105" t="str">
            <v>C</v>
          </cell>
        </row>
        <row r="106">
          <cell r="E106" t="str">
            <v>PPW14R300S CN</v>
          </cell>
          <cell r="F106" t="str">
            <v>ASAHI Peripheral Guide Wire ASAHI Gladius14 Straight 300cm</v>
          </cell>
          <cell r="G106">
            <v>20173031854</v>
          </cell>
          <cell r="H106" t="str">
            <v>C</v>
          </cell>
        </row>
        <row r="107">
          <cell r="E107" t="str">
            <v>PPW14R300P CN</v>
          </cell>
          <cell r="F107" t="str">
            <v>ASAHI Peripheral Guide Wire ASAHI Gladius14 Pre-shape 300cm</v>
          </cell>
          <cell r="G107">
            <v>20173031854</v>
          </cell>
          <cell r="H107" t="str">
            <v>C</v>
          </cell>
        </row>
        <row r="108">
          <cell r="E108" t="str">
            <v>PPW18R100S CN</v>
          </cell>
          <cell r="F108" t="str">
            <v>ASAHI Peripheral Guide Wire ASAHI Gladius18 Straight 200cm</v>
          </cell>
          <cell r="G108">
            <v>20173031854</v>
          </cell>
          <cell r="H108" t="str">
            <v>C</v>
          </cell>
        </row>
        <row r="109">
          <cell r="E109" t="str">
            <v>PPW18R100P CN</v>
          </cell>
          <cell r="F109" t="str">
            <v>ASAHI Peripheral Guide Wire ASAHI Gladius18 Pre-shape 200cm</v>
          </cell>
          <cell r="G109">
            <v>20173031854</v>
          </cell>
          <cell r="H109" t="str">
            <v>C</v>
          </cell>
        </row>
        <row r="110">
          <cell r="E110" t="str">
            <v>PPW18R200S CN</v>
          </cell>
          <cell r="F110" t="str">
            <v>ASAHI Peripheral Guide Wire ASAHI Gladius18 Straight 235cm</v>
          </cell>
          <cell r="G110">
            <v>20173031854</v>
          </cell>
          <cell r="H110" t="str">
            <v>C</v>
          </cell>
        </row>
        <row r="111">
          <cell r="E111" t="str">
            <v>PPW18R200P CN</v>
          </cell>
          <cell r="F111" t="str">
            <v>ASAHI Peripheral Guide Wire ASAHI Gladius18 Pre-shape 235cm</v>
          </cell>
          <cell r="G111">
            <v>20173031854</v>
          </cell>
          <cell r="H111" t="str">
            <v>C</v>
          </cell>
        </row>
        <row r="112">
          <cell r="E112" t="str">
            <v>PPW18R300S CN</v>
          </cell>
          <cell r="F112" t="str">
            <v>ASAHI Peripheral Guide Wire ASAHI Gladius18 Straight 300cm</v>
          </cell>
          <cell r="G112">
            <v>20173031854</v>
          </cell>
          <cell r="H112" t="str">
            <v>C</v>
          </cell>
        </row>
        <row r="113">
          <cell r="E113" t="str">
            <v>PPW18R300P CN</v>
          </cell>
          <cell r="F113" t="str">
            <v>ASAHI Peripheral Guide Wire ASAHI Gladius18 Pre-shape 300cm</v>
          </cell>
          <cell r="G113">
            <v>20173031854</v>
          </cell>
          <cell r="H113" t="str">
            <v>C</v>
          </cell>
        </row>
        <row r="114">
          <cell r="E114" t="str">
            <v>HW60JL300P10000 CN</v>
          </cell>
          <cell r="F114" t="str">
            <v>ASAHI Hyperion 6Fr JL3.0 100cm</v>
          </cell>
          <cell r="G114">
            <v>20183030619</v>
          </cell>
          <cell r="H114" t="str">
            <v>G</v>
          </cell>
        </row>
        <row r="115">
          <cell r="E115" t="str">
            <v>HW60JL300P10001 CN</v>
          </cell>
          <cell r="F115" t="str">
            <v>ASAHI Hyperion 6Fr JL3.0ST 100cm</v>
          </cell>
          <cell r="G115">
            <v>20183030619</v>
          </cell>
          <cell r="H115" t="str">
            <v>G</v>
          </cell>
        </row>
        <row r="116">
          <cell r="E116" t="str">
            <v>HW60JL302P10000 CN</v>
          </cell>
          <cell r="F116" t="str">
            <v>ASAHI Hyperion 6Fr JL3.0 SH 100cm</v>
          </cell>
          <cell r="G116">
            <v>20183030619</v>
          </cell>
          <cell r="H116" t="str">
            <v>G</v>
          </cell>
        </row>
        <row r="117">
          <cell r="E117" t="str">
            <v>HW60JL302P10001 CN</v>
          </cell>
          <cell r="F117" t="str">
            <v>ASAHI Hyperion 6Fr JL3.0ST SH 100cm</v>
          </cell>
          <cell r="G117">
            <v>20183030619</v>
          </cell>
          <cell r="H117" t="str">
            <v>G</v>
          </cell>
        </row>
        <row r="118">
          <cell r="E118" t="str">
            <v>HW60JL350P10000 CN</v>
          </cell>
          <cell r="F118" t="str">
            <v>ASAHI Hyperion 6Fr JL3.5 100cm</v>
          </cell>
          <cell r="G118">
            <v>20183030619</v>
          </cell>
          <cell r="H118" t="str">
            <v>G</v>
          </cell>
        </row>
        <row r="119">
          <cell r="E119" t="str">
            <v>HW60JL350P10001 CN</v>
          </cell>
          <cell r="F119" t="str">
            <v>ASAHI Hyperion 6Fr JL3.5ST 100cm</v>
          </cell>
          <cell r="G119">
            <v>20183030619</v>
          </cell>
          <cell r="H119" t="str">
            <v>G</v>
          </cell>
        </row>
        <row r="120">
          <cell r="E120" t="str">
            <v>HW60JL352P10000 CN</v>
          </cell>
          <cell r="F120" t="str">
            <v>ASAHI Hyperion 6Fr JL3.5 SH 100cm</v>
          </cell>
          <cell r="G120">
            <v>20183030619</v>
          </cell>
          <cell r="H120" t="str">
            <v>G</v>
          </cell>
        </row>
        <row r="121">
          <cell r="E121" t="str">
            <v>HW60JL352P10001 CN</v>
          </cell>
          <cell r="F121" t="str">
            <v>ASAHI Hyperion 6Fr JL3.5ST SH 100cm</v>
          </cell>
          <cell r="G121">
            <v>20183030619</v>
          </cell>
          <cell r="H121" t="str">
            <v>G</v>
          </cell>
        </row>
        <row r="122">
          <cell r="E122" t="str">
            <v>HW60JL400P10000 CN</v>
          </cell>
          <cell r="F122" t="str">
            <v>ASAHI Hyperion 6Fr JL4.0 100cm</v>
          </cell>
          <cell r="G122">
            <v>20183030619</v>
          </cell>
          <cell r="H122" t="str">
            <v>G</v>
          </cell>
        </row>
        <row r="123">
          <cell r="E123" t="str">
            <v>HW60JL400P10001 CN</v>
          </cell>
          <cell r="F123" t="str">
            <v>ASAHI Hyperion 6Fr JL4.0ST 100cm</v>
          </cell>
          <cell r="G123">
            <v>20183030619</v>
          </cell>
          <cell r="H123" t="str">
            <v>G</v>
          </cell>
        </row>
        <row r="124">
          <cell r="E124" t="str">
            <v>HW60JL402P10000 CN</v>
          </cell>
          <cell r="F124" t="str">
            <v>ASAHI Hyperion 6Fr JL4.0 SH 100cm</v>
          </cell>
          <cell r="G124">
            <v>20183030619</v>
          </cell>
          <cell r="H124" t="str">
            <v>G</v>
          </cell>
        </row>
        <row r="125">
          <cell r="E125" t="str">
            <v>HW60JL402P10001 CN</v>
          </cell>
          <cell r="F125" t="str">
            <v>ASAHI Hyperion 6Fr JL4.0ST SH 100cm</v>
          </cell>
          <cell r="G125">
            <v>20183030619</v>
          </cell>
          <cell r="H125" t="str">
            <v>G</v>
          </cell>
        </row>
        <row r="126">
          <cell r="E126" t="str">
            <v>HW60JL450P10000 CN</v>
          </cell>
          <cell r="F126" t="str">
            <v>ASAHI Hyperion 6Fr JL4.5 100cm</v>
          </cell>
          <cell r="G126">
            <v>20183030619</v>
          </cell>
          <cell r="H126" t="str">
            <v>G</v>
          </cell>
        </row>
        <row r="127">
          <cell r="E127" t="str">
            <v>HW60JL450P10001 CN</v>
          </cell>
          <cell r="F127" t="str">
            <v>ASAHI Hyperion 6Fr JL4.5ST 100cm</v>
          </cell>
          <cell r="G127">
            <v>20183030619</v>
          </cell>
          <cell r="H127" t="str">
            <v>G</v>
          </cell>
        </row>
        <row r="128">
          <cell r="E128" t="str">
            <v>HW60JL452P10000 CN</v>
          </cell>
          <cell r="F128" t="str">
            <v>ASAHI Hyperion 6Fr JL4.5 SH 100cm</v>
          </cell>
          <cell r="G128">
            <v>20183030619</v>
          </cell>
          <cell r="H128" t="str">
            <v>G</v>
          </cell>
        </row>
        <row r="129">
          <cell r="E129" t="str">
            <v>HW60JL452P10001 CN</v>
          </cell>
          <cell r="F129" t="str">
            <v>ASAHI Hyperion 6Fr JL4.5ST SH 100cm</v>
          </cell>
          <cell r="G129">
            <v>20183030619</v>
          </cell>
          <cell r="H129" t="str">
            <v>G</v>
          </cell>
        </row>
        <row r="130">
          <cell r="E130" t="str">
            <v>HW60JL500P10000 CN</v>
          </cell>
          <cell r="F130" t="str">
            <v>ASAHI Hyperion 6Fr JL5.0 100cm</v>
          </cell>
          <cell r="G130">
            <v>20183030619</v>
          </cell>
          <cell r="H130" t="str">
            <v>G</v>
          </cell>
        </row>
        <row r="131">
          <cell r="E131" t="str">
            <v>HW60JL500P10001 CN</v>
          </cell>
          <cell r="F131" t="str">
            <v>ASAHI Hyperion 6Fr JL5.0ST 100cm</v>
          </cell>
          <cell r="G131">
            <v>20183030619</v>
          </cell>
          <cell r="H131" t="str">
            <v>G</v>
          </cell>
        </row>
        <row r="132">
          <cell r="E132" t="str">
            <v>HW60JL502P10000 CN</v>
          </cell>
          <cell r="F132" t="str">
            <v>ASAHI Hyperion 6Fr JL5.0 SH 100cm</v>
          </cell>
          <cell r="G132">
            <v>20183030619</v>
          </cell>
          <cell r="H132" t="str">
            <v>G</v>
          </cell>
        </row>
        <row r="133">
          <cell r="E133" t="str">
            <v>HW60JL502P10001 CN</v>
          </cell>
          <cell r="F133" t="str">
            <v>ASAHI Hyperion 6Fr JL5.0ST SH 100cm</v>
          </cell>
          <cell r="G133">
            <v>20183030619</v>
          </cell>
          <cell r="H133" t="str">
            <v>G</v>
          </cell>
        </row>
        <row r="134">
          <cell r="E134" t="str">
            <v>HW60JL350P09000 CN</v>
          </cell>
          <cell r="F134" t="str">
            <v>ASAHI Hyperion 6Fr JL3.5 90cm</v>
          </cell>
          <cell r="G134">
            <v>20183030619</v>
          </cell>
          <cell r="H134" t="str">
            <v>G</v>
          </cell>
        </row>
        <row r="135">
          <cell r="E135" t="str">
            <v>HW60JL352P09000 CN</v>
          </cell>
          <cell r="F135" t="str">
            <v>ASAHI Hyperion 6Fr JL3.5 SH 90cm</v>
          </cell>
          <cell r="G135">
            <v>20183030619</v>
          </cell>
          <cell r="H135" t="str">
            <v>G</v>
          </cell>
        </row>
        <row r="136">
          <cell r="E136" t="str">
            <v>HW60JL352P09001 CN</v>
          </cell>
          <cell r="F136" t="str">
            <v>ASAHI Hyperion 6Fr JL3.5ST SH 90cm</v>
          </cell>
          <cell r="G136">
            <v>20183030619</v>
          </cell>
          <cell r="H136" t="str">
            <v>G</v>
          </cell>
        </row>
        <row r="137">
          <cell r="E137" t="str">
            <v>HW60JL400P09000 CN</v>
          </cell>
          <cell r="F137" t="str">
            <v>ASAHI Hyperion 6Fr JL4.0 90cm</v>
          </cell>
          <cell r="G137">
            <v>20183030619</v>
          </cell>
          <cell r="H137" t="str">
            <v>G</v>
          </cell>
        </row>
        <row r="138">
          <cell r="E138" t="str">
            <v>HW60JL402P09000 CN</v>
          </cell>
          <cell r="F138" t="str">
            <v>ASAHI Hyperion 6Fr JL4.0 SH 90cm</v>
          </cell>
          <cell r="G138">
            <v>20183030619</v>
          </cell>
          <cell r="H138" t="str">
            <v>G</v>
          </cell>
        </row>
        <row r="139">
          <cell r="E139" t="str">
            <v>HW60JL402P09001 CN</v>
          </cell>
          <cell r="F139" t="str">
            <v>ASAHI Hyperion 6Fr JL4.0ST SH 90cm</v>
          </cell>
          <cell r="G139">
            <v>20183030619</v>
          </cell>
          <cell r="H139" t="str">
            <v>G</v>
          </cell>
        </row>
        <row r="140">
          <cell r="E140" t="str">
            <v>HW60JR350P10000 CN</v>
          </cell>
          <cell r="F140" t="str">
            <v>ASAHI Hyperion 6Fr JR3.5 100cm</v>
          </cell>
          <cell r="G140">
            <v>20183030619</v>
          </cell>
          <cell r="H140" t="str">
            <v>G</v>
          </cell>
        </row>
        <row r="141">
          <cell r="E141" t="str">
            <v>HW60JR352P10000 CN</v>
          </cell>
          <cell r="F141" t="str">
            <v>ASAHI Hyperion 6Fr JR3.5 SH 100cm</v>
          </cell>
          <cell r="G141">
            <v>20183030619</v>
          </cell>
          <cell r="H141" t="str">
            <v>G</v>
          </cell>
        </row>
        <row r="142">
          <cell r="E142" t="str">
            <v>HW60JR400P10000 CN</v>
          </cell>
          <cell r="F142" t="str">
            <v>ASAHI Hyperion 6Fr JR4.0 100cm</v>
          </cell>
          <cell r="G142">
            <v>20183030619</v>
          </cell>
          <cell r="H142" t="str">
            <v>G</v>
          </cell>
        </row>
        <row r="143">
          <cell r="E143" t="str">
            <v>HW60JR402P10000 CN</v>
          </cell>
          <cell r="F143" t="str">
            <v>ASAHI Hyperion 6Fr JR4.0 SH 100cm</v>
          </cell>
          <cell r="G143">
            <v>20183030619</v>
          </cell>
          <cell r="H143" t="str">
            <v>G</v>
          </cell>
        </row>
        <row r="144">
          <cell r="E144" t="str">
            <v>HW60JR450P10000 CN</v>
          </cell>
          <cell r="F144" t="str">
            <v>ASAHI Hyperion 6Fr JR4.5 100cm</v>
          </cell>
          <cell r="G144">
            <v>20183030619</v>
          </cell>
          <cell r="H144" t="str">
            <v>G</v>
          </cell>
        </row>
        <row r="145">
          <cell r="E145" t="str">
            <v>HW60JR452P10000 CN</v>
          </cell>
          <cell r="F145" t="str">
            <v>ASAHI Hyperion 6Fr JR4.5 SH 100cm</v>
          </cell>
          <cell r="G145">
            <v>20183030619</v>
          </cell>
          <cell r="H145" t="str">
            <v>G</v>
          </cell>
        </row>
        <row r="146">
          <cell r="E146" t="str">
            <v>HW60JR500P10000 CN</v>
          </cell>
          <cell r="F146" t="str">
            <v>ASAHI Hyperion 6Fr JR5.0 100cm</v>
          </cell>
          <cell r="G146">
            <v>20183030619</v>
          </cell>
          <cell r="H146" t="str">
            <v>G</v>
          </cell>
        </row>
        <row r="147">
          <cell r="E147" t="str">
            <v>HW60JR502P10000 CN</v>
          </cell>
          <cell r="F147" t="str">
            <v>ASAHI Hyperion 6Fr JR5.0 SH 100cm</v>
          </cell>
          <cell r="G147">
            <v>20183030619</v>
          </cell>
          <cell r="H147" t="str">
            <v>G</v>
          </cell>
        </row>
        <row r="148">
          <cell r="E148" t="str">
            <v>HW60JR350P09000 CN</v>
          </cell>
          <cell r="F148" t="str">
            <v>ASAHI Hyperion 6Fr JR3.5 90cm</v>
          </cell>
          <cell r="G148">
            <v>20183030619</v>
          </cell>
          <cell r="H148" t="str">
            <v>G</v>
          </cell>
        </row>
        <row r="149">
          <cell r="E149" t="str">
            <v>HW60JR352P09000 CN</v>
          </cell>
          <cell r="F149" t="str">
            <v>ASAHI Hyperion 6Fr JR3.5 SH 90cm</v>
          </cell>
          <cell r="G149">
            <v>20183030619</v>
          </cell>
          <cell r="H149" t="str">
            <v>G</v>
          </cell>
        </row>
        <row r="150">
          <cell r="E150" t="str">
            <v>HW60JR400P09000 CN</v>
          </cell>
          <cell r="F150" t="str">
            <v>ASAHI Hyperion 6Fr JR4.0 90cm</v>
          </cell>
          <cell r="G150">
            <v>20183030619</v>
          </cell>
          <cell r="H150" t="str">
            <v>G</v>
          </cell>
        </row>
        <row r="151">
          <cell r="E151" t="str">
            <v>HW60JR402P09000 CN</v>
          </cell>
          <cell r="F151" t="str">
            <v>ASAHI Hyperion 6Fr JR4.0 SH 90cm</v>
          </cell>
          <cell r="G151">
            <v>20183030619</v>
          </cell>
          <cell r="H151" t="str">
            <v>G</v>
          </cell>
        </row>
        <row r="152">
          <cell r="E152" t="str">
            <v>HW60AL070P10000 CN</v>
          </cell>
          <cell r="F152" t="str">
            <v>ASAHI Hyperion 6Fr AL0.75 100cm</v>
          </cell>
          <cell r="G152">
            <v>20183030619</v>
          </cell>
          <cell r="H152" t="str">
            <v>G</v>
          </cell>
        </row>
        <row r="153">
          <cell r="E153" t="str">
            <v>HW60AL072P10000 CN</v>
          </cell>
          <cell r="F153" t="str">
            <v>ASAHI Hyperion 6Fr AL0.75 SH 100cm</v>
          </cell>
          <cell r="G153">
            <v>20183030619</v>
          </cell>
          <cell r="H153" t="str">
            <v>G</v>
          </cell>
        </row>
        <row r="154">
          <cell r="E154" t="str">
            <v>HW60AL100P10000 CN</v>
          </cell>
          <cell r="F154" t="str">
            <v>ASAHI Hyperion 6Fr AL1.0 100cm</v>
          </cell>
          <cell r="G154">
            <v>20183030619</v>
          </cell>
          <cell r="H154" t="str">
            <v>G</v>
          </cell>
        </row>
        <row r="155">
          <cell r="E155" t="str">
            <v>HW60AL102P10000 CN</v>
          </cell>
          <cell r="F155" t="str">
            <v>ASAHI Hyperion 6Fr AL1.0 SH 100cm</v>
          </cell>
          <cell r="G155">
            <v>20183030619</v>
          </cell>
          <cell r="H155" t="str">
            <v>G</v>
          </cell>
        </row>
        <row r="156">
          <cell r="E156" t="str">
            <v>HW60AL150P10000 CN</v>
          </cell>
          <cell r="F156" t="str">
            <v>ASAHI Hyperion 6Fr AL1.5 100cm</v>
          </cell>
          <cell r="G156">
            <v>20183030619</v>
          </cell>
          <cell r="H156" t="str">
            <v>G</v>
          </cell>
        </row>
        <row r="157">
          <cell r="E157" t="str">
            <v>HW60AL152P10000 CN</v>
          </cell>
          <cell r="F157" t="str">
            <v>ASAHI Hyperion 6Fr AL1.5 SH 100cm</v>
          </cell>
          <cell r="G157">
            <v>20183030619</v>
          </cell>
          <cell r="H157" t="str">
            <v>G</v>
          </cell>
        </row>
        <row r="158">
          <cell r="E158" t="str">
            <v>HW60AL200P10000 CN</v>
          </cell>
          <cell r="F158" t="str">
            <v>ASAHI Hyperion 6Fr AL2.0 100cm</v>
          </cell>
          <cell r="G158">
            <v>20183030619</v>
          </cell>
          <cell r="H158" t="str">
            <v>G</v>
          </cell>
        </row>
        <row r="159">
          <cell r="E159" t="str">
            <v>HW60AL202P10000 CN</v>
          </cell>
          <cell r="F159" t="str">
            <v>ASAHI Hyperion 6Fr AL2.0 SH 100cm</v>
          </cell>
          <cell r="G159">
            <v>20183030619</v>
          </cell>
          <cell r="H159" t="str">
            <v>G</v>
          </cell>
        </row>
        <row r="160">
          <cell r="E160" t="str">
            <v>HW60AL070P09000 CN</v>
          </cell>
          <cell r="F160" t="str">
            <v>ASAHI Hyperion 6Fr AL0.75 90cm</v>
          </cell>
          <cell r="G160">
            <v>20183030619</v>
          </cell>
          <cell r="H160" t="str">
            <v>G</v>
          </cell>
        </row>
        <row r="161">
          <cell r="E161" t="str">
            <v>HW60AL072P09000 CN</v>
          </cell>
          <cell r="F161" t="str">
            <v>ASAHI Hyperion 6Fr AL0.75 SH 90cm</v>
          </cell>
          <cell r="G161">
            <v>20183030619</v>
          </cell>
          <cell r="H161" t="str">
            <v>G</v>
          </cell>
        </row>
        <row r="162">
          <cell r="E162" t="str">
            <v>HW60AL100P09000 CN</v>
          </cell>
          <cell r="F162" t="str">
            <v>ASAHI Hyperion 6Fr AL1.0 90cm</v>
          </cell>
          <cell r="G162">
            <v>20183030619</v>
          </cell>
          <cell r="H162" t="str">
            <v>G</v>
          </cell>
        </row>
        <row r="163">
          <cell r="E163" t="str">
            <v>HW60AL102P09000 CN</v>
          </cell>
          <cell r="F163" t="str">
            <v>ASAHI Hyperion 6Fr AL1.0 SH 90cm</v>
          </cell>
          <cell r="G163">
            <v>20183030619</v>
          </cell>
          <cell r="H163" t="str">
            <v>G</v>
          </cell>
        </row>
        <row r="164">
          <cell r="E164" t="str">
            <v>HW60AL150P09000 CN</v>
          </cell>
          <cell r="F164" t="str">
            <v>ASAHI Hyperion 6Fr AL1.5 90cm</v>
          </cell>
          <cell r="G164">
            <v>20183030619</v>
          </cell>
          <cell r="H164" t="str">
            <v>G</v>
          </cell>
        </row>
        <row r="165">
          <cell r="E165" t="str">
            <v>HW60AL152P09000 CN</v>
          </cell>
          <cell r="F165" t="str">
            <v>ASAHI Hyperion 6Fr AL1.5 SH 90cm</v>
          </cell>
          <cell r="G165">
            <v>20183030619</v>
          </cell>
          <cell r="H165" t="str">
            <v>G</v>
          </cell>
        </row>
        <row r="166">
          <cell r="E166" t="str">
            <v>HW60AL070P10002 CN</v>
          </cell>
          <cell r="F166" t="str">
            <v>ASAHI Hyperion 6Fr SAL0.75 100cm</v>
          </cell>
          <cell r="G166">
            <v>20183030619</v>
          </cell>
          <cell r="H166" t="str">
            <v>G</v>
          </cell>
        </row>
        <row r="167">
          <cell r="E167" t="str">
            <v>HW60AL072P10002 CN</v>
          </cell>
          <cell r="F167" t="str">
            <v>ASAHI Hyperion 6Fr SAL0.75 SH 100cm</v>
          </cell>
          <cell r="G167">
            <v>20183030619</v>
          </cell>
          <cell r="H167" t="str">
            <v>G</v>
          </cell>
        </row>
        <row r="168">
          <cell r="E168" t="str">
            <v>HW60AL100P10002 CN</v>
          </cell>
          <cell r="F168" t="str">
            <v>ASAHI Hyperion 6Fr SAL1.0 100cm</v>
          </cell>
          <cell r="G168">
            <v>20183030619</v>
          </cell>
          <cell r="H168" t="str">
            <v>G</v>
          </cell>
        </row>
        <row r="169">
          <cell r="E169" t="str">
            <v>HW60AL102P10002 CN</v>
          </cell>
          <cell r="F169" t="str">
            <v>ASAHI Hyperion 6Fr SAL1.0 SH 100cm</v>
          </cell>
          <cell r="G169">
            <v>20183030619</v>
          </cell>
          <cell r="H169" t="str">
            <v>G</v>
          </cell>
        </row>
        <row r="170">
          <cell r="E170" t="str">
            <v>HW60AL150P10002 CN</v>
          </cell>
          <cell r="F170" t="str">
            <v>ASAHI Hyperion 6Fr SAL1.5 100cm</v>
          </cell>
          <cell r="G170">
            <v>20183030619</v>
          </cell>
          <cell r="H170" t="str">
            <v>G</v>
          </cell>
        </row>
        <row r="171">
          <cell r="E171" t="str">
            <v>HW60AL152P10002 CN</v>
          </cell>
          <cell r="F171" t="str">
            <v>ASAHI Hyperion 6Fr SAL1.5 SH 100cm</v>
          </cell>
          <cell r="G171">
            <v>20183030619</v>
          </cell>
          <cell r="H171" t="str">
            <v>G</v>
          </cell>
        </row>
        <row r="172">
          <cell r="E172" t="str">
            <v>HW60AL200P10002 CN</v>
          </cell>
          <cell r="F172" t="str">
            <v>ASAHI Hyperion 6Fr SAL2.0 100cm</v>
          </cell>
          <cell r="G172">
            <v>20183030619</v>
          </cell>
          <cell r="H172" t="str">
            <v>G</v>
          </cell>
        </row>
        <row r="173">
          <cell r="E173" t="str">
            <v>HW60AL202P10002 CN</v>
          </cell>
          <cell r="F173" t="str">
            <v>ASAHI Hyperion 6Fr SAL2.0 SH 100cm</v>
          </cell>
          <cell r="G173">
            <v>20183030619</v>
          </cell>
          <cell r="H173" t="str">
            <v>G</v>
          </cell>
        </row>
        <row r="174">
          <cell r="E174" t="str">
            <v>HW60AL070P09002 CN</v>
          </cell>
          <cell r="F174" t="str">
            <v>ASAHI Hyperion 6Fr SAL0.75 90cm</v>
          </cell>
          <cell r="G174">
            <v>20183030619</v>
          </cell>
          <cell r="H174" t="str">
            <v>G</v>
          </cell>
        </row>
        <row r="175">
          <cell r="E175" t="str">
            <v>HW60AL072P09002 CN</v>
          </cell>
          <cell r="F175" t="str">
            <v>ASAHI Hyperion 6Fr SAL0.75 SH 90cm</v>
          </cell>
          <cell r="G175">
            <v>20183030619</v>
          </cell>
          <cell r="H175" t="str">
            <v>G</v>
          </cell>
        </row>
        <row r="176">
          <cell r="E176" t="str">
            <v>HW60AL100P09002 CN</v>
          </cell>
          <cell r="F176" t="str">
            <v>ASAHI Hyperion 6Fr SAL1.0 90cm</v>
          </cell>
          <cell r="G176">
            <v>20183030619</v>
          </cell>
          <cell r="H176" t="str">
            <v>G</v>
          </cell>
        </row>
        <row r="177">
          <cell r="E177" t="str">
            <v>HW60AL102P09002 CN</v>
          </cell>
          <cell r="F177" t="str">
            <v>ASAHI Hyperion 6Fr SAL1.0 SH 90cm</v>
          </cell>
          <cell r="G177">
            <v>20183030619</v>
          </cell>
          <cell r="H177" t="str">
            <v>G</v>
          </cell>
        </row>
        <row r="178">
          <cell r="E178" t="str">
            <v>HW60AL150P09002 CN</v>
          </cell>
          <cell r="F178" t="str">
            <v>ASAHI Hyperion 6Fr SAL1.5 90cm</v>
          </cell>
          <cell r="G178">
            <v>20183030619</v>
          </cell>
          <cell r="H178" t="str">
            <v>G</v>
          </cell>
        </row>
        <row r="179">
          <cell r="E179" t="str">
            <v>HW60AL152P09002 CN</v>
          </cell>
          <cell r="F179" t="str">
            <v>ASAHI Hyperion 6Fr SAL1.5 SH 90cm</v>
          </cell>
          <cell r="G179">
            <v>20183030619</v>
          </cell>
          <cell r="H179" t="str">
            <v>G</v>
          </cell>
        </row>
        <row r="180">
          <cell r="E180" t="str">
            <v>HW60AL200P09002 CN</v>
          </cell>
          <cell r="F180" t="str">
            <v>ASAHI Hyperion 6Fr SAL2.0 90cm</v>
          </cell>
          <cell r="G180">
            <v>20183030619</v>
          </cell>
          <cell r="H180" t="str">
            <v>G</v>
          </cell>
        </row>
        <row r="181">
          <cell r="E181" t="str">
            <v>HW60AL202P09002 CN</v>
          </cell>
          <cell r="F181" t="str">
            <v>ASAHI Hyperion 6Fr SAL2.0 SH 90cm</v>
          </cell>
          <cell r="G181">
            <v>20183030619</v>
          </cell>
          <cell r="H181" t="str">
            <v>G</v>
          </cell>
        </row>
        <row r="182">
          <cell r="E182" t="str">
            <v>HW60AR100P10000 CN</v>
          </cell>
          <cell r="F182" t="str">
            <v>ASAHI Hyperion 6Fr AR1.0 100cm</v>
          </cell>
          <cell r="G182">
            <v>20183030619</v>
          </cell>
          <cell r="H182" t="str">
            <v>G</v>
          </cell>
        </row>
        <row r="183">
          <cell r="E183" t="str">
            <v>HW60AR102P10000 CN</v>
          </cell>
          <cell r="F183" t="str">
            <v>ASAHI Hyperion 6Fr AR1.0 SH 100cm</v>
          </cell>
          <cell r="G183">
            <v>20183030619</v>
          </cell>
          <cell r="H183" t="str">
            <v>G</v>
          </cell>
        </row>
        <row r="184">
          <cell r="E184" t="str">
            <v>HW60AR200P10000 CN</v>
          </cell>
          <cell r="F184" t="str">
            <v>ASAHI Hyperion 6Fr AR2.0 100cm</v>
          </cell>
          <cell r="G184">
            <v>20183030619</v>
          </cell>
          <cell r="H184" t="str">
            <v>G</v>
          </cell>
        </row>
        <row r="185">
          <cell r="E185" t="str">
            <v>HW60AR202P10000 CN</v>
          </cell>
          <cell r="F185" t="str">
            <v>ASAHI Hyperion 6Fr AR2.0 SH 100cm</v>
          </cell>
          <cell r="G185">
            <v>20183030619</v>
          </cell>
          <cell r="H185" t="str">
            <v>G</v>
          </cell>
        </row>
        <row r="186">
          <cell r="E186" t="str">
            <v>HW60PB300P10000 CN</v>
          </cell>
          <cell r="F186" t="str">
            <v>ASAHI Hyperion 6Fr PB3.0 100cm</v>
          </cell>
          <cell r="G186">
            <v>20183030619</v>
          </cell>
          <cell r="H186" t="str">
            <v>G</v>
          </cell>
        </row>
        <row r="187">
          <cell r="E187" t="str">
            <v>HW60PB302P10000 CN</v>
          </cell>
          <cell r="F187" t="str">
            <v>ASAHI Hyperion 6Fr PB3.0 SH 100cm</v>
          </cell>
          <cell r="G187">
            <v>20183030619</v>
          </cell>
          <cell r="H187" t="str">
            <v>G</v>
          </cell>
        </row>
        <row r="188">
          <cell r="E188" t="str">
            <v>HW60PB350P10000 CN</v>
          </cell>
          <cell r="F188" t="str">
            <v>ASAHI Hyperion 6Fr PB3.5 100cm</v>
          </cell>
          <cell r="G188">
            <v>20183030619</v>
          </cell>
          <cell r="H188" t="str">
            <v>G</v>
          </cell>
        </row>
        <row r="189">
          <cell r="E189" t="str">
            <v>HW60PB352P10000 CN</v>
          </cell>
          <cell r="F189" t="str">
            <v>ASAHI Hyperion 6Fr PB3.5 SH 100cm</v>
          </cell>
          <cell r="G189">
            <v>20183030619</v>
          </cell>
          <cell r="H189" t="str">
            <v>G</v>
          </cell>
        </row>
        <row r="190">
          <cell r="E190" t="str">
            <v>HW60PB400P10000 CN</v>
          </cell>
          <cell r="F190" t="str">
            <v>ASAHI Hyperion 6Fr PB4.0 100cm</v>
          </cell>
          <cell r="G190">
            <v>20183030619</v>
          </cell>
          <cell r="H190" t="str">
            <v>G</v>
          </cell>
        </row>
        <row r="191">
          <cell r="E191" t="str">
            <v>HW60PB402P10000 CN</v>
          </cell>
          <cell r="F191" t="str">
            <v>ASAHI Hyperion 6Fr PB4.0 SH 100cm</v>
          </cell>
          <cell r="G191">
            <v>20183030619</v>
          </cell>
          <cell r="H191" t="str">
            <v>G</v>
          </cell>
        </row>
        <row r="192">
          <cell r="E192" t="str">
            <v>HW60PB300P09000 CN</v>
          </cell>
          <cell r="F192" t="str">
            <v>ASAHI Hyperion 6Fr PB3.0 90cm</v>
          </cell>
          <cell r="G192">
            <v>20183030619</v>
          </cell>
          <cell r="H192" t="str">
            <v>G</v>
          </cell>
        </row>
        <row r="193">
          <cell r="E193" t="str">
            <v>HW60PB302P09000 CN</v>
          </cell>
          <cell r="F193" t="str">
            <v>ASAHI Hyperion 6Fr PB3.0 SH 90cm</v>
          </cell>
          <cell r="G193">
            <v>20183030619</v>
          </cell>
          <cell r="H193" t="str">
            <v>G</v>
          </cell>
        </row>
        <row r="194">
          <cell r="E194" t="str">
            <v>HW60PB350P09000 CN</v>
          </cell>
          <cell r="F194" t="str">
            <v>ASAHI Hyperion 6Fr PB3.5 90cm</v>
          </cell>
          <cell r="G194">
            <v>20183030619</v>
          </cell>
          <cell r="H194" t="str">
            <v>G</v>
          </cell>
        </row>
        <row r="195">
          <cell r="E195" t="str">
            <v>HW60PB352P09000 CN</v>
          </cell>
          <cell r="F195" t="str">
            <v>ASAHI Hyperion 6Fr PB3.5 SH 90cm</v>
          </cell>
          <cell r="G195">
            <v>20183030619</v>
          </cell>
          <cell r="H195" t="str">
            <v>G</v>
          </cell>
        </row>
        <row r="196">
          <cell r="E196" t="str">
            <v>HW60PB400P09000 CN</v>
          </cell>
          <cell r="F196" t="str">
            <v>ASAHI Hyperion 6Fr PB4.0 90cm</v>
          </cell>
          <cell r="G196">
            <v>20183030619</v>
          </cell>
          <cell r="H196" t="str">
            <v>G</v>
          </cell>
        </row>
        <row r="197">
          <cell r="E197" t="str">
            <v>HW60PB402P09000 CN</v>
          </cell>
          <cell r="F197" t="str">
            <v>ASAHI Hyperion 6Fr PB4.0 SH 90cm</v>
          </cell>
          <cell r="G197">
            <v>20183030619</v>
          </cell>
          <cell r="H197" t="str">
            <v>G</v>
          </cell>
        </row>
        <row r="198">
          <cell r="E198" t="str">
            <v>HW60SP300P10000 CN</v>
          </cell>
          <cell r="F198" t="str">
            <v>ASAHI Hyperion 6Fr SPB3.0 100cm</v>
          </cell>
          <cell r="G198">
            <v>20183030619</v>
          </cell>
          <cell r="H198" t="str">
            <v>G</v>
          </cell>
        </row>
        <row r="199">
          <cell r="E199" t="str">
            <v>HW60SP302P10000 CN</v>
          </cell>
          <cell r="F199" t="str">
            <v>ASAHI Hyperion 6Fr SPB3.0 SH 100cm</v>
          </cell>
          <cell r="G199">
            <v>20183030619</v>
          </cell>
          <cell r="H199" t="str">
            <v>G</v>
          </cell>
        </row>
        <row r="200">
          <cell r="E200" t="str">
            <v>HW60SP350P10000 CN</v>
          </cell>
          <cell r="F200" t="str">
            <v>ASAHI Hyperion 6Fr SPB3.5 100cm</v>
          </cell>
          <cell r="G200">
            <v>20183030619</v>
          </cell>
          <cell r="H200" t="str">
            <v>G</v>
          </cell>
        </row>
        <row r="201">
          <cell r="E201" t="str">
            <v>HW60SP352P10000 CN</v>
          </cell>
          <cell r="F201" t="str">
            <v>ASAHI Hyperion 6Fr SPB3.5 SH 100cm</v>
          </cell>
          <cell r="G201">
            <v>20183030619</v>
          </cell>
          <cell r="H201" t="str">
            <v>G</v>
          </cell>
        </row>
        <row r="202">
          <cell r="E202" t="str">
            <v>HW60SP370P10000 CN</v>
          </cell>
          <cell r="F202" t="str">
            <v>ASAHI Hyperion 6Fr SPB3.75 100cm</v>
          </cell>
          <cell r="G202">
            <v>20183030619</v>
          </cell>
          <cell r="H202" t="str">
            <v>G</v>
          </cell>
        </row>
        <row r="203">
          <cell r="E203" t="str">
            <v>HW60SP372P10000 CN</v>
          </cell>
          <cell r="F203" t="str">
            <v>ASAHI Hyperion 6Fr SPB3.75 SH 100cm</v>
          </cell>
          <cell r="G203">
            <v>20183030619</v>
          </cell>
          <cell r="H203" t="str">
            <v>G</v>
          </cell>
        </row>
        <row r="204">
          <cell r="E204" t="str">
            <v>HW60SP400P10000 CN</v>
          </cell>
          <cell r="F204" t="str">
            <v>ASAHI Hyperion 6Fr SPB4.0 100cm</v>
          </cell>
          <cell r="G204">
            <v>20183030619</v>
          </cell>
          <cell r="H204" t="str">
            <v>G</v>
          </cell>
        </row>
        <row r="205">
          <cell r="E205" t="str">
            <v>HW60SP402P10000 CN</v>
          </cell>
          <cell r="F205" t="str">
            <v>ASAHI Hyperion 6Fr SPB4.0 SH 100cm</v>
          </cell>
          <cell r="G205">
            <v>20183030619</v>
          </cell>
          <cell r="H205" t="str">
            <v>G</v>
          </cell>
        </row>
        <row r="206">
          <cell r="E206" t="str">
            <v>HW60SP300P09000 CN</v>
          </cell>
          <cell r="F206" t="str">
            <v>ASAHI Hyperion 6Fr SPB3.0 90cm</v>
          </cell>
          <cell r="G206">
            <v>20183030619</v>
          </cell>
          <cell r="H206" t="str">
            <v>G</v>
          </cell>
        </row>
        <row r="207">
          <cell r="E207" t="str">
            <v>HW60SP302P09000 CN</v>
          </cell>
          <cell r="F207" t="str">
            <v>ASAHI Hyperion 6Fr SPB3.0 SH 90cm</v>
          </cell>
          <cell r="G207">
            <v>20183030619</v>
          </cell>
          <cell r="H207" t="str">
            <v>G</v>
          </cell>
        </row>
        <row r="208">
          <cell r="E208" t="str">
            <v>HW60SP350P09000 CN</v>
          </cell>
          <cell r="F208" t="str">
            <v>ASAHI Hyperion 6Fr SPB3.5 90cm</v>
          </cell>
          <cell r="G208">
            <v>20183030619</v>
          </cell>
          <cell r="H208" t="str">
            <v>G</v>
          </cell>
        </row>
        <row r="209">
          <cell r="E209" t="str">
            <v>HW60SP352P09000 CN</v>
          </cell>
          <cell r="F209" t="str">
            <v>ASAHI Hyperion 6Fr SPB3.5 SH 90cm</v>
          </cell>
          <cell r="G209">
            <v>20183030619</v>
          </cell>
          <cell r="H209" t="str">
            <v>G</v>
          </cell>
        </row>
        <row r="210">
          <cell r="E210" t="str">
            <v>HW60SP400P09000 CN</v>
          </cell>
          <cell r="F210" t="str">
            <v>ASAHI Hyperion 6Fr SPB4.0 90cm</v>
          </cell>
          <cell r="G210">
            <v>20183030619</v>
          </cell>
          <cell r="H210" t="str">
            <v>G</v>
          </cell>
        </row>
        <row r="211">
          <cell r="E211" t="str">
            <v>HW60SP402P09000 CN</v>
          </cell>
          <cell r="F211" t="str">
            <v>ASAHI Hyperion 6Fr SPB4.0 SH 90cm</v>
          </cell>
          <cell r="G211">
            <v>20183030619</v>
          </cell>
          <cell r="H211" t="str">
            <v>G</v>
          </cell>
        </row>
        <row r="212">
          <cell r="E212" t="str">
            <v>HW60RB070P10000 CN</v>
          </cell>
          <cell r="F212" t="str">
            <v>ASAHI Hyperion 6Fr RB0.75 100cm</v>
          </cell>
          <cell r="G212">
            <v>20183030619</v>
          </cell>
          <cell r="H212" t="str">
            <v>G</v>
          </cell>
        </row>
        <row r="213">
          <cell r="E213" t="str">
            <v>HW60RB072P10000 CN</v>
          </cell>
          <cell r="F213" t="str">
            <v>ASAHI Hyperion 6Fr RB0.75 SH 100cm</v>
          </cell>
          <cell r="G213">
            <v>20183030619</v>
          </cell>
          <cell r="H213" t="str">
            <v>G</v>
          </cell>
        </row>
        <row r="214">
          <cell r="E214" t="str">
            <v>HW60RB100P10000 CN</v>
          </cell>
          <cell r="F214" t="str">
            <v>ASAHI Hyperion 6Fr RB1.0 100cm</v>
          </cell>
          <cell r="G214">
            <v>20183030619</v>
          </cell>
          <cell r="H214" t="str">
            <v>G</v>
          </cell>
        </row>
        <row r="215">
          <cell r="E215" t="str">
            <v>HW60RB102P10000 CN</v>
          </cell>
          <cell r="F215" t="str">
            <v>ASAHI Hyperion 6Fr RB1.0 SH 100cm</v>
          </cell>
          <cell r="G215">
            <v>20183030619</v>
          </cell>
          <cell r="H215" t="str">
            <v>G</v>
          </cell>
        </row>
        <row r="216">
          <cell r="E216" t="str">
            <v>HW60SC350P10000 CN</v>
          </cell>
          <cell r="F216" t="str">
            <v>ASAHI Hyperion 6Fr SC3.5 100cm</v>
          </cell>
          <cell r="G216">
            <v>20183030619</v>
          </cell>
          <cell r="H216" t="str">
            <v>G</v>
          </cell>
        </row>
        <row r="217">
          <cell r="E217" t="str">
            <v>HW60SC352P10000 CN</v>
          </cell>
          <cell r="F217" t="str">
            <v>ASAHI Hyperion 6Fr SC3.5 SH 100cm</v>
          </cell>
          <cell r="G217">
            <v>20183030619</v>
          </cell>
          <cell r="H217" t="str">
            <v>G</v>
          </cell>
        </row>
        <row r="218">
          <cell r="E218" t="str">
            <v>HW60SC400P10000 CN</v>
          </cell>
          <cell r="F218" t="str">
            <v>ASAHI Hyperion 6Fr SC4.0 100cm</v>
          </cell>
          <cell r="G218">
            <v>20183030619</v>
          </cell>
          <cell r="H218" t="str">
            <v>G</v>
          </cell>
        </row>
        <row r="219">
          <cell r="E219" t="str">
            <v>HW60SC402P10000 CN</v>
          </cell>
          <cell r="F219" t="str">
            <v>ASAHI Hyperion 6Fr SC4.0 SH 100cm</v>
          </cell>
          <cell r="G219">
            <v>20183030619</v>
          </cell>
          <cell r="H219" t="str">
            <v>G</v>
          </cell>
        </row>
        <row r="220">
          <cell r="E220" t="str">
            <v>HW60CP100P10000 CN</v>
          </cell>
          <cell r="F220" t="str">
            <v>ASAHI Hyperion 6Fr CP1.0 100cm</v>
          </cell>
          <cell r="G220">
            <v>20183030619</v>
          </cell>
          <cell r="H220" t="str">
            <v>G</v>
          </cell>
        </row>
        <row r="221">
          <cell r="E221" t="str">
            <v>HW60CP150P10000 CN</v>
          </cell>
          <cell r="F221" t="str">
            <v>ASAHI Hyperion 6Fr CP1.5 100cm</v>
          </cell>
          <cell r="G221">
            <v>20183030619</v>
          </cell>
          <cell r="H221" t="str">
            <v>G</v>
          </cell>
        </row>
        <row r="222">
          <cell r="E222" t="str">
            <v>HW60CP200P10000 CN</v>
          </cell>
          <cell r="F222" t="str">
            <v>ASAHI Hyperion 6Fr CP2.0 100cm</v>
          </cell>
          <cell r="G222">
            <v>20183030619</v>
          </cell>
          <cell r="H222" t="str">
            <v>G</v>
          </cell>
        </row>
        <row r="223">
          <cell r="E223" t="str">
            <v>HW60CP250P10000 CN</v>
          </cell>
          <cell r="F223" t="str">
            <v>ASAHI Hyperion 6Fr CP2.5 100cm</v>
          </cell>
          <cell r="G223">
            <v>20183030619</v>
          </cell>
          <cell r="H223" t="str">
            <v>G</v>
          </cell>
        </row>
        <row r="224">
          <cell r="E224" t="str">
            <v>HW60CP270P10000 CN</v>
          </cell>
          <cell r="F224" t="str">
            <v>ASAHI Hyperion 6Fr CP2.75 100cm</v>
          </cell>
          <cell r="G224">
            <v>20183030619</v>
          </cell>
          <cell r="H224" t="str">
            <v>G</v>
          </cell>
        </row>
        <row r="225">
          <cell r="E225" t="str">
            <v>HW60CP300P10000 CN</v>
          </cell>
          <cell r="F225" t="str">
            <v>ASAHI Hyperion 6Fr CP3.0 100cm</v>
          </cell>
          <cell r="G225">
            <v>20183030619</v>
          </cell>
          <cell r="H225" t="str">
            <v>G</v>
          </cell>
        </row>
        <row r="226">
          <cell r="E226" t="str">
            <v>HW60CP320P10000 CN</v>
          </cell>
          <cell r="F226" t="str">
            <v>ASAHI Hyperion 6Fr CP3.25 100cm</v>
          </cell>
          <cell r="G226">
            <v>20183030619</v>
          </cell>
          <cell r="H226" t="str">
            <v>G</v>
          </cell>
        </row>
        <row r="227">
          <cell r="E227" t="str">
            <v>HW60CP350P10000 CN</v>
          </cell>
          <cell r="F227" t="str">
            <v>ASAHI Hyperion 6Fr CP3.5 100cm</v>
          </cell>
          <cell r="G227">
            <v>20183030619</v>
          </cell>
          <cell r="H227" t="str">
            <v>G</v>
          </cell>
        </row>
        <row r="228">
          <cell r="E228" t="str">
            <v>HW60SA350P10000 CN</v>
          </cell>
          <cell r="F228" t="str">
            <v>ASAHI Hyperion 6Fr SA3.5 100cm</v>
          </cell>
          <cell r="G228">
            <v>20183030619</v>
          </cell>
          <cell r="H228" t="str">
            <v>G</v>
          </cell>
        </row>
        <row r="229">
          <cell r="E229" t="str">
            <v>HW60SA352P10000 CN</v>
          </cell>
          <cell r="F229" t="str">
            <v>ASAHI Hyperion 6Fr SA3.5 SH 100cm</v>
          </cell>
          <cell r="G229">
            <v>20183030619</v>
          </cell>
          <cell r="H229" t="str">
            <v>G</v>
          </cell>
        </row>
        <row r="230">
          <cell r="E230" t="str">
            <v>HW60SA400P10000 CN</v>
          </cell>
          <cell r="F230" t="str">
            <v>ASAHI Hyperion 6Fr SA4.0 100cm</v>
          </cell>
          <cell r="G230">
            <v>20183030619</v>
          </cell>
          <cell r="H230" t="str">
            <v>G</v>
          </cell>
        </row>
        <row r="231">
          <cell r="E231" t="str">
            <v>HW60SA402P10000 CN</v>
          </cell>
          <cell r="F231" t="str">
            <v>ASAHI Hyperion 6Fr SA4.0 SH 100cm</v>
          </cell>
          <cell r="G231">
            <v>20183030619</v>
          </cell>
          <cell r="H231" t="str">
            <v>G</v>
          </cell>
        </row>
        <row r="232">
          <cell r="E232" t="str">
            <v>HW60HS010P10000 CN</v>
          </cell>
          <cell r="F232" t="str">
            <v>ASAHI Hyperion 6Fr HS01 100cm</v>
          </cell>
          <cell r="G232">
            <v>20183030619</v>
          </cell>
          <cell r="H232" t="str">
            <v>G</v>
          </cell>
        </row>
        <row r="233">
          <cell r="E233" t="str">
            <v>HW60HS012P10000 CN</v>
          </cell>
          <cell r="F233" t="str">
            <v>ASAHI Hyperion 6Fr HS01 SH 100cm</v>
          </cell>
          <cell r="G233">
            <v>20183030619</v>
          </cell>
          <cell r="H233" t="str">
            <v>G</v>
          </cell>
        </row>
        <row r="234">
          <cell r="E234" t="str">
            <v>HW60HS020P10000 CN</v>
          </cell>
          <cell r="F234" t="str">
            <v>ASAHI Hyperion 6Fr HS02 100cm</v>
          </cell>
          <cell r="G234">
            <v>20183030619</v>
          </cell>
          <cell r="H234" t="str">
            <v>G</v>
          </cell>
        </row>
        <row r="235">
          <cell r="E235" t="str">
            <v>HW60HS022P10000 CN</v>
          </cell>
          <cell r="F235" t="str">
            <v>ASAHI Hyperion 6Fr HS02 SH 100cm</v>
          </cell>
          <cell r="G235">
            <v>20183030619</v>
          </cell>
          <cell r="H235" t="str">
            <v>G</v>
          </cell>
        </row>
        <row r="236">
          <cell r="E236" t="str">
            <v>HW60IM000P10000 CN</v>
          </cell>
          <cell r="F236" t="str">
            <v>ASAHI Hyperion 6Fr IM 100cm</v>
          </cell>
          <cell r="G236">
            <v>20183030619</v>
          </cell>
          <cell r="H236" t="str">
            <v>G</v>
          </cell>
        </row>
        <row r="237">
          <cell r="E237" t="str">
            <v>HW60IM002P10000 CN</v>
          </cell>
          <cell r="F237" t="str">
            <v>ASAHI Hyperion 6Fr IM SH 100cm</v>
          </cell>
          <cell r="G237">
            <v>20183030619</v>
          </cell>
          <cell r="H237" t="str">
            <v>G</v>
          </cell>
        </row>
        <row r="238">
          <cell r="E238" t="str">
            <v>HW60MP010P10000 CN</v>
          </cell>
          <cell r="F238" t="str">
            <v>ASAHI Hyperion 6Fr MP01 100cm</v>
          </cell>
          <cell r="G238">
            <v>20183030619</v>
          </cell>
          <cell r="H238" t="str">
            <v>G</v>
          </cell>
        </row>
        <row r="239">
          <cell r="E239" t="str">
            <v>HW60MP012P10000 CN</v>
          </cell>
          <cell r="F239" t="str">
            <v>ASAHI Hyperion 6Fr MP01 SH 100cm</v>
          </cell>
          <cell r="G239">
            <v>20183030619</v>
          </cell>
          <cell r="H239" t="str">
            <v>G</v>
          </cell>
        </row>
        <row r="240">
          <cell r="E240" t="str">
            <v>HW60MP020P10000 CN</v>
          </cell>
          <cell r="F240" t="str">
            <v>ASAHI Hyperion 6Fr MP02 100cm</v>
          </cell>
          <cell r="G240">
            <v>20183030619</v>
          </cell>
          <cell r="H240" t="str">
            <v>G</v>
          </cell>
        </row>
        <row r="241">
          <cell r="E241" t="str">
            <v>HW60MP022P10000 CN</v>
          </cell>
          <cell r="F241" t="str">
            <v>ASAHI Hyperion 6Fr MP02 SH 100cm</v>
          </cell>
          <cell r="G241">
            <v>20183030619</v>
          </cell>
          <cell r="H241" t="str">
            <v>G</v>
          </cell>
        </row>
        <row r="242">
          <cell r="E242" t="str">
            <v>HW70JL300P10000 CN</v>
          </cell>
          <cell r="F242" t="str">
            <v>ASAHI Hyperion 7Fr JL3.0 100cm</v>
          </cell>
          <cell r="G242">
            <v>20183030619</v>
          </cell>
          <cell r="H242" t="str">
            <v>G</v>
          </cell>
        </row>
        <row r="243">
          <cell r="E243" t="str">
            <v>HW70JL300P10001 CN</v>
          </cell>
          <cell r="F243" t="str">
            <v>ASAHI Hyperion 7Fr JL3.0ST 100cm</v>
          </cell>
          <cell r="G243">
            <v>20183030619</v>
          </cell>
          <cell r="H243" t="str">
            <v>G</v>
          </cell>
        </row>
        <row r="244">
          <cell r="E244" t="str">
            <v>HW70JL302P10000 CN</v>
          </cell>
          <cell r="F244" t="str">
            <v>ASAHI Hyperion 7Fr JL3.0 SH 100cm</v>
          </cell>
          <cell r="G244">
            <v>20183030619</v>
          </cell>
          <cell r="H244" t="str">
            <v>G</v>
          </cell>
        </row>
        <row r="245">
          <cell r="E245" t="str">
            <v>HW70JL302P10001 CN</v>
          </cell>
          <cell r="F245" t="str">
            <v>ASAHI Hyperion 7Fr JL3.0ST SH 100cm</v>
          </cell>
          <cell r="G245">
            <v>20183030619</v>
          </cell>
          <cell r="H245" t="str">
            <v>G</v>
          </cell>
        </row>
        <row r="246">
          <cell r="E246" t="str">
            <v>HW70JL350P10000 CN</v>
          </cell>
          <cell r="F246" t="str">
            <v>ASAHI Hyperion 7Fr JL3.5 100cm</v>
          </cell>
          <cell r="G246">
            <v>20183030619</v>
          </cell>
          <cell r="H246" t="str">
            <v>G</v>
          </cell>
        </row>
        <row r="247">
          <cell r="E247" t="str">
            <v>HW70JL350P10001 CN</v>
          </cell>
          <cell r="F247" t="str">
            <v>ASAHI Hyperion 7Fr JL3.5ST 100cm</v>
          </cell>
          <cell r="G247">
            <v>20183030619</v>
          </cell>
          <cell r="H247" t="str">
            <v>G</v>
          </cell>
        </row>
        <row r="248">
          <cell r="E248" t="str">
            <v>HW70JL352P10000 CN</v>
          </cell>
          <cell r="F248" t="str">
            <v>ASAHI Hyperion 7Fr JL3.5 SH 100cm</v>
          </cell>
          <cell r="G248">
            <v>20183030619</v>
          </cell>
          <cell r="H248" t="str">
            <v>G</v>
          </cell>
        </row>
        <row r="249">
          <cell r="E249" t="str">
            <v>HW70JL352P10001 CN</v>
          </cell>
          <cell r="F249" t="str">
            <v>ASAHI Hyperion 7Fr JL3.5ST SH 100cm</v>
          </cell>
          <cell r="G249">
            <v>20183030619</v>
          </cell>
          <cell r="H249" t="str">
            <v>G</v>
          </cell>
        </row>
        <row r="250">
          <cell r="E250" t="str">
            <v>HW70JL400P10000 CN</v>
          </cell>
          <cell r="F250" t="str">
            <v>ASAHI Hyperion 7Fr JL4.0 100cm</v>
          </cell>
          <cell r="G250">
            <v>20183030619</v>
          </cell>
          <cell r="H250" t="str">
            <v>G</v>
          </cell>
        </row>
        <row r="251">
          <cell r="E251" t="str">
            <v>HW70JL400P10001 CN</v>
          </cell>
          <cell r="F251" t="str">
            <v>ASAHI Hyperion 7Fr JL4.0ST 100cm</v>
          </cell>
          <cell r="G251">
            <v>20183030619</v>
          </cell>
          <cell r="H251" t="str">
            <v>G</v>
          </cell>
        </row>
        <row r="252">
          <cell r="E252" t="str">
            <v>HW70JL402P10000 CN</v>
          </cell>
          <cell r="F252" t="str">
            <v>ASAHI Hyperion 7Fr JL4.0 SH 100cm</v>
          </cell>
          <cell r="G252">
            <v>20183030619</v>
          </cell>
          <cell r="H252" t="str">
            <v>G</v>
          </cell>
        </row>
        <row r="253">
          <cell r="E253" t="str">
            <v>HW70JL402P10001 CN</v>
          </cell>
          <cell r="F253" t="str">
            <v>ASAHI Hyperion 7Fr JL4.0ST SH 100cm</v>
          </cell>
          <cell r="G253">
            <v>20183030619</v>
          </cell>
          <cell r="H253" t="str">
            <v>G</v>
          </cell>
        </row>
        <row r="254">
          <cell r="E254" t="str">
            <v>HW70JL450P10000 CN</v>
          </cell>
          <cell r="F254" t="str">
            <v>ASAHI Hyperion 7Fr JL4.5 100cm</v>
          </cell>
          <cell r="G254">
            <v>20183030619</v>
          </cell>
          <cell r="H254" t="str">
            <v>G</v>
          </cell>
        </row>
        <row r="255">
          <cell r="E255" t="str">
            <v>HW70JL450P10001 CN</v>
          </cell>
          <cell r="F255" t="str">
            <v>ASAHI Hyperion 7Fr JL4.5ST 100cm</v>
          </cell>
          <cell r="G255">
            <v>20183030619</v>
          </cell>
          <cell r="H255" t="str">
            <v>G</v>
          </cell>
        </row>
        <row r="256">
          <cell r="E256" t="str">
            <v>HW70JL452P10000 CN</v>
          </cell>
          <cell r="F256" t="str">
            <v>ASAHI Hyperion 7Fr JL4.5 SH 100cm</v>
          </cell>
          <cell r="G256">
            <v>20183030619</v>
          </cell>
          <cell r="H256" t="str">
            <v>G</v>
          </cell>
        </row>
        <row r="257">
          <cell r="E257" t="str">
            <v>HW70JL452P10001 CN</v>
          </cell>
          <cell r="F257" t="str">
            <v>ASAHI Hyperion 7Fr JL4.5ST SH 100cm</v>
          </cell>
          <cell r="G257">
            <v>20183030619</v>
          </cell>
          <cell r="H257" t="str">
            <v>G</v>
          </cell>
        </row>
        <row r="258">
          <cell r="E258" t="str">
            <v>HW70JL500P10000 CN</v>
          </cell>
          <cell r="F258" t="str">
            <v>ASAHI Hyperion 7Fr JL5.0 100cm</v>
          </cell>
          <cell r="G258">
            <v>20183030619</v>
          </cell>
          <cell r="H258" t="str">
            <v>G</v>
          </cell>
        </row>
        <row r="259">
          <cell r="E259" t="str">
            <v>HW70JL500P10001 CN</v>
          </cell>
          <cell r="F259" t="str">
            <v>ASAHI Hyperion 7Fr JL5.0ST 100cm</v>
          </cell>
          <cell r="G259">
            <v>20183030619</v>
          </cell>
          <cell r="H259" t="str">
            <v>G</v>
          </cell>
        </row>
        <row r="260">
          <cell r="E260" t="str">
            <v>HW70JL502P10000 CN</v>
          </cell>
          <cell r="F260" t="str">
            <v>ASAHI Hyperion 7Fr JL5.0 SH 100cm</v>
          </cell>
          <cell r="G260">
            <v>20183030619</v>
          </cell>
          <cell r="H260" t="str">
            <v>G</v>
          </cell>
        </row>
        <row r="261">
          <cell r="E261" t="str">
            <v>HW70JL502P10001 CN</v>
          </cell>
          <cell r="F261" t="str">
            <v>ASAHI Hyperion 7Fr JL5.0ST SH 100cm</v>
          </cell>
          <cell r="G261">
            <v>20183030619</v>
          </cell>
          <cell r="H261" t="str">
            <v>G</v>
          </cell>
        </row>
        <row r="262">
          <cell r="E262" t="str">
            <v>HW70JL350P09000 CN</v>
          </cell>
          <cell r="F262" t="str">
            <v>ASAHI Hyperion 7Fr JL3.5 90cm</v>
          </cell>
          <cell r="G262">
            <v>20183030619</v>
          </cell>
          <cell r="H262" t="str">
            <v>G</v>
          </cell>
        </row>
        <row r="263">
          <cell r="E263" t="str">
            <v>HW70JL352P09000 CN</v>
          </cell>
          <cell r="F263" t="str">
            <v>ASAHI Hyperion 7Fr JL3.5 SH 90cm</v>
          </cell>
          <cell r="G263">
            <v>20183030619</v>
          </cell>
          <cell r="H263" t="str">
            <v>G</v>
          </cell>
        </row>
        <row r="264">
          <cell r="E264" t="str">
            <v>HW70JL352P09001 CN</v>
          </cell>
          <cell r="F264" t="str">
            <v>ASAHI Hyperion 7Fr JL3.5ST SH 90cm</v>
          </cell>
          <cell r="G264">
            <v>20183030619</v>
          </cell>
          <cell r="H264" t="str">
            <v>G</v>
          </cell>
        </row>
        <row r="265">
          <cell r="E265" t="str">
            <v>HW70JL400P09000 CN</v>
          </cell>
          <cell r="F265" t="str">
            <v>ASAHI Hyperion 7Fr JL4.0 90cm</v>
          </cell>
          <cell r="G265">
            <v>20183030619</v>
          </cell>
          <cell r="H265" t="str">
            <v>G</v>
          </cell>
        </row>
        <row r="266">
          <cell r="E266" t="str">
            <v>HW70JL402P09000 CN</v>
          </cell>
          <cell r="F266" t="str">
            <v>ASAHI Hyperion 7Fr JL4.0 SH 90cm</v>
          </cell>
          <cell r="G266">
            <v>20183030619</v>
          </cell>
          <cell r="H266" t="str">
            <v>G</v>
          </cell>
        </row>
        <row r="267">
          <cell r="E267" t="str">
            <v>HW70JL402P09001 CN</v>
          </cell>
          <cell r="F267" t="str">
            <v>ASAHI Hyperion 7Fr JL4.0ST SH 90cm</v>
          </cell>
          <cell r="G267">
            <v>20183030619</v>
          </cell>
          <cell r="H267" t="str">
            <v>G</v>
          </cell>
        </row>
        <row r="268">
          <cell r="E268" t="str">
            <v>HW70JR350P10000 CN</v>
          </cell>
          <cell r="F268" t="str">
            <v>ASAHI Hyperion 7Fr JR3.5 100cm</v>
          </cell>
          <cell r="G268">
            <v>20183030619</v>
          </cell>
          <cell r="H268" t="str">
            <v>G</v>
          </cell>
        </row>
        <row r="269">
          <cell r="E269" t="str">
            <v>HW70JR352P10000 CN</v>
          </cell>
          <cell r="F269" t="str">
            <v>ASAHI Hyperion 7Fr JR3.5 SH 100cm</v>
          </cell>
          <cell r="G269">
            <v>20183030619</v>
          </cell>
          <cell r="H269" t="str">
            <v>G</v>
          </cell>
        </row>
        <row r="270">
          <cell r="E270" t="str">
            <v>HW70JR400P10000 CN</v>
          </cell>
          <cell r="F270" t="str">
            <v>ASAHI Hyperion 7Fr JR4.0 100cm</v>
          </cell>
          <cell r="G270">
            <v>20183030619</v>
          </cell>
          <cell r="H270" t="str">
            <v>G</v>
          </cell>
        </row>
        <row r="271">
          <cell r="E271" t="str">
            <v>HW70JR402P10000 CN</v>
          </cell>
          <cell r="F271" t="str">
            <v>ASAHI Hyperion 7Fr JR4.0 SH 100cm</v>
          </cell>
          <cell r="G271">
            <v>20183030619</v>
          </cell>
          <cell r="H271" t="str">
            <v>G</v>
          </cell>
        </row>
        <row r="272">
          <cell r="E272" t="str">
            <v>HW70JR450P10000 CN</v>
          </cell>
          <cell r="F272" t="str">
            <v>ASAHI Hyperion 7Fr JR4.5 100cm</v>
          </cell>
          <cell r="G272">
            <v>20183030619</v>
          </cell>
          <cell r="H272" t="str">
            <v>G</v>
          </cell>
        </row>
        <row r="273">
          <cell r="E273" t="str">
            <v>HW70JR452P10000 CN</v>
          </cell>
          <cell r="F273" t="str">
            <v>ASAHI Hyperion 7Fr JR4.5 SH 100cm</v>
          </cell>
          <cell r="G273">
            <v>20183030619</v>
          </cell>
          <cell r="H273" t="str">
            <v>G</v>
          </cell>
        </row>
        <row r="274">
          <cell r="E274" t="str">
            <v>HW70JR500P10000 CN</v>
          </cell>
          <cell r="F274" t="str">
            <v>ASAHI Hyperion 7Fr JR5.0 100cm</v>
          </cell>
          <cell r="G274">
            <v>20183030619</v>
          </cell>
          <cell r="H274" t="str">
            <v>G</v>
          </cell>
        </row>
        <row r="275">
          <cell r="E275" t="str">
            <v>HW70JR502P10000 CN</v>
          </cell>
          <cell r="F275" t="str">
            <v>ASAHI Hyperion 7Fr JR5.0 SH 100cm</v>
          </cell>
          <cell r="G275">
            <v>20183030619</v>
          </cell>
          <cell r="H275" t="str">
            <v>G</v>
          </cell>
        </row>
        <row r="276">
          <cell r="E276" t="str">
            <v>HW70JR350P09000 CN</v>
          </cell>
          <cell r="F276" t="str">
            <v>ASAHI Hyperion 7Fr JR3.5 90cm</v>
          </cell>
          <cell r="G276">
            <v>20183030619</v>
          </cell>
          <cell r="H276" t="str">
            <v>G</v>
          </cell>
        </row>
        <row r="277">
          <cell r="E277" t="str">
            <v>HW70JR352P09000 CN</v>
          </cell>
          <cell r="F277" t="str">
            <v>ASAHI Hyperion 7Fr JR3.5 SH 90cm</v>
          </cell>
          <cell r="G277">
            <v>20183030619</v>
          </cell>
          <cell r="H277" t="str">
            <v>G</v>
          </cell>
        </row>
        <row r="278">
          <cell r="E278" t="str">
            <v>HW70JR400P09000 CN</v>
          </cell>
          <cell r="F278" t="str">
            <v>ASAHI Hyperion 7Fr JR4.0 90cm</v>
          </cell>
          <cell r="G278">
            <v>20183030619</v>
          </cell>
          <cell r="H278" t="str">
            <v>G</v>
          </cell>
        </row>
        <row r="279">
          <cell r="E279" t="str">
            <v>HW70JR402P09000 CN</v>
          </cell>
          <cell r="F279" t="str">
            <v>ASAHI Hyperion 7Fr JR4.0 SH 90cm</v>
          </cell>
          <cell r="G279">
            <v>20183030619</v>
          </cell>
          <cell r="H279" t="str">
            <v>G</v>
          </cell>
        </row>
        <row r="280">
          <cell r="E280" t="str">
            <v>HW70AL070P10000 CN</v>
          </cell>
          <cell r="F280" t="str">
            <v>ASAHI Hyperion 7Fr AL0.75 100cm</v>
          </cell>
          <cell r="G280">
            <v>20183030619</v>
          </cell>
          <cell r="H280" t="str">
            <v>G</v>
          </cell>
        </row>
        <row r="281">
          <cell r="E281" t="str">
            <v>HW70AL072P10000 CN</v>
          </cell>
          <cell r="F281" t="str">
            <v>ASAHI Hyperion 7Fr AL0.75 SH 100cm</v>
          </cell>
          <cell r="G281">
            <v>20183030619</v>
          </cell>
          <cell r="H281" t="str">
            <v>G</v>
          </cell>
        </row>
        <row r="282">
          <cell r="E282" t="str">
            <v>HW70AL100P10000 CN</v>
          </cell>
          <cell r="F282" t="str">
            <v>ASAHI Hyperion 7Fr AL1.0 100cm</v>
          </cell>
          <cell r="G282">
            <v>20183030619</v>
          </cell>
          <cell r="H282" t="str">
            <v>G</v>
          </cell>
        </row>
        <row r="283">
          <cell r="E283" t="str">
            <v>HW70AL102P10000 CN</v>
          </cell>
          <cell r="F283" t="str">
            <v>ASAHI Hyperion 7Fr AL1.0 SH 100cm</v>
          </cell>
          <cell r="G283">
            <v>20183030619</v>
          </cell>
          <cell r="H283" t="str">
            <v>G</v>
          </cell>
        </row>
        <row r="284">
          <cell r="E284" t="str">
            <v>HW70AL150P10000 CN</v>
          </cell>
          <cell r="F284" t="str">
            <v>ASAHI Hyperion 7Fr AL1.5 100cm</v>
          </cell>
          <cell r="G284">
            <v>20183030619</v>
          </cell>
          <cell r="H284" t="str">
            <v>G</v>
          </cell>
        </row>
        <row r="285">
          <cell r="E285" t="str">
            <v>HW70AL152P10000 CN</v>
          </cell>
          <cell r="F285" t="str">
            <v>ASAHI Hyperion 7Fr AL1.5 SH 100cm</v>
          </cell>
          <cell r="G285">
            <v>20183030619</v>
          </cell>
          <cell r="H285" t="str">
            <v>G</v>
          </cell>
        </row>
        <row r="286">
          <cell r="E286" t="str">
            <v>HW70AL200P10000 CN</v>
          </cell>
          <cell r="F286" t="str">
            <v>ASAHI Hyperion 7Fr AL2.0 100cm</v>
          </cell>
          <cell r="G286">
            <v>20183030619</v>
          </cell>
          <cell r="H286" t="str">
            <v>G</v>
          </cell>
        </row>
        <row r="287">
          <cell r="E287" t="str">
            <v>HW70AL202P10000 CN</v>
          </cell>
          <cell r="F287" t="str">
            <v>ASAHI Hyperion 7Fr AL2.0 SH 100cm</v>
          </cell>
          <cell r="G287">
            <v>20183030619</v>
          </cell>
          <cell r="H287" t="str">
            <v>G</v>
          </cell>
        </row>
        <row r="288">
          <cell r="E288" t="str">
            <v>HW70AL070P09000 CN</v>
          </cell>
          <cell r="F288" t="str">
            <v>ASAHI Hyperion 7Fr AL0.75 90cm</v>
          </cell>
          <cell r="G288">
            <v>20183030619</v>
          </cell>
          <cell r="H288" t="str">
            <v>G</v>
          </cell>
        </row>
        <row r="289">
          <cell r="E289" t="str">
            <v>HW70AL072P09000 CN</v>
          </cell>
          <cell r="F289" t="str">
            <v>ASAHI Hyperion 7Fr AL0.75 SH 90cm</v>
          </cell>
          <cell r="G289">
            <v>20183030619</v>
          </cell>
          <cell r="H289" t="str">
            <v>G</v>
          </cell>
        </row>
        <row r="290">
          <cell r="E290" t="str">
            <v>HW70AL100P09000 CN</v>
          </cell>
          <cell r="F290" t="str">
            <v>ASAHI Hyperion 7Fr AL1.0 90cm</v>
          </cell>
          <cell r="G290">
            <v>20183030619</v>
          </cell>
          <cell r="H290" t="str">
            <v>G</v>
          </cell>
        </row>
        <row r="291">
          <cell r="E291" t="str">
            <v>HW70AL102P09000 CN</v>
          </cell>
          <cell r="F291" t="str">
            <v>ASAHI Hyperion 7Fr AL1.0 SH 90cm</v>
          </cell>
          <cell r="G291">
            <v>20183030619</v>
          </cell>
          <cell r="H291" t="str">
            <v>G</v>
          </cell>
        </row>
        <row r="292">
          <cell r="E292" t="str">
            <v>HW70AL150P09000 CN</v>
          </cell>
          <cell r="F292" t="str">
            <v>ASAHI Hyperion 7Fr AL1.5 90cm</v>
          </cell>
          <cell r="G292">
            <v>20183030619</v>
          </cell>
          <cell r="H292" t="str">
            <v>G</v>
          </cell>
        </row>
        <row r="293">
          <cell r="E293" t="str">
            <v>HW70AL152P09000 CN</v>
          </cell>
          <cell r="F293" t="str">
            <v>ASAHI Hyperion 7Fr AL1.5 SH 90cm</v>
          </cell>
          <cell r="G293">
            <v>20183030619</v>
          </cell>
          <cell r="H293" t="str">
            <v>G</v>
          </cell>
        </row>
        <row r="294">
          <cell r="E294" t="str">
            <v>HW70AL070P10002 CN</v>
          </cell>
          <cell r="F294" t="str">
            <v>ASAHI Hyperion 7Fr SAL0.75 100cm</v>
          </cell>
          <cell r="G294">
            <v>20183030619</v>
          </cell>
          <cell r="H294" t="str">
            <v>G</v>
          </cell>
        </row>
        <row r="295">
          <cell r="E295" t="str">
            <v>HW70AL072P10002 CN</v>
          </cell>
          <cell r="F295" t="str">
            <v>ASAHI Hyperion 7Fr SAL0.75 SH 100cm</v>
          </cell>
          <cell r="G295">
            <v>20183030619</v>
          </cell>
          <cell r="H295" t="str">
            <v>G</v>
          </cell>
        </row>
        <row r="296">
          <cell r="E296" t="str">
            <v>HW70AL100P10002 CN</v>
          </cell>
          <cell r="F296" t="str">
            <v>ASAHI Hyperion 7Fr SAL1.0 100cm</v>
          </cell>
          <cell r="G296">
            <v>20183030619</v>
          </cell>
          <cell r="H296" t="str">
            <v>G</v>
          </cell>
        </row>
        <row r="297">
          <cell r="E297" t="str">
            <v>HW70AL102P10002 CN</v>
          </cell>
          <cell r="F297" t="str">
            <v>ASAHI Hyperion 7Fr SAL1.0 SH 100cm</v>
          </cell>
          <cell r="G297">
            <v>20183030619</v>
          </cell>
          <cell r="H297" t="str">
            <v>G</v>
          </cell>
        </row>
        <row r="298">
          <cell r="E298" t="str">
            <v>HW70AL150P10002 CN</v>
          </cell>
          <cell r="F298" t="str">
            <v>ASAHI Hyperion 7Fr SAL1.5 100cm</v>
          </cell>
          <cell r="G298">
            <v>20183030619</v>
          </cell>
          <cell r="H298" t="str">
            <v>G</v>
          </cell>
        </row>
        <row r="299">
          <cell r="E299" t="str">
            <v>HW70AL152P10002 CN</v>
          </cell>
          <cell r="F299" t="str">
            <v>ASAHI Hyperion 7Fr SAL1.5 SH 100cm</v>
          </cell>
          <cell r="G299">
            <v>20183030619</v>
          </cell>
          <cell r="H299" t="str">
            <v>G</v>
          </cell>
        </row>
        <row r="300">
          <cell r="E300" t="str">
            <v>HW70AL200P10002 CN</v>
          </cell>
          <cell r="F300" t="str">
            <v>ASAHI Hyperion 7Fr SAL2.0 100cm</v>
          </cell>
          <cell r="G300">
            <v>20183030619</v>
          </cell>
          <cell r="H300" t="str">
            <v>G</v>
          </cell>
        </row>
        <row r="301">
          <cell r="E301" t="str">
            <v>HW70AL202P10002 CN</v>
          </cell>
          <cell r="F301" t="str">
            <v>ASAHI Hyperion 7Fr SAL2.0 SH 100cm</v>
          </cell>
          <cell r="G301">
            <v>20183030619</v>
          </cell>
          <cell r="H301" t="str">
            <v>G</v>
          </cell>
        </row>
        <row r="302">
          <cell r="E302" t="str">
            <v>HW70AL070P09002 CN</v>
          </cell>
          <cell r="F302" t="str">
            <v>ASAHI Hyperion 7Fr SAL0.75 90cm</v>
          </cell>
          <cell r="G302">
            <v>20183030619</v>
          </cell>
          <cell r="H302" t="str">
            <v>G</v>
          </cell>
        </row>
        <row r="303">
          <cell r="E303" t="str">
            <v>HW70AL072P09002 CN</v>
          </cell>
          <cell r="F303" t="str">
            <v>ASAHI Hyperion 7Fr SAL0.75 SH 90cm</v>
          </cell>
          <cell r="G303">
            <v>20183030619</v>
          </cell>
          <cell r="H303" t="str">
            <v>G</v>
          </cell>
        </row>
        <row r="304">
          <cell r="E304" t="str">
            <v>HW70AL100P09002 CN</v>
          </cell>
          <cell r="F304" t="str">
            <v>ASAHI Hyperion 7Fr SAL1.0 90cm</v>
          </cell>
          <cell r="G304">
            <v>20183030619</v>
          </cell>
          <cell r="H304" t="str">
            <v>G</v>
          </cell>
        </row>
        <row r="305">
          <cell r="E305" t="str">
            <v>HW70AL102P09002 CN</v>
          </cell>
          <cell r="F305" t="str">
            <v>ASAHI Hyperion 7Fr SAL1.0 SH 90cm</v>
          </cell>
          <cell r="G305">
            <v>20183030619</v>
          </cell>
          <cell r="H305" t="str">
            <v>G</v>
          </cell>
        </row>
        <row r="306">
          <cell r="E306" t="str">
            <v>HW70AL150P09002 CN</v>
          </cell>
          <cell r="F306" t="str">
            <v>ASAHI Hyperion 7Fr SAL1.5 90cm</v>
          </cell>
          <cell r="G306">
            <v>20183030619</v>
          </cell>
          <cell r="H306" t="str">
            <v>G</v>
          </cell>
        </row>
        <row r="307">
          <cell r="E307" t="str">
            <v>HW70AL152P09002 CN</v>
          </cell>
          <cell r="F307" t="str">
            <v>ASAHI Hyperion 7Fr SAL1.5 SH 90cm</v>
          </cell>
          <cell r="G307">
            <v>20183030619</v>
          </cell>
          <cell r="H307" t="str">
            <v>G</v>
          </cell>
        </row>
        <row r="308">
          <cell r="E308" t="str">
            <v>HW70AL200P09002 CN</v>
          </cell>
          <cell r="F308" t="str">
            <v>ASAHI Hyperion 7Fr SAL2.0 90cm</v>
          </cell>
          <cell r="G308">
            <v>20183030619</v>
          </cell>
          <cell r="H308" t="str">
            <v>G</v>
          </cell>
        </row>
        <row r="309">
          <cell r="E309" t="str">
            <v>HW70AL202P09002 CN</v>
          </cell>
          <cell r="F309" t="str">
            <v>ASAHI Hyperion 7Fr SAL2.0 SH 90cm</v>
          </cell>
          <cell r="G309">
            <v>20183030619</v>
          </cell>
          <cell r="H309" t="str">
            <v>G</v>
          </cell>
        </row>
        <row r="310">
          <cell r="E310" t="str">
            <v>HW70AR100P10000 CN</v>
          </cell>
          <cell r="F310" t="str">
            <v>ASAHI Hyperion 7Fr AR1.0 100cm</v>
          </cell>
          <cell r="G310">
            <v>20183030619</v>
          </cell>
          <cell r="H310" t="str">
            <v>G</v>
          </cell>
        </row>
        <row r="311">
          <cell r="E311" t="str">
            <v>HW70AR102P10000 CN</v>
          </cell>
          <cell r="F311" t="str">
            <v>ASAHI Hyperion 7Fr AR1.0 SH 100cm</v>
          </cell>
          <cell r="G311">
            <v>20183030619</v>
          </cell>
          <cell r="H311" t="str">
            <v>G</v>
          </cell>
        </row>
        <row r="312">
          <cell r="E312" t="str">
            <v>HW70AR200P10000 CN</v>
          </cell>
          <cell r="F312" t="str">
            <v>ASAHI Hyperion 7Fr AR2.0 100cm</v>
          </cell>
          <cell r="G312">
            <v>20183030619</v>
          </cell>
          <cell r="H312" t="str">
            <v>G</v>
          </cell>
        </row>
        <row r="313">
          <cell r="E313" t="str">
            <v>HW70AR202P10000 CN</v>
          </cell>
          <cell r="F313" t="str">
            <v>ASAHI Hyperion 7Fr AR2.0 SH 100cm</v>
          </cell>
          <cell r="G313">
            <v>20183030619</v>
          </cell>
          <cell r="H313" t="str">
            <v>G</v>
          </cell>
        </row>
        <row r="314">
          <cell r="E314" t="str">
            <v>HW70PB300P10000 CN</v>
          </cell>
          <cell r="F314" t="str">
            <v>ASAHI Hyperion 7Fr PB3.0 100cm</v>
          </cell>
          <cell r="G314">
            <v>20183030619</v>
          </cell>
          <cell r="H314" t="str">
            <v>G</v>
          </cell>
        </row>
        <row r="315">
          <cell r="E315" t="str">
            <v>HW70PB302P10000 CN</v>
          </cell>
          <cell r="F315" t="str">
            <v>ASAHI Hyperion 7Fr PB3.0 SH 100cm</v>
          </cell>
          <cell r="G315">
            <v>20183030619</v>
          </cell>
          <cell r="H315" t="str">
            <v>G</v>
          </cell>
        </row>
        <row r="316">
          <cell r="E316" t="str">
            <v>HW70PB350P10000 CN</v>
          </cell>
          <cell r="F316" t="str">
            <v>ASAHI Hyperion 7Fr PB3.5 100cm</v>
          </cell>
          <cell r="G316">
            <v>20183030619</v>
          </cell>
          <cell r="H316" t="str">
            <v>G</v>
          </cell>
        </row>
        <row r="317">
          <cell r="E317" t="str">
            <v>HW70PB352P10000 CN</v>
          </cell>
          <cell r="F317" t="str">
            <v>ASAHI Hyperion 7Fr PB3.5 SH 100cm</v>
          </cell>
          <cell r="G317">
            <v>20183030619</v>
          </cell>
          <cell r="H317" t="str">
            <v>G</v>
          </cell>
        </row>
        <row r="318">
          <cell r="E318" t="str">
            <v>HW70PB400P10000 CN</v>
          </cell>
          <cell r="F318" t="str">
            <v>ASAHI Hyperion 7Fr PB4.0 100cm</v>
          </cell>
          <cell r="G318">
            <v>20183030619</v>
          </cell>
          <cell r="H318" t="str">
            <v>G</v>
          </cell>
        </row>
        <row r="319">
          <cell r="E319" t="str">
            <v>HW70PB402P10000 CN</v>
          </cell>
          <cell r="F319" t="str">
            <v>ASAHI Hyperion 7Fr PB4.0 SH 100cm</v>
          </cell>
          <cell r="G319">
            <v>20183030619</v>
          </cell>
          <cell r="H319" t="str">
            <v>G</v>
          </cell>
        </row>
        <row r="320">
          <cell r="E320" t="str">
            <v>HW70PB300P09000 CN</v>
          </cell>
          <cell r="F320" t="str">
            <v>ASAHI Hyperion 7Fr PB3.0 90cm</v>
          </cell>
          <cell r="G320">
            <v>20183030619</v>
          </cell>
          <cell r="H320" t="str">
            <v>G</v>
          </cell>
        </row>
        <row r="321">
          <cell r="E321" t="str">
            <v>HW70PB302P09000 CN</v>
          </cell>
          <cell r="F321" t="str">
            <v>ASAHI Hyperion 7Fr PB3.0 SH 90cm</v>
          </cell>
          <cell r="G321">
            <v>20183030619</v>
          </cell>
          <cell r="H321" t="str">
            <v>G</v>
          </cell>
        </row>
        <row r="322">
          <cell r="E322" t="str">
            <v>HW70PB350P09000 CN</v>
          </cell>
          <cell r="F322" t="str">
            <v>ASAHI Hyperion 7Fr PB3.5 90cm</v>
          </cell>
          <cell r="G322">
            <v>20183030619</v>
          </cell>
          <cell r="H322" t="str">
            <v>G</v>
          </cell>
        </row>
        <row r="323">
          <cell r="E323" t="str">
            <v>HW70PB352P09000 CN</v>
          </cell>
          <cell r="F323" t="str">
            <v>ASAHI Hyperion 7Fr PB3.5 SH 90cm</v>
          </cell>
          <cell r="G323">
            <v>20183030619</v>
          </cell>
          <cell r="H323" t="str">
            <v>G</v>
          </cell>
        </row>
        <row r="324">
          <cell r="E324" t="str">
            <v>HW70PB400P09000 CN</v>
          </cell>
          <cell r="F324" t="str">
            <v>ASAHI Hyperion 7Fr PB4.0 90cm</v>
          </cell>
          <cell r="G324">
            <v>20183030619</v>
          </cell>
          <cell r="H324" t="str">
            <v>G</v>
          </cell>
        </row>
        <row r="325">
          <cell r="E325" t="str">
            <v>HW70PB402P09000 CN</v>
          </cell>
          <cell r="F325" t="str">
            <v>ASAHI Hyperion 7Fr PB4.0 SH 90cm</v>
          </cell>
          <cell r="G325">
            <v>20183030619</v>
          </cell>
          <cell r="H325" t="str">
            <v>G</v>
          </cell>
        </row>
        <row r="326">
          <cell r="E326" t="str">
            <v>HW70SP300P10000 CN</v>
          </cell>
          <cell r="F326" t="str">
            <v>ASAHI Hyperion 7Fr SPB3.0 100cm</v>
          </cell>
          <cell r="G326">
            <v>20183030619</v>
          </cell>
          <cell r="H326" t="str">
            <v>G</v>
          </cell>
        </row>
        <row r="327">
          <cell r="E327" t="str">
            <v>HW70SP302P10000 CN</v>
          </cell>
          <cell r="F327" t="str">
            <v>ASAHI Hyperion 7Fr SPB3.0 SH 100cm</v>
          </cell>
          <cell r="G327">
            <v>20183030619</v>
          </cell>
          <cell r="H327" t="str">
            <v>G</v>
          </cell>
        </row>
        <row r="328">
          <cell r="E328" t="str">
            <v>HW70SP350P10000 CN</v>
          </cell>
          <cell r="F328" t="str">
            <v>ASAHI Hyperion 7Fr SPB3.5 100cm</v>
          </cell>
          <cell r="G328">
            <v>20183030619</v>
          </cell>
          <cell r="H328" t="str">
            <v>G</v>
          </cell>
        </row>
        <row r="329">
          <cell r="E329" t="str">
            <v>HW70SP352P10000 CN</v>
          </cell>
          <cell r="F329" t="str">
            <v>ASAHI Hyperion 7Fr SPB3.5 SH 100cm</v>
          </cell>
          <cell r="G329">
            <v>20183030619</v>
          </cell>
          <cell r="H329" t="str">
            <v>G</v>
          </cell>
        </row>
        <row r="330">
          <cell r="E330" t="str">
            <v>HW70SP370P10000 CN</v>
          </cell>
          <cell r="F330" t="str">
            <v>ASAHI Hyperion 7Fr SPB3.75 100cm</v>
          </cell>
          <cell r="G330">
            <v>20183030619</v>
          </cell>
          <cell r="H330" t="str">
            <v>G</v>
          </cell>
        </row>
        <row r="331">
          <cell r="E331" t="str">
            <v>HW70SP372P10000 CN</v>
          </cell>
          <cell r="F331" t="str">
            <v>ASAHI Hyperion 7Fr SPB3.75 SH 100cm</v>
          </cell>
          <cell r="G331">
            <v>20183030619</v>
          </cell>
          <cell r="H331" t="str">
            <v>G</v>
          </cell>
        </row>
        <row r="332">
          <cell r="E332" t="str">
            <v>HW70SP400P10000 CN</v>
          </cell>
          <cell r="F332" t="str">
            <v>ASAHI Hyperion 7Fr SPB4.0 100cm</v>
          </cell>
          <cell r="G332">
            <v>20183030619</v>
          </cell>
          <cell r="H332" t="str">
            <v>G</v>
          </cell>
        </row>
        <row r="333">
          <cell r="E333" t="str">
            <v>HW70SP402P10000 CN</v>
          </cell>
          <cell r="F333" t="str">
            <v>ASAHI Hyperion 7Fr SPB4.0 SH 100cm</v>
          </cell>
          <cell r="G333">
            <v>20183030619</v>
          </cell>
          <cell r="H333" t="str">
            <v>G</v>
          </cell>
        </row>
        <row r="334">
          <cell r="E334" t="str">
            <v>HW70SP300P09000 CN</v>
          </cell>
          <cell r="F334" t="str">
            <v>ASAHI Hyperion 7Fr SPB3.0 90cm</v>
          </cell>
          <cell r="G334">
            <v>20183030619</v>
          </cell>
          <cell r="H334" t="str">
            <v>G</v>
          </cell>
        </row>
        <row r="335">
          <cell r="E335" t="str">
            <v>HW70SP302P09000 CN</v>
          </cell>
          <cell r="F335" t="str">
            <v>ASAHI Hyperion 7Fr SPB3.0 SH 90cm</v>
          </cell>
          <cell r="G335">
            <v>20183030619</v>
          </cell>
          <cell r="H335" t="str">
            <v>G</v>
          </cell>
        </row>
        <row r="336">
          <cell r="E336" t="str">
            <v>HW70SP350P09000 CN</v>
          </cell>
          <cell r="F336" t="str">
            <v>ASAHI Hyperion 7Fr SPB3.5 90cm</v>
          </cell>
          <cell r="G336">
            <v>20183030619</v>
          </cell>
          <cell r="H336" t="str">
            <v>G</v>
          </cell>
        </row>
        <row r="337">
          <cell r="E337" t="str">
            <v>HW70SP352P09000 CN</v>
          </cell>
          <cell r="F337" t="str">
            <v>ASAHI Hyperion 7Fr SPB3.5 SH 90cm</v>
          </cell>
          <cell r="G337">
            <v>20183030619</v>
          </cell>
          <cell r="H337" t="str">
            <v>G</v>
          </cell>
        </row>
        <row r="338">
          <cell r="E338" t="str">
            <v>HW70SP400P09000 CN</v>
          </cell>
          <cell r="F338" t="str">
            <v>ASAHI Hyperion 7Fr SPB4.0 90cm</v>
          </cell>
          <cell r="G338">
            <v>20183030619</v>
          </cell>
          <cell r="H338" t="str">
            <v>G</v>
          </cell>
        </row>
        <row r="339">
          <cell r="E339" t="str">
            <v>HW70SP402P09000 CN</v>
          </cell>
          <cell r="F339" t="str">
            <v>ASAHI Hyperion 7Fr SPB4.0 SH 90cm</v>
          </cell>
          <cell r="G339">
            <v>20183030619</v>
          </cell>
          <cell r="H339" t="str">
            <v>G</v>
          </cell>
        </row>
        <row r="340">
          <cell r="E340" t="str">
            <v>HW70RB070P10000 CN</v>
          </cell>
          <cell r="F340" t="str">
            <v>ASAHI Hyperion 7Fr RB0.75 100cm</v>
          </cell>
          <cell r="G340">
            <v>20183030619</v>
          </cell>
          <cell r="H340" t="str">
            <v>G</v>
          </cell>
        </row>
        <row r="341">
          <cell r="E341" t="str">
            <v>HW70RB072P10000 CN</v>
          </cell>
          <cell r="F341" t="str">
            <v>ASAHI Hyperion 7Fr RB0.75 SH 100cm</v>
          </cell>
          <cell r="G341">
            <v>20183030619</v>
          </cell>
          <cell r="H341" t="str">
            <v>G</v>
          </cell>
        </row>
        <row r="342">
          <cell r="E342" t="str">
            <v>HW70RB100P10000 CN</v>
          </cell>
          <cell r="F342" t="str">
            <v>ASAHI Hyperion 7Fr RB1.0 100cm</v>
          </cell>
          <cell r="G342">
            <v>20183030619</v>
          </cell>
          <cell r="H342" t="str">
            <v>G</v>
          </cell>
        </row>
        <row r="343">
          <cell r="E343" t="str">
            <v>HW70RB102P10000 CN</v>
          </cell>
          <cell r="F343" t="str">
            <v>ASAHI Hyperion 7Fr RB1.0 SH 100cm</v>
          </cell>
          <cell r="G343">
            <v>20183030619</v>
          </cell>
          <cell r="H343" t="str">
            <v>G</v>
          </cell>
        </row>
        <row r="344">
          <cell r="E344" t="str">
            <v>HW70SC350P10000 CN</v>
          </cell>
          <cell r="F344" t="str">
            <v>ASAHI Hyperion 7Fr SC3.5 100cm</v>
          </cell>
          <cell r="G344">
            <v>20183030619</v>
          </cell>
          <cell r="H344" t="str">
            <v>G</v>
          </cell>
        </row>
        <row r="345">
          <cell r="E345" t="str">
            <v>HW70SC352P10000 CN</v>
          </cell>
          <cell r="F345" t="str">
            <v>ASAHI Hyperion 7Fr SC3.5 SH 100cm</v>
          </cell>
          <cell r="G345">
            <v>20183030619</v>
          </cell>
          <cell r="H345" t="str">
            <v>G</v>
          </cell>
        </row>
        <row r="346">
          <cell r="E346" t="str">
            <v>HW70SC400P10000 CN</v>
          </cell>
          <cell r="F346" t="str">
            <v>ASAHI Hyperion 7Fr SC4.0 100cm</v>
          </cell>
          <cell r="G346">
            <v>20183030619</v>
          </cell>
          <cell r="H346" t="str">
            <v>G</v>
          </cell>
        </row>
        <row r="347">
          <cell r="E347" t="str">
            <v>HW70SC402P10000 CN</v>
          </cell>
          <cell r="F347" t="str">
            <v>ASAHI Hyperion 7Fr SC4.0 SH 100cm</v>
          </cell>
          <cell r="G347">
            <v>20183030619</v>
          </cell>
          <cell r="H347" t="str">
            <v>G</v>
          </cell>
        </row>
        <row r="348">
          <cell r="E348" t="str">
            <v>HW70CP100P10000 CN</v>
          </cell>
          <cell r="F348" t="str">
            <v>ASAHI Hyperion 7Fr CP1.0 100cm</v>
          </cell>
          <cell r="G348">
            <v>20183030619</v>
          </cell>
          <cell r="H348" t="str">
            <v>G</v>
          </cell>
        </row>
        <row r="349">
          <cell r="E349" t="str">
            <v>HW70CP150P10000 CN</v>
          </cell>
          <cell r="F349" t="str">
            <v>ASAHI Hyperion 7Fr CP1.5 100cm</v>
          </cell>
          <cell r="G349">
            <v>20183030619</v>
          </cell>
          <cell r="H349" t="str">
            <v>G</v>
          </cell>
        </row>
        <row r="350">
          <cell r="E350" t="str">
            <v>HW70CP200P10000 CN</v>
          </cell>
          <cell r="F350" t="str">
            <v>ASAHI Hyperion 7Fr CP2.0 100cm</v>
          </cell>
          <cell r="G350">
            <v>20183030619</v>
          </cell>
          <cell r="H350" t="str">
            <v>G</v>
          </cell>
        </row>
        <row r="351">
          <cell r="E351" t="str">
            <v>HW70CP250P10000 CN</v>
          </cell>
          <cell r="F351" t="str">
            <v>ASAHI Hyperion 7Fr CP2.5 100cm</v>
          </cell>
          <cell r="G351">
            <v>20183030619</v>
          </cell>
          <cell r="H351" t="str">
            <v>G</v>
          </cell>
        </row>
        <row r="352">
          <cell r="E352" t="str">
            <v>HW70CP270P10000 CN</v>
          </cell>
          <cell r="F352" t="str">
            <v>ASAHI Hyperion 7Fr CP2.75 100cm</v>
          </cell>
          <cell r="G352">
            <v>20183030619</v>
          </cell>
          <cell r="H352" t="str">
            <v>G</v>
          </cell>
        </row>
        <row r="353">
          <cell r="E353" t="str">
            <v>HW70CP300P10000 CN</v>
          </cell>
          <cell r="F353" t="str">
            <v>ASAHI Hyperion 7Fr CP3.0 100cm</v>
          </cell>
          <cell r="G353">
            <v>20183030619</v>
          </cell>
          <cell r="H353" t="str">
            <v>G</v>
          </cell>
        </row>
        <row r="354">
          <cell r="E354" t="str">
            <v>HW70CP320P10000 CN</v>
          </cell>
          <cell r="F354" t="str">
            <v>ASAHI Hyperion 7Fr CP3.25 100cm</v>
          </cell>
          <cell r="G354">
            <v>20183030619</v>
          </cell>
          <cell r="H354" t="str">
            <v>G</v>
          </cell>
        </row>
        <row r="355">
          <cell r="E355" t="str">
            <v>HW70CP350P10000 CN</v>
          </cell>
          <cell r="F355" t="str">
            <v>ASAHI Hyperion 7Fr CP3.5 100cm</v>
          </cell>
          <cell r="G355">
            <v>20183030619</v>
          </cell>
          <cell r="H355" t="str">
            <v>G</v>
          </cell>
        </row>
        <row r="356">
          <cell r="E356" t="str">
            <v>HW70SA350P10000 CN</v>
          </cell>
          <cell r="F356" t="str">
            <v>ASAHI Hyperion 7Fr SA3.5 100cm</v>
          </cell>
          <cell r="G356">
            <v>20183030619</v>
          </cell>
          <cell r="H356" t="str">
            <v>G</v>
          </cell>
        </row>
        <row r="357">
          <cell r="E357" t="str">
            <v>HW70SA352P10000 CN</v>
          </cell>
          <cell r="F357" t="str">
            <v>ASAHI Hyperion 7Fr SA3.5 SH 100cm</v>
          </cell>
          <cell r="G357">
            <v>20183030619</v>
          </cell>
          <cell r="H357" t="str">
            <v>G</v>
          </cell>
        </row>
        <row r="358">
          <cell r="E358" t="str">
            <v>HW70SA400P10000 CN</v>
          </cell>
          <cell r="F358" t="str">
            <v>ASAHI Hyperion 7Fr SA4.0 100cm</v>
          </cell>
          <cell r="G358">
            <v>20183030619</v>
          </cell>
          <cell r="H358" t="str">
            <v>G</v>
          </cell>
        </row>
        <row r="359">
          <cell r="E359" t="str">
            <v>HW70SA402P10000 CN</v>
          </cell>
          <cell r="F359" t="str">
            <v>ASAHI Hyperion 7Fr SA4.0 SH 100cm</v>
          </cell>
          <cell r="G359">
            <v>20183030619</v>
          </cell>
          <cell r="H359" t="str">
            <v>G</v>
          </cell>
        </row>
        <row r="360">
          <cell r="E360" t="str">
            <v>HW70HS010P10000 CN</v>
          </cell>
          <cell r="F360" t="str">
            <v>ASAHI Hyperion 7Fr HS01 100cm</v>
          </cell>
          <cell r="G360">
            <v>20183030619</v>
          </cell>
          <cell r="H360" t="str">
            <v>G</v>
          </cell>
        </row>
        <row r="361">
          <cell r="E361" t="str">
            <v>HW70HS012P10000 CN</v>
          </cell>
          <cell r="F361" t="str">
            <v>ASAHI Hyperion 7Fr HS01 SH 100cm</v>
          </cell>
          <cell r="G361">
            <v>20183030619</v>
          </cell>
          <cell r="H361" t="str">
            <v>G</v>
          </cell>
        </row>
        <row r="362">
          <cell r="E362" t="str">
            <v>HW70HS020P10000 CN</v>
          </cell>
          <cell r="F362" t="str">
            <v>ASAHI Hyperion 7Fr HS02 100cm</v>
          </cell>
          <cell r="G362">
            <v>20183030619</v>
          </cell>
          <cell r="H362" t="str">
            <v>G</v>
          </cell>
        </row>
        <row r="363">
          <cell r="E363" t="str">
            <v>HW70HS022P10000 CN</v>
          </cell>
          <cell r="F363" t="str">
            <v>ASAHI Hyperion 7Fr HS02 SH 100cm</v>
          </cell>
          <cell r="G363">
            <v>20183030619</v>
          </cell>
          <cell r="H363" t="str">
            <v>G</v>
          </cell>
        </row>
        <row r="364">
          <cell r="E364" t="str">
            <v>HW70IM000P10000 CN</v>
          </cell>
          <cell r="F364" t="str">
            <v>ASAHI Hyperion 7Fr IM 100cm</v>
          </cell>
          <cell r="G364">
            <v>20183030619</v>
          </cell>
          <cell r="H364" t="str">
            <v>G</v>
          </cell>
        </row>
        <row r="365">
          <cell r="E365" t="str">
            <v>HW70IM002P10000 CN</v>
          </cell>
          <cell r="F365" t="str">
            <v>ASAHI Hyperion 7Fr IM SH 100cm</v>
          </cell>
          <cell r="G365">
            <v>20183030619</v>
          </cell>
          <cell r="H365" t="str">
            <v>G</v>
          </cell>
        </row>
        <row r="366">
          <cell r="E366" t="str">
            <v>HW70MP010P10000 CN</v>
          </cell>
          <cell r="F366" t="str">
            <v>ASAHI Hyperion 7Fr MP01 100cm</v>
          </cell>
          <cell r="G366">
            <v>20183030619</v>
          </cell>
          <cell r="H366" t="str">
            <v>G</v>
          </cell>
        </row>
        <row r="367">
          <cell r="E367" t="str">
            <v>HW70MP012P10000 CN</v>
          </cell>
          <cell r="F367" t="str">
            <v>ASAHI Hyperion 7Fr MP01 SH 100cm</v>
          </cell>
          <cell r="G367">
            <v>20183030619</v>
          </cell>
          <cell r="H367" t="str">
            <v>G</v>
          </cell>
        </row>
        <row r="368">
          <cell r="E368" t="str">
            <v>HW70MP020P10000 CN</v>
          </cell>
          <cell r="F368" t="str">
            <v>ASAHI Hyperion 7Fr MP02 100cm</v>
          </cell>
          <cell r="G368">
            <v>20183030619</v>
          </cell>
          <cell r="H368" t="str">
            <v>G</v>
          </cell>
        </row>
        <row r="369">
          <cell r="E369" t="str">
            <v>HW70MP022P10000 CN</v>
          </cell>
          <cell r="F369" t="str">
            <v>ASAHI Hyperion 7Fr MP02 SH 100cm</v>
          </cell>
          <cell r="G369">
            <v>20183030619</v>
          </cell>
          <cell r="H369" t="str">
            <v>G</v>
          </cell>
        </row>
        <row r="370">
          <cell r="E370" t="str">
            <v>HW80JL300P10000 CN</v>
          </cell>
          <cell r="F370" t="str">
            <v>ASAHI Hyperion 8Fr JL3.0 100cm</v>
          </cell>
          <cell r="G370">
            <v>20183030619</v>
          </cell>
          <cell r="H370" t="str">
            <v>G</v>
          </cell>
        </row>
        <row r="371">
          <cell r="E371" t="str">
            <v>HW80JL300P10001 CN</v>
          </cell>
          <cell r="F371" t="str">
            <v>ASAHI Hyperion 8Fr JL3.0ST 100cm</v>
          </cell>
          <cell r="G371">
            <v>20183030619</v>
          </cell>
          <cell r="H371" t="str">
            <v>G</v>
          </cell>
        </row>
        <row r="372">
          <cell r="E372" t="str">
            <v>HW80JL302P10000 CN</v>
          </cell>
          <cell r="F372" t="str">
            <v>ASAHI Hyperion 8Fr JL3.0SH 100cm</v>
          </cell>
          <cell r="G372">
            <v>20183030619</v>
          </cell>
          <cell r="H372" t="str">
            <v>G</v>
          </cell>
        </row>
        <row r="373">
          <cell r="E373" t="str">
            <v>HW80JL302P10001 CN</v>
          </cell>
          <cell r="F373" t="str">
            <v>ASAHI Hyperion 8Fr JL3.0STSH 100cm</v>
          </cell>
          <cell r="G373">
            <v>20183030619</v>
          </cell>
          <cell r="H373" t="str">
            <v>G</v>
          </cell>
        </row>
        <row r="374">
          <cell r="E374" t="str">
            <v>HW80JL350P10000 CN</v>
          </cell>
          <cell r="F374" t="str">
            <v>ASAHI Hyperion 8Fr JL3.5 100cm</v>
          </cell>
          <cell r="G374">
            <v>20183030619</v>
          </cell>
          <cell r="H374" t="str">
            <v>G</v>
          </cell>
        </row>
        <row r="375">
          <cell r="E375" t="str">
            <v>HW80JL350P10001 CN</v>
          </cell>
          <cell r="F375" t="str">
            <v>ASAHI Hyperion 8Fr JL3.5ST 100cm</v>
          </cell>
          <cell r="G375">
            <v>20183030619</v>
          </cell>
          <cell r="H375" t="str">
            <v>G</v>
          </cell>
        </row>
        <row r="376">
          <cell r="E376" t="str">
            <v>HW80JL352P10000 CN</v>
          </cell>
          <cell r="F376" t="str">
            <v>ASAHI Hyperion 8Fr JL3.5SH 100cm</v>
          </cell>
          <cell r="G376">
            <v>20183030619</v>
          </cell>
          <cell r="H376" t="str">
            <v>G</v>
          </cell>
        </row>
        <row r="377">
          <cell r="E377" t="str">
            <v>HW80JL352P10001 CN</v>
          </cell>
          <cell r="F377" t="str">
            <v>ASAHI Hyperion 8Fr JL3.5STSH 100cm</v>
          </cell>
          <cell r="G377">
            <v>20183030619</v>
          </cell>
          <cell r="H377" t="str">
            <v>G</v>
          </cell>
        </row>
        <row r="378">
          <cell r="E378" t="str">
            <v>HW80JL400P10000 CN</v>
          </cell>
          <cell r="F378" t="str">
            <v>ASAHI Hyperion 8Fr JL4.0 100cm</v>
          </cell>
          <cell r="G378">
            <v>20183030619</v>
          </cell>
          <cell r="H378" t="str">
            <v>G</v>
          </cell>
        </row>
        <row r="379">
          <cell r="E379" t="str">
            <v>HW80JL400P10001 CN</v>
          </cell>
          <cell r="F379" t="str">
            <v>ASAHI Hyperion 8Fr JL4.0ST 100cm</v>
          </cell>
          <cell r="G379">
            <v>20183030619</v>
          </cell>
          <cell r="H379" t="str">
            <v>G</v>
          </cell>
        </row>
        <row r="380">
          <cell r="E380" t="str">
            <v>HW80JL402P10000 CN</v>
          </cell>
          <cell r="F380" t="str">
            <v>ASAHI Hyperion 8Fr JL4.0SH 100cm</v>
          </cell>
          <cell r="G380">
            <v>20183030619</v>
          </cell>
          <cell r="H380" t="str">
            <v>G</v>
          </cell>
        </row>
        <row r="381">
          <cell r="E381" t="str">
            <v>HW80JL402P10001 CN</v>
          </cell>
          <cell r="F381" t="str">
            <v>ASAHI Hyperion 8Fr JL4.0STSH 100cm</v>
          </cell>
          <cell r="G381">
            <v>20183030619</v>
          </cell>
          <cell r="H381" t="str">
            <v>G</v>
          </cell>
        </row>
        <row r="382">
          <cell r="E382" t="str">
            <v>HW80JL450P10000 CN</v>
          </cell>
          <cell r="F382" t="str">
            <v>ASAHI Hyperion 8Fr JL4.5 100cm</v>
          </cell>
          <cell r="G382">
            <v>20183030619</v>
          </cell>
          <cell r="H382" t="str">
            <v>G</v>
          </cell>
        </row>
        <row r="383">
          <cell r="E383" t="str">
            <v>HW80JL450P10001 CN</v>
          </cell>
          <cell r="F383" t="str">
            <v>ASAHI Hyperion 8Fr JL4.5ST 100cm</v>
          </cell>
          <cell r="G383">
            <v>20183030619</v>
          </cell>
          <cell r="H383" t="str">
            <v>G</v>
          </cell>
        </row>
        <row r="384">
          <cell r="E384" t="str">
            <v>HW80JL452P10000 CN</v>
          </cell>
          <cell r="F384" t="str">
            <v>ASAHI Hyperion 8Fr JL4.5SH 100cm</v>
          </cell>
          <cell r="G384">
            <v>20183030619</v>
          </cell>
          <cell r="H384" t="str">
            <v>G</v>
          </cell>
        </row>
        <row r="385">
          <cell r="E385" t="str">
            <v>HW80JL452P10001 CN</v>
          </cell>
          <cell r="F385" t="str">
            <v>ASAHI Hyperion 8Fr JL4.5STSH 100cm</v>
          </cell>
          <cell r="G385">
            <v>20183030619</v>
          </cell>
          <cell r="H385" t="str">
            <v>G</v>
          </cell>
        </row>
        <row r="386">
          <cell r="E386" t="str">
            <v>HW80JL500P10000 CN</v>
          </cell>
          <cell r="F386" t="str">
            <v>ASAHI Hyperion 8Fr JL5.0 100cm</v>
          </cell>
          <cell r="G386">
            <v>20183030619</v>
          </cell>
          <cell r="H386" t="str">
            <v>G</v>
          </cell>
        </row>
        <row r="387">
          <cell r="E387" t="str">
            <v>HW80JL500P10001 CN</v>
          </cell>
          <cell r="F387" t="str">
            <v>ASAHI Hyperion 8Fr JL5.0ST 100cm</v>
          </cell>
          <cell r="G387">
            <v>20183030619</v>
          </cell>
          <cell r="H387" t="str">
            <v>G</v>
          </cell>
        </row>
        <row r="388">
          <cell r="E388" t="str">
            <v>HW80JL502P10000 CN</v>
          </cell>
          <cell r="F388" t="str">
            <v>ASAHI Hyperion 8Fr JL5.0SH 100cm</v>
          </cell>
          <cell r="G388">
            <v>20183030619</v>
          </cell>
          <cell r="H388" t="str">
            <v>G</v>
          </cell>
        </row>
        <row r="389">
          <cell r="E389" t="str">
            <v>HW80JL502P10001 CN</v>
          </cell>
          <cell r="F389" t="str">
            <v>ASAHI Hyperion 8Fr JL5.0STSH 100cm</v>
          </cell>
          <cell r="G389">
            <v>20183030619</v>
          </cell>
          <cell r="H389" t="str">
            <v>G</v>
          </cell>
        </row>
        <row r="390">
          <cell r="E390" t="str">
            <v>HW80JL350P09000 CN</v>
          </cell>
          <cell r="F390" t="str">
            <v>ASAHI Hyperion 8Fr JL3.5 90cm</v>
          </cell>
          <cell r="G390">
            <v>20183030619</v>
          </cell>
          <cell r="H390" t="str">
            <v>G</v>
          </cell>
        </row>
        <row r="391">
          <cell r="E391" t="str">
            <v>HW80JL352P09000 CN</v>
          </cell>
          <cell r="F391" t="str">
            <v>ASAHI Hyperion 8Fr JL3.5SH 90cm</v>
          </cell>
          <cell r="G391">
            <v>20183030619</v>
          </cell>
          <cell r="H391" t="str">
            <v>G</v>
          </cell>
        </row>
        <row r="392">
          <cell r="E392" t="str">
            <v>HW80JL352P09001 CN</v>
          </cell>
          <cell r="F392" t="str">
            <v>ASAHI Hyperion 8Fr JL3.5STSH 90cm</v>
          </cell>
          <cell r="G392">
            <v>20183030619</v>
          </cell>
          <cell r="H392" t="str">
            <v>G</v>
          </cell>
        </row>
        <row r="393">
          <cell r="E393" t="str">
            <v>HW80JL400P09000 CN</v>
          </cell>
          <cell r="F393" t="str">
            <v>ASAHI Hyperion 8Fr JL4.0 90cm</v>
          </cell>
          <cell r="G393">
            <v>20183030619</v>
          </cell>
          <cell r="H393" t="str">
            <v>G</v>
          </cell>
        </row>
        <row r="394">
          <cell r="E394" t="str">
            <v>HW80JL402P09000 CN</v>
          </cell>
          <cell r="F394" t="str">
            <v>ASAHI Hyperion 8Fr JL4.0SH 90cm</v>
          </cell>
          <cell r="G394">
            <v>20183030619</v>
          </cell>
          <cell r="H394" t="str">
            <v>G</v>
          </cell>
        </row>
        <row r="395">
          <cell r="E395" t="str">
            <v>HW80JL402P09001 CN</v>
          </cell>
          <cell r="F395" t="str">
            <v>ASAHI Hyperion 8Fr JL4.0STSH 90cm</v>
          </cell>
          <cell r="G395">
            <v>20183030619</v>
          </cell>
          <cell r="H395" t="str">
            <v>G</v>
          </cell>
        </row>
        <row r="396">
          <cell r="E396" t="str">
            <v>HW80JR350P10000 CN</v>
          </cell>
          <cell r="F396" t="str">
            <v>ASAHI Hyperion 8Fr JR3.5 100cm</v>
          </cell>
          <cell r="G396">
            <v>20183030619</v>
          </cell>
          <cell r="H396" t="str">
            <v>G</v>
          </cell>
        </row>
        <row r="397">
          <cell r="E397" t="str">
            <v>HW80AL100P10000 CN</v>
          </cell>
          <cell r="F397" t="str">
            <v>ASAHI Hyperion 8Fr AL1.0 100cm</v>
          </cell>
          <cell r="G397">
            <v>20183030619</v>
          </cell>
          <cell r="H397" t="str">
            <v>G</v>
          </cell>
        </row>
        <row r="398">
          <cell r="E398" t="str">
            <v>HW80AL102P10000 CN</v>
          </cell>
          <cell r="F398" t="str">
            <v>ASAHI Hyperion 8Fr AL1.0SH 100cm</v>
          </cell>
          <cell r="G398">
            <v>20183030619</v>
          </cell>
          <cell r="H398" t="str">
            <v>G</v>
          </cell>
        </row>
        <row r="399">
          <cell r="E399" t="str">
            <v>HW80AL150P10000 CN</v>
          </cell>
          <cell r="F399" t="str">
            <v>ASAHI Hyperion 8Fr AL1.5 100cm</v>
          </cell>
          <cell r="G399">
            <v>20183030619</v>
          </cell>
          <cell r="H399" t="str">
            <v>G</v>
          </cell>
        </row>
        <row r="400">
          <cell r="E400" t="str">
            <v>HW80AL152P10000 CN</v>
          </cell>
          <cell r="F400" t="str">
            <v>ASAHI Hyperion 8Fr AL1.5SH 100cm</v>
          </cell>
          <cell r="G400">
            <v>20183030619</v>
          </cell>
          <cell r="H400" t="str">
            <v>G</v>
          </cell>
        </row>
        <row r="401">
          <cell r="E401" t="str">
            <v>HW80AL200P10000 CN</v>
          </cell>
          <cell r="F401" t="str">
            <v>ASAHI Hyperion 8Fr AL2.0 100cm</v>
          </cell>
          <cell r="G401">
            <v>20183030619</v>
          </cell>
          <cell r="H401" t="str">
            <v>G</v>
          </cell>
        </row>
        <row r="402">
          <cell r="E402" t="str">
            <v>HW80AL202P10000 CN</v>
          </cell>
          <cell r="F402" t="str">
            <v>ASAHI Hyperion 8Fr AL2.0SH 100cm</v>
          </cell>
          <cell r="G402">
            <v>20183030619</v>
          </cell>
          <cell r="H402" t="str">
            <v>G</v>
          </cell>
        </row>
        <row r="403">
          <cell r="E403" t="str">
            <v>HW80AL070P09000 CN</v>
          </cell>
          <cell r="F403" t="str">
            <v>ASAHI Hyperion 8Fr AL0.75 90cm</v>
          </cell>
          <cell r="G403">
            <v>20183030619</v>
          </cell>
          <cell r="H403" t="str">
            <v>G</v>
          </cell>
        </row>
        <row r="404">
          <cell r="E404" t="str">
            <v>HW80AL072P09000 CN</v>
          </cell>
          <cell r="F404" t="str">
            <v>ASAHI Hyperion 8Fr AL0.75SH 90cm</v>
          </cell>
          <cell r="G404">
            <v>20183030619</v>
          </cell>
          <cell r="H404" t="str">
            <v>G</v>
          </cell>
        </row>
        <row r="405">
          <cell r="E405" t="str">
            <v>HW80AL100P09000 CN</v>
          </cell>
          <cell r="F405" t="str">
            <v>ASAHI Hyperion 8Fr AL1.0 90cm</v>
          </cell>
          <cell r="G405">
            <v>20183030619</v>
          </cell>
          <cell r="H405" t="str">
            <v>G</v>
          </cell>
        </row>
        <row r="406">
          <cell r="E406" t="str">
            <v>HW80AL102P09000 CN</v>
          </cell>
          <cell r="F406" t="str">
            <v>ASAHI Hyperion 8Fr AL1.0SH 90cm</v>
          </cell>
          <cell r="G406">
            <v>20183030619</v>
          </cell>
          <cell r="H406" t="str">
            <v>G</v>
          </cell>
        </row>
        <row r="407">
          <cell r="E407" t="str">
            <v>HW80AL150P09000 CN</v>
          </cell>
          <cell r="F407" t="str">
            <v>ASAHI Hyperion 8Fr AL1.5 90cm</v>
          </cell>
          <cell r="G407">
            <v>20183030619</v>
          </cell>
          <cell r="H407" t="str">
            <v>G</v>
          </cell>
        </row>
        <row r="408">
          <cell r="E408" t="str">
            <v>HW80AL152P09000 CN</v>
          </cell>
          <cell r="F408" t="str">
            <v>ASAHI Hyperion 8Fr AL1.5SH 90cm</v>
          </cell>
          <cell r="G408">
            <v>20183030619</v>
          </cell>
          <cell r="H408" t="str">
            <v>G</v>
          </cell>
        </row>
        <row r="409">
          <cell r="E409" t="str">
            <v>HW80AL070P10002 CN</v>
          </cell>
          <cell r="F409" t="str">
            <v>ASAHI Hyperion 8Fr SAL0.75 100cm</v>
          </cell>
          <cell r="G409">
            <v>20183030619</v>
          </cell>
          <cell r="H409" t="str">
            <v>G</v>
          </cell>
        </row>
        <row r="410">
          <cell r="E410" t="str">
            <v>HW80AL072P10002 CN</v>
          </cell>
          <cell r="F410" t="str">
            <v>ASAHI Hyperion 8Fr SAL0.75SH 100cm</v>
          </cell>
          <cell r="G410">
            <v>20183030619</v>
          </cell>
          <cell r="H410" t="str">
            <v>G</v>
          </cell>
        </row>
        <row r="411">
          <cell r="E411" t="str">
            <v>HW80AL100P10002 CN</v>
          </cell>
          <cell r="F411" t="str">
            <v>ASAHI Hyperion 8Fr SAL1.0 100cm</v>
          </cell>
          <cell r="G411">
            <v>20183030619</v>
          </cell>
          <cell r="H411" t="str">
            <v>G</v>
          </cell>
        </row>
        <row r="412">
          <cell r="E412" t="str">
            <v>HW80AL102P10002 CN</v>
          </cell>
          <cell r="F412" t="str">
            <v>ASAHI Hyperion 8Fr SAL1.0SH 100cm</v>
          </cell>
          <cell r="G412">
            <v>20183030619</v>
          </cell>
          <cell r="H412" t="str">
            <v>G</v>
          </cell>
        </row>
        <row r="413">
          <cell r="E413" t="str">
            <v>HW80AL150P10002 CN</v>
          </cell>
          <cell r="F413" t="str">
            <v>ASAHI Hyperion 8Fr SAL1.5 100cm</v>
          </cell>
          <cell r="G413">
            <v>20183030619</v>
          </cell>
          <cell r="H413" t="str">
            <v>G</v>
          </cell>
        </row>
        <row r="414">
          <cell r="E414" t="str">
            <v>HW80AL152P10002 CN</v>
          </cell>
          <cell r="F414" t="str">
            <v>ASAHI Hyperion 8Fr SAL1.5SH 100cm</v>
          </cell>
          <cell r="G414">
            <v>20183030619</v>
          </cell>
          <cell r="H414" t="str">
            <v>G</v>
          </cell>
        </row>
        <row r="415">
          <cell r="E415" t="str">
            <v>HW80AL200P10002 CN</v>
          </cell>
          <cell r="F415" t="str">
            <v>ASAHI Hyperion 8Fr SAL2.0 100cm</v>
          </cell>
          <cell r="G415">
            <v>20183030619</v>
          </cell>
          <cell r="H415" t="str">
            <v>G</v>
          </cell>
        </row>
        <row r="416">
          <cell r="E416" t="str">
            <v>HW80AL202P10002 CN</v>
          </cell>
          <cell r="F416" t="str">
            <v>ASAHI Hyperion 8Fr SAL2.0SH 100cm</v>
          </cell>
          <cell r="G416">
            <v>20183030619</v>
          </cell>
          <cell r="H416" t="str">
            <v>G</v>
          </cell>
        </row>
        <row r="417">
          <cell r="E417" t="str">
            <v>HW80AL070P09002 CN</v>
          </cell>
          <cell r="F417" t="str">
            <v>ASAHI Hyperion 8Fr SAL0.75 90cm</v>
          </cell>
          <cell r="G417">
            <v>20183030619</v>
          </cell>
          <cell r="H417" t="str">
            <v>G</v>
          </cell>
        </row>
        <row r="418">
          <cell r="E418" t="str">
            <v>HW80PB350P10000 CN</v>
          </cell>
          <cell r="F418" t="str">
            <v>ASAHI Hyperion 8Fr PB3.5 100cm</v>
          </cell>
          <cell r="G418">
            <v>20183030619</v>
          </cell>
          <cell r="H418" t="str">
            <v>G</v>
          </cell>
        </row>
        <row r="419">
          <cell r="E419" t="str">
            <v>HW80PB352P10000 CN</v>
          </cell>
          <cell r="F419" t="str">
            <v>ASAHI Hyperion 8Fr PB3.5SH 100cm</v>
          </cell>
          <cell r="G419">
            <v>20183030619</v>
          </cell>
          <cell r="H419" t="str">
            <v>G</v>
          </cell>
        </row>
        <row r="420">
          <cell r="E420" t="str">
            <v>HW80PB400P10000 CN</v>
          </cell>
          <cell r="F420" t="str">
            <v>ASAHI Hyperion 8Fr PB4.0 100cm</v>
          </cell>
          <cell r="G420">
            <v>20183030619</v>
          </cell>
          <cell r="H420" t="str">
            <v>G</v>
          </cell>
        </row>
        <row r="421">
          <cell r="E421" t="str">
            <v>HW80PB402P10000 CN</v>
          </cell>
          <cell r="F421" t="str">
            <v>ASAHI Hyperion 8Fr PB4.0SH 100cm</v>
          </cell>
          <cell r="G421">
            <v>20183030619</v>
          </cell>
          <cell r="H421" t="str">
            <v>G</v>
          </cell>
        </row>
        <row r="422">
          <cell r="E422" t="str">
            <v>HW80PB300P09000 CN</v>
          </cell>
          <cell r="F422" t="str">
            <v>ASAHI Hyperion 8Fr PB3.0 90cm</v>
          </cell>
          <cell r="G422">
            <v>20183030619</v>
          </cell>
          <cell r="H422" t="str">
            <v>G</v>
          </cell>
        </row>
        <row r="423">
          <cell r="E423" t="str">
            <v>HW80PB302P09000 CN</v>
          </cell>
          <cell r="F423" t="str">
            <v>ASAHI Hyperion 8Fr PB3.0SH 90cm</v>
          </cell>
          <cell r="G423">
            <v>20183030619</v>
          </cell>
          <cell r="H423" t="str">
            <v>G</v>
          </cell>
        </row>
        <row r="424">
          <cell r="E424" t="str">
            <v>HW80PB350P09000 CN</v>
          </cell>
          <cell r="F424" t="str">
            <v>ASAHI Hyperion 8Fr PB3.5 90cm</v>
          </cell>
          <cell r="G424">
            <v>20183030619</v>
          </cell>
          <cell r="H424" t="str">
            <v>G</v>
          </cell>
        </row>
        <row r="425">
          <cell r="E425" t="str">
            <v>HW80PB352P09000 CN</v>
          </cell>
          <cell r="F425" t="str">
            <v>ASAHI Hyperion 8Fr PB3.5SH 90cm</v>
          </cell>
          <cell r="G425">
            <v>20183030619</v>
          </cell>
          <cell r="H425" t="str">
            <v>G</v>
          </cell>
        </row>
        <row r="426">
          <cell r="E426" t="str">
            <v>HW80PB400P09000 CN</v>
          </cell>
          <cell r="F426" t="str">
            <v>ASAHI Hyperion 8Fr PB4.0 90cm</v>
          </cell>
          <cell r="G426">
            <v>20183030619</v>
          </cell>
          <cell r="H426" t="str">
            <v>G</v>
          </cell>
        </row>
        <row r="427">
          <cell r="E427" t="str">
            <v>HW80PB402P09000 CN</v>
          </cell>
          <cell r="F427" t="str">
            <v>ASAHI Hyperion 8Fr PB4.0SH 90cm</v>
          </cell>
          <cell r="G427">
            <v>20183030619</v>
          </cell>
          <cell r="H427" t="str">
            <v>G</v>
          </cell>
        </row>
        <row r="428">
          <cell r="E428" t="str">
            <v>HW80SP300P10000 CN</v>
          </cell>
          <cell r="F428" t="str">
            <v>ASAHI Hyperion 8Fr SPB3.0 100cm</v>
          </cell>
          <cell r="G428">
            <v>20183030619</v>
          </cell>
          <cell r="H428" t="str">
            <v>G</v>
          </cell>
        </row>
        <row r="429">
          <cell r="E429" t="str">
            <v>HW80SP302P10000 CN</v>
          </cell>
          <cell r="F429" t="str">
            <v>ASAHI Hyperion 8Fr SPB3.0SH 100cm</v>
          </cell>
          <cell r="G429">
            <v>20183030619</v>
          </cell>
          <cell r="H429" t="str">
            <v>G</v>
          </cell>
        </row>
        <row r="430">
          <cell r="E430" t="str">
            <v>HW80SP350P10000 CN</v>
          </cell>
          <cell r="F430" t="str">
            <v>ASAHI Hyperion 8Fr SPB3.5 100cm</v>
          </cell>
          <cell r="G430">
            <v>20183030619</v>
          </cell>
          <cell r="H430" t="str">
            <v>G</v>
          </cell>
        </row>
        <row r="431">
          <cell r="E431" t="str">
            <v>HW80SP352P10000 CN</v>
          </cell>
          <cell r="F431" t="str">
            <v>ASAHI Hyperion 8Fr SPB3.5SH 100cm</v>
          </cell>
          <cell r="G431">
            <v>20183030619</v>
          </cell>
          <cell r="H431" t="str">
            <v>G</v>
          </cell>
        </row>
        <row r="432">
          <cell r="E432" t="str">
            <v>HW80SP370P10000 CN</v>
          </cell>
          <cell r="F432" t="str">
            <v>ASAHI Hyperion 8Fr SPB3.75 100cm</v>
          </cell>
          <cell r="G432">
            <v>20183030619</v>
          </cell>
          <cell r="H432" t="str">
            <v>G</v>
          </cell>
        </row>
        <row r="433">
          <cell r="E433" t="str">
            <v>HW80SP372P10000 CN</v>
          </cell>
          <cell r="F433" t="str">
            <v>ASAHI Hyperion 8Fr SPB3.75SH 100cm</v>
          </cell>
          <cell r="G433">
            <v>20183030619</v>
          </cell>
          <cell r="H433" t="str">
            <v>G</v>
          </cell>
        </row>
        <row r="434">
          <cell r="E434" t="str">
            <v>HW80SP400P10000 CN</v>
          </cell>
          <cell r="F434" t="str">
            <v>ASAHI Hyperion 8Fr SPB4.0 100cm</v>
          </cell>
          <cell r="G434">
            <v>20183030619</v>
          </cell>
          <cell r="H434" t="str">
            <v>G</v>
          </cell>
        </row>
        <row r="435">
          <cell r="E435" t="str">
            <v>HW80SP402P10000 CN</v>
          </cell>
          <cell r="F435" t="str">
            <v>ASAHI Hyperion 8Fr SPB4.0SH 100cm</v>
          </cell>
          <cell r="G435">
            <v>20183030619</v>
          </cell>
          <cell r="H435" t="str">
            <v>G</v>
          </cell>
        </row>
        <row r="436">
          <cell r="E436" t="str">
            <v>HW80SC350P10000 CN</v>
          </cell>
          <cell r="F436" t="str">
            <v>ASAHI Hyperion 8Fr SC3.5 100cm</v>
          </cell>
          <cell r="G436">
            <v>20183030619</v>
          </cell>
          <cell r="H436" t="str">
            <v>G</v>
          </cell>
        </row>
        <row r="437">
          <cell r="E437" t="str">
            <v>HW80SC352P10000 CN</v>
          </cell>
          <cell r="F437" t="str">
            <v>ASAHI Hyperion 8Fr SC3.5SH 100cm</v>
          </cell>
          <cell r="G437">
            <v>20183030619</v>
          </cell>
          <cell r="H437" t="str">
            <v>G</v>
          </cell>
        </row>
        <row r="438">
          <cell r="E438" t="str">
            <v>HW80SC400P10000 CN</v>
          </cell>
          <cell r="F438" t="str">
            <v>ASAHI Hyperion 8Fr SC4.0 100cm</v>
          </cell>
          <cell r="G438">
            <v>20183030619</v>
          </cell>
          <cell r="H438" t="str">
            <v>G</v>
          </cell>
        </row>
        <row r="439">
          <cell r="E439" t="str">
            <v>HW80SC402P10000 CN</v>
          </cell>
          <cell r="F439" t="str">
            <v>ASAHI Hyperion 8Fr SC4.0SH 100cm</v>
          </cell>
          <cell r="G439">
            <v>20183030619</v>
          </cell>
          <cell r="H439" t="str">
            <v>G</v>
          </cell>
        </row>
        <row r="440">
          <cell r="E440" t="str">
            <v>HW80CP100P10000 CN</v>
          </cell>
          <cell r="F440" t="str">
            <v>ASAHI Hyperion 8Fr CP1.0 100cm</v>
          </cell>
          <cell r="G440">
            <v>20183030619</v>
          </cell>
          <cell r="H440" t="str">
            <v>G</v>
          </cell>
        </row>
        <row r="441">
          <cell r="E441" t="str">
            <v>HW80CP150P10000 CN</v>
          </cell>
          <cell r="F441" t="str">
            <v>ASAHI Hyperion 8Fr CP1.5 100cm</v>
          </cell>
          <cell r="G441">
            <v>20183030619</v>
          </cell>
          <cell r="H441" t="str">
            <v>G</v>
          </cell>
        </row>
        <row r="442">
          <cell r="E442" t="str">
            <v>HW80CP200P10000 CN</v>
          </cell>
          <cell r="F442" t="str">
            <v>ASAHI Hyperion 8Fr CP2.0 100cm</v>
          </cell>
          <cell r="G442">
            <v>20183030619</v>
          </cell>
          <cell r="H442" t="str">
            <v>G</v>
          </cell>
        </row>
        <row r="443">
          <cell r="E443" t="str">
            <v>HW80CP250P10000 CN</v>
          </cell>
          <cell r="F443" t="str">
            <v>ASAHI Hyperion 8Fr CP2.5 100cm</v>
          </cell>
          <cell r="G443">
            <v>20183030619</v>
          </cell>
          <cell r="H443" t="str">
            <v>G</v>
          </cell>
        </row>
        <row r="444">
          <cell r="E444" t="str">
            <v>HW80CP270P10000 CN</v>
          </cell>
          <cell r="F444" t="str">
            <v>ASAHI Hyperion 8Fr CP2.75 100cm</v>
          </cell>
          <cell r="G444">
            <v>20183030619</v>
          </cell>
          <cell r="H444" t="str">
            <v>G</v>
          </cell>
        </row>
        <row r="445">
          <cell r="E445" t="str">
            <v>HW80CP300P10000 CN</v>
          </cell>
          <cell r="F445" t="str">
            <v>ASAHI Hyperion 8Fr CP3.0 100cm</v>
          </cell>
          <cell r="G445">
            <v>20183030619</v>
          </cell>
          <cell r="H445" t="str">
            <v>G</v>
          </cell>
        </row>
        <row r="446">
          <cell r="E446" t="str">
            <v>HW80CP320P10000 CN</v>
          </cell>
          <cell r="F446" t="str">
            <v>ASAHI Hyperion 8Fr CP3.25 100cm</v>
          </cell>
          <cell r="G446">
            <v>20183030619</v>
          </cell>
          <cell r="H446" t="str">
            <v>G</v>
          </cell>
        </row>
        <row r="447">
          <cell r="E447" t="str">
            <v>HW80CP350P10000 CN</v>
          </cell>
          <cell r="F447" t="str">
            <v>ASAHI Hyperion 8Fr CP3.5 100cm</v>
          </cell>
          <cell r="G447">
            <v>20183030619</v>
          </cell>
          <cell r="H447" t="str">
            <v>G</v>
          </cell>
        </row>
        <row r="448">
          <cell r="E448" t="str">
            <v>HW80SA350P10000 CN</v>
          </cell>
          <cell r="F448" t="str">
            <v>ASAHI Hyperion 8Fr SA3.5 100cm</v>
          </cell>
          <cell r="G448">
            <v>20183030619</v>
          </cell>
          <cell r="H448" t="str">
            <v>G</v>
          </cell>
        </row>
        <row r="449">
          <cell r="E449" t="str">
            <v>HW80SA352P10000 CN</v>
          </cell>
          <cell r="F449" t="str">
            <v>ASAHI Hyperion 8Fr SA3.5SH 100cm</v>
          </cell>
          <cell r="G449">
            <v>20183030619</v>
          </cell>
          <cell r="H449" t="str">
            <v>G</v>
          </cell>
        </row>
        <row r="450">
          <cell r="E450" t="str">
            <v>HW80SA400P10000 CN</v>
          </cell>
          <cell r="F450" t="str">
            <v>ASAHI Hyperion 8Fr SA4.0 100cm</v>
          </cell>
          <cell r="G450">
            <v>20183030619</v>
          </cell>
          <cell r="H450" t="str">
            <v>G</v>
          </cell>
        </row>
        <row r="451">
          <cell r="E451" t="str">
            <v>HW80SA402P10000 CN</v>
          </cell>
          <cell r="F451" t="str">
            <v>ASAHI Hyperion 8Fr SA4.0SH 100cm</v>
          </cell>
          <cell r="G451">
            <v>20183030619</v>
          </cell>
          <cell r="H451" t="str">
            <v>G</v>
          </cell>
        </row>
        <row r="452">
          <cell r="E452" t="str">
            <v>HW80HS010P10000 CN</v>
          </cell>
          <cell r="F452" t="str">
            <v>ASAHI Hyperion 8Fr HS01 100cm</v>
          </cell>
          <cell r="G452">
            <v>20183030619</v>
          </cell>
          <cell r="H452" t="str">
            <v>G</v>
          </cell>
        </row>
        <row r="453">
          <cell r="E453" t="str">
            <v>HW80HS012P10000 CN</v>
          </cell>
          <cell r="F453" t="str">
            <v>ASAHI Hyperion 8Fr HS01SH 100cm</v>
          </cell>
          <cell r="G453">
            <v>20183030619</v>
          </cell>
          <cell r="H453" t="str">
            <v>G</v>
          </cell>
        </row>
        <row r="454">
          <cell r="E454" t="str">
            <v>HW80HS020P10000 CN</v>
          </cell>
          <cell r="F454" t="str">
            <v>ASAHI Hyperion 8Fr HS02 100cm</v>
          </cell>
          <cell r="G454">
            <v>20183030619</v>
          </cell>
          <cell r="H454" t="str">
            <v>G</v>
          </cell>
        </row>
        <row r="455">
          <cell r="E455" t="str">
            <v>HW80HS022P10000 CN</v>
          </cell>
          <cell r="F455" t="str">
            <v>ASAHI Hyperion 8Fr HS02SH 100cm</v>
          </cell>
          <cell r="G455">
            <v>20183030619</v>
          </cell>
          <cell r="H455" t="str">
            <v>G</v>
          </cell>
        </row>
        <row r="456">
          <cell r="E456" t="str">
            <v>HW80IM000P10000 CN</v>
          </cell>
          <cell r="F456" t="str">
            <v>ASAHI Hyperion 8Fr IM 100cm</v>
          </cell>
          <cell r="G456">
            <v>20183030619</v>
          </cell>
          <cell r="H456" t="str">
            <v>G</v>
          </cell>
        </row>
        <row r="457">
          <cell r="E457" t="str">
            <v>HW80IM002P10000 CN</v>
          </cell>
          <cell r="F457" t="str">
            <v>ASAHI Hyperion 8Fr IM SH 100cm</v>
          </cell>
          <cell r="G457">
            <v>20183030619</v>
          </cell>
          <cell r="H457" t="str">
            <v>G</v>
          </cell>
        </row>
        <row r="458">
          <cell r="E458" t="str">
            <v>HW80MP010P10000 CN</v>
          </cell>
          <cell r="F458" t="str">
            <v>ASAHI Hyperion 8Fr MP01 100cm</v>
          </cell>
          <cell r="G458">
            <v>20183030619</v>
          </cell>
          <cell r="H458" t="str">
            <v>G</v>
          </cell>
        </row>
        <row r="459">
          <cell r="E459" t="str">
            <v>HW80MP012P10000 CN</v>
          </cell>
          <cell r="F459" t="str">
            <v>ASAHI Hyperion 8Fr MP01SH 100cm</v>
          </cell>
          <cell r="G459">
            <v>20183030619</v>
          </cell>
          <cell r="H459" t="str">
            <v>G</v>
          </cell>
        </row>
        <row r="460">
          <cell r="E460" t="str">
            <v>HW80MP020P10000 CN</v>
          </cell>
          <cell r="F460" t="str">
            <v>ASAHI Hyperion 8Fr MP02 100cm</v>
          </cell>
          <cell r="G460">
            <v>20183030619</v>
          </cell>
          <cell r="H460" t="str">
            <v>G</v>
          </cell>
        </row>
        <row r="461">
          <cell r="E461" t="str">
            <v>HW80MP022P10000 CN</v>
          </cell>
          <cell r="F461" t="str">
            <v>ASAHI Hyperion 8Fr MP02SH 100cm</v>
          </cell>
          <cell r="G461">
            <v>20183030619</v>
          </cell>
          <cell r="H461" t="str">
            <v>G</v>
          </cell>
        </row>
        <row r="462">
          <cell r="E462" t="str">
            <v>HW80JR352P10000 CN</v>
          </cell>
          <cell r="F462" t="str">
            <v>ASAHI Hyperion 8Fr JR3.5SH 100cm</v>
          </cell>
          <cell r="G462">
            <v>20183030619</v>
          </cell>
          <cell r="H462" t="str">
            <v>G</v>
          </cell>
        </row>
        <row r="463">
          <cell r="E463" t="str">
            <v>HW80JR400P10000 CN</v>
          </cell>
          <cell r="F463" t="str">
            <v>ASAHI Hyperion 8Fr JR4.0 100cm</v>
          </cell>
          <cell r="G463">
            <v>20183030619</v>
          </cell>
          <cell r="H463" t="str">
            <v>G</v>
          </cell>
        </row>
        <row r="464">
          <cell r="E464" t="str">
            <v>HW80JR402P10000 CN</v>
          </cell>
          <cell r="F464" t="str">
            <v>ASAHI Hyperion 8Fr JR4.0SH 100cm</v>
          </cell>
          <cell r="G464">
            <v>20183030619</v>
          </cell>
          <cell r="H464" t="str">
            <v>G</v>
          </cell>
        </row>
        <row r="465">
          <cell r="E465" t="str">
            <v>HW80JR450P10000 CN</v>
          </cell>
          <cell r="F465" t="str">
            <v>ASAHI Hyperion 8Fr JR4.5 100cm</v>
          </cell>
          <cell r="G465">
            <v>20183030619</v>
          </cell>
          <cell r="H465" t="str">
            <v>G</v>
          </cell>
        </row>
        <row r="466">
          <cell r="E466" t="str">
            <v>HW80JR452P10000 CN</v>
          </cell>
          <cell r="F466" t="str">
            <v>ASAHI Hyperion 8Fr JR4.5SH 100cm</v>
          </cell>
          <cell r="G466">
            <v>20183030619</v>
          </cell>
          <cell r="H466" t="str">
            <v>G</v>
          </cell>
        </row>
        <row r="467">
          <cell r="E467" t="str">
            <v>HW80JR500P10000 CN</v>
          </cell>
          <cell r="F467" t="str">
            <v>ASAHI Hyperion 8Fr JR5.0 100cm</v>
          </cell>
          <cell r="G467">
            <v>20183030619</v>
          </cell>
          <cell r="H467" t="str">
            <v>G</v>
          </cell>
        </row>
        <row r="468">
          <cell r="E468" t="str">
            <v>HW80JR502P10000 CN</v>
          </cell>
          <cell r="F468" t="str">
            <v>ASAHI Hyperion 8Fr JR5.0SH 100cm</v>
          </cell>
          <cell r="G468">
            <v>20183030619</v>
          </cell>
          <cell r="H468" t="str">
            <v>G</v>
          </cell>
        </row>
        <row r="469">
          <cell r="E469" t="str">
            <v>HW80JR350P09000 CN</v>
          </cell>
          <cell r="F469" t="str">
            <v>ASAHI Hyperion 8Fr JR3.5 90cm</v>
          </cell>
          <cell r="G469">
            <v>20183030619</v>
          </cell>
          <cell r="H469" t="str">
            <v>G</v>
          </cell>
        </row>
        <row r="470">
          <cell r="E470" t="str">
            <v>HW80JR352P09000 CN</v>
          </cell>
          <cell r="F470" t="str">
            <v>ASAHI Hyperion 8Fr JR3.5SH 90cm</v>
          </cell>
          <cell r="G470">
            <v>20183030619</v>
          </cell>
          <cell r="H470" t="str">
            <v>G</v>
          </cell>
        </row>
        <row r="471">
          <cell r="E471" t="str">
            <v>HW80JR400P09000 CN</v>
          </cell>
          <cell r="F471" t="str">
            <v>ASAHI Hyperion 8Fr JR4.0 90cm</v>
          </cell>
          <cell r="G471">
            <v>20183030619</v>
          </cell>
          <cell r="H471" t="str">
            <v>G</v>
          </cell>
        </row>
        <row r="472">
          <cell r="E472" t="str">
            <v>HW80JR402P09000 CN</v>
          </cell>
          <cell r="F472" t="str">
            <v>ASAHI Hyperion 8Fr JR4.0SH 90cm</v>
          </cell>
          <cell r="G472">
            <v>20183030619</v>
          </cell>
          <cell r="H472" t="str">
            <v>G</v>
          </cell>
        </row>
        <row r="473">
          <cell r="E473" t="str">
            <v>HW80AL070P10000 CN</v>
          </cell>
          <cell r="F473" t="str">
            <v>ASAHI Hyperion 8Fr AL0.75 100cm</v>
          </cell>
          <cell r="G473">
            <v>20183030619</v>
          </cell>
          <cell r="H473" t="str">
            <v>G</v>
          </cell>
        </row>
        <row r="474">
          <cell r="E474" t="str">
            <v>HW80AL072P10000 CN</v>
          </cell>
          <cell r="F474" t="str">
            <v>ASAHI Hyperion 8Fr AL0.75SH 100cm</v>
          </cell>
          <cell r="G474">
            <v>20183030619</v>
          </cell>
          <cell r="H474" t="str">
            <v>G</v>
          </cell>
        </row>
        <row r="475">
          <cell r="E475" t="str">
            <v>HW80AL072P09002 CN</v>
          </cell>
          <cell r="F475" t="str">
            <v>ASAHI Hyperion 8Fr SAL0.75SH 90cm</v>
          </cell>
          <cell r="G475">
            <v>20183030619</v>
          </cell>
          <cell r="H475" t="str">
            <v>G</v>
          </cell>
        </row>
        <row r="476">
          <cell r="E476" t="str">
            <v>HW80AL100P09002 CN</v>
          </cell>
          <cell r="F476" t="str">
            <v>ASAHI Hyperion 8Fr SAL1.0 90cm</v>
          </cell>
          <cell r="G476">
            <v>20183030619</v>
          </cell>
          <cell r="H476" t="str">
            <v>G</v>
          </cell>
        </row>
        <row r="477">
          <cell r="E477" t="str">
            <v>HW80AL102P09002 CN</v>
          </cell>
          <cell r="F477" t="str">
            <v>ASAHI Hyperion 8Fr SAL1.0SH 90cm</v>
          </cell>
          <cell r="G477">
            <v>20183030619</v>
          </cell>
          <cell r="H477" t="str">
            <v>G</v>
          </cell>
        </row>
        <row r="478">
          <cell r="E478" t="str">
            <v>HW80AL150P09002 CN</v>
          </cell>
          <cell r="F478" t="str">
            <v>ASAHI Hyperion 8Fr SAL1.5 90cm</v>
          </cell>
          <cell r="G478">
            <v>20183030619</v>
          </cell>
          <cell r="H478" t="str">
            <v>G</v>
          </cell>
        </row>
        <row r="479">
          <cell r="E479" t="str">
            <v>HW80AL152P09002 CN</v>
          </cell>
          <cell r="F479" t="str">
            <v>ASAHI Hyperion 8Fr SAL1.5SH 90cm</v>
          </cell>
          <cell r="G479">
            <v>20183030619</v>
          </cell>
          <cell r="H479" t="str">
            <v>G</v>
          </cell>
        </row>
        <row r="480">
          <cell r="E480" t="str">
            <v>HW80AL200P09002 CN</v>
          </cell>
          <cell r="F480" t="str">
            <v>ASAHI Hyperion 8Fr SAL2.0 90cm</v>
          </cell>
          <cell r="G480">
            <v>20183030619</v>
          </cell>
          <cell r="H480" t="str">
            <v>G</v>
          </cell>
        </row>
        <row r="481">
          <cell r="E481" t="str">
            <v>HW80AL202P09002 CN</v>
          </cell>
          <cell r="F481" t="str">
            <v>ASAHI Hyperion 8Fr SAL2.0SH 90cm</v>
          </cell>
          <cell r="G481">
            <v>20183030619</v>
          </cell>
          <cell r="H481" t="str">
            <v>G</v>
          </cell>
        </row>
        <row r="482">
          <cell r="E482" t="str">
            <v>HW80AR100P10000 CN</v>
          </cell>
          <cell r="F482" t="str">
            <v>ASAHI Hyperion 8Fr AR1.0 100cm</v>
          </cell>
          <cell r="G482">
            <v>20183030619</v>
          </cell>
          <cell r="H482" t="str">
            <v>G</v>
          </cell>
        </row>
        <row r="483">
          <cell r="E483" t="str">
            <v>HW80AR102P10000 CN</v>
          </cell>
          <cell r="F483" t="str">
            <v>ASAHI Hyperion 8Fr AR1.0SH 100cm</v>
          </cell>
          <cell r="G483">
            <v>20183030619</v>
          </cell>
          <cell r="H483" t="str">
            <v>G</v>
          </cell>
        </row>
        <row r="484">
          <cell r="E484" t="str">
            <v>HW80AR200P10000 CN</v>
          </cell>
          <cell r="F484" t="str">
            <v>ASAHI Hyperion 8Fr AR2.0 100cm</v>
          </cell>
          <cell r="G484">
            <v>20183030619</v>
          </cell>
          <cell r="H484" t="str">
            <v>G</v>
          </cell>
        </row>
        <row r="485">
          <cell r="E485" t="str">
            <v>HW80AR202P10000 CN</v>
          </cell>
          <cell r="F485" t="str">
            <v>ASAHI Hyperion 8Fr AR2.0SH 100cm</v>
          </cell>
          <cell r="G485">
            <v>20183030619</v>
          </cell>
          <cell r="H485" t="str">
            <v>G</v>
          </cell>
        </row>
        <row r="486">
          <cell r="E486" t="str">
            <v>HW80PB300P10000 CN</v>
          </cell>
          <cell r="F486" t="str">
            <v>ASAHI Hyperion 8Fr PB3.0 100cm</v>
          </cell>
          <cell r="G486">
            <v>20183030619</v>
          </cell>
          <cell r="H486" t="str">
            <v>G</v>
          </cell>
        </row>
        <row r="487">
          <cell r="E487" t="str">
            <v>HW80PB302P10000 CN</v>
          </cell>
          <cell r="F487" t="str">
            <v>ASAHI Hyperion 8Fr PB3.0SH 100cm</v>
          </cell>
          <cell r="G487">
            <v>20183030619</v>
          </cell>
          <cell r="H487" t="str">
            <v>G</v>
          </cell>
        </row>
        <row r="488">
          <cell r="E488" t="str">
            <v>HW80SP300P09000 CN</v>
          </cell>
          <cell r="F488" t="str">
            <v>ASAHI Hyperion 8Fr SPB3.0 90cm</v>
          </cell>
          <cell r="G488">
            <v>20183030619</v>
          </cell>
          <cell r="H488" t="str">
            <v>G</v>
          </cell>
        </row>
        <row r="489">
          <cell r="E489" t="str">
            <v>HW80SP302P09000 CN</v>
          </cell>
          <cell r="F489" t="str">
            <v>ASAHI Hyperion 8Fr SPB3.0SH 90cm</v>
          </cell>
          <cell r="G489">
            <v>20183030619</v>
          </cell>
          <cell r="H489" t="str">
            <v>G</v>
          </cell>
        </row>
        <row r="490">
          <cell r="E490" t="str">
            <v>HW80SP350P09000 CN</v>
          </cell>
          <cell r="F490" t="str">
            <v>ASAHI Hyperion 8Fr SPB3.5 90cm</v>
          </cell>
          <cell r="G490">
            <v>20183030619</v>
          </cell>
          <cell r="H490" t="str">
            <v>G</v>
          </cell>
        </row>
        <row r="491">
          <cell r="E491" t="str">
            <v>HW80SP352P09000 CN</v>
          </cell>
          <cell r="F491" t="str">
            <v>ASAHI Hyperion 8Fr SPB3.5SH 90cm</v>
          </cell>
          <cell r="G491">
            <v>20183030619</v>
          </cell>
          <cell r="H491" t="str">
            <v>G</v>
          </cell>
        </row>
        <row r="492">
          <cell r="E492" t="str">
            <v>HW80SP400P09000 CN</v>
          </cell>
          <cell r="F492" t="str">
            <v>ASAHI Hyperion 8Fr SPB4.0 90cm</v>
          </cell>
          <cell r="G492">
            <v>20183030619</v>
          </cell>
          <cell r="H492" t="str">
            <v>G</v>
          </cell>
        </row>
        <row r="493">
          <cell r="E493" t="str">
            <v>HW80SP402P09000 CN</v>
          </cell>
          <cell r="F493" t="str">
            <v>ASAHI Hyperion 8Fr SPB4.0SH 90cm</v>
          </cell>
          <cell r="G493">
            <v>20183030619</v>
          </cell>
          <cell r="H493" t="str">
            <v>G</v>
          </cell>
        </row>
        <row r="494">
          <cell r="E494" t="str">
            <v>HW80RB070P10000 CN</v>
          </cell>
          <cell r="F494" t="str">
            <v>ASAHI Hyperion 8Fr RB0.75 100cm</v>
          </cell>
          <cell r="G494">
            <v>20183030619</v>
          </cell>
          <cell r="H494" t="str">
            <v>G</v>
          </cell>
        </row>
        <row r="495">
          <cell r="E495" t="str">
            <v>HW80RB072P10000 CN</v>
          </cell>
          <cell r="F495" t="str">
            <v>ASAHI Hyperion 8Fr RB0.75SH 100cm</v>
          </cell>
          <cell r="G495">
            <v>20183030619</v>
          </cell>
          <cell r="H495" t="str">
            <v>G</v>
          </cell>
        </row>
        <row r="496">
          <cell r="E496" t="str">
            <v>HW80RB100P10000 CN</v>
          </cell>
          <cell r="F496" t="str">
            <v>ASAHI Hyperion 8Fr RB1.0 100cm</v>
          </cell>
          <cell r="G496">
            <v>20183030619</v>
          </cell>
          <cell r="H496" t="str">
            <v>G</v>
          </cell>
        </row>
        <row r="497">
          <cell r="E497" t="str">
            <v>HW80RB102P10000 CN</v>
          </cell>
          <cell r="F497" t="str">
            <v>ASAHI Hyperion 8Fr RB1.0SH 100cm</v>
          </cell>
          <cell r="G497">
            <v>20183030619</v>
          </cell>
          <cell r="H497" t="str">
            <v>G</v>
          </cell>
        </row>
        <row r="498">
          <cell r="E498" t="str">
            <v>G7JL35-0-L100 CN</v>
          </cell>
          <cell r="F498" t="str">
            <v>SheathLess Eaucath 7.5Fr JL3.5 100cm</v>
          </cell>
          <cell r="G498">
            <v>20153031682</v>
          </cell>
          <cell r="H498" t="str">
            <v>F</v>
          </cell>
        </row>
        <row r="499">
          <cell r="E499" t="str">
            <v>G7JL35-0-L100S CN</v>
          </cell>
          <cell r="F499" t="str">
            <v>SheathLess Eaucath 7.5Fr JL3.5ST 100cm</v>
          </cell>
          <cell r="G499">
            <v>20153031682</v>
          </cell>
          <cell r="H499" t="str">
            <v>F</v>
          </cell>
        </row>
        <row r="500">
          <cell r="E500" t="str">
            <v>G7JL40-0-L100 CN</v>
          </cell>
          <cell r="F500" t="str">
            <v>SheathLess Eaucath 7.5Fr JL4.0 100cm</v>
          </cell>
          <cell r="G500">
            <v>20153031682</v>
          </cell>
          <cell r="H500" t="str">
            <v>F</v>
          </cell>
        </row>
        <row r="501">
          <cell r="E501" t="str">
            <v>G7JL40-0-L100S CN</v>
          </cell>
          <cell r="F501" t="str">
            <v>SheathLess Eaucath 7.5Fr JL4.0ST 100cm</v>
          </cell>
          <cell r="G501">
            <v>20153031682</v>
          </cell>
          <cell r="H501" t="str">
            <v>F</v>
          </cell>
        </row>
        <row r="502">
          <cell r="E502" t="str">
            <v>G7JL45-0-L100 CN</v>
          </cell>
          <cell r="F502" t="str">
            <v>SheathLess Eaucath 7.5Fr JL4.5 100cm</v>
          </cell>
          <cell r="G502">
            <v>20153031682</v>
          </cell>
          <cell r="H502" t="str">
            <v>F</v>
          </cell>
        </row>
        <row r="503">
          <cell r="E503" t="str">
            <v>G7JL45-0-L100S CN</v>
          </cell>
          <cell r="F503" t="str">
            <v>SheathLess Eaucath 7.5Fr JL4.5ST 100cm</v>
          </cell>
          <cell r="G503">
            <v>20153031682</v>
          </cell>
          <cell r="H503" t="str">
            <v>F</v>
          </cell>
        </row>
        <row r="504">
          <cell r="E504" t="str">
            <v>G7JL50-0-L100 CN</v>
          </cell>
          <cell r="F504" t="str">
            <v>SheathLess Eaucath 7.5Fr JL5.0 100cm</v>
          </cell>
          <cell r="G504">
            <v>20153031682</v>
          </cell>
          <cell r="H504" t="str">
            <v>F</v>
          </cell>
        </row>
        <row r="505">
          <cell r="E505" t="str">
            <v>G7JL50-0-L100S CN</v>
          </cell>
          <cell r="F505" t="str">
            <v>SheathLess Eaucath 7.5Fr JL5.0ST 100cm</v>
          </cell>
          <cell r="G505">
            <v>20153031682</v>
          </cell>
          <cell r="H505" t="str">
            <v>F</v>
          </cell>
        </row>
        <row r="506">
          <cell r="E506" t="str">
            <v>G7JR35-0-L100 CN</v>
          </cell>
          <cell r="F506" t="str">
            <v>SheathLess Eaucath 7.5Fr JR3.5 100cm</v>
          </cell>
          <cell r="G506">
            <v>20153031682</v>
          </cell>
          <cell r="H506" t="str">
            <v>F</v>
          </cell>
        </row>
        <row r="507">
          <cell r="E507" t="str">
            <v>G7JR35-0-L100S CN</v>
          </cell>
          <cell r="F507" t="str">
            <v>SheathLess Eaucath 7.5Fr JR3.5ST 100cm</v>
          </cell>
          <cell r="G507">
            <v>20153031682</v>
          </cell>
          <cell r="H507" t="str">
            <v>F</v>
          </cell>
        </row>
        <row r="508">
          <cell r="E508" t="str">
            <v>G7JR40-0-L100 CN</v>
          </cell>
          <cell r="F508" t="str">
            <v>SheathLess Eaucath 7.5Fr JR4.0 100cm</v>
          </cell>
          <cell r="G508">
            <v>20153031682</v>
          </cell>
          <cell r="H508" t="str">
            <v>F</v>
          </cell>
        </row>
        <row r="509">
          <cell r="E509" t="str">
            <v>G7JR40-0-L100S CN</v>
          </cell>
          <cell r="F509" t="str">
            <v>SheathLess Eaucath 7.5Fr JR4.0ST 100cm</v>
          </cell>
          <cell r="G509">
            <v>20153031682</v>
          </cell>
          <cell r="H509" t="str">
            <v>F</v>
          </cell>
        </row>
        <row r="510">
          <cell r="E510" t="str">
            <v>G7JR45-0-L100 CN</v>
          </cell>
          <cell r="F510" t="str">
            <v>SheathLess Eaucath 7.5Fr JR4.5 100cm</v>
          </cell>
          <cell r="G510">
            <v>20153031682</v>
          </cell>
          <cell r="H510" t="str">
            <v>F</v>
          </cell>
        </row>
        <row r="511">
          <cell r="E511" t="str">
            <v>G7JR45-0-L100S CN</v>
          </cell>
          <cell r="F511" t="str">
            <v>SheathLess Eaucath 7.5Fr JR4.5ST 100cm</v>
          </cell>
          <cell r="G511">
            <v>20153031682</v>
          </cell>
          <cell r="H511" t="str">
            <v>F</v>
          </cell>
        </row>
        <row r="512">
          <cell r="E512" t="str">
            <v>G7JR50-0-L100 CN</v>
          </cell>
          <cell r="F512" t="str">
            <v>SheathLess Eaucath 7.5Fr JR5.0 100cm</v>
          </cell>
          <cell r="G512">
            <v>20153031682</v>
          </cell>
          <cell r="H512" t="str">
            <v>F</v>
          </cell>
        </row>
        <row r="513">
          <cell r="E513" t="str">
            <v>G7JR50-0-L100S CN</v>
          </cell>
          <cell r="F513" t="str">
            <v>SheathLess Eaucath 7.5Fr JR5.0ST 100cm</v>
          </cell>
          <cell r="G513">
            <v>20153031682</v>
          </cell>
          <cell r="H513" t="str">
            <v>F</v>
          </cell>
        </row>
        <row r="514">
          <cell r="E514" t="str">
            <v>G7AL07-0-L100 CN</v>
          </cell>
          <cell r="F514" t="str">
            <v>SheathLess Eaucath 7.5Fr AL0.75 100cm</v>
          </cell>
          <cell r="G514">
            <v>20153031682</v>
          </cell>
          <cell r="H514" t="str">
            <v>F</v>
          </cell>
        </row>
        <row r="515">
          <cell r="E515" t="str">
            <v>G7AL07-0-L100S CN</v>
          </cell>
          <cell r="F515" t="str">
            <v>SheathLess Eaucath 7.5Fr AL0.75ST 100cm</v>
          </cell>
          <cell r="G515">
            <v>20153031682</v>
          </cell>
          <cell r="H515" t="str">
            <v>F</v>
          </cell>
        </row>
        <row r="516">
          <cell r="E516" t="str">
            <v>G7AL10-0-L100 CN</v>
          </cell>
          <cell r="F516" t="str">
            <v>SheathLess Eaucath 7.5Fr AL1.0 100cm</v>
          </cell>
          <cell r="G516">
            <v>20153031682</v>
          </cell>
          <cell r="H516" t="str">
            <v>F</v>
          </cell>
        </row>
        <row r="517">
          <cell r="E517" t="str">
            <v>G7AL10-0-L100S CN</v>
          </cell>
          <cell r="F517" t="str">
            <v>SheathLess Eaucath 7.5Fr AL1.0ST 100cm</v>
          </cell>
          <cell r="G517">
            <v>20153031682</v>
          </cell>
          <cell r="H517" t="str">
            <v>F</v>
          </cell>
        </row>
        <row r="518">
          <cell r="E518" t="str">
            <v>G7AL15-0-L100 CN</v>
          </cell>
          <cell r="F518" t="str">
            <v>SheathLess Eaucath 7.5Fr AL1.5 100cm</v>
          </cell>
          <cell r="G518">
            <v>20153031682</v>
          </cell>
          <cell r="H518" t="str">
            <v>F</v>
          </cell>
        </row>
        <row r="519">
          <cell r="E519" t="str">
            <v>G7AL15-0-L100S CN</v>
          </cell>
          <cell r="F519" t="str">
            <v>SheathLess Eaucath 7.5Fr AL1.5ST 100cm</v>
          </cell>
          <cell r="G519">
            <v>20153031682</v>
          </cell>
          <cell r="H519" t="str">
            <v>F</v>
          </cell>
        </row>
        <row r="520">
          <cell r="E520" t="str">
            <v>G7AL20-0-L100 CN</v>
          </cell>
          <cell r="F520" t="str">
            <v>SheathLess Eaucath 7.5Fr AL2.0 100cm</v>
          </cell>
          <cell r="G520">
            <v>20153031682</v>
          </cell>
          <cell r="H520" t="str">
            <v>F</v>
          </cell>
        </row>
        <row r="521">
          <cell r="E521" t="str">
            <v>G7AL20-0-L100S CN</v>
          </cell>
          <cell r="F521" t="str">
            <v>SheathLess Eaucath 7.5Fr AL2.0ST 100cm</v>
          </cell>
          <cell r="G521">
            <v>20153031682</v>
          </cell>
          <cell r="H521" t="str">
            <v>F</v>
          </cell>
        </row>
        <row r="522">
          <cell r="E522" t="str">
            <v>G7SC35-0-L100 CN</v>
          </cell>
          <cell r="F522" t="str">
            <v>SheathLess Eaucath 7.5Fr SC3.5 100cm</v>
          </cell>
          <cell r="G522">
            <v>20153031682</v>
          </cell>
          <cell r="H522" t="str">
            <v>F</v>
          </cell>
        </row>
        <row r="523">
          <cell r="E523" t="str">
            <v>G7SC40-0-L100 CN</v>
          </cell>
          <cell r="F523" t="str">
            <v>SheathLess Eaucath 7.5Fr SC4.0 100cm</v>
          </cell>
          <cell r="G523">
            <v>20153031682</v>
          </cell>
          <cell r="H523" t="str">
            <v>F</v>
          </cell>
        </row>
        <row r="524">
          <cell r="E524" t="str">
            <v>G7PB30-0-L100 CN</v>
          </cell>
          <cell r="F524" t="str">
            <v>SheathLess Eaucath 7.5Fr PB3.0 100cm</v>
          </cell>
          <cell r="G524">
            <v>20153031682</v>
          </cell>
          <cell r="H524" t="str">
            <v>F</v>
          </cell>
        </row>
        <row r="525">
          <cell r="E525" t="str">
            <v>G7PB35-0-L100 CN</v>
          </cell>
          <cell r="F525" t="str">
            <v>SheathLess Eaucath 7.5Fr PB3.5 100cm</v>
          </cell>
          <cell r="G525">
            <v>20153031682</v>
          </cell>
          <cell r="H525" t="str">
            <v>F</v>
          </cell>
        </row>
        <row r="526">
          <cell r="E526" t="str">
            <v>G7PB40-0-L100 CN</v>
          </cell>
          <cell r="F526" t="str">
            <v>SheathLess Eaucath 7.5Fr PB4.0 100cm</v>
          </cell>
          <cell r="G526">
            <v>20153031682</v>
          </cell>
          <cell r="H526" t="str">
            <v>F</v>
          </cell>
        </row>
        <row r="527">
          <cell r="E527" t="str">
            <v>G7SP30-0-L100 CN</v>
          </cell>
          <cell r="F527" t="str">
            <v>SheathLess Eaucath 7.5Fr SPB3.0 100cm</v>
          </cell>
          <cell r="G527">
            <v>20153031682</v>
          </cell>
          <cell r="H527" t="str">
            <v>F</v>
          </cell>
        </row>
        <row r="528">
          <cell r="E528" t="str">
            <v>G7SP35-0-L100 CN</v>
          </cell>
          <cell r="F528" t="str">
            <v>SheathLess Eaucath 7.5Fr SPB3.5 100cm</v>
          </cell>
          <cell r="G528">
            <v>20153031682</v>
          </cell>
          <cell r="H528" t="str">
            <v>F</v>
          </cell>
        </row>
        <row r="529">
          <cell r="E529" t="str">
            <v>G7SP40-0-L100 CN</v>
          </cell>
          <cell r="F529" t="str">
            <v>SheathLess Eaucath 7.5Fr SPB4.0 100cm</v>
          </cell>
          <cell r="G529">
            <v>20153031682</v>
          </cell>
          <cell r="H529" t="str">
            <v>F</v>
          </cell>
        </row>
        <row r="530">
          <cell r="E530" t="str">
            <v>G7HS00-0-L100 CN</v>
          </cell>
          <cell r="F530" t="str">
            <v>SheathLess Eaucath 7.5Fr HS 100cm</v>
          </cell>
          <cell r="G530">
            <v>20153031682</v>
          </cell>
          <cell r="H530" t="str">
            <v>F</v>
          </cell>
        </row>
        <row r="531">
          <cell r="E531" t="str">
            <v>G6JL35-0-L100 CN</v>
          </cell>
          <cell r="F531" t="str">
            <v>SheathLess Eaucath 6.5Fr JL3.5 100cm</v>
          </cell>
          <cell r="G531">
            <v>20153031682</v>
          </cell>
          <cell r="H531" t="str">
            <v>F</v>
          </cell>
        </row>
        <row r="532">
          <cell r="E532" t="str">
            <v>G6JL35-0-L100S CN</v>
          </cell>
          <cell r="F532" t="str">
            <v>SheathLess Eaucath 6.5Fr JL3.5ST 100cm</v>
          </cell>
          <cell r="G532">
            <v>20153031682</v>
          </cell>
          <cell r="H532" t="str">
            <v>F</v>
          </cell>
        </row>
        <row r="533">
          <cell r="E533" t="str">
            <v>G6JL40-0-L100 CN</v>
          </cell>
          <cell r="F533" t="str">
            <v>SheathLess Eaucath 6.5Fr JL4.0 100cm</v>
          </cell>
          <cell r="G533">
            <v>20153031682</v>
          </cell>
          <cell r="H533" t="str">
            <v>F</v>
          </cell>
        </row>
        <row r="534">
          <cell r="E534" t="str">
            <v>G6JL40-0-L100S CN</v>
          </cell>
          <cell r="F534" t="str">
            <v>SheathLess Eaucath 6.5Fr JL4.0ST 100cm</v>
          </cell>
          <cell r="G534">
            <v>20153031682</v>
          </cell>
          <cell r="H534" t="str">
            <v>F</v>
          </cell>
        </row>
        <row r="535">
          <cell r="E535" t="str">
            <v>G6JL45-0-L100 CN</v>
          </cell>
          <cell r="F535" t="str">
            <v>SheathLess Eaucath 6.5Fr JL4.5 100cm</v>
          </cell>
          <cell r="G535">
            <v>20153031682</v>
          </cell>
          <cell r="H535" t="str">
            <v>F</v>
          </cell>
        </row>
        <row r="536">
          <cell r="E536" t="str">
            <v>G6JL45-0-L100S CN</v>
          </cell>
          <cell r="F536" t="str">
            <v>SheathLess Eaucath 6.5Fr JL4.5ST 100cm</v>
          </cell>
          <cell r="G536">
            <v>20153031682</v>
          </cell>
          <cell r="H536" t="str">
            <v>F</v>
          </cell>
        </row>
        <row r="537">
          <cell r="E537" t="str">
            <v>G6JL50-0-L100 CN</v>
          </cell>
          <cell r="F537" t="str">
            <v>SheathLess Eaucath 6.5Fr JL5.0 100cm</v>
          </cell>
          <cell r="G537">
            <v>20153031682</v>
          </cell>
          <cell r="H537" t="str">
            <v>F</v>
          </cell>
        </row>
        <row r="538">
          <cell r="E538" t="str">
            <v>G6JL50-0-L100S CN</v>
          </cell>
          <cell r="F538" t="str">
            <v>SheathLess Eaucath 6.5Fr JL5.0ST 100cm</v>
          </cell>
          <cell r="G538">
            <v>20153031682</v>
          </cell>
          <cell r="H538" t="str">
            <v>F</v>
          </cell>
        </row>
        <row r="539">
          <cell r="E539" t="str">
            <v>G6JR35-0-L100 CN</v>
          </cell>
          <cell r="F539" t="str">
            <v>SheathLess Eaucath 6.5Fr JR3.5 100cm</v>
          </cell>
          <cell r="G539">
            <v>20153031682</v>
          </cell>
          <cell r="H539" t="str">
            <v>F</v>
          </cell>
        </row>
        <row r="540">
          <cell r="E540" t="str">
            <v>G6JR35-0-L100S CN</v>
          </cell>
          <cell r="F540" t="str">
            <v>SheathLess Eaucath 6.5Fr JR3.5ST 100cm</v>
          </cell>
          <cell r="G540">
            <v>20153031682</v>
          </cell>
          <cell r="H540" t="str">
            <v>F</v>
          </cell>
        </row>
        <row r="541">
          <cell r="E541" t="str">
            <v>G6JR40-0-L100 CN</v>
          </cell>
          <cell r="F541" t="str">
            <v>SheathLess Eaucath 6.5Fr JR4.0 100cm</v>
          </cell>
          <cell r="G541">
            <v>20153031682</v>
          </cell>
          <cell r="H541" t="str">
            <v>F</v>
          </cell>
        </row>
        <row r="542">
          <cell r="E542" t="str">
            <v>G6JR40-0-L100S CN</v>
          </cell>
          <cell r="F542" t="str">
            <v>SheathLess Eaucath 6.5Fr JR4.0ST 100cm</v>
          </cell>
          <cell r="G542">
            <v>20153031682</v>
          </cell>
          <cell r="H542" t="str">
            <v>F</v>
          </cell>
        </row>
        <row r="543">
          <cell r="E543" t="str">
            <v>G6JR45-0-L100 CN</v>
          </cell>
          <cell r="F543" t="str">
            <v>SheathLess Eaucath 6.5Fr JR4.5 100cm</v>
          </cell>
          <cell r="G543">
            <v>20153031682</v>
          </cell>
          <cell r="H543" t="str">
            <v>F</v>
          </cell>
        </row>
        <row r="544">
          <cell r="E544" t="str">
            <v>G6JR45-0-L100S CN</v>
          </cell>
          <cell r="F544" t="str">
            <v>SheathLess Eaucath 6.5Fr JR4.5ST 100cm</v>
          </cell>
          <cell r="G544">
            <v>20153031682</v>
          </cell>
          <cell r="H544" t="str">
            <v>F</v>
          </cell>
        </row>
        <row r="545">
          <cell r="E545" t="str">
            <v>G6JR50-0-L100 CN</v>
          </cell>
          <cell r="F545" t="str">
            <v>SheathLess Eaucath 6.5Fr JR5.0 100cm</v>
          </cell>
          <cell r="G545">
            <v>20153031682</v>
          </cell>
          <cell r="H545" t="str">
            <v>F</v>
          </cell>
        </row>
        <row r="546">
          <cell r="E546" t="str">
            <v>G6JR50-0-L100S CN</v>
          </cell>
          <cell r="F546" t="str">
            <v>SheathLess Eaucath 6.5Fr JR5.0ST 100cm</v>
          </cell>
          <cell r="G546">
            <v>20153031682</v>
          </cell>
          <cell r="H546" t="str">
            <v>F</v>
          </cell>
        </row>
        <row r="547">
          <cell r="E547" t="str">
            <v>G6AL07-0-L100 CN</v>
          </cell>
          <cell r="F547" t="str">
            <v>SheathLess Eaucath 6.5Fr AL0.75 100cm</v>
          </cell>
          <cell r="G547">
            <v>20153031682</v>
          </cell>
          <cell r="H547" t="str">
            <v>F</v>
          </cell>
        </row>
        <row r="548">
          <cell r="E548" t="str">
            <v>G6AL07-0-L100S CN</v>
          </cell>
          <cell r="F548" t="str">
            <v>SheathLess Eaucath 6.5Fr AL0.75ST 100cm</v>
          </cell>
          <cell r="G548">
            <v>20153031682</v>
          </cell>
          <cell r="H548" t="str">
            <v>F</v>
          </cell>
        </row>
        <row r="549">
          <cell r="E549" t="str">
            <v>G6AL10-0-L100 CN</v>
          </cell>
          <cell r="F549" t="str">
            <v>SheathLess Eaucath 6.5Fr AL1.0 100cm</v>
          </cell>
          <cell r="G549">
            <v>20153031682</v>
          </cell>
          <cell r="H549" t="str">
            <v>F</v>
          </cell>
        </row>
        <row r="550">
          <cell r="E550" t="str">
            <v>G6AL10-0-L100S CN</v>
          </cell>
          <cell r="F550" t="str">
            <v>SheathLess Eaucath 6.5Fr AL1.0ST 100cm</v>
          </cell>
          <cell r="G550">
            <v>20153031682</v>
          </cell>
          <cell r="H550" t="str">
            <v>F</v>
          </cell>
        </row>
        <row r="551">
          <cell r="E551" t="str">
            <v>G6AL15-0-L100 CN</v>
          </cell>
          <cell r="F551" t="str">
            <v>SheathLess Eaucath 6.5Fr AL1.5 100cm</v>
          </cell>
          <cell r="G551">
            <v>20153031682</v>
          </cell>
          <cell r="H551" t="str">
            <v>F</v>
          </cell>
        </row>
        <row r="552">
          <cell r="E552" t="str">
            <v>G6AL15-0-L100S CN</v>
          </cell>
          <cell r="F552" t="str">
            <v>SheathLess Eaucath 6.5Fr AL1.5ST 100cm</v>
          </cell>
          <cell r="G552">
            <v>20153031682</v>
          </cell>
          <cell r="H552" t="str">
            <v>F</v>
          </cell>
        </row>
        <row r="553">
          <cell r="E553" t="str">
            <v>G6AL20-0-L100 CN</v>
          </cell>
          <cell r="F553" t="str">
            <v>SheathLess Eaucath 6.5Fr AL2.0 100cm</v>
          </cell>
          <cell r="G553">
            <v>20153031682</v>
          </cell>
          <cell r="H553" t="str">
            <v>F</v>
          </cell>
        </row>
        <row r="554">
          <cell r="E554" t="str">
            <v>G6AL20-0-L100S CN</v>
          </cell>
          <cell r="F554" t="str">
            <v>SheathLess Eaucath 6.5Fr AL2.0ST 100cm</v>
          </cell>
          <cell r="G554">
            <v>20153031682</v>
          </cell>
          <cell r="H554" t="str">
            <v>F</v>
          </cell>
        </row>
        <row r="555">
          <cell r="E555" t="str">
            <v>G6SC35-0-L100 CN</v>
          </cell>
          <cell r="F555" t="str">
            <v>SheathLess Eaucath 6.5Fr SC3.5 100cm</v>
          </cell>
          <cell r="G555">
            <v>20153031682</v>
          </cell>
          <cell r="H555" t="str">
            <v>F</v>
          </cell>
        </row>
        <row r="556">
          <cell r="E556" t="str">
            <v>G6SC40-0-L100 CN</v>
          </cell>
          <cell r="F556" t="str">
            <v>SheathLess Eaucath 6.5Fr SC4.0 100cm</v>
          </cell>
          <cell r="G556">
            <v>20153031682</v>
          </cell>
          <cell r="H556" t="str">
            <v>F</v>
          </cell>
        </row>
        <row r="557">
          <cell r="E557" t="str">
            <v>G6PB30-0-L100 CN</v>
          </cell>
          <cell r="F557" t="str">
            <v>SheathLess Eaucath 6.5Fr PB3.0 100cm</v>
          </cell>
          <cell r="G557">
            <v>20153031682</v>
          </cell>
          <cell r="H557" t="str">
            <v>F</v>
          </cell>
        </row>
        <row r="558">
          <cell r="E558" t="str">
            <v>G6PB35-0-L100 CN</v>
          </cell>
          <cell r="F558" t="str">
            <v>SheathLess Eaucath 6.5Fr PB3.5 100cm</v>
          </cell>
          <cell r="G558">
            <v>20153031682</v>
          </cell>
          <cell r="H558" t="str">
            <v>F</v>
          </cell>
        </row>
        <row r="559">
          <cell r="E559" t="str">
            <v>G6PB40-0-L100 CN</v>
          </cell>
          <cell r="F559" t="str">
            <v>SheathLess Eaucath 6.5Fr PB4.0 100cm</v>
          </cell>
          <cell r="G559">
            <v>20153031682</v>
          </cell>
          <cell r="H559" t="str">
            <v>F</v>
          </cell>
        </row>
        <row r="560">
          <cell r="E560" t="str">
            <v>G6SP30-0-L100 CN</v>
          </cell>
          <cell r="F560" t="str">
            <v>SheathLess Eaucath 6.5Fr SPB3.0 100cm</v>
          </cell>
          <cell r="G560">
            <v>20153031682</v>
          </cell>
          <cell r="H560" t="str">
            <v>F</v>
          </cell>
        </row>
        <row r="561">
          <cell r="E561" t="str">
            <v>G6SP35-0-L100 CN</v>
          </cell>
          <cell r="F561" t="str">
            <v>SheathLess Eaucath 6.5Fr SPB3.5 100cm</v>
          </cell>
          <cell r="G561">
            <v>20153031682</v>
          </cell>
          <cell r="H561" t="str">
            <v>F</v>
          </cell>
        </row>
        <row r="562">
          <cell r="E562" t="str">
            <v>G6SP40-0-L100 CN</v>
          </cell>
          <cell r="F562" t="str">
            <v>SheathLess Eaucath 6.5Fr SPB4.0 100cm</v>
          </cell>
          <cell r="G562">
            <v>20153031682</v>
          </cell>
          <cell r="H562" t="str">
            <v>F</v>
          </cell>
        </row>
        <row r="563">
          <cell r="E563" t="str">
            <v>G6HS00-0-L100 CN</v>
          </cell>
          <cell r="F563" t="str">
            <v>SheathLess Eaucath 6.5Fr HS 100cm</v>
          </cell>
          <cell r="G563">
            <v>20153031682</v>
          </cell>
          <cell r="H563" t="str">
            <v>F</v>
          </cell>
        </row>
        <row r="564">
          <cell r="E564" t="str">
            <v>WAIN-FBK-4-120 CN</v>
          </cell>
          <cell r="F564" t="str">
            <v>ASAHI FUBUKI 043 120cm</v>
          </cell>
          <cell r="G564">
            <v>20213030365</v>
          </cell>
          <cell r="H564" t="str">
            <v>F</v>
          </cell>
        </row>
        <row r="565">
          <cell r="E565" t="str">
            <v>WAIN-FBK-4-125 CN</v>
          </cell>
          <cell r="F565" t="str">
            <v>ASAHI FUBUKI 043 125cm</v>
          </cell>
          <cell r="G565">
            <v>20213030365</v>
          </cell>
          <cell r="H565" t="str">
            <v>F</v>
          </cell>
        </row>
        <row r="566">
          <cell r="E566" t="str">
            <v>WAIN-FBK-4-130 CN</v>
          </cell>
          <cell r="F566" t="str">
            <v>ASAHI FUBUKI 043 130cm</v>
          </cell>
          <cell r="G566">
            <v>20213030365</v>
          </cell>
          <cell r="H566" t="str">
            <v>F</v>
          </cell>
        </row>
        <row r="567">
          <cell r="E567" t="str">
            <v>WAIN-FBK-4AD CN</v>
          </cell>
          <cell r="F567" t="str">
            <v>ASAHI FUBUKI 4Fr Dilator Kit ANGLE 90cm</v>
          </cell>
          <cell r="G567">
            <v>20213030365</v>
          </cell>
          <cell r="H567" t="str">
            <v>F</v>
          </cell>
        </row>
        <row r="568">
          <cell r="E568" t="str">
            <v>WAIN-FBK-4AD110 CN</v>
          </cell>
          <cell r="F568" t="str">
            <v>ASAHI FUBUKI 4Fr Dilator Kit ANGLE 110cm</v>
          </cell>
          <cell r="G568">
            <v>20213030365</v>
          </cell>
          <cell r="H568" t="str">
            <v>F</v>
          </cell>
        </row>
        <row r="569">
          <cell r="E569" t="str">
            <v>WAIN-FBK-4AD110H CN</v>
          </cell>
          <cell r="F569" t="str">
            <v>ASAHI FUBUKI 4Fr Dilator Kit ANGLE 110cm STIFF</v>
          </cell>
          <cell r="G569">
            <v>20213030365</v>
          </cell>
          <cell r="H569" t="str">
            <v>F</v>
          </cell>
        </row>
        <row r="570">
          <cell r="E570" t="str">
            <v>WAIN-FBK-4AD80 CN</v>
          </cell>
          <cell r="F570" t="str">
            <v>ASAHI FUBUKI 4Fr Dilator Kit ANGLE 80cm</v>
          </cell>
          <cell r="G570">
            <v>20213030365</v>
          </cell>
          <cell r="H570" t="str">
            <v>F</v>
          </cell>
        </row>
        <row r="571">
          <cell r="E571" t="str">
            <v>WAIN-FBK-4AD80H CN</v>
          </cell>
          <cell r="F571" t="str">
            <v>ASAHI FUBUKI 4Fr Dilator Kit ANGLE 80cm STIFF</v>
          </cell>
          <cell r="G571">
            <v>20213030365</v>
          </cell>
          <cell r="H571" t="str">
            <v>F</v>
          </cell>
        </row>
        <row r="572">
          <cell r="E572" t="str">
            <v>WAIN-FBK-4ADH CN</v>
          </cell>
          <cell r="F572" t="str">
            <v>ASAHI FUBUKI 4Fr Dilator Kit ANGLE 90cm STIFF</v>
          </cell>
          <cell r="G572">
            <v>20213030365</v>
          </cell>
          <cell r="H572" t="str">
            <v>F</v>
          </cell>
        </row>
        <row r="573">
          <cell r="E573" t="str">
            <v>WAIN-FBK-4ADL CN</v>
          </cell>
          <cell r="F573" t="str">
            <v>ASAHI FUBUKI 4Fr Dilator Kit ANGLE 100cm</v>
          </cell>
          <cell r="G573">
            <v>20213030365</v>
          </cell>
          <cell r="H573" t="str">
            <v>F</v>
          </cell>
        </row>
        <row r="574">
          <cell r="E574" t="str">
            <v>WAIN-FBK-4ADLH CN</v>
          </cell>
          <cell r="F574" t="str">
            <v>ASAHI FUBUKI 4Fr Dilator Kit ANGLE 100cm STIFF</v>
          </cell>
          <cell r="G574">
            <v>20213030365</v>
          </cell>
          <cell r="H574" t="str">
            <v>F</v>
          </cell>
        </row>
        <row r="575">
          <cell r="E575" t="str">
            <v>WAIN-FBK-4SD CN</v>
          </cell>
          <cell r="F575" t="str">
            <v>ASAHI FUBUKI 4Fr Dilator Kit STRAIGHT 90cm</v>
          </cell>
          <cell r="G575">
            <v>20213030365</v>
          </cell>
          <cell r="H575" t="str">
            <v>F</v>
          </cell>
        </row>
        <row r="576">
          <cell r="E576" t="str">
            <v>WAIN-FBK-4SD110 CN</v>
          </cell>
          <cell r="F576" t="str">
            <v>ASAHI FUBUKI 4Fr Dilator Kit STRAIGHT 110cm</v>
          </cell>
          <cell r="G576">
            <v>20213030365</v>
          </cell>
          <cell r="H576" t="str">
            <v>F</v>
          </cell>
        </row>
        <row r="577">
          <cell r="E577" t="str">
            <v>WAIN-FBK-4SD80 CN</v>
          </cell>
          <cell r="F577" t="str">
            <v>ASAHI FUBUKI 4Fr Dilator Kit STRAIGHT 80cm</v>
          </cell>
          <cell r="G577">
            <v>20213030365</v>
          </cell>
          <cell r="H577" t="str">
            <v>F</v>
          </cell>
        </row>
        <row r="578">
          <cell r="E578" t="str">
            <v>WAIN-FBK-4SDL CN</v>
          </cell>
          <cell r="F578" t="str">
            <v>ASAHI FUBUKI 4Fr Dilator Kit STRAIGHT 100cm</v>
          </cell>
          <cell r="G578">
            <v>20213030365</v>
          </cell>
          <cell r="H578" t="str">
            <v>F</v>
          </cell>
        </row>
        <row r="579">
          <cell r="E579" t="str">
            <v>WAIN-FBK-5AD CN</v>
          </cell>
          <cell r="F579" t="str">
            <v>ASAHI FUBUKI 5Fr Dilator Kit ANGLE 90cm</v>
          </cell>
          <cell r="G579">
            <v>20213030365</v>
          </cell>
          <cell r="H579" t="str">
            <v>F</v>
          </cell>
        </row>
        <row r="580">
          <cell r="E580" t="str">
            <v>WAIN-FBK-5AD110 CN</v>
          </cell>
          <cell r="F580" t="str">
            <v>ASAHI FUBUKI 5Fr Dilator Kit ANGLE 110cm</v>
          </cell>
          <cell r="G580">
            <v>20213030365</v>
          </cell>
          <cell r="H580" t="str">
            <v>F</v>
          </cell>
        </row>
        <row r="581">
          <cell r="E581" t="str">
            <v>WAIN-FBK-5AD110H CN</v>
          </cell>
          <cell r="F581" t="str">
            <v>ASAHI FUBUKI 5Fr Dilator Kit ANGLE 110cm STIFF</v>
          </cell>
          <cell r="G581">
            <v>20213030365</v>
          </cell>
          <cell r="H581" t="str">
            <v>F</v>
          </cell>
        </row>
        <row r="582">
          <cell r="E582" t="str">
            <v>WAIN-FBK-5AD80 CN</v>
          </cell>
          <cell r="F582" t="str">
            <v>ASAHI FUBUKI 5Fr Dilator Kit ANGLE 80cm</v>
          </cell>
          <cell r="G582">
            <v>20213030365</v>
          </cell>
          <cell r="H582" t="str">
            <v>F</v>
          </cell>
        </row>
        <row r="583">
          <cell r="E583" t="str">
            <v>WAIN-FBK-5AD80H CN</v>
          </cell>
          <cell r="F583" t="str">
            <v>ASAHI FUBUKI 5Fr Dilator Kit ANGLE 80cm STIFF</v>
          </cell>
          <cell r="G583">
            <v>20213030365</v>
          </cell>
          <cell r="H583" t="str">
            <v>F</v>
          </cell>
        </row>
        <row r="584">
          <cell r="E584" t="str">
            <v>WAIN-FBK-5ADH CN</v>
          </cell>
          <cell r="F584" t="str">
            <v>ASAHI FUBUKI 5Fr Dilator Kit ANGLE 90cm STIFF</v>
          </cell>
          <cell r="G584">
            <v>20213030365</v>
          </cell>
          <cell r="H584" t="str">
            <v>F</v>
          </cell>
        </row>
        <row r="585">
          <cell r="E585" t="str">
            <v>WAIN-FBK-5ADL CN</v>
          </cell>
          <cell r="F585" t="str">
            <v>ASAHI FUBUKI 5Fr Dilator Kit ANGLE 100cm</v>
          </cell>
          <cell r="G585">
            <v>20213030365</v>
          </cell>
          <cell r="H585" t="str">
            <v>F</v>
          </cell>
        </row>
        <row r="586">
          <cell r="E586" t="str">
            <v>WAIN-FBK-5ADLH CN</v>
          </cell>
          <cell r="F586" t="str">
            <v>ASAHI FUBUKI 5Fr Dilator Kit ANGLE 100cm STIFF</v>
          </cell>
          <cell r="G586">
            <v>20213030365</v>
          </cell>
          <cell r="H586" t="str">
            <v>F</v>
          </cell>
        </row>
        <row r="587">
          <cell r="E587" t="str">
            <v>WAIN-FBK-5SD CN</v>
          </cell>
          <cell r="F587" t="str">
            <v>ASAHI FUBUKI 5Fr Dilator Kit STRAIGHT 90cm</v>
          </cell>
          <cell r="G587">
            <v>20213030365</v>
          </cell>
          <cell r="H587" t="str">
            <v>F</v>
          </cell>
        </row>
        <row r="588">
          <cell r="E588" t="str">
            <v>WAIN-FBK-5SD110 CN</v>
          </cell>
          <cell r="F588" t="str">
            <v>ASAHI FUBUKI 5Fr Dilator Kit STRAIGHT 110cm</v>
          </cell>
          <cell r="G588">
            <v>20213030365</v>
          </cell>
          <cell r="H588" t="str">
            <v>F</v>
          </cell>
        </row>
        <row r="589">
          <cell r="E589" t="str">
            <v>WAIN-FBK-5SD80 CN</v>
          </cell>
          <cell r="F589" t="str">
            <v>ASAHI FUBUKI 5Fr Dilator Kit STRAIGHT 80cm</v>
          </cell>
          <cell r="G589">
            <v>20213030365</v>
          </cell>
          <cell r="H589" t="str">
            <v>F</v>
          </cell>
        </row>
        <row r="590">
          <cell r="E590" t="str">
            <v>WAIN-FBK-5SDL CN</v>
          </cell>
          <cell r="F590" t="str">
            <v>ASAHI FUBUKI 5Fr Dilator Kit STRAIGHT 100cm</v>
          </cell>
          <cell r="G590">
            <v>20213030365</v>
          </cell>
          <cell r="H590" t="str">
            <v>F</v>
          </cell>
        </row>
        <row r="591">
          <cell r="E591" t="str">
            <v>WAIN-FBK-6A CN</v>
          </cell>
          <cell r="F591" t="str">
            <v>ASAHI FUBUKI 6Fr ANGLE 90cm</v>
          </cell>
          <cell r="G591">
            <v>20213030365</v>
          </cell>
          <cell r="H591" t="str">
            <v>F</v>
          </cell>
        </row>
        <row r="592">
          <cell r="E592" t="str">
            <v>WAIN-FBK-6A110 CN</v>
          </cell>
          <cell r="F592" t="str">
            <v>ASAHI FUBUKI 6Fr ANGLE 110cm</v>
          </cell>
          <cell r="G592">
            <v>20213030365</v>
          </cell>
          <cell r="H592" t="str">
            <v>F</v>
          </cell>
        </row>
        <row r="593">
          <cell r="E593" t="str">
            <v>WAIN-FBK-6A110H CN</v>
          </cell>
          <cell r="F593" t="str">
            <v>ASAHI FUBUKI 6Fr ANGLE 110cm STIFF</v>
          </cell>
          <cell r="G593">
            <v>20213030365</v>
          </cell>
          <cell r="H593" t="str">
            <v>F</v>
          </cell>
        </row>
        <row r="594">
          <cell r="E594" t="str">
            <v>WAIN-FBK-6A80 CN</v>
          </cell>
          <cell r="F594" t="str">
            <v>ASAHI FUBUKI 6Fr ANGLE 80cm</v>
          </cell>
          <cell r="G594">
            <v>20213030365</v>
          </cell>
          <cell r="H594" t="str">
            <v>F</v>
          </cell>
        </row>
        <row r="595">
          <cell r="E595" t="str">
            <v>WAIN-FBK-6A80H CN</v>
          </cell>
          <cell r="F595" t="str">
            <v>ASAHI FUBUKI 6Fr ANGLE 80cm STIFF</v>
          </cell>
          <cell r="G595">
            <v>20213030365</v>
          </cell>
          <cell r="H595" t="str">
            <v>F</v>
          </cell>
        </row>
        <row r="596">
          <cell r="E596" t="str">
            <v>WAIN-FBK-6AH CN</v>
          </cell>
          <cell r="F596" t="str">
            <v>ASAHI FUBUKI 6Fr ANGLE 90cm STIFF</v>
          </cell>
          <cell r="G596">
            <v>20213030365</v>
          </cell>
          <cell r="H596" t="str">
            <v>F</v>
          </cell>
        </row>
        <row r="597">
          <cell r="E597" t="str">
            <v>WAIN-FBK-6AL CN</v>
          </cell>
          <cell r="F597" t="str">
            <v>ASAHI FUBUKI 6Fr ANGLE 100cm</v>
          </cell>
          <cell r="G597">
            <v>20213030365</v>
          </cell>
          <cell r="H597" t="str">
            <v>F</v>
          </cell>
        </row>
        <row r="598">
          <cell r="E598" t="str">
            <v>WAIN-FBK-6ALH CN</v>
          </cell>
          <cell r="F598" t="str">
            <v>ASAHI FUBUKI 6Fr ANGLE 100cm STIFF</v>
          </cell>
          <cell r="G598">
            <v>20213030365</v>
          </cell>
          <cell r="H598" t="str">
            <v>F</v>
          </cell>
        </row>
        <row r="599">
          <cell r="E599" t="str">
            <v>WAIN-FBK-6S CN</v>
          </cell>
          <cell r="F599" t="str">
            <v>ASAHI FUBUKI 6Fr STRAIGHT 90cm</v>
          </cell>
          <cell r="G599">
            <v>20213030365</v>
          </cell>
          <cell r="H599" t="str">
            <v>F</v>
          </cell>
        </row>
        <row r="600">
          <cell r="E600" t="str">
            <v>WAIN-FBK-6S110 CN</v>
          </cell>
          <cell r="F600" t="str">
            <v>ASAHI FUBUKI 6Fr STRAIGHT 110cm</v>
          </cell>
          <cell r="G600">
            <v>20213030365</v>
          </cell>
          <cell r="H600" t="str">
            <v>F</v>
          </cell>
        </row>
        <row r="601">
          <cell r="E601" t="str">
            <v>WAIN-FBK-6S80 CN</v>
          </cell>
          <cell r="F601" t="str">
            <v>ASAHI FUBUKI 6Fr STRAIGHT 80cm</v>
          </cell>
          <cell r="G601">
            <v>20213030365</v>
          </cell>
          <cell r="H601" t="str">
            <v>F</v>
          </cell>
        </row>
        <row r="602">
          <cell r="E602" t="str">
            <v>WAIN-FBK-6SD CN</v>
          </cell>
          <cell r="F602" t="str">
            <v>ASAHI FUBUKI 6Fr Dilator Kit STRAIGHT 90cm</v>
          </cell>
          <cell r="G602">
            <v>20213030365</v>
          </cell>
          <cell r="H602" t="str">
            <v>F</v>
          </cell>
        </row>
        <row r="603">
          <cell r="E603" t="str">
            <v>WAIN-FBK-6SD110 CN</v>
          </cell>
          <cell r="F603" t="str">
            <v>ASAHI FUBUKI 6Fr Dilator Kit STRAIGHT 110cm</v>
          </cell>
          <cell r="G603">
            <v>20213030365</v>
          </cell>
          <cell r="H603" t="str">
            <v>F</v>
          </cell>
        </row>
        <row r="604">
          <cell r="E604" t="str">
            <v>WAIN-FBK-6SD80 CN</v>
          </cell>
          <cell r="F604" t="str">
            <v>ASAHI FUBUKI 6Fr Dilator Kit STRAIGHT 80cm</v>
          </cell>
          <cell r="G604">
            <v>20213030365</v>
          </cell>
          <cell r="H604" t="str">
            <v>F</v>
          </cell>
        </row>
        <row r="605">
          <cell r="E605" t="str">
            <v>WAIN-FBK-6SDL CN</v>
          </cell>
          <cell r="F605" t="str">
            <v>ASAHI FUBUKI 6Fr Dilator Kit STRAIGHT 100cm</v>
          </cell>
          <cell r="G605">
            <v>20213030365</v>
          </cell>
          <cell r="H605" t="str">
            <v>F</v>
          </cell>
        </row>
        <row r="606">
          <cell r="E606" t="str">
            <v>WAIN-FBK-6SL CN</v>
          </cell>
          <cell r="F606" t="str">
            <v>ASAHI FUBUKI 6Fr STRAIGHT 100cm</v>
          </cell>
          <cell r="G606">
            <v>20213030365</v>
          </cell>
          <cell r="H606" t="str">
            <v>F</v>
          </cell>
        </row>
        <row r="607">
          <cell r="E607" t="str">
            <v>WAIN-FBK-7A CN</v>
          </cell>
          <cell r="F607" t="str">
            <v>ASAHI FUBUKI 7Fr ANGLE 90cm</v>
          </cell>
          <cell r="G607">
            <v>20213030365</v>
          </cell>
          <cell r="H607" t="str">
            <v>F</v>
          </cell>
        </row>
        <row r="608">
          <cell r="E608" t="str">
            <v>WAIN-FBK-7A110 CN</v>
          </cell>
          <cell r="F608" t="str">
            <v>ASAHI FUBUKI 7Fr ANGLE 110cm</v>
          </cell>
          <cell r="G608">
            <v>20213030365</v>
          </cell>
          <cell r="H608" t="str">
            <v>F</v>
          </cell>
        </row>
        <row r="609">
          <cell r="E609" t="str">
            <v>WAIN-FBK-7A110H CN</v>
          </cell>
          <cell r="F609" t="str">
            <v>ASAHI FUBUKI 7Fr ANGLE 110cm STIFF</v>
          </cell>
          <cell r="G609">
            <v>20213030365</v>
          </cell>
          <cell r="H609" t="str">
            <v>F</v>
          </cell>
        </row>
        <row r="610">
          <cell r="E610" t="str">
            <v>WAIN-FBK-7A80 CN</v>
          </cell>
          <cell r="F610" t="str">
            <v>ASAHI FUBUKI 7Fr ANGLE 80cm</v>
          </cell>
          <cell r="G610">
            <v>20213030365</v>
          </cell>
          <cell r="H610" t="str">
            <v>F</v>
          </cell>
        </row>
        <row r="611">
          <cell r="E611" t="str">
            <v>WAIN-FBK-7A80H CN</v>
          </cell>
          <cell r="F611" t="str">
            <v>ASAHI FUBUKI 7Fr ANGLE 80cm STIFF</v>
          </cell>
          <cell r="G611">
            <v>20213030365</v>
          </cell>
          <cell r="H611" t="str">
            <v>F</v>
          </cell>
        </row>
        <row r="612">
          <cell r="E612" t="str">
            <v>WAIN-FBK-7AH CN</v>
          </cell>
          <cell r="F612" t="str">
            <v>ASAHI FUBUKI 7Fr ANGLE 90cm STIFF</v>
          </cell>
          <cell r="G612">
            <v>20213030365</v>
          </cell>
          <cell r="H612" t="str">
            <v>F</v>
          </cell>
        </row>
        <row r="613">
          <cell r="E613" t="str">
            <v>WAIN-FBK-7AL CN</v>
          </cell>
          <cell r="F613" t="str">
            <v>ASAHI FUBUKI 7Fr ANGLE 100cm</v>
          </cell>
          <cell r="G613">
            <v>20213030365</v>
          </cell>
          <cell r="H613" t="str">
            <v>F</v>
          </cell>
        </row>
        <row r="614">
          <cell r="E614" t="str">
            <v>WAIN-FBK-7ALH CN</v>
          </cell>
          <cell r="F614" t="str">
            <v>ASAHI FUBUKI 7Fr ANGLE 100cm STIFF</v>
          </cell>
          <cell r="G614">
            <v>20213030365</v>
          </cell>
          <cell r="H614" t="str">
            <v>F</v>
          </cell>
        </row>
        <row r="615">
          <cell r="E615" t="str">
            <v>WAIN-FBK-7S CN</v>
          </cell>
          <cell r="F615" t="str">
            <v>ASAHI FUBUKI 7Fr STRAIGHT 90cm</v>
          </cell>
          <cell r="G615">
            <v>20213030365</v>
          </cell>
          <cell r="H615" t="str">
            <v>F</v>
          </cell>
        </row>
        <row r="616">
          <cell r="E616" t="str">
            <v>WAIN-FBK-7S110 CN</v>
          </cell>
          <cell r="F616" t="str">
            <v>ASAHI FUBUKI 7Fr STRAIGHT 110cm</v>
          </cell>
          <cell r="G616">
            <v>20213030365</v>
          </cell>
          <cell r="H616" t="str">
            <v>F</v>
          </cell>
        </row>
        <row r="617">
          <cell r="E617" t="str">
            <v>WAIN-FBK-7S80 CN</v>
          </cell>
          <cell r="F617" t="str">
            <v>ASAHI FUBUKI 7Fr STRAIGHT 80cm</v>
          </cell>
          <cell r="G617">
            <v>20213030365</v>
          </cell>
          <cell r="H617" t="str">
            <v>F</v>
          </cell>
        </row>
        <row r="618">
          <cell r="E618" t="str">
            <v>WAIN-FBK-7SL CN</v>
          </cell>
          <cell r="F618" t="str">
            <v>ASAHI FUBUKI 7Fr STRAIGHT 100cm</v>
          </cell>
          <cell r="G618">
            <v>20213030365</v>
          </cell>
          <cell r="H618" t="str">
            <v>F</v>
          </cell>
        </row>
        <row r="619">
          <cell r="E619" t="str">
            <v>WAIN-FBK-8S CN</v>
          </cell>
          <cell r="F619" t="str">
            <v>ASAHI FUBUKI 8Fr STRAIGHT 90cm</v>
          </cell>
          <cell r="G619">
            <v>20213030365</v>
          </cell>
          <cell r="H619" t="str">
            <v>F</v>
          </cell>
        </row>
        <row r="620">
          <cell r="E620" t="str">
            <v>WAIN-FBK-8S110 CN</v>
          </cell>
          <cell r="F620" t="str">
            <v>ASAHI FUBUKI 8Fr STRAIGHT 110cm</v>
          </cell>
          <cell r="G620">
            <v>20213030365</v>
          </cell>
          <cell r="H620" t="str">
            <v>F</v>
          </cell>
        </row>
        <row r="621">
          <cell r="E621" t="str">
            <v>WAIN-FBK-8S80 CN</v>
          </cell>
          <cell r="F621" t="str">
            <v>ASAHI FUBUKI 8Fr STRAIGHT 80cm</v>
          </cell>
          <cell r="G621">
            <v>20213030365</v>
          </cell>
          <cell r="H621" t="str">
            <v>F</v>
          </cell>
        </row>
        <row r="622">
          <cell r="E622" t="str">
            <v>WAIN-FBK-8SL CN</v>
          </cell>
          <cell r="F622" t="str">
            <v>ASAHI FUBUKI 8Fr STRAIGHT 100cm</v>
          </cell>
          <cell r="G622">
            <v>20213030365</v>
          </cell>
          <cell r="H622" t="str">
            <v>F</v>
          </cell>
        </row>
        <row r="623">
          <cell r="E623" t="str">
            <v>AT24135 CN</v>
          </cell>
          <cell r="F623" t="str">
            <v>Tornus 2.1Fr</v>
          </cell>
          <cell r="G623">
            <v>20173031853</v>
          </cell>
          <cell r="H623" t="str">
            <v>H</v>
          </cell>
        </row>
        <row r="624">
          <cell r="E624" t="str">
            <v>AT35135 CN</v>
          </cell>
          <cell r="F624" t="str">
            <v>Tornus 88Flex 2.6Fr</v>
          </cell>
          <cell r="G624">
            <v>20173031853</v>
          </cell>
          <cell r="H624" t="str">
            <v>H</v>
          </cell>
        </row>
        <row r="625">
          <cell r="E625" t="str">
            <v>US0035B2600 CN</v>
          </cell>
          <cell r="F625" t="str">
            <v>UniQual GW (0.035" 2.6M) Straight cardiology</v>
          </cell>
          <cell r="G625">
            <v>20163035000</v>
          </cell>
          <cell r="H625" t="str">
            <v>E</v>
          </cell>
        </row>
        <row r="626">
          <cell r="E626" t="str">
            <v>UJ1535B2600 CN</v>
          </cell>
          <cell r="F626" t="str">
            <v>UniQual GW (0.035" 2.6M) 1.5J cardiology</v>
          </cell>
          <cell r="G626">
            <v>20163035000</v>
          </cell>
          <cell r="H626" t="str">
            <v>E</v>
          </cell>
        </row>
        <row r="627">
          <cell r="E627" t="str">
            <v>UJ3035B2600 CN</v>
          </cell>
          <cell r="F627" t="str">
            <v>UniQual GW (0.035" 2.6M) 3J cardiology</v>
          </cell>
          <cell r="G627">
            <v>20163035000</v>
          </cell>
          <cell r="H627" t="str">
            <v>E</v>
          </cell>
        </row>
        <row r="628">
          <cell r="E628" t="str">
            <v>UA0035B2600 CN</v>
          </cell>
          <cell r="F628" t="str">
            <v>UniQual GW (0.035" 2.6M) Angle cardiology</v>
          </cell>
          <cell r="G628">
            <v>20163035000</v>
          </cell>
          <cell r="H628" t="str">
            <v>E</v>
          </cell>
        </row>
        <row r="629">
          <cell r="E629" t="str">
            <v>US0035B1500 CN</v>
          </cell>
          <cell r="F629" t="str">
            <v>UniQual GW (0.035" 1.5M) Straight cardiology</v>
          </cell>
          <cell r="G629">
            <v>20163035000</v>
          </cell>
          <cell r="H629" t="str">
            <v>E</v>
          </cell>
        </row>
        <row r="630">
          <cell r="E630" t="str">
            <v>UA0035B1500 CN</v>
          </cell>
          <cell r="F630" t="str">
            <v>UniQual GW (0.035" 1.5M) Angle cardiology</v>
          </cell>
          <cell r="G630">
            <v>20163035000</v>
          </cell>
          <cell r="H630" t="str">
            <v>E</v>
          </cell>
        </row>
        <row r="631">
          <cell r="E631" t="str">
            <v>UJ1535B1500 CN</v>
          </cell>
          <cell r="F631" t="str">
            <v>UniQual GW (0.035" 1.5M) 1.5J cardiology</v>
          </cell>
          <cell r="G631">
            <v>20163035000</v>
          </cell>
          <cell r="H631" t="str">
            <v>E</v>
          </cell>
        </row>
        <row r="632">
          <cell r="E632" t="str">
            <v>UJ3035B1500 CN</v>
          </cell>
          <cell r="F632" t="str">
            <v>UniQual GW (0.035" 1.5M) 3J cardiology</v>
          </cell>
          <cell r="G632">
            <v>20163035000</v>
          </cell>
          <cell r="H632" t="str">
            <v>E</v>
          </cell>
        </row>
        <row r="633">
          <cell r="E633" t="str">
            <v>UA0035B0500 CN</v>
          </cell>
          <cell r="F633" t="str">
            <v>UniQual GW (0.035" 0.5M) Angle cardiology</v>
          </cell>
          <cell r="G633">
            <v>20163035000</v>
          </cell>
          <cell r="H633" t="str">
            <v>E</v>
          </cell>
        </row>
        <row r="634">
          <cell r="E634" t="str">
            <v>UA0035B1800 CN</v>
          </cell>
          <cell r="F634" t="str">
            <v>UniQual GW (0.035" 1.8M) Angle cardiology</v>
          </cell>
          <cell r="G634">
            <v>20163035000</v>
          </cell>
          <cell r="H634" t="str">
            <v>E</v>
          </cell>
        </row>
        <row r="635">
          <cell r="E635" t="str">
            <v>UA0035B2000 CN</v>
          </cell>
          <cell r="F635" t="str">
            <v>UniQual GW (0.035" 2.0M) Angle cardiology</v>
          </cell>
          <cell r="G635">
            <v>20163035000</v>
          </cell>
          <cell r="H635" t="str">
            <v>E</v>
          </cell>
        </row>
        <row r="636">
          <cell r="E636" t="str">
            <v>UA0035B2200 CN</v>
          </cell>
          <cell r="F636" t="str">
            <v>UniQual GW (0.035" 2.2M) Angle cardiology</v>
          </cell>
          <cell r="G636">
            <v>20163035000</v>
          </cell>
          <cell r="H636" t="str">
            <v>E</v>
          </cell>
        </row>
        <row r="637">
          <cell r="E637" t="str">
            <v>UA0035B3000 CN</v>
          </cell>
          <cell r="F637" t="str">
            <v>UniQual GW (0.035" 3.0M) Angle cardiology</v>
          </cell>
          <cell r="G637">
            <v>20163035000</v>
          </cell>
          <cell r="H637" t="str">
            <v>E</v>
          </cell>
        </row>
        <row r="638">
          <cell r="E638" t="str">
            <v>UJ1535B1800 CN</v>
          </cell>
          <cell r="F638" t="str">
            <v>UniQual GW (0.035" 1.8M) 1.5J cardiology</v>
          </cell>
          <cell r="G638">
            <v>20163035000</v>
          </cell>
          <cell r="H638" t="str">
            <v>E</v>
          </cell>
        </row>
        <row r="639">
          <cell r="E639" t="str">
            <v>UJ1535B2000 CN</v>
          </cell>
          <cell r="F639" t="str">
            <v>UniQual GW (0.035" 2.0M) 1.5J cardiology</v>
          </cell>
          <cell r="G639">
            <v>20163035000</v>
          </cell>
          <cell r="H639" t="str">
            <v>E</v>
          </cell>
        </row>
        <row r="640">
          <cell r="E640" t="str">
            <v>UJ1535B2200 CN</v>
          </cell>
          <cell r="F640" t="str">
            <v>UniQual GW (0.035" 2.2M) 1.5J cardiology</v>
          </cell>
          <cell r="G640">
            <v>20163035000</v>
          </cell>
          <cell r="H640" t="str">
            <v>E</v>
          </cell>
        </row>
        <row r="641">
          <cell r="E641" t="str">
            <v>UJ1535B3000 CN</v>
          </cell>
          <cell r="F641" t="str">
            <v>UniQual GW (0.035" 3.0M) 1.5J cardiology</v>
          </cell>
          <cell r="G641">
            <v>20163035000</v>
          </cell>
          <cell r="H641" t="str">
            <v>E</v>
          </cell>
        </row>
        <row r="642">
          <cell r="E642" t="str">
            <v>UJ3035B1800 CN</v>
          </cell>
          <cell r="F642" t="str">
            <v>UniQual GW (0.035" 1.8M) 3J cardiology</v>
          </cell>
          <cell r="G642">
            <v>20163035000</v>
          </cell>
          <cell r="H642" t="str">
            <v>E</v>
          </cell>
        </row>
        <row r="643">
          <cell r="E643" t="str">
            <v>UJ3035B2000 CN</v>
          </cell>
          <cell r="F643" t="str">
            <v>UniQual GW (0.035" 2.0M) 3J cardiology</v>
          </cell>
          <cell r="G643">
            <v>20163035000</v>
          </cell>
          <cell r="H643" t="str">
            <v>E</v>
          </cell>
        </row>
        <row r="644">
          <cell r="E644" t="str">
            <v>UJ3035B3000 CN</v>
          </cell>
          <cell r="F644" t="str">
            <v>UniQual GW (0.035" 3.0M) 3J cardiology</v>
          </cell>
          <cell r="G644">
            <v>20163035000</v>
          </cell>
          <cell r="H644" t="str">
            <v>E</v>
          </cell>
        </row>
        <row r="645">
          <cell r="E645" t="str">
            <v>US0035B1800 CN</v>
          </cell>
          <cell r="F645" t="str">
            <v>UniQual GW (0.035" 1.8M) Straight cardiology</v>
          </cell>
          <cell r="G645">
            <v>20163035000</v>
          </cell>
          <cell r="H645" t="str">
            <v>E</v>
          </cell>
        </row>
        <row r="646">
          <cell r="E646" t="str">
            <v>WMST105-18PWSF CN</v>
          </cell>
          <cell r="F646" t="str">
            <v>ASAHI Masters PARKWAY SOFT 105cm Straight</v>
          </cell>
          <cell r="G646">
            <v>20163032526</v>
          </cell>
          <cell r="H646" t="str">
            <v>H</v>
          </cell>
        </row>
        <row r="647">
          <cell r="E647" t="str">
            <v>WMST125-18PWSF CN</v>
          </cell>
          <cell r="F647" t="str">
            <v>ASAHI Masters PARKWAY SOFT 125cm Straight</v>
          </cell>
          <cell r="G647">
            <v>20163032526</v>
          </cell>
          <cell r="H647" t="str">
            <v>H</v>
          </cell>
        </row>
        <row r="648">
          <cell r="E648" t="str">
            <v>WMST150-18PWSF CN</v>
          </cell>
          <cell r="F648" t="str">
            <v>ASAHI Masters PARKWAY SOFT 150cm Straight</v>
          </cell>
          <cell r="G648">
            <v>20163032526</v>
          </cell>
          <cell r="H648" t="str">
            <v>H</v>
          </cell>
        </row>
        <row r="649">
          <cell r="E649" t="str">
            <v>WMST45A-18PWSSF CN</v>
          </cell>
          <cell r="F649" t="str">
            <v>ASAHI Masters PARKWAY SOFT 105cm Angle</v>
          </cell>
          <cell r="G649">
            <v>20163032526</v>
          </cell>
          <cell r="H649" t="str">
            <v>H</v>
          </cell>
        </row>
        <row r="650">
          <cell r="E650" t="str">
            <v>WMST45A-18PWSF CN</v>
          </cell>
          <cell r="F650" t="str">
            <v>ASAHI Masters PARKWAY SOFT 125cm Angle</v>
          </cell>
          <cell r="G650">
            <v>20163032526</v>
          </cell>
          <cell r="H650" t="str">
            <v>H</v>
          </cell>
        </row>
        <row r="651">
          <cell r="E651" t="str">
            <v>WMST105-18PWSFA CN</v>
          </cell>
          <cell r="F651" t="str">
            <v>ASAHI Masters PARKWAY SOFT 105cm Straight</v>
          </cell>
          <cell r="G651">
            <v>20163032526</v>
          </cell>
          <cell r="H651" t="str">
            <v>H</v>
          </cell>
        </row>
        <row r="652">
          <cell r="E652" t="str">
            <v>WMST125-18PWSFA CN</v>
          </cell>
          <cell r="F652" t="str">
            <v>ASAHI Masters PARKWAY SOFT 125cm Straight</v>
          </cell>
          <cell r="G652">
            <v>20163032526</v>
          </cell>
          <cell r="H652" t="str">
            <v>H</v>
          </cell>
        </row>
        <row r="653">
          <cell r="E653" t="str">
            <v>WMST150-18PWSFA CN</v>
          </cell>
          <cell r="F653" t="str">
            <v>ASAHI Masters PARKWAY SOFT 150cm Straight</v>
          </cell>
          <cell r="G653">
            <v>20163032526</v>
          </cell>
          <cell r="H653" t="str">
            <v>H</v>
          </cell>
        </row>
        <row r="654">
          <cell r="E654" t="str">
            <v>WMST45A-18PWSSFA CN</v>
          </cell>
          <cell r="F654" t="str">
            <v>ASAHI Masters PARKWAY SOFT 105cm Angle</v>
          </cell>
          <cell r="G654">
            <v>20163032526</v>
          </cell>
          <cell r="H654" t="str">
            <v>H</v>
          </cell>
        </row>
        <row r="655">
          <cell r="E655" t="str">
            <v>WMST45A-18PWSFA CN</v>
          </cell>
          <cell r="F655" t="str">
            <v>ASAHI Masters PARKWAY SOFT 125cm Angle</v>
          </cell>
          <cell r="G655">
            <v>20163032526</v>
          </cell>
          <cell r="H655" t="str">
            <v>H</v>
          </cell>
        </row>
        <row r="656">
          <cell r="E656" t="str">
            <v>VEL105-16Y CN</v>
          </cell>
          <cell r="F656" t="str">
            <v>ASAHI Veloute 105cm Y-connector set</v>
          </cell>
          <cell r="G656">
            <v>20193030395</v>
          </cell>
          <cell r="H656" t="str">
            <v>H</v>
          </cell>
        </row>
        <row r="657">
          <cell r="E657" t="str">
            <v>VEL125-16Y CN</v>
          </cell>
          <cell r="F657" t="str">
            <v>ASAHI Veloute 125cm Y-connector set</v>
          </cell>
          <cell r="G657">
            <v>20193030395</v>
          </cell>
          <cell r="H657" t="str">
            <v>H</v>
          </cell>
        </row>
        <row r="658">
          <cell r="E658" t="str">
            <v>VEL150-16Y CN</v>
          </cell>
          <cell r="F658" t="str">
            <v>ASAHI Veloute 150cm Y-connector set</v>
          </cell>
          <cell r="G658">
            <v>20193030395</v>
          </cell>
          <cell r="H658" t="str">
            <v>H</v>
          </cell>
        </row>
        <row r="659">
          <cell r="E659" t="str">
            <v>VEL105-16AY CN</v>
          </cell>
          <cell r="F659" t="str">
            <v>ASAHI Veloute 105cm Angle Y-connector set</v>
          </cell>
          <cell r="G659">
            <v>20193030395</v>
          </cell>
          <cell r="H659" t="str">
            <v>H</v>
          </cell>
        </row>
        <row r="660">
          <cell r="E660" t="str">
            <v>VEL125-16AY CN</v>
          </cell>
          <cell r="F660" t="str">
            <v>ASAHI Veloute 125cm Angle Y-connector set</v>
          </cell>
          <cell r="G660">
            <v>20193030395</v>
          </cell>
          <cell r="H660" t="str">
            <v>H</v>
          </cell>
        </row>
        <row r="661">
          <cell r="E661" t="str">
            <v>TLS105-16Y CN</v>
          </cell>
          <cell r="F661" t="str">
            <v>ASAHI Tellus 105cm Straight Y-connector set</v>
          </cell>
          <cell r="G661">
            <v>20193030395</v>
          </cell>
          <cell r="H661" t="str">
            <v>H</v>
          </cell>
        </row>
        <row r="662">
          <cell r="E662" t="str">
            <v>TLS125-16Y CN</v>
          </cell>
          <cell r="F662" t="str">
            <v>ASAHI Tellus 125cm Straight Y-connector set</v>
          </cell>
          <cell r="G662">
            <v>20193030395</v>
          </cell>
          <cell r="H662" t="str">
            <v>H</v>
          </cell>
        </row>
        <row r="663">
          <cell r="E663" t="str">
            <v>TLS150-16Y CN</v>
          </cell>
          <cell r="F663" t="str">
            <v>ASAHI Tellus 150cm Straight Y-connector set</v>
          </cell>
          <cell r="G663">
            <v>20193030395</v>
          </cell>
          <cell r="H663" t="str">
            <v>H</v>
          </cell>
        </row>
        <row r="664">
          <cell r="E664" t="str">
            <v>TLS105-16AY CN</v>
          </cell>
          <cell r="F664" t="str">
            <v>ASAHI Tellus 105cm Angle Y-connector set</v>
          </cell>
          <cell r="G664">
            <v>20193030395</v>
          </cell>
          <cell r="H664" t="str">
            <v>H</v>
          </cell>
        </row>
        <row r="665">
          <cell r="E665" t="str">
            <v>TLS125-16AY CN</v>
          </cell>
          <cell r="F665" t="str">
            <v>ASAHI Tellus 125cm Angle Y-connector set</v>
          </cell>
          <cell r="G665">
            <v>20193030395</v>
          </cell>
          <cell r="H665" t="str">
            <v>H</v>
          </cell>
        </row>
        <row r="666">
          <cell r="E666" t="str">
            <v>TLS125-16YSR CN</v>
          </cell>
          <cell r="F666" t="str">
            <v>ASAHI Tellus 125cm Screw-R Y-connector set</v>
          </cell>
          <cell r="G666">
            <v>20193030395</v>
          </cell>
          <cell r="H666" t="str">
            <v>H</v>
          </cell>
        </row>
        <row r="667">
          <cell r="E667" t="str">
            <v>TLS125-16YSL CN</v>
          </cell>
          <cell r="F667" t="str">
            <v>ASAHI Tellus 125cm Screw-L Y-connector set</v>
          </cell>
          <cell r="G667">
            <v>20193030395</v>
          </cell>
          <cell r="H667" t="str">
            <v>H</v>
          </cell>
        </row>
        <row r="668">
          <cell r="E668" t="str">
            <v>SA145-33N CN</v>
          </cell>
          <cell r="F668" t="str">
            <v>ASAHI SASUKE</v>
          </cell>
          <cell r="G668">
            <v>20203030289</v>
          </cell>
          <cell r="H668" t="str">
            <v>H</v>
          </cell>
        </row>
        <row r="669">
          <cell r="E669" t="str">
            <v>WMST105-27HF CN</v>
          </cell>
          <cell r="F669" t="str">
            <v>ASAHI Masters PARKWAY HF 105cm Straight</v>
          </cell>
          <cell r="G669">
            <v>20153031899</v>
          </cell>
          <cell r="H669" t="str">
            <v>H</v>
          </cell>
        </row>
        <row r="670">
          <cell r="E670" t="str">
            <v>WMST125-27HF CN</v>
          </cell>
          <cell r="F670" t="str">
            <v>ASAHI Masters PARKWAY HF 125cm Straight</v>
          </cell>
          <cell r="G670">
            <v>20153031899</v>
          </cell>
          <cell r="H670" t="str">
            <v>H</v>
          </cell>
        </row>
        <row r="671">
          <cell r="E671" t="str">
            <v>WMST150-27HF CN</v>
          </cell>
          <cell r="F671" t="str">
            <v>ASAHI Masters PARKWAY HF 150cm Straight</v>
          </cell>
          <cell r="G671">
            <v>20153031899</v>
          </cell>
          <cell r="H671" t="str">
            <v>H</v>
          </cell>
        </row>
        <row r="672">
          <cell r="E672" t="str">
            <v>WMST105-27HFA CN</v>
          </cell>
          <cell r="F672" t="str">
            <v>ASAHI Masters PARKWAY HF 105cm Straight</v>
          </cell>
          <cell r="G672">
            <v>20153031899</v>
          </cell>
          <cell r="H672" t="str">
            <v>H</v>
          </cell>
        </row>
        <row r="673">
          <cell r="E673" t="str">
            <v>WMST125-27HFA CN</v>
          </cell>
          <cell r="F673" t="str">
            <v>ASAHI Masters PARKWAY HF 125cm Straight</v>
          </cell>
          <cell r="G673">
            <v>20153031899</v>
          </cell>
          <cell r="H673" t="str">
            <v>H</v>
          </cell>
        </row>
        <row r="674">
          <cell r="E674" t="str">
            <v>WMST150-27HFA CN</v>
          </cell>
          <cell r="F674" t="str">
            <v>ASAHI Masters PARKWAY HF 150cm Straight</v>
          </cell>
          <cell r="G674">
            <v>20153031899</v>
          </cell>
          <cell r="H674" t="str">
            <v>H</v>
          </cell>
        </row>
        <row r="675">
          <cell r="E675" t="str">
            <v>MST150-27HFR CN</v>
          </cell>
          <cell r="F675" t="str">
            <v>ASAHI Masters PARKWAY HF 150cm Straight</v>
          </cell>
          <cell r="G675">
            <v>0</v>
          </cell>
          <cell r="H675" t="str">
            <v>H</v>
          </cell>
        </row>
        <row r="676">
          <cell r="E676" t="str">
            <v>MST125-27HFR CN</v>
          </cell>
          <cell r="F676" t="str">
            <v>ASAHI Masters PARKWAY HF 125cm Straight</v>
          </cell>
          <cell r="G676">
            <v>0</v>
          </cell>
          <cell r="H676" t="str">
            <v>H</v>
          </cell>
        </row>
        <row r="677">
          <cell r="E677" t="str">
            <v>CSR135-26P CN</v>
          </cell>
          <cell r="F677" t="str">
            <v>ASAHI Corsair Pro 135cm</v>
          </cell>
          <cell r="G677">
            <v>20203030314</v>
          </cell>
          <cell r="H677" t="str">
            <v>H</v>
          </cell>
        </row>
        <row r="678">
          <cell r="E678" t="str">
            <v>CSR150-26P CN</v>
          </cell>
          <cell r="F678" t="str">
            <v>ASAHI Corsair Pro 150cm</v>
          </cell>
          <cell r="G678">
            <v>20203030314</v>
          </cell>
          <cell r="H678" t="str">
            <v>H</v>
          </cell>
        </row>
        <row r="679">
          <cell r="E679" t="str">
            <v>CRV135-19P CN</v>
          </cell>
          <cell r="F679" t="str">
            <v>ASAHI Caravel 135cm</v>
          </cell>
          <cell r="G679">
            <v>20213030249</v>
          </cell>
          <cell r="H679" t="str">
            <v>H</v>
          </cell>
        </row>
        <row r="680">
          <cell r="E680" t="str">
            <v>CRV150-19P CN</v>
          </cell>
          <cell r="F680" t="str">
            <v>ASAHI Caravel 150cm</v>
          </cell>
          <cell r="G680">
            <v>20213030249</v>
          </cell>
          <cell r="H680" t="str">
            <v>H</v>
          </cell>
        </row>
        <row r="681">
          <cell r="E681" t="str">
            <v>CSW135-26N CN</v>
          </cell>
          <cell r="F681" t="str">
            <v>ASAHI Corsair 135cm</v>
          </cell>
          <cell r="G681">
            <v>20153034236</v>
          </cell>
          <cell r="H681" t="str">
            <v>H</v>
          </cell>
        </row>
        <row r="682">
          <cell r="E682" t="str">
            <v>CSW150-26N CN</v>
          </cell>
          <cell r="F682" t="str">
            <v>ASAHI Corsair 150cm</v>
          </cell>
          <cell r="G682">
            <v>20153034236</v>
          </cell>
          <cell r="H682" t="str">
            <v>H</v>
          </cell>
        </row>
        <row r="683">
          <cell r="E683" t="str">
            <v>WAIN-CKI-200 CN</v>
          </cell>
          <cell r="F683" t="str">
            <v>ASAHI Neurovascular Guide Wire ASAHI CHIKAI 200cm</v>
          </cell>
          <cell r="G683">
            <v>20173031493</v>
          </cell>
          <cell r="H683" t="str">
            <v>D</v>
          </cell>
        </row>
        <row r="684">
          <cell r="E684" t="str">
            <v>WAIN-CKI-300 CN</v>
          </cell>
          <cell r="F684" t="str">
            <v>ASAHI Neurovascular Guide Wire ASAHI CHIKAI 300cm</v>
          </cell>
          <cell r="G684">
            <v>20173031493</v>
          </cell>
          <cell r="H684" t="str">
            <v>D</v>
          </cell>
        </row>
        <row r="685">
          <cell r="E685" t="str">
            <v>WAIN-CKI-10-200 CN</v>
          </cell>
          <cell r="F685" t="str">
            <v>ASAHI Neurovascular Guide Wire ASAHI CHIKAI 10 200cm</v>
          </cell>
          <cell r="G685">
            <v>20173031492</v>
          </cell>
          <cell r="H685" t="str">
            <v>D</v>
          </cell>
        </row>
        <row r="686">
          <cell r="E686" t="str">
            <v>WAIN-CKI-10-300 CN</v>
          </cell>
          <cell r="F686" t="str">
            <v>ASAHI Neurovascular Guide Wire ASAHI CHIKAI 10 300cm</v>
          </cell>
          <cell r="G686">
            <v>20173031492</v>
          </cell>
          <cell r="H686" t="str">
            <v>D</v>
          </cell>
        </row>
        <row r="687">
          <cell r="E687" t="str">
            <v>STM135-14S CN</v>
          </cell>
          <cell r="F687" t="str">
            <v>Streaming 14 135cm</v>
          </cell>
          <cell r="G687">
            <v>20173031485</v>
          </cell>
          <cell r="H687" t="str">
            <v>D</v>
          </cell>
        </row>
        <row r="688">
          <cell r="E688" t="str">
            <v>STM165-14S CN</v>
          </cell>
          <cell r="F688" t="str">
            <v>Streaming 14 165cm</v>
          </cell>
          <cell r="G688">
            <v>20173031485</v>
          </cell>
          <cell r="H688" t="str">
            <v>D</v>
          </cell>
        </row>
        <row r="689">
          <cell r="E689" t="str">
            <v>STM180-14S CN</v>
          </cell>
          <cell r="F689" t="str">
            <v>Streaming 14 180cm</v>
          </cell>
          <cell r="G689">
            <v>20173031485</v>
          </cell>
          <cell r="H689" t="str">
            <v>D</v>
          </cell>
        </row>
        <row r="690">
          <cell r="E690" t="str">
            <v>STM180-14A45 CN</v>
          </cell>
          <cell r="F690" t="str">
            <v>Streaming 14 180cm Angle</v>
          </cell>
          <cell r="G690">
            <v>20173031485</v>
          </cell>
          <cell r="H690" t="str">
            <v>D</v>
          </cell>
        </row>
        <row r="691">
          <cell r="E691" t="str">
            <v>STM080-18S CN</v>
          </cell>
          <cell r="F691" t="str">
            <v>Streaming 18 80cm</v>
          </cell>
          <cell r="G691">
            <v>20173031485</v>
          </cell>
          <cell r="H691" t="str">
            <v>D</v>
          </cell>
        </row>
        <row r="692">
          <cell r="E692" t="str">
            <v>STM135-18S CN</v>
          </cell>
          <cell r="F692" t="str">
            <v>Streaming 18 135cm</v>
          </cell>
          <cell r="G692">
            <v>20173031485</v>
          </cell>
          <cell r="H692" t="str">
            <v>D</v>
          </cell>
        </row>
        <row r="693">
          <cell r="E693" t="str">
            <v>STM165-18S CN</v>
          </cell>
          <cell r="F693" t="str">
            <v>Streaming 18 165cm</v>
          </cell>
          <cell r="G693">
            <v>20173031485</v>
          </cell>
          <cell r="H693" t="str">
            <v>D</v>
          </cell>
        </row>
        <row r="694">
          <cell r="E694" t="str">
            <v>STM180-18S CN</v>
          </cell>
          <cell r="F694" t="str">
            <v>Streaming 18 180cm</v>
          </cell>
          <cell r="G694">
            <v>20173031485</v>
          </cell>
          <cell r="H694" t="str">
            <v>D</v>
          </cell>
        </row>
        <row r="695">
          <cell r="E695" t="str">
            <v>WAIN-CKI-200-RC CN</v>
          </cell>
          <cell r="F695" t="str">
            <v>ASAHI CHIKAI 200cm Round curve</v>
          </cell>
          <cell r="G695">
            <v>20173031493</v>
          </cell>
          <cell r="H695" t="str">
            <v>D</v>
          </cell>
        </row>
        <row r="696">
          <cell r="E696" t="str">
            <v>WAIN-CKI-300-RC CN</v>
          </cell>
          <cell r="F696" t="str">
            <v>ASAHI CHIKAI 300cm Round curve</v>
          </cell>
          <cell r="G696">
            <v>20173031493</v>
          </cell>
          <cell r="H696" t="str">
            <v>D</v>
          </cell>
        </row>
        <row r="697">
          <cell r="E697" t="str">
            <v>WCKV165-14C CN</v>
          </cell>
          <cell r="F697" t="str">
            <v>ASAHI CHIKAI V 165cm</v>
          </cell>
          <cell r="G697">
            <v>20183030122</v>
          </cell>
          <cell r="H697" t="str">
            <v>D</v>
          </cell>
        </row>
        <row r="698">
          <cell r="E698" t="str">
            <v>WCKV180-14C CN</v>
          </cell>
          <cell r="F698" t="str">
            <v>ASAHI CHIKAI V 180cm</v>
          </cell>
          <cell r="G698">
            <v>20183030122</v>
          </cell>
          <cell r="H698" t="str">
            <v>D</v>
          </cell>
        </row>
        <row r="699">
          <cell r="E699" t="str">
            <v>WAMS-135-1645C CN</v>
          </cell>
          <cell r="F699" t="str">
            <v>ASAHI Meister 16 135cm Angle 45ﾟ</v>
          </cell>
          <cell r="G699">
            <v>20183030123</v>
          </cell>
          <cell r="H699" t="str">
            <v>D</v>
          </cell>
        </row>
        <row r="700">
          <cell r="E700" t="str">
            <v>WAMS-165-1645C CN</v>
          </cell>
          <cell r="F700" t="str">
            <v>ASAHI Meister 16 165cm Angle 45ﾟ</v>
          </cell>
          <cell r="G700">
            <v>20183030123</v>
          </cell>
          <cell r="H700" t="str">
            <v>D</v>
          </cell>
        </row>
        <row r="701">
          <cell r="E701" t="str">
            <v>WAMS-180-1645C CN</v>
          </cell>
          <cell r="F701" t="str">
            <v>ASAHI Meister 16 180cm Angle 45ﾟ</v>
          </cell>
          <cell r="G701">
            <v>20183030123</v>
          </cell>
          <cell r="H701" t="str">
            <v>D</v>
          </cell>
        </row>
        <row r="702">
          <cell r="E702" t="str">
            <v>WAMS-135-16WAC CN</v>
          </cell>
          <cell r="F702" t="str">
            <v>ASAHI Meister 16 135cm W-Angle</v>
          </cell>
          <cell r="G702">
            <v>20183030123</v>
          </cell>
          <cell r="H702" t="str">
            <v>D</v>
          </cell>
        </row>
        <row r="703">
          <cell r="E703" t="str">
            <v>WAMS-165-16WAC CN</v>
          </cell>
          <cell r="F703" t="str">
            <v>ASAHI Meister 16 165cm W-Angle</v>
          </cell>
          <cell r="G703">
            <v>20183030123</v>
          </cell>
          <cell r="H703" t="str">
            <v>D</v>
          </cell>
        </row>
        <row r="704">
          <cell r="E704" t="str">
            <v>WAMS-180-16WAC CN</v>
          </cell>
          <cell r="F704" t="str">
            <v>ASAHI Meister 16 180cm W-Angle</v>
          </cell>
          <cell r="G704">
            <v>20183030123</v>
          </cell>
          <cell r="H704" t="str">
            <v>D</v>
          </cell>
        </row>
        <row r="705">
          <cell r="E705" t="str">
            <v>WAMS-135-16STC CN</v>
          </cell>
          <cell r="F705" t="str">
            <v>ASAHI Meister 16 135cm Round curve</v>
          </cell>
          <cell r="G705">
            <v>20183030123</v>
          </cell>
          <cell r="H705" t="str">
            <v>D</v>
          </cell>
        </row>
        <row r="706">
          <cell r="E706" t="str">
            <v>WAMS-165-16STC CN</v>
          </cell>
          <cell r="F706" t="str">
            <v>ASAHI Meister 16 165cm Round curve</v>
          </cell>
          <cell r="G706">
            <v>20183030123</v>
          </cell>
          <cell r="H706" t="str">
            <v>D</v>
          </cell>
        </row>
        <row r="707">
          <cell r="E707" t="str">
            <v>WAMS-180-16STC CN</v>
          </cell>
          <cell r="F707" t="str">
            <v>ASAHI Meister 16 180cm Round curve</v>
          </cell>
          <cell r="G707">
            <v>20183030123</v>
          </cell>
          <cell r="H707" t="str">
            <v>D</v>
          </cell>
        </row>
        <row r="708">
          <cell r="E708" t="str">
            <v>WAIN-CKI-200-BA CN</v>
          </cell>
          <cell r="F708" t="str">
            <v>ASAHI CHIKAI black 200cm 90ﾟ</v>
          </cell>
          <cell r="G708">
            <v>20173031493</v>
          </cell>
          <cell r="H708" t="str">
            <v>D</v>
          </cell>
        </row>
        <row r="709">
          <cell r="E709" t="str">
            <v>WAIN-CKI-200-BS CN</v>
          </cell>
          <cell r="F709" t="str">
            <v>ASAHI CHIKAI black 200cm Round curve</v>
          </cell>
          <cell r="G709">
            <v>20173031493</v>
          </cell>
          <cell r="H709" t="str">
            <v>D</v>
          </cell>
        </row>
        <row r="710">
          <cell r="E710" t="str">
            <v>NA</v>
          </cell>
          <cell r="F710" t="str">
            <v>Micro catheter  Accessory</v>
          </cell>
          <cell r="G710" t="str">
            <v>Same as Micro Catheter</v>
          </cell>
          <cell r="H710" t="str">
            <v>K</v>
          </cell>
        </row>
        <row r="711">
          <cell r="E711" t="str">
            <v>NA</v>
          </cell>
          <cell r="F711" t="str">
            <v>Micro catheter  Accessory</v>
          </cell>
          <cell r="G711">
            <v>0</v>
          </cell>
          <cell r="H711" t="str">
            <v>K</v>
          </cell>
        </row>
        <row r="712">
          <cell r="E712" t="str">
            <v>NA</v>
          </cell>
          <cell r="F712" t="str">
            <v>Micro catheter  Accessory</v>
          </cell>
          <cell r="G712">
            <v>0</v>
          </cell>
          <cell r="H712" t="str">
            <v>K</v>
          </cell>
        </row>
        <row r="713">
          <cell r="E713" t="str">
            <v>NA</v>
          </cell>
          <cell r="F713" t="str">
            <v>Micro catheter  Accessory</v>
          </cell>
          <cell r="G713">
            <v>0</v>
          </cell>
          <cell r="H713" t="str">
            <v>K</v>
          </cell>
        </row>
        <row r="714">
          <cell r="E714" t="str">
            <v>NA</v>
          </cell>
          <cell r="F714" t="str">
            <v>Micro catheter  Accessory</v>
          </cell>
          <cell r="G714">
            <v>0</v>
          </cell>
          <cell r="H714" t="str">
            <v>K</v>
          </cell>
        </row>
        <row r="715">
          <cell r="E715" t="str">
            <v>NA</v>
          </cell>
          <cell r="F715" t="str">
            <v>Micro catheter  Accessory</v>
          </cell>
          <cell r="G715">
            <v>0</v>
          </cell>
          <cell r="H715" t="str">
            <v>K</v>
          </cell>
        </row>
        <row r="716">
          <cell r="E716" t="str">
            <v>NA</v>
          </cell>
          <cell r="F716" t="str">
            <v>Micro catheter  Accessory</v>
          </cell>
          <cell r="G716">
            <v>0</v>
          </cell>
          <cell r="H716" t="str">
            <v>K</v>
          </cell>
        </row>
        <row r="717">
          <cell r="E717" t="str">
            <v>NA</v>
          </cell>
          <cell r="F717" t="str">
            <v>Micro catheter  Accessory</v>
          </cell>
          <cell r="G717">
            <v>0</v>
          </cell>
          <cell r="H717" t="str">
            <v>K</v>
          </cell>
        </row>
        <row r="718">
          <cell r="E718" t="str">
            <v>NA</v>
          </cell>
          <cell r="F718" t="str">
            <v>Micro catheter  Accessory</v>
          </cell>
          <cell r="G718">
            <v>0</v>
          </cell>
          <cell r="H718" t="str">
            <v>K</v>
          </cell>
        </row>
        <row r="719">
          <cell r="E719" t="str">
            <v>NA</v>
          </cell>
          <cell r="F719" t="str">
            <v>Micro catheter  Accessory</v>
          </cell>
          <cell r="G719">
            <v>0</v>
          </cell>
          <cell r="H719" t="str">
            <v>K</v>
          </cell>
        </row>
        <row r="720">
          <cell r="E720" t="str">
            <v>NA</v>
          </cell>
          <cell r="F720" t="str">
            <v>Micro catheter  Accessory</v>
          </cell>
          <cell r="G720">
            <v>0</v>
          </cell>
          <cell r="H720" t="str">
            <v>K</v>
          </cell>
        </row>
        <row r="721">
          <cell r="E721" t="str">
            <v>NA</v>
          </cell>
          <cell r="F721" t="str">
            <v>Micro catheter  Accessory</v>
          </cell>
          <cell r="G721">
            <v>0</v>
          </cell>
          <cell r="H721" t="str">
            <v>K</v>
          </cell>
        </row>
        <row r="722">
          <cell r="E722" t="str">
            <v>NA</v>
          </cell>
          <cell r="F722" t="str">
            <v>Micro catheter  Accessory</v>
          </cell>
          <cell r="G722">
            <v>0</v>
          </cell>
          <cell r="H722" t="str">
            <v>K</v>
          </cell>
        </row>
        <row r="723">
          <cell r="E723" t="str">
            <v>NA</v>
          </cell>
          <cell r="F723" t="str">
            <v>Micro catheter  Accessory</v>
          </cell>
          <cell r="G723">
            <v>0</v>
          </cell>
          <cell r="H723" t="str">
            <v>K</v>
          </cell>
        </row>
        <row r="724">
          <cell r="E724" t="str">
            <v>NA</v>
          </cell>
          <cell r="F724" t="str">
            <v>Micro catheter  Accessory</v>
          </cell>
          <cell r="G724">
            <v>0</v>
          </cell>
          <cell r="H724" t="str">
            <v>K</v>
          </cell>
        </row>
        <row r="725">
          <cell r="E725" t="str">
            <v>NA</v>
          </cell>
          <cell r="F725" t="str">
            <v>Micro catheter  Accessory</v>
          </cell>
          <cell r="G725">
            <v>0</v>
          </cell>
          <cell r="H725" t="str">
            <v>K</v>
          </cell>
        </row>
        <row r="726">
          <cell r="E726" t="str">
            <v>NA</v>
          </cell>
          <cell r="F726" t="str">
            <v>Micro catheter  Accessory</v>
          </cell>
          <cell r="G726">
            <v>0</v>
          </cell>
          <cell r="H726" t="str">
            <v>K</v>
          </cell>
        </row>
        <row r="727">
          <cell r="E727" t="str">
            <v>2009051 Masters HF CN</v>
          </cell>
          <cell r="F727" t="str">
            <v>Micro catheter  Accessory</v>
          </cell>
          <cell r="G727">
            <v>0</v>
          </cell>
          <cell r="H727" t="str">
            <v>K</v>
          </cell>
        </row>
        <row r="728">
          <cell r="E728" t="str">
            <v>NA</v>
          </cell>
          <cell r="F728" t="str">
            <v>Micro catheter  Accessory</v>
          </cell>
          <cell r="G728">
            <v>0</v>
          </cell>
          <cell r="H728" t="str">
            <v>K</v>
          </cell>
        </row>
        <row r="729">
          <cell r="E729" t="str">
            <v>NA</v>
          </cell>
          <cell r="F729" t="str">
            <v>Micro catheter  Accessory</v>
          </cell>
          <cell r="G729">
            <v>0</v>
          </cell>
          <cell r="H729" t="str">
            <v>K</v>
          </cell>
        </row>
        <row r="730">
          <cell r="E730" t="str">
            <v>NA</v>
          </cell>
          <cell r="F730" t="str">
            <v>Micro catheter  Accessory</v>
          </cell>
          <cell r="G730">
            <v>0</v>
          </cell>
          <cell r="H730" t="str">
            <v>K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r.w (3)"/>
      <sheetName val="PO MIX"/>
      <sheetName val="23H"/>
      <sheetName val="23C"/>
      <sheetName val="27K"/>
      <sheetName val="27C"/>
      <sheetName val="27C (2)"/>
      <sheetName val="29C"/>
      <sheetName val="29K"/>
      <sheetName val="03C"/>
      <sheetName val="03K"/>
      <sheetName val="05C"/>
      <sheetName val="05K"/>
      <sheetName val="07K"/>
      <sheetName val="07C"/>
      <sheetName val="R.W"/>
      <sheetName val="13C"/>
      <sheetName val="13K"/>
      <sheetName val="15C"/>
      <sheetName val="15C (2)"/>
      <sheetName val="15K"/>
      <sheetName val="18C"/>
      <sheetName val="18C(2)"/>
      <sheetName val="18H"/>
      <sheetName val="PO CAG"/>
      <sheetName val="PO CAG (2)"/>
      <sheetName val="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G1">
            <v>3569</v>
          </cell>
          <cell r="H1">
            <v>0</v>
          </cell>
          <cell r="I1">
            <v>2635</v>
          </cell>
        </row>
        <row r="2">
          <cell r="A2" t="str">
            <v>PO</v>
          </cell>
          <cell r="B2" t="str">
            <v>Plnd order</v>
          </cell>
          <cell r="C2" t="str">
            <v>Material</v>
          </cell>
          <cell r="D2" t="str">
            <v>Drawing list No</v>
          </cell>
          <cell r="E2" t="str">
            <v>Item Name / Description</v>
          </cell>
          <cell r="F2" t="str">
            <v>Destination</v>
          </cell>
          <cell r="G2" t="str">
            <v>q'ty</v>
          </cell>
          <cell r="H2" t="str">
            <v>q'ty</v>
          </cell>
          <cell r="I2" t="str">
            <v>GAP</v>
          </cell>
          <cell r="K2" t="str">
            <v>Complete
Plan Date</v>
          </cell>
          <cell r="L2" t="str">
            <v>ETD</v>
          </cell>
        </row>
        <row r="3">
          <cell r="A3" t="str">
            <v>CA-H2608-PD-153</v>
          </cell>
          <cell r="B3" t="str">
            <v xml:space="preserve">Caravel </v>
          </cell>
          <cell r="C3">
            <v>11122087</v>
          </cell>
          <cell r="D3" t="str">
            <v>2341003-B-A</v>
          </cell>
          <cell r="E3" t="str">
            <v>CRV135-19P CE3</v>
          </cell>
          <cell r="F3" t="str">
            <v>Oversea</v>
          </cell>
          <cell r="G3">
            <v>799</v>
          </cell>
          <cell r="H3">
            <v>799</v>
          </cell>
          <cell r="I3">
            <v>0</v>
          </cell>
          <cell r="J3" t="str">
            <v>FINISH</v>
          </cell>
          <cell r="K3">
            <v>46261</v>
          </cell>
          <cell r="L3">
            <v>46268</v>
          </cell>
        </row>
        <row r="4">
          <cell r="A4" t="str">
            <v>CA-H2608-PD-154</v>
          </cell>
          <cell r="B4" t="str">
            <v xml:space="preserve">Caravel </v>
          </cell>
          <cell r="C4">
            <v>11122088</v>
          </cell>
          <cell r="D4" t="str">
            <v>2341004-B-A</v>
          </cell>
          <cell r="E4" t="str">
            <v>CRV150-19P CE3</v>
          </cell>
          <cell r="F4" t="str">
            <v>Oversea</v>
          </cell>
          <cell r="G4">
            <v>268</v>
          </cell>
          <cell r="H4">
            <v>268</v>
          </cell>
          <cell r="I4">
            <v>0</v>
          </cell>
          <cell r="J4" t="str">
            <v>FINISH</v>
          </cell>
          <cell r="K4">
            <v>46261</v>
          </cell>
          <cell r="L4">
            <v>46268</v>
          </cell>
        </row>
        <row r="5">
          <cell r="A5" t="str">
            <v>CA-H2608-PD-155</v>
          </cell>
          <cell r="B5" t="str">
            <v xml:space="preserve">Crosswalk </v>
          </cell>
          <cell r="C5">
            <v>11112524</v>
          </cell>
          <cell r="D5" t="str">
            <v>PSC18150S-E-A</v>
          </cell>
          <cell r="E5" t="str">
            <v>PSC18150S US</v>
          </cell>
          <cell r="F5" t="str">
            <v>USA</v>
          </cell>
          <cell r="G5">
            <v>80</v>
          </cell>
          <cell r="H5">
            <v>80</v>
          </cell>
          <cell r="I5">
            <v>0</v>
          </cell>
          <cell r="J5" t="str">
            <v>FINISH</v>
          </cell>
          <cell r="K5">
            <v>46261</v>
          </cell>
          <cell r="L5">
            <v>46268</v>
          </cell>
        </row>
        <row r="6">
          <cell r="A6" t="str">
            <v>CA-H2608-PD-156</v>
          </cell>
          <cell r="B6" t="str">
            <v xml:space="preserve">Crosswalk </v>
          </cell>
          <cell r="C6">
            <v>11112481</v>
          </cell>
          <cell r="D6" t="str">
            <v>PSC35135A-E-A</v>
          </cell>
          <cell r="E6" t="str">
            <v>PSC35135A US</v>
          </cell>
          <cell r="F6" t="str">
            <v>USA</v>
          </cell>
          <cell r="G6">
            <v>55</v>
          </cell>
          <cell r="H6">
            <v>55</v>
          </cell>
          <cell r="I6">
            <v>0</v>
          </cell>
          <cell r="J6" t="str">
            <v>FINISH</v>
          </cell>
          <cell r="K6">
            <v>46261</v>
          </cell>
          <cell r="L6">
            <v>46268</v>
          </cell>
        </row>
        <row r="7">
          <cell r="A7" t="str">
            <v>CA-H2608-PD-157</v>
          </cell>
          <cell r="B7" t="str">
            <v xml:space="preserve">Corsair-pro </v>
          </cell>
          <cell r="C7">
            <v>11121773</v>
          </cell>
          <cell r="D7" t="str">
            <v>1941097-B-A</v>
          </cell>
          <cell r="E7" t="str">
            <v>CSR150-26P US</v>
          </cell>
          <cell r="F7" t="str">
            <v>USA</v>
          </cell>
          <cell r="G7">
            <v>174</v>
          </cell>
          <cell r="H7">
            <v>174</v>
          </cell>
          <cell r="I7">
            <v>0</v>
          </cell>
          <cell r="J7" t="str">
            <v>FINISH</v>
          </cell>
          <cell r="K7">
            <v>46261</v>
          </cell>
          <cell r="L7">
            <v>46268</v>
          </cell>
        </row>
        <row r="8">
          <cell r="A8" t="str">
            <v>CA-H2608-PD-158</v>
          </cell>
          <cell r="B8" t="str">
            <v xml:space="preserve">Crosswalk </v>
          </cell>
          <cell r="C8">
            <v>11112487</v>
          </cell>
          <cell r="D8" t="str">
            <v>PSC35150S-E-A</v>
          </cell>
          <cell r="E8" t="str">
            <v>PSC35150S US</v>
          </cell>
          <cell r="F8" t="str">
            <v>USA</v>
          </cell>
          <cell r="G8">
            <v>10</v>
          </cell>
          <cell r="H8">
            <v>10</v>
          </cell>
          <cell r="I8">
            <v>0</v>
          </cell>
          <cell r="J8" t="str">
            <v>FINISH</v>
          </cell>
          <cell r="K8">
            <v>46261</v>
          </cell>
          <cell r="L8">
            <v>46268</v>
          </cell>
        </row>
        <row r="9">
          <cell r="A9" t="str">
            <v>CA-H2608-PD-159</v>
          </cell>
          <cell r="B9" t="str">
            <v xml:space="preserve">Crosswalk </v>
          </cell>
          <cell r="C9">
            <v>11112514</v>
          </cell>
          <cell r="D9" t="str">
            <v>PSC14150S-E-A</v>
          </cell>
          <cell r="E9" t="str">
            <v>PSC14150S US</v>
          </cell>
          <cell r="F9" t="str">
            <v>USA</v>
          </cell>
          <cell r="G9">
            <v>65</v>
          </cell>
          <cell r="H9">
            <v>65</v>
          </cell>
          <cell r="I9">
            <v>0</v>
          </cell>
          <cell r="J9" t="str">
            <v>FINISH</v>
          </cell>
          <cell r="K9">
            <v>46261</v>
          </cell>
          <cell r="L9">
            <v>46268</v>
          </cell>
        </row>
        <row r="10">
          <cell r="A10" t="str">
            <v>CA-H2608-PD-160</v>
          </cell>
          <cell r="B10" t="str">
            <v xml:space="preserve">Caravel </v>
          </cell>
          <cell r="C10">
            <v>11134402</v>
          </cell>
          <cell r="D10" t="str">
            <v>1941103-C-A</v>
          </cell>
          <cell r="E10" t="str">
            <v>CRV150-19P US2</v>
          </cell>
          <cell r="F10" t="str">
            <v>USA</v>
          </cell>
          <cell r="G10">
            <v>268</v>
          </cell>
          <cell r="H10">
            <v>268</v>
          </cell>
          <cell r="I10">
            <v>0</v>
          </cell>
          <cell r="J10" t="str">
            <v>FINISH</v>
          </cell>
          <cell r="K10">
            <v>46261</v>
          </cell>
          <cell r="L10">
            <v>46268</v>
          </cell>
        </row>
        <row r="11">
          <cell r="A11" t="str">
            <v>CA-H2608-PD-161</v>
          </cell>
          <cell r="B11" t="str">
            <v xml:space="preserve">Caravel </v>
          </cell>
          <cell r="C11">
            <v>11134401</v>
          </cell>
          <cell r="D11" t="str">
            <v>1941102-C-A</v>
          </cell>
          <cell r="E11" t="str">
            <v>CRV135-19P US2</v>
          </cell>
          <cell r="F11" t="str">
            <v>USA</v>
          </cell>
          <cell r="G11">
            <v>1065</v>
          </cell>
          <cell r="H11">
            <v>1065</v>
          </cell>
          <cell r="I11">
            <v>0</v>
          </cell>
          <cell r="J11" t="str">
            <v>FINISH</v>
          </cell>
          <cell r="K11">
            <v>46261</v>
          </cell>
          <cell r="L11">
            <v>46268</v>
          </cell>
        </row>
        <row r="12">
          <cell r="A12" t="str">
            <v>CA-H2608-PD-162</v>
          </cell>
          <cell r="B12" t="str">
            <v xml:space="preserve">Corsair-pro </v>
          </cell>
          <cell r="C12">
            <v>11121772</v>
          </cell>
          <cell r="D12" t="str">
            <v>1941096-B-A</v>
          </cell>
          <cell r="E12" t="str">
            <v>CSR135-26P US</v>
          </cell>
          <cell r="F12" t="str">
            <v>USA</v>
          </cell>
          <cell r="G12">
            <v>1533</v>
          </cell>
          <cell r="H12">
            <v>1533</v>
          </cell>
          <cell r="I12">
            <v>0</v>
          </cell>
          <cell r="J12" t="str">
            <v>FINISH</v>
          </cell>
          <cell r="K12">
            <v>46261</v>
          </cell>
          <cell r="L12">
            <v>46268</v>
          </cell>
        </row>
        <row r="13">
          <cell r="A13" t="str">
            <v>CA-H2607-PD-610</v>
          </cell>
          <cell r="B13" t="str">
            <v>HyperionYubo changed</v>
          </cell>
          <cell r="C13">
            <v>11131302</v>
          </cell>
          <cell r="D13" t="str">
            <v>2211219-E-A</v>
          </cell>
          <cell r="E13" t="str">
            <v>HW70SP300P10000 NOCE</v>
          </cell>
          <cell r="F13" t="str">
            <v>Oversea</v>
          </cell>
          <cell r="G13">
            <v>10</v>
          </cell>
          <cell r="H13">
            <v>10</v>
          </cell>
          <cell r="I13">
            <v>0</v>
          </cell>
          <cell r="J13" t="str">
            <v>FINISH</v>
          </cell>
          <cell r="K13">
            <v>46258</v>
          </cell>
          <cell r="L13">
            <v>46269</v>
          </cell>
        </row>
        <row r="14">
          <cell r="A14" t="str">
            <v>CA-H2607-PD-612</v>
          </cell>
          <cell r="B14" t="str">
            <v xml:space="preserve">Hyperion </v>
          </cell>
          <cell r="C14">
            <v>11130546</v>
          </cell>
          <cell r="D14" t="str">
            <v>2211018-C-A</v>
          </cell>
          <cell r="E14" t="str">
            <v>HW60JL350P10000 NOCE</v>
          </cell>
          <cell r="F14" t="str">
            <v>Oversea</v>
          </cell>
          <cell r="G14">
            <v>10</v>
          </cell>
          <cell r="H14">
            <v>10</v>
          </cell>
          <cell r="I14">
            <v>0</v>
          </cell>
          <cell r="J14" t="str">
            <v>FINISH</v>
          </cell>
          <cell r="K14">
            <v>46258</v>
          </cell>
          <cell r="L14">
            <v>46269</v>
          </cell>
        </row>
        <row r="15">
          <cell r="A15" t="str">
            <v>CA-H2607-PD-615</v>
          </cell>
          <cell r="B15" t="str">
            <v xml:space="preserve">Hyperion </v>
          </cell>
          <cell r="C15">
            <v>11130545</v>
          </cell>
          <cell r="D15" t="str">
            <v>2211017-C-A</v>
          </cell>
          <cell r="E15" t="str">
            <v>HW60JL300P10000 NOCE</v>
          </cell>
          <cell r="F15" t="str">
            <v>Oversea</v>
          </cell>
          <cell r="G15">
            <v>10</v>
          </cell>
          <cell r="H15">
            <v>10</v>
          </cell>
          <cell r="I15">
            <v>0</v>
          </cell>
          <cell r="J15" t="str">
            <v>FINISH</v>
          </cell>
          <cell r="K15">
            <v>46258</v>
          </cell>
          <cell r="L15">
            <v>46269</v>
          </cell>
        </row>
        <row r="16">
          <cell r="A16" t="str">
            <v>CA-H2608-PD-049</v>
          </cell>
          <cell r="B16" t="str">
            <v xml:space="preserve">Caravel </v>
          </cell>
          <cell r="C16">
            <v>11131256</v>
          </cell>
          <cell r="D16" t="str">
            <v>1841033-E-A</v>
          </cell>
          <cell r="E16" t="str">
            <v>CRV135-19M JP</v>
          </cell>
          <cell r="F16" t="str">
            <v>JAPAN</v>
          </cell>
          <cell r="G16">
            <v>3402</v>
          </cell>
          <cell r="H16">
            <v>3402</v>
          </cell>
          <cell r="I16">
            <v>0</v>
          </cell>
          <cell r="J16" t="str">
            <v>FINISH</v>
          </cell>
          <cell r="K16">
            <v>46262</v>
          </cell>
          <cell r="L16">
            <v>46269</v>
          </cell>
        </row>
        <row r="17">
          <cell r="A17" t="str">
            <v>CA-H2608-PD-050</v>
          </cell>
          <cell r="B17" t="str">
            <v xml:space="preserve">Corsair-pro </v>
          </cell>
          <cell r="C17">
            <v>11131258</v>
          </cell>
          <cell r="D17" t="str">
            <v>1941001-D-A</v>
          </cell>
          <cell r="E17" t="str">
            <v>CSR135-26PR JP</v>
          </cell>
          <cell r="F17" t="str">
            <v>JAPAN</v>
          </cell>
          <cell r="G17">
            <v>1264</v>
          </cell>
          <cell r="H17">
            <v>1264</v>
          </cell>
          <cell r="I17">
            <v>0</v>
          </cell>
          <cell r="J17" t="str">
            <v>FINISH</v>
          </cell>
          <cell r="K17">
            <v>46262</v>
          </cell>
          <cell r="L17">
            <v>46269</v>
          </cell>
        </row>
        <row r="18">
          <cell r="A18" t="str">
            <v>CA-H2608-PD-051</v>
          </cell>
          <cell r="B18" t="str">
            <v xml:space="preserve">Corsair-PV </v>
          </cell>
          <cell r="C18">
            <v>11127835</v>
          </cell>
          <cell r="D18" t="str">
            <v>1941079-D-A</v>
          </cell>
          <cell r="E18" t="str">
            <v>CSRP135-26NR JP</v>
          </cell>
          <cell r="F18" t="str">
            <v>JAPAN</v>
          </cell>
          <cell r="G18">
            <v>335</v>
          </cell>
          <cell r="H18">
            <v>335</v>
          </cell>
          <cell r="I18">
            <v>0</v>
          </cell>
          <cell r="J18" t="str">
            <v>FINISH</v>
          </cell>
          <cell r="K18">
            <v>46262</v>
          </cell>
          <cell r="L18">
            <v>46269</v>
          </cell>
        </row>
        <row r="19">
          <cell r="A19" t="str">
            <v>CA-H2608-PD-052</v>
          </cell>
          <cell r="B19" t="str">
            <v xml:space="preserve">Corsair-PV </v>
          </cell>
          <cell r="C19">
            <v>11127836</v>
          </cell>
          <cell r="D19" t="str">
            <v>1941080-D-A</v>
          </cell>
          <cell r="E19" t="str">
            <v>CSRP150-26NR JP</v>
          </cell>
          <cell r="F19" t="str">
            <v>JAPAN</v>
          </cell>
          <cell r="G19">
            <v>78</v>
          </cell>
          <cell r="H19">
            <v>78</v>
          </cell>
          <cell r="I19">
            <v>0</v>
          </cell>
          <cell r="J19" t="str">
            <v>FINISH</v>
          </cell>
          <cell r="K19">
            <v>46262</v>
          </cell>
          <cell r="L19">
            <v>46269</v>
          </cell>
        </row>
        <row r="20">
          <cell r="A20" t="str">
            <v>CA-H2608-PD-053</v>
          </cell>
          <cell r="B20" t="str">
            <v xml:space="preserve">Hyperion </v>
          </cell>
          <cell r="C20">
            <v>11119334</v>
          </cell>
          <cell r="D20" t="str">
            <v>1911002-D-A</v>
          </cell>
          <cell r="E20" t="str">
            <v>HJ60AL072P10020 JP</v>
          </cell>
          <cell r="F20" t="str">
            <v>JAPAN</v>
          </cell>
          <cell r="G20">
            <v>10</v>
          </cell>
          <cell r="H20">
            <v>10</v>
          </cell>
          <cell r="I20">
            <v>0</v>
          </cell>
          <cell r="J20" t="str">
            <v>FINISH</v>
          </cell>
          <cell r="K20">
            <v>46262</v>
          </cell>
          <cell r="L20">
            <v>46269</v>
          </cell>
        </row>
        <row r="21">
          <cell r="A21" t="str">
            <v>CA-H2608-PD-054</v>
          </cell>
          <cell r="B21" t="str">
            <v xml:space="preserve">Hyperion </v>
          </cell>
          <cell r="C21">
            <v>11119414</v>
          </cell>
          <cell r="D21" t="str">
            <v>1911082-D-A</v>
          </cell>
          <cell r="E21" t="str">
            <v>HJ60AL072P10022 JP</v>
          </cell>
          <cell r="F21" t="str">
            <v>JAPAN</v>
          </cell>
          <cell r="G21">
            <v>19</v>
          </cell>
          <cell r="H21">
            <v>19</v>
          </cell>
          <cell r="I21">
            <v>0</v>
          </cell>
          <cell r="J21" t="str">
            <v>FINISH</v>
          </cell>
          <cell r="K21">
            <v>46262</v>
          </cell>
          <cell r="L21">
            <v>46269</v>
          </cell>
        </row>
        <row r="22">
          <cell r="A22" t="str">
            <v>CA-H2608-PD-055</v>
          </cell>
          <cell r="B22" t="str">
            <v xml:space="preserve">Hyperion </v>
          </cell>
          <cell r="C22">
            <v>11119337</v>
          </cell>
          <cell r="D22" t="str">
            <v>1911005-E-A</v>
          </cell>
          <cell r="E22" t="str">
            <v>HJ60AL100P10020 JP</v>
          </cell>
          <cell r="F22" t="str">
            <v>JAPAN</v>
          </cell>
          <cell r="G22">
            <v>208</v>
          </cell>
          <cell r="H22">
            <v>208</v>
          </cell>
          <cell r="I22">
            <v>0</v>
          </cell>
          <cell r="J22" t="str">
            <v>FINISH</v>
          </cell>
          <cell r="K22">
            <v>46262</v>
          </cell>
          <cell r="L22">
            <v>46269</v>
          </cell>
        </row>
        <row r="23">
          <cell r="A23" t="str">
            <v>CA-H2608-PD-056</v>
          </cell>
          <cell r="B23" t="str">
            <v xml:space="preserve">Hyperion </v>
          </cell>
          <cell r="C23">
            <v>11119341</v>
          </cell>
          <cell r="D23" t="str">
            <v>1911009-D-A</v>
          </cell>
          <cell r="E23" t="str">
            <v>HJ60AL100P10021 JP</v>
          </cell>
          <cell r="F23" t="str">
            <v>JAPAN</v>
          </cell>
          <cell r="G23">
            <v>2</v>
          </cell>
          <cell r="H23">
            <v>2</v>
          </cell>
          <cell r="I23">
            <v>0</v>
          </cell>
          <cell r="J23" t="str">
            <v>FINISH</v>
          </cell>
          <cell r="K23">
            <v>46262</v>
          </cell>
          <cell r="L23">
            <v>46269</v>
          </cell>
        </row>
        <row r="24">
          <cell r="A24" t="str">
            <v>CA-H2608-PD-057</v>
          </cell>
          <cell r="B24" t="str">
            <v xml:space="preserve">Hyperion </v>
          </cell>
          <cell r="C24">
            <v>11119415</v>
          </cell>
          <cell r="D24" t="str">
            <v>1911083-D-A</v>
          </cell>
          <cell r="E24" t="str">
            <v>HJ60AL100P10022 JP</v>
          </cell>
          <cell r="F24" t="str">
            <v>JAPAN</v>
          </cell>
          <cell r="G24">
            <v>435</v>
          </cell>
          <cell r="H24">
            <v>435</v>
          </cell>
          <cell r="I24">
            <v>0</v>
          </cell>
          <cell r="J24" t="str">
            <v>FINISH</v>
          </cell>
          <cell r="K24">
            <v>46262</v>
          </cell>
          <cell r="L24">
            <v>46269</v>
          </cell>
        </row>
        <row r="25">
          <cell r="A25" t="str">
            <v>CA-H2608-PD-058</v>
          </cell>
          <cell r="B25" t="str">
            <v xml:space="preserve">Hyperion </v>
          </cell>
          <cell r="C25">
            <v>11119339</v>
          </cell>
          <cell r="D25" t="str">
            <v>1911007-D-A</v>
          </cell>
          <cell r="E25" t="str">
            <v>HJ60AL102P10020 JP</v>
          </cell>
          <cell r="F25" t="str">
            <v>JAPAN</v>
          </cell>
          <cell r="G25">
            <v>121</v>
          </cell>
          <cell r="H25">
            <v>121</v>
          </cell>
          <cell r="I25">
            <v>0</v>
          </cell>
          <cell r="J25" t="str">
            <v>FINISH</v>
          </cell>
          <cell r="K25">
            <v>46262</v>
          </cell>
          <cell r="L25">
            <v>46269</v>
          </cell>
        </row>
        <row r="26">
          <cell r="A26" t="str">
            <v>CA-H2608-PD-059</v>
          </cell>
          <cell r="B26" t="str">
            <v xml:space="preserve">Hyperion </v>
          </cell>
          <cell r="C26">
            <v>11119416</v>
          </cell>
          <cell r="D26" t="str">
            <v>1911084-E-A</v>
          </cell>
          <cell r="E26" t="str">
            <v>HJ60AL102P10022 JP</v>
          </cell>
          <cell r="F26" t="str">
            <v>JAPAN</v>
          </cell>
          <cell r="G26">
            <v>177</v>
          </cell>
          <cell r="H26">
            <v>177</v>
          </cell>
          <cell r="I26">
            <v>0</v>
          </cell>
          <cell r="J26" t="str">
            <v>FINISH</v>
          </cell>
          <cell r="K26">
            <v>46262</v>
          </cell>
          <cell r="L26">
            <v>46269</v>
          </cell>
        </row>
        <row r="27">
          <cell r="A27" t="str">
            <v>CA-H2608-PD-060</v>
          </cell>
          <cell r="B27" t="str">
            <v>Hyperion</v>
          </cell>
          <cell r="C27">
            <v>11119417</v>
          </cell>
          <cell r="D27" t="str">
            <v>1911085-D-A</v>
          </cell>
          <cell r="E27" t="str">
            <v>HJ60AL150P10022 JP</v>
          </cell>
          <cell r="F27" t="str">
            <v>JAPAN</v>
          </cell>
          <cell r="G27">
            <v>8</v>
          </cell>
          <cell r="H27">
            <v>8</v>
          </cell>
          <cell r="I27">
            <v>0</v>
          </cell>
          <cell r="J27" t="str">
            <v>FINISH</v>
          </cell>
          <cell r="K27">
            <v>46262</v>
          </cell>
          <cell r="L27">
            <v>46269</v>
          </cell>
        </row>
        <row r="28">
          <cell r="A28" t="str">
            <v>CA-H2608-PD-061</v>
          </cell>
          <cell r="B28" t="str">
            <v>Hyperion</v>
          </cell>
          <cell r="C28">
            <v>11119344</v>
          </cell>
          <cell r="D28" t="str">
            <v>1911012-D-A</v>
          </cell>
          <cell r="E28" t="str">
            <v>HJ60AL152P10020 JP</v>
          </cell>
          <cell r="F28" t="str">
            <v>JAPAN</v>
          </cell>
          <cell r="G28">
            <v>18</v>
          </cell>
          <cell r="H28">
            <v>18</v>
          </cell>
          <cell r="I28">
            <v>0</v>
          </cell>
          <cell r="J28" t="str">
            <v>FINISH</v>
          </cell>
          <cell r="K28">
            <v>46262</v>
          </cell>
          <cell r="L28">
            <v>46269</v>
          </cell>
        </row>
        <row r="29">
          <cell r="A29" t="str">
            <v>CA-H2608-PD-062</v>
          </cell>
          <cell r="B29" t="str">
            <v>Hyperion</v>
          </cell>
          <cell r="C29">
            <v>11119347</v>
          </cell>
          <cell r="D29" t="str">
            <v>1911015-D-A</v>
          </cell>
          <cell r="E29" t="str">
            <v>HJ60AL200P10020 JP</v>
          </cell>
          <cell r="F29" t="str">
            <v>JAPAN</v>
          </cell>
          <cell r="G29">
            <v>12</v>
          </cell>
          <cell r="H29">
            <v>12</v>
          </cell>
          <cell r="I29">
            <v>0</v>
          </cell>
          <cell r="J29" t="str">
            <v>FINISH</v>
          </cell>
          <cell r="K29">
            <v>46262</v>
          </cell>
          <cell r="L29">
            <v>46269</v>
          </cell>
        </row>
        <row r="30">
          <cell r="A30" t="str">
            <v>CA-H2608-PD-063</v>
          </cell>
          <cell r="B30" t="str">
            <v>Hyperion</v>
          </cell>
          <cell r="C30">
            <v>11119348</v>
          </cell>
          <cell r="D30" t="str">
            <v>1911016-D-A</v>
          </cell>
          <cell r="E30" t="str">
            <v>HJ60AL202P10020 JP</v>
          </cell>
          <cell r="F30" t="str">
            <v>JAPAN</v>
          </cell>
          <cell r="G30">
            <v>4</v>
          </cell>
          <cell r="H30">
            <v>4</v>
          </cell>
          <cell r="I30">
            <v>0</v>
          </cell>
          <cell r="J30" t="str">
            <v>FINISH</v>
          </cell>
          <cell r="K30">
            <v>46262</v>
          </cell>
          <cell r="L30">
            <v>46269</v>
          </cell>
        </row>
        <row r="31">
          <cell r="A31" t="str">
            <v>CA-H2608-PD-064</v>
          </cell>
          <cell r="B31" t="str">
            <v>Hyperion</v>
          </cell>
          <cell r="C31">
            <v>11119363</v>
          </cell>
          <cell r="D31" t="str">
            <v>1911031-D-A</v>
          </cell>
          <cell r="E31" t="str">
            <v>HJ60IL350P10000 JP</v>
          </cell>
          <cell r="F31" t="str">
            <v>JAPAN</v>
          </cell>
          <cell r="G31">
            <v>101</v>
          </cell>
          <cell r="H31">
            <v>101</v>
          </cell>
          <cell r="I31">
            <v>0</v>
          </cell>
          <cell r="J31" t="str">
            <v>FINISH</v>
          </cell>
          <cell r="K31">
            <v>46262</v>
          </cell>
          <cell r="L31">
            <v>46269</v>
          </cell>
        </row>
        <row r="32">
          <cell r="A32" t="str">
            <v>CA-H2608-PD-065</v>
          </cell>
          <cell r="B32" t="str">
            <v>Hyperion</v>
          </cell>
          <cell r="C32">
            <v>11119364</v>
          </cell>
          <cell r="D32" t="str">
            <v>1911032-D-A</v>
          </cell>
          <cell r="E32" t="str">
            <v>HJ60IL352P10020 JP</v>
          </cell>
          <cell r="F32" t="str">
            <v>JAPAN</v>
          </cell>
          <cell r="G32">
            <v>12</v>
          </cell>
          <cell r="H32">
            <v>12</v>
          </cell>
          <cell r="I32">
            <v>0</v>
          </cell>
          <cell r="J32" t="str">
            <v>FINISH</v>
          </cell>
          <cell r="K32">
            <v>46262</v>
          </cell>
          <cell r="L32">
            <v>46269</v>
          </cell>
        </row>
        <row r="33">
          <cell r="A33" t="str">
            <v>CA-H2608-PD-066</v>
          </cell>
          <cell r="B33" t="str">
            <v xml:space="preserve">Hyperion </v>
          </cell>
          <cell r="C33">
            <v>11119365</v>
          </cell>
          <cell r="D33" t="str">
            <v>1911033-D-A</v>
          </cell>
          <cell r="E33" t="str">
            <v>HJ60IL400P10000 JP</v>
          </cell>
          <cell r="F33" t="str">
            <v>JAPAN</v>
          </cell>
          <cell r="G33">
            <v>45</v>
          </cell>
          <cell r="H33">
            <v>45</v>
          </cell>
          <cell r="I33">
            <v>0</v>
          </cell>
          <cell r="J33" t="str">
            <v>FINISH</v>
          </cell>
          <cell r="K33">
            <v>46262</v>
          </cell>
          <cell r="L33">
            <v>46269</v>
          </cell>
        </row>
        <row r="34">
          <cell r="A34" t="str">
            <v>CA-H2608-PD-067</v>
          </cell>
          <cell r="B34" t="str">
            <v xml:space="preserve">Hyperion </v>
          </cell>
          <cell r="C34">
            <v>11119367</v>
          </cell>
          <cell r="D34" t="str">
            <v>1911035-D-A</v>
          </cell>
          <cell r="E34" t="str">
            <v>HJ60IM000P10000 JP</v>
          </cell>
          <cell r="F34" t="str">
            <v>JAPAN</v>
          </cell>
          <cell r="G34">
            <v>2</v>
          </cell>
          <cell r="H34">
            <v>2</v>
          </cell>
          <cell r="I34">
            <v>0</v>
          </cell>
          <cell r="J34" t="str">
            <v>FINISH</v>
          </cell>
          <cell r="K34">
            <v>46262</v>
          </cell>
          <cell r="L34">
            <v>46269</v>
          </cell>
        </row>
        <row r="35">
          <cell r="A35" t="str">
            <v>CA-H2608-PD-068</v>
          </cell>
          <cell r="B35" t="str">
            <v xml:space="preserve">Hyperion </v>
          </cell>
          <cell r="C35">
            <v>11119371</v>
          </cell>
          <cell r="D35" t="str">
            <v>1911039-E-A</v>
          </cell>
          <cell r="E35" t="str">
            <v>HJ60JL350P10000 JP</v>
          </cell>
          <cell r="F35" t="str">
            <v>JAPAN</v>
          </cell>
          <cell r="G35">
            <v>505</v>
          </cell>
          <cell r="H35">
            <v>505</v>
          </cell>
          <cell r="I35">
            <v>0</v>
          </cell>
          <cell r="J35" t="str">
            <v>FINISH</v>
          </cell>
          <cell r="K35">
            <v>46262</v>
          </cell>
          <cell r="L35">
            <v>46269</v>
          </cell>
        </row>
        <row r="36">
          <cell r="A36" t="str">
            <v>CA-H2608-PD-069</v>
          </cell>
          <cell r="B36" t="str">
            <v xml:space="preserve">Hyperion </v>
          </cell>
          <cell r="C36">
            <v>11119373</v>
          </cell>
          <cell r="D36" t="str">
            <v>1911041-D-A</v>
          </cell>
          <cell r="E36" t="str">
            <v>HJ60JL350P10001 JP</v>
          </cell>
          <cell r="F36" t="str">
            <v>JAPAN</v>
          </cell>
          <cell r="G36">
            <v>72</v>
          </cell>
          <cell r="H36">
            <v>72</v>
          </cell>
          <cell r="I36">
            <v>0</v>
          </cell>
          <cell r="J36" t="str">
            <v>FINISH</v>
          </cell>
          <cell r="K36">
            <v>46262</v>
          </cell>
          <cell r="L36">
            <v>46269</v>
          </cell>
        </row>
        <row r="37">
          <cell r="A37" t="str">
            <v>CA-H2608-PD-070</v>
          </cell>
          <cell r="B37" t="str">
            <v xml:space="preserve">Hyperion </v>
          </cell>
          <cell r="C37">
            <v>11119372</v>
          </cell>
          <cell r="D37" t="str">
            <v>1911040-D-A</v>
          </cell>
          <cell r="E37" t="str">
            <v>HJ60JL352P10020 JP</v>
          </cell>
          <cell r="F37" t="str">
            <v>JAPAN</v>
          </cell>
          <cell r="G37">
            <v>105</v>
          </cell>
          <cell r="H37">
            <v>105</v>
          </cell>
          <cell r="I37">
            <v>0</v>
          </cell>
          <cell r="J37" t="str">
            <v>FINISH</v>
          </cell>
          <cell r="K37">
            <v>46262</v>
          </cell>
          <cell r="L37">
            <v>46269</v>
          </cell>
        </row>
        <row r="38">
          <cell r="A38" t="str">
            <v>CA-H2608-PD-071</v>
          </cell>
          <cell r="B38" t="str">
            <v xml:space="preserve">Hyperion </v>
          </cell>
          <cell r="C38">
            <v>11119375</v>
          </cell>
          <cell r="D38" t="str">
            <v>1911043-E-A</v>
          </cell>
          <cell r="E38" t="str">
            <v>HJ60JL400P10000 JP</v>
          </cell>
          <cell r="F38" t="str">
            <v>JAPAN</v>
          </cell>
          <cell r="G38">
            <v>527</v>
          </cell>
          <cell r="H38">
            <v>527</v>
          </cell>
          <cell r="I38">
            <v>0</v>
          </cell>
          <cell r="J38" t="str">
            <v>FINISH</v>
          </cell>
          <cell r="K38">
            <v>46262</v>
          </cell>
          <cell r="L38">
            <v>46269</v>
          </cell>
        </row>
        <row r="39">
          <cell r="A39" t="str">
            <v>CA-H2608-PD-072</v>
          </cell>
          <cell r="B39" t="str">
            <v xml:space="preserve">Hyperion </v>
          </cell>
          <cell r="C39">
            <v>11119379</v>
          </cell>
          <cell r="D39" t="str">
            <v>1911047-D-A</v>
          </cell>
          <cell r="E39" t="str">
            <v>HJ60JL400P10001 JP</v>
          </cell>
          <cell r="F39" t="str">
            <v>JAPAN</v>
          </cell>
          <cell r="G39">
            <v>42</v>
          </cell>
          <cell r="H39">
            <v>42</v>
          </cell>
          <cell r="I39">
            <v>0</v>
          </cell>
          <cell r="J39" t="str">
            <v>FINISH</v>
          </cell>
          <cell r="K39">
            <v>46262</v>
          </cell>
          <cell r="L39">
            <v>46269</v>
          </cell>
        </row>
        <row r="40">
          <cell r="A40" t="str">
            <v>CA-H2608-PD-073</v>
          </cell>
          <cell r="B40" t="str">
            <v xml:space="preserve">Hyperion </v>
          </cell>
          <cell r="C40">
            <v>11119377</v>
          </cell>
          <cell r="D40" t="str">
            <v>1911045-D-A</v>
          </cell>
          <cell r="E40" t="str">
            <v>HJ60JL402P10020 JP</v>
          </cell>
          <cell r="F40" t="str">
            <v>JAPAN</v>
          </cell>
          <cell r="G40">
            <v>28</v>
          </cell>
          <cell r="H40">
            <v>28</v>
          </cell>
          <cell r="I40">
            <v>0</v>
          </cell>
          <cell r="J40" t="str">
            <v>FINISH</v>
          </cell>
          <cell r="K40">
            <v>46262</v>
          </cell>
          <cell r="L40">
            <v>46269</v>
          </cell>
        </row>
        <row r="41">
          <cell r="A41" t="str">
            <v>CA-H2608-PD-074</v>
          </cell>
          <cell r="B41" t="str">
            <v xml:space="preserve">Hyperion </v>
          </cell>
          <cell r="C41">
            <v>11119389</v>
          </cell>
          <cell r="D41" t="str">
            <v>1911057-D-A</v>
          </cell>
          <cell r="E41" t="str">
            <v>HJ60JR350P10020 JP</v>
          </cell>
          <cell r="F41" t="str">
            <v>JAPAN</v>
          </cell>
          <cell r="G41">
            <v>88</v>
          </cell>
          <cell r="H41">
            <v>88</v>
          </cell>
          <cell r="I41">
            <v>0</v>
          </cell>
          <cell r="J41" t="str">
            <v>FINISH</v>
          </cell>
          <cell r="K41">
            <v>46262</v>
          </cell>
          <cell r="L41">
            <v>46269</v>
          </cell>
        </row>
        <row r="42">
          <cell r="A42" t="str">
            <v>CA-H2608-PD-075</v>
          </cell>
          <cell r="B42" t="str">
            <v xml:space="preserve">Hyperion </v>
          </cell>
          <cell r="C42">
            <v>11119391</v>
          </cell>
          <cell r="D42" t="str">
            <v>1911059-D-A</v>
          </cell>
          <cell r="E42" t="str">
            <v>HJ60JR400P10020 JP</v>
          </cell>
          <cell r="F42" t="str">
            <v>JAPAN</v>
          </cell>
          <cell r="G42">
            <v>565</v>
          </cell>
          <cell r="H42">
            <v>565</v>
          </cell>
          <cell r="I42">
            <v>0</v>
          </cell>
          <cell r="J42" t="str">
            <v>FINISH</v>
          </cell>
          <cell r="K42">
            <v>46262</v>
          </cell>
          <cell r="L42">
            <v>46269</v>
          </cell>
        </row>
        <row r="43">
          <cell r="A43" t="str">
            <v>CA-H2608-PD-076</v>
          </cell>
          <cell r="B43" t="str">
            <v xml:space="preserve">Hyperion </v>
          </cell>
          <cell r="C43">
            <v>11119393</v>
          </cell>
          <cell r="D43" t="str">
            <v>1911061-D-A</v>
          </cell>
          <cell r="E43" t="str">
            <v>HJ60JR402P10020 JP</v>
          </cell>
          <cell r="F43" t="str">
            <v>JAPAN</v>
          </cell>
          <cell r="G43">
            <v>166</v>
          </cell>
          <cell r="H43">
            <v>166</v>
          </cell>
          <cell r="I43">
            <v>0</v>
          </cell>
          <cell r="J43" t="str">
            <v>FINISH</v>
          </cell>
          <cell r="K43">
            <v>46262</v>
          </cell>
          <cell r="L43">
            <v>46269</v>
          </cell>
        </row>
        <row r="44">
          <cell r="A44" t="str">
            <v>CA-H2608-PD-077</v>
          </cell>
          <cell r="B44" t="str">
            <v>HyperionYubo changed</v>
          </cell>
          <cell r="C44">
            <v>11134250</v>
          </cell>
          <cell r="D44" t="str">
            <v>1911067-E-A</v>
          </cell>
          <cell r="E44" t="str">
            <v>HJ60PB300P10000 JP</v>
          </cell>
          <cell r="F44" t="str">
            <v>JAPAN</v>
          </cell>
          <cell r="G44">
            <v>20</v>
          </cell>
          <cell r="H44">
            <v>20</v>
          </cell>
          <cell r="I44">
            <v>0</v>
          </cell>
          <cell r="J44" t="str">
            <v>FINISH</v>
          </cell>
          <cell r="K44">
            <v>46262</v>
          </cell>
          <cell r="L44">
            <v>46269</v>
          </cell>
        </row>
        <row r="45">
          <cell r="A45" t="str">
            <v>CA-H2608-PD-078</v>
          </cell>
          <cell r="B45" t="str">
            <v>HyperionYubo changed</v>
          </cell>
          <cell r="C45">
            <v>11134251</v>
          </cell>
          <cell r="D45" t="str">
            <v>1911068-E-A</v>
          </cell>
          <cell r="E45" t="str">
            <v>HJ60PB302P10020 JP</v>
          </cell>
          <cell r="F45" t="str">
            <v>JAPAN</v>
          </cell>
          <cell r="G45">
            <v>7</v>
          </cell>
          <cell r="H45">
            <v>7</v>
          </cell>
          <cell r="I45">
            <v>0</v>
          </cell>
          <cell r="J45" t="str">
            <v>FINISH</v>
          </cell>
          <cell r="K45">
            <v>46262</v>
          </cell>
          <cell r="L45">
            <v>46269</v>
          </cell>
        </row>
        <row r="46">
          <cell r="A46" t="str">
            <v>CA-H2608-PD-079</v>
          </cell>
          <cell r="B46" t="str">
            <v>HyperionYubo changed</v>
          </cell>
          <cell r="C46">
            <v>11134252</v>
          </cell>
          <cell r="D46" t="str">
            <v>1911069-F-A</v>
          </cell>
          <cell r="E46" t="str">
            <v>HJ60PB350P10000 JP</v>
          </cell>
          <cell r="F46" t="str">
            <v>JAPAN</v>
          </cell>
          <cell r="G46">
            <v>156</v>
          </cell>
          <cell r="H46">
            <v>156</v>
          </cell>
          <cell r="I46">
            <v>0</v>
          </cell>
          <cell r="J46" t="str">
            <v>FINISH</v>
          </cell>
          <cell r="K46">
            <v>46262</v>
          </cell>
          <cell r="L46">
            <v>46269</v>
          </cell>
        </row>
        <row r="47">
          <cell r="A47" t="str">
            <v>CA-H2608-PD-080</v>
          </cell>
          <cell r="B47" t="str">
            <v xml:space="preserve">Hyperion </v>
          </cell>
          <cell r="C47">
            <v>11119421</v>
          </cell>
          <cell r="D47" t="str">
            <v>1911089-D-A</v>
          </cell>
          <cell r="E47" t="str">
            <v>HJ60SC350P10000 JP</v>
          </cell>
          <cell r="F47" t="str">
            <v>JAPAN</v>
          </cell>
          <cell r="G47">
            <v>15</v>
          </cell>
          <cell r="H47">
            <v>15</v>
          </cell>
          <cell r="I47">
            <v>0</v>
          </cell>
          <cell r="J47" t="str">
            <v>FINISH</v>
          </cell>
          <cell r="K47">
            <v>46262</v>
          </cell>
          <cell r="L47">
            <v>46269</v>
          </cell>
        </row>
        <row r="48">
          <cell r="A48" t="str">
            <v>CA-H2608-PD-081</v>
          </cell>
          <cell r="B48" t="str">
            <v>HyperionYubo changed</v>
          </cell>
          <cell r="C48">
            <v>11134256</v>
          </cell>
          <cell r="D48" t="str">
            <v>1911093-F-A</v>
          </cell>
          <cell r="E48" t="str">
            <v>HJ60SP300P10000 JP</v>
          </cell>
          <cell r="F48" t="str">
            <v>JAPAN</v>
          </cell>
          <cell r="G48">
            <v>131</v>
          </cell>
          <cell r="H48">
            <v>131</v>
          </cell>
          <cell r="I48">
            <v>0</v>
          </cell>
          <cell r="J48" t="str">
            <v>FINISH</v>
          </cell>
          <cell r="K48">
            <v>46262</v>
          </cell>
          <cell r="L48">
            <v>46269</v>
          </cell>
        </row>
        <row r="49">
          <cell r="A49" t="str">
            <v>CA-H2608-PD-082</v>
          </cell>
          <cell r="B49" t="str">
            <v>HyperionYubo changed</v>
          </cell>
          <cell r="C49">
            <v>11134257</v>
          </cell>
          <cell r="D49" t="str">
            <v>1911094-E-A</v>
          </cell>
          <cell r="E49" t="str">
            <v>HJ60SP302P10020 JP</v>
          </cell>
          <cell r="F49" t="str">
            <v>JAPAN</v>
          </cell>
          <cell r="G49">
            <v>42</v>
          </cell>
          <cell r="H49">
            <v>42</v>
          </cell>
          <cell r="I49">
            <v>0</v>
          </cell>
          <cell r="J49" t="str">
            <v>FINISH</v>
          </cell>
          <cell r="K49">
            <v>46262</v>
          </cell>
          <cell r="L49">
            <v>46269</v>
          </cell>
        </row>
        <row r="50">
          <cell r="A50" t="str">
            <v>CA-H2608-PD-083</v>
          </cell>
          <cell r="B50" t="str">
            <v>HyperionYubo changed</v>
          </cell>
          <cell r="C50">
            <v>11134260</v>
          </cell>
          <cell r="D50" t="str">
            <v>1911097-F-A</v>
          </cell>
          <cell r="E50" t="str">
            <v>HJ60SP350P10000 JP</v>
          </cell>
          <cell r="F50" t="str">
            <v>JAPAN</v>
          </cell>
          <cell r="G50">
            <v>1110</v>
          </cell>
          <cell r="H50">
            <v>1110</v>
          </cell>
          <cell r="I50">
            <v>0</v>
          </cell>
          <cell r="J50" t="str">
            <v>FINISH</v>
          </cell>
          <cell r="K50">
            <v>46262</v>
          </cell>
          <cell r="L50">
            <v>46269</v>
          </cell>
        </row>
        <row r="51">
          <cell r="A51" t="str">
            <v>CA-H2608-PD-084</v>
          </cell>
          <cell r="B51" t="str">
            <v>HyperionYubo changed</v>
          </cell>
          <cell r="C51">
            <v>11134261</v>
          </cell>
          <cell r="D51" t="str">
            <v>1911098-F-A</v>
          </cell>
          <cell r="E51" t="str">
            <v>HJ60SP352P10020 JP</v>
          </cell>
          <cell r="F51" t="str">
            <v>JAPAN</v>
          </cell>
          <cell r="G51">
            <v>220</v>
          </cell>
          <cell r="H51">
            <v>220</v>
          </cell>
          <cell r="I51">
            <v>0</v>
          </cell>
          <cell r="J51" t="str">
            <v>FINISH</v>
          </cell>
          <cell r="K51">
            <v>46262</v>
          </cell>
          <cell r="L51">
            <v>46269</v>
          </cell>
        </row>
        <row r="52">
          <cell r="A52" t="str">
            <v>CA-H2608-PD-085</v>
          </cell>
          <cell r="B52" t="str">
            <v>HyperionYubo changed</v>
          </cell>
          <cell r="C52">
            <v>11134262</v>
          </cell>
          <cell r="D52" t="str">
            <v>1911099-F-A</v>
          </cell>
          <cell r="E52" t="str">
            <v>HJ60SP370P10000 JP</v>
          </cell>
          <cell r="F52" t="str">
            <v>JAPAN</v>
          </cell>
          <cell r="G52">
            <v>230</v>
          </cell>
          <cell r="H52">
            <v>230</v>
          </cell>
          <cell r="I52">
            <v>0</v>
          </cell>
          <cell r="J52" t="str">
            <v>FINISH</v>
          </cell>
          <cell r="K52">
            <v>46262</v>
          </cell>
          <cell r="L52">
            <v>46269</v>
          </cell>
        </row>
        <row r="53">
          <cell r="A53" t="str">
            <v>CA-H2608-PD-086</v>
          </cell>
          <cell r="B53" t="str">
            <v>HyperionYubo changed</v>
          </cell>
          <cell r="C53">
            <v>11134263</v>
          </cell>
          <cell r="D53" t="str">
            <v>1911100-F-A</v>
          </cell>
          <cell r="E53" t="str">
            <v>HJ60SP372P10020 JP</v>
          </cell>
          <cell r="F53" t="str">
            <v>JAPAN</v>
          </cell>
          <cell r="G53">
            <v>57</v>
          </cell>
          <cell r="H53">
            <v>57</v>
          </cell>
          <cell r="I53">
            <v>0</v>
          </cell>
          <cell r="J53" t="str">
            <v>FINISH</v>
          </cell>
          <cell r="K53">
            <v>46262</v>
          </cell>
          <cell r="L53">
            <v>46269</v>
          </cell>
        </row>
        <row r="54">
          <cell r="A54" t="str">
            <v>CA-H2608-PD-087</v>
          </cell>
          <cell r="B54" t="str">
            <v>HyperionYubo changed</v>
          </cell>
          <cell r="C54">
            <v>11134264</v>
          </cell>
          <cell r="D54" t="str">
            <v>1911101-F-A</v>
          </cell>
          <cell r="E54" t="str">
            <v>HJ60SP400P10000 JP</v>
          </cell>
          <cell r="F54" t="str">
            <v>JAPAN</v>
          </cell>
          <cell r="G54">
            <v>57</v>
          </cell>
          <cell r="H54">
            <v>57</v>
          </cell>
          <cell r="I54">
            <v>0</v>
          </cell>
          <cell r="J54" t="str">
            <v>FINISH</v>
          </cell>
          <cell r="K54">
            <v>46262</v>
          </cell>
          <cell r="L54">
            <v>46269</v>
          </cell>
        </row>
        <row r="55">
          <cell r="A55" t="str">
            <v>CA-H2608-PD-088</v>
          </cell>
          <cell r="B55" t="str">
            <v xml:space="preserve">Hyperion </v>
          </cell>
          <cell r="C55">
            <v>11119537</v>
          </cell>
          <cell r="D55" t="str">
            <v>1911203-D-A</v>
          </cell>
          <cell r="E55" t="str">
            <v>HJ70AL072P10022 JP</v>
          </cell>
          <cell r="F55" t="str">
            <v>JAPAN</v>
          </cell>
          <cell r="G55">
            <v>36</v>
          </cell>
          <cell r="H55">
            <v>36</v>
          </cell>
          <cell r="I55">
            <v>0</v>
          </cell>
          <cell r="J55" t="str">
            <v>FINISH</v>
          </cell>
          <cell r="K55">
            <v>46262</v>
          </cell>
          <cell r="L55">
            <v>46269</v>
          </cell>
        </row>
        <row r="56">
          <cell r="A56" t="str">
            <v>CA-H2608-PD-089</v>
          </cell>
          <cell r="B56" t="str">
            <v xml:space="preserve">Hyperion </v>
          </cell>
          <cell r="C56">
            <v>11119442</v>
          </cell>
          <cell r="D56" t="str">
            <v>1911108-D-A</v>
          </cell>
          <cell r="E56" t="str">
            <v>HJ70AL100P10020 JP</v>
          </cell>
          <cell r="F56" t="str">
            <v>JAPAN</v>
          </cell>
          <cell r="G56">
            <v>72</v>
          </cell>
          <cell r="H56">
            <v>72</v>
          </cell>
          <cell r="I56">
            <v>0</v>
          </cell>
          <cell r="J56" t="str">
            <v>FINISH</v>
          </cell>
          <cell r="K56">
            <v>46262</v>
          </cell>
          <cell r="L56">
            <v>46269</v>
          </cell>
        </row>
        <row r="57">
          <cell r="A57" t="str">
            <v>CA-H2608-PD-090</v>
          </cell>
          <cell r="B57" t="str">
            <v xml:space="preserve">Hyperion </v>
          </cell>
          <cell r="C57">
            <v>11119539</v>
          </cell>
          <cell r="D57" t="str">
            <v>1911205-D-A</v>
          </cell>
          <cell r="E57" t="str">
            <v>HJ70AL100P10022 JP</v>
          </cell>
          <cell r="F57" t="str">
            <v>JAPAN</v>
          </cell>
          <cell r="G57">
            <v>128</v>
          </cell>
          <cell r="H57">
            <v>128</v>
          </cell>
          <cell r="I57">
            <v>0</v>
          </cell>
          <cell r="J57" t="str">
            <v>FINISH</v>
          </cell>
          <cell r="K57">
            <v>46262</v>
          </cell>
          <cell r="L57">
            <v>46269</v>
          </cell>
        </row>
        <row r="58">
          <cell r="A58" t="str">
            <v>CA-H2608-PD-091</v>
          </cell>
          <cell r="B58" t="str">
            <v xml:space="preserve">Hyperion </v>
          </cell>
          <cell r="C58">
            <v>11119444</v>
          </cell>
          <cell r="D58" t="str">
            <v>1911110-D-A</v>
          </cell>
          <cell r="E58" t="str">
            <v>HJ70AL102P10020 JP</v>
          </cell>
          <cell r="F58" t="str">
            <v>JAPAN</v>
          </cell>
          <cell r="G58">
            <v>155</v>
          </cell>
          <cell r="H58">
            <v>155</v>
          </cell>
          <cell r="I58">
            <v>0</v>
          </cell>
          <cell r="J58" t="str">
            <v>FINISH</v>
          </cell>
          <cell r="K58">
            <v>46262</v>
          </cell>
          <cell r="L58">
            <v>46269</v>
          </cell>
        </row>
        <row r="59">
          <cell r="A59" t="str">
            <v>CA-H2608-PD-092</v>
          </cell>
          <cell r="B59" t="str">
            <v xml:space="preserve">Hyperion </v>
          </cell>
          <cell r="C59">
            <v>11119541</v>
          </cell>
          <cell r="D59" t="str">
            <v>1911207-D-A</v>
          </cell>
          <cell r="E59" t="str">
            <v>HJ70AL102P10022 JP</v>
          </cell>
          <cell r="F59" t="str">
            <v>JAPAN</v>
          </cell>
          <cell r="G59">
            <v>237</v>
          </cell>
          <cell r="H59">
            <v>237</v>
          </cell>
          <cell r="I59">
            <v>0</v>
          </cell>
          <cell r="J59" t="str">
            <v>FINISH</v>
          </cell>
          <cell r="K59">
            <v>46262</v>
          </cell>
          <cell r="L59">
            <v>46269</v>
          </cell>
        </row>
        <row r="60">
          <cell r="A60" t="str">
            <v>CA-H2608-PD-093</v>
          </cell>
          <cell r="B60" t="str">
            <v xml:space="preserve">Hyperion </v>
          </cell>
          <cell r="C60">
            <v>11119450</v>
          </cell>
          <cell r="D60" t="str">
            <v>1911116-D-A</v>
          </cell>
          <cell r="E60" t="str">
            <v>HJ70AL152P10020 JP</v>
          </cell>
          <cell r="F60" t="str">
            <v>JAPAN</v>
          </cell>
          <cell r="G60">
            <v>38</v>
          </cell>
          <cell r="H60">
            <v>38</v>
          </cell>
          <cell r="I60">
            <v>0</v>
          </cell>
          <cell r="J60" t="str">
            <v>FINISH</v>
          </cell>
          <cell r="K60">
            <v>46262</v>
          </cell>
          <cell r="L60">
            <v>46269</v>
          </cell>
        </row>
        <row r="61">
          <cell r="A61" t="str">
            <v>CA-H2608-PD-094</v>
          </cell>
          <cell r="B61" t="str">
            <v xml:space="preserve">Hyperion </v>
          </cell>
          <cell r="C61">
            <v>11119481</v>
          </cell>
          <cell r="D61" t="str">
            <v>1911147-D-A</v>
          </cell>
          <cell r="E61" t="str">
            <v>HJ70JL350P10000 JP</v>
          </cell>
          <cell r="F61" t="str">
            <v>JAPAN</v>
          </cell>
          <cell r="G61">
            <v>152</v>
          </cell>
          <cell r="H61">
            <v>152</v>
          </cell>
          <cell r="I61">
            <v>0</v>
          </cell>
          <cell r="J61" t="str">
            <v>FINISH</v>
          </cell>
          <cell r="K61">
            <v>46262</v>
          </cell>
          <cell r="L61">
            <v>46269</v>
          </cell>
        </row>
        <row r="62">
          <cell r="A62" t="str">
            <v>CA-H2608-PD-095</v>
          </cell>
          <cell r="B62" t="str">
            <v xml:space="preserve">Hyperion </v>
          </cell>
          <cell r="C62">
            <v>11119485</v>
          </cell>
          <cell r="D62" t="str">
            <v>1911151-D-A</v>
          </cell>
          <cell r="E62" t="str">
            <v>HJ70JL350P10001 JP</v>
          </cell>
          <cell r="F62" t="str">
            <v>JAPAN</v>
          </cell>
          <cell r="G62">
            <v>59</v>
          </cell>
          <cell r="H62">
            <v>59</v>
          </cell>
          <cell r="I62">
            <v>0</v>
          </cell>
          <cell r="J62" t="str">
            <v>FINISH</v>
          </cell>
          <cell r="K62">
            <v>46262</v>
          </cell>
          <cell r="L62">
            <v>46269</v>
          </cell>
        </row>
        <row r="63">
          <cell r="A63" t="str">
            <v>CA-H2608-PD-096</v>
          </cell>
          <cell r="B63" t="str">
            <v xml:space="preserve">Hyperion </v>
          </cell>
          <cell r="C63">
            <v>11119483</v>
          </cell>
          <cell r="D63" t="str">
            <v>1911149-D-A</v>
          </cell>
          <cell r="E63" t="str">
            <v>HJ70JL352P10020 JP</v>
          </cell>
          <cell r="F63" t="str">
            <v>JAPAN</v>
          </cell>
          <cell r="G63">
            <v>99</v>
          </cell>
          <cell r="H63">
            <v>99</v>
          </cell>
          <cell r="I63">
            <v>0</v>
          </cell>
          <cell r="J63" t="str">
            <v>FINISH</v>
          </cell>
          <cell r="K63">
            <v>46262</v>
          </cell>
          <cell r="L63">
            <v>46269</v>
          </cell>
        </row>
        <row r="64">
          <cell r="A64" t="str">
            <v>CA-H2608-PD-097</v>
          </cell>
          <cell r="B64" t="str">
            <v xml:space="preserve">Hyperion </v>
          </cell>
          <cell r="C64">
            <v>11119486</v>
          </cell>
          <cell r="D64" t="str">
            <v>1911152-D-A</v>
          </cell>
          <cell r="E64" t="str">
            <v>HJ70JL352P10021 JP</v>
          </cell>
          <cell r="F64" t="str">
            <v>JAPAN</v>
          </cell>
          <cell r="G64">
            <v>12</v>
          </cell>
          <cell r="H64">
            <v>12</v>
          </cell>
          <cell r="I64">
            <v>0</v>
          </cell>
          <cell r="J64" t="str">
            <v>FINISH</v>
          </cell>
          <cell r="K64">
            <v>46262</v>
          </cell>
          <cell r="L64">
            <v>46269</v>
          </cell>
        </row>
        <row r="65">
          <cell r="A65" t="str">
            <v>CA-H2608-PD-098</v>
          </cell>
          <cell r="B65" t="str">
            <v xml:space="preserve">Hyperion </v>
          </cell>
          <cell r="C65">
            <v>11119488</v>
          </cell>
          <cell r="D65" t="str">
            <v>1911154-D-A</v>
          </cell>
          <cell r="E65" t="str">
            <v>HJ70JL400P10000 JP</v>
          </cell>
          <cell r="F65" t="str">
            <v>JAPAN</v>
          </cell>
          <cell r="G65">
            <v>131</v>
          </cell>
          <cell r="H65">
            <v>131</v>
          </cell>
          <cell r="I65">
            <v>0</v>
          </cell>
          <cell r="J65" t="str">
            <v>FINISH</v>
          </cell>
          <cell r="K65">
            <v>46262</v>
          </cell>
          <cell r="L65">
            <v>46269</v>
          </cell>
        </row>
        <row r="66">
          <cell r="A66" t="str">
            <v>CA-H2608-PD-099</v>
          </cell>
          <cell r="B66" t="str">
            <v xml:space="preserve">Hyperion </v>
          </cell>
          <cell r="C66">
            <v>11119492</v>
          </cell>
          <cell r="D66" t="str">
            <v>1911158-D-A</v>
          </cell>
          <cell r="E66" t="str">
            <v>HJ70JL400P10001 JP</v>
          </cell>
          <cell r="F66" t="str">
            <v>JAPAN</v>
          </cell>
          <cell r="G66">
            <v>51</v>
          </cell>
          <cell r="H66">
            <v>51</v>
          </cell>
          <cell r="I66">
            <v>0</v>
          </cell>
          <cell r="J66" t="str">
            <v>FINISH</v>
          </cell>
          <cell r="K66">
            <v>46262</v>
          </cell>
          <cell r="L66">
            <v>46269</v>
          </cell>
        </row>
        <row r="67">
          <cell r="A67" t="str">
            <v>CA-H2608-PD-100</v>
          </cell>
          <cell r="B67" t="str">
            <v xml:space="preserve">Hyperion </v>
          </cell>
          <cell r="C67">
            <v>11119490</v>
          </cell>
          <cell r="D67" t="str">
            <v>1911156-D-A</v>
          </cell>
          <cell r="E67" t="str">
            <v>HJ70JL402P10020 JP</v>
          </cell>
          <cell r="F67" t="str">
            <v>JAPAN</v>
          </cell>
          <cell r="G67">
            <v>72</v>
          </cell>
          <cell r="H67">
            <v>72</v>
          </cell>
          <cell r="I67">
            <v>0</v>
          </cell>
          <cell r="J67" t="str">
            <v>FINISH</v>
          </cell>
          <cell r="K67">
            <v>46262</v>
          </cell>
          <cell r="L67">
            <v>46269</v>
          </cell>
        </row>
        <row r="68">
          <cell r="A68" t="str">
            <v>CA-H2608-PD-101</v>
          </cell>
          <cell r="B68" t="str">
            <v xml:space="preserve">Hyperion </v>
          </cell>
          <cell r="C68">
            <v>11119493</v>
          </cell>
          <cell r="D68" t="str">
            <v>1911159-D-A</v>
          </cell>
          <cell r="E68" t="str">
            <v>HJ70JL402P10021 JP</v>
          </cell>
          <cell r="F68" t="str">
            <v>JAPAN</v>
          </cell>
          <cell r="G68">
            <v>21</v>
          </cell>
          <cell r="H68">
            <v>21</v>
          </cell>
          <cell r="I68">
            <v>0</v>
          </cell>
          <cell r="J68" t="str">
            <v>FINISH</v>
          </cell>
          <cell r="K68">
            <v>46262</v>
          </cell>
          <cell r="L68">
            <v>46269</v>
          </cell>
        </row>
        <row r="69">
          <cell r="A69" t="str">
            <v>CA-H2608-PD-102</v>
          </cell>
          <cell r="B69" t="str">
            <v xml:space="preserve">Hyperion </v>
          </cell>
          <cell r="C69">
            <v>11119496</v>
          </cell>
          <cell r="D69" t="str">
            <v>1911162-D-A</v>
          </cell>
          <cell r="E69" t="str">
            <v>HJ70JL452P10020 JP</v>
          </cell>
          <cell r="F69" t="str">
            <v>JAPAN</v>
          </cell>
          <cell r="G69">
            <v>2</v>
          </cell>
          <cell r="H69">
            <v>2</v>
          </cell>
          <cell r="I69">
            <v>0</v>
          </cell>
          <cell r="J69" t="str">
            <v>FINISH</v>
          </cell>
          <cell r="K69">
            <v>46262</v>
          </cell>
          <cell r="L69">
            <v>46269</v>
          </cell>
        </row>
        <row r="70">
          <cell r="A70" t="str">
            <v>CA-H2608-PD-103</v>
          </cell>
          <cell r="B70" t="str">
            <v xml:space="preserve">Hyperion </v>
          </cell>
          <cell r="C70">
            <v>11119507</v>
          </cell>
          <cell r="D70" t="str">
            <v>1911173-D-A</v>
          </cell>
          <cell r="E70" t="str">
            <v>HJ70JR400P10020 JP</v>
          </cell>
          <cell r="F70" t="str">
            <v>JAPAN</v>
          </cell>
          <cell r="G70">
            <v>99</v>
          </cell>
          <cell r="H70">
            <v>99</v>
          </cell>
          <cell r="I70">
            <v>0</v>
          </cell>
          <cell r="J70" t="str">
            <v>FINISH</v>
          </cell>
          <cell r="K70">
            <v>46262</v>
          </cell>
          <cell r="L70">
            <v>46269</v>
          </cell>
        </row>
        <row r="71">
          <cell r="A71" t="str">
            <v>CA-H2608-PD-104</v>
          </cell>
          <cell r="B71" t="str">
            <v xml:space="preserve">Hyperion </v>
          </cell>
          <cell r="C71">
            <v>11119509</v>
          </cell>
          <cell r="D71" t="str">
            <v>1911175-D-A</v>
          </cell>
          <cell r="E71" t="str">
            <v>HJ70JR402P10020 JP</v>
          </cell>
          <cell r="F71" t="str">
            <v>JAPAN</v>
          </cell>
          <cell r="G71">
            <v>92</v>
          </cell>
          <cell r="H71">
            <v>92</v>
          </cell>
          <cell r="I71">
            <v>0</v>
          </cell>
          <cell r="J71" t="str">
            <v>FINISH</v>
          </cell>
          <cell r="K71">
            <v>46262</v>
          </cell>
          <cell r="L71">
            <v>46269</v>
          </cell>
        </row>
        <row r="72">
          <cell r="A72" t="str">
            <v>CA-H2608-PD-105</v>
          </cell>
          <cell r="B72" t="str">
            <v>HyperionYubo changed</v>
          </cell>
          <cell r="C72">
            <v>11134266</v>
          </cell>
          <cell r="D72" t="str">
            <v>1911181-E-A</v>
          </cell>
          <cell r="E72" t="str">
            <v>HJ70PB300P10000 JP</v>
          </cell>
          <cell r="F72" t="str">
            <v>JAPAN</v>
          </cell>
          <cell r="G72">
            <v>11</v>
          </cell>
          <cell r="H72">
            <v>11</v>
          </cell>
          <cell r="I72">
            <v>0</v>
          </cell>
          <cell r="J72" t="str">
            <v>FINISH</v>
          </cell>
          <cell r="K72">
            <v>46262</v>
          </cell>
          <cell r="L72">
            <v>46269</v>
          </cell>
        </row>
        <row r="73">
          <cell r="A73" t="str">
            <v>CA-H2608-PD-106</v>
          </cell>
          <cell r="B73" t="str">
            <v>HyperionYubo changed</v>
          </cell>
          <cell r="C73">
            <v>11134270</v>
          </cell>
          <cell r="D73" t="str">
            <v>1911185-E-A</v>
          </cell>
          <cell r="E73" t="str">
            <v>HJ70PB350P10000 JP</v>
          </cell>
          <cell r="F73" t="str">
            <v>JAPAN</v>
          </cell>
          <cell r="G73">
            <v>57</v>
          </cell>
          <cell r="H73">
            <v>57</v>
          </cell>
          <cell r="I73">
            <v>0</v>
          </cell>
          <cell r="J73" t="str">
            <v>FINISH</v>
          </cell>
          <cell r="K73">
            <v>46262</v>
          </cell>
          <cell r="L73">
            <v>46269</v>
          </cell>
        </row>
        <row r="74">
          <cell r="A74" t="str">
            <v>CA-H2608-PD-107</v>
          </cell>
          <cell r="B74" t="str">
            <v>HyperionYubo changed</v>
          </cell>
          <cell r="C74">
            <v>11134278</v>
          </cell>
          <cell r="D74" t="str">
            <v>1911221-E-A</v>
          </cell>
          <cell r="E74" t="str">
            <v>HJ70SP300P10000 JP</v>
          </cell>
          <cell r="F74" t="str">
            <v>JAPAN</v>
          </cell>
          <cell r="G74">
            <v>65</v>
          </cell>
          <cell r="H74">
            <v>65</v>
          </cell>
          <cell r="I74">
            <v>0</v>
          </cell>
          <cell r="J74" t="str">
            <v>FINISH</v>
          </cell>
          <cell r="K74">
            <v>46262</v>
          </cell>
          <cell r="L74">
            <v>46269</v>
          </cell>
        </row>
        <row r="75">
          <cell r="A75" t="str">
            <v>CA-H2608-PD-108</v>
          </cell>
          <cell r="B75" t="str">
            <v>HyperionYubo changed</v>
          </cell>
          <cell r="C75">
            <v>11134279</v>
          </cell>
          <cell r="D75" t="str">
            <v>1911222-E-A</v>
          </cell>
          <cell r="E75" t="str">
            <v>HJ70SP302P10020 JP</v>
          </cell>
          <cell r="F75" t="str">
            <v>JAPAN</v>
          </cell>
          <cell r="G75">
            <v>32</v>
          </cell>
          <cell r="H75">
            <v>32</v>
          </cell>
          <cell r="I75">
            <v>0</v>
          </cell>
          <cell r="J75" t="str">
            <v>FINISH</v>
          </cell>
          <cell r="K75">
            <v>46262</v>
          </cell>
          <cell r="L75">
            <v>46269</v>
          </cell>
        </row>
        <row r="76">
          <cell r="A76" t="str">
            <v>CA-H2608-PD-109</v>
          </cell>
          <cell r="B76" t="str">
            <v>HyperionYubo changed</v>
          </cell>
          <cell r="C76">
            <v>11134281</v>
          </cell>
          <cell r="D76" t="str">
            <v>1911224-F-A</v>
          </cell>
          <cell r="E76" t="str">
            <v>HJ70SP350P10000 JP</v>
          </cell>
          <cell r="F76" t="str">
            <v>JAPAN</v>
          </cell>
          <cell r="G76">
            <v>636</v>
          </cell>
          <cell r="H76">
            <v>636</v>
          </cell>
          <cell r="I76">
            <v>0</v>
          </cell>
          <cell r="J76" t="str">
            <v>FINISH</v>
          </cell>
          <cell r="K76">
            <v>46262</v>
          </cell>
          <cell r="L76">
            <v>46269</v>
          </cell>
        </row>
        <row r="77">
          <cell r="A77" t="str">
            <v>CA-H2608-PD-110</v>
          </cell>
          <cell r="B77" t="str">
            <v>HyperionYubo changed</v>
          </cell>
          <cell r="C77">
            <v>11134282</v>
          </cell>
          <cell r="D77" t="str">
            <v>1911225-F-A</v>
          </cell>
          <cell r="E77" t="str">
            <v>HJ70SP352P10020 JP</v>
          </cell>
          <cell r="F77" t="str">
            <v>JAPAN</v>
          </cell>
          <cell r="G77">
            <v>506</v>
          </cell>
          <cell r="H77">
            <v>506</v>
          </cell>
          <cell r="I77">
            <v>0</v>
          </cell>
          <cell r="J77" t="str">
            <v>FINISH</v>
          </cell>
          <cell r="K77">
            <v>46262</v>
          </cell>
          <cell r="L77">
            <v>46269</v>
          </cell>
        </row>
        <row r="78">
          <cell r="A78" t="str">
            <v>CA-H2608-PD-111</v>
          </cell>
          <cell r="B78" t="str">
            <v>HyperionYubo changed</v>
          </cell>
          <cell r="C78">
            <v>11134284</v>
          </cell>
          <cell r="D78" t="str">
            <v>1911227-F-A</v>
          </cell>
          <cell r="E78" t="str">
            <v>HJ70SP370P10000 JP</v>
          </cell>
          <cell r="F78" t="str">
            <v>JAPAN</v>
          </cell>
          <cell r="G78">
            <v>211</v>
          </cell>
          <cell r="H78">
            <v>211</v>
          </cell>
          <cell r="I78">
            <v>0</v>
          </cell>
          <cell r="J78" t="str">
            <v>FINISH</v>
          </cell>
          <cell r="K78">
            <v>46262</v>
          </cell>
          <cell r="L78">
            <v>46269</v>
          </cell>
        </row>
        <row r="79">
          <cell r="A79" t="str">
            <v>CA-H2608-PD-112</v>
          </cell>
          <cell r="B79" t="str">
            <v>HyperionYubo changed</v>
          </cell>
          <cell r="C79">
            <v>11134285</v>
          </cell>
          <cell r="D79" t="str">
            <v>1911228-F-A</v>
          </cell>
          <cell r="E79" t="str">
            <v>HJ70SP372P10020 JP</v>
          </cell>
          <cell r="F79" t="str">
            <v>JAPAN</v>
          </cell>
          <cell r="G79">
            <v>171</v>
          </cell>
          <cell r="H79">
            <v>171</v>
          </cell>
          <cell r="I79">
            <v>0</v>
          </cell>
          <cell r="J79" t="str">
            <v>FINISH</v>
          </cell>
          <cell r="K79">
            <v>46262</v>
          </cell>
          <cell r="L79">
            <v>46269</v>
          </cell>
        </row>
        <row r="80">
          <cell r="A80" t="str">
            <v>CA-H2608-PD-113</v>
          </cell>
          <cell r="B80" t="str">
            <v>HyperionYubo changed</v>
          </cell>
          <cell r="C80">
            <v>11134287</v>
          </cell>
          <cell r="D80" t="str">
            <v>1911230-F-A</v>
          </cell>
          <cell r="E80" t="str">
            <v>HJ70SP400P10000 JP</v>
          </cell>
          <cell r="F80" t="str">
            <v>JAPAN</v>
          </cell>
          <cell r="G80">
            <v>74</v>
          </cell>
          <cell r="H80">
            <v>74</v>
          </cell>
          <cell r="I80">
            <v>0</v>
          </cell>
          <cell r="J80" t="str">
            <v>FINISH</v>
          </cell>
          <cell r="K80">
            <v>46262</v>
          </cell>
          <cell r="L80">
            <v>46269</v>
          </cell>
        </row>
        <row r="81">
          <cell r="A81" t="str">
            <v>CA-H2608-PD-114</v>
          </cell>
          <cell r="B81" t="str">
            <v>HyperionYubo changed</v>
          </cell>
          <cell r="C81">
            <v>11134288</v>
          </cell>
          <cell r="D81" t="str">
            <v>1911231-F-A</v>
          </cell>
          <cell r="E81" t="str">
            <v>HJ70SP402P10020 JP</v>
          </cell>
          <cell r="F81" t="str">
            <v>JAPAN</v>
          </cell>
          <cell r="G81">
            <v>7</v>
          </cell>
          <cell r="H81">
            <v>7</v>
          </cell>
          <cell r="I81">
            <v>0</v>
          </cell>
          <cell r="J81" t="str">
            <v>FINISH</v>
          </cell>
          <cell r="K81">
            <v>46262</v>
          </cell>
          <cell r="L81">
            <v>46269</v>
          </cell>
        </row>
        <row r="82">
          <cell r="A82" t="str">
            <v>CA-H2608-PD-115</v>
          </cell>
          <cell r="B82" t="str">
            <v xml:space="preserve">Hyperion </v>
          </cell>
          <cell r="C82">
            <v>11119576</v>
          </cell>
          <cell r="D82" t="str">
            <v>1911242-D-A</v>
          </cell>
          <cell r="E82" t="str">
            <v>HJ80AL102P10000 JP</v>
          </cell>
          <cell r="F82" t="str">
            <v>JAPAN</v>
          </cell>
          <cell r="G82">
            <v>56</v>
          </cell>
          <cell r="H82">
            <v>56</v>
          </cell>
          <cell r="I82">
            <v>0</v>
          </cell>
          <cell r="J82" t="str">
            <v>FINISH</v>
          </cell>
          <cell r="K82">
            <v>46262</v>
          </cell>
          <cell r="L82">
            <v>46269</v>
          </cell>
        </row>
        <row r="83">
          <cell r="A83" t="str">
            <v>CA-H2608-PD-116</v>
          </cell>
          <cell r="B83" t="str">
            <v xml:space="preserve">Hyperion </v>
          </cell>
          <cell r="C83">
            <v>11119587</v>
          </cell>
          <cell r="D83" t="str">
            <v>1911253-D-A</v>
          </cell>
          <cell r="E83" t="str">
            <v>HJ80AL202P10000 JP</v>
          </cell>
          <cell r="F83" t="str">
            <v>JAPAN</v>
          </cell>
          <cell r="G83">
            <v>8</v>
          </cell>
          <cell r="H83">
            <v>8</v>
          </cell>
          <cell r="I83">
            <v>0</v>
          </cell>
          <cell r="J83" t="str">
            <v>FINISH</v>
          </cell>
          <cell r="K83">
            <v>46262</v>
          </cell>
          <cell r="L83">
            <v>46269</v>
          </cell>
        </row>
        <row r="84">
          <cell r="A84" t="str">
            <v>CA-H2608-PD-117</v>
          </cell>
          <cell r="B84" t="str">
            <v>HyperionYubo changed</v>
          </cell>
          <cell r="C84">
            <v>11134308</v>
          </cell>
          <cell r="D84" t="str">
            <v>1911347-F-A</v>
          </cell>
          <cell r="E84" t="str">
            <v>HJ80SP352P10000 JP</v>
          </cell>
          <cell r="F84" t="str">
            <v>JAPAN</v>
          </cell>
          <cell r="G84">
            <v>22</v>
          </cell>
          <cell r="H84">
            <v>22</v>
          </cell>
          <cell r="I84">
            <v>0</v>
          </cell>
          <cell r="J84" t="str">
            <v>FINISH</v>
          </cell>
          <cell r="K84">
            <v>46262</v>
          </cell>
          <cell r="L84">
            <v>46269</v>
          </cell>
        </row>
        <row r="85">
          <cell r="A85" t="str">
            <v>CA-H2608-PD-118</v>
          </cell>
          <cell r="B85" t="str">
            <v>HyperionYubo changed</v>
          </cell>
          <cell r="C85">
            <v>11134311</v>
          </cell>
          <cell r="D85" t="str">
            <v>1911350-E-A</v>
          </cell>
          <cell r="E85" t="str">
            <v>HJ80SP372P10000 JP</v>
          </cell>
          <cell r="F85" t="str">
            <v>JAPAN</v>
          </cell>
          <cell r="G85">
            <v>12</v>
          </cell>
          <cell r="H85">
            <v>12</v>
          </cell>
          <cell r="I85">
            <v>0</v>
          </cell>
          <cell r="J85" t="str">
            <v>FINISH</v>
          </cell>
          <cell r="K85">
            <v>46262</v>
          </cell>
          <cell r="L85">
            <v>46269</v>
          </cell>
        </row>
        <row r="86">
          <cell r="A86" t="str">
            <v>CA-H2608-PD-119</v>
          </cell>
          <cell r="B86" t="str">
            <v xml:space="preserve">Masters parkway </v>
          </cell>
          <cell r="C86">
            <v>11125153</v>
          </cell>
          <cell r="D86" t="str">
            <v>1941022-F-A</v>
          </cell>
          <cell r="E86" t="str">
            <v>MST105-27HFR JP</v>
          </cell>
          <cell r="F86" t="str">
            <v>JAPAN</v>
          </cell>
          <cell r="G86">
            <v>54</v>
          </cell>
          <cell r="H86">
            <v>54</v>
          </cell>
          <cell r="I86">
            <v>0</v>
          </cell>
          <cell r="J86" t="str">
            <v>FINISH</v>
          </cell>
          <cell r="K86">
            <v>46262</v>
          </cell>
          <cell r="L86">
            <v>46269</v>
          </cell>
        </row>
        <row r="87">
          <cell r="A87" t="str">
            <v>CA-H2608-PD-120</v>
          </cell>
          <cell r="B87" t="str">
            <v xml:space="preserve">Masters parkway </v>
          </cell>
          <cell r="C87">
            <v>11125141</v>
          </cell>
          <cell r="D87" t="str">
            <v>1941010-D-A</v>
          </cell>
          <cell r="E87" t="str">
            <v>MST125-18PWSFR JP</v>
          </cell>
          <cell r="F87" t="str">
            <v>JAPAN</v>
          </cell>
          <cell r="G87">
            <v>23</v>
          </cell>
          <cell r="H87">
            <v>23</v>
          </cell>
          <cell r="I87">
            <v>0</v>
          </cell>
          <cell r="J87" t="str">
            <v>FINISH</v>
          </cell>
          <cell r="K87">
            <v>46262</v>
          </cell>
          <cell r="L87">
            <v>46269</v>
          </cell>
        </row>
        <row r="88">
          <cell r="A88" t="str">
            <v>CA-H2608-PD-121</v>
          </cell>
          <cell r="B88" t="str">
            <v xml:space="preserve">Masters parkway </v>
          </cell>
          <cell r="C88">
            <v>11125154</v>
          </cell>
          <cell r="D88" t="str">
            <v>1941023-F-A</v>
          </cell>
          <cell r="E88" t="str">
            <v>MST125-27HFR JP</v>
          </cell>
          <cell r="F88" t="str">
            <v>JAPAN</v>
          </cell>
          <cell r="G88">
            <v>196</v>
          </cell>
          <cell r="H88">
            <v>196</v>
          </cell>
          <cell r="I88">
            <v>0</v>
          </cell>
          <cell r="J88" t="str">
            <v>FINISH</v>
          </cell>
          <cell r="K88">
            <v>46262</v>
          </cell>
          <cell r="L88">
            <v>46269</v>
          </cell>
        </row>
        <row r="89">
          <cell r="A89" t="str">
            <v>CA-H2608-PD-122</v>
          </cell>
          <cell r="B89" t="str">
            <v xml:space="preserve">Masters parkway </v>
          </cell>
          <cell r="C89">
            <v>11126311</v>
          </cell>
          <cell r="D89" t="str">
            <v>1941011-E-A</v>
          </cell>
          <cell r="E89" t="str">
            <v>MST150-18PWSFR JP</v>
          </cell>
          <cell r="F89" t="str">
            <v>JAPAN</v>
          </cell>
          <cell r="G89">
            <v>7</v>
          </cell>
          <cell r="H89">
            <v>7</v>
          </cell>
          <cell r="I89">
            <v>0</v>
          </cell>
          <cell r="J89" t="str">
            <v>FINISH</v>
          </cell>
          <cell r="K89">
            <v>46262</v>
          </cell>
          <cell r="L89">
            <v>46269</v>
          </cell>
        </row>
        <row r="90">
          <cell r="A90" t="str">
            <v>CA-H2608-PD-123</v>
          </cell>
          <cell r="B90" t="str">
            <v xml:space="preserve">Masters parkway </v>
          </cell>
          <cell r="C90">
            <v>11125155</v>
          </cell>
          <cell r="D90" t="str">
            <v>1941024-F-A</v>
          </cell>
          <cell r="E90" t="str">
            <v>MST150-27HFR JP</v>
          </cell>
          <cell r="F90" t="str">
            <v>JAPAN</v>
          </cell>
          <cell r="G90">
            <v>11</v>
          </cell>
          <cell r="H90">
            <v>11</v>
          </cell>
          <cell r="I90">
            <v>0</v>
          </cell>
          <cell r="J90" t="str">
            <v>FINISH</v>
          </cell>
          <cell r="K90">
            <v>46262</v>
          </cell>
          <cell r="L90">
            <v>46269</v>
          </cell>
        </row>
        <row r="91">
          <cell r="A91" t="str">
            <v>CA-H2608-PD-124</v>
          </cell>
          <cell r="B91" t="str">
            <v xml:space="preserve">Masters parkway </v>
          </cell>
          <cell r="C91">
            <v>11131954</v>
          </cell>
          <cell r="D91" t="str">
            <v>1941013-F-A</v>
          </cell>
          <cell r="E91" t="str">
            <v>MST45A-18PWSFR JP</v>
          </cell>
          <cell r="F91" t="str">
            <v>JAPAN</v>
          </cell>
          <cell r="G91">
            <v>20</v>
          </cell>
          <cell r="H91">
            <v>20</v>
          </cell>
          <cell r="I91">
            <v>0</v>
          </cell>
          <cell r="J91" t="str">
            <v>FINISH</v>
          </cell>
          <cell r="K91">
            <v>46262</v>
          </cell>
          <cell r="L91">
            <v>46269</v>
          </cell>
        </row>
        <row r="92">
          <cell r="A92" t="str">
            <v>CA-H2608-PD-125</v>
          </cell>
          <cell r="B92" t="str">
            <v xml:space="preserve">Tellus </v>
          </cell>
          <cell r="C92">
            <v>11134360</v>
          </cell>
          <cell r="D92" t="str">
            <v>1941056-F-A</v>
          </cell>
          <cell r="E92" t="str">
            <v>TLS105-16SR JP</v>
          </cell>
          <cell r="F92" t="str">
            <v>J-sales</v>
          </cell>
          <cell r="G92">
            <v>17</v>
          </cell>
          <cell r="H92">
            <v>17</v>
          </cell>
          <cell r="I92">
            <v>0</v>
          </cell>
          <cell r="J92" t="str">
            <v>FINISH</v>
          </cell>
          <cell r="K92">
            <v>46262</v>
          </cell>
          <cell r="L92">
            <v>46269</v>
          </cell>
        </row>
        <row r="93">
          <cell r="A93" t="str">
            <v>CA-H2608-PD-126</v>
          </cell>
          <cell r="B93" t="str">
            <v xml:space="preserve">Tellus </v>
          </cell>
          <cell r="C93">
            <v>11132001</v>
          </cell>
          <cell r="D93" t="str">
            <v>1941063-D-A</v>
          </cell>
          <cell r="E93" t="str">
            <v>TLS105-16YR JP</v>
          </cell>
          <cell r="F93" t="str">
            <v>J-sales</v>
          </cell>
          <cell r="G93">
            <v>8</v>
          </cell>
          <cell r="H93">
            <v>8</v>
          </cell>
          <cell r="I93">
            <v>0</v>
          </cell>
          <cell r="J93" t="str">
            <v>FINISH</v>
          </cell>
          <cell r="K93">
            <v>46262</v>
          </cell>
          <cell r="L93">
            <v>46269</v>
          </cell>
        </row>
        <row r="94">
          <cell r="A94" t="str">
            <v>CA-H2608-PD-127</v>
          </cell>
          <cell r="B94" t="str">
            <v xml:space="preserve">Tellus </v>
          </cell>
          <cell r="C94">
            <v>11134364</v>
          </cell>
          <cell r="D94" t="str">
            <v>1941060-G-A</v>
          </cell>
          <cell r="E94" t="str">
            <v>TLS125-16ASR JP</v>
          </cell>
          <cell r="F94" t="str">
            <v>J-sales</v>
          </cell>
          <cell r="G94">
            <v>46</v>
          </cell>
          <cell r="H94">
            <v>46</v>
          </cell>
          <cell r="I94">
            <v>0</v>
          </cell>
          <cell r="J94" t="str">
            <v>FINISH</v>
          </cell>
          <cell r="K94">
            <v>46262</v>
          </cell>
          <cell r="L94">
            <v>46269</v>
          </cell>
        </row>
        <row r="95">
          <cell r="A95" t="str">
            <v>CA-H2608-PD-128</v>
          </cell>
          <cell r="B95" t="str">
            <v xml:space="preserve">Tellus </v>
          </cell>
          <cell r="C95">
            <v>11134361</v>
          </cell>
          <cell r="D95" t="str">
            <v>1941057-F-A</v>
          </cell>
          <cell r="E95" t="str">
            <v>TLS125-16SR JP</v>
          </cell>
          <cell r="F95" t="str">
            <v>J-sales</v>
          </cell>
          <cell r="G95">
            <v>53</v>
          </cell>
          <cell r="H95">
            <v>53</v>
          </cell>
          <cell r="I95">
            <v>0</v>
          </cell>
          <cell r="J95" t="str">
            <v>FINISH</v>
          </cell>
          <cell r="K95">
            <v>46262</v>
          </cell>
          <cell r="L95">
            <v>46269</v>
          </cell>
        </row>
        <row r="96">
          <cell r="A96" t="str">
            <v>CA-H2608-PD-129</v>
          </cell>
          <cell r="B96" t="str">
            <v xml:space="preserve">Tellus </v>
          </cell>
          <cell r="C96">
            <v>11132002</v>
          </cell>
          <cell r="D96" t="str">
            <v>1941064-D-A</v>
          </cell>
          <cell r="E96" t="str">
            <v>TLS125-16YR JP</v>
          </cell>
          <cell r="F96" t="str">
            <v>J-sales</v>
          </cell>
          <cell r="G96">
            <v>26</v>
          </cell>
          <cell r="H96">
            <v>26</v>
          </cell>
          <cell r="I96">
            <v>0</v>
          </cell>
          <cell r="J96" t="str">
            <v>FINISH</v>
          </cell>
          <cell r="K96">
            <v>46262</v>
          </cell>
          <cell r="L96">
            <v>46269</v>
          </cell>
        </row>
        <row r="97">
          <cell r="A97" t="str">
            <v>CA-H2608-PD-130</v>
          </cell>
          <cell r="B97" t="str">
            <v xml:space="preserve">Veloute </v>
          </cell>
          <cell r="C97">
            <v>11134343</v>
          </cell>
          <cell r="D97" t="str">
            <v>1941029-F-A</v>
          </cell>
          <cell r="E97" t="str">
            <v>VEL105-16SR JP</v>
          </cell>
          <cell r="F97" t="str">
            <v>JAPAN</v>
          </cell>
          <cell r="G97">
            <v>8</v>
          </cell>
          <cell r="H97">
            <v>8</v>
          </cell>
          <cell r="I97">
            <v>0</v>
          </cell>
          <cell r="J97" t="str">
            <v>FINISH</v>
          </cell>
          <cell r="K97">
            <v>46262</v>
          </cell>
          <cell r="L97">
            <v>46269</v>
          </cell>
        </row>
        <row r="98">
          <cell r="A98" t="str">
            <v>CA-H2608-PD-131</v>
          </cell>
          <cell r="B98" t="str">
            <v xml:space="preserve">Veloute </v>
          </cell>
          <cell r="C98">
            <v>11134347</v>
          </cell>
          <cell r="D98" t="str">
            <v>1941033-G-A</v>
          </cell>
          <cell r="E98" t="str">
            <v>VEL125-16ASR JP</v>
          </cell>
          <cell r="F98" t="str">
            <v>JAPAN</v>
          </cell>
          <cell r="G98">
            <v>110</v>
          </cell>
          <cell r="H98">
            <v>110</v>
          </cell>
          <cell r="I98">
            <v>0</v>
          </cell>
          <cell r="J98" t="str">
            <v>FINISH</v>
          </cell>
          <cell r="K98">
            <v>46262</v>
          </cell>
          <cell r="L98">
            <v>46269</v>
          </cell>
        </row>
        <row r="99">
          <cell r="A99" t="str">
            <v>CA-H2608-PD-132</v>
          </cell>
          <cell r="B99" t="str">
            <v xml:space="preserve">Veloute </v>
          </cell>
          <cell r="C99">
            <v>11134344</v>
          </cell>
          <cell r="D99" t="str">
            <v>1941030-F-A</v>
          </cell>
          <cell r="E99" t="str">
            <v>VEL125-16SR JP</v>
          </cell>
          <cell r="F99" t="str">
            <v>JAPAN</v>
          </cell>
          <cell r="G99">
            <v>84</v>
          </cell>
          <cell r="H99">
            <v>84</v>
          </cell>
          <cell r="I99">
            <v>0</v>
          </cell>
          <cell r="J99" t="str">
            <v>FINISH</v>
          </cell>
          <cell r="K99">
            <v>46262</v>
          </cell>
          <cell r="L99">
            <v>46269</v>
          </cell>
        </row>
        <row r="100">
          <cell r="A100" t="str">
            <v>CA-H2608-PD-133</v>
          </cell>
          <cell r="B100" t="str">
            <v xml:space="preserve">Veloute </v>
          </cell>
          <cell r="C100">
            <v>11134345</v>
          </cell>
          <cell r="D100" t="str">
            <v>1941031-F-A</v>
          </cell>
          <cell r="E100" t="str">
            <v>VEL150-16SR JP</v>
          </cell>
          <cell r="F100" t="str">
            <v>JAPAN</v>
          </cell>
          <cell r="G100">
            <v>10</v>
          </cell>
          <cell r="H100">
            <v>10</v>
          </cell>
          <cell r="I100">
            <v>0</v>
          </cell>
          <cell r="J100" t="str">
            <v>FINISH</v>
          </cell>
          <cell r="K100">
            <v>46262</v>
          </cell>
          <cell r="L100">
            <v>46269</v>
          </cell>
        </row>
        <row r="101">
          <cell r="A101" t="str">
            <v>CA-H2608-PD-134</v>
          </cell>
          <cell r="B101" t="str">
            <v xml:space="preserve">Caravel </v>
          </cell>
          <cell r="C101">
            <v>11135418</v>
          </cell>
          <cell r="D101" t="str">
            <v>2141056-D-A</v>
          </cell>
          <cell r="E101" t="str">
            <v>CRV135-19P KR</v>
          </cell>
          <cell r="F101" t="str">
            <v>KOREA</v>
          </cell>
          <cell r="G101">
            <v>195</v>
          </cell>
          <cell r="H101">
            <v>195</v>
          </cell>
          <cell r="I101">
            <v>0</v>
          </cell>
          <cell r="J101" t="str">
            <v>FINISH</v>
          </cell>
          <cell r="K101">
            <v>46262</v>
          </cell>
          <cell r="L101">
            <v>46269</v>
          </cell>
        </row>
        <row r="102">
          <cell r="A102" t="str">
            <v>CA-H2608-PD-135</v>
          </cell>
          <cell r="B102" t="str">
            <v xml:space="preserve">Hyperion </v>
          </cell>
          <cell r="C102">
            <v>11135423</v>
          </cell>
          <cell r="D102" t="str">
            <v>2211774-E-A</v>
          </cell>
          <cell r="E102" t="str">
            <v>HW60AL070P10002 KR</v>
          </cell>
          <cell r="F102" t="str">
            <v>KOREA</v>
          </cell>
          <cell r="G102">
            <v>1</v>
          </cell>
          <cell r="H102">
            <v>1</v>
          </cell>
          <cell r="I102">
            <v>0</v>
          </cell>
          <cell r="J102" t="str">
            <v>FINISH</v>
          </cell>
          <cell r="K102">
            <v>46262</v>
          </cell>
          <cell r="L102">
            <v>46269</v>
          </cell>
        </row>
        <row r="103">
          <cell r="A103" t="str">
            <v>CA-H2608-PD-136</v>
          </cell>
          <cell r="B103" t="str">
            <v xml:space="preserve">Hyperion </v>
          </cell>
          <cell r="C103">
            <v>11135427</v>
          </cell>
          <cell r="D103" t="str">
            <v>2211778-E-A</v>
          </cell>
          <cell r="E103" t="str">
            <v>HW60AL072P10002 KR</v>
          </cell>
          <cell r="F103" t="str">
            <v>KOREA</v>
          </cell>
          <cell r="G103">
            <v>1</v>
          </cell>
          <cell r="H103">
            <v>1</v>
          </cell>
          <cell r="I103">
            <v>0</v>
          </cell>
          <cell r="J103" t="str">
            <v>FINISH</v>
          </cell>
          <cell r="K103">
            <v>46262</v>
          </cell>
          <cell r="L103">
            <v>46269</v>
          </cell>
        </row>
        <row r="104">
          <cell r="A104" t="str">
            <v>CA-H2608-PD-137</v>
          </cell>
          <cell r="B104" t="str">
            <v xml:space="preserve">Hyperion </v>
          </cell>
          <cell r="C104">
            <v>11135468</v>
          </cell>
          <cell r="D104" t="str">
            <v>2211819-E-A</v>
          </cell>
          <cell r="E104" t="str">
            <v>HW60JL300P10000 KR</v>
          </cell>
          <cell r="F104" t="str">
            <v>KOREA</v>
          </cell>
          <cell r="G104">
            <v>4</v>
          </cell>
          <cell r="H104">
            <v>4</v>
          </cell>
          <cell r="I104">
            <v>0</v>
          </cell>
          <cell r="J104" t="str">
            <v>FINISH</v>
          </cell>
          <cell r="K104">
            <v>46262</v>
          </cell>
          <cell r="L104">
            <v>46269</v>
          </cell>
        </row>
        <row r="105">
          <cell r="A105" t="str">
            <v>CA-H2608-PD-138</v>
          </cell>
          <cell r="B105" t="str">
            <v xml:space="preserve">Hyperion </v>
          </cell>
          <cell r="C105">
            <v>11135473</v>
          </cell>
          <cell r="D105" t="str">
            <v>2211824-E-A</v>
          </cell>
          <cell r="E105" t="str">
            <v>HW60JL350P10000 KR</v>
          </cell>
          <cell r="F105" t="str">
            <v>KOREA</v>
          </cell>
          <cell r="G105">
            <v>9</v>
          </cell>
          <cell r="H105">
            <v>9</v>
          </cell>
          <cell r="I105">
            <v>0</v>
          </cell>
          <cell r="J105" t="str">
            <v>FINISH</v>
          </cell>
          <cell r="K105">
            <v>46262</v>
          </cell>
          <cell r="L105">
            <v>46269</v>
          </cell>
        </row>
        <row r="106">
          <cell r="A106" t="str">
            <v>CA-H2608-PD-139</v>
          </cell>
          <cell r="B106" t="str">
            <v xml:space="preserve">Hyperion </v>
          </cell>
          <cell r="C106">
            <v>11135477</v>
          </cell>
          <cell r="D106" t="str">
            <v>2211828-E-A</v>
          </cell>
          <cell r="E106" t="str">
            <v>HW60JL352P10000 KR</v>
          </cell>
          <cell r="F106" t="str">
            <v>KOREA</v>
          </cell>
          <cell r="G106">
            <v>14</v>
          </cell>
          <cell r="H106">
            <v>14</v>
          </cell>
          <cell r="I106">
            <v>0</v>
          </cell>
          <cell r="J106" t="str">
            <v>FINISH</v>
          </cell>
          <cell r="K106">
            <v>46262</v>
          </cell>
          <cell r="L106">
            <v>46269</v>
          </cell>
        </row>
        <row r="107">
          <cell r="A107" t="str">
            <v>CA-H2608-PD-140</v>
          </cell>
          <cell r="B107" t="str">
            <v xml:space="preserve">Hyperion </v>
          </cell>
          <cell r="C107">
            <v>11135499</v>
          </cell>
          <cell r="D107" t="str">
            <v>2211850-E-A</v>
          </cell>
          <cell r="E107" t="str">
            <v>HW60JR400P10000 KR</v>
          </cell>
          <cell r="F107" t="str">
            <v>KOREA</v>
          </cell>
          <cell r="G107">
            <v>3</v>
          </cell>
          <cell r="H107">
            <v>3</v>
          </cell>
          <cell r="I107">
            <v>0</v>
          </cell>
          <cell r="J107" t="str">
            <v>FINISH</v>
          </cell>
          <cell r="K107">
            <v>46262</v>
          </cell>
          <cell r="L107">
            <v>46269</v>
          </cell>
        </row>
        <row r="108">
          <cell r="A108" t="str">
            <v>CA-H2608-PD-141</v>
          </cell>
          <cell r="B108" t="str">
            <v>HyperionYubo changed</v>
          </cell>
          <cell r="C108">
            <v>11135517</v>
          </cell>
          <cell r="D108" t="str">
            <v>2211868-F-A</v>
          </cell>
          <cell r="E108" t="str">
            <v>HW60PB352P10000 KR</v>
          </cell>
          <cell r="F108" t="str">
            <v>KOREA</v>
          </cell>
          <cell r="G108">
            <v>2</v>
          </cell>
          <cell r="H108">
            <v>2</v>
          </cell>
          <cell r="I108">
            <v>0</v>
          </cell>
          <cell r="J108" t="str">
            <v>FINISH</v>
          </cell>
          <cell r="K108">
            <v>46262</v>
          </cell>
          <cell r="L108">
            <v>46269</v>
          </cell>
        </row>
        <row r="109">
          <cell r="A109" t="str">
            <v>CA-H2608-PD-142</v>
          </cell>
          <cell r="B109" t="str">
            <v>HyperionYubo changed</v>
          </cell>
          <cell r="C109">
            <v>11135535</v>
          </cell>
          <cell r="D109" t="str">
            <v>2211886-D-A</v>
          </cell>
          <cell r="E109" t="str">
            <v>HW60SP300P10000 KR</v>
          </cell>
          <cell r="F109" t="str">
            <v>KOREA</v>
          </cell>
          <cell r="G109">
            <v>24</v>
          </cell>
          <cell r="H109">
            <v>24</v>
          </cell>
          <cell r="I109">
            <v>0</v>
          </cell>
          <cell r="J109" t="str">
            <v>FINISH</v>
          </cell>
          <cell r="K109">
            <v>46262</v>
          </cell>
          <cell r="L109">
            <v>46269</v>
          </cell>
        </row>
        <row r="110">
          <cell r="A110" t="str">
            <v>CA-H2608-PD-143</v>
          </cell>
          <cell r="B110" t="str">
            <v>HyperionYubo changed</v>
          </cell>
          <cell r="C110">
            <v>11135539</v>
          </cell>
          <cell r="D110" t="str">
            <v>2211890-D-A</v>
          </cell>
          <cell r="E110" t="str">
            <v>HW60SP350P10000 KR</v>
          </cell>
          <cell r="F110" t="str">
            <v>KOREA</v>
          </cell>
          <cell r="G110">
            <v>20</v>
          </cell>
          <cell r="H110">
            <v>20</v>
          </cell>
          <cell r="I110">
            <v>0</v>
          </cell>
          <cell r="J110" t="str">
            <v>FINISH</v>
          </cell>
          <cell r="K110">
            <v>46262</v>
          </cell>
          <cell r="L110">
            <v>46269</v>
          </cell>
        </row>
        <row r="111">
          <cell r="A111" t="str">
            <v>CA-H2608-PD-144</v>
          </cell>
          <cell r="B111" t="str">
            <v>HyperionYubo changed</v>
          </cell>
          <cell r="C111">
            <v>11135542</v>
          </cell>
          <cell r="D111" t="str">
            <v>2211893-D-A</v>
          </cell>
          <cell r="E111" t="str">
            <v>HW60SP370P10000 KR</v>
          </cell>
          <cell r="F111" t="str">
            <v>KOREA</v>
          </cell>
          <cell r="G111">
            <v>2</v>
          </cell>
          <cell r="H111">
            <v>2</v>
          </cell>
          <cell r="I111">
            <v>0</v>
          </cell>
          <cell r="J111" t="str">
            <v>FINISH</v>
          </cell>
          <cell r="K111">
            <v>46262</v>
          </cell>
          <cell r="L111">
            <v>46269</v>
          </cell>
        </row>
        <row r="112">
          <cell r="A112" t="str">
            <v>CA-H2608-PD-145</v>
          </cell>
          <cell r="B112" t="str">
            <v>HyperionYubo changed</v>
          </cell>
          <cell r="C112">
            <v>11135545</v>
          </cell>
          <cell r="D112" t="str">
            <v>2211896-D-A</v>
          </cell>
          <cell r="E112" t="str">
            <v>HW60SP400P10000 KR</v>
          </cell>
          <cell r="F112" t="str">
            <v>KOREA</v>
          </cell>
          <cell r="G112">
            <v>1</v>
          </cell>
          <cell r="H112">
            <v>1</v>
          </cell>
          <cell r="I112">
            <v>0</v>
          </cell>
          <cell r="J112" t="str">
            <v>FINISH</v>
          </cell>
          <cell r="K112">
            <v>46262</v>
          </cell>
          <cell r="L112">
            <v>46269</v>
          </cell>
        </row>
        <row r="113">
          <cell r="A113" t="str">
            <v>CA-H2608-PD-146</v>
          </cell>
          <cell r="B113" t="str">
            <v>Hyperion</v>
          </cell>
          <cell r="C113">
            <v>11135559</v>
          </cell>
          <cell r="D113" t="str">
            <v>2211910-E-A</v>
          </cell>
          <cell r="E113" t="str">
            <v>HW70AL100P10002 KR</v>
          </cell>
          <cell r="F113" t="str">
            <v>KOREA</v>
          </cell>
          <cell r="G113">
            <v>1</v>
          </cell>
          <cell r="H113">
            <v>1</v>
          </cell>
          <cell r="I113">
            <v>0</v>
          </cell>
          <cell r="J113" t="str">
            <v>FINISH</v>
          </cell>
          <cell r="K113">
            <v>46262</v>
          </cell>
          <cell r="L113">
            <v>46269</v>
          </cell>
        </row>
        <row r="114">
          <cell r="A114" t="str">
            <v>CA-H2608-PD-147</v>
          </cell>
          <cell r="B114" t="str">
            <v>Hyperion</v>
          </cell>
          <cell r="C114">
            <v>11135563</v>
          </cell>
          <cell r="D114" t="str">
            <v>2211914-E-A</v>
          </cell>
          <cell r="E114" t="str">
            <v>HW70AL102P10002 KR</v>
          </cell>
          <cell r="F114" t="str">
            <v>KOREA</v>
          </cell>
          <cell r="G114">
            <v>39</v>
          </cell>
          <cell r="H114">
            <v>39</v>
          </cell>
          <cell r="I114">
            <v>0</v>
          </cell>
          <cell r="J114" t="str">
            <v>FINISH</v>
          </cell>
          <cell r="K114">
            <v>46262</v>
          </cell>
          <cell r="L114">
            <v>46269</v>
          </cell>
        </row>
        <row r="115">
          <cell r="A115" t="str">
            <v>CA-H2608-PD-148</v>
          </cell>
          <cell r="B115" t="str">
            <v>Hyperion</v>
          </cell>
          <cell r="C115">
            <v>11135573</v>
          </cell>
          <cell r="D115" t="str">
            <v>2211924-E-A</v>
          </cell>
          <cell r="E115" t="str">
            <v>HW70AL200P10000 KR</v>
          </cell>
          <cell r="F115" t="str">
            <v>KOREA</v>
          </cell>
          <cell r="G115">
            <v>3</v>
          </cell>
          <cell r="H115">
            <v>3</v>
          </cell>
          <cell r="I115">
            <v>0</v>
          </cell>
          <cell r="J115" t="str">
            <v>FINISH</v>
          </cell>
          <cell r="K115">
            <v>46262</v>
          </cell>
          <cell r="L115">
            <v>46269</v>
          </cell>
        </row>
        <row r="116">
          <cell r="A116" t="str">
            <v>CA-H2608-PD-149</v>
          </cell>
          <cell r="B116" t="str">
            <v>Hyperion</v>
          </cell>
          <cell r="C116">
            <v>11135601</v>
          </cell>
          <cell r="D116" t="str">
            <v>2211952-E-A</v>
          </cell>
          <cell r="E116" t="str">
            <v>HW70JL350P10000 KR</v>
          </cell>
          <cell r="F116" t="str">
            <v>KOREA</v>
          </cell>
          <cell r="G116">
            <v>21</v>
          </cell>
          <cell r="H116">
            <v>21</v>
          </cell>
          <cell r="I116">
            <v>0</v>
          </cell>
          <cell r="J116" t="str">
            <v>FINISH</v>
          </cell>
          <cell r="K116">
            <v>46262</v>
          </cell>
          <cell r="L116">
            <v>46269</v>
          </cell>
        </row>
        <row r="117">
          <cell r="A117" t="str">
            <v>CA-H2608-PD-150</v>
          </cell>
          <cell r="B117" t="str">
            <v>Hyperion</v>
          </cell>
          <cell r="C117">
            <v>11135605</v>
          </cell>
          <cell r="D117" t="str">
            <v>2211956-E-A</v>
          </cell>
          <cell r="E117" t="str">
            <v>HW70JL352P10000 KR</v>
          </cell>
          <cell r="F117" t="str">
            <v>KOREA</v>
          </cell>
          <cell r="G117">
            <v>10</v>
          </cell>
          <cell r="H117">
            <v>10</v>
          </cell>
          <cell r="I117">
            <v>0</v>
          </cell>
          <cell r="J117" t="str">
            <v>FINISH</v>
          </cell>
          <cell r="K117">
            <v>46262</v>
          </cell>
          <cell r="L117">
            <v>46269</v>
          </cell>
        </row>
        <row r="118">
          <cell r="A118" t="str">
            <v>CA-H2608-PD-151</v>
          </cell>
          <cell r="B118" t="str">
            <v xml:space="preserve">Hyperion </v>
          </cell>
          <cell r="C118">
            <v>11135627</v>
          </cell>
          <cell r="D118" t="str">
            <v>2211978-E-A</v>
          </cell>
          <cell r="E118" t="str">
            <v>HW70JR400P10000 KR</v>
          </cell>
          <cell r="F118" t="str">
            <v>KOREA</v>
          </cell>
          <cell r="G118">
            <v>2</v>
          </cell>
          <cell r="H118">
            <v>2</v>
          </cell>
          <cell r="I118">
            <v>0</v>
          </cell>
          <cell r="J118" t="str">
            <v>FINISH</v>
          </cell>
          <cell r="K118">
            <v>46262</v>
          </cell>
          <cell r="L118">
            <v>46269</v>
          </cell>
        </row>
        <row r="119">
          <cell r="A119" t="str">
            <v>CA-H2608-PD-152</v>
          </cell>
          <cell r="B119" t="str">
            <v>HyperionYubo changed</v>
          </cell>
          <cell r="C119">
            <v>11135667</v>
          </cell>
          <cell r="D119" t="str">
            <v>2311161-D-A</v>
          </cell>
          <cell r="E119" t="str">
            <v>HW70SP350P10000 KR</v>
          </cell>
          <cell r="F119" t="str">
            <v>KOREA</v>
          </cell>
          <cell r="G119">
            <v>17</v>
          </cell>
          <cell r="H119">
            <v>17</v>
          </cell>
          <cell r="I119">
            <v>0</v>
          </cell>
          <cell r="J119" t="str">
            <v>FINISH</v>
          </cell>
          <cell r="K119">
            <v>46262</v>
          </cell>
          <cell r="L119">
            <v>46269</v>
          </cell>
        </row>
        <row r="120">
          <cell r="A120" t="str">
            <v>CA-H2608-PD-163</v>
          </cell>
          <cell r="B120" t="str">
            <v xml:space="preserve">Hyperion </v>
          </cell>
          <cell r="C120">
            <v>11135580</v>
          </cell>
          <cell r="D120" t="str">
            <v>2211931-E-A</v>
          </cell>
          <cell r="E120" t="str">
            <v>HW70AR200P10000 KR</v>
          </cell>
          <cell r="F120" t="str">
            <v>KOREA</v>
          </cell>
          <cell r="G120">
            <v>2</v>
          </cell>
          <cell r="H120">
            <v>2</v>
          </cell>
          <cell r="I120">
            <v>0</v>
          </cell>
          <cell r="J120" t="str">
            <v>FINISH</v>
          </cell>
          <cell r="K120">
            <v>46261</v>
          </cell>
          <cell r="L120">
            <v>46269</v>
          </cell>
        </row>
        <row r="121">
          <cell r="A121" t="str">
            <v>CA-H2608-PD-164</v>
          </cell>
          <cell r="B121" t="str">
            <v xml:space="preserve">Caravel </v>
          </cell>
          <cell r="C121">
            <v>11135419</v>
          </cell>
          <cell r="D121" t="str">
            <v>2141057-D-A</v>
          </cell>
          <cell r="E121" t="str">
            <v>CRV150-19P KR</v>
          </cell>
          <cell r="F121" t="str">
            <v>KOREA</v>
          </cell>
          <cell r="G121">
            <v>48</v>
          </cell>
          <cell r="H121">
            <v>48</v>
          </cell>
          <cell r="I121">
            <v>0</v>
          </cell>
          <cell r="J121" t="str">
            <v>FINISH</v>
          </cell>
          <cell r="K121">
            <v>46261</v>
          </cell>
          <cell r="L121">
            <v>46269</v>
          </cell>
        </row>
        <row r="122">
          <cell r="A122" t="str">
            <v>CA-H2608-PD-165</v>
          </cell>
          <cell r="B122" t="str">
            <v xml:space="preserve">Hyperion </v>
          </cell>
          <cell r="C122">
            <v>11135434</v>
          </cell>
          <cell r="D122" t="str">
            <v>2211785-E-A</v>
          </cell>
          <cell r="E122" t="str">
            <v>HW60AL102P10000 KR</v>
          </cell>
          <cell r="F122" t="str">
            <v>KOREA</v>
          </cell>
          <cell r="G122">
            <v>17</v>
          </cell>
          <cell r="H122">
            <v>17</v>
          </cell>
          <cell r="I122">
            <v>0</v>
          </cell>
          <cell r="J122" t="str">
            <v>FINISH</v>
          </cell>
          <cell r="K122">
            <v>46261</v>
          </cell>
          <cell r="L122">
            <v>46269</v>
          </cell>
        </row>
        <row r="123">
          <cell r="A123" t="str">
            <v>CA-H2608-PD-166</v>
          </cell>
          <cell r="B123" t="str">
            <v xml:space="preserve">Hyperion </v>
          </cell>
          <cell r="C123">
            <v>11135435</v>
          </cell>
          <cell r="D123" t="str">
            <v>2211786-E-A</v>
          </cell>
          <cell r="E123" t="str">
            <v>HW60AL102P10002 KR</v>
          </cell>
          <cell r="F123" t="str">
            <v>KOREA</v>
          </cell>
          <cell r="G123">
            <v>61</v>
          </cell>
          <cell r="H123">
            <v>61</v>
          </cell>
          <cell r="I123">
            <v>0</v>
          </cell>
          <cell r="J123" t="str">
            <v>FINISH</v>
          </cell>
          <cell r="K123">
            <v>46261</v>
          </cell>
          <cell r="L123">
            <v>46269</v>
          </cell>
        </row>
        <row r="124">
          <cell r="A124" t="str">
            <v>CA-H2608-PD-167</v>
          </cell>
          <cell r="B124" t="str">
            <v xml:space="preserve">Hyperion </v>
          </cell>
          <cell r="C124">
            <v>11135448</v>
          </cell>
          <cell r="D124" t="str">
            <v>2211799-E-A</v>
          </cell>
          <cell r="E124" t="str">
            <v>HW60AL202P10000 KR</v>
          </cell>
          <cell r="F124" t="str">
            <v>KOREA</v>
          </cell>
          <cell r="G124">
            <v>4</v>
          </cell>
          <cell r="H124">
            <v>4</v>
          </cell>
          <cell r="I124">
            <v>0</v>
          </cell>
          <cell r="J124" t="str">
            <v>FINISH</v>
          </cell>
          <cell r="K124">
            <v>46261</v>
          </cell>
          <cell r="L124">
            <v>46269</v>
          </cell>
        </row>
        <row r="125">
          <cell r="A125" t="str">
            <v>CA-H2608-PD-168</v>
          </cell>
          <cell r="B125" t="str">
            <v xml:space="preserve">Hyperion </v>
          </cell>
          <cell r="C125">
            <v>11135463</v>
          </cell>
          <cell r="D125" t="str">
            <v>2211814-E-A</v>
          </cell>
          <cell r="E125" t="str">
            <v>HW60HS012P10000 KR</v>
          </cell>
          <cell r="F125" t="str">
            <v>KOREA</v>
          </cell>
          <cell r="G125">
            <v>1</v>
          </cell>
          <cell r="H125">
            <v>1</v>
          </cell>
          <cell r="I125">
            <v>0</v>
          </cell>
          <cell r="J125" t="str">
            <v>FINISH</v>
          </cell>
          <cell r="K125">
            <v>46261</v>
          </cell>
          <cell r="L125">
            <v>46269</v>
          </cell>
        </row>
        <row r="126">
          <cell r="A126" t="str">
            <v>CA-H2608-PD-169</v>
          </cell>
          <cell r="B126" t="str">
            <v xml:space="preserve">Hyperion </v>
          </cell>
          <cell r="C126">
            <v>11135473</v>
          </cell>
          <cell r="D126" t="str">
            <v>2211824-E-A</v>
          </cell>
          <cell r="E126" t="str">
            <v>HW60JL350P10000 KR</v>
          </cell>
          <cell r="F126" t="str">
            <v>KOREA</v>
          </cell>
          <cell r="G126">
            <v>8</v>
          </cell>
          <cell r="H126">
            <v>8</v>
          </cell>
          <cell r="I126">
            <v>0</v>
          </cell>
          <cell r="J126" t="str">
            <v>FINISH</v>
          </cell>
          <cell r="K126">
            <v>46261</v>
          </cell>
          <cell r="L126">
            <v>46269</v>
          </cell>
        </row>
        <row r="127">
          <cell r="A127" t="str">
            <v>CA-H2608-PD-170</v>
          </cell>
          <cell r="B127" t="str">
            <v xml:space="preserve">Hyperion </v>
          </cell>
          <cell r="C127">
            <v>11135490</v>
          </cell>
          <cell r="D127" t="str">
            <v>2211841-E-A</v>
          </cell>
          <cell r="E127" t="str">
            <v>HW60JL500P10000 KR</v>
          </cell>
          <cell r="F127" t="str">
            <v>KOREA</v>
          </cell>
          <cell r="G127">
            <v>14</v>
          </cell>
          <cell r="H127">
            <v>14</v>
          </cell>
          <cell r="I127">
            <v>0</v>
          </cell>
          <cell r="J127" t="str">
            <v>FINISH</v>
          </cell>
          <cell r="K127">
            <v>46261</v>
          </cell>
          <cell r="L127">
            <v>46269</v>
          </cell>
        </row>
        <row r="128">
          <cell r="A128" t="str">
            <v>CA-H2608-PD-171</v>
          </cell>
          <cell r="B128" t="str">
            <v xml:space="preserve">Hyperion </v>
          </cell>
          <cell r="C128">
            <v>11135492</v>
          </cell>
          <cell r="D128" t="str">
            <v>2211843-E-A</v>
          </cell>
          <cell r="E128" t="str">
            <v>HW60JL502P10000 KR</v>
          </cell>
          <cell r="F128" t="str">
            <v>KOREA</v>
          </cell>
          <cell r="G128">
            <v>3</v>
          </cell>
          <cell r="H128">
            <v>3</v>
          </cell>
          <cell r="I128">
            <v>0</v>
          </cell>
          <cell r="J128" t="str">
            <v>FINISH</v>
          </cell>
          <cell r="K128">
            <v>46261</v>
          </cell>
          <cell r="L128">
            <v>46269</v>
          </cell>
        </row>
        <row r="129">
          <cell r="A129" t="str">
            <v>CA-H2608-PD-172</v>
          </cell>
          <cell r="B129" t="str">
            <v>HyperionYubo changed</v>
          </cell>
          <cell r="C129">
            <v>11135535</v>
          </cell>
          <cell r="D129" t="str">
            <v>2211886-D-A</v>
          </cell>
          <cell r="E129" t="str">
            <v>HW60SP300P10000 KR</v>
          </cell>
          <cell r="F129" t="str">
            <v>KOREA</v>
          </cell>
          <cell r="G129">
            <v>69</v>
          </cell>
          <cell r="H129">
            <v>69</v>
          </cell>
          <cell r="I129">
            <v>0</v>
          </cell>
          <cell r="J129" t="str">
            <v>FINISH</v>
          </cell>
          <cell r="K129">
            <v>46261</v>
          </cell>
          <cell r="L129">
            <v>46269</v>
          </cell>
        </row>
        <row r="130">
          <cell r="A130" t="str">
            <v>CA-H2608-PD-173</v>
          </cell>
          <cell r="B130" t="str">
            <v>HyperionYubo changed</v>
          </cell>
          <cell r="C130">
            <v>11135539</v>
          </cell>
          <cell r="D130" t="str">
            <v>2211890-D-A</v>
          </cell>
          <cell r="E130" t="str">
            <v>HW60SP350P10000 KR</v>
          </cell>
          <cell r="F130" t="str">
            <v>KOREA</v>
          </cell>
          <cell r="G130">
            <v>13</v>
          </cell>
          <cell r="H130">
            <v>13</v>
          </cell>
          <cell r="I130">
            <v>0</v>
          </cell>
          <cell r="J130" t="str">
            <v>FINISH</v>
          </cell>
          <cell r="K130">
            <v>46261</v>
          </cell>
          <cell r="L130">
            <v>46269</v>
          </cell>
        </row>
        <row r="131">
          <cell r="A131" t="str">
            <v>CA-H2608-PD-174</v>
          </cell>
          <cell r="B131" t="str">
            <v>HyperionYubo changed</v>
          </cell>
          <cell r="C131">
            <v>11135542</v>
          </cell>
          <cell r="D131" t="str">
            <v>2211893-D-A</v>
          </cell>
          <cell r="E131" t="str">
            <v>HW60SP370P10000 KR</v>
          </cell>
          <cell r="F131" t="str">
            <v>KOREA</v>
          </cell>
          <cell r="G131">
            <v>12</v>
          </cell>
          <cell r="H131">
            <v>12</v>
          </cell>
          <cell r="I131">
            <v>0</v>
          </cell>
          <cell r="J131" t="str">
            <v>FINISH</v>
          </cell>
          <cell r="K131">
            <v>46261</v>
          </cell>
          <cell r="L131">
            <v>46269</v>
          </cell>
        </row>
        <row r="132">
          <cell r="A132" t="str">
            <v>CA-H2608-PD-175</v>
          </cell>
          <cell r="B132" t="str">
            <v>Hyperion</v>
          </cell>
          <cell r="C132">
            <v>11135551</v>
          </cell>
          <cell r="D132" t="str">
            <v>2211902-E-A</v>
          </cell>
          <cell r="E132" t="str">
            <v>HW70AL070P10002 KR</v>
          </cell>
          <cell r="F132" t="str">
            <v>KOREA</v>
          </cell>
          <cell r="G132">
            <v>10</v>
          </cell>
          <cell r="H132">
            <v>10</v>
          </cell>
          <cell r="I132">
            <v>0</v>
          </cell>
          <cell r="J132" t="str">
            <v>FINISH</v>
          </cell>
          <cell r="K132">
            <v>46261</v>
          </cell>
          <cell r="L132">
            <v>46269</v>
          </cell>
        </row>
        <row r="133">
          <cell r="A133" t="str">
            <v>CA-H2608-PD-176</v>
          </cell>
          <cell r="B133" t="str">
            <v>Hyperion</v>
          </cell>
          <cell r="C133">
            <v>11135563</v>
          </cell>
          <cell r="D133" t="str">
            <v>2211914-E-A</v>
          </cell>
          <cell r="E133" t="str">
            <v>HW70AL102P10002 KR</v>
          </cell>
          <cell r="F133" t="str">
            <v>KOREA</v>
          </cell>
          <cell r="G133">
            <v>27</v>
          </cell>
          <cell r="H133">
            <v>27</v>
          </cell>
          <cell r="I133">
            <v>0</v>
          </cell>
          <cell r="J133" t="str">
            <v>FINISH</v>
          </cell>
          <cell r="K133">
            <v>46261</v>
          </cell>
          <cell r="L133">
            <v>46269</v>
          </cell>
        </row>
        <row r="134">
          <cell r="A134" t="str">
            <v>CA-H2608-PD-177</v>
          </cell>
          <cell r="B134" t="str">
            <v>Hyperion</v>
          </cell>
          <cell r="C134">
            <v>11135601</v>
          </cell>
          <cell r="D134" t="str">
            <v>2211952-E-A</v>
          </cell>
          <cell r="E134" t="str">
            <v>HW70JL350P10000 KR</v>
          </cell>
          <cell r="F134" t="str">
            <v>KOREA</v>
          </cell>
          <cell r="G134">
            <v>12</v>
          </cell>
          <cell r="H134">
            <v>12</v>
          </cell>
          <cell r="I134">
            <v>0</v>
          </cell>
          <cell r="J134" t="str">
            <v>FINISH</v>
          </cell>
          <cell r="K134">
            <v>46261</v>
          </cell>
          <cell r="L134">
            <v>46269</v>
          </cell>
        </row>
        <row r="135">
          <cell r="A135" t="str">
            <v>CA-H2608-PD-184</v>
          </cell>
          <cell r="B135" t="str">
            <v xml:space="preserve">Caravel </v>
          </cell>
          <cell r="C135">
            <v>11131257</v>
          </cell>
          <cell r="D135" t="str">
            <v>1841034-D-A</v>
          </cell>
          <cell r="E135" t="str">
            <v>CRV150-19M JP</v>
          </cell>
          <cell r="F135" t="str">
            <v>JAPAN</v>
          </cell>
          <cell r="G135">
            <v>105</v>
          </cell>
          <cell r="H135">
            <v>105</v>
          </cell>
          <cell r="I135">
            <v>0</v>
          </cell>
          <cell r="J135" t="str">
            <v>FINISH</v>
          </cell>
          <cell r="K135">
            <v>46258</v>
          </cell>
          <cell r="L135">
            <v>46269</v>
          </cell>
        </row>
        <row r="136">
          <cell r="A136" t="str">
            <v>CA-H2608-PD-185</v>
          </cell>
          <cell r="B136" t="str">
            <v xml:space="preserve">Corsair-pro </v>
          </cell>
          <cell r="C136">
            <v>11131259</v>
          </cell>
          <cell r="D136" t="str">
            <v>1941002-D-A</v>
          </cell>
          <cell r="E136" t="str">
            <v>CSR150-26PR JP</v>
          </cell>
          <cell r="F136" t="str">
            <v>JAPAN</v>
          </cell>
          <cell r="G136">
            <v>12</v>
          </cell>
          <cell r="H136">
            <v>12</v>
          </cell>
          <cell r="I136">
            <v>0</v>
          </cell>
          <cell r="J136" t="str">
            <v>FINISH</v>
          </cell>
          <cell r="K136">
            <v>46258</v>
          </cell>
          <cell r="L136">
            <v>46269</v>
          </cell>
        </row>
        <row r="137">
          <cell r="A137" t="str">
            <v>CA-H2608-PD-186</v>
          </cell>
          <cell r="B137" t="str">
            <v xml:space="preserve">Hyperion </v>
          </cell>
          <cell r="C137">
            <v>11119333</v>
          </cell>
          <cell r="D137" t="str">
            <v>1911001-D-A</v>
          </cell>
          <cell r="E137" t="str">
            <v>HJ60AL070P10020 JP</v>
          </cell>
          <cell r="F137" t="str">
            <v>JAPAN</v>
          </cell>
          <cell r="G137">
            <v>16</v>
          </cell>
          <cell r="H137">
            <v>16</v>
          </cell>
          <cell r="I137">
            <v>0</v>
          </cell>
          <cell r="J137" t="str">
            <v>FINISH</v>
          </cell>
          <cell r="K137">
            <v>46258</v>
          </cell>
          <cell r="L137">
            <v>46269</v>
          </cell>
        </row>
        <row r="138">
          <cell r="A138" t="str">
            <v>CA-H2608-PD-187</v>
          </cell>
          <cell r="B138" t="str">
            <v xml:space="preserve">Hyperion </v>
          </cell>
          <cell r="C138">
            <v>11119413</v>
          </cell>
          <cell r="D138" t="str">
            <v>1911081-D-A</v>
          </cell>
          <cell r="E138" t="str">
            <v>HJ60AL070P10022 JP</v>
          </cell>
          <cell r="F138" t="str">
            <v>JAPAN</v>
          </cell>
          <cell r="G138">
            <v>93</v>
          </cell>
          <cell r="H138">
            <v>93</v>
          </cell>
          <cell r="I138">
            <v>0</v>
          </cell>
          <cell r="J138" t="str">
            <v>FINISH</v>
          </cell>
          <cell r="K138">
            <v>46258</v>
          </cell>
          <cell r="L138">
            <v>46269</v>
          </cell>
        </row>
        <row r="139">
          <cell r="A139" t="str">
            <v>CA-H2608-PD-188</v>
          </cell>
          <cell r="B139" t="str">
            <v xml:space="preserve">Hyperion </v>
          </cell>
          <cell r="C139">
            <v>11119338</v>
          </cell>
          <cell r="D139" t="str">
            <v>1911006-D-A</v>
          </cell>
          <cell r="E139" t="str">
            <v>HJ60AL100P09020 JP</v>
          </cell>
          <cell r="F139" t="str">
            <v>JAPAN</v>
          </cell>
          <cell r="G139">
            <v>2</v>
          </cell>
          <cell r="H139">
            <v>2</v>
          </cell>
          <cell r="I139">
            <v>0</v>
          </cell>
          <cell r="J139" t="str">
            <v>FINISH</v>
          </cell>
          <cell r="K139">
            <v>46258</v>
          </cell>
          <cell r="L139">
            <v>46269</v>
          </cell>
        </row>
        <row r="140">
          <cell r="A140" t="str">
            <v>CA-H2608-PD-189</v>
          </cell>
          <cell r="B140" t="str">
            <v xml:space="preserve">Hyperion </v>
          </cell>
          <cell r="C140">
            <v>11119340</v>
          </cell>
          <cell r="D140" t="str">
            <v>1911008-D-A</v>
          </cell>
          <cell r="E140" t="str">
            <v>HJ60AL102P09020 JP</v>
          </cell>
          <cell r="F140" t="str">
            <v>JAPAN</v>
          </cell>
          <cell r="G140">
            <v>7</v>
          </cell>
          <cell r="H140">
            <v>7</v>
          </cell>
          <cell r="I140">
            <v>0</v>
          </cell>
          <cell r="J140" t="str">
            <v>FINISH</v>
          </cell>
          <cell r="K140">
            <v>46258</v>
          </cell>
          <cell r="L140">
            <v>46269</v>
          </cell>
        </row>
        <row r="141">
          <cell r="A141" t="str">
            <v>CA-H2608-PD-190</v>
          </cell>
          <cell r="B141" t="str">
            <v xml:space="preserve">Hyperion </v>
          </cell>
          <cell r="C141">
            <v>11119342</v>
          </cell>
          <cell r="D141" t="str">
            <v>1911010-D-A</v>
          </cell>
          <cell r="E141" t="str">
            <v>HJ60AL102P10021 JP</v>
          </cell>
          <cell r="F141" t="str">
            <v>JAPAN</v>
          </cell>
          <cell r="G141">
            <v>4</v>
          </cell>
          <cell r="H141">
            <v>4</v>
          </cell>
          <cell r="I141">
            <v>0</v>
          </cell>
          <cell r="J141" t="str">
            <v>FINISH</v>
          </cell>
          <cell r="K141">
            <v>46258</v>
          </cell>
          <cell r="L141">
            <v>46269</v>
          </cell>
        </row>
        <row r="142">
          <cell r="A142" t="str">
            <v>CA-H2608-PD-191</v>
          </cell>
          <cell r="B142" t="str">
            <v xml:space="preserve">Hyperion </v>
          </cell>
          <cell r="C142">
            <v>11119418</v>
          </cell>
          <cell r="D142" t="str">
            <v>1911086-D-A</v>
          </cell>
          <cell r="E142" t="str">
            <v>HJ60AL152P10022 JP</v>
          </cell>
          <cell r="F142" t="str">
            <v>JAPAN</v>
          </cell>
          <cell r="G142">
            <v>13</v>
          </cell>
          <cell r="H142">
            <v>13</v>
          </cell>
          <cell r="I142">
            <v>0</v>
          </cell>
          <cell r="J142" t="str">
            <v>FINISH</v>
          </cell>
          <cell r="K142">
            <v>46258</v>
          </cell>
          <cell r="L142">
            <v>46269</v>
          </cell>
        </row>
        <row r="143">
          <cell r="A143" t="str">
            <v>CA-H2608-PD-192</v>
          </cell>
          <cell r="B143" t="str">
            <v xml:space="preserve">Hyperion </v>
          </cell>
          <cell r="C143">
            <v>11119419</v>
          </cell>
          <cell r="D143" t="str">
            <v>1911087-D-A</v>
          </cell>
          <cell r="E143" t="str">
            <v>HJ60AL200P10022 JP</v>
          </cell>
          <cell r="F143" t="str">
            <v>JAPAN</v>
          </cell>
          <cell r="G143">
            <v>13</v>
          </cell>
          <cell r="H143">
            <v>13</v>
          </cell>
          <cell r="I143">
            <v>0</v>
          </cell>
          <cell r="J143" t="str">
            <v>FINISH</v>
          </cell>
          <cell r="K143">
            <v>46258</v>
          </cell>
          <cell r="L143">
            <v>46269</v>
          </cell>
        </row>
        <row r="144">
          <cell r="A144" t="str">
            <v>CA-H2608-PD-193</v>
          </cell>
          <cell r="B144" t="str">
            <v xml:space="preserve">Hyperion </v>
          </cell>
          <cell r="C144">
            <v>11119420</v>
          </cell>
          <cell r="D144" t="str">
            <v>1911088-D-A</v>
          </cell>
          <cell r="E144" t="str">
            <v>HJ60AL202P10022 JP</v>
          </cell>
          <cell r="F144" t="str">
            <v>JAPAN</v>
          </cell>
          <cell r="G144">
            <v>2</v>
          </cell>
          <cell r="H144">
            <v>2</v>
          </cell>
          <cell r="I144">
            <v>0</v>
          </cell>
          <cell r="J144" t="str">
            <v>FINISH</v>
          </cell>
          <cell r="K144">
            <v>46258</v>
          </cell>
          <cell r="L144">
            <v>46269</v>
          </cell>
        </row>
        <row r="145">
          <cell r="A145" t="str">
            <v>CA-H2608-PD-194</v>
          </cell>
          <cell r="B145" t="str">
            <v xml:space="preserve">Hyperion </v>
          </cell>
          <cell r="C145">
            <v>11119350</v>
          </cell>
          <cell r="D145" t="str">
            <v>1911018-D-A</v>
          </cell>
          <cell r="E145" t="str">
            <v>HJ60CP150P10020 JP</v>
          </cell>
          <cell r="F145" t="str">
            <v>JAPAN</v>
          </cell>
          <cell r="G145">
            <v>3</v>
          </cell>
          <cell r="H145">
            <v>3</v>
          </cell>
          <cell r="I145">
            <v>0</v>
          </cell>
          <cell r="J145" t="str">
            <v>FINISH</v>
          </cell>
          <cell r="K145">
            <v>46258</v>
          </cell>
          <cell r="L145">
            <v>46269</v>
          </cell>
        </row>
        <row r="146">
          <cell r="A146" t="str">
            <v>CA-H2608-PD-195</v>
          </cell>
          <cell r="B146" t="str">
            <v>Hyperion</v>
          </cell>
          <cell r="C146">
            <v>11119351</v>
          </cell>
          <cell r="D146" t="str">
            <v>1911019-D-A</v>
          </cell>
          <cell r="E146" t="str">
            <v>HJ60CP152P10020 JP</v>
          </cell>
          <cell r="F146" t="str">
            <v>JAPAN</v>
          </cell>
          <cell r="G146">
            <v>1</v>
          </cell>
          <cell r="H146">
            <v>1</v>
          </cell>
          <cell r="I146">
            <v>0</v>
          </cell>
          <cell r="J146" t="str">
            <v>FINISH</v>
          </cell>
          <cell r="K146">
            <v>46258</v>
          </cell>
          <cell r="L146">
            <v>46269</v>
          </cell>
        </row>
        <row r="147">
          <cell r="A147" t="str">
            <v>CA-H2608-PD-196</v>
          </cell>
          <cell r="B147" t="str">
            <v>Hyperion</v>
          </cell>
          <cell r="C147">
            <v>11119352</v>
          </cell>
          <cell r="D147" t="str">
            <v>1911020-D-A</v>
          </cell>
          <cell r="E147" t="str">
            <v>HJ60CP200P10020 JP</v>
          </cell>
          <cell r="F147" t="str">
            <v>JAPAN</v>
          </cell>
          <cell r="G147">
            <v>8</v>
          </cell>
          <cell r="H147">
            <v>8</v>
          </cell>
          <cell r="I147">
            <v>0</v>
          </cell>
          <cell r="J147" t="str">
            <v>FINISH</v>
          </cell>
          <cell r="K147">
            <v>46258</v>
          </cell>
          <cell r="L147">
            <v>46269</v>
          </cell>
        </row>
        <row r="148">
          <cell r="A148" t="str">
            <v>CA-H2608-PD-197</v>
          </cell>
          <cell r="B148" t="str">
            <v>Hyperion</v>
          </cell>
          <cell r="C148">
            <v>11119366</v>
          </cell>
          <cell r="D148" t="str">
            <v>1911034-D-A</v>
          </cell>
          <cell r="E148" t="str">
            <v>HJ60IL402P10020 JP</v>
          </cell>
          <cell r="F148" t="str">
            <v>JAPAN</v>
          </cell>
          <cell r="G148">
            <v>6</v>
          </cell>
          <cell r="H148">
            <v>6</v>
          </cell>
          <cell r="I148">
            <v>0</v>
          </cell>
          <cell r="J148" t="str">
            <v>FINISH</v>
          </cell>
          <cell r="K148">
            <v>46258</v>
          </cell>
          <cell r="L148">
            <v>46269</v>
          </cell>
        </row>
        <row r="149">
          <cell r="A149" t="str">
            <v>CA-H2608-PD-198</v>
          </cell>
          <cell r="B149" t="str">
            <v>Hyperion</v>
          </cell>
          <cell r="C149">
            <v>11119374</v>
          </cell>
          <cell r="D149" t="str">
            <v>1911042-D-A</v>
          </cell>
          <cell r="E149" t="str">
            <v>HJ60JL352P10021 JP</v>
          </cell>
          <cell r="F149" t="str">
            <v>JAPAN</v>
          </cell>
          <cell r="G149">
            <v>4</v>
          </cell>
          <cell r="H149">
            <v>4</v>
          </cell>
          <cell r="I149">
            <v>0</v>
          </cell>
          <cell r="J149" t="str">
            <v>FINISH</v>
          </cell>
          <cell r="K149">
            <v>46258</v>
          </cell>
          <cell r="L149">
            <v>46269</v>
          </cell>
        </row>
        <row r="150">
          <cell r="A150" t="str">
            <v>CA-H2608-PD-199</v>
          </cell>
          <cell r="B150" t="str">
            <v>Hyperion</v>
          </cell>
          <cell r="C150">
            <v>11119378</v>
          </cell>
          <cell r="D150" t="str">
            <v>1911046-D-A</v>
          </cell>
          <cell r="E150" t="str">
            <v>HJ60JL402P09020 JP</v>
          </cell>
          <cell r="F150" t="str">
            <v>JAPAN</v>
          </cell>
          <cell r="G150">
            <v>4</v>
          </cell>
          <cell r="H150">
            <v>4</v>
          </cell>
          <cell r="I150">
            <v>0</v>
          </cell>
          <cell r="J150" t="str">
            <v>FINISH</v>
          </cell>
          <cell r="K150">
            <v>46258</v>
          </cell>
          <cell r="L150">
            <v>46269</v>
          </cell>
        </row>
        <row r="151">
          <cell r="A151" t="str">
            <v>CA-H2608-PD-200</v>
          </cell>
          <cell r="B151" t="str">
            <v>Hyperion</v>
          </cell>
          <cell r="C151">
            <v>11119381</v>
          </cell>
          <cell r="D151" t="str">
            <v>1911049-D-A</v>
          </cell>
          <cell r="E151" t="str">
            <v>HJ60JL450P10000 JP</v>
          </cell>
          <cell r="F151" t="str">
            <v>JAPAN</v>
          </cell>
          <cell r="G151">
            <v>3</v>
          </cell>
          <cell r="H151">
            <v>3</v>
          </cell>
          <cell r="I151">
            <v>0</v>
          </cell>
          <cell r="J151" t="str">
            <v>FINISH</v>
          </cell>
          <cell r="K151">
            <v>46258</v>
          </cell>
          <cell r="L151">
            <v>46269</v>
          </cell>
        </row>
        <row r="152">
          <cell r="A152" t="str">
            <v>CA-H2608-PD-201</v>
          </cell>
          <cell r="B152" t="str">
            <v xml:space="preserve">Hyperion </v>
          </cell>
          <cell r="C152">
            <v>11119386</v>
          </cell>
          <cell r="D152" t="str">
            <v>1911054-D-A</v>
          </cell>
          <cell r="E152" t="str">
            <v>HJ60JL502P10020 JP</v>
          </cell>
          <cell r="F152" t="str">
            <v>JAPAN</v>
          </cell>
          <cell r="G152">
            <v>4</v>
          </cell>
          <cell r="H152">
            <v>4</v>
          </cell>
          <cell r="I152">
            <v>0</v>
          </cell>
          <cell r="J152" t="str">
            <v>FINISH</v>
          </cell>
          <cell r="K152">
            <v>46258</v>
          </cell>
          <cell r="L152">
            <v>46269</v>
          </cell>
        </row>
        <row r="153">
          <cell r="A153" t="str">
            <v>CA-H2608-PD-202</v>
          </cell>
          <cell r="B153" t="str">
            <v xml:space="preserve">Hyperion </v>
          </cell>
          <cell r="C153">
            <v>11119390</v>
          </cell>
          <cell r="D153" t="str">
            <v>1911058-D-A</v>
          </cell>
          <cell r="E153" t="str">
            <v>HJ60JR352P10020 JP</v>
          </cell>
          <cell r="F153" t="str">
            <v>JAPAN</v>
          </cell>
          <cell r="G153">
            <v>20</v>
          </cell>
          <cell r="H153">
            <v>20</v>
          </cell>
          <cell r="I153">
            <v>0</v>
          </cell>
          <cell r="J153" t="str">
            <v>FINISH</v>
          </cell>
          <cell r="K153">
            <v>46258</v>
          </cell>
          <cell r="L153">
            <v>46269</v>
          </cell>
        </row>
        <row r="154">
          <cell r="A154" t="str">
            <v>CA-H2608-PD-203</v>
          </cell>
          <cell r="B154" t="str">
            <v xml:space="preserve">Hyperion </v>
          </cell>
          <cell r="C154">
            <v>11119394</v>
          </cell>
          <cell r="D154" t="str">
            <v>1911062-D-A</v>
          </cell>
          <cell r="E154" t="str">
            <v>HJ60JR402P09020 JP</v>
          </cell>
          <cell r="F154" t="str">
            <v>JAPAN</v>
          </cell>
          <cell r="G154">
            <v>2</v>
          </cell>
          <cell r="H154">
            <v>2</v>
          </cell>
          <cell r="I154">
            <v>0</v>
          </cell>
          <cell r="J154" t="str">
            <v>FINISH</v>
          </cell>
          <cell r="K154">
            <v>46258</v>
          </cell>
          <cell r="L154">
            <v>46269</v>
          </cell>
        </row>
        <row r="155">
          <cell r="A155" t="str">
            <v>CA-H2608-PD-204</v>
          </cell>
          <cell r="B155" t="str">
            <v xml:space="preserve">Hyperion </v>
          </cell>
          <cell r="C155">
            <v>11119397</v>
          </cell>
          <cell r="D155" t="str">
            <v>1911065-D-A</v>
          </cell>
          <cell r="E155" t="str">
            <v>HJ60JR500P10020 JP</v>
          </cell>
          <cell r="F155" t="str">
            <v>JAPAN</v>
          </cell>
          <cell r="G155">
            <v>1</v>
          </cell>
          <cell r="H155">
            <v>1</v>
          </cell>
          <cell r="I155">
            <v>0</v>
          </cell>
          <cell r="J155" t="str">
            <v>FINISH</v>
          </cell>
          <cell r="K155">
            <v>46258</v>
          </cell>
          <cell r="L155">
            <v>46269</v>
          </cell>
        </row>
        <row r="156">
          <cell r="A156" t="str">
            <v>CA-H2608-PD-205</v>
          </cell>
          <cell r="B156" t="str">
            <v xml:space="preserve">Hyperion </v>
          </cell>
          <cell r="C156">
            <v>11119398</v>
          </cell>
          <cell r="D156" t="str">
            <v>1911066-D-A</v>
          </cell>
          <cell r="E156" t="str">
            <v>HJ60JR502P10020 JP</v>
          </cell>
          <cell r="F156" t="str">
            <v>JAPAN</v>
          </cell>
          <cell r="G156">
            <v>4</v>
          </cell>
          <cell r="H156">
            <v>4</v>
          </cell>
          <cell r="I156">
            <v>0</v>
          </cell>
          <cell r="J156" t="str">
            <v>FINISH</v>
          </cell>
          <cell r="K156">
            <v>46258</v>
          </cell>
          <cell r="L156">
            <v>46269</v>
          </cell>
        </row>
        <row r="157">
          <cell r="A157" t="str">
            <v>CA-H2608-PD-206</v>
          </cell>
          <cell r="B157" t="str">
            <v>HyperionYubo changed</v>
          </cell>
          <cell r="C157">
            <v>11134250</v>
          </cell>
          <cell r="D157" t="str">
            <v>1911067-E-A</v>
          </cell>
          <cell r="E157" t="str">
            <v>HJ60PB300P10000 JP</v>
          </cell>
          <cell r="F157" t="str">
            <v>JAPAN</v>
          </cell>
          <cell r="G157">
            <v>2</v>
          </cell>
          <cell r="H157">
            <v>2</v>
          </cell>
          <cell r="I157">
            <v>0</v>
          </cell>
          <cell r="J157" t="str">
            <v>FINISH</v>
          </cell>
          <cell r="K157">
            <v>46258</v>
          </cell>
          <cell r="L157">
            <v>46269</v>
          </cell>
        </row>
        <row r="158">
          <cell r="A158" t="str">
            <v>CA-H2608-PD-207</v>
          </cell>
          <cell r="B158" t="str">
            <v>HyperionYubo changed</v>
          </cell>
          <cell r="C158">
            <v>11134253</v>
          </cell>
          <cell r="D158" t="str">
            <v>1911070-E-A</v>
          </cell>
          <cell r="E158" t="str">
            <v>HJ60PB352P10020 JP</v>
          </cell>
          <cell r="F158" t="str">
            <v>JAPAN</v>
          </cell>
          <cell r="G158">
            <v>29</v>
          </cell>
          <cell r="H158">
            <v>29</v>
          </cell>
          <cell r="I158">
            <v>0</v>
          </cell>
          <cell r="J158" t="str">
            <v>FINISH</v>
          </cell>
          <cell r="K158">
            <v>46258</v>
          </cell>
          <cell r="L158">
            <v>46269</v>
          </cell>
        </row>
        <row r="159">
          <cell r="A159" t="str">
            <v>CA-H2608-PD-208</v>
          </cell>
          <cell r="B159" t="str">
            <v xml:space="preserve">Hyperion </v>
          </cell>
          <cell r="C159">
            <v>11119408</v>
          </cell>
          <cell r="D159" t="str">
            <v>1911076-D-A</v>
          </cell>
          <cell r="E159" t="str">
            <v>HJ60RB102P10020 JP</v>
          </cell>
          <cell r="F159" t="str">
            <v>JAPAN</v>
          </cell>
          <cell r="G159">
            <v>1</v>
          </cell>
          <cell r="H159">
            <v>1</v>
          </cell>
          <cell r="I159">
            <v>0</v>
          </cell>
          <cell r="J159" t="str">
            <v>FINISH</v>
          </cell>
          <cell r="K159">
            <v>46258</v>
          </cell>
          <cell r="L159">
            <v>46269</v>
          </cell>
        </row>
        <row r="160">
          <cell r="A160" t="str">
            <v>CA-H2608-PD-209</v>
          </cell>
          <cell r="B160" t="str">
            <v xml:space="preserve">Hyperion </v>
          </cell>
          <cell r="C160">
            <v>11119421</v>
          </cell>
          <cell r="D160" t="str">
            <v>1911089-D-A</v>
          </cell>
          <cell r="E160" t="str">
            <v>HJ60SC350P10000 JP</v>
          </cell>
          <cell r="F160" t="str">
            <v>JAPAN</v>
          </cell>
          <cell r="G160">
            <v>5</v>
          </cell>
          <cell r="H160">
            <v>5</v>
          </cell>
          <cell r="I160">
            <v>0</v>
          </cell>
          <cell r="J160" t="str">
            <v>FINISH</v>
          </cell>
          <cell r="K160">
            <v>46258</v>
          </cell>
          <cell r="L160">
            <v>46269</v>
          </cell>
        </row>
        <row r="161">
          <cell r="A161" t="str">
            <v>CA-H2608-PD-210</v>
          </cell>
          <cell r="B161" t="str">
            <v xml:space="preserve">Hyperion </v>
          </cell>
          <cell r="C161">
            <v>11119423</v>
          </cell>
          <cell r="D161" t="str">
            <v>1911091-D-A</v>
          </cell>
          <cell r="E161" t="str">
            <v>HJ60SC400P10000 JP</v>
          </cell>
          <cell r="F161" t="str">
            <v>JAPAN</v>
          </cell>
          <cell r="G161">
            <v>15</v>
          </cell>
          <cell r="H161">
            <v>15</v>
          </cell>
          <cell r="I161">
            <v>0</v>
          </cell>
          <cell r="J161" t="str">
            <v>FINISH</v>
          </cell>
          <cell r="K161">
            <v>46258</v>
          </cell>
          <cell r="L161">
            <v>46269</v>
          </cell>
        </row>
        <row r="162">
          <cell r="A162" t="str">
            <v>CA-H2608-PD-211</v>
          </cell>
          <cell r="B162" t="str">
            <v xml:space="preserve">Hyperion </v>
          </cell>
          <cell r="C162">
            <v>11119436</v>
          </cell>
          <cell r="D162" t="str">
            <v>2111063-D-A</v>
          </cell>
          <cell r="E162" t="str">
            <v>HJ60SL102P10000 JP</v>
          </cell>
          <cell r="F162" t="str">
            <v>JAPAN</v>
          </cell>
          <cell r="G162">
            <v>1</v>
          </cell>
          <cell r="H162">
            <v>1</v>
          </cell>
          <cell r="I162">
            <v>0</v>
          </cell>
          <cell r="J162" t="str">
            <v>FINISH</v>
          </cell>
          <cell r="K162">
            <v>46258</v>
          </cell>
          <cell r="L162">
            <v>46269</v>
          </cell>
        </row>
        <row r="163">
          <cell r="A163" t="str">
            <v>CA-H2608-PD-212</v>
          </cell>
          <cell r="B163" t="str">
            <v>HyperionYubo changed</v>
          </cell>
          <cell r="C163">
            <v>11134258</v>
          </cell>
          <cell r="D163" t="str">
            <v>1911095-E-A</v>
          </cell>
          <cell r="E163" t="str">
            <v>HJ60SP320P10000 JP</v>
          </cell>
          <cell r="F163" t="str">
            <v>JAPAN</v>
          </cell>
          <cell r="G163">
            <v>10</v>
          </cell>
          <cell r="H163">
            <v>10</v>
          </cell>
          <cell r="I163">
            <v>0</v>
          </cell>
          <cell r="J163" t="str">
            <v>FINISH</v>
          </cell>
          <cell r="K163">
            <v>46258</v>
          </cell>
          <cell r="L163">
            <v>46269</v>
          </cell>
        </row>
        <row r="164">
          <cell r="A164" t="str">
            <v>CA-H2608-PD-213</v>
          </cell>
          <cell r="B164" t="str">
            <v>HyperionYubo changed</v>
          </cell>
          <cell r="C164">
            <v>11134259</v>
          </cell>
          <cell r="D164" t="str">
            <v>1911096-E-A</v>
          </cell>
          <cell r="E164" t="str">
            <v>HJ60SP322P10020 JP</v>
          </cell>
          <cell r="F164" t="str">
            <v>JAPAN</v>
          </cell>
          <cell r="G164">
            <v>5</v>
          </cell>
          <cell r="H164">
            <v>5</v>
          </cell>
          <cell r="I164">
            <v>0</v>
          </cell>
          <cell r="J164" t="str">
            <v>FINISH</v>
          </cell>
          <cell r="K164">
            <v>46258</v>
          </cell>
          <cell r="L164">
            <v>46269</v>
          </cell>
        </row>
        <row r="165">
          <cell r="A165" t="str">
            <v>CA-H2608-PD-214</v>
          </cell>
          <cell r="B165" t="str">
            <v>HyperionYubo changed</v>
          </cell>
          <cell r="C165">
            <v>11134265</v>
          </cell>
          <cell r="D165" t="str">
            <v>1911102-E-A</v>
          </cell>
          <cell r="E165" t="str">
            <v>HJ60SP402P10020 JP</v>
          </cell>
          <cell r="F165" t="str">
            <v>JAPAN</v>
          </cell>
          <cell r="G165">
            <v>22</v>
          </cell>
          <cell r="H165">
            <v>22</v>
          </cell>
          <cell r="I165">
            <v>0</v>
          </cell>
          <cell r="J165" t="str">
            <v>FINISH</v>
          </cell>
          <cell r="K165">
            <v>46258</v>
          </cell>
          <cell r="L165">
            <v>46269</v>
          </cell>
        </row>
        <row r="166">
          <cell r="A166" t="str">
            <v>CA-H2608-PD-215</v>
          </cell>
          <cell r="B166" t="str">
            <v xml:space="preserve">Hyperion </v>
          </cell>
          <cell r="C166">
            <v>11119437</v>
          </cell>
          <cell r="D166" t="str">
            <v>1911103-D-A</v>
          </cell>
          <cell r="E166" t="str">
            <v>HJ70AL070P10020 JP</v>
          </cell>
          <cell r="F166" t="str">
            <v>JAPAN</v>
          </cell>
          <cell r="G166">
            <v>13</v>
          </cell>
          <cell r="H166">
            <v>13</v>
          </cell>
          <cell r="I166">
            <v>0</v>
          </cell>
          <cell r="J166" t="str">
            <v>FINISH</v>
          </cell>
          <cell r="K166">
            <v>46258</v>
          </cell>
          <cell r="L166">
            <v>46269</v>
          </cell>
        </row>
        <row r="167">
          <cell r="A167" t="str">
            <v>CA-H2608-PD-216</v>
          </cell>
          <cell r="B167" t="str">
            <v xml:space="preserve">Hyperion </v>
          </cell>
          <cell r="C167">
            <v>11119440</v>
          </cell>
          <cell r="D167" t="str">
            <v>1911106-D-A</v>
          </cell>
          <cell r="E167" t="str">
            <v>HJ70AL070P10021 JP</v>
          </cell>
          <cell r="F167" t="str">
            <v>JAPAN</v>
          </cell>
          <cell r="G167">
            <v>3</v>
          </cell>
          <cell r="H167">
            <v>3</v>
          </cell>
          <cell r="I167">
            <v>0</v>
          </cell>
          <cell r="J167" t="str">
            <v>FINISH</v>
          </cell>
          <cell r="K167">
            <v>46258</v>
          </cell>
          <cell r="L167">
            <v>46269</v>
          </cell>
        </row>
        <row r="168">
          <cell r="A168" t="str">
            <v>CA-H2608-PD-217</v>
          </cell>
          <cell r="B168" t="str">
            <v xml:space="preserve">Hyperion </v>
          </cell>
          <cell r="C168">
            <v>11119535</v>
          </cell>
          <cell r="D168" t="str">
            <v>1911201-D-A</v>
          </cell>
          <cell r="E168" t="str">
            <v>HJ70AL070P10022 JP</v>
          </cell>
          <cell r="F168" t="str">
            <v>JAPAN</v>
          </cell>
          <cell r="G168">
            <v>15</v>
          </cell>
          <cell r="H168">
            <v>15</v>
          </cell>
          <cell r="I168">
            <v>0</v>
          </cell>
          <cell r="J168" t="str">
            <v>FINISH</v>
          </cell>
          <cell r="K168">
            <v>46258</v>
          </cell>
          <cell r="L168">
            <v>46269</v>
          </cell>
        </row>
        <row r="169">
          <cell r="A169" t="str">
            <v>CA-H2608-PD-218</v>
          </cell>
          <cell r="B169" t="str">
            <v xml:space="preserve">Hyperion </v>
          </cell>
          <cell r="C169">
            <v>11119538</v>
          </cell>
          <cell r="D169" t="str">
            <v>1911204-D-A</v>
          </cell>
          <cell r="E169" t="str">
            <v>HJ70AL072P09022 JP</v>
          </cell>
          <cell r="F169" t="str">
            <v>JAPAN</v>
          </cell>
          <cell r="G169">
            <v>8</v>
          </cell>
          <cell r="H169">
            <v>8</v>
          </cell>
          <cell r="I169">
            <v>0</v>
          </cell>
          <cell r="J169" t="str">
            <v>FINISH</v>
          </cell>
          <cell r="K169">
            <v>46258</v>
          </cell>
          <cell r="L169">
            <v>46269</v>
          </cell>
        </row>
        <row r="170">
          <cell r="A170" t="str">
            <v>CA-H2608-PD-219</v>
          </cell>
          <cell r="B170" t="str">
            <v xml:space="preserve">Hyperion </v>
          </cell>
          <cell r="C170">
            <v>11119438</v>
          </cell>
          <cell r="D170" t="str">
            <v>1911104-D-A</v>
          </cell>
          <cell r="E170" t="str">
            <v>HJ70AL072P10020 JP</v>
          </cell>
          <cell r="F170" t="str">
            <v>JAPAN</v>
          </cell>
          <cell r="G170">
            <v>37</v>
          </cell>
          <cell r="H170">
            <v>37</v>
          </cell>
          <cell r="I170">
            <v>0</v>
          </cell>
          <cell r="J170" t="str">
            <v>FINISH</v>
          </cell>
          <cell r="K170">
            <v>46258</v>
          </cell>
          <cell r="L170">
            <v>46269</v>
          </cell>
        </row>
        <row r="171">
          <cell r="A171" t="str">
            <v>CA-H2608-PD-220</v>
          </cell>
          <cell r="B171" t="str">
            <v xml:space="preserve">Hyperion </v>
          </cell>
          <cell r="C171">
            <v>11119441</v>
          </cell>
          <cell r="D171" t="str">
            <v>1911107-D-A</v>
          </cell>
          <cell r="E171" t="str">
            <v>HJ70AL072P10021 JP</v>
          </cell>
          <cell r="F171" t="str">
            <v>JAPAN</v>
          </cell>
          <cell r="G171">
            <v>10</v>
          </cell>
          <cell r="H171">
            <v>10</v>
          </cell>
          <cell r="I171">
            <v>0</v>
          </cell>
          <cell r="J171" t="str">
            <v>FINISH</v>
          </cell>
          <cell r="K171">
            <v>46258</v>
          </cell>
          <cell r="L171">
            <v>46269</v>
          </cell>
        </row>
        <row r="172">
          <cell r="A172" t="str">
            <v>CA-H2608-PD-221</v>
          </cell>
          <cell r="B172" t="str">
            <v xml:space="preserve">Hyperion </v>
          </cell>
          <cell r="C172">
            <v>11119540</v>
          </cell>
          <cell r="D172" t="str">
            <v>1911206-D-A</v>
          </cell>
          <cell r="E172" t="str">
            <v>HJ70AL100P09022 JP</v>
          </cell>
          <cell r="F172" t="str">
            <v>JAPAN</v>
          </cell>
          <cell r="G172">
            <v>10</v>
          </cell>
          <cell r="H172">
            <v>10</v>
          </cell>
          <cell r="I172">
            <v>0</v>
          </cell>
          <cell r="J172" t="str">
            <v>FINISH</v>
          </cell>
          <cell r="K172">
            <v>46258</v>
          </cell>
          <cell r="L172">
            <v>46269</v>
          </cell>
        </row>
        <row r="173">
          <cell r="A173" t="str">
            <v>CA-H2608-PD-222</v>
          </cell>
          <cell r="B173" t="str">
            <v xml:space="preserve">Hyperion </v>
          </cell>
          <cell r="C173">
            <v>11119446</v>
          </cell>
          <cell r="D173" t="str">
            <v>1911112-D-A</v>
          </cell>
          <cell r="E173" t="str">
            <v>HJ70AL100P10021 JP</v>
          </cell>
          <cell r="F173" t="str">
            <v>JAPAN</v>
          </cell>
          <cell r="G173">
            <v>1</v>
          </cell>
          <cell r="H173">
            <v>1</v>
          </cell>
          <cell r="I173">
            <v>0</v>
          </cell>
          <cell r="J173" t="str">
            <v>FINISH</v>
          </cell>
          <cell r="K173">
            <v>46258</v>
          </cell>
          <cell r="L173">
            <v>46269</v>
          </cell>
        </row>
        <row r="174">
          <cell r="A174" t="str">
            <v>CA-H2608-PD-223</v>
          </cell>
          <cell r="B174" t="str">
            <v xml:space="preserve">Hyperion </v>
          </cell>
          <cell r="C174">
            <v>11119445</v>
          </cell>
          <cell r="D174" t="str">
            <v>1911111-D-A</v>
          </cell>
          <cell r="E174" t="str">
            <v>HJ70AL102P09020 JP</v>
          </cell>
          <cell r="F174" t="str">
            <v>JAPAN</v>
          </cell>
          <cell r="G174">
            <v>21</v>
          </cell>
          <cell r="H174">
            <v>21</v>
          </cell>
          <cell r="I174">
            <v>0</v>
          </cell>
          <cell r="J174" t="str">
            <v>FINISH</v>
          </cell>
          <cell r="K174">
            <v>46258</v>
          </cell>
          <cell r="L174">
            <v>46269</v>
          </cell>
        </row>
        <row r="175">
          <cell r="A175" t="str">
            <v>CA-H2608-PD-224</v>
          </cell>
          <cell r="B175" t="str">
            <v xml:space="preserve">Hyperion </v>
          </cell>
          <cell r="C175">
            <v>11119542</v>
          </cell>
          <cell r="D175" t="str">
            <v>1911208-D-A</v>
          </cell>
          <cell r="E175" t="str">
            <v>HJ70AL102P09022 JP</v>
          </cell>
          <cell r="F175" t="str">
            <v>JAPAN</v>
          </cell>
          <cell r="G175">
            <v>8</v>
          </cell>
          <cell r="H175">
            <v>8</v>
          </cell>
          <cell r="I175">
            <v>0</v>
          </cell>
          <cell r="J175" t="str">
            <v>FINISH</v>
          </cell>
          <cell r="K175">
            <v>46258</v>
          </cell>
          <cell r="L175">
            <v>46269</v>
          </cell>
        </row>
        <row r="176">
          <cell r="A176" t="str">
            <v>CA-H2608-PD-225</v>
          </cell>
          <cell r="B176" t="str">
            <v xml:space="preserve">Hyperion </v>
          </cell>
          <cell r="C176">
            <v>11119447</v>
          </cell>
          <cell r="D176" t="str">
            <v>1911113-D-A</v>
          </cell>
          <cell r="E176" t="str">
            <v>HJ70AL102P10021 JP</v>
          </cell>
          <cell r="F176" t="str">
            <v>JAPAN</v>
          </cell>
          <cell r="G176">
            <v>33</v>
          </cell>
          <cell r="H176">
            <v>33</v>
          </cell>
          <cell r="I176">
            <v>0</v>
          </cell>
          <cell r="J176" t="str">
            <v>FINISH</v>
          </cell>
          <cell r="K176">
            <v>46258</v>
          </cell>
          <cell r="L176">
            <v>46269</v>
          </cell>
        </row>
        <row r="177">
          <cell r="A177" t="str">
            <v>CA-H2608-PD-226</v>
          </cell>
          <cell r="B177" t="str">
            <v xml:space="preserve">Hyperion </v>
          </cell>
          <cell r="C177">
            <v>11119544</v>
          </cell>
          <cell r="D177" t="str">
            <v>1911210-D-A</v>
          </cell>
          <cell r="E177" t="str">
            <v>HJ70AL150P09022 JP</v>
          </cell>
          <cell r="F177" t="str">
            <v>JAPAN</v>
          </cell>
          <cell r="G177">
            <v>1</v>
          </cell>
          <cell r="H177">
            <v>1</v>
          </cell>
          <cell r="I177">
            <v>0</v>
          </cell>
          <cell r="J177" t="str">
            <v>FINISH</v>
          </cell>
          <cell r="K177">
            <v>46258</v>
          </cell>
          <cell r="L177">
            <v>46269</v>
          </cell>
        </row>
        <row r="178">
          <cell r="A178" t="str">
            <v>CA-H2608-PD-227</v>
          </cell>
          <cell r="B178" t="str">
            <v xml:space="preserve">Hyperion </v>
          </cell>
          <cell r="C178">
            <v>11119448</v>
          </cell>
          <cell r="D178" t="str">
            <v>1911114-D-A</v>
          </cell>
          <cell r="E178" t="str">
            <v>HJ70AL150P10020 JP</v>
          </cell>
          <cell r="F178" t="str">
            <v>JAPAN</v>
          </cell>
          <cell r="G178">
            <v>29</v>
          </cell>
          <cell r="H178">
            <v>29</v>
          </cell>
          <cell r="I178">
            <v>0</v>
          </cell>
          <cell r="J178" t="str">
            <v>FINISH</v>
          </cell>
          <cell r="K178">
            <v>46258</v>
          </cell>
          <cell r="L178">
            <v>46269</v>
          </cell>
        </row>
        <row r="179">
          <cell r="A179" t="str">
            <v>CA-H2608-PD-228</v>
          </cell>
          <cell r="B179" t="str">
            <v xml:space="preserve">Hyperion </v>
          </cell>
          <cell r="C179">
            <v>11119452</v>
          </cell>
          <cell r="D179" t="str">
            <v>1911118-D-A</v>
          </cell>
          <cell r="E179" t="str">
            <v>HJ70AL150P10021 JP</v>
          </cell>
          <cell r="F179" t="str">
            <v>JAPAN</v>
          </cell>
          <cell r="G179">
            <v>10</v>
          </cell>
          <cell r="H179">
            <v>10</v>
          </cell>
          <cell r="I179">
            <v>0</v>
          </cell>
          <cell r="J179" t="str">
            <v>FINISH</v>
          </cell>
          <cell r="K179">
            <v>46258</v>
          </cell>
          <cell r="L179">
            <v>46269</v>
          </cell>
        </row>
        <row r="180">
          <cell r="A180" t="str">
            <v>CA-H2608-PD-229</v>
          </cell>
          <cell r="B180" t="str">
            <v xml:space="preserve">Hyperion </v>
          </cell>
          <cell r="C180">
            <v>11119450</v>
          </cell>
          <cell r="D180" t="str">
            <v>1911116-D-A</v>
          </cell>
          <cell r="E180" t="str">
            <v>HJ70AL152P10020 JP</v>
          </cell>
          <cell r="F180" t="str">
            <v>JAPAN</v>
          </cell>
          <cell r="G180">
            <v>12</v>
          </cell>
          <cell r="H180">
            <v>12</v>
          </cell>
          <cell r="I180">
            <v>0</v>
          </cell>
          <cell r="J180" t="str">
            <v>FINISH</v>
          </cell>
          <cell r="K180">
            <v>46258</v>
          </cell>
          <cell r="L180">
            <v>46269</v>
          </cell>
        </row>
        <row r="181">
          <cell r="A181" t="str">
            <v>CA-H2608-PD-230</v>
          </cell>
          <cell r="B181" t="str">
            <v xml:space="preserve">Hyperion </v>
          </cell>
          <cell r="C181">
            <v>11119453</v>
          </cell>
          <cell r="D181" t="str">
            <v>1911119-D-A</v>
          </cell>
          <cell r="E181" t="str">
            <v>HJ70AL152P10021 JP</v>
          </cell>
          <cell r="F181" t="str">
            <v>JAPAN</v>
          </cell>
          <cell r="G181">
            <v>14</v>
          </cell>
          <cell r="H181">
            <v>14</v>
          </cell>
          <cell r="I181">
            <v>0</v>
          </cell>
          <cell r="J181" t="str">
            <v>FINISH</v>
          </cell>
          <cell r="K181">
            <v>46258</v>
          </cell>
          <cell r="L181">
            <v>46269</v>
          </cell>
        </row>
        <row r="182">
          <cell r="A182" t="str">
            <v>CA-H2608-PD-231</v>
          </cell>
          <cell r="B182" t="str">
            <v xml:space="preserve">Hyperion </v>
          </cell>
          <cell r="C182">
            <v>11119545</v>
          </cell>
          <cell r="D182" t="str">
            <v>1911211-D-A</v>
          </cell>
          <cell r="E182" t="str">
            <v>HJ70AL152P10022 JP</v>
          </cell>
          <cell r="F182" t="str">
            <v>JAPAN</v>
          </cell>
          <cell r="G182">
            <v>8</v>
          </cell>
          <cell r="H182">
            <v>8</v>
          </cell>
          <cell r="I182">
            <v>0</v>
          </cell>
          <cell r="J182" t="str">
            <v>FINISH</v>
          </cell>
          <cell r="K182">
            <v>46258</v>
          </cell>
          <cell r="L182">
            <v>46269</v>
          </cell>
        </row>
        <row r="183">
          <cell r="A183" t="str">
            <v>CA-H2608-PD-232</v>
          </cell>
          <cell r="B183" t="str">
            <v xml:space="preserve">Hyperion </v>
          </cell>
          <cell r="C183">
            <v>11119454</v>
          </cell>
          <cell r="D183" t="str">
            <v>1911120-D-A</v>
          </cell>
          <cell r="E183" t="str">
            <v>HJ70AL200P10020 JP</v>
          </cell>
          <cell r="F183" t="str">
            <v>JAPAN</v>
          </cell>
          <cell r="G183">
            <v>28</v>
          </cell>
          <cell r="H183">
            <v>28</v>
          </cell>
          <cell r="I183">
            <v>0</v>
          </cell>
          <cell r="J183" t="str">
            <v>FINISH</v>
          </cell>
          <cell r="K183">
            <v>46258</v>
          </cell>
          <cell r="L183">
            <v>46269</v>
          </cell>
        </row>
        <row r="184">
          <cell r="A184" t="str">
            <v>CA-H2608-PD-233</v>
          </cell>
          <cell r="B184" t="str">
            <v xml:space="preserve">Hyperion </v>
          </cell>
          <cell r="C184">
            <v>11119547</v>
          </cell>
          <cell r="D184" t="str">
            <v>1911213-D-A</v>
          </cell>
          <cell r="E184" t="str">
            <v>HJ70AL200P10022 JP</v>
          </cell>
          <cell r="F184" t="str">
            <v>JAPAN</v>
          </cell>
          <cell r="G184">
            <v>12</v>
          </cell>
          <cell r="H184">
            <v>12</v>
          </cell>
          <cell r="I184">
            <v>0</v>
          </cell>
          <cell r="J184" t="str">
            <v>FINISH</v>
          </cell>
          <cell r="K184">
            <v>46258</v>
          </cell>
          <cell r="L184">
            <v>46269</v>
          </cell>
        </row>
        <row r="185">
          <cell r="A185" t="str">
            <v>CA-H2608-PD-234</v>
          </cell>
          <cell r="B185" t="str">
            <v xml:space="preserve">Hyperion </v>
          </cell>
          <cell r="C185">
            <v>11119455</v>
          </cell>
          <cell r="D185" t="str">
            <v>1911121-D-A</v>
          </cell>
          <cell r="E185" t="str">
            <v>HJ70AL202P10020 JP</v>
          </cell>
          <cell r="F185" t="str">
            <v>JAPAN</v>
          </cell>
          <cell r="G185">
            <v>7</v>
          </cell>
          <cell r="H185">
            <v>7</v>
          </cell>
          <cell r="I185">
            <v>0</v>
          </cell>
          <cell r="J185" t="str">
            <v>FINISH</v>
          </cell>
          <cell r="K185">
            <v>46258</v>
          </cell>
          <cell r="L185">
            <v>46269</v>
          </cell>
        </row>
        <row r="186">
          <cell r="A186" t="str">
            <v>CA-H2608-PD-235</v>
          </cell>
          <cell r="B186" t="str">
            <v xml:space="preserve">Hyperion </v>
          </cell>
          <cell r="C186">
            <v>11119549</v>
          </cell>
          <cell r="D186" t="str">
            <v>1911215-D-A</v>
          </cell>
          <cell r="E186" t="str">
            <v>HJ70AL202P10022 JP</v>
          </cell>
          <cell r="F186" t="str">
            <v>JAPAN</v>
          </cell>
          <cell r="G186">
            <v>12</v>
          </cell>
          <cell r="H186">
            <v>12</v>
          </cell>
          <cell r="I186">
            <v>0</v>
          </cell>
          <cell r="J186" t="str">
            <v>FINISH</v>
          </cell>
          <cell r="K186">
            <v>46258</v>
          </cell>
          <cell r="L186">
            <v>46269</v>
          </cell>
        </row>
        <row r="187">
          <cell r="A187" t="str">
            <v>CA-H2608-PD-236</v>
          </cell>
          <cell r="B187" t="str">
            <v xml:space="preserve">Hyperion </v>
          </cell>
          <cell r="C187">
            <v>11119457</v>
          </cell>
          <cell r="D187" t="str">
            <v>1911123-D-A</v>
          </cell>
          <cell r="E187" t="str">
            <v>HJ70CP150P10020 JP</v>
          </cell>
          <cell r="F187" t="str">
            <v>JAPAN</v>
          </cell>
          <cell r="G187">
            <v>6</v>
          </cell>
          <cell r="H187">
            <v>6</v>
          </cell>
          <cell r="I187">
            <v>0</v>
          </cell>
          <cell r="J187" t="str">
            <v>FINISH</v>
          </cell>
          <cell r="K187">
            <v>46258</v>
          </cell>
          <cell r="L187">
            <v>46269</v>
          </cell>
        </row>
        <row r="188">
          <cell r="A188" t="str">
            <v>CA-H2608-PD-237</v>
          </cell>
          <cell r="B188" t="str">
            <v xml:space="preserve">Hyperion </v>
          </cell>
          <cell r="C188">
            <v>11119477</v>
          </cell>
          <cell r="D188" t="str">
            <v>1911143-D-A</v>
          </cell>
          <cell r="E188" t="str">
            <v>HJ70IM000P10000 JP</v>
          </cell>
          <cell r="F188" t="str">
            <v>JAPAN</v>
          </cell>
          <cell r="G188">
            <v>3</v>
          </cell>
          <cell r="H188">
            <v>3</v>
          </cell>
          <cell r="I188">
            <v>0</v>
          </cell>
          <cell r="J188" t="str">
            <v>FINISH</v>
          </cell>
          <cell r="K188">
            <v>46258</v>
          </cell>
          <cell r="L188">
            <v>46269</v>
          </cell>
        </row>
        <row r="189">
          <cell r="A189" t="str">
            <v>CA-H2608-PD-238</v>
          </cell>
          <cell r="B189" t="str">
            <v xml:space="preserve">Hyperion </v>
          </cell>
          <cell r="C189">
            <v>11119480</v>
          </cell>
          <cell r="D189" t="str">
            <v>1911146-D-A</v>
          </cell>
          <cell r="E189" t="str">
            <v>HJ70IM002P10020 JP</v>
          </cell>
          <cell r="F189" t="str">
            <v>JAPAN</v>
          </cell>
          <cell r="G189">
            <v>9</v>
          </cell>
          <cell r="H189">
            <v>9</v>
          </cell>
          <cell r="I189">
            <v>0</v>
          </cell>
          <cell r="J189" t="str">
            <v>FINISH</v>
          </cell>
          <cell r="K189">
            <v>46258</v>
          </cell>
          <cell r="L189">
            <v>46269</v>
          </cell>
        </row>
        <row r="190">
          <cell r="A190" t="str">
            <v>CA-H2608-PD-239</v>
          </cell>
          <cell r="B190" t="str">
            <v xml:space="preserve">Hyperion </v>
          </cell>
          <cell r="C190">
            <v>11119484</v>
          </cell>
          <cell r="D190" t="str">
            <v>1911150-D-A</v>
          </cell>
          <cell r="E190" t="str">
            <v>HJ70JL352P09020 JP</v>
          </cell>
          <cell r="F190" t="str">
            <v>JAPAN</v>
          </cell>
          <cell r="G190">
            <v>3</v>
          </cell>
          <cell r="H190">
            <v>3</v>
          </cell>
          <cell r="I190">
            <v>0</v>
          </cell>
          <cell r="J190" t="str">
            <v>FINISH</v>
          </cell>
          <cell r="K190">
            <v>46258</v>
          </cell>
          <cell r="L190">
            <v>46269</v>
          </cell>
        </row>
        <row r="191">
          <cell r="A191" t="str">
            <v>CA-H2608-PD-240</v>
          </cell>
          <cell r="B191" t="str">
            <v xml:space="preserve">Hyperion </v>
          </cell>
          <cell r="C191">
            <v>11119492</v>
          </cell>
          <cell r="D191" t="str">
            <v>1911158-D-A</v>
          </cell>
          <cell r="E191" t="str">
            <v>HJ70JL400P10001 JP</v>
          </cell>
          <cell r="F191" t="str">
            <v>JAPAN</v>
          </cell>
          <cell r="G191">
            <v>5</v>
          </cell>
          <cell r="H191">
            <v>5</v>
          </cell>
          <cell r="I191">
            <v>0</v>
          </cell>
          <cell r="J191" t="str">
            <v>FINISH</v>
          </cell>
          <cell r="K191">
            <v>46258</v>
          </cell>
          <cell r="L191">
            <v>46269</v>
          </cell>
        </row>
        <row r="192">
          <cell r="A192" t="str">
            <v>CA-H2608-PD-241</v>
          </cell>
          <cell r="B192" t="str">
            <v xml:space="preserve">Hyperion </v>
          </cell>
          <cell r="C192">
            <v>11119491</v>
          </cell>
          <cell r="D192" t="str">
            <v>1911157-D-A</v>
          </cell>
          <cell r="E192" t="str">
            <v>HJ70JL402P09020 JP</v>
          </cell>
          <cell r="F192" t="str">
            <v>JAPAN</v>
          </cell>
          <cell r="G192">
            <v>3</v>
          </cell>
          <cell r="H192">
            <v>3</v>
          </cell>
          <cell r="I192">
            <v>0</v>
          </cell>
          <cell r="J192" t="str">
            <v>FINISH</v>
          </cell>
          <cell r="K192">
            <v>46258</v>
          </cell>
          <cell r="L192">
            <v>46269</v>
          </cell>
        </row>
        <row r="193">
          <cell r="A193" t="str">
            <v>CA-H2608-PD-242</v>
          </cell>
          <cell r="B193" t="str">
            <v xml:space="preserve">Hyperion </v>
          </cell>
          <cell r="C193">
            <v>11119494</v>
          </cell>
          <cell r="D193" t="str">
            <v>1911160-D-A</v>
          </cell>
          <cell r="E193" t="str">
            <v>HJ70JL402P09021 JP</v>
          </cell>
          <cell r="F193" t="str">
            <v>JAPAN</v>
          </cell>
          <cell r="G193">
            <v>1</v>
          </cell>
          <cell r="H193">
            <v>1</v>
          </cell>
          <cell r="I193">
            <v>0</v>
          </cell>
          <cell r="J193" t="str">
            <v>FINISH</v>
          </cell>
          <cell r="K193">
            <v>46258</v>
          </cell>
          <cell r="L193">
            <v>46269</v>
          </cell>
        </row>
        <row r="194">
          <cell r="A194" t="str">
            <v>CA-H2608-PD-243</v>
          </cell>
          <cell r="B194" t="str">
            <v xml:space="preserve">Hyperion </v>
          </cell>
          <cell r="C194">
            <v>11119495</v>
          </cell>
          <cell r="D194" t="str">
            <v>1911161-D-A</v>
          </cell>
          <cell r="E194" t="str">
            <v>HJ70JL450P10000 JP</v>
          </cell>
          <cell r="F194" t="str">
            <v>JAPAN</v>
          </cell>
          <cell r="G194">
            <v>1</v>
          </cell>
          <cell r="H194">
            <v>1</v>
          </cell>
          <cell r="I194">
            <v>0</v>
          </cell>
          <cell r="J194" t="str">
            <v>FINISH</v>
          </cell>
          <cell r="K194">
            <v>46258</v>
          </cell>
          <cell r="L194">
            <v>46269</v>
          </cell>
        </row>
        <row r="195">
          <cell r="A195" t="str">
            <v>CA-H2608-PD-244</v>
          </cell>
          <cell r="B195" t="str">
            <v xml:space="preserve">Hyperion </v>
          </cell>
          <cell r="C195">
            <v>11119497</v>
          </cell>
          <cell r="D195" t="str">
            <v>1911163-D-A</v>
          </cell>
          <cell r="E195" t="str">
            <v>HJ70JL450P10001 JP</v>
          </cell>
          <cell r="F195" t="str">
            <v>JAPAN</v>
          </cell>
          <cell r="G195">
            <v>1</v>
          </cell>
          <cell r="H195">
            <v>1</v>
          </cell>
          <cell r="I195">
            <v>0</v>
          </cell>
          <cell r="J195" t="str">
            <v>FINISH</v>
          </cell>
          <cell r="K195">
            <v>46258</v>
          </cell>
          <cell r="L195">
            <v>46269</v>
          </cell>
        </row>
        <row r="196">
          <cell r="A196" t="str">
            <v>CA-H2608-PD-245</v>
          </cell>
          <cell r="B196" t="str">
            <v xml:space="preserve">Hyperion </v>
          </cell>
          <cell r="C196">
            <v>11119498</v>
          </cell>
          <cell r="D196" t="str">
            <v>1911164-D-A</v>
          </cell>
          <cell r="E196" t="str">
            <v>HJ70JL452P10021 JP</v>
          </cell>
          <cell r="F196" t="str">
            <v>JAPAN</v>
          </cell>
          <cell r="G196">
            <v>2</v>
          </cell>
          <cell r="H196">
            <v>2</v>
          </cell>
          <cell r="I196">
            <v>0</v>
          </cell>
          <cell r="J196" t="str">
            <v>FINISH</v>
          </cell>
          <cell r="K196">
            <v>46258</v>
          </cell>
          <cell r="L196">
            <v>46269</v>
          </cell>
        </row>
        <row r="197">
          <cell r="A197" t="str">
            <v>CA-H2608-PD-246</v>
          </cell>
          <cell r="B197" t="str">
            <v xml:space="preserve">Hyperion </v>
          </cell>
          <cell r="C197">
            <v>11119503</v>
          </cell>
          <cell r="D197" t="str">
            <v>1911169-D-A</v>
          </cell>
          <cell r="E197" t="str">
            <v>HJ70JR350P10020 JP</v>
          </cell>
          <cell r="F197" t="str">
            <v>JAPAN</v>
          </cell>
          <cell r="G197">
            <v>4</v>
          </cell>
          <cell r="H197">
            <v>4</v>
          </cell>
          <cell r="I197">
            <v>0</v>
          </cell>
          <cell r="J197" t="str">
            <v>FINISH</v>
          </cell>
          <cell r="K197">
            <v>46258</v>
          </cell>
          <cell r="L197">
            <v>46269</v>
          </cell>
        </row>
        <row r="198">
          <cell r="A198" t="str">
            <v>CA-H2608-PD-247</v>
          </cell>
          <cell r="B198" t="str">
            <v xml:space="preserve">Hyperion </v>
          </cell>
          <cell r="C198">
            <v>11119506</v>
          </cell>
          <cell r="D198" t="str">
            <v>1911172-D-A</v>
          </cell>
          <cell r="E198" t="str">
            <v>HJ70JR352P09020 JP</v>
          </cell>
          <cell r="F198" t="str">
            <v>JAPAN</v>
          </cell>
          <cell r="G198">
            <v>1</v>
          </cell>
          <cell r="H198">
            <v>1</v>
          </cell>
          <cell r="I198">
            <v>0</v>
          </cell>
          <cell r="J198" t="str">
            <v>FINISH</v>
          </cell>
          <cell r="K198">
            <v>46258</v>
          </cell>
          <cell r="L198">
            <v>46269</v>
          </cell>
        </row>
        <row r="199">
          <cell r="A199" t="str">
            <v>CA-H2608-PD-248</v>
          </cell>
          <cell r="B199" t="str">
            <v xml:space="preserve">Hyperion </v>
          </cell>
          <cell r="C199">
            <v>11119505</v>
          </cell>
          <cell r="D199" t="str">
            <v>1911171-D-A</v>
          </cell>
          <cell r="E199" t="str">
            <v>HJ70JR352P10020 JP</v>
          </cell>
          <cell r="F199" t="str">
            <v>JAPAN</v>
          </cell>
          <cell r="G199">
            <v>21</v>
          </cell>
          <cell r="H199">
            <v>21</v>
          </cell>
          <cell r="I199">
            <v>0</v>
          </cell>
          <cell r="J199" t="str">
            <v>FINISH</v>
          </cell>
          <cell r="K199">
            <v>46258</v>
          </cell>
          <cell r="L199">
            <v>46269</v>
          </cell>
        </row>
        <row r="200">
          <cell r="A200" t="str">
            <v>CA-H2608-PD-249</v>
          </cell>
          <cell r="B200" t="str">
            <v xml:space="preserve">Hyperion </v>
          </cell>
          <cell r="C200">
            <v>11119510</v>
          </cell>
          <cell r="D200" t="str">
            <v>1911176-D-A</v>
          </cell>
          <cell r="E200" t="str">
            <v>HJ70JR402P09020 JP</v>
          </cell>
          <cell r="F200" t="str">
            <v>JAPAN</v>
          </cell>
          <cell r="G200">
            <v>7</v>
          </cell>
          <cell r="H200">
            <v>7</v>
          </cell>
          <cell r="I200">
            <v>0</v>
          </cell>
          <cell r="J200" t="str">
            <v>FINISH</v>
          </cell>
          <cell r="K200">
            <v>46258</v>
          </cell>
          <cell r="L200">
            <v>46269</v>
          </cell>
        </row>
        <row r="201">
          <cell r="A201" t="str">
            <v>CA-H2608-PD-250</v>
          </cell>
          <cell r="B201" t="str">
            <v xml:space="preserve">Hyperion </v>
          </cell>
          <cell r="C201">
            <v>11119511</v>
          </cell>
          <cell r="D201" t="str">
            <v>1911177-D-A</v>
          </cell>
          <cell r="E201" t="str">
            <v>HJ70JR450P10020 JP</v>
          </cell>
          <cell r="F201" t="str">
            <v>JAPAN</v>
          </cell>
          <cell r="G201">
            <v>6</v>
          </cell>
          <cell r="H201">
            <v>6</v>
          </cell>
          <cell r="I201">
            <v>0</v>
          </cell>
          <cell r="J201" t="str">
            <v>FINISH</v>
          </cell>
          <cell r="K201">
            <v>46258</v>
          </cell>
          <cell r="L201">
            <v>46269</v>
          </cell>
        </row>
        <row r="202">
          <cell r="A202" t="str">
            <v>CA-H2608-PD-251</v>
          </cell>
          <cell r="B202" t="str">
            <v xml:space="preserve">Hyperion </v>
          </cell>
          <cell r="C202">
            <v>11119512</v>
          </cell>
          <cell r="D202" t="str">
            <v>1911178-D-A</v>
          </cell>
          <cell r="E202" t="str">
            <v>HJ70JR452P10020 JP</v>
          </cell>
          <cell r="F202" t="str">
            <v>JAPAN</v>
          </cell>
          <cell r="G202">
            <v>1</v>
          </cell>
          <cell r="H202">
            <v>1</v>
          </cell>
          <cell r="I202">
            <v>0</v>
          </cell>
          <cell r="J202" t="str">
            <v>FINISH</v>
          </cell>
          <cell r="K202">
            <v>46258</v>
          </cell>
          <cell r="L202">
            <v>46269</v>
          </cell>
        </row>
        <row r="203">
          <cell r="A203" t="str">
            <v>CA-H2608-PD-252</v>
          </cell>
          <cell r="B203" t="str">
            <v xml:space="preserve">Hyperion </v>
          </cell>
          <cell r="C203">
            <v>11119513</v>
          </cell>
          <cell r="D203" t="str">
            <v>1911179-D-A</v>
          </cell>
          <cell r="E203" t="str">
            <v>HJ70JR500P10020 JP</v>
          </cell>
          <cell r="F203" t="str">
            <v>JAPAN</v>
          </cell>
          <cell r="G203">
            <v>2</v>
          </cell>
          <cell r="H203">
            <v>2</v>
          </cell>
          <cell r="I203">
            <v>0</v>
          </cell>
          <cell r="J203" t="str">
            <v>FINISH</v>
          </cell>
          <cell r="K203">
            <v>46258</v>
          </cell>
          <cell r="L203">
            <v>46269</v>
          </cell>
        </row>
        <row r="204">
          <cell r="A204" t="str">
            <v>CA-H2608-PD-253</v>
          </cell>
          <cell r="B204" t="str">
            <v xml:space="preserve">Hyperion </v>
          </cell>
          <cell r="C204">
            <v>11119514</v>
          </cell>
          <cell r="D204" t="str">
            <v>1911180-D-A</v>
          </cell>
          <cell r="E204" t="str">
            <v>HJ70JR502P10020 JP</v>
          </cell>
          <cell r="F204" t="str">
            <v>JAPAN</v>
          </cell>
          <cell r="G204">
            <v>4</v>
          </cell>
          <cell r="H204">
            <v>4</v>
          </cell>
          <cell r="I204">
            <v>0</v>
          </cell>
          <cell r="J204" t="str">
            <v>FINISH</v>
          </cell>
          <cell r="K204">
            <v>46258</v>
          </cell>
          <cell r="L204">
            <v>46269</v>
          </cell>
        </row>
        <row r="205">
          <cell r="A205" t="str">
            <v>CA-H2608-PD-254</v>
          </cell>
          <cell r="B205" t="str">
            <v>HyperionYubo changed</v>
          </cell>
          <cell r="C205">
            <v>11134272</v>
          </cell>
          <cell r="D205" t="str">
            <v>1911187-E-A</v>
          </cell>
          <cell r="E205" t="str">
            <v>HJ70PB352P10020 JP</v>
          </cell>
          <cell r="F205" t="str">
            <v>JAPAN</v>
          </cell>
          <cell r="G205">
            <v>69</v>
          </cell>
          <cell r="H205">
            <v>69</v>
          </cell>
          <cell r="I205">
            <v>0</v>
          </cell>
          <cell r="J205" t="str">
            <v>FINISH</v>
          </cell>
          <cell r="K205">
            <v>46258</v>
          </cell>
          <cell r="L205">
            <v>46269</v>
          </cell>
        </row>
        <row r="206">
          <cell r="A206" t="str">
            <v>CA-H2608-PD-255</v>
          </cell>
          <cell r="B206" t="str">
            <v>HyperionYubo changed</v>
          </cell>
          <cell r="C206">
            <v>11134274</v>
          </cell>
          <cell r="D206" t="str">
            <v>1911189-E-A</v>
          </cell>
          <cell r="E206" t="str">
            <v>HJ70PB400P10000 JP</v>
          </cell>
          <cell r="F206" t="str">
            <v>JAPAN</v>
          </cell>
          <cell r="G206">
            <v>4</v>
          </cell>
          <cell r="H206">
            <v>4</v>
          </cell>
          <cell r="I206">
            <v>0</v>
          </cell>
          <cell r="J206" t="str">
            <v>FINISH</v>
          </cell>
          <cell r="K206">
            <v>46258</v>
          </cell>
          <cell r="L206">
            <v>46269</v>
          </cell>
        </row>
        <row r="207">
          <cell r="A207" t="str">
            <v>CA-H2608-PD-256</v>
          </cell>
          <cell r="B207" t="str">
            <v xml:space="preserve">Hyperion </v>
          </cell>
          <cell r="C207">
            <v>11119551</v>
          </cell>
          <cell r="D207" t="str">
            <v>1911217-D-A</v>
          </cell>
          <cell r="E207" t="str">
            <v>HJ70SC350P10000 JP</v>
          </cell>
          <cell r="F207" t="str">
            <v>JAPAN</v>
          </cell>
          <cell r="G207">
            <v>3</v>
          </cell>
          <cell r="H207">
            <v>3</v>
          </cell>
          <cell r="I207">
            <v>0</v>
          </cell>
          <cell r="J207" t="str">
            <v>FINISH</v>
          </cell>
          <cell r="K207">
            <v>46258</v>
          </cell>
          <cell r="L207">
            <v>46269</v>
          </cell>
        </row>
        <row r="208">
          <cell r="A208" t="str">
            <v>CA-H2608-PD-257</v>
          </cell>
          <cell r="B208" t="str">
            <v xml:space="preserve">Hyperion </v>
          </cell>
          <cell r="C208">
            <v>11119552</v>
          </cell>
          <cell r="D208" t="str">
            <v>1911218-D-A</v>
          </cell>
          <cell r="E208" t="str">
            <v>HJ70SC352P10020 JP</v>
          </cell>
          <cell r="F208" t="str">
            <v>JAPAN</v>
          </cell>
          <cell r="G208">
            <v>6</v>
          </cell>
          <cell r="H208">
            <v>6</v>
          </cell>
          <cell r="I208">
            <v>0</v>
          </cell>
          <cell r="J208" t="str">
            <v>FINISH</v>
          </cell>
          <cell r="K208">
            <v>46258</v>
          </cell>
          <cell r="L208">
            <v>46269</v>
          </cell>
        </row>
        <row r="209">
          <cell r="A209" t="str">
            <v>CA-H2608-PD-258</v>
          </cell>
          <cell r="B209" t="str">
            <v xml:space="preserve">Hyperion </v>
          </cell>
          <cell r="C209">
            <v>11119553</v>
          </cell>
          <cell r="D209" t="str">
            <v>1911219-D-A</v>
          </cell>
          <cell r="E209" t="str">
            <v>HJ70SC400P10000 JP</v>
          </cell>
          <cell r="F209" t="str">
            <v>JAPAN</v>
          </cell>
          <cell r="G209">
            <v>5</v>
          </cell>
          <cell r="H209">
            <v>5</v>
          </cell>
          <cell r="I209">
            <v>0</v>
          </cell>
          <cell r="J209" t="str">
            <v>FINISH</v>
          </cell>
          <cell r="K209">
            <v>46258</v>
          </cell>
          <cell r="L209">
            <v>46269</v>
          </cell>
        </row>
        <row r="210">
          <cell r="A210" t="str">
            <v>CA-H2608-PD-259</v>
          </cell>
          <cell r="B210" t="str">
            <v xml:space="preserve">Hyperion </v>
          </cell>
          <cell r="C210">
            <v>11119554</v>
          </cell>
          <cell r="D210" t="str">
            <v>1911220-D-A</v>
          </cell>
          <cell r="E210" t="str">
            <v>HJ70SC402P10020 JP</v>
          </cell>
          <cell r="F210" t="str">
            <v>JAPAN</v>
          </cell>
          <cell r="G210">
            <v>4</v>
          </cell>
          <cell r="H210">
            <v>4</v>
          </cell>
          <cell r="I210">
            <v>0</v>
          </cell>
          <cell r="J210" t="str">
            <v>FINISH</v>
          </cell>
          <cell r="K210">
            <v>46258</v>
          </cell>
          <cell r="L210">
            <v>46269</v>
          </cell>
        </row>
        <row r="211">
          <cell r="A211" t="str">
            <v>CA-H2608-PD-260</v>
          </cell>
          <cell r="B211" t="str">
            <v>HyperionYubo changed</v>
          </cell>
          <cell r="C211">
            <v>11134278</v>
          </cell>
          <cell r="D211" t="str">
            <v>1911221-E-A</v>
          </cell>
          <cell r="E211" t="str">
            <v>HJ70SP300P10000 JP</v>
          </cell>
          <cell r="F211" t="str">
            <v>JAPAN</v>
          </cell>
          <cell r="G211">
            <v>4</v>
          </cell>
          <cell r="H211">
            <v>4</v>
          </cell>
          <cell r="I211">
            <v>0</v>
          </cell>
          <cell r="J211" t="str">
            <v>FINISH</v>
          </cell>
          <cell r="K211">
            <v>46258</v>
          </cell>
          <cell r="L211">
            <v>46269</v>
          </cell>
        </row>
        <row r="212">
          <cell r="A212" t="str">
            <v>CA-H2608-PD-261</v>
          </cell>
          <cell r="B212" t="str">
            <v>HyperionYubo changed</v>
          </cell>
          <cell r="C212">
            <v>11134279</v>
          </cell>
          <cell r="D212" t="str">
            <v>1911222-E-A</v>
          </cell>
          <cell r="E212" t="str">
            <v>HJ70SP302P10020 JP</v>
          </cell>
          <cell r="F212" t="str">
            <v>JAPAN</v>
          </cell>
          <cell r="G212">
            <v>67</v>
          </cell>
          <cell r="H212">
            <v>67</v>
          </cell>
          <cell r="I212">
            <v>0</v>
          </cell>
          <cell r="J212" t="str">
            <v>FINISH</v>
          </cell>
          <cell r="K212">
            <v>46258</v>
          </cell>
          <cell r="L212">
            <v>46269</v>
          </cell>
        </row>
        <row r="213">
          <cell r="A213" t="str">
            <v>CA-H2608-PD-262</v>
          </cell>
          <cell r="B213" t="str">
            <v>HyperionYubo changed</v>
          </cell>
          <cell r="C213">
            <v>11134283</v>
          </cell>
          <cell r="D213" t="str">
            <v>1911226-E-A</v>
          </cell>
          <cell r="E213" t="str">
            <v>HJ70SP352P09020 JP</v>
          </cell>
          <cell r="F213" t="str">
            <v>JAPAN</v>
          </cell>
          <cell r="G213">
            <v>14</v>
          </cell>
          <cell r="H213">
            <v>14</v>
          </cell>
          <cell r="I213">
            <v>0</v>
          </cell>
          <cell r="J213" t="str">
            <v>FINISH</v>
          </cell>
          <cell r="K213">
            <v>46258</v>
          </cell>
          <cell r="L213">
            <v>46269</v>
          </cell>
        </row>
        <row r="214">
          <cell r="A214" t="str">
            <v>CA-H2608-PD-263</v>
          </cell>
          <cell r="B214" t="str">
            <v>HyperionYubo changed</v>
          </cell>
          <cell r="C214">
            <v>11134286</v>
          </cell>
          <cell r="D214" t="str">
            <v>1911229-E-A</v>
          </cell>
          <cell r="E214" t="str">
            <v>HJ70SP372P09020 JP</v>
          </cell>
          <cell r="F214" t="str">
            <v>JAPAN</v>
          </cell>
          <cell r="G214">
            <v>19</v>
          </cell>
          <cell r="H214">
            <v>19</v>
          </cell>
          <cell r="I214">
            <v>0</v>
          </cell>
          <cell r="J214" t="str">
            <v>FINISH</v>
          </cell>
          <cell r="K214">
            <v>46258</v>
          </cell>
          <cell r="L214">
            <v>46269</v>
          </cell>
        </row>
        <row r="215">
          <cell r="A215" t="str">
            <v>CA-H2608-PD-264</v>
          </cell>
          <cell r="B215" t="str">
            <v>HyperionYubo changed</v>
          </cell>
          <cell r="C215">
            <v>11134287</v>
          </cell>
          <cell r="D215" t="str">
            <v>1911230-F-A</v>
          </cell>
          <cell r="E215" t="str">
            <v>HJ70SP400P10000 JP</v>
          </cell>
          <cell r="F215" t="str">
            <v>JAPAN</v>
          </cell>
          <cell r="G215">
            <v>9</v>
          </cell>
          <cell r="H215">
            <v>9</v>
          </cell>
          <cell r="I215">
            <v>0</v>
          </cell>
          <cell r="J215" t="str">
            <v>FINISH</v>
          </cell>
          <cell r="K215">
            <v>46258</v>
          </cell>
          <cell r="L215">
            <v>46269</v>
          </cell>
        </row>
        <row r="216">
          <cell r="A216" t="str">
            <v>CA-H2608-PD-265</v>
          </cell>
          <cell r="B216" t="str">
            <v>HyperionYubo changed</v>
          </cell>
          <cell r="C216">
            <v>11134288</v>
          </cell>
          <cell r="D216" t="str">
            <v>1911231-F-A</v>
          </cell>
          <cell r="E216" t="str">
            <v>HJ70SP402P10020 JP</v>
          </cell>
          <cell r="F216" t="str">
            <v>JAPAN</v>
          </cell>
          <cell r="G216">
            <v>49</v>
          </cell>
          <cell r="H216">
            <v>49</v>
          </cell>
          <cell r="I216">
            <v>0</v>
          </cell>
          <cell r="J216" t="str">
            <v>FINISH</v>
          </cell>
          <cell r="K216">
            <v>46258</v>
          </cell>
          <cell r="L216">
            <v>46269</v>
          </cell>
        </row>
        <row r="217">
          <cell r="A217" t="str">
            <v>CA-H2608-PD-266</v>
          </cell>
          <cell r="B217" t="str">
            <v>HyperionYubo changed</v>
          </cell>
          <cell r="C217">
            <v>11134290</v>
          </cell>
          <cell r="D217" t="str">
            <v>1911233-E-A</v>
          </cell>
          <cell r="E217" t="str">
            <v>HJ70SP452P10020 JP</v>
          </cell>
          <cell r="F217" t="str">
            <v>JAPAN</v>
          </cell>
          <cell r="G217">
            <v>7</v>
          </cell>
          <cell r="H217">
            <v>7</v>
          </cell>
          <cell r="I217">
            <v>0</v>
          </cell>
          <cell r="J217" t="str">
            <v>FINISH</v>
          </cell>
          <cell r="K217">
            <v>46258</v>
          </cell>
          <cell r="L217">
            <v>46269</v>
          </cell>
        </row>
        <row r="218">
          <cell r="A218" t="str">
            <v>CA-H2608-PD-267</v>
          </cell>
          <cell r="B218" t="str">
            <v xml:space="preserve">Hyperion </v>
          </cell>
          <cell r="C218">
            <v>11119657</v>
          </cell>
          <cell r="D218" t="str">
            <v>1911323-D-A</v>
          </cell>
          <cell r="E218" t="str">
            <v>HJ80AL070P10002 JP</v>
          </cell>
          <cell r="F218" t="str">
            <v>JAPAN</v>
          </cell>
          <cell r="G218">
            <v>1</v>
          </cell>
          <cell r="H218">
            <v>1</v>
          </cell>
          <cell r="I218">
            <v>0</v>
          </cell>
          <cell r="J218" t="str">
            <v>FINISH</v>
          </cell>
          <cell r="K218">
            <v>46258</v>
          </cell>
          <cell r="L218">
            <v>46269</v>
          </cell>
        </row>
        <row r="219">
          <cell r="A219" t="str">
            <v>CA-H2608-PD-268</v>
          </cell>
          <cell r="B219" t="str">
            <v xml:space="preserve">Hyperion </v>
          </cell>
          <cell r="C219">
            <v>11119660</v>
          </cell>
          <cell r="D219" t="str">
            <v>1911326-D-A</v>
          </cell>
          <cell r="E219" t="str">
            <v>HJ80AL072P09002 JP</v>
          </cell>
          <cell r="F219" t="str">
            <v>JAPAN</v>
          </cell>
          <cell r="G219">
            <v>1</v>
          </cell>
          <cell r="H219">
            <v>1</v>
          </cell>
          <cell r="I219">
            <v>0</v>
          </cell>
          <cell r="J219" t="str">
            <v>FINISH</v>
          </cell>
          <cell r="K219">
            <v>46258</v>
          </cell>
          <cell r="L219">
            <v>46269</v>
          </cell>
        </row>
        <row r="220">
          <cell r="A220" t="str">
            <v>CA-H2608-PD-269</v>
          </cell>
          <cell r="B220" t="str">
            <v xml:space="preserve">Hyperion </v>
          </cell>
          <cell r="C220">
            <v>11119570</v>
          </cell>
          <cell r="D220" t="str">
            <v>1911236-D-A</v>
          </cell>
          <cell r="E220" t="str">
            <v>HJ80AL072P10000 JP</v>
          </cell>
          <cell r="F220" t="str">
            <v>JAPAN</v>
          </cell>
          <cell r="G220">
            <v>5</v>
          </cell>
          <cell r="H220">
            <v>5</v>
          </cell>
          <cell r="I220">
            <v>0</v>
          </cell>
          <cell r="J220" t="str">
            <v>FINISH</v>
          </cell>
          <cell r="K220">
            <v>46258</v>
          </cell>
          <cell r="L220">
            <v>46269</v>
          </cell>
        </row>
        <row r="221">
          <cell r="A221" t="str">
            <v>CA-H2608-PD-270</v>
          </cell>
          <cell r="B221" t="str">
            <v xml:space="preserve">Hyperion </v>
          </cell>
          <cell r="C221">
            <v>11119573</v>
          </cell>
          <cell r="D221" t="str">
            <v>1911239-D-A</v>
          </cell>
          <cell r="E221" t="str">
            <v>HJ80AL072P10001 JP</v>
          </cell>
          <cell r="F221" t="str">
            <v>JAPAN</v>
          </cell>
          <cell r="G221">
            <v>1</v>
          </cell>
          <cell r="H221">
            <v>1</v>
          </cell>
          <cell r="I221">
            <v>0</v>
          </cell>
          <cell r="J221" t="str">
            <v>FINISH</v>
          </cell>
          <cell r="K221">
            <v>46258</v>
          </cell>
          <cell r="L221">
            <v>46269</v>
          </cell>
        </row>
        <row r="222">
          <cell r="A222" t="str">
            <v>CA-H2608-PD-271</v>
          </cell>
          <cell r="B222" t="str">
            <v xml:space="preserve">Hyperion </v>
          </cell>
          <cell r="C222">
            <v>11119659</v>
          </cell>
          <cell r="D222" t="str">
            <v>1911325-D-A</v>
          </cell>
          <cell r="E222" t="str">
            <v>HJ80AL072P10002 JP</v>
          </cell>
          <cell r="F222" t="str">
            <v>JAPAN</v>
          </cell>
          <cell r="G222">
            <v>10</v>
          </cell>
          <cell r="H222">
            <v>10</v>
          </cell>
          <cell r="I222">
            <v>0</v>
          </cell>
          <cell r="J222" t="str">
            <v>FINISH</v>
          </cell>
          <cell r="K222">
            <v>46258</v>
          </cell>
          <cell r="L222">
            <v>46269</v>
          </cell>
        </row>
        <row r="223">
          <cell r="A223" t="str">
            <v>CA-H2608-PD-272</v>
          </cell>
          <cell r="B223" t="str">
            <v xml:space="preserve">Hyperion </v>
          </cell>
          <cell r="C223">
            <v>11119661</v>
          </cell>
          <cell r="D223" t="str">
            <v>1911327-D-A</v>
          </cell>
          <cell r="E223" t="str">
            <v>HJ80AL100P10002 JP</v>
          </cell>
          <cell r="F223" t="str">
            <v>JAPAN</v>
          </cell>
          <cell r="G223">
            <v>8</v>
          </cell>
          <cell r="H223">
            <v>8</v>
          </cell>
          <cell r="I223">
            <v>0</v>
          </cell>
          <cell r="J223" t="str">
            <v>FINISH</v>
          </cell>
          <cell r="K223">
            <v>46258</v>
          </cell>
          <cell r="L223">
            <v>46269</v>
          </cell>
        </row>
        <row r="224">
          <cell r="A224" t="str">
            <v>CA-H2608-PD-273</v>
          </cell>
          <cell r="B224" t="str">
            <v xml:space="preserve">Hyperion </v>
          </cell>
          <cell r="C224">
            <v>11119664</v>
          </cell>
          <cell r="D224" t="str">
            <v>1911330-D-A</v>
          </cell>
          <cell r="E224" t="str">
            <v>HJ80AL102P09002 JP</v>
          </cell>
          <cell r="F224" t="str">
            <v>JAPAN</v>
          </cell>
          <cell r="G224">
            <v>5</v>
          </cell>
          <cell r="H224">
            <v>5</v>
          </cell>
          <cell r="I224">
            <v>0</v>
          </cell>
          <cell r="J224" t="str">
            <v>FINISH</v>
          </cell>
          <cell r="K224">
            <v>46258</v>
          </cell>
          <cell r="L224">
            <v>46269</v>
          </cell>
        </row>
        <row r="225">
          <cell r="A225" t="str">
            <v>CA-H2608-PD-274</v>
          </cell>
          <cell r="B225" t="str">
            <v xml:space="preserve">Hyperion </v>
          </cell>
          <cell r="C225">
            <v>11119579</v>
          </cell>
          <cell r="D225" t="str">
            <v>1911245-D-A</v>
          </cell>
          <cell r="E225" t="str">
            <v>HJ80AL102P10001 JP</v>
          </cell>
          <cell r="F225" t="str">
            <v>JAPAN</v>
          </cell>
          <cell r="G225">
            <v>11</v>
          </cell>
          <cell r="H225">
            <v>11</v>
          </cell>
          <cell r="I225">
            <v>0</v>
          </cell>
          <cell r="J225" t="str">
            <v>FINISH</v>
          </cell>
          <cell r="K225">
            <v>46258</v>
          </cell>
          <cell r="L225">
            <v>46269</v>
          </cell>
        </row>
        <row r="226">
          <cell r="A226" t="str">
            <v>CA-H2608-PD-275</v>
          </cell>
          <cell r="B226" t="str">
            <v xml:space="preserve">Hyperion </v>
          </cell>
          <cell r="C226">
            <v>11119663</v>
          </cell>
          <cell r="D226" t="str">
            <v>1911329-D-A</v>
          </cell>
          <cell r="E226" t="str">
            <v>HJ80AL102P10002 JP</v>
          </cell>
          <cell r="F226" t="str">
            <v>JAPAN</v>
          </cell>
          <cell r="G226">
            <v>15</v>
          </cell>
          <cell r="H226">
            <v>15</v>
          </cell>
          <cell r="I226">
            <v>0</v>
          </cell>
          <cell r="J226" t="str">
            <v>FINISH</v>
          </cell>
          <cell r="K226">
            <v>46258</v>
          </cell>
          <cell r="L226">
            <v>46269</v>
          </cell>
        </row>
        <row r="227">
          <cell r="A227" t="str">
            <v>CA-H2608-PD-276</v>
          </cell>
          <cell r="B227" t="str">
            <v xml:space="preserve">Hyperion </v>
          </cell>
          <cell r="C227">
            <v>11119665</v>
          </cell>
          <cell r="D227" t="str">
            <v>1911331-D-A</v>
          </cell>
          <cell r="E227" t="str">
            <v>HJ80AL150P10002 JP</v>
          </cell>
          <cell r="F227" t="str">
            <v>JAPAN</v>
          </cell>
          <cell r="G227">
            <v>4</v>
          </cell>
          <cell r="H227">
            <v>4</v>
          </cell>
          <cell r="I227">
            <v>0</v>
          </cell>
          <cell r="J227" t="str">
            <v>FINISH</v>
          </cell>
          <cell r="K227">
            <v>46258</v>
          </cell>
          <cell r="L227">
            <v>46269</v>
          </cell>
        </row>
        <row r="228">
          <cell r="A228" t="str">
            <v>CA-H2608-PD-277</v>
          </cell>
          <cell r="B228" t="str">
            <v xml:space="preserve">Hyperion </v>
          </cell>
          <cell r="C228">
            <v>11119583</v>
          </cell>
          <cell r="D228" t="str">
            <v>1911249-D-A</v>
          </cell>
          <cell r="E228" t="str">
            <v>HJ80AL152P09000 JP</v>
          </cell>
          <cell r="F228" t="str">
            <v>JAPAN</v>
          </cell>
          <cell r="G228">
            <v>4</v>
          </cell>
          <cell r="H228">
            <v>4</v>
          </cell>
          <cell r="I228">
            <v>0</v>
          </cell>
          <cell r="J228" t="str">
            <v>FINISH</v>
          </cell>
          <cell r="K228">
            <v>46258</v>
          </cell>
          <cell r="L228">
            <v>46269</v>
          </cell>
        </row>
        <row r="229">
          <cell r="A229" t="str">
            <v>CA-H2608-PD-278</v>
          </cell>
          <cell r="B229" t="str">
            <v xml:space="preserve">Hyperion </v>
          </cell>
          <cell r="C229">
            <v>11119582</v>
          </cell>
          <cell r="D229" t="str">
            <v>1911248-D-A</v>
          </cell>
          <cell r="E229" t="str">
            <v>HJ80AL152P10000 JP</v>
          </cell>
          <cell r="F229" t="str">
            <v>JAPAN</v>
          </cell>
          <cell r="G229">
            <v>16</v>
          </cell>
          <cell r="H229">
            <v>16</v>
          </cell>
          <cell r="I229">
            <v>0</v>
          </cell>
          <cell r="J229" t="str">
            <v>FINISH</v>
          </cell>
          <cell r="K229">
            <v>46258</v>
          </cell>
          <cell r="L229">
            <v>46269</v>
          </cell>
        </row>
        <row r="230">
          <cell r="A230" t="str">
            <v>CA-H2608-PD-279</v>
          </cell>
          <cell r="B230" t="str">
            <v xml:space="preserve">Hyperion </v>
          </cell>
          <cell r="C230">
            <v>11119585</v>
          </cell>
          <cell r="D230" t="str">
            <v>1911251-D-A</v>
          </cell>
          <cell r="E230" t="str">
            <v>HJ80AL152P10001 JP</v>
          </cell>
          <cell r="F230" t="str">
            <v>JAPAN</v>
          </cell>
          <cell r="G230">
            <v>2</v>
          </cell>
          <cell r="H230">
            <v>2</v>
          </cell>
          <cell r="I230">
            <v>0</v>
          </cell>
          <cell r="J230" t="str">
            <v>FINISH</v>
          </cell>
          <cell r="K230">
            <v>46258</v>
          </cell>
          <cell r="L230">
            <v>46269</v>
          </cell>
        </row>
        <row r="231">
          <cell r="A231" t="str">
            <v>CA-H2608-PD-280</v>
          </cell>
          <cell r="B231" t="str">
            <v xml:space="preserve">Hyperion </v>
          </cell>
          <cell r="C231">
            <v>11119667</v>
          </cell>
          <cell r="D231" t="str">
            <v>1911333-D-A</v>
          </cell>
          <cell r="E231" t="str">
            <v>HJ80AL152P10002 JP</v>
          </cell>
          <cell r="F231" t="str">
            <v>JAPAN</v>
          </cell>
          <cell r="G231">
            <v>5</v>
          </cell>
          <cell r="H231">
            <v>5</v>
          </cell>
          <cell r="I231">
            <v>0</v>
          </cell>
          <cell r="J231" t="str">
            <v>FINISH</v>
          </cell>
          <cell r="K231">
            <v>46258</v>
          </cell>
          <cell r="L231">
            <v>46269</v>
          </cell>
        </row>
        <row r="232">
          <cell r="A232" t="str">
            <v>CA-H2608-PD-281</v>
          </cell>
          <cell r="B232" t="str">
            <v xml:space="preserve">Hyperion </v>
          </cell>
          <cell r="C232">
            <v>11119671</v>
          </cell>
          <cell r="D232" t="str">
            <v>1911337-D-A</v>
          </cell>
          <cell r="E232" t="str">
            <v>HJ80AL202P10002 JP</v>
          </cell>
          <cell r="F232" t="str">
            <v>JAPAN</v>
          </cell>
          <cell r="G232">
            <v>2</v>
          </cell>
          <cell r="H232">
            <v>2</v>
          </cell>
          <cell r="I232">
            <v>0</v>
          </cell>
          <cell r="J232" t="str">
            <v>FINISH</v>
          </cell>
          <cell r="K232">
            <v>46258</v>
          </cell>
          <cell r="L232">
            <v>46269</v>
          </cell>
        </row>
        <row r="233">
          <cell r="A233" t="str">
            <v>CA-H2608-PD-282</v>
          </cell>
          <cell r="B233" t="str">
            <v xml:space="preserve">Hyperion </v>
          </cell>
          <cell r="C233">
            <v>11119601</v>
          </cell>
          <cell r="D233" t="str">
            <v>1911267-D-A</v>
          </cell>
          <cell r="E233" t="str">
            <v>HJ80IM000P10010 JP</v>
          </cell>
          <cell r="F233" t="str">
            <v>JAPAN</v>
          </cell>
          <cell r="G233">
            <v>1</v>
          </cell>
          <cell r="H233">
            <v>1</v>
          </cell>
          <cell r="I233">
            <v>0</v>
          </cell>
          <cell r="J233" t="str">
            <v>FINISH</v>
          </cell>
          <cell r="K233">
            <v>46258</v>
          </cell>
          <cell r="L233">
            <v>46269</v>
          </cell>
        </row>
        <row r="234">
          <cell r="A234" t="str">
            <v>CA-H2608-PD-283</v>
          </cell>
          <cell r="B234" t="str">
            <v xml:space="preserve">Hyperion </v>
          </cell>
          <cell r="C234">
            <v>11119602</v>
          </cell>
          <cell r="D234" t="str">
            <v>1911268-D-A</v>
          </cell>
          <cell r="E234" t="str">
            <v>HJ80IM002P10010 JP</v>
          </cell>
          <cell r="F234" t="str">
            <v>JAPAN</v>
          </cell>
          <cell r="G234">
            <v>1</v>
          </cell>
          <cell r="H234">
            <v>1</v>
          </cell>
          <cell r="I234">
            <v>0</v>
          </cell>
          <cell r="J234" t="str">
            <v>FINISH</v>
          </cell>
          <cell r="K234">
            <v>46258</v>
          </cell>
          <cell r="L234">
            <v>46269</v>
          </cell>
        </row>
        <row r="235">
          <cell r="A235" t="str">
            <v>CA-H2608-PD-284</v>
          </cell>
          <cell r="B235" t="str">
            <v xml:space="preserve">Hyperion </v>
          </cell>
          <cell r="C235">
            <v>11119610</v>
          </cell>
          <cell r="D235" t="str">
            <v>1911276-D-A</v>
          </cell>
          <cell r="E235" t="str">
            <v>HJ80JL400P10000 JP</v>
          </cell>
          <cell r="F235" t="str">
            <v>JAPAN</v>
          </cell>
          <cell r="G235">
            <v>4</v>
          </cell>
          <cell r="H235">
            <v>4</v>
          </cell>
          <cell r="I235">
            <v>0</v>
          </cell>
          <cell r="J235" t="str">
            <v>FINISH</v>
          </cell>
          <cell r="K235">
            <v>46258</v>
          </cell>
          <cell r="L235">
            <v>46269</v>
          </cell>
        </row>
        <row r="236">
          <cell r="A236" t="str">
            <v>CA-H2608-PD-285</v>
          </cell>
          <cell r="B236" t="str">
            <v xml:space="preserve">Hyperion </v>
          </cell>
          <cell r="C236">
            <v>11119613</v>
          </cell>
          <cell r="D236" t="str">
            <v>1911279-D-A</v>
          </cell>
          <cell r="E236" t="str">
            <v>HJ80JL402P09000 JP</v>
          </cell>
          <cell r="F236" t="str">
            <v>JAPAN</v>
          </cell>
          <cell r="G236">
            <v>1</v>
          </cell>
          <cell r="H236">
            <v>1</v>
          </cell>
          <cell r="I236">
            <v>0</v>
          </cell>
          <cell r="J236" t="str">
            <v>FINISH</v>
          </cell>
          <cell r="K236">
            <v>46258</v>
          </cell>
          <cell r="L236">
            <v>46269</v>
          </cell>
        </row>
        <row r="237">
          <cell r="A237" t="str">
            <v>CA-H2608-PD-286</v>
          </cell>
          <cell r="B237" t="str">
            <v xml:space="preserve">Hyperion </v>
          </cell>
          <cell r="C237">
            <v>11119615</v>
          </cell>
          <cell r="D237" t="str">
            <v>1911281-D-A</v>
          </cell>
          <cell r="E237" t="str">
            <v>HJ80JL402P10001 JP</v>
          </cell>
          <cell r="F237" t="str">
            <v>JAPAN</v>
          </cell>
          <cell r="G237">
            <v>3</v>
          </cell>
          <cell r="H237">
            <v>3</v>
          </cell>
          <cell r="I237">
            <v>0</v>
          </cell>
          <cell r="J237" t="str">
            <v>FINISH</v>
          </cell>
          <cell r="K237">
            <v>46258</v>
          </cell>
          <cell r="L237">
            <v>46269</v>
          </cell>
        </row>
        <row r="238">
          <cell r="A238" t="str">
            <v>CA-H2608-PD-287</v>
          </cell>
          <cell r="B238" t="str">
            <v xml:space="preserve">Hyperion </v>
          </cell>
          <cell r="C238">
            <v>11119618</v>
          </cell>
          <cell r="D238" t="str">
            <v>1911284-D-A</v>
          </cell>
          <cell r="E238" t="str">
            <v>HJ80JL452P10000 JP</v>
          </cell>
          <cell r="F238" t="str">
            <v>JAPAN</v>
          </cell>
          <cell r="G238">
            <v>4</v>
          </cell>
          <cell r="H238">
            <v>4</v>
          </cell>
          <cell r="I238">
            <v>0</v>
          </cell>
          <cell r="J238" t="str">
            <v>FINISH</v>
          </cell>
          <cell r="K238">
            <v>46258</v>
          </cell>
          <cell r="L238">
            <v>46269</v>
          </cell>
        </row>
        <row r="239">
          <cell r="A239" t="str">
            <v>CA-H2608-PD-288</v>
          </cell>
          <cell r="B239" t="str">
            <v xml:space="preserve">Hyperion </v>
          </cell>
          <cell r="C239">
            <v>11119625</v>
          </cell>
          <cell r="D239" t="str">
            <v>1911291-D-A</v>
          </cell>
          <cell r="E239" t="str">
            <v>HJ80JR350P10000 JP</v>
          </cell>
          <cell r="F239" t="str">
            <v>JAPAN</v>
          </cell>
          <cell r="G239">
            <v>7</v>
          </cell>
          <cell r="H239">
            <v>7</v>
          </cell>
          <cell r="I239">
            <v>0</v>
          </cell>
          <cell r="J239" t="str">
            <v>FINISH</v>
          </cell>
          <cell r="K239">
            <v>46258</v>
          </cell>
          <cell r="L239">
            <v>46269</v>
          </cell>
        </row>
        <row r="240">
          <cell r="A240" t="str">
            <v>CA-H2608-PD-289</v>
          </cell>
          <cell r="B240" t="str">
            <v xml:space="preserve">Hyperion </v>
          </cell>
          <cell r="C240">
            <v>11119628</v>
          </cell>
          <cell r="D240" t="str">
            <v>1911294-D-A</v>
          </cell>
          <cell r="E240" t="str">
            <v>HJ80JR352P09000 JP</v>
          </cell>
          <cell r="F240" t="str">
            <v>JAPAN</v>
          </cell>
          <cell r="G240">
            <v>1</v>
          </cell>
          <cell r="H240">
            <v>1</v>
          </cell>
          <cell r="I240">
            <v>0</v>
          </cell>
          <cell r="J240" t="str">
            <v>FINISH</v>
          </cell>
          <cell r="K240">
            <v>46258</v>
          </cell>
          <cell r="L240">
            <v>46269</v>
          </cell>
        </row>
        <row r="241">
          <cell r="A241" t="str">
            <v>CA-H2608-PD-290</v>
          </cell>
          <cell r="B241" t="str">
            <v xml:space="preserve">Hyperion </v>
          </cell>
          <cell r="C241">
            <v>11119629</v>
          </cell>
          <cell r="D241" t="str">
            <v>1911295-D-A</v>
          </cell>
          <cell r="E241" t="str">
            <v>HJ80JR400P10000 JP</v>
          </cell>
          <cell r="F241" t="str">
            <v>JAPAN</v>
          </cell>
          <cell r="G241">
            <v>6</v>
          </cell>
          <cell r="H241">
            <v>6</v>
          </cell>
          <cell r="I241">
            <v>0</v>
          </cell>
          <cell r="J241" t="str">
            <v>FINISH</v>
          </cell>
          <cell r="K241">
            <v>46258</v>
          </cell>
          <cell r="L241">
            <v>46269</v>
          </cell>
        </row>
        <row r="242">
          <cell r="A242" t="str">
            <v>CA-H2608-PD-291</v>
          </cell>
          <cell r="B242" t="str">
            <v xml:space="preserve">Hyperion </v>
          </cell>
          <cell r="C242">
            <v>11119632</v>
          </cell>
          <cell r="D242" t="str">
            <v>1911298-D-A</v>
          </cell>
          <cell r="E242" t="str">
            <v>HJ80JR402P09000 JP</v>
          </cell>
          <cell r="F242" t="str">
            <v>JAPAN</v>
          </cell>
          <cell r="G242">
            <v>1</v>
          </cell>
          <cell r="H242">
            <v>1</v>
          </cell>
          <cell r="I242">
            <v>0</v>
          </cell>
          <cell r="J242" t="str">
            <v>FINISH</v>
          </cell>
          <cell r="K242">
            <v>46258</v>
          </cell>
          <cell r="L242">
            <v>46269</v>
          </cell>
        </row>
        <row r="243">
          <cell r="A243" t="str">
            <v>CA-H2608-PD-292</v>
          </cell>
          <cell r="B243" t="str">
            <v xml:space="preserve">Hyperion </v>
          </cell>
          <cell r="C243">
            <v>11119631</v>
          </cell>
          <cell r="D243" t="str">
            <v>1911297-D-A</v>
          </cell>
          <cell r="E243" t="str">
            <v>HJ80JR402P10000 JP</v>
          </cell>
          <cell r="F243" t="str">
            <v>JAPAN</v>
          </cell>
          <cell r="G243">
            <v>12</v>
          </cell>
          <cell r="H243">
            <v>12</v>
          </cell>
          <cell r="I243">
            <v>0</v>
          </cell>
          <cell r="J243" t="str">
            <v>FINISH</v>
          </cell>
          <cell r="K243">
            <v>46258</v>
          </cell>
          <cell r="L243">
            <v>46269</v>
          </cell>
        </row>
        <row r="244">
          <cell r="A244" t="str">
            <v>CA-H2608-PD-293</v>
          </cell>
          <cell r="B244" t="str">
            <v>HyperionYubo changed</v>
          </cell>
          <cell r="C244">
            <v>11134302</v>
          </cell>
          <cell r="D244" t="str">
            <v>1911313-E-A</v>
          </cell>
          <cell r="E244" t="str">
            <v>HJ80PB402P10000 JP</v>
          </cell>
          <cell r="F244" t="str">
            <v>JAPAN</v>
          </cell>
          <cell r="G244">
            <v>1</v>
          </cell>
          <cell r="H244">
            <v>1</v>
          </cell>
          <cell r="I244">
            <v>0</v>
          </cell>
          <cell r="J244" t="str">
            <v>FINISH</v>
          </cell>
          <cell r="K244">
            <v>46258</v>
          </cell>
          <cell r="L244">
            <v>46269</v>
          </cell>
        </row>
        <row r="245">
          <cell r="A245" t="str">
            <v>CA-H2608-PD-294</v>
          </cell>
          <cell r="B245" t="str">
            <v>HyperionYubo changed</v>
          </cell>
          <cell r="C245">
            <v>11134304</v>
          </cell>
          <cell r="D245" t="str">
            <v>1911343-E-A</v>
          </cell>
          <cell r="E245" t="str">
            <v>HJ80SP300P10000 JP</v>
          </cell>
          <cell r="F245" t="str">
            <v>JAPAN</v>
          </cell>
          <cell r="G245">
            <v>2</v>
          </cell>
          <cell r="H245">
            <v>2</v>
          </cell>
          <cell r="I245">
            <v>0</v>
          </cell>
          <cell r="J245" t="str">
            <v>FINISH</v>
          </cell>
          <cell r="K245">
            <v>46258</v>
          </cell>
          <cell r="L245">
            <v>46269</v>
          </cell>
        </row>
        <row r="246">
          <cell r="A246" t="str">
            <v>CA-H2608-PD-295</v>
          </cell>
          <cell r="B246" t="str">
            <v>HyperionYubo changed</v>
          </cell>
          <cell r="C246">
            <v>11134305</v>
          </cell>
          <cell r="D246" t="str">
            <v>1911344-E-A</v>
          </cell>
          <cell r="E246" t="str">
            <v>HJ80SP302P10000 JP</v>
          </cell>
          <cell r="F246" t="str">
            <v>JAPAN</v>
          </cell>
          <cell r="G246">
            <v>7</v>
          </cell>
          <cell r="H246">
            <v>7</v>
          </cell>
          <cell r="I246">
            <v>0</v>
          </cell>
          <cell r="J246" t="str">
            <v>FINISH</v>
          </cell>
          <cell r="K246">
            <v>46258</v>
          </cell>
          <cell r="L246">
            <v>46269</v>
          </cell>
        </row>
        <row r="247">
          <cell r="A247" t="str">
            <v>CA-H2608-PD-296</v>
          </cell>
          <cell r="B247" t="str">
            <v>HyperionYubo changed</v>
          </cell>
          <cell r="C247">
            <v>11134310</v>
          </cell>
          <cell r="D247" t="str">
            <v>1911349-E-A</v>
          </cell>
          <cell r="E247" t="str">
            <v>HJ80SP370P10000 JP</v>
          </cell>
          <cell r="F247" t="str">
            <v>JAPAN</v>
          </cell>
          <cell r="G247">
            <v>5</v>
          </cell>
          <cell r="H247">
            <v>5</v>
          </cell>
          <cell r="I247">
            <v>0</v>
          </cell>
          <cell r="J247" t="str">
            <v>FINISH</v>
          </cell>
          <cell r="K247">
            <v>46258</v>
          </cell>
          <cell r="L247">
            <v>46269</v>
          </cell>
        </row>
        <row r="248">
          <cell r="A248" t="str">
            <v>CA-H2608-PD-297</v>
          </cell>
          <cell r="B248" t="str">
            <v>HyperionYubo changed</v>
          </cell>
          <cell r="C248">
            <v>11134312</v>
          </cell>
          <cell r="D248" t="str">
            <v>1911351-E-A</v>
          </cell>
          <cell r="E248" t="str">
            <v>HJ80SP372P09000 JP</v>
          </cell>
          <cell r="F248" t="str">
            <v>JAPAN</v>
          </cell>
          <cell r="G248">
            <v>2</v>
          </cell>
          <cell r="H248">
            <v>2</v>
          </cell>
          <cell r="I248">
            <v>0</v>
          </cell>
          <cell r="J248" t="str">
            <v>FINISH</v>
          </cell>
          <cell r="K248">
            <v>46258</v>
          </cell>
          <cell r="L248">
            <v>46269</v>
          </cell>
        </row>
        <row r="249">
          <cell r="A249" t="str">
            <v>CA-H2608-PD-298</v>
          </cell>
          <cell r="B249" t="str">
            <v>HyperionYubo changed</v>
          </cell>
          <cell r="C249">
            <v>11134313</v>
          </cell>
          <cell r="D249" t="str">
            <v>1911352-E-A</v>
          </cell>
          <cell r="E249" t="str">
            <v>HJ80SP400P10000 JP</v>
          </cell>
          <cell r="F249" t="str">
            <v>JAPAN</v>
          </cell>
          <cell r="G249">
            <v>6</v>
          </cell>
          <cell r="H249">
            <v>6</v>
          </cell>
          <cell r="I249">
            <v>0</v>
          </cell>
          <cell r="J249" t="str">
            <v>FINISH</v>
          </cell>
          <cell r="K249">
            <v>46258</v>
          </cell>
          <cell r="L249">
            <v>46269</v>
          </cell>
        </row>
        <row r="250">
          <cell r="A250" t="str">
            <v>CA-H2608-PD-299</v>
          </cell>
          <cell r="B250" t="str">
            <v>HyperionYubo changed</v>
          </cell>
          <cell r="C250">
            <v>11134315</v>
          </cell>
          <cell r="D250" t="str">
            <v>1911354-E-A</v>
          </cell>
          <cell r="E250" t="str">
            <v>HJ80SP402P09000 JP</v>
          </cell>
          <cell r="F250" t="str">
            <v>JAPAN</v>
          </cell>
          <cell r="G250">
            <v>2</v>
          </cell>
          <cell r="H250">
            <v>2</v>
          </cell>
          <cell r="I250">
            <v>0</v>
          </cell>
          <cell r="J250" t="str">
            <v>FINISH</v>
          </cell>
          <cell r="K250">
            <v>46258</v>
          </cell>
          <cell r="L250">
            <v>46269</v>
          </cell>
        </row>
        <row r="251">
          <cell r="A251" t="str">
            <v>CA-H2608-PD-300</v>
          </cell>
          <cell r="B251" t="str">
            <v>HyperionYubo changed</v>
          </cell>
          <cell r="C251">
            <v>11134314</v>
          </cell>
          <cell r="D251" t="str">
            <v>1911353-E-A</v>
          </cell>
          <cell r="E251" t="str">
            <v>HJ80SP402P10000 JP</v>
          </cell>
          <cell r="F251" t="str">
            <v>JAPAN</v>
          </cell>
          <cell r="G251">
            <v>22</v>
          </cell>
          <cell r="H251">
            <v>22</v>
          </cell>
          <cell r="I251">
            <v>0</v>
          </cell>
          <cell r="J251" t="str">
            <v>FINISH</v>
          </cell>
          <cell r="K251">
            <v>46258</v>
          </cell>
          <cell r="L251">
            <v>46269</v>
          </cell>
        </row>
        <row r="252">
          <cell r="A252" t="str">
            <v>CA-H2608-PD-301</v>
          </cell>
          <cell r="B252" t="str">
            <v xml:space="preserve">Masters parkway </v>
          </cell>
          <cell r="C252">
            <v>11125140</v>
          </cell>
          <cell r="D252" t="str">
            <v>1941009-D-A</v>
          </cell>
          <cell r="E252" t="str">
            <v>MST105-18PWSFR JP</v>
          </cell>
          <cell r="F252" t="str">
            <v>JAPAN</v>
          </cell>
          <cell r="G252">
            <v>6</v>
          </cell>
          <cell r="H252">
            <v>6</v>
          </cell>
          <cell r="I252">
            <v>0</v>
          </cell>
          <cell r="J252" t="str">
            <v>FINISH</v>
          </cell>
          <cell r="K252">
            <v>46258</v>
          </cell>
          <cell r="L252">
            <v>46269</v>
          </cell>
        </row>
        <row r="253">
          <cell r="A253" t="str">
            <v>CA-H2608-PD-302</v>
          </cell>
          <cell r="B253" t="str">
            <v xml:space="preserve">Masters parkway </v>
          </cell>
          <cell r="C253">
            <v>11131953</v>
          </cell>
          <cell r="D253" t="str">
            <v>1941012-F-A</v>
          </cell>
          <cell r="E253" t="str">
            <v>MST45A-18PWSSFR JP</v>
          </cell>
          <cell r="F253" t="str">
            <v>JAPAN</v>
          </cell>
          <cell r="G253">
            <v>2</v>
          </cell>
          <cell r="H253">
            <v>2</v>
          </cell>
          <cell r="I253">
            <v>0</v>
          </cell>
          <cell r="J253" t="str">
            <v>FINISH</v>
          </cell>
          <cell r="K253">
            <v>46258</v>
          </cell>
          <cell r="L253">
            <v>46269</v>
          </cell>
        </row>
        <row r="254">
          <cell r="A254" t="str">
            <v>CA-H2608-PD-303</v>
          </cell>
          <cell r="B254" t="str">
            <v xml:space="preserve">Tellus </v>
          </cell>
          <cell r="C254">
            <v>11132005</v>
          </cell>
          <cell r="D254" t="str">
            <v>1941067-E-A</v>
          </cell>
          <cell r="E254" t="str">
            <v>TLS125-16AYR JP</v>
          </cell>
          <cell r="F254" t="str">
            <v>J-sales</v>
          </cell>
          <cell r="G254">
            <v>14</v>
          </cell>
          <cell r="H254">
            <v>14</v>
          </cell>
          <cell r="I254">
            <v>0</v>
          </cell>
          <cell r="J254" t="str">
            <v>FINISH</v>
          </cell>
          <cell r="K254">
            <v>46258</v>
          </cell>
          <cell r="L254">
            <v>46269</v>
          </cell>
        </row>
        <row r="255">
          <cell r="A255" t="str">
            <v>CA-H2608-PD-304</v>
          </cell>
          <cell r="B255" t="str">
            <v xml:space="preserve">Tellus </v>
          </cell>
          <cell r="C255">
            <v>11134366</v>
          </cell>
          <cell r="D255" t="str">
            <v>1941062-G-A</v>
          </cell>
          <cell r="E255" t="str">
            <v>TLS125-16SSLR JP</v>
          </cell>
          <cell r="F255" t="str">
            <v>J-sales</v>
          </cell>
          <cell r="G255">
            <v>5</v>
          </cell>
          <cell r="H255">
            <v>5</v>
          </cell>
          <cell r="I255">
            <v>0</v>
          </cell>
          <cell r="J255" t="str">
            <v>FINISH</v>
          </cell>
          <cell r="K255">
            <v>46258</v>
          </cell>
          <cell r="L255">
            <v>46269</v>
          </cell>
        </row>
        <row r="256">
          <cell r="A256" t="str">
            <v>CA-H2608-PD-305</v>
          </cell>
          <cell r="B256" t="str">
            <v xml:space="preserve">Tellus </v>
          </cell>
          <cell r="C256">
            <v>11132003</v>
          </cell>
          <cell r="D256" t="str">
            <v>1941065-D-A</v>
          </cell>
          <cell r="E256" t="str">
            <v>TLS150-16YR JP</v>
          </cell>
          <cell r="F256" t="str">
            <v>J-sales</v>
          </cell>
          <cell r="G256">
            <v>5</v>
          </cell>
          <cell r="H256">
            <v>5</v>
          </cell>
          <cell r="I256">
            <v>0</v>
          </cell>
          <cell r="J256" t="str">
            <v>FINISH</v>
          </cell>
          <cell r="K256">
            <v>46258</v>
          </cell>
          <cell r="L256">
            <v>46269</v>
          </cell>
        </row>
        <row r="257">
          <cell r="A257" t="str">
            <v>CA-H2608-PD-306</v>
          </cell>
          <cell r="B257" t="str">
            <v xml:space="preserve">Veloute </v>
          </cell>
          <cell r="C257">
            <v>11134346</v>
          </cell>
          <cell r="D257" t="str">
            <v>1941032-G-A</v>
          </cell>
          <cell r="E257" t="str">
            <v>VEL105-16ASR JP</v>
          </cell>
          <cell r="F257" t="str">
            <v>JAPAN</v>
          </cell>
          <cell r="G257">
            <v>7</v>
          </cell>
          <cell r="H257">
            <v>7</v>
          </cell>
          <cell r="I257">
            <v>0</v>
          </cell>
          <cell r="J257" t="str">
            <v>FINISH</v>
          </cell>
          <cell r="K257">
            <v>46258</v>
          </cell>
          <cell r="L257">
            <v>46269</v>
          </cell>
        </row>
        <row r="258">
          <cell r="A258" t="str">
            <v>CA-H2608-PD-316</v>
          </cell>
          <cell r="B258" t="str">
            <v>Crosswalk-</v>
          </cell>
          <cell r="C258">
            <v>11112470</v>
          </cell>
          <cell r="D258" t="str">
            <v>PSC18110A-D-A</v>
          </cell>
          <cell r="E258" t="str">
            <v>PSC18110A US</v>
          </cell>
          <cell r="F258" t="str">
            <v>USA</v>
          </cell>
          <cell r="G258">
            <v>10</v>
          </cell>
          <cell r="H258">
            <v>10</v>
          </cell>
          <cell r="I258">
            <v>0</v>
          </cell>
          <cell r="J258" t="str">
            <v>FINISH</v>
          </cell>
          <cell r="K258">
            <v>46260</v>
          </cell>
          <cell r="L258">
            <v>46269</v>
          </cell>
        </row>
        <row r="259">
          <cell r="A259" t="str">
            <v>CA-H2608-PD-317</v>
          </cell>
          <cell r="B259" t="str">
            <v>Crosswalk-</v>
          </cell>
          <cell r="C259">
            <v>11112473</v>
          </cell>
          <cell r="D259" t="str">
            <v>PSC18170A-D-A</v>
          </cell>
          <cell r="E259" t="str">
            <v>PSC18170A US</v>
          </cell>
          <cell r="F259" t="str">
            <v>USA</v>
          </cell>
          <cell r="G259">
            <v>15</v>
          </cell>
          <cell r="H259">
            <v>15</v>
          </cell>
          <cell r="I259">
            <v>0</v>
          </cell>
          <cell r="J259" t="str">
            <v>FINISH</v>
          </cell>
          <cell r="K259">
            <v>46260</v>
          </cell>
          <cell r="L259">
            <v>46269</v>
          </cell>
        </row>
        <row r="260">
          <cell r="A260" t="str">
            <v>CA-H2608-PD-178</v>
          </cell>
          <cell r="B260" t="str">
            <v xml:space="preserve">Crosswalk </v>
          </cell>
          <cell r="C260">
            <v>11112479</v>
          </cell>
          <cell r="D260" t="str">
            <v>PSC35090A-E-A</v>
          </cell>
          <cell r="E260" t="str">
            <v>PSC35090A US</v>
          </cell>
          <cell r="F260" t="str">
            <v>USA</v>
          </cell>
          <cell r="G260">
            <v>20</v>
          </cell>
          <cell r="H260">
            <v>20</v>
          </cell>
          <cell r="I260">
            <v>0</v>
          </cell>
          <cell r="J260" t="str">
            <v>FINISH</v>
          </cell>
          <cell r="K260">
            <v>46260</v>
          </cell>
          <cell r="L260">
            <v>46272</v>
          </cell>
        </row>
        <row r="261">
          <cell r="A261" t="str">
            <v>CA-H2608-PD-179</v>
          </cell>
          <cell r="B261" t="str">
            <v xml:space="preserve">Crosswalk </v>
          </cell>
          <cell r="C261">
            <v>11112486</v>
          </cell>
          <cell r="D261" t="str">
            <v>PSC35135S-E-A</v>
          </cell>
          <cell r="E261" t="str">
            <v>PSC35135S US</v>
          </cell>
          <cell r="F261" t="str">
            <v>USA</v>
          </cell>
          <cell r="G261">
            <v>35</v>
          </cell>
          <cell r="H261">
            <v>35</v>
          </cell>
          <cell r="I261">
            <v>0</v>
          </cell>
          <cell r="J261" t="str">
            <v>FINISH</v>
          </cell>
          <cell r="K261">
            <v>46260</v>
          </cell>
          <cell r="L261">
            <v>46272</v>
          </cell>
        </row>
        <row r="262">
          <cell r="A262" t="str">
            <v>CA-H2608-PD-180</v>
          </cell>
          <cell r="B262" t="str">
            <v xml:space="preserve">Crosswalk </v>
          </cell>
          <cell r="C262">
            <v>11112475</v>
          </cell>
          <cell r="D262" t="str">
            <v>PSC18110S-D-A</v>
          </cell>
          <cell r="E262" t="str">
            <v>PSC18110S US</v>
          </cell>
          <cell r="F262" t="str">
            <v>USA</v>
          </cell>
          <cell r="G262">
            <v>10</v>
          </cell>
          <cell r="H262">
            <v>10</v>
          </cell>
          <cell r="I262">
            <v>0</v>
          </cell>
          <cell r="J262" t="str">
            <v>FINISH</v>
          </cell>
          <cell r="K262">
            <v>46260</v>
          </cell>
          <cell r="L262">
            <v>46272</v>
          </cell>
        </row>
        <row r="263">
          <cell r="A263" t="str">
            <v>CA-H2608-PD-181</v>
          </cell>
          <cell r="B263" t="str">
            <v xml:space="preserve">Caravel </v>
          </cell>
          <cell r="C263">
            <v>11134402</v>
          </cell>
          <cell r="D263" t="str">
            <v>1941103-C-A</v>
          </cell>
          <cell r="E263" t="str">
            <v>CRV150-19P US2</v>
          </cell>
          <cell r="F263" t="str">
            <v>USA</v>
          </cell>
          <cell r="G263">
            <v>80</v>
          </cell>
          <cell r="H263">
            <v>80</v>
          </cell>
          <cell r="I263">
            <v>0</v>
          </cell>
          <cell r="J263" t="str">
            <v>FINISH</v>
          </cell>
          <cell r="K263">
            <v>46260</v>
          </cell>
          <cell r="L263">
            <v>46272</v>
          </cell>
        </row>
        <row r="264">
          <cell r="A264" t="str">
            <v>CA-H2608-PD-182</v>
          </cell>
          <cell r="B264" t="str">
            <v xml:space="preserve">Caravel </v>
          </cell>
          <cell r="C264">
            <v>11134401</v>
          </cell>
          <cell r="D264" t="str">
            <v>1941102-C-A</v>
          </cell>
          <cell r="E264" t="str">
            <v>CRV135-19P US2</v>
          </cell>
          <cell r="F264" t="str">
            <v>USA</v>
          </cell>
          <cell r="G264">
            <v>139</v>
          </cell>
          <cell r="H264">
            <v>139</v>
          </cell>
          <cell r="I264">
            <v>0</v>
          </cell>
          <cell r="J264" t="str">
            <v>FINISH</v>
          </cell>
          <cell r="K264">
            <v>46260</v>
          </cell>
          <cell r="L264">
            <v>46272</v>
          </cell>
        </row>
        <row r="265">
          <cell r="A265" t="str">
            <v>CA-H2608-PD-183</v>
          </cell>
          <cell r="B265" t="str">
            <v xml:space="preserve">Corsair-pro </v>
          </cell>
          <cell r="C265">
            <v>11121772</v>
          </cell>
          <cell r="D265" t="str">
            <v>1941096-B-A</v>
          </cell>
          <cell r="E265" t="str">
            <v>CSR135-26P US</v>
          </cell>
          <cell r="F265" t="str">
            <v>USA</v>
          </cell>
          <cell r="G265">
            <v>90</v>
          </cell>
          <cell r="H265">
            <v>90</v>
          </cell>
          <cell r="I265">
            <v>0</v>
          </cell>
          <cell r="J265" t="str">
            <v>FINISH</v>
          </cell>
          <cell r="K265">
            <v>46260</v>
          </cell>
          <cell r="L265">
            <v>46272</v>
          </cell>
        </row>
        <row r="266">
          <cell r="A266" t="str">
            <v>CA-H2606-PD-238</v>
          </cell>
          <cell r="B266" t="str">
            <v>HyperionYubo changed</v>
          </cell>
          <cell r="C266">
            <v>11131307</v>
          </cell>
          <cell r="D266" t="str">
            <v>2211224-D-A</v>
          </cell>
          <cell r="E266" t="str">
            <v>HW70SP350P09000 NOCE</v>
          </cell>
          <cell r="F266" t="str">
            <v>Oversea</v>
          </cell>
          <cell r="G266">
            <v>6</v>
          </cell>
          <cell r="H266">
            <v>6</v>
          </cell>
          <cell r="I266">
            <v>0</v>
          </cell>
          <cell r="J266" t="str">
            <v>FINISH</v>
          </cell>
          <cell r="K266">
            <v>46262</v>
          </cell>
          <cell r="L266">
            <v>46274</v>
          </cell>
        </row>
        <row r="267">
          <cell r="A267" t="str">
            <v>CA-H2608-PD-008</v>
          </cell>
          <cell r="B267" t="str">
            <v xml:space="preserve">Hyperion </v>
          </cell>
          <cell r="C267">
            <v>11130674</v>
          </cell>
          <cell r="D267" t="str">
            <v>2211146-C-A</v>
          </cell>
          <cell r="E267" t="str">
            <v>HW70JL350P10000 NOCE</v>
          </cell>
          <cell r="F267" t="str">
            <v>Australia</v>
          </cell>
          <cell r="G267">
            <v>2</v>
          </cell>
          <cell r="H267">
            <v>2</v>
          </cell>
          <cell r="I267">
            <v>0</v>
          </cell>
          <cell r="J267" t="str">
            <v>FINISH</v>
          </cell>
          <cell r="K267">
            <v>46262</v>
          </cell>
          <cell r="L267">
            <v>46274</v>
          </cell>
        </row>
        <row r="268">
          <cell r="A268" t="str">
            <v>CA-H2608-PD-009</v>
          </cell>
          <cell r="B268" t="str">
            <v>HyperionYubo changed</v>
          </cell>
          <cell r="C268">
            <v>11131303</v>
          </cell>
          <cell r="D268" t="str">
            <v>2211220-E-A</v>
          </cell>
          <cell r="E268" t="str">
            <v>HW70SP350P10000 NOCE</v>
          </cell>
          <cell r="F268" t="str">
            <v>Australia</v>
          </cell>
          <cell r="G268">
            <v>6</v>
          </cell>
          <cell r="H268">
            <v>6</v>
          </cell>
          <cell r="I268">
            <v>0</v>
          </cell>
          <cell r="J268" t="str">
            <v>FINISH</v>
          </cell>
          <cell r="K268">
            <v>46262</v>
          </cell>
          <cell r="L268">
            <v>46274</v>
          </cell>
        </row>
        <row r="269">
          <cell r="A269" t="str">
            <v>CA-H2608-PD-010</v>
          </cell>
          <cell r="B269" t="str">
            <v>HyperionYubo changed</v>
          </cell>
          <cell r="C269">
            <v>11131304</v>
          </cell>
          <cell r="D269" t="str">
            <v>2211221-E-A</v>
          </cell>
          <cell r="E269" t="str">
            <v>HW70SP370P10000 NOCE</v>
          </cell>
          <cell r="F269" t="str">
            <v>Australia</v>
          </cell>
          <cell r="G269">
            <v>10</v>
          </cell>
          <cell r="H269">
            <v>10</v>
          </cell>
          <cell r="I269">
            <v>0</v>
          </cell>
          <cell r="J269" t="str">
            <v>FINISH</v>
          </cell>
          <cell r="K269">
            <v>46262</v>
          </cell>
          <cell r="L269">
            <v>46274</v>
          </cell>
        </row>
        <row r="270">
          <cell r="A270" t="str">
            <v>CA-H2608-PD-011</v>
          </cell>
          <cell r="B270" t="str">
            <v xml:space="preserve">Hyperion </v>
          </cell>
          <cell r="C270">
            <v>11130547</v>
          </cell>
          <cell r="D270" t="str">
            <v>2211019-C-A</v>
          </cell>
          <cell r="E270" t="str">
            <v>HW60JL400P10000 NOCE</v>
          </cell>
          <cell r="F270" t="str">
            <v>Australia</v>
          </cell>
          <cell r="G270">
            <v>40</v>
          </cell>
          <cell r="H270">
            <v>40</v>
          </cell>
          <cell r="I270">
            <v>0</v>
          </cell>
          <cell r="J270" t="str">
            <v>FINISH</v>
          </cell>
          <cell r="K270">
            <v>46262</v>
          </cell>
          <cell r="L270">
            <v>46274</v>
          </cell>
        </row>
        <row r="271">
          <cell r="A271" t="str">
            <v>CA-H2608-PD-012</v>
          </cell>
          <cell r="B271" t="str">
            <v xml:space="preserve">Hyperion </v>
          </cell>
          <cell r="C271">
            <v>11130628</v>
          </cell>
          <cell r="D271" t="str">
            <v>2211100-C-A</v>
          </cell>
          <cell r="E271" t="str">
            <v>HW60IM000P10000 NOCE</v>
          </cell>
          <cell r="F271" t="str">
            <v>Australia</v>
          </cell>
          <cell r="G271">
            <v>6</v>
          </cell>
          <cell r="H271">
            <v>6</v>
          </cell>
          <cell r="I271">
            <v>0</v>
          </cell>
          <cell r="J271" t="str">
            <v>FINISH</v>
          </cell>
          <cell r="K271">
            <v>46262</v>
          </cell>
          <cell r="L271">
            <v>46274</v>
          </cell>
        </row>
        <row r="272">
          <cell r="A272" t="str">
            <v>CA-H2608-PD-013</v>
          </cell>
          <cell r="B272" t="str">
            <v xml:space="preserve">Hyperion </v>
          </cell>
          <cell r="C272">
            <v>11130628</v>
          </cell>
          <cell r="D272" t="str">
            <v>2211100-C-A</v>
          </cell>
          <cell r="E272" t="str">
            <v>HW60IM000P10000 NOCE</v>
          </cell>
          <cell r="F272" t="str">
            <v>Oversea</v>
          </cell>
          <cell r="G272">
            <v>2</v>
          </cell>
          <cell r="H272">
            <v>2</v>
          </cell>
          <cell r="I272">
            <v>0</v>
          </cell>
          <cell r="J272" t="str">
            <v>FINISH</v>
          </cell>
          <cell r="K272">
            <v>46262</v>
          </cell>
          <cell r="L272">
            <v>46274</v>
          </cell>
        </row>
        <row r="273">
          <cell r="A273" t="str">
            <v>CA-H2608-PD-014</v>
          </cell>
          <cell r="B273" t="str">
            <v xml:space="preserve">Hyperion </v>
          </cell>
          <cell r="C273">
            <v>11130546</v>
          </cell>
          <cell r="D273" t="str">
            <v>2211018-C-A</v>
          </cell>
          <cell r="E273" t="str">
            <v>HW60JL350P10000 NOCE</v>
          </cell>
          <cell r="F273" t="str">
            <v>Oversea</v>
          </cell>
          <cell r="G273">
            <v>15</v>
          </cell>
          <cell r="H273">
            <v>15</v>
          </cell>
          <cell r="I273">
            <v>0</v>
          </cell>
          <cell r="J273" t="str">
            <v>FINISH</v>
          </cell>
          <cell r="K273">
            <v>46262</v>
          </cell>
          <cell r="L273">
            <v>46274</v>
          </cell>
        </row>
        <row r="274">
          <cell r="A274" t="str">
            <v>CA-H2608-PD-015</v>
          </cell>
          <cell r="B274" t="str">
            <v xml:space="preserve">Hyperion </v>
          </cell>
          <cell r="C274">
            <v>11130530</v>
          </cell>
          <cell r="D274" t="str">
            <v>2211002-C-A</v>
          </cell>
          <cell r="E274" t="str">
            <v>HW60JR400P10000 NOCE</v>
          </cell>
          <cell r="F274" t="str">
            <v>Oversea</v>
          </cell>
          <cell r="G274">
            <v>30</v>
          </cell>
          <cell r="H274">
            <v>30</v>
          </cell>
          <cell r="I274">
            <v>0</v>
          </cell>
          <cell r="J274" t="str">
            <v>FINISH</v>
          </cell>
          <cell r="K274">
            <v>46262</v>
          </cell>
          <cell r="L274">
            <v>46274</v>
          </cell>
        </row>
        <row r="275">
          <cell r="A275" t="str">
            <v>CA-H2608-PD-016</v>
          </cell>
          <cell r="B275" t="str">
            <v>HyperionYubo changed</v>
          </cell>
          <cell r="C275">
            <v>11132714</v>
          </cell>
          <cell r="D275" t="str">
            <v>2211029-D-A</v>
          </cell>
          <cell r="E275" t="str">
            <v>HW60PB300P10000 NOCE</v>
          </cell>
          <cell r="F275" t="str">
            <v>Oversea</v>
          </cell>
          <cell r="G275">
            <v>30</v>
          </cell>
          <cell r="H275">
            <v>30</v>
          </cell>
          <cell r="I275">
            <v>0</v>
          </cell>
          <cell r="J275" t="str">
            <v>FINISH</v>
          </cell>
          <cell r="K275">
            <v>46262</v>
          </cell>
          <cell r="L275">
            <v>46274</v>
          </cell>
        </row>
        <row r="276">
          <cell r="A276" t="str">
            <v>CA-H2608-PD-017</v>
          </cell>
          <cell r="B276" t="str">
            <v>HyperionYubo changed</v>
          </cell>
          <cell r="C276">
            <v>11132715</v>
          </cell>
          <cell r="D276" t="str">
            <v>2211030-D-A</v>
          </cell>
          <cell r="E276" t="str">
            <v>HW60PB350P10000 NOCE</v>
          </cell>
          <cell r="F276" t="str">
            <v>Oversea</v>
          </cell>
          <cell r="G276">
            <v>30</v>
          </cell>
          <cell r="H276">
            <v>30</v>
          </cell>
          <cell r="I276">
            <v>0</v>
          </cell>
          <cell r="J276" t="str">
            <v>FINISH</v>
          </cell>
          <cell r="K276">
            <v>46262</v>
          </cell>
          <cell r="L276">
            <v>46274</v>
          </cell>
        </row>
        <row r="277">
          <cell r="A277" t="str">
            <v>CA-H2608-PD-018</v>
          </cell>
          <cell r="B277" t="str">
            <v>HyperionYubo changed</v>
          </cell>
          <cell r="C277">
            <v>11131289</v>
          </cell>
          <cell r="D277" t="str">
            <v>2211092-E-A</v>
          </cell>
          <cell r="E277" t="str">
            <v>HW60SP350P10000 NOCE</v>
          </cell>
          <cell r="F277" t="str">
            <v>Oversea</v>
          </cell>
          <cell r="G277">
            <v>25</v>
          </cell>
          <cell r="H277">
            <v>25</v>
          </cell>
          <cell r="I277">
            <v>0</v>
          </cell>
          <cell r="J277" t="str">
            <v>FINISH</v>
          </cell>
          <cell r="K277">
            <v>46262</v>
          </cell>
          <cell r="L277">
            <v>46274</v>
          </cell>
        </row>
        <row r="278">
          <cell r="A278" t="str">
            <v>CA-H2608-PD-019</v>
          </cell>
          <cell r="B278" t="str">
            <v xml:space="preserve">Hyperion </v>
          </cell>
          <cell r="C278">
            <v>11130693</v>
          </cell>
          <cell r="D278" t="str">
            <v>2211165-C-A</v>
          </cell>
          <cell r="E278" t="str">
            <v>HW70AL070P10000 NOCE</v>
          </cell>
          <cell r="F278" t="str">
            <v>Oversea</v>
          </cell>
          <cell r="G278">
            <v>7</v>
          </cell>
          <cell r="H278">
            <v>7</v>
          </cell>
          <cell r="I278">
            <v>0</v>
          </cell>
          <cell r="J278" t="str">
            <v>FINISH</v>
          </cell>
          <cell r="K278">
            <v>46262</v>
          </cell>
          <cell r="L278">
            <v>46274</v>
          </cell>
        </row>
        <row r="279">
          <cell r="A279" t="str">
            <v>CA-H2608-PD-020</v>
          </cell>
          <cell r="B279" t="str">
            <v xml:space="preserve">Hyperion </v>
          </cell>
          <cell r="C279">
            <v>11130696</v>
          </cell>
          <cell r="D279" t="str">
            <v>2211168-C-A</v>
          </cell>
          <cell r="E279" t="str">
            <v>HW70AL100P09000 NOCE</v>
          </cell>
          <cell r="F279" t="str">
            <v>Oversea</v>
          </cell>
          <cell r="G279">
            <v>1</v>
          </cell>
          <cell r="H279">
            <v>1</v>
          </cell>
          <cell r="I279">
            <v>0</v>
          </cell>
          <cell r="J279" t="str">
            <v>FINISH</v>
          </cell>
          <cell r="K279">
            <v>46262</v>
          </cell>
          <cell r="L279">
            <v>46274</v>
          </cell>
        </row>
        <row r="280">
          <cell r="A280" t="str">
            <v>CA-H2608-PD-021</v>
          </cell>
          <cell r="B280" t="str">
            <v>HyperionYubo changed</v>
          </cell>
          <cell r="C280">
            <v>11131307</v>
          </cell>
          <cell r="D280" t="str">
            <v>2211224-D-A</v>
          </cell>
          <cell r="E280" t="str">
            <v>HW70SP350P09000 NOCE</v>
          </cell>
          <cell r="F280" t="str">
            <v>Oversea</v>
          </cell>
          <cell r="G280">
            <v>4</v>
          </cell>
          <cell r="H280">
            <v>4</v>
          </cell>
          <cell r="I280">
            <v>0</v>
          </cell>
          <cell r="J280" t="str">
            <v>FINISH</v>
          </cell>
          <cell r="K280">
            <v>46262</v>
          </cell>
          <cell r="L280">
            <v>46274</v>
          </cell>
        </row>
        <row r="281">
          <cell r="A281" t="str">
            <v>CA-H2608-PD-318</v>
          </cell>
          <cell r="B281" t="str">
            <v xml:space="preserve">Caravel </v>
          </cell>
          <cell r="C281">
            <v>11131256</v>
          </cell>
          <cell r="D281" t="str">
            <v>1841033-E-A</v>
          </cell>
          <cell r="E281" t="str">
            <v>CRV135-19M JP</v>
          </cell>
          <cell r="F281" t="str">
            <v>JAPAN</v>
          </cell>
          <cell r="G281">
            <v>92</v>
          </cell>
          <cell r="H281">
            <v>0</v>
          </cell>
          <cell r="I281">
            <v>92</v>
          </cell>
          <cell r="J281" t="str">
            <v>NO</v>
          </cell>
          <cell r="K281">
            <v>46262</v>
          </cell>
          <cell r="L281">
            <v>46274</v>
          </cell>
        </row>
        <row r="282">
          <cell r="A282" t="str">
            <v>CA-H2608-PD-319</v>
          </cell>
          <cell r="B282" t="str">
            <v xml:space="preserve">Caravel </v>
          </cell>
          <cell r="C282">
            <v>11131257</v>
          </cell>
          <cell r="D282" t="str">
            <v>1841034-D-A</v>
          </cell>
          <cell r="E282" t="str">
            <v>CRV150-19M JP</v>
          </cell>
          <cell r="F282" t="str">
            <v>JAPAN</v>
          </cell>
          <cell r="G282">
            <v>122</v>
          </cell>
          <cell r="H282">
            <v>0</v>
          </cell>
          <cell r="I282">
            <v>122</v>
          </cell>
          <cell r="J282" t="str">
            <v>NO</v>
          </cell>
          <cell r="K282">
            <v>46262</v>
          </cell>
          <cell r="L282">
            <v>46274</v>
          </cell>
        </row>
        <row r="283">
          <cell r="A283" t="str">
            <v>CA-H2608-PD-320</v>
          </cell>
          <cell r="B283" t="str">
            <v xml:space="preserve">Corsair-pro </v>
          </cell>
          <cell r="C283">
            <v>11131259</v>
          </cell>
          <cell r="D283" t="str">
            <v>1941002-D-A</v>
          </cell>
          <cell r="E283" t="str">
            <v>CSR150-26PR JP</v>
          </cell>
          <cell r="F283" t="str">
            <v>JAPAN</v>
          </cell>
          <cell r="G283">
            <v>15</v>
          </cell>
          <cell r="H283">
            <v>0</v>
          </cell>
          <cell r="I283">
            <v>15</v>
          </cell>
          <cell r="J283" t="str">
            <v>NO</v>
          </cell>
          <cell r="K283">
            <v>46262</v>
          </cell>
          <cell r="L283">
            <v>46274</v>
          </cell>
        </row>
        <row r="284">
          <cell r="A284" t="str">
            <v>CA-H2608-PD-321</v>
          </cell>
          <cell r="B284" t="str">
            <v xml:space="preserve">Corsair-PV </v>
          </cell>
          <cell r="C284">
            <v>11127835</v>
          </cell>
          <cell r="D284" t="str">
            <v>1941079-D-A</v>
          </cell>
          <cell r="E284" t="str">
            <v>CSRP135-26NR JP</v>
          </cell>
          <cell r="F284" t="str">
            <v>JAPAN</v>
          </cell>
          <cell r="G284">
            <v>47</v>
          </cell>
          <cell r="H284">
            <v>0</v>
          </cell>
          <cell r="I284">
            <v>47</v>
          </cell>
          <cell r="J284" t="str">
            <v>NO</v>
          </cell>
          <cell r="K284">
            <v>46262</v>
          </cell>
          <cell r="L284">
            <v>46274</v>
          </cell>
        </row>
        <row r="285">
          <cell r="A285" t="str">
            <v>CA-H2608-PD-322</v>
          </cell>
          <cell r="B285" t="str">
            <v xml:space="preserve">Hyperion </v>
          </cell>
          <cell r="C285">
            <v>11119333</v>
          </cell>
          <cell r="D285" t="str">
            <v>1911001-D-A</v>
          </cell>
          <cell r="E285" t="str">
            <v>HJ60AL070P10020 JP</v>
          </cell>
          <cell r="F285" t="str">
            <v>JAPAN</v>
          </cell>
          <cell r="G285">
            <v>23</v>
          </cell>
          <cell r="H285">
            <v>0</v>
          </cell>
          <cell r="I285">
            <v>23</v>
          </cell>
          <cell r="J285" t="str">
            <v>NO</v>
          </cell>
          <cell r="K285">
            <v>46262</v>
          </cell>
          <cell r="L285">
            <v>46274</v>
          </cell>
        </row>
        <row r="286">
          <cell r="A286" t="str">
            <v>CA-H2608-PD-323</v>
          </cell>
          <cell r="B286" t="str">
            <v xml:space="preserve">Hyperion </v>
          </cell>
          <cell r="C286">
            <v>11119413</v>
          </cell>
          <cell r="D286" t="str">
            <v>1911081-D-A</v>
          </cell>
          <cell r="E286" t="str">
            <v>HJ60AL070P10022 JP</v>
          </cell>
          <cell r="F286" t="str">
            <v>JAPAN</v>
          </cell>
          <cell r="G286">
            <v>31</v>
          </cell>
          <cell r="H286">
            <v>31</v>
          </cell>
          <cell r="I286">
            <v>0</v>
          </cell>
          <cell r="J286" t="str">
            <v>FINISH</v>
          </cell>
          <cell r="K286">
            <v>46262</v>
          </cell>
          <cell r="L286">
            <v>46274</v>
          </cell>
        </row>
        <row r="287">
          <cell r="A287" t="str">
            <v>CA-H2608-PD-324</v>
          </cell>
          <cell r="B287" t="str">
            <v xml:space="preserve">Hyperion </v>
          </cell>
          <cell r="C287">
            <v>11119341</v>
          </cell>
          <cell r="D287" t="str">
            <v>1911009-D-A</v>
          </cell>
          <cell r="E287" t="str">
            <v>HJ60AL100P10021 JP</v>
          </cell>
          <cell r="F287" t="str">
            <v>JAPAN</v>
          </cell>
          <cell r="G287">
            <v>7</v>
          </cell>
          <cell r="H287">
            <v>0</v>
          </cell>
          <cell r="I287">
            <v>7</v>
          </cell>
          <cell r="J287" t="str">
            <v>NO</v>
          </cell>
          <cell r="K287">
            <v>46262</v>
          </cell>
          <cell r="L287">
            <v>46274</v>
          </cell>
        </row>
        <row r="288">
          <cell r="A288" t="str">
            <v>CA-H2608-PD-325</v>
          </cell>
          <cell r="B288" t="str">
            <v xml:space="preserve">Hyperion </v>
          </cell>
          <cell r="C288">
            <v>11119415</v>
          </cell>
          <cell r="D288" t="str">
            <v>1911083-D-A</v>
          </cell>
          <cell r="E288" t="str">
            <v>HJ60AL100P10022 JP</v>
          </cell>
          <cell r="F288" t="str">
            <v>JAPAN</v>
          </cell>
          <cell r="G288">
            <v>54</v>
          </cell>
          <cell r="H288">
            <v>54</v>
          </cell>
          <cell r="I288">
            <v>0</v>
          </cell>
          <cell r="J288" t="str">
            <v>FINISH</v>
          </cell>
          <cell r="K288">
            <v>46262</v>
          </cell>
          <cell r="L288">
            <v>46274</v>
          </cell>
        </row>
        <row r="289">
          <cell r="A289" t="str">
            <v>CA-H2608-PD-326</v>
          </cell>
          <cell r="B289" t="str">
            <v xml:space="preserve">Hyperion </v>
          </cell>
          <cell r="C289">
            <v>11119342</v>
          </cell>
          <cell r="D289" t="str">
            <v>1911010-D-A</v>
          </cell>
          <cell r="E289" t="str">
            <v>HJ60AL102P10021 JP</v>
          </cell>
          <cell r="F289" t="str">
            <v>JAPAN</v>
          </cell>
          <cell r="G289">
            <v>5</v>
          </cell>
          <cell r="H289">
            <v>0</v>
          </cell>
          <cell r="I289">
            <v>5</v>
          </cell>
          <cell r="J289" t="str">
            <v>NO</v>
          </cell>
          <cell r="K289">
            <v>46262</v>
          </cell>
          <cell r="L289">
            <v>46274</v>
          </cell>
        </row>
        <row r="290">
          <cell r="A290" t="str">
            <v>CA-H2608-PD-327</v>
          </cell>
          <cell r="B290" t="str">
            <v xml:space="preserve">Hyperion </v>
          </cell>
          <cell r="C290">
            <v>11119416</v>
          </cell>
          <cell r="D290" t="str">
            <v>1911084-E-A</v>
          </cell>
          <cell r="E290" t="str">
            <v>HJ60AL102P10022 JP</v>
          </cell>
          <cell r="F290" t="str">
            <v>JAPAN</v>
          </cell>
          <cell r="G290">
            <v>29</v>
          </cell>
          <cell r="H290">
            <v>29</v>
          </cell>
          <cell r="I290">
            <v>0</v>
          </cell>
          <cell r="J290" t="str">
            <v>FINISH</v>
          </cell>
          <cell r="K290">
            <v>46262</v>
          </cell>
          <cell r="L290">
            <v>46274</v>
          </cell>
        </row>
        <row r="291">
          <cell r="A291" t="str">
            <v>CA-H2608-PD-328</v>
          </cell>
          <cell r="B291" t="str">
            <v xml:space="preserve">Hyperion </v>
          </cell>
          <cell r="C291">
            <v>11119343</v>
          </cell>
          <cell r="D291" t="str">
            <v>1911011-D-A</v>
          </cell>
          <cell r="E291" t="str">
            <v>HJ60AL150P10020 JP</v>
          </cell>
          <cell r="F291" t="str">
            <v>JAPAN</v>
          </cell>
          <cell r="G291">
            <v>7</v>
          </cell>
          <cell r="H291">
            <v>0</v>
          </cell>
          <cell r="I291">
            <v>7</v>
          </cell>
          <cell r="J291" t="str">
            <v>NO</v>
          </cell>
          <cell r="K291">
            <v>46262</v>
          </cell>
          <cell r="L291">
            <v>46274</v>
          </cell>
        </row>
        <row r="292">
          <cell r="A292" t="str">
            <v>CA-H2608-PD-329</v>
          </cell>
          <cell r="B292" t="str">
            <v>Hyperion</v>
          </cell>
          <cell r="C292">
            <v>11119417</v>
          </cell>
          <cell r="D292" t="str">
            <v>1911085-D-A</v>
          </cell>
          <cell r="E292" t="str">
            <v>HJ60AL150P10022 JP</v>
          </cell>
          <cell r="F292" t="str">
            <v>JAPAN</v>
          </cell>
          <cell r="G292">
            <v>1</v>
          </cell>
          <cell r="H292">
            <v>0</v>
          </cell>
          <cell r="I292">
            <v>1</v>
          </cell>
          <cell r="J292" t="str">
            <v>NO</v>
          </cell>
          <cell r="K292">
            <v>46262</v>
          </cell>
          <cell r="L292">
            <v>46274</v>
          </cell>
        </row>
        <row r="293">
          <cell r="A293" t="str">
            <v>CA-H2608-PD-330</v>
          </cell>
          <cell r="B293" t="str">
            <v>Hyperion</v>
          </cell>
          <cell r="C293">
            <v>11119344</v>
          </cell>
          <cell r="D293" t="str">
            <v>1911012-D-A</v>
          </cell>
          <cell r="E293" t="str">
            <v>HJ60AL152P10020 JP</v>
          </cell>
          <cell r="F293" t="str">
            <v>JAPAN</v>
          </cell>
          <cell r="G293">
            <v>5</v>
          </cell>
          <cell r="H293">
            <v>0</v>
          </cell>
          <cell r="I293">
            <v>5</v>
          </cell>
          <cell r="J293" t="str">
            <v>NO</v>
          </cell>
          <cell r="K293">
            <v>46262</v>
          </cell>
          <cell r="L293">
            <v>46274</v>
          </cell>
        </row>
        <row r="294">
          <cell r="A294" t="str">
            <v>CA-H2608-PD-331</v>
          </cell>
          <cell r="B294" t="str">
            <v>Hyperion</v>
          </cell>
          <cell r="C294">
            <v>11119418</v>
          </cell>
          <cell r="D294" t="str">
            <v>1911086-D-A</v>
          </cell>
          <cell r="E294" t="str">
            <v>HJ60AL152P10022 JP</v>
          </cell>
          <cell r="F294" t="str">
            <v>JAPAN</v>
          </cell>
          <cell r="G294">
            <v>9</v>
          </cell>
          <cell r="H294">
            <v>0</v>
          </cell>
          <cell r="I294">
            <v>9</v>
          </cell>
          <cell r="J294" t="str">
            <v>NO</v>
          </cell>
          <cell r="K294">
            <v>46262</v>
          </cell>
          <cell r="L294">
            <v>46274</v>
          </cell>
        </row>
        <row r="295">
          <cell r="A295" t="str">
            <v>CA-H2608-PD-332</v>
          </cell>
          <cell r="B295" t="str">
            <v>Hyperion</v>
          </cell>
          <cell r="C295">
            <v>11119347</v>
          </cell>
          <cell r="D295" t="str">
            <v>1911015-D-A</v>
          </cell>
          <cell r="E295" t="str">
            <v>HJ60AL200P10020 JP</v>
          </cell>
          <cell r="F295" t="str">
            <v>JAPAN</v>
          </cell>
          <cell r="G295">
            <v>20</v>
          </cell>
          <cell r="H295">
            <v>0</v>
          </cell>
          <cell r="I295">
            <v>20</v>
          </cell>
          <cell r="J295" t="str">
            <v>NO</v>
          </cell>
          <cell r="K295">
            <v>46262</v>
          </cell>
          <cell r="L295">
            <v>46274</v>
          </cell>
        </row>
        <row r="296">
          <cell r="A296" t="str">
            <v>CA-H2608-PD-333</v>
          </cell>
          <cell r="B296" t="str">
            <v>Hyperion</v>
          </cell>
          <cell r="C296">
            <v>11119420</v>
          </cell>
          <cell r="D296" t="str">
            <v>1911088-D-A</v>
          </cell>
          <cell r="E296" t="str">
            <v>HJ60AL202P10022 JP</v>
          </cell>
          <cell r="F296" t="str">
            <v>JAPAN</v>
          </cell>
          <cell r="G296">
            <v>1</v>
          </cell>
          <cell r="H296">
            <v>0</v>
          </cell>
          <cell r="I296">
            <v>1</v>
          </cell>
          <cell r="J296" t="str">
            <v>NO</v>
          </cell>
          <cell r="K296">
            <v>46262</v>
          </cell>
          <cell r="L296">
            <v>46274</v>
          </cell>
        </row>
        <row r="297">
          <cell r="A297" t="str">
            <v>CA-H2608-PD-334</v>
          </cell>
          <cell r="B297" t="str">
            <v>Hyperion</v>
          </cell>
          <cell r="C297">
            <v>11119350</v>
          </cell>
          <cell r="D297" t="str">
            <v>1911018-D-A</v>
          </cell>
          <cell r="E297" t="str">
            <v>HJ60CP150P10020 JP</v>
          </cell>
          <cell r="F297" t="str">
            <v>JAPAN</v>
          </cell>
          <cell r="G297">
            <v>1</v>
          </cell>
          <cell r="H297">
            <v>0</v>
          </cell>
          <cell r="I297">
            <v>1</v>
          </cell>
          <cell r="J297" t="str">
            <v>NO</v>
          </cell>
          <cell r="K297">
            <v>46262</v>
          </cell>
          <cell r="L297">
            <v>46274</v>
          </cell>
        </row>
        <row r="298">
          <cell r="A298" t="str">
            <v>CA-H2608-PD-335</v>
          </cell>
          <cell r="B298" t="str">
            <v xml:space="preserve">Hyperion </v>
          </cell>
          <cell r="C298">
            <v>11119359</v>
          </cell>
          <cell r="D298" t="str">
            <v>1911027-D-A</v>
          </cell>
          <cell r="E298" t="str">
            <v>HJ60HS010P10020 JP</v>
          </cell>
          <cell r="F298" t="str">
            <v>JAPAN</v>
          </cell>
          <cell r="G298">
            <v>3</v>
          </cell>
          <cell r="H298">
            <v>0</v>
          </cell>
          <cell r="I298">
            <v>3</v>
          </cell>
          <cell r="J298" t="str">
            <v>NO</v>
          </cell>
          <cell r="K298">
            <v>46262</v>
          </cell>
          <cell r="L298">
            <v>46274</v>
          </cell>
        </row>
        <row r="299">
          <cell r="A299" t="str">
            <v>CA-H2608-PD-336</v>
          </cell>
          <cell r="B299" t="str">
            <v xml:space="preserve">Hyperion </v>
          </cell>
          <cell r="C299">
            <v>11119360</v>
          </cell>
          <cell r="D299" t="str">
            <v>1911028-D-A</v>
          </cell>
          <cell r="E299" t="str">
            <v>HJ60HS012P10020 JP</v>
          </cell>
          <cell r="F299" t="str">
            <v>JAPAN</v>
          </cell>
          <cell r="G299">
            <v>6</v>
          </cell>
          <cell r="H299">
            <v>0</v>
          </cell>
          <cell r="I299">
            <v>6</v>
          </cell>
          <cell r="J299" t="str">
            <v>NO</v>
          </cell>
          <cell r="K299">
            <v>46262</v>
          </cell>
          <cell r="L299">
            <v>46274</v>
          </cell>
        </row>
        <row r="300">
          <cell r="A300" t="str">
            <v>CA-H2608-PD-337</v>
          </cell>
          <cell r="B300" t="str">
            <v xml:space="preserve">Hyperion </v>
          </cell>
          <cell r="C300">
            <v>11119371</v>
          </cell>
          <cell r="D300" t="str">
            <v>1911039-E-A</v>
          </cell>
          <cell r="E300" t="str">
            <v>HJ60JL350P10000 JP</v>
          </cell>
          <cell r="F300" t="str">
            <v>JAPAN</v>
          </cell>
          <cell r="G300">
            <v>87</v>
          </cell>
          <cell r="H300">
            <v>87</v>
          </cell>
          <cell r="I300">
            <v>0</v>
          </cell>
          <cell r="J300" t="str">
            <v>FINISH</v>
          </cell>
          <cell r="K300">
            <v>46262</v>
          </cell>
          <cell r="L300">
            <v>46274</v>
          </cell>
        </row>
        <row r="301">
          <cell r="A301" t="str">
            <v>CA-H2608-PD-338</v>
          </cell>
          <cell r="B301" t="str">
            <v xml:space="preserve">Hyperion </v>
          </cell>
          <cell r="C301">
            <v>11119374</v>
          </cell>
          <cell r="D301" t="str">
            <v>1911042-D-A</v>
          </cell>
          <cell r="E301" t="str">
            <v>HJ60JL352P10021 JP</v>
          </cell>
          <cell r="F301" t="str">
            <v>JAPAN</v>
          </cell>
          <cell r="G301">
            <v>8</v>
          </cell>
          <cell r="H301">
            <v>0</v>
          </cell>
          <cell r="I301">
            <v>8</v>
          </cell>
          <cell r="J301" t="str">
            <v>NO</v>
          </cell>
          <cell r="K301">
            <v>46262</v>
          </cell>
          <cell r="L301">
            <v>46274</v>
          </cell>
        </row>
        <row r="302">
          <cell r="A302" t="str">
            <v>CA-H2608-PD-339</v>
          </cell>
          <cell r="B302" t="str">
            <v xml:space="preserve">Hyperion </v>
          </cell>
          <cell r="C302">
            <v>11119376</v>
          </cell>
          <cell r="D302" t="str">
            <v>1911044-D-A</v>
          </cell>
          <cell r="E302" t="str">
            <v>HJ60JL400P09000 JP</v>
          </cell>
          <cell r="F302" t="str">
            <v>JAPAN</v>
          </cell>
          <cell r="G302">
            <v>1</v>
          </cell>
          <cell r="H302">
            <v>1</v>
          </cell>
          <cell r="I302">
            <v>0</v>
          </cell>
          <cell r="J302" t="str">
            <v>FINISH</v>
          </cell>
          <cell r="K302">
            <v>46262</v>
          </cell>
          <cell r="L302">
            <v>46274</v>
          </cell>
        </row>
        <row r="303">
          <cell r="A303" t="str">
            <v>CA-H2608-PD-340</v>
          </cell>
          <cell r="B303" t="str">
            <v xml:space="preserve">Hyperion </v>
          </cell>
          <cell r="C303">
            <v>11119375</v>
          </cell>
          <cell r="D303" t="str">
            <v>1911043-E-A</v>
          </cell>
          <cell r="E303" t="str">
            <v>HJ60JL400P10000 JP</v>
          </cell>
          <cell r="F303" t="str">
            <v>JAPAN</v>
          </cell>
          <cell r="G303">
            <v>42</v>
          </cell>
          <cell r="H303">
            <v>42</v>
          </cell>
          <cell r="I303">
            <v>0</v>
          </cell>
          <cell r="J303" t="str">
            <v>FINISH</v>
          </cell>
          <cell r="K303">
            <v>46262</v>
          </cell>
          <cell r="L303">
            <v>46274</v>
          </cell>
        </row>
        <row r="304">
          <cell r="A304" t="str">
            <v>CA-H2608-PD-341</v>
          </cell>
          <cell r="B304" t="str">
            <v xml:space="preserve">Hyperion </v>
          </cell>
          <cell r="C304">
            <v>11119379</v>
          </cell>
          <cell r="D304" t="str">
            <v>1911047-D-A</v>
          </cell>
          <cell r="E304" t="str">
            <v>HJ60JL400P10001 JP</v>
          </cell>
          <cell r="F304" t="str">
            <v>JAPAN</v>
          </cell>
          <cell r="G304">
            <v>25</v>
          </cell>
          <cell r="H304">
            <v>0</v>
          </cell>
          <cell r="I304">
            <v>25</v>
          </cell>
          <cell r="J304" t="str">
            <v>NO</v>
          </cell>
          <cell r="K304">
            <v>46262</v>
          </cell>
          <cell r="L304">
            <v>46274</v>
          </cell>
        </row>
        <row r="305">
          <cell r="A305" t="str">
            <v>CA-H2608-PD-342</v>
          </cell>
          <cell r="B305" t="str">
            <v xml:space="preserve">Hyperion </v>
          </cell>
          <cell r="C305">
            <v>11119377</v>
          </cell>
          <cell r="D305" t="str">
            <v>1911045-D-A</v>
          </cell>
          <cell r="E305" t="str">
            <v>HJ60JL402P10020 JP</v>
          </cell>
          <cell r="F305" t="str">
            <v>JAPAN</v>
          </cell>
          <cell r="G305">
            <v>22</v>
          </cell>
          <cell r="H305">
            <v>22</v>
          </cell>
          <cell r="I305">
            <v>0</v>
          </cell>
          <cell r="J305" t="str">
            <v>FINISH</v>
          </cell>
          <cell r="K305">
            <v>46262</v>
          </cell>
          <cell r="L305">
            <v>46274</v>
          </cell>
        </row>
        <row r="306">
          <cell r="A306" t="str">
            <v>CA-H2608-PD-343</v>
          </cell>
          <cell r="B306" t="str">
            <v xml:space="preserve">Hyperion </v>
          </cell>
          <cell r="C306">
            <v>11119380</v>
          </cell>
          <cell r="D306" t="str">
            <v>1911048-D-A</v>
          </cell>
          <cell r="E306" t="str">
            <v>HJ60JL402P10021 JP</v>
          </cell>
          <cell r="F306" t="str">
            <v>JAPAN</v>
          </cell>
          <cell r="G306">
            <v>17</v>
          </cell>
          <cell r="H306">
            <v>0</v>
          </cell>
          <cell r="I306">
            <v>17</v>
          </cell>
          <cell r="J306" t="str">
            <v>NO</v>
          </cell>
          <cell r="K306">
            <v>46262</v>
          </cell>
          <cell r="L306">
            <v>46274</v>
          </cell>
        </row>
        <row r="307">
          <cell r="A307" t="str">
            <v>CA-H2608-PD-344</v>
          </cell>
          <cell r="B307" t="str">
            <v xml:space="preserve">Hyperion </v>
          </cell>
          <cell r="C307">
            <v>11119383</v>
          </cell>
          <cell r="D307" t="str">
            <v>1911051-D-A</v>
          </cell>
          <cell r="E307" t="str">
            <v>HJ60JL450P10001 JP</v>
          </cell>
          <cell r="F307" t="str">
            <v>JAPAN</v>
          </cell>
          <cell r="G307">
            <v>1</v>
          </cell>
          <cell r="H307">
            <v>0</v>
          </cell>
          <cell r="I307">
            <v>1</v>
          </cell>
          <cell r="J307" t="str">
            <v>NO</v>
          </cell>
          <cell r="K307">
            <v>46262</v>
          </cell>
          <cell r="L307">
            <v>46274</v>
          </cell>
        </row>
        <row r="308">
          <cell r="A308" t="str">
            <v>CA-H2608-PD-345</v>
          </cell>
          <cell r="B308" t="str">
            <v xml:space="preserve">Hyperion </v>
          </cell>
          <cell r="C308">
            <v>11119390</v>
          </cell>
          <cell r="D308" t="str">
            <v>1911058-D-A</v>
          </cell>
          <cell r="E308" t="str">
            <v>HJ60JR352P10020 JP</v>
          </cell>
          <cell r="F308" t="str">
            <v>JAPAN</v>
          </cell>
          <cell r="G308">
            <v>28</v>
          </cell>
          <cell r="H308">
            <v>0</v>
          </cell>
          <cell r="I308">
            <v>28</v>
          </cell>
          <cell r="J308" t="str">
            <v>NO</v>
          </cell>
          <cell r="K308">
            <v>46262</v>
          </cell>
          <cell r="L308">
            <v>46274</v>
          </cell>
        </row>
        <row r="309">
          <cell r="A309" t="str">
            <v>CA-H2608-PD-346</v>
          </cell>
          <cell r="B309" t="str">
            <v xml:space="preserve">Hyperion </v>
          </cell>
          <cell r="C309">
            <v>11119392</v>
          </cell>
          <cell r="D309" t="str">
            <v>1911060-D-A</v>
          </cell>
          <cell r="E309" t="str">
            <v>HJ60JR400P09020 JP</v>
          </cell>
          <cell r="F309" t="str">
            <v>JAPAN</v>
          </cell>
          <cell r="G309">
            <v>1</v>
          </cell>
          <cell r="H309">
            <v>0</v>
          </cell>
          <cell r="I309">
            <v>1</v>
          </cell>
          <cell r="J309" t="str">
            <v>NO</v>
          </cell>
          <cell r="K309">
            <v>46262</v>
          </cell>
          <cell r="L309">
            <v>46274</v>
          </cell>
        </row>
        <row r="310">
          <cell r="A310" t="str">
            <v>CA-H2608-PD-347</v>
          </cell>
          <cell r="B310" t="str">
            <v xml:space="preserve">Hyperion </v>
          </cell>
          <cell r="C310">
            <v>11119393</v>
          </cell>
          <cell r="D310" t="str">
            <v>1911061-D-A</v>
          </cell>
          <cell r="E310" t="str">
            <v>HJ60JR402P10020 JP</v>
          </cell>
          <cell r="F310" t="str">
            <v>JAPAN</v>
          </cell>
          <cell r="G310">
            <v>37</v>
          </cell>
          <cell r="H310">
            <v>37</v>
          </cell>
          <cell r="I310">
            <v>0</v>
          </cell>
          <cell r="J310" t="str">
            <v>FINISH</v>
          </cell>
          <cell r="K310">
            <v>46262</v>
          </cell>
          <cell r="L310">
            <v>46274</v>
          </cell>
        </row>
        <row r="311">
          <cell r="A311" t="str">
            <v>CA-H2608-PD-348</v>
          </cell>
          <cell r="B311" t="str">
            <v xml:space="preserve">Hyperion </v>
          </cell>
          <cell r="C311">
            <v>11119397</v>
          </cell>
          <cell r="D311" t="str">
            <v>1911065-D-A</v>
          </cell>
          <cell r="E311" t="str">
            <v>HJ60JR500P10020 JP</v>
          </cell>
          <cell r="F311" t="str">
            <v>JAPAN</v>
          </cell>
          <cell r="G311">
            <v>4</v>
          </cell>
          <cell r="H311">
            <v>0</v>
          </cell>
          <cell r="I311">
            <v>4</v>
          </cell>
          <cell r="J311" t="str">
            <v>NO</v>
          </cell>
          <cell r="K311">
            <v>46262</v>
          </cell>
          <cell r="L311">
            <v>46274</v>
          </cell>
        </row>
        <row r="312">
          <cell r="A312" t="str">
            <v>CA-H2608-PD-349</v>
          </cell>
          <cell r="B312" t="str">
            <v>HyperionYubo changed</v>
          </cell>
          <cell r="C312">
            <v>11134250</v>
          </cell>
          <cell r="D312" t="str">
            <v>1911067-E-A</v>
          </cell>
          <cell r="E312" t="str">
            <v>HJ60PB300P10000 JP</v>
          </cell>
          <cell r="F312" t="str">
            <v>JAPAN</v>
          </cell>
          <cell r="G312">
            <v>25</v>
          </cell>
          <cell r="H312">
            <v>25</v>
          </cell>
          <cell r="I312">
            <v>0</v>
          </cell>
          <cell r="J312" t="str">
            <v>FINISH</v>
          </cell>
          <cell r="K312">
            <v>46262</v>
          </cell>
          <cell r="L312">
            <v>46274</v>
          </cell>
        </row>
        <row r="313">
          <cell r="A313" t="str">
            <v>CA-H2608-PD-350</v>
          </cell>
          <cell r="B313" t="str">
            <v>HyperionYubo changed</v>
          </cell>
          <cell r="C313">
            <v>11134251</v>
          </cell>
          <cell r="D313" t="str">
            <v>1911068-E-A</v>
          </cell>
          <cell r="E313" t="str">
            <v>HJ60PB302P10020 JP</v>
          </cell>
          <cell r="F313" t="str">
            <v>JAPAN</v>
          </cell>
          <cell r="G313">
            <v>3</v>
          </cell>
          <cell r="H313">
            <v>0</v>
          </cell>
          <cell r="I313">
            <v>3</v>
          </cell>
          <cell r="J313" t="str">
            <v>NO</v>
          </cell>
          <cell r="K313">
            <v>46262</v>
          </cell>
          <cell r="L313">
            <v>46274</v>
          </cell>
        </row>
        <row r="314">
          <cell r="A314" t="str">
            <v>CA-H2608-PD-351</v>
          </cell>
          <cell r="B314" t="str">
            <v>HyperionYubo changed</v>
          </cell>
          <cell r="C314">
            <v>11134252</v>
          </cell>
          <cell r="D314" t="str">
            <v>1911069-F-A</v>
          </cell>
          <cell r="E314" t="str">
            <v>HJ60PB350P10000 JP</v>
          </cell>
          <cell r="F314" t="str">
            <v>JAPAN</v>
          </cell>
          <cell r="G314">
            <v>32</v>
          </cell>
          <cell r="H314">
            <v>32</v>
          </cell>
          <cell r="I314">
            <v>0</v>
          </cell>
          <cell r="J314" t="str">
            <v>FINISH</v>
          </cell>
          <cell r="K314">
            <v>46262</v>
          </cell>
          <cell r="L314">
            <v>46274</v>
          </cell>
        </row>
        <row r="315">
          <cell r="A315" t="str">
            <v>CA-H2608-PD-352</v>
          </cell>
          <cell r="B315" t="str">
            <v>HyperionYubo changed</v>
          </cell>
          <cell r="C315">
            <v>11134253</v>
          </cell>
          <cell r="D315" t="str">
            <v>1911070-E-A</v>
          </cell>
          <cell r="E315" t="str">
            <v>HJ60PB352P10020 JP</v>
          </cell>
          <cell r="F315" t="str">
            <v>JAPAN</v>
          </cell>
          <cell r="G315">
            <v>17</v>
          </cell>
          <cell r="H315">
            <v>0</v>
          </cell>
          <cell r="I315">
            <v>17</v>
          </cell>
          <cell r="J315" t="str">
            <v>NO</v>
          </cell>
          <cell r="K315">
            <v>46262</v>
          </cell>
          <cell r="L315">
            <v>46274</v>
          </cell>
        </row>
        <row r="316">
          <cell r="A316" t="str">
            <v>CA-H2608-PD-353</v>
          </cell>
          <cell r="B316" t="str">
            <v xml:space="preserve">Hyperion </v>
          </cell>
          <cell r="C316">
            <v>11119407</v>
          </cell>
          <cell r="D316" t="str">
            <v>1911075-D-A</v>
          </cell>
          <cell r="E316" t="str">
            <v>HJ60RB100P10020 JP</v>
          </cell>
          <cell r="F316" t="str">
            <v>JAPAN</v>
          </cell>
          <cell r="G316">
            <v>10</v>
          </cell>
          <cell r="H316">
            <v>0</v>
          </cell>
          <cell r="I316">
            <v>10</v>
          </cell>
          <cell r="J316" t="str">
            <v>NO</v>
          </cell>
          <cell r="K316">
            <v>46262</v>
          </cell>
          <cell r="L316">
            <v>46274</v>
          </cell>
        </row>
        <row r="317">
          <cell r="A317" t="str">
            <v>CA-H2608-PD-354</v>
          </cell>
          <cell r="B317" t="str">
            <v xml:space="preserve">Hyperion </v>
          </cell>
          <cell r="C317">
            <v>11119408</v>
          </cell>
          <cell r="D317" t="str">
            <v>1911076-D-A</v>
          </cell>
          <cell r="E317" t="str">
            <v>HJ60RB102P10020 JP</v>
          </cell>
          <cell r="F317" t="str">
            <v>JAPAN</v>
          </cell>
          <cell r="G317">
            <v>1</v>
          </cell>
          <cell r="H317">
            <v>0</v>
          </cell>
          <cell r="I317">
            <v>1</v>
          </cell>
          <cell r="J317" t="str">
            <v>NO</v>
          </cell>
          <cell r="K317">
            <v>46262</v>
          </cell>
          <cell r="L317">
            <v>46274</v>
          </cell>
        </row>
        <row r="318">
          <cell r="A318" t="str">
            <v>CA-H2608-PD-355</v>
          </cell>
          <cell r="B318" t="str">
            <v xml:space="preserve">Hyperion </v>
          </cell>
          <cell r="C318">
            <v>11119421</v>
          </cell>
          <cell r="D318" t="str">
            <v>1911089-D-A</v>
          </cell>
          <cell r="E318" t="str">
            <v>HJ60SC350P10000 JP</v>
          </cell>
          <cell r="F318" t="str">
            <v>JAPAN</v>
          </cell>
          <cell r="G318">
            <v>9</v>
          </cell>
          <cell r="H318">
            <v>0</v>
          </cell>
          <cell r="I318">
            <v>9</v>
          </cell>
          <cell r="J318" t="str">
            <v>NO</v>
          </cell>
          <cell r="K318">
            <v>46262</v>
          </cell>
          <cell r="L318">
            <v>46274</v>
          </cell>
        </row>
        <row r="319">
          <cell r="A319" t="str">
            <v>CA-H2608-PD-356</v>
          </cell>
          <cell r="B319" t="str">
            <v xml:space="preserve">Hyperion </v>
          </cell>
          <cell r="C319">
            <v>11119423</v>
          </cell>
          <cell r="D319" t="str">
            <v>1911091-D-A</v>
          </cell>
          <cell r="E319" t="str">
            <v>HJ60SC400P10000 JP</v>
          </cell>
          <cell r="F319" t="str">
            <v>JAPAN</v>
          </cell>
          <cell r="G319">
            <v>10</v>
          </cell>
          <cell r="H319">
            <v>0</v>
          </cell>
          <cell r="I319">
            <v>10</v>
          </cell>
          <cell r="J319" t="str">
            <v>NO</v>
          </cell>
          <cell r="K319">
            <v>46262</v>
          </cell>
          <cell r="L319">
            <v>46274</v>
          </cell>
        </row>
        <row r="320">
          <cell r="A320" t="str">
            <v>CA-H2608-PD-357</v>
          </cell>
          <cell r="B320" t="str">
            <v xml:space="preserve">Hyperion </v>
          </cell>
          <cell r="C320">
            <v>11119436</v>
          </cell>
          <cell r="D320" t="str">
            <v>2111063-D-A</v>
          </cell>
          <cell r="E320" t="str">
            <v>HJ60SL102P10000 JP</v>
          </cell>
          <cell r="F320" t="str">
            <v>JAPAN</v>
          </cell>
          <cell r="G320">
            <v>5</v>
          </cell>
          <cell r="H320">
            <v>0</v>
          </cell>
          <cell r="I320">
            <v>5</v>
          </cell>
          <cell r="J320" t="str">
            <v>NO</v>
          </cell>
          <cell r="K320">
            <v>46262</v>
          </cell>
          <cell r="L320">
            <v>46274</v>
          </cell>
        </row>
        <row r="321">
          <cell r="A321" t="str">
            <v>CA-H2608-PD-358</v>
          </cell>
          <cell r="B321" t="str">
            <v>HyperionYubo changed</v>
          </cell>
          <cell r="C321">
            <v>11134258</v>
          </cell>
          <cell r="D321" t="str">
            <v>1911095-E-A</v>
          </cell>
          <cell r="E321" t="str">
            <v>HJ60SP320P10000 JP</v>
          </cell>
          <cell r="F321" t="str">
            <v>JAPAN</v>
          </cell>
          <cell r="G321">
            <v>24</v>
          </cell>
          <cell r="H321">
            <v>24</v>
          </cell>
          <cell r="I321">
            <v>0</v>
          </cell>
          <cell r="J321" t="str">
            <v>FINISH</v>
          </cell>
          <cell r="K321">
            <v>46262</v>
          </cell>
          <cell r="L321">
            <v>46274</v>
          </cell>
        </row>
        <row r="322">
          <cell r="A322" t="str">
            <v>CA-H2608-PD-359</v>
          </cell>
          <cell r="B322" t="str">
            <v>HyperionYubo changed</v>
          </cell>
          <cell r="C322">
            <v>11134259</v>
          </cell>
          <cell r="D322" t="str">
            <v>1911096-E-A</v>
          </cell>
          <cell r="E322" t="str">
            <v>HJ60SP322P10020 JP</v>
          </cell>
          <cell r="F322" t="str">
            <v>JAPAN</v>
          </cell>
          <cell r="G322">
            <v>3</v>
          </cell>
          <cell r="H322">
            <v>0</v>
          </cell>
          <cell r="I322">
            <v>3</v>
          </cell>
          <cell r="J322" t="str">
            <v>NO</v>
          </cell>
          <cell r="K322">
            <v>46262</v>
          </cell>
          <cell r="L322">
            <v>46274</v>
          </cell>
        </row>
        <row r="323">
          <cell r="A323" t="str">
            <v>CA-H2608-PD-360</v>
          </cell>
          <cell r="B323" t="str">
            <v>HyperionYubo changed</v>
          </cell>
          <cell r="C323">
            <v>11134260</v>
          </cell>
          <cell r="D323" t="str">
            <v>1911097-F-A</v>
          </cell>
          <cell r="E323" t="str">
            <v>HJ60SP350P10000 JP</v>
          </cell>
          <cell r="F323" t="str">
            <v>JAPAN</v>
          </cell>
          <cell r="G323">
            <v>217</v>
          </cell>
          <cell r="H323">
            <v>217</v>
          </cell>
          <cell r="I323">
            <v>0</v>
          </cell>
          <cell r="J323" t="str">
            <v>FINISH</v>
          </cell>
          <cell r="K323">
            <v>46262</v>
          </cell>
          <cell r="L323">
            <v>46274</v>
          </cell>
        </row>
        <row r="324">
          <cell r="A324" t="str">
            <v>CA-H2608-PD-361</v>
          </cell>
          <cell r="B324" t="str">
            <v>HyperionYubo changed</v>
          </cell>
          <cell r="C324">
            <v>11134261</v>
          </cell>
          <cell r="D324" t="str">
            <v>1911098-F-A</v>
          </cell>
          <cell r="E324" t="str">
            <v>HJ60SP352P10020 JP</v>
          </cell>
          <cell r="F324" t="str">
            <v>JAPAN</v>
          </cell>
          <cell r="G324">
            <v>74</v>
          </cell>
          <cell r="H324">
            <v>74</v>
          </cell>
          <cell r="I324">
            <v>0</v>
          </cell>
          <cell r="J324" t="str">
            <v>FINISH</v>
          </cell>
          <cell r="K324">
            <v>46262</v>
          </cell>
          <cell r="L324">
            <v>46274</v>
          </cell>
        </row>
        <row r="325">
          <cell r="A325" t="str">
            <v>CA-H2608-PD-362</v>
          </cell>
          <cell r="B325" t="str">
            <v>HyperionYubo changed</v>
          </cell>
          <cell r="C325">
            <v>11134262</v>
          </cell>
          <cell r="D325" t="str">
            <v>1911099-F-A</v>
          </cell>
          <cell r="E325" t="str">
            <v>HJ60SP370P10000 JP</v>
          </cell>
          <cell r="F325" t="str">
            <v>JAPAN</v>
          </cell>
          <cell r="G325">
            <v>41</v>
          </cell>
          <cell r="H325">
            <v>41</v>
          </cell>
          <cell r="I325">
            <v>0</v>
          </cell>
          <cell r="J325" t="str">
            <v>FINISH</v>
          </cell>
          <cell r="K325">
            <v>46262</v>
          </cell>
          <cell r="L325">
            <v>46274</v>
          </cell>
        </row>
        <row r="326">
          <cell r="A326" t="str">
            <v>CA-H2608-PD-363</v>
          </cell>
          <cell r="B326" t="str">
            <v>HyperionYubo changed</v>
          </cell>
          <cell r="C326">
            <v>11134263</v>
          </cell>
          <cell r="D326" t="str">
            <v>1911100-F-A</v>
          </cell>
          <cell r="E326" t="str">
            <v>HJ60SP372P10020 JP</v>
          </cell>
          <cell r="F326" t="str">
            <v>JAPAN</v>
          </cell>
          <cell r="G326">
            <v>14</v>
          </cell>
          <cell r="H326">
            <v>14</v>
          </cell>
          <cell r="I326">
            <v>0</v>
          </cell>
          <cell r="J326" t="str">
            <v>FINISH</v>
          </cell>
          <cell r="K326">
            <v>46262</v>
          </cell>
          <cell r="L326">
            <v>46274</v>
          </cell>
        </row>
        <row r="327">
          <cell r="A327" t="str">
            <v>CA-H2608-PD-364</v>
          </cell>
          <cell r="B327" t="str">
            <v>HyperionYubo changed</v>
          </cell>
          <cell r="C327">
            <v>11134264</v>
          </cell>
          <cell r="D327" t="str">
            <v>1911101-F-A</v>
          </cell>
          <cell r="E327" t="str">
            <v>HJ60SP400P10000 JP</v>
          </cell>
          <cell r="F327" t="str">
            <v>JAPAN</v>
          </cell>
          <cell r="G327">
            <v>6</v>
          </cell>
          <cell r="H327">
            <v>0</v>
          </cell>
          <cell r="I327">
            <v>6</v>
          </cell>
          <cell r="J327" t="str">
            <v>NO</v>
          </cell>
          <cell r="K327">
            <v>46262</v>
          </cell>
          <cell r="L327">
            <v>46274</v>
          </cell>
        </row>
        <row r="328">
          <cell r="A328" t="str">
            <v>CA-H2608-PD-365</v>
          </cell>
          <cell r="B328" t="str">
            <v>HyperionYubo changed</v>
          </cell>
          <cell r="C328">
            <v>11134265</v>
          </cell>
          <cell r="D328" t="str">
            <v>1911102-E-A</v>
          </cell>
          <cell r="E328" t="str">
            <v>HJ60SP402P10020 JP</v>
          </cell>
          <cell r="F328" t="str">
            <v>JAPAN</v>
          </cell>
          <cell r="G328">
            <v>15</v>
          </cell>
          <cell r="H328">
            <v>15</v>
          </cell>
          <cell r="I328">
            <v>0</v>
          </cell>
          <cell r="J328" t="str">
            <v>FINISH</v>
          </cell>
          <cell r="K328">
            <v>46262</v>
          </cell>
          <cell r="L328">
            <v>46274</v>
          </cell>
        </row>
        <row r="329">
          <cell r="A329" t="str">
            <v>CA-H2608-PD-366</v>
          </cell>
          <cell r="B329" t="str">
            <v xml:space="preserve">Hyperion </v>
          </cell>
          <cell r="C329">
            <v>11119437</v>
          </cell>
          <cell r="D329" t="str">
            <v>1911103-D-A</v>
          </cell>
          <cell r="E329" t="str">
            <v>HJ70AL070P10020 JP</v>
          </cell>
          <cell r="F329" t="str">
            <v>JAPAN</v>
          </cell>
          <cell r="G329">
            <v>3</v>
          </cell>
          <cell r="H329">
            <v>0</v>
          </cell>
          <cell r="I329">
            <v>3</v>
          </cell>
          <cell r="J329" t="str">
            <v>NO</v>
          </cell>
          <cell r="K329">
            <v>46262</v>
          </cell>
          <cell r="L329">
            <v>46274</v>
          </cell>
        </row>
        <row r="330">
          <cell r="A330" t="str">
            <v>CA-H2608-PD-367</v>
          </cell>
          <cell r="B330" t="str">
            <v xml:space="preserve">Hyperion </v>
          </cell>
          <cell r="C330">
            <v>11119535</v>
          </cell>
          <cell r="D330" t="str">
            <v>1911201-D-A</v>
          </cell>
          <cell r="E330" t="str">
            <v>HJ70AL070P10022 JP</v>
          </cell>
          <cell r="F330" t="str">
            <v>JAPAN</v>
          </cell>
          <cell r="G330">
            <v>18</v>
          </cell>
          <cell r="H330">
            <v>0</v>
          </cell>
          <cell r="I330">
            <v>18</v>
          </cell>
          <cell r="J330" t="str">
            <v>NO</v>
          </cell>
          <cell r="K330">
            <v>46262</v>
          </cell>
          <cell r="L330">
            <v>46274</v>
          </cell>
        </row>
        <row r="331">
          <cell r="A331" t="str">
            <v>CA-H2608-PD-368</v>
          </cell>
          <cell r="B331" t="str">
            <v xml:space="preserve">Hyperion </v>
          </cell>
          <cell r="C331">
            <v>11119438</v>
          </cell>
          <cell r="D331" t="str">
            <v>1911104-D-A</v>
          </cell>
          <cell r="E331" t="str">
            <v>HJ70AL072P10020 JP</v>
          </cell>
          <cell r="F331" t="str">
            <v>JAPAN</v>
          </cell>
          <cell r="G331">
            <v>54</v>
          </cell>
          <cell r="H331">
            <v>0</v>
          </cell>
          <cell r="I331">
            <v>54</v>
          </cell>
          <cell r="J331" t="str">
            <v>NO</v>
          </cell>
          <cell r="K331">
            <v>46262</v>
          </cell>
          <cell r="L331">
            <v>46274</v>
          </cell>
        </row>
        <row r="332">
          <cell r="A332" t="str">
            <v>CA-H2608-PD-369</v>
          </cell>
          <cell r="B332" t="str">
            <v xml:space="preserve">Hyperion </v>
          </cell>
          <cell r="C332">
            <v>11119537</v>
          </cell>
          <cell r="D332" t="str">
            <v>1911203-D-A</v>
          </cell>
          <cell r="E332" t="str">
            <v>HJ70AL072P10022 JP</v>
          </cell>
          <cell r="F332" t="str">
            <v>JAPAN</v>
          </cell>
          <cell r="G332">
            <v>12</v>
          </cell>
          <cell r="H332">
            <v>0</v>
          </cell>
          <cell r="I332">
            <v>12</v>
          </cell>
          <cell r="J332" t="str">
            <v>NO</v>
          </cell>
          <cell r="K332">
            <v>46262</v>
          </cell>
          <cell r="L332">
            <v>46274</v>
          </cell>
        </row>
        <row r="333">
          <cell r="A333" t="str">
            <v>CA-H2608-PD-370</v>
          </cell>
          <cell r="B333" t="str">
            <v xml:space="preserve">Hyperion </v>
          </cell>
          <cell r="C333">
            <v>11119442</v>
          </cell>
          <cell r="D333" t="str">
            <v>1911108-D-A</v>
          </cell>
          <cell r="E333" t="str">
            <v>HJ70AL100P10020 JP</v>
          </cell>
          <cell r="F333" t="str">
            <v>JAPAN</v>
          </cell>
          <cell r="G333">
            <v>39</v>
          </cell>
          <cell r="H333">
            <v>0</v>
          </cell>
          <cell r="I333">
            <v>39</v>
          </cell>
          <cell r="J333" t="str">
            <v>NO</v>
          </cell>
          <cell r="K333">
            <v>46262</v>
          </cell>
          <cell r="L333">
            <v>46274</v>
          </cell>
        </row>
        <row r="334">
          <cell r="A334" t="str">
            <v>CA-H2608-PD-371</v>
          </cell>
          <cell r="B334" t="str">
            <v xml:space="preserve">Hyperion </v>
          </cell>
          <cell r="C334">
            <v>11119446</v>
          </cell>
          <cell r="D334" t="str">
            <v>1911112-D-A</v>
          </cell>
          <cell r="E334" t="str">
            <v>HJ70AL100P10021 JP</v>
          </cell>
          <cell r="F334" t="str">
            <v>JAPAN</v>
          </cell>
          <cell r="G334">
            <v>6</v>
          </cell>
          <cell r="H334">
            <v>0</v>
          </cell>
          <cell r="I334">
            <v>6</v>
          </cell>
          <cell r="J334" t="str">
            <v>NO</v>
          </cell>
          <cell r="K334">
            <v>46262</v>
          </cell>
          <cell r="L334">
            <v>46274</v>
          </cell>
        </row>
        <row r="335">
          <cell r="A335" t="str">
            <v>CA-H2608-PD-372</v>
          </cell>
          <cell r="B335" t="str">
            <v xml:space="preserve">Hyperion </v>
          </cell>
          <cell r="C335">
            <v>11119539</v>
          </cell>
          <cell r="D335" t="str">
            <v>1911205-D-A</v>
          </cell>
          <cell r="E335" t="str">
            <v>HJ70AL100P10022 JP</v>
          </cell>
          <cell r="F335" t="str">
            <v>JAPAN</v>
          </cell>
          <cell r="G335">
            <v>72</v>
          </cell>
          <cell r="H335">
            <v>0</v>
          </cell>
          <cell r="I335">
            <v>72</v>
          </cell>
          <cell r="J335" t="str">
            <v>NO</v>
          </cell>
          <cell r="K335">
            <v>46262</v>
          </cell>
          <cell r="L335">
            <v>46274</v>
          </cell>
        </row>
        <row r="336">
          <cell r="A336" t="str">
            <v>CA-H2608-PD-373</v>
          </cell>
          <cell r="B336" t="str">
            <v xml:space="preserve">Hyperion </v>
          </cell>
          <cell r="C336">
            <v>11119445</v>
          </cell>
          <cell r="D336" t="str">
            <v>1911111-D-A</v>
          </cell>
          <cell r="E336" t="str">
            <v>HJ70AL102P09020 JP</v>
          </cell>
          <cell r="F336" t="str">
            <v>JAPAN</v>
          </cell>
          <cell r="G336">
            <v>25</v>
          </cell>
          <cell r="H336">
            <v>0</v>
          </cell>
          <cell r="I336">
            <v>25</v>
          </cell>
          <cell r="J336" t="str">
            <v>NO</v>
          </cell>
          <cell r="K336">
            <v>46262</v>
          </cell>
          <cell r="L336">
            <v>46274</v>
          </cell>
        </row>
        <row r="337">
          <cell r="A337" t="str">
            <v>CA-H2608-PD-374</v>
          </cell>
          <cell r="B337" t="str">
            <v xml:space="preserve">Hyperion </v>
          </cell>
          <cell r="C337">
            <v>11119542</v>
          </cell>
          <cell r="D337" t="str">
            <v>1911208-D-A</v>
          </cell>
          <cell r="E337" t="str">
            <v>HJ70AL102P09022 JP</v>
          </cell>
          <cell r="F337" t="str">
            <v>JAPAN</v>
          </cell>
          <cell r="G337">
            <v>23</v>
          </cell>
          <cell r="H337">
            <v>0</v>
          </cell>
          <cell r="I337">
            <v>23</v>
          </cell>
          <cell r="J337" t="str">
            <v>NO</v>
          </cell>
          <cell r="K337">
            <v>46262</v>
          </cell>
          <cell r="L337">
            <v>46274</v>
          </cell>
        </row>
        <row r="338">
          <cell r="A338" t="str">
            <v>CA-H2608-PD-375</v>
          </cell>
          <cell r="B338" t="str">
            <v xml:space="preserve">Hyperion </v>
          </cell>
          <cell r="C338">
            <v>11119444</v>
          </cell>
          <cell r="D338" t="str">
            <v>1911110-D-A</v>
          </cell>
          <cell r="E338" t="str">
            <v>HJ70AL102P10020 JP</v>
          </cell>
          <cell r="F338" t="str">
            <v>JAPAN</v>
          </cell>
          <cell r="G338">
            <v>33</v>
          </cell>
          <cell r="H338">
            <v>33</v>
          </cell>
          <cell r="I338">
            <v>0</v>
          </cell>
          <cell r="J338" t="str">
            <v>FINISH</v>
          </cell>
          <cell r="K338">
            <v>46262</v>
          </cell>
          <cell r="L338">
            <v>46274</v>
          </cell>
        </row>
        <row r="339">
          <cell r="A339" t="str">
            <v>CA-H2608-PD-376</v>
          </cell>
          <cell r="B339" t="str">
            <v xml:space="preserve">Hyperion </v>
          </cell>
          <cell r="C339">
            <v>11119447</v>
          </cell>
          <cell r="D339" t="str">
            <v>1911113-D-A</v>
          </cell>
          <cell r="E339" t="str">
            <v>HJ70AL102P10021 JP</v>
          </cell>
          <cell r="F339" t="str">
            <v>JAPAN</v>
          </cell>
          <cell r="G339">
            <v>1</v>
          </cell>
          <cell r="H339">
            <v>0</v>
          </cell>
          <cell r="I339">
            <v>1</v>
          </cell>
          <cell r="J339" t="str">
            <v>NO</v>
          </cell>
          <cell r="K339">
            <v>46262</v>
          </cell>
          <cell r="L339">
            <v>46274</v>
          </cell>
        </row>
        <row r="340">
          <cell r="A340" t="str">
            <v>CA-H2608-PD-377</v>
          </cell>
          <cell r="B340" t="str">
            <v xml:space="preserve">Hyperion </v>
          </cell>
          <cell r="C340">
            <v>11119541</v>
          </cell>
          <cell r="D340" t="str">
            <v>1911207-D-A</v>
          </cell>
          <cell r="E340" t="str">
            <v>HJ70AL102P10022 JP</v>
          </cell>
          <cell r="F340" t="str">
            <v>JAPAN</v>
          </cell>
          <cell r="G340">
            <v>91</v>
          </cell>
          <cell r="H340">
            <v>91</v>
          </cell>
          <cell r="I340">
            <v>0</v>
          </cell>
          <cell r="J340" t="str">
            <v>FINISH</v>
          </cell>
          <cell r="K340">
            <v>46262</v>
          </cell>
          <cell r="L340">
            <v>46274</v>
          </cell>
        </row>
        <row r="341">
          <cell r="A341" t="str">
            <v>CA-H2608-PD-378</v>
          </cell>
          <cell r="B341" t="str">
            <v xml:space="preserve">Hyperion </v>
          </cell>
          <cell r="C341">
            <v>11119448</v>
          </cell>
          <cell r="D341" t="str">
            <v>1911114-D-A</v>
          </cell>
          <cell r="E341" t="str">
            <v>HJ70AL150P10020 JP</v>
          </cell>
          <cell r="F341" t="str">
            <v>JAPAN</v>
          </cell>
          <cell r="G341">
            <v>11</v>
          </cell>
          <cell r="H341">
            <v>0</v>
          </cell>
          <cell r="I341">
            <v>11</v>
          </cell>
          <cell r="J341" t="str">
            <v>NO</v>
          </cell>
          <cell r="K341">
            <v>46262</v>
          </cell>
          <cell r="L341">
            <v>46274</v>
          </cell>
        </row>
        <row r="342">
          <cell r="A342" t="str">
            <v>CA-H2608-PD-379</v>
          </cell>
          <cell r="B342" t="str">
            <v xml:space="preserve">Hyperion </v>
          </cell>
          <cell r="C342">
            <v>11119450</v>
          </cell>
          <cell r="D342" t="str">
            <v>1911116-D-A</v>
          </cell>
          <cell r="E342" t="str">
            <v>HJ70AL152P10020 JP</v>
          </cell>
          <cell r="F342" t="str">
            <v>JAPAN</v>
          </cell>
          <cell r="G342">
            <v>20</v>
          </cell>
          <cell r="H342">
            <v>0</v>
          </cell>
          <cell r="I342">
            <v>20</v>
          </cell>
          <cell r="J342" t="str">
            <v>NO</v>
          </cell>
          <cell r="K342">
            <v>46262</v>
          </cell>
          <cell r="L342">
            <v>46274</v>
          </cell>
        </row>
        <row r="343">
          <cell r="A343" t="str">
            <v>CA-H2608-PD-380</v>
          </cell>
          <cell r="B343" t="str">
            <v xml:space="preserve">Hyperion </v>
          </cell>
          <cell r="C343">
            <v>11119545</v>
          </cell>
          <cell r="D343" t="str">
            <v>1911211-D-A</v>
          </cell>
          <cell r="E343" t="str">
            <v>HJ70AL152P10022 JP</v>
          </cell>
          <cell r="F343" t="str">
            <v>JAPAN</v>
          </cell>
          <cell r="G343">
            <v>19</v>
          </cell>
          <cell r="H343">
            <v>0</v>
          </cell>
          <cell r="I343">
            <v>19</v>
          </cell>
          <cell r="J343" t="str">
            <v>NO</v>
          </cell>
          <cell r="K343">
            <v>46262</v>
          </cell>
          <cell r="L343">
            <v>46274</v>
          </cell>
        </row>
        <row r="344">
          <cell r="A344" t="str">
            <v>CA-H2608-PD-381</v>
          </cell>
          <cell r="B344" t="str">
            <v xml:space="preserve">Hyperion </v>
          </cell>
          <cell r="C344">
            <v>11119454</v>
          </cell>
          <cell r="D344" t="str">
            <v>1911120-D-A</v>
          </cell>
          <cell r="E344" t="str">
            <v>HJ70AL200P10020 JP</v>
          </cell>
          <cell r="F344" t="str">
            <v>JAPAN</v>
          </cell>
          <cell r="G344">
            <v>28</v>
          </cell>
          <cell r="H344">
            <v>0</v>
          </cell>
          <cell r="I344">
            <v>28</v>
          </cell>
          <cell r="J344" t="str">
            <v>NO</v>
          </cell>
          <cell r="K344">
            <v>46262</v>
          </cell>
          <cell r="L344">
            <v>46274</v>
          </cell>
        </row>
        <row r="345">
          <cell r="A345" t="str">
            <v>CA-H2608-PD-382</v>
          </cell>
          <cell r="B345" t="str">
            <v xml:space="preserve">Hyperion </v>
          </cell>
          <cell r="C345">
            <v>11119455</v>
          </cell>
          <cell r="D345" t="str">
            <v>1911121-D-A</v>
          </cell>
          <cell r="E345" t="str">
            <v>HJ70AL202P10020 JP</v>
          </cell>
          <cell r="F345" t="str">
            <v>JAPAN</v>
          </cell>
          <cell r="G345">
            <v>24</v>
          </cell>
          <cell r="H345">
            <v>0</v>
          </cell>
          <cell r="I345">
            <v>24</v>
          </cell>
          <cell r="J345" t="str">
            <v>NO</v>
          </cell>
          <cell r="K345">
            <v>46262</v>
          </cell>
          <cell r="L345">
            <v>46274</v>
          </cell>
        </row>
        <row r="346">
          <cell r="A346" t="str">
            <v>CA-H2608-PD-383</v>
          </cell>
          <cell r="B346" t="str">
            <v xml:space="preserve">Hyperion </v>
          </cell>
          <cell r="C346">
            <v>11119549</v>
          </cell>
          <cell r="D346" t="str">
            <v>1911215-D-A</v>
          </cell>
          <cell r="E346" t="str">
            <v>HJ70AL202P10022 JP</v>
          </cell>
          <cell r="F346" t="str">
            <v>JAPAN</v>
          </cell>
          <cell r="G346">
            <v>3</v>
          </cell>
          <cell r="H346">
            <v>0</v>
          </cell>
          <cell r="I346">
            <v>3</v>
          </cell>
          <cell r="J346" t="str">
            <v>NO</v>
          </cell>
          <cell r="K346">
            <v>46262</v>
          </cell>
          <cell r="L346">
            <v>46274</v>
          </cell>
        </row>
        <row r="347">
          <cell r="A347" t="str">
            <v>CA-H2608-PD-384</v>
          </cell>
          <cell r="B347" t="str">
            <v xml:space="preserve">Hyperion </v>
          </cell>
          <cell r="C347">
            <v>11119473</v>
          </cell>
          <cell r="D347" t="str">
            <v>1911139-D-A</v>
          </cell>
          <cell r="E347" t="str">
            <v>HJ70HS010P10020 JP</v>
          </cell>
          <cell r="F347" t="str">
            <v>JAPAN</v>
          </cell>
          <cell r="G347">
            <v>5</v>
          </cell>
          <cell r="H347">
            <v>0</v>
          </cell>
          <cell r="I347">
            <v>5</v>
          </cell>
          <cell r="J347" t="str">
            <v>NO</v>
          </cell>
          <cell r="K347">
            <v>46262</v>
          </cell>
          <cell r="L347">
            <v>46274</v>
          </cell>
        </row>
        <row r="348">
          <cell r="A348" t="str">
            <v>CA-H2608-PD-385</v>
          </cell>
          <cell r="B348" t="str">
            <v xml:space="preserve">Hyperion </v>
          </cell>
          <cell r="C348">
            <v>11119480</v>
          </cell>
          <cell r="D348" t="str">
            <v>1911146-D-A</v>
          </cell>
          <cell r="E348" t="str">
            <v>HJ70IM002P10020 JP</v>
          </cell>
          <cell r="F348" t="str">
            <v>JAPAN</v>
          </cell>
          <cell r="G348">
            <v>3</v>
          </cell>
          <cell r="H348">
            <v>0</v>
          </cell>
          <cell r="I348">
            <v>3</v>
          </cell>
          <cell r="J348" t="str">
            <v>NO</v>
          </cell>
          <cell r="K348">
            <v>46262</v>
          </cell>
          <cell r="L348">
            <v>46274</v>
          </cell>
        </row>
        <row r="349">
          <cell r="A349" t="str">
            <v>CA-H2608-PD-386</v>
          </cell>
          <cell r="B349" t="str">
            <v xml:space="preserve">Hyperion </v>
          </cell>
          <cell r="C349">
            <v>11119481</v>
          </cell>
          <cell r="D349" t="str">
            <v>1911147-D-A</v>
          </cell>
          <cell r="E349" t="str">
            <v>HJ70JL350P10000 JP</v>
          </cell>
          <cell r="F349" t="str">
            <v>JAPAN</v>
          </cell>
          <cell r="G349">
            <v>36</v>
          </cell>
          <cell r="H349">
            <v>0</v>
          </cell>
          <cell r="I349">
            <v>36</v>
          </cell>
          <cell r="J349" t="str">
            <v>NO</v>
          </cell>
          <cell r="K349">
            <v>46262</v>
          </cell>
          <cell r="L349">
            <v>46274</v>
          </cell>
        </row>
        <row r="350">
          <cell r="A350" t="str">
            <v>CA-H2608-PD-387</v>
          </cell>
          <cell r="B350" t="str">
            <v xml:space="preserve">Hyperion </v>
          </cell>
          <cell r="C350">
            <v>11119485</v>
          </cell>
          <cell r="D350" t="str">
            <v>1911151-D-A</v>
          </cell>
          <cell r="E350" t="str">
            <v>HJ70JL350P10001 JP</v>
          </cell>
          <cell r="F350" t="str">
            <v>JAPAN</v>
          </cell>
          <cell r="G350">
            <v>18</v>
          </cell>
          <cell r="H350">
            <v>0</v>
          </cell>
          <cell r="I350">
            <v>18</v>
          </cell>
          <cell r="J350" t="str">
            <v>NO</v>
          </cell>
          <cell r="K350">
            <v>46262</v>
          </cell>
          <cell r="L350">
            <v>46274</v>
          </cell>
        </row>
        <row r="351">
          <cell r="A351" t="str">
            <v>CA-H2608-PD-388</v>
          </cell>
          <cell r="B351" t="str">
            <v xml:space="preserve">Hyperion </v>
          </cell>
          <cell r="C351">
            <v>11119483</v>
          </cell>
          <cell r="D351" t="str">
            <v>1911149-D-A</v>
          </cell>
          <cell r="E351" t="str">
            <v>HJ70JL352P10020 JP</v>
          </cell>
          <cell r="F351" t="str">
            <v>JAPAN</v>
          </cell>
          <cell r="G351">
            <v>52</v>
          </cell>
          <cell r="H351">
            <v>0</v>
          </cell>
          <cell r="I351">
            <v>52</v>
          </cell>
          <cell r="J351" t="str">
            <v>NO</v>
          </cell>
          <cell r="K351">
            <v>46262</v>
          </cell>
          <cell r="L351">
            <v>46274</v>
          </cell>
        </row>
        <row r="352">
          <cell r="A352" t="str">
            <v>CA-H2608-PD-389</v>
          </cell>
          <cell r="B352" t="str">
            <v xml:space="preserve">Hyperion </v>
          </cell>
          <cell r="C352">
            <v>11119486</v>
          </cell>
          <cell r="D352" t="str">
            <v>1911152-D-A</v>
          </cell>
          <cell r="E352" t="str">
            <v>HJ70JL352P10021 JP</v>
          </cell>
          <cell r="F352" t="str">
            <v>JAPAN</v>
          </cell>
          <cell r="G352">
            <v>9</v>
          </cell>
          <cell r="H352">
            <v>0</v>
          </cell>
          <cell r="I352">
            <v>9</v>
          </cell>
          <cell r="J352" t="str">
            <v>NO</v>
          </cell>
          <cell r="K352">
            <v>46262</v>
          </cell>
          <cell r="L352">
            <v>46274</v>
          </cell>
        </row>
        <row r="353">
          <cell r="A353" t="str">
            <v>CA-H2608-PD-390</v>
          </cell>
          <cell r="B353" t="str">
            <v xml:space="preserve">Hyperion </v>
          </cell>
          <cell r="C353">
            <v>11119488</v>
          </cell>
          <cell r="D353" t="str">
            <v>1911154-D-A</v>
          </cell>
          <cell r="E353" t="str">
            <v>HJ70JL400P10000 JP</v>
          </cell>
          <cell r="F353" t="str">
            <v>JAPAN</v>
          </cell>
          <cell r="G353">
            <v>82</v>
          </cell>
          <cell r="H353">
            <v>0</v>
          </cell>
          <cell r="I353">
            <v>82</v>
          </cell>
          <cell r="J353" t="str">
            <v>NO</v>
          </cell>
          <cell r="K353">
            <v>46262</v>
          </cell>
          <cell r="L353">
            <v>46274</v>
          </cell>
        </row>
        <row r="354">
          <cell r="A354" t="str">
            <v>CA-H2608-PD-391</v>
          </cell>
          <cell r="B354" t="str">
            <v xml:space="preserve">Hyperion </v>
          </cell>
          <cell r="C354">
            <v>11119492</v>
          </cell>
          <cell r="D354" t="str">
            <v>1911158-D-A</v>
          </cell>
          <cell r="E354" t="str">
            <v>HJ70JL400P10001 JP</v>
          </cell>
          <cell r="F354" t="str">
            <v>JAPAN</v>
          </cell>
          <cell r="G354">
            <v>35</v>
          </cell>
          <cell r="H354">
            <v>0</v>
          </cell>
          <cell r="I354">
            <v>35</v>
          </cell>
          <cell r="J354" t="str">
            <v>NO</v>
          </cell>
          <cell r="K354">
            <v>46262</v>
          </cell>
          <cell r="L354">
            <v>46274</v>
          </cell>
        </row>
        <row r="355">
          <cell r="A355" t="str">
            <v>CA-H2608-PD-392</v>
          </cell>
          <cell r="B355" t="str">
            <v xml:space="preserve">Hyperion </v>
          </cell>
          <cell r="C355">
            <v>11119491</v>
          </cell>
          <cell r="D355" t="str">
            <v>1911157-D-A</v>
          </cell>
          <cell r="E355" t="str">
            <v>HJ70JL402P09020 JP</v>
          </cell>
          <cell r="F355" t="str">
            <v>JAPAN</v>
          </cell>
          <cell r="G355">
            <v>2</v>
          </cell>
          <cell r="H355">
            <v>0</v>
          </cell>
          <cell r="I355">
            <v>2</v>
          </cell>
          <cell r="J355" t="str">
            <v>NO</v>
          </cell>
          <cell r="K355">
            <v>46262</v>
          </cell>
          <cell r="L355">
            <v>46274</v>
          </cell>
        </row>
        <row r="356">
          <cell r="A356" t="str">
            <v>CA-H2608-PD-393</v>
          </cell>
          <cell r="B356" t="str">
            <v xml:space="preserve">Hyperion </v>
          </cell>
          <cell r="C356">
            <v>11119494</v>
          </cell>
          <cell r="D356" t="str">
            <v>1911160-D-A</v>
          </cell>
          <cell r="E356" t="str">
            <v>HJ70JL402P09021 JP</v>
          </cell>
          <cell r="F356" t="str">
            <v>JAPAN</v>
          </cell>
          <cell r="G356">
            <v>1</v>
          </cell>
          <cell r="H356">
            <v>0</v>
          </cell>
          <cell r="I356">
            <v>1</v>
          </cell>
          <cell r="J356" t="str">
            <v>NO</v>
          </cell>
          <cell r="K356">
            <v>46262</v>
          </cell>
          <cell r="L356">
            <v>46274</v>
          </cell>
        </row>
        <row r="357">
          <cell r="A357" t="str">
            <v>CA-H2608-PD-394</v>
          </cell>
          <cell r="B357" t="str">
            <v xml:space="preserve">Hyperion </v>
          </cell>
          <cell r="C357">
            <v>11119490</v>
          </cell>
          <cell r="D357" t="str">
            <v>1911156-D-A</v>
          </cell>
          <cell r="E357" t="str">
            <v>HJ70JL402P10020 JP</v>
          </cell>
          <cell r="F357" t="str">
            <v>JAPAN</v>
          </cell>
          <cell r="G357">
            <v>34</v>
          </cell>
          <cell r="H357">
            <v>34</v>
          </cell>
          <cell r="I357">
            <v>0</v>
          </cell>
          <cell r="J357" t="str">
            <v>FINISH</v>
          </cell>
          <cell r="K357">
            <v>46262</v>
          </cell>
          <cell r="L357">
            <v>46274</v>
          </cell>
        </row>
        <row r="358">
          <cell r="A358" t="str">
            <v>CA-H2608-PD-395</v>
          </cell>
          <cell r="B358" t="str">
            <v xml:space="preserve">Hyperion </v>
          </cell>
          <cell r="C358">
            <v>11119493</v>
          </cell>
          <cell r="D358" t="str">
            <v>1911159-D-A</v>
          </cell>
          <cell r="E358" t="str">
            <v>HJ70JL402P10021 JP</v>
          </cell>
          <cell r="F358" t="str">
            <v>JAPAN</v>
          </cell>
          <cell r="G358">
            <v>4</v>
          </cell>
          <cell r="H358">
            <v>0</v>
          </cell>
          <cell r="I358">
            <v>4</v>
          </cell>
          <cell r="J358" t="str">
            <v>NO</v>
          </cell>
          <cell r="K358">
            <v>46262</v>
          </cell>
          <cell r="L358">
            <v>46274</v>
          </cell>
        </row>
        <row r="359">
          <cell r="A359" t="str">
            <v>CA-H2608-PD-396</v>
          </cell>
          <cell r="B359" t="str">
            <v xml:space="preserve">Hyperion </v>
          </cell>
          <cell r="C359">
            <v>11119501</v>
          </cell>
          <cell r="D359" t="str">
            <v>1911167-D-A</v>
          </cell>
          <cell r="E359" t="str">
            <v>HJ70JL500P10001 JP</v>
          </cell>
          <cell r="F359" t="str">
            <v>JAPAN</v>
          </cell>
          <cell r="G359">
            <v>1</v>
          </cell>
          <cell r="H359">
            <v>0</v>
          </cell>
          <cell r="I359">
            <v>1</v>
          </cell>
          <cell r="J359" t="str">
            <v>NO</v>
          </cell>
          <cell r="K359">
            <v>46262</v>
          </cell>
          <cell r="L359">
            <v>46274</v>
          </cell>
        </row>
        <row r="360">
          <cell r="A360" t="str">
            <v>CA-H2608-PD-397</v>
          </cell>
          <cell r="B360" t="str">
            <v xml:space="preserve">Hyperion </v>
          </cell>
          <cell r="C360">
            <v>11119503</v>
          </cell>
          <cell r="D360" t="str">
            <v>1911169-D-A</v>
          </cell>
          <cell r="E360" t="str">
            <v>HJ70JR350P10020 JP</v>
          </cell>
          <cell r="F360" t="str">
            <v>JAPAN</v>
          </cell>
          <cell r="G360">
            <v>13</v>
          </cell>
          <cell r="H360">
            <v>13</v>
          </cell>
          <cell r="I360">
            <v>0</v>
          </cell>
          <cell r="J360" t="str">
            <v>FINISH</v>
          </cell>
          <cell r="K360">
            <v>46262</v>
          </cell>
          <cell r="L360">
            <v>46274</v>
          </cell>
        </row>
        <row r="361">
          <cell r="A361" t="str">
            <v>CA-H2608-PD-398</v>
          </cell>
          <cell r="B361" t="str">
            <v xml:space="preserve">Hyperion </v>
          </cell>
          <cell r="C361">
            <v>11119505</v>
          </cell>
          <cell r="D361" t="str">
            <v>1911171-D-A</v>
          </cell>
          <cell r="E361" t="str">
            <v>HJ70JR352P10020 JP</v>
          </cell>
          <cell r="F361" t="str">
            <v>JAPAN</v>
          </cell>
          <cell r="G361">
            <v>14</v>
          </cell>
          <cell r="H361">
            <v>0</v>
          </cell>
          <cell r="I361">
            <v>14</v>
          </cell>
          <cell r="J361" t="str">
            <v>NO</v>
          </cell>
          <cell r="K361">
            <v>46262</v>
          </cell>
          <cell r="L361">
            <v>46274</v>
          </cell>
        </row>
        <row r="362">
          <cell r="A362" t="str">
            <v>CA-H2608-PD-399</v>
          </cell>
          <cell r="B362" t="str">
            <v xml:space="preserve">Hyperion </v>
          </cell>
          <cell r="C362">
            <v>11119507</v>
          </cell>
          <cell r="D362" t="str">
            <v>1911173-D-A</v>
          </cell>
          <cell r="E362" t="str">
            <v>HJ70JR400P10020 JP</v>
          </cell>
          <cell r="F362" t="str">
            <v>JAPAN</v>
          </cell>
          <cell r="G362">
            <v>57</v>
          </cell>
          <cell r="H362">
            <v>57</v>
          </cell>
          <cell r="I362">
            <v>0</v>
          </cell>
          <cell r="J362" t="str">
            <v>FINISH</v>
          </cell>
          <cell r="K362">
            <v>46262</v>
          </cell>
          <cell r="L362">
            <v>46274</v>
          </cell>
        </row>
        <row r="363">
          <cell r="A363" t="str">
            <v>CA-H2608-PD-400</v>
          </cell>
          <cell r="B363" t="str">
            <v xml:space="preserve">Hyperion </v>
          </cell>
          <cell r="C363">
            <v>11119509</v>
          </cell>
          <cell r="D363" t="str">
            <v>1911175-D-A</v>
          </cell>
          <cell r="E363" t="str">
            <v>HJ70JR402P10020 JP</v>
          </cell>
          <cell r="F363" t="str">
            <v>JAPAN</v>
          </cell>
          <cell r="G363">
            <v>60</v>
          </cell>
          <cell r="H363">
            <v>0</v>
          </cell>
          <cell r="I363">
            <v>60</v>
          </cell>
          <cell r="J363" t="str">
            <v>NO</v>
          </cell>
          <cell r="K363">
            <v>46262</v>
          </cell>
          <cell r="L363">
            <v>46274</v>
          </cell>
        </row>
        <row r="364">
          <cell r="A364" t="str">
            <v>CA-H2608-PD-401</v>
          </cell>
          <cell r="B364" t="str">
            <v>HyperionYubo changed</v>
          </cell>
          <cell r="C364">
            <v>11134266</v>
          </cell>
          <cell r="D364" t="str">
            <v>1911181-E-A</v>
          </cell>
          <cell r="E364" t="str">
            <v>HJ70PB300P10000 JP</v>
          </cell>
          <cell r="F364" t="str">
            <v>JAPAN</v>
          </cell>
          <cell r="G364">
            <v>3</v>
          </cell>
          <cell r="H364">
            <v>0</v>
          </cell>
          <cell r="I364">
            <v>3</v>
          </cell>
          <cell r="J364" t="str">
            <v>NO</v>
          </cell>
          <cell r="K364">
            <v>46262</v>
          </cell>
          <cell r="L364">
            <v>46274</v>
          </cell>
        </row>
        <row r="365">
          <cell r="A365" t="str">
            <v>CA-H2608-PD-402</v>
          </cell>
          <cell r="B365" t="str">
            <v>HyperionYubo changed</v>
          </cell>
          <cell r="C365">
            <v>11134272</v>
          </cell>
          <cell r="D365" t="str">
            <v>1911187-E-A</v>
          </cell>
          <cell r="E365" t="str">
            <v>HJ70PB352P10020 JP</v>
          </cell>
          <cell r="F365" t="str">
            <v>JAPAN</v>
          </cell>
          <cell r="G365">
            <v>17</v>
          </cell>
          <cell r="H365">
            <v>0</v>
          </cell>
          <cell r="I365">
            <v>17</v>
          </cell>
          <cell r="J365" t="str">
            <v>NO</v>
          </cell>
          <cell r="K365">
            <v>46262</v>
          </cell>
          <cell r="L365">
            <v>46274</v>
          </cell>
        </row>
        <row r="366">
          <cell r="A366" t="str">
            <v>CA-H2608-PD-403</v>
          </cell>
          <cell r="B366" t="str">
            <v xml:space="preserve">Hyperion </v>
          </cell>
          <cell r="C366">
            <v>11119529</v>
          </cell>
          <cell r="D366" t="str">
            <v>1911195-D-A</v>
          </cell>
          <cell r="E366" t="str">
            <v>HJ70RB100P10020 JP</v>
          </cell>
          <cell r="F366" t="str">
            <v>JAPAN</v>
          </cell>
          <cell r="G366">
            <v>2</v>
          </cell>
          <cell r="H366">
            <v>0</v>
          </cell>
          <cell r="I366">
            <v>2</v>
          </cell>
          <cell r="J366" t="str">
            <v>NO</v>
          </cell>
          <cell r="K366">
            <v>46262</v>
          </cell>
          <cell r="L366">
            <v>46274</v>
          </cell>
        </row>
        <row r="367">
          <cell r="A367" t="str">
            <v>CA-H2608-PD-404</v>
          </cell>
          <cell r="B367" t="str">
            <v xml:space="preserve">Hyperion </v>
          </cell>
          <cell r="C367">
            <v>11119530</v>
          </cell>
          <cell r="D367" t="str">
            <v>1911196-D-A</v>
          </cell>
          <cell r="E367" t="str">
            <v>HJ70RB102P10020 JP</v>
          </cell>
          <cell r="F367" t="str">
            <v>JAPAN</v>
          </cell>
          <cell r="G367">
            <v>1</v>
          </cell>
          <cell r="H367">
            <v>0</v>
          </cell>
          <cell r="I367">
            <v>1</v>
          </cell>
          <cell r="J367" t="str">
            <v>NO</v>
          </cell>
          <cell r="K367">
            <v>46262</v>
          </cell>
          <cell r="L367">
            <v>46274</v>
          </cell>
        </row>
        <row r="368">
          <cell r="A368" t="str">
            <v>CA-H2608-PD-405</v>
          </cell>
          <cell r="B368" t="str">
            <v xml:space="preserve">Hyperion </v>
          </cell>
          <cell r="C368">
            <v>11119553</v>
          </cell>
          <cell r="D368" t="str">
            <v>1911219-D-A</v>
          </cell>
          <cell r="E368" t="str">
            <v>HJ70SC400P10000 JP</v>
          </cell>
          <cell r="F368" t="str">
            <v>JAPAN</v>
          </cell>
          <cell r="G368">
            <v>4</v>
          </cell>
          <cell r="H368">
            <v>0</v>
          </cell>
          <cell r="I368">
            <v>4</v>
          </cell>
          <cell r="J368" t="str">
            <v>NO</v>
          </cell>
          <cell r="K368">
            <v>46262</v>
          </cell>
          <cell r="L368">
            <v>46274</v>
          </cell>
        </row>
        <row r="369">
          <cell r="A369" t="str">
            <v>CA-H2608-PD-406</v>
          </cell>
          <cell r="B369" t="str">
            <v xml:space="preserve">Hyperion </v>
          </cell>
          <cell r="C369">
            <v>11119554</v>
          </cell>
          <cell r="D369" t="str">
            <v>1911220-D-A</v>
          </cell>
          <cell r="E369" t="str">
            <v>HJ70SC402P10020 JP</v>
          </cell>
          <cell r="F369" t="str">
            <v>JAPAN</v>
          </cell>
          <cell r="G369">
            <v>5</v>
          </cell>
          <cell r="H369">
            <v>0</v>
          </cell>
          <cell r="I369">
            <v>5</v>
          </cell>
          <cell r="J369" t="str">
            <v>NO</v>
          </cell>
          <cell r="K369">
            <v>46262</v>
          </cell>
          <cell r="L369">
            <v>46274</v>
          </cell>
        </row>
        <row r="370">
          <cell r="A370" t="str">
            <v>CA-H2608-PD-407</v>
          </cell>
          <cell r="B370" t="str">
            <v>HyperionYubo changed</v>
          </cell>
          <cell r="C370">
            <v>11134278</v>
          </cell>
          <cell r="D370" t="str">
            <v>1911221-E-A</v>
          </cell>
          <cell r="E370" t="str">
            <v>HJ70SP300P10000 JP</v>
          </cell>
          <cell r="F370" t="str">
            <v>JAPAN</v>
          </cell>
          <cell r="G370">
            <v>57</v>
          </cell>
          <cell r="H370">
            <v>0</v>
          </cell>
          <cell r="I370">
            <v>57</v>
          </cell>
          <cell r="J370" t="str">
            <v>NO</v>
          </cell>
          <cell r="K370">
            <v>46262</v>
          </cell>
          <cell r="L370">
            <v>46274</v>
          </cell>
        </row>
        <row r="371">
          <cell r="A371" t="str">
            <v>CA-H2608-PD-408</v>
          </cell>
          <cell r="B371" t="str">
            <v>HyperionYubo changed</v>
          </cell>
          <cell r="C371">
            <v>11134279</v>
          </cell>
          <cell r="D371" t="str">
            <v>1911222-E-A</v>
          </cell>
          <cell r="E371" t="str">
            <v>HJ70SP302P10020 JP</v>
          </cell>
          <cell r="F371" t="str">
            <v>JAPAN</v>
          </cell>
          <cell r="G371">
            <v>45</v>
          </cell>
          <cell r="H371">
            <v>0</v>
          </cell>
          <cell r="I371">
            <v>45</v>
          </cell>
          <cell r="J371" t="str">
            <v>NO</v>
          </cell>
          <cell r="K371">
            <v>46262</v>
          </cell>
          <cell r="L371">
            <v>46274</v>
          </cell>
        </row>
        <row r="372">
          <cell r="A372" t="str">
            <v>CA-H2608-PD-409</v>
          </cell>
          <cell r="B372" t="str">
            <v>HyperionYubo changed</v>
          </cell>
          <cell r="C372">
            <v>11134281</v>
          </cell>
          <cell r="D372" t="str">
            <v>1911224-F-A</v>
          </cell>
          <cell r="E372" t="str">
            <v>HJ70SP350P10000 JP</v>
          </cell>
          <cell r="F372" t="str">
            <v>JAPAN</v>
          </cell>
          <cell r="G372">
            <v>238</v>
          </cell>
          <cell r="H372">
            <v>238</v>
          </cell>
          <cell r="I372">
            <v>0</v>
          </cell>
          <cell r="J372" t="str">
            <v>FINISH</v>
          </cell>
          <cell r="K372">
            <v>46262</v>
          </cell>
          <cell r="L372">
            <v>46274</v>
          </cell>
        </row>
        <row r="373">
          <cell r="A373" t="str">
            <v>CA-H2608-PD-410</v>
          </cell>
          <cell r="B373" t="str">
            <v>HyperionYubo changed</v>
          </cell>
          <cell r="C373">
            <v>11134283</v>
          </cell>
          <cell r="D373" t="str">
            <v>1911226-E-A</v>
          </cell>
          <cell r="E373" t="str">
            <v>HJ70SP352P09020 JP</v>
          </cell>
          <cell r="F373" t="str">
            <v>JAPAN</v>
          </cell>
          <cell r="G373">
            <v>16</v>
          </cell>
          <cell r="H373">
            <v>0</v>
          </cell>
          <cell r="I373">
            <v>16</v>
          </cell>
          <cell r="J373" t="str">
            <v>NO</v>
          </cell>
          <cell r="K373">
            <v>46262</v>
          </cell>
          <cell r="L373">
            <v>46274</v>
          </cell>
        </row>
        <row r="374">
          <cell r="A374" t="str">
            <v>CA-H2608-PD-411</v>
          </cell>
          <cell r="B374" t="str">
            <v>HyperionYubo changed</v>
          </cell>
          <cell r="C374">
            <v>11134282</v>
          </cell>
          <cell r="D374" t="str">
            <v>1911225-F-A</v>
          </cell>
          <cell r="E374" t="str">
            <v>HJ70SP352P10020 JP</v>
          </cell>
          <cell r="F374" t="str">
            <v>JAPAN</v>
          </cell>
          <cell r="G374">
            <v>193</v>
          </cell>
          <cell r="H374">
            <v>193</v>
          </cell>
          <cell r="I374">
            <v>0</v>
          </cell>
          <cell r="J374" t="str">
            <v>FINISH</v>
          </cell>
          <cell r="K374">
            <v>46262</v>
          </cell>
          <cell r="L374">
            <v>46274</v>
          </cell>
        </row>
        <row r="375">
          <cell r="A375" t="str">
            <v>CA-H2608-PD-412</v>
          </cell>
          <cell r="B375" t="str">
            <v>HyperionYubo changed</v>
          </cell>
          <cell r="C375">
            <v>11134284</v>
          </cell>
          <cell r="D375" t="str">
            <v>1911227-F-A</v>
          </cell>
          <cell r="E375" t="str">
            <v>HJ70SP370P10000 JP</v>
          </cell>
          <cell r="F375" t="str">
            <v>JAPAN</v>
          </cell>
          <cell r="G375">
            <v>41</v>
          </cell>
          <cell r="H375">
            <v>0</v>
          </cell>
          <cell r="I375">
            <v>41</v>
          </cell>
          <cell r="J375" t="str">
            <v>NO</v>
          </cell>
          <cell r="K375">
            <v>46262</v>
          </cell>
          <cell r="L375">
            <v>46274</v>
          </cell>
        </row>
        <row r="376">
          <cell r="A376" t="str">
            <v>CA-H2608-PD-413</v>
          </cell>
          <cell r="B376" t="str">
            <v>HyperionYubo changed</v>
          </cell>
          <cell r="C376">
            <v>11134286</v>
          </cell>
          <cell r="D376" t="str">
            <v>1911229-E-A</v>
          </cell>
          <cell r="E376" t="str">
            <v>HJ70SP372P09020 JP</v>
          </cell>
          <cell r="F376" t="str">
            <v>JAPAN</v>
          </cell>
          <cell r="G376">
            <v>23</v>
          </cell>
          <cell r="H376">
            <v>0</v>
          </cell>
          <cell r="I376">
            <v>23</v>
          </cell>
          <cell r="J376" t="str">
            <v>NO</v>
          </cell>
          <cell r="K376">
            <v>46262</v>
          </cell>
          <cell r="L376">
            <v>46274</v>
          </cell>
        </row>
        <row r="377">
          <cell r="A377" t="str">
            <v>CA-H2608-PD-414</v>
          </cell>
          <cell r="B377" t="str">
            <v>HyperionYubo changed</v>
          </cell>
          <cell r="C377">
            <v>11134285</v>
          </cell>
          <cell r="D377" t="str">
            <v>1911228-F-A</v>
          </cell>
          <cell r="E377" t="str">
            <v>HJ70SP372P10020 JP</v>
          </cell>
          <cell r="F377" t="str">
            <v>JAPAN</v>
          </cell>
          <cell r="G377">
            <v>83</v>
          </cell>
          <cell r="H377">
            <v>83</v>
          </cell>
          <cell r="I377">
            <v>0</v>
          </cell>
          <cell r="J377" t="str">
            <v>FINISH</v>
          </cell>
          <cell r="K377">
            <v>46262</v>
          </cell>
          <cell r="L377">
            <v>46274</v>
          </cell>
        </row>
        <row r="378">
          <cell r="A378" t="str">
            <v>CA-H2608-PD-415</v>
          </cell>
          <cell r="B378" t="str">
            <v>HyperionYubo changed</v>
          </cell>
          <cell r="C378">
            <v>11134287</v>
          </cell>
          <cell r="D378" t="str">
            <v>1911230-F-A</v>
          </cell>
          <cell r="E378" t="str">
            <v>HJ70SP400P10000 JP</v>
          </cell>
          <cell r="F378" t="str">
            <v>JAPAN</v>
          </cell>
          <cell r="G378">
            <v>49</v>
          </cell>
          <cell r="H378">
            <v>0</v>
          </cell>
          <cell r="I378">
            <v>49</v>
          </cell>
          <cell r="J378" t="str">
            <v>NO</v>
          </cell>
          <cell r="K378">
            <v>46262</v>
          </cell>
          <cell r="L378">
            <v>46274</v>
          </cell>
        </row>
        <row r="379">
          <cell r="A379" t="str">
            <v>CA-H2608-PD-416</v>
          </cell>
          <cell r="B379" t="str">
            <v>HyperionYubo changed</v>
          </cell>
          <cell r="C379">
            <v>11134288</v>
          </cell>
          <cell r="D379" t="str">
            <v>1911231-F-A</v>
          </cell>
          <cell r="E379" t="str">
            <v>HJ70SP402P10020 JP</v>
          </cell>
          <cell r="F379" t="str">
            <v>JAPAN</v>
          </cell>
          <cell r="G379">
            <v>42</v>
          </cell>
          <cell r="H379">
            <v>0</v>
          </cell>
          <cell r="I379">
            <v>42</v>
          </cell>
          <cell r="J379" t="str">
            <v>NO</v>
          </cell>
          <cell r="K379">
            <v>46262</v>
          </cell>
          <cell r="L379">
            <v>46274</v>
          </cell>
        </row>
        <row r="380">
          <cell r="A380" t="str">
            <v>CA-H2608-PD-417</v>
          </cell>
          <cell r="B380" t="str">
            <v xml:space="preserve">Hyperion </v>
          </cell>
          <cell r="C380">
            <v>11119660</v>
          </cell>
          <cell r="D380" t="str">
            <v>1911326-D-A</v>
          </cell>
          <cell r="E380" t="str">
            <v>HJ80AL072P09002 JP</v>
          </cell>
          <cell r="F380" t="str">
            <v>JAPAN</v>
          </cell>
          <cell r="G380">
            <v>1</v>
          </cell>
          <cell r="H380">
            <v>0</v>
          </cell>
          <cell r="I380">
            <v>1</v>
          </cell>
          <cell r="J380" t="str">
            <v>NO</v>
          </cell>
          <cell r="K380">
            <v>46262</v>
          </cell>
          <cell r="L380">
            <v>46274</v>
          </cell>
        </row>
        <row r="381">
          <cell r="A381" t="str">
            <v>CA-H2608-PD-418</v>
          </cell>
          <cell r="B381" t="str">
            <v xml:space="preserve">Hyperion </v>
          </cell>
          <cell r="C381">
            <v>11119570</v>
          </cell>
          <cell r="D381" t="str">
            <v>1911236-D-A</v>
          </cell>
          <cell r="E381" t="str">
            <v>HJ80AL072P10000 JP</v>
          </cell>
          <cell r="F381" t="str">
            <v>JAPAN</v>
          </cell>
          <cell r="G381">
            <v>2</v>
          </cell>
          <cell r="H381">
            <v>0</v>
          </cell>
          <cell r="I381">
            <v>2</v>
          </cell>
          <cell r="J381" t="str">
            <v>NO</v>
          </cell>
          <cell r="K381">
            <v>46262</v>
          </cell>
          <cell r="L381">
            <v>46274</v>
          </cell>
        </row>
        <row r="382">
          <cell r="A382" t="str">
            <v>CA-H2608-PD-419</v>
          </cell>
          <cell r="B382" t="str">
            <v xml:space="preserve">Hyperion </v>
          </cell>
          <cell r="C382">
            <v>11119663</v>
          </cell>
          <cell r="D382" t="str">
            <v>1911329-D-A</v>
          </cell>
          <cell r="E382" t="str">
            <v>HJ80AL102P10002 JP</v>
          </cell>
          <cell r="F382" t="str">
            <v>JAPAN</v>
          </cell>
          <cell r="G382">
            <v>17</v>
          </cell>
          <cell r="H382">
            <v>0</v>
          </cell>
          <cell r="I382">
            <v>17</v>
          </cell>
          <cell r="J382" t="str">
            <v>NO</v>
          </cell>
          <cell r="K382">
            <v>46262</v>
          </cell>
          <cell r="L382">
            <v>46274</v>
          </cell>
        </row>
        <row r="383">
          <cell r="A383" t="str">
            <v>CA-H2608-PD-420</v>
          </cell>
          <cell r="B383" t="str">
            <v xml:space="preserve">Hyperion </v>
          </cell>
          <cell r="C383">
            <v>11119582</v>
          </cell>
          <cell r="D383" t="str">
            <v>1911248-D-A</v>
          </cell>
          <cell r="E383" t="str">
            <v>HJ80AL152P10000 JP</v>
          </cell>
          <cell r="F383" t="str">
            <v>JAPAN</v>
          </cell>
          <cell r="G383">
            <v>3</v>
          </cell>
          <cell r="H383">
            <v>0</v>
          </cell>
          <cell r="I383">
            <v>3</v>
          </cell>
          <cell r="J383" t="str">
            <v>NO</v>
          </cell>
          <cell r="K383">
            <v>46262</v>
          </cell>
          <cell r="L383">
            <v>46274</v>
          </cell>
        </row>
        <row r="384">
          <cell r="A384" t="str">
            <v>CA-H2608-PD-421</v>
          </cell>
          <cell r="B384" t="str">
            <v xml:space="preserve">Hyperion </v>
          </cell>
          <cell r="C384">
            <v>11119667</v>
          </cell>
          <cell r="D384" t="str">
            <v>1911333-D-A</v>
          </cell>
          <cell r="E384" t="str">
            <v>HJ80AL152P10002 JP</v>
          </cell>
          <cell r="F384" t="str">
            <v>JAPAN</v>
          </cell>
          <cell r="G384">
            <v>5</v>
          </cell>
          <cell r="H384">
            <v>0</v>
          </cell>
          <cell r="I384">
            <v>5</v>
          </cell>
          <cell r="J384" t="str">
            <v>NO</v>
          </cell>
          <cell r="K384">
            <v>46262</v>
          </cell>
          <cell r="L384">
            <v>46274</v>
          </cell>
        </row>
        <row r="385">
          <cell r="A385" t="str">
            <v>CA-H2608-PD-422</v>
          </cell>
          <cell r="B385" t="str">
            <v xml:space="preserve">Hyperion </v>
          </cell>
          <cell r="C385">
            <v>11119669</v>
          </cell>
          <cell r="D385" t="str">
            <v>1911335-D-A</v>
          </cell>
          <cell r="E385" t="str">
            <v>HJ80AL200P10002 JP</v>
          </cell>
          <cell r="F385" t="str">
            <v>JAPAN</v>
          </cell>
          <cell r="G385">
            <v>2</v>
          </cell>
          <cell r="H385">
            <v>0</v>
          </cell>
          <cell r="I385">
            <v>2</v>
          </cell>
          <cell r="J385" t="str">
            <v>NO</v>
          </cell>
          <cell r="K385">
            <v>46262</v>
          </cell>
          <cell r="L385">
            <v>46274</v>
          </cell>
        </row>
        <row r="386">
          <cell r="A386" t="str">
            <v>CA-H2608-PD-423</v>
          </cell>
          <cell r="B386" t="str">
            <v xml:space="preserve">Hyperion </v>
          </cell>
          <cell r="C386">
            <v>11119671</v>
          </cell>
          <cell r="D386" t="str">
            <v>1911337-D-A</v>
          </cell>
          <cell r="E386" t="str">
            <v>HJ80AL202P10002 JP</v>
          </cell>
          <cell r="F386" t="str">
            <v>JAPAN</v>
          </cell>
          <cell r="G386">
            <v>8</v>
          </cell>
          <cell r="H386">
            <v>0</v>
          </cell>
          <cell r="I386">
            <v>8</v>
          </cell>
          <cell r="J386" t="str">
            <v>NO</v>
          </cell>
          <cell r="K386">
            <v>46262</v>
          </cell>
          <cell r="L386">
            <v>46274</v>
          </cell>
        </row>
        <row r="387">
          <cell r="A387" t="str">
            <v>CA-H2608-PD-424</v>
          </cell>
          <cell r="B387" t="str">
            <v xml:space="preserve">Hyperion </v>
          </cell>
          <cell r="C387">
            <v>11119601</v>
          </cell>
          <cell r="D387" t="str">
            <v>1911267-D-A</v>
          </cell>
          <cell r="E387" t="str">
            <v>HJ80IM000P10010 JP</v>
          </cell>
          <cell r="F387" t="str">
            <v>JAPAN</v>
          </cell>
          <cell r="G387">
            <v>1</v>
          </cell>
          <cell r="H387">
            <v>0</v>
          </cell>
          <cell r="I387">
            <v>1</v>
          </cell>
          <cell r="J387" t="str">
            <v>NO</v>
          </cell>
          <cell r="K387">
            <v>46262</v>
          </cell>
          <cell r="L387">
            <v>46274</v>
          </cell>
        </row>
        <row r="388">
          <cell r="A388" t="str">
            <v>CA-H2608-PD-425</v>
          </cell>
          <cell r="B388" t="str">
            <v xml:space="preserve">Hyperion </v>
          </cell>
          <cell r="C388">
            <v>11119603</v>
          </cell>
          <cell r="D388" t="str">
            <v>1911269-D-A</v>
          </cell>
          <cell r="E388" t="str">
            <v>HJ80JL350P10000 JP</v>
          </cell>
          <cell r="F388" t="str">
            <v>JAPAN</v>
          </cell>
          <cell r="G388">
            <v>9</v>
          </cell>
          <cell r="H388">
            <v>0</v>
          </cell>
          <cell r="I388">
            <v>9</v>
          </cell>
          <cell r="J388" t="str">
            <v>NO</v>
          </cell>
          <cell r="K388">
            <v>46262</v>
          </cell>
          <cell r="L388">
            <v>46274</v>
          </cell>
        </row>
        <row r="389">
          <cell r="A389" t="str">
            <v>CA-H2608-PD-426</v>
          </cell>
          <cell r="B389" t="str">
            <v xml:space="preserve">Hyperion </v>
          </cell>
          <cell r="C389">
            <v>11119606</v>
          </cell>
          <cell r="D389" t="str">
            <v>1911272-D-A</v>
          </cell>
          <cell r="E389" t="str">
            <v>HJ80JL352P09000 JP</v>
          </cell>
          <cell r="F389" t="str">
            <v>JAPAN</v>
          </cell>
          <cell r="G389">
            <v>2</v>
          </cell>
          <cell r="H389">
            <v>0</v>
          </cell>
          <cell r="I389">
            <v>2</v>
          </cell>
          <cell r="J389" t="str">
            <v>NO</v>
          </cell>
          <cell r="K389">
            <v>46262</v>
          </cell>
          <cell r="L389">
            <v>46274</v>
          </cell>
        </row>
        <row r="390">
          <cell r="A390" t="str">
            <v>CA-H2608-PD-427</v>
          </cell>
          <cell r="B390" t="str">
            <v xml:space="preserve">Hyperion </v>
          </cell>
          <cell r="C390">
            <v>11119605</v>
          </cell>
          <cell r="D390" t="str">
            <v>1911271-D-A</v>
          </cell>
          <cell r="E390" t="str">
            <v>HJ80JL352P10000 JP</v>
          </cell>
          <cell r="F390" t="str">
            <v>JAPAN</v>
          </cell>
          <cell r="G390">
            <v>8</v>
          </cell>
          <cell r="H390">
            <v>0</v>
          </cell>
          <cell r="I390">
            <v>8</v>
          </cell>
          <cell r="J390" t="str">
            <v>NO</v>
          </cell>
          <cell r="K390">
            <v>46262</v>
          </cell>
          <cell r="L390">
            <v>46274</v>
          </cell>
        </row>
        <row r="391">
          <cell r="A391" t="str">
            <v>CA-H2608-PD-428</v>
          </cell>
          <cell r="B391" t="str">
            <v xml:space="preserve">Hyperion </v>
          </cell>
          <cell r="C391">
            <v>11119608</v>
          </cell>
          <cell r="D391" t="str">
            <v>1911274-D-A</v>
          </cell>
          <cell r="E391" t="str">
            <v>HJ80JL352P10001 JP</v>
          </cell>
          <cell r="F391" t="str">
            <v>JAPAN</v>
          </cell>
          <cell r="G391">
            <v>11</v>
          </cell>
          <cell r="H391">
            <v>0</v>
          </cell>
          <cell r="I391">
            <v>11</v>
          </cell>
          <cell r="J391" t="str">
            <v>NO</v>
          </cell>
          <cell r="K391">
            <v>46262</v>
          </cell>
          <cell r="L391">
            <v>46274</v>
          </cell>
        </row>
        <row r="392">
          <cell r="A392" t="str">
            <v>CA-H2608-PD-429</v>
          </cell>
          <cell r="B392" t="str">
            <v xml:space="preserve">Hyperion </v>
          </cell>
          <cell r="C392">
            <v>11119610</v>
          </cell>
          <cell r="D392" t="str">
            <v>1911276-D-A</v>
          </cell>
          <cell r="E392" t="str">
            <v>HJ80JL400P10000 JP</v>
          </cell>
          <cell r="F392" t="str">
            <v>JAPAN</v>
          </cell>
          <cell r="G392">
            <v>10</v>
          </cell>
          <cell r="H392">
            <v>0</v>
          </cell>
          <cell r="I392">
            <v>10</v>
          </cell>
          <cell r="J392" t="str">
            <v>NO</v>
          </cell>
          <cell r="K392">
            <v>46262</v>
          </cell>
          <cell r="L392">
            <v>46274</v>
          </cell>
        </row>
        <row r="393">
          <cell r="A393" t="str">
            <v>CA-H2608-PD-430</v>
          </cell>
          <cell r="B393" t="str">
            <v xml:space="preserve">Hyperion </v>
          </cell>
          <cell r="C393">
            <v>11119615</v>
          </cell>
          <cell r="D393" t="str">
            <v>1911281-D-A</v>
          </cell>
          <cell r="E393" t="str">
            <v>HJ80JL402P10001 JP</v>
          </cell>
          <cell r="F393" t="str">
            <v>JAPAN</v>
          </cell>
          <cell r="G393">
            <v>9</v>
          </cell>
          <cell r="H393">
            <v>0</v>
          </cell>
          <cell r="I393">
            <v>9</v>
          </cell>
          <cell r="J393" t="str">
            <v>NO</v>
          </cell>
          <cell r="K393">
            <v>46262</v>
          </cell>
          <cell r="L393">
            <v>46274</v>
          </cell>
        </row>
        <row r="394">
          <cell r="A394" t="str">
            <v>CA-H2608-PD-431</v>
          </cell>
          <cell r="B394" t="str">
            <v xml:space="preserve">Hyperion </v>
          </cell>
          <cell r="C394">
            <v>11119625</v>
          </cell>
          <cell r="D394" t="str">
            <v>1911291-D-A</v>
          </cell>
          <cell r="E394" t="str">
            <v>HJ80JR350P10000 JP</v>
          </cell>
          <cell r="F394" t="str">
            <v>JAPAN</v>
          </cell>
          <cell r="G394">
            <v>5</v>
          </cell>
          <cell r="H394">
            <v>0</v>
          </cell>
          <cell r="I394">
            <v>5</v>
          </cell>
          <cell r="J394" t="str">
            <v>NO</v>
          </cell>
          <cell r="K394">
            <v>46262</v>
          </cell>
          <cell r="L394">
            <v>46274</v>
          </cell>
        </row>
        <row r="395">
          <cell r="A395" t="str">
            <v>CA-H2608-PD-432</v>
          </cell>
          <cell r="B395" t="str">
            <v xml:space="preserve">Hyperion </v>
          </cell>
          <cell r="C395">
            <v>11119627</v>
          </cell>
          <cell r="D395" t="str">
            <v>1911293-D-A</v>
          </cell>
          <cell r="E395" t="str">
            <v>HJ80JR352P10000 JP</v>
          </cell>
          <cell r="F395" t="str">
            <v>JAPAN</v>
          </cell>
          <cell r="G395">
            <v>2</v>
          </cell>
          <cell r="H395">
            <v>0</v>
          </cell>
          <cell r="I395">
            <v>2</v>
          </cell>
          <cell r="J395" t="str">
            <v>NO</v>
          </cell>
          <cell r="K395">
            <v>46262</v>
          </cell>
          <cell r="L395">
            <v>46274</v>
          </cell>
        </row>
        <row r="396">
          <cell r="A396" t="str">
            <v>CA-H2608-PD-433</v>
          </cell>
          <cell r="B396" t="str">
            <v xml:space="preserve">Hyperion </v>
          </cell>
          <cell r="C396">
            <v>11119629</v>
          </cell>
          <cell r="D396" t="str">
            <v>1911295-D-A</v>
          </cell>
          <cell r="E396" t="str">
            <v>HJ80JR400P10000 JP</v>
          </cell>
          <cell r="F396" t="str">
            <v>JAPAN</v>
          </cell>
          <cell r="G396">
            <v>13</v>
          </cell>
          <cell r="H396">
            <v>0</v>
          </cell>
          <cell r="I396">
            <v>13</v>
          </cell>
          <cell r="J396" t="str">
            <v>NO</v>
          </cell>
          <cell r="K396">
            <v>46262</v>
          </cell>
          <cell r="L396">
            <v>46274</v>
          </cell>
        </row>
        <row r="397">
          <cell r="A397" t="str">
            <v>CA-H2608-PD-434</v>
          </cell>
          <cell r="B397" t="str">
            <v xml:space="preserve">Hyperion </v>
          </cell>
          <cell r="C397">
            <v>11119632</v>
          </cell>
          <cell r="D397" t="str">
            <v>1911298-D-A</v>
          </cell>
          <cell r="E397" t="str">
            <v>HJ80JR402P09000 JP</v>
          </cell>
          <cell r="F397" t="str">
            <v>JAPAN</v>
          </cell>
          <cell r="G397">
            <v>3</v>
          </cell>
          <cell r="H397">
            <v>0</v>
          </cell>
          <cell r="I397">
            <v>3</v>
          </cell>
          <cell r="J397" t="str">
            <v>NO</v>
          </cell>
          <cell r="K397">
            <v>46262</v>
          </cell>
          <cell r="L397">
            <v>46274</v>
          </cell>
        </row>
        <row r="398">
          <cell r="A398" t="str">
            <v>CA-H2608-PD-435</v>
          </cell>
          <cell r="B398" t="str">
            <v xml:space="preserve">Hyperion </v>
          </cell>
          <cell r="C398">
            <v>11119631</v>
          </cell>
          <cell r="D398" t="str">
            <v>1911297-D-A</v>
          </cell>
          <cell r="E398" t="str">
            <v>HJ80JR402P10000 JP</v>
          </cell>
          <cell r="F398" t="str">
            <v>JAPAN</v>
          </cell>
          <cell r="G398">
            <v>21</v>
          </cell>
          <cell r="H398">
            <v>0</v>
          </cell>
          <cell r="I398">
            <v>21</v>
          </cell>
          <cell r="J398" t="str">
            <v>NO</v>
          </cell>
          <cell r="K398">
            <v>46262</v>
          </cell>
          <cell r="L398">
            <v>46274</v>
          </cell>
        </row>
        <row r="399">
          <cell r="A399" t="str">
            <v>CA-H2608-PD-436</v>
          </cell>
          <cell r="B399" t="str">
            <v>HyperionYubo changed</v>
          </cell>
          <cell r="C399">
            <v>11134298</v>
          </cell>
          <cell r="D399" t="str">
            <v>1911309-E-A</v>
          </cell>
          <cell r="E399" t="str">
            <v>HJ80PB352P10000 JP</v>
          </cell>
          <cell r="F399" t="str">
            <v>JAPAN</v>
          </cell>
          <cell r="G399">
            <v>5</v>
          </cell>
          <cell r="H399">
            <v>0</v>
          </cell>
          <cell r="I399">
            <v>5</v>
          </cell>
          <cell r="J399" t="str">
            <v>NO</v>
          </cell>
          <cell r="K399">
            <v>46262</v>
          </cell>
          <cell r="L399">
            <v>46274</v>
          </cell>
        </row>
        <row r="400">
          <cell r="A400" t="str">
            <v>CA-H2608-PD-437</v>
          </cell>
          <cell r="B400" t="str">
            <v>HyperionYubo changed</v>
          </cell>
          <cell r="C400">
            <v>11134302</v>
          </cell>
          <cell r="D400" t="str">
            <v>1911313-E-A</v>
          </cell>
          <cell r="E400" t="str">
            <v>HJ80PB402P10000 JP</v>
          </cell>
          <cell r="F400" t="str">
            <v>JAPAN</v>
          </cell>
          <cell r="G400">
            <v>1</v>
          </cell>
          <cell r="H400">
            <v>0</v>
          </cell>
          <cell r="I400">
            <v>1</v>
          </cell>
          <cell r="J400" t="str">
            <v>NO</v>
          </cell>
          <cell r="K400">
            <v>46262</v>
          </cell>
          <cell r="L400">
            <v>46274</v>
          </cell>
        </row>
        <row r="401">
          <cell r="A401" t="str">
            <v>CA-H2608-PD-438</v>
          </cell>
          <cell r="B401" t="str">
            <v>HyperionYubo changed</v>
          </cell>
          <cell r="C401">
            <v>11134304</v>
          </cell>
          <cell r="D401" t="str">
            <v>1911343-E-A</v>
          </cell>
          <cell r="E401" t="str">
            <v>HJ80SP300P10000 JP</v>
          </cell>
          <cell r="F401" t="str">
            <v>JAPAN</v>
          </cell>
          <cell r="G401">
            <v>1</v>
          </cell>
          <cell r="H401">
            <v>0</v>
          </cell>
          <cell r="I401">
            <v>1</v>
          </cell>
          <cell r="J401" t="str">
            <v>NO</v>
          </cell>
          <cell r="K401">
            <v>46262</v>
          </cell>
          <cell r="L401">
            <v>46274</v>
          </cell>
        </row>
        <row r="402">
          <cell r="A402" t="str">
            <v>CA-H2608-PD-439</v>
          </cell>
          <cell r="B402" t="str">
            <v>HyperionYubo changed</v>
          </cell>
          <cell r="C402">
            <v>11134305</v>
          </cell>
          <cell r="D402" t="str">
            <v>1911344-E-A</v>
          </cell>
          <cell r="E402" t="str">
            <v>HJ80SP302P10000 JP</v>
          </cell>
          <cell r="F402" t="str">
            <v>JAPAN</v>
          </cell>
          <cell r="G402">
            <v>6</v>
          </cell>
          <cell r="H402">
            <v>0</v>
          </cell>
          <cell r="I402">
            <v>6</v>
          </cell>
          <cell r="J402" t="str">
            <v>NO</v>
          </cell>
          <cell r="K402">
            <v>46262</v>
          </cell>
          <cell r="L402">
            <v>46274</v>
          </cell>
        </row>
        <row r="403">
          <cell r="A403" t="str">
            <v>CA-H2608-PD-440</v>
          </cell>
          <cell r="B403" t="str">
            <v>HyperionYubo changed</v>
          </cell>
          <cell r="C403">
            <v>11134307</v>
          </cell>
          <cell r="D403" t="str">
            <v>1911346-E-A</v>
          </cell>
          <cell r="E403" t="str">
            <v>HJ80SP350P10000 JP</v>
          </cell>
          <cell r="F403" t="str">
            <v>JAPAN</v>
          </cell>
          <cell r="G403">
            <v>6</v>
          </cell>
          <cell r="H403">
            <v>0</v>
          </cell>
          <cell r="I403">
            <v>6</v>
          </cell>
          <cell r="J403" t="str">
            <v>NO</v>
          </cell>
          <cell r="K403">
            <v>46262</v>
          </cell>
          <cell r="L403">
            <v>46274</v>
          </cell>
        </row>
        <row r="404">
          <cell r="A404" t="str">
            <v>CA-H2608-PD-441</v>
          </cell>
          <cell r="B404" t="str">
            <v>HyperionYubo changed</v>
          </cell>
          <cell r="C404">
            <v>11134309</v>
          </cell>
          <cell r="D404" t="str">
            <v>1911348-E-A</v>
          </cell>
          <cell r="E404" t="str">
            <v>HJ80SP352P09000 JP</v>
          </cell>
          <cell r="F404" t="str">
            <v>JAPAN</v>
          </cell>
          <cell r="G404">
            <v>14</v>
          </cell>
          <cell r="H404">
            <v>0</v>
          </cell>
          <cell r="I404">
            <v>14</v>
          </cell>
          <cell r="J404" t="str">
            <v>NO</v>
          </cell>
          <cell r="K404">
            <v>46262</v>
          </cell>
          <cell r="L404">
            <v>46274</v>
          </cell>
        </row>
        <row r="405">
          <cell r="A405" t="str">
            <v>CA-H2608-PD-442</v>
          </cell>
          <cell r="B405" t="str">
            <v>HyperionYubo changed</v>
          </cell>
          <cell r="C405">
            <v>11134308</v>
          </cell>
          <cell r="D405" t="str">
            <v>1911347-F-A</v>
          </cell>
          <cell r="E405" t="str">
            <v>HJ80SP352P10000 JP</v>
          </cell>
          <cell r="F405" t="str">
            <v>JAPAN</v>
          </cell>
          <cell r="G405">
            <v>19</v>
          </cell>
          <cell r="H405">
            <v>0</v>
          </cell>
          <cell r="I405">
            <v>19</v>
          </cell>
          <cell r="J405" t="str">
            <v>NO</v>
          </cell>
          <cell r="K405">
            <v>46262</v>
          </cell>
          <cell r="L405">
            <v>46274</v>
          </cell>
        </row>
        <row r="406">
          <cell r="A406" t="str">
            <v>CA-H2608-PD-443</v>
          </cell>
          <cell r="B406" t="str">
            <v>HyperionYubo changed</v>
          </cell>
          <cell r="C406">
            <v>11134312</v>
          </cell>
          <cell r="D406" t="str">
            <v>1911351-E-A</v>
          </cell>
          <cell r="E406" t="str">
            <v>HJ80SP372P09000 JP</v>
          </cell>
          <cell r="F406" t="str">
            <v>JAPAN</v>
          </cell>
          <cell r="G406">
            <v>1</v>
          </cell>
          <cell r="H406">
            <v>1</v>
          </cell>
          <cell r="I406">
            <v>0</v>
          </cell>
          <cell r="J406" t="str">
            <v>FINISH</v>
          </cell>
          <cell r="K406">
            <v>46262</v>
          </cell>
          <cell r="L406">
            <v>46274</v>
          </cell>
        </row>
        <row r="407">
          <cell r="A407" t="str">
            <v>CA-H2608-PD-444</v>
          </cell>
          <cell r="B407" t="str">
            <v>HyperionYubo changed</v>
          </cell>
          <cell r="C407">
            <v>11134311</v>
          </cell>
          <cell r="D407" t="str">
            <v>1911350-E-A</v>
          </cell>
          <cell r="E407" t="str">
            <v>HJ80SP372P10000 JP</v>
          </cell>
          <cell r="F407" t="str">
            <v>JAPAN</v>
          </cell>
          <cell r="G407">
            <v>11</v>
          </cell>
          <cell r="H407">
            <v>0</v>
          </cell>
          <cell r="I407">
            <v>11</v>
          </cell>
          <cell r="J407" t="str">
            <v>NO</v>
          </cell>
          <cell r="K407">
            <v>46262</v>
          </cell>
          <cell r="L407">
            <v>46274</v>
          </cell>
        </row>
        <row r="408">
          <cell r="A408" t="str">
            <v>CA-H2608-PD-445</v>
          </cell>
          <cell r="B408" t="str">
            <v>HyperionYubo changed</v>
          </cell>
          <cell r="C408">
            <v>11134313</v>
          </cell>
          <cell r="D408" t="str">
            <v>1911352-E-A</v>
          </cell>
          <cell r="E408" t="str">
            <v>HJ80SP400P10000 JP</v>
          </cell>
          <cell r="F408" t="str">
            <v>JAPAN</v>
          </cell>
          <cell r="G408">
            <v>1</v>
          </cell>
          <cell r="H408">
            <v>0</v>
          </cell>
          <cell r="I408">
            <v>1</v>
          </cell>
          <cell r="J408" t="str">
            <v>NO</v>
          </cell>
          <cell r="K408">
            <v>46262</v>
          </cell>
          <cell r="L408">
            <v>46274</v>
          </cell>
        </row>
        <row r="409">
          <cell r="A409" t="str">
            <v>CA-H2608-PD-446</v>
          </cell>
          <cell r="B409" t="str">
            <v>HyperionYubo changed</v>
          </cell>
          <cell r="C409">
            <v>11134314</v>
          </cell>
          <cell r="D409" t="str">
            <v>1911353-E-A</v>
          </cell>
          <cell r="E409" t="str">
            <v>HJ80SP402P10000 JP</v>
          </cell>
          <cell r="F409" t="str">
            <v>JAPAN</v>
          </cell>
          <cell r="G409">
            <v>7</v>
          </cell>
          <cell r="H409">
            <v>0</v>
          </cell>
          <cell r="I409">
            <v>7</v>
          </cell>
          <cell r="J409" t="str">
            <v>NO</v>
          </cell>
          <cell r="K409">
            <v>46262</v>
          </cell>
          <cell r="L409">
            <v>46274</v>
          </cell>
        </row>
        <row r="410">
          <cell r="A410" t="str">
            <v>CA-H2608-PD-447</v>
          </cell>
          <cell r="B410" t="str">
            <v xml:space="preserve">Masters parkway </v>
          </cell>
          <cell r="C410">
            <v>11125140</v>
          </cell>
          <cell r="D410" t="str">
            <v>1941009-D-A</v>
          </cell>
          <cell r="E410" t="str">
            <v>MST105-18PWSFR JP</v>
          </cell>
          <cell r="F410" t="str">
            <v>JAPAN</v>
          </cell>
          <cell r="G410">
            <v>8</v>
          </cell>
          <cell r="H410">
            <v>0</v>
          </cell>
          <cell r="I410">
            <v>8</v>
          </cell>
          <cell r="J410" t="str">
            <v>NO</v>
          </cell>
          <cell r="K410">
            <v>46262</v>
          </cell>
          <cell r="L410">
            <v>46274</v>
          </cell>
        </row>
        <row r="411">
          <cell r="A411" t="str">
            <v>CA-H2608-PD-448</v>
          </cell>
          <cell r="B411" t="str">
            <v xml:space="preserve">Masters parkway </v>
          </cell>
          <cell r="C411">
            <v>11125154</v>
          </cell>
          <cell r="D411" t="str">
            <v>1941023-F-A</v>
          </cell>
          <cell r="E411" t="str">
            <v>MST125-27HFR JP</v>
          </cell>
          <cell r="F411" t="str">
            <v>JAPAN</v>
          </cell>
          <cell r="G411">
            <v>38</v>
          </cell>
          <cell r="H411">
            <v>0</v>
          </cell>
          <cell r="I411">
            <v>38</v>
          </cell>
          <cell r="J411" t="str">
            <v>NO</v>
          </cell>
          <cell r="K411">
            <v>46262</v>
          </cell>
          <cell r="L411">
            <v>46274</v>
          </cell>
        </row>
        <row r="412">
          <cell r="A412" t="str">
            <v>CA-H2608-PD-449</v>
          </cell>
          <cell r="B412" t="str">
            <v xml:space="preserve">Masters parkway </v>
          </cell>
          <cell r="C412">
            <v>11126311</v>
          </cell>
          <cell r="D412" t="str">
            <v>1941011-E-A</v>
          </cell>
          <cell r="E412" t="str">
            <v>MST150-18PWSFR JP</v>
          </cell>
          <cell r="F412" t="str">
            <v>JAPAN</v>
          </cell>
          <cell r="G412">
            <v>6</v>
          </cell>
          <cell r="H412">
            <v>0</v>
          </cell>
          <cell r="I412">
            <v>6</v>
          </cell>
          <cell r="J412" t="str">
            <v>NO</v>
          </cell>
          <cell r="K412">
            <v>46262</v>
          </cell>
          <cell r="L412">
            <v>46274</v>
          </cell>
        </row>
        <row r="413">
          <cell r="A413" t="str">
            <v>CA-H2608-PD-450</v>
          </cell>
          <cell r="B413" t="str">
            <v xml:space="preserve">Tellus </v>
          </cell>
          <cell r="C413">
            <v>11132005</v>
          </cell>
          <cell r="D413" t="str">
            <v>1941067-E-A</v>
          </cell>
          <cell r="E413" t="str">
            <v>TLS125-16AYR JP</v>
          </cell>
          <cell r="F413" t="str">
            <v>J-sales</v>
          </cell>
          <cell r="G413">
            <v>19</v>
          </cell>
          <cell r="H413">
            <v>0</v>
          </cell>
          <cell r="I413">
            <v>19</v>
          </cell>
          <cell r="J413" t="str">
            <v>NO</v>
          </cell>
          <cell r="K413">
            <v>46262</v>
          </cell>
          <cell r="L413">
            <v>46274</v>
          </cell>
        </row>
        <row r="414">
          <cell r="A414" t="str">
            <v>CA-H2608-PD-451</v>
          </cell>
          <cell r="B414" t="str">
            <v xml:space="preserve">Tellus </v>
          </cell>
          <cell r="C414">
            <v>11132002</v>
          </cell>
          <cell r="D414" t="str">
            <v>1941064-D-A</v>
          </cell>
          <cell r="E414" t="str">
            <v>TLS125-16YR JP</v>
          </cell>
          <cell r="F414" t="str">
            <v>J-sales</v>
          </cell>
          <cell r="G414">
            <v>1</v>
          </cell>
          <cell r="H414">
            <v>0</v>
          </cell>
          <cell r="I414">
            <v>1</v>
          </cell>
          <cell r="J414" t="str">
            <v>NO</v>
          </cell>
          <cell r="K414">
            <v>46262</v>
          </cell>
          <cell r="L414">
            <v>46274</v>
          </cell>
        </row>
        <row r="415">
          <cell r="A415" t="str">
            <v>CA-H2608-PD-452</v>
          </cell>
          <cell r="B415" t="str">
            <v xml:space="preserve">Tellus </v>
          </cell>
          <cell r="C415">
            <v>11134362</v>
          </cell>
          <cell r="D415" t="str">
            <v>1941058-F-A</v>
          </cell>
          <cell r="E415" t="str">
            <v>TLS150-16SR JP</v>
          </cell>
          <cell r="F415" t="str">
            <v>J-sales</v>
          </cell>
          <cell r="G415">
            <v>3</v>
          </cell>
          <cell r="H415">
            <v>0</v>
          </cell>
          <cell r="I415">
            <v>3</v>
          </cell>
          <cell r="J415" t="str">
            <v>NO</v>
          </cell>
          <cell r="K415">
            <v>46262</v>
          </cell>
          <cell r="L415">
            <v>46274</v>
          </cell>
        </row>
        <row r="416">
          <cell r="A416" t="str">
            <v>CA-H2608-PD-453</v>
          </cell>
          <cell r="B416" t="str">
            <v xml:space="preserve">Tellus </v>
          </cell>
          <cell r="C416">
            <v>11132003</v>
          </cell>
          <cell r="D416" t="str">
            <v>1941065-D-A</v>
          </cell>
          <cell r="E416" t="str">
            <v>TLS150-16YR JP</v>
          </cell>
          <cell r="F416" t="str">
            <v>J-sales</v>
          </cell>
          <cell r="G416">
            <v>7</v>
          </cell>
          <cell r="H416">
            <v>0</v>
          </cell>
          <cell r="I416">
            <v>7</v>
          </cell>
          <cell r="J416" t="str">
            <v>NO</v>
          </cell>
          <cell r="K416">
            <v>46262</v>
          </cell>
          <cell r="L416">
            <v>46274</v>
          </cell>
        </row>
        <row r="417">
          <cell r="A417" t="str">
            <v>CA-H2608-PD-454</v>
          </cell>
          <cell r="B417" t="str">
            <v xml:space="preserve">Veloute </v>
          </cell>
          <cell r="C417">
            <v>11134346</v>
          </cell>
          <cell r="D417" t="str">
            <v>1941032-G-A</v>
          </cell>
          <cell r="E417" t="str">
            <v>VEL105-16ASR JP</v>
          </cell>
          <cell r="F417" t="str">
            <v>JAPAN</v>
          </cell>
          <cell r="G417">
            <v>8</v>
          </cell>
          <cell r="H417">
            <v>0</v>
          </cell>
          <cell r="I417">
            <v>8</v>
          </cell>
          <cell r="J417" t="str">
            <v>NO</v>
          </cell>
          <cell r="K417">
            <v>46262</v>
          </cell>
          <cell r="L417">
            <v>46274</v>
          </cell>
        </row>
        <row r="418">
          <cell r="A418" t="str">
            <v>SP-H2609-PD-001</v>
          </cell>
          <cell r="B418" t="str">
            <v>CAG</v>
          </cell>
          <cell r="C418">
            <v>11116931</v>
          </cell>
          <cell r="D418" t="str">
            <v>1521545-M-A</v>
          </cell>
          <cell r="E418" t="str">
            <v>MS3552H21-ANG100M</v>
          </cell>
          <cell r="F418" t="str">
            <v>FILMECC</v>
          </cell>
          <cell r="G418">
            <v>100</v>
          </cell>
          <cell r="H418">
            <v>100</v>
          </cell>
          <cell r="I418">
            <v>0</v>
          </cell>
          <cell r="J418" t="str">
            <v>FINISH</v>
          </cell>
          <cell r="K418">
            <v>46268</v>
          </cell>
          <cell r="L418">
            <v>46276</v>
          </cell>
        </row>
        <row r="419">
          <cell r="A419" t="str">
            <v>SP-H2609-PD-002</v>
          </cell>
          <cell r="B419" t="str">
            <v>CAG</v>
          </cell>
          <cell r="C419">
            <v>11116929</v>
          </cell>
          <cell r="D419" t="str">
            <v>1521543-K-A</v>
          </cell>
          <cell r="E419" t="str">
            <v>MS3552H21-ANG70G</v>
          </cell>
          <cell r="F419" t="str">
            <v>FILMECC</v>
          </cell>
          <cell r="G419">
            <v>60</v>
          </cell>
          <cell r="H419">
            <v>60</v>
          </cell>
          <cell r="I419">
            <v>0</v>
          </cell>
          <cell r="J419" t="str">
            <v>FINISH</v>
          </cell>
          <cell r="K419">
            <v>46268</v>
          </cell>
          <cell r="L419">
            <v>46276</v>
          </cell>
        </row>
        <row r="420">
          <cell r="A420" t="str">
            <v>SP-H2609-PD-003</v>
          </cell>
          <cell r="B420" t="str">
            <v>CAG</v>
          </cell>
          <cell r="C420">
            <v>11116932</v>
          </cell>
          <cell r="D420" t="str">
            <v>1521546-M-A</v>
          </cell>
          <cell r="E420" t="str">
            <v>MS3552H21-PIG100N</v>
          </cell>
          <cell r="F420" t="str">
            <v>FILMECC</v>
          </cell>
          <cell r="G420">
            <v>250</v>
          </cell>
          <cell r="H420">
            <v>250</v>
          </cell>
          <cell r="I420">
            <v>0</v>
          </cell>
          <cell r="J420" t="str">
            <v>FINISH</v>
          </cell>
          <cell r="K420">
            <v>46268</v>
          </cell>
          <cell r="L420">
            <v>46276</v>
          </cell>
        </row>
        <row r="421">
          <cell r="A421" t="str">
            <v>SP-H2609-PD-004</v>
          </cell>
          <cell r="B421" t="str">
            <v>CAG</v>
          </cell>
          <cell r="C421">
            <v>11116930</v>
          </cell>
          <cell r="D421" t="str">
            <v>1521544-M-A</v>
          </cell>
          <cell r="E421" t="str">
            <v>MS3552H26-PIG110J</v>
          </cell>
          <cell r="F421" t="str">
            <v>FILMECC</v>
          </cell>
          <cell r="G421">
            <v>230</v>
          </cell>
          <cell r="H421">
            <v>230</v>
          </cell>
          <cell r="I421">
            <v>0</v>
          </cell>
          <cell r="J421" t="str">
            <v>FINISH</v>
          </cell>
          <cell r="K421">
            <v>46268</v>
          </cell>
          <cell r="L421">
            <v>46276</v>
          </cell>
        </row>
        <row r="422">
          <cell r="A422" t="str">
            <v>CA-H2607-PD-485</v>
          </cell>
          <cell r="B422" t="str">
            <v>Caravel</v>
          </cell>
          <cell r="C422">
            <v>11134223</v>
          </cell>
          <cell r="D422" t="str">
            <v>2341002-0-A</v>
          </cell>
          <cell r="E422" t="str">
            <v>CRV150-19S MDR</v>
          </cell>
          <cell r="F422" t="str">
            <v>Oversea</v>
          </cell>
          <cell r="G422">
            <v>15</v>
          </cell>
          <cell r="H422">
            <v>15</v>
          </cell>
          <cell r="I422">
            <v>0</v>
          </cell>
          <cell r="J422" t="str">
            <v>FINISH</v>
          </cell>
          <cell r="K422">
            <v>46270</v>
          </cell>
          <cell r="L422">
            <v>46280</v>
          </cell>
        </row>
        <row r="423">
          <cell r="A423" t="str">
            <v>CA-H2607-PD-486</v>
          </cell>
          <cell r="B423" t="str">
            <v>Caravel</v>
          </cell>
          <cell r="C423">
            <v>11134222</v>
          </cell>
          <cell r="D423" t="str">
            <v>2341001-0-A</v>
          </cell>
          <cell r="E423" t="str">
            <v>CRV135-19S MDR</v>
          </cell>
          <cell r="F423" t="str">
            <v>Oversea</v>
          </cell>
          <cell r="G423">
            <v>15</v>
          </cell>
          <cell r="H423">
            <v>15</v>
          </cell>
          <cell r="I423">
            <v>0</v>
          </cell>
          <cell r="J423" t="str">
            <v>FINISH</v>
          </cell>
          <cell r="K423">
            <v>46270</v>
          </cell>
          <cell r="L423">
            <v>46280</v>
          </cell>
        </row>
        <row r="424">
          <cell r="A424" t="str">
            <v>CA-H2607-PD-617</v>
          </cell>
          <cell r="B424" t="str">
            <v>Hyperion</v>
          </cell>
          <cell r="C424">
            <v>11134171</v>
          </cell>
          <cell r="D424" t="str">
            <v>1811990-G-A</v>
          </cell>
          <cell r="E424" t="str">
            <v>HW70AL072P10000 CN</v>
          </cell>
          <cell r="F424" t="str">
            <v>CHINA</v>
          </cell>
          <cell r="G424">
            <v>5</v>
          </cell>
          <cell r="H424">
            <v>0</v>
          </cell>
          <cell r="I424">
            <v>5</v>
          </cell>
          <cell r="J424" t="str">
            <v>NO</v>
          </cell>
          <cell r="K424">
            <v>46270</v>
          </cell>
          <cell r="L424">
            <v>46280</v>
          </cell>
        </row>
        <row r="425">
          <cell r="A425" t="str">
            <v>CA-H2608-PD-315</v>
          </cell>
          <cell r="B425" t="str">
            <v>Caravel</v>
          </cell>
          <cell r="C425">
            <v>11122087</v>
          </cell>
          <cell r="D425" t="str">
            <v>2341003-B-A</v>
          </cell>
          <cell r="E425" t="str">
            <v>CRV135-19P CE3</v>
          </cell>
          <cell r="F425" t="str">
            <v>Oversea</v>
          </cell>
          <cell r="G425">
            <v>32</v>
          </cell>
          <cell r="H425">
            <v>32</v>
          </cell>
          <cell r="I425">
            <v>0</v>
          </cell>
          <cell r="J425" t="str">
            <v>FINISH</v>
          </cell>
          <cell r="K425">
            <v>46270</v>
          </cell>
          <cell r="L425">
            <v>46280</v>
          </cell>
        </row>
        <row r="426">
          <cell r="A426" t="str">
            <v>CA-H2608-PD-047</v>
          </cell>
          <cell r="B426" t="str">
            <v>Caravel</v>
          </cell>
          <cell r="C426">
            <v>11122087</v>
          </cell>
          <cell r="D426" t="str">
            <v>2341003-B-A</v>
          </cell>
          <cell r="E426" t="str">
            <v>CRV135-19P CE3</v>
          </cell>
          <cell r="F426" t="str">
            <v>Oversea</v>
          </cell>
          <cell r="G426">
            <v>40</v>
          </cell>
          <cell r="H426">
            <v>40</v>
          </cell>
          <cell r="I426">
            <v>0</v>
          </cell>
          <cell r="J426" t="str">
            <v>FINISH</v>
          </cell>
          <cell r="K426">
            <v>46273</v>
          </cell>
          <cell r="L426">
            <v>46282</v>
          </cell>
        </row>
        <row r="427">
          <cell r="A427" t="str">
            <v>CA-H2608-PD-048</v>
          </cell>
          <cell r="B427" t="str">
            <v>Caravel</v>
          </cell>
          <cell r="C427">
            <v>11122088</v>
          </cell>
          <cell r="D427" t="str">
            <v>2341004-B-A</v>
          </cell>
          <cell r="E427" t="str">
            <v>CRV150-19P CE3</v>
          </cell>
          <cell r="F427" t="str">
            <v>Oversea</v>
          </cell>
          <cell r="G427">
            <v>15</v>
          </cell>
          <cell r="H427">
            <v>15</v>
          </cell>
          <cell r="I427">
            <v>0</v>
          </cell>
          <cell r="J427" t="str">
            <v>FINISH</v>
          </cell>
          <cell r="K427">
            <v>46273</v>
          </cell>
          <cell r="L427">
            <v>46282</v>
          </cell>
        </row>
        <row r="428">
          <cell r="A428" t="str">
            <v>CA-H2607-PD-476</v>
          </cell>
          <cell r="B428" t="str">
            <v xml:space="preserve">Hyperion </v>
          </cell>
          <cell r="C428">
            <v>11130547</v>
          </cell>
          <cell r="D428" t="str">
            <v>2211019-C-A</v>
          </cell>
          <cell r="E428" t="str">
            <v>HW60JL400P10000 NOCE</v>
          </cell>
          <cell r="F428" t="str">
            <v>Oversea</v>
          </cell>
          <cell r="G428">
            <v>5</v>
          </cell>
          <cell r="H428">
            <v>5</v>
          </cell>
          <cell r="I428">
            <v>0</v>
          </cell>
          <cell r="J428" t="str">
            <v>FINISH</v>
          </cell>
          <cell r="K428">
            <v>46281</v>
          </cell>
          <cell r="L428">
            <v>46289</v>
          </cell>
        </row>
        <row r="429">
          <cell r="A429" t="str">
            <v>CA-H2607-PD-477</v>
          </cell>
          <cell r="B429" t="str">
            <v xml:space="preserve">Hyperion </v>
          </cell>
          <cell r="C429">
            <v>11130529</v>
          </cell>
          <cell r="D429" t="str">
            <v>2211001-C-A</v>
          </cell>
          <cell r="E429" t="str">
            <v>HW60JR350P10000 NOCE</v>
          </cell>
          <cell r="F429" t="str">
            <v>Oversea</v>
          </cell>
          <cell r="G429">
            <v>6</v>
          </cell>
          <cell r="H429">
            <v>0</v>
          </cell>
          <cell r="I429">
            <v>6</v>
          </cell>
          <cell r="J429" t="str">
            <v>NO</v>
          </cell>
          <cell r="K429">
            <v>46281</v>
          </cell>
          <cell r="L429">
            <v>46289</v>
          </cell>
        </row>
        <row r="430">
          <cell r="A430" t="str">
            <v>CA-H2607-PD-478</v>
          </cell>
          <cell r="B430" t="str">
            <v xml:space="preserve">Hyperion </v>
          </cell>
          <cell r="C430">
            <v>11130583</v>
          </cell>
          <cell r="D430" t="str">
            <v>2211055-C-A</v>
          </cell>
          <cell r="E430" t="str">
            <v>HW60MP010P10000 NOCE</v>
          </cell>
          <cell r="F430" t="str">
            <v>Oversea</v>
          </cell>
          <cell r="G430">
            <v>2</v>
          </cell>
          <cell r="H430">
            <v>0</v>
          </cell>
          <cell r="I430">
            <v>2</v>
          </cell>
          <cell r="J430" t="str">
            <v>NO</v>
          </cell>
          <cell r="K430">
            <v>46281</v>
          </cell>
          <cell r="L430">
            <v>46289</v>
          </cell>
        </row>
        <row r="431">
          <cell r="A431" t="str">
            <v>CA-H2608-PD-307</v>
          </cell>
          <cell r="B431" t="str">
            <v>Caravel</v>
          </cell>
          <cell r="C431">
            <v>11122087</v>
          </cell>
          <cell r="D431" t="str">
            <v>2341003-B-A</v>
          </cell>
          <cell r="E431" t="str">
            <v>CRV135-19P CE3</v>
          </cell>
          <cell r="F431" t="str">
            <v>Oversea</v>
          </cell>
          <cell r="G431">
            <v>175</v>
          </cell>
          <cell r="H431">
            <v>175</v>
          </cell>
          <cell r="I431">
            <v>0</v>
          </cell>
          <cell r="J431" t="str">
            <v>FINISH</v>
          </cell>
          <cell r="K431">
            <v>46292</v>
          </cell>
          <cell r="L431">
            <v>46301</v>
          </cell>
        </row>
        <row r="432">
          <cell r="A432" t="str">
            <v>CA-H2608-PD-308</v>
          </cell>
          <cell r="B432" t="str">
            <v>Caravel</v>
          </cell>
          <cell r="C432">
            <v>11122088</v>
          </cell>
          <cell r="D432" t="str">
            <v>2341004-B-A</v>
          </cell>
          <cell r="E432" t="str">
            <v>CRV150-19P CE3</v>
          </cell>
          <cell r="F432" t="str">
            <v>Oversea</v>
          </cell>
          <cell r="G432">
            <v>105</v>
          </cell>
          <cell r="H432">
            <v>105</v>
          </cell>
          <cell r="I432">
            <v>0</v>
          </cell>
          <cell r="J432" t="str">
            <v>FINISH</v>
          </cell>
          <cell r="K432">
            <v>46292</v>
          </cell>
          <cell r="L432">
            <v>46301</v>
          </cell>
        </row>
        <row r="433">
          <cell r="A433" t="str">
            <v>CA-H2608-PD-001</v>
          </cell>
          <cell r="B433" t="str">
            <v xml:space="preserve">Hyperion </v>
          </cell>
          <cell r="C433">
            <v>11130530</v>
          </cell>
          <cell r="D433" t="str">
            <v>2211002-C-A</v>
          </cell>
          <cell r="E433" t="str">
            <v>HW60JR400P10000 NOCE</v>
          </cell>
          <cell r="F433" t="str">
            <v>Australia</v>
          </cell>
          <cell r="G433">
            <v>70</v>
          </cell>
          <cell r="H433">
            <v>0</v>
          </cell>
          <cell r="I433">
            <v>70</v>
          </cell>
          <cell r="J433" t="str">
            <v>NO</v>
          </cell>
          <cell r="K433">
            <v>46294</v>
          </cell>
          <cell r="L433">
            <v>46303</v>
          </cell>
        </row>
        <row r="434">
          <cell r="A434" t="str">
            <v>CA-H2608-PD-002</v>
          </cell>
          <cell r="B434" t="str">
            <v>HyperionYubo changed</v>
          </cell>
          <cell r="C434">
            <v>11132714</v>
          </cell>
          <cell r="D434" t="str">
            <v>2211029-D-A</v>
          </cell>
          <cell r="E434" t="str">
            <v>HW60PB300P10000 NOCE</v>
          </cell>
          <cell r="F434" t="str">
            <v>Australia</v>
          </cell>
          <cell r="G434">
            <v>90</v>
          </cell>
          <cell r="H434">
            <v>0</v>
          </cell>
          <cell r="I434">
            <v>90</v>
          </cell>
          <cell r="J434" t="str">
            <v>NO</v>
          </cell>
          <cell r="K434">
            <v>46294</v>
          </cell>
          <cell r="L434">
            <v>46303</v>
          </cell>
        </row>
        <row r="435">
          <cell r="A435" t="str">
            <v>CA-H2608-PD-003</v>
          </cell>
          <cell r="B435" t="str">
            <v>HyperionYubo changed</v>
          </cell>
          <cell r="C435">
            <v>11132715</v>
          </cell>
          <cell r="D435" t="str">
            <v>2211030-D-A</v>
          </cell>
          <cell r="E435" t="str">
            <v>HW60PB350P10000 NOCE</v>
          </cell>
          <cell r="F435" t="str">
            <v>Australia</v>
          </cell>
          <cell r="G435">
            <v>32</v>
          </cell>
          <cell r="H435">
            <v>0</v>
          </cell>
          <cell r="I435">
            <v>32</v>
          </cell>
          <cell r="J435" t="str">
            <v>NO</v>
          </cell>
          <cell r="K435">
            <v>46294</v>
          </cell>
          <cell r="L435">
            <v>46303</v>
          </cell>
        </row>
        <row r="436">
          <cell r="A436" t="str">
            <v>CA-H2608-PD-004</v>
          </cell>
          <cell r="B436" t="str">
            <v>HyperionYubo changed</v>
          </cell>
          <cell r="C436">
            <v>11132716</v>
          </cell>
          <cell r="D436" t="str">
            <v>2211031-D-A</v>
          </cell>
          <cell r="E436" t="str">
            <v>HW60PB400P10000 NOCE</v>
          </cell>
          <cell r="F436" t="str">
            <v>Australia</v>
          </cell>
          <cell r="G436">
            <v>20</v>
          </cell>
          <cell r="H436">
            <v>0</v>
          </cell>
          <cell r="I436">
            <v>20</v>
          </cell>
          <cell r="J436" t="str">
            <v>NO</v>
          </cell>
          <cell r="K436">
            <v>46294</v>
          </cell>
          <cell r="L436">
            <v>46303</v>
          </cell>
        </row>
        <row r="437">
          <cell r="A437" t="str">
            <v>CA-H2608-PD-005</v>
          </cell>
          <cell r="B437" t="str">
            <v>HyperionYubo changed</v>
          </cell>
          <cell r="C437">
            <v>11131289</v>
          </cell>
          <cell r="D437" t="str">
            <v>2211092-E-A</v>
          </cell>
          <cell r="E437" t="str">
            <v>HW60SP350P10000 NOCE</v>
          </cell>
          <cell r="F437" t="str">
            <v>Australia</v>
          </cell>
          <cell r="G437">
            <v>5</v>
          </cell>
          <cell r="H437">
            <v>0</v>
          </cell>
          <cell r="I437">
            <v>5</v>
          </cell>
          <cell r="J437" t="str">
            <v>NO</v>
          </cell>
          <cell r="K437">
            <v>46294</v>
          </cell>
          <cell r="L437">
            <v>46303</v>
          </cell>
        </row>
        <row r="438">
          <cell r="A438" t="str">
            <v>CA-H2608-PD-006</v>
          </cell>
          <cell r="B438" t="str">
            <v>HyperionYubo changed</v>
          </cell>
          <cell r="C438">
            <v>11132727</v>
          </cell>
          <cell r="D438" t="str">
            <v>2211158-D-A</v>
          </cell>
          <cell r="E438" t="str">
            <v>HW70PB350P10000 NOCE</v>
          </cell>
          <cell r="F438" t="str">
            <v>Australia</v>
          </cell>
          <cell r="G438">
            <v>13</v>
          </cell>
          <cell r="H438">
            <v>0</v>
          </cell>
          <cell r="I438">
            <v>13</v>
          </cell>
          <cell r="J438" t="str">
            <v>NO</v>
          </cell>
          <cell r="K438">
            <v>46294</v>
          </cell>
          <cell r="L438">
            <v>46303</v>
          </cell>
        </row>
        <row r="439">
          <cell r="A439" t="str">
            <v>CA-H2608-PD-007</v>
          </cell>
          <cell r="B439" t="str">
            <v>HyperionYubo changed</v>
          </cell>
          <cell r="C439">
            <v>11132728</v>
          </cell>
          <cell r="D439" t="str">
            <v>2211159-D-A</v>
          </cell>
          <cell r="E439" t="str">
            <v>HW70PB400P10000 NOCE</v>
          </cell>
          <cell r="F439" t="str">
            <v>Australia</v>
          </cell>
          <cell r="G439">
            <v>4</v>
          </cell>
          <cell r="H439">
            <v>0</v>
          </cell>
          <cell r="I439">
            <v>4</v>
          </cell>
          <cell r="J439" t="str">
            <v>NO</v>
          </cell>
          <cell r="K439">
            <v>46294</v>
          </cell>
          <cell r="L439">
            <v>46303</v>
          </cell>
        </row>
        <row r="440">
          <cell r="A440" t="str">
            <v>CA-H2608-PD-022</v>
          </cell>
          <cell r="B440" t="str">
            <v>Caravel</v>
          </cell>
          <cell r="C440">
            <v>11134246</v>
          </cell>
          <cell r="D440" t="str">
            <v>2141049-D-A</v>
          </cell>
          <cell r="E440" t="str">
            <v>CRV135-19P CN</v>
          </cell>
          <cell r="F440" t="str">
            <v>CHINA</v>
          </cell>
          <cell r="G440">
            <v>1689</v>
          </cell>
          <cell r="H440">
            <v>1689</v>
          </cell>
          <cell r="I440">
            <v>0</v>
          </cell>
          <cell r="J440" t="str">
            <v>FINISH</v>
          </cell>
          <cell r="K440">
            <v>46295</v>
          </cell>
          <cell r="L440">
            <v>46303</v>
          </cell>
        </row>
        <row r="441">
          <cell r="A441" t="str">
            <v>CA-H2608-PD-023</v>
          </cell>
          <cell r="B441" t="str">
            <v>Caravel</v>
          </cell>
          <cell r="C441">
            <v>11134247</v>
          </cell>
          <cell r="D441" t="str">
            <v>2141050-D-A</v>
          </cell>
          <cell r="E441" t="str">
            <v>CRV150-19P CN</v>
          </cell>
          <cell r="F441" t="str">
            <v>CHINA</v>
          </cell>
          <cell r="G441">
            <v>287</v>
          </cell>
          <cell r="H441">
            <v>287</v>
          </cell>
          <cell r="I441">
            <v>0</v>
          </cell>
          <cell r="J441" t="str">
            <v>FINISH</v>
          </cell>
          <cell r="K441">
            <v>46295</v>
          </cell>
          <cell r="L441">
            <v>46303</v>
          </cell>
        </row>
        <row r="442">
          <cell r="A442" t="str">
            <v>CA-H2608-PD-024</v>
          </cell>
          <cell r="B442" t="str">
            <v>Corsair-pro</v>
          </cell>
          <cell r="C442">
            <v>11134248</v>
          </cell>
          <cell r="D442" t="str">
            <v>2041189-D-A</v>
          </cell>
          <cell r="E442" t="str">
            <v>CSR135-26P CN</v>
          </cell>
          <cell r="F442" t="str">
            <v>CHINA</v>
          </cell>
          <cell r="G442">
            <v>2652</v>
          </cell>
          <cell r="H442">
            <v>2652</v>
          </cell>
          <cell r="I442">
            <v>0</v>
          </cell>
          <cell r="J442" t="str">
            <v>FINISH</v>
          </cell>
          <cell r="K442">
            <v>46295</v>
          </cell>
          <cell r="L442">
            <v>46303</v>
          </cell>
        </row>
        <row r="443">
          <cell r="A443" t="str">
            <v>CA-H2608-PD-025</v>
          </cell>
          <cell r="B443" t="str">
            <v>Corsair-pro</v>
          </cell>
          <cell r="C443">
            <v>11134249</v>
          </cell>
          <cell r="D443" t="str">
            <v>2041190-D-A</v>
          </cell>
          <cell r="E443" t="str">
            <v>CSR150-26P CN</v>
          </cell>
          <cell r="F443" t="str">
            <v>CHINA</v>
          </cell>
          <cell r="G443">
            <v>231</v>
          </cell>
          <cell r="H443">
            <v>231</v>
          </cell>
          <cell r="I443">
            <v>0</v>
          </cell>
          <cell r="J443" t="str">
            <v>FINISH</v>
          </cell>
          <cell r="K443">
            <v>46295</v>
          </cell>
          <cell r="L443">
            <v>46303</v>
          </cell>
        </row>
        <row r="444">
          <cell r="A444" t="str">
            <v>CA-H2608-PD-026</v>
          </cell>
          <cell r="B444" t="str">
            <v>Hyperion</v>
          </cell>
          <cell r="C444">
            <v>11134129</v>
          </cell>
          <cell r="D444" t="str">
            <v>1811861-J-A</v>
          </cell>
          <cell r="E444" t="str">
            <v>HW60AL070P10000 CN</v>
          </cell>
          <cell r="F444" t="str">
            <v>CHINA</v>
          </cell>
          <cell r="G444">
            <v>140</v>
          </cell>
          <cell r="H444">
            <v>0</v>
          </cell>
          <cell r="I444">
            <v>140</v>
          </cell>
          <cell r="J444" t="str">
            <v>NO</v>
          </cell>
          <cell r="K444">
            <v>46295</v>
          </cell>
          <cell r="L444">
            <v>46303</v>
          </cell>
        </row>
        <row r="445">
          <cell r="A445" t="str">
            <v>CA-H2608-PD-027</v>
          </cell>
          <cell r="B445" t="str">
            <v>Hyperion</v>
          </cell>
          <cell r="C445">
            <v>11134137</v>
          </cell>
          <cell r="D445" t="str">
            <v>1811875-J-A</v>
          </cell>
          <cell r="E445" t="str">
            <v>HW60AL070P10002 CN</v>
          </cell>
          <cell r="F445" t="str">
            <v>CHINA</v>
          </cell>
          <cell r="G445">
            <v>555</v>
          </cell>
          <cell r="H445">
            <v>555</v>
          </cell>
          <cell r="I445">
            <v>0</v>
          </cell>
          <cell r="J445" t="str">
            <v>FINISH</v>
          </cell>
          <cell r="K445">
            <v>46295</v>
          </cell>
          <cell r="L445">
            <v>46303</v>
          </cell>
        </row>
        <row r="446">
          <cell r="A446" t="str">
            <v>CA-H2608-PD-028</v>
          </cell>
          <cell r="B446" t="str">
            <v>Hyperion</v>
          </cell>
          <cell r="C446">
            <v>11134138</v>
          </cell>
          <cell r="D446" t="str">
            <v>1811876-G-A</v>
          </cell>
          <cell r="E446" t="str">
            <v>HW60AL072P10002 CN</v>
          </cell>
          <cell r="F446" t="str">
            <v>CHINA</v>
          </cell>
          <cell r="G446">
            <v>70</v>
          </cell>
          <cell r="H446">
            <v>0</v>
          </cell>
          <cell r="I446">
            <v>70</v>
          </cell>
          <cell r="J446" t="str">
            <v>NO</v>
          </cell>
          <cell r="K446">
            <v>46295</v>
          </cell>
          <cell r="L446">
            <v>46303</v>
          </cell>
        </row>
        <row r="447">
          <cell r="A447" t="str">
            <v>CA-H2608-PD-029</v>
          </cell>
          <cell r="B447" t="str">
            <v>Hyperion</v>
          </cell>
          <cell r="C447">
            <v>11134131</v>
          </cell>
          <cell r="D447" t="str">
            <v>1811863-J-A</v>
          </cell>
          <cell r="E447" t="str">
            <v>HW60AL100P10000 CN</v>
          </cell>
          <cell r="F447" t="str">
            <v>CHINA</v>
          </cell>
          <cell r="G447">
            <v>95</v>
          </cell>
          <cell r="H447">
            <v>0</v>
          </cell>
          <cell r="I447">
            <v>95</v>
          </cell>
          <cell r="J447" t="str">
            <v>NO</v>
          </cell>
          <cell r="K447">
            <v>46295</v>
          </cell>
          <cell r="L447">
            <v>46303</v>
          </cell>
        </row>
        <row r="448">
          <cell r="A448" t="str">
            <v>CA-H2608-PD-030</v>
          </cell>
          <cell r="B448" t="str">
            <v>Hyperion</v>
          </cell>
          <cell r="C448">
            <v>11134139</v>
          </cell>
          <cell r="D448" t="str">
            <v>1811877-J-A</v>
          </cell>
          <cell r="E448" t="str">
            <v>HW60AL100P10002 CN</v>
          </cell>
          <cell r="F448" t="str">
            <v>CHINA</v>
          </cell>
          <cell r="G448">
            <v>40</v>
          </cell>
          <cell r="H448">
            <v>40</v>
          </cell>
          <cell r="I448">
            <v>0</v>
          </cell>
          <cell r="J448" t="str">
            <v>FINISH</v>
          </cell>
          <cell r="K448">
            <v>46295</v>
          </cell>
          <cell r="L448">
            <v>46303</v>
          </cell>
        </row>
        <row r="449">
          <cell r="A449" t="str">
            <v>CA-H2608-PD-031</v>
          </cell>
          <cell r="B449" t="str">
            <v>Hyperion</v>
          </cell>
          <cell r="C449">
            <v>11134140</v>
          </cell>
          <cell r="D449" t="str">
            <v>1811878-G-A</v>
          </cell>
          <cell r="E449" t="str">
            <v>HW60AL102P10002 CN</v>
          </cell>
          <cell r="F449" t="str">
            <v>CHINA</v>
          </cell>
          <cell r="G449">
            <v>1</v>
          </cell>
          <cell r="H449">
            <v>0</v>
          </cell>
          <cell r="I449">
            <v>1</v>
          </cell>
          <cell r="J449" t="str">
            <v>NO</v>
          </cell>
          <cell r="K449">
            <v>46295</v>
          </cell>
          <cell r="L449">
            <v>46303</v>
          </cell>
        </row>
        <row r="450">
          <cell r="A450" t="str">
            <v>CA-H2608-PD-032</v>
          </cell>
          <cell r="B450" t="str">
            <v>Hyperion</v>
          </cell>
          <cell r="C450">
            <v>11134117</v>
          </cell>
          <cell r="D450" t="str">
            <v>1811827-J-A</v>
          </cell>
          <cell r="E450" t="str">
            <v>HW60JL350P10000 CN</v>
          </cell>
          <cell r="F450" t="str">
            <v>CHINA</v>
          </cell>
          <cell r="G450">
            <v>400</v>
          </cell>
          <cell r="H450">
            <v>400</v>
          </cell>
          <cell r="I450">
            <v>0</v>
          </cell>
          <cell r="J450" t="str">
            <v>FINISH</v>
          </cell>
          <cell r="K450">
            <v>46295</v>
          </cell>
          <cell r="L450">
            <v>46303</v>
          </cell>
        </row>
        <row r="451">
          <cell r="A451" t="str">
            <v>CA-H2608-PD-033</v>
          </cell>
          <cell r="B451" t="str">
            <v>Hyperion</v>
          </cell>
          <cell r="C451">
            <v>11134120</v>
          </cell>
          <cell r="D451" t="str">
            <v>1811831-J-A</v>
          </cell>
          <cell r="E451" t="str">
            <v>HW60JL400P10000 CN</v>
          </cell>
          <cell r="F451" t="str">
            <v>CHINA</v>
          </cell>
          <cell r="G451">
            <v>55</v>
          </cell>
          <cell r="H451">
            <v>55</v>
          </cell>
          <cell r="I451">
            <v>0</v>
          </cell>
          <cell r="J451" t="str">
            <v>FINISH</v>
          </cell>
          <cell r="K451">
            <v>46295</v>
          </cell>
          <cell r="L451">
            <v>46303</v>
          </cell>
        </row>
        <row r="452">
          <cell r="A452" t="str">
            <v>CA-H2608-PD-034</v>
          </cell>
          <cell r="B452" t="str">
            <v>Hyperion</v>
          </cell>
          <cell r="C452">
            <v>11134123</v>
          </cell>
          <cell r="D452" t="str">
            <v>1811849-J-A</v>
          </cell>
          <cell r="E452" t="str">
            <v>HW60JR350P10000 CN</v>
          </cell>
          <cell r="F452" t="str">
            <v>CHINA</v>
          </cell>
          <cell r="G452">
            <v>480</v>
          </cell>
          <cell r="H452">
            <v>480</v>
          </cell>
          <cell r="I452">
            <v>0</v>
          </cell>
          <cell r="J452" t="str">
            <v>FINISH</v>
          </cell>
          <cell r="K452">
            <v>46295</v>
          </cell>
          <cell r="L452">
            <v>46303</v>
          </cell>
        </row>
        <row r="453">
          <cell r="A453" t="str">
            <v>CA-H2608-PD-035</v>
          </cell>
          <cell r="B453" t="str">
            <v>Hyperion</v>
          </cell>
          <cell r="C453">
            <v>11134125</v>
          </cell>
          <cell r="D453" t="str">
            <v>1811851-J-A</v>
          </cell>
          <cell r="E453" t="str">
            <v>HW60JR400P10000 CN</v>
          </cell>
          <cell r="F453" t="str">
            <v>CHINA</v>
          </cell>
          <cell r="G453">
            <v>800</v>
          </cell>
          <cell r="H453">
            <v>800</v>
          </cell>
          <cell r="I453">
            <v>0</v>
          </cell>
          <cell r="J453" t="str">
            <v>FINISH</v>
          </cell>
          <cell r="K453">
            <v>46295</v>
          </cell>
          <cell r="L453">
            <v>46303</v>
          </cell>
        </row>
        <row r="454">
          <cell r="A454" t="str">
            <v>CA-H2608-PD-036</v>
          </cell>
          <cell r="B454" t="str">
            <v>HyperionYubo changed</v>
          </cell>
          <cell r="C454">
            <v>11134146</v>
          </cell>
          <cell r="D454" t="str">
            <v>1811907-L-A</v>
          </cell>
          <cell r="E454" t="str">
            <v>HW60SP300P10000 CN</v>
          </cell>
          <cell r="F454" t="str">
            <v>CHINA</v>
          </cell>
          <cell r="G454">
            <v>1015</v>
          </cell>
          <cell r="H454">
            <v>934</v>
          </cell>
          <cell r="I454">
            <v>81</v>
          </cell>
          <cell r="J454" t="str">
            <v>NO</v>
          </cell>
          <cell r="K454">
            <v>46295</v>
          </cell>
          <cell r="L454">
            <v>46303</v>
          </cell>
        </row>
        <row r="455">
          <cell r="A455" t="str">
            <v>CA-H2608-PD-037</v>
          </cell>
          <cell r="B455" t="str">
            <v>HyperionYubo changed</v>
          </cell>
          <cell r="C455">
            <v>11134148</v>
          </cell>
          <cell r="D455" t="str">
            <v>1811909-L-A</v>
          </cell>
          <cell r="E455" t="str">
            <v>HW60SP350P10000 CN</v>
          </cell>
          <cell r="F455" t="str">
            <v>CHINA</v>
          </cell>
          <cell r="G455">
            <v>266</v>
          </cell>
          <cell r="H455">
            <v>266</v>
          </cell>
          <cell r="I455">
            <v>0</v>
          </cell>
          <cell r="J455" t="str">
            <v>FINISH</v>
          </cell>
          <cell r="K455">
            <v>46295</v>
          </cell>
          <cell r="L455">
            <v>46303</v>
          </cell>
        </row>
        <row r="456">
          <cell r="A456" t="str">
            <v>CA-H2608-PD-038</v>
          </cell>
          <cell r="B456" t="str">
            <v>HyperionYubo changed</v>
          </cell>
          <cell r="C456">
            <v>11134149</v>
          </cell>
          <cell r="D456" t="str">
            <v>1811910-L-A</v>
          </cell>
          <cell r="E456" t="str">
            <v>HW60SP352P10000 CN</v>
          </cell>
          <cell r="F456" t="str">
            <v>CHINA</v>
          </cell>
          <cell r="G456">
            <v>2</v>
          </cell>
          <cell r="H456">
            <v>0</v>
          </cell>
          <cell r="I456">
            <v>2</v>
          </cell>
          <cell r="J456" t="str">
            <v>NO</v>
          </cell>
          <cell r="K456">
            <v>46295</v>
          </cell>
          <cell r="L456">
            <v>46303</v>
          </cell>
        </row>
        <row r="457">
          <cell r="A457" t="str">
            <v>CA-H2608-PD-039</v>
          </cell>
          <cell r="B457" t="str">
            <v>HyperionYubo changed</v>
          </cell>
          <cell r="C457">
            <v>11134151</v>
          </cell>
          <cell r="D457" t="str">
            <v>1811912-H-A</v>
          </cell>
          <cell r="E457" t="str">
            <v>HW60SP372P10000 CN</v>
          </cell>
          <cell r="F457" t="str">
            <v>CHINA</v>
          </cell>
          <cell r="G457">
            <v>5</v>
          </cell>
          <cell r="H457">
            <v>0</v>
          </cell>
          <cell r="I457">
            <v>5</v>
          </cell>
          <cell r="J457" t="str">
            <v>NO</v>
          </cell>
          <cell r="K457">
            <v>46295</v>
          </cell>
          <cell r="L457">
            <v>46303</v>
          </cell>
        </row>
        <row r="458">
          <cell r="A458" t="str">
            <v>CA-H2608-PD-040</v>
          </cell>
          <cell r="B458" t="str">
            <v>Hyperion</v>
          </cell>
          <cell r="C458">
            <v>11134178</v>
          </cell>
          <cell r="D458" t="str">
            <v>1861004-G-A</v>
          </cell>
          <cell r="E458" t="str">
            <v>HW70AL070P10002 CN</v>
          </cell>
          <cell r="F458" t="str">
            <v>CHINA</v>
          </cell>
          <cell r="G458">
            <v>30</v>
          </cell>
          <cell r="H458">
            <v>0</v>
          </cell>
          <cell r="I458">
            <v>30</v>
          </cell>
          <cell r="J458" t="str">
            <v>NO</v>
          </cell>
          <cell r="K458">
            <v>46295</v>
          </cell>
          <cell r="L458">
            <v>46303</v>
          </cell>
        </row>
        <row r="459">
          <cell r="A459" t="str">
            <v>CA-H2608-PD-041</v>
          </cell>
          <cell r="B459" t="str">
            <v>Hyperion</v>
          </cell>
          <cell r="C459">
            <v>11134180</v>
          </cell>
          <cell r="D459" t="str">
            <v>1861006-G-A</v>
          </cell>
          <cell r="E459" t="str">
            <v>HW70AL100P10002 CN</v>
          </cell>
          <cell r="F459" t="str">
            <v>CHINA</v>
          </cell>
          <cell r="G459">
            <v>40</v>
          </cell>
          <cell r="H459">
            <v>40</v>
          </cell>
          <cell r="I459">
            <v>0</v>
          </cell>
          <cell r="J459" t="str">
            <v>FINISH</v>
          </cell>
          <cell r="K459">
            <v>46295</v>
          </cell>
          <cell r="L459">
            <v>46303</v>
          </cell>
        </row>
        <row r="460">
          <cell r="A460" t="str">
            <v>CA-H2608-PD-042</v>
          </cell>
          <cell r="B460" t="str">
            <v>Hyperion</v>
          </cell>
          <cell r="C460">
            <v>11134160</v>
          </cell>
          <cell r="D460" t="str">
            <v>1811955-G-A</v>
          </cell>
          <cell r="E460" t="str">
            <v>HW70JL350P10000 CN</v>
          </cell>
          <cell r="F460" t="str">
            <v>CHINA</v>
          </cell>
          <cell r="G460">
            <v>15</v>
          </cell>
          <cell r="H460">
            <v>0</v>
          </cell>
          <cell r="I460">
            <v>15</v>
          </cell>
          <cell r="J460" t="str">
            <v>NO</v>
          </cell>
          <cell r="K460">
            <v>46295</v>
          </cell>
          <cell r="L460">
            <v>46303</v>
          </cell>
        </row>
        <row r="461">
          <cell r="A461" t="str">
            <v>CA-H2608-PD-043</v>
          </cell>
          <cell r="B461" t="str">
            <v>Hyperion</v>
          </cell>
          <cell r="C461">
            <v>11134166</v>
          </cell>
          <cell r="D461" t="str">
            <v>1811977-G-A</v>
          </cell>
          <cell r="E461" t="str">
            <v>HW70JR350P10000 CN</v>
          </cell>
          <cell r="F461" t="str">
            <v>CHINA</v>
          </cell>
          <cell r="G461">
            <v>15</v>
          </cell>
          <cell r="H461">
            <v>0</v>
          </cell>
          <cell r="I461">
            <v>15</v>
          </cell>
          <cell r="J461" t="str">
            <v>NO</v>
          </cell>
          <cell r="K461">
            <v>46295</v>
          </cell>
          <cell r="L461">
            <v>46303</v>
          </cell>
        </row>
        <row r="462">
          <cell r="A462" t="str">
            <v>CA-H2608-PD-044</v>
          </cell>
          <cell r="B462" t="str">
            <v>Hyperion</v>
          </cell>
          <cell r="C462">
            <v>11134168</v>
          </cell>
          <cell r="D462" t="str">
            <v>1811979-G-A</v>
          </cell>
          <cell r="E462" t="str">
            <v>HW70JR400P10000 CN</v>
          </cell>
          <cell r="F462" t="str">
            <v>CHINA</v>
          </cell>
          <cell r="G462">
            <v>40</v>
          </cell>
          <cell r="H462">
            <v>0</v>
          </cell>
          <cell r="I462">
            <v>40</v>
          </cell>
          <cell r="J462" t="str">
            <v>NO</v>
          </cell>
          <cell r="K462">
            <v>46295</v>
          </cell>
          <cell r="L462">
            <v>46303</v>
          </cell>
        </row>
        <row r="463">
          <cell r="A463" t="str">
            <v>CA-H2608-PD-045</v>
          </cell>
          <cell r="B463" t="str">
            <v>HyperionYubo changed</v>
          </cell>
          <cell r="C463">
            <v>11134186</v>
          </cell>
          <cell r="D463" t="str">
            <v>1861036-H-A</v>
          </cell>
          <cell r="E463" t="str">
            <v>HW70SP300P10000 CN</v>
          </cell>
          <cell r="F463" t="str">
            <v>CHINA</v>
          </cell>
          <cell r="G463">
            <v>70</v>
          </cell>
          <cell r="H463">
            <v>0</v>
          </cell>
          <cell r="I463">
            <v>70</v>
          </cell>
          <cell r="J463" t="str">
            <v>NO</v>
          </cell>
          <cell r="K463">
            <v>46295</v>
          </cell>
          <cell r="L463">
            <v>46303</v>
          </cell>
        </row>
        <row r="464">
          <cell r="A464" t="str">
            <v>CA-H2608-PD-046</v>
          </cell>
          <cell r="B464" t="str">
            <v xml:space="preserve">Masters parkway </v>
          </cell>
          <cell r="C464">
            <v>11134562</v>
          </cell>
          <cell r="D464" t="str">
            <v>2041303-C-A</v>
          </cell>
          <cell r="E464" t="str">
            <v>MST125-27HFR CN</v>
          </cell>
          <cell r="F464" t="str">
            <v>CHINA</v>
          </cell>
          <cell r="G464">
            <v>3000</v>
          </cell>
          <cell r="H464">
            <v>3000</v>
          </cell>
          <cell r="I464">
            <v>0</v>
          </cell>
          <cell r="J464" t="str">
            <v>FINISH</v>
          </cell>
          <cell r="K464">
            <v>46295</v>
          </cell>
          <cell r="L464">
            <v>46303</v>
          </cell>
        </row>
        <row r="465">
          <cell r="A465" t="str">
            <v>CA-H2608-PD-309</v>
          </cell>
          <cell r="B465" t="str">
            <v>Corsair-pro</v>
          </cell>
          <cell r="C465">
            <v>11134248</v>
          </cell>
          <cell r="D465" t="str">
            <v>2041189-D-A</v>
          </cell>
          <cell r="E465" t="str">
            <v>CSR135-26P CN</v>
          </cell>
          <cell r="F465" t="str">
            <v>CHINA</v>
          </cell>
          <cell r="G465">
            <v>270</v>
          </cell>
          <cell r="H465">
            <v>270</v>
          </cell>
          <cell r="I465">
            <v>0</v>
          </cell>
          <cell r="J465" t="str">
            <v>FINISH</v>
          </cell>
          <cell r="K465">
            <v>46295</v>
          </cell>
          <cell r="L465">
            <v>46303</v>
          </cell>
        </row>
        <row r="466">
          <cell r="A466" t="str">
            <v>CA-H2608-PD-310</v>
          </cell>
          <cell r="B466" t="str">
            <v>Corsair-pro</v>
          </cell>
          <cell r="C466">
            <v>11134249</v>
          </cell>
          <cell r="D466" t="str">
            <v>2041190-D-A</v>
          </cell>
          <cell r="E466" t="str">
            <v>CSR150-26P CN</v>
          </cell>
          <cell r="F466" t="str">
            <v>CHINA</v>
          </cell>
          <cell r="G466">
            <v>30</v>
          </cell>
          <cell r="H466">
            <v>30</v>
          </cell>
          <cell r="I466">
            <v>0</v>
          </cell>
          <cell r="J466" t="str">
            <v>FINISH</v>
          </cell>
          <cell r="K466">
            <v>46295</v>
          </cell>
          <cell r="L466">
            <v>46303</v>
          </cell>
        </row>
        <row r="467">
          <cell r="A467" t="str">
            <v>CA-H2608-PD-311</v>
          </cell>
          <cell r="B467" t="str">
            <v>Caravel</v>
          </cell>
          <cell r="C467">
            <v>11134246</v>
          </cell>
          <cell r="D467" t="str">
            <v>2141049-D-A</v>
          </cell>
          <cell r="E467" t="str">
            <v>CRV135-19P CN</v>
          </cell>
          <cell r="F467" t="str">
            <v>CHINA</v>
          </cell>
          <cell r="G467">
            <v>100</v>
          </cell>
          <cell r="H467">
            <v>100</v>
          </cell>
          <cell r="I467">
            <v>0</v>
          </cell>
          <cell r="J467" t="str">
            <v>FINISH</v>
          </cell>
          <cell r="K467">
            <v>46295</v>
          </cell>
          <cell r="L467">
            <v>46303</v>
          </cell>
        </row>
        <row r="468">
          <cell r="A468" t="str">
            <v>CA-H2608-PD-312</v>
          </cell>
          <cell r="B468" t="str">
            <v>Caravel</v>
          </cell>
          <cell r="C468">
            <v>11134247</v>
          </cell>
          <cell r="D468" t="str">
            <v>2141050-D-A</v>
          </cell>
          <cell r="E468" t="str">
            <v>CRV150-19P CN</v>
          </cell>
          <cell r="F468" t="str">
            <v>CHINA</v>
          </cell>
          <cell r="G468">
            <v>15</v>
          </cell>
          <cell r="H468">
            <v>15</v>
          </cell>
          <cell r="I468">
            <v>0</v>
          </cell>
          <cell r="J468" t="str">
            <v>FINISH</v>
          </cell>
          <cell r="K468">
            <v>46295</v>
          </cell>
          <cell r="L468">
            <v>46303</v>
          </cell>
        </row>
        <row r="469">
          <cell r="A469" t="str">
            <v>CA-H2608-PD-313</v>
          </cell>
          <cell r="B469" t="str">
            <v>Hyperion</v>
          </cell>
          <cell r="C469">
            <v>11134148</v>
          </cell>
          <cell r="D469" t="str">
            <v>1811909-L-A</v>
          </cell>
          <cell r="E469" t="str">
            <v>HW60SP350P10000 CN</v>
          </cell>
          <cell r="F469" t="str">
            <v>CHINA</v>
          </cell>
          <cell r="G469">
            <v>400</v>
          </cell>
          <cell r="H469">
            <v>0</v>
          </cell>
          <cell r="I469">
            <v>400</v>
          </cell>
          <cell r="J469" t="str">
            <v>NO</v>
          </cell>
          <cell r="K469">
            <v>46295</v>
          </cell>
          <cell r="L469">
            <v>46303</v>
          </cell>
        </row>
        <row r="470">
          <cell r="A470" t="str">
            <v>CA-H2608-PD-314</v>
          </cell>
          <cell r="B470" t="str">
            <v>Caravel</v>
          </cell>
          <cell r="C470">
            <v>11122088</v>
          </cell>
          <cell r="D470" t="str">
            <v>2341004-B-A</v>
          </cell>
          <cell r="E470" t="str">
            <v>CRV150-19P CE3</v>
          </cell>
          <cell r="F470" t="str">
            <v>Oversea</v>
          </cell>
          <cell r="G470">
            <v>35</v>
          </cell>
          <cell r="H470">
            <v>35</v>
          </cell>
          <cell r="I470">
            <v>0</v>
          </cell>
          <cell r="J470" t="str">
            <v>FINISH</v>
          </cell>
          <cell r="K470">
            <v>46295</v>
          </cell>
          <cell r="L470">
            <v>46303</v>
          </cell>
        </row>
      </sheetData>
      <sheetData sheetId="26">
        <row r="1">
          <cell r="G1">
            <v>69531</v>
          </cell>
          <cell r="H1">
            <v>66509</v>
          </cell>
          <cell r="I1">
            <v>3026</v>
          </cell>
        </row>
        <row r="2">
          <cell r="A2" t="str">
            <v>PO</v>
          </cell>
          <cell r="B2" t="str">
            <v>Plnd order</v>
          </cell>
          <cell r="C2" t="str">
            <v>Material</v>
          </cell>
          <cell r="D2" t="str">
            <v>Drawing list No</v>
          </cell>
          <cell r="E2" t="str">
            <v>Item Name / Description</v>
          </cell>
          <cell r="F2" t="str">
            <v>Destination</v>
          </cell>
          <cell r="G2" t="str">
            <v>q'ty</v>
          </cell>
          <cell r="H2" t="str">
            <v>q'ty</v>
          </cell>
          <cell r="I2" t="str">
            <v>GAP</v>
          </cell>
          <cell r="K2" t="str">
            <v>Complete
Plan Date</v>
          </cell>
          <cell r="L2" t="str">
            <v>ETD</v>
          </cell>
        </row>
        <row r="3">
          <cell r="A3" t="str">
            <v>CA-H2606-PD-228</v>
          </cell>
          <cell r="B3" t="str">
            <v xml:space="preserve">Caravel </v>
          </cell>
          <cell r="C3">
            <v>11122088</v>
          </cell>
          <cell r="D3" t="str">
            <v>2341004-B-A</v>
          </cell>
          <cell r="E3" t="str">
            <v>CRV150-19P CE3</v>
          </cell>
          <cell r="F3" t="str">
            <v>Oversea</v>
          </cell>
          <cell r="G3">
            <v>60</v>
          </cell>
          <cell r="H3">
            <v>60</v>
          </cell>
          <cell r="I3">
            <v>0</v>
          </cell>
          <cell r="J3" t="str">
            <v>FINISH</v>
          </cell>
          <cell r="K3">
            <v>46217</v>
          </cell>
          <cell r="L3">
            <v>46225</v>
          </cell>
        </row>
        <row r="4">
          <cell r="A4" t="str">
            <v>CA-H2606-PD-240</v>
          </cell>
          <cell r="B4" t="str">
            <v xml:space="preserve">Crosswalk </v>
          </cell>
          <cell r="C4">
            <v>11112479</v>
          </cell>
          <cell r="D4" t="str">
            <v>PSC35090A-E-A</v>
          </cell>
          <cell r="E4" t="str">
            <v>PSC35090A US</v>
          </cell>
          <cell r="F4" t="str">
            <v>USA</v>
          </cell>
          <cell r="G4">
            <v>55</v>
          </cell>
          <cell r="H4">
            <v>55</v>
          </cell>
          <cell r="I4">
            <v>0</v>
          </cell>
          <cell r="J4" t="str">
            <v>FINISH</v>
          </cell>
          <cell r="K4">
            <v>46217</v>
          </cell>
          <cell r="L4">
            <v>46225</v>
          </cell>
        </row>
        <row r="5">
          <cell r="A5" t="str">
            <v>CA-H2606-PD-241</v>
          </cell>
          <cell r="B5" t="str">
            <v xml:space="preserve">Crosswalk </v>
          </cell>
          <cell r="C5">
            <v>11112484</v>
          </cell>
          <cell r="D5" t="str">
            <v>PSC35090S-E-A</v>
          </cell>
          <cell r="E5" t="str">
            <v>PSC35090S US</v>
          </cell>
          <cell r="F5" t="str">
            <v>USA</v>
          </cell>
          <cell r="G5">
            <v>10</v>
          </cell>
          <cell r="H5">
            <v>10</v>
          </cell>
          <cell r="I5">
            <v>0</v>
          </cell>
          <cell r="J5" t="str">
            <v>FINISH</v>
          </cell>
          <cell r="K5">
            <v>46217</v>
          </cell>
          <cell r="L5">
            <v>46225</v>
          </cell>
        </row>
        <row r="6">
          <cell r="A6" t="str">
            <v>CA-H2606-PD-242</v>
          </cell>
          <cell r="B6" t="str">
            <v xml:space="preserve">Crosswalk </v>
          </cell>
          <cell r="C6">
            <v>11112482</v>
          </cell>
          <cell r="D6" t="str">
            <v>PSC35150A-E-A</v>
          </cell>
          <cell r="E6" t="str">
            <v>PSC35150A US</v>
          </cell>
          <cell r="F6" t="str">
            <v>USA</v>
          </cell>
          <cell r="G6">
            <v>45</v>
          </cell>
          <cell r="H6">
            <v>45</v>
          </cell>
          <cell r="I6">
            <v>0</v>
          </cell>
          <cell r="J6" t="str">
            <v>FINISH</v>
          </cell>
          <cell r="K6">
            <v>46217</v>
          </cell>
          <cell r="L6">
            <v>46225</v>
          </cell>
        </row>
        <row r="7">
          <cell r="A7" t="str">
            <v>CA-H2606-PD-243</v>
          </cell>
          <cell r="B7" t="str">
            <v xml:space="preserve">Crosswalk </v>
          </cell>
          <cell r="C7">
            <v>11112518</v>
          </cell>
          <cell r="D7" t="str">
            <v>PSC18135A-E-A</v>
          </cell>
          <cell r="E7" t="str">
            <v>PSC18135A US</v>
          </cell>
          <cell r="F7" t="str">
            <v>USA</v>
          </cell>
          <cell r="G7">
            <v>5</v>
          </cell>
          <cell r="H7">
            <v>5</v>
          </cell>
          <cell r="I7">
            <v>0</v>
          </cell>
          <cell r="J7" t="str">
            <v>FINISH</v>
          </cell>
          <cell r="K7">
            <v>46217</v>
          </cell>
          <cell r="L7">
            <v>46225</v>
          </cell>
        </row>
        <row r="8">
          <cell r="A8" t="str">
            <v>CA-H2606-PD-244</v>
          </cell>
          <cell r="B8" t="str">
            <v xml:space="preserve">Crosswalk </v>
          </cell>
          <cell r="C8">
            <v>11112474</v>
          </cell>
          <cell r="D8" t="str">
            <v>PSC18090S-D-A</v>
          </cell>
          <cell r="E8" t="str">
            <v>PSC18090S US</v>
          </cell>
          <cell r="F8" t="str">
            <v>USA</v>
          </cell>
          <cell r="G8">
            <v>15</v>
          </cell>
          <cell r="H8">
            <v>15</v>
          </cell>
          <cell r="I8">
            <v>0</v>
          </cell>
          <cell r="J8" t="str">
            <v>FINISH</v>
          </cell>
          <cell r="K8">
            <v>46217</v>
          </cell>
          <cell r="L8">
            <v>46225</v>
          </cell>
        </row>
        <row r="9">
          <cell r="A9" t="str">
            <v>CA-H2606-PD-245</v>
          </cell>
          <cell r="B9" t="str">
            <v xml:space="preserve">Crosswalk </v>
          </cell>
          <cell r="C9">
            <v>11112519</v>
          </cell>
          <cell r="D9" t="str">
            <v>PSC18150A-E-A</v>
          </cell>
          <cell r="E9" t="str">
            <v>PSC18150A US</v>
          </cell>
          <cell r="F9" t="str">
            <v>USA</v>
          </cell>
          <cell r="G9">
            <v>150</v>
          </cell>
          <cell r="H9">
            <v>150</v>
          </cell>
          <cell r="I9">
            <v>0</v>
          </cell>
          <cell r="J9" t="str">
            <v>FINISH</v>
          </cell>
          <cell r="K9">
            <v>46217</v>
          </cell>
          <cell r="L9">
            <v>46225</v>
          </cell>
        </row>
        <row r="10">
          <cell r="A10" t="str">
            <v>CA-H2606-PD-246</v>
          </cell>
          <cell r="B10" t="str">
            <v xml:space="preserve">Crosswalk </v>
          </cell>
          <cell r="C10">
            <v>11112514</v>
          </cell>
          <cell r="D10" t="str">
            <v>PSC14150S-E-A</v>
          </cell>
          <cell r="E10" t="str">
            <v>PSC14150S US</v>
          </cell>
          <cell r="F10" t="str">
            <v>USA</v>
          </cell>
          <cell r="G10">
            <v>35</v>
          </cell>
          <cell r="H10">
            <v>35</v>
          </cell>
          <cell r="I10">
            <v>0</v>
          </cell>
          <cell r="J10" t="str">
            <v>FINISH</v>
          </cell>
          <cell r="K10">
            <v>46217</v>
          </cell>
          <cell r="L10">
            <v>46225</v>
          </cell>
        </row>
        <row r="11">
          <cell r="A11" t="str">
            <v>CA-H2606-PD-227</v>
          </cell>
          <cell r="B11" t="str">
            <v>Crosswalk</v>
          </cell>
          <cell r="C11">
            <v>11112484</v>
          </cell>
          <cell r="D11" t="str">
            <v>PSC35090S-E-A</v>
          </cell>
          <cell r="E11" t="str">
            <v>PSC35090S US</v>
          </cell>
          <cell r="F11" t="str">
            <v>USA</v>
          </cell>
          <cell r="G11">
            <v>5</v>
          </cell>
          <cell r="H11">
            <v>5</v>
          </cell>
          <cell r="I11">
            <v>0</v>
          </cell>
          <cell r="J11" t="str">
            <v>FINISH</v>
          </cell>
          <cell r="K11">
            <v>46220</v>
          </cell>
          <cell r="L11">
            <v>46227</v>
          </cell>
        </row>
        <row r="12">
          <cell r="A12" t="str">
            <v>CA-H2606-PD-104</v>
          </cell>
          <cell r="B12" t="str">
            <v>Corsair-pro</v>
          </cell>
          <cell r="C12">
            <v>11134248</v>
          </cell>
          <cell r="D12" t="str">
            <v>2041189-D-A</v>
          </cell>
          <cell r="E12" t="str">
            <v>CSR135-26P CN</v>
          </cell>
          <cell r="F12" t="str">
            <v>CHINA</v>
          </cell>
          <cell r="G12">
            <v>7601</v>
          </cell>
          <cell r="H12">
            <v>7601</v>
          </cell>
          <cell r="I12">
            <v>0</v>
          </cell>
          <cell r="J12" t="str">
            <v>FINISH</v>
          </cell>
          <cell r="K12">
            <v>46230</v>
          </cell>
          <cell r="L12">
            <v>46238</v>
          </cell>
        </row>
        <row r="13">
          <cell r="A13" t="str">
            <v>CA-H2606-PD-106</v>
          </cell>
          <cell r="B13" t="str">
            <v xml:space="preserve">Masters parkway </v>
          </cell>
          <cell r="C13">
            <v>11134562</v>
          </cell>
          <cell r="D13" t="str">
            <v>2041303-C-A</v>
          </cell>
          <cell r="E13" t="str">
            <v>MST125-27HFR CN</v>
          </cell>
          <cell r="F13" t="str">
            <v>CHINA</v>
          </cell>
          <cell r="G13">
            <v>5000</v>
          </cell>
          <cell r="H13">
            <v>5000</v>
          </cell>
          <cell r="I13">
            <v>0</v>
          </cell>
          <cell r="J13" t="str">
            <v>FINISH</v>
          </cell>
          <cell r="K13">
            <v>46230</v>
          </cell>
          <cell r="L13">
            <v>46238</v>
          </cell>
        </row>
        <row r="14">
          <cell r="A14" t="str">
            <v>CA-H2606-PD-107</v>
          </cell>
          <cell r="B14" t="str">
            <v xml:space="preserve">Masters parkway </v>
          </cell>
          <cell r="C14">
            <v>11134563</v>
          </cell>
          <cell r="D14" t="str">
            <v>2041304-C-A</v>
          </cell>
          <cell r="E14" t="str">
            <v>MST150-27HFR CN</v>
          </cell>
          <cell r="F14" t="str">
            <v>CHINA</v>
          </cell>
          <cell r="G14">
            <v>800</v>
          </cell>
          <cell r="H14">
            <v>800</v>
          </cell>
          <cell r="I14">
            <v>0</v>
          </cell>
          <cell r="J14" t="str">
            <v>FINISH</v>
          </cell>
          <cell r="K14">
            <v>46230</v>
          </cell>
          <cell r="L14">
            <v>46238</v>
          </cell>
        </row>
        <row r="15">
          <cell r="A15" t="str">
            <v>CA-H2606-PD-198</v>
          </cell>
          <cell r="B15" t="str">
            <v>Caravel</v>
          </cell>
          <cell r="C15">
            <v>11134222</v>
          </cell>
          <cell r="D15" t="str">
            <v>2341001-0-A</v>
          </cell>
          <cell r="E15" t="str">
            <v>CRV135-19S MDR</v>
          </cell>
          <cell r="F15" t="str">
            <v>Oversea</v>
          </cell>
          <cell r="G15">
            <v>1</v>
          </cell>
          <cell r="H15">
            <v>1</v>
          </cell>
          <cell r="I15">
            <v>0</v>
          </cell>
          <cell r="J15" t="str">
            <v>FINISH</v>
          </cell>
          <cell r="K15">
            <v>46230</v>
          </cell>
          <cell r="L15">
            <v>46238</v>
          </cell>
        </row>
        <row r="16">
          <cell r="A16" t="str">
            <v>CA-H2606-PD-199</v>
          </cell>
          <cell r="B16" t="str">
            <v>Caravel</v>
          </cell>
          <cell r="C16">
            <v>11134223</v>
          </cell>
          <cell r="D16" t="str">
            <v>2341002-0-A</v>
          </cell>
          <cell r="E16" t="str">
            <v>CRV150-19S MDR</v>
          </cell>
          <cell r="F16" t="str">
            <v>Oversea</v>
          </cell>
          <cell r="G16">
            <v>1</v>
          </cell>
          <cell r="H16">
            <v>1</v>
          </cell>
          <cell r="I16">
            <v>0</v>
          </cell>
          <cell r="J16" t="str">
            <v>FINISH</v>
          </cell>
          <cell r="K16">
            <v>46230</v>
          </cell>
          <cell r="L16">
            <v>46238</v>
          </cell>
        </row>
        <row r="17">
          <cell r="A17" t="str">
            <v>CA-H2606-PD-247</v>
          </cell>
          <cell r="B17" t="str">
            <v>Hyperion</v>
          </cell>
          <cell r="C17">
            <v>11134281</v>
          </cell>
          <cell r="D17" t="str">
            <v>1911224-F-A</v>
          </cell>
          <cell r="E17" t="str">
            <v>HJ70SP350P10000 JP</v>
          </cell>
          <cell r="F17" t="str">
            <v>JAPAN</v>
          </cell>
          <cell r="G17">
            <v>923</v>
          </cell>
          <cell r="H17">
            <v>0</v>
          </cell>
          <cell r="I17">
            <v>923</v>
          </cell>
          <cell r="J17" t="str">
            <v>NO</v>
          </cell>
          <cell r="K17">
            <v>46230</v>
          </cell>
          <cell r="L17">
            <v>46238</v>
          </cell>
        </row>
        <row r="18">
          <cell r="A18" t="str">
            <v>CA-H2606-PD-248</v>
          </cell>
          <cell r="B18" t="str">
            <v xml:space="preserve">Hyperion </v>
          </cell>
          <cell r="C18">
            <v>11119371</v>
          </cell>
          <cell r="D18" t="str">
            <v>1911039-E-A</v>
          </cell>
          <cell r="E18" t="str">
            <v>HJ60JL350P10000 JP</v>
          </cell>
          <cell r="F18" t="str">
            <v>JAPAN</v>
          </cell>
          <cell r="G18">
            <v>312</v>
          </cell>
          <cell r="H18">
            <v>0</v>
          </cell>
          <cell r="I18">
            <v>312</v>
          </cell>
          <cell r="J18" t="str">
            <v>NO</v>
          </cell>
          <cell r="K18">
            <v>46230</v>
          </cell>
          <cell r="L18">
            <v>46238</v>
          </cell>
        </row>
        <row r="19">
          <cell r="A19" t="str">
            <v>CA-H2606-PD-249</v>
          </cell>
          <cell r="B19" t="str">
            <v>Hyperion</v>
          </cell>
          <cell r="C19">
            <v>11134260</v>
          </cell>
          <cell r="D19" t="str">
            <v>1911097-F-A</v>
          </cell>
          <cell r="E19" t="str">
            <v>HJ60SP350P10000 JP</v>
          </cell>
          <cell r="F19" t="str">
            <v>JAPAN</v>
          </cell>
          <cell r="G19">
            <v>625</v>
          </cell>
          <cell r="H19">
            <v>0</v>
          </cell>
          <cell r="I19">
            <v>625</v>
          </cell>
          <cell r="J19" t="str">
            <v>NO</v>
          </cell>
          <cell r="K19">
            <v>46230</v>
          </cell>
          <cell r="L19">
            <v>46238</v>
          </cell>
        </row>
        <row r="20">
          <cell r="A20" t="str">
            <v>CA-H2607-PD-047</v>
          </cell>
          <cell r="B20" t="str">
            <v xml:space="preserve">Caravel </v>
          </cell>
          <cell r="C20">
            <v>11131256</v>
          </cell>
          <cell r="D20" t="str">
            <v>1841033-E-A</v>
          </cell>
          <cell r="E20" t="str">
            <v>CRV135-19M JP</v>
          </cell>
          <cell r="F20" t="str">
            <v>JAPAN</v>
          </cell>
          <cell r="G20">
            <v>3377</v>
          </cell>
          <cell r="H20">
            <v>3377</v>
          </cell>
          <cell r="I20">
            <v>0</v>
          </cell>
          <cell r="J20" t="str">
            <v>FINISH</v>
          </cell>
          <cell r="K20">
            <v>46230</v>
          </cell>
          <cell r="L20">
            <v>46238</v>
          </cell>
        </row>
        <row r="21">
          <cell r="A21" t="str">
            <v>CA-H2607-PD-048</v>
          </cell>
          <cell r="B21" t="str">
            <v xml:space="preserve">Caravel </v>
          </cell>
          <cell r="C21">
            <v>11131257</v>
          </cell>
          <cell r="D21" t="str">
            <v>1841034-D-A</v>
          </cell>
          <cell r="E21" t="str">
            <v>CRV150-19M JP</v>
          </cell>
          <cell r="F21" t="str">
            <v>JAPAN</v>
          </cell>
          <cell r="G21">
            <v>488</v>
          </cell>
          <cell r="H21">
            <v>488</v>
          </cell>
          <cell r="I21">
            <v>0</v>
          </cell>
          <cell r="J21" t="str">
            <v>FINISH</v>
          </cell>
          <cell r="K21">
            <v>46230</v>
          </cell>
          <cell r="L21">
            <v>46238</v>
          </cell>
        </row>
        <row r="22">
          <cell r="A22" t="str">
            <v>CA-H2607-PD-049</v>
          </cell>
          <cell r="B22" t="str">
            <v xml:space="preserve">Corsair-pro </v>
          </cell>
          <cell r="C22">
            <v>11131258</v>
          </cell>
          <cell r="D22" t="str">
            <v>1941001-D-A</v>
          </cell>
          <cell r="E22" t="str">
            <v>CSR135-26PR JP</v>
          </cell>
          <cell r="F22" t="str">
            <v>JAPAN</v>
          </cell>
          <cell r="G22">
            <v>1069</v>
          </cell>
          <cell r="H22">
            <v>1069</v>
          </cell>
          <cell r="I22">
            <v>0</v>
          </cell>
          <cell r="J22" t="str">
            <v>FINISH</v>
          </cell>
          <cell r="K22">
            <v>46230</v>
          </cell>
          <cell r="L22">
            <v>46238</v>
          </cell>
        </row>
        <row r="23">
          <cell r="A23" t="str">
            <v>CA-H2607-PD-050</v>
          </cell>
          <cell r="B23" t="str">
            <v xml:space="preserve">Corsair-pro </v>
          </cell>
          <cell r="C23">
            <v>11131259</v>
          </cell>
          <cell r="D23" t="str">
            <v>1941002-D-A</v>
          </cell>
          <cell r="E23" t="str">
            <v>CSR150-26PR JP</v>
          </cell>
          <cell r="F23" t="str">
            <v>JAPAN</v>
          </cell>
          <cell r="G23">
            <v>15</v>
          </cell>
          <cell r="H23">
            <v>15</v>
          </cell>
          <cell r="I23">
            <v>0</v>
          </cell>
          <cell r="J23" t="str">
            <v>FINISH</v>
          </cell>
          <cell r="K23">
            <v>46230</v>
          </cell>
          <cell r="L23">
            <v>46238</v>
          </cell>
        </row>
        <row r="24">
          <cell r="A24" t="str">
            <v>CA-H2607-PD-051</v>
          </cell>
          <cell r="B24" t="str">
            <v xml:space="preserve">Corsair-PV </v>
          </cell>
          <cell r="C24">
            <v>11127835</v>
          </cell>
          <cell r="D24" t="str">
            <v>1941079-D-A</v>
          </cell>
          <cell r="E24" t="str">
            <v>CSRP135-26NR JP</v>
          </cell>
          <cell r="F24" t="str">
            <v>JAPAN</v>
          </cell>
          <cell r="G24">
            <v>374</v>
          </cell>
          <cell r="H24">
            <v>374</v>
          </cell>
          <cell r="I24">
            <v>0</v>
          </cell>
          <cell r="J24" t="str">
            <v>FINISH</v>
          </cell>
          <cell r="K24">
            <v>46230</v>
          </cell>
          <cell r="L24">
            <v>46238</v>
          </cell>
        </row>
        <row r="25">
          <cell r="A25" t="str">
            <v>CA-H2607-PD-052</v>
          </cell>
          <cell r="B25" t="str">
            <v xml:space="preserve">Corsair-PV </v>
          </cell>
          <cell r="C25">
            <v>11127836</v>
          </cell>
          <cell r="D25" t="str">
            <v>1941080-D-A</v>
          </cell>
          <cell r="E25" t="str">
            <v>CSRP150-26NR JP</v>
          </cell>
          <cell r="F25" t="str">
            <v>JAPAN</v>
          </cell>
          <cell r="G25">
            <v>170</v>
          </cell>
          <cell r="H25">
            <v>170</v>
          </cell>
          <cell r="I25">
            <v>0</v>
          </cell>
          <cell r="J25" t="str">
            <v>FINISH</v>
          </cell>
          <cell r="K25">
            <v>46230</v>
          </cell>
          <cell r="L25">
            <v>46238</v>
          </cell>
        </row>
        <row r="26">
          <cell r="A26" t="str">
            <v>CA-H2607-PD-053</v>
          </cell>
          <cell r="B26" t="str">
            <v xml:space="preserve">Hyperion </v>
          </cell>
          <cell r="C26">
            <v>11119333</v>
          </cell>
          <cell r="D26" t="str">
            <v>1911001-D-A</v>
          </cell>
          <cell r="E26" t="str">
            <v>HJ60AL070P10020 JP</v>
          </cell>
          <cell r="F26" t="str">
            <v>JAPAN</v>
          </cell>
          <cell r="G26">
            <v>16</v>
          </cell>
          <cell r="H26">
            <v>16</v>
          </cell>
          <cell r="I26">
            <v>0</v>
          </cell>
          <cell r="J26" t="str">
            <v>FINISH</v>
          </cell>
          <cell r="K26">
            <v>46230</v>
          </cell>
          <cell r="L26">
            <v>46238</v>
          </cell>
        </row>
        <row r="27">
          <cell r="A27" t="str">
            <v>CA-H2607-PD-054</v>
          </cell>
          <cell r="B27" t="str">
            <v xml:space="preserve">Hyperion </v>
          </cell>
          <cell r="C27">
            <v>11119335</v>
          </cell>
          <cell r="D27" t="str">
            <v>1911003-D-A</v>
          </cell>
          <cell r="E27" t="str">
            <v>HJ60AL070P10021 JP</v>
          </cell>
          <cell r="F27" t="str">
            <v>JAPAN</v>
          </cell>
          <cell r="G27">
            <v>1</v>
          </cell>
          <cell r="H27">
            <v>1</v>
          </cell>
          <cell r="I27">
            <v>0</v>
          </cell>
          <cell r="J27" t="str">
            <v>FINISH</v>
          </cell>
          <cell r="K27">
            <v>46230</v>
          </cell>
          <cell r="L27">
            <v>46238</v>
          </cell>
        </row>
        <row r="28">
          <cell r="A28" t="str">
            <v>CA-H2607-PD-055</v>
          </cell>
          <cell r="B28" t="str">
            <v xml:space="preserve">Hyperion </v>
          </cell>
          <cell r="C28">
            <v>11119413</v>
          </cell>
          <cell r="D28" t="str">
            <v>1911081-D-A</v>
          </cell>
          <cell r="E28" t="str">
            <v>HJ60AL070P10022 JP</v>
          </cell>
          <cell r="F28" t="str">
            <v>JAPAN</v>
          </cell>
          <cell r="G28">
            <v>114</v>
          </cell>
          <cell r="H28">
            <v>114</v>
          </cell>
          <cell r="I28">
            <v>0</v>
          </cell>
          <cell r="J28" t="str">
            <v>FINISH</v>
          </cell>
          <cell r="K28">
            <v>46230</v>
          </cell>
          <cell r="L28">
            <v>46238</v>
          </cell>
        </row>
        <row r="29">
          <cell r="A29" t="str">
            <v>CA-H2607-PD-056</v>
          </cell>
          <cell r="B29" t="str">
            <v xml:space="preserve">Hyperion </v>
          </cell>
          <cell r="C29">
            <v>11119334</v>
          </cell>
          <cell r="D29" t="str">
            <v>1911002-D-A</v>
          </cell>
          <cell r="E29" t="str">
            <v>HJ60AL072P10020 JP</v>
          </cell>
          <cell r="F29" t="str">
            <v>JAPAN</v>
          </cell>
          <cell r="G29">
            <v>41</v>
          </cell>
          <cell r="H29">
            <v>41</v>
          </cell>
          <cell r="I29">
            <v>0</v>
          </cell>
          <cell r="J29" t="str">
            <v>FINISH</v>
          </cell>
          <cell r="K29">
            <v>46230</v>
          </cell>
          <cell r="L29">
            <v>46238</v>
          </cell>
        </row>
        <row r="30">
          <cell r="A30" t="str">
            <v>CA-H2607-PD-057</v>
          </cell>
          <cell r="B30" t="str">
            <v xml:space="preserve">Hyperion </v>
          </cell>
          <cell r="C30">
            <v>11119336</v>
          </cell>
          <cell r="D30" t="str">
            <v>1911004-D-A</v>
          </cell>
          <cell r="E30" t="str">
            <v>HJ60AL072P10021 JP</v>
          </cell>
          <cell r="F30" t="str">
            <v>JAPAN</v>
          </cell>
          <cell r="G30">
            <v>9</v>
          </cell>
          <cell r="H30">
            <v>9</v>
          </cell>
          <cell r="I30">
            <v>0</v>
          </cell>
          <cell r="J30" t="str">
            <v>FINISH</v>
          </cell>
          <cell r="K30">
            <v>46230</v>
          </cell>
          <cell r="L30">
            <v>46238</v>
          </cell>
        </row>
        <row r="31">
          <cell r="A31" t="str">
            <v>CA-H2607-PD-058</v>
          </cell>
          <cell r="B31" t="str">
            <v>Hyperion</v>
          </cell>
          <cell r="C31">
            <v>11119414</v>
          </cell>
          <cell r="D31" t="str">
            <v>1911082-D-A</v>
          </cell>
          <cell r="E31" t="str">
            <v>HJ60AL072P10022 JP</v>
          </cell>
          <cell r="F31" t="str">
            <v>JAPAN</v>
          </cell>
          <cell r="G31">
            <v>39</v>
          </cell>
          <cell r="H31">
            <v>39</v>
          </cell>
          <cell r="I31">
            <v>0</v>
          </cell>
          <cell r="J31" t="str">
            <v>FINISH</v>
          </cell>
          <cell r="K31">
            <v>46230</v>
          </cell>
          <cell r="L31">
            <v>46238</v>
          </cell>
        </row>
        <row r="32">
          <cell r="A32" t="str">
            <v>CA-H2607-PD-059</v>
          </cell>
          <cell r="B32" t="str">
            <v>Hyperion</v>
          </cell>
          <cell r="C32">
            <v>11119338</v>
          </cell>
          <cell r="D32" t="str">
            <v>1911006-D-A</v>
          </cell>
          <cell r="E32" t="str">
            <v>HJ60AL100P09020 JP</v>
          </cell>
          <cell r="F32" t="str">
            <v>JAPAN</v>
          </cell>
          <cell r="G32">
            <v>12</v>
          </cell>
          <cell r="H32">
            <v>12</v>
          </cell>
          <cell r="I32">
            <v>0</v>
          </cell>
          <cell r="J32" t="str">
            <v>FINISH</v>
          </cell>
          <cell r="K32">
            <v>46230</v>
          </cell>
          <cell r="L32">
            <v>46238</v>
          </cell>
        </row>
        <row r="33">
          <cell r="A33" t="str">
            <v>CA-H2607-PD-060</v>
          </cell>
          <cell r="B33" t="str">
            <v>Hyperion</v>
          </cell>
          <cell r="C33">
            <v>11119337</v>
          </cell>
          <cell r="D33" t="str">
            <v>1911005-E-A</v>
          </cell>
          <cell r="E33" t="str">
            <v>HJ60AL100P10020 JP</v>
          </cell>
          <cell r="F33" t="str">
            <v>JAPAN</v>
          </cell>
          <cell r="G33">
            <v>96</v>
          </cell>
          <cell r="H33">
            <v>96</v>
          </cell>
          <cell r="I33">
            <v>0</v>
          </cell>
          <cell r="J33" t="str">
            <v>FINISH</v>
          </cell>
          <cell r="K33">
            <v>46230</v>
          </cell>
          <cell r="L33">
            <v>46238</v>
          </cell>
        </row>
        <row r="34">
          <cell r="A34" t="str">
            <v>CA-H2607-PD-061</v>
          </cell>
          <cell r="B34" t="str">
            <v>Hyperion</v>
          </cell>
          <cell r="C34">
            <v>11119341</v>
          </cell>
          <cell r="D34" t="str">
            <v>1911009-D-A</v>
          </cell>
          <cell r="E34" t="str">
            <v>HJ60AL100P10021 JP</v>
          </cell>
          <cell r="F34" t="str">
            <v>JAPAN</v>
          </cell>
          <cell r="G34">
            <v>14</v>
          </cell>
          <cell r="H34">
            <v>14</v>
          </cell>
          <cell r="I34">
            <v>0</v>
          </cell>
          <cell r="J34" t="str">
            <v>FINISH</v>
          </cell>
          <cell r="K34">
            <v>46230</v>
          </cell>
          <cell r="L34">
            <v>46238</v>
          </cell>
        </row>
        <row r="35">
          <cell r="A35" t="str">
            <v>CA-H2607-PD-062</v>
          </cell>
          <cell r="B35" t="str">
            <v>Hyperion</v>
          </cell>
          <cell r="C35">
            <v>11119415</v>
          </cell>
          <cell r="D35" t="str">
            <v>1911083-D-A</v>
          </cell>
          <cell r="E35" t="str">
            <v>HJ60AL100P10022 JP</v>
          </cell>
          <cell r="F35" t="str">
            <v>JAPAN</v>
          </cell>
          <cell r="G35">
            <v>486</v>
          </cell>
          <cell r="H35">
            <v>486</v>
          </cell>
          <cell r="I35">
            <v>0</v>
          </cell>
          <cell r="J35" t="str">
            <v>FINISH</v>
          </cell>
          <cell r="K35">
            <v>46230</v>
          </cell>
          <cell r="L35">
            <v>46238</v>
          </cell>
        </row>
        <row r="36">
          <cell r="A36" t="str">
            <v>CA-H2607-PD-063</v>
          </cell>
          <cell r="B36" t="str">
            <v>Hyperion</v>
          </cell>
          <cell r="C36">
            <v>11119340</v>
          </cell>
          <cell r="D36" t="str">
            <v>1911008-D-A</v>
          </cell>
          <cell r="E36" t="str">
            <v>HJ60AL102P09020 JP</v>
          </cell>
          <cell r="F36" t="str">
            <v>JAPAN</v>
          </cell>
          <cell r="G36">
            <v>2</v>
          </cell>
          <cell r="H36">
            <v>2</v>
          </cell>
          <cell r="I36">
            <v>0</v>
          </cell>
          <cell r="J36" t="str">
            <v>FINISH</v>
          </cell>
          <cell r="K36">
            <v>46230</v>
          </cell>
          <cell r="L36">
            <v>46238</v>
          </cell>
        </row>
        <row r="37">
          <cell r="A37" t="str">
            <v>CA-H2607-PD-064</v>
          </cell>
          <cell r="B37" t="str">
            <v>Hyperion</v>
          </cell>
          <cell r="C37">
            <v>11119339</v>
          </cell>
          <cell r="D37" t="str">
            <v>1911007-D-A</v>
          </cell>
          <cell r="E37" t="str">
            <v>HJ60AL102P10020 JP</v>
          </cell>
          <cell r="F37" t="str">
            <v>JAPAN</v>
          </cell>
          <cell r="G37">
            <v>58</v>
          </cell>
          <cell r="H37">
            <v>58</v>
          </cell>
          <cell r="I37">
            <v>0</v>
          </cell>
          <cell r="J37" t="str">
            <v>FINISH</v>
          </cell>
          <cell r="K37">
            <v>46230</v>
          </cell>
          <cell r="L37">
            <v>46238</v>
          </cell>
        </row>
        <row r="38">
          <cell r="A38" t="str">
            <v>CA-H2607-PD-065</v>
          </cell>
          <cell r="B38" t="str">
            <v>Hyperion</v>
          </cell>
          <cell r="C38">
            <v>11119342</v>
          </cell>
          <cell r="D38" t="str">
            <v>1911010-D-A</v>
          </cell>
          <cell r="E38" t="str">
            <v>HJ60AL102P10021 JP</v>
          </cell>
          <cell r="F38" t="str">
            <v>JAPAN</v>
          </cell>
          <cell r="G38">
            <v>24</v>
          </cell>
          <cell r="H38">
            <v>24</v>
          </cell>
          <cell r="I38">
            <v>0</v>
          </cell>
          <cell r="J38" t="str">
            <v>FINISH</v>
          </cell>
          <cell r="K38">
            <v>46230</v>
          </cell>
          <cell r="L38">
            <v>46238</v>
          </cell>
        </row>
        <row r="39">
          <cell r="A39" t="str">
            <v>CA-H2607-PD-066</v>
          </cell>
          <cell r="B39" t="str">
            <v>Hyperion</v>
          </cell>
          <cell r="C39">
            <v>11119416</v>
          </cell>
          <cell r="D39" t="str">
            <v>1911084-E-A</v>
          </cell>
          <cell r="E39" t="str">
            <v>HJ60AL102P10022 JP</v>
          </cell>
          <cell r="F39" t="str">
            <v>JAPAN</v>
          </cell>
          <cell r="G39">
            <v>210</v>
          </cell>
          <cell r="H39">
            <v>210</v>
          </cell>
          <cell r="I39">
            <v>0</v>
          </cell>
          <cell r="J39" t="str">
            <v>FINISH</v>
          </cell>
          <cell r="K39">
            <v>46230</v>
          </cell>
          <cell r="L39">
            <v>46238</v>
          </cell>
        </row>
        <row r="40">
          <cell r="A40" t="str">
            <v>CA-H2607-PD-067</v>
          </cell>
          <cell r="B40" t="str">
            <v>Hyperion</v>
          </cell>
          <cell r="C40">
            <v>11119343</v>
          </cell>
          <cell r="D40" t="str">
            <v>1911011-D-A</v>
          </cell>
          <cell r="E40" t="str">
            <v>HJ60AL150P10020 JP</v>
          </cell>
          <cell r="F40" t="str">
            <v>JAPAN</v>
          </cell>
          <cell r="G40">
            <v>64</v>
          </cell>
          <cell r="H40">
            <v>64</v>
          </cell>
          <cell r="I40">
            <v>0</v>
          </cell>
          <cell r="J40" t="str">
            <v>FINISH</v>
          </cell>
          <cell r="K40">
            <v>46230</v>
          </cell>
          <cell r="L40">
            <v>46238</v>
          </cell>
        </row>
        <row r="41">
          <cell r="A41" t="str">
            <v>CA-H2607-PD-068</v>
          </cell>
          <cell r="B41" t="str">
            <v>Hyperion</v>
          </cell>
          <cell r="C41">
            <v>11119345</v>
          </cell>
          <cell r="D41" t="str">
            <v>1911013-D-A</v>
          </cell>
          <cell r="E41" t="str">
            <v>HJ60AL150P10021 JP</v>
          </cell>
          <cell r="F41" t="str">
            <v>JAPAN</v>
          </cell>
          <cell r="G41">
            <v>2</v>
          </cell>
          <cell r="H41">
            <v>2</v>
          </cell>
          <cell r="I41">
            <v>0</v>
          </cell>
          <cell r="J41" t="str">
            <v>FINISH</v>
          </cell>
          <cell r="K41">
            <v>46230</v>
          </cell>
          <cell r="L41">
            <v>46238</v>
          </cell>
        </row>
        <row r="42">
          <cell r="A42" t="str">
            <v>CA-H2607-PD-069</v>
          </cell>
          <cell r="B42" t="str">
            <v>Hyperion</v>
          </cell>
          <cell r="C42">
            <v>11119417</v>
          </cell>
          <cell r="D42" t="str">
            <v>1911085-D-A</v>
          </cell>
          <cell r="E42" t="str">
            <v>HJ60AL150P10022 JP</v>
          </cell>
          <cell r="F42" t="str">
            <v>JAPAN</v>
          </cell>
          <cell r="G42">
            <v>8</v>
          </cell>
          <cell r="H42">
            <v>8</v>
          </cell>
          <cell r="I42">
            <v>0</v>
          </cell>
          <cell r="J42" t="str">
            <v>FINISH</v>
          </cell>
          <cell r="K42">
            <v>46230</v>
          </cell>
          <cell r="L42">
            <v>46238</v>
          </cell>
        </row>
        <row r="43">
          <cell r="A43" t="str">
            <v>CA-H2607-PD-070</v>
          </cell>
          <cell r="B43" t="str">
            <v>Hyperion</v>
          </cell>
          <cell r="C43">
            <v>11119344</v>
          </cell>
          <cell r="D43" t="str">
            <v>1911012-D-A</v>
          </cell>
          <cell r="E43" t="str">
            <v>HJ60AL152P10020 JP</v>
          </cell>
          <cell r="F43" t="str">
            <v>JAPAN</v>
          </cell>
          <cell r="G43">
            <v>34</v>
          </cell>
          <cell r="H43">
            <v>34</v>
          </cell>
          <cell r="I43">
            <v>0</v>
          </cell>
          <cell r="J43" t="str">
            <v>FINISH</v>
          </cell>
          <cell r="K43">
            <v>46230</v>
          </cell>
          <cell r="L43">
            <v>46238</v>
          </cell>
        </row>
        <row r="44">
          <cell r="A44" t="str">
            <v>CA-H2607-PD-071</v>
          </cell>
          <cell r="B44" t="str">
            <v>Hyperion</v>
          </cell>
          <cell r="C44">
            <v>11119418</v>
          </cell>
          <cell r="D44" t="str">
            <v>1911086-D-A</v>
          </cell>
          <cell r="E44" t="str">
            <v>HJ60AL152P10022 JP</v>
          </cell>
          <cell r="F44" t="str">
            <v>JAPAN</v>
          </cell>
          <cell r="G44">
            <v>20</v>
          </cell>
          <cell r="H44">
            <v>20</v>
          </cell>
          <cell r="I44">
            <v>0</v>
          </cell>
          <cell r="J44" t="str">
            <v>FINISH</v>
          </cell>
          <cell r="K44">
            <v>46230</v>
          </cell>
          <cell r="L44">
            <v>46238</v>
          </cell>
        </row>
        <row r="45">
          <cell r="A45" t="str">
            <v>CA-H2607-PD-072</v>
          </cell>
          <cell r="B45" t="str">
            <v>Hyperion</v>
          </cell>
          <cell r="C45">
            <v>11119347</v>
          </cell>
          <cell r="D45" t="str">
            <v>1911015-D-A</v>
          </cell>
          <cell r="E45" t="str">
            <v>HJ60AL200P10020 JP</v>
          </cell>
          <cell r="F45" t="str">
            <v>JAPAN</v>
          </cell>
          <cell r="G45">
            <v>21</v>
          </cell>
          <cell r="H45">
            <v>21</v>
          </cell>
          <cell r="I45">
            <v>0</v>
          </cell>
          <cell r="J45" t="str">
            <v>FINISH</v>
          </cell>
          <cell r="K45">
            <v>46230</v>
          </cell>
          <cell r="L45">
            <v>46238</v>
          </cell>
        </row>
        <row r="46">
          <cell r="A46" t="str">
            <v>CA-H2607-PD-073</v>
          </cell>
          <cell r="B46" t="str">
            <v>Hyperion</v>
          </cell>
          <cell r="C46">
            <v>11119419</v>
          </cell>
          <cell r="D46" t="str">
            <v>1911087-D-A</v>
          </cell>
          <cell r="E46" t="str">
            <v>HJ60AL200P10022 JP</v>
          </cell>
          <cell r="F46" t="str">
            <v>JAPAN</v>
          </cell>
          <cell r="G46">
            <v>9</v>
          </cell>
          <cell r="H46">
            <v>9</v>
          </cell>
          <cell r="I46">
            <v>0</v>
          </cell>
          <cell r="J46" t="str">
            <v>FINISH</v>
          </cell>
          <cell r="K46">
            <v>46230</v>
          </cell>
          <cell r="L46">
            <v>46238</v>
          </cell>
        </row>
        <row r="47">
          <cell r="A47" t="str">
            <v>CA-H2607-PD-074</v>
          </cell>
          <cell r="B47" t="str">
            <v>Hyperion</v>
          </cell>
          <cell r="C47">
            <v>11119348</v>
          </cell>
          <cell r="D47" t="str">
            <v>1911016-D-A</v>
          </cell>
          <cell r="E47" t="str">
            <v>HJ60AL202P10020 JP</v>
          </cell>
          <cell r="F47" t="str">
            <v>JAPAN</v>
          </cell>
          <cell r="G47">
            <v>13</v>
          </cell>
          <cell r="H47">
            <v>13</v>
          </cell>
          <cell r="I47">
            <v>0</v>
          </cell>
          <cell r="J47" t="str">
            <v>FINISH</v>
          </cell>
          <cell r="K47">
            <v>46230</v>
          </cell>
          <cell r="L47">
            <v>46238</v>
          </cell>
        </row>
        <row r="48">
          <cell r="A48" t="str">
            <v>CA-H2607-PD-075</v>
          </cell>
          <cell r="B48" t="str">
            <v>Hyperion</v>
          </cell>
          <cell r="C48">
            <v>11119420</v>
          </cell>
          <cell r="D48" t="str">
            <v>1911088-D-A</v>
          </cell>
          <cell r="E48" t="str">
            <v>HJ60AL202P10022 JP</v>
          </cell>
          <cell r="F48" t="str">
            <v>JAPAN</v>
          </cell>
          <cell r="G48">
            <v>3</v>
          </cell>
          <cell r="H48">
            <v>3</v>
          </cell>
          <cell r="I48">
            <v>0</v>
          </cell>
          <cell r="J48" t="str">
            <v>FINISH</v>
          </cell>
          <cell r="K48">
            <v>46230</v>
          </cell>
          <cell r="L48">
            <v>46238</v>
          </cell>
        </row>
        <row r="49">
          <cell r="A49" t="str">
            <v>CA-H2607-PD-076</v>
          </cell>
          <cell r="B49" t="str">
            <v>Hyperion</v>
          </cell>
          <cell r="C49">
            <v>11119350</v>
          </cell>
          <cell r="D49" t="str">
            <v>1911018-D-A</v>
          </cell>
          <cell r="E49" t="str">
            <v>HJ60CP150P10020 JP</v>
          </cell>
          <cell r="F49" t="str">
            <v>JAPAN</v>
          </cell>
          <cell r="G49">
            <v>3</v>
          </cell>
          <cell r="H49">
            <v>3</v>
          </cell>
          <cell r="I49">
            <v>0</v>
          </cell>
          <cell r="J49" t="str">
            <v>FINISH</v>
          </cell>
          <cell r="K49">
            <v>46230</v>
          </cell>
          <cell r="L49">
            <v>46238</v>
          </cell>
        </row>
        <row r="50">
          <cell r="A50" t="str">
            <v>CA-H2607-PD-077</v>
          </cell>
          <cell r="B50" t="str">
            <v>Hyperion</v>
          </cell>
          <cell r="C50">
            <v>11119351</v>
          </cell>
          <cell r="D50" t="str">
            <v>1911019-D-A</v>
          </cell>
          <cell r="E50" t="str">
            <v>HJ60CP152P10020 JP</v>
          </cell>
          <cell r="F50" t="str">
            <v>JAPAN</v>
          </cell>
          <cell r="G50">
            <v>4</v>
          </cell>
          <cell r="H50">
            <v>4</v>
          </cell>
          <cell r="I50">
            <v>0</v>
          </cell>
          <cell r="J50" t="str">
            <v>FINISH</v>
          </cell>
          <cell r="K50">
            <v>46230</v>
          </cell>
          <cell r="L50">
            <v>46238</v>
          </cell>
        </row>
        <row r="51">
          <cell r="A51" t="str">
            <v>CA-H2607-PD-078</v>
          </cell>
          <cell r="B51" t="str">
            <v>Hyperion</v>
          </cell>
          <cell r="C51">
            <v>11119352</v>
          </cell>
          <cell r="D51" t="str">
            <v>1911020-D-A</v>
          </cell>
          <cell r="E51" t="str">
            <v>HJ60CP200P10020 JP</v>
          </cell>
          <cell r="F51" t="str">
            <v>JAPAN</v>
          </cell>
          <cell r="G51">
            <v>2</v>
          </cell>
          <cell r="H51">
            <v>2</v>
          </cell>
          <cell r="I51">
            <v>0</v>
          </cell>
          <cell r="J51" t="str">
            <v>FINISH</v>
          </cell>
          <cell r="K51">
            <v>46230</v>
          </cell>
          <cell r="L51">
            <v>46238</v>
          </cell>
        </row>
        <row r="52">
          <cell r="A52" t="str">
            <v>CA-H2607-PD-079</v>
          </cell>
          <cell r="B52" t="str">
            <v>Hyperion</v>
          </cell>
          <cell r="C52">
            <v>11119359</v>
          </cell>
          <cell r="D52" t="str">
            <v>1911027-D-A</v>
          </cell>
          <cell r="E52" t="str">
            <v>HJ60HS010P10020 JP</v>
          </cell>
          <cell r="F52" t="str">
            <v>JAPAN</v>
          </cell>
          <cell r="G52">
            <v>10</v>
          </cell>
          <cell r="H52">
            <v>10</v>
          </cell>
          <cell r="I52">
            <v>0</v>
          </cell>
          <cell r="J52" t="str">
            <v>FINISH</v>
          </cell>
          <cell r="K52">
            <v>46230</v>
          </cell>
          <cell r="L52">
            <v>46238</v>
          </cell>
        </row>
        <row r="53">
          <cell r="A53" t="str">
            <v>CA-H2607-PD-080</v>
          </cell>
          <cell r="B53" t="str">
            <v>Hyperion</v>
          </cell>
          <cell r="C53">
            <v>11119360</v>
          </cell>
          <cell r="D53" t="str">
            <v>1911028-D-A</v>
          </cell>
          <cell r="E53" t="str">
            <v>HJ60HS012P10020 JP</v>
          </cell>
          <cell r="F53" t="str">
            <v>JAPAN</v>
          </cell>
          <cell r="G53">
            <v>1</v>
          </cell>
          <cell r="H53">
            <v>1</v>
          </cell>
          <cell r="I53">
            <v>0</v>
          </cell>
          <cell r="J53" t="str">
            <v>FINISH</v>
          </cell>
          <cell r="K53">
            <v>46230</v>
          </cell>
          <cell r="L53">
            <v>46238</v>
          </cell>
        </row>
        <row r="54">
          <cell r="A54" t="str">
            <v>CA-H2607-PD-081</v>
          </cell>
          <cell r="B54" t="str">
            <v>Hyperion</v>
          </cell>
          <cell r="C54">
            <v>11119362</v>
          </cell>
          <cell r="D54" t="str">
            <v>1911030-D-A</v>
          </cell>
          <cell r="E54" t="str">
            <v>HJ60HS022P10020 JP</v>
          </cell>
          <cell r="F54" t="str">
            <v>JAPAN</v>
          </cell>
          <cell r="G54">
            <v>3</v>
          </cell>
          <cell r="H54">
            <v>3</v>
          </cell>
          <cell r="I54">
            <v>0</v>
          </cell>
          <cell r="J54" t="str">
            <v>FINISH</v>
          </cell>
          <cell r="K54">
            <v>46230</v>
          </cell>
          <cell r="L54">
            <v>46238</v>
          </cell>
        </row>
        <row r="55">
          <cell r="A55" t="str">
            <v>CA-H2607-PD-082</v>
          </cell>
          <cell r="B55" t="str">
            <v>Hyperion</v>
          </cell>
          <cell r="C55">
            <v>11119363</v>
          </cell>
          <cell r="D55" t="str">
            <v>1911031-D-A</v>
          </cell>
          <cell r="E55" t="str">
            <v>HJ60IL350P10000 JP</v>
          </cell>
          <cell r="F55" t="str">
            <v>JAPAN</v>
          </cell>
          <cell r="G55">
            <v>61</v>
          </cell>
          <cell r="H55">
            <v>61</v>
          </cell>
          <cell r="I55">
            <v>0</v>
          </cell>
          <cell r="J55" t="str">
            <v>FINISH</v>
          </cell>
          <cell r="K55">
            <v>46230</v>
          </cell>
          <cell r="L55">
            <v>46238</v>
          </cell>
        </row>
        <row r="56">
          <cell r="A56" t="str">
            <v>CA-H2607-PD-083</v>
          </cell>
          <cell r="B56" t="str">
            <v>Hyperion</v>
          </cell>
          <cell r="C56">
            <v>11119364</v>
          </cell>
          <cell r="D56" t="str">
            <v>1911032-D-A</v>
          </cell>
          <cell r="E56" t="str">
            <v>HJ60IL352P10020 JP</v>
          </cell>
          <cell r="F56" t="str">
            <v>JAPAN</v>
          </cell>
          <cell r="G56">
            <v>24</v>
          </cell>
          <cell r="H56">
            <v>24</v>
          </cell>
          <cell r="I56">
            <v>0</v>
          </cell>
          <cell r="J56" t="str">
            <v>FINISH</v>
          </cell>
          <cell r="K56">
            <v>46230</v>
          </cell>
          <cell r="L56">
            <v>46238</v>
          </cell>
        </row>
        <row r="57">
          <cell r="A57" t="str">
            <v>CA-H2607-PD-084</v>
          </cell>
          <cell r="B57" t="str">
            <v>Hyperion</v>
          </cell>
          <cell r="C57">
            <v>11119365</v>
          </cell>
          <cell r="D57" t="str">
            <v>1911033-D-A</v>
          </cell>
          <cell r="E57" t="str">
            <v>HJ60IL400P10000 JP</v>
          </cell>
          <cell r="F57" t="str">
            <v>JAPAN</v>
          </cell>
          <cell r="G57">
            <v>24</v>
          </cell>
          <cell r="H57">
            <v>24</v>
          </cell>
          <cell r="I57">
            <v>0</v>
          </cell>
          <cell r="J57" t="str">
            <v>FINISH</v>
          </cell>
          <cell r="K57">
            <v>46230</v>
          </cell>
          <cell r="L57">
            <v>46238</v>
          </cell>
        </row>
        <row r="58">
          <cell r="A58" t="str">
            <v>CA-H2607-PD-085</v>
          </cell>
          <cell r="B58" t="str">
            <v>Hyperion</v>
          </cell>
          <cell r="C58">
            <v>11119366</v>
          </cell>
          <cell r="D58" t="str">
            <v>1911034-D-A</v>
          </cell>
          <cell r="E58" t="str">
            <v>HJ60IL402P10020 JP</v>
          </cell>
          <cell r="F58" t="str">
            <v>JAPAN</v>
          </cell>
          <cell r="G58">
            <v>10</v>
          </cell>
          <cell r="H58">
            <v>10</v>
          </cell>
          <cell r="I58">
            <v>0</v>
          </cell>
          <cell r="J58" t="str">
            <v>FINISH</v>
          </cell>
          <cell r="K58">
            <v>46230</v>
          </cell>
          <cell r="L58">
            <v>46238</v>
          </cell>
        </row>
        <row r="59">
          <cell r="A59" t="str">
            <v>CA-H2607-PD-086</v>
          </cell>
          <cell r="B59" t="str">
            <v>Hyperion</v>
          </cell>
          <cell r="C59">
            <v>11119367</v>
          </cell>
          <cell r="D59" t="str">
            <v>1911035-D-A</v>
          </cell>
          <cell r="E59" t="str">
            <v>HJ60IM000P10000 JP</v>
          </cell>
          <cell r="F59" t="str">
            <v>JAPAN</v>
          </cell>
          <cell r="G59">
            <v>21</v>
          </cell>
          <cell r="H59">
            <v>21</v>
          </cell>
          <cell r="I59">
            <v>0</v>
          </cell>
          <cell r="J59" t="str">
            <v>FINISH</v>
          </cell>
          <cell r="K59">
            <v>46230</v>
          </cell>
          <cell r="L59">
            <v>46238</v>
          </cell>
        </row>
        <row r="60">
          <cell r="A60" t="str">
            <v>CA-H2607-PD-087</v>
          </cell>
          <cell r="B60" t="str">
            <v>Hyperion</v>
          </cell>
          <cell r="C60">
            <v>11119370</v>
          </cell>
          <cell r="D60" t="str">
            <v>1911038-D-A</v>
          </cell>
          <cell r="E60" t="str">
            <v>HJ60IM002P10020 JP</v>
          </cell>
          <cell r="F60" t="str">
            <v>JAPAN</v>
          </cell>
          <cell r="G60">
            <v>16</v>
          </cell>
          <cell r="H60">
            <v>16</v>
          </cell>
          <cell r="I60">
            <v>0</v>
          </cell>
          <cell r="J60" t="str">
            <v>FINISH</v>
          </cell>
          <cell r="K60">
            <v>46230</v>
          </cell>
          <cell r="L60">
            <v>46238</v>
          </cell>
        </row>
        <row r="61">
          <cell r="A61" t="str">
            <v>CA-H2607-PD-088</v>
          </cell>
          <cell r="B61" t="str">
            <v>Hyperion</v>
          </cell>
          <cell r="C61">
            <v>11119369</v>
          </cell>
          <cell r="D61" t="str">
            <v>1911037-D-A</v>
          </cell>
          <cell r="E61" t="str">
            <v>HJ60IM002P10030 JP</v>
          </cell>
          <cell r="F61" t="str">
            <v>JAPAN</v>
          </cell>
          <cell r="G61">
            <v>3</v>
          </cell>
          <cell r="H61">
            <v>3</v>
          </cell>
          <cell r="I61">
            <v>0</v>
          </cell>
          <cell r="J61" t="str">
            <v>FINISH</v>
          </cell>
          <cell r="K61">
            <v>46230</v>
          </cell>
          <cell r="L61">
            <v>46238</v>
          </cell>
        </row>
        <row r="62">
          <cell r="A62" t="str">
            <v>CA-H2607-PD-089</v>
          </cell>
          <cell r="B62" t="str">
            <v>Hyperion</v>
          </cell>
          <cell r="C62">
            <v>11119371</v>
          </cell>
          <cell r="D62" t="str">
            <v>1911039-E-A</v>
          </cell>
          <cell r="E62" t="str">
            <v>HJ60JL350P10000 JP</v>
          </cell>
          <cell r="F62" t="str">
            <v>JAPAN</v>
          </cell>
          <cell r="G62">
            <v>575</v>
          </cell>
          <cell r="H62">
            <v>575</v>
          </cell>
          <cell r="I62">
            <v>0</v>
          </cell>
          <cell r="J62" t="str">
            <v>FINISH</v>
          </cell>
          <cell r="K62">
            <v>46230</v>
          </cell>
          <cell r="L62">
            <v>46238</v>
          </cell>
        </row>
        <row r="63">
          <cell r="A63" t="str">
            <v>CA-H2607-PD-090</v>
          </cell>
          <cell r="B63" t="str">
            <v>Hyperion</v>
          </cell>
          <cell r="C63">
            <v>11119373</v>
          </cell>
          <cell r="D63" t="str">
            <v>1911041-D-A</v>
          </cell>
          <cell r="E63" t="str">
            <v>HJ60JL350P10001 JP</v>
          </cell>
          <cell r="F63" t="str">
            <v>JAPAN</v>
          </cell>
          <cell r="G63">
            <v>123</v>
          </cell>
          <cell r="H63">
            <v>123</v>
          </cell>
          <cell r="I63">
            <v>0</v>
          </cell>
          <cell r="J63" t="str">
            <v>FINISH</v>
          </cell>
          <cell r="K63">
            <v>46230</v>
          </cell>
          <cell r="L63">
            <v>46238</v>
          </cell>
        </row>
        <row r="64">
          <cell r="A64" t="str">
            <v>CA-H2607-PD-091</v>
          </cell>
          <cell r="B64" t="str">
            <v>Hyperion</v>
          </cell>
          <cell r="C64">
            <v>11119372</v>
          </cell>
          <cell r="D64" t="str">
            <v>1911040-D-A</v>
          </cell>
          <cell r="E64" t="str">
            <v>HJ60JL352P10020 JP</v>
          </cell>
          <cell r="F64" t="str">
            <v>JAPAN</v>
          </cell>
          <cell r="G64">
            <v>95</v>
          </cell>
          <cell r="H64">
            <v>95</v>
          </cell>
          <cell r="I64">
            <v>0</v>
          </cell>
          <cell r="J64" t="str">
            <v>FINISH</v>
          </cell>
          <cell r="K64">
            <v>46230</v>
          </cell>
          <cell r="L64">
            <v>46238</v>
          </cell>
        </row>
        <row r="65">
          <cell r="A65" t="str">
            <v>CA-H2607-PD-092</v>
          </cell>
          <cell r="B65" t="str">
            <v>Hyperion</v>
          </cell>
          <cell r="C65">
            <v>11119374</v>
          </cell>
          <cell r="D65" t="str">
            <v>1911042-D-A</v>
          </cell>
          <cell r="E65" t="str">
            <v>HJ60JL352P10021 JP</v>
          </cell>
          <cell r="F65" t="str">
            <v>JAPAN</v>
          </cell>
          <cell r="G65">
            <v>38</v>
          </cell>
          <cell r="H65">
            <v>38</v>
          </cell>
          <cell r="I65">
            <v>0</v>
          </cell>
          <cell r="J65" t="str">
            <v>FINISH</v>
          </cell>
          <cell r="K65">
            <v>46230</v>
          </cell>
          <cell r="L65">
            <v>46238</v>
          </cell>
        </row>
        <row r="66">
          <cell r="A66" t="str">
            <v>CA-H2607-PD-093</v>
          </cell>
          <cell r="B66" t="str">
            <v>Hyperion</v>
          </cell>
          <cell r="C66">
            <v>11119376</v>
          </cell>
          <cell r="D66" t="str">
            <v>1911044-D-A</v>
          </cell>
          <cell r="E66" t="str">
            <v>HJ60JL400P09000 JP</v>
          </cell>
          <cell r="F66" t="str">
            <v>JAPAN</v>
          </cell>
          <cell r="G66">
            <v>1</v>
          </cell>
          <cell r="H66">
            <v>1</v>
          </cell>
          <cell r="I66">
            <v>0</v>
          </cell>
          <cell r="J66" t="str">
            <v>FINISH</v>
          </cell>
          <cell r="K66">
            <v>46230</v>
          </cell>
          <cell r="L66">
            <v>46238</v>
          </cell>
        </row>
        <row r="67">
          <cell r="A67" t="str">
            <v>CA-H2607-PD-094</v>
          </cell>
          <cell r="B67" t="str">
            <v>Hyperion</v>
          </cell>
          <cell r="C67">
            <v>11119375</v>
          </cell>
          <cell r="D67" t="str">
            <v>1911043-E-A</v>
          </cell>
          <cell r="E67" t="str">
            <v>HJ60JL400P10000 JP</v>
          </cell>
          <cell r="F67" t="str">
            <v>JAPAN</v>
          </cell>
          <cell r="G67">
            <v>524</v>
          </cell>
          <cell r="H67">
            <v>524</v>
          </cell>
          <cell r="I67">
            <v>0</v>
          </cell>
          <cell r="J67" t="str">
            <v>FINISH</v>
          </cell>
          <cell r="K67">
            <v>46230</v>
          </cell>
          <cell r="L67">
            <v>46238</v>
          </cell>
        </row>
        <row r="68">
          <cell r="A68" t="str">
            <v>CA-H2607-PD-095</v>
          </cell>
          <cell r="B68" t="str">
            <v>Hyperion</v>
          </cell>
          <cell r="C68">
            <v>11119379</v>
          </cell>
          <cell r="D68" t="str">
            <v>1911047-D-A</v>
          </cell>
          <cell r="E68" t="str">
            <v>HJ60JL400P10001 JP</v>
          </cell>
          <cell r="F68" t="str">
            <v>JAPAN</v>
          </cell>
          <cell r="G68">
            <v>68</v>
          </cell>
          <cell r="H68">
            <v>68</v>
          </cell>
          <cell r="I68">
            <v>0</v>
          </cell>
          <cell r="J68" t="str">
            <v>FINISH</v>
          </cell>
          <cell r="K68">
            <v>46230</v>
          </cell>
          <cell r="L68">
            <v>46238</v>
          </cell>
        </row>
        <row r="69">
          <cell r="A69" t="str">
            <v>CA-H2607-PD-096</v>
          </cell>
          <cell r="B69" t="str">
            <v>Hyperion</v>
          </cell>
          <cell r="C69">
            <v>11119377</v>
          </cell>
          <cell r="D69" t="str">
            <v>1911045-D-A</v>
          </cell>
          <cell r="E69" t="str">
            <v>HJ60JL402P10020 JP</v>
          </cell>
          <cell r="F69" t="str">
            <v>JAPAN</v>
          </cell>
          <cell r="G69">
            <v>122</v>
          </cell>
          <cell r="H69">
            <v>122</v>
          </cell>
          <cell r="I69">
            <v>0</v>
          </cell>
          <cell r="J69" t="str">
            <v>FINISH</v>
          </cell>
          <cell r="K69">
            <v>46230</v>
          </cell>
          <cell r="L69">
            <v>46238</v>
          </cell>
        </row>
        <row r="70">
          <cell r="A70" t="str">
            <v>CA-H2607-PD-097</v>
          </cell>
          <cell r="B70" t="str">
            <v>Hyperion</v>
          </cell>
          <cell r="C70">
            <v>11119380</v>
          </cell>
          <cell r="D70" t="str">
            <v>1911048-D-A</v>
          </cell>
          <cell r="E70" t="str">
            <v>HJ60JL402P10021 JP</v>
          </cell>
          <cell r="F70" t="str">
            <v>JAPAN</v>
          </cell>
          <cell r="G70">
            <v>19</v>
          </cell>
          <cell r="H70">
            <v>19</v>
          </cell>
          <cell r="I70">
            <v>0</v>
          </cell>
          <cell r="J70" t="str">
            <v>FINISH</v>
          </cell>
          <cell r="K70">
            <v>46230</v>
          </cell>
          <cell r="L70">
            <v>46238</v>
          </cell>
        </row>
        <row r="71">
          <cell r="A71" t="str">
            <v>CA-H2607-PD-098</v>
          </cell>
          <cell r="B71" t="str">
            <v>Hyperion</v>
          </cell>
          <cell r="C71">
            <v>11119381</v>
          </cell>
          <cell r="D71" t="str">
            <v>1911049-D-A</v>
          </cell>
          <cell r="E71" t="str">
            <v>HJ60JL450P10000 JP</v>
          </cell>
          <cell r="F71" t="str">
            <v>JAPAN</v>
          </cell>
          <cell r="G71">
            <v>11</v>
          </cell>
          <cell r="H71">
            <v>11</v>
          </cell>
          <cell r="I71">
            <v>0</v>
          </cell>
          <cell r="J71" t="str">
            <v>FINISH</v>
          </cell>
          <cell r="K71">
            <v>46230</v>
          </cell>
          <cell r="L71">
            <v>46238</v>
          </cell>
        </row>
        <row r="72">
          <cell r="A72" t="str">
            <v>CA-H2607-PD-099</v>
          </cell>
          <cell r="B72" t="str">
            <v>Hyperion</v>
          </cell>
          <cell r="C72">
            <v>11119382</v>
          </cell>
          <cell r="D72" t="str">
            <v>1911050-D-A</v>
          </cell>
          <cell r="E72" t="str">
            <v>HJ60JL452P10020 JP</v>
          </cell>
          <cell r="F72" t="str">
            <v>JAPAN</v>
          </cell>
          <cell r="G72">
            <v>3</v>
          </cell>
          <cell r="H72">
            <v>3</v>
          </cell>
          <cell r="I72">
            <v>0</v>
          </cell>
          <cell r="J72" t="str">
            <v>FINISH</v>
          </cell>
          <cell r="K72">
            <v>46230</v>
          </cell>
          <cell r="L72">
            <v>46238</v>
          </cell>
        </row>
        <row r="73">
          <cell r="A73" t="str">
            <v>CA-H2607-PD-100</v>
          </cell>
          <cell r="B73" t="str">
            <v>Hyperion</v>
          </cell>
          <cell r="C73">
            <v>11119385</v>
          </cell>
          <cell r="D73" t="str">
            <v>1911053-D-A</v>
          </cell>
          <cell r="E73" t="str">
            <v>HJ60JL500P10000 JP</v>
          </cell>
          <cell r="F73" t="str">
            <v>JAPAN</v>
          </cell>
          <cell r="G73">
            <v>14</v>
          </cell>
          <cell r="H73">
            <v>14</v>
          </cell>
          <cell r="I73">
            <v>0</v>
          </cell>
          <cell r="J73" t="str">
            <v>FINISH</v>
          </cell>
          <cell r="K73">
            <v>46230</v>
          </cell>
          <cell r="L73">
            <v>46238</v>
          </cell>
        </row>
        <row r="74">
          <cell r="A74" t="str">
            <v>CA-H2607-PD-101</v>
          </cell>
          <cell r="B74" t="str">
            <v>Hyperion</v>
          </cell>
          <cell r="C74">
            <v>11119387</v>
          </cell>
          <cell r="D74" t="str">
            <v>1911055-D-A</v>
          </cell>
          <cell r="E74" t="str">
            <v>HJ60JL500P10001 JP</v>
          </cell>
          <cell r="F74" t="str">
            <v>JAPAN</v>
          </cell>
          <cell r="G74">
            <v>3</v>
          </cell>
          <cell r="H74">
            <v>3</v>
          </cell>
          <cell r="I74">
            <v>0</v>
          </cell>
          <cell r="J74" t="str">
            <v>FINISH</v>
          </cell>
          <cell r="K74">
            <v>46230</v>
          </cell>
          <cell r="L74">
            <v>46238</v>
          </cell>
        </row>
        <row r="75">
          <cell r="A75" t="str">
            <v>CA-H2607-PD-102</v>
          </cell>
          <cell r="B75" t="str">
            <v>Hyperion</v>
          </cell>
          <cell r="C75">
            <v>11119386</v>
          </cell>
          <cell r="D75" t="str">
            <v>1911054-D-A</v>
          </cell>
          <cell r="E75" t="str">
            <v>HJ60JL502P10020 JP</v>
          </cell>
          <cell r="F75" t="str">
            <v>JAPAN</v>
          </cell>
          <cell r="G75">
            <v>6</v>
          </cell>
          <cell r="H75">
            <v>6</v>
          </cell>
          <cell r="I75">
            <v>0</v>
          </cell>
          <cell r="J75" t="str">
            <v>FINISH</v>
          </cell>
          <cell r="K75">
            <v>46230</v>
          </cell>
          <cell r="L75">
            <v>46238</v>
          </cell>
        </row>
        <row r="76">
          <cell r="A76" t="str">
            <v>CA-H2607-PD-103</v>
          </cell>
          <cell r="B76" t="str">
            <v>Hyperion</v>
          </cell>
          <cell r="C76">
            <v>11119389</v>
          </cell>
          <cell r="D76" t="str">
            <v>1911057-D-A</v>
          </cell>
          <cell r="E76" t="str">
            <v>HJ60JR350P10020 JP</v>
          </cell>
          <cell r="F76" t="str">
            <v>JAPAN</v>
          </cell>
          <cell r="G76">
            <v>22</v>
          </cell>
          <cell r="H76">
            <v>22</v>
          </cell>
          <cell r="I76">
            <v>0</v>
          </cell>
          <cell r="J76" t="str">
            <v>FINISH</v>
          </cell>
          <cell r="K76">
            <v>46230</v>
          </cell>
          <cell r="L76">
            <v>46238</v>
          </cell>
        </row>
        <row r="77">
          <cell r="A77" t="str">
            <v>CA-H2607-PD-104</v>
          </cell>
          <cell r="B77" t="str">
            <v>Hyperion</v>
          </cell>
          <cell r="C77">
            <v>11119390</v>
          </cell>
          <cell r="D77" t="str">
            <v>1911058-D-A</v>
          </cell>
          <cell r="E77" t="str">
            <v>HJ60JR352P10020 JP</v>
          </cell>
          <cell r="F77" t="str">
            <v>JAPAN</v>
          </cell>
          <cell r="G77">
            <v>6</v>
          </cell>
          <cell r="H77">
            <v>6</v>
          </cell>
          <cell r="I77">
            <v>0</v>
          </cell>
          <cell r="J77" t="str">
            <v>FINISH</v>
          </cell>
          <cell r="K77">
            <v>46230</v>
          </cell>
          <cell r="L77">
            <v>46238</v>
          </cell>
        </row>
        <row r="78">
          <cell r="A78" t="str">
            <v>CA-H2607-PD-105</v>
          </cell>
          <cell r="B78" t="str">
            <v>Hyperion</v>
          </cell>
          <cell r="C78">
            <v>11119392</v>
          </cell>
          <cell r="D78" t="str">
            <v>1911060-D-A</v>
          </cell>
          <cell r="E78" t="str">
            <v>HJ60JR400P09020 JP</v>
          </cell>
          <cell r="F78" t="str">
            <v>JAPAN</v>
          </cell>
          <cell r="G78">
            <v>10</v>
          </cell>
          <cell r="H78">
            <v>10</v>
          </cell>
          <cell r="I78">
            <v>0</v>
          </cell>
          <cell r="J78" t="str">
            <v>FINISH</v>
          </cell>
          <cell r="K78">
            <v>46230</v>
          </cell>
          <cell r="L78">
            <v>46238</v>
          </cell>
        </row>
        <row r="79">
          <cell r="A79" t="str">
            <v>CA-H2607-PD-106</v>
          </cell>
          <cell r="B79" t="str">
            <v>Hyperion</v>
          </cell>
          <cell r="C79">
            <v>11119391</v>
          </cell>
          <cell r="D79" t="str">
            <v>1911059-D-A</v>
          </cell>
          <cell r="E79" t="str">
            <v>HJ60JR400P10020 JP</v>
          </cell>
          <cell r="F79" t="str">
            <v>JAPAN</v>
          </cell>
          <cell r="G79">
            <v>461</v>
          </cell>
          <cell r="H79">
            <v>461</v>
          </cell>
          <cell r="I79">
            <v>0</v>
          </cell>
          <cell r="J79" t="str">
            <v>FINISH</v>
          </cell>
          <cell r="K79">
            <v>46230</v>
          </cell>
          <cell r="L79">
            <v>46238</v>
          </cell>
        </row>
        <row r="80">
          <cell r="A80" t="str">
            <v>CA-H2607-PD-107</v>
          </cell>
          <cell r="B80" t="str">
            <v>Hyperion</v>
          </cell>
          <cell r="C80">
            <v>11119394</v>
          </cell>
          <cell r="D80" t="str">
            <v>1911062-D-A</v>
          </cell>
          <cell r="E80" t="str">
            <v>HJ60JR402P09020 JP</v>
          </cell>
          <cell r="F80" t="str">
            <v>JAPAN</v>
          </cell>
          <cell r="G80">
            <v>3</v>
          </cell>
          <cell r="H80">
            <v>3</v>
          </cell>
          <cell r="I80">
            <v>0</v>
          </cell>
          <cell r="J80" t="str">
            <v>FINISH</v>
          </cell>
          <cell r="K80">
            <v>46230</v>
          </cell>
          <cell r="L80">
            <v>46238</v>
          </cell>
        </row>
        <row r="81">
          <cell r="A81" t="str">
            <v>CA-H2607-PD-108</v>
          </cell>
          <cell r="B81" t="str">
            <v>Hyperion</v>
          </cell>
          <cell r="C81">
            <v>11119393</v>
          </cell>
          <cell r="D81" t="str">
            <v>1911061-D-A</v>
          </cell>
          <cell r="E81" t="str">
            <v>HJ60JR402P10020 JP</v>
          </cell>
          <cell r="F81" t="str">
            <v>JAPAN</v>
          </cell>
          <cell r="G81">
            <v>155</v>
          </cell>
          <cell r="H81">
            <v>155</v>
          </cell>
          <cell r="I81">
            <v>0</v>
          </cell>
          <cell r="J81" t="str">
            <v>FINISH</v>
          </cell>
          <cell r="K81">
            <v>46230</v>
          </cell>
          <cell r="L81">
            <v>46238</v>
          </cell>
        </row>
        <row r="82">
          <cell r="A82" t="str">
            <v>CA-H2607-PD-109</v>
          </cell>
          <cell r="B82" t="str">
            <v>Hyperion</v>
          </cell>
          <cell r="C82">
            <v>11119395</v>
          </cell>
          <cell r="D82" t="str">
            <v>1911063-D-A</v>
          </cell>
          <cell r="E82" t="str">
            <v>HJ60JR450P10020 JP</v>
          </cell>
          <cell r="F82" t="str">
            <v>JAPAN</v>
          </cell>
          <cell r="G82">
            <v>1</v>
          </cell>
          <cell r="H82">
            <v>1</v>
          </cell>
          <cell r="I82">
            <v>0</v>
          </cell>
          <cell r="J82" t="str">
            <v>FINISH</v>
          </cell>
          <cell r="K82">
            <v>46230</v>
          </cell>
          <cell r="L82">
            <v>46238</v>
          </cell>
        </row>
        <row r="83">
          <cell r="A83" t="str">
            <v>CA-H2607-PD-110</v>
          </cell>
          <cell r="B83" t="str">
            <v>Hyperion</v>
          </cell>
          <cell r="C83">
            <v>11119396</v>
          </cell>
          <cell r="D83" t="str">
            <v>1911064-D-A</v>
          </cell>
          <cell r="E83" t="str">
            <v>HJ60JR452P10020 JP</v>
          </cell>
          <cell r="F83" t="str">
            <v>JAPAN</v>
          </cell>
          <cell r="G83">
            <v>4</v>
          </cell>
          <cell r="H83">
            <v>4</v>
          </cell>
          <cell r="I83">
            <v>0</v>
          </cell>
          <cell r="J83" t="str">
            <v>FINISH</v>
          </cell>
          <cell r="K83">
            <v>46230</v>
          </cell>
          <cell r="L83">
            <v>46238</v>
          </cell>
        </row>
        <row r="84">
          <cell r="A84" t="str">
            <v>CA-H2607-PD-111</v>
          </cell>
          <cell r="B84" t="str">
            <v>Hyperion</v>
          </cell>
          <cell r="C84">
            <v>11119397</v>
          </cell>
          <cell r="D84" t="str">
            <v>1911065-D-A</v>
          </cell>
          <cell r="E84" t="str">
            <v>HJ60JR500P10020 JP</v>
          </cell>
          <cell r="F84" t="str">
            <v>JAPAN</v>
          </cell>
          <cell r="G84">
            <v>5</v>
          </cell>
          <cell r="H84">
            <v>5</v>
          </cell>
          <cell r="I84">
            <v>0</v>
          </cell>
          <cell r="J84" t="str">
            <v>FINISH</v>
          </cell>
          <cell r="K84">
            <v>46230</v>
          </cell>
          <cell r="L84">
            <v>46238</v>
          </cell>
        </row>
        <row r="85">
          <cell r="A85" t="str">
            <v>CA-H2607-PD-112</v>
          </cell>
          <cell r="B85" t="str">
            <v>Hyperion</v>
          </cell>
          <cell r="C85">
            <v>11119398</v>
          </cell>
          <cell r="D85" t="str">
            <v>1911066-D-A</v>
          </cell>
          <cell r="E85" t="str">
            <v>HJ60JR502P10020 JP</v>
          </cell>
          <cell r="F85" t="str">
            <v>JAPAN</v>
          </cell>
          <cell r="G85">
            <v>11</v>
          </cell>
          <cell r="H85">
            <v>11</v>
          </cell>
          <cell r="I85">
            <v>0</v>
          </cell>
          <cell r="J85" t="str">
            <v>FINISH</v>
          </cell>
          <cell r="K85">
            <v>46230</v>
          </cell>
          <cell r="L85">
            <v>46238</v>
          </cell>
        </row>
        <row r="86">
          <cell r="A86" t="str">
            <v>CA-H2607-PD-113</v>
          </cell>
          <cell r="B86" t="str">
            <v>HyperionYubo changed</v>
          </cell>
          <cell r="C86">
            <v>11134250</v>
          </cell>
          <cell r="D86" t="str">
            <v>1911067-E-A</v>
          </cell>
          <cell r="E86" t="str">
            <v>HJ60PB300P10000 JP</v>
          </cell>
          <cell r="F86" t="str">
            <v>JAPAN</v>
          </cell>
          <cell r="G86">
            <v>50</v>
          </cell>
          <cell r="H86">
            <v>50</v>
          </cell>
          <cell r="I86">
            <v>0</v>
          </cell>
          <cell r="J86" t="str">
            <v>FINISH</v>
          </cell>
          <cell r="K86">
            <v>46230</v>
          </cell>
          <cell r="L86">
            <v>46238</v>
          </cell>
        </row>
        <row r="87">
          <cell r="A87" t="str">
            <v>CA-H2607-PD-114</v>
          </cell>
          <cell r="B87" t="str">
            <v>HyperionYubo changed</v>
          </cell>
          <cell r="C87">
            <v>11134251</v>
          </cell>
          <cell r="D87" t="str">
            <v>1911068-E-A</v>
          </cell>
          <cell r="E87" t="str">
            <v>HJ60PB302P10020 JP</v>
          </cell>
          <cell r="F87" t="str">
            <v>JAPAN</v>
          </cell>
          <cell r="G87">
            <v>20</v>
          </cell>
          <cell r="H87">
            <v>20</v>
          </cell>
          <cell r="I87">
            <v>0</v>
          </cell>
          <cell r="J87" t="str">
            <v>FINISH</v>
          </cell>
          <cell r="K87">
            <v>46230</v>
          </cell>
          <cell r="L87">
            <v>46238</v>
          </cell>
        </row>
        <row r="88">
          <cell r="A88" t="str">
            <v>CA-H2607-PD-115</v>
          </cell>
          <cell r="B88" t="str">
            <v>HyperionYubo changed</v>
          </cell>
          <cell r="C88">
            <v>11134252</v>
          </cell>
          <cell r="D88" t="str">
            <v>1911069-F-A</v>
          </cell>
          <cell r="E88" t="str">
            <v>HJ60PB350P10000 JP</v>
          </cell>
          <cell r="F88" t="str">
            <v>JAPAN</v>
          </cell>
          <cell r="G88">
            <v>159</v>
          </cell>
          <cell r="H88">
            <v>159</v>
          </cell>
          <cell r="I88">
            <v>0</v>
          </cell>
          <cell r="J88" t="str">
            <v>FINISH</v>
          </cell>
          <cell r="K88">
            <v>46230</v>
          </cell>
          <cell r="L88">
            <v>46238</v>
          </cell>
        </row>
        <row r="89">
          <cell r="A89" t="str">
            <v>CA-H2607-PD-116</v>
          </cell>
          <cell r="B89" t="str">
            <v>HyperionYubo changed</v>
          </cell>
          <cell r="C89">
            <v>11134253</v>
          </cell>
          <cell r="D89" t="str">
            <v>1911070-E-A</v>
          </cell>
          <cell r="E89" t="str">
            <v>HJ60PB352P10020 JP</v>
          </cell>
          <cell r="F89" t="str">
            <v>JAPAN</v>
          </cell>
          <cell r="G89">
            <v>50</v>
          </cell>
          <cell r="H89">
            <v>50</v>
          </cell>
          <cell r="I89">
            <v>0</v>
          </cell>
          <cell r="J89" t="str">
            <v>FINISH</v>
          </cell>
          <cell r="K89">
            <v>46230</v>
          </cell>
          <cell r="L89">
            <v>46238</v>
          </cell>
        </row>
        <row r="90">
          <cell r="A90" t="str">
            <v>CA-H2607-PD-117</v>
          </cell>
          <cell r="B90" t="str">
            <v>HyperionYubo changed</v>
          </cell>
          <cell r="C90">
            <v>11134254</v>
          </cell>
          <cell r="D90" t="str">
            <v>1911071-E-A</v>
          </cell>
          <cell r="E90" t="str">
            <v>HJ60PB400P10000 JP</v>
          </cell>
          <cell r="F90" t="str">
            <v>JAPAN</v>
          </cell>
          <cell r="G90">
            <v>33</v>
          </cell>
          <cell r="H90">
            <v>33</v>
          </cell>
          <cell r="I90">
            <v>0</v>
          </cell>
          <cell r="J90" t="str">
            <v>FINISH</v>
          </cell>
          <cell r="K90">
            <v>46230</v>
          </cell>
          <cell r="L90">
            <v>46238</v>
          </cell>
        </row>
        <row r="91">
          <cell r="A91" t="str">
            <v>CA-H2607-PD-118</v>
          </cell>
          <cell r="B91" t="str">
            <v>HyperionYubo changed</v>
          </cell>
          <cell r="C91">
            <v>11134255</v>
          </cell>
          <cell r="D91" t="str">
            <v>1911072-E-A</v>
          </cell>
          <cell r="E91" t="str">
            <v>HJ60PB402P10020 JP</v>
          </cell>
          <cell r="F91" t="str">
            <v>JAPAN</v>
          </cell>
          <cell r="G91">
            <v>7</v>
          </cell>
          <cell r="H91">
            <v>7</v>
          </cell>
          <cell r="I91">
            <v>0</v>
          </cell>
          <cell r="J91" t="str">
            <v>FINISH</v>
          </cell>
          <cell r="K91">
            <v>46230</v>
          </cell>
          <cell r="L91">
            <v>46238</v>
          </cell>
        </row>
        <row r="92">
          <cell r="A92" t="str">
            <v>CA-H2607-PD-119</v>
          </cell>
          <cell r="B92" t="str">
            <v>Hyperion</v>
          </cell>
          <cell r="C92">
            <v>11119405</v>
          </cell>
          <cell r="D92" t="str">
            <v>1911073-D-A</v>
          </cell>
          <cell r="E92" t="str">
            <v>HJ60RB070P10020 JP</v>
          </cell>
          <cell r="F92" t="str">
            <v>JAPAN</v>
          </cell>
          <cell r="G92">
            <v>2</v>
          </cell>
          <cell r="H92">
            <v>2</v>
          </cell>
          <cell r="I92">
            <v>0</v>
          </cell>
          <cell r="J92" t="str">
            <v>FINISH</v>
          </cell>
          <cell r="K92">
            <v>46230</v>
          </cell>
          <cell r="L92">
            <v>46238</v>
          </cell>
        </row>
        <row r="93">
          <cell r="A93" t="str">
            <v>CA-H2607-PD-120</v>
          </cell>
          <cell r="B93" t="str">
            <v>Hyperion</v>
          </cell>
          <cell r="C93">
            <v>11119406</v>
          </cell>
          <cell r="D93" t="str">
            <v>1911074-D-A</v>
          </cell>
          <cell r="E93" t="str">
            <v>HJ60RB072P10020 JP</v>
          </cell>
          <cell r="F93" t="str">
            <v>JAPAN</v>
          </cell>
          <cell r="G93">
            <v>3</v>
          </cell>
          <cell r="H93">
            <v>3</v>
          </cell>
          <cell r="I93">
            <v>0</v>
          </cell>
          <cell r="J93" t="str">
            <v>FINISH</v>
          </cell>
          <cell r="K93">
            <v>46230</v>
          </cell>
          <cell r="L93">
            <v>46238</v>
          </cell>
        </row>
        <row r="94">
          <cell r="A94" t="str">
            <v>CA-H2607-PD-121</v>
          </cell>
          <cell r="B94" t="str">
            <v>Hyperion</v>
          </cell>
          <cell r="C94">
            <v>11119407</v>
          </cell>
          <cell r="D94" t="str">
            <v>1911075-D-A</v>
          </cell>
          <cell r="E94" t="str">
            <v>HJ60RB100P10020 JP</v>
          </cell>
          <cell r="F94" t="str">
            <v>JAPAN</v>
          </cell>
          <cell r="G94">
            <v>22</v>
          </cell>
          <cell r="H94">
            <v>22</v>
          </cell>
          <cell r="I94">
            <v>0</v>
          </cell>
          <cell r="J94" t="str">
            <v>FINISH</v>
          </cell>
          <cell r="K94">
            <v>46230</v>
          </cell>
          <cell r="L94">
            <v>46238</v>
          </cell>
        </row>
        <row r="95">
          <cell r="A95" t="str">
            <v>CA-H2607-PD-122</v>
          </cell>
          <cell r="B95" t="str">
            <v>Hyperion</v>
          </cell>
          <cell r="C95">
            <v>11119408</v>
          </cell>
          <cell r="D95" t="str">
            <v>1911076-D-A</v>
          </cell>
          <cell r="E95" t="str">
            <v>HJ60RB102P10020 JP</v>
          </cell>
          <cell r="F95" t="str">
            <v>JAPAN</v>
          </cell>
          <cell r="G95">
            <v>12</v>
          </cell>
          <cell r="H95">
            <v>12</v>
          </cell>
          <cell r="I95">
            <v>0</v>
          </cell>
          <cell r="J95" t="str">
            <v>FINISH</v>
          </cell>
          <cell r="K95">
            <v>46230</v>
          </cell>
          <cell r="L95">
            <v>46238</v>
          </cell>
        </row>
        <row r="96">
          <cell r="A96" t="str">
            <v>CA-H2607-PD-123</v>
          </cell>
          <cell r="B96" t="str">
            <v>Hyperion</v>
          </cell>
          <cell r="C96">
            <v>11119421</v>
          </cell>
          <cell r="D96" t="str">
            <v>1911089-D-A</v>
          </cell>
          <cell r="E96" t="str">
            <v>HJ60SC350P10000 JP</v>
          </cell>
          <cell r="F96" t="str">
            <v>JAPAN</v>
          </cell>
          <cell r="G96">
            <v>19</v>
          </cell>
          <cell r="H96">
            <v>19</v>
          </cell>
          <cell r="I96">
            <v>0</v>
          </cell>
          <cell r="J96" t="str">
            <v>FINISH</v>
          </cell>
          <cell r="K96">
            <v>46230</v>
          </cell>
          <cell r="L96">
            <v>46238</v>
          </cell>
        </row>
        <row r="97">
          <cell r="A97" t="str">
            <v>CA-H2607-PD-124</v>
          </cell>
          <cell r="B97" t="str">
            <v>Hyperion</v>
          </cell>
          <cell r="C97">
            <v>11119422</v>
          </cell>
          <cell r="D97" t="str">
            <v>1911090-D-A</v>
          </cell>
          <cell r="E97" t="str">
            <v>HJ60SC352P10020 JP</v>
          </cell>
          <cell r="F97" t="str">
            <v>JAPAN</v>
          </cell>
          <cell r="G97">
            <v>6</v>
          </cell>
          <cell r="H97">
            <v>6</v>
          </cell>
          <cell r="I97">
            <v>0</v>
          </cell>
          <cell r="J97" t="str">
            <v>FINISH</v>
          </cell>
          <cell r="K97">
            <v>46230</v>
          </cell>
          <cell r="L97">
            <v>46238</v>
          </cell>
        </row>
        <row r="98">
          <cell r="A98" t="str">
            <v>CA-H2607-PD-125</v>
          </cell>
          <cell r="B98" t="str">
            <v>Hyperion</v>
          </cell>
          <cell r="C98">
            <v>11119423</v>
          </cell>
          <cell r="D98" t="str">
            <v>1911091-D-A</v>
          </cell>
          <cell r="E98" t="str">
            <v>HJ60SC400P10000 JP</v>
          </cell>
          <cell r="F98" t="str">
            <v>JAPAN</v>
          </cell>
          <cell r="G98">
            <v>38</v>
          </cell>
          <cell r="H98">
            <v>38</v>
          </cell>
          <cell r="I98">
            <v>0</v>
          </cell>
          <cell r="J98" t="str">
            <v>FINISH</v>
          </cell>
          <cell r="K98">
            <v>46230</v>
          </cell>
          <cell r="L98">
            <v>46238</v>
          </cell>
        </row>
        <row r="99">
          <cell r="A99" t="str">
            <v>CA-H2607-PD-126</v>
          </cell>
          <cell r="B99" t="str">
            <v>Hyperion</v>
          </cell>
          <cell r="C99">
            <v>11119436</v>
          </cell>
          <cell r="D99" t="str">
            <v>2111063-D-A</v>
          </cell>
          <cell r="E99" t="str">
            <v>HJ60SL102P10000 JP</v>
          </cell>
          <cell r="F99" t="str">
            <v>JAPAN</v>
          </cell>
          <cell r="G99">
            <v>3</v>
          </cell>
          <cell r="H99">
            <v>3</v>
          </cell>
          <cell r="I99">
            <v>0</v>
          </cell>
          <cell r="J99" t="str">
            <v>FINISH</v>
          </cell>
          <cell r="K99">
            <v>46230</v>
          </cell>
          <cell r="L99">
            <v>46238</v>
          </cell>
        </row>
        <row r="100">
          <cell r="A100" t="str">
            <v>CA-H2607-PD-127</v>
          </cell>
          <cell r="B100" t="str">
            <v>HyperionYubo changed</v>
          </cell>
          <cell r="C100">
            <v>11134256</v>
          </cell>
          <cell r="D100" t="str">
            <v>1911093-F-A</v>
          </cell>
          <cell r="E100" t="str">
            <v>HJ60SP300P10000 JP</v>
          </cell>
          <cell r="F100" t="str">
            <v>JAPAN</v>
          </cell>
          <cell r="G100">
            <v>101</v>
          </cell>
          <cell r="H100">
            <v>101</v>
          </cell>
          <cell r="I100">
            <v>0</v>
          </cell>
          <cell r="J100" t="str">
            <v>FINISH</v>
          </cell>
          <cell r="K100">
            <v>46230</v>
          </cell>
          <cell r="L100">
            <v>46238</v>
          </cell>
        </row>
        <row r="101">
          <cell r="A101" t="str">
            <v>CA-H2607-PD-128</v>
          </cell>
          <cell r="B101" t="str">
            <v>HyperionYubo changed</v>
          </cell>
          <cell r="C101">
            <v>11134257</v>
          </cell>
          <cell r="D101" t="str">
            <v>1911094-E-A</v>
          </cell>
          <cell r="E101" t="str">
            <v>HJ60SP302P10020 JP</v>
          </cell>
          <cell r="F101" t="str">
            <v>JAPAN</v>
          </cell>
          <cell r="G101">
            <v>42</v>
          </cell>
          <cell r="H101">
            <v>42</v>
          </cell>
          <cell r="I101">
            <v>0</v>
          </cell>
          <cell r="J101" t="str">
            <v>FINISH</v>
          </cell>
          <cell r="K101">
            <v>46230</v>
          </cell>
          <cell r="L101">
            <v>46238</v>
          </cell>
        </row>
        <row r="102">
          <cell r="A102" t="str">
            <v>CA-H2607-PD-129</v>
          </cell>
          <cell r="B102" t="str">
            <v>HyperionYubo changed</v>
          </cell>
          <cell r="C102">
            <v>11134258</v>
          </cell>
          <cell r="D102" t="str">
            <v>1911095-E-A</v>
          </cell>
          <cell r="E102" t="str">
            <v>HJ60SP320P10000 JP</v>
          </cell>
          <cell r="F102" t="str">
            <v>JAPAN</v>
          </cell>
          <cell r="G102">
            <v>44</v>
          </cell>
          <cell r="H102">
            <v>44</v>
          </cell>
          <cell r="I102">
            <v>0</v>
          </cell>
          <cell r="J102" t="str">
            <v>FINISH</v>
          </cell>
          <cell r="K102">
            <v>46230</v>
          </cell>
          <cell r="L102">
            <v>46238</v>
          </cell>
        </row>
        <row r="103">
          <cell r="A103" t="str">
            <v>CA-H2607-PD-130</v>
          </cell>
          <cell r="B103" t="str">
            <v>HyperionYubo changed</v>
          </cell>
          <cell r="C103">
            <v>11134259</v>
          </cell>
          <cell r="D103" t="str">
            <v>1911096-E-A</v>
          </cell>
          <cell r="E103" t="str">
            <v>HJ60SP322P10020 JP</v>
          </cell>
          <cell r="F103" t="str">
            <v>JAPAN</v>
          </cell>
          <cell r="G103">
            <v>15</v>
          </cell>
          <cell r="H103">
            <v>15</v>
          </cell>
          <cell r="I103">
            <v>0</v>
          </cell>
          <cell r="J103" t="str">
            <v>FINISH</v>
          </cell>
          <cell r="K103">
            <v>46230</v>
          </cell>
          <cell r="L103">
            <v>46238</v>
          </cell>
        </row>
        <row r="104">
          <cell r="A104" t="str">
            <v>CA-H2607-PD-131</v>
          </cell>
          <cell r="B104" t="str">
            <v>HyperionYubo changed</v>
          </cell>
          <cell r="C104">
            <v>11134260</v>
          </cell>
          <cell r="D104" t="str">
            <v>1911097-F-A</v>
          </cell>
          <cell r="E104" t="str">
            <v>HJ60SP350P10000 JP</v>
          </cell>
          <cell r="F104" t="str">
            <v>JAPAN</v>
          </cell>
          <cell r="G104">
            <v>1302</v>
          </cell>
          <cell r="H104">
            <v>1302</v>
          </cell>
          <cell r="I104">
            <v>0</v>
          </cell>
          <cell r="J104" t="str">
            <v>FINISH</v>
          </cell>
          <cell r="K104">
            <v>46230</v>
          </cell>
          <cell r="L104">
            <v>46238</v>
          </cell>
        </row>
        <row r="105">
          <cell r="A105" t="str">
            <v>CA-H2607-PD-132</v>
          </cell>
          <cell r="B105" t="str">
            <v>HyperionYubo changed</v>
          </cell>
          <cell r="C105">
            <v>11134261</v>
          </cell>
          <cell r="D105" t="str">
            <v>1911098-F-A</v>
          </cell>
          <cell r="E105" t="str">
            <v>HJ60SP352P10020 JP</v>
          </cell>
          <cell r="F105" t="str">
            <v>JAPAN</v>
          </cell>
          <cell r="G105">
            <v>285</v>
          </cell>
          <cell r="H105">
            <v>285</v>
          </cell>
          <cell r="I105">
            <v>0</v>
          </cell>
          <cell r="J105" t="str">
            <v>FINISH</v>
          </cell>
          <cell r="K105">
            <v>46230</v>
          </cell>
          <cell r="L105">
            <v>46238</v>
          </cell>
        </row>
        <row r="106">
          <cell r="A106" t="str">
            <v>CA-H2607-PD-133</v>
          </cell>
          <cell r="B106" t="str">
            <v>HyperionYubo changed</v>
          </cell>
          <cell r="C106">
            <v>11134262</v>
          </cell>
          <cell r="D106" t="str">
            <v>1911099-F-A</v>
          </cell>
          <cell r="E106" t="str">
            <v>HJ60SP370P10000 JP</v>
          </cell>
          <cell r="F106" t="str">
            <v>JAPAN</v>
          </cell>
          <cell r="G106">
            <v>265</v>
          </cell>
          <cell r="H106">
            <v>265</v>
          </cell>
          <cell r="I106">
            <v>0</v>
          </cell>
          <cell r="J106" t="str">
            <v>FINISH</v>
          </cell>
          <cell r="K106">
            <v>46230</v>
          </cell>
          <cell r="L106">
            <v>46238</v>
          </cell>
        </row>
        <row r="107">
          <cell r="A107" t="str">
            <v>CA-H2607-PD-134</v>
          </cell>
          <cell r="B107" t="str">
            <v>HyperionYubo changed</v>
          </cell>
          <cell r="C107">
            <v>11134263</v>
          </cell>
          <cell r="D107" t="str">
            <v>1911100-F-A</v>
          </cell>
          <cell r="E107" t="str">
            <v>HJ60SP372P10020 JP</v>
          </cell>
          <cell r="F107" t="str">
            <v>JAPAN</v>
          </cell>
          <cell r="G107">
            <v>121</v>
          </cell>
          <cell r="H107">
            <v>121</v>
          </cell>
          <cell r="I107">
            <v>0</v>
          </cell>
          <cell r="J107" t="str">
            <v>FINISH</v>
          </cell>
          <cell r="K107">
            <v>46230</v>
          </cell>
          <cell r="L107">
            <v>46238</v>
          </cell>
        </row>
        <row r="108">
          <cell r="A108" t="str">
            <v>CA-H2607-PD-135</v>
          </cell>
          <cell r="B108" t="str">
            <v>HyperionYubo changed</v>
          </cell>
          <cell r="C108">
            <v>11134264</v>
          </cell>
          <cell r="D108" t="str">
            <v>1911101-F-A</v>
          </cell>
          <cell r="E108" t="str">
            <v>HJ60SP400P10000 JP</v>
          </cell>
          <cell r="F108" t="str">
            <v>JAPAN</v>
          </cell>
          <cell r="G108">
            <v>54</v>
          </cell>
          <cell r="H108">
            <v>54</v>
          </cell>
          <cell r="I108">
            <v>0</v>
          </cell>
          <cell r="J108" t="str">
            <v>FINISH</v>
          </cell>
          <cell r="K108">
            <v>46230</v>
          </cell>
          <cell r="L108">
            <v>46238</v>
          </cell>
        </row>
        <row r="109">
          <cell r="A109" t="str">
            <v>CA-H2607-PD-136</v>
          </cell>
          <cell r="B109" t="str">
            <v>HyperionYubo changed</v>
          </cell>
          <cell r="C109">
            <v>11134265</v>
          </cell>
          <cell r="D109" t="str">
            <v>1911102-E-A</v>
          </cell>
          <cell r="E109" t="str">
            <v>HJ60SP402P10020 JP</v>
          </cell>
          <cell r="F109" t="str">
            <v>JAPAN</v>
          </cell>
          <cell r="G109">
            <v>39</v>
          </cell>
          <cell r="H109">
            <v>39</v>
          </cell>
          <cell r="I109">
            <v>0</v>
          </cell>
          <cell r="J109" t="str">
            <v>FINISH</v>
          </cell>
          <cell r="K109">
            <v>46230</v>
          </cell>
          <cell r="L109">
            <v>46238</v>
          </cell>
        </row>
        <row r="110">
          <cell r="A110" t="str">
            <v>CA-H2607-PD-137</v>
          </cell>
          <cell r="B110" t="str">
            <v>Hyperion</v>
          </cell>
          <cell r="C110">
            <v>11119536</v>
          </cell>
          <cell r="D110" t="str">
            <v>1911202-D-A</v>
          </cell>
          <cell r="E110" t="str">
            <v>HJ70AL070P09022 JP</v>
          </cell>
          <cell r="F110" t="str">
            <v>JAPAN</v>
          </cell>
          <cell r="G110">
            <v>3</v>
          </cell>
          <cell r="H110">
            <v>3</v>
          </cell>
          <cell r="I110">
            <v>0</v>
          </cell>
          <cell r="J110" t="str">
            <v>FINISH</v>
          </cell>
          <cell r="K110">
            <v>46230</v>
          </cell>
          <cell r="L110">
            <v>46238</v>
          </cell>
        </row>
        <row r="111">
          <cell r="A111" t="str">
            <v>CA-H2607-PD-138</v>
          </cell>
          <cell r="B111" t="str">
            <v>Hyperion</v>
          </cell>
          <cell r="C111">
            <v>11119437</v>
          </cell>
          <cell r="D111" t="str">
            <v>1911103-D-A</v>
          </cell>
          <cell r="E111" t="str">
            <v>HJ70AL070P10020 JP</v>
          </cell>
          <cell r="F111" t="str">
            <v>JAPAN</v>
          </cell>
          <cell r="G111">
            <v>12</v>
          </cell>
          <cell r="H111">
            <v>12</v>
          </cell>
          <cell r="I111">
            <v>0</v>
          </cell>
          <cell r="J111" t="str">
            <v>FINISH</v>
          </cell>
          <cell r="K111">
            <v>46230</v>
          </cell>
          <cell r="L111">
            <v>46238</v>
          </cell>
        </row>
        <row r="112">
          <cell r="A112" t="str">
            <v>CA-H2607-PD-139</v>
          </cell>
          <cell r="B112" t="str">
            <v>Hyperion</v>
          </cell>
          <cell r="C112">
            <v>11119440</v>
          </cell>
          <cell r="D112" t="str">
            <v>1911106-D-A</v>
          </cell>
          <cell r="E112" t="str">
            <v>HJ70AL070P10021 JP</v>
          </cell>
          <cell r="F112" t="str">
            <v>JAPAN</v>
          </cell>
          <cell r="G112">
            <v>1</v>
          </cell>
          <cell r="H112">
            <v>1</v>
          </cell>
          <cell r="I112">
            <v>0</v>
          </cell>
          <cell r="J112" t="str">
            <v>FINISH</v>
          </cell>
          <cell r="K112">
            <v>46230</v>
          </cell>
          <cell r="L112">
            <v>46238</v>
          </cell>
        </row>
        <row r="113">
          <cell r="A113" t="str">
            <v>CA-H2607-PD-140</v>
          </cell>
          <cell r="B113" t="str">
            <v>Hyperion</v>
          </cell>
          <cell r="C113">
            <v>11119535</v>
          </cell>
          <cell r="D113" t="str">
            <v>1911201-D-A</v>
          </cell>
          <cell r="E113" t="str">
            <v>HJ70AL070P10022 JP</v>
          </cell>
          <cell r="F113" t="str">
            <v>JAPAN</v>
          </cell>
          <cell r="G113">
            <v>39</v>
          </cell>
          <cell r="H113">
            <v>39</v>
          </cell>
          <cell r="I113">
            <v>0</v>
          </cell>
          <cell r="J113" t="str">
            <v>FINISH</v>
          </cell>
          <cell r="K113">
            <v>46230</v>
          </cell>
          <cell r="L113">
            <v>46238</v>
          </cell>
        </row>
        <row r="114">
          <cell r="A114" t="str">
            <v>CA-H2607-PD-141</v>
          </cell>
          <cell r="B114" t="str">
            <v>Hyperion</v>
          </cell>
          <cell r="C114">
            <v>11119538</v>
          </cell>
          <cell r="D114" t="str">
            <v>1911204-D-A</v>
          </cell>
          <cell r="E114" t="str">
            <v>HJ70AL072P09022 JP</v>
          </cell>
          <cell r="F114" t="str">
            <v>JAPAN</v>
          </cell>
          <cell r="G114">
            <v>8</v>
          </cell>
          <cell r="H114">
            <v>8</v>
          </cell>
          <cell r="I114">
            <v>0</v>
          </cell>
          <cell r="J114" t="str">
            <v>FINISH</v>
          </cell>
          <cell r="K114">
            <v>46230</v>
          </cell>
          <cell r="L114">
            <v>46238</v>
          </cell>
        </row>
        <row r="115">
          <cell r="A115" t="str">
            <v>CA-H2607-PD-142</v>
          </cell>
          <cell r="B115" t="str">
            <v>Hyperion</v>
          </cell>
          <cell r="C115">
            <v>11119438</v>
          </cell>
          <cell r="D115" t="str">
            <v>1911104-D-A</v>
          </cell>
          <cell r="E115" t="str">
            <v>HJ70AL072P10020 JP</v>
          </cell>
          <cell r="F115" t="str">
            <v>JAPAN</v>
          </cell>
          <cell r="G115">
            <v>97</v>
          </cell>
          <cell r="H115">
            <v>97</v>
          </cell>
          <cell r="I115">
            <v>0</v>
          </cell>
          <cell r="J115" t="str">
            <v>FINISH</v>
          </cell>
          <cell r="K115">
            <v>46230</v>
          </cell>
          <cell r="L115">
            <v>46238</v>
          </cell>
        </row>
        <row r="116">
          <cell r="A116" t="str">
            <v>CA-H2607-PD-143</v>
          </cell>
          <cell r="B116" t="str">
            <v>Hyperion</v>
          </cell>
          <cell r="C116">
            <v>11119441</v>
          </cell>
          <cell r="D116" t="str">
            <v>1911107-D-A</v>
          </cell>
          <cell r="E116" t="str">
            <v>HJ70AL072P10021 JP</v>
          </cell>
          <cell r="F116" t="str">
            <v>JAPAN</v>
          </cell>
          <cell r="G116">
            <v>9</v>
          </cell>
          <cell r="H116">
            <v>9</v>
          </cell>
          <cell r="I116">
            <v>0</v>
          </cell>
          <cell r="J116" t="str">
            <v>FINISH</v>
          </cell>
          <cell r="K116">
            <v>46230</v>
          </cell>
          <cell r="L116">
            <v>46238</v>
          </cell>
        </row>
        <row r="117">
          <cell r="A117" t="str">
            <v>CA-H2607-PD-144</v>
          </cell>
          <cell r="B117" t="str">
            <v>Hyperion</v>
          </cell>
          <cell r="C117">
            <v>11119537</v>
          </cell>
          <cell r="D117" t="str">
            <v>1911203-D-A</v>
          </cell>
          <cell r="E117" t="str">
            <v>HJ70AL072P10022 JP</v>
          </cell>
          <cell r="F117" t="str">
            <v>JAPAN</v>
          </cell>
          <cell r="G117">
            <v>37</v>
          </cell>
          <cell r="H117">
            <v>37</v>
          </cell>
          <cell r="I117">
            <v>0</v>
          </cell>
          <cell r="J117" t="str">
            <v>FINISH</v>
          </cell>
          <cell r="K117">
            <v>46230</v>
          </cell>
          <cell r="L117">
            <v>46238</v>
          </cell>
        </row>
        <row r="118">
          <cell r="A118" t="str">
            <v>CA-H2607-PD-145</v>
          </cell>
          <cell r="B118" t="str">
            <v>Hyperion</v>
          </cell>
          <cell r="C118">
            <v>11119540</v>
          </cell>
          <cell r="D118" t="str">
            <v>1911206-D-A</v>
          </cell>
          <cell r="E118" t="str">
            <v>HJ70AL100P09022 JP</v>
          </cell>
          <cell r="F118" t="str">
            <v>JAPAN</v>
          </cell>
          <cell r="G118">
            <v>2</v>
          </cell>
          <cell r="H118">
            <v>2</v>
          </cell>
          <cell r="I118">
            <v>0</v>
          </cell>
          <cell r="J118" t="str">
            <v>FINISH</v>
          </cell>
          <cell r="K118">
            <v>46230</v>
          </cell>
          <cell r="L118">
            <v>46238</v>
          </cell>
        </row>
        <row r="119">
          <cell r="A119" t="str">
            <v>CA-H2607-PD-146</v>
          </cell>
          <cell r="B119" t="str">
            <v>Hyperion</v>
          </cell>
          <cell r="C119">
            <v>11119442</v>
          </cell>
          <cell r="D119" t="str">
            <v>1911108-D-A</v>
          </cell>
          <cell r="E119" t="str">
            <v>HJ70AL100P10020 JP</v>
          </cell>
          <cell r="F119" t="str">
            <v>JAPAN</v>
          </cell>
          <cell r="G119">
            <v>93</v>
          </cell>
          <cell r="H119">
            <v>93</v>
          </cell>
          <cell r="I119">
            <v>0</v>
          </cell>
          <cell r="J119" t="str">
            <v>FINISH</v>
          </cell>
          <cell r="K119">
            <v>46230</v>
          </cell>
          <cell r="L119">
            <v>46238</v>
          </cell>
        </row>
        <row r="120">
          <cell r="A120" t="str">
            <v>CA-H2607-PD-147</v>
          </cell>
          <cell r="B120" t="str">
            <v>Hyperion</v>
          </cell>
          <cell r="C120">
            <v>11119446</v>
          </cell>
          <cell r="D120" t="str">
            <v>1911112-D-A</v>
          </cell>
          <cell r="E120" t="str">
            <v>HJ70AL100P10021 JP</v>
          </cell>
          <cell r="F120" t="str">
            <v>JAPAN</v>
          </cell>
          <cell r="G120">
            <v>10</v>
          </cell>
          <cell r="H120">
            <v>10</v>
          </cell>
          <cell r="I120">
            <v>0</v>
          </cell>
          <cell r="J120" t="str">
            <v>FINISH</v>
          </cell>
          <cell r="K120">
            <v>46230</v>
          </cell>
          <cell r="L120">
            <v>46238</v>
          </cell>
        </row>
        <row r="121">
          <cell r="A121" t="str">
            <v>CA-H2607-PD-148</v>
          </cell>
          <cell r="B121" t="str">
            <v>Hyperion</v>
          </cell>
          <cell r="C121">
            <v>11119539</v>
          </cell>
          <cell r="D121" t="str">
            <v>1911205-D-A</v>
          </cell>
          <cell r="E121" t="str">
            <v>HJ70AL100P10022 JP</v>
          </cell>
          <cell r="F121" t="str">
            <v>JAPAN</v>
          </cell>
          <cell r="G121">
            <v>199</v>
          </cell>
          <cell r="H121">
            <v>199</v>
          </cell>
          <cell r="I121">
            <v>0</v>
          </cell>
          <cell r="J121" t="str">
            <v>FINISH</v>
          </cell>
          <cell r="K121">
            <v>46230</v>
          </cell>
          <cell r="L121">
            <v>46238</v>
          </cell>
        </row>
        <row r="122">
          <cell r="A122" t="str">
            <v>CA-H2607-PD-149</v>
          </cell>
          <cell r="B122" t="str">
            <v>Hyperion</v>
          </cell>
          <cell r="C122">
            <v>11119445</v>
          </cell>
          <cell r="D122" t="str">
            <v>1911111-D-A</v>
          </cell>
          <cell r="E122" t="str">
            <v>HJ70AL102P09020 JP</v>
          </cell>
          <cell r="F122" t="str">
            <v>JAPAN</v>
          </cell>
          <cell r="G122">
            <v>25</v>
          </cell>
          <cell r="H122">
            <v>25</v>
          </cell>
          <cell r="I122">
            <v>0</v>
          </cell>
          <cell r="J122" t="str">
            <v>FINISH</v>
          </cell>
          <cell r="K122">
            <v>46230</v>
          </cell>
          <cell r="L122">
            <v>46238</v>
          </cell>
        </row>
        <row r="123">
          <cell r="A123" t="str">
            <v>CA-H2607-PD-150</v>
          </cell>
          <cell r="B123" t="str">
            <v>Hyperion</v>
          </cell>
          <cell r="C123">
            <v>11119542</v>
          </cell>
          <cell r="D123" t="str">
            <v>1911208-D-A</v>
          </cell>
          <cell r="E123" t="str">
            <v>HJ70AL102P09022 JP</v>
          </cell>
          <cell r="F123" t="str">
            <v>JAPAN</v>
          </cell>
          <cell r="G123">
            <v>30</v>
          </cell>
          <cell r="H123">
            <v>30</v>
          </cell>
          <cell r="I123">
            <v>0</v>
          </cell>
          <cell r="J123" t="str">
            <v>FINISH</v>
          </cell>
          <cell r="K123">
            <v>46230</v>
          </cell>
          <cell r="L123">
            <v>46238</v>
          </cell>
        </row>
        <row r="124">
          <cell r="A124" t="str">
            <v>CA-H2607-PD-151</v>
          </cell>
          <cell r="B124" t="str">
            <v>Hyperion</v>
          </cell>
          <cell r="C124">
            <v>11119444</v>
          </cell>
          <cell r="D124" t="str">
            <v>1911110-D-A</v>
          </cell>
          <cell r="E124" t="str">
            <v>HJ70AL102P10020 JP</v>
          </cell>
          <cell r="F124" t="str">
            <v>JAPAN</v>
          </cell>
          <cell r="G124">
            <v>190</v>
          </cell>
          <cell r="H124">
            <v>190</v>
          </cell>
          <cell r="I124">
            <v>0</v>
          </cell>
          <cell r="J124" t="str">
            <v>FINISH</v>
          </cell>
          <cell r="K124">
            <v>46230</v>
          </cell>
          <cell r="L124">
            <v>46238</v>
          </cell>
        </row>
        <row r="125">
          <cell r="A125" t="str">
            <v>CA-H2607-PD-152</v>
          </cell>
          <cell r="B125" t="str">
            <v>Hyperion</v>
          </cell>
          <cell r="C125">
            <v>11119447</v>
          </cell>
          <cell r="D125" t="str">
            <v>1911113-D-A</v>
          </cell>
          <cell r="E125" t="str">
            <v>HJ70AL102P10021 JP</v>
          </cell>
          <cell r="F125" t="str">
            <v>JAPAN</v>
          </cell>
          <cell r="G125">
            <v>25</v>
          </cell>
          <cell r="H125">
            <v>25</v>
          </cell>
          <cell r="I125">
            <v>0</v>
          </cell>
          <cell r="J125" t="str">
            <v>FINISH</v>
          </cell>
          <cell r="K125">
            <v>46230</v>
          </cell>
          <cell r="L125">
            <v>46238</v>
          </cell>
        </row>
        <row r="126">
          <cell r="A126" t="str">
            <v>CA-H2607-PD-153</v>
          </cell>
          <cell r="B126" t="str">
            <v>Hyperion</v>
          </cell>
          <cell r="C126">
            <v>11119541</v>
          </cell>
          <cell r="D126" t="str">
            <v>1911207-D-A</v>
          </cell>
          <cell r="E126" t="str">
            <v>HJ70AL102P10022 JP</v>
          </cell>
          <cell r="F126" t="str">
            <v>JAPAN</v>
          </cell>
          <cell r="G126">
            <v>316</v>
          </cell>
          <cell r="H126">
            <v>316</v>
          </cell>
          <cell r="I126">
            <v>0</v>
          </cell>
          <cell r="J126" t="str">
            <v>FINISH</v>
          </cell>
          <cell r="K126">
            <v>46230</v>
          </cell>
          <cell r="L126">
            <v>46238</v>
          </cell>
        </row>
        <row r="127">
          <cell r="A127" t="str">
            <v>CA-H2607-PD-154</v>
          </cell>
          <cell r="B127" t="str">
            <v>Hyperion</v>
          </cell>
          <cell r="C127">
            <v>11119448</v>
          </cell>
          <cell r="D127" t="str">
            <v>1911114-D-A</v>
          </cell>
          <cell r="E127" t="str">
            <v>HJ70AL150P10020 JP</v>
          </cell>
          <cell r="F127" t="str">
            <v>JAPAN</v>
          </cell>
          <cell r="G127">
            <v>49</v>
          </cell>
          <cell r="H127">
            <v>49</v>
          </cell>
          <cell r="I127">
            <v>0</v>
          </cell>
          <cell r="J127" t="str">
            <v>FINISH</v>
          </cell>
          <cell r="K127">
            <v>46230</v>
          </cell>
          <cell r="L127">
            <v>46238</v>
          </cell>
        </row>
        <row r="128">
          <cell r="A128" t="str">
            <v>CA-H2607-PD-155</v>
          </cell>
          <cell r="B128" t="str">
            <v>Hyperion</v>
          </cell>
          <cell r="C128">
            <v>11119543</v>
          </cell>
          <cell r="D128" t="str">
            <v>1911209-D-A</v>
          </cell>
          <cell r="E128" t="str">
            <v>HJ70AL150P10022 JP</v>
          </cell>
          <cell r="F128" t="str">
            <v>JAPAN</v>
          </cell>
          <cell r="G128">
            <v>11</v>
          </cell>
          <cell r="H128">
            <v>11</v>
          </cell>
          <cell r="I128">
            <v>0</v>
          </cell>
          <cell r="J128" t="str">
            <v>FINISH</v>
          </cell>
          <cell r="K128">
            <v>46230</v>
          </cell>
          <cell r="L128">
            <v>46238</v>
          </cell>
        </row>
        <row r="129">
          <cell r="A129" t="str">
            <v>CA-H2607-PD-156</v>
          </cell>
          <cell r="B129" t="str">
            <v>Hyperion</v>
          </cell>
          <cell r="C129">
            <v>11119546</v>
          </cell>
          <cell r="D129" t="str">
            <v>1911212-D-A</v>
          </cell>
          <cell r="E129" t="str">
            <v>HJ70AL152P09022 JP</v>
          </cell>
          <cell r="F129" t="str">
            <v>JAPAN</v>
          </cell>
          <cell r="G129">
            <v>12</v>
          </cell>
          <cell r="H129">
            <v>12</v>
          </cell>
          <cell r="I129">
            <v>0</v>
          </cell>
          <cell r="J129" t="str">
            <v>FINISH</v>
          </cell>
          <cell r="K129">
            <v>46230</v>
          </cell>
          <cell r="L129">
            <v>46238</v>
          </cell>
        </row>
        <row r="130">
          <cell r="A130" t="str">
            <v>CA-H2607-PD-157</v>
          </cell>
          <cell r="B130" t="str">
            <v>Hyperion</v>
          </cell>
          <cell r="C130">
            <v>11119450</v>
          </cell>
          <cell r="D130" t="str">
            <v>1911116-D-A</v>
          </cell>
          <cell r="E130" t="str">
            <v>HJ70AL152P10020 JP</v>
          </cell>
          <cell r="F130" t="str">
            <v>JAPAN</v>
          </cell>
          <cell r="G130">
            <v>35</v>
          </cell>
          <cell r="H130">
            <v>35</v>
          </cell>
          <cell r="I130">
            <v>0</v>
          </cell>
          <cell r="J130" t="str">
            <v>FINISH</v>
          </cell>
          <cell r="K130">
            <v>46230</v>
          </cell>
          <cell r="L130">
            <v>46238</v>
          </cell>
        </row>
        <row r="131">
          <cell r="A131" t="str">
            <v>CA-H2607-PD-158</v>
          </cell>
          <cell r="B131" t="str">
            <v>Hyperion</v>
          </cell>
          <cell r="C131">
            <v>11119453</v>
          </cell>
          <cell r="D131" t="str">
            <v>1911119-D-A</v>
          </cell>
          <cell r="E131" t="str">
            <v>HJ70AL152P10021 JP</v>
          </cell>
          <cell r="F131" t="str">
            <v>JAPAN</v>
          </cell>
          <cell r="G131">
            <v>2</v>
          </cell>
          <cell r="H131">
            <v>2</v>
          </cell>
          <cell r="I131">
            <v>0</v>
          </cell>
          <cell r="J131" t="str">
            <v>FINISH</v>
          </cell>
          <cell r="K131">
            <v>46230</v>
          </cell>
          <cell r="L131">
            <v>46238</v>
          </cell>
        </row>
        <row r="132">
          <cell r="A132" t="str">
            <v>CA-H2607-PD-159</v>
          </cell>
          <cell r="B132" t="str">
            <v>Hyperion</v>
          </cell>
          <cell r="C132">
            <v>11119545</v>
          </cell>
          <cell r="D132" t="str">
            <v>1911211-D-A</v>
          </cell>
          <cell r="E132" t="str">
            <v>HJ70AL152P10022 JP</v>
          </cell>
          <cell r="F132" t="str">
            <v>JAPAN</v>
          </cell>
          <cell r="G132">
            <v>13</v>
          </cell>
          <cell r="H132">
            <v>13</v>
          </cell>
          <cell r="I132">
            <v>0</v>
          </cell>
          <cell r="J132" t="str">
            <v>FINISH</v>
          </cell>
          <cell r="K132">
            <v>46230</v>
          </cell>
          <cell r="L132">
            <v>46238</v>
          </cell>
        </row>
        <row r="133">
          <cell r="A133" t="str">
            <v>CA-H2607-PD-160</v>
          </cell>
          <cell r="B133" t="str">
            <v>Hyperion</v>
          </cell>
          <cell r="C133">
            <v>11119454</v>
          </cell>
          <cell r="D133" t="str">
            <v>1911120-D-A</v>
          </cell>
          <cell r="E133" t="str">
            <v>HJ70AL200P10020 JP</v>
          </cell>
          <cell r="F133" t="str">
            <v>JAPAN</v>
          </cell>
          <cell r="G133">
            <v>15</v>
          </cell>
          <cell r="H133">
            <v>15</v>
          </cell>
          <cell r="I133">
            <v>0</v>
          </cell>
          <cell r="J133" t="str">
            <v>FINISH</v>
          </cell>
          <cell r="K133">
            <v>46230</v>
          </cell>
          <cell r="L133">
            <v>46238</v>
          </cell>
        </row>
        <row r="134">
          <cell r="A134" t="str">
            <v>CA-H2607-PD-161</v>
          </cell>
          <cell r="B134" t="str">
            <v>Hyperion</v>
          </cell>
          <cell r="C134">
            <v>11119547</v>
          </cell>
          <cell r="D134" t="str">
            <v>1911213-D-A</v>
          </cell>
          <cell r="E134" t="str">
            <v>HJ70AL200P10022 JP</v>
          </cell>
          <cell r="F134" t="str">
            <v>JAPAN</v>
          </cell>
          <cell r="G134">
            <v>4</v>
          </cell>
          <cell r="H134">
            <v>4</v>
          </cell>
          <cell r="I134">
            <v>0</v>
          </cell>
          <cell r="J134" t="str">
            <v>FINISH</v>
          </cell>
          <cell r="K134">
            <v>46230</v>
          </cell>
          <cell r="L134">
            <v>46238</v>
          </cell>
        </row>
        <row r="135">
          <cell r="A135" t="str">
            <v>CA-H2607-PD-162</v>
          </cell>
          <cell r="B135" t="str">
            <v>Hyperion</v>
          </cell>
          <cell r="C135">
            <v>11119550</v>
          </cell>
          <cell r="D135" t="str">
            <v>1911216-D-A</v>
          </cell>
          <cell r="E135" t="str">
            <v>HJ70AL202P09022 JP</v>
          </cell>
          <cell r="F135" t="str">
            <v>JAPAN</v>
          </cell>
          <cell r="G135">
            <v>4</v>
          </cell>
          <cell r="H135">
            <v>4</v>
          </cell>
          <cell r="I135">
            <v>0</v>
          </cell>
          <cell r="J135" t="str">
            <v>FINISH</v>
          </cell>
          <cell r="K135">
            <v>46230</v>
          </cell>
          <cell r="L135">
            <v>46238</v>
          </cell>
        </row>
        <row r="136">
          <cell r="A136" t="str">
            <v>CA-H2607-PD-163</v>
          </cell>
          <cell r="B136" t="str">
            <v>Hyperion</v>
          </cell>
          <cell r="C136">
            <v>11119455</v>
          </cell>
          <cell r="D136" t="str">
            <v>1911121-D-A</v>
          </cell>
          <cell r="E136" t="str">
            <v>HJ70AL202P10020 JP</v>
          </cell>
          <cell r="F136" t="str">
            <v>JAPAN</v>
          </cell>
          <cell r="G136">
            <v>34</v>
          </cell>
          <cell r="H136">
            <v>34</v>
          </cell>
          <cell r="I136">
            <v>0</v>
          </cell>
          <cell r="J136" t="str">
            <v>FINISH</v>
          </cell>
          <cell r="K136">
            <v>46230</v>
          </cell>
          <cell r="L136">
            <v>46238</v>
          </cell>
        </row>
        <row r="137">
          <cell r="A137" t="str">
            <v>CA-H2607-PD-164</v>
          </cell>
          <cell r="B137" t="str">
            <v>Hyperion</v>
          </cell>
          <cell r="C137">
            <v>11119549</v>
          </cell>
          <cell r="D137" t="str">
            <v>1911215-D-A</v>
          </cell>
          <cell r="E137" t="str">
            <v>HJ70AL202P10022 JP</v>
          </cell>
          <cell r="F137" t="str">
            <v>JAPAN</v>
          </cell>
          <cell r="G137">
            <v>2</v>
          </cell>
          <cell r="H137">
            <v>2</v>
          </cell>
          <cell r="I137">
            <v>0</v>
          </cell>
          <cell r="J137" t="str">
            <v>FINISH</v>
          </cell>
          <cell r="K137">
            <v>46230</v>
          </cell>
          <cell r="L137">
            <v>46238</v>
          </cell>
        </row>
        <row r="138">
          <cell r="A138" t="str">
            <v>CA-H2607-PD-165</v>
          </cell>
          <cell r="B138" t="str">
            <v>Hyperion</v>
          </cell>
          <cell r="C138">
            <v>11119457</v>
          </cell>
          <cell r="D138" t="str">
            <v>1911123-D-A</v>
          </cell>
          <cell r="E138" t="str">
            <v>HJ70CP150P10020 JP</v>
          </cell>
          <cell r="F138" t="str">
            <v>JAPAN</v>
          </cell>
          <cell r="G138">
            <v>8</v>
          </cell>
          <cell r="H138">
            <v>8</v>
          </cell>
          <cell r="I138">
            <v>0</v>
          </cell>
          <cell r="J138" t="str">
            <v>FINISH</v>
          </cell>
          <cell r="K138">
            <v>46230</v>
          </cell>
          <cell r="L138">
            <v>46238</v>
          </cell>
        </row>
        <row r="139">
          <cell r="A139" t="str">
            <v>CA-H2607-PD-166</v>
          </cell>
          <cell r="B139" t="str">
            <v>Hyperion</v>
          </cell>
          <cell r="C139">
            <v>11119460</v>
          </cell>
          <cell r="D139" t="str">
            <v>1911126-D-A</v>
          </cell>
          <cell r="E139" t="str">
            <v>HJ70CP202P10020 JP</v>
          </cell>
          <cell r="F139" t="str">
            <v>JAPAN</v>
          </cell>
          <cell r="G139">
            <v>4</v>
          </cell>
          <cell r="H139">
            <v>4</v>
          </cell>
          <cell r="I139">
            <v>0</v>
          </cell>
          <cell r="J139" t="str">
            <v>FINISH</v>
          </cell>
          <cell r="K139">
            <v>46230</v>
          </cell>
          <cell r="L139">
            <v>46238</v>
          </cell>
        </row>
        <row r="140">
          <cell r="A140" t="str">
            <v>CA-H2607-PD-167</v>
          </cell>
          <cell r="B140" t="str">
            <v>Hyperion</v>
          </cell>
          <cell r="C140">
            <v>11119469</v>
          </cell>
          <cell r="D140" t="str">
            <v>1911135-D-A</v>
          </cell>
          <cell r="E140" t="str">
            <v>HJ70CP350P10020 JP</v>
          </cell>
          <cell r="F140" t="str">
            <v>JAPAN</v>
          </cell>
          <cell r="G140">
            <v>1</v>
          </cell>
          <cell r="H140">
            <v>1</v>
          </cell>
          <cell r="I140">
            <v>0</v>
          </cell>
          <cell r="J140" t="str">
            <v>FINISH</v>
          </cell>
          <cell r="K140">
            <v>46230</v>
          </cell>
          <cell r="L140">
            <v>46238</v>
          </cell>
        </row>
        <row r="141">
          <cell r="A141" t="str">
            <v>CA-H2607-PD-168</v>
          </cell>
          <cell r="B141" t="str">
            <v>Hyperion</v>
          </cell>
          <cell r="C141">
            <v>11119473</v>
          </cell>
          <cell r="D141" t="str">
            <v>1911139-D-A</v>
          </cell>
          <cell r="E141" t="str">
            <v>HJ70HS010P10020 JP</v>
          </cell>
          <cell r="F141" t="str">
            <v>JAPAN</v>
          </cell>
          <cell r="G141">
            <v>1</v>
          </cell>
          <cell r="H141">
            <v>1</v>
          </cell>
          <cell r="I141">
            <v>0</v>
          </cell>
          <cell r="J141" t="str">
            <v>FINISH</v>
          </cell>
          <cell r="K141">
            <v>46230</v>
          </cell>
          <cell r="L141">
            <v>46238</v>
          </cell>
        </row>
        <row r="142">
          <cell r="A142" t="str">
            <v>CA-H2607-PD-169</v>
          </cell>
          <cell r="B142" t="str">
            <v>Hyperion</v>
          </cell>
          <cell r="C142">
            <v>11119474</v>
          </cell>
          <cell r="D142" t="str">
            <v>1911140-D-A</v>
          </cell>
          <cell r="E142" t="str">
            <v>HJ70HS012P10020 JP</v>
          </cell>
          <cell r="F142" t="str">
            <v>JAPAN</v>
          </cell>
          <cell r="G142">
            <v>1</v>
          </cell>
          <cell r="H142">
            <v>1</v>
          </cell>
          <cell r="I142">
            <v>0</v>
          </cell>
          <cell r="J142" t="str">
            <v>FINISH</v>
          </cell>
          <cell r="K142">
            <v>46230</v>
          </cell>
          <cell r="L142">
            <v>46238</v>
          </cell>
        </row>
        <row r="143">
          <cell r="A143" t="str">
            <v>CA-H2607-PD-170</v>
          </cell>
          <cell r="B143" t="str">
            <v>Hyperion</v>
          </cell>
          <cell r="C143">
            <v>11119477</v>
          </cell>
          <cell r="D143" t="str">
            <v>1911143-D-A</v>
          </cell>
          <cell r="E143" t="str">
            <v>HJ70IM000P10000 JP</v>
          </cell>
          <cell r="F143" t="str">
            <v>JAPAN</v>
          </cell>
          <cell r="G143">
            <v>10</v>
          </cell>
          <cell r="H143">
            <v>10</v>
          </cell>
          <cell r="I143">
            <v>0</v>
          </cell>
          <cell r="J143" t="str">
            <v>FINISH</v>
          </cell>
          <cell r="K143">
            <v>46230</v>
          </cell>
          <cell r="L143">
            <v>46238</v>
          </cell>
        </row>
        <row r="144">
          <cell r="A144" t="str">
            <v>CA-H2607-PD-171</v>
          </cell>
          <cell r="B144" t="str">
            <v>Hyperion</v>
          </cell>
          <cell r="C144">
            <v>11119480</v>
          </cell>
          <cell r="D144" t="str">
            <v>1911146-D-A</v>
          </cell>
          <cell r="E144" t="str">
            <v>HJ70IM002P10020 JP</v>
          </cell>
          <cell r="F144" t="str">
            <v>JAPAN</v>
          </cell>
          <cell r="G144">
            <v>36</v>
          </cell>
          <cell r="H144">
            <v>36</v>
          </cell>
          <cell r="I144">
            <v>0</v>
          </cell>
          <cell r="J144" t="str">
            <v>FINISH</v>
          </cell>
          <cell r="K144">
            <v>46230</v>
          </cell>
          <cell r="L144">
            <v>46238</v>
          </cell>
        </row>
        <row r="145">
          <cell r="A145" t="str">
            <v>CA-H2607-PD-172</v>
          </cell>
          <cell r="B145" t="str">
            <v>Hyperion</v>
          </cell>
          <cell r="C145">
            <v>11119482</v>
          </cell>
          <cell r="D145" t="str">
            <v>1911148-D-A</v>
          </cell>
          <cell r="E145" t="str">
            <v>HJ70JL350P09000 JP</v>
          </cell>
          <cell r="F145" t="str">
            <v>JAPAN</v>
          </cell>
          <cell r="G145">
            <v>5</v>
          </cell>
          <cell r="H145">
            <v>5</v>
          </cell>
          <cell r="I145">
            <v>0</v>
          </cell>
          <cell r="J145" t="str">
            <v>FINISH</v>
          </cell>
          <cell r="K145">
            <v>46230</v>
          </cell>
          <cell r="L145">
            <v>46238</v>
          </cell>
        </row>
        <row r="146">
          <cell r="A146" t="str">
            <v>CA-H2607-PD-173</v>
          </cell>
          <cell r="B146" t="str">
            <v>Hyperion</v>
          </cell>
          <cell r="C146">
            <v>11119481</v>
          </cell>
          <cell r="D146" t="str">
            <v>1911147-D-A</v>
          </cell>
          <cell r="E146" t="str">
            <v>HJ70JL350P10000 JP</v>
          </cell>
          <cell r="F146" t="str">
            <v>JAPAN</v>
          </cell>
          <cell r="G146">
            <v>191</v>
          </cell>
          <cell r="H146">
            <v>191</v>
          </cell>
          <cell r="I146">
            <v>0</v>
          </cell>
          <cell r="J146" t="str">
            <v>FINISH</v>
          </cell>
          <cell r="K146">
            <v>46230</v>
          </cell>
          <cell r="L146">
            <v>46238</v>
          </cell>
        </row>
        <row r="147">
          <cell r="A147" t="str">
            <v>CA-H2607-PD-174</v>
          </cell>
          <cell r="B147" t="str">
            <v>Hyperion</v>
          </cell>
          <cell r="C147">
            <v>11119485</v>
          </cell>
          <cell r="D147" t="str">
            <v>1911151-D-A</v>
          </cell>
          <cell r="E147" t="str">
            <v>HJ70JL350P10001 JP</v>
          </cell>
          <cell r="F147" t="str">
            <v>JAPAN</v>
          </cell>
          <cell r="G147">
            <v>49</v>
          </cell>
          <cell r="H147">
            <v>49</v>
          </cell>
          <cell r="I147">
            <v>0</v>
          </cell>
          <cell r="J147" t="str">
            <v>FINISH</v>
          </cell>
          <cell r="K147">
            <v>46230</v>
          </cell>
          <cell r="L147">
            <v>46238</v>
          </cell>
        </row>
        <row r="148">
          <cell r="A148" t="str">
            <v>CA-H2607-PD-175</v>
          </cell>
          <cell r="B148" t="str">
            <v>Hyperion</v>
          </cell>
          <cell r="C148">
            <v>11119484</v>
          </cell>
          <cell r="D148" t="str">
            <v>1911150-D-A</v>
          </cell>
          <cell r="E148" t="str">
            <v>HJ70JL352P09020 JP</v>
          </cell>
          <cell r="F148" t="str">
            <v>JAPAN</v>
          </cell>
          <cell r="G148">
            <v>5</v>
          </cell>
          <cell r="H148">
            <v>5</v>
          </cell>
          <cell r="I148">
            <v>0</v>
          </cell>
          <cell r="J148" t="str">
            <v>FINISH</v>
          </cell>
          <cell r="K148">
            <v>46230</v>
          </cell>
          <cell r="L148">
            <v>46238</v>
          </cell>
        </row>
        <row r="149">
          <cell r="A149" t="str">
            <v>CA-H2607-PD-176</v>
          </cell>
          <cell r="B149" t="str">
            <v>Hyperion</v>
          </cell>
          <cell r="C149">
            <v>11119487</v>
          </cell>
          <cell r="D149" t="str">
            <v>1911153-D-A</v>
          </cell>
          <cell r="E149" t="str">
            <v>HJ70JL352P09021 JP</v>
          </cell>
          <cell r="F149" t="str">
            <v>JAPAN</v>
          </cell>
          <cell r="G149">
            <v>7</v>
          </cell>
          <cell r="H149">
            <v>7</v>
          </cell>
          <cell r="I149">
            <v>0</v>
          </cell>
          <cell r="J149" t="str">
            <v>FINISH</v>
          </cell>
          <cell r="K149">
            <v>46230</v>
          </cell>
          <cell r="L149">
            <v>46238</v>
          </cell>
        </row>
        <row r="150">
          <cell r="A150" t="str">
            <v>CA-H2607-PD-177</v>
          </cell>
          <cell r="B150" t="str">
            <v>Hyperion</v>
          </cell>
          <cell r="C150">
            <v>11119483</v>
          </cell>
          <cell r="D150" t="str">
            <v>1911149-D-A</v>
          </cell>
          <cell r="E150" t="str">
            <v>HJ70JL352P10020 JP</v>
          </cell>
          <cell r="F150" t="str">
            <v>JAPAN</v>
          </cell>
          <cell r="G150">
            <v>159</v>
          </cell>
          <cell r="H150">
            <v>159</v>
          </cell>
          <cell r="I150">
            <v>0</v>
          </cell>
          <cell r="J150" t="str">
            <v>FINISH</v>
          </cell>
          <cell r="K150">
            <v>46230</v>
          </cell>
          <cell r="L150">
            <v>46238</v>
          </cell>
        </row>
        <row r="151">
          <cell r="A151" t="str">
            <v>CA-H2607-PD-178</v>
          </cell>
          <cell r="B151" t="str">
            <v>Hyperion</v>
          </cell>
          <cell r="C151">
            <v>11119486</v>
          </cell>
          <cell r="D151" t="str">
            <v>1911152-D-A</v>
          </cell>
          <cell r="E151" t="str">
            <v>HJ70JL352P10021 JP</v>
          </cell>
          <cell r="F151" t="str">
            <v>JAPAN</v>
          </cell>
          <cell r="G151">
            <v>87</v>
          </cell>
          <cell r="H151">
            <v>87</v>
          </cell>
          <cell r="I151">
            <v>0</v>
          </cell>
          <cell r="J151" t="str">
            <v>FINISH</v>
          </cell>
          <cell r="K151">
            <v>46230</v>
          </cell>
          <cell r="L151">
            <v>46238</v>
          </cell>
        </row>
        <row r="152">
          <cell r="A152" t="str">
            <v>CA-H2607-PD-179</v>
          </cell>
          <cell r="B152" t="str">
            <v>Hyperion</v>
          </cell>
          <cell r="C152">
            <v>11119488</v>
          </cell>
          <cell r="D152" t="str">
            <v>1911154-D-A</v>
          </cell>
          <cell r="E152" t="str">
            <v>HJ70JL400P10000 JP</v>
          </cell>
          <cell r="F152" t="str">
            <v>JAPAN</v>
          </cell>
          <cell r="G152">
            <v>240</v>
          </cell>
          <cell r="H152">
            <v>240</v>
          </cell>
          <cell r="I152">
            <v>0</v>
          </cell>
          <cell r="J152" t="str">
            <v>FINISH</v>
          </cell>
          <cell r="K152">
            <v>46230</v>
          </cell>
          <cell r="L152">
            <v>46238</v>
          </cell>
        </row>
        <row r="153">
          <cell r="A153" t="str">
            <v>CA-H2607-PD-180</v>
          </cell>
          <cell r="B153" t="str">
            <v>Hyperion</v>
          </cell>
          <cell r="C153">
            <v>11119492</v>
          </cell>
          <cell r="D153" t="str">
            <v>1911158-D-A</v>
          </cell>
          <cell r="E153" t="str">
            <v>HJ70JL400P10001 JP</v>
          </cell>
          <cell r="F153" t="str">
            <v>JAPAN</v>
          </cell>
          <cell r="G153">
            <v>79</v>
          </cell>
          <cell r="H153">
            <v>79</v>
          </cell>
          <cell r="I153">
            <v>0</v>
          </cell>
          <cell r="J153" t="str">
            <v>FINISH</v>
          </cell>
          <cell r="K153">
            <v>46230</v>
          </cell>
          <cell r="L153">
            <v>46238</v>
          </cell>
        </row>
        <row r="154">
          <cell r="A154" t="str">
            <v>CA-H2607-PD-181</v>
          </cell>
          <cell r="B154" t="str">
            <v>Hyperion</v>
          </cell>
          <cell r="C154">
            <v>11119491</v>
          </cell>
          <cell r="D154" t="str">
            <v>1911157-D-A</v>
          </cell>
          <cell r="E154" t="str">
            <v>HJ70JL402P09020 JP</v>
          </cell>
          <cell r="F154" t="str">
            <v>JAPAN</v>
          </cell>
          <cell r="G154">
            <v>17</v>
          </cell>
          <cell r="H154">
            <v>17</v>
          </cell>
          <cell r="I154">
            <v>0</v>
          </cell>
          <cell r="J154" t="str">
            <v>FINISH</v>
          </cell>
          <cell r="K154">
            <v>46230</v>
          </cell>
          <cell r="L154">
            <v>46238</v>
          </cell>
        </row>
        <row r="155">
          <cell r="A155" t="str">
            <v>CA-H2607-PD-182</v>
          </cell>
          <cell r="B155" t="str">
            <v>Hyperion</v>
          </cell>
          <cell r="C155">
            <v>11119494</v>
          </cell>
          <cell r="D155" t="str">
            <v>1911160-D-A</v>
          </cell>
          <cell r="E155" t="str">
            <v>HJ70JL402P09021 JP</v>
          </cell>
          <cell r="F155" t="str">
            <v>JAPAN</v>
          </cell>
          <cell r="G155">
            <v>6</v>
          </cell>
          <cell r="H155">
            <v>6</v>
          </cell>
          <cell r="I155">
            <v>0</v>
          </cell>
          <cell r="J155" t="str">
            <v>FINISH</v>
          </cell>
          <cell r="K155">
            <v>46230</v>
          </cell>
          <cell r="L155">
            <v>46238</v>
          </cell>
        </row>
        <row r="156">
          <cell r="A156" t="str">
            <v>CA-H2607-PD-183</v>
          </cell>
          <cell r="B156" t="str">
            <v>Hyperion</v>
          </cell>
          <cell r="C156">
            <v>11119490</v>
          </cell>
          <cell r="D156" t="str">
            <v>1911156-D-A</v>
          </cell>
          <cell r="E156" t="str">
            <v>HJ70JL402P10020 JP</v>
          </cell>
          <cell r="F156" t="str">
            <v>JAPAN</v>
          </cell>
          <cell r="G156">
            <v>136</v>
          </cell>
          <cell r="H156">
            <v>136</v>
          </cell>
          <cell r="I156">
            <v>0</v>
          </cell>
          <cell r="J156" t="str">
            <v>FINISH</v>
          </cell>
          <cell r="K156">
            <v>46230</v>
          </cell>
          <cell r="L156">
            <v>46238</v>
          </cell>
        </row>
        <row r="157">
          <cell r="A157" t="str">
            <v>CA-H2607-PD-184</v>
          </cell>
          <cell r="B157" t="str">
            <v>Hyperion</v>
          </cell>
          <cell r="C157">
            <v>11119493</v>
          </cell>
          <cell r="D157" t="str">
            <v>1911159-D-A</v>
          </cell>
          <cell r="E157" t="str">
            <v>HJ70JL402P10021 JP</v>
          </cell>
          <cell r="F157" t="str">
            <v>JAPAN</v>
          </cell>
          <cell r="G157">
            <v>54</v>
          </cell>
          <cell r="H157">
            <v>54</v>
          </cell>
          <cell r="I157">
            <v>0</v>
          </cell>
          <cell r="J157" t="str">
            <v>FINISH</v>
          </cell>
          <cell r="K157">
            <v>46230</v>
          </cell>
          <cell r="L157">
            <v>46238</v>
          </cell>
        </row>
        <row r="158">
          <cell r="A158" t="str">
            <v>CA-H2607-PD-185</v>
          </cell>
          <cell r="B158" t="str">
            <v>Hyperion</v>
          </cell>
          <cell r="C158">
            <v>11119495</v>
          </cell>
          <cell r="D158" t="str">
            <v>1911161-D-A</v>
          </cell>
          <cell r="E158" t="str">
            <v>HJ70JL450P10000 JP</v>
          </cell>
          <cell r="F158" t="str">
            <v>JAPAN</v>
          </cell>
          <cell r="G158">
            <v>2</v>
          </cell>
          <cell r="H158">
            <v>2</v>
          </cell>
          <cell r="I158">
            <v>0</v>
          </cell>
          <cell r="J158" t="str">
            <v>FINISH</v>
          </cell>
          <cell r="K158">
            <v>46230</v>
          </cell>
          <cell r="L158">
            <v>46238</v>
          </cell>
        </row>
        <row r="159">
          <cell r="A159" t="str">
            <v>CA-H2607-PD-186</v>
          </cell>
          <cell r="B159" t="str">
            <v>Hyperion</v>
          </cell>
          <cell r="C159">
            <v>11119497</v>
          </cell>
          <cell r="D159" t="str">
            <v>1911163-D-A</v>
          </cell>
          <cell r="E159" t="str">
            <v>HJ70JL450P10001 JP</v>
          </cell>
          <cell r="F159" t="str">
            <v>JAPAN</v>
          </cell>
          <cell r="G159">
            <v>2</v>
          </cell>
          <cell r="H159">
            <v>2</v>
          </cell>
          <cell r="I159">
            <v>0</v>
          </cell>
          <cell r="J159" t="str">
            <v>FINISH</v>
          </cell>
          <cell r="K159">
            <v>46230</v>
          </cell>
          <cell r="L159">
            <v>46238</v>
          </cell>
        </row>
        <row r="160">
          <cell r="A160" t="str">
            <v>CA-H2607-PD-187</v>
          </cell>
          <cell r="B160" t="str">
            <v>Hyperion</v>
          </cell>
          <cell r="C160">
            <v>11119496</v>
          </cell>
          <cell r="D160" t="str">
            <v>1911162-D-A</v>
          </cell>
          <cell r="E160" t="str">
            <v>HJ70JL452P10020 JP</v>
          </cell>
          <cell r="F160" t="str">
            <v>JAPAN</v>
          </cell>
          <cell r="G160">
            <v>7</v>
          </cell>
          <cell r="H160">
            <v>7</v>
          </cell>
          <cell r="I160">
            <v>0</v>
          </cell>
          <cell r="J160" t="str">
            <v>FINISH</v>
          </cell>
          <cell r="K160">
            <v>46230</v>
          </cell>
          <cell r="L160">
            <v>46238</v>
          </cell>
        </row>
        <row r="161">
          <cell r="A161" t="str">
            <v>CA-H2607-PD-188</v>
          </cell>
          <cell r="B161" t="str">
            <v>Hyperion</v>
          </cell>
          <cell r="C161">
            <v>11119498</v>
          </cell>
          <cell r="D161" t="str">
            <v>1911164-D-A</v>
          </cell>
          <cell r="E161" t="str">
            <v>HJ70JL452P10021 JP</v>
          </cell>
          <cell r="F161" t="str">
            <v>JAPAN</v>
          </cell>
          <cell r="G161">
            <v>10</v>
          </cell>
          <cell r="H161">
            <v>10</v>
          </cell>
          <cell r="I161">
            <v>0</v>
          </cell>
          <cell r="J161" t="str">
            <v>FINISH</v>
          </cell>
          <cell r="K161">
            <v>46230</v>
          </cell>
          <cell r="L161">
            <v>46238</v>
          </cell>
        </row>
        <row r="162">
          <cell r="A162" t="str">
            <v>CA-H2607-PD-189</v>
          </cell>
          <cell r="B162" t="str">
            <v>Hyperion</v>
          </cell>
          <cell r="C162">
            <v>11119501</v>
          </cell>
          <cell r="D162" t="str">
            <v>1911167-D-A</v>
          </cell>
          <cell r="E162" t="str">
            <v>HJ70JL500P10001 JP</v>
          </cell>
          <cell r="F162" t="str">
            <v>JAPAN</v>
          </cell>
          <cell r="G162">
            <v>2</v>
          </cell>
          <cell r="H162">
            <v>2</v>
          </cell>
          <cell r="I162">
            <v>0</v>
          </cell>
          <cell r="J162" t="str">
            <v>FINISH</v>
          </cell>
          <cell r="K162">
            <v>46230</v>
          </cell>
          <cell r="L162">
            <v>46238</v>
          </cell>
        </row>
        <row r="163">
          <cell r="A163" t="str">
            <v>CA-H2607-PD-190</v>
          </cell>
          <cell r="B163" t="str">
            <v>Hyperion</v>
          </cell>
          <cell r="C163">
            <v>11119500</v>
          </cell>
          <cell r="D163" t="str">
            <v>1911166-D-A</v>
          </cell>
          <cell r="E163" t="str">
            <v>HJ70JL502P10020 JP</v>
          </cell>
          <cell r="F163" t="str">
            <v>JAPAN</v>
          </cell>
          <cell r="G163">
            <v>1</v>
          </cell>
          <cell r="H163">
            <v>1</v>
          </cell>
          <cell r="I163">
            <v>0</v>
          </cell>
          <cell r="J163" t="str">
            <v>FINISH</v>
          </cell>
          <cell r="K163">
            <v>46230</v>
          </cell>
          <cell r="L163">
            <v>46238</v>
          </cell>
        </row>
        <row r="164">
          <cell r="A164" t="str">
            <v>CA-H2607-PD-191</v>
          </cell>
          <cell r="B164" t="str">
            <v>Hyperion</v>
          </cell>
          <cell r="C164">
            <v>11119502</v>
          </cell>
          <cell r="D164" t="str">
            <v>1911168-D-A</v>
          </cell>
          <cell r="E164" t="str">
            <v>HJ70JL502P10021 JP</v>
          </cell>
          <cell r="F164" t="str">
            <v>JAPAN</v>
          </cell>
          <cell r="G164">
            <v>3</v>
          </cell>
          <cell r="H164">
            <v>3</v>
          </cell>
          <cell r="I164">
            <v>0</v>
          </cell>
          <cell r="J164" t="str">
            <v>FINISH</v>
          </cell>
          <cell r="K164">
            <v>46230</v>
          </cell>
          <cell r="L164">
            <v>46238</v>
          </cell>
        </row>
        <row r="165">
          <cell r="A165" t="str">
            <v>CA-H2607-PD-192</v>
          </cell>
          <cell r="B165" t="str">
            <v>Hyperion</v>
          </cell>
          <cell r="C165">
            <v>11119503</v>
          </cell>
          <cell r="D165" t="str">
            <v>1911169-D-A</v>
          </cell>
          <cell r="E165" t="str">
            <v>HJ70JR350P10020 JP</v>
          </cell>
          <cell r="F165" t="str">
            <v>JAPAN</v>
          </cell>
          <cell r="G165">
            <v>7</v>
          </cell>
          <cell r="H165">
            <v>7</v>
          </cell>
          <cell r="I165">
            <v>0</v>
          </cell>
          <cell r="J165" t="str">
            <v>FINISH</v>
          </cell>
          <cell r="K165">
            <v>46230</v>
          </cell>
          <cell r="L165">
            <v>46238</v>
          </cell>
        </row>
        <row r="166">
          <cell r="A166" t="str">
            <v>CA-H2607-PD-193</v>
          </cell>
          <cell r="B166" t="str">
            <v>Hyperion</v>
          </cell>
          <cell r="C166">
            <v>11119506</v>
          </cell>
          <cell r="D166" t="str">
            <v>1911172-D-A</v>
          </cell>
          <cell r="E166" t="str">
            <v>HJ70JR352P09020 JP</v>
          </cell>
          <cell r="F166" t="str">
            <v>JAPAN</v>
          </cell>
          <cell r="G166">
            <v>3</v>
          </cell>
          <cell r="H166">
            <v>3</v>
          </cell>
          <cell r="I166">
            <v>0</v>
          </cell>
          <cell r="J166" t="str">
            <v>FINISH</v>
          </cell>
          <cell r="K166">
            <v>46230</v>
          </cell>
          <cell r="L166">
            <v>46238</v>
          </cell>
        </row>
        <row r="167">
          <cell r="A167" t="str">
            <v>CA-H2607-PD-194</v>
          </cell>
          <cell r="B167" t="str">
            <v>Hyperion</v>
          </cell>
          <cell r="C167">
            <v>11119505</v>
          </cell>
          <cell r="D167" t="str">
            <v>1911171-D-A</v>
          </cell>
          <cell r="E167" t="str">
            <v>HJ70JR352P10020 JP</v>
          </cell>
          <cell r="F167" t="str">
            <v>JAPAN</v>
          </cell>
          <cell r="G167">
            <v>33</v>
          </cell>
          <cell r="H167">
            <v>33</v>
          </cell>
          <cell r="I167">
            <v>0</v>
          </cell>
          <cell r="J167" t="str">
            <v>FINISH</v>
          </cell>
          <cell r="K167">
            <v>46230</v>
          </cell>
          <cell r="L167">
            <v>46238</v>
          </cell>
        </row>
        <row r="168">
          <cell r="A168" t="str">
            <v>CA-H2607-PD-195</v>
          </cell>
          <cell r="B168" t="str">
            <v>Hyperion</v>
          </cell>
          <cell r="C168">
            <v>11119507</v>
          </cell>
          <cell r="D168" t="str">
            <v>1911173-D-A</v>
          </cell>
          <cell r="E168" t="str">
            <v>HJ70JR400P10020 JP</v>
          </cell>
          <cell r="F168" t="str">
            <v>JAPAN</v>
          </cell>
          <cell r="G168">
            <v>229</v>
          </cell>
          <cell r="H168">
            <v>229</v>
          </cell>
          <cell r="I168">
            <v>0</v>
          </cell>
          <cell r="J168" t="str">
            <v>FINISH</v>
          </cell>
          <cell r="K168">
            <v>46230</v>
          </cell>
          <cell r="L168">
            <v>46238</v>
          </cell>
        </row>
        <row r="169">
          <cell r="A169" t="str">
            <v>CA-H2607-PD-196</v>
          </cell>
          <cell r="B169" t="str">
            <v>Hyperion</v>
          </cell>
          <cell r="C169">
            <v>11119510</v>
          </cell>
          <cell r="D169" t="str">
            <v>1911176-D-A</v>
          </cell>
          <cell r="E169" t="str">
            <v>HJ70JR402P09020 JP</v>
          </cell>
          <cell r="F169" t="str">
            <v>JAPAN</v>
          </cell>
          <cell r="G169">
            <v>13</v>
          </cell>
          <cell r="H169">
            <v>13</v>
          </cell>
          <cell r="I169">
            <v>0</v>
          </cell>
          <cell r="J169" t="str">
            <v>FINISH</v>
          </cell>
          <cell r="K169">
            <v>46230</v>
          </cell>
          <cell r="L169">
            <v>46238</v>
          </cell>
        </row>
        <row r="170">
          <cell r="A170" t="str">
            <v>CA-H2607-PD-197</v>
          </cell>
          <cell r="B170" t="str">
            <v>Hyperion</v>
          </cell>
          <cell r="C170">
            <v>11119509</v>
          </cell>
          <cell r="D170" t="str">
            <v>1911175-D-A</v>
          </cell>
          <cell r="E170" t="str">
            <v>HJ70JR402P10020 JP</v>
          </cell>
          <cell r="F170" t="str">
            <v>JAPAN</v>
          </cell>
          <cell r="G170">
            <v>148</v>
          </cell>
          <cell r="H170">
            <v>148</v>
          </cell>
          <cell r="I170">
            <v>0</v>
          </cell>
          <cell r="J170" t="str">
            <v>FINISH</v>
          </cell>
          <cell r="K170">
            <v>46230</v>
          </cell>
          <cell r="L170">
            <v>46238</v>
          </cell>
        </row>
        <row r="171">
          <cell r="A171" t="str">
            <v>CA-H2607-PD-198</v>
          </cell>
          <cell r="B171" t="str">
            <v>Hyperion</v>
          </cell>
          <cell r="C171">
            <v>11119511</v>
          </cell>
          <cell r="D171" t="str">
            <v>1911177-D-A</v>
          </cell>
          <cell r="E171" t="str">
            <v>HJ70JR450P10020 JP</v>
          </cell>
          <cell r="F171" t="str">
            <v>JAPAN</v>
          </cell>
          <cell r="G171">
            <v>1</v>
          </cell>
          <cell r="H171">
            <v>1</v>
          </cell>
          <cell r="I171">
            <v>0</v>
          </cell>
          <cell r="J171" t="str">
            <v>FINISH</v>
          </cell>
          <cell r="K171">
            <v>46230</v>
          </cell>
          <cell r="L171">
            <v>46238</v>
          </cell>
        </row>
        <row r="172">
          <cell r="A172" t="str">
            <v>CA-H2607-PD-199</v>
          </cell>
          <cell r="B172" t="str">
            <v>Hyperion</v>
          </cell>
          <cell r="C172">
            <v>11119512</v>
          </cell>
          <cell r="D172" t="str">
            <v>1911178-D-A</v>
          </cell>
          <cell r="E172" t="str">
            <v>HJ70JR452P10020 JP</v>
          </cell>
          <cell r="F172" t="str">
            <v>JAPAN</v>
          </cell>
          <cell r="G172">
            <v>3</v>
          </cell>
          <cell r="H172">
            <v>3</v>
          </cell>
          <cell r="I172">
            <v>0</v>
          </cell>
          <cell r="J172" t="str">
            <v>FINISH</v>
          </cell>
          <cell r="K172">
            <v>46230</v>
          </cell>
          <cell r="L172">
            <v>46238</v>
          </cell>
        </row>
        <row r="173">
          <cell r="A173" t="str">
            <v>CA-H2607-PD-200</v>
          </cell>
          <cell r="B173" t="str">
            <v>HyperionYubo changed</v>
          </cell>
          <cell r="C173">
            <v>11134266</v>
          </cell>
          <cell r="D173" t="str">
            <v>1911181-E-A</v>
          </cell>
          <cell r="E173" t="str">
            <v>HJ70PB300P10000 JP</v>
          </cell>
          <cell r="F173" t="str">
            <v>JAPAN</v>
          </cell>
          <cell r="G173">
            <v>28</v>
          </cell>
          <cell r="H173">
            <v>28</v>
          </cell>
          <cell r="I173">
            <v>0</v>
          </cell>
          <cell r="J173" t="str">
            <v>FINISH</v>
          </cell>
          <cell r="K173">
            <v>46230</v>
          </cell>
          <cell r="L173">
            <v>46238</v>
          </cell>
        </row>
        <row r="174">
          <cell r="A174" t="str">
            <v>CA-H2607-PD-201</v>
          </cell>
          <cell r="B174" t="str">
            <v>HyperionYubo changed</v>
          </cell>
          <cell r="C174">
            <v>11134268</v>
          </cell>
          <cell r="D174" t="str">
            <v>1911183-E-A</v>
          </cell>
          <cell r="E174" t="str">
            <v>HJ70PB302P10020 JP</v>
          </cell>
          <cell r="F174" t="str">
            <v>JAPAN</v>
          </cell>
          <cell r="G174">
            <v>53</v>
          </cell>
          <cell r="H174">
            <v>53</v>
          </cell>
          <cell r="I174">
            <v>0</v>
          </cell>
          <cell r="J174" t="str">
            <v>FINISH</v>
          </cell>
          <cell r="K174">
            <v>46230</v>
          </cell>
          <cell r="L174">
            <v>46238</v>
          </cell>
        </row>
        <row r="175">
          <cell r="A175" t="str">
            <v>CA-H2607-PD-202</v>
          </cell>
          <cell r="B175" t="str">
            <v>HyperionYubo changed</v>
          </cell>
          <cell r="C175">
            <v>11134270</v>
          </cell>
          <cell r="D175" t="str">
            <v>1911185-E-A</v>
          </cell>
          <cell r="E175" t="str">
            <v>HJ70PB350P10000 JP</v>
          </cell>
          <cell r="F175" t="str">
            <v>JAPAN</v>
          </cell>
          <cell r="G175">
            <v>64</v>
          </cell>
          <cell r="H175">
            <v>64</v>
          </cell>
          <cell r="I175">
            <v>0</v>
          </cell>
          <cell r="J175" t="str">
            <v>FINISH</v>
          </cell>
          <cell r="K175">
            <v>46230</v>
          </cell>
          <cell r="L175">
            <v>46238</v>
          </cell>
        </row>
        <row r="176">
          <cell r="A176" t="str">
            <v>CA-H2607-PD-203</v>
          </cell>
          <cell r="B176" t="str">
            <v>HyperionYubo changed</v>
          </cell>
          <cell r="C176">
            <v>11134272</v>
          </cell>
          <cell r="D176" t="str">
            <v>1911187-E-A</v>
          </cell>
          <cell r="E176" t="str">
            <v>HJ70PB352P10020 JP</v>
          </cell>
          <cell r="F176" t="str">
            <v>JAPAN</v>
          </cell>
          <cell r="G176">
            <v>103</v>
          </cell>
          <cell r="H176">
            <v>103</v>
          </cell>
          <cell r="I176">
            <v>0</v>
          </cell>
          <cell r="J176" t="str">
            <v>FINISH</v>
          </cell>
          <cell r="K176">
            <v>46230</v>
          </cell>
          <cell r="L176">
            <v>46238</v>
          </cell>
        </row>
        <row r="177">
          <cell r="A177" t="str">
            <v>CA-H2607-PD-204</v>
          </cell>
          <cell r="B177" t="str">
            <v>HyperionYubo changed</v>
          </cell>
          <cell r="C177">
            <v>11134274</v>
          </cell>
          <cell r="D177" t="str">
            <v>1911189-E-A</v>
          </cell>
          <cell r="E177" t="str">
            <v>HJ70PB400P10000 JP</v>
          </cell>
          <cell r="F177" t="str">
            <v>JAPAN</v>
          </cell>
          <cell r="G177">
            <v>21</v>
          </cell>
          <cell r="H177">
            <v>21</v>
          </cell>
          <cell r="I177">
            <v>0</v>
          </cell>
          <cell r="J177" t="str">
            <v>FINISH</v>
          </cell>
          <cell r="K177">
            <v>46230</v>
          </cell>
          <cell r="L177">
            <v>46238</v>
          </cell>
        </row>
        <row r="178">
          <cell r="A178" t="str">
            <v>CA-H2607-PD-205</v>
          </cell>
          <cell r="B178" t="str">
            <v>HyperionYubo changed</v>
          </cell>
          <cell r="C178">
            <v>11134276</v>
          </cell>
          <cell r="D178" t="str">
            <v>1911191-E-A</v>
          </cell>
          <cell r="E178" t="str">
            <v>HJ70PB402P10020 JP</v>
          </cell>
          <cell r="F178" t="str">
            <v>JAPAN</v>
          </cell>
          <cell r="G178">
            <v>4</v>
          </cell>
          <cell r="H178">
            <v>4</v>
          </cell>
          <cell r="I178">
            <v>0</v>
          </cell>
          <cell r="J178" t="str">
            <v>FINISH</v>
          </cell>
          <cell r="K178">
            <v>46230</v>
          </cell>
          <cell r="L178">
            <v>46238</v>
          </cell>
        </row>
        <row r="179">
          <cell r="A179" t="str">
            <v>CA-H2607-PD-206</v>
          </cell>
          <cell r="B179" t="str">
            <v>Hyperion</v>
          </cell>
          <cell r="C179">
            <v>11119527</v>
          </cell>
          <cell r="D179" t="str">
            <v>1911193-D-A</v>
          </cell>
          <cell r="E179" t="str">
            <v>HJ70RB070P10020 JP</v>
          </cell>
          <cell r="F179" t="str">
            <v>JAPAN</v>
          </cell>
          <cell r="G179">
            <v>3</v>
          </cell>
          <cell r="H179">
            <v>3</v>
          </cell>
          <cell r="I179">
            <v>0</v>
          </cell>
          <cell r="J179" t="str">
            <v>FINISH</v>
          </cell>
          <cell r="K179">
            <v>46230</v>
          </cell>
          <cell r="L179">
            <v>46238</v>
          </cell>
        </row>
        <row r="180">
          <cell r="A180" t="str">
            <v>CA-H2607-PD-207</v>
          </cell>
          <cell r="B180" t="str">
            <v>Hyperion</v>
          </cell>
          <cell r="C180">
            <v>11119528</v>
          </cell>
          <cell r="D180" t="str">
            <v>1911194-D-A</v>
          </cell>
          <cell r="E180" t="str">
            <v>HJ70RB072P10020 JP</v>
          </cell>
          <cell r="F180" t="str">
            <v>JAPAN</v>
          </cell>
          <cell r="G180">
            <v>8</v>
          </cell>
          <cell r="H180">
            <v>8</v>
          </cell>
          <cell r="I180">
            <v>0</v>
          </cell>
          <cell r="J180" t="str">
            <v>FINISH</v>
          </cell>
          <cell r="K180">
            <v>46230</v>
          </cell>
          <cell r="L180">
            <v>46238</v>
          </cell>
        </row>
        <row r="181">
          <cell r="A181" t="str">
            <v>CA-H2607-PD-208</v>
          </cell>
          <cell r="B181" t="str">
            <v>Hyperion</v>
          </cell>
          <cell r="C181">
            <v>11119529</v>
          </cell>
          <cell r="D181" t="str">
            <v>1911195-D-A</v>
          </cell>
          <cell r="E181" t="str">
            <v>HJ70RB100P10020 JP</v>
          </cell>
          <cell r="F181" t="str">
            <v>JAPAN</v>
          </cell>
          <cell r="G181">
            <v>5</v>
          </cell>
          <cell r="H181">
            <v>5</v>
          </cell>
          <cell r="I181">
            <v>0</v>
          </cell>
          <cell r="J181" t="str">
            <v>FINISH</v>
          </cell>
          <cell r="K181">
            <v>46230</v>
          </cell>
          <cell r="L181">
            <v>46238</v>
          </cell>
        </row>
        <row r="182">
          <cell r="A182" t="str">
            <v>CA-H2607-PD-209</v>
          </cell>
          <cell r="B182" t="str">
            <v>Hyperion</v>
          </cell>
          <cell r="C182">
            <v>11119530</v>
          </cell>
          <cell r="D182" t="str">
            <v>1911196-D-A</v>
          </cell>
          <cell r="E182" t="str">
            <v>HJ70RB102P10020 JP</v>
          </cell>
          <cell r="F182" t="str">
            <v>JAPAN</v>
          </cell>
          <cell r="G182">
            <v>8</v>
          </cell>
          <cell r="H182">
            <v>8</v>
          </cell>
          <cell r="I182">
            <v>0</v>
          </cell>
          <cell r="J182" t="str">
            <v>FINISH</v>
          </cell>
          <cell r="K182">
            <v>46230</v>
          </cell>
          <cell r="L182">
            <v>46238</v>
          </cell>
        </row>
        <row r="183">
          <cell r="A183" t="str">
            <v>CA-H2607-PD-210</v>
          </cell>
          <cell r="B183" t="str">
            <v>Hyperion</v>
          </cell>
          <cell r="C183">
            <v>11119551</v>
          </cell>
          <cell r="D183" t="str">
            <v>1911217-D-A</v>
          </cell>
          <cell r="E183" t="str">
            <v>HJ70SC350P10000 JP</v>
          </cell>
          <cell r="F183" t="str">
            <v>JAPAN</v>
          </cell>
          <cell r="G183">
            <v>6</v>
          </cell>
          <cell r="H183">
            <v>6</v>
          </cell>
          <cell r="I183">
            <v>0</v>
          </cell>
          <cell r="J183" t="str">
            <v>FINISH</v>
          </cell>
          <cell r="K183">
            <v>46230</v>
          </cell>
          <cell r="L183">
            <v>46238</v>
          </cell>
        </row>
        <row r="184">
          <cell r="A184" t="str">
            <v>CA-H2607-PD-211</v>
          </cell>
          <cell r="B184" t="str">
            <v>Hyperion</v>
          </cell>
          <cell r="C184">
            <v>11119552</v>
          </cell>
          <cell r="D184" t="str">
            <v>1911218-D-A</v>
          </cell>
          <cell r="E184" t="str">
            <v>HJ70SC352P10020 JP</v>
          </cell>
          <cell r="F184" t="str">
            <v>JAPAN</v>
          </cell>
          <cell r="G184">
            <v>19</v>
          </cell>
          <cell r="H184">
            <v>19</v>
          </cell>
          <cell r="I184">
            <v>0</v>
          </cell>
          <cell r="J184" t="str">
            <v>FINISH</v>
          </cell>
          <cell r="K184">
            <v>46230</v>
          </cell>
          <cell r="L184">
            <v>46238</v>
          </cell>
        </row>
        <row r="185">
          <cell r="A185" t="str">
            <v>CA-H2607-PD-212</v>
          </cell>
          <cell r="B185" t="str">
            <v>Hyperion</v>
          </cell>
          <cell r="C185">
            <v>11119553</v>
          </cell>
          <cell r="D185" t="str">
            <v>1911219-D-A</v>
          </cell>
          <cell r="E185" t="str">
            <v>HJ70SC400P10000 JP</v>
          </cell>
          <cell r="F185" t="str">
            <v>JAPAN</v>
          </cell>
          <cell r="G185">
            <v>15</v>
          </cell>
          <cell r="H185">
            <v>15</v>
          </cell>
          <cell r="I185">
            <v>0</v>
          </cell>
          <cell r="J185" t="str">
            <v>FINISH</v>
          </cell>
          <cell r="K185">
            <v>46230</v>
          </cell>
          <cell r="L185">
            <v>46238</v>
          </cell>
        </row>
        <row r="186">
          <cell r="A186" t="str">
            <v>CA-H2607-PD-213</v>
          </cell>
          <cell r="B186" t="str">
            <v>Hyperion</v>
          </cell>
          <cell r="C186">
            <v>11119554</v>
          </cell>
          <cell r="D186" t="str">
            <v>1911220-D-A</v>
          </cell>
          <cell r="E186" t="str">
            <v>HJ70SC402P10020 JP</v>
          </cell>
          <cell r="F186" t="str">
            <v>JAPAN</v>
          </cell>
          <cell r="G186">
            <v>10</v>
          </cell>
          <cell r="H186">
            <v>10</v>
          </cell>
          <cell r="I186">
            <v>0</v>
          </cell>
          <cell r="J186" t="str">
            <v>FINISH</v>
          </cell>
          <cell r="K186">
            <v>46230</v>
          </cell>
          <cell r="L186">
            <v>46238</v>
          </cell>
        </row>
        <row r="187">
          <cell r="A187" t="str">
            <v>CA-H2607-PD-214</v>
          </cell>
          <cell r="B187" t="str">
            <v>HyperionYubo changed</v>
          </cell>
          <cell r="C187">
            <v>11134278</v>
          </cell>
          <cell r="D187" t="str">
            <v>1911221-E-A</v>
          </cell>
          <cell r="E187" t="str">
            <v>HJ70SP300P10000 JP</v>
          </cell>
          <cell r="F187" t="str">
            <v>JAPAN</v>
          </cell>
          <cell r="G187">
            <v>57</v>
          </cell>
          <cell r="H187">
            <v>57</v>
          </cell>
          <cell r="I187">
            <v>0</v>
          </cell>
          <cell r="J187" t="str">
            <v>FINISH</v>
          </cell>
          <cell r="K187">
            <v>46230</v>
          </cell>
          <cell r="L187">
            <v>46238</v>
          </cell>
        </row>
        <row r="188">
          <cell r="A188" t="str">
            <v>CA-H2607-PD-215</v>
          </cell>
          <cell r="B188" t="str">
            <v>HyperionYubo changed</v>
          </cell>
          <cell r="C188">
            <v>11134279</v>
          </cell>
          <cell r="D188" t="str">
            <v>1911222-E-A</v>
          </cell>
          <cell r="E188" t="str">
            <v>HJ70SP302P10020 JP</v>
          </cell>
          <cell r="F188" t="str">
            <v>JAPAN</v>
          </cell>
          <cell r="G188">
            <v>44</v>
          </cell>
          <cell r="H188">
            <v>44</v>
          </cell>
          <cell r="I188">
            <v>0</v>
          </cell>
          <cell r="J188" t="str">
            <v>FINISH</v>
          </cell>
          <cell r="K188">
            <v>46230</v>
          </cell>
          <cell r="L188">
            <v>46238</v>
          </cell>
        </row>
        <row r="189">
          <cell r="A189" t="str">
            <v>CA-H2607-PD-216</v>
          </cell>
          <cell r="B189" t="str">
            <v>HyperionYubo changed</v>
          </cell>
          <cell r="C189">
            <v>11134281</v>
          </cell>
          <cell r="D189" t="str">
            <v>1911224-F-A</v>
          </cell>
          <cell r="E189" t="str">
            <v>HJ70SP350P10000 JP</v>
          </cell>
          <cell r="F189" t="str">
            <v>JAPAN</v>
          </cell>
          <cell r="G189">
            <v>817</v>
          </cell>
          <cell r="H189">
            <v>817</v>
          </cell>
          <cell r="I189">
            <v>0</v>
          </cell>
          <cell r="J189" t="str">
            <v>FINISH</v>
          </cell>
          <cell r="K189">
            <v>46230</v>
          </cell>
          <cell r="L189">
            <v>46238</v>
          </cell>
        </row>
        <row r="190">
          <cell r="A190" t="str">
            <v>CA-H2607-PD-217</v>
          </cell>
          <cell r="B190" t="str">
            <v>HyperionYubo changed</v>
          </cell>
          <cell r="C190">
            <v>11134283</v>
          </cell>
          <cell r="D190" t="str">
            <v>1911226-E-A</v>
          </cell>
          <cell r="E190" t="str">
            <v>HJ70SP352P09020 JP</v>
          </cell>
          <cell r="F190" t="str">
            <v>JAPAN</v>
          </cell>
          <cell r="G190">
            <v>43</v>
          </cell>
          <cell r="H190">
            <v>43</v>
          </cell>
          <cell r="I190">
            <v>0</v>
          </cell>
          <cell r="J190" t="str">
            <v>FINISH</v>
          </cell>
          <cell r="K190">
            <v>46230</v>
          </cell>
          <cell r="L190">
            <v>46238</v>
          </cell>
        </row>
        <row r="191">
          <cell r="A191" t="str">
            <v>CA-H2607-PD-218</v>
          </cell>
          <cell r="B191" t="str">
            <v>HyperionYubo changed</v>
          </cell>
          <cell r="C191">
            <v>11134282</v>
          </cell>
          <cell r="D191" t="str">
            <v>1911225-F-A</v>
          </cell>
          <cell r="E191" t="str">
            <v>HJ70SP352P10020 JP</v>
          </cell>
          <cell r="F191" t="str">
            <v>JAPAN</v>
          </cell>
          <cell r="G191">
            <v>597</v>
          </cell>
          <cell r="H191">
            <v>597</v>
          </cell>
          <cell r="I191">
            <v>0</v>
          </cell>
          <cell r="J191" t="str">
            <v>FINISH</v>
          </cell>
          <cell r="K191">
            <v>46230</v>
          </cell>
          <cell r="L191">
            <v>46238</v>
          </cell>
        </row>
        <row r="192">
          <cell r="A192" t="str">
            <v>CA-H2607-PD-219</v>
          </cell>
          <cell r="B192" t="str">
            <v>HyperionYubo changed</v>
          </cell>
          <cell r="C192">
            <v>11134284</v>
          </cell>
          <cell r="D192" t="str">
            <v>1911227-F-A</v>
          </cell>
          <cell r="E192" t="str">
            <v>HJ70SP370P10000 JP</v>
          </cell>
          <cell r="F192" t="str">
            <v>JAPAN</v>
          </cell>
          <cell r="G192">
            <v>231</v>
          </cell>
          <cell r="H192">
            <v>231</v>
          </cell>
          <cell r="I192">
            <v>0</v>
          </cell>
          <cell r="J192" t="str">
            <v>FINISH</v>
          </cell>
          <cell r="K192">
            <v>46230</v>
          </cell>
          <cell r="L192">
            <v>46238</v>
          </cell>
        </row>
        <row r="193">
          <cell r="A193" t="str">
            <v>CA-H2607-PD-220</v>
          </cell>
          <cell r="B193" t="str">
            <v>HyperionYubo changed</v>
          </cell>
          <cell r="C193">
            <v>11134286</v>
          </cell>
          <cell r="D193" t="str">
            <v>1911229-E-A</v>
          </cell>
          <cell r="E193" t="str">
            <v>HJ70SP372P09020 JP</v>
          </cell>
          <cell r="F193" t="str">
            <v>JAPAN</v>
          </cell>
          <cell r="G193">
            <v>48</v>
          </cell>
          <cell r="H193">
            <v>48</v>
          </cell>
          <cell r="I193">
            <v>0</v>
          </cell>
          <cell r="J193" t="str">
            <v>FINISH</v>
          </cell>
          <cell r="K193">
            <v>46230</v>
          </cell>
          <cell r="L193">
            <v>46238</v>
          </cell>
        </row>
        <row r="194">
          <cell r="A194" t="str">
            <v>CA-H2607-PD-221</v>
          </cell>
          <cell r="B194" t="str">
            <v>HyperionYubo changed</v>
          </cell>
          <cell r="C194">
            <v>11134285</v>
          </cell>
          <cell r="D194" t="str">
            <v>1911228-F-A</v>
          </cell>
          <cell r="E194" t="str">
            <v>HJ70SP372P10020 JP</v>
          </cell>
          <cell r="F194" t="str">
            <v>JAPAN</v>
          </cell>
          <cell r="G194">
            <v>267</v>
          </cell>
          <cell r="H194">
            <v>267</v>
          </cell>
          <cell r="I194">
            <v>0</v>
          </cell>
          <cell r="J194" t="str">
            <v>FINISH</v>
          </cell>
          <cell r="K194">
            <v>46230</v>
          </cell>
          <cell r="L194">
            <v>46238</v>
          </cell>
        </row>
        <row r="195">
          <cell r="A195" t="str">
            <v>CA-H2607-PD-222</v>
          </cell>
          <cell r="B195" t="str">
            <v>HyperionYubo changed</v>
          </cell>
          <cell r="C195">
            <v>11134287</v>
          </cell>
          <cell r="D195" t="str">
            <v>1911230-F-A</v>
          </cell>
          <cell r="E195" t="str">
            <v>HJ70SP400P10000 JP</v>
          </cell>
          <cell r="F195" t="str">
            <v>JAPAN</v>
          </cell>
          <cell r="G195">
            <v>58</v>
          </cell>
          <cell r="H195">
            <v>58</v>
          </cell>
          <cell r="I195">
            <v>0</v>
          </cell>
          <cell r="J195" t="str">
            <v>FINISH</v>
          </cell>
          <cell r="K195">
            <v>46230</v>
          </cell>
          <cell r="L195">
            <v>46238</v>
          </cell>
        </row>
        <row r="196">
          <cell r="A196" t="str">
            <v>CA-H2607-PD-223</v>
          </cell>
          <cell r="B196" t="str">
            <v>HyperionYubo changed</v>
          </cell>
          <cell r="C196">
            <v>11134288</v>
          </cell>
          <cell r="D196" t="str">
            <v>1911231-F-A</v>
          </cell>
          <cell r="E196" t="str">
            <v>HJ70SP402P10020 JP</v>
          </cell>
          <cell r="F196" t="str">
            <v>JAPAN</v>
          </cell>
          <cell r="G196">
            <v>70</v>
          </cell>
          <cell r="H196">
            <v>70</v>
          </cell>
          <cell r="I196">
            <v>0</v>
          </cell>
          <cell r="J196" t="str">
            <v>FINISH</v>
          </cell>
          <cell r="K196">
            <v>46230</v>
          </cell>
          <cell r="L196">
            <v>46238</v>
          </cell>
        </row>
        <row r="197">
          <cell r="A197" t="str">
            <v>CA-H2607-PD-224</v>
          </cell>
          <cell r="B197" t="str">
            <v>HyperionYubo changed</v>
          </cell>
          <cell r="C197">
            <v>11134290</v>
          </cell>
          <cell r="D197" t="str">
            <v>1911233-E-A</v>
          </cell>
          <cell r="E197" t="str">
            <v>HJ70SP452P10020 JP</v>
          </cell>
          <cell r="F197" t="str">
            <v>JAPAN</v>
          </cell>
          <cell r="G197">
            <v>2</v>
          </cell>
          <cell r="H197">
            <v>2</v>
          </cell>
          <cell r="I197">
            <v>0</v>
          </cell>
          <cell r="J197" t="str">
            <v>FINISH</v>
          </cell>
          <cell r="K197">
            <v>46230</v>
          </cell>
          <cell r="L197">
            <v>46238</v>
          </cell>
        </row>
        <row r="198">
          <cell r="A198" t="str">
            <v>CA-H2607-PD-225</v>
          </cell>
          <cell r="B198" t="str">
            <v>Hyperion</v>
          </cell>
          <cell r="C198">
            <v>11119660</v>
          </cell>
          <cell r="D198" t="str">
            <v>1911326-D-A</v>
          </cell>
          <cell r="E198" t="str">
            <v>HJ80AL072P09002 JP</v>
          </cell>
          <cell r="F198" t="str">
            <v>JAPAN</v>
          </cell>
          <cell r="G198">
            <v>5</v>
          </cell>
          <cell r="H198">
            <v>5</v>
          </cell>
          <cell r="I198">
            <v>0</v>
          </cell>
          <cell r="J198" t="str">
            <v>FINISH</v>
          </cell>
          <cell r="K198">
            <v>46230</v>
          </cell>
          <cell r="L198">
            <v>46238</v>
          </cell>
        </row>
        <row r="199">
          <cell r="A199" t="str">
            <v>CA-H2607-PD-226</v>
          </cell>
          <cell r="B199" t="str">
            <v>Hyperion</v>
          </cell>
          <cell r="C199">
            <v>11119570</v>
          </cell>
          <cell r="D199" t="str">
            <v>1911236-D-A</v>
          </cell>
          <cell r="E199" t="str">
            <v>HJ80AL072P10000 JP</v>
          </cell>
          <cell r="F199" t="str">
            <v>JAPAN</v>
          </cell>
          <cell r="G199">
            <v>29</v>
          </cell>
          <cell r="H199">
            <v>29</v>
          </cell>
          <cell r="I199">
            <v>0</v>
          </cell>
          <cell r="J199" t="str">
            <v>FINISH</v>
          </cell>
          <cell r="K199">
            <v>46230</v>
          </cell>
          <cell r="L199">
            <v>46238</v>
          </cell>
        </row>
        <row r="200">
          <cell r="A200" t="str">
            <v>CA-H2607-PD-227</v>
          </cell>
          <cell r="B200" t="str">
            <v>Hyperion</v>
          </cell>
          <cell r="C200">
            <v>11119573</v>
          </cell>
          <cell r="D200" t="str">
            <v>1911239-D-A</v>
          </cell>
          <cell r="E200" t="str">
            <v>HJ80AL072P10001 JP</v>
          </cell>
          <cell r="F200" t="str">
            <v>JAPAN</v>
          </cell>
          <cell r="G200">
            <v>10</v>
          </cell>
          <cell r="H200">
            <v>10</v>
          </cell>
          <cell r="I200">
            <v>0</v>
          </cell>
          <cell r="J200" t="str">
            <v>FINISH</v>
          </cell>
          <cell r="K200">
            <v>46230</v>
          </cell>
          <cell r="L200">
            <v>46238</v>
          </cell>
        </row>
        <row r="201">
          <cell r="A201" t="str">
            <v>CA-H2607-PD-228</v>
          </cell>
          <cell r="B201" t="str">
            <v>Hyperion</v>
          </cell>
          <cell r="C201">
            <v>11119659</v>
          </cell>
          <cell r="D201" t="str">
            <v>1911325-D-A</v>
          </cell>
          <cell r="E201" t="str">
            <v>HJ80AL072P10002 JP</v>
          </cell>
          <cell r="F201" t="str">
            <v>JAPAN</v>
          </cell>
          <cell r="G201">
            <v>18</v>
          </cell>
          <cell r="H201">
            <v>18</v>
          </cell>
          <cell r="I201">
            <v>0</v>
          </cell>
          <cell r="J201" t="str">
            <v>FINISH</v>
          </cell>
          <cell r="K201">
            <v>46230</v>
          </cell>
          <cell r="L201">
            <v>46238</v>
          </cell>
        </row>
        <row r="202">
          <cell r="A202" t="str">
            <v>CA-H2607-PD-229</v>
          </cell>
          <cell r="B202" t="str">
            <v>Hyperion</v>
          </cell>
          <cell r="C202">
            <v>11119662</v>
          </cell>
          <cell r="D202" t="str">
            <v>1911328-D-A</v>
          </cell>
          <cell r="E202" t="str">
            <v>HJ80AL100P09002 JP</v>
          </cell>
          <cell r="F202" t="str">
            <v>JAPAN</v>
          </cell>
          <cell r="G202">
            <v>2</v>
          </cell>
          <cell r="H202">
            <v>2</v>
          </cell>
          <cell r="I202">
            <v>0</v>
          </cell>
          <cell r="J202" t="str">
            <v>FINISH</v>
          </cell>
          <cell r="K202">
            <v>46230</v>
          </cell>
          <cell r="L202">
            <v>46238</v>
          </cell>
        </row>
        <row r="203">
          <cell r="A203" t="str">
            <v>CA-H2607-PD-230</v>
          </cell>
          <cell r="B203" t="str">
            <v>Hyperion</v>
          </cell>
          <cell r="C203">
            <v>11119578</v>
          </cell>
          <cell r="D203" t="str">
            <v>1911244-D-A</v>
          </cell>
          <cell r="E203" t="str">
            <v>HJ80AL100P10001 JP</v>
          </cell>
          <cell r="F203" t="str">
            <v>JAPAN</v>
          </cell>
          <cell r="G203">
            <v>2</v>
          </cell>
          <cell r="H203">
            <v>2</v>
          </cell>
          <cell r="I203">
            <v>0</v>
          </cell>
          <cell r="J203" t="str">
            <v>FINISH</v>
          </cell>
          <cell r="K203">
            <v>46230</v>
          </cell>
          <cell r="L203">
            <v>46238</v>
          </cell>
        </row>
        <row r="204">
          <cell r="A204" t="str">
            <v>CA-H2607-PD-231</v>
          </cell>
          <cell r="B204" t="str">
            <v>Hyperion</v>
          </cell>
          <cell r="C204">
            <v>11119661</v>
          </cell>
          <cell r="D204" t="str">
            <v>1911327-D-A</v>
          </cell>
          <cell r="E204" t="str">
            <v>HJ80AL100P10002 JP</v>
          </cell>
          <cell r="F204" t="str">
            <v>JAPAN</v>
          </cell>
          <cell r="G204">
            <v>2</v>
          </cell>
          <cell r="H204">
            <v>2</v>
          </cell>
          <cell r="I204">
            <v>0</v>
          </cell>
          <cell r="J204" t="str">
            <v>FINISH</v>
          </cell>
          <cell r="K204">
            <v>46230</v>
          </cell>
          <cell r="L204">
            <v>46238</v>
          </cell>
        </row>
        <row r="205">
          <cell r="A205" t="str">
            <v>CA-H2607-PD-232</v>
          </cell>
          <cell r="B205" t="str">
            <v>Hyperion</v>
          </cell>
          <cell r="C205">
            <v>11119577</v>
          </cell>
          <cell r="D205" t="str">
            <v>1911243-D-A</v>
          </cell>
          <cell r="E205" t="str">
            <v>HJ80AL102P09000 JP</v>
          </cell>
          <cell r="F205" t="str">
            <v>JAPAN</v>
          </cell>
          <cell r="G205">
            <v>13</v>
          </cell>
          <cell r="H205">
            <v>13</v>
          </cell>
          <cell r="I205">
            <v>0</v>
          </cell>
          <cell r="J205" t="str">
            <v>FINISH</v>
          </cell>
          <cell r="K205">
            <v>46230</v>
          </cell>
          <cell r="L205">
            <v>46238</v>
          </cell>
        </row>
        <row r="206">
          <cell r="A206" t="str">
            <v>CA-H2607-PD-233</v>
          </cell>
          <cell r="B206" t="str">
            <v>Hyperion</v>
          </cell>
          <cell r="C206">
            <v>11119664</v>
          </cell>
          <cell r="D206" t="str">
            <v>1911330-D-A</v>
          </cell>
          <cell r="E206" t="str">
            <v>HJ80AL102P09002 JP</v>
          </cell>
          <cell r="F206" t="str">
            <v>JAPAN</v>
          </cell>
          <cell r="G206">
            <v>10</v>
          </cell>
          <cell r="H206">
            <v>10</v>
          </cell>
          <cell r="I206">
            <v>0</v>
          </cell>
          <cell r="J206" t="str">
            <v>FINISH</v>
          </cell>
          <cell r="K206">
            <v>46230</v>
          </cell>
          <cell r="L206">
            <v>46238</v>
          </cell>
        </row>
        <row r="207">
          <cell r="A207" t="str">
            <v>CA-H2607-PD-234</v>
          </cell>
          <cell r="B207" t="str">
            <v>Hyperion</v>
          </cell>
          <cell r="C207">
            <v>11119576</v>
          </cell>
          <cell r="D207" t="str">
            <v>1911242-D-A</v>
          </cell>
          <cell r="E207" t="str">
            <v>HJ80AL102P10000 JP</v>
          </cell>
          <cell r="F207" t="str">
            <v>JAPAN</v>
          </cell>
          <cell r="G207">
            <v>95</v>
          </cell>
          <cell r="H207">
            <v>95</v>
          </cell>
          <cell r="I207">
            <v>0</v>
          </cell>
          <cell r="J207" t="str">
            <v>FINISH</v>
          </cell>
          <cell r="K207">
            <v>46230</v>
          </cell>
          <cell r="L207">
            <v>46238</v>
          </cell>
        </row>
        <row r="208">
          <cell r="A208" t="str">
            <v>CA-H2607-PD-235</v>
          </cell>
          <cell r="B208" t="str">
            <v>Hyperion</v>
          </cell>
          <cell r="C208">
            <v>11119579</v>
          </cell>
          <cell r="D208" t="str">
            <v>1911245-D-A</v>
          </cell>
          <cell r="E208" t="str">
            <v>HJ80AL102P10001 JP</v>
          </cell>
          <cell r="F208" t="str">
            <v>JAPAN</v>
          </cell>
          <cell r="G208">
            <v>20</v>
          </cell>
          <cell r="H208">
            <v>20</v>
          </cell>
          <cell r="I208">
            <v>0</v>
          </cell>
          <cell r="J208" t="str">
            <v>FINISH</v>
          </cell>
          <cell r="K208">
            <v>46230</v>
          </cell>
          <cell r="L208">
            <v>46238</v>
          </cell>
        </row>
        <row r="209">
          <cell r="A209" t="str">
            <v>CA-H2607-PD-236</v>
          </cell>
          <cell r="B209" t="str">
            <v>Hyperion</v>
          </cell>
          <cell r="C209">
            <v>11119663</v>
          </cell>
          <cell r="D209" t="str">
            <v>1911329-D-A</v>
          </cell>
          <cell r="E209" t="str">
            <v>HJ80AL102P10002 JP</v>
          </cell>
          <cell r="F209" t="str">
            <v>JAPAN</v>
          </cell>
          <cell r="G209">
            <v>74</v>
          </cell>
          <cell r="H209">
            <v>74</v>
          </cell>
          <cell r="I209">
            <v>0</v>
          </cell>
          <cell r="J209" t="str">
            <v>FINISH</v>
          </cell>
          <cell r="K209">
            <v>46230</v>
          </cell>
          <cell r="L209">
            <v>46238</v>
          </cell>
        </row>
        <row r="210">
          <cell r="A210" t="str">
            <v>CA-H2607-PD-237</v>
          </cell>
          <cell r="B210" t="str">
            <v>Hyperion</v>
          </cell>
          <cell r="C210">
            <v>11119583</v>
          </cell>
          <cell r="D210" t="str">
            <v>1911249-D-A</v>
          </cell>
          <cell r="E210" t="str">
            <v>HJ80AL152P09000 JP</v>
          </cell>
          <cell r="F210" t="str">
            <v>JAPAN</v>
          </cell>
          <cell r="G210">
            <v>7</v>
          </cell>
          <cell r="H210">
            <v>7</v>
          </cell>
          <cell r="I210">
            <v>0</v>
          </cell>
          <cell r="J210" t="str">
            <v>FINISH</v>
          </cell>
          <cell r="K210">
            <v>46230</v>
          </cell>
          <cell r="L210">
            <v>46238</v>
          </cell>
        </row>
        <row r="211">
          <cell r="A211" t="str">
            <v>CA-H2607-PD-238</v>
          </cell>
          <cell r="B211" t="str">
            <v>Hyperion</v>
          </cell>
          <cell r="C211">
            <v>11119668</v>
          </cell>
          <cell r="D211" t="str">
            <v>1911334-D-A</v>
          </cell>
          <cell r="E211" t="str">
            <v>HJ80AL152P09002 JP</v>
          </cell>
          <cell r="F211" t="str">
            <v>JAPAN</v>
          </cell>
          <cell r="G211">
            <v>8</v>
          </cell>
          <cell r="H211">
            <v>8</v>
          </cell>
          <cell r="I211">
            <v>0</v>
          </cell>
          <cell r="J211" t="str">
            <v>FINISH</v>
          </cell>
          <cell r="K211">
            <v>46230</v>
          </cell>
          <cell r="L211">
            <v>46238</v>
          </cell>
        </row>
        <row r="212">
          <cell r="A212" t="str">
            <v>CA-H2607-PD-239</v>
          </cell>
          <cell r="B212" t="str">
            <v>Hyperion</v>
          </cell>
          <cell r="C212">
            <v>11119582</v>
          </cell>
          <cell r="D212" t="str">
            <v>1911248-D-A</v>
          </cell>
          <cell r="E212" t="str">
            <v>HJ80AL152P10000 JP</v>
          </cell>
          <cell r="F212" t="str">
            <v>JAPAN</v>
          </cell>
          <cell r="G212">
            <v>53</v>
          </cell>
          <cell r="H212">
            <v>53</v>
          </cell>
          <cell r="I212">
            <v>0</v>
          </cell>
          <cell r="J212" t="str">
            <v>FINISH</v>
          </cell>
          <cell r="K212">
            <v>46230</v>
          </cell>
          <cell r="L212">
            <v>46238</v>
          </cell>
        </row>
        <row r="213">
          <cell r="A213" t="str">
            <v>CA-H2607-PD-240</v>
          </cell>
          <cell r="B213" t="str">
            <v>Hyperion</v>
          </cell>
          <cell r="C213">
            <v>11119585</v>
          </cell>
          <cell r="D213" t="str">
            <v>1911251-D-A</v>
          </cell>
          <cell r="E213" t="str">
            <v>HJ80AL152P10001 JP</v>
          </cell>
          <cell r="F213" t="str">
            <v>JAPAN</v>
          </cell>
          <cell r="G213">
            <v>2</v>
          </cell>
          <cell r="H213">
            <v>2</v>
          </cell>
          <cell r="I213">
            <v>0</v>
          </cell>
          <cell r="J213" t="str">
            <v>FINISH</v>
          </cell>
          <cell r="K213">
            <v>46230</v>
          </cell>
          <cell r="L213">
            <v>46238</v>
          </cell>
        </row>
        <row r="214">
          <cell r="A214" t="str">
            <v>CA-H2607-PD-241</v>
          </cell>
          <cell r="B214" t="str">
            <v>Hyperion</v>
          </cell>
          <cell r="C214">
            <v>11119667</v>
          </cell>
          <cell r="D214" t="str">
            <v>1911333-D-A</v>
          </cell>
          <cell r="E214" t="str">
            <v>HJ80AL152P10002 JP</v>
          </cell>
          <cell r="F214" t="str">
            <v>JAPAN</v>
          </cell>
          <cell r="G214">
            <v>19</v>
          </cell>
          <cell r="H214">
            <v>19</v>
          </cell>
          <cell r="I214">
            <v>0</v>
          </cell>
          <cell r="J214" t="str">
            <v>FINISH</v>
          </cell>
          <cell r="K214">
            <v>46230</v>
          </cell>
          <cell r="L214">
            <v>46238</v>
          </cell>
        </row>
        <row r="215">
          <cell r="A215" t="str">
            <v>CA-H2607-PD-242</v>
          </cell>
          <cell r="B215" t="str">
            <v>Hyperion</v>
          </cell>
          <cell r="C215">
            <v>11119669</v>
          </cell>
          <cell r="D215" t="str">
            <v>1911335-D-A</v>
          </cell>
          <cell r="E215" t="str">
            <v>HJ80AL200P10002 JP</v>
          </cell>
          <cell r="F215" t="str">
            <v>JAPAN</v>
          </cell>
          <cell r="G215">
            <v>2</v>
          </cell>
          <cell r="H215">
            <v>2</v>
          </cell>
          <cell r="I215">
            <v>0</v>
          </cell>
          <cell r="J215" t="str">
            <v>FINISH</v>
          </cell>
          <cell r="K215">
            <v>46230</v>
          </cell>
          <cell r="L215">
            <v>46238</v>
          </cell>
        </row>
        <row r="216">
          <cell r="A216" t="str">
            <v>CA-H2607-PD-243</v>
          </cell>
          <cell r="B216" t="str">
            <v>Hyperion</v>
          </cell>
          <cell r="C216">
            <v>11119672</v>
          </cell>
          <cell r="D216" t="str">
            <v>1911338-D-A</v>
          </cell>
          <cell r="E216" t="str">
            <v>HJ80AL202P09002 JP</v>
          </cell>
          <cell r="F216" t="str">
            <v>JAPAN</v>
          </cell>
          <cell r="G216">
            <v>5</v>
          </cell>
          <cell r="H216">
            <v>5</v>
          </cell>
          <cell r="I216">
            <v>0</v>
          </cell>
          <cell r="J216" t="str">
            <v>FINISH</v>
          </cell>
          <cell r="K216">
            <v>46230</v>
          </cell>
          <cell r="L216">
            <v>46238</v>
          </cell>
        </row>
        <row r="217">
          <cell r="A217" t="str">
            <v>CA-H2607-PD-244</v>
          </cell>
          <cell r="B217" t="str">
            <v>Hyperion</v>
          </cell>
          <cell r="C217">
            <v>11119587</v>
          </cell>
          <cell r="D217" t="str">
            <v>1911253-D-A</v>
          </cell>
          <cell r="E217" t="str">
            <v>HJ80AL202P10000 JP</v>
          </cell>
          <cell r="F217" t="str">
            <v>JAPAN</v>
          </cell>
          <cell r="G217">
            <v>28</v>
          </cell>
          <cell r="H217">
            <v>28</v>
          </cell>
          <cell r="I217">
            <v>0</v>
          </cell>
          <cell r="J217" t="str">
            <v>FINISH</v>
          </cell>
          <cell r="K217">
            <v>46230</v>
          </cell>
          <cell r="L217">
            <v>46238</v>
          </cell>
        </row>
        <row r="218">
          <cell r="A218" t="str">
            <v>CA-H2607-PD-245</v>
          </cell>
          <cell r="B218" t="str">
            <v>Hyperion</v>
          </cell>
          <cell r="C218">
            <v>11119671</v>
          </cell>
          <cell r="D218" t="str">
            <v>1911337-D-A</v>
          </cell>
          <cell r="E218" t="str">
            <v>HJ80AL202P10002 JP</v>
          </cell>
          <cell r="F218" t="str">
            <v>JAPAN</v>
          </cell>
          <cell r="G218">
            <v>7</v>
          </cell>
          <cell r="H218">
            <v>7</v>
          </cell>
          <cell r="I218">
            <v>0</v>
          </cell>
          <cell r="J218" t="str">
            <v>FINISH</v>
          </cell>
          <cell r="K218">
            <v>46230</v>
          </cell>
          <cell r="L218">
            <v>46238</v>
          </cell>
        </row>
        <row r="219">
          <cell r="A219" t="str">
            <v>CA-H2607-PD-246</v>
          </cell>
          <cell r="B219" t="str">
            <v>Hyperion</v>
          </cell>
          <cell r="C219">
            <v>11119588</v>
          </cell>
          <cell r="D219" t="str">
            <v>1911254-D-A</v>
          </cell>
          <cell r="E219" t="str">
            <v>HJ80CP152P10000 JP</v>
          </cell>
          <cell r="F219" t="str">
            <v>JAPAN</v>
          </cell>
          <cell r="G219">
            <v>1</v>
          </cell>
          <cell r="H219">
            <v>1</v>
          </cell>
          <cell r="I219">
            <v>0</v>
          </cell>
          <cell r="J219" t="str">
            <v>FINISH</v>
          </cell>
          <cell r="K219">
            <v>46230</v>
          </cell>
          <cell r="L219">
            <v>46238</v>
          </cell>
        </row>
        <row r="220">
          <cell r="A220" t="str">
            <v>CA-H2607-PD-247</v>
          </cell>
          <cell r="B220" t="str">
            <v>Hyperion</v>
          </cell>
          <cell r="C220">
            <v>11119598</v>
          </cell>
          <cell r="D220" t="str">
            <v>1911264-D-A</v>
          </cell>
          <cell r="E220" t="str">
            <v>HJ80HS012P10000 JP</v>
          </cell>
          <cell r="F220" t="str">
            <v>JAPAN</v>
          </cell>
          <cell r="G220">
            <v>4</v>
          </cell>
          <cell r="H220">
            <v>4</v>
          </cell>
          <cell r="I220">
            <v>0</v>
          </cell>
          <cell r="J220" t="str">
            <v>FINISH</v>
          </cell>
          <cell r="K220">
            <v>46230</v>
          </cell>
          <cell r="L220">
            <v>46238</v>
          </cell>
        </row>
        <row r="221">
          <cell r="A221" t="str">
            <v>CA-H2607-PD-248</v>
          </cell>
          <cell r="B221" t="str">
            <v>Hyperion</v>
          </cell>
          <cell r="C221">
            <v>11119602</v>
          </cell>
          <cell r="D221" t="str">
            <v>1911268-D-A</v>
          </cell>
          <cell r="E221" t="str">
            <v>HJ80IM002P10010 JP</v>
          </cell>
          <cell r="F221" t="str">
            <v>JAPAN</v>
          </cell>
          <cell r="G221">
            <v>10</v>
          </cell>
          <cell r="H221">
            <v>10</v>
          </cell>
          <cell r="I221">
            <v>0</v>
          </cell>
          <cell r="J221" t="str">
            <v>FINISH</v>
          </cell>
          <cell r="K221">
            <v>46230</v>
          </cell>
          <cell r="L221">
            <v>46238</v>
          </cell>
        </row>
        <row r="222">
          <cell r="A222" t="str">
            <v>CA-H2607-PD-249</v>
          </cell>
          <cell r="B222" t="str">
            <v>Hyperion</v>
          </cell>
          <cell r="C222">
            <v>11119603</v>
          </cell>
          <cell r="D222" t="str">
            <v>1911269-D-A</v>
          </cell>
          <cell r="E222" t="str">
            <v>HJ80JL350P10000 JP</v>
          </cell>
          <cell r="F222" t="str">
            <v>JAPAN</v>
          </cell>
          <cell r="G222">
            <v>9</v>
          </cell>
          <cell r="H222">
            <v>9</v>
          </cell>
          <cell r="I222">
            <v>0</v>
          </cell>
          <cell r="J222" t="str">
            <v>FINISH</v>
          </cell>
          <cell r="K222">
            <v>46230</v>
          </cell>
          <cell r="L222">
            <v>46238</v>
          </cell>
        </row>
        <row r="223">
          <cell r="A223" t="str">
            <v>CA-H2607-PD-250</v>
          </cell>
          <cell r="B223" t="str">
            <v>Hyperion</v>
          </cell>
          <cell r="C223">
            <v>11119606</v>
          </cell>
          <cell r="D223" t="str">
            <v>1911272-D-A</v>
          </cell>
          <cell r="E223" t="str">
            <v>HJ80JL352P09000 JP</v>
          </cell>
          <cell r="F223" t="str">
            <v>JAPAN</v>
          </cell>
          <cell r="G223">
            <v>14</v>
          </cell>
          <cell r="H223">
            <v>14</v>
          </cell>
          <cell r="I223">
            <v>0</v>
          </cell>
          <cell r="J223" t="str">
            <v>FINISH</v>
          </cell>
          <cell r="K223">
            <v>46230</v>
          </cell>
          <cell r="L223">
            <v>46238</v>
          </cell>
        </row>
        <row r="224">
          <cell r="A224" t="str">
            <v>CA-H2607-PD-251</v>
          </cell>
          <cell r="B224" t="str">
            <v>Hyperion</v>
          </cell>
          <cell r="C224">
            <v>11119605</v>
          </cell>
          <cell r="D224" t="str">
            <v>1911271-D-A</v>
          </cell>
          <cell r="E224" t="str">
            <v>HJ80JL352P10000 JP</v>
          </cell>
          <cell r="F224" t="str">
            <v>JAPAN</v>
          </cell>
          <cell r="G224">
            <v>33</v>
          </cell>
          <cell r="H224">
            <v>33</v>
          </cell>
          <cell r="I224">
            <v>0</v>
          </cell>
          <cell r="J224" t="str">
            <v>FINISH</v>
          </cell>
          <cell r="K224">
            <v>46230</v>
          </cell>
          <cell r="L224">
            <v>46238</v>
          </cell>
        </row>
        <row r="225">
          <cell r="A225" t="str">
            <v>CA-H2607-PD-252</v>
          </cell>
          <cell r="B225" t="str">
            <v>Hyperion</v>
          </cell>
          <cell r="C225">
            <v>11119608</v>
          </cell>
          <cell r="D225" t="str">
            <v>1911274-D-A</v>
          </cell>
          <cell r="E225" t="str">
            <v>HJ80JL352P10001 JP</v>
          </cell>
          <cell r="F225" t="str">
            <v>JAPAN</v>
          </cell>
          <cell r="G225">
            <v>15</v>
          </cell>
          <cell r="H225">
            <v>15</v>
          </cell>
          <cell r="I225">
            <v>0</v>
          </cell>
          <cell r="J225" t="str">
            <v>FINISH</v>
          </cell>
          <cell r="K225">
            <v>46230</v>
          </cell>
          <cell r="L225">
            <v>46238</v>
          </cell>
        </row>
        <row r="226">
          <cell r="A226" t="str">
            <v>CA-H2607-PD-253</v>
          </cell>
          <cell r="B226" t="str">
            <v>Hyperion</v>
          </cell>
          <cell r="C226">
            <v>11119610</v>
          </cell>
          <cell r="D226" t="str">
            <v>1911276-D-A</v>
          </cell>
          <cell r="E226" t="str">
            <v>HJ80JL400P10000 JP</v>
          </cell>
          <cell r="F226" t="str">
            <v>JAPAN</v>
          </cell>
          <cell r="G226">
            <v>5</v>
          </cell>
          <cell r="H226">
            <v>5</v>
          </cell>
          <cell r="I226">
            <v>0</v>
          </cell>
          <cell r="J226" t="str">
            <v>FINISH</v>
          </cell>
          <cell r="K226">
            <v>46230</v>
          </cell>
          <cell r="L226">
            <v>46238</v>
          </cell>
        </row>
        <row r="227">
          <cell r="A227" t="str">
            <v>CA-H2607-PD-254</v>
          </cell>
          <cell r="B227" t="str">
            <v>Hyperion</v>
          </cell>
          <cell r="C227">
            <v>11119613</v>
          </cell>
          <cell r="D227" t="str">
            <v>1911279-D-A</v>
          </cell>
          <cell r="E227" t="str">
            <v>HJ80JL402P09000 JP</v>
          </cell>
          <cell r="F227" t="str">
            <v>JAPAN</v>
          </cell>
          <cell r="G227">
            <v>10</v>
          </cell>
          <cell r="H227">
            <v>10</v>
          </cell>
          <cell r="I227">
            <v>0</v>
          </cell>
          <cell r="J227" t="str">
            <v>FINISH</v>
          </cell>
          <cell r="K227">
            <v>46230</v>
          </cell>
          <cell r="L227">
            <v>46238</v>
          </cell>
        </row>
        <row r="228">
          <cell r="A228" t="str">
            <v>CA-H2607-PD-255</v>
          </cell>
          <cell r="B228" t="str">
            <v>Hyperion</v>
          </cell>
          <cell r="C228">
            <v>11119612</v>
          </cell>
          <cell r="D228" t="str">
            <v>1911278-D-A</v>
          </cell>
          <cell r="E228" t="str">
            <v>HJ80JL402P10000 JP</v>
          </cell>
          <cell r="F228" t="str">
            <v>JAPAN</v>
          </cell>
          <cell r="G228">
            <v>47</v>
          </cell>
          <cell r="H228">
            <v>47</v>
          </cell>
          <cell r="I228">
            <v>0</v>
          </cell>
          <cell r="J228" t="str">
            <v>FINISH</v>
          </cell>
          <cell r="K228">
            <v>46230</v>
          </cell>
          <cell r="L228">
            <v>46238</v>
          </cell>
        </row>
        <row r="229">
          <cell r="A229" t="str">
            <v>CA-H2607-PD-256</v>
          </cell>
          <cell r="B229" t="str">
            <v>Hyperion</v>
          </cell>
          <cell r="C229">
            <v>11119615</v>
          </cell>
          <cell r="D229" t="str">
            <v>1911281-D-A</v>
          </cell>
          <cell r="E229" t="str">
            <v>HJ80JL402P10001 JP</v>
          </cell>
          <cell r="F229" t="str">
            <v>JAPAN</v>
          </cell>
          <cell r="G229">
            <v>22</v>
          </cell>
          <cell r="H229">
            <v>22</v>
          </cell>
          <cell r="I229">
            <v>0</v>
          </cell>
          <cell r="J229" t="str">
            <v>FINISH</v>
          </cell>
          <cell r="K229">
            <v>46230</v>
          </cell>
          <cell r="L229">
            <v>46238</v>
          </cell>
        </row>
        <row r="230">
          <cell r="A230" t="str">
            <v>CA-H2607-PD-257</v>
          </cell>
          <cell r="B230" t="str">
            <v>Hyperion</v>
          </cell>
          <cell r="C230">
            <v>11119618</v>
          </cell>
          <cell r="D230" t="str">
            <v>1911284-D-A</v>
          </cell>
          <cell r="E230" t="str">
            <v>HJ80JL452P10000 JP</v>
          </cell>
          <cell r="F230" t="str">
            <v>JAPAN</v>
          </cell>
          <cell r="G230">
            <v>2</v>
          </cell>
          <cell r="H230">
            <v>2</v>
          </cell>
          <cell r="I230">
            <v>0</v>
          </cell>
          <cell r="J230" t="str">
            <v>FINISH</v>
          </cell>
          <cell r="K230">
            <v>46230</v>
          </cell>
          <cell r="L230">
            <v>46238</v>
          </cell>
        </row>
        <row r="231">
          <cell r="A231" t="str">
            <v>CA-H2607-PD-258</v>
          </cell>
          <cell r="B231" t="str">
            <v>Hyperion</v>
          </cell>
          <cell r="C231">
            <v>11119625</v>
          </cell>
          <cell r="D231" t="str">
            <v>1911291-D-A</v>
          </cell>
          <cell r="E231" t="str">
            <v>HJ80JR350P10000 JP</v>
          </cell>
          <cell r="F231" t="str">
            <v>JAPAN</v>
          </cell>
          <cell r="G231">
            <v>7</v>
          </cell>
          <cell r="H231">
            <v>7</v>
          </cell>
          <cell r="I231">
            <v>0</v>
          </cell>
          <cell r="J231" t="str">
            <v>FINISH</v>
          </cell>
          <cell r="K231">
            <v>46230</v>
          </cell>
          <cell r="L231">
            <v>46238</v>
          </cell>
        </row>
        <row r="232">
          <cell r="A232" t="str">
            <v>CA-H2607-PD-259</v>
          </cell>
          <cell r="B232" t="str">
            <v>Hyperion</v>
          </cell>
          <cell r="C232">
            <v>11119628</v>
          </cell>
          <cell r="D232" t="str">
            <v>1911294-D-A</v>
          </cell>
          <cell r="E232" t="str">
            <v>HJ80JR352P09000 JP</v>
          </cell>
          <cell r="F232" t="str">
            <v>JAPAN</v>
          </cell>
          <cell r="G232">
            <v>3</v>
          </cell>
          <cell r="H232">
            <v>3</v>
          </cell>
          <cell r="I232">
            <v>0</v>
          </cell>
          <cell r="J232" t="str">
            <v>FINISH</v>
          </cell>
          <cell r="K232">
            <v>46230</v>
          </cell>
          <cell r="L232">
            <v>46238</v>
          </cell>
        </row>
        <row r="233">
          <cell r="A233" t="str">
            <v>CA-H2607-PD-260</v>
          </cell>
          <cell r="B233" t="str">
            <v>Hyperion</v>
          </cell>
          <cell r="C233">
            <v>11119627</v>
          </cell>
          <cell r="D233" t="str">
            <v>1911293-D-A</v>
          </cell>
          <cell r="E233" t="str">
            <v>HJ80JR352P10000 JP</v>
          </cell>
          <cell r="F233" t="str">
            <v>JAPAN</v>
          </cell>
          <cell r="G233">
            <v>22</v>
          </cell>
          <cell r="H233">
            <v>22</v>
          </cell>
          <cell r="I233">
            <v>0</v>
          </cell>
          <cell r="J233" t="str">
            <v>FINISH</v>
          </cell>
          <cell r="K233">
            <v>46230</v>
          </cell>
          <cell r="L233">
            <v>46238</v>
          </cell>
        </row>
        <row r="234">
          <cell r="A234" t="str">
            <v>CA-H2607-PD-261</v>
          </cell>
          <cell r="B234" t="str">
            <v>Hyperion</v>
          </cell>
          <cell r="C234">
            <v>11119629</v>
          </cell>
          <cell r="D234" t="str">
            <v>1911295-D-A</v>
          </cell>
          <cell r="E234" t="str">
            <v>HJ80JR400P10000 JP</v>
          </cell>
          <cell r="F234" t="str">
            <v>JAPAN</v>
          </cell>
          <cell r="G234">
            <v>14</v>
          </cell>
          <cell r="H234">
            <v>14</v>
          </cell>
          <cell r="I234">
            <v>0</v>
          </cell>
          <cell r="J234" t="str">
            <v>FINISH</v>
          </cell>
          <cell r="K234">
            <v>46230</v>
          </cell>
          <cell r="L234">
            <v>46238</v>
          </cell>
        </row>
        <row r="235">
          <cell r="A235" t="str">
            <v>CA-H2607-PD-262</v>
          </cell>
          <cell r="B235" t="str">
            <v>Hyperion</v>
          </cell>
          <cell r="C235">
            <v>11119632</v>
          </cell>
          <cell r="D235" t="str">
            <v>1911298-D-A</v>
          </cell>
          <cell r="E235" t="str">
            <v>HJ80JR402P09000 JP</v>
          </cell>
          <cell r="F235" t="str">
            <v>JAPAN</v>
          </cell>
          <cell r="G235">
            <v>11</v>
          </cell>
          <cell r="H235">
            <v>11</v>
          </cell>
          <cell r="I235">
            <v>0</v>
          </cell>
          <cell r="J235" t="str">
            <v>FINISH</v>
          </cell>
          <cell r="K235">
            <v>46230</v>
          </cell>
          <cell r="L235">
            <v>46238</v>
          </cell>
        </row>
        <row r="236">
          <cell r="A236" t="str">
            <v>CA-H2607-PD-263</v>
          </cell>
          <cell r="B236" t="str">
            <v>Hyperion</v>
          </cell>
          <cell r="C236">
            <v>11119631</v>
          </cell>
          <cell r="D236" t="str">
            <v>1911297-D-A</v>
          </cell>
          <cell r="E236" t="str">
            <v>HJ80JR402P10000 JP</v>
          </cell>
          <cell r="F236" t="str">
            <v>JAPAN</v>
          </cell>
          <cell r="G236">
            <v>54</v>
          </cell>
          <cell r="H236">
            <v>54</v>
          </cell>
          <cell r="I236">
            <v>0</v>
          </cell>
          <cell r="J236" t="str">
            <v>FINISH</v>
          </cell>
          <cell r="K236">
            <v>46230</v>
          </cell>
          <cell r="L236">
            <v>46238</v>
          </cell>
        </row>
        <row r="237">
          <cell r="A237" t="str">
            <v>CA-H2607-PD-264</v>
          </cell>
          <cell r="B237" t="str">
            <v>Hyperion</v>
          </cell>
          <cell r="C237">
            <v>11119634</v>
          </cell>
          <cell r="D237" t="str">
            <v>1911300-D-A</v>
          </cell>
          <cell r="E237" t="str">
            <v>HJ80JR452P10000 JP</v>
          </cell>
          <cell r="F237" t="str">
            <v>JAPAN</v>
          </cell>
          <cell r="G237">
            <v>4</v>
          </cell>
          <cell r="H237">
            <v>4</v>
          </cell>
          <cell r="I237">
            <v>0</v>
          </cell>
          <cell r="J237" t="str">
            <v>FINISH</v>
          </cell>
          <cell r="K237">
            <v>46230</v>
          </cell>
          <cell r="L237">
            <v>46238</v>
          </cell>
        </row>
        <row r="238">
          <cell r="A238" t="str">
            <v>CA-H2607-PD-265</v>
          </cell>
          <cell r="B238" t="str">
            <v>Hyperion</v>
          </cell>
          <cell r="C238">
            <v>11119636</v>
          </cell>
          <cell r="D238" t="str">
            <v>1911302-D-A</v>
          </cell>
          <cell r="E238" t="str">
            <v>HJ80JR502P10000 JP</v>
          </cell>
          <cell r="F238" t="str">
            <v>JAPAN</v>
          </cell>
          <cell r="G238">
            <v>4</v>
          </cell>
          <cell r="H238">
            <v>4</v>
          </cell>
          <cell r="I238">
            <v>0</v>
          </cell>
          <cell r="J238" t="str">
            <v>FINISH</v>
          </cell>
          <cell r="K238">
            <v>46230</v>
          </cell>
          <cell r="L238">
            <v>46238</v>
          </cell>
        </row>
        <row r="239">
          <cell r="A239" t="str">
            <v>CA-H2607-PD-266</v>
          </cell>
          <cell r="B239" t="str">
            <v>HyperionYubo changed</v>
          </cell>
          <cell r="C239">
            <v>11134295</v>
          </cell>
          <cell r="D239" t="str">
            <v>1911306-E-A</v>
          </cell>
          <cell r="E239" t="str">
            <v>HJ80PB302P09000 JP</v>
          </cell>
          <cell r="F239" t="str">
            <v>JAPAN</v>
          </cell>
          <cell r="G239">
            <v>2</v>
          </cell>
          <cell r="H239">
            <v>2</v>
          </cell>
          <cell r="I239">
            <v>0</v>
          </cell>
          <cell r="J239" t="str">
            <v>FINISH</v>
          </cell>
          <cell r="K239">
            <v>46230</v>
          </cell>
          <cell r="L239">
            <v>46238</v>
          </cell>
        </row>
        <row r="240">
          <cell r="A240" t="str">
            <v>CA-H2607-PD-267</v>
          </cell>
          <cell r="B240" t="str">
            <v>HyperionYubo changed</v>
          </cell>
          <cell r="C240">
            <v>11134294</v>
          </cell>
          <cell r="D240" t="str">
            <v>1911305-E-A</v>
          </cell>
          <cell r="E240" t="str">
            <v>HJ80PB302P10000 JP</v>
          </cell>
          <cell r="F240" t="str">
            <v>JAPAN</v>
          </cell>
          <cell r="G240">
            <v>4</v>
          </cell>
          <cell r="H240">
            <v>4</v>
          </cell>
          <cell r="I240">
            <v>0</v>
          </cell>
          <cell r="J240" t="str">
            <v>FINISH</v>
          </cell>
          <cell r="K240">
            <v>46230</v>
          </cell>
          <cell r="L240">
            <v>46238</v>
          </cell>
        </row>
        <row r="241">
          <cell r="A241" t="str">
            <v>CA-H2607-PD-268</v>
          </cell>
          <cell r="B241" t="str">
            <v>HyperionYubo changed</v>
          </cell>
          <cell r="C241">
            <v>11134298</v>
          </cell>
          <cell r="D241" t="str">
            <v>1911309-E-A</v>
          </cell>
          <cell r="E241" t="str">
            <v>HJ80PB352P10000 JP</v>
          </cell>
          <cell r="F241" t="str">
            <v>JAPAN</v>
          </cell>
          <cell r="G241">
            <v>12</v>
          </cell>
          <cell r="H241">
            <v>12</v>
          </cell>
          <cell r="I241">
            <v>0</v>
          </cell>
          <cell r="J241" t="str">
            <v>FINISH</v>
          </cell>
          <cell r="K241">
            <v>46230</v>
          </cell>
          <cell r="L241">
            <v>46238</v>
          </cell>
        </row>
        <row r="242">
          <cell r="A242" t="str">
            <v>CA-H2607-PD-269</v>
          </cell>
          <cell r="B242" t="str">
            <v>Hyperion</v>
          </cell>
          <cell r="C242">
            <v>11119652</v>
          </cell>
          <cell r="D242" t="str">
            <v>1911318-D-A</v>
          </cell>
          <cell r="E242" t="str">
            <v>HJ80RB102P10000 JP</v>
          </cell>
          <cell r="F242" t="str">
            <v>JAPAN</v>
          </cell>
          <cell r="G242">
            <v>11</v>
          </cell>
          <cell r="H242">
            <v>11</v>
          </cell>
          <cell r="I242">
            <v>0</v>
          </cell>
          <cell r="J242" t="str">
            <v>FINISH</v>
          </cell>
          <cell r="K242">
            <v>46230</v>
          </cell>
          <cell r="L242">
            <v>46238</v>
          </cell>
        </row>
        <row r="243">
          <cell r="A243" t="str">
            <v>CA-H2607-PD-270</v>
          </cell>
          <cell r="B243" t="str">
            <v>Hyperion</v>
          </cell>
          <cell r="C243">
            <v>11118595</v>
          </cell>
          <cell r="D243" t="str">
            <v>1911339-D-A</v>
          </cell>
          <cell r="E243" t="str">
            <v>HJ80SC350P10000 JP</v>
          </cell>
          <cell r="F243" t="str">
            <v>JAPAN</v>
          </cell>
          <cell r="G243">
            <v>4</v>
          </cell>
          <cell r="H243">
            <v>4</v>
          </cell>
          <cell r="I243">
            <v>0</v>
          </cell>
          <cell r="J243" t="str">
            <v>FINISH</v>
          </cell>
          <cell r="K243">
            <v>46230</v>
          </cell>
          <cell r="L243">
            <v>46238</v>
          </cell>
        </row>
        <row r="244">
          <cell r="A244" t="str">
            <v>CA-H2607-PD-271</v>
          </cell>
          <cell r="B244" t="str">
            <v>Hyperion</v>
          </cell>
          <cell r="C244">
            <v>11118596</v>
          </cell>
          <cell r="D244" t="str">
            <v>1911340-D-A</v>
          </cell>
          <cell r="E244" t="str">
            <v>HJ80SC352P10000 JP</v>
          </cell>
          <cell r="F244" t="str">
            <v>JAPAN</v>
          </cell>
          <cell r="G244">
            <v>1</v>
          </cell>
          <cell r="H244">
            <v>1</v>
          </cell>
          <cell r="I244">
            <v>0</v>
          </cell>
          <cell r="J244" t="str">
            <v>FINISH</v>
          </cell>
          <cell r="K244">
            <v>46230</v>
          </cell>
          <cell r="L244">
            <v>46238</v>
          </cell>
        </row>
        <row r="245">
          <cell r="A245" t="str">
            <v>CA-H2607-PD-272</v>
          </cell>
          <cell r="B245" t="str">
            <v>HyperionYubo changed</v>
          </cell>
          <cell r="C245">
            <v>11134304</v>
          </cell>
          <cell r="D245" t="str">
            <v>1911343-E-A</v>
          </cell>
          <cell r="E245" t="str">
            <v>HJ80SP300P10000 JP</v>
          </cell>
          <cell r="F245" t="str">
            <v>JAPAN</v>
          </cell>
          <cell r="G245">
            <v>3</v>
          </cell>
          <cell r="H245">
            <v>3</v>
          </cell>
          <cell r="I245">
            <v>0</v>
          </cell>
          <cell r="J245" t="str">
            <v>FINISH</v>
          </cell>
          <cell r="K245">
            <v>46230</v>
          </cell>
          <cell r="L245">
            <v>46238</v>
          </cell>
        </row>
        <row r="246">
          <cell r="A246" t="str">
            <v>CA-H2607-PD-273</v>
          </cell>
          <cell r="B246" t="str">
            <v>HyperionYubo changed</v>
          </cell>
          <cell r="C246">
            <v>11134305</v>
          </cell>
          <cell r="D246" t="str">
            <v>1911344-E-A</v>
          </cell>
          <cell r="E246" t="str">
            <v>HJ80SP302P10000 JP</v>
          </cell>
          <cell r="F246" t="str">
            <v>JAPAN</v>
          </cell>
          <cell r="G246">
            <v>27</v>
          </cell>
          <cell r="H246">
            <v>27</v>
          </cell>
          <cell r="I246">
            <v>0</v>
          </cell>
          <cell r="J246" t="str">
            <v>FINISH</v>
          </cell>
          <cell r="K246">
            <v>46230</v>
          </cell>
          <cell r="L246">
            <v>46238</v>
          </cell>
        </row>
        <row r="247">
          <cell r="A247" t="str">
            <v>CA-H2607-PD-274</v>
          </cell>
          <cell r="B247" t="str">
            <v>HyperionYubo changed</v>
          </cell>
          <cell r="C247">
            <v>11134307</v>
          </cell>
          <cell r="D247" t="str">
            <v>1911346-E-A</v>
          </cell>
          <cell r="E247" t="str">
            <v>HJ80SP350P10000 JP</v>
          </cell>
          <cell r="F247" t="str">
            <v>JAPAN</v>
          </cell>
          <cell r="G247">
            <v>10</v>
          </cell>
          <cell r="H247">
            <v>10</v>
          </cell>
          <cell r="I247">
            <v>0</v>
          </cell>
          <cell r="J247" t="str">
            <v>FINISH</v>
          </cell>
          <cell r="K247">
            <v>46230</v>
          </cell>
          <cell r="L247">
            <v>46238</v>
          </cell>
        </row>
        <row r="248">
          <cell r="A248" t="str">
            <v>CA-H2607-PD-275</v>
          </cell>
          <cell r="B248" t="str">
            <v>HyperionYubo changed</v>
          </cell>
          <cell r="C248">
            <v>11134309</v>
          </cell>
          <cell r="D248" t="str">
            <v>1911348-E-A</v>
          </cell>
          <cell r="E248" t="str">
            <v>HJ80SP352P09000 JP</v>
          </cell>
          <cell r="F248" t="str">
            <v>JAPAN</v>
          </cell>
          <cell r="G248">
            <v>16</v>
          </cell>
          <cell r="H248">
            <v>16</v>
          </cell>
          <cell r="I248">
            <v>0</v>
          </cell>
          <cell r="J248" t="str">
            <v>FINISH</v>
          </cell>
          <cell r="K248">
            <v>46230</v>
          </cell>
          <cell r="L248">
            <v>46238</v>
          </cell>
        </row>
        <row r="249">
          <cell r="A249" t="str">
            <v>CA-H2607-PD-276</v>
          </cell>
          <cell r="B249" t="str">
            <v>HyperionYubo changed</v>
          </cell>
          <cell r="C249">
            <v>11134308</v>
          </cell>
          <cell r="D249" t="str">
            <v>1911347-F-A</v>
          </cell>
          <cell r="E249" t="str">
            <v>HJ80SP352P10000 JP</v>
          </cell>
          <cell r="F249" t="str">
            <v>JAPAN</v>
          </cell>
          <cell r="G249">
            <v>97</v>
          </cell>
          <cell r="H249">
            <v>97</v>
          </cell>
          <cell r="I249">
            <v>0</v>
          </cell>
          <cell r="J249" t="str">
            <v>FINISH</v>
          </cell>
          <cell r="K249">
            <v>46230</v>
          </cell>
          <cell r="L249">
            <v>46238</v>
          </cell>
        </row>
        <row r="250">
          <cell r="A250" t="str">
            <v>CA-H2607-PD-277</v>
          </cell>
          <cell r="B250" t="str">
            <v>HyperionYubo changed</v>
          </cell>
          <cell r="C250">
            <v>11134310</v>
          </cell>
          <cell r="D250" t="str">
            <v>1911349-E-A</v>
          </cell>
          <cell r="E250" t="str">
            <v>HJ80SP370P10000 JP</v>
          </cell>
          <cell r="F250" t="str">
            <v>JAPAN</v>
          </cell>
          <cell r="G250">
            <v>5</v>
          </cell>
          <cell r="H250">
            <v>5</v>
          </cell>
          <cell r="I250">
            <v>0</v>
          </cell>
          <cell r="J250" t="str">
            <v>FINISH</v>
          </cell>
          <cell r="K250">
            <v>46230</v>
          </cell>
          <cell r="L250">
            <v>46238</v>
          </cell>
        </row>
        <row r="251">
          <cell r="A251" t="str">
            <v>CA-H2607-PD-278</v>
          </cell>
          <cell r="B251" t="str">
            <v>HyperionYubo changed</v>
          </cell>
          <cell r="C251">
            <v>11134312</v>
          </cell>
          <cell r="D251" t="str">
            <v>1911351-E-A</v>
          </cell>
          <cell r="E251" t="str">
            <v>HJ80SP372P09000 JP</v>
          </cell>
          <cell r="F251" t="str">
            <v>JAPAN</v>
          </cell>
          <cell r="G251">
            <v>12</v>
          </cell>
          <cell r="H251">
            <v>12</v>
          </cell>
          <cell r="I251">
            <v>0</v>
          </cell>
          <cell r="J251" t="str">
            <v>FINISH</v>
          </cell>
          <cell r="K251">
            <v>46230</v>
          </cell>
          <cell r="L251">
            <v>46238</v>
          </cell>
        </row>
        <row r="252">
          <cell r="A252" t="str">
            <v>CA-H2607-PD-279</v>
          </cell>
          <cell r="B252" t="str">
            <v>HyperionYubo changed</v>
          </cell>
          <cell r="C252">
            <v>11134311</v>
          </cell>
          <cell r="D252" t="str">
            <v>1911350-E-A</v>
          </cell>
          <cell r="E252" t="str">
            <v>HJ80SP372P10000 JP</v>
          </cell>
          <cell r="F252" t="str">
            <v>JAPAN</v>
          </cell>
          <cell r="G252">
            <v>57</v>
          </cell>
          <cell r="H252">
            <v>57</v>
          </cell>
          <cell r="I252">
            <v>0</v>
          </cell>
          <cell r="J252" t="str">
            <v>FINISH</v>
          </cell>
          <cell r="K252">
            <v>46230</v>
          </cell>
          <cell r="L252">
            <v>46238</v>
          </cell>
        </row>
        <row r="253">
          <cell r="A253" t="str">
            <v>CA-H2607-PD-280</v>
          </cell>
          <cell r="B253" t="str">
            <v>HyperionYubo changed</v>
          </cell>
          <cell r="C253">
            <v>11134313</v>
          </cell>
          <cell r="D253" t="str">
            <v>1911352-E-A</v>
          </cell>
          <cell r="E253" t="str">
            <v>HJ80SP400P10000 JP</v>
          </cell>
          <cell r="F253" t="str">
            <v>JAPAN</v>
          </cell>
          <cell r="G253">
            <v>2</v>
          </cell>
          <cell r="H253">
            <v>2</v>
          </cell>
          <cell r="I253">
            <v>0</v>
          </cell>
          <cell r="J253" t="str">
            <v>FINISH</v>
          </cell>
          <cell r="K253">
            <v>46230</v>
          </cell>
          <cell r="L253">
            <v>46238</v>
          </cell>
        </row>
        <row r="254">
          <cell r="A254" t="str">
            <v>CA-H2607-PD-281</v>
          </cell>
          <cell r="B254" t="str">
            <v>HyperionYubo changed</v>
          </cell>
          <cell r="C254">
            <v>11134315</v>
          </cell>
          <cell r="D254" t="str">
            <v>1911354-E-A</v>
          </cell>
          <cell r="E254" t="str">
            <v>HJ80SP402P09000 JP</v>
          </cell>
          <cell r="F254" t="str">
            <v>JAPAN</v>
          </cell>
          <cell r="G254">
            <v>17</v>
          </cell>
          <cell r="H254">
            <v>17</v>
          </cell>
          <cell r="I254">
            <v>0</v>
          </cell>
          <cell r="J254" t="str">
            <v>FINISH</v>
          </cell>
          <cell r="K254">
            <v>46230</v>
          </cell>
          <cell r="L254">
            <v>46238</v>
          </cell>
        </row>
        <row r="255">
          <cell r="A255" t="str">
            <v>CA-H2607-PD-282</v>
          </cell>
          <cell r="B255" t="str">
            <v>HyperionYubo changed</v>
          </cell>
          <cell r="C255">
            <v>11134314</v>
          </cell>
          <cell r="D255" t="str">
            <v>1911353-E-A</v>
          </cell>
          <cell r="E255" t="str">
            <v>HJ80SP402P10000 JP</v>
          </cell>
          <cell r="F255" t="str">
            <v>JAPAN</v>
          </cell>
          <cell r="G255">
            <v>63</v>
          </cell>
          <cell r="H255">
            <v>63</v>
          </cell>
          <cell r="I255">
            <v>0</v>
          </cell>
          <cell r="J255" t="str">
            <v>FINISH</v>
          </cell>
          <cell r="K255">
            <v>46230</v>
          </cell>
          <cell r="L255">
            <v>46238</v>
          </cell>
        </row>
        <row r="256">
          <cell r="A256" t="str">
            <v>CA-H2607-PD-283</v>
          </cell>
          <cell r="B256" t="str">
            <v>Masters parkway</v>
          </cell>
          <cell r="C256">
            <v>11125140</v>
          </cell>
          <cell r="D256" t="str">
            <v>1941009-D-A</v>
          </cell>
          <cell r="E256" t="str">
            <v>MST105-18PWSFR JP</v>
          </cell>
          <cell r="F256" t="str">
            <v>JAPAN</v>
          </cell>
          <cell r="G256">
            <v>47</v>
          </cell>
          <cell r="H256">
            <v>47</v>
          </cell>
          <cell r="I256">
            <v>0</v>
          </cell>
          <cell r="J256" t="str">
            <v>FINISH</v>
          </cell>
          <cell r="K256">
            <v>46230</v>
          </cell>
          <cell r="L256">
            <v>46238</v>
          </cell>
        </row>
        <row r="257">
          <cell r="A257" t="str">
            <v>CA-H2607-PD-284</v>
          </cell>
          <cell r="B257" t="str">
            <v>Masters parkway</v>
          </cell>
          <cell r="C257">
            <v>11125153</v>
          </cell>
          <cell r="D257" t="str">
            <v>1941022-F-A</v>
          </cell>
          <cell r="E257" t="str">
            <v>MST105-27HFR JP</v>
          </cell>
          <cell r="F257" t="str">
            <v>JAPAN</v>
          </cell>
          <cell r="G257">
            <v>100</v>
          </cell>
          <cell r="H257">
            <v>100</v>
          </cell>
          <cell r="I257">
            <v>0</v>
          </cell>
          <cell r="J257" t="str">
            <v>FINISH</v>
          </cell>
          <cell r="K257">
            <v>46230</v>
          </cell>
          <cell r="L257">
            <v>46238</v>
          </cell>
        </row>
        <row r="258">
          <cell r="A258" t="str">
            <v>CA-H2607-PD-285</v>
          </cell>
          <cell r="B258" t="str">
            <v>Masters parkway</v>
          </cell>
          <cell r="C258">
            <v>11125141</v>
          </cell>
          <cell r="D258" t="str">
            <v>1941010-D-A</v>
          </cell>
          <cell r="E258" t="str">
            <v>MST125-18PWSFR JP</v>
          </cell>
          <cell r="F258" t="str">
            <v>JAPAN</v>
          </cell>
          <cell r="G258">
            <v>53</v>
          </cell>
          <cell r="H258">
            <v>53</v>
          </cell>
          <cell r="I258">
            <v>0</v>
          </cell>
          <cell r="J258" t="str">
            <v>FINISH</v>
          </cell>
          <cell r="K258">
            <v>46230</v>
          </cell>
          <cell r="L258">
            <v>46238</v>
          </cell>
        </row>
        <row r="259">
          <cell r="A259" t="str">
            <v>CA-H2607-PD-286</v>
          </cell>
          <cell r="B259" t="str">
            <v>Masters parkway</v>
          </cell>
          <cell r="C259">
            <v>11125154</v>
          </cell>
          <cell r="D259" t="str">
            <v>1941023-F-A</v>
          </cell>
          <cell r="E259" t="str">
            <v>MST125-27HFR JP</v>
          </cell>
          <cell r="F259" t="str">
            <v>JAPAN</v>
          </cell>
          <cell r="G259">
            <v>479</v>
          </cell>
          <cell r="H259">
            <v>479</v>
          </cell>
          <cell r="I259">
            <v>0</v>
          </cell>
          <cell r="J259" t="str">
            <v>FINISH</v>
          </cell>
          <cell r="K259">
            <v>46230</v>
          </cell>
          <cell r="L259">
            <v>46238</v>
          </cell>
        </row>
        <row r="260">
          <cell r="A260" t="str">
            <v>CA-H2607-PD-287</v>
          </cell>
          <cell r="B260" t="str">
            <v>Masters parkway</v>
          </cell>
          <cell r="C260">
            <v>11125142</v>
          </cell>
          <cell r="D260" t="str">
            <v>1941011-D-A</v>
          </cell>
          <cell r="E260" t="str">
            <v>MST150-18PWSFR JP</v>
          </cell>
          <cell r="F260" t="str">
            <v>JAPAN</v>
          </cell>
          <cell r="G260">
            <v>23</v>
          </cell>
          <cell r="H260">
            <v>23</v>
          </cell>
          <cell r="I260">
            <v>0</v>
          </cell>
          <cell r="J260" t="str">
            <v>FINISH</v>
          </cell>
          <cell r="K260">
            <v>46230</v>
          </cell>
          <cell r="L260">
            <v>46238</v>
          </cell>
        </row>
        <row r="261">
          <cell r="A261" t="str">
            <v>CA-H2607-PD-288</v>
          </cell>
          <cell r="B261" t="str">
            <v>Masters parkway</v>
          </cell>
          <cell r="C261">
            <v>11125155</v>
          </cell>
          <cell r="D261" t="str">
            <v>1941024-F-A</v>
          </cell>
          <cell r="E261" t="str">
            <v>MST150-27HFR JP</v>
          </cell>
          <cell r="F261" t="str">
            <v>JAPAN</v>
          </cell>
          <cell r="G261">
            <v>69</v>
          </cell>
          <cell r="H261">
            <v>69</v>
          </cell>
          <cell r="I261">
            <v>0</v>
          </cell>
          <cell r="J261" t="str">
            <v>FINISH</v>
          </cell>
          <cell r="K261">
            <v>46230</v>
          </cell>
          <cell r="L261">
            <v>46238</v>
          </cell>
        </row>
        <row r="262">
          <cell r="A262" t="str">
            <v>CA-H2607-PD-289</v>
          </cell>
          <cell r="B262" t="str">
            <v>Masters parkway</v>
          </cell>
          <cell r="C262">
            <v>11125144</v>
          </cell>
          <cell r="D262" t="str">
            <v>1941013-E-A</v>
          </cell>
          <cell r="E262" t="str">
            <v>MST45A-18PWSFR JP</v>
          </cell>
          <cell r="F262" t="str">
            <v>JAPAN</v>
          </cell>
          <cell r="G262">
            <v>14</v>
          </cell>
          <cell r="H262">
            <v>14</v>
          </cell>
          <cell r="I262">
            <v>0</v>
          </cell>
          <cell r="J262" t="str">
            <v>FINISH</v>
          </cell>
          <cell r="K262">
            <v>46230</v>
          </cell>
          <cell r="L262">
            <v>46238</v>
          </cell>
        </row>
        <row r="263">
          <cell r="A263" t="str">
            <v>CA-H2607-PD-290</v>
          </cell>
          <cell r="B263" t="str">
            <v>Masters parkway</v>
          </cell>
          <cell r="C263">
            <v>11125143</v>
          </cell>
          <cell r="D263" t="str">
            <v>1941012-E-A</v>
          </cell>
          <cell r="E263" t="str">
            <v>MST45A-18PWSSFR JP</v>
          </cell>
          <cell r="F263" t="str">
            <v>JAPAN</v>
          </cell>
          <cell r="G263">
            <v>4</v>
          </cell>
          <cell r="H263">
            <v>4</v>
          </cell>
          <cell r="I263">
            <v>0</v>
          </cell>
          <cell r="J263" t="str">
            <v>FINISH</v>
          </cell>
          <cell r="K263">
            <v>46230</v>
          </cell>
          <cell r="L263">
            <v>46238</v>
          </cell>
        </row>
        <row r="264">
          <cell r="A264" t="str">
            <v>CA-H2607-PD-291</v>
          </cell>
          <cell r="B264" t="str">
            <v>Tellus</v>
          </cell>
          <cell r="C264">
            <v>11134363</v>
          </cell>
          <cell r="D264" t="str">
            <v>1941059-G-A</v>
          </cell>
          <cell r="E264" t="str">
            <v>TLS105-16ASR JP</v>
          </cell>
          <cell r="F264" t="str">
            <v>J-sales</v>
          </cell>
          <cell r="G264">
            <v>17</v>
          </cell>
          <cell r="H264">
            <v>17</v>
          </cell>
          <cell r="I264">
            <v>0</v>
          </cell>
          <cell r="J264" t="str">
            <v>FINISH</v>
          </cell>
          <cell r="K264">
            <v>46230</v>
          </cell>
          <cell r="L264">
            <v>46238</v>
          </cell>
        </row>
        <row r="265">
          <cell r="A265" t="str">
            <v>CA-H2607-PD-292</v>
          </cell>
          <cell r="B265" t="str">
            <v>Tellus</v>
          </cell>
          <cell r="C265">
            <v>11132004</v>
          </cell>
          <cell r="D265" t="str">
            <v>1941066-E-A</v>
          </cell>
          <cell r="E265" t="str">
            <v>TLS105-16AYR JP</v>
          </cell>
          <cell r="F265" t="str">
            <v>J-sales</v>
          </cell>
          <cell r="G265">
            <v>1</v>
          </cell>
          <cell r="H265">
            <v>1</v>
          </cell>
          <cell r="I265">
            <v>0</v>
          </cell>
          <cell r="J265" t="str">
            <v>FINISH</v>
          </cell>
          <cell r="K265">
            <v>46230</v>
          </cell>
          <cell r="L265">
            <v>46238</v>
          </cell>
        </row>
        <row r="266">
          <cell r="A266" t="str">
            <v>CA-H2607-PD-293</v>
          </cell>
          <cell r="B266" t="str">
            <v>Tellus</v>
          </cell>
          <cell r="C266">
            <v>11134360</v>
          </cell>
          <cell r="D266" t="str">
            <v>1941056-F-A</v>
          </cell>
          <cell r="E266" t="str">
            <v>TLS105-16SR JP</v>
          </cell>
          <cell r="F266" t="str">
            <v>J-sales</v>
          </cell>
          <cell r="G266">
            <v>18</v>
          </cell>
          <cell r="H266">
            <v>18</v>
          </cell>
          <cell r="I266">
            <v>0</v>
          </cell>
          <cell r="J266" t="str">
            <v>FINISH</v>
          </cell>
          <cell r="K266">
            <v>46230</v>
          </cell>
          <cell r="L266">
            <v>46238</v>
          </cell>
        </row>
        <row r="267">
          <cell r="A267" t="str">
            <v>CA-H2607-PD-294</v>
          </cell>
          <cell r="B267" t="str">
            <v>Tellus</v>
          </cell>
          <cell r="C267">
            <v>11132001</v>
          </cell>
          <cell r="D267" t="str">
            <v>1941063-D-A</v>
          </cell>
          <cell r="E267" t="str">
            <v>TLS105-16YR JP</v>
          </cell>
          <cell r="F267" t="str">
            <v>J-sales</v>
          </cell>
          <cell r="G267">
            <v>9</v>
          </cell>
          <cell r="H267">
            <v>9</v>
          </cell>
          <cell r="I267">
            <v>0</v>
          </cell>
          <cell r="J267" t="str">
            <v>FINISH</v>
          </cell>
          <cell r="K267">
            <v>46230</v>
          </cell>
          <cell r="L267">
            <v>46238</v>
          </cell>
        </row>
        <row r="268">
          <cell r="A268" t="str">
            <v>CA-H2607-PD-295</v>
          </cell>
          <cell r="B268" t="str">
            <v>Tellus</v>
          </cell>
          <cell r="C268">
            <v>11134364</v>
          </cell>
          <cell r="D268" t="str">
            <v>1941060-G-A</v>
          </cell>
          <cell r="E268" t="str">
            <v>TLS125-16ASR JP</v>
          </cell>
          <cell r="F268" t="str">
            <v>J-sales</v>
          </cell>
          <cell r="G268">
            <v>47</v>
          </cell>
          <cell r="H268">
            <v>47</v>
          </cell>
          <cell r="I268">
            <v>0</v>
          </cell>
          <cell r="J268" t="str">
            <v>FINISH</v>
          </cell>
          <cell r="K268">
            <v>46230</v>
          </cell>
          <cell r="L268">
            <v>46238</v>
          </cell>
        </row>
        <row r="269">
          <cell r="A269" t="str">
            <v>CA-H2607-PD-296</v>
          </cell>
          <cell r="B269" t="str">
            <v>Tellus</v>
          </cell>
          <cell r="C269">
            <v>11132005</v>
          </cell>
          <cell r="D269" t="str">
            <v>1941067-E-A</v>
          </cell>
          <cell r="E269" t="str">
            <v>TLS125-16AYR JP</v>
          </cell>
          <cell r="F269" t="str">
            <v>J-sales</v>
          </cell>
          <cell r="G269">
            <v>7</v>
          </cell>
          <cell r="H269">
            <v>7</v>
          </cell>
          <cell r="I269">
            <v>0</v>
          </cell>
          <cell r="J269" t="str">
            <v>FINISH</v>
          </cell>
          <cell r="K269">
            <v>46230</v>
          </cell>
          <cell r="L269">
            <v>46238</v>
          </cell>
        </row>
        <row r="270">
          <cell r="A270" t="str">
            <v>CA-H2607-PD-297</v>
          </cell>
          <cell r="B270" t="str">
            <v>Tellus</v>
          </cell>
          <cell r="C270">
            <v>11134361</v>
          </cell>
          <cell r="D270" t="str">
            <v>1941057-F-A</v>
          </cell>
          <cell r="E270" t="str">
            <v>TLS125-16SR JP</v>
          </cell>
          <cell r="F270" t="str">
            <v>J-sales</v>
          </cell>
          <cell r="G270">
            <v>53</v>
          </cell>
          <cell r="H270">
            <v>53</v>
          </cell>
          <cell r="I270">
            <v>0</v>
          </cell>
          <cell r="J270" t="str">
            <v>FINISH</v>
          </cell>
          <cell r="K270">
            <v>46230</v>
          </cell>
          <cell r="L270">
            <v>46238</v>
          </cell>
        </row>
        <row r="271">
          <cell r="A271" t="str">
            <v>CA-H2607-PD-298</v>
          </cell>
          <cell r="B271" t="str">
            <v>Tellus</v>
          </cell>
          <cell r="C271">
            <v>11134366</v>
          </cell>
          <cell r="D271" t="str">
            <v>1941062-G-A</v>
          </cell>
          <cell r="E271" t="str">
            <v>TLS125-16SSLR JP</v>
          </cell>
          <cell r="F271" t="str">
            <v>J-sales</v>
          </cell>
          <cell r="G271">
            <v>7</v>
          </cell>
          <cell r="H271">
            <v>7</v>
          </cell>
          <cell r="I271">
            <v>0</v>
          </cell>
          <cell r="J271" t="str">
            <v>FINISH</v>
          </cell>
          <cell r="K271">
            <v>46230</v>
          </cell>
          <cell r="L271">
            <v>46238</v>
          </cell>
        </row>
        <row r="272">
          <cell r="A272" t="str">
            <v>CA-H2607-PD-299</v>
          </cell>
          <cell r="B272" t="str">
            <v>Tellus</v>
          </cell>
          <cell r="C272">
            <v>11134365</v>
          </cell>
          <cell r="D272" t="str">
            <v>1941061-G-A</v>
          </cell>
          <cell r="E272" t="str">
            <v>TLS125-16SSRR JP</v>
          </cell>
          <cell r="F272" t="str">
            <v>J-sales</v>
          </cell>
          <cell r="G272">
            <v>8</v>
          </cell>
          <cell r="H272">
            <v>8</v>
          </cell>
          <cell r="I272">
            <v>0</v>
          </cell>
          <cell r="J272" t="str">
            <v>FINISH</v>
          </cell>
          <cell r="K272">
            <v>46230</v>
          </cell>
          <cell r="L272">
            <v>46238</v>
          </cell>
        </row>
        <row r="273">
          <cell r="A273" t="str">
            <v>CA-H2607-PD-300</v>
          </cell>
          <cell r="B273" t="str">
            <v>Tellus</v>
          </cell>
          <cell r="C273">
            <v>11132002</v>
          </cell>
          <cell r="D273" t="str">
            <v>1941064-D-A</v>
          </cell>
          <cell r="E273" t="str">
            <v>TLS125-16YR JP</v>
          </cell>
          <cell r="F273" t="str">
            <v>J-sales</v>
          </cell>
          <cell r="G273">
            <v>36</v>
          </cell>
          <cell r="H273">
            <v>36</v>
          </cell>
          <cell r="I273">
            <v>0</v>
          </cell>
          <cell r="J273" t="str">
            <v>FINISH</v>
          </cell>
          <cell r="K273">
            <v>46230</v>
          </cell>
          <cell r="L273">
            <v>46238</v>
          </cell>
        </row>
        <row r="274">
          <cell r="A274" t="str">
            <v>CA-H2607-PD-301</v>
          </cell>
          <cell r="B274" t="str">
            <v>Tellus</v>
          </cell>
          <cell r="C274">
            <v>11134362</v>
          </cell>
          <cell r="D274" t="str">
            <v>1941058-F-A</v>
          </cell>
          <cell r="E274" t="str">
            <v>TLS150-16SR JP</v>
          </cell>
          <cell r="F274" t="str">
            <v>J-sales</v>
          </cell>
          <cell r="G274">
            <v>12</v>
          </cell>
          <cell r="H274">
            <v>12</v>
          </cell>
          <cell r="I274">
            <v>0</v>
          </cell>
          <cell r="J274" t="str">
            <v>FINISH</v>
          </cell>
          <cell r="K274">
            <v>46230</v>
          </cell>
          <cell r="L274">
            <v>46238</v>
          </cell>
        </row>
        <row r="275">
          <cell r="A275" t="str">
            <v>CA-H2607-PD-302</v>
          </cell>
          <cell r="B275" t="str">
            <v>Tellus</v>
          </cell>
          <cell r="C275">
            <v>11132003</v>
          </cell>
          <cell r="D275" t="str">
            <v>1941065-D-A</v>
          </cell>
          <cell r="E275" t="str">
            <v>TLS150-16YR JP</v>
          </cell>
          <cell r="F275" t="str">
            <v>J-sales</v>
          </cell>
          <cell r="G275">
            <v>6</v>
          </cell>
          <cell r="H275">
            <v>6</v>
          </cell>
          <cell r="I275">
            <v>0</v>
          </cell>
          <cell r="J275" t="str">
            <v>FINISH</v>
          </cell>
          <cell r="K275">
            <v>46230</v>
          </cell>
          <cell r="L275">
            <v>46238</v>
          </cell>
        </row>
        <row r="276">
          <cell r="A276" t="str">
            <v>CA-H2607-PD-303</v>
          </cell>
          <cell r="B276" t="str">
            <v>Veloute</v>
          </cell>
          <cell r="C276">
            <v>11134346</v>
          </cell>
          <cell r="D276" t="str">
            <v>1941032-G-A</v>
          </cell>
          <cell r="E276" t="str">
            <v>VEL105-16ASR JP</v>
          </cell>
          <cell r="F276" t="str">
            <v>JAPAN</v>
          </cell>
          <cell r="G276">
            <v>40</v>
          </cell>
          <cell r="H276">
            <v>40</v>
          </cell>
          <cell r="I276">
            <v>0</v>
          </cell>
          <cell r="J276" t="str">
            <v>FINISH</v>
          </cell>
          <cell r="K276">
            <v>46230</v>
          </cell>
          <cell r="L276">
            <v>46238</v>
          </cell>
        </row>
        <row r="277">
          <cell r="A277" t="str">
            <v>CA-H2607-PD-304</v>
          </cell>
          <cell r="B277" t="str">
            <v>Veloute</v>
          </cell>
          <cell r="C277">
            <v>11134343</v>
          </cell>
          <cell r="D277" t="str">
            <v>1941029-F-A</v>
          </cell>
          <cell r="E277" t="str">
            <v>VEL105-16SR JP</v>
          </cell>
          <cell r="F277" t="str">
            <v>JAPAN</v>
          </cell>
          <cell r="G277">
            <v>18</v>
          </cell>
          <cell r="H277">
            <v>18</v>
          </cell>
          <cell r="I277">
            <v>0</v>
          </cell>
          <cell r="J277" t="str">
            <v>FINISH</v>
          </cell>
          <cell r="K277">
            <v>46230</v>
          </cell>
          <cell r="L277">
            <v>46238</v>
          </cell>
        </row>
        <row r="278">
          <cell r="A278" t="str">
            <v>CA-H2607-PD-305</v>
          </cell>
          <cell r="B278" t="str">
            <v>Veloute</v>
          </cell>
          <cell r="C278">
            <v>11134347</v>
          </cell>
          <cell r="D278" t="str">
            <v>1941033-G-A</v>
          </cell>
          <cell r="E278" t="str">
            <v>VEL125-16ASR JP</v>
          </cell>
          <cell r="F278" t="str">
            <v>JAPAN</v>
          </cell>
          <cell r="G278">
            <v>115</v>
          </cell>
          <cell r="H278">
            <v>115</v>
          </cell>
          <cell r="I278">
            <v>0</v>
          </cell>
          <cell r="J278" t="str">
            <v>FINISH</v>
          </cell>
          <cell r="K278">
            <v>46230</v>
          </cell>
          <cell r="L278">
            <v>46238</v>
          </cell>
        </row>
        <row r="279">
          <cell r="A279" t="str">
            <v>CA-H2607-PD-306</v>
          </cell>
          <cell r="B279" t="str">
            <v>Veloute</v>
          </cell>
          <cell r="C279">
            <v>11134344</v>
          </cell>
          <cell r="D279" t="str">
            <v>1941030-F-A</v>
          </cell>
          <cell r="E279" t="str">
            <v>VEL125-16SR JP</v>
          </cell>
          <cell r="F279" t="str">
            <v>JAPAN</v>
          </cell>
          <cell r="G279">
            <v>95</v>
          </cell>
          <cell r="H279">
            <v>95</v>
          </cell>
          <cell r="I279">
            <v>0</v>
          </cell>
          <cell r="J279" t="str">
            <v>FINISH</v>
          </cell>
          <cell r="K279">
            <v>46230</v>
          </cell>
          <cell r="L279">
            <v>46238</v>
          </cell>
        </row>
        <row r="280">
          <cell r="A280" t="str">
            <v>CA-H2607-PD-307</v>
          </cell>
          <cell r="B280" t="str">
            <v>Veloute</v>
          </cell>
          <cell r="C280">
            <v>11134345</v>
          </cell>
          <cell r="D280" t="str">
            <v>1941031-F-A</v>
          </cell>
          <cell r="E280" t="str">
            <v>VEL150-16SR JP</v>
          </cell>
          <cell r="F280" t="str">
            <v>JAPAN</v>
          </cell>
          <cell r="G280">
            <v>43</v>
          </cell>
          <cell r="H280">
            <v>43</v>
          </cell>
          <cell r="I280">
            <v>0</v>
          </cell>
          <cell r="J280" t="str">
            <v>FINISH</v>
          </cell>
          <cell r="K280">
            <v>46230</v>
          </cell>
          <cell r="L280">
            <v>46238</v>
          </cell>
        </row>
        <row r="281">
          <cell r="A281" t="str">
            <v>CA-H2607-PD-309</v>
          </cell>
          <cell r="B281" t="str">
            <v xml:space="preserve">Caravel </v>
          </cell>
          <cell r="C281">
            <v>11135418</v>
          </cell>
          <cell r="D281" t="str">
            <v>2141056-D-A</v>
          </cell>
          <cell r="E281" t="str">
            <v>CRV135-19P KR</v>
          </cell>
          <cell r="F281" t="str">
            <v>KOREA</v>
          </cell>
          <cell r="G281">
            <v>168</v>
          </cell>
          <cell r="H281">
            <v>168</v>
          </cell>
          <cell r="I281">
            <v>0</v>
          </cell>
          <cell r="J281" t="str">
            <v>FINISH</v>
          </cell>
          <cell r="K281">
            <v>46230</v>
          </cell>
          <cell r="L281">
            <v>46238</v>
          </cell>
        </row>
        <row r="282">
          <cell r="A282" t="str">
            <v>CA-H2607-PD-310</v>
          </cell>
          <cell r="B282" t="str">
            <v xml:space="preserve">Caravel </v>
          </cell>
          <cell r="C282">
            <v>11135419</v>
          </cell>
          <cell r="D282" t="str">
            <v>2141057-D-A</v>
          </cell>
          <cell r="E282" t="str">
            <v>CRV150-19P KR</v>
          </cell>
          <cell r="F282" t="str">
            <v>KOREA</v>
          </cell>
          <cell r="G282">
            <v>19</v>
          </cell>
          <cell r="H282">
            <v>19</v>
          </cell>
          <cell r="I282">
            <v>0</v>
          </cell>
          <cell r="J282" t="str">
            <v>FINISH</v>
          </cell>
          <cell r="K282">
            <v>46230</v>
          </cell>
          <cell r="L282">
            <v>46238</v>
          </cell>
        </row>
        <row r="283">
          <cell r="A283" t="str">
            <v>CA-H2607-PD-311</v>
          </cell>
          <cell r="B283" t="str">
            <v xml:space="preserve">Hyperion </v>
          </cell>
          <cell r="C283">
            <v>11135422</v>
          </cell>
          <cell r="D283" t="str">
            <v>2211773-E-A</v>
          </cell>
          <cell r="E283" t="str">
            <v>HW60AL070P10000 KR</v>
          </cell>
          <cell r="F283" t="str">
            <v>KOREA</v>
          </cell>
          <cell r="G283">
            <v>2</v>
          </cell>
          <cell r="H283">
            <v>2</v>
          </cell>
          <cell r="I283">
            <v>0</v>
          </cell>
          <cell r="J283" t="str">
            <v>FINISH</v>
          </cell>
          <cell r="K283">
            <v>46230</v>
          </cell>
          <cell r="L283">
            <v>46238</v>
          </cell>
        </row>
        <row r="284">
          <cell r="A284" t="str">
            <v>CA-H2607-PD-312</v>
          </cell>
          <cell r="B284" t="str">
            <v xml:space="preserve">Hyperion </v>
          </cell>
          <cell r="C284">
            <v>11135423</v>
          </cell>
          <cell r="D284" t="str">
            <v>2211774-E-A</v>
          </cell>
          <cell r="E284" t="str">
            <v>HW60AL070P10002 KR</v>
          </cell>
          <cell r="F284" t="str">
            <v>KOREA</v>
          </cell>
          <cell r="G284">
            <v>10</v>
          </cell>
          <cell r="H284">
            <v>10</v>
          </cell>
          <cell r="I284">
            <v>0</v>
          </cell>
          <cell r="J284" t="str">
            <v>FINISH</v>
          </cell>
          <cell r="K284">
            <v>46230</v>
          </cell>
          <cell r="L284">
            <v>46238</v>
          </cell>
        </row>
        <row r="285">
          <cell r="A285" t="str">
            <v>CA-H2607-PD-313</v>
          </cell>
          <cell r="B285" t="str">
            <v xml:space="preserve">Hyperion </v>
          </cell>
          <cell r="C285">
            <v>11135430</v>
          </cell>
          <cell r="D285" t="str">
            <v>2211781-E-A</v>
          </cell>
          <cell r="E285" t="str">
            <v>HW60AL100P10000 KR</v>
          </cell>
          <cell r="F285" t="str">
            <v>KOREA</v>
          </cell>
          <cell r="G285">
            <v>37</v>
          </cell>
          <cell r="H285">
            <v>37</v>
          </cell>
          <cell r="I285">
            <v>0</v>
          </cell>
          <cell r="J285" t="str">
            <v>FINISH</v>
          </cell>
          <cell r="K285">
            <v>46230</v>
          </cell>
          <cell r="L285">
            <v>46238</v>
          </cell>
        </row>
        <row r="286">
          <cell r="A286" t="str">
            <v>CA-H2607-PD-314</v>
          </cell>
          <cell r="B286" t="str">
            <v xml:space="preserve">Hyperion </v>
          </cell>
          <cell r="C286">
            <v>11135431</v>
          </cell>
          <cell r="D286" t="str">
            <v>2211782-E-A</v>
          </cell>
          <cell r="E286" t="str">
            <v>HW60AL100P10002 KR</v>
          </cell>
          <cell r="F286" t="str">
            <v>KOREA</v>
          </cell>
          <cell r="G286">
            <v>6</v>
          </cell>
          <cell r="H286">
            <v>6</v>
          </cell>
          <cell r="I286">
            <v>0</v>
          </cell>
          <cell r="J286" t="str">
            <v>FINISH</v>
          </cell>
          <cell r="K286">
            <v>46230</v>
          </cell>
          <cell r="L286">
            <v>46238</v>
          </cell>
        </row>
        <row r="287">
          <cell r="A287" t="str">
            <v>CA-H2607-PD-315</v>
          </cell>
          <cell r="B287" t="str">
            <v xml:space="preserve">Hyperion </v>
          </cell>
          <cell r="C287">
            <v>11135434</v>
          </cell>
          <cell r="D287" t="str">
            <v>2211785-E-A</v>
          </cell>
          <cell r="E287" t="str">
            <v>HW60AL102P10000 KR</v>
          </cell>
          <cell r="F287" t="str">
            <v>KOREA</v>
          </cell>
          <cell r="G287">
            <v>9</v>
          </cell>
          <cell r="H287">
            <v>9</v>
          </cell>
          <cell r="I287">
            <v>0</v>
          </cell>
          <cell r="J287" t="str">
            <v>FINISH</v>
          </cell>
          <cell r="K287">
            <v>46230</v>
          </cell>
          <cell r="L287">
            <v>46238</v>
          </cell>
        </row>
        <row r="288">
          <cell r="A288" t="str">
            <v>CA-H2607-PD-316</v>
          </cell>
          <cell r="B288" t="str">
            <v xml:space="preserve">Hyperion </v>
          </cell>
          <cell r="C288">
            <v>11135435</v>
          </cell>
          <cell r="D288" t="str">
            <v>2211786-E-A</v>
          </cell>
          <cell r="E288" t="str">
            <v>HW60AL102P10002 KR</v>
          </cell>
          <cell r="F288" t="str">
            <v>KOREA</v>
          </cell>
          <cell r="G288">
            <v>38</v>
          </cell>
          <cell r="H288">
            <v>38</v>
          </cell>
          <cell r="I288">
            <v>0</v>
          </cell>
          <cell r="J288" t="str">
            <v>FINISH</v>
          </cell>
          <cell r="K288">
            <v>46230</v>
          </cell>
          <cell r="L288">
            <v>46238</v>
          </cell>
        </row>
        <row r="289">
          <cell r="A289" t="str">
            <v>CA-H2607-PD-317</v>
          </cell>
          <cell r="B289" t="str">
            <v xml:space="preserve">Hyperion </v>
          </cell>
          <cell r="C289">
            <v>11135468</v>
          </cell>
          <cell r="D289" t="str">
            <v>2211819-E-A</v>
          </cell>
          <cell r="E289" t="str">
            <v>HW60JL300P10000 KR</v>
          </cell>
          <cell r="F289" t="str">
            <v>KOREA</v>
          </cell>
          <cell r="G289">
            <v>13</v>
          </cell>
          <cell r="H289">
            <v>13</v>
          </cell>
          <cell r="I289">
            <v>0</v>
          </cell>
          <cell r="J289" t="str">
            <v>FINISH</v>
          </cell>
          <cell r="K289">
            <v>46230</v>
          </cell>
          <cell r="L289">
            <v>46238</v>
          </cell>
        </row>
        <row r="290">
          <cell r="A290" t="str">
            <v>CA-H2607-PD-318</v>
          </cell>
          <cell r="B290" t="str">
            <v xml:space="preserve">Hyperion </v>
          </cell>
          <cell r="C290">
            <v>11135473</v>
          </cell>
          <cell r="D290" t="str">
            <v>2211824-E-A</v>
          </cell>
          <cell r="E290" t="str">
            <v>HW60JL350P10000 KR</v>
          </cell>
          <cell r="F290" t="str">
            <v>KOREA</v>
          </cell>
          <cell r="G290">
            <v>200</v>
          </cell>
          <cell r="H290">
            <v>200</v>
          </cell>
          <cell r="I290">
            <v>0</v>
          </cell>
          <cell r="J290" t="str">
            <v>FINISH</v>
          </cell>
          <cell r="K290">
            <v>46230</v>
          </cell>
          <cell r="L290">
            <v>46238</v>
          </cell>
        </row>
        <row r="291">
          <cell r="A291" t="str">
            <v>CA-H2607-PD-319</v>
          </cell>
          <cell r="B291" t="str">
            <v xml:space="preserve">Hyperion </v>
          </cell>
          <cell r="C291">
            <v>11135477</v>
          </cell>
          <cell r="D291" t="str">
            <v>2211828-E-A</v>
          </cell>
          <cell r="E291" t="str">
            <v>HW60JL352P10000 KR</v>
          </cell>
          <cell r="F291" t="str">
            <v>KOREA</v>
          </cell>
          <cell r="G291">
            <v>41</v>
          </cell>
          <cell r="H291">
            <v>41</v>
          </cell>
          <cell r="I291">
            <v>0</v>
          </cell>
          <cell r="J291" t="str">
            <v>FINISH</v>
          </cell>
          <cell r="K291">
            <v>46230</v>
          </cell>
          <cell r="L291">
            <v>46238</v>
          </cell>
        </row>
        <row r="292">
          <cell r="A292" t="str">
            <v>CA-H2607-PD-320</v>
          </cell>
          <cell r="B292" t="str">
            <v>Hyperion</v>
          </cell>
          <cell r="C292">
            <v>11135480</v>
          </cell>
          <cell r="D292" t="str">
            <v>2211831-E-A</v>
          </cell>
          <cell r="E292" t="str">
            <v>HW60JL400P10000 KR</v>
          </cell>
          <cell r="F292" t="str">
            <v>KOREA</v>
          </cell>
          <cell r="G292">
            <v>32</v>
          </cell>
          <cell r="H292">
            <v>32</v>
          </cell>
          <cell r="I292">
            <v>0</v>
          </cell>
          <cell r="J292" t="str">
            <v>FINISH</v>
          </cell>
          <cell r="K292">
            <v>46230</v>
          </cell>
          <cell r="L292">
            <v>46238</v>
          </cell>
        </row>
        <row r="293">
          <cell r="A293" t="str">
            <v>CA-H2607-PD-321</v>
          </cell>
          <cell r="B293" t="str">
            <v>Hyperion</v>
          </cell>
          <cell r="C293">
            <v>11135495</v>
          </cell>
          <cell r="D293" t="str">
            <v>2211846-E-A</v>
          </cell>
          <cell r="E293" t="str">
            <v>HW60JR350P10000 KR</v>
          </cell>
          <cell r="F293" t="str">
            <v>KOREA</v>
          </cell>
          <cell r="G293">
            <v>20</v>
          </cell>
          <cell r="H293">
            <v>20</v>
          </cell>
          <cell r="I293">
            <v>0</v>
          </cell>
          <cell r="J293" t="str">
            <v>FINISH</v>
          </cell>
          <cell r="K293">
            <v>46230</v>
          </cell>
          <cell r="L293">
            <v>46238</v>
          </cell>
        </row>
        <row r="294">
          <cell r="A294" t="str">
            <v>CA-H2607-PD-322</v>
          </cell>
          <cell r="B294" t="str">
            <v>Hyperion</v>
          </cell>
          <cell r="C294">
            <v>11135497</v>
          </cell>
          <cell r="D294" t="str">
            <v>2211848-E-A</v>
          </cell>
          <cell r="E294" t="str">
            <v>HW60JR352P10000 KR</v>
          </cell>
          <cell r="F294" t="str">
            <v>KOREA</v>
          </cell>
          <cell r="G294">
            <v>2</v>
          </cell>
          <cell r="H294">
            <v>2</v>
          </cell>
          <cell r="I294">
            <v>0</v>
          </cell>
          <cell r="J294" t="str">
            <v>FINISH</v>
          </cell>
          <cell r="K294">
            <v>46230</v>
          </cell>
          <cell r="L294">
            <v>46238</v>
          </cell>
        </row>
        <row r="295">
          <cell r="A295" t="str">
            <v>CA-H2607-PD-323</v>
          </cell>
          <cell r="B295" t="str">
            <v>Hyperion</v>
          </cell>
          <cell r="C295">
            <v>11135499</v>
          </cell>
          <cell r="D295" t="str">
            <v>2211850-E-A</v>
          </cell>
          <cell r="E295" t="str">
            <v>HW60JR400P10000 KR</v>
          </cell>
          <cell r="F295" t="str">
            <v>KOREA</v>
          </cell>
          <cell r="G295">
            <v>28</v>
          </cell>
          <cell r="H295">
            <v>28</v>
          </cell>
          <cell r="I295">
            <v>0</v>
          </cell>
          <cell r="J295" t="str">
            <v>FINISH</v>
          </cell>
          <cell r="K295">
            <v>46230</v>
          </cell>
          <cell r="L295">
            <v>46238</v>
          </cell>
        </row>
        <row r="296">
          <cell r="A296" t="str">
            <v>CA-H2607-PD-324</v>
          </cell>
          <cell r="B296" t="str">
            <v>Hyperion</v>
          </cell>
          <cell r="C296">
            <v>11135501</v>
          </cell>
          <cell r="D296" t="str">
            <v>2211852-E-A</v>
          </cell>
          <cell r="E296" t="str">
            <v>HW60JR402P10000 KR</v>
          </cell>
          <cell r="F296" t="str">
            <v>KOREA</v>
          </cell>
          <cell r="G296">
            <v>17</v>
          </cell>
          <cell r="H296">
            <v>17</v>
          </cell>
          <cell r="I296">
            <v>0</v>
          </cell>
          <cell r="J296" t="str">
            <v>FINISH</v>
          </cell>
          <cell r="K296">
            <v>46230</v>
          </cell>
          <cell r="L296">
            <v>46238</v>
          </cell>
        </row>
        <row r="297">
          <cell r="A297" t="str">
            <v>CA-H2607-PD-325</v>
          </cell>
          <cell r="B297" t="str">
            <v>HyperionYubo changed</v>
          </cell>
          <cell r="C297">
            <v>11135511</v>
          </cell>
          <cell r="D297" t="str">
            <v>2211862-F-A</v>
          </cell>
          <cell r="E297" t="str">
            <v>HW60PB300P10000 KR</v>
          </cell>
          <cell r="F297" t="str">
            <v>KOREA</v>
          </cell>
          <cell r="G297">
            <v>9</v>
          </cell>
          <cell r="H297">
            <v>9</v>
          </cell>
          <cell r="I297">
            <v>0</v>
          </cell>
          <cell r="J297" t="str">
            <v>FINISH</v>
          </cell>
          <cell r="K297">
            <v>46230</v>
          </cell>
          <cell r="L297">
            <v>46238</v>
          </cell>
        </row>
        <row r="298">
          <cell r="A298" t="str">
            <v>CA-H2607-PD-326</v>
          </cell>
          <cell r="B298" t="str">
            <v>HyperionYubo changed</v>
          </cell>
          <cell r="C298">
            <v>11135515</v>
          </cell>
          <cell r="D298" t="str">
            <v>2211866-F-A</v>
          </cell>
          <cell r="E298" t="str">
            <v>HW60PB350P10000 KR</v>
          </cell>
          <cell r="F298" t="str">
            <v>KOREA</v>
          </cell>
          <cell r="G298">
            <v>16</v>
          </cell>
          <cell r="H298">
            <v>16</v>
          </cell>
          <cell r="I298">
            <v>0</v>
          </cell>
          <cell r="J298" t="str">
            <v>FINISH</v>
          </cell>
          <cell r="K298">
            <v>46230</v>
          </cell>
          <cell r="L298">
            <v>46238</v>
          </cell>
        </row>
        <row r="299">
          <cell r="A299" t="str">
            <v>CA-H2607-PD-327</v>
          </cell>
          <cell r="B299" t="str">
            <v>HyperionYubo changed</v>
          </cell>
          <cell r="C299">
            <v>11135517</v>
          </cell>
          <cell r="D299" t="str">
            <v>2211868-F-A</v>
          </cell>
          <cell r="E299" t="str">
            <v>HW60PB352P10000 KR</v>
          </cell>
          <cell r="F299" t="str">
            <v>KOREA</v>
          </cell>
          <cell r="G299">
            <v>5</v>
          </cell>
          <cell r="H299">
            <v>5</v>
          </cell>
          <cell r="I299">
            <v>0</v>
          </cell>
          <cell r="J299" t="str">
            <v>FINISH</v>
          </cell>
          <cell r="K299">
            <v>46230</v>
          </cell>
          <cell r="L299">
            <v>46238</v>
          </cell>
        </row>
        <row r="300">
          <cell r="A300" t="str">
            <v>CA-H2607-PD-328</v>
          </cell>
          <cell r="B300" t="str">
            <v xml:space="preserve">Hyperion </v>
          </cell>
          <cell r="C300">
            <v>11135524</v>
          </cell>
          <cell r="D300" t="str">
            <v>2211875-E-A</v>
          </cell>
          <cell r="E300" t="str">
            <v>HW60RB100P10000 KR</v>
          </cell>
          <cell r="F300" t="str">
            <v>KOREA</v>
          </cell>
          <cell r="G300">
            <v>8</v>
          </cell>
          <cell r="H300">
            <v>8</v>
          </cell>
          <cell r="I300">
            <v>0</v>
          </cell>
          <cell r="J300" t="str">
            <v>FINISH</v>
          </cell>
          <cell r="K300">
            <v>46230</v>
          </cell>
          <cell r="L300">
            <v>46238</v>
          </cell>
        </row>
        <row r="301">
          <cell r="A301" t="str">
            <v>CA-H2607-PD-329</v>
          </cell>
          <cell r="B301" t="str">
            <v>HyperionYubo changed</v>
          </cell>
          <cell r="C301">
            <v>11135535</v>
          </cell>
          <cell r="D301" t="str">
            <v>2211886-D-A</v>
          </cell>
          <cell r="E301" t="str">
            <v>HW60SP300P10000 KR</v>
          </cell>
          <cell r="F301" t="str">
            <v>KOREA</v>
          </cell>
          <cell r="G301">
            <v>102</v>
          </cell>
          <cell r="H301">
            <v>102</v>
          </cell>
          <cell r="I301">
            <v>0</v>
          </cell>
          <cell r="J301" t="str">
            <v>FINISH</v>
          </cell>
          <cell r="K301">
            <v>46230</v>
          </cell>
          <cell r="L301">
            <v>46238</v>
          </cell>
        </row>
        <row r="302">
          <cell r="A302" t="str">
            <v>CA-H2607-PD-330</v>
          </cell>
          <cell r="B302" t="str">
            <v>HyperionYubo changed</v>
          </cell>
          <cell r="C302">
            <v>11135539</v>
          </cell>
          <cell r="D302" t="str">
            <v>2211890-D-A</v>
          </cell>
          <cell r="E302" t="str">
            <v>HW60SP350P10000 KR</v>
          </cell>
          <cell r="F302" t="str">
            <v>KOREA</v>
          </cell>
          <cell r="G302">
            <v>100</v>
          </cell>
          <cell r="H302">
            <v>100</v>
          </cell>
          <cell r="I302">
            <v>0</v>
          </cell>
          <cell r="J302" t="str">
            <v>FINISH</v>
          </cell>
          <cell r="K302">
            <v>46230</v>
          </cell>
          <cell r="L302">
            <v>46238</v>
          </cell>
        </row>
        <row r="303">
          <cell r="A303" t="str">
            <v>CA-H2607-PD-331</v>
          </cell>
          <cell r="B303" t="str">
            <v>HyperionYubo changed</v>
          </cell>
          <cell r="C303">
            <v>11135542</v>
          </cell>
          <cell r="D303" t="str">
            <v>2211893-D-A</v>
          </cell>
          <cell r="E303" t="str">
            <v>HW60SP370P10000 KR</v>
          </cell>
          <cell r="F303" t="str">
            <v>KOREA</v>
          </cell>
          <cell r="G303">
            <v>22</v>
          </cell>
          <cell r="H303">
            <v>22</v>
          </cell>
          <cell r="I303">
            <v>0</v>
          </cell>
          <cell r="J303" t="str">
            <v>FINISH</v>
          </cell>
          <cell r="K303">
            <v>46230</v>
          </cell>
          <cell r="L303">
            <v>46238</v>
          </cell>
        </row>
        <row r="304">
          <cell r="A304" t="str">
            <v>CA-H2607-PD-332</v>
          </cell>
          <cell r="B304" t="str">
            <v>HyperionYubo changed</v>
          </cell>
          <cell r="C304">
            <v>11135545</v>
          </cell>
          <cell r="D304" t="str">
            <v>2211896-D-A</v>
          </cell>
          <cell r="E304" t="str">
            <v>HW60SP400P10000 KR</v>
          </cell>
          <cell r="F304" t="str">
            <v>KOREA</v>
          </cell>
          <cell r="G304">
            <v>3</v>
          </cell>
          <cell r="H304">
            <v>3</v>
          </cell>
          <cell r="I304">
            <v>0</v>
          </cell>
          <cell r="J304" t="str">
            <v>FINISH</v>
          </cell>
          <cell r="K304">
            <v>46230</v>
          </cell>
          <cell r="L304">
            <v>46238</v>
          </cell>
        </row>
        <row r="305">
          <cell r="A305" t="str">
            <v>CA-H2607-PD-333</v>
          </cell>
          <cell r="B305" t="str">
            <v xml:space="preserve">Hyperion </v>
          </cell>
          <cell r="C305">
            <v>11135558</v>
          </cell>
          <cell r="D305" t="str">
            <v>2211909-E-A</v>
          </cell>
          <cell r="E305" t="str">
            <v>HW70AL100P10000 KR</v>
          </cell>
          <cell r="F305" t="str">
            <v>KOREA</v>
          </cell>
          <cell r="G305">
            <v>13</v>
          </cell>
          <cell r="H305">
            <v>13</v>
          </cell>
          <cell r="I305">
            <v>0</v>
          </cell>
          <cell r="J305" t="str">
            <v>FINISH</v>
          </cell>
          <cell r="K305">
            <v>46230</v>
          </cell>
          <cell r="L305">
            <v>46238</v>
          </cell>
        </row>
        <row r="306">
          <cell r="A306" t="str">
            <v>CA-H2607-PD-334</v>
          </cell>
          <cell r="B306" t="str">
            <v xml:space="preserve">Hyperion </v>
          </cell>
          <cell r="C306">
            <v>11135563</v>
          </cell>
          <cell r="D306" t="str">
            <v>2211914-E-A</v>
          </cell>
          <cell r="E306" t="str">
            <v>HW70AL102P10002 KR</v>
          </cell>
          <cell r="F306" t="str">
            <v>KOREA</v>
          </cell>
          <cell r="G306">
            <v>39</v>
          </cell>
          <cell r="H306">
            <v>39</v>
          </cell>
          <cell r="I306">
            <v>0</v>
          </cell>
          <cell r="J306" t="str">
            <v>FINISH</v>
          </cell>
          <cell r="K306">
            <v>46230</v>
          </cell>
          <cell r="L306">
            <v>46238</v>
          </cell>
        </row>
        <row r="307">
          <cell r="A307" t="str">
            <v>CA-H2607-PD-335</v>
          </cell>
          <cell r="B307" t="str">
            <v xml:space="preserve">Hyperion </v>
          </cell>
          <cell r="C307">
            <v>11135601</v>
          </cell>
          <cell r="D307" t="str">
            <v>2211952-E-A</v>
          </cell>
          <cell r="E307" t="str">
            <v>HW70JL350P10000 KR</v>
          </cell>
          <cell r="F307" t="str">
            <v>KOREA</v>
          </cell>
          <cell r="G307">
            <v>17</v>
          </cell>
          <cell r="H307">
            <v>17</v>
          </cell>
          <cell r="I307">
            <v>0</v>
          </cell>
          <cell r="J307" t="str">
            <v>FINISH</v>
          </cell>
          <cell r="K307">
            <v>46230</v>
          </cell>
          <cell r="L307">
            <v>46238</v>
          </cell>
        </row>
        <row r="308">
          <cell r="A308" t="str">
            <v>CA-H2607-PD-336</v>
          </cell>
          <cell r="B308" t="str">
            <v xml:space="preserve">Hyperion </v>
          </cell>
          <cell r="C308">
            <v>11135605</v>
          </cell>
          <cell r="D308" t="str">
            <v>2211956-E-A</v>
          </cell>
          <cell r="E308" t="str">
            <v>HW70JL352P10000 KR</v>
          </cell>
          <cell r="F308" t="str">
            <v>KOREA</v>
          </cell>
          <cell r="G308">
            <v>11</v>
          </cell>
          <cell r="H308">
            <v>11</v>
          </cell>
          <cell r="I308">
            <v>0</v>
          </cell>
          <cell r="J308" t="str">
            <v>FINISH</v>
          </cell>
          <cell r="K308">
            <v>46230</v>
          </cell>
          <cell r="L308">
            <v>46238</v>
          </cell>
        </row>
        <row r="309">
          <cell r="A309" t="str">
            <v>CA-H2607-PD-337</v>
          </cell>
          <cell r="B309" t="str">
            <v xml:space="preserve">Hyperion </v>
          </cell>
          <cell r="C309">
            <v>11135623</v>
          </cell>
          <cell r="D309" t="str">
            <v>2211974-E-A</v>
          </cell>
          <cell r="E309" t="str">
            <v>HW70JR350P10000 KR</v>
          </cell>
          <cell r="F309" t="str">
            <v>KOREA</v>
          </cell>
          <cell r="G309">
            <v>8</v>
          </cell>
          <cell r="H309">
            <v>8</v>
          </cell>
          <cell r="I309">
            <v>0</v>
          </cell>
          <cell r="J309" t="str">
            <v>FINISH</v>
          </cell>
          <cell r="K309">
            <v>46230</v>
          </cell>
          <cell r="L309">
            <v>46238</v>
          </cell>
        </row>
        <row r="310">
          <cell r="A310" t="str">
            <v>CA-H2607-PD-338</v>
          </cell>
          <cell r="B310" t="str">
            <v xml:space="preserve">Hyperion </v>
          </cell>
          <cell r="C310">
            <v>11135625</v>
          </cell>
          <cell r="D310" t="str">
            <v>2211976-E-A</v>
          </cell>
          <cell r="E310" t="str">
            <v>HW70JR352P10000 KR</v>
          </cell>
          <cell r="F310" t="str">
            <v>KOREA</v>
          </cell>
          <cell r="G310">
            <v>3</v>
          </cell>
          <cell r="H310">
            <v>3</v>
          </cell>
          <cell r="I310">
            <v>0</v>
          </cell>
          <cell r="J310" t="str">
            <v>FINISH</v>
          </cell>
          <cell r="K310">
            <v>46230</v>
          </cell>
          <cell r="L310">
            <v>46238</v>
          </cell>
        </row>
        <row r="311">
          <cell r="A311" t="str">
            <v>CA-H2607-PD-339</v>
          </cell>
          <cell r="B311" t="str">
            <v>HyperionYubo changed</v>
          </cell>
          <cell r="C311">
            <v>11135639</v>
          </cell>
          <cell r="D311" t="str">
            <v>2211990-F-A</v>
          </cell>
          <cell r="E311" t="str">
            <v>HW70PB300P10000 KR</v>
          </cell>
          <cell r="F311" t="str">
            <v>KOREA</v>
          </cell>
          <cell r="G311">
            <v>1</v>
          </cell>
          <cell r="H311">
            <v>1</v>
          </cell>
          <cell r="I311">
            <v>0</v>
          </cell>
          <cell r="J311" t="str">
            <v>FINISH</v>
          </cell>
          <cell r="K311">
            <v>46230</v>
          </cell>
          <cell r="L311">
            <v>46238</v>
          </cell>
        </row>
        <row r="312">
          <cell r="A312" t="str">
            <v>CA-H2607-PD-340</v>
          </cell>
          <cell r="B312" t="str">
            <v>HyperionYubo changed</v>
          </cell>
          <cell r="C312">
            <v>11135667</v>
          </cell>
          <cell r="D312" t="str">
            <v>2311161-D-A</v>
          </cell>
          <cell r="E312" t="str">
            <v>HW70SP350P10000 KR</v>
          </cell>
          <cell r="F312" t="str">
            <v>KOREA</v>
          </cell>
          <cell r="G312">
            <v>17</v>
          </cell>
          <cell r="H312">
            <v>17</v>
          </cell>
          <cell r="I312">
            <v>0</v>
          </cell>
          <cell r="J312" t="str">
            <v>FINISH</v>
          </cell>
          <cell r="K312">
            <v>46230</v>
          </cell>
          <cell r="L312">
            <v>46238</v>
          </cell>
        </row>
        <row r="313">
          <cell r="A313" t="str">
            <v>CA-H2607-PD-341</v>
          </cell>
          <cell r="B313" t="str">
            <v>HyperionYubo changed</v>
          </cell>
          <cell r="C313">
            <v>11135670</v>
          </cell>
          <cell r="D313" t="str">
            <v>2311164-D-A</v>
          </cell>
          <cell r="E313" t="str">
            <v>HW70SP370P10000 KR</v>
          </cell>
          <cell r="F313" t="str">
            <v>KOREA</v>
          </cell>
          <cell r="G313">
            <v>1</v>
          </cell>
          <cell r="H313">
            <v>1</v>
          </cell>
          <cell r="I313">
            <v>0</v>
          </cell>
          <cell r="J313" t="str">
            <v>FINISH</v>
          </cell>
          <cell r="K313">
            <v>46230</v>
          </cell>
          <cell r="L313">
            <v>46238</v>
          </cell>
        </row>
        <row r="314">
          <cell r="A314" t="str">
            <v>CA-H2607-PD-384</v>
          </cell>
          <cell r="B314" t="str">
            <v xml:space="preserve">Hyperion </v>
          </cell>
          <cell r="C314">
            <v>11119335</v>
          </cell>
          <cell r="D314" t="str">
            <v>1911003-D-A</v>
          </cell>
          <cell r="E314" t="str">
            <v>HJ60AL070P10021 JP</v>
          </cell>
          <cell r="F314" t="str">
            <v>JAPAN</v>
          </cell>
          <cell r="G314">
            <v>1</v>
          </cell>
          <cell r="H314">
            <v>1</v>
          </cell>
          <cell r="I314">
            <v>0</v>
          </cell>
          <cell r="J314" t="str">
            <v>FINISH</v>
          </cell>
          <cell r="K314">
            <v>46230</v>
          </cell>
          <cell r="L314">
            <v>46238</v>
          </cell>
        </row>
        <row r="315">
          <cell r="A315" t="str">
            <v>CA-H2607-PD-385</v>
          </cell>
          <cell r="B315" t="str">
            <v xml:space="preserve">Hyperion </v>
          </cell>
          <cell r="C315">
            <v>11119336</v>
          </cell>
          <cell r="D315" t="str">
            <v>1911004-D-A</v>
          </cell>
          <cell r="E315" t="str">
            <v>HJ60AL072P10021 JP</v>
          </cell>
          <cell r="F315" t="str">
            <v>JAPAN</v>
          </cell>
          <cell r="G315">
            <v>2</v>
          </cell>
          <cell r="H315">
            <v>2</v>
          </cell>
          <cell r="I315">
            <v>0</v>
          </cell>
          <cell r="J315" t="str">
            <v>FINISH</v>
          </cell>
          <cell r="K315">
            <v>46230</v>
          </cell>
          <cell r="L315">
            <v>46238</v>
          </cell>
        </row>
        <row r="316">
          <cell r="A316" t="str">
            <v>CA-H2607-PD-386</v>
          </cell>
          <cell r="B316" t="str">
            <v xml:space="preserve">Hyperion </v>
          </cell>
          <cell r="C316">
            <v>11119340</v>
          </cell>
          <cell r="D316" t="str">
            <v>1911008-D-A</v>
          </cell>
          <cell r="E316" t="str">
            <v>HJ60AL102P09020 JP</v>
          </cell>
          <cell r="F316" t="str">
            <v>JAPAN</v>
          </cell>
          <cell r="G316">
            <v>4</v>
          </cell>
          <cell r="H316">
            <v>4</v>
          </cell>
          <cell r="I316">
            <v>0</v>
          </cell>
          <cell r="J316" t="str">
            <v>FINISH</v>
          </cell>
          <cell r="K316">
            <v>46230</v>
          </cell>
          <cell r="L316">
            <v>46238</v>
          </cell>
        </row>
        <row r="317">
          <cell r="A317" t="str">
            <v>CA-H2607-PD-387</v>
          </cell>
          <cell r="B317" t="str">
            <v xml:space="preserve">Hyperion </v>
          </cell>
          <cell r="C317">
            <v>11119342</v>
          </cell>
          <cell r="D317" t="str">
            <v>1911010-D-A</v>
          </cell>
          <cell r="E317" t="str">
            <v>HJ60AL102P10021 JP</v>
          </cell>
          <cell r="F317" t="str">
            <v>JAPAN</v>
          </cell>
          <cell r="G317">
            <v>6</v>
          </cell>
          <cell r="H317">
            <v>6</v>
          </cell>
          <cell r="I317">
            <v>0</v>
          </cell>
          <cell r="J317" t="str">
            <v>FINISH</v>
          </cell>
          <cell r="K317">
            <v>46230</v>
          </cell>
          <cell r="L317">
            <v>46238</v>
          </cell>
        </row>
        <row r="318">
          <cell r="A318" t="str">
            <v>CA-H2607-PD-388</v>
          </cell>
          <cell r="B318" t="str">
            <v xml:space="preserve">Hyperion </v>
          </cell>
          <cell r="C318">
            <v>11119417</v>
          </cell>
          <cell r="D318" t="str">
            <v>1911085-D-A</v>
          </cell>
          <cell r="E318" t="str">
            <v>HJ60AL150P10022 JP</v>
          </cell>
          <cell r="F318" t="str">
            <v>JAPAN</v>
          </cell>
          <cell r="G318">
            <v>5</v>
          </cell>
          <cell r="H318">
            <v>5</v>
          </cell>
          <cell r="I318">
            <v>0</v>
          </cell>
          <cell r="J318" t="str">
            <v>FINISH</v>
          </cell>
          <cell r="K318">
            <v>46230</v>
          </cell>
          <cell r="L318">
            <v>46238</v>
          </cell>
        </row>
        <row r="319">
          <cell r="A319" t="str">
            <v>CA-H2607-PD-389</v>
          </cell>
          <cell r="B319" t="str">
            <v xml:space="preserve">Hyperion </v>
          </cell>
          <cell r="C319">
            <v>11119346</v>
          </cell>
          <cell r="D319" t="str">
            <v>1911014-D-A</v>
          </cell>
          <cell r="E319" t="str">
            <v>HJ60AL152P10021 JP</v>
          </cell>
          <cell r="F319" t="str">
            <v>JAPAN</v>
          </cell>
          <cell r="G319">
            <v>2</v>
          </cell>
          <cell r="H319">
            <v>2</v>
          </cell>
          <cell r="I319">
            <v>0</v>
          </cell>
          <cell r="J319" t="str">
            <v>FINISH</v>
          </cell>
          <cell r="K319">
            <v>46230</v>
          </cell>
          <cell r="L319">
            <v>46238</v>
          </cell>
        </row>
        <row r="320">
          <cell r="A320" t="str">
            <v>CA-H2607-PD-390</v>
          </cell>
          <cell r="B320" t="str">
            <v xml:space="preserve">Hyperion </v>
          </cell>
          <cell r="C320">
            <v>11119347</v>
          </cell>
          <cell r="D320" t="str">
            <v>1911015-D-A</v>
          </cell>
          <cell r="E320" t="str">
            <v>HJ60AL200P10020 JP</v>
          </cell>
          <cell r="F320" t="str">
            <v>JAPAN</v>
          </cell>
          <cell r="G320">
            <v>3</v>
          </cell>
          <cell r="H320">
            <v>3</v>
          </cell>
          <cell r="I320">
            <v>0</v>
          </cell>
          <cell r="J320" t="str">
            <v>FINISH</v>
          </cell>
          <cell r="K320">
            <v>46230</v>
          </cell>
          <cell r="L320">
            <v>46238</v>
          </cell>
        </row>
        <row r="321">
          <cell r="A321" t="str">
            <v>CA-H2607-PD-391</v>
          </cell>
          <cell r="B321" t="str">
            <v xml:space="preserve">Hyperion </v>
          </cell>
          <cell r="C321">
            <v>11119419</v>
          </cell>
          <cell r="D321" t="str">
            <v>1911087-D-A</v>
          </cell>
          <cell r="E321" t="str">
            <v>HJ60AL200P10022 JP</v>
          </cell>
          <cell r="F321" t="str">
            <v>JAPAN</v>
          </cell>
          <cell r="G321">
            <v>1</v>
          </cell>
          <cell r="H321">
            <v>1</v>
          </cell>
          <cell r="I321">
            <v>0</v>
          </cell>
          <cell r="J321" t="str">
            <v>FINISH</v>
          </cell>
          <cell r="K321">
            <v>46230</v>
          </cell>
          <cell r="L321">
            <v>46238</v>
          </cell>
        </row>
        <row r="322">
          <cell r="A322" t="str">
            <v>CA-H2607-PD-392</v>
          </cell>
          <cell r="B322" t="str">
            <v xml:space="preserve">Hyperion </v>
          </cell>
          <cell r="C322">
            <v>11119350</v>
          </cell>
          <cell r="D322" t="str">
            <v>1911018-D-A</v>
          </cell>
          <cell r="E322" t="str">
            <v>HJ60CP150P10020 JP</v>
          </cell>
          <cell r="F322" t="str">
            <v>JAPAN</v>
          </cell>
          <cell r="G322">
            <v>1</v>
          </cell>
          <cell r="H322">
            <v>1</v>
          </cell>
          <cell r="I322">
            <v>0</v>
          </cell>
          <cell r="J322" t="str">
            <v>FINISH</v>
          </cell>
          <cell r="K322">
            <v>46230</v>
          </cell>
          <cell r="L322">
            <v>46238</v>
          </cell>
        </row>
        <row r="323">
          <cell r="A323" t="str">
            <v>CA-H2607-PD-393</v>
          </cell>
          <cell r="B323" t="str">
            <v xml:space="preserve">Hyperion </v>
          </cell>
          <cell r="C323">
            <v>11119351</v>
          </cell>
          <cell r="D323" t="str">
            <v>1911019-D-A</v>
          </cell>
          <cell r="E323" t="str">
            <v>HJ60CP152P10020 JP</v>
          </cell>
          <cell r="F323" t="str">
            <v>JAPAN</v>
          </cell>
          <cell r="G323">
            <v>4</v>
          </cell>
          <cell r="H323">
            <v>4</v>
          </cell>
          <cell r="I323">
            <v>0</v>
          </cell>
          <cell r="J323" t="str">
            <v>FINISH</v>
          </cell>
          <cell r="K323">
            <v>46230</v>
          </cell>
          <cell r="L323">
            <v>46238</v>
          </cell>
        </row>
        <row r="324">
          <cell r="A324" t="str">
            <v>CA-H2607-PD-394</v>
          </cell>
          <cell r="B324" t="str">
            <v xml:space="preserve">Hyperion </v>
          </cell>
          <cell r="C324">
            <v>11119359</v>
          </cell>
          <cell r="D324" t="str">
            <v>1911027-D-A</v>
          </cell>
          <cell r="E324" t="str">
            <v>HJ60HS010P10020 JP</v>
          </cell>
          <cell r="F324" t="str">
            <v>JAPAN</v>
          </cell>
          <cell r="G324">
            <v>2</v>
          </cell>
          <cell r="H324">
            <v>2</v>
          </cell>
          <cell r="I324">
            <v>0</v>
          </cell>
          <cell r="J324" t="str">
            <v>FINISH</v>
          </cell>
          <cell r="K324">
            <v>46230</v>
          </cell>
          <cell r="L324">
            <v>46238</v>
          </cell>
        </row>
        <row r="325">
          <cell r="A325" t="str">
            <v>CA-H2607-PD-395</v>
          </cell>
          <cell r="B325" t="str">
            <v>Hyperion</v>
          </cell>
          <cell r="C325">
            <v>11119360</v>
          </cell>
          <cell r="D325" t="str">
            <v>1911028-D-A</v>
          </cell>
          <cell r="E325" t="str">
            <v>HJ60HS012P10020 JP</v>
          </cell>
          <cell r="F325" t="str">
            <v>JAPAN</v>
          </cell>
          <cell r="G325">
            <v>3</v>
          </cell>
          <cell r="H325">
            <v>3</v>
          </cell>
          <cell r="I325">
            <v>0</v>
          </cell>
          <cell r="J325" t="str">
            <v>FINISH</v>
          </cell>
          <cell r="K325">
            <v>46230</v>
          </cell>
          <cell r="L325">
            <v>46238</v>
          </cell>
        </row>
        <row r="326">
          <cell r="A326" t="str">
            <v>CA-H2607-PD-396</v>
          </cell>
          <cell r="B326" t="str">
            <v>Hyperion</v>
          </cell>
          <cell r="C326">
            <v>11119362</v>
          </cell>
          <cell r="D326" t="str">
            <v>1911030-D-A</v>
          </cell>
          <cell r="E326" t="str">
            <v>HJ60HS022P10020 JP</v>
          </cell>
          <cell r="F326" t="str">
            <v>JAPAN</v>
          </cell>
          <cell r="G326">
            <v>8</v>
          </cell>
          <cell r="H326">
            <v>8</v>
          </cell>
          <cell r="I326">
            <v>0</v>
          </cell>
          <cell r="J326" t="str">
            <v>FINISH</v>
          </cell>
          <cell r="K326">
            <v>46230</v>
          </cell>
          <cell r="L326">
            <v>46238</v>
          </cell>
        </row>
        <row r="327">
          <cell r="A327" t="str">
            <v>CA-H2607-PD-397</v>
          </cell>
          <cell r="B327" t="str">
            <v>Hyperion</v>
          </cell>
          <cell r="C327">
            <v>11119369</v>
          </cell>
          <cell r="D327" t="str">
            <v>1911037-D-A</v>
          </cell>
          <cell r="E327" t="str">
            <v>HJ60IM002P10030 JP</v>
          </cell>
          <cell r="F327" t="str">
            <v>JAPAN</v>
          </cell>
          <cell r="G327">
            <v>8</v>
          </cell>
          <cell r="H327">
            <v>8</v>
          </cell>
          <cell r="I327">
            <v>0</v>
          </cell>
          <cell r="J327" t="str">
            <v>FINISH</v>
          </cell>
          <cell r="K327">
            <v>46230</v>
          </cell>
          <cell r="L327">
            <v>46238</v>
          </cell>
        </row>
        <row r="328">
          <cell r="A328" t="str">
            <v>CA-H2607-PD-398</v>
          </cell>
          <cell r="B328" t="str">
            <v>Hyperion</v>
          </cell>
          <cell r="C328">
            <v>11119376</v>
          </cell>
          <cell r="D328" t="str">
            <v>1911044-D-A</v>
          </cell>
          <cell r="E328" t="str">
            <v>HJ60JL400P09000 JP</v>
          </cell>
          <cell r="F328" t="str">
            <v>JAPAN</v>
          </cell>
          <cell r="G328">
            <v>4</v>
          </cell>
          <cell r="H328">
            <v>4</v>
          </cell>
          <cell r="I328">
            <v>0</v>
          </cell>
          <cell r="J328" t="str">
            <v>FINISH</v>
          </cell>
          <cell r="K328">
            <v>46230</v>
          </cell>
          <cell r="L328">
            <v>46238</v>
          </cell>
        </row>
        <row r="329">
          <cell r="A329" t="str">
            <v>CA-H2607-PD-399</v>
          </cell>
          <cell r="B329" t="str">
            <v>Hyperion</v>
          </cell>
          <cell r="C329">
            <v>11119378</v>
          </cell>
          <cell r="D329" t="str">
            <v>1911046-D-A</v>
          </cell>
          <cell r="E329" t="str">
            <v>HJ60JL402P09020 JP</v>
          </cell>
          <cell r="F329" t="str">
            <v>JAPAN</v>
          </cell>
          <cell r="G329">
            <v>6</v>
          </cell>
          <cell r="H329">
            <v>6</v>
          </cell>
          <cell r="I329">
            <v>0</v>
          </cell>
          <cell r="J329" t="str">
            <v>FINISH</v>
          </cell>
          <cell r="K329">
            <v>46230</v>
          </cell>
          <cell r="L329">
            <v>46238</v>
          </cell>
        </row>
        <row r="330">
          <cell r="A330" t="str">
            <v>CA-H2607-PD-400</v>
          </cell>
          <cell r="B330" t="str">
            <v>Hyperion</v>
          </cell>
          <cell r="C330">
            <v>11119383</v>
          </cell>
          <cell r="D330" t="str">
            <v>1911051-D-A</v>
          </cell>
          <cell r="E330" t="str">
            <v>HJ60JL450P10001 JP</v>
          </cell>
          <cell r="F330" t="str">
            <v>JAPAN</v>
          </cell>
          <cell r="G330">
            <v>3</v>
          </cell>
          <cell r="H330">
            <v>3</v>
          </cell>
          <cell r="I330">
            <v>0</v>
          </cell>
          <cell r="J330" t="str">
            <v>FINISH</v>
          </cell>
          <cell r="K330">
            <v>46230</v>
          </cell>
          <cell r="L330">
            <v>46238</v>
          </cell>
        </row>
        <row r="331">
          <cell r="A331" t="str">
            <v>CA-H2607-PD-401</v>
          </cell>
          <cell r="B331" t="str">
            <v xml:space="preserve">Hyperion </v>
          </cell>
          <cell r="C331">
            <v>11119385</v>
          </cell>
          <cell r="D331" t="str">
            <v>1911053-D-A</v>
          </cell>
          <cell r="E331" t="str">
            <v>HJ60JL500P10000 JP</v>
          </cell>
          <cell r="F331" t="str">
            <v>JAPAN</v>
          </cell>
          <cell r="G331">
            <v>2</v>
          </cell>
          <cell r="H331">
            <v>2</v>
          </cell>
          <cell r="I331">
            <v>0</v>
          </cell>
          <cell r="J331" t="str">
            <v>FINISH</v>
          </cell>
          <cell r="K331">
            <v>46230</v>
          </cell>
          <cell r="L331">
            <v>46238</v>
          </cell>
        </row>
        <row r="332">
          <cell r="A332" t="str">
            <v>CA-H2607-PD-402</v>
          </cell>
          <cell r="B332" t="str">
            <v xml:space="preserve">Hyperion </v>
          </cell>
          <cell r="C332">
            <v>11119387</v>
          </cell>
          <cell r="D332" t="str">
            <v>1911055-D-A</v>
          </cell>
          <cell r="E332" t="str">
            <v>HJ60JL500P10001 JP</v>
          </cell>
          <cell r="F332" t="str">
            <v>JAPAN</v>
          </cell>
          <cell r="G332">
            <v>3</v>
          </cell>
          <cell r="H332">
            <v>3</v>
          </cell>
          <cell r="I332">
            <v>0</v>
          </cell>
          <cell r="J332" t="str">
            <v>FINISH</v>
          </cell>
          <cell r="K332">
            <v>46230</v>
          </cell>
          <cell r="L332">
            <v>46238</v>
          </cell>
        </row>
        <row r="333">
          <cell r="A333" t="str">
            <v>CA-H2607-PD-403</v>
          </cell>
          <cell r="B333" t="str">
            <v xml:space="preserve">Hyperion </v>
          </cell>
          <cell r="C333">
            <v>11119392</v>
          </cell>
          <cell r="D333" t="str">
            <v>1911060-D-A</v>
          </cell>
          <cell r="E333" t="str">
            <v>HJ60JR400P09020 JP</v>
          </cell>
          <cell r="F333" t="str">
            <v>JAPAN</v>
          </cell>
          <cell r="G333">
            <v>3</v>
          </cell>
          <cell r="H333">
            <v>3</v>
          </cell>
          <cell r="I333">
            <v>0</v>
          </cell>
          <cell r="J333" t="str">
            <v>FINISH</v>
          </cell>
          <cell r="K333">
            <v>46230</v>
          </cell>
          <cell r="L333">
            <v>46238</v>
          </cell>
        </row>
        <row r="334">
          <cell r="A334" t="str">
            <v>CA-H2607-PD-404</v>
          </cell>
          <cell r="B334" t="str">
            <v xml:space="preserve">Hyperion </v>
          </cell>
          <cell r="C334">
            <v>11119394</v>
          </cell>
          <cell r="D334" t="str">
            <v>1911062-D-A</v>
          </cell>
          <cell r="E334" t="str">
            <v>HJ60JR402P09020 JP</v>
          </cell>
          <cell r="F334" t="str">
            <v>JAPAN</v>
          </cell>
          <cell r="G334">
            <v>4</v>
          </cell>
          <cell r="H334">
            <v>4</v>
          </cell>
          <cell r="I334">
            <v>0</v>
          </cell>
          <cell r="J334" t="str">
            <v>FINISH</v>
          </cell>
          <cell r="K334">
            <v>46230</v>
          </cell>
          <cell r="L334">
            <v>46238</v>
          </cell>
        </row>
        <row r="335">
          <cell r="A335" t="str">
            <v>CA-H2607-PD-405</v>
          </cell>
          <cell r="B335" t="str">
            <v xml:space="preserve">Hyperion </v>
          </cell>
          <cell r="C335">
            <v>11119395</v>
          </cell>
          <cell r="D335" t="str">
            <v>1911063-D-A</v>
          </cell>
          <cell r="E335" t="str">
            <v>HJ60JR450P10020 JP</v>
          </cell>
          <cell r="F335" t="str">
            <v>JAPAN</v>
          </cell>
          <cell r="G335">
            <v>3</v>
          </cell>
          <cell r="H335">
            <v>3</v>
          </cell>
          <cell r="I335">
            <v>0</v>
          </cell>
          <cell r="J335" t="str">
            <v>FINISH</v>
          </cell>
          <cell r="K335">
            <v>46230</v>
          </cell>
          <cell r="L335">
            <v>46238</v>
          </cell>
        </row>
        <row r="336">
          <cell r="A336" t="str">
            <v>CA-H2607-PD-406</v>
          </cell>
          <cell r="B336" t="str">
            <v xml:space="preserve">Hyperion </v>
          </cell>
          <cell r="C336">
            <v>11119396</v>
          </cell>
          <cell r="D336" t="str">
            <v>1911064-D-A</v>
          </cell>
          <cell r="E336" t="str">
            <v>HJ60JR452P10020 JP</v>
          </cell>
          <cell r="F336" t="str">
            <v>JAPAN</v>
          </cell>
          <cell r="G336">
            <v>4</v>
          </cell>
          <cell r="H336">
            <v>4</v>
          </cell>
          <cell r="I336">
            <v>0</v>
          </cell>
          <cell r="J336" t="str">
            <v>FINISH</v>
          </cell>
          <cell r="K336">
            <v>46230</v>
          </cell>
          <cell r="L336">
            <v>46238</v>
          </cell>
        </row>
        <row r="337">
          <cell r="A337" t="str">
            <v>CA-H2607-PD-407</v>
          </cell>
          <cell r="B337" t="str">
            <v>HyperionYubo changed</v>
          </cell>
          <cell r="C337">
            <v>11134255</v>
          </cell>
          <cell r="D337" t="str">
            <v>1911072-E-A</v>
          </cell>
          <cell r="E337" t="str">
            <v>HJ60PB402P10020 JP</v>
          </cell>
          <cell r="F337" t="str">
            <v>JAPAN</v>
          </cell>
          <cell r="G337">
            <v>2</v>
          </cell>
          <cell r="H337">
            <v>2</v>
          </cell>
          <cell r="I337">
            <v>0</v>
          </cell>
          <cell r="J337" t="str">
            <v>FINISH</v>
          </cell>
          <cell r="K337">
            <v>46230</v>
          </cell>
          <cell r="L337">
            <v>46238</v>
          </cell>
        </row>
        <row r="338">
          <cell r="A338" t="str">
            <v>CA-H2607-PD-408</v>
          </cell>
          <cell r="B338" t="str">
            <v xml:space="preserve">Hyperion </v>
          </cell>
          <cell r="C338">
            <v>11119405</v>
          </cell>
          <cell r="D338" t="str">
            <v>1911073-D-A</v>
          </cell>
          <cell r="E338" t="str">
            <v>HJ60RB070P10020 JP</v>
          </cell>
          <cell r="F338" t="str">
            <v>JAPAN</v>
          </cell>
          <cell r="G338">
            <v>3</v>
          </cell>
          <cell r="H338">
            <v>3</v>
          </cell>
          <cell r="I338">
            <v>0</v>
          </cell>
          <cell r="J338" t="str">
            <v>FINISH</v>
          </cell>
          <cell r="K338">
            <v>46230</v>
          </cell>
          <cell r="L338">
            <v>46238</v>
          </cell>
        </row>
        <row r="339">
          <cell r="A339" t="str">
            <v>CA-H2607-PD-409</v>
          </cell>
          <cell r="B339" t="str">
            <v xml:space="preserve">Hyperion </v>
          </cell>
          <cell r="C339">
            <v>11119406</v>
          </cell>
          <cell r="D339" t="str">
            <v>1911074-D-A</v>
          </cell>
          <cell r="E339" t="str">
            <v>HJ60RB072P10020 JP</v>
          </cell>
          <cell r="F339" t="str">
            <v>JAPAN</v>
          </cell>
          <cell r="G339">
            <v>2</v>
          </cell>
          <cell r="H339">
            <v>2</v>
          </cell>
          <cell r="I339">
            <v>0</v>
          </cell>
          <cell r="J339" t="str">
            <v>FINISH</v>
          </cell>
          <cell r="K339">
            <v>46230</v>
          </cell>
          <cell r="L339">
            <v>46238</v>
          </cell>
        </row>
        <row r="340">
          <cell r="A340" t="str">
            <v>CA-H2607-PD-410</v>
          </cell>
          <cell r="B340" t="str">
            <v xml:space="preserve">Hyperion </v>
          </cell>
          <cell r="C340">
            <v>11119408</v>
          </cell>
          <cell r="D340" t="str">
            <v>1911076-D-A</v>
          </cell>
          <cell r="E340" t="str">
            <v>HJ60RB102P10020 JP</v>
          </cell>
          <cell r="F340" t="str">
            <v>JAPAN</v>
          </cell>
          <cell r="G340">
            <v>2</v>
          </cell>
          <cell r="H340">
            <v>2</v>
          </cell>
          <cell r="I340">
            <v>0</v>
          </cell>
          <cell r="J340" t="str">
            <v>FINISH</v>
          </cell>
          <cell r="K340">
            <v>46230</v>
          </cell>
          <cell r="L340">
            <v>46238</v>
          </cell>
        </row>
        <row r="341">
          <cell r="A341" t="str">
            <v>CA-H2607-PD-411</v>
          </cell>
          <cell r="B341" t="str">
            <v xml:space="preserve">Hyperion </v>
          </cell>
          <cell r="C341">
            <v>11119422</v>
          </cell>
          <cell r="D341" t="str">
            <v>1911090-D-A</v>
          </cell>
          <cell r="E341" t="str">
            <v>HJ60SC352P10020 JP</v>
          </cell>
          <cell r="F341" t="str">
            <v>JAPAN</v>
          </cell>
          <cell r="G341">
            <v>3</v>
          </cell>
          <cell r="H341">
            <v>3</v>
          </cell>
          <cell r="I341">
            <v>0</v>
          </cell>
          <cell r="J341" t="str">
            <v>FINISH</v>
          </cell>
          <cell r="K341">
            <v>46230</v>
          </cell>
          <cell r="L341">
            <v>46238</v>
          </cell>
        </row>
        <row r="342">
          <cell r="A342" t="str">
            <v>CA-H2607-PD-412</v>
          </cell>
          <cell r="B342" t="str">
            <v>HyperionYubo changed</v>
          </cell>
          <cell r="C342">
            <v>11134259</v>
          </cell>
          <cell r="D342" t="str">
            <v>1911096-E-A</v>
          </cell>
          <cell r="E342" t="str">
            <v>HJ60SP322P10020 JP</v>
          </cell>
          <cell r="F342" t="str">
            <v>JAPAN</v>
          </cell>
          <cell r="G342">
            <v>3</v>
          </cell>
          <cell r="H342">
            <v>3</v>
          </cell>
          <cell r="I342">
            <v>0</v>
          </cell>
          <cell r="J342" t="str">
            <v>FINISH</v>
          </cell>
          <cell r="K342">
            <v>46230</v>
          </cell>
          <cell r="L342">
            <v>46238</v>
          </cell>
        </row>
        <row r="343">
          <cell r="A343" t="str">
            <v>CA-H2607-PD-413</v>
          </cell>
          <cell r="B343" t="str">
            <v xml:space="preserve">Hyperion </v>
          </cell>
          <cell r="C343">
            <v>11119536</v>
          </cell>
          <cell r="D343" t="str">
            <v>1911202-D-A</v>
          </cell>
          <cell r="E343" t="str">
            <v>HJ70AL070P09022 JP</v>
          </cell>
          <cell r="F343" t="str">
            <v>JAPAN</v>
          </cell>
          <cell r="G343">
            <v>2</v>
          </cell>
          <cell r="H343">
            <v>2</v>
          </cell>
          <cell r="I343">
            <v>0</v>
          </cell>
          <cell r="J343" t="str">
            <v>FINISH</v>
          </cell>
          <cell r="K343">
            <v>46230</v>
          </cell>
          <cell r="L343">
            <v>46238</v>
          </cell>
        </row>
        <row r="344">
          <cell r="A344" t="str">
            <v>CA-H2607-PD-414</v>
          </cell>
          <cell r="B344" t="str">
            <v xml:space="preserve">Hyperion </v>
          </cell>
          <cell r="C344">
            <v>11119437</v>
          </cell>
          <cell r="D344" t="str">
            <v>1911103-D-A</v>
          </cell>
          <cell r="E344" t="str">
            <v>HJ70AL070P10020 JP</v>
          </cell>
          <cell r="F344" t="str">
            <v>JAPAN</v>
          </cell>
          <cell r="G344">
            <v>5</v>
          </cell>
          <cell r="H344">
            <v>5</v>
          </cell>
          <cell r="I344">
            <v>0</v>
          </cell>
          <cell r="J344" t="str">
            <v>FINISH</v>
          </cell>
          <cell r="K344">
            <v>46230</v>
          </cell>
          <cell r="L344">
            <v>46238</v>
          </cell>
        </row>
        <row r="345">
          <cell r="A345" t="str">
            <v>CA-H2607-PD-415</v>
          </cell>
          <cell r="B345" t="str">
            <v xml:space="preserve">Hyperion </v>
          </cell>
          <cell r="C345">
            <v>11119453</v>
          </cell>
          <cell r="D345" t="str">
            <v>1911119-D-A</v>
          </cell>
          <cell r="E345" t="str">
            <v>HJ70AL152P10021 JP</v>
          </cell>
          <cell r="F345" t="str">
            <v>JAPAN</v>
          </cell>
          <cell r="G345">
            <v>4</v>
          </cell>
          <cell r="H345">
            <v>4</v>
          </cell>
          <cell r="I345">
            <v>0</v>
          </cell>
          <cell r="J345" t="str">
            <v>FINISH</v>
          </cell>
          <cell r="K345">
            <v>46230</v>
          </cell>
          <cell r="L345">
            <v>46238</v>
          </cell>
        </row>
        <row r="346">
          <cell r="A346" t="str">
            <v>CA-H2607-PD-416</v>
          </cell>
          <cell r="B346" t="str">
            <v xml:space="preserve">Hyperion </v>
          </cell>
          <cell r="C346">
            <v>11119550</v>
          </cell>
          <cell r="D346" t="str">
            <v>1911216-D-A</v>
          </cell>
          <cell r="E346" t="str">
            <v>HJ70AL202P09022 JP</v>
          </cell>
          <cell r="F346" t="str">
            <v>JAPAN</v>
          </cell>
          <cell r="G346">
            <v>2</v>
          </cell>
          <cell r="H346">
            <v>2</v>
          </cell>
          <cell r="I346">
            <v>0</v>
          </cell>
          <cell r="J346" t="str">
            <v>FINISH</v>
          </cell>
          <cell r="K346">
            <v>46230</v>
          </cell>
          <cell r="L346">
            <v>46238</v>
          </cell>
        </row>
        <row r="347">
          <cell r="A347" t="str">
            <v>CA-H2607-PD-417</v>
          </cell>
          <cell r="B347" t="str">
            <v xml:space="preserve">Hyperion </v>
          </cell>
          <cell r="C347">
            <v>11119460</v>
          </cell>
          <cell r="D347" t="str">
            <v>1911126-D-A</v>
          </cell>
          <cell r="E347" t="str">
            <v>HJ70CP202P10020 JP</v>
          </cell>
          <cell r="F347" t="str">
            <v>JAPAN</v>
          </cell>
          <cell r="G347">
            <v>4</v>
          </cell>
          <cell r="H347">
            <v>4</v>
          </cell>
          <cell r="I347">
            <v>0</v>
          </cell>
          <cell r="J347" t="str">
            <v>FINISH</v>
          </cell>
          <cell r="K347">
            <v>46230</v>
          </cell>
          <cell r="L347">
            <v>46238</v>
          </cell>
        </row>
        <row r="348">
          <cell r="A348" t="str">
            <v>CA-H2607-PD-418</v>
          </cell>
          <cell r="B348" t="str">
            <v xml:space="preserve">Hyperion </v>
          </cell>
          <cell r="C348">
            <v>11119461</v>
          </cell>
          <cell r="D348" t="str">
            <v>1911127-D-A</v>
          </cell>
          <cell r="E348" t="str">
            <v>HJ70CP250P10020 JP</v>
          </cell>
          <cell r="F348" t="str">
            <v>JAPAN</v>
          </cell>
          <cell r="G348">
            <v>2</v>
          </cell>
          <cell r="H348">
            <v>2</v>
          </cell>
          <cell r="I348">
            <v>0</v>
          </cell>
          <cell r="J348" t="str">
            <v>FINISH</v>
          </cell>
          <cell r="K348">
            <v>46230</v>
          </cell>
          <cell r="L348">
            <v>46238</v>
          </cell>
        </row>
        <row r="349">
          <cell r="A349" t="str">
            <v>CA-H2607-PD-419</v>
          </cell>
          <cell r="B349" t="str">
            <v xml:space="preserve">Hyperion </v>
          </cell>
          <cell r="C349">
            <v>11119469</v>
          </cell>
          <cell r="D349" t="str">
            <v>1911135-D-A</v>
          </cell>
          <cell r="E349" t="str">
            <v>HJ70CP350P10020 JP</v>
          </cell>
          <cell r="F349" t="str">
            <v>JAPAN</v>
          </cell>
          <cell r="G349">
            <v>2</v>
          </cell>
          <cell r="H349">
            <v>2</v>
          </cell>
          <cell r="I349">
            <v>0</v>
          </cell>
          <cell r="J349" t="str">
            <v>FINISH</v>
          </cell>
          <cell r="K349">
            <v>46230</v>
          </cell>
          <cell r="L349">
            <v>46238</v>
          </cell>
        </row>
        <row r="350">
          <cell r="A350" t="str">
            <v>CA-H2607-PD-420</v>
          </cell>
          <cell r="B350" t="str">
            <v xml:space="preserve">Hyperion </v>
          </cell>
          <cell r="C350">
            <v>11119473</v>
          </cell>
          <cell r="D350" t="str">
            <v>1911139-D-A</v>
          </cell>
          <cell r="E350" t="str">
            <v>HJ70HS010P10020 JP</v>
          </cell>
          <cell r="F350" t="str">
            <v>JAPAN</v>
          </cell>
          <cell r="G350">
            <v>2</v>
          </cell>
          <cell r="H350">
            <v>2</v>
          </cell>
          <cell r="I350">
            <v>0</v>
          </cell>
          <cell r="J350" t="str">
            <v>FINISH</v>
          </cell>
          <cell r="K350">
            <v>46230</v>
          </cell>
          <cell r="L350">
            <v>46238</v>
          </cell>
        </row>
        <row r="351">
          <cell r="A351" t="str">
            <v>CA-H2607-PD-421</v>
          </cell>
          <cell r="B351" t="str">
            <v xml:space="preserve">Hyperion </v>
          </cell>
          <cell r="C351">
            <v>11119474</v>
          </cell>
          <cell r="D351" t="str">
            <v>1911140-D-A</v>
          </cell>
          <cell r="E351" t="str">
            <v>HJ70HS012P10020 JP</v>
          </cell>
          <cell r="F351" t="str">
            <v>JAPAN</v>
          </cell>
          <cell r="G351">
            <v>4</v>
          </cell>
          <cell r="H351">
            <v>4</v>
          </cell>
          <cell r="I351">
            <v>0</v>
          </cell>
          <cell r="J351" t="str">
            <v>FINISH</v>
          </cell>
          <cell r="K351">
            <v>46230</v>
          </cell>
          <cell r="L351">
            <v>46238</v>
          </cell>
        </row>
        <row r="352">
          <cell r="A352" t="str">
            <v>CA-H2607-PD-422</v>
          </cell>
          <cell r="B352" t="str">
            <v xml:space="preserve">Hyperion </v>
          </cell>
          <cell r="C352">
            <v>11119479</v>
          </cell>
          <cell r="D352" t="str">
            <v>1911145-D-A</v>
          </cell>
          <cell r="E352" t="str">
            <v>HJ70IM002P10030 JP</v>
          </cell>
          <cell r="F352" t="str">
            <v>JAPAN</v>
          </cell>
          <cell r="G352">
            <v>6</v>
          </cell>
          <cell r="H352">
            <v>6</v>
          </cell>
          <cell r="I352">
            <v>0</v>
          </cell>
          <cell r="J352" t="str">
            <v>FINISH</v>
          </cell>
          <cell r="K352">
            <v>46230</v>
          </cell>
          <cell r="L352">
            <v>46238</v>
          </cell>
        </row>
        <row r="353">
          <cell r="A353" t="str">
            <v>CA-H2607-PD-423</v>
          </cell>
          <cell r="B353" t="str">
            <v xml:space="preserve">Hyperion </v>
          </cell>
          <cell r="C353">
            <v>11119484</v>
          </cell>
          <cell r="D353" t="str">
            <v>1911150-D-A</v>
          </cell>
          <cell r="E353" t="str">
            <v>HJ70JL352P09020 JP</v>
          </cell>
          <cell r="F353" t="str">
            <v>JAPAN</v>
          </cell>
          <cell r="G353">
            <v>7</v>
          </cell>
          <cell r="H353">
            <v>7</v>
          </cell>
          <cell r="I353">
            <v>0</v>
          </cell>
          <cell r="J353" t="str">
            <v>FINISH</v>
          </cell>
          <cell r="K353">
            <v>46230</v>
          </cell>
          <cell r="L353">
            <v>46238</v>
          </cell>
        </row>
        <row r="354">
          <cell r="A354" t="str">
            <v>CA-H2607-PD-424</v>
          </cell>
          <cell r="B354" t="str">
            <v xml:space="preserve">Hyperion </v>
          </cell>
          <cell r="C354">
            <v>11119487</v>
          </cell>
          <cell r="D354" t="str">
            <v>1911153-D-A</v>
          </cell>
          <cell r="E354" t="str">
            <v>HJ70JL352P09021 JP</v>
          </cell>
          <cell r="F354" t="str">
            <v>JAPAN</v>
          </cell>
          <cell r="G354">
            <v>5</v>
          </cell>
          <cell r="H354">
            <v>5</v>
          </cell>
          <cell r="I354">
            <v>0</v>
          </cell>
          <cell r="J354" t="str">
            <v>FINISH</v>
          </cell>
          <cell r="K354">
            <v>46230</v>
          </cell>
          <cell r="L354">
            <v>46238</v>
          </cell>
        </row>
        <row r="355">
          <cell r="A355" t="str">
            <v>CA-H2607-PD-425</v>
          </cell>
          <cell r="B355" t="str">
            <v xml:space="preserve">Hyperion </v>
          </cell>
          <cell r="C355">
            <v>11119494</v>
          </cell>
          <cell r="D355" t="str">
            <v>1911160-D-A</v>
          </cell>
          <cell r="E355" t="str">
            <v>HJ70JL402P09021 JP</v>
          </cell>
          <cell r="F355" t="str">
            <v>JAPAN</v>
          </cell>
          <cell r="G355">
            <v>2</v>
          </cell>
          <cell r="H355">
            <v>2</v>
          </cell>
          <cell r="I355">
            <v>0</v>
          </cell>
          <cell r="J355" t="str">
            <v>FINISH</v>
          </cell>
          <cell r="K355">
            <v>46230</v>
          </cell>
          <cell r="L355">
            <v>46238</v>
          </cell>
        </row>
        <row r="356">
          <cell r="A356" t="str">
            <v>CA-H2607-PD-426</v>
          </cell>
          <cell r="B356" t="str">
            <v xml:space="preserve">Hyperion </v>
          </cell>
          <cell r="C356">
            <v>11119498</v>
          </cell>
          <cell r="D356" t="str">
            <v>1911164-D-A</v>
          </cell>
          <cell r="E356" t="str">
            <v>HJ70JL452P10021 JP</v>
          </cell>
          <cell r="F356" t="str">
            <v>JAPAN</v>
          </cell>
          <cell r="G356">
            <v>1</v>
          </cell>
          <cell r="H356">
            <v>1</v>
          </cell>
          <cell r="I356">
            <v>0</v>
          </cell>
          <cell r="J356" t="str">
            <v>FINISH</v>
          </cell>
          <cell r="K356">
            <v>46230</v>
          </cell>
          <cell r="L356">
            <v>46238</v>
          </cell>
        </row>
        <row r="357">
          <cell r="A357" t="str">
            <v>CA-H2607-PD-427</v>
          </cell>
          <cell r="B357" t="str">
            <v xml:space="preserve">Hyperion </v>
          </cell>
          <cell r="C357">
            <v>11119499</v>
          </cell>
          <cell r="D357" t="str">
            <v>1911165-D-A</v>
          </cell>
          <cell r="E357" t="str">
            <v>HJ70JL500P10000 JP</v>
          </cell>
          <cell r="F357" t="str">
            <v>JAPAN</v>
          </cell>
          <cell r="G357">
            <v>2</v>
          </cell>
          <cell r="H357">
            <v>2</v>
          </cell>
          <cell r="I357">
            <v>0</v>
          </cell>
          <cell r="J357" t="str">
            <v>FINISH</v>
          </cell>
          <cell r="K357">
            <v>46230</v>
          </cell>
          <cell r="L357">
            <v>46238</v>
          </cell>
        </row>
        <row r="358">
          <cell r="A358" t="str">
            <v>CA-H2607-PD-428</v>
          </cell>
          <cell r="B358" t="str">
            <v xml:space="preserve">Hyperion </v>
          </cell>
          <cell r="C358">
            <v>11119502</v>
          </cell>
          <cell r="D358" t="str">
            <v>1911168-D-A</v>
          </cell>
          <cell r="E358" t="str">
            <v>HJ70JL502P10021 JP</v>
          </cell>
          <cell r="F358" t="str">
            <v>JAPAN</v>
          </cell>
          <cell r="G358">
            <v>3</v>
          </cell>
          <cell r="H358">
            <v>3</v>
          </cell>
          <cell r="I358">
            <v>0</v>
          </cell>
          <cell r="J358" t="str">
            <v>FINISH</v>
          </cell>
          <cell r="K358">
            <v>46230</v>
          </cell>
          <cell r="L358">
            <v>46238</v>
          </cell>
        </row>
        <row r="359">
          <cell r="A359" t="str">
            <v>CA-H2607-PD-429</v>
          </cell>
          <cell r="B359" t="str">
            <v xml:space="preserve">Hyperion </v>
          </cell>
          <cell r="C359">
            <v>11119506</v>
          </cell>
          <cell r="D359" t="str">
            <v>1911172-D-A</v>
          </cell>
          <cell r="E359" t="str">
            <v>HJ70JR352P09020 JP</v>
          </cell>
          <cell r="F359" t="str">
            <v>JAPAN</v>
          </cell>
          <cell r="G359">
            <v>5</v>
          </cell>
          <cell r="H359">
            <v>5</v>
          </cell>
          <cell r="I359">
            <v>0</v>
          </cell>
          <cell r="J359" t="str">
            <v>FINISH</v>
          </cell>
          <cell r="K359">
            <v>46230</v>
          </cell>
          <cell r="L359">
            <v>46238</v>
          </cell>
        </row>
        <row r="360">
          <cell r="A360" t="str">
            <v>CA-H2607-PD-430</v>
          </cell>
          <cell r="B360" t="str">
            <v xml:space="preserve">Hyperion </v>
          </cell>
          <cell r="C360">
            <v>11119512</v>
          </cell>
          <cell r="D360" t="str">
            <v>1911178-D-A</v>
          </cell>
          <cell r="E360" t="str">
            <v>HJ70JR452P10020 JP</v>
          </cell>
          <cell r="F360" t="str">
            <v>JAPAN</v>
          </cell>
          <cell r="G360">
            <v>3</v>
          </cell>
          <cell r="H360">
            <v>3</v>
          </cell>
          <cell r="I360">
            <v>0</v>
          </cell>
          <cell r="J360" t="str">
            <v>FINISH</v>
          </cell>
          <cell r="K360">
            <v>46230</v>
          </cell>
          <cell r="L360">
            <v>46238</v>
          </cell>
        </row>
        <row r="361">
          <cell r="A361" t="str">
            <v>CA-H2607-PD-431</v>
          </cell>
          <cell r="B361" t="str">
            <v>HyperionYubo changed</v>
          </cell>
          <cell r="C361">
            <v>11134274</v>
          </cell>
          <cell r="D361" t="str">
            <v>1911189-E-A</v>
          </cell>
          <cell r="E361" t="str">
            <v>HJ70PB400P10000 JP</v>
          </cell>
          <cell r="F361" t="str">
            <v>JAPAN</v>
          </cell>
          <cell r="G361">
            <v>1</v>
          </cell>
          <cell r="H361">
            <v>1</v>
          </cell>
          <cell r="I361">
            <v>0</v>
          </cell>
          <cell r="J361" t="str">
            <v>FINISH</v>
          </cell>
          <cell r="K361">
            <v>46230</v>
          </cell>
          <cell r="L361">
            <v>46238</v>
          </cell>
        </row>
        <row r="362">
          <cell r="A362" t="str">
            <v>CA-H2607-PD-432</v>
          </cell>
          <cell r="B362" t="str">
            <v xml:space="preserve">Hyperion </v>
          </cell>
          <cell r="C362">
            <v>11119527</v>
          </cell>
          <cell r="D362" t="str">
            <v>1911193-D-A</v>
          </cell>
          <cell r="E362" t="str">
            <v>HJ70RB070P10020 JP</v>
          </cell>
          <cell r="F362" t="str">
            <v>JAPAN</v>
          </cell>
          <cell r="G362">
            <v>1</v>
          </cell>
          <cell r="H362">
            <v>1</v>
          </cell>
          <cell r="I362">
            <v>0</v>
          </cell>
          <cell r="J362" t="str">
            <v>FINISH</v>
          </cell>
          <cell r="K362">
            <v>46230</v>
          </cell>
          <cell r="L362">
            <v>46238</v>
          </cell>
        </row>
        <row r="363">
          <cell r="A363" t="str">
            <v>CA-H2607-PD-433</v>
          </cell>
          <cell r="B363" t="str">
            <v xml:space="preserve">Hyperion </v>
          </cell>
          <cell r="C363">
            <v>11119528</v>
          </cell>
          <cell r="D363" t="str">
            <v>1911194-D-A</v>
          </cell>
          <cell r="E363" t="str">
            <v>HJ70RB072P10020 JP</v>
          </cell>
          <cell r="F363" t="str">
            <v>JAPAN</v>
          </cell>
          <cell r="G363">
            <v>3</v>
          </cell>
          <cell r="H363">
            <v>3</v>
          </cell>
          <cell r="I363">
            <v>0</v>
          </cell>
          <cell r="J363" t="str">
            <v>FINISH</v>
          </cell>
          <cell r="K363">
            <v>46230</v>
          </cell>
          <cell r="L363">
            <v>46238</v>
          </cell>
        </row>
        <row r="364">
          <cell r="A364" t="str">
            <v>CA-H2607-PD-434</v>
          </cell>
          <cell r="B364" t="str">
            <v xml:space="preserve">Hyperion </v>
          </cell>
          <cell r="C364">
            <v>11119530</v>
          </cell>
          <cell r="D364" t="str">
            <v>1911196-D-A</v>
          </cell>
          <cell r="E364" t="str">
            <v>HJ70RB102P10020 JP</v>
          </cell>
          <cell r="F364" t="str">
            <v>JAPAN</v>
          </cell>
          <cell r="G364">
            <v>3</v>
          </cell>
          <cell r="H364">
            <v>3</v>
          </cell>
          <cell r="I364">
            <v>0</v>
          </cell>
          <cell r="J364" t="str">
            <v>FINISH</v>
          </cell>
          <cell r="K364">
            <v>46230</v>
          </cell>
          <cell r="L364">
            <v>46238</v>
          </cell>
        </row>
        <row r="365">
          <cell r="A365" t="str">
            <v>CA-H2607-PD-435</v>
          </cell>
          <cell r="B365" t="str">
            <v xml:space="preserve">Hyperion </v>
          </cell>
          <cell r="C365">
            <v>11119551</v>
          </cell>
          <cell r="D365" t="str">
            <v>1911217-D-A</v>
          </cell>
          <cell r="E365" t="str">
            <v>HJ70SC350P10000 JP</v>
          </cell>
          <cell r="F365" t="str">
            <v>JAPAN</v>
          </cell>
          <cell r="G365">
            <v>2</v>
          </cell>
          <cell r="H365">
            <v>2</v>
          </cell>
          <cell r="I365">
            <v>0</v>
          </cell>
          <cell r="J365" t="str">
            <v>FINISH</v>
          </cell>
          <cell r="K365">
            <v>46230</v>
          </cell>
          <cell r="L365">
            <v>46238</v>
          </cell>
        </row>
        <row r="366">
          <cell r="A366" t="str">
            <v>CA-H2607-PD-436</v>
          </cell>
          <cell r="B366" t="str">
            <v xml:space="preserve">Hyperion </v>
          </cell>
          <cell r="C366">
            <v>11119553</v>
          </cell>
          <cell r="D366" t="str">
            <v>1911219-D-A</v>
          </cell>
          <cell r="E366" t="str">
            <v>HJ70SC400P10000 JP</v>
          </cell>
          <cell r="F366" t="str">
            <v>JAPAN</v>
          </cell>
          <cell r="G366">
            <v>3</v>
          </cell>
          <cell r="H366">
            <v>3</v>
          </cell>
          <cell r="I366">
            <v>0</v>
          </cell>
          <cell r="J366" t="str">
            <v>FINISH</v>
          </cell>
          <cell r="K366">
            <v>46230</v>
          </cell>
          <cell r="L366">
            <v>46238</v>
          </cell>
        </row>
        <row r="367">
          <cell r="A367" t="str">
            <v>CA-H2607-PD-437</v>
          </cell>
          <cell r="B367" t="str">
            <v xml:space="preserve">Hyperion </v>
          </cell>
          <cell r="C367">
            <v>11119554</v>
          </cell>
          <cell r="D367" t="str">
            <v>1911220-D-A</v>
          </cell>
          <cell r="E367" t="str">
            <v>HJ70SC402P10020 JP</v>
          </cell>
          <cell r="F367" t="str">
            <v>JAPAN</v>
          </cell>
          <cell r="G367">
            <v>6</v>
          </cell>
          <cell r="H367">
            <v>6</v>
          </cell>
          <cell r="I367">
            <v>0</v>
          </cell>
          <cell r="J367" t="str">
            <v>FINISH</v>
          </cell>
          <cell r="K367">
            <v>46230</v>
          </cell>
          <cell r="L367">
            <v>46238</v>
          </cell>
        </row>
        <row r="368">
          <cell r="A368" t="str">
            <v>CA-H2607-PD-438</v>
          </cell>
          <cell r="B368" t="str">
            <v>HyperionYubo changed</v>
          </cell>
          <cell r="C368">
            <v>11134290</v>
          </cell>
          <cell r="D368" t="str">
            <v>1911233-E-A</v>
          </cell>
          <cell r="E368" t="str">
            <v>HJ70SP452P10020 JP</v>
          </cell>
          <cell r="F368" t="str">
            <v>JAPAN</v>
          </cell>
          <cell r="G368">
            <v>4</v>
          </cell>
          <cell r="H368">
            <v>4</v>
          </cell>
          <cell r="I368">
            <v>0</v>
          </cell>
          <cell r="J368" t="str">
            <v>FINISH</v>
          </cell>
          <cell r="K368">
            <v>46230</v>
          </cell>
          <cell r="L368">
            <v>46238</v>
          </cell>
        </row>
        <row r="369">
          <cell r="A369" t="str">
            <v>CA-H2607-PD-439</v>
          </cell>
          <cell r="B369" t="str">
            <v xml:space="preserve">Hyperion </v>
          </cell>
          <cell r="C369">
            <v>11119578</v>
          </cell>
          <cell r="D369" t="str">
            <v>1911244-D-A</v>
          </cell>
          <cell r="E369" t="str">
            <v>HJ80AL100P10001 JP</v>
          </cell>
          <cell r="F369" t="str">
            <v>JAPAN</v>
          </cell>
          <cell r="G369">
            <v>4</v>
          </cell>
          <cell r="H369">
            <v>4</v>
          </cell>
          <cell r="I369">
            <v>0</v>
          </cell>
          <cell r="J369" t="str">
            <v>FINISH</v>
          </cell>
          <cell r="K369">
            <v>46230</v>
          </cell>
          <cell r="L369">
            <v>46238</v>
          </cell>
        </row>
        <row r="370">
          <cell r="A370" t="str">
            <v>CA-H2607-PD-440</v>
          </cell>
          <cell r="B370" t="str">
            <v xml:space="preserve">Hyperion </v>
          </cell>
          <cell r="C370">
            <v>11119583</v>
          </cell>
          <cell r="D370" t="str">
            <v>1911249-D-A</v>
          </cell>
          <cell r="E370" t="str">
            <v>HJ80AL152P09000 JP</v>
          </cell>
          <cell r="F370" t="str">
            <v>JAPAN</v>
          </cell>
          <cell r="G370">
            <v>1</v>
          </cell>
          <cell r="H370">
            <v>1</v>
          </cell>
          <cell r="I370">
            <v>0</v>
          </cell>
          <cell r="J370" t="str">
            <v>FINISH</v>
          </cell>
          <cell r="K370">
            <v>46230</v>
          </cell>
          <cell r="L370">
            <v>46238</v>
          </cell>
        </row>
        <row r="371">
          <cell r="A371" t="str">
            <v>CA-H2607-PD-441</v>
          </cell>
          <cell r="B371" t="str">
            <v xml:space="preserve">Hyperion </v>
          </cell>
          <cell r="C371">
            <v>11119667</v>
          </cell>
          <cell r="D371" t="str">
            <v>1911333-D-A</v>
          </cell>
          <cell r="E371" t="str">
            <v>HJ80AL152P10002 JP</v>
          </cell>
          <cell r="F371" t="str">
            <v>JAPAN</v>
          </cell>
          <cell r="G371">
            <v>3</v>
          </cell>
          <cell r="H371">
            <v>3</v>
          </cell>
          <cell r="I371">
            <v>0</v>
          </cell>
          <cell r="J371" t="str">
            <v>FINISH</v>
          </cell>
          <cell r="K371">
            <v>46230</v>
          </cell>
          <cell r="L371">
            <v>46238</v>
          </cell>
        </row>
        <row r="372">
          <cell r="A372" t="str">
            <v>CA-H2607-PD-442</v>
          </cell>
          <cell r="B372" t="str">
            <v xml:space="preserve">Hyperion </v>
          </cell>
          <cell r="C372">
            <v>11119669</v>
          </cell>
          <cell r="D372" t="str">
            <v>1911335-D-A</v>
          </cell>
          <cell r="E372" t="str">
            <v>HJ80AL200P10002 JP</v>
          </cell>
          <cell r="F372" t="str">
            <v>JAPAN</v>
          </cell>
          <cell r="G372">
            <v>1</v>
          </cell>
          <cell r="H372">
            <v>1</v>
          </cell>
          <cell r="I372">
            <v>0</v>
          </cell>
          <cell r="J372" t="str">
            <v>FINISH</v>
          </cell>
          <cell r="K372">
            <v>46230</v>
          </cell>
          <cell r="L372">
            <v>46238</v>
          </cell>
        </row>
        <row r="373">
          <cell r="A373" t="str">
            <v>CA-H2607-PD-443</v>
          </cell>
          <cell r="B373" t="str">
            <v xml:space="preserve">Hyperion </v>
          </cell>
          <cell r="C373">
            <v>11119588</v>
          </cell>
          <cell r="D373" t="str">
            <v>1911254-D-A</v>
          </cell>
          <cell r="E373" t="str">
            <v>HJ80CP152P10000 JP</v>
          </cell>
          <cell r="F373" t="str">
            <v>JAPAN</v>
          </cell>
          <cell r="G373">
            <v>2</v>
          </cell>
          <cell r="H373">
            <v>2</v>
          </cell>
          <cell r="I373">
            <v>0</v>
          </cell>
          <cell r="J373" t="str">
            <v>FINISH</v>
          </cell>
          <cell r="K373">
            <v>46230</v>
          </cell>
          <cell r="L373">
            <v>46238</v>
          </cell>
        </row>
        <row r="374">
          <cell r="A374" t="str">
            <v>CA-H2607-PD-444</v>
          </cell>
          <cell r="B374" t="str">
            <v xml:space="preserve">Hyperion </v>
          </cell>
          <cell r="C374">
            <v>11119598</v>
          </cell>
          <cell r="D374" t="str">
            <v>1911264-D-A</v>
          </cell>
          <cell r="E374" t="str">
            <v>HJ80HS012P10000 JP</v>
          </cell>
          <cell r="F374" t="str">
            <v>JAPAN</v>
          </cell>
          <cell r="G374">
            <v>3</v>
          </cell>
          <cell r="H374">
            <v>3</v>
          </cell>
          <cell r="I374">
            <v>0</v>
          </cell>
          <cell r="J374" t="str">
            <v>FINISH</v>
          </cell>
          <cell r="K374">
            <v>46230</v>
          </cell>
          <cell r="L374">
            <v>46238</v>
          </cell>
        </row>
        <row r="375">
          <cell r="A375" t="str">
            <v>CA-H2607-PD-445</v>
          </cell>
          <cell r="B375" t="str">
            <v xml:space="preserve">Hyperion </v>
          </cell>
          <cell r="C375">
            <v>11119601</v>
          </cell>
          <cell r="D375" t="str">
            <v>1911267-D-A</v>
          </cell>
          <cell r="E375" t="str">
            <v>HJ80IM000P10010 JP</v>
          </cell>
          <cell r="F375" t="str">
            <v>JAPAN</v>
          </cell>
          <cell r="G375">
            <v>6</v>
          </cell>
          <cell r="H375">
            <v>6</v>
          </cell>
          <cell r="I375">
            <v>0</v>
          </cell>
          <cell r="J375" t="str">
            <v>FINISH</v>
          </cell>
          <cell r="K375">
            <v>46230</v>
          </cell>
          <cell r="L375">
            <v>46238</v>
          </cell>
        </row>
        <row r="376">
          <cell r="A376" t="str">
            <v>CA-H2607-PD-446</v>
          </cell>
          <cell r="B376" t="str">
            <v xml:space="preserve">Hyperion </v>
          </cell>
          <cell r="C376">
            <v>11119610</v>
          </cell>
          <cell r="D376" t="str">
            <v>1911276-D-A</v>
          </cell>
          <cell r="E376" t="str">
            <v>HJ80JL400P10000 JP</v>
          </cell>
          <cell r="F376" t="str">
            <v>JAPAN</v>
          </cell>
          <cell r="G376">
            <v>1</v>
          </cell>
          <cell r="H376">
            <v>1</v>
          </cell>
          <cell r="I376">
            <v>0</v>
          </cell>
          <cell r="J376" t="str">
            <v>FINISH</v>
          </cell>
          <cell r="K376">
            <v>46230</v>
          </cell>
          <cell r="L376">
            <v>46238</v>
          </cell>
        </row>
        <row r="377">
          <cell r="A377" t="str">
            <v>CA-H2607-PD-447</v>
          </cell>
          <cell r="B377" t="str">
            <v xml:space="preserve">Hyperion </v>
          </cell>
          <cell r="C377">
            <v>11119613</v>
          </cell>
          <cell r="D377" t="str">
            <v>1911279-D-A</v>
          </cell>
          <cell r="E377" t="str">
            <v>HJ80JL402P09000 JP</v>
          </cell>
          <cell r="F377" t="str">
            <v>JAPAN</v>
          </cell>
          <cell r="G377">
            <v>3</v>
          </cell>
          <cell r="H377">
            <v>3</v>
          </cell>
          <cell r="I377">
            <v>0</v>
          </cell>
          <cell r="J377" t="str">
            <v>FINISH</v>
          </cell>
          <cell r="K377">
            <v>46230</v>
          </cell>
          <cell r="L377">
            <v>46238</v>
          </cell>
        </row>
        <row r="378">
          <cell r="A378" t="str">
            <v>CA-H2607-PD-448</v>
          </cell>
          <cell r="B378" t="str">
            <v xml:space="preserve">Hyperion </v>
          </cell>
          <cell r="C378">
            <v>11119618</v>
          </cell>
          <cell r="D378" t="str">
            <v>1911284-D-A</v>
          </cell>
          <cell r="E378" t="str">
            <v>HJ80JL452P10000 JP</v>
          </cell>
          <cell r="F378" t="str">
            <v>JAPAN</v>
          </cell>
          <cell r="G378">
            <v>2</v>
          </cell>
          <cell r="H378">
            <v>2</v>
          </cell>
          <cell r="I378">
            <v>0</v>
          </cell>
          <cell r="J378" t="str">
            <v>FINISH</v>
          </cell>
          <cell r="K378">
            <v>46230</v>
          </cell>
          <cell r="L378">
            <v>46238</v>
          </cell>
        </row>
        <row r="379">
          <cell r="A379" t="str">
            <v>CA-H2607-PD-449</v>
          </cell>
          <cell r="B379" t="str">
            <v xml:space="preserve">Hyperion </v>
          </cell>
          <cell r="C379">
            <v>11119625</v>
          </cell>
          <cell r="D379" t="str">
            <v>1911291-D-A</v>
          </cell>
          <cell r="E379" t="str">
            <v>HJ80JR350P10000 JP</v>
          </cell>
          <cell r="F379" t="str">
            <v>JAPAN</v>
          </cell>
          <cell r="G379">
            <v>2</v>
          </cell>
          <cell r="H379">
            <v>2</v>
          </cell>
          <cell r="I379">
            <v>0</v>
          </cell>
          <cell r="J379" t="str">
            <v>FINISH</v>
          </cell>
          <cell r="K379">
            <v>46230</v>
          </cell>
          <cell r="L379">
            <v>46238</v>
          </cell>
        </row>
        <row r="380">
          <cell r="A380" t="str">
            <v>CA-H2607-PD-450</v>
          </cell>
          <cell r="B380" t="str">
            <v xml:space="preserve">Hyperion </v>
          </cell>
          <cell r="C380">
            <v>11119628</v>
          </cell>
          <cell r="D380" t="str">
            <v>1911294-D-A</v>
          </cell>
          <cell r="E380" t="str">
            <v>HJ80JR352P09000 JP</v>
          </cell>
          <cell r="F380" t="str">
            <v>JAPAN</v>
          </cell>
          <cell r="G380">
            <v>2</v>
          </cell>
          <cell r="H380">
            <v>2</v>
          </cell>
          <cell r="I380">
            <v>0</v>
          </cell>
          <cell r="J380" t="str">
            <v>FINISH</v>
          </cell>
          <cell r="K380">
            <v>46230</v>
          </cell>
          <cell r="L380">
            <v>46238</v>
          </cell>
        </row>
        <row r="381">
          <cell r="A381" t="str">
            <v>CA-H2607-PD-451</v>
          </cell>
          <cell r="B381" t="str">
            <v>HyperionYubo changed</v>
          </cell>
          <cell r="C381">
            <v>11134295</v>
          </cell>
          <cell r="D381" t="str">
            <v>1911306-E-A</v>
          </cell>
          <cell r="E381" t="str">
            <v>HJ80PB302P09000 JP</v>
          </cell>
          <cell r="F381" t="str">
            <v>JAPAN</v>
          </cell>
          <cell r="G381">
            <v>1</v>
          </cell>
          <cell r="H381">
            <v>1</v>
          </cell>
          <cell r="I381">
            <v>0</v>
          </cell>
          <cell r="J381" t="str">
            <v>FINISH</v>
          </cell>
          <cell r="K381">
            <v>46230</v>
          </cell>
          <cell r="L381">
            <v>46238</v>
          </cell>
        </row>
        <row r="382">
          <cell r="A382" t="str">
            <v>CA-H2607-PD-452</v>
          </cell>
          <cell r="B382" t="str">
            <v>HyperionYubo changed</v>
          </cell>
          <cell r="C382">
            <v>11134294</v>
          </cell>
          <cell r="D382" t="str">
            <v>1911305-E-A</v>
          </cell>
          <cell r="E382" t="str">
            <v>HJ80PB302P10000 JP</v>
          </cell>
          <cell r="F382" t="str">
            <v>JAPAN</v>
          </cell>
          <cell r="G382">
            <v>2</v>
          </cell>
          <cell r="H382">
            <v>2</v>
          </cell>
          <cell r="I382">
            <v>0</v>
          </cell>
          <cell r="J382" t="str">
            <v>FINISH</v>
          </cell>
          <cell r="K382">
            <v>46230</v>
          </cell>
          <cell r="L382">
            <v>46238</v>
          </cell>
        </row>
        <row r="383">
          <cell r="A383" t="str">
            <v>CA-H2607-PD-453</v>
          </cell>
          <cell r="B383" t="str">
            <v xml:space="preserve">Hyperion </v>
          </cell>
          <cell r="C383">
            <v>11119652</v>
          </cell>
          <cell r="D383" t="str">
            <v>1911318-D-A</v>
          </cell>
          <cell r="E383" t="str">
            <v>HJ80RB102P10000 JP</v>
          </cell>
          <cell r="F383" t="str">
            <v>JAPAN</v>
          </cell>
          <cell r="G383">
            <v>3</v>
          </cell>
          <cell r="H383">
            <v>3</v>
          </cell>
          <cell r="I383">
            <v>0</v>
          </cell>
          <cell r="J383" t="str">
            <v>FINISH</v>
          </cell>
          <cell r="K383">
            <v>46230</v>
          </cell>
          <cell r="L383">
            <v>46238</v>
          </cell>
        </row>
        <row r="384">
          <cell r="A384" t="str">
            <v>CA-H2607-PD-454</v>
          </cell>
          <cell r="B384" t="str">
            <v xml:space="preserve">Hyperion </v>
          </cell>
          <cell r="C384">
            <v>11118595</v>
          </cell>
          <cell r="D384" t="str">
            <v>1911339-D-A</v>
          </cell>
          <cell r="E384" t="str">
            <v>HJ80SC350P10000 JP</v>
          </cell>
          <cell r="F384" t="str">
            <v>JAPAN</v>
          </cell>
          <cell r="G384">
            <v>2</v>
          </cell>
          <cell r="H384">
            <v>2</v>
          </cell>
          <cell r="I384">
            <v>0</v>
          </cell>
          <cell r="J384" t="str">
            <v>FINISH</v>
          </cell>
          <cell r="K384">
            <v>46230</v>
          </cell>
          <cell r="L384">
            <v>46238</v>
          </cell>
        </row>
        <row r="385">
          <cell r="A385" t="str">
            <v>CA-H2607-PD-455</v>
          </cell>
          <cell r="B385" t="str">
            <v xml:space="preserve">Hyperion </v>
          </cell>
          <cell r="C385">
            <v>11118596</v>
          </cell>
          <cell r="D385" t="str">
            <v>1911340-D-A</v>
          </cell>
          <cell r="E385" t="str">
            <v>HJ80SC352P10000 JP</v>
          </cell>
          <cell r="F385" t="str">
            <v>JAPAN</v>
          </cell>
          <cell r="G385">
            <v>6</v>
          </cell>
          <cell r="H385">
            <v>6</v>
          </cell>
          <cell r="I385">
            <v>0</v>
          </cell>
          <cell r="J385" t="str">
            <v>FINISH</v>
          </cell>
          <cell r="K385">
            <v>46230</v>
          </cell>
          <cell r="L385">
            <v>46238</v>
          </cell>
        </row>
        <row r="386">
          <cell r="A386" t="str">
            <v>CA-H2607-PD-456</v>
          </cell>
          <cell r="B386" t="str">
            <v>HyperionYubo changed</v>
          </cell>
          <cell r="C386">
            <v>11134304</v>
          </cell>
          <cell r="D386" t="str">
            <v>1911343-E-A</v>
          </cell>
          <cell r="E386" t="str">
            <v>HJ80SP300P10000 JP</v>
          </cell>
          <cell r="F386" t="str">
            <v>JAPAN</v>
          </cell>
          <cell r="G386">
            <v>1</v>
          </cell>
          <cell r="H386">
            <v>1</v>
          </cell>
          <cell r="I386">
            <v>0</v>
          </cell>
          <cell r="J386" t="str">
            <v>FINISH</v>
          </cell>
          <cell r="K386">
            <v>46230</v>
          </cell>
          <cell r="L386">
            <v>46238</v>
          </cell>
        </row>
        <row r="387">
          <cell r="A387" t="str">
            <v>CA-H2607-PD-457</v>
          </cell>
          <cell r="B387" t="str">
            <v>HyperionYubo changed</v>
          </cell>
          <cell r="C387">
            <v>11134312</v>
          </cell>
          <cell r="D387" t="str">
            <v>1911351-E-A</v>
          </cell>
          <cell r="E387" t="str">
            <v>HJ80SP372P09000 JP</v>
          </cell>
          <cell r="F387" t="str">
            <v>JAPAN</v>
          </cell>
          <cell r="G387">
            <v>4</v>
          </cell>
          <cell r="H387">
            <v>4</v>
          </cell>
          <cell r="I387">
            <v>0</v>
          </cell>
          <cell r="J387" t="str">
            <v>FINISH</v>
          </cell>
          <cell r="K387">
            <v>46230</v>
          </cell>
          <cell r="L387">
            <v>46238</v>
          </cell>
        </row>
        <row r="388">
          <cell r="A388" t="str">
            <v>CA-H2607-PD-458</v>
          </cell>
          <cell r="B388" t="str">
            <v xml:space="preserve">Masters parkway </v>
          </cell>
          <cell r="C388">
            <v>11125143</v>
          </cell>
          <cell r="D388" t="str">
            <v>1941012-E-A</v>
          </cell>
          <cell r="E388" t="str">
            <v>MST45A-18PWSSFR JP</v>
          </cell>
          <cell r="F388" t="str">
            <v>JAPAN</v>
          </cell>
          <cell r="G388">
            <v>2</v>
          </cell>
          <cell r="H388">
            <v>2</v>
          </cell>
          <cell r="I388">
            <v>0</v>
          </cell>
          <cell r="J388" t="str">
            <v>FINISH</v>
          </cell>
          <cell r="K388">
            <v>46230</v>
          </cell>
          <cell r="L388">
            <v>46238</v>
          </cell>
        </row>
        <row r="389">
          <cell r="A389" t="str">
            <v>CA-H2607-PD-459</v>
          </cell>
          <cell r="B389" t="str">
            <v xml:space="preserve">Tellus </v>
          </cell>
          <cell r="C389">
            <v>11132004</v>
          </cell>
          <cell r="D389" t="str">
            <v>1941066-E-A</v>
          </cell>
          <cell r="E389" t="str">
            <v>TLS105-16AYR JP</v>
          </cell>
          <cell r="F389" t="str">
            <v>J-sales</v>
          </cell>
          <cell r="G389">
            <v>2</v>
          </cell>
          <cell r="H389">
            <v>2</v>
          </cell>
          <cell r="I389">
            <v>0</v>
          </cell>
          <cell r="J389" t="str">
            <v>FINISH</v>
          </cell>
          <cell r="K389">
            <v>46230</v>
          </cell>
          <cell r="L389">
            <v>46238</v>
          </cell>
        </row>
        <row r="390">
          <cell r="A390" t="str">
            <v>CA-H2607-PD-460</v>
          </cell>
          <cell r="B390" t="str">
            <v xml:space="preserve">Tellus </v>
          </cell>
          <cell r="C390">
            <v>11132001</v>
          </cell>
          <cell r="D390" t="str">
            <v>1941063-D-A</v>
          </cell>
          <cell r="E390" t="str">
            <v>TLS105-16YR JP</v>
          </cell>
          <cell r="F390" t="str">
            <v>J-sales</v>
          </cell>
          <cell r="G390">
            <v>2</v>
          </cell>
          <cell r="H390">
            <v>2</v>
          </cell>
          <cell r="I390">
            <v>0</v>
          </cell>
          <cell r="J390" t="str">
            <v>FINISH</v>
          </cell>
          <cell r="K390">
            <v>46230</v>
          </cell>
          <cell r="L390">
            <v>46238</v>
          </cell>
        </row>
        <row r="391">
          <cell r="A391" t="str">
            <v>CA-H2607-PD-461</v>
          </cell>
          <cell r="B391" t="str">
            <v xml:space="preserve">Tellus </v>
          </cell>
          <cell r="C391">
            <v>11134365</v>
          </cell>
          <cell r="D391" t="str">
            <v>1941061-G-A</v>
          </cell>
          <cell r="E391" t="str">
            <v>TLS125-16SSRR JP</v>
          </cell>
          <cell r="F391" t="str">
            <v>J-sales</v>
          </cell>
          <cell r="G391">
            <v>1</v>
          </cell>
          <cell r="H391">
            <v>1</v>
          </cell>
          <cell r="I391">
            <v>0</v>
          </cell>
          <cell r="J391" t="str">
            <v>FINISH</v>
          </cell>
          <cell r="K391">
            <v>46230</v>
          </cell>
          <cell r="L391">
            <v>46238</v>
          </cell>
        </row>
        <row r="392">
          <cell r="A392" t="str">
            <v>CA-H2607-PD-462</v>
          </cell>
          <cell r="B392" t="str">
            <v xml:space="preserve">Tellus </v>
          </cell>
          <cell r="C392">
            <v>11134362</v>
          </cell>
          <cell r="D392" t="str">
            <v>1941058-F-A</v>
          </cell>
          <cell r="E392" t="str">
            <v>TLS150-16SR JP</v>
          </cell>
          <cell r="F392" t="str">
            <v>J-sales</v>
          </cell>
          <cell r="G392">
            <v>3</v>
          </cell>
          <cell r="H392">
            <v>3</v>
          </cell>
          <cell r="I392">
            <v>0</v>
          </cell>
          <cell r="J392" t="str">
            <v>FINISH</v>
          </cell>
          <cell r="K392">
            <v>46230</v>
          </cell>
          <cell r="L392">
            <v>46238</v>
          </cell>
        </row>
        <row r="393">
          <cell r="A393" t="str">
            <v>CA-H2607-PD-463</v>
          </cell>
          <cell r="B393" t="str">
            <v xml:space="preserve">Hyperion </v>
          </cell>
          <cell r="C393">
            <v>11135580</v>
          </cell>
          <cell r="D393" t="str">
            <v>2211931-E-A</v>
          </cell>
          <cell r="E393" t="str">
            <v>HW70AR200P10000 KR</v>
          </cell>
          <cell r="F393" t="str">
            <v>KOREA</v>
          </cell>
          <cell r="G393">
            <v>2</v>
          </cell>
          <cell r="H393">
            <v>2</v>
          </cell>
          <cell r="I393">
            <v>0</v>
          </cell>
          <cell r="J393" t="str">
            <v>FINISH</v>
          </cell>
          <cell r="K393">
            <v>46230</v>
          </cell>
          <cell r="L393">
            <v>46238</v>
          </cell>
        </row>
        <row r="394">
          <cell r="A394" t="str">
            <v>CA-H2607-PD-464</v>
          </cell>
          <cell r="B394" t="str">
            <v xml:space="preserve">Hyperion </v>
          </cell>
          <cell r="C394">
            <v>11135551</v>
          </cell>
          <cell r="D394" t="str">
            <v>2211902-E-A</v>
          </cell>
          <cell r="E394" t="str">
            <v>HW70AL070P10002 KR</v>
          </cell>
          <cell r="F394" t="str">
            <v>KOREA</v>
          </cell>
          <cell r="G394">
            <v>3</v>
          </cell>
          <cell r="H394">
            <v>3</v>
          </cell>
          <cell r="I394">
            <v>0</v>
          </cell>
          <cell r="J394" t="str">
            <v>FINISH</v>
          </cell>
          <cell r="K394">
            <v>46230</v>
          </cell>
          <cell r="L394">
            <v>46238</v>
          </cell>
        </row>
        <row r="395">
          <cell r="A395" t="str">
            <v>CA-H2605-PD-334</v>
          </cell>
          <cell r="B395" t="str">
            <v xml:space="preserve">Caravel </v>
          </cell>
          <cell r="C395">
            <v>11122087</v>
          </cell>
          <cell r="D395" t="str">
            <v>2341003-B-A</v>
          </cell>
          <cell r="E395" t="str">
            <v>CRV135-19P CE3</v>
          </cell>
          <cell r="F395" t="str">
            <v>Oversea</v>
          </cell>
          <cell r="G395">
            <v>15</v>
          </cell>
          <cell r="H395">
            <v>15</v>
          </cell>
          <cell r="I395">
            <v>0</v>
          </cell>
          <cell r="J395" t="str">
            <v>FINISH</v>
          </cell>
          <cell r="K395">
            <v>46233</v>
          </cell>
          <cell r="L395">
            <v>46239</v>
          </cell>
        </row>
        <row r="396">
          <cell r="A396" t="str">
            <v>CA-H2605-PD-335</v>
          </cell>
          <cell r="B396" t="str">
            <v xml:space="preserve">Caravel </v>
          </cell>
          <cell r="C396">
            <v>11122088</v>
          </cell>
          <cell r="D396" t="str">
            <v>2341004-B-A</v>
          </cell>
          <cell r="E396" t="str">
            <v>CRV150-19P CE3</v>
          </cell>
          <cell r="F396" t="str">
            <v>Oversea</v>
          </cell>
          <cell r="G396">
            <v>43</v>
          </cell>
          <cell r="H396">
            <v>43</v>
          </cell>
          <cell r="I396">
            <v>0</v>
          </cell>
          <cell r="J396" t="str">
            <v>FINISH</v>
          </cell>
          <cell r="K396">
            <v>46233</v>
          </cell>
          <cell r="L396">
            <v>46239</v>
          </cell>
        </row>
        <row r="397">
          <cell r="A397" t="str">
            <v>CA-H2607-PD-342</v>
          </cell>
          <cell r="B397" t="str">
            <v xml:space="preserve">Crosswalk </v>
          </cell>
          <cell r="C397">
            <v>11112469</v>
          </cell>
          <cell r="D397" t="str">
            <v>PSC18090A-D-A</v>
          </cell>
          <cell r="E397" t="str">
            <v>PSC18090A US</v>
          </cell>
          <cell r="F397" t="str">
            <v>USA</v>
          </cell>
          <cell r="G397">
            <v>5</v>
          </cell>
          <cell r="H397">
            <v>5</v>
          </cell>
          <cell r="I397">
            <v>0</v>
          </cell>
          <cell r="J397" t="str">
            <v>FINISH</v>
          </cell>
          <cell r="K397">
            <v>46231</v>
          </cell>
          <cell r="L397">
            <v>46239</v>
          </cell>
        </row>
        <row r="398">
          <cell r="A398" t="str">
            <v>CA-H2607-PD-343</v>
          </cell>
          <cell r="B398" t="str">
            <v xml:space="preserve">Crosswalk </v>
          </cell>
          <cell r="C398">
            <v>11112479</v>
          </cell>
          <cell r="D398" t="str">
            <v>PSC35090A-E-A</v>
          </cell>
          <cell r="E398" t="str">
            <v>PSC35090A US</v>
          </cell>
          <cell r="F398" t="str">
            <v>USA</v>
          </cell>
          <cell r="G398">
            <v>50</v>
          </cell>
          <cell r="H398">
            <v>50</v>
          </cell>
          <cell r="I398">
            <v>0</v>
          </cell>
          <cell r="J398" t="str">
            <v>FINISH</v>
          </cell>
          <cell r="K398">
            <v>46231</v>
          </cell>
          <cell r="L398">
            <v>46239</v>
          </cell>
        </row>
        <row r="399">
          <cell r="A399" t="str">
            <v>CA-H2607-PD-344</v>
          </cell>
          <cell r="B399" t="str">
            <v xml:space="preserve">Crosswalk </v>
          </cell>
          <cell r="C399">
            <v>11112464</v>
          </cell>
          <cell r="D399" t="str">
            <v>PSC14090S-D-A</v>
          </cell>
          <cell r="E399" t="str">
            <v>PSC14090S US</v>
          </cell>
          <cell r="F399" t="str">
            <v>USA</v>
          </cell>
          <cell r="G399">
            <v>20</v>
          </cell>
          <cell r="H399">
            <v>20</v>
          </cell>
          <cell r="I399">
            <v>0</v>
          </cell>
          <cell r="J399" t="str">
            <v>FINISH</v>
          </cell>
          <cell r="K399">
            <v>46231</v>
          </cell>
          <cell r="L399">
            <v>46239</v>
          </cell>
        </row>
        <row r="400">
          <cell r="A400" t="str">
            <v>CA-H2607-PD-345</v>
          </cell>
          <cell r="B400" t="str">
            <v xml:space="preserve">Crosswalk </v>
          </cell>
          <cell r="C400">
            <v>11112524</v>
          </cell>
          <cell r="D400" t="str">
            <v>PSC18150S-E-A</v>
          </cell>
          <cell r="E400" t="str">
            <v>PSC18150S US</v>
          </cell>
          <cell r="F400" t="str">
            <v>USA</v>
          </cell>
          <cell r="G400">
            <v>125</v>
          </cell>
          <cell r="H400">
            <v>125</v>
          </cell>
          <cell r="I400">
            <v>0</v>
          </cell>
          <cell r="J400" t="str">
            <v>FINISH</v>
          </cell>
          <cell r="K400">
            <v>46231</v>
          </cell>
          <cell r="L400">
            <v>46239</v>
          </cell>
        </row>
        <row r="401">
          <cell r="A401" t="str">
            <v>CA-H2607-PD-346</v>
          </cell>
          <cell r="B401" t="str">
            <v xml:space="preserve">Crosswalk </v>
          </cell>
          <cell r="C401">
            <v>11112484</v>
          </cell>
          <cell r="D401" t="str">
            <v>PSC35090S-E-A</v>
          </cell>
          <cell r="E401" t="str">
            <v>PSC35090S US</v>
          </cell>
          <cell r="F401" t="str">
            <v>USA</v>
          </cell>
          <cell r="G401">
            <v>50</v>
          </cell>
          <cell r="H401">
            <v>50</v>
          </cell>
          <cell r="I401">
            <v>0</v>
          </cell>
          <cell r="J401" t="str">
            <v>FINISH</v>
          </cell>
          <cell r="K401">
            <v>46231</v>
          </cell>
          <cell r="L401">
            <v>46239</v>
          </cell>
        </row>
        <row r="402">
          <cell r="A402" t="str">
            <v>CA-H2607-PD-347</v>
          </cell>
          <cell r="B402" t="str">
            <v xml:space="preserve">Crosswalk </v>
          </cell>
          <cell r="C402">
            <v>11112482</v>
          </cell>
          <cell r="D402" t="str">
            <v>PSC35150A-E-A</v>
          </cell>
          <cell r="E402" t="str">
            <v>PSC35150A US</v>
          </cell>
          <cell r="F402" t="str">
            <v>USA</v>
          </cell>
          <cell r="G402">
            <v>40</v>
          </cell>
          <cell r="H402">
            <v>40</v>
          </cell>
          <cell r="I402">
            <v>0</v>
          </cell>
          <cell r="J402" t="str">
            <v>FINISH</v>
          </cell>
          <cell r="K402">
            <v>46231</v>
          </cell>
          <cell r="L402">
            <v>46239</v>
          </cell>
        </row>
        <row r="403">
          <cell r="A403" t="str">
            <v>CA-H2607-PD-348</v>
          </cell>
          <cell r="B403" t="str">
            <v xml:space="preserve">Crosswalk </v>
          </cell>
          <cell r="C403">
            <v>11112481</v>
          </cell>
          <cell r="D403" t="str">
            <v>PSC35135A-E-A</v>
          </cell>
          <cell r="E403" t="str">
            <v>PSC35135A US</v>
          </cell>
          <cell r="F403" t="str">
            <v>USA</v>
          </cell>
          <cell r="G403">
            <v>20</v>
          </cell>
          <cell r="H403">
            <v>20</v>
          </cell>
          <cell r="I403">
            <v>0</v>
          </cell>
          <cell r="J403" t="str">
            <v>FINISH</v>
          </cell>
          <cell r="K403">
            <v>46231</v>
          </cell>
          <cell r="L403">
            <v>46239</v>
          </cell>
        </row>
        <row r="404">
          <cell r="A404" t="str">
            <v>CA-H2607-PD-349</v>
          </cell>
          <cell r="B404" t="str">
            <v xml:space="preserve">Crosswalk </v>
          </cell>
          <cell r="C404">
            <v>11112518</v>
          </cell>
          <cell r="D404" t="str">
            <v>PSC18135A-E-A</v>
          </cell>
          <cell r="E404" t="str">
            <v>PSC18135A US</v>
          </cell>
          <cell r="F404" t="str">
            <v>USA</v>
          </cell>
          <cell r="G404">
            <v>50</v>
          </cell>
          <cell r="H404">
            <v>50</v>
          </cell>
          <cell r="I404">
            <v>0</v>
          </cell>
          <cell r="J404" t="str">
            <v>FINISH</v>
          </cell>
          <cell r="K404">
            <v>46231</v>
          </cell>
          <cell r="L404">
            <v>46239</v>
          </cell>
        </row>
        <row r="405">
          <cell r="A405" t="str">
            <v>CA-H2607-PD-350</v>
          </cell>
          <cell r="B405" t="str">
            <v xml:space="preserve">Crosswalk </v>
          </cell>
          <cell r="C405">
            <v>11112474</v>
          </cell>
          <cell r="D405" t="str">
            <v>PSC18090S-D-A</v>
          </cell>
          <cell r="E405" t="str">
            <v>PSC18090S US</v>
          </cell>
          <cell r="F405" t="str">
            <v>USA</v>
          </cell>
          <cell r="G405">
            <v>10</v>
          </cell>
          <cell r="H405">
            <v>10</v>
          </cell>
          <cell r="I405">
            <v>0</v>
          </cell>
          <cell r="J405" t="str">
            <v>FINISH</v>
          </cell>
          <cell r="K405">
            <v>46231</v>
          </cell>
          <cell r="L405">
            <v>46239</v>
          </cell>
        </row>
        <row r="406">
          <cell r="A406" t="str">
            <v>CA-H2607-PD-351</v>
          </cell>
          <cell r="B406" t="str">
            <v xml:space="preserve">Crosswalk </v>
          </cell>
          <cell r="C406">
            <v>11112519</v>
          </cell>
          <cell r="D406" t="str">
            <v>PSC18150A-E-A</v>
          </cell>
          <cell r="E406" t="str">
            <v>PSC18150A US</v>
          </cell>
          <cell r="F406" t="str">
            <v>USA</v>
          </cell>
          <cell r="G406">
            <v>130</v>
          </cell>
          <cell r="H406">
            <v>130</v>
          </cell>
          <cell r="I406">
            <v>0</v>
          </cell>
          <cell r="J406" t="str">
            <v>FINISH</v>
          </cell>
          <cell r="K406">
            <v>46231</v>
          </cell>
          <cell r="L406">
            <v>46239</v>
          </cell>
        </row>
        <row r="407">
          <cell r="A407" t="str">
            <v>CA-H2607-PD-352</v>
          </cell>
          <cell r="B407" t="str">
            <v xml:space="preserve">Crosswalk </v>
          </cell>
          <cell r="C407">
            <v>11112514</v>
          </cell>
          <cell r="D407" t="str">
            <v>PSC14150S-E-A</v>
          </cell>
          <cell r="E407" t="str">
            <v>PSC14150S US</v>
          </cell>
          <cell r="F407" t="str">
            <v>USA</v>
          </cell>
          <cell r="G407">
            <v>50</v>
          </cell>
          <cell r="H407">
            <v>50</v>
          </cell>
          <cell r="I407">
            <v>0</v>
          </cell>
          <cell r="J407" t="str">
            <v>FINISH</v>
          </cell>
          <cell r="K407">
            <v>46231</v>
          </cell>
          <cell r="L407">
            <v>46239</v>
          </cell>
        </row>
        <row r="408">
          <cell r="A408" t="str">
            <v>CA-H2607-PD-353</v>
          </cell>
          <cell r="B408" t="str">
            <v>Crosswalk</v>
          </cell>
          <cell r="C408">
            <v>11112462</v>
          </cell>
          <cell r="D408" t="str">
            <v>PSC14150A-D-A</v>
          </cell>
          <cell r="E408" t="str">
            <v>PSC14150A US</v>
          </cell>
          <cell r="F408" t="str">
            <v>USA</v>
          </cell>
          <cell r="G408">
            <v>40</v>
          </cell>
          <cell r="H408">
            <v>40</v>
          </cell>
          <cell r="I408">
            <v>0</v>
          </cell>
          <cell r="J408" t="str">
            <v>FINISH</v>
          </cell>
          <cell r="K408">
            <v>46231</v>
          </cell>
          <cell r="L408">
            <v>46239</v>
          </cell>
        </row>
        <row r="409">
          <cell r="A409" t="str">
            <v>CA-H2607-PD-354</v>
          </cell>
          <cell r="B409" t="str">
            <v>Corsair-pro</v>
          </cell>
          <cell r="C409">
            <v>11121772</v>
          </cell>
          <cell r="D409" t="str">
            <v>1941096-B-A</v>
          </cell>
          <cell r="E409" t="str">
            <v>CSR135-26P US</v>
          </cell>
          <cell r="F409" t="str">
            <v>USA</v>
          </cell>
          <cell r="G409">
            <v>1111</v>
          </cell>
          <cell r="H409">
            <v>1111</v>
          </cell>
          <cell r="I409">
            <v>0</v>
          </cell>
          <cell r="J409" t="str">
            <v>FINISH</v>
          </cell>
          <cell r="K409">
            <v>46231</v>
          </cell>
          <cell r="L409">
            <v>46239</v>
          </cell>
        </row>
        <row r="410">
          <cell r="A410" t="str">
            <v>CA-H2607-PD-355</v>
          </cell>
          <cell r="B410" t="str">
            <v>Caravel</v>
          </cell>
          <cell r="C410">
            <v>11134402</v>
          </cell>
          <cell r="D410" t="str">
            <v>1941103-C-A</v>
          </cell>
          <cell r="E410" t="str">
            <v>CRV150-19P US2</v>
          </cell>
          <cell r="F410" t="str">
            <v>USA</v>
          </cell>
          <cell r="G410">
            <v>200</v>
          </cell>
          <cell r="H410">
            <v>200</v>
          </cell>
          <cell r="I410">
            <v>0</v>
          </cell>
          <cell r="J410" t="str">
            <v>FINISH</v>
          </cell>
          <cell r="K410">
            <v>46231</v>
          </cell>
          <cell r="L410">
            <v>46239</v>
          </cell>
        </row>
        <row r="411">
          <cell r="A411" t="str">
            <v>CA-H2607-PD-356</v>
          </cell>
          <cell r="B411" t="str">
            <v>Caravel</v>
          </cell>
          <cell r="C411">
            <v>11134401</v>
          </cell>
          <cell r="D411" t="str">
            <v>1941102-C-A</v>
          </cell>
          <cell r="E411" t="str">
            <v>CRV135-19P US2</v>
          </cell>
          <cell r="F411" t="str">
            <v>USA</v>
          </cell>
          <cell r="G411">
            <v>856</v>
          </cell>
          <cell r="H411">
            <v>856</v>
          </cell>
          <cell r="I411">
            <v>0</v>
          </cell>
          <cell r="J411" t="str">
            <v>FINISH</v>
          </cell>
          <cell r="K411">
            <v>46231</v>
          </cell>
          <cell r="L411">
            <v>46239</v>
          </cell>
        </row>
        <row r="412">
          <cell r="A412" t="str">
            <v>CA-H2607-PD-357</v>
          </cell>
          <cell r="B412" t="str">
            <v>Caravel</v>
          </cell>
          <cell r="C412">
            <v>11122087</v>
          </cell>
          <cell r="D412" t="str">
            <v>2341003-B-A</v>
          </cell>
          <cell r="E412" t="str">
            <v>CRV135-19P CE3</v>
          </cell>
          <cell r="F412" t="str">
            <v>Oversea</v>
          </cell>
          <cell r="G412">
            <v>416</v>
          </cell>
          <cell r="H412">
            <v>416</v>
          </cell>
          <cell r="I412">
            <v>0</v>
          </cell>
          <cell r="J412" t="str">
            <v>FINISH</v>
          </cell>
          <cell r="K412">
            <v>46231</v>
          </cell>
          <cell r="L412">
            <v>46239</v>
          </cell>
        </row>
        <row r="413">
          <cell r="A413" t="str">
            <v>CA-H2607-PD-358</v>
          </cell>
          <cell r="B413" t="str">
            <v>Caravel</v>
          </cell>
          <cell r="C413">
            <v>11122088</v>
          </cell>
          <cell r="D413" t="str">
            <v>2341004-B-A</v>
          </cell>
          <cell r="E413" t="str">
            <v>CRV150-19P CE3</v>
          </cell>
          <cell r="F413" t="str">
            <v>Oversea</v>
          </cell>
          <cell r="G413">
            <v>377</v>
          </cell>
          <cell r="H413">
            <v>377</v>
          </cell>
          <cell r="I413">
            <v>0</v>
          </cell>
          <cell r="J413" t="str">
            <v>FINISH</v>
          </cell>
          <cell r="K413">
            <v>46231</v>
          </cell>
          <cell r="L413">
            <v>46239</v>
          </cell>
        </row>
        <row r="414">
          <cell r="A414" t="str">
            <v>CA-H2607-PD-465</v>
          </cell>
          <cell r="B414" t="str">
            <v xml:space="preserve">Crosswalk </v>
          </cell>
          <cell r="C414">
            <v>11112478</v>
          </cell>
          <cell r="D414" t="str">
            <v>PSC18170S-D-A</v>
          </cell>
          <cell r="E414" t="str">
            <v>PSC18170S US</v>
          </cell>
          <cell r="F414" t="str">
            <v>USA</v>
          </cell>
          <cell r="G414">
            <v>5</v>
          </cell>
          <cell r="H414">
            <v>5</v>
          </cell>
          <cell r="I414">
            <v>0</v>
          </cell>
          <cell r="J414" t="str">
            <v>FINISH</v>
          </cell>
          <cell r="K414">
            <v>46231</v>
          </cell>
          <cell r="L414">
            <v>46239</v>
          </cell>
        </row>
        <row r="415">
          <cell r="A415" t="str">
            <v>CA-H2607-PD-466</v>
          </cell>
          <cell r="B415" t="str">
            <v xml:space="preserve">Crosswalk </v>
          </cell>
          <cell r="C415">
            <v>11112475</v>
          </cell>
          <cell r="D415" t="str">
            <v>PSC18110S-D-A</v>
          </cell>
          <cell r="E415" t="str">
            <v>PSC18110S US</v>
          </cell>
          <cell r="F415" t="str">
            <v>USA</v>
          </cell>
          <cell r="G415">
            <v>10</v>
          </cell>
          <cell r="H415">
            <v>10</v>
          </cell>
          <cell r="I415">
            <v>0</v>
          </cell>
          <cell r="J415" t="str">
            <v>FINISH</v>
          </cell>
          <cell r="K415">
            <v>46231</v>
          </cell>
          <cell r="L415">
            <v>46239</v>
          </cell>
        </row>
        <row r="416">
          <cell r="A416" t="str">
            <v>CA-H2607-PD-467</v>
          </cell>
          <cell r="B416" t="str">
            <v xml:space="preserve">Caravel </v>
          </cell>
          <cell r="C416">
            <v>11134402</v>
          </cell>
          <cell r="D416" t="str">
            <v>1941103-C-A</v>
          </cell>
          <cell r="E416" t="str">
            <v>CRV150-19P US2</v>
          </cell>
          <cell r="F416" t="str">
            <v>USA</v>
          </cell>
          <cell r="G416">
            <v>48</v>
          </cell>
          <cell r="H416">
            <v>48</v>
          </cell>
          <cell r="I416">
            <v>0</v>
          </cell>
          <cell r="J416" t="str">
            <v>FINISH</v>
          </cell>
          <cell r="K416">
            <v>46231</v>
          </cell>
          <cell r="L416">
            <v>46239</v>
          </cell>
        </row>
        <row r="417">
          <cell r="A417" t="str">
            <v>CA-H2607-PD-468</v>
          </cell>
          <cell r="B417" t="str">
            <v xml:space="preserve">Caravel </v>
          </cell>
          <cell r="C417">
            <v>11134401</v>
          </cell>
          <cell r="D417" t="str">
            <v>1941102-C-A</v>
          </cell>
          <cell r="E417" t="str">
            <v>CRV135-19P US2</v>
          </cell>
          <cell r="F417" t="str">
            <v>USA</v>
          </cell>
          <cell r="G417">
            <v>23</v>
          </cell>
          <cell r="H417">
            <v>23</v>
          </cell>
          <cell r="I417">
            <v>0</v>
          </cell>
          <cell r="J417" t="str">
            <v>FINISH</v>
          </cell>
          <cell r="K417">
            <v>46231</v>
          </cell>
          <cell r="L417">
            <v>46239</v>
          </cell>
        </row>
        <row r="418">
          <cell r="A418" t="str">
            <v>CA-H2607-PD-469</v>
          </cell>
          <cell r="B418" t="str">
            <v xml:space="preserve">Corsair-pro </v>
          </cell>
          <cell r="C418">
            <v>11121772</v>
          </cell>
          <cell r="D418" t="str">
            <v>1941096-B-A</v>
          </cell>
          <cell r="E418" t="str">
            <v>CSR135-26P US</v>
          </cell>
          <cell r="F418" t="str">
            <v>USA</v>
          </cell>
          <cell r="G418">
            <v>176</v>
          </cell>
          <cell r="H418">
            <v>176</v>
          </cell>
          <cell r="I418">
            <v>0</v>
          </cell>
          <cell r="J418" t="str">
            <v>FINISH</v>
          </cell>
          <cell r="K418">
            <v>46231</v>
          </cell>
          <cell r="L418">
            <v>46239</v>
          </cell>
        </row>
        <row r="419">
          <cell r="A419" t="str">
            <v>CA-H2607-PD-471</v>
          </cell>
          <cell r="B419" t="str">
            <v xml:space="preserve">Caravel </v>
          </cell>
          <cell r="C419">
            <v>11122087</v>
          </cell>
          <cell r="D419" t="str">
            <v>2341003-B-A</v>
          </cell>
          <cell r="E419" t="str">
            <v>CRV135-19P CE3</v>
          </cell>
          <cell r="F419" t="str">
            <v>Oversea</v>
          </cell>
          <cell r="G419">
            <v>136</v>
          </cell>
          <cell r="H419">
            <v>136</v>
          </cell>
          <cell r="I419">
            <v>0</v>
          </cell>
          <cell r="J419" t="str">
            <v>FINISH</v>
          </cell>
          <cell r="K419">
            <v>46231</v>
          </cell>
          <cell r="L419">
            <v>46239</v>
          </cell>
        </row>
        <row r="420">
          <cell r="A420" t="str">
            <v>CA-H2607-PD-363</v>
          </cell>
          <cell r="B420" t="str">
            <v xml:space="preserve">Hyperion </v>
          </cell>
          <cell r="C420">
            <v>11130674</v>
          </cell>
          <cell r="D420" t="str">
            <v>2211146-C-A</v>
          </cell>
          <cell r="E420" t="str">
            <v>HW70JL350P10000 NOCE</v>
          </cell>
          <cell r="F420" t="str">
            <v>Oversea</v>
          </cell>
          <cell r="G420">
            <v>5</v>
          </cell>
          <cell r="H420">
            <v>5</v>
          </cell>
          <cell r="I420">
            <v>0</v>
          </cell>
          <cell r="J420" t="str">
            <v>FINISH</v>
          </cell>
          <cell r="K420">
            <v>46231</v>
          </cell>
          <cell r="L420">
            <v>46239</v>
          </cell>
        </row>
        <row r="421">
          <cell r="A421" t="str">
            <v>CA-H2607-PD-364</v>
          </cell>
          <cell r="B421" t="str">
            <v xml:space="preserve">Hyperion </v>
          </cell>
          <cell r="C421">
            <v>11130547</v>
          </cell>
          <cell r="D421" t="str">
            <v>2211019-C-A</v>
          </cell>
          <cell r="E421" t="str">
            <v>HW60JL400P10000 NOCE</v>
          </cell>
          <cell r="F421" t="str">
            <v>Oversea</v>
          </cell>
          <cell r="G421">
            <v>10</v>
          </cell>
          <cell r="H421">
            <v>10</v>
          </cell>
          <cell r="I421">
            <v>0</v>
          </cell>
          <cell r="J421" t="str">
            <v>FINISH</v>
          </cell>
          <cell r="K421">
            <v>46231</v>
          </cell>
          <cell r="L421">
            <v>46239</v>
          </cell>
        </row>
        <row r="422">
          <cell r="A422" t="str">
            <v>CA-H2607-PD-365</v>
          </cell>
          <cell r="B422" t="str">
            <v xml:space="preserve">Hyperion </v>
          </cell>
          <cell r="C422">
            <v>11130530</v>
          </cell>
          <cell r="D422" t="str">
            <v>2211002-C-A</v>
          </cell>
          <cell r="E422" t="str">
            <v>HW60JR400P10000 NOCE</v>
          </cell>
          <cell r="F422" t="str">
            <v>Oversea</v>
          </cell>
          <cell r="G422">
            <v>7</v>
          </cell>
          <cell r="H422">
            <v>7</v>
          </cell>
          <cell r="I422">
            <v>0</v>
          </cell>
          <cell r="J422" t="str">
            <v>FINISH</v>
          </cell>
          <cell r="K422">
            <v>46231</v>
          </cell>
          <cell r="L422">
            <v>46239</v>
          </cell>
        </row>
        <row r="423">
          <cell r="A423" t="str">
            <v>CA-H2607-PD-366</v>
          </cell>
          <cell r="B423" t="str">
            <v xml:space="preserve">Hyperion </v>
          </cell>
          <cell r="C423">
            <v>11130658</v>
          </cell>
          <cell r="D423" t="str">
            <v>2211130-C-A</v>
          </cell>
          <cell r="E423" t="str">
            <v>HW70JR400P10000 NOCE</v>
          </cell>
          <cell r="F423" t="str">
            <v>Oversea</v>
          </cell>
          <cell r="G423">
            <v>3</v>
          </cell>
          <cell r="H423">
            <v>3</v>
          </cell>
          <cell r="I423">
            <v>0</v>
          </cell>
          <cell r="J423" t="str">
            <v>FINISH</v>
          </cell>
          <cell r="K423">
            <v>46231</v>
          </cell>
          <cell r="L423">
            <v>46239</v>
          </cell>
        </row>
        <row r="424">
          <cell r="A424" t="str">
            <v>CA-H2607-PD-367</v>
          </cell>
          <cell r="B424" t="str">
            <v>HyperionYubo changed</v>
          </cell>
          <cell r="C424">
            <v>11132727</v>
          </cell>
          <cell r="D424" t="str">
            <v>2211158-D-A</v>
          </cell>
          <cell r="E424" t="str">
            <v>HW70PB350P10000 NOCE</v>
          </cell>
          <cell r="F424" t="str">
            <v>Oversea</v>
          </cell>
          <cell r="G424">
            <v>2</v>
          </cell>
          <cell r="H424">
            <v>2</v>
          </cell>
          <cell r="I424">
            <v>0</v>
          </cell>
          <cell r="J424" t="str">
            <v>FINISH</v>
          </cell>
          <cell r="K424">
            <v>46231</v>
          </cell>
          <cell r="L424">
            <v>46239</v>
          </cell>
        </row>
        <row r="425">
          <cell r="A425" t="str">
            <v>CA-H2607-PD-368</v>
          </cell>
          <cell r="B425" t="str">
            <v xml:space="preserve">Hyperion </v>
          </cell>
          <cell r="C425">
            <v>11130584</v>
          </cell>
          <cell r="D425" t="str">
            <v>2211056-C-A</v>
          </cell>
          <cell r="E425" t="str">
            <v>HW60MP020P10000 NOCE</v>
          </cell>
          <cell r="F425" t="str">
            <v>Oversea</v>
          </cell>
          <cell r="G425">
            <v>3</v>
          </cell>
          <cell r="H425">
            <v>3</v>
          </cell>
          <cell r="I425">
            <v>0</v>
          </cell>
          <cell r="J425" t="str">
            <v>FINISH</v>
          </cell>
          <cell r="K425">
            <v>46231</v>
          </cell>
          <cell r="L425">
            <v>46239</v>
          </cell>
        </row>
        <row r="426">
          <cell r="A426" t="str">
            <v>CA-H2607-PD-369</v>
          </cell>
          <cell r="B426" t="str">
            <v xml:space="preserve">Hyperion </v>
          </cell>
          <cell r="C426">
            <v>11130536</v>
          </cell>
          <cell r="D426" t="str">
            <v>2211008-C-A</v>
          </cell>
          <cell r="E426" t="str">
            <v>HW60AR200P10000 NOCE</v>
          </cell>
          <cell r="F426" t="str">
            <v>Oversea</v>
          </cell>
          <cell r="G426">
            <v>2</v>
          </cell>
          <cell r="H426">
            <v>2</v>
          </cell>
          <cell r="I426">
            <v>0</v>
          </cell>
          <cell r="J426" t="str">
            <v>FINISH</v>
          </cell>
          <cell r="K426">
            <v>46231</v>
          </cell>
          <cell r="L426">
            <v>46239</v>
          </cell>
        </row>
        <row r="427">
          <cell r="A427" t="str">
            <v>CA-H2607-PD-370</v>
          </cell>
          <cell r="B427" t="str">
            <v xml:space="preserve">Hyperion </v>
          </cell>
          <cell r="C427">
            <v>11130617</v>
          </cell>
          <cell r="D427" t="str">
            <v>2211089-C-A</v>
          </cell>
          <cell r="E427" t="str">
            <v>HW60MP012P10000 NOCE</v>
          </cell>
          <cell r="F427" t="str">
            <v>Oversea</v>
          </cell>
          <cell r="G427">
            <v>4</v>
          </cell>
          <cell r="H427">
            <v>4</v>
          </cell>
          <cell r="I427">
            <v>0</v>
          </cell>
          <cell r="J427" t="str">
            <v>FINISH</v>
          </cell>
          <cell r="K427">
            <v>46231</v>
          </cell>
          <cell r="L427">
            <v>46239</v>
          </cell>
        </row>
        <row r="428">
          <cell r="A428" t="str">
            <v>CA-H2607-PD-475</v>
          </cell>
          <cell r="B428" t="str">
            <v xml:space="preserve">Caravel </v>
          </cell>
          <cell r="C428">
            <v>11135419</v>
          </cell>
          <cell r="D428" t="str">
            <v>2141057-D-A</v>
          </cell>
          <cell r="E428" t="str">
            <v>CRV150-19P KR</v>
          </cell>
          <cell r="F428" t="str">
            <v>KOREA</v>
          </cell>
          <cell r="G428">
            <v>3</v>
          </cell>
          <cell r="H428">
            <v>3</v>
          </cell>
          <cell r="I428">
            <v>0</v>
          </cell>
          <cell r="J428" t="str">
            <v>FINISH</v>
          </cell>
          <cell r="K428">
            <v>46239</v>
          </cell>
          <cell r="L428">
            <v>46251</v>
          </cell>
        </row>
        <row r="429">
          <cell r="A429" t="str">
            <v>CA-H2607-PD-490</v>
          </cell>
          <cell r="B429" t="str">
            <v xml:space="preserve">Caravel </v>
          </cell>
          <cell r="C429">
            <v>11131256</v>
          </cell>
          <cell r="D429" t="str">
            <v>1841033-E-A</v>
          </cell>
          <cell r="E429" t="str">
            <v>CRV135-19M JP</v>
          </cell>
          <cell r="F429" t="str">
            <v>JAPAN</v>
          </cell>
          <cell r="G429">
            <v>477</v>
          </cell>
          <cell r="H429">
            <v>477</v>
          </cell>
          <cell r="I429">
            <v>0</v>
          </cell>
          <cell r="J429" t="str">
            <v>FINISH</v>
          </cell>
          <cell r="K429">
            <v>46239</v>
          </cell>
          <cell r="L429">
            <v>46251</v>
          </cell>
        </row>
        <row r="430">
          <cell r="A430" t="str">
            <v>CA-H2607-PD-491</v>
          </cell>
          <cell r="B430" t="str">
            <v xml:space="preserve">Caravel </v>
          </cell>
          <cell r="C430">
            <v>11131257</v>
          </cell>
          <cell r="D430" t="str">
            <v>1841034-D-A</v>
          </cell>
          <cell r="E430" t="str">
            <v>CRV150-19M JP</v>
          </cell>
          <cell r="F430" t="str">
            <v>JAPAN</v>
          </cell>
          <cell r="G430">
            <v>38</v>
          </cell>
          <cell r="H430">
            <v>38</v>
          </cell>
          <cell r="I430">
            <v>0</v>
          </cell>
          <cell r="J430" t="str">
            <v>FINISH</v>
          </cell>
          <cell r="K430">
            <v>46239</v>
          </cell>
          <cell r="L430">
            <v>46251</v>
          </cell>
        </row>
        <row r="431">
          <cell r="A431" t="str">
            <v>CA-H2607-PD-492</v>
          </cell>
          <cell r="B431" t="str">
            <v xml:space="preserve">Corsair-pro </v>
          </cell>
          <cell r="C431">
            <v>11131258</v>
          </cell>
          <cell r="D431" t="str">
            <v>1941001-D-A</v>
          </cell>
          <cell r="E431" t="str">
            <v>CSR135-26PR JP</v>
          </cell>
          <cell r="F431" t="str">
            <v>JAPAN</v>
          </cell>
          <cell r="G431">
            <v>86</v>
          </cell>
          <cell r="H431">
            <v>86</v>
          </cell>
          <cell r="I431">
            <v>0</v>
          </cell>
          <cell r="J431" t="str">
            <v>FINISH</v>
          </cell>
          <cell r="K431">
            <v>46239</v>
          </cell>
          <cell r="L431">
            <v>46251</v>
          </cell>
        </row>
        <row r="432">
          <cell r="A432" t="str">
            <v>CA-H2607-PD-493</v>
          </cell>
          <cell r="B432" t="str">
            <v xml:space="preserve">Corsair-pro </v>
          </cell>
          <cell r="C432">
            <v>11131259</v>
          </cell>
          <cell r="D432" t="str">
            <v>1941002-D-A</v>
          </cell>
          <cell r="E432" t="str">
            <v>CSR150-26PR JP</v>
          </cell>
          <cell r="F432" t="str">
            <v>JAPAN</v>
          </cell>
          <cell r="G432">
            <v>37</v>
          </cell>
          <cell r="H432">
            <v>37</v>
          </cell>
          <cell r="I432">
            <v>0</v>
          </cell>
          <cell r="J432" t="str">
            <v>FINISH</v>
          </cell>
          <cell r="K432">
            <v>46239</v>
          </cell>
          <cell r="L432">
            <v>46251</v>
          </cell>
        </row>
        <row r="433">
          <cell r="A433" t="str">
            <v>CA-H2607-PD-494</v>
          </cell>
          <cell r="B433" t="str">
            <v xml:space="preserve">Corsair-PV </v>
          </cell>
          <cell r="C433">
            <v>11127835</v>
          </cell>
          <cell r="D433" t="str">
            <v>1941079-D-A</v>
          </cell>
          <cell r="E433" t="str">
            <v>CSRP135-26NR JP</v>
          </cell>
          <cell r="F433" t="str">
            <v>JAPAN</v>
          </cell>
          <cell r="G433">
            <v>71</v>
          </cell>
          <cell r="H433">
            <v>71</v>
          </cell>
          <cell r="I433">
            <v>0</v>
          </cell>
          <cell r="J433" t="str">
            <v>FINISH</v>
          </cell>
          <cell r="K433">
            <v>46239</v>
          </cell>
          <cell r="L433">
            <v>46251</v>
          </cell>
        </row>
        <row r="434">
          <cell r="A434" t="str">
            <v>CA-H2607-PD-495</v>
          </cell>
          <cell r="B434" t="str">
            <v xml:space="preserve">Hyperion </v>
          </cell>
          <cell r="C434">
            <v>11119333</v>
          </cell>
          <cell r="D434" t="str">
            <v>1911001-D-A</v>
          </cell>
          <cell r="E434" t="str">
            <v>HJ60AL070P10020 JP</v>
          </cell>
          <cell r="F434" t="str">
            <v>JAPAN</v>
          </cell>
          <cell r="G434">
            <v>11</v>
          </cell>
          <cell r="H434">
            <v>11</v>
          </cell>
          <cell r="I434">
            <v>0</v>
          </cell>
          <cell r="J434" t="str">
            <v>FINISH</v>
          </cell>
          <cell r="K434">
            <v>46239</v>
          </cell>
          <cell r="L434">
            <v>46251</v>
          </cell>
        </row>
        <row r="435">
          <cell r="A435" t="str">
            <v>CA-H2607-PD-496</v>
          </cell>
          <cell r="B435" t="str">
            <v xml:space="preserve">Hyperion </v>
          </cell>
          <cell r="C435">
            <v>11119335</v>
          </cell>
          <cell r="D435" t="str">
            <v>1911003-D-A</v>
          </cell>
          <cell r="E435" t="str">
            <v>HJ60AL070P10021 JP</v>
          </cell>
          <cell r="F435" t="str">
            <v>JAPAN</v>
          </cell>
          <cell r="G435">
            <v>4</v>
          </cell>
          <cell r="H435">
            <v>4</v>
          </cell>
          <cell r="I435">
            <v>0</v>
          </cell>
          <cell r="J435" t="str">
            <v>FINISH</v>
          </cell>
          <cell r="K435">
            <v>46239</v>
          </cell>
          <cell r="L435">
            <v>46251</v>
          </cell>
        </row>
        <row r="436">
          <cell r="A436" t="str">
            <v>CA-H2607-PD-497</v>
          </cell>
          <cell r="B436" t="str">
            <v xml:space="preserve">Hyperion </v>
          </cell>
          <cell r="C436">
            <v>11119336</v>
          </cell>
          <cell r="D436" t="str">
            <v>1911004-D-A</v>
          </cell>
          <cell r="E436" t="str">
            <v>HJ60AL072P10021 JP</v>
          </cell>
          <cell r="F436" t="str">
            <v>JAPAN</v>
          </cell>
          <cell r="G436">
            <v>9</v>
          </cell>
          <cell r="H436">
            <v>9</v>
          </cell>
          <cell r="I436">
            <v>0</v>
          </cell>
          <cell r="J436" t="str">
            <v>FINISH</v>
          </cell>
          <cell r="K436">
            <v>46239</v>
          </cell>
          <cell r="L436">
            <v>46251</v>
          </cell>
        </row>
        <row r="437">
          <cell r="A437" t="str">
            <v>CA-H2607-PD-498</v>
          </cell>
          <cell r="B437" t="str">
            <v xml:space="preserve">Hyperion </v>
          </cell>
          <cell r="C437">
            <v>11119340</v>
          </cell>
          <cell r="D437" t="str">
            <v>1911008-D-A</v>
          </cell>
          <cell r="E437" t="str">
            <v>HJ60AL102P09020 JP</v>
          </cell>
          <cell r="F437" t="str">
            <v>JAPAN</v>
          </cell>
          <cell r="G437">
            <v>2</v>
          </cell>
          <cell r="H437">
            <v>2</v>
          </cell>
          <cell r="I437">
            <v>0</v>
          </cell>
          <cell r="J437" t="str">
            <v>FINISH</v>
          </cell>
          <cell r="K437">
            <v>46239</v>
          </cell>
          <cell r="L437">
            <v>46251</v>
          </cell>
        </row>
        <row r="438">
          <cell r="A438" t="str">
            <v>CA-H2607-PD-499</v>
          </cell>
          <cell r="B438" t="str">
            <v xml:space="preserve">Hyperion </v>
          </cell>
          <cell r="C438">
            <v>11119339</v>
          </cell>
          <cell r="D438" t="str">
            <v>1911007-D-A</v>
          </cell>
          <cell r="E438" t="str">
            <v>HJ60AL102P10020 JP</v>
          </cell>
          <cell r="F438" t="str">
            <v>JAPAN</v>
          </cell>
          <cell r="G438">
            <v>16</v>
          </cell>
          <cell r="H438">
            <v>16</v>
          </cell>
          <cell r="I438">
            <v>0</v>
          </cell>
          <cell r="J438" t="str">
            <v>FINISH</v>
          </cell>
          <cell r="K438">
            <v>46239</v>
          </cell>
          <cell r="L438">
            <v>46251</v>
          </cell>
        </row>
        <row r="439">
          <cell r="A439" t="str">
            <v>CA-H2607-PD-500</v>
          </cell>
          <cell r="B439" t="str">
            <v xml:space="preserve">Hyperion </v>
          </cell>
          <cell r="C439">
            <v>11119342</v>
          </cell>
          <cell r="D439" t="str">
            <v>1911010-D-A</v>
          </cell>
          <cell r="E439" t="str">
            <v>HJ60AL102P10021 JP</v>
          </cell>
          <cell r="F439" t="str">
            <v>JAPAN</v>
          </cell>
          <cell r="G439">
            <v>6</v>
          </cell>
          <cell r="H439">
            <v>6</v>
          </cell>
          <cell r="I439">
            <v>0</v>
          </cell>
          <cell r="J439" t="str">
            <v>FINISH</v>
          </cell>
          <cell r="K439">
            <v>46239</v>
          </cell>
          <cell r="L439">
            <v>46251</v>
          </cell>
        </row>
        <row r="440">
          <cell r="A440" t="str">
            <v>CA-H2607-PD-501</v>
          </cell>
          <cell r="B440" t="str">
            <v>Hyperion</v>
          </cell>
          <cell r="C440">
            <v>11119345</v>
          </cell>
          <cell r="D440" t="str">
            <v>1911013-D-A</v>
          </cell>
          <cell r="E440" t="str">
            <v>HJ60AL150P10021 JP</v>
          </cell>
          <cell r="F440" t="str">
            <v>JAPAN</v>
          </cell>
          <cell r="G440">
            <v>2</v>
          </cell>
          <cell r="H440">
            <v>2</v>
          </cell>
          <cell r="I440">
            <v>0</v>
          </cell>
          <cell r="J440" t="str">
            <v>FINISH</v>
          </cell>
          <cell r="K440">
            <v>46239</v>
          </cell>
          <cell r="L440">
            <v>46251</v>
          </cell>
        </row>
        <row r="441">
          <cell r="A441" t="str">
            <v>CA-H2607-PD-502</v>
          </cell>
          <cell r="B441" t="str">
            <v>Hyperion</v>
          </cell>
          <cell r="C441">
            <v>11119417</v>
          </cell>
          <cell r="D441" t="str">
            <v>1911085-D-A</v>
          </cell>
          <cell r="E441" t="str">
            <v>HJ60AL150P10022 JP</v>
          </cell>
          <cell r="F441" t="str">
            <v>JAPAN</v>
          </cell>
          <cell r="G441">
            <v>5</v>
          </cell>
          <cell r="H441">
            <v>5</v>
          </cell>
          <cell r="I441">
            <v>0</v>
          </cell>
          <cell r="J441" t="str">
            <v>FINISH</v>
          </cell>
          <cell r="K441">
            <v>46239</v>
          </cell>
          <cell r="L441">
            <v>46251</v>
          </cell>
        </row>
        <row r="442">
          <cell r="A442" t="str">
            <v>CA-H2607-PD-503</v>
          </cell>
          <cell r="B442" t="str">
            <v>Hyperion</v>
          </cell>
          <cell r="C442">
            <v>11119344</v>
          </cell>
          <cell r="D442" t="str">
            <v>1911012-D-A</v>
          </cell>
          <cell r="E442" t="str">
            <v>HJ60AL152P10020 JP</v>
          </cell>
          <cell r="F442" t="str">
            <v>JAPAN</v>
          </cell>
          <cell r="G442">
            <v>35</v>
          </cell>
          <cell r="H442">
            <v>35</v>
          </cell>
          <cell r="I442">
            <v>0</v>
          </cell>
          <cell r="J442" t="str">
            <v>FINISH</v>
          </cell>
          <cell r="K442">
            <v>46239</v>
          </cell>
          <cell r="L442">
            <v>46251</v>
          </cell>
        </row>
        <row r="443">
          <cell r="A443" t="str">
            <v>CA-H2607-PD-504</v>
          </cell>
          <cell r="B443" t="str">
            <v>Hyperion</v>
          </cell>
          <cell r="C443">
            <v>11119346</v>
          </cell>
          <cell r="D443" t="str">
            <v>1911014-D-A</v>
          </cell>
          <cell r="E443" t="str">
            <v>HJ60AL152P10021 JP</v>
          </cell>
          <cell r="F443" t="str">
            <v>JAPAN</v>
          </cell>
          <cell r="G443">
            <v>1</v>
          </cell>
          <cell r="H443">
            <v>1</v>
          </cell>
          <cell r="I443">
            <v>0</v>
          </cell>
          <cell r="J443" t="str">
            <v>FINISH</v>
          </cell>
          <cell r="K443">
            <v>46239</v>
          </cell>
          <cell r="L443">
            <v>46251</v>
          </cell>
        </row>
        <row r="444">
          <cell r="A444" t="str">
            <v>CA-H2607-PD-505</v>
          </cell>
          <cell r="B444" t="str">
            <v>Hyperion</v>
          </cell>
          <cell r="C444">
            <v>11119418</v>
          </cell>
          <cell r="D444" t="str">
            <v>1911086-D-A</v>
          </cell>
          <cell r="E444" t="str">
            <v>HJ60AL152P10022 JP</v>
          </cell>
          <cell r="F444" t="str">
            <v>JAPAN</v>
          </cell>
          <cell r="G444">
            <v>4</v>
          </cell>
          <cell r="H444">
            <v>4</v>
          </cell>
          <cell r="I444">
            <v>0</v>
          </cell>
          <cell r="J444" t="str">
            <v>FINISH</v>
          </cell>
          <cell r="K444">
            <v>46239</v>
          </cell>
          <cell r="L444">
            <v>46251</v>
          </cell>
        </row>
        <row r="445">
          <cell r="A445" t="str">
            <v>CA-H2607-PD-506</v>
          </cell>
          <cell r="B445" t="str">
            <v>Hyperion</v>
          </cell>
          <cell r="C445">
            <v>11119347</v>
          </cell>
          <cell r="D445" t="str">
            <v>1911015-D-A</v>
          </cell>
          <cell r="E445" t="str">
            <v>HJ60AL200P10020 JP</v>
          </cell>
          <cell r="F445" t="str">
            <v>JAPAN</v>
          </cell>
          <cell r="G445">
            <v>9</v>
          </cell>
          <cell r="H445">
            <v>9</v>
          </cell>
          <cell r="I445">
            <v>0</v>
          </cell>
          <cell r="J445" t="str">
            <v>FINISH</v>
          </cell>
          <cell r="K445">
            <v>46239</v>
          </cell>
          <cell r="L445">
            <v>46251</v>
          </cell>
        </row>
        <row r="446">
          <cell r="A446" t="str">
            <v>CA-H2607-PD-507</v>
          </cell>
          <cell r="B446" t="str">
            <v xml:space="preserve">Hyperion </v>
          </cell>
          <cell r="C446">
            <v>11119420</v>
          </cell>
          <cell r="D446" t="str">
            <v>1911088-D-A</v>
          </cell>
          <cell r="E446" t="str">
            <v>HJ60AL202P10022 JP</v>
          </cell>
          <cell r="F446" t="str">
            <v>JAPAN</v>
          </cell>
          <cell r="G446">
            <v>7</v>
          </cell>
          <cell r="H446">
            <v>7</v>
          </cell>
          <cell r="I446">
            <v>0</v>
          </cell>
          <cell r="J446" t="str">
            <v>FINISH</v>
          </cell>
          <cell r="K446">
            <v>46239</v>
          </cell>
          <cell r="L446">
            <v>46251</v>
          </cell>
        </row>
        <row r="447">
          <cell r="A447" t="str">
            <v>CA-H2607-PD-508</v>
          </cell>
          <cell r="B447" t="str">
            <v xml:space="preserve">Hyperion </v>
          </cell>
          <cell r="C447">
            <v>11119350</v>
          </cell>
          <cell r="D447" t="str">
            <v>1911018-D-A</v>
          </cell>
          <cell r="E447" t="str">
            <v>HJ60CP150P10020 JP</v>
          </cell>
          <cell r="F447" t="str">
            <v>JAPAN</v>
          </cell>
          <cell r="G447">
            <v>1</v>
          </cell>
          <cell r="H447">
            <v>1</v>
          </cell>
          <cell r="I447">
            <v>0</v>
          </cell>
          <cell r="J447" t="str">
            <v>FINISH</v>
          </cell>
          <cell r="K447">
            <v>46239</v>
          </cell>
          <cell r="L447">
            <v>46251</v>
          </cell>
        </row>
        <row r="448">
          <cell r="A448" t="str">
            <v>CA-H2607-PD-509</v>
          </cell>
          <cell r="B448" t="str">
            <v xml:space="preserve">Hyperion </v>
          </cell>
          <cell r="C448">
            <v>11119363</v>
          </cell>
          <cell r="D448" t="str">
            <v>1911031-D-A</v>
          </cell>
          <cell r="E448" t="str">
            <v>HJ60IL350P10000 JP</v>
          </cell>
          <cell r="F448" t="str">
            <v>JAPAN</v>
          </cell>
          <cell r="G448">
            <v>17</v>
          </cell>
          <cell r="H448">
            <v>17</v>
          </cell>
          <cell r="I448">
            <v>0</v>
          </cell>
          <cell r="J448" t="str">
            <v>FINISH</v>
          </cell>
          <cell r="K448">
            <v>46239</v>
          </cell>
          <cell r="L448">
            <v>46251</v>
          </cell>
        </row>
        <row r="449">
          <cell r="A449" t="str">
            <v>CA-H2607-PD-510</v>
          </cell>
          <cell r="B449" t="str">
            <v xml:space="preserve">Hyperion </v>
          </cell>
          <cell r="C449">
            <v>11119364</v>
          </cell>
          <cell r="D449" t="str">
            <v>1911032-D-A</v>
          </cell>
          <cell r="E449" t="str">
            <v>HJ60IL352P10020 JP</v>
          </cell>
          <cell r="F449" t="str">
            <v>JAPAN</v>
          </cell>
          <cell r="G449">
            <v>9</v>
          </cell>
          <cell r="H449">
            <v>9</v>
          </cell>
          <cell r="I449">
            <v>0</v>
          </cell>
          <cell r="J449" t="str">
            <v>FINISH</v>
          </cell>
          <cell r="K449">
            <v>46239</v>
          </cell>
          <cell r="L449">
            <v>46251</v>
          </cell>
        </row>
        <row r="450">
          <cell r="A450" t="str">
            <v>CA-H2607-PD-511</v>
          </cell>
          <cell r="B450" t="str">
            <v xml:space="preserve">Hyperion </v>
          </cell>
          <cell r="C450">
            <v>11119365</v>
          </cell>
          <cell r="D450" t="str">
            <v>1911033-D-A</v>
          </cell>
          <cell r="E450" t="str">
            <v>HJ60IL400P10000 JP</v>
          </cell>
          <cell r="F450" t="str">
            <v>JAPAN</v>
          </cell>
          <cell r="G450">
            <v>20</v>
          </cell>
          <cell r="H450">
            <v>20</v>
          </cell>
          <cell r="I450">
            <v>0</v>
          </cell>
          <cell r="J450" t="str">
            <v>FINISH</v>
          </cell>
          <cell r="K450">
            <v>46239</v>
          </cell>
          <cell r="L450">
            <v>46251</v>
          </cell>
        </row>
        <row r="451">
          <cell r="A451" t="str">
            <v>CA-H2607-PD-512</v>
          </cell>
          <cell r="B451" t="str">
            <v xml:space="preserve">Hyperion </v>
          </cell>
          <cell r="C451">
            <v>11119366</v>
          </cell>
          <cell r="D451" t="str">
            <v>1911034-D-A</v>
          </cell>
          <cell r="E451" t="str">
            <v>HJ60IL402P10020 JP</v>
          </cell>
          <cell r="F451" t="str">
            <v>JAPAN</v>
          </cell>
          <cell r="G451">
            <v>2</v>
          </cell>
          <cell r="H451">
            <v>2</v>
          </cell>
          <cell r="I451">
            <v>0</v>
          </cell>
          <cell r="J451" t="str">
            <v>FINISH</v>
          </cell>
          <cell r="K451">
            <v>46239</v>
          </cell>
          <cell r="L451">
            <v>46251</v>
          </cell>
        </row>
        <row r="452">
          <cell r="A452" t="str">
            <v>CA-H2607-PD-513</v>
          </cell>
          <cell r="B452" t="str">
            <v xml:space="preserve">Hyperion </v>
          </cell>
          <cell r="C452">
            <v>11119369</v>
          </cell>
          <cell r="D452" t="str">
            <v>1911037-D-A</v>
          </cell>
          <cell r="E452" t="str">
            <v>HJ60IM002P10030 JP</v>
          </cell>
          <cell r="F452" t="str">
            <v>JAPAN</v>
          </cell>
          <cell r="G452">
            <v>1</v>
          </cell>
          <cell r="H452">
            <v>1</v>
          </cell>
          <cell r="I452">
            <v>0</v>
          </cell>
          <cell r="J452" t="str">
            <v>FINISH</v>
          </cell>
          <cell r="K452">
            <v>46239</v>
          </cell>
          <cell r="L452">
            <v>46251</v>
          </cell>
        </row>
        <row r="453">
          <cell r="A453" t="str">
            <v>CA-H2607-PD-514</v>
          </cell>
          <cell r="B453" t="str">
            <v xml:space="preserve">Hyperion </v>
          </cell>
          <cell r="C453">
            <v>11119374</v>
          </cell>
          <cell r="D453" t="str">
            <v>1911042-D-A</v>
          </cell>
          <cell r="E453" t="str">
            <v>HJ60JL352P10021 JP</v>
          </cell>
          <cell r="F453" t="str">
            <v>JAPAN</v>
          </cell>
          <cell r="G453">
            <v>9</v>
          </cell>
          <cell r="H453">
            <v>9</v>
          </cell>
          <cell r="I453">
            <v>0</v>
          </cell>
          <cell r="J453" t="str">
            <v>FINISH</v>
          </cell>
          <cell r="K453">
            <v>46239</v>
          </cell>
          <cell r="L453">
            <v>46251</v>
          </cell>
        </row>
        <row r="454">
          <cell r="A454" t="str">
            <v>CA-H2607-PD-515</v>
          </cell>
          <cell r="B454" t="str">
            <v xml:space="preserve">Hyperion </v>
          </cell>
          <cell r="C454">
            <v>11119376</v>
          </cell>
          <cell r="D454" t="str">
            <v>1911044-D-A</v>
          </cell>
          <cell r="E454" t="str">
            <v>HJ60JL400P09000 JP</v>
          </cell>
          <cell r="F454" t="str">
            <v>JAPAN</v>
          </cell>
          <cell r="G454">
            <v>2</v>
          </cell>
          <cell r="H454">
            <v>2</v>
          </cell>
          <cell r="I454">
            <v>0</v>
          </cell>
          <cell r="J454" t="str">
            <v>FINISH</v>
          </cell>
          <cell r="K454">
            <v>46239</v>
          </cell>
          <cell r="L454">
            <v>46251</v>
          </cell>
        </row>
        <row r="455">
          <cell r="A455" t="str">
            <v>CA-H2607-PD-516</v>
          </cell>
          <cell r="B455" t="str">
            <v xml:space="preserve">Hyperion </v>
          </cell>
          <cell r="C455">
            <v>11119378</v>
          </cell>
          <cell r="D455" t="str">
            <v>1911046-D-A</v>
          </cell>
          <cell r="E455" t="str">
            <v>HJ60JL402P09020 JP</v>
          </cell>
          <cell r="F455" t="str">
            <v>JAPAN</v>
          </cell>
          <cell r="G455">
            <v>2</v>
          </cell>
          <cell r="H455">
            <v>2</v>
          </cell>
          <cell r="I455">
            <v>0</v>
          </cell>
          <cell r="J455" t="str">
            <v>FINISH</v>
          </cell>
          <cell r="K455">
            <v>46239</v>
          </cell>
          <cell r="L455">
            <v>46251</v>
          </cell>
        </row>
        <row r="456">
          <cell r="A456" t="str">
            <v>CA-H2607-PD-517</v>
          </cell>
          <cell r="B456" t="str">
            <v xml:space="preserve">Hyperion </v>
          </cell>
          <cell r="C456">
            <v>11119383</v>
          </cell>
          <cell r="D456" t="str">
            <v>1911051-D-A</v>
          </cell>
          <cell r="E456" t="str">
            <v>HJ60JL450P10001 JP</v>
          </cell>
          <cell r="F456" t="str">
            <v>JAPAN</v>
          </cell>
          <cell r="G456">
            <v>3</v>
          </cell>
          <cell r="H456">
            <v>3</v>
          </cell>
          <cell r="I456">
            <v>0</v>
          </cell>
          <cell r="J456" t="str">
            <v>FINISH</v>
          </cell>
          <cell r="K456">
            <v>46239</v>
          </cell>
          <cell r="L456">
            <v>46251</v>
          </cell>
        </row>
        <row r="457">
          <cell r="A457" t="str">
            <v>CA-H2607-PD-518</v>
          </cell>
          <cell r="B457" t="str">
            <v xml:space="preserve">Hyperion </v>
          </cell>
          <cell r="C457">
            <v>11119382</v>
          </cell>
          <cell r="D457" t="str">
            <v>1911050-D-A</v>
          </cell>
          <cell r="E457" t="str">
            <v>HJ60JL452P10020 JP</v>
          </cell>
          <cell r="F457" t="str">
            <v>JAPAN</v>
          </cell>
          <cell r="G457">
            <v>2</v>
          </cell>
          <cell r="H457">
            <v>2</v>
          </cell>
          <cell r="I457">
            <v>0</v>
          </cell>
          <cell r="J457" t="str">
            <v>FINISH</v>
          </cell>
          <cell r="K457">
            <v>46239</v>
          </cell>
          <cell r="L457">
            <v>46251</v>
          </cell>
        </row>
        <row r="458">
          <cell r="A458" t="str">
            <v>CA-H2607-PD-519</v>
          </cell>
          <cell r="B458" t="str">
            <v xml:space="preserve">Hyperion </v>
          </cell>
          <cell r="C458">
            <v>11119385</v>
          </cell>
          <cell r="D458" t="str">
            <v>1911053-D-A</v>
          </cell>
          <cell r="E458" t="str">
            <v>HJ60JL500P10000 JP</v>
          </cell>
          <cell r="F458" t="str">
            <v>JAPAN</v>
          </cell>
          <cell r="G458">
            <v>6</v>
          </cell>
          <cell r="H458">
            <v>6</v>
          </cell>
          <cell r="I458">
            <v>0</v>
          </cell>
          <cell r="J458" t="str">
            <v>FINISH</v>
          </cell>
          <cell r="K458">
            <v>46239</v>
          </cell>
          <cell r="L458">
            <v>46251</v>
          </cell>
        </row>
        <row r="459">
          <cell r="A459" t="str">
            <v>CA-H2607-PD-520</v>
          </cell>
          <cell r="B459" t="str">
            <v xml:space="preserve">Hyperion </v>
          </cell>
          <cell r="C459">
            <v>11119387</v>
          </cell>
          <cell r="D459" t="str">
            <v>1911055-D-A</v>
          </cell>
          <cell r="E459" t="str">
            <v>HJ60JL500P10001 JP</v>
          </cell>
          <cell r="F459" t="str">
            <v>JAPAN</v>
          </cell>
          <cell r="G459">
            <v>1</v>
          </cell>
          <cell r="H459">
            <v>1</v>
          </cell>
          <cell r="I459">
            <v>0</v>
          </cell>
          <cell r="J459" t="str">
            <v>FINISH</v>
          </cell>
          <cell r="K459">
            <v>46239</v>
          </cell>
          <cell r="L459">
            <v>46251</v>
          </cell>
        </row>
        <row r="460">
          <cell r="A460" t="str">
            <v>CA-H2607-PD-521</v>
          </cell>
          <cell r="B460" t="str">
            <v xml:space="preserve">Hyperion </v>
          </cell>
          <cell r="C460">
            <v>11119386</v>
          </cell>
          <cell r="D460" t="str">
            <v>1911054-D-A</v>
          </cell>
          <cell r="E460" t="str">
            <v>HJ60JL502P10020 JP</v>
          </cell>
          <cell r="F460" t="str">
            <v>JAPAN</v>
          </cell>
          <cell r="G460">
            <v>8</v>
          </cell>
          <cell r="H460">
            <v>8</v>
          </cell>
          <cell r="I460">
            <v>0</v>
          </cell>
          <cell r="J460" t="str">
            <v>FINISH</v>
          </cell>
          <cell r="K460">
            <v>46239</v>
          </cell>
          <cell r="L460">
            <v>46251</v>
          </cell>
        </row>
        <row r="461">
          <cell r="A461" t="str">
            <v>CA-H2607-PD-522</v>
          </cell>
          <cell r="B461" t="str">
            <v xml:space="preserve">Hyperion </v>
          </cell>
          <cell r="C461">
            <v>11119392</v>
          </cell>
          <cell r="D461" t="str">
            <v>1911060-D-A</v>
          </cell>
          <cell r="E461" t="str">
            <v>HJ60JR400P09020 JP</v>
          </cell>
          <cell r="F461" t="str">
            <v>JAPAN</v>
          </cell>
          <cell r="G461">
            <v>4</v>
          </cell>
          <cell r="H461">
            <v>4</v>
          </cell>
          <cell r="I461">
            <v>0</v>
          </cell>
          <cell r="J461" t="str">
            <v>FINISH</v>
          </cell>
          <cell r="K461">
            <v>46239</v>
          </cell>
          <cell r="L461">
            <v>46251</v>
          </cell>
        </row>
        <row r="462">
          <cell r="A462" t="str">
            <v>CA-H2607-PD-523</v>
          </cell>
          <cell r="B462" t="str">
            <v xml:space="preserve">Hyperion </v>
          </cell>
          <cell r="C462">
            <v>11119394</v>
          </cell>
          <cell r="D462" t="str">
            <v>1911062-D-A</v>
          </cell>
          <cell r="E462" t="str">
            <v>HJ60JR402P09020 JP</v>
          </cell>
          <cell r="F462" t="str">
            <v>JAPAN</v>
          </cell>
          <cell r="G462">
            <v>2</v>
          </cell>
          <cell r="H462">
            <v>2</v>
          </cell>
          <cell r="I462">
            <v>0</v>
          </cell>
          <cell r="J462" t="str">
            <v>FINISH</v>
          </cell>
          <cell r="K462">
            <v>46239</v>
          </cell>
          <cell r="L462">
            <v>46251</v>
          </cell>
        </row>
        <row r="463">
          <cell r="A463" t="str">
            <v>CA-H2607-PD-524</v>
          </cell>
          <cell r="B463" t="str">
            <v xml:space="preserve">Hyperion </v>
          </cell>
          <cell r="C463">
            <v>11119395</v>
          </cell>
          <cell r="D463" t="str">
            <v>1911063-D-A</v>
          </cell>
          <cell r="E463" t="str">
            <v>HJ60JR450P10020 JP</v>
          </cell>
          <cell r="F463" t="str">
            <v>JAPAN</v>
          </cell>
          <cell r="G463">
            <v>3</v>
          </cell>
          <cell r="H463">
            <v>3</v>
          </cell>
          <cell r="I463">
            <v>0</v>
          </cell>
          <cell r="J463" t="str">
            <v>FINISH</v>
          </cell>
          <cell r="K463">
            <v>46239</v>
          </cell>
          <cell r="L463">
            <v>46251</v>
          </cell>
        </row>
        <row r="464">
          <cell r="A464" t="str">
            <v>CA-H2607-PD-525</v>
          </cell>
          <cell r="B464" t="str">
            <v xml:space="preserve">Hyperion </v>
          </cell>
          <cell r="C464">
            <v>11119396</v>
          </cell>
          <cell r="D464" t="str">
            <v>1911064-D-A</v>
          </cell>
          <cell r="E464" t="str">
            <v>HJ60JR452P10020 JP</v>
          </cell>
          <cell r="F464" t="str">
            <v>JAPAN</v>
          </cell>
          <cell r="G464">
            <v>4</v>
          </cell>
          <cell r="H464">
            <v>4</v>
          </cell>
          <cell r="I464">
            <v>0</v>
          </cell>
          <cell r="J464" t="str">
            <v>FINISH</v>
          </cell>
          <cell r="K464">
            <v>46239</v>
          </cell>
          <cell r="L464">
            <v>46251</v>
          </cell>
        </row>
        <row r="465">
          <cell r="A465" t="str">
            <v>CA-H2607-PD-526</v>
          </cell>
          <cell r="B465" t="str">
            <v xml:space="preserve">Hyperion </v>
          </cell>
          <cell r="C465">
            <v>11119398</v>
          </cell>
          <cell r="D465" t="str">
            <v>1911066-D-A</v>
          </cell>
          <cell r="E465" t="str">
            <v>HJ60JR502P10020 JP</v>
          </cell>
          <cell r="F465" t="str">
            <v>JAPAN</v>
          </cell>
          <cell r="G465">
            <v>3</v>
          </cell>
          <cell r="H465">
            <v>3</v>
          </cell>
          <cell r="I465">
            <v>0</v>
          </cell>
          <cell r="J465" t="str">
            <v>FINISH</v>
          </cell>
          <cell r="K465">
            <v>46239</v>
          </cell>
          <cell r="L465">
            <v>46251</v>
          </cell>
        </row>
        <row r="466">
          <cell r="A466" t="str">
            <v>CA-H2607-PD-527</v>
          </cell>
          <cell r="B466" t="str">
            <v>HyperionYubo changed</v>
          </cell>
          <cell r="C466">
            <v>11134251</v>
          </cell>
          <cell r="D466" t="str">
            <v>1911068-E-A</v>
          </cell>
          <cell r="E466" t="str">
            <v>HJ60PB302P10020 JP</v>
          </cell>
          <cell r="F466" t="str">
            <v>JAPAN</v>
          </cell>
          <cell r="G466">
            <v>1</v>
          </cell>
          <cell r="H466">
            <v>1</v>
          </cell>
          <cell r="I466">
            <v>0</v>
          </cell>
          <cell r="J466" t="str">
            <v>FINISH</v>
          </cell>
          <cell r="K466">
            <v>46239</v>
          </cell>
          <cell r="L466">
            <v>46251</v>
          </cell>
        </row>
        <row r="467">
          <cell r="A467" t="str">
            <v>CA-H2607-PD-528</v>
          </cell>
          <cell r="B467" t="str">
            <v xml:space="preserve">Hyperion </v>
          </cell>
          <cell r="C467">
            <v>11119405</v>
          </cell>
          <cell r="D467" t="str">
            <v>1911073-D-A</v>
          </cell>
          <cell r="E467" t="str">
            <v>HJ60RB070P10020 JP</v>
          </cell>
          <cell r="F467" t="str">
            <v>JAPAN</v>
          </cell>
          <cell r="G467">
            <v>1</v>
          </cell>
          <cell r="H467">
            <v>1</v>
          </cell>
          <cell r="I467">
            <v>0</v>
          </cell>
          <cell r="J467" t="str">
            <v>FINISH</v>
          </cell>
          <cell r="K467">
            <v>46239</v>
          </cell>
          <cell r="L467">
            <v>46251</v>
          </cell>
        </row>
        <row r="468">
          <cell r="A468" t="str">
            <v>CA-H2607-PD-529</v>
          </cell>
          <cell r="B468" t="str">
            <v xml:space="preserve">Hyperion </v>
          </cell>
          <cell r="C468">
            <v>11119408</v>
          </cell>
          <cell r="D468" t="str">
            <v>1911076-D-A</v>
          </cell>
          <cell r="E468" t="str">
            <v>HJ60RB102P10020 JP</v>
          </cell>
          <cell r="F468" t="str">
            <v>JAPAN</v>
          </cell>
          <cell r="G468">
            <v>6</v>
          </cell>
          <cell r="H468">
            <v>6</v>
          </cell>
          <cell r="I468">
            <v>0</v>
          </cell>
          <cell r="J468" t="str">
            <v>FINISH</v>
          </cell>
          <cell r="K468">
            <v>46239</v>
          </cell>
          <cell r="L468">
            <v>46251</v>
          </cell>
        </row>
        <row r="469">
          <cell r="A469" t="str">
            <v>CA-H2607-PD-530</v>
          </cell>
          <cell r="B469" t="str">
            <v xml:space="preserve">Hyperion </v>
          </cell>
          <cell r="C469">
            <v>11119421</v>
          </cell>
          <cell r="D469" t="str">
            <v>1911089-D-A</v>
          </cell>
          <cell r="E469" t="str">
            <v>HJ60SC350P10000 JP</v>
          </cell>
          <cell r="F469" t="str">
            <v>JAPAN</v>
          </cell>
          <cell r="G469">
            <v>5</v>
          </cell>
          <cell r="H469">
            <v>5</v>
          </cell>
          <cell r="I469">
            <v>0</v>
          </cell>
          <cell r="J469" t="str">
            <v>FINISH</v>
          </cell>
          <cell r="K469">
            <v>46239</v>
          </cell>
          <cell r="L469">
            <v>46251</v>
          </cell>
        </row>
        <row r="470">
          <cell r="A470" t="str">
            <v>CA-H2607-PD-531</v>
          </cell>
          <cell r="B470" t="str">
            <v xml:space="preserve">Hyperion </v>
          </cell>
          <cell r="C470">
            <v>11119422</v>
          </cell>
          <cell r="D470" t="str">
            <v>1911090-D-A</v>
          </cell>
          <cell r="E470" t="str">
            <v>HJ60SC352P10020 JP</v>
          </cell>
          <cell r="F470" t="str">
            <v>JAPAN</v>
          </cell>
          <cell r="G470">
            <v>1</v>
          </cell>
          <cell r="H470">
            <v>1</v>
          </cell>
          <cell r="I470">
            <v>0</v>
          </cell>
          <cell r="J470" t="str">
            <v>FINISH</v>
          </cell>
          <cell r="K470">
            <v>46239</v>
          </cell>
          <cell r="L470">
            <v>46251</v>
          </cell>
        </row>
        <row r="471">
          <cell r="A471" t="str">
            <v>CA-H2607-PD-532</v>
          </cell>
          <cell r="B471" t="str">
            <v xml:space="preserve">Hyperion </v>
          </cell>
          <cell r="C471">
            <v>11119436</v>
          </cell>
          <cell r="D471" t="str">
            <v>2111063-D-A</v>
          </cell>
          <cell r="E471" t="str">
            <v>HJ60SL102P10000 JP</v>
          </cell>
          <cell r="F471" t="str">
            <v>JAPAN</v>
          </cell>
          <cell r="G471">
            <v>3</v>
          </cell>
          <cell r="H471">
            <v>3</v>
          </cell>
          <cell r="I471">
            <v>0</v>
          </cell>
          <cell r="J471" t="str">
            <v>FINISH</v>
          </cell>
          <cell r="K471">
            <v>46239</v>
          </cell>
          <cell r="L471">
            <v>46251</v>
          </cell>
        </row>
        <row r="472">
          <cell r="A472" t="str">
            <v>CA-H2607-PD-533</v>
          </cell>
          <cell r="B472" t="str">
            <v>HyperionYubo changed</v>
          </cell>
          <cell r="C472">
            <v>11134258</v>
          </cell>
          <cell r="D472" t="str">
            <v>1911095-E-A</v>
          </cell>
          <cell r="E472" t="str">
            <v>HJ60SP320P10000 JP</v>
          </cell>
          <cell r="F472" t="str">
            <v>JAPAN</v>
          </cell>
          <cell r="G472">
            <v>4</v>
          </cell>
          <cell r="H472">
            <v>4</v>
          </cell>
          <cell r="I472">
            <v>0</v>
          </cell>
          <cell r="J472" t="str">
            <v>FINISH</v>
          </cell>
          <cell r="K472">
            <v>46239</v>
          </cell>
          <cell r="L472">
            <v>46251</v>
          </cell>
        </row>
        <row r="473">
          <cell r="A473" t="str">
            <v>CA-H2607-PD-534</v>
          </cell>
          <cell r="B473" t="str">
            <v>HyperionYubo changed</v>
          </cell>
          <cell r="C473">
            <v>11134259</v>
          </cell>
          <cell r="D473" t="str">
            <v>1911096-E-A</v>
          </cell>
          <cell r="E473" t="str">
            <v>HJ60SP322P10020 JP</v>
          </cell>
          <cell r="F473" t="str">
            <v>JAPAN</v>
          </cell>
          <cell r="G473">
            <v>7</v>
          </cell>
          <cell r="H473">
            <v>7</v>
          </cell>
          <cell r="I473">
            <v>0</v>
          </cell>
          <cell r="J473" t="str">
            <v>FINISH</v>
          </cell>
          <cell r="K473">
            <v>46239</v>
          </cell>
          <cell r="L473">
            <v>46251</v>
          </cell>
        </row>
        <row r="474">
          <cell r="A474" t="str">
            <v>CA-H2607-PD-535</v>
          </cell>
          <cell r="B474" t="str">
            <v xml:space="preserve">Hyperion </v>
          </cell>
          <cell r="C474">
            <v>11119437</v>
          </cell>
          <cell r="D474" t="str">
            <v>1911103-D-A</v>
          </cell>
          <cell r="E474" t="str">
            <v>HJ70AL070P10020 JP</v>
          </cell>
          <cell r="F474" t="str">
            <v>JAPAN</v>
          </cell>
          <cell r="G474">
            <v>21</v>
          </cell>
          <cell r="H474">
            <v>21</v>
          </cell>
          <cell r="I474">
            <v>0</v>
          </cell>
          <cell r="J474" t="str">
            <v>FINISH</v>
          </cell>
          <cell r="K474">
            <v>46239</v>
          </cell>
          <cell r="L474">
            <v>46251</v>
          </cell>
        </row>
        <row r="475">
          <cell r="A475" t="str">
            <v>CA-H2607-PD-536</v>
          </cell>
          <cell r="B475" t="str">
            <v xml:space="preserve">Hyperion </v>
          </cell>
          <cell r="C475">
            <v>11119535</v>
          </cell>
          <cell r="D475" t="str">
            <v>1911201-D-A</v>
          </cell>
          <cell r="E475" t="str">
            <v>HJ70AL070P10022 JP</v>
          </cell>
          <cell r="F475" t="str">
            <v>JAPAN</v>
          </cell>
          <cell r="G475">
            <v>5</v>
          </cell>
          <cell r="H475">
            <v>5</v>
          </cell>
          <cell r="I475">
            <v>0</v>
          </cell>
          <cell r="J475" t="str">
            <v>FINISH</v>
          </cell>
          <cell r="K475">
            <v>46239</v>
          </cell>
          <cell r="L475">
            <v>46251</v>
          </cell>
        </row>
        <row r="476">
          <cell r="A476" t="str">
            <v>CA-H2607-PD-537</v>
          </cell>
          <cell r="B476" t="str">
            <v xml:space="preserve">Hyperion </v>
          </cell>
          <cell r="C476">
            <v>11119540</v>
          </cell>
          <cell r="D476" t="str">
            <v>1911206-D-A</v>
          </cell>
          <cell r="E476" t="str">
            <v>HJ70AL100P09022 JP</v>
          </cell>
          <cell r="F476" t="str">
            <v>JAPAN</v>
          </cell>
          <cell r="G476">
            <v>6</v>
          </cell>
          <cell r="H476">
            <v>6</v>
          </cell>
          <cell r="I476">
            <v>0</v>
          </cell>
          <cell r="J476" t="str">
            <v>FINISH</v>
          </cell>
          <cell r="K476">
            <v>46239</v>
          </cell>
          <cell r="L476">
            <v>46251</v>
          </cell>
        </row>
        <row r="477">
          <cell r="A477" t="str">
            <v>CA-H2607-PD-538</v>
          </cell>
          <cell r="B477" t="str">
            <v xml:space="preserve">Hyperion </v>
          </cell>
          <cell r="C477">
            <v>11119445</v>
          </cell>
          <cell r="D477" t="str">
            <v>1911111-D-A</v>
          </cell>
          <cell r="E477" t="str">
            <v>HJ70AL102P09020 JP</v>
          </cell>
          <cell r="F477" t="str">
            <v>JAPAN</v>
          </cell>
          <cell r="G477">
            <v>4</v>
          </cell>
          <cell r="H477">
            <v>4</v>
          </cell>
          <cell r="I477">
            <v>0</v>
          </cell>
          <cell r="J477" t="str">
            <v>FINISH</v>
          </cell>
          <cell r="K477">
            <v>46239</v>
          </cell>
          <cell r="L477">
            <v>46251</v>
          </cell>
        </row>
        <row r="478">
          <cell r="A478" t="str">
            <v>CA-H2607-PD-539</v>
          </cell>
          <cell r="B478" t="str">
            <v xml:space="preserve">Hyperion </v>
          </cell>
          <cell r="C478">
            <v>11119542</v>
          </cell>
          <cell r="D478" t="str">
            <v>1911208-D-A</v>
          </cell>
          <cell r="E478" t="str">
            <v>HJ70AL102P09022 JP</v>
          </cell>
          <cell r="F478" t="str">
            <v>JAPAN</v>
          </cell>
          <cell r="G478">
            <v>1</v>
          </cell>
          <cell r="H478">
            <v>1</v>
          </cell>
          <cell r="I478">
            <v>0</v>
          </cell>
          <cell r="J478" t="str">
            <v>FINISH</v>
          </cell>
          <cell r="K478">
            <v>46239</v>
          </cell>
          <cell r="L478">
            <v>46251</v>
          </cell>
        </row>
        <row r="479">
          <cell r="A479" t="str">
            <v>CA-H2607-PD-540</v>
          </cell>
          <cell r="B479" t="str">
            <v xml:space="preserve">Hyperion </v>
          </cell>
          <cell r="C479">
            <v>11119447</v>
          </cell>
          <cell r="D479" t="str">
            <v>1911113-D-A</v>
          </cell>
          <cell r="E479" t="str">
            <v>HJ70AL102P10021 JP</v>
          </cell>
          <cell r="F479" t="str">
            <v>JAPAN</v>
          </cell>
          <cell r="G479">
            <v>1</v>
          </cell>
          <cell r="H479">
            <v>1</v>
          </cell>
          <cell r="I479">
            <v>0</v>
          </cell>
          <cell r="J479" t="str">
            <v>FINISH</v>
          </cell>
          <cell r="K479">
            <v>46239</v>
          </cell>
          <cell r="L479">
            <v>46251</v>
          </cell>
        </row>
        <row r="480">
          <cell r="A480" t="str">
            <v>CA-H2607-PD-541</v>
          </cell>
          <cell r="B480" t="str">
            <v xml:space="preserve">Hyperion </v>
          </cell>
          <cell r="C480">
            <v>11119544</v>
          </cell>
          <cell r="D480" t="str">
            <v>1911210-D-A</v>
          </cell>
          <cell r="E480" t="str">
            <v>HJ70AL150P09022 JP</v>
          </cell>
          <cell r="F480" t="str">
            <v>JAPAN</v>
          </cell>
          <cell r="G480">
            <v>3</v>
          </cell>
          <cell r="H480">
            <v>3</v>
          </cell>
          <cell r="I480">
            <v>0</v>
          </cell>
          <cell r="J480" t="str">
            <v>FINISH</v>
          </cell>
          <cell r="K480">
            <v>46239</v>
          </cell>
          <cell r="L480">
            <v>46251</v>
          </cell>
        </row>
        <row r="481">
          <cell r="A481" t="str">
            <v>CA-H2607-PD-542</v>
          </cell>
          <cell r="B481" t="str">
            <v xml:space="preserve">Hyperion </v>
          </cell>
          <cell r="C481">
            <v>11119448</v>
          </cell>
          <cell r="D481" t="str">
            <v>1911114-D-A</v>
          </cell>
          <cell r="E481" t="str">
            <v>HJ70AL150P10020 JP</v>
          </cell>
          <cell r="F481" t="str">
            <v>JAPAN</v>
          </cell>
          <cell r="G481">
            <v>8</v>
          </cell>
          <cell r="H481">
            <v>8</v>
          </cell>
          <cell r="I481">
            <v>0</v>
          </cell>
          <cell r="J481" t="str">
            <v>FINISH</v>
          </cell>
          <cell r="K481">
            <v>46239</v>
          </cell>
          <cell r="L481">
            <v>46251</v>
          </cell>
        </row>
        <row r="482">
          <cell r="A482" t="str">
            <v>CA-H2607-PD-543</v>
          </cell>
          <cell r="B482" t="str">
            <v xml:space="preserve">Hyperion </v>
          </cell>
          <cell r="C482">
            <v>11119452</v>
          </cell>
          <cell r="D482" t="str">
            <v>1911118-D-A</v>
          </cell>
          <cell r="E482" t="str">
            <v>HJ70AL150P10021 JP</v>
          </cell>
          <cell r="F482" t="str">
            <v>JAPAN</v>
          </cell>
          <cell r="G482">
            <v>1</v>
          </cell>
          <cell r="H482">
            <v>1</v>
          </cell>
          <cell r="I482">
            <v>0</v>
          </cell>
          <cell r="J482" t="str">
            <v>FINISH</v>
          </cell>
          <cell r="K482">
            <v>46239</v>
          </cell>
          <cell r="L482">
            <v>46251</v>
          </cell>
        </row>
        <row r="483">
          <cell r="A483" t="str">
            <v>CA-H2607-PD-544</v>
          </cell>
          <cell r="B483" t="str">
            <v xml:space="preserve">Hyperion </v>
          </cell>
          <cell r="C483">
            <v>11119453</v>
          </cell>
          <cell r="D483" t="str">
            <v>1911119-D-A</v>
          </cell>
          <cell r="E483" t="str">
            <v>HJ70AL152P10021 JP</v>
          </cell>
          <cell r="F483" t="str">
            <v>JAPAN</v>
          </cell>
          <cell r="G483">
            <v>1</v>
          </cell>
          <cell r="H483">
            <v>1</v>
          </cell>
          <cell r="I483">
            <v>0</v>
          </cell>
          <cell r="J483" t="str">
            <v>FINISH</v>
          </cell>
          <cell r="K483">
            <v>46239</v>
          </cell>
          <cell r="L483">
            <v>46251</v>
          </cell>
        </row>
        <row r="484">
          <cell r="A484" t="str">
            <v>CA-H2607-PD-545</v>
          </cell>
          <cell r="B484" t="str">
            <v xml:space="preserve">Hyperion </v>
          </cell>
          <cell r="C484">
            <v>11119545</v>
          </cell>
          <cell r="D484" t="str">
            <v>1911211-D-A</v>
          </cell>
          <cell r="E484" t="str">
            <v>HJ70AL152P10022 JP</v>
          </cell>
          <cell r="F484" t="str">
            <v>JAPAN</v>
          </cell>
          <cell r="G484">
            <v>16</v>
          </cell>
          <cell r="H484">
            <v>16</v>
          </cell>
          <cell r="I484">
            <v>0</v>
          </cell>
          <cell r="J484" t="str">
            <v>FINISH</v>
          </cell>
          <cell r="K484">
            <v>46239</v>
          </cell>
          <cell r="L484">
            <v>46251</v>
          </cell>
        </row>
        <row r="485">
          <cell r="A485" t="str">
            <v>CA-H2607-PD-546</v>
          </cell>
          <cell r="B485" t="str">
            <v xml:space="preserve">Hyperion </v>
          </cell>
          <cell r="C485">
            <v>11119454</v>
          </cell>
          <cell r="D485" t="str">
            <v>1911120-D-A</v>
          </cell>
          <cell r="E485" t="str">
            <v>HJ70AL200P10020 JP</v>
          </cell>
          <cell r="F485" t="str">
            <v>JAPAN</v>
          </cell>
          <cell r="G485">
            <v>5</v>
          </cell>
          <cell r="H485">
            <v>5</v>
          </cell>
          <cell r="I485">
            <v>0</v>
          </cell>
          <cell r="J485" t="str">
            <v>FINISH</v>
          </cell>
          <cell r="K485">
            <v>46239</v>
          </cell>
          <cell r="L485">
            <v>46251</v>
          </cell>
        </row>
        <row r="486">
          <cell r="A486" t="str">
            <v>CA-H2607-PD-547</v>
          </cell>
          <cell r="B486" t="str">
            <v xml:space="preserve">Hyperion </v>
          </cell>
          <cell r="C486">
            <v>11119457</v>
          </cell>
          <cell r="D486" t="str">
            <v>1911123-D-A</v>
          </cell>
          <cell r="E486" t="str">
            <v>HJ70CP150P10020 JP</v>
          </cell>
          <cell r="F486" t="str">
            <v>JAPAN</v>
          </cell>
          <cell r="G486">
            <v>1</v>
          </cell>
          <cell r="H486">
            <v>1</v>
          </cell>
          <cell r="I486">
            <v>0</v>
          </cell>
          <cell r="J486" t="str">
            <v>FINISH</v>
          </cell>
          <cell r="K486">
            <v>46239</v>
          </cell>
          <cell r="L486">
            <v>46251</v>
          </cell>
        </row>
        <row r="487">
          <cell r="A487" t="str">
            <v>CA-H2607-PD-548</v>
          </cell>
          <cell r="B487" t="str">
            <v xml:space="preserve">Hyperion </v>
          </cell>
          <cell r="C487">
            <v>11119460</v>
          </cell>
          <cell r="D487" t="str">
            <v>1911126-D-A</v>
          </cell>
          <cell r="E487" t="str">
            <v>HJ70CP202P10020 JP</v>
          </cell>
          <cell r="F487" t="str">
            <v>JAPAN</v>
          </cell>
          <cell r="G487">
            <v>1</v>
          </cell>
          <cell r="H487">
            <v>1</v>
          </cell>
          <cell r="I487">
            <v>0</v>
          </cell>
          <cell r="J487" t="str">
            <v>FINISH</v>
          </cell>
          <cell r="K487">
            <v>46239</v>
          </cell>
          <cell r="L487">
            <v>46251</v>
          </cell>
        </row>
        <row r="488">
          <cell r="A488" t="str">
            <v>CA-H2607-PD-549</v>
          </cell>
          <cell r="B488" t="str">
            <v xml:space="preserve">Hyperion </v>
          </cell>
          <cell r="C488">
            <v>11119461</v>
          </cell>
          <cell r="D488" t="str">
            <v>1911127-D-A</v>
          </cell>
          <cell r="E488" t="str">
            <v>HJ70CP250P10020 JP</v>
          </cell>
          <cell r="F488" t="str">
            <v>JAPAN</v>
          </cell>
          <cell r="G488">
            <v>1</v>
          </cell>
          <cell r="H488">
            <v>1</v>
          </cell>
          <cell r="I488">
            <v>0</v>
          </cell>
          <cell r="J488" t="str">
            <v>FINISH</v>
          </cell>
          <cell r="K488">
            <v>46239</v>
          </cell>
          <cell r="L488">
            <v>46251</v>
          </cell>
        </row>
        <row r="489">
          <cell r="A489" t="str">
            <v>CA-H2607-PD-550</v>
          </cell>
          <cell r="B489" t="str">
            <v xml:space="preserve">Hyperion </v>
          </cell>
          <cell r="C489">
            <v>11119480</v>
          </cell>
          <cell r="D489" t="str">
            <v>1911146-D-A</v>
          </cell>
          <cell r="E489" t="str">
            <v>HJ70IM002P10020 JP</v>
          </cell>
          <cell r="F489" t="str">
            <v>JAPAN</v>
          </cell>
          <cell r="G489">
            <v>2</v>
          </cell>
          <cell r="H489">
            <v>2</v>
          </cell>
          <cell r="I489">
            <v>0</v>
          </cell>
          <cell r="J489" t="str">
            <v>FINISH</v>
          </cell>
          <cell r="K489">
            <v>46239</v>
          </cell>
          <cell r="L489">
            <v>46251</v>
          </cell>
        </row>
        <row r="490">
          <cell r="A490" t="str">
            <v>CA-H2607-PD-551</v>
          </cell>
          <cell r="B490" t="str">
            <v xml:space="preserve">Hyperion </v>
          </cell>
          <cell r="C490">
            <v>11119482</v>
          </cell>
          <cell r="D490" t="str">
            <v>1911148-D-A</v>
          </cell>
          <cell r="E490" t="str">
            <v>HJ70JL350P09000 JP</v>
          </cell>
          <cell r="F490" t="str">
            <v>JAPAN</v>
          </cell>
          <cell r="G490">
            <v>4</v>
          </cell>
          <cell r="H490">
            <v>4</v>
          </cell>
          <cell r="I490">
            <v>0</v>
          </cell>
          <cell r="J490" t="str">
            <v>FINISH</v>
          </cell>
          <cell r="K490">
            <v>46239</v>
          </cell>
          <cell r="L490">
            <v>46251</v>
          </cell>
        </row>
        <row r="491">
          <cell r="A491" t="str">
            <v>CA-H2607-PD-552</v>
          </cell>
          <cell r="B491" t="str">
            <v xml:space="preserve">Hyperion </v>
          </cell>
          <cell r="C491">
            <v>11119494</v>
          </cell>
          <cell r="D491" t="str">
            <v>1911160-D-A</v>
          </cell>
          <cell r="E491" t="str">
            <v>HJ70JL402P09021 JP</v>
          </cell>
          <cell r="F491" t="str">
            <v>JAPAN</v>
          </cell>
          <cell r="G491">
            <v>2</v>
          </cell>
          <cell r="H491">
            <v>2</v>
          </cell>
          <cell r="I491">
            <v>0</v>
          </cell>
          <cell r="J491" t="str">
            <v>FINISH</v>
          </cell>
          <cell r="K491">
            <v>46239</v>
          </cell>
          <cell r="L491">
            <v>46251</v>
          </cell>
        </row>
        <row r="492">
          <cell r="A492" t="str">
            <v>CA-H2607-PD-553</v>
          </cell>
          <cell r="B492" t="str">
            <v xml:space="preserve">Hyperion </v>
          </cell>
          <cell r="C492">
            <v>11119495</v>
          </cell>
          <cell r="D492" t="str">
            <v>1911161-D-A</v>
          </cell>
          <cell r="E492" t="str">
            <v>HJ70JL450P10000 JP</v>
          </cell>
          <cell r="F492" t="str">
            <v>JAPAN</v>
          </cell>
          <cell r="G492">
            <v>1</v>
          </cell>
          <cell r="H492">
            <v>1</v>
          </cell>
          <cell r="I492">
            <v>0</v>
          </cell>
          <cell r="J492" t="str">
            <v>FINISH</v>
          </cell>
          <cell r="K492">
            <v>46239</v>
          </cell>
          <cell r="L492">
            <v>46251</v>
          </cell>
        </row>
        <row r="493">
          <cell r="A493" t="str">
            <v>CA-H2607-PD-554</v>
          </cell>
          <cell r="B493" t="str">
            <v xml:space="preserve">Hyperion </v>
          </cell>
          <cell r="C493">
            <v>11119497</v>
          </cell>
          <cell r="D493" t="str">
            <v>1911163-D-A</v>
          </cell>
          <cell r="E493" t="str">
            <v>HJ70JL450P10001 JP</v>
          </cell>
          <cell r="F493" t="str">
            <v>JAPAN</v>
          </cell>
          <cell r="G493">
            <v>1</v>
          </cell>
          <cell r="H493">
            <v>1</v>
          </cell>
          <cell r="I493">
            <v>0</v>
          </cell>
          <cell r="J493" t="str">
            <v>FINISH</v>
          </cell>
          <cell r="K493">
            <v>46239</v>
          </cell>
          <cell r="L493">
            <v>46251</v>
          </cell>
        </row>
        <row r="494">
          <cell r="A494" t="str">
            <v>CA-H2607-PD-555</v>
          </cell>
          <cell r="B494" t="str">
            <v xml:space="preserve">Hyperion </v>
          </cell>
          <cell r="C494">
            <v>11119498</v>
          </cell>
          <cell r="D494" t="str">
            <v>1911164-D-A</v>
          </cell>
          <cell r="E494" t="str">
            <v>HJ70JL452P10021 JP</v>
          </cell>
          <cell r="F494" t="str">
            <v>JAPAN</v>
          </cell>
          <cell r="G494">
            <v>3</v>
          </cell>
          <cell r="H494">
            <v>3</v>
          </cell>
          <cell r="I494">
            <v>0</v>
          </cell>
          <cell r="J494" t="str">
            <v>FINISH</v>
          </cell>
          <cell r="K494">
            <v>46239</v>
          </cell>
          <cell r="L494">
            <v>46251</v>
          </cell>
        </row>
        <row r="495">
          <cell r="A495" t="str">
            <v>CA-H2607-PD-556</v>
          </cell>
          <cell r="B495" t="str">
            <v xml:space="preserve">Hyperion </v>
          </cell>
          <cell r="C495">
            <v>11119499</v>
          </cell>
          <cell r="D495" t="str">
            <v>1911165-D-A</v>
          </cell>
          <cell r="E495" t="str">
            <v>HJ70JL500P10000 JP</v>
          </cell>
          <cell r="F495" t="str">
            <v>JAPAN</v>
          </cell>
          <cell r="G495">
            <v>8</v>
          </cell>
          <cell r="H495">
            <v>8</v>
          </cell>
          <cell r="I495">
            <v>0</v>
          </cell>
          <cell r="J495" t="str">
            <v>FINISH</v>
          </cell>
          <cell r="K495">
            <v>46239</v>
          </cell>
          <cell r="L495">
            <v>46251</v>
          </cell>
        </row>
        <row r="496">
          <cell r="A496" t="str">
            <v>CA-H2607-PD-557</v>
          </cell>
          <cell r="B496" t="str">
            <v xml:space="preserve">Hyperion </v>
          </cell>
          <cell r="C496">
            <v>11119500</v>
          </cell>
          <cell r="D496" t="str">
            <v>1911166-D-A</v>
          </cell>
          <cell r="E496" t="str">
            <v>HJ70JL502P10020 JP</v>
          </cell>
          <cell r="F496" t="str">
            <v>JAPAN</v>
          </cell>
          <cell r="G496">
            <v>1</v>
          </cell>
          <cell r="H496">
            <v>1</v>
          </cell>
          <cell r="I496">
            <v>0</v>
          </cell>
          <cell r="J496" t="str">
            <v>FINISH</v>
          </cell>
          <cell r="K496">
            <v>46239</v>
          </cell>
          <cell r="L496">
            <v>46251</v>
          </cell>
        </row>
        <row r="497">
          <cell r="A497" t="str">
            <v>CA-H2607-PD-558</v>
          </cell>
          <cell r="B497" t="str">
            <v xml:space="preserve">Hyperion </v>
          </cell>
          <cell r="C497">
            <v>11119503</v>
          </cell>
          <cell r="D497" t="str">
            <v>1911169-D-A</v>
          </cell>
          <cell r="E497" t="str">
            <v>HJ70JR350P10020 JP</v>
          </cell>
          <cell r="F497" t="str">
            <v>JAPAN</v>
          </cell>
          <cell r="G497">
            <v>6</v>
          </cell>
          <cell r="H497">
            <v>6</v>
          </cell>
          <cell r="I497">
            <v>0</v>
          </cell>
          <cell r="J497" t="str">
            <v>FINISH</v>
          </cell>
          <cell r="K497">
            <v>46239</v>
          </cell>
          <cell r="L497">
            <v>46251</v>
          </cell>
        </row>
        <row r="498">
          <cell r="A498" t="str">
            <v>CA-H2607-PD-559</v>
          </cell>
          <cell r="B498" t="str">
            <v xml:space="preserve">Hyperion </v>
          </cell>
          <cell r="C498">
            <v>11119506</v>
          </cell>
          <cell r="D498" t="str">
            <v>1911172-D-A</v>
          </cell>
          <cell r="E498" t="str">
            <v>HJ70JR352P09020 JP</v>
          </cell>
          <cell r="F498" t="str">
            <v>JAPAN</v>
          </cell>
          <cell r="G498">
            <v>2</v>
          </cell>
          <cell r="H498">
            <v>2</v>
          </cell>
          <cell r="I498">
            <v>0</v>
          </cell>
          <cell r="J498" t="str">
            <v>FINISH</v>
          </cell>
          <cell r="K498">
            <v>46239</v>
          </cell>
          <cell r="L498">
            <v>46251</v>
          </cell>
        </row>
        <row r="499">
          <cell r="A499" t="str">
            <v>CA-H2607-PD-560</v>
          </cell>
          <cell r="B499" t="str">
            <v xml:space="preserve">Hyperion </v>
          </cell>
          <cell r="C499">
            <v>11119505</v>
          </cell>
          <cell r="D499" t="str">
            <v>1911171-D-A</v>
          </cell>
          <cell r="E499" t="str">
            <v>HJ70JR352P10020 JP</v>
          </cell>
          <cell r="F499" t="str">
            <v>JAPAN</v>
          </cell>
          <cell r="G499">
            <v>10</v>
          </cell>
          <cell r="H499">
            <v>10</v>
          </cell>
          <cell r="I499">
            <v>0</v>
          </cell>
          <cell r="J499" t="str">
            <v>FINISH</v>
          </cell>
          <cell r="K499">
            <v>46239</v>
          </cell>
          <cell r="L499">
            <v>46251</v>
          </cell>
        </row>
        <row r="500">
          <cell r="A500" t="str">
            <v>CA-H2607-PD-561</v>
          </cell>
          <cell r="B500" t="str">
            <v xml:space="preserve">Hyperion </v>
          </cell>
          <cell r="C500">
            <v>11119511</v>
          </cell>
          <cell r="D500" t="str">
            <v>1911177-D-A</v>
          </cell>
          <cell r="E500" t="str">
            <v>HJ70JR450P10020 JP</v>
          </cell>
          <cell r="F500" t="str">
            <v>JAPAN</v>
          </cell>
          <cell r="G500">
            <v>2</v>
          </cell>
          <cell r="H500">
            <v>2</v>
          </cell>
          <cell r="I500">
            <v>0</v>
          </cell>
          <cell r="J500" t="str">
            <v>FINISH</v>
          </cell>
          <cell r="K500">
            <v>46239</v>
          </cell>
          <cell r="L500">
            <v>46251</v>
          </cell>
        </row>
        <row r="501">
          <cell r="A501" t="str">
            <v>CA-H2607-PD-562</v>
          </cell>
          <cell r="B501" t="str">
            <v xml:space="preserve">Hyperion </v>
          </cell>
          <cell r="C501">
            <v>11119512</v>
          </cell>
          <cell r="D501" t="str">
            <v>1911178-D-A</v>
          </cell>
          <cell r="E501" t="str">
            <v>HJ70JR452P10020 JP</v>
          </cell>
          <cell r="F501" t="str">
            <v>JAPAN</v>
          </cell>
          <cell r="G501">
            <v>5</v>
          </cell>
          <cell r="H501">
            <v>5</v>
          </cell>
          <cell r="I501">
            <v>0</v>
          </cell>
          <cell r="J501" t="str">
            <v>FINISH</v>
          </cell>
          <cell r="K501">
            <v>46239</v>
          </cell>
          <cell r="L501">
            <v>46251</v>
          </cell>
        </row>
        <row r="502">
          <cell r="A502" t="str">
            <v>CA-H2607-PD-563</v>
          </cell>
          <cell r="B502" t="str">
            <v xml:space="preserve">Hyperion </v>
          </cell>
          <cell r="C502">
            <v>11119513</v>
          </cell>
          <cell r="D502" t="str">
            <v>1911179-D-A</v>
          </cell>
          <cell r="E502" t="str">
            <v>HJ70JR500P10020 JP</v>
          </cell>
          <cell r="F502" t="str">
            <v>JAPAN</v>
          </cell>
          <cell r="G502">
            <v>3</v>
          </cell>
          <cell r="H502">
            <v>3</v>
          </cell>
          <cell r="I502">
            <v>0</v>
          </cell>
          <cell r="J502" t="str">
            <v>FINISH</v>
          </cell>
          <cell r="K502">
            <v>46239</v>
          </cell>
          <cell r="L502">
            <v>46251</v>
          </cell>
        </row>
        <row r="503">
          <cell r="A503" t="str">
            <v>CA-H2607-PD-564</v>
          </cell>
          <cell r="B503" t="str">
            <v xml:space="preserve">Hyperion </v>
          </cell>
          <cell r="C503">
            <v>11119514</v>
          </cell>
          <cell r="D503" t="str">
            <v>1911180-D-A</v>
          </cell>
          <cell r="E503" t="str">
            <v>HJ70JR502P10020 JP</v>
          </cell>
          <cell r="F503" t="str">
            <v>JAPAN</v>
          </cell>
          <cell r="G503">
            <v>3</v>
          </cell>
          <cell r="H503">
            <v>3</v>
          </cell>
          <cell r="I503">
            <v>0</v>
          </cell>
          <cell r="J503" t="str">
            <v>FINISH</v>
          </cell>
          <cell r="K503">
            <v>46239</v>
          </cell>
          <cell r="L503">
            <v>46251</v>
          </cell>
        </row>
        <row r="504">
          <cell r="A504" t="str">
            <v>CA-H2607-PD-565</v>
          </cell>
          <cell r="B504" t="str">
            <v>HyperionYubo changed</v>
          </cell>
          <cell r="C504">
            <v>11134274</v>
          </cell>
          <cell r="D504" t="str">
            <v>1911189-E-A</v>
          </cell>
          <cell r="E504" t="str">
            <v>HJ70PB400P10000 JP</v>
          </cell>
          <cell r="F504" t="str">
            <v>JAPAN</v>
          </cell>
          <cell r="G504">
            <v>5</v>
          </cell>
          <cell r="H504">
            <v>5</v>
          </cell>
          <cell r="I504">
            <v>0</v>
          </cell>
          <cell r="J504" t="str">
            <v>FINISH</v>
          </cell>
          <cell r="K504">
            <v>46239</v>
          </cell>
          <cell r="L504">
            <v>46251</v>
          </cell>
        </row>
        <row r="505">
          <cell r="A505" t="str">
            <v>CA-H2607-PD-566</v>
          </cell>
          <cell r="B505" t="str">
            <v xml:space="preserve">Hyperion </v>
          </cell>
          <cell r="C505">
            <v>11119529</v>
          </cell>
          <cell r="D505" t="str">
            <v>1911195-D-A</v>
          </cell>
          <cell r="E505" t="str">
            <v>HJ70RB100P10020 JP</v>
          </cell>
          <cell r="F505" t="str">
            <v>JAPAN</v>
          </cell>
          <cell r="G505">
            <v>3</v>
          </cell>
          <cell r="H505">
            <v>3</v>
          </cell>
          <cell r="I505">
            <v>0</v>
          </cell>
          <cell r="J505" t="str">
            <v>FINISH</v>
          </cell>
          <cell r="K505">
            <v>46239</v>
          </cell>
          <cell r="L505">
            <v>46251</v>
          </cell>
        </row>
        <row r="506">
          <cell r="A506" t="str">
            <v>CA-H2607-PD-567</v>
          </cell>
          <cell r="B506" t="str">
            <v xml:space="preserve">Hyperion </v>
          </cell>
          <cell r="C506">
            <v>11119553</v>
          </cell>
          <cell r="D506" t="str">
            <v>1911219-D-A</v>
          </cell>
          <cell r="E506" t="str">
            <v>HJ70SC400P10000 JP</v>
          </cell>
          <cell r="F506" t="str">
            <v>JAPAN</v>
          </cell>
          <cell r="G506">
            <v>2</v>
          </cell>
          <cell r="H506">
            <v>2</v>
          </cell>
          <cell r="I506">
            <v>0</v>
          </cell>
          <cell r="J506" t="str">
            <v>FINISH</v>
          </cell>
          <cell r="K506">
            <v>46239</v>
          </cell>
          <cell r="L506">
            <v>46251</v>
          </cell>
        </row>
        <row r="507">
          <cell r="A507" t="str">
            <v>CA-H2607-PD-568</v>
          </cell>
          <cell r="B507" t="str">
            <v xml:space="preserve">Hyperion </v>
          </cell>
          <cell r="C507">
            <v>11119554</v>
          </cell>
          <cell r="D507" t="str">
            <v>1911220-D-A</v>
          </cell>
          <cell r="E507" t="str">
            <v>HJ70SC402P10020 JP</v>
          </cell>
          <cell r="F507" t="str">
            <v>JAPAN</v>
          </cell>
          <cell r="G507">
            <v>5</v>
          </cell>
          <cell r="H507">
            <v>5</v>
          </cell>
          <cell r="I507">
            <v>0</v>
          </cell>
          <cell r="J507" t="str">
            <v>FINISH</v>
          </cell>
          <cell r="K507">
            <v>46239</v>
          </cell>
          <cell r="L507">
            <v>46251</v>
          </cell>
        </row>
        <row r="508">
          <cell r="A508" t="str">
            <v>CA-H2607-PD-569</v>
          </cell>
          <cell r="B508" t="str">
            <v>HyperionYubo changed</v>
          </cell>
          <cell r="C508">
            <v>11134286</v>
          </cell>
          <cell r="D508" t="str">
            <v>1911229-E-A</v>
          </cell>
          <cell r="E508" t="str">
            <v>HJ70SP372P09020 JP</v>
          </cell>
          <cell r="F508" t="str">
            <v>JAPAN</v>
          </cell>
          <cell r="G508">
            <v>5</v>
          </cell>
          <cell r="H508">
            <v>5</v>
          </cell>
          <cell r="I508">
            <v>0</v>
          </cell>
          <cell r="J508" t="str">
            <v>FINISH</v>
          </cell>
          <cell r="K508">
            <v>46239</v>
          </cell>
          <cell r="L508">
            <v>46251</v>
          </cell>
        </row>
        <row r="509">
          <cell r="A509" t="str">
            <v>CA-H2607-PD-570</v>
          </cell>
          <cell r="B509" t="str">
            <v xml:space="preserve">Hyperion </v>
          </cell>
          <cell r="C509">
            <v>11119657</v>
          </cell>
          <cell r="D509" t="str">
            <v>1911323-D-A</v>
          </cell>
          <cell r="E509" t="str">
            <v>HJ80AL070P10002 JP</v>
          </cell>
          <cell r="F509" t="str">
            <v>JAPAN</v>
          </cell>
          <cell r="G509">
            <v>6</v>
          </cell>
          <cell r="H509">
            <v>6</v>
          </cell>
          <cell r="I509">
            <v>0</v>
          </cell>
          <cell r="J509" t="str">
            <v>FINISH</v>
          </cell>
          <cell r="K509">
            <v>46239</v>
          </cell>
          <cell r="L509">
            <v>46251</v>
          </cell>
        </row>
        <row r="510">
          <cell r="A510" t="str">
            <v>CA-H2607-PD-571</v>
          </cell>
          <cell r="B510" t="str">
            <v xml:space="preserve">Hyperion </v>
          </cell>
          <cell r="C510">
            <v>11119570</v>
          </cell>
          <cell r="D510" t="str">
            <v>1911236-D-A</v>
          </cell>
          <cell r="E510" t="str">
            <v>HJ80AL072P10000 JP</v>
          </cell>
          <cell r="F510" t="str">
            <v>JAPAN</v>
          </cell>
          <cell r="G510">
            <v>24</v>
          </cell>
          <cell r="H510">
            <v>24</v>
          </cell>
          <cell r="I510">
            <v>0</v>
          </cell>
          <cell r="J510" t="str">
            <v>FINISH</v>
          </cell>
          <cell r="K510">
            <v>46239</v>
          </cell>
          <cell r="L510">
            <v>46251</v>
          </cell>
        </row>
        <row r="511">
          <cell r="A511" t="str">
            <v>CA-H2607-PD-572</v>
          </cell>
          <cell r="B511" t="str">
            <v xml:space="preserve">Hyperion </v>
          </cell>
          <cell r="C511">
            <v>11119659</v>
          </cell>
          <cell r="D511" t="str">
            <v>1911325-D-A</v>
          </cell>
          <cell r="E511" t="str">
            <v>HJ80AL072P10002 JP</v>
          </cell>
          <cell r="F511" t="str">
            <v>JAPAN</v>
          </cell>
          <cell r="G511">
            <v>16</v>
          </cell>
          <cell r="H511">
            <v>16</v>
          </cell>
          <cell r="I511">
            <v>0</v>
          </cell>
          <cell r="J511" t="str">
            <v>FINISH</v>
          </cell>
          <cell r="K511">
            <v>46239</v>
          </cell>
          <cell r="L511">
            <v>46251</v>
          </cell>
        </row>
        <row r="512">
          <cell r="A512" t="str">
            <v>CA-H2607-PD-573</v>
          </cell>
          <cell r="B512" t="str">
            <v xml:space="preserve">Hyperion </v>
          </cell>
          <cell r="C512">
            <v>11119662</v>
          </cell>
          <cell r="D512" t="str">
            <v>1911328-D-A</v>
          </cell>
          <cell r="E512" t="str">
            <v>HJ80AL100P09002 JP</v>
          </cell>
          <cell r="F512" t="str">
            <v>JAPAN</v>
          </cell>
          <cell r="G512">
            <v>1</v>
          </cell>
          <cell r="H512">
            <v>1</v>
          </cell>
          <cell r="I512">
            <v>0</v>
          </cell>
          <cell r="J512" t="str">
            <v>FINISH</v>
          </cell>
          <cell r="K512">
            <v>46239</v>
          </cell>
          <cell r="L512">
            <v>46251</v>
          </cell>
        </row>
        <row r="513">
          <cell r="A513" t="str">
            <v>CA-H2607-PD-574</v>
          </cell>
          <cell r="B513" t="str">
            <v xml:space="preserve">Hyperion </v>
          </cell>
          <cell r="C513">
            <v>11119665</v>
          </cell>
          <cell r="D513" t="str">
            <v>1911331-D-A</v>
          </cell>
          <cell r="E513" t="str">
            <v>HJ80AL150P10002 JP</v>
          </cell>
          <cell r="F513" t="str">
            <v>JAPAN</v>
          </cell>
          <cell r="G513">
            <v>1</v>
          </cell>
          <cell r="H513">
            <v>1</v>
          </cell>
          <cell r="I513">
            <v>0</v>
          </cell>
          <cell r="J513" t="str">
            <v>FINISH</v>
          </cell>
          <cell r="K513">
            <v>46239</v>
          </cell>
          <cell r="L513">
            <v>46251</v>
          </cell>
        </row>
        <row r="514">
          <cell r="A514" t="str">
            <v>CA-H2607-PD-575</v>
          </cell>
          <cell r="B514" t="str">
            <v xml:space="preserve">Hyperion </v>
          </cell>
          <cell r="C514">
            <v>11119582</v>
          </cell>
          <cell r="D514" t="str">
            <v>1911248-D-A</v>
          </cell>
          <cell r="E514" t="str">
            <v>HJ80AL152P10000 JP</v>
          </cell>
          <cell r="F514" t="str">
            <v>JAPAN</v>
          </cell>
          <cell r="G514">
            <v>26</v>
          </cell>
          <cell r="H514">
            <v>26</v>
          </cell>
          <cell r="I514">
            <v>0</v>
          </cell>
          <cell r="J514" t="str">
            <v>FINISH</v>
          </cell>
          <cell r="K514">
            <v>46239</v>
          </cell>
          <cell r="L514">
            <v>46251</v>
          </cell>
        </row>
        <row r="515">
          <cell r="A515" t="str">
            <v>CA-H2607-PD-576</v>
          </cell>
          <cell r="B515" t="str">
            <v xml:space="preserve">Hyperion </v>
          </cell>
          <cell r="C515">
            <v>11119667</v>
          </cell>
          <cell r="D515" t="str">
            <v>1911333-D-A</v>
          </cell>
          <cell r="E515" t="str">
            <v>HJ80AL152P10002 JP</v>
          </cell>
          <cell r="F515" t="str">
            <v>JAPAN</v>
          </cell>
          <cell r="G515">
            <v>11</v>
          </cell>
          <cell r="H515">
            <v>11</v>
          </cell>
          <cell r="I515">
            <v>0</v>
          </cell>
          <cell r="J515" t="str">
            <v>FINISH</v>
          </cell>
          <cell r="K515">
            <v>46239</v>
          </cell>
          <cell r="L515">
            <v>46251</v>
          </cell>
        </row>
        <row r="516">
          <cell r="A516" t="str">
            <v>CA-H2607-PD-577</v>
          </cell>
          <cell r="B516" t="str">
            <v xml:space="preserve">Hyperion </v>
          </cell>
          <cell r="C516">
            <v>11119669</v>
          </cell>
          <cell r="D516" t="str">
            <v>1911335-D-A</v>
          </cell>
          <cell r="E516" t="str">
            <v>HJ80AL200P10002 JP</v>
          </cell>
          <cell r="F516" t="str">
            <v>JAPAN</v>
          </cell>
          <cell r="G516">
            <v>3</v>
          </cell>
          <cell r="H516">
            <v>3</v>
          </cell>
          <cell r="I516">
            <v>0</v>
          </cell>
          <cell r="J516" t="str">
            <v>FINISH</v>
          </cell>
          <cell r="K516">
            <v>46239</v>
          </cell>
          <cell r="L516">
            <v>46251</v>
          </cell>
        </row>
        <row r="517">
          <cell r="A517" t="str">
            <v>CA-H2607-PD-578</v>
          </cell>
          <cell r="B517" t="str">
            <v xml:space="preserve">Hyperion </v>
          </cell>
          <cell r="C517">
            <v>11119587</v>
          </cell>
          <cell r="D517" t="str">
            <v>1911253-D-A</v>
          </cell>
          <cell r="E517" t="str">
            <v>HJ80AL202P10000 JP</v>
          </cell>
          <cell r="F517" t="str">
            <v>JAPAN</v>
          </cell>
          <cell r="G517">
            <v>15</v>
          </cell>
          <cell r="H517">
            <v>15</v>
          </cell>
          <cell r="I517">
            <v>0</v>
          </cell>
          <cell r="J517" t="str">
            <v>FINISH</v>
          </cell>
          <cell r="K517">
            <v>46239</v>
          </cell>
          <cell r="L517">
            <v>46251</v>
          </cell>
        </row>
        <row r="518">
          <cell r="A518" t="str">
            <v>CA-H2607-PD-579</v>
          </cell>
          <cell r="B518" t="str">
            <v xml:space="preserve">Hyperion </v>
          </cell>
          <cell r="C518">
            <v>11119671</v>
          </cell>
          <cell r="D518" t="str">
            <v>1911337-D-A</v>
          </cell>
          <cell r="E518" t="str">
            <v>HJ80AL202P10002 JP</v>
          </cell>
          <cell r="F518" t="str">
            <v>JAPAN</v>
          </cell>
          <cell r="G518">
            <v>3</v>
          </cell>
          <cell r="H518">
            <v>3</v>
          </cell>
          <cell r="I518">
            <v>0</v>
          </cell>
          <cell r="J518" t="str">
            <v>FINISH</v>
          </cell>
          <cell r="K518">
            <v>46239</v>
          </cell>
          <cell r="L518">
            <v>46251</v>
          </cell>
        </row>
        <row r="519">
          <cell r="A519" t="str">
            <v>CA-H2607-PD-580</v>
          </cell>
          <cell r="B519" t="str">
            <v xml:space="preserve">Hyperion </v>
          </cell>
          <cell r="C519">
            <v>11119601</v>
          </cell>
          <cell r="D519" t="str">
            <v>1911267-D-A</v>
          </cell>
          <cell r="E519" t="str">
            <v>HJ80IM000P10010 JP</v>
          </cell>
          <cell r="F519" t="str">
            <v>JAPAN</v>
          </cell>
          <cell r="G519">
            <v>2</v>
          </cell>
          <cell r="H519">
            <v>2</v>
          </cell>
          <cell r="I519">
            <v>0</v>
          </cell>
          <cell r="J519" t="str">
            <v>FINISH</v>
          </cell>
          <cell r="K519">
            <v>46239</v>
          </cell>
          <cell r="L519">
            <v>46251</v>
          </cell>
        </row>
        <row r="520">
          <cell r="A520" t="str">
            <v>CA-H2607-PD-581</v>
          </cell>
          <cell r="B520" t="str">
            <v xml:space="preserve">Hyperion </v>
          </cell>
          <cell r="C520">
            <v>11119605</v>
          </cell>
          <cell r="D520" t="str">
            <v>1911271-D-A</v>
          </cell>
          <cell r="E520" t="str">
            <v>HJ80JL352P10000 JP</v>
          </cell>
          <cell r="F520" t="str">
            <v>JAPAN</v>
          </cell>
          <cell r="G520">
            <v>4</v>
          </cell>
          <cell r="H520">
            <v>4</v>
          </cell>
          <cell r="I520">
            <v>0</v>
          </cell>
          <cell r="J520" t="str">
            <v>FINISH</v>
          </cell>
          <cell r="K520">
            <v>46239</v>
          </cell>
          <cell r="L520">
            <v>46251</v>
          </cell>
        </row>
        <row r="521">
          <cell r="A521" t="str">
            <v>CA-H2607-PD-582</v>
          </cell>
          <cell r="B521" t="str">
            <v xml:space="preserve">Hyperion </v>
          </cell>
          <cell r="C521">
            <v>11119610</v>
          </cell>
          <cell r="D521" t="str">
            <v>1911276-D-A</v>
          </cell>
          <cell r="E521" t="str">
            <v>HJ80JL400P10000 JP</v>
          </cell>
          <cell r="F521" t="str">
            <v>JAPAN</v>
          </cell>
          <cell r="G521">
            <v>1</v>
          </cell>
          <cell r="H521">
            <v>1</v>
          </cell>
          <cell r="I521">
            <v>0</v>
          </cell>
          <cell r="J521" t="str">
            <v>FINISH</v>
          </cell>
          <cell r="K521">
            <v>46239</v>
          </cell>
          <cell r="L521">
            <v>46251</v>
          </cell>
        </row>
        <row r="522">
          <cell r="A522" t="str">
            <v>CA-H2607-PD-583</v>
          </cell>
          <cell r="B522" t="str">
            <v xml:space="preserve">Hyperion </v>
          </cell>
          <cell r="C522">
            <v>11119615</v>
          </cell>
          <cell r="D522" t="str">
            <v>1911281-D-A</v>
          </cell>
          <cell r="E522" t="str">
            <v>HJ80JL402P10001 JP</v>
          </cell>
          <cell r="F522" t="str">
            <v>JAPAN</v>
          </cell>
          <cell r="G522">
            <v>7</v>
          </cell>
          <cell r="H522">
            <v>7</v>
          </cell>
          <cell r="I522">
            <v>0</v>
          </cell>
          <cell r="J522" t="str">
            <v>FINISH</v>
          </cell>
          <cell r="K522">
            <v>46239</v>
          </cell>
          <cell r="L522">
            <v>46251</v>
          </cell>
        </row>
        <row r="523">
          <cell r="A523" t="str">
            <v>CA-H2607-PD-584</v>
          </cell>
          <cell r="B523" t="str">
            <v xml:space="preserve">Hyperion </v>
          </cell>
          <cell r="C523">
            <v>11119627</v>
          </cell>
          <cell r="D523" t="str">
            <v>1911293-D-A</v>
          </cell>
          <cell r="E523" t="str">
            <v>HJ80JR352P10000 JP</v>
          </cell>
          <cell r="F523" t="str">
            <v>JAPAN</v>
          </cell>
          <cell r="G523">
            <v>14</v>
          </cell>
          <cell r="H523">
            <v>14</v>
          </cell>
          <cell r="I523">
            <v>0</v>
          </cell>
          <cell r="J523" t="str">
            <v>FINISH</v>
          </cell>
          <cell r="K523">
            <v>46239</v>
          </cell>
          <cell r="L523">
            <v>46251</v>
          </cell>
        </row>
        <row r="524">
          <cell r="A524" t="str">
            <v>CA-H2607-PD-585</v>
          </cell>
          <cell r="B524" t="str">
            <v xml:space="preserve">Hyperion </v>
          </cell>
          <cell r="C524">
            <v>11119629</v>
          </cell>
          <cell r="D524" t="str">
            <v>1911295-D-A</v>
          </cell>
          <cell r="E524" t="str">
            <v>HJ80JR400P10000 JP</v>
          </cell>
          <cell r="F524" t="str">
            <v>JAPAN</v>
          </cell>
          <cell r="G524">
            <v>9</v>
          </cell>
          <cell r="H524">
            <v>9</v>
          </cell>
          <cell r="I524">
            <v>0</v>
          </cell>
          <cell r="J524" t="str">
            <v>FINISH</v>
          </cell>
          <cell r="K524">
            <v>46239</v>
          </cell>
          <cell r="L524">
            <v>46251</v>
          </cell>
        </row>
        <row r="525">
          <cell r="A525" t="str">
            <v>CA-H2607-PD-586</v>
          </cell>
          <cell r="B525" t="str">
            <v xml:space="preserve">Hyperion </v>
          </cell>
          <cell r="C525">
            <v>11119631</v>
          </cell>
          <cell r="D525" t="str">
            <v>1911297-D-A</v>
          </cell>
          <cell r="E525" t="str">
            <v>HJ80JR402P10000 JP</v>
          </cell>
          <cell r="F525" t="str">
            <v>JAPAN</v>
          </cell>
          <cell r="G525">
            <v>11</v>
          </cell>
          <cell r="H525">
            <v>11</v>
          </cell>
          <cell r="I525">
            <v>0</v>
          </cell>
          <cell r="J525" t="str">
            <v>FINISH</v>
          </cell>
          <cell r="K525">
            <v>46239</v>
          </cell>
          <cell r="L525">
            <v>46251</v>
          </cell>
        </row>
        <row r="526">
          <cell r="A526" t="str">
            <v>CA-H2607-PD-587</v>
          </cell>
          <cell r="B526" t="str">
            <v>HyperionYubo changed</v>
          </cell>
          <cell r="C526">
            <v>11134305</v>
          </cell>
          <cell r="D526" t="str">
            <v>1911344-E-A</v>
          </cell>
          <cell r="E526" t="str">
            <v>HJ80SP302P10000 JP</v>
          </cell>
          <cell r="F526" t="str">
            <v>JAPAN</v>
          </cell>
          <cell r="G526">
            <v>20</v>
          </cell>
          <cell r="H526">
            <v>20</v>
          </cell>
          <cell r="I526">
            <v>0</v>
          </cell>
          <cell r="J526" t="str">
            <v>FINISH</v>
          </cell>
          <cell r="K526">
            <v>46239</v>
          </cell>
          <cell r="L526">
            <v>46251</v>
          </cell>
        </row>
        <row r="527">
          <cell r="A527" t="str">
            <v>CA-H2607-PD-588</v>
          </cell>
          <cell r="B527" t="str">
            <v>HyperionYubo changed</v>
          </cell>
          <cell r="C527">
            <v>11134309</v>
          </cell>
          <cell r="D527" t="str">
            <v>1911348-E-A</v>
          </cell>
          <cell r="E527" t="str">
            <v>HJ80SP352P09000 JP</v>
          </cell>
          <cell r="F527" t="str">
            <v>JAPAN</v>
          </cell>
          <cell r="G527">
            <v>3</v>
          </cell>
          <cell r="H527">
            <v>3</v>
          </cell>
          <cell r="I527">
            <v>0</v>
          </cell>
          <cell r="J527" t="str">
            <v>FINISH</v>
          </cell>
          <cell r="K527">
            <v>46239</v>
          </cell>
          <cell r="L527">
            <v>46251</v>
          </cell>
        </row>
        <row r="528">
          <cell r="A528" t="str">
            <v>CA-H2607-PD-589</v>
          </cell>
          <cell r="B528" t="str">
            <v>HyperionYubo changed</v>
          </cell>
          <cell r="C528">
            <v>11134314</v>
          </cell>
          <cell r="D528" t="str">
            <v>1911353-E-A</v>
          </cell>
          <cell r="E528" t="str">
            <v>HJ80SP402P10000 JP</v>
          </cell>
          <cell r="F528" t="str">
            <v>JAPAN</v>
          </cell>
          <cell r="G528">
            <v>5</v>
          </cell>
          <cell r="H528">
            <v>5</v>
          </cell>
          <cell r="I528">
            <v>0</v>
          </cell>
          <cell r="J528" t="str">
            <v>FINISH</v>
          </cell>
          <cell r="K528">
            <v>46239</v>
          </cell>
          <cell r="L528">
            <v>46251</v>
          </cell>
        </row>
        <row r="529">
          <cell r="A529" t="str">
            <v>CA-H2607-PD-590</v>
          </cell>
          <cell r="B529" t="str">
            <v xml:space="preserve">Masters parkway </v>
          </cell>
          <cell r="C529">
            <v>11125153</v>
          </cell>
          <cell r="D529" t="str">
            <v>1941022-F-A</v>
          </cell>
          <cell r="E529" t="str">
            <v>MST105-27HFR JP</v>
          </cell>
          <cell r="F529" t="str">
            <v>JAPAN</v>
          </cell>
          <cell r="G529">
            <v>8</v>
          </cell>
          <cell r="H529">
            <v>8</v>
          </cell>
          <cell r="I529">
            <v>0</v>
          </cell>
          <cell r="J529" t="str">
            <v>FINISH</v>
          </cell>
          <cell r="K529">
            <v>46239</v>
          </cell>
          <cell r="L529">
            <v>46251</v>
          </cell>
        </row>
        <row r="530">
          <cell r="A530" t="str">
            <v>CA-H2607-PD-591</v>
          </cell>
          <cell r="B530" t="str">
            <v xml:space="preserve">Masters parkway </v>
          </cell>
          <cell r="C530">
            <v>11125141</v>
          </cell>
          <cell r="D530" t="str">
            <v>1941010-D-A</v>
          </cell>
          <cell r="E530" t="str">
            <v>MST125-18PWSFR JP</v>
          </cell>
          <cell r="F530" t="str">
            <v>JAPAN</v>
          </cell>
          <cell r="G530">
            <v>10</v>
          </cell>
          <cell r="H530">
            <v>10</v>
          </cell>
          <cell r="I530">
            <v>0</v>
          </cell>
          <cell r="J530" t="str">
            <v>FINISH</v>
          </cell>
          <cell r="K530">
            <v>46239</v>
          </cell>
          <cell r="L530">
            <v>46251</v>
          </cell>
        </row>
        <row r="531">
          <cell r="A531" t="str">
            <v>CA-H2607-PD-592</v>
          </cell>
          <cell r="B531" t="str">
            <v xml:space="preserve">Masters parkway </v>
          </cell>
          <cell r="C531">
            <v>11125142</v>
          </cell>
          <cell r="D531" t="str">
            <v>1941011-D-A</v>
          </cell>
          <cell r="E531" t="str">
            <v>MST150-18PWSFR JP</v>
          </cell>
          <cell r="F531" t="str">
            <v>JAPAN</v>
          </cell>
          <cell r="G531">
            <v>14</v>
          </cell>
          <cell r="H531">
            <v>14</v>
          </cell>
          <cell r="I531">
            <v>0</v>
          </cell>
          <cell r="J531" t="str">
            <v>FINISH</v>
          </cell>
          <cell r="K531">
            <v>46239</v>
          </cell>
          <cell r="L531">
            <v>46251</v>
          </cell>
        </row>
        <row r="532">
          <cell r="A532" t="str">
            <v>CA-H2607-PD-592-1</v>
          </cell>
          <cell r="B532" t="str">
            <v xml:space="preserve">Masters parkway </v>
          </cell>
          <cell r="C532">
            <v>11126311</v>
          </cell>
          <cell r="D532" t="str">
            <v>1941011-E-A</v>
          </cell>
          <cell r="E532" t="str">
            <v>MST150-18PWSFR JP</v>
          </cell>
          <cell r="F532" t="str">
            <v>JAPAN</v>
          </cell>
          <cell r="G532">
            <v>1</v>
          </cell>
          <cell r="H532">
            <v>1</v>
          </cell>
          <cell r="I532">
            <v>1</v>
          </cell>
          <cell r="J532" t="str">
            <v>FINISH</v>
          </cell>
          <cell r="K532">
            <v>46239</v>
          </cell>
          <cell r="L532">
            <v>46251</v>
          </cell>
        </row>
        <row r="533">
          <cell r="A533" t="str">
            <v>CA-H2607-PD-593-1</v>
          </cell>
          <cell r="B533" t="str">
            <v xml:space="preserve">Masters parkway </v>
          </cell>
          <cell r="C533">
            <v>11131954</v>
          </cell>
          <cell r="D533" t="str">
            <v>1941013-F-A</v>
          </cell>
          <cell r="E533" t="str">
            <v>MST45A-18PWSFR JP</v>
          </cell>
          <cell r="F533" t="str">
            <v>JAPAN</v>
          </cell>
          <cell r="G533">
            <v>3</v>
          </cell>
          <cell r="H533">
            <v>3</v>
          </cell>
          <cell r="I533">
            <v>3</v>
          </cell>
          <cell r="J533" t="str">
            <v>FINISH</v>
          </cell>
          <cell r="K533">
            <v>46239</v>
          </cell>
          <cell r="L533">
            <v>46251</v>
          </cell>
        </row>
        <row r="534">
          <cell r="A534" t="str">
            <v>CA-H2607-PD-593</v>
          </cell>
          <cell r="B534" t="str">
            <v xml:space="preserve">Masters parkway </v>
          </cell>
          <cell r="C534">
            <v>11125144</v>
          </cell>
          <cell r="D534" t="str">
            <v>1941013-E-A</v>
          </cell>
          <cell r="E534" t="str">
            <v>MST45A-18PWSFR JP</v>
          </cell>
          <cell r="F534" t="str">
            <v>JAPAN</v>
          </cell>
          <cell r="G534">
            <v>11</v>
          </cell>
          <cell r="H534">
            <v>11</v>
          </cell>
          <cell r="I534">
            <v>0</v>
          </cell>
          <cell r="J534" t="str">
            <v>FINISH</v>
          </cell>
          <cell r="K534">
            <v>46239</v>
          </cell>
          <cell r="L534">
            <v>46251</v>
          </cell>
        </row>
        <row r="535">
          <cell r="A535" t="str">
            <v>CA-H2607-PD-594</v>
          </cell>
          <cell r="B535" t="str">
            <v xml:space="preserve">Masters parkway </v>
          </cell>
          <cell r="C535">
            <v>11125143</v>
          </cell>
          <cell r="D535" t="str">
            <v>1941012-E-A</v>
          </cell>
          <cell r="E535" t="str">
            <v>MST45A-18PWSSFR JP</v>
          </cell>
          <cell r="F535" t="str">
            <v>JAPAN</v>
          </cell>
          <cell r="G535">
            <v>2</v>
          </cell>
          <cell r="H535">
            <v>2</v>
          </cell>
          <cell r="I535">
            <v>0</v>
          </cell>
          <cell r="J535" t="str">
            <v>FINISH</v>
          </cell>
          <cell r="K535">
            <v>46239</v>
          </cell>
          <cell r="L535">
            <v>46251</v>
          </cell>
        </row>
        <row r="536">
          <cell r="A536" t="str">
            <v>CA-H2607-PD-595</v>
          </cell>
          <cell r="B536" t="str">
            <v xml:space="preserve">Tellus </v>
          </cell>
          <cell r="C536">
            <v>11134360</v>
          </cell>
          <cell r="D536" t="str">
            <v>1941056-F-A</v>
          </cell>
          <cell r="E536" t="str">
            <v>TLS105-16SR JP</v>
          </cell>
          <cell r="F536" t="str">
            <v>J-sales</v>
          </cell>
          <cell r="G536">
            <v>18</v>
          </cell>
          <cell r="H536">
            <v>18</v>
          </cell>
          <cell r="I536">
            <v>0</v>
          </cell>
          <cell r="J536" t="str">
            <v>FINISH</v>
          </cell>
          <cell r="K536">
            <v>46239</v>
          </cell>
          <cell r="L536">
            <v>46251</v>
          </cell>
        </row>
        <row r="537">
          <cell r="A537" t="str">
            <v>CA-H2607-PD-596</v>
          </cell>
          <cell r="B537" t="str">
            <v xml:space="preserve">Tellus </v>
          </cell>
          <cell r="C537">
            <v>11132001</v>
          </cell>
          <cell r="D537" t="str">
            <v>1941063-D-A</v>
          </cell>
          <cell r="E537" t="str">
            <v>TLS105-16YR JP</v>
          </cell>
          <cell r="F537" t="str">
            <v>J-sales</v>
          </cell>
          <cell r="G537">
            <v>13</v>
          </cell>
          <cell r="H537">
            <v>13</v>
          </cell>
          <cell r="I537">
            <v>0</v>
          </cell>
          <cell r="J537" t="str">
            <v>FINISH</v>
          </cell>
          <cell r="K537">
            <v>46239</v>
          </cell>
          <cell r="L537">
            <v>46251</v>
          </cell>
        </row>
        <row r="538">
          <cell r="A538" t="str">
            <v>CA-H2607-PD-597</v>
          </cell>
          <cell r="B538" t="str">
            <v xml:space="preserve">Tellus </v>
          </cell>
          <cell r="C538">
            <v>11134364</v>
          </cell>
          <cell r="D538" t="str">
            <v>1941060-G-A</v>
          </cell>
          <cell r="E538" t="str">
            <v>TLS125-16ASR JP</v>
          </cell>
          <cell r="F538" t="str">
            <v>J-sales</v>
          </cell>
          <cell r="G538">
            <v>3</v>
          </cell>
          <cell r="H538">
            <v>3</v>
          </cell>
          <cell r="I538">
            <v>0</v>
          </cell>
          <cell r="J538" t="str">
            <v>FINISH</v>
          </cell>
          <cell r="K538">
            <v>46239</v>
          </cell>
          <cell r="L538">
            <v>46251</v>
          </cell>
        </row>
        <row r="539">
          <cell r="A539" t="str">
            <v>CA-H2607-PD-598</v>
          </cell>
          <cell r="B539" t="str">
            <v xml:space="preserve">Tellus </v>
          </cell>
          <cell r="C539">
            <v>11134361</v>
          </cell>
          <cell r="D539" t="str">
            <v>1941057-F-A</v>
          </cell>
          <cell r="E539" t="str">
            <v>TLS125-16SR JP</v>
          </cell>
          <cell r="F539" t="str">
            <v>J-sales</v>
          </cell>
          <cell r="G539">
            <v>5</v>
          </cell>
          <cell r="H539">
            <v>5</v>
          </cell>
          <cell r="I539">
            <v>0</v>
          </cell>
          <cell r="J539" t="str">
            <v>FINISH</v>
          </cell>
          <cell r="K539">
            <v>46239</v>
          </cell>
          <cell r="L539">
            <v>46251</v>
          </cell>
        </row>
        <row r="540">
          <cell r="A540" t="str">
            <v>CA-H2607-PD-599</v>
          </cell>
          <cell r="B540" t="str">
            <v xml:space="preserve">Tellus </v>
          </cell>
          <cell r="C540">
            <v>11134366</v>
          </cell>
          <cell r="D540" t="str">
            <v>1941062-G-A</v>
          </cell>
          <cell r="E540" t="str">
            <v>TLS125-16SSLR JP</v>
          </cell>
          <cell r="F540" t="str">
            <v>J-sales</v>
          </cell>
          <cell r="G540">
            <v>2</v>
          </cell>
          <cell r="H540">
            <v>2</v>
          </cell>
          <cell r="I540">
            <v>0</v>
          </cell>
          <cell r="J540" t="str">
            <v>FINISH</v>
          </cell>
          <cell r="K540">
            <v>46239</v>
          </cell>
          <cell r="L540">
            <v>46251</v>
          </cell>
        </row>
        <row r="541">
          <cell r="A541" t="str">
            <v>CA-H2607-PD-600</v>
          </cell>
          <cell r="B541" t="str">
            <v xml:space="preserve">Tellus </v>
          </cell>
          <cell r="C541">
            <v>11134365</v>
          </cell>
          <cell r="D541" t="str">
            <v>1941061-G-A</v>
          </cell>
          <cell r="E541" t="str">
            <v>TLS125-16SSRR JP</v>
          </cell>
          <cell r="F541" t="str">
            <v>J-sales</v>
          </cell>
          <cell r="G541">
            <v>1</v>
          </cell>
          <cell r="H541">
            <v>1</v>
          </cell>
          <cell r="I541">
            <v>0</v>
          </cell>
          <cell r="J541" t="str">
            <v>FINISH</v>
          </cell>
          <cell r="K541">
            <v>46239</v>
          </cell>
          <cell r="L541">
            <v>46251</v>
          </cell>
        </row>
        <row r="542">
          <cell r="A542" t="str">
            <v>CA-H2607-PD-601</v>
          </cell>
          <cell r="B542" t="str">
            <v xml:space="preserve">Tellus </v>
          </cell>
          <cell r="C542">
            <v>11132002</v>
          </cell>
          <cell r="D542" t="str">
            <v>1941064-D-A</v>
          </cell>
          <cell r="E542" t="str">
            <v>TLS125-16YR JP</v>
          </cell>
          <cell r="F542" t="str">
            <v>J-sales</v>
          </cell>
          <cell r="G542">
            <v>4</v>
          </cell>
          <cell r="H542">
            <v>4</v>
          </cell>
          <cell r="I542">
            <v>0</v>
          </cell>
          <cell r="J542" t="str">
            <v>FINISH</v>
          </cell>
          <cell r="K542">
            <v>46239</v>
          </cell>
          <cell r="L542">
            <v>46251</v>
          </cell>
        </row>
        <row r="543">
          <cell r="A543" t="str">
            <v>CA-H2607-PD-602</v>
          </cell>
          <cell r="B543" t="str">
            <v xml:space="preserve">Tellus </v>
          </cell>
          <cell r="C543">
            <v>11134362</v>
          </cell>
          <cell r="D543" t="str">
            <v>1941058-F-A</v>
          </cell>
          <cell r="E543" t="str">
            <v>TLS150-16SR JP</v>
          </cell>
          <cell r="F543" t="str">
            <v>J-sales</v>
          </cell>
          <cell r="G543">
            <v>11</v>
          </cell>
          <cell r="H543">
            <v>11</v>
          </cell>
          <cell r="I543">
            <v>0</v>
          </cell>
          <cell r="J543" t="str">
            <v>FINISH</v>
          </cell>
          <cell r="K543">
            <v>46239</v>
          </cell>
          <cell r="L543">
            <v>46251</v>
          </cell>
        </row>
        <row r="544">
          <cell r="A544" t="str">
            <v>CA-H2607-PD-603</v>
          </cell>
          <cell r="B544" t="str">
            <v xml:space="preserve">Tellus </v>
          </cell>
          <cell r="C544">
            <v>11132003</v>
          </cell>
          <cell r="D544" t="str">
            <v>1941065-D-A</v>
          </cell>
          <cell r="E544" t="str">
            <v>TLS150-16YR JP</v>
          </cell>
          <cell r="F544" t="str">
            <v>J-sales</v>
          </cell>
          <cell r="G544">
            <v>1</v>
          </cell>
          <cell r="H544">
            <v>1</v>
          </cell>
          <cell r="I544">
            <v>0</v>
          </cell>
          <cell r="J544" t="str">
            <v>FINISH</v>
          </cell>
          <cell r="K544">
            <v>46239</v>
          </cell>
          <cell r="L544">
            <v>46251</v>
          </cell>
        </row>
        <row r="545">
          <cell r="A545" t="str">
            <v>CA-H2607-PD-604</v>
          </cell>
          <cell r="B545" t="str">
            <v xml:space="preserve">Veloute </v>
          </cell>
          <cell r="C545">
            <v>11134346</v>
          </cell>
          <cell r="D545" t="str">
            <v>1941032-G-A</v>
          </cell>
          <cell r="E545" t="str">
            <v>VEL105-16ASR JP</v>
          </cell>
          <cell r="F545" t="str">
            <v>JAPAN</v>
          </cell>
          <cell r="G545">
            <v>17</v>
          </cell>
          <cell r="H545">
            <v>17</v>
          </cell>
          <cell r="I545">
            <v>0</v>
          </cell>
          <cell r="J545" t="str">
            <v>FINISH</v>
          </cell>
          <cell r="K545">
            <v>46239</v>
          </cell>
          <cell r="L545">
            <v>46251</v>
          </cell>
        </row>
        <row r="546">
          <cell r="A546" t="str">
            <v>CA-H2607-PD-605</v>
          </cell>
          <cell r="B546" t="str">
            <v xml:space="preserve">Veloute </v>
          </cell>
          <cell r="C546">
            <v>11134343</v>
          </cell>
          <cell r="D546" t="str">
            <v>1941029-F-A</v>
          </cell>
          <cell r="E546" t="str">
            <v>VEL105-16SR JP</v>
          </cell>
          <cell r="F546" t="str">
            <v>JAPAN</v>
          </cell>
          <cell r="G546">
            <v>3</v>
          </cell>
          <cell r="H546">
            <v>3</v>
          </cell>
          <cell r="I546">
            <v>0</v>
          </cell>
          <cell r="J546" t="str">
            <v>FINISH</v>
          </cell>
          <cell r="K546">
            <v>46239</v>
          </cell>
          <cell r="L546">
            <v>46251</v>
          </cell>
        </row>
        <row r="547">
          <cell r="A547" t="str">
            <v>CA-H2607-PD-606</v>
          </cell>
          <cell r="B547" t="str">
            <v xml:space="preserve">Veloute </v>
          </cell>
          <cell r="C547">
            <v>11134347</v>
          </cell>
          <cell r="D547" t="str">
            <v>1941033-G-A</v>
          </cell>
          <cell r="E547" t="str">
            <v>VEL125-16ASR JP</v>
          </cell>
          <cell r="F547" t="str">
            <v>JAPAN</v>
          </cell>
          <cell r="G547">
            <v>24</v>
          </cell>
          <cell r="H547">
            <v>24</v>
          </cell>
          <cell r="I547">
            <v>0</v>
          </cell>
          <cell r="J547" t="str">
            <v>FINISH</v>
          </cell>
          <cell r="K547">
            <v>46239</v>
          </cell>
          <cell r="L547">
            <v>46251</v>
          </cell>
        </row>
        <row r="548">
          <cell r="A548" t="str">
            <v>CA-H2607-PD-607</v>
          </cell>
          <cell r="B548" t="str">
            <v xml:space="preserve">Veloute </v>
          </cell>
          <cell r="C548">
            <v>11134344</v>
          </cell>
          <cell r="D548" t="str">
            <v>1941030-F-A</v>
          </cell>
          <cell r="E548" t="str">
            <v>VEL125-16SR JP</v>
          </cell>
          <cell r="F548" t="str">
            <v>JAPAN</v>
          </cell>
          <cell r="G548">
            <v>6</v>
          </cell>
          <cell r="H548">
            <v>6</v>
          </cell>
          <cell r="I548">
            <v>0</v>
          </cell>
          <cell r="J548" t="str">
            <v>FINISH</v>
          </cell>
          <cell r="K548">
            <v>46239</v>
          </cell>
          <cell r="L548">
            <v>46251</v>
          </cell>
        </row>
        <row r="549">
          <cell r="A549" t="str">
            <v>CA-H2607-PD-474</v>
          </cell>
          <cell r="B549" t="str">
            <v>Caravel</v>
          </cell>
          <cell r="C549">
            <v>11131256</v>
          </cell>
          <cell r="D549" t="str">
            <v>1841033-E-A</v>
          </cell>
          <cell r="E549" t="str">
            <v>CRV135-19M JP</v>
          </cell>
          <cell r="F549" t="str">
            <v>J-sales</v>
          </cell>
          <cell r="G549">
            <v>30</v>
          </cell>
          <cell r="H549">
            <v>30</v>
          </cell>
          <cell r="I549">
            <v>0</v>
          </cell>
          <cell r="J549" t="str">
            <v>FINISH</v>
          </cell>
          <cell r="K549">
            <v>46240</v>
          </cell>
          <cell r="L549">
            <v>46252</v>
          </cell>
        </row>
        <row r="550">
          <cell r="A550" t="str">
            <v>CA-H2606-PD-209</v>
          </cell>
          <cell r="B550" t="str">
            <v>Caravel</v>
          </cell>
          <cell r="C550">
            <v>11122087</v>
          </cell>
          <cell r="D550" t="str">
            <v>2341003-B-A</v>
          </cell>
          <cell r="E550" t="str">
            <v>CRV135-19P CE3</v>
          </cell>
          <cell r="F550" t="str">
            <v>Oversea</v>
          </cell>
          <cell r="G550">
            <v>5</v>
          </cell>
          <cell r="H550">
            <v>5</v>
          </cell>
          <cell r="I550">
            <v>0</v>
          </cell>
          <cell r="J550" t="str">
            <v>FINISH</v>
          </cell>
          <cell r="K550">
            <v>46242</v>
          </cell>
          <cell r="L550">
            <v>46254</v>
          </cell>
        </row>
        <row r="551">
          <cell r="A551" t="str">
            <v>CA-H2606-PD-210</v>
          </cell>
          <cell r="B551" t="str">
            <v>Caravel</v>
          </cell>
          <cell r="C551">
            <v>11122088</v>
          </cell>
          <cell r="D551" t="str">
            <v>2341004-B-A</v>
          </cell>
          <cell r="E551" t="str">
            <v>CRV150-19P CE3</v>
          </cell>
          <cell r="F551" t="str">
            <v>Oversea</v>
          </cell>
          <cell r="G551">
            <v>5</v>
          </cell>
          <cell r="H551">
            <v>5</v>
          </cell>
          <cell r="I551">
            <v>0</v>
          </cell>
          <cell r="J551" t="str">
            <v>FINISH</v>
          </cell>
          <cell r="K551">
            <v>46242</v>
          </cell>
          <cell r="L551">
            <v>46254</v>
          </cell>
        </row>
        <row r="552">
          <cell r="A552" t="str">
            <v>CA-H2606-PD-211</v>
          </cell>
          <cell r="B552" t="str">
            <v>Caravel</v>
          </cell>
          <cell r="C552">
            <v>11134223</v>
          </cell>
          <cell r="D552" t="str">
            <v>2341002-0-A</v>
          </cell>
          <cell r="E552" t="str">
            <v>CRV150-19S MDR</v>
          </cell>
          <cell r="F552" t="str">
            <v>Oversea</v>
          </cell>
          <cell r="G552">
            <v>50</v>
          </cell>
          <cell r="H552">
            <v>50</v>
          </cell>
          <cell r="I552">
            <v>0</v>
          </cell>
          <cell r="J552" t="str">
            <v>FINISH</v>
          </cell>
          <cell r="K552">
            <v>46242</v>
          </cell>
          <cell r="L552">
            <v>46254</v>
          </cell>
        </row>
        <row r="553">
          <cell r="A553" t="str">
            <v>CA-H2607-PD-371</v>
          </cell>
          <cell r="B553" t="str">
            <v xml:space="preserve">Hyperion </v>
          </cell>
          <cell r="C553">
            <v>11130565</v>
          </cell>
          <cell r="D553" t="str">
            <v>2211037-C-A</v>
          </cell>
          <cell r="E553" t="str">
            <v>HW60AL070P10000 NOCE</v>
          </cell>
          <cell r="F553" t="str">
            <v>Oversea</v>
          </cell>
          <cell r="G553">
            <v>20</v>
          </cell>
          <cell r="H553">
            <v>20</v>
          </cell>
          <cell r="I553">
            <v>0</v>
          </cell>
          <cell r="J553" t="str">
            <v>FINISH</v>
          </cell>
          <cell r="K553">
            <v>46242</v>
          </cell>
          <cell r="L553">
            <v>46254</v>
          </cell>
        </row>
        <row r="554">
          <cell r="A554" t="str">
            <v>CA-H2607-PD-372</v>
          </cell>
          <cell r="B554" t="str">
            <v xml:space="preserve">Hyperion </v>
          </cell>
          <cell r="C554">
            <v>11130566</v>
          </cell>
          <cell r="D554" t="str">
            <v>2211038-C-A</v>
          </cell>
          <cell r="E554" t="str">
            <v>HW60AL100P10000 NOCE</v>
          </cell>
          <cell r="F554" t="str">
            <v>Oversea</v>
          </cell>
          <cell r="G554">
            <v>25</v>
          </cell>
          <cell r="H554">
            <v>25</v>
          </cell>
          <cell r="I554">
            <v>0</v>
          </cell>
          <cell r="J554" t="str">
            <v>FINISH</v>
          </cell>
          <cell r="K554">
            <v>46242</v>
          </cell>
          <cell r="L554">
            <v>46254</v>
          </cell>
        </row>
        <row r="555">
          <cell r="A555" t="str">
            <v>CA-H2607-PD-373</v>
          </cell>
          <cell r="B555" t="str">
            <v xml:space="preserve">Hyperion </v>
          </cell>
          <cell r="C555">
            <v>11130573</v>
          </cell>
          <cell r="D555" t="str">
            <v>2211045-C-A</v>
          </cell>
          <cell r="E555" t="str">
            <v>HW60HS010P10000 NOCE</v>
          </cell>
          <cell r="F555" t="str">
            <v>Oversea</v>
          </cell>
          <cell r="G555">
            <v>5</v>
          </cell>
          <cell r="H555">
            <v>5</v>
          </cell>
          <cell r="I555">
            <v>0</v>
          </cell>
          <cell r="J555" t="str">
            <v>FINISH</v>
          </cell>
          <cell r="K555">
            <v>46242</v>
          </cell>
          <cell r="L555">
            <v>46254</v>
          </cell>
        </row>
        <row r="556">
          <cell r="A556" t="str">
            <v>CA-H2607-PD-374</v>
          </cell>
          <cell r="B556" t="str">
            <v xml:space="preserve">Hyperion </v>
          </cell>
          <cell r="C556">
            <v>11130546</v>
          </cell>
          <cell r="D556" t="str">
            <v>2211018-C-A</v>
          </cell>
          <cell r="E556" t="str">
            <v>HW60JL350P10000 NOCE</v>
          </cell>
          <cell r="F556" t="str">
            <v>Oversea</v>
          </cell>
          <cell r="G556">
            <v>20</v>
          </cell>
          <cell r="H556">
            <v>20</v>
          </cell>
          <cell r="I556">
            <v>0</v>
          </cell>
          <cell r="J556" t="str">
            <v>FINISH</v>
          </cell>
          <cell r="K556">
            <v>46242</v>
          </cell>
          <cell r="L556">
            <v>46254</v>
          </cell>
        </row>
        <row r="557">
          <cell r="A557" t="str">
            <v>CA-H2607-PD-375</v>
          </cell>
          <cell r="B557" t="str">
            <v xml:space="preserve">Hyperion </v>
          </cell>
          <cell r="C557">
            <v>11130547</v>
          </cell>
          <cell r="D557" t="str">
            <v>2211019-C-A</v>
          </cell>
          <cell r="E557" t="str">
            <v>HW60JL400P10000 NOCE</v>
          </cell>
          <cell r="F557" t="str">
            <v>Oversea</v>
          </cell>
          <cell r="G557">
            <v>10</v>
          </cell>
          <cell r="H557">
            <v>10</v>
          </cell>
          <cell r="I557">
            <v>0</v>
          </cell>
          <cell r="J557" t="str">
            <v>FINISH</v>
          </cell>
          <cell r="K557">
            <v>46242</v>
          </cell>
          <cell r="L557">
            <v>46254</v>
          </cell>
        </row>
        <row r="558">
          <cell r="A558" t="str">
            <v>CA-H2607-PD-376</v>
          </cell>
          <cell r="B558" t="str">
            <v xml:space="preserve">Hyperion </v>
          </cell>
          <cell r="C558">
            <v>11130583</v>
          </cell>
          <cell r="D558" t="str">
            <v>2211055-C-A</v>
          </cell>
          <cell r="E558" t="str">
            <v>HW60MP010P10000 NOCE</v>
          </cell>
          <cell r="F558" t="str">
            <v>Oversea</v>
          </cell>
          <cell r="G558">
            <v>20</v>
          </cell>
          <cell r="H558">
            <v>20</v>
          </cell>
          <cell r="I558">
            <v>0</v>
          </cell>
          <cell r="J558" t="str">
            <v>FINISH</v>
          </cell>
          <cell r="K558">
            <v>46242</v>
          </cell>
          <cell r="L558">
            <v>46254</v>
          </cell>
        </row>
        <row r="559">
          <cell r="A559" t="str">
            <v>CA-H2607-PD-377</v>
          </cell>
          <cell r="B559" t="str">
            <v>HyperionYubo changed</v>
          </cell>
          <cell r="C559">
            <v>11132714</v>
          </cell>
          <cell r="D559" t="str">
            <v>2211029-D-A</v>
          </cell>
          <cell r="E559" t="str">
            <v>HW60PB300P10000 NOCE</v>
          </cell>
          <cell r="F559" t="str">
            <v>Oversea</v>
          </cell>
          <cell r="G559">
            <v>50</v>
          </cell>
          <cell r="H559">
            <v>50</v>
          </cell>
          <cell r="I559">
            <v>0</v>
          </cell>
          <cell r="J559" t="str">
            <v>FINISH</v>
          </cell>
          <cell r="K559">
            <v>46242</v>
          </cell>
          <cell r="L559">
            <v>46254</v>
          </cell>
        </row>
        <row r="560">
          <cell r="A560" t="str">
            <v>CA-H2607-PD-378</v>
          </cell>
          <cell r="B560" t="str">
            <v>HyperionYubo changed</v>
          </cell>
          <cell r="C560">
            <v>11132715</v>
          </cell>
          <cell r="D560" t="str">
            <v>2211030-D-A</v>
          </cell>
          <cell r="E560" t="str">
            <v>HW60PB350P10000 NOCE</v>
          </cell>
          <cell r="F560" t="str">
            <v>Oversea</v>
          </cell>
          <cell r="G560">
            <v>20</v>
          </cell>
          <cell r="H560">
            <v>20</v>
          </cell>
          <cell r="I560">
            <v>0</v>
          </cell>
          <cell r="J560" t="str">
            <v>FINISH</v>
          </cell>
          <cell r="K560">
            <v>46242</v>
          </cell>
          <cell r="L560">
            <v>46254</v>
          </cell>
        </row>
        <row r="561">
          <cell r="A561" t="str">
            <v>CA-H2607-PD-379</v>
          </cell>
          <cell r="B561" t="str">
            <v xml:space="preserve">Hyperion </v>
          </cell>
          <cell r="C561">
            <v>11130535</v>
          </cell>
          <cell r="D561" t="str">
            <v>2211007-C-A</v>
          </cell>
          <cell r="E561" t="str">
            <v>HW60AR100P10000 NOCE</v>
          </cell>
          <cell r="F561" t="str">
            <v>Oversea</v>
          </cell>
          <cell r="G561">
            <v>100</v>
          </cell>
          <cell r="H561">
            <v>100</v>
          </cell>
          <cell r="I561">
            <v>0</v>
          </cell>
          <cell r="J561" t="str">
            <v>FINISH</v>
          </cell>
          <cell r="K561">
            <v>46242</v>
          </cell>
          <cell r="L561">
            <v>46254</v>
          </cell>
        </row>
        <row r="562">
          <cell r="A562" t="str">
            <v>CA-H2607-PD-380</v>
          </cell>
          <cell r="B562" t="str">
            <v>HyperionYubo changed</v>
          </cell>
          <cell r="C562">
            <v>11131290</v>
          </cell>
          <cell r="D562" t="str">
            <v>2211093-E-A</v>
          </cell>
          <cell r="E562" t="str">
            <v>HW60SP370P10000 NOCE</v>
          </cell>
          <cell r="F562" t="str">
            <v>Oversea</v>
          </cell>
          <cell r="G562">
            <v>100</v>
          </cell>
          <cell r="H562">
            <v>100</v>
          </cell>
          <cell r="I562">
            <v>0</v>
          </cell>
          <cell r="J562" t="str">
            <v>FINISH</v>
          </cell>
          <cell r="K562">
            <v>46242</v>
          </cell>
          <cell r="L562">
            <v>46254</v>
          </cell>
        </row>
        <row r="563">
          <cell r="A563" t="str">
            <v>CA-H2607-PD-381</v>
          </cell>
          <cell r="B563" t="str">
            <v>Hyperion</v>
          </cell>
          <cell r="C563">
            <v>11130658</v>
          </cell>
          <cell r="D563" t="str">
            <v>2211130-C-A</v>
          </cell>
          <cell r="E563" t="str">
            <v>HW70JR400P10000 NOCE</v>
          </cell>
          <cell r="F563" t="str">
            <v>Oversea</v>
          </cell>
          <cell r="G563">
            <v>5</v>
          </cell>
          <cell r="H563">
            <v>5</v>
          </cell>
          <cell r="I563">
            <v>0</v>
          </cell>
          <cell r="J563" t="str">
            <v>FINISH</v>
          </cell>
          <cell r="K563">
            <v>46242</v>
          </cell>
          <cell r="L563">
            <v>46254</v>
          </cell>
        </row>
        <row r="564">
          <cell r="A564" t="str">
            <v>CA-H2607-PD-382</v>
          </cell>
          <cell r="B564" t="str">
            <v>Hyperion</v>
          </cell>
          <cell r="C564">
            <v>11130530</v>
          </cell>
          <cell r="D564" t="str">
            <v>2211002-C-A</v>
          </cell>
          <cell r="E564" t="str">
            <v>HW60JR400P10000 NOCE</v>
          </cell>
          <cell r="F564" t="str">
            <v>Oversea</v>
          </cell>
          <cell r="G564">
            <v>50</v>
          </cell>
          <cell r="H564">
            <v>50</v>
          </cell>
          <cell r="I564">
            <v>0</v>
          </cell>
          <cell r="J564" t="str">
            <v>FINISH</v>
          </cell>
          <cell r="K564">
            <v>46242</v>
          </cell>
          <cell r="L564">
            <v>46254</v>
          </cell>
        </row>
        <row r="565">
          <cell r="A565" t="str">
            <v>CA-H2607-PD-383</v>
          </cell>
          <cell r="B565" t="str">
            <v>HyperionYubo changed</v>
          </cell>
          <cell r="C565">
            <v>11131288</v>
          </cell>
          <cell r="D565" t="str">
            <v>2211091-E-A</v>
          </cell>
          <cell r="E565" t="str">
            <v>HW60SP300P10000 NOCE</v>
          </cell>
          <cell r="F565" t="str">
            <v>Oversea</v>
          </cell>
          <cell r="G565">
            <v>10</v>
          </cell>
          <cell r="H565">
            <v>10</v>
          </cell>
          <cell r="I565">
            <v>0</v>
          </cell>
          <cell r="J565" t="str">
            <v>FINISH</v>
          </cell>
          <cell r="K565">
            <v>46242</v>
          </cell>
          <cell r="L565">
            <v>46254</v>
          </cell>
        </row>
        <row r="566">
          <cell r="A566" t="str">
            <v>CA-H2607-PD-489</v>
          </cell>
          <cell r="B566" t="str">
            <v xml:space="preserve">Caravel </v>
          </cell>
          <cell r="C566">
            <v>11134401</v>
          </cell>
          <cell r="D566" t="str">
            <v>1941102-C-A</v>
          </cell>
          <cell r="E566" t="str">
            <v>CRV135-19P US2</v>
          </cell>
          <cell r="F566" t="str">
            <v>USA</v>
          </cell>
          <cell r="G566">
            <v>84</v>
          </cell>
          <cell r="H566">
            <v>84</v>
          </cell>
          <cell r="I566">
            <v>0</v>
          </cell>
          <cell r="J566" t="str">
            <v>FINISH</v>
          </cell>
          <cell r="K566">
            <v>46242</v>
          </cell>
          <cell r="L566">
            <v>46254</v>
          </cell>
        </row>
        <row r="567">
          <cell r="A567" t="str">
            <v>SP-H2608-PD-013</v>
          </cell>
          <cell r="B567" t="str">
            <v>CAG</v>
          </cell>
          <cell r="C567">
            <v>11116931</v>
          </cell>
          <cell r="D567" t="str">
            <v>1521545-M-A</v>
          </cell>
          <cell r="E567" t="str">
            <v>MS3552H21-ANG100M</v>
          </cell>
          <cell r="F567" t="str">
            <v>FILMECC</v>
          </cell>
          <cell r="G567">
            <v>70</v>
          </cell>
          <cell r="H567">
            <v>70</v>
          </cell>
          <cell r="I567">
            <v>0</v>
          </cell>
          <cell r="J567" t="str">
            <v>FINISH</v>
          </cell>
          <cell r="K567">
            <v>46247</v>
          </cell>
          <cell r="L567">
            <v>46255</v>
          </cell>
        </row>
        <row r="568">
          <cell r="A568" t="str">
            <v>SP-H2608-PD-014</v>
          </cell>
          <cell r="B568" t="str">
            <v>CAG</v>
          </cell>
          <cell r="C568">
            <v>11116929</v>
          </cell>
          <cell r="D568" t="str">
            <v>1521543-K-A</v>
          </cell>
          <cell r="E568" t="str">
            <v>MS3552H21-ANG70G</v>
          </cell>
          <cell r="F568" t="str">
            <v>FILMECC</v>
          </cell>
          <cell r="G568">
            <v>30</v>
          </cell>
          <cell r="H568">
            <v>30</v>
          </cell>
          <cell r="I568">
            <v>0</v>
          </cell>
          <cell r="J568" t="str">
            <v>FINISH</v>
          </cell>
          <cell r="K568">
            <v>46247</v>
          </cell>
          <cell r="L568">
            <v>46255</v>
          </cell>
        </row>
        <row r="569">
          <cell r="A569" t="str">
            <v>SP-H2608-PD-015</v>
          </cell>
          <cell r="B569" t="str">
            <v>CAG</v>
          </cell>
          <cell r="C569">
            <v>11116932</v>
          </cell>
          <cell r="D569" t="str">
            <v>1521546-M-A</v>
          </cell>
          <cell r="E569" t="str">
            <v>MS3552H21-PIG100N</v>
          </cell>
          <cell r="F569" t="str">
            <v>FILMECC</v>
          </cell>
          <cell r="G569">
            <v>200</v>
          </cell>
          <cell r="H569">
            <v>200</v>
          </cell>
          <cell r="I569">
            <v>0</v>
          </cell>
          <cell r="J569" t="str">
            <v>FINISH</v>
          </cell>
          <cell r="K569">
            <v>46247</v>
          </cell>
          <cell r="L569">
            <v>46255</v>
          </cell>
        </row>
        <row r="570">
          <cell r="A570" t="str">
            <v>SP-H2608-PD-016</v>
          </cell>
          <cell r="B570" t="str">
            <v>CAG</v>
          </cell>
          <cell r="C570">
            <v>11116930</v>
          </cell>
          <cell r="D570" t="str">
            <v>1521544-M-A</v>
          </cell>
          <cell r="E570" t="str">
            <v>MS3552H26-PIG110J</v>
          </cell>
          <cell r="F570" t="str">
            <v>FILMECC</v>
          </cell>
          <cell r="G570">
            <v>180</v>
          </cell>
          <cell r="H570">
            <v>180</v>
          </cell>
          <cell r="I570">
            <v>0</v>
          </cell>
          <cell r="J570" t="str">
            <v>FINISH</v>
          </cell>
          <cell r="K570">
            <v>46247</v>
          </cell>
          <cell r="L570">
            <v>46255</v>
          </cell>
        </row>
        <row r="571">
          <cell r="A571" t="str">
            <v>CA-H2606-PD-208</v>
          </cell>
          <cell r="B571" t="str">
            <v>Crosswalk</v>
          </cell>
          <cell r="C571">
            <v>11112484</v>
          </cell>
          <cell r="D571" t="str">
            <v>PSC35090S-E-A</v>
          </cell>
          <cell r="E571" t="str">
            <v>PSC35090S US</v>
          </cell>
          <cell r="F571" t="str">
            <v>USA</v>
          </cell>
          <cell r="G571">
            <v>5</v>
          </cell>
          <cell r="H571">
            <v>5</v>
          </cell>
          <cell r="I571">
            <v>0</v>
          </cell>
          <cell r="J571" t="str">
            <v>FINISH</v>
          </cell>
          <cell r="K571">
            <v>46247</v>
          </cell>
          <cell r="L571">
            <v>46255</v>
          </cell>
        </row>
        <row r="572">
          <cell r="A572" t="str">
            <v>CA-H2607-PD-308</v>
          </cell>
          <cell r="B572" t="str">
            <v>Caravel</v>
          </cell>
          <cell r="C572">
            <v>11131257</v>
          </cell>
          <cell r="D572" t="str">
            <v>1841034-D-A</v>
          </cell>
          <cell r="E572" t="str">
            <v>CRV150-19M JP</v>
          </cell>
          <cell r="F572" t="str">
            <v>JAPAN</v>
          </cell>
          <cell r="G572">
            <v>22</v>
          </cell>
          <cell r="H572">
            <v>22</v>
          </cell>
          <cell r="I572">
            <v>0</v>
          </cell>
          <cell r="J572" t="str">
            <v>FINISH</v>
          </cell>
          <cell r="K572">
            <v>46247</v>
          </cell>
          <cell r="L572">
            <v>46255</v>
          </cell>
        </row>
        <row r="573">
          <cell r="A573" t="str">
            <v>CA-H2606-PD-202</v>
          </cell>
          <cell r="B573" t="str">
            <v xml:space="preserve">Hyperion </v>
          </cell>
          <cell r="C573">
            <v>11130535</v>
          </cell>
          <cell r="D573" t="str">
            <v>2211007-C-A</v>
          </cell>
          <cell r="E573" t="str">
            <v>HW60AR100P10000 NOCE</v>
          </cell>
          <cell r="F573" t="str">
            <v>Oversea</v>
          </cell>
          <cell r="G573">
            <v>2</v>
          </cell>
          <cell r="H573">
            <v>2</v>
          </cell>
          <cell r="I573">
            <v>0</v>
          </cell>
          <cell r="J573" t="str">
            <v>FINISH</v>
          </cell>
          <cell r="K573">
            <v>46248</v>
          </cell>
          <cell r="L573">
            <v>46258</v>
          </cell>
        </row>
        <row r="574">
          <cell r="A574" t="str">
            <v>CA-H2606-PD-203</v>
          </cell>
          <cell r="B574" t="str">
            <v xml:space="preserve">Hyperion </v>
          </cell>
          <cell r="C574">
            <v>11130547</v>
          </cell>
          <cell r="D574" t="str">
            <v>2211019-C-A</v>
          </cell>
          <cell r="E574" t="str">
            <v>HW60JL400P10000 NOCE</v>
          </cell>
          <cell r="F574" t="str">
            <v>Oversea</v>
          </cell>
          <cell r="G574">
            <v>5</v>
          </cell>
          <cell r="H574">
            <v>5</v>
          </cell>
          <cell r="I574">
            <v>0</v>
          </cell>
          <cell r="J574" t="str">
            <v>FINISH</v>
          </cell>
          <cell r="K574">
            <v>46248</v>
          </cell>
          <cell r="L574">
            <v>46258</v>
          </cell>
        </row>
        <row r="575">
          <cell r="A575" t="str">
            <v>CA-H2606-PD-204</v>
          </cell>
          <cell r="B575" t="str">
            <v>HyperionYubo changed</v>
          </cell>
          <cell r="C575">
            <v>11132715</v>
          </cell>
          <cell r="D575" t="str">
            <v>2211030-D-A</v>
          </cell>
          <cell r="E575" t="str">
            <v>HW60PB350P10000 NOCE</v>
          </cell>
          <cell r="F575" t="str">
            <v>Oversea</v>
          </cell>
          <cell r="G575">
            <v>6</v>
          </cell>
          <cell r="H575">
            <v>6</v>
          </cell>
          <cell r="I575">
            <v>0</v>
          </cell>
          <cell r="J575" t="str">
            <v>FINISH</v>
          </cell>
          <cell r="K575">
            <v>46248</v>
          </cell>
          <cell r="L575">
            <v>46258</v>
          </cell>
        </row>
        <row r="576">
          <cell r="A576" t="str">
            <v>CA-H2606-PD-205</v>
          </cell>
          <cell r="B576" t="str">
            <v>HyperionYubo changed</v>
          </cell>
          <cell r="C576">
            <v>11131289</v>
          </cell>
          <cell r="D576" t="str">
            <v>2211092-E-A</v>
          </cell>
          <cell r="E576" t="str">
            <v>HW60SP350P10000 NOCE</v>
          </cell>
          <cell r="F576" t="str">
            <v>Oversea</v>
          </cell>
          <cell r="G576">
            <v>10</v>
          </cell>
          <cell r="H576">
            <v>10</v>
          </cell>
          <cell r="I576">
            <v>0</v>
          </cell>
          <cell r="J576" t="str">
            <v>FINISH</v>
          </cell>
          <cell r="K576">
            <v>46258</v>
          </cell>
          <cell r="L576">
            <v>46258</v>
          </cell>
        </row>
        <row r="577">
          <cell r="A577" t="str">
            <v>CA-H2606-PD-206</v>
          </cell>
          <cell r="B577" t="str">
            <v>HyperionYubo changed</v>
          </cell>
          <cell r="C577">
            <v>11131291</v>
          </cell>
          <cell r="D577" t="str">
            <v>2211094-E-A</v>
          </cell>
          <cell r="E577" t="str">
            <v>HW60SP400P10000 NOCE</v>
          </cell>
          <cell r="F577" t="str">
            <v>Oversea</v>
          </cell>
          <cell r="G577">
            <v>4</v>
          </cell>
          <cell r="H577">
            <v>4</v>
          </cell>
          <cell r="I577">
            <v>0</v>
          </cell>
          <cell r="J577" t="str">
            <v>FINISH</v>
          </cell>
          <cell r="K577">
            <v>46258</v>
          </cell>
          <cell r="L577">
            <v>46258</v>
          </cell>
        </row>
        <row r="578">
          <cell r="A578" t="str">
            <v>CA-H2606-PD-222</v>
          </cell>
          <cell r="B578" t="str">
            <v>Corsair-proNew</v>
          </cell>
          <cell r="C578">
            <v>11134248</v>
          </cell>
          <cell r="D578" t="str">
            <v>2041189-D-A</v>
          </cell>
          <cell r="E578" t="str">
            <v>CSR135-26P CN</v>
          </cell>
          <cell r="F578" t="str">
            <v>CHINA</v>
          </cell>
          <cell r="G578">
            <v>270</v>
          </cell>
          <cell r="H578">
            <v>270</v>
          </cell>
          <cell r="I578">
            <v>0</v>
          </cell>
          <cell r="J578" t="str">
            <v>FINISH</v>
          </cell>
          <cell r="K578">
            <v>46255</v>
          </cell>
          <cell r="L578">
            <v>46268</v>
          </cell>
        </row>
        <row r="579">
          <cell r="A579" t="str">
            <v>CA-H2606-PD-223</v>
          </cell>
          <cell r="B579" t="str">
            <v>Corsair-proNew</v>
          </cell>
          <cell r="C579">
            <v>11134249</v>
          </cell>
          <cell r="D579" t="str">
            <v>2041190-D-A</v>
          </cell>
          <cell r="E579" t="str">
            <v>CSR150-26P CN</v>
          </cell>
          <cell r="F579" t="str">
            <v>CHINA</v>
          </cell>
          <cell r="G579">
            <v>30</v>
          </cell>
          <cell r="H579">
            <v>30</v>
          </cell>
          <cell r="I579">
            <v>0</v>
          </cell>
          <cell r="J579" t="str">
            <v>FINISH</v>
          </cell>
          <cell r="K579">
            <v>46255</v>
          </cell>
          <cell r="L579">
            <v>46268</v>
          </cell>
        </row>
        <row r="580">
          <cell r="A580" t="str">
            <v>CA-H2606-PD-224</v>
          </cell>
          <cell r="B580" t="str">
            <v>Caravel</v>
          </cell>
          <cell r="C580">
            <v>11134246</v>
          </cell>
          <cell r="D580" t="str">
            <v>2141049-D-A</v>
          </cell>
          <cell r="E580" t="str">
            <v>CRV135-19P CN</v>
          </cell>
          <cell r="F580" t="str">
            <v>CHINA</v>
          </cell>
          <cell r="G580">
            <v>130</v>
          </cell>
          <cell r="H580">
            <v>130</v>
          </cell>
          <cell r="I580">
            <v>0</v>
          </cell>
          <cell r="J580" t="str">
            <v>FINISH</v>
          </cell>
          <cell r="K580">
            <v>46255</v>
          </cell>
          <cell r="L580">
            <v>46268</v>
          </cell>
        </row>
        <row r="581">
          <cell r="A581" t="str">
            <v>CA-H2606-PD-225</v>
          </cell>
          <cell r="B581" t="str">
            <v>Caravel</v>
          </cell>
          <cell r="C581">
            <v>11134247</v>
          </cell>
          <cell r="D581" t="str">
            <v>2141050-D-A</v>
          </cell>
          <cell r="E581" t="str">
            <v>CRV150-19P CN</v>
          </cell>
          <cell r="F581" t="str">
            <v>CHINA</v>
          </cell>
          <cell r="G581">
            <v>20</v>
          </cell>
          <cell r="H581">
            <v>20</v>
          </cell>
          <cell r="I581">
            <v>0</v>
          </cell>
          <cell r="J581" t="str">
            <v>FINISH</v>
          </cell>
          <cell r="K581">
            <v>46255</v>
          </cell>
          <cell r="L581">
            <v>46268</v>
          </cell>
        </row>
        <row r="582">
          <cell r="A582" t="str">
            <v>CA-H2606-PD-226</v>
          </cell>
          <cell r="B582" t="str">
            <v>HyperionYubo changed</v>
          </cell>
          <cell r="C582">
            <v>11134148</v>
          </cell>
          <cell r="D582" t="str">
            <v>1811909-L-A</v>
          </cell>
          <cell r="E582" t="str">
            <v>HW60SP350P10000 CN</v>
          </cell>
          <cell r="F582" t="str">
            <v>CHINA</v>
          </cell>
          <cell r="G582">
            <v>400</v>
          </cell>
          <cell r="H582">
            <v>400</v>
          </cell>
          <cell r="I582">
            <v>0</v>
          </cell>
          <cell r="J582" t="str">
            <v>FINISH</v>
          </cell>
          <cell r="K582">
            <v>46255</v>
          </cell>
          <cell r="L582">
            <v>46268</v>
          </cell>
        </row>
        <row r="583">
          <cell r="A583" t="str">
            <v>CA-H2607-PD-001</v>
          </cell>
          <cell r="B583" t="str">
            <v>Caravel</v>
          </cell>
          <cell r="C583">
            <v>11134246</v>
          </cell>
          <cell r="D583" t="str">
            <v>2141049-D-A</v>
          </cell>
          <cell r="E583" t="str">
            <v>CRV135-19P CN</v>
          </cell>
          <cell r="F583" t="str">
            <v>CHINA</v>
          </cell>
          <cell r="G583">
            <v>1491</v>
          </cell>
          <cell r="H583">
            <v>1491</v>
          </cell>
          <cell r="I583">
            <v>0</v>
          </cell>
          <cell r="J583" t="str">
            <v>FINISH</v>
          </cell>
          <cell r="K583">
            <v>46255</v>
          </cell>
          <cell r="L583">
            <v>46268</v>
          </cell>
        </row>
        <row r="584">
          <cell r="A584" t="str">
            <v>CA-H2607-PD-002</v>
          </cell>
          <cell r="B584" t="str">
            <v>Caravel</v>
          </cell>
          <cell r="C584">
            <v>11134247</v>
          </cell>
          <cell r="D584" t="str">
            <v>2141050-D-A</v>
          </cell>
          <cell r="E584" t="str">
            <v>CRV150-19P CN</v>
          </cell>
          <cell r="F584" t="str">
            <v>CHINA</v>
          </cell>
          <cell r="G584">
            <v>183</v>
          </cell>
          <cell r="H584">
            <v>183</v>
          </cell>
          <cell r="I584">
            <v>0</v>
          </cell>
          <cell r="J584" t="str">
            <v>FINISH</v>
          </cell>
          <cell r="K584">
            <v>46255</v>
          </cell>
          <cell r="L584">
            <v>46268</v>
          </cell>
        </row>
        <row r="585">
          <cell r="A585" t="str">
            <v>CA-H2607-PD-003</v>
          </cell>
          <cell r="B585" t="str">
            <v>Corsair-pro</v>
          </cell>
          <cell r="C585">
            <v>11134248</v>
          </cell>
          <cell r="D585" t="str">
            <v>2041189-D-A</v>
          </cell>
          <cell r="E585" t="str">
            <v>CSR135-26P CN</v>
          </cell>
          <cell r="F585" t="str">
            <v>CHINA</v>
          </cell>
          <cell r="G585">
            <v>4142</v>
          </cell>
          <cell r="H585">
            <v>4142</v>
          </cell>
          <cell r="I585">
            <v>0</v>
          </cell>
          <cell r="J585" t="str">
            <v>FINISH</v>
          </cell>
          <cell r="K585">
            <v>46255</v>
          </cell>
          <cell r="L585">
            <v>46268</v>
          </cell>
        </row>
        <row r="586">
          <cell r="A586" t="str">
            <v>CA-H2607-PD-004</v>
          </cell>
          <cell r="B586" t="str">
            <v>Corsair-pro</v>
          </cell>
          <cell r="C586">
            <v>11134249</v>
          </cell>
          <cell r="D586" t="str">
            <v>2041190-D-A</v>
          </cell>
          <cell r="E586" t="str">
            <v>CSR150-26P CN</v>
          </cell>
          <cell r="F586" t="str">
            <v>CHINA</v>
          </cell>
          <cell r="G586">
            <v>448</v>
          </cell>
          <cell r="H586">
            <v>448</v>
          </cell>
          <cell r="I586">
            <v>0</v>
          </cell>
          <cell r="J586" t="str">
            <v>FINISH</v>
          </cell>
          <cell r="K586">
            <v>46255</v>
          </cell>
          <cell r="L586">
            <v>46268</v>
          </cell>
        </row>
        <row r="587">
          <cell r="A587" t="str">
            <v>CA-H2607-PD-005</v>
          </cell>
          <cell r="B587" t="str">
            <v>Hyperion</v>
          </cell>
          <cell r="C587">
            <v>11134129</v>
          </cell>
          <cell r="D587" t="str">
            <v>1811861-J-A</v>
          </cell>
          <cell r="E587" t="str">
            <v>HW60AL070P10000 CN</v>
          </cell>
          <cell r="F587" t="str">
            <v>CHINA</v>
          </cell>
          <cell r="G587">
            <v>40</v>
          </cell>
          <cell r="H587">
            <v>40</v>
          </cell>
          <cell r="I587">
            <v>0</v>
          </cell>
          <cell r="J587" t="str">
            <v>FINISH</v>
          </cell>
          <cell r="K587">
            <v>46255</v>
          </cell>
          <cell r="L587">
            <v>46268</v>
          </cell>
        </row>
        <row r="588">
          <cell r="A588" t="str">
            <v>CA-H2607-PD-006</v>
          </cell>
          <cell r="B588" t="str">
            <v>Hyperion</v>
          </cell>
          <cell r="C588">
            <v>11134137</v>
          </cell>
          <cell r="D588" t="str">
            <v>1811875-J-A</v>
          </cell>
          <cell r="E588" t="str">
            <v>HW60AL070P10002 CN</v>
          </cell>
          <cell r="F588" t="str">
            <v>CHINA</v>
          </cell>
          <cell r="G588">
            <v>1967</v>
          </cell>
          <cell r="H588">
            <v>1967</v>
          </cell>
          <cell r="I588">
            <v>0</v>
          </cell>
          <cell r="J588" t="str">
            <v>FINISH</v>
          </cell>
          <cell r="K588">
            <v>46255</v>
          </cell>
          <cell r="L588">
            <v>46268</v>
          </cell>
        </row>
        <row r="589">
          <cell r="A589" t="str">
            <v>CA-H2607-PD-007</v>
          </cell>
          <cell r="B589" t="str">
            <v>Hyperion</v>
          </cell>
          <cell r="C589">
            <v>11134130</v>
          </cell>
          <cell r="D589" t="str">
            <v>1811862-G-A</v>
          </cell>
          <cell r="E589" t="str">
            <v>HW60AL072P10000 CN</v>
          </cell>
          <cell r="F589" t="str">
            <v>CHINA</v>
          </cell>
          <cell r="G589">
            <v>2</v>
          </cell>
          <cell r="H589">
            <v>2</v>
          </cell>
          <cell r="I589">
            <v>0</v>
          </cell>
          <cell r="J589" t="str">
            <v>FINISH</v>
          </cell>
          <cell r="K589">
            <v>46255</v>
          </cell>
          <cell r="L589">
            <v>46268</v>
          </cell>
        </row>
        <row r="590">
          <cell r="A590" t="str">
            <v>CA-H2607-PD-008</v>
          </cell>
          <cell r="B590" t="str">
            <v>Hyperion</v>
          </cell>
          <cell r="C590">
            <v>11134131</v>
          </cell>
          <cell r="D590" t="str">
            <v>1811863-J-A</v>
          </cell>
          <cell r="E590" t="str">
            <v>HW60AL100P10000 CN</v>
          </cell>
          <cell r="F590" t="str">
            <v>CHINA</v>
          </cell>
          <cell r="G590">
            <v>96</v>
          </cell>
          <cell r="H590">
            <v>96</v>
          </cell>
          <cell r="I590">
            <v>0</v>
          </cell>
          <cell r="J590" t="str">
            <v>FINISH</v>
          </cell>
          <cell r="K590">
            <v>46255</v>
          </cell>
          <cell r="L590">
            <v>46268</v>
          </cell>
        </row>
        <row r="591">
          <cell r="A591" t="str">
            <v>CA-H2607-PD-009</v>
          </cell>
          <cell r="B591" t="str">
            <v>Hyperion</v>
          </cell>
          <cell r="C591">
            <v>11134139</v>
          </cell>
          <cell r="D591" t="str">
            <v>1811877-J-A</v>
          </cell>
          <cell r="E591" t="str">
            <v>HW60AL100P10002 CN</v>
          </cell>
          <cell r="F591" t="str">
            <v>CHINA</v>
          </cell>
          <cell r="G591">
            <v>658</v>
          </cell>
          <cell r="H591">
            <v>658</v>
          </cell>
          <cell r="I591">
            <v>0</v>
          </cell>
          <cell r="J591" t="str">
            <v>FINISH</v>
          </cell>
          <cell r="K591">
            <v>46255</v>
          </cell>
          <cell r="L591">
            <v>46268</v>
          </cell>
        </row>
        <row r="592">
          <cell r="A592" t="str">
            <v>CA-H2607-PD-010</v>
          </cell>
          <cell r="B592" t="str">
            <v>Hyperion</v>
          </cell>
          <cell r="C592">
            <v>11134117</v>
          </cell>
          <cell r="D592" t="str">
            <v>1811827-J-A</v>
          </cell>
          <cell r="E592" t="str">
            <v>HW60JL350P10000 CN</v>
          </cell>
          <cell r="F592" t="str">
            <v>CHINA</v>
          </cell>
          <cell r="G592">
            <v>1091</v>
          </cell>
          <cell r="H592">
            <v>1091</v>
          </cell>
          <cell r="I592">
            <v>0</v>
          </cell>
          <cell r="J592" t="str">
            <v>FINISH</v>
          </cell>
          <cell r="K592">
            <v>46255</v>
          </cell>
          <cell r="L592">
            <v>46268</v>
          </cell>
        </row>
        <row r="593">
          <cell r="A593" t="str">
            <v>CA-H2607-PD-011</v>
          </cell>
          <cell r="B593" t="str">
            <v>Hyperion</v>
          </cell>
          <cell r="C593">
            <v>11134120</v>
          </cell>
          <cell r="D593" t="str">
            <v>1811831-J-A</v>
          </cell>
          <cell r="E593" t="str">
            <v>HW60JL400P10000 CN</v>
          </cell>
          <cell r="F593" t="str">
            <v>CHINA</v>
          </cell>
          <cell r="G593">
            <v>380</v>
          </cell>
          <cell r="H593">
            <v>380</v>
          </cell>
          <cell r="I593">
            <v>0</v>
          </cell>
          <cell r="J593" t="str">
            <v>FINISH</v>
          </cell>
          <cell r="K593">
            <v>46255</v>
          </cell>
          <cell r="L593">
            <v>46268</v>
          </cell>
        </row>
        <row r="594">
          <cell r="A594" t="str">
            <v>CA-H2607-PD-012</v>
          </cell>
          <cell r="B594" t="str">
            <v>Hyperion</v>
          </cell>
          <cell r="C594">
            <v>11134123</v>
          </cell>
          <cell r="D594" t="str">
            <v>1811849-J-A</v>
          </cell>
          <cell r="E594" t="str">
            <v>HW60JR350P10000 CN</v>
          </cell>
          <cell r="F594" t="str">
            <v>CHINA</v>
          </cell>
          <cell r="G594">
            <v>764</v>
          </cell>
          <cell r="H594">
            <v>764</v>
          </cell>
          <cell r="I594">
            <v>0</v>
          </cell>
          <cell r="J594" t="str">
            <v>FINISH</v>
          </cell>
          <cell r="K594">
            <v>46255</v>
          </cell>
          <cell r="L594">
            <v>46268</v>
          </cell>
        </row>
        <row r="595">
          <cell r="A595" t="str">
            <v>CA-H2607-PD-013</v>
          </cell>
          <cell r="B595" t="str">
            <v>Hyperion</v>
          </cell>
          <cell r="C595">
            <v>11134125</v>
          </cell>
          <cell r="D595" t="str">
            <v>1811851-J-A</v>
          </cell>
          <cell r="E595" t="str">
            <v>HW60JR400P10000 CN</v>
          </cell>
          <cell r="F595" t="str">
            <v>CHINA</v>
          </cell>
          <cell r="G595">
            <v>2351</v>
          </cell>
          <cell r="H595">
            <v>2351</v>
          </cell>
          <cell r="I595">
            <v>0</v>
          </cell>
          <cell r="J595" t="str">
            <v>FINISH</v>
          </cell>
          <cell r="K595">
            <v>46255</v>
          </cell>
          <cell r="L595">
            <v>46268</v>
          </cell>
        </row>
        <row r="596">
          <cell r="A596" t="str">
            <v>CA-H2607-PD-014</v>
          </cell>
          <cell r="B596" t="str">
            <v>HyperionYubo changed</v>
          </cell>
          <cell r="C596">
            <v>11134146</v>
          </cell>
          <cell r="D596" t="str">
            <v>1811907-L-A</v>
          </cell>
          <cell r="E596" t="str">
            <v>HW60SP300P10000 CN</v>
          </cell>
          <cell r="F596" t="str">
            <v>CHINA</v>
          </cell>
          <cell r="G596">
            <v>2521</v>
          </cell>
          <cell r="H596">
            <v>2521</v>
          </cell>
          <cell r="I596">
            <v>0</v>
          </cell>
          <cell r="J596" t="str">
            <v>FINISH</v>
          </cell>
          <cell r="K596">
            <v>46255</v>
          </cell>
          <cell r="L596">
            <v>46268</v>
          </cell>
        </row>
        <row r="597">
          <cell r="A597" t="str">
            <v>CA-H2607-PD-015</v>
          </cell>
          <cell r="B597" t="str">
            <v>HyperionYubo changed</v>
          </cell>
          <cell r="C597">
            <v>11134148</v>
          </cell>
          <cell r="D597" t="str">
            <v>1811909-L-A</v>
          </cell>
          <cell r="E597" t="str">
            <v>HW60SP350P10000 CN</v>
          </cell>
          <cell r="F597" t="str">
            <v>CHINA</v>
          </cell>
          <cell r="G597">
            <v>3781</v>
          </cell>
          <cell r="H597">
            <v>3781</v>
          </cell>
          <cell r="I597">
            <v>0</v>
          </cell>
          <cell r="J597" t="str">
            <v>FINISH</v>
          </cell>
          <cell r="K597">
            <v>46255</v>
          </cell>
          <cell r="L597">
            <v>46268</v>
          </cell>
        </row>
        <row r="598">
          <cell r="A598" t="str">
            <v>CA-H2607-PD-016</v>
          </cell>
          <cell r="B598" t="str">
            <v>HyperionYubo changed</v>
          </cell>
          <cell r="C598">
            <v>11134149</v>
          </cell>
          <cell r="D598" t="str">
            <v>1811910-L-A</v>
          </cell>
          <cell r="E598" t="str">
            <v>HW60SP352P10000 CN</v>
          </cell>
          <cell r="F598" t="str">
            <v>CHINA</v>
          </cell>
          <cell r="G598">
            <v>10</v>
          </cell>
          <cell r="H598">
            <v>10</v>
          </cell>
          <cell r="I598">
            <v>0</v>
          </cell>
          <cell r="J598" t="str">
            <v>FINISH</v>
          </cell>
          <cell r="K598">
            <v>46255</v>
          </cell>
          <cell r="L598">
            <v>46268</v>
          </cell>
        </row>
        <row r="599">
          <cell r="A599" t="str">
            <v>CA-H2607-PD-017</v>
          </cell>
          <cell r="B599" t="str">
            <v>HyperionYubo changed</v>
          </cell>
          <cell r="C599">
            <v>11134150</v>
          </cell>
          <cell r="D599" t="str">
            <v>1811911-L-A</v>
          </cell>
          <cell r="E599" t="str">
            <v>HW60SP370P10000 CN</v>
          </cell>
          <cell r="F599" t="str">
            <v>CHINA</v>
          </cell>
          <cell r="G599">
            <v>290</v>
          </cell>
          <cell r="H599">
            <v>290</v>
          </cell>
          <cell r="I599">
            <v>0</v>
          </cell>
          <cell r="J599" t="str">
            <v>FINISH</v>
          </cell>
          <cell r="K599">
            <v>46255</v>
          </cell>
          <cell r="L599">
            <v>46268</v>
          </cell>
        </row>
        <row r="600">
          <cell r="A600" t="str">
            <v>CA-H2607-PD-018</v>
          </cell>
          <cell r="B600" t="str">
            <v>HyperionYubo changed</v>
          </cell>
          <cell r="C600">
            <v>11134152</v>
          </cell>
          <cell r="D600" t="str">
            <v>1811913-L-A</v>
          </cell>
          <cell r="E600" t="str">
            <v>HW60SP400P10000 CN</v>
          </cell>
          <cell r="F600" t="str">
            <v>CHINA</v>
          </cell>
          <cell r="G600">
            <v>3</v>
          </cell>
          <cell r="H600">
            <v>3</v>
          </cell>
          <cell r="I600">
            <v>0</v>
          </cell>
          <cell r="J600" t="str">
            <v>FINISH</v>
          </cell>
          <cell r="K600">
            <v>46255</v>
          </cell>
          <cell r="L600">
            <v>46268</v>
          </cell>
        </row>
        <row r="601">
          <cell r="A601" t="str">
            <v>CA-H2607-PD-019</v>
          </cell>
          <cell r="B601" t="str">
            <v>Hyperion</v>
          </cell>
          <cell r="C601">
            <v>11134170</v>
          </cell>
          <cell r="D601" t="str">
            <v>1811989-G-A</v>
          </cell>
          <cell r="E601" t="str">
            <v>HW70AL070P10000 CN</v>
          </cell>
          <cell r="F601" t="str">
            <v>CHINA</v>
          </cell>
          <cell r="G601">
            <v>41</v>
          </cell>
          <cell r="H601">
            <v>41</v>
          </cell>
          <cell r="I601">
            <v>0</v>
          </cell>
          <cell r="J601" t="str">
            <v>FINISH</v>
          </cell>
          <cell r="K601">
            <v>46255</v>
          </cell>
          <cell r="L601">
            <v>46268</v>
          </cell>
        </row>
        <row r="602">
          <cell r="A602" t="str">
            <v>CA-H2607-PD-020</v>
          </cell>
          <cell r="B602" t="str">
            <v>Hyperion</v>
          </cell>
          <cell r="C602">
            <v>11134178</v>
          </cell>
          <cell r="D602" t="str">
            <v>1861004-G-A</v>
          </cell>
          <cell r="E602" t="str">
            <v>HW70AL070P10002 CN</v>
          </cell>
          <cell r="F602" t="str">
            <v>CHINA</v>
          </cell>
          <cell r="G602">
            <v>50</v>
          </cell>
          <cell r="H602">
            <v>50</v>
          </cell>
          <cell r="I602">
            <v>0</v>
          </cell>
          <cell r="J602" t="str">
            <v>FINISH</v>
          </cell>
          <cell r="K602">
            <v>46255</v>
          </cell>
          <cell r="L602">
            <v>46268</v>
          </cell>
        </row>
        <row r="603">
          <cell r="A603" t="str">
            <v>CA-H2607-PD-021</v>
          </cell>
          <cell r="B603" t="str">
            <v>Hyperion</v>
          </cell>
          <cell r="C603">
            <v>11134172</v>
          </cell>
          <cell r="D603" t="str">
            <v>1811991-G-A</v>
          </cell>
          <cell r="E603" t="str">
            <v>HW70AL100P10000 CN</v>
          </cell>
          <cell r="F603" t="str">
            <v>CHINA</v>
          </cell>
          <cell r="G603">
            <v>6</v>
          </cell>
          <cell r="H603">
            <v>6</v>
          </cell>
          <cell r="I603">
            <v>0</v>
          </cell>
          <cell r="J603" t="str">
            <v>FINISH</v>
          </cell>
          <cell r="K603">
            <v>46255</v>
          </cell>
          <cell r="L603">
            <v>46268</v>
          </cell>
        </row>
        <row r="604">
          <cell r="A604" t="str">
            <v>CA-H2607-PD-022</v>
          </cell>
          <cell r="B604" t="str">
            <v>Hyperion</v>
          </cell>
          <cell r="C604">
            <v>11134180</v>
          </cell>
          <cell r="D604" t="str">
            <v>1861006-G-A</v>
          </cell>
          <cell r="E604" t="str">
            <v>HW70AL100P10002 CN</v>
          </cell>
          <cell r="F604" t="str">
            <v>CHINA</v>
          </cell>
          <cell r="G604">
            <v>7</v>
          </cell>
          <cell r="H604">
            <v>7</v>
          </cell>
          <cell r="I604">
            <v>0</v>
          </cell>
          <cell r="J604" t="str">
            <v>FINISH</v>
          </cell>
          <cell r="K604">
            <v>46255</v>
          </cell>
          <cell r="L604">
            <v>46268</v>
          </cell>
        </row>
        <row r="605">
          <cell r="A605" t="str">
            <v>CA-H2607-PD-023</v>
          </cell>
          <cell r="B605" t="str">
            <v>Hyperion</v>
          </cell>
          <cell r="C605">
            <v>11134160</v>
          </cell>
          <cell r="D605" t="str">
            <v>1811955-G-A</v>
          </cell>
          <cell r="E605" t="str">
            <v>HW70JL350P10000 CN</v>
          </cell>
          <cell r="F605" t="str">
            <v>CHINA</v>
          </cell>
          <cell r="G605">
            <v>10</v>
          </cell>
          <cell r="H605">
            <v>10</v>
          </cell>
          <cell r="I605">
            <v>0</v>
          </cell>
          <cell r="J605" t="str">
            <v>FINISH</v>
          </cell>
          <cell r="K605">
            <v>46255</v>
          </cell>
          <cell r="L605">
            <v>46268</v>
          </cell>
        </row>
        <row r="606">
          <cell r="A606" t="str">
            <v>CA-H2607-PD-024</v>
          </cell>
          <cell r="B606" t="str">
            <v>Hyperion</v>
          </cell>
          <cell r="C606">
            <v>11134163</v>
          </cell>
          <cell r="D606" t="str">
            <v>1811959-G-A</v>
          </cell>
          <cell r="E606" t="str">
            <v>HW70JL400P10000 CN</v>
          </cell>
          <cell r="F606" t="str">
            <v>CHINA</v>
          </cell>
          <cell r="G606">
            <v>20</v>
          </cell>
          <cell r="H606">
            <v>20</v>
          </cell>
          <cell r="I606">
            <v>0</v>
          </cell>
          <cell r="J606" t="str">
            <v>FINISH</v>
          </cell>
          <cell r="K606">
            <v>46255</v>
          </cell>
          <cell r="L606">
            <v>46268</v>
          </cell>
        </row>
        <row r="607">
          <cell r="A607" t="str">
            <v>CA-H2607-PD-025</v>
          </cell>
          <cell r="B607" t="str">
            <v>Hyperion</v>
          </cell>
          <cell r="C607">
            <v>11134166</v>
          </cell>
          <cell r="D607" t="str">
            <v>1811977-G-A</v>
          </cell>
          <cell r="E607" t="str">
            <v>HW70JR350P10000 CN</v>
          </cell>
          <cell r="F607" t="str">
            <v>CHINA</v>
          </cell>
          <cell r="G607">
            <v>10</v>
          </cell>
          <cell r="H607">
            <v>10</v>
          </cell>
          <cell r="I607">
            <v>0</v>
          </cell>
          <cell r="J607" t="str">
            <v>FINISH</v>
          </cell>
          <cell r="K607">
            <v>46255</v>
          </cell>
          <cell r="L607">
            <v>46268</v>
          </cell>
        </row>
        <row r="608">
          <cell r="A608" t="str">
            <v>CA-H2607-PD-026</v>
          </cell>
          <cell r="B608" t="str">
            <v>Hyperion</v>
          </cell>
          <cell r="C608">
            <v>11134168</v>
          </cell>
          <cell r="D608" t="str">
            <v>1811979-G-A</v>
          </cell>
          <cell r="E608" t="str">
            <v>HW70JR400P10000 CN</v>
          </cell>
          <cell r="F608" t="str">
            <v>CHINA</v>
          </cell>
          <cell r="G608">
            <v>26</v>
          </cell>
          <cell r="H608">
            <v>26</v>
          </cell>
          <cell r="I608">
            <v>0</v>
          </cell>
          <cell r="J608" t="str">
            <v>FINISH</v>
          </cell>
          <cell r="K608">
            <v>46255</v>
          </cell>
          <cell r="L608">
            <v>46268</v>
          </cell>
        </row>
        <row r="609">
          <cell r="A609" t="str">
            <v>CA-H2607-PD-027</v>
          </cell>
          <cell r="B609" t="str">
            <v>HyperionYubo changed</v>
          </cell>
          <cell r="C609">
            <v>11134186</v>
          </cell>
          <cell r="D609" t="str">
            <v>1861036-H-A</v>
          </cell>
          <cell r="E609" t="str">
            <v>HW70SP300P10000 CN</v>
          </cell>
          <cell r="F609" t="str">
            <v>CHINA</v>
          </cell>
          <cell r="G609">
            <v>77</v>
          </cell>
          <cell r="H609">
            <v>77</v>
          </cell>
          <cell r="I609">
            <v>0</v>
          </cell>
          <cell r="J609" t="str">
            <v>FINISH</v>
          </cell>
          <cell r="K609">
            <v>46255</v>
          </cell>
          <cell r="L609">
            <v>46268</v>
          </cell>
        </row>
        <row r="610">
          <cell r="A610" t="str">
            <v>CA-H2607-PD-028</v>
          </cell>
          <cell r="B610" t="str">
            <v>HyperionYubo changed</v>
          </cell>
          <cell r="C610">
            <v>11134187</v>
          </cell>
          <cell r="D610" t="str">
            <v>1861038-L-A</v>
          </cell>
          <cell r="E610" t="str">
            <v>HW70SP350P10000 CN</v>
          </cell>
          <cell r="F610" t="str">
            <v>CHINA</v>
          </cell>
          <cell r="G610">
            <v>269</v>
          </cell>
          <cell r="H610">
            <v>269</v>
          </cell>
          <cell r="I610">
            <v>0</v>
          </cell>
          <cell r="J610" t="str">
            <v>FINISH</v>
          </cell>
          <cell r="K610">
            <v>46255</v>
          </cell>
          <cell r="L610">
            <v>46268</v>
          </cell>
        </row>
        <row r="611">
          <cell r="A611" t="str">
            <v>CA-H2607-PD-029</v>
          </cell>
          <cell r="B611" t="str">
            <v>Hyperion</v>
          </cell>
          <cell r="C611">
            <v>11134203</v>
          </cell>
          <cell r="D611" t="str">
            <v>2211671-D-A</v>
          </cell>
          <cell r="E611" t="str">
            <v>HW80AL102P10000 CN</v>
          </cell>
          <cell r="F611" t="str">
            <v>CHINA</v>
          </cell>
          <cell r="G611">
            <v>10</v>
          </cell>
          <cell r="H611">
            <v>10</v>
          </cell>
          <cell r="I611">
            <v>0</v>
          </cell>
          <cell r="J611" t="str">
            <v>FINISH</v>
          </cell>
          <cell r="K611">
            <v>46255</v>
          </cell>
          <cell r="L611">
            <v>46268</v>
          </cell>
        </row>
        <row r="612">
          <cell r="A612" t="str">
            <v>CA-H2607-PD-030</v>
          </cell>
          <cell r="B612" t="str">
            <v>Hyperion</v>
          </cell>
          <cell r="C612">
            <v>11134207</v>
          </cell>
          <cell r="D612" t="str">
            <v>2211685-D-A</v>
          </cell>
          <cell r="E612" t="str">
            <v>HW80AL102P10002 CN</v>
          </cell>
          <cell r="F612" t="str">
            <v>CHINA</v>
          </cell>
          <cell r="G612">
            <v>20</v>
          </cell>
          <cell r="H612">
            <v>20</v>
          </cell>
          <cell r="I612">
            <v>0</v>
          </cell>
          <cell r="J612" t="str">
            <v>FINISH</v>
          </cell>
          <cell r="K612">
            <v>46255</v>
          </cell>
          <cell r="L612">
            <v>46268</v>
          </cell>
        </row>
        <row r="613">
          <cell r="A613" t="str">
            <v>CA-H2607-PD-031</v>
          </cell>
          <cell r="B613" t="str">
            <v>HyperionYubo changed</v>
          </cell>
          <cell r="C613">
            <v>11134209</v>
          </cell>
          <cell r="D613" t="str">
            <v>2211704-E-A</v>
          </cell>
          <cell r="E613" t="str">
            <v>HW80SP352P10000 CN</v>
          </cell>
          <cell r="F613" t="str">
            <v>CHINA</v>
          </cell>
          <cell r="G613">
            <v>60</v>
          </cell>
          <cell r="H613">
            <v>60</v>
          </cell>
          <cell r="I613">
            <v>0</v>
          </cell>
          <cell r="J613" t="str">
            <v>FINISH</v>
          </cell>
          <cell r="K613">
            <v>46255</v>
          </cell>
          <cell r="L613">
            <v>46268</v>
          </cell>
        </row>
        <row r="614">
          <cell r="A614" t="str">
            <v>CA-H2607-PD-032</v>
          </cell>
          <cell r="B614" t="str">
            <v>HyperionYubo changed</v>
          </cell>
          <cell r="C614">
            <v>11134211</v>
          </cell>
          <cell r="D614" t="str">
            <v>2211706-E-A</v>
          </cell>
          <cell r="E614" t="str">
            <v>HW80SP372P10000 CN</v>
          </cell>
          <cell r="F614" t="str">
            <v>CHINA</v>
          </cell>
          <cell r="G614">
            <v>10</v>
          </cell>
          <cell r="H614">
            <v>10</v>
          </cell>
          <cell r="I614">
            <v>0</v>
          </cell>
          <cell r="J614" t="str">
            <v>FINISH</v>
          </cell>
          <cell r="K614">
            <v>46255</v>
          </cell>
          <cell r="L614">
            <v>46268</v>
          </cell>
        </row>
        <row r="615">
          <cell r="A615" t="str">
            <v>CA-H2607-PD-033</v>
          </cell>
          <cell r="B615" t="str">
            <v xml:space="preserve">Masters parkway </v>
          </cell>
          <cell r="C615">
            <v>11134562</v>
          </cell>
          <cell r="D615" t="str">
            <v>2041303-C-A</v>
          </cell>
          <cell r="E615" t="str">
            <v>MST125-27HFR CN</v>
          </cell>
          <cell r="F615" t="str">
            <v>CHINA</v>
          </cell>
          <cell r="G615">
            <v>1000</v>
          </cell>
          <cell r="H615">
            <v>1000</v>
          </cell>
          <cell r="I615">
            <v>0</v>
          </cell>
          <cell r="J615" t="str">
            <v>FINISH</v>
          </cell>
          <cell r="K615">
            <v>46255</v>
          </cell>
          <cell r="L615">
            <v>46268</v>
          </cell>
        </row>
        <row r="616">
          <cell r="A616" t="str">
            <v>CA-H2607-PD-034</v>
          </cell>
          <cell r="B616" t="str">
            <v xml:space="preserve">Masters parkway </v>
          </cell>
          <cell r="C616">
            <v>11134563</v>
          </cell>
          <cell r="D616" t="str">
            <v>2041304-C-A</v>
          </cell>
          <cell r="E616" t="str">
            <v>MST150-27HFR CN</v>
          </cell>
          <cell r="F616" t="str">
            <v>CHINA</v>
          </cell>
          <cell r="G616">
            <v>320</v>
          </cell>
          <cell r="H616">
            <v>320</v>
          </cell>
          <cell r="I616">
            <v>0</v>
          </cell>
          <cell r="J616" t="str">
            <v>FINISH</v>
          </cell>
          <cell r="K616">
            <v>46255</v>
          </cell>
          <cell r="L616">
            <v>46268</v>
          </cell>
        </row>
        <row r="617">
          <cell r="A617" t="str">
            <v>CA-H2607-PD-481</v>
          </cell>
          <cell r="B617" t="str">
            <v xml:space="preserve">Caravel </v>
          </cell>
          <cell r="C617">
            <v>11122087</v>
          </cell>
          <cell r="D617" t="str">
            <v>2341003-B-A</v>
          </cell>
          <cell r="E617" t="str">
            <v>CRV135-19P CE3</v>
          </cell>
          <cell r="F617" t="str">
            <v>Oversea</v>
          </cell>
          <cell r="G617">
            <v>201</v>
          </cell>
          <cell r="H617">
            <v>201</v>
          </cell>
          <cell r="I617">
            <v>0</v>
          </cell>
          <cell r="J617" t="str">
            <v>FINISH</v>
          </cell>
          <cell r="K617">
            <v>46255</v>
          </cell>
          <cell r="L617">
            <v>46268</v>
          </cell>
        </row>
        <row r="618">
          <cell r="A618" t="str">
            <v>CA-H2607-PD-482</v>
          </cell>
          <cell r="B618" t="str">
            <v xml:space="preserve">Caravel </v>
          </cell>
          <cell r="C618">
            <v>11122088</v>
          </cell>
          <cell r="D618" t="str">
            <v>2341004-B-A</v>
          </cell>
          <cell r="E618" t="str">
            <v>CRV150-19P CE3</v>
          </cell>
          <cell r="F618" t="str">
            <v>Oversea</v>
          </cell>
          <cell r="G618">
            <v>122</v>
          </cell>
          <cell r="H618">
            <v>122</v>
          </cell>
          <cell r="I618">
            <v>0</v>
          </cell>
          <cell r="J618" t="str">
            <v>FINISH</v>
          </cell>
          <cell r="K618">
            <v>46255</v>
          </cell>
          <cell r="L618">
            <v>46268</v>
          </cell>
        </row>
        <row r="619">
          <cell r="A619" t="str">
            <v>CA-H2607-PD-487</v>
          </cell>
          <cell r="B619" t="str">
            <v xml:space="preserve">Caravel </v>
          </cell>
          <cell r="C619">
            <v>11122088</v>
          </cell>
          <cell r="D619" t="str">
            <v>2341004-B-A</v>
          </cell>
          <cell r="E619" t="str">
            <v>CRV150-19P CE3</v>
          </cell>
          <cell r="F619" t="str">
            <v>Oversea</v>
          </cell>
          <cell r="G619">
            <v>50</v>
          </cell>
          <cell r="H619">
            <v>50</v>
          </cell>
          <cell r="I619">
            <v>0</v>
          </cell>
          <cell r="J619" t="str">
            <v>FINISH</v>
          </cell>
          <cell r="K619">
            <v>46258</v>
          </cell>
          <cell r="L619">
            <v>46269</v>
          </cell>
        </row>
        <row r="620">
          <cell r="A620" t="str">
            <v>CA-H2607-PD-488</v>
          </cell>
          <cell r="B620" t="str">
            <v xml:space="preserve">Caravel </v>
          </cell>
          <cell r="C620">
            <v>11122087</v>
          </cell>
          <cell r="D620" t="str">
            <v>2341003-B-A</v>
          </cell>
          <cell r="E620" t="str">
            <v>CRV135-19P CE3</v>
          </cell>
          <cell r="F620" t="str">
            <v>Oversea</v>
          </cell>
          <cell r="G620">
            <v>100</v>
          </cell>
          <cell r="H620">
            <v>100</v>
          </cell>
          <cell r="I620">
            <v>0</v>
          </cell>
          <cell r="J620" t="str">
            <v>FINISH</v>
          </cell>
          <cell r="K620">
            <v>46258</v>
          </cell>
          <cell r="L620">
            <v>46269</v>
          </cell>
        </row>
        <row r="621">
          <cell r="A621" t="str">
            <v>CA-H2607-PD-610</v>
          </cell>
          <cell r="B621" t="str">
            <v>HyperionYubo changed</v>
          </cell>
          <cell r="C621">
            <v>11131302</v>
          </cell>
          <cell r="D621" t="str">
            <v>2211219-E-A</v>
          </cell>
          <cell r="E621" t="str">
            <v>HW70SP300P10000 NOCE</v>
          </cell>
          <cell r="F621" t="str">
            <v>Oversea</v>
          </cell>
          <cell r="G621">
            <v>10</v>
          </cell>
          <cell r="H621">
            <v>0</v>
          </cell>
          <cell r="I621">
            <v>10</v>
          </cell>
          <cell r="J621" t="str">
            <v>NO</v>
          </cell>
          <cell r="K621">
            <v>46258</v>
          </cell>
          <cell r="L621">
            <v>46269</v>
          </cell>
        </row>
        <row r="622">
          <cell r="A622" t="str">
            <v>CA-H2607-PD-611</v>
          </cell>
          <cell r="B622" t="str">
            <v>HyperionYubo changed</v>
          </cell>
          <cell r="C622">
            <v>11131288</v>
          </cell>
          <cell r="D622" t="str">
            <v>2211091-E-A</v>
          </cell>
          <cell r="E622" t="str">
            <v>HW60SP300P10000 NOCE</v>
          </cell>
          <cell r="F622" t="str">
            <v>Oversea</v>
          </cell>
          <cell r="G622">
            <v>10</v>
          </cell>
          <cell r="H622">
            <v>10</v>
          </cell>
          <cell r="I622">
            <v>0</v>
          </cell>
          <cell r="J622" t="str">
            <v>FINISH</v>
          </cell>
          <cell r="K622">
            <v>46258</v>
          </cell>
          <cell r="L622">
            <v>46269</v>
          </cell>
        </row>
        <row r="623">
          <cell r="A623" t="str">
            <v>CA-H2607-PD-612</v>
          </cell>
          <cell r="B623" t="str">
            <v xml:space="preserve">Hyperion </v>
          </cell>
          <cell r="C623">
            <v>11130546</v>
          </cell>
          <cell r="D623" t="str">
            <v>2211018-C-A</v>
          </cell>
          <cell r="E623" t="str">
            <v>HW60JL350P10000 NOCE</v>
          </cell>
          <cell r="F623" t="str">
            <v>Oversea</v>
          </cell>
          <cell r="G623">
            <v>10</v>
          </cell>
          <cell r="H623">
            <v>0</v>
          </cell>
          <cell r="I623">
            <v>10</v>
          </cell>
          <cell r="J623" t="str">
            <v>NO</v>
          </cell>
          <cell r="K623">
            <v>46258</v>
          </cell>
          <cell r="L623">
            <v>46269</v>
          </cell>
        </row>
        <row r="624">
          <cell r="A624" t="str">
            <v>CA-H2607-PD-613</v>
          </cell>
          <cell r="B624" t="str">
            <v>HyperionYubo changed</v>
          </cell>
          <cell r="C624">
            <v>11131303</v>
          </cell>
          <cell r="D624" t="str">
            <v>2211220-E-A</v>
          </cell>
          <cell r="E624" t="str">
            <v>HW70SP350P10000 NOCE</v>
          </cell>
          <cell r="F624" t="str">
            <v>Oversea</v>
          </cell>
          <cell r="G624">
            <v>5</v>
          </cell>
          <cell r="H624">
            <v>5</v>
          </cell>
          <cell r="I624">
            <v>0</v>
          </cell>
          <cell r="J624" t="str">
            <v>FINISH</v>
          </cell>
          <cell r="K624">
            <v>46258</v>
          </cell>
          <cell r="L624">
            <v>46269</v>
          </cell>
        </row>
        <row r="625">
          <cell r="A625" t="str">
            <v>CA-H2607-PD-614</v>
          </cell>
          <cell r="B625" t="str">
            <v>HyperionYubo changed</v>
          </cell>
          <cell r="C625">
            <v>11131289</v>
          </cell>
          <cell r="D625" t="str">
            <v>2211092-E-A</v>
          </cell>
          <cell r="E625" t="str">
            <v>HW60SP350P10000 NOCE</v>
          </cell>
          <cell r="F625" t="str">
            <v>Oversea</v>
          </cell>
          <cell r="G625">
            <v>10</v>
          </cell>
          <cell r="H625">
            <v>10</v>
          </cell>
          <cell r="I625">
            <v>0</v>
          </cell>
          <cell r="J625" t="str">
            <v>FINISH</v>
          </cell>
          <cell r="K625">
            <v>46258</v>
          </cell>
          <cell r="L625">
            <v>46269</v>
          </cell>
        </row>
        <row r="626">
          <cell r="A626" t="str">
            <v>CA-H2607-PD-615</v>
          </cell>
          <cell r="B626" t="str">
            <v xml:space="preserve">Hyperion </v>
          </cell>
          <cell r="C626">
            <v>11130545</v>
          </cell>
          <cell r="D626" t="str">
            <v>2211017-C-A</v>
          </cell>
          <cell r="E626" t="str">
            <v>HW60JL300P10000 NOCE</v>
          </cell>
          <cell r="F626" t="str">
            <v>Oversea</v>
          </cell>
          <cell r="G626">
            <v>10</v>
          </cell>
          <cell r="H626">
            <v>0</v>
          </cell>
          <cell r="I626">
            <v>10</v>
          </cell>
          <cell r="J626" t="str">
            <v>NO</v>
          </cell>
          <cell r="K626">
            <v>46258</v>
          </cell>
          <cell r="L626">
            <v>46269</v>
          </cell>
        </row>
        <row r="627">
          <cell r="A627" t="str">
            <v>CA-H2607-PD-470</v>
          </cell>
          <cell r="B627" t="str">
            <v xml:space="preserve">Caravel </v>
          </cell>
          <cell r="C627">
            <v>11122087</v>
          </cell>
          <cell r="D627" t="str">
            <v>2341003-B-A</v>
          </cell>
          <cell r="E627" t="str">
            <v>CRV135-19P CE3</v>
          </cell>
          <cell r="F627" t="str">
            <v>Oversea</v>
          </cell>
          <cell r="G627">
            <v>220</v>
          </cell>
          <cell r="H627">
            <v>220</v>
          </cell>
          <cell r="I627">
            <v>0</v>
          </cell>
          <cell r="J627" t="str">
            <v>FINISH</v>
          </cell>
          <cell r="K627">
            <v>46261</v>
          </cell>
          <cell r="L627">
            <v>46273</v>
          </cell>
        </row>
        <row r="628">
          <cell r="A628" t="str">
            <v>CA-H2606-PD-229</v>
          </cell>
          <cell r="B628" t="str">
            <v xml:space="preserve">Hyperion </v>
          </cell>
          <cell r="C628">
            <v>11130566</v>
          </cell>
          <cell r="D628" t="str">
            <v>2211038-C-A</v>
          </cell>
          <cell r="E628" t="str">
            <v>HW60AL100P10000 NOCE</v>
          </cell>
          <cell r="F628" t="str">
            <v>Oversea</v>
          </cell>
          <cell r="G628">
            <v>4</v>
          </cell>
          <cell r="H628">
            <v>4</v>
          </cell>
          <cell r="I628">
            <v>0</v>
          </cell>
          <cell r="J628" t="str">
            <v>FINISH</v>
          </cell>
          <cell r="K628">
            <v>46262</v>
          </cell>
          <cell r="L628">
            <v>46274</v>
          </cell>
        </row>
        <row r="629">
          <cell r="A629" t="str">
            <v>CA-H2606-PD-230</v>
          </cell>
          <cell r="B629" t="str">
            <v xml:space="preserve">Hyperion </v>
          </cell>
          <cell r="C629">
            <v>11130546</v>
          </cell>
          <cell r="D629" t="str">
            <v>2211018-C-A</v>
          </cell>
          <cell r="E629" t="str">
            <v>HW60JL350P10000 NOCE</v>
          </cell>
          <cell r="F629" t="str">
            <v>Oversea</v>
          </cell>
          <cell r="G629">
            <v>5</v>
          </cell>
          <cell r="H629">
            <v>5</v>
          </cell>
          <cell r="I629">
            <v>0</v>
          </cell>
          <cell r="J629" t="str">
            <v>FINISH</v>
          </cell>
          <cell r="K629">
            <v>46262</v>
          </cell>
          <cell r="L629">
            <v>46274</v>
          </cell>
        </row>
        <row r="630">
          <cell r="A630" t="str">
            <v>CA-H2606-PD-231</v>
          </cell>
          <cell r="B630" t="str">
            <v xml:space="preserve">Hyperion </v>
          </cell>
          <cell r="C630">
            <v>11130530</v>
          </cell>
          <cell r="D630" t="str">
            <v>2211002-C-A</v>
          </cell>
          <cell r="E630" t="str">
            <v>HW60JR400P10000 NOCE</v>
          </cell>
          <cell r="F630" t="str">
            <v>Oversea</v>
          </cell>
          <cell r="G630">
            <v>25</v>
          </cell>
          <cell r="H630">
            <v>25</v>
          </cell>
          <cell r="I630">
            <v>0</v>
          </cell>
          <cell r="J630" t="str">
            <v>FINISH</v>
          </cell>
          <cell r="K630">
            <v>46262</v>
          </cell>
          <cell r="L630">
            <v>46274</v>
          </cell>
        </row>
        <row r="631">
          <cell r="A631" t="str">
            <v>CA-H2606-PD-232</v>
          </cell>
          <cell r="B631" t="str">
            <v>HyperionYubo changed</v>
          </cell>
          <cell r="C631">
            <v>11132714</v>
          </cell>
          <cell r="D631" t="str">
            <v>2211029-D-A</v>
          </cell>
          <cell r="E631" t="str">
            <v>HW60PB300P10000 NOCE</v>
          </cell>
          <cell r="F631" t="str">
            <v>Oversea</v>
          </cell>
          <cell r="G631">
            <v>10</v>
          </cell>
          <cell r="H631">
            <v>10</v>
          </cell>
          <cell r="I631">
            <v>0</v>
          </cell>
          <cell r="J631" t="str">
            <v>FINISH</v>
          </cell>
          <cell r="K631">
            <v>46262</v>
          </cell>
          <cell r="L631">
            <v>46274</v>
          </cell>
        </row>
        <row r="632">
          <cell r="A632" t="str">
            <v>CA-H2606-PD-233</v>
          </cell>
          <cell r="B632" t="str">
            <v>HyperionYubo changed</v>
          </cell>
          <cell r="C632">
            <v>11132715</v>
          </cell>
          <cell r="D632" t="str">
            <v>2211030-D-A</v>
          </cell>
          <cell r="E632" t="str">
            <v>HW60PB350P10000 NOCE</v>
          </cell>
          <cell r="F632" t="str">
            <v>Oversea</v>
          </cell>
          <cell r="G632">
            <v>15</v>
          </cell>
          <cell r="H632">
            <v>15</v>
          </cell>
          <cell r="I632">
            <v>0</v>
          </cell>
          <cell r="J632" t="str">
            <v>FINISH</v>
          </cell>
          <cell r="K632">
            <v>46262</v>
          </cell>
          <cell r="L632">
            <v>46274</v>
          </cell>
        </row>
        <row r="633">
          <cell r="A633" t="str">
            <v>CA-H2606-PD-234</v>
          </cell>
          <cell r="B633" t="str">
            <v>HyperionYubo changed</v>
          </cell>
          <cell r="C633">
            <v>11131289</v>
          </cell>
          <cell r="D633" t="str">
            <v>2211092-E-A</v>
          </cell>
          <cell r="E633" t="str">
            <v>HW60SP350P10000 NOCE</v>
          </cell>
          <cell r="F633" t="str">
            <v>Oversea</v>
          </cell>
          <cell r="G633">
            <v>65</v>
          </cell>
          <cell r="H633">
            <v>65</v>
          </cell>
          <cell r="I633">
            <v>0</v>
          </cell>
          <cell r="J633" t="str">
            <v>FINISH</v>
          </cell>
          <cell r="K633">
            <v>46262</v>
          </cell>
          <cell r="L633">
            <v>46274</v>
          </cell>
        </row>
        <row r="634">
          <cell r="A634" t="str">
            <v>CA-H2606-PD-235</v>
          </cell>
          <cell r="B634" t="str">
            <v xml:space="preserve">Hyperion </v>
          </cell>
          <cell r="C634">
            <v>11130696</v>
          </cell>
          <cell r="D634" t="str">
            <v>2211168-C-A</v>
          </cell>
          <cell r="E634" t="str">
            <v>HW70AL100P09000 NOCE</v>
          </cell>
          <cell r="F634" t="str">
            <v>Oversea</v>
          </cell>
          <cell r="G634">
            <v>3</v>
          </cell>
          <cell r="H634">
            <v>3</v>
          </cell>
          <cell r="I634">
            <v>0</v>
          </cell>
          <cell r="J634" t="str">
            <v>FINISH</v>
          </cell>
          <cell r="K634">
            <v>46262</v>
          </cell>
          <cell r="L634">
            <v>46274</v>
          </cell>
        </row>
        <row r="635">
          <cell r="A635" t="str">
            <v>CA-H2606-PD-236</v>
          </cell>
          <cell r="B635" t="str">
            <v xml:space="preserve">Hyperion </v>
          </cell>
          <cell r="C635">
            <v>11130658</v>
          </cell>
          <cell r="D635" t="str">
            <v>2211130-C-A</v>
          </cell>
          <cell r="E635" t="str">
            <v>HW70JR400P10000 NOCE</v>
          </cell>
          <cell r="F635" t="str">
            <v>Oversea</v>
          </cell>
          <cell r="G635">
            <v>7</v>
          </cell>
          <cell r="H635">
            <v>7</v>
          </cell>
          <cell r="I635">
            <v>0</v>
          </cell>
          <cell r="J635" t="str">
            <v>FINISH</v>
          </cell>
          <cell r="K635">
            <v>46262</v>
          </cell>
          <cell r="L635">
            <v>46274</v>
          </cell>
        </row>
        <row r="636">
          <cell r="A636" t="str">
            <v>CA-H2606-PD-237</v>
          </cell>
          <cell r="B636" t="str">
            <v>HyperionYubo changed</v>
          </cell>
          <cell r="C636">
            <v>11132727</v>
          </cell>
          <cell r="D636" t="str">
            <v>2211158-D-A</v>
          </cell>
          <cell r="E636" t="str">
            <v>HW70PB350P10000 NOCE</v>
          </cell>
          <cell r="F636" t="str">
            <v>Oversea</v>
          </cell>
          <cell r="G636">
            <v>15</v>
          </cell>
          <cell r="H636">
            <v>15</v>
          </cell>
          <cell r="I636">
            <v>0</v>
          </cell>
          <cell r="J636" t="str">
            <v>FINISH</v>
          </cell>
          <cell r="K636">
            <v>46262</v>
          </cell>
          <cell r="L636">
            <v>46274</v>
          </cell>
        </row>
        <row r="637">
          <cell r="A637" t="str">
            <v>CA-H2606-PD-238</v>
          </cell>
          <cell r="B637" t="str">
            <v>HyperionYubo changed</v>
          </cell>
          <cell r="C637">
            <v>11131307</v>
          </cell>
          <cell r="D637" t="str">
            <v>2211224-D-A</v>
          </cell>
          <cell r="E637" t="str">
            <v>HW70SP350P09000 NOCE</v>
          </cell>
          <cell r="F637" t="str">
            <v>Oversea</v>
          </cell>
          <cell r="G637">
            <v>6</v>
          </cell>
          <cell r="H637">
            <v>4</v>
          </cell>
          <cell r="I637">
            <v>2</v>
          </cell>
          <cell r="J637" t="str">
            <v>NO</v>
          </cell>
          <cell r="K637">
            <v>46262</v>
          </cell>
          <cell r="L637">
            <v>46274</v>
          </cell>
        </row>
        <row r="638">
          <cell r="A638" t="str">
            <v>CA-H2606-PD-239</v>
          </cell>
          <cell r="B638" t="str">
            <v>HyperionYubo changed</v>
          </cell>
          <cell r="C638">
            <v>11131304</v>
          </cell>
          <cell r="D638" t="str">
            <v>2211221-E-A</v>
          </cell>
          <cell r="E638" t="str">
            <v>HW70SP370P10000 NOCE</v>
          </cell>
          <cell r="F638" t="str">
            <v>Oversea</v>
          </cell>
          <cell r="G638">
            <v>2</v>
          </cell>
          <cell r="H638">
            <v>2</v>
          </cell>
          <cell r="I638">
            <v>0</v>
          </cell>
          <cell r="J638" t="str">
            <v>FINISH</v>
          </cell>
          <cell r="K638">
            <v>46262</v>
          </cell>
          <cell r="L638">
            <v>46274</v>
          </cell>
        </row>
        <row r="639">
          <cell r="A639" t="str">
            <v>CA-H2607-PD-035</v>
          </cell>
          <cell r="B639" t="str">
            <v xml:space="preserve">Hyperion </v>
          </cell>
          <cell r="C639">
            <v>11130565</v>
          </cell>
          <cell r="D639" t="str">
            <v>2211037-C-A</v>
          </cell>
          <cell r="E639" t="str">
            <v>HW60AL070P10000 NOCE</v>
          </cell>
          <cell r="F639" t="str">
            <v>Australia</v>
          </cell>
          <cell r="G639">
            <v>17</v>
          </cell>
          <cell r="H639">
            <v>17</v>
          </cell>
          <cell r="I639">
            <v>0</v>
          </cell>
          <cell r="J639" t="str">
            <v>FINISH</v>
          </cell>
          <cell r="K639">
            <v>46262</v>
          </cell>
          <cell r="L639">
            <v>46274</v>
          </cell>
        </row>
        <row r="640">
          <cell r="A640" t="str">
            <v>CA-H2607-PD-036</v>
          </cell>
          <cell r="B640" t="str">
            <v xml:space="preserve">Hyperion </v>
          </cell>
          <cell r="C640">
            <v>11130566</v>
          </cell>
          <cell r="D640" t="str">
            <v>2211038-C-A</v>
          </cell>
          <cell r="E640" t="str">
            <v>HW60AL100P10000 NOCE</v>
          </cell>
          <cell r="F640" t="str">
            <v>Australia</v>
          </cell>
          <cell r="G640">
            <v>2</v>
          </cell>
          <cell r="H640">
            <v>2</v>
          </cell>
          <cell r="I640">
            <v>0</v>
          </cell>
          <cell r="J640" t="str">
            <v>FINISH</v>
          </cell>
          <cell r="K640">
            <v>46262</v>
          </cell>
          <cell r="L640">
            <v>46274</v>
          </cell>
        </row>
        <row r="641">
          <cell r="A641" t="str">
            <v>CA-H2607-PD-037</v>
          </cell>
          <cell r="B641" t="str">
            <v xml:space="preserve">Hyperion </v>
          </cell>
          <cell r="C641">
            <v>11130535</v>
          </cell>
          <cell r="D641" t="str">
            <v>2211007-C-A</v>
          </cell>
          <cell r="E641" t="str">
            <v>HW60AR100P10000 NOCE</v>
          </cell>
          <cell r="F641" t="str">
            <v>Australia</v>
          </cell>
          <cell r="G641">
            <v>1</v>
          </cell>
          <cell r="H641">
            <v>1</v>
          </cell>
          <cell r="I641">
            <v>0</v>
          </cell>
          <cell r="J641" t="str">
            <v>FINISH</v>
          </cell>
          <cell r="K641">
            <v>46262</v>
          </cell>
          <cell r="L641">
            <v>46274</v>
          </cell>
        </row>
        <row r="642">
          <cell r="A642" t="str">
            <v>CA-H2607-PD-038</v>
          </cell>
          <cell r="B642" t="str">
            <v xml:space="preserve">Hyperion </v>
          </cell>
          <cell r="C642">
            <v>11130628</v>
          </cell>
          <cell r="D642" t="str">
            <v>2211100-C-A</v>
          </cell>
          <cell r="E642" t="str">
            <v>HW60IM000P10000 NOCE</v>
          </cell>
          <cell r="F642" t="str">
            <v>Australia</v>
          </cell>
          <cell r="G642">
            <v>5</v>
          </cell>
          <cell r="H642">
            <v>5</v>
          </cell>
          <cell r="I642">
            <v>0</v>
          </cell>
          <cell r="J642" t="str">
            <v>FINISH</v>
          </cell>
          <cell r="K642">
            <v>46262</v>
          </cell>
          <cell r="L642">
            <v>46274</v>
          </cell>
        </row>
        <row r="643">
          <cell r="A643" t="str">
            <v>CA-H2607-PD-039</v>
          </cell>
          <cell r="B643" t="str">
            <v xml:space="preserve">Hyperion </v>
          </cell>
          <cell r="C643">
            <v>11130530</v>
          </cell>
          <cell r="D643" t="str">
            <v>2211002-C-A</v>
          </cell>
          <cell r="E643" t="str">
            <v>HW60JR400P10000 NOCE</v>
          </cell>
          <cell r="F643" t="str">
            <v>Australia</v>
          </cell>
          <cell r="G643">
            <v>28</v>
          </cell>
          <cell r="H643">
            <v>28</v>
          </cell>
          <cell r="I643">
            <v>0</v>
          </cell>
          <cell r="J643" t="str">
            <v>FINISH</v>
          </cell>
          <cell r="K643">
            <v>46262</v>
          </cell>
          <cell r="L643">
            <v>46274</v>
          </cell>
        </row>
        <row r="644">
          <cell r="A644" t="str">
            <v>CA-H2607-PD-040</v>
          </cell>
          <cell r="B644" t="str">
            <v>HyperionYubo changed</v>
          </cell>
          <cell r="C644">
            <v>11132714</v>
          </cell>
          <cell r="D644" t="str">
            <v>2211029-D-A</v>
          </cell>
          <cell r="E644" t="str">
            <v>HW60PB300P10000 NOCE</v>
          </cell>
          <cell r="F644" t="str">
            <v>Australia</v>
          </cell>
          <cell r="G644">
            <v>110</v>
          </cell>
          <cell r="H644">
            <v>110</v>
          </cell>
          <cell r="I644">
            <v>0</v>
          </cell>
          <cell r="J644" t="str">
            <v>FINISH</v>
          </cell>
          <cell r="K644">
            <v>46262</v>
          </cell>
          <cell r="L644">
            <v>46274</v>
          </cell>
        </row>
        <row r="645">
          <cell r="A645" t="str">
            <v>CA-H2607-PD-041</v>
          </cell>
          <cell r="B645" t="str">
            <v>HyperionYubo changed</v>
          </cell>
          <cell r="C645">
            <v>11132715</v>
          </cell>
          <cell r="D645" t="str">
            <v>2211030-D-A</v>
          </cell>
          <cell r="E645" t="str">
            <v>HW60PB350P10000 NOCE</v>
          </cell>
          <cell r="F645" t="str">
            <v>Australia</v>
          </cell>
          <cell r="G645">
            <v>50</v>
          </cell>
          <cell r="H645">
            <v>50</v>
          </cell>
          <cell r="I645">
            <v>0</v>
          </cell>
          <cell r="J645" t="str">
            <v>FINISH</v>
          </cell>
          <cell r="K645">
            <v>46262</v>
          </cell>
          <cell r="L645">
            <v>46274</v>
          </cell>
        </row>
        <row r="646">
          <cell r="A646" t="str">
            <v>CA-H2607-PD-042</v>
          </cell>
          <cell r="B646" t="str">
            <v>HyperionYubo changed</v>
          </cell>
          <cell r="C646">
            <v>11131289</v>
          </cell>
          <cell r="D646" t="str">
            <v>2211092-E-A</v>
          </cell>
          <cell r="E646" t="str">
            <v>HW60SP350P10000 NOCE</v>
          </cell>
          <cell r="F646" t="str">
            <v>Australia</v>
          </cell>
          <cell r="G646">
            <v>8</v>
          </cell>
          <cell r="H646">
            <v>8</v>
          </cell>
          <cell r="I646">
            <v>0</v>
          </cell>
          <cell r="J646" t="str">
            <v>FINISH</v>
          </cell>
          <cell r="K646">
            <v>46262</v>
          </cell>
          <cell r="L646">
            <v>46274</v>
          </cell>
        </row>
        <row r="647">
          <cell r="A647" t="str">
            <v>CA-H2607-PD-043</v>
          </cell>
          <cell r="B647" t="str">
            <v xml:space="preserve">Hyperion </v>
          </cell>
          <cell r="C647">
            <v>11130658</v>
          </cell>
          <cell r="D647" t="str">
            <v>2211130-C-A</v>
          </cell>
          <cell r="E647" t="str">
            <v>HW70JR400P10000 NOCE</v>
          </cell>
          <cell r="F647" t="str">
            <v>Australia</v>
          </cell>
          <cell r="G647">
            <v>6</v>
          </cell>
          <cell r="H647">
            <v>6</v>
          </cell>
          <cell r="I647">
            <v>0</v>
          </cell>
          <cell r="J647" t="str">
            <v>FINISH</v>
          </cell>
          <cell r="K647">
            <v>46262</v>
          </cell>
          <cell r="L647">
            <v>46274</v>
          </cell>
        </row>
        <row r="648">
          <cell r="A648" t="str">
            <v>CA-H2607-PD-044</v>
          </cell>
          <cell r="B648" t="str">
            <v>HyperionYubo changed</v>
          </cell>
          <cell r="C648">
            <v>11131305</v>
          </cell>
          <cell r="D648" t="str">
            <v>2211222-E-A</v>
          </cell>
          <cell r="E648" t="str">
            <v>HW70SP400P10000 NOCE</v>
          </cell>
          <cell r="F648" t="str">
            <v>Australia</v>
          </cell>
          <cell r="G648">
            <v>2</v>
          </cell>
          <cell r="H648">
            <v>2</v>
          </cell>
          <cell r="I648">
            <v>0</v>
          </cell>
          <cell r="J648" t="str">
            <v>FINISH</v>
          </cell>
          <cell r="K648">
            <v>46262</v>
          </cell>
          <cell r="L648">
            <v>46274</v>
          </cell>
        </row>
        <row r="649">
          <cell r="A649" t="str">
            <v>CA-H2607-PD-045</v>
          </cell>
          <cell r="B649" t="str">
            <v>HyperionYubo changed</v>
          </cell>
          <cell r="C649">
            <v>11131304</v>
          </cell>
          <cell r="D649" t="str">
            <v>2211221-E-A</v>
          </cell>
          <cell r="E649" t="str">
            <v>HW70SP370P10000 NOCE</v>
          </cell>
          <cell r="F649" t="str">
            <v>Australia</v>
          </cell>
          <cell r="G649">
            <v>5</v>
          </cell>
          <cell r="H649">
            <v>5</v>
          </cell>
          <cell r="I649">
            <v>0</v>
          </cell>
          <cell r="J649" t="str">
            <v>FINISH</v>
          </cell>
          <cell r="K649">
            <v>46262</v>
          </cell>
          <cell r="L649">
            <v>46274</v>
          </cell>
        </row>
        <row r="650">
          <cell r="A650" t="str">
            <v>CA-H2607-PD-046</v>
          </cell>
          <cell r="B650" t="str">
            <v xml:space="preserve">Hyperion </v>
          </cell>
          <cell r="C650">
            <v>11130822</v>
          </cell>
          <cell r="D650" t="str">
            <v>2211294-C-A</v>
          </cell>
          <cell r="E650" t="str">
            <v>HW80AL100P10000 NOCE</v>
          </cell>
          <cell r="F650" t="str">
            <v>Australia</v>
          </cell>
          <cell r="G650">
            <v>2</v>
          </cell>
          <cell r="H650">
            <v>2</v>
          </cell>
          <cell r="I650">
            <v>0</v>
          </cell>
          <cell r="J650" t="str">
            <v>FINISH</v>
          </cell>
          <cell r="K650">
            <v>46262</v>
          </cell>
          <cell r="L650">
            <v>46274</v>
          </cell>
        </row>
        <row r="651">
          <cell r="A651" t="str">
            <v>CA-H2607-PD-359</v>
          </cell>
          <cell r="B651" t="str">
            <v xml:space="preserve">Caravel </v>
          </cell>
          <cell r="C651">
            <v>11122087</v>
          </cell>
          <cell r="D651" t="str">
            <v>2341003-B-A</v>
          </cell>
          <cell r="E651" t="str">
            <v>CRV135-19P CE3</v>
          </cell>
          <cell r="F651" t="str">
            <v>Oversea</v>
          </cell>
          <cell r="G651">
            <v>520</v>
          </cell>
          <cell r="H651">
            <v>520</v>
          </cell>
          <cell r="I651">
            <v>0</v>
          </cell>
          <cell r="J651" t="str">
            <v>FINISH</v>
          </cell>
          <cell r="K651">
            <v>46262</v>
          </cell>
          <cell r="L651">
            <v>46274</v>
          </cell>
        </row>
        <row r="652">
          <cell r="A652" t="str">
            <v>CA-H2607-PD-360</v>
          </cell>
          <cell r="B652" t="str">
            <v xml:space="preserve">Caravel </v>
          </cell>
          <cell r="C652">
            <v>11122088</v>
          </cell>
          <cell r="D652" t="str">
            <v>2341004-B-A</v>
          </cell>
          <cell r="E652" t="str">
            <v>CRV150-19P CE3</v>
          </cell>
          <cell r="F652" t="str">
            <v>Oversea</v>
          </cell>
          <cell r="G652">
            <v>85</v>
          </cell>
          <cell r="H652">
            <v>85</v>
          </cell>
          <cell r="I652">
            <v>0</v>
          </cell>
          <cell r="J652" t="str">
            <v>FINISH</v>
          </cell>
          <cell r="K652">
            <v>46262</v>
          </cell>
          <cell r="L652">
            <v>46274</v>
          </cell>
        </row>
        <row r="653">
          <cell r="A653" t="str">
            <v>CA-H2607-PD-361</v>
          </cell>
          <cell r="B653" t="str">
            <v xml:space="preserve">Caravel </v>
          </cell>
          <cell r="C653">
            <v>11122087</v>
          </cell>
          <cell r="D653" t="str">
            <v>2341003-B-A</v>
          </cell>
          <cell r="E653" t="str">
            <v>CRV135-19P CE3</v>
          </cell>
          <cell r="F653" t="str">
            <v>Oversea</v>
          </cell>
          <cell r="G653">
            <v>60</v>
          </cell>
          <cell r="H653">
            <v>60</v>
          </cell>
          <cell r="I653">
            <v>0</v>
          </cell>
          <cell r="J653" t="str">
            <v>FINISH</v>
          </cell>
          <cell r="K653">
            <v>46262</v>
          </cell>
          <cell r="L653">
            <v>46274</v>
          </cell>
        </row>
        <row r="654">
          <cell r="A654" t="str">
            <v>CA-H2607-PD-362</v>
          </cell>
          <cell r="B654" t="str">
            <v xml:space="preserve">Caravel </v>
          </cell>
          <cell r="C654">
            <v>11122088</v>
          </cell>
          <cell r="D654" t="str">
            <v>2341004-B-A</v>
          </cell>
          <cell r="E654" t="str">
            <v>CRV150-19P CE3</v>
          </cell>
          <cell r="F654" t="str">
            <v>Oversea</v>
          </cell>
          <cell r="G654">
            <v>15</v>
          </cell>
          <cell r="H654">
            <v>15</v>
          </cell>
          <cell r="I654">
            <v>0</v>
          </cell>
          <cell r="J654" t="str">
            <v>FINISH</v>
          </cell>
          <cell r="K654">
            <v>46262</v>
          </cell>
          <cell r="L654">
            <v>46274</v>
          </cell>
        </row>
        <row r="655">
          <cell r="A655" t="str">
            <v>CA-H2607-PD-483</v>
          </cell>
          <cell r="B655" t="str">
            <v xml:space="preserve">Caravel </v>
          </cell>
          <cell r="C655">
            <v>11122087</v>
          </cell>
          <cell r="D655" t="str">
            <v>2341003-B-A</v>
          </cell>
          <cell r="E655" t="str">
            <v>CRV135-19P CE3</v>
          </cell>
          <cell r="F655" t="str">
            <v>Oversea</v>
          </cell>
          <cell r="G655">
            <v>10</v>
          </cell>
          <cell r="H655">
            <v>10</v>
          </cell>
          <cell r="I655">
            <v>0</v>
          </cell>
          <cell r="J655" t="str">
            <v>FINISH</v>
          </cell>
          <cell r="K655">
            <v>46262</v>
          </cell>
          <cell r="L655">
            <v>46274</v>
          </cell>
        </row>
        <row r="656">
          <cell r="A656" t="str">
            <v>CA-H2607-PD-484</v>
          </cell>
          <cell r="B656" t="str">
            <v xml:space="preserve">Caravel </v>
          </cell>
          <cell r="C656">
            <v>11122088</v>
          </cell>
          <cell r="D656" t="str">
            <v>2341004-B-A</v>
          </cell>
          <cell r="E656" t="str">
            <v>CRV150-19P CE3</v>
          </cell>
          <cell r="F656" t="str">
            <v>Oversea</v>
          </cell>
          <cell r="G656">
            <v>30</v>
          </cell>
          <cell r="H656">
            <v>30</v>
          </cell>
          <cell r="I656">
            <v>0</v>
          </cell>
          <cell r="J656" t="str">
            <v>FINISH</v>
          </cell>
          <cell r="K656">
            <v>46262</v>
          </cell>
          <cell r="L656">
            <v>46274</v>
          </cell>
        </row>
        <row r="657">
          <cell r="A657" t="str">
            <v>CA-H2608-PD-008</v>
          </cell>
          <cell r="B657" t="str">
            <v xml:space="preserve">Hyperion </v>
          </cell>
          <cell r="C657">
            <v>11130674</v>
          </cell>
          <cell r="D657" t="str">
            <v>2211146-C-A</v>
          </cell>
          <cell r="E657" t="str">
            <v>HW70JL350P10000 NOCE</v>
          </cell>
          <cell r="F657" t="str">
            <v>Australia</v>
          </cell>
          <cell r="G657">
            <v>2</v>
          </cell>
          <cell r="H657">
            <v>0</v>
          </cell>
          <cell r="I657">
            <v>2</v>
          </cell>
          <cell r="J657" t="str">
            <v>NO</v>
          </cell>
          <cell r="K657">
            <v>46262</v>
          </cell>
          <cell r="L657">
            <v>46274</v>
          </cell>
        </row>
        <row r="658">
          <cell r="A658" t="str">
            <v>CA-H2608-PD-009</v>
          </cell>
          <cell r="B658" t="str">
            <v>HyperionYubo changed</v>
          </cell>
          <cell r="C658">
            <v>11131303</v>
          </cell>
          <cell r="D658" t="str">
            <v>2211220-E-A</v>
          </cell>
          <cell r="E658" t="str">
            <v>HW70SP350P10000 NOCE</v>
          </cell>
          <cell r="F658" t="str">
            <v>Australia</v>
          </cell>
          <cell r="G658">
            <v>6</v>
          </cell>
          <cell r="H658">
            <v>0</v>
          </cell>
          <cell r="I658">
            <v>6</v>
          </cell>
          <cell r="J658" t="str">
            <v>NO</v>
          </cell>
          <cell r="K658">
            <v>46262</v>
          </cell>
          <cell r="L658">
            <v>46274</v>
          </cell>
        </row>
        <row r="659">
          <cell r="A659" t="str">
            <v>CA-H2608-PD-010</v>
          </cell>
          <cell r="B659" t="str">
            <v>HyperionYubo changed</v>
          </cell>
          <cell r="C659">
            <v>11131304</v>
          </cell>
          <cell r="D659" t="str">
            <v>2211221-E-A</v>
          </cell>
          <cell r="E659" t="str">
            <v>HW70SP370P10000 NOCE</v>
          </cell>
          <cell r="F659" t="str">
            <v>Australia</v>
          </cell>
          <cell r="G659">
            <v>10</v>
          </cell>
          <cell r="H659">
            <v>0</v>
          </cell>
          <cell r="I659">
            <v>10</v>
          </cell>
          <cell r="J659" t="str">
            <v>NO</v>
          </cell>
          <cell r="K659">
            <v>46262</v>
          </cell>
          <cell r="L659">
            <v>46274</v>
          </cell>
        </row>
        <row r="660">
          <cell r="A660" t="str">
            <v>CA-H2608-PD-011</v>
          </cell>
          <cell r="B660" t="str">
            <v xml:space="preserve">Hyperion </v>
          </cell>
          <cell r="C660">
            <v>11130547</v>
          </cell>
          <cell r="D660" t="str">
            <v>2211019-C-A</v>
          </cell>
          <cell r="E660" t="str">
            <v>HW60JL400P10000 NOCE</v>
          </cell>
          <cell r="F660" t="str">
            <v>Australia</v>
          </cell>
          <cell r="G660">
            <v>40</v>
          </cell>
          <cell r="H660">
            <v>0</v>
          </cell>
          <cell r="I660">
            <v>40</v>
          </cell>
          <cell r="J660" t="str">
            <v>NO</v>
          </cell>
          <cell r="K660">
            <v>46262</v>
          </cell>
          <cell r="L660">
            <v>46274</v>
          </cell>
        </row>
        <row r="661">
          <cell r="A661" t="str">
            <v>CA-H2608-PD-012</v>
          </cell>
          <cell r="B661" t="str">
            <v xml:space="preserve">Hyperion </v>
          </cell>
          <cell r="C661">
            <v>11130628</v>
          </cell>
          <cell r="D661" t="str">
            <v>2211100-C-A</v>
          </cell>
          <cell r="E661" t="str">
            <v>HW60IM000P10000 NOCE</v>
          </cell>
          <cell r="F661" t="str">
            <v>Australia</v>
          </cell>
          <cell r="G661">
            <v>6</v>
          </cell>
          <cell r="H661">
            <v>0</v>
          </cell>
          <cell r="I661">
            <v>6</v>
          </cell>
          <cell r="J661" t="str">
            <v>NO</v>
          </cell>
          <cell r="K661">
            <v>46262</v>
          </cell>
          <cell r="L661">
            <v>46274</v>
          </cell>
        </row>
        <row r="662">
          <cell r="A662" t="str">
            <v>CA-H2608-PD-013</v>
          </cell>
          <cell r="B662" t="str">
            <v xml:space="preserve">Hyperion </v>
          </cell>
          <cell r="C662">
            <v>11130628</v>
          </cell>
          <cell r="D662" t="str">
            <v>2211100-C-A</v>
          </cell>
          <cell r="E662" t="str">
            <v>HW60IM000P10000 NOCE</v>
          </cell>
          <cell r="F662" t="str">
            <v>Oversea</v>
          </cell>
          <cell r="G662">
            <v>2</v>
          </cell>
          <cell r="H662">
            <v>0</v>
          </cell>
          <cell r="I662">
            <v>2</v>
          </cell>
          <cell r="J662" t="str">
            <v>NO</v>
          </cell>
          <cell r="K662">
            <v>46262</v>
          </cell>
          <cell r="L662">
            <v>46274</v>
          </cell>
        </row>
        <row r="663">
          <cell r="A663" t="str">
            <v>CA-H2608-PD-014</v>
          </cell>
          <cell r="B663" t="str">
            <v xml:space="preserve">Hyperion </v>
          </cell>
          <cell r="C663">
            <v>11130546</v>
          </cell>
          <cell r="D663" t="str">
            <v>2211018-C-A</v>
          </cell>
          <cell r="E663" t="str">
            <v>HW60JL350P10000 NOCE</v>
          </cell>
          <cell r="F663" t="str">
            <v>Oversea</v>
          </cell>
          <cell r="G663">
            <v>15</v>
          </cell>
          <cell r="H663">
            <v>0</v>
          </cell>
          <cell r="I663">
            <v>15</v>
          </cell>
          <cell r="J663" t="str">
            <v>NO</v>
          </cell>
          <cell r="K663">
            <v>46262</v>
          </cell>
          <cell r="L663">
            <v>46274</v>
          </cell>
        </row>
        <row r="664">
          <cell r="A664" t="str">
            <v>CA-H2608-PD-015</v>
          </cell>
          <cell r="B664" t="str">
            <v xml:space="preserve">Hyperion </v>
          </cell>
          <cell r="C664">
            <v>11130530</v>
          </cell>
          <cell r="D664" t="str">
            <v>2211002-C-A</v>
          </cell>
          <cell r="E664" t="str">
            <v>HW60JR400P10000 NOCE</v>
          </cell>
          <cell r="F664" t="str">
            <v>Oversea</v>
          </cell>
          <cell r="G664">
            <v>30</v>
          </cell>
          <cell r="H664">
            <v>0</v>
          </cell>
          <cell r="I664">
            <v>30</v>
          </cell>
          <cell r="J664" t="str">
            <v>NO</v>
          </cell>
          <cell r="K664">
            <v>46262</v>
          </cell>
          <cell r="L664">
            <v>46274</v>
          </cell>
        </row>
        <row r="665">
          <cell r="A665" t="str">
            <v>CA-H2608-PD-016</v>
          </cell>
          <cell r="B665" t="str">
            <v>HyperionYubo changed</v>
          </cell>
          <cell r="C665">
            <v>11132714</v>
          </cell>
          <cell r="D665" t="str">
            <v>2211029-D-A</v>
          </cell>
          <cell r="E665" t="str">
            <v>HW60PB300P10000 NOCE</v>
          </cell>
          <cell r="F665" t="str">
            <v>Oversea</v>
          </cell>
          <cell r="G665">
            <v>30</v>
          </cell>
          <cell r="H665">
            <v>0</v>
          </cell>
          <cell r="I665">
            <v>30</v>
          </cell>
          <cell r="J665" t="str">
            <v>NO</v>
          </cell>
          <cell r="K665">
            <v>46262</v>
          </cell>
          <cell r="L665">
            <v>46274</v>
          </cell>
        </row>
        <row r="666">
          <cell r="A666" t="str">
            <v>CA-H2608-PD-017</v>
          </cell>
          <cell r="B666" t="str">
            <v>HyperionYubo changed</v>
          </cell>
          <cell r="C666">
            <v>11132715</v>
          </cell>
          <cell r="D666" t="str">
            <v>2211030-D-A</v>
          </cell>
          <cell r="E666" t="str">
            <v>HW60PB350P10000 NOCE</v>
          </cell>
          <cell r="F666" t="str">
            <v>Oversea</v>
          </cell>
          <cell r="G666">
            <v>30</v>
          </cell>
          <cell r="H666">
            <v>0</v>
          </cell>
          <cell r="I666">
            <v>30</v>
          </cell>
          <cell r="J666" t="str">
            <v>NO</v>
          </cell>
          <cell r="K666">
            <v>46262</v>
          </cell>
          <cell r="L666">
            <v>46274</v>
          </cell>
        </row>
        <row r="667">
          <cell r="A667" t="str">
            <v>CA-H2608-PD-018</v>
          </cell>
          <cell r="B667" t="str">
            <v>HyperionYubo changed</v>
          </cell>
          <cell r="C667">
            <v>11131289</v>
          </cell>
          <cell r="D667" t="str">
            <v>2211092-E-A</v>
          </cell>
          <cell r="E667" t="str">
            <v>HW60SP350P10000 NOCE</v>
          </cell>
          <cell r="F667" t="str">
            <v>Oversea</v>
          </cell>
          <cell r="G667">
            <v>25</v>
          </cell>
          <cell r="H667">
            <v>0</v>
          </cell>
          <cell r="I667">
            <v>25</v>
          </cell>
          <cell r="J667" t="str">
            <v>NO</v>
          </cell>
          <cell r="K667">
            <v>46262</v>
          </cell>
          <cell r="L667">
            <v>46274</v>
          </cell>
        </row>
        <row r="668">
          <cell r="A668" t="str">
            <v>CA-H2608-PD-019</v>
          </cell>
          <cell r="B668" t="str">
            <v xml:space="preserve">Hyperion </v>
          </cell>
          <cell r="C668">
            <v>11130693</v>
          </cell>
          <cell r="D668" t="str">
            <v>2211165-C-A</v>
          </cell>
          <cell r="E668" t="str">
            <v>HW70AL070P10000 NOCE</v>
          </cell>
          <cell r="F668" t="str">
            <v>Oversea</v>
          </cell>
          <cell r="G668">
            <v>7</v>
          </cell>
          <cell r="H668">
            <v>0</v>
          </cell>
          <cell r="I668">
            <v>7</v>
          </cell>
          <cell r="J668" t="str">
            <v>NO</v>
          </cell>
          <cell r="K668">
            <v>46262</v>
          </cell>
          <cell r="L668">
            <v>46274</v>
          </cell>
        </row>
        <row r="669">
          <cell r="A669" t="str">
            <v>CA-H2608-PD-020</v>
          </cell>
          <cell r="B669" t="str">
            <v xml:space="preserve">Hyperion </v>
          </cell>
          <cell r="C669">
            <v>11130696</v>
          </cell>
          <cell r="D669" t="str">
            <v>2211168-C-A</v>
          </cell>
          <cell r="E669" t="str">
            <v>HW70AL100P09000 NOCE</v>
          </cell>
          <cell r="F669" t="str">
            <v>Oversea</v>
          </cell>
          <cell r="G669">
            <v>1</v>
          </cell>
          <cell r="H669">
            <v>0</v>
          </cell>
          <cell r="I669">
            <v>1</v>
          </cell>
          <cell r="J669" t="str">
            <v>NO</v>
          </cell>
          <cell r="K669">
            <v>46262</v>
          </cell>
          <cell r="L669">
            <v>46274</v>
          </cell>
        </row>
        <row r="670">
          <cell r="A670" t="str">
            <v>CA-H2608-PD-021</v>
          </cell>
          <cell r="B670" t="str">
            <v>HyperionYubo changed</v>
          </cell>
          <cell r="C670">
            <v>11131307</v>
          </cell>
          <cell r="D670" t="str">
            <v>2211224-D-A</v>
          </cell>
          <cell r="E670" t="str">
            <v>HW70SP350P09000 NOCE</v>
          </cell>
          <cell r="F670" t="str">
            <v>Oversea</v>
          </cell>
          <cell r="G670">
            <v>4</v>
          </cell>
          <cell r="H670">
            <v>0</v>
          </cell>
          <cell r="I670">
            <v>4</v>
          </cell>
          <cell r="J670" t="str">
            <v>NO</v>
          </cell>
          <cell r="K670">
            <v>46262</v>
          </cell>
          <cell r="L670">
            <v>46274</v>
          </cell>
        </row>
        <row r="671">
          <cell r="A671" t="str">
            <v>SP-H2609-PD-001</v>
          </cell>
          <cell r="B671" t="str">
            <v>CAG</v>
          </cell>
          <cell r="C671">
            <v>11116931</v>
          </cell>
          <cell r="D671" t="str">
            <v>1521545-M-A</v>
          </cell>
          <cell r="E671" t="str">
            <v>MS3552H21-ANG100M</v>
          </cell>
          <cell r="F671" t="str">
            <v>FILMECC</v>
          </cell>
          <cell r="G671">
            <v>100</v>
          </cell>
          <cell r="H671">
            <v>0</v>
          </cell>
          <cell r="I671">
            <v>100</v>
          </cell>
          <cell r="J671" t="str">
            <v>NO</v>
          </cell>
          <cell r="K671">
            <v>46268</v>
          </cell>
          <cell r="L671">
            <v>46276</v>
          </cell>
        </row>
        <row r="672">
          <cell r="A672" t="str">
            <v>SP-H2609-PD-002</v>
          </cell>
          <cell r="B672" t="str">
            <v>CAG</v>
          </cell>
          <cell r="C672">
            <v>11116929</v>
          </cell>
          <cell r="D672" t="str">
            <v>1521543-K-A</v>
          </cell>
          <cell r="E672" t="str">
            <v>MS3552H21-ANG70G</v>
          </cell>
          <cell r="F672" t="str">
            <v>FILMECC</v>
          </cell>
          <cell r="G672">
            <v>60</v>
          </cell>
          <cell r="H672">
            <v>0</v>
          </cell>
          <cell r="I672">
            <v>60</v>
          </cell>
          <cell r="J672" t="str">
            <v>NO</v>
          </cell>
          <cell r="K672">
            <v>46268</v>
          </cell>
          <cell r="L672">
            <v>46276</v>
          </cell>
        </row>
        <row r="673">
          <cell r="A673" t="str">
            <v>SP-H2609-PD-003</v>
          </cell>
          <cell r="B673" t="str">
            <v>CAG</v>
          </cell>
          <cell r="C673">
            <v>11116932</v>
          </cell>
          <cell r="D673" t="str">
            <v>1521546-M-A</v>
          </cell>
          <cell r="E673" t="str">
            <v>MS3552H21-PIG100N</v>
          </cell>
          <cell r="F673" t="str">
            <v>FILMECC</v>
          </cell>
          <cell r="G673">
            <v>250</v>
          </cell>
          <cell r="H673">
            <v>0</v>
          </cell>
          <cell r="I673">
            <v>250</v>
          </cell>
          <cell r="J673" t="str">
            <v>NO</v>
          </cell>
          <cell r="K673">
            <v>46268</v>
          </cell>
          <cell r="L673">
            <v>46276</v>
          </cell>
        </row>
        <row r="674">
          <cell r="A674" t="str">
            <v>SP-H2609-PD-004</v>
          </cell>
          <cell r="B674" t="str">
            <v>CAG</v>
          </cell>
          <cell r="C674">
            <v>11116930</v>
          </cell>
          <cell r="D674" t="str">
            <v>1521544-M-A</v>
          </cell>
          <cell r="E674" t="str">
            <v>MS3552H26-PIG110J</v>
          </cell>
          <cell r="F674" t="str">
            <v>FILMECC</v>
          </cell>
          <cell r="G674">
            <v>230</v>
          </cell>
          <cell r="H674">
            <v>0</v>
          </cell>
          <cell r="I674">
            <v>230</v>
          </cell>
          <cell r="J674" t="str">
            <v>NO</v>
          </cell>
          <cell r="K674">
            <v>46268</v>
          </cell>
          <cell r="L674">
            <v>46276</v>
          </cell>
        </row>
        <row r="675">
          <cell r="A675" t="str">
            <v>CA-H2607-PD-472</v>
          </cell>
          <cell r="B675" t="str">
            <v xml:space="preserve">Caravel </v>
          </cell>
          <cell r="C675">
            <v>11122087</v>
          </cell>
          <cell r="D675" t="str">
            <v>2341003-B-A</v>
          </cell>
          <cell r="E675" t="str">
            <v>CRV135-19P CE3</v>
          </cell>
          <cell r="F675" t="str">
            <v>Oversea</v>
          </cell>
          <cell r="G675">
            <v>186</v>
          </cell>
          <cell r="H675">
            <v>186</v>
          </cell>
          <cell r="I675">
            <v>0</v>
          </cell>
          <cell r="J675" t="str">
            <v>FINISH</v>
          </cell>
          <cell r="K675">
            <v>46268</v>
          </cell>
          <cell r="L675">
            <v>46276</v>
          </cell>
        </row>
        <row r="676">
          <cell r="A676" t="str">
            <v>CA-H2607-PD-473</v>
          </cell>
          <cell r="B676" t="str">
            <v xml:space="preserve">Caravel </v>
          </cell>
          <cell r="C676">
            <v>11122088</v>
          </cell>
          <cell r="D676" t="str">
            <v>2341004-B-A</v>
          </cell>
          <cell r="E676" t="str">
            <v>CRV150-19P CE3</v>
          </cell>
          <cell r="F676" t="str">
            <v>Oversea</v>
          </cell>
          <cell r="G676">
            <v>70</v>
          </cell>
          <cell r="H676">
            <v>70</v>
          </cell>
          <cell r="I676">
            <v>0</v>
          </cell>
          <cell r="J676" t="str">
            <v>FINISH</v>
          </cell>
          <cell r="K676">
            <v>46268</v>
          </cell>
          <cell r="L676">
            <v>46276</v>
          </cell>
        </row>
        <row r="677">
          <cell r="A677" t="str">
            <v>CA-H2607-PD-485</v>
          </cell>
          <cell r="B677" t="str">
            <v>Caravel</v>
          </cell>
          <cell r="C677">
            <v>11134223</v>
          </cell>
          <cell r="D677" t="str">
            <v>2341002-0-A</v>
          </cell>
          <cell r="E677" t="str">
            <v>CRV150-19S MDR</v>
          </cell>
          <cell r="F677" t="str">
            <v>Oversea</v>
          </cell>
          <cell r="G677">
            <v>15</v>
          </cell>
          <cell r="H677">
            <v>0</v>
          </cell>
          <cell r="I677">
            <v>15</v>
          </cell>
          <cell r="J677" t="str">
            <v>NO</v>
          </cell>
          <cell r="K677">
            <v>46270</v>
          </cell>
          <cell r="L677">
            <v>46280</v>
          </cell>
        </row>
        <row r="678">
          <cell r="A678" t="str">
            <v>CA-H2607-PD-486</v>
          </cell>
          <cell r="B678" t="str">
            <v>Caravel</v>
          </cell>
          <cell r="C678">
            <v>11134222</v>
          </cell>
          <cell r="D678" t="str">
            <v>2341001-0-A</v>
          </cell>
          <cell r="E678" t="str">
            <v>CRV135-19S MDR</v>
          </cell>
          <cell r="F678" t="str">
            <v>Oversea</v>
          </cell>
          <cell r="G678">
            <v>15</v>
          </cell>
          <cell r="H678">
            <v>0</v>
          </cell>
          <cell r="I678">
            <v>15</v>
          </cell>
          <cell r="J678" t="str">
            <v>NO</v>
          </cell>
          <cell r="K678">
            <v>46270</v>
          </cell>
          <cell r="L678">
            <v>46280</v>
          </cell>
        </row>
        <row r="679">
          <cell r="A679" t="str">
            <v>CA-H2607-PD-617</v>
          </cell>
          <cell r="B679" t="str">
            <v>Hyperion</v>
          </cell>
          <cell r="C679">
            <v>11134171</v>
          </cell>
          <cell r="D679" t="str">
            <v>1811990-G-A</v>
          </cell>
          <cell r="E679" t="str">
            <v>HW70AL072P10000 CN</v>
          </cell>
          <cell r="F679" t="str">
            <v>CHINA</v>
          </cell>
          <cell r="G679">
            <v>5</v>
          </cell>
          <cell r="H679">
            <v>0</v>
          </cell>
          <cell r="I679">
            <v>5</v>
          </cell>
          <cell r="J679" t="str">
            <v>NO</v>
          </cell>
          <cell r="K679">
            <v>46270</v>
          </cell>
          <cell r="L679">
            <v>46280</v>
          </cell>
        </row>
        <row r="680">
          <cell r="A680" t="str">
            <v>CA-H2607-PD-476</v>
          </cell>
          <cell r="B680" t="str">
            <v xml:space="preserve">Hyperion </v>
          </cell>
          <cell r="C680">
            <v>11130547</v>
          </cell>
          <cell r="D680" t="str">
            <v>2211019-C-A</v>
          </cell>
          <cell r="E680" t="str">
            <v>HW60JL400P10000 NOCE</v>
          </cell>
          <cell r="F680" t="str">
            <v>Oversea</v>
          </cell>
          <cell r="G680">
            <v>5</v>
          </cell>
          <cell r="H680">
            <v>0</v>
          </cell>
          <cell r="I680">
            <v>5</v>
          </cell>
          <cell r="J680" t="str">
            <v>NO</v>
          </cell>
          <cell r="K680">
            <v>46281</v>
          </cell>
          <cell r="L680">
            <v>46289</v>
          </cell>
        </row>
        <row r="681">
          <cell r="A681" t="str">
            <v>CA-H2607-PD-477</v>
          </cell>
          <cell r="B681" t="str">
            <v xml:space="preserve">Hyperion </v>
          </cell>
          <cell r="C681">
            <v>11130529</v>
          </cell>
          <cell r="D681" t="str">
            <v>2211001-C-A</v>
          </cell>
          <cell r="E681" t="str">
            <v>HW60JR350P10000 NOCE</v>
          </cell>
          <cell r="F681" t="str">
            <v>Oversea</v>
          </cell>
          <cell r="G681">
            <v>6</v>
          </cell>
          <cell r="H681">
            <v>0</v>
          </cell>
          <cell r="I681">
            <v>6</v>
          </cell>
          <cell r="J681" t="str">
            <v>NO</v>
          </cell>
          <cell r="K681">
            <v>46281</v>
          </cell>
          <cell r="L681">
            <v>46289</v>
          </cell>
        </row>
        <row r="682">
          <cell r="A682" t="str">
            <v>CA-H2607-PD-478</v>
          </cell>
          <cell r="B682" t="str">
            <v xml:space="preserve">Hyperion </v>
          </cell>
          <cell r="C682">
            <v>11130583</v>
          </cell>
          <cell r="D682" t="str">
            <v>2211055-C-A</v>
          </cell>
          <cell r="E682" t="str">
            <v>HW60MP010P10000 NOCE</v>
          </cell>
          <cell r="F682" t="str">
            <v>Oversea</v>
          </cell>
          <cell r="G682">
            <v>2</v>
          </cell>
          <cell r="H682">
            <v>0</v>
          </cell>
          <cell r="I682">
            <v>2</v>
          </cell>
          <cell r="J682" t="str">
            <v>NO</v>
          </cell>
          <cell r="K682">
            <v>46281</v>
          </cell>
          <cell r="L682">
            <v>46289</v>
          </cell>
        </row>
        <row r="683">
          <cell r="A683" t="str">
            <v>CA-H2607-PD-479</v>
          </cell>
          <cell r="B683" t="str">
            <v>HyperionYubo changed</v>
          </cell>
          <cell r="C683">
            <v>11131288</v>
          </cell>
          <cell r="D683" t="str">
            <v>2211091-E-A</v>
          </cell>
          <cell r="E683" t="str">
            <v>HW60SP300P10000 NOCE</v>
          </cell>
          <cell r="F683" t="str">
            <v>Oversea</v>
          </cell>
          <cell r="G683">
            <v>10</v>
          </cell>
          <cell r="H683">
            <v>10</v>
          </cell>
          <cell r="I683">
            <v>0</v>
          </cell>
          <cell r="J683" t="str">
            <v>FINISH</v>
          </cell>
          <cell r="K683">
            <v>46281</v>
          </cell>
          <cell r="L683">
            <v>46289</v>
          </cell>
        </row>
        <row r="684">
          <cell r="A684" t="str">
            <v>CA-H2607-PD-480</v>
          </cell>
          <cell r="B684" t="str">
            <v>HyperionYubo changed</v>
          </cell>
          <cell r="C684">
            <v>11131289</v>
          </cell>
          <cell r="D684" t="str">
            <v>2211092-E-A</v>
          </cell>
          <cell r="E684" t="str">
            <v>HW60SP350P10000 NOCE</v>
          </cell>
          <cell r="F684" t="str">
            <v>Oversea</v>
          </cell>
          <cell r="G684">
            <v>16</v>
          </cell>
          <cell r="H684">
            <v>16</v>
          </cell>
          <cell r="I684">
            <v>0</v>
          </cell>
          <cell r="J684" t="str">
            <v>FINISH</v>
          </cell>
          <cell r="K684">
            <v>46281</v>
          </cell>
          <cell r="L684">
            <v>46289</v>
          </cell>
        </row>
        <row r="685">
          <cell r="A685" t="str">
            <v>CA-H2608-PD-001</v>
          </cell>
          <cell r="B685" t="str">
            <v xml:space="preserve">Hyperion </v>
          </cell>
          <cell r="C685">
            <v>11130530</v>
          </cell>
          <cell r="D685" t="str">
            <v>2211002-C-A</v>
          </cell>
          <cell r="E685" t="str">
            <v>HW60JR400P10000 NOCE</v>
          </cell>
          <cell r="F685" t="str">
            <v>Australia</v>
          </cell>
          <cell r="G685">
            <v>70</v>
          </cell>
          <cell r="H685">
            <v>0</v>
          </cell>
          <cell r="I685">
            <v>70</v>
          </cell>
          <cell r="J685" t="str">
            <v>NO</v>
          </cell>
          <cell r="K685">
            <v>46294</v>
          </cell>
          <cell r="L685">
            <v>46303</v>
          </cell>
        </row>
        <row r="686">
          <cell r="A686" t="str">
            <v>CA-H2608-PD-002</v>
          </cell>
          <cell r="B686" t="str">
            <v>HyperionYubo changed</v>
          </cell>
          <cell r="C686">
            <v>11132714</v>
          </cell>
          <cell r="D686" t="str">
            <v>2211029-D-A</v>
          </cell>
          <cell r="E686" t="str">
            <v>HW60PB300P10000 NOCE</v>
          </cell>
          <cell r="F686" t="str">
            <v>Australia</v>
          </cell>
          <cell r="G686">
            <v>90</v>
          </cell>
          <cell r="H686">
            <v>0</v>
          </cell>
          <cell r="I686">
            <v>90</v>
          </cell>
          <cell r="J686" t="str">
            <v>NO</v>
          </cell>
          <cell r="K686">
            <v>46294</v>
          </cell>
          <cell r="L686">
            <v>46303</v>
          </cell>
        </row>
        <row r="687">
          <cell r="A687" t="str">
            <v>CA-H2608-PD-003</v>
          </cell>
          <cell r="B687" t="str">
            <v>HyperionYubo changed</v>
          </cell>
          <cell r="C687">
            <v>11132715</v>
          </cell>
          <cell r="D687" t="str">
            <v>2211030-D-A</v>
          </cell>
          <cell r="E687" t="str">
            <v>HW60PB350P10000 NOCE</v>
          </cell>
          <cell r="F687" t="str">
            <v>Australia</v>
          </cell>
          <cell r="G687">
            <v>32</v>
          </cell>
          <cell r="H687">
            <v>0</v>
          </cell>
          <cell r="I687">
            <v>32</v>
          </cell>
          <cell r="J687" t="str">
            <v>NO</v>
          </cell>
          <cell r="K687">
            <v>46294</v>
          </cell>
          <cell r="L687">
            <v>46303</v>
          </cell>
        </row>
        <row r="688">
          <cell r="A688" t="str">
            <v>CA-H2608-PD-004</v>
          </cell>
          <cell r="B688" t="str">
            <v>HyperionYubo changed</v>
          </cell>
          <cell r="C688">
            <v>11132716</v>
          </cell>
          <cell r="D688" t="str">
            <v>2211031-D-A</v>
          </cell>
          <cell r="E688" t="str">
            <v>HW60PB400P10000 NOCE</v>
          </cell>
          <cell r="F688" t="str">
            <v>Australia</v>
          </cell>
          <cell r="G688">
            <v>20</v>
          </cell>
          <cell r="H688">
            <v>0</v>
          </cell>
          <cell r="I688">
            <v>20</v>
          </cell>
          <cell r="J688" t="str">
            <v>NO</v>
          </cell>
          <cell r="K688">
            <v>46294</v>
          </cell>
          <cell r="L688">
            <v>46303</v>
          </cell>
        </row>
        <row r="689">
          <cell r="A689" t="str">
            <v>CA-H2608-PD-005</v>
          </cell>
          <cell r="B689" t="str">
            <v>HyperionYubo changed</v>
          </cell>
          <cell r="C689">
            <v>11131289</v>
          </cell>
          <cell r="D689" t="str">
            <v>2211092-E-A</v>
          </cell>
          <cell r="E689" t="str">
            <v>HW60SP350P10000 NOCE</v>
          </cell>
          <cell r="F689" t="str">
            <v>Australia</v>
          </cell>
          <cell r="G689">
            <v>5</v>
          </cell>
          <cell r="H689">
            <v>0</v>
          </cell>
          <cell r="I689">
            <v>5</v>
          </cell>
          <cell r="J689" t="str">
            <v>NO</v>
          </cell>
          <cell r="K689">
            <v>46294</v>
          </cell>
          <cell r="L689">
            <v>46303</v>
          </cell>
        </row>
        <row r="690">
          <cell r="A690" t="str">
            <v>CA-H2608-PD-006</v>
          </cell>
          <cell r="B690" t="str">
            <v>HyperionYubo changed</v>
          </cell>
          <cell r="C690">
            <v>11132727</v>
          </cell>
          <cell r="D690" t="str">
            <v>2211158-D-A</v>
          </cell>
          <cell r="E690" t="str">
            <v>HW70PB350P10000 NOCE</v>
          </cell>
          <cell r="F690" t="str">
            <v>Australia</v>
          </cell>
          <cell r="G690">
            <v>13</v>
          </cell>
          <cell r="H690">
            <v>0</v>
          </cell>
          <cell r="I690">
            <v>13</v>
          </cell>
          <cell r="J690" t="str">
            <v>NO</v>
          </cell>
          <cell r="K690">
            <v>46294</v>
          </cell>
          <cell r="L690">
            <v>46303</v>
          </cell>
        </row>
        <row r="691">
          <cell r="A691" t="str">
            <v>CA-H2608-PD-007</v>
          </cell>
          <cell r="B691" t="str">
            <v>HyperionYubo changed</v>
          </cell>
          <cell r="C691">
            <v>11132728</v>
          </cell>
          <cell r="D691" t="str">
            <v>2211159-D-A</v>
          </cell>
          <cell r="E691" t="str">
            <v>HW70PB400P10000 NOCE</v>
          </cell>
          <cell r="F691" t="str">
            <v>Australia</v>
          </cell>
          <cell r="G691">
            <v>4</v>
          </cell>
          <cell r="H691">
            <v>0</v>
          </cell>
          <cell r="I691">
            <v>4</v>
          </cell>
          <cell r="J691" t="str">
            <v>NO</v>
          </cell>
          <cell r="K691">
            <v>46294</v>
          </cell>
          <cell r="L691">
            <v>46303</v>
          </cell>
        </row>
      </sheetData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880"/>
  <sheetViews>
    <sheetView tabSelected="1" zoomScale="70" zoomScaleNormal="70" workbookViewId="0">
      <pane xSplit="11" ySplit="2" topLeftCell="V720" activePane="bottomRight" state="frozen"/>
      <selection pane="topRight" activeCell="L1" sqref="L1"/>
      <selection pane="bottomLeft" activeCell="A2" sqref="A2"/>
      <selection pane="bottomRight" activeCell="J748" sqref="J748"/>
    </sheetView>
  </sheetViews>
  <sheetFormatPr defaultColWidth="9.21875" defaultRowHeight="14.4"/>
  <cols>
    <col min="1" max="1" width="12.77734375" style="56" customWidth="1"/>
    <col min="2" max="2" width="8" style="248" customWidth="1"/>
    <col min="3" max="3" width="10.77734375" style="51" customWidth="1"/>
    <col min="4" max="4" width="8.77734375" style="47" customWidth="1"/>
    <col min="5" max="5" width="10.77734375" style="23" customWidth="1"/>
    <col min="6" max="6" width="17.77734375" style="23" customWidth="1"/>
    <col min="7" max="7" width="6.5546875" style="23" customWidth="1"/>
    <col min="8" max="8" width="10.5546875" style="23" customWidth="1"/>
    <col min="9" max="9" width="10.5546875" style="54" customWidth="1"/>
    <col min="10" max="10" width="12.21875" style="35" customWidth="1"/>
    <col min="11" max="11" width="7.88671875" style="35" customWidth="1"/>
    <col min="12" max="12" width="11.21875" style="47" customWidth="1"/>
    <col min="13" max="13" width="13.77734375" style="23" customWidth="1"/>
    <col min="14" max="14" width="4.44140625" style="23" customWidth="1"/>
    <col min="15" max="15" width="5" style="23" customWidth="1"/>
    <col min="16" max="16" width="11.21875" style="23" customWidth="1"/>
    <col min="17" max="17" width="5.21875" style="23" customWidth="1"/>
    <col min="18" max="18" width="10.44140625" style="41" customWidth="1"/>
    <col min="19" max="19" width="5.109375" style="49" customWidth="1"/>
    <col min="20" max="20" width="4.77734375" style="49" customWidth="1"/>
    <col min="21" max="21" width="7.5546875" style="41" customWidth="1"/>
    <col min="22" max="22" width="8.33203125" style="41" customWidth="1"/>
    <col min="23" max="23" width="4.77734375" style="36" customWidth="1"/>
    <col min="24" max="24" width="10" style="41" customWidth="1"/>
    <col min="25" max="27" width="6.77734375" style="37" customWidth="1"/>
    <col min="28" max="28" width="8.33203125" style="41" customWidth="1"/>
    <col min="29" max="29" width="7.44140625" style="36" customWidth="1"/>
    <col min="30" max="30" width="10.44140625" style="150" customWidth="1"/>
    <col min="31" max="31" width="10.21875" style="23" customWidth="1"/>
    <col min="32" max="32" width="9.21875" style="49" customWidth="1"/>
    <col min="33" max="33" width="6" style="49" customWidth="1"/>
    <col min="34" max="34" width="6.109375" style="242" customWidth="1"/>
    <col min="35" max="35" width="11.44140625" style="23" customWidth="1"/>
    <col min="36" max="36" width="11.44140625" style="267" customWidth="1"/>
    <col min="37" max="37" width="8.5546875" style="225" customWidth="1"/>
    <col min="38" max="38" width="22.77734375" style="23" customWidth="1"/>
    <col min="39" max="39" width="9.21875" style="23"/>
    <col min="40" max="40" width="9.109375" style="260" customWidth="1"/>
    <col min="41" max="43" width="9.21875" style="260"/>
    <col min="44" max="16384" width="9.21875" style="23"/>
  </cols>
  <sheetData>
    <row r="1" spans="1:43" ht="23.4" customHeight="1">
      <c r="A1" s="261"/>
      <c r="B1" s="262" t="s">
        <v>114</v>
      </c>
      <c r="C1" s="263"/>
      <c r="D1" s="263"/>
      <c r="E1" s="262"/>
      <c r="F1" s="263"/>
      <c r="G1" s="23">
        <f>SUBTOTAL(9,G3:G97002)</f>
        <v>65738</v>
      </c>
      <c r="K1" s="23">
        <f>SUBTOTAL(9,K3:K97002)</f>
        <v>66879</v>
      </c>
      <c r="AD1" s="23">
        <f>SUBTOTAL(9,AD3:AD97002)</f>
        <v>24776</v>
      </c>
    </row>
    <row r="2" spans="1:43" s="34" customFormat="1" ht="40.5" customHeight="1" thickBot="1">
      <c r="A2" s="266" t="s">
        <v>115</v>
      </c>
      <c r="B2" s="247" t="s">
        <v>116</v>
      </c>
      <c r="C2" s="134" t="s">
        <v>117</v>
      </c>
      <c r="D2" s="45" t="s">
        <v>36</v>
      </c>
      <c r="E2" s="26" t="s">
        <v>118</v>
      </c>
      <c r="F2" s="26" t="s">
        <v>119</v>
      </c>
      <c r="G2" s="27" t="s">
        <v>120</v>
      </c>
      <c r="H2" s="28" t="s">
        <v>121</v>
      </c>
      <c r="I2" s="52" t="s">
        <v>37</v>
      </c>
      <c r="J2" s="27" t="s">
        <v>122</v>
      </c>
      <c r="K2" s="27" t="s">
        <v>123</v>
      </c>
      <c r="L2" s="48" t="s">
        <v>124</v>
      </c>
      <c r="M2" s="29" t="s">
        <v>125</v>
      </c>
      <c r="N2" s="50" t="s">
        <v>126</v>
      </c>
      <c r="O2" s="30" t="s">
        <v>31</v>
      </c>
      <c r="P2" s="31" t="s">
        <v>1</v>
      </c>
      <c r="Q2" s="129" t="s">
        <v>53</v>
      </c>
      <c r="R2" s="42" t="s">
        <v>2</v>
      </c>
      <c r="S2" s="130" t="s">
        <v>33</v>
      </c>
      <c r="T2" s="226" t="s">
        <v>80</v>
      </c>
      <c r="U2" s="32" t="s">
        <v>3</v>
      </c>
      <c r="V2" s="39" t="s">
        <v>127</v>
      </c>
      <c r="W2" s="57" t="s">
        <v>51</v>
      </c>
      <c r="X2" s="39" t="s">
        <v>128</v>
      </c>
      <c r="Y2" s="33" t="s">
        <v>2</v>
      </c>
      <c r="Z2" s="33" t="s">
        <v>3</v>
      </c>
      <c r="AA2" s="33" t="s">
        <v>5</v>
      </c>
      <c r="AB2" s="43" t="s">
        <v>32</v>
      </c>
      <c r="AC2" s="161" t="s">
        <v>68</v>
      </c>
      <c r="AD2" s="55" t="s">
        <v>49</v>
      </c>
      <c r="AE2" s="264" t="s">
        <v>50</v>
      </c>
      <c r="AF2" s="265" t="s">
        <v>129</v>
      </c>
      <c r="AG2" s="258" t="s">
        <v>107</v>
      </c>
      <c r="AH2" s="241" t="s">
        <v>83</v>
      </c>
      <c r="AI2" s="34">
        <v>0</v>
      </c>
      <c r="AJ2" s="57" t="s">
        <v>51</v>
      </c>
      <c r="AK2" s="224">
        <v>1</v>
      </c>
      <c r="AL2" s="243" t="s">
        <v>84</v>
      </c>
      <c r="AM2" s="34">
        <v>1</v>
      </c>
      <c r="AN2" s="259" t="s">
        <v>201</v>
      </c>
      <c r="AO2" s="259" t="s">
        <v>200</v>
      </c>
      <c r="AP2" s="259" t="s">
        <v>110</v>
      </c>
      <c r="AQ2" s="259" t="s">
        <v>111</v>
      </c>
    </row>
    <row r="3" spans="1:43" ht="15" thickTop="1">
      <c r="A3" s="135" t="s">
        <v>93</v>
      </c>
      <c r="B3" s="135" t="s">
        <v>451</v>
      </c>
      <c r="C3" s="135" t="s">
        <v>448</v>
      </c>
      <c r="D3" s="46">
        <v>12129248</v>
      </c>
      <c r="E3" s="20" t="s">
        <v>73</v>
      </c>
      <c r="F3" s="20" t="s">
        <v>91</v>
      </c>
      <c r="G3" s="24">
        <v>3300</v>
      </c>
      <c r="H3" s="21">
        <v>46249</v>
      </c>
      <c r="I3" s="53" t="s">
        <v>449</v>
      </c>
      <c r="J3" s="24" t="s">
        <v>450</v>
      </c>
      <c r="K3" s="24">
        <v>3306</v>
      </c>
      <c r="L3" s="46">
        <v>12003986</v>
      </c>
      <c r="M3" s="20" t="s">
        <v>67</v>
      </c>
      <c r="N3" s="38">
        <v>0</v>
      </c>
      <c r="O3" s="38">
        <v>0</v>
      </c>
      <c r="P3" s="20" t="s">
        <v>72</v>
      </c>
      <c r="Q3" s="20">
        <v>3</v>
      </c>
      <c r="R3" s="40">
        <v>46205</v>
      </c>
      <c r="S3" s="20">
        <v>3</v>
      </c>
      <c r="T3" s="20">
        <v>0</v>
      </c>
      <c r="U3" s="40">
        <v>46206</v>
      </c>
      <c r="V3" s="40">
        <v>46206</v>
      </c>
      <c r="W3" s="20" t="s">
        <v>54</v>
      </c>
      <c r="X3" s="21">
        <v>46247</v>
      </c>
      <c r="Y3" s="19">
        <f>VLOOKUP(F3,[2]New!$B:$G,3,0)*K3/60</f>
        <v>1212.2</v>
      </c>
      <c r="Z3" s="19">
        <f>VLOOKUP(F3,[2]New!$B:$G,4,0)*K3/60</f>
        <v>6496.29</v>
      </c>
      <c r="AA3" s="19">
        <f>VLOOKUP(F3,[2]New!$B:$G,6,0)*K3/60</f>
        <v>6336.5</v>
      </c>
      <c r="AB3" s="325">
        <v>46269</v>
      </c>
      <c r="AC3" s="22" t="str">
        <f>IFERROR(VLOOKUP(F3,[3]Sheet1!$E:$H,4,0),)</f>
        <v>K</v>
      </c>
      <c r="AD3" s="144">
        <v>3300</v>
      </c>
      <c r="AE3" s="25" t="s">
        <v>3023</v>
      </c>
      <c r="AF3" s="135" t="s">
        <v>202</v>
      </c>
      <c r="AG3" s="135"/>
      <c r="AI3" s="23">
        <v>6</v>
      </c>
      <c r="AJ3" s="267" t="s">
        <v>152</v>
      </c>
      <c r="AN3" s="278">
        <v>1</v>
      </c>
      <c r="AO3" s="278">
        <v>1</v>
      </c>
      <c r="AP3" s="278" t="s">
        <v>113</v>
      </c>
      <c r="AQ3" s="278" t="s">
        <v>113</v>
      </c>
    </row>
    <row r="4" spans="1:43">
      <c r="A4" s="341" t="s">
        <v>214</v>
      </c>
      <c r="B4" s="135" t="s">
        <v>719</v>
      </c>
      <c r="C4" s="135" t="s">
        <v>648</v>
      </c>
      <c r="D4" s="46">
        <v>11125142</v>
      </c>
      <c r="E4" s="20" t="s">
        <v>218</v>
      </c>
      <c r="F4" s="20" t="s">
        <v>649</v>
      </c>
      <c r="G4" s="24">
        <v>3</v>
      </c>
      <c r="H4" s="21">
        <v>46234</v>
      </c>
      <c r="I4" s="53" t="s">
        <v>654</v>
      </c>
      <c r="J4" s="24" t="s">
        <v>655</v>
      </c>
      <c r="K4" s="24">
        <v>3</v>
      </c>
      <c r="L4" s="46">
        <v>12120564</v>
      </c>
      <c r="M4" s="20" t="s">
        <v>712</v>
      </c>
      <c r="N4" s="38">
        <v>0</v>
      </c>
      <c r="O4" s="38">
        <v>0</v>
      </c>
      <c r="P4" s="20" t="s">
        <v>92</v>
      </c>
      <c r="Q4" s="20">
        <v>0</v>
      </c>
      <c r="R4" s="40">
        <v>46221</v>
      </c>
      <c r="S4" s="20">
        <v>0</v>
      </c>
      <c r="T4" s="20">
        <v>0</v>
      </c>
      <c r="U4" s="40">
        <v>46230</v>
      </c>
      <c r="V4" s="40" t="s">
        <v>215</v>
      </c>
      <c r="W4" s="20" t="s">
        <v>92</v>
      </c>
      <c r="X4" s="21"/>
      <c r="Y4" s="38">
        <v>0</v>
      </c>
      <c r="Z4" s="38">
        <v>0</v>
      </c>
      <c r="AA4" s="38">
        <v>0</v>
      </c>
      <c r="AB4" s="20" t="s">
        <v>92</v>
      </c>
      <c r="AC4" s="22"/>
      <c r="AD4" s="144"/>
      <c r="AE4" s="20" t="s">
        <v>92</v>
      </c>
      <c r="AF4" s="135"/>
      <c r="AG4" s="135"/>
    </row>
    <row r="5" spans="1:43">
      <c r="A5" s="341" t="s">
        <v>214</v>
      </c>
      <c r="B5" s="135" t="s">
        <v>720</v>
      </c>
      <c r="C5" s="135" t="s">
        <v>650</v>
      </c>
      <c r="D5" s="46">
        <v>11125142</v>
      </c>
      <c r="E5" s="20" t="s">
        <v>218</v>
      </c>
      <c r="F5" s="20" t="s">
        <v>649</v>
      </c>
      <c r="G5" s="24">
        <v>9</v>
      </c>
      <c r="H5" s="21">
        <v>46234</v>
      </c>
      <c r="I5" s="53" t="s">
        <v>656</v>
      </c>
      <c r="J5" s="24" t="s">
        <v>657</v>
      </c>
      <c r="K5" s="24">
        <v>9</v>
      </c>
      <c r="L5" s="46">
        <v>12120564</v>
      </c>
      <c r="M5" s="20" t="s">
        <v>712</v>
      </c>
      <c r="N5" s="38">
        <v>0</v>
      </c>
      <c r="O5" s="38">
        <v>0</v>
      </c>
      <c r="P5" s="20" t="s">
        <v>92</v>
      </c>
      <c r="Q5" s="20">
        <v>0</v>
      </c>
      <c r="R5" s="40">
        <v>46221</v>
      </c>
      <c r="S5" s="20">
        <v>0</v>
      </c>
      <c r="T5" s="20">
        <v>0</v>
      </c>
      <c r="U5" s="40">
        <v>46230</v>
      </c>
      <c r="V5" s="40">
        <v>46230</v>
      </c>
      <c r="W5" s="20" t="s">
        <v>92</v>
      </c>
      <c r="X5" s="21"/>
      <c r="Y5" s="38">
        <v>0</v>
      </c>
      <c r="Z5" s="38">
        <v>0</v>
      </c>
      <c r="AA5" s="38">
        <v>0</v>
      </c>
      <c r="AB5" s="20" t="s">
        <v>92</v>
      </c>
      <c r="AC5" s="22"/>
      <c r="AD5" s="144"/>
      <c r="AE5" s="20" t="s">
        <v>92</v>
      </c>
      <c r="AF5" s="135"/>
      <c r="AG5" s="135"/>
    </row>
    <row r="6" spans="1:43">
      <c r="A6" s="341" t="s">
        <v>214</v>
      </c>
      <c r="B6" s="135" t="s">
        <v>721</v>
      </c>
      <c r="C6" s="135" t="s">
        <v>651</v>
      </c>
      <c r="D6" s="46">
        <v>11112488</v>
      </c>
      <c r="E6" s="20" t="s">
        <v>349</v>
      </c>
      <c r="F6" s="20" t="s">
        <v>652</v>
      </c>
      <c r="G6" s="24">
        <v>3</v>
      </c>
      <c r="H6" s="21">
        <v>46234</v>
      </c>
      <c r="I6" s="53" t="s">
        <v>658</v>
      </c>
      <c r="J6" s="24" t="s">
        <v>659</v>
      </c>
      <c r="K6" s="24">
        <v>3</v>
      </c>
      <c r="L6" s="46">
        <v>12115911</v>
      </c>
      <c r="M6" s="20" t="s">
        <v>350</v>
      </c>
      <c r="N6" s="38">
        <v>0</v>
      </c>
      <c r="O6" s="38">
        <v>0</v>
      </c>
      <c r="P6" s="20" t="s">
        <v>92</v>
      </c>
      <c r="Q6" s="20">
        <v>0</v>
      </c>
      <c r="R6" s="40">
        <v>46221</v>
      </c>
      <c r="S6" s="20">
        <v>0</v>
      </c>
      <c r="T6" s="20">
        <v>0</v>
      </c>
      <c r="U6" s="40">
        <v>46230</v>
      </c>
      <c r="V6" s="40" t="s">
        <v>215</v>
      </c>
      <c r="W6" s="20" t="s">
        <v>92</v>
      </c>
      <c r="X6" s="21"/>
      <c r="Y6" s="38">
        <v>0</v>
      </c>
      <c r="Z6" s="38">
        <v>0</v>
      </c>
      <c r="AA6" s="38">
        <v>0</v>
      </c>
      <c r="AB6" s="20" t="s">
        <v>92</v>
      </c>
      <c r="AC6" s="22"/>
      <c r="AD6" s="144"/>
      <c r="AE6" s="20" t="s">
        <v>92</v>
      </c>
      <c r="AF6" s="135"/>
      <c r="AG6" s="135"/>
    </row>
    <row r="7" spans="1:43">
      <c r="A7" s="341" t="s">
        <v>214</v>
      </c>
      <c r="B7" s="135" t="s">
        <v>722</v>
      </c>
      <c r="C7" s="135" t="s">
        <v>653</v>
      </c>
      <c r="D7" s="46">
        <v>11112488</v>
      </c>
      <c r="E7" s="20" t="s">
        <v>349</v>
      </c>
      <c r="F7" s="20" t="s">
        <v>652</v>
      </c>
      <c r="G7" s="24">
        <v>9</v>
      </c>
      <c r="H7" s="21">
        <v>46234</v>
      </c>
      <c r="I7" s="53" t="s">
        <v>660</v>
      </c>
      <c r="J7" s="24" t="s">
        <v>661</v>
      </c>
      <c r="K7" s="24">
        <v>9</v>
      </c>
      <c r="L7" s="46">
        <v>12115911</v>
      </c>
      <c r="M7" s="20" t="s">
        <v>350</v>
      </c>
      <c r="N7" s="38">
        <v>0</v>
      </c>
      <c r="O7" s="38">
        <v>0</v>
      </c>
      <c r="P7" s="20" t="s">
        <v>92</v>
      </c>
      <c r="Q7" s="20">
        <v>0</v>
      </c>
      <c r="R7" s="40">
        <v>46221</v>
      </c>
      <c r="S7" s="20">
        <v>0</v>
      </c>
      <c r="T7" s="20">
        <v>0</v>
      </c>
      <c r="U7" s="40">
        <v>46230</v>
      </c>
      <c r="V7" s="40">
        <v>46230</v>
      </c>
      <c r="W7" s="20" t="s">
        <v>92</v>
      </c>
      <c r="X7" s="21"/>
      <c r="Y7" s="38">
        <v>0</v>
      </c>
      <c r="Z7" s="38">
        <v>0</v>
      </c>
      <c r="AA7" s="38">
        <v>0</v>
      </c>
      <c r="AB7" s="20" t="s">
        <v>92</v>
      </c>
      <c r="AC7" s="22"/>
      <c r="AD7" s="144"/>
      <c r="AE7" s="20" t="s">
        <v>92</v>
      </c>
      <c r="AF7" s="135"/>
      <c r="AG7" s="135"/>
    </row>
    <row r="8" spans="1:43">
      <c r="A8" s="341" t="s">
        <v>214</v>
      </c>
      <c r="B8" s="135" t="s">
        <v>723</v>
      </c>
      <c r="C8" s="135" t="s">
        <v>662</v>
      </c>
      <c r="D8" s="46">
        <v>12012480</v>
      </c>
      <c r="E8" s="20" t="s">
        <v>297</v>
      </c>
      <c r="F8" s="20" t="s">
        <v>663</v>
      </c>
      <c r="G8" s="24">
        <v>3</v>
      </c>
      <c r="H8" s="21">
        <v>46234</v>
      </c>
      <c r="I8" s="53" t="s">
        <v>665</v>
      </c>
      <c r="J8" s="24" t="s">
        <v>666</v>
      </c>
      <c r="K8" s="24">
        <v>3</v>
      </c>
      <c r="L8" s="46">
        <v>12003986</v>
      </c>
      <c r="M8" s="20" t="s">
        <v>67</v>
      </c>
      <c r="N8" s="38">
        <v>0</v>
      </c>
      <c r="O8" s="38">
        <v>0</v>
      </c>
      <c r="P8" s="20" t="s">
        <v>92</v>
      </c>
      <c r="Q8" s="20">
        <v>0</v>
      </c>
      <c r="R8" s="40">
        <v>46221</v>
      </c>
      <c r="S8" s="20">
        <v>0</v>
      </c>
      <c r="T8" s="20">
        <v>0</v>
      </c>
      <c r="U8" s="40">
        <v>46230</v>
      </c>
      <c r="V8" s="40" t="s">
        <v>215</v>
      </c>
      <c r="W8" s="20" t="s">
        <v>92</v>
      </c>
      <c r="X8" s="21"/>
      <c r="Y8" s="38">
        <v>0</v>
      </c>
      <c r="Z8" s="38">
        <v>0</v>
      </c>
      <c r="AA8" s="38">
        <v>0</v>
      </c>
      <c r="AB8" s="20" t="s">
        <v>92</v>
      </c>
      <c r="AC8" s="22"/>
      <c r="AD8" s="144"/>
      <c r="AE8" s="20" t="s">
        <v>92</v>
      </c>
      <c r="AF8" s="135"/>
      <c r="AG8" s="135"/>
    </row>
    <row r="9" spans="1:43">
      <c r="A9" s="341" t="s">
        <v>214</v>
      </c>
      <c r="B9" s="135" t="s">
        <v>724</v>
      </c>
      <c r="C9" s="135" t="s">
        <v>664</v>
      </c>
      <c r="D9" s="46">
        <v>12012480</v>
      </c>
      <c r="E9" s="20" t="s">
        <v>297</v>
      </c>
      <c r="F9" s="20" t="s">
        <v>663</v>
      </c>
      <c r="G9" s="24">
        <v>9</v>
      </c>
      <c r="H9" s="21">
        <v>46234</v>
      </c>
      <c r="I9" s="53" t="s">
        <v>667</v>
      </c>
      <c r="J9" s="24" t="s">
        <v>668</v>
      </c>
      <c r="K9" s="24">
        <v>9</v>
      </c>
      <c r="L9" s="46">
        <v>12003986</v>
      </c>
      <c r="M9" s="20" t="s">
        <v>67</v>
      </c>
      <c r="N9" s="38">
        <v>0</v>
      </c>
      <c r="O9" s="38">
        <v>0</v>
      </c>
      <c r="P9" s="20" t="s">
        <v>92</v>
      </c>
      <c r="Q9" s="20">
        <v>0</v>
      </c>
      <c r="R9" s="40">
        <v>46221</v>
      </c>
      <c r="S9" s="20">
        <v>0</v>
      </c>
      <c r="T9" s="20">
        <v>0</v>
      </c>
      <c r="U9" s="40">
        <v>46230</v>
      </c>
      <c r="V9" s="40">
        <v>46230</v>
      </c>
      <c r="W9" s="20" t="s">
        <v>92</v>
      </c>
      <c r="X9" s="21"/>
      <c r="Y9" s="38">
        <v>0</v>
      </c>
      <c r="Z9" s="38">
        <v>0</v>
      </c>
      <c r="AA9" s="38">
        <v>0</v>
      </c>
      <c r="AB9" s="20" t="s">
        <v>92</v>
      </c>
      <c r="AC9" s="22"/>
      <c r="AD9" s="144"/>
      <c r="AE9" s="20" t="s">
        <v>92</v>
      </c>
      <c r="AF9" s="135"/>
      <c r="AG9" s="135"/>
    </row>
    <row r="10" spans="1:43">
      <c r="A10" s="341" t="s">
        <v>214</v>
      </c>
      <c r="B10" s="135" t="s">
        <v>725</v>
      </c>
      <c r="C10" s="359" t="s">
        <v>1245</v>
      </c>
      <c r="D10" s="360">
        <v>12143523</v>
      </c>
      <c r="E10" s="361" t="s">
        <v>506</v>
      </c>
      <c r="F10" s="361" t="s">
        <v>1244</v>
      </c>
      <c r="G10" s="245">
        <v>3</v>
      </c>
      <c r="H10" s="362">
        <v>46234</v>
      </c>
      <c r="I10" s="363" t="s">
        <v>1247</v>
      </c>
      <c r="J10" s="245" t="s">
        <v>669</v>
      </c>
      <c r="K10" s="24">
        <v>3</v>
      </c>
      <c r="L10" s="46">
        <v>12001113</v>
      </c>
      <c r="M10" s="20" t="s">
        <v>713</v>
      </c>
      <c r="N10" s="38">
        <v>0</v>
      </c>
      <c r="O10" s="38">
        <v>0</v>
      </c>
      <c r="P10" s="20" t="s">
        <v>92</v>
      </c>
      <c r="Q10" s="20">
        <v>0</v>
      </c>
      <c r="R10" s="40">
        <v>46221</v>
      </c>
      <c r="S10" s="20">
        <v>0</v>
      </c>
      <c r="T10" s="20">
        <v>0</v>
      </c>
      <c r="U10" s="40">
        <v>46230</v>
      </c>
      <c r="V10" s="40" t="s">
        <v>215</v>
      </c>
      <c r="W10" s="20" t="s">
        <v>92</v>
      </c>
      <c r="X10" s="21"/>
      <c r="Y10" s="38">
        <v>0</v>
      </c>
      <c r="Z10" s="38">
        <v>0</v>
      </c>
      <c r="AA10" s="38">
        <v>0</v>
      </c>
      <c r="AB10" s="20" t="s">
        <v>92</v>
      </c>
      <c r="AC10" s="22"/>
      <c r="AD10" s="144"/>
      <c r="AE10" s="20" t="s">
        <v>92</v>
      </c>
      <c r="AF10" s="135"/>
      <c r="AG10" s="135"/>
    </row>
    <row r="11" spans="1:43">
      <c r="A11" s="341" t="s">
        <v>214</v>
      </c>
      <c r="B11" s="135" t="s">
        <v>726</v>
      </c>
      <c r="C11" s="359" t="s">
        <v>1246</v>
      </c>
      <c r="D11" s="360">
        <v>12143523</v>
      </c>
      <c r="E11" s="361" t="s">
        <v>506</v>
      </c>
      <c r="F11" s="361" t="s">
        <v>1244</v>
      </c>
      <c r="G11" s="245">
        <v>9</v>
      </c>
      <c r="H11" s="362">
        <v>46234</v>
      </c>
      <c r="I11" s="363" t="s">
        <v>1248</v>
      </c>
      <c r="J11" s="245" t="s">
        <v>670</v>
      </c>
      <c r="K11" s="24">
        <v>9</v>
      </c>
      <c r="L11" s="46">
        <v>12001113</v>
      </c>
      <c r="M11" s="20" t="s">
        <v>713</v>
      </c>
      <c r="N11" s="38">
        <v>0</v>
      </c>
      <c r="O11" s="38">
        <v>0</v>
      </c>
      <c r="P11" s="20" t="s">
        <v>92</v>
      </c>
      <c r="Q11" s="20">
        <v>0</v>
      </c>
      <c r="R11" s="40">
        <v>46221</v>
      </c>
      <c r="S11" s="20">
        <v>0</v>
      </c>
      <c r="T11" s="20">
        <v>0</v>
      </c>
      <c r="U11" s="40">
        <v>46230</v>
      </c>
      <c r="V11" s="40">
        <v>46230</v>
      </c>
      <c r="W11" s="20" t="s">
        <v>92</v>
      </c>
      <c r="X11" s="21"/>
      <c r="Y11" s="38">
        <v>0</v>
      </c>
      <c r="Z11" s="38">
        <v>0</v>
      </c>
      <c r="AA11" s="38">
        <v>0</v>
      </c>
      <c r="AB11" s="20" t="s">
        <v>92</v>
      </c>
      <c r="AC11" s="22"/>
      <c r="AD11" s="144"/>
      <c r="AE11" s="20" t="s">
        <v>92</v>
      </c>
      <c r="AF11" s="135"/>
      <c r="AG11" s="135"/>
    </row>
    <row r="12" spans="1:43">
      <c r="A12" s="341" t="s">
        <v>214</v>
      </c>
      <c r="B12" s="135" t="s">
        <v>727</v>
      </c>
      <c r="C12" s="135" t="s">
        <v>671</v>
      </c>
      <c r="D12" s="46">
        <v>11134563</v>
      </c>
      <c r="E12" s="20" t="s">
        <v>552</v>
      </c>
      <c r="F12" s="20" t="s">
        <v>672</v>
      </c>
      <c r="G12" s="24">
        <v>3</v>
      </c>
      <c r="H12" s="21">
        <v>46234</v>
      </c>
      <c r="I12" s="53" t="s">
        <v>688</v>
      </c>
      <c r="J12" s="24" t="s">
        <v>689</v>
      </c>
      <c r="K12" s="24">
        <v>3</v>
      </c>
      <c r="L12" s="46">
        <v>12131598</v>
      </c>
      <c r="M12" s="20" t="s">
        <v>714</v>
      </c>
      <c r="N12" s="38">
        <v>0</v>
      </c>
      <c r="O12" s="38">
        <v>0</v>
      </c>
      <c r="P12" s="20" t="s">
        <v>92</v>
      </c>
      <c r="Q12" s="20">
        <v>0</v>
      </c>
      <c r="R12" s="40">
        <v>46221</v>
      </c>
      <c r="S12" s="20">
        <v>0</v>
      </c>
      <c r="T12" s="20">
        <v>0</v>
      </c>
      <c r="U12" s="40">
        <v>46230</v>
      </c>
      <c r="V12" s="40" t="s">
        <v>215</v>
      </c>
      <c r="W12" s="20" t="s">
        <v>92</v>
      </c>
      <c r="X12" s="21"/>
      <c r="Y12" s="38">
        <v>0</v>
      </c>
      <c r="Z12" s="38">
        <v>0</v>
      </c>
      <c r="AA12" s="38">
        <v>0</v>
      </c>
      <c r="AB12" s="20" t="s">
        <v>92</v>
      </c>
      <c r="AC12" s="22"/>
      <c r="AD12" s="144"/>
      <c r="AE12" s="20" t="s">
        <v>92</v>
      </c>
      <c r="AF12" s="135"/>
      <c r="AG12" s="135"/>
    </row>
    <row r="13" spans="1:43">
      <c r="A13" s="341" t="s">
        <v>214</v>
      </c>
      <c r="B13" s="135" t="s">
        <v>728</v>
      </c>
      <c r="C13" s="135" t="s">
        <v>673</v>
      </c>
      <c r="D13" s="46">
        <v>11134563</v>
      </c>
      <c r="E13" s="20" t="s">
        <v>552</v>
      </c>
      <c r="F13" s="20" t="s">
        <v>672</v>
      </c>
      <c r="G13" s="24">
        <v>9</v>
      </c>
      <c r="H13" s="21">
        <v>46234</v>
      </c>
      <c r="I13" s="53" t="s">
        <v>690</v>
      </c>
      <c r="J13" s="24" t="s">
        <v>691</v>
      </c>
      <c r="K13" s="24">
        <v>9</v>
      </c>
      <c r="L13" s="46">
        <v>12131598</v>
      </c>
      <c r="M13" s="20" t="s">
        <v>714</v>
      </c>
      <c r="N13" s="38">
        <v>0</v>
      </c>
      <c r="O13" s="38">
        <v>0</v>
      </c>
      <c r="P13" s="20" t="s">
        <v>92</v>
      </c>
      <c r="Q13" s="20">
        <v>0</v>
      </c>
      <c r="R13" s="40">
        <v>46221</v>
      </c>
      <c r="S13" s="20">
        <v>0</v>
      </c>
      <c r="T13" s="20">
        <v>0</v>
      </c>
      <c r="U13" s="40">
        <v>46230</v>
      </c>
      <c r="V13" s="40">
        <v>46230</v>
      </c>
      <c r="W13" s="20" t="s">
        <v>92</v>
      </c>
      <c r="X13" s="21"/>
      <c r="Y13" s="38">
        <v>0</v>
      </c>
      <c r="Z13" s="38">
        <v>0</v>
      </c>
      <c r="AA13" s="38">
        <v>0</v>
      </c>
      <c r="AB13" s="20" t="s">
        <v>92</v>
      </c>
      <c r="AC13" s="22"/>
      <c r="AD13" s="144"/>
      <c r="AE13" s="20" t="s">
        <v>92</v>
      </c>
      <c r="AF13" s="135"/>
      <c r="AG13" s="135"/>
    </row>
    <row r="14" spans="1:43">
      <c r="A14" s="341" t="s">
        <v>214</v>
      </c>
      <c r="B14" s="135" t="s">
        <v>729</v>
      </c>
      <c r="C14" s="135" t="s">
        <v>674</v>
      </c>
      <c r="D14" s="46">
        <v>11134563</v>
      </c>
      <c r="E14" s="20" t="s">
        <v>552</v>
      </c>
      <c r="F14" s="20" t="s">
        <v>672</v>
      </c>
      <c r="G14" s="24">
        <v>9</v>
      </c>
      <c r="H14" s="21">
        <v>46234</v>
      </c>
      <c r="I14" s="53" t="s">
        <v>692</v>
      </c>
      <c r="J14" s="24" t="s">
        <v>693</v>
      </c>
      <c r="K14" s="24">
        <v>9</v>
      </c>
      <c r="L14" s="46">
        <v>12131598</v>
      </c>
      <c r="M14" s="20" t="s">
        <v>714</v>
      </c>
      <c r="N14" s="38">
        <v>0</v>
      </c>
      <c r="O14" s="38">
        <v>0</v>
      </c>
      <c r="P14" s="20" t="s">
        <v>92</v>
      </c>
      <c r="Q14" s="20">
        <v>0</v>
      </c>
      <c r="R14" s="40">
        <v>46221</v>
      </c>
      <c r="S14" s="20">
        <v>0</v>
      </c>
      <c r="T14" s="20">
        <v>0</v>
      </c>
      <c r="U14" s="40">
        <v>46230</v>
      </c>
      <c r="V14" s="40">
        <v>46230</v>
      </c>
      <c r="W14" s="20" t="s">
        <v>92</v>
      </c>
      <c r="X14" s="21"/>
      <c r="Y14" s="38">
        <v>0</v>
      </c>
      <c r="Z14" s="38">
        <v>0</v>
      </c>
      <c r="AA14" s="38">
        <v>0</v>
      </c>
      <c r="AB14" s="20" t="s">
        <v>92</v>
      </c>
      <c r="AC14" s="22"/>
      <c r="AD14" s="144"/>
      <c r="AE14" s="20" t="s">
        <v>92</v>
      </c>
      <c r="AF14" s="135"/>
      <c r="AG14" s="135"/>
    </row>
    <row r="15" spans="1:43">
      <c r="A15" s="341" t="s">
        <v>214</v>
      </c>
      <c r="B15" s="135" t="s">
        <v>730</v>
      </c>
      <c r="C15" s="135" t="s">
        <v>675</v>
      </c>
      <c r="D15" s="46">
        <v>11134247</v>
      </c>
      <c r="E15" s="20" t="s">
        <v>177</v>
      </c>
      <c r="F15" s="20" t="s">
        <v>676</v>
      </c>
      <c r="G15" s="24">
        <v>3</v>
      </c>
      <c r="H15" s="21">
        <v>46234</v>
      </c>
      <c r="I15" s="53" t="s">
        <v>694</v>
      </c>
      <c r="J15" s="24" t="s">
        <v>695</v>
      </c>
      <c r="K15" s="24">
        <v>3</v>
      </c>
      <c r="L15" s="46">
        <v>12129253</v>
      </c>
      <c r="M15" s="20" t="s">
        <v>715</v>
      </c>
      <c r="N15" s="38">
        <v>0</v>
      </c>
      <c r="O15" s="38">
        <v>0</v>
      </c>
      <c r="P15" s="20" t="s">
        <v>92</v>
      </c>
      <c r="Q15" s="20">
        <v>0</v>
      </c>
      <c r="R15" s="40">
        <v>46221</v>
      </c>
      <c r="S15" s="20">
        <v>0</v>
      </c>
      <c r="T15" s="20">
        <v>0</v>
      </c>
      <c r="U15" s="40">
        <v>46230</v>
      </c>
      <c r="V15" s="40" t="s">
        <v>215</v>
      </c>
      <c r="W15" s="20" t="s">
        <v>92</v>
      </c>
      <c r="X15" s="21"/>
      <c r="Y15" s="38">
        <v>0</v>
      </c>
      <c r="Z15" s="38">
        <v>0</v>
      </c>
      <c r="AA15" s="38">
        <v>0</v>
      </c>
      <c r="AB15" s="20" t="s">
        <v>92</v>
      </c>
      <c r="AC15" s="22"/>
      <c r="AD15" s="144"/>
      <c r="AE15" s="20" t="s">
        <v>92</v>
      </c>
      <c r="AF15" s="135"/>
      <c r="AG15" s="135"/>
    </row>
    <row r="16" spans="1:43">
      <c r="A16" s="341" t="s">
        <v>214</v>
      </c>
      <c r="B16" s="135" t="s">
        <v>731</v>
      </c>
      <c r="C16" s="135" t="s">
        <v>677</v>
      </c>
      <c r="D16" s="46">
        <v>11134247</v>
      </c>
      <c r="E16" s="20" t="s">
        <v>177</v>
      </c>
      <c r="F16" s="20" t="s">
        <v>676</v>
      </c>
      <c r="G16" s="24">
        <v>9</v>
      </c>
      <c r="H16" s="21">
        <v>46234</v>
      </c>
      <c r="I16" s="53" t="s">
        <v>696</v>
      </c>
      <c r="J16" s="24" t="s">
        <v>697</v>
      </c>
      <c r="K16" s="24">
        <v>9</v>
      </c>
      <c r="L16" s="46">
        <v>12129253</v>
      </c>
      <c r="M16" s="20" t="s">
        <v>715</v>
      </c>
      <c r="N16" s="38">
        <v>0</v>
      </c>
      <c r="O16" s="38">
        <v>0</v>
      </c>
      <c r="P16" s="20" t="s">
        <v>92</v>
      </c>
      <c r="Q16" s="20">
        <v>0</v>
      </c>
      <c r="R16" s="40">
        <v>46221</v>
      </c>
      <c r="S16" s="20">
        <v>0</v>
      </c>
      <c r="T16" s="20">
        <v>0</v>
      </c>
      <c r="U16" s="40">
        <v>46230</v>
      </c>
      <c r="V16" s="40">
        <v>46230</v>
      </c>
      <c r="W16" s="20" t="s">
        <v>92</v>
      </c>
      <c r="X16" s="21"/>
      <c r="Y16" s="38">
        <v>0</v>
      </c>
      <c r="Z16" s="38">
        <v>0</v>
      </c>
      <c r="AA16" s="38">
        <v>0</v>
      </c>
      <c r="AB16" s="20" t="s">
        <v>92</v>
      </c>
      <c r="AC16" s="22"/>
      <c r="AD16" s="144"/>
      <c r="AE16" s="20" t="s">
        <v>92</v>
      </c>
      <c r="AF16" s="135"/>
      <c r="AG16" s="135"/>
    </row>
    <row r="17" spans="1:43">
      <c r="A17" s="341" t="s">
        <v>214</v>
      </c>
      <c r="B17" s="135" t="s">
        <v>732</v>
      </c>
      <c r="C17" s="135" t="s">
        <v>678</v>
      </c>
      <c r="D17" s="46">
        <v>11134247</v>
      </c>
      <c r="E17" s="20" t="s">
        <v>177</v>
      </c>
      <c r="F17" s="20" t="s">
        <v>676</v>
      </c>
      <c r="G17" s="24">
        <v>9</v>
      </c>
      <c r="H17" s="21">
        <v>46234</v>
      </c>
      <c r="I17" s="53" t="s">
        <v>698</v>
      </c>
      <c r="J17" s="24" t="s">
        <v>699</v>
      </c>
      <c r="K17" s="24">
        <v>9</v>
      </c>
      <c r="L17" s="46">
        <v>12129253</v>
      </c>
      <c r="M17" s="20" t="s">
        <v>715</v>
      </c>
      <c r="N17" s="38">
        <v>0</v>
      </c>
      <c r="O17" s="38">
        <v>0</v>
      </c>
      <c r="P17" s="20" t="s">
        <v>92</v>
      </c>
      <c r="Q17" s="20">
        <v>0</v>
      </c>
      <c r="R17" s="40">
        <v>46221</v>
      </c>
      <c r="S17" s="20">
        <v>0</v>
      </c>
      <c r="T17" s="20">
        <v>0</v>
      </c>
      <c r="U17" s="40">
        <v>46230</v>
      </c>
      <c r="V17" s="40">
        <v>46230</v>
      </c>
      <c r="W17" s="20" t="s">
        <v>92</v>
      </c>
      <c r="X17" s="21"/>
      <c r="Y17" s="38">
        <v>0</v>
      </c>
      <c r="Z17" s="38">
        <v>0</v>
      </c>
      <c r="AA17" s="38">
        <v>0</v>
      </c>
      <c r="AB17" s="20" t="s">
        <v>92</v>
      </c>
      <c r="AC17" s="22"/>
      <c r="AD17" s="144"/>
      <c r="AE17" s="20" t="s">
        <v>92</v>
      </c>
      <c r="AF17" s="135"/>
      <c r="AG17" s="135"/>
    </row>
    <row r="18" spans="1:43">
      <c r="A18" s="341" t="s">
        <v>214</v>
      </c>
      <c r="B18" s="135" t="s">
        <v>733</v>
      </c>
      <c r="C18" s="135" t="s">
        <v>679</v>
      </c>
      <c r="D18" s="46">
        <v>11134249</v>
      </c>
      <c r="E18" s="20" t="s">
        <v>181</v>
      </c>
      <c r="F18" s="20" t="s">
        <v>680</v>
      </c>
      <c r="G18" s="24">
        <v>3</v>
      </c>
      <c r="H18" s="21">
        <v>46234</v>
      </c>
      <c r="I18" s="53" t="s">
        <v>700</v>
      </c>
      <c r="J18" s="24" t="s">
        <v>701</v>
      </c>
      <c r="K18" s="24">
        <v>3</v>
      </c>
      <c r="L18" s="46">
        <v>12139932</v>
      </c>
      <c r="M18" s="20" t="s">
        <v>716</v>
      </c>
      <c r="N18" s="38">
        <v>0</v>
      </c>
      <c r="O18" s="38">
        <v>0</v>
      </c>
      <c r="P18" s="20" t="s">
        <v>92</v>
      </c>
      <c r="Q18" s="20">
        <v>0</v>
      </c>
      <c r="R18" s="40">
        <v>46221</v>
      </c>
      <c r="S18" s="20">
        <v>0</v>
      </c>
      <c r="T18" s="20">
        <v>0</v>
      </c>
      <c r="U18" s="40">
        <v>46230</v>
      </c>
      <c r="V18" s="40" t="s">
        <v>215</v>
      </c>
      <c r="W18" s="20" t="s">
        <v>92</v>
      </c>
      <c r="X18" s="21"/>
      <c r="Y18" s="38">
        <v>0</v>
      </c>
      <c r="Z18" s="38">
        <v>0</v>
      </c>
      <c r="AA18" s="38">
        <v>0</v>
      </c>
      <c r="AB18" s="20" t="s">
        <v>92</v>
      </c>
      <c r="AC18" s="22"/>
      <c r="AD18" s="144"/>
      <c r="AE18" s="20" t="s">
        <v>92</v>
      </c>
      <c r="AF18" s="135"/>
      <c r="AG18" s="135"/>
    </row>
    <row r="19" spans="1:43">
      <c r="A19" s="341" t="s">
        <v>214</v>
      </c>
      <c r="B19" s="135" t="s">
        <v>734</v>
      </c>
      <c r="C19" s="135" t="s">
        <v>681</v>
      </c>
      <c r="D19" s="46">
        <v>11134249</v>
      </c>
      <c r="E19" s="20" t="s">
        <v>181</v>
      </c>
      <c r="F19" s="20" t="s">
        <v>680</v>
      </c>
      <c r="G19" s="24">
        <v>9</v>
      </c>
      <c r="H19" s="21">
        <v>46234</v>
      </c>
      <c r="I19" s="53" t="s">
        <v>702</v>
      </c>
      <c r="J19" s="24" t="s">
        <v>703</v>
      </c>
      <c r="K19" s="24">
        <v>9</v>
      </c>
      <c r="L19" s="46">
        <v>12139932</v>
      </c>
      <c r="M19" s="20" t="s">
        <v>716</v>
      </c>
      <c r="N19" s="38">
        <v>0</v>
      </c>
      <c r="O19" s="38">
        <v>0</v>
      </c>
      <c r="P19" s="20" t="s">
        <v>92</v>
      </c>
      <c r="Q19" s="20">
        <v>0</v>
      </c>
      <c r="R19" s="40">
        <v>46221</v>
      </c>
      <c r="S19" s="20">
        <v>0</v>
      </c>
      <c r="T19" s="20">
        <v>0</v>
      </c>
      <c r="U19" s="40">
        <v>46230</v>
      </c>
      <c r="V19" s="40">
        <v>46230</v>
      </c>
      <c r="W19" s="20" t="s">
        <v>92</v>
      </c>
      <c r="X19" s="21"/>
      <c r="Y19" s="38">
        <v>0</v>
      </c>
      <c r="Z19" s="38">
        <v>0</v>
      </c>
      <c r="AA19" s="38">
        <v>0</v>
      </c>
      <c r="AB19" s="20" t="s">
        <v>92</v>
      </c>
      <c r="AC19" s="22"/>
      <c r="AD19" s="144"/>
      <c r="AE19" s="20" t="s">
        <v>92</v>
      </c>
      <c r="AF19" s="135"/>
      <c r="AG19" s="135"/>
    </row>
    <row r="20" spans="1:43">
      <c r="A20" s="341" t="s">
        <v>214</v>
      </c>
      <c r="B20" s="135" t="s">
        <v>735</v>
      </c>
      <c r="C20" s="135" t="s">
        <v>682</v>
      </c>
      <c r="D20" s="46">
        <v>11119663</v>
      </c>
      <c r="E20" s="20" t="s">
        <v>683</v>
      </c>
      <c r="F20" s="20" t="s">
        <v>684</v>
      </c>
      <c r="G20" s="24">
        <v>3</v>
      </c>
      <c r="H20" s="21">
        <v>46234</v>
      </c>
      <c r="I20" s="53" t="s">
        <v>704</v>
      </c>
      <c r="J20" s="24" t="s">
        <v>705</v>
      </c>
      <c r="K20" s="24">
        <v>3</v>
      </c>
      <c r="L20" s="46">
        <v>12116298</v>
      </c>
      <c r="M20" s="20" t="s">
        <v>717</v>
      </c>
      <c r="N20" s="38">
        <v>0</v>
      </c>
      <c r="O20" s="38">
        <v>0</v>
      </c>
      <c r="P20" s="20" t="s">
        <v>92</v>
      </c>
      <c r="Q20" s="20">
        <v>0</v>
      </c>
      <c r="R20" s="40">
        <v>46221</v>
      </c>
      <c r="S20" s="20">
        <v>0</v>
      </c>
      <c r="T20" s="20">
        <v>0</v>
      </c>
      <c r="U20" s="40">
        <v>46230</v>
      </c>
      <c r="V20" s="40" t="s">
        <v>215</v>
      </c>
      <c r="W20" s="20" t="s">
        <v>92</v>
      </c>
      <c r="X20" s="21"/>
      <c r="Y20" s="38">
        <v>0</v>
      </c>
      <c r="Z20" s="38">
        <v>0</v>
      </c>
      <c r="AA20" s="38">
        <v>0</v>
      </c>
      <c r="AB20" s="20" t="s">
        <v>92</v>
      </c>
      <c r="AC20" s="22"/>
      <c r="AD20" s="144"/>
      <c r="AE20" s="20" t="s">
        <v>92</v>
      </c>
      <c r="AF20" s="135"/>
      <c r="AG20" s="135"/>
    </row>
    <row r="21" spans="1:43">
      <c r="A21" s="341" t="s">
        <v>214</v>
      </c>
      <c r="B21" s="135" t="s">
        <v>736</v>
      </c>
      <c r="C21" s="135" t="s">
        <v>685</v>
      </c>
      <c r="D21" s="46">
        <v>11119663</v>
      </c>
      <c r="E21" s="20" t="s">
        <v>683</v>
      </c>
      <c r="F21" s="20" t="s">
        <v>684</v>
      </c>
      <c r="G21" s="24">
        <v>6</v>
      </c>
      <c r="H21" s="21">
        <v>46234</v>
      </c>
      <c r="I21" s="53" t="s">
        <v>706</v>
      </c>
      <c r="J21" s="24" t="s">
        <v>707</v>
      </c>
      <c r="K21" s="24">
        <v>6</v>
      </c>
      <c r="L21" s="46">
        <v>12116298</v>
      </c>
      <c r="M21" s="20" t="s">
        <v>717</v>
      </c>
      <c r="N21" s="38">
        <v>0</v>
      </c>
      <c r="O21" s="38">
        <v>0</v>
      </c>
      <c r="P21" s="20" t="s">
        <v>92</v>
      </c>
      <c r="Q21" s="20">
        <v>0</v>
      </c>
      <c r="R21" s="40">
        <v>46221</v>
      </c>
      <c r="S21" s="20">
        <v>0</v>
      </c>
      <c r="T21" s="20">
        <v>0</v>
      </c>
      <c r="U21" s="40">
        <v>46230</v>
      </c>
      <c r="V21" s="40">
        <v>46230</v>
      </c>
      <c r="W21" s="20" t="s">
        <v>92</v>
      </c>
      <c r="X21" s="21"/>
      <c r="Y21" s="38">
        <v>0</v>
      </c>
      <c r="Z21" s="38">
        <v>0</v>
      </c>
      <c r="AA21" s="38">
        <v>0</v>
      </c>
      <c r="AB21" s="20" t="s">
        <v>92</v>
      </c>
      <c r="AC21" s="22"/>
      <c r="AD21" s="144"/>
      <c r="AE21" s="20" t="s">
        <v>92</v>
      </c>
      <c r="AF21" s="135"/>
      <c r="AG21" s="135"/>
    </row>
    <row r="22" spans="1:43">
      <c r="A22" s="341" t="s">
        <v>214</v>
      </c>
      <c r="B22" s="135" t="s">
        <v>737</v>
      </c>
      <c r="C22" s="353" t="s">
        <v>1101</v>
      </c>
      <c r="D22" s="354">
        <v>11134203</v>
      </c>
      <c r="E22" s="355" t="s">
        <v>1098</v>
      </c>
      <c r="F22" s="355" t="s">
        <v>1099</v>
      </c>
      <c r="G22" s="24">
        <v>3</v>
      </c>
      <c r="H22" s="21">
        <v>46234</v>
      </c>
      <c r="I22" s="357" t="s">
        <v>1102</v>
      </c>
      <c r="J22" s="356" t="s">
        <v>1104</v>
      </c>
      <c r="K22" s="24">
        <v>3</v>
      </c>
      <c r="L22" s="46">
        <v>12130255</v>
      </c>
      <c r="M22" s="20" t="s">
        <v>1097</v>
      </c>
      <c r="N22" s="38">
        <v>0</v>
      </c>
      <c r="O22" s="38">
        <v>0</v>
      </c>
      <c r="P22" s="20" t="s">
        <v>92</v>
      </c>
      <c r="Q22" s="20">
        <v>0</v>
      </c>
      <c r="R22" s="40">
        <v>46221</v>
      </c>
      <c r="S22" s="20">
        <v>0</v>
      </c>
      <c r="T22" s="20">
        <v>0</v>
      </c>
      <c r="U22" s="40">
        <v>46230</v>
      </c>
      <c r="V22" s="40" t="s">
        <v>215</v>
      </c>
      <c r="W22" s="20" t="s">
        <v>92</v>
      </c>
      <c r="X22" s="21"/>
      <c r="Y22" s="38">
        <v>0</v>
      </c>
      <c r="Z22" s="38">
        <v>0</v>
      </c>
      <c r="AA22" s="38">
        <v>0</v>
      </c>
      <c r="AB22" s="20" t="s">
        <v>92</v>
      </c>
      <c r="AC22" s="22"/>
      <c r="AD22" s="144"/>
      <c r="AE22" s="20" t="s">
        <v>92</v>
      </c>
      <c r="AF22" s="135"/>
      <c r="AG22" s="135"/>
    </row>
    <row r="23" spans="1:43">
      <c r="A23" s="341" t="s">
        <v>214</v>
      </c>
      <c r="B23" s="135" t="s">
        <v>1193</v>
      </c>
      <c r="C23" s="353" t="s">
        <v>1100</v>
      </c>
      <c r="D23" s="354">
        <v>11134203</v>
      </c>
      <c r="E23" s="355" t="s">
        <v>1098</v>
      </c>
      <c r="F23" s="355" t="s">
        <v>1099</v>
      </c>
      <c r="G23" s="24">
        <v>9</v>
      </c>
      <c r="H23" s="21">
        <v>46234</v>
      </c>
      <c r="I23" s="357" t="s">
        <v>1103</v>
      </c>
      <c r="J23" s="356" t="s">
        <v>1105</v>
      </c>
      <c r="K23" s="24">
        <v>9</v>
      </c>
      <c r="L23" s="46">
        <v>12130255</v>
      </c>
      <c r="M23" s="20" t="s">
        <v>1097</v>
      </c>
      <c r="N23" s="38">
        <v>0</v>
      </c>
      <c r="O23" s="38">
        <v>0</v>
      </c>
      <c r="P23" s="20" t="s">
        <v>92</v>
      </c>
      <c r="Q23" s="20">
        <v>0</v>
      </c>
      <c r="R23" s="40">
        <v>46221</v>
      </c>
      <c r="S23" s="20">
        <v>0</v>
      </c>
      <c r="T23" s="20">
        <v>0</v>
      </c>
      <c r="U23" s="40">
        <v>46230</v>
      </c>
      <c r="V23" s="40">
        <v>46230</v>
      </c>
      <c r="W23" s="20" t="s">
        <v>92</v>
      </c>
      <c r="X23" s="21"/>
      <c r="Y23" s="38">
        <v>0</v>
      </c>
      <c r="Z23" s="38">
        <v>0</v>
      </c>
      <c r="AA23" s="38">
        <v>0</v>
      </c>
      <c r="AB23" s="20" t="s">
        <v>92</v>
      </c>
      <c r="AC23" s="22"/>
      <c r="AD23" s="144"/>
      <c r="AE23" s="20" t="s">
        <v>92</v>
      </c>
      <c r="AF23" s="135"/>
      <c r="AG23" s="135"/>
    </row>
    <row r="24" spans="1:43">
      <c r="A24" s="341" t="s">
        <v>214</v>
      </c>
      <c r="B24" s="135" t="s">
        <v>738</v>
      </c>
      <c r="C24" s="135" t="s">
        <v>686</v>
      </c>
      <c r="D24" s="46">
        <v>12129248</v>
      </c>
      <c r="E24" s="20" t="s">
        <v>73</v>
      </c>
      <c r="F24" s="20" t="s">
        <v>663</v>
      </c>
      <c r="G24" s="24">
        <v>3</v>
      </c>
      <c r="H24" s="21">
        <v>46234</v>
      </c>
      <c r="I24" s="53" t="s">
        <v>708</v>
      </c>
      <c r="J24" s="24" t="s">
        <v>709</v>
      </c>
      <c r="K24" s="24">
        <v>3</v>
      </c>
      <c r="L24" s="46">
        <v>12003986</v>
      </c>
      <c r="M24" s="20" t="s">
        <v>718</v>
      </c>
      <c r="N24" s="38">
        <v>0</v>
      </c>
      <c r="O24" s="38">
        <v>0</v>
      </c>
      <c r="P24" s="20" t="s">
        <v>92</v>
      </c>
      <c r="Q24" s="20">
        <v>0</v>
      </c>
      <c r="R24" s="40">
        <v>46221</v>
      </c>
      <c r="S24" s="20">
        <v>0</v>
      </c>
      <c r="T24" s="20">
        <v>0</v>
      </c>
      <c r="U24" s="40">
        <v>46230</v>
      </c>
      <c r="V24" s="40" t="s">
        <v>215</v>
      </c>
      <c r="W24" s="20" t="s">
        <v>92</v>
      </c>
      <c r="X24" s="21"/>
      <c r="Y24" s="38">
        <v>0</v>
      </c>
      <c r="Z24" s="38">
        <v>0</v>
      </c>
      <c r="AA24" s="38">
        <v>0</v>
      </c>
      <c r="AB24" s="20" t="s">
        <v>92</v>
      </c>
      <c r="AC24" s="22"/>
      <c r="AD24" s="144"/>
      <c r="AE24" s="20" t="s">
        <v>92</v>
      </c>
      <c r="AF24" s="135"/>
      <c r="AG24" s="135"/>
    </row>
    <row r="25" spans="1:43">
      <c r="A25" s="341" t="s">
        <v>214</v>
      </c>
      <c r="B25" s="135" t="s">
        <v>739</v>
      </c>
      <c r="C25" s="135" t="s">
        <v>687</v>
      </c>
      <c r="D25" s="46">
        <v>12129248</v>
      </c>
      <c r="E25" s="20" t="s">
        <v>73</v>
      </c>
      <c r="F25" s="20" t="s">
        <v>663</v>
      </c>
      <c r="G25" s="24">
        <v>9</v>
      </c>
      <c r="H25" s="21">
        <v>46234</v>
      </c>
      <c r="I25" s="53" t="s">
        <v>710</v>
      </c>
      <c r="J25" s="24" t="s">
        <v>711</v>
      </c>
      <c r="K25" s="24">
        <v>9</v>
      </c>
      <c r="L25" s="46">
        <v>12003986</v>
      </c>
      <c r="M25" s="20" t="s">
        <v>718</v>
      </c>
      <c r="N25" s="38">
        <v>0</v>
      </c>
      <c r="O25" s="38">
        <v>0</v>
      </c>
      <c r="P25" s="20" t="s">
        <v>92</v>
      </c>
      <c r="Q25" s="20">
        <v>0</v>
      </c>
      <c r="R25" s="40">
        <v>46221</v>
      </c>
      <c r="S25" s="20">
        <v>0</v>
      </c>
      <c r="T25" s="20">
        <v>0</v>
      </c>
      <c r="U25" s="40">
        <v>46230</v>
      </c>
      <c r="V25" s="40">
        <v>46230</v>
      </c>
      <c r="W25" s="20" t="s">
        <v>92</v>
      </c>
      <c r="X25" s="21"/>
      <c r="Y25" s="38">
        <v>0</v>
      </c>
      <c r="Z25" s="38">
        <v>0</v>
      </c>
      <c r="AA25" s="38">
        <v>0</v>
      </c>
      <c r="AB25" s="20" t="s">
        <v>92</v>
      </c>
      <c r="AC25" s="22"/>
      <c r="AD25" s="144"/>
      <c r="AE25" s="20" t="s">
        <v>92</v>
      </c>
      <c r="AF25" s="135"/>
      <c r="AG25" s="135"/>
    </row>
    <row r="26" spans="1:43">
      <c r="A26" s="135" t="s">
        <v>758</v>
      </c>
      <c r="B26" s="135" t="s">
        <v>800</v>
      </c>
      <c r="C26" s="135" t="s">
        <v>759</v>
      </c>
      <c r="D26" s="46">
        <v>11134248</v>
      </c>
      <c r="E26" s="20" t="s">
        <v>179</v>
      </c>
      <c r="F26" s="20" t="s">
        <v>180</v>
      </c>
      <c r="G26" s="24">
        <v>620</v>
      </c>
      <c r="H26" s="21">
        <v>46232</v>
      </c>
      <c r="I26" s="53" t="s">
        <v>760</v>
      </c>
      <c r="J26" s="24" t="s">
        <v>761</v>
      </c>
      <c r="K26" s="24">
        <v>626</v>
      </c>
      <c r="L26" s="46">
        <v>12139931</v>
      </c>
      <c r="M26" s="20" t="s">
        <v>185</v>
      </c>
      <c r="N26" s="38">
        <v>0</v>
      </c>
      <c r="O26" s="38">
        <v>0</v>
      </c>
      <c r="P26" s="20" t="s">
        <v>72</v>
      </c>
      <c r="Q26" s="20">
        <v>0</v>
      </c>
      <c r="R26" s="40">
        <v>46217</v>
      </c>
      <c r="S26" s="38">
        <v>3</v>
      </c>
      <c r="T26" s="38">
        <v>3</v>
      </c>
      <c r="U26" s="40">
        <v>46218</v>
      </c>
      <c r="V26" s="40">
        <v>46218</v>
      </c>
      <c r="W26" s="20" t="s">
        <v>54</v>
      </c>
      <c r="X26" s="21"/>
      <c r="Y26" s="19">
        <f>VLOOKUP(F26,[2]New!$B:$G,3,0)*K26/60</f>
        <v>350.56000000000006</v>
      </c>
      <c r="Z26" s="19">
        <f>VLOOKUP(F26,[2]New!$B:$G,4,0)*K26/60</f>
        <v>672.95</v>
      </c>
      <c r="AA26" s="19">
        <f>VLOOKUP(F26,[2]New!$B:$G,6,0)*K26/60</f>
        <v>1390.7633333333333</v>
      </c>
      <c r="AB26" s="44">
        <f>VLOOKUP(A26,'[4]PO CAG (2)'!$A:$L,12,0)</f>
        <v>46268</v>
      </c>
      <c r="AC26" s="22" t="str">
        <f>IFERROR(VLOOKUP(F26,[3]Sheet1!$E:$H,4,0),)</f>
        <v>H</v>
      </c>
      <c r="AD26" s="144">
        <v>620</v>
      </c>
      <c r="AE26" s="25" t="s">
        <v>3023</v>
      </c>
      <c r="AF26" s="135" t="s">
        <v>198</v>
      </c>
      <c r="AG26" s="135"/>
      <c r="AI26" s="23">
        <v>6</v>
      </c>
      <c r="AJ26" s="267" t="s">
        <v>444</v>
      </c>
      <c r="AN26" s="278">
        <v>2</v>
      </c>
      <c r="AO26" s="278">
        <v>2</v>
      </c>
      <c r="AP26" s="278">
        <v>2</v>
      </c>
      <c r="AQ26" s="278">
        <v>2</v>
      </c>
    </row>
    <row r="27" spans="1:43">
      <c r="A27" s="135" t="s">
        <v>891</v>
      </c>
      <c r="B27" s="135" t="s">
        <v>902</v>
      </c>
      <c r="C27" s="135" t="s">
        <v>892</v>
      </c>
      <c r="D27" s="46">
        <v>11134249</v>
      </c>
      <c r="E27" s="20" t="s">
        <v>181</v>
      </c>
      <c r="F27" s="20" t="s">
        <v>182</v>
      </c>
      <c r="G27" s="24">
        <v>30</v>
      </c>
      <c r="H27" s="21">
        <v>46233</v>
      </c>
      <c r="I27" s="53" t="s">
        <v>893</v>
      </c>
      <c r="J27" s="24" t="s">
        <v>894</v>
      </c>
      <c r="K27" s="24">
        <v>36</v>
      </c>
      <c r="L27" s="46">
        <v>12139932</v>
      </c>
      <c r="M27" s="20" t="s">
        <v>186</v>
      </c>
      <c r="N27" s="38">
        <v>0</v>
      </c>
      <c r="O27" s="38">
        <v>0</v>
      </c>
      <c r="P27" s="20" t="s">
        <v>72</v>
      </c>
      <c r="Q27" s="20">
        <v>0</v>
      </c>
      <c r="R27" s="40">
        <v>46218</v>
      </c>
      <c r="S27" s="38">
        <v>3</v>
      </c>
      <c r="T27" s="38">
        <v>3</v>
      </c>
      <c r="U27" s="40">
        <v>46219</v>
      </c>
      <c r="V27" s="40">
        <v>46219</v>
      </c>
      <c r="W27" s="20" t="s">
        <v>54</v>
      </c>
      <c r="X27" s="21"/>
      <c r="Y27" s="19">
        <f>VLOOKUP(F27,[2]New!$B:$G,3,0)*K27/60</f>
        <v>20.160000000000004</v>
      </c>
      <c r="Z27" s="19">
        <f>VLOOKUP(F27,[2]New!$B:$G,4,0)*K27/60</f>
        <v>38.700000000000003</v>
      </c>
      <c r="AA27" s="19">
        <f>VLOOKUP(F27,[2]New!$B:$G,6,0)*K27/60</f>
        <v>79.98</v>
      </c>
      <c r="AB27" s="44">
        <f>VLOOKUP(A27,'[4]PO CAG (2)'!$A:$L,12,0)</f>
        <v>46268</v>
      </c>
      <c r="AC27" s="22" t="str">
        <f>IFERROR(VLOOKUP(F27,[3]Sheet1!$E:$H,4,0),)</f>
        <v>H</v>
      </c>
      <c r="AD27" s="144">
        <v>30</v>
      </c>
      <c r="AE27" s="25" t="s">
        <v>3023</v>
      </c>
      <c r="AF27" s="135" t="s">
        <v>198</v>
      </c>
      <c r="AG27" s="135"/>
      <c r="AI27" s="23">
        <v>6</v>
      </c>
      <c r="AJ27" s="267" t="s">
        <v>152</v>
      </c>
      <c r="AN27" s="278">
        <v>2</v>
      </c>
      <c r="AO27" s="278">
        <v>2</v>
      </c>
      <c r="AP27" s="278">
        <v>2</v>
      </c>
      <c r="AQ27" s="278">
        <v>2</v>
      </c>
    </row>
    <row r="28" spans="1:43">
      <c r="A28" s="135" t="s">
        <v>895</v>
      </c>
      <c r="B28" s="135" t="s">
        <v>903</v>
      </c>
      <c r="C28" s="135" t="s">
        <v>896</v>
      </c>
      <c r="D28" s="46">
        <v>11134248</v>
      </c>
      <c r="E28" s="20" t="s">
        <v>179</v>
      </c>
      <c r="F28" s="20" t="s">
        <v>180</v>
      </c>
      <c r="G28" s="24">
        <v>270</v>
      </c>
      <c r="H28" s="21">
        <v>46233</v>
      </c>
      <c r="I28" s="53" t="s">
        <v>897</v>
      </c>
      <c r="J28" s="24" t="s">
        <v>898</v>
      </c>
      <c r="K28" s="24">
        <v>270</v>
      </c>
      <c r="L28" s="46">
        <v>12139931</v>
      </c>
      <c r="M28" s="20" t="s">
        <v>185</v>
      </c>
      <c r="N28" s="38">
        <v>0</v>
      </c>
      <c r="O28" s="38">
        <v>0</v>
      </c>
      <c r="P28" s="20" t="s">
        <v>72</v>
      </c>
      <c r="Q28" s="20">
        <v>0</v>
      </c>
      <c r="R28" s="40">
        <v>46218</v>
      </c>
      <c r="S28" s="38">
        <v>0</v>
      </c>
      <c r="T28" s="38">
        <v>0</v>
      </c>
      <c r="U28" s="40">
        <v>46219</v>
      </c>
      <c r="V28" s="40">
        <v>46219</v>
      </c>
      <c r="W28" s="20" t="s">
        <v>54</v>
      </c>
      <c r="X28" s="21"/>
      <c r="Y28" s="19">
        <f>VLOOKUP(F28,[2]New!$B:$G,3,0)*K28/60</f>
        <v>151.19999999999999</v>
      </c>
      <c r="Z28" s="19">
        <f>VLOOKUP(F28,[2]New!$B:$G,4,0)*K28/60</f>
        <v>290.25</v>
      </c>
      <c r="AA28" s="19">
        <f>VLOOKUP(F28,[2]New!$B:$G,6,0)*K28/60</f>
        <v>599.85</v>
      </c>
      <c r="AB28" s="44">
        <f>VLOOKUP(A28,'[4]PO CAG (2)'!$A:$L,12,0)</f>
        <v>46268</v>
      </c>
      <c r="AC28" s="22" t="str">
        <f>IFERROR(VLOOKUP(F28,[3]Sheet1!$E:$H,4,0),)</f>
        <v>H</v>
      </c>
      <c r="AD28" s="144">
        <v>270</v>
      </c>
      <c r="AE28" s="25" t="s">
        <v>3023</v>
      </c>
      <c r="AF28" s="135" t="s">
        <v>198</v>
      </c>
      <c r="AG28" s="135"/>
      <c r="AI28" s="23">
        <v>0</v>
      </c>
      <c r="AJ28" s="267" t="s">
        <v>152</v>
      </c>
      <c r="AN28" s="278">
        <v>2</v>
      </c>
      <c r="AO28" s="278">
        <v>2</v>
      </c>
      <c r="AP28" s="278">
        <v>2</v>
      </c>
      <c r="AQ28" s="278">
        <v>2</v>
      </c>
    </row>
    <row r="29" spans="1:43">
      <c r="A29" s="135" t="s">
        <v>758</v>
      </c>
      <c r="B29" s="135" t="s">
        <v>904</v>
      </c>
      <c r="C29" s="135" t="s">
        <v>899</v>
      </c>
      <c r="D29" s="46">
        <v>11134248</v>
      </c>
      <c r="E29" s="20" t="s">
        <v>179</v>
      </c>
      <c r="F29" s="20" t="s">
        <v>180</v>
      </c>
      <c r="G29" s="24">
        <v>2050</v>
      </c>
      <c r="H29" s="21">
        <v>46233</v>
      </c>
      <c r="I29" s="53" t="s">
        <v>900</v>
      </c>
      <c r="J29" s="24" t="s">
        <v>901</v>
      </c>
      <c r="K29" s="24">
        <v>2050</v>
      </c>
      <c r="L29" s="46">
        <v>12139931</v>
      </c>
      <c r="M29" s="20" t="s">
        <v>185</v>
      </c>
      <c r="N29" s="38">
        <v>0</v>
      </c>
      <c r="O29" s="38">
        <v>0</v>
      </c>
      <c r="P29" s="20" t="s">
        <v>72</v>
      </c>
      <c r="Q29" s="20">
        <v>0</v>
      </c>
      <c r="R29" s="40">
        <v>46218</v>
      </c>
      <c r="S29" s="38">
        <v>0</v>
      </c>
      <c r="T29" s="38">
        <v>0</v>
      </c>
      <c r="U29" s="40">
        <v>46219</v>
      </c>
      <c r="V29" s="40">
        <v>46219</v>
      </c>
      <c r="W29" s="20" t="s">
        <v>54</v>
      </c>
      <c r="X29" s="21"/>
      <c r="Y29" s="19">
        <f>VLOOKUP(F29,[2]New!$B:$G,3,0)*K29/60</f>
        <v>1148</v>
      </c>
      <c r="Z29" s="19">
        <f>VLOOKUP(F29,[2]New!$B:$G,4,0)*K29/60</f>
        <v>2203.75</v>
      </c>
      <c r="AA29" s="19">
        <f>VLOOKUP(F29,[2]New!$B:$G,6,0)*K29/60</f>
        <v>4554.416666666667</v>
      </c>
      <c r="AB29" s="44">
        <f>VLOOKUP(A29,'[4]PO CAG (2)'!$A:$L,12,0)</f>
        <v>46268</v>
      </c>
      <c r="AC29" s="22" t="str">
        <f>IFERROR(VLOOKUP(F29,[3]Sheet1!$E:$H,4,0),)</f>
        <v>H</v>
      </c>
      <c r="AD29" s="144">
        <v>2050</v>
      </c>
      <c r="AE29" s="25" t="s">
        <v>3023</v>
      </c>
      <c r="AF29" s="135" t="s">
        <v>198</v>
      </c>
      <c r="AG29" s="135"/>
      <c r="AI29" s="23">
        <v>0</v>
      </c>
      <c r="AJ29" s="267" t="s">
        <v>152</v>
      </c>
      <c r="AN29" s="278">
        <v>2</v>
      </c>
      <c r="AO29" s="278">
        <v>2</v>
      </c>
      <c r="AP29" s="278">
        <v>2</v>
      </c>
      <c r="AQ29" s="278">
        <v>2</v>
      </c>
    </row>
    <row r="30" spans="1:43">
      <c r="A30" s="135" t="s">
        <v>936</v>
      </c>
      <c r="B30" s="135" t="s">
        <v>942</v>
      </c>
      <c r="C30" s="135">
        <v>2000126878</v>
      </c>
      <c r="D30" s="46">
        <v>11132932</v>
      </c>
      <c r="E30" s="20" t="s">
        <v>921</v>
      </c>
      <c r="F30" s="20" t="s">
        <v>922</v>
      </c>
      <c r="G30" s="24">
        <v>9</v>
      </c>
      <c r="H30" s="21">
        <v>46238</v>
      </c>
      <c r="I30" s="53" t="s">
        <v>927</v>
      </c>
      <c r="J30" s="24" t="s">
        <v>928</v>
      </c>
      <c r="K30" s="24">
        <v>9</v>
      </c>
      <c r="L30" s="46">
        <v>12145263</v>
      </c>
      <c r="M30" s="20" t="s">
        <v>933</v>
      </c>
      <c r="N30" s="38">
        <v>0</v>
      </c>
      <c r="O30" s="38">
        <v>0</v>
      </c>
      <c r="P30" s="20" t="s">
        <v>92</v>
      </c>
      <c r="Q30" s="20">
        <v>0</v>
      </c>
      <c r="R30" s="40">
        <v>46223</v>
      </c>
      <c r="S30" s="38">
        <v>0</v>
      </c>
      <c r="T30" s="38">
        <v>0</v>
      </c>
      <c r="U30" s="40">
        <v>46227</v>
      </c>
      <c r="V30" s="40">
        <v>46230</v>
      </c>
      <c r="W30" s="20" t="s">
        <v>57</v>
      </c>
      <c r="X30" s="21"/>
      <c r="Y30" s="38">
        <v>0</v>
      </c>
      <c r="Z30" s="38">
        <v>0</v>
      </c>
      <c r="AA30" s="38">
        <v>0</v>
      </c>
      <c r="AB30" s="20" t="s">
        <v>92</v>
      </c>
      <c r="AC30" s="22">
        <f>IFERROR(VLOOKUP(F30,[3]Sheet1!$E:$H,4,0),)</f>
        <v>0</v>
      </c>
      <c r="AD30" s="144"/>
      <c r="AE30" s="20" t="s">
        <v>92</v>
      </c>
      <c r="AF30" s="135"/>
      <c r="AG30" s="135"/>
    </row>
    <row r="31" spans="1:43">
      <c r="A31" s="135" t="s">
        <v>936</v>
      </c>
      <c r="B31" s="135" t="s">
        <v>943</v>
      </c>
      <c r="C31" s="135">
        <v>2000126879</v>
      </c>
      <c r="D31" s="46">
        <v>11132933</v>
      </c>
      <c r="E31" s="20" t="s">
        <v>923</v>
      </c>
      <c r="F31" s="20" t="s">
        <v>924</v>
      </c>
      <c r="G31" s="24">
        <v>9</v>
      </c>
      <c r="H31" s="21">
        <v>46238</v>
      </c>
      <c r="I31" s="53" t="s">
        <v>929</v>
      </c>
      <c r="J31" s="24" t="s">
        <v>930</v>
      </c>
      <c r="K31" s="24">
        <v>9</v>
      </c>
      <c r="L31" s="46">
        <v>12145264</v>
      </c>
      <c r="M31" s="20" t="s">
        <v>934</v>
      </c>
      <c r="N31" s="38">
        <v>0</v>
      </c>
      <c r="O31" s="38">
        <v>0</v>
      </c>
      <c r="P31" s="20" t="s">
        <v>92</v>
      </c>
      <c r="Q31" s="20">
        <v>0</v>
      </c>
      <c r="R31" s="40">
        <v>46223</v>
      </c>
      <c r="S31" s="38">
        <v>0</v>
      </c>
      <c r="T31" s="38">
        <v>0</v>
      </c>
      <c r="U31" s="40">
        <v>46227</v>
      </c>
      <c r="V31" s="40">
        <v>46230</v>
      </c>
      <c r="W31" s="20" t="s">
        <v>57</v>
      </c>
      <c r="X31" s="21"/>
      <c r="Y31" s="38">
        <v>0</v>
      </c>
      <c r="Z31" s="38">
        <v>0</v>
      </c>
      <c r="AA31" s="38">
        <v>0</v>
      </c>
      <c r="AB31" s="20" t="s">
        <v>92</v>
      </c>
      <c r="AC31" s="22">
        <f>IFERROR(VLOOKUP(F31,[3]Sheet1!$E:$H,4,0),)</f>
        <v>0</v>
      </c>
      <c r="AD31" s="144"/>
      <c r="AE31" s="20" t="s">
        <v>92</v>
      </c>
      <c r="AF31" s="135"/>
      <c r="AG31" s="135"/>
    </row>
    <row r="32" spans="1:43">
      <c r="A32" s="135" t="s">
        <v>936</v>
      </c>
      <c r="B32" s="135" t="s">
        <v>944</v>
      </c>
      <c r="C32" s="135">
        <v>2000126880</v>
      </c>
      <c r="D32" s="46">
        <v>11132934</v>
      </c>
      <c r="E32" s="20" t="s">
        <v>925</v>
      </c>
      <c r="F32" s="20" t="s">
        <v>926</v>
      </c>
      <c r="G32" s="24">
        <v>9</v>
      </c>
      <c r="H32" s="21">
        <v>46238</v>
      </c>
      <c r="I32" s="53" t="s">
        <v>931</v>
      </c>
      <c r="J32" s="24" t="s">
        <v>932</v>
      </c>
      <c r="K32" s="24">
        <v>9</v>
      </c>
      <c r="L32" s="46">
        <v>12145265</v>
      </c>
      <c r="M32" s="20" t="s">
        <v>935</v>
      </c>
      <c r="N32" s="38">
        <v>0</v>
      </c>
      <c r="O32" s="38">
        <v>0</v>
      </c>
      <c r="P32" s="20" t="s">
        <v>92</v>
      </c>
      <c r="Q32" s="20">
        <v>0</v>
      </c>
      <c r="R32" s="40">
        <v>46223</v>
      </c>
      <c r="S32" s="38">
        <v>0</v>
      </c>
      <c r="T32" s="38">
        <v>0</v>
      </c>
      <c r="U32" s="40">
        <v>46227</v>
      </c>
      <c r="V32" s="40">
        <v>46230</v>
      </c>
      <c r="W32" s="20" t="s">
        <v>57</v>
      </c>
      <c r="X32" s="21"/>
      <c r="Y32" s="38">
        <v>0</v>
      </c>
      <c r="Z32" s="38">
        <v>0</v>
      </c>
      <c r="AA32" s="38">
        <v>0</v>
      </c>
      <c r="AB32" s="20" t="s">
        <v>92</v>
      </c>
      <c r="AC32" s="22">
        <f>IFERROR(VLOOKUP(F32,[3]Sheet1!$E:$H,4,0),)</f>
        <v>0</v>
      </c>
      <c r="AD32" s="144"/>
      <c r="AE32" s="20" t="s">
        <v>92</v>
      </c>
      <c r="AF32" s="135"/>
      <c r="AG32" s="135"/>
    </row>
    <row r="33" spans="1:43">
      <c r="A33" s="135" t="s">
        <v>945</v>
      </c>
      <c r="B33" s="135" t="s">
        <v>1038</v>
      </c>
      <c r="C33" s="135" t="s">
        <v>946</v>
      </c>
      <c r="D33" s="46">
        <v>11134152</v>
      </c>
      <c r="E33" s="20" t="s">
        <v>424</v>
      </c>
      <c r="F33" s="20" t="s">
        <v>425</v>
      </c>
      <c r="G33" s="24">
        <v>3</v>
      </c>
      <c r="H33" s="21">
        <v>46233</v>
      </c>
      <c r="I33" s="53" t="s">
        <v>947</v>
      </c>
      <c r="J33" s="24" t="s">
        <v>1048</v>
      </c>
      <c r="K33" s="24">
        <v>3</v>
      </c>
      <c r="L33" s="46">
        <v>12130016</v>
      </c>
      <c r="M33" s="20" t="s">
        <v>426</v>
      </c>
      <c r="N33" s="38">
        <v>0</v>
      </c>
      <c r="O33" s="38">
        <v>0</v>
      </c>
      <c r="P33" s="20" t="s">
        <v>72</v>
      </c>
      <c r="Q33" s="20">
        <v>0</v>
      </c>
      <c r="R33" s="40">
        <v>46219</v>
      </c>
      <c r="S33" s="38">
        <v>0</v>
      </c>
      <c r="T33" s="38">
        <v>0</v>
      </c>
      <c r="U33" s="40">
        <v>46220</v>
      </c>
      <c r="V33" s="40">
        <v>46220</v>
      </c>
      <c r="W33" s="20" t="s">
        <v>57</v>
      </c>
      <c r="X33" s="21"/>
      <c r="Y33" s="19">
        <f>VLOOKUP(F33,[2]New!$B:$G,3,0)*K33/60</f>
        <v>2.8</v>
      </c>
      <c r="Z33" s="19">
        <f>VLOOKUP(F33,[2]New!$B:$G,4,0)*K33/60</f>
        <v>11.7</v>
      </c>
      <c r="AA33" s="19">
        <f>VLOOKUP(F33,[2]New!$B:$G,6,0)*K33/60</f>
        <v>14.45</v>
      </c>
      <c r="AB33" s="44">
        <f>VLOOKUP(A33,'[4]PO CAG (2)'!$A:$L,12,0)</f>
        <v>46268</v>
      </c>
      <c r="AC33" s="22" t="str">
        <f>IFERROR(VLOOKUP(F33,[3]Sheet1!$E:$H,4,0),)</f>
        <v>G</v>
      </c>
      <c r="AD33" s="144">
        <v>3</v>
      </c>
      <c r="AE33" s="25" t="s">
        <v>3023</v>
      </c>
      <c r="AF33" s="135" t="s">
        <v>198</v>
      </c>
      <c r="AG33" s="135"/>
      <c r="AI33" s="23">
        <v>0</v>
      </c>
      <c r="AJ33" s="267" t="s">
        <v>153</v>
      </c>
      <c r="AN33" s="358">
        <v>3</v>
      </c>
      <c r="AO33" s="358">
        <v>3</v>
      </c>
      <c r="AP33" s="358">
        <v>3</v>
      </c>
      <c r="AQ33" s="358">
        <v>3</v>
      </c>
    </row>
    <row r="34" spans="1:43">
      <c r="A34" s="135" t="s">
        <v>948</v>
      </c>
      <c r="B34" s="135" t="s">
        <v>1039</v>
      </c>
      <c r="C34" s="135" t="s">
        <v>949</v>
      </c>
      <c r="D34" s="46">
        <v>11134149</v>
      </c>
      <c r="E34" s="20" t="s">
        <v>351</v>
      </c>
      <c r="F34" s="20" t="s">
        <v>352</v>
      </c>
      <c r="G34" s="24">
        <v>10</v>
      </c>
      <c r="H34" s="21">
        <v>46233</v>
      </c>
      <c r="I34" s="53" t="s">
        <v>950</v>
      </c>
      <c r="J34" s="24" t="s">
        <v>1049</v>
      </c>
      <c r="K34" s="24">
        <v>10</v>
      </c>
      <c r="L34" s="46">
        <v>12129996</v>
      </c>
      <c r="M34" s="20" t="s">
        <v>353</v>
      </c>
      <c r="N34" s="38">
        <v>0</v>
      </c>
      <c r="O34" s="38">
        <v>0</v>
      </c>
      <c r="P34" s="20" t="s">
        <v>72</v>
      </c>
      <c r="Q34" s="20">
        <v>0</v>
      </c>
      <c r="R34" s="40">
        <v>46219</v>
      </c>
      <c r="S34" s="38">
        <v>0</v>
      </c>
      <c r="T34" s="38">
        <v>0</v>
      </c>
      <c r="U34" s="40">
        <v>46220</v>
      </c>
      <c r="V34" s="40">
        <v>46220</v>
      </c>
      <c r="W34" s="20" t="s">
        <v>57</v>
      </c>
      <c r="X34" s="21"/>
      <c r="Y34" s="19">
        <f>VLOOKUP(F34,[2]New!$B:$G,3,0)*K34/60</f>
        <v>9.3333333333333339</v>
      </c>
      <c r="Z34" s="19">
        <f>VLOOKUP(F34,[2]New!$B:$G,4,0)*K34/60</f>
        <v>39</v>
      </c>
      <c r="AA34" s="19">
        <f>VLOOKUP(F34,[2]New!$B:$G,6,0)*K34/60</f>
        <v>48.166666666666664</v>
      </c>
      <c r="AB34" s="44">
        <f>VLOOKUP(A34,'[4]PO CAG (2)'!$A:$L,12,0)</f>
        <v>46268</v>
      </c>
      <c r="AC34" s="22" t="str">
        <f>IFERROR(VLOOKUP(F34,[3]Sheet1!$E:$H,4,0),)</f>
        <v>G</v>
      </c>
      <c r="AD34" s="144">
        <v>10</v>
      </c>
      <c r="AE34" s="25" t="s">
        <v>3023</v>
      </c>
      <c r="AF34" s="135" t="s">
        <v>198</v>
      </c>
      <c r="AG34" s="135"/>
      <c r="AI34" s="377">
        <v>0</v>
      </c>
      <c r="AJ34" s="267" t="s">
        <v>153</v>
      </c>
      <c r="AN34" s="358">
        <v>3</v>
      </c>
      <c r="AO34" s="358">
        <v>3</v>
      </c>
      <c r="AP34" s="358">
        <v>3</v>
      </c>
      <c r="AQ34" s="358">
        <v>3</v>
      </c>
    </row>
    <row r="35" spans="1:43">
      <c r="A35" s="135" t="s">
        <v>951</v>
      </c>
      <c r="B35" s="135" t="s">
        <v>1040</v>
      </c>
      <c r="C35" s="135" t="s">
        <v>952</v>
      </c>
      <c r="D35" s="46">
        <v>11134146</v>
      </c>
      <c r="E35" s="20" t="s">
        <v>134</v>
      </c>
      <c r="F35" s="20" t="s">
        <v>135</v>
      </c>
      <c r="G35" s="24">
        <v>15</v>
      </c>
      <c r="H35" s="21">
        <v>46233</v>
      </c>
      <c r="I35" s="53" t="s">
        <v>953</v>
      </c>
      <c r="J35" s="24" t="s">
        <v>1050</v>
      </c>
      <c r="K35" s="24">
        <v>21</v>
      </c>
      <c r="L35" s="46">
        <v>12129994</v>
      </c>
      <c r="M35" s="20" t="s">
        <v>138</v>
      </c>
      <c r="N35" s="38">
        <v>0</v>
      </c>
      <c r="O35" s="38">
        <v>0</v>
      </c>
      <c r="P35" s="20" t="s">
        <v>72</v>
      </c>
      <c r="Q35" s="20">
        <v>0</v>
      </c>
      <c r="R35" s="40">
        <v>46219</v>
      </c>
      <c r="S35" s="38">
        <v>3</v>
      </c>
      <c r="T35" s="38">
        <v>3</v>
      </c>
      <c r="U35" s="40">
        <v>46220</v>
      </c>
      <c r="V35" s="40">
        <v>46220</v>
      </c>
      <c r="W35" s="20" t="s">
        <v>57</v>
      </c>
      <c r="X35" s="21"/>
      <c r="Y35" s="19">
        <f>VLOOKUP(F35,[2]New!$B:$G,3,0)*K35/60</f>
        <v>19.600000000000001</v>
      </c>
      <c r="Z35" s="19">
        <f>VLOOKUP(F35,[2]New!$B:$G,4,0)*K35/60</f>
        <v>81.900000000000006</v>
      </c>
      <c r="AA35" s="19">
        <f>VLOOKUP(F35,[2]New!$B:$G,6,0)*K35/60</f>
        <v>101.15</v>
      </c>
      <c r="AB35" s="44">
        <f>VLOOKUP(A35,'[4]PO CAG (2)'!$A:$L,12,0)</f>
        <v>46268</v>
      </c>
      <c r="AC35" s="22" t="str">
        <f>IFERROR(VLOOKUP(F35,[3]Sheet1!$E:$H,4,0),)</f>
        <v>G</v>
      </c>
      <c r="AD35" s="144">
        <v>15</v>
      </c>
      <c r="AE35" s="25" t="s">
        <v>3023</v>
      </c>
      <c r="AF35" s="135" t="s">
        <v>198</v>
      </c>
      <c r="AG35" s="135"/>
      <c r="AI35" s="23">
        <v>0</v>
      </c>
      <c r="AJ35" s="267" t="s">
        <v>153</v>
      </c>
      <c r="AN35" s="358">
        <v>3</v>
      </c>
      <c r="AO35" s="358">
        <v>3</v>
      </c>
      <c r="AP35" s="358">
        <v>3</v>
      </c>
      <c r="AQ35" s="358">
        <v>3</v>
      </c>
    </row>
    <row r="36" spans="1:43">
      <c r="A36" s="135" t="s">
        <v>954</v>
      </c>
      <c r="B36" s="135" t="s">
        <v>1041</v>
      </c>
      <c r="C36" s="135" t="s">
        <v>955</v>
      </c>
      <c r="D36" s="46">
        <v>11134150</v>
      </c>
      <c r="E36" s="20" t="s">
        <v>164</v>
      </c>
      <c r="F36" s="20" t="s">
        <v>165</v>
      </c>
      <c r="G36" s="24">
        <v>290</v>
      </c>
      <c r="H36" s="21">
        <v>46233</v>
      </c>
      <c r="I36" s="53" t="s">
        <v>956</v>
      </c>
      <c r="J36" s="24" t="s">
        <v>1051</v>
      </c>
      <c r="K36" s="24">
        <v>290</v>
      </c>
      <c r="L36" s="46">
        <v>12129997</v>
      </c>
      <c r="M36" s="20" t="s">
        <v>173</v>
      </c>
      <c r="N36" s="38">
        <v>0</v>
      </c>
      <c r="O36" s="38">
        <v>0</v>
      </c>
      <c r="P36" s="20" t="s">
        <v>72</v>
      </c>
      <c r="Q36" s="20">
        <v>0</v>
      </c>
      <c r="R36" s="40">
        <v>46219</v>
      </c>
      <c r="S36" s="38">
        <v>0</v>
      </c>
      <c r="T36" s="38">
        <v>0</v>
      </c>
      <c r="U36" s="40">
        <v>46220</v>
      </c>
      <c r="V36" s="40">
        <v>46220</v>
      </c>
      <c r="W36" s="20" t="s">
        <v>57</v>
      </c>
      <c r="X36" s="21"/>
      <c r="Y36" s="19">
        <f>VLOOKUP(F36,[2]New!$B:$G,3,0)*K36/60</f>
        <v>270.66666666666669</v>
      </c>
      <c r="Z36" s="19">
        <f>VLOOKUP(F36,[2]New!$B:$G,4,0)*K36/60</f>
        <v>1131</v>
      </c>
      <c r="AA36" s="19">
        <f>VLOOKUP(F36,[2]New!$B:$G,6,0)*K36/60</f>
        <v>1396.8333333333333</v>
      </c>
      <c r="AB36" s="44">
        <f>VLOOKUP(A36,'[4]PO CAG (2)'!$A:$L,12,0)</f>
        <v>46268</v>
      </c>
      <c r="AC36" s="22" t="str">
        <f>IFERROR(VLOOKUP(F36,[3]Sheet1!$E:$H,4,0),)</f>
        <v>G</v>
      </c>
      <c r="AD36" s="144">
        <v>290</v>
      </c>
      <c r="AE36" s="25" t="s">
        <v>3023</v>
      </c>
      <c r="AF36" s="135" t="s">
        <v>198</v>
      </c>
      <c r="AG36" s="135"/>
      <c r="AI36" s="377">
        <v>6</v>
      </c>
      <c r="AJ36" s="267" t="s">
        <v>153</v>
      </c>
      <c r="AN36" s="358">
        <v>3</v>
      </c>
      <c r="AO36" s="358">
        <v>3</v>
      </c>
      <c r="AP36" s="358">
        <v>3</v>
      </c>
      <c r="AQ36" s="358">
        <v>3</v>
      </c>
    </row>
    <row r="37" spans="1:43">
      <c r="A37" s="135" t="s">
        <v>957</v>
      </c>
      <c r="B37" s="135" t="s">
        <v>1042</v>
      </c>
      <c r="C37" s="135" t="s">
        <v>958</v>
      </c>
      <c r="D37" s="46">
        <v>11134148</v>
      </c>
      <c r="E37" s="20" t="s">
        <v>136</v>
      </c>
      <c r="F37" s="20" t="s">
        <v>69</v>
      </c>
      <c r="G37" s="24">
        <v>400</v>
      </c>
      <c r="H37" s="21">
        <v>46233</v>
      </c>
      <c r="I37" s="53" t="s">
        <v>959</v>
      </c>
      <c r="J37" s="24" t="s">
        <v>1052</v>
      </c>
      <c r="K37" s="24">
        <v>400</v>
      </c>
      <c r="L37" s="46">
        <v>12129995</v>
      </c>
      <c r="M37" s="20" t="s">
        <v>74</v>
      </c>
      <c r="N37" s="38">
        <v>0</v>
      </c>
      <c r="O37" s="38">
        <v>0</v>
      </c>
      <c r="P37" s="20" t="s">
        <v>72</v>
      </c>
      <c r="Q37" s="20">
        <v>0</v>
      </c>
      <c r="R37" s="40">
        <v>46219</v>
      </c>
      <c r="S37" s="38">
        <v>0</v>
      </c>
      <c r="T37" s="38">
        <v>0</v>
      </c>
      <c r="U37" s="40">
        <v>46220</v>
      </c>
      <c r="V37" s="40">
        <v>46220</v>
      </c>
      <c r="W37" s="20" t="s">
        <v>57</v>
      </c>
      <c r="X37" s="21"/>
      <c r="Y37" s="19">
        <f>VLOOKUP(F37,[2]New!$B:$G,3,0)*K37/60</f>
        <v>373.33333333333331</v>
      </c>
      <c r="Z37" s="19">
        <f>VLOOKUP(F37,[2]New!$B:$G,4,0)*K37/60</f>
        <v>1560</v>
      </c>
      <c r="AA37" s="19">
        <f>VLOOKUP(F37,[2]New!$B:$G,6,0)*K37/60</f>
        <v>1926.6666666666667</v>
      </c>
      <c r="AB37" s="44">
        <f>VLOOKUP(A37,'[4]PO CAG (2)'!$A:$L,12,0)</f>
        <v>46268</v>
      </c>
      <c r="AC37" s="22" t="str">
        <f>IFERROR(VLOOKUP(F37,[3]Sheet1!$E:$H,4,0),)</f>
        <v>G</v>
      </c>
      <c r="AD37" s="144">
        <v>400</v>
      </c>
      <c r="AE37" s="25" t="s">
        <v>3023</v>
      </c>
      <c r="AF37" s="135" t="s">
        <v>198</v>
      </c>
      <c r="AG37" s="135"/>
      <c r="AI37" s="377">
        <v>0</v>
      </c>
      <c r="AJ37" s="267" t="s">
        <v>153</v>
      </c>
      <c r="AN37" s="358">
        <v>3</v>
      </c>
      <c r="AO37" s="358">
        <v>3</v>
      </c>
      <c r="AP37" s="358">
        <v>3</v>
      </c>
      <c r="AQ37" s="358">
        <v>3</v>
      </c>
    </row>
    <row r="38" spans="1:43">
      <c r="A38" s="135" t="s">
        <v>960</v>
      </c>
      <c r="B38" s="135" t="s">
        <v>1043</v>
      </c>
      <c r="C38" s="135" t="s">
        <v>961</v>
      </c>
      <c r="D38" s="46">
        <v>11134129</v>
      </c>
      <c r="E38" s="20" t="s">
        <v>132</v>
      </c>
      <c r="F38" s="20" t="s">
        <v>133</v>
      </c>
      <c r="G38" s="24">
        <v>40</v>
      </c>
      <c r="H38" s="21">
        <v>46233</v>
      </c>
      <c r="I38" s="53" t="s">
        <v>962</v>
      </c>
      <c r="J38" s="24" t="s">
        <v>1053</v>
      </c>
      <c r="K38" s="24">
        <v>40</v>
      </c>
      <c r="L38" s="46">
        <v>12129985</v>
      </c>
      <c r="M38" s="20" t="s">
        <v>137</v>
      </c>
      <c r="N38" s="38">
        <v>0</v>
      </c>
      <c r="O38" s="38">
        <v>0</v>
      </c>
      <c r="P38" s="20" t="s">
        <v>72</v>
      </c>
      <c r="Q38" s="20">
        <v>0</v>
      </c>
      <c r="R38" s="40">
        <v>46219</v>
      </c>
      <c r="S38" s="38">
        <v>0</v>
      </c>
      <c r="T38" s="38">
        <v>0</v>
      </c>
      <c r="U38" s="40">
        <v>46220</v>
      </c>
      <c r="V38" s="40">
        <v>46220</v>
      </c>
      <c r="W38" s="20" t="s">
        <v>58</v>
      </c>
      <c r="X38" s="21"/>
      <c r="Y38" s="19">
        <f>VLOOKUP(F38,[2]New!$B:$G,3,0)*K38/60</f>
        <v>37.333333333333336</v>
      </c>
      <c r="Z38" s="19">
        <f>VLOOKUP(F38,[2]New!$B:$G,4,0)*K38/60</f>
        <v>156</v>
      </c>
      <c r="AA38" s="19">
        <f>VLOOKUP(F38,[2]New!$B:$G,6,0)*K38/60</f>
        <v>192.66666666666666</v>
      </c>
      <c r="AB38" s="44">
        <f>VLOOKUP(A38,'[4]PO CAG (2)'!$A:$L,12,0)</f>
        <v>46268</v>
      </c>
      <c r="AC38" s="22" t="str">
        <f>IFERROR(VLOOKUP(F38,[3]Sheet1!$E:$H,4,0),)</f>
        <v>G</v>
      </c>
      <c r="AD38" s="144">
        <v>40</v>
      </c>
      <c r="AE38" s="25" t="s">
        <v>3023</v>
      </c>
      <c r="AF38" s="135" t="s">
        <v>198</v>
      </c>
      <c r="AG38" s="135"/>
      <c r="AI38" s="23">
        <v>0</v>
      </c>
      <c r="AJ38" s="267" t="s">
        <v>188</v>
      </c>
      <c r="AN38" s="358">
        <v>3</v>
      </c>
      <c r="AO38" s="358">
        <v>3</v>
      </c>
      <c r="AP38" s="358">
        <v>3</v>
      </c>
      <c r="AQ38" s="358">
        <v>3</v>
      </c>
    </row>
    <row r="39" spans="1:43">
      <c r="A39" s="135" t="s">
        <v>963</v>
      </c>
      <c r="B39" s="135" t="s">
        <v>1044</v>
      </c>
      <c r="C39" s="135" t="s">
        <v>964</v>
      </c>
      <c r="D39" s="46">
        <v>11134131</v>
      </c>
      <c r="E39" s="20" t="s">
        <v>143</v>
      </c>
      <c r="F39" s="20" t="s">
        <v>144</v>
      </c>
      <c r="G39" s="24">
        <v>96</v>
      </c>
      <c r="H39" s="21">
        <v>46233</v>
      </c>
      <c r="I39" s="53" t="s">
        <v>965</v>
      </c>
      <c r="J39" s="24" t="s">
        <v>1054</v>
      </c>
      <c r="K39" s="24">
        <v>96</v>
      </c>
      <c r="L39" s="46">
        <v>12129987</v>
      </c>
      <c r="M39" s="20" t="s">
        <v>149</v>
      </c>
      <c r="N39" s="38">
        <v>0</v>
      </c>
      <c r="O39" s="38">
        <v>0</v>
      </c>
      <c r="P39" s="20" t="s">
        <v>72</v>
      </c>
      <c r="Q39" s="20">
        <v>0</v>
      </c>
      <c r="R39" s="40">
        <v>46219</v>
      </c>
      <c r="S39" s="38">
        <v>0</v>
      </c>
      <c r="T39" s="38">
        <v>0</v>
      </c>
      <c r="U39" s="40">
        <v>46220</v>
      </c>
      <c r="V39" s="40">
        <v>46220</v>
      </c>
      <c r="W39" s="20" t="s">
        <v>58</v>
      </c>
      <c r="X39" s="21"/>
      <c r="Y39" s="19">
        <f>VLOOKUP(F39,[2]New!$B:$G,3,0)*K39/60</f>
        <v>89.6</v>
      </c>
      <c r="Z39" s="19">
        <f>VLOOKUP(F39,[2]New!$B:$G,4,0)*K39/60</f>
        <v>374.4</v>
      </c>
      <c r="AA39" s="19">
        <f>VLOOKUP(F39,[2]New!$B:$G,6,0)*K39/60</f>
        <v>462.4</v>
      </c>
      <c r="AB39" s="44">
        <f>VLOOKUP(A39,'[4]PO CAG (2)'!$A:$L,12,0)</f>
        <v>46268</v>
      </c>
      <c r="AC39" s="22" t="str">
        <f>IFERROR(VLOOKUP(F39,[3]Sheet1!$E:$H,4,0),)</f>
        <v>G</v>
      </c>
      <c r="AD39" s="144">
        <v>96</v>
      </c>
      <c r="AE39" s="25" t="s">
        <v>3023</v>
      </c>
      <c r="AF39" s="135" t="s">
        <v>198</v>
      </c>
      <c r="AG39" s="135"/>
      <c r="AI39" s="23">
        <v>0</v>
      </c>
      <c r="AJ39" s="267" t="s">
        <v>188</v>
      </c>
      <c r="AN39" s="358">
        <v>3</v>
      </c>
      <c r="AO39" s="358">
        <v>3</v>
      </c>
      <c r="AP39" s="358">
        <v>3</v>
      </c>
      <c r="AQ39" s="358">
        <v>3</v>
      </c>
    </row>
    <row r="40" spans="1:43">
      <c r="A40" s="135" t="s">
        <v>966</v>
      </c>
      <c r="B40" s="135" t="s">
        <v>1045</v>
      </c>
      <c r="C40" s="135" t="s">
        <v>967</v>
      </c>
      <c r="D40" s="46">
        <v>11134120</v>
      </c>
      <c r="E40" s="20" t="s">
        <v>145</v>
      </c>
      <c r="F40" s="20" t="s">
        <v>146</v>
      </c>
      <c r="G40" s="24">
        <v>380</v>
      </c>
      <c r="H40" s="21">
        <v>46233</v>
      </c>
      <c r="I40" s="53" t="s">
        <v>968</v>
      </c>
      <c r="J40" s="24" t="s">
        <v>1055</v>
      </c>
      <c r="K40" s="24">
        <v>380</v>
      </c>
      <c r="L40" s="46">
        <v>12129990</v>
      </c>
      <c r="M40" s="20" t="s">
        <v>150</v>
      </c>
      <c r="N40" s="38">
        <v>0</v>
      </c>
      <c r="O40" s="38">
        <v>0</v>
      </c>
      <c r="P40" s="20" t="s">
        <v>72</v>
      </c>
      <c r="Q40" s="20">
        <v>0</v>
      </c>
      <c r="R40" s="40">
        <v>46219</v>
      </c>
      <c r="S40" s="38">
        <v>0</v>
      </c>
      <c r="T40" s="38">
        <v>0</v>
      </c>
      <c r="U40" s="40">
        <v>46220</v>
      </c>
      <c r="V40" s="40">
        <v>46220</v>
      </c>
      <c r="W40" s="20" t="s">
        <v>58</v>
      </c>
      <c r="X40" s="21"/>
      <c r="Y40" s="19">
        <f>VLOOKUP(F40,[2]New!$B:$G,3,0)*K40/60</f>
        <v>354.66666666666669</v>
      </c>
      <c r="Z40" s="19">
        <f>VLOOKUP(F40,[2]New!$B:$G,4,0)*K40/60</f>
        <v>1482</v>
      </c>
      <c r="AA40" s="19">
        <f>VLOOKUP(F40,[2]New!$B:$G,6,0)*K40/60</f>
        <v>1830.3333333333333</v>
      </c>
      <c r="AB40" s="44">
        <f>VLOOKUP(A40,'[4]PO CAG (2)'!$A:$L,12,0)</f>
        <v>46268</v>
      </c>
      <c r="AC40" s="22" t="str">
        <f>IFERROR(VLOOKUP(F40,[3]Sheet1!$E:$H,4,0),)</f>
        <v>G</v>
      </c>
      <c r="AD40" s="144">
        <v>380</v>
      </c>
      <c r="AE40" s="25" t="s">
        <v>3023</v>
      </c>
      <c r="AF40" s="135" t="s">
        <v>198</v>
      </c>
      <c r="AG40" s="135"/>
      <c r="AI40" s="23">
        <v>0</v>
      </c>
      <c r="AJ40" s="267" t="s">
        <v>188</v>
      </c>
      <c r="AN40" s="358">
        <v>3</v>
      </c>
      <c r="AO40" s="358">
        <v>3</v>
      </c>
      <c r="AP40" s="358">
        <v>3</v>
      </c>
      <c r="AQ40" s="358">
        <v>3</v>
      </c>
    </row>
    <row r="41" spans="1:43">
      <c r="A41" s="135" t="s">
        <v>969</v>
      </c>
      <c r="B41" s="135" t="s">
        <v>1046</v>
      </c>
      <c r="C41" s="135" t="s">
        <v>970</v>
      </c>
      <c r="D41" s="46">
        <v>11134117</v>
      </c>
      <c r="E41" s="20" t="s">
        <v>140</v>
      </c>
      <c r="F41" s="20" t="s">
        <v>141</v>
      </c>
      <c r="G41" s="24">
        <v>324</v>
      </c>
      <c r="H41" s="21">
        <v>46233</v>
      </c>
      <c r="I41" s="53" t="s">
        <v>971</v>
      </c>
      <c r="J41" s="24" t="s">
        <v>1056</v>
      </c>
      <c r="K41" s="24">
        <v>324</v>
      </c>
      <c r="L41" s="46">
        <v>12129989</v>
      </c>
      <c r="M41" s="20" t="s">
        <v>142</v>
      </c>
      <c r="N41" s="38">
        <v>0</v>
      </c>
      <c r="O41" s="38">
        <v>0</v>
      </c>
      <c r="P41" s="20" t="s">
        <v>72</v>
      </c>
      <c r="Q41" s="20">
        <v>0</v>
      </c>
      <c r="R41" s="40">
        <v>46219</v>
      </c>
      <c r="S41" s="38">
        <v>0</v>
      </c>
      <c r="T41" s="38">
        <v>0</v>
      </c>
      <c r="U41" s="40">
        <v>46220</v>
      </c>
      <c r="V41" s="40">
        <v>46220</v>
      </c>
      <c r="W41" s="20" t="s">
        <v>58</v>
      </c>
      <c r="X41" s="21"/>
      <c r="Y41" s="19">
        <f>VLOOKUP(F41,[2]New!$B:$G,3,0)*K41/60</f>
        <v>302.39999999999998</v>
      </c>
      <c r="Z41" s="19">
        <f>VLOOKUP(F41,[2]New!$B:$G,4,0)*K41/60</f>
        <v>1263.5999999999999</v>
      </c>
      <c r="AA41" s="19">
        <f>VLOOKUP(F41,[2]New!$B:$G,6,0)*K41/60</f>
        <v>1560.6</v>
      </c>
      <c r="AB41" s="44">
        <f>VLOOKUP(A41,'[4]PO CAG (2)'!$A:$L,12,0)</f>
        <v>46268</v>
      </c>
      <c r="AC41" s="22" t="str">
        <f>IFERROR(VLOOKUP(F41,[3]Sheet1!$E:$H,4,0),)</f>
        <v>G</v>
      </c>
      <c r="AD41" s="144">
        <v>324</v>
      </c>
      <c r="AE41" s="25" t="s">
        <v>3023</v>
      </c>
      <c r="AF41" s="135" t="s">
        <v>198</v>
      </c>
      <c r="AG41" s="135"/>
      <c r="AI41" s="23">
        <v>0</v>
      </c>
      <c r="AJ41" s="267" t="s">
        <v>188</v>
      </c>
      <c r="AN41" s="358">
        <v>3</v>
      </c>
      <c r="AO41" s="358">
        <v>3</v>
      </c>
      <c r="AP41" s="358">
        <v>3</v>
      </c>
      <c r="AQ41" s="358">
        <v>3</v>
      </c>
    </row>
    <row r="42" spans="1:43">
      <c r="A42" s="135" t="s">
        <v>631</v>
      </c>
      <c r="B42" s="135" t="s">
        <v>1047</v>
      </c>
      <c r="C42" s="135" t="s">
        <v>1034</v>
      </c>
      <c r="D42" s="46">
        <v>11134148</v>
      </c>
      <c r="E42" s="20" t="s">
        <v>136</v>
      </c>
      <c r="F42" s="20" t="s">
        <v>69</v>
      </c>
      <c r="G42" s="24">
        <v>480</v>
      </c>
      <c r="H42" s="21">
        <v>46234</v>
      </c>
      <c r="I42" s="53" t="s">
        <v>1035</v>
      </c>
      <c r="J42" s="24" t="s">
        <v>1036</v>
      </c>
      <c r="K42" s="24">
        <v>486</v>
      </c>
      <c r="L42" s="46">
        <v>12129995</v>
      </c>
      <c r="M42" s="20" t="s">
        <v>74</v>
      </c>
      <c r="N42" s="38">
        <v>0</v>
      </c>
      <c r="O42" s="38">
        <v>0</v>
      </c>
      <c r="P42" s="20" t="s">
        <v>72</v>
      </c>
      <c r="Q42" s="20">
        <v>0</v>
      </c>
      <c r="R42" s="40">
        <v>46220</v>
      </c>
      <c r="S42" s="38">
        <v>3</v>
      </c>
      <c r="T42" s="38">
        <v>3</v>
      </c>
      <c r="U42" s="40">
        <v>46221</v>
      </c>
      <c r="V42" s="40">
        <v>46221</v>
      </c>
      <c r="W42" s="20" t="s">
        <v>58</v>
      </c>
      <c r="X42" s="21"/>
      <c r="Y42" s="19">
        <f>VLOOKUP(F42,[2]New!$B:$G,3,0)*K42/60</f>
        <v>453.6</v>
      </c>
      <c r="Z42" s="19">
        <f>VLOOKUP(F42,[2]New!$B:$G,4,0)*K42/60</f>
        <v>1895.4</v>
      </c>
      <c r="AA42" s="19">
        <f>VLOOKUP(F42,[2]New!$B:$G,6,0)*K42/60</f>
        <v>2340.9</v>
      </c>
      <c r="AB42" s="44">
        <f>VLOOKUP(A42,'[4]PO CAG (2)'!$A:$L,12,0)</f>
        <v>46268</v>
      </c>
      <c r="AC42" s="22" t="str">
        <f>IFERROR(VLOOKUP(F42,[3]Sheet1!$E:$H,4,0),)</f>
        <v>G</v>
      </c>
      <c r="AD42" s="144">
        <v>480</v>
      </c>
      <c r="AE42" s="25" t="s">
        <v>3023</v>
      </c>
      <c r="AF42" s="135" t="s">
        <v>198</v>
      </c>
      <c r="AG42" s="135"/>
      <c r="AH42" s="242" t="s">
        <v>383</v>
      </c>
      <c r="AI42" s="23">
        <v>0</v>
      </c>
      <c r="AJ42" s="267" t="s">
        <v>188</v>
      </c>
      <c r="AN42" s="358">
        <v>3</v>
      </c>
      <c r="AO42" s="358">
        <v>3</v>
      </c>
      <c r="AP42" s="358">
        <v>3</v>
      </c>
      <c r="AQ42" s="358">
        <v>3</v>
      </c>
    </row>
    <row r="43" spans="1:43">
      <c r="A43" s="135" t="s">
        <v>382</v>
      </c>
      <c r="B43" s="135" t="s">
        <v>1096</v>
      </c>
      <c r="C43" s="344" t="s">
        <v>1094</v>
      </c>
      <c r="D43" s="46">
        <v>11134148</v>
      </c>
      <c r="E43" s="20" t="s">
        <v>136</v>
      </c>
      <c r="F43" s="20" t="s">
        <v>69</v>
      </c>
      <c r="G43" s="24">
        <v>1</v>
      </c>
      <c r="H43" s="21">
        <v>46234</v>
      </c>
      <c r="I43" s="53" t="s">
        <v>1095</v>
      </c>
      <c r="J43" s="24" t="s">
        <v>1093</v>
      </c>
      <c r="K43" s="24">
        <v>1</v>
      </c>
      <c r="L43" s="46">
        <v>12129995</v>
      </c>
      <c r="M43" s="20" t="s">
        <v>74</v>
      </c>
      <c r="N43" s="38">
        <v>0</v>
      </c>
      <c r="O43" s="38">
        <v>0</v>
      </c>
      <c r="P43" s="20" t="s">
        <v>72</v>
      </c>
      <c r="Q43" s="20">
        <v>0</v>
      </c>
      <c r="R43" s="40">
        <v>46220</v>
      </c>
      <c r="S43" s="38">
        <v>0</v>
      </c>
      <c r="T43" s="38">
        <v>0</v>
      </c>
      <c r="U43" s="40">
        <v>46221</v>
      </c>
      <c r="V43" s="40">
        <v>46221</v>
      </c>
      <c r="W43" s="20" t="s">
        <v>58</v>
      </c>
      <c r="X43" s="21"/>
      <c r="Y43" s="19">
        <f>VLOOKUP(F43,[2]New!$B:$G,3,0)*K43/60</f>
        <v>0.93333333333333335</v>
      </c>
      <c r="Z43" s="19">
        <f>VLOOKUP(F43,[2]New!$B:$G,4,0)*K43/60</f>
        <v>3.9</v>
      </c>
      <c r="AA43" s="19">
        <f>VLOOKUP(F43,[2]New!$B:$G,6,0)*K43/60</f>
        <v>4.8166666666666664</v>
      </c>
      <c r="AB43" s="325">
        <v>46268</v>
      </c>
      <c r="AC43" s="22" t="str">
        <f>IFERROR(VLOOKUP(F43,[3]Sheet1!$E:$H,4,0),)</f>
        <v>G</v>
      </c>
      <c r="AD43" s="144">
        <v>1</v>
      </c>
      <c r="AE43" s="25" t="s">
        <v>3023</v>
      </c>
      <c r="AF43" s="135" t="s">
        <v>368</v>
      </c>
      <c r="AG43" s="135"/>
      <c r="AH43" s="242" t="s">
        <v>383</v>
      </c>
      <c r="AI43" s="23">
        <v>0</v>
      </c>
      <c r="AJ43" s="267" t="s">
        <v>369</v>
      </c>
      <c r="AN43" s="358">
        <v>3</v>
      </c>
      <c r="AO43" s="358">
        <v>3</v>
      </c>
      <c r="AP43" s="358">
        <v>3</v>
      </c>
      <c r="AQ43" s="358">
        <v>3</v>
      </c>
    </row>
    <row r="44" spans="1:43">
      <c r="A44" s="135" t="s">
        <v>951</v>
      </c>
      <c r="B44" s="135" t="s">
        <v>1186</v>
      </c>
      <c r="C44" s="135" t="s">
        <v>1130</v>
      </c>
      <c r="D44" s="46">
        <v>11134146</v>
      </c>
      <c r="E44" s="20" t="s">
        <v>134</v>
      </c>
      <c r="F44" s="20" t="s">
        <v>135</v>
      </c>
      <c r="G44" s="24">
        <v>720</v>
      </c>
      <c r="H44" s="21">
        <v>46237</v>
      </c>
      <c r="I44" s="53" t="s">
        <v>1131</v>
      </c>
      <c r="J44" s="24" t="s">
        <v>1132</v>
      </c>
      <c r="K44" s="24">
        <v>720</v>
      </c>
      <c r="L44" s="46">
        <v>12129994</v>
      </c>
      <c r="M44" s="20" t="s">
        <v>138</v>
      </c>
      <c r="N44" s="38">
        <v>0</v>
      </c>
      <c r="O44" s="38">
        <v>0</v>
      </c>
      <c r="P44" s="20" t="s">
        <v>72</v>
      </c>
      <c r="Q44" s="20">
        <v>0</v>
      </c>
      <c r="R44" s="40">
        <v>46221</v>
      </c>
      <c r="S44" s="366">
        <v>0</v>
      </c>
      <c r="T44" s="366">
        <v>0</v>
      </c>
      <c r="U44" s="40">
        <v>46223</v>
      </c>
      <c r="V44" s="40">
        <v>46223</v>
      </c>
      <c r="W44" s="20" t="s">
        <v>58</v>
      </c>
      <c r="X44" s="21"/>
      <c r="Y44" s="19">
        <f>VLOOKUP(F44,[2]New!$B:$G,3,0)*K44/60</f>
        <v>672</v>
      </c>
      <c r="Z44" s="19">
        <f>VLOOKUP(F44,[2]New!$B:$G,4,0)*K44/60</f>
        <v>2808</v>
      </c>
      <c r="AA44" s="19">
        <f>VLOOKUP(F44,[2]New!$B:$G,6,0)*K44/60</f>
        <v>3468</v>
      </c>
      <c r="AB44" s="44">
        <f>VLOOKUP(A44,'[4]PO CAG (2)'!$A:$L,12,0)</f>
        <v>46268</v>
      </c>
      <c r="AC44" s="22" t="str">
        <f>IFERROR(VLOOKUP(F44,[3]Sheet1!$E:$H,4,0),)</f>
        <v>G</v>
      </c>
      <c r="AD44" s="144">
        <v>720</v>
      </c>
      <c r="AE44" s="25" t="s">
        <v>3023</v>
      </c>
      <c r="AF44" s="135" t="s">
        <v>198</v>
      </c>
      <c r="AG44" s="135"/>
      <c r="AH44" s="242" t="s">
        <v>383</v>
      </c>
      <c r="AI44" s="23">
        <v>0</v>
      </c>
      <c r="AJ44" s="267" t="s">
        <v>188</v>
      </c>
      <c r="AN44" s="278">
        <v>3</v>
      </c>
      <c r="AO44" s="278">
        <v>3</v>
      </c>
      <c r="AP44" s="278">
        <v>3</v>
      </c>
      <c r="AQ44" s="278">
        <v>3</v>
      </c>
    </row>
    <row r="45" spans="1:43">
      <c r="A45" s="135" t="s">
        <v>549</v>
      </c>
      <c r="B45" s="135" t="s">
        <v>1187</v>
      </c>
      <c r="C45" s="135" t="s">
        <v>1166</v>
      </c>
      <c r="D45" s="46">
        <v>11134125</v>
      </c>
      <c r="E45" s="20" t="s">
        <v>139</v>
      </c>
      <c r="F45" s="20" t="s">
        <v>70</v>
      </c>
      <c r="G45" s="24">
        <v>420</v>
      </c>
      <c r="H45" s="21">
        <v>46238</v>
      </c>
      <c r="I45" s="53" t="s">
        <v>1167</v>
      </c>
      <c r="J45" s="24" t="s">
        <v>1168</v>
      </c>
      <c r="K45" s="24">
        <v>420</v>
      </c>
      <c r="L45" s="46">
        <v>12129992</v>
      </c>
      <c r="M45" s="20" t="s">
        <v>75</v>
      </c>
      <c r="N45" s="38">
        <v>0</v>
      </c>
      <c r="O45" s="38">
        <v>0</v>
      </c>
      <c r="P45" s="20" t="s">
        <v>72</v>
      </c>
      <c r="Q45" s="20">
        <v>0</v>
      </c>
      <c r="R45" s="40">
        <v>46223</v>
      </c>
      <c r="S45" s="38">
        <v>0</v>
      </c>
      <c r="T45" s="38">
        <v>0</v>
      </c>
      <c r="U45" s="40">
        <v>46224</v>
      </c>
      <c r="V45" s="40">
        <v>46224</v>
      </c>
      <c r="W45" s="20" t="s">
        <v>57</v>
      </c>
      <c r="X45" s="21"/>
      <c r="Y45" s="19">
        <f>VLOOKUP(F45,[2]New!$B:$G,3,0)*K45/60</f>
        <v>392</v>
      </c>
      <c r="Z45" s="19">
        <f>VLOOKUP(F45,[2]New!$B:$G,4,0)*K45/60</f>
        <v>1638</v>
      </c>
      <c r="AA45" s="19">
        <f>VLOOKUP(F45,[2]New!$B:$G,6,0)*K45/60</f>
        <v>2023</v>
      </c>
      <c r="AB45" s="44">
        <f>VLOOKUP(A45,'[4]PO CAG (2)'!$A:$L,12,0)</f>
        <v>46268</v>
      </c>
      <c r="AC45" s="22" t="str">
        <f>IFERROR(VLOOKUP(F45,[3]Sheet1!$E:$H,4,0),)</f>
        <v>G</v>
      </c>
      <c r="AD45" s="144">
        <v>420</v>
      </c>
      <c r="AE45" s="25" t="s">
        <v>3023</v>
      </c>
      <c r="AF45" s="135" t="s">
        <v>198</v>
      </c>
      <c r="AG45" s="135"/>
      <c r="AH45" s="242" t="s">
        <v>1259</v>
      </c>
      <c r="AI45" s="23">
        <v>0</v>
      </c>
      <c r="AJ45" s="267" t="s">
        <v>189</v>
      </c>
      <c r="AN45" s="278">
        <v>3</v>
      </c>
      <c r="AO45" s="278">
        <v>3</v>
      </c>
      <c r="AP45" s="278">
        <v>3</v>
      </c>
      <c r="AQ45" s="278">
        <v>3</v>
      </c>
    </row>
    <row r="46" spans="1:43">
      <c r="A46" s="135" t="s">
        <v>631</v>
      </c>
      <c r="B46" s="135" t="s">
        <v>1188</v>
      </c>
      <c r="C46" s="135" t="s">
        <v>1169</v>
      </c>
      <c r="D46" s="46">
        <v>11134148</v>
      </c>
      <c r="E46" s="20" t="s">
        <v>136</v>
      </c>
      <c r="F46" s="20" t="s">
        <v>69</v>
      </c>
      <c r="G46" s="24">
        <v>720</v>
      </c>
      <c r="H46" s="21">
        <v>46238</v>
      </c>
      <c r="I46" s="53" t="s">
        <v>1170</v>
      </c>
      <c r="J46" s="24" t="s">
        <v>1171</v>
      </c>
      <c r="K46" s="24">
        <v>726</v>
      </c>
      <c r="L46" s="46">
        <v>12129995</v>
      </c>
      <c r="M46" s="20" t="s">
        <v>74</v>
      </c>
      <c r="N46" s="38">
        <v>0</v>
      </c>
      <c r="O46" s="38">
        <v>0</v>
      </c>
      <c r="P46" s="20" t="s">
        <v>72</v>
      </c>
      <c r="Q46" s="20">
        <v>0</v>
      </c>
      <c r="R46" s="40">
        <v>46223</v>
      </c>
      <c r="S46" s="38">
        <v>3</v>
      </c>
      <c r="T46" s="38">
        <v>3</v>
      </c>
      <c r="U46" s="40">
        <v>46224</v>
      </c>
      <c r="V46" s="40">
        <v>46224</v>
      </c>
      <c r="W46" s="20" t="s">
        <v>58</v>
      </c>
      <c r="X46" s="21"/>
      <c r="Y46" s="19">
        <f>VLOOKUP(F46,[2]New!$B:$G,3,0)*K46/60</f>
        <v>677.6</v>
      </c>
      <c r="Z46" s="19">
        <f>VLOOKUP(F46,[2]New!$B:$G,4,0)*K46/60</f>
        <v>2831.4</v>
      </c>
      <c r="AA46" s="19">
        <f>VLOOKUP(F46,[2]New!$B:$G,6,0)*K46/60</f>
        <v>3496.9</v>
      </c>
      <c r="AB46" s="44">
        <f>VLOOKUP(A46,'[4]PO CAG (2)'!$A:$L,12,0)</f>
        <v>46268</v>
      </c>
      <c r="AC46" s="22" t="str">
        <f>IFERROR(VLOOKUP(F46,[3]Sheet1!$E:$H,4,0),)</f>
        <v>G</v>
      </c>
      <c r="AD46" s="144">
        <v>720</v>
      </c>
      <c r="AE46" s="25" t="s">
        <v>3023</v>
      </c>
      <c r="AF46" s="135" t="s">
        <v>198</v>
      </c>
      <c r="AG46" s="135"/>
      <c r="AH46" s="242" t="s">
        <v>383</v>
      </c>
      <c r="AI46" s="23">
        <v>6</v>
      </c>
      <c r="AJ46" s="267" t="s">
        <v>188</v>
      </c>
      <c r="AN46" s="278">
        <v>3</v>
      </c>
      <c r="AO46" s="278">
        <v>3</v>
      </c>
      <c r="AP46" s="278">
        <v>3</v>
      </c>
      <c r="AQ46" s="278">
        <v>3</v>
      </c>
    </row>
    <row r="47" spans="1:43">
      <c r="A47" s="135" t="s">
        <v>1178</v>
      </c>
      <c r="B47" s="135" t="s">
        <v>1189</v>
      </c>
      <c r="C47" s="135" t="s">
        <v>1179</v>
      </c>
      <c r="D47" s="46">
        <v>11134247</v>
      </c>
      <c r="E47" s="20" t="s">
        <v>177</v>
      </c>
      <c r="F47" s="20" t="s">
        <v>178</v>
      </c>
      <c r="G47" s="24">
        <v>20</v>
      </c>
      <c r="H47" s="21">
        <v>46238</v>
      </c>
      <c r="I47" s="53" t="s">
        <v>1180</v>
      </c>
      <c r="J47" s="24" t="s">
        <v>1181</v>
      </c>
      <c r="K47" s="24">
        <v>20</v>
      </c>
      <c r="L47" s="46">
        <v>12129253</v>
      </c>
      <c r="M47" s="20" t="s">
        <v>184</v>
      </c>
      <c r="N47" s="38">
        <v>0</v>
      </c>
      <c r="O47" s="38">
        <v>0</v>
      </c>
      <c r="P47" s="20" t="s">
        <v>72</v>
      </c>
      <c r="Q47" s="20">
        <v>0</v>
      </c>
      <c r="R47" s="40">
        <v>46223</v>
      </c>
      <c r="S47" s="38">
        <v>0</v>
      </c>
      <c r="T47" s="38">
        <v>0</v>
      </c>
      <c r="U47" s="40">
        <v>46224</v>
      </c>
      <c r="V47" s="40">
        <v>46224</v>
      </c>
      <c r="W47" s="20" t="s">
        <v>54</v>
      </c>
      <c r="X47" s="21"/>
      <c r="Y47" s="19">
        <f>VLOOKUP(F47,[2]New!$B:$G,3,0)*K47/60</f>
        <v>18</v>
      </c>
      <c r="Z47" s="19">
        <f>VLOOKUP(F47,[2]New!$B:$G,4,0)*K47/60</f>
        <v>45</v>
      </c>
      <c r="AA47" s="19">
        <f>VLOOKUP(F47,[2]New!$B:$G,6,0)*K47/60</f>
        <v>44.733333333333334</v>
      </c>
      <c r="AB47" s="44">
        <f>VLOOKUP(A47,'[4]PO CAG (2)'!$A:$L,12,0)</f>
        <v>46268</v>
      </c>
      <c r="AC47" s="22" t="str">
        <f>IFERROR(VLOOKUP(F47,[3]Sheet1!$E:$H,4,0),)</f>
        <v>H</v>
      </c>
      <c r="AD47" s="144">
        <v>20</v>
      </c>
      <c r="AE47" s="25" t="s">
        <v>3023</v>
      </c>
      <c r="AF47" s="135" t="s">
        <v>198</v>
      </c>
      <c r="AG47" s="135"/>
      <c r="AH47" s="242" t="e">
        <v>#N/A</v>
      </c>
      <c r="AI47" s="23">
        <v>0</v>
      </c>
      <c r="AJ47" s="267" t="s">
        <v>444</v>
      </c>
      <c r="AN47" s="278">
        <v>3</v>
      </c>
      <c r="AO47" s="278">
        <v>3</v>
      </c>
      <c r="AP47" s="278">
        <v>3</v>
      </c>
      <c r="AQ47" s="278">
        <v>3</v>
      </c>
    </row>
    <row r="48" spans="1:43">
      <c r="A48" s="135" t="s">
        <v>1182</v>
      </c>
      <c r="B48" s="135" t="s">
        <v>1190</v>
      </c>
      <c r="C48" s="135" t="s">
        <v>1183</v>
      </c>
      <c r="D48" s="46">
        <v>11134246</v>
      </c>
      <c r="E48" s="20" t="s">
        <v>175</v>
      </c>
      <c r="F48" s="20" t="s">
        <v>176</v>
      </c>
      <c r="G48" s="24">
        <v>1491</v>
      </c>
      <c r="H48" s="21">
        <v>46238</v>
      </c>
      <c r="I48" s="53" t="s">
        <v>1184</v>
      </c>
      <c r="J48" s="24" t="s">
        <v>1185</v>
      </c>
      <c r="K48" s="24">
        <v>1497</v>
      </c>
      <c r="L48" s="46">
        <v>12129252</v>
      </c>
      <c r="M48" s="20" t="s">
        <v>183</v>
      </c>
      <c r="N48" s="38">
        <v>0</v>
      </c>
      <c r="O48" s="38">
        <v>0</v>
      </c>
      <c r="P48" s="20" t="s">
        <v>72</v>
      </c>
      <c r="Q48" s="20">
        <v>0</v>
      </c>
      <c r="R48" s="40">
        <v>46223</v>
      </c>
      <c r="S48" s="38">
        <v>3</v>
      </c>
      <c r="T48" s="38">
        <v>3</v>
      </c>
      <c r="U48" s="40">
        <v>46224</v>
      </c>
      <c r="V48" s="40">
        <v>46224</v>
      </c>
      <c r="W48" s="20" t="s">
        <v>54</v>
      </c>
      <c r="X48" s="21"/>
      <c r="Y48" s="19">
        <f>VLOOKUP(F48,[2]New!$B:$G,3,0)*K48/60</f>
        <v>1347.3</v>
      </c>
      <c r="Z48" s="19">
        <f>VLOOKUP(F48,[2]New!$B:$G,4,0)*K48/60</f>
        <v>3368.25</v>
      </c>
      <c r="AA48" s="19">
        <f>VLOOKUP(F48,[2]New!$B:$G,6,0)*K48/60</f>
        <v>3348.29</v>
      </c>
      <c r="AB48" s="44">
        <f>VLOOKUP(A48,'[4]PO CAG (2)'!$A:$L,12,0)</f>
        <v>46268</v>
      </c>
      <c r="AC48" s="22" t="str">
        <f>IFERROR(VLOOKUP(F48,[3]Sheet1!$E:$H,4,0),)</f>
        <v>H</v>
      </c>
      <c r="AD48" s="144">
        <v>1491</v>
      </c>
      <c r="AE48" s="25" t="s">
        <v>3023</v>
      </c>
      <c r="AF48" s="135" t="s">
        <v>198</v>
      </c>
      <c r="AG48" s="135"/>
      <c r="AH48" s="242" t="e">
        <v>#N/A</v>
      </c>
      <c r="AI48" s="23">
        <v>6</v>
      </c>
      <c r="AJ48" s="267" t="s">
        <v>444</v>
      </c>
      <c r="AN48" s="278">
        <v>3</v>
      </c>
      <c r="AO48" s="278">
        <v>3</v>
      </c>
      <c r="AP48" s="278">
        <v>3</v>
      </c>
      <c r="AQ48" s="278">
        <v>3</v>
      </c>
    </row>
    <row r="49" spans="1:43">
      <c r="A49" s="135" t="s">
        <v>1258</v>
      </c>
      <c r="B49" s="135" t="s">
        <v>1256</v>
      </c>
      <c r="C49" s="135">
        <v>2000127255</v>
      </c>
      <c r="D49" s="46">
        <v>11134249</v>
      </c>
      <c r="E49" s="20" t="s">
        <v>181</v>
      </c>
      <c r="F49" s="20" t="s">
        <v>1249</v>
      </c>
      <c r="G49" s="24"/>
      <c r="H49" s="21" t="s">
        <v>1251</v>
      </c>
      <c r="I49" s="53" t="s">
        <v>1252</v>
      </c>
      <c r="J49" s="24" t="s">
        <v>1253</v>
      </c>
      <c r="K49" s="24">
        <v>200</v>
      </c>
      <c r="L49" s="46">
        <v>12139932</v>
      </c>
      <c r="M49" s="20" t="s">
        <v>186</v>
      </c>
      <c r="N49" s="38">
        <v>0</v>
      </c>
      <c r="O49" s="38">
        <v>0</v>
      </c>
      <c r="P49" s="20" t="s">
        <v>92</v>
      </c>
      <c r="Q49" s="20">
        <v>0</v>
      </c>
      <c r="R49" s="40">
        <v>46223</v>
      </c>
      <c r="S49" s="38">
        <v>0</v>
      </c>
      <c r="T49" s="38">
        <v>0</v>
      </c>
      <c r="U49" s="40">
        <v>46224</v>
      </c>
      <c r="V49" s="40" t="s">
        <v>215</v>
      </c>
      <c r="W49" s="20"/>
      <c r="X49" s="21"/>
      <c r="Y49" s="38"/>
      <c r="Z49" s="38"/>
      <c r="AA49" s="38"/>
      <c r="AB49" s="20" t="s">
        <v>92</v>
      </c>
      <c r="AC49" s="22"/>
      <c r="AD49" s="144"/>
      <c r="AE49" s="20" t="s">
        <v>92</v>
      </c>
      <c r="AF49" s="135"/>
      <c r="AG49" s="135"/>
    </row>
    <row r="50" spans="1:43">
      <c r="A50" s="135" t="s">
        <v>1258</v>
      </c>
      <c r="B50" s="135"/>
      <c r="C50" s="135"/>
      <c r="D50" s="46"/>
      <c r="E50" s="20"/>
      <c r="F50" s="20"/>
      <c r="G50" s="24"/>
      <c r="H50" s="21"/>
      <c r="I50" s="53"/>
      <c r="J50" s="24"/>
      <c r="K50" s="24"/>
      <c r="L50" s="46">
        <v>12139932</v>
      </c>
      <c r="M50" s="20" t="s">
        <v>186</v>
      </c>
      <c r="N50" s="38">
        <v>0</v>
      </c>
      <c r="O50" s="38">
        <v>0</v>
      </c>
      <c r="P50" s="20" t="s">
        <v>92</v>
      </c>
      <c r="Q50" s="20">
        <v>0</v>
      </c>
      <c r="R50" s="40">
        <v>46223</v>
      </c>
      <c r="S50" s="38">
        <v>0</v>
      </c>
      <c r="T50" s="38">
        <v>0</v>
      </c>
      <c r="U50" s="40">
        <v>46224</v>
      </c>
      <c r="V50" s="40" t="s">
        <v>215</v>
      </c>
      <c r="W50" s="20"/>
      <c r="X50" s="21"/>
      <c r="Y50" s="38"/>
      <c r="Z50" s="38"/>
      <c r="AA50" s="38"/>
      <c r="AB50" s="20" t="s">
        <v>92</v>
      </c>
      <c r="AC50" s="22"/>
      <c r="AD50" s="144"/>
      <c r="AE50" s="20" t="s">
        <v>92</v>
      </c>
      <c r="AF50" s="135"/>
      <c r="AG50" s="135"/>
    </row>
    <row r="51" spans="1:43">
      <c r="A51" s="135" t="s">
        <v>1258</v>
      </c>
      <c r="B51" s="135" t="s">
        <v>1257</v>
      </c>
      <c r="C51" s="135">
        <v>2000127256</v>
      </c>
      <c r="D51" s="46">
        <v>11134247</v>
      </c>
      <c r="E51" s="20" t="s">
        <v>177</v>
      </c>
      <c r="F51" s="20" t="s">
        <v>1250</v>
      </c>
      <c r="G51" s="24"/>
      <c r="H51" s="21" t="s">
        <v>1251</v>
      </c>
      <c r="I51" s="53" t="s">
        <v>1254</v>
      </c>
      <c r="J51" s="24" t="s">
        <v>1255</v>
      </c>
      <c r="K51" s="24">
        <v>200</v>
      </c>
      <c r="L51" s="46">
        <v>12129253</v>
      </c>
      <c r="M51" s="20" t="s">
        <v>184</v>
      </c>
      <c r="N51" s="38">
        <v>0</v>
      </c>
      <c r="O51" s="38">
        <v>0</v>
      </c>
      <c r="P51" s="20" t="s">
        <v>92</v>
      </c>
      <c r="Q51" s="20">
        <v>0</v>
      </c>
      <c r="R51" s="40">
        <v>46223</v>
      </c>
      <c r="S51" s="38">
        <v>0</v>
      </c>
      <c r="T51" s="38">
        <v>0</v>
      </c>
      <c r="U51" s="40">
        <v>46224</v>
      </c>
      <c r="V51" s="40" t="s">
        <v>215</v>
      </c>
      <c r="W51" s="20"/>
      <c r="X51" s="21"/>
      <c r="Y51" s="38"/>
      <c r="Z51" s="38"/>
      <c r="AA51" s="38"/>
      <c r="AB51" s="20" t="s">
        <v>92</v>
      </c>
      <c r="AC51" s="22"/>
      <c r="AD51" s="144"/>
      <c r="AE51" s="20" t="s">
        <v>92</v>
      </c>
      <c r="AF51" s="135"/>
      <c r="AG51" s="135"/>
    </row>
    <row r="52" spans="1:43">
      <c r="A52" s="135" t="s">
        <v>1258</v>
      </c>
      <c r="B52" s="135"/>
      <c r="C52" s="135"/>
      <c r="D52" s="46"/>
      <c r="E52" s="20"/>
      <c r="F52" s="20"/>
      <c r="G52" s="24"/>
      <c r="H52" s="21"/>
      <c r="I52" s="53"/>
      <c r="J52" s="24"/>
      <c r="K52" s="24"/>
      <c r="L52" s="46">
        <v>12129253</v>
      </c>
      <c r="M52" s="20" t="s">
        <v>184</v>
      </c>
      <c r="N52" s="38">
        <v>0</v>
      </c>
      <c r="O52" s="38">
        <v>0</v>
      </c>
      <c r="P52" s="20" t="s">
        <v>92</v>
      </c>
      <c r="Q52" s="20">
        <v>0</v>
      </c>
      <c r="R52" s="40">
        <v>46223</v>
      </c>
      <c r="S52" s="38">
        <v>0</v>
      </c>
      <c r="T52" s="38">
        <v>0</v>
      </c>
      <c r="U52" s="40">
        <v>46224</v>
      </c>
      <c r="V52" s="40" t="s">
        <v>215</v>
      </c>
      <c r="W52" s="20"/>
      <c r="X52" s="21"/>
      <c r="Y52" s="38"/>
      <c r="Z52" s="38"/>
      <c r="AA52" s="38"/>
      <c r="AB52" s="20" t="s">
        <v>92</v>
      </c>
      <c r="AC52" s="22"/>
      <c r="AD52" s="144"/>
      <c r="AE52" s="20" t="s">
        <v>92</v>
      </c>
      <c r="AF52" s="135"/>
      <c r="AG52" s="135"/>
    </row>
    <row r="53" spans="1:43">
      <c r="A53" s="135" t="s">
        <v>1260</v>
      </c>
      <c r="B53" s="135" t="s">
        <v>1285</v>
      </c>
      <c r="C53" s="135" t="s">
        <v>1261</v>
      </c>
      <c r="D53" s="46">
        <v>11134249</v>
      </c>
      <c r="E53" s="20" t="s">
        <v>181</v>
      </c>
      <c r="F53" s="20" t="s">
        <v>182</v>
      </c>
      <c r="G53" s="24">
        <v>448</v>
      </c>
      <c r="H53" s="21">
        <v>46241</v>
      </c>
      <c r="I53" s="53" t="s">
        <v>1262</v>
      </c>
      <c r="J53" s="24" t="s">
        <v>1265</v>
      </c>
      <c r="K53" s="24">
        <v>454</v>
      </c>
      <c r="L53" s="46">
        <v>12139932</v>
      </c>
      <c r="M53" s="20" t="s">
        <v>186</v>
      </c>
      <c r="N53" s="38">
        <v>0</v>
      </c>
      <c r="O53" s="38">
        <v>0</v>
      </c>
      <c r="P53" s="20" t="s">
        <v>72</v>
      </c>
      <c r="Q53" s="20">
        <v>0</v>
      </c>
      <c r="R53" s="40">
        <v>46226</v>
      </c>
      <c r="S53" s="38">
        <v>3</v>
      </c>
      <c r="T53" s="38">
        <v>3</v>
      </c>
      <c r="U53" s="40">
        <v>46227</v>
      </c>
      <c r="V53" s="40">
        <v>46227</v>
      </c>
      <c r="W53" s="20" t="s">
        <v>54</v>
      </c>
      <c r="X53" s="21"/>
      <c r="Y53" s="19">
        <f>VLOOKUP(F53,[2]New!$B:$G,3,0)*K53/60</f>
        <v>254.24000000000004</v>
      </c>
      <c r="Z53" s="19">
        <f>VLOOKUP(F53,[2]New!$B:$G,4,0)*K53/60</f>
        <v>488.05</v>
      </c>
      <c r="AA53" s="19">
        <f>VLOOKUP(F53,[2]New!$B:$G,6,0)*K53/60</f>
        <v>1008.6366666666668</v>
      </c>
      <c r="AB53" s="44">
        <f>VLOOKUP(A53,'[4]PO CAG (2)'!$A:$L,12,0)</f>
        <v>46268</v>
      </c>
      <c r="AC53" s="22" t="str">
        <f>IFERROR(VLOOKUP(F53,[3]Sheet1!$E:$H,4,0),)</f>
        <v>H</v>
      </c>
      <c r="AD53" s="144">
        <v>448</v>
      </c>
      <c r="AE53" s="25" t="s">
        <v>3023</v>
      </c>
      <c r="AF53" s="135" t="s">
        <v>198</v>
      </c>
      <c r="AG53" s="135"/>
      <c r="AH53" s="23"/>
      <c r="AI53" s="23">
        <v>6</v>
      </c>
      <c r="AJ53" s="267" t="s">
        <v>444</v>
      </c>
      <c r="AN53" s="278">
        <v>2</v>
      </c>
      <c r="AO53" s="278">
        <v>2</v>
      </c>
      <c r="AP53" s="278">
        <v>2</v>
      </c>
      <c r="AQ53" s="278">
        <v>2</v>
      </c>
    </row>
    <row r="54" spans="1:43">
      <c r="A54" s="135" t="s">
        <v>758</v>
      </c>
      <c r="B54" s="135" t="s">
        <v>1286</v>
      </c>
      <c r="C54" s="135" t="s">
        <v>1263</v>
      </c>
      <c r="D54" s="46">
        <v>11134248</v>
      </c>
      <c r="E54" s="20" t="s">
        <v>179</v>
      </c>
      <c r="F54" s="20" t="s">
        <v>180</v>
      </c>
      <c r="G54" s="24">
        <v>1472</v>
      </c>
      <c r="H54" s="21">
        <v>46241</v>
      </c>
      <c r="I54" s="53" t="s">
        <v>1264</v>
      </c>
      <c r="J54" s="24" t="s">
        <v>1266</v>
      </c>
      <c r="K54" s="24">
        <v>1472</v>
      </c>
      <c r="L54" s="46">
        <v>12139931</v>
      </c>
      <c r="M54" s="20" t="s">
        <v>185</v>
      </c>
      <c r="N54" s="38">
        <v>0</v>
      </c>
      <c r="O54" s="38">
        <v>0</v>
      </c>
      <c r="P54" s="20" t="s">
        <v>72</v>
      </c>
      <c r="Q54" s="20">
        <v>0</v>
      </c>
      <c r="R54" s="40">
        <v>46226</v>
      </c>
      <c r="S54" s="38">
        <v>0</v>
      </c>
      <c r="T54" s="38">
        <v>0</v>
      </c>
      <c r="U54" s="40">
        <v>46227</v>
      </c>
      <c r="V54" s="40">
        <v>46227</v>
      </c>
      <c r="W54" s="20" t="s">
        <v>54</v>
      </c>
      <c r="X54" s="21"/>
      <c r="Y54" s="19">
        <f>VLOOKUP(F54,[2]New!$B:$G,3,0)*K54/60</f>
        <v>824.32</v>
      </c>
      <c r="Z54" s="19">
        <f>VLOOKUP(F54,[2]New!$B:$G,4,0)*K54/60</f>
        <v>1582.4</v>
      </c>
      <c r="AA54" s="19">
        <f>VLOOKUP(F54,[2]New!$B:$G,6,0)*K54/60</f>
        <v>3270.2933333333335</v>
      </c>
      <c r="AB54" s="44">
        <f>VLOOKUP(A54,'[4]PO CAG (2)'!$A:$L,12,0)</f>
        <v>46268</v>
      </c>
      <c r="AC54" s="22" t="str">
        <f>IFERROR(VLOOKUP(F54,[3]Sheet1!$E:$H,4,0),)</f>
        <v>H</v>
      </c>
      <c r="AD54" s="144">
        <v>1472</v>
      </c>
      <c r="AE54" s="25" t="s">
        <v>3023</v>
      </c>
      <c r="AF54" s="135" t="s">
        <v>198</v>
      </c>
      <c r="AG54" s="135"/>
      <c r="AH54" s="23"/>
      <c r="AI54" s="260">
        <v>0</v>
      </c>
      <c r="AJ54" s="267" t="s">
        <v>444</v>
      </c>
      <c r="AN54" s="278">
        <v>2</v>
      </c>
      <c r="AO54" s="278">
        <v>2</v>
      </c>
      <c r="AP54" s="278">
        <v>2</v>
      </c>
      <c r="AQ54" s="278">
        <v>2</v>
      </c>
    </row>
    <row r="55" spans="1:43">
      <c r="A55" s="135" t="s">
        <v>631</v>
      </c>
      <c r="B55" s="135" t="s">
        <v>1287</v>
      </c>
      <c r="C55" s="135" t="s">
        <v>1267</v>
      </c>
      <c r="D55" s="46">
        <v>11134148</v>
      </c>
      <c r="E55" s="20" t="s">
        <v>136</v>
      </c>
      <c r="F55" s="20" t="s">
        <v>69</v>
      </c>
      <c r="G55" s="24">
        <v>720</v>
      </c>
      <c r="H55" s="21">
        <v>46239</v>
      </c>
      <c r="I55" s="53" t="s">
        <v>1268</v>
      </c>
      <c r="J55" s="24" t="s">
        <v>1269</v>
      </c>
      <c r="K55" s="24">
        <v>726</v>
      </c>
      <c r="L55" s="46">
        <v>12129995</v>
      </c>
      <c r="M55" s="20" t="s">
        <v>74</v>
      </c>
      <c r="N55" s="38">
        <v>0</v>
      </c>
      <c r="O55" s="38">
        <v>0</v>
      </c>
      <c r="P55" s="20" t="s">
        <v>72</v>
      </c>
      <c r="Q55" s="20">
        <v>0</v>
      </c>
      <c r="R55" s="40">
        <v>46224</v>
      </c>
      <c r="S55" s="38">
        <v>3</v>
      </c>
      <c r="T55" s="38">
        <v>3</v>
      </c>
      <c r="U55" s="40">
        <v>46225</v>
      </c>
      <c r="V55" s="40">
        <v>46225</v>
      </c>
      <c r="W55" s="20" t="s">
        <v>57</v>
      </c>
      <c r="X55" s="21"/>
      <c r="Y55" s="19">
        <f>VLOOKUP(F55,[2]New!$B:$G,3,0)*K55/60</f>
        <v>677.6</v>
      </c>
      <c r="Z55" s="19">
        <f>VLOOKUP(F55,[2]New!$B:$G,4,0)*K55/60</f>
        <v>2831.4</v>
      </c>
      <c r="AA55" s="19">
        <f>VLOOKUP(F55,[2]New!$B:$G,6,0)*K55/60</f>
        <v>3496.9</v>
      </c>
      <c r="AB55" s="44">
        <f>VLOOKUP(A55,'[4]PO CAG (2)'!$A:$L,12,0)</f>
        <v>46268</v>
      </c>
      <c r="AC55" s="22" t="str">
        <f>IFERROR(VLOOKUP(F55,[3]Sheet1!$E:$H,4,0),)</f>
        <v>G</v>
      </c>
      <c r="AD55" s="144">
        <v>720</v>
      </c>
      <c r="AE55" s="25" t="s">
        <v>3023</v>
      </c>
      <c r="AF55" s="135" t="s">
        <v>198</v>
      </c>
      <c r="AG55" s="135"/>
      <c r="AI55" s="23">
        <v>6</v>
      </c>
      <c r="AJ55" s="267" t="s">
        <v>153</v>
      </c>
      <c r="AN55" s="364">
        <v>3</v>
      </c>
      <c r="AO55" s="364">
        <v>3</v>
      </c>
      <c r="AP55" s="364">
        <v>3</v>
      </c>
      <c r="AQ55" s="365">
        <v>3</v>
      </c>
    </row>
    <row r="56" spans="1:43">
      <c r="A56" s="135" t="s">
        <v>951</v>
      </c>
      <c r="B56" s="135" t="s">
        <v>1288</v>
      </c>
      <c r="C56" s="135" t="s">
        <v>1276</v>
      </c>
      <c r="D56" s="46">
        <v>11134146</v>
      </c>
      <c r="E56" s="20" t="s">
        <v>134</v>
      </c>
      <c r="F56" s="20" t="s">
        <v>135</v>
      </c>
      <c r="G56" s="24">
        <v>120</v>
      </c>
      <c r="H56" s="21">
        <v>46240</v>
      </c>
      <c r="I56" s="53" t="s">
        <v>1277</v>
      </c>
      <c r="J56" s="24" t="s">
        <v>1278</v>
      </c>
      <c r="K56" s="24">
        <v>126</v>
      </c>
      <c r="L56" s="46">
        <v>12129994</v>
      </c>
      <c r="M56" s="20" t="s">
        <v>138</v>
      </c>
      <c r="N56" s="38">
        <v>0</v>
      </c>
      <c r="O56" s="38">
        <v>0</v>
      </c>
      <c r="P56" s="20" t="s">
        <v>72</v>
      </c>
      <c r="Q56" s="20">
        <v>0</v>
      </c>
      <c r="R56" s="40">
        <v>46225</v>
      </c>
      <c r="S56" s="38">
        <v>3</v>
      </c>
      <c r="T56" s="38">
        <v>3</v>
      </c>
      <c r="U56" s="40">
        <v>46226</v>
      </c>
      <c r="V56" s="40">
        <v>46226</v>
      </c>
      <c r="W56" s="20" t="s">
        <v>57</v>
      </c>
      <c r="X56" s="21"/>
      <c r="Y56" s="19">
        <f>VLOOKUP(F56,[2]New!$B:$G,3,0)*K56/60</f>
        <v>117.6</v>
      </c>
      <c r="Z56" s="19">
        <f>VLOOKUP(F56,[2]New!$B:$G,4,0)*K56/60</f>
        <v>491.4</v>
      </c>
      <c r="AA56" s="19">
        <f>VLOOKUP(F56,[2]New!$B:$G,6,0)*K56/60</f>
        <v>606.9</v>
      </c>
      <c r="AB56" s="44">
        <f>VLOOKUP(A56,'[4]PO CAG (2)'!$A:$L,12,0)</f>
        <v>46268</v>
      </c>
      <c r="AC56" s="22" t="str">
        <f>IFERROR(VLOOKUP(F56,[3]Sheet1!$E:$H,4,0),)</f>
        <v>G</v>
      </c>
      <c r="AD56" s="144">
        <v>120</v>
      </c>
      <c r="AE56" s="25" t="s">
        <v>3023</v>
      </c>
      <c r="AF56" s="135" t="s">
        <v>198</v>
      </c>
      <c r="AG56" s="135"/>
      <c r="AI56" s="23">
        <v>6</v>
      </c>
      <c r="AJ56" s="267" t="s">
        <v>189</v>
      </c>
      <c r="AN56" s="364">
        <v>3</v>
      </c>
      <c r="AO56" s="364">
        <v>3</v>
      </c>
      <c r="AP56" s="364">
        <v>3</v>
      </c>
      <c r="AQ56" s="365">
        <v>3</v>
      </c>
    </row>
    <row r="57" spans="1:43">
      <c r="A57" s="135" t="s">
        <v>951</v>
      </c>
      <c r="B57" s="135" t="s">
        <v>1289</v>
      </c>
      <c r="C57" s="135" t="s">
        <v>1279</v>
      </c>
      <c r="D57" s="46">
        <v>11134146</v>
      </c>
      <c r="E57" s="20" t="s">
        <v>134</v>
      </c>
      <c r="F57" s="20" t="s">
        <v>135</v>
      </c>
      <c r="G57" s="24">
        <v>720</v>
      </c>
      <c r="H57" s="21">
        <v>46240</v>
      </c>
      <c r="I57" s="53" t="s">
        <v>1280</v>
      </c>
      <c r="J57" s="24" t="s">
        <v>1281</v>
      </c>
      <c r="K57" s="24">
        <v>720</v>
      </c>
      <c r="L57" s="46">
        <v>12129994</v>
      </c>
      <c r="M57" s="20" t="s">
        <v>138</v>
      </c>
      <c r="N57" s="38">
        <v>0</v>
      </c>
      <c r="O57" s="38">
        <v>0</v>
      </c>
      <c r="P57" s="20" t="s">
        <v>72</v>
      </c>
      <c r="Q57" s="20">
        <v>0</v>
      </c>
      <c r="R57" s="40">
        <v>46225</v>
      </c>
      <c r="S57" s="38">
        <v>0</v>
      </c>
      <c r="T57" s="38">
        <v>0</v>
      </c>
      <c r="U57" s="40">
        <v>46226</v>
      </c>
      <c r="V57" s="40">
        <v>46226</v>
      </c>
      <c r="W57" s="20" t="s">
        <v>58</v>
      </c>
      <c r="X57" s="21"/>
      <c r="Y57" s="19">
        <f>VLOOKUP(F57,[2]New!$B:$G,3,0)*K57/60</f>
        <v>672</v>
      </c>
      <c r="Z57" s="19">
        <f>VLOOKUP(F57,[2]New!$B:$G,4,0)*K57/60</f>
        <v>2808</v>
      </c>
      <c r="AA57" s="19">
        <f>VLOOKUP(F57,[2]New!$B:$G,6,0)*K57/60</f>
        <v>3468</v>
      </c>
      <c r="AB57" s="44">
        <f>VLOOKUP(A57,'[4]PO CAG (2)'!$A:$L,12,0)</f>
        <v>46268</v>
      </c>
      <c r="AC57" s="22" t="str">
        <f>IFERROR(VLOOKUP(F57,[3]Sheet1!$E:$H,4,0),)</f>
        <v>G</v>
      </c>
      <c r="AD57" s="144">
        <v>720</v>
      </c>
      <c r="AE57" s="25" t="s">
        <v>3023</v>
      </c>
      <c r="AF57" s="135" t="s">
        <v>198</v>
      </c>
      <c r="AG57" s="135"/>
      <c r="AH57" s="23"/>
      <c r="AI57" s="260">
        <v>0</v>
      </c>
      <c r="AJ57" s="267" t="s">
        <v>188</v>
      </c>
      <c r="AN57" s="364">
        <v>3</v>
      </c>
      <c r="AO57" s="364">
        <v>3</v>
      </c>
      <c r="AP57" s="364">
        <v>3</v>
      </c>
      <c r="AQ57" s="365">
        <v>3</v>
      </c>
    </row>
    <row r="58" spans="1:43">
      <c r="A58" s="135" t="s">
        <v>1343</v>
      </c>
      <c r="B58" s="135" t="s">
        <v>1341</v>
      </c>
      <c r="C58" s="135">
        <v>2000127456</v>
      </c>
      <c r="D58" s="46">
        <v>11134563</v>
      </c>
      <c r="E58" s="20" t="s">
        <v>552</v>
      </c>
      <c r="F58" s="20" t="s">
        <v>1334</v>
      </c>
      <c r="G58" s="24"/>
      <c r="H58" s="21" t="s">
        <v>1340</v>
      </c>
      <c r="I58" s="53" t="s">
        <v>1336</v>
      </c>
      <c r="J58" s="24" t="s">
        <v>1337</v>
      </c>
      <c r="K58" s="24">
        <v>200</v>
      </c>
      <c r="L58" s="46">
        <v>12131598</v>
      </c>
      <c r="M58" s="20" t="s">
        <v>553</v>
      </c>
      <c r="N58" s="38">
        <v>0</v>
      </c>
      <c r="O58" s="38">
        <v>0</v>
      </c>
      <c r="P58" s="20" t="s">
        <v>92</v>
      </c>
      <c r="Q58" s="20">
        <v>0</v>
      </c>
      <c r="R58" s="40">
        <v>46223</v>
      </c>
      <c r="S58" s="20">
        <v>0</v>
      </c>
      <c r="T58" s="20">
        <v>0</v>
      </c>
      <c r="U58" s="40">
        <v>46225</v>
      </c>
      <c r="V58" s="40" t="s">
        <v>215</v>
      </c>
      <c r="W58" s="20"/>
      <c r="X58" s="40">
        <v>46227</v>
      </c>
      <c r="Y58" s="20">
        <v>0</v>
      </c>
      <c r="Z58" s="20">
        <v>0</v>
      </c>
      <c r="AA58" s="20">
        <v>0</v>
      </c>
      <c r="AB58" s="20" t="s">
        <v>92</v>
      </c>
      <c r="AC58" s="22"/>
      <c r="AD58" s="144"/>
      <c r="AE58" s="20" t="s">
        <v>92</v>
      </c>
      <c r="AF58" s="135"/>
      <c r="AG58" s="135"/>
    </row>
    <row r="59" spans="1:43">
      <c r="A59" s="135" t="s">
        <v>1343</v>
      </c>
      <c r="B59" s="135" t="s">
        <v>1342</v>
      </c>
      <c r="C59" s="135">
        <v>2000127458</v>
      </c>
      <c r="D59" s="46">
        <v>12129248</v>
      </c>
      <c r="E59" s="20" t="s">
        <v>73</v>
      </c>
      <c r="F59" s="20" t="s">
        <v>1335</v>
      </c>
      <c r="G59" s="24"/>
      <c r="H59" s="21" t="s">
        <v>1340</v>
      </c>
      <c r="I59" s="53" t="s">
        <v>1338</v>
      </c>
      <c r="J59" s="24" t="s">
        <v>1339</v>
      </c>
      <c r="K59" s="24">
        <v>200</v>
      </c>
      <c r="L59" s="46">
        <v>12003986</v>
      </c>
      <c r="M59" s="20" t="s">
        <v>67</v>
      </c>
      <c r="N59" s="38">
        <v>0</v>
      </c>
      <c r="O59" s="38">
        <v>0</v>
      </c>
      <c r="P59" s="20" t="s">
        <v>92</v>
      </c>
      <c r="Q59" s="20">
        <v>0</v>
      </c>
      <c r="R59" s="40">
        <v>46223</v>
      </c>
      <c r="S59" s="20">
        <v>0</v>
      </c>
      <c r="T59" s="20">
        <v>0</v>
      </c>
      <c r="U59" s="40">
        <v>46225</v>
      </c>
      <c r="V59" s="40" t="s">
        <v>215</v>
      </c>
      <c r="W59" s="20"/>
      <c r="X59" s="40">
        <v>46227</v>
      </c>
      <c r="Y59" s="20">
        <v>0</v>
      </c>
      <c r="Z59" s="20">
        <v>0</v>
      </c>
      <c r="AA59" s="20">
        <v>0</v>
      </c>
      <c r="AB59" s="20" t="s">
        <v>92</v>
      </c>
      <c r="AC59" s="22"/>
      <c r="AD59" s="144"/>
      <c r="AE59" s="20" t="s">
        <v>92</v>
      </c>
      <c r="AF59" s="135"/>
      <c r="AG59" s="135"/>
    </row>
    <row r="60" spans="1:43">
      <c r="A60" s="135" t="s">
        <v>1369</v>
      </c>
      <c r="B60" s="135" t="s">
        <v>1348</v>
      </c>
      <c r="C60" s="135">
        <v>2000127531</v>
      </c>
      <c r="D60" s="46">
        <v>11120964</v>
      </c>
      <c r="E60" s="20" t="s">
        <v>1344</v>
      </c>
      <c r="F60" s="20" t="s">
        <v>1345</v>
      </c>
      <c r="G60" s="24">
        <v>28</v>
      </c>
      <c r="H60" s="21" t="s">
        <v>1363</v>
      </c>
      <c r="I60" s="53" t="s">
        <v>1370</v>
      </c>
      <c r="J60" s="24" t="s">
        <v>1371</v>
      </c>
      <c r="K60" s="24">
        <v>28</v>
      </c>
      <c r="L60" s="46">
        <v>12142011</v>
      </c>
      <c r="M60" s="20" t="s">
        <v>1364</v>
      </c>
      <c r="N60" s="38">
        <v>0</v>
      </c>
      <c r="O60" s="38">
        <v>0</v>
      </c>
      <c r="P60" s="20" t="s">
        <v>92</v>
      </c>
      <c r="Q60" s="20">
        <v>0</v>
      </c>
      <c r="R60" s="40"/>
      <c r="S60" s="20">
        <v>0</v>
      </c>
      <c r="T60" s="20">
        <v>0</v>
      </c>
      <c r="U60" s="40"/>
      <c r="V60" s="40">
        <v>46228</v>
      </c>
      <c r="W60" s="20" t="s">
        <v>92</v>
      </c>
      <c r="X60" s="21"/>
      <c r="Y60" s="20">
        <v>0</v>
      </c>
      <c r="Z60" s="20">
        <v>0</v>
      </c>
      <c r="AA60" s="20">
        <v>0</v>
      </c>
      <c r="AB60" s="20" t="s">
        <v>92</v>
      </c>
      <c r="AC60" s="22"/>
      <c r="AD60" s="144"/>
      <c r="AE60" s="20" t="s">
        <v>92</v>
      </c>
      <c r="AF60" s="135"/>
      <c r="AG60" s="135"/>
    </row>
    <row r="61" spans="1:43">
      <c r="A61" s="135" t="s">
        <v>1369</v>
      </c>
      <c r="B61" s="135"/>
      <c r="C61" s="135"/>
      <c r="D61" s="46"/>
      <c r="E61" s="20"/>
      <c r="F61" s="20"/>
      <c r="G61" s="24"/>
      <c r="H61" s="21"/>
      <c r="I61" s="53"/>
      <c r="J61" s="24"/>
      <c r="K61" s="24"/>
      <c r="L61" s="46">
        <v>12138665</v>
      </c>
      <c r="M61" s="20" t="s">
        <v>1365</v>
      </c>
      <c r="N61" s="38">
        <v>0</v>
      </c>
      <c r="O61" s="38">
        <v>0</v>
      </c>
      <c r="P61" s="20" t="s">
        <v>92</v>
      </c>
      <c r="Q61" s="20">
        <v>0</v>
      </c>
      <c r="R61" s="40"/>
      <c r="S61" s="20">
        <v>0</v>
      </c>
      <c r="T61" s="20">
        <v>0</v>
      </c>
      <c r="U61" s="40"/>
      <c r="V61" s="40">
        <v>46228</v>
      </c>
      <c r="W61" s="20" t="s">
        <v>92</v>
      </c>
      <c r="X61" s="21"/>
      <c r="Y61" s="20">
        <v>0</v>
      </c>
      <c r="Z61" s="20">
        <v>0</v>
      </c>
      <c r="AA61" s="20">
        <v>0</v>
      </c>
      <c r="AB61" s="20" t="s">
        <v>92</v>
      </c>
      <c r="AC61" s="22"/>
      <c r="AD61" s="144"/>
      <c r="AE61" s="20" t="s">
        <v>92</v>
      </c>
      <c r="AF61" s="135"/>
      <c r="AG61" s="135"/>
    </row>
    <row r="62" spans="1:43">
      <c r="A62" s="135" t="s">
        <v>1369</v>
      </c>
      <c r="B62" s="135"/>
      <c r="C62" s="135"/>
      <c r="D62" s="46"/>
      <c r="E62" s="20"/>
      <c r="F62" s="20"/>
      <c r="G62" s="24"/>
      <c r="H62" s="21"/>
      <c r="I62" s="53"/>
      <c r="J62" s="24"/>
      <c r="K62" s="24"/>
      <c r="L62" s="46">
        <v>12138672</v>
      </c>
      <c r="M62" s="20" t="s">
        <v>1366</v>
      </c>
      <c r="N62" s="38">
        <v>0</v>
      </c>
      <c r="O62" s="38">
        <v>0</v>
      </c>
      <c r="P62" s="20" t="s">
        <v>92</v>
      </c>
      <c r="Q62" s="20">
        <v>0</v>
      </c>
      <c r="R62" s="40"/>
      <c r="S62" s="20">
        <v>0</v>
      </c>
      <c r="T62" s="20">
        <v>0</v>
      </c>
      <c r="U62" s="40"/>
      <c r="V62" s="40">
        <v>46228</v>
      </c>
      <c r="W62" s="20" t="s">
        <v>92</v>
      </c>
      <c r="X62" s="21"/>
      <c r="Y62" s="20">
        <v>0</v>
      </c>
      <c r="Z62" s="20">
        <v>0</v>
      </c>
      <c r="AA62" s="20">
        <v>0</v>
      </c>
      <c r="AB62" s="20" t="s">
        <v>92</v>
      </c>
      <c r="AC62" s="22"/>
      <c r="AD62" s="144"/>
      <c r="AE62" s="20" t="s">
        <v>92</v>
      </c>
      <c r="AF62" s="135"/>
      <c r="AG62" s="135"/>
    </row>
    <row r="63" spans="1:43">
      <c r="A63" s="135" t="s">
        <v>1369</v>
      </c>
      <c r="B63" s="135"/>
      <c r="C63" s="135"/>
      <c r="D63" s="46"/>
      <c r="E63" s="20"/>
      <c r="F63" s="20"/>
      <c r="G63" s="24"/>
      <c r="H63" s="21"/>
      <c r="I63" s="53"/>
      <c r="J63" s="24"/>
      <c r="K63" s="24"/>
      <c r="L63" s="46">
        <v>12138672</v>
      </c>
      <c r="M63" s="20" t="s">
        <v>1366</v>
      </c>
      <c r="N63" s="38">
        <v>0</v>
      </c>
      <c r="O63" s="38">
        <v>0</v>
      </c>
      <c r="P63" s="20" t="s">
        <v>92</v>
      </c>
      <c r="Q63" s="20">
        <v>0</v>
      </c>
      <c r="R63" s="40"/>
      <c r="S63" s="20">
        <v>0</v>
      </c>
      <c r="T63" s="20">
        <v>0</v>
      </c>
      <c r="U63" s="40"/>
      <c r="V63" s="40">
        <v>46228</v>
      </c>
      <c r="W63" s="20" t="s">
        <v>92</v>
      </c>
      <c r="X63" s="21"/>
      <c r="Y63" s="20">
        <v>0</v>
      </c>
      <c r="Z63" s="20">
        <v>0</v>
      </c>
      <c r="AA63" s="20">
        <v>0</v>
      </c>
      <c r="AB63" s="20" t="s">
        <v>92</v>
      </c>
      <c r="AC63" s="22"/>
      <c r="AD63" s="144"/>
      <c r="AE63" s="20" t="s">
        <v>92</v>
      </c>
      <c r="AF63" s="135"/>
      <c r="AG63" s="135"/>
    </row>
    <row r="64" spans="1:43">
      <c r="A64" s="135" t="s">
        <v>1369</v>
      </c>
      <c r="B64" s="135"/>
      <c r="C64" s="135"/>
      <c r="D64" s="46"/>
      <c r="E64" s="20"/>
      <c r="F64" s="20"/>
      <c r="G64" s="24"/>
      <c r="H64" s="21"/>
      <c r="I64" s="53"/>
      <c r="J64" s="24"/>
      <c r="K64" s="24"/>
      <c r="L64" s="46">
        <v>12138672</v>
      </c>
      <c r="M64" s="20" t="s">
        <v>1366</v>
      </c>
      <c r="N64" s="38">
        <v>0</v>
      </c>
      <c r="O64" s="38">
        <v>0</v>
      </c>
      <c r="P64" s="20" t="s">
        <v>92</v>
      </c>
      <c r="Q64" s="20">
        <v>0</v>
      </c>
      <c r="R64" s="40"/>
      <c r="S64" s="20">
        <v>0</v>
      </c>
      <c r="T64" s="20">
        <v>0</v>
      </c>
      <c r="U64" s="40"/>
      <c r="V64" s="40">
        <v>46228</v>
      </c>
      <c r="W64" s="20" t="s">
        <v>92</v>
      </c>
      <c r="X64" s="21"/>
      <c r="Y64" s="20">
        <v>0</v>
      </c>
      <c r="Z64" s="20">
        <v>0</v>
      </c>
      <c r="AA64" s="20">
        <v>0</v>
      </c>
      <c r="AB64" s="20" t="s">
        <v>92</v>
      </c>
      <c r="AC64" s="22"/>
      <c r="AD64" s="144"/>
      <c r="AE64" s="20" t="s">
        <v>92</v>
      </c>
      <c r="AF64" s="135"/>
      <c r="AG64" s="135"/>
    </row>
    <row r="65" spans="1:33">
      <c r="A65" s="135" t="s">
        <v>1369</v>
      </c>
      <c r="B65" s="135"/>
      <c r="C65" s="135"/>
      <c r="D65" s="46"/>
      <c r="E65" s="20"/>
      <c r="F65" s="20"/>
      <c r="G65" s="24"/>
      <c r="H65" s="21"/>
      <c r="I65" s="53"/>
      <c r="J65" s="24"/>
      <c r="K65" s="24"/>
      <c r="L65" s="46">
        <v>12138672</v>
      </c>
      <c r="M65" s="20" t="s">
        <v>1366</v>
      </c>
      <c r="N65" s="38">
        <v>0</v>
      </c>
      <c r="O65" s="38">
        <v>0</v>
      </c>
      <c r="P65" s="20" t="s">
        <v>92</v>
      </c>
      <c r="Q65" s="20">
        <v>0</v>
      </c>
      <c r="R65" s="40"/>
      <c r="S65" s="20">
        <v>0</v>
      </c>
      <c r="T65" s="20">
        <v>0</v>
      </c>
      <c r="U65" s="40"/>
      <c r="V65" s="40">
        <v>46228</v>
      </c>
      <c r="W65" s="20" t="s">
        <v>92</v>
      </c>
      <c r="X65" s="21"/>
      <c r="Y65" s="20">
        <v>0</v>
      </c>
      <c r="Z65" s="20">
        <v>0</v>
      </c>
      <c r="AA65" s="20">
        <v>0</v>
      </c>
      <c r="AB65" s="20" t="s">
        <v>92</v>
      </c>
      <c r="AC65" s="22"/>
      <c r="AD65" s="144"/>
      <c r="AE65" s="20" t="s">
        <v>92</v>
      </c>
      <c r="AF65" s="135"/>
      <c r="AG65" s="135"/>
    </row>
    <row r="66" spans="1:33">
      <c r="A66" s="135" t="s">
        <v>1369</v>
      </c>
      <c r="B66" s="135" t="s">
        <v>1349</v>
      </c>
      <c r="C66" s="135">
        <v>2000127532</v>
      </c>
      <c r="D66" s="46">
        <v>11120964</v>
      </c>
      <c r="E66" s="20" t="s">
        <v>1344</v>
      </c>
      <c r="F66" s="20" t="s">
        <v>1345</v>
      </c>
      <c r="G66" s="24">
        <v>28</v>
      </c>
      <c r="H66" s="21" t="s">
        <v>1363</v>
      </c>
      <c r="I66" s="53">
        <v>103561426</v>
      </c>
      <c r="J66" s="24" t="s">
        <v>1372</v>
      </c>
      <c r="K66" s="24">
        <v>28</v>
      </c>
      <c r="L66" s="46">
        <v>12142011</v>
      </c>
      <c r="M66" s="20" t="s">
        <v>1364</v>
      </c>
      <c r="N66" s="38">
        <v>0</v>
      </c>
      <c r="O66" s="38">
        <v>0</v>
      </c>
      <c r="P66" s="20" t="s">
        <v>92</v>
      </c>
      <c r="Q66" s="20">
        <v>0</v>
      </c>
      <c r="R66" s="40"/>
      <c r="S66" s="20">
        <v>0</v>
      </c>
      <c r="T66" s="20">
        <v>0</v>
      </c>
      <c r="U66" s="40"/>
      <c r="V66" s="40">
        <v>46228</v>
      </c>
      <c r="W66" s="20" t="s">
        <v>92</v>
      </c>
      <c r="X66" s="21"/>
      <c r="Y66" s="20">
        <v>0</v>
      </c>
      <c r="Z66" s="20">
        <v>0</v>
      </c>
      <c r="AA66" s="20">
        <v>0</v>
      </c>
      <c r="AB66" s="20" t="s">
        <v>92</v>
      </c>
      <c r="AC66" s="22"/>
      <c r="AD66" s="144"/>
      <c r="AE66" s="20" t="s">
        <v>92</v>
      </c>
      <c r="AF66" s="135"/>
      <c r="AG66" s="135"/>
    </row>
    <row r="67" spans="1:33">
      <c r="A67" s="135" t="s">
        <v>1369</v>
      </c>
      <c r="B67" s="135"/>
      <c r="C67" s="135"/>
      <c r="D67" s="46"/>
      <c r="E67" s="20"/>
      <c r="F67" s="20"/>
      <c r="G67" s="24"/>
      <c r="H67" s="21"/>
      <c r="I67" s="53"/>
      <c r="J67" s="24"/>
      <c r="K67" s="24"/>
      <c r="L67" s="46">
        <v>12138665</v>
      </c>
      <c r="M67" s="20" t="s">
        <v>1365</v>
      </c>
      <c r="N67" s="38">
        <v>0</v>
      </c>
      <c r="O67" s="38">
        <v>0</v>
      </c>
      <c r="P67" s="20" t="s">
        <v>92</v>
      </c>
      <c r="Q67" s="20">
        <v>0</v>
      </c>
      <c r="R67" s="40"/>
      <c r="S67" s="20">
        <v>0</v>
      </c>
      <c r="T67" s="20">
        <v>0</v>
      </c>
      <c r="U67" s="40"/>
      <c r="V67" s="40">
        <v>46228</v>
      </c>
      <c r="W67" s="20" t="s">
        <v>92</v>
      </c>
      <c r="X67" s="21"/>
      <c r="Y67" s="20">
        <v>0</v>
      </c>
      <c r="Z67" s="20">
        <v>0</v>
      </c>
      <c r="AA67" s="20">
        <v>0</v>
      </c>
      <c r="AB67" s="20" t="s">
        <v>92</v>
      </c>
      <c r="AC67" s="22"/>
      <c r="AD67" s="144"/>
      <c r="AE67" s="20" t="s">
        <v>92</v>
      </c>
      <c r="AF67" s="135"/>
      <c r="AG67" s="135"/>
    </row>
    <row r="68" spans="1:33">
      <c r="A68" s="135" t="s">
        <v>1369</v>
      </c>
      <c r="B68" s="135"/>
      <c r="C68" s="135"/>
      <c r="D68" s="46"/>
      <c r="E68" s="20"/>
      <c r="F68" s="20"/>
      <c r="G68" s="24"/>
      <c r="H68" s="21"/>
      <c r="I68" s="53"/>
      <c r="J68" s="24"/>
      <c r="K68" s="24"/>
      <c r="L68" s="46">
        <v>12138672</v>
      </c>
      <c r="M68" s="20" t="s">
        <v>1366</v>
      </c>
      <c r="N68" s="38">
        <v>0</v>
      </c>
      <c r="O68" s="38">
        <v>0</v>
      </c>
      <c r="P68" s="20" t="s">
        <v>92</v>
      </c>
      <c r="Q68" s="20">
        <v>0</v>
      </c>
      <c r="R68" s="40"/>
      <c r="S68" s="20">
        <v>0</v>
      </c>
      <c r="T68" s="20">
        <v>0</v>
      </c>
      <c r="U68" s="40"/>
      <c r="V68" s="40">
        <v>46228</v>
      </c>
      <c r="W68" s="20" t="s">
        <v>92</v>
      </c>
      <c r="X68" s="21"/>
      <c r="Y68" s="20">
        <v>0</v>
      </c>
      <c r="Z68" s="20">
        <v>0</v>
      </c>
      <c r="AA68" s="20">
        <v>0</v>
      </c>
      <c r="AB68" s="20" t="s">
        <v>92</v>
      </c>
      <c r="AC68" s="22"/>
      <c r="AD68" s="144"/>
      <c r="AE68" s="20" t="s">
        <v>92</v>
      </c>
      <c r="AF68" s="135"/>
      <c r="AG68" s="135"/>
    </row>
    <row r="69" spans="1:33">
      <c r="A69" s="135" t="s">
        <v>1369</v>
      </c>
      <c r="B69" s="135"/>
      <c r="C69" s="135"/>
      <c r="D69" s="46"/>
      <c r="E69" s="20"/>
      <c r="F69" s="20"/>
      <c r="G69" s="24"/>
      <c r="H69" s="21"/>
      <c r="I69" s="53"/>
      <c r="J69" s="24"/>
      <c r="K69" s="24"/>
      <c r="L69" s="46">
        <v>12138672</v>
      </c>
      <c r="M69" s="20" t="s">
        <v>1366</v>
      </c>
      <c r="N69" s="38">
        <v>0</v>
      </c>
      <c r="O69" s="38">
        <v>0</v>
      </c>
      <c r="P69" s="20" t="s">
        <v>92</v>
      </c>
      <c r="Q69" s="20">
        <v>0</v>
      </c>
      <c r="R69" s="40"/>
      <c r="S69" s="20">
        <v>0</v>
      </c>
      <c r="T69" s="20">
        <v>0</v>
      </c>
      <c r="U69" s="40"/>
      <c r="V69" s="40">
        <v>46228</v>
      </c>
      <c r="W69" s="20" t="s">
        <v>92</v>
      </c>
      <c r="X69" s="21"/>
      <c r="Y69" s="20">
        <v>0</v>
      </c>
      <c r="Z69" s="20">
        <v>0</v>
      </c>
      <c r="AA69" s="20">
        <v>0</v>
      </c>
      <c r="AB69" s="20" t="s">
        <v>92</v>
      </c>
      <c r="AC69" s="22"/>
      <c r="AD69" s="144"/>
      <c r="AE69" s="20" t="s">
        <v>92</v>
      </c>
      <c r="AF69" s="135"/>
      <c r="AG69" s="135"/>
    </row>
    <row r="70" spans="1:33">
      <c r="A70" s="135" t="s">
        <v>1369</v>
      </c>
      <c r="B70" s="135"/>
      <c r="C70" s="135"/>
      <c r="D70" s="46"/>
      <c r="E70" s="20"/>
      <c r="F70" s="20"/>
      <c r="G70" s="24"/>
      <c r="H70" s="21"/>
      <c r="I70" s="53"/>
      <c r="J70" s="24"/>
      <c r="K70" s="24"/>
      <c r="L70" s="46">
        <v>12138672</v>
      </c>
      <c r="M70" s="20" t="s">
        <v>1366</v>
      </c>
      <c r="N70" s="38">
        <v>0</v>
      </c>
      <c r="O70" s="38">
        <v>0</v>
      </c>
      <c r="P70" s="20" t="s">
        <v>92</v>
      </c>
      <c r="Q70" s="20">
        <v>0</v>
      </c>
      <c r="R70" s="40"/>
      <c r="S70" s="20">
        <v>0</v>
      </c>
      <c r="T70" s="20">
        <v>0</v>
      </c>
      <c r="U70" s="40"/>
      <c r="V70" s="40">
        <v>46228</v>
      </c>
      <c r="W70" s="20" t="s">
        <v>92</v>
      </c>
      <c r="X70" s="21"/>
      <c r="Y70" s="20">
        <v>0</v>
      </c>
      <c r="Z70" s="20">
        <v>0</v>
      </c>
      <c r="AA70" s="20">
        <v>0</v>
      </c>
      <c r="AB70" s="20" t="s">
        <v>92</v>
      </c>
      <c r="AC70" s="22"/>
      <c r="AD70" s="144"/>
      <c r="AE70" s="20" t="s">
        <v>92</v>
      </c>
      <c r="AF70" s="135"/>
      <c r="AG70" s="135"/>
    </row>
    <row r="71" spans="1:33">
      <c r="A71" s="135" t="s">
        <v>1369</v>
      </c>
      <c r="B71" s="135" t="s">
        <v>1350</v>
      </c>
      <c r="C71" s="135">
        <v>2000127533</v>
      </c>
      <c r="D71" s="46">
        <v>11120964</v>
      </c>
      <c r="E71" s="20" t="s">
        <v>1344</v>
      </c>
      <c r="F71" s="20" t="s">
        <v>1345</v>
      </c>
      <c r="G71" s="24">
        <v>27</v>
      </c>
      <c r="H71" s="21" t="s">
        <v>1363</v>
      </c>
      <c r="I71" s="53">
        <v>103561427</v>
      </c>
      <c r="J71" s="24" t="s">
        <v>1373</v>
      </c>
      <c r="K71" s="24">
        <v>27</v>
      </c>
      <c r="L71" s="46">
        <v>12142011</v>
      </c>
      <c r="M71" s="20" t="s">
        <v>1364</v>
      </c>
      <c r="N71" s="38">
        <v>0</v>
      </c>
      <c r="O71" s="38">
        <v>0</v>
      </c>
      <c r="P71" s="20" t="s">
        <v>92</v>
      </c>
      <c r="Q71" s="20">
        <v>0</v>
      </c>
      <c r="R71" s="40"/>
      <c r="S71" s="20">
        <v>0</v>
      </c>
      <c r="T71" s="20">
        <v>0</v>
      </c>
      <c r="U71" s="40"/>
      <c r="V71" s="40">
        <v>46228</v>
      </c>
      <c r="W71" s="20" t="s">
        <v>92</v>
      </c>
      <c r="X71" s="21"/>
      <c r="Y71" s="20">
        <v>0</v>
      </c>
      <c r="Z71" s="20">
        <v>0</v>
      </c>
      <c r="AA71" s="20">
        <v>0</v>
      </c>
      <c r="AB71" s="20" t="s">
        <v>92</v>
      </c>
      <c r="AC71" s="22"/>
      <c r="AD71" s="144"/>
      <c r="AE71" s="20" t="s">
        <v>92</v>
      </c>
      <c r="AF71" s="135"/>
      <c r="AG71" s="135"/>
    </row>
    <row r="72" spans="1:33">
      <c r="A72" s="135" t="s">
        <v>1369</v>
      </c>
      <c r="B72" s="135"/>
      <c r="C72" s="135"/>
      <c r="D72" s="46"/>
      <c r="E72" s="20"/>
      <c r="F72" s="20"/>
      <c r="G72" s="24"/>
      <c r="H72" s="21"/>
      <c r="I72" s="53"/>
      <c r="J72" s="24"/>
      <c r="K72" s="24"/>
      <c r="L72" s="46">
        <v>12138665</v>
      </c>
      <c r="M72" s="20" t="s">
        <v>1365</v>
      </c>
      <c r="N72" s="38">
        <v>0</v>
      </c>
      <c r="O72" s="38">
        <v>0</v>
      </c>
      <c r="P72" s="20" t="s">
        <v>92</v>
      </c>
      <c r="Q72" s="20">
        <v>0</v>
      </c>
      <c r="R72" s="40"/>
      <c r="S72" s="20">
        <v>0</v>
      </c>
      <c r="T72" s="20">
        <v>0</v>
      </c>
      <c r="U72" s="40"/>
      <c r="V72" s="40">
        <v>46228</v>
      </c>
      <c r="W72" s="20" t="s">
        <v>92</v>
      </c>
      <c r="X72" s="21"/>
      <c r="Y72" s="20">
        <v>0</v>
      </c>
      <c r="Z72" s="20">
        <v>0</v>
      </c>
      <c r="AA72" s="20">
        <v>0</v>
      </c>
      <c r="AB72" s="20" t="s">
        <v>92</v>
      </c>
      <c r="AC72" s="22"/>
      <c r="AD72" s="144"/>
      <c r="AE72" s="20" t="s">
        <v>92</v>
      </c>
      <c r="AF72" s="135"/>
      <c r="AG72" s="135"/>
    </row>
    <row r="73" spans="1:33">
      <c r="A73" s="135" t="s">
        <v>1369</v>
      </c>
      <c r="B73" s="135"/>
      <c r="C73" s="135"/>
      <c r="D73" s="46"/>
      <c r="E73" s="20"/>
      <c r="F73" s="20"/>
      <c r="G73" s="24"/>
      <c r="H73" s="21"/>
      <c r="I73" s="53"/>
      <c r="J73" s="24"/>
      <c r="K73" s="24"/>
      <c r="L73" s="46">
        <v>12138672</v>
      </c>
      <c r="M73" s="20" t="s">
        <v>1366</v>
      </c>
      <c r="N73" s="38">
        <v>0</v>
      </c>
      <c r="O73" s="38">
        <v>0</v>
      </c>
      <c r="P73" s="20" t="s">
        <v>92</v>
      </c>
      <c r="Q73" s="20">
        <v>0</v>
      </c>
      <c r="R73" s="40"/>
      <c r="S73" s="20">
        <v>0</v>
      </c>
      <c r="T73" s="20">
        <v>0</v>
      </c>
      <c r="U73" s="40"/>
      <c r="V73" s="40">
        <v>46228</v>
      </c>
      <c r="W73" s="20" t="s">
        <v>92</v>
      </c>
      <c r="X73" s="21"/>
      <c r="Y73" s="20">
        <v>0</v>
      </c>
      <c r="Z73" s="20">
        <v>0</v>
      </c>
      <c r="AA73" s="20">
        <v>0</v>
      </c>
      <c r="AB73" s="20" t="s">
        <v>92</v>
      </c>
      <c r="AC73" s="22"/>
      <c r="AD73" s="144"/>
      <c r="AE73" s="20" t="s">
        <v>92</v>
      </c>
      <c r="AF73" s="135"/>
      <c r="AG73" s="135"/>
    </row>
    <row r="74" spans="1:33">
      <c r="A74" s="135" t="s">
        <v>1369</v>
      </c>
      <c r="B74" s="135"/>
      <c r="C74" s="135"/>
      <c r="D74" s="46"/>
      <c r="E74" s="20"/>
      <c r="F74" s="20"/>
      <c r="G74" s="24"/>
      <c r="H74" s="21"/>
      <c r="I74" s="53"/>
      <c r="J74" s="24"/>
      <c r="K74" s="24"/>
      <c r="L74" s="46">
        <v>12138672</v>
      </c>
      <c r="M74" s="20" t="s">
        <v>1366</v>
      </c>
      <c r="N74" s="38">
        <v>0</v>
      </c>
      <c r="O74" s="38">
        <v>0</v>
      </c>
      <c r="P74" s="20" t="s">
        <v>92</v>
      </c>
      <c r="Q74" s="20">
        <v>0</v>
      </c>
      <c r="R74" s="40"/>
      <c r="S74" s="20">
        <v>0</v>
      </c>
      <c r="T74" s="20">
        <v>0</v>
      </c>
      <c r="U74" s="40"/>
      <c r="V74" s="40">
        <v>46228</v>
      </c>
      <c r="W74" s="20" t="s">
        <v>92</v>
      </c>
      <c r="X74" s="21"/>
      <c r="Y74" s="20">
        <v>0</v>
      </c>
      <c r="Z74" s="20">
        <v>0</v>
      </c>
      <c r="AA74" s="20">
        <v>0</v>
      </c>
      <c r="AB74" s="20" t="s">
        <v>92</v>
      </c>
      <c r="AC74" s="22"/>
      <c r="AD74" s="144"/>
      <c r="AE74" s="20" t="s">
        <v>92</v>
      </c>
      <c r="AF74" s="135"/>
      <c r="AG74" s="135"/>
    </row>
    <row r="75" spans="1:33">
      <c r="A75" s="135" t="s">
        <v>1369</v>
      </c>
      <c r="B75" s="135" t="s">
        <v>1351</v>
      </c>
      <c r="C75" s="135">
        <v>2000127534</v>
      </c>
      <c r="D75" s="46">
        <v>11120964</v>
      </c>
      <c r="E75" s="20" t="s">
        <v>1344</v>
      </c>
      <c r="F75" s="20" t="s">
        <v>1345</v>
      </c>
      <c r="G75" s="24">
        <v>28</v>
      </c>
      <c r="H75" s="21" t="s">
        <v>1363</v>
      </c>
      <c r="I75" s="53">
        <v>103561428</v>
      </c>
      <c r="J75" s="24" t="s">
        <v>1374</v>
      </c>
      <c r="K75" s="24">
        <v>28</v>
      </c>
      <c r="L75" s="46">
        <v>12142011</v>
      </c>
      <c r="M75" s="20" t="s">
        <v>1364</v>
      </c>
      <c r="N75" s="38">
        <v>0</v>
      </c>
      <c r="O75" s="38">
        <v>0</v>
      </c>
      <c r="P75" s="20" t="s">
        <v>92</v>
      </c>
      <c r="Q75" s="20">
        <v>0</v>
      </c>
      <c r="R75" s="40"/>
      <c r="S75" s="20">
        <v>0</v>
      </c>
      <c r="T75" s="20">
        <v>0</v>
      </c>
      <c r="U75" s="40"/>
      <c r="V75" s="40">
        <v>46228</v>
      </c>
      <c r="W75" s="20" t="s">
        <v>92</v>
      </c>
      <c r="X75" s="21"/>
      <c r="Y75" s="20">
        <v>0</v>
      </c>
      <c r="Z75" s="20">
        <v>0</v>
      </c>
      <c r="AA75" s="20">
        <v>0</v>
      </c>
      <c r="AB75" s="20" t="s">
        <v>92</v>
      </c>
      <c r="AC75" s="22"/>
      <c r="AD75" s="144"/>
      <c r="AE75" s="20" t="s">
        <v>92</v>
      </c>
      <c r="AF75" s="135"/>
      <c r="AG75" s="135"/>
    </row>
    <row r="76" spans="1:33">
      <c r="A76" s="135" t="s">
        <v>1369</v>
      </c>
      <c r="B76" s="135"/>
      <c r="C76" s="135"/>
      <c r="D76" s="46"/>
      <c r="E76" s="20"/>
      <c r="F76" s="20"/>
      <c r="G76" s="24"/>
      <c r="H76" s="21"/>
      <c r="I76" s="53"/>
      <c r="J76" s="24"/>
      <c r="K76" s="24"/>
      <c r="L76" s="46">
        <v>12138665</v>
      </c>
      <c r="M76" s="20" t="s">
        <v>1365</v>
      </c>
      <c r="N76" s="38">
        <v>0</v>
      </c>
      <c r="O76" s="38">
        <v>0</v>
      </c>
      <c r="P76" s="20" t="s">
        <v>92</v>
      </c>
      <c r="Q76" s="20">
        <v>0</v>
      </c>
      <c r="R76" s="40"/>
      <c r="S76" s="20">
        <v>0</v>
      </c>
      <c r="T76" s="20">
        <v>0</v>
      </c>
      <c r="U76" s="40"/>
      <c r="V76" s="40">
        <v>46228</v>
      </c>
      <c r="W76" s="20" t="s">
        <v>92</v>
      </c>
      <c r="X76" s="21"/>
      <c r="Y76" s="20">
        <v>0</v>
      </c>
      <c r="Z76" s="20">
        <v>0</v>
      </c>
      <c r="AA76" s="20">
        <v>0</v>
      </c>
      <c r="AB76" s="20" t="s">
        <v>92</v>
      </c>
      <c r="AC76" s="22"/>
      <c r="AD76" s="144"/>
      <c r="AE76" s="20" t="s">
        <v>92</v>
      </c>
      <c r="AF76" s="135"/>
      <c r="AG76" s="135"/>
    </row>
    <row r="77" spans="1:33">
      <c r="A77" s="135" t="s">
        <v>1369</v>
      </c>
      <c r="B77" s="135"/>
      <c r="C77" s="135"/>
      <c r="D77" s="46"/>
      <c r="E77" s="20"/>
      <c r="F77" s="20"/>
      <c r="G77" s="24"/>
      <c r="H77" s="21"/>
      <c r="I77" s="53"/>
      <c r="J77" s="24"/>
      <c r="K77" s="24"/>
      <c r="L77" s="46">
        <v>12138672</v>
      </c>
      <c r="M77" s="20" t="s">
        <v>1366</v>
      </c>
      <c r="N77" s="38">
        <v>0</v>
      </c>
      <c r="O77" s="38">
        <v>0</v>
      </c>
      <c r="P77" s="20" t="s">
        <v>92</v>
      </c>
      <c r="Q77" s="20">
        <v>0</v>
      </c>
      <c r="R77" s="40"/>
      <c r="S77" s="20">
        <v>0</v>
      </c>
      <c r="T77" s="20">
        <v>0</v>
      </c>
      <c r="U77" s="40"/>
      <c r="V77" s="40">
        <v>46228</v>
      </c>
      <c r="W77" s="20" t="s">
        <v>92</v>
      </c>
      <c r="X77" s="21"/>
      <c r="Y77" s="20">
        <v>0</v>
      </c>
      <c r="Z77" s="20">
        <v>0</v>
      </c>
      <c r="AA77" s="20">
        <v>0</v>
      </c>
      <c r="AB77" s="20" t="s">
        <v>92</v>
      </c>
      <c r="AC77" s="22"/>
      <c r="AD77" s="144"/>
      <c r="AE77" s="20" t="s">
        <v>92</v>
      </c>
      <c r="AF77" s="135"/>
      <c r="AG77" s="135"/>
    </row>
    <row r="78" spans="1:33">
      <c r="A78" s="135" t="s">
        <v>1369</v>
      </c>
      <c r="B78" s="135" t="s">
        <v>1352</v>
      </c>
      <c r="C78" s="135">
        <v>2000127535</v>
      </c>
      <c r="D78" s="46">
        <v>11120964</v>
      </c>
      <c r="E78" s="20" t="s">
        <v>1344</v>
      </c>
      <c r="F78" s="20" t="s">
        <v>1345</v>
      </c>
      <c r="G78" s="24">
        <v>28</v>
      </c>
      <c r="H78" s="21" t="s">
        <v>1363</v>
      </c>
      <c r="I78" s="53">
        <v>103561429</v>
      </c>
      <c r="J78" s="24" t="s">
        <v>1375</v>
      </c>
      <c r="K78" s="24">
        <v>28</v>
      </c>
      <c r="L78" s="46">
        <v>12142011</v>
      </c>
      <c r="M78" s="20" t="s">
        <v>1364</v>
      </c>
      <c r="N78" s="38">
        <v>0</v>
      </c>
      <c r="O78" s="38">
        <v>0</v>
      </c>
      <c r="P78" s="20" t="s">
        <v>92</v>
      </c>
      <c r="Q78" s="20">
        <v>0</v>
      </c>
      <c r="R78" s="40"/>
      <c r="S78" s="20">
        <v>0</v>
      </c>
      <c r="T78" s="20">
        <v>0</v>
      </c>
      <c r="U78" s="40"/>
      <c r="V78" s="40">
        <v>46228</v>
      </c>
      <c r="W78" s="20" t="s">
        <v>92</v>
      </c>
      <c r="X78" s="21"/>
      <c r="Y78" s="20">
        <v>0</v>
      </c>
      <c r="Z78" s="20">
        <v>0</v>
      </c>
      <c r="AA78" s="20">
        <v>0</v>
      </c>
      <c r="AB78" s="20" t="s">
        <v>92</v>
      </c>
      <c r="AC78" s="22"/>
      <c r="AD78" s="144"/>
      <c r="AE78" s="20" t="s">
        <v>92</v>
      </c>
      <c r="AF78" s="135"/>
      <c r="AG78" s="135"/>
    </row>
    <row r="79" spans="1:33">
      <c r="A79" s="135" t="s">
        <v>1369</v>
      </c>
      <c r="B79" s="135"/>
      <c r="C79" s="135"/>
      <c r="D79" s="46"/>
      <c r="E79" s="20"/>
      <c r="F79" s="20"/>
      <c r="G79" s="24"/>
      <c r="H79" s="21"/>
      <c r="I79" s="53"/>
      <c r="J79" s="24"/>
      <c r="K79" s="24"/>
      <c r="L79" s="46">
        <v>12138665</v>
      </c>
      <c r="M79" s="20" t="s">
        <v>1365</v>
      </c>
      <c r="N79" s="38">
        <v>0</v>
      </c>
      <c r="O79" s="38">
        <v>0</v>
      </c>
      <c r="P79" s="20" t="s">
        <v>92</v>
      </c>
      <c r="Q79" s="20">
        <v>0</v>
      </c>
      <c r="R79" s="40"/>
      <c r="S79" s="20">
        <v>0</v>
      </c>
      <c r="T79" s="20">
        <v>0</v>
      </c>
      <c r="U79" s="40"/>
      <c r="V79" s="40">
        <v>46228</v>
      </c>
      <c r="W79" s="20" t="s">
        <v>92</v>
      </c>
      <c r="X79" s="21"/>
      <c r="Y79" s="20">
        <v>0</v>
      </c>
      <c r="Z79" s="20">
        <v>0</v>
      </c>
      <c r="AA79" s="20">
        <v>0</v>
      </c>
      <c r="AB79" s="20" t="s">
        <v>92</v>
      </c>
      <c r="AC79" s="22"/>
      <c r="AD79" s="144"/>
      <c r="AE79" s="20" t="s">
        <v>92</v>
      </c>
      <c r="AF79" s="135"/>
      <c r="AG79" s="135"/>
    </row>
    <row r="80" spans="1:33">
      <c r="A80" s="135" t="s">
        <v>1369</v>
      </c>
      <c r="B80" s="135"/>
      <c r="C80" s="135"/>
      <c r="D80" s="46"/>
      <c r="E80" s="20"/>
      <c r="F80" s="20"/>
      <c r="G80" s="24"/>
      <c r="H80" s="21"/>
      <c r="I80" s="53"/>
      <c r="J80" s="24"/>
      <c r="K80" s="24"/>
      <c r="L80" s="46">
        <v>12138672</v>
      </c>
      <c r="M80" s="20" t="s">
        <v>1366</v>
      </c>
      <c r="N80" s="38">
        <v>0</v>
      </c>
      <c r="O80" s="38">
        <v>0</v>
      </c>
      <c r="P80" s="20" t="s">
        <v>92</v>
      </c>
      <c r="Q80" s="20">
        <v>0</v>
      </c>
      <c r="R80" s="40"/>
      <c r="S80" s="20">
        <v>0</v>
      </c>
      <c r="T80" s="20">
        <v>0</v>
      </c>
      <c r="U80" s="40"/>
      <c r="V80" s="40">
        <v>46228</v>
      </c>
      <c r="W80" s="20" t="s">
        <v>92</v>
      </c>
      <c r="X80" s="21"/>
      <c r="Y80" s="20">
        <v>0</v>
      </c>
      <c r="Z80" s="20">
        <v>0</v>
      </c>
      <c r="AA80" s="20">
        <v>0</v>
      </c>
      <c r="AB80" s="20" t="s">
        <v>92</v>
      </c>
      <c r="AC80" s="22"/>
      <c r="AD80" s="144"/>
      <c r="AE80" s="20" t="s">
        <v>92</v>
      </c>
      <c r="AF80" s="135"/>
      <c r="AG80" s="135"/>
    </row>
    <row r="81" spans="1:33">
      <c r="A81" s="135" t="s">
        <v>1369</v>
      </c>
      <c r="B81" s="135" t="s">
        <v>1353</v>
      </c>
      <c r="C81" s="135">
        <v>2000127536</v>
      </c>
      <c r="D81" s="46">
        <v>11120964</v>
      </c>
      <c r="E81" s="20" t="s">
        <v>1344</v>
      </c>
      <c r="F81" s="20" t="s">
        <v>1345</v>
      </c>
      <c r="G81" s="24">
        <v>27</v>
      </c>
      <c r="H81" s="21" t="s">
        <v>1363</v>
      </c>
      <c r="I81" s="53">
        <v>103561430</v>
      </c>
      <c r="J81" s="24" t="s">
        <v>1376</v>
      </c>
      <c r="K81" s="24">
        <v>27</v>
      </c>
      <c r="L81" s="46">
        <v>12142011</v>
      </c>
      <c r="M81" s="20" t="s">
        <v>1364</v>
      </c>
      <c r="N81" s="38">
        <v>0</v>
      </c>
      <c r="O81" s="38">
        <v>0</v>
      </c>
      <c r="P81" s="20" t="s">
        <v>92</v>
      </c>
      <c r="Q81" s="20">
        <v>0</v>
      </c>
      <c r="R81" s="40"/>
      <c r="S81" s="20">
        <v>0</v>
      </c>
      <c r="T81" s="20">
        <v>0</v>
      </c>
      <c r="U81" s="40"/>
      <c r="V81" s="40">
        <v>46228</v>
      </c>
      <c r="W81" s="20" t="s">
        <v>92</v>
      </c>
      <c r="X81" s="21"/>
      <c r="Y81" s="20">
        <v>0</v>
      </c>
      <c r="Z81" s="20">
        <v>0</v>
      </c>
      <c r="AA81" s="20">
        <v>0</v>
      </c>
      <c r="AB81" s="20" t="s">
        <v>92</v>
      </c>
      <c r="AC81" s="22"/>
      <c r="AD81" s="144"/>
      <c r="AE81" s="20" t="s">
        <v>92</v>
      </c>
      <c r="AF81" s="135"/>
      <c r="AG81" s="135"/>
    </row>
    <row r="82" spans="1:33">
      <c r="A82" s="135" t="s">
        <v>1369</v>
      </c>
      <c r="B82" s="135"/>
      <c r="C82" s="135"/>
      <c r="D82" s="46"/>
      <c r="E82" s="20"/>
      <c r="F82" s="20"/>
      <c r="G82" s="24"/>
      <c r="H82" s="21"/>
      <c r="I82" s="53"/>
      <c r="J82" s="24"/>
      <c r="K82" s="24"/>
      <c r="L82" s="46">
        <v>12138665</v>
      </c>
      <c r="M82" s="20" t="s">
        <v>1365</v>
      </c>
      <c r="N82" s="38">
        <v>0</v>
      </c>
      <c r="O82" s="38">
        <v>0</v>
      </c>
      <c r="P82" s="20" t="s">
        <v>92</v>
      </c>
      <c r="Q82" s="20">
        <v>0</v>
      </c>
      <c r="R82" s="40"/>
      <c r="S82" s="20">
        <v>0</v>
      </c>
      <c r="T82" s="20">
        <v>0</v>
      </c>
      <c r="U82" s="40"/>
      <c r="V82" s="40">
        <v>46228</v>
      </c>
      <c r="W82" s="20" t="s">
        <v>92</v>
      </c>
      <c r="X82" s="21"/>
      <c r="Y82" s="20">
        <v>0</v>
      </c>
      <c r="Z82" s="20">
        <v>0</v>
      </c>
      <c r="AA82" s="20">
        <v>0</v>
      </c>
      <c r="AB82" s="20" t="s">
        <v>92</v>
      </c>
      <c r="AC82" s="22"/>
      <c r="AD82" s="144"/>
      <c r="AE82" s="20" t="s">
        <v>92</v>
      </c>
      <c r="AF82" s="135"/>
      <c r="AG82" s="135"/>
    </row>
    <row r="83" spans="1:33">
      <c r="A83" s="135" t="s">
        <v>1369</v>
      </c>
      <c r="B83" s="135"/>
      <c r="C83" s="135"/>
      <c r="D83" s="46"/>
      <c r="E83" s="20"/>
      <c r="F83" s="20"/>
      <c r="G83" s="24"/>
      <c r="H83" s="21"/>
      <c r="I83" s="53"/>
      <c r="J83" s="24"/>
      <c r="K83" s="24"/>
      <c r="L83" s="46">
        <v>12138672</v>
      </c>
      <c r="M83" s="20" t="s">
        <v>1366</v>
      </c>
      <c r="N83" s="38">
        <v>0</v>
      </c>
      <c r="O83" s="38">
        <v>0</v>
      </c>
      <c r="P83" s="20" t="s">
        <v>92</v>
      </c>
      <c r="Q83" s="20">
        <v>0</v>
      </c>
      <c r="R83" s="40"/>
      <c r="S83" s="20">
        <v>0</v>
      </c>
      <c r="T83" s="20">
        <v>0</v>
      </c>
      <c r="U83" s="40"/>
      <c r="V83" s="40">
        <v>46228</v>
      </c>
      <c r="W83" s="20" t="s">
        <v>92</v>
      </c>
      <c r="X83" s="21"/>
      <c r="Y83" s="20">
        <v>0</v>
      </c>
      <c r="Z83" s="20">
        <v>0</v>
      </c>
      <c r="AA83" s="20">
        <v>0</v>
      </c>
      <c r="AB83" s="20" t="s">
        <v>92</v>
      </c>
      <c r="AC83" s="22"/>
      <c r="AD83" s="144"/>
      <c r="AE83" s="20" t="s">
        <v>92</v>
      </c>
      <c r="AF83" s="135"/>
      <c r="AG83" s="135"/>
    </row>
    <row r="84" spans="1:33">
      <c r="A84" s="135" t="s">
        <v>1369</v>
      </c>
      <c r="B84" s="135" t="s">
        <v>1354</v>
      </c>
      <c r="C84" s="135">
        <v>2000127537</v>
      </c>
      <c r="D84" s="46">
        <v>11120964</v>
      </c>
      <c r="E84" s="20" t="s">
        <v>1344</v>
      </c>
      <c r="F84" s="20" t="s">
        <v>1345</v>
      </c>
      <c r="G84" s="24">
        <v>10</v>
      </c>
      <c r="H84" s="21" t="s">
        <v>1363</v>
      </c>
      <c r="I84" s="53" t="s">
        <v>1377</v>
      </c>
      <c r="J84" s="24" t="s">
        <v>1378</v>
      </c>
      <c r="K84" s="24">
        <v>10</v>
      </c>
      <c r="L84" s="46">
        <v>12142011</v>
      </c>
      <c r="M84" s="20" t="s">
        <v>1364</v>
      </c>
      <c r="N84" s="38">
        <v>0</v>
      </c>
      <c r="O84" s="38">
        <v>0</v>
      </c>
      <c r="P84" s="20" t="s">
        <v>92</v>
      </c>
      <c r="Q84" s="20">
        <v>0</v>
      </c>
      <c r="R84" s="40"/>
      <c r="S84" s="20">
        <v>0</v>
      </c>
      <c r="T84" s="20">
        <v>0</v>
      </c>
      <c r="U84" s="40"/>
      <c r="V84" s="40">
        <v>46228</v>
      </c>
      <c r="W84" s="20" t="s">
        <v>92</v>
      </c>
      <c r="X84" s="21"/>
      <c r="Y84" s="20">
        <v>0</v>
      </c>
      <c r="Z84" s="20">
        <v>0</v>
      </c>
      <c r="AA84" s="20">
        <v>0</v>
      </c>
      <c r="AB84" s="20" t="s">
        <v>92</v>
      </c>
      <c r="AC84" s="22"/>
      <c r="AD84" s="144"/>
      <c r="AE84" s="20" t="s">
        <v>92</v>
      </c>
      <c r="AF84" s="135"/>
      <c r="AG84" s="135"/>
    </row>
    <row r="85" spans="1:33">
      <c r="A85" s="135" t="s">
        <v>1369</v>
      </c>
      <c r="B85" s="135"/>
      <c r="C85" s="135"/>
      <c r="D85" s="46"/>
      <c r="E85" s="20"/>
      <c r="F85" s="20"/>
      <c r="G85" s="24"/>
      <c r="H85" s="21"/>
      <c r="I85" s="53"/>
      <c r="J85" s="24"/>
      <c r="K85" s="24"/>
      <c r="L85" s="46">
        <v>12138665</v>
      </c>
      <c r="M85" s="20" t="s">
        <v>1365</v>
      </c>
      <c r="N85" s="38">
        <v>0</v>
      </c>
      <c r="O85" s="38">
        <v>0</v>
      </c>
      <c r="P85" s="20" t="s">
        <v>92</v>
      </c>
      <c r="Q85" s="20">
        <v>0</v>
      </c>
      <c r="R85" s="40"/>
      <c r="S85" s="20">
        <v>0</v>
      </c>
      <c r="T85" s="20">
        <v>0</v>
      </c>
      <c r="U85" s="40"/>
      <c r="V85" s="40">
        <v>46228</v>
      </c>
      <c r="W85" s="20" t="s">
        <v>92</v>
      </c>
      <c r="X85" s="21"/>
      <c r="Y85" s="20">
        <v>0</v>
      </c>
      <c r="Z85" s="20">
        <v>0</v>
      </c>
      <c r="AA85" s="20">
        <v>0</v>
      </c>
      <c r="AB85" s="20" t="s">
        <v>92</v>
      </c>
      <c r="AC85" s="22"/>
      <c r="AD85" s="144"/>
      <c r="AE85" s="20" t="s">
        <v>92</v>
      </c>
      <c r="AF85" s="135"/>
      <c r="AG85" s="135"/>
    </row>
    <row r="86" spans="1:33">
      <c r="A86" s="135" t="s">
        <v>1369</v>
      </c>
      <c r="B86" s="135"/>
      <c r="C86" s="135"/>
      <c r="D86" s="46"/>
      <c r="E86" s="20"/>
      <c r="F86" s="20"/>
      <c r="G86" s="24"/>
      <c r="H86" s="21"/>
      <c r="I86" s="53"/>
      <c r="J86" s="24"/>
      <c r="K86" s="24"/>
      <c r="L86" s="46">
        <v>12138672</v>
      </c>
      <c r="M86" s="20" t="s">
        <v>1366</v>
      </c>
      <c r="N86" s="38">
        <v>0</v>
      </c>
      <c r="O86" s="38">
        <v>0</v>
      </c>
      <c r="P86" s="20" t="s">
        <v>92</v>
      </c>
      <c r="Q86" s="20">
        <v>0</v>
      </c>
      <c r="R86" s="40"/>
      <c r="S86" s="20">
        <v>0</v>
      </c>
      <c r="T86" s="20">
        <v>0</v>
      </c>
      <c r="U86" s="40"/>
      <c r="V86" s="40">
        <v>46228</v>
      </c>
      <c r="W86" s="20" t="s">
        <v>92</v>
      </c>
      <c r="X86" s="21"/>
      <c r="Y86" s="20">
        <v>0</v>
      </c>
      <c r="Z86" s="20">
        <v>0</v>
      </c>
      <c r="AA86" s="20">
        <v>0</v>
      </c>
      <c r="AB86" s="20" t="s">
        <v>92</v>
      </c>
      <c r="AC86" s="22"/>
      <c r="AD86" s="144"/>
      <c r="AE86" s="20" t="s">
        <v>92</v>
      </c>
      <c r="AF86" s="135"/>
      <c r="AG86" s="135"/>
    </row>
    <row r="87" spans="1:33">
      <c r="A87" s="135" t="s">
        <v>1369</v>
      </c>
      <c r="B87" s="135" t="s">
        <v>1355</v>
      </c>
      <c r="C87" s="135">
        <v>2000127538</v>
      </c>
      <c r="D87" s="46">
        <v>11120964</v>
      </c>
      <c r="E87" s="20" t="s">
        <v>1344</v>
      </c>
      <c r="F87" s="20" t="s">
        <v>1345</v>
      </c>
      <c r="G87" s="24">
        <v>11</v>
      </c>
      <c r="H87" s="21" t="s">
        <v>1363</v>
      </c>
      <c r="I87" s="53" t="s">
        <v>1379</v>
      </c>
      <c r="J87" s="24" t="s">
        <v>1380</v>
      </c>
      <c r="K87" s="24">
        <v>11</v>
      </c>
      <c r="L87" s="46">
        <v>12142011</v>
      </c>
      <c r="M87" s="20" t="s">
        <v>1364</v>
      </c>
      <c r="N87" s="38">
        <v>0</v>
      </c>
      <c r="O87" s="38">
        <v>0</v>
      </c>
      <c r="P87" s="20" t="s">
        <v>92</v>
      </c>
      <c r="Q87" s="20">
        <v>0</v>
      </c>
      <c r="R87" s="40"/>
      <c r="S87" s="20">
        <v>0</v>
      </c>
      <c r="T87" s="20">
        <v>0</v>
      </c>
      <c r="U87" s="40"/>
      <c r="V87" s="40">
        <v>46228</v>
      </c>
      <c r="W87" s="20" t="s">
        <v>92</v>
      </c>
      <c r="X87" s="21"/>
      <c r="Y87" s="20">
        <v>0</v>
      </c>
      <c r="Z87" s="20">
        <v>0</v>
      </c>
      <c r="AA87" s="20">
        <v>0</v>
      </c>
      <c r="AB87" s="20" t="s">
        <v>92</v>
      </c>
      <c r="AC87" s="22"/>
      <c r="AD87" s="144"/>
      <c r="AE87" s="20" t="s">
        <v>92</v>
      </c>
      <c r="AF87" s="135"/>
      <c r="AG87" s="135"/>
    </row>
    <row r="88" spans="1:33">
      <c r="A88" s="135" t="s">
        <v>1369</v>
      </c>
      <c r="B88" s="135"/>
      <c r="C88" s="135"/>
      <c r="D88" s="46"/>
      <c r="E88" s="20"/>
      <c r="F88" s="20"/>
      <c r="G88" s="24"/>
      <c r="H88" s="21"/>
      <c r="I88" s="53"/>
      <c r="J88" s="24"/>
      <c r="K88" s="24"/>
      <c r="L88" s="46">
        <v>12138665</v>
      </c>
      <c r="M88" s="20" t="s">
        <v>1365</v>
      </c>
      <c r="N88" s="38">
        <v>0</v>
      </c>
      <c r="O88" s="38">
        <v>0</v>
      </c>
      <c r="P88" s="20" t="s">
        <v>92</v>
      </c>
      <c r="Q88" s="20">
        <v>0</v>
      </c>
      <c r="R88" s="40"/>
      <c r="S88" s="20">
        <v>0</v>
      </c>
      <c r="T88" s="20">
        <v>0</v>
      </c>
      <c r="U88" s="40"/>
      <c r="V88" s="40">
        <v>46228</v>
      </c>
      <c r="W88" s="20" t="s">
        <v>92</v>
      </c>
      <c r="X88" s="21"/>
      <c r="Y88" s="20">
        <v>0</v>
      </c>
      <c r="Z88" s="20">
        <v>0</v>
      </c>
      <c r="AA88" s="20">
        <v>0</v>
      </c>
      <c r="AB88" s="20" t="s">
        <v>92</v>
      </c>
      <c r="AC88" s="22"/>
      <c r="AD88" s="144"/>
      <c r="AE88" s="20" t="s">
        <v>92</v>
      </c>
      <c r="AF88" s="135"/>
      <c r="AG88" s="135"/>
    </row>
    <row r="89" spans="1:33">
      <c r="A89" s="135" t="s">
        <v>1369</v>
      </c>
      <c r="B89" s="135"/>
      <c r="C89" s="135"/>
      <c r="D89" s="46"/>
      <c r="E89" s="20"/>
      <c r="F89" s="20"/>
      <c r="G89" s="24"/>
      <c r="H89" s="21"/>
      <c r="I89" s="53"/>
      <c r="J89" s="24"/>
      <c r="K89" s="24"/>
      <c r="L89" s="46">
        <v>12138672</v>
      </c>
      <c r="M89" s="20" t="s">
        <v>1366</v>
      </c>
      <c r="N89" s="38">
        <v>0</v>
      </c>
      <c r="O89" s="38">
        <v>0</v>
      </c>
      <c r="P89" s="20" t="s">
        <v>92</v>
      </c>
      <c r="Q89" s="20">
        <v>0</v>
      </c>
      <c r="R89" s="40"/>
      <c r="S89" s="20">
        <v>0</v>
      </c>
      <c r="T89" s="20">
        <v>0</v>
      </c>
      <c r="U89" s="40"/>
      <c r="V89" s="40">
        <v>46228</v>
      </c>
      <c r="W89" s="20" t="s">
        <v>92</v>
      </c>
      <c r="X89" s="21"/>
      <c r="Y89" s="20">
        <v>0</v>
      </c>
      <c r="Z89" s="20">
        <v>0</v>
      </c>
      <c r="AA89" s="20">
        <v>0</v>
      </c>
      <c r="AB89" s="20" t="s">
        <v>92</v>
      </c>
      <c r="AC89" s="22"/>
      <c r="AD89" s="144"/>
      <c r="AE89" s="20" t="s">
        <v>92</v>
      </c>
      <c r="AF89" s="135"/>
      <c r="AG89" s="135"/>
    </row>
    <row r="90" spans="1:33">
      <c r="A90" s="135" t="s">
        <v>1369</v>
      </c>
      <c r="B90" s="135" t="s">
        <v>1356</v>
      </c>
      <c r="C90" s="135">
        <v>2000127539</v>
      </c>
      <c r="D90" s="46">
        <v>11120964</v>
      </c>
      <c r="E90" s="20" t="s">
        <v>1344</v>
      </c>
      <c r="F90" s="20" t="s">
        <v>1345</v>
      </c>
      <c r="G90" s="24">
        <v>11</v>
      </c>
      <c r="H90" s="21" t="s">
        <v>1363</v>
      </c>
      <c r="I90" s="53">
        <v>103561433</v>
      </c>
      <c r="J90" s="24" t="s">
        <v>1381</v>
      </c>
      <c r="K90" s="24">
        <v>11</v>
      </c>
      <c r="L90" s="46">
        <v>12142011</v>
      </c>
      <c r="M90" s="20" t="s">
        <v>1364</v>
      </c>
      <c r="N90" s="38">
        <v>0</v>
      </c>
      <c r="O90" s="38">
        <v>0</v>
      </c>
      <c r="P90" s="20" t="s">
        <v>92</v>
      </c>
      <c r="Q90" s="20">
        <v>0</v>
      </c>
      <c r="R90" s="40"/>
      <c r="S90" s="20">
        <v>0</v>
      </c>
      <c r="T90" s="20">
        <v>0</v>
      </c>
      <c r="U90" s="40"/>
      <c r="V90" s="40">
        <v>46228</v>
      </c>
      <c r="W90" s="20" t="s">
        <v>92</v>
      </c>
      <c r="X90" s="21"/>
      <c r="Y90" s="20">
        <v>0</v>
      </c>
      <c r="Z90" s="20">
        <v>0</v>
      </c>
      <c r="AA90" s="20">
        <v>0</v>
      </c>
      <c r="AB90" s="20" t="s">
        <v>92</v>
      </c>
      <c r="AC90" s="22"/>
      <c r="AD90" s="144"/>
      <c r="AE90" s="20" t="s">
        <v>92</v>
      </c>
      <c r="AF90" s="135"/>
      <c r="AG90" s="135"/>
    </row>
    <row r="91" spans="1:33">
      <c r="A91" s="135" t="s">
        <v>1369</v>
      </c>
      <c r="B91" s="135"/>
      <c r="C91" s="135"/>
      <c r="D91" s="46"/>
      <c r="E91" s="20"/>
      <c r="F91" s="20"/>
      <c r="G91" s="24"/>
      <c r="H91" s="21"/>
      <c r="I91" s="53"/>
      <c r="J91" s="24"/>
      <c r="K91" s="24"/>
      <c r="L91" s="46">
        <v>12138665</v>
      </c>
      <c r="M91" s="20" t="s">
        <v>1365</v>
      </c>
      <c r="N91" s="38">
        <v>0</v>
      </c>
      <c r="O91" s="38">
        <v>0</v>
      </c>
      <c r="P91" s="20" t="s">
        <v>92</v>
      </c>
      <c r="Q91" s="20">
        <v>0</v>
      </c>
      <c r="R91" s="40"/>
      <c r="S91" s="20">
        <v>0</v>
      </c>
      <c r="T91" s="20">
        <v>0</v>
      </c>
      <c r="U91" s="40"/>
      <c r="V91" s="40">
        <v>46228</v>
      </c>
      <c r="W91" s="20" t="s">
        <v>92</v>
      </c>
      <c r="X91" s="21"/>
      <c r="Y91" s="20">
        <v>0</v>
      </c>
      <c r="Z91" s="20">
        <v>0</v>
      </c>
      <c r="AA91" s="20">
        <v>0</v>
      </c>
      <c r="AB91" s="20" t="s">
        <v>92</v>
      </c>
      <c r="AC91" s="22"/>
      <c r="AD91" s="144"/>
      <c r="AE91" s="20" t="s">
        <v>92</v>
      </c>
      <c r="AF91" s="135"/>
      <c r="AG91" s="135"/>
    </row>
    <row r="92" spans="1:33">
      <c r="A92" s="135" t="s">
        <v>1369</v>
      </c>
      <c r="B92" s="135"/>
      <c r="C92" s="135"/>
      <c r="D92" s="46"/>
      <c r="E92" s="20"/>
      <c r="F92" s="20"/>
      <c r="G92" s="24"/>
      <c r="H92" s="21"/>
      <c r="I92" s="53"/>
      <c r="J92" s="24"/>
      <c r="K92" s="24"/>
      <c r="L92" s="46">
        <v>12138672</v>
      </c>
      <c r="M92" s="20" t="s">
        <v>1366</v>
      </c>
      <c r="N92" s="38">
        <v>0</v>
      </c>
      <c r="O92" s="38">
        <v>0</v>
      </c>
      <c r="P92" s="20" t="s">
        <v>92</v>
      </c>
      <c r="Q92" s="20">
        <v>0</v>
      </c>
      <c r="R92" s="40"/>
      <c r="S92" s="20">
        <v>0</v>
      </c>
      <c r="T92" s="20">
        <v>0</v>
      </c>
      <c r="U92" s="40"/>
      <c r="V92" s="40">
        <v>46228</v>
      </c>
      <c r="W92" s="20" t="s">
        <v>92</v>
      </c>
      <c r="X92" s="21"/>
      <c r="Y92" s="20">
        <v>0</v>
      </c>
      <c r="Z92" s="20">
        <v>0</v>
      </c>
      <c r="AA92" s="20">
        <v>0</v>
      </c>
      <c r="AB92" s="20" t="s">
        <v>92</v>
      </c>
      <c r="AC92" s="22"/>
      <c r="AD92" s="144"/>
      <c r="AE92" s="20" t="s">
        <v>92</v>
      </c>
      <c r="AF92" s="135"/>
      <c r="AG92" s="135"/>
    </row>
    <row r="93" spans="1:33">
      <c r="A93" s="135" t="s">
        <v>1369</v>
      </c>
      <c r="B93" s="135" t="s">
        <v>1357</v>
      </c>
      <c r="C93" s="135">
        <v>2000127540</v>
      </c>
      <c r="D93" s="46">
        <v>11107910</v>
      </c>
      <c r="E93" s="20" t="s">
        <v>1346</v>
      </c>
      <c r="F93" s="20" t="s">
        <v>1347</v>
      </c>
      <c r="G93" s="24">
        <v>23</v>
      </c>
      <c r="H93" s="21" t="s">
        <v>1363</v>
      </c>
      <c r="I93" s="53">
        <v>103561434</v>
      </c>
      <c r="J93" s="24" t="s">
        <v>1382</v>
      </c>
      <c r="K93" s="24">
        <v>23</v>
      </c>
      <c r="L93" s="46">
        <v>12142010</v>
      </c>
      <c r="M93" s="20" t="s">
        <v>1367</v>
      </c>
      <c r="N93" s="38">
        <v>0</v>
      </c>
      <c r="O93" s="38">
        <v>0</v>
      </c>
      <c r="P93" s="20" t="s">
        <v>92</v>
      </c>
      <c r="Q93" s="20">
        <v>0</v>
      </c>
      <c r="R93" s="40"/>
      <c r="S93" s="20">
        <v>0</v>
      </c>
      <c r="T93" s="20">
        <v>0</v>
      </c>
      <c r="U93" s="40"/>
      <c r="V93" s="40">
        <v>46228</v>
      </c>
      <c r="W93" s="20" t="s">
        <v>92</v>
      </c>
      <c r="X93" s="21"/>
      <c r="Y93" s="20">
        <v>0</v>
      </c>
      <c r="Z93" s="20">
        <v>0</v>
      </c>
      <c r="AA93" s="20">
        <v>0</v>
      </c>
      <c r="AB93" s="20" t="s">
        <v>92</v>
      </c>
      <c r="AC93" s="22"/>
      <c r="AD93" s="144"/>
      <c r="AE93" s="20" t="s">
        <v>92</v>
      </c>
      <c r="AF93" s="135"/>
      <c r="AG93" s="135"/>
    </row>
    <row r="94" spans="1:33">
      <c r="A94" s="135" t="s">
        <v>1369</v>
      </c>
      <c r="B94" s="135"/>
      <c r="C94" s="135"/>
      <c r="D94" s="46"/>
      <c r="E94" s="20"/>
      <c r="F94" s="20"/>
      <c r="G94" s="24"/>
      <c r="H94" s="21"/>
      <c r="I94" s="53"/>
      <c r="J94" s="24"/>
      <c r="K94" s="24"/>
      <c r="L94" s="46">
        <v>12138664</v>
      </c>
      <c r="M94" s="20" t="s">
        <v>1368</v>
      </c>
      <c r="N94" s="38">
        <v>0</v>
      </c>
      <c r="O94" s="38">
        <v>0</v>
      </c>
      <c r="P94" s="20" t="s">
        <v>92</v>
      </c>
      <c r="Q94" s="20">
        <v>0</v>
      </c>
      <c r="R94" s="40"/>
      <c r="S94" s="20">
        <v>0</v>
      </c>
      <c r="T94" s="20">
        <v>0</v>
      </c>
      <c r="U94" s="40"/>
      <c r="V94" s="40">
        <v>46228</v>
      </c>
      <c r="W94" s="20" t="s">
        <v>92</v>
      </c>
      <c r="X94" s="21"/>
      <c r="Y94" s="20">
        <v>0</v>
      </c>
      <c r="Z94" s="20">
        <v>0</v>
      </c>
      <c r="AA94" s="20">
        <v>0</v>
      </c>
      <c r="AB94" s="20" t="s">
        <v>92</v>
      </c>
      <c r="AC94" s="22"/>
      <c r="AD94" s="144"/>
      <c r="AE94" s="20" t="s">
        <v>92</v>
      </c>
      <c r="AF94" s="135"/>
      <c r="AG94" s="135"/>
    </row>
    <row r="95" spans="1:33">
      <c r="A95" s="135" t="s">
        <v>1369</v>
      </c>
      <c r="B95" s="135"/>
      <c r="C95" s="135"/>
      <c r="D95" s="46"/>
      <c r="E95" s="20"/>
      <c r="F95" s="20"/>
      <c r="G95" s="24"/>
      <c r="H95" s="21"/>
      <c r="I95" s="53"/>
      <c r="J95" s="24"/>
      <c r="K95" s="24"/>
      <c r="L95" s="46">
        <v>12138672</v>
      </c>
      <c r="M95" s="20" t="s">
        <v>1366</v>
      </c>
      <c r="N95" s="38">
        <v>0</v>
      </c>
      <c r="O95" s="38">
        <v>0</v>
      </c>
      <c r="P95" s="20" t="s">
        <v>92</v>
      </c>
      <c r="Q95" s="20">
        <v>0</v>
      </c>
      <c r="R95" s="40"/>
      <c r="S95" s="20">
        <v>0</v>
      </c>
      <c r="T95" s="20">
        <v>0</v>
      </c>
      <c r="U95" s="40"/>
      <c r="V95" s="40">
        <v>46228</v>
      </c>
      <c r="W95" s="20" t="s">
        <v>92</v>
      </c>
      <c r="X95" s="21"/>
      <c r="Y95" s="20">
        <v>0</v>
      </c>
      <c r="Z95" s="20">
        <v>0</v>
      </c>
      <c r="AA95" s="20">
        <v>0</v>
      </c>
      <c r="AB95" s="20" t="s">
        <v>92</v>
      </c>
      <c r="AC95" s="22"/>
      <c r="AD95" s="144"/>
      <c r="AE95" s="20" t="s">
        <v>92</v>
      </c>
      <c r="AF95" s="135"/>
      <c r="AG95" s="135"/>
    </row>
    <row r="96" spans="1:33">
      <c r="A96" s="135" t="s">
        <v>1369</v>
      </c>
      <c r="B96" s="135"/>
      <c r="C96" s="135"/>
      <c r="D96" s="46"/>
      <c r="E96" s="20"/>
      <c r="F96" s="20"/>
      <c r="G96" s="24"/>
      <c r="H96" s="21"/>
      <c r="I96" s="53"/>
      <c r="J96" s="24"/>
      <c r="K96" s="24"/>
      <c r="L96" s="46">
        <v>12138672</v>
      </c>
      <c r="M96" s="20" t="s">
        <v>1366</v>
      </c>
      <c r="N96" s="38">
        <v>0</v>
      </c>
      <c r="O96" s="38">
        <v>0</v>
      </c>
      <c r="P96" s="20" t="s">
        <v>92</v>
      </c>
      <c r="Q96" s="20">
        <v>0</v>
      </c>
      <c r="R96" s="40"/>
      <c r="S96" s="20">
        <v>0</v>
      </c>
      <c r="T96" s="20">
        <v>0</v>
      </c>
      <c r="U96" s="40"/>
      <c r="V96" s="40">
        <v>46228</v>
      </c>
      <c r="W96" s="20" t="s">
        <v>92</v>
      </c>
      <c r="X96" s="21"/>
      <c r="Y96" s="20">
        <v>0</v>
      </c>
      <c r="Z96" s="20">
        <v>0</v>
      </c>
      <c r="AA96" s="20">
        <v>0</v>
      </c>
      <c r="AB96" s="20" t="s">
        <v>92</v>
      </c>
      <c r="AC96" s="22"/>
      <c r="AD96" s="144"/>
      <c r="AE96" s="20" t="s">
        <v>92</v>
      </c>
      <c r="AF96" s="135"/>
      <c r="AG96" s="135"/>
    </row>
    <row r="97" spans="1:33">
      <c r="A97" s="135" t="s">
        <v>1369</v>
      </c>
      <c r="B97" s="135" t="s">
        <v>1358</v>
      </c>
      <c r="C97" s="135">
        <v>2000127541</v>
      </c>
      <c r="D97" s="46">
        <v>11107910</v>
      </c>
      <c r="E97" s="20" t="s">
        <v>1346</v>
      </c>
      <c r="F97" s="20" t="s">
        <v>1347</v>
      </c>
      <c r="G97" s="24">
        <v>23</v>
      </c>
      <c r="H97" s="21" t="s">
        <v>1363</v>
      </c>
      <c r="I97" s="53">
        <v>103561435</v>
      </c>
      <c r="J97" s="24" t="s">
        <v>1383</v>
      </c>
      <c r="K97" s="24">
        <v>23</v>
      </c>
      <c r="L97" s="46">
        <v>12142010</v>
      </c>
      <c r="M97" s="20" t="s">
        <v>1367</v>
      </c>
      <c r="N97" s="38">
        <v>0</v>
      </c>
      <c r="O97" s="38">
        <v>0</v>
      </c>
      <c r="P97" s="20" t="s">
        <v>92</v>
      </c>
      <c r="Q97" s="20">
        <v>0</v>
      </c>
      <c r="R97" s="40"/>
      <c r="S97" s="20">
        <v>0</v>
      </c>
      <c r="T97" s="20">
        <v>0</v>
      </c>
      <c r="U97" s="40"/>
      <c r="V97" s="40">
        <v>46228</v>
      </c>
      <c r="W97" s="20" t="s">
        <v>92</v>
      </c>
      <c r="X97" s="21"/>
      <c r="Y97" s="20">
        <v>0</v>
      </c>
      <c r="Z97" s="20">
        <v>0</v>
      </c>
      <c r="AA97" s="20">
        <v>0</v>
      </c>
      <c r="AB97" s="20" t="s">
        <v>92</v>
      </c>
      <c r="AC97" s="22"/>
      <c r="AD97" s="144"/>
      <c r="AE97" s="20" t="s">
        <v>92</v>
      </c>
      <c r="AF97" s="135"/>
      <c r="AG97" s="135"/>
    </row>
    <row r="98" spans="1:33">
      <c r="A98" s="135" t="s">
        <v>1369</v>
      </c>
      <c r="B98" s="135"/>
      <c r="C98" s="135"/>
      <c r="D98" s="46"/>
      <c r="E98" s="20"/>
      <c r="F98" s="20"/>
      <c r="G98" s="24"/>
      <c r="H98" s="21"/>
      <c r="I98" s="53"/>
      <c r="J98" s="24"/>
      <c r="K98" s="24"/>
      <c r="L98" s="46">
        <v>12138664</v>
      </c>
      <c r="M98" s="20" t="s">
        <v>1368</v>
      </c>
      <c r="N98" s="38">
        <v>0</v>
      </c>
      <c r="O98" s="38">
        <v>0</v>
      </c>
      <c r="P98" s="20" t="s">
        <v>92</v>
      </c>
      <c r="Q98" s="20">
        <v>0</v>
      </c>
      <c r="R98" s="40"/>
      <c r="S98" s="20">
        <v>0</v>
      </c>
      <c r="T98" s="20">
        <v>0</v>
      </c>
      <c r="U98" s="40"/>
      <c r="V98" s="40">
        <v>46228</v>
      </c>
      <c r="W98" s="20" t="s">
        <v>92</v>
      </c>
      <c r="X98" s="21"/>
      <c r="Y98" s="20">
        <v>0</v>
      </c>
      <c r="Z98" s="20">
        <v>0</v>
      </c>
      <c r="AA98" s="20">
        <v>0</v>
      </c>
      <c r="AB98" s="20" t="s">
        <v>92</v>
      </c>
      <c r="AC98" s="22"/>
      <c r="AD98" s="144"/>
      <c r="AE98" s="20" t="s">
        <v>92</v>
      </c>
      <c r="AF98" s="135"/>
      <c r="AG98" s="135"/>
    </row>
    <row r="99" spans="1:33">
      <c r="A99" s="135" t="s">
        <v>1369</v>
      </c>
      <c r="B99" s="135"/>
      <c r="C99" s="135"/>
      <c r="D99" s="46"/>
      <c r="E99" s="20"/>
      <c r="F99" s="20"/>
      <c r="G99" s="24"/>
      <c r="H99" s="21"/>
      <c r="I99" s="53"/>
      <c r="J99" s="24"/>
      <c r="K99" s="24"/>
      <c r="L99" s="46">
        <v>12138672</v>
      </c>
      <c r="M99" s="20" t="s">
        <v>1366</v>
      </c>
      <c r="N99" s="38">
        <v>0</v>
      </c>
      <c r="O99" s="38">
        <v>0</v>
      </c>
      <c r="P99" s="20" t="s">
        <v>92</v>
      </c>
      <c r="Q99" s="20">
        <v>0</v>
      </c>
      <c r="R99" s="40"/>
      <c r="S99" s="20">
        <v>0</v>
      </c>
      <c r="T99" s="20">
        <v>0</v>
      </c>
      <c r="U99" s="40"/>
      <c r="V99" s="40">
        <v>46228</v>
      </c>
      <c r="W99" s="20" t="s">
        <v>92</v>
      </c>
      <c r="X99" s="21"/>
      <c r="Y99" s="20">
        <v>0</v>
      </c>
      <c r="Z99" s="20">
        <v>0</v>
      </c>
      <c r="AA99" s="20">
        <v>0</v>
      </c>
      <c r="AB99" s="20" t="s">
        <v>92</v>
      </c>
      <c r="AC99" s="22"/>
      <c r="AD99" s="144"/>
      <c r="AE99" s="20" t="s">
        <v>92</v>
      </c>
      <c r="AF99" s="135"/>
      <c r="AG99" s="135"/>
    </row>
    <row r="100" spans="1:33">
      <c r="A100" s="135" t="s">
        <v>1369</v>
      </c>
      <c r="B100" s="135"/>
      <c r="C100" s="135"/>
      <c r="D100" s="46"/>
      <c r="E100" s="20"/>
      <c r="F100" s="20"/>
      <c r="G100" s="24"/>
      <c r="H100" s="21"/>
      <c r="I100" s="53"/>
      <c r="J100" s="24"/>
      <c r="K100" s="24"/>
      <c r="L100" s="46">
        <v>12138672</v>
      </c>
      <c r="M100" s="20" t="s">
        <v>1366</v>
      </c>
      <c r="N100" s="38">
        <v>0</v>
      </c>
      <c r="O100" s="38">
        <v>0</v>
      </c>
      <c r="P100" s="20" t="s">
        <v>92</v>
      </c>
      <c r="Q100" s="20">
        <v>0</v>
      </c>
      <c r="R100" s="40"/>
      <c r="S100" s="20">
        <v>0</v>
      </c>
      <c r="T100" s="20">
        <v>0</v>
      </c>
      <c r="U100" s="40"/>
      <c r="V100" s="40">
        <v>46228</v>
      </c>
      <c r="W100" s="20" t="s">
        <v>92</v>
      </c>
      <c r="X100" s="21"/>
      <c r="Y100" s="20">
        <v>0</v>
      </c>
      <c r="Z100" s="20">
        <v>0</v>
      </c>
      <c r="AA100" s="20">
        <v>0</v>
      </c>
      <c r="AB100" s="20" t="s">
        <v>92</v>
      </c>
      <c r="AC100" s="22"/>
      <c r="AD100" s="144"/>
      <c r="AE100" s="20" t="s">
        <v>92</v>
      </c>
      <c r="AF100" s="135"/>
      <c r="AG100" s="135"/>
    </row>
    <row r="101" spans="1:33">
      <c r="A101" s="135" t="s">
        <v>1369</v>
      </c>
      <c r="B101" s="135" t="s">
        <v>1359</v>
      </c>
      <c r="C101" s="135">
        <v>2000127542</v>
      </c>
      <c r="D101" s="46">
        <v>11107910</v>
      </c>
      <c r="E101" s="20" t="s">
        <v>1346</v>
      </c>
      <c r="F101" s="20" t="s">
        <v>1347</v>
      </c>
      <c r="G101" s="24">
        <v>22</v>
      </c>
      <c r="H101" s="21" t="s">
        <v>1363</v>
      </c>
      <c r="I101" s="53">
        <v>103561436</v>
      </c>
      <c r="J101" s="24" t="s">
        <v>1384</v>
      </c>
      <c r="K101" s="24">
        <v>22</v>
      </c>
      <c r="L101" s="46">
        <v>12142010</v>
      </c>
      <c r="M101" s="20" t="s">
        <v>1367</v>
      </c>
      <c r="N101" s="38">
        <v>0</v>
      </c>
      <c r="O101" s="38">
        <v>0</v>
      </c>
      <c r="P101" s="20" t="s">
        <v>92</v>
      </c>
      <c r="Q101" s="20">
        <v>0</v>
      </c>
      <c r="R101" s="40"/>
      <c r="S101" s="20">
        <v>0</v>
      </c>
      <c r="T101" s="20">
        <v>0</v>
      </c>
      <c r="U101" s="40"/>
      <c r="V101" s="40">
        <v>46228</v>
      </c>
      <c r="W101" s="20" t="s">
        <v>92</v>
      </c>
      <c r="X101" s="21"/>
      <c r="Y101" s="20">
        <v>0</v>
      </c>
      <c r="Z101" s="20">
        <v>0</v>
      </c>
      <c r="AA101" s="20">
        <v>0</v>
      </c>
      <c r="AB101" s="20" t="s">
        <v>92</v>
      </c>
      <c r="AC101" s="22"/>
      <c r="AD101" s="144"/>
      <c r="AE101" s="20" t="s">
        <v>92</v>
      </c>
      <c r="AF101" s="135"/>
      <c r="AG101" s="135"/>
    </row>
    <row r="102" spans="1:33">
      <c r="A102" s="135" t="s">
        <v>1369</v>
      </c>
      <c r="B102" s="135"/>
      <c r="C102" s="135"/>
      <c r="D102" s="46"/>
      <c r="E102" s="20"/>
      <c r="F102" s="20"/>
      <c r="G102" s="24"/>
      <c r="H102" s="21"/>
      <c r="I102" s="53"/>
      <c r="J102" s="24"/>
      <c r="K102" s="24"/>
      <c r="L102" s="46">
        <v>12138664</v>
      </c>
      <c r="M102" s="20" t="s">
        <v>1368</v>
      </c>
      <c r="N102" s="38">
        <v>0</v>
      </c>
      <c r="O102" s="38">
        <v>0</v>
      </c>
      <c r="P102" s="20" t="s">
        <v>92</v>
      </c>
      <c r="Q102" s="20">
        <v>0</v>
      </c>
      <c r="R102" s="40"/>
      <c r="S102" s="20">
        <v>0</v>
      </c>
      <c r="T102" s="20">
        <v>0</v>
      </c>
      <c r="U102" s="40"/>
      <c r="V102" s="40">
        <v>46228</v>
      </c>
      <c r="W102" s="20" t="s">
        <v>92</v>
      </c>
      <c r="X102" s="21"/>
      <c r="Y102" s="20">
        <v>0</v>
      </c>
      <c r="Z102" s="20">
        <v>0</v>
      </c>
      <c r="AA102" s="20">
        <v>0</v>
      </c>
      <c r="AB102" s="20" t="s">
        <v>92</v>
      </c>
      <c r="AC102" s="22"/>
      <c r="AD102" s="144"/>
      <c r="AE102" s="20" t="s">
        <v>92</v>
      </c>
      <c r="AF102" s="135"/>
      <c r="AG102" s="135"/>
    </row>
    <row r="103" spans="1:33">
      <c r="A103" s="135" t="s">
        <v>1369</v>
      </c>
      <c r="B103" s="135"/>
      <c r="C103" s="135"/>
      <c r="D103" s="46"/>
      <c r="E103" s="20"/>
      <c r="F103" s="20"/>
      <c r="G103" s="24"/>
      <c r="H103" s="21"/>
      <c r="I103" s="53"/>
      <c r="J103" s="24"/>
      <c r="K103" s="24"/>
      <c r="L103" s="46">
        <v>12138672</v>
      </c>
      <c r="M103" s="20" t="s">
        <v>1366</v>
      </c>
      <c r="N103" s="38">
        <v>0</v>
      </c>
      <c r="O103" s="38">
        <v>0</v>
      </c>
      <c r="P103" s="20" t="s">
        <v>92</v>
      </c>
      <c r="Q103" s="20">
        <v>0</v>
      </c>
      <c r="R103" s="40"/>
      <c r="S103" s="20">
        <v>0</v>
      </c>
      <c r="T103" s="20">
        <v>0</v>
      </c>
      <c r="U103" s="40"/>
      <c r="V103" s="40">
        <v>46228</v>
      </c>
      <c r="W103" s="20" t="s">
        <v>92</v>
      </c>
      <c r="X103" s="21"/>
      <c r="Y103" s="20">
        <v>0</v>
      </c>
      <c r="Z103" s="20">
        <v>0</v>
      </c>
      <c r="AA103" s="20">
        <v>0</v>
      </c>
      <c r="AB103" s="20" t="s">
        <v>92</v>
      </c>
      <c r="AC103" s="22"/>
      <c r="AD103" s="144"/>
      <c r="AE103" s="20" t="s">
        <v>92</v>
      </c>
      <c r="AF103" s="135"/>
      <c r="AG103" s="135"/>
    </row>
    <row r="104" spans="1:33">
      <c r="A104" s="135" t="s">
        <v>1369</v>
      </c>
      <c r="B104" s="135"/>
      <c r="C104" s="135"/>
      <c r="D104" s="46"/>
      <c r="E104" s="20"/>
      <c r="F104" s="20"/>
      <c r="G104" s="24"/>
      <c r="H104" s="21"/>
      <c r="I104" s="53"/>
      <c r="J104" s="24"/>
      <c r="K104" s="24"/>
      <c r="L104" s="46">
        <v>12138672</v>
      </c>
      <c r="M104" s="20" t="s">
        <v>1366</v>
      </c>
      <c r="N104" s="38">
        <v>0</v>
      </c>
      <c r="O104" s="38">
        <v>0</v>
      </c>
      <c r="P104" s="20" t="s">
        <v>92</v>
      </c>
      <c r="Q104" s="20">
        <v>0</v>
      </c>
      <c r="R104" s="40"/>
      <c r="S104" s="20">
        <v>0</v>
      </c>
      <c r="T104" s="20">
        <v>0</v>
      </c>
      <c r="U104" s="40"/>
      <c r="V104" s="40">
        <v>46228</v>
      </c>
      <c r="W104" s="20" t="s">
        <v>92</v>
      </c>
      <c r="X104" s="21"/>
      <c r="Y104" s="20">
        <v>0</v>
      </c>
      <c r="Z104" s="20">
        <v>0</v>
      </c>
      <c r="AA104" s="20">
        <v>0</v>
      </c>
      <c r="AB104" s="20" t="s">
        <v>92</v>
      </c>
      <c r="AC104" s="22"/>
      <c r="AD104" s="144"/>
      <c r="AE104" s="20" t="s">
        <v>92</v>
      </c>
      <c r="AF104" s="135"/>
      <c r="AG104" s="135"/>
    </row>
    <row r="105" spans="1:33">
      <c r="A105" s="135" t="s">
        <v>1369</v>
      </c>
      <c r="B105" s="135" t="s">
        <v>1360</v>
      </c>
      <c r="C105" s="135">
        <v>2000127543</v>
      </c>
      <c r="D105" s="46">
        <v>11107910</v>
      </c>
      <c r="E105" s="20" t="s">
        <v>1346</v>
      </c>
      <c r="F105" s="20" t="s">
        <v>1347</v>
      </c>
      <c r="G105" s="24">
        <v>30</v>
      </c>
      <c r="H105" s="21" t="s">
        <v>1363</v>
      </c>
      <c r="I105" s="53">
        <v>103561437</v>
      </c>
      <c r="J105" s="24" t="s">
        <v>1385</v>
      </c>
      <c r="K105" s="24">
        <v>30</v>
      </c>
      <c r="L105" s="46">
        <v>12142010</v>
      </c>
      <c r="M105" s="20" t="s">
        <v>1367</v>
      </c>
      <c r="N105" s="38">
        <v>0</v>
      </c>
      <c r="O105" s="38">
        <v>0</v>
      </c>
      <c r="P105" s="20" t="s">
        <v>92</v>
      </c>
      <c r="Q105" s="20">
        <v>0</v>
      </c>
      <c r="R105" s="40"/>
      <c r="S105" s="20">
        <v>0</v>
      </c>
      <c r="T105" s="20">
        <v>0</v>
      </c>
      <c r="U105" s="40"/>
      <c r="V105" s="40">
        <v>46228</v>
      </c>
      <c r="W105" s="20" t="s">
        <v>92</v>
      </c>
      <c r="X105" s="21"/>
      <c r="Y105" s="20">
        <v>0</v>
      </c>
      <c r="Z105" s="20">
        <v>0</v>
      </c>
      <c r="AA105" s="20">
        <v>0</v>
      </c>
      <c r="AB105" s="20" t="s">
        <v>92</v>
      </c>
      <c r="AC105" s="22"/>
      <c r="AD105" s="144"/>
      <c r="AE105" s="20" t="s">
        <v>92</v>
      </c>
      <c r="AF105" s="135"/>
      <c r="AG105" s="135"/>
    </row>
    <row r="106" spans="1:33">
      <c r="A106" s="135" t="s">
        <v>1369</v>
      </c>
      <c r="B106" s="135"/>
      <c r="C106" s="135"/>
      <c r="D106" s="46"/>
      <c r="E106" s="20"/>
      <c r="F106" s="20"/>
      <c r="G106" s="24"/>
      <c r="H106" s="21"/>
      <c r="I106" s="53"/>
      <c r="J106" s="24"/>
      <c r="K106" s="24"/>
      <c r="L106" s="46">
        <v>12138664</v>
      </c>
      <c r="M106" s="20" t="s">
        <v>1368</v>
      </c>
      <c r="N106" s="38">
        <v>0</v>
      </c>
      <c r="O106" s="38">
        <v>0</v>
      </c>
      <c r="P106" s="20" t="s">
        <v>92</v>
      </c>
      <c r="Q106" s="20">
        <v>0</v>
      </c>
      <c r="R106" s="40"/>
      <c r="S106" s="20">
        <v>0</v>
      </c>
      <c r="T106" s="20">
        <v>0</v>
      </c>
      <c r="U106" s="40"/>
      <c r="V106" s="40">
        <v>46228</v>
      </c>
      <c r="W106" s="20" t="s">
        <v>92</v>
      </c>
      <c r="X106" s="21"/>
      <c r="Y106" s="20">
        <v>0</v>
      </c>
      <c r="Z106" s="20">
        <v>0</v>
      </c>
      <c r="AA106" s="20">
        <v>0</v>
      </c>
      <c r="AB106" s="20" t="s">
        <v>92</v>
      </c>
      <c r="AC106" s="22"/>
      <c r="AD106" s="144"/>
      <c r="AE106" s="20" t="s">
        <v>92</v>
      </c>
      <c r="AF106" s="135"/>
      <c r="AG106" s="135"/>
    </row>
    <row r="107" spans="1:33">
      <c r="A107" s="135" t="s">
        <v>1369</v>
      </c>
      <c r="B107" s="135"/>
      <c r="C107" s="135"/>
      <c r="D107" s="46"/>
      <c r="E107" s="20"/>
      <c r="F107" s="20"/>
      <c r="G107" s="24"/>
      <c r="H107" s="21"/>
      <c r="I107" s="53"/>
      <c r="J107" s="24"/>
      <c r="K107" s="24"/>
      <c r="L107" s="46">
        <v>12138672</v>
      </c>
      <c r="M107" s="20" t="s">
        <v>1366</v>
      </c>
      <c r="N107" s="38">
        <v>0</v>
      </c>
      <c r="O107" s="38">
        <v>0</v>
      </c>
      <c r="P107" s="20" t="s">
        <v>92</v>
      </c>
      <c r="Q107" s="20">
        <v>0</v>
      </c>
      <c r="R107" s="40"/>
      <c r="S107" s="20">
        <v>0</v>
      </c>
      <c r="T107" s="20">
        <v>0</v>
      </c>
      <c r="U107" s="40"/>
      <c r="V107" s="40">
        <v>46228</v>
      </c>
      <c r="W107" s="20" t="s">
        <v>92</v>
      </c>
      <c r="X107" s="21"/>
      <c r="Y107" s="20">
        <v>0</v>
      </c>
      <c r="Z107" s="20">
        <v>0</v>
      </c>
      <c r="AA107" s="20">
        <v>0</v>
      </c>
      <c r="AB107" s="20" t="s">
        <v>92</v>
      </c>
      <c r="AC107" s="22"/>
      <c r="AD107" s="144"/>
      <c r="AE107" s="20" t="s">
        <v>92</v>
      </c>
      <c r="AF107" s="135"/>
      <c r="AG107" s="135"/>
    </row>
    <row r="108" spans="1:33">
      <c r="A108" s="135" t="s">
        <v>1369</v>
      </c>
      <c r="B108" s="135" t="s">
        <v>1361</v>
      </c>
      <c r="C108" s="135">
        <v>2000127544</v>
      </c>
      <c r="D108" s="46">
        <v>11107910</v>
      </c>
      <c r="E108" s="20" t="s">
        <v>1346</v>
      </c>
      <c r="F108" s="20" t="s">
        <v>1347</v>
      </c>
      <c r="G108" s="24">
        <v>30</v>
      </c>
      <c r="H108" s="21" t="s">
        <v>1363</v>
      </c>
      <c r="I108" s="53">
        <v>103561438</v>
      </c>
      <c r="J108" s="24" t="s">
        <v>1386</v>
      </c>
      <c r="K108" s="24">
        <v>30</v>
      </c>
      <c r="L108" s="46">
        <v>12142010</v>
      </c>
      <c r="M108" s="20" t="s">
        <v>1367</v>
      </c>
      <c r="N108" s="38">
        <v>0</v>
      </c>
      <c r="O108" s="38">
        <v>0</v>
      </c>
      <c r="P108" s="20" t="s">
        <v>92</v>
      </c>
      <c r="Q108" s="20">
        <v>0</v>
      </c>
      <c r="R108" s="40"/>
      <c r="S108" s="20">
        <v>0</v>
      </c>
      <c r="T108" s="20">
        <v>0</v>
      </c>
      <c r="U108" s="40"/>
      <c r="V108" s="40">
        <v>46228</v>
      </c>
      <c r="W108" s="20" t="s">
        <v>92</v>
      </c>
      <c r="X108" s="21"/>
      <c r="Y108" s="20">
        <v>0</v>
      </c>
      <c r="Z108" s="20">
        <v>0</v>
      </c>
      <c r="AA108" s="20">
        <v>0</v>
      </c>
      <c r="AB108" s="20" t="s">
        <v>92</v>
      </c>
      <c r="AC108" s="22"/>
      <c r="AD108" s="144"/>
      <c r="AE108" s="20" t="s">
        <v>92</v>
      </c>
      <c r="AF108" s="135"/>
      <c r="AG108" s="135"/>
    </row>
    <row r="109" spans="1:33">
      <c r="A109" s="135" t="s">
        <v>1369</v>
      </c>
      <c r="B109" s="135"/>
      <c r="C109" s="135"/>
      <c r="D109" s="46"/>
      <c r="E109" s="20"/>
      <c r="F109" s="20"/>
      <c r="G109" s="24"/>
      <c r="H109" s="21"/>
      <c r="I109" s="53"/>
      <c r="J109" s="24"/>
      <c r="K109" s="24"/>
      <c r="L109" s="46">
        <v>12138664</v>
      </c>
      <c r="M109" s="20" t="s">
        <v>1368</v>
      </c>
      <c r="N109" s="38">
        <v>0</v>
      </c>
      <c r="O109" s="38">
        <v>0</v>
      </c>
      <c r="P109" s="20" t="s">
        <v>92</v>
      </c>
      <c r="Q109" s="20">
        <v>0</v>
      </c>
      <c r="R109" s="40"/>
      <c r="S109" s="20">
        <v>0</v>
      </c>
      <c r="T109" s="20">
        <v>0</v>
      </c>
      <c r="U109" s="40"/>
      <c r="V109" s="40">
        <v>46228</v>
      </c>
      <c r="W109" s="20" t="s">
        <v>92</v>
      </c>
      <c r="X109" s="21"/>
      <c r="Y109" s="20">
        <v>0</v>
      </c>
      <c r="Z109" s="20">
        <v>0</v>
      </c>
      <c r="AA109" s="20">
        <v>0</v>
      </c>
      <c r="AB109" s="20" t="s">
        <v>92</v>
      </c>
      <c r="AC109" s="22"/>
      <c r="AD109" s="144"/>
      <c r="AE109" s="20" t="s">
        <v>92</v>
      </c>
      <c r="AF109" s="135"/>
      <c r="AG109" s="135"/>
    </row>
    <row r="110" spans="1:33">
      <c r="A110" s="135" t="s">
        <v>1369</v>
      </c>
      <c r="B110" s="135"/>
      <c r="C110" s="135"/>
      <c r="D110" s="46"/>
      <c r="E110" s="20"/>
      <c r="F110" s="20"/>
      <c r="G110" s="24"/>
      <c r="H110" s="21"/>
      <c r="I110" s="53"/>
      <c r="J110" s="24"/>
      <c r="K110" s="24"/>
      <c r="L110" s="46">
        <v>12138672</v>
      </c>
      <c r="M110" s="20" t="s">
        <v>1366</v>
      </c>
      <c r="N110" s="38">
        <v>0</v>
      </c>
      <c r="O110" s="38">
        <v>0</v>
      </c>
      <c r="P110" s="20" t="s">
        <v>92</v>
      </c>
      <c r="Q110" s="20">
        <v>0</v>
      </c>
      <c r="R110" s="40"/>
      <c r="S110" s="20">
        <v>0</v>
      </c>
      <c r="T110" s="20">
        <v>0</v>
      </c>
      <c r="U110" s="40"/>
      <c r="V110" s="40">
        <v>46228</v>
      </c>
      <c r="W110" s="20" t="s">
        <v>92</v>
      </c>
      <c r="X110" s="21"/>
      <c r="Y110" s="20">
        <v>0</v>
      </c>
      <c r="Z110" s="20">
        <v>0</v>
      </c>
      <c r="AA110" s="20">
        <v>0</v>
      </c>
      <c r="AB110" s="20" t="s">
        <v>92</v>
      </c>
      <c r="AC110" s="22"/>
      <c r="AD110" s="144"/>
      <c r="AE110" s="20" t="s">
        <v>92</v>
      </c>
      <c r="AF110" s="135"/>
      <c r="AG110" s="135"/>
    </row>
    <row r="111" spans="1:33">
      <c r="A111" s="135" t="s">
        <v>1369</v>
      </c>
      <c r="B111" s="135" t="s">
        <v>1362</v>
      </c>
      <c r="C111" s="135">
        <v>2000127545</v>
      </c>
      <c r="D111" s="46">
        <v>11107910</v>
      </c>
      <c r="E111" s="20" t="s">
        <v>1346</v>
      </c>
      <c r="F111" s="20" t="s">
        <v>1347</v>
      </c>
      <c r="G111" s="24">
        <v>30</v>
      </c>
      <c r="H111" s="21" t="s">
        <v>1363</v>
      </c>
      <c r="I111" s="53">
        <v>103561439</v>
      </c>
      <c r="J111" s="24" t="s">
        <v>1387</v>
      </c>
      <c r="K111" s="24">
        <v>30</v>
      </c>
      <c r="L111" s="46">
        <v>12142010</v>
      </c>
      <c r="M111" s="20" t="s">
        <v>1367</v>
      </c>
      <c r="N111" s="38">
        <v>0</v>
      </c>
      <c r="O111" s="38">
        <v>0</v>
      </c>
      <c r="P111" s="20" t="s">
        <v>92</v>
      </c>
      <c r="Q111" s="20">
        <v>0</v>
      </c>
      <c r="R111" s="40"/>
      <c r="S111" s="20">
        <v>0</v>
      </c>
      <c r="T111" s="20">
        <v>0</v>
      </c>
      <c r="U111" s="40"/>
      <c r="V111" s="40">
        <v>46228</v>
      </c>
      <c r="W111" s="20" t="s">
        <v>92</v>
      </c>
      <c r="X111" s="21"/>
      <c r="Y111" s="20">
        <v>0</v>
      </c>
      <c r="Z111" s="20">
        <v>0</v>
      </c>
      <c r="AA111" s="20">
        <v>0</v>
      </c>
      <c r="AB111" s="20" t="s">
        <v>92</v>
      </c>
      <c r="AC111" s="22"/>
      <c r="AD111" s="144"/>
      <c r="AE111" s="20" t="s">
        <v>92</v>
      </c>
      <c r="AF111" s="135"/>
      <c r="AG111" s="135"/>
    </row>
    <row r="112" spans="1:33">
      <c r="A112" s="135" t="s">
        <v>1369</v>
      </c>
      <c r="B112" s="135"/>
      <c r="C112" s="135"/>
      <c r="D112" s="46"/>
      <c r="E112" s="20"/>
      <c r="F112" s="20"/>
      <c r="G112" s="24"/>
      <c r="H112" s="21"/>
      <c r="I112" s="53"/>
      <c r="J112" s="24"/>
      <c r="K112" s="24"/>
      <c r="L112" s="46">
        <v>12138664</v>
      </c>
      <c r="M112" s="20" t="s">
        <v>1368</v>
      </c>
      <c r="N112" s="38">
        <v>0</v>
      </c>
      <c r="O112" s="38">
        <v>0</v>
      </c>
      <c r="P112" s="20" t="s">
        <v>92</v>
      </c>
      <c r="Q112" s="20">
        <v>0</v>
      </c>
      <c r="R112" s="40"/>
      <c r="S112" s="20">
        <v>0</v>
      </c>
      <c r="T112" s="20">
        <v>0</v>
      </c>
      <c r="U112" s="40"/>
      <c r="V112" s="40">
        <v>46228</v>
      </c>
      <c r="W112" s="20" t="s">
        <v>92</v>
      </c>
      <c r="X112" s="21"/>
      <c r="Y112" s="20">
        <v>0</v>
      </c>
      <c r="Z112" s="20">
        <v>0</v>
      </c>
      <c r="AA112" s="20">
        <v>0</v>
      </c>
      <c r="AB112" s="20" t="s">
        <v>92</v>
      </c>
      <c r="AC112" s="22"/>
      <c r="AD112" s="144"/>
      <c r="AE112" s="20" t="s">
        <v>92</v>
      </c>
      <c r="AF112" s="135"/>
      <c r="AG112" s="135"/>
    </row>
    <row r="113" spans="1:43">
      <c r="A113" s="135" t="s">
        <v>1369</v>
      </c>
      <c r="B113" s="135"/>
      <c r="C113" s="135"/>
      <c r="D113" s="46"/>
      <c r="E113" s="20"/>
      <c r="F113" s="20"/>
      <c r="G113" s="24"/>
      <c r="H113" s="21"/>
      <c r="I113" s="53"/>
      <c r="J113" s="24"/>
      <c r="K113" s="24"/>
      <c r="L113" s="46">
        <v>12138672</v>
      </c>
      <c r="M113" s="20" t="s">
        <v>1366</v>
      </c>
      <c r="N113" s="38">
        <v>0</v>
      </c>
      <c r="O113" s="38">
        <v>0</v>
      </c>
      <c r="P113" s="20" t="s">
        <v>92</v>
      </c>
      <c r="Q113" s="20">
        <v>0</v>
      </c>
      <c r="R113" s="40"/>
      <c r="S113" s="20">
        <v>0</v>
      </c>
      <c r="T113" s="20">
        <v>0</v>
      </c>
      <c r="U113" s="40"/>
      <c r="V113" s="40">
        <v>46228</v>
      </c>
      <c r="W113" s="20" t="s">
        <v>92</v>
      </c>
      <c r="X113" s="21"/>
      <c r="Y113" s="20">
        <v>0</v>
      </c>
      <c r="Z113" s="20">
        <v>0</v>
      </c>
      <c r="AA113" s="20">
        <v>0</v>
      </c>
      <c r="AB113" s="20" t="s">
        <v>92</v>
      </c>
      <c r="AC113" s="22"/>
      <c r="AD113" s="144"/>
      <c r="AE113" s="20" t="s">
        <v>92</v>
      </c>
      <c r="AF113" s="135"/>
      <c r="AG113" s="135"/>
    </row>
    <row r="114" spans="1:43">
      <c r="A114" s="135" t="s">
        <v>631</v>
      </c>
      <c r="B114" s="135" t="s">
        <v>1515</v>
      </c>
      <c r="C114" s="135" t="s">
        <v>1390</v>
      </c>
      <c r="D114" s="46">
        <v>11134148</v>
      </c>
      <c r="E114" s="20" t="s">
        <v>136</v>
      </c>
      <c r="F114" s="20" t="s">
        <v>69</v>
      </c>
      <c r="G114" s="24">
        <v>420</v>
      </c>
      <c r="H114" s="21">
        <v>46241</v>
      </c>
      <c r="I114" s="53" t="s">
        <v>1391</v>
      </c>
      <c r="J114" s="24" t="s">
        <v>1392</v>
      </c>
      <c r="K114" s="24">
        <v>426</v>
      </c>
      <c r="L114" s="46">
        <v>12129995</v>
      </c>
      <c r="M114" s="20" t="s">
        <v>74</v>
      </c>
      <c r="N114" s="38">
        <v>0</v>
      </c>
      <c r="O114" s="38">
        <v>0</v>
      </c>
      <c r="P114" s="20" t="s">
        <v>72</v>
      </c>
      <c r="Q114" s="20">
        <v>0</v>
      </c>
      <c r="R114" s="40">
        <v>46226</v>
      </c>
      <c r="S114" s="20">
        <v>3</v>
      </c>
      <c r="T114" s="20">
        <v>3</v>
      </c>
      <c r="U114" s="40">
        <v>46227</v>
      </c>
      <c r="V114" s="40">
        <v>46227</v>
      </c>
      <c r="W114" s="20" t="s">
        <v>57</v>
      </c>
      <c r="X114" s="21"/>
      <c r="Y114" s="19">
        <f>VLOOKUP(F114,[2]New!$B:$G,3,0)*K114/60</f>
        <v>397.6</v>
      </c>
      <c r="Z114" s="19">
        <f>VLOOKUP(F114,[2]New!$B:$G,4,0)*K114/60</f>
        <v>1661.4</v>
      </c>
      <c r="AA114" s="19">
        <f>VLOOKUP(F114,[2]New!$B:$G,6,0)*K114/60</f>
        <v>2051.9</v>
      </c>
      <c r="AB114" s="44">
        <f>VLOOKUP(A114,'[4]PO CAG (2)'!$A:$L,12,0)</f>
        <v>46268</v>
      </c>
      <c r="AC114" s="22" t="str">
        <f>IFERROR(VLOOKUP(F114,[3]Sheet1!$E:$H,4,0),)</f>
        <v>G</v>
      </c>
      <c r="AD114" s="144">
        <v>420</v>
      </c>
      <c r="AE114" s="25" t="s">
        <v>3023</v>
      </c>
      <c r="AF114" s="135" t="s">
        <v>198</v>
      </c>
      <c r="AG114" s="135"/>
      <c r="AH114" s="23" t="s">
        <v>383</v>
      </c>
      <c r="AI114" s="260">
        <v>6</v>
      </c>
      <c r="AJ114" s="267" t="s">
        <v>189</v>
      </c>
      <c r="AN114" s="278">
        <v>3</v>
      </c>
      <c r="AO114" s="278">
        <v>3</v>
      </c>
      <c r="AP114" s="278">
        <v>3</v>
      </c>
      <c r="AQ114" s="278">
        <v>3</v>
      </c>
    </row>
    <row r="115" spans="1:43">
      <c r="A115" s="135" t="s">
        <v>631</v>
      </c>
      <c r="B115" s="135" t="s">
        <v>1516</v>
      </c>
      <c r="C115" s="135" t="s">
        <v>1393</v>
      </c>
      <c r="D115" s="46">
        <v>11134148</v>
      </c>
      <c r="E115" s="20" t="s">
        <v>136</v>
      </c>
      <c r="F115" s="20" t="s">
        <v>69</v>
      </c>
      <c r="G115" s="24">
        <v>720</v>
      </c>
      <c r="H115" s="21">
        <v>46241</v>
      </c>
      <c r="I115" s="53" t="s">
        <v>1394</v>
      </c>
      <c r="J115" s="24" t="s">
        <v>1395</v>
      </c>
      <c r="K115" s="24">
        <v>720</v>
      </c>
      <c r="L115" s="46">
        <v>12129995</v>
      </c>
      <c r="M115" s="20" t="s">
        <v>74</v>
      </c>
      <c r="N115" s="38">
        <v>0</v>
      </c>
      <c r="O115" s="38">
        <v>0</v>
      </c>
      <c r="P115" s="20" t="s">
        <v>72</v>
      </c>
      <c r="Q115" s="20">
        <v>0</v>
      </c>
      <c r="R115" s="40">
        <v>46226</v>
      </c>
      <c r="S115" s="20">
        <v>0</v>
      </c>
      <c r="T115" s="20">
        <v>0</v>
      </c>
      <c r="U115" s="40">
        <v>46227</v>
      </c>
      <c r="V115" s="40">
        <v>46227</v>
      </c>
      <c r="W115" s="20" t="s">
        <v>58</v>
      </c>
      <c r="X115" s="21"/>
      <c r="Y115" s="19">
        <f>VLOOKUP(F115,[2]New!$B:$G,3,0)*K115/60</f>
        <v>672</v>
      </c>
      <c r="Z115" s="19">
        <f>VLOOKUP(F115,[2]New!$B:$G,4,0)*K115/60</f>
        <v>2808</v>
      </c>
      <c r="AA115" s="19">
        <f>VLOOKUP(F115,[2]New!$B:$G,6,0)*K115/60</f>
        <v>3468</v>
      </c>
      <c r="AB115" s="44">
        <f>VLOOKUP(A115,'[4]PO CAG (2)'!$A:$L,12,0)</f>
        <v>46268</v>
      </c>
      <c r="AC115" s="22" t="str">
        <f>IFERROR(VLOOKUP(F115,[3]Sheet1!$E:$H,4,0),)</f>
        <v>G</v>
      </c>
      <c r="AD115" s="144">
        <v>720</v>
      </c>
      <c r="AE115" s="25" t="s">
        <v>3023</v>
      </c>
      <c r="AF115" s="135" t="s">
        <v>198</v>
      </c>
      <c r="AG115" s="135"/>
      <c r="AH115" s="23" t="s">
        <v>383</v>
      </c>
      <c r="AI115" s="260">
        <v>0</v>
      </c>
      <c r="AJ115" s="267" t="s">
        <v>188</v>
      </c>
      <c r="AN115" s="278">
        <v>3</v>
      </c>
      <c r="AO115" s="278">
        <v>3</v>
      </c>
      <c r="AP115" s="278">
        <v>3</v>
      </c>
      <c r="AQ115" s="278">
        <v>3</v>
      </c>
    </row>
    <row r="116" spans="1:43">
      <c r="A116" s="135" t="s">
        <v>1396</v>
      </c>
      <c r="B116" s="135" t="s">
        <v>1495</v>
      </c>
      <c r="C116" s="135" t="s">
        <v>1397</v>
      </c>
      <c r="D116" s="46">
        <v>11132727</v>
      </c>
      <c r="E116" s="20" t="s">
        <v>373</v>
      </c>
      <c r="F116" s="20" t="s">
        <v>374</v>
      </c>
      <c r="G116" s="24">
        <v>2</v>
      </c>
      <c r="H116" s="21">
        <v>46235</v>
      </c>
      <c r="I116" s="53" t="s">
        <v>1398</v>
      </c>
      <c r="J116" s="24" t="s">
        <v>1399</v>
      </c>
      <c r="K116" s="24">
        <v>2</v>
      </c>
      <c r="L116" s="46">
        <v>12116154</v>
      </c>
      <c r="M116" s="20" t="s">
        <v>371</v>
      </c>
      <c r="N116" s="38">
        <v>0</v>
      </c>
      <c r="O116" s="38">
        <v>0</v>
      </c>
      <c r="P116" s="20" t="s">
        <v>94</v>
      </c>
      <c r="Q116" s="20">
        <v>0</v>
      </c>
      <c r="R116" s="40">
        <v>46227</v>
      </c>
      <c r="S116" s="20">
        <v>0</v>
      </c>
      <c r="T116" s="20">
        <v>0</v>
      </c>
      <c r="U116" s="40">
        <v>46230</v>
      </c>
      <c r="V116" s="40">
        <v>46230</v>
      </c>
      <c r="W116" s="20" t="s">
        <v>57</v>
      </c>
      <c r="X116" s="21"/>
      <c r="Y116" s="19">
        <f>VLOOKUP(F116,[2]New!$B:$G,3,0)*K116/60</f>
        <v>0.7</v>
      </c>
      <c r="Z116" s="19">
        <f>VLOOKUP(F116,[2]New!$B:$G,4,0)*K116/60</f>
        <v>3.0866666666666664</v>
      </c>
      <c r="AA116" s="19">
        <f>VLOOKUP(F116,[2]New!$B:$G,6,0)*K116/60</f>
        <v>1.4333333333333333</v>
      </c>
      <c r="AB116" s="44">
        <f>VLOOKUP(A116,'[4]PO CAG (2)'!$A:$L,12,0)</f>
        <v>46239</v>
      </c>
      <c r="AC116" s="22">
        <f>IFERROR(VLOOKUP(F116,[3]Sheet1!$E:$H,4,0),)</f>
        <v>0</v>
      </c>
      <c r="AD116" s="144">
        <v>2</v>
      </c>
      <c r="AE116" s="25" t="s">
        <v>3023</v>
      </c>
      <c r="AF116" s="135" t="s">
        <v>112</v>
      </c>
      <c r="AG116" s="135"/>
      <c r="AH116" s="242" t="s">
        <v>383</v>
      </c>
      <c r="AI116" s="23">
        <v>0</v>
      </c>
      <c r="AJ116" s="267" t="s">
        <v>153</v>
      </c>
      <c r="AN116" s="278">
        <v>3</v>
      </c>
      <c r="AO116" s="278">
        <v>3</v>
      </c>
      <c r="AP116" s="278">
        <v>3</v>
      </c>
      <c r="AQ116" s="278">
        <v>3</v>
      </c>
    </row>
    <row r="117" spans="1:43">
      <c r="A117" s="135" t="s">
        <v>1400</v>
      </c>
      <c r="B117" s="135" t="s">
        <v>1496</v>
      </c>
      <c r="C117" s="135" t="s">
        <v>1401</v>
      </c>
      <c r="D117" s="46">
        <v>11134274</v>
      </c>
      <c r="E117" s="20" t="s">
        <v>1272</v>
      </c>
      <c r="F117" s="20" t="s">
        <v>1273</v>
      </c>
      <c r="G117" s="24">
        <v>1</v>
      </c>
      <c r="H117" s="21">
        <v>46235</v>
      </c>
      <c r="I117" s="53" t="s">
        <v>1402</v>
      </c>
      <c r="J117" s="24" t="s">
        <v>1403</v>
      </c>
      <c r="K117" s="24">
        <v>1</v>
      </c>
      <c r="L117" s="46">
        <v>12116158</v>
      </c>
      <c r="M117" s="20" t="s">
        <v>1283</v>
      </c>
      <c r="N117" s="38">
        <v>0</v>
      </c>
      <c r="O117" s="38">
        <v>0</v>
      </c>
      <c r="P117" s="20" t="s">
        <v>469</v>
      </c>
      <c r="Q117" s="20">
        <v>0</v>
      </c>
      <c r="R117" s="40">
        <v>46227</v>
      </c>
      <c r="S117" s="20">
        <v>0</v>
      </c>
      <c r="T117" s="20">
        <v>0</v>
      </c>
      <c r="U117" s="40">
        <v>46230</v>
      </c>
      <c r="V117" s="40">
        <v>46230</v>
      </c>
      <c r="W117" s="20" t="s">
        <v>57</v>
      </c>
      <c r="X117" s="21"/>
      <c r="Y117" s="19">
        <f>VLOOKUP(F117,[2]New!$B:$G,3,0)*K117/60</f>
        <v>0.93333333333333335</v>
      </c>
      <c r="Z117" s="19">
        <f>VLOOKUP(F117,[2]New!$B:$G,4,0)*K117/60</f>
        <v>3.9</v>
      </c>
      <c r="AA117" s="19">
        <f>VLOOKUP(F117,[2]New!$B:$G,6,0)*K117/60</f>
        <v>4.8199999999999994</v>
      </c>
      <c r="AB117" s="44">
        <f>VLOOKUP(A117,'[4]PO CAG (2)'!$A:$L,12,0)</f>
        <v>46238</v>
      </c>
      <c r="AC117" s="22">
        <f>IFERROR(VLOOKUP(F117,[3]Sheet1!$E:$H,4,0),)</f>
        <v>0</v>
      </c>
      <c r="AD117" s="144">
        <v>1</v>
      </c>
      <c r="AE117" s="25" t="s">
        <v>3023</v>
      </c>
      <c r="AF117" s="135" t="s">
        <v>112</v>
      </c>
      <c r="AG117" s="135"/>
      <c r="AH117" s="242" t="s">
        <v>383</v>
      </c>
      <c r="AI117" s="23">
        <v>0</v>
      </c>
      <c r="AJ117" s="267" t="s">
        <v>153</v>
      </c>
      <c r="AN117" s="278">
        <v>2</v>
      </c>
      <c r="AO117" s="278">
        <v>2</v>
      </c>
      <c r="AP117" s="278">
        <v>2</v>
      </c>
      <c r="AQ117" s="278">
        <v>2</v>
      </c>
    </row>
    <row r="118" spans="1:43">
      <c r="A118" s="135" t="s">
        <v>1404</v>
      </c>
      <c r="B118" s="135" t="s">
        <v>1497</v>
      </c>
      <c r="C118" s="135" t="s">
        <v>1405</v>
      </c>
      <c r="D118" s="46">
        <v>11134295</v>
      </c>
      <c r="E118" s="20" t="s">
        <v>1126</v>
      </c>
      <c r="F118" s="20" t="s">
        <v>1127</v>
      </c>
      <c r="G118" s="24">
        <v>1</v>
      </c>
      <c r="H118" s="21">
        <v>46235</v>
      </c>
      <c r="I118" s="53" t="s">
        <v>1406</v>
      </c>
      <c r="J118" s="24" t="s">
        <v>1407</v>
      </c>
      <c r="K118" s="24">
        <v>1</v>
      </c>
      <c r="L118" s="46">
        <v>12116275</v>
      </c>
      <c r="M118" s="20" t="s">
        <v>1149</v>
      </c>
      <c r="N118" s="38">
        <v>0</v>
      </c>
      <c r="O118" s="38">
        <v>0</v>
      </c>
      <c r="P118" s="20" t="s">
        <v>469</v>
      </c>
      <c r="Q118" s="20">
        <v>0</v>
      </c>
      <c r="R118" s="40">
        <v>46227</v>
      </c>
      <c r="S118" s="20">
        <v>0</v>
      </c>
      <c r="T118" s="20">
        <v>0</v>
      </c>
      <c r="U118" s="40">
        <v>46230</v>
      </c>
      <c r="V118" s="40">
        <v>46230</v>
      </c>
      <c r="W118" s="20" t="s">
        <v>57</v>
      </c>
      <c r="X118" s="21"/>
      <c r="Y118" s="19">
        <f>VLOOKUP(F118,[2]New!$B:$G,3,0)*K118/60</f>
        <v>0.93333333333333335</v>
      </c>
      <c r="Z118" s="19">
        <f>VLOOKUP(F118,[2]New!$B:$G,4,0)*K118/60</f>
        <v>3.9</v>
      </c>
      <c r="AA118" s="19">
        <f>VLOOKUP(F118,[2]New!$B:$G,6,0)*K118/60</f>
        <v>4.8166666666666664</v>
      </c>
      <c r="AB118" s="44">
        <f>VLOOKUP(A118,'[4]PO CAG (2)'!$A:$L,12,0)</f>
        <v>46238</v>
      </c>
      <c r="AC118" s="22">
        <f>IFERROR(VLOOKUP(F118,[3]Sheet1!$E:$H,4,0),)</f>
        <v>0</v>
      </c>
      <c r="AD118" s="144">
        <v>1</v>
      </c>
      <c r="AE118" s="25" t="s">
        <v>3023</v>
      </c>
      <c r="AF118" s="135" t="s">
        <v>112</v>
      </c>
      <c r="AG118" s="135"/>
      <c r="AH118" s="242" t="s">
        <v>383</v>
      </c>
      <c r="AI118" s="23">
        <v>0</v>
      </c>
      <c r="AJ118" s="267" t="s">
        <v>153</v>
      </c>
      <c r="AN118" s="278">
        <v>2</v>
      </c>
      <c r="AO118" s="278">
        <v>2</v>
      </c>
      <c r="AP118" s="278">
        <v>2</v>
      </c>
      <c r="AQ118" s="278">
        <v>2</v>
      </c>
    </row>
    <row r="119" spans="1:43">
      <c r="A119" s="135" t="s">
        <v>1408</v>
      </c>
      <c r="B119" s="135" t="s">
        <v>1498</v>
      </c>
      <c r="C119" s="135" t="s">
        <v>1409</v>
      </c>
      <c r="D119" s="46">
        <v>11134304</v>
      </c>
      <c r="E119" s="20" t="s">
        <v>1128</v>
      </c>
      <c r="F119" s="20" t="s">
        <v>1129</v>
      </c>
      <c r="G119" s="24">
        <v>1</v>
      </c>
      <c r="H119" s="21">
        <v>46235</v>
      </c>
      <c r="I119" s="53" t="s">
        <v>1410</v>
      </c>
      <c r="J119" s="24" t="s">
        <v>1411</v>
      </c>
      <c r="K119" s="24">
        <v>1</v>
      </c>
      <c r="L119" s="46">
        <v>12116312</v>
      </c>
      <c r="M119" s="20" t="s">
        <v>1150</v>
      </c>
      <c r="N119" s="38">
        <v>0</v>
      </c>
      <c r="O119" s="38">
        <v>0</v>
      </c>
      <c r="P119" s="20" t="s">
        <v>469</v>
      </c>
      <c r="Q119" s="20">
        <v>0</v>
      </c>
      <c r="R119" s="40">
        <v>46227</v>
      </c>
      <c r="S119" s="20">
        <v>0</v>
      </c>
      <c r="T119" s="20">
        <v>0</v>
      </c>
      <c r="U119" s="40">
        <v>46230</v>
      </c>
      <c r="V119" s="40">
        <v>46230</v>
      </c>
      <c r="W119" s="20" t="s">
        <v>57</v>
      </c>
      <c r="X119" s="21"/>
      <c r="Y119" s="19">
        <f>VLOOKUP(F119,[2]New!$B:$G,3,0)*K119/60</f>
        <v>0.93333333333333335</v>
      </c>
      <c r="Z119" s="19">
        <f>VLOOKUP(F119,[2]New!$B:$G,4,0)*K119/60</f>
        <v>3.9</v>
      </c>
      <c r="AA119" s="19">
        <f>VLOOKUP(F119,[2]New!$B:$G,6,0)*K119/60</f>
        <v>4.8166666666666664</v>
      </c>
      <c r="AB119" s="44">
        <f>VLOOKUP(A119,'[4]PO CAG (2)'!$A:$L,12,0)</f>
        <v>46238</v>
      </c>
      <c r="AC119" s="22">
        <f>IFERROR(VLOOKUP(F119,[3]Sheet1!$E:$H,4,0),)</f>
        <v>0</v>
      </c>
      <c r="AD119" s="144">
        <v>1</v>
      </c>
      <c r="AE119" s="25" t="s">
        <v>3023</v>
      </c>
      <c r="AF119" s="135" t="s">
        <v>112</v>
      </c>
      <c r="AG119" s="135"/>
      <c r="AH119" s="242" t="s">
        <v>383</v>
      </c>
      <c r="AI119" s="23">
        <v>0</v>
      </c>
      <c r="AJ119" s="267" t="s">
        <v>153</v>
      </c>
      <c r="AN119" s="278">
        <v>2</v>
      </c>
      <c r="AO119" s="278">
        <v>2</v>
      </c>
      <c r="AP119" s="278">
        <v>2</v>
      </c>
      <c r="AQ119" s="278">
        <v>2</v>
      </c>
    </row>
    <row r="120" spans="1:43">
      <c r="A120" s="135" t="s">
        <v>1412</v>
      </c>
      <c r="B120" s="135" t="s">
        <v>1499</v>
      </c>
      <c r="C120" s="135" t="s">
        <v>1413</v>
      </c>
      <c r="D120" s="46">
        <v>11134294</v>
      </c>
      <c r="E120" s="20" t="s">
        <v>1006</v>
      </c>
      <c r="F120" s="20" t="s">
        <v>1007</v>
      </c>
      <c r="G120" s="24">
        <v>2</v>
      </c>
      <c r="H120" s="21">
        <v>46235</v>
      </c>
      <c r="I120" s="53" t="s">
        <v>1414</v>
      </c>
      <c r="J120" s="24" t="s">
        <v>1415</v>
      </c>
      <c r="K120" s="24">
        <v>2</v>
      </c>
      <c r="L120" s="46">
        <v>12116274</v>
      </c>
      <c r="M120" s="20" t="s">
        <v>1029</v>
      </c>
      <c r="N120" s="38">
        <v>0</v>
      </c>
      <c r="O120" s="38">
        <v>0</v>
      </c>
      <c r="P120" s="20" t="s">
        <v>469</v>
      </c>
      <c r="Q120" s="20">
        <v>0</v>
      </c>
      <c r="R120" s="40">
        <v>46227</v>
      </c>
      <c r="S120" s="20">
        <v>0</v>
      </c>
      <c r="T120" s="20">
        <v>0</v>
      </c>
      <c r="U120" s="40">
        <v>46230</v>
      </c>
      <c r="V120" s="40">
        <v>46230</v>
      </c>
      <c r="W120" s="20" t="s">
        <v>57</v>
      </c>
      <c r="X120" s="21"/>
      <c r="Y120" s="19">
        <f>VLOOKUP(F120,[2]New!$B:$G,3,0)*K120/60</f>
        <v>1.8666666666666667</v>
      </c>
      <c r="Z120" s="19">
        <f>VLOOKUP(F120,[2]New!$B:$G,4,0)*K120/60</f>
        <v>7.8</v>
      </c>
      <c r="AA120" s="19">
        <f>VLOOKUP(F120,[2]New!$B:$G,6,0)*K120/60</f>
        <v>9.6333333333333329</v>
      </c>
      <c r="AB120" s="44">
        <f>VLOOKUP(A120,'[4]PO CAG (2)'!$A:$L,12,0)</f>
        <v>46238</v>
      </c>
      <c r="AC120" s="22">
        <f>IFERROR(VLOOKUP(F120,[3]Sheet1!$E:$H,4,0),)</f>
        <v>0</v>
      </c>
      <c r="AD120" s="144">
        <v>2</v>
      </c>
      <c r="AE120" s="25" t="s">
        <v>3023</v>
      </c>
      <c r="AF120" s="135" t="s">
        <v>112</v>
      </c>
      <c r="AG120" s="135"/>
      <c r="AH120" s="242" t="s">
        <v>383</v>
      </c>
      <c r="AI120" s="23">
        <v>0</v>
      </c>
      <c r="AJ120" s="267" t="s">
        <v>153</v>
      </c>
      <c r="AN120" s="278">
        <v>2</v>
      </c>
      <c r="AO120" s="278">
        <v>2</v>
      </c>
      <c r="AP120" s="278">
        <v>2</v>
      </c>
      <c r="AQ120" s="278">
        <v>2</v>
      </c>
    </row>
    <row r="121" spans="1:43">
      <c r="A121" s="135" t="s">
        <v>1416</v>
      </c>
      <c r="B121" s="135" t="s">
        <v>1500</v>
      </c>
      <c r="C121" s="135" t="s">
        <v>1417</v>
      </c>
      <c r="D121" s="46">
        <v>11134290</v>
      </c>
      <c r="E121" s="20" t="s">
        <v>1270</v>
      </c>
      <c r="F121" s="20" t="s">
        <v>1271</v>
      </c>
      <c r="G121" s="24">
        <v>4</v>
      </c>
      <c r="H121" s="21">
        <v>46235</v>
      </c>
      <c r="I121" s="53" t="s">
        <v>1418</v>
      </c>
      <c r="J121" s="24" t="s">
        <v>1419</v>
      </c>
      <c r="K121" s="24">
        <v>4</v>
      </c>
      <c r="L121" s="46">
        <v>12116202</v>
      </c>
      <c r="M121" s="20" t="s">
        <v>1282</v>
      </c>
      <c r="N121" s="38">
        <v>0</v>
      </c>
      <c r="O121" s="38">
        <v>0</v>
      </c>
      <c r="P121" s="20" t="s">
        <v>469</v>
      </c>
      <c r="Q121" s="20">
        <v>0</v>
      </c>
      <c r="R121" s="40">
        <v>46227</v>
      </c>
      <c r="S121" s="20">
        <v>0</v>
      </c>
      <c r="T121" s="20">
        <v>0</v>
      </c>
      <c r="U121" s="40">
        <v>46230</v>
      </c>
      <c r="V121" s="40">
        <v>46230</v>
      </c>
      <c r="W121" s="20" t="s">
        <v>57</v>
      </c>
      <c r="X121" s="21"/>
      <c r="Y121" s="19">
        <f>VLOOKUP(F121,[2]New!$B:$G,3,0)*K121/60</f>
        <v>1.4666666666666666</v>
      </c>
      <c r="Z121" s="19">
        <f>VLOOKUP(F121,[2]New!$B:$G,4,0)*K121/60</f>
        <v>7.86</v>
      </c>
      <c r="AA121" s="19">
        <f>VLOOKUP(F121,[2]New!$B:$G,6,0)*K121/60</f>
        <v>7.666666666666667</v>
      </c>
      <c r="AB121" s="44">
        <f>VLOOKUP(A121,'[4]PO CAG (2)'!$A:$L,12,0)</f>
        <v>46238</v>
      </c>
      <c r="AC121" s="22">
        <f>IFERROR(VLOOKUP(F121,[3]Sheet1!$E:$H,4,0),)</f>
        <v>0</v>
      </c>
      <c r="AD121" s="144">
        <v>4</v>
      </c>
      <c r="AE121" s="25" t="s">
        <v>3023</v>
      </c>
      <c r="AF121" s="135" t="s">
        <v>112</v>
      </c>
      <c r="AG121" s="135"/>
      <c r="AH121" s="242" t="s">
        <v>383</v>
      </c>
      <c r="AI121" s="23">
        <v>0</v>
      </c>
      <c r="AJ121" s="267" t="s">
        <v>153</v>
      </c>
      <c r="AN121" s="278">
        <v>2</v>
      </c>
      <c r="AO121" s="278">
        <v>2</v>
      </c>
      <c r="AP121" s="278">
        <v>2</v>
      </c>
      <c r="AQ121" s="278">
        <v>2</v>
      </c>
    </row>
    <row r="122" spans="1:43">
      <c r="A122" s="135" t="s">
        <v>1420</v>
      </c>
      <c r="B122" s="135" t="s">
        <v>1501</v>
      </c>
      <c r="C122" s="135" t="s">
        <v>1421</v>
      </c>
      <c r="D122" s="46">
        <v>11119669</v>
      </c>
      <c r="E122" s="20" t="s">
        <v>972</v>
      </c>
      <c r="F122" s="20" t="s">
        <v>973</v>
      </c>
      <c r="G122" s="24">
        <v>1</v>
      </c>
      <c r="H122" s="21">
        <v>46235</v>
      </c>
      <c r="I122" s="53" t="s">
        <v>1422</v>
      </c>
      <c r="J122" s="24" t="s">
        <v>1423</v>
      </c>
      <c r="K122" s="24">
        <v>1</v>
      </c>
      <c r="L122" s="46">
        <v>12116304</v>
      </c>
      <c r="M122" s="20" t="s">
        <v>1012</v>
      </c>
      <c r="N122" s="38">
        <v>0</v>
      </c>
      <c r="O122" s="38">
        <v>0</v>
      </c>
      <c r="P122" s="20" t="s">
        <v>469</v>
      </c>
      <c r="Q122" s="20">
        <v>0</v>
      </c>
      <c r="R122" s="40">
        <v>46227</v>
      </c>
      <c r="S122" s="20">
        <v>0</v>
      </c>
      <c r="T122" s="20">
        <v>0</v>
      </c>
      <c r="U122" s="40">
        <v>46230</v>
      </c>
      <c r="V122" s="40">
        <v>46230</v>
      </c>
      <c r="W122" s="20" t="s">
        <v>57</v>
      </c>
      <c r="X122" s="21"/>
      <c r="Y122" s="19">
        <f>VLOOKUP(F122,[2]New!$B:$G,3,0)*K122/60</f>
        <v>0.93333333333333335</v>
      </c>
      <c r="Z122" s="19">
        <f>VLOOKUP(F122,[2]New!$B:$G,4,0)*K122/60</f>
        <v>3.9</v>
      </c>
      <c r="AA122" s="19">
        <f>VLOOKUP(F122,[2]New!$B:$G,6,0)*K122/60</f>
        <v>4.8166666666666664</v>
      </c>
      <c r="AB122" s="44">
        <f>VLOOKUP(A122,'[4]PO CAG (2)'!$A:$L,12,0)</f>
        <v>46238</v>
      </c>
      <c r="AC122" s="22">
        <f>IFERROR(VLOOKUP(F122,[3]Sheet1!$E:$H,4,0),)</f>
        <v>0</v>
      </c>
      <c r="AD122" s="144">
        <v>1</v>
      </c>
      <c r="AE122" s="25" t="s">
        <v>3023</v>
      </c>
      <c r="AF122" s="135" t="s">
        <v>112</v>
      </c>
      <c r="AG122" s="135"/>
      <c r="AH122" s="242" t="s">
        <v>1259</v>
      </c>
      <c r="AI122" s="23">
        <v>0</v>
      </c>
      <c r="AJ122" s="267" t="s">
        <v>153</v>
      </c>
      <c r="AN122" s="278">
        <v>2</v>
      </c>
      <c r="AO122" s="278">
        <v>2</v>
      </c>
      <c r="AP122" s="278">
        <v>2</v>
      </c>
      <c r="AQ122" s="278">
        <v>2</v>
      </c>
    </row>
    <row r="123" spans="1:43">
      <c r="A123" s="135" t="s">
        <v>1424</v>
      </c>
      <c r="B123" s="135" t="s">
        <v>1502</v>
      </c>
      <c r="C123" s="135" t="s">
        <v>1425</v>
      </c>
      <c r="D123" s="46">
        <v>11119610</v>
      </c>
      <c r="E123" s="20" t="s">
        <v>984</v>
      </c>
      <c r="F123" s="20" t="s">
        <v>985</v>
      </c>
      <c r="G123" s="24">
        <v>1</v>
      </c>
      <c r="H123" s="21">
        <v>46235</v>
      </c>
      <c r="I123" s="53" t="s">
        <v>1426</v>
      </c>
      <c r="J123" s="24" t="s">
        <v>1427</v>
      </c>
      <c r="K123" s="24">
        <v>1</v>
      </c>
      <c r="L123" s="46">
        <v>12116245</v>
      </c>
      <c r="M123" s="20" t="s">
        <v>1018</v>
      </c>
      <c r="N123" s="38">
        <v>0</v>
      </c>
      <c r="O123" s="38">
        <v>0</v>
      </c>
      <c r="P123" s="20" t="s">
        <v>469</v>
      </c>
      <c r="Q123" s="20">
        <v>0</v>
      </c>
      <c r="R123" s="40">
        <v>46227</v>
      </c>
      <c r="S123" s="20">
        <v>0</v>
      </c>
      <c r="T123" s="20">
        <v>0</v>
      </c>
      <c r="U123" s="40">
        <v>46230</v>
      </c>
      <c r="V123" s="40">
        <v>46230</v>
      </c>
      <c r="W123" s="20" t="s">
        <v>57</v>
      </c>
      <c r="X123" s="21"/>
      <c r="Y123" s="19">
        <f>VLOOKUP(F123,[2]New!$B:$G,3,0)*K123/60</f>
        <v>0.93333333333333335</v>
      </c>
      <c r="Z123" s="19">
        <f>VLOOKUP(F123,[2]New!$B:$G,4,0)*K123/60</f>
        <v>3.9</v>
      </c>
      <c r="AA123" s="19">
        <f>VLOOKUP(F123,[2]New!$B:$G,6,0)*K123/60</f>
        <v>3.9</v>
      </c>
      <c r="AB123" s="44">
        <f>VLOOKUP(A123,'[4]PO CAG (2)'!$A:$L,12,0)</f>
        <v>46238</v>
      </c>
      <c r="AC123" s="22">
        <f>IFERROR(VLOOKUP(F123,[3]Sheet1!$E:$H,4,0),)</f>
        <v>0</v>
      </c>
      <c r="AD123" s="144">
        <v>1</v>
      </c>
      <c r="AE123" s="25" t="s">
        <v>3023</v>
      </c>
      <c r="AF123" s="135" t="s">
        <v>112</v>
      </c>
      <c r="AG123" s="135"/>
      <c r="AH123" s="242" t="s">
        <v>1259</v>
      </c>
      <c r="AI123" s="23">
        <v>0</v>
      </c>
      <c r="AJ123" s="267" t="s">
        <v>153</v>
      </c>
      <c r="AN123" s="278">
        <v>2</v>
      </c>
      <c r="AO123" s="278">
        <v>2</v>
      </c>
      <c r="AP123" s="278">
        <v>2</v>
      </c>
      <c r="AQ123" s="278">
        <v>2</v>
      </c>
    </row>
    <row r="124" spans="1:43">
      <c r="A124" s="135" t="s">
        <v>1428</v>
      </c>
      <c r="B124" s="135" t="s">
        <v>1503</v>
      </c>
      <c r="C124" s="135" t="s">
        <v>1429</v>
      </c>
      <c r="D124" s="46">
        <v>11119461</v>
      </c>
      <c r="E124" s="20" t="s">
        <v>1430</v>
      </c>
      <c r="F124" s="20" t="s">
        <v>1431</v>
      </c>
      <c r="G124" s="24">
        <v>2</v>
      </c>
      <c r="H124" s="21">
        <v>46235</v>
      </c>
      <c r="I124" s="53" t="s">
        <v>1432</v>
      </c>
      <c r="J124" s="24" t="s">
        <v>1433</v>
      </c>
      <c r="K124" s="24">
        <v>2</v>
      </c>
      <c r="L124" s="46">
        <v>12116096</v>
      </c>
      <c r="M124" s="20" t="s">
        <v>1493</v>
      </c>
      <c r="N124" s="38">
        <v>0</v>
      </c>
      <c r="O124" s="38">
        <v>0</v>
      </c>
      <c r="P124" s="20" t="s">
        <v>469</v>
      </c>
      <c r="Q124" s="20">
        <v>0</v>
      </c>
      <c r="R124" s="40">
        <v>46227</v>
      </c>
      <c r="S124" s="20">
        <v>0</v>
      </c>
      <c r="T124" s="20">
        <v>0</v>
      </c>
      <c r="U124" s="40">
        <v>46230</v>
      </c>
      <c r="V124" s="40">
        <v>46230</v>
      </c>
      <c r="W124" s="20" t="s">
        <v>57</v>
      </c>
      <c r="X124" s="21"/>
      <c r="Y124" s="19">
        <f>VLOOKUP(F124,[2]New!$B:$G,3,0)*K124/60</f>
        <v>1.8666666666666667</v>
      </c>
      <c r="Z124" s="19">
        <f>VLOOKUP(F124,[2]New!$B:$G,4,0)*K124/60</f>
        <v>7.8</v>
      </c>
      <c r="AA124" s="19">
        <f>VLOOKUP(F124,[2]New!$B:$G,6,0)*K124/60</f>
        <v>9.6399999999999988</v>
      </c>
      <c r="AB124" s="44">
        <f>VLOOKUP(A124,'[4]PO CAG (2)'!$A:$L,12,0)</f>
        <v>46238</v>
      </c>
      <c r="AC124" s="22">
        <f>IFERROR(VLOOKUP(F124,[3]Sheet1!$E:$H,4,0),)</f>
        <v>0</v>
      </c>
      <c r="AD124" s="144">
        <v>2</v>
      </c>
      <c r="AE124" s="25" t="s">
        <v>3023</v>
      </c>
      <c r="AF124" s="135" t="s">
        <v>112</v>
      </c>
      <c r="AG124" s="135"/>
      <c r="AH124" s="242" t="s">
        <v>1259</v>
      </c>
      <c r="AI124" s="23">
        <v>0</v>
      </c>
      <c r="AJ124" s="267" t="s">
        <v>153</v>
      </c>
      <c r="AN124" s="278">
        <v>2</v>
      </c>
      <c r="AO124" s="278">
        <v>2</v>
      </c>
      <c r="AP124" s="278">
        <v>2</v>
      </c>
      <c r="AQ124" s="278">
        <v>2</v>
      </c>
    </row>
    <row r="125" spans="1:43">
      <c r="A125" s="135" t="s">
        <v>1434</v>
      </c>
      <c r="B125" s="135" t="s">
        <v>1504</v>
      </c>
      <c r="C125" s="135" t="s">
        <v>1435</v>
      </c>
      <c r="D125" s="46">
        <v>11119588</v>
      </c>
      <c r="E125" s="20" t="s">
        <v>839</v>
      </c>
      <c r="F125" s="20" t="s">
        <v>840</v>
      </c>
      <c r="G125" s="24">
        <v>2</v>
      </c>
      <c r="H125" s="21">
        <v>46235</v>
      </c>
      <c r="I125" s="53" t="s">
        <v>1436</v>
      </c>
      <c r="J125" s="24" t="s">
        <v>1437</v>
      </c>
      <c r="K125" s="24">
        <v>2</v>
      </c>
      <c r="L125" s="46">
        <v>12116223</v>
      </c>
      <c r="M125" s="20" t="s">
        <v>867</v>
      </c>
      <c r="N125" s="38">
        <v>0</v>
      </c>
      <c r="O125" s="38">
        <v>0</v>
      </c>
      <c r="P125" s="20" t="s">
        <v>469</v>
      </c>
      <c r="Q125" s="20">
        <v>0</v>
      </c>
      <c r="R125" s="40">
        <v>46227</v>
      </c>
      <c r="S125" s="20">
        <v>0</v>
      </c>
      <c r="T125" s="20">
        <v>0</v>
      </c>
      <c r="U125" s="40">
        <v>46230</v>
      </c>
      <c r="V125" s="40">
        <v>46230</v>
      </c>
      <c r="W125" s="20" t="s">
        <v>57</v>
      </c>
      <c r="X125" s="21"/>
      <c r="Y125" s="19">
        <v>0</v>
      </c>
      <c r="Z125" s="19">
        <v>0</v>
      </c>
      <c r="AA125" s="19">
        <v>0</v>
      </c>
      <c r="AB125" s="44">
        <f>VLOOKUP(A125,'[4]PO CAG (2)'!$A:$L,12,0)</f>
        <v>46238</v>
      </c>
      <c r="AC125" s="22">
        <f>IFERROR(VLOOKUP(F125,[3]Sheet1!$E:$H,4,0),)</f>
        <v>0</v>
      </c>
      <c r="AD125" s="144">
        <v>2</v>
      </c>
      <c r="AE125" s="25" t="s">
        <v>3023</v>
      </c>
      <c r="AF125" s="135" t="s">
        <v>112</v>
      </c>
      <c r="AG125" s="135"/>
      <c r="AH125" s="242" t="s">
        <v>1259</v>
      </c>
      <c r="AI125" s="23">
        <v>0</v>
      </c>
      <c r="AJ125" s="267" t="s">
        <v>153</v>
      </c>
      <c r="AN125" s="278">
        <v>2</v>
      </c>
      <c r="AO125" s="278">
        <v>2</v>
      </c>
      <c r="AP125" s="278">
        <v>2</v>
      </c>
      <c r="AQ125" s="278">
        <v>2</v>
      </c>
    </row>
    <row r="126" spans="1:43">
      <c r="A126" s="135" t="s">
        <v>1438</v>
      </c>
      <c r="B126" s="135" t="s">
        <v>1505</v>
      </c>
      <c r="C126" s="135" t="s">
        <v>1439</v>
      </c>
      <c r="D126" s="46">
        <v>11119618</v>
      </c>
      <c r="E126" s="20" t="s">
        <v>841</v>
      </c>
      <c r="F126" s="20" t="s">
        <v>842</v>
      </c>
      <c r="G126" s="24">
        <v>2</v>
      </c>
      <c r="H126" s="21">
        <v>46235</v>
      </c>
      <c r="I126" s="53" t="s">
        <v>1440</v>
      </c>
      <c r="J126" s="24" t="s">
        <v>1441</v>
      </c>
      <c r="K126" s="24">
        <v>2</v>
      </c>
      <c r="L126" s="46">
        <v>12116253</v>
      </c>
      <c r="M126" s="20" t="s">
        <v>868</v>
      </c>
      <c r="N126" s="38">
        <v>0</v>
      </c>
      <c r="O126" s="38">
        <v>0</v>
      </c>
      <c r="P126" s="20" t="s">
        <v>469</v>
      </c>
      <c r="Q126" s="20">
        <v>0</v>
      </c>
      <c r="R126" s="40">
        <v>46227</v>
      </c>
      <c r="S126" s="20">
        <v>0</v>
      </c>
      <c r="T126" s="20">
        <v>0</v>
      </c>
      <c r="U126" s="40">
        <v>46230</v>
      </c>
      <c r="V126" s="40">
        <v>46230</v>
      </c>
      <c r="W126" s="20" t="s">
        <v>57</v>
      </c>
      <c r="X126" s="21"/>
      <c r="Y126" s="19">
        <f>VLOOKUP(F126,[2]New!$B:$G,3,0)*K126/60</f>
        <v>1.8666666666666667</v>
      </c>
      <c r="Z126" s="19">
        <f>VLOOKUP(F126,[2]New!$B:$G,4,0)*K126/60</f>
        <v>7.8</v>
      </c>
      <c r="AA126" s="19">
        <f>VLOOKUP(F126,[2]New!$B:$G,6,0)*K126/60</f>
        <v>9.6399999999999988</v>
      </c>
      <c r="AB126" s="44">
        <f>VLOOKUP(A126,'[4]PO CAG (2)'!$A:$L,12,0)</f>
        <v>46238</v>
      </c>
      <c r="AC126" s="22">
        <f>IFERROR(VLOOKUP(F126,[3]Sheet1!$E:$H,4,0),)</f>
        <v>0</v>
      </c>
      <c r="AD126" s="144">
        <v>2</v>
      </c>
      <c r="AE126" s="25" t="s">
        <v>3023</v>
      </c>
      <c r="AF126" s="135" t="s">
        <v>112</v>
      </c>
      <c r="AG126" s="135"/>
      <c r="AH126" s="242" t="s">
        <v>1259</v>
      </c>
      <c r="AI126" s="23">
        <v>0</v>
      </c>
      <c r="AJ126" s="267" t="s">
        <v>153</v>
      </c>
      <c r="AN126" s="278">
        <v>2</v>
      </c>
      <c r="AO126" s="278">
        <v>2</v>
      </c>
      <c r="AP126" s="278">
        <v>2</v>
      </c>
      <c r="AQ126" s="278">
        <v>2</v>
      </c>
    </row>
    <row r="127" spans="1:43">
      <c r="A127" s="135" t="s">
        <v>1442</v>
      </c>
      <c r="B127" s="135" t="s">
        <v>1506</v>
      </c>
      <c r="C127" s="135" t="s">
        <v>1443</v>
      </c>
      <c r="D127" s="46">
        <v>11119625</v>
      </c>
      <c r="E127" s="20" t="s">
        <v>849</v>
      </c>
      <c r="F127" s="20" t="s">
        <v>850</v>
      </c>
      <c r="G127" s="24">
        <v>2</v>
      </c>
      <c r="H127" s="21">
        <v>46235</v>
      </c>
      <c r="I127" s="53" t="s">
        <v>1444</v>
      </c>
      <c r="J127" s="24" t="s">
        <v>1445</v>
      </c>
      <c r="K127" s="24">
        <v>2</v>
      </c>
      <c r="L127" s="46">
        <v>12116260</v>
      </c>
      <c r="M127" s="20" t="s">
        <v>872</v>
      </c>
      <c r="N127" s="38">
        <v>0</v>
      </c>
      <c r="O127" s="38">
        <v>0</v>
      </c>
      <c r="P127" s="20" t="s">
        <v>469</v>
      </c>
      <c r="Q127" s="20">
        <v>0</v>
      </c>
      <c r="R127" s="40">
        <v>46227</v>
      </c>
      <c r="S127" s="20">
        <v>0</v>
      </c>
      <c r="T127" s="20">
        <v>0</v>
      </c>
      <c r="U127" s="40">
        <v>46230</v>
      </c>
      <c r="V127" s="40">
        <v>46230</v>
      </c>
      <c r="W127" s="20" t="s">
        <v>57</v>
      </c>
      <c r="X127" s="21"/>
      <c r="Y127" s="19">
        <f>VLOOKUP(F127,[2]New!$B:$G,3,0)*K127/60</f>
        <v>1.8666666666666667</v>
      </c>
      <c r="Z127" s="19">
        <f>VLOOKUP(F127,[2]New!$B:$G,4,0)*K127/60</f>
        <v>7.8</v>
      </c>
      <c r="AA127" s="19">
        <f>VLOOKUP(F127,[2]New!$B:$G,6,0)*K127/60</f>
        <v>9.6333333333333329</v>
      </c>
      <c r="AB127" s="44">
        <f>VLOOKUP(A127,'[4]PO CAG (2)'!$A:$L,12,0)</f>
        <v>46238</v>
      </c>
      <c r="AC127" s="22">
        <f>IFERROR(VLOOKUP(F127,[3]Sheet1!$E:$H,4,0),)</f>
        <v>0</v>
      </c>
      <c r="AD127" s="144">
        <v>2</v>
      </c>
      <c r="AE127" s="25" t="s">
        <v>3023</v>
      </c>
      <c r="AF127" s="135" t="s">
        <v>112</v>
      </c>
      <c r="AG127" s="135"/>
      <c r="AH127" s="242" t="s">
        <v>1259</v>
      </c>
      <c r="AI127" s="23">
        <v>0</v>
      </c>
      <c r="AJ127" s="267" t="s">
        <v>153</v>
      </c>
      <c r="AN127" s="278">
        <v>2</v>
      </c>
      <c r="AO127" s="278">
        <v>2</v>
      </c>
      <c r="AP127" s="278">
        <v>2</v>
      </c>
      <c r="AQ127" s="278">
        <v>2</v>
      </c>
    </row>
    <row r="128" spans="1:43">
      <c r="A128" s="135" t="s">
        <v>1446</v>
      </c>
      <c r="B128" s="135" t="s">
        <v>1507</v>
      </c>
      <c r="C128" s="135" t="s">
        <v>1447</v>
      </c>
      <c r="D128" s="46">
        <v>11119628</v>
      </c>
      <c r="E128" s="20" t="s">
        <v>845</v>
      </c>
      <c r="F128" s="20" t="s">
        <v>846</v>
      </c>
      <c r="G128" s="24">
        <v>2</v>
      </c>
      <c r="H128" s="21">
        <v>46235</v>
      </c>
      <c r="I128" s="53" t="s">
        <v>1448</v>
      </c>
      <c r="J128" s="24" t="s">
        <v>1449</v>
      </c>
      <c r="K128" s="24">
        <v>2</v>
      </c>
      <c r="L128" s="46">
        <v>12116263</v>
      </c>
      <c r="M128" s="20" t="s">
        <v>870</v>
      </c>
      <c r="N128" s="38">
        <v>0</v>
      </c>
      <c r="O128" s="38">
        <v>0</v>
      </c>
      <c r="P128" s="20" t="s">
        <v>469</v>
      </c>
      <c r="Q128" s="20">
        <v>0</v>
      </c>
      <c r="R128" s="40">
        <v>46227</v>
      </c>
      <c r="S128" s="20">
        <v>0</v>
      </c>
      <c r="T128" s="20">
        <v>0</v>
      </c>
      <c r="U128" s="40">
        <v>46230</v>
      </c>
      <c r="V128" s="40">
        <v>46230</v>
      </c>
      <c r="W128" s="20" t="s">
        <v>57</v>
      </c>
      <c r="X128" s="21"/>
      <c r="Y128" s="19">
        <f>VLOOKUP(F128,[2]New!$B:$G,3,0)*K128/60</f>
        <v>1.8666666666666667</v>
      </c>
      <c r="Z128" s="19">
        <f>VLOOKUP(F128,[2]New!$B:$G,4,0)*K128/60</f>
        <v>7.8</v>
      </c>
      <c r="AA128" s="19">
        <f>VLOOKUP(F128,[2]New!$B:$G,6,0)*K128/60</f>
        <v>9.6333333333333329</v>
      </c>
      <c r="AB128" s="44">
        <f>VLOOKUP(A128,'[4]PO CAG (2)'!$A:$L,12,0)</f>
        <v>46238</v>
      </c>
      <c r="AC128" s="22">
        <f>IFERROR(VLOOKUP(F128,[3]Sheet1!$E:$H,4,0),)</f>
        <v>0</v>
      </c>
      <c r="AD128" s="144">
        <v>2</v>
      </c>
      <c r="AE128" s="25" t="s">
        <v>3023</v>
      </c>
      <c r="AF128" s="135" t="s">
        <v>112</v>
      </c>
      <c r="AG128" s="135"/>
      <c r="AH128" s="242" t="s">
        <v>1259</v>
      </c>
      <c r="AI128" s="23">
        <v>0</v>
      </c>
      <c r="AJ128" s="267" t="s">
        <v>153</v>
      </c>
      <c r="AN128" s="278">
        <v>2</v>
      </c>
      <c r="AO128" s="278">
        <v>2</v>
      </c>
      <c r="AP128" s="278">
        <v>2</v>
      </c>
      <c r="AQ128" s="278">
        <v>2</v>
      </c>
    </row>
    <row r="129" spans="1:43">
      <c r="A129" s="135" t="s">
        <v>1450</v>
      </c>
      <c r="B129" s="135" t="s">
        <v>1508</v>
      </c>
      <c r="C129" s="135" t="s">
        <v>1451</v>
      </c>
      <c r="D129" s="46">
        <v>11118595</v>
      </c>
      <c r="E129" s="20" t="s">
        <v>982</v>
      </c>
      <c r="F129" s="20" t="s">
        <v>983</v>
      </c>
      <c r="G129" s="24">
        <v>2</v>
      </c>
      <c r="H129" s="21">
        <v>46235</v>
      </c>
      <c r="I129" s="53" t="s">
        <v>1452</v>
      </c>
      <c r="J129" s="24" t="s">
        <v>1453</v>
      </c>
      <c r="K129" s="24">
        <v>2</v>
      </c>
      <c r="L129" s="46">
        <v>12116308</v>
      </c>
      <c r="M129" s="20" t="s">
        <v>1017</v>
      </c>
      <c r="N129" s="38">
        <v>0</v>
      </c>
      <c r="O129" s="38">
        <v>0</v>
      </c>
      <c r="P129" s="20" t="s">
        <v>469</v>
      </c>
      <c r="Q129" s="20">
        <v>0</v>
      </c>
      <c r="R129" s="40">
        <v>46227</v>
      </c>
      <c r="S129" s="20">
        <v>0</v>
      </c>
      <c r="T129" s="20">
        <v>0</v>
      </c>
      <c r="U129" s="40">
        <v>46230</v>
      </c>
      <c r="V129" s="40">
        <v>46230</v>
      </c>
      <c r="W129" s="20" t="s">
        <v>57</v>
      </c>
      <c r="X129" s="21"/>
      <c r="Y129" s="19">
        <f>VLOOKUP(F129,[2]New!$B:$G,3,0)*K129/60</f>
        <v>1.8666666666666667</v>
      </c>
      <c r="Z129" s="19">
        <f>VLOOKUP(F129,[2]New!$B:$G,4,0)*K129/60</f>
        <v>7.8</v>
      </c>
      <c r="AA129" s="19">
        <f>VLOOKUP(F129,[2]New!$B:$G,6,0)*K129/60</f>
        <v>9.6333333333333329</v>
      </c>
      <c r="AB129" s="44">
        <f>VLOOKUP(A129,'[4]PO CAG (2)'!$A:$L,12,0)</f>
        <v>46238</v>
      </c>
      <c r="AC129" s="22">
        <f>IFERROR(VLOOKUP(F129,[3]Sheet1!$E:$H,4,0),)</f>
        <v>0</v>
      </c>
      <c r="AD129" s="144">
        <v>2</v>
      </c>
      <c r="AE129" s="25" t="s">
        <v>3023</v>
      </c>
      <c r="AF129" s="135" t="s">
        <v>112</v>
      </c>
      <c r="AG129" s="135"/>
      <c r="AH129" s="242" t="s">
        <v>1259</v>
      </c>
      <c r="AI129" s="23">
        <v>0</v>
      </c>
      <c r="AJ129" s="267" t="s">
        <v>153</v>
      </c>
      <c r="AN129" s="278">
        <v>2</v>
      </c>
      <c r="AO129" s="278">
        <v>2</v>
      </c>
      <c r="AP129" s="278">
        <v>2</v>
      </c>
      <c r="AQ129" s="278">
        <v>2</v>
      </c>
    </row>
    <row r="130" spans="1:43">
      <c r="A130" s="135" t="s">
        <v>1454</v>
      </c>
      <c r="B130" s="135" t="s">
        <v>1509</v>
      </c>
      <c r="C130" s="135" t="s">
        <v>1455</v>
      </c>
      <c r="D130" s="46">
        <v>11119512</v>
      </c>
      <c r="E130" s="20" t="s">
        <v>978</v>
      </c>
      <c r="F130" s="20" t="s">
        <v>979</v>
      </c>
      <c r="G130" s="24">
        <v>3</v>
      </c>
      <c r="H130" s="21">
        <v>46235</v>
      </c>
      <c r="I130" s="53" t="s">
        <v>1456</v>
      </c>
      <c r="J130" s="24" t="s">
        <v>1457</v>
      </c>
      <c r="K130" s="24">
        <v>3</v>
      </c>
      <c r="L130" s="46">
        <v>12116147</v>
      </c>
      <c r="M130" s="20" t="s">
        <v>1015</v>
      </c>
      <c r="N130" s="38">
        <v>0</v>
      </c>
      <c r="O130" s="38">
        <v>0</v>
      </c>
      <c r="P130" s="20" t="s">
        <v>469</v>
      </c>
      <c r="Q130" s="20">
        <v>0</v>
      </c>
      <c r="R130" s="40">
        <v>46227</v>
      </c>
      <c r="S130" s="20">
        <v>0</v>
      </c>
      <c r="T130" s="20">
        <v>0</v>
      </c>
      <c r="U130" s="40">
        <v>46230</v>
      </c>
      <c r="V130" s="40">
        <v>46230</v>
      </c>
      <c r="W130" s="20" t="s">
        <v>57</v>
      </c>
      <c r="X130" s="21"/>
      <c r="Y130" s="19">
        <f>VLOOKUP(F130,[2]New!$B:$G,3,0)*K130/60</f>
        <v>2.8</v>
      </c>
      <c r="Z130" s="19">
        <f>VLOOKUP(F130,[2]New!$B:$G,4,0)*K130/60</f>
        <v>11.7</v>
      </c>
      <c r="AA130" s="19">
        <f>VLOOKUP(F130,[2]New!$B:$G,6,0)*K130/60</f>
        <v>14.459999999999999</v>
      </c>
      <c r="AB130" s="44">
        <f>VLOOKUP(A130,'[4]PO CAG (2)'!$A:$L,12,0)</f>
        <v>46238</v>
      </c>
      <c r="AC130" s="22">
        <f>IFERROR(VLOOKUP(F130,[3]Sheet1!$E:$H,4,0),)</f>
        <v>0</v>
      </c>
      <c r="AD130" s="144">
        <v>3</v>
      </c>
      <c r="AE130" s="25" t="s">
        <v>3023</v>
      </c>
      <c r="AF130" s="135" t="s">
        <v>112</v>
      </c>
      <c r="AG130" s="135"/>
      <c r="AH130" s="242" t="s">
        <v>1259</v>
      </c>
      <c r="AI130" s="23">
        <v>0</v>
      </c>
      <c r="AJ130" s="267" t="s">
        <v>153</v>
      </c>
      <c r="AN130" s="278">
        <v>2</v>
      </c>
      <c r="AO130" s="278">
        <v>2</v>
      </c>
      <c r="AP130" s="278">
        <v>2</v>
      </c>
      <c r="AQ130" s="278">
        <v>2</v>
      </c>
    </row>
    <row r="131" spans="1:43">
      <c r="A131" s="135" t="s">
        <v>1458</v>
      </c>
      <c r="B131" s="135" t="s">
        <v>1510</v>
      </c>
      <c r="C131" s="135" t="s">
        <v>1459</v>
      </c>
      <c r="D131" s="46">
        <v>11119528</v>
      </c>
      <c r="E131" s="20" t="s">
        <v>988</v>
      </c>
      <c r="F131" s="20" t="s">
        <v>989</v>
      </c>
      <c r="G131" s="24">
        <v>3</v>
      </c>
      <c r="H131" s="21">
        <v>46235</v>
      </c>
      <c r="I131" s="53" t="s">
        <v>1460</v>
      </c>
      <c r="J131" s="24" t="s">
        <v>1461</v>
      </c>
      <c r="K131" s="24">
        <v>3</v>
      </c>
      <c r="L131" s="46">
        <v>12116163</v>
      </c>
      <c r="M131" s="20" t="s">
        <v>1020</v>
      </c>
      <c r="N131" s="38">
        <v>0</v>
      </c>
      <c r="O131" s="38">
        <v>0</v>
      </c>
      <c r="P131" s="20" t="s">
        <v>469</v>
      </c>
      <c r="Q131" s="20">
        <v>0</v>
      </c>
      <c r="R131" s="40">
        <v>46227</v>
      </c>
      <c r="S131" s="20">
        <v>0</v>
      </c>
      <c r="T131" s="20">
        <v>0</v>
      </c>
      <c r="U131" s="40">
        <v>46230</v>
      </c>
      <c r="V131" s="40">
        <v>46230</v>
      </c>
      <c r="W131" s="20" t="s">
        <v>57</v>
      </c>
      <c r="X131" s="21"/>
      <c r="Y131" s="19">
        <f>VLOOKUP(F131,[2]New!$B:$G,3,0)*K131/60</f>
        <v>2.8</v>
      </c>
      <c r="Z131" s="19">
        <f>VLOOKUP(F131,[2]New!$B:$G,4,0)*K131/60</f>
        <v>11.7</v>
      </c>
      <c r="AA131" s="19">
        <f>VLOOKUP(F131,[2]New!$B:$G,6,0)*K131/60</f>
        <v>14.459999999999999</v>
      </c>
      <c r="AB131" s="44">
        <f>VLOOKUP(A131,'[4]PO CAG (2)'!$A:$L,12,0)</f>
        <v>46238</v>
      </c>
      <c r="AC131" s="22">
        <f>IFERROR(VLOOKUP(F131,[3]Sheet1!$E:$H,4,0),)</f>
        <v>0</v>
      </c>
      <c r="AD131" s="144">
        <v>3</v>
      </c>
      <c r="AE131" s="25" t="s">
        <v>3023</v>
      </c>
      <c r="AF131" s="135" t="s">
        <v>112</v>
      </c>
      <c r="AG131" s="135"/>
      <c r="AH131" s="242" t="s">
        <v>1259</v>
      </c>
      <c r="AI131" s="23">
        <v>0</v>
      </c>
      <c r="AJ131" s="267" t="s">
        <v>153</v>
      </c>
      <c r="AN131" s="278">
        <v>2</v>
      </c>
      <c r="AO131" s="278">
        <v>2</v>
      </c>
      <c r="AP131" s="278">
        <v>2</v>
      </c>
      <c r="AQ131" s="278">
        <v>2</v>
      </c>
    </row>
    <row r="132" spans="1:43">
      <c r="A132" s="135" t="s">
        <v>1462</v>
      </c>
      <c r="B132" s="135" t="s">
        <v>1511</v>
      </c>
      <c r="C132" s="135" t="s">
        <v>1463</v>
      </c>
      <c r="D132" s="46">
        <v>11119530</v>
      </c>
      <c r="E132" s="20" t="s">
        <v>990</v>
      </c>
      <c r="F132" s="20" t="s">
        <v>991</v>
      </c>
      <c r="G132" s="24">
        <v>3</v>
      </c>
      <c r="H132" s="21">
        <v>46235</v>
      </c>
      <c r="I132" s="53" t="s">
        <v>1464</v>
      </c>
      <c r="J132" s="24" t="s">
        <v>1465</v>
      </c>
      <c r="K132" s="24">
        <v>3</v>
      </c>
      <c r="L132" s="46">
        <v>12116165</v>
      </c>
      <c r="M132" s="20" t="s">
        <v>1021</v>
      </c>
      <c r="N132" s="38">
        <v>0</v>
      </c>
      <c r="O132" s="38">
        <v>0</v>
      </c>
      <c r="P132" s="20" t="s">
        <v>469</v>
      </c>
      <c r="Q132" s="20">
        <v>0</v>
      </c>
      <c r="R132" s="40">
        <v>46227</v>
      </c>
      <c r="S132" s="20">
        <v>0</v>
      </c>
      <c r="T132" s="20">
        <v>0</v>
      </c>
      <c r="U132" s="40">
        <v>46230</v>
      </c>
      <c r="V132" s="40">
        <v>46230</v>
      </c>
      <c r="W132" s="20" t="s">
        <v>57</v>
      </c>
      <c r="X132" s="21"/>
      <c r="Y132" s="19">
        <f>VLOOKUP(F132,[2]New!$B:$G,3,0)*K132/60</f>
        <v>2.8</v>
      </c>
      <c r="Z132" s="19">
        <f>VLOOKUP(F132,[2]New!$B:$G,4,0)*K132/60</f>
        <v>11.7</v>
      </c>
      <c r="AA132" s="19">
        <f>VLOOKUP(F132,[2]New!$B:$G,6,0)*K132/60</f>
        <v>14.459999999999999</v>
      </c>
      <c r="AB132" s="44">
        <f>VLOOKUP(A132,'[4]PO CAG (2)'!$A:$L,12,0)</f>
        <v>46238</v>
      </c>
      <c r="AC132" s="22">
        <f>IFERROR(VLOOKUP(F132,[3]Sheet1!$E:$H,4,0),)</f>
        <v>0</v>
      </c>
      <c r="AD132" s="144">
        <v>3</v>
      </c>
      <c r="AE132" s="25" t="s">
        <v>3023</v>
      </c>
      <c r="AF132" s="135" t="s">
        <v>112</v>
      </c>
      <c r="AG132" s="135"/>
      <c r="AH132" s="242" t="s">
        <v>1259</v>
      </c>
      <c r="AI132" s="23">
        <v>0</v>
      </c>
      <c r="AJ132" s="267" t="s">
        <v>153</v>
      </c>
      <c r="AN132" s="278">
        <v>2</v>
      </c>
      <c r="AO132" s="278">
        <v>2</v>
      </c>
      <c r="AP132" s="278">
        <v>2</v>
      </c>
      <c r="AQ132" s="278">
        <v>2</v>
      </c>
    </row>
    <row r="133" spans="1:43">
      <c r="A133" s="135" t="s">
        <v>1466</v>
      </c>
      <c r="B133" s="135" t="s">
        <v>1512</v>
      </c>
      <c r="C133" s="135" t="s">
        <v>1467</v>
      </c>
      <c r="D133" s="46">
        <v>11119667</v>
      </c>
      <c r="E133" s="20" t="s">
        <v>779</v>
      </c>
      <c r="F133" s="20" t="s">
        <v>780</v>
      </c>
      <c r="G133" s="24">
        <v>3</v>
      </c>
      <c r="H133" s="21">
        <v>46235</v>
      </c>
      <c r="I133" s="53" t="s">
        <v>1468</v>
      </c>
      <c r="J133" s="24" t="s">
        <v>1469</v>
      </c>
      <c r="K133" s="24">
        <v>3</v>
      </c>
      <c r="L133" s="46">
        <v>12116302</v>
      </c>
      <c r="M133" s="20" t="s">
        <v>795</v>
      </c>
      <c r="N133" s="38">
        <v>0</v>
      </c>
      <c r="O133" s="38">
        <v>0</v>
      </c>
      <c r="P133" s="20" t="s">
        <v>469</v>
      </c>
      <c r="Q133" s="20">
        <v>0</v>
      </c>
      <c r="R133" s="40">
        <v>46227</v>
      </c>
      <c r="S133" s="20">
        <v>0</v>
      </c>
      <c r="T133" s="20">
        <v>0</v>
      </c>
      <c r="U133" s="40">
        <v>46230</v>
      </c>
      <c r="V133" s="40">
        <v>46230</v>
      </c>
      <c r="W133" s="20" t="s">
        <v>57</v>
      </c>
      <c r="X133" s="21"/>
      <c r="Y133" s="19">
        <f>VLOOKUP(F133,[2]New!$B:$G,3,0)*K133/60</f>
        <v>2.8</v>
      </c>
      <c r="Z133" s="19">
        <f>VLOOKUP(F133,[2]New!$B:$G,4,0)*K133/60</f>
        <v>11.7</v>
      </c>
      <c r="AA133" s="19">
        <f>VLOOKUP(F133,[2]New!$B:$G,6,0)*K133/60</f>
        <v>14.45</v>
      </c>
      <c r="AB133" s="44">
        <f>VLOOKUP(A133,'[4]PO CAG (2)'!$A:$L,12,0)</f>
        <v>46238</v>
      </c>
      <c r="AC133" s="22">
        <f>IFERROR(VLOOKUP(F133,[3]Sheet1!$E:$H,4,0),)</f>
        <v>0</v>
      </c>
      <c r="AD133" s="144">
        <v>3</v>
      </c>
      <c r="AE133" s="25" t="s">
        <v>3023</v>
      </c>
      <c r="AF133" s="135" t="s">
        <v>112</v>
      </c>
      <c r="AG133" s="135"/>
      <c r="AH133" s="242" t="s">
        <v>1259</v>
      </c>
      <c r="AI133" s="23">
        <v>0</v>
      </c>
      <c r="AJ133" s="267" t="s">
        <v>153</v>
      </c>
      <c r="AN133" s="278">
        <v>2</v>
      </c>
      <c r="AO133" s="278">
        <v>2</v>
      </c>
      <c r="AP133" s="278">
        <v>2</v>
      </c>
      <c r="AQ133" s="278">
        <v>2</v>
      </c>
    </row>
    <row r="134" spans="1:43">
      <c r="A134" s="135" t="s">
        <v>1470</v>
      </c>
      <c r="B134" s="135" t="s">
        <v>1513</v>
      </c>
      <c r="C134" s="135" t="s">
        <v>1471</v>
      </c>
      <c r="D134" s="46">
        <v>11119598</v>
      </c>
      <c r="E134" s="20" t="s">
        <v>847</v>
      </c>
      <c r="F134" s="20" t="s">
        <v>848</v>
      </c>
      <c r="G134" s="24">
        <v>3</v>
      </c>
      <c r="H134" s="21">
        <v>46235</v>
      </c>
      <c r="I134" s="53" t="s">
        <v>1472</v>
      </c>
      <c r="J134" s="24" t="s">
        <v>1473</v>
      </c>
      <c r="K134" s="24">
        <v>3</v>
      </c>
      <c r="L134" s="46">
        <v>12116233</v>
      </c>
      <c r="M134" s="20" t="s">
        <v>871</v>
      </c>
      <c r="N134" s="38">
        <v>0</v>
      </c>
      <c r="O134" s="38">
        <v>0</v>
      </c>
      <c r="P134" s="20" t="s">
        <v>469</v>
      </c>
      <c r="Q134" s="20">
        <v>0</v>
      </c>
      <c r="R134" s="40">
        <v>46227</v>
      </c>
      <c r="S134" s="20">
        <v>0</v>
      </c>
      <c r="T134" s="20">
        <v>0</v>
      </c>
      <c r="U134" s="40">
        <v>46230</v>
      </c>
      <c r="V134" s="40">
        <v>46230</v>
      </c>
      <c r="W134" s="20" t="s">
        <v>57</v>
      </c>
      <c r="X134" s="21"/>
      <c r="Y134" s="19">
        <f>VLOOKUP(F134,[2]New!$B:$G,3,0)*K134/60</f>
        <v>2.8</v>
      </c>
      <c r="Z134" s="19">
        <f>VLOOKUP(F134,[2]New!$B:$G,4,0)*K134/60</f>
        <v>11.7</v>
      </c>
      <c r="AA134" s="19">
        <f>VLOOKUP(F134,[2]New!$B:$G,6,0)*K134/60</f>
        <v>14.45</v>
      </c>
      <c r="AB134" s="44">
        <f>VLOOKUP(A134,'[4]PO CAG (2)'!$A:$L,12,0)</f>
        <v>46238</v>
      </c>
      <c r="AC134" s="22">
        <f>IFERROR(VLOOKUP(F134,[3]Sheet1!$E:$H,4,0),)</f>
        <v>0</v>
      </c>
      <c r="AD134" s="144">
        <v>3</v>
      </c>
      <c r="AE134" s="25" t="s">
        <v>3023</v>
      </c>
      <c r="AF134" s="135" t="s">
        <v>112</v>
      </c>
      <c r="AG134" s="135"/>
      <c r="AH134" s="242" t="s">
        <v>1259</v>
      </c>
      <c r="AI134" s="23">
        <v>0</v>
      </c>
      <c r="AJ134" s="267" t="s">
        <v>153</v>
      </c>
      <c r="AN134" s="278">
        <v>2</v>
      </c>
      <c r="AO134" s="278">
        <v>2</v>
      </c>
      <c r="AP134" s="278">
        <v>2</v>
      </c>
      <c r="AQ134" s="278">
        <v>2</v>
      </c>
    </row>
    <row r="135" spans="1:43">
      <c r="A135" s="135" t="s">
        <v>1474</v>
      </c>
      <c r="B135" s="135" t="s">
        <v>1514</v>
      </c>
      <c r="C135" s="135" t="s">
        <v>1475</v>
      </c>
      <c r="D135" s="46">
        <v>11119613</v>
      </c>
      <c r="E135" s="20" t="s">
        <v>994</v>
      </c>
      <c r="F135" s="20" t="s">
        <v>995</v>
      </c>
      <c r="G135" s="24">
        <v>3</v>
      </c>
      <c r="H135" s="21">
        <v>46235</v>
      </c>
      <c r="I135" s="53" t="s">
        <v>1476</v>
      </c>
      <c r="J135" s="24" t="s">
        <v>1477</v>
      </c>
      <c r="K135" s="24">
        <v>3</v>
      </c>
      <c r="L135" s="46">
        <v>12116248</v>
      </c>
      <c r="M135" s="20" t="s">
        <v>1022</v>
      </c>
      <c r="N135" s="38">
        <v>0</v>
      </c>
      <c r="O135" s="38">
        <v>0</v>
      </c>
      <c r="P135" s="20" t="s">
        <v>469</v>
      </c>
      <c r="Q135" s="20">
        <v>0</v>
      </c>
      <c r="R135" s="40">
        <v>46227</v>
      </c>
      <c r="S135" s="20">
        <v>0</v>
      </c>
      <c r="T135" s="20">
        <v>0</v>
      </c>
      <c r="U135" s="40">
        <v>46230</v>
      </c>
      <c r="V135" s="40">
        <v>46230</v>
      </c>
      <c r="W135" s="20" t="s">
        <v>57</v>
      </c>
      <c r="X135" s="21"/>
      <c r="Y135" s="19">
        <f>VLOOKUP(F135,[2]New!$B:$G,3,0)*K135/60</f>
        <v>2.8</v>
      </c>
      <c r="Z135" s="19">
        <f>VLOOKUP(F135,[2]New!$B:$G,4,0)*K135/60</f>
        <v>11.7</v>
      </c>
      <c r="AA135" s="19">
        <f>VLOOKUP(F135,[2]New!$B:$G,6,0)*K135/60</f>
        <v>14.459999999999999</v>
      </c>
      <c r="AB135" s="44">
        <f>VLOOKUP(A135,'[4]PO CAG (2)'!$A:$L,12,0)</f>
        <v>46238</v>
      </c>
      <c r="AC135" s="22">
        <f>IFERROR(VLOOKUP(F135,[3]Sheet1!$E:$H,4,0),)</f>
        <v>0</v>
      </c>
      <c r="AD135" s="144">
        <v>3</v>
      </c>
      <c r="AE135" s="25" t="s">
        <v>3023</v>
      </c>
      <c r="AF135" s="135" t="s">
        <v>112</v>
      </c>
      <c r="AG135" s="135"/>
      <c r="AH135" s="242" t="s">
        <v>1259</v>
      </c>
      <c r="AI135" s="23">
        <v>0</v>
      </c>
      <c r="AJ135" s="267" t="s">
        <v>153</v>
      </c>
      <c r="AN135" s="278">
        <v>2</v>
      </c>
      <c r="AO135" s="278">
        <v>2</v>
      </c>
      <c r="AP135" s="278">
        <v>2</v>
      </c>
      <c r="AQ135" s="278">
        <v>2</v>
      </c>
    </row>
    <row r="136" spans="1:43">
      <c r="A136" s="135" t="s">
        <v>550</v>
      </c>
      <c r="B136" s="135" t="s">
        <v>1517</v>
      </c>
      <c r="C136" s="135" t="s">
        <v>1480</v>
      </c>
      <c r="D136" s="46">
        <v>11134137</v>
      </c>
      <c r="E136" s="20" t="s">
        <v>131</v>
      </c>
      <c r="F136" s="20" t="s">
        <v>71</v>
      </c>
      <c r="G136" s="24">
        <v>230</v>
      </c>
      <c r="H136" s="21">
        <v>46247</v>
      </c>
      <c r="I136" s="53" t="s">
        <v>1481</v>
      </c>
      <c r="J136" s="24" t="s">
        <v>1482</v>
      </c>
      <c r="K136" s="24">
        <v>230</v>
      </c>
      <c r="L136" s="46">
        <v>12129986</v>
      </c>
      <c r="M136" s="20" t="s">
        <v>76</v>
      </c>
      <c r="N136" s="38">
        <v>0</v>
      </c>
      <c r="O136" s="38">
        <v>0</v>
      </c>
      <c r="P136" s="20" t="s">
        <v>72</v>
      </c>
      <c r="Q136" s="20">
        <v>0</v>
      </c>
      <c r="R136" s="40">
        <v>46227</v>
      </c>
      <c r="S136" s="20">
        <v>0</v>
      </c>
      <c r="T136" s="20">
        <v>0</v>
      </c>
      <c r="U136" s="40">
        <v>46230</v>
      </c>
      <c r="V136" s="40">
        <v>46230</v>
      </c>
      <c r="W136" s="20" t="s">
        <v>57</v>
      </c>
      <c r="X136" s="21"/>
      <c r="Y136" s="19">
        <f>VLOOKUP(F136,[2]New!$B:$G,3,0)*K136/60</f>
        <v>214.66666666666666</v>
      </c>
      <c r="Z136" s="19">
        <f>VLOOKUP(F136,[2]New!$B:$G,4,0)*K136/60</f>
        <v>897</v>
      </c>
      <c r="AA136" s="19">
        <f>VLOOKUP(F136,[2]New!$B:$G,6,0)*K136/60</f>
        <v>1107.8333333333333</v>
      </c>
      <c r="AB136" s="44">
        <f>VLOOKUP(A136,'[4]PO CAG (2)'!$A:$L,12,0)</f>
        <v>46268</v>
      </c>
      <c r="AC136" s="22" t="str">
        <f>IFERROR(VLOOKUP(F136,[3]Sheet1!$E:$H,4,0),)</f>
        <v>G</v>
      </c>
      <c r="AD136" s="144">
        <v>230</v>
      </c>
      <c r="AE136" s="25" t="s">
        <v>3023</v>
      </c>
      <c r="AF136" s="135" t="s">
        <v>198</v>
      </c>
      <c r="AG136" s="135"/>
      <c r="AH136" s="242" t="s">
        <v>1259</v>
      </c>
      <c r="AI136" s="23">
        <v>0</v>
      </c>
      <c r="AJ136" s="267" t="s">
        <v>189</v>
      </c>
      <c r="AN136" s="278">
        <v>3</v>
      </c>
      <c r="AO136" s="278">
        <v>3</v>
      </c>
      <c r="AP136" s="278">
        <v>3</v>
      </c>
      <c r="AQ136" s="278">
        <v>3</v>
      </c>
    </row>
    <row r="137" spans="1:43">
      <c r="A137" s="135" t="s">
        <v>631</v>
      </c>
      <c r="B137" s="135" t="s">
        <v>1518</v>
      </c>
      <c r="C137" s="135" t="s">
        <v>1483</v>
      </c>
      <c r="D137" s="46">
        <v>11134148</v>
      </c>
      <c r="E137" s="20" t="s">
        <v>136</v>
      </c>
      <c r="F137" s="20" t="s">
        <v>69</v>
      </c>
      <c r="G137" s="24">
        <v>7</v>
      </c>
      <c r="H137" s="21">
        <v>46247</v>
      </c>
      <c r="I137" s="53" t="s">
        <v>1484</v>
      </c>
      <c r="J137" s="24" t="s">
        <v>1485</v>
      </c>
      <c r="K137" s="24">
        <v>13</v>
      </c>
      <c r="L137" s="46">
        <v>12129995</v>
      </c>
      <c r="M137" s="20" t="s">
        <v>74</v>
      </c>
      <c r="N137" s="38">
        <v>0</v>
      </c>
      <c r="O137" s="38">
        <v>0</v>
      </c>
      <c r="P137" s="20" t="s">
        <v>72</v>
      </c>
      <c r="Q137" s="20">
        <v>0</v>
      </c>
      <c r="R137" s="40">
        <v>46227</v>
      </c>
      <c r="S137" s="20">
        <v>3</v>
      </c>
      <c r="T137" s="20">
        <v>3</v>
      </c>
      <c r="U137" s="40">
        <v>46230</v>
      </c>
      <c r="V137" s="40">
        <v>46230</v>
      </c>
      <c r="W137" s="20" t="s">
        <v>57</v>
      </c>
      <c r="X137" s="21"/>
      <c r="Y137" s="19">
        <f>VLOOKUP(F137,[2]New!$B:$G,3,0)*K137/60</f>
        <v>12.133333333333333</v>
      </c>
      <c r="Z137" s="19">
        <f>VLOOKUP(F137,[2]New!$B:$G,4,0)*K137/60</f>
        <v>50.7</v>
      </c>
      <c r="AA137" s="19">
        <f>VLOOKUP(F137,[2]New!$B:$G,6,0)*K137/60</f>
        <v>62.616666666666667</v>
      </c>
      <c r="AB137" s="44">
        <f>VLOOKUP(A137,'[4]PO CAG (2)'!$A:$L,12,0)</f>
        <v>46268</v>
      </c>
      <c r="AC137" s="22" t="str">
        <f>IFERROR(VLOOKUP(F137,[3]Sheet1!$E:$H,4,0),)</f>
        <v>G</v>
      </c>
      <c r="AD137" s="144">
        <v>7</v>
      </c>
      <c r="AE137" s="25" t="s">
        <v>3023</v>
      </c>
      <c r="AF137" s="135" t="s">
        <v>198</v>
      </c>
      <c r="AG137" s="135"/>
      <c r="AH137" s="242" t="s">
        <v>383</v>
      </c>
      <c r="AI137" s="23">
        <v>6</v>
      </c>
      <c r="AJ137" s="267" t="s">
        <v>189</v>
      </c>
      <c r="AN137" s="278">
        <v>3</v>
      </c>
      <c r="AO137" s="278">
        <v>3</v>
      </c>
      <c r="AP137" s="278">
        <v>3</v>
      </c>
      <c r="AQ137" s="278">
        <v>3</v>
      </c>
    </row>
    <row r="138" spans="1:43">
      <c r="A138" s="135" t="s">
        <v>951</v>
      </c>
      <c r="B138" s="135" t="s">
        <v>1519</v>
      </c>
      <c r="C138" s="135" t="s">
        <v>1486</v>
      </c>
      <c r="D138" s="46">
        <v>11134146</v>
      </c>
      <c r="E138" s="20" t="s">
        <v>134</v>
      </c>
      <c r="F138" s="20" t="s">
        <v>135</v>
      </c>
      <c r="G138" s="24">
        <v>226</v>
      </c>
      <c r="H138" s="21">
        <v>46247</v>
      </c>
      <c r="I138" s="53" t="s">
        <v>1487</v>
      </c>
      <c r="J138" s="24" t="s">
        <v>1488</v>
      </c>
      <c r="K138" s="24">
        <v>226</v>
      </c>
      <c r="L138" s="46">
        <v>12129994</v>
      </c>
      <c r="M138" s="20" t="s">
        <v>138</v>
      </c>
      <c r="N138" s="38">
        <v>0</v>
      </c>
      <c r="O138" s="38">
        <v>0</v>
      </c>
      <c r="P138" s="20" t="s">
        <v>72</v>
      </c>
      <c r="Q138" s="20">
        <v>0</v>
      </c>
      <c r="R138" s="40">
        <v>46227</v>
      </c>
      <c r="S138" s="20">
        <v>0</v>
      </c>
      <c r="T138" s="20">
        <v>0</v>
      </c>
      <c r="U138" s="40">
        <v>46230</v>
      </c>
      <c r="V138" s="40">
        <v>46230</v>
      </c>
      <c r="W138" s="20" t="s">
        <v>57</v>
      </c>
      <c r="X138" s="21"/>
      <c r="Y138" s="19">
        <f>VLOOKUP(F138,[2]New!$B:$G,3,0)*K138/60</f>
        <v>210.93333333333334</v>
      </c>
      <c r="Z138" s="19">
        <f>VLOOKUP(F138,[2]New!$B:$G,4,0)*K138/60</f>
        <v>881.4</v>
      </c>
      <c r="AA138" s="19">
        <f>VLOOKUP(F138,[2]New!$B:$G,6,0)*K138/60</f>
        <v>1088.5666666666666</v>
      </c>
      <c r="AB138" s="44">
        <f>VLOOKUP(A138,'[4]PO CAG (2)'!$A:$L,12,0)</f>
        <v>46268</v>
      </c>
      <c r="AC138" s="22" t="str">
        <f>IFERROR(VLOOKUP(F138,[3]Sheet1!$E:$H,4,0),)</f>
        <v>G</v>
      </c>
      <c r="AD138" s="144">
        <v>226</v>
      </c>
      <c r="AE138" s="25" t="s">
        <v>3023</v>
      </c>
      <c r="AF138" s="135" t="s">
        <v>198</v>
      </c>
      <c r="AG138" s="135"/>
      <c r="AH138" s="242" t="s">
        <v>383</v>
      </c>
      <c r="AI138" s="23">
        <v>0</v>
      </c>
      <c r="AJ138" s="267" t="s">
        <v>189</v>
      </c>
      <c r="AN138" s="278">
        <v>3</v>
      </c>
      <c r="AO138" s="278">
        <v>3</v>
      </c>
      <c r="AP138" s="278">
        <v>3</v>
      </c>
      <c r="AQ138" s="278">
        <v>3</v>
      </c>
    </row>
    <row r="139" spans="1:43">
      <c r="A139" s="135" t="s">
        <v>951</v>
      </c>
      <c r="B139" s="135" t="s">
        <v>1520</v>
      </c>
      <c r="C139" s="135" t="s">
        <v>1489</v>
      </c>
      <c r="D139" s="46">
        <v>11134146</v>
      </c>
      <c r="E139" s="20" t="s">
        <v>134</v>
      </c>
      <c r="F139" s="20" t="s">
        <v>135</v>
      </c>
      <c r="G139" s="24">
        <v>720</v>
      </c>
      <c r="H139" s="21">
        <v>46247</v>
      </c>
      <c r="I139" s="53" t="s">
        <v>1490</v>
      </c>
      <c r="J139" s="24" t="s">
        <v>1491</v>
      </c>
      <c r="K139" s="24">
        <v>720</v>
      </c>
      <c r="L139" s="46">
        <v>12129994</v>
      </c>
      <c r="M139" s="20" t="s">
        <v>138</v>
      </c>
      <c r="N139" s="38">
        <v>0</v>
      </c>
      <c r="O139" s="38">
        <v>0</v>
      </c>
      <c r="P139" s="20" t="s">
        <v>72</v>
      </c>
      <c r="Q139" s="20">
        <v>0</v>
      </c>
      <c r="R139" s="40">
        <v>46227</v>
      </c>
      <c r="S139" s="20">
        <v>0</v>
      </c>
      <c r="T139" s="20">
        <v>0</v>
      </c>
      <c r="U139" s="40">
        <v>46230</v>
      </c>
      <c r="V139" s="40">
        <v>46230</v>
      </c>
      <c r="W139" s="20" t="s">
        <v>58</v>
      </c>
      <c r="X139" s="21"/>
      <c r="Y139" s="19">
        <f>VLOOKUP(F139,[2]New!$B:$G,3,0)*K139/60</f>
        <v>672</v>
      </c>
      <c r="Z139" s="19">
        <f>VLOOKUP(F139,[2]New!$B:$G,4,0)*K139/60</f>
        <v>2808</v>
      </c>
      <c r="AA139" s="19">
        <f>VLOOKUP(F139,[2]New!$B:$G,6,0)*K139/60</f>
        <v>3468</v>
      </c>
      <c r="AB139" s="44">
        <f>VLOOKUP(A139,'[4]PO CAG (2)'!$A:$L,12,0)</f>
        <v>46268</v>
      </c>
      <c r="AC139" s="22" t="str">
        <f>IFERROR(VLOOKUP(F139,[3]Sheet1!$E:$H,4,0),)</f>
        <v>G</v>
      </c>
      <c r="AD139" s="144">
        <v>720</v>
      </c>
      <c r="AE139" s="25" t="s">
        <v>3023</v>
      </c>
      <c r="AF139" s="135" t="s">
        <v>198</v>
      </c>
      <c r="AG139" s="135"/>
      <c r="AH139" s="242" t="s">
        <v>383</v>
      </c>
      <c r="AI139" s="23">
        <v>0</v>
      </c>
      <c r="AJ139" s="267" t="s">
        <v>188</v>
      </c>
      <c r="AN139" s="278">
        <v>3</v>
      </c>
      <c r="AO139" s="278">
        <v>3</v>
      </c>
      <c r="AP139" s="278">
        <v>3</v>
      </c>
      <c r="AQ139" s="278">
        <v>3</v>
      </c>
    </row>
    <row r="140" spans="1:43">
      <c r="A140" s="135" t="s">
        <v>936</v>
      </c>
      <c r="B140" s="135" t="s">
        <v>1526</v>
      </c>
      <c r="C140" s="135">
        <v>2000127564</v>
      </c>
      <c r="D140" s="46">
        <v>11124224</v>
      </c>
      <c r="E140" s="20" t="s">
        <v>1521</v>
      </c>
      <c r="F140" s="20" t="s">
        <v>1522</v>
      </c>
      <c r="G140" s="24">
        <v>200</v>
      </c>
      <c r="H140" s="21">
        <v>46225</v>
      </c>
      <c r="I140" s="53" t="s">
        <v>1523</v>
      </c>
      <c r="J140" s="24" t="s">
        <v>1524</v>
      </c>
      <c r="K140" s="24">
        <v>200</v>
      </c>
      <c r="L140" s="46">
        <v>12130017</v>
      </c>
      <c r="M140" s="20" t="s">
        <v>1525</v>
      </c>
      <c r="N140" s="38">
        <v>0</v>
      </c>
      <c r="O140" s="38">
        <v>0</v>
      </c>
      <c r="P140" s="20" t="s">
        <v>92</v>
      </c>
      <c r="Q140" s="20">
        <v>0</v>
      </c>
      <c r="R140" s="40">
        <v>46224</v>
      </c>
      <c r="S140" s="20">
        <v>0</v>
      </c>
      <c r="T140" s="20">
        <v>0</v>
      </c>
      <c r="U140" s="40">
        <v>46225</v>
      </c>
      <c r="V140" s="40" t="s">
        <v>215</v>
      </c>
      <c r="W140" s="20"/>
      <c r="X140" s="21">
        <v>46226</v>
      </c>
      <c r="Y140" s="38"/>
      <c r="Z140" s="38"/>
      <c r="AA140" s="38"/>
      <c r="AB140" s="20" t="s">
        <v>92</v>
      </c>
      <c r="AC140" s="22"/>
      <c r="AD140" s="144"/>
      <c r="AE140" s="20" t="s">
        <v>92</v>
      </c>
      <c r="AF140" s="135"/>
      <c r="AG140" s="135"/>
      <c r="AH140" s="135"/>
    </row>
    <row r="141" spans="1:43">
      <c r="A141" s="135" t="s">
        <v>1258</v>
      </c>
      <c r="B141" s="135" t="s">
        <v>1606</v>
      </c>
      <c r="C141" s="135">
        <v>2000127572</v>
      </c>
      <c r="D141" s="46">
        <v>11134223</v>
      </c>
      <c r="E141" s="20" t="s">
        <v>427</v>
      </c>
      <c r="F141" s="20" t="s">
        <v>1603</v>
      </c>
      <c r="G141" s="24">
        <v>55</v>
      </c>
      <c r="H141" s="21">
        <v>46224</v>
      </c>
      <c r="I141" s="53" t="s">
        <v>1604</v>
      </c>
      <c r="J141" s="24" t="s">
        <v>1605</v>
      </c>
      <c r="K141" s="24">
        <v>55</v>
      </c>
      <c r="L141" s="46">
        <v>12139045</v>
      </c>
      <c r="M141" s="20" t="s">
        <v>428</v>
      </c>
      <c r="N141" s="38">
        <v>0</v>
      </c>
      <c r="O141" s="38">
        <v>0</v>
      </c>
      <c r="P141" s="20" t="s">
        <v>92</v>
      </c>
      <c r="Q141" s="20">
        <v>0</v>
      </c>
      <c r="R141" s="40">
        <v>46223</v>
      </c>
      <c r="S141" s="20">
        <v>0</v>
      </c>
      <c r="T141" s="20">
        <v>0</v>
      </c>
      <c r="U141" s="40">
        <v>46224</v>
      </c>
      <c r="V141" s="40">
        <v>46224</v>
      </c>
      <c r="W141" s="20" t="s">
        <v>54</v>
      </c>
      <c r="X141" s="21"/>
      <c r="Y141" s="38">
        <v>0</v>
      </c>
      <c r="Z141" s="38">
        <v>0</v>
      </c>
      <c r="AA141" s="38">
        <v>0</v>
      </c>
      <c r="AB141" s="20" t="s">
        <v>92</v>
      </c>
      <c r="AC141" s="22"/>
      <c r="AD141" s="144"/>
      <c r="AE141" s="20" t="s">
        <v>92</v>
      </c>
      <c r="AF141" s="135"/>
      <c r="AG141" s="135"/>
      <c r="AH141" s="135"/>
    </row>
    <row r="142" spans="1:43">
      <c r="A142" s="135" t="s">
        <v>214</v>
      </c>
      <c r="B142" s="135" t="s">
        <v>1633</v>
      </c>
      <c r="C142" s="135" t="s">
        <v>1607</v>
      </c>
      <c r="D142" s="46">
        <v>11107911</v>
      </c>
      <c r="E142" s="20" t="s">
        <v>1608</v>
      </c>
      <c r="F142" s="20" t="s">
        <v>1609</v>
      </c>
      <c r="G142" s="24">
        <v>20</v>
      </c>
      <c r="H142" s="21">
        <v>46234</v>
      </c>
      <c r="I142" s="53" t="s">
        <v>1610</v>
      </c>
      <c r="J142" s="24" t="s">
        <v>1611</v>
      </c>
      <c r="K142" s="24">
        <v>20</v>
      </c>
      <c r="L142" s="46">
        <v>12142011</v>
      </c>
      <c r="M142" s="20" t="s">
        <v>1364</v>
      </c>
      <c r="N142" s="38">
        <v>0</v>
      </c>
      <c r="O142" s="38">
        <v>0</v>
      </c>
      <c r="P142" s="20" t="s">
        <v>92</v>
      </c>
      <c r="Q142" s="20">
        <v>0</v>
      </c>
      <c r="R142" s="40">
        <v>46225</v>
      </c>
      <c r="S142" s="20">
        <v>0</v>
      </c>
      <c r="T142" s="20">
        <v>0</v>
      </c>
      <c r="U142" s="40">
        <v>46226</v>
      </c>
      <c r="V142" s="40">
        <v>46228</v>
      </c>
      <c r="W142" s="20" t="s">
        <v>92</v>
      </c>
      <c r="X142" s="21"/>
      <c r="Y142" s="38">
        <v>0</v>
      </c>
      <c r="Z142" s="38">
        <v>0</v>
      </c>
      <c r="AA142" s="38">
        <v>0</v>
      </c>
      <c r="AB142" s="20" t="s">
        <v>92</v>
      </c>
      <c r="AC142" s="22"/>
      <c r="AD142" s="144"/>
      <c r="AE142" s="20" t="s">
        <v>92</v>
      </c>
      <c r="AF142" s="135"/>
      <c r="AG142" s="135"/>
      <c r="AH142" s="135"/>
    </row>
    <row r="143" spans="1:43">
      <c r="A143" s="135"/>
      <c r="B143" s="135"/>
      <c r="C143" s="135"/>
      <c r="D143" s="46"/>
      <c r="E143" s="20"/>
      <c r="F143" s="20"/>
      <c r="G143" s="24"/>
      <c r="H143" s="21"/>
      <c r="I143" s="53"/>
      <c r="J143" s="24"/>
      <c r="K143" s="24"/>
      <c r="L143" s="46">
        <v>12138665</v>
      </c>
      <c r="M143" s="20" t="s">
        <v>1365</v>
      </c>
      <c r="N143" s="38">
        <v>0</v>
      </c>
      <c r="O143" s="38">
        <v>0</v>
      </c>
      <c r="P143" s="20" t="s">
        <v>92</v>
      </c>
      <c r="Q143" s="20">
        <v>0</v>
      </c>
      <c r="R143" s="40">
        <v>46225</v>
      </c>
      <c r="S143" s="20">
        <v>0</v>
      </c>
      <c r="T143" s="20">
        <v>0</v>
      </c>
      <c r="U143" s="40">
        <v>46226</v>
      </c>
      <c r="V143" s="40">
        <v>46228</v>
      </c>
      <c r="W143" s="20" t="s">
        <v>92</v>
      </c>
      <c r="X143" s="21"/>
      <c r="Y143" s="38">
        <v>0</v>
      </c>
      <c r="Z143" s="38">
        <v>0</v>
      </c>
      <c r="AA143" s="38">
        <v>0</v>
      </c>
      <c r="AB143" s="20" t="s">
        <v>92</v>
      </c>
      <c r="AC143" s="22"/>
      <c r="AD143" s="144"/>
      <c r="AE143" s="20" t="s">
        <v>92</v>
      </c>
      <c r="AF143" s="135"/>
      <c r="AG143" s="135"/>
      <c r="AH143" s="135"/>
    </row>
    <row r="144" spans="1:43">
      <c r="A144" s="135"/>
      <c r="B144" s="135"/>
      <c r="C144" s="135"/>
      <c r="D144" s="46"/>
      <c r="E144" s="20"/>
      <c r="F144" s="20"/>
      <c r="G144" s="24"/>
      <c r="H144" s="21"/>
      <c r="I144" s="53"/>
      <c r="J144" s="24"/>
      <c r="K144" s="24"/>
      <c r="L144" s="46">
        <v>12138672</v>
      </c>
      <c r="M144" s="20" t="s">
        <v>1366</v>
      </c>
      <c r="N144" s="38">
        <v>0</v>
      </c>
      <c r="O144" s="38">
        <v>0</v>
      </c>
      <c r="P144" s="20" t="s">
        <v>92</v>
      </c>
      <c r="Q144" s="20">
        <v>0</v>
      </c>
      <c r="R144" s="40">
        <v>46225</v>
      </c>
      <c r="S144" s="20">
        <v>0</v>
      </c>
      <c r="T144" s="20">
        <v>0</v>
      </c>
      <c r="U144" s="40">
        <v>46226</v>
      </c>
      <c r="V144" s="40">
        <v>46228</v>
      </c>
      <c r="W144" s="20" t="s">
        <v>92</v>
      </c>
      <c r="X144" s="21"/>
      <c r="Y144" s="38">
        <v>0</v>
      </c>
      <c r="Z144" s="38">
        <v>0</v>
      </c>
      <c r="AA144" s="38">
        <v>0</v>
      </c>
      <c r="AB144" s="20" t="s">
        <v>92</v>
      </c>
      <c r="AC144" s="22"/>
      <c r="AD144" s="144"/>
      <c r="AE144" s="20" t="s">
        <v>92</v>
      </c>
      <c r="AF144" s="135"/>
      <c r="AG144" s="135"/>
      <c r="AH144" s="135"/>
    </row>
    <row r="145" spans="1:34">
      <c r="A145" s="135" t="s">
        <v>214</v>
      </c>
      <c r="B145" s="135" t="s">
        <v>1634</v>
      </c>
      <c r="C145" s="135" t="s">
        <v>1612</v>
      </c>
      <c r="D145" s="46">
        <v>11107911</v>
      </c>
      <c r="E145" s="20" t="s">
        <v>1608</v>
      </c>
      <c r="F145" s="20" t="s">
        <v>1609</v>
      </c>
      <c r="G145" s="24">
        <v>3</v>
      </c>
      <c r="H145" s="21">
        <v>46234</v>
      </c>
      <c r="I145" s="53" t="s">
        <v>1613</v>
      </c>
      <c r="J145" s="24" t="s">
        <v>1614</v>
      </c>
      <c r="K145" s="24">
        <v>3</v>
      </c>
      <c r="L145" s="46">
        <v>12142011</v>
      </c>
      <c r="M145" s="20" t="s">
        <v>1364</v>
      </c>
      <c r="N145" s="38">
        <v>0</v>
      </c>
      <c r="O145" s="38">
        <v>0</v>
      </c>
      <c r="P145" s="20" t="s">
        <v>92</v>
      </c>
      <c r="Q145" s="20">
        <v>0</v>
      </c>
      <c r="R145" s="40">
        <v>46225</v>
      </c>
      <c r="S145" s="20">
        <v>0</v>
      </c>
      <c r="T145" s="20">
        <v>0</v>
      </c>
      <c r="U145" s="40">
        <v>46226</v>
      </c>
      <c r="V145" s="40" t="s">
        <v>215</v>
      </c>
      <c r="W145" s="20" t="s">
        <v>92</v>
      </c>
      <c r="X145" s="21"/>
      <c r="Y145" s="38">
        <v>0</v>
      </c>
      <c r="Z145" s="38">
        <v>0</v>
      </c>
      <c r="AA145" s="38">
        <v>0</v>
      </c>
      <c r="AB145" s="20" t="s">
        <v>92</v>
      </c>
      <c r="AC145" s="22"/>
      <c r="AD145" s="144"/>
      <c r="AE145" s="20" t="s">
        <v>92</v>
      </c>
      <c r="AF145" s="135"/>
      <c r="AG145" s="135"/>
      <c r="AH145" s="135"/>
    </row>
    <row r="146" spans="1:34">
      <c r="A146" s="135"/>
      <c r="B146" s="135"/>
      <c r="C146" s="135"/>
      <c r="D146" s="46"/>
      <c r="E146" s="20"/>
      <c r="F146" s="20"/>
      <c r="G146" s="24"/>
      <c r="H146" s="21"/>
      <c r="I146" s="53"/>
      <c r="J146" s="24"/>
      <c r="K146" s="24"/>
      <c r="L146" s="46">
        <v>12138665</v>
      </c>
      <c r="M146" s="20" t="s">
        <v>1365</v>
      </c>
      <c r="N146" s="38">
        <v>0</v>
      </c>
      <c r="O146" s="38">
        <v>0</v>
      </c>
      <c r="P146" s="20" t="s">
        <v>92</v>
      </c>
      <c r="Q146" s="20">
        <v>0</v>
      </c>
      <c r="R146" s="40">
        <v>46225</v>
      </c>
      <c r="S146" s="20">
        <v>0</v>
      </c>
      <c r="T146" s="20">
        <v>0</v>
      </c>
      <c r="U146" s="40">
        <v>46226</v>
      </c>
      <c r="V146" s="40" t="s">
        <v>215</v>
      </c>
      <c r="W146" s="20" t="s">
        <v>92</v>
      </c>
      <c r="X146" s="21"/>
      <c r="Y146" s="38">
        <v>0</v>
      </c>
      <c r="Z146" s="38">
        <v>0</v>
      </c>
      <c r="AA146" s="38">
        <v>0</v>
      </c>
      <c r="AB146" s="20" t="s">
        <v>92</v>
      </c>
      <c r="AC146" s="22"/>
      <c r="AD146" s="144"/>
      <c r="AE146" s="20" t="s">
        <v>92</v>
      </c>
      <c r="AF146" s="135"/>
      <c r="AG146" s="135"/>
      <c r="AH146" s="135"/>
    </row>
    <row r="147" spans="1:34">
      <c r="A147" s="135"/>
      <c r="B147" s="135"/>
      <c r="C147" s="135"/>
      <c r="D147" s="46"/>
      <c r="E147" s="20"/>
      <c r="F147" s="20"/>
      <c r="G147" s="24"/>
      <c r="H147" s="21"/>
      <c r="I147" s="53"/>
      <c r="J147" s="24"/>
      <c r="K147" s="24"/>
      <c r="L147" s="46">
        <v>12138672</v>
      </c>
      <c r="M147" s="20" t="s">
        <v>1366</v>
      </c>
      <c r="N147" s="38">
        <v>0</v>
      </c>
      <c r="O147" s="38">
        <v>0</v>
      </c>
      <c r="P147" s="20" t="s">
        <v>92</v>
      </c>
      <c r="Q147" s="20">
        <v>0</v>
      </c>
      <c r="R147" s="40">
        <v>46225</v>
      </c>
      <c r="S147" s="20">
        <v>0</v>
      </c>
      <c r="T147" s="20">
        <v>0</v>
      </c>
      <c r="U147" s="40">
        <v>46226</v>
      </c>
      <c r="V147" s="40" t="s">
        <v>215</v>
      </c>
      <c r="W147" s="20" t="s">
        <v>92</v>
      </c>
      <c r="X147" s="21"/>
      <c r="Y147" s="38">
        <v>0</v>
      </c>
      <c r="Z147" s="38">
        <v>0</v>
      </c>
      <c r="AA147" s="38">
        <v>0</v>
      </c>
      <c r="AB147" s="20" t="s">
        <v>92</v>
      </c>
      <c r="AC147" s="22"/>
      <c r="AD147" s="144"/>
      <c r="AE147" s="20" t="s">
        <v>92</v>
      </c>
      <c r="AF147" s="135"/>
      <c r="AG147" s="135"/>
      <c r="AH147" s="135"/>
    </row>
    <row r="148" spans="1:34">
      <c r="A148" s="135" t="s">
        <v>214</v>
      </c>
      <c r="B148" s="135" t="s">
        <v>1635</v>
      </c>
      <c r="C148" s="135" t="s">
        <v>1615</v>
      </c>
      <c r="D148" s="46">
        <v>11107911</v>
      </c>
      <c r="E148" s="20" t="s">
        <v>1608</v>
      </c>
      <c r="F148" s="20" t="s">
        <v>1609</v>
      </c>
      <c r="G148" s="24">
        <v>5</v>
      </c>
      <c r="H148" s="21">
        <v>46234</v>
      </c>
      <c r="I148" s="53" t="s">
        <v>1616</v>
      </c>
      <c r="J148" s="24" t="s">
        <v>1617</v>
      </c>
      <c r="K148" s="24">
        <v>5</v>
      </c>
      <c r="L148" s="46">
        <v>12142011</v>
      </c>
      <c r="M148" s="20" t="s">
        <v>1364</v>
      </c>
      <c r="N148" s="38">
        <v>0</v>
      </c>
      <c r="O148" s="38">
        <v>0</v>
      </c>
      <c r="P148" s="20" t="s">
        <v>92</v>
      </c>
      <c r="Q148" s="20">
        <v>0</v>
      </c>
      <c r="R148" s="40">
        <v>46225</v>
      </c>
      <c r="S148" s="20">
        <v>0</v>
      </c>
      <c r="T148" s="20">
        <v>0</v>
      </c>
      <c r="U148" s="40">
        <v>46226</v>
      </c>
      <c r="V148" s="40">
        <v>46228</v>
      </c>
      <c r="W148" s="20" t="s">
        <v>92</v>
      </c>
      <c r="X148" s="21"/>
      <c r="Y148" s="38">
        <v>0</v>
      </c>
      <c r="Z148" s="38">
        <v>0</v>
      </c>
      <c r="AA148" s="38">
        <v>0</v>
      </c>
      <c r="AB148" s="20" t="s">
        <v>92</v>
      </c>
      <c r="AC148" s="22"/>
      <c r="AD148" s="144"/>
      <c r="AE148" s="20" t="s">
        <v>92</v>
      </c>
      <c r="AF148" s="135"/>
      <c r="AG148" s="135"/>
      <c r="AH148" s="135"/>
    </row>
    <row r="149" spans="1:34">
      <c r="A149" s="135"/>
      <c r="B149" s="135"/>
      <c r="C149" s="135"/>
      <c r="D149" s="46"/>
      <c r="E149" s="20"/>
      <c r="F149" s="20"/>
      <c r="G149" s="24"/>
      <c r="H149" s="21"/>
      <c r="I149" s="53"/>
      <c r="J149" s="24"/>
      <c r="K149" s="24"/>
      <c r="L149" s="46">
        <v>12138665</v>
      </c>
      <c r="M149" s="20" t="s">
        <v>1365</v>
      </c>
      <c r="N149" s="38">
        <v>0</v>
      </c>
      <c r="O149" s="38">
        <v>0</v>
      </c>
      <c r="P149" s="20" t="s">
        <v>92</v>
      </c>
      <c r="Q149" s="20">
        <v>0</v>
      </c>
      <c r="R149" s="40">
        <v>46225</v>
      </c>
      <c r="S149" s="20">
        <v>0</v>
      </c>
      <c r="T149" s="20">
        <v>0</v>
      </c>
      <c r="U149" s="40">
        <v>46226</v>
      </c>
      <c r="V149" s="40">
        <v>46228</v>
      </c>
      <c r="W149" s="20" t="s">
        <v>92</v>
      </c>
      <c r="X149" s="21"/>
      <c r="Y149" s="38">
        <v>0</v>
      </c>
      <c r="Z149" s="38">
        <v>0</v>
      </c>
      <c r="AA149" s="38">
        <v>0</v>
      </c>
      <c r="AB149" s="20" t="s">
        <v>92</v>
      </c>
      <c r="AC149" s="22"/>
      <c r="AD149" s="144"/>
      <c r="AE149" s="20" t="s">
        <v>92</v>
      </c>
      <c r="AF149" s="135"/>
      <c r="AG149" s="135"/>
      <c r="AH149" s="135"/>
    </row>
    <row r="150" spans="1:34">
      <c r="A150" s="135"/>
      <c r="B150" s="135"/>
      <c r="C150" s="135"/>
      <c r="D150" s="46"/>
      <c r="E150" s="20"/>
      <c r="F150" s="20"/>
      <c r="G150" s="24"/>
      <c r="H150" s="21"/>
      <c r="I150" s="53"/>
      <c r="J150" s="24"/>
      <c r="K150" s="24"/>
      <c r="L150" s="46">
        <v>12138672</v>
      </c>
      <c r="M150" s="20" t="s">
        <v>1366</v>
      </c>
      <c r="N150" s="38">
        <v>0</v>
      </c>
      <c r="O150" s="38">
        <v>0</v>
      </c>
      <c r="P150" s="20" t="s">
        <v>92</v>
      </c>
      <c r="Q150" s="20">
        <v>0</v>
      </c>
      <c r="R150" s="40">
        <v>46225</v>
      </c>
      <c r="S150" s="20">
        <v>0</v>
      </c>
      <c r="T150" s="20">
        <v>0</v>
      </c>
      <c r="U150" s="40">
        <v>46226</v>
      </c>
      <c r="V150" s="40">
        <v>46228</v>
      </c>
      <c r="W150" s="20" t="s">
        <v>92</v>
      </c>
      <c r="X150" s="21"/>
      <c r="Y150" s="38">
        <v>0</v>
      </c>
      <c r="Z150" s="38">
        <v>0</v>
      </c>
      <c r="AA150" s="38">
        <v>0</v>
      </c>
      <c r="AB150" s="20" t="s">
        <v>92</v>
      </c>
      <c r="AC150" s="22"/>
      <c r="AD150" s="144"/>
      <c r="AE150" s="20" t="s">
        <v>92</v>
      </c>
      <c r="AF150" s="135"/>
      <c r="AG150" s="135"/>
      <c r="AH150" s="135"/>
    </row>
    <row r="151" spans="1:34">
      <c r="A151" s="135" t="s">
        <v>214</v>
      </c>
      <c r="B151" s="135" t="s">
        <v>1636</v>
      </c>
      <c r="C151" s="135" t="s">
        <v>1618</v>
      </c>
      <c r="D151" s="46">
        <v>11107911</v>
      </c>
      <c r="E151" s="20" t="s">
        <v>1608</v>
      </c>
      <c r="F151" s="20" t="s">
        <v>1609</v>
      </c>
      <c r="G151" s="24">
        <v>5</v>
      </c>
      <c r="H151" s="21">
        <v>46234</v>
      </c>
      <c r="I151" s="53" t="s">
        <v>1619</v>
      </c>
      <c r="J151" s="24" t="s">
        <v>1620</v>
      </c>
      <c r="K151" s="24">
        <v>5</v>
      </c>
      <c r="L151" s="46">
        <v>12142011</v>
      </c>
      <c r="M151" s="20" t="s">
        <v>1364</v>
      </c>
      <c r="N151" s="38">
        <v>0</v>
      </c>
      <c r="O151" s="38">
        <v>0</v>
      </c>
      <c r="P151" s="20" t="s">
        <v>92</v>
      </c>
      <c r="Q151" s="20">
        <v>0</v>
      </c>
      <c r="R151" s="40">
        <v>46225</v>
      </c>
      <c r="S151" s="20">
        <v>0</v>
      </c>
      <c r="T151" s="20">
        <v>0</v>
      </c>
      <c r="U151" s="40">
        <v>46226</v>
      </c>
      <c r="V151" s="40">
        <v>46228</v>
      </c>
      <c r="W151" s="20" t="s">
        <v>92</v>
      </c>
      <c r="X151" s="21"/>
      <c r="Y151" s="38">
        <v>0</v>
      </c>
      <c r="Z151" s="38">
        <v>0</v>
      </c>
      <c r="AA151" s="38">
        <v>0</v>
      </c>
      <c r="AB151" s="20" t="s">
        <v>92</v>
      </c>
      <c r="AC151" s="22"/>
      <c r="AD151" s="144"/>
      <c r="AE151" s="20" t="s">
        <v>92</v>
      </c>
      <c r="AF151" s="135"/>
      <c r="AG151" s="135"/>
      <c r="AH151" s="135"/>
    </row>
    <row r="152" spans="1:34">
      <c r="A152" s="135"/>
      <c r="B152" s="135"/>
      <c r="C152" s="135"/>
      <c r="D152" s="46"/>
      <c r="E152" s="20"/>
      <c r="F152" s="20"/>
      <c r="G152" s="24"/>
      <c r="H152" s="21"/>
      <c r="I152" s="53"/>
      <c r="J152" s="24"/>
      <c r="K152" s="24"/>
      <c r="L152" s="46">
        <v>12138665</v>
      </c>
      <c r="M152" s="20" t="s">
        <v>1365</v>
      </c>
      <c r="N152" s="38">
        <v>0</v>
      </c>
      <c r="O152" s="38">
        <v>0</v>
      </c>
      <c r="P152" s="20" t="s">
        <v>92</v>
      </c>
      <c r="Q152" s="20">
        <v>0</v>
      </c>
      <c r="R152" s="40">
        <v>46225</v>
      </c>
      <c r="S152" s="20">
        <v>0</v>
      </c>
      <c r="T152" s="20">
        <v>0</v>
      </c>
      <c r="U152" s="40">
        <v>46226</v>
      </c>
      <c r="V152" s="40">
        <v>46228</v>
      </c>
      <c r="W152" s="20" t="s">
        <v>92</v>
      </c>
      <c r="X152" s="21"/>
      <c r="Y152" s="38">
        <v>0</v>
      </c>
      <c r="Z152" s="38">
        <v>0</v>
      </c>
      <c r="AA152" s="38">
        <v>0</v>
      </c>
      <c r="AB152" s="20" t="s">
        <v>92</v>
      </c>
      <c r="AC152" s="22"/>
      <c r="AD152" s="144"/>
      <c r="AE152" s="20" t="s">
        <v>92</v>
      </c>
      <c r="AF152" s="135"/>
      <c r="AG152" s="135"/>
      <c r="AH152" s="135"/>
    </row>
    <row r="153" spans="1:34">
      <c r="A153" s="135"/>
      <c r="B153" s="135"/>
      <c r="C153" s="135"/>
      <c r="D153" s="46"/>
      <c r="E153" s="20"/>
      <c r="F153" s="20"/>
      <c r="G153" s="24"/>
      <c r="H153" s="21"/>
      <c r="I153" s="53"/>
      <c r="J153" s="24"/>
      <c r="K153" s="24"/>
      <c r="L153" s="46">
        <v>12138672</v>
      </c>
      <c r="M153" s="20" t="s">
        <v>1366</v>
      </c>
      <c r="N153" s="38">
        <v>0</v>
      </c>
      <c r="O153" s="38">
        <v>0</v>
      </c>
      <c r="P153" s="20" t="s">
        <v>92</v>
      </c>
      <c r="Q153" s="20">
        <v>0</v>
      </c>
      <c r="R153" s="40">
        <v>46225</v>
      </c>
      <c r="S153" s="20">
        <v>0</v>
      </c>
      <c r="T153" s="20">
        <v>0</v>
      </c>
      <c r="U153" s="40">
        <v>46226</v>
      </c>
      <c r="V153" s="40">
        <v>46228</v>
      </c>
      <c r="W153" s="20" t="s">
        <v>92</v>
      </c>
      <c r="X153" s="21"/>
      <c r="Y153" s="38">
        <v>0</v>
      </c>
      <c r="Z153" s="38">
        <v>0</v>
      </c>
      <c r="AA153" s="38">
        <v>0</v>
      </c>
      <c r="AB153" s="20" t="s">
        <v>92</v>
      </c>
      <c r="AC153" s="22"/>
      <c r="AD153" s="144"/>
      <c r="AE153" s="20" t="s">
        <v>92</v>
      </c>
      <c r="AF153" s="135"/>
      <c r="AG153" s="135"/>
      <c r="AH153" s="135"/>
    </row>
    <row r="154" spans="1:34">
      <c r="A154" s="135" t="s">
        <v>214</v>
      </c>
      <c r="B154" s="135" t="s">
        <v>1637</v>
      </c>
      <c r="C154" s="135" t="s">
        <v>1621</v>
      </c>
      <c r="D154" s="46">
        <v>11107911</v>
      </c>
      <c r="E154" s="20" t="s">
        <v>1608</v>
      </c>
      <c r="F154" s="20" t="s">
        <v>1609</v>
      </c>
      <c r="G154" s="24">
        <v>5</v>
      </c>
      <c r="H154" s="21">
        <v>46234</v>
      </c>
      <c r="I154" s="53" t="s">
        <v>1622</v>
      </c>
      <c r="J154" s="24" t="s">
        <v>1623</v>
      </c>
      <c r="K154" s="24">
        <v>5</v>
      </c>
      <c r="L154" s="46">
        <v>12142011</v>
      </c>
      <c r="M154" s="20" t="s">
        <v>1364</v>
      </c>
      <c r="N154" s="38">
        <v>0</v>
      </c>
      <c r="O154" s="38">
        <v>0</v>
      </c>
      <c r="P154" s="20" t="s">
        <v>92</v>
      </c>
      <c r="Q154" s="20">
        <v>0</v>
      </c>
      <c r="R154" s="40">
        <v>46225</v>
      </c>
      <c r="S154" s="20">
        <v>0</v>
      </c>
      <c r="T154" s="20">
        <v>0</v>
      </c>
      <c r="U154" s="40">
        <v>46226</v>
      </c>
      <c r="V154" s="40">
        <v>46228</v>
      </c>
      <c r="W154" s="20" t="s">
        <v>92</v>
      </c>
      <c r="X154" s="21"/>
      <c r="Y154" s="38">
        <v>0</v>
      </c>
      <c r="Z154" s="38">
        <v>0</v>
      </c>
      <c r="AA154" s="38">
        <v>0</v>
      </c>
      <c r="AB154" s="20" t="s">
        <v>92</v>
      </c>
      <c r="AC154" s="22"/>
      <c r="AD154" s="144"/>
      <c r="AE154" s="20" t="s">
        <v>92</v>
      </c>
      <c r="AF154" s="135"/>
      <c r="AG154" s="135"/>
      <c r="AH154" s="135"/>
    </row>
    <row r="155" spans="1:34">
      <c r="A155" s="135"/>
      <c r="B155" s="135"/>
      <c r="C155" s="135"/>
      <c r="D155" s="46"/>
      <c r="E155" s="20"/>
      <c r="F155" s="20"/>
      <c r="G155" s="24"/>
      <c r="H155" s="21"/>
      <c r="I155" s="53"/>
      <c r="J155" s="24"/>
      <c r="K155" s="24"/>
      <c r="L155" s="46">
        <v>12138665</v>
      </c>
      <c r="M155" s="20" t="s">
        <v>1365</v>
      </c>
      <c r="N155" s="38">
        <v>0</v>
      </c>
      <c r="O155" s="38">
        <v>0</v>
      </c>
      <c r="P155" s="20" t="s">
        <v>92</v>
      </c>
      <c r="Q155" s="20">
        <v>0</v>
      </c>
      <c r="R155" s="40">
        <v>46225</v>
      </c>
      <c r="S155" s="20">
        <v>0</v>
      </c>
      <c r="T155" s="20">
        <v>0</v>
      </c>
      <c r="U155" s="40">
        <v>46226</v>
      </c>
      <c r="V155" s="40">
        <v>46228</v>
      </c>
      <c r="W155" s="20" t="s">
        <v>92</v>
      </c>
      <c r="X155" s="21"/>
      <c r="Y155" s="38">
        <v>0</v>
      </c>
      <c r="Z155" s="38">
        <v>0</v>
      </c>
      <c r="AA155" s="38">
        <v>0</v>
      </c>
      <c r="AB155" s="20" t="s">
        <v>92</v>
      </c>
      <c r="AC155" s="22"/>
      <c r="AD155" s="144"/>
      <c r="AE155" s="20" t="s">
        <v>92</v>
      </c>
      <c r="AF155" s="135"/>
      <c r="AG155" s="135"/>
      <c r="AH155" s="135"/>
    </row>
    <row r="156" spans="1:34">
      <c r="A156" s="135"/>
      <c r="B156" s="135"/>
      <c r="C156" s="135"/>
      <c r="D156" s="46"/>
      <c r="E156" s="20"/>
      <c r="F156" s="20"/>
      <c r="G156" s="24"/>
      <c r="H156" s="21"/>
      <c r="I156" s="53"/>
      <c r="J156" s="24"/>
      <c r="K156" s="24"/>
      <c r="L156" s="46">
        <v>12138672</v>
      </c>
      <c r="M156" s="20" t="s">
        <v>1366</v>
      </c>
      <c r="N156" s="38">
        <v>0</v>
      </c>
      <c r="O156" s="38">
        <v>0</v>
      </c>
      <c r="P156" s="20" t="s">
        <v>92</v>
      </c>
      <c r="Q156" s="20">
        <v>0</v>
      </c>
      <c r="R156" s="40">
        <v>46225</v>
      </c>
      <c r="S156" s="20">
        <v>0</v>
      </c>
      <c r="T156" s="20">
        <v>0</v>
      </c>
      <c r="U156" s="40">
        <v>46226</v>
      </c>
      <c r="V156" s="40">
        <v>46228</v>
      </c>
      <c r="W156" s="20" t="s">
        <v>92</v>
      </c>
      <c r="X156" s="21"/>
      <c r="Y156" s="38">
        <v>0</v>
      </c>
      <c r="Z156" s="38">
        <v>0</v>
      </c>
      <c r="AA156" s="38">
        <v>0</v>
      </c>
      <c r="AB156" s="20" t="s">
        <v>92</v>
      </c>
      <c r="AC156" s="22"/>
      <c r="AD156" s="144"/>
      <c r="AE156" s="20" t="s">
        <v>92</v>
      </c>
      <c r="AF156" s="135"/>
      <c r="AG156" s="135"/>
      <c r="AH156" s="135"/>
    </row>
    <row r="157" spans="1:34">
      <c r="A157" s="135" t="s">
        <v>214</v>
      </c>
      <c r="B157" s="135" t="s">
        <v>1638</v>
      </c>
      <c r="C157" s="135" t="s">
        <v>1624</v>
      </c>
      <c r="D157" s="46">
        <v>11107911</v>
      </c>
      <c r="E157" s="20" t="s">
        <v>1608</v>
      </c>
      <c r="F157" s="20" t="s">
        <v>1609</v>
      </c>
      <c r="G157" s="24">
        <v>5</v>
      </c>
      <c r="H157" s="21">
        <v>46234</v>
      </c>
      <c r="I157" s="53" t="s">
        <v>1625</v>
      </c>
      <c r="J157" s="24" t="s">
        <v>1626</v>
      </c>
      <c r="K157" s="24">
        <v>5</v>
      </c>
      <c r="L157" s="46">
        <v>12142011</v>
      </c>
      <c r="M157" s="20" t="s">
        <v>1364</v>
      </c>
      <c r="N157" s="38">
        <v>0</v>
      </c>
      <c r="O157" s="38">
        <v>0</v>
      </c>
      <c r="P157" s="20" t="s">
        <v>92</v>
      </c>
      <c r="Q157" s="20">
        <v>0</v>
      </c>
      <c r="R157" s="40">
        <v>46225</v>
      </c>
      <c r="S157" s="20">
        <v>0</v>
      </c>
      <c r="T157" s="20">
        <v>0</v>
      </c>
      <c r="U157" s="40">
        <v>46226</v>
      </c>
      <c r="V157" s="40">
        <v>46228</v>
      </c>
      <c r="W157" s="20" t="s">
        <v>92</v>
      </c>
      <c r="X157" s="21"/>
      <c r="Y157" s="38">
        <v>0</v>
      </c>
      <c r="Z157" s="38">
        <v>0</v>
      </c>
      <c r="AA157" s="38">
        <v>0</v>
      </c>
      <c r="AB157" s="20" t="s">
        <v>92</v>
      </c>
      <c r="AC157" s="22"/>
      <c r="AD157" s="144"/>
      <c r="AE157" s="20" t="s">
        <v>92</v>
      </c>
      <c r="AF157" s="135"/>
      <c r="AG157" s="135"/>
      <c r="AH157" s="135"/>
    </row>
    <row r="158" spans="1:34">
      <c r="A158" s="135"/>
      <c r="B158" s="135"/>
      <c r="C158" s="135"/>
      <c r="D158" s="46"/>
      <c r="E158" s="20"/>
      <c r="F158" s="20"/>
      <c r="G158" s="24"/>
      <c r="H158" s="21"/>
      <c r="I158" s="53"/>
      <c r="J158" s="24"/>
      <c r="K158" s="24"/>
      <c r="L158" s="46">
        <v>12138665</v>
      </c>
      <c r="M158" s="20" t="s">
        <v>1365</v>
      </c>
      <c r="N158" s="38">
        <v>0</v>
      </c>
      <c r="O158" s="38">
        <v>0</v>
      </c>
      <c r="P158" s="20" t="s">
        <v>92</v>
      </c>
      <c r="Q158" s="20">
        <v>0</v>
      </c>
      <c r="R158" s="40">
        <v>46225</v>
      </c>
      <c r="S158" s="20">
        <v>0</v>
      </c>
      <c r="T158" s="20">
        <v>0</v>
      </c>
      <c r="U158" s="40">
        <v>46226</v>
      </c>
      <c r="V158" s="40">
        <v>46228</v>
      </c>
      <c r="W158" s="20" t="s">
        <v>92</v>
      </c>
      <c r="X158" s="21"/>
      <c r="Y158" s="38">
        <v>0</v>
      </c>
      <c r="Z158" s="38">
        <v>0</v>
      </c>
      <c r="AA158" s="38">
        <v>0</v>
      </c>
      <c r="AB158" s="20" t="s">
        <v>92</v>
      </c>
      <c r="AC158" s="22"/>
      <c r="AD158" s="144"/>
      <c r="AE158" s="20" t="s">
        <v>92</v>
      </c>
      <c r="AF158" s="135"/>
      <c r="AG158" s="135"/>
      <c r="AH158" s="135"/>
    </row>
    <row r="159" spans="1:34">
      <c r="A159" s="135"/>
      <c r="B159" s="135"/>
      <c r="C159" s="135"/>
      <c r="D159" s="46"/>
      <c r="E159" s="20"/>
      <c r="F159" s="20"/>
      <c r="G159" s="24"/>
      <c r="H159" s="21"/>
      <c r="I159" s="53"/>
      <c r="J159" s="24"/>
      <c r="K159" s="24"/>
      <c r="L159" s="46">
        <v>12138672</v>
      </c>
      <c r="M159" s="20" t="s">
        <v>1366</v>
      </c>
      <c r="N159" s="38">
        <v>0</v>
      </c>
      <c r="O159" s="38">
        <v>0</v>
      </c>
      <c r="P159" s="20" t="s">
        <v>92</v>
      </c>
      <c r="Q159" s="20">
        <v>0</v>
      </c>
      <c r="R159" s="40">
        <v>46225</v>
      </c>
      <c r="S159" s="20">
        <v>0</v>
      </c>
      <c r="T159" s="20">
        <v>0</v>
      </c>
      <c r="U159" s="40">
        <v>46226</v>
      </c>
      <c r="V159" s="40">
        <v>46228</v>
      </c>
      <c r="W159" s="20" t="s">
        <v>92</v>
      </c>
      <c r="X159" s="21"/>
      <c r="Y159" s="38">
        <v>0</v>
      </c>
      <c r="Z159" s="38">
        <v>0</v>
      </c>
      <c r="AA159" s="38">
        <v>0</v>
      </c>
      <c r="AB159" s="20" t="s">
        <v>92</v>
      </c>
      <c r="AC159" s="22"/>
      <c r="AD159" s="144"/>
      <c r="AE159" s="20" t="s">
        <v>92</v>
      </c>
      <c r="AF159" s="135"/>
      <c r="AG159" s="135"/>
      <c r="AH159" s="135"/>
    </row>
    <row r="160" spans="1:34">
      <c r="A160" s="135" t="s">
        <v>214</v>
      </c>
      <c r="B160" s="135" t="s">
        <v>1639</v>
      </c>
      <c r="C160" s="135" t="s">
        <v>1627</v>
      </c>
      <c r="D160" s="46">
        <v>11107911</v>
      </c>
      <c r="E160" s="20" t="s">
        <v>1608</v>
      </c>
      <c r="F160" s="20" t="s">
        <v>1609</v>
      </c>
      <c r="G160" s="24">
        <v>3</v>
      </c>
      <c r="H160" s="21">
        <v>46234</v>
      </c>
      <c r="I160" s="53" t="s">
        <v>1628</v>
      </c>
      <c r="J160" s="24" t="s">
        <v>1629</v>
      </c>
      <c r="K160" s="24">
        <v>3</v>
      </c>
      <c r="L160" s="46">
        <v>12142011</v>
      </c>
      <c r="M160" s="20" t="s">
        <v>1364</v>
      </c>
      <c r="N160" s="38">
        <v>0</v>
      </c>
      <c r="O160" s="38">
        <v>0</v>
      </c>
      <c r="P160" s="20" t="s">
        <v>92</v>
      </c>
      <c r="Q160" s="20">
        <v>0</v>
      </c>
      <c r="R160" s="40">
        <v>46225</v>
      </c>
      <c r="S160" s="20">
        <v>0</v>
      </c>
      <c r="T160" s="20">
        <v>0</v>
      </c>
      <c r="U160" s="40">
        <v>46226</v>
      </c>
      <c r="V160" s="40" t="s">
        <v>215</v>
      </c>
      <c r="W160" s="20" t="s">
        <v>92</v>
      </c>
      <c r="X160" s="21"/>
      <c r="Y160" s="38">
        <v>0</v>
      </c>
      <c r="Z160" s="38">
        <v>0</v>
      </c>
      <c r="AA160" s="38">
        <v>0</v>
      </c>
      <c r="AB160" s="20" t="s">
        <v>92</v>
      </c>
      <c r="AC160" s="22"/>
      <c r="AD160" s="144"/>
      <c r="AE160" s="20" t="s">
        <v>92</v>
      </c>
      <c r="AF160" s="135"/>
      <c r="AG160" s="135"/>
      <c r="AH160" s="135"/>
    </row>
    <row r="161" spans="1:43">
      <c r="A161" s="135"/>
      <c r="B161" s="135"/>
      <c r="C161" s="135"/>
      <c r="D161" s="46"/>
      <c r="E161" s="20"/>
      <c r="F161" s="20"/>
      <c r="G161" s="24"/>
      <c r="H161" s="21"/>
      <c r="I161" s="53"/>
      <c r="J161" s="24"/>
      <c r="K161" s="24"/>
      <c r="L161" s="46">
        <v>12138665</v>
      </c>
      <c r="M161" s="20" t="s">
        <v>1365</v>
      </c>
      <c r="N161" s="38">
        <v>0</v>
      </c>
      <c r="O161" s="38">
        <v>0</v>
      </c>
      <c r="P161" s="20" t="s">
        <v>92</v>
      </c>
      <c r="Q161" s="20">
        <v>0</v>
      </c>
      <c r="R161" s="40">
        <v>46225</v>
      </c>
      <c r="S161" s="20">
        <v>0</v>
      </c>
      <c r="T161" s="20">
        <v>0</v>
      </c>
      <c r="U161" s="40">
        <v>46226</v>
      </c>
      <c r="V161" s="40" t="s">
        <v>215</v>
      </c>
      <c r="W161" s="20" t="s">
        <v>92</v>
      </c>
      <c r="X161" s="21"/>
      <c r="Y161" s="38">
        <v>0</v>
      </c>
      <c r="Z161" s="38">
        <v>0</v>
      </c>
      <c r="AA161" s="38">
        <v>0</v>
      </c>
      <c r="AB161" s="20" t="s">
        <v>92</v>
      </c>
      <c r="AC161" s="22"/>
      <c r="AD161" s="144"/>
      <c r="AE161" s="20" t="s">
        <v>92</v>
      </c>
      <c r="AF161" s="135"/>
      <c r="AG161" s="135"/>
      <c r="AH161" s="135"/>
    </row>
    <row r="162" spans="1:43">
      <c r="A162" s="135"/>
      <c r="B162" s="135"/>
      <c r="C162" s="135"/>
      <c r="D162" s="46"/>
      <c r="E162" s="20"/>
      <c r="F162" s="20"/>
      <c r="G162" s="24"/>
      <c r="H162" s="21"/>
      <c r="I162" s="53"/>
      <c r="J162" s="24"/>
      <c r="K162" s="24"/>
      <c r="L162" s="46">
        <v>12138672</v>
      </c>
      <c r="M162" s="20" t="s">
        <v>1366</v>
      </c>
      <c r="N162" s="38">
        <v>0</v>
      </c>
      <c r="O162" s="38">
        <v>0</v>
      </c>
      <c r="P162" s="20" t="s">
        <v>92</v>
      </c>
      <c r="Q162" s="20">
        <v>0</v>
      </c>
      <c r="R162" s="40">
        <v>46225</v>
      </c>
      <c r="S162" s="20">
        <v>0</v>
      </c>
      <c r="T162" s="20">
        <v>0</v>
      </c>
      <c r="U162" s="40">
        <v>46226</v>
      </c>
      <c r="V162" s="40" t="s">
        <v>215</v>
      </c>
      <c r="W162" s="20" t="s">
        <v>92</v>
      </c>
      <c r="X162" s="21"/>
      <c r="Y162" s="38">
        <v>0</v>
      </c>
      <c r="Z162" s="38">
        <v>0</v>
      </c>
      <c r="AA162" s="38">
        <v>0</v>
      </c>
      <c r="AB162" s="20" t="s">
        <v>92</v>
      </c>
      <c r="AC162" s="22"/>
      <c r="AD162" s="144"/>
      <c r="AE162" s="20" t="s">
        <v>92</v>
      </c>
      <c r="AF162" s="135"/>
      <c r="AG162" s="135"/>
      <c r="AH162" s="135"/>
    </row>
    <row r="163" spans="1:43">
      <c r="A163" s="135" t="s">
        <v>214</v>
      </c>
      <c r="B163" s="135" t="s">
        <v>1640</v>
      </c>
      <c r="C163" s="135" t="s">
        <v>1630</v>
      </c>
      <c r="D163" s="46">
        <v>11107911</v>
      </c>
      <c r="E163" s="20" t="s">
        <v>1608</v>
      </c>
      <c r="F163" s="20" t="s">
        <v>1609</v>
      </c>
      <c r="G163" s="24">
        <v>9</v>
      </c>
      <c r="H163" s="21">
        <v>46234</v>
      </c>
      <c r="I163" s="53" t="s">
        <v>1631</v>
      </c>
      <c r="J163" s="24" t="s">
        <v>1632</v>
      </c>
      <c r="K163" s="24">
        <v>9</v>
      </c>
      <c r="L163" s="46">
        <v>12142011</v>
      </c>
      <c r="M163" s="20" t="s">
        <v>1364</v>
      </c>
      <c r="N163" s="38">
        <v>0</v>
      </c>
      <c r="O163" s="38">
        <v>0</v>
      </c>
      <c r="P163" s="20" t="s">
        <v>92</v>
      </c>
      <c r="Q163" s="20">
        <v>0</v>
      </c>
      <c r="R163" s="40">
        <v>46225</v>
      </c>
      <c r="S163" s="20">
        <v>0</v>
      </c>
      <c r="T163" s="20">
        <v>0</v>
      </c>
      <c r="U163" s="40">
        <v>46226</v>
      </c>
      <c r="V163" s="40">
        <v>46228</v>
      </c>
      <c r="W163" s="20" t="s">
        <v>92</v>
      </c>
      <c r="X163" s="21"/>
      <c r="Y163" s="38">
        <v>0</v>
      </c>
      <c r="Z163" s="38">
        <v>0</v>
      </c>
      <c r="AA163" s="38">
        <v>0</v>
      </c>
      <c r="AB163" s="20" t="s">
        <v>92</v>
      </c>
      <c r="AC163" s="22"/>
      <c r="AD163" s="144"/>
      <c r="AE163" s="20" t="s">
        <v>92</v>
      </c>
      <c r="AF163" s="135"/>
      <c r="AG163" s="135"/>
      <c r="AH163" s="135"/>
    </row>
    <row r="164" spans="1:43">
      <c r="A164" s="135"/>
      <c r="B164" s="135"/>
      <c r="C164" s="135"/>
      <c r="D164" s="46"/>
      <c r="E164" s="20"/>
      <c r="F164" s="20"/>
      <c r="G164" s="24"/>
      <c r="H164" s="21"/>
      <c r="I164" s="53"/>
      <c r="J164" s="24"/>
      <c r="K164" s="24"/>
      <c r="L164" s="46">
        <v>12138665</v>
      </c>
      <c r="M164" s="20" t="s">
        <v>1365</v>
      </c>
      <c r="N164" s="38">
        <v>0</v>
      </c>
      <c r="O164" s="38">
        <v>0</v>
      </c>
      <c r="P164" s="20" t="s">
        <v>92</v>
      </c>
      <c r="Q164" s="20">
        <v>0</v>
      </c>
      <c r="R164" s="40">
        <v>46225</v>
      </c>
      <c r="S164" s="20">
        <v>0</v>
      </c>
      <c r="T164" s="20">
        <v>0</v>
      </c>
      <c r="U164" s="40">
        <v>46226</v>
      </c>
      <c r="V164" s="40">
        <v>46228</v>
      </c>
      <c r="W164" s="20" t="s">
        <v>92</v>
      </c>
      <c r="X164" s="21"/>
      <c r="Y164" s="38">
        <v>0</v>
      </c>
      <c r="Z164" s="38">
        <v>0</v>
      </c>
      <c r="AA164" s="38">
        <v>0</v>
      </c>
      <c r="AB164" s="20" t="s">
        <v>92</v>
      </c>
      <c r="AC164" s="22"/>
      <c r="AD164" s="144"/>
      <c r="AE164" s="20" t="s">
        <v>92</v>
      </c>
      <c r="AF164" s="135"/>
      <c r="AG164" s="135"/>
      <c r="AH164" s="135"/>
    </row>
    <row r="165" spans="1:43">
      <c r="A165" s="135"/>
      <c r="B165" s="135"/>
      <c r="C165" s="135"/>
      <c r="D165" s="46"/>
      <c r="E165" s="20"/>
      <c r="F165" s="20"/>
      <c r="G165" s="24"/>
      <c r="H165" s="21"/>
      <c r="I165" s="53"/>
      <c r="J165" s="24"/>
      <c r="K165" s="24"/>
      <c r="L165" s="46">
        <v>12138672</v>
      </c>
      <c r="M165" s="20" t="s">
        <v>1366</v>
      </c>
      <c r="N165" s="38">
        <v>0</v>
      </c>
      <c r="O165" s="38">
        <v>0</v>
      </c>
      <c r="P165" s="20" t="s">
        <v>92</v>
      </c>
      <c r="Q165" s="20">
        <v>0</v>
      </c>
      <c r="R165" s="40">
        <v>46225</v>
      </c>
      <c r="S165" s="20">
        <v>0</v>
      </c>
      <c r="T165" s="20">
        <v>0</v>
      </c>
      <c r="U165" s="40">
        <v>46226</v>
      </c>
      <c r="V165" s="40">
        <v>46228</v>
      </c>
      <c r="W165" s="20" t="s">
        <v>92</v>
      </c>
      <c r="X165" s="21"/>
      <c r="Y165" s="38">
        <v>0</v>
      </c>
      <c r="Z165" s="38">
        <v>0</v>
      </c>
      <c r="AA165" s="38">
        <v>0</v>
      </c>
      <c r="AB165" s="20" t="s">
        <v>92</v>
      </c>
      <c r="AC165" s="22"/>
      <c r="AD165" s="144"/>
      <c r="AE165" s="20" t="s">
        <v>92</v>
      </c>
      <c r="AF165" s="135"/>
      <c r="AG165" s="135"/>
      <c r="AH165" s="135"/>
    </row>
    <row r="166" spans="1:43">
      <c r="A166" s="135" t="s">
        <v>1647</v>
      </c>
      <c r="B166" s="135" t="s">
        <v>1689</v>
      </c>
      <c r="C166" s="135" t="s">
        <v>1648</v>
      </c>
      <c r="D166" s="46">
        <v>11134170</v>
      </c>
      <c r="E166" s="20" t="s">
        <v>158</v>
      </c>
      <c r="F166" s="20" t="s">
        <v>159</v>
      </c>
      <c r="G166" s="24">
        <v>41</v>
      </c>
      <c r="H166" s="21">
        <v>46248</v>
      </c>
      <c r="I166" s="53" t="s">
        <v>1649</v>
      </c>
      <c r="J166" s="24" t="s">
        <v>1759</v>
      </c>
      <c r="K166" s="24">
        <v>41</v>
      </c>
      <c r="L166" s="46">
        <v>12130006</v>
      </c>
      <c r="M166" s="20" t="s">
        <v>170</v>
      </c>
      <c r="N166" s="38">
        <v>0</v>
      </c>
      <c r="O166" s="38">
        <v>0</v>
      </c>
      <c r="P166" s="20" t="s">
        <v>72</v>
      </c>
      <c r="Q166" s="20">
        <v>0</v>
      </c>
      <c r="R166" s="40">
        <v>46230</v>
      </c>
      <c r="S166" s="20">
        <v>0</v>
      </c>
      <c r="T166" s="20">
        <v>0</v>
      </c>
      <c r="U166" s="40">
        <v>46231</v>
      </c>
      <c r="V166" s="40">
        <v>46231</v>
      </c>
      <c r="W166" s="20" t="s">
        <v>57</v>
      </c>
      <c r="X166" s="21"/>
      <c r="Y166" s="19">
        <f>VLOOKUP(F166,[2]New!$B:$G,3,0)*K166/60</f>
        <v>38.266666666666666</v>
      </c>
      <c r="Z166" s="19">
        <f>VLOOKUP(F166,[2]New!$B:$G,4,0)*K166/60</f>
        <v>159.9</v>
      </c>
      <c r="AA166" s="19">
        <f>VLOOKUP(F166,[2]New!$B:$G,6,0)*K166/60</f>
        <v>197.48333333333332</v>
      </c>
      <c r="AB166" s="44">
        <f>VLOOKUP(A166,'[4]PO CAG (2)'!$A:$L,12,0)</f>
        <v>46268</v>
      </c>
      <c r="AC166" s="22" t="str">
        <f>IFERROR(VLOOKUP(F166,[3]Sheet1!$E:$H,4,0),)</f>
        <v>G</v>
      </c>
      <c r="AD166" s="144">
        <v>41</v>
      </c>
      <c r="AE166" s="25" t="s">
        <v>3023</v>
      </c>
      <c r="AF166" s="135" t="s">
        <v>198</v>
      </c>
      <c r="AG166" s="135"/>
      <c r="AH166" s="135"/>
      <c r="AI166" s="23">
        <v>0</v>
      </c>
      <c r="AJ166" s="267" t="s">
        <v>153</v>
      </c>
      <c r="AN166" s="278">
        <v>3</v>
      </c>
      <c r="AO166" s="278">
        <v>3</v>
      </c>
      <c r="AP166" s="278">
        <v>3</v>
      </c>
      <c r="AQ166" s="278">
        <v>3</v>
      </c>
    </row>
    <row r="167" spans="1:43">
      <c r="A167" s="135" t="s">
        <v>1650</v>
      </c>
      <c r="B167" s="135" t="s">
        <v>1690</v>
      </c>
      <c r="C167" s="135" t="s">
        <v>1651</v>
      </c>
      <c r="D167" s="46">
        <v>11134178</v>
      </c>
      <c r="E167" s="20" t="s">
        <v>211</v>
      </c>
      <c r="F167" s="20" t="s">
        <v>212</v>
      </c>
      <c r="G167" s="24">
        <v>50</v>
      </c>
      <c r="H167" s="21">
        <v>46248</v>
      </c>
      <c r="I167" s="53" t="s">
        <v>1652</v>
      </c>
      <c r="J167" s="24" t="s">
        <v>1760</v>
      </c>
      <c r="K167" s="24">
        <v>50</v>
      </c>
      <c r="L167" s="46">
        <v>12130007</v>
      </c>
      <c r="M167" s="20" t="s">
        <v>213</v>
      </c>
      <c r="N167" s="38">
        <v>0</v>
      </c>
      <c r="O167" s="38">
        <v>0</v>
      </c>
      <c r="P167" s="20" t="s">
        <v>72</v>
      </c>
      <c r="Q167" s="20">
        <v>0</v>
      </c>
      <c r="R167" s="40">
        <v>46230</v>
      </c>
      <c r="S167" s="20">
        <v>0</v>
      </c>
      <c r="T167" s="20">
        <v>0</v>
      </c>
      <c r="U167" s="40">
        <v>46231</v>
      </c>
      <c r="V167" s="40">
        <v>46231</v>
      </c>
      <c r="W167" s="20" t="s">
        <v>57</v>
      </c>
      <c r="X167" s="21"/>
      <c r="Y167" s="19">
        <f>VLOOKUP(F167,[2]New!$B:$G,3,0)*K167/60</f>
        <v>46.666666666666664</v>
      </c>
      <c r="Z167" s="19">
        <f>VLOOKUP(F167,[2]New!$B:$G,4,0)*K167/60</f>
        <v>195</v>
      </c>
      <c r="AA167" s="19">
        <f>VLOOKUP(F167,[2]New!$B:$G,6,0)*K167/60</f>
        <v>240.83333333333334</v>
      </c>
      <c r="AB167" s="44">
        <f>VLOOKUP(A167,'[4]PO CAG (2)'!$A:$L,12,0)</f>
        <v>46268</v>
      </c>
      <c r="AC167" s="22" t="str">
        <f>IFERROR(VLOOKUP(F167,[3]Sheet1!$E:$H,4,0),)</f>
        <v>G</v>
      </c>
      <c r="AD167" s="144">
        <v>50</v>
      </c>
      <c r="AE167" s="25" t="s">
        <v>3023</v>
      </c>
      <c r="AF167" s="135" t="s">
        <v>198</v>
      </c>
      <c r="AG167" s="135"/>
      <c r="AH167" s="135"/>
      <c r="AI167" s="23">
        <v>0</v>
      </c>
      <c r="AJ167" s="267" t="s">
        <v>153</v>
      </c>
      <c r="AN167" s="370">
        <v>3</v>
      </c>
      <c r="AO167" s="370">
        <v>3</v>
      </c>
      <c r="AP167" s="370">
        <v>3</v>
      </c>
      <c r="AQ167" s="370">
        <v>3</v>
      </c>
    </row>
    <row r="168" spans="1:43">
      <c r="A168" s="135" t="s">
        <v>1653</v>
      </c>
      <c r="B168" s="135" t="s">
        <v>1691</v>
      </c>
      <c r="C168" s="135" t="s">
        <v>1654</v>
      </c>
      <c r="D168" s="46">
        <v>11134172</v>
      </c>
      <c r="E168" s="20" t="s">
        <v>412</v>
      </c>
      <c r="F168" s="20" t="s">
        <v>413</v>
      </c>
      <c r="G168" s="24">
        <v>6</v>
      </c>
      <c r="H168" s="21">
        <v>46248</v>
      </c>
      <c r="I168" s="53" t="s">
        <v>1655</v>
      </c>
      <c r="J168" s="24" t="s">
        <v>1761</v>
      </c>
      <c r="K168" s="24">
        <v>6</v>
      </c>
      <c r="L168" s="46">
        <v>12130009</v>
      </c>
      <c r="M168" s="20" t="s">
        <v>415</v>
      </c>
      <c r="N168" s="38">
        <v>0</v>
      </c>
      <c r="O168" s="38">
        <v>0</v>
      </c>
      <c r="P168" s="20" t="s">
        <v>72</v>
      </c>
      <c r="Q168" s="20">
        <v>0</v>
      </c>
      <c r="R168" s="40">
        <v>46230</v>
      </c>
      <c r="S168" s="20">
        <v>0</v>
      </c>
      <c r="T168" s="20">
        <v>0</v>
      </c>
      <c r="U168" s="40">
        <v>46231</v>
      </c>
      <c r="V168" s="40">
        <v>46231</v>
      </c>
      <c r="W168" s="20" t="s">
        <v>57</v>
      </c>
      <c r="X168" s="21"/>
      <c r="Y168" s="19">
        <f>VLOOKUP(F168,[2]New!$B:$G,3,0)*K168/60</f>
        <v>5.6</v>
      </c>
      <c r="Z168" s="19">
        <f>VLOOKUP(F168,[2]New!$B:$G,4,0)*K168/60</f>
        <v>23.4</v>
      </c>
      <c r="AA168" s="19">
        <f>VLOOKUP(F168,[2]New!$B:$G,6,0)*K168/60</f>
        <v>28.9</v>
      </c>
      <c r="AB168" s="44">
        <f>VLOOKUP(A168,'[4]PO CAG (2)'!$A:$L,12,0)</f>
        <v>46268</v>
      </c>
      <c r="AC168" s="22" t="str">
        <f>IFERROR(VLOOKUP(F168,[3]Sheet1!$E:$H,4,0),)</f>
        <v>G</v>
      </c>
      <c r="AD168" s="144">
        <v>6</v>
      </c>
      <c r="AE168" s="25" t="s">
        <v>3023</v>
      </c>
      <c r="AF168" s="135" t="s">
        <v>198</v>
      </c>
      <c r="AG168" s="135"/>
      <c r="AH168" s="135"/>
      <c r="AI168" s="23">
        <v>0</v>
      </c>
      <c r="AJ168" s="267" t="s">
        <v>153</v>
      </c>
      <c r="AN168" s="370">
        <v>3</v>
      </c>
      <c r="AO168" s="370">
        <v>3</v>
      </c>
      <c r="AP168" s="370">
        <v>3</v>
      </c>
      <c r="AQ168" s="370">
        <v>3</v>
      </c>
    </row>
    <row r="169" spans="1:43">
      <c r="A169" s="135" t="s">
        <v>1656</v>
      </c>
      <c r="B169" s="135" t="s">
        <v>1692</v>
      </c>
      <c r="C169" s="135" t="s">
        <v>1657</v>
      </c>
      <c r="D169" s="46">
        <v>11134180</v>
      </c>
      <c r="E169" s="20" t="s">
        <v>1658</v>
      </c>
      <c r="F169" s="20" t="s">
        <v>1659</v>
      </c>
      <c r="G169" s="24">
        <v>7</v>
      </c>
      <c r="H169" s="21">
        <v>46248</v>
      </c>
      <c r="I169" s="53" t="s">
        <v>1660</v>
      </c>
      <c r="J169" s="24" t="s">
        <v>1762</v>
      </c>
      <c r="K169" s="24">
        <v>7</v>
      </c>
      <c r="L169" s="46">
        <v>12130010</v>
      </c>
      <c r="M169" s="20" t="s">
        <v>1687</v>
      </c>
      <c r="N169" s="38">
        <v>0</v>
      </c>
      <c r="O169" s="38">
        <v>0</v>
      </c>
      <c r="P169" s="20" t="s">
        <v>72</v>
      </c>
      <c r="Q169" s="20">
        <v>0</v>
      </c>
      <c r="R169" s="40">
        <v>46230</v>
      </c>
      <c r="S169" s="20">
        <v>0</v>
      </c>
      <c r="T169" s="20">
        <v>0</v>
      </c>
      <c r="U169" s="40">
        <v>46231</v>
      </c>
      <c r="V169" s="40">
        <v>46231</v>
      </c>
      <c r="W169" s="20" t="s">
        <v>57</v>
      </c>
      <c r="X169" s="21"/>
      <c r="Y169" s="19">
        <f>VLOOKUP(F169,[2]New!$B:$G,3,0)*K169/60</f>
        <v>6.5333333333333332</v>
      </c>
      <c r="Z169" s="19">
        <f>VLOOKUP(F169,[2]New!$B:$G,4,0)*K169/60</f>
        <v>27.3</v>
      </c>
      <c r="AA169" s="19">
        <f>VLOOKUP(F169,[2]New!$B:$G,6,0)*K169/60</f>
        <v>33.716666666666669</v>
      </c>
      <c r="AB169" s="44">
        <f>VLOOKUP(A169,'[4]PO CAG (2)'!$A:$L,12,0)</f>
        <v>46268</v>
      </c>
      <c r="AC169" s="22" t="str">
        <f>IFERROR(VLOOKUP(F169,[3]Sheet1!$E:$H,4,0),)</f>
        <v>G</v>
      </c>
      <c r="AD169" s="144">
        <v>7</v>
      </c>
      <c r="AE169" s="25" t="s">
        <v>3023</v>
      </c>
      <c r="AF169" s="135" t="s">
        <v>198</v>
      </c>
      <c r="AG169" s="135"/>
      <c r="AH169" s="135"/>
      <c r="AI169" s="23">
        <v>0</v>
      </c>
      <c r="AJ169" s="267" t="s">
        <v>153</v>
      </c>
      <c r="AN169" s="370">
        <v>3</v>
      </c>
      <c r="AO169" s="370">
        <v>3</v>
      </c>
      <c r="AP169" s="370">
        <v>3</v>
      </c>
      <c r="AQ169" s="370">
        <v>3</v>
      </c>
    </row>
    <row r="170" spans="1:43">
      <c r="A170" s="135" t="s">
        <v>1661</v>
      </c>
      <c r="B170" s="135" t="s">
        <v>1693</v>
      </c>
      <c r="C170" s="135" t="s">
        <v>1662</v>
      </c>
      <c r="D170" s="46">
        <v>11134160</v>
      </c>
      <c r="E170" s="20" t="s">
        <v>154</v>
      </c>
      <c r="F170" s="20" t="s">
        <v>155</v>
      </c>
      <c r="G170" s="24">
        <v>10</v>
      </c>
      <c r="H170" s="21">
        <v>46248</v>
      </c>
      <c r="I170" s="53" t="s">
        <v>1663</v>
      </c>
      <c r="J170" s="24" t="s">
        <v>1763</v>
      </c>
      <c r="K170" s="24">
        <v>10</v>
      </c>
      <c r="L170" s="46">
        <v>12130012</v>
      </c>
      <c r="M170" s="20" t="s">
        <v>168</v>
      </c>
      <c r="N170" s="38">
        <v>0</v>
      </c>
      <c r="O170" s="38">
        <v>0</v>
      </c>
      <c r="P170" s="20" t="s">
        <v>72</v>
      </c>
      <c r="Q170" s="20">
        <v>0</v>
      </c>
      <c r="R170" s="40">
        <v>46230</v>
      </c>
      <c r="S170" s="20">
        <v>0</v>
      </c>
      <c r="T170" s="20">
        <v>0</v>
      </c>
      <c r="U170" s="40">
        <v>46231</v>
      </c>
      <c r="V170" s="40">
        <v>46231</v>
      </c>
      <c r="W170" s="20" t="s">
        <v>57</v>
      </c>
      <c r="X170" s="21"/>
      <c r="Y170" s="19">
        <f>VLOOKUP(F170,[2]New!$B:$G,3,0)*K170/60</f>
        <v>9.3333333333333339</v>
      </c>
      <c r="Z170" s="19">
        <f>VLOOKUP(F170,[2]New!$B:$G,4,0)*K170/60</f>
        <v>39</v>
      </c>
      <c r="AA170" s="19">
        <f>VLOOKUP(F170,[2]New!$B:$G,6,0)*K170/60</f>
        <v>48.166666666666664</v>
      </c>
      <c r="AB170" s="44">
        <f>VLOOKUP(A170,'[4]PO CAG (2)'!$A:$L,12,0)</f>
        <v>46268</v>
      </c>
      <c r="AC170" s="22" t="str">
        <f>IFERROR(VLOOKUP(F170,[3]Sheet1!$E:$H,4,0),)</f>
        <v>G</v>
      </c>
      <c r="AD170" s="144">
        <v>10</v>
      </c>
      <c r="AE170" s="25" t="s">
        <v>3023</v>
      </c>
      <c r="AF170" s="135" t="s">
        <v>198</v>
      </c>
      <c r="AG170" s="135"/>
      <c r="AH170" s="135"/>
      <c r="AI170" s="23">
        <v>0</v>
      </c>
      <c r="AJ170" s="267" t="s">
        <v>153</v>
      </c>
      <c r="AN170" s="370">
        <v>3</v>
      </c>
      <c r="AO170" s="370">
        <v>3</v>
      </c>
      <c r="AP170" s="370">
        <v>3</v>
      </c>
      <c r="AQ170" s="370">
        <v>3</v>
      </c>
    </row>
    <row r="171" spans="1:43">
      <c r="A171" s="135" t="s">
        <v>1664</v>
      </c>
      <c r="B171" s="135" t="s">
        <v>1694</v>
      </c>
      <c r="C171" s="135" t="s">
        <v>1665</v>
      </c>
      <c r="D171" s="46">
        <v>11134163</v>
      </c>
      <c r="E171" s="20" t="s">
        <v>410</v>
      </c>
      <c r="F171" s="20" t="s">
        <v>411</v>
      </c>
      <c r="G171" s="24">
        <v>20</v>
      </c>
      <c r="H171" s="21">
        <v>46248</v>
      </c>
      <c r="I171" s="53" t="s">
        <v>1666</v>
      </c>
      <c r="J171" s="24" t="s">
        <v>1764</v>
      </c>
      <c r="K171" s="24">
        <v>20</v>
      </c>
      <c r="L171" s="46">
        <v>12130013</v>
      </c>
      <c r="M171" s="20" t="s">
        <v>414</v>
      </c>
      <c r="N171" s="38">
        <v>0</v>
      </c>
      <c r="O171" s="38">
        <v>0</v>
      </c>
      <c r="P171" s="20" t="s">
        <v>72</v>
      </c>
      <c r="Q171" s="20">
        <v>0</v>
      </c>
      <c r="R171" s="40">
        <v>46230</v>
      </c>
      <c r="S171" s="20">
        <v>0</v>
      </c>
      <c r="T171" s="20">
        <v>0</v>
      </c>
      <c r="U171" s="40">
        <v>46231</v>
      </c>
      <c r="V171" s="40">
        <v>46231</v>
      </c>
      <c r="W171" s="20" t="s">
        <v>57</v>
      </c>
      <c r="X171" s="21"/>
      <c r="Y171" s="19">
        <f>VLOOKUP(F171,[2]New!$B:$G,3,0)*K171/60</f>
        <v>18.666666666666668</v>
      </c>
      <c r="Z171" s="19">
        <f>VLOOKUP(F171,[2]New!$B:$G,4,0)*K171/60</f>
        <v>78</v>
      </c>
      <c r="AA171" s="19">
        <f>VLOOKUP(F171,[2]New!$B:$G,6,0)*K171/60</f>
        <v>96.333333333333329</v>
      </c>
      <c r="AB171" s="44">
        <f>VLOOKUP(A171,'[4]PO CAG (2)'!$A:$L,12,0)</f>
        <v>46268</v>
      </c>
      <c r="AC171" s="22" t="str">
        <f>IFERROR(VLOOKUP(F171,[3]Sheet1!$E:$H,4,0),)</f>
        <v>G</v>
      </c>
      <c r="AD171" s="144">
        <v>20</v>
      </c>
      <c r="AE171" s="25" t="s">
        <v>3023</v>
      </c>
      <c r="AF171" s="135" t="s">
        <v>198</v>
      </c>
      <c r="AG171" s="135"/>
      <c r="AH171" s="135"/>
      <c r="AI171" s="23">
        <v>0</v>
      </c>
      <c r="AJ171" s="267" t="s">
        <v>153</v>
      </c>
      <c r="AN171" s="370">
        <v>3</v>
      </c>
      <c r="AO171" s="370">
        <v>3</v>
      </c>
      <c r="AP171" s="370">
        <v>3</v>
      </c>
      <c r="AQ171" s="370">
        <v>3</v>
      </c>
    </row>
    <row r="172" spans="1:43">
      <c r="A172" s="135" t="s">
        <v>1667</v>
      </c>
      <c r="B172" s="135" t="s">
        <v>1695</v>
      </c>
      <c r="C172" s="135" t="s">
        <v>1668</v>
      </c>
      <c r="D172" s="46">
        <v>11134166</v>
      </c>
      <c r="E172" s="20" t="s">
        <v>1669</v>
      </c>
      <c r="F172" s="20" t="s">
        <v>1670</v>
      </c>
      <c r="G172" s="24">
        <v>10</v>
      </c>
      <c r="H172" s="21">
        <v>46248</v>
      </c>
      <c r="I172" s="53" t="s">
        <v>1671</v>
      </c>
      <c r="J172" s="24" t="s">
        <v>1765</v>
      </c>
      <c r="K172" s="24">
        <v>10</v>
      </c>
      <c r="L172" s="46">
        <v>12130014</v>
      </c>
      <c r="M172" s="20" t="s">
        <v>1688</v>
      </c>
      <c r="N172" s="38">
        <v>0</v>
      </c>
      <c r="O172" s="38">
        <v>0</v>
      </c>
      <c r="P172" s="20" t="s">
        <v>72</v>
      </c>
      <c r="Q172" s="20">
        <v>0</v>
      </c>
      <c r="R172" s="40">
        <v>46230</v>
      </c>
      <c r="S172" s="20">
        <v>0</v>
      </c>
      <c r="T172" s="20">
        <v>0</v>
      </c>
      <c r="U172" s="40">
        <v>46231</v>
      </c>
      <c r="V172" s="40">
        <v>46231</v>
      </c>
      <c r="W172" s="20" t="s">
        <v>57</v>
      </c>
      <c r="X172" s="21"/>
      <c r="Y172" s="19">
        <f>VLOOKUP(F172,[2]New!$B:$G,3,0)*K172/60</f>
        <v>9.3333333333333339</v>
      </c>
      <c r="Z172" s="19">
        <f>VLOOKUP(F172,[2]New!$B:$G,4,0)*K172/60</f>
        <v>39</v>
      </c>
      <c r="AA172" s="19">
        <f>VLOOKUP(F172,[2]New!$B:$G,6,0)*K172/60</f>
        <v>48.166666666666664</v>
      </c>
      <c r="AB172" s="44">
        <f>VLOOKUP(A172,'[4]PO CAG (2)'!$A:$L,12,0)</f>
        <v>46268</v>
      </c>
      <c r="AC172" s="22" t="str">
        <f>IFERROR(VLOOKUP(F172,[3]Sheet1!$E:$H,4,0),)</f>
        <v>G</v>
      </c>
      <c r="AD172" s="144">
        <v>10</v>
      </c>
      <c r="AE172" s="25" t="s">
        <v>3023</v>
      </c>
      <c r="AF172" s="135" t="s">
        <v>198</v>
      </c>
      <c r="AG172" s="135"/>
      <c r="AH172" s="135"/>
      <c r="AI172" s="23">
        <v>0</v>
      </c>
      <c r="AJ172" s="267" t="s">
        <v>153</v>
      </c>
      <c r="AN172" s="370">
        <v>3</v>
      </c>
      <c r="AO172" s="370">
        <v>3</v>
      </c>
      <c r="AP172" s="370">
        <v>3</v>
      </c>
      <c r="AQ172" s="370">
        <v>3</v>
      </c>
    </row>
    <row r="173" spans="1:43">
      <c r="A173" s="135" t="s">
        <v>1672</v>
      </c>
      <c r="B173" s="135" t="s">
        <v>1696</v>
      </c>
      <c r="C173" s="135" t="s">
        <v>1673</v>
      </c>
      <c r="D173" s="46">
        <v>11134168</v>
      </c>
      <c r="E173" s="20" t="s">
        <v>156</v>
      </c>
      <c r="F173" s="20" t="s">
        <v>157</v>
      </c>
      <c r="G173" s="24">
        <v>26</v>
      </c>
      <c r="H173" s="21">
        <v>46248</v>
      </c>
      <c r="I173" s="53" t="s">
        <v>1674</v>
      </c>
      <c r="J173" s="24" t="s">
        <v>1766</v>
      </c>
      <c r="K173" s="24">
        <v>26</v>
      </c>
      <c r="L173" s="46">
        <v>12130015</v>
      </c>
      <c r="M173" s="20" t="s">
        <v>169</v>
      </c>
      <c r="N173" s="38">
        <v>0</v>
      </c>
      <c r="O173" s="38">
        <v>0</v>
      </c>
      <c r="P173" s="20" t="s">
        <v>72</v>
      </c>
      <c r="Q173" s="20">
        <v>0</v>
      </c>
      <c r="R173" s="40">
        <v>46230</v>
      </c>
      <c r="S173" s="20">
        <v>0</v>
      </c>
      <c r="T173" s="20">
        <v>0</v>
      </c>
      <c r="U173" s="40">
        <v>46231</v>
      </c>
      <c r="V173" s="40">
        <v>46231</v>
      </c>
      <c r="W173" s="20" t="s">
        <v>57</v>
      </c>
      <c r="X173" s="21"/>
      <c r="Y173" s="19">
        <f>VLOOKUP(F173,[2]New!$B:$G,3,0)*K173/60</f>
        <v>24.266666666666666</v>
      </c>
      <c r="Z173" s="19">
        <f>VLOOKUP(F173,[2]New!$B:$G,4,0)*K173/60</f>
        <v>101.4</v>
      </c>
      <c r="AA173" s="19">
        <f>VLOOKUP(F173,[2]New!$B:$G,6,0)*K173/60</f>
        <v>125.23333333333333</v>
      </c>
      <c r="AB173" s="44">
        <f>VLOOKUP(A173,'[4]PO CAG (2)'!$A:$L,12,0)</f>
        <v>46268</v>
      </c>
      <c r="AC173" s="22" t="str">
        <f>IFERROR(VLOOKUP(F173,[3]Sheet1!$E:$H,4,0),)</f>
        <v>G</v>
      </c>
      <c r="AD173" s="144">
        <v>26</v>
      </c>
      <c r="AE173" s="25" t="s">
        <v>3023</v>
      </c>
      <c r="AF173" s="135" t="s">
        <v>198</v>
      </c>
      <c r="AG173" s="135"/>
      <c r="AH173" s="135"/>
      <c r="AI173" s="23">
        <v>0</v>
      </c>
      <c r="AJ173" s="267" t="s">
        <v>153</v>
      </c>
      <c r="AN173" s="370">
        <v>3</v>
      </c>
      <c r="AO173" s="370">
        <v>3</v>
      </c>
      <c r="AP173" s="370">
        <v>3</v>
      </c>
      <c r="AQ173" s="370">
        <v>3</v>
      </c>
    </row>
    <row r="174" spans="1:43">
      <c r="A174" s="135" t="s">
        <v>550</v>
      </c>
      <c r="B174" s="135" t="s">
        <v>1697</v>
      </c>
      <c r="C174" s="135" t="s">
        <v>1675</v>
      </c>
      <c r="D174" s="46">
        <v>11134137</v>
      </c>
      <c r="E174" s="20" t="s">
        <v>131</v>
      </c>
      <c r="F174" s="20" t="s">
        <v>71</v>
      </c>
      <c r="G174" s="24">
        <v>132</v>
      </c>
      <c r="H174" s="21">
        <v>46248</v>
      </c>
      <c r="I174" s="53" t="s">
        <v>1676</v>
      </c>
      <c r="J174" s="24" t="s">
        <v>1767</v>
      </c>
      <c r="K174" s="24">
        <v>132</v>
      </c>
      <c r="L174" s="46">
        <v>12129986</v>
      </c>
      <c r="M174" s="20" t="s">
        <v>76</v>
      </c>
      <c r="N174" s="38">
        <v>0</v>
      </c>
      <c r="O174" s="38">
        <v>0</v>
      </c>
      <c r="P174" s="20" t="s">
        <v>72</v>
      </c>
      <c r="Q174" s="20">
        <v>0</v>
      </c>
      <c r="R174" s="40">
        <v>46230</v>
      </c>
      <c r="S174" s="20">
        <v>0</v>
      </c>
      <c r="T174" s="20">
        <v>0</v>
      </c>
      <c r="U174" s="40">
        <v>46231</v>
      </c>
      <c r="V174" s="40">
        <v>46231</v>
      </c>
      <c r="W174" s="20" t="s">
        <v>57</v>
      </c>
      <c r="X174" s="21"/>
      <c r="Y174" s="19">
        <f>VLOOKUP(F174,[2]New!$B:$G,3,0)*K174/60</f>
        <v>123.2</v>
      </c>
      <c r="Z174" s="19">
        <f>VLOOKUP(F174,[2]New!$B:$G,4,0)*K174/60</f>
        <v>514.79999999999995</v>
      </c>
      <c r="AA174" s="19">
        <f>VLOOKUP(F174,[2]New!$B:$G,6,0)*K174/60</f>
        <v>635.79999999999995</v>
      </c>
      <c r="AB174" s="44">
        <f>VLOOKUP(A174,'[4]PO CAG (2)'!$A:$L,12,0)</f>
        <v>46268</v>
      </c>
      <c r="AC174" s="22" t="str">
        <f>IFERROR(VLOOKUP(F174,[3]Sheet1!$E:$H,4,0),)</f>
        <v>G</v>
      </c>
      <c r="AD174" s="144">
        <v>132</v>
      </c>
      <c r="AE174" s="25" t="s">
        <v>3023</v>
      </c>
      <c r="AF174" s="135" t="s">
        <v>198</v>
      </c>
      <c r="AG174" s="135"/>
      <c r="AH174" s="135"/>
      <c r="AI174" s="23">
        <v>0</v>
      </c>
      <c r="AJ174" s="267" t="s">
        <v>153</v>
      </c>
      <c r="AN174" s="370">
        <v>3</v>
      </c>
      <c r="AO174" s="370">
        <v>3</v>
      </c>
      <c r="AP174" s="370">
        <v>3</v>
      </c>
      <c r="AQ174" s="370">
        <v>3</v>
      </c>
    </row>
    <row r="175" spans="1:43">
      <c r="A175" s="135" t="s">
        <v>550</v>
      </c>
      <c r="B175" s="135" t="s">
        <v>1698</v>
      </c>
      <c r="C175" s="135" t="s">
        <v>1677</v>
      </c>
      <c r="D175" s="46">
        <v>11134137</v>
      </c>
      <c r="E175" s="20" t="s">
        <v>131</v>
      </c>
      <c r="F175" s="20" t="s">
        <v>71</v>
      </c>
      <c r="G175" s="24">
        <v>765</v>
      </c>
      <c r="H175" s="21">
        <v>46248</v>
      </c>
      <c r="I175" s="53" t="s">
        <v>1678</v>
      </c>
      <c r="J175" s="24" t="s">
        <v>1768</v>
      </c>
      <c r="K175" s="24">
        <v>765</v>
      </c>
      <c r="L175" s="46">
        <v>12129986</v>
      </c>
      <c r="M175" s="20" t="s">
        <v>76</v>
      </c>
      <c r="N175" s="38">
        <v>0</v>
      </c>
      <c r="O175" s="38">
        <v>0</v>
      </c>
      <c r="P175" s="20" t="s">
        <v>72</v>
      </c>
      <c r="Q175" s="20">
        <v>0</v>
      </c>
      <c r="R175" s="40">
        <v>46230</v>
      </c>
      <c r="S175" s="20">
        <v>0</v>
      </c>
      <c r="T175" s="20">
        <v>0</v>
      </c>
      <c r="U175" s="40">
        <v>46231</v>
      </c>
      <c r="V175" s="40">
        <v>46231</v>
      </c>
      <c r="W175" s="20" t="s">
        <v>57</v>
      </c>
      <c r="X175" s="21"/>
      <c r="Y175" s="19">
        <f>VLOOKUP(F175,[2]New!$B:$G,3,0)*K175/60</f>
        <v>714</v>
      </c>
      <c r="Z175" s="19">
        <f>VLOOKUP(F175,[2]New!$B:$G,4,0)*K175/60</f>
        <v>2983.5</v>
      </c>
      <c r="AA175" s="19">
        <f>VLOOKUP(F175,[2]New!$B:$G,6,0)*K175/60</f>
        <v>3684.75</v>
      </c>
      <c r="AB175" s="44">
        <f>VLOOKUP(A175,'[4]PO CAG (2)'!$A:$L,12,0)</f>
        <v>46268</v>
      </c>
      <c r="AC175" s="22" t="str">
        <f>IFERROR(VLOOKUP(F175,[3]Sheet1!$E:$H,4,0),)</f>
        <v>G</v>
      </c>
      <c r="AD175" s="144">
        <v>765</v>
      </c>
      <c r="AE175" s="25" t="s">
        <v>3023</v>
      </c>
      <c r="AF175" s="135" t="s">
        <v>198</v>
      </c>
      <c r="AG175" s="135"/>
      <c r="AH175" s="135"/>
      <c r="AI175" s="23">
        <v>0</v>
      </c>
      <c r="AJ175" s="267" t="s">
        <v>153</v>
      </c>
      <c r="AN175" s="370">
        <v>3</v>
      </c>
      <c r="AO175" s="370">
        <v>3</v>
      </c>
      <c r="AP175" s="370">
        <v>3</v>
      </c>
      <c r="AQ175" s="370">
        <v>3</v>
      </c>
    </row>
    <row r="176" spans="1:43">
      <c r="A176" s="135" t="s">
        <v>549</v>
      </c>
      <c r="B176" s="135" t="s">
        <v>1699</v>
      </c>
      <c r="C176" s="135" t="s">
        <v>1679</v>
      </c>
      <c r="D176" s="46">
        <v>11134125</v>
      </c>
      <c r="E176" s="20" t="s">
        <v>139</v>
      </c>
      <c r="F176" s="20" t="s">
        <v>70</v>
      </c>
      <c r="G176" s="24">
        <v>177</v>
      </c>
      <c r="H176" s="21">
        <v>46248</v>
      </c>
      <c r="I176" s="53" t="s">
        <v>1680</v>
      </c>
      <c r="J176" s="24" t="s">
        <v>1769</v>
      </c>
      <c r="K176" s="24">
        <v>183</v>
      </c>
      <c r="L176" s="46">
        <v>12129992</v>
      </c>
      <c r="M176" s="20" t="s">
        <v>75</v>
      </c>
      <c r="N176" s="38">
        <v>0</v>
      </c>
      <c r="O176" s="38">
        <v>0</v>
      </c>
      <c r="P176" s="20" t="s">
        <v>72</v>
      </c>
      <c r="Q176" s="20">
        <v>0</v>
      </c>
      <c r="R176" s="40">
        <v>46230</v>
      </c>
      <c r="S176" s="20">
        <v>3</v>
      </c>
      <c r="T176" s="20">
        <v>3</v>
      </c>
      <c r="U176" s="40">
        <v>46231</v>
      </c>
      <c r="V176" s="40">
        <v>46231</v>
      </c>
      <c r="W176" s="20" t="s">
        <v>57</v>
      </c>
      <c r="X176" s="21"/>
      <c r="Y176" s="19">
        <f>VLOOKUP(F176,[2]New!$B:$G,3,0)*K176/60</f>
        <v>170.8</v>
      </c>
      <c r="Z176" s="19">
        <f>VLOOKUP(F176,[2]New!$B:$G,4,0)*K176/60</f>
        <v>713.7</v>
      </c>
      <c r="AA176" s="19">
        <f>VLOOKUP(F176,[2]New!$B:$G,6,0)*K176/60</f>
        <v>881.45</v>
      </c>
      <c r="AB176" s="44">
        <f>VLOOKUP(A176,'[4]PO CAG (2)'!$A:$L,12,0)</f>
        <v>46268</v>
      </c>
      <c r="AC176" s="22" t="str">
        <f>IFERROR(VLOOKUP(F176,[3]Sheet1!$E:$H,4,0),)</f>
        <v>G</v>
      </c>
      <c r="AD176" s="144">
        <v>177</v>
      </c>
      <c r="AE176" s="25" t="s">
        <v>3023</v>
      </c>
      <c r="AF176" s="135" t="s">
        <v>198</v>
      </c>
      <c r="AG176" s="135"/>
      <c r="AH176" s="135"/>
      <c r="AI176" s="23">
        <v>6</v>
      </c>
      <c r="AJ176" s="267" t="s">
        <v>153</v>
      </c>
      <c r="AN176" s="370">
        <v>3</v>
      </c>
      <c r="AO176" s="370">
        <v>3</v>
      </c>
      <c r="AP176" s="370">
        <v>3</v>
      </c>
      <c r="AQ176" s="370">
        <v>3</v>
      </c>
    </row>
    <row r="177" spans="1:43">
      <c r="A177" s="135" t="s">
        <v>549</v>
      </c>
      <c r="B177" s="135" t="s">
        <v>1700</v>
      </c>
      <c r="C177" s="135" t="s">
        <v>1681</v>
      </c>
      <c r="D177" s="46">
        <v>11134125</v>
      </c>
      <c r="E177" s="20" t="s">
        <v>139</v>
      </c>
      <c r="F177" s="20" t="s">
        <v>70</v>
      </c>
      <c r="G177" s="24">
        <v>905</v>
      </c>
      <c r="H177" s="21">
        <v>46249</v>
      </c>
      <c r="I177" s="53" t="s">
        <v>1682</v>
      </c>
      <c r="J177" s="24" t="s">
        <v>1770</v>
      </c>
      <c r="K177" s="24">
        <v>905</v>
      </c>
      <c r="L177" s="46">
        <v>12129992</v>
      </c>
      <c r="M177" s="20" t="s">
        <v>75</v>
      </c>
      <c r="N177" s="38">
        <v>0</v>
      </c>
      <c r="O177" s="38">
        <v>0</v>
      </c>
      <c r="P177" s="20" t="s">
        <v>72</v>
      </c>
      <c r="Q177" s="20">
        <v>0</v>
      </c>
      <c r="R177" s="40">
        <v>46231</v>
      </c>
      <c r="S177" s="20">
        <v>0</v>
      </c>
      <c r="T177" s="20">
        <v>0</v>
      </c>
      <c r="U177" s="40">
        <v>46232</v>
      </c>
      <c r="V177" s="40">
        <v>46232</v>
      </c>
      <c r="W177" s="20" t="s">
        <v>57</v>
      </c>
      <c r="X177" s="21"/>
      <c r="Y177" s="19">
        <f>VLOOKUP(F177,[2]New!$B:$G,3,0)*K177/60</f>
        <v>844.66666666666663</v>
      </c>
      <c r="Z177" s="19">
        <f>VLOOKUP(F177,[2]New!$B:$G,4,0)*K177/60</f>
        <v>3529.5</v>
      </c>
      <c r="AA177" s="19">
        <f>VLOOKUP(F177,[2]New!$B:$G,6,0)*K177/60</f>
        <v>4359.083333333333</v>
      </c>
      <c r="AB177" s="44">
        <f>VLOOKUP(A177,'[4]PO CAG (2)'!$A:$L,12,0)</f>
        <v>46268</v>
      </c>
      <c r="AC177" s="22" t="str">
        <f>IFERROR(VLOOKUP(F177,[3]Sheet1!$E:$H,4,0),)</f>
        <v>G</v>
      </c>
      <c r="AD177" s="144"/>
      <c r="AE177" s="25" t="s">
        <v>548</v>
      </c>
      <c r="AF177" s="135" t="s">
        <v>198</v>
      </c>
      <c r="AG177" s="135"/>
      <c r="AH177" s="135"/>
      <c r="AJ177" s="267" t="s">
        <v>153</v>
      </c>
      <c r="AN177" s="370">
        <v>3</v>
      </c>
      <c r="AO177" s="370">
        <v>3</v>
      </c>
      <c r="AP177" s="370">
        <v>3</v>
      </c>
      <c r="AQ177" s="370">
        <v>3</v>
      </c>
    </row>
    <row r="178" spans="1:43">
      <c r="A178" s="135" t="s">
        <v>549</v>
      </c>
      <c r="B178" s="135" t="s">
        <v>1701</v>
      </c>
      <c r="C178" s="135" t="s">
        <v>1683</v>
      </c>
      <c r="D178" s="46">
        <v>11134125</v>
      </c>
      <c r="E178" s="20" t="s">
        <v>139</v>
      </c>
      <c r="F178" s="20" t="s">
        <v>70</v>
      </c>
      <c r="G178" s="24">
        <v>15</v>
      </c>
      <c r="H178" s="21">
        <v>46249</v>
      </c>
      <c r="I178" s="53" t="s">
        <v>1684</v>
      </c>
      <c r="J178" s="24" t="s">
        <v>1771</v>
      </c>
      <c r="K178" s="24">
        <v>21</v>
      </c>
      <c r="L178" s="46">
        <v>12129992</v>
      </c>
      <c r="M178" s="20" t="s">
        <v>75</v>
      </c>
      <c r="N178" s="38">
        <v>0</v>
      </c>
      <c r="O178" s="38">
        <v>0</v>
      </c>
      <c r="P178" s="20" t="s">
        <v>72</v>
      </c>
      <c r="Q178" s="20">
        <v>0</v>
      </c>
      <c r="R178" s="40">
        <v>46231</v>
      </c>
      <c r="S178" s="20">
        <v>3</v>
      </c>
      <c r="T178" s="20">
        <v>3</v>
      </c>
      <c r="U178" s="40">
        <v>46232</v>
      </c>
      <c r="V178" s="40">
        <v>46232</v>
      </c>
      <c r="W178" s="20" t="s">
        <v>57</v>
      </c>
      <c r="X178" s="21"/>
      <c r="Y178" s="19">
        <f>VLOOKUP(F178,[2]New!$B:$G,3,0)*K178/60</f>
        <v>19.600000000000001</v>
      </c>
      <c r="Z178" s="19">
        <f>VLOOKUP(F178,[2]New!$B:$G,4,0)*K178/60</f>
        <v>81.900000000000006</v>
      </c>
      <c r="AA178" s="19">
        <f>VLOOKUP(F178,[2]New!$B:$G,6,0)*K178/60</f>
        <v>101.15</v>
      </c>
      <c r="AB178" s="44">
        <f>VLOOKUP(A178,'[4]PO CAG (2)'!$A:$L,12,0)</f>
        <v>46268</v>
      </c>
      <c r="AC178" s="22" t="str">
        <f>IFERROR(VLOOKUP(F178,[3]Sheet1!$E:$H,4,0),)</f>
        <v>G</v>
      </c>
      <c r="AD178" s="144"/>
      <c r="AE178" s="25" t="s">
        <v>548</v>
      </c>
      <c r="AF178" s="135" t="s">
        <v>198</v>
      </c>
      <c r="AG178" s="135"/>
      <c r="AH178" s="135"/>
      <c r="AJ178" s="267" t="s">
        <v>153</v>
      </c>
      <c r="AN178" s="370">
        <v>3</v>
      </c>
      <c r="AO178" s="370">
        <v>3</v>
      </c>
      <c r="AP178" s="370">
        <v>3</v>
      </c>
      <c r="AQ178" s="370">
        <v>3</v>
      </c>
    </row>
    <row r="179" spans="1:43">
      <c r="A179" s="135" t="s">
        <v>969</v>
      </c>
      <c r="B179" s="135" t="s">
        <v>1702</v>
      </c>
      <c r="C179" s="135" t="s">
        <v>1685</v>
      </c>
      <c r="D179" s="46">
        <v>11134117</v>
      </c>
      <c r="E179" s="20" t="s">
        <v>140</v>
      </c>
      <c r="F179" s="20" t="s">
        <v>141</v>
      </c>
      <c r="G179" s="24">
        <v>324</v>
      </c>
      <c r="H179" s="21">
        <v>46249</v>
      </c>
      <c r="I179" s="53" t="s">
        <v>1686</v>
      </c>
      <c r="J179" s="24" t="s">
        <v>1772</v>
      </c>
      <c r="K179" s="24">
        <v>324</v>
      </c>
      <c r="L179" s="46">
        <v>12129989</v>
      </c>
      <c r="M179" s="20" t="s">
        <v>142</v>
      </c>
      <c r="N179" s="38">
        <v>0</v>
      </c>
      <c r="O179" s="38">
        <v>0</v>
      </c>
      <c r="P179" s="20" t="s">
        <v>72</v>
      </c>
      <c r="Q179" s="20">
        <v>0</v>
      </c>
      <c r="R179" s="40">
        <v>46231</v>
      </c>
      <c r="S179" s="20">
        <v>0</v>
      </c>
      <c r="T179" s="20">
        <v>0</v>
      </c>
      <c r="U179" s="40">
        <v>46232</v>
      </c>
      <c r="V179" s="40">
        <v>46232</v>
      </c>
      <c r="W179" s="20" t="s">
        <v>57</v>
      </c>
      <c r="X179" s="21"/>
      <c r="Y179" s="19">
        <f>VLOOKUP(F179,[2]New!$B:$G,3,0)*K179/60</f>
        <v>302.39999999999998</v>
      </c>
      <c r="Z179" s="19">
        <f>VLOOKUP(F179,[2]New!$B:$G,4,0)*K179/60</f>
        <v>1263.5999999999999</v>
      </c>
      <c r="AA179" s="19">
        <f>VLOOKUP(F179,[2]New!$B:$G,6,0)*K179/60</f>
        <v>1560.6</v>
      </c>
      <c r="AB179" s="44">
        <f>VLOOKUP(A179,'[4]PO CAG (2)'!$A:$L,12,0)</f>
        <v>46268</v>
      </c>
      <c r="AC179" s="22" t="str">
        <f>IFERROR(VLOOKUP(F179,[3]Sheet1!$E:$H,4,0),)</f>
        <v>G</v>
      </c>
      <c r="AD179" s="144"/>
      <c r="AE179" s="25" t="s">
        <v>548</v>
      </c>
      <c r="AF179" s="135" t="s">
        <v>198</v>
      </c>
      <c r="AG179" s="135"/>
      <c r="AH179" s="135"/>
      <c r="AJ179" s="267" t="s">
        <v>153</v>
      </c>
      <c r="AN179" s="370">
        <v>3</v>
      </c>
      <c r="AO179" s="370">
        <v>3</v>
      </c>
      <c r="AP179" s="370">
        <v>3</v>
      </c>
      <c r="AQ179" s="370">
        <v>3</v>
      </c>
    </row>
    <row r="180" spans="1:43">
      <c r="A180" s="135" t="s">
        <v>1773</v>
      </c>
      <c r="B180" s="135" t="s">
        <v>1818</v>
      </c>
      <c r="C180" s="135" t="s">
        <v>1774</v>
      </c>
      <c r="D180" s="46">
        <v>11130573</v>
      </c>
      <c r="E180" s="20" t="s">
        <v>1775</v>
      </c>
      <c r="F180" s="20" t="s">
        <v>1776</v>
      </c>
      <c r="G180" s="24">
        <v>5</v>
      </c>
      <c r="H180" s="21">
        <v>46241</v>
      </c>
      <c r="I180" s="53" t="s">
        <v>1777</v>
      </c>
      <c r="J180" s="24" t="s">
        <v>1778</v>
      </c>
      <c r="K180" s="24">
        <v>5</v>
      </c>
      <c r="L180" s="46">
        <v>12115994</v>
      </c>
      <c r="M180" s="20" t="s">
        <v>1146</v>
      </c>
      <c r="N180" s="38">
        <v>0</v>
      </c>
      <c r="O180" s="38">
        <v>0</v>
      </c>
      <c r="P180" s="20" t="s">
        <v>94</v>
      </c>
      <c r="Q180" s="20">
        <v>0</v>
      </c>
      <c r="R180" s="40">
        <v>46232</v>
      </c>
      <c r="S180" s="20">
        <v>0</v>
      </c>
      <c r="T180" s="20">
        <v>0</v>
      </c>
      <c r="U180" s="40">
        <v>46233</v>
      </c>
      <c r="V180" s="40">
        <v>46233</v>
      </c>
      <c r="W180" s="20" t="s">
        <v>57</v>
      </c>
      <c r="X180" s="21"/>
      <c r="Y180" s="19">
        <v>0</v>
      </c>
      <c r="Z180" s="19">
        <v>0</v>
      </c>
      <c r="AA180" s="19">
        <v>0</v>
      </c>
      <c r="AB180" s="44">
        <f>VLOOKUP(A180,'[4]PO CAG (2)'!$A:$L,12,0)</f>
        <v>46254</v>
      </c>
      <c r="AC180" s="22">
        <f>IFERROR(VLOOKUP(F180,[3]Sheet1!$E:$H,4,0),)</f>
        <v>0</v>
      </c>
      <c r="AD180" s="144">
        <v>5</v>
      </c>
      <c r="AE180" s="25" t="s">
        <v>3023</v>
      </c>
      <c r="AF180" s="135" t="s">
        <v>112</v>
      </c>
      <c r="AG180" s="135"/>
      <c r="AH180" s="135"/>
      <c r="AI180" s="23">
        <v>0</v>
      </c>
      <c r="AJ180" s="267" t="s">
        <v>153</v>
      </c>
      <c r="AN180" s="278">
        <v>3</v>
      </c>
      <c r="AO180" s="278">
        <v>3</v>
      </c>
      <c r="AP180" s="278">
        <v>3</v>
      </c>
      <c r="AQ180" s="278">
        <v>3</v>
      </c>
    </row>
    <row r="181" spans="1:43">
      <c r="A181" s="135" t="s">
        <v>1779</v>
      </c>
      <c r="B181" s="135" t="s">
        <v>1821</v>
      </c>
      <c r="C181" s="135" t="s">
        <v>1780</v>
      </c>
      <c r="D181" s="46">
        <v>11130583</v>
      </c>
      <c r="E181" s="20" t="s">
        <v>460</v>
      </c>
      <c r="F181" s="20" t="s">
        <v>461</v>
      </c>
      <c r="G181" s="24">
        <v>20</v>
      </c>
      <c r="H181" s="21">
        <v>46241</v>
      </c>
      <c r="I181" s="53" t="s">
        <v>1781</v>
      </c>
      <c r="J181" s="24" t="s">
        <v>1782</v>
      </c>
      <c r="K181" s="24">
        <v>20</v>
      </c>
      <c r="L181" s="46">
        <v>12124602</v>
      </c>
      <c r="M181" s="20" t="s">
        <v>464</v>
      </c>
      <c r="N181" s="38">
        <v>0</v>
      </c>
      <c r="O181" s="38">
        <v>0</v>
      </c>
      <c r="P181" s="20" t="s">
        <v>94</v>
      </c>
      <c r="Q181" s="20">
        <v>0</v>
      </c>
      <c r="R181" s="40">
        <v>46232</v>
      </c>
      <c r="S181" s="20">
        <v>0</v>
      </c>
      <c r="T181" s="20">
        <v>0</v>
      </c>
      <c r="U181" s="40">
        <v>46233</v>
      </c>
      <c r="V181" s="40">
        <v>46233</v>
      </c>
      <c r="W181" s="20" t="s">
        <v>57</v>
      </c>
      <c r="X181" s="21"/>
      <c r="Y181" s="19">
        <f>VLOOKUP(F181,[2]New!$B:$G,3,0)*K181/60</f>
        <v>7</v>
      </c>
      <c r="Z181" s="19">
        <f>VLOOKUP(F181,[2]New!$B:$G,4,0)*K181/60</f>
        <v>30.866666666666667</v>
      </c>
      <c r="AA181" s="19">
        <f>VLOOKUP(F181,[2]New!$B:$G,6,0)*K181/60</f>
        <v>14.333333333333334</v>
      </c>
      <c r="AB181" s="44">
        <f>VLOOKUP(A181,'[4]PO CAG (2)'!$A:$L,12,0)</f>
        <v>46254</v>
      </c>
      <c r="AC181" s="22">
        <f>IFERROR(VLOOKUP(F181,[3]Sheet1!$E:$H,4,0),)</f>
        <v>0</v>
      </c>
      <c r="AD181" s="144">
        <v>20</v>
      </c>
      <c r="AE181" s="25" t="s">
        <v>3023</v>
      </c>
      <c r="AF181" s="135" t="s">
        <v>112</v>
      </c>
      <c r="AG181" s="135"/>
      <c r="AH181" s="135"/>
      <c r="AI181" s="23">
        <v>0</v>
      </c>
      <c r="AJ181" s="267" t="s">
        <v>153</v>
      </c>
      <c r="AN181" s="278">
        <v>3</v>
      </c>
      <c r="AO181" s="278">
        <v>3</v>
      </c>
      <c r="AP181" s="278">
        <v>3</v>
      </c>
      <c r="AQ181" s="278">
        <v>3</v>
      </c>
    </row>
    <row r="182" spans="1:43">
      <c r="A182" s="135" t="s">
        <v>1783</v>
      </c>
      <c r="B182" s="135" t="s">
        <v>1819</v>
      </c>
      <c r="C182" s="135" t="s">
        <v>1784</v>
      </c>
      <c r="D182" s="46">
        <v>11130535</v>
      </c>
      <c r="E182" s="20" t="s">
        <v>357</v>
      </c>
      <c r="F182" s="20" t="s">
        <v>358</v>
      </c>
      <c r="G182" s="24">
        <v>100</v>
      </c>
      <c r="H182" s="21">
        <v>46241</v>
      </c>
      <c r="I182" s="53" t="s">
        <v>1785</v>
      </c>
      <c r="J182" s="24" t="s">
        <v>1786</v>
      </c>
      <c r="K182" s="24">
        <v>100</v>
      </c>
      <c r="L182" s="46">
        <v>12122136</v>
      </c>
      <c r="M182" s="20" t="s">
        <v>365</v>
      </c>
      <c r="N182" s="38">
        <v>0</v>
      </c>
      <c r="O182" s="38">
        <v>0</v>
      </c>
      <c r="P182" s="20" t="s">
        <v>94</v>
      </c>
      <c r="Q182" s="20">
        <v>0</v>
      </c>
      <c r="R182" s="40">
        <v>46232</v>
      </c>
      <c r="S182" s="20">
        <v>0</v>
      </c>
      <c r="T182" s="20">
        <v>0</v>
      </c>
      <c r="U182" s="40">
        <v>46233</v>
      </c>
      <c r="V182" s="40">
        <v>46233</v>
      </c>
      <c r="W182" s="20" t="s">
        <v>57</v>
      </c>
      <c r="X182" s="21"/>
      <c r="Y182" s="19">
        <f>VLOOKUP(F182,[2]New!$B:$G,3,0)*K182/60</f>
        <v>35</v>
      </c>
      <c r="Z182" s="19">
        <f>VLOOKUP(F182,[2]New!$B:$G,4,0)*K182/60</f>
        <v>154.33333333333334</v>
      </c>
      <c r="AA182" s="19">
        <f>VLOOKUP(F182,[2]New!$B:$G,6,0)*K182/60</f>
        <v>71.666666666666671</v>
      </c>
      <c r="AB182" s="44">
        <f>VLOOKUP(A182,'[4]PO CAG (2)'!$A:$L,12,0)</f>
        <v>46254</v>
      </c>
      <c r="AC182" s="22">
        <f>IFERROR(VLOOKUP(F182,[3]Sheet1!$E:$H,4,0),)</f>
        <v>0</v>
      </c>
      <c r="AD182" s="144">
        <v>100</v>
      </c>
      <c r="AE182" s="25" t="s">
        <v>3023</v>
      </c>
      <c r="AF182" s="135" t="s">
        <v>112</v>
      </c>
      <c r="AG182" s="135"/>
      <c r="AH182" s="135"/>
      <c r="AI182" s="23">
        <v>0</v>
      </c>
      <c r="AJ182" s="267" t="s">
        <v>153</v>
      </c>
      <c r="AN182" s="278">
        <v>3</v>
      </c>
      <c r="AO182" s="278">
        <v>3</v>
      </c>
      <c r="AP182" s="278">
        <v>3</v>
      </c>
      <c r="AQ182" s="278">
        <v>3</v>
      </c>
    </row>
    <row r="183" spans="1:43">
      <c r="A183" s="135" t="s">
        <v>969</v>
      </c>
      <c r="B183" s="135" t="s">
        <v>1824</v>
      </c>
      <c r="C183" s="135" t="s">
        <v>1787</v>
      </c>
      <c r="D183" s="46">
        <v>11134117</v>
      </c>
      <c r="E183" s="20" t="s">
        <v>140</v>
      </c>
      <c r="F183" s="20" t="s">
        <v>141</v>
      </c>
      <c r="G183" s="24">
        <v>443</v>
      </c>
      <c r="H183" s="21">
        <v>46251</v>
      </c>
      <c r="I183" s="53" t="s">
        <v>1788</v>
      </c>
      <c r="J183" s="24" t="s">
        <v>1789</v>
      </c>
      <c r="K183" s="24">
        <v>449</v>
      </c>
      <c r="L183" s="46">
        <v>12129989</v>
      </c>
      <c r="M183" s="20" t="s">
        <v>142</v>
      </c>
      <c r="N183" s="38">
        <v>0</v>
      </c>
      <c r="O183" s="38">
        <v>0</v>
      </c>
      <c r="P183" s="20" t="s">
        <v>72</v>
      </c>
      <c r="Q183" s="20">
        <v>0</v>
      </c>
      <c r="R183" s="40">
        <v>46232</v>
      </c>
      <c r="S183" s="20">
        <v>3</v>
      </c>
      <c r="T183" s="20">
        <v>3</v>
      </c>
      <c r="U183" s="40">
        <v>46233</v>
      </c>
      <c r="V183" s="40">
        <v>46233</v>
      </c>
      <c r="W183" s="20" t="s">
        <v>57</v>
      </c>
      <c r="X183" s="21"/>
      <c r="Y183" s="19">
        <f>VLOOKUP(F183,[2]New!$B:$G,3,0)*K183/60</f>
        <v>419.06666666666666</v>
      </c>
      <c r="Z183" s="19">
        <f>VLOOKUP(F183,[2]New!$B:$G,4,0)*K183/60</f>
        <v>1751.1</v>
      </c>
      <c r="AA183" s="19">
        <f>VLOOKUP(F183,[2]New!$B:$G,6,0)*K183/60</f>
        <v>2162.6833333333334</v>
      </c>
      <c r="AB183" s="44">
        <f>VLOOKUP(A183,'[4]PO CAG (2)'!$A:$L,12,0)</f>
        <v>46268</v>
      </c>
      <c r="AC183" s="22" t="str">
        <f>IFERROR(VLOOKUP(F183,[3]Sheet1!$E:$H,4,0),)</f>
        <v>G</v>
      </c>
      <c r="AD183" s="144">
        <v>443</v>
      </c>
      <c r="AE183" s="25" t="s">
        <v>3023</v>
      </c>
      <c r="AF183" s="135" t="s">
        <v>198</v>
      </c>
      <c r="AG183" s="135"/>
      <c r="AH183" s="135"/>
      <c r="AI183" s="23">
        <v>6</v>
      </c>
      <c r="AJ183" s="267" t="s">
        <v>189</v>
      </c>
      <c r="AN183" s="278">
        <v>3</v>
      </c>
      <c r="AO183" s="278">
        <v>3</v>
      </c>
      <c r="AP183" s="278">
        <v>3</v>
      </c>
      <c r="AQ183" s="278">
        <v>3</v>
      </c>
    </row>
    <row r="184" spans="1:43">
      <c r="A184" s="135" t="s">
        <v>1790</v>
      </c>
      <c r="B184" s="135" t="s">
        <v>1825</v>
      </c>
      <c r="C184" s="135" t="s">
        <v>1791</v>
      </c>
      <c r="D184" s="46">
        <v>11134123</v>
      </c>
      <c r="E184" s="20" t="s">
        <v>147</v>
      </c>
      <c r="F184" s="20" t="s">
        <v>148</v>
      </c>
      <c r="G184" s="24">
        <v>706</v>
      </c>
      <c r="H184" s="21">
        <v>46251</v>
      </c>
      <c r="I184" s="53" t="s">
        <v>1792</v>
      </c>
      <c r="J184" s="24" t="s">
        <v>1793</v>
      </c>
      <c r="K184" s="24">
        <v>706</v>
      </c>
      <c r="L184" s="46">
        <v>12129991</v>
      </c>
      <c r="M184" s="20" t="s">
        <v>151</v>
      </c>
      <c r="N184" s="38">
        <v>0</v>
      </c>
      <c r="O184" s="38">
        <v>0</v>
      </c>
      <c r="P184" s="20" t="s">
        <v>72</v>
      </c>
      <c r="Q184" s="20">
        <v>0</v>
      </c>
      <c r="R184" s="40">
        <v>46232</v>
      </c>
      <c r="S184" s="20">
        <v>0</v>
      </c>
      <c r="T184" s="20">
        <v>0</v>
      </c>
      <c r="U184" s="40">
        <v>46233</v>
      </c>
      <c r="V184" s="40">
        <v>46233</v>
      </c>
      <c r="W184" s="20" t="s">
        <v>57</v>
      </c>
      <c r="X184" s="21"/>
      <c r="Y184" s="19">
        <f>VLOOKUP(F184,[2]New!$B:$G,3,0)*K184/60</f>
        <v>658.93333333333328</v>
      </c>
      <c r="Z184" s="19">
        <f>VLOOKUP(F184,[2]New!$B:$G,4,0)*K184/60</f>
        <v>2753.4</v>
      </c>
      <c r="AA184" s="19">
        <f>VLOOKUP(F184,[2]New!$B:$G,6,0)*K184/60</f>
        <v>3400.5666666666666</v>
      </c>
      <c r="AB184" s="44">
        <f>VLOOKUP(A184,'[4]PO CAG (2)'!$A:$L,12,0)</f>
        <v>46268</v>
      </c>
      <c r="AC184" s="22" t="str">
        <f>IFERROR(VLOOKUP(F184,[3]Sheet1!$E:$H,4,0),)</f>
        <v>G</v>
      </c>
      <c r="AD184" s="144">
        <v>706</v>
      </c>
      <c r="AE184" s="25" t="s">
        <v>3023</v>
      </c>
      <c r="AF184" s="135" t="s">
        <v>198</v>
      </c>
      <c r="AG184" s="135"/>
      <c r="AH184" s="135"/>
      <c r="AI184" s="23">
        <v>0</v>
      </c>
      <c r="AJ184" s="267" t="s">
        <v>189</v>
      </c>
      <c r="AN184" s="278">
        <v>3</v>
      </c>
      <c r="AO184" s="278">
        <v>3</v>
      </c>
      <c r="AP184" s="278">
        <v>3</v>
      </c>
      <c r="AQ184" s="278">
        <v>3</v>
      </c>
    </row>
    <row r="185" spans="1:43">
      <c r="A185" s="135" t="s">
        <v>1790</v>
      </c>
      <c r="B185" s="135" t="s">
        <v>1826</v>
      </c>
      <c r="C185" s="135" t="s">
        <v>1794</v>
      </c>
      <c r="D185" s="46">
        <v>11134123</v>
      </c>
      <c r="E185" s="20" t="s">
        <v>147</v>
      </c>
      <c r="F185" s="20" t="s">
        <v>148</v>
      </c>
      <c r="G185" s="24">
        <v>58</v>
      </c>
      <c r="H185" s="21">
        <v>46252</v>
      </c>
      <c r="I185" s="53" t="s">
        <v>1795</v>
      </c>
      <c r="J185" s="24" t="s">
        <v>1796</v>
      </c>
      <c r="K185" s="24">
        <v>58</v>
      </c>
      <c r="L185" s="46">
        <v>12129991</v>
      </c>
      <c r="M185" s="20" t="s">
        <v>151</v>
      </c>
      <c r="N185" s="38">
        <v>0</v>
      </c>
      <c r="O185" s="38">
        <v>0</v>
      </c>
      <c r="P185" s="20" t="s">
        <v>72</v>
      </c>
      <c r="Q185" s="20">
        <v>0</v>
      </c>
      <c r="R185" s="40">
        <v>46233</v>
      </c>
      <c r="S185" s="20">
        <v>0</v>
      </c>
      <c r="T185" s="20">
        <v>0</v>
      </c>
      <c r="U185" s="40">
        <v>46234</v>
      </c>
      <c r="V185" s="40">
        <v>46234</v>
      </c>
      <c r="W185" s="20" t="s">
        <v>57</v>
      </c>
      <c r="X185" s="21"/>
      <c r="Y185" s="19">
        <f>VLOOKUP(F185,[2]New!$B:$G,3,0)*K185/60</f>
        <v>54.133333333333333</v>
      </c>
      <c r="Z185" s="19">
        <f>VLOOKUP(F185,[2]New!$B:$G,4,0)*K185/60</f>
        <v>226.2</v>
      </c>
      <c r="AA185" s="19">
        <f>VLOOKUP(F185,[2]New!$B:$G,6,0)*K185/60</f>
        <v>279.36666666666667</v>
      </c>
      <c r="AB185" s="44">
        <f>VLOOKUP(A185,'[4]PO CAG (2)'!$A:$L,12,0)</f>
        <v>46268</v>
      </c>
      <c r="AC185" s="22" t="str">
        <f>IFERROR(VLOOKUP(F185,[3]Sheet1!$E:$H,4,0),)</f>
        <v>G</v>
      </c>
      <c r="AD185" s="144">
        <v>58</v>
      </c>
      <c r="AE185" s="25" t="s">
        <v>3023</v>
      </c>
      <c r="AF185" s="135" t="s">
        <v>198</v>
      </c>
      <c r="AG185" s="135"/>
      <c r="AH185" s="135"/>
      <c r="AI185" s="23">
        <v>0</v>
      </c>
      <c r="AJ185" s="267" t="s">
        <v>189</v>
      </c>
      <c r="AN185" s="278">
        <v>3</v>
      </c>
      <c r="AO185" s="278">
        <v>3</v>
      </c>
      <c r="AP185" s="278">
        <v>3</v>
      </c>
      <c r="AQ185" s="278">
        <v>3</v>
      </c>
    </row>
    <row r="186" spans="1:43">
      <c r="A186" s="135" t="s">
        <v>1797</v>
      </c>
      <c r="B186" s="135" t="s">
        <v>1827</v>
      </c>
      <c r="C186" s="135" t="s">
        <v>1798</v>
      </c>
      <c r="D186" s="46">
        <v>11134139</v>
      </c>
      <c r="E186" s="20" t="s">
        <v>160</v>
      </c>
      <c r="F186" s="20" t="s">
        <v>161</v>
      </c>
      <c r="G186" s="24">
        <v>560</v>
      </c>
      <c r="H186" s="21">
        <v>46252</v>
      </c>
      <c r="I186" s="53" t="s">
        <v>1799</v>
      </c>
      <c r="J186" s="24" t="s">
        <v>1800</v>
      </c>
      <c r="K186" s="24">
        <v>566</v>
      </c>
      <c r="L186" s="46">
        <v>12129988</v>
      </c>
      <c r="M186" s="20" t="s">
        <v>171</v>
      </c>
      <c r="N186" s="38">
        <v>0</v>
      </c>
      <c r="O186" s="38">
        <v>0</v>
      </c>
      <c r="P186" s="20" t="s">
        <v>72</v>
      </c>
      <c r="Q186" s="20">
        <v>0</v>
      </c>
      <c r="R186" s="40">
        <v>46233</v>
      </c>
      <c r="S186" s="20">
        <v>3</v>
      </c>
      <c r="T186" s="20">
        <v>3</v>
      </c>
      <c r="U186" s="40">
        <v>46234</v>
      </c>
      <c r="V186" s="40">
        <v>46234</v>
      </c>
      <c r="W186" s="20" t="s">
        <v>57</v>
      </c>
      <c r="X186" s="21"/>
      <c r="Y186" s="19">
        <f>VLOOKUP(F186,[2]New!$B:$G,3,0)*K186/60</f>
        <v>528.26666666666665</v>
      </c>
      <c r="Z186" s="19">
        <f>VLOOKUP(F186,[2]New!$B:$G,4,0)*K186/60</f>
        <v>2207.4</v>
      </c>
      <c r="AA186" s="19">
        <f>VLOOKUP(F186,[2]New!$B:$G,6,0)*K186/60</f>
        <v>2726.2333333333331</v>
      </c>
      <c r="AB186" s="44">
        <f>VLOOKUP(A186,'[4]PO CAG (2)'!$A:$L,12,0)</f>
        <v>46268</v>
      </c>
      <c r="AC186" s="22" t="str">
        <f>IFERROR(VLOOKUP(F186,[3]Sheet1!$E:$H,4,0),)</f>
        <v>G</v>
      </c>
      <c r="AD186" s="144">
        <v>560</v>
      </c>
      <c r="AE186" s="25" t="s">
        <v>3023</v>
      </c>
      <c r="AF186" s="135" t="s">
        <v>198</v>
      </c>
      <c r="AG186" s="135"/>
      <c r="AH186" s="135"/>
      <c r="AI186" s="23">
        <v>6</v>
      </c>
      <c r="AJ186" s="267" t="s">
        <v>189</v>
      </c>
      <c r="AN186" s="278">
        <v>3</v>
      </c>
      <c r="AO186" s="278">
        <v>3</v>
      </c>
      <c r="AP186" s="278">
        <v>3</v>
      </c>
      <c r="AQ186" s="278">
        <v>3</v>
      </c>
    </row>
    <row r="187" spans="1:43">
      <c r="A187" s="135" t="s">
        <v>1801</v>
      </c>
      <c r="B187" s="135" t="s">
        <v>1817</v>
      </c>
      <c r="C187" s="135" t="s">
        <v>1802</v>
      </c>
      <c r="D187" s="46">
        <v>11116931</v>
      </c>
      <c r="E187" s="20" t="s">
        <v>393</v>
      </c>
      <c r="F187" s="20" t="s">
        <v>394</v>
      </c>
      <c r="G187" s="24">
        <v>70</v>
      </c>
      <c r="H187" s="21">
        <v>46242</v>
      </c>
      <c r="I187" s="53" t="s">
        <v>1803</v>
      </c>
      <c r="J187" s="24" t="s">
        <v>1804</v>
      </c>
      <c r="K187" s="24">
        <v>74</v>
      </c>
      <c r="L187" s="46">
        <v>12115880</v>
      </c>
      <c r="M187" s="20" t="s">
        <v>402</v>
      </c>
      <c r="N187" s="38">
        <v>0</v>
      </c>
      <c r="O187" s="38">
        <v>1</v>
      </c>
      <c r="P187" s="20" t="s">
        <v>395</v>
      </c>
      <c r="Q187" s="20">
        <v>3</v>
      </c>
      <c r="R187" s="40">
        <v>46233</v>
      </c>
      <c r="S187" s="20">
        <v>0</v>
      </c>
      <c r="T187" s="20">
        <v>0</v>
      </c>
      <c r="U187" s="40">
        <v>46234</v>
      </c>
      <c r="V187" s="40">
        <v>46234</v>
      </c>
      <c r="W187" s="20" t="s">
        <v>57</v>
      </c>
      <c r="X187" s="21"/>
      <c r="Y187" s="19">
        <f>VLOOKUP(F187,[2]New!$B:$G,3,0)*K187/60</f>
        <v>27.133333333333333</v>
      </c>
      <c r="Z187" s="19">
        <f>VLOOKUP(F187,[2]New!$B:$G,4,0)*K187/60</f>
        <v>219.41</v>
      </c>
      <c r="AA187" s="19">
        <f>VLOOKUP(F187,[2]New!$B:$G,6,0)*K187/60</f>
        <v>146.76666666666668</v>
      </c>
      <c r="AB187" s="44">
        <f>VLOOKUP(A187,'[4]PO CAG (2)'!$A:$L,12,0)</f>
        <v>46255</v>
      </c>
      <c r="AC187" s="22">
        <f>IFERROR(VLOOKUP(F187,[3]Sheet1!$E:$H,4,0),)</f>
        <v>0</v>
      </c>
      <c r="AD187" s="144">
        <v>70</v>
      </c>
      <c r="AE187" s="25" t="s">
        <v>3023</v>
      </c>
      <c r="AF187" s="135" t="s">
        <v>112</v>
      </c>
      <c r="AG187" s="135"/>
      <c r="AH187" s="135"/>
      <c r="AI187" s="23">
        <v>1</v>
      </c>
      <c r="AJ187" s="267" t="s">
        <v>153</v>
      </c>
      <c r="AN187" s="278">
        <v>3</v>
      </c>
      <c r="AO187" s="278">
        <v>3</v>
      </c>
      <c r="AP187" s="278" t="s">
        <v>113</v>
      </c>
      <c r="AQ187" s="278" t="s">
        <v>113</v>
      </c>
    </row>
    <row r="188" spans="1:43">
      <c r="A188" s="135" t="s">
        <v>1805</v>
      </c>
      <c r="B188" s="135" t="s">
        <v>1822</v>
      </c>
      <c r="C188" s="135" t="s">
        <v>1806</v>
      </c>
      <c r="D188" s="46">
        <v>11116929</v>
      </c>
      <c r="E188" s="20" t="s">
        <v>396</v>
      </c>
      <c r="F188" s="20" t="s">
        <v>397</v>
      </c>
      <c r="G188" s="24">
        <v>30</v>
      </c>
      <c r="H188" s="21">
        <v>46242</v>
      </c>
      <c r="I188" s="53" t="s">
        <v>1807</v>
      </c>
      <c r="J188" s="24" t="s">
        <v>1808</v>
      </c>
      <c r="K188" s="24">
        <v>31</v>
      </c>
      <c r="L188" s="46">
        <v>12115878</v>
      </c>
      <c r="M188" s="20" t="s">
        <v>403</v>
      </c>
      <c r="N188" s="38">
        <v>0</v>
      </c>
      <c r="O188" s="38">
        <v>1</v>
      </c>
      <c r="P188" s="20" t="s">
        <v>395</v>
      </c>
      <c r="Q188" s="20">
        <v>0</v>
      </c>
      <c r="R188" s="40">
        <v>46233</v>
      </c>
      <c r="S188" s="20">
        <v>0</v>
      </c>
      <c r="T188" s="20">
        <v>0</v>
      </c>
      <c r="U188" s="40">
        <v>46234</v>
      </c>
      <c r="V188" s="40">
        <v>46234</v>
      </c>
      <c r="W188" s="20" t="s">
        <v>57</v>
      </c>
      <c r="X188" s="21"/>
      <c r="Y188" s="19">
        <f>VLOOKUP(F188,[2]New!$B:$G,3,0)*K188/60</f>
        <v>11.366666666666667</v>
      </c>
      <c r="Z188" s="19">
        <f>VLOOKUP(F188,[2]New!$B:$G,4,0)*K188/60</f>
        <v>91.915000000000006</v>
      </c>
      <c r="AA188" s="19">
        <f>VLOOKUP(F188,[2]New!$B:$G,6,0)*K188/60</f>
        <v>61.483333333333334</v>
      </c>
      <c r="AB188" s="44">
        <f>VLOOKUP(A188,'[4]PO CAG (2)'!$A:$L,12,0)</f>
        <v>46255</v>
      </c>
      <c r="AC188" s="22">
        <f>IFERROR(VLOOKUP(F188,[3]Sheet1!$E:$H,4,0),)</f>
        <v>0</v>
      </c>
      <c r="AD188" s="144">
        <v>30</v>
      </c>
      <c r="AE188" s="25" t="s">
        <v>3023</v>
      </c>
      <c r="AF188" s="135" t="s">
        <v>112</v>
      </c>
      <c r="AG188" s="135"/>
      <c r="AH188" s="135"/>
      <c r="AI188" s="23">
        <v>1</v>
      </c>
      <c r="AJ188" s="267" t="s">
        <v>153</v>
      </c>
      <c r="AN188" s="278">
        <v>3</v>
      </c>
      <c r="AO188" s="278">
        <v>3</v>
      </c>
      <c r="AP188" s="278" t="s">
        <v>113</v>
      </c>
      <c r="AQ188" s="278" t="s">
        <v>113</v>
      </c>
    </row>
    <row r="189" spans="1:43">
      <c r="A189" s="135" t="s">
        <v>1809</v>
      </c>
      <c r="B189" s="135" t="s">
        <v>1823</v>
      </c>
      <c r="C189" s="135" t="s">
        <v>1810</v>
      </c>
      <c r="D189" s="46">
        <v>11116932</v>
      </c>
      <c r="E189" s="20" t="s">
        <v>398</v>
      </c>
      <c r="F189" s="20" t="s">
        <v>399</v>
      </c>
      <c r="G189" s="24">
        <v>200</v>
      </c>
      <c r="H189" s="21">
        <v>46242</v>
      </c>
      <c r="I189" s="53" t="s">
        <v>1811</v>
      </c>
      <c r="J189" s="24" t="s">
        <v>1812</v>
      </c>
      <c r="K189" s="24">
        <v>201</v>
      </c>
      <c r="L189" s="46">
        <v>12115881</v>
      </c>
      <c r="M189" s="20" t="s">
        <v>404</v>
      </c>
      <c r="N189" s="38">
        <v>0</v>
      </c>
      <c r="O189" s="38">
        <v>1</v>
      </c>
      <c r="P189" s="20" t="s">
        <v>395</v>
      </c>
      <c r="Q189" s="20">
        <v>0</v>
      </c>
      <c r="R189" s="40">
        <v>46233</v>
      </c>
      <c r="S189" s="20">
        <v>0</v>
      </c>
      <c r="T189" s="20">
        <v>0</v>
      </c>
      <c r="U189" s="40">
        <v>46234</v>
      </c>
      <c r="V189" s="40">
        <v>46234</v>
      </c>
      <c r="W189" s="20" t="s">
        <v>57</v>
      </c>
      <c r="X189" s="21"/>
      <c r="Y189" s="19">
        <f>VLOOKUP(F189,[2]New!$B:$G,3,0)*K189/60</f>
        <v>73.7</v>
      </c>
      <c r="Z189" s="19">
        <f>VLOOKUP(F189,[2]New!$B:$G,4,0)*K189/60</f>
        <v>595.96500000000003</v>
      </c>
      <c r="AA189" s="19">
        <f>VLOOKUP(F189,[2]New!$B:$G,6,0)*K189/60</f>
        <v>398.65</v>
      </c>
      <c r="AB189" s="44">
        <f>VLOOKUP(A189,'[4]PO CAG (2)'!$A:$L,12,0)</f>
        <v>46255</v>
      </c>
      <c r="AC189" s="22">
        <f>IFERROR(VLOOKUP(F189,[3]Sheet1!$E:$H,4,0),)</f>
        <v>0</v>
      </c>
      <c r="AD189" s="144">
        <v>200</v>
      </c>
      <c r="AE189" s="25" t="s">
        <v>3023</v>
      </c>
      <c r="AF189" s="135" t="s">
        <v>112</v>
      </c>
      <c r="AG189" s="135"/>
      <c r="AH189" s="135"/>
      <c r="AI189" s="377">
        <v>1</v>
      </c>
      <c r="AJ189" s="267" t="s">
        <v>153</v>
      </c>
      <c r="AN189" s="278">
        <v>3</v>
      </c>
      <c r="AO189" s="278">
        <v>3</v>
      </c>
      <c r="AP189" s="278" t="s">
        <v>113</v>
      </c>
      <c r="AQ189" s="278" t="s">
        <v>113</v>
      </c>
    </row>
    <row r="190" spans="1:43">
      <c r="A190" s="135" t="s">
        <v>1813</v>
      </c>
      <c r="B190" s="135" t="s">
        <v>1820</v>
      </c>
      <c r="C190" s="135" t="s">
        <v>1814</v>
      </c>
      <c r="D190" s="46">
        <v>11116930</v>
      </c>
      <c r="E190" s="20" t="s">
        <v>400</v>
      </c>
      <c r="F190" s="20" t="s">
        <v>401</v>
      </c>
      <c r="G190" s="24">
        <v>180</v>
      </c>
      <c r="H190" s="21">
        <v>46242</v>
      </c>
      <c r="I190" s="53" t="s">
        <v>1815</v>
      </c>
      <c r="J190" s="24" t="s">
        <v>1816</v>
      </c>
      <c r="K190" s="24">
        <v>181</v>
      </c>
      <c r="L190" s="46">
        <v>12115879</v>
      </c>
      <c r="M190" s="20" t="s">
        <v>405</v>
      </c>
      <c r="N190" s="38">
        <v>0</v>
      </c>
      <c r="O190" s="38">
        <v>1</v>
      </c>
      <c r="P190" s="20" t="s">
        <v>395</v>
      </c>
      <c r="Q190" s="20">
        <v>0</v>
      </c>
      <c r="R190" s="339">
        <v>46240</v>
      </c>
      <c r="S190" s="20">
        <v>0</v>
      </c>
      <c r="T190" s="20">
        <v>0</v>
      </c>
      <c r="U190" s="339">
        <v>46241</v>
      </c>
      <c r="V190" s="339">
        <v>46241</v>
      </c>
      <c r="W190" s="20" t="s">
        <v>57</v>
      </c>
      <c r="X190" s="21"/>
      <c r="Y190" s="19">
        <f>VLOOKUP(F190,[2]New!$B:$G,3,0)*K190/60</f>
        <v>66.36666666666666</v>
      </c>
      <c r="Z190" s="19">
        <f>VLOOKUP(F190,[2]New!$B:$G,4,0)*K190/60</f>
        <v>536.66500000000008</v>
      </c>
      <c r="AA190" s="19">
        <f>VLOOKUP(F190,[2]New!$B:$G,6,0)*K190/60</f>
        <v>358.98333333333335</v>
      </c>
      <c r="AB190" s="44">
        <f>VLOOKUP(A190,'[4]PO CAG (2)'!$A:$L,12,0)</f>
        <v>46255</v>
      </c>
      <c r="AC190" s="22">
        <f>IFERROR(VLOOKUP(F190,[3]Sheet1!$E:$H,4,0),)</f>
        <v>0</v>
      </c>
      <c r="AD190" s="144">
        <v>180</v>
      </c>
      <c r="AE190" s="25" t="s">
        <v>3023</v>
      </c>
      <c r="AF190" s="135" t="s">
        <v>112</v>
      </c>
      <c r="AG190" s="135"/>
      <c r="AH190" s="135"/>
      <c r="AI190" s="23">
        <v>1</v>
      </c>
      <c r="AJ190" s="267" t="s">
        <v>153</v>
      </c>
      <c r="AN190" s="278">
        <v>3</v>
      </c>
      <c r="AO190" s="278">
        <v>3</v>
      </c>
      <c r="AP190" s="278" t="s">
        <v>113</v>
      </c>
      <c r="AQ190" s="278" t="s">
        <v>113</v>
      </c>
    </row>
    <row r="191" spans="1:43">
      <c r="A191" s="135" t="s">
        <v>647</v>
      </c>
      <c r="B191" s="135" t="s">
        <v>1873</v>
      </c>
      <c r="C191" s="135" t="s">
        <v>1870</v>
      </c>
      <c r="D191" s="46">
        <v>11112487</v>
      </c>
      <c r="E191" s="20" t="s">
        <v>1868</v>
      </c>
      <c r="F191" s="20" t="s">
        <v>1869</v>
      </c>
      <c r="G191" s="24">
        <v>65</v>
      </c>
      <c r="H191" s="21">
        <v>46240</v>
      </c>
      <c r="I191" s="371" t="s">
        <v>1871</v>
      </c>
      <c r="J191" s="24" t="s">
        <v>1872</v>
      </c>
      <c r="K191" s="24">
        <v>65</v>
      </c>
      <c r="L191" s="46" t="s">
        <v>215</v>
      </c>
      <c r="M191" s="20" t="s">
        <v>215</v>
      </c>
      <c r="N191" s="38">
        <v>0</v>
      </c>
      <c r="O191" s="38">
        <v>0</v>
      </c>
      <c r="P191" s="20" t="s">
        <v>92</v>
      </c>
      <c r="Q191" s="20">
        <v>0</v>
      </c>
      <c r="R191" s="40">
        <v>46232</v>
      </c>
      <c r="S191" s="20">
        <v>0</v>
      </c>
      <c r="T191" s="20">
        <v>0</v>
      </c>
      <c r="U191" s="40">
        <v>46233</v>
      </c>
      <c r="V191" s="40">
        <v>46233</v>
      </c>
      <c r="W191" s="20" t="s">
        <v>54</v>
      </c>
      <c r="X191" s="21"/>
      <c r="Y191" s="19">
        <f>VLOOKUP(F191,[2]New!$B:$G,3,0)*K191/60</f>
        <v>143</v>
      </c>
      <c r="Z191" s="19">
        <f>VLOOKUP(F191,[2]New!$B:$G,4,0)*K191/60</f>
        <v>171.16666666666666</v>
      </c>
      <c r="AA191" s="19">
        <f>VLOOKUP(F191,[2]New!$B:$G,6,0)*K191/60</f>
        <v>199.33333333333334</v>
      </c>
      <c r="AB191" s="44" t="s">
        <v>92</v>
      </c>
      <c r="AC191" s="22">
        <f>IFERROR(VLOOKUP(F191,[3]Sheet1!$E:$H,4,0),)</f>
        <v>0</v>
      </c>
      <c r="AD191" s="144"/>
      <c r="AE191" s="25" t="s">
        <v>92</v>
      </c>
      <c r="AF191" s="135" t="s">
        <v>112</v>
      </c>
      <c r="AG191" s="135"/>
      <c r="AH191" s="135"/>
    </row>
    <row r="192" spans="1:43">
      <c r="A192" s="135" t="s">
        <v>1989</v>
      </c>
      <c r="B192" s="135" t="s">
        <v>1955</v>
      </c>
      <c r="C192" s="135" t="s">
        <v>1990</v>
      </c>
      <c r="D192" s="46">
        <v>11134401</v>
      </c>
      <c r="E192" s="20" t="s">
        <v>645</v>
      </c>
      <c r="F192" s="20" t="s">
        <v>646</v>
      </c>
      <c r="G192" s="24">
        <v>84</v>
      </c>
      <c r="H192" s="21">
        <v>46242</v>
      </c>
      <c r="I192" s="53" t="s">
        <v>1991</v>
      </c>
      <c r="J192" s="24" t="s">
        <v>1992</v>
      </c>
      <c r="K192" s="24">
        <v>87</v>
      </c>
      <c r="L192" s="46">
        <v>12129626</v>
      </c>
      <c r="M192" s="20" t="s">
        <v>96</v>
      </c>
      <c r="N192" s="38">
        <v>0</v>
      </c>
      <c r="O192" s="38">
        <v>0</v>
      </c>
      <c r="P192" s="20" t="s">
        <v>130</v>
      </c>
      <c r="Q192" s="20">
        <v>0</v>
      </c>
      <c r="R192" s="40">
        <v>46234</v>
      </c>
      <c r="S192" s="38">
        <v>3</v>
      </c>
      <c r="T192" s="38">
        <v>0</v>
      </c>
      <c r="U192" s="40">
        <v>46235</v>
      </c>
      <c r="V192" s="40">
        <v>46235</v>
      </c>
      <c r="W192" s="20" t="s">
        <v>54</v>
      </c>
      <c r="X192" s="21"/>
      <c r="Y192" s="19">
        <f>VLOOKUP(F192,[2]New!$B:$G,3,0)*K192/60</f>
        <v>76.849999999999994</v>
      </c>
      <c r="Z192" s="19">
        <f>VLOOKUP(F192,[2]New!$B:$G,4,0)*K192/60</f>
        <v>195.75</v>
      </c>
      <c r="AA192" s="19">
        <f>VLOOKUP(F192,[2]New!$B:$G,6,0)*K192/60</f>
        <v>205.9</v>
      </c>
      <c r="AB192" s="44">
        <f>VLOOKUP(A192,'[4]PO CAG (2)'!$A:$L,12,0)</f>
        <v>46254</v>
      </c>
      <c r="AC192" s="22">
        <f>IFERROR(VLOOKUP(F192,[3]Sheet1!$E:$H,4,0),)</f>
        <v>0</v>
      </c>
      <c r="AD192" s="144">
        <v>84</v>
      </c>
      <c r="AE192" s="25" t="s">
        <v>3023</v>
      </c>
      <c r="AF192" s="135" t="s">
        <v>199</v>
      </c>
      <c r="AG192" s="135"/>
      <c r="AH192" s="384"/>
      <c r="AI192" s="260">
        <v>3</v>
      </c>
      <c r="AJ192" s="267" t="s">
        <v>152</v>
      </c>
      <c r="AN192" s="278">
        <v>3</v>
      </c>
      <c r="AO192" s="278">
        <v>3</v>
      </c>
      <c r="AP192" s="278">
        <v>3</v>
      </c>
      <c r="AQ192" s="278">
        <v>3</v>
      </c>
    </row>
    <row r="193" spans="1:43">
      <c r="A193" s="135" t="s">
        <v>1993</v>
      </c>
      <c r="B193" s="135" t="s">
        <v>1956</v>
      </c>
      <c r="C193" s="135" t="s">
        <v>1994</v>
      </c>
      <c r="D193" s="46">
        <v>11131257</v>
      </c>
      <c r="E193" s="20" t="s">
        <v>467</v>
      </c>
      <c r="F193" s="20" t="s">
        <v>468</v>
      </c>
      <c r="G193" s="24">
        <v>38</v>
      </c>
      <c r="H193" s="21">
        <v>46242</v>
      </c>
      <c r="I193" s="53" t="s">
        <v>1995</v>
      </c>
      <c r="J193" s="24" t="s">
        <v>1996</v>
      </c>
      <c r="K193" s="24">
        <v>38</v>
      </c>
      <c r="L193" s="46">
        <v>12121044</v>
      </c>
      <c r="M193" s="20" t="s">
        <v>472</v>
      </c>
      <c r="N193" s="38">
        <v>0</v>
      </c>
      <c r="O193" s="38">
        <v>0</v>
      </c>
      <c r="P193" s="20" t="s">
        <v>469</v>
      </c>
      <c r="Q193" s="20">
        <v>0</v>
      </c>
      <c r="R193" s="40">
        <v>46234</v>
      </c>
      <c r="S193" s="38">
        <v>0</v>
      </c>
      <c r="T193" s="38">
        <v>0</v>
      </c>
      <c r="U193" s="40">
        <v>46235</v>
      </c>
      <c r="V193" s="40">
        <v>46235</v>
      </c>
      <c r="W193" s="20" t="s">
        <v>54</v>
      </c>
      <c r="X193" s="21"/>
      <c r="Y193" s="19">
        <f>VLOOKUP(F193,[2]New!$B:$G,3,0)*K193/60</f>
        <v>34.200000000000003</v>
      </c>
      <c r="Z193" s="19">
        <f>VLOOKUP(F193,[2]New!$B:$G,4,0)*K193/60</f>
        <v>85.5</v>
      </c>
      <c r="AA193" s="19">
        <f>VLOOKUP(F193,[2]New!$B:$G,6,0)*K193/60</f>
        <v>84.993333333333325</v>
      </c>
      <c r="AB193" s="44">
        <f>VLOOKUP(A193,'[4]PO CAG (2)'!$A:$L,12,0)</f>
        <v>46251</v>
      </c>
      <c r="AC193" s="22">
        <f>IFERROR(VLOOKUP(F193,[3]Sheet1!$E:$H,4,0),)</f>
        <v>0</v>
      </c>
      <c r="AD193" s="144">
        <v>38</v>
      </c>
      <c r="AE193" s="25" t="s">
        <v>3023</v>
      </c>
      <c r="AF193" s="135" t="s">
        <v>199</v>
      </c>
      <c r="AG193" s="135"/>
      <c r="AH193" s="384"/>
      <c r="AI193" s="260">
        <v>0</v>
      </c>
      <c r="AJ193" s="267" t="s">
        <v>152</v>
      </c>
      <c r="AN193" s="278">
        <v>3</v>
      </c>
      <c r="AO193" s="278">
        <v>3</v>
      </c>
      <c r="AP193" s="278">
        <v>3</v>
      </c>
      <c r="AQ193" s="278">
        <v>3</v>
      </c>
    </row>
    <row r="194" spans="1:43">
      <c r="A194" s="135" t="s">
        <v>1997</v>
      </c>
      <c r="B194" s="135" t="s">
        <v>1957</v>
      </c>
      <c r="C194" s="135" t="s">
        <v>1998</v>
      </c>
      <c r="D194" s="46">
        <v>11131256</v>
      </c>
      <c r="E194" s="20" t="s">
        <v>470</v>
      </c>
      <c r="F194" s="20" t="s">
        <v>471</v>
      </c>
      <c r="G194" s="24">
        <v>477</v>
      </c>
      <c r="H194" s="21">
        <v>46242</v>
      </c>
      <c r="I194" s="53" t="s">
        <v>1999</v>
      </c>
      <c r="J194" s="24" t="s">
        <v>2000</v>
      </c>
      <c r="K194" s="24">
        <v>477</v>
      </c>
      <c r="L194" s="46">
        <v>12121043</v>
      </c>
      <c r="M194" s="20" t="s">
        <v>473</v>
      </c>
      <c r="N194" s="38">
        <v>0</v>
      </c>
      <c r="O194" s="38">
        <v>0</v>
      </c>
      <c r="P194" s="20" t="s">
        <v>469</v>
      </c>
      <c r="Q194" s="20">
        <v>0</v>
      </c>
      <c r="R194" s="40">
        <v>46234</v>
      </c>
      <c r="S194" s="38">
        <v>0</v>
      </c>
      <c r="T194" s="38">
        <v>0</v>
      </c>
      <c r="U194" s="40">
        <v>46235</v>
      </c>
      <c r="V194" s="40">
        <v>46235</v>
      </c>
      <c r="W194" s="20" t="s">
        <v>54</v>
      </c>
      <c r="X194" s="21"/>
      <c r="Y194" s="19">
        <f>VLOOKUP(F194,[2]New!$B:$G,3,0)*K194/60</f>
        <v>429.3</v>
      </c>
      <c r="Z194" s="19">
        <f>VLOOKUP(F194,[2]New!$B:$G,4,0)*K194/60</f>
        <v>1073.25</v>
      </c>
      <c r="AA194" s="19">
        <f>VLOOKUP(F194,[2]New!$B:$G,6,0)*K194/60</f>
        <v>1066.8899999999999</v>
      </c>
      <c r="AB194" s="44">
        <f>VLOOKUP(A194,'[4]PO CAG (2)'!$A:$L,12,0)</f>
        <v>46251</v>
      </c>
      <c r="AC194" s="22">
        <f>IFERROR(VLOOKUP(F194,[3]Sheet1!$E:$H,4,0),)</f>
        <v>0</v>
      </c>
      <c r="AD194" s="144">
        <v>477</v>
      </c>
      <c r="AE194" s="25" t="s">
        <v>3023</v>
      </c>
      <c r="AF194" s="135" t="s">
        <v>199</v>
      </c>
      <c r="AG194" s="135"/>
      <c r="AH194" s="384"/>
      <c r="AI194" s="260">
        <v>0</v>
      </c>
      <c r="AJ194" s="267" t="s">
        <v>152</v>
      </c>
      <c r="AN194" s="278">
        <v>3</v>
      </c>
      <c r="AO194" s="278">
        <v>3</v>
      </c>
      <c r="AP194" s="278">
        <v>3</v>
      </c>
      <c r="AQ194" s="278">
        <v>3</v>
      </c>
    </row>
    <row r="195" spans="1:43">
      <c r="A195" s="135" t="s">
        <v>2001</v>
      </c>
      <c r="B195" s="135" t="s">
        <v>1958</v>
      </c>
      <c r="C195" s="135" t="s">
        <v>2002</v>
      </c>
      <c r="D195" s="46">
        <v>11134343</v>
      </c>
      <c r="E195" s="20" t="s">
        <v>224</v>
      </c>
      <c r="F195" s="20" t="s">
        <v>755</v>
      </c>
      <c r="G195" s="24">
        <v>3</v>
      </c>
      <c r="H195" s="21">
        <v>46242</v>
      </c>
      <c r="I195" s="53" t="s">
        <v>2003</v>
      </c>
      <c r="J195" s="24" t="s">
        <v>2004</v>
      </c>
      <c r="K195" s="24">
        <v>3</v>
      </c>
      <c r="L195" s="46">
        <v>12120504</v>
      </c>
      <c r="M195" s="20" t="s">
        <v>232</v>
      </c>
      <c r="N195" s="38">
        <v>0</v>
      </c>
      <c r="O195" s="38">
        <v>0</v>
      </c>
      <c r="P195" s="20" t="s">
        <v>469</v>
      </c>
      <c r="Q195" s="20">
        <v>0</v>
      </c>
      <c r="R195" s="40">
        <v>46234</v>
      </c>
      <c r="S195" s="38">
        <v>0</v>
      </c>
      <c r="T195" s="38">
        <v>0</v>
      </c>
      <c r="U195" s="40">
        <v>46235</v>
      </c>
      <c r="V195" s="40">
        <v>46235</v>
      </c>
      <c r="W195" s="20" t="s">
        <v>54</v>
      </c>
      <c r="X195" s="21"/>
      <c r="Y195" s="19">
        <f>VLOOKUP(F195,[2]New!$B:$G,3,0)*K195/60</f>
        <v>1.1000000000000001</v>
      </c>
      <c r="Z195" s="19">
        <f>VLOOKUP(F195,[2]New!$B:$G,4,0)*K195/60</f>
        <v>5.8950000000000005</v>
      </c>
      <c r="AA195" s="19">
        <f>VLOOKUP(F195,[2]New!$B:$G,6,0)*K195/60</f>
        <v>5.75</v>
      </c>
      <c r="AB195" s="44">
        <f>VLOOKUP(A195,'[4]PO CAG (2)'!$A:$L,12,0)</f>
        <v>46251</v>
      </c>
      <c r="AC195" s="22">
        <f>IFERROR(VLOOKUP(F195,[3]Sheet1!$E:$H,4,0),)</f>
        <v>0</v>
      </c>
      <c r="AD195" s="144">
        <v>3</v>
      </c>
      <c r="AE195" s="25" t="s">
        <v>3023</v>
      </c>
      <c r="AF195" s="135" t="s">
        <v>199</v>
      </c>
      <c r="AG195" s="135"/>
      <c r="AH195" s="384"/>
      <c r="AI195" s="260">
        <v>0</v>
      </c>
      <c r="AJ195" s="267" t="s">
        <v>152</v>
      </c>
      <c r="AN195" s="278">
        <v>1</v>
      </c>
      <c r="AO195" s="278">
        <v>1</v>
      </c>
      <c r="AP195" s="278">
        <v>1</v>
      </c>
      <c r="AQ195" s="278">
        <v>1</v>
      </c>
    </row>
    <row r="196" spans="1:43">
      <c r="A196" s="135" t="s">
        <v>2005</v>
      </c>
      <c r="B196" s="135" t="s">
        <v>1959</v>
      </c>
      <c r="C196" s="135" t="s">
        <v>2006</v>
      </c>
      <c r="D196" s="46">
        <v>11134346</v>
      </c>
      <c r="E196" s="20" t="s">
        <v>753</v>
      </c>
      <c r="F196" s="20" t="s">
        <v>754</v>
      </c>
      <c r="G196" s="24">
        <v>17</v>
      </c>
      <c r="H196" s="21">
        <v>46242</v>
      </c>
      <c r="I196" s="53" t="s">
        <v>2007</v>
      </c>
      <c r="J196" s="24" t="s">
        <v>2008</v>
      </c>
      <c r="K196" s="24">
        <v>17</v>
      </c>
      <c r="L196" s="46">
        <v>12120507</v>
      </c>
      <c r="M196" s="20" t="s">
        <v>765</v>
      </c>
      <c r="N196" s="38">
        <v>0</v>
      </c>
      <c r="O196" s="38">
        <v>0</v>
      </c>
      <c r="P196" s="20" t="s">
        <v>469</v>
      </c>
      <c r="Q196" s="20">
        <v>0</v>
      </c>
      <c r="R196" s="40">
        <v>46234</v>
      </c>
      <c r="S196" s="38">
        <v>0</v>
      </c>
      <c r="T196" s="38">
        <v>0</v>
      </c>
      <c r="U196" s="40">
        <v>46235</v>
      </c>
      <c r="V196" s="40">
        <v>46235</v>
      </c>
      <c r="W196" s="20" t="s">
        <v>54</v>
      </c>
      <c r="X196" s="21"/>
      <c r="Y196" s="19">
        <f>VLOOKUP(F196,[2]New!$B:$G,3,0)*K196/60</f>
        <v>6.2333333333333334</v>
      </c>
      <c r="Z196" s="19">
        <f>VLOOKUP(F196,[2]New!$B:$G,4,0)*K196/60</f>
        <v>33.405000000000001</v>
      </c>
      <c r="AA196" s="19">
        <f>VLOOKUP(F196,[2]New!$B:$G,6,0)*K196/60</f>
        <v>32.583333333333336</v>
      </c>
      <c r="AB196" s="44">
        <f>VLOOKUP(A196,'[4]PO CAG (2)'!$A:$L,12,0)</f>
        <v>46251</v>
      </c>
      <c r="AC196" s="22">
        <f>IFERROR(VLOOKUP(F196,[3]Sheet1!$E:$H,4,0),)</f>
        <v>0</v>
      </c>
      <c r="AD196" s="144">
        <v>17</v>
      </c>
      <c r="AE196" s="25" t="s">
        <v>3023</v>
      </c>
      <c r="AF196" s="135" t="s">
        <v>199</v>
      </c>
      <c r="AG196" s="135"/>
      <c r="AH196" s="384"/>
      <c r="AI196" s="260">
        <v>0</v>
      </c>
      <c r="AJ196" s="267" t="s">
        <v>152</v>
      </c>
      <c r="AN196" s="278">
        <v>1</v>
      </c>
      <c r="AO196" s="278">
        <v>1</v>
      </c>
      <c r="AP196" s="278">
        <v>1</v>
      </c>
      <c r="AQ196" s="278">
        <v>1</v>
      </c>
    </row>
    <row r="197" spans="1:43">
      <c r="A197" s="135" t="s">
        <v>2009</v>
      </c>
      <c r="B197" s="135" t="s">
        <v>1960</v>
      </c>
      <c r="C197" s="135" t="s">
        <v>2010</v>
      </c>
      <c r="D197" s="46">
        <v>11134347</v>
      </c>
      <c r="E197" s="20" t="s">
        <v>530</v>
      </c>
      <c r="F197" s="20" t="s">
        <v>531</v>
      </c>
      <c r="G197" s="24">
        <v>24</v>
      </c>
      <c r="H197" s="21">
        <v>46242</v>
      </c>
      <c r="I197" s="53" t="s">
        <v>2011</v>
      </c>
      <c r="J197" s="24" t="s">
        <v>2012</v>
      </c>
      <c r="K197" s="24">
        <v>24</v>
      </c>
      <c r="L197" s="46">
        <v>12120508</v>
      </c>
      <c r="M197" s="20" t="s">
        <v>535</v>
      </c>
      <c r="N197" s="38">
        <v>0</v>
      </c>
      <c r="O197" s="38">
        <v>0</v>
      </c>
      <c r="P197" s="20" t="s">
        <v>469</v>
      </c>
      <c r="Q197" s="20">
        <v>0</v>
      </c>
      <c r="R197" s="40">
        <v>46234</v>
      </c>
      <c r="S197" s="38">
        <v>0</v>
      </c>
      <c r="T197" s="38">
        <v>0</v>
      </c>
      <c r="U197" s="40">
        <v>46235</v>
      </c>
      <c r="V197" s="40">
        <v>46235</v>
      </c>
      <c r="W197" s="20" t="s">
        <v>54</v>
      </c>
      <c r="X197" s="21"/>
      <c r="Y197" s="19">
        <f>VLOOKUP(F197,[2]New!$B:$G,3,0)*K197/60</f>
        <v>8.8000000000000007</v>
      </c>
      <c r="Z197" s="19">
        <f>VLOOKUP(F197,[2]New!$B:$G,4,0)*K197/60</f>
        <v>47.160000000000004</v>
      </c>
      <c r="AA197" s="19">
        <f>VLOOKUP(F197,[2]New!$B:$G,6,0)*K197/60</f>
        <v>46</v>
      </c>
      <c r="AB197" s="44">
        <f>VLOOKUP(A197,'[4]PO CAG (2)'!$A:$L,12,0)</f>
        <v>46251</v>
      </c>
      <c r="AC197" s="22">
        <f>IFERROR(VLOOKUP(F197,[3]Sheet1!$E:$H,4,0),)</f>
        <v>0</v>
      </c>
      <c r="AD197" s="144">
        <v>24</v>
      </c>
      <c r="AE197" s="25" t="s">
        <v>3023</v>
      </c>
      <c r="AF197" s="135" t="s">
        <v>199</v>
      </c>
      <c r="AG197" s="135"/>
      <c r="AH197" s="384"/>
      <c r="AI197" s="260">
        <v>0</v>
      </c>
      <c r="AJ197" s="267" t="s">
        <v>152</v>
      </c>
      <c r="AN197" s="278">
        <v>1</v>
      </c>
      <c r="AO197" s="278">
        <v>1</v>
      </c>
      <c r="AP197" s="278">
        <v>1</v>
      </c>
      <c r="AQ197" s="278">
        <v>1</v>
      </c>
    </row>
    <row r="198" spans="1:43">
      <c r="A198" s="135" t="s">
        <v>2013</v>
      </c>
      <c r="B198" s="135" t="s">
        <v>1961</v>
      </c>
      <c r="C198" s="135" t="s">
        <v>2014</v>
      </c>
      <c r="D198" s="46">
        <v>11134365</v>
      </c>
      <c r="E198" s="20" t="s">
        <v>435</v>
      </c>
      <c r="F198" s="20" t="s">
        <v>436</v>
      </c>
      <c r="G198" s="24">
        <v>1</v>
      </c>
      <c r="H198" s="21">
        <v>46242</v>
      </c>
      <c r="I198" s="53" t="s">
        <v>2015</v>
      </c>
      <c r="J198" s="24" t="s">
        <v>2016</v>
      </c>
      <c r="K198" s="24">
        <v>1</v>
      </c>
      <c r="L198" s="46">
        <v>12120528</v>
      </c>
      <c r="M198" s="20" t="s">
        <v>437</v>
      </c>
      <c r="N198" s="38">
        <v>0</v>
      </c>
      <c r="O198" s="38">
        <v>0</v>
      </c>
      <c r="P198" s="20" t="s">
        <v>372</v>
      </c>
      <c r="Q198" s="20">
        <v>0</v>
      </c>
      <c r="R198" s="40">
        <v>46234</v>
      </c>
      <c r="S198" s="38">
        <v>0</v>
      </c>
      <c r="T198" s="38">
        <v>0</v>
      </c>
      <c r="U198" s="40">
        <v>46235</v>
      </c>
      <c r="V198" s="40">
        <v>46235</v>
      </c>
      <c r="W198" s="20" t="s">
        <v>54</v>
      </c>
      <c r="X198" s="21"/>
      <c r="Y198" s="19">
        <v>0</v>
      </c>
      <c r="Z198" s="19">
        <v>0</v>
      </c>
      <c r="AA198" s="19">
        <v>0</v>
      </c>
      <c r="AB198" s="44">
        <f>VLOOKUP(A198,'[4]PO CAG (2)'!$A:$L,12,0)</f>
        <v>46251</v>
      </c>
      <c r="AC198" s="22">
        <f>IFERROR(VLOOKUP(F198,[3]Sheet1!$E:$H,4,0),)</f>
        <v>0</v>
      </c>
      <c r="AD198" s="144">
        <v>1</v>
      </c>
      <c r="AE198" s="25" t="s">
        <v>3023</v>
      </c>
      <c r="AF198" s="135" t="s">
        <v>199</v>
      </c>
      <c r="AG198" s="135"/>
      <c r="AH198" s="384"/>
      <c r="AI198" s="260">
        <v>0</v>
      </c>
      <c r="AJ198" s="267" t="s">
        <v>152</v>
      </c>
      <c r="AN198" s="278">
        <v>1</v>
      </c>
      <c r="AO198" s="278">
        <v>1</v>
      </c>
      <c r="AP198" s="278">
        <v>1</v>
      </c>
      <c r="AQ198" s="278">
        <v>1</v>
      </c>
    </row>
    <row r="199" spans="1:43">
      <c r="A199" s="135" t="s">
        <v>2017</v>
      </c>
      <c r="B199" s="135" t="s">
        <v>1962</v>
      </c>
      <c r="C199" s="135" t="s">
        <v>2018</v>
      </c>
      <c r="D199" s="46">
        <v>11132003</v>
      </c>
      <c r="E199" s="20" t="s">
        <v>221</v>
      </c>
      <c r="F199" s="20" t="s">
        <v>752</v>
      </c>
      <c r="G199" s="24">
        <v>1</v>
      </c>
      <c r="H199" s="21">
        <v>46242</v>
      </c>
      <c r="I199" s="53" t="s">
        <v>2019</v>
      </c>
      <c r="J199" s="24" t="s">
        <v>2020</v>
      </c>
      <c r="K199" s="24">
        <v>1</v>
      </c>
      <c r="L199" s="46">
        <v>12120524</v>
      </c>
      <c r="M199" s="20" t="s">
        <v>229</v>
      </c>
      <c r="N199" s="38">
        <v>0</v>
      </c>
      <c r="O199" s="38">
        <v>0</v>
      </c>
      <c r="P199" s="20" t="s">
        <v>372</v>
      </c>
      <c r="Q199" s="20">
        <v>0</v>
      </c>
      <c r="R199" s="40">
        <v>46234</v>
      </c>
      <c r="S199" s="38">
        <v>0</v>
      </c>
      <c r="T199" s="38">
        <v>0</v>
      </c>
      <c r="U199" s="40">
        <v>46235</v>
      </c>
      <c r="V199" s="40">
        <v>46235</v>
      </c>
      <c r="W199" s="20" t="s">
        <v>54</v>
      </c>
      <c r="X199" s="21"/>
      <c r="Y199" s="19">
        <f>VLOOKUP(F199,[2]New!$B:$G,3,0)*K199/60</f>
        <v>0.66666666666666663</v>
      </c>
      <c r="Z199" s="19">
        <f>VLOOKUP(F199,[2]New!$B:$G,4,0)*K199/60</f>
        <v>2.6666666666666665</v>
      </c>
      <c r="AA199" s="19">
        <f>VLOOKUP(F199,[2]New!$B:$G,6,0)*K199/60</f>
        <v>2.7666666666666666</v>
      </c>
      <c r="AB199" s="44">
        <f>VLOOKUP(A199,'[4]PO CAG (2)'!$A:$L,12,0)</f>
        <v>46251</v>
      </c>
      <c r="AC199" s="22">
        <f>IFERROR(VLOOKUP(F199,[3]Sheet1!$E:$H,4,0),)</f>
        <v>0</v>
      </c>
      <c r="AD199" s="144">
        <v>1</v>
      </c>
      <c r="AE199" s="25" t="s">
        <v>3023</v>
      </c>
      <c r="AF199" s="135" t="s">
        <v>199</v>
      </c>
      <c r="AG199" s="135"/>
      <c r="AH199" s="384"/>
      <c r="AI199" s="260">
        <v>0</v>
      </c>
      <c r="AJ199" s="267" t="s">
        <v>152</v>
      </c>
      <c r="AN199" s="278">
        <v>1</v>
      </c>
      <c r="AO199" s="278">
        <v>1</v>
      </c>
      <c r="AP199" s="278">
        <v>1</v>
      </c>
      <c r="AQ199" s="278">
        <v>1</v>
      </c>
    </row>
    <row r="200" spans="1:43">
      <c r="A200" s="135" t="s">
        <v>2021</v>
      </c>
      <c r="B200" s="135" t="s">
        <v>1963</v>
      </c>
      <c r="C200" s="135" t="s">
        <v>2022</v>
      </c>
      <c r="D200" s="46">
        <v>11134366</v>
      </c>
      <c r="E200" s="20" t="s">
        <v>527</v>
      </c>
      <c r="F200" s="20" t="s">
        <v>528</v>
      </c>
      <c r="G200" s="24">
        <v>2</v>
      </c>
      <c r="H200" s="21">
        <v>46242</v>
      </c>
      <c r="I200" s="53" t="s">
        <v>2023</v>
      </c>
      <c r="J200" s="24" t="s">
        <v>2024</v>
      </c>
      <c r="K200" s="24">
        <v>2</v>
      </c>
      <c r="L200" s="46">
        <v>12120529</v>
      </c>
      <c r="M200" s="20" t="s">
        <v>534</v>
      </c>
      <c r="N200" s="38">
        <v>0</v>
      </c>
      <c r="O200" s="38">
        <v>0</v>
      </c>
      <c r="P200" s="20" t="s">
        <v>372</v>
      </c>
      <c r="Q200" s="20">
        <v>0</v>
      </c>
      <c r="R200" s="40">
        <v>46234</v>
      </c>
      <c r="S200" s="38">
        <v>0</v>
      </c>
      <c r="T200" s="38">
        <v>0</v>
      </c>
      <c r="U200" s="40">
        <v>46235</v>
      </c>
      <c r="V200" s="40">
        <v>46235</v>
      </c>
      <c r="W200" s="20" t="s">
        <v>54</v>
      </c>
      <c r="X200" s="21"/>
      <c r="Y200" s="19">
        <f>VLOOKUP(F200,[2]New!$B:$G,3,0)*K200/60</f>
        <v>1.3333333333333333</v>
      </c>
      <c r="Z200" s="19">
        <f>VLOOKUP(F200,[2]New!$B:$G,4,0)*K200/60</f>
        <v>5.333333333333333</v>
      </c>
      <c r="AA200" s="19">
        <f>VLOOKUP(F200,[2]New!$B:$G,6,0)*K200/60</f>
        <v>5.5333333333333332</v>
      </c>
      <c r="AB200" s="44">
        <f>VLOOKUP(A200,'[4]PO CAG (2)'!$A:$L,12,0)</f>
        <v>46251</v>
      </c>
      <c r="AC200" s="22">
        <f>IFERROR(VLOOKUP(F200,[3]Sheet1!$E:$H,4,0),)</f>
        <v>0</v>
      </c>
      <c r="AD200" s="144">
        <v>2</v>
      </c>
      <c r="AE200" s="25" t="s">
        <v>3023</v>
      </c>
      <c r="AF200" s="135" t="s">
        <v>199</v>
      </c>
      <c r="AG200" s="135"/>
      <c r="AH200" s="384"/>
      <c r="AI200" s="260">
        <v>0</v>
      </c>
      <c r="AJ200" s="267" t="s">
        <v>152</v>
      </c>
      <c r="AN200" s="278">
        <v>1</v>
      </c>
      <c r="AO200" s="278">
        <v>1</v>
      </c>
      <c r="AP200" s="278">
        <v>1</v>
      </c>
      <c r="AQ200" s="278">
        <v>1</v>
      </c>
    </row>
    <row r="201" spans="1:43">
      <c r="A201" s="135" t="s">
        <v>2025</v>
      </c>
      <c r="B201" s="135" t="s">
        <v>1964</v>
      </c>
      <c r="C201" s="135" t="s">
        <v>2026</v>
      </c>
      <c r="D201" s="46">
        <v>11134364</v>
      </c>
      <c r="E201" s="20" t="s">
        <v>523</v>
      </c>
      <c r="F201" s="20" t="s">
        <v>524</v>
      </c>
      <c r="G201" s="24">
        <v>3</v>
      </c>
      <c r="H201" s="21">
        <v>46242</v>
      </c>
      <c r="I201" s="53" t="s">
        <v>2027</v>
      </c>
      <c r="J201" s="24" t="s">
        <v>2028</v>
      </c>
      <c r="K201" s="24">
        <v>3</v>
      </c>
      <c r="L201" s="46">
        <v>12120526</v>
      </c>
      <c r="M201" s="20" t="s">
        <v>533</v>
      </c>
      <c r="N201" s="38">
        <v>0</v>
      </c>
      <c r="O201" s="38">
        <v>0</v>
      </c>
      <c r="P201" s="20" t="s">
        <v>372</v>
      </c>
      <c r="Q201" s="20">
        <v>0</v>
      </c>
      <c r="R201" s="40">
        <v>46234</v>
      </c>
      <c r="S201" s="38">
        <v>0</v>
      </c>
      <c r="T201" s="38">
        <v>0</v>
      </c>
      <c r="U201" s="40">
        <v>46235</v>
      </c>
      <c r="V201" s="40">
        <v>46235</v>
      </c>
      <c r="W201" s="20" t="s">
        <v>54</v>
      </c>
      <c r="X201" s="21"/>
      <c r="Y201" s="19">
        <f>VLOOKUP(F201,[2]New!$B:$G,3,0)*K201/60</f>
        <v>1.1000000000000001</v>
      </c>
      <c r="Z201" s="19">
        <f>VLOOKUP(F201,[2]New!$B:$G,4,0)*K201/60</f>
        <v>5.8950000000000005</v>
      </c>
      <c r="AA201" s="19">
        <f>VLOOKUP(F201,[2]New!$B:$G,6,0)*K201/60</f>
        <v>5.75</v>
      </c>
      <c r="AB201" s="44">
        <f>VLOOKUP(A201,'[4]PO CAG (2)'!$A:$L,12,0)</f>
        <v>46251</v>
      </c>
      <c r="AC201" s="22">
        <f>IFERROR(VLOOKUP(F201,[3]Sheet1!$E:$H,4,0),)</f>
        <v>0</v>
      </c>
      <c r="AD201" s="144">
        <v>3</v>
      </c>
      <c r="AE201" s="25" t="s">
        <v>3023</v>
      </c>
      <c r="AF201" s="135" t="s">
        <v>199</v>
      </c>
      <c r="AG201" s="135"/>
      <c r="AH201" s="384"/>
      <c r="AI201" s="260">
        <v>0</v>
      </c>
      <c r="AJ201" s="267" t="s">
        <v>152</v>
      </c>
      <c r="AN201" s="278">
        <v>1</v>
      </c>
      <c r="AO201" s="278">
        <v>1</v>
      </c>
      <c r="AP201" s="278">
        <v>1</v>
      </c>
      <c r="AQ201" s="278">
        <v>1</v>
      </c>
    </row>
    <row r="202" spans="1:43">
      <c r="A202" s="135" t="s">
        <v>2029</v>
      </c>
      <c r="B202" s="135" t="s">
        <v>1965</v>
      </c>
      <c r="C202" s="135" t="s">
        <v>2030</v>
      </c>
      <c r="D202" s="46">
        <v>11134360</v>
      </c>
      <c r="E202" s="20" t="s">
        <v>748</v>
      </c>
      <c r="F202" s="20" t="s">
        <v>749</v>
      </c>
      <c r="G202" s="24">
        <v>18</v>
      </c>
      <c r="H202" s="21">
        <v>46242</v>
      </c>
      <c r="I202" s="53" t="s">
        <v>2031</v>
      </c>
      <c r="J202" s="24" t="s">
        <v>2032</v>
      </c>
      <c r="K202" s="24">
        <v>18</v>
      </c>
      <c r="L202" s="46">
        <v>12120522</v>
      </c>
      <c r="M202" s="20" t="s">
        <v>230</v>
      </c>
      <c r="N202" s="38">
        <v>0</v>
      </c>
      <c r="O202" s="38">
        <v>0</v>
      </c>
      <c r="P202" s="20" t="s">
        <v>372</v>
      </c>
      <c r="Q202" s="20">
        <v>0</v>
      </c>
      <c r="R202" s="40">
        <v>46234</v>
      </c>
      <c r="S202" s="38">
        <v>0</v>
      </c>
      <c r="T202" s="38">
        <v>0</v>
      </c>
      <c r="U202" s="40">
        <v>46235</v>
      </c>
      <c r="V202" s="40">
        <v>46235</v>
      </c>
      <c r="W202" s="20" t="s">
        <v>54</v>
      </c>
      <c r="X202" s="21"/>
      <c r="Y202" s="19">
        <f>VLOOKUP(F202,[2]New!$B:$G,3,0)*K202/60</f>
        <v>12</v>
      </c>
      <c r="Z202" s="19">
        <f>VLOOKUP(F202,[2]New!$B:$G,4,0)*K202/60</f>
        <v>48</v>
      </c>
      <c r="AA202" s="19">
        <f>VLOOKUP(F202,[2]New!$B:$G,6,0)*K202/60</f>
        <v>49.8</v>
      </c>
      <c r="AB202" s="44">
        <f>VLOOKUP(A202,'[4]PO CAG (2)'!$A:$L,12,0)</f>
        <v>46251</v>
      </c>
      <c r="AC202" s="22">
        <f>IFERROR(VLOOKUP(F202,[3]Sheet1!$E:$H,4,0),)</f>
        <v>0</v>
      </c>
      <c r="AD202" s="144">
        <v>18</v>
      </c>
      <c r="AE202" s="25" t="s">
        <v>3023</v>
      </c>
      <c r="AF202" s="135" t="s">
        <v>199</v>
      </c>
      <c r="AG202" s="135"/>
      <c r="AH202" s="384"/>
      <c r="AI202" s="260">
        <v>0</v>
      </c>
      <c r="AJ202" s="267" t="s">
        <v>152</v>
      </c>
      <c r="AN202" s="278">
        <v>1</v>
      </c>
      <c r="AO202" s="278">
        <v>1</v>
      </c>
      <c r="AP202" s="278">
        <v>1</v>
      </c>
      <c r="AQ202" s="278">
        <v>1</v>
      </c>
    </row>
    <row r="203" spans="1:43">
      <c r="A203" s="135" t="s">
        <v>2033</v>
      </c>
      <c r="B203" s="135" t="s">
        <v>1966</v>
      </c>
      <c r="C203" s="135" t="s">
        <v>2034</v>
      </c>
      <c r="D203" s="46">
        <v>11125143</v>
      </c>
      <c r="E203" s="20" t="s">
        <v>746</v>
      </c>
      <c r="F203" s="20" t="s">
        <v>747</v>
      </c>
      <c r="G203" s="24">
        <v>2</v>
      </c>
      <c r="H203" s="21">
        <v>46242</v>
      </c>
      <c r="I203" s="53" t="s">
        <v>2035</v>
      </c>
      <c r="J203" s="24" t="s">
        <v>2036</v>
      </c>
      <c r="K203" s="24">
        <v>2</v>
      </c>
      <c r="L203" s="46">
        <v>12120565</v>
      </c>
      <c r="M203" s="20" t="s">
        <v>764</v>
      </c>
      <c r="N203" s="38">
        <v>0</v>
      </c>
      <c r="O203" s="38">
        <v>0</v>
      </c>
      <c r="P203" s="20" t="s">
        <v>469</v>
      </c>
      <c r="Q203" s="20">
        <v>0</v>
      </c>
      <c r="R203" s="40">
        <v>46234</v>
      </c>
      <c r="S203" s="38">
        <v>0</v>
      </c>
      <c r="T203" s="38">
        <v>0</v>
      </c>
      <c r="U203" s="40">
        <v>46235</v>
      </c>
      <c r="V203" s="40">
        <v>46235</v>
      </c>
      <c r="W203" s="20" t="s">
        <v>54</v>
      </c>
      <c r="X203" s="21"/>
      <c r="Y203" s="19">
        <f>VLOOKUP(F203,[2]New!$B:$G,3,0)*K203/60</f>
        <v>1.25</v>
      </c>
      <c r="Z203" s="19">
        <f>VLOOKUP(F203,[2]New!$B:$G,4,0)*K203/60</f>
        <v>2.15</v>
      </c>
      <c r="AA203" s="19">
        <f>VLOOKUP(F203,[2]New!$B:$G,6,0)*K203/60</f>
        <v>5.5333333333333332</v>
      </c>
      <c r="AB203" s="44">
        <f>VLOOKUP(A203,'[4]PO CAG (2)'!$A:$L,12,0)</f>
        <v>46251</v>
      </c>
      <c r="AC203" s="22">
        <f>IFERROR(VLOOKUP(F203,[3]Sheet1!$E:$H,4,0),)</f>
        <v>0</v>
      </c>
      <c r="AD203" s="144">
        <v>2</v>
      </c>
      <c r="AE203" s="25" t="s">
        <v>3023</v>
      </c>
      <c r="AF203" s="135" t="s">
        <v>199</v>
      </c>
      <c r="AG203" s="135"/>
      <c r="AH203" s="384"/>
      <c r="AI203" s="260">
        <v>0</v>
      </c>
      <c r="AJ203" s="267" t="s">
        <v>152</v>
      </c>
      <c r="AN203" s="278">
        <v>1</v>
      </c>
      <c r="AO203" s="278">
        <v>1</v>
      </c>
      <c r="AP203" s="278">
        <v>1</v>
      </c>
      <c r="AQ203" s="278">
        <v>1</v>
      </c>
    </row>
    <row r="204" spans="1:43">
      <c r="A204" s="135" t="s">
        <v>2037</v>
      </c>
      <c r="B204" s="135" t="s">
        <v>1967</v>
      </c>
      <c r="C204" s="135" t="s">
        <v>2038</v>
      </c>
      <c r="D204" s="46">
        <v>11125153</v>
      </c>
      <c r="E204" s="20" t="s">
        <v>219</v>
      </c>
      <c r="F204" s="20" t="s">
        <v>519</v>
      </c>
      <c r="G204" s="24">
        <v>8</v>
      </c>
      <c r="H204" s="21">
        <v>46242</v>
      </c>
      <c r="I204" s="53" t="s">
        <v>2039</v>
      </c>
      <c r="J204" s="24" t="s">
        <v>2040</v>
      </c>
      <c r="K204" s="24">
        <v>8</v>
      </c>
      <c r="L204" s="46">
        <v>12120612</v>
      </c>
      <c r="M204" s="20" t="s">
        <v>227</v>
      </c>
      <c r="N204" s="38">
        <v>0</v>
      </c>
      <c r="O204" s="38">
        <v>0</v>
      </c>
      <c r="P204" s="20" t="s">
        <v>469</v>
      </c>
      <c r="Q204" s="20">
        <v>0</v>
      </c>
      <c r="R204" s="40">
        <v>46234</v>
      </c>
      <c r="S204" s="38">
        <v>0</v>
      </c>
      <c r="T204" s="38">
        <v>0</v>
      </c>
      <c r="U204" s="40">
        <v>46235</v>
      </c>
      <c r="V204" s="40">
        <v>46235</v>
      </c>
      <c r="W204" s="20" t="s">
        <v>54</v>
      </c>
      <c r="X204" s="21"/>
      <c r="Y204" s="19">
        <f>VLOOKUP(F204,[2]New!$B:$G,3,0)*K204/60</f>
        <v>2.9333333333333331</v>
      </c>
      <c r="Z204" s="19">
        <f>VLOOKUP(F204,[2]New!$B:$G,4,0)*K204/60</f>
        <v>15.72</v>
      </c>
      <c r="AA204" s="19">
        <f>VLOOKUP(F204,[2]New!$B:$G,6,0)*K204/60</f>
        <v>15.333333333333334</v>
      </c>
      <c r="AB204" s="44">
        <f>VLOOKUP(A204,'[4]PO CAG (2)'!$A:$L,12,0)</f>
        <v>46251</v>
      </c>
      <c r="AC204" s="22">
        <f>IFERROR(VLOOKUP(F204,[3]Sheet1!$E:$H,4,0),)</f>
        <v>0</v>
      </c>
      <c r="AD204" s="144">
        <v>8</v>
      </c>
      <c r="AE204" s="25" t="s">
        <v>3023</v>
      </c>
      <c r="AF204" s="135" t="s">
        <v>199</v>
      </c>
      <c r="AG204" s="135"/>
      <c r="AH204" s="384"/>
      <c r="AI204" s="260">
        <v>0</v>
      </c>
      <c r="AJ204" s="267" t="s">
        <v>152</v>
      </c>
      <c r="AN204" s="278">
        <v>1</v>
      </c>
      <c r="AO204" s="278">
        <v>1</v>
      </c>
      <c r="AP204" s="278">
        <v>1</v>
      </c>
      <c r="AQ204" s="278">
        <v>1</v>
      </c>
    </row>
    <row r="205" spans="1:43">
      <c r="A205" s="135" t="s">
        <v>2041</v>
      </c>
      <c r="B205" s="135" t="s">
        <v>1968</v>
      </c>
      <c r="C205" s="135" t="s">
        <v>2042</v>
      </c>
      <c r="D205" s="46">
        <v>11125141</v>
      </c>
      <c r="E205" s="20" t="s">
        <v>743</v>
      </c>
      <c r="F205" s="20" t="s">
        <v>744</v>
      </c>
      <c r="G205" s="24">
        <v>10</v>
      </c>
      <c r="H205" s="21">
        <v>46242</v>
      </c>
      <c r="I205" s="53" t="s">
        <v>2043</v>
      </c>
      <c r="J205" s="24" t="s">
        <v>2044</v>
      </c>
      <c r="K205" s="24">
        <v>10</v>
      </c>
      <c r="L205" s="46">
        <v>12120563</v>
      </c>
      <c r="M205" s="20" t="s">
        <v>763</v>
      </c>
      <c r="N205" s="38">
        <v>0</v>
      </c>
      <c r="O205" s="38">
        <v>0</v>
      </c>
      <c r="P205" s="20" t="s">
        <v>469</v>
      </c>
      <c r="Q205" s="20">
        <v>0</v>
      </c>
      <c r="R205" s="40">
        <v>46234</v>
      </c>
      <c r="S205" s="38">
        <v>0</v>
      </c>
      <c r="T205" s="38">
        <v>0</v>
      </c>
      <c r="U205" s="40">
        <v>46235</v>
      </c>
      <c r="V205" s="40">
        <v>46235</v>
      </c>
      <c r="W205" s="20" t="s">
        <v>54</v>
      </c>
      <c r="X205" s="21"/>
      <c r="Y205" s="19">
        <f>VLOOKUP(F205,[2]New!$B:$G,3,0)*K205/60</f>
        <v>9.3333333333333339</v>
      </c>
      <c r="Z205" s="19">
        <f>VLOOKUP(F205,[2]New!$B:$G,4,0)*K205/60</f>
        <v>39</v>
      </c>
      <c r="AA205" s="19">
        <f>VLOOKUP(F205,[2]New!$B:$G,6,0)*K205/60</f>
        <v>48.166666666666664</v>
      </c>
      <c r="AB205" s="44">
        <f>VLOOKUP(A205,'[4]PO CAG (2)'!$A:$L,12,0)</f>
        <v>46251</v>
      </c>
      <c r="AC205" s="22">
        <f>IFERROR(VLOOKUP(F205,[3]Sheet1!$E:$H,4,0),)</f>
        <v>0</v>
      </c>
      <c r="AD205" s="144">
        <v>10</v>
      </c>
      <c r="AE205" s="25" t="s">
        <v>3023</v>
      </c>
      <c r="AF205" s="135" t="s">
        <v>199</v>
      </c>
      <c r="AG205" s="135"/>
      <c r="AH205" s="384"/>
      <c r="AI205" s="260">
        <v>0</v>
      </c>
      <c r="AJ205" s="267" t="s">
        <v>152</v>
      </c>
      <c r="AN205" s="278">
        <v>1</v>
      </c>
      <c r="AO205" s="278">
        <v>1</v>
      </c>
      <c r="AP205" s="278">
        <v>1</v>
      </c>
      <c r="AQ205" s="278">
        <v>1</v>
      </c>
    </row>
    <row r="206" spans="1:43">
      <c r="A206" s="135" t="s">
        <v>2045</v>
      </c>
      <c r="B206" s="135" t="s">
        <v>1969</v>
      </c>
      <c r="C206" s="135" t="s">
        <v>2046</v>
      </c>
      <c r="D206" s="46">
        <v>11125144</v>
      </c>
      <c r="E206" s="20" t="s">
        <v>520</v>
      </c>
      <c r="F206" s="20" t="s">
        <v>521</v>
      </c>
      <c r="G206" s="24">
        <v>11</v>
      </c>
      <c r="H206" s="21">
        <v>46242</v>
      </c>
      <c r="I206" s="53" t="s">
        <v>2047</v>
      </c>
      <c r="J206" s="24" t="s">
        <v>2048</v>
      </c>
      <c r="K206" s="24">
        <v>11</v>
      </c>
      <c r="L206" s="46">
        <v>12120566</v>
      </c>
      <c r="M206" s="20" t="s">
        <v>532</v>
      </c>
      <c r="N206" s="38">
        <v>0</v>
      </c>
      <c r="O206" s="38">
        <v>0</v>
      </c>
      <c r="P206" s="20" t="s">
        <v>469</v>
      </c>
      <c r="Q206" s="20">
        <v>0</v>
      </c>
      <c r="R206" s="40">
        <v>46234</v>
      </c>
      <c r="S206" s="38">
        <v>0</v>
      </c>
      <c r="T206" s="38">
        <v>0</v>
      </c>
      <c r="U206" s="40">
        <v>46235</v>
      </c>
      <c r="V206" s="40">
        <v>46235</v>
      </c>
      <c r="W206" s="20" t="s">
        <v>54</v>
      </c>
      <c r="X206" s="21"/>
      <c r="Y206" s="19">
        <f>VLOOKUP(F206,[2]New!$B:$G,3,0)*K206/60</f>
        <v>10.266666666666667</v>
      </c>
      <c r="Z206" s="19">
        <f>VLOOKUP(F206,[2]New!$B:$G,4,0)*K206/60</f>
        <v>42.9</v>
      </c>
      <c r="AA206" s="19">
        <f>VLOOKUP(F206,[2]New!$B:$G,6,0)*K206/60</f>
        <v>52.983333333333334</v>
      </c>
      <c r="AB206" s="44">
        <f>VLOOKUP(A206,'[4]PO CAG (2)'!$A:$L,12,0)</f>
        <v>46251</v>
      </c>
      <c r="AC206" s="22">
        <f>IFERROR(VLOOKUP(F206,[3]Sheet1!$E:$H,4,0),)</f>
        <v>0</v>
      </c>
      <c r="AD206" s="144">
        <v>11</v>
      </c>
      <c r="AE206" s="25" t="s">
        <v>3023</v>
      </c>
      <c r="AF206" s="135" t="s">
        <v>199</v>
      </c>
      <c r="AG206" s="135"/>
      <c r="AH206" s="384"/>
      <c r="AI206" s="260">
        <v>0</v>
      </c>
      <c r="AJ206" s="267" t="s">
        <v>152</v>
      </c>
      <c r="AN206" s="278">
        <v>1</v>
      </c>
      <c r="AO206" s="278">
        <v>1</v>
      </c>
      <c r="AP206" s="278">
        <v>1</v>
      </c>
      <c r="AQ206" s="278">
        <v>1</v>
      </c>
    </row>
    <row r="207" spans="1:43">
      <c r="A207" s="135" t="s">
        <v>2049</v>
      </c>
      <c r="B207" s="135" t="s">
        <v>1970</v>
      </c>
      <c r="C207" s="135" t="s">
        <v>2050</v>
      </c>
      <c r="D207" s="46">
        <v>11125142</v>
      </c>
      <c r="E207" s="20" t="s">
        <v>218</v>
      </c>
      <c r="F207" s="20" t="s">
        <v>745</v>
      </c>
      <c r="G207" s="24">
        <v>14</v>
      </c>
      <c r="H207" s="21">
        <v>46242</v>
      </c>
      <c r="I207" s="53" t="s">
        <v>2051</v>
      </c>
      <c r="J207" s="24" t="s">
        <v>2052</v>
      </c>
      <c r="K207" s="24">
        <v>14</v>
      </c>
      <c r="L207" s="46">
        <v>12120564</v>
      </c>
      <c r="M207" s="20" t="s">
        <v>226</v>
      </c>
      <c r="N207" s="38">
        <v>0</v>
      </c>
      <c r="O207" s="38">
        <v>0</v>
      </c>
      <c r="P207" s="20" t="s">
        <v>469</v>
      </c>
      <c r="Q207" s="20">
        <v>0</v>
      </c>
      <c r="R207" s="40">
        <v>46234</v>
      </c>
      <c r="S207" s="38">
        <v>0</v>
      </c>
      <c r="T207" s="38">
        <v>0</v>
      </c>
      <c r="U207" s="40">
        <v>46235</v>
      </c>
      <c r="V207" s="40">
        <v>46235</v>
      </c>
      <c r="W207" s="20" t="s">
        <v>54</v>
      </c>
      <c r="X207" s="21"/>
      <c r="Y207" s="19">
        <f>VLOOKUP(F207,[2]New!$B:$G,3,0)*K207/60</f>
        <v>13.066666666666666</v>
      </c>
      <c r="Z207" s="19">
        <f>VLOOKUP(F207,[2]New!$B:$G,4,0)*K207/60</f>
        <v>54.6</v>
      </c>
      <c r="AA207" s="19">
        <f>VLOOKUP(F207,[2]New!$B:$G,6,0)*K207/60</f>
        <v>67.433333333333337</v>
      </c>
      <c r="AB207" s="44">
        <f>VLOOKUP(A207,'[4]PO CAG (2)'!$A:$L,12,0)</f>
        <v>46251</v>
      </c>
      <c r="AC207" s="22">
        <f>IFERROR(VLOOKUP(F207,[3]Sheet1!$E:$H,4,0),)</f>
        <v>0</v>
      </c>
      <c r="AD207" s="144">
        <v>14</v>
      </c>
      <c r="AE207" s="25" t="s">
        <v>3023</v>
      </c>
      <c r="AF207" s="135" t="s">
        <v>199</v>
      </c>
      <c r="AG207" s="135"/>
      <c r="AH207" s="384"/>
      <c r="AI207" s="260">
        <v>0</v>
      </c>
      <c r="AJ207" s="267" t="s">
        <v>152</v>
      </c>
      <c r="AN207" s="278">
        <v>1</v>
      </c>
      <c r="AO207" s="278">
        <v>1</v>
      </c>
      <c r="AP207" s="278">
        <v>1</v>
      </c>
      <c r="AQ207" s="278">
        <v>1</v>
      </c>
    </row>
    <row r="208" spans="1:43">
      <c r="A208" s="135" t="s">
        <v>2053</v>
      </c>
      <c r="B208" s="135" t="s">
        <v>1971</v>
      </c>
      <c r="C208" s="135" t="s">
        <v>2054</v>
      </c>
      <c r="D208" s="46">
        <v>11131258</v>
      </c>
      <c r="E208" s="20" t="s">
        <v>504</v>
      </c>
      <c r="F208" s="20" t="s">
        <v>505</v>
      </c>
      <c r="G208" s="24">
        <v>86</v>
      </c>
      <c r="H208" s="21">
        <v>46242</v>
      </c>
      <c r="I208" s="53" t="s">
        <v>2055</v>
      </c>
      <c r="J208" s="24" t="s">
        <v>2056</v>
      </c>
      <c r="K208" s="24">
        <v>86</v>
      </c>
      <c r="L208" s="46">
        <v>12120624</v>
      </c>
      <c r="M208" s="20" t="s">
        <v>509</v>
      </c>
      <c r="N208" s="38">
        <v>0</v>
      </c>
      <c r="O208" s="38">
        <v>0</v>
      </c>
      <c r="P208" s="20" t="s">
        <v>469</v>
      </c>
      <c r="Q208" s="20">
        <v>0</v>
      </c>
      <c r="R208" s="40">
        <v>46234</v>
      </c>
      <c r="S208" s="38">
        <v>0</v>
      </c>
      <c r="T208" s="38">
        <v>0</v>
      </c>
      <c r="U208" s="40">
        <v>46235</v>
      </c>
      <c r="V208" s="40">
        <v>46235</v>
      </c>
      <c r="W208" s="20" t="s">
        <v>54</v>
      </c>
      <c r="X208" s="21"/>
      <c r="Y208" s="19">
        <f>VLOOKUP(F208,[2]New!$B:$G,3,0)*K208/60</f>
        <v>77.400000000000006</v>
      </c>
      <c r="Z208" s="19">
        <f>VLOOKUP(F208,[2]New!$B:$G,4,0)*K208/60</f>
        <v>193.5</v>
      </c>
      <c r="AA208" s="19">
        <f>VLOOKUP(F208,[2]New!$B:$G,6,0)*K208/60</f>
        <v>246.53333333333333</v>
      </c>
      <c r="AB208" s="44">
        <f>VLOOKUP(A208,'[4]PO CAG (2)'!$A:$L,12,0)</f>
        <v>46251</v>
      </c>
      <c r="AC208" s="22">
        <f>IFERROR(VLOOKUP(F208,[3]Sheet1!$E:$H,4,0),)</f>
        <v>0</v>
      </c>
      <c r="AD208" s="144">
        <v>86</v>
      </c>
      <c r="AE208" s="25" t="s">
        <v>3023</v>
      </c>
      <c r="AF208" s="135" t="s">
        <v>112</v>
      </c>
      <c r="AG208" s="135"/>
      <c r="AH208" s="384"/>
      <c r="AI208" s="260">
        <v>0</v>
      </c>
      <c r="AJ208" s="267" t="s">
        <v>187</v>
      </c>
      <c r="AN208" s="278">
        <v>2</v>
      </c>
      <c r="AO208" s="278">
        <v>2</v>
      </c>
      <c r="AP208" s="278" t="s">
        <v>113</v>
      </c>
      <c r="AQ208" s="278" t="s">
        <v>113</v>
      </c>
    </row>
    <row r="209" spans="1:43">
      <c r="A209" s="135" t="s">
        <v>2057</v>
      </c>
      <c r="B209" s="135" t="s">
        <v>1972</v>
      </c>
      <c r="C209" s="135" t="s">
        <v>2058</v>
      </c>
      <c r="D209" s="46">
        <v>11127835</v>
      </c>
      <c r="E209" s="20" t="s">
        <v>502</v>
      </c>
      <c r="F209" s="20" t="s">
        <v>503</v>
      </c>
      <c r="G209" s="24">
        <v>71</v>
      </c>
      <c r="H209" s="21">
        <v>46242</v>
      </c>
      <c r="I209" s="53" t="s">
        <v>2059</v>
      </c>
      <c r="J209" s="24" t="s">
        <v>2060</v>
      </c>
      <c r="K209" s="24">
        <v>71</v>
      </c>
      <c r="L209" s="46">
        <v>12120581</v>
      </c>
      <c r="M209" s="20" t="s">
        <v>508</v>
      </c>
      <c r="N209" s="38">
        <v>0</v>
      </c>
      <c r="O209" s="38">
        <v>0</v>
      </c>
      <c r="P209" s="20" t="s">
        <v>469</v>
      </c>
      <c r="Q209" s="20">
        <v>0</v>
      </c>
      <c r="R209" s="40">
        <v>46234</v>
      </c>
      <c r="S209" s="38">
        <v>0</v>
      </c>
      <c r="T209" s="38">
        <v>0</v>
      </c>
      <c r="U209" s="40">
        <v>46235</v>
      </c>
      <c r="V209" s="40">
        <v>46235</v>
      </c>
      <c r="W209" s="20" t="s">
        <v>54</v>
      </c>
      <c r="X209" s="21"/>
      <c r="Y209" s="19">
        <f>VLOOKUP(F209,[2]New!$B:$G,3,0)*K209/60</f>
        <v>26.033333333333335</v>
      </c>
      <c r="Z209" s="19">
        <f>VLOOKUP(F209,[2]New!$B:$G,4,0)*K209/60</f>
        <v>139.51499999999999</v>
      </c>
      <c r="AA209" s="19">
        <f>VLOOKUP(F209,[2]New!$B:$G,6,0)*K209/60</f>
        <v>136.08333333333334</v>
      </c>
      <c r="AB209" s="44">
        <f>VLOOKUP(A209,'[4]PO CAG (2)'!$A:$L,12,0)</f>
        <v>46251</v>
      </c>
      <c r="AC209" s="22">
        <f>IFERROR(VLOOKUP(F209,[3]Sheet1!$E:$H,4,0),)</f>
        <v>0</v>
      </c>
      <c r="AD209" s="144">
        <v>71</v>
      </c>
      <c r="AE209" s="25" t="s">
        <v>3023</v>
      </c>
      <c r="AF209" s="135" t="s">
        <v>112</v>
      </c>
      <c r="AG209" s="135"/>
      <c r="AH209" s="384"/>
      <c r="AI209" s="260">
        <v>0</v>
      </c>
      <c r="AJ209" s="267" t="s">
        <v>187</v>
      </c>
      <c r="AN209" s="278">
        <v>1</v>
      </c>
      <c r="AO209" s="278">
        <v>1</v>
      </c>
      <c r="AP209" s="278">
        <v>1</v>
      </c>
      <c r="AQ209" s="278">
        <v>1</v>
      </c>
    </row>
    <row r="210" spans="1:43">
      <c r="A210" s="135" t="s">
        <v>2061</v>
      </c>
      <c r="B210" s="135" t="s">
        <v>1973</v>
      </c>
      <c r="C210" s="135" t="s">
        <v>2062</v>
      </c>
      <c r="D210" s="46">
        <v>11122087</v>
      </c>
      <c r="E210" s="20" t="s">
        <v>196</v>
      </c>
      <c r="F210" s="20" t="s">
        <v>197</v>
      </c>
      <c r="G210" s="24">
        <v>301</v>
      </c>
      <c r="H210" s="21">
        <v>46242</v>
      </c>
      <c r="I210" s="53" t="s">
        <v>2063</v>
      </c>
      <c r="J210" s="24" t="s">
        <v>2064</v>
      </c>
      <c r="K210" s="24">
        <v>301</v>
      </c>
      <c r="L210" s="46">
        <v>12129626</v>
      </c>
      <c r="M210" s="20" t="s">
        <v>96</v>
      </c>
      <c r="N210" s="38">
        <v>0</v>
      </c>
      <c r="O210" s="38">
        <v>0</v>
      </c>
      <c r="P210" s="20" t="s">
        <v>94</v>
      </c>
      <c r="Q210" s="20">
        <v>0</v>
      </c>
      <c r="R210" s="40">
        <v>46234</v>
      </c>
      <c r="S210" s="38">
        <v>0</v>
      </c>
      <c r="T210" s="38">
        <v>0</v>
      </c>
      <c r="U210" s="40">
        <v>46235</v>
      </c>
      <c r="V210" s="40">
        <v>46235</v>
      </c>
      <c r="W210" s="20" t="s">
        <v>54</v>
      </c>
      <c r="X210" s="21"/>
      <c r="Y210" s="19">
        <f>VLOOKUP(F210,[2]New!$B:$G,3,0)*K210/60</f>
        <v>270.89999999999998</v>
      </c>
      <c r="Z210" s="19">
        <f>VLOOKUP(F210,[2]New!$B:$G,4,0)*K210/60</f>
        <v>677.25</v>
      </c>
      <c r="AA210" s="19">
        <f>VLOOKUP(F210,[2]New!$B:$G,6,0)*K210/60</f>
        <v>673.23666666666657</v>
      </c>
      <c r="AB210" s="44">
        <f>VLOOKUP(A210,'[4]PO CAG (2)'!$A:$L,12,0)</f>
        <v>46268</v>
      </c>
      <c r="AC210" s="22">
        <f>IFERROR(VLOOKUP(F210,[3]Sheet1!$E:$H,4,0),)</f>
        <v>0</v>
      </c>
      <c r="AD210" s="144">
        <v>301</v>
      </c>
      <c r="AE210" s="25" t="s">
        <v>3023</v>
      </c>
      <c r="AF210" s="135" t="s">
        <v>199</v>
      </c>
      <c r="AG210" s="135"/>
      <c r="AH210" s="384"/>
      <c r="AI210" s="260">
        <v>0</v>
      </c>
      <c r="AJ210" s="267" t="s">
        <v>152</v>
      </c>
      <c r="AN210" s="278">
        <v>3</v>
      </c>
      <c r="AO210" s="278">
        <v>3</v>
      </c>
      <c r="AP210" s="278">
        <v>3</v>
      </c>
      <c r="AQ210" s="278">
        <v>3</v>
      </c>
    </row>
    <row r="211" spans="1:43">
      <c r="A211" s="135" t="s">
        <v>2065</v>
      </c>
      <c r="B211" s="135" t="s">
        <v>1974</v>
      </c>
      <c r="C211" s="135" t="s">
        <v>2066</v>
      </c>
      <c r="D211" s="46">
        <v>11122087</v>
      </c>
      <c r="E211" s="20" t="s">
        <v>196</v>
      </c>
      <c r="F211" s="20" t="s">
        <v>197</v>
      </c>
      <c r="G211" s="24">
        <v>220</v>
      </c>
      <c r="H211" s="21">
        <v>46242</v>
      </c>
      <c r="I211" s="53" t="s">
        <v>2067</v>
      </c>
      <c r="J211" s="24" t="s">
        <v>2068</v>
      </c>
      <c r="K211" s="24">
        <v>220</v>
      </c>
      <c r="L211" s="46">
        <v>12129626</v>
      </c>
      <c r="M211" s="20" t="s">
        <v>96</v>
      </c>
      <c r="N211" s="38">
        <v>0</v>
      </c>
      <c r="O211" s="38">
        <v>0</v>
      </c>
      <c r="P211" s="20" t="s">
        <v>94</v>
      </c>
      <c r="Q211" s="20">
        <v>0</v>
      </c>
      <c r="R211" s="40">
        <v>46234</v>
      </c>
      <c r="S211" s="38">
        <v>0</v>
      </c>
      <c r="T211" s="38">
        <v>0</v>
      </c>
      <c r="U211" s="40">
        <v>46235</v>
      </c>
      <c r="V211" s="40">
        <v>46235</v>
      </c>
      <c r="W211" s="20" t="s">
        <v>54</v>
      </c>
      <c r="X211" s="21"/>
      <c r="Y211" s="19">
        <f>VLOOKUP(F211,[2]New!$B:$G,3,0)*K211/60</f>
        <v>198</v>
      </c>
      <c r="Z211" s="19">
        <f>VLOOKUP(F211,[2]New!$B:$G,4,0)*K211/60</f>
        <v>495</v>
      </c>
      <c r="AA211" s="19">
        <f>VLOOKUP(F211,[2]New!$B:$G,6,0)*K211/60</f>
        <v>492.06666666666661</v>
      </c>
      <c r="AB211" s="44">
        <f>VLOOKUP(A211,'[4]PO CAG (2)'!$A:$L,12,0)</f>
        <v>46273</v>
      </c>
      <c r="AC211" s="22">
        <f>IFERROR(VLOOKUP(F211,[3]Sheet1!$E:$H,4,0),)</f>
        <v>0</v>
      </c>
      <c r="AD211" s="144">
        <v>220</v>
      </c>
      <c r="AE211" s="25" t="s">
        <v>3023</v>
      </c>
      <c r="AF211" s="135" t="s">
        <v>199</v>
      </c>
      <c r="AG211" s="135"/>
      <c r="AH211" s="384"/>
      <c r="AI211" s="260">
        <v>0</v>
      </c>
      <c r="AJ211" s="267" t="s">
        <v>152</v>
      </c>
      <c r="AN211" s="278">
        <v>3</v>
      </c>
      <c r="AO211" s="278">
        <v>3</v>
      </c>
      <c r="AP211" s="278">
        <v>3</v>
      </c>
      <c r="AQ211" s="278">
        <v>3</v>
      </c>
    </row>
    <row r="212" spans="1:43">
      <c r="A212" s="135" t="s">
        <v>2069</v>
      </c>
      <c r="B212" s="135" t="s">
        <v>1975</v>
      </c>
      <c r="C212" s="135" t="s">
        <v>2070</v>
      </c>
      <c r="D212" s="46">
        <v>11122087</v>
      </c>
      <c r="E212" s="20" t="s">
        <v>196</v>
      </c>
      <c r="F212" s="20" t="s">
        <v>197</v>
      </c>
      <c r="G212" s="24">
        <v>590</v>
      </c>
      <c r="H212" s="21">
        <v>46242</v>
      </c>
      <c r="I212" s="53" t="s">
        <v>2071</v>
      </c>
      <c r="J212" s="24" t="s">
        <v>2072</v>
      </c>
      <c r="K212" s="24">
        <v>590</v>
      </c>
      <c r="L212" s="46">
        <v>12129626</v>
      </c>
      <c r="M212" s="20" t="s">
        <v>96</v>
      </c>
      <c r="N212" s="38">
        <v>0</v>
      </c>
      <c r="O212" s="38">
        <v>0</v>
      </c>
      <c r="P212" s="20" t="s">
        <v>94</v>
      </c>
      <c r="Q212" s="20">
        <v>0</v>
      </c>
      <c r="R212" s="40">
        <v>46234</v>
      </c>
      <c r="S212" s="38">
        <v>0</v>
      </c>
      <c r="T212" s="38">
        <v>0</v>
      </c>
      <c r="U212" s="40">
        <v>46235</v>
      </c>
      <c r="V212" s="40">
        <v>46235</v>
      </c>
      <c r="W212" s="20" t="s">
        <v>54</v>
      </c>
      <c r="X212" s="21"/>
      <c r="Y212" s="19">
        <f>VLOOKUP(F212,[2]New!$B:$G,3,0)*K212/60</f>
        <v>531</v>
      </c>
      <c r="Z212" s="19">
        <f>VLOOKUP(F212,[2]New!$B:$G,4,0)*K212/60</f>
        <v>1327.5</v>
      </c>
      <c r="AA212" s="19">
        <f>VLOOKUP(F212,[2]New!$B:$G,6,0)*K212/60</f>
        <v>1319.6333333333334</v>
      </c>
      <c r="AB212" s="44">
        <f>VLOOKUP(A212,'[4]PO CAG (2)'!$A:$L,12,0)</f>
        <v>46274</v>
      </c>
      <c r="AC212" s="22">
        <f>IFERROR(VLOOKUP(F212,[3]Sheet1!$E:$H,4,0),)</f>
        <v>0</v>
      </c>
      <c r="AD212" s="144">
        <v>590</v>
      </c>
      <c r="AE212" s="25" t="s">
        <v>3023</v>
      </c>
      <c r="AF212" s="135" t="s">
        <v>199</v>
      </c>
      <c r="AG212" s="135"/>
      <c r="AH212" s="384"/>
      <c r="AI212" s="260">
        <v>0</v>
      </c>
      <c r="AJ212" s="267" t="s">
        <v>152</v>
      </c>
      <c r="AN212" s="278">
        <v>3</v>
      </c>
      <c r="AO212" s="278">
        <v>3</v>
      </c>
      <c r="AP212" s="278">
        <v>3</v>
      </c>
      <c r="AQ212" s="278">
        <v>3</v>
      </c>
    </row>
    <row r="213" spans="1:43">
      <c r="A213" s="135" t="s">
        <v>2073</v>
      </c>
      <c r="B213" s="135" t="s">
        <v>1976</v>
      </c>
      <c r="C213" s="135" t="s">
        <v>2074</v>
      </c>
      <c r="D213" s="46">
        <v>11122088</v>
      </c>
      <c r="E213" s="20" t="s">
        <v>194</v>
      </c>
      <c r="F213" s="20" t="s">
        <v>195</v>
      </c>
      <c r="G213" s="24">
        <v>172</v>
      </c>
      <c r="H213" s="21">
        <v>46242</v>
      </c>
      <c r="I213" s="53" t="s">
        <v>2075</v>
      </c>
      <c r="J213" s="24" t="s">
        <v>2076</v>
      </c>
      <c r="K213" s="24">
        <v>172</v>
      </c>
      <c r="L213" s="46">
        <v>12129627</v>
      </c>
      <c r="M213" s="20" t="s">
        <v>95</v>
      </c>
      <c r="N213" s="38">
        <v>0</v>
      </c>
      <c r="O213" s="38">
        <v>0</v>
      </c>
      <c r="P213" s="20" t="s">
        <v>94</v>
      </c>
      <c r="Q213" s="20">
        <v>0</v>
      </c>
      <c r="R213" s="40">
        <v>46234</v>
      </c>
      <c r="S213" s="38">
        <v>0</v>
      </c>
      <c r="T213" s="38">
        <v>0</v>
      </c>
      <c r="U213" s="40">
        <v>46235</v>
      </c>
      <c r="V213" s="40">
        <v>46235</v>
      </c>
      <c r="W213" s="20" t="s">
        <v>54</v>
      </c>
      <c r="X213" s="21"/>
      <c r="Y213" s="19">
        <f>VLOOKUP(F213,[2]New!$B:$G,3,0)*K213/60</f>
        <v>154.80000000000001</v>
      </c>
      <c r="Z213" s="19">
        <f>VLOOKUP(F213,[2]New!$B:$G,4,0)*K213/60</f>
        <v>387</v>
      </c>
      <c r="AA213" s="19">
        <f>VLOOKUP(F213,[2]New!$B:$G,6,0)*K213/60</f>
        <v>384.70666666666665</v>
      </c>
      <c r="AB213" s="44">
        <f>VLOOKUP(A213,'[4]PO CAG (2)'!$A:$L,12,0)</f>
        <v>46268</v>
      </c>
      <c r="AC213" s="22">
        <f>IFERROR(VLOOKUP(F213,[3]Sheet1!$E:$H,4,0),)</f>
        <v>0</v>
      </c>
      <c r="AD213" s="144">
        <v>172</v>
      </c>
      <c r="AE213" s="25" t="s">
        <v>3023</v>
      </c>
      <c r="AF213" s="135" t="s">
        <v>199</v>
      </c>
      <c r="AG213" s="135"/>
      <c r="AH213" s="384"/>
      <c r="AI213" s="260">
        <v>0</v>
      </c>
      <c r="AJ213" s="267" t="s">
        <v>152</v>
      </c>
      <c r="AN213" s="278">
        <v>3</v>
      </c>
      <c r="AO213" s="278">
        <v>3</v>
      </c>
      <c r="AP213" s="278">
        <v>3</v>
      </c>
      <c r="AQ213" s="278">
        <v>3</v>
      </c>
    </row>
    <row r="214" spans="1:43">
      <c r="A214" s="135" t="s">
        <v>2077</v>
      </c>
      <c r="B214" s="135" t="s">
        <v>1977</v>
      </c>
      <c r="C214" s="135" t="s">
        <v>2078</v>
      </c>
      <c r="D214" s="46">
        <v>11122088</v>
      </c>
      <c r="E214" s="20" t="s">
        <v>194</v>
      </c>
      <c r="F214" s="20" t="s">
        <v>195</v>
      </c>
      <c r="G214" s="24">
        <v>130</v>
      </c>
      <c r="H214" s="21">
        <v>46242</v>
      </c>
      <c r="I214" s="53" t="s">
        <v>2079</v>
      </c>
      <c r="J214" s="24" t="s">
        <v>2080</v>
      </c>
      <c r="K214" s="24">
        <v>130</v>
      </c>
      <c r="L214" s="46">
        <v>12129627</v>
      </c>
      <c r="M214" s="20" t="s">
        <v>95</v>
      </c>
      <c r="N214" s="38">
        <v>0</v>
      </c>
      <c r="O214" s="38">
        <v>0</v>
      </c>
      <c r="P214" s="20" t="s">
        <v>94</v>
      </c>
      <c r="Q214" s="20">
        <v>0</v>
      </c>
      <c r="R214" s="40">
        <v>46234</v>
      </c>
      <c r="S214" s="38">
        <v>0</v>
      </c>
      <c r="T214" s="38">
        <v>0</v>
      </c>
      <c r="U214" s="40">
        <v>46235</v>
      </c>
      <c r="V214" s="40">
        <v>46235</v>
      </c>
      <c r="W214" s="20" t="s">
        <v>54</v>
      </c>
      <c r="X214" s="21"/>
      <c r="Y214" s="19">
        <f>VLOOKUP(F214,[2]New!$B:$G,3,0)*K214/60</f>
        <v>117</v>
      </c>
      <c r="Z214" s="19">
        <f>VLOOKUP(F214,[2]New!$B:$G,4,0)*K214/60</f>
        <v>292.5</v>
      </c>
      <c r="AA214" s="19">
        <f>VLOOKUP(F214,[2]New!$B:$G,6,0)*K214/60</f>
        <v>290.76666666666665</v>
      </c>
      <c r="AB214" s="44">
        <f>VLOOKUP(A214,'[4]PO CAG (2)'!$A:$L,12,0)</f>
        <v>46274</v>
      </c>
      <c r="AC214" s="22">
        <f>IFERROR(VLOOKUP(F214,[3]Sheet1!$E:$H,4,0),)</f>
        <v>0</v>
      </c>
      <c r="AD214" s="144">
        <v>130</v>
      </c>
      <c r="AE214" s="25" t="s">
        <v>3023</v>
      </c>
      <c r="AF214" s="135" t="s">
        <v>199</v>
      </c>
      <c r="AG214" s="135"/>
      <c r="AH214" s="384"/>
      <c r="AI214" s="260">
        <v>0</v>
      </c>
      <c r="AJ214" s="267" t="s">
        <v>152</v>
      </c>
      <c r="AN214" s="278">
        <v>3</v>
      </c>
      <c r="AO214" s="278">
        <v>3</v>
      </c>
      <c r="AP214" s="278">
        <v>3</v>
      </c>
      <c r="AQ214" s="278">
        <v>3</v>
      </c>
    </row>
    <row r="215" spans="1:43">
      <c r="A215" s="135" t="s">
        <v>1874</v>
      </c>
      <c r="B215" s="135" t="s">
        <v>1978</v>
      </c>
      <c r="C215" s="135" t="s">
        <v>2081</v>
      </c>
      <c r="D215" s="46">
        <v>11134258</v>
      </c>
      <c r="E215" s="20" t="s">
        <v>480</v>
      </c>
      <c r="F215" s="20" t="s">
        <v>481</v>
      </c>
      <c r="G215" s="24">
        <v>4</v>
      </c>
      <c r="H215" s="21">
        <v>46242</v>
      </c>
      <c r="I215" s="53" t="s">
        <v>2082</v>
      </c>
      <c r="J215" s="24" t="s">
        <v>1875</v>
      </c>
      <c r="K215" s="24">
        <v>4</v>
      </c>
      <c r="L215" s="46">
        <v>12116062</v>
      </c>
      <c r="M215" s="20" t="s">
        <v>485</v>
      </c>
      <c r="N215" s="38">
        <v>0</v>
      </c>
      <c r="O215" s="38">
        <v>0</v>
      </c>
      <c r="P215" s="20" t="s">
        <v>469</v>
      </c>
      <c r="Q215" s="20">
        <v>0</v>
      </c>
      <c r="R215" s="40">
        <v>46234</v>
      </c>
      <c r="S215" s="38">
        <v>0</v>
      </c>
      <c r="T215" s="38">
        <v>0</v>
      </c>
      <c r="U215" s="40">
        <v>46235</v>
      </c>
      <c r="V215" s="40">
        <v>46235</v>
      </c>
      <c r="W215" s="20" t="s">
        <v>57</v>
      </c>
      <c r="X215" s="21"/>
      <c r="Y215" s="19">
        <f>VLOOKUP(F215,[2]New!$B:$G,3,0)*K215/60</f>
        <v>3.7333333333333334</v>
      </c>
      <c r="Z215" s="19">
        <f>VLOOKUP(F215,[2]New!$B:$G,4,0)*K215/60</f>
        <v>15.6</v>
      </c>
      <c r="AA215" s="19">
        <f>VLOOKUP(F215,[2]New!$B:$G,6,0)*K215/60</f>
        <v>19.266666666666666</v>
      </c>
      <c r="AB215" s="44">
        <f>VLOOKUP(A215,'[4]PO CAG (2)'!$A:$L,12,0)</f>
        <v>46251</v>
      </c>
      <c r="AC215" s="22">
        <f>IFERROR(VLOOKUP(F215,[3]Sheet1!$E:$H,4,0),)</f>
        <v>0</v>
      </c>
      <c r="AD215" s="144">
        <v>4</v>
      </c>
      <c r="AE215" s="25" t="s">
        <v>3023</v>
      </c>
      <c r="AF215" s="135" t="s">
        <v>112</v>
      </c>
      <c r="AG215" s="135"/>
      <c r="AH215" s="135"/>
      <c r="AI215" s="23">
        <v>0</v>
      </c>
      <c r="AJ215" s="267" t="s">
        <v>153</v>
      </c>
      <c r="AN215" s="278">
        <v>2</v>
      </c>
      <c r="AO215" s="278">
        <v>2</v>
      </c>
      <c r="AP215" s="278">
        <v>2</v>
      </c>
      <c r="AQ215" s="278">
        <v>2</v>
      </c>
    </row>
    <row r="216" spans="1:43">
      <c r="A216" s="135" t="s">
        <v>1876</v>
      </c>
      <c r="B216" s="135" t="s">
        <v>1979</v>
      </c>
      <c r="C216" s="135" t="s">
        <v>2083</v>
      </c>
      <c r="D216" s="46">
        <v>11131304</v>
      </c>
      <c r="E216" s="20" t="s">
        <v>1877</v>
      </c>
      <c r="F216" s="20" t="s">
        <v>1878</v>
      </c>
      <c r="G216" s="24">
        <v>2</v>
      </c>
      <c r="H216" s="21">
        <v>46242</v>
      </c>
      <c r="I216" s="53" t="s">
        <v>2084</v>
      </c>
      <c r="J216" s="24" t="s">
        <v>1879</v>
      </c>
      <c r="K216" s="24">
        <v>2</v>
      </c>
      <c r="L216" s="46">
        <v>12116196</v>
      </c>
      <c r="M216" s="20" t="s">
        <v>620</v>
      </c>
      <c r="N216" s="38">
        <v>0</v>
      </c>
      <c r="O216" s="38">
        <v>0</v>
      </c>
      <c r="P216" s="20" t="s">
        <v>94</v>
      </c>
      <c r="Q216" s="20">
        <v>0</v>
      </c>
      <c r="R216" s="40">
        <v>46234</v>
      </c>
      <c r="S216" s="38">
        <v>0</v>
      </c>
      <c r="T216" s="38">
        <v>0</v>
      </c>
      <c r="U216" s="40">
        <v>46235</v>
      </c>
      <c r="V216" s="40">
        <v>46235</v>
      </c>
      <c r="W216" s="20" t="s">
        <v>57</v>
      </c>
      <c r="X216" s="21"/>
      <c r="Y216" s="19">
        <f>VLOOKUP(F216,[2]New!$B:$G,3,0)*K216/60</f>
        <v>0.7</v>
      </c>
      <c r="Z216" s="19">
        <f>VLOOKUP(F216,[2]New!$B:$G,4,0)*K216/60</f>
        <v>3.0866666666666664</v>
      </c>
      <c r="AA216" s="19">
        <f>VLOOKUP(F216,[2]New!$B:$G,6,0)*K216/60</f>
        <v>1.4333333333333333</v>
      </c>
      <c r="AB216" s="44">
        <f>VLOOKUP(A216,'[4]PO CAG (2)'!$A:$L,12,0)</f>
        <v>46274</v>
      </c>
      <c r="AC216" s="22">
        <f>IFERROR(VLOOKUP(F216,[3]Sheet1!$E:$H,4,0),)</f>
        <v>0</v>
      </c>
      <c r="AD216" s="144">
        <v>2</v>
      </c>
      <c r="AE216" s="25" t="s">
        <v>3023</v>
      </c>
      <c r="AF216" s="135" t="s">
        <v>112</v>
      </c>
      <c r="AG216" s="135"/>
      <c r="AH216" s="135"/>
      <c r="AI216" s="23">
        <v>0</v>
      </c>
      <c r="AN216" s="278">
        <v>3</v>
      </c>
      <c r="AO216" s="278">
        <v>3</v>
      </c>
      <c r="AP216" s="278">
        <v>3</v>
      </c>
      <c r="AQ216" s="278">
        <v>3</v>
      </c>
    </row>
    <row r="217" spans="1:43">
      <c r="A217" s="135" t="s">
        <v>1880</v>
      </c>
      <c r="B217" s="135" t="s">
        <v>1980</v>
      </c>
      <c r="C217" s="135" t="s">
        <v>2085</v>
      </c>
      <c r="D217" s="46">
        <v>11131307</v>
      </c>
      <c r="E217" s="20" t="s">
        <v>1881</v>
      </c>
      <c r="F217" s="20" t="s">
        <v>1882</v>
      </c>
      <c r="G217" s="346">
        <v>4</v>
      </c>
      <c r="H217" s="21">
        <v>46242</v>
      </c>
      <c r="I217" s="53" t="s">
        <v>2086</v>
      </c>
      <c r="J217" s="24" t="s">
        <v>1883</v>
      </c>
      <c r="K217" s="24">
        <v>4</v>
      </c>
      <c r="L217" s="46">
        <v>12124616</v>
      </c>
      <c r="M217" s="20" t="s">
        <v>1952</v>
      </c>
      <c r="N217" s="38">
        <v>0</v>
      </c>
      <c r="O217" s="38">
        <v>0</v>
      </c>
      <c r="P217" s="20" t="s">
        <v>94</v>
      </c>
      <c r="Q217" s="20">
        <v>0</v>
      </c>
      <c r="R217" s="40">
        <v>46234</v>
      </c>
      <c r="S217" s="38">
        <v>0</v>
      </c>
      <c r="T217" s="38">
        <v>0</v>
      </c>
      <c r="U217" s="40">
        <v>46235</v>
      </c>
      <c r="V217" s="40">
        <v>46235</v>
      </c>
      <c r="W217" s="20" t="s">
        <v>57</v>
      </c>
      <c r="X217" s="21"/>
      <c r="Y217" s="19">
        <v>0</v>
      </c>
      <c r="Z217" s="19">
        <v>0</v>
      </c>
      <c r="AA217" s="19">
        <v>0</v>
      </c>
      <c r="AB217" s="44">
        <f>VLOOKUP(A217,'[4]PO CAG'!$A:$L,12,0)</f>
        <v>46274</v>
      </c>
      <c r="AC217" s="22">
        <f>IFERROR(VLOOKUP(F217,[3]Sheet1!$E:$H,4,0),)</f>
        <v>0</v>
      </c>
      <c r="AD217" s="144">
        <v>4</v>
      </c>
      <c r="AE217" s="25" t="s">
        <v>3023</v>
      </c>
      <c r="AF217" s="135" t="s">
        <v>112</v>
      </c>
      <c r="AG217" s="135"/>
      <c r="AH217" s="135"/>
      <c r="AI217" s="23">
        <v>0</v>
      </c>
      <c r="AJ217" s="267" t="s">
        <v>153</v>
      </c>
      <c r="AN217" s="278">
        <v>3</v>
      </c>
      <c r="AO217" s="278">
        <v>3</v>
      </c>
      <c r="AP217" s="278">
        <v>3</v>
      </c>
      <c r="AQ217" s="278">
        <v>3</v>
      </c>
    </row>
    <row r="218" spans="1:43">
      <c r="A218" s="135" t="s">
        <v>1884</v>
      </c>
      <c r="B218" s="135" t="s">
        <v>1981</v>
      </c>
      <c r="C218" s="135" t="s">
        <v>2087</v>
      </c>
      <c r="D218" s="46">
        <v>11132714</v>
      </c>
      <c r="E218" s="20" t="s">
        <v>462</v>
      </c>
      <c r="F218" s="20" t="s">
        <v>463</v>
      </c>
      <c r="G218" s="24">
        <v>10</v>
      </c>
      <c r="H218" s="21">
        <v>46242</v>
      </c>
      <c r="I218" s="53" t="s">
        <v>2088</v>
      </c>
      <c r="J218" s="24" t="s">
        <v>1885</v>
      </c>
      <c r="K218" s="24">
        <v>10</v>
      </c>
      <c r="L218" s="46">
        <v>12116034</v>
      </c>
      <c r="M218" s="20" t="s">
        <v>105</v>
      </c>
      <c r="N218" s="38">
        <v>0</v>
      </c>
      <c r="O218" s="38">
        <v>0</v>
      </c>
      <c r="P218" s="20" t="s">
        <v>94</v>
      </c>
      <c r="Q218" s="20">
        <v>0</v>
      </c>
      <c r="R218" s="40">
        <v>46234</v>
      </c>
      <c r="S218" s="38">
        <v>0</v>
      </c>
      <c r="T218" s="38">
        <v>0</v>
      </c>
      <c r="U218" s="40">
        <v>46235</v>
      </c>
      <c r="V218" s="40">
        <v>46235</v>
      </c>
      <c r="W218" s="20" t="s">
        <v>57</v>
      </c>
      <c r="X218" s="21"/>
      <c r="Y218" s="19">
        <f>VLOOKUP(F218,[2]New!$B:$G,3,0)*K218/60</f>
        <v>14.383333333333333</v>
      </c>
      <c r="Z218" s="19">
        <f>VLOOKUP(F218,[2]New!$B:$G,4,0)*K218/60</f>
        <v>16.333333333333332</v>
      </c>
      <c r="AA218" s="19">
        <f>VLOOKUP(F218,[2]New!$B:$G,6,0)*K218/60</f>
        <v>32.5</v>
      </c>
      <c r="AB218" s="44">
        <f>VLOOKUP(A218,'[4]PO CAG (2)'!$A:$L,12,0)</f>
        <v>46274</v>
      </c>
      <c r="AC218" s="22">
        <f>IFERROR(VLOOKUP(F218,[3]Sheet1!$E:$H,4,0),)</f>
        <v>0</v>
      </c>
      <c r="AD218" s="144">
        <v>10</v>
      </c>
      <c r="AE218" s="25" t="s">
        <v>3023</v>
      </c>
      <c r="AF218" s="135" t="s">
        <v>112</v>
      </c>
      <c r="AG218" s="135"/>
      <c r="AH218" s="135"/>
      <c r="AI218" s="23">
        <v>0</v>
      </c>
      <c r="AJ218" s="267" t="s">
        <v>153</v>
      </c>
      <c r="AN218" s="278">
        <v>3</v>
      </c>
      <c r="AO218" s="278">
        <v>3</v>
      </c>
      <c r="AP218" s="278">
        <v>3</v>
      </c>
      <c r="AQ218" s="278">
        <v>3</v>
      </c>
    </row>
    <row r="219" spans="1:43">
      <c r="A219" s="135" t="s">
        <v>1886</v>
      </c>
      <c r="B219" s="135" t="s">
        <v>1982</v>
      </c>
      <c r="C219" s="135" t="s">
        <v>2089</v>
      </c>
      <c r="D219" s="46">
        <v>11132715</v>
      </c>
      <c r="E219" s="20" t="s">
        <v>216</v>
      </c>
      <c r="F219" s="20" t="s">
        <v>217</v>
      </c>
      <c r="G219" s="24">
        <v>15</v>
      </c>
      <c r="H219" s="21">
        <v>46242</v>
      </c>
      <c r="I219" s="53" t="s">
        <v>2090</v>
      </c>
      <c r="J219" s="24" t="s">
        <v>1887</v>
      </c>
      <c r="K219" s="24">
        <v>15</v>
      </c>
      <c r="L219" s="46">
        <v>12116036</v>
      </c>
      <c r="M219" s="20" t="s">
        <v>103</v>
      </c>
      <c r="N219" s="38">
        <v>0</v>
      </c>
      <c r="O219" s="38">
        <v>0</v>
      </c>
      <c r="P219" s="20" t="s">
        <v>94</v>
      </c>
      <c r="Q219" s="20">
        <v>0</v>
      </c>
      <c r="R219" s="40">
        <v>46234</v>
      </c>
      <c r="S219" s="38">
        <v>0</v>
      </c>
      <c r="T219" s="38">
        <v>0</v>
      </c>
      <c r="U219" s="40">
        <v>46235</v>
      </c>
      <c r="V219" s="40">
        <v>46235</v>
      </c>
      <c r="W219" s="20" t="s">
        <v>57</v>
      </c>
      <c r="X219" s="21"/>
      <c r="Y219" s="19">
        <f>VLOOKUP(F219,[2]New!$B:$G,3,0)*K219/60</f>
        <v>5.25</v>
      </c>
      <c r="Z219" s="19">
        <f>VLOOKUP(F219,[2]New!$B:$G,4,0)*K219/60</f>
        <v>23.15</v>
      </c>
      <c r="AA219" s="19">
        <f>VLOOKUP(F219,[2]New!$B:$G,6,0)*K219/60</f>
        <v>10.75</v>
      </c>
      <c r="AB219" s="44">
        <f>VLOOKUP(A219,'[4]PO CAG (2)'!$A:$L,12,0)</f>
        <v>46274</v>
      </c>
      <c r="AC219" s="22">
        <f>IFERROR(VLOOKUP(F219,[3]Sheet1!$E:$H,4,0),)</f>
        <v>0</v>
      </c>
      <c r="AD219" s="144">
        <v>15</v>
      </c>
      <c r="AE219" s="25" t="s">
        <v>3023</v>
      </c>
      <c r="AF219" s="135" t="s">
        <v>112</v>
      </c>
      <c r="AG219" s="135"/>
      <c r="AH219" s="135"/>
      <c r="AI219" s="23">
        <v>0</v>
      </c>
      <c r="AJ219" s="267" t="s">
        <v>153</v>
      </c>
      <c r="AN219" s="278">
        <v>3</v>
      </c>
      <c r="AO219" s="278">
        <v>3</v>
      </c>
      <c r="AP219" s="278">
        <v>3</v>
      </c>
      <c r="AQ219" s="278">
        <v>3</v>
      </c>
    </row>
    <row r="220" spans="1:43">
      <c r="A220" s="135" t="s">
        <v>1888</v>
      </c>
      <c r="B220" s="135" t="s">
        <v>1983</v>
      </c>
      <c r="C220" s="135" t="s">
        <v>2091</v>
      </c>
      <c r="D220" s="46">
        <v>11132727</v>
      </c>
      <c r="E220" s="20" t="s">
        <v>373</v>
      </c>
      <c r="F220" s="20" t="s">
        <v>374</v>
      </c>
      <c r="G220" s="24">
        <v>15</v>
      </c>
      <c r="H220" s="21">
        <v>46242</v>
      </c>
      <c r="I220" s="53" t="s">
        <v>2092</v>
      </c>
      <c r="J220" s="24" t="s">
        <v>1889</v>
      </c>
      <c r="K220" s="24">
        <v>15</v>
      </c>
      <c r="L220" s="46">
        <v>12116154</v>
      </c>
      <c r="M220" s="20" t="s">
        <v>371</v>
      </c>
      <c r="N220" s="38">
        <v>0</v>
      </c>
      <c r="O220" s="38">
        <v>0</v>
      </c>
      <c r="P220" s="20" t="s">
        <v>94</v>
      </c>
      <c r="Q220" s="20">
        <v>0</v>
      </c>
      <c r="R220" s="40">
        <v>46234</v>
      </c>
      <c r="S220" s="38">
        <v>0</v>
      </c>
      <c r="T220" s="38">
        <v>0</v>
      </c>
      <c r="U220" s="40">
        <v>46235</v>
      </c>
      <c r="V220" s="40">
        <v>46235</v>
      </c>
      <c r="W220" s="20" t="s">
        <v>57</v>
      </c>
      <c r="X220" s="21"/>
      <c r="Y220" s="19">
        <f>VLOOKUP(F220,[2]New!$B:$G,3,0)*K220/60</f>
        <v>5.25</v>
      </c>
      <c r="Z220" s="19">
        <f>VLOOKUP(F220,[2]New!$B:$G,4,0)*K220/60</f>
        <v>23.15</v>
      </c>
      <c r="AA220" s="19">
        <f>VLOOKUP(F220,[2]New!$B:$G,6,0)*K220/60</f>
        <v>10.75</v>
      </c>
      <c r="AB220" s="44">
        <f>VLOOKUP(A220,'[4]PO CAG (2)'!$A:$L,12,0)</f>
        <v>46274</v>
      </c>
      <c r="AC220" s="22">
        <f>IFERROR(VLOOKUP(F220,[3]Sheet1!$E:$H,4,0),)</f>
        <v>0</v>
      </c>
      <c r="AD220" s="144">
        <v>15</v>
      </c>
      <c r="AE220" s="25" t="s">
        <v>3023</v>
      </c>
      <c r="AF220" s="135" t="s">
        <v>112</v>
      </c>
      <c r="AG220" s="135"/>
      <c r="AH220" s="135"/>
      <c r="AI220" s="23">
        <v>0</v>
      </c>
      <c r="AJ220" s="267" t="s">
        <v>153</v>
      </c>
      <c r="AN220" s="278">
        <v>3</v>
      </c>
      <c r="AO220" s="278">
        <v>3</v>
      </c>
      <c r="AP220" s="278">
        <v>3</v>
      </c>
      <c r="AQ220" s="278">
        <v>3</v>
      </c>
    </row>
    <row r="221" spans="1:43">
      <c r="A221" s="135" t="s">
        <v>1890</v>
      </c>
      <c r="B221" s="135" t="s">
        <v>1984</v>
      </c>
      <c r="C221" s="135" t="s">
        <v>2093</v>
      </c>
      <c r="D221" s="46">
        <v>11131289</v>
      </c>
      <c r="E221" s="20" t="s">
        <v>192</v>
      </c>
      <c r="F221" s="20" t="s">
        <v>193</v>
      </c>
      <c r="G221" s="24">
        <v>65</v>
      </c>
      <c r="H221" s="21">
        <v>46242</v>
      </c>
      <c r="I221" s="53" t="s">
        <v>2094</v>
      </c>
      <c r="J221" s="24" t="s">
        <v>1891</v>
      </c>
      <c r="K221" s="24">
        <v>65</v>
      </c>
      <c r="L221" s="46">
        <v>12116064</v>
      </c>
      <c r="M221" s="20" t="s">
        <v>98</v>
      </c>
      <c r="N221" s="38">
        <v>0</v>
      </c>
      <c r="O221" s="38">
        <v>0</v>
      </c>
      <c r="P221" s="20" t="s">
        <v>94</v>
      </c>
      <c r="Q221" s="20">
        <v>0</v>
      </c>
      <c r="R221" s="40">
        <v>46234</v>
      </c>
      <c r="S221" s="38">
        <v>0</v>
      </c>
      <c r="T221" s="38">
        <v>0</v>
      </c>
      <c r="U221" s="40">
        <v>46235</v>
      </c>
      <c r="V221" s="40">
        <v>46235</v>
      </c>
      <c r="W221" s="20" t="s">
        <v>57</v>
      </c>
      <c r="X221" s="21"/>
      <c r="Y221" s="19">
        <f>VLOOKUP(F221,[2]New!$B:$G,3,0)*K221/60</f>
        <v>93.49166666666666</v>
      </c>
      <c r="Z221" s="19">
        <f>VLOOKUP(F221,[2]New!$B:$G,4,0)*K221/60</f>
        <v>106.16666666666667</v>
      </c>
      <c r="AA221" s="19">
        <f>VLOOKUP(F221,[2]New!$B:$G,6,0)*K221/60</f>
        <v>211.25</v>
      </c>
      <c r="AB221" s="44">
        <f>VLOOKUP(A221,'[4]PO CAG (2)'!$A:$L,12,0)</f>
        <v>46274</v>
      </c>
      <c r="AC221" s="22">
        <f>IFERROR(VLOOKUP(F221,[3]Sheet1!$E:$H,4,0),)</f>
        <v>0</v>
      </c>
      <c r="AD221" s="144">
        <v>65</v>
      </c>
      <c r="AE221" s="25" t="s">
        <v>3023</v>
      </c>
      <c r="AF221" s="135" t="s">
        <v>112</v>
      </c>
      <c r="AG221" s="135"/>
      <c r="AH221" s="135"/>
      <c r="AI221" s="23">
        <v>0</v>
      </c>
      <c r="AJ221" s="267" t="s">
        <v>153</v>
      </c>
      <c r="AN221" s="278">
        <v>3</v>
      </c>
      <c r="AO221" s="278">
        <v>3</v>
      </c>
      <c r="AP221" s="278">
        <v>3</v>
      </c>
      <c r="AQ221" s="278">
        <v>3</v>
      </c>
    </row>
    <row r="222" spans="1:43">
      <c r="A222" s="135" t="s">
        <v>1892</v>
      </c>
      <c r="B222" s="135" t="s">
        <v>1985</v>
      </c>
      <c r="C222" s="135" t="s">
        <v>2095</v>
      </c>
      <c r="D222" s="46">
        <v>11131305</v>
      </c>
      <c r="E222" s="20" t="s">
        <v>1893</v>
      </c>
      <c r="F222" s="20" t="s">
        <v>1894</v>
      </c>
      <c r="G222" s="24">
        <v>2</v>
      </c>
      <c r="H222" s="21">
        <v>46242</v>
      </c>
      <c r="I222" s="53" t="s">
        <v>2096</v>
      </c>
      <c r="J222" s="24" t="s">
        <v>1895</v>
      </c>
      <c r="K222" s="24">
        <v>2</v>
      </c>
      <c r="L222" s="46">
        <v>12116199</v>
      </c>
      <c r="M222" s="20" t="s">
        <v>619</v>
      </c>
      <c r="N222" s="38">
        <v>0</v>
      </c>
      <c r="O222" s="38">
        <v>0</v>
      </c>
      <c r="P222" s="20" t="s">
        <v>354</v>
      </c>
      <c r="Q222" s="20">
        <v>0</v>
      </c>
      <c r="R222" s="40">
        <v>46234</v>
      </c>
      <c r="S222" s="38">
        <v>0</v>
      </c>
      <c r="T222" s="38">
        <v>0</v>
      </c>
      <c r="U222" s="40">
        <v>46235</v>
      </c>
      <c r="V222" s="40">
        <v>46235</v>
      </c>
      <c r="W222" s="20" t="s">
        <v>57</v>
      </c>
      <c r="X222" s="21"/>
      <c r="Y222" s="19">
        <v>0</v>
      </c>
      <c r="Z222" s="19">
        <v>0</v>
      </c>
      <c r="AA222" s="19">
        <v>0</v>
      </c>
      <c r="AB222" s="44">
        <f>VLOOKUP(A222,'[4]PO CAG (2)'!$A:$L,12,0)</f>
        <v>46274</v>
      </c>
      <c r="AC222" s="22">
        <f>IFERROR(VLOOKUP(F222,[3]Sheet1!$E:$H,4,0),)</f>
        <v>0</v>
      </c>
      <c r="AD222" s="144">
        <v>2</v>
      </c>
      <c r="AE222" s="25" t="s">
        <v>3023</v>
      </c>
      <c r="AF222" s="135" t="s">
        <v>112</v>
      </c>
      <c r="AG222" s="135"/>
      <c r="AH222" s="135"/>
      <c r="AI222" s="23">
        <v>0</v>
      </c>
      <c r="AJ222" s="267" t="s">
        <v>153</v>
      </c>
      <c r="AN222" s="278">
        <v>3</v>
      </c>
      <c r="AO222" s="278">
        <v>3</v>
      </c>
      <c r="AP222" s="278">
        <v>3</v>
      </c>
      <c r="AQ222" s="278">
        <v>3</v>
      </c>
    </row>
    <row r="223" spans="1:43">
      <c r="A223" s="135" t="s">
        <v>1896</v>
      </c>
      <c r="B223" s="135" t="s">
        <v>1986</v>
      </c>
      <c r="C223" s="135" t="s">
        <v>2097</v>
      </c>
      <c r="D223" s="46">
        <v>11131304</v>
      </c>
      <c r="E223" s="20" t="s">
        <v>1877</v>
      </c>
      <c r="F223" s="20" t="s">
        <v>1878</v>
      </c>
      <c r="G223" s="24">
        <v>5</v>
      </c>
      <c r="H223" s="21">
        <v>46242</v>
      </c>
      <c r="I223" s="53" t="s">
        <v>2098</v>
      </c>
      <c r="J223" s="24" t="s">
        <v>1897</v>
      </c>
      <c r="K223" s="24">
        <v>5</v>
      </c>
      <c r="L223" s="46">
        <v>12116196</v>
      </c>
      <c r="M223" s="20" t="s">
        <v>620</v>
      </c>
      <c r="N223" s="38">
        <v>0</v>
      </c>
      <c r="O223" s="38">
        <v>0</v>
      </c>
      <c r="P223" s="20" t="s">
        <v>354</v>
      </c>
      <c r="Q223" s="20">
        <v>0</v>
      </c>
      <c r="R223" s="40">
        <v>46234</v>
      </c>
      <c r="S223" s="38">
        <v>0</v>
      </c>
      <c r="T223" s="38">
        <v>0</v>
      </c>
      <c r="U223" s="40">
        <v>46235</v>
      </c>
      <c r="V223" s="40">
        <v>46235</v>
      </c>
      <c r="W223" s="20" t="s">
        <v>57</v>
      </c>
      <c r="X223" s="21"/>
      <c r="Y223" s="19">
        <f>VLOOKUP(F223,[2]New!$B:$G,3,0)*K223/60</f>
        <v>1.75</v>
      </c>
      <c r="Z223" s="19">
        <f>VLOOKUP(F223,[2]New!$B:$G,4,0)*K223/60</f>
        <v>7.7166666666666668</v>
      </c>
      <c r="AA223" s="19">
        <f>VLOOKUP(F223,[2]New!$B:$G,6,0)*K223/60</f>
        <v>3.5833333333333335</v>
      </c>
      <c r="AB223" s="44">
        <f>VLOOKUP(A223,'[4]PO CAG (2)'!$A:$L,12,0)</f>
        <v>46274</v>
      </c>
      <c r="AC223" s="22">
        <f>IFERROR(VLOOKUP(F223,[3]Sheet1!$E:$H,4,0),)</f>
        <v>0</v>
      </c>
      <c r="AD223" s="144">
        <v>5</v>
      </c>
      <c r="AE223" s="25" t="s">
        <v>3023</v>
      </c>
      <c r="AF223" s="135" t="s">
        <v>112</v>
      </c>
      <c r="AG223" s="135"/>
      <c r="AH223" s="135"/>
      <c r="AI223" s="23">
        <v>0</v>
      </c>
      <c r="AJ223" s="267" t="s">
        <v>153</v>
      </c>
      <c r="AN223" s="278">
        <v>3</v>
      </c>
      <c r="AO223" s="278">
        <v>3</v>
      </c>
      <c r="AP223" s="278">
        <v>3</v>
      </c>
      <c r="AQ223" s="278">
        <v>3</v>
      </c>
    </row>
    <row r="224" spans="1:43">
      <c r="A224" s="135" t="s">
        <v>1898</v>
      </c>
      <c r="B224" s="135" t="s">
        <v>1987</v>
      </c>
      <c r="C224" s="135" t="s">
        <v>2099</v>
      </c>
      <c r="D224" s="46">
        <v>11131289</v>
      </c>
      <c r="E224" s="20" t="s">
        <v>192</v>
      </c>
      <c r="F224" s="20" t="s">
        <v>193</v>
      </c>
      <c r="G224" s="24">
        <v>8</v>
      </c>
      <c r="H224" s="21">
        <v>46242</v>
      </c>
      <c r="I224" s="53" t="s">
        <v>2100</v>
      </c>
      <c r="J224" s="24" t="s">
        <v>1899</v>
      </c>
      <c r="K224" s="24">
        <v>17</v>
      </c>
      <c r="L224" s="46">
        <v>12116064</v>
      </c>
      <c r="M224" s="20" t="s">
        <v>98</v>
      </c>
      <c r="N224" s="38">
        <v>0</v>
      </c>
      <c r="O224" s="38">
        <v>0</v>
      </c>
      <c r="P224" s="20" t="s">
        <v>354</v>
      </c>
      <c r="Q224" s="20">
        <v>0</v>
      </c>
      <c r="R224" s="40">
        <v>46234</v>
      </c>
      <c r="S224" s="38">
        <v>9</v>
      </c>
      <c r="T224" s="38">
        <v>0</v>
      </c>
      <c r="U224" s="40">
        <v>46235</v>
      </c>
      <c r="V224" s="40">
        <v>46235</v>
      </c>
      <c r="W224" s="20" t="s">
        <v>57</v>
      </c>
      <c r="X224" s="21"/>
      <c r="Y224" s="19">
        <f>VLOOKUP(F224,[2]New!$B:$G,3,0)*K224/60</f>
        <v>24.451666666666664</v>
      </c>
      <c r="Z224" s="19">
        <f>VLOOKUP(F224,[2]New!$B:$G,4,0)*K224/60</f>
        <v>27.766666666666666</v>
      </c>
      <c r="AA224" s="19">
        <f>VLOOKUP(F224,[2]New!$B:$G,6,0)*K224/60</f>
        <v>55.25</v>
      </c>
      <c r="AB224" s="44">
        <f>VLOOKUP(A224,'[4]PO CAG (2)'!$A:$L,12,0)</f>
        <v>46274</v>
      </c>
      <c r="AC224" s="22">
        <f>IFERROR(VLOOKUP(F224,[3]Sheet1!$E:$H,4,0),)</f>
        <v>0</v>
      </c>
      <c r="AD224" s="144">
        <v>8</v>
      </c>
      <c r="AE224" s="25" t="s">
        <v>3023</v>
      </c>
      <c r="AF224" s="135" t="s">
        <v>112</v>
      </c>
      <c r="AG224" s="135"/>
      <c r="AH224" s="135"/>
      <c r="AI224" s="23">
        <v>9</v>
      </c>
      <c r="AJ224" s="267" t="s">
        <v>153</v>
      </c>
      <c r="AN224" s="278">
        <v>3</v>
      </c>
      <c r="AO224" s="278">
        <v>3</v>
      </c>
      <c r="AP224" s="278">
        <v>3</v>
      </c>
      <c r="AQ224" s="278">
        <v>3</v>
      </c>
    </row>
    <row r="225" spans="1:43">
      <c r="A225" s="135" t="s">
        <v>1900</v>
      </c>
      <c r="B225" s="135" t="s">
        <v>2147</v>
      </c>
      <c r="C225" s="135" t="s">
        <v>2101</v>
      </c>
      <c r="D225" s="46">
        <v>11132715</v>
      </c>
      <c r="E225" s="20" t="s">
        <v>216</v>
      </c>
      <c r="F225" s="20" t="s">
        <v>217</v>
      </c>
      <c r="G225" s="24">
        <v>50</v>
      </c>
      <c r="H225" s="21">
        <v>46242</v>
      </c>
      <c r="I225" s="53" t="s">
        <v>2102</v>
      </c>
      <c r="J225" s="24" t="s">
        <v>1901</v>
      </c>
      <c r="K225" s="24">
        <v>50</v>
      </c>
      <c r="L225" s="46">
        <v>12116036</v>
      </c>
      <c r="M225" s="20" t="s">
        <v>103</v>
      </c>
      <c r="N225" s="38">
        <v>0</v>
      </c>
      <c r="O225" s="38">
        <v>0</v>
      </c>
      <c r="P225" s="20" t="s">
        <v>354</v>
      </c>
      <c r="Q225" s="20">
        <v>0</v>
      </c>
      <c r="R225" s="40">
        <v>46234</v>
      </c>
      <c r="S225" s="38">
        <v>0</v>
      </c>
      <c r="T225" s="38">
        <v>0</v>
      </c>
      <c r="U225" s="40">
        <v>46235</v>
      </c>
      <c r="V225" s="40">
        <v>46235</v>
      </c>
      <c r="W225" s="20" t="s">
        <v>57</v>
      </c>
      <c r="X225" s="21"/>
      <c r="Y225" s="19">
        <f>VLOOKUP(F225,[2]New!$B:$G,3,0)*K225/60</f>
        <v>17.5</v>
      </c>
      <c r="Z225" s="19">
        <f>VLOOKUP(F225,[2]New!$B:$G,4,0)*K225/60</f>
        <v>77.166666666666671</v>
      </c>
      <c r="AA225" s="19">
        <f>VLOOKUP(F225,[2]New!$B:$G,6,0)*K225/60</f>
        <v>35.833333333333336</v>
      </c>
      <c r="AB225" s="44">
        <f>VLOOKUP(A225,'[4]PO CAG (2)'!$A:$L,12,0)</f>
        <v>46274</v>
      </c>
      <c r="AC225" s="22">
        <f>IFERROR(VLOOKUP(F225,[3]Sheet1!$E:$H,4,0),)</f>
        <v>0</v>
      </c>
      <c r="AD225" s="144">
        <v>50</v>
      </c>
      <c r="AE225" s="25" t="s">
        <v>3023</v>
      </c>
      <c r="AF225" s="135" t="s">
        <v>112</v>
      </c>
      <c r="AG225" s="135"/>
      <c r="AH225" s="135"/>
      <c r="AI225" s="23">
        <v>0</v>
      </c>
      <c r="AJ225" s="267" t="s">
        <v>153</v>
      </c>
      <c r="AN225" s="278">
        <v>3</v>
      </c>
      <c r="AO225" s="278">
        <v>3</v>
      </c>
      <c r="AP225" s="278">
        <v>3</v>
      </c>
      <c r="AQ225" s="278">
        <v>3</v>
      </c>
    </row>
    <row r="226" spans="1:43">
      <c r="A226" s="135" t="s">
        <v>1902</v>
      </c>
      <c r="B226" s="135" t="s">
        <v>2148</v>
      </c>
      <c r="C226" s="135" t="s">
        <v>2103</v>
      </c>
      <c r="D226" s="46">
        <v>11132714</v>
      </c>
      <c r="E226" s="20" t="s">
        <v>462</v>
      </c>
      <c r="F226" s="20" t="s">
        <v>463</v>
      </c>
      <c r="G226" s="24">
        <v>110</v>
      </c>
      <c r="H226" s="21">
        <v>46242</v>
      </c>
      <c r="I226" s="53" t="s">
        <v>2104</v>
      </c>
      <c r="J226" s="24" t="s">
        <v>1903</v>
      </c>
      <c r="K226" s="24">
        <v>110</v>
      </c>
      <c r="L226" s="46">
        <v>12116034</v>
      </c>
      <c r="M226" s="20" t="s">
        <v>105</v>
      </c>
      <c r="N226" s="38">
        <v>0</v>
      </c>
      <c r="O226" s="38">
        <v>0</v>
      </c>
      <c r="P226" s="20" t="s">
        <v>354</v>
      </c>
      <c r="Q226" s="20">
        <v>0</v>
      </c>
      <c r="R226" s="40">
        <v>46234</v>
      </c>
      <c r="S226" s="38">
        <v>0</v>
      </c>
      <c r="T226" s="38">
        <v>0</v>
      </c>
      <c r="U226" s="40">
        <v>46235</v>
      </c>
      <c r="V226" s="40">
        <v>46235</v>
      </c>
      <c r="W226" s="20" t="s">
        <v>57</v>
      </c>
      <c r="X226" s="21"/>
      <c r="Y226" s="19">
        <f>VLOOKUP(F226,[2]New!$B:$G,3,0)*K226/60</f>
        <v>158.21666666666667</v>
      </c>
      <c r="Z226" s="19">
        <f>VLOOKUP(F226,[2]New!$B:$G,4,0)*K226/60</f>
        <v>179.66666666666666</v>
      </c>
      <c r="AA226" s="19">
        <f>VLOOKUP(F226,[2]New!$B:$G,6,0)*K226/60</f>
        <v>357.5</v>
      </c>
      <c r="AB226" s="44">
        <f>VLOOKUP(A226,'[4]PO CAG (2)'!$A:$L,12,0)</f>
        <v>46274</v>
      </c>
      <c r="AC226" s="22">
        <f>IFERROR(VLOOKUP(F226,[3]Sheet1!$E:$H,4,0),)</f>
        <v>0</v>
      </c>
      <c r="AD226" s="144">
        <v>110</v>
      </c>
      <c r="AE226" s="25" t="s">
        <v>3023</v>
      </c>
      <c r="AF226" s="135" t="s">
        <v>112</v>
      </c>
      <c r="AG226" s="135"/>
      <c r="AH226" s="135"/>
      <c r="AI226" s="23">
        <v>0</v>
      </c>
      <c r="AJ226" s="267" t="s">
        <v>153</v>
      </c>
      <c r="AN226" s="278">
        <v>3</v>
      </c>
      <c r="AO226" s="278">
        <v>3</v>
      </c>
      <c r="AP226" s="278">
        <v>3</v>
      </c>
      <c r="AQ226" s="278">
        <v>3</v>
      </c>
    </row>
    <row r="227" spans="1:43">
      <c r="A227" s="135" t="s">
        <v>1904</v>
      </c>
      <c r="B227" s="135" t="s">
        <v>2149</v>
      </c>
      <c r="C227" s="135" t="s">
        <v>2105</v>
      </c>
      <c r="D227" s="46">
        <v>11130535</v>
      </c>
      <c r="E227" s="20" t="s">
        <v>357</v>
      </c>
      <c r="F227" s="20" t="s">
        <v>358</v>
      </c>
      <c r="G227" s="24">
        <v>1</v>
      </c>
      <c r="H227" s="21">
        <v>46242</v>
      </c>
      <c r="I227" s="53" t="s">
        <v>2106</v>
      </c>
      <c r="J227" s="24" t="s">
        <v>1905</v>
      </c>
      <c r="K227" s="24">
        <v>1</v>
      </c>
      <c r="L227" s="46">
        <v>12122136</v>
      </c>
      <c r="M227" s="20" t="s">
        <v>365</v>
      </c>
      <c r="N227" s="38">
        <v>0</v>
      </c>
      <c r="O227" s="38">
        <v>0</v>
      </c>
      <c r="P227" s="20" t="s">
        <v>354</v>
      </c>
      <c r="Q227" s="20">
        <v>0</v>
      </c>
      <c r="R227" s="40">
        <v>46234</v>
      </c>
      <c r="S227" s="38">
        <v>0</v>
      </c>
      <c r="T227" s="38">
        <v>0</v>
      </c>
      <c r="U227" s="40">
        <v>46235</v>
      </c>
      <c r="V227" s="40">
        <v>46235</v>
      </c>
      <c r="W227" s="20" t="s">
        <v>57</v>
      </c>
      <c r="X227" s="21"/>
      <c r="Y227" s="19">
        <f>VLOOKUP(F227,[2]New!$B:$G,3,0)*K227/60</f>
        <v>0.35</v>
      </c>
      <c r="Z227" s="19">
        <f>VLOOKUP(F227,[2]New!$B:$G,4,0)*K227/60</f>
        <v>1.5433333333333332</v>
      </c>
      <c r="AA227" s="19">
        <f>VLOOKUP(F227,[2]New!$B:$G,6,0)*K227/60</f>
        <v>0.71666666666666667</v>
      </c>
      <c r="AB227" s="44">
        <f>VLOOKUP(A227,'[4]PO CAG (2)'!$A:$L,12,0)</f>
        <v>46274</v>
      </c>
      <c r="AC227" s="22">
        <f>IFERROR(VLOOKUP(F227,[3]Sheet1!$E:$H,4,0),)</f>
        <v>0</v>
      </c>
      <c r="AD227" s="144">
        <v>1</v>
      </c>
      <c r="AE227" s="25" t="s">
        <v>3023</v>
      </c>
      <c r="AF227" s="135" t="s">
        <v>112</v>
      </c>
      <c r="AG227" s="135"/>
      <c r="AH227" s="135"/>
      <c r="AI227" s="23">
        <v>0</v>
      </c>
      <c r="AJ227" s="267" t="s">
        <v>153</v>
      </c>
      <c r="AN227" s="278">
        <v>3</v>
      </c>
      <c r="AO227" s="278">
        <v>3</v>
      </c>
      <c r="AP227" s="278">
        <v>3</v>
      </c>
      <c r="AQ227" s="278">
        <v>3</v>
      </c>
    </row>
    <row r="228" spans="1:43">
      <c r="A228" s="135" t="s">
        <v>1906</v>
      </c>
      <c r="B228" s="135" t="s">
        <v>2150</v>
      </c>
      <c r="C228" s="135" t="s">
        <v>2107</v>
      </c>
      <c r="D228" s="46">
        <v>11130566</v>
      </c>
      <c r="E228" s="20" t="s">
        <v>363</v>
      </c>
      <c r="F228" s="20" t="s">
        <v>364</v>
      </c>
      <c r="G228" s="24">
        <v>2</v>
      </c>
      <c r="H228" s="21">
        <v>46242</v>
      </c>
      <c r="I228" s="53" t="s">
        <v>2108</v>
      </c>
      <c r="J228" s="24" t="s">
        <v>1907</v>
      </c>
      <c r="K228" s="24">
        <v>2</v>
      </c>
      <c r="L228" s="46">
        <v>12115972</v>
      </c>
      <c r="M228" s="20" t="s">
        <v>104</v>
      </c>
      <c r="N228" s="38">
        <v>0</v>
      </c>
      <c r="O228" s="38">
        <v>0</v>
      </c>
      <c r="P228" s="20" t="s">
        <v>354</v>
      </c>
      <c r="Q228" s="20">
        <v>0</v>
      </c>
      <c r="R228" s="40">
        <v>46234</v>
      </c>
      <c r="S228" s="38">
        <v>0</v>
      </c>
      <c r="T228" s="38">
        <v>0</v>
      </c>
      <c r="U228" s="40">
        <v>46235</v>
      </c>
      <c r="V228" s="40">
        <v>46235</v>
      </c>
      <c r="W228" s="20" t="s">
        <v>57</v>
      </c>
      <c r="X228" s="21"/>
      <c r="Y228" s="19">
        <f>VLOOKUP(F228,[2]New!$B:$G,3,0)*K228/60</f>
        <v>0.7</v>
      </c>
      <c r="Z228" s="19">
        <f>VLOOKUP(F228,[2]New!$B:$G,4,0)*K228/60</f>
        <v>3.0866666666666664</v>
      </c>
      <c r="AA228" s="19">
        <f>VLOOKUP(F228,[2]New!$B:$G,6,0)*K228/60</f>
        <v>1.4333333333333333</v>
      </c>
      <c r="AB228" s="44">
        <f>VLOOKUP(A228,'[4]PO CAG (2)'!$A:$L,12,0)</f>
        <v>46274</v>
      </c>
      <c r="AC228" s="22">
        <f>IFERROR(VLOOKUP(F228,[3]Sheet1!$E:$H,4,0),)</f>
        <v>0</v>
      </c>
      <c r="AD228" s="144">
        <v>2</v>
      </c>
      <c r="AE228" s="25" t="s">
        <v>3023</v>
      </c>
      <c r="AF228" s="135" t="s">
        <v>112</v>
      </c>
      <c r="AG228" s="135"/>
      <c r="AH228" s="135"/>
      <c r="AI228" s="23">
        <v>0</v>
      </c>
      <c r="AJ228" s="267" t="s">
        <v>153</v>
      </c>
      <c r="AN228" s="278">
        <v>3</v>
      </c>
      <c r="AO228" s="278">
        <v>3</v>
      </c>
      <c r="AP228" s="278">
        <v>3</v>
      </c>
      <c r="AQ228" s="278">
        <v>3</v>
      </c>
    </row>
    <row r="229" spans="1:43">
      <c r="A229" s="135" t="s">
        <v>1908</v>
      </c>
      <c r="B229" s="135" t="s">
        <v>2151</v>
      </c>
      <c r="C229" s="135" t="s">
        <v>2109</v>
      </c>
      <c r="D229" s="46">
        <v>11130822</v>
      </c>
      <c r="E229" s="20" t="s">
        <v>1909</v>
      </c>
      <c r="F229" s="20" t="s">
        <v>1910</v>
      </c>
      <c r="G229" s="24">
        <v>2</v>
      </c>
      <c r="H229" s="21">
        <v>46242</v>
      </c>
      <c r="I229" s="53" t="s">
        <v>2110</v>
      </c>
      <c r="J229" s="24" t="s">
        <v>1911</v>
      </c>
      <c r="K229" s="24">
        <v>2</v>
      </c>
      <c r="L229" s="46">
        <v>12116209</v>
      </c>
      <c r="M229" s="20" t="s">
        <v>1953</v>
      </c>
      <c r="N229" s="38">
        <v>0</v>
      </c>
      <c r="O229" s="38">
        <v>0</v>
      </c>
      <c r="P229" s="20" t="s">
        <v>354</v>
      </c>
      <c r="Q229" s="20">
        <v>0</v>
      </c>
      <c r="R229" s="40">
        <v>46234</v>
      </c>
      <c r="S229" s="38">
        <v>0</v>
      </c>
      <c r="T229" s="38">
        <v>0</v>
      </c>
      <c r="U229" s="40">
        <v>46235</v>
      </c>
      <c r="V229" s="40">
        <v>46235</v>
      </c>
      <c r="W229" s="20" t="s">
        <v>57</v>
      </c>
      <c r="X229" s="21"/>
      <c r="Y229" s="19">
        <f>VLOOKUP(F229,[2]New!$B:$G,3,0)*K229/60</f>
        <v>0.7</v>
      </c>
      <c r="Z229" s="19">
        <f>VLOOKUP(F229,[2]New!$B:$G,4,0)*K229/60</f>
        <v>3.0866666666666664</v>
      </c>
      <c r="AA229" s="19">
        <f>VLOOKUP(F229,[2]New!$B:$G,6,0)*K229/60</f>
        <v>1.4333333333333333</v>
      </c>
      <c r="AB229" s="44">
        <f>VLOOKUP(A229,'[4]PO CAG (2)'!$A:$L,12,0)</f>
        <v>46274</v>
      </c>
      <c r="AC229" s="22">
        <f>IFERROR(VLOOKUP(F229,[3]Sheet1!$E:$H,4,0),)</f>
        <v>0</v>
      </c>
      <c r="AD229" s="144">
        <v>2</v>
      </c>
      <c r="AE229" s="25" t="s">
        <v>3023</v>
      </c>
      <c r="AF229" s="135" t="s">
        <v>112</v>
      </c>
      <c r="AG229" s="135"/>
      <c r="AH229" s="135"/>
      <c r="AI229" s="23">
        <v>0</v>
      </c>
      <c r="AJ229" s="267" t="s">
        <v>153</v>
      </c>
      <c r="AN229" s="278">
        <v>3</v>
      </c>
      <c r="AO229" s="278">
        <v>3</v>
      </c>
      <c r="AP229" s="278">
        <v>3</v>
      </c>
      <c r="AQ229" s="278">
        <v>3</v>
      </c>
    </row>
    <row r="230" spans="1:43">
      <c r="A230" s="135" t="s">
        <v>1912</v>
      </c>
      <c r="B230" s="135" t="s">
        <v>2152</v>
      </c>
      <c r="C230" s="135" t="s">
        <v>2111</v>
      </c>
      <c r="D230" s="46">
        <v>11130628</v>
      </c>
      <c r="E230" s="20" t="s">
        <v>1913</v>
      </c>
      <c r="F230" s="20" t="s">
        <v>1914</v>
      </c>
      <c r="G230" s="24">
        <v>5</v>
      </c>
      <c r="H230" s="21">
        <v>46242</v>
      </c>
      <c r="I230" s="53" t="s">
        <v>2112</v>
      </c>
      <c r="J230" s="24" t="s">
        <v>1915</v>
      </c>
      <c r="K230" s="24">
        <v>5</v>
      </c>
      <c r="L230" s="46">
        <v>12116002</v>
      </c>
      <c r="M230" s="20" t="s">
        <v>1025</v>
      </c>
      <c r="N230" s="38">
        <v>0</v>
      </c>
      <c r="O230" s="38">
        <v>0</v>
      </c>
      <c r="P230" s="20" t="s">
        <v>354</v>
      </c>
      <c r="Q230" s="20">
        <v>0</v>
      </c>
      <c r="R230" s="40">
        <v>46234</v>
      </c>
      <c r="S230" s="38">
        <v>0</v>
      </c>
      <c r="T230" s="38">
        <v>0</v>
      </c>
      <c r="U230" s="40">
        <v>46235</v>
      </c>
      <c r="V230" s="40">
        <v>46235</v>
      </c>
      <c r="W230" s="20" t="s">
        <v>57</v>
      </c>
      <c r="X230" s="21"/>
      <c r="Y230" s="19">
        <f>VLOOKUP(F230,[2]New!$B:$G,3,0)*K230/60</f>
        <v>1.75</v>
      </c>
      <c r="Z230" s="19">
        <f>VLOOKUP(F230,[2]New!$B:$G,4,0)*K230/60</f>
        <v>7.7166666666666668</v>
      </c>
      <c r="AA230" s="19">
        <f>VLOOKUP(F230,[2]New!$B:$G,6,0)*K230/60</f>
        <v>3.5833333333333335</v>
      </c>
      <c r="AB230" s="44">
        <f>VLOOKUP(A230,'[4]PO CAG (2)'!$A:$L,12,0)</f>
        <v>46274</v>
      </c>
      <c r="AC230" s="22">
        <f>IFERROR(VLOOKUP(F230,[3]Sheet1!$E:$H,4,0),)</f>
        <v>0</v>
      </c>
      <c r="AD230" s="144">
        <v>5</v>
      </c>
      <c r="AE230" s="25" t="s">
        <v>3023</v>
      </c>
      <c r="AF230" s="135" t="s">
        <v>112</v>
      </c>
      <c r="AG230" s="135"/>
      <c r="AH230" s="135"/>
      <c r="AI230" s="23">
        <v>0</v>
      </c>
      <c r="AJ230" s="267" t="s">
        <v>153</v>
      </c>
      <c r="AN230" s="278">
        <v>3</v>
      </c>
      <c r="AO230" s="278">
        <v>3</v>
      </c>
      <c r="AP230" s="278">
        <v>3</v>
      </c>
      <c r="AQ230" s="278">
        <v>3</v>
      </c>
    </row>
    <row r="231" spans="1:43">
      <c r="A231" s="135" t="s">
        <v>1916</v>
      </c>
      <c r="B231" s="135" t="s">
        <v>2153</v>
      </c>
      <c r="C231" s="135" t="s">
        <v>2113</v>
      </c>
      <c r="D231" s="46">
        <v>11130658</v>
      </c>
      <c r="E231" s="20" t="s">
        <v>108</v>
      </c>
      <c r="F231" s="20" t="s">
        <v>109</v>
      </c>
      <c r="G231" s="24">
        <v>6</v>
      </c>
      <c r="H231" s="21">
        <v>46242</v>
      </c>
      <c r="I231" s="53" t="s">
        <v>2114</v>
      </c>
      <c r="J231" s="24" t="s">
        <v>1917</v>
      </c>
      <c r="K231" s="24">
        <v>6</v>
      </c>
      <c r="L231" s="46">
        <v>12116142</v>
      </c>
      <c r="M231" s="20" t="s">
        <v>102</v>
      </c>
      <c r="N231" s="38">
        <v>0</v>
      </c>
      <c r="O231" s="38">
        <v>0</v>
      </c>
      <c r="P231" s="20" t="s">
        <v>354</v>
      </c>
      <c r="Q231" s="20">
        <v>0</v>
      </c>
      <c r="R231" s="40">
        <v>46234</v>
      </c>
      <c r="S231" s="38">
        <v>0</v>
      </c>
      <c r="T231" s="38">
        <v>0</v>
      </c>
      <c r="U231" s="40">
        <v>46235</v>
      </c>
      <c r="V231" s="40">
        <v>46235</v>
      </c>
      <c r="W231" s="20" t="s">
        <v>57</v>
      </c>
      <c r="X231" s="21"/>
      <c r="Y231" s="19">
        <f>VLOOKUP(F231,[2]New!$B:$G,3,0)*K231/60</f>
        <v>2.1</v>
      </c>
      <c r="Z231" s="19">
        <f>VLOOKUP(F231,[2]New!$B:$G,4,0)*K231/60</f>
        <v>9.259999999999998</v>
      </c>
      <c r="AA231" s="19">
        <f>VLOOKUP(F231,[2]New!$B:$G,6,0)*K231/60</f>
        <v>4.3</v>
      </c>
      <c r="AB231" s="44">
        <f>VLOOKUP(A231,'[4]PO CAG (2)'!$A:$L,12,0)</f>
        <v>46274</v>
      </c>
      <c r="AC231" s="22">
        <f>IFERROR(VLOOKUP(F231,[3]Sheet1!$E:$H,4,0),)</f>
        <v>0</v>
      </c>
      <c r="AD231" s="144">
        <v>6</v>
      </c>
      <c r="AE231" s="25" t="s">
        <v>3023</v>
      </c>
      <c r="AF231" s="135" t="s">
        <v>112</v>
      </c>
      <c r="AG231" s="135"/>
      <c r="AH231" s="135"/>
      <c r="AI231" s="23">
        <v>0</v>
      </c>
      <c r="AJ231" s="267" t="s">
        <v>153</v>
      </c>
      <c r="AN231" s="278">
        <v>3</v>
      </c>
      <c r="AO231" s="278">
        <v>3</v>
      </c>
      <c r="AP231" s="278">
        <v>3</v>
      </c>
      <c r="AQ231" s="278">
        <v>3</v>
      </c>
    </row>
    <row r="232" spans="1:43">
      <c r="A232" s="135" t="s">
        <v>1918</v>
      </c>
      <c r="B232" s="135" t="s">
        <v>2154</v>
      </c>
      <c r="C232" s="135" t="s">
        <v>2115</v>
      </c>
      <c r="D232" s="46">
        <v>11130565</v>
      </c>
      <c r="E232" s="20" t="s">
        <v>361</v>
      </c>
      <c r="F232" s="20" t="s">
        <v>362</v>
      </c>
      <c r="G232" s="24">
        <v>17</v>
      </c>
      <c r="H232" s="21">
        <v>46242</v>
      </c>
      <c r="I232" s="53" t="s">
        <v>2116</v>
      </c>
      <c r="J232" s="24" t="s">
        <v>1919</v>
      </c>
      <c r="K232" s="24">
        <v>17</v>
      </c>
      <c r="L232" s="46">
        <v>12115968</v>
      </c>
      <c r="M232" s="20" t="s">
        <v>106</v>
      </c>
      <c r="N232" s="38">
        <v>0</v>
      </c>
      <c r="O232" s="38">
        <v>0</v>
      </c>
      <c r="P232" s="20" t="s">
        <v>354</v>
      </c>
      <c r="Q232" s="20">
        <v>0</v>
      </c>
      <c r="R232" s="40">
        <v>46234</v>
      </c>
      <c r="S232" s="38">
        <v>0</v>
      </c>
      <c r="T232" s="38">
        <v>0</v>
      </c>
      <c r="U232" s="40">
        <v>46235</v>
      </c>
      <c r="V232" s="40">
        <v>46235</v>
      </c>
      <c r="W232" s="20" t="s">
        <v>57</v>
      </c>
      <c r="X232" s="21"/>
      <c r="Y232" s="19">
        <f>VLOOKUP(F232,[2]New!$B:$G,3,0)*K232/60</f>
        <v>5.95</v>
      </c>
      <c r="Z232" s="19">
        <f>VLOOKUP(F232,[2]New!$B:$G,4,0)*K232/60</f>
        <v>26.236666666666665</v>
      </c>
      <c r="AA232" s="19">
        <f>VLOOKUP(F232,[2]New!$B:$G,6,0)*K232/60</f>
        <v>12.183333333333334</v>
      </c>
      <c r="AB232" s="44">
        <f>VLOOKUP(A232,'[4]PO CAG (2)'!$A:$L,12,0)</f>
        <v>46274</v>
      </c>
      <c r="AC232" s="22">
        <f>IFERROR(VLOOKUP(F232,[3]Sheet1!$E:$H,4,0),)</f>
        <v>0</v>
      </c>
      <c r="AD232" s="144">
        <v>17</v>
      </c>
      <c r="AE232" s="25" t="s">
        <v>3023</v>
      </c>
      <c r="AF232" s="135" t="s">
        <v>112</v>
      </c>
      <c r="AG232" s="135"/>
      <c r="AH232" s="135"/>
      <c r="AI232" s="23">
        <v>0</v>
      </c>
      <c r="AJ232" s="267" t="s">
        <v>153</v>
      </c>
      <c r="AN232" s="278">
        <v>3</v>
      </c>
      <c r="AO232" s="278">
        <v>3</v>
      </c>
      <c r="AP232" s="278">
        <v>3</v>
      </c>
      <c r="AQ232" s="278">
        <v>3</v>
      </c>
    </row>
    <row r="233" spans="1:43">
      <c r="A233" s="135" t="s">
        <v>1920</v>
      </c>
      <c r="B233" s="135" t="s">
        <v>2155</v>
      </c>
      <c r="C233" s="135" t="s">
        <v>2117</v>
      </c>
      <c r="D233" s="46">
        <v>11130530</v>
      </c>
      <c r="E233" s="20" t="s">
        <v>190</v>
      </c>
      <c r="F233" s="20" t="s">
        <v>191</v>
      </c>
      <c r="G233" s="24">
        <v>28</v>
      </c>
      <c r="H233" s="21">
        <v>46242</v>
      </c>
      <c r="I233" s="53" t="s">
        <v>2118</v>
      </c>
      <c r="J233" s="24" t="s">
        <v>1921</v>
      </c>
      <c r="K233" s="24">
        <v>28</v>
      </c>
      <c r="L233" s="46">
        <v>12116026</v>
      </c>
      <c r="M233" s="20" t="s">
        <v>99</v>
      </c>
      <c r="N233" s="38">
        <v>0</v>
      </c>
      <c r="O233" s="38">
        <v>0</v>
      </c>
      <c r="P233" s="20" t="s">
        <v>354</v>
      </c>
      <c r="Q233" s="20">
        <v>0</v>
      </c>
      <c r="R233" s="40">
        <v>46234</v>
      </c>
      <c r="S233" s="38">
        <v>0</v>
      </c>
      <c r="T233" s="38">
        <v>0</v>
      </c>
      <c r="U233" s="40">
        <v>46235</v>
      </c>
      <c r="V233" s="40">
        <v>46235</v>
      </c>
      <c r="W233" s="20" t="s">
        <v>57</v>
      </c>
      <c r="X233" s="21"/>
      <c r="Y233" s="19">
        <f>VLOOKUP(F233,[2]New!$B:$G,3,0)*K233/60</f>
        <v>9.8000000000000007</v>
      </c>
      <c r="Z233" s="19">
        <f>VLOOKUP(F233,[2]New!$B:$G,4,0)*K233/60</f>
        <v>43.213333333333331</v>
      </c>
      <c r="AA233" s="19">
        <f>VLOOKUP(F233,[2]New!$B:$G,6,0)*K233/60</f>
        <v>20.066666666666666</v>
      </c>
      <c r="AB233" s="44">
        <f>VLOOKUP(A233,'[4]PO CAG (2)'!$A:$L,12,0)</f>
        <v>46274</v>
      </c>
      <c r="AC233" s="22">
        <f>IFERROR(VLOOKUP(F233,[3]Sheet1!$E:$H,4,0),)</f>
        <v>0</v>
      </c>
      <c r="AD233" s="144">
        <v>28</v>
      </c>
      <c r="AE233" s="25" t="s">
        <v>3023</v>
      </c>
      <c r="AF233" s="135" t="s">
        <v>112</v>
      </c>
      <c r="AG233" s="135"/>
      <c r="AH233" s="135"/>
      <c r="AI233" s="23">
        <v>0</v>
      </c>
      <c r="AJ233" s="267" t="s">
        <v>153</v>
      </c>
      <c r="AN233" s="278">
        <v>3</v>
      </c>
      <c r="AO233" s="278">
        <v>3</v>
      </c>
      <c r="AP233" s="278">
        <v>3</v>
      </c>
      <c r="AQ233" s="278">
        <v>3</v>
      </c>
    </row>
    <row r="234" spans="1:43">
      <c r="A234" s="135" t="s">
        <v>1922</v>
      </c>
      <c r="B234" s="135" t="s">
        <v>2156</v>
      </c>
      <c r="C234" s="135" t="s">
        <v>2119</v>
      </c>
      <c r="D234" s="46">
        <v>11130566</v>
      </c>
      <c r="E234" s="20" t="s">
        <v>363</v>
      </c>
      <c r="F234" s="20" t="s">
        <v>364</v>
      </c>
      <c r="G234" s="24">
        <v>4</v>
      </c>
      <c r="H234" s="21">
        <v>46242</v>
      </c>
      <c r="I234" s="53" t="s">
        <v>2120</v>
      </c>
      <c r="J234" s="24" t="s">
        <v>1923</v>
      </c>
      <c r="K234" s="24">
        <v>4</v>
      </c>
      <c r="L234" s="46">
        <v>12115972</v>
      </c>
      <c r="M234" s="20" t="s">
        <v>104</v>
      </c>
      <c r="N234" s="38">
        <v>0</v>
      </c>
      <c r="O234" s="38">
        <v>0</v>
      </c>
      <c r="P234" s="20" t="s">
        <v>94</v>
      </c>
      <c r="Q234" s="20">
        <v>0</v>
      </c>
      <c r="R234" s="40">
        <v>46234</v>
      </c>
      <c r="S234" s="38">
        <v>0</v>
      </c>
      <c r="T234" s="38">
        <v>0</v>
      </c>
      <c r="U234" s="40">
        <v>46235</v>
      </c>
      <c r="V234" s="40">
        <v>46235</v>
      </c>
      <c r="W234" s="20" t="s">
        <v>57</v>
      </c>
      <c r="X234" s="21"/>
      <c r="Y234" s="19">
        <f>VLOOKUP(F234,[2]New!$B:$G,3,0)*K234/60</f>
        <v>1.4</v>
      </c>
      <c r="Z234" s="19">
        <f>VLOOKUP(F234,[2]New!$B:$G,4,0)*K234/60</f>
        <v>6.1733333333333329</v>
      </c>
      <c r="AA234" s="19">
        <f>VLOOKUP(F234,[2]New!$B:$G,6,0)*K234/60</f>
        <v>2.8666666666666667</v>
      </c>
      <c r="AB234" s="44">
        <f>VLOOKUP(A234,'[4]PO CAG (2)'!$A:$L,12,0)</f>
        <v>46274</v>
      </c>
      <c r="AC234" s="22">
        <f>IFERROR(VLOOKUP(F234,[3]Sheet1!$E:$H,4,0),)</f>
        <v>0</v>
      </c>
      <c r="AD234" s="144">
        <v>4</v>
      </c>
      <c r="AE234" s="25" t="s">
        <v>3023</v>
      </c>
      <c r="AF234" s="135" t="s">
        <v>112</v>
      </c>
      <c r="AG234" s="135"/>
      <c r="AH234" s="135"/>
      <c r="AI234" s="23">
        <v>0</v>
      </c>
      <c r="AJ234" s="267" t="s">
        <v>153</v>
      </c>
      <c r="AN234" s="278">
        <v>3</v>
      </c>
      <c r="AO234" s="278">
        <v>3</v>
      </c>
      <c r="AP234" s="278">
        <v>3</v>
      </c>
      <c r="AQ234" s="278">
        <v>3</v>
      </c>
    </row>
    <row r="235" spans="1:43">
      <c r="A235" s="135" t="s">
        <v>1924</v>
      </c>
      <c r="B235" s="135" t="s">
        <v>2157</v>
      </c>
      <c r="C235" s="135" t="s">
        <v>2121</v>
      </c>
      <c r="D235" s="46">
        <v>11130696</v>
      </c>
      <c r="E235" s="20" t="s">
        <v>1925</v>
      </c>
      <c r="F235" s="20" t="s">
        <v>1926</v>
      </c>
      <c r="G235" s="24">
        <v>3</v>
      </c>
      <c r="H235" s="21">
        <v>46242</v>
      </c>
      <c r="I235" s="53" t="s">
        <v>2122</v>
      </c>
      <c r="J235" s="24" t="s">
        <v>1927</v>
      </c>
      <c r="K235" s="24">
        <v>3</v>
      </c>
      <c r="L235" s="46">
        <v>12116078</v>
      </c>
      <c r="M235" s="20" t="s">
        <v>1954</v>
      </c>
      <c r="N235" s="38">
        <v>0</v>
      </c>
      <c r="O235" s="38">
        <v>0</v>
      </c>
      <c r="P235" s="20" t="s">
        <v>94</v>
      </c>
      <c r="Q235" s="20">
        <v>0</v>
      </c>
      <c r="R235" s="40">
        <v>46234</v>
      </c>
      <c r="S235" s="38">
        <v>0</v>
      </c>
      <c r="T235" s="38">
        <v>0</v>
      </c>
      <c r="U235" s="40">
        <v>46235</v>
      </c>
      <c r="V235" s="40">
        <v>46235</v>
      </c>
      <c r="W235" s="20" t="s">
        <v>57</v>
      </c>
      <c r="X235" s="21"/>
      <c r="Y235" s="19">
        <v>0</v>
      </c>
      <c r="Z235" s="19">
        <v>0</v>
      </c>
      <c r="AA235" s="19">
        <v>0</v>
      </c>
      <c r="AB235" s="44">
        <f>VLOOKUP(A235,'[4]PO CAG (2)'!$A:$L,12,0)</f>
        <v>46274</v>
      </c>
      <c r="AC235" s="22">
        <f>IFERROR(VLOOKUP(F235,[3]Sheet1!$E:$H,4,0),)</f>
        <v>0</v>
      </c>
      <c r="AD235" s="144">
        <v>3</v>
      </c>
      <c r="AE235" s="25" t="s">
        <v>3023</v>
      </c>
      <c r="AF235" s="135" t="s">
        <v>112</v>
      </c>
      <c r="AG235" s="135"/>
      <c r="AH235" s="135"/>
      <c r="AI235" s="23">
        <v>0</v>
      </c>
      <c r="AJ235" s="267" t="s">
        <v>153</v>
      </c>
      <c r="AN235" s="278">
        <v>3</v>
      </c>
      <c r="AO235" s="278">
        <v>3</v>
      </c>
      <c r="AP235" s="278">
        <v>3</v>
      </c>
      <c r="AQ235" s="278">
        <v>3</v>
      </c>
    </row>
    <row r="236" spans="1:43">
      <c r="A236" s="135" t="s">
        <v>1928</v>
      </c>
      <c r="B236" s="135" t="s">
        <v>2158</v>
      </c>
      <c r="C236" s="135" t="s">
        <v>2123</v>
      </c>
      <c r="D236" s="46">
        <v>11130546</v>
      </c>
      <c r="E236" s="20" t="s">
        <v>359</v>
      </c>
      <c r="F236" s="20" t="s">
        <v>360</v>
      </c>
      <c r="G236" s="24">
        <v>5</v>
      </c>
      <c r="H236" s="21">
        <v>46242</v>
      </c>
      <c r="I236" s="53" t="s">
        <v>2124</v>
      </c>
      <c r="J236" s="24" t="s">
        <v>1929</v>
      </c>
      <c r="K236" s="24">
        <v>5</v>
      </c>
      <c r="L236" s="46">
        <v>12116006</v>
      </c>
      <c r="M236" s="20" t="s">
        <v>97</v>
      </c>
      <c r="N236" s="38">
        <v>0</v>
      </c>
      <c r="O236" s="38">
        <v>0</v>
      </c>
      <c r="P236" s="20" t="s">
        <v>94</v>
      </c>
      <c r="Q236" s="20">
        <v>0</v>
      </c>
      <c r="R236" s="40">
        <v>46234</v>
      </c>
      <c r="S236" s="38">
        <v>0</v>
      </c>
      <c r="T236" s="38">
        <v>0</v>
      </c>
      <c r="U236" s="40">
        <v>46235</v>
      </c>
      <c r="V236" s="40">
        <v>46235</v>
      </c>
      <c r="W236" s="20" t="s">
        <v>57</v>
      </c>
      <c r="X236" s="21"/>
      <c r="Y236" s="19">
        <f>VLOOKUP(F236,[2]New!$B:$G,3,0)*K236/60</f>
        <v>1.75</v>
      </c>
      <c r="Z236" s="19">
        <f>VLOOKUP(F236,[2]New!$B:$G,4,0)*K236/60</f>
        <v>7.7166666666666668</v>
      </c>
      <c r="AA236" s="19">
        <f>VLOOKUP(F236,[2]New!$B:$G,6,0)*K236/60</f>
        <v>3.5833333333333335</v>
      </c>
      <c r="AB236" s="44">
        <f>VLOOKUP(A236,'[4]PO CAG (2)'!$A:$L,12,0)</f>
        <v>46274</v>
      </c>
      <c r="AC236" s="22">
        <f>IFERROR(VLOOKUP(F236,[3]Sheet1!$E:$H,4,0),)</f>
        <v>0</v>
      </c>
      <c r="AD236" s="144">
        <v>5</v>
      </c>
      <c r="AE236" s="25" t="s">
        <v>3023</v>
      </c>
      <c r="AF236" s="135" t="s">
        <v>112</v>
      </c>
      <c r="AG236" s="135"/>
      <c r="AH236" s="135"/>
      <c r="AI236" s="23">
        <v>0</v>
      </c>
      <c r="AJ236" s="267" t="s">
        <v>153</v>
      </c>
      <c r="AN236" s="278">
        <v>3</v>
      </c>
      <c r="AO236" s="278">
        <v>3</v>
      </c>
      <c r="AP236" s="278">
        <v>3</v>
      </c>
      <c r="AQ236" s="278">
        <v>3</v>
      </c>
    </row>
    <row r="237" spans="1:43">
      <c r="A237" s="135" t="s">
        <v>1930</v>
      </c>
      <c r="B237" s="135" t="s">
        <v>2159</v>
      </c>
      <c r="C237" s="135" t="s">
        <v>2125</v>
      </c>
      <c r="D237" s="46">
        <v>11130658</v>
      </c>
      <c r="E237" s="20" t="s">
        <v>108</v>
      </c>
      <c r="F237" s="20" t="s">
        <v>109</v>
      </c>
      <c r="G237" s="24">
        <v>7</v>
      </c>
      <c r="H237" s="21">
        <v>46242</v>
      </c>
      <c r="I237" s="53" t="s">
        <v>2126</v>
      </c>
      <c r="J237" s="24" t="s">
        <v>1931</v>
      </c>
      <c r="K237" s="24">
        <v>7</v>
      </c>
      <c r="L237" s="46">
        <v>12116142</v>
      </c>
      <c r="M237" s="20" t="s">
        <v>102</v>
      </c>
      <c r="N237" s="38">
        <v>0</v>
      </c>
      <c r="O237" s="38">
        <v>0</v>
      </c>
      <c r="P237" s="20" t="s">
        <v>94</v>
      </c>
      <c r="Q237" s="20">
        <v>0</v>
      </c>
      <c r="R237" s="40">
        <v>46234</v>
      </c>
      <c r="S237" s="38">
        <v>0</v>
      </c>
      <c r="T237" s="38">
        <v>0</v>
      </c>
      <c r="U237" s="40">
        <v>46235</v>
      </c>
      <c r="V237" s="40">
        <v>46235</v>
      </c>
      <c r="W237" s="20" t="s">
        <v>57</v>
      </c>
      <c r="X237" s="21"/>
      <c r="Y237" s="19">
        <f>VLOOKUP(F237,[2]New!$B:$G,3,0)*K237/60</f>
        <v>2.4500000000000002</v>
      </c>
      <c r="Z237" s="19">
        <f>VLOOKUP(F237,[2]New!$B:$G,4,0)*K237/60</f>
        <v>10.803333333333333</v>
      </c>
      <c r="AA237" s="19">
        <f>VLOOKUP(F237,[2]New!$B:$G,6,0)*K237/60</f>
        <v>5.0166666666666666</v>
      </c>
      <c r="AB237" s="44">
        <f>VLOOKUP(A237,'[4]PO CAG (2)'!$A:$L,12,0)</f>
        <v>46274</v>
      </c>
      <c r="AC237" s="22">
        <f>IFERROR(VLOOKUP(F237,[3]Sheet1!$E:$H,4,0),)</f>
        <v>0</v>
      </c>
      <c r="AD237" s="144">
        <v>7</v>
      </c>
      <c r="AE237" s="25" t="s">
        <v>3023</v>
      </c>
      <c r="AF237" s="135" t="s">
        <v>112</v>
      </c>
      <c r="AG237" s="135"/>
      <c r="AH237" s="135"/>
      <c r="AI237" s="23">
        <v>0</v>
      </c>
      <c r="AJ237" s="267" t="s">
        <v>153</v>
      </c>
      <c r="AN237" s="278">
        <v>3</v>
      </c>
      <c r="AO237" s="278">
        <v>3</v>
      </c>
      <c r="AP237" s="278">
        <v>3</v>
      </c>
      <c r="AQ237" s="278">
        <v>3</v>
      </c>
    </row>
    <row r="238" spans="1:43">
      <c r="A238" s="135" t="s">
        <v>1932</v>
      </c>
      <c r="B238" s="135" t="s">
        <v>2160</v>
      </c>
      <c r="C238" s="135" t="s">
        <v>2127</v>
      </c>
      <c r="D238" s="46">
        <v>11130530</v>
      </c>
      <c r="E238" s="20" t="s">
        <v>190</v>
      </c>
      <c r="F238" s="20" t="s">
        <v>191</v>
      </c>
      <c r="G238" s="24">
        <v>25</v>
      </c>
      <c r="H238" s="21">
        <v>46242</v>
      </c>
      <c r="I238" s="53" t="s">
        <v>2128</v>
      </c>
      <c r="J238" s="24" t="s">
        <v>1933</v>
      </c>
      <c r="K238" s="24">
        <v>25</v>
      </c>
      <c r="L238" s="46">
        <v>12116026</v>
      </c>
      <c r="M238" s="20" t="s">
        <v>99</v>
      </c>
      <c r="N238" s="38">
        <v>0</v>
      </c>
      <c r="O238" s="38">
        <v>0</v>
      </c>
      <c r="P238" s="20" t="s">
        <v>94</v>
      </c>
      <c r="Q238" s="20">
        <v>0</v>
      </c>
      <c r="R238" s="40">
        <v>46234</v>
      </c>
      <c r="S238" s="38">
        <v>0</v>
      </c>
      <c r="T238" s="38">
        <v>0</v>
      </c>
      <c r="U238" s="40">
        <v>46235</v>
      </c>
      <c r="V238" s="40">
        <v>46235</v>
      </c>
      <c r="W238" s="20" t="s">
        <v>57</v>
      </c>
      <c r="X238" s="21"/>
      <c r="Y238" s="19">
        <f>VLOOKUP(F238,[2]New!$B:$G,3,0)*K238/60</f>
        <v>8.75</v>
      </c>
      <c r="Z238" s="19">
        <f>VLOOKUP(F238,[2]New!$B:$G,4,0)*K238/60</f>
        <v>38.583333333333336</v>
      </c>
      <c r="AA238" s="19">
        <f>VLOOKUP(F238,[2]New!$B:$G,6,0)*K238/60</f>
        <v>17.916666666666668</v>
      </c>
      <c r="AB238" s="44">
        <f>VLOOKUP(A238,'[4]PO CAG (2)'!$A:$L,12,0)</f>
        <v>46274</v>
      </c>
      <c r="AC238" s="22">
        <f>IFERROR(VLOOKUP(F238,[3]Sheet1!$E:$H,4,0),)</f>
        <v>0</v>
      </c>
      <c r="AD238" s="144">
        <v>25</v>
      </c>
      <c r="AE238" s="25" t="s">
        <v>3023</v>
      </c>
      <c r="AF238" s="135" t="s">
        <v>112</v>
      </c>
      <c r="AG238" s="135"/>
      <c r="AH238" s="135"/>
      <c r="AI238" s="23">
        <v>0</v>
      </c>
      <c r="AJ238" s="267" t="s">
        <v>153</v>
      </c>
      <c r="AN238" s="278">
        <v>3</v>
      </c>
      <c r="AO238" s="278">
        <v>3</v>
      </c>
      <c r="AP238" s="278">
        <v>3</v>
      </c>
      <c r="AQ238" s="278">
        <v>3</v>
      </c>
    </row>
    <row r="239" spans="1:43">
      <c r="A239" s="135" t="s">
        <v>1934</v>
      </c>
      <c r="B239" s="135" t="s">
        <v>2161</v>
      </c>
      <c r="C239" s="135" t="s">
        <v>2129</v>
      </c>
      <c r="D239" s="46">
        <v>11119457</v>
      </c>
      <c r="E239" s="20" t="s">
        <v>1158</v>
      </c>
      <c r="F239" s="20" t="s">
        <v>1159</v>
      </c>
      <c r="G239" s="24">
        <v>1</v>
      </c>
      <c r="H239" s="21">
        <v>46242</v>
      </c>
      <c r="I239" s="53" t="s">
        <v>2130</v>
      </c>
      <c r="J239" s="24" t="s">
        <v>1935</v>
      </c>
      <c r="K239" s="24">
        <v>1</v>
      </c>
      <c r="L239" s="46">
        <v>12116092</v>
      </c>
      <c r="M239" s="20" t="s">
        <v>1174</v>
      </c>
      <c r="N239" s="38">
        <v>0</v>
      </c>
      <c r="O239" s="38">
        <v>0</v>
      </c>
      <c r="P239" s="20" t="s">
        <v>469</v>
      </c>
      <c r="Q239" s="20">
        <v>0</v>
      </c>
      <c r="R239" s="40">
        <v>46234</v>
      </c>
      <c r="S239" s="38">
        <v>0</v>
      </c>
      <c r="T239" s="38">
        <v>0</v>
      </c>
      <c r="U239" s="40">
        <v>46235</v>
      </c>
      <c r="V239" s="40">
        <v>46235</v>
      </c>
      <c r="W239" s="20" t="s">
        <v>57</v>
      </c>
      <c r="X239" s="21"/>
      <c r="Y239" s="19">
        <f>VLOOKUP(F239,[2]New!$B:$G,3,0)*K239/60</f>
        <v>0.93333333333333335</v>
      </c>
      <c r="Z239" s="19">
        <f>VLOOKUP(F239,[2]New!$B:$G,4,0)*K239/60</f>
        <v>3.9</v>
      </c>
      <c r="AA239" s="19">
        <f>VLOOKUP(F239,[2]New!$B:$G,6,0)*K239/60</f>
        <v>4.8199999999999994</v>
      </c>
      <c r="AB239" s="44">
        <f>VLOOKUP(A239,'[4]PO CAG (2)'!$A:$L,12,0)</f>
        <v>46251</v>
      </c>
      <c r="AC239" s="22">
        <f>IFERROR(VLOOKUP(F239,[3]Sheet1!$E:$H,4,0),)</f>
        <v>0</v>
      </c>
      <c r="AD239" s="144">
        <v>1</v>
      </c>
      <c r="AE239" s="25" t="s">
        <v>3023</v>
      </c>
      <c r="AF239" s="135" t="s">
        <v>112</v>
      </c>
      <c r="AG239" s="135"/>
      <c r="AH239" s="135"/>
      <c r="AI239" s="23">
        <v>0</v>
      </c>
      <c r="AJ239" s="267" t="s">
        <v>153</v>
      </c>
      <c r="AN239" s="278">
        <v>2</v>
      </c>
      <c r="AO239" s="278">
        <v>2</v>
      </c>
      <c r="AP239" s="278">
        <v>2</v>
      </c>
      <c r="AQ239" s="278">
        <v>2</v>
      </c>
    </row>
    <row r="240" spans="1:43">
      <c r="A240" s="135" t="s">
        <v>1936</v>
      </c>
      <c r="B240" s="135" t="s">
        <v>2162</v>
      </c>
      <c r="C240" s="135" t="s">
        <v>2131</v>
      </c>
      <c r="D240" s="46">
        <v>11119345</v>
      </c>
      <c r="E240" s="20" t="s">
        <v>476</v>
      </c>
      <c r="F240" s="20" t="s">
        <v>477</v>
      </c>
      <c r="G240" s="24">
        <v>2</v>
      </c>
      <c r="H240" s="21">
        <v>46242</v>
      </c>
      <c r="I240" s="53" t="s">
        <v>2132</v>
      </c>
      <c r="J240" s="24" t="s">
        <v>1937</v>
      </c>
      <c r="K240" s="24">
        <v>2</v>
      </c>
      <c r="L240" s="46">
        <v>12115980</v>
      </c>
      <c r="M240" s="20" t="s">
        <v>483</v>
      </c>
      <c r="N240" s="38">
        <v>0</v>
      </c>
      <c r="O240" s="38">
        <v>0</v>
      </c>
      <c r="P240" s="20" t="s">
        <v>469</v>
      </c>
      <c r="Q240" s="20">
        <v>0</v>
      </c>
      <c r="R240" s="40">
        <v>46234</v>
      </c>
      <c r="S240" s="38">
        <v>0</v>
      </c>
      <c r="T240" s="38">
        <v>0</v>
      </c>
      <c r="U240" s="40">
        <v>46235</v>
      </c>
      <c r="V240" s="40">
        <v>46235</v>
      </c>
      <c r="W240" s="20" t="s">
        <v>57</v>
      </c>
      <c r="X240" s="21"/>
      <c r="Y240" s="19">
        <f>VLOOKUP(F240,[2]New!$B:$G,3,0)*K240/60</f>
        <v>1.8666666666666667</v>
      </c>
      <c r="Z240" s="19">
        <f>VLOOKUP(F240,[2]New!$B:$G,4,0)*K240/60</f>
        <v>7.8</v>
      </c>
      <c r="AA240" s="19">
        <f>VLOOKUP(F240,[2]New!$B:$G,6,0)*K240/60</f>
        <v>9.6333333333333329</v>
      </c>
      <c r="AB240" s="44">
        <f>VLOOKUP(A240,'[4]PO CAG (2)'!$A:$L,12,0)</f>
        <v>46251</v>
      </c>
      <c r="AC240" s="22">
        <f>IFERROR(VLOOKUP(F240,[3]Sheet1!$E:$H,4,0),)</f>
        <v>0</v>
      </c>
      <c r="AD240" s="144">
        <v>2</v>
      </c>
      <c r="AE240" s="25" t="s">
        <v>3023</v>
      </c>
      <c r="AF240" s="135" t="s">
        <v>112</v>
      </c>
      <c r="AG240" s="135"/>
      <c r="AH240" s="135"/>
      <c r="AI240" s="23">
        <v>0</v>
      </c>
      <c r="AJ240" s="267" t="s">
        <v>153</v>
      </c>
      <c r="AN240" s="278">
        <v>2</v>
      </c>
      <c r="AO240" s="278">
        <v>2</v>
      </c>
      <c r="AP240" s="278">
        <v>2</v>
      </c>
      <c r="AQ240" s="278">
        <v>2</v>
      </c>
    </row>
    <row r="241" spans="1:43">
      <c r="A241" s="135" t="s">
        <v>1938</v>
      </c>
      <c r="B241" s="135" t="s">
        <v>2163</v>
      </c>
      <c r="C241" s="135" t="s">
        <v>2133</v>
      </c>
      <c r="D241" s="46">
        <v>11119376</v>
      </c>
      <c r="E241" s="20" t="s">
        <v>474</v>
      </c>
      <c r="F241" s="20" t="s">
        <v>475</v>
      </c>
      <c r="G241" s="24">
        <v>2</v>
      </c>
      <c r="H241" s="21">
        <v>46242</v>
      </c>
      <c r="I241" s="53" t="s">
        <v>2134</v>
      </c>
      <c r="J241" s="24" t="s">
        <v>1939</v>
      </c>
      <c r="K241" s="24">
        <v>2</v>
      </c>
      <c r="L241" s="46">
        <v>12116011</v>
      </c>
      <c r="M241" s="20" t="s">
        <v>482</v>
      </c>
      <c r="N241" s="38">
        <v>0</v>
      </c>
      <c r="O241" s="38">
        <v>0</v>
      </c>
      <c r="P241" s="20" t="s">
        <v>469</v>
      </c>
      <c r="Q241" s="20">
        <v>0</v>
      </c>
      <c r="R241" s="40">
        <v>46234</v>
      </c>
      <c r="S241" s="38">
        <v>0</v>
      </c>
      <c r="T241" s="38">
        <v>0</v>
      </c>
      <c r="U241" s="40">
        <v>46235</v>
      </c>
      <c r="V241" s="40">
        <v>46235</v>
      </c>
      <c r="W241" s="20" t="s">
        <v>57</v>
      </c>
      <c r="X241" s="21"/>
      <c r="Y241" s="19">
        <f>VLOOKUP(F241,[2]New!$B:$G,3,0)*K241/60</f>
        <v>1.8666666666666667</v>
      </c>
      <c r="Z241" s="19">
        <f>VLOOKUP(F241,[2]New!$B:$G,4,0)*K241/60</f>
        <v>7.8</v>
      </c>
      <c r="AA241" s="19">
        <f>VLOOKUP(F241,[2]New!$B:$G,6,0)*K241/60</f>
        <v>9.6399999999999988</v>
      </c>
      <c r="AB241" s="44">
        <f>VLOOKUP(A241,'[4]PO CAG (2)'!$A:$L,12,0)</f>
        <v>46251</v>
      </c>
      <c r="AC241" s="22">
        <f>IFERROR(VLOOKUP(F241,[3]Sheet1!$E:$H,4,0),)</f>
        <v>0</v>
      </c>
      <c r="AD241" s="144">
        <v>2</v>
      </c>
      <c r="AE241" s="25" t="s">
        <v>3023</v>
      </c>
      <c r="AF241" s="135" t="s">
        <v>112</v>
      </c>
      <c r="AG241" s="135"/>
      <c r="AH241" s="135"/>
      <c r="AI241" s="23">
        <v>0</v>
      </c>
      <c r="AJ241" s="267" t="s">
        <v>153</v>
      </c>
      <c r="AN241" s="278">
        <v>2</v>
      </c>
      <c r="AO241" s="278">
        <v>2</v>
      </c>
      <c r="AP241" s="278">
        <v>2</v>
      </c>
      <c r="AQ241" s="278">
        <v>2</v>
      </c>
    </row>
    <row r="242" spans="1:43">
      <c r="A242" s="135" t="s">
        <v>1940</v>
      </c>
      <c r="B242" s="135" t="s">
        <v>2164</v>
      </c>
      <c r="C242" s="135" t="s">
        <v>2135</v>
      </c>
      <c r="D242" s="46">
        <v>11119378</v>
      </c>
      <c r="E242" s="20" t="s">
        <v>1116</v>
      </c>
      <c r="F242" s="20" t="s">
        <v>1117</v>
      </c>
      <c r="G242" s="24">
        <v>2</v>
      </c>
      <c r="H242" s="21">
        <v>46242</v>
      </c>
      <c r="I242" s="53" t="s">
        <v>2136</v>
      </c>
      <c r="J242" s="24" t="s">
        <v>1941</v>
      </c>
      <c r="K242" s="24">
        <v>2</v>
      </c>
      <c r="L242" s="46">
        <v>12116013</v>
      </c>
      <c r="M242" s="20" t="s">
        <v>1144</v>
      </c>
      <c r="N242" s="38">
        <v>0</v>
      </c>
      <c r="O242" s="38">
        <v>0</v>
      </c>
      <c r="P242" s="20" t="s">
        <v>469</v>
      </c>
      <c r="Q242" s="20">
        <v>0</v>
      </c>
      <c r="R242" s="40">
        <v>46234</v>
      </c>
      <c r="S242" s="38">
        <v>0</v>
      </c>
      <c r="T242" s="38">
        <v>0</v>
      </c>
      <c r="U242" s="40">
        <v>46235</v>
      </c>
      <c r="V242" s="40">
        <v>46235</v>
      </c>
      <c r="W242" s="20" t="s">
        <v>57</v>
      </c>
      <c r="X242" s="21"/>
      <c r="Y242" s="19">
        <f>VLOOKUP(F242,[2]New!$B:$G,3,0)*K242/60</f>
        <v>1.8666666666666667</v>
      </c>
      <c r="Z242" s="19">
        <f>VLOOKUP(F242,[2]New!$B:$G,4,0)*K242/60</f>
        <v>7.8</v>
      </c>
      <c r="AA242" s="19">
        <f>VLOOKUP(F242,[2]New!$B:$G,6,0)*K242/60</f>
        <v>9.6399999999999988</v>
      </c>
      <c r="AB242" s="44">
        <f>VLOOKUP(A242,'[4]PO CAG (2)'!$A:$L,12,0)</f>
        <v>46251</v>
      </c>
      <c r="AC242" s="22">
        <f>IFERROR(VLOOKUP(F242,[3]Sheet1!$E:$H,4,0),)</f>
        <v>0</v>
      </c>
      <c r="AD242" s="144">
        <v>2</v>
      </c>
      <c r="AE242" s="25" t="s">
        <v>3023</v>
      </c>
      <c r="AF242" s="135" t="s">
        <v>112</v>
      </c>
      <c r="AG242" s="135"/>
      <c r="AH242" s="135"/>
      <c r="AI242" s="23">
        <v>0</v>
      </c>
      <c r="AJ242" s="267" t="s">
        <v>153</v>
      </c>
      <c r="AN242" s="278">
        <v>2</v>
      </c>
      <c r="AO242" s="278">
        <v>2</v>
      </c>
      <c r="AP242" s="278">
        <v>2</v>
      </c>
      <c r="AQ242" s="278">
        <v>2</v>
      </c>
    </row>
    <row r="243" spans="1:43">
      <c r="A243" s="135" t="s">
        <v>1942</v>
      </c>
      <c r="B243" s="135" t="s">
        <v>2165</v>
      </c>
      <c r="C243" s="135" t="s">
        <v>2137</v>
      </c>
      <c r="D243" s="46">
        <v>11119418</v>
      </c>
      <c r="E243" s="20" t="s">
        <v>781</v>
      </c>
      <c r="F243" s="20" t="s">
        <v>782</v>
      </c>
      <c r="G243" s="24">
        <v>4</v>
      </c>
      <c r="H243" s="21">
        <v>46242</v>
      </c>
      <c r="I243" s="53" t="s">
        <v>2138</v>
      </c>
      <c r="J243" s="24" t="s">
        <v>1943</v>
      </c>
      <c r="K243" s="24">
        <v>4</v>
      </c>
      <c r="L243" s="46">
        <v>12116053</v>
      </c>
      <c r="M243" s="20" t="s">
        <v>796</v>
      </c>
      <c r="N243" s="38">
        <v>0</v>
      </c>
      <c r="O243" s="38">
        <v>0</v>
      </c>
      <c r="P243" s="20" t="s">
        <v>469</v>
      </c>
      <c r="Q243" s="20">
        <v>0</v>
      </c>
      <c r="R243" s="40">
        <v>46234</v>
      </c>
      <c r="S243" s="38">
        <v>0</v>
      </c>
      <c r="T243" s="38">
        <v>0</v>
      </c>
      <c r="U243" s="40">
        <v>46235</v>
      </c>
      <c r="V243" s="40">
        <v>46235</v>
      </c>
      <c r="W243" s="20" t="s">
        <v>57</v>
      </c>
      <c r="X243" s="21"/>
      <c r="Y243" s="19">
        <f>VLOOKUP(F243,[2]New!$B:$G,3,0)*K243/60</f>
        <v>3.7333333333333334</v>
      </c>
      <c r="Z243" s="19">
        <f>VLOOKUP(F243,[2]New!$B:$G,4,0)*K243/60</f>
        <v>15.6</v>
      </c>
      <c r="AA243" s="19">
        <f>VLOOKUP(F243,[2]New!$B:$G,6,0)*K243/60</f>
        <v>19.279999999999998</v>
      </c>
      <c r="AB243" s="44">
        <f>VLOOKUP(A243,'[4]PO CAG (2)'!$A:$L,12,0)</f>
        <v>46251</v>
      </c>
      <c r="AC243" s="22">
        <f>IFERROR(VLOOKUP(F243,[3]Sheet1!$E:$H,4,0),)</f>
        <v>0</v>
      </c>
      <c r="AD243" s="144">
        <v>4</v>
      </c>
      <c r="AE243" s="25" t="s">
        <v>3023</v>
      </c>
      <c r="AF243" s="135" t="s">
        <v>112</v>
      </c>
      <c r="AG243" s="135"/>
      <c r="AH243" s="135"/>
      <c r="AI243" s="23">
        <v>0</v>
      </c>
      <c r="AJ243" s="267" t="s">
        <v>153</v>
      </c>
      <c r="AN243" s="278">
        <v>2</v>
      </c>
      <c r="AO243" s="278">
        <v>2</v>
      </c>
      <c r="AP243" s="278">
        <v>2</v>
      </c>
      <c r="AQ243" s="278">
        <v>2</v>
      </c>
    </row>
    <row r="244" spans="1:43">
      <c r="A244" s="135" t="s">
        <v>1944</v>
      </c>
      <c r="B244" s="135" t="s">
        <v>2166</v>
      </c>
      <c r="C244" s="135" t="s">
        <v>2139</v>
      </c>
      <c r="D244" s="46">
        <v>11119503</v>
      </c>
      <c r="E244" s="20" t="s">
        <v>478</v>
      </c>
      <c r="F244" s="20" t="s">
        <v>479</v>
      </c>
      <c r="G244" s="24">
        <v>6</v>
      </c>
      <c r="H244" s="21">
        <v>46242</v>
      </c>
      <c r="I244" s="53" t="s">
        <v>2140</v>
      </c>
      <c r="J244" s="24" t="s">
        <v>1945</v>
      </c>
      <c r="K244" s="24">
        <v>6</v>
      </c>
      <c r="L244" s="46">
        <v>12116138</v>
      </c>
      <c r="M244" s="20" t="s">
        <v>484</v>
      </c>
      <c r="N244" s="38">
        <v>0</v>
      </c>
      <c r="O244" s="38">
        <v>0</v>
      </c>
      <c r="P244" s="20" t="s">
        <v>469</v>
      </c>
      <c r="Q244" s="20">
        <v>0</v>
      </c>
      <c r="R244" s="40">
        <v>46234</v>
      </c>
      <c r="S244" s="38">
        <v>0</v>
      </c>
      <c r="T244" s="38">
        <v>0</v>
      </c>
      <c r="U244" s="40">
        <v>46235</v>
      </c>
      <c r="V244" s="40">
        <v>46235</v>
      </c>
      <c r="W244" s="20" t="s">
        <v>57</v>
      </c>
      <c r="X244" s="21"/>
      <c r="Y244" s="19">
        <f>VLOOKUP(F244,[2]New!$B:$G,3,0)*K244/60</f>
        <v>5.6</v>
      </c>
      <c r="Z244" s="19">
        <f>VLOOKUP(F244,[2]New!$B:$G,4,0)*K244/60</f>
        <v>23.4</v>
      </c>
      <c r="AA244" s="19">
        <f>VLOOKUP(F244,[2]New!$B:$G,6,0)*K244/60</f>
        <v>28.919999999999998</v>
      </c>
      <c r="AB244" s="44">
        <f>VLOOKUP(A244,'[4]PO CAG (2)'!$A:$L,12,0)</f>
        <v>46251</v>
      </c>
      <c r="AC244" s="22">
        <f>IFERROR(VLOOKUP(F244,[3]Sheet1!$E:$H,4,0),)</f>
        <v>0</v>
      </c>
      <c r="AD244" s="144">
        <v>6</v>
      </c>
      <c r="AE244" s="25" t="s">
        <v>3023</v>
      </c>
      <c r="AF244" s="135" t="s">
        <v>112</v>
      </c>
      <c r="AG244" s="135"/>
      <c r="AH244" s="135"/>
      <c r="AI244" s="23">
        <v>0</v>
      </c>
      <c r="AJ244" s="267" t="s">
        <v>153</v>
      </c>
      <c r="AN244" s="278">
        <v>2</v>
      </c>
      <c r="AO244" s="278">
        <v>2</v>
      </c>
      <c r="AP244" s="278">
        <v>2</v>
      </c>
      <c r="AQ244" s="278">
        <v>2</v>
      </c>
    </row>
    <row r="245" spans="1:43">
      <c r="A245" s="135" t="s">
        <v>1946</v>
      </c>
      <c r="B245" s="135" t="s">
        <v>2167</v>
      </c>
      <c r="C245" s="135" t="s">
        <v>2141</v>
      </c>
      <c r="D245" s="46">
        <v>11119499</v>
      </c>
      <c r="E245" s="20" t="s">
        <v>1112</v>
      </c>
      <c r="F245" s="20" t="s">
        <v>1113</v>
      </c>
      <c r="G245" s="24">
        <v>8</v>
      </c>
      <c r="H245" s="21">
        <v>46242</v>
      </c>
      <c r="I245" s="53" t="s">
        <v>2142</v>
      </c>
      <c r="J245" s="24" t="s">
        <v>1947</v>
      </c>
      <c r="K245" s="24">
        <v>8</v>
      </c>
      <c r="L245" s="46">
        <v>12116134</v>
      </c>
      <c r="M245" s="20" t="s">
        <v>1142</v>
      </c>
      <c r="N245" s="38">
        <v>0</v>
      </c>
      <c r="O245" s="38">
        <v>0</v>
      </c>
      <c r="P245" s="20" t="s">
        <v>469</v>
      </c>
      <c r="Q245" s="20">
        <v>0</v>
      </c>
      <c r="R245" s="40">
        <v>46234</v>
      </c>
      <c r="S245" s="38">
        <v>0</v>
      </c>
      <c r="T245" s="38">
        <v>0</v>
      </c>
      <c r="U245" s="40">
        <v>46235</v>
      </c>
      <c r="V245" s="40">
        <v>46235</v>
      </c>
      <c r="W245" s="20" t="s">
        <v>57</v>
      </c>
      <c r="X245" s="21"/>
      <c r="Y245" s="19">
        <f>VLOOKUP(F245,[2]New!$B:$G,3,0)*K245/60</f>
        <v>7.4666666666666668</v>
      </c>
      <c r="Z245" s="19">
        <f>VLOOKUP(F245,[2]New!$B:$G,4,0)*K245/60</f>
        <v>31.2</v>
      </c>
      <c r="AA245" s="19">
        <f>VLOOKUP(F245,[2]New!$B:$G,6,0)*K245/60</f>
        <v>35.093333333333334</v>
      </c>
      <c r="AB245" s="44">
        <f>VLOOKUP(A245,'[4]PO CAG (2)'!$A:$L,12,0)</f>
        <v>46251</v>
      </c>
      <c r="AC245" s="22">
        <f>IFERROR(VLOOKUP(F245,[3]Sheet1!$E:$H,4,0),)</f>
        <v>0</v>
      </c>
      <c r="AD245" s="144">
        <v>8</v>
      </c>
      <c r="AE245" s="25" t="s">
        <v>3023</v>
      </c>
      <c r="AF245" s="135" t="s">
        <v>112</v>
      </c>
      <c r="AG245" s="135"/>
      <c r="AH245" s="135"/>
      <c r="AI245" s="23">
        <v>0</v>
      </c>
      <c r="AJ245" s="267" t="s">
        <v>153</v>
      </c>
      <c r="AN245" s="278">
        <v>2</v>
      </c>
      <c r="AO245" s="278">
        <v>2</v>
      </c>
      <c r="AP245" s="278">
        <v>2</v>
      </c>
      <c r="AQ245" s="278">
        <v>2</v>
      </c>
    </row>
    <row r="246" spans="1:43">
      <c r="A246" s="135" t="s">
        <v>1948</v>
      </c>
      <c r="B246" s="135" t="s">
        <v>2168</v>
      </c>
      <c r="C246" s="135" t="s">
        <v>2143</v>
      </c>
      <c r="D246" s="46">
        <v>11119339</v>
      </c>
      <c r="E246" s="20" t="s">
        <v>590</v>
      </c>
      <c r="F246" s="20" t="s">
        <v>591</v>
      </c>
      <c r="G246" s="24">
        <v>16</v>
      </c>
      <c r="H246" s="21">
        <v>46242</v>
      </c>
      <c r="I246" s="53" t="s">
        <v>2144</v>
      </c>
      <c r="J246" s="24" t="s">
        <v>1949</v>
      </c>
      <c r="K246" s="24">
        <v>16</v>
      </c>
      <c r="L246" s="46">
        <v>12115974</v>
      </c>
      <c r="M246" s="20" t="s">
        <v>616</v>
      </c>
      <c r="N246" s="38">
        <v>0</v>
      </c>
      <c r="O246" s="38">
        <v>0</v>
      </c>
      <c r="P246" s="20" t="s">
        <v>469</v>
      </c>
      <c r="Q246" s="20">
        <v>0</v>
      </c>
      <c r="R246" s="40">
        <v>46234</v>
      </c>
      <c r="S246" s="38">
        <v>0</v>
      </c>
      <c r="T246" s="38">
        <v>0</v>
      </c>
      <c r="U246" s="40">
        <v>46235</v>
      </c>
      <c r="V246" s="40">
        <v>46235</v>
      </c>
      <c r="W246" s="20" t="s">
        <v>57</v>
      </c>
      <c r="X246" s="21"/>
      <c r="Y246" s="19">
        <f>VLOOKUP(F246,[2]New!$B:$G,3,0)*K246/60</f>
        <v>14.933333333333334</v>
      </c>
      <c r="Z246" s="19">
        <f>VLOOKUP(F246,[2]New!$B:$G,4,0)*K246/60</f>
        <v>62.4</v>
      </c>
      <c r="AA246" s="19">
        <f>VLOOKUP(F246,[2]New!$B:$G,6,0)*K246/60</f>
        <v>77.11999999999999</v>
      </c>
      <c r="AB246" s="44">
        <f>VLOOKUP(A246,'[4]PO CAG (2)'!$A:$L,12,0)</f>
        <v>46251</v>
      </c>
      <c r="AC246" s="22">
        <f>IFERROR(VLOOKUP(F246,[3]Sheet1!$E:$H,4,0),)</f>
        <v>0</v>
      </c>
      <c r="AD246" s="144">
        <v>16</v>
      </c>
      <c r="AE246" s="25" t="s">
        <v>3023</v>
      </c>
      <c r="AF246" s="135" t="s">
        <v>112</v>
      </c>
      <c r="AG246" s="135"/>
      <c r="AH246" s="135"/>
      <c r="AI246" s="23">
        <v>0</v>
      </c>
      <c r="AJ246" s="267" t="s">
        <v>153</v>
      </c>
      <c r="AN246" s="278">
        <v>2</v>
      </c>
      <c r="AO246" s="278">
        <v>2</v>
      </c>
      <c r="AP246" s="278">
        <v>2</v>
      </c>
      <c r="AQ246" s="278">
        <v>2</v>
      </c>
    </row>
    <row r="247" spans="1:43">
      <c r="A247" s="135" t="s">
        <v>1950</v>
      </c>
      <c r="B247" s="135" t="s">
        <v>2169</v>
      </c>
      <c r="C247" s="135" t="s">
        <v>2145</v>
      </c>
      <c r="D247" s="46">
        <v>11119363</v>
      </c>
      <c r="E247" s="20" t="s">
        <v>865</v>
      </c>
      <c r="F247" s="20" t="s">
        <v>866</v>
      </c>
      <c r="G247" s="24">
        <v>17</v>
      </c>
      <c r="H247" s="21">
        <v>46242</v>
      </c>
      <c r="I247" s="53" t="s">
        <v>2146</v>
      </c>
      <c r="J247" s="24" t="s">
        <v>1951</v>
      </c>
      <c r="K247" s="24">
        <v>17</v>
      </c>
      <c r="L247" s="46">
        <v>12115998</v>
      </c>
      <c r="M247" s="20" t="s">
        <v>879</v>
      </c>
      <c r="N247" s="38">
        <v>0</v>
      </c>
      <c r="O247" s="38">
        <v>0</v>
      </c>
      <c r="P247" s="20" t="s">
        <v>469</v>
      </c>
      <c r="Q247" s="20">
        <v>0</v>
      </c>
      <c r="R247" s="40">
        <v>46234</v>
      </c>
      <c r="S247" s="38">
        <v>0</v>
      </c>
      <c r="T247" s="38">
        <v>0</v>
      </c>
      <c r="U247" s="40">
        <v>46235</v>
      </c>
      <c r="V247" s="40">
        <v>46235</v>
      </c>
      <c r="W247" s="20" t="s">
        <v>57</v>
      </c>
      <c r="X247" s="21"/>
      <c r="Y247" s="19">
        <f>VLOOKUP(F247,[2]New!$B:$G,3,0)*K247/60</f>
        <v>15.866666666666667</v>
      </c>
      <c r="Z247" s="19">
        <f>VLOOKUP(F247,[2]New!$B:$G,4,0)*K247/60</f>
        <v>66.3</v>
      </c>
      <c r="AA247" s="19">
        <f>VLOOKUP(F247,[2]New!$B:$G,6,0)*K247/60</f>
        <v>81.88333333333334</v>
      </c>
      <c r="AB247" s="44">
        <f>VLOOKUP(A247,'[4]PO CAG (2)'!$A:$L,12,0)</f>
        <v>46251</v>
      </c>
      <c r="AC247" s="22">
        <f>IFERROR(VLOOKUP(F247,[3]Sheet1!$E:$H,4,0),)</f>
        <v>0</v>
      </c>
      <c r="AD247" s="144">
        <v>17</v>
      </c>
      <c r="AE247" s="25" t="s">
        <v>3023</v>
      </c>
      <c r="AF247" s="135" t="s">
        <v>112</v>
      </c>
      <c r="AG247" s="135"/>
      <c r="AH247" s="135"/>
      <c r="AI247" s="23">
        <v>0</v>
      </c>
      <c r="AJ247" s="267" t="s">
        <v>153</v>
      </c>
      <c r="AN247" s="278">
        <v>2</v>
      </c>
      <c r="AO247" s="278">
        <v>2</v>
      </c>
      <c r="AP247" s="278">
        <v>2</v>
      </c>
      <c r="AQ247" s="278">
        <v>2</v>
      </c>
    </row>
    <row r="248" spans="1:43">
      <c r="A248" s="135" t="s">
        <v>2214</v>
      </c>
      <c r="B248" s="135" t="s">
        <v>2466</v>
      </c>
      <c r="C248" s="135" t="s">
        <v>2215</v>
      </c>
      <c r="D248" s="46">
        <v>11119346</v>
      </c>
      <c r="E248" s="20" t="s">
        <v>1388</v>
      </c>
      <c r="F248" s="20" t="s">
        <v>1389</v>
      </c>
      <c r="G248" s="24">
        <v>1</v>
      </c>
      <c r="H248" s="21">
        <v>46247</v>
      </c>
      <c r="I248" s="53" t="s">
        <v>2216</v>
      </c>
      <c r="J248" s="24" t="s">
        <v>2217</v>
      </c>
      <c r="K248" s="24">
        <v>1</v>
      </c>
      <c r="L248" s="46">
        <v>12115981</v>
      </c>
      <c r="M248" s="20" t="s">
        <v>1492</v>
      </c>
      <c r="N248" s="38">
        <v>0</v>
      </c>
      <c r="O248" s="38">
        <v>0</v>
      </c>
      <c r="P248" s="20" t="s">
        <v>469</v>
      </c>
      <c r="Q248" s="20">
        <v>0</v>
      </c>
      <c r="R248" s="40">
        <v>46235</v>
      </c>
      <c r="S248" s="38">
        <v>0</v>
      </c>
      <c r="T248" s="38">
        <v>0</v>
      </c>
      <c r="U248" s="40">
        <v>46237</v>
      </c>
      <c r="V248" s="40">
        <v>46237</v>
      </c>
      <c r="W248" s="20" t="s">
        <v>57</v>
      </c>
      <c r="X248" s="21"/>
      <c r="Y248" s="19">
        <f>VLOOKUP(F248,[2]New!$B:$G,3,0)*K248/60</f>
        <v>0.93333333333333335</v>
      </c>
      <c r="Z248" s="19">
        <f>VLOOKUP(F248,[2]New!$B:$G,4,0)*K248/60</f>
        <v>3.9</v>
      </c>
      <c r="AA248" s="19">
        <f>VLOOKUP(F248,[2]New!$B:$G,6,0)*K248/60</f>
        <v>4.8166666666666664</v>
      </c>
      <c r="AB248" s="44">
        <f>VLOOKUP(A248,'[4]PO CAG (2)'!$A:$L,12,0)</f>
        <v>46251</v>
      </c>
      <c r="AC248" s="22">
        <f>IFERROR(VLOOKUP(F248,[3]Sheet1!$E:$H,4,0),)</f>
        <v>0</v>
      </c>
      <c r="AD248" s="144">
        <v>1</v>
      </c>
      <c r="AE248" s="25" t="s">
        <v>3023</v>
      </c>
      <c r="AF248" s="135" t="s">
        <v>112</v>
      </c>
      <c r="AG248" s="135"/>
      <c r="AH248" s="135"/>
      <c r="AI248" s="23">
        <v>0</v>
      </c>
      <c r="AJ248" s="267" t="s">
        <v>153</v>
      </c>
      <c r="AN248" s="278">
        <v>2</v>
      </c>
      <c r="AO248" s="278">
        <v>2</v>
      </c>
      <c r="AP248" s="278">
        <v>2</v>
      </c>
      <c r="AQ248" s="278">
        <v>2</v>
      </c>
    </row>
    <row r="249" spans="1:43">
      <c r="A249" s="135" t="s">
        <v>2218</v>
      </c>
      <c r="B249" s="135" t="s">
        <v>2467</v>
      </c>
      <c r="C249" s="135" t="s">
        <v>2219</v>
      </c>
      <c r="D249" s="46">
        <v>11119350</v>
      </c>
      <c r="E249" s="20" t="s">
        <v>1114</v>
      </c>
      <c r="F249" s="20" t="s">
        <v>1115</v>
      </c>
      <c r="G249" s="24">
        <v>1</v>
      </c>
      <c r="H249" s="21">
        <v>46247</v>
      </c>
      <c r="I249" s="53" t="s">
        <v>2220</v>
      </c>
      <c r="J249" s="24" t="s">
        <v>2221</v>
      </c>
      <c r="K249" s="24">
        <v>1</v>
      </c>
      <c r="L249" s="46">
        <v>12115985</v>
      </c>
      <c r="M249" s="20" t="s">
        <v>1143</v>
      </c>
      <c r="N249" s="38">
        <v>0</v>
      </c>
      <c r="O249" s="38">
        <v>0</v>
      </c>
      <c r="P249" s="20" t="s">
        <v>469</v>
      </c>
      <c r="Q249" s="20">
        <v>0</v>
      </c>
      <c r="R249" s="40">
        <v>46235</v>
      </c>
      <c r="S249" s="38">
        <v>0</v>
      </c>
      <c r="T249" s="38">
        <v>0</v>
      </c>
      <c r="U249" s="40">
        <v>46237</v>
      </c>
      <c r="V249" s="40">
        <v>46237</v>
      </c>
      <c r="W249" s="20" t="s">
        <v>57</v>
      </c>
      <c r="X249" s="21"/>
      <c r="Y249" s="19">
        <f>VLOOKUP(F249,[2]New!$B:$G,3,0)*K249/60</f>
        <v>0.93333333333333335</v>
      </c>
      <c r="Z249" s="19">
        <f>VLOOKUP(F249,[2]New!$B:$G,4,0)*K249/60</f>
        <v>3.9</v>
      </c>
      <c r="AA249" s="19">
        <f>VLOOKUP(F249,[2]New!$B:$G,6,0)*K249/60</f>
        <v>4.8199999999999994</v>
      </c>
      <c r="AB249" s="44">
        <f>VLOOKUP(A249,'[4]PO CAG (2)'!$A:$L,12,0)</f>
        <v>46251</v>
      </c>
      <c r="AC249" s="22">
        <f>IFERROR(VLOOKUP(F249,[3]Sheet1!$E:$H,4,0),)</f>
        <v>0</v>
      </c>
      <c r="AD249" s="144">
        <v>1</v>
      </c>
      <c r="AE249" s="25" t="s">
        <v>3023</v>
      </c>
      <c r="AF249" s="135" t="s">
        <v>112</v>
      </c>
      <c r="AG249" s="135"/>
      <c r="AH249" s="135"/>
      <c r="AI249" s="23">
        <v>0</v>
      </c>
      <c r="AJ249" s="267" t="s">
        <v>153</v>
      </c>
      <c r="AN249" s="278">
        <v>2</v>
      </c>
      <c r="AO249" s="278">
        <v>2</v>
      </c>
      <c r="AP249" s="278">
        <v>2</v>
      </c>
      <c r="AQ249" s="278">
        <v>2</v>
      </c>
    </row>
    <row r="250" spans="1:43">
      <c r="A250" s="135" t="s">
        <v>2222</v>
      </c>
      <c r="B250" s="135" t="s">
        <v>2468</v>
      </c>
      <c r="C250" s="135" t="s">
        <v>2223</v>
      </c>
      <c r="D250" s="46">
        <v>11119369</v>
      </c>
      <c r="E250" s="20" t="s">
        <v>564</v>
      </c>
      <c r="F250" s="20" t="s">
        <v>565</v>
      </c>
      <c r="G250" s="24">
        <v>1</v>
      </c>
      <c r="H250" s="21">
        <v>46247</v>
      </c>
      <c r="I250" s="53" t="s">
        <v>2224</v>
      </c>
      <c r="J250" s="24" t="s">
        <v>2225</v>
      </c>
      <c r="K250" s="24">
        <v>1</v>
      </c>
      <c r="L250" s="46">
        <v>12116004</v>
      </c>
      <c r="M250" s="20" t="s">
        <v>604</v>
      </c>
      <c r="N250" s="38">
        <v>0</v>
      </c>
      <c r="O250" s="38">
        <v>0</v>
      </c>
      <c r="P250" s="20" t="s">
        <v>469</v>
      </c>
      <c r="Q250" s="20">
        <v>0</v>
      </c>
      <c r="R250" s="40">
        <v>46235</v>
      </c>
      <c r="S250" s="38">
        <v>0</v>
      </c>
      <c r="T250" s="38">
        <v>0</v>
      </c>
      <c r="U250" s="40">
        <v>46237</v>
      </c>
      <c r="V250" s="40">
        <v>46237</v>
      </c>
      <c r="W250" s="20" t="s">
        <v>57</v>
      </c>
      <c r="X250" s="21"/>
      <c r="Y250" s="19">
        <f>VLOOKUP(F250,[2]New!$B:$G,3,0)*K250/60</f>
        <v>0.93333333333333335</v>
      </c>
      <c r="Z250" s="19">
        <f>VLOOKUP(F250,[2]New!$B:$G,4,0)*K250/60</f>
        <v>3.9</v>
      </c>
      <c r="AA250" s="19">
        <f>VLOOKUP(F250,[2]New!$B:$G,6,0)*K250/60</f>
        <v>4.8166666666666664</v>
      </c>
      <c r="AB250" s="44">
        <f>VLOOKUP(A250,'[4]PO CAG (2)'!$A:$L,12,0)</f>
        <v>46251</v>
      </c>
      <c r="AC250" s="22">
        <f>IFERROR(VLOOKUP(F250,[3]Sheet1!$E:$H,4,0),)</f>
        <v>0</v>
      </c>
      <c r="AD250" s="144">
        <v>1</v>
      </c>
      <c r="AE250" s="25" t="s">
        <v>3023</v>
      </c>
      <c r="AF250" s="135" t="s">
        <v>112</v>
      </c>
      <c r="AG250" s="135"/>
      <c r="AH250" s="135"/>
      <c r="AI250" s="23">
        <v>0</v>
      </c>
      <c r="AJ250" s="267" t="s">
        <v>153</v>
      </c>
      <c r="AN250" s="278">
        <v>2</v>
      </c>
      <c r="AO250" s="278">
        <v>2</v>
      </c>
      <c r="AP250" s="278">
        <v>2</v>
      </c>
      <c r="AQ250" s="278">
        <v>2</v>
      </c>
    </row>
    <row r="251" spans="1:43">
      <c r="A251" s="135" t="s">
        <v>2226</v>
      </c>
      <c r="B251" s="135" t="s">
        <v>2469</v>
      </c>
      <c r="C251" s="135" t="s">
        <v>2227</v>
      </c>
      <c r="D251" s="46">
        <v>11119405</v>
      </c>
      <c r="E251" s="20" t="s">
        <v>1110</v>
      </c>
      <c r="F251" s="20" t="s">
        <v>1111</v>
      </c>
      <c r="G251" s="24">
        <v>1</v>
      </c>
      <c r="H251" s="21">
        <v>46247</v>
      </c>
      <c r="I251" s="53" t="s">
        <v>2228</v>
      </c>
      <c r="J251" s="24" t="s">
        <v>2229</v>
      </c>
      <c r="K251" s="24">
        <v>1</v>
      </c>
      <c r="L251" s="46">
        <v>12116040</v>
      </c>
      <c r="M251" s="20" t="s">
        <v>1141</v>
      </c>
      <c r="N251" s="38">
        <v>0</v>
      </c>
      <c r="O251" s="38">
        <v>0</v>
      </c>
      <c r="P251" s="20" t="s">
        <v>469</v>
      </c>
      <c r="Q251" s="20">
        <v>0</v>
      </c>
      <c r="R251" s="40">
        <v>46235</v>
      </c>
      <c r="S251" s="38">
        <v>0</v>
      </c>
      <c r="T251" s="38">
        <v>0</v>
      </c>
      <c r="U251" s="40">
        <v>46237</v>
      </c>
      <c r="V251" s="40">
        <v>46237</v>
      </c>
      <c r="W251" s="20" t="s">
        <v>57</v>
      </c>
      <c r="X251" s="21"/>
      <c r="Y251" s="19">
        <f>VLOOKUP(F251,[2]New!$B:$G,3,0)*K251/60</f>
        <v>0.93333333333333335</v>
      </c>
      <c r="Z251" s="19">
        <f>VLOOKUP(F251,[2]New!$B:$G,4,0)*K251/60</f>
        <v>3.9</v>
      </c>
      <c r="AA251" s="19">
        <f>VLOOKUP(F251,[2]New!$B:$G,6,0)*K251/60</f>
        <v>4.8199999999999994</v>
      </c>
      <c r="AB251" s="44">
        <f>VLOOKUP(A251,'[4]PO CAG (2)'!$A:$L,12,0)</f>
        <v>46251</v>
      </c>
      <c r="AC251" s="22">
        <f>IFERROR(VLOOKUP(F251,[3]Sheet1!$E:$H,4,0),)</f>
        <v>0</v>
      </c>
      <c r="AD251" s="144">
        <v>1</v>
      </c>
      <c r="AE251" s="25" t="s">
        <v>3023</v>
      </c>
      <c r="AF251" s="135" t="s">
        <v>112</v>
      </c>
      <c r="AG251" s="135"/>
      <c r="AH251" s="135"/>
      <c r="AI251" s="23">
        <v>0</v>
      </c>
      <c r="AJ251" s="267" t="s">
        <v>153</v>
      </c>
      <c r="AN251" s="278">
        <v>2</v>
      </c>
      <c r="AO251" s="278">
        <v>2</v>
      </c>
      <c r="AP251" s="278">
        <v>2</v>
      </c>
      <c r="AQ251" s="278">
        <v>2</v>
      </c>
    </row>
    <row r="252" spans="1:43">
      <c r="A252" s="135" t="s">
        <v>2230</v>
      </c>
      <c r="B252" s="135" t="s">
        <v>2470</v>
      </c>
      <c r="C252" s="135" t="s">
        <v>2231</v>
      </c>
      <c r="D252" s="46">
        <v>11119422</v>
      </c>
      <c r="E252" s="20" t="s">
        <v>773</v>
      </c>
      <c r="F252" s="20" t="s">
        <v>774</v>
      </c>
      <c r="G252" s="24">
        <v>1</v>
      </c>
      <c r="H252" s="21">
        <v>46247</v>
      </c>
      <c r="I252" s="53" t="s">
        <v>2232</v>
      </c>
      <c r="J252" s="24" t="s">
        <v>2233</v>
      </c>
      <c r="K252" s="24">
        <v>1</v>
      </c>
      <c r="L252" s="46">
        <v>12116057</v>
      </c>
      <c r="M252" s="20" t="s">
        <v>792</v>
      </c>
      <c r="N252" s="38">
        <v>0</v>
      </c>
      <c r="O252" s="38">
        <v>0</v>
      </c>
      <c r="P252" s="20" t="s">
        <v>469</v>
      </c>
      <c r="Q252" s="20">
        <v>0</v>
      </c>
      <c r="R252" s="40">
        <v>46235</v>
      </c>
      <c r="S252" s="38">
        <v>0</v>
      </c>
      <c r="T252" s="38">
        <v>0</v>
      </c>
      <c r="U252" s="40">
        <v>46237</v>
      </c>
      <c r="V252" s="40">
        <v>46237</v>
      </c>
      <c r="W252" s="20" t="s">
        <v>57</v>
      </c>
      <c r="X252" s="21"/>
      <c r="Y252" s="19">
        <f>VLOOKUP(F252,[2]New!$B:$G,3,0)*K252/60</f>
        <v>0.93333333333333335</v>
      </c>
      <c r="Z252" s="19">
        <f>VLOOKUP(F252,[2]New!$B:$G,4,0)*K252/60</f>
        <v>3.9</v>
      </c>
      <c r="AA252" s="19">
        <f>VLOOKUP(F252,[2]New!$B:$G,6,0)*K252/60</f>
        <v>4.8199999999999994</v>
      </c>
      <c r="AB252" s="44">
        <f>VLOOKUP(A252,'[4]PO CAG (2)'!$A:$L,12,0)</f>
        <v>46251</v>
      </c>
      <c r="AC252" s="22">
        <f>IFERROR(VLOOKUP(F252,[3]Sheet1!$E:$H,4,0),)</f>
        <v>0</v>
      </c>
      <c r="AD252" s="144">
        <v>1</v>
      </c>
      <c r="AE252" s="25" t="s">
        <v>3023</v>
      </c>
      <c r="AF252" s="135" t="s">
        <v>112</v>
      </c>
      <c r="AG252" s="135"/>
      <c r="AH252" s="135"/>
      <c r="AI252" s="23">
        <v>0</v>
      </c>
      <c r="AJ252" s="267" t="s">
        <v>153</v>
      </c>
      <c r="AN252" s="278">
        <v>2</v>
      </c>
      <c r="AO252" s="278">
        <v>2</v>
      </c>
      <c r="AP252" s="278">
        <v>2</v>
      </c>
      <c r="AQ252" s="278">
        <v>2</v>
      </c>
    </row>
    <row r="253" spans="1:43">
      <c r="A253" s="135" t="s">
        <v>2234</v>
      </c>
      <c r="B253" s="135" t="s">
        <v>2471</v>
      </c>
      <c r="C253" s="135" t="s">
        <v>2235</v>
      </c>
      <c r="D253" s="46">
        <v>11119452</v>
      </c>
      <c r="E253" s="20" t="s">
        <v>2236</v>
      </c>
      <c r="F253" s="20" t="s">
        <v>2237</v>
      </c>
      <c r="G253" s="24">
        <v>1</v>
      </c>
      <c r="H253" s="21">
        <v>46247</v>
      </c>
      <c r="I253" s="53" t="s">
        <v>2238</v>
      </c>
      <c r="J253" s="24" t="s">
        <v>2239</v>
      </c>
      <c r="K253" s="24">
        <v>1</v>
      </c>
      <c r="L253" s="46">
        <v>12116087</v>
      </c>
      <c r="M253" s="20" t="s">
        <v>2464</v>
      </c>
      <c r="N253" s="38">
        <v>0</v>
      </c>
      <c r="O253" s="38">
        <v>0</v>
      </c>
      <c r="P253" s="20" t="s">
        <v>469</v>
      </c>
      <c r="Q253" s="20">
        <v>0</v>
      </c>
      <c r="R253" s="40">
        <v>46235</v>
      </c>
      <c r="S253" s="38">
        <v>0</v>
      </c>
      <c r="T253" s="38">
        <v>0</v>
      </c>
      <c r="U253" s="40">
        <v>46237</v>
      </c>
      <c r="V253" s="40">
        <v>46237</v>
      </c>
      <c r="W253" s="20" t="s">
        <v>57</v>
      </c>
      <c r="X253" s="21"/>
      <c r="Y253" s="19">
        <f>VLOOKUP(F253,[2]New!$B:$G,3,0)*K253/60</f>
        <v>0.93333333333333335</v>
      </c>
      <c r="Z253" s="19">
        <f>VLOOKUP(F253,[2]New!$B:$G,4,0)*K253/60</f>
        <v>3.9</v>
      </c>
      <c r="AA253" s="19">
        <f>VLOOKUP(F253,[2]New!$B:$G,6,0)*K253/60</f>
        <v>4.8166666666666664</v>
      </c>
      <c r="AB253" s="44">
        <f>VLOOKUP(A253,'[4]PO CAG (2)'!$A:$L,12,0)</f>
        <v>46251</v>
      </c>
      <c r="AC253" s="22">
        <f>IFERROR(VLOOKUP(F253,[3]Sheet1!$E:$H,4,0),)</f>
        <v>0</v>
      </c>
      <c r="AD253" s="144">
        <v>1</v>
      </c>
      <c r="AE253" s="25" t="s">
        <v>3023</v>
      </c>
      <c r="AF253" s="135" t="s">
        <v>112</v>
      </c>
      <c r="AG253" s="135"/>
      <c r="AH253" s="135"/>
      <c r="AI253" s="23">
        <v>0</v>
      </c>
      <c r="AJ253" s="267" t="s">
        <v>153</v>
      </c>
      <c r="AN253" s="278">
        <v>2</v>
      </c>
      <c r="AO253" s="278">
        <v>2</v>
      </c>
      <c r="AP253" s="278">
        <v>2</v>
      </c>
      <c r="AQ253" s="278">
        <v>2</v>
      </c>
    </row>
    <row r="254" spans="1:43">
      <c r="A254" s="135" t="s">
        <v>2240</v>
      </c>
      <c r="B254" s="135" t="s">
        <v>2472</v>
      </c>
      <c r="C254" s="135" t="s">
        <v>2241</v>
      </c>
      <c r="D254" s="46">
        <v>11119461</v>
      </c>
      <c r="E254" s="20" t="s">
        <v>1430</v>
      </c>
      <c r="F254" s="20" t="s">
        <v>1431</v>
      </c>
      <c r="G254" s="24">
        <v>1</v>
      </c>
      <c r="H254" s="21">
        <v>46247</v>
      </c>
      <c r="I254" s="53" t="s">
        <v>2242</v>
      </c>
      <c r="J254" s="24" t="s">
        <v>2243</v>
      </c>
      <c r="K254" s="24">
        <v>1</v>
      </c>
      <c r="L254" s="46">
        <v>12116096</v>
      </c>
      <c r="M254" s="20" t="s">
        <v>1493</v>
      </c>
      <c r="N254" s="38">
        <v>0</v>
      </c>
      <c r="O254" s="38">
        <v>0</v>
      </c>
      <c r="P254" s="20" t="s">
        <v>469</v>
      </c>
      <c r="Q254" s="20">
        <v>0</v>
      </c>
      <c r="R254" s="40">
        <v>46235</v>
      </c>
      <c r="S254" s="38">
        <v>0</v>
      </c>
      <c r="T254" s="38">
        <v>0</v>
      </c>
      <c r="U254" s="40">
        <v>46237</v>
      </c>
      <c r="V254" s="40">
        <v>46237</v>
      </c>
      <c r="W254" s="20" t="s">
        <v>57</v>
      </c>
      <c r="X254" s="21"/>
      <c r="Y254" s="19">
        <f>VLOOKUP(F254,[2]New!$B:$G,3,0)*K254/60</f>
        <v>0.93333333333333335</v>
      </c>
      <c r="Z254" s="19">
        <f>VLOOKUP(F254,[2]New!$B:$G,4,0)*K254/60</f>
        <v>3.9</v>
      </c>
      <c r="AA254" s="19">
        <f>VLOOKUP(F254,[2]New!$B:$G,6,0)*K254/60</f>
        <v>4.8199999999999994</v>
      </c>
      <c r="AB254" s="44">
        <f>VLOOKUP(A254,'[4]PO CAG (2)'!$A:$L,12,0)</f>
        <v>46251</v>
      </c>
      <c r="AC254" s="22">
        <f>IFERROR(VLOOKUP(F254,[3]Sheet1!$E:$H,4,0),)</f>
        <v>0</v>
      </c>
      <c r="AD254" s="144">
        <v>1</v>
      </c>
      <c r="AE254" s="25" t="s">
        <v>3023</v>
      </c>
      <c r="AF254" s="135" t="s">
        <v>112</v>
      </c>
      <c r="AG254" s="135"/>
      <c r="AH254" s="135"/>
      <c r="AI254" s="23">
        <v>0</v>
      </c>
      <c r="AJ254" s="267" t="s">
        <v>153</v>
      </c>
      <c r="AN254" s="278">
        <v>2</v>
      </c>
      <c r="AO254" s="278">
        <v>2</v>
      </c>
      <c r="AP254" s="278">
        <v>2</v>
      </c>
      <c r="AQ254" s="278">
        <v>2</v>
      </c>
    </row>
    <row r="255" spans="1:43">
      <c r="A255" s="135" t="s">
        <v>2244</v>
      </c>
      <c r="B255" s="135" t="s">
        <v>2473</v>
      </c>
      <c r="C255" s="135" t="s">
        <v>2245</v>
      </c>
      <c r="D255" s="46">
        <v>11119495</v>
      </c>
      <c r="E255" s="20" t="s">
        <v>1137</v>
      </c>
      <c r="F255" s="20" t="s">
        <v>1138</v>
      </c>
      <c r="G255" s="24">
        <v>1</v>
      </c>
      <c r="H255" s="21">
        <v>46247</v>
      </c>
      <c r="I255" s="53" t="s">
        <v>2246</v>
      </c>
      <c r="J255" s="24" t="s">
        <v>2247</v>
      </c>
      <c r="K255" s="24">
        <v>1</v>
      </c>
      <c r="L255" s="46">
        <v>12116130</v>
      </c>
      <c r="M255" s="20" t="s">
        <v>1153</v>
      </c>
      <c r="N255" s="38">
        <v>0</v>
      </c>
      <c r="O255" s="38">
        <v>0</v>
      </c>
      <c r="P255" s="20" t="s">
        <v>469</v>
      </c>
      <c r="Q255" s="20">
        <v>0</v>
      </c>
      <c r="R255" s="40">
        <v>46235</v>
      </c>
      <c r="S255" s="38">
        <v>0</v>
      </c>
      <c r="T255" s="38">
        <v>0</v>
      </c>
      <c r="U255" s="40">
        <v>46237</v>
      </c>
      <c r="V255" s="40">
        <v>46237</v>
      </c>
      <c r="W255" s="20" t="s">
        <v>57</v>
      </c>
      <c r="X255" s="21"/>
      <c r="Y255" s="19">
        <f>VLOOKUP(F255,[2]New!$B:$G,3,0)*K255/60</f>
        <v>0.93333333333333335</v>
      </c>
      <c r="Z255" s="19">
        <f>VLOOKUP(F255,[2]New!$B:$G,4,0)*K255/60</f>
        <v>3.9</v>
      </c>
      <c r="AA255" s="19">
        <f>VLOOKUP(F255,[2]New!$B:$G,6,0)*K255/60</f>
        <v>4.8199999999999994</v>
      </c>
      <c r="AB255" s="44">
        <f>VLOOKUP(A255,'[4]PO CAG (2)'!$A:$L,12,0)</f>
        <v>46251</v>
      </c>
      <c r="AC255" s="22">
        <f>IFERROR(VLOOKUP(F255,[3]Sheet1!$E:$H,4,0),)</f>
        <v>0</v>
      </c>
      <c r="AD255" s="144">
        <v>1</v>
      </c>
      <c r="AE255" s="25" t="s">
        <v>3023</v>
      </c>
      <c r="AF255" s="135" t="s">
        <v>112</v>
      </c>
      <c r="AG255" s="135"/>
      <c r="AH255" s="135"/>
      <c r="AI255" s="23">
        <v>0</v>
      </c>
      <c r="AJ255" s="267" t="s">
        <v>153</v>
      </c>
      <c r="AN255" s="278">
        <v>2</v>
      </c>
      <c r="AO255" s="278">
        <v>2</v>
      </c>
      <c r="AP255" s="278">
        <v>2</v>
      </c>
      <c r="AQ255" s="278">
        <v>2</v>
      </c>
    </row>
    <row r="256" spans="1:43">
      <c r="A256" s="135" t="s">
        <v>2248</v>
      </c>
      <c r="B256" s="135" t="s">
        <v>2474</v>
      </c>
      <c r="C256" s="135" t="s">
        <v>2249</v>
      </c>
      <c r="D256" s="46">
        <v>11119497</v>
      </c>
      <c r="E256" s="20" t="s">
        <v>596</v>
      </c>
      <c r="F256" s="20" t="s">
        <v>597</v>
      </c>
      <c r="G256" s="24">
        <v>1</v>
      </c>
      <c r="H256" s="21">
        <v>46247</v>
      </c>
      <c r="I256" s="53" t="s">
        <v>2250</v>
      </c>
      <c r="J256" s="24" t="s">
        <v>2251</v>
      </c>
      <c r="K256" s="24">
        <v>1</v>
      </c>
      <c r="L256" s="46">
        <v>12116132</v>
      </c>
      <c r="M256" s="20" t="s">
        <v>621</v>
      </c>
      <c r="N256" s="38">
        <v>0</v>
      </c>
      <c r="O256" s="38">
        <v>0</v>
      </c>
      <c r="P256" s="20" t="s">
        <v>469</v>
      </c>
      <c r="Q256" s="20">
        <v>0</v>
      </c>
      <c r="R256" s="40">
        <v>46235</v>
      </c>
      <c r="S256" s="38">
        <v>0</v>
      </c>
      <c r="T256" s="38">
        <v>0</v>
      </c>
      <c r="U256" s="40">
        <v>46237</v>
      </c>
      <c r="V256" s="40">
        <v>46237</v>
      </c>
      <c r="W256" s="20" t="s">
        <v>57</v>
      </c>
      <c r="X256" s="21"/>
      <c r="Y256" s="19">
        <f>VLOOKUP(F256,[2]New!$B:$G,3,0)*K256/60</f>
        <v>0.93333333333333335</v>
      </c>
      <c r="Z256" s="19">
        <f>VLOOKUP(F256,[2]New!$B:$G,4,0)*K256/60</f>
        <v>3.9</v>
      </c>
      <c r="AA256" s="19">
        <f>VLOOKUP(F256,[2]New!$B:$G,6,0)*K256/60</f>
        <v>4.8199999999999994</v>
      </c>
      <c r="AB256" s="44">
        <f>VLOOKUP(A256,'[4]PO CAG (2)'!$A:$L,12,0)</f>
        <v>46251</v>
      </c>
      <c r="AC256" s="22">
        <f>IFERROR(VLOOKUP(F256,[3]Sheet1!$E:$H,4,0),)</f>
        <v>0</v>
      </c>
      <c r="AD256" s="144">
        <v>1</v>
      </c>
      <c r="AE256" s="25" t="s">
        <v>3023</v>
      </c>
      <c r="AF256" s="135" t="s">
        <v>112</v>
      </c>
      <c r="AG256" s="135"/>
      <c r="AH256" s="135"/>
      <c r="AI256" s="23">
        <v>0</v>
      </c>
      <c r="AJ256" s="267" t="s">
        <v>153</v>
      </c>
      <c r="AN256" s="278">
        <v>2</v>
      </c>
      <c r="AO256" s="278">
        <v>2</v>
      </c>
      <c r="AP256" s="278">
        <v>2</v>
      </c>
      <c r="AQ256" s="278">
        <v>2</v>
      </c>
    </row>
    <row r="257" spans="1:43">
      <c r="A257" s="135" t="s">
        <v>2252</v>
      </c>
      <c r="B257" s="135" t="s">
        <v>2475</v>
      </c>
      <c r="C257" s="135" t="s">
        <v>2253</v>
      </c>
      <c r="D257" s="46">
        <v>11119500</v>
      </c>
      <c r="E257" s="20" t="s">
        <v>767</v>
      </c>
      <c r="F257" s="20" t="s">
        <v>768</v>
      </c>
      <c r="G257" s="24">
        <v>1</v>
      </c>
      <c r="H257" s="21">
        <v>46247</v>
      </c>
      <c r="I257" s="53" t="s">
        <v>2254</v>
      </c>
      <c r="J257" s="24" t="s">
        <v>2255</v>
      </c>
      <c r="K257" s="24">
        <v>1</v>
      </c>
      <c r="L257" s="46">
        <v>12116135</v>
      </c>
      <c r="M257" s="20" t="s">
        <v>789</v>
      </c>
      <c r="N257" s="38">
        <v>0</v>
      </c>
      <c r="O257" s="38">
        <v>0</v>
      </c>
      <c r="P257" s="20" t="s">
        <v>469</v>
      </c>
      <c r="Q257" s="20">
        <v>0</v>
      </c>
      <c r="R257" s="40">
        <v>46235</v>
      </c>
      <c r="S257" s="38">
        <v>0</v>
      </c>
      <c r="T257" s="38">
        <v>0</v>
      </c>
      <c r="U257" s="40">
        <v>46237</v>
      </c>
      <c r="V257" s="40">
        <v>46237</v>
      </c>
      <c r="W257" s="20" t="s">
        <v>57</v>
      </c>
      <c r="X257" s="21"/>
      <c r="Y257" s="19">
        <f>VLOOKUP(F257,[2]New!$B:$G,3,0)*K257/60</f>
        <v>0.93333333333333335</v>
      </c>
      <c r="Z257" s="19">
        <f>VLOOKUP(F257,[2]New!$B:$G,4,0)*K257/60</f>
        <v>3.9</v>
      </c>
      <c r="AA257" s="19">
        <f>VLOOKUP(F257,[2]New!$B:$G,6,0)*K257/60</f>
        <v>4.8199999999999994</v>
      </c>
      <c r="AB257" s="44">
        <f>VLOOKUP(A257,'[4]PO CAG (2)'!$A:$L,12,0)</f>
        <v>46251</v>
      </c>
      <c r="AC257" s="22">
        <f>IFERROR(VLOOKUP(F257,[3]Sheet1!$E:$H,4,0),)</f>
        <v>0</v>
      </c>
      <c r="AD257" s="144">
        <v>1</v>
      </c>
      <c r="AE257" s="25" t="s">
        <v>3023</v>
      </c>
      <c r="AF257" s="135" t="s">
        <v>112</v>
      </c>
      <c r="AG257" s="135"/>
      <c r="AH257" s="135"/>
      <c r="AI257" s="23">
        <v>0</v>
      </c>
      <c r="AJ257" s="267" t="s">
        <v>153</v>
      </c>
      <c r="AN257" s="278">
        <v>2</v>
      </c>
      <c r="AO257" s="278">
        <v>2</v>
      </c>
      <c r="AP257" s="278">
        <v>2</v>
      </c>
      <c r="AQ257" s="278">
        <v>2</v>
      </c>
    </row>
    <row r="258" spans="1:43">
      <c r="A258" s="135" t="s">
        <v>2256</v>
      </c>
      <c r="B258" s="135" t="s">
        <v>2476</v>
      </c>
      <c r="C258" s="135" t="s">
        <v>2257</v>
      </c>
      <c r="D258" s="46">
        <v>11119662</v>
      </c>
      <c r="E258" s="20" t="s">
        <v>598</v>
      </c>
      <c r="F258" s="20" t="s">
        <v>599</v>
      </c>
      <c r="G258" s="24">
        <v>1</v>
      </c>
      <c r="H258" s="21">
        <v>46247</v>
      </c>
      <c r="I258" s="53" t="s">
        <v>2258</v>
      </c>
      <c r="J258" s="24" t="s">
        <v>2259</v>
      </c>
      <c r="K258" s="24">
        <v>1</v>
      </c>
      <c r="L258" s="46">
        <v>12116297</v>
      </c>
      <c r="M258" s="20" t="s">
        <v>622</v>
      </c>
      <c r="N258" s="38">
        <v>0</v>
      </c>
      <c r="O258" s="38">
        <v>0</v>
      </c>
      <c r="P258" s="20" t="s">
        <v>469</v>
      </c>
      <c r="Q258" s="20">
        <v>0</v>
      </c>
      <c r="R258" s="40">
        <v>46235</v>
      </c>
      <c r="S258" s="38">
        <v>0</v>
      </c>
      <c r="T258" s="38">
        <v>0</v>
      </c>
      <c r="U258" s="40">
        <v>46237</v>
      </c>
      <c r="V258" s="40">
        <v>46237</v>
      </c>
      <c r="W258" s="20" t="s">
        <v>57</v>
      </c>
      <c r="X258" s="21"/>
      <c r="Y258" s="19">
        <f>VLOOKUP(F258,[2]New!$B:$G,3,0)*K258/60</f>
        <v>0.93333333333333335</v>
      </c>
      <c r="Z258" s="19">
        <f>VLOOKUP(F258,[2]New!$B:$G,4,0)*K258/60</f>
        <v>3.9</v>
      </c>
      <c r="AA258" s="19">
        <f>VLOOKUP(F258,[2]New!$B:$G,6,0)*K258/60</f>
        <v>4.8199999999999994</v>
      </c>
      <c r="AB258" s="44">
        <f>VLOOKUP(A258,'[4]PO CAG (2)'!$A:$L,12,0)</f>
        <v>46251</v>
      </c>
      <c r="AC258" s="22">
        <f>IFERROR(VLOOKUP(F258,[3]Sheet1!$E:$H,4,0),)</f>
        <v>0</v>
      </c>
      <c r="AD258" s="144">
        <v>1</v>
      </c>
      <c r="AE258" s="25" t="s">
        <v>3023</v>
      </c>
      <c r="AF258" s="135" t="s">
        <v>112</v>
      </c>
      <c r="AG258" s="135"/>
      <c r="AH258" s="135"/>
      <c r="AI258" s="23">
        <v>0</v>
      </c>
      <c r="AJ258" s="267" t="s">
        <v>153</v>
      </c>
      <c r="AN258" s="278">
        <v>2</v>
      </c>
      <c r="AO258" s="278">
        <v>2</v>
      </c>
      <c r="AP258" s="278">
        <v>2</v>
      </c>
      <c r="AQ258" s="278">
        <v>2</v>
      </c>
    </row>
    <row r="259" spans="1:43">
      <c r="A259" s="135" t="s">
        <v>2260</v>
      </c>
      <c r="B259" s="135" t="s">
        <v>2477</v>
      </c>
      <c r="C259" s="135" t="s">
        <v>2261</v>
      </c>
      <c r="D259" s="46">
        <v>11119665</v>
      </c>
      <c r="E259" s="20" t="s">
        <v>2262</v>
      </c>
      <c r="F259" s="20" t="s">
        <v>2263</v>
      </c>
      <c r="G259" s="24">
        <v>1</v>
      </c>
      <c r="H259" s="21">
        <v>46247</v>
      </c>
      <c r="I259" s="53" t="s">
        <v>2264</v>
      </c>
      <c r="J259" s="24" t="s">
        <v>2265</v>
      </c>
      <c r="K259" s="24">
        <v>1</v>
      </c>
      <c r="L259" s="46">
        <v>12116300</v>
      </c>
      <c r="M259" s="20" t="s">
        <v>2465</v>
      </c>
      <c r="N259" s="38">
        <v>0</v>
      </c>
      <c r="O259" s="38">
        <v>0</v>
      </c>
      <c r="P259" s="20" t="s">
        <v>469</v>
      </c>
      <c r="Q259" s="20">
        <v>0</v>
      </c>
      <c r="R259" s="40">
        <v>46235</v>
      </c>
      <c r="S259" s="38">
        <v>0</v>
      </c>
      <c r="T259" s="38">
        <v>0</v>
      </c>
      <c r="U259" s="40">
        <v>46237</v>
      </c>
      <c r="V259" s="40">
        <v>46237</v>
      </c>
      <c r="W259" s="20" t="s">
        <v>57</v>
      </c>
      <c r="X259" s="21"/>
      <c r="Y259" s="19">
        <f>VLOOKUP(F259,[2]New!$B:$G,3,0)*K259/60</f>
        <v>0.93333333333333335</v>
      </c>
      <c r="Z259" s="19">
        <f>VLOOKUP(F259,[2]New!$B:$G,4,0)*K259/60</f>
        <v>3.9</v>
      </c>
      <c r="AA259" s="19">
        <f>VLOOKUP(F259,[2]New!$B:$G,6,0)*K259/60</f>
        <v>4.8166666666666664</v>
      </c>
      <c r="AB259" s="44">
        <f>VLOOKUP(A259,'[4]PO CAG (2)'!$A:$L,12,0)</f>
        <v>46251</v>
      </c>
      <c r="AC259" s="22">
        <f>IFERROR(VLOOKUP(F259,[3]Sheet1!$E:$H,4,0),)</f>
        <v>0</v>
      </c>
      <c r="AD259" s="144">
        <v>1</v>
      </c>
      <c r="AE259" s="25" t="s">
        <v>3023</v>
      </c>
      <c r="AF259" s="135" t="s">
        <v>112</v>
      </c>
      <c r="AG259" s="135"/>
      <c r="AH259" s="135"/>
      <c r="AI259" s="23">
        <v>0</v>
      </c>
      <c r="AJ259" s="267" t="s">
        <v>153</v>
      </c>
      <c r="AN259" s="278">
        <v>2</v>
      </c>
      <c r="AO259" s="278">
        <v>2</v>
      </c>
      <c r="AP259" s="278">
        <v>2</v>
      </c>
      <c r="AQ259" s="278">
        <v>2</v>
      </c>
    </row>
    <row r="260" spans="1:43">
      <c r="A260" s="135" t="s">
        <v>2266</v>
      </c>
      <c r="B260" s="135" t="s">
        <v>2478</v>
      </c>
      <c r="C260" s="135" t="s">
        <v>2267</v>
      </c>
      <c r="D260" s="46">
        <v>11119610</v>
      </c>
      <c r="E260" s="20" t="s">
        <v>984</v>
      </c>
      <c r="F260" s="20" t="s">
        <v>985</v>
      </c>
      <c r="G260" s="24">
        <v>1</v>
      </c>
      <c r="H260" s="21">
        <v>46247</v>
      </c>
      <c r="I260" s="53" t="s">
        <v>2268</v>
      </c>
      <c r="J260" s="24" t="s">
        <v>2269</v>
      </c>
      <c r="K260" s="24">
        <v>1</v>
      </c>
      <c r="L260" s="46">
        <v>12116245</v>
      </c>
      <c r="M260" s="20" t="s">
        <v>1018</v>
      </c>
      <c r="N260" s="38">
        <v>0</v>
      </c>
      <c r="O260" s="38">
        <v>0</v>
      </c>
      <c r="P260" s="20" t="s">
        <v>469</v>
      </c>
      <c r="Q260" s="20">
        <v>0</v>
      </c>
      <c r="R260" s="40">
        <v>46235</v>
      </c>
      <c r="S260" s="38">
        <v>0</v>
      </c>
      <c r="T260" s="38">
        <v>0</v>
      </c>
      <c r="U260" s="40">
        <v>46237</v>
      </c>
      <c r="V260" s="40">
        <v>46237</v>
      </c>
      <c r="W260" s="20" t="s">
        <v>57</v>
      </c>
      <c r="X260" s="21"/>
      <c r="Y260" s="19">
        <f>VLOOKUP(F260,[2]New!$B:$G,3,0)*K260/60</f>
        <v>0.93333333333333335</v>
      </c>
      <c r="Z260" s="19">
        <f>VLOOKUP(F260,[2]New!$B:$G,4,0)*K260/60</f>
        <v>3.9</v>
      </c>
      <c r="AA260" s="19">
        <f>VLOOKUP(F260,[2]New!$B:$G,6,0)*K260/60</f>
        <v>3.9</v>
      </c>
      <c r="AB260" s="44">
        <f>VLOOKUP(A260,'[4]PO CAG (2)'!$A:$L,12,0)</f>
        <v>46251</v>
      </c>
      <c r="AC260" s="22">
        <f>IFERROR(VLOOKUP(F260,[3]Sheet1!$E:$H,4,0),)</f>
        <v>0</v>
      </c>
      <c r="AD260" s="144">
        <v>1</v>
      </c>
      <c r="AE260" s="25" t="s">
        <v>3023</v>
      </c>
      <c r="AF260" s="135" t="s">
        <v>112</v>
      </c>
      <c r="AG260" s="135"/>
      <c r="AH260" s="135"/>
      <c r="AI260" s="23">
        <v>0</v>
      </c>
      <c r="AJ260" s="267" t="s">
        <v>153</v>
      </c>
      <c r="AN260" s="278">
        <v>2</v>
      </c>
      <c r="AO260" s="278">
        <v>2</v>
      </c>
      <c r="AP260" s="278">
        <v>2</v>
      </c>
      <c r="AQ260" s="278">
        <v>2</v>
      </c>
    </row>
    <row r="261" spans="1:43">
      <c r="A261" s="135" t="s">
        <v>2270</v>
      </c>
      <c r="B261" s="135" t="s">
        <v>2479</v>
      </c>
      <c r="C261" s="135" t="s">
        <v>2271</v>
      </c>
      <c r="D261" s="46">
        <v>11119340</v>
      </c>
      <c r="E261" s="20" t="s">
        <v>498</v>
      </c>
      <c r="F261" s="20" t="s">
        <v>499</v>
      </c>
      <c r="G261" s="24">
        <v>2</v>
      </c>
      <c r="H261" s="21">
        <v>46247</v>
      </c>
      <c r="I261" s="53" t="s">
        <v>2272</v>
      </c>
      <c r="J261" s="24" t="s">
        <v>2273</v>
      </c>
      <c r="K261" s="24">
        <v>2</v>
      </c>
      <c r="L261" s="46">
        <v>12115975</v>
      </c>
      <c r="M261" s="20" t="s">
        <v>510</v>
      </c>
      <c r="N261" s="38">
        <v>0</v>
      </c>
      <c r="O261" s="38">
        <v>0</v>
      </c>
      <c r="P261" s="20" t="s">
        <v>469</v>
      </c>
      <c r="Q261" s="20">
        <v>0</v>
      </c>
      <c r="R261" s="40">
        <v>46235</v>
      </c>
      <c r="S261" s="38">
        <v>0</v>
      </c>
      <c r="T261" s="38">
        <v>0</v>
      </c>
      <c r="U261" s="40">
        <v>46237</v>
      </c>
      <c r="V261" s="40">
        <v>46237</v>
      </c>
      <c r="W261" s="20" t="s">
        <v>57</v>
      </c>
      <c r="X261" s="21"/>
      <c r="Y261" s="19">
        <f>VLOOKUP(F261,[2]New!$B:$G,3,0)*K261/60</f>
        <v>1.8666666666666667</v>
      </c>
      <c r="Z261" s="19">
        <f>VLOOKUP(F261,[2]New!$B:$G,4,0)*K261/60</f>
        <v>7.8</v>
      </c>
      <c r="AA261" s="19">
        <f>VLOOKUP(F261,[2]New!$B:$G,6,0)*K261/60</f>
        <v>9.6399999999999988</v>
      </c>
      <c r="AB261" s="44">
        <f>VLOOKUP(A261,'[4]PO CAG (2)'!$A:$L,12,0)</f>
        <v>46251</v>
      </c>
      <c r="AC261" s="22">
        <f>IFERROR(VLOOKUP(F261,[3]Sheet1!$E:$H,4,0),)</f>
        <v>0</v>
      </c>
      <c r="AD261" s="144">
        <v>2</v>
      </c>
      <c r="AE261" s="25" t="s">
        <v>3023</v>
      </c>
      <c r="AF261" s="135" t="s">
        <v>112</v>
      </c>
      <c r="AG261" s="135"/>
      <c r="AH261" s="135"/>
      <c r="AI261" s="23">
        <v>0</v>
      </c>
      <c r="AJ261" s="267" t="s">
        <v>153</v>
      </c>
      <c r="AN261" s="278">
        <v>2</v>
      </c>
      <c r="AO261" s="278">
        <v>2</v>
      </c>
      <c r="AP261" s="278">
        <v>2</v>
      </c>
      <c r="AQ261" s="278">
        <v>2</v>
      </c>
    </row>
    <row r="262" spans="1:43">
      <c r="A262" s="135" t="s">
        <v>2274</v>
      </c>
      <c r="B262" s="135" t="s">
        <v>2480</v>
      </c>
      <c r="C262" s="135" t="s">
        <v>2275</v>
      </c>
      <c r="D262" s="46">
        <v>11119366</v>
      </c>
      <c r="E262" s="20" t="s">
        <v>578</v>
      </c>
      <c r="F262" s="20" t="s">
        <v>579</v>
      </c>
      <c r="G262" s="24">
        <v>2</v>
      </c>
      <c r="H262" s="21">
        <v>46247</v>
      </c>
      <c r="I262" s="53" t="s">
        <v>2276</v>
      </c>
      <c r="J262" s="24" t="s">
        <v>2277</v>
      </c>
      <c r="K262" s="24">
        <v>2</v>
      </c>
      <c r="L262" s="46">
        <v>12116001</v>
      </c>
      <c r="M262" s="20" t="s">
        <v>611</v>
      </c>
      <c r="N262" s="38">
        <v>0</v>
      </c>
      <c r="O262" s="38">
        <v>0</v>
      </c>
      <c r="P262" s="20" t="s">
        <v>469</v>
      </c>
      <c r="Q262" s="20">
        <v>0</v>
      </c>
      <c r="R262" s="40">
        <v>46235</v>
      </c>
      <c r="S262" s="38">
        <v>0</v>
      </c>
      <c r="T262" s="38">
        <v>0</v>
      </c>
      <c r="U262" s="40">
        <v>46237</v>
      </c>
      <c r="V262" s="40">
        <v>46237</v>
      </c>
      <c r="W262" s="20" t="s">
        <v>57</v>
      </c>
      <c r="X262" s="21"/>
      <c r="Y262" s="19">
        <f>VLOOKUP(F262,[2]New!$B:$G,3,0)*K262/60</f>
        <v>1.8666666666666667</v>
      </c>
      <c r="Z262" s="19">
        <f>VLOOKUP(F262,[2]New!$B:$G,4,0)*K262/60</f>
        <v>7.8</v>
      </c>
      <c r="AA262" s="19">
        <f>VLOOKUP(F262,[2]New!$B:$G,6,0)*K262/60</f>
        <v>9.6333333333333329</v>
      </c>
      <c r="AB262" s="44">
        <f>VLOOKUP(A262,'[4]PO CAG (2)'!$A:$L,12,0)</f>
        <v>46251</v>
      </c>
      <c r="AC262" s="22">
        <f>IFERROR(VLOOKUP(F262,[3]Sheet1!$E:$H,4,0),)</f>
        <v>0</v>
      </c>
      <c r="AD262" s="144">
        <v>2</v>
      </c>
      <c r="AE262" s="25" t="s">
        <v>3023</v>
      </c>
      <c r="AF262" s="135" t="s">
        <v>112</v>
      </c>
      <c r="AG262" s="135"/>
      <c r="AH262" s="135"/>
      <c r="AI262" s="23">
        <v>0</v>
      </c>
      <c r="AJ262" s="267" t="s">
        <v>153</v>
      </c>
      <c r="AN262" s="278">
        <v>2</v>
      </c>
      <c r="AO262" s="278">
        <v>2</v>
      </c>
      <c r="AP262" s="278">
        <v>2</v>
      </c>
      <c r="AQ262" s="278">
        <v>2</v>
      </c>
    </row>
    <row r="263" spans="1:43">
      <c r="A263" s="135" t="s">
        <v>2278</v>
      </c>
      <c r="B263" s="135" t="s">
        <v>2481</v>
      </c>
      <c r="C263" s="135" t="s">
        <v>2279</v>
      </c>
      <c r="D263" s="46">
        <v>11119382</v>
      </c>
      <c r="E263" s="20" t="s">
        <v>566</v>
      </c>
      <c r="F263" s="20" t="s">
        <v>567</v>
      </c>
      <c r="G263" s="24">
        <v>2</v>
      </c>
      <c r="H263" s="21">
        <v>46247</v>
      </c>
      <c r="I263" s="53" t="s">
        <v>2280</v>
      </c>
      <c r="J263" s="24" t="s">
        <v>2281</v>
      </c>
      <c r="K263" s="24">
        <v>2</v>
      </c>
      <c r="L263" s="46">
        <v>12116017</v>
      </c>
      <c r="M263" s="20" t="s">
        <v>605</v>
      </c>
      <c r="N263" s="38">
        <v>0</v>
      </c>
      <c r="O263" s="38">
        <v>0</v>
      </c>
      <c r="P263" s="20" t="s">
        <v>469</v>
      </c>
      <c r="Q263" s="20">
        <v>0</v>
      </c>
      <c r="R263" s="40">
        <v>46235</v>
      </c>
      <c r="S263" s="38">
        <v>0</v>
      </c>
      <c r="T263" s="38">
        <v>0</v>
      </c>
      <c r="U263" s="40">
        <v>46237</v>
      </c>
      <c r="V263" s="40">
        <v>46237</v>
      </c>
      <c r="W263" s="20" t="s">
        <v>57</v>
      </c>
      <c r="X263" s="21"/>
      <c r="Y263" s="19">
        <f>VLOOKUP(F263,[2]New!$B:$G,3,0)*K263/60</f>
        <v>1.8666666666666667</v>
      </c>
      <c r="Z263" s="19">
        <f>VLOOKUP(F263,[2]New!$B:$G,4,0)*K263/60</f>
        <v>7.8</v>
      </c>
      <c r="AA263" s="19">
        <f>VLOOKUP(F263,[2]New!$B:$G,6,0)*K263/60</f>
        <v>9.6399999999999988</v>
      </c>
      <c r="AB263" s="44">
        <f>VLOOKUP(A263,'[4]PO CAG (2)'!$A:$L,12,0)</f>
        <v>46251</v>
      </c>
      <c r="AC263" s="22">
        <f>IFERROR(VLOOKUP(F263,[3]Sheet1!$E:$H,4,0),)</f>
        <v>0</v>
      </c>
      <c r="AD263" s="144">
        <v>2</v>
      </c>
      <c r="AE263" s="25" t="s">
        <v>3023</v>
      </c>
      <c r="AF263" s="135" t="s">
        <v>112</v>
      </c>
      <c r="AG263" s="135"/>
      <c r="AH263" s="135"/>
      <c r="AI263" s="23">
        <v>0</v>
      </c>
      <c r="AJ263" s="267" t="s">
        <v>153</v>
      </c>
      <c r="AN263" s="278">
        <v>2</v>
      </c>
      <c r="AO263" s="278">
        <v>2</v>
      </c>
      <c r="AP263" s="278">
        <v>2</v>
      </c>
      <c r="AQ263" s="278">
        <v>2</v>
      </c>
    </row>
    <row r="264" spans="1:43">
      <c r="A264" s="135" t="s">
        <v>2282</v>
      </c>
      <c r="B264" s="135" t="s">
        <v>2482</v>
      </c>
      <c r="C264" s="135" t="s">
        <v>2283</v>
      </c>
      <c r="D264" s="46">
        <v>11119394</v>
      </c>
      <c r="E264" s="20" t="s">
        <v>568</v>
      </c>
      <c r="F264" s="20" t="s">
        <v>569</v>
      </c>
      <c r="G264" s="24">
        <v>2</v>
      </c>
      <c r="H264" s="21">
        <v>46247</v>
      </c>
      <c r="I264" s="53" t="s">
        <v>2284</v>
      </c>
      <c r="J264" s="24" t="s">
        <v>2285</v>
      </c>
      <c r="K264" s="24">
        <v>2</v>
      </c>
      <c r="L264" s="46">
        <v>12116029</v>
      </c>
      <c r="M264" s="20" t="s">
        <v>606</v>
      </c>
      <c r="N264" s="38">
        <v>0</v>
      </c>
      <c r="O264" s="38">
        <v>0</v>
      </c>
      <c r="P264" s="20" t="s">
        <v>469</v>
      </c>
      <c r="Q264" s="20">
        <v>0</v>
      </c>
      <c r="R264" s="40">
        <v>46235</v>
      </c>
      <c r="S264" s="38">
        <v>0</v>
      </c>
      <c r="T264" s="38">
        <v>0</v>
      </c>
      <c r="U264" s="40">
        <v>46237</v>
      </c>
      <c r="V264" s="40">
        <v>46237</v>
      </c>
      <c r="W264" s="20" t="s">
        <v>57</v>
      </c>
      <c r="X264" s="21"/>
      <c r="Y264" s="19">
        <f>VLOOKUP(F264,[2]New!$B:$G,3,0)*K264/60</f>
        <v>1.8666666666666667</v>
      </c>
      <c r="Z264" s="19">
        <f>VLOOKUP(F264,[2]New!$B:$G,4,0)*K264/60</f>
        <v>7.8</v>
      </c>
      <c r="AA264" s="19">
        <f>VLOOKUP(F264,[2]New!$B:$G,6,0)*K264/60</f>
        <v>9.6399999999999988</v>
      </c>
      <c r="AB264" s="44">
        <f>VLOOKUP(A264,'[4]PO CAG (2)'!$A:$L,12,0)</f>
        <v>46251</v>
      </c>
      <c r="AC264" s="22">
        <f>IFERROR(VLOOKUP(F264,[3]Sheet1!$E:$H,4,0),)</f>
        <v>0</v>
      </c>
      <c r="AD264" s="144">
        <v>2</v>
      </c>
      <c r="AE264" s="25" t="s">
        <v>3023</v>
      </c>
      <c r="AF264" s="135" t="s">
        <v>112</v>
      </c>
      <c r="AG264" s="135"/>
      <c r="AH264" s="135"/>
      <c r="AI264" s="23">
        <v>0</v>
      </c>
      <c r="AJ264" s="267" t="s">
        <v>153</v>
      </c>
      <c r="AN264" s="278">
        <v>2</v>
      </c>
      <c r="AO264" s="278">
        <v>2</v>
      </c>
      <c r="AP264" s="278">
        <v>2</v>
      </c>
      <c r="AQ264" s="278">
        <v>2</v>
      </c>
    </row>
    <row r="265" spans="1:43">
      <c r="A265" s="135" t="s">
        <v>2286</v>
      </c>
      <c r="B265" s="135" t="s">
        <v>2483</v>
      </c>
      <c r="C265" s="135" t="s">
        <v>2287</v>
      </c>
      <c r="D265" s="46">
        <v>11119511</v>
      </c>
      <c r="E265" s="20" t="s">
        <v>1133</v>
      </c>
      <c r="F265" s="20" t="s">
        <v>1134</v>
      </c>
      <c r="G265" s="24">
        <v>2</v>
      </c>
      <c r="H265" s="21">
        <v>46247</v>
      </c>
      <c r="I265" s="53" t="s">
        <v>2288</v>
      </c>
      <c r="J265" s="24" t="s">
        <v>2289</v>
      </c>
      <c r="K265" s="24">
        <v>2</v>
      </c>
      <c r="L265" s="46">
        <v>12116146</v>
      </c>
      <c r="M265" s="20" t="s">
        <v>1151</v>
      </c>
      <c r="N265" s="38">
        <v>0</v>
      </c>
      <c r="O265" s="38">
        <v>0</v>
      </c>
      <c r="P265" s="20" t="s">
        <v>469</v>
      </c>
      <c r="Q265" s="20">
        <v>0</v>
      </c>
      <c r="R265" s="40">
        <v>46235</v>
      </c>
      <c r="S265" s="38">
        <v>0</v>
      </c>
      <c r="T265" s="38">
        <v>0</v>
      </c>
      <c r="U265" s="40">
        <v>46237</v>
      </c>
      <c r="V265" s="40">
        <v>46237</v>
      </c>
      <c r="W265" s="20" t="s">
        <v>57</v>
      </c>
      <c r="X265" s="21"/>
      <c r="Y265" s="19">
        <f>VLOOKUP(F265,[2]New!$B:$G,3,0)*K265/60</f>
        <v>1.8666666666666667</v>
      </c>
      <c r="Z265" s="19">
        <f>VLOOKUP(F265,[2]New!$B:$G,4,0)*K265/60</f>
        <v>7.8</v>
      </c>
      <c r="AA265" s="19">
        <f>VLOOKUP(F265,[2]New!$B:$G,6,0)*K265/60</f>
        <v>9.6399999999999988</v>
      </c>
      <c r="AB265" s="44">
        <f>VLOOKUP(A265,'[4]PO CAG (2)'!$A:$L,12,0)</f>
        <v>46251</v>
      </c>
      <c r="AC265" s="22">
        <f>IFERROR(VLOOKUP(F265,[3]Sheet1!$E:$H,4,0),)</f>
        <v>0</v>
      </c>
      <c r="AD265" s="144">
        <v>2</v>
      </c>
      <c r="AE265" s="25" t="s">
        <v>3023</v>
      </c>
      <c r="AF265" s="135" t="s">
        <v>112</v>
      </c>
      <c r="AG265" s="135"/>
      <c r="AH265" s="135"/>
      <c r="AI265" s="23">
        <v>0</v>
      </c>
      <c r="AJ265" s="267" t="s">
        <v>153</v>
      </c>
      <c r="AN265" s="278">
        <v>2</v>
      </c>
      <c r="AO265" s="278">
        <v>2</v>
      </c>
      <c r="AP265" s="278">
        <v>2</v>
      </c>
      <c r="AQ265" s="278">
        <v>2</v>
      </c>
    </row>
    <row r="266" spans="1:43">
      <c r="A266" s="135" t="s">
        <v>2290</v>
      </c>
      <c r="B266" s="135" t="s">
        <v>2484</v>
      </c>
      <c r="C266" s="135" t="s">
        <v>2291</v>
      </c>
      <c r="D266" s="46">
        <v>11119601</v>
      </c>
      <c r="E266" s="20" t="s">
        <v>1478</v>
      </c>
      <c r="F266" s="20" t="s">
        <v>1479</v>
      </c>
      <c r="G266" s="24">
        <v>2</v>
      </c>
      <c r="H266" s="21">
        <v>46247</v>
      </c>
      <c r="I266" s="53" t="s">
        <v>2292</v>
      </c>
      <c r="J266" s="24" t="s">
        <v>2293</v>
      </c>
      <c r="K266" s="24">
        <v>2</v>
      </c>
      <c r="L266" s="46">
        <v>12116236</v>
      </c>
      <c r="M266" s="20" t="s">
        <v>1494</v>
      </c>
      <c r="N266" s="38">
        <v>0</v>
      </c>
      <c r="O266" s="38">
        <v>0</v>
      </c>
      <c r="P266" s="20" t="s">
        <v>469</v>
      </c>
      <c r="Q266" s="20">
        <v>0</v>
      </c>
      <c r="R266" s="40">
        <v>46235</v>
      </c>
      <c r="S266" s="38">
        <v>0</v>
      </c>
      <c r="T266" s="38">
        <v>0</v>
      </c>
      <c r="U266" s="40">
        <v>46237</v>
      </c>
      <c r="V266" s="40">
        <v>46237</v>
      </c>
      <c r="W266" s="20" t="s">
        <v>57</v>
      </c>
      <c r="X266" s="21"/>
      <c r="Y266" s="19">
        <f>VLOOKUP(F266,[2]New!$B:$G,3,0)*K266/60</f>
        <v>1.8666666666666667</v>
      </c>
      <c r="Z266" s="19">
        <f>VLOOKUP(F266,[2]New!$B:$G,4,0)*K266/60</f>
        <v>7.8</v>
      </c>
      <c r="AA266" s="19">
        <f>VLOOKUP(F266,[2]New!$B:$G,6,0)*K266/60</f>
        <v>9.6333333333333329</v>
      </c>
      <c r="AB266" s="44">
        <f>VLOOKUP(A266,'[4]PO CAG (2)'!$A:$L,12,0)</f>
        <v>46251</v>
      </c>
      <c r="AC266" s="22">
        <f>IFERROR(VLOOKUP(F266,[3]Sheet1!$E:$H,4,0),)</f>
        <v>0</v>
      </c>
      <c r="AD266" s="144">
        <v>2</v>
      </c>
      <c r="AE266" s="25" t="s">
        <v>3023</v>
      </c>
      <c r="AF266" s="135" t="s">
        <v>112</v>
      </c>
      <c r="AG266" s="135"/>
      <c r="AH266" s="135"/>
      <c r="AI266" s="23">
        <v>0</v>
      </c>
      <c r="AJ266" s="267" t="s">
        <v>153</v>
      </c>
      <c r="AN266" s="278">
        <v>2</v>
      </c>
      <c r="AO266" s="278">
        <v>2</v>
      </c>
      <c r="AP266" s="278">
        <v>2</v>
      </c>
      <c r="AQ266" s="278">
        <v>2</v>
      </c>
    </row>
    <row r="267" spans="1:43">
      <c r="A267" s="135" t="s">
        <v>2294</v>
      </c>
      <c r="B267" s="135" t="s">
        <v>2485</v>
      </c>
      <c r="C267" s="135" t="s">
        <v>2295</v>
      </c>
      <c r="D267" s="46">
        <v>11119398</v>
      </c>
      <c r="E267" s="20" t="s">
        <v>775</v>
      </c>
      <c r="F267" s="20" t="s">
        <v>776</v>
      </c>
      <c r="G267" s="24">
        <v>3</v>
      </c>
      <c r="H267" s="21">
        <v>46247</v>
      </c>
      <c r="I267" s="53" t="s">
        <v>2296</v>
      </c>
      <c r="J267" s="24" t="s">
        <v>2297</v>
      </c>
      <c r="K267" s="24">
        <v>3</v>
      </c>
      <c r="L267" s="46">
        <v>12116033</v>
      </c>
      <c r="M267" s="20" t="s">
        <v>793</v>
      </c>
      <c r="N267" s="38">
        <v>0</v>
      </c>
      <c r="O267" s="38">
        <v>0</v>
      </c>
      <c r="P267" s="20" t="s">
        <v>469</v>
      </c>
      <c r="Q267" s="20">
        <v>0</v>
      </c>
      <c r="R267" s="40">
        <v>46235</v>
      </c>
      <c r="S267" s="38">
        <v>0</v>
      </c>
      <c r="T267" s="38">
        <v>0</v>
      </c>
      <c r="U267" s="40">
        <v>46237</v>
      </c>
      <c r="V267" s="40">
        <v>46237</v>
      </c>
      <c r="W267" s="20" t="s">
        <v>57</v>
      </c>
      <c r="X267" s="21"/>
      <c r="Y267" s="19">
        <f>VLOOKUP(F267,[2]New!$B:$G,3,0)*K267/60</f>
        <v>2.8</v>
      </c>
      <c r="Z267" s="19">
        <f>VLOOKUP(F267,[2]New!$B:$G,4,0)*K267/60</f>
        <v>11.7</v>
      </c>
      <c r="AA267" s="19">
        <f>VLOOKUP(F267,[2]New!$B:$G,6,0)*K267/60</f>
        <v>14.459999999999999</v>
      </c>
      <c r="AB267" s="44">
        <f>VLOOKUP(A267,'[4]PO CAG (2)'!$A:$L,12,0)</f>
        <v>46251</v>
      </c>
      <c r="AC267" s="22">
        <f>IFERROR(VLOOKUP(F267,[3]Sheet1!$E:$H,4,0),)</f>
        <v>0</v>
      </c>
      <c r="AD267" s="144">
        <v>3</v>
      </c>
      <c r="AE267" s="25" t="s">
        <v>3023</v>
      </c>
      <c r="AF267" s="135" t="s">
        <v>112</v>
      </c>
      <c r="AG267" s="135"/>
      <c r="AH267" s="135"/>
      <c r="AI267" s="23">
        <v>0</v>
      </c>
      <c r="AJ267" s="267" t="s">
        <v>153</v>
      </c>
      <c r="AN267" s="278">
        <v>2</v>
      </c>
      <c r="AO267" s="278">
        <v>2</v>
      </c>
      <c r="AP267" s="278">
        <v>2</v>
      </c>
      <c r="AQ267" s="278">
        <v>2</v>
      </c>
    </row>
    <row r="268" spans="1:43">
      <c r="A268" s="135" t="s">
        <v>2298</v>
      </c>
      <c r="B268" s="135" t="s">
        <v>2486</v>
      </c>
      <c r="C268" s="135" t="s">
        <v>2299</v>
      </c>
      <c r="D268" s="46">
        <v>11119436</v>
      </c>
      <c r="E268" s="20" t="s">
        <v>570</v>
      </c>
      <c r="F268" s="20" t="s">
        <v>571</v>
      </c>
      <c r="G268" s="24">
        <v>3</v>
      </c>
      <c r="H268" s="21">
        <v>46247</v>
      </c>
      <c r="I268" s="53" t="s">
        <v>2300</v>
      </c>
      <c r="J268" s="24" t="s">
        <v>2301</v>
      </c>
      <c r="K268" s="24">
        <v>3</v>
      </c>
      <c r="L268" s="46">
        <v>12116071</v>
      </c>
      <c r="M268" s="20" t="s">
        <v>607</v>
      </c>
      <c r="N268" s="38">
        <v>0</v>
      </c>
      <c r="O268" s="38">
        <v>0</v>
      </c>
      <c r="P268" s="20" t="s">
        <v>469</v>
      </c>
      <c r="Q268" s="20">
        <v>0</v>
      </c>
      <c r="R268" s="40">
        <v>46235</v>
      </c>
      <c r="S268" s="38">
        <v>0</v>
      </c>
      <c r="T268" s="38">
        <v>0</v>
      </c>
      <c r="U268" s="40">
        <v>46237</v>
      </c>
      <c r="V268" s="40">
        <v>46237</v>
      </c>
      <c r="W268" s="20" t="s">
        <v>57</v>
      </c>
      <c r="X268" s="21"/>
      <c r="Y268" s="19">
        <f>VLOOKUP(F268,[2]New!$B:$G,3,0)*K268/60</f>
        <v>2.8</v>
      </c>
      <c r="Z268" s="19">
        <f>VLOOKUP(F268,[2]New!$B:$G,4,0)*K268/60</f>
        <v>11.7</v>
      </c>
      <c r="AA268" s="19">
        <f>VLOOKUP(F268,[2]New!$B:$G,6,0)*K268/60</f>
        <v>14.45</v>
      </c>
      <c r="AB268" s="44">
        <f>VLOOKUP(A268,'[4]PO CAG (2)'!$A:$L,12,0)</f>
        <v>46251</v>
      </c>
      <c r="AC268" s="22">
        <f>IFERROR(VLOOKUP(F268,[3]Sheet1!$E:$H,4,0),)</f>
        <v>0</v>
      </c>
      <c r="AD268" s="144">
        <v>3</v>
      </c>
      <c r="AE268" s="25" t="s">
        <v>3023</v>
      </c>
      <c r="AF268" s="135" t="s">
        <v>112</v>
      </c>
      <c r="AG268" s="135"/>
      <c r="AH268" s="135"/>
      <c r="AI268" s="23">
        <v>0</v>
      </c>
      <c r="AJ268" s="267" t="s">
        <v>153</v>
      </c>
      <c r="AN268" s="278">
        <v>2</v>
      </c>
      <c r="AO268" s="278">
        <v>2</v>
      </c>
      <c r="AP268" s="278">
        <v>2</v>
      </c>
      <c r="AQ268" s="278">
        <v>2</v>
      </c>
    </row>
    <row r="269" spans="1:43">
      <c r="A269" s="135" t="s">
        <v>2302</v>
      </c>
      <c r="B269" s="135" t="s">
        <v>2487</v>
      </c>
      <c r="C269" s="135" t="s">
        <v>2303</v>
      </c>
      <c r="D269" s="46">
        <v>11119544</v>
      </c>
      <c r="E269" s="20" t="s">
        <v>2304</v>
      </c>
      <c r="F269" s="20" t="s">
        <v>2305</v>
      </c>
      <c r="G269" s="24">
        <v>3</v>
      </c>
      <c r="H269" s="21">
        <v>46247</v>
      </c>
      <c r="I269" s="53" t="s">
        <v>2306</v>
      </c>
      <c r="J269" s="24" t="s">
        <v>2307</v>
      </c>
      <c r="K269" s="24">
        <v>3</v>
      </c>
      <c r="L269" s="46">
        <v>12116179</v>
      </c>
      <c r="M269" s="20" t="s">
        <v>2459</v>
      </c>
      <c r="N269" s="38">
        <v>0</v>
      </c>
      <c r="O269" s="38">
        <v>0</v>
      </c>
      <c r="P269" s="20" t="s">
        <v>469</v>
      </c>
      <c r="Q269" s="20">
        <v>0</v>
      </c>
      <c r="R269" s="40">
        <v>46235</v>
      </c>
      <c r="S269" s="38">
        <v>0</v>
      </c>
      <c r="T269" s="38">
        <v>0</v>
      </c>
      <c r="U269" s="40">
        <v>46237</v>
      </c>
      <c r="V269" s="40">
        <v>46237</v>
      </c>
      <c r="W269" s="20" t="s">
        <v>57</v>
      </c>
      <c r="X269" s="21"/>
      <c r="Y269" s="19">
        <f>VLOOKUP(F269,[2]New!$B:$G,3,0)*K269/60</f>
        <v>2.8</v>
      </c>
      <c r="Z269" s="19">
        <f>VLOOKUP(F269,[2]New!$B:$G,4,0)*K269/60</f>
        <v>11.7</v>
      </c>
      <c r="AA269" s="19">
        <f>VLOOKUP(F269,[2]New!$B:$G,6,0)*K269/60</f>
        <v>14.459999999999999</v>
      </c>
      <c r="AB269" s="44">
        <f>VLOOKUP(A269,'[4]PO CAG (2)'!$A:$L,12,0)</f>
        <v>46251</v>
      </c>
      <c r="AC269" s="22">
        <f>IFERROR(VLOOKUP(F269,[3]Sheet1!$E:$H,4,0),)</f>
        <v>0</v>
      </c>
      <c r="AD269" s="144">
        <v>3</v>
      </c>
      <c r="AE269" s="25" t="s">
        <v>3023</v>
      </c>
      <c r="AF269" s="135" t="s">
        <v>112</v>
      </c>
      <c r="AG269" s="135"/>
      <c r="AH269" s="135"/>
      <c r="AI269" s="23">
        <v>0</v>
      </c>
      <c r="AJ269" s="267" t="s">
        <v>153</v>
      </c>
      <c r="AN269" s="278">
        <v>2</v>
      </c>
      <c r="AO269" s="278">
        <v>2</v>
      </c>
      <c r="AP269" s="278">
        <v>2</v>
      </c>
      <c r="AQ269" s="278">
        <v>2</v>
      </c>
    </row>
    <row r="270" spans="1:43">
      <c r="A270" s="135" t="s">
        <v>2308</v>
      </c>
      <c r="B270" s="135" t="s">
        <v>2488</v>
      </c>
      <c r="C270" s="135" t="s">
        <v>2309</v>
      </c>
      <c r="D270" s="46">
        <v>11119498</v>
      </c>
      <c r="E270" s="20" t="s">
        <v>580</v>
      </c>
      <c r="F270" s="20" t="s">
        <v>581</v>
      </c>
      <c r="G270" s="24">
        <v>3</v>
      </c>
      <c r="H270" s="21">
        <v>46247</v>
      </c>
      <c r="I270" s="53" t="s">
        <v>2310</v>
      </c>
      <c r="J270" s="24" t="s">
        <v>2311</v>
      </c>
      <c r="K270" s="24">
        <v>3</v>
      </c>
      <c r="L270" s="46">
        <v>12116133</v>
      </c>
      <c r="M270" s="20" t="s">
        <v>612</v>
      </c>
      <c r="N270" s="38">
        <v>0</v>
      </c>
      <c r="O270" s="38">
        <v>0</v>
      </c>
      <c r="P270" s="20" t="s">
        <v>469</v>
      </c>
      <c r="Q270" s="20">
        <v>0</v>
      </c>
      <c r="R270" s="40">
        <v>46235</v>
      </c>
      <c r="S270" s="38">
        <v>0</v>
      </c>
      <c r="T270" s="38">
        <v>0</v>
      </c>
      <c r="U270" s="40">
        <v>46237</v>
      </c>
      <c r="V270" s="40">
        <v>46237</v>
      </c>
      <c r="W270" s="20" t="s">
        <v>57</v>
      </c>
      <c r="X270" s="21"/>
      <c r="Y270" s="19">
        <f>VLOOKUP(F270,[2]New!$B:$G,3,0)*K270/60</f>
        <v>2.8</v>
      </c>
      <c r="Z270" s="19">
        <f>VLOOKUP(F270,[2]New!$B:$G,4,0)*K270/60</f>
        <v>11.7</v>
      </c>
      <c r="AA270" s="19">
        <f>VLOOKUP(F270,[2]New!$B:$G,6,0)*K270/60</f>
        <v>14.459999999999999</v>
      </c>
      <c r="AB270" s="44">
        <f>VLOOKUP(A270,'[4]PO CAG (2)'!$A:$L,12,0)</f>
        <v>46251</v>
      </c>
      <c r="AC270" s="22">
        <f>IFERROR(VLOOKUP(F270,[3]Sheet1!$E:$H,4,0),)</f>
        <v>0</v>
      </c>
      <c r="AD270" s="144">
        <v>3</v>
      </c>
      <c r="AE270" s="25" t="s">
        <v>3023</v>
      </c>
      <c r="AF270" s="135" t="s">
        <v>112</v>
      </c>
      <c r="AG270" s="135"/>
      <c r="AH270" s="135"/>
      <c r="AI270" s="23">
        <v>0</v>
      </c>
      <c r="AJ270" s="267" t="s">
        <v>153</v>
      </c>
      <c r="AN270" s="278">
        <v>2</v>
      </c>
      <c r="AO270" s="278">
        <v>2</v>
      </c>
      <c r="AP270" s="278">
        <v>2</v>
      </c>
      <c r="AQ270" s="278">
        <v>2</v>
      </c>
    </row>
    <row r="271" spans="1:43">
      <c r="A271" s="135" t="s">
        <v>2312</v>
      </c>
      <c r="B271" s="135" t="s">
        <v>2489</v>
      </c>
      <c r="C271" s="135" t="s">
        <v>2313</v>
      </c>
      <c r="D271" s="46">
        <v>11119529</v>
      </c>
      <c r="E271" s="20" t="s">
        <v>1156</v>
      </c>
      <c r="F271" s="20" t="s">
        <v>1157</v>
      </c>
      <c r="G271" s="24">
        <v>3</v>
      </c>
      <c r="H271" s="21">
        <v>46247</v>
      </c>
      <c r="I271" s="53" t="s">
        <v>2314</v>
      </c>
      <c r="J271" s="24" t="s">
        <v>2315</v>
      </c>
      <c r="K271" s="24">
        <v>3</v>
      </c>
      <c r="L271" s="46">
        <v>12116164</v>
      </c>
      <c r="M271" s="20" t="s">
        <v>1173</v>
      </c>
      <c r="N271" s="38">
        <v>0</v>
      </c>
      <c r="O271" s="38">
        <v>0</v>
      </c>
      <c r="P271" s="20" t="s">
        <v>469</v>
      </c>
      <c r="Q271" s="20">
        <v>0</v>
      </c>
      <c r="R271" s="40">
        <v>46235</v>
      </c>
      <c r="S271" s="38">
        <v>0</v>
      </c>
      <c r="T271" s="38">
        <v>0</v>
      </c>
      <c r="U271" s="40">
        <v>46237</v>
      </c>
      <c r="V271" s="40">
        <v>46237</v>
      </c>
      <c r="W271" s="20" t="s">
        <v>57</v>
      </c>
      <c r="X271" s="21"/>
      <c r="Y271" s="19">
        <f>VLOOKUP(F271,[2]New!$B:$G,3,0)*K271/60</f>
        <v>2.8</v>
      </c>
      <c r="Z271" s="19">
        <f>VLOOKUP(F271,[2]New!$B:$G,4,0)*K271/60</f>
        <v>11.7</v>
      </c>
      <c r="AA271" s="19">
        <f>VLOOKUP(F271,[2]New!$B:$G,6,0)*K271/60</f>
        <v>14.459999999999999</v>
      </c>
      <c r="AB271" s="44">
        <f>VLOOKUP(A271,'[4]PO CAG (2)'!$A:$L,12,0)</f>
        <v>46251</v>
      </c>
      <c r="AC271" s="22">
        <f>IFERROR(VLOOKUP(F271,[3]Sheet1!$E:$H,4,0),)</f>
        <v>0</v>
      </c>
      <c r="AD271" s="144">
        <v>3</v>
      </c>
      <c r="AE271" s="25" t="s">
        <v>3023</v>
      </c>
      <c r="AF271" s="135" t="s">
        <v>112</v>
      </c>
      <c r="AG271" s="135"/>
      <c r="AH271" s="135"/>
      <c r="AI271" s="23">
        <v>0</v>
      </c>
      <c r="AJ271" s="267" t="s">
        <v>153</v>
      </c>
      <c r="AN271" s="278">
        <v>2</v>
      </c>
      <c r="AO271" s="278">
        <v>2</v>
      </c>
      <c r="AP271" s="278">
        <v>2</v>
      </c>
      <c r="AQ271" s="278">
        <v>2</v>
      </c>
    </row>
    <row r="272" spans="1:43">
      <c r="A272" s="135" t="s">
        <v>2316</v>
      </c>
      <c r="B272" s="135" t="s">
        <v>2490</v>
      </c>
      <c r="C272" s="135" t="s">
        <v>2317</v>
      </c>
      <c r="D272" s="46">
        <v>11119669</v>
      </c>
      <c r="E272" s="20" t="s">
        <v>972</v>
      </c>
      <c r="F272" s="20" t="s">
        <v>973</v>
      </c>
      <c r="G272" s="24">
        <v>3</v>
      </c>
      <c r="H272" s="21">
        <v>46247</v>
      </c>
      <c r="I272" s="53" t="s">
        <v>2318</v>
      </c>
      <c r="J272" s="24" t="s">
        <v>2319</v>
      </c>
      <c r="K272" s="24">
        <v>3</v>
      </c>
      <c r="L272" s="46">
        <v>12116304</v>
      </c>
      <c r="M272" s="20" t="s">
        <v>1012</v>
      </c>
      <c r="N272" s="38">
        <v>0</v>
      </c>
      <c r="O272" s="38">
        <v>0</v>
      </c>
      <c r="P272" s="20" t="s">
        <v>469</v>
      </c>
      <c r="Q272" s="20">
        <v>0</v>
      </c>
      <c r="R272" s="40">
        <v>46235</v>
      </c>
      <c r="S272" s="38">
        <v>0</v>
      </c>
      <c r="T272" s="38">
        <v>0</v>
      </c>
      <c r="U272" s="40">
        <v>46237</v>
      </c>
      <c r="V272" s="40">
        <v>46237</v>
      </c>
      <c r="W272" s="20" t="s">
        <v>57</v>
      </c>
      <c r="X272" s="21"/>
      <c r="Y272" s="19">
        <f>VLOOKUP(F272,[2]New!$B:$G,3,0)*K272/60</f>
        <v>2.8</v>
      </c>
      <c r="Z272" s="19">
        <f>VLOOKUP(F272,[2]New!$B:$G,4,0)*K272/60</f>
        <v>11.7</v>
      </c>
      <c r="AA272" s="19">
        <f>VLOOKUP(F272,[2]New!$B:$G,6,0)*K272/60</f>
        <v>14.45</v>
      </c>
      <c r="AB272" s="44">
        <f>VLOOKUP(A272,'[4]PO CAG (2)'!$A:$L,12,0)</f>
        <v>46251</v>
      </c>
      <c r="AC272" s="22">
        <f>IFERROR(VLOOKUP(F272,[3]Sheet1!$E:$H,4,0),)</f>
        <v>0</v>
      </c>
      <c r="AD272" s="144">
        <v>3</v>
      </c>
      <c r="AE272" s="25" t="s">
        <v>3023</v>
      </c>
      <c r="AF272" s="135" t="s">
        <v>112</v>
      </c>
      <c r="AG272" s="135"/>
      <c r="AH272" s="135"/>
      <c r="AI272" s="23">
        <v>0</v>
      </c>
      <c r="AJ272" s="267" t="s">
        <v>153</v>
      </c>
      <c r="AN272" s="278">
        <v>2</v>
      </c>
      <c r="AO272" s="278">
        <v>2</v>
      </c>
      <c r="AP272" s="278">
        <v>2</v>
      </c>
      <c r="AQ272" s="278">
        <v>2</v>
      </c>
    </row>
    <row r="273" spans="1:43">
      <c r="A273" s="135" t="s">
        <v>2320</v>
      </c>
      <c r="B273" s="135" t="s">
        <v>2491</v>
      </c>
      <c r="C273" s="135" t="s">
        <v>2321</v>
      </c>
      <c r="D273" s="46">
        <v>11119671</v>
      </c>
      <c r="E273" s="20" t="s">
        <v>986</v>
      </c>
      <c r="F273" s="20" t="s">
        <v>987</v>
      </c>
      <c r="G273" s="24">
        <v>3</v>
      </c>
      <c r="H273" s="21">
        <v>46247</v>
      </c>
      <c r="I273" s="53" t="s">
        <v>2322</v>
      </c>
      <c r="J273" s="24" t="s">
        <v>2323</v>
      </c>
      <c r="K273" s="24">
        <v>3</v>
      </c>
      <c r="L273" s="46">
        <v>12116306</v>
      </c>
      <c r="M273" s="20" t="s">
        <v>1019</v>
      </c>
      <c r="N273" s="38">
        <v>0</v>
      </c>
      <c r="O273" s="38">
        <v>0</v>
      </c>
      <c r="P273" s="20" t="s">
        <v>469</v>
      </c>
      <c r="Q273" s="20">
        <v>0</v>
      </c>
      <c r="R273" s="40">
        <v>46235</v>
      </c>
      <c r="S273" s="38">
        <v>0</v>
      </c>
      <c r="T273" s="38">
        <v>0</v>
      </c>
      <c r="U273" s="40">
        <v>46237</v>
      </c>
      <c r="V273" s="40">
        <v>46237</v>
      </c>
      <c r="W273" s="20" t="s">
        <v>57</v>
      </c>
      <c r="X273" s="21"/>
      <c r="Y273" s="19">
        <f>VLOOKUP(F273,[2]New!$B:$G,3,0)*K273/60</f>
        <v>2.8</v>
      </c>
      <c r="Z273" s="19">
        <f>VLOOKUP(F273,[2]New!$B:$G,4,0)*K273/60</f>
        <v>11.7</v>
      </c>
      <c r="AA273" s="19">
        <f>VLOOKUP(F273,[2]New!$B:$G,6,0)*K273/60</f>
        <v>14.45</v>
      </c>
      <c r="AB273" s="44">
        <f>VLOOKUP(A273,'[4]PO CAG (2)'!$A:$L,12,0)</f>
        <v>46251</v>
      </c>
      <c r="AC273" s="22">
        <f>IFERROR(VLOOKUP(F273,[3]Sheet1!$E:$H,4,0),)</f>
        <v>0</v>
      </c>
      <c r="AD273" s="144">
        <v>3</v>
      </c>
      <c r="AE273" s="25" t="s">
        <v>3023</v>
      </c>
      <c r="AF273" s="135" t="s">
        <v>112</v>
      </c>
      <c r="AG273" s="135"/>
      <c r="AH273" s="135"/>
      <c r="AI273" s="23">
        <v>0</v>
      </c>
      <c r="AJ273" s="267" t="s">
        <v>153</v>
      </c>
      <c r="AN273" s="278">
        <v>2</v>
      </c>
      <c r="AO273" s="278">
        <v>2</v>
      </c>
      <c r="AP273" s="278">
        <v>2</v>
      </c>
      <c r="AQ273" s="278">
        <v>2</v>
      </c>
    </row>
    <row r="274" spans="1:43">
      <c r="A274" s="135" t="s">
        <v>2324</v>
      </c>
      <c r="B274" s="135" t="s">
        <v>2492</v>
      </c>
      <c r="C274" s="135" t="s">
        <v>2325</v>
      </c>
      <c r="D274" s="46">
        <v>11119335</v>
      </c>
      <c r="E274" s="20" t="s">
        <v>1106</v>
      </c>
      <c r="F274" s="20" t="s">
        <v>1107</v>
      </c>
      <c r="G274" s="24">
        <v>4</v>
      </c>
      <c r="H274" s="21">
        <v>46247</v>
      </c>
      <c r="I274" s="53" t="s">
        <v>2326</v>
      </c>
      <c r="J274" s="24" t="s">
        <v>2327</v>
      </c>
      <c r="K274" s="24">
        <v>4</v>
      </c>
      <c r="L274" s="46">
        <v>12115970</v>
      </c>
      <c r="M274" s="20" t="s">
        <v>1139</v>
      </c>
      <c r="N274" s="38">
        <v>0</v>
      </c>
      <c r="O274" s="38">
        <v>0</v>
      </c>
      <c r="P274" s="20" t="s">
        <v>469</v>
      </c>
      <c r="Q274" s="20">
        <v>0</v>
      </c>
      <c r="R274" s="40">
        <v>46235</v>
      </c>
      <c r="S274" s="38">
        <v>0</v>
      </c>
      <c r="T274" s="38">
        <v>0</v>
      </c>
      <c r="U274" s="40">
        <v>46237</v>
      </c>
      <c r="V274" s="40">
        <v>46237</v>
      </c>
      <c r="W274" s="20" t="s">
        <v>57</v>
      </c>
      <c r="X274" s="21"/>
      <c r="Y274" s="19">
        <f>VLOOKUP(F274,[2]New!$B:$G,3,0)*K274/60</f>
        <v>3.7333333333333334</v>
      </c>
      <c r="Z274" s="19">
        <f>VLOOKUP(F274,[2]New!$B:$G,4,0)*K274/60</f>
        <v>15.6</v>
      </c>
      <c r="AA274" s="19">
        <f>VLOOKUP(F274,[2]New!$B:$G,6,0)*K274/60</f>
        <v>19.266666666666666</v>
      </c>
      <c r="AB274" s="44">
        <f>VLOOKUP(A274,'[4]PO CAG (2)'!$A:$L,12,0)</f>
        <v>46251</v>
      </c>
      <c r="AC274" s="22">
        <f>IFERROR(VLOOKUP(F274,[3]Sheet1!$E:$H,4,0),)</f>
        <v>0</v>
      </c>
      <c r="AD274" s="144">
        <v>4</v>
      </c>
      <c r="AE274" s="25" t="s">
        <v>3023</v>
      </c>
      <c r="AF274" s="135" t="s">
        <v>112</v>
      </c>
      <c r="AG274" s="135"/>
      <c r="AH274" s="135"/>
      <c r="AI274" s="23">
        <v>0</v>
      </c>
      <c r="AJ274" s="267" t="s">
        <v>153</v>
      </c>
      <c r="AN274" s="278">
        <v>2</v>
      </c>
      <c r="AO274" s="278">
        <v>2</v>
      </c>
      <c r="AP274" s="278">
        <v>2</v>
      </c>
      <c r="AQ274" s="278">
        <v>2</v>
      </c>
    </row>
    <row r="275" spans="1:43">
      <c r="A275" s="135" t="s">
        <v>2328</v>
      </c>
      <c r="B275" s="135" t="s">
        <v>2493</v>
      </c>
      <c r="C275" s="135" t="s">
        <v>2329</v>
      </c>
      <c r="D275" s="46">
        <v>11119396</v>
      </c>
      <c r="E275" s="20" t="s">
        <v>771</v>
      </c>
      <c r="F275" s="20" t="s">
        <v>772</v>
      </c>
      <c r="G275" s="24">
        <v>4</v>
      </c>
      <c r="H275" s="21">
        <v>46247</v>
      </c>
      <c r="I275" s="53" t="s">
        <v>2330</v>
      </c>
      <c r="J275" s="24" t="s">
        <v>2331</v>
      </c>
      <c r="K275" s="24">
        <v>4</v>
      </c>
      <c r="L275" s="46">
        <v>12116031</v>
      </c>
      <c r="M275" s="20" t="s">
        <v>791</v>
      </c>
      <c r="N275" s="38">
        <v>0</v>
      </c>
      <c r="O275" s="38">
        <v>0</v>
      </c>
      <c r="P275" s="20" t="s">
        <v>469</v>
      </c>
      <c r="Q275" s="20">
        <v>0</v>
      </c>
      <c r="R275" s="40">
        <v>46235</v>
      </c>
      <c r="S275" s="38">
        <v>0</v>
      </c>
      <c r="T275" s="38">
        <v>0</v>
      </c>
      <c r="U275" s="40">
        <v>46237</v>
      </c>
      <c r="V275" s="40">
        <v>46237</v>
      </c>
      <c r="W275" s="20" t="s">
        <v>57</v>
      </c>
      <c r="X275" s="21"/>
      <c r="Y275" s="19">
        <f>VLOOKUP(F275,[2]New!$B:$G,3,0)*K275/60</f>
        <v>3.7333333333333334</v>
      </c>
      <c r="Z275" s="19">
        <f>VLOOKUP(F275,[2]New!$B:$G,4,0)*K275/60</f>
        <v>15.6</v>
      </c>
      <c r="AA275" s="19">
        <f>VLOOKUP(F275,[2]New!$B:$G,6,0)*K275/60</f>
        <v>19.279999999999998</v>
      </c>
      <c r="AB275" s="44">
        <f>VLOOKUP(A275,'[4]PO CAG (2)'!$A:$L,12,0)</f>
        <v>46251</v>
      </c>
      <c r="AC275" s="22">
        <f>IFERROR(VLOOKUP(F275,[3]Sheet1!$E:$H,4,0),)</f>
        <v>0</v>
      </c>
      <c r="AD275" s="144">
        <v>4</v>
      </c>
      <c r="AE275" s="25" t="s">
        <v>3023</v>
      </c>
      <c r="AF275" s="135" t="s">
        <v>112</v>
      </c>
      <c r="AG275" s="135"/>
      <c r="AH275" s="135"/>
      <c r="AI275" s="23">
        <v>0</v>
      </c>
      <c r="AJ275" s="267" t="s">
        <v>153</v>
      </c>
      <c r="AN275" s="278">
        <v>2</v>
      </c>
      <c r="AO275" s="278">
        <v>2</v>
      </c>
      <c r="AP275" s="278">
        <v>2</v>
      </c>
      <c r="AQ275" s="278">
        <v>2</v>
      </c>
    </row>
    <row r="276" spans="1:43">
      <c r="A276" s="135" t="s">
        <v>2332</v>
      </c>
      <c r="B276" s="135" t="s">
        <v>2494</v>
      </c>
      <c r="C276" s="135" t="s">
        <v>2333</v>
      </c>
      <c r="D276" s="46">
        <v>11119482</v>
      </c>
      <c r="E276" s="20" t="s">
        <v>1154</v>
      </c>
      <c r="F276" s="20" t="s">
        <v>1155</v>
      </c>
      <c r="G276" s="24">
        <v>4</v>
      </c>
      <c r="H276" s="21">
        <v>46247</v>
      </c>
      <c r="I276" s="53" t="s">
        <v>2334</v>
      </c>
      <c r="J276" s="24" t="s">
        <v>2335</v>
      </c>
      <c r="K276" s="24">
        <v>4</v>
      </c>
      <c r="L276" s="46">
        <v>12116117</v>
      </c>
      <c r="M276" s="20" t="s">
        <v>1172</v>
      </c>
      <c r="N276" s="38">
        <v>0</v>
      </c>
      <c r="O276" s="38">
        <v>0</v>
      </c>
      <c r="P276" s="20" t="s">
        <v>469</v>
      </c>
      <c r="Q276" s="20">
        <v>0</v>
      </c>
      <c r="R276" s="40">
        <v>46235</v>
      </c>
      <c r="S276" s="38">
        <v>0</v>
      </c>
      <c r="T276" s="38">
        <v>0</v>
      </c>
      <c r="U276" s="40">
        <v>46237</v>
      </c>
      <c r="V276" s="40">
        <v>46237</v>
      </c>
      <c r="W276" s="20" t="s">
        <v>57</v>
      </c>
      <c r="X276" s="21"/>
      <c r="Y276" s="19">
        <f>VLOOKUP(F276,[2]New!$B:$G,3,0)*K276/60</f>
        <v>3.7333333333333334</v>
      </c>
      <c r="Z276" s="19">
        <f>VLOOKUP(F276,[2]New!$B:$G,4,0)*K276/60</f>
        <v>15.6</v>
      </c>
      <c r="AA276" s="19">
        <f>VLOOKUP(F276,[2]New!$B:$G,6,0)*K276/60</f>
        <v>19.279999999999998</v>
      </c>
      <c r="AB276" s="44">
        <f>VLOOKUP(A276,'[4]PO CAG (2)'!$A:$L,12,0)</f>
        <v>46251</v>
      </c>
      <c r="AC276" s="22">
        <f>IFERROR(VLOOKUP(F276,[3]Sheet1!$E:$H,4,0),)</f>
        <v>0</v>
      </c>
      <c r="AD276" s="144">
        <v>4</v>
      </c>
      <c r="AE276" s="25" t="s">
        <v>3023</v>
      </c>
      <c r="AF276" s="135" t="s">
        <v>112</v>
      </c>
      <c r="AG276" s="135"/>
      <c r="AH276" s="135"/>
      <c r="AI276" s="23">
        <v>0</v>
      </c>
      <c r="AJ276" s="267" t="s">
        <v>153</v>
      </c>
      <c r="AN276" s="278">
        <v>2</v>
      </c>
      <c r="AO276" s="278">
        <v>2</v>
      </c>
      <c r="AP276" s="278">
        <v>2</v>
      </c>
      <c r="AQ276" s="278">
        <v>2</v>
      </c>
    </row>
    <row r="277" spans="1:43">
      <c r="A277" s="135" t="s">
        <v>2336</v>
      </c>
      <c r="B277" s="135" t="s">
        <v>2495</v>
      </c>
      <c r="C277" s="135" t="s">
        <v>2337</v>
      </c>
      <c r="D277" s="46">
        <v>11119605</v>
      </c>
      <c r="E277" s="20" t="s">
        <v>1004</v>
      </c>
      <c r="F277" s="20" t="s">
        <v>1005</v>
      </c>
      <c r="G277" s="24">
        <v>4</v>
      </c>
      <c r="H277" s="21">
        <v>46247</v>
      </c>
      <c r="I277" s="53" t="s">
        <v>2338</v>
      </c>
      <c r="J277" s="24" t="s">
        <v>2339</v>
      </c>
      <c r="K277" s="24">
        <v>4</v>
      </c>
      <c r="L277" s="46">
        <v>12116240</v>
      </c>
      <c r="M277" s="20" t="s">
        <v>1028</v>
      </c>
      <c r="N277" s="38">
        <v>0</v>
      </c>
      <c r="O277" s="38">
        <v>0</v>
      </c>
      <c r="P277" s="20" t="s">
        <v>469</v>
      </c>
      <c r="Q277" s="20">
        <v>0</v>
      </c>
      <c r="R277" s="40">
        <v>46235</v>
      </c>
      <c r="S277" s="38">
        <v>0</v>
      </c>
      <c r="T277" s="38">
        <v>0</v>
      </c>
      <c r="U277" s="40">
        <v>46237</v>
      </c>
      <c r="V277" s="40">
        <v>46237</v>
      </c>
      <c r="W277" s="20" t="s">
        <v>57</v>
      </c>
      <c r="X277" s="21"/>
      <c r="Y277" s="19">
        <f>VLOOKUP(F277,[2]New!$B:$G,3,0)*K277/60</f>
        <v>3.7333333333333334</v>
      </c>
      <c r="Z277" s="19">
        <f>VLOOKUP(F277,[2]New!$B:$G,4,0)*K277/60</f>
        <v>15.6</v>
      </c>
      <c r="AA277" s="19">
        <f>VLOOKUP(F277,[2]New!$B:$G,6,0)*K277/60</f>
        <v>19.279999999999998</v>
      </c>
      <c r="AB277" s="44">
        <f>VLOOKUP(A277,'[4]PO CAG (2)'!$A:$L,12,0)</f>
        <v>46251</v>
      </c>
      <c r="AC277" s="22">
        <f>IFERROR(VLOOKUP(F277,[3]Sheet1!$E:$H,4,0),)</f>
        <v>0</v>
      </c>
      <c r="AD277" s="144">
        <v>4</v>
      </c>
      <c r="AE277" s="25" t="s">
        <v>3023</v>
      </c>
      <c r="AF277" s="135" t="s">
        <v>112</v>
      </c>
      <c r="AG277" s="135"/>
      <c r="AH277" s="135"/>
      <c r="AI277" s="23">
        <v>0</v>
      </c>
      <c r="AJ277" s="267" t="s">
        <v>153</v>
      </c>
      <c r="AN277" s="278">
        <v>2</v>
      </c>
      <c r="AO277" s="278">
        <v>2</v>
      </c>
      <c r="AP277" s="278">
        <v>2</v>
      </c>
      <c r="AQ277" s="278">
        <v>2</v>
      </c>
    </row>
    <row r="278" spans="1:43">
      <c r="A278" s="135" t="s">
        <v>2340</v>
      </c>
      <c r="B278" s="135" t="s">
        <v>2496</v>
      </c>
      <c r="C278" s="135" t="s">
        <v>2341</v>
      </c>
      <c r="D278" s="46">
        <v>11119417</v>
      </c>
      <c r="E278" s="20" t="s">
        <v>1118</v>
      </c>
      <c r="F278" s="20" t="s">
        <v>1119</v>
      </c>
      <c r="G278" s="24">
        <v>5</v>
      </c>
      <c r="H278" s="21">
        <v>46247</v>
      </c>
      <c r="I278" s="53" t="s">
        <v>2342</v>
      </c>
      <c r="J278" s="24" t="s">
        <v>2343</v>
      </c>
      <c r="K278" s="24">
        <v>5</v>
      </c>
      <c r="L278" s="46">
        <v>12116052</v>
      </c>
      <c r="M278" s="20" t="s">
        <v>1145</v>
      </c>
      <c r="N278" s="38">
        <v>0</v>
      </c>
      <c r="O278" s="38">
        <v>0</v>
      </c>
      <c r="P278" s="20" t="s">
        <v>469</v>
      </c>
      <c r="Q278" s="20">
        <v>0</v>
      </c>
      <c r="R278" s="40">
        <v>46235</v>
      </c>
      <c r="S278" s="38">
        <v>0</v>
      </c>
      <c r="T278" s="38">
        <v>0</v>
      </c>
      <c r="U278" s="40">
        <v>46237</v>
      </c>
      <c r="V278" s="40">
        <v>46237</v>
      </c>
      <c r="W278" s="20" t="s">
        <v>57</v>
      </c>
      <c r="X278" s="21"/>
      <c r="Y278" s="19">
        <f>VLOOKUP(F278,[2]New!$B:$G,3,0)*K278/60</f>
        <v>4.666666666666667</v>
      </c>
      <c r="Z278" s="19">
        <f>VLOOKUP(F278,[2]New!$B:$G,4,0)*K278/60</f>
        <v>19.5</v>
      </c>
      <c r="AA278" s="19">
        <f>VLOOKUP(F278,[2]New!$B:$G,6,0)*K278/60</f>
        <v>24.1</v>
      </c>
      <c r="AB278" s="44">
        <f>VLOOKUP(A278,'[4]PO CAG (2)'!$A:$L,12,0)</f>
        <v>46251</v>
      </c>
      <c r="AC278" s="22">
        <f>IFERROR(VLOOKUP(F278,[3]Sheet1!$E:$H,4,0),)</f>
        <v>0</v>
      </c>
      <c r="AD278" s="144">
        <v>5</v>
      </c>
      <c r="AE278" s="25" t="s">
        <v>3023</v>
      </c>
      <c r="AF278" s="135" t="s">
        <v>112</v>
      </c>
      <c r="AG278" s="135"/>
      <c r="AH278" s="135"/>
      <c r="AI278" s="23">
        <v>0</v>
      </c>
      <c r="AJ278" s="267" t="s">
        <v>153</v>
      </c>
      <c r="AN278" s="278">
        <v>2</v>
      </c>
      <c r="AO278" s="278">
        <v>2</v>
      </c>
      <c r="AP278" s="278">
        <v>2</v>
      </c>
      <c r="AQ278" s="278">
        <v>2</v>
      </c>
    </row>
    <row r="279" spans="1:43">
      <c r="A279" s="135" t="s">
        <v>2344</v>
      </c>
      <c r="B279" s="135" t="s">
        <v>2497</v>
      </c>
      <c r="C279" s="135" t="s">
        <v>2345</v>
      </c>
      <c r="D279" s="46">
        <v>11119342</v>
      </c>
      <c r="E279" s="20" t="s">
        <v>783</v>
      </c>
      <c r="F279" s="20" t="s">
        <v>784</v>
      </c>
      <c r="G279" s="24">
        <v>6</v>
      </c>
      <c r="H279" s="21">
        <v>46247</v>
      </c>
      <c r="I279" s="53" t="s">
        <v>2346</v>
      </c>
      <c r="J279" s="24" t="s">
        <v>2347</v>
      </c>
      <c r="K279" s="24">
        <v>6</v>
      </c>
      <c r="L279" s="46">
        <v>12115977</v>
      </c>
      <c r="M279" s="20" t="s">
        <v>797</v>
      </c>
      <c r="N279" s="38">
        <v>0</v>
      </c>
      <c r="O279" s="38">
        <v>0</v>
      </c>
      <c r="P279" s="20" t="s">
        <v>469</v>
      </c>
      <c r="Q279" s="20">
        <v>0</v>
      </c>
      <c r="R279" s="40">
        <v>46235</v>
      </c>
      <c r="S279" s="38">
        <v>0</v>
      </c>
      <c r="T279" s="38">
        <v>0</v>
      </c>
      <c r="U279" s="40">
        <v>46237</v>
      </c>
      <c r="V279" s="40">
        <v>46237</v>
      </c>
      <c r="W279" s="20" t="s">
        <v>57</v>
      </c>
      <c r="X279" s="21"/>
      <c r="Y279" s="19">
        <f>VLOOKUP(F279,[2]New!$B:$G,3,0)*K279/60</f>
        <v>5.6</v>
      </c>
      <c r="Z279" s="19">
        <f>VLOOKUP(F279,[2]New!$B:$G,4,0)*K279/60</f>
        <v>23.4</v>
      </c>
      <c r="AA279" s="19">
        <f>VLOOKUP(F279,[2]New!$B:$G,6,0)*K279/60</f>
        <v>28.9</v>
      </c>
      <c r="AB279" s="44">
        <f>VLOOKUP(A279,'[4]PO CAG (2)'!$A:$L,12,0)</f>
        <v>46251</v>
      </c>
      <c r="AC279" s="22">
        <f>IFERROR(VLOOKUP(F279,[3]Sheet1!$E:$H,4,0),)</f>
        <v>0</v>
      </c>
      <c r="AD279" s="144">
        <v>6</v>
      </c>
      <c r="AE279" s="25" t="s">
        <v>3023</v>
      </c>
      <c r="AF279" s="135" t="s">
        <v>112</v>
      </c>
      <c r="AG279" s="135"/>
      <c r="AH279" s="135"/>
      <c r="AI279" s="23">
        <v>0</v>
      </c>
      <c r="AJ279" s="267" t="s">
        <v>153</v>
      </c>
      <c r="AN279" s="278">
        <v>2</v>
      </c>
      <c r="AO279" s="278">
        <v>2</v>
      </c>
      <c r="AP279" s="278">
        <v>2</v>
      </c>
      <c r="AQ279" s="278">
        <v>2</v>
      </c>
    </row>
    <row r="280" spans="1:43">
      <c r="A280" s="135" t="s">
        <v>2348</v>
      </c>
      <c r="B280" s="135" t="s">
        <v>2498</v>
      </c>
      <c r="C280" s="135" t="s">
        <v>2349</v>
      </c>
      <c r="D280" s="46">
        <v>11119408</v>
      </c>
      <c r="E280" s="20" t="s">
        <v>777</v>
      </c>
      <c r="F280" s="20" t="s">
        <v>778</v>
      </c>
      <c r="G280" s="24">
        <v>6</v>
      </c>
      <c r="H280" s="21">
        <v>46247</v>
      </c>
      <c r="I280" s="53" t="s">
        <v>2350</v>
      </c>
      <c r="J280" s="24" t="s">
        <v>2351</v>
      </c>
      <c r="K280" s="24">
        <v>6</v>
      </c>
      <c r="L280" s="46">
        <v>12116043</v>
      </c>
      <c r="M280" s="20" t="s">
        <v>794</v>
      </c>
      <c r="N280" s="38">
        <v>0</v>
      </c>
      <c r="O280" s="38">
        <v>0</v>
      </c>
      <c r="P280" s="20" t="s">
        <v>469</v>
      </c>
      <c r="Q280" s="20">
        <v>0</v>
      </c>
      <c r="R280" s="40">
        <v>46235</v>
      </c>
      <c r="S280" s="38">
        <v>0</v>
      </c>
      <c r="T280" s="38">
        <v>0</v>
      </c>
      <c r="U280" s="40">
        <v>46237</v>
      </c>
      <c r="V280" s="40">
        <v>46237</v>
      </c>
      <c r="W280" s="20" t="s">
        <v>57</v>
      </c>
      <c r="X280" s="21"/>
      <c r="Y280" s="19">
        <f>VLOOKUP(F280,[2]New!$B:$G,3,0)*K280/60</f>
        <v>5.6</v>
      </c>
      <c r="Z280" s="19">
        <f>VLOOKUP(F280,[2]New!$B:$G,4,0)*K280/60</f>
        <v>23.4</v>
      </c>
      <c r="AA280" s="19">
        <f>VLOOKUP(F280,[2]New!$B:$G,6,0)*K280/60</f>
        <v>28.919999999999998</v>
      </c>
      <c r="AB280" s="44">
        <f>VLOOKUP(A280,'[4]PO CAG (2)'!$A:$L,12,0)</f>
        <v>46251</v>
      </c>
      <c r="AC280" s="22">
        <f>IFERROR(VLOOKUP(F280,[3]Sheet1!$E:$H,4,0),)</f>
        <v>0</v>
      </c>
      <c r="AD280" s="144">
        <v>6</v>
      </c>
      <c r="AE280" s="25" t="s">
        <v>3023</v>
      </c>
      <c r="AF280" s="135" t="s">
        <v>112</v>
      </c>
      <c r="AG280" s="135"/>
      <c r="AH280" s="135"/>
      <c r="AI280" s="23">
        <v>0</v>
      </c>
      <c r="AJ280" s="267" t="s">
        <v>153</v>
      </c>
      <c r="AN280" s="278">
        <v>2</v>
      </c>
      <c r="AO280" s="278">
        <v>2</v>
      </c>
      <c r="AP280" s="278">
        <v>2</v>
      </c>
      <c r="AQ280" s="278">
        <v>2</v>
      </c>
    </row>
    <row r="281" spans="1:43">
      <c r="A281" s="135" t="s">
        <v>2352</v>
      </c>
      <c r="B281" s="135" t="s">
        <v>2499</v>
      </c>
      <c r="C281" s="135" t="s">
        <v>2353</v>
      </c>
      <c r="D281" s="46">
        <v>11119657</v>
      </c>
      <c r="E281" s="20" t="s">
        <v>2354</v>
      </c>
      <c r="F281" s="20" t="s">
        <v>2355</v>
      </c>
      <c r="G281" s="24">
        <v>6</v>
      </c>
      <c r="H281" s="21">
        <v>46247</v>
      </c>
      <c r="I281" s="53" t="s">
        <v>2356</v>
      </c>
      <c r="J281" s="24" t="s">
        <v>2357</v>
      </c>
      <c r="K281" s="24">
        <v>6</v>
      </c>
      <c r="L281" s="46">
        <v>12116292</v>
      </c>
      <c r="M281" s="20" t="s">
        <v>2460</v>
      </c>
      <c r="N281" s="38">
        <v>0</v>
      </c>
      <c r="O281" s="38">
        <v>0</v>
      </c>
      <c r="P281" s="20" t="s">
        <v>469</v>
      </c>
      <c r="Q281" s="20">
        <v>0</v>
      </c>
      <c r="R281" s="40">
        <v>46235</v>
      </c>
      <c r="S281" s="38">
        <v>0</v>
      </c>
      <c r="T281" s="38">
        <v>0</v>
      </c>
      <c r="U281" s="40">
        <v>46237</v>
      </c>
      <c r="V281" s="40">
        <v>46237</v>
      </c>
      <c r="W281" s="20" t="s">
        <v>57</v>
      </c>
      <c r="X281" s="21"/>
      <c r="Y281" s="19">
        <f>VLOOKUP(F281,[2]New!$B:$G,3,0)*K281/60</f>
        <v>5.6</v>
      </c>
      <c r="Z281" s="19">
        <f>VLOOKUP(F281,[2]New!$B:$G,4,0)*K281/60</f>
        <v>23.4</v>
      </c>
      <c r="AA281" s="19">
        <f>VLOOKUP(F281,[2]New!$B:$G,6,0)*K281/60</f>
        <v>28.919999999999998</v>
      </c>
      <c r="AB281" s="44">
        <f>VLOOKUP(A281,'[4]PO CAG (2)'!$A:$L,12,0)</f>
        <v>46251</v>
      </c>
      <c r="AC281" s="22">
        <f>IFERROR(VLOOKUP(F281,[3]Sheet1!$E:$H,4,0),)</f>
        <v>0</v>
      </c>
      <c r="AD281" s="144">
        <v>6</v>
      </c>
      <c r="AE281" s="25" t="s">
        <v>3023</v>
      </c>
      <c r="AF281" s="135" t="s">
        <v>112</v>
      </c>
      <c r="AG281" s="135"/>
      <c r="AH281" s="135"/>
      <c r="AI281" s="23">
        <v>0</v>
      </c>
      <c r="AJ281" s="267" t="s">
        <v>153</v>
      </c>
      <c r="AN281" s="278">
        <v>2</v>
      </c>
      <c r="AO281" s="278">
        <v>2</v>
      </c>
      <c r="AP281" s="278">
        <v>2</v>
      </c>
      <c r="AQ281" s="278">
        <v>2</v>
      </c>
    </row>
    <row r="282" spans="1:43">
      <c r="A282" s="135" t="s">
        <v>2358</v>
      </c>
      <c r="B282" s="135" t="s">
        <v>2500</v>
      </c>
      <c r="C282" s="135" t="s">
        <v>2359</v>
      </c>
      <c r="D282" s="46">
        <v>11119420</v>
      </c>
      <c r="E282" s="20" t="s">
        <v>769</v>
      </c>
      <c r="F282" s="20" t="s">
        <v>770</v>
      </c>
      <c r="G282" s="24">
        <v>7</v>
      </c>
      <c r="H282" s="21">
        <v>46247</v>
      </c>
      <c r="I282" s="53" t="s">
        <v>2360</v>
      </c>
      <c r="J282" s="24" t="s">
        <v>2361</v>
      </c>
      <c r="K282" s="24">
        <v>7</v>
      </c>
      <c r="L282" s="46">
        <v>12116055</v>
      </c>
      <c r="M282" s="20" t="s">
        <v>790</v>
      </c>
      <c r="N282" s="38">
        <v>0</v>
      </c>
      <c r="O282" s="38">
        <v>0</v>
      </c>
      <c r="P282" s="20" t="s">
        <v>469</v>
      </c>
      <c r="Q282" s="20">
        <v>0</v>
      </c>
      <c r="R282" s="40">
        <v>46235</v>
      </c>
      <c r="S282" s="38">
        <v>0</v>
      </c>
      <c r="T282" s="38">
        <v>0</v>
      </c>
      <c r="U282" s="40">
        <v>46237</v>
      </c>
      <c r="V282" s="40">
        <v>46237</v>
      </c>
      <c r="W282" s="20" t="s">
        <v>57</v>
      </c>
      <c r="X282" s="21"/>
      <c r="Y282" s="19">
        <f>VLOOKUP(F282,[2]New!$B:$G,3,0)*K282/60</f>
        <v>6.5333333333333332</v>
      </c>
      <c r="Z282" s="19">
        <f>VLOOKUP(F282,[2]New!$B:$G,4,0)*K282/60</f>
        <v>27.3</v>
      </c>
      <c r="AA282" s="19">
        <f>VLOOKUP(F282,[2]New!$B:$G,6,0)*K282/60</f>
        <v>33.739999999999995</v>
      </c>
      <c r="AB282" s="44">
        <f>VLOOKUP(A282,'[4]PO CAG (2)'!$A:$L,12,0)</f>
        <v>46251</v>
      </c>
      <c r="AC282" s="22">
        <f>IFERROR(VLOOKUP(F282,[3]Sheet1!$E:$H,4,0),)</f>
        <v>0</v>
      </c>
      <c r="AD282" s="144">
        <v>7</v>
      </c>
      <c r="AE282" s="25" t="s">
        <v>3023</v>
      </c>
      <c r="AF282" s="135" t="s">
        <v>112</v>
      </c>
      <c r="AG282" s="135"/>
      <c r="AH282" s="135"/>
      <c r="AI282" s="23">
        <v>0</v>
      </c>
      <c r="AJ282" s="267" t="s">
        <v>153</v>
      </c>
      <c r="AN282" s="278">
        <v>2</v>
      </c>
      <c r="AO282" s="278">
        <v>2</v>
      </c>
      <c r="AP282" s="278">
        <v>2</v>
      </c>
      <c r="AQ282" s="278">
        <v>2</v>
      </c>
    </row>
    <row r="283" spans="1:43">
      <c r="A283" s="135" t="s">
        <v>2362</v>
      </c>
      <c r="B283" s="135" t="s">
        <v>2501</v>
      </c>
      <c r="C283" s="135" t="s">
        <v>2363</v>
      </c>
      <c r="D283" s="46">
        <v>11119615</v>
      </c>
      <c r="E283" s="20" t="s">
        <v>1000</v>
      </c>
      <c r="F283" s="20" t="s">
        <v>1001</v>
      </c>
      <c r="G283" s="24">
        <v>7</v>
      </c>
      <c r="H283" s="21">
        <v>46247</v>
      </c>
      <c r="I283" s="53" t="s">
        <v>2364</v>
      </c>
      <c r="J283" s="24" t="s">
        <v>2365</v>
      </c>
      <c r="K283" s="24">
        <v>7</v>
      </c>
      <c r="L283" s="46">
        <v>12116250</v>
      </c>
      <c r="M283" s="20" t="s">
        <v>1026</v>
      </c>
      <c r="N283" s="38">
        <v>0</v>
      </c>
      <c r="O283" s="38">
        <v>0</v>
      </c>
      <c r="P283" s="20" t="s">
        <v>469</v>
      </c>
      <c r="Q283" s="20">
        <v>0</v>
      </c>
      <c r="R283" s="40">
        <v>46235</v>
      </c>
      <c r="S283" s="38">
        <v>0</v>
      </c>
      <c r="T283" s="38">
        <v>0</v>
      </c>
      <c r="U283" s="40">
        <v>46237</v>
      </c>
      <c r="V283" s="40">
        <v>46237</v>
      </c>
      <c r="W283" s="20" t="s">
        <v>57</v>
      </c>
      <c r="X283" s="21"/>
      <c r="Y283" s="19">
        <f>VLOOKUP(F283,[2]New!$B:$G,3,0)*K283/60</f>
        <v>6.5333333333333332</v>
      </c>
      <c r="Z283" s="19">
        <f>VLOOKUP(F283,[2]New!$B:$G,4,0)*K283/60</f>
        <v>27.3</v>
      </c>
      <c r="AA283" s="19">
        <f>VLOOKUP(F283,[2]New!$B:$G,6,0)*K283/60</f>
        <v>33.739999999999995</v>
      </c>
      <c r="AB283" s="44">
        <f>VLOOKUP(A283,'[4]PO CAG (2)'!$A:$L,12,0)</f>
        <v>46251</v>
      </c>
      <c r="AC283" s="22">
        <f>IFERROR(VLOOKUP(F283,[3]Sheet1!$E:$H,4,0),)</f>
        <v>0</v>
      </c>
      <c r="AD283" s="144">
        <v>7</v>
      </c>
      <c r="AE283" s="25" t="s">
        <v>3023</v>
      </c>
      <c r="AF283" s="135" t="s">
        <v>112</v>
      </c>
      <c r="AG283" s="135"/>
      <c r="AH283" s="135"/>
      <c r="AI283" s="23">
        <v>0</v>
      </c>
      <c r="AJ283" s="267" t="s">
        <v>153</v>
      </c>
      <c r="AN283" s="278">
        <v>2</v>
      </c>
      <c r="AO283" s="278">
        <v>2</v>
      </c>
      <c r="AP283" s="278">
        <v>2</v>
      </c>
      <c r="AQ283" s="278">
        <v>2</v>
      </c>
    </row>
    <row r="284" spans="1:43">
      <c r="A284" s="135" t="s">
        <v>2366</v>
      </c>
      <c r="B284" s="135" t="s">
        <v>2502</v>
      </c>
      <c r="C284" s="135" t="s">
        <v>2367</v>
      </c>
      <c r="D284" s="46">
        <v>11119386</v>
      </c>
      <c r="E284" s="20" t="s">
        <v>572</v>
      </c>
      <c r="F284" s="20" t="s">
        <v>573</v>
      </c>
      <c r="G284" s="24">
        <v>8</v>
      </c>
      <c r="H284" s="21">
        <v>46247</v>
      </c>
      <c r="I284" s="53" t="s">
        <v>2368</v>
      </c>
      <c r="J284" s="24" t="s">
        <v>2369</v>
      </c>
      <c r="K284" s="24">
        <v>8</v>
      </c>
      <c r="L284" s="46">
        <v>12116021</v>
      </c>
      <c r="M284" s="20" t="s">
        <v>608</v>
      </c>
      <c r="N284" s="38">
        <v>0</v>
      </c>
      <c r="O284" s="38">
        <v>0</v>
      </c>
      <c r="P284" s="20" t="s">
        <v>469</v>
      </c>
      <c r="Q284" s="20">
        <v>0</v>
      </c>
      <c r="R284" s="40">
        <v>46235</v>
      </c>
      <c r="S284" s="38">
        <v>0</v>
      </c>
      <c r="T284" s="38">
        <v>0</v>
      </c>
      <c r="U284" s="40">
        <v>46237</v>
      </c>
      <c r="V284" s="40">
        <v>46237</v>
      </c>
      <c r="W284" s="20" t="s">
        <v>57</v>
      </c>
      <c r="X284" s="21"/>
      <c r="Y284" s="19">
        <f>VLOOKUP(F284,[2]New!$B:$G,3,0)*K284/60</f>
        <v>7.4666666666666668</v>
      </c>
      <c r="Z284" s="19">
        <f>VLOOKUP(F284,[2]New!$B:$G,4,0)*K284/60</f>
        <v>31.2</v>
      </c>
      <c r="AA284" s="19">
        <f>VLOOKUP(F284,[2]New!$B:$G,6,0)*K284/60</f>
        <v>38.559999999999995</v>
      </c>
      <c r="AB284" s="44">
        <f>VLOOKUP(A284,'[4]PO CAG (2)'!$A:$L,12,0)</f>
        <v>46251</v>
      </c>
      <c r="AC284" s="22">
        <f>IFERROR(VLOOKUP(F284,[3]Sheet1!$E:$H,4,0),)</f>
        <v>0</v>
      </c>
      <c r="AD284" s="144">
        <v>8</v>
      </c>
      <c r="AE284" s="25" t="s">
        <v>3023</v>
      </c>
      <c r="AF284" s="135" t="s">
        <v>112</v>
      </c>
      <c r="AG284" s="135"/>
      <c r="AH284" s="135"/>
      <c r="AI284" s="23">
        <v>0</v>
      </c>
      <c r="AJ284" s="267" t="s">
        <v>153</v>
      </c>
      <c r="AN284" s="278">
        <v>2</v>
      </c>
      <c r="AO284" s="278">
        <v>2</v>
      </c>
      <c r="AP284" s="278">
        <v>2</v>
      </c>
      <c r="AQ284" s="278">
        <v>2</v>
      </c>
    </row>
    <row r="285" spans="1:43">
      <c r="A285" s="135" t="s">
        <v>2370</v>
      </c>
      <c r="B285" s="135" t="s">
        <v>2503</v>
      </c>
      <c r="C285" s="135" t="s">
        <v>2371</v>
      </c>
      <c r="D285" s="46">
        <v>11119336</v>
      </c>
      <c r="E285" s="20" t="s">
        <v>576</v>
      </c>
      <c r="F285" s="20" t="s">
        <v>577</v>
      </c>
      <c r="G285" s="24">
        <v>9</v>
      </c>
      <c r="H285" s="21">
        <v>46247</v>
      </c>
      <c r="I285" s="53" t="s">
        <v>2372</v>
      </c>
      <c r="J285" s="24" t="s">
        <v>2373</v>
      </c>
      <c r="K285" s="24">
        <v>9</v>
      </c>
      <c r="L285" s="46">
        <v>12115971</v>
      </c>
      <c r="M285" s="20" t="s">
        <v>610</v>
      </c>
      <c r="N285" s="38">
        <v>0</v>
      </c>
      <c r="O285" s="38">
        <v>0</v>
      </c>
      <c r="P285" s="20" t="s">
        <v>469</v>
      </c>
      <c r="Q285" s="20">
        <v>0</v>
      </c>
      <c r="R285" s="40">
        <v>46235</v>
      </c>
      <c r="S285" s="38">
        <v>0</v>
      </c>
      <c r="T285" s="38">
        <v>0</v>
      </c>
      <c r="U285" s="40">
        <v>46237</v>
      </c>
      <c r="V285" s="40">
        <v>46237</v>
      </c>
      <c r="W285" s="20" t="s">
        <v>57</v>
      </c>
      <c r="X285" s="21"/>
      <c r="Y285" s="19">
        <f>VLOOKUP(F285,[2]New!$B:$G,3,0)*K285/60</f>
        <v>8.4</v>
      </c>
      <c r="Z285" s="19">
        <f>VLOOKUP(F285,[2]New!$B:$G,4,0)*K285/60</f>
        <v>35.1</v>
      </c>
      <c r="AA285" s="19">
        <f>VLOOKUP(F285,[2]New!$B:$G,6,0)*K285/60</f>
        <v>43.35</v>
      </c>
      <c r="AB285" s="44">
        <f>VLOOKUP(A285,'[4]PO CAG (2)'!$A:$L,12,0)</f>
        <v>46251</v>
      </c>
      <c r="AC285" s="22">
        <f>IFERROR(VLOOKUP(F285,[3]Sheet1!$E:$H,4,0),)</f>
        <v>0</v>
      </c>
      <c r="AD285" s="144">
        <v>9</v>
      </c>
      <c r="AE285" s="25" t="s">
        <v>3023</v>
      </c>
      <c r="AF285" s="135" t="s">
        <v>112</v>
      </c>
      <c r="AG285" s="135"/>
      <c r="AH285" s="135"/>
      <c r="AI285" s="23">
        <v>0</v>
      </c>
      <c r="AJ285" s="267" t="s">
        <v>153</v>
      </c>
      <c r="AN285" s="278">
        <v>2</v>
      </c>
      <c r="AO285" s="278">
        <v>2</v>
      </c>
      <c r="AP285" s="278">
        <v>2</v>
      </c>
      <c r="AQ285" s="278">
        <v>2</v>
      </c>
    </row>
    <row r="286" spans="1:43">
      <c r="A286" s="135" t="s">
        <v>2374</v>
      </c>
      <c r="B286" s="135" t="s">
        <v>2504</v>
      </c>
      <c r="C286" s="135" t="s">
        <v>2375</v>
      </c>
      <c r="D286" s="46">
        <v>11119347</v>
      </c>
      <c r="E286" s="20" t="s">
        <v>1122</v>
      </c>
      <c r="F286" s="20" t="s">
        <v>1123</v>
      </c>
      <c r="G286" s="24">
        <v>9</v>
      </c>
      <c r="H286" s="21">
        <v>46247</v>
      </c>
      <c r="I286" s="53" t="s">
        <v>2376</v>
      </c>
      <c r="J286" s="24" t="s">
        <v>2377</v>
      </c>
      <c r="K286" s="24">
        <v>9</v>
      </c>
      <c r="L286" s="46">
        <v>12115982</v>
      </c>
      <c r="M286" s="20" t="s">
        <v>101</v>
      </c>
      <c r="N286" s="38">
        <v>0</v>
      </c>
      <c r="O286" s="38">
        <v>0</v>
      </c>
      <c r="P286" s="20" t="s">
        <v>469</v>
      </c>
      <c r="Q286" s="20">
        <v>0</v>
      </c>
      <c r="R286" s="40">
        <v>46235</v>
      </c>
      <c r="S286" s="38">
        <v>0</v>
      </c>
      <c r="T286" s="38">
        <v>0</v>
      </c>
      <c r="U286" s="40">
        <v>46237</v>
      </c>
      <c r="V286" s="40">
        <v>46237</v>
      </c>
      <c r="W286" s="20" t="s">
        <v>57</v>
      </c>
      <c r="X286" s="21"/>
      <c r="Y286" s="19">
        <f>VLOOKUP(F286,[2]New!$B:$G,3,0)*K286/60</f>
        <v>8.4</v>
      </c>
      <c r="Z286" s="19">
        <f>VLOOKUP(F286,[2]New!$B:$G,4,0)*K286/60</f>
        <v>35.1</v>
      </c>
      <c r="AA286" s="19">
        <f>VLOOKUP(F286,[2]New!$B:$G,6,0)*K286/60</f>
        <v>43.379999999999995</v>
      </c>
      <c r="AB286" s="44">
        <f>VLOOKUP(A286,'[4]PO CAG (2)'!$A:$L,12,0)</f>
        <v>46251</v>
      </c>
      <c r="AC286" s="22">
        <f>IFERROR(VLOOKUP(F286,[3]Sheet1!$E:$H,4,0),)</f>
        <v>0</v>
      </c>
      <c r="AD286" s="144">
        <v>9</v>
      </c>
      <c r="AE286" s="25" t="s">
        <v>3023</v>
      </c>
      <c r="AF286" s="135" t="s">
        <v>112</v>
      </c>
      <c r="AG286" s="135"/>
      <c r="AH286" s="135"/>
      <c r="AI286" s="23">
        <v>0</v>
      </c>
      <c r="AJ286" s="267" t="s">
        <v>153</v>
      </c>
      <c r="AN286" s="278">
        <v>2</v>
      </c>
      <c r="AO286" s="278">
        <v>2</v>
      </c>
      <c r="AP286" s="278">
        <v>2</v>
      </c>
      <c r="AQ286" s="278">
        <v>2</v>
      </c>
    </row>
    <row r="287" spans="1:43">
      <c r="A287" s="135" t="s">
        <v>2378</v>
      </c>
      <c r="B287" s="135" t="s">
        <v>2505</v>
      </c>
      <c r="C287" s="135" t="s">
        <v>2379</v>
      </c>
      <c r="D287" s="46">
        <v>11119364</v>
      </c>
      <c r="E287" s="20" t="s">
        <v>584</v>
      </c>
      <c r="F287" s="20" t="s">
        <v>585</v>
      </c>
      <c r="G287" s="24">
        <v>9</v>
      </c>
      <c r="H287" s="21">
        <v>46247</v>
      </c>
      <c r="I287" s="53" t="s">
        <v>2380</v>
      </c>
      <c r="J287" s="24" t="s">
        <v>2381</v>
      </c>
      <c r="K287" s="24">
        <v>9</v>
      </c>
      <c r="L287" s="46">
        <v>12115999</v>
      </c>
      <c r="M287" s="20" t="s">
        <v>613</v>
      </c>
      <c r="N287" s="38">
        <v>0</v>
      </c>
      <c r="O287" s="38">
        <v>0</v>
      </c>
      <c r="P287" s="20" t="s">
        <v>469</v>
      </c>
      <c r="Q287" s="20">
        <v>0</v>
      </c>
      <c r="R287" s="40">
        <v>46235</v>
      </c>
      <c r="S287" s="38">
        <v>0</v>
      </c>
      <c r="T287" s="38">
        <v>0</v>
      </c>
      <c r="U287" s="40">
        <v>46237</v>
      </c>
      <c r="V287" s="40">
        <v>46237</v>
      </c>
      <c r="W287" s="20" t="s">
        <v>57</v>
      </c>
      <c r="X287" s="21"/>
      <c r="Y287" s="19">
        <f>VLOOKUP(F287,[2]New!$B:$G,3,0)*K287/60</f>
        <v>8.4</v>
      </c>
      <c r="Z287" s="19">
        <f>VLOOKUP(F287,[2]New!$B:$G,4,0)*K287/60</f>
        <v>35.1</v>
      </c>
      <c r="AA287" s="19">
        <f>VLOOKUP(F287,[2]New!$B:$G,6,0)*K287/60</f>
        <v>43.35</v>
      </c>
      <c r="AB287" s="44">
        <f>VLOOKUP(A287,'[4]PO CAG (2)'!$A:$L,12,0)</f>
        <v>46251</v>
      </c>
      <c r="AC287" s="22">
        <f>IFERROR(VLOOKUP(F287,[3]Sheet1!$E:$H,4,0),)</f>
        <v>0</v>
      </c>
      <c r="AD287" s="144">
        <v>9</v>
      </c>
      <c r="AE287" s="25" t="s">
        <v>3023</v>
      </c>
      <c r="AF287" s="135" t="s">
        <v>112</v>
      </c>
      <c r="AG287" s="135"/>
      <c r="AH287" s="135"/>
      <c r="AI287" s="23">
        <v>0</v>
      </c>
      <c r="AJ287" s="267" t="s">
        <v>153</v>
      </c>
      <c r="AN287" s="278">
        <v>2</v>
      </c>
      <c r="AO287" s="278">
        <v>2</v>
      </c>
      <c r="AP287" s="278">
        <v>2</v>
      </c>
      <c r="AQ287" s="278">
        <v>2</v>
      </c>
    </row>
    <row r="288" spans="1:43">
      <c r="A288" s="135" t="s">
        <v>2382</v>
      </c>
      <c r="B288" s="135" t="s">
        <v>2506</v>
      </c>
      <c r="C288" s="135" t="s">
        <v>2383</v>
      </c>
      <c r="D288" s="46">
        <v>11119374</v>
      </c>
      <c r="E288" s="20" t="s">
        <v>586</v>
      </c>
      <c r="F288" s="20" t="s">
        <v>587</v>
      </c>
      <c r="G288" s="24">
        <v>9</v>
      </c>
      <c r="H288" s="21">
        <v>46247</v>
      </c>
      <c r="I288" s="53" t="s">
        <v>2384</v>
      </c>
      <c r="J288" s="24" t="s">
        <v>2385</v>
      </c>
      <c r="K288" s="24">
        <v>9</v>
      </c>
      <c r="L288" s="46">
        <v>12116009</v>
      </c>
      <c r="M288" s="20" t="s">
        <v>614</v>
      </c>
      <c r="N288" s="38">
        <v>0</v>
      </c>
      <c r="O288" s="38">
        <v>0</v>
      </c>
      <c r="P288" s="20" t="s">
        <v>469</v>
      </c>
      <c r="Q288" s="20">
        <v>0</v>
      </c>
      <c r="R288" s="40">
        <v>46235</v>
      </c>
      <c r="S288" s="38">
        <v>0</v>
      </c>
      <c r="T288" s="38">
        <v>0</v>
      </c>
      <c r="U288" s="40">
        <v>46237</v>
      </c>
      <c r="V288" s="40">
        <v>46237</v>
      </c>
      <c r="W288" s="20" t="s">
        <v>57</v>
      </c>
      <c r="X288" s="21"/>
      <c r="Y288" s="19">
        <f>VLOOKUP(F288,[2]New!$B:$G,3,0)*K288/60</f>
        <v>8.4</v>
      </c>
      <c r="Z288" s="19">
        <f>VLOOKUP(F288,[2]New!$B:$G,4,0)*K288/60</f>
        <v>35.1</v>
      </c>
      <c r="AA288" s="19">
        <f>VLOOKUP(F288,[2]New!$B:$G,6,0)*K288/60</f>
        <v>43.379999999999995</v>
      </c>
      <c r="AB288" s="44">
        <f>VLOOKUP(A288,'[4]PO CAG (2)'!$A:$L,12,0)</f>
        <v>46251</v>
      </c>
      <c r="AC288" s="22">
        <f>IFERROR(VLOOKUP(F288,[3]Sheet1!$E:$H,4,0),)</f>
        <v>0</v>
      </c>
      <c r="AD288" s="144">
        <v>9</v>
      </c>
      <c r="AE288" s="25" t="s">
        <v>3023</v>
      </c>
      <c r="AF288" s="135" t="s">
        <v>112</v>
      </c>
      <c r="AG288" s="135"/>
      <c r="AH288" s="135"/>
      <c r="AI288" s="23">
        <v>0</v>
      </c>
      <c r="AJ288" s="267" t="s">
        <v>153</v>
      </c>
      <c r="AN288" s="278">
        <v>2</v>
      </c>
      <c r="AO288" s="278">
        <v>2</v>
      </c>
      <c r="AP288" s="278">
        <v>2</v>
      </c>
      <c r="AQ288" s="278">
        <v>2</v>
      </c>
    </row>
    <row r="289" spans="1:43">
      <c r="A289" s="135" t="s">
        <v>2386</v>
      </c>
      <c r="B289" s="135" t="s">
        <v>2507</v>
      </c>
      <c r="C289" s="135" t="s">
        <v>2387</v>
      </c>
      <c r="D289" s="46">
        <v>11119629</v>
      </c>
      <c r="E289" s="20" t="s">
        <v>600</v>
      </c>
      <c r="F289" s="20" t="s">
        <v>601</v>
      </c>
      <c r="G289" s="24">
        <v>9</v>
      </c>
      <c r="H289" s="21">
        <v>46247</v>
      </c>
      <c r="I289" s="53" t="s">
        <v>2388</v>
      </c>
      <c r="J289" s="24" t="s">
        <v>2389</v>
      </c>
      <c r="K289" s="24">
        <v>9</v>
      </c>
      <c r="L289" s="46">
        <v>12116264</v>
      </c>
      <c r="M289" s="20" t="s">
        <v>623</v>
      </c>
      <c r="N289" s="38">
        <v>0</v>
      </c>
      <c r="O289" s="38">
        <v>0</v>
      </c>
      <c r="P289" s="20" t="s">
        <v>469</v>
      </c>
      <c r="Q289" s="20">
        <v>0</v>
      </c>
      <c r="R289" s="40">
        <v>46235</v>
      </c>
      <c r="S289" s="38">
        <v>0</v>
      </c>
      <c r="T289" s="38">
        <v>0</v>
      </c>
      <c r="U289" s="40">
        <v>46237</v>
      </c>
      <c r="V289" s="40">
        <v>46237</v>
      </c>
      <c r="W289" s="20" t="s">
        <v>57</v>
      </c>
      <c r="X289" s="21"/>
      <c r="Y289" s="19">
        <f>VLOOKUP(F289,[2]New!$B:$G,3,0)*K289/60</f>
        <v>8.4</v>
      </c>
      <c r="Z289" s="19">
        <f>VLOOKUP(F289,[2]New!$B:$G,4,0)*K289/60</f>
        <v>35.1</v>
      </c>
      <c r="AA289" s="19">
        <f>VLOOKUP(F289,[2]New!$B:$G,6,0)*K289/60</f>
        <v>35.1</v>
      </c>
      <c r="AB289" s="44">
        <f>VLOOKUP(A289,'[4]PO CAG (2)'!$A:$L,12,0)</f>
        <v>46251</v>
      </c>
      <c r="AC289" s="22">
        <f>IFERROR(VLOOKUP(F289,[3]Sheet1!$E:$H,4,0),)</f>
        <v>0</v>
      </c>
      <c r="AD289" s="144">
        <v>9</v>
      </c>
      <c r="AE289" s="25" t="s">
        <v>3023</v>
      </c>
      <c r="AF289" s="135" t="s">
        <v>112</v>
      </c>
      <c r="AG289" s="135"/>
      <c r="AH289" s="135"/>
      <c r="AI289" s="23">
        <v>0</v>
      </c>
      <c r="AJ289" s="267" t="s">
        <v>153</v>
      </c>
      <c r="AN289" s="278">
        <v>2</v>
      </c>
      <c r="AO289" s="278">
        <v>2</v>
      </c>
      <c r="AP289" s="278">
        <v>2</v>
      </c>
      <c r="AQ289" s="278">
        <v>2</v>
      </c>
    </row>
    <row r="290" spans="1:43">
      <c r="A290" s="135" t="s">
        <v>2390</v>
      </c>
      <c r="B290" s="135" t="s">
        <v>2508</v>
      </c>
      <c r="C290" s="135" t="s">
        <v>2391</v>
      </c>
      <c r="D290" s="46">
        <v>11119505</v>
      </c>
      <c r="E290" s="20" t="s">
        <v>627</v>
      </c>
      <c r="F290" s="20" t="s">
        <v>628</v>
      </c>
      <c r="G290" s="24">
        <v>10</v>
      </c>
      <c r="H290" s="21">
        <v>46247</v>
      </c>
      <c r="I290" s="53" t="s">
        <v>2392</v>
      </c>
      <c r="J290" s="24" t="s">
        <v>2393</v>
      </c>
      <c r="K290" s="24">
        <v>10</v>
      </c>
      <c r="L290" s="46">
        <v>12116140</v>
      </c>
      <c r="M290" s="20" t="s">
        <v>633</v>
      </c>
      <c r="N290" s="38">
        <v>0</v>
      </c>
      <c r="O290" s="38">
        <v>0</v>
      </c>
      <c r="P290" s="20" t="s">
        <v>469</v>
      </c>
      <c r="Q290" s="20">
        <v>0</v>
      </c>
      <c r="R290" s="40">
        <v>46235</v>
      </c>
      <c r="S290" s="38">
        <v>0</v>
      </c>
      <c r="T290" s="38">
        <v>0</v>
      </c>
      <c r="U290" s="40">
        <v>46237</v>
      </c>
      <c r="V290" s="40">
        <v>46237</v>
      </c>
      <c r="W290" s="20" t="s">
        <v>57</v>
      </c>
      <c r="X290" s="21"/>
      <c r="Y290" s="19">
        <f>VLOOKUP(F290,[2]New!$B:$G,3,0)*K290/60</f>
        <v>9.3333333333333339</v>
      </c>
      <c r="Z290" s="19">
        <f>VLOOKUP(F290,[2]New!$B:$G,4,0)*K290/60</f>
        <v>39</v>
      </c>
      <c r="AA290" s="19">
        <f>VLOOKUP(F290,[2]New!$B:$G,6,0)*K290/60</f>
        <v>48.2</v>
      </c>
      <c r="AB290" s="44">
        <f>VLOOKUP(A290,'[4]PO CAG (2)'!$A:$L,12,0)</f>
        <v>46251</v>
      </c>
      <c r="AC290" s="22">
        <f>IFERROR(VLOOKUP(F290,[3]Sheet1!$E:$H,4,0),)</f>
        <v>0</v>
      </c>
      <c r="AD290" s="144">
        <v>10</v>
      </c>
      <c r="AE290" s="25" t="s">
        <v>3023</v>
      </c>
      <c r="AF290" s="135" t="s">
        <v>112</v>
      </c>
      <c r="AG290" s="135"/>
      <c r="AH290" s="135"/>
      <c r="AI290" s="23">
        <v>0</v>
      </c>
      <c r="AJ290" s="267" t="s">
        <v>153</v>
      </c>
      <c r="AN290" s="278">
        <v>2</v>
      </c>
      <c r="AO290" s="278">
        <v>2</v>
      </c>
      <c r="AP290" s="278">
        <v>2</v>
      </c>
      <c r="AQ290" s="278">
        <v>2</v>
      </c>
    </row>
    <row r="291" spans="1:43">
      <c r="A291" s="135" t="s">
        <v>2394</v>
      </c>
      <c r="B291" s="135" t="s">
        <v>2509</v>
      </c>
      <c r="C291" s="135" t="s">
        <v>2395</v>
      </c>
      <c r="D291" s="46">
        <v>11119667</v>
      </c>
      <c r="E291" s="20" t="s">
        <v>779</v>
      </c>
      <c r="F291" s="20" t="s">
        <v>780</v>
      </c>
      <c r="G291" s="24">
        <v>11</v>
      </c>
      <c r="H291" s="21">
        <v>46247</v>
      </c>
      <c r="I291" s="53" t="s">
        <v>2396</v>
      </c>
      <c r="J291" s="24" t="s">
        <v>2397</v>
      </c>
      <c r="K291" s="24">
        <v>11</v>
      </c>
      <c r="L291" s="46">
        <v>12116302</v>
      </c>
      <c r="M291" s="20" t="s">
        <v>795</v>
      </c>
      <c r="N291" s="38">
        <v>0</v>
      </c>
      <c r="O291" s="38">
        <v>0</v>
      </c>
      <c r="P291" s="20" t="s">
        <v>469</v>
      </c>
      <c r="Q291" s="20">
        <v>0</v>
      </c>
      <c r="R291" s="40">
        <v>46235</v>
      </c>
      <c r="S291" s="38">
        <v>0</v>
      </c>
      <c r="T291" s="38">
        <v>0</v>
      </c>
      <c r="U291" s="40">
        <v>46237</v>
      </c>
      <c r="V291" s="40">
        <v>46237</v>
      </c>
      <c r="W291" s="20" t="s">
        <v>57</v>
      </c>
      <c r="X291" s="21"/>
      <c r="Y291" s="19">
        <f>VLOOKUP(F291,[2]New!$B:$G,3,0)*K291/60</f>
        <v>10.266666666666667</v>
      </c>
      <c r="Z291" s="19">
        <f>VLOOKUP(F291,[2]New!$B:$G,4,0)*K291/60</f>
        <v>42.9</v>
      </c>
      <c r="AA291" s="19">
        <f>VLOOKUP(F291,[2]New!$B:$G,6,0)*K291/60</f>
        <v>52.983333333333334</v>
      </c>
      <c r="AB291" s="44">
        <f>VLOOKUP(A291,'[4]PO CAG (2)'!$A:$L,12,0)</f>
        <v>46251</v>
      </c>
      <c r="AC291" s="22">
        <f>IFERROR(VLOOKUP(F291,[3]Sheet1!$E:$H,4,0),)</f>
        <v>0</v>
      </c>
      <c r="AD291" s="144">
        <v>11</v>
      </c>
      <c r="AE291" s="25" t="s">
        <v>3023</v>
      </c>
      <c r="AF291" s="135" t="s">
        <v>112</v>
      </c>
      <c r="AG291" s="135"/>
      <c r="AH291" s="135"/>
      <c r="AI291" s="23">
        <v>0</v>
      </c>
      <c r="AJ291" s="267" t="s">
        <v>153</v>
      </c>
      <c r="AN291" s="278">
        <v>2</v>
      </c>
      <c r="AO291" s="278">
        <v>2</v>
      </c>
      <c r="AP291" s="278">
        <v>2</v>
      </c>
      <c r="AQ291" s="278">
        <v>2</v>
      </c>
    </row>
    <row r="292" spans="1:43">
      <c r="A292" s="135" t="s">
        <v>2398</v>
      </c>
      <c r="B292" s="135" t="s">
        <v>2510</v>
      </c>
      <c r="C292" s="135" t="s">
        <v>2399</v>
      </c>
      <c r="D292" s="46">
        <v>11119587</v>
      </c>
      <c r="E292" s="20" t="s">
        <v>785</v>
      </c>
      <c r="F292" s="20" t="s">
        <v>786</v>
      </c>
      <c r="G292" s="24">
        <v>15</v>
      </c>
      <c r="H292" s="21">
        <v>46247</v>
      </c>
      <c r="I292" s="53" t="s">
        <v>2400</v>
      </c>
      <c r="J292" s="24" t="s">
        <v>2401</v>
      </c>
      <c r="K292" s="24">
        <v>15</v>
      </c>
      <c r="L292" s="46">
        <v>12116222</v>
      </c>
      <c r="M292" s="20" t="s">
        <v>798</v>
      </c>
      <c r="N292" s="38">
        <v>0</v>
      </c>
      <c r="O292" s="38">
        <v>0</v>
      </c>
      <c r="P292" s="20" t="s">
        <v>469</v>
      </c>
      <c r="Q292" s="20">
        <v>0</v>
      </c>
      <c r="R292" s="40">
        <v>46235</v>
      </c>
      <c r="S292" s="38">
        <v>0</v>
      </c>
      <c r="T292" s="38">
        <v>0</v>
      </c>
      <c r="U292" s="40">
        <v>46237</v>
      </c>
      <c r="V292" s="40">
        <v>46237</v>
      </c>
      <c r="W292" s="20" t="s">
        <v>57</v>
      </c>
      <c r="X292" s="21"/>
      <c r="Y292" s="19">
        <f>VLOOKUP(F292,[2]New!$B:$G,3,0)*K292/60</f>
        <v>14</v>
      </c>
      <c r="Z292" s="19">
        <f>VLOOKUP(F292,[2]New!$B:$G,4,0)*K292/60</f>
        <v>58.5</v>
      </c>
      <c r="AA292" s="19">
        <f>VLOOKUP(F292,[2]New!$B:$G,6,0)*K292/60</f>
        <v>72.3</v>
      </c>
      <c r="AB292" s="44">
        <f>VLOOKUP(A292,'[4]PO CAG (2)'!$A:$L,12,0)</f>
        <v>46251</v>
      </c>
      <c r="AC292" s="22">
        <f>IFERROR(VLOOKUP(F292,[3]Sheet1!$E:$H,4,0),)</f>
        <v>0</v>
      </c>
      <c r="AD292" s="144">
        <v>15</v>
      </c>
      <c r="AE292" s="25" t="s">
        <v>3023</v>
      </c>
      <c r="AF292" s="135" t="s">
        <v>112</v>
      </c>
      <c r="AG292" s="135"/>
      <c r="AH292" s="135"/>
      <c r="AI292" s="23">
        <v>0</v>
      </c>
      <c r="AJ292" s="267" t="s">
        <v>153</v>
      </c>
      <c r="AN292" s="278">
        <v>2</v>
      </c>
      <c r="AO292" s="278">
        <v>2</v>
      </c>
      <c r="AP292" s="278">
        <v>2</v>
      </c>
      <c r="AQ292" s="278">
        <v>2</v>
      </c>
    </row>
    <row r="293" spans="1:43">
      <c r="A293" s="135" t="s">
        <v>2402</v>
      </c>
      <c r="B293" s="135" t="s">
        <v>2511</v>
      </c>
      <c r="C293" s="135" t="s">
        <v>2403</v>
      </c>
      <c r="D293" s="46">
        <v>11119659</v>
      </c>
      <c r="E293" s="20" t="s">
        <v>602</v>
      </c>
      <c r="F293" s="20" t="s">
        <v>603</v>
      </c>
      <c r="G293" s="24">
        <v>16</v>
      </c>
      <c r="H293" s="21">
        <v>46247</v>
      </c>
      <c r="I293" s="53" t="s">
        <v>2404</v>
      </c>
      <c r="J293" s="24" t="s">
        <v>2405</v>
      </c>
      <c r="K293" s="24">
        <v>16</v>
      </c>
      <c r="L293" s="46">
        <v>12116294</v>
      </c>
      <c r="M293" s="20" t="s">
        <v>624</v>
      </c>
      <c r="N293" s="38">
        <v>0</v>
      </c>
      <c r="O293" s="38">
        <v>0</v>
      </c>
      <c r="P293" s="20" t="s">
        <v>469</v>
      </c>
      <c r="Q293" s="20">
        <v>0</v>
      </c>
      <c r="R293" s="40">
        <v>46235</v>
      </c>
      <c r="S293" s="38">
        <v>0</v>
      </c>
      <c r="T293" s="38">
        <v>0</v>
      </c>
      <c r="U293" s="40">
        <v>46237</v>
      </c>
      <c r="V293" s="40">
        <v>46237</v>
      </c>
      <c r="W293" s="20" t="s">
        <v>57</v>
      </c>
      <c r="X293" s="21"/>
      <c r="Y293" s="19">
        <f>VLOOKUP(F293,[2]New!$B:$G,3,0)*K293/60</f>
        <v>14.933333333333334</v>
      </c>
      <c r="Z293" s="19">
        <f>VLOOKUP(F293,[2]New!$B:$G,4,0)*K293/60</f>
        <v>62.4</v>
      </c>
      <c r="AA293" s="19">
        <f>VLOOKUP(F293,[2]New!$B:$G,6,0)*K293/60</f>
        <v>77.11999999999999</v>
      </c>
      <c r="AB293" s="44">
        <f>VLOOKUP(A293,'[4]PO CAG (2)'!$A:$L,12,0)</f>
        <v>46251</v>
      </c>
      <c r="AC293" s="22">
        <f>IFERROR(VLOOKUP(F293,[3]Sheet1!$E:$H,4,0),)</f>
        <v>0</v>
      </c>
      <c r="AD293" s="144">
        <v>16</v>
      </c>
      <c r="AE293" s="25" t="s">
        <v>3023</v>
      </c>
      <c r="AF293" s="135" t="s">
        <v>112</v>
      </c>
      <c r="AG293" s="135"/>
      <c r="AH293" s="135"/>
      <c r="AI293" s="23">
        <v>0</v>
      </c>
      <c r="AJ293" s="267" t="s">
        <v>153</v>
      </c>
      <c r="AN293" s="278">
        <v>2</v>
      </c>
      <c r="AO293" s="278">
        <v>2</v>
      </c>
      <c r="AP293" s="278">
        <v>2</v>
      </c>
      <c r="AQ293" s="278">
        <v>2</v>
      </c>
    </row>
    <row r="294" spans="1:43">
      <c r="A294" s="135" t="s">
        <v>2406</v>
      </c>
      <c r="B294" s="135" t="s">
        <v>2512</v>
      </c>
      <c r="C294" s="135" t="s">
        <v>2407</v>
      </c>
      <c r="D294" s="46">
        <v>11119365</v>
      </c>
      <c r="E294" s="20" t="s">
        <v>1124</v>
      </c>
      <c r="F294" s="20" t="s">
        <v>1125</v>
      </c>
      <c r="G294" s="24">
        <v>20</v>
      </c>
      <c r="H294" s="21">
        <v>46247</v>
      </c>
      <c r="I294" s="53" t="s">
        <v>2408</v>
      </c>
      <c r="J294" s="24" t="s">
        <v>2409</v>
      </c>
      <c r="K294" s="24">
        <v>20</v>
      </c>
      <c r="L294" s="46">
        <v>12116000</v>
      </c>
      <c r="M294" s="20" t="s">
        <v>1148</v>
      </c>
      <c r="N294" s="38">
        <v>0</v>
      </c>
      <c r="O294" s="38">
        <v>0</v>
      </c>
      <c r="P294" s="20" t="s">
        <v>469</v>
      </c>
      <c r="Q294" s="20">
        <v>0</v>
      </c>
      <c r="R294" s="40">
        <v>46235</v>
      </c>
      <c r="S294" s="38">
        <v>0</v>
      </c>
      <c r="T294" s="38">
        <v>0</v>
      </c>
      <c r="U294" s="40">
        <v>46237</v>
      </c>
      <c r="V294" s="40">
        <v>46237</v>
      </c>
      <c r="W294" s="20" t="s">
        <v>57</v>
      </c>
      <c r="X294" s="21"/>
      <c r="Y294" s="19">
        <f>VLOOKUP(F294,[2]New!$B:$G,3,0)*K294/60</f>
        <v>18.666666666666668</v>
      </c>
      <c r="Z294" s="19">
        <f>VLOOKUP(F294,[2]New!$B:$G,4,0)*K294/60</f>
        <v>78</v>
      </c>
      <c r="AA294" s="19">
        <f>VLOOKUP(F294,[2]New!$B:$G,6,0)*K294/60</f>
        <v>96.333333333333329</v>
      </c>
      <c r="AB294" s="44">
        <f>VLOOKUP(A294,'[4]PO CAG (2)'!$A:$L,12,0)</f>
        <v>46251</v>
      </c>
      <c r="AC294" s="22">
        <f>IFERROR(VLOOKUP(F294,[3]Sheet1!$E:$H,4,0),)</f>
        <v>0</v>
      </c>
      <c r="AD294" s="144">
        <v>20</v>
      </c>
      <c r="AE294" s="25" t="s">
        <v>3023</v>
      </c>
      <c r="AF294" s="135" t="s">
        <v>112</v>
      </c>
      <c r="AG294" s="135"/>
      <c r="AH294" s="135"/>
      <c r="AI294" s="23">
        <v>0</v>
      </c>
      <c r="AJ294" s="267" t="s">
        <v>153</v>
      </c>
      <c r="AN294" s="278">
        <v>2</v>
      </c>
      <c r="AO294" s="278">
        <v>2</v>
      </c>
      <c r="AP294" s="278">
        <v>2</v>
      </c>
      <c r="AQ294" s="278">
        <v>2</v>
      </c>
    </row>
    <row r="295" spans="1:43">
      <c r="A295" s="135" t="s">
        <v>2410</v>
      </c>
      <c r="B295" s="135" t="s">
        <v>2513</v>
      </c>
      <c r="C295" s="135" t="s">
        <v>2411</v>
      </c>
      <c r="D295" s="46">
        <v>11119570</v>
      </c>
      <c r="E295" s="20" t="s">
        <v>625</v>
      </c>
      <c r="F295" s="20" t="s">
        <v>626</v>
      </c>
      <c r="G295" s="24">
        <v>24</v>
      </c>
      <c r="H295" s="21">
        <v>46247</v>
      </c>
      <c r="I295" s="53" t="s">
        <v>2412</v>
      </c>
      <c r="J295" s="24" t="s">
        <v>2413</v>
      </c>
      <c r="K295" s="24">
        <v>24</v>
      </c>
      <c r="L295" s="46">
        <v>12116205</v>
      </c>
      <c r="M295" s="20" t="s">
        <v>632</v>
      </c>
      <c r="N295" s="38">
        <v>0</v>
      </c>
      <c r="O295" s="38">
        <v>0</v>
      </c>
      <c r="P295" s="20" t="s">
        <v>469</v>
      </c>
      <c r="Q295" s="20">
        <v>0</v>
      </c>
      <c r="R295" s="40">
        <v>46235</v>
      </c>
      <c r="S295" s="38">
        <v>0</v>
      </c>
      <c r="T295" s="38">
        <v>0</v>
      </c>
      <c r="U295" s="40">
        <v>46237</v>
      </c>
      <c r="V295" s="40">
        <v>46237</v>
      </c>
      <c r="W295" s="20" t="s">
        <v>57</v>
      </c>
      <c r="X295" s="21"/>
      <c r="Y295" s="19">
        <f>VLOOKUP(F295,[2]New!$B:$G,3,0)*K295/60</f>
        <v>22.4</v>
      </c>
      <c r="Z295" s="19">
        <f>VLOOKUP(F295,[2]New!$B:$G,4,0)*K295/60</f>
        <v>93.6</v>
      </c>
      <c r="AA295" s="19">
        <f>VLOOKUP(F295,[2]New!$B:$G,6,0)*K295/60</f>
        <v>115.67999999999999</v>
      </c>
      <c r="AB295" s="44">
        <f>VLOOKUP(A295,'[4]PO CAG (2)'!$A:$L,12,0)</f>
        <v>46251</v>
      </c>
      <c r="AC295" s="22">
        <f>IFERROR(VLOOKUP(F295,[3]Sheet1!$E:$H,4,0),)</f>
        <v>0</v>
      </c>
      <c r="AD295" s="144">
        <v>24</v>
      </c>
      <c r="AE295" s="25" t="s">
        <v>3023</v>
      </c>
      <c r="AF295" s="135" t="s">
        <v>112</v>
      </c>
      <c r="AG295" s="135"/>
      <c r="AH295" s="135"/>
      <c r="AI295" s="23">
        <v>0</v>
      </c>
      <c r="AJ295" s="267" t="s">
        <v>153</v>
      </c>
      <c r="AN295" s="278">
        <v>2</v>
      </c>
      <c r="AO295" s="278">
        <v>2</v>
      </c>
      <c r="AP295" s="278">
        <v>2</v>
      </c>
      <c r="AQ295" s="278">
        <v>2</v>
      </c>
    </row>
    <row r="296" spans="1:43">
      <c r="A296" s="135" t="s">
        <v>2414</v>
      </c>
      <c r="B296" s="135" t="s">
        <v>2514</v>
      </c>
      <c r="C296" s="135" t="s">
        <v>2415</v>
      </c>
      <c r="D296" s="46">
        <v>11119582</v>
      </c>
      <c r="E296" s="20" t="s">
        <v>863</v>
      </c>
      <c r="F296" s="20" t="s">
        <v>864</v>
      </c>
      <c r="G296" s="24">
        <v>26</v>
      </c>
      <c r="H296" s="21">
        <v>46247</v>
      </c>
      <c r="I296" s="53" t="s">
        <v>2416</v>
      </c>
      <c r="J296" s="24" t="s">
        <v>2417</v>
      </c>
      <c r="K296" s="24">
        <v>26</v>
      </c>
      <c r="L296" s="46">
        <v>12116217</v>
      </c>
      <c r="M296" s="20" t="s">
        <v>878</v>
      </c>
      <c r="N296" s="38">
        <v>0</v>
      </c>
      <c r="O296" s="38">
        <v>0</v>
      </c>
      <c r="P296" s="20" t="s">
        <v>469</v>
      </c>
      <c r="Q296" s="20">
        <v>0</v>
      </c>
      <c r="R296" s="40">
        <v>46235</v>
      </c>
      <c r="S296" s="38">
        <v>0</v>
      </c>
      <c r="T296" s="38">
        <v>0</v>
      </c>
      <c r="U296" s="40">
        <v>46237</v>
      </c>
      <c r="V296" s="40">
        <v>46237</v>
      </c>
      <c r="W296" s="20" t="s">
        <v>57</v>
      </c>
      <c r="X296" s="21"/>
      <c r="Y296" s="19">
        <f>VLOOKUP(F296,[2]New!$B:$G,3,0)*K296/60</f>
        <v>24.266666666666666</v>
      </c>
      <c r="Z296" s="19">
        <f>VLOOKUP(F296,[2]New!$B:$G,4,0)*K296/60</f>
        <v>101.4</v>
      </c>
      <c r="AA296" s="19">
        <f>VLOOKUP(F296,[2]New!$B:$G,6,0)*K296/60</f>
        <v>125.23333333333333</v>
      </c>
      <c r="AB296" s="44">
        <f>VLOOKUP(A296,'[4]PO CAG (2)'!$A:$L,12,0)</f>
        <v>46251</v>
      </c>
      <c r="AC296" s="22">
        <f>IFERROR(VLOOKUP(F296,[3]Sheet1!$E:$H,4,0),)</f>
        <v>0</v>
      </c>
      <c r="AD296" s="144">
        <v>26</v>
      </c>
      <c r="AE296" s="25" t="s">
        <v>3023</v>
      </c>
      <c r="AF296" s="135" t="s">
        <v>112</v>
      </c>
      <c r="AG296" s="135"/>
      <c r="AH296" s="135"/>
      <c r="AI296" s="23">
        <v>0</v>
      </c>
      <c r="AJ296" s="267" t="s">
        <v>153</v>
      </c>
      <c r="AN296" s="278">
        <v>2</v>
      </c>
      <c r="AO296" s="278">
        <v>2</v>
      </c>
      <c r="AP296" s="278">
        <v>2</v>
      </c>
      <c r="AQ296" s="278">
        <v>2</v>
      </c>
    </row>
    <row r="297" spans="1:43">
      <c r="A297" s="135" t="s">
        <v>2418</v>
      </c>
      <c r="B297" s="135" t="s">
        <v>2515</v>
      </c>
      <c r="C297" s="135" t="s">
        <v>2419</v>
      </c>
      <c r="D297" s="46">
        <v>11119344</v>
      </c>
      <c r="E297" s="20" t="s">
        <v>787</v>
      </c>
      <c r="F297" s="20" t="s">
        <v>788</v>
      </c>
      <c r="G297" s="24">
        <v>35</v>
      </c>
      <c r="H297" s="21">
        <v>46247</v>
      </c>
      <c r="I297" s="53" t="s">
        <v>2420</v>
      </c>
      <c r="J297" s="24" t="s">
        <v>2421</v>
      </c>
      <c r="K297" s="24">
        <v>35</v>
      </c>
      <c r="L297" s="46">
        <v>12115979</v>
      </c>
      <c r="M297" s="20" t="s">
        <v>799</v>
      </c>
      <c r="N297" s="38">
        <v>0</v>
      </c>
      <c r="O297" s="38">
        <v>0</v>
      </c>
      <c r="P297" s="20" t="s">
        <v>469</v>
      </c>
      <c r="Q297" s="20">
        <v>0</v>
      </c>
      <c r="R297" s="40">
        <v>46235</v>
      </c>
      <c r="S297" s="38">
        <v>0</v>
      </c>
      <c r="T297" s="38">
        <v>0</v>
      </c>
      <c r="U297" s="40">
        <v>46237</v>
      </c>
      <c r="V297" s="40">
        <v>46237</v>
      </c>
      <c r="W297" s="20" t="s">
        <v>57</v>
      </c>
      <c r="X297" s="21"/>
      <c r="Y297" s="19">
        <f>VLOOKUP(F297,[2]New!$B:$G,3,0)*K297/60</f>
        <v>32.666666666666664</v>
      </c>
      <c r="Z297" s="19">
        <f>VLOOKUP(F297,[2]New!$B:$G,4,0)*K297/60</f>
        <v>136.5</v>
      </c>
      <c r="AA297" s="19">
        <f>VLOOKUP(F297,[2]New!$B:$G,6,0)*K297/60</f>
        <v>168.7</v>
      </c>
      <c r="AB297" s="44">
        <f>VLOOKUP(A297,'[4]PO CAG (2)'!$A:$L,12,0)</f>
        <v>46251</v>
      </c>
      <c r="AC297" s="22">
        <f>IFERROR(VLOOKUP(F297,[3]Sheet1!$E:$H,4,0),)</f>
        <v>0</v>
      </c>
      <c r="AD297" s="144">
        <v>35</v>
      </c>
      <c r="AE297" s="25" t="s">
        <v>3023</v>
      </c>
      <c r="AF297" s="135" t="s">
        <v>112</v>
      </c>
      <c r="AG297" s="135"/>
      <c r="AH297" s="135"/>
      <c r="AI297" s="23">
        <v>0</v>
      </c>
      <c r="AJ297" s="267" t="s">
        <v>153</v>
      </c>
      <c r="AN297" s="278">
        <v>2</v>
      </c>
      <c r="AO297" s="278">
        <v>2</v>
      </c>
      <c r="AP297" s="278">
        <v>2</v>
      </c>
      <c r="AQ297" s="278">
        <v>2</v>
      </c>
    </row>
    <row r="298" spans="1:43">
      <c r="A298" s="135" t="s">
        <v>2422</v>
      </c>
      <c r="B298" s="135" t="s">
        <v>2516</v>
      </c>
      <c r="C298" s="135" t="s">
        <v>2423</v>
      </c>
      <c r="D298" s="46">
        <v>11134130</v>
      </c>
      <c r="E298" s="20" t="s">
        <v>384</v>
      </c>
      <c r="F298" s="20" t="s">
        <v>385</v>
      </c>
      <c r="G298" s="24">
        <v>2</v>
      </c>
      <c r="H298" s="21">
        <v>46253</v>
      </c>
      <c r="I298" s="53" t="s">
        <v>2424</v>
      </c>
      <c r="J298" s="24" t="s">
        <v>2425</v>
      </c>
      <c r="K298" s="24">
        <v>2</v>
      </c>
      <c r="L298" s="46">
        <v>12130092</v>
      </c>
      <c r="M298" s="20" t="s">
        <v>386</v>
      </c>
      <c r="N298" s="38">
        <v>0</v>
      </c>
      <c r="O298" s="38">
        <v>0</v>
      </c>
      <c r="P298" s="20" t="s">
        <v>72</v>
      </c>
      <c r="Q298" s="20">
        <v>0</v>
      </c>
      <c r="R298" s="40">
        <v>46235</v>
      </c>
      <c r="S298" s="38">
        <v>0</v>
      </c>
      <c r="T298" s="38">
        <v>0</v>
      </c>
      <c r="U298" s="40">
        <v>46237</v>
      </c>
      <c r="V298" s="40">
        <v>46237</v>
      </c>
      <c r="W298" s="20" t="s">
        <v>57</v>
      </c>
      <c r="X298" s="21"/>
      <c r="Y298" s="19">
        <f>VLOOKUP(F298,[2]New!$B:$G,3,0)*K298/60</f>
        <v>1.8666666666666667</v>
      </c>
      <c r="Z298" s="19">
        <f>VLOOKUP(F298,[2]New!$B:$G,4,0)*K298/60</f>
        <v>7.8</v>
      </c>
      <c r="AA298" s="19">
        <f>VLOOKUP(F298,[2]New!$B:$G,6,0)*K298/60</f>
        <v>9.6333333333333329</v>
      </c>
      <c r="AB298" s="44">
        <f>VLOOKUP(A298,'[4]PO CAG (2)'!$A:$L,12,0)</f>
        <v>46268</v>
      </c>
      <c r="AC298" s="22" t="str">
        <f>IFERROR(VLOOKUP(F298,[3]Sheet1!$E:$H,4,0),)</f>
        <v>G</v>
      </c>
      <c r="AD298" s="144"/>
      <c r="AE298" s="25" t="s">
        <v>548</v>
      </c>
      <c r="AF298" s="135" t="s">
        <v>198</v>
      </c>
      <c r="AG298" s="135"/>
      <c r="AH298" s="135"/>
      <c r="AJ298" s="267" t="s">
        <v>189</v>
      </c>
      <c r="AN298" s="278">
        <v>3</v>
      </c>
      <c r="AO298" s="278">
        <v>3</v>
      </c>
      <c r="AP298" s="278">
        <v>3</v>
      </c>
      <c r="AQ298" s="278">
        <v>3</v>
      </c>
    </row>
    <row r="299" spans="1:43">
      <c r="A299" s="135" t="s">
        <v>1797</v>
      </c>
      <c r="B299" s="135" t="s">
        <v>2517</v>
      </c>
      <c r="C299" s="135" t="s">
        <v>2426</v>
      </c>
      <c r="D299" s="46">
        <v>11134139</v>
      </c>
      <c r="E299" s="20" t="s">
        <v>160</v>
      </c>
      <c r="F299" s="20" t="s">
        <v>161</v>
      </c>
      <c r="G299" s="24">
        <v>98</v>
      </c>
      <c r="H299" s="21">
        <v>46253</v>
      </c>
      <c r="I299" s="53" t="s">
        <v>2427</v>
      </c>
      <c r="J299" s="24" t="s">
        <v>2428</v>
      </c>
      <c r="K299" s="24">
        <v>134</v>
      </c>
      <c r="L299" s="46">
        <v>12129988</v>
      </c>
      <c r="M299" s="20" t="s">
        <v>171</v>
      </c>
      <c r="N299" s="38">
        <v>0</v>
      </c>
      <c r="O299" s="38">
        <v>30</v>
      </c>
      <c r="P299" s="20" t="s">
        <v>72</v>
      </c>
      <c r="Q299" s="20">
        <v>0</v>
      </c>
      <c r="R299" s="40">
        <v>46235</v>
      </c>
      <c r="S299" s="38">
        <v>3</v>
      </c>
      <c r="T299" s="38">
        <v>3</v>
      </c>
      <c r="U299" s="40">
        <v>46237</v>
      </c>
      <c r="V299" s="40">
        <v>46237</v>
      </c>
      <c r="W299" s="20" t="s">
        <v>57</v>
      </c>
      <c r="X299" s="21"/>
      <c r="Y299" s="19">
        <f>VLOOKUP(F299,[2]New!$B:$G,3,0)*K299/60</f>
        <v>125.06666666666666</v>
      </c>
      <c r="Z299" s="19">
        <f>VLOOKUP(F299,[2]New!$B:$G,4,0)*K299/60</f>
        <v>522.6</v>
      </c>
      <c r="AA299" s="19">
        <f>VLOOKUP(F299,[2]New!$B:$G,6,0)*K299/60</f>
        <v>645.43333333333328</v>
      </c>
      <c r="AB299" s="44">
        <f>VLOOKUP(A299,'[4]PO CAG (2)'!$A:$L,12,0)</f>
        <v>46268</v>
      </c>
      <c r="AC299" s="22" t="str">
        <f>IFERROR(VLOOKUP(F299,[3]Sheet1!$E:$H,4,0),)</f>
        <v>G</v>
      </c>
      <c r="AD299" s="144"/>
      <c r="AE299" s="25" t="s">
        <v>548</v>
      </c>
      <c r="AF299" s="135" t="s">
        <v>198</v>
      </c>
      <c r="AG299" s="135"/>
      <c r="AH299" s="135"/>
      <c r="AJ299" s="267" t="s">
        <v>189</v>
      </c>
      <c r="AN299" s="278">
        <v>3</v>
      </c>
      <c r="AO299" s="278">
        <v>3</v>
      </c>
      <c r="AP299" s="278">
        <v>3</v>
      </c>
      <c r="AQ299" s="278">
        <v>3</v>
      </c>
    </row>
    <row r="300" spans="1:43">
      <c r="A300" s="135" t="s">
        <v>2429</v>
      </c>
      <c r="B300" s="135" t="s">
        <v>2518</v>
      </c>
      <c r="C300" s="135" t="s">
        <v>2430</v>
      </c>
      <c r="D300" s="46">
        <v>11134203</v>
      </c>
      <c r="E300" s="20" t="s">
        <v>1098</v>
      </c>
      <c r="F300" s="20" t="s">
        <v>1099</v>
      </c>
      <c r="G300" s="24">
        <v>10</v>
      </c>
      <c r="H300" s="21">
        <v>46253</v>
      </c>
      <c r="I300" s="53" t="s">
        <v>2431</v>
      </c>
      <c r="J300" s="24" t="s">
        <v>2432</v>
      </c>
      <c r="K300" s="24">
        <v>10</v>
      </c>
      <c r="L300" s="46">
        <v>12130255</v>
      </c>
      <c r="M300" s="20" t="s">
        <v>1097</v>
      </c>
      <c r="N300" s="38">
        <v>0</v>
      </c>
      <c r="O300" s="38">
        <v>0</v>
      </c>
      <c r="P300" s="20" t="s">
        <v>72</v>
      </c>
      <c r="Q300" s="20">
        <v>0</v>
      </c>
      <c r="R300" s="40">
        <v>46235</v>
      </c>
      <c r="S300" s="38">
        <v>0</v>
      </c>
      <c r="T300" s="38">
        <v>0</v>
      </c>
      <c r="U300" s="40">
        <v>46237</v>
      </c>
      <c r="V300" s="40">
        <v>46237</v>
      </c>
      <c r="W300" s="20" t="s">
        <v>57</v>
      </c>
      <c r="X300" s="21"/>
      <c r="Y300" s="19">
        <f>VLOOKUP(F300,[2]New!$B:$G,3,0)*K300/60</f>
        <v>9.3333333333333339</v>
      </c>
      <c r="Z300" s="19">
        <f>VLOOKUP(F300,[2]New!$B:$G,4,0)*K300/60</f>
        <v>39</v>
      </c>
      <c r="AA300" s="19">
        <f>VLOOKUP(F300,[2]New!$B:$G,6,0)*K300/60</f>
        <v>48.166666666666664</v>
      </c>
      <c r="AB300" s="44">
        <f>VLOOKUP(A300,'[4]PO CAG (2)'!$A:$L,12,0)</f>
        <v>46268</v>
      </c>
      <c r="AC300" s="22" t="str">
        <f>IFERROR(VLOOKUP(F300,[3]Sheet1!$E:$H,4,0),)</f>
        <v>G</v>
      </c>
      <c r="AD300" s="144"/>
      <c r="AE300" s="25" t="s">
        <v>548</v>
      </c>
      <c r="AF300" s="135" t="s">
        <v>198</v>
      </c>
      <c r="AG300" s="135"/>
      <c r="AH300" s="135"/>
      <c r="AJ300" s="267" t="s">
        <v>189</v>
      </c>
      <c r="AN300" s="278">
        <v>3</v>
      </c>
      <c r="AO300" s="278">
        <v>3</v>
      </c>
      <c r="AP300" s="278">
        <v>3</v>
      </c>
      <c r="AQ300" s="278">
        <v>3</v>
      </c>
    </row>
    <row r="301" spans="1:43">
      <c r="A301" s="135" t="s">
        <v>2433</v>
      </c>
      <c r="B301" s="135" t="s">
        <v>2519</v>
      </c>
      <c r="C301" s="135" t="s">
        <v>2434</v>
      </c>
      <c r="D301" s="46">
        <v>11134207</v>
      </c>
      <c r="E301" s="20" t="s">
        <v>2435</v>
      </c>
      <c r="F301" s="20" t="s">
        <v>2436</v>
      </c>
      <c r="G301" s="24">
        <v>20</v>
      </c>
      <c r="H301" s="21">
        <v>46253</v>
      </c>
      <c r="I301" s="53" t="s">
        <v>2437</v>
      </c>
      <c r="J301" s="24" t="s">
        <v>2438</v>
      </c>
      <c r="K301" s="24">
        <v>20</v>
      </c>
      <c r="L301" s="46">
        <v>12130256</v>
      </c>
      <c r="M301" s="20" t="s">
        <v>2461</v>
      </c>
      <c r="N301" s="38">
        <v>0</v>
      </c>
      <c r="O301" s="38">
        <v>0</v>
      </c>
      <c r="P301" s="20" t="s">
        <v>72</v>
      </c>
      <c r="Q301" s="20">
        <v>0</v>
      </c>
      <c r="R301" s="40">
        <v>46235</v>
      </c>
      <c r="S301" s="38">
        <v>0</v>
      </c>
      <c r="T301" s="38">
        <v>0</v>
      </c>
      <c r="U301" s="40">
        <v>46237</v>
      </c>
      <c r="V301" s="40">
        <v>46237</v>
      </c>
      <c r="W301" s="20" t="s">
        <v>57</v>
      </c>
      <c r="X301" s="21"/>
      <c r="Y301" s="19">
        <f>VLOOKUP(F301,[2]New!$B:$G,3,0)*K301/60</f>
        <v>18.666666666666668</v>
      </c>
      <c r="Z301" s="19">
        <f>VLOOKUP(F301,[2]New!$B:$G,4,0)*K301/60</f>
        <v>78</v>
      </c>
      <c r="AA301" s="19">
        <f>VLOOKUP(F301,[2]New!$B:$G,6,0)*K301/60</f>
        <v>96.333333333333329</v>
      </c>
      <c r="AB301" s="44">
        <f>VLOOKUP(A301,'[4]PO CAG (2)'!$A:$L,12,0)</f>
        <v>46268</v>
      </c>
      <c r="AC301" s="22" t="str">
        <f>IFERROR(VLOOKUP(F301,[3]Sheet1!$E:$H,4,0),)</f>
        <v>G</v>
      </c>
      <c r="AD301" s="144"/>
      <c r="AE301" s="25" t="s">
        <v>548</v>
      </c>
      <c r="AF301" s="135" t="s">
        <v>198</v>
      </c>
      <c r="AG301" s="135"/>
      <c r="AH301" s="135"/>
      <c r="AJ301" s="267" t="s">
        <v>189</v>
      </c>
      <c r="AN301" s="278">
        <v>3</v>
      </c>
      <c r="AO301" s="278">
        <v>3</v>
      </c>
      <c r="AP301" s="278">
        <v>3</v>
      </c>
      <c r="AQ301" s="278">
        <v>3</v>
      </c>
    </row>
    <row r="302" spans="1:43">
      <c r="A302" s="135" t="s">
        <v>2439</v>
      </c>
      <c r="B302" s="135" t="s">
        <v>2520</v>
      </c>
      <c r="C302" s="135" t="s">
        <v>2440</v>
      </c>
      <c r="D302" s="46">
        <v>11134186</v>
      </c>
      <c r="E302" s="20" t="s">
        <v>162</v>
      </c>
      <c r="F302" s="20" t="s">
        <v>163</v>
      </c>
      <c r="G302" s="24">
        <v>77</v>
      </c>
      <c r="H302" s="21">
        <v>46253</v>
      </c>
      <c r="I302" s="53" t="s">
        <v>2441</v>
      </c>
      <c r="J302" s="24" t="s">
        <v>2442</v>
      </c>
      <c r="K302" s="24">
        <v>77</v>
      </c>
      <c r="L302" s="46">
        <v>12130003</v>
      </c>
      <c r="M302" s="20" t="s">
        <v>172</v>
      </c>
      <c r="N302" s="38">
        <v>0</v>
      </c>
      <c r="O302" s="38">
        <v>0</v>
      </c>
      <c r="P302" s="20" t="s">
        <v>72</v>
      </c>
      <c r="Q302" s="20">
        <v>0</v>
      </c>
      <c r="R302" s="40">
        <v>46235</v>
      </c>
      <c r="S302" s="38">
        <v>0</v>
      </c>
      <c r="T302" s="38">
        <v>0</v>
      </c>
      <c r="U302" s="40">
        <v>46237</v>
      </c>
      <c r="V302" s="40">
        <v>46237</v>
      </c>
      <c r="W302" s="20" t="s">
        <v>57</v>
      </c>
      <c r="X302" s="21"/>
      <c r="Y302" s="19">
        <f>VLOOKUP(F302,[2]New!$B:$G,3,0)*K302/60</f>
        <v>71.86666666666666</v>
      </c>
      <c r="Z302" s="19">
        <f>VLOOKUP(F302,[2]New!$B:$G,4,0)*K302/60</f>
        <v>300.3</v>
      </c>
      <c r="AA302" s="19">
        <f>VLOOKUP(F302,[2]New!$B:$G,6,0)*K302/60</f>
        <v>370.88333333333333</v>
      </c>
      <c r="AB302" s="44">
        <f>VLOOKUP(A302,'[4]PO CAG (2)'!$A:$L,12,0)</f>
        <v>46268</v>
      </c>
      <c r="AC302" s="22" t="str">
        <f>IFERROR(VLOOKUP(F302,[3]Sheet1!$E:$H,4,0),)</f>
        <v>G</v>
      </c>
      <c r="AD302" s="144"/>
      <c r="AE302" s="25" t="s">
        <v>548</v>
      </c>
      <c r="AF302" s="135" t="s">
        <v>198</v>
      </c>
      <c r="AG302" s="135"/>
      <c r="AH302" s="135"/>
      <c r="AJ302" s="267" t="s">
        <v>189</v>
      </c>
      <c r="AN302" s="278">
        <v>3</v>
      </c>
      <c r="AO302" s="278">
        <v>3</v>
      </c>
      <c r="AP302" s="278">
        <v>3</v>
      </c>
      <c r="AQ302" s="278">
        <v>3</v>
      </c>
    </row>
    <row r="303" spans="1:43">
      <c r="A303" s="135" t="s">
        <v>2443</v>
      </c>
      <c r="B303" s="135" t="s">
        <v>2521</v>
      </c>
      <c r="C303" s="135" t="s">
        <v>2444</v>
      </c>
      <c r="D303" s="46">
        <v>11134187</v>
      </c>
      <c r="E303" s="20" t="s">
        <v>166</v>
      </c>
      <c r="F303" s="20" t="s">
        <v>167</v>
      </c>
      <c r="G303" s="24">
        <v>269</v>
      </c>
      <c r="H303" s="21">
        <v>46253</v>
      </c>
      <c r="I303" s="53" t="s">
        <v>2445</v>
      </c>
      <c r="J303" s="24" t="s">
        <v>2446</v>
      </c>
      <c r="K303" s="24">
        <v>269</v>
      </c>
      <c r="L303" s="46">
        <v>12129998</v>
      </c>
      <c r="M303" s="20" t="s">
        <v>174</v>
      </c>
      <c r="N303" s="38">
        <v>0</v>
      </c>
      <c r="O303" s="38">
        <v>0</v>
      </c>
      <c r="P303" s="20" t="s">
        <v>72</v>
      </c>
      <c r="Q303" s="20">
        <v>0</v>
      </c>
      <c r="R303" s="40">
        <v>46235</v>
      </c>
      <c r="S303" s="38">
        <v>0</v>
      </c>
      <c r="T303" s="38">
        <v>0</v>
      </c>
      <c r="U303" s="40">
        <v>46237</v>
      </c>
      <c r="V303" s="40">
        <v>46237</v>
      </c>
      <c r="W303" s="20" t="s">
        <v>57</v>
      </c>
      <c r="X303" s="21"/>
      <c r="Y303" s="19">
        <f>VLOOKUP(F303,[2]New!$B:$G,3,0)*K303/60</f>
        <v>251.06666666666666</v>
      </c>
      <c r="Z303" s="19">
        <f>VLOOKUP(F303,[2]New!$B:$G,4,0)*K303/60</f>
        <v>1049.0999999999999</v>
      </c>
      <c r="AA303" s="19">
        <f>VLOOKUP(F303,[2]New!$B:$G,6,0)*K303/60</f>
        <v>1295.6833333333334</v>
      </c>
      <c r="AB303" s="44">
        <f>VLOOKUP(A303,'[4]PO CAG (2)'!$A:$L,12,0)</f>
        <v>46268</v>
      </c>
      <c r="AC303" s="22" t="str">
        <f>IFERROR(VLOOKUP(F303,[3]Sheet1!$E:$H,4,0),)</f>
        <v>G</v>
      </c>
      <c r="AD303" s="144"/>
      <c r="AE303" s="25" t="s">
        <v>548</v>
      </c>
      <c r="AF303" s="135" t="s">
        <v>198</v>
      </c>
      <c r="AG303" s="135"/>
      <c r="AH303" s="135"/>
      <c r="AJ303" s="267" t="s">
        <v>189</v>
      </c>
      <c r="AN303" s="278">
        <v>3</v>
      </c>
      <c r="AO303" s="278">
        <v>3</v>
      </c>
      <c r="AP303" s="278">
        <v>3</v>
      </c>
      <c r="AQ303" s="278">
        <v>3</v>
      </c>
    </row>
    <row r="304" spans="1:43">
      <c r="A304" s="135" t="s">
        <v>2447</v>
      </c>
      <c r="B304" s="135" t="s">
        <v>2522</v>
      </c>
      <c r="C304" s="135" t="s">
        <v>2448</v>
      </c>
      <c r="D304" s="46">
        <v>11134209</v>
      </c>
      <c r="E304" s="20" t="s">
        <v>2449</v>
      </c>
      <c r="F304" s="20" t="s">
        <v>2450</v>
      </c>
      <c r="G304" s="24">
        <v>60</v>
      </c>
      <c r="H304" s="21">
        <v>46253</v>
      </c>
      <c r="I304" s="53" t="s">
        <v>2451</v>
      </c>
      <c r="J304" s="24" t="s">
        <v>2452</v>
      </c>
      <c r="K304" s="24">
        <v>60</v>
      </c>
      <c r="L304" s="46">
        <v>12130362</v>
      </c>
      <c r="M304" s="20" t="s">
        <v>2462</v>
      </c>
      <c r="N304" s="38">
        <v>0</v>
      </c>
      <c r="O304" s="38">
        <v>0</v>
      </c>
      <c r="P304" s="20" t="s">
        <v>72</v>
      </c>
      <c r="Q304" s="20">
        <v>0</v>
      </c>
      <c r="R304" s="40">
        <v>46235</v>
      </c>
      <c r="S304" s="38">
        <v>0</v>
      </c>
      <c r="T304" s="38">
        <v>0</v>
      </c>
      <c r="U304" s="40">
        <v>46237</v>
      </c>
      <c r="V304" s="40">
        <v>46237</v>
      </c>
      <c r="W304" s="20" t="s">
        <v>57</v>
      </c>
      <c r="X304" s="21"/>
      <c r="Y304" s="19">
        <f>VLOOKUP(F304,[2]New!$B:$G,3,0)*K304/60</f>
        <v>56</v>
      </c>
      <c r="Z304" s="19">
        <f>VLOOKUP(F304,[2]New!$B:$G,4,0)*K304/60</f>
        <v>234</v>
      </c>
      <c r="AA304" s="19">
        <f>VLOOKUP(F304,[2]New!$B:$G,6,0)*K304/60</f>
        <v>289</v>
      </c>
      <c r="AB304" s="44">
        <f>VLOOKUP(A304,'[4]PO CAG (2)'!$A:$L,12,0)</f>
        <v>46268</v>
      </c>
      <c r="AC304" s="22" t="str">
        <f>IFERROR(VLOOKUP(F304,[3]Sheet1!$E:$H,4,0),)</f>
        <v>G</v>
      </c>
      <c r="AD304" s="144"/>
      <c r="AE304" s="25" t="s">
        <v>548</v>
      </c>
      <c r="AF304" s="135" t="s">
        <v>198</v>
      </c>
      <c r="AG304" s="135"/>
      <c r="AH304" s="135"/>
      <c r="AJ304" s="267" t="s">
        <v>189</v>
      </c>
      <c r="AN304" s="278">
        <v>3</v>
      </c>
      <c r="AO304" s="278">
        <v>3</v>
      </c>
      <c r="AP304" s="278">
        <v>3</v>
      </c>
      <c r="AQ304" s="278">
        <v>3</v>
      </c>
    </row>
    <row r="305" spans="1:43">
      <c r="A305" s="135" t="s">
        <v>2453</v>
      </c>
      <c r="B305" s="135" t="s">
        <v>2523</v>
      </c>
      <c r="C305" s="135" t="s">
        <v>2454</v>
      </c>
      <c r="D305" s="46">
        <v>11134211</v>
      </c>
      <c r="E305" s="20" t="s">
        <v>2455</v>
      </c>
      <c r="F305" s="20" t="s">
        <v>2456</v>
      </c>
      <c r="G305" s="24">
        <v>10</v>
      </c>
      <c r="H305" s="21">
        <v>46253</v>
      </c>
      <c r="I305" s="53" t="s">
        <v>2457</v>
      </c>
      <c r="J305" s="24" t="s">
        <v>2458</v>
      </c>
      <c r="K305" s="24">
        <v>10</v>
      </c>
      <c r="L305" s="46">
        <v>12130364</v>
      </c>
      <c r="M305" s="20" t="s">
        <v>2463</v>
      </c>
      <c r="N305" s="38">
        <v>0</v>
      </c>
      <c r="O305" s="38">
        <v>0</v>
      </c>
      <c r="P305" s="20" t="s">
        <v>72</v>
      </c>
      <c r="Q305" s="20">
        <v>0</v>
      </c>
      <c r="R305" s="40">
        <v>46235</v>
      </c>
      <c r="S305" s="38">
        <v>0</v>
      </c>
      <c r="T305" s="38">
        <v>0</v>
      </c>
      <c r="U305" s="40">
        <v>46237</v>
      </c>
      <c r="V305" s="40">
        <v>46237</v>
      </c>
      <c r="W305" s="20" t="s">
        <v>57</v>
      </c>
      <c r="X305" s="21"/>
      <c r="Y305" s="19">
        <f>VLOOKUP(F305,[2]New!$B:$G,3,0)*K305/60</f>
        <v>9.3333333333333339</v>
      </c>
      <c r="Z305" s="19">
        <f>VLOOKUP(F305,[2]New!$B:$G,4,0)*K305/60</f>
        <v>39</v>
      </c>
      <c r="AA305" s="19">
        <f>VLOOKUP(F305,[2]New!$B:$G,6,0)*K305/60</f>
        <v>48.166666666666664</v>
      </c>
      <c r="AB305" s="44">
        <f>VLOOKUP(A305,'[4]PO CAG (2)'!$A:$L,12,0)</f>
        <v>46268</v>
      </c>
      <c r="AC305" s="22" t="str">
        <f>IFERROR(VLOOKUP(F305,[3]Sheet1!$E:$H,4,0),)</f>
        <v>G</v>
      </c>
      <c r="AD305" s="144"/>
      <c r="AE305" s="25" t="s">
        <v>548</v>
      </c>
      <c r="AF305" s="135" t="s">
        <v>198</v>
      </c>
      <c r="AG305" s="135"/>
      <c r="AH305" s="135"/>
      <c r="AJ305" s="267" t="s">
        <v>189</v>
      </c>
      <c r="AN305" s="278">
        <v>3</v>
      </c>
      <c r="AO305" s="278">
        <v>3</v>
      </c>
      <c r="AP305" s="278">
        <v>3</v>
      </c>
      <c r="AQ305" s="278">
        <v>3</v>
      </c>
    </row>
    <row r="306" spans="1:43">
      <c r="A306" s="135" t="s">
        <v>2638</v>
      </c>
      <c r="B306" s="135" t="s">
        <v>2916</v>
      </c>
      <c r="C306" s="135" t="s">
        <v>2639</v>
      </c>
      <c r="D306" s="46">
        <v>11134246</v>
      </c>
      <c r="E306" s="20" t="s">
        <v>175</v>
      </c>
      <c r="F306" s="20" t="s">
        <v>176</v>
      </c>
      <c r="G306" s="24">
        <v>130</v>
      </c>
      <c r="H306" s="21">
        <v>46254</v>
      </c>
      <c r="I306" s="53" t="s">
        <v>2640</v>
      </c>
      <c r="J306" s="24" t="s">
        <v>2641</v>
      </c>
      <c r="K306" s="24">
        <v>166</v>
      </c>
      <c r="L306" s="46">
        <v>12129252</v>
      </c>
      <c r="M306" s="20" t="s">
        <v>183</v>
      </c>
      <c r="N306" s="38">
        <v>0</v>
      </c>
      <c r="O306" s="38">
        <v>30</v>
      </c>
      <c r="P306" s="20" t="s">
        <v>72</v>
      </c>
      <c r="Q306" s="20">
        <v>0</v>
      </c>
      <c r="R306" s="40">
        <v>46238</v>
      </c>
      <c r="S306" s="38">
        <v>3</v>
      </c>
      <c r="T306" s="38">
        <v>3</v>
      </c>
      <c r="U306" s="40">
        <v>46239</v>
      </c>
      <c r="V306" s="40">
        <v>46239</v>
      </c>
      <c r="W306" s="20" t="s">
        <v>54</v>
      </c>
      <c r="X306" s="21"/>
      <c r="Y306" s="19">
        <f>VLOOKUP(F306,[2]New!$B:$G,3,0)*K306/60</f>
        <v>149.4</v>
      </c>
      <c r="Z306" s="19">
        <f>VLOOKUP(F306,[2]New!$B:$G,4,0)*K306/60</f>
        <v>373.5</v>
      </c>
      <c r="AA306" s="19">
        <f>VLOOKUP(F306,[2]New!$B:$G,6,0)*K306/60</f>
        <v>371.28666666666663</v>
      </c>
      <c r="AB306" s="44">
        <f>VLOOKUP(A306,'[4]PO CAG (2)'!$A:$L,12,0)</f>
        <v>46268</v>
      </c>
      <c r="AC306" s="22" t="str">
        <f>IFERROR(VLOOKUP(F306,[3]Sheet1!$E:$H,4,0),)</f>
        <v>H</v>
      </c>
      <c r="AD306" s="144"/>
      <c r="AE306" s="25" t="s">
        <v>5364</v>
      </c>
      <c r="AF306" s="135" t="s">
        <v>198</v>
      </c>
      <c r="AG306" s="135"/>
      <c r="AH306" s="135"/>
      <c r="AJ306" s="267" t="s">
        <v>152</v>
      </c>
      <c r="AN306" s="278">
        <v>3</v>
      </c>
      <c r="AO306" s="278">
        <v>3</v>
      </c>
      <c r="AP306" s="278">
        <v>3</v>
      </c>
      <c r="AQ306" s="278">
        <v>3</v>
      </c>
    </row>
    <row r="307" spans="1:43">
      <c r="A307" s="135" t="s">
        <v>2642</v>
      </c>
      <c r="B307" s="135" t="s">
        <v>2917</v>
      </c>
      <c r="C307" s="135" t="s">
        <v>2643</v>
      </c>
      <c r="D307" s="46">
        <v>11134247</v>
      </c>
      <c r="E307" s="20" t="s">
        <v>177</v>
      </c>
      <c r="F307" s="20" t="s">
        <v>178</v>
      </c>
      <c r="G307" s="24">
        <v>183</v>
      </c>
      <c r="H307" s="21">
        <v>46254</v>
      </c>
      <c r="I307" s="53" t="s">
        <v>2644</v>
      </c>
      <c r="J307" s="24" t="s">
        <v>2645</v>
      </c>
      <c r="K307" s="24">
        <v>183</v>
      </c>
      <c r="L307" s="46">
        <v>12129253</v>
      </c>
      <c r="M307" s="20" t="s">
        <v>184</v>
      </c>
      <c r="N307" s="38">
        <v>0</v>
      </c>
      <c r="O307" s="38">
        <v>0</v>
      </c>
      <c r="P307" s="20" t="s">
        <v>72</v>
      </c>
      <c r="Q307" s="20">
        <v>0</v>
      </c>
      <c r="R307" s="40">
        <v>46238</v>
      </c>
      <c r="S307" s="38">
        <v>0</v>
      </c>
      <c r="T307" s="38">
        <v>0</v>
      </c>
      <c r="U307" s="40">
        <v>46239</v>
      </c>
      <c r="V307" s="40">
        <v>46239</v>
      </c>
      <c r="W307" s="20" t="s">
        <v>54</v>
      </c>
      <c r="X307" s="21"/>
      <c r="Y307" s="19">
        <f>VLOOKUP(F307,[2]New!$B:$G,3,0)*K307/60</f>
        <v>164.7</v>
      </c>
      <c r="Z307" s="19">
        <f>VLOOKUP(F307,[2]New!$B:$G,4,0)*K307/60</f>
        <v>411.75</v>
      </c>
      <c r="AA307" s="19">
        <f>VLOOKUP(F307,[2]New!$B:$G,6,0)*K307/60</f>
        <v>409.31</v>
      </c>
      <c r="AB307" s="44">
        <f>VLOOKUP(A307,'[4]PO CAG (2)'!$A:$L,12,0)</f>
        <v>46268</v>
      </c>
      <c r="AC307" s="22" t="str">
        <f>IFERROR(VLOOKUP(F307,[3]Sheet1!$E:$H,4,0),)</f>
        <v>H</v>
      </c>
      <c r="AD307" s="144"/>
      <c r="AE307" s="25" t="s">
        <v>5364</v>
      </c>
      <c r="AF307" s="135" t="s">
        <v>198</v>
      </c>
      <c r="AG307" s="135"/>
      <c r="AH307" s="135"/>
      <c r="AJ307" s="267" t="s">
        <v>152</v>
      </c>
      <c r="AN307" s="278">
        <v>3</v>
      </c>
      <c r="AO307" s="278">
        <v>3</v>
      </c>
      <c r="AP307" s="278">
        <v>3</v>
      </c>
      <c r="AQ307" s="278">
        <v>3</v>
      </c>
    </row>
    <row r="308" spans="1:43">
      <c r="A308" s="135" t="s">
        <v>2646</v>
      </c>
      <c r="B308" s="135" t="s">
        <v>2918</v>
      </c>
      <c r="C308" s="135" t="s">
        <v>2647</v>
      </c>
      <c r="D308" s="46">
        <v>11134562</v>
      </c>
      <c r="E308" s="20" t="s">
        <v>263</v>
      </c>
      <c r="F308" s="20" t="s">
        <v>264</v>
      </c>
      <c r="G308" s="24">
        <v>1000</v>
      </c>
      <c r="H308" s="21">
        <v>46254</v>
      </c>
      <c r="I308" s="53" t="s">
        <v>2648</v>
      </c>
      <c r="J308" s="24" t="s">
        <v>2649</v>
      </c>
      <c r="K308" s="24">
        <v>1033</v>
      </c>
      <c r="L308" s="46">
        <v>12129258</v>
      </c>
      <c r="M308" s="20" t="s">
        <v>265</v>
      </c>
      <c r="N308" s="38">
        <v>0</v>
      </c>
      <c r="O308" s="38">
        <v>30</v>
      </c>
      <c r="P308" s="20" t="s">
        <v>72</v>
      </c>
      <c r="Q308" s="20">
        <v>0</v>
      </c>
      <c r="R308" s="40">
        <v>46238</v>
      </c>
      <c r="S308" s="38">
        <v>0</v>
      </c>
      <c r="T308" s="38">
        <v>3</v>
      </c>
      <c r="U308" s="40">
        <v>46239</v>
      </c>
      <c r="V308" s="40">
        <v>46239</v>
      </c>
      <c r="W308" s="20" t="s">
        <v>54</v>
      </c>
      <c r="X308" s="21"/>
      <c r="Y308" s="19">
        <f>VLOOKUP(F308,[2]New!$B:$G,3,0)*K308/60</f>
        <v>964.13333333333333</v>
      </c>
      <c r="Z308" s="19">
        <f>VLOOKUP(F308,[2]New!$B:$G,4,0)*K308/60</f>
        <v>4028.7</v>
      </c>
      <c r="AA308" s="19">
        <f>VLOOKUP(F308,[2]New!$B:$G,6,0)*K308/60</f>
        <v>4975.6166666666668</v>
      </c>
      <c r="AB308" s="44">
        <f>VLOOKUP(A308,'[4]PO CAG (2)'!$A:$L,12,0)</f>
        <v>46268</v>
      </c>
      <c r="AC308" s="22" t="str">
        <f>IFERROR(VLOOKUP(F308,[3]Sheet1!$E:$H,4,0),)</f>
        <v>H</v>
      </c>
      <c r="AD308" s="144"/>
      <c r="AE308" s="25" t="s">
        <v>5365</v>
      </c>
      <c r="AF308" s="135" t="s">
        <v>198</v>
      </c>
      <c r="AG308" s="135"/>
      <c r="AH308" s="135"/>
      <c r="AJ308" s="267" t="s">
        <v>152</v>
      </c>
      <c r="AN308" s="278">
        <v>1</v>
      </c>
      <c r="AO308" s="278">
        <v>1</v>
      </c>
      <c r="AP308" s="278">
        <v>1</v>
      </c>
      <c r="AQ308" s="278">
        <v>1</v>
      </c>
    </row>
    <row r="309" spans="1:43">
      <c r="A309" s="135" t="s">
        <v>2650</v>
      </c>
      <c r="B309" s="135" t="s">
        <v>2865</v>
      </c>
      <c r="C309" s="135" t="s">
        <v>2651</v>
      </c>
      <c r="D309" s="46">
        <v>11122087</v>
      </c>
      <c r="E309" s="20" t="s">
        <v>196</v>
      </c>
      <c r="F309" s="20" t="s">
        <v>197</v>
      </c>
      <c r="G309" s="24">
        <v>186</v>
      </c>
      <c r="H309" s="21">
        <v>46248</v>
      </c>
      <c r="I309" s="53" t="s">
        <v>2652</v>
      </c>
      <c r="J309" s="24" t="s">
        <v>2653</v>
      </c>
      <c r="K309" s="24">
        <v>189</v>
      </c>
      <c r="L309" s="46">
        <v>12129626</v>
      </c>
      <c r="M309" s="20" t="s">
        <v>96</v>
      </c>
      <c r="N309" s="38">
        <v>0</v>
      </c>
      <c r="O309" s="38">
        <v>0</v>
      </c>
      <c r="P309" s="20" t="s">
        <v>94</v>
      </c>
      <c r="Q309" s="20">
        <v>3</v>
      </c>
      <c r="R309" s="40">
        <v>46238</v>
      </c>
      <c r="S309" s="38">
        <v>0</v>
      </c>
      <c r="T309" s="38">
        <v>0</v>
      </c>
      <c r="U309" s="40">
        <v>46239</v>
      </c>
      <c r="V309" s="40">
        <v>46239</v>
      </c>
      <c r="W309" s="20" t="s">
        <v>54</v>
      </c>
      <c r="X309" s="21"/>
      <c r="Y309" s="19">
        <f>VLOOKUP(F309,[2]New!$B:$G,3,0)*K309/60</f>
        <v>170.1</v>
      </c>
      <c r="Z309" s="19">
        <f>VLOOKUP(F309,[2]New!$B:$G,4,0)*K309/60</f>
        <v>425.25</v>
      </c>
      <c r="AA309" s="19">
        <f>VLOOKUP(F309,[2]New!$B:$G,6,0)*K309/60</f>
        <v>422.72999999999996</v>
      </c>
      <c r="AB309" s="44">
        <f>VLOOKUP(A309,'[4]PO CAG (2)'!$A:$L,12,0)</f>
        <v>46276</v>
      </c>
      <c r="AC309" s="22">
        <f>IFERROR(VLOOKUP(F309,[3]Sheet1!$E:$H,4,0),)</f>
        <v>0</v>
      </c>
      <c r="AD309" s="144">
        <v>186</v>
      </c>
      <c r="AE309" s="25" t="s">
        <v>3023</v>
      </c>
      <c r="AF309" s="135" t="s">
        <v>199</v>
      </c>
      <c r="AG309" s="135"/>
      <c r="AH309" s="135"/>
      <c r="AI309" s="23">
        <v>3</v>
      </c>
      <c r="AJ309" s="267" t="s">
        <v>187</v>
      </c>
      <c r="AN309" s="278">
        <v>3</v>
      </c>
      <c r="AO309" s="278">
        <v>3</v>
      </c>
      <c r="AP309" s="278">
        <v>3</v>
      </c>
      <c r="AQ309" s="278">
        <v>3</v>
      </c>
    </row>
    <row r="310" spans="1:43">
      <c r="A310" s="135" t="s">
        <v>2654</v>
      </c>
      <c r="B310" s="135" t="s">
        <v>2866</v>
      </c>
      <c r="C310" s="135" t="s">
        <v>2655</v>
      </c>
      <c r="D310" s="46">
        <v>11122088</v>
      </c>
      <c r="E310" s="20" t="s">
        <v>194</v>
      </c>
      <c r="F310" s="20" t="s">
        <v>195</v>
      </c>
      <c r="G310" s="24">
        <v>70</v>
      </c>
      <c r="H310" s="21">
        <v>46248</v>
      </c>
      <c r="I310" s="53" t="s">
        <v>2656</v>
      </c>
      <c r="J310" s="24" t="s">
        <v>2657</v>
      </c>
      <c r="K310" s="24">
        <v>70</v>
      </c>
      <c r="L310" s="46">
        <v>12129627</v>
      </c>
      <c r="M310" s="20" t="s">
        <v>95</v>
      </c>
      <c r="N310" s="38">
        <v>0</v>
      </c>
      <c r="O310" s="38">
        <v>0</v>
      </c>
      <c r="P310" s="20" t="s">
        <v>94</v>
      </c>
      <c r="Q310" s="20">
        <v>0</v>
      </c>
      <c r="R310" s="40">
        <v>46238</v>
      </c>
      <c r="S310" s="38">
        <v>0</v>
      </c>
      <c r="T310" s="38">
        <v>0</v>
      </c>
      <c r="U310" s="40">
        <v>46239</v>
      </c>
      <c r="V310" s="40">
        <v>46239</v>
      </c>
      <c r="W310" s="20" t="s">
        <v>54</v>
      </c>
      <c r="X310" s="21"/>
      <c r="Y310" s="19">
        <f>VLOOKUP(F310,[2]New!$B:$G,3,0)*K310/60</f>
        <v>63</v>
      </c>
      <c r="Z310" s="19">
        <f>VLOOKUP(F310,[2]New!$B:$G,4,0)*K310/60</f>
        <v>157.5</v>
      </c>
      <c r="AA310" s="19">
        <f>VLOOKUP(F310,[2]New!$B:$G,6,0)*K310/60</f>
        <v>156.56666666666666</v>
      </c>
      <c r="AB310" s="44">
        <f>VLOOKUP(A310,'[4]PO CAG (2)'!$A:$L,12,0)</f>
        <v>46276</v>
      </c>
      <c r="AC310" s="22">
        <f>IFERROR(VLOOKUP(F310,[3]Sheet1!$E:$H,4,0),)</f>
        <v>0</v>
      </c>
      <c r="AD310" s="144">
        <v>70</v>
      </c>
      <c r="AE310" s="25" t="s">
        <v>3023</v>
      </c>
      <c r="AF310" s="135" t="s">
        <v>199</v>
      </c>
      <c r="AG310" s="135"/>
      <c r="AH310" s="135"/>
      <c r="AI310" s="23">
        <v>0</v>
      </c>
      <c r="AJ310" s="267" t="s">
        <v>187</v>
      </c>
      <c r="AN310" s="278">
        <v>3</v>
      </c>
      <c r="AO310" s="278">
        <v>3</v>
      </c>
      <c r="AP310" s="278">
        <v>3</v>
      </c>
      <c r="AQ310" s="278">
        <v>3</v>
      </c>
    </row>
    <row r="311" spans="1:43">
      <c r="A311" s="135" t="s">
        <v>2658</v>
      </c>
      <c r="B311" s="135" t="s">
        <v>2867</v>
      </c>
      <c r="C311" s="135" t="s">
        <v>2659</v>
      </c>
      <c r="D311" s="46">
        <v>11131259</v>
      </c>
      <c r="E311" s="20" t="s">
        <v>500</v>
      </c>
      <c r="F311" s="20" t="s">
        <v>501</v>
      </c>
      <c r="G311" s="24">
        <v>37</v>
      </c>
      <c r="H311" s="21">
        <v>46248</v>
      </c>
      <c r="I311" s="53" t="s">
        <v>2660</v>
      </c>
      <c r="J311" s="24" t="s">
        <v>2661</v>
      </c>
      <c r="K311" s="24">
        <v>37</v>
      </c>
      <c r="L311" s="46">
        <v>12120625</v>
      </c>
      <c r="M311" s="20" t="s">
        <v>507</v>
      </c>
      <c r="N311" s="38">
        <v>0</v>
      </c>
      <c r="O311" s="38">
        <v>0</v>
      </c>
      <c r="P311" s="20" t="s">
        <v>469</v>
      </c>
      <c r="Q311" s="20">
        <v>0</v>
      </c>
      <c r="R311" s="40">
        <v>46238</v>
      </c>
      <c r="S311" s="38">
        <v>0</v>
      </c>
      <c r="T311" s="38">
        <v>0</v>
      </c>
      <c r="U311" s="40">
        <v>46239</v>
      </c>
      <c r="V311" s="40">
        <v>46239</v>
      </c>
      <c r="W311" s="20" t="s">
        <v>54</v>
      </c>
      <c r="X311" s="21"/>
      <c r="Y311" s="19">
        <f>VLOOKUP(F311,[2]New!$B:$G,3,0)*K311/60</f>
        <v>33.299999999999997</v>
      </c>
      <c r="Z311" s="19">
        <f>VLOOKUP(F311,[2]New!$B:$G,4,0)*K311/60</f>
        <v>83.25</v>
      </c>
      <c r="AA311" s="19">
        <f>VLOOKUP(F311,[2]New!$B:$G,6,0)*K311/60</f>
        <v>106.06666666666666</v>
      </c>
      <c r="AB311" s="44">
        <f>VLOOKUP(A311,'[4]PO CAG (2)'!$A:$L,12,0)</f>
        <v>46251</v>
      </c>
      <c r="AC311" s="22">
        <f>IFERROR(VLOOKUP(F311,[3]Sheet1!$E:$H,4,0),)</f>
        <v>0</v>
      </c>
      <c r="AD311" s="144">
        <v>37</v>
      </c>
      <c r="AE311" s="25" t="s">
        <v>3023</v>
      </c>
      <c r="AF311" s="135" t="s">
        <v>112</v>
      </c>
      <c r="AG311" s="135"/>
      <c r="AH311" s="135"/>
      <c r="AI311" s="23">
        <v>0</v>
      </c>
      <c r="AJ311" s="267" t="s">
        <v>444</v>
      </c>
      <c r="AN311" s="278">
        <v>2</v>
      </c>
      <c r="AO311" s="278">
        <v>2</v>
      </c>
      <c r="AP311" s="278" t="s">
        <v>113</v>
      </c>
      <c r="AQ311" s="278" t="s">
        <v>113</v>
      </c>
    </row>
    <row r="312" spans="1:43">
      <c r="A312" s="135" t="s">
        <v>2662</v>
      </c>
      <c r="B312" s="135" t="s">
        <v>2868</v>
      </c>
      <c r="C312" s="135" t="s">
        <v>2663</v>
      </c>
      <c r="D312" s="46">
        <v>11126311</v>
      </c>
      <c r="E312" s="20" t="s">
        <v>2664</v>
      </c>
      <c r="F312" s="20" t="s">
        <v>745</v>
      </c>
      <c r="G312" s="24">
        <v>1</v>
      </c>
      <c r="H312" s="21">
        <v>46248</v>
      </c>
      <c r="I312" s="53" t="s">
        <v>2665</v>
      </c>
      <c r="J312" s="24" t="s">
        <v>2666</v>
      </c>
      <c r="K312" s="24">
        <v>1</v>
      </c>
      <c r="L312" s="46">
        <v>12132457</v>
      </c>
      <c r="M312" s="20" t="s">
        <v>2695</v>
      </c>
      <c r="N312" s="38">
        <v>0</v>
      </c>
      <c r="O312" s="38">
        <v>0</v>
      </c>
      <c r="P312" s="20" t="s">
        <v>469</v>
      </c>
      <c r="Q312" s="20">
        <v>0</v>
      </c>
      <c r="R312" s="40">
        <v>46238</v>
      </c>
      <c r="S312" s="38">
        <v>0</v>
      </c>
      <c r="T312" s="38">
        <v>0</v>
      </c>
      <c r="U312" s="40">
        <v>46239</v>
      </c>
      <c r="V312" s="40">
        <v>46239</v>
      </c>
      <c r="W312" s="20" t="s">
        <v>54</v>
      </c>
      <c r="X312" s="21"/>
      <c r="Y312" s="19">
        <f>VLOOKUP(F312,[2]New!$B:$G,3,0)*K312/60</f>
        <v>0.93333333333333335</v>
      </c>
      <c r="Z312" s="19">
        <f>VLOOKUP(F312,[2]New!$B:$G,4,0)*K312/60</f>
        <v>3.9</v>
      </c>
      <c r="AA312" s="19">
        <f>VLOOKUP(F312,[2]New!$B:$G,6,0)*K312/60</f>
        <v>4.8166666666666664</v>
      </c>
      <c r="AB312" s="44">
        <f>VLOOKUP(A312,'[4]PO CAG (2)'!$A:$L,12,0)</f>
        <v>46251</v>
      </c>
      <c r="AC312" s="22">
        <f>IFERROR(VLOOKUP(F312,[3]Sheet1!$E:$H,4,0),)</f>
        <v>0</v>
      </c>
      <c r="AD312" s="144">
        <v>1</v>
      </c>
      <c r="AE312" s="25" t="s">
        <v>3023</v>
      </c>
      <c r="AF312" s="135" t="s">
        <v>199</v>
      </c>
      <c r="AG312" s="135"/>
      <c r="AH312" s="135"/>
      <c r="AI312" s="23">
        <v>0</v>
      </c>
      <c r="AJ312" s="267" t="s">
        <v>187</v>
      </c>
      <c r="AN312" s="278">
        <v>1</v>
      </c>
      <c r="AO312" s="278">
        <v>1</v>
      </c>
      <c r="AP312" s="278">
        <v>1</v>
      </c>
      <c r="AQ312" s="278">
        <v>1</v>
      </c>
    </row>
    <row r="313" spans="1:43">
      <c r="A313" s="135" t="s">
        <v>2667</v>
      </c>
      <c r="B313" s="135" t="s">
        <v>2869</v>
      </c>
      <c r="C313" s="135" t="s">
        <v>2668</v>
      </c>
      <c r="D313" s="46">
        <v>11131954</v>
      </c>
      <c r="E313" s="20" t="s">
        <v>2669</v>
      </c>
      <c r="F313" s="20" t="s">
        <v>521</v>
      </c>
      <c r="G313" s="24">
        <v>3</v>
      </c>
      <c r="H313" s="21">
        <v>46248</v>
      </c>
      <c r="I313" s="53" t="s">
        <v>2670</v>
      </c>
      <c r="J313" s="24" t="s">
        <v>2671</v>
      </c>
      <c r="K313" s="24">
        <v>3</v>
      </c>
      <c r="L313" s="46">
        <v>12132619</v>
      </c>
      <c r="M313" s="20" t="s">
        <v>2696</v>
      </c>
      <c r="N313" s="38">
        <v>0</v>
      </c>
      <c r="O313" s="38">
        <v>0</v>
      </c>
      <c r="P313" s="20" t="s">
        <v>469</v>
      </c>
      <c r="Q313" s="20">
        <v>0</v>
      </c>
      <c r="R313" s="40">
        <v>46238</v>
      </c>
      <c r="S313" s="38">
        <v>0</v>
      </c>
      <c r="T313" s="38">
        <v>0</v>
      </c>
      <c r="U313" s="40">
        <v>46239</v>
      </c>
      <c r="V313" s="40">
        <v>46239</v>
      </c>
      <c r="W313" s="20" t="s">
        <v>54</v>
      </c>
      <c r="X313" s="21"/>
      <c r="Y313" s="19">
        <f>VLOOKUP(F313,[2]New!$B:$G,3,0)*K313/60</f>
        <v>2.8</v>
      </c>
      <c r="Z313" s="19">
        <f>VLOOKUP(F313,[2]New!$B:$G,4,0)*K313/60</f>
        <v>11.7</v>
      </c>
      <c r="AA313" s="19">
        <f>VLOOKUP(F313,[2]New!$B:$G,6,0)*K313/60</f>
        <v>14.45</v>
      </c>
      <c r="AB313" s="44">
        <f>VLOOKUP(A313,'[4]PO CAG (2)'!$A:$L,12,0)</f>
        <v>46251</v>
      </c>
      <c r="AC313" s="22">
        <f>IFERROR(VLOOKUP(F313,[3]Sheet1!$E:$H,4,0),)</f>
        <v>0</v>
      </c>
      <c r="AD313" s="144">
        <v>3</v>
      </c>
      <c r="AE313" s="25" t="s">
        <v>3023</v>
      </c>
      <c r="AF313" s="135" t="s">
        <v>199</v>
      </c>
      <c r="AG313" s="135"/>
      <c r="AH313" s="135"/>
      <c r="AI313" s="23">
        <v>0</v>
      </c>
      <c r="AJ313" s="267" t="s">
        <v>187</v>
      </c>
      <c r="AN313" s="278">
        <v>1</v>
      </c>
      <c r="AO313" s="278">
        <v>1</v>
      </c>
      <c r="AP313" s="278">
        <v>1</v>
      </c>
      <c r="AQ313" s="278">
        <v>1</v>
      </c>
    </row>
    <row r="314" spans="1:43">
      <c r="A314" s="135" t="s">
        <v>2672</v>
      </c>
      <c r="B314" s="135" t="s">
        <v>2870</v>
      </c>
      <c r="C314" s="135" t="s">
        <v>2673</v>
      </c>
      <c r="D314" s="46">
        <v>11132001</v>
      </c>
      <c r="E314" s="20" t="s">
        <v>222</v>
      </c>
      <c r="F314" s="20" t="s">
        <v>522</v>
      </c>
      <c r="G314" s="24">
        <v>13</v>
      </c>
      <c r="H314" s="21">
        <v>46248</v>
      </c>
      <c r="I314" s="53" t="s">
        <v>2674</v>
      </c>
      <c r="J314" s="24" t="s">
        <v>2675</v>
      </c>
      <c r="K314" s="24">
        <v>13</v>
      </c>
      <c r="L314" s="46">
        <v>12120522</v>
      </c>
      <c r="M314" s="20" t="s">
        <v>230</v>
      </c>
      <c r="N314" s="38">
        <v>0</v>
      </c>
      <c r="O314" s="38">
        <v>0</v>
      </c>
      <c r="P314" s="20" t="s">
        <v>372</v>
      </c>
      <c r="Q314" s="20">
        <v>0</v>
      </c>
      <c r="R314" s="40">
        <v>46238</v>
      </c>
      <c r="S314" s="38">
        <v>0</v>
      </c>
      <c r="T314" s="38">
        <v>0</v>
      </c>
      <c r="U314" s="40">
        <v>46239</v>
      </c>
      <c r="V314" s="40">
        <v>46239</v>
      </c>
      <c r="W314" s="20" t="s">
        <v>54</v>
      </c>
      <c r="X314" s="21"/>
      <c r="Y314" s="19">
        <f>VLOOKUP(F314,[2]New!$B:$G,3,0)*K314/60</f>
        <v>8.6666666666666661</v>
      </c>
      <c r="Z314" s="19">
        <f>VLOOKUP(F314,[2]New!$B:$G,4,0)*K314/60</f>
        <v>34.666666666666664</v>
      </c>
      <c r="AA314" s="19">
        <f>VLOOKUP(F314,[2]New!$B:$G,6,0)*K314/60</f>
        <v>35.966666666666669</v>
      </c>
      <c r="AB314" s="44">
        <f>VLOOKUP(A314,'[4]PO CAG (2)'!$A:$L,12,0)</f>
        <v>46251</v>
      </c>
      <c r="AC314" s="22">
        <f>IFERROR(VLOOKUP(F314,[3]Sheet1!$E:$H,4,0),)</f>
        <v>0</v>
      </c>
      <c r="AD314" s="144">
        <v>13</v>
      </c>
      <c r="AE314" s="25" t="s">
        <v>3023</v>
      </c>
      <c r="AF314" s="135" t="s">
        <v>199</v>
      </c>
      <c r="AG314" s="135"/>
      <c r="AH314" s="135"/>
      <c r="AI314" s="23">
        <v>0</v>
      </c>
      <c r="AJ314" s="267" t="s">
        <v>187</v>
      </c>
      <c r="AN314" s="278">
        <v>1</v>
      </c>
      <c r="AO314" s="278">
        <v>1</v>
      </c>
      <c r="AP314" s="278">
        <v>1</v>
      </c>
      <c r="AQ314" s="278">
        <v>1</v>
      </c>
    </row>
    <row r="315" spans="1:43">
      <c r="A315" s="135" t="s">
        <v>2676</v>
      </c>
      <c r="B315" s="135" t="s">
        <v>2871</v>
      </c>
      <c r="C315" s="135" t="s">
        <v>2677</v>
      </c>
      <c r="D315" s="46">
        <v>11134361</v>
      </c>
      <c r="E315" s="20" t="s">
        <v>525</v>
      </c>
      <c r="F315" s="20" t="s">
        <v>526</v>
      </c>
      <c r="G315" s="24">
        <v>5</v>
      </c>
      <c r="H315" s="21">
        <v>46248</v>
      </c>
      <c r="I315" s="53" t="s">
        <v>2678</v>
      </c>
      <c r="J315" s="24" t="s">
        <v>2679</v>
      </c>
      <c r="K315" s="24">
        <v>5</v>
      </c>
      <c r="L315" s="46">
        <v>12120523</v>
      </c>
      <c r="M315" s="20" t="s">
        <v>231</v>
      </c>
      <c r="N315" s="38">
        <v>0</v>
      </c>
      <c r="O315" s="38">
        <v>0</v>
      </c>
      <c r="P315" s="20" t="s">
        <v>372</v>
      </c>
      <c r="Q315" s="20">
        <v>0</v>
      </c>
      <c r="R315" s="40">
        <v>46238</v>
      </c>
      <c r="S315" s="38">
        <v>0</v>
      </c>
      <c r="T315" s="38">
        <v>0</v>
      </c>
      <c r="U315" s="40">
        <v>46239</v>
      </c>
      <c r="V315" s="40">
        <v>46239</v>
      </c>
      <c r="W315" s="20" t="s">
        <v>54</v>
      </c>
      <c r="X315" s="21"/>
      <c r="Y315" s="19">
        <f>VLOOKUP(F315,[2]New!$B:$G,3,0)*K315/60</f>
        <v>1.8333333333333333</v>
      </c>
      <c r="Z315" s="19">
        <f>VLOOKUP(F315,[2]New!$B:$G,4,0)*K315/60</f>
        <v>9.8249999999999993</v>
      </c>
      <c r="AA315" s="19">
        <f>VLOOKUP(F315,[2]New!$B:$G,6,0)*K315/60</f>
        <v>9.5833333333333339</v>
      </c>
      <c r="AB315" s="44">
        <f>VLOOKUP(A315,'[4]PO CAG (2)'!$A:$L,12,0)</f>
        <v>46251</v>
      </c>
      <c r="AC315" s="22">
        <f>IFERROR(VLOOKUP(F315,[3]Sheet1!$E:$H,4,0),)</f>
        <v>0</v>
      </c>
      <c r="AD315" s="144">
        <v>5</v>
      </c>
      <c r="AE315" s="25" t="s">
        <v>3023</v>
      </c>
      <c r="AF315" s="135" t="s">
        <v>199</v>
      </c>
      <c r="AG315" s="135"/>
      <c r="AH315" s="135"/>
      <c r="AI315" s="23">
        <v>0</v>
      </c>
      <c r="AJ315" s="267" t="s">
        <v>187</v>
      </c>
      <c r="AN315" s="278">
        <v>1</v>
      </c>
      <c r="AO315" s="278">
        <v>1</v>
      </c>
      <c r="AP315" s="278">
        <v>1</v>
      </c>
      <c r="AQ315" s="278">
        <v>1</v>
      </c>
    </row>
    <row r="316" spans="1:43">
      <c r="A316" s="135" t="s">
        <v>2680</v>
      </c>
      <c r="B316" s="135" t="s">
        <v>2872</v>
      </c>
      <c r="C316" s="135" t="s">
        <v>2681</v>
      </c>
      <c r="D316" s="46">
        <v>11132002</v>
      </c>
      <c r="E316" s="20" t="s">
        <v>223</v>
      </c>
      <c r="F316" s="20" t="s">
        <v>529</v>
      </c>
      <c r="G316" s="24">
        <v>4</v>
      </c>
      <c r="H316" s="21">
        <v>46248</v>
      </c>
      <c r="I316" s="53" t="s">
        <v>2682</v>
      </c>
      <c r="J316" s="24" t="s">
        <v>2683</v>
      </c>
      <c r="K316" s="24">
        <v>4</v>
      </c>
      <c r="L316" s="46">
        <v>12120523</v>
      </c>
      <c r="M316" s="20" t="s">
        <v>231</v>
      </c>
      <c r="N316" s="38">
        <v>0</v>
      </c>
      <c r="O316" s="38">
        <v>0</v>
      </c>
      <c r="P316" s="20" t="s">
        <v>372</v>
      </c>
      <c r="Q316" s="20">
        <v>0</v>
      </c>
      <c r="R316" s="40">
        <v>46238</v>
      </c>
      <c r="S316" s="38">
        <v>0</v>
      </c>
      <c r="T316" s="38">
        <v>0</v>
      </c>
      <c r="U316" s="40">
        <v>46239</v>
      </c>
      <c r="V316" s="40">
        <v>46239</v>
      </c>
      <c r="W316" s="20" t="s">
        <v>54</v>
      </c>
      <c r="X316" s="21"/>
      <c r="Y316" s="19">
        <f>VLOOKUP(F316,[2]New!$B:$G,3,0)*K316/60</f>
        <v>2.6666666666666665</v>
      </c>
      <c r="Z316" s="19">
        <f>VLOOKUP(F316,[2]New!$B:$G,4,0)*K316/60</f>
        <v>10.666666666666666</v>
      </c>
      <c r="AA316" s="19">
        <f>VLOOKUP(F316,[2]New!$B:$G,6,0)*K316/60</f>
        <v>11.066666666666666</v>
      </c>
      <c r="AB316" s="44">
        <f>VLOOKUP(A316,'[4]PO CAG (2)'!$A:$L,12,0)</f>
        <v>46251</v>
      </c>
      <c r="AC316" s="22">
        <f>IFERROR(VLOOKUP(F316,[3]Sheet1!$E:$H,4,0),)</f>
        <v>0</v>
      </c>
      <c r="AD316" s="144">
        <v>4</v>
      </c>
      <c r="AE316" s="25" t="s">
        <v>3023</v>
      </c>
      <c r="AF316" s="135" t="s">
        <v>199</v>
      </c>
      <c r="AG316" s="135"/>
      <c r="AH316" s="135"/>
      <c r="AI316" s="23">
        <v>0</v>
      </c>
      <c r="AJ316" s="267" t="s">
        <v>187</v>
      </c>
      <c r="AN316" s="278">
        <v>1</v>
      </c>
      <c r="AO316" s="278">
        <v>1</v>
      </c>
      <c r="AP316" s="278">
        <v>1</v>
      </c>
      <c r="AQ316" s="278">
        <v>1</v>
      </c>
    </row>
    <row r="317" spans="1:43">
      <c r="A317" s="135" t="s">
        <v>2684</v>
      </c>
      <c r="B317" s="135" t="s">
        <v>2873</v>
      </c>
      <c r="C317" s="135" t="s">
        <v>2685</v>
      </c>
      <c r="D317" s="46">
        <v>11134362</v>
      </c>
      <c r="E317" s="20" t="s">
        <v>750</v>
      </c>
      <c r="F317" s="20" t="s">
        <v>751</v>
      </c>
      <c r="G317" s="24">
        <v>11</v>
      </c>
      <c r="H317" s="21">
        <v>46248</v>
      </c>
      <c r="I317" s="53" t="s">
        <v>2686</v>
      </c>
      <c r="J317" s="24" t="s">
        <v>2687</v>
      </c>
      <c r="K317" s="24">
        <v>11</v>
      </c>
      <c r="L317" s="46">
        <v>12120524</v>
      </c>
      <c r="M317" s="20" t="s">
        <v>229</v>
      </c>
      <c r="N317" s="38">
        <v>0</v>
      </c>
      <c r="O317" s="38">
        <v>0</v>
      </c>
      <c r="P317" s="20" t="s">
        <v>372</v>
      </c>
      <c r="Q317" s="20">
        <v>0</v>
      </c>
      <c r="R317" s="40">
        <v>46238</v>
      </c>
      <c r="S317" s="38">
        <v>0</v>
      </c>
      <c r="T317" s="38">
        <v>0</v>
      </c>
      <c r="U317" s="40">
        <v>46239</v>
      </c>
      <c r="V317" s="40">
        <v>46239</v>
      </c>
      <c r="W317" s="20" t="s">
        <v>54</v>
      </c>
      <c r="X317" s="21"/>
      <c r="Y317" s="19">
        <f>VLOOKUP(F317,[2]New!$B:$G,3,0)*K317/60</f>
        <v>7.333333333333333</v>
      </c>
      <c r="Z317" s="19">
        <f>VLOOKUP(F317,[2]New!$B:$G,4,0)*K317/60</f>
        <v>29.333333333333332</v>
      </c>
      <c r="AA317" s="19">
        <f>VLOOKUP(F317,[2]New!$B:$G,6,0)*K317/60</f>
        <v>30.433333333333334</v>
      </c>
      <c r="AB317" s="44">
        <f>VLOOKUP(A317,'[4]PO CAG (2)'!$A:$L,12,0)</f>
        <v>46251</v>
      </c>
      <c r="AC317" s="22">
        <f>IFERROR(VLOOKUP(F317,[3]Sheet1!$E:$H,4,0),)</f>
        <v>0</v>
      </c>
      <c r="AD317" s="144">
        <v>11</v>
      </c>
      <c r="AE317" s="25" t="s">
        <v>3023</v>
      </c>
      <c r="AF317" s="135" t="s">
        <v>199</v>
      </c>
      <c r="AG317" s="135"/>
      <c r="AH317" s="135"/>
      <c r="AI317" s="23">
        <v>0</v>
      </c>
      <c r="AJ317" s="267" t="s">
        <v>187</v>
      </c>
      <c r="AN317" s="278">
        <v>1</v>
      </c>
      <c r="AO317" s="278">
        <v>1</v>
      </c>
      <c r="AP317" s="278">
        <v>1</v>
      </c>
      <c r="AQ317" s="278">
        <v>1</v>
      </c>
    </row>
    <row r="318" spans="1:43">
      <c r="A318" s="135" t="s">
        <v>2688</v>
      </c>
      <c r="B318" s="135" t="s">
        <v>2874</v>
      </c>
      <c r="C318" s="135" t="s">
        <v>2689</v>
      </c>
      <c r="D318" s="46">
        <v>11134344</v>
      </c>
      <c r="E318" s="20" t="s">
        <v>756</v>
      </c>
      <c r="F318" s="20" t="s">
        <v>757</v>
      </c>
      <c r="G318" s="24">
        <v>6</v>
      </c>
      <c r="H318" s="21">
        <v>46248</v>
      </c>
      <c r="I318" s="53" t="s">
        <v>2690</v>
      </c>
      <c r="J318" s="24" t="s">
        <v>2691</v>
      </c>
      <c r="K318" s="24">
        <v>9</v>
      </c>
      <c r="L318" s="46">
        <v>12120505</v>
      </c>
      <c r="M318" s="20" t="s">
        <v>766</v>
      </c>
      <c r="N318" s="38">
        <v>0</v>
      </c>
      <c r="O318" s="38">
        <v>0</v>
      </c>
      <c r="P318" s="20" t="s">
        <v>469</v>
      </c>
      <c r="Q318" s="20">
        <v>3</v>
      </c>
      <c r="R318" s="40">
        <v>46238</v>
      </c>
      <c r="S318" s="38">
        <v>0</v>
      </c>
      <c r="T318" s="38">
        <v>0</v>
      </c>
      <c r="U318" s="40">
        <v>46239</v>
      </c>
      <c r="V318" s="40">
        <v>46239</v>
      </c>
      <c r="W318" s="20" t="s">
        <v>54</v>
      </c>
      <c r="X318" s="21"/>
      <c r="Y318" s="19">
        <f>VLOOKUP(F318,[2]New!$B:$G,3,0)*K318/60</f>
        <v>3.3</v>
      </c>
      <c r="Z318" s="19">
        <f>VLOOKUP(F318,[2]New!$B:$G,4,0)*K318/60</f>
        <v>17.685000000000002</v>
      </c>
      <c r="AA318" s="19">
        <f>VLOOKUP(F318,[2]New!$B:$G,6,0)*K318/60</f>
        <v>17.25</v>
      </c>
      <c r="AB318" s="44">
        <f>VLOOKUP(A318,'[4]PO CAG (2)'!$A:$L,12,0)</f>
        <v>46251</v>
      </c>
      <c r="AC318" s="22">
        <f>IFERROR(VLOOKUP(F318,[3]Sheet1!$E:$H,4,0),)</f>
        <v>0</v>
      </c>
      <c r="AD318" s="144">
        <v>6</v>
      </c>
      <c r="AE318" s="25" t="s">
        <v>3023</v>
      </c>
      <c r="AF318" s="135" t="s">
        <v>199</v>
      </c>
      <c r="AG318" s="135"/>
      <c r="AH318" s="135"/>
      <c r="AI318" s="23">
        <v>3</v>
      </c>
      <c r="AJ318" s="267" t="s">
        <v>187</v>
      </c>
      <c r="AN318" s="278">
        <v>1</v>
      </c>
      <c r="AO318" s="278">
        <v>1</v>
      </c>
      <c r="AP318" s="278">
        <v>1</v>
      </c>
      <c r="AQ318" s="278">
        <v>1</v>
      </c>
    </row>
    <row r="319" spans="1:43">
      <c r="A319" s="135" t="s">
        <v>740</v>
      </c>
      <c r="B319" s="135" t="s">
        <v>2875</v>
      </c>
      <c r="C319" s="135" t="s">
        <v>2692</v>
      </c>
      <c r="D319" s="46">
        <v>11112481</v>
      </c>
      <c r="E319" s="20" t="s">
        <v>741</v>
      </c>
      <c r="F319" s="20" t="s">
        <v>742</v>
      </c>
      <c r="G319" s="24">
        <v>5</v>
      </c>
      <c r="H319" s="21">
        <v>46248</v>
      </c>
      <c r="I319" s="53" t="s">
        <v>2693</v>
      </c>
      <c r="J319" s="24" t="s">
        <v>2694</v>
      </c>
      <c r="K319" s="24">
        <v>7</v>
      </c>
      <c r="L319" s="46">
        <v>12115904</v>
      </c>
      <c r="M319" s="20" t="s">
        <v>762</v>
      </c>
      <c r="N319" s="38">
        <v>0</v>
      </c>
      <c r="O319" s="38">
        <v>0</v>
      </c>
      <c r="P319" s="20" t="s">
        <v>130</v>
      </c>
      <c r="Q319" s="20">
        <v>0</v>
      </c>
      <c r="R319" s="40">
        <v>46238</v>
      </c>
      <c r="S319" s="38">
        <v>2</v>
      </c>
      <c r="T319" s="38">
        <v>0</v>
      </c>
      <c r="U319" s="40">
        <v>46239</v>
      </c>
      <c r="V319" s="40">
        <v>46239</v>
      </c>
      <c r="W319" s="20" t="s">
        <v>54</v>
      </c>
      <c r="X319" s="21"/>
      <c r="Y319" s="19">
        <f>VLOOKUP(F319,[2]New!$B:$G,3,0)*K319/60</f>
        <v>15.4</v>
      </c>
      <c r="Z319" s="19">
        <f>VLOOKUP(F319,[2]New!$B:$G,4,0)*K319/60</f>
        <v>18.433333333333334</v>
      </c>
      <c r="AA319" s="19">
        <f>VLOOKUP(F319,[2]New!$B:$G,6,0)*K319/60</f>
        <v>21.466666666666665</v>
      </c>
      <c r="AB319" s="351">
        <v>46251</v>
      </c>
      <c r="AC319" s="22">
        <f>IFERROR(VLOOKUP(F319,[3]Sheet1!$E:$H,4,0),)</f>
        <v>0</v>
      </c>
      <c r="AD319" s="144">
        <v>5</v>
      </c>
      <c r="AE319" s="25" t="s">
        <v>3023</v>
      </c>
      <c r="AF319" s="135" t="s">
        <v>112</v>
      </c>
      <c r="AG319" s="135"/>
      <c r="AH319" s="135"/>
      <c r="AI319" s="23">
        <v>2</v>
      </c>
      <c r="AJ319" s="267" t="s">
        <v>444</v>
      </c>
      <c r="AN319" s="278">
        <v>1</v>
      </c>
      <c r="AO319" s="278" t="s">
        <v>113</v>
      </c>
      <c r="AP319" s="278" t="s">
        <v>113</v>
      </c>
      <c r="AQ319" s="278" t="s">
        <v>113</v>
      </c>
    </row>
    <row r="320" spans="1:43">
      <c r="A320" s="135" t="s">
        <v>2697</v>
      </c>
      <c r="B320" s="135" t="s">
        <v>2876</v>
      </c>
      <c r="C320" s="135" t="s">
        <v>2698</v>
      </c>
      <c r="D320" s="46">
        <v>11119387</v>
      </c>
      <c r="E320" s="20" t="s">
        <v>976</v>
      </c>
      <c r="F320" s="20" t="s">
        <v>977</v>
      </c>
      <c r="G320" s="24">
        <v>1</v>
      </c>
      <c r="H320" s="21">
        <v>46248</v>
      </c>
      <c r="I320" s="53" t="s">
        <v>2699</v>
      </c>
      <c r="J320" s="24" t="s">
        <v>2700</v>
      </c>
      <c r="K320" s="24">
        <v>1</v>
      </c>
      <c r="L320" s="46">
        <v>12116022</v>
      </c>
      <c r="M320" s="20" t="s">
        <v>1014</v>
      </c>
      <c r="N320" s="38">
        <v>0</v>
      </c>
      <c r="O320" s="38">
        <v>0</v>
      </c>
      <c r="P320" s="20" t="s">
        <v>469</v>
      </c>
      <c r="Q320" s="20">
        <v>0</v>
      </c>
      <c r="R320" s="40">
        <v>46238</v>
      </c>
      <c r="S320" s="20">
        <v>0</v>
      </c>
      <c r="T320" s="20">
        <v>0</v>
      </c>
      <c r="U320" s="40">
        <v>46239</v>
      </c>
      <c r="V320" s="40">
        <v>46239</v>
      </c>
      <c r="W320" s="20" t="s">
        <v>57</v>
      </c>
      <c r="X320" s="21"/>
      <c r="Y320" s="19">
        <f>VLOOKUP(F320,[2]New!$B:$G,3,0)*K320/60</f>
        <v>0.93333333333333335</v>
      </c>
      <c r="Z320" s="19">
        <f>VLOOKUP(F320,[2]New!$B:$G,4,0)*K320/60</f>
        <v>3.9</v>
      </c>
      <c r="AA320" s="19">
        <f>VLOOKUP(F320,[2]New!$B:$G,6,0)*K320/60</f>
        <v>4.8199999999999994</v>
      </c>
      <c r="AB320" s="44">
        <f>VLOOKUP(A320,'[4]PO CAG (2)'!$A:$L,12,0)</f>
        <v>46251</v>
      </c>
      <c r="AC320" s="22">
        <f>IFERROR(VLOOKUP(F320,[3]Sheet1!$E:$H,4,0),)</f>
        <v>0</v>
      </c>
      <c r="AD320" s="144">
        <v>1</v>
      </c>
      <c r="AE320" s="25" t="s">
        <v>3023</v>
      </c>
      <c r="AF320" s="135" t="s">
        <v>112</v>
      </c>
      <c r="AG320" s="135"/>
      <c r="AH320" s="135"/>
      <c r="AI320" s="23">
        <v>0</v>
      </c>
      <c r="AJ320" s="267" t="s">
        <v>153</v>
      </c>
      <c r="AN320" s="278">
        <v>2</v>
      </c>
      <c r="AO320" s="278">
        <v>2</v>
      </c>
      <c r="AP320" s="278">
        <v>2</v>
      </c>
      <c r="AQ320" s="278">
        <v>2</v>
      </c>
    </row>
    <row r="321" spans="1:43">
      <c r="A321" s="135" t="s">
        <v>2701</v>
      </c>
      <c r="B321" s="135" t="s">
        <v>2877</v>
      </c>
      <c r="C321" s="135" t="s">
        <v>2702</v>
      </c>
      <c r="D321" s="46">
        <v>11119542</v>
      </c>
      <c r="E321" s="20" t="s">
        <v>859</v>
      </c>
      <c r="F321" s="20" t="s">
        <v>860</v>
      </c>
      <c r="G321" s="24">
        <v>1</v>
      </c>
      <c r="H321" s="21">
        <v>46248</v>
      </c>
      <c r="I321" s="53" t="s">
        <v>2703</v>
      </c>
      <c r="J321" s="24" t="s">
        <v>2704</v>
      </c>
      <c r="K321" s="24">
        <v>1</v>
      </c>
      <c r="L321" s="46">
        <v>12116177</v>
      </c>
      <c r="M321" s="20" t="s">
        <v>876</v>
      </c>
      <c r="N321" s="38">
        <v>0</v>
      </c>
      <c r="O321" s="38">
        <v>0</v>
      </c>
      <c r="P321" s="20" t="s">
        <v>469</v>
      </c>
      <c r="Q321" s="20">
        <v>0</v>
      </c>
      <c r="R321" s="40">
        <v>46238</v>
      </c>
      <c r="S321" s="20">
        <v>0</v>
      </c>
      <c r="T321" s="20">
        <v>0</v>
      </c>
      <c r="U321" s="40">
        <v>46239</v>
      </c>
      <c r="V321" s="40">
        <v>46239</v>
      </c>
      <c r="W321" s="20" t="s">
        <v>57</v>
      </c>
      <c r="X321" s="21"/>
      <c r="Y321" s="19">
        <f>VLOOKUP(F321,[2]New!$B:$G,3,0)*K321/60</f>
        <v>0.93333333333333335</v>
      </c>
      <c r="Z321" s="19">
        <f>VLOOKUP(F321,[2]New!$B:$G,4,0)*K321/60</f>
        <v>3.9</v>
      </c>
      <c r="AA321" s="19">
        <f>VLOOKUP(F321,[2]New!$B:$G,6,0)*K321/60</f>
        <v>4.8199999999999994</v>
      </c>
      <c r="AB321" s="44">
        <f>VLOOKUP(A321,'[4]PO CAG (2)'!$A:$L,12,0)</f>
        <v>46251</v>
      </c>
      <c r="AC321" s="22">
        <f>IFERROR(VLOOKUP(F321,[3]Sheet1!$E:$H,4,0),)</f>
        <v>0</v>
      </c>
      <c r="AD321" s="144">
        <v>1</v>
      </c>
      <c r="AE321" s="25" t="s">
        <v>3023</v>
      </c>
      <c r="AF321" s="135" t="s">
        <v>112</v>
      </c>
      <c r="AG321" s="135"/>
      <c r="AH321" s="135"/>
      <c r="AI321" s="23">
        <v>0</v>
      </c>
      <c r="AJ321" s="267" t="s">
        <v>153</v>
      </c>
      <c r="AN321" s="278">
        <v>2</v>
      </c>
      <c r="AO321" s="278">
        <v>2</v>
      </c>
      <c r="AP321" s="278">
        <v>2</v>
      </c>
      <c r="AQ321" s="278">
        <v>2</v>
      </c>
    </row>
    <row r="322" spans="1:43">
      <c r="A322" s="135" t="s">
        <v>2705</v>
      </c>
      <c r="B322" s="135" t="s">
        <v>2878</v>
      </c>
      <c r="C322" s="135" t="s">
        <v>2706</v>
      </c>
      <c r="D322" s="46">
        <v>11119447</v>
      </c>
      <c r="E322" s="20" t="s">
        <v>1002</v>
      </c>
      <c r="F322" s="20" t="s">
        <v>1003</v>
      </c>
      <c r="G322" s="24">
        <v>1</v>
      </c>
      <c r="H322" s="21">
        <v>46248</v>
      </c>
      <c r="I322" s="53" t="s">
        <v>2707</v>
      </c>
      <c r="J322" s="24" t="s">
        <v>2708</v>
      </c>
      <c r="K322" s="24">
        <v>1</v>
      </c>
      <c r="L322" s="46">
        <v>12116082</v>
      </c>
      <c r="M322" s="20" t="s">
        <v>1027</v>
      </c>
      <c r="N322" s="38">
        <v>0</v>
      </c>
      <c r="O322" s="38">
        <v>0</v>
      </c>
      <c r="P322" s="20" t="s">
        <v>469</v>
      </c>
      <c r="Q322" s="20">
        <v>0</v>
      </c>
      <c r="R322" s="40">
        <v>46238</v>
      </c>
      <c r="S322" s="20">
        <v>0</v>
      </c>
      <c r="T322" s="20">
        <v>0</v>
      </c>
      <c r="U322" s="40">
        <v>46239</v>
      </c>
      <c r="V322" s="40">
        <v>46239</v>
      </c>
      <c r="W322" s="20" t="s">
        <v>57</v>
      </c>
      <c r="X322" s="21"/>
      <c r="Y322" s="19">
        <f>VLOOKUP(F322,[2]New!$B:$G,3,0)*K322/60</f>
        <v>0.93333333333333335</v>
      </c>
      <c r="Z322" s="19">
        <f>VLOOKUP(F322,[2]New!$B:$G,4,0)*K322/60</f>
        <v>3.9</v>
      </c>
      <c r="AA322" s="19">
        <f>VLOOKUP(F322,[2]New!$B:$G,6,0)*K322/60</f>
        <v>4.8166666666666664</v>
      </c>
      <c r="AB322" s="44">
        <f>VLOOKUP(A322,'[4]PO CAG (2)'!$A:$L,12,0)</f>
        <v>46251</v>
      </c>
      <c r="AC322" s="22">
        <f>IFERROR(VLOOKUP(F322,[3]Sheet1!$E:$H,4,0),)</f>
        <v>0</v>
      </c>
      <c r="AD322" s="144">
        <v>1</v>
      </c>
      <c r="AE322" s="25" t="s">
        <v>3023</v>
      </c>
      <c r="AF322" s="135" t="s">
        <v>112</v>
      </c>
      <c r="AG322" s="135"/>
      <c r="AH322" s="135"/>
      <c r="AI322" s="385">
        <v>0</v>
      </c>
      <c r="AJ322" s="267" t="s">
        <v>153</v>
      </c>
      <c r="AN322" s="278">
        <v>2</v>
      </c>
      <c r="AO322" s="278">
        <v>2</v>
      </c>
      <c r="AP322" s="278">
        <v>2</v>
      </c>
      <c r="AQ322" s="278">
        <v>2</v>
      </c>
    </row>
    <row r="323" spans="1:43">
      <c r="A323" s="135" t="s">
        <v>2709</v>
      </c>
      <c r="B323" s="135" t="s">
        <v>2879</v>
      </c>
      <c r="C323" s="135" t="s">
        <v>2710</v>
      </c>
      <c r="D323" s="46">
        <v>11119453</v>
      </c>
      <c r="E323" s="20" t="s">
        <v>974</v>
      </c>
      <c r="F323" s="20" t="s">
        <v>975</v>
      </c>
      <c r="G323" s="24">
        <v>1</v>
      </c>
      <c r="H323" s="21">
        <v>46248</v>
      </c>
      <c r="I323" s="53" t="s">
        <v>2711</v>
      </c>
      <c r="J323" s="24" t="s">
        <v>2712</v>
      </c>
      <c r="K323" s="24">
        <v>1</v>
      </c>
      <c r="L323" s="46">
        <v>12116088</v>
      </c>
      <c r="M323" s="20" t="s">
        <v>1013</v>
      </c>
      <c r="N323" s="38">
        <v>0</v>
      </c>
      <c r="O323" s="38">
        <v>0</v>
      </c>
      <c r="P323" s="20" t="s">
        <v>469</v>
      </c>
      <c r="Q323" s="20">
        <v>0</v>
      </c>
      <c r="R323" s="40">
        <v>46238</v>
      </c>
      <c r="S323" s="20">
        <v>0</v>
      </c>
      <c r="T323" s="20">
        <v>0</v>
      </c>
      <c r="U323" s="40">
        <v>46239</v>
      </c>
      <c r="V323" s="40">
        <v>46239</v>
      </c>
      <c r="W323" s="20" t="s">
        <v>57</v>
      </c>
      <c r="X323" s="21"/>
      <c r="Y323" s="19">
        <f>VLOOKUP(F323,[2]New!$B:$G,3,0)*K323/60</f>
        <v>0.93333333333333335</v>
      </c>
      <c r="Z323" s="19">
        <f>VLOOKUP(F323,[2]New!$B:$G,4,0)*K323/60</f>
        <v>3.9</v>
      </c>
      <c r="AA323" s="19">
        <f>VLOOKUP(F323,[2]New!$B:$G,6,0)*K323/60</f>
        <v>4.8166666666666664</v>
      </c>
      <c r="AB323" s="44">
        <f>VLOOKUP(A323,'[4]PO CAG (2)'!$A:$L,12,0)</f>
        <v>46251</v>
      </c>
      <c r="AC323" s="22">
        <f>IFERROR(VLOOKUP(F323,[3]Sheet1!$E:$H,4,0),)</f>
        <v>0</v>
      </c>
      <c r="AD323" s="144">
        <v>1</v>
      </c>
      <c r="AE323" s="25" t="s">
        <v>3023</v>
      </c>
      <c r="AF323" s="135" t="s">
        <v>112</v>
      </c>
      <c r="AG323" s="135"/>
      <c r="AH323" s="135"/>
      <c r="AI323" s="385">
        <v>0</v>
      </c>
      <c r="AJ323" s="267" t="s">
        <v>153</v>
      </c>
      <c r="AN323" s="278">
        <v>2</v>
      </c>
      <c r="AO323" s="278">
        <v>2</v>
      </c>
      <c r="AP323" s="278">
        <v>2</v>
      </c>
      <c r="AQ323" s="278">
        <v>2</v>
      </c>
    </row>
    <row r="324" spans="1:43">
      <c r="A324" s="135" t="s">
        <v>2713</v>
      </c>
      <c r="B324" s="135" t="s">
        <v>2880</v>
      </c>
      <c r="C324" s="135" t="s">
        <v>2714</v>
      </c>
      <c r="D324" s="46">
        <v>11119460</v>
      </c>
      <c r="E324" s="20" t="s">
        <v>980</v>
      </c>
      <c r="F324" s="20" t="s">
        <v>981</v>
      </c>
      <c r="G324" s="24">
        <v>1</v>
      </c>
      <c r="H324" s="21">
        <v>46248</v>
      </c>
      <c r="I324" s="53" t="s">
        <v>2715</v>
      </c>
      <c r="J324" s="24" t="s">
        <v>2716</v>
      </c>
      <c r="K324" s="24">
        <v>1</v>
      </c>
      <c r="L324" s="46">
        <v>12116095</v>
      </c>
      <c r="M324" s="20" t="s">
        <v>1016</v>
      </c>
      <c r="N324" s="38">
        <v>0</v>
      </c>
      <c r="O324" s="38">
        <v>0</v>
      </c>
      <c r="P324" s="20" t="s">
        <v>469</v>
      </c>
      <c r="Q324" s="20">
        <v>0</v>
      </c>
      <c r="R324" s="40">
        <v>46238</v>
      </c>
      <c r="S324" s="20">
        <v>0</v>
      </c>
      <c r="T324" s="20">
        <v>0</v>
      </c>
      <c r="U324" s="40">
        <v>46239</v>
      </c>
      <c r="V324" s="40">
        <v>46239</v>
      </c>
      <c r="W324" s="20" t="s">
        <v>57</v>
      </c>
      <c r="X324" s="21"/>
      <c r="Y324" s="19">
        <f>VLOOKUP(F324,[2]New!$B:$G,3,0)*K324/60</f>
        <v>0.93333333333333335</v>
      </c>
      <c r="Z324" s="19">
        <f>VLOOKUP(F324,[2]New!$B:$G,4,0)*K324/60</f>
        <v>3.9</v>
      </c>
      <c r="AA324" s="19">
        <f>VLOOKUP(F324,[2]New!$B:$G,6,0)*K324/60</f>
        <v>4.8199999999999994</v>
      </c>
      <c r="AB324" s="44">
        <f>VLOOKUP(A324,'[4]PO CAG (2)'!$A:$L,12,0)</f>
        <v>46251</v>
      </c>
      <c r="AC324" s="22">
        <f>IFERROR(VLOOKUP(F324,[3]Sheet1!$E:$H,4,0),)</f>
        <v>0</v>
      </c>
      <c r="AD324" s="144">
        <v>1</v>
      </c>
      <c r="AE324" s="25" t="s">
        <v>3023</v>
      </c>
      <c r="AF324" s="135" t="s">
        <v>112</v>
      </c>
      <c r="AG324" s="135"/>
      <c r="AH324" s="135"/>
      <c r="AI324" s="385">
        <v>0</v>
      </c>
      <c r="AJ324" s="267" t="s">
        <v>153</v>
      </c>
      <c r="AN324" s="278">
        <v>2</v>
      </c>
      <c r="AO324" s="278">
        <v>2</v>
      </c>
      <c r="AP324" s="278">
        <v>2</v>
      </c>
      <c r="AQ324" s="278">
        <v>2</v>
      </c>
    </row>
    <row r="325" spans="1:43">
      <c r="A325" s="135" t="s">
        <v>2717</v>
      </c>
      <c r="B325" s="135" t="s">
        <v>2881</v>
      </c>
      <c r="C325" s="135" t="s">
        <v>2718</v>
      </c>
      <c r="D325" s="46">
        <v>11119480</v>
      </c>
      <c r="E325" s="20" t="s">
        <v>861</v>
      </c>
      <c r="F325" s="20" t="s">
        <v>862</v>
      </c>
      <c r="G325" s="24">
        <v>2</v>
      </c>
      <c r="H325" s="21">
        <v>46248</v>
      </c>
      <c r="I325" s="53" t="s">
        <v>2719</v>
      </c>
      <c r="J325" s="24" t="s">
        <v>2720</v>
      </c>
      <c r="K325" s="24">
        <v>2</v>
      </c>
      <c r="L325" s="46">
        <v>12116115</v>
      </c>
      <c r="M325" s="20" t="s">
        <v>877</v>
      </c>
      <c r="N325" s="38">
        <v>0</v>
      </c>
      <c r="O325" s="38">
        <v>0</v>
      </c>
      <c r="P325" s="20" t="s">
        <v>469</v>
      </c>
      <c r="Q325" s="20">
        <v>0</v>
      </c>
      <c r="R325" s="40">
        <v>46238</v>
      </c>
      <c r="S325" s="20">
        <v>0</v>
      </c>
      <c r="T325" s="20">
        <v>0</v>
      </c>
      <c r="U325" s="40">
        <v>46239</v>
      </c>
      <c r="V325" s="40">
        <v>46239</v>
      </c>
      <c r="W325" s="20" t="s">
        <v>57</v>
      </c>
      <c r="X325" s="21"/>
      <c r="Y325" s="19">
        <f>VLOOKUP(F325,[2]New!$B:$G,3,0)*K325/60</f>
        <v>1.8666666666666667</v>
      </c>
      <c r="Z325" s="19">
        <f>VLOOKUP(F325,[2]New!$B:$G,4,0)*K325/60</f>
        <v>7.8</v>
      </c>
      <c r="AA325" s="19">
        <f>VLOOKUP(F325,[2]New!$B:$G,6,0)*K325/60</f>
        <v>9.6399999999999988</v>
      </c>
      <c r="AB325" s="44">
        <f>VLOOKUP(A325,'[4]PO CAG (2)'!$A:$L,12,0)</f>
        <v>46251</v>
      </c>
      <c r="AC325" s="22">
        <f>IFERROR(VLOOKUP(F325,[3]Sheet1!$E:$H,4,0),)</f>
        <v>0</v>
      </c>
      <c r="AD325" s="144">
        <v>2</v>
      </c>
      <c r="AE325" s="25" t="s">
        <v>3023</v>
      </c>
      <c r="AF325" s="135" t="s">
        <v>112</v>
      </c>
      <c r="AG325" s="135"/>
      <c r="AH325" s="135"/>
      <c r="AI325" s="385">
        <v>0</v>
      </c>
      <c r="AJ325" s="267" t="s">
        <v>153</v>
      </c>
      <c r="AN325" s="278">
        <v>2</v>
      </c>
      <c r="AO325" s="278">
        <v>2</v>
      </c>
      <c r="AP325" s="278">
        <v>2</v>
      </c>
      <c r="AQ325" s="278">
        <v>2</v>
      </c>
    </row>
    <row r="326" spans="1:43">
      <c r="A326" s="135" t="s">
        <v>2721</v>
      </c>
      <c r="B326" s="135" t="s">
        <v>2882</v>
      </c>
      <c r="C326" s="135" t="s">
        <v>2722</v>
      </c>
      <c r="D326" s="46">
        <v>11119494</v>
      </c>
      <c r="E326" s="20" t="s">
        <v>574</v>
      </c>
      <c r="F326" s="20" t="s">
        <v>575</v>
      </c>
      <c r="G326" s="24">
        <v>2</v>
      </c>
      <c r="H326" s="21">
        <v>46248</v>
      </c>
      <c r="I326" s="53" t="s">
        <v>2723</v>
      </c>
      <c r="J326" s="24" t="s">
        <v>2724</v>
      </c>
      <c r="K326" s="24">
        <v>2</v>
      </c>
      <c r="L326" s="46">
        <v>12116129</v>
      </c>
      <c r="M326" s="20" t="s">
        <v>609</v>
      </c>
      <c r="N326" s="38">
        <v>0</v>
      </c>
      <c r="O326" s="38">
        <v>0</v>
      </c>
      <c r="P326" s="20" t="s">
        <v>469</v>
      </c>
      <c r="Q326" s="20">
        <v>0</v>
      </c>
      <c r="R326" s="40">
        <v>46238</v>
      </c>
      <c r="S326" s="20">
        <v>0</v>
      </c>
      <c r="T326" s="20">
        <v>0</v>
      </c>
      <c r="U326" s="40">
        <v>46239</v>
      </c>
      <c r="V326" s="40">
        <v>46239</v>
      </c>
      <c r="W326" s="20" t="s">
        <v>57</v>
      </c>
      <c r="X326" s="21"/>
      <c r="Y326" s="19">
        <f>VLOOKUP(F326,[2]New!$B:$G,3,0)*K326/60</f>
        <v>1.8666666666666667</v>
      </c>
      <c r="Z326" s="19">
        <f>VLOOKUP(F326,[2]New!$B:$G,4,0)*K326/60</f>
        <v>7.8</v>
      </c>
      <c r="AA326" s="19">
        <f>VLOOKUP(F326,[2]New!$B:$G,6,0)*K326/60</f>
        <v>9.6399999999999988</v>
      </c>
      <c r="AB326" s="44">
        <f>VLOOKUP(A326,'[4]PO CAG (2)'!$A:$L,12,0)</f>
        <v>46251</v>
      </c>
      <c r="AC326" s="22">
        <f>IFERROR(VLOOKUP(F326,[3]Sheet1!$E:$H,4,0),)</f>
        <v>0</v>
      </c>
      <c r="AD326" s="144">
        <v>2</v>
      </c>
      <c r="AE326" s="25" t="s">
        <v>3023</v>
      </c>
      <c r="AF326" s="135" t="s">
        <v>112</v>
      </c>
      <c r="AG326" s="135"/>
      <c r="AH326" s="135"/>
      <c r="AI326" s="385">
        <v>0</v>
      </c>
      <c r="AJ326" s="267" t="s">
        <v>153</v>
      </c>
      <c r="AN326" s="278">
        <v>2</v>
      </c>
      <c r="AO326" s="278">
        <v>2</v>
      </c>
      <c r="AP326" s="278">
        <v>2</v>
      </c>
      <c r="AQ326" s="278">
        <v>2</v>
      </c>
    </row>
    <row r="327" spans="1:43">
      <c r="A327" s="135" t="s">
        <v>2725</v>
      </c>
      <c r="B327" s="135" t="s">
        <v>2883</v>
      </c>
      <c r="C327" s="135" t="s">
        <v>2726</v>
      </c>
      <c r="D327" s="46">
        <v>11119506</v>
      </c>
      <c r="E327" s="20" t="s">
        <v>843</v>
      </c>
      <c r="F327" s="20" t="s">
        <v>844</v>
      </c>
      <c r="G327" s="24">
        <v>2</v>
      </c>
      <c r="H327" s="21">
        <v>46248</v>
      </c>
      <c r="I327" s="53" t="s">
        <v>2727</v>
      </c>
      <c r="J327" s="24" t="s">
        <v>2728</v>
      </c>
      <c r="K327" s="24">
        <v>2</v>
      </c>
      <c r="L327" s="46">
        <v>12116141</v>
      </c>
      <c r="M327" s="20" t="s">
        <v>869</v>
      </c>
      <c r="N327" s="38">
        <v>0</v>
      </c>
      <c r="O327" s="38">
        <v>0</v>
      </c>
      <c r="P327" s="20" t="s">
        <v>469</v>
      </c>
      <c r="Q327" s="20">
        <v>0</v>
      </c>
      <c r="R327" s="40">
        <v>46238</v>
      </c>
      <c r="S327" s="20">
        <v>0</v>
      </c>
      <c r="T327" s="20">
        <v>0</v>
      </c>
      <c r="U327" s="40">
        <v>46239</v>
      </c>
      <c r="V327" s="40">
        <v>46239</v>
      </c>
      <c r="W327" s="20" t="s">
        <v>57</v>
      </c>
      <c r="X327" s="21"/>
      <c r="Y327" s="19">
        <f>VLOOKUP(F327,[2]New!$B:$G,3,0)*K327/60</f>
        <v>1.8666666666666667</v>
      </c>
      <c r="Z327" s="19">
        <f>VLOOKUP(F327,[2]New!$B:$G,4,0)*K327/60</f>
        <v>7.8</v>
      </c>
      <c r="AA327" s="19">
        <f>VLOOKUP(F327,[2]New!$B:$G,6,0)*K327/60</f>
        <v>9.6399999999999988</v>
      </c>
      <c r="AB327" s="44">
        <f>VLOOKUP(A327,'[4]PO CAG (2)'!$A:$L,12,0)</f>
        <v>46251</v>
      </c>
      <c r="AC327" s="22">
        <f>IFERROR(VLOOKUP(F327,[3]Sheet1!$E:$H,4,0),)</f>
        <v>0</v>
      </c>
      <c r="AD327" s="144">
        <v>2</v>
      </c>
      <c r="AE327" s="25" t="s">
        <v>3023</v>
      </c>
      <c r="AF327" s="135" t="s">
        <v>112</v>
      </c>
      <c r="AG327" s="135"/>
      <c r="AH327" s="135"/>
      <c r="AI327" s="385">
        <v>0</v>
      </c>
      <c r="AJ327" s="267" t="s">
        <v>153</v>
      </c>
      <c r="AN327" s="278">
        <v>2</v>
      </c>
      <c r="AO327" s="278">
        <v>2</v>
      </c>
      <c r="AP327" s="278">
        <v>2</v>
      </c>
      <c r="AQ327" s="278">
        <v>2</v>
      </c>
    </row>
    <row r="328" spans="1:43">
      <c r="A328" s="135" t="s">
        <v>2729</v>
      </c>
      <c r="B328" s="135" t="s">
        <v>2884</v>
      </c>
      <c r="C328" s="135" t="s">
        <v>2730</v>
      </c>
      <c r="D328" s="46">
        <v>11119553</v>
      </c>
      <c r="E328" s="20" t="s">
        <v>1162</v>
      </c>
      <c r="F328" s="20" t="s">
        <v>1163</v>
      </c>
      <c r="G328" s="24">
        <v>2</v>
      </c>
      <c r="H328" s="21">
        <v>46248</v>
      </c>
      <c r="I328" s="53" t="s">
        <v>2731</v>
      </c>
      <c r="J328" s="24" t="s">
        <v>2732</v>
      </c>
      <c r="K328" s="24">
        <v>2</v>
      </c>
      <c r="L328" s="46">
        <v>12116188</v>
      </c>
      <c r="M328" s="20" t="s">
        <v>1176</v>
      </c>
      <c r="N328" s="38">
        <v>0</v>
      </c>
      <c r="O328" s="38">
        <v>0</v>
      </c>
      <c r="P328" s="20" t="s">
        <v>469</v>
      </c>
      <c r="Q328" s="20">
        <v>0</v>
      </c>
      <c r="R328" s="40">
        <v>46238</v>
      </c>
      <c r="S328" s="20">
        <v>0</v>
      </c>
      <c r="T328" s="20">
        <v>0</v>
      </c>
      <c r="U328" s="40">
        <v>46239</v>
      </c>
      <c r="V328" s="40">
        <v>46239</v>
      </c>
      <c r="W328" s="20" t="s">
        <v>57</v>
      </c>
      <c r="X328" s="21"/>
      <c r="Y328" s="19">
        <f>VLOOKUP(F328,[2]New!$B:$G,3,0)*K328/60</f>
        <v>1.8666666666666667</v>
      </c>
      <c r="Z328" s="19">
        <f>VLOOKUP(F328,[2]New!$B:$G,4,0)*K328/60</f>
        <v>7.8</v>
      </c>
      <c r="AA328" s="19">
        <f>VLOOKUP(F328,[2]New!$B:$G,6,0)*K328/60</f>
        <v>9.6399999999999988</v>
      </c>
      <c r="AB328" s="44">
        <f>VLOOKUP(A328,'[4]PO CAG (2)'!$A:$L,12,0)</f>
        <v>46251</v>
      </c>
      <c r="AC328" s="22">
        <f>IFERROR(VLOOKUP(F328,[3]Sheet1!$E:$H,4,0),)</f>
        <v>0</v>
      </c>
      <c r="AD328" s="144">
        <v>2</v>
      </c>
      <c r="AE328" s="25" t="s">
        <v>3023</v>
      </c>
      <c r="AF328" s="135" t="s">
        <v>112</v>
      </c>
      <c r="AG328" s="135"/>
      <c r="AH328" s="135"/>
      <c r="AI328" s="385">
        <v>0</v>
      </c>
      <c r="AJ328" s="267" t="s">
        <v>153</v>
      </c>
      <c r="AN328" s="278">
        <v>2</v>
      </c>
      <c r="AO328" s="278">
        <v>2</v>
      </c>
      <c r="AP328" s="278">
        <v>2</v>
      </c>
      <c r="AQ328" s="278">
        <v>2</v>
      </c>
    </row>
    <row r="329" spans="1:43">
      <c r="A329" s="135" t="s">
        <v>2733</v>
      </c>
      <c r="B329" s="135" t="s">
        <v>2885</v>
      </c>
      <c r="C329" s="135" t="s">
        <v>2734</v>
      </c>
      <c r="D329" s="46">
        <v>11119383</v>
      </c>
      <c r="E329" s="20" t="s">
        <v>1274</v>
      </c>
      <c r="F329" s="20" t="s">
        <v>1275</v>
      </c>
      <c r="G329" s="24">
        <v>3</v>
      </c>
      <c r="H329" s="21">
        <v>46248</v>
      </c>
      <c r="I329" s="53" t="s">
        <v>2735</v>
      </c>
      <c r="J329" s="24" t="s">
        <v>2736</v>
      </c>
      <c r="K329" s="24">
        <v>3</v>
      </c>
      <c r="L329" s="46">
        <v>12116018</v>
      </c>
      <c r="M329" s="20" t="s">
        <v>1284</v>
      </c>
      <c r="N329" s="38">
        <v>0</v>
      </c>
      <c r="O329" s="38">
        <v>0</v>
      </c>
      <c r="P329" s="20" t="s">
        <v>469</v>
      </c>
      <c r="Q329" s="20">
        <v>0</v>
      </c>
      <c r="R329" s="40">
        <v>46238</v>
      </c>
      <c r="S329" s="20">
        <v>0</v>
      </c>
      <c r="T329" s="20">
        <v>0</v>
      </c>
      <c r="U329" s="40">
        <v>46239</v>
      </c>
      <c r="V329" s="40">
        <v>46239</v>
      </c>
      <c r="W329" s="20" t="s">
        <v>57</v>
      </c>
      <c r="X329" s="21"/>
      <c r="Y329" s="19">
        <f>VLOOKUP(F329,[2]New!$B:$G,3,0)*K329/60</f>
        <v>2.8</v>
      </c>
      <c r="Z329" s="19">
        <f>VLOOKUP(F329,[2]New!$B:$G,4,0)*K329/60</f>
        <v>11.7</v>
      </c>
      <c r="AA329" s="19">
        <f>VLOOKUP(F329,[2]New!$B:$G,6,0)*K329/60</f>
        <v>14.459999999999999</v>
      </c>
      <c r="AB329" s="44">
        <f>VLOOKUP(A329,'[4]PO CAG (2)'!$A:$L,12,0)</f>
        <v>46251</v>
      </c>
      <c r="AC329" s="22">
        <f>IFERROR(VLOOKUP(F329,[3]Sheet1!$E:$H,4,0),)</f>
        <v>0</v>
      </c>
      <c r="AD329" s="144">
        <v>3</v>
      </c>
      <c r="AE329" s="25" t="s">
        <v>3023</v>
      </c>
      <c r="AF329" s="135" t="s">
        <v>112</v>
      </c>
      <c r="AG329" s="135"/>
      <c r="AH329" s="135"/>
      <c r="AI329" s="385">
        <v>0</v>
      </c>
      <c r="AJ329" s="267" t="s">
        <v>153</v>
      </c>
      <c r="AN329" s="278">
        <v>2</v>
      </c>
      <c r="AO329" s="278">
        <v>2</v>
      </c>
      <c r="AP329" s="278">
        <v>2</v>
      </c>
      <c r="AQ329" s="278">
        <v>2</v>
      </c>
    </row>
    <row r="330" spans="1:43">
      <c r="A330" s="135" t="s">
        <v>2737</v>
      </c>
      <c r="B330" s="135" t="s">
        <v>2886</v>
      </c>
      <c r="C330" s="135" t="s">
        <v>2738</v>
      </c>
      <c r="D330" s="46">
        <v>11119395</v>
      </c>
      <c r="E330" s="20" t="s">
        <v>1108</v>
      </c>
      <c r="F330" s="20" t="s">
        <v>1109</v>
      </c>
      <c r="G330" s="24">
        <v>3</v>
      </c>
      <c r="H330" s="21">
        <v>46248</v>
      </c>
      <c r="I330" s="53" t="s">
        <v>2739</v>
      </c>
      <c r="J330" s="24" t="s">
        <v>2740</v>
      </c>
      <c r="K330" s="24">
        <v>3</v>
      </c>
      <c r="L330" s="46">
        <v>12116030</v>
      </c>
      <c r="M330" s="20" t="s">
        <v>1140</v>
      </c>
      <c r="N330" s="38">
        <v>0</v>
      </c>
      <c r="O330" s="38">
        <v>0</v>
      </c>
      <c r="P330" s="20" t="s">
        <v>469</v>
      </c>
      <c r="Q330" s="20">
        <v>0</v>
      </c>
      <c r="R330" s="40">
        <v>46238</v>
      </c>
      <c r="S330" s="20">
        <v>0</v>
      </c>
      <c r="T330" s="20">
        <v>0</v>
      </c>
      <c r="U330" s="40">
        <v>46239</v>
      </c>
      <c r="V330" s="40">
        <v>46239</v>
      </c>
      <c r="W330" s="20" t="s">
        <v>57</v>
      </c>
      <c r="X330" s="21"/>
      <c r="Y330" s="19">
        <f>VLOOKUP(F330,[2]New!$B:$G,3,0)*K330/60</f>
        <v>2.8</v>
      </c>
      <c r="Z330" s="19">
        <f>VLOOKUP(F330,[2]New!$B:$G,4,0)*K330/60</f>
        <v>11.7</v>
      </c>
      <c r="AA330" s="19">
        <f>VLOOKUP(F330,[2]New!$B:$G,6,0)*K330/60</f>
        <v>13.159999999999998</v>
      </c>
      <c r="AB330" s="44">
        <f>VLOOKUP(A330,'[4]PO CAG (2)'!$A:$L,12,0)</f>
        <v>46251</v>
      </c>
      <c r="AC330" s="22">
        <f>IFERROR(VLOOKUP(F330,[3]Sheet1!$E:$H,4,0),)</f>
        <v>0</v>
      </c>
      <c r="AD330" s="144">
        <v>3</v>
      </c>
      <c r="AE330" s="25" t="s">
        <v>3023</v>
      </c>
      <c r="AF330" s="135" t="s">
        <v>112</v>
      </c>
      <c r="AG330" s="135"/>
      <c r="AH330" s="135"/>
      <c r="AI330" s="385">
        <v>0</v>
      </c>
      <c r="AJ330" s="267" t="s">
        <v>153</v>
      </c>
      <c r="AN330" s="278">
        <v>2</v>
      </c>
      <c r="AO330" s="278">
        <v>2</v>
      </c>
      <c r="AP330" s="278">
        <v>2</v>
      </c>
      <c r="AQ330" s="278">
        <v>2</v>
      </c>
    </row>
    <row r="331" spans="1:43">
      <c r="A331" s="135" t="s">
        <v>2741</v>
      </c>
      <c r="B331" s="135" t="s">
        <v>2887</v>
      </c>
      <c r="C331" s="135" t="s">
        <v>2742</v>
      </c>
      <c r="D331" s="46">
        <v>11119513</v>
      </c>
      <c r="E331" s="20" t="s">
        <v>2743</v>
      </c>
      <c r="F331" s="20" t="s">
        <v>2744</v>
      </c>
      <c r="G331" s="24">
        <v>3</v>
      </c>
      <c r="H331" s="21">
        <v>46248</v>
      </c>
      <c r="I331" s="53" t="s">
        <v>2745</v>
      </c>
      <c r="J331" s="24" t="s">
        <v>2746</v>
      </c>
      <c r="K331" s="24">
        <v>3</v>
      </c>
      <c r="L331" s="46">
        <v>12116148</v>
      </c>
      <c r="M331" s="20" t="s">
        <v>2863</v>
      </c>
      <c r="N331" s="38">
        <v>0</v>
      </c>
      <c r="O331" s="38">
        <v>0</v>
      </c>
      <c r="P331" s="20" t="s">
        <v>469</v>
      </c>
      <c r="Q331" s="20">
        <v>0</v>
      </c>
      <c r="R331" s="40">
        <v>46238</v>
      </c>
      <c r="S331" s="20">
        <v>0</v>
      </c>
      <c r="T331" s="20">
        <v>0</v>
      </c>
      <c r="U331" s="40">
        <v>46239</v>
      </c>
      <c r="V331" s="40">
        <v>46239</v>
      </c>
      <c r="W331" s="20" t="s">
        <v>57</v>
      </c>
      <c r="X331" s="21"/>
      <c r="Y331" s="19">
        <f>VLOOKUP(F331,[2]New!$B:$G,3,0)*K331/60</f>
        <v>2.8</v>
      </c>
      <c r="Z331" s="19">
        <f>VLOOKUP(F331,[2]New!$B:$G,4,0)*K331/60</f>
        <v>11.7</v>
      </c>
      <c r="AA331" s="19">
        <f>VLOOKUP(F331,[2]New!$B:$G,6,0)*K331/60</f>
        <v>14.459999999999999</v>
      </c>
      <c r="AB331" s="44">
        <f>VLOOKUP(A331,'[4]PO CAG (2)'!$A:$L,12,0)</f>
        <v>46251</v>
      </c>
      <c r="AC331" s="22">
        <f>IFERROR(VLOOKUP(F331,[3]Sheet1!$E:$H,4,0),)</f>
        <v>0</v>
      </c>
      <c r="AD331" s="144">
        <v>3</v>
      </c>
      <c r="AE331" s="25" t="s">
        <v>3023</v>
      </c>
      <c r="AF331" s="135" t="s">
        <v>112</v>
      </c>
      <c r="AG331" s="135"/>
      <c r="AH331" s="135"/>
      <c r="AI331" s="385">
        <v>0</v>
      </c>
      <c r="AJ331" s="267" t="s">
        <v>153</v>
      </c>
      <c r="AN331" s="278">
        <v>2</v>
      </c>
      <c r="AO331" s="278">
        <v>2</v>
      </c>
      <c r="AP331" s="278">
        <v>2</v>
      </c>
      <c r="AQ331" s="278">
        <v>2</v>
      </c>
    </row>
    <row r="332" spans="1:43">
      <c r="A332" s="135" t="s">
        <v>2747</v>
      </c>
      <c r="B332" s="135" t="s">
        <v>2888</v>
      </c>
      <c r="C332" s="135" t="s">
        <v>2748</v>
      </c>
      <c r="D332" s="46">
        <v>11119514</v>
      </c>
      <c r="E332" s="20" t="s">
        <v>2749</v>
      </c>
      <c r="F332" s="20" t="s">
        <v>2750</v>
      </c>
      <c r="G332" s="24">
        <v>3</v>
      </c>
      <c r="H332" s="21">
        <v>46248</v>
      </c>
      <c r="I332" s="53" t="s">
        <v>2751</v>
      </c>
      <c r="J332" s="24" t="s">
        <v>2752</v>
      </c>
      <c r="K332" s="24">
        <v>3</v>
      </c>
      <c r="L332" s="46">
        <v>12116149</v>
      </c>
      <c r="M332" s="20" t="s">
        <v>2864</v>
      </c>
      <c r="N332" s="38">
        <v>0</v>
      </c>
      <c r="O332" s="38">
        <v>0</v>
      </c>
      <c r="P332" s="20" t="s">
        <v>469</v>
      </c>
      <c r="Q332" s="20">
        <v>0</v>
      </c>
      <c r="R332" s="40">
        <v>46238</v>
      </c>
      <c r="S332" s="20">
        <v>0</v>
      </c>
      <c r="T332" s="20">
        <v>0</v>
      </c>
      <c r="U332" s="40">
        <v>46239</v>
      </c>
      <c r="V332" s="40">
        <v>46239</v>
      </c>
      <c r="W332" s="20" t="s">
        <v>57</v>
      </c>
      <c r="X332" s="21"/>
      <c r="Y332" s="19">
        <f>VLOOKUP(F332,[2]New!$B:$G,3,0)*K332/60</f>
        <v>2.8</v>
      </c>
      <c r="Z332" s="19">
        <f>VLOOKUP(F332,[2]New!$B:$G,4,0)*K332/60</f>
        <v>11.7</v>
      </c>
      <c r="AA332" s="19">
        <f>VLOOKUP(F332,[2]New!$B:$G,6,0)*K332/60</f>
        <v>14.459999999999999</v>
      </c>
      <c r="AB332" s="44">
        <f>VLOOKUP(A332,'[4]PO CAG (2)'!$A:$L,12,0)</f>
        <v>46251</v>
      </c>
      <c r="AC332" s="22">
        <f>IFERROR(VLOOKUP(F332,[3]Sheet1!$E:$H,4,0),)</f>
        <v>0</v>
      </c>
      <c r="AD332" s="144">
        <v>3</v>
      </c>
      <c r="AE332" s="25" t="s">
        <v>3023</v>
      </c>
      <c r="AF332" s="135" t="s">
        <v>112</v>
      </c>
      <c r="AG332" s="135"/>
      <c r="AH332" s="135"/>
      <c r="AI332" s="385">
        <v>0</v>
      </c>
      <c r="AJ332" s="267" t="s">
        <v>153</v>
      </c>
      <c r="AN332" s="278">
        <v>2</v>
      </c>
      <c r="AO332" s="278">
        <v>2</v>
      </c>
      <c r="AP332" s="278">
        <v>2</v>
      </c>
      <c r="AQ332" s="278">
        <v>2</v>
      </c>
    </row>
    <row r="333" spans="1:43">
      <c r="A333" s="135" t="s">
        <v>2753</v>
      </c>
      <c r="B333" s="135" t="s">
        <v>2889</v>
      </c>
      <c r="C333" s="135" t="s">
        <v>2754</v>
      </c>
      <c r="D333" s="46">
        <v>11119392</v>
      </c>
      <c r="E333" s="20" t="s">
        <v>992</v>
      </c>
      <c r="F333" s="20" t="s">
        <v>993</v>
      </c>
      <c r="G333" s="24">
        <v>4</v>
      </c>
      <c r="H333" s="21">
        <v>46248</v>
      </c>
      <c r="I333" s="53" t="s">
        <v>2755</v>
      </c>
      <c r="J333" s="24" t="s">
        <v>2756</v>
      </c>
      <c r="K333" s="24">
        <v>4</v>
      </c>
      <c r="L333" s="46">
        <v>12116027</v>
      </c>
      <c r="M333" s="20" t="s">
        <v>370</v>
      </c>
      <c r="N333" s="38">
        <v>0</v>
      </c>
      <c r="O333" s="38">
        <v>0</v>
      </c>
      <c r="P333" s="20" t="s">
        <v>469</v>
      </c>
      <c r="Q333" s="20">
        <v>0</v>
      </c>
      <c r="R333" s="40">
        <v>46238</v>
      </c>
      <c r="S333" s="20">
        <v>0</v>
      </c>
      <c r="T333" s="20">
        <v>0</v>
      </c>
      <c r="U333" s="40">
        <v>46239</v>
      </c>
      <c r="V333" s="40">
        <v>46239</v>
      </c>
      <c r="W333" s="20" t="s">
        <v>57</v>
      </c>
      <c r="X333" s="21"/>
      <c r="Y333" s="19">
        <f>VLOOKUP(F333,[2]New!$B:$G,3,0)*K333/60</f>
        <v>3.7333333333333334</v>
      </c>
      <c r="Z333" s="19">
        <f>VLOOKUP(F333,[2]New!$B:$G,4,0)*K333/60</f>
        <v>15.6</v>
      </c>
      <c r="AA333" s="19">
        <f>VLOOKUP(F333,[2]New!$B:$G,6,0)*K333/60</f>
        <v>19.279999999999998</v>
      </c>
      <c r="AB333" s="44">
        <f>VLOOKUP(A333,'[4]PO CAG (2)'!$A:$L,12,0)</f>
        <v>46251</v>
      </c>
      <c r="AC333" s="22">
        <f>IFERROR(VLOOKUP(F333,[3]Sheet1!$E:$H,4,0),)</f>
        <v>0</v>
      </c>
      <c r="AD333" s="144">
        <v>4</v>
      </c>
      <c r="AE333" s="25" t="s">
        <v>3023</v>
      </c>
      <c r="AF333" s="135" t="s">
        <v>112</v>
      </c>
      <c r="AG333" s="135"/>
      <c r="AH333" s="135"/>
      <c r="AI333" s="385">
        <v>0</v>
      </c>
      <c r="AJ333" s="267" t="s">
        <v>153</v>
      </c>
      <c r="AN333" s="278">
        <v>2</v>
      </c>
      <c r="AO333" s="278">
        <v>2</v>
      </c>
      <c r="AP333" s="278">
        <v>2</v>
      </c>
      <c r="AQ333" s="278">
        <v>2</v>
      </c>
    </row>
    <row r="334" spans="1:43">
      <c r="A334" s="135" t="s">
        <v>2757</v>
      </c>
      <c r="B334" s="135" t="s">
        <v>2890</v>
      </c>
      <c r="C334" s="135" t="s">
        <v>2758</v>
      </c>
      <c r="D334" s="46">
        <v>11119445</v>
      </c>
      <c r="E334" s="20" t="s">
        <v>857</v>
      </c>
      <c r="F334" s="20" t="s">
        <v>858</v>
      </c>
      <c r="G334" s="24">
        <v>4</v>
      </c>
      <c r="H334" s="21">
        <v>46248</v>
      </c>
      <c r="I334" s="53" t="s">
        <v>2759</v>
      </c>
      <c r="J334" s="24" t="s">
        <v>2760</v>
      </c>
      <c r="K334" s="24">
        <v>4</v>
      </c>
      <c r="L334" s="46">
        <v>12116080</v>
      </c>
      <c r="M334" s="20" t="s">
        <v>875</v>
      </c>
      <c r="N334" s="38">
        <v>0</v>
      </c>
      <c r="O334" s="38">
        <v>0</v>
      </c>
      <c r="P334" s="20" t="s">
        <v>469</v>
      </c>
      <c r="Q334" s="20">
        <v>0</v>
      </c>
      <c r="R334" s="40">
        <v>46238</v>
      </c>
      <c r="S334" s="20">
        <v>0</v>
      </c>
      <c r="T334" s="20">
        <v>0</v>
      </c>
      <c r="U334" s="40">
        <v>46239</v>
      </c>
      <c r="V334" s="40">
        <v>46239</v>
      </c>
      <c r="W334" s="20" t="s">
        <v>57</v>
      </c>
      <c r="X334" s="21"/>
      <c r="Y334" s="19">
        <f>VLOOKUP(F334,[2]New!$B:$G,3,0)*K334/60</f>
        <v>3.7333333333333334</v>
      </c>
      <c r="Z334" s="19">
        <f>VLOOKUP(F334,[2]New!$B:$G,4,0)*K334/60</f>
        <v>15.6</v>
      </c>
      <c r="AA334" s="19">
        <f>VLOOKUP(F334,[2]New!$B:$G,6,0)*K334/60</f>
        <v>19.279999999999998</v>
      </c>
      <c r="AB334" s="44">
        <f>VLOOKUP(A334,'[4]PO CAG (2)'!$A:$L,12,0)</f>
        <v>46251</v>
      </c>
      <c r="AC334" s="22">
        <f>IFERROR(VLOOKUP(F334,[3]Sheet1!$E:$H,4,0),)</f>
        <v>0</v>
      </c>
      <c r="AD334" s="144">
        <v>4</v>
      </c>
      <c r="AE334" s="25" t="s">
        <v>3023</v>
      </c>
      <c r="AF334" s="135" t="s">
        <v>112</v>
      </c>
      <c r="AG334" s="135"/>
      <c r="AH334" s="135"/>
      <c r="AI334" s="385">
        <v>0</v>
      </c>
      <c r="AJ334" s="267" t="s">
        <v>153</v>
      </c>
      <c r="AN334" s="278">
        <v>2</v>
      </c>
      <c r="AO334" s="278">
        <v>2</v>
      </c>
      <c r="AP334" s="278">
        <v>2</v>
      </c>
      <c r="AQ334" s="278">
        <v>2</v>
      </c>
    </row>
    <row r="335" spans="1:43">
      <c r="A335" s="135" t="s">
        <v>2761</v>
      </c>
      <c r="B335" s="135" t="s">
        <v>2891</v>
      </c>
      <c r="C335" s="135" t="s">
        <v>2762</v>
      </c>
      <c r="D335" s="46">
        <v>11119421</v>
      </c>
      <c r="E335" s="20" t="s">
        <v>1120</v>
      </c>
      <c r="F335" s="20" t="s">
        <v>1121</v>
      </c>
      <c r="G335" s="24">
        <v>5</v>
      </c>
      <c r="H335" s="21">
        <v>46248</v>
      </c>
      <c r="I335" s="53" t="s">
        <v>2763</v>
      </c>
      <c r="J335" s="24" t="s">
        <v>2764</v>
      </c>
      <c r="K335" s="24">
        <v>5</v>
      </c>
      <c r="L335" s="46">
        <v>12116056</v>
      </c>
      <c r="M335" s="20" t="s">
        <v>1147</v>
      </c>
      <c r="N335" s="38">
        <v>0</v>
      </c>
      <c r="O335" s="38">
        <v>0</v>
      </c>
      <c r="P335" s="20" t="s">
        <v>469</v>
      </c>
      <c r="Q335" s="20">
        <v>0</v>
      </c>
      <c r="R335" s="40">
        <v>46238</v>
      </c>
      <c r="S335" s="20">
        <v>0</v>
      </c>
      <c r="T335" s="20">
        <v>0</v>
      </c>
      <c r="U335" s="40">
        <v>46239</v>
      </c>
      <c r="V335" s="40">
        <v>46239</v>
      </c>
      <c r="W335" s="20" t="s">
        <v>57</v>
      </c>
      <c r="X335" s="21"/>
      <c r="Y335" s="19">
        <f>VLOOKUP(F335,[2]New!$B:$G,3,0)*K335/60</f>
        <v>4.666666666666667</v>
      </c>
      <c r="Z335" s="19">
        <f>VLOOKUP(F335,[2]New!$B:$G,4,0)*K335/60</f>
        <v>19.5</v>
      </c>
      <c r="AA335" s="19">
        <f>VLOOKUP(F335,[2]New!$B:$G,6,0)*K335/60</f>
        <v>24.1</v>
      </c>
      <c r="AB335" s="44">
        <f>VLOOKUP(A335,'[4]PO CAG (2)'!$A:$L,12,0)</f>
        <v>46251</v>
      </c>
      <c r="AC335" s="22">
        <f>IFERROR(VLOOKUP(F335,[3]Sheet1!$E:$H,4,0),)</f>
        <v>0</v>
      </c>
      <c r="AD335" s="144">
        <v>5</v>
      </c>
      <c r="AE335" s="25" t="s">
        <v>3023</v>
      </c>
      <c r="AF335" s="135" t="s">
        <v>112</v>
      </c>
      <c r="AG335" s="135"/>
      <c r="AH335" s="135"/>
      <c r="AI335" s="385">
        <v>0</v>
      </c>
      <c r="AJ335" s="267" t="s">
        <v>153</v>
      </c>
      <c r="AN335" s="278">
        <v>2</v>
      </c>
      <c r="AO335" s="278">
        <v>2</v>
      </c>
      <c r="AP335" s="278">
        <v>2</v>
      </c>
      <c r="AQ335" s="278">
        <v>2</v>
      </c>
    </row>
    <row r="336" spans="1:43">
      <c r="A336" s="135" t="s">
        <v>2765</v>
      </c>
      <c r="B336" s="135" t="s">
        <v>2892</v>
      </c>
      <c r="C336" s="135" t="s">
        <v>2766</v>
      </c>
      <c r="D336" s="46">
        <v>11119535</v>
      </c>
      <c r="E336" s="20" t="s">
        <v>588</v>
      </c>
      <c r="F336" s="20" t="s">
        <v>589</v>
      </c>
      <c r="G336" s="24">
        <v>5</v>
      </c>
      <c r="H336" s="21">
        <v>46248</v>
      </c>
      <c r="I336" s="53" t="s">
        <v>2767</v>
      </c>
      <c r="J336" s="24" t="s">
        <v>2768</v>
      </c>
      <c r="K336" s="24">
        <v>5</v>
      </c>
      <c r="L336" s="46">
        <v>12116170</v>
      </c>
      <c r="M336" s="20" t="s">
        <v>615</v>
      </c>
      <c r="N336" s="38">
        <v>0</v>
      </c>
      <c r="O336" s="38">
        <v>0</v>
      </c>
      <c r="P336" s="20" t="s">
        <v>469</v>
      </c>
      <c r="Q336" s="20">
        <v>0</v>
      </c>
      <c r="R336" s="40">
        <v>46238</v>
      </c>
      <c r="S336" s="20">
        <v>0</v>
      </c>
      <c r="T336" s="20">
        <v>0</v>
      </c>
      <c r="U336" s="40">
        <v>46239</v>
      </c>
      <c r="V336" s="40">
        <v>46239</v>
      </c>
      <c r="W336" s="20" t="s">
        <v>57</v>
      </c>
      <c r="X336" s="21"/>
      <c r="Y336" s="19">
        <f>VLOOKUP(F336,[2]New!$B:$G,3,0)*K336/60</f>
        <v>4.666666666666667</v>
      </c>
      <c r="Z336" s="19">
        <f>VLOOKUP(F336,[2]New!$B:$G,4,0)*K336/60</f>
        <v>19.5</v>
      </c>
      <c r="AA336" s="19">
        <f>VLOOKUP(F336,[2]New!$B:$G,6,0)*K336/60</f>
        <v>19.5</v>
      </c>
      <c r="AB336" s="44">
        <f>VLOOKUP(A336,'[4]PO CAG (2)'!$A:$L,12,0)</f>
        <v>46251</v>
      </c>
      <c r="AC336" s="22">
        <f>IFERROR(VLOOKUP(F336,[3]Sheet1!$E:$H,4,0),)</f>
        <v>0</v>
      </c>
      <c r="AD336" s="144">
        <v>5</v>
      </c>
      <c r="AE336" s="25" t="s">
        <v>3023</v>
      </c>
      <c r="AF336" s="135" t="s">
        <v>112</v>
      </c>
      <c r="AG336" s="135"/>
      <c r="AH336" s="135"/>
      <c r="AI336" s="385">
        <v>0</v>
      </c>
      <c r="AJ336" s="267" t="s">
        <v>153</v>
      </c>
      <c r="AN336" s="278">
        <v>2</v>
      </c>
      <c r="AO336" s="278">
        <v>2</v>
      </c>
      <c r="AP336" s="278">
        <v>2</v>
      </c>
      <c r="AQ336" s="278">
        <v>2</v>
      </c>
    </row>
    <row r="337" spans="1:43">
      <c r="A337" s="135" t="s">
        <v>2769</v>
      </c>
      <c r="B337" s="135" t="s">
        <v>2893</v>
      </c>
      <c r="C337" s="135" t="s">
        <v>2770</v>
      </c>
      <c r="D337" s="46">
        <v>11119454</v>
      </c>
      <c r="E337" s="20" t="s">
        <v>1160</v>
      </c>
      <c r="F337" s="20" t="s">
        <v>1161</v>
      </c>
      <c r="G337" s="24">
        <v>5</v>
      </c>
      <c r="H337" s="21">
        <v>46248</v>
      </c>
      <c r="I337" s="53" t="s">
        <v>2771</v>
      </c>
      <c r="J337" s="24" t="s">
        <v>2772</v>
      </c>
      <c r="K337" s="24">
        <v>5</v>
      </c>
      <c r="L337" s="46">
        <v>12116089</v>
      </c>
      <c r="M337" s="20" t="s">
        <v>1175</v>
      </c>
      <c r="N337" s="38">
        <v>0</v>
      </c>
      <c r="O337" s="38">
        <v>0</v>
      </c>
      <c r="P337" s="20" t="s">
        <v>469</v>
      </c>
      <c r="Q337" s="20">
        <v>0</v>
      </c>
      <c r="R337" s="40">
        <v>46238</v>
      </c>
      <c r="S337" s="20">
        <v>0</v>
      </c>
      <c r="T337" s="20">
        <v>0</v>
      </c>
      <c r="U337" s="40">
        <v>46239</v>
      </c>
      <c r="V337" s="40">
        <v>46239</v>
      </c>
      <c r="W337" s="20" t="s">
        <v>57</v>
      </c>
      <c r="X337" s="21"/>
      <c r="Y337" s="19">
        <f>VLOOKUP(F337,[2]New!$B:$G,3,0)*K337/60</f>
        <v>4.666666666666667</v>
      </c>
      <c r="Z337" s="19">
        <f>VLOOKUP(F337,[2]New!$B:$G,4,0)*K337/60</f>
        <v>19.5</v>
      </c>
      <c r="AA337" s="19">
        <f>VLOOKUP(F337,[2]New!$B:$G,6,0)*K337/60</f>
        <v>24.083333333333332</v>
      </c>
      <c r="AB337" s="44">
        <f>VLOOKUP(A337,'[4]PO CAG (2)'!$A:$L,12,0)</f>
        <v>46251</v>
      </c>
      <c r="AC337" s="22">
        <f>IFERROR(VLOOKUP(F337,[3]Sheet1!$E:$H,4,0),)</f>
        <v>0</v>
      </c>
      <c r="AD337" s="144">
        <v>5</v>
      </c>
      <c r="AE337" s="25" t="s">
        <v>3023</v>
      </c>
      <c r="AF337" s="135" t="s">
        <v>112</v>
      </c>
      <c r="AG337" s="135"/>
      <c r="AH337" s="135"/>
      <c r="AI337" s="385">
        <v>0</v>
      </c>
      <c r="AJ337" s="267" t="s">
        <v>153</v>
      </c>
      <c r="AN337" s="278">
        <v>2</v>
      </c>
      <c r="AO337" s="278">
        <v>2</v>
      </c>
      <c r="AP337" s="278">
        <v>2</v>
      </c>
      <c r="AQ337" s="278">
        <v>2</v>
      </c>
    </row>
    <row r="338" spans="1:43">
      <c r="A338" s="135" t="s">
        <v>2773</v>
      </c>
      <c r="B338" s="135" t="s">
        <v>2894</v>
      </c>
      <c r="C338" s="135" t="s">
        <v>2774</v>
      </c>
      <c r="D338" s="46">
        <v>11119512</v>
      </c>
      <c r="E338" s="20" t="s">
        <v>978</v>
      </c>
      <c r="F338" s="20" t="s">
        <v>979</v>
      </c>
      <c r="G338" s="24">
        <v>5</v>
      </c>
      <c r="H338" s="21">
        <v>46248</v>
      </c>
      <c r="I338" s="53" t="s">
        <v>2775</v>
      </c>
      <c r="J338" s="24" t="s">
        <v>2776</v>
      </c>
      <c r="K338" s="24">
        <v>5</v>
      </c>
      <c r="L338" s="46">
        <v>12116147</v>
      </c>
      <c r="M338" s="20" t="s">
        <v>1015</v>
      </c>
      <c r="N338" s="38">
        <v>0</v>
      </c>
      <c r="O338" s="38">
        <v>0</v>
      </c>
      <c r="P338" s="20" t="s">
        <v>469</v>
      </c>
      <c r="Q338" s="20">
        <v>0</v>
      </c>
      <c r="R338" s="40">
        <v>46238</v>
      </c>
      <c r="S338" s="20">
        <v>0</v>
      </c>
      <c r="T338" s="20">
        <v>0</v>
      </c>
      <c r="U338" s="40">
        <v>46239</v>
      </c>
      <c r="V338" s="40">
        <v>46239</v>
      </c>
      <c r="W338" s="20" t="s">
        <v>57</v>
      </c>
      <c r="X338" s="21"/>
      <c r="Y338" s="19">
        <f>VLOOKUP(F338,[2]New!$B:$G,3,0)*K338/60</f>
        <v>4.666666666666667</v>
      </c>
      <c r="Z338" s="19">
        <f>VLOOKUP(F338,[2]New!$B:$G,4,0)*K338/60</f>
        <v>19.5</v>
      </c>
      <c r="AA338" s="19">
        <f>VLOOKUP(F338,[2]New!$B:$G,6,0)*K338/60</f>
        <v>24.1</v>
      </c>
      <c r="AB338" s="44">
        <f>VLOOKUP(A338,'[4]PO CAG (2)'!$A:$L,12,0)</f>
        <v>46251</v>
      </c>
      <c r="AC338" s="22">
        <f>IFERROR(VLOOKUP(F338,[3]Sheet1!$E:$H,4,0),)</f>
        <v>0</v>
      </c>
      <c r="AD338" s="144">
        <v>5</v>
      </c>
      <c r="AE338" s="25" t="s">
        <v>3023</v>
      </c>
      <c r="AF338" s="135" t="s">
        <v>112</v>
      </c>
      <c r="AG338" s="135"/>
      <c r="AH338" s="135"/>
      <c r="AI338" s="385">
        <v>0</v>
      </c>
      <c r="AJ338" s="267" t="s">
        <v>153</v>
      </c>
      <c r="AN338" s="278">
        <v>2</v>
      </c>
      <c r="AO338" s="278">
        <v>2</v>
      </c>
      <c r="AP338" s="278">
        <v>2</v>
      </c>
      <c r="AQ338" s="278">
        <v>2</v>
      </c>
    </row>
    <row r="339" spans="1:43">
      <c r="A339" s="135" t="s">
        <v>2777</v>
      </c>
      <c r="B339" s="135" t="s">
        <v>2895</v>
      </c>
      <c r="C339" s="135" t="s">
        <v>2778</v>
      </c>
      <c r="D339" s="46">
        <v>11119554</v>
      </c>
      <c r="E339" s="20" t="s">
        <v>851</v>
      </c>
      <c r="F339" s="20" t="s">
        <v>852</v>
      </c>
      <c r="G339" s="24">
        <v>5</v>
      </c>
      <c r="H339" s="21">
        <v>46248</v>
      </c>
      <c r="I339" s="53" t="s">
        <v>2779</v>
      </c>
      <c r="J339" s="24" t="s">
        <v>2780</v>
      </c>
      <c r="K339" s="24">
        <v>5</v>
      </c>
      <c r="L339" s="46">
        <v>12116189</v>
      </c>
      <c r="M339" s="20" t="s">
        <v>873</v>
      </c>
      <c r="N339" s="38">
        <v>0</v>
      </c>
      <c r="O339" s="38">
        <v>0</v>
      </c>
      <c r="P339" s="20" t="s">
        <v>469</v>
      </c>
      <c r="Q339" s="20">
        <v>0</v>
      </c>
      <c r="R339" s="40">
        <v>46238</v>
      </c>
      <c r="S339" s="20">
        <v>0</v>
      </c>
      <c r="T339" s="20">
        <v>0</v>
      </c>
      <c r="U339" s="40">
        <v>46239</v>
      </c>
      <c r="V339" s="40">
        <v>46239</v>
      </c>
      <c r="W339" s="20" t="s">
        <v>57</v>
      </c>
      <c r="X339" s="21"/>
      <c r="Y339" s="19">
        <f>VLOOKUP(F339,[2]New!$B:$G,3,0)*K339/60</f>
        <v>4.666666666666667</v>
      </c>
      <c r="Z339" s="19">
        <f>VLOOKUP(F339,[2]New!$B:$G,4,0)*K339/60</f>
        <v>19.5</v>
      </c>
      <c r="AA339" s="19">
        <f>VLOOKUP(F339,[2]New!$B:$G,6,0)*K339/60</f>
        <v>24.1</v>
      </c>
      <c r="AB339" s="44">
        <f>VLOOKUP(A339,'[4]PO CAG (2)'!$A:$L,12,0)</f>
        <v>46251</v>
      </c>
      <c r="AC339" s="22">
        <f>IFERROR(VLOOKUP(F339,[3]Sheet1!$E:$H,4,0),)</f>
        <v>0</v>
      </c>
      <c r="AD339" s="144">
        <v>5</v>
      </c>
      <c r="AE339" s="25" t="s">
        <v>3023</v>
      </c>
      <c r="AF339" s="135" t="s">
        <v>112</v>
      </c>
      <c r="AG339" s="135"/>
      <c r="AH339" s="135"/>
      <c r="AI339" s="385">
        <v>0</v>
      </c>
      <c r="AJ339" s="267" t="s">
        <v>153</v>
      </c>
      <c r="AN339" s="278">
        <v>2</v>
      </c>
      <c r="AO339" s="278">
        <v>2</v>
      </c>
      <c r="AP339" s="278">
        <v>2</v>
      </c>
      <c r="AQ339" s="278">
        <v>2</v>
      </c>
    </row>
    <row r="340" spans="1:43">
      <c r="A340" s="135" t="s">
        <v>2781</v>
      </c>
      <c r="B340" s="135" t="s">
        <v>2896</v>
      </c>
      <c r="C340" s="135" t="s">
        <v>2782</v>
      </c>
      <c r="D340" s="46">
        <v>11119385</v>
      </c>
      <c r="E340" s="20" t="s">
        <v>998</v>
      </c>
      <c r="F340" s="20" t="s">
        <v>999</v>
      </c>
      <c r="G340" s="24">
        <v>6</v>
      </c>
      <c r="H340" s="21">
        <v>46248</v>
      </c>
      <c r="I340" s="53" t="s">
        <v>2783</v>
      </c>
      <c r="J340" s="24" t="s">
        <v>2784</v>
      </c>
      <c r="K340" s="24">
        <v>6</v>
      </c>
      <c r="L340" s="46">
        <v>12116020</v>
      </c>
      <c r="M340" s="20" t="s">
        <v>1024</v>
      </c>
      <c r="N340" s="38">
        <v>0</v>
      </c>
      <c r="O340" s="38">
        <v>0</v>
      </c>
      <c r="P340" s="20" t="s">
        <v>469</v>
      </c>
      <c r="Q340" s="20">
        <v>0</v>
      </c>
      <c r="R340" s="40">
        <v>46238</v>
      </c>
      <c r="S340" s="20">
        <v>0</v>
      </c>
      <c r="T340" s="20">
        <v>0</v>
      </c>
      <c r="U340" s="40">
        <v>46239</v>
      </c>
      <c r="V340" s="40">
        <v>46239</v>
      </c>
      <c r="W340" s="20" t="s">
        <v>57</v>
      </c>
      <c r="X340" s="21"/>
      <c r="Y340" s="19">
        <f>VLOOKUP(F340,[2]New!$B:$G,3,0)*K340/60</f>
        <v>5.6</v>
      </c>
      <c r="Z340" s="19">
        <f>VLOOKUP(F340,[2]New!$B:$G,4,0)*K340/60</f>
        <v>23.4</v>
      </c>
      <c r="AA340" s="19">
        <f>VLOOKUP(F340,[2]New!$B:$G,6,0)*K340/60</f>
        <v>28.919999999999998</v>
      </c>
      <c r="AB340" s="44">
        <f>VLOOKUP(A340,'[4]PO CAG (2)'!$A:$L,12,0)</f>
        <v>46251</v>
      </c>
      <c r="AC340" s="22">
        <f>IFERROR(VLOOKUP(F340,[3]Sheet1!$E:$H,4,0),)</f>
        <v>0</v>
      </c>
      <c r="AD340" s="144">
        <v>6</v>
      </c>
      <c r="AE340" s="25" t="s">
        <v>3023</v>
      </c>
      <c r="AF340" s="135" t="s">
        <v>112</v>
      </c>
      <c r="AG340" s="135"/>
      <c r="AH340" s="135"/>
      <c r="AI340" s="385">
        <v>0</v>
      </c>
      <c r="AJ340" s="267" t="s">
        <v>153</v>
      </c>
      <c r="AN340" s="278">
        <v>2</v>
      </c>
      <c r="AO340" s="278">
        <v>2</v>
      </c>
      <c r="AP340" s="278">
        <v>2</v>
      </c>
      <c r="AQ340" s="278">
        <v>2</v>
      </c>
    </row>
    <row r="341" spans="1:43">
      <c r="A341" s="135" t="s">
        <v>2785</v>
      </c>
      <c r="B341" s="135" t="s">
        <v>2897</v>
      </c>
      <c r="C341" s="135" t="s">
        <v>2786</v>
      </c>
      <c r="D341" s="46">
        <v>11119540</v>
      </c>
      <c r="E341" s="20" t="s">
        <v>1135</v>
      </c>
      <c r="F341" s="20" t="s">
        <v>1136</v>
      </c>
      <c r="G341" s="24">
        <v>6</v>
      </c>
      <c r="H341" s="21">
        <v>46248</v>
      </c>
      <c r="I341" s="53" t="s">
        <v>2787</v>
      </c>
      <c r="J341" s="24" t="s">
        <v>2788</v>
      </c>
      <c r="K341" s="24">
        <v>6</v>
      </c>
      <c r="L341" s="46">
        <v>12116175</v>
      </c>
      <c r="M341" s="20" t="s">
        <v>1152</v>
      </c>
      <c r="N341" s="38">
        <v>0</v>
      </c>
      <c r="O341" s="38">
        <v>0</v>
      </c>
      <c r="P341" s="20" t="s">
        <v>469</v>
      </c>
      <c r="Q341" s="20">
        <v>0</v>
      </c>
      <c r="R341" s="40">
        <v>46238</v>
      </c>
      <c r="S341" s="20">
        <v>0</v>
      </c>
      <c r="T341" s="20">
        <v>0</v>
      </c>
      <c r="U341" s="40">
        <v>46239</v>
      </c>
      <c r="V341" s="40">
        <v>46239</v>
      </c>
      <c r="W341" s="20" t="s">
        <v>57</v>
      </c>
      <c r="X341" s="21"/>
      <c r="Y341" s="19">
        <f>VLOOKUP(F341,[2]New!$B:$G,3,0)*K341/60</f>
        <v>5.6</v>
      </c>
      <c r="Z341" s="19">
        <f>VLOOKUP(F341,[2]New!$B:$G,4,0)*K341/60</f>
        <v>23.4</v>
      </c>
      <c r="AA341" s="19">
        <f>VLOOKUP(F341,[2]New!$B:$G,6,0)*K341/60</f>
        <v>28.919999999999998</v>
      </c>
      <c r="AB341" s="44">
        <f>VLOOKUP(A341,'[4]PO CAG (2)'!$A:$L,12,0)</f>
        <v>46251</v>
      </c>
      <c r="AC341" s="22">
        <f>IFERROR(VLOOKUP(F341,[3]Sheet1!$E:$H,4,0),)</f>
        <v>0</v>
      </c>
      <c r="AD341" s="144">
        <v>6</v>
      </c>
      <c r="AE341" s="25" t="s">
        <v>3023</v>
      </c>
      <c r="AF341" s="135" t="s">
        <v>112</v>
      </c>
      <c r="AG341" s="135"/>
      <c r="AH341" s="135"/>
      <c r="AI341" s="385">
        <v>0</v>
      </c>
      <c r="AJ341" s="267" t="s">
        <v>153</v>
      </c>
      <c r="AN341" s="278">
        <v>2</v>
      </c>
      <c r="AO341" s="278">
        <v>2</v>
      </c>
      <c r="AP341" s="278">
        <v>2</v>
      </c>
      <c r="AQ341" s="278">
        <v>2</v>
      </c>
    </row>
    <row r="342" spans="1:43">
      <c r="A342" s="135" t="s">
        <v>2789</v>
      </c>
      <c r="B342" s="135" t="s">
        <v>2898</v>
      </c>
      <c r="C342" s="135" t="s">
        <v>2790</v>
      </c>
      <c r="D342" s="46">
        <v>11119448</v>
      </c>
      <c r="E342" s="20" t="s">
        <v>1164</v>
      </c>
      <c r="F342" s="20" t="s">
        <v>1165</v>
      </c>
      <c r="G342" s="24">
        <v>8</v>
      </c>
      <c r="H342" s="21">
        <v>46248</v>
      </c>
      <c r="I342" s="53" t="s">
        <v>2791</v>
      </c>
      <c r="J342" s="24" t="s">
        <v>2792</v>
      </c>
      <c r="K342" s="24">
        <v>8</v>
      </c>
      <c r="L342" s="46">
        <v>12116083</v>
      </c>
      <c r="M342" s="20" t="s">
        <v>1177</v>
      </c>
      <c r="N342" s="38">
        <v>0</v>
      </c>
      <c r="O342" s="38">
        <v>0</v>
      </c>
      <c r="P342" s="20" t="s">
        <v>469</v>
      </c>
      <c r="Q342" s="20">
        <v>0</v>
      </c>
      <c r="R342" s="40">
        <v>46238</v>
      </c>
      <c r="S342" s="20">
        <v>0</v>
      </c>
      <c r="T342" s="20">
        <v>0</v>
      </c>
      <c r="U342" s="40">
        <v>46239</v>
      </c>
      <c r="V342" s="40">
        <v>46239</v>
      </c>
      <c r="W342" s="20" t="s">
        <v>57</v>
      </c>
      <c r="X342" s="21"/>
      <c r="Y342" s="19">
        <f>VLOOKUP(F342,[2]New!$B:$G,3,0)*K342/60</f>
        <v>7.4666666666666668</v>
      </c>
      <c r="Z342" s="19">
        <f>VLOOKUP(F342,[2]New!$B:$G,4,0)*K342/60</f>
        <v>31.2</v>
      </c>
      <c r="AA342" s="19">
        <f>VLOOKUP(F342,[2]New!$B:$G,6,0)*K342/60</f>
        <v>38.559999999999995</v>
      </c>
      <c r="AB342" s="44">
        <f>VLOOKUP(A342,'[4]PO CAG (2)'!$A:$L,12,0)</f>
        <v>46251</v>
      </c>
      <c r="AC342" s="22">
        <f>IFERROR(VLOOKUP(F342,[3]Sheet1!$E:$H,4,0),)</f>
        <v>0</v>
      </c>
      <c r="AD342" s="144">
        <v>8</v>
      </c>
      <c r="AE342" s="25" t="s">
        <v>3023</v>
      </c>
      <c r="AF342" s="135" t="s">
        <v>112</v>
      </c>
      <c r="AG342" s="135"/>
      <c r="AH342" s="135"/>
      <c r="AI342" s="385">
        <v>0</v>
      </c>
      <c r="AJ342" s="267" t="s">
        <v>153</v>
      </c>
      <c r="AN342" s="278">
        <v>2</v>
      </c>
      <c r="AO342" s="278">
        <v>2</v>
      </c>
      <c r="AP342" s="278">
        <v>2</v>
      </c>
      <c r="AQ342" s="278">
        <v>2</v>
      </c>
    </row>
    <row r="343" spans="1:43">
      <c r="A343" s="135" t="s">
        <v>2793</v>
      </c>
      <c r="B343" s="135" t="s">
        <v>2899</v>
      </c>
      <c r="C343" s="135" t="s">
        <v>2794</v>
      </c>
      <c r="D343" s="46">
        <v>11119333</v>
      </c>
      <c r="E343" s="20" t="s">
        <v>853</v>
      </c>
      <c r="F343" s="20" t="s">
        <v>854</v>
      </c>
      <c r="G343" s="24">
        <v>11</v>
      </c>
      <c r="H343" s="21">
        <v>46248</v>
      </c>
      <c r="I343" s="53" t="s">
        <v>2795</v>
      </c>
      <c r="J343" s="24" t="s">
        <v>2796</v>
      </c>
      <c r="K343" s="24">
        <v>11</v>
      </c>
      <c r="L343" s="46">
        <v>12115968</v>
      </c>
      <c r="M343" s="20" t="s">
        <v>106</v>
      </c>
      <c r="N343" s="38">
        <v>0</v>
      </c>
      <c r="O343" s="38">
        <v>0</v>
      </c>
      <c r="P343" s="20" t="s">
        <v>469</v>
      </c>
      <c r="Q343" s="20">
        <v>0</v>
      </c>
      <c r="R343" s="40">
        <v>46238</v>
      </c>
      <c r="S343" s="20">
        <v>0</v>
      </c>
      <c r="T343" s="20">
        <v>0</v>
      </c>
      <c r="U343" s="40">
        <v>46239</v>
      </c>
      <c r="V343" s="40">
        <v>46239</v>
      </c>
      <c r="W343" s="20" t="s">
        <v>57</v>
      </c>
      <c r="X343" s="21"/>
      <c r="Y343" s="19">
        <f>VLOOKUP(F343,[2]New!$B:$G,3,0)*K343/60</f>
        <v>10.266666666666667</v>
      </c>
      <c r="Z343" s="19">
        <f>VLOOKUP(F343,[2]New!$B:$G,4,0)*K343/60</f>
        <v>42.9</v>
      </c>
      <c r="AA343" s="19">
        <f>VLOOKUP(F343,[2]New!$B:$G,6,0)*K343/60</f>
        <v>53.019999999999996</v>
      </c>
      <c r="AB343" s="44">
        <f>VLOOKUP(A343,'[4]PO CAG (2)'!$A:$L,12,0)</f>
        <v>46251</v>
      </c>
      <c r="AC343" s="22">
        <f>IFERROR(VLOOKUP(F343,[3]Sheet1!$E:$H,4,0),)</f>
        <v>0</v>
      </c>
      <c r="AD343" s="144">
        <v>11</v>
      </c>
      <c r="AE343" s="25" t="s">
        <v>3023</v>
      </c>
      <c r="AF343" s="135" t="s">
        <v>112</v>
      </c>
      <c r="AG343" s="135"/>
      <c r="AH343" s="135"/>
      <c r="AI343" s="385">
        <v>0</v>
      </c>
      <c r="AJ343" s="267" t="s">
        <v>153</v>
      </c>
      <c r="AN343" s="278">
        <v>2</v>
      </c>
      <c r="AO343" s="278">
        <v>2</v>
      </c>
      <c r="AP343" s="278">
        <v>2</v>
      </c>
      <c r="AQ343" s="278">
        <v>2</v>
      </c>
    </row>
    <row r="344" spans="1:43">
      <c r="A344" s="135" t="s">
        <v>2797</v>
      </c>
      <c r="B344" s="135" t="s">
        <v>2900</v>
      </c>
      <c r="C344" s="135" t="s">
        <v>2798</v>
      </c>
      <c r="D344" s="46">
        <v>11119631</v>
      </c>
      <c r="E344" s="20" t="s">
        <v>629</v>
      </c>
      <c r="F344" s="20" t="s">
        <v>630</v>
      </c>
      <c r="G344" s="24">
        <v>11</v>
      </c>
      <c r="H344" s="21">
        <v>46248</v>
      </c>
      <c r="I344" s="53" t="s">
        <v>2799</v>
      </c>
      <c r="J344" s="24" t="s">
        <v>2800</v>
      </c>
      <c r="K344" s="24">
        <v>11</v>
      </c>
      <c r="L344" s="46">
        <v>12116266</v>
      </c>
      <c r="M344" s="20" t="s">
        <v>634</v>
      </c>
      <c r="N344" s="38">
        <v>0</v>
      </c>
      <c r="O344" s="38">
        <v>0</v>
      </c>
      <c r="P344" s="20" t="s">
        <v>469</v>
      </c>
      <c r="Q344" s="20">
        <v>0</v>
      </c>
      <c r="R344" s="40">
        <v>46238</v>
      </c>
      <c r="S344" s="20">
        <v>0</v>
      </c>
      <c r="T344" s="20">
        <v>0</v>
      </c>
      <c r="U344" s="40">
        <v>46239</v>
      </c>
      <c r="V344" s="40">
        <v>46239</v>
      </c>
      <c r="W344" s="20" t="s">
        <v>57</v>
      </c>
      <c r="X344" s="21"/>
      <c r="Y344" s="19">
        <f>VLOOKUP(F344,[2]New!$B:$G,3,0)*K344/60</f>
        <v>10.266666666666667</v>
      </c>
      <c r="Z344" s="19">
        <f>VLOOKUP(F344,[2]New!$B:$G,4,0)*K344/60</f>
        <v>42.9</v>
      </c>
      <c r="AA344" s="19">
        <f>VLOOKUP(F344,[2]New!$B:$G,6,0)*K344/60</f>
        <v>53.019999999999996</v>
      </c>
      <c r="AB344" s="44">
        <f>VLOOKUP(A344,'[4]PO CAG (2)'!$A:$L,12,0)</f>
        <v>46251</v>
      </c>
      <c r="AC344" s="22">
        <f>IFERROR(VLOOKUP(F344,[3]Sheet1!$E:$H,4,0),)</f>
        <v>0</v>
      </c>
      <c r="AD344" s="144">
        <v>11</v>
      </c>
      <c r="AE344" s="25" t="s">
        <v>3023</v>
      </c>
      <c r="AF344" s="135" t="s">
        <v>112</v>
      </c>
      <c r="AG344" s="135"/>
      <c r="AH344" s="135"/>
      <c r="AI344" s="385">
        <v>0</v>
      </c>
      <c r="AJ344" s="267" t="s">
        <v>153</v>
      </c>
      <c r="AN344" s="278">
        <v>2</v>
      </c>
      <c r="AO344" s="278">
        <v>2</v>
      </c>
      <c r="AP344" s="278">
        <v>2</v>
      </c>
      <c r="AQ344" s="278">
        <v>2</v>
      </c>
    </row>
    <row r="345" spans="1:43">
      <c r="A345" s="135" t="s">
        <v>2801</v>
      </c>
      <c r="B345" s="135" t="s">
        <v>2901</v>
      </c>
      <c r="C345" s="135" t="s">
        <v>2802</v>
      </c>
      <c r="D345" s="46">
        <v>11119627</v>
      </c>
      <c r="E345" s="20" t="s">
        <v>855</v>
      </c>
      <c r="F345" s="20" t="s">
        <v>856</v>
      </c>
      <c r="G345" s="24">
        <v>14</v>
      </c>
      <c r="H345" s="21">
        <v>46248</v>
      </c>
      <c r="I345" s="53" t="s">
        <v>2803</v>
      </c>
      <c r="J345" s="24" t="s">
        <v>2804</v>
      </c>
      <c r="K345" s="24">
        <v>14</v>
      </c>
      <c r="L345" s="46">
        <v>12116262</v>
      </c>
      <c r="M345" s="20" t="s">
        <v>874</v>
      </c>
      <c r="N345" s="38">
        <v>0</v>
      </c>
      <c r="O345" s="38">
        <v>0</v>
      </c>
      <c r="P345" s="20" t="s">
        <v>469</v>
      </c>
      <c r="Q345" s="20">
        <v>0</v>
      </c>
      <c r="R345" s="40">
        <v>46238</v>
      </c>
      <c r="S345" s="20">
        <v>0</v>
      </c>
      <c r="T345" s="20">
        <v>0</v>
      </c>
      <c r="U345" s="40">
        <v>46239</v>
      </c>
      <c r="V345" s="40">
        <v>46239</v>
      </c>
      <c r="W345" s="20" t="s">
        <v>57</v>
      </c>
      <c r="X345" s="21"/>
      <c r="Y345" s="19">
        <f>VLOOKUP(F345,[2]New!$B:$G,3,0)*K345/60</f>
        <v>13.066666666666666</v>
      </c>
      <c r="Z345" s="19">
        <f>VLOOKUP(F345,[2]New!$B:$G,4,0)*K345/60</f>
        <v>54.6</v>
      </c>
      <c r="AA345" s="19">
        <f>VLOOKUP(F345,[2]New!$B:$G,6,0)*K345/60</f>
        <v>67.47999999999999</v>
      </c>
      <c r="AB345" s="44">
        <f>VLOOKUP(A345,'[4]PO CAG (2)'!$A:$L,12,0)</f>
        <v>46251</v>
      </c>
      <c r="AC345" s="22">
        <f>IFERROR(VLOOKUP(F345,[3]Sheet1!$E:$H,4,0),)</f>
        <v>0</v>
      </c>
      <c r="AD345" s="144">
        <v>14</v>
      </c>
      <c r="AE345" s="25" t="s">
        <v>3023</v>
      </c>
      <c r="AF345" s="135" t="s">
        <v>112</v>
      </c>
      <c r="AG345" s="135"/>
      <c r="AH345" s="135"/>
      <c r="AI345" s="385">
        <v>0</v>
      </c>
      <c r="AJ345" s="267" t="s">
        <v>153</v>
      </c>
      <c r="AN345" s="278">
        <v>2</v>
      </c>
      <c r="AO345" s="278">
        <v>2</v>
      </c>
      <c r="AP345" s="278">
        <v>2</v>
      </c>
      <c r="AQ345" s="278">
        <v>2</v>
      </c>
    </row>
    <row r="346" spans="1:43">
      <c r="A346" s="135" t="s">
        <v>2805</v>
      </c>
      <c r="B346" s="135" t="s">
        <v>2902</v>
      </c>
      <c r="C346" s="135" t="s">
        <v>2806</v>
      </c>
      <c r="D346" s="46">
        <v>11119545</v>
      </c>
      <c r="E346" s="20" t="s">
        <v>996</v>
      </c>
      <c r="F346" s="20" t="s">
        <v>997</v>
      </c>
      <c r="G346" s="24">
        <v>16</v>
      </c>
      <c r="H346" s="21">
        <v>46248</v>
      </c>
      <c r="I346" s="53" t="s">
        <v>2807</v>
      </c>
      <c r="J346" s="24" t="s">
        <v>2808</v>
      </c>
      <c r="K346" s="24">
        <v>16</v>
      </c>
      <c r="L346" s="46">
        <v>12116180</v>
      </c>
      <c r="M346" s="20" t="s">
        <v>1023</v>
      </c>
      <c r="N346" s="38">
        <v>0</v>
      </c>
      <c r="O346" s="38">
        <v>0</v>
      </c>
      <c r="P346" s="20" t="s">
        <v>469</v>
      </c>
      <c r="Q346" s="20">
        <v>0</v>
      </c>
      <c r="R346" s="40">
        <v>46238</v>
      </c>
      <c r="S346" s="20">
        <v>0</v>
      </c>
      <c r="T346" s="20">
        <v>0</v>
      </c>
      <c r="U346" s="40">
        <v>46239</v>
      </c>
      <c r="V346" s="40">
        <v>46239</v>
      </c>
      <c r="W346" s="20" t="s">
        <v>57</v>
      </c>
      <c r="X346" s="21"/>
      <c r="Y346" s="19">
        <f>VLOOKUP(F346,[2]New!$B:$G,3,0)*K346/60</f>
        <v>14.933333333333334</v>
      </c>
      <c r="Z346" s="19">
        <f>VLOOKUP(F346,[2]New!$B:$G,4,0)*K346/60</f>
        <v>62.4</v>
      </c>
      <c r="AA346" s="19">
        <f>VLOOKUP(F346,[2]New!$B:$G,6,0)*K346/60</f>
        <v>77.11999999999999</v>
      </c>
      <c r="AB346" s="44">
        <f>VLOOKUP(A346,'[4]PO CAG (2)'!$A:$L,12,0)</f>
        <v>46251</v>
      </c>
      <c r="AC346" s="22">
        <f>IFERROR(VLOOKUP(F346,[3]Sheet1!$E:$H,4,0),)</f>
        <v>0</v>
      </c>
      <c r="AD346" s="144">
        <v>16</v>
      </c>
      <c r="AE346" s="25" t="s">
        <v>3023</v>
      </c>
      <c r="AF346" s="135" t="s">
        <v>112</v>
      </c>
      <c r="AG346" s="135"/>
      <c r="AH346" s="135"/>
      <c r="AI346" s="385">
        <v>0</v>
      </c>
      <c r="AJ346" s="267" t="s">
        <v>153</v>
      </c>
      <c r="AN346" s="278">
        <v>2</v>
      </c>
      <c r="AO346" s="278">
        <v>2</v>
      </c>
      <c r="AP346" s="278">
        <v>2</v>
      </c>
      <c r="AQ346" s="278">
        <v>2</v>
      </c>
    </row>
    <row r="347" spans="1:43">
      <c r="A347" s="135" t="s">
        <v>2809</v>
      </c>
      <c r="B347" s="135" t="s">
        <v>2903</v>
      </c>
      <c r="C347" s="135" t="s">
        <v>2810</v>
      </c>
      <c r="D347" s="46">
        <v>11119437</v>
      </c>
      <c r="E347" s="20" t="s">
        <v>582</v>
      </c>
      <c r="F347" s="20" t="s">
        <v>583</v>
      </c>
      <c r="G347" s="24">
        <v>21</v>
      </c>
      <c r="H347" s="21">
        <v>46248</v>
      </c>
      <c r="I347" s="53" t="s">
        <v>2811</v>
      </c>
      <c r="J347" s="24" t="s">
        <v>2812</v>
      </c>
      <c r="K347" s="24">
        <v>21</v>
      </c>
      <c r="L347" s="46">
        <v>12116072</v>
      </c>
      <c r="M347" s="20" t="s">
        <v>375</v>
      </c>
      <c r="N347" s="38">
        <v>0</v>
      </c>
      <c r="O347" s="38">
        <v>0</v>
      </c>
      <c r="P347" s="20" t="s">
        <v>469</v>
      </c>
      <c r="Q347" s="20">
        <v>0</v>
      </c>
      <c r="R347" s="40">
        <v>46238</v>
      </c>
      <c r="S347" s="20">
        <v>0</v>
      </c>
      <c r="T347" s="20">
        <v>0</v>
      </c>
      <c r="U347" s="40">
        <v>46239</v>
      </c>
      <c r="V347" s="40">
        <v>46239</v>
      </c>
      <c r="W347" s="20" t="s">
        <v>57</v>
      </c>
      <c r="X347" s="21"/>
      <c r="Y347" s="19">
        <f>VLOOKUP(F347,[2]New!$B:$G,3,0)*K347/60</f>
        <v>19.600000000000001</v>
      </c>
      <c r="Z347" s="19">
        <f>VLOOKUP(F347,[2]New!$B:$G,4,0)*K347/60</f>
        <v>81.900000000000006</v>
      </c>
      <c r="AA347" s="19">
        <f>VLOOKUP(F347,[2]New!$B:$G,6,0)*K347/60</f>
        <v>101.22</v>
      </c>
      <c r="AB347" s="44">
        <f>VLOOKUP(A347,'[4]PO CAG (2)'!$A:$L,12,0)</f>
        <v>46251</v>
      </c>
      <c r="AC347" s="22">
        <f>IFERROR(VLOOKUP(F347,[3]Sheet1!$E:$H,4,0),)</f>
        <v>0</v>
      </c>
      <c r="AD347" s="144">
        <v>21</v>
      </c>
      <c r="AE347" s="25" t="s">
        <v>3023</v>
      </c>
      <c r="AF347" s="135" t="s">
        <v>112</v>
      </c>
      <c r="AG347" s="135"/>
      <c r="AH347" s="135"/>
      <c r="AI347" s="385">
        <v>0</v>
      </c>
      <c r="AJ347" s="267" t="s">
        <v>153</v>
      </c>
      <c r="AN347" s="278">
        <v>2</v>
      </c>
      <c r="AO347" s="278">
        <v>2</v>
      </c>
      <c r="AP347" s="278">
        <v>2</v>
      </c>
      <c r="AQ347" s="278">
        <v>2</v>
      </c>
    </row>
    <row r="348" spans="1:43">
      <c r="A348" s="135" t="s">
        <v>2813</v>
      </c>
      <c r="B348" s="135" t="s">
        <v>2904</v>
      </c>
      <c r="C348" s="135" t="s">
        <v>2814</v>
      </c>
      <c r="D348" s="46">
        <v>11134274</v>
      </c>
      <c r="E348" s="20" t="s">
        <v>1272</v>
      </c>
      <c r="F348" s="20" t="s">
        <v>1273</v>
      </c>
      <c r="G348" s="24">
        <v>5</v>
      </c>
      <c r="H348" s="21">
        <v>46248</v>
      </c>
      <c r="I348" s="53" t="s">
        <v>2815</v>
      </c>
      <c r="J348" s="24" t="s">
        <v>2816</v>
      </c>
      <c r="K348" s="24">
        <v>5</v>
      </c>
      <c r="L348" s="46">
        <v>12116158</v>
      </c>
      <c r="M348" s="20" t="s">
        <v>1283</v>
      </c>
      <c r="N348" s="38">
        <v>0</v>
      </c>
      <c r="O348" s="38">
        <v>0</v>
      </c>
      <c r="P348" s="20" t="s">
        <v>469</v>
      </c>
      <c r="Q348" s="20">
        <v>0</v>
      </c>
      <c r="R348" s="40">
        <v>46238</v>
      </c>
      <c r="S348" s="20">
        <v>0</v>
      </c>
      <c r="T348" s="20">
        <v>0</v>
      </c>
      <c r="U348" s="40">
        <v>46239</v>
      </c>
      <c r="V348" s="40">
        <v>46239</v>
      </c>
      <c r="W348" s="20" t="s">
        <v>57</v>
      </c>
      <c r="X348" s="21"/>
      <c r="Y348" s="19">
        <f>VLOOKUP(F348,[2]New!$B:$G,3,0)*K348/60</f>
        <v>4.666666666666667</v>
      </c>
      <c r="Z348" s="19">
        <f>VLOOKUP(F348,[2]New!$B:$G,4,0)*K348/60</f>
        <v>19.5</v>
      </c>
      <c r="AA348" s="19">
        <f>VLOOKUP(F348,[2]New!$B:$G,6,0)*K348/60</f>
        <v>24.1</v>
      </c>
      <c r="AB348" s="44">
        <f>VLOOKUP(A348,'[4]PO CAG (2)'!$A:$L,12,0)</f>
        <v>46251</v>
      </c>
      <c r="AC348" s="22">
        <f>IFERROR(VLOOKUP(F348,[3]Sheet1!$E:$H,4,0),)</f>
        <v>0</v>
      </c>
      <c r="AD348" s="144">
        <v>5</v>
      </c>
      <c r="AE348" s="25" t="s">
        <v>3023</v>
      </c>
      <c r="AF348" s="135" t="s">
        <v>112</v>
      </c>
      <c r="AG348" s="135"/>
      <c r="AH348" s="135"/>
      <c r="AI348" s="385">
        <v>0</v>
      </c>
      <c r="AJ348" s="267" t="s">
        <v>153</v>
      </c>
      <c r="AN348" s="278">
        <v>2</v>
      </c>
      <c r="AO348" s="278">
        <v>2</v>
      </c>
      <c r="AP348" s="278">
        <v>2</v>
      </c>
      <c r="AQ348" s="278">
        <v>2</v>
      </c>
    </row>
    <row r="349" spans="1:43">
      <c r="A349" s="135" t="s">
        <v>2817</v>
      </c>
      <c r="B349" s="135" t="s">
        <v>2905</v>
      </c>
      <c r="C349" s="135" t="s">
        <v>2818</v>
      </c>
      <c r="D349" s="46">
        <v>11134309</v>
      </c>
      <c r="E349" s="20" t="s">
        <v>1008</v>
      </c>
      <c r="F349" s="20" t="s">
        <v>1009</v>
      </c>
      <c r="G349" s="24">
        <v>3</v>
      </c>
      <c r="H349" s="21">
        <v>46248</v>
      </c>
      <c r="I349" s="53" t="s">
        <v>2819</v>
      </c>
      <c r="J349" s="24" t="s">
        <v>2820</v>
      </c>
      <c r="K349" s="24">
        <v>3</v>
      </c>
      <c r="L349" s="46">
        <v>12116317</v>
      </c>
      <c r="M349" s="20" t="s">
        <v>1030</v>
      </c>
      <c r="N349" s="38">
        <v>0</v>
      </c>
      <c r="O349" s="38">
        <v>0</v>
      </c>
      <c r="P349" s="20" t="s">
        <v>469</v>
      </c>
      <c r="Q349" s="20">
        <v>0</v>
      </c>
      <c r="R349" s="40">
        <v>46238</v>
      </c>
      <c r="S349" s="20">
        <v>0</v>
      </c>
      <c r="T349" s="20">
        <v>0</v>
      </c>
      <c r="U349" s="40">
        <v>46239</v>
      </c>
      <c r="V349" s="40">
        <v>46239</v>
      </c>
      <c r="W349" s="20" t="s">
        <v>57</v>
      </c>
      <c r="X349" s="21"/>
      <c r="Y349" s="19">
        <f>VLOOKUP(F349,[2]New!$B:$G,3,0)*K349/60</f>
        <v>2.8</v>
      </c>
      <c r="Z349" s="19">
        <f>VLOOKUP(F349,[2]New!$B:$G,4,0)*K349/60</f>
        <v>11.7</v>
      </c>
      <c r="AA349" s="19">
        <f>VLOOKUP(F349,[2]New!$B:$G,6,0)*K349/60</f>
        <v>14.459999999999999</v>
      </c>
      <c r="AB349" s="44">
        <f>VLOOKUP(A349,'[4]PO CAG (2)'!$A:$L,12,0)</f>
        <v>46251</v>
      </c>
      <c r="AC349" s="22">
        <f>IFERROR(VLOOKUP(F349,[3]Sheet1!$E:$H,4,0),)</f>
        <v>0</v>
      </c>
      <c r="AD349" s="144">
        <v>3</v>
      </c>
      <c r="AE349" s="25" t="s">
        <v>3023</v>
      </c>
      <c r="AF349" s="135" t="s">
        <v>112</v>
      </c>
      <c r="AG349" s="135"/>
      <c r="AH349" s="135"/>
      <c r="AI349" s="385">
        <v>0</v>
      </c>
      <c r="AJ349" s="267" t="s">
        <v>153</v>
      </c>
      <c r="AN349" s="278">
        <v>2</v>
      </c>
      <c r="AO349" s="278">
        <v>2</v>
      </c>
      <c r="AP349" s="278">
        <v>2</v>
      </c>
      <c r="AQ349" s="278">
        <v>2</v>
      </c>
    </row>
    <row r="350" spans="1:43">
      <c r="A350" s="135" t="s">
        <v>2821</v>
      </c>
      <c r="B350" s="135" t="s">
        <v>2906</v>
      </c>
      <c r="C350" s="135" t="s">
        <v>2822</v>
      </c>
      <c r="D350" s="46">
        <v>11134286</v>
      </c>
      <c r="E350" s="20" t="s">
        <v>837</v>
      </c>
      <c r="F350" s="20" t="s">
        <v>838</v>
      </c>
      <c r="G350" s="24">
        <v>5</v>
      </c>
      <c r="H350" s="21">
        <v>46248</v>
      </c>
      <c r="I350" s="53" t="s">
        <v>2823</v>
      </c>
      <c r="J350" s="24" t="s">
        <v>2824</v>
      </c>
      <c r="K350" s="24">
        <v>5</v>
      </c>
      <c r="L350" s="46">
        <v>12116198</v>
      </c>
      <c r="M350" s="20" t="s">
        <v>880</v>
      </c>
      <c r="N350" s="38">
        <v>0</v>
      </c>
      <c r="O350" s="38">
        <v>0</v>
      </c>
      <c r="P350" s="20" t="s">
        <v>469</v>
      </c>
      <c r="Q350" s="20">
        <v>0</v>
      </c>
      <c r="R350" s="40">
        <v>46238</v>
      </c>
      <c r="S350" s="20">
        <v>0</v>
      </c>
      <c r="T350" s="20">
        <v>0</v>
      </c>
      <c r="U350" s="40">
        <v>46239</v>
      </c>
      <c r="V350" s="40">
        <v>46239</v>
      </c>
      <c r="W350" s="20" t="s">
        <v>57</v>
      </c>
      <c r="X350" s="21"/>
      <c r="Y350" s="19">
        <f>VLOOKUP(F350,[2]New!$B:$G,3,0)*K350/60</f>
        <v>4.666666666666667</v>
      </c>
      <c r="Z350" s="19">
        <f>VLOOKUP(F350,[2]New!$B:$G,4,0)*K350/60</f>
        <v>19.5</v>
      </c>
      <c r="AA350" s="19">
        <f>VLOOKUP(F350,[2]New!$B:$G,6,0)*K350/60</f>
        <v>19.5</v>
      </c>
      <c r="AB350" s="44">
        <f>VLOOKUP(A350,'[4]PO CAG (2)'!$A:$L,12,0)</f>
        <v>46251</v>
      </c>
      <c r="AC350" s="22">
        <f>IFERROR(VLOOKUP(F350,[3]Sheet1!$E:$H,4,0),)</f>
        <v>0</v>
      </c>
      <c r="AD350" s="144">
        <v>5</v>
      </c>
      <c r="AE350" s="25" t="s">
        <v>3023</v>
      </c>
      <c r="AF350" s="135" t="s">
        <v>112</v>
      </c>
      <c r="AG350" s="135"/>
      <c r="AH350" s="135"/>
      <c r="AI350" s="385">
        <v>0</v>
      </c>
      <c r="AJ350" s="267" t="s">
        <v>153</v>
      </c>
      <c r="AN350" s="278">
        <v>2</v>
      </c>
      <c r="AO350" s="278">
        <v>2</v>
      </c>
      <c r="AP350" s="278">
        <v>2</v>
      </c>
      <c r="AQ350" s="278">
        <v>2</v>
      </c>
    </row>
    <row r="351" spans="1:43">
      <c r="A351" s="135" t="s">
        <v>2825</v>
      </c>
      <c r="B351" s="135" t="s">
        <v>2907</v>
      </c>
      <c r="C351" s="135" t="s">
        <v>2826</v>
      </c>
      <c r="D351" s="46">
        <v>11134314</v>
      </c>
      <c r="E351" s="20" t="s">
        <v>1032</v>
      </c>
      <c r="F351" s="20" t="s">
        <v>1033</v>
      </c>
      <c r="G351" s="24">
        <v>5</v>
      </c>
      <c r="H351" s="21">
        <v>46248</v>
      </c>
      <c r="I351" s="53" t="s">
        <v>2827</v>
      </c>
      <c r="J351" s="24" t="s">
        <v>2828</v>
      </c>
      <c r="K351" s="24">
        <v>5</v>
      </c>
      <c r="L351" s="46">
        <v>12116322</v>
      </c>
      <c r="M351" s="20" t="s">
        <v>1037</v>
      </c>
      <c r="N351" s="38">
        <v>0</v>
      </c>
      <c r="O351" s="38">
        <v>0</v>
      </c>
      <c r="P351" s="20" t="s">
        <v>469</v>
      </c>
      <c r="Q351" s="20">
        <v>0</v>
      </c>
      <c r="R351" s="40">
        <v>46238</v>
      </c>
      <c r="S351" s="20">
        <v>0</v>
      </c>
      <c r="T351" s="20">
        <v>0</v>
      </c>
      <c r="U351" s="40">
        <v>46239</v>
      </c>
      <c r="V351" s="40">
        <v>46239</v>
      </c>
      <c r="W351" s="20" t="s">
        <v>57</v>
      </c>
      <c r="X351" s="21"/>
      <c r="Y351" s="19">
        <f>VLOOKUP(F351,[2]New!$B:$G,3,0)*K351/60</f>
        <v>4.666666666666667</v>
      </c>
      <c r="Z351" s="19">
        <f>VLOOKUP(F351,[2]New!$B:$G,4,0)*K351/60</f>
        <v>19.5</v>
      </c>
      <c r="AA351" s="19">
        <f>VLOOKUP(F351,[2]New!$B:$G,6,0)*K351/60</f>
        <v>24.083333333333332</v>
      </c>
      <c r="AB351" s="44">
        <f>VLOOKUP(A351,'[4]PO CAG (2)'!$A:$L,12,0)</f>
        <v>46251</v>
      </c>
      <c r="AC351" s="22">
        <f>IFERROR(VLOOKUP(F351,[3]Sheet1!$E:$H,4,0),)</f>
        <v>0</v>
      </c>
      <c r="AD351" s="144">
        <v>5</v>
      </c>
      <c r="AE351" s="25" t="s">
        <v>3023</v>
      </c>
      <c r="AF351" s="135" t="s">
        <v>112</v>
      </c>
      <c r="AG351" s="135"/>
      <c r="AH351" s="135"/>
      <c r="AI351" s="385">
        <v>0</v>
      </c>
      <c r="AJ351" s="267" t="s">
        <v>153</v>
      </c>
      <c r="AN351" s="278">
        <v>2</v>
      </c>
      <c r="AO351" s="278">
        <v>2</v>
      </c>
      <c r="AP351" s="278">
        <v>2</v>
      </c>
      <c r="AQ351" s="278">
        <v>2</v>
      </c>
    </row>
    <row r="352" spans="1:43">
      <c r="A352" s="135" t="s">
        <v>2829</v>
      </c>
      <c r="B352" s="135" t="s">
        <v>2908</v>
      </c>
      <c r="C352" s="135" t="s">
        <v>2830</v>
      </c>
      <c r="D352" s="46">
        <v>11134305</v>
      </c>
      <c r="E352" s="20" t="s">
        <v>1010</v>
      </c>
      <c r="F352" s="20" t="s">
        <v>1011</v>
      </c>
      <c r="G352" s="24">
        <v>20</v>
      </c>
      <c r="H352" s="21">
        <v>46248</v>
      </c>
      <c r="I352" s="53" t="s">
        <v>2831</v>
      </c>
      <c r="J352" s="24" t="s">
        <v>2832</v>
      </c>
      <c r="K352" s="24">
        <v>20</v>
      </c>
      <c r="L352" s="46">
        <v>12116313</v>
      </c>
      <c r="M352" s="20" t="s">
        <v>1031</v>
      </c>
      <c r="N352" s="38">
        <v>0</v>
      </c>
      <c r="O352" s="38">
        <v>0</v>
      </c>
      <c r="P352" s="20" t="s">
        <v>469</v>
      </c>
      <c r="Q352" s="20">
        <v>0</v>
      </c>
      <c r="R352" s="40">
        <v>46238</v>
      </c>
      <c r="S352" s="20">
        <v>0</v>
      </c>
      <c r="T352" s="20">
        <v>0</v>
      </c>
      <c r="U352" s="40">
        <v>46239</v>
      </c>
      <c r="V352" s="40">
        <v>46239</v>
      </c>
      <c r="W352" s="20" t="s">
        <v>57</v>
      </c>
      <c r="X352" s="21"/>
      <c r="Y352" s="19">
        <f>VLOOKUP(F352,[2]New!$B:$G,3,0)*K352/60</f>
        <v>18.666666666666668</v>
      </c>
      <c r="Z352" s="19">
        <f>VLOOKUP(F352,[2]New!$B:$G,4,0)*K352/60</f>
        <v>78</v>
      </c>
      <c r="AA352" s="19">
        <f>VLOOKUP(F352,[2]New!$B:$G,6,0)*K352/60</f>
        <v>96.333333333333329</v>
      </c>
      <c r="AB352" s="44">
        <f>VLOOKUP(A352,'[4]PO CAG (2)'!$A:$L,12,0)</f>
        <v>46251</v>
      </c>
      <c r="AC352" s="22">
        <f>IFERROR(VLOOKUP(F352,[3]Sheet1!$E:$H,4,0),)</f>
        <v>0</v>
      </c>
      <c r="AD352" s="144">
        <v>20</v>
      </c>
      <c r="AE352" s="25" t="s">
        <v>3023</v>
      </c>
      <c r="AF352" s="135" t="s">
        <v>112</v>
      </c>
      <c r="AG352" s="135"/>
      <c r="AH352" s="135"/>
      <c r="AI352" s="385">
        <v>0</v>
      </c>
      <c r="AJ352" s="267" t="s">
        <v>153</v>
      </c>
      <c r="AN352" s="278">
        <v>2</v>
      </c>
      <c r="AO352" s="278">
        <v>2</v>
      </c>
      <c r="AP352" s="278">
        <v>2</v>
      </c>
      <c r="AQ352" s="278">
        <v>2</v>
      </c>
    </row>
    <row r="353" spans="1:43">
      <c r="A353" s="135" t="s">
        <v>2833</v>
      </c>
      <c r="B353" s="135" t="s">
        <v>2909</v>
      </c>
      <c r="C353" s="135" t="s">
        <v>2834</v>
      </c>
      <c r="D353" s="46">
        <v>11131303</v>
      </c>
      <c r="E353" s="20" t="s">
        <v>2835</v>
      </c>
      <c r="F353" s="20" t="s">
        <v>2836</v>
      </c>
      <c r="G353" s="24">
        <v>5</v>
      </c>
      <c r="H353" s="21">
        <v>46248</v>
      </c>
      <c r="I353" s="53" t="s">
        <v>2837</v>
      </c>
      <c r="J353" s="24" t="s">
        <v>2838</v>
      </c>
      <c r="K353" s="24">
        <v>5</v>
      </c>
      <c r="L353" s="46">
        <v>12116193</v>
      </c>
      <c r="M353" s="20" t="s">
        <v>551</v>
      </c>
      <c r="N353" s="38">
        <v>0</v>
      </c>
      <c r="O353" s="38">
        <v>0</v>
      </c>
      <c r="P353" s="20" t="s">
        <v>94</v>
      </c>
      <c r="Q353" s="20">
        <v>0</v>
      </c>
      <c r="R353" s="40">
        <v>46238</v>
      </c>
      <c r="S353" s="20">
        <v>0</v>
      </c>
      <c r="T353" s="20">
        <v>0</v>
      </c>
      <c r="U353" s="40">
        <v>46239</v>
      </c>
      <c r="V353" s="40">
        <v>46239</v>
      </c>
      <c r="W353" s="20" t="s">
        <v>57</v>
      </c>
      <c r="X353" s="21"/>
      <c r="Y353" s="19">
        <f>VLOOKUP(F353,[2]New!$B:$G,3,0)*K353/60</f>
        <v>7.1916666666666664</v>
      </c>
      <c r="Z353" s="19">
        <f>VLOOKUP(F353,[2]New!$B:$G,4,0)*K353/60</f>
        <v>8.1666666666666661</v>
      </c>
      <c r="AA353" s="19">
        <f>VLOOKUP(F353,[2]New!$B:$G,6,0)*K353/60</f>
        <v>16.25</v>
      </c>
      <c r="AB353" s="44">
        <f>VLOOKUP(A353,'[4]PO CAG (2)'!$A:$L,12,0)</f>
        <v>46269</v>
      </c>
      <c r="AC353" s="22">
        <f>IFERROR(VLOOKUP(F353,[3]Sheet1!$E:$H,4,0),)</f>
        <v>0</v>
      </c>
      <c r="AD353" s="144">
        <v>5</v>
      </c>
      <c r="AE353" s="25" t="s">
        <v>3023</v>
      </c>
      <c r="AF353" s="135" t="s">
        <v>112</v>
      </c>
      <c r="AG353" s="135"/>
      <c r="AH353" s="135"/>
      <c r="AI353" s="23">
        <v>0</v>
      </c>
      <c r="AJ353" s="267" t="s">
        <v>153</v>
      </c>
      <c r="AN353" s="278">
        <v>3</v>
      </c>
      <c r="AO353" s="278">
        <v>3</v>
      </c>
      <c r="AP353" s="278">
        <v>3</v>
      </c>
      <c r="AQ353" s="278">
        <v>3</v>
      </c>
    </row>
    <row r="354" spans="1:43">
      <c r="A354" s="135" t="s">
        <v>2839</v>
      </c>
      <c r="B354" s="135" t="s">
        <v>2910</v>
      </c>
      <c r="C354" s="135" t="s">
        <v>2840</v>
      </c>
      <c r="D354" s="46">
        <v>11131288</v>
      </c>
      <c r="E354" s="20" t="s">
        <v>355</v>
      </c>
      <c r="F354" s="20" t="s">
        <v>356</v>
      </c>
      <c r="G354" s="24">
        <v>10</v>
      </c>
      <c r="H354" s="21">
        <v>46248</v>
      </c>
      <c r="I354" s="53" t="s">
        <v>2841</v>
      </c>
      <c r="J354" s="24" t="s">
        <v>2842</v>
      </c>
      <c r="K354" s="24">
        <v>10</v>
      </c>
      <c r="L354" s="46">
        <v>12116060</v>
      </c>
      <c r="M354" s="20" t="s">
        <v>100</v>
      </c>
      <c r="N354" s="38">
        <v>0</v>
      </c>
      <c r="O354" s="38">
        <v>0</v>
      </c>
      <c r="P354" s="20" t="s">
        <v>94</v>
      </c>
      <c r="Q354" s="20">
        <v>0</v>
      </c>
      <c r="R354" s="40">
        <v>46238</v>
      </c>
      <c r="S354" s="20">
        <v>0</v>
      </c>
      <c r="T354" s="20">
        <v>0</v>
      </c>
      <c r="U354" s="40">
        <v>46239</v>
      </c>
      <c r="V354" s="40">
        <v>46239</v>
      </c>
      <c r="W354" s="20" t="s">
        <v>57</v>
      </c>
      <c r="X354" s="21"/>
      <c r="Y354" s="19">
        <f>VLOOKUP(F354,[2]New!$B:$G,3,0)*K354/60</f>
        <v>3.5</v>
      </c>
      <c r="Z354" s="19">
        <f>VLOOKUP(F354,[2]New!$B:$G,4,0)*K354/60</f>
        <v>15.433333333333334</v>
      </c>
      <c r="AA354" s="19">
        <f>VLOOKUP(F354,[2]New!$B:$G,6,0)*K354/60</f>
        <v>7.166666666666667</v>
      </c>
      <c r="AB354" s="44">
        <f>VLOOKUP(A354,'[4]PO CAG (2)'!$A:$L,12,0)</f>
        <v>46269</v>
      </c>
      <c r="AC354" s="22">
        <f>IFERROR(VLOOKUP(F354,[3]Sheet1!$E:$H,4,0),)</f>
        <v>0</v>
      </c>
      <c r="AD354" s="144">
        <v>10</v>
      </c>
      <c r="AE354" s="25" t="s">
        <v>3023</v>
      </c>
      <c r="AF354" s="135" t="s">
        <v>112</v>
      </c>
      <c r="AG354" s="135"/>
      <c r="AH354" s="135"/>
      <c r="AI354" s="23">
        <v>0</v>
      </c>
      <c r="AJ354" s="267" t="s">
        <v>153</v>
      </c>
      <c r="AN354" s="278">
        <v>3</v>
      </c>
      <c r="AO354" s="278">
        <v>3</v>
      </c>
      <c r="AP354" s="278">
        <v>3</v>
      </c>
      <c r="AQ354" s="278">
        <v>3</v>
      </c>
    </row>
    <row r="355" spans="1:43">
      <c r="A355" s="135" t="s">
        <v>2843</v>
      </c>
      <c r="B355" s="135" t="s">
        <v>2911</v>
      </c>
      <c r="C355" s="135" t="s">
        <v>2844</v>
      </c>
      <c r="D355" s="46">
        <v>11131289</v>
      </c>
      <c r="E355" s="20" t="s">
        <v>192</v>
      </c>
      <c r="F355" s="20" t="s">
        <v>193</v>
      </c>
      <c r="G355" s="24">
        <v>10</v>
      </c>
      <c r="H355" s="21">
        <v>46248</v>
      </c>
      <c r="I355" s="53" t="s">
        <v>2845</v>
      </c>
      <c r="J355" s="24" t="s">
        <v>2846</v>
      </c>
      <c r="K355" s="24">
        <v>10</v>
      </c>
      <c r="L355" s="46">
        <v>12116064</v>
      </c>
      <c r="M355" s="20" t="s">
        <v>98</v>
      </c>
      <c r="N355" s="38">
        <v>0</v>
      </c>
      <c r="O355" s="38">
        <v>0</v>
      </c>
      <c r="P355" s="20" t="s">
        <v>94</v>
      </c>
      <c r="Q355" s="20">
        <v>0</v>
      </c>
      <c r="R355" s="40">
        <v>46238</v>
      </c>
      <c r="S355" s="20">
        <v>0</v>
      </c>
      <c r="T355" s="20">
        <v>0</v>
      </c>
      <c r="U355" s="40">
        <v>46239</v>
      </c>
      <c r="V355" s="40">
        <v>46239</v>
      </c>
      <c r="W355" s="20" t="s">
        <v>57</v>
      </c>
      <c r="X355" s="21"/>
      <c r="Y355" s="19">
        <f>VLOOKUP(F355,[2]New!$B:$G,3,0)*K355/60</f>
        <v>14.383333333333333</v>
      </c>
      <c r="Z355" s="19">
        <f>VLOOKUP(F355,[2]New!$B:$G,4,0)*K355/60</f>
        <v>16.333333333333332</v>
      </c>
      <c r="AA355" s="19">
        <f>VLOOKUP(F355,[2]New!$B:$G,6,0)*K355/60</f>
        <v>32.5</v>
      </c>
      <c r="AB355" s="44">
        <f>VLOOKUP(A355,'[4]PO CAG (2)'!$A:$L,12,0)</f>
        <v>46269</v>
      </c>
      <c r="AC355" s="22">
        <f>IFERROR(VLOOKUP(F355,[3]Sheet1!$E:$H,4,0),)</f>
        <v>0</v>
      </c>
      <c r="AD355" s="144">
        <v>10</v>
      </c>
      <c r="AE355" s="25" t="s">
        <v>3023</v>
      </c>
      <c r="AF355" s="135" t="s">
        <v>112</v>
      </c>
      <c r="AG355" s="135"/>
      <c r="AH355" s="135"/>
      <c r="AI355" s="23">
        <v>0</v>
      </c>
      <c r="AJ355" s="267" t="s">
        <v>153</v>
      </c>
      <c r="AN355" s="278">
        <v>3</v>
      </c>
      <c r="AO355" s="278">
        <v>3</v>
      </c>
      <c r="AP355" s="278">
        <v>3</v>
      </c>
      <c r="AQ355" s="278">
        <v>3</v>
      </c>
    </row>
    <row r="356" spans="1:43">
      <c r="A356" s="135" t="s">
        <v>2847</v>
      </c>
      <c r="B356" s="135" t="s">
        <v>2912</v>
      </c>
      <c r="C356" s="135" t="s">
        <v>2848</v>
      </c>
      <c r="D356" s="46">
        <v>11131288</v>
      </c>
      <c r="E356" s="20" t="s">
        <v>355</v>
      </c>
      <c r="F356" s="20" t="s">
        <v>356</v>
      </c>
      <c r="G356" s="24">
        <v>10</v>
      </c>
      <c r="H356" s="21">
        <v>46248</v>
      </c>
      <c r="I356" s="53" t="s">
        <v>2849</v>
      </c>
      <c r="J356" s="24" t="s">
        <v>2850</v>
      </c>
      <c r="K356" s="24">
        <v>10</v>
      </c>
      <c r="L356" s="46">
        <v>12116060</v>
      </c>
      <c r="M356" s="20" t="s">
        <v>100</v>
      </c>
      <c r="N356" s="38">
        <v>0</v>
      </c>
      <c r="O356" s="38">
        <v>0</v>
      </c>
      <c r="P356" s="20" t="s">
        <v>94</v>
      </c>
      <c r="Q356" s="20">
        <v>0</v>
      </c>
      <c r="R356" s="40">
        <v>46238</v>
      </c>
      <c r="S356" s="20">
        <v>0</v>
      </c>
      <c r="T356" s="20">
        <v>0</v>
      </c>
      <c r="U356" s="40">
        <v>46239</v>
      </c>
      <c r="V356" s="40">
        <v>46239</v>
      </c>
      <c r="W356" s="20" t="s">
        <v>57</v>
      </c>
      <c r="X356" s="21"/>
      <c r="Y356" s="19">
        <f>VLOOKUP(F356,[2]New!$B:$G,3,0)*K356/60</f>
        <v>3.5</v>
      </c>
      <c r="Z356" s="19">
        <f>VLOOKUP(F356,[2]New!$B:$G,4,0)*K356/60</f>
        <v>15.433333333333334</v>
      </c>
      <c r="AA356" s="19">
        <f>VLOOKUP(F356,[2]New!$B:$G,6,0)*K356/60</f>
        <v>7.166666666666667</v>
      </c>
      <c r="AB356" s="44">
        <f>VLOOKUP(A356,'[4]PO CAG (2)'!$A:$L,12,0)</f>
        <v>46289</v>
      </c>
      <c r="AC356" s="22">
        <f>IFERROR(VLOOKUP(F356,[3]Sheet1!$E:$H,4,0),)</f>
        <v>0</v>
      </c>
      <c r="AD356" s="144">
        <v>10</v>
      </c>
      <c r="AE356" s="25" t="s">
        <v>3023</v>
      </c>
      <c r="AF356" s="135" t="s">
        <v>112</v>
      </c>
      <c r="AG356" s="135"/>
      <c r="AH356" s="135"/>
      <c r="AI356" s="23">
        <v>0</v>
      </c>
      <c r="AJ356" s="267" t="s">
        <v>153</v>
      </c>
      <c r="AN356" s="278">
        <v>3</v>
      </c>
      <c r="AO356" s="278">
        <v>3</v>
      </c>
      <c r="AP356" s="278">
        <v>3</v>
      </c>
      <c r="AQ356" s="278">
        <v>3</v>
      </c>
    </row>
    <row r="357" spans="1:43">
      <c r="A357" s="135" t="s">
        <v>2851</v>
      </c>
      <c r="B357" s="135" t="s">
        <v>2913</v>
      </c>
      <c r="C357" s="135" t="s">
        <v>2852</v>
      </c>
      <c r="D357" s="46">
        <v>11131289</v>
      </c>
      <c r="E357" s="20" t="s">
        <v>192</v>
      </c>
      <c r="F357" s="20" t="s">
        <v>193</v>
      </c>
      <c r="G357" s="24">
        <v>16</v>
      </c>
      <c r="H357" s="21">
        <v>46248</v>
      </c>
      <c r="I357" s="53" t="s">
        <v>2853</v>
      </c>
      <c r="J357" s="24" t="s">
        <v>2854</v>
      </c>
      <c r="K357" s="24">
        <v>16</v>
      </c>
      <c r="L357" s="46">
        <v>12116064</v>
      </c>
      <c r="M357" s="20" t="s">
        <v>98</v>
      </c>
      <c r="N357" s="38">
        <v>0</v>
      </c>
      <c r="O357" s="38">
        <v>0</v>
      </c>
      <c r="P357" s="20" t="s">
        <v>94</v>
      </c>
      <c r="Q357" s="20">
        <v>0</v>
      </c>
      <c r="R357" s="40">
        <v>46238</v>
      </c>
      <c r="S357" s="20">
        <v>0</v>
      </c>
      <c r="T357" s="20">
        <v>0</v>
      </c>
      <c r="U357" s="40">
        <v>46239</v>
      </c>
      <c r="V357" s="40">
        <v>46239</v>
      </c>
      <c r="W357" s="20" t="s">
        <v>57</v>
      </c>
      <c r="X357" s="21"/>
      <c r="Y357" s="19">
        <f>VLOOKUP(F357,[2]New!$B:$G,3,0)*K357/60</f>
        <v>23.013333333333332</v>
      </c>
      <c r="Z357" s="19">
        <f>VLOOKUP(F357,[2]New!$B:$G,4,0)*K357/60</f>
        <v>26.133333333333333</v>
      </c>
      <c r="AA357" s="19">
        <f>VLOOKUP(F357,[2]New!$B:$G,6,0)*K357/60</f>
        <v>52</v>
      </c>
      <c r="AB357" s="44">
        <f>VLOOKUP(A357,'[4]PO CAG (2)'!$A:$L,12,0)</f>
        <v>46289</v>
      </c>
      <c r="AC357" s="22">
        <f>IFERROR(VLOOKUP(F357,[3]Sheet1!$E:$H,4,0),)</f>
        <v>0</v>
      </c>
      <c r="AD357" s="144">
        <v>16</v>
      </c>
      <c r="AE357" s="25" t="s">
        <v>3023</v>
      </c>
      <c r="AF357" s="135" t="s">
        <v>112</v>
      </c>
      <c r="AG357" s="135"/>
      <c r="AH357" s="135"/>
      <c r="AI357" s="23">
        <v>0</v>
      </c>
      <c r="AJ357" s="267" t="s">
        <v>153</v>
      </c>
      <c r="AN357" s="278">
        <v>3</v>
      </c>
      <c r="AO357" s="278">
        <v>3</v>
      </c>
      <c r="AP357" s="278">
        <v>3</v>
      </c>
      <c r="AQ357" s="278">
        <v>3</v>
      </c>
    </row>
    <row r="358" spans="1:43">
      <c r="A358" s="135" t="s">
        <v>2855</v>
      </c>
      <c r="B358" s="135" t="s">
        <v>2914</v>
      </c>
      <c r="C358" s="135" t="s">
        <v>2856</v>
      </c>
      <c r="D358" s="46">
        <v>11134251</v>
      </c>
      <c r="E358" s="20" t="s">
        <v>594</v>
      </c>
      <c r="F358" s="20" t="s">
        <v>595</v>
      </c>
      <c r="G358" s="24">
        <v>1</v>
      </c>
      <c r="H358" s="21">
        <v>46248</v>
      </c>
      <c r="I358" s="53" t="s">
        <v>2857</v>
      </c>
      <c r="J358" s="24" t="s">
        <v>2858</v>
      </c>
      <c r="K358" s="24">
        <v>1</v>
      </c>
      <c r="L358" s="46">
        <v>12116035</v>
      </c>
      <c r="M358" s="20" t="s">
        <v>618</v>
      </c>
      <c r="N358" s="38">
        <v>0</v>
      </c>
      <c r="O358" s="38">
        <v>0</v>
      </c>
      <c r="P358" s="20" t="s">
        <v>469</v>
      </c>
      <c r="Q358" s="20">
        <v>0</v>
      </c>
      <c r="R358" s="40">
        <v>46238</v>
      </c>
      <c r="S358" s="20">
        <v>0</v>
      </c>
      <c r="T358" s="20">
        <v>0</v>
      </c>
      <c r="U358" s="40">
        <v>46239</v>
      </c>
      <c r="V358" s="40">
        <v>46239</v>
      </c>
      <c r="W358" s="20" t="s">
        <v>57</v>
      </c>
      <c r="X358" s="21"/>
      <c r="Y358" s="19">
        <f>VLOOKUP(F358,[2]New!$B:$G,3,0)*K358/60</f>
        <v>0.93333333333333335</v>
      </c>
      <c r="Z358" s="19">
        <f>VLOOKUP(F358,[2]New!$B:$G,4,0)*K358/60</f>
        <v>3.9</v>
      </c>
      <c r="AA358" s="19">
        <f>VLOOKUP(F358,[2]New!$B:$G,6,0)*K358/60</f>
        <v>4.8199999999999994</v>
      </c>
      <c r="AB358" s="44">
        <f>VLOOKUP(A358,'[4]PO CAG (2)'!$A:$L,12,0)</f>
        <v>46251</v>
      </c>
      <c r="AC358" s="22">
        <f>IFERROR(VLOOKUP(F358,[3]Sheet1!$E:$H,4,0),)</f>
        <v>0</v>
      </c>
      <c r="AD358" s="144">
        <v>1</v>
      </c>
      <c r="AE358" s="25" t="s">
        <v>3023</v>
      </c>
      <c r="AF358" s="135" t="s">
        <v>112</v>
      </c>
      <c r="AG358" s="135"/>
      <c r="AH358" s="135"/>
      <c r="AI358" s="385">
        <v>0</v>
      </c>
      <c r="AJ358" s="267" t="s">
        <v>153</v>
      </c>
      <c r="AN358" s="278">
        <v>2</v>
      </c>
      <c r="AO358" s="278">
        <v>2</v>
      </c>
      <c r="AP358" s="278">
        <v>2</v>
      </c>
      <c r="AQ358" s="278">
        <v>2</v>
      </c>
    </row>
    <row r="359" spans="1:43">
      <c r="A359" s="135" t="s">
        <v>2859</v>
      </c>
      <c r="B359" s="135" t="s">
        <v>2915</v>
      </c>
      <c r="C359" s="135" t="s">
        <v>2860</v>
      </c>
      <c r="D359" s="46">
        <v>11134259</v>
      </c>
      <c r="E359" s="20" t="s">
        <v>592</v>
      </c>
      <c r="F359" s="20" t="s">
        <v>593</v>
      </c>
      <c r="G359" s="24">
        <v>7</v>
      </c>
      <c r="H359" s="21">
        <v>46248</v>
      </c>
      <c r="I359" s="53" t="s">
        <v>2861</v>
      </c>
      <c r="J359" s="24" t="s">
        <v>2862</v>
      </c>
      <c r="K359" s="24">
        <v>7</v>
      </c>
      <c r="L359" s="46">
        <v>12116063</v>
      </c>
      <c r="M359" s="20" t="s">
        <v>617</v>
      </c>
      <c r="N359" s="38">
        <v>0</v>
      </c>
      <c r="O359" s="38">
        <v>0</v>
      </c>
      <c r="P359" s="20" t="s">
        <v>469</v>
      </c>
      <c r="Q359" s="20">
        <v>0</v>
      </c>
      <c r="R359" s="40">
        <v>46238</v>
      </c>
      <c r="S359" s="20">
        <v>0</v>
      </c>
      <c r="T359" s="20">
        <v>0</v>
      </c>
      <c r="U359" s="40">
        <v>46239</v>
      </c>
      <c r="V359" s="40">
        <v>46239</v>
      </c>
      <c r="W359" s="20" t="s">
        <v>57</v>
      </c>
      <c r="X359" s="21"/>
      <c r="Y359" s="19">
        <f>VLOOKUP(F359,[2]New!$B:$G,3,0)*K359/60</f>
        <v>6.5333333333333332</v>
      </c>
      <c r="Z359" s="19">
        <f>VLOOKUP(F359,[2]New!$B:$G,4,0)*K359/60</f>
        <v>27.3</v>
      </c>
      <c r="AA359" s="19">
        <f>VLOOKUP(F359,[2]New!$B:$G,6,0)*K359/60</f>
        <v>33.716666666666669</v>
      </c>
      <c r="AB359" s="44">
        <f>VLOOKUP(A359,'[4]PO CAG (2)'!$A:$L,12,0)</f>
        <v>46251</v>
      </c>
      <c r="AC359" s="22">
        <f>IFERROR(VLOOKUP(F359,[3]Sheet1!$E:$H,4,0),)</f>
        <v>0</v>
      </c>
      <c r="AD359" s="144">
        <v>7</v>
      </c>
      <c r="AE359" s="25" t="s">
        <v>3023</v>
      </c>
      <c r="AF359" s="135" t="s">
        <v>112</v>
      </c>
      <c r="AG359" s="135"/>
      <c r="AH359" s="135"/>
      <c r="AI359" s="385">
        <v>0</v>
      </c>
      <c r="AJ359" s="267" t="s">
        <v>153</v>
      </c>
      <c r="AN359" s="278">
        <v>2</v>
      </c>
      <c r="AO359" s="278">
        <v>2</v>
      </c>
      <c r="AP359" s="278">
        <v>2</v>
      </c>
      <c r="AQ359" s="278">
        <v>2</v>
      </c>
    </row>
    <row r="360" spans="1:43">
      <c r="A360" s="135" t="s">
        <v>214</v>
      </c>
      <c r="B360" s="135" t="s">
        <v>3017</v>
      </c>
      <c r="C360" s="135">
        <v>2000128236</v>
      </c>
      <c r="D360" s="46">
        <v>11107911</v>
      </c>
      <c r="E360" s="20" t="s">
        <v>1608</v>
      </c>
      <c r="F360" s="20" t="s">
        <v>1609</v>
      </c>
      <c r="G360" s="24">
        <v>10</v>
      </c>
      <c r="H360" s="21">
        <v>46234</v>
      </c>
      <c r="I360" s="53" t="s">
        <v>3013</v>
      </c>
      <c r="J360" s="24" t="s">
        <v>3014</v>
      </c>
      <c r="K360" s="24">
        <v>10</v>
      </c>
      <c r="L360" s="46">
        <v>12142011</v>
      </c>
      <c r="M360" s="20" t="s">
        <v>1364</v>
      </c>
      <c r="N360" s="38">
        <v>0</v>
      </c>
      <c r="O360" s="38">
        <v>0</v>
      </c>
      <c r="P360" s="20" t="s">
        <v>92</v>
      </c>
      <c r="Q360" s="20">
        <v>0</v>
      </c>
      <c r="R360" s="40">
        <v>46233</v>
      </c>
      <c r="S360" s="20">
        <v>0</v>
      </c>
      <c r="T360" s="20">
        <v>0</v>
      </c>
      <c r="U360" s="40">
        <v>46234</v>
      </c>
      <c r="V360" s="40">
        <v>46234</v>
      </c>
      <c r="W360" s="20" t="s">
        <v>57</v>
      </c>
      <c r="X360" s="21"/>
      <c r="Y360" s="19">
        <v>0</v>
      </c>
      <c r="Z360" s="19">
        <v>0</v>
      </c>
      <c r="AA360" s="19">
        <v>0</v>
      </c>
      <c r="AB360" s="20" t="s">
        <v>92</v>
      </c>
      <c r="AC360" s="22"/>
      <c r="AD360" s="144"/>
      <c r="AE360" s="20" t="s">
        <v>92</v>
      </c>
      <c r="AF360" s="135"/>
      <c r="AG360" s="135"/>
      <c r="AH360" s="135"/>
    </row>
    <row r="361" spans="1:43">
      <c r="A361" s="135"/>
      <c r="B361" s="135"/>
      <c r="C361" s="135"/>
      <c r="D361" s="46"/>
      <c r="E361" s="20"/>
      <c r="F361" s="20"/>
      <c r="G361" s="24"/>
      <c r="H361" s="21"/>
      <c r="I361" s="53"/>
      <c r="J361" s="24"/>
      <c r="K361" s="24"/>
      <c r="L361" s="46">
        <v>12138665</v>
      </c>
      <c r="M361" s="20" t="s">
        <v>1365</v>
      </c>
      <c r="N361" s="38">
        <v>0</v>
      </c>
      <c r="O361" s="38">
        <v>0</v>
      </c>
      <c r="P361" s="20" t="s">
        <v>92</v>
      </c>
      <c r="Q361" s="20">
        <v>0</v>
      </c>
      <c r="R361" s="40"/>
      <c r="S361" s="20"/>
      <c r="T361" s="20"/>
      <c r="U361" s="40"/>
      <c r="V361" s="40"/>
      <c r="W361" s="20"/>
      <c r="X361" s="21"/>
      <c r="Y361" s="19"/>
      <c r="Z361" s="19"/>
      <c r="AA361" s="19"/>
      <c r="AB361" s="20"/>
      <c r="AC361" s="22"/>
      <c r="AD361" s="144"/>
      <c r="AE361" s="20" t="s">
        <v>92</v>
      </c>
      <c r="AF361" s="135"/>
      <c r="AG361" s="135"/>
      <c r="AH361" s="135"/>
    </row>
    <row r="362" spans="1:43">
      <c r="A362" s="135"/>
      <c r="B362" s="135"/>
      <c r="C362" s="135"/>
      <c r="D362" s="46"/>
      <c r="E362" s="20"/>
      <c r="F362" s="20"/>
      <c r="G362" s="24"/>
      <c r="H362" s="21"/>
      <c r="I362" s="53"/>
      <c r="J362" s="24"/>
      <c r="K362" s="24"/>
      <c r="L362" s="46">
        <v>12138672</v>
      </c>
      <c r="M362" s="20" t="s">
        <v>1366</v>
      </c>
      <c r="N362" s="38">
        <v>0</v>
      </c>
      <c r="O362" s="38">
        <v>0</v>
      </c>
      <c r="P362" s="20" t="s">
        <v>92</v>
      </c>
      <c r="Q362" s="20">
        <v>0</v>
      </c>
      <c r="R362" s="40"/>
      <c r="S362" s="38"/>
      <c r="T362" s="38"/>
      <c r="U362" s="40"/>
      <c r="V362" s="40"/>
      <c r="W362" s="20"/>
      <c r="X362" s="21"/>
      <c r="Y362" s="38"/>
      <c r="Z362" s="38"/>
      <c r="AA362" s="38"/>
      <c r="AB362" s="20"/>
      <c r="AC362" s="22"/>
      <c r="AD362" s="144"/>
      <c r="AE362" s="20" t="s">
        <v>92</v>
      </c>
      <c r="AF362" s="135"/>
      <c r="AG362" s="135"/>
      <c r="AH362" s="135"/>
    </row>
    <row r="363" spans="1:43">
      <c r="A363" s="135" t="s">
        <v>214</v>
      </c>
      <c r="B363" s="135" t="s">
        <v>3018</v>
      </c>
      <c r="C363" s="135">
        <v>2000128237</v>
      </c>
      <c r="D363" s="46">
        <v>11107911</v>
      </c>
      <c r="E363" s="20" t="s">
        <v>1608</v>
      </c>
      <c r="F363" s="20" t="s">
        <v>1609</v>
      </c>
      <c r="G363" s="24">
        <v>16</v>
      </c>
      <c r="H363" s="21">
        <v>46234</v>
      </c>
      <c r="I363" s="53" t="s">
        <v>3015</v>
      </c>
      <c r="J363" s="24" t="s">
        <v>3016</v>
      </c>
      <c r="K363" s="24">
        <v>16</v>
      </c>
      <c r="L363" s="46">
        <v>12142011</v>
      </c>
      <c r="M363" s="20" t="s">
        <v>1364</v>
      </c>
      <c r="N363" s="38">
        <v>0</v>
      </c>
      <c r="O363" s="38">
        <v>0</v>
      </c>
      <c r="P363" s="20" t="s">
        <v>92</v>
      </c>
      <c r="Q363" s="20">
        <v>0</v>
      </c>
      <c r="R363" s="40">
        <v>46233</v>
      </c>
      <c r="S363" s="20">
        <v>0</v>
      </c>
      <c r="T363" s="20">
        <v>0</v>
      </c>
      <c r="U363" s="40">
        <v>46234</v>
      </c>
      <c r="V363" s="40">
        <v>46234</v>
      </c>
      <c r="W363" s="20" t="s">
        <v>57</v>
      </c>
      <c r="X363" s="21"/>
      <c r="Y363" s="19">
        <v>0</v>
      </c>
      <c r="Z363" s="19">
        <v>0</v>
      </c>
      <c r="AA363" s="19">
        <v>0</v>
      </c>
      <c r="AB363" s="20" t="s">
        <v>92</v>
      </c>
      <c r="AC363" s="22"/>
      <c r="AD363" s="144"/>
      <c r="AE363" s="20" t="s">
        <v>92</v>
      </c>
      <c r="AF363" s="135"/>
      <c r="AG363" s="135"/>
      <c r="AH363" s="135"/>
    </row>
    <row r="364" spans="1:43">
      <c r="A364" s="135"/>
      <c r="B364" s="135"/>
      <c r="C364" s="135"/>
      <c r="D364" s="46"/>
      <c r="E364" s="20"/>
      <c r="F364" s="20"/>
      <c r="G364" s="24"/>
      <c r="H364" s="21"/>
      <c r="I364" s="53"/>
      <c r="J364" s="24"/>
      <c r="K364" s="24"/>
      <c r="L364" s="46">
        <v>12138665</v>
      </c>
      <c r="M364" s="20" t="s">
        <v>1365</v>
      </c>
      <c r="N364" s="38">
        <v>0</v>
      </c>
      <c r="O364" s="38">
        <v>0</v>
      </c>
      <c r="P364" s="20" t="s">
        <v>92</v>
      </c>
      <c r="Q364" s="20">
        <v>0</v>
      </c>
      <c r="R364" s="40"/>
      <c r="S364" s="38"/>
      <c r="T364" s="38"/>
      <c r="U364" s="40"/>
      <c r="V364" s="40"/>
      <c r="W364" s="20"/>
      <c r="X364" s="21"/>
      <c r="Y364" s="38"/>
      <c r="Z364" s="38"/>
      <c r="AA364" s="38"/>
      <c r="AB364" s="20"/>
      <c r="AC364" s="22"/>
      <c r="AD364" s="144"/>
      <c r="AE364" s="20" t="s">
        <v>92</v>
      </c>
      <c r="AF364" s="135"/>
      <c r="AG364" s="135"/>
      <c r="AH364" s="135"/>
    </row>
    <row r="365" spans="1:43">
      <c r="A365" s="135"/>
      <c r="B365" s="135"/>
      <c r="C365" s="135"/>
      <c r="D365" s="46"/>
      <c r="E365" s="20"/>
      <c r="F365" s="20"/>
      <c r="G365" s="24"/>
      <c r="H365" s="21"/>
      <c r="I365" s="53"/>
      <c r="J365" s="24"/>
      <c r="K365" s="24"/>
      <c r="L365" s="46">
        <v>12138672</v>
      </c>
      <c r="M365" s="20" t="s">
        <v>1366</v>
      </c>
      <c r="N365" s="38">
        <v>0</v>
      </c>
      <c r="O365" s="38">
        <v>0</v>
      </c>
      <c r="P365" s="20" t="s">
        <v>92</v>
      </c>
      <c r="Q365" s="20">
        <v>0</v>
      </c>
      <c r="R365" s="40"/>
      <c r="S365" s="38"/>
      <c r="T365" s="38"/>
      <c r="U365" s="40"/>
      <c r="V365" s="40"/>
      <c r="W365" s="20"/>
      <c r="X365" s="21"/>
      <c r="Y365" s="38"/>
      <c r="Z365" s="38"/>
      <c r="AA365" s="38"/>
      <c r="AB365" s="20"/>
      <c r="AC365" s="22"/>
      <c r="AD365" s="144"/>
      <c r="AE365" s="20" t="s">
        <v>92</v>
      </c>
      <c r="AF365" s="135"/>
      <c r="AG365" s="135"/>
      <c r="AH365" s="135"/>
    </row>
    <row r="366" spans="1:43">
      <c r="A366" s="135" t="s">
        <v>3024</v>
      </c>
      <c r="B366" s="135" t="s">
        <v>3048</v>
      </c>
      <c r="C366" s="135" t="s">
        <v>3025</v>
      </c>
      <c r="D366" s="46">
        <v>11134137</v>
      </c>
      <c r="E366" s="20" t="s">
        <v>131</v>
      </c>
      <c r="F366" s="20" t="s">
        <v>71</v>
      </c>
      <c r="G366" s="24">
        <v>555</v>
      </c>
      <c r="H366" s="21">
        <v>46255</v>
      </c>
      <c r="I366" s="53" t="s">
        <v>3026</v>
      </c>
      <c r="J366" s="24" t="s">
        <v>3027</v>
      </c>
      <c r="K366" s="24">
        <v>555</v>
      </c>
      <c r="L366" s="46">
        <v>12129986</v>
      </c>
      <c r="M366" s="20" t="s">
        <v>76</v>
      </c>
      <c r="N366" s="38">
        <v>0</v>
      </c>
      <c r="O366" s="38">
        <v>0</v>
      </c>
      <c r="P366" s="20" t="s">
        <v>72</v>
      </c>
      <c r="Q366" s="20">
        <v>0</v>
      </c>
      <c r="R366" s="40">
        <v>46240</v>
      </c>
      <c r="S366" s="20">
        <v>0</v>
      </c>
      <c r="T366" s="20">
        <v>0</v>
      </c>
      <c r="U366" s="40">
        <v>46241</v>
      </c>
      <c r="V366" s="40">
        <v>46241</v>
      </c>
      <c r="W366" s="20" t="s">
        <v>57</v>
      </c>
      <c r="X366" s="21"/>
      <c r="Y366" s="19">
        <f>VLOOKUP(F366,[2]New!$B:$G,3,0)*K366/60</f>
        <v>518</v>
      </c>
      <c r="Z366" s="19">
        <f>VLOOKUP(F366,[2]New!$B:$G,4,0)*K366/60</f>
        <v>2164.5</v>
      </c>
      <c r="AA366" s="19">
        <f>VLOOKUP(F366,[2]New!$B:$G,6,0)*K366/60</f>
        <v>2673.25</v>
      </c>
      <c r="AB366" s="44">
        <f>VLOOKUP(A366,'[4]PO CAG'!$A:$L,12,0)</f>
        <v>46303</v>
      </c>
      <c r="AC366" s="22" t="str">
        <f>IFERROR(VLOOKUP(F366,[3]Sheet1!$E:$H,4,0),)</f>
        <v>G</v>
      </c>
      <c r="AD366" s="144"/>
      <c r="AE366" s="25" t="s">
        <v>445</v>
      </c>
      <c r="AF366" s="135" t="s">
        <v>198</v>
      </c>
      <c r="AG366" s="135"/>
      <c r="AH366" s="135"/>
      <c r="AI366" s="23" t="s">
        <v>1259</v>
      </c>
      <c r="AJ366" s="267" t="s">
        <v>189</v>
      </c>
      <c r="AN366" s="278">
        <v>3</v>
      </c>
      <c r="AO366" s="278">
        <v>3</v>
      </c>
      <c r="AP366" s="278">
        <v>3</v>
      </c>
      <c r="AQ366" s="278">
        <v>3</v>
      </c>
    </row>
    <row r="367" spans="1:43">
      <c r="A367" s="135" t="s">
        <v>3028</v>
      </c>
      <c r="B367" s="135" t="s">
        <v>3049</v>
      </c>
      <c r="C367" s="135" t="s">
        <v>3029</v>
      </c>
      <c r="D367" s="46">
        <v>11134139</v>
      </c>
      <c r="E367" s="20" t="s">
        <v>160</v>
      </c>
      <c r="F367" s="20" t="s">
        <v>161</v>
      </c>
      <c r="G367" s="24">
        <v>40</v>
      </c>
      <c r="H367" s="21">
        <v>46255</v>
      </c>
      <c r="I367" s="53" t="s">
        <v>3030</v>
      </c>
      <c r="J367" s="24" t="s">
        <v>3031</v>
      </c>
      <c r="K367" s="24">
        <v>40</v>
      </c>
      <c r="L367" s="46">
        <v>12129988</v>
      </c>
      <c r="M367" s="20" t="s">
        <v>171</v>
      </c>
      <c r="N367" s="38">
        <v>0</v>
      </c>
      <c r="O367" s="38">
        <v>0</v>
      </c>
      <c r="P367" s="20" t="s">
        <v>72</v>
      </c>
      <c r="Q367" s="20">
        <v>0</v>
      </c>
      <c r="R367" s="40">
        <v>46240</v>
      </c>
      <c r="S367" s="20">
        <v>0</v>
      </c>
      <c r="T367" s="20">
        <v>0</v>
      </c>
      <c r="U367" s="40">
        <v>46241</v>
      </c>
      <c r="V367" s="40">
        <v>46241</v>
      </c>
      <c r="W367" s="20" t="s">
        <v>57</v>
      </c>
      <c r="X367" s="21"/>
      <c r="Y367" s="19">
        <f>VLOOKUP(F367,[2]New!$B:$G,3,0)*K367/60</f>
        <v>37.333333333333336</v>
      </c>
      <c r="Z367" s="19">
        <f>VLOOKUP(F367,[2]New!$B:$G,4,0)*K367/60</f>
        <v>156</v>
      </c>
      <c r="AA367" s="19">
        <f>VLOOKUP(F367,[2]New!$B:$G,6,0)*K367/60</f>
        <v>192.66666666666666</v>
      </c>
      <c r="AB367" s="44">
        <f>VLOOKUP(A367,'[4]PO CAG'!$A:$L,12,0)</f>
        <v>46303</v>
      </c>
      <c r="AC367" s="22" t="str">
        <f>IFERROR(VLOOKUP(F367,[3]Sheet1!$E:$H,4,0),)</f>
        <v>G</v>
      </c>
      <c r="AD367" s="144"/>
      <c r="AE367" s="25" t="s">
        <v>445</v>
      </c>
      <c r="AF367" s="135" t="s">
        <v>198</v>
      </c>
      <c r="AG367" s="135"/>
      <c r="AH367" s="135"/>
      <c r="AI367" s="23" t="s">
        <v>1259</v>
      </c>
      <c r="AJ367" s="267" t="s">
        <v>189</v>
      </c>
      <c r="AN367" s="278">
        <v>3</v>
      </c>
      <c r="AO367" s="278">
        <v>3</v>
      </c>
      <c r="AP367" s="278">
        <v>3</v>
      </c>
      <c r="AQ367" s="278">
        <v>3</v>
      </c>
    </row>
    <row r="368" spans="1:43">
      <c r="A368" s="135" t="s">
        <v>3032</v>
      </c>
      <c r="B368" s="135" t="s">
        <v>3050</v>
      </c>
      <c r="C368" s="135" t="s">
        <v>3033</v>
      </c>
      <c r="D368" s="46">
        <v>11134117</v>
      </c>
      <c r="E368" s="20" t="s">
        <v>140</v>
      </c>
      <c r="F368" s="20" t="s">
        <v>141</v>
      </c>
      <c r="G368" s="24">
        <v>400</v>
      </c>
      <c r="H368" s="21">
        <v>46255</v>
      </c>
      <c r="I368" s="53" t="s">
        <v>3034</v>
      </c>
      <c r="J368" s="24" t="s">
        <v>3035</v>
      </c>
      <c r="K368" s="24">
        <v>400</v>
      </c>
      <c r="L368" s="46">
        <v>12129989</v>
      </c>
      <c r="M368" s="20" t="s">
        <v>142</v>
      </c>
      <c r="N368" s="38">
        <v>0</v>
      </c>
      <c r="O368" s="38">
        <v>0</v>
      </c>
      <c r="P368" s="20" t="s">
        <v>72</v>
      </c>
      <c r="Q368" s="20">
        <v>0</v>
      </c>
      <c r="R368" s="40">
        <v>46240</v>
      </c>
      <c r="S368" s="20">
        <v>0</v>
      </c>
      <c r="T368" s="20">
        <v>0</v>
      </c>
      <c r="U368" s="40">
        <v>46241</v>
      </c>
      <c r="V368" s="40">
        <v>46241</v>
      </c>
      <c r="W368" s="20" t="s">
        <v>57</v>
      </c>
      <c r="X368" s="21"/>
      <c r="Y368" s="19">
        <f>VLOOKUP(F368,[2]New!$B:$G,3,0)*K368/60</f>
        <v>373.33333333333331</v>
      </c>
      <c r="Z368" s="19">
        <f>VLOOKUP(F368,[2]New!$B:$G,4,0)*K368/60</f>
        <v>1560</v>
      </c>
      <c r="AA368" s="19">
        <f>VLOOKUP(F368,[2]New!$B:$G,6,0)*K368/60</f>
        <v>1926.6666666666667</v>
      </c>
      <c r="AB368" s="44">
        <f>VLOOKUP(A368,'[4]PO CAG'!$A:$L,12,0)</f>
        <v>46303</v>
      </c>
      <c r="AC368" s="22" t="str">
        <f>IFERROR(VLOOKUP(F368,[3]Sheet1!$E:$H,4,0),)</f>
        <v>G</v>
      </c>
      <c r="AD368" s="144"/>
      <c r="AE368" s="25" t="s">
        <v>445</v>
      </c>
      <c r="AF368" s="135" t="s">
        <v>198</v>
      </c>
      <c r="AG368" s="135"/>
      <c r="AH368" s="135"/>
      <c r="AI368" s="23" t="s">
        <v>1259</v>
      </c>
      <c r="AJ368" s="267" t="s">
        <v>189</v>
      </c>
      <c r="AN368" s="278">
        <v>3</v>
      </c>
      <c r="AO368" s="278">
        <v>3</v>
      </c>
      <c r="AP368" s="278">
        <v>3</v>
      </c>
      <c r="AQ368" s="278">
        <v>3</v>
      </c>
    </row>
    <row r="369" spans="1:43">
      <c r="A369" s="135" t="s">
        <v>3036</v>
      </c>
      <c r="B369" s="135" t="s">
        <v>3051</v>
      </c>
      <c r="C369" s="135" t="s">
        <v>3037</v>
      </c>
      <c r="D369" s="46">
        <v>11134125</v>
      </c>
      <c r="E369" s="20" t="s">
        <v>139</v>
      </c>
      <c r="F369" s="20" t="s">
        <v>70</v>
      </c>
      <c r="G369" s="24">
        <v>157</v>
      </c>
      <c r="H369" s="21">
        <v>46255</v>
      </c>
      <c r="I369" s="53" t="s">
        <v>3038</v>
      </c>
      <c r="J369" s="24" t="s">
        <v>3039</v>
      </c>
      <c r="K369" s="24">
        <v>160</v>
      </c>
      <c r="L369" s="46">
        <v>12129992</v>
      </c>
      <c r="M369" s="20" t="s">
        <v>75</v>
      </c>
      <c r="N369" s="38">
        <v>0</v>
      </c>
      <c r="O369" s="38">
        <v>0</v>
      </c>
      <c r="P369" s="20" t="s">
        <v>72</v>
      </c>
      <c r="Q369" s="20">
        <v>3</v>
      </c>
      <c r="R369" s="40">
        <v>46240</v>
      </c>
      <c r="S369" s="20">
        <v>0</v>
      </c>
      <c r="T369" s="20">
        <v>0</v>
      </c>
      <c r="U369" s="40">
        <v>46241</v>
      </c>
      <c r="V369" s="40">
        <v>46241</v>
      </c>
      <c r="W369" s="20" t="s">
        <v>57</v>
      </c>
      <c r="X369" s="21"/>
      <c r="Y369" s="19">
        <f>VLOOKUP(F369,[2]New!$B:$G,3,0)*K369/60</f>
        <v>149.33333333333334</v>
      </c>
      <c r="Z369" s="19">
        <f>VLOOKUP(F369,[2]New!$B:$G,4,0)*K369/60</f>
        <v>624</v>
      </c>
      <c r="AA369" s="19">
        <f>VLOOKUP(F369,[2]New!$B:$G,6,0)*K369/60</f>
        <v>770.66666666666663</v>
      </c>
      <c r="AB369" s="44">
        <f>VLOOKUP(A369,'[4]PO CAG'!$A:$L,12,0)</f>
        <v>46303</v>
      </c>
      <c r="AC369" s="22" t="str">
        <f>IFERROR(VLOOKUP(F369,[3]Sheet1!$E:$H,4,0),)</f>
        <v>G</v>
      </c>
      <c r="AD369" s="144"/>
      <c r="AE369" s="25" t="s">
        <v>445</v>
      </c>
      <c r="AF369" s="135" t="s">
        <v>198</v>
      </c>
      <c r="AG369" s="135"/>
      <c r="AH369" s="135"/>
      <c r="AI369" s="23" t="s">
        <v>1259</v>
      </c>
      <c r="AJ369" s="267" t="s">
        <v>189</v>
      </c>
      <c r="AN369" s="278">
        <v>3</v>
      </c>
      <c r="AO369" s="278">
        <v>3</v>
      </c>
      <c r="AP369" s="278">
        <v>3</v>
      </c>
      <c r="AQ369" s="278">
        <v>3</v>
      </c>
    </row>
    <row r="370" spans="1:43">
      <c r="A370" s="135" t="s">
        <v>3040</v>
      </c>
      <c r="B370" s="135" t="s">
        <v>3052</v>
      </c>
      <c r="C370" s="135" t="s">
        <v>3041</v>
      </c>
      <c r="D370" s="46">
        <v>11134148</v>
      </c>
      <c r="E370" s="20" t="s">
        <v>136</v>
      </c>
      <c r="F370" s="20" t="s">
        <v>69</v>
      </c>
      <c r="G370" s="24">
        <v>260</v>
      </c>
      <c r="H370" s="21">
        <v>46255</v>
      </c>
      <c r="I370" s="53" t="s">
        <v>3042</v>
      </c>
      <c r="J370" s="24" t="s">
        <v>3043</v>
      </c>
      <c r="K370" s="24">
        <v>266</v>
      </c>
      <c r="L370" s="46">
        <v>12129995</v>
      </c>
      <c r="M370" s="20" t="s">
        <v>74</v>
      </c>
      <c r="N370" s="38">
        <v>0</v>
      </c>
      <c r="O370" s="38">
        <v>0</v>
      </c>
      <c r="P370" s="20" t="s">
        <v>72</v>
      </c>
      <c r="Q370" s="20">
        <v>0</v>
      </c>
      <c r="R370" s="40">
        <v>46240</v>
      </c>
      <c r="S370" s="20">
        <v>3</v>
      </c>
      <c r="T370" s="20">
        <v>3</v>
      </c>
      <c r="U370" s="40">
        <v>46241</v>
      </c>
      <c r="V370" s="40">
        <v>46241</v>
      </c>
      <c r="W370" s="20" t="s">
        <v>58</v>
      </c>
      <c r="X370" s="21"/>
      <c r="Y370" s="19">
        <f>VLOOKUP(F370,[2]New!$B:$G,3,0)*K370/60</f>
        <v>248.26666666666668</v>
      </c>
      <c r="Z370" s="19">
        <f>VLOOKUP(F370,[2]New!$B:$G,4,0)*K370/60</f>
        <v>1037.4000000000001</v>
      </c>
      <c r="AA370" s="19">
        <f>VLOOKUP(F370,[2]New!$B:$G,6,0)*K370/60</f>
        <v>1281.2333333333333</v>
      </c>
      <c r="AB370" s="44">
        <f>VLOOKUP(A370,'[4]PO CAG'!$A:$L,12,0)</f>
        <v>46303</v>
      </c>
      <c r="AC370" s="22" t="str">
        <f>IFERROR(VLOOKUP(F370,[3]Sheet1!$E:$H,4,0),)</f>
        <v>G</v>
      </c>
      <c r="AD370" s="144"/>
      <c r="AE370" s="25" t="s">
        <v>445</v>
      </c>
      <c r="AF370" s="135" t="s">
        <v>198</v>
      </c>
      <c r="AG370" s="135"/>
      <c r="AH370" s="135"/>
      <c r="AI370" s="23" t="s">
        <v>383</v>
      </c>
      <c r="AJ370" s="267" t="s">
        <v>188</v>
      </c>
      <c r="AN370" s="278">
        <v>3</v>
      </c>
      <c r="AO370" s="278">
        <v>3</v>
      </c>
      <c r="AP370" s="278">
        <v>3</v>
      </c>
      <c r="AQ370" s="278">
        <v>3</v>
      </c>
    </row>
    <row r="371" spans="1:43">
      <c r="A371" s="135" t="s">
        <v>3044</v>
      </c>
      <c r="B371" s="135" t="s">
        <v>3053</v>
      </c>
      <c r="C371" s="135" t="s">
        <v>3045</v>
      </c>
      <c r="D371" s="46">
        <v>11134146</v>
      </c>
      <c r="E371" s="20" t="s">
        <v>134</v>
      </c>
      <c r="F371" s="20" t="s">
        <v>135</v>
      </c>
      <c r="G371" s="24">
        <v>460</v>
      </c>
      <c r="H371" s="21">
        <v>46255</v>
      </c>
      <c r="I371" s="53" t="s">
        <v>3046</v>
      </c>
      <c r="J371" s="24" t="s">
        <v>3047</v>
      </c>
      <c r="K371" s="24">
        <v>460</v>
      </c>
      <c r="L371" s="46">
        <v>12129994</v>
      </c>
      <c r="M371" s="20" t="s">
        <v>138</v>
      </c>
      <c r="N371" s="38">
        <v>0</v>
      </c>
      <c r="O371" s="38">
        <v>0</v>
      </c>
      <c r="P371" s="20" t="s">
        <v>72</v>
      </c>
      <c r="Q371" s="20">
        <v>0</v>
      </c>
      <c r="R371" s="40">
        <v>46240</v>
      </c>
      <c r="S371" s="20">
        <v>0</v>
      </c>
      <c r="T371" s="20">
        <v>0</v>
      </c>
      <c r="U371" s="40">
        <v>46241</v>
      </c>
      <c r="V371" s="40">
        <v>46241</v>
      </c>
      <c r="W371" s="20" t="s">
        <v>58</v>
      </c>
      <c r="X371" s="21"/>
      <c r="Y371" s="19">
        <f>VLOOKUP(F371,[2]New!$B:$G,3,0)*K371/60</f>
        <v>429.33333333333331</v>
      </c>
      <c r="Z371" s="19">
        <f>VLOOKUP(F371,[2]New!$B:$G,4,0)*K371/60</f>
        <v>1794</v>
      </c>
      <c r="AA371" s="19">
        <f>VLOOKUP(F371,[2]New!$B:$G,6,0)*K371/60</f>
        <v>2215.6666666666665</v>
      </c>
      <c r="AB371" s="44">
        <f>VLOOKUP(A371,'[4]PO CAG'!$A:$L,12,0)</f>
        <v>46303</v>
      </c>
      <c r="AC371" s="22" t="str">
        <f>IFERROR(VLOOKUP(F371,[3]Sheet1!$E:$H,4,0),)</f>
        <v>G</v>
      </c>
      <c r="AD371" s="144"/>
      <c r="AE371" s="25" t="s">
        <v>445</v>
      </c>
      <c r="AF371" s="135" t="s">
        <v>198</v>
      </c>
      <c r="AG371" s="135"/>
      <c r="AH371" s="135"/>
      <c r="AI371" s="23" t="s">
        <v>383</v>
      </c>
      <c r="AJ371" s="267" t="s">
        <v>188</v>
      </c>
      <c r="AN371" s="278">
        <v>3</v>
      </c>
      <c r="AO371" s="278">
        <v>3</v>
      </c>
      <c r="AP371" s="278">
        <v>3</v>
      </c>
      <c r="AQ371" s="278">
        <v>3</v>
      </c>
    </row>
    <row r="372" spans="1:43">
      <c r="A372" s="135" t="s">
        <v>3084</v>
      </c>
      <c r="B372" s="135" t="s">
        <v>3117</v>
      </c>
      <c r="C372" s="135" t="s">
        <v>3085</v>
      </c>
      <c r="D372" s="46">
        <v>11134249</v>
      </c>
      <c r="E372" s="20" t="s">
        <v>181</v>
      </c>
      <c r="F372" s="20" t="s">
        <v>182</v>
      </c>
      <c r="G372" s="24">
        <v>231</v>
      </c>
      <c r="H372" s="21">
        <v>46258</v>
      </c>
      <c r="I372" s="53" t="s">
        <v>3086</v>
      </c>
      <c r="J372" s="24" t="s">
        <v>3093</v>
      </c>
      <c r="K372" s="24">
        <v>231</v>
      </c>
      <c r="L372" s="46">
        <v>12139932</v>
      </c>
      <c r="M372" s="20" t="s">
        <v>186</v>
      </c>
      <c r="N372" s="38">
        <v>0</v>
      </c>
      <c r="O372" s="38">
        <v>0</v>
      </c>
      <c r="P372" s="20" t="s">
        <v>72</v>
      </c>
      <c r="Q372" s="20">
        <v>0</v>
      </c>
      <c r="R372" s="40">
        <v>46241</v>
      </c>
      <c r="S372" s="20">
        <v>0</v>
      </c>
      <c r="T372" s="20">
        <v>0</v>
      </c>
      <c r="U372" s="40">
        <v>46242</v>
      </c>
      <c r="V372" s="40">
        <v>46242</v>
      </c>
      <c r="W372" s="20" t="s">
        <v>54</v>
      </c>
      <c r="X372" s="21"/>
      <c r="Y372" s="19">
        <f>VLOOKUP(F372,[2]New!$B:$G,3,0)*K372/60</f>
        <v>129.36000000000001</v>
      </c>
      <c r="Z372" s="19">
        <f>VLOOKUP(F372,[2]New!$B:$G,4,0)*K372/60</f>
        <v>248.32499999999999</v>
      </c>
      <c r="AA372" s="19">
        <f>VLOOKUP(F372,[2]New!$B:$G,6,0)*K372/60</f>
        <v>513.20500000000004</v>
      </c>
      <c r="AB372" s="44">
        <f>VLOOKUP(A372,'[4]PO CAG'!$A:$L,12,0)</f>
        <v>46303</v>
      </c>
      <c r="AC372" s="22" t="str">
        <f>IFERROR(VLOOKUP(F372,[3]Sheet1!$E:$H,4,0),)</f>
        <v>H</v>
      </c>
      <c r="AD372" s="144"/>
      <c r="AE372" s="25" t="s">
        <v>447</v>
      </c>
      <c r="AF372" s="135" t="s">
        <v>198</v>
      </c>
      <c r="AG372" s="135"/>
      <c r="AH372" s="135"/>
      <c r="AJ372" s="267" t="s">
        <v>152</v>
      </c>
      <c r="AN372" s="278">
        <v>2</v>
      </c>
      <c r="AO372" s="278">
        <v>2</v>
      </c>
      <c r="AP372" s="278">
        <v>2</v>
      </c>
      <c r="AQ372" s="278">
        <v>2</v>
      </c>
    </row>
    <row r="373" spans="1:43">
      <c r="A373" s="135" t="s">
        <v>3087</v>
      </c>
      <c r="B373" s="135" t="s">
        <v>3119</v>
      </c>
      <c r="C373" s="135" t="s">
        <v>3088</v>
      </c>
      <c r="D373" s="46">
        <v>11134248</v>
      </c>
      <c r="E373" s="20" t="s">
        <v>179</v>
      </c>
      <c r="F373" s="20" t="s">
        <v>180</v>
      </c>
      <c r="G373" s="24">
        <v>2152</v>
      </c>
      <c r="H373" s="21">
        <v>46258</v>
      </c>
      <c r="I373" s="53" t="s">
        <v>3089</v>
      </c>
      <c r="J373" s="24" t="s">
        <v>3094</v>
      </c>
      <c r="K373" s="24">
        <v>2158</v>
      </c>
      <c r="L373" s="46">
        <v>12139931</v>
      </c>
      <c r="M373" s="20" t="s">
        <v>185</v>
      </c>
      <c r="N373" s="38">
        <v>0</v>
      </c>
      <c r="O373" s="38">
        <v>0</v>
      </c>
      <c r="P373" s="20" t="s">
        <v>72</v>
      </c>
      <c r="Q373" s="20">
        <v>0</v>
      </c>
      <c r="R373" s="40">
        <v>46241</v>
      </c>
      <c r="S373" s="20">
        <v>3</v>
      </c>
      <c r="T373" s="20">
        <v>3</v>
      </c>
      <c r="U373" s="40">
        <v>46242</v>
      </c>
      <c r="V373" s="40">
        <v>46242</v>
      </c>
      <c r="W373" s="20" t="s">
        <v>54</v>
      </c>
      <c r="X373" s="21"/>
      <c r="Y373" s="19">
        <f>VLOOKUP(F373,[2]New!$B:$G,3,0)*K373/60</f>
        <v>1208.48</v>
      </c>
      <c r="Z373" s="19">
        <f>VLOOKUP(F373,[2]New!$B:$G,4,0)*K373/60</f>
        <v>2319.85</v>
      </c>
      <c r="AA373" s="19">
        <f>VLOOKUP(F373,[2]New!$B:$G,6,0)*K373/60</f>
        <v>4794.3566666666675</v>
      </c>
      <c r="AB373" s="44">
        <f>VLOOKUP(A373,'[4]PO CAG'!$A:$L,12,0)</f>
        <v>46303</v>
      </c>
      <c r="AC373" s="22" t="str">
        <f>IFERROR(VLOOKUP(F373,[3]Sheet1!$E:$H,4,0),)</f>
        <v>H</v>
      </c>
      <c r="AD373" s="144"/>
      <c r="AE373" s="25" t="s">
        <v>447</v>
      </c>
      <c r="AF373" s="135" t="s">
        <v>198</v>
      </c>
      <c r="AG373" s="135"/>
      <c r="AH373" s="135"/>
      <c r="AJ373" s="267" t="s">
        <v>152</v>
      </c>
      <c r="AN373" s="278">
        <v>2</v>
      </c>
      <c r="AO373" s="278">
        <v>2</v>
      </c>
      <c r="AP373" s="278">
        <v>2</v>
      </c>
      <c r="AQ373" s="278">
        <v>2</v>
      </c>
    </row>
    <row r="374" spans="1:43">
      <c r="A374" s="135" t="s">
        <v>3090</v>
      </c>
      <c r="B374" s="135" t="s">
        <v>3118</v>
      </c>
      <c r="C374" s="135" t="s">
        <v>3091</v>
      </c>
      <c r="D374" s="46">
        <v>11134562</v>
      </c>
      <c r="E374" s="20" t="s">
        <v>263</v>
      </c>
      <c r="F374" s="20" t="s">
        <v>264</v>
      </c>
      <c r="G374" s="24">
        <v>2386</v>
      </c>
      <c r="H374" s="21">
        <v>46261</v>
      </c>
      <c r="I374" s="53" t="s">
        <v>3092</v>
      </c>
      <c r="J374" s="24" t="s">
        <v>3095</v>
      </c>
      <c r="K374" s="24">
        <v>2392</v>
      </c>
      <c r="L374" s="46">
        <v>12129258</v>
      </c>
      <c r="M374" s="20" t="s">
        <v>265</v>
      </c>
      <c r="N374" s="38">
        <v>0</v>
      </c>
      <c r="O374" s="38">
        <v>0</v>
      </c>
      <c r="P374" s="20" t="s">
        <v>72</v>
      </c>
      <c r="Q374" s="20">
        <v>0</v>
      </c>
      <c r="R374" s="40">
        <v>46242</v>
      </c>
      <c r="S374" s="20">
        <v>3</v>
      </c>
      <c r="T374" s="20">
        <v>3</v>
      </c>
      <c r="U374" s="40">
        <v>46247</v>
      </c>
      <c r="V374" s="40">
        <v>46247</v>
      </c>
      <c r="W374" s="20" t="s">
        <v>54</v>
      </c>
      <c r="X374" s="21"/>
      <c r="Y374" s="19">
        <f>VLOOKUP(F374,[2]New!$B:$G,3,0)*K374/60</f>
        <v>2232.5333333333333</v>
      </c>
      <c r="Z374" s="19">
        <f>VLOOKUP(F374,[2]New!$B:$G,4,0)*K374/60</f>
        <v>9328.7999999999993</v>
      </c>
      <c r="AA374" s="19">
        <f>VLOOKUP(F374,[2]New!$B:$G,6,0)*K374/60</f>
        <v>11521.466666666667</v>
      </c>
      <c r="AB374" s="44">
        <f>VLOOKUP(A374,'[4]PO CAG'!$A:$L,12,0)</f>
        <v>46303</v>
      </c>
      <c r="AC374" s="22" t="str">
        <f>IFERROR(VLOOKUP(F374,[3]Sheet1!$E:$H,4,0),)</f>
        <v>H</v>
      </c>
      <c r="AD374" s="144"/>
      <c r="AE374" s="25" t="s">
        <v>446</v>
      </c>
      <c r="AF374" s="135" t="s">
        <v>198</v>
      </c>
      <c r="AG374" s="135"/>
      <c r="AH374" s="135"/>
      <c r="AJ374" s="267" t="s">
        <v>152</v>
      </c>
      <c r="AN374" s="278">
        <v>1</v>
      </c>
      <c r="AO374" s="278">
        <v>1</v>
      </c>
      <c r="AP374" s="278">
        <v>1</v>
      </c>
      <c r="AQ374" s="278">
        <v>1</v>
      </c>
    </row>
    <row r="375" spans="1:43">
      <c r="A375" s="135" t="s">
        <v>3096</v>
      </c>
      <c r="B375" s="135" t="s">
        <v>3120</v>
      </c>
      <c r="C375" s="135" t="s">
        <v>3097</v>
      </c>
      <c r="D375" s="46">
        <v>11134120</v>
      </c>
      <c r="E375" s="20" t="s">
        <v>145</v>
      </c>
      <c r="F375" s="20" t="s">
        <v>146</v>
      </c>
      <c r="G375" s="24">
        <v>55</v>
      </c>
      <c r="H375" s="21">
        <v>46258</v>
      </c>
      <c r="I375" s="53" t="s">
        <v>3098</v>
      </c>
      <c r="J375" s="24" t="s">
        <v>3099</v>
      </c>
      <c r="K375" s="24">
        <v>55</v>
      </c>
      <c r="L375" s="46">
        <v>12129990</v>
      </c>
      <c r="M375" s="20" t="s">
        <v>150</v>
      </c>
      <c r="N375" s="38">
        <v>0</v>
      </c>
      <c r="O375" s="38">
        <v>0</v>
      </c>
      <c r="P375" s="20" t="s">
        <v>72</v>
      </c>
      <c r="Q375" s="20">
        <v>0</v>
      </c>
      <c r="R375" s="40">
        <v>46241</v>
      </c>
      <c r="S375" s="20">
        <v>0</v>
      </c>
      <c r="T375" s="20">
        <v>0</v>
      </c>
      <c r="U375" s="40">
        <v>46242</v>
      </c>
      <c r="V375" s="40">
        <v>46242</v>
      </c>
      <c r="W375" s="20" t="s">
        <v>57</v>
      </c>
      <c r="X375" s="21"/>
      <c r="Y375" s="19">
        <f>VLOOKUP(F375,[2]New!$B:$G,3,0)*K375/60</f>
        <v>51.333333333333336</v>
      </c>
      <c r="Z375" s="19">
        <f>VLOOKUP(F375,[2]New!$B:$G,4,0)*K375/60</f>
        <v>214.5</v>
      </c>
      <c r="AA375" s="19">
        <f>VLOOKUP(F375,[2]New!$B:$G,6,0)*K375/60</f>
        <v>264.91666666666669</v>
      </c>
      <c r="AB375" s="44">
        <f>VLOOKUP(A375,'[4]PO CAG'!$A:$L,12,0)</f>
        <v>46303</v>
      </c>
      <c r="AC375" s="22" t="str">
        <f>IFERROR(VLOOKUP(F375,[3]Sheet1!$E:$H,4,0),)</f>
        <v>G</v>
      </c>
      <c r="AD375" s="144"/>
      <c r="AE375" s="25" t="s">
        <v>445</v>
      </c>
      <c r="AF375" s="135" t="s">
        <v>198</v>
      </c>
      <c r="AG375" s="135"/>
      <c r="AH375" s="135"/>
      <c r="AJ375" s="267" t="s">
        <v>153</v>
      </c>
      <c r="AN375" s="278">
        <v>3</v>
      </c>
      <c r="AO375" s="278">
        <v>3</v>
      </c>
      <c r="AP375" s="278">
        <v>3</v>
      </c>
      <c r="AQ375" s="278">
        <v>3</v>
      </c>
    </row>
    <row r="376" spans="1:43">
      <c r="A376" s="135" t="s">
        <v>3100</v>
      </c>
      <c r="B376" s="135" t="s">
        <v>3121</v>
      </c>
      <c r="C376" s="135" t="s">
        <v>3101</v>
      </c>
      <c r="D376" s="46">
        <v>11134123</v>
      </c>
      <c r="E376" s="20" t="s">
        <v>147</v>
      </c>
      <c r="F376" s="20" t="s">
        <v>148</v>
      </c>
      <c r="G376" s="24">
        <v>480</v>
      </c>
      <c r="H376" s="21">
        <v>46258</v>
      </c>
      <c r="I376" s="53" t="s">
        <v>3102</v>
      </c>
      <c r="J376" s="24" t="s">
        <v>3103</v>
      </c>
      <c r="K376" s="24">
        <v>480</v>
      </c>
      <c r="L376" s="46">
        <v>12129991</v>
      </c>
      <c r="M376" s="20" t="s">
        <v>151</v>
      </c>
      <c r="N376" s="38">
        <v>0</v>
      </c>
      <c r="O376" s="38">
        <v>0</v>
      </c>
      <c r="P376" s="20" t="s">
        <v>72</v>
      </c>
      <c r="Q376" s="20">
        <v>0</v>
      </c>
      <c r="R376" s="40">
        <v>46241</v>
      </c>
      <c r="S376" s="20">
        <v>0</v>
      </c>
      <c r="T376" s="20">
        <v>0</v>
      </c>
      <c r="U376" s="40">
        <v>46242</v>
      </c>
      <c r="V376" s="40">
        <v>46242</v>
      </c>
      <c r="W376" s="20" t="s">
        <v>57</v>
      </c>
      <c r="X376" s="21"/>
      <c r="Y376" s="19">
        <f>VLOOKUP(F376,[2]New!$B:$G,3,0)*K376/60</f>
        <v>448</v>
      </c>
      <c r="Z376" s="19">
        <f>VLOOKUP(F376,[2]New!$B:$G,4,0)*K376/60</f>
        <v>1872</v>
      </c>
      <c r="AA376" s="19">
        <f>VLOOKUP(F376,[2]New!$B:$G,6,0)*K376/60</f>
        <v>2312</v>
      </c>
      <c r="AB376" s="44">
        <f>VLOOKUP(A376,'[4]PO CAG'!$A:$L,12,0)</f>
        <v>46303</v>
      </c>
      <c r="AC376" s="22" t="str">
        <f>IFERROR(VLOOKUP(F376,[3]Sheet1!$E:$H,4,0),)</f>
        <v>G</v>
      </c>
      <c r="AD376" s="144"/>
      <c r="AE376" s="25" t="s">
        <v>445</v>
      </c>
      <c r="AF376" s="135" t="s">
        <v>198</v>
      </c>
      <c r="AG376" s="135"/>
      <c r="AH376" s="135"/>
      <c r="AJ376" s="267" t="s">
        <v>153</v>
      </c>
      <c r="AN376" s="278">
        <v>3</v>
      </c>
      <c r="AO376" s="278">
        <v>3</v>
      </c>
      <c r="AP376" s="278">
        <v>3</v>
      </c>
      <c r="AQ376" s="278">
        <v>3</v>
      </c>
    </row>
    <row r="377" spans="1:43">
      <c r="A377" s="135" t="s">
        <v>3036</v>
      </c>
      <c r="B377" s="135" t="s">
        <v>3122</v>
      </c>
      <c r="C377" s="135" t="s">
        <v>3104</v>
      </c>
      <c r="D377" s="46">
        <v>11134125</v>
      </c>
      <c r="E377" s="20" t="s">
        <v>139</v>
      </c>
      <c r="F377" s="20" t="s">
        <v>70</v>
      </c>
      <c r="G377" s="24">
        <v>643</v>
      </c>
      <c r="H377" s="21">
        <v>46258</v>
      </c>
      <c r="I377" s="53" t="s">
        <v>3105</v>
      </c>
      <c r="J377" s="24" t="s">
        <v>3106</v>
      </c>
      <c r="K377" s="24">
        <v>649</v>
      </c>
      <c r="L377" s="46">
        <v>12129992</v>
      </c>
      <c r="M377" s="20" t="s">
        <v>75</v>
      </c>
      <c r="N377" s="38">
        <v>0</v>
      </c>
      <c r="O377" s="38">
        <v>0</v>
      </c>
      <c r="P377" s="20" t="s">
        <v>72</v>
      </c>
      <c r="Q377" s="20">
        <v>0</v>
      </c>
      <c r="R377" s="40">
        <v>46241</v>
      </c>
      <c r="S377" s="20">
        <v>3</v>
      </c>
      <c r="T377" s="20">
        <v>3</v>
      </c>
      <c r="U377" s="40">
        <v>46242</v>
      </c>
      <c r="V377" s="40">
        <v>46242</v>
      </c>
      <c r="W377" s="20" t="s">
        <v>57</v>
      </c>
      <c r="X377" s="21"/>
      <c r="Y377" s="19">
        <f>VLOOKUP(F377,[2]New!$B:$G,3,0)*K377/60</f>
        <v>605.73333333333335</v>
      </c>
      <c r="Z377" s="19">
        <f>VLOOKUP(F377,[2]New!$B:$G,4,0)*K377/60</f>
        <v>2531.1</v>
      </c>
      <c r="AA377" s="19">
        <f>VLOOKUP(F377,[2]New!$B:$G,6,0)*K377/60</f>
        <v>3126.0166666666669</v>
      </c>
      <c r="AB377" s="44">
        <f>VLOOKUP(A377,'[4]PO CAG'!$A:$L,12,0)</f>
        <v>46303</v>
      </c>
      <c r="AC377" s="22" t="str">
        <f>IFERROR(VLOOKUP(F377,[3]Sheet1!$E:$H,4,0),)</f>
        <v>G</v>
      </c>
      <c r="AD377" s="144"/>
      <c r="AE377" s="25" t="s">
        <v>445</v>
      </c>
      <c r="AF377" s="135" t="s">
        <v>198</v>
      </c>
      <c r="AG377" s="135"/>
      <c r="AH377" s="135"/>
      <c r="AJ377" s="267" t="s">
        <v>153</v>
      </c>
      <c r="AN377" s="278">
        <v>3</v>
      </c>
      <c r="AO377" s="278">
        <v>3</v>
      </c>
      <c r="AP377" s="278">
        <v>3</v>
      </c>
      <c r="AQ377" s="278">
        <v>3</v>
      </c>
    </row>
    <row r="378" spans="1:43">
      <c r="A378" s="135" t="s">
        <v>3107</v>
      </c>
      <c r="B378" s="135" t="s">
        <v>3123</v>
      </c>
      <c r="C378" s="135" t="s">
        <v>3108</v>
      </c>
      <c r="D378" s="46">
        <v>11134180</v>
      </c>
      <c r="E378" s="20" t="s">
        <v>1658</v>
      </c>
      <c r="F378" s="20" t="s">
        <v>1659</v>
      </c>
      <c r="G378" s="24">
        <v>40</v>
      </c>
      <c r="H378" s="21">
        <v>46258</v>
      </c>
      <c r="I378" s="53" t="s">
        <v>3109</v>
      </c>
      <c r="J378" s="24" t="s">
        <v>3110</v>
      </c>
      <c r="K378" s="24">
        <v>40</v>
      </c>
      <c r="L378" s="46">
        <v>12130010</v>
      </c>
      <c r="M378" s="20" t="s">
        <v>1687</v>
      </c>
      <c r="N378" s="38">
        <v>0</v>
      </c>
      <c r="O378" s="38">
        <v>0</v>
      </c>
      <c r="P378" s="20" t="s">
        <v>72</v>
      </c>
      <c r="Q378" s="20">
        <v>0</v>
      </c>
      <c r="R378" s="40">
        <v>46241</v>
      </c>
      <c r="S378" s="20">
        <v>0</v>
      </c>
      <c r="T378" s="20">
        <v>0</v>
      </c>
      <c r="U378" s="40">
        <v>46242</v>
      </c>
      <c r="V378" s="40">
        <v>46242</v>
      </c>
      <c r="W378" s="20" t="s">
        <v>57</v>
      </c>
      <c r="X378" s="21"/>
      <c r="Y378" s="19">
        <f>VLOOKUP(F378,[2]New!$B:$G,3,0)*K378/60</f>
        <v>37.333333333333336</v>
      </c>
      <c r="Z378" s="19">
        <f>VLOOKUP(F378,[2]New!$B:$G,4,0)*K378/60</f>
        <v>156</v>
      </c>
      <c r="AA378" s="19">
        <f>VLOOKUP(F378,[2]New!$B:$G,6,0)*K378/60</f>
        <v>192.66666666666666</v>
      </c>
      <c r="AB378" s="44">
        <f>VLOOKUP(A378,'[4]PO CAG'!$A:$L,12,0)</f>
        <v>46303</v>
      </c>
      <c r="AC378" s="22" t="str">
        <f>IFERROR(VLOOKUP(F378,[3]Sheet1!$E:$H,4,0),)</f>
        <v>G</v>
      </c>
      <c r="AD378" s="144"/>
      <c r="AE378" s="25" t="s">
        <v>445</v>
      </c>
      <c r="AF378" s="135" t="s">
        <v>198</v>
      </c>
      <c r="AG378" s="135"/>
      <c r="AH378" s="135"/>
      <c r="AJ378" s="267" t="s">
        <v>153</v>
      </c>
      <c r="AN378" s="278">
        <v>3</v>
      </c>
      <c r="AO378" s="278">
        <v>3</v>
      </c>
      <c r="AP378" s="278">
        <v>3</v>
      </c>
      <c r="AQ378" s="278">
        <v>3</v>
      </c>
    </row>
    <row r="379" spans="1:43">
      <c r="A379" s="135" t="s">
        <v>3040</v>
      </c>
      <c r="B379" s="135" t="s">
        <v>3124</v>
      </c>
      <c r="C379" s="135" t="s">
        <v>3111</v>
      </c>
      <c r="D379" s="46">
        <v>11134148</v>
      </c>
      <c r="E379" s="20" t="s">
        <v>136</v>
      </c>
      <c r="F379" s="20" t="s">
        <v>69</v>
      </c>
      <c r="G379" s="24">
        <v>6</v>
      </c>
      <c r="H379" s="21">
        <v>46258</v>
      </c>
      <c r="I379" s="53" t="s">
        <v>3112</v>
      </c>
      <c r="J379" s="24" t="s">
        <v>3113</v>
      </c>
      <c r="K379" s="24">
        <v>12</v>
      </c>
      <c r="L379" s="46">
        <v>12129995</v>
      </c>
      <c r="M379" s="20" t="s">
        <v>74</v>
      </c>
      <c r="N379" s="38">
        <v>0</v>
      </c>
      <c r="O379" s="38">
        <v>0</v>
      </c>
      <c r="P379" s="20" t="s">
        <v>72</v>
      </c>
      <c r="Q379" s="20">
        <v>0</v>
      </c>
      <c r="R379" s="40">
        <v>46242</v>
      </c>
      <c r="S379" s="20">
        <v>3</v>
      </c>
      <c r="T379" s="20">
        <v>3</v>
      </c>
      <c r="U379" s="40">
        <v>46247</v>
      </c>
      <c r="V379" s="40">
        <v>46247</v>
      </c>
      <c r="W379" s="20" t="s">
        <v>57</v>
      </c>
      <c r="X379" s="21"/>
      <c r="Y379" s="19">
        <f>VLOOKUP(F379,[2]New!$B:$G,3,0)*K379/60</f>
        <v>11.2</v>
      </c>
      <c r="Z379" s="19">
        <f>VLOOKUP(F379,[2]New!$B:$G,4,0)*K379/60</f>
        <v>46.8</v>
      </c>
      <c r="AA379" s="19">
        <f>VLOOKUP(F379,[2]New!$B:$G,6,0)*K379/60</f>
        <v>57.8</v>
      </c>
      <c r="AB379" s="44">
        <f>VLOOKUP(A379,'[4]PO CAG'!$A:$L,12,0)</f>
        <v>46303</v>
      </c>
      <c r="AC379" s="22" t="str">
        <f>IFERROR(VLOOKUP(F379,[3]Sheet1!$E:$H,4,0),)</f>
        <v>G</v>
      </c>
      <c r="AD379" s="144"/>
      <c r="AE379" s="25" t="s">
        <v>445</v>
      </c>
      <c r="AF379" s="135" t="s">
        <v>198</v>
      </c>
      <c r="AG379" s="135"/>
      <c r="AH379" s="135"/>
      <c r="AI379" s="23" t="s">
        <v>383</v>
      </c>
      <c r="AJ379" s="267" t="s">
        <v>153</v>
      </c>
      <c r="AN379" s="278">
        <v>3</v>
      </c>
      <c r="AO379" s="278">
        <v>3</v>
      </c>
      <c r="AP379" s="278">
        <v>3</v>
      </c>
      <c r="AQ379" s="278">
        <v>3</v>
      </c>
    </row>
    <row r="380" spans="1:43">
      <c r="A380" s="135" t="s">
        <v>3044</v>
      </c>
      <c r="B380" s="135" t="s">
        <v>3125</v>
      </c>
      <c r="C380" s="135" t="s">
        <v>3114</v>
      </c>
      <c r="D380" s="46">
        <v>11134146</v>
      </c>
      <c r="E380" s="20" t="s">
        <v>134</v>
      </c>
      <c r="F380" s="20" t="s">
        <v>135</v>
      </c>
      <c r="G380" s="24">
        <v>474</v>
      </c>
      <c r="H380" s="21">
        <v>46258</v>
      </c>
      <c r="I380" s="53" t="s">
        <v>3115</v>
      </c>
      <c r="J380" s="24" t="s">
        <v>3116</v>
      </c>
      <c r="K380" s="24">
        <v>474</v>
      </c>
      <c r="L380" s="46">
        <v>12129994</v>
      </c>
      <c r="M380" s="20" t="s">
        <v>138</v>
      </c>
      <c r="N380" s="38">
        <v>0</v>
      </c>
      <c r="O380" s="38">
        <v>0</v>
      </c>
      <c r="P380" s="20" t="s">
        <v>72</v>
      </c>
      <c r="Q380" s="20">
        <v>0</v>
      </c>
      <c r="R380" s="40">
        <v>46242</v>
      </c>
      <c r="S380" s="20">
        <v>0</v>
      </c>
      <c r="T380" s="20">
        <v>0</v>
      </c>
      <c r="U380" s="40">
        <v>46247</v>
      </c>
      <c r="V380" s="40">
        <v>46247</v>
      </c>
      <c r="W380" s="20" t="s">
        <v>57</v>
      </c>
      <c r="X380" s="21"/>
      <c r="Y380" s="19">
        <f>VLOOKUP(F380,[2]New!$B:$G,3,0)*K380/60</f>
        <v>442.4</v>
      </c>
      <c r="Z380" s="19">
        <f>VLOOKUP(F380,[2]New!$B:$G,4,0)*K380/60</f>
        <v>1848.6</v>
      </c>
      <c r="AA380" s="19">
        <f>VLOOKUP(F380,[2]New!$B:$G,6,0)*K380/60</f>
        <v>2283.1</v>
      </c>
      <c r="AB380" s="44">
        <f>VLOOKUP(A380,'[4]PO CAG'!$A:$L,12,0)</f>
        <v>46303</v>
      </c>
      <c r="AC380" s="22" t="str">
        <f>IFERROR(VLOOKUP(F380,[3]Sheet1!$E:$H,4,0),)</f>
        <v>G</v>
      </c>
      <c r="AD380" s="144"/>
      <c r="AE380" s="25" t="s">
        <v>445</v>
      </c>
      <c r="AF380" s="135" t="s">
        <v>198</v>
      </c>
      <c r="AG380" s="135"/>
      <c r="AH380" s="135"/>
      <c r="AI380" s="23" t="s">
        <v>383</v>
      </c>
      <c r="AJ380" s="267" t="s">
        <v>153</v>
      </c>
      <c r="AN380" s="278">
        <v>3</v>
      </c>
      <c r="AO380" s="278">
        <v>3</v>
      </c>
      <c r="AP380" s="278">
        <v>3</v>
      </c>
      <c r="AQ380" s="278">
        <v>3</v>
      </c>
    </row>
    <row r="381" spans="1:43">
      <c r="A381" s="135" t="s">
        <v>3182</v>
      </c>
      <c r="B381" s="135" t="s">
        <v>3207</v>
      </c>
      <c r="C381" s="135" t="s">
        <v>3183</v>
      </c>
      <c r="D381" s="46">
        <v>11134252</v>
      </c>
      <c r="E381" s="20" t="s">
        <v>3184</v>
      </c>
      <c r="F381" s="20" t="s">
        <v>3185</v>
      </c>
      <c r="G381" s="24">
        <v>156</v>
      </c>
      <c r="H381" s="21">
        <v>46255</v>
      </c>
      <c r="I381" s="53" t="s">
        <v>3186</v>
      </c>
      <c r="J381" s="24" t="s">
        <v>3187</v>
      </c>
      <c r="K381" s="24">
        <v>156</v>
      </c>
      <c r="L381" s="46">
        <v>12116036</v>
      </c>
      <c r="M381" s="20" t="s">
        <v>103</v>
      </c>
      <c r="N381" s="38">
        <v>0</v>
      </c>
      <c r="O381" s="38">
        <v>0</v>
      </c>
      <c r="P381" s="20" t="s">
        <v>469</v>
      </c>
      <c r="Q381" s="20">
        <v>0</v>
      </c>
      <c r="R381" s="40">
        <v>46242</v>
      </c>
      <c r="S381" s="20">
        <v>0</v>
      </c>
      <c r="T381" s="20">
        <v>0</v>
      </c>
      <c r="U381" s="40">
        <v>46247</v>
      </c>
      <c r="V381" s="40">
        <v>46247</v>
      </c>
      <c r="W381" s="20" t="s">
        <v>58</v>
      </c>
      <c r="X381" s="21"/>
      <c r="Y381" s="19">
        <f>VLOOKUP(F381,[2]New!$B:$G,3,0)*K381/60</f>
        <v>187.2</v>
      </c>
      <c r="Z381" s="19">
        <f>VLOOKUP(F381,[2]New!$B:$G,4,0)*K381/60</f>
        <v>608.4</v>
      </c>
      <c r="AA381" s="19">
        <f>VLOOKUP(F381,[2]New!$B:$G,6,0)*K381/60</f>
        <v>751.4</v>
      </c>
      <c r="AB381" s="44">
        <f>VLOOKUP(A381,'[4]PO CAG'!$A:$L,12,0)</f>
        <v>46269</v>
      </c>
      <c r="AC381" s="22">
        <f>IFERROR(VLOOKUP(F381,[3]Sheet1!$E:$H,4,0),)</f>
        <v>0</v>
      </c>
      <c r="AD381" s="144"/>
      <c r="AE381" s="25" t="s">
        <v>548</v>
      </c>
      <c r="AF381" s="135" t="s">
        <v>112</v>
      </c>
      <c r="AG381" s="135"/>
      <c r="AH381" s="135"/>
      <c r="AI381" s="23" t="s">
        <v>383</v>
      </c>
      <c r="AJ381" s="267" t="s">
        <v>188</v>
      </c>
      <c r="AN381" s="278">
        <v>2</v>
      </c>
      <c r="AO381" s="278">
        <v>2</v>
      </c>
      <c r="AP381" s="278">
        <v>2</v>
      </c>
      <c r="AQ381" s="278">
        <v>2</v>
      </c>
    </row>
    <row r="382" spans="1:43">
      <c r="A382" s="135" t="s">
        <v>3188</v>
      </c>
      <c r="B382" s="135" t="s">
        <v>3208</v>
      </c>
      <c r="C382" s="135" t="s">
        <v>3189</v>
      </c>
      <c r="D382" s="46">
        <v>11134256</v>
      </c>
      <c r="E382" s="20" t="s">
        <v>3190</v>
      </c>
      <c r="F382" s="20" t="s">
        <v>3191</v>
      </c>
      <c r="G382" s="24">
        <v>131</v>
      </c>
      <c r="H382" s="21">
        <v>46255</v>
      </c>
      <c r="I382" s="53" t="s">
        <v>3192</v>
      </c>
      <c r="J382" s="24" t="s">
        <v>3193</v>
      </c>
      <c r="K382" s="24">
        <v>131</v>
      </c>
      <c r="L382" s="46">
        <v>12116060</v>
      </c>
      <c r="M382" s="20" t="s">
        <v>100</v>
      </c>
      <c r="N382" s="38">
        <v>0</v>
      </c>
      <c r="O382" s="38">
        <v>0</v>
      </c>
      <c r="P382" s="20" t="s">
        <v>469</v>
      </c>
      <c r="Q382" s="20">
        <v>0</v>
      </c>
      <c r="R382" s="40">
        <v>46242</v>
      </c>
      <c r="S382" s="20">
        <v>0</v>
      </c>
      <c r="T382" s="20">
        <v>0</v>
      </c>
      <c r="U382" s="17">
        <v>46247</v>
      </c>
      <c r="V382" s="17">
        <v>46247</v>
      </c>
      <c r="W382" s="20" t="s">
        <v>58</v>
      </c>
      <c r="X382" s="21"/>
      <c r="Y382" s="19">
        <f>VLOOKUP(F382,[2]New!$B:$G,3,0)*K382/60</f>
        <v>122.26666666666667</v>
      </c>
      <c r="Z382" s="19">
        <f>VLOOKUP(F382,[2]New!$B:$G,4,0)*K382/60</f>
        <v>510.9</v>
      </c>
      <c r="AA382" s="19">
        <f>VLOOKUP(F382,[2]New!$B:$G,6,0)*K382/60</f>
        <v>631.41999999999996</v>
      </c>
      <c r="AB382" s="44">
        <f>VLOOKUP(A382,'[4]PO CAG'!$A:$L,12,0)</f>
        <v>46269</v>
      </c>
      <c r="AC382" s="22">
        <f>IFERROR(VLOOKUP(F382,[3]Sheet1!$E:$H,4,0),)</f>
        <v>0</v>
      </c>
      <c r="AD382" s="144"/>
      <c r="AE382" s="25" t="s">
        <v>548</v>
      </c>
      <c r="AF382" s="135" t="s">
        <v>112</v>
      </c>
      <c r="AG382" s="135"/>
      <c r="AH382" s="135"/>
      <c r="AI382" s="23" t="s">
        <v>383</v>
      </c>
      <c r="AJ382" s="267" t="s">
        <v>188</v>
      </c>
      <c r="AN382" s="278">
        <v>2</v>
      </c>
      <c r="AO382" s="278">
        <v>2</v>
      </c>
      <c r="AP382" s="278">
        <v>2</v>
      </c>
      <c r="AQ382" s="278">
        <v>2</v>
      </c>
    </row>
    <row r="383" spans="1:43">
      <c r="A383" s="135" t="s">
        <v>3194</v>
      </c>
      <c r="B383" s="135" t="s">
        <v>3209</v>
      </c>
      <c r="C383" s="135" t="s">
        <v>3195</v>
      </c>
      <c r="D383" s="46">
        <v>11134261</v>
      </c>
      <c r="E383" s="20" t="s">
        <v>3196</v>
      </c>
      <c r="F383" s="20" t="s">
        <v>3197</v>
      </c>
      <c r="G383" s="24">
        <v>220</v>
      </c>
      <c r="H383" s="21">
        <v>46255</v>
      </c>
      <c r="I383" s="53" t="s">
        <v>3198</v>
      </c>
      <c r="J383" s="24" t="s">
        <v>3199</v>
      </c>
      <c r="K383" s="24">
        <v>220</v>
      </c>
      <c r="L383" s="46">
        <v>12116065</v>
      </c>
      <c r="M383" s="20" t="s">
        <v>3206</v>
      </c>
      <c r="N383" s="38">
        <v>0</v>
      </c>
      <c r="O383" s="38">
        <v>0</v>
      </c>
      <c r="P383" s="20" t="s">
        <v>469</v>
      </c>
      <c r="Q383" s="20">
        <v>0</v>
      </c>
      <c r="R383" s="40">
        <v>46242</v>
      </c>
      <c r="S383" s="20">
        <v>0</v>
      </c>
      <c r="T383" s="20">
        <v>0</v>
      </c>
      <c r="U383" s="40">
        <v>46247</v>
      </c>
      <c r="V383" s="40">
        <v>46247</v>
      </c>
      <c r="W383" s="20" t="s">
        <v>58</v>
      </c>
      <c r="X383" s="21"/>
      <c r="Y383" s="19">
        <f>VLOOKUP(F383,[2]New!$B:$G,3,0)*K383/60</f>
        <v>205.33333333333334</v>
      </c>
      <c r="Z383" s="19">
        <f>VLOOKUP(F383,[2]New!$B:$G,4,0)*K383/60</f>
        <v>858</v>
      </c>
      <c r="AA383" s="19">
        <f>VLOOKUP(F383,[2]New!$B:$G,6,0)*K383/60</f>
        <v>1060.4000000000001</v>
      </c>
      <c r="AB383" s="44">
        <f>VLOOKUP(A383,'[4]PO CAG'!$A:$L,12,0)</f>
        <v>46269</v>
      </c>
      <c r="AC383" s="22">
        <f>IFERROR(VLOOKUP(F383,[3]Sheet1!$E:$H,4,0),)</f>
        <v>0</v>
      </c>
      <c r="AD383" s="144"/>
      <c r="AE383" s="25" t="s">
        <v>548</v>
      </c>
      <c r="AF383" s="135" t="s">
        <v>112</v>
      </c>
      <c r="AG383" s="135"/>
      <c r="AH383" s="135"/>
      <c r="AI383" s="23" t="s">
        <v>383</v>
      </c>
      <c r="AJ383" s="267" t="s">
        <v>188</v>
      </c>
      <c r="AN383" s="278">
        <v>2</v>
      </c>
      <c r="AO383" s="278">
        <v>2</v>
      </c>
      <c r="AP383" s="278">
        <v>2</v>
      </c>
      <c r="AQ383" s="278">
        <v>2</v>
      </c>
    </row>
    <row r="384" spans="1:43">
      <c r="A384" s="135" t="s">
        <v>3200</v>
      </c>
      <c r="B384" s="135" t="s">
        <v>3210</v>
      </c>
      <c r="C384" s="135" t="s">
        <v>3201</v>
      </c>
      <c r="D384" s="46">
        <v>11134260</v>
      </c>
      <c r="E384" s="20" t="s">
        <v>3202</v>
      </c>
      <c r="F384" s="20" t="s">
        <v>3203</v>
      </c>
      <c r="G384" s="24">
        <v>213</v>
      </c>
      <c r="H384" s="21">
        <v>46255</v>
      </c>
      <c r="I384" s="53" t="s">
        <v>3204</v>
      </c>
      <c r="J384" s="24" t="s">
        <v>3205</v>
      </c>
      <c r="K384" s="24">
        <v>213</v>
      </c>
      <c r="L384" s="46">
        <v>12116064</v>
      </c>
      <c r="M384" s="20" t="s">
        <v>98</v>
      </c>
      <c r="N384" s="38">
        <v>0</v>
      </c>
      <c r="O384" s="38">
        <v>0</v>
      </c>
      <c r="P384" s="20" t="s">
        <v>469</v>
      </c>
      <c r="Q384" s="20">
        <v>0</v>
      </c>
      <c r="R384" s="40">
        <v>46242</v>
      </c>
      <c r="S384" s="20">
        <v>0</v>
      </c>
      <c r="T384" s="20">
        <v>0</v>
      </c>
      <c r="U384" s="40">
        <v>46247</v>
      </c>
      <c r="V384" s="40">
        <v>46247</v>
      </c>
      <c r="W384" s="20" t="s">
        <v>58</v>
      </c>
      <c r="X384" s="21"/>
      <c r="Y384" s="19">
        <f>VLOOKUP(F384,[2]New!$B:$G,3,0)*K384/60</f>
        <v>198.8</v>
      </c>
      <c r="Z384" s="19">
        <f>VLOOKUP(F384,[2]New!$B:$G,4,0)*K384/60</f>
        <v>830.7</v>
      </c>
      <c r="AA384" s="19">
        <f>VLOOKUP(F384,[2]New!$B:$G,6,0)*K384/60</f>
        <v>1026.6600000000001</v>
      </c>
      <c r="AB384" s="44">
        <f>VLOOKUP(A384,'[4]PO CAG'!$A:$L,12,0)</f>
        <v>46269</v>
      </c>
      <c r="AC384" s="22">
        <f>IFERROR(VLOOKUP(F384,[3]Sheet1!$E:$H,4,0),)</f>
        <v>0</v>
      </c>
      <c r="AD384" s="144"/>
      <c r="AE384" s="25" t="s">
        <v>548</v>
      </c>
      <c r="AF384" s="135" t="s">
        <v>112</v>
      </c>
      <c r="AG384" s="135"/>
      <c r="AH384" s="135"/>
      <c r="AI384" s="23" t="s">
        <v>383</v>
      </c>
      <c r="AJ384" s="267" t="s">
        <v>188</v>
      </c>
      <c r="AN384" s="278">
        <v>2</v>
      </c>
      <c r="AO384" s="278">
        <v>2</v>
      </c>
      <c r="AP384" s="278">
        <v>2</v>
      </c>
      <c r="AQ384" s="278">
        <v>2</v>
      </c>
    </row>
    <row r="385" spans="1:43">
      <c r="A385" s="135" t="s">
        <v>3223</v>
      </c>
      <c r="B385" s="135" t="s">
        <v>3332</v>
      </c>
      <c r="C385" s="135" t="s">
        <v>3224</v>
      </c>
      <c r="D385" s="46">
        <v>11135418</v>
      </c>
      <c r="E385" s="20" t="s">
        <v>3225</v>
      </c>
      <c r="F385" s="20" t="s">
        <v>3226</v>
      </c>
      <c r="G385" s="24">
        <v>131</v>
      </c>
      <c r="H385" s="21">
        <v>46258</v>
      </c>
      <c r="I385" s="53" t="s">
        <v>3228</v>
      </c>
      <c r="J385" s="24" t="s">
        <v>3229</v>
      </c>
      <c r="K385" s="24">
        <v>131</v>
      </c>
      <c r="L385" s="46">
        <v>12129626</v>
      </c>
      <c r="M385" s="20" t="s">
        <v>96</v>
      </c>
      <c r="N385" s="38">
        <v>0</v>
      </c>
      <c r="O385" s="38">
        <v>0</v>
      </c>
      <c r="P385" s="20" t="s">
        <v>3227</v>
      </c>
      <c r="Q385" s="20">
        <v>0</v>
      </c>
      <c r="R385" s="40">
        <v>46247</v>
      </c>
      <c r="S385" s="20">
        <v>0</v>
      </c>
      <c r="T385" s="20">
        <v>0</v>
      </c>
      <c r="U385" s="40">
        <v>46248</v>
      </c>
      <c r="V385" s="40">
        <v>46248</v>
      </c>
      <c r="W385" s="20" t="s">
        <v>54</v>
      </c>
      <c r="X385" s="21"/>
      <c r="Y385" s="19">
        <f>VLOOKUP(F385,[2]New!$B:$G,3,0)*K385/60</f>
        <v>92.573333333333323</v>
      </c>
      <c r="Z385" s="19">
        <f>VLOOKUP(F385,[2]New!$B:$G,4,0)*K385/60</f>
        <v>257.41500000000002</v>
      </c>
      <c r="AA385" s="19">
        <f>VLOOKUP(F385,[2]New!$B:$G,6,0)*K385/60</f>
        <v>126.63333333333334</v>
      </c>
      <c r="AB385" s="44">
        <f>VLOOKUP(A385,'[4]PO CAG'!$A:$L,12,0)</f>
        <v>46269</v>
      </c>
      <c r="AC385" s="22">
        <f>IFERROR(VLOOKUP(F385,[3]Sheet1!$E:$H,4,0),)</f>
        <v>0</v>
      </c>
      <c r="AD385" s="144"/>
      <c r="AE385" s="25" t="s">
        <v>5364</v>
      </c>
      <c r="AF385" s="135" t="s">
        <v>199</v>
      </c>
      <c r="AG385" s="135"/>
      <c r="AH385" s="135"/>
      <c r="AJ385" s="267" t="s">
        <v>152</v>
      </c>
      <c r="AN385" s="278">
        <v>1</v>
      </c>
      <c r="AO385" s="278">
        <v>1</v>
      </c>
      <c r="AP385" s="278" t="s">
        <v>113</v>
      </c>
      <c r="AQ385" s="278" t="s">
        <v>113</v>
      </c>
    </row>
    <row r="386" spans="1:43">
      <c r="A386" s="135" t="s">
        <v>3230</v>
      </c>
      <c r="B386" s="135" t="s">
        <v>3333</v>
      </c>
      <c r="C386" s="135" t="s">
        <v>3231</v>
      </c>
      <c r="D386" s="46">
        <v>11131256</v>
      </c>
      <c r="E386" s="20" t="s">
        <v>470</v>
      </c>
      <c r="F386" s="20" t="s">
        <v>471</v>
      </c>
      <c r="G386" s="24">
        <v>2200</v>
      </c>
      <c r="H386" s="21">
        <v>46258</v>
      </c>
      <c r="I386" s="53" t="s">
        <v>3232</v>
      </c>
      <c r="J386" s="24" t="s">
        <v>3233</v>
      </c>
      <c r="K386" s="24">
        <v>2200</v>
      </c>
      <c r="L386" s="46">
        <v>12121043</v>
      </c>
      <c r="M386" s="20" t="s">
        <v>473</v>
      </c>
      <c r="N386" s="38">
        <v>0</v>
      </c>
      <c r="O386" s="38">
        <v>0</v>
      </c>
      <c r="P386" s="20" t="s">
        <v>469</v>
      </c>
      <c r="Q386" s="20">
        <v>0</v>
      </c>
      <c r="R386" s="40">
        <v>46247</v>
      </c>
      <c r="S386" s="20">
        <v>0</v>
      </c>
      <c r="T386" s="20">
        <v>0</v>
      </c>
      <c r="U386" s="40">
        <v>46248</v>
      </c>
      <c r="V386" s="40">
        <v>46248</v>
      </c>
      <c r="W386" s="20" t="s">
        <v>54</v>
      </c>
      <c r="X386" s="21"/>
      <c r="Y386" s="19">
        <f>VLOOKUP(F386,[2]New!$B:$G,3,0)*K386/60</f>
        <v>1980</v>
      </c>
      <c r="Z386" s="19">
        <f>VLOOKUP(F386,[2]New!$B:$G,4,0)*K386/60</f>
        <v>4950</v>
      </c>
      <c r="AA386" s="19">
        <f>VLOOKUP(F386,[2]New!$B:$G,6,0)*K386/60</f>
        <v>4920.666666666667</v>
      </c>
      <c r="AB386" s="44">
        <f>VLOOKUP(A386,'[4]PO CAG'!$A:$L,12,0)</f>
        <v>46269</v>
      </c>
      <c r="AC386" s="22">
        <f>IFERROR(VLOOKUP(F386,[3]Sheet1!$E:$H,4,0),)</f>
        <v>0</v>
      </c>
      <c r="AD386" s="144"/>
      <c r="AE386" s="25" t="s">
        <v>447</v>
      </c>
      <c r="AF386" s="135" t="s">
        <v>199</v>
      </c>
      <c r="AG386" s="135"/>
      <c r="AH386" s="135"/>
      <c r="AJ386" s="267" t="s">
        <v>152</v>
      </c>
      <c r="AN386" s="278">
        <v>3</v>
      </c>
      <c r="AO386" s="278">
        <v>3</v>
      </c>
      <c r="AP386" s="278">
        <v>3</v>
      </c>
      <c r="AQ386" s="278">
        <v>3</v>
      </c>
    </row>
    <row r="387" spans="1:43">
      <c r="A387" s="135" t="s">
        <v>3230</v>
      </c>
      <c r="B387" s="135" t="s">
        <v>3343</v>
      </c>
      <c r="C387" s="135" t="s">
        <v>3234</v>
      </c>
      <c r="D387" s="46">
        <v>11131256</v>
      </c>
      <c r="E387" s="20" t="s">
        <v>470</v>
      </c>
      <c r="F387" s="20" t="s">
        <v>471</v>
      </c>
      <c r="G387" s="24">
        <v>1202</v>
      </c>
      <c r="H387" s="21">
        <v>46259</v>
      </c>
      <c r="I387" s="53" t="s">
        <v>3235</v>
      </c>
      <c r="J387" s="24" t="s">
        <v>3236</v>
      </c>
      <c r="K387" s="24">
        <v>1202</v>
      </c>
      <c r="L387" s="46">
        <v>12121043</v>
      </c>
      <c r="M387" s="20" t="s">
        <v>473</v>
      </c>
      <c r="N387" s="38">
        <v>0</v>
      </c>
      <c r="O387" s="38">
        <v>0</v>
      </c>
      <c r="P387" s="20" t="s">
        <v>469</v>
      </c>
      <c r="Q387" s="20">
        <v>0</v>
      </c>
      <c r="R387" s="40">
        <v>46248</v>
      </c>
      <c r="S387" s="20">
        <v>0</v>
      </c>
      <c r="T387" s="20">
        <v>0</v>
      </c>
      <c r="U387" s="40">
        <v>46249</v>
      </c>
      <c r="V387" s="40">
        <v>46249</v>
      </c>
      <c r="W387" s="20" t="s">
        <v>54</v>
      </c>
      <c r="X387" s="21"/>
      <c r="Y387" s="19">
        <f>VLOOKUP(F387,[2]New!$B:$G,3,0)*K387/60</f>
        <v>1081.8</v>
      </c>
      <c r="Z387" s="19">
        <f>VLOOKUP(F387,[2]New!$B:$G,4,0)*K387/60</f>
        <v>2704.5</v>
      </c>
      <c r="AA387" s="19">
        <f>VLOOKUP(F387,[2]New!$B:$G,6,0)*K387/60</f>
        <v>2688.4733333333334</v>
      </c>
      <c r="AB387" s="44">
        <f>VLOOKUP(A387,'[4]PO CAG'!$A:$L,12,0)</f>
        <v>46269</v>
      </c>
      <c r="AC387" s="22">
        <f>IFERROR(VLOOKUP(F387,[3]Sheet1!$E:$H,4,0),)</f>
        <v>0</v>
      </c>
      <c r="AD387" s="144"/>
      <c r="AE387" s="25" t="s">
        <v>447</v>
      </c>
      <c r="AF387" s="135" t="s">
        <v>199</v>
      </c>
      <c r="AG387" s="135"/>
      <c r="AH387" s="135"/>
      <c r="AJ387" s="267" t="s">
        <v>152</v>
      </c>
      <c r="AN387" s="278">
        <v>3</v>
      </c>
      <c r="AO387" s="278">
        <v>3</v>
      </c>
      <c r="AP387" s="278">
        <v>3</v>
      </c>
      <c r="AQ387" s="278">
        <v>3</v>
      </c>
    </row>
    <row r="388" spans="1:43">
      <c r="A388" s="135" t="s">
        <v>3237</v>
      </c>
      <c r="B388" s="135" t="s">
        <v>3344</v>
      </c>
      <c r="C388" s="135" t="s">
        <v>3238</v>
      </c>
      <c r="D388" s="46">
        <v>11127836</v>
      </c>
      <c r="E388" s="20" t="s">
        <v>3239</v>
      </c>
      <c r="F388" s="20" t="s">
        <v>3240</v>
      </c>
      <c r="G388" s="24">
        <v>78</v>
      </c>
      <c r="H388" s="21">
        <v>46259</v>
      </c>
      <c r="I388" s="53" t="s">
        <v>3241</v>
      </c>
      <c r="J388" s="245" t="s">
        <v>3242</v>
      </c>
      <c r="K388" s="245">
        <v>78</v>
      </c>
      <c r="L388" s="46">
        <v>12120582</v>
      </c>
      <c r="M388" s="20" t="s">
        <v>3247</v>
      </c>
      <c r="N388" s="38">
        <v>0</v>
      </c>
      <c r="O388" s="38">
        <v>0</v>
      </c>
      <c r="P388" s="20" t="s">
        <v>469</v>
      </c>
      <c r="Q388" s="20">
        <v>0</v>
      </c>
      <c r="R388" s="40">
        <v>46248</v>
      </c>
      <c r="S388" s="20">
        <v>0</v>
      </c>
      <c r="T388" s="20">
        <v>0</v>
      </c>
      <c r="U388" s="40">
        <v>46249</v>
      </c>
      <c r="V388" s="40">
        <v>46249</v>
      </c>
      <c r="W388" s="20" t="s">
        <v>63</v>
      </c>
      <c r="X388" s="21"/>
      <c r="Y388" s="19">
        <f>VLOOKUP(F388,[2]New!$B:$G,3,0)*K388/60</f>
        <v>28.6</v>
      </c>
      <c r="Z388" s="19">
        <f>VLOOKUP(F388,[2]New!$B:$G,4,0)*K388/60</f>
        <v>153.27000000000001</v>
      </c>
      <c r="AA388" s="19">
        <f>VLOOKUP(F388,[2]New!$B:$G,6,0)*K388/60</f>
        <v>149.5</v>
      </c>
      <c r="AB388" s="44">
        <f>VLOOKUP(A388,'[4]PO CAG'!$A:$L,12,0)</f>
        <v>46269</v>
      </c>
      <c r="AC388" s="22">
        <f>IFERROR(VLOOKUP(F388,[3]Sheet1!$E:$H,4,0),)</f>
        <v>0</v>
      </c>
      <c r="AD388" s="144"/>
      <c r="AE388" s="25" t="s">
        <v>4712</v>
      </c>
      <c r="AF388" s="135" t="s">
        <v>112</v>
      </c>
      <c r="AG388" s="135"/>
      <c r="AH388" s="135"/>
      <c r="AJ388" s="267" t="s">
        <v>5367</v>
      </c>
      <c r="AN388" s="278">
        <v>1</v>
      </c>
      <c r="AO388" s="278">
        <v>1</v>
      </c>
      <c r="AP388" s="278">
        <v>1</v>
      </c>
      <c r="AQ388" s="278">
        <v>1</v>
      </c>
    </row>
    <row r="389" spans="1:43">
      <c r="A389" s="135" t="s">
        <v>3243</v>
      </c>
      <c r="B389" s="135" t="s">
        <v>3345</v>
      </c>
      <c r="C389" s="135" t="s">
        <v>3244</v>
      </c>
      <c r="D389" s="46">
        <v>11131258</v>
      </c>
      <c r="E389" s="20" t="s">
        <v>504</v>
      </c>
      <c r="F389" s="20" t="s">
        <v>505</v>
      </c>
      <c r="G389" s="24">
        <v>1100</v>
      </c>
      <c r="H389" s="21">
        <v>46259</v>
      </c>
      <c r="I389" s="53" t="s">
        <v>3245</v>
      </c>
      <c r="J389" s="24" t="s">
        <v>3246</v>
      </c>
      <c r="K389" s="24">
        <v>1100</v>
      </c>
      <c r="L389" s="46">
        <v>12120624</v>
      </c>
      <c r="M389" s="20" t="s">
        <v>509</v>
      </c>
      <c r="N389" s="38">
        <v>0</v>
      </c>
      <c r="O389" s="38">
        <v>0</v>
      </c>
      <c r="P389" s="20" t="s">
        <v>469</v>
      </c>
      <c r="Q389" s="20">
        <v>0</v>
      </c>
      <c r="R389" s="40">
        <v>46248</v>
      </c>
      <c r="S389" s="20">
        <v>0</v>
      </c>
      <c r="T389" s="20">
        <v>0</v>
      </c>
      <c r="U389" s="40">
        <v>46249</v>
      </c>
      <c r="V389" s="40">
        <v>46249</v>
      </c>
      <c r="W389" s="20" t="s">
        <v>54</v>
      </c>
      <c r="X389" s="21"/>
      <c r="Y389" s="19">
        <f>VLOOKUP(F389,[2]New!$B:$G,3,0)*K389/60</f>
        <v>990</v>
      </c>
      <c r="Z389" s="19">
        <f>VLOOKUP(F389,[2]New!$B:$G,4,0)*K389/60</f>
        <v>2475</v>
      </c>
      <c r="AA389" s="19">
        <f>VLOOKUP(F389,[2]New!$B:$G,6,0)*K389/60</f>
        <v>3153.3333333333335</v>
      </c>
      <c r="AB389" s="44">
        <f>VLOOKUP(A389,'[4]PO CAG'!$A:$L,12,0)</f>
        <v>46269</v>
      </c>
      <c r="AC389" s="22">
        <f>IFERROR(VLOOKUP(F389,[3]Sheet1!$E:$H,4,0),)</f>
        <v>0</v>
      </c>
      <c r="AD389" s="144"/>
      <c r="AE389" s="25" t="s">
        <v>447</v>
      </c>
      <c r="AF389" s="135" t="s">
        <v>112</v>
      </c>
      <c r="AG389" s="135"/>
      <c r="AH389" s="135"/>
      <c r="AJ389" s="267" t="s">
        <v>187</v>
      </c>
      <c r="AN389" s="278">
        <v>2</v>
      </c>
      <c r="AO389" s="278">
        <v>2</v>
      </c>
      <c r="AP389" s="278" t="s">
        <v>113</v>
      </c>
      <c r="AQ389" s="278" t="s">
        <v>113</v>
      </c>
    </row>
    <row r="390" spans="1:43">
      <c r="A390" s="135" t="s">
        <v>3248</v>
      </c>
      <c r="B390" s="135" t="s">
        <v>3334</v>
      </c>
      <c r="C390" s="135" t="s">
        <v>3249</v>
      </c>
      <c r="D390" s="46">
        <v>11134288</v>
      </c>
      <c r="E390" s="20" t="s">
        <v>3250</v>
      </c>
      <c r="F390" s="20" t="s">
        <v>3251</v>
      </c>
      <c r="G390" s="24">
        <v>7</v>
      </c>
      <c r="H390" s="21">
        <v>46258</v>
      </c>
      <c r="I390" s="53" t="s">
        <v>3252</v>
      </c>
      <c r="J390" s="24" t="s">
        <v>3253</v>
      </c>
      <c r="K390" s="24">
        <v>7</v>
      </c>
      <c r="L390" s="46">
        <v>12116200</v>
      </c>
      <c r="M390" s="20" t="s">
        <v>3323</v>
      </c>
      <c r="N390" s="38">
        <v>0</v>
      </c>
      <c r="O390" s="38">
        <v>0</v>
      </c>
      <c r="P390" s="20" t="s">
        <v>469</v>
      </c>
      <c r="Q390" s="20">
        <v>0</v>
      </c>
      <c r="R390" s="40">
        <v>46247</v>
      </c>
      <c r="S390" s="20">
        <v>0</v>
      </c>
      <c r="T390" s="20">
        <v>0</v>
      </c>
      <c r="U390" s="40">
        <v>46248</v>
      </c>
      <c r="V390" s="40">
        <v>46248</v>
      </c>
      <c r="W390" s="20" t="s">
        <v>57</v>
      </c>
      <c r="X390" s="21"/>
      <c r="Y390" s="19">
        <f>VLOOKUP(F390,[2]New!$B:$G,3,0)*K390/60</f>
        <v>6.5333333333333332</v>
      </c>
      <c r="Z390" s="19">
        <f>VLOOKUP(F390,[2]New!$B:$G,4,0)*K390/60</f>
        <v>27.3</v>
      </c>
      <c r="AA390" s="19">
        <f>VLOOKUP(F390,[2]New!$B:$G,6,0)*K390/60</f>
        <v>33.739999999999995</v>
      </c>
      <c r="AB390" s="44">
        <f>VLOOKUP(A390,'[4]PO CAG'!$A:$L,12,0)</f>
        <v>46269</v>
      </c>
      <c r="AC390" s="22">
        <f>IFERROR(VLOOKUP(F390,[3]Sheet1!$E:$H,4,0),)</f>
        <v>0</v>
      </c>
      <c r="AD390" s="144"/>
      <c r="AE390" s="25" t="s">
        <v>445</v>
      </c>
      <c r="AF390" s="135" t="s">
        <v>112</v>
      </c>
      <c r="AG390" s="135"/>
      <c r="AH390" s="135"/>
      <c r="AJ390" s="267" t="s">
        <v>153</v>
      </c>
      <c r="AN390" s="278">
        <v>2</v>
      </c>
      <c r="AO390" s="278">
        <v>2</v>
      </c>
      <c r="AP390" s="278">
        <v>2</v>
      </c>
      <c r="AQ390" s="278">
        <v>2</v>
      </c>
    </row>
    <row r="391" spans="1:43">
      <c r="A391" s="135" t="s">
        <v>3200</v>
      </c>
      <c r="B391" s="135" t="s">
        <v>3335</v>
      </c>
      <c r="C391" s="135" t="s">
        <v>3254</v>
      </c>
      <c r="D391" s="46">
        <v>11134260</v>
      </c>
      <c r="E391" s="20" t="s">
        <v>3202</v>
      </c>
      <c r="F391" s="20" t="s">
        <v>3203</v>
      </c>
      <c r="G391" s="24">
        <v>36</v>
      </c>
      <c r="H391" s="21">
        <v>46258</v>
      </c>
      <c r="I391" s="53" t="s">
        <v>3255</v>
      </c>
      <c r="J391" s="24" t="s">
        <v>3256</v>
      </c>
      <c r="K391" s="24">
        <v>36</v>
      </c>
      <c r="L391" s="46">
        <v>12116064</v>
      </c>
      <c r="M391" s="20" t="s">
        <v>98</v>
      </c>
      <c r="N391" s="38">
        <v>0</v>
      </c>
      <c r="O391" s="38">
        <v>0</v>
      </c>
      <c r="P391" s="20" t="s">
        <v>469</v>
      </c>
      <c r="Q391" s="20">
        <v>0</v>
      </c>
      <c r="R391" s="40">
        <v>46247</v>
      </c>
      <c r="S391" s="20">
        <v>0</v>
      </c>
      <c r="T391" s="20">
        <v>0</v>
      </c>
      <c r="U391" s="40">
        <v>46248</v>
      </c>
      <c r="V391" s="40">
        <v>46248</v>
      </c>
      <c r="W391" s="20" t="s">
        <v>57</v>
      </c>
      <c r="X391" s="21"/>
      <c r="Y391" s="19">
        <f>VLOOKUP(F391,[2]New!$B:$G,3,0)*K391/60</f>
        <v>33.6</v>
      </c>
      <c r="Z391" s="19">
        <f>VLOOKUP(F391,[2]New!$B:$G,4,0)*K391/60</f>
        <v>140.4</v>
      </c>
      <c r="AA391" s="19">
        <f>VLOOKUP(F391,[2]New!$B:$G,6,0)*K391/60</f>
        <v>173.51999999999998</v>
      </c>
      <c r="AB391" s="44">
        <f>VLOOKUP(A391,'[4]PO CAG'!$A:$L,12,0)</f>
        <v>46269</v>
      </c>
      <c r="AC391" s="22">
        <f>IFERROR(VLOOKUP(F391,[3]Sheet1!$E:$H,4,0),)</f>
        <v>0</v>
      </c>
      <c r="AD391" s="144"/>
      <c r="AE391" s="25" t="s">
        <v>445</v>
      </c>
      <c r="AF391" s="135" t="s">
        <v>112</v>
      </c>
      <c r="AG391" s="135"/>
      <c r="AH391" s="135"/>
      <c r="AJ391" s="267" t="s">
        <v>153</v>
      </c>
      <c r="AN391" s="278">
        <v>2</v>
      </c>
      <c r="AO391" s="278">
        <v>2</v>
      </c>
      <c r="AP391" s="278">
        <v>2</v>
      </c>
      <c r="AQ391" s="278">
        <v>2</v>
      </c>
    </row>
    <row r="392" spans="1:43">
      <c r="A392" s="135" t="s">
        <v>3257</v>
      </c>
      <c r="B392" s="135" t="s">
        <v>3336</v>
      </c>
      <c r="C392" s="135" t="s">
        <v>3258</v>
      </c>
      <c r="D392" s="46">
        <v>11134285</v>
      </c>
      <c r="E392" s="20" t="s">
        <v>3259</v>
      </c>
      <c r="F392" s="20" t="s">
        <v>3260</v>
      </c>
      <c r="G392" s="24">
        <v>171</v>
      </c>
      <c r="H392" s="21">
        <v>46258</v>
      </c>
      <c r="I392" s="53" t="s">
        <v>3261</v>
      </c>
      <c r="J392" s="24" t="s">
        <v>3262</v>
      </c>
      <c r="K392" s="24">
        <v>171</v>
      </c>
      <c r="L392" s="46">
        <v>12116197</v>
      </c>
      <c r="M392" s="20" t="s">
        <v>3324</v>
      </c>
      <c r="N392" s="38">
        <v>0</v>
      </c>
      <c r="O392" s="38">
        <v>0</v>
      </c>
      <c r="P392" s="20" t="s">
        <v>469</v>
      </c>
      <c r="Q392" s="20">
        <v>0</v>
      </c>
      <c r="R392" s="40">
        <v>46247</v>
      </c>
      <c r="S392" s="20">
        <v>0</v>
      </c>
      <c r="T392" s="20">
        <v>0</v>
      </c>
      <c r="U392" s="40">
        <v>46248</v>
      </c>
      <c r="V392" s="40">
        <v>46248</v>
      </c>
      <c r="W392" s="20" t="s">
        <v>57</v>
      </c>
      <c r="X392" s="21"/>
      <c r="Y392" s="19">
        <f>VLOOKUP(F392,[2]New!$B:$G,3,0)*K392/60</f>
        <v>159.6</v>
      </c>
      <c r="Z392" s="19">
        <f>VLOOKUP(F392,[2]New!$B:$G,4,0)*K392/60</f>
        <v>666.9</v>
      </c>
      <c r="AA392" s="19">
        <f>VLOOKUP(F392,[2]New!$B:$G,6,0)*K392/60</f>
        <v>824.21999999999991</v>
      </c>
      <c r="AB392" s="44">
        <f>VLOOKUP(A392,'[4]PO CAG'!$A:$L,12,0)</f>
        <v>46269</v>
      </c>
      <c r="AC392" s="22">
        <f>IFERROR(VLOOKUP(F392,[3]Sheet1!$E:$H,4,0),)</f>
        <v>0</v>
      </c>
      <c r="AD392" s="144"/>
      <c r="AE392" s="25" t="s">
        <v>445</v>
      </c>
      <c r="AF392" s="135" t="s">
        <v>112</v>
      </c>
      <c r="AG392" s="135"/>
      <c r="AH392" s="135"/>
      <c r="AJ392" s="267" t="s">
        <v>153</v>
      </c>
      <c r="AN392" s="278">
        <v>2</v>
      </c>
      <c r="AO392" s="278">
        <v>2</v>
      </c>
      <c r="AP392" s="278">
        <v>2</v>
      </c>
      <c r="AQ392" s="278">
        <v>2</v>
      </c>
    </row>
    <row r="393" spans="1:43">
      <c r="A393" s="135" t="s">
        <v>3263</v>
      </c>
      <c r="B393" s="135" t="s">
        <v>3337</v>
      </c>
      <c r="C393" s="135" t="s">
        <v>3264</v>
      </c>
      <c r="D393" s="46">
        <v>11134282</v>
      </c>
      <c r="E393" s="20" t="s">
        <v>3265</v>
      </c>
      <c r="F393" s="20" t="s">
        <v>3266</v>
      </c>
      <c r="G393" s="24">
        <v>506</v>
      </c>
      <c r="H393" s="21">
        <v>46258</v>
      </c>
      <c r="I393" s="53" t="s">
        <v>3267</v>
      </c>
      <c r="J393" s="24" t="s">
        <v>3268</v>
      </c>
      <c r="K393" s="24">
        <v>506</v>
      </c>
      <c r="L393" s="46">
        <v>12116194</v>
      </c>
      <c r="M393" s="20" t="s">
        <v>3325</v>
      </c>
      <c r="N393" s="38">
        <v>0</v>
      </c>
      <c r="O393" s="38">
        <v>0</v>
      </c>
      <c r="P393" s="20" t="s">
        <v>469</v>
      </c>
      <c r="Q393" s="20">
        <v>0</v>
      </c>
      <c r="R393" s="40">
        <v>46247</v>
      </c>
      <c r="S393" s="20">
        <v>0</v>
      </c>
      <c r="T393" s="20">
        <v>0</v>
      </c>
      <c r="U393" s="40">
        <v>46248</v>
      </c>
      <c r="V393" s="40">
        <v>46248</v>
      </c>
      <c r="W393" s="20" t="s">
        <v>57</v>
      </c>
      <c r="X393" s="21"/>
      <c r="Y393" s="19">
        <f>VLOOKUP(F393,[2]New!$B:$G,3,0)*K393/60</f>
        <v>472.26666666666665</v>
      </c>
      <c r="Z393" s="19">
        <f>VLOOKUP(F393,[2]New!$B:$G,4,0)*K393/60</f>
        <v>1973.4</v>
      </c>
      <c r="AA393" s="19">
        <f>VLOOKUP(F393,[2]New!$B:$G,6,0)*K393/60</f>
        <v>2438.9199999999996</v>
      </c>
      <c r="AB393" s="44">
        <f>VLOOKUP(A393,'[4]PO CAG'!$A:$L,12,0)</f>
        <v>46269</v>
      </c>
      <c r="AC393" s="22">
        <f>IFERROR(VLOOKUP(F393,[3]Sheet1!$E:$H,4,0),)</f>
        <v>0</v>
      </c>
      <c r="AD393" s="144"/>
      <c r="AE393" s="25" t="s">
        <v>445</v>
      </c>
      <c r="AF393" s="135" t="s">
        <v>112</v>
      </c>
      <c r="AG393" s="135"/>
      <c r="AH393" s="135"/>
      <c r="AJ393" s="267" t="s">
        <v>153</v>
      </c>
      <c r="AN393" s="278">
        <v>2</v>
      </c>
      <c r="AO393" s="278">
        <v>2</v>
      </c>
      <c r="AP393" s="278">
        <v>2</v>
      </c>
      <c r="AQ393" s="278">
        <v>2</v>
      </c>
    </row>
    <row r="394" spans="1:43">
      <c r="A394" s="135" t="s">
        <v>3269</v>
      </c>
      <c r="B394" s="135" t="s">
        <v>3338</v>
      </c>
      <c r="C394" s="135" t="s">
        <v>3270</v>
      </c>
      <c r="D394" s="46">
        <v>11119371</v>
      </c>
      <c r="E394" s="20" t="s">
        <v>3271</v>
      </c>
      <c r="F394" s="20" t="s">
        <v>3272</v>
      </c>
      <c r="G394" s="24">
        <v>57</v>
      </c>
      <c r="H394" s="21">
        <v>46258</v>
      </c>
      <c r="I394" s="53" t="s">
        <v>3273</v>
      </c>
      <c r="J394" s="24" t="s">
        <v>3274</v>
      </c>
      <c r="K394" s="24">
        <v>57</v>
      </c>
      <c r="L394" s="46">
        <v>12116006</v>
      </c>
      <c r="M394" s="20" t="s">
        <v>97</v>
      </c>
      <c r="N394" s="38">
        <v>0</v>
      </c>
      <c r="O394" s="38">
        <v>0</v>
      </c>
      <c r="P394" s="20" t="s">
        <v>469</v>
      </c>
      <c r="Q394" s="20">
        <v>0</v>
      </c>
      <c r="R394" s="40">
        <v>46247</v>
      </c>
      <c r="S394" s="20">
        <v>0</v>
      </c>
      <c r="T394" s="20">
        <v>0</v>
      </c>
      <c r="U394" s="40">
        <v>46248</v>
      </c>
      <c r="V394" s="40">
        <v>46248</v>
      </c>
      <c r="W394" s="20" t="s">
        <v>58</v>
      </c>
      <c r="X394" s="21"/>
      <c r="Y394" s="19">
        <f>VLOOKUP(F394,[2]New!$B:$G,3,0)*K394/60</f>
        <v>53.2</v>
      </c>
      <c r="Z394" s="19">
        <f>VLOOKUP(F394,[2]New!$B:$G,4,0)*K394/60</f>
        <v>222.3</v>
      </c>
      <c r="AA394" s="19">
        <f>VLOOKUP(F394,[2]New!$B:$G,6,0)*K394/60</f>
        <v>274.73999999999995</v>
      </c>
      <c r="AB394" s="44">
        <f>VLOOKUP(A394,'[4]PO CAG'!$A:$L,12,0)</f>
        <v>46269</v>
      </c>
      <c r="AC394" s="22">
        <f>IFERROR(VLOOKUP(F394,[3]Sheet1!$E:$H,4,0),)</f>
        <v>0</v>
      </c>
      <c r="AD394" s="144"/>
      <c r="AE394" s="25" t="s">
        <v>445</v>
      </c>
      <c r="AF394" s="135" t="s">
        <v>112</v>
      </c>
      <c r="AG394" s="135"/>
      <c r="AH394" s="135"/>
      <c r="AJ394" s="267" t="s">
        <v>188</v>
      </c>
      <c r="AN394" s="278">
        <v>2</v>
      </c>
      <c r="AO394" s="278">
        <v>2</v>
      </c>
      <c r="AP394" s="278">
        <v>2</v>
      </c>
      <c r="AQ394" s="278">
        <v>2</v>
      </c>
    </row>
    <row r="395" spans="1:43">
      <c r="A395" s="135" t="s">
        <v>3275</v>
      </c>
      <c r="B395" s="135" t="s">
        <v>3339</v>
      </c>
      <c r="C395" s="135" t="s">
        <v>3276</v>
      </c>
      <c r="D395" s="46">
        <v>11119373</v>
      </c>
      <c r="E395" s="20" t="s">
        <v>3277</v>
      </c>
      <c r="F395" s="20" t="s">
        <v>3278</v>
      </c>
      <c r="G395" s="24">
        <v>72</v>
      </c>
      <c r="H395" s="21">
        <v>46258</v>
      </c>
      <c r="I395" s="53" t="s">
        <v>3279</v>
      </c>
      <c r="J395" s="24" t="s">
        <v>3280</v>
      </c>
      <c r="K395" s="24">
        <v>72</v>
      </c>
      <c r="L395" s="46">
        <v>12116008</v>
      </c>
      <c r="M395" s="20" t="s">
        <v>3326</v>
      </c>
      <c r="N395" s="38">
        <v>0</v>
      </c>
      <c r="O395" s="38">
        <v>0</v>
      </c>
      <c r="P395" s="20" t="s">
        <v>469</v>
      </c>
      <c r="Q395" s="20">
        <v>0</v>
      </c>
      <c r="R395" s="40">
        <v>46247</v>
      </c>
      <c r="S395" s="20">
        <v>0</v>
      </c>
      <c r="T395" s="20">
        <v>0</v>
      </c>
      <c r="U395" s="40">
        <v>46248</v>
      </c>
      <c r="V395" s="40">
        <v>46248</v>
      </c>
      <c r="W395" s="20" t="s">
        <v>58</v>
      </c>
      <c r="X395" s="21"/>
      <c r="Y395" s="19">
        <f>VLOOKUP(F395,[2]New!$B:$G,3,0)*K395/60</f>
        <v>67.2</v>
      </c>
      <c r="Z395" s="19">
        <f>VLOOKUP(F395,[2]New!$B:$G,4,0)*K395/60</f>
        <v>280.8</v>
      </c>
      <c r="AA395" s="19">
        <f>VLOOKUP(F395,[2]New!$B:$G,6,0)*K395/60</f>
        <v>347.03999999999996</v>
      </c>
      <c r="AB395" s="44">
        <f>VLOOKUP(A395,'[4]PO CAG'!$A:$L,12,0)</f>
        <v>46269</v>
      </c>
      <c r="AC395" s="22">
        <f>IFERROR(VLOOKUP(F395,[3]Sheet1!$E:$H,4,0),)</f>
        <v>0</v>
      </c>
      <c r="AD395" s="144"/>
      <c r="AE395" s="25" t="s">
        <v>445</v>
      </c>
      <c r="AF395" s="135" t="s">
        <v>112</v>
      </c>
      <c r="AG395" s="135"/>
      <c r="AH395" s="135"/>
      <c r="AJ395" s="267" t="s">
        <v>188</v>
      </c>
      <c r="AN395" s="278">
        <v>2</v>
      </c>
      <c r="AO395" s="278">
        <v>2</v>
      </c>
      <c r="AP395" s="278">
        <v>2</v>
      </c>
      <c r="AQ395" s="278">
        <v>2</v>
      </c>
    </row>
    <row r="396" spans="1:43">
      <c r="A396" s="135" t="s">
        <v>3281</v>
      </c>
      <c r="B396" s="135" t="s">
        <v>3340</v>
      </c>
      <c r="C396" s="135" t="s">
        <v>3282</v>
      </c>
      <c r="D396" s="46">
        <v>11119483</v>
      </c>
      <c r="E396" s="20" t="s">
        <v>3283</v>
      </c>
      <c r="F396" s="20" t="s">
        <v>3284</v>
      </c>
      <c r="G396" s="24">
        <v>99</v>
      </c>
      <c r="H396" s="21">
        <v>46258</v>
      </c>
      <c r="I396" s="53" t="s">
        <v>3285</v>
      </c>
      <c r="J396" s="24" t="s">
        <v>3286</v>
      </c>
      <c r="K396" s="24">
        <v>99</v>
      </c>
      <c r="L396" s="46">
        <v>12116118</v>
      </c>
      <c r="M396" s="20" t="s">
        <v>3327</v>
      </c>
      <c r="N396" s="38">
        <v>0</v>
      </c>
      <c r="O396" s="38">
        <v>0</v>
      </c>
      <c r="P396" s="20" t="s">
        <v>469</v>
      </c>
      <c r="Q396" s="20">
        <v>0</v>
      </c>
      <c r="R396" s="40">
        <v>46249</v>
      </c>
      <c r="S396" s="20">
        <v>0</v>
      </c>
      <c r="T396" s="20">
        <v>0</v>
      </c>
      <c r="U396" s="40">
        <v>46251</v>
      </c>
      <c r="V396" s="40">
        <v>46251</v>
      </c>
      <c r="W396" s="20" t="s">
        <v>57</v>
      </c>
      <c r="X396" s="21"/>
      <c r="Y396" s="19">
        <f>VLOOKUP(F396,[2]New!$B:$G,3,0)*K396/60</f>
        <v>92.4</v>
      </c>
      <c r="Z396" s="19">
        <f>VLOOKUP(F396,[2]New!$B:$G,4,0)*K396/60</f>
        <v>386.1</v>
      </c>
      <c r="AA396" s="19">
        <f>VLOOKUP(F396,[2]New!$B:$G,6,0)*K396/60</f>
        <v>477.18</v>
      </c>
      <c r="AB396" s="44">
        <f>VLOOKUP(A396,'[4]PO CAG'!$A:$L,12,0)</f>
        <v>46269</v>
      </c>
      <c r="AC396" s="22">
        <f>IFERROR(VLOOKUP(F396,[3]Sheet1!$E:$H,4,0),)</f>
        <v>0</v>
      </c>
      <c r="AD396" s="144"/>
      <c r="AE396" s="25" t="s">
        <v>4713</v>
      </c>
      <c r="AF396" s="135" t="s">
        <v>112</v>
      </c>
      <c r="AG396" s="135"/>
      <c r="AH396" s="135"/>
      <c r="AJ396" s="267" t="s">
        <v>153</v>
      </c>
      <c r="AN396" s="278">
        <v>2</v>
      </c>
      <c r="AO396" s="278">
        <v>2</v>
      </c>
      <c r="AP396" s="278">
        <v>2</v>
      </c>
      <c r="AQ396" s="278">
        <v>2</v>
      </c>
    </row>
    <row r="397" spans="1:43">
      <c r="A397" s="135" t="s">
        <v>3287</v>
      </c>
      <c r="B397" s="135" t="s">
        <v>3341</v>
      </c>
      <c r="C397" s="135" t="s">
        <v>3288</v>
      </c>
      <c r="D397" s="46">
        <v>11119416</v>
      </c>
      <c r="E397" s="20" t="s">
        <v>3289</v>
      </c>
      <c r="F397" s="20" t="s">
        <v>3290</v>
      </c>
      <c r="G397" s="24">
        <v>177</v>
      </c>
      <c r="H397" s="21">
        <v>46258</v>
      </c>
      <c r="I397" s="53" t="s">
        <v>3291</v>
      </c>
      <c r="J397" s="24" t="s">
        <v>3292</v>
      </c>
      <c r="K397" s="24">
        <v>177</v>
      </c>
      <c r="L397" s="46">
        <v>12116051</v>
      </c>
      <c r="M397" s="20" t="s">
        <v>3328</v>
      </c>
      <c r="N397" s="38">
        <v>0</v>
      </c>
      <c r="O397" s="38">
        <v>0</v>
      </c>
      <c r="P397" s="20" t="s">
        <v>469</v>
      </c>
      <c r="Q397" s="20">
        <v>0</v>
      </c>
      <c r="R397" s="40">
        <v>46247</v>
      </c>
      <c r="S397" s="20">
        <v>0</v>
      </c>
      <c r="T397" s="20">
        <v>0</v>
      </c>
      <c r="U397" s="40">
        <v>46248</v>
      </c>
      <c r="V397" s="40">
        <v>46248</v>
      </c>
      <c r="W397" s="20" t="s">
        <v>58</v>
      </c>
      <c r="X397" s="21"/>
      <c r="Y397" s="19">
        <f>VLOOKUP(F397,[2]New!$B:$G,3,0)*K397/60</f>
        <v>165.2</v>
      </c>
      <c r="Z397" s="19">
        <f>VLOOKUP(F397,[2]New!$B:$G,4,0)*K397/60</f>
        <v>690.3</v>
      </c>
      <c r="AA397" s="19">
        <f>VLOOKUP(F397,[2]New!$B:$G,6,0)*K397/60</f>
        <v>853.14</v>
      </c>
      <c r="AB397" s="44">
        <f>VLOOKUP(A397,'[4]PO CAG'!$A:$L,12,0)</f>
        <v>46269</v>
      </c>
      <c r="AC397" s="22">
        <f>IFERROR(VLOOKUP(F397,[3]Sheet1!$E:$H,4,0),)</f>
        <v>0</v>
      </c>
      <c r="AD397" s="144"/>
      <c r="AE397" s="25" t="s">
        <v>445</v>
      </c>
      <c r="AF397" s="135" t="s">
        <v>112</v>
      </c>
      <c r="AG397" s="135"/>
      <c r="AH397" s="135"/>
      <c r="AJ397" s="267" t="s">
        <v>188</v>
      </c>
      <c r="AN397" s="278">
        <v>2</v>
      </c>
      <c r="AO397" s="278">
        <v>2</v>
      </c>
      <c r="AP397" s="278">
        <v>2</v>
      </c>
      <c r="AQ397" s="278">
        <v>2</v>
      </c>
    </row>
    <row r="398" spans="1:43">
      <c r="A398" s="135" t="s">
        <v>3293</v>
      </c>
      <c r="B398" s="135" t="s">
        <v>3342</v>
      </c>
      <c r="C398" s="135" t="s">
        <v>3294</v>
      </c>
      <c r="D398" s="46">
        <v>11119415</v>
      </c>
      <c r="E398" s="20" t="s">
        <v>3295</v>
      </c>
      <c r="F398" s="20" t="s">
        <v>3296</v>
      </c>
      <c r="G398" s="24">
        <v>435</v>
      </c>
      <c r="H398" s="21">
        <v>46258</v>
      </c>
      <c r="I398" s="53" t="s">
        <v>3297</v>
      </c>
      <c r="J398" s="24" t="s">
        <v>3298</v>
      </c>
      <c r="K398" s="24">
        <v>435</v>
      </c>
      <c r="L398" s="46">
        <v>12116050</v>
      </c>
      <c r="M398" s="20" t="s">
        <v>3329</v>
      </c>
      <c r="N398" s="38">
        <v>0</v>
      </c>
      <c r="O398" s="38">
        <v>0</v>
      </c>
      <c r="P398" s="20" t="s">
        <v>469</v>
      </c>
      <c r="Q398" s="20">
        <v>0</v>
      </c>
      <c r="R398" s="40">
        <v>46247</v>
      </c>
      <c r="S398" s="20">
        <v>0</v>
      </c>
      <c r="T398" s="20">
        <v>0</v>
      </c>
      <c r="U398" s="40">
        <v>46248</v>
      </c>
      <c r="V398" s="40">
        <v>46248</v>
      </c>
      <c r="W398" s="20" t="s">
        <v>58</v>
      </c>
      <c r="X398" s="21"/>
      <c r="Y398" s="19">
        <f>VLOOKUP(F398,[2]New!$B:$G,3,0)*K398/60</f>
        <v>406</v>
      </c>
      <c r="Z398" s="19">
        <f>VLOOKUP(F398,[2]New!$B:$G,4,0)*K398/60</f>
        <v>1696.5</v>
      </c>
      <c r="AA398" s="19">
        <f>VLOOKUP(F398,[2]New!$B:$G,6,0)*K398/60</f>
        <v>2096.6999999999998</v>
      </c>
      <c r="AB398" s="44">
        <f>VLOOKUP(A398,'[4]PO CAG'!$A:$L,12,0)</f>
        <v>46269</v>
      </c>
      <c r="AC398" s="22">
        <f>IFERROR(VLOOKUP(F398,[3]Sheet1!$E:$H,4,0),)</f>
        <v>0</v>
      </c>
      <c r="AD398" s="144"/>
      <c r="AE398" s="25" t="s">
        <v>445</v>
      </c>
      <c r="AF398" s="135" t="s">
        <v>112</v>
      </c>
      <c r="AG398" s="135"/>
      <c r="AH398" s="135"/>
      <c r="AJ398" s="267" t="s">
        <v>188</v>
      </c>
      <c r="AN398" s="278">
        <v>2</v>
      </c>
      <c r="AO398" s="278">
        <v>2</v>
      </c>
      <c r="AP398" s="278">
        <v>2</v>
      </c>
      <c r="AQ398" s="278">
        <v>2</v>
      </c>
    </row>
    <row r="399" spans="1:43">
      <c r="A399" s="135" t="s">
        <v>3200</v>
      </c>
      <c r="B399" s="135" t="s">
        <v>3346</v>
      </c>
      <c r="C399" s="135" t="s">
        <v>3299</v>
      </c>
      <c r="D399" s="46">
        <v>11134260</v>
      </c>
      <c r="E399" s="20" t="s">
        <v>3202</v>
      </c>
      <c r="F399" s="20" t="s">
        <v>3203</v>
      </c>
      <c r="G399" s="24">
        <v>720</v>
      </c>
      <c r="H399" s="21">
        <v>46259</v>
      </c>
      <c r="I399" s="53" t="s">
        <v>3300</v>
      </c>
      <c r="J399" s="24" t="s">
        <v>3301</v>
      </c>
      <c r="K399" s="24">
        <v>720</v>
      </c>
      <c r="L399" s="46">
        <v>12116064</v>
      </c>
      <c r="M399" s="20" t="s">
        <v>98</v>
      </c>
      <c r="N399" s="38">
        <v>0</v>
      </c>
      <c r="O399" s="38">
        <v>0</v>
      </c>
      <c r="P399" s="20" t="s">
        <v>469</v>
      </c>
      <c r="Q399" s="20">
        <v>0</v>
      </c>
      <c r="R399" s="40">
        <v>46248</v>
      </c>
      <c r="S399" s="20">
        <v>0</v>
      </c>
      <c r="T399" s="20">
        <v>0</v>
      </c>
      <c r="U399" s="40">
        <v>46249</v>
      </c>
      <c r="V399" s="40">
        <v>46249</v>
      </c>
      <c r="W399" s="20" t="s">
        <v>57</v>
      </c>
      <c r="X399" s="21"/>
      <c r="Y399" s="19">
        <f>VLOOKUP(F399,[2]New!$B:$G,3,0)*K399/60</f>
        <v>672</v>
      </c>
      <c r="Z399" s="19">
        <f>VLOOKUP(F399,[2]New!$B:$G,4,0)*K399/60</f>
        <v>2808</v>
      </c>
      <c r="AA399" s="19">
        <f>VLOOKUP(F399,[2]New!$B:$G,6,0)*K399/60</f>
        <v>3470.4</v>
      </c>
      <c r="AB399" s="44">
        <f>VLOOKUP(A399,'[4]PO CAG'!$A:$L,12,0)</f>
        <v>46269</v>
      </c>
      <c r="AC399" s="22">
        <f>IFERROR(VLOOKUP(F399,[3]Sheet1!$E:$H,4,0),)</f>
        <v>0</v>
      </c>
      <c r="AD399" s="144"/>
      <c r="AE399" s="25" t="s">
        <v>445</v>
      </c>
      <c r="AF399" s="135" t="s">
        <v>112</v>
      </c>
      <c r="AG399" s="135"/>
      <c r="AH399" s="135"/>
      <c r="AJ399" s="267" t="s">
        <v>153</v>
      </c>
      <c r="AN399" s="278">
        <v>2</v>
      </c>
      <c r="AO399" s="278">
        <v>2</v>
      </c>
      <c r="AP399" s="278">
        <v>2</v>
      </c>
      <c r="AQ399" s="278">
        <v>2</v>
      </c>
    </row>
    <row r="400" spans="1:43">
      <c r="A400" s="135" t="s">
        <v>3302</v>
      </c>
      <c r="B400" s="135" t="s">
        <v>3347</v>
      </c>
      <c r="C400" s="135" t="s">
        <v>3303</v>
      </c>
      <c r="D400" s="46">
        <v>11119391</v>
      </c>
      <c r="E400" s="20" t="s">
        <v>3304</v>
      </c>
      <c r="F400" s="20" t="s">
        <v>3305</v>
      </c>
      <c r="G400" s="24">
        <v>24</v>
      </c>
      <c r="H400" s="21">
        <v>46259</v>
      </c>
      <c r="I400" s="53" t="s">
        <v>3306</v>
      </c>
      <c r="J400" s="24" t="s">
        <v>3307</v>
      </c>
      <c r="K400" s="24">
        <v>24</v>
      </c>
      <c r="L400" s="46">
        <v>12116026</v>
      </c>
      <c r="M400" s="20" t="s">
        <v>99</v>
      </c>
      <c r="N400" s="38">
        <v>0</v>
      </c>
      <c r="O400" s="38">
        <v>0</v>
      </c>
      <c r="P400" s="20" t="s">
        <v>469</v>
      </c>
      <c r="Q400" s="20">
        <v>0</v>
      </c>
      <c r="R400" s="40">
        <v>46248</v>
      </c>
      <c r="S400" s="20">
        <v>0</v>
      </c>
      <c r="T400" s="20">
        <v>0</v>
      </c>
      <c r="U400" s="40">
        <v>46249</v>
      </c>
      <c r="V400" s="40">
        <v>46249</v>
      </c>
      <c r="W400" s="20" t="s">
        <v>58</v>
      </c>
      <c r="X400" s="21"/>
      <c r="Y400" s="19">
        <f>VLOOKUP(F400,[2]New!$B:$G,3,0)*K400/60</f>
        <v>22.4</v>
      </c>
      <c r="Z400" s="19">
        <f>VLOOKUP(F400,[2]New!$B:$G,4,0)*K400/60</f>
        <v>93.6</v>
      </c>
      <c r="AA400" s="19">
        <f>VLOOKUP(F400,[2]New!$B:$G,6,0)*K400/60</f>
        <v>115.67999999999999</v>
      </c>
      <c r="AB400" s="44">
        <f>VLOOKUP(A400,'[4]PO CAG'!$A:$L,12,0)</f>
        <v>46269</v>
      </c>
      <c r="AC400" s="22">
        <f>IFERROR(VLOOKUP(F400,[3]Sheet1!$E:$H,4,0),)</f>
        <v>0</v>
      </c>
      <c r="AD400" s="144"/>
      <c r="AE400" s="25" t="s">
        <v>445</v>
      </c>
      <c r="AF400" s="135" t="s">
        <v>112</v>
      </c>
      <c r="AG400" s="135"/>
      <c r="AH400" s="135"/>
      <c r="AJ400" s="267" t="s">
        <v>188</v>
      </c>
      <c r="AN400" s="278">
        <v>2</v>
      </c>
      <c r="AO400" s="278">
        <v>2</v>
      </c>
      <c r="AP400" s="278">
        <v>2</v>
      </c>
      <c r="AQ400" s="278">
        <v>2</v>
      </c>
    </row>
    <row r="401" spans="1:43">
      <c r="A401" s="135" t="s">
        <v>3308</v>
      </c>
      <c r="B401" s="135" t="s">
        <v>3348</v>
      </c>
      <c r="C401" s="135" t="s">
        <v>3309</v>
      </c>
      <c r="D401" s="46">
        <v>11119488</v>
      </c>
      <c r="E401" s="20" t="s">
        <v>3310</v>
      </c>
      <c r="F401" s="20" t="s">
        <v>3311</v>
      </c>
      <c r="G401" s="24">
        <v>131</v>
      </c>
      <c r="H401" s="21">
        <v>46259</v>
      </c>
      <c r="I401" s="53" t="s">
        <v>3312</v>
      </c>
      <c r="J401" s="24" t="s">
        <v>3313</v>
      </c>
      <c r="K401" s="24">
        <v>131</v>
      </c>
      <c r="L401" s="46">
        <v>12116123</v>
      </c>
      <c r="M401" s="20" t="s">
        <v>3330</v>
      </c>
      <c r="N401" s="38">
        <v>0</v>
      </c>
      <c r="O401" s="38">
        <v>0</v>
      </c>
      <c r="P401" s="20" t="s">
        <v>469</v>
      </c>
      <c r="Q401" s="20">
        <v>0</v>
      </c>
      <c r="R401" s="40">
        <v>46248</v>
      </c>
      <c r="S401" s="20">
        <v>0</v>
      </c>
      <c r="T401" s="20">
        <v>0</v>
      </c>
      <c r="U401" s="40">
        <v>46249</v>
      </c>
      <c r="V401" s="40">
        <v>46249</v>
      </c>
      <c r="W401" s="20" t="s">
        <v>58</v>
      </c>
      <c r="X401" s="21"/>
      <c r="Y401" s="19">
        <f>VLOOKUP(F401,[2]New!$B:$G,3,0)*K401/60</f>
        <v>122.26666666666667</v>
      </c>
      <c r="Z401" s="19">
        <f>VLOOKUP(F401,[2]New!$B:$G,4,0)*K401/60</f>
        <v>510.9</v>
      </c>
      <c r="AA401" s="19">
        <f>VLOOKUP(F401,[2]New!$B:$G,6,0)*K401/60</f>
        <v>631.41999999999996</v>
      </c>
      <c r="AB401" s="44">
        <f>VLOOKUP(A401,'[4]PO CAG'!$A:$L,12,0)</f>
        <v>46269</v>
      </c>
      <c r="AC401" s="22">
        <f>IFERROR(VLOOKUP(F401,[3]Sheet1!$E:$H,4,0),)</f>
        <v>0</v>
      </c>
      <c r="AD401" s="144"/>
      <c r="AE401" s="25" t="s">
        <v>445</v>
      </c>
      <c r="AF401" s="135" t="s">
        <v>112</v>
      </c>
      <c r="AG401" s="135"/>
      <c r="AH401" s="135"/>
      <c r="AJ401" s="267" t="s">
        <v>188</v>
      </c>
      <c r="AN401" s="278">
        <v>2</v>
      </c>
      <c r="AO401" s="278">
        <v>2</v>
      </c>
      <c r="AP401" s="278">
        <v>2</v>
      </c>
      <c r="AQ401" s="278">
        <v>2</v>
      </c>
    </row>
    <row r="402" spans="1:43">
      <c r="A402" s="135" t="s">
        <v>3314</v>
      </c>
      <c r="B402" s="135" t="s">
        <v>3349</v>
      </c>
      <c r="C402" s="135" t="s">
        <v>3315</v>
      </c>
      <c r="D402" s="46">
        <v>11119541</v>
      </c>
      <c r="E402" s="20" t="s">
        <v>3316</v>
      </c>
      <c r="F402" s="20" t="s">
        <v>3317</v>
      </c>
      <c r="G402" s="24">
        <v>237</v>
      </c>
      <c r="H402" s="21">
        <v>46259</v>
      </c>
      <c r="I402" s="53" t="s">
        <v>3318</v>
      </c>
      <c r="J402" s="24" t="s">
        <v>3319</v>
      </c>
      <c r="K402" s="24">
        <v>237</v>
      </c>
      <c r="L402" s="46">
        <v>12116176</v>
      </c>
      <c r="M402" s="20" t="s">
        <v>3331</v>
      </c>
      <c r="N402" s="38">
        <v>0</v>
      </c>
      <c r="O402" s="38">
        <v>0</v>
      </c>
      <c r="P402" s="20" t="s">
        <v>469</v>
      </c>
      <c r="Q402" s="20">
        <v>0</v>
      </c>
      <c r="R402" s="40">
        <v>46248</v>
      </c>
      <c r="S402" s="20">
        <v>0</v>
      </c>
      <c r="T402" s="20">
        <v>0</v>
      </c>
      <c r="U402" s="40">
        <v>46249</v>
      </c>
      <c r="V402" s="40">
        <v>46249</v>
      </c>
      <c r="W402" s="20" t="s">
        <v>58</v>
      </c>
      <c r="X402" s="21"/>
      <c r="Y402" s="19">
        <f>VLOOKUP(F402,[2]New!$B:$G,3,0)*K402/60</f>
        <v>221.2</v>
      </c>
      <c r="Z402" s="19">
        <f>VLOOKUP(F402,[2]New!$B:$G,4,0)*K402/60</f>
        <v>924.3</v>
      </c>
      <c r="AA402" s="19">
        <f>VLOOKUP(F402,[2]New!$B:$G,6,0)*K402/60</f>
        <v>1142.3399999999999</v>
      </c>
      <c r="AB402" s="44">
        <f>VLOOKUP(A402,'[4]PO CAG'!$A:$L,12,0)</f>
        <v>46269</v>
      </c>
      <c r="AC402" s="22">
        <f>IFERROR(VLOOKUP(F402,[3]Sheet1!$E:$H,4,0),)</f>
        <v>0</v>
      </c>
      <c r="AD402" s="144"/>
      <c r="AE402" s="25" t="s">
        <v>445</v>
      </c>
      <c r="AF402" s="135" t="s">
        <v>112</v>
      </c>
      <c r="AG402" s="135"/>
      <c r="AH402" s="135"/>
      <c r="AJ402" s="267" t="s">
        <v>188</v>
      </c>
      <c r="AN402" s="278">
        <v>2</v>
      </c>
      <c r="AO402" s="278">
        <v>2</v>
      </c>
      <c r="AP402" s="278">
        <v>2</v>
      </c>
      <c r="AQ402" s="278">
        <v>2</v>
      </c>
    </row>
    <row r="403" spans="1:43">
      <c r="A403" s="135" t="s">
        <v>3269</v>
      </c>
      <c r="B403" s="135" t="s">
        <v>3350</v>
      </c>
      <c r="C403" s="135" t="s">
        <v>3320</v>
      </c>
      <c r="D403" s="46">
        <v>11119371</v>
      </c>
      <c r="E403" s="20" t="s">
        <v>3271</v>
      </c>
      <c r="F403" s="20" t="s">
        <v>3272</v>
      </c>
      <c r="G403" s="24">
        <v>448</v>
      </c>
      <c r="H403" s="21">
        <v>46259</v>
      </c>
      <c r="I403" s="53" t="s">
        <v>3321</v>
      </c>
      <c r="J403" s="24" t="s">
        <v>3322</v>
      </c>
      <c r="K403" s="24">
        <v>448</v>
      </c>
      <c r="L403" s="46">
        <v>12116006</v>
      </c>
      <c r="M403" s="20" t="s">
        <v>97</v>
      </c>
      <c r="N403" s="38">
        <v>0</v>
      </c>
      <c r="O403" s="38">
        <v>0</v>
      </c>
      <c r="P403" s="20" t="s">
        <v>469</v>
      </c>
      <c r="Q403" s="20">
        <v>0</v>
      </c>
      <c r="R403" s="40">
        <v>46248</v>
      </c>
      <c r="S403" s="20">
        <v>0</v>
      </c>
      <c r="T403" s="20">
        <v>0</v>
      </c>
      <c r="U403" s="40">
        <v>46249</v>
      </c>
      <c r="V403" s="40">
        <v>46249</v>
      </c>
      <c r="W403" s="20" t="s">
        <v>58</v>
      </c>
      <c r="X403" s="21"/>
      <c r="Y403" s="19">
        <f>VLOOKUP(F403,[2]New!$B:$G,3,0)*K403/60</f>
        <v>418.13333333333333</v>
      </c>
      <c r="Z403" s="19">
        <f>VLOOKUP(F403,[2]New!$B:$G,4,0)*K403/60</f>
        <v>1747.2</v>
      </c>
      <c r="AA403" s="19">
        <f>VLOOKUP(F403,[2]New!$B:$G,6,0)*K403/60</f>
        <v>2159.3599999999997</v>
      </c>
      <c r="AB403" s="44">
        <f>VLOOKUP(A403,'[4]PO CAG'!$A:$L,12,0)</f>
        <v>46269</v>
      </c>
      <c r="AC403" s="22">
        <f>IFERROR(VLOOKUP(F403,[3]Sheet1!$E:$H,4,0),)</f>
        <v>0</v>
      </c>
      <c r="AD403" s="144"/>
      <c r="AE403" s="25" t="s">
        <v>445</v>
      </c>
      <c r="AF403" s="135" t="s">
        <v>112</v>
      </c>
      <c r="AG403" s="135"/>
      <c r="AH403" s="135"/>
      <c r="AJ403" s="267" t="s">
        <v>188</v>
      </c>
      <c r="AN403" s="278">
        <v>2</v>
      </c>
      <c r="AO403" s="278">
        <v>2</v>
      </c>
      <c r="AP403" s="278">
        <v>2</v>
      </c>
      <c r="AQ403" s="278">
        <v>2</v>
      </c>
    </row>
    <row r="404" spans="1:43">
      <c r="A404" s="135" t="s">
        <v>93</v>
      </c>
      <c r="B404" s="135" t="s">
        <v>3356</v>
      </c>
      <c r="C404" s="135" t="s">
        <v>3351</v>
      </c>
      <c r="D404" s="46">
        <v>12012480</v>
      </c>
      <c r="E404" s="20" t="s">
        <v>297</v>
      </c>
      <c r="F404" s="20" t="s">
        <v>3352</v>
      </c>
      <c r="G404" s="24">
        <v>120</v>
      </c>
      <c r="H404" s="21">
        <v>46258</v>
      </c>
      <c r="I404" s="53" t="s">
        <v>3353</v>
      </c>
      <c r="J404" s="24" t="s">
        <v>3354</v>
      </c>
      <c r="K404" s="24">
        <v>123</v>
      </c>
      <c r="L404" s="46">
        <v>12003986</v>
      </c>
      <c r="M404" s="20" t="s">
        <v>67</v>
      </c>
      <c r="N404" s="38">
        <v>0</v>
      </c>
      <c r="O404" s="38">
        <v>0</v>
      </c>
      <c r="P404" s="20" t="s">
        <v>469</v>
      </c>
      <c r="Q404" s="20">
        <v>3</v>
      </c>
      <c r="R404" s="339">
        <v>46247</v>
      </c>
      <c r="S404" s="20">
        <v>0</v>
      </c>
      <c r="T404" s="20">
        <v>0</v>
      </c>
      <c r="U404" s="40">
        <v>46248</v>
      </c>
      <c r="V404" s="40">
        <v>46248</v>
      </c>
      <c r="W404" s="20" t="s">
        <v>58</v>
      </c>
      <c r="X404" s="21"/>
      <c r="Y404" s="19">
        <f>VLOOKUP(F404,[2]New!$B:$G,3,0)*K404/60</f>
        <v>45.1</v>
      </c>
      <c r="Z404" s="19">
        <f>VLOOKUP(F404,[2]New!$B:$G,4,0)*K404/60</f>
        <v>241.69500000000002</v>
      </c>
      <c r="AA404" s="19">
        <f>VLOOKUP(F404,[2]New!$B:$G,6,0)*K404/60</f>
        <v>235.75</v>
      </c>
      <c r="AB404" s="44">
        <v>46269</v>
      </c>
      <c r="AC404" s="22">
        <f>IFERROR(VLOOKUP(F404,[3]Sheet1!$E:$H,4,0),)</f>
        <v>0</v>
      </c>
      <c r="AD404" s="144"/>
      <c r="AE404" s="25" t="s">
        <v>446</v>
      </c>
      <c r="AF404" s="135" t="s">
        <v>3355</v>
      </c>
      <c r="AG404" s="135"/>
      <c r="AH404" s="135"/>
      <c r="AJ404" s="267" t="s">
        <v>369</v>
      </c>
      <c r="AN404" s="278">
        <v>1</v>
      </c>
      <c r="AO404" s="278">
        <v>1</v>
      </c>
      <c r="AP404" s="278" t="s">
        <v>113</v>
      </c>
      <c r="AQ404" s="278" t="s">
        <v>113</v>
      </c>
    </row>
    <row r="405" spans="1:43">
      <c r="A405" s="135" t="s">
        <v>3449</v>
      </c>
      <c r="B405" s="135" t="s">
        <v>3673</v>
      </c>
      <c r="C405" s="135" t="s">
        <v>3450</v>
      </c>
      <c r="D405" s="46">
        <v>11112487</v>
      </c>
      <c r="E405" s="20" t="s">
        <v>1868</v>
      </c>
      <c r="F405" s="20" t="s">
        <v>1869</v>
      </c>
      <c r="G405" s="24">
        <v>10</v>
      </c>
      <c r="H405" s="21">
        <v>46260</v>
      </c>
      <c r="I405" s="53" t="s">
        <v>3451</v>
      </c>
      <c r="J405" s="24" t="s">
        <v>3452</v>
      </c>
      <c r="K405" s="24">
        <v>10</v>
      </c>
      <c r="L405" s="46">
        <v>12115910</v>
      </c>
      <c r="M405" s="20" t="s">
        <v>3511</v>
      </c>
      <c r="N405" s="38">
        <v>0</v>
      </c>
      <c r="O405" s="38">
        <v>0</v>
      </c>
      <c r="P405" s="20" t="s">
        <v>130</v>
      </c>
      <c r="Q405" s="20">
        <v>0</v>
      </c>
      <c r="R405" s="40">
        <v>46249</v>
      </c>
      <c r="S405" s="20">
        <v>0</v>
      </c>
      <c r="T405" s="20">
        <v>0</v>
      </c>
      <c r="U405" s="40">
        <v>46251</v>
      </c>
      <c r="V405" s="40">
        <v>46251</v>
      </c>
      <c r="W405" s="20" t="s">
        <v>54</v>
      </c>
      <c r="X405" s="21"/>
      <c r="Y405" s="19">
        <f>VLOOKUP(F405,[2]New!$B:$G,3,0)*K405/60</f>
        <v>22</v>
      </c>
      <c r="Z405" s="19">
        <f>VLOOKUP(F405,[2]New!$B:$G,4,0)*K405/60</f>
        <v>26.333333333333332</v>
      </c>
      <c r="AA405" s="19">
        <f>VLOOKUP(F405,[2]New!$B:$G,6,0)*K405/60</f>
        <v>30.666666666666668</v>
      </c>
      <c r="AB405" s="44">
        <f>VLOOKUP(A405,'[4]PO CAG'!$A:$L,12,0)</f>
        <v>46268</v>
      </c>
      <c r="AC405" s="22">
        <f>IFERROR(VLOOKUP(F405,[3]Sheet1!$E:$H,4,0),)</f>
        <v>0</v>
      </c>
      <c r="AD405" s="144"/>
      <c r="AE405" s="25" t="s">
        <v>5366</v>
      </c>
      <c r="AF405" s="382">
        <v>1</v>
      </c>
      <c r="AG405" s="135"/>
      <c r="AH405" s="135"/>
      <c r="AJ405" s="267" t="s">
        <v>152</v>
      </c>
      <c r="AN405" s="278">
        <v>1</v>
      </c>
      <c r="AO405" s="278" t="s">
        <v>113</v>
      </c>
      <c r="AP405" s="278" t="s">
        <v>113</v>
      </c>
      <c r="AQ405" s="278" t="s">
        <v>113</v>
      </c>
    </row>
    <row r="406" spans="1:43">
      <c r="A406" s="135" t="s">
        <v>3453</v>
      </c>
      <c r="B406" s="135" t="s">
        <v>3674</v>
      </c>
      <c r="C406" s="135" t="s">
        <v>3454</v>
      </c>
      <c r="D406" s="46">
        <v>11112481</v>
      </c>
      <c r="E406" s="20" t="s">
        <v>741</v>
      </c>
      <c r="F406" s="20" t="s">
        <v>742</v>
      </c>
      <c r="G406" s="24">
        <v>55</v>
      </c>
      <c r="H406" s="21">
        <v>46260</v>
      </c>
      <c r="I406" s="53" t="s">
        <v>3455</v>
      </c>
      <c r="J406" s="24" t="s">
        <v>3456</v>
      </c>
      <c r="K406" s="24">
        <v>55</v>
      </c>
      <c r="L406" s="46">
        <v>12115904</v>
      </c>
      <c r="M406" s="20" t="s">
        <v>762</v>
      </c>
      <c r="N406" s="38">
        <v>0</v>
      </c>
      <c r="O406" s="38">
        <v>0</v>
      </c>
      <c r="P406" s="20" t="s">
        <v>130</v>
      </c>
      <c r="Q406" s="20">
        <v>0</v>
      </c>
      <c r="R406" s="40">
        <v>46249</v>
      </c>
      <c r="S406" s="20">
        <v>0</v>
      </c>
      <c r="T406" s="20">
        <v>0</v>
      </c>
      <c r="U406" s="40">
        <v>46251</v>
      </c>
      <c r="V406" s="40">
        <v>46251</v>
      </c>
      <c r="W406" s="20" t="s">
        <v>54</v>
      </c>
      <c r="X406" s="21"/>
      <c r="Y406" s="19">
        <f>VLOOKUP(F406,[2]New!$B:$G,3,0)*K406/60</f>
        <v>121</v>
      </c>
      <c r="Z406" s="19">
        <f>VLOOKUP(F406,[2]New!$B:$G,4,0)*K406/60</f>
        <v>144.83333333333334</v>
      </c>
      <c r="AA406" s="19">
        <f>VLOOKUP(F406,[2]New!$B:$G,6,0)*K406/60</f>
        <v>168.66666666666666</v>
      </c>
      <c r="AB406" s="44">
        <f>VLOOKUP(A406,'[4]PO CAG'!$A:$L,12,0)</f>
        <v>46268</v>
      </c>
      <c r="AC406" s="22">
        <f>IFERROR(VLOOKUP(F406,[3]Sheet1!$E:$H,4,0),)</f>
        <v>0</v>
      </c>
      <c r="AD406" s="144"/>
      <c r="AE406" s="25" t="s">
        <v>5366</v>
      </c>
      <c r="AF406" s="382">
        <v>1</v>
      </c>
      <c r="AG406" s="135"/>
      <c r="AH406" s="135"/>
      <c r="AJ406" s="267" t="s">
        <v>152</v>
      </c>
      <c r="AN406" s="278">
        <v>1</v>
      </c>
      <c r="AO406" s="278" t="s">
        <v>113</v>
      </c>
      <c r="AP406" s="278" t="s">
        <v>113</v>
      </c>
      <c r="AQ406" s="278" t="s">
        <v>113</v>
      </c>
    </row>
    <row r="407" spans="1:43">
      <c r="A407" s="135" t="s">
        <v>3457</v>
      </c>
      <c r="B407" s="135" t="s">
        <v>3675</v>
      </c>
      <c r="C407" s="135" t="s">
        <v>3458</v>
      </c>
      <c r="D407" s="46">
        <v>11112514</v>
      </c>
      <c r="E407" s="20" t="s">
        <v>3459</v>
      </c>
      <c r="F407" s="20" t="s">
        <v>3460</v>
      </c>
      <c r="G407" s="24">
        <v>65</v>
      </c>
      <c r="H407" s="21">
        <v>46260</v>
      </c>
      <c r="I407" s="53" t="s">
        <v>3461</v>
      </c>
      <c r="J407" s="24" t="s">
        <v>3462</v>
      </c>
      <c r="K407" s="24">
        <v>65</v>
      </c>
      <c r="L407" s="46">
        <v>12116394</v>
      </c>
      <c r="M407" s="20" t="s">
        <v>3512</v>
      </c>
      <c r="N407" s="38">
        <v>0</v>
      </c>
      <c r="O407" s="38">
        <v>0</v>
      </c>
      <c r="P407" s="20" t="s">
        <v>130</v>
      </c>
      <c r="Q407" s="20">
        <v>0</v>
      </c>
      <c r="R407" s="40">
        <v>46249</v>
      </c>
      <c r="S407" s="20">
        <v>0</v>
      </c>
      <c r="T407" s="20">
        <v>0</v>
      </c>
      <c r="U407" s="40">
        <v>46251</v>
      </c>
      <c r="V407" s="40">
        <v>46251</v>
      </c>
      <c r="W407" s="20" t="s">
        <v>54</v>
      </c>
      <c r="X407" s="21"/>
      <c r="Y407" s="19">
        <f>VLOOKUP(F407,[2]New!$B:$G,3,0)*K407/60</f>
        <v>143</v>
      </c>
      <c r="Z407" s="19">
        <f>VLOOKUP(F407,[2]New!$B:$G,4,0)*K407/60</f>
        <v>171.16666666666666</v>
      </c>
      <c r="AA407" s="19">
        <f>VLOOKUP(F407,[2]New!$B:$G,6,0)*K407/60</f>
        <v>199.33333333333334</v>
      </c>
      <c r="AB407" s="44">
        <f>VLOOKUP(A407,'[4]PO CAG'!$A:$L,12,0)</f>
        <v>46268</v>
      </c>
      <c r="AC407" s="22">
        <f>IFERROR(VLOOKUP(F407,[3]Sheet1!$E:$H,4,0),)</f>
        <v>0</v>
      </c>
      <c r="AD407" s="144"/>
      <c r="AE407" s="25" t="s">
        <v>5366</v>
      </c>
      <c r="AF407" s="382">
        <v>1</v>
      </c>
      <c r="AG407" s="135"/>
      <c r="AH407" s="135"/>
      <c r="AJ407" s="267" t="s">
        <v>152</v>
      </c>
      <c r="AN407" s="278">
        <v>1</v>
      </c>
      <c r="AO407" s="278" t="s">
        <v>113</v>
      </c>
      <c r="AP407" s="278" t="s">
        <v>113</v>
      </c>
      <c r="AQ407" s="278" t="s">
        <v>113</v>
      </c>
    </row>
    <row r="408" spans="1:43">
      <c r="A408" s="135" t="s">
        <v>3463</v>
      </c>
      <c r="B408" s="135" t="s">
        <v>3676</v>
      </c>
      <c r="C408" s="135" t="s">
        <v>3464</v>
      </c>
      <c r="D408" s="46">
        <v>11112524</v>
      </c>
      <c r="E408" s="20" t="s">
        <v>3465</v>
      </c>
      <c r="F408" s="20" t="s">
        <v>3466</v>
      </c>
      <c r="G408" s="24">
        <v>80</v>
      </c>
      <c r="H408" s="21">
        <v>46260</v>
      </c>
      <c r="I408" s="53" t="s">
        <v>3467</v>
      </c>
      <c r="J408" s="24" t="s">
        <v>3468</v>
      </c>
      <c r="K408" s="24">
        <v>80</v>
      </c>
      <c r="L408" s="46">
        <v>12116404</v>
      </c>
      <c r="M408" s="20" t="s">
        <v>3513</v>
      </c>
      <c r="N408" s="38">
        <v>0</v>
      </c>
      <c r="O408" s="38">
        <v>0</v>
      </c>
      <c r="P408" s="20" t="s">
        <v>130</v>
      </c>
      <c r="Q408" s="20">
        <v>0</v>
      </c>
      <c r="R408" s="40">
        <v>46249</v>
      </c>
      <c r="S408" s="20">
        <v>0</v>
      </c>
      <c r="T408" s="20">
        <v>0</v>
      </c>
      <c r="U408" s="40">
        <v>46251</v>
      </c>
      <c r="V408" s="40">
        <v>46251</v>
      </c>
      <c r="W408" s="20" t="s">
        <v>54</v>
      </c>
      <c r="X408" s="21"/>
      <c r="Y408" s="19">
        <f>VLOOKUP(F408,[2]New!$B:$G,3,0)*K408/60</f>
        <v>176</v>
      </c>
      <c r="Z408" s="19">
        <f>VLOOKUP(F408,[2]New!$B:$G,4,0)*K408/60</f>
        <v>210.66666666666666</v>
      </c>
      <c r="AA408" s="19">
        <f>VLOOKUP(F408,[2]New!$B:$G,6,0)*K408/60</f>
        <v>245.33333333333334</v>
      </c>
      <c r="AB408" s="44">
        <f>VLOOKUP(A408,'[4]PO CAG'!$A:$L,12,0)</f>
        <v>46268</v>
      </c>
      <c r="AC408" s="22">
        <f>IFERROR(VLOOKUP(F408,[3]Sheet1!$E:$H,4,0),)</f>
        <v>0</v>
      </c>
      <c r="AD408" s="144"/>
      <c r="AE408" s="25" t="s">
        <v>5366</v>
      </c>
      <c r="AF408" s="382">
        <v>1</v>
      </c>
      <c r="AG408" s="135"/>
      <c r="AH408" s="135"/>
      <c r="AJ408" s="267" t="s">
        <v>152</v>
      </c>
      <c r="AN408" s="278">
        <v>1</v>
      </c>
      <c r="AO408" s="278" t="s">
        <v>113</v>
      </c>
      <c r="AP408" s="278" t="s">
        <v>113</v>
      </c>
      <c r="AQ408" s="278" t="s">
        <v>113</v>
      </c>
    </row>
    <row r="409" spans="1:43">
      <c r="A409" s="135" t="s">
        <v>3469</v>
      </c>
      <c r="B409" s="135" t="s">
        <v>3677</v>
      </c>
      <c r="C409" s="135" t="s">
        <v>3470</v>
      </c>
      <c r="D409" s="46">
        <v>11121773</v>
      </c>
      <c r="E409" s="20" t="s">
        <v>3471</v>
      </c>
      <c r="F409" s="20" t="s">
        <v>3472</v>
      </c>
      <c r="G409" s="24">
        <v>174</v>
      </c>
      <c r="H409" s="21">
        <v>46260</v>
      </c>
      <c r="I409" s="53" t="s">
        <v>3473</v>
      </c>
      <c r="J409" s="24" t="s">
        <v>3474</v>
      </c>
      <c r="K409" s="24">
        <v>174</v>
      </c>
      <c r="L409" s="46">
        <v>12120625</v>
      </c>
      <c r="M409" s="20" t="s">
        <v>507</v>
      </c>
      <c r="N409" s="38">
        <v>0</v>
      </c>
      <c r="O409" s="38">
        <v>0</v>
      </c>
      <c r="P409" s="20" t="s">
        <v>130</v>
      </c>
      <c r="Q409" s="20">
        <v>0</v>
      </c>
      <c r="R409" s="40">
        <v>46249</v>
      </c>
      <c r="S409" s="20">
        <v>0</v>
      </c>
      <c r="T409" s="20">
        <v>0</v>
      </c>
      <c r="U409" s="40">
        <v>46251</v>
      </c>
      <c r="V409" s="40">
        <v>46251</v>
      </c>
      <c r="W409" s="20" t="s">
        <v>54</v>
      </c>
      <c r="X409" s="21"/>
      <c r="Y409" s="19">
        <f>VLOOKUP(F409,[2]New!$B:$G,3,0)*K409/60</f>
        <v>156.6</v>
      </c>
      <c r="Z409" s="19">
        <f>VLOOKUP(F409,[2]New!$B:$G,4,0)*K409/60</f>
        <v>391.5</v>
      </c>
      <c r="AA409" s="19">
        <f>VLOOKUP(F409,[2]New!$B:$G,6,0)*K409/60</f>
        <v>458.78</v>
      </c>
      <c r="AB409" s="44">
        <f>VLOOKUP(A409,'[4]PO CAG'!$A:$L,12,0)</f>
        <v>46268</v>
      </c>
      <c r="AC409" s="22">
        <f>IFERROR(VLOOKUP(F409,[3]Sheet1!$E:$H,4,0),)</f>
        <v>0</v>
      </c>
      <c r="AD409" s="144"/>
      <c r="AE409" s="25" t="s">
        <v>4712</v>
      </c>
      <c r="AF409" s="382">
        <v>1</v>
      </c>
      <c r="AG409" s="135"/>
      <c r="AH409" s="135"/>
      <c r="AJ409" s="267" t="s">
        <v>152</v>
      </c>
      <c r="AN409" s="278">
        <v>2</v>
      </c>
      <c r="AO409" s="278">
        <v>2</v>
      </c>
      <c r="AP409" s="278" t="s">
        <v>113</v>
      </c>
      <c r="AQ409" s="278" t="s">
        <v>113</v>
      </c>
    </row>
    <row r="410" spans="1:43">
      <c r="A410" s="135" t="s">
        <v>3475</v>
      </c>
      <c r="B410" s="135" t="s">
        <v>3678</v>
      </c>
      <c r="C410" s="135" t="s">
        <v>3476</v>
      </c>
      <c r="D410" s="46">
        <v>11121772</v>
      </c>
      <c r="E410" s="20" t="s">
        <v>3477</v>
      </c>
      <c r="F410" s="20" t="s">
        <v>3478</v>
      </c>
      <c r="G410" s="24">
        <v>1533</v>
      </c>
      <c r="H410" s="21">
        <v>46260</v>
      </c>
      <c r="I410" s="53" t="s">
        <v>3479</v>
      </c>
      <c r="J410" s="24" t="s">
        <v>3480</v>
      </c>
      <c r="K410" s="24">
        <v>1543</v>
      </c>
      <c r="L410" s="46">
        <v>12120624</v>
      </c>
      <c r="M410" s="20" t="s">
        <v>509</v>
      </c>
      <c r="N410" s="38">
        <v>0</v>
      </c>
      <c r="O410" s="38">
        <v>0</v>
      </c>
      <c r="P410" s="20" t="s">
        <v>130</v>
      </c>
      <c r="Q410" s="20">
        <v>0</v>
      </c>
      <c r="R410" s="40">
        <v>46249</v>
      </c>
      <c r="S410" s="20">
        <v>10</v>
      </c>
      <c r="T410" s="20">
        <v>0</v>
      </c>
      <c r="U410" s="40">
        <v>46251</v>
      </c>
      <c r="V410" s="40">
        <v>46251</v>
      </c>
      <c r="W410" s="20" t="s">
        <v>54</v>
      </c>
      <c r="X410" s="21"/>
      <c r="Y410" s="19">
        <f>VLOOKUP(F410,[2]New!$B:$G,3,0)*K410/60</f>
        <v>1388.7</v>
      </c>
      <c r="Z410" s="19">
        <f>VLOOKUP(F410,[2]New!$B:$G,4,0)*K410/60</f>
        <v>3471.75</v>
      </c>
      <c r="AA410" s="19">
        <f>VLOOKUP(F410,[2]New!$B:$G,6,0)*K410/60</f>
        <v>4423.2666666666664</v>
      </c>
      <c r="AB410" s="44">
        <f>VLOOKUP(A410,'[4]PO CAG'!$A:$L,12,0)</f>
        <v>46268</v>
      </c>
      <c r="AC410" s="22">
        <f>IFERROR(VLOOKUP(F410,[3]Sheet1!$E:$H,4,0),)</f>
        <v>0</v>
      </c>
      <c r="AD410" s="144"/>
      <c r="AE410" s="25" t="s">
        <v>4712</v>
      </c>
      <c r="AF410" s="382">
        <v>1</v>
      </c>
      <c r="AG410" s="135"/>
      <c r="AH410" s="135"/>
      <c r="AJ410" s="267" t="s">
        <v>152</v>
      </c>
      <c r="AN410" s="278">
        <v>2</v>
      </c>
      <c r="AO410" s="278">
        <v>2</v>
      </c>
      <c r="AP410" s="278" t="s">
        <v>113</v>
      </c>
      <c r="AQ410" s="278" t="s">
        <v>113</v>
      </c>
    </row>
    <row r="411" spans="1:43">
      <c r="A411" s="135" t="s">
        <v>3243</v>
      </c>
      <c r="B411" s="135" t="s">
        <v>3679</v>
      </c>
      <c r="C411" s="135" t="s">
        <v>3481</v>
      </c>
      <c r="D411" s="46">
        <v>11131258</v>
      </c>
      <c r="E411" s="20" t="s">
        <v>504</v>
      </c>
      <c r="F411" s="20" t="s">
        <v>505</v>
      </c>
      <c r="G411" s="24">
        <v>164</v>
      </c>
      <c r="H411" s="21">
        <v>46260</v>
      </c>
      <c r="I411" s="53" t="s">
        <v>3482</v>
      </c>
      <c r="J411" s="24" t="s">
        <v>3483</v>
      </c>
      <c r="K411" s="24">
        <v>164</v>
      </c>
      <c r="L411" s="46">
        <v>12120624</v>
      </c>
      <c r="M411" s="20" t="s">
        <v>509</v>
      </c>
      <c r="N411" s="38">
        <v>0</v>
      </c>
      <c r="O411" s="38">
        <v>0</v>
      </c>
      <c r="P411" s="20" t="s">
        <v>469</v>
      </c>
      <c r="Q411" s="20">
        <v>0</v>
      </c>
      <c r="R411" s="40">
        <v>46249</v>
      </c>
      <c r="S411" s="20">
        <v>0</v>
      </c>
      <c r="T411" s="20">
        <v>0</v>
      </c>
      <c r="U411" s="40">
        <v>46251</v>
      </c>
      <c r="V411" s="40">
        <v>46251</v>
      </c>
      <c r="W411" s="20" t="s">
        <v>54</v>
      </c>
      <c r="X411" s="21"/>
      <c r="Y411" s="19">
        <f>VLOOKUP(F411,[2]New!$B:$G,3,0)*K411/60</f>
        <v>147.6</v>
      </c>
      <c r="Z411" s="19">
        <f>VLOOKUP(F411,[2]New!$B:$G,4,0)*K411/60</f>
        <v>369</v>
      </c>
      <c r="AA411" s="19">
        <f>VLOOKUP(F411,[2]New!$B:$G,6,0)*K411/60</f>
        <v>470.13333333333333</v>
      </c>
      <c r="AB411" s="44">
        <f>VLOOKUP(A411,'[4]PO CAG'!$A:$L,12,0)</f>
        <v>46269</v>
      </c>
      <c r="AC411" s="22">
        <f>IFERROR(VLOOKUP(F411,[3]Sheet1!$E:$H,4,0),)</f>
        <v>0</v>
      </c>
      <c r="AD411" s="144"/>
      <c r="AE411" s="25" t="s">
        <v>4712</v>
      </c>
      <c r="AF411" s="382">
        <v>1</v>
      </c>
      <c r="AG411" s="135"/>
      <c r="AH411" s="135"/>
      <c r="AJ411" s="267" t="s">
        <v>152</v>
      </c>
      <c r="AN411" s="278">
        <v>2</v>
      </c>
      <c r="AO411" s="278">
        <v>2</v>
      </c>
      <c r="AP411" s="278" t="s">
        <v>113</v>
      </c>
      <c r="AQ411" s="278" t="s">
        <v>113</v>
      </c>
    </row>
    <row r="412" spans="1:43">
      <c r="A412" s="135" t="s">
        <v>3484</v>
      </c>
      <c r="B412" s="135" t="s">
        <v>3734</v>
      </c>
      <c r="C412" s="135" t="s">
        <v>3485</v>
      </c>
      <c r="D412" s="46">
        <v>11134401</v>
      </c>
      <c r="E412" s="20" t="s">
        <v>645</v>
      </c>
      <c r="F412" s="20" t="s">
        <v>646</v>
      </c>
      <c r="G412" s="24">
        <v>1065</v>
      </c>
      <c r="H412" s="21">
        <v>46261</v>
      </c>
      <c r="I412" s="53" t="s">
        <v>3486</v>
      </c>
      <c r="J412" s="24" t="s">
        <v>3487</v>
      </c>
      <c r="K412" s="24">
        <v>1075</v>
      </c>
      <c r="L412" s="46">
        <v>12129626</v>
      </c>
      <c r="M412" s="20" t="s">
        <v>96</v>
      </c>
      <c r="N412" s="38">
        <v>0</v>
      </c>
      <c r="O412" s="38">
        <v>0</v>
      </c>
      <c r="P412" s="20" t="s">
        <v>130</v>
      </c>
      <c r="Q412" s="20">
        <v>0</v>
      </c>
      <c r="R412" s="40">
        <v>46251</v>
      </c>
      <c r="S412" s="20">
        <v>10</v>
      </c>
      <c r="T412" s="20">
        <v>0</v>
      </c>
      <c r="U412" s="40">
        <v>46252</v>
      </c>
      <c r="V412" s="40">
        <v>46252</v>
      </c>
      <c r="W412" s="20" t="s">
        <v>54</v>
      </c>
      <c r="X412" s="21"/>
      <c r="Y412" s="19">
        <f>VLOOKUP(F412,[2]New!$B:$G,3,0)*K412/60</f>
        <v>949.58333333333337</v>
      </c>
      <c r="Z412" s="19">
        <f>VLOOKUP(F412,[2]New!$B:$G,4,0)*K412/60</f>
        <v>2418.75</v>
      </c>
      <c r="AA412" s="19">
        <f>VLOOKUP(F412,[2]New!$B:$G,6,0)*K412/60</f>
        <v>2544.1666666666665</v>
      </c>
      <c r="AB412" s="44">
        <f>VLOOKUP(A412,'[4]PO CAG'!$A:$L,12,0)</f>
        <v>46268</v>
      </c>
      <c r="AC412" s="22">
        <f>IFERROR(VLOOKUP(F412,[3]Sheet1!$E:$H,4,0),)</f>
        <v>0</v>
      </c>
      <c r="AD412" s="144"/>
      <c r="AE412" s="25" t="s">
        <v>4002</v>
      </c>
      <c r="AF412" s="382">
        <v>0</v>
      </c>
      <c r="AG412" s="135"/>
      <c r="AH412" s="135"/>
      <c r="AJ412" s="267" t="s">
        <v>152</v>
      </c>
      <c r="AN412" s="278">
        <v>3</v>
      </c>
      <c r="AO412" s="278">
        <v>3</v>
      </c>
      <c r="AP412" s="278">
        <v>3</v>
      </c>
      <c r="AQ412" s="278">
        <v>3</v>
      </c>
    </row>
    <row r="413" spans="1:43">
      <c r="A413" s="135" t="s">
        <v>3223</v>
      </c>
      <c r="B413" s="135" t="s">
        <v>3735</v>
      </c>
      <c r="C413" s="135" t="s">
        <v>3488</v>
      </c>
      <c r="D413" s="46">
        <v>11135418</v>
      </c>
      <c r="E413" s="20" t="s">
        <v>3225</v>
      </c>
      <c r="F413" s="20" t="s">
        <v>3226</v>
      </c>
      <c r="G413" s="24">
        <v>64</v>
      </c>
      <c r="H413" s="21">
        <v>46261</v>
      </c>
      <c r="I413" s="53" t="s">
        <v>3489</v>
      </c>
      <c r="J413" s="24" t="s">
        <v>3490</v>
      </c>
      <c r="K413" s="24">
        <v>64</v>
      </c>
      <c r="L413" s="46">
        <v>12129626</v>
      </c>
      <c r="M413" s="20" t="s">
        <v>96</v>
      </c>
      <c r="N413" s="38">
        <v>0</v>
      </c>
      <c r="O413" s="38">
        <v>0</v>
      </c>
      <c r="P413" s="20" t="s">
        <v>3227</v>
      </c>
      <c r="Q413" s="20">
        <v>0</v>
      </c>
      <c r="R413" s="40">
        <v>46251</v>
      </c>
      <c r="S413" s="20">
        <v>0</v>
      </c>
      <c r="T413" s="20">
        <v>0</v>
      </c>
      <c r="U413" s="40">
        <v>46252</v>
      </c>
      <c r="V413" s="40">
        <v>46252</v>
      </c>
      <c r="W413" s="20" t="s">
        <v>54</v>
      </c>
      <c r="X413" s="21"/>
      <c r="Y413" s="19">
        <f>VLOOKUP(F413,[2]New!$B:$G,3,0)*K413/60</f>
        <v>45.226666666666667</v>
      </c>
      <c r="Z413" s="19">
        <f>VLOOKUP(F413,[2]New!$B:$G,4,0)*K413/60</f>
        <v>125.76</v>
      </c>
      <c r="AA413" s="19">
        <f>VLOOKUP(F413,[2]New!$B:$G,6,0)*K413/60</f>
        <v>61.866666666666667</v>
      </c>
      <c r="AB413" s="44">
        <f>VLOOKUP(A413,'[4]PO CAG'!$A:$L,12,0)</f>
        <v>46269</v>
      </c>
      <c r="AC413" s="22">
        <f>IFERROR(VLOOKUP(F413,[3]Sheet1!$E:$H,4,0),)</f>
        <v>0</v>
      </c>
      <c r="AD413" s="144"/>
      <c r="AE413" s="25" t="s">
        <v>4002</v>
      </c>
      <c r="AF413" s="382">
        <v>0</v>
      </c>
      <c r="AG413" s="135"/>
      <c r="AH413" s="135"/>
      <c r="AJ413" s="267" t="s">
        <v>152</v>
      </c>
      <c r="AN413" s="278">
        <v>1</v>
      </c>
      <c r="AO413" s="278">
        <v>1</v>
      </c>
      <c r="AP413" s="278" t="s">
        <v>113</v>
      </c>
      <c r="AQ413" s="278" t="s">
        <v>113</v>
      </c>
    </row>
    <row r="414" spans="1:43">
      <c r="A414" s="135" t="s">
        <v>3491</v>
      </c>
      <c r="B414" s="135" t="s">
        <v>3736</v>
      </c>
      <c r="C414" s="135" t="s">
        <v>3492</v>
      </c>
      <c r="D414" s="46">
        <v>11135419</v>
      </c>
      <c r="E414" s="20" t="s">
        <v>3493</v>
      </c>
      <c r="F414" s="20" t="s">
        <v>3494</v>
      </c>
      <c r="G414" s="24">
        <v>48</v>
      </c>
      <c r="H414" s="21">
        <v>46261</v>
      </c>
      <c r="I414" s="53" t="s">
        <v>3495</v>
      </c>
      <c r="J414" s="24" t="s">
        <v>3496</v>
      </c>
      <c r="K414" s="24">
        <v>48</v>
      </c>
      <c r="L414" s="46">
        <v>12129627</v>
      </c>
      <c r="M414" s="20" t="s">
        <v>95</v>
      </c>
      <c r="N414" s="38">
        <v>0</v>
      </c>
      <c r="O414" s="38">
        <v>0</v>
      </c>
      <c r="P414" s="20" t="s">
        <v>3227</v>
      </c>
      <c r="Q414" s="20">
        <v>0</v>
      </c>
      <c r="R414" s="40">
        <v>46251</v>
      </c>
      <c r="S414" s="20">
        <v>0</v>
      </c>
      <c r="T414" s="20">
        <v>0</v>
      </c>
      <c r="U414" s="40">
        <v>46252</v>
      </c>
      <c r="V414" s="40">
        <v>46252</v>
      </c>
      <c r="W414" s="20" t="s">
        <v>54</v>
      </c>
      <c r="X414" s="21"/>
      <c r="Y414" s="19">
        <f>VLOOKUP(F414,[2]New!$B:$G,3,0)*K414/60</f>
        <v>33.919999999999995</v>
      </c>
      <c r="Z414" s="19">
        <f>VLOOKUP(F414,[2]New!$B:$G,4,0)*K414/60</f>
        <v>94.320000000000007</v>
      </c>
      <c r="AA414" s="19">
        <f>VLOOKUP(F414,[2]New!$B:$G,6,0)*K414/60</f>
        <v>46.4</v>
      </c>
      <c r="AB414" s="44">
        <f>VLOOKUP(A414,'[4]PO CAG'!$A:$L,12,0)</f>
        <v>46269</v>
      </c>
      <c r="AC414" s="22">
        <f>IFERROR(VLOOKUP(F414,[3]Sheet1!$E:$H,4,0),)</f>
        <v>0</v>
      </c>
      <c r="AD414" s="144"/>
      <c r="AE414" s="25" t="s">
        <v>4002</v>
      </c>
      <c r="AF414" s="382">
        <v>0</v>
      </c>
      <c r="AG414" s="135"/>
      <c r="AH414" s="135"/>
      <c r="AJ414" s="267" t="s">
        <v>152</v>
      </c>
      <c r="AN414" s="278">
        <v>1</v>
      </c>
      <c r="AO414" s="278">
        <v>1</v>
      </c>
      <c r="AP414" s="278" t="s">
        <v>113</v>
      </c>
      <c r="AQ414" s="278" t="s">
        <v>113</v>
      </c>
    </row>
    <row r="415" spans="1:43">
      <c r="A415" s="135" t="s">
        <v>3497</v>
      </c>
      <c r="B415" s="135" t="s">
        <v>3737</v>
      </c>
      <c r="C415" s="135" t="s">
        <v>3498</v>
      </c>
      <c r="D415" s="46">
        <v>11122087</v>
      </c>
      <c r="E415" s="20" t="s">
        <v>196</v>
      </c>
      <c r="F415" s="20" t="s">
        <v>197</v>
      </c>
      <c r="G415" s="24">
        <v>799</v>
      </c>
      <c r="H415" s="21">
        <v>46261</v>
      </c>
      <c r="I415" s="53" t="s">
        <v>3499</v>
      </c>
      <c r="J415" s="24" t="s">
        <v>3500</v>
      </c>
      <c r="K415" s="24">
        <v>799</v>
      </c>
      <c r="L415" s="46">
        <v>12129626</v>
      </c>
      <c r="M415" s="20" t="s">
        <v>96</v>
      </c>
      <c r="N415" s="38">
        <v>0</v>
      </c>
      <c r="O415" s="38">
        <v>0</v>
      </c>
      <c r="P415" s="20" t="s">
        <v>94</v>
      </c>
      <c r="Q415" s="20">
        <v>0</v>
      </c>
      <c r="R415" s="40">
        <v>46251</v>
      </c>
      <c r="S415" s="20">
        <v>0</v>
      </c>
      <c r="T415" s="20">
        <v>0</v>
      </c>
      <c r="U415" s="40">
        <v>46252</v>
      </c>
      <c r="V415" s="40">
        <v>46252</v>
      </c>
      <c r="W415" s="20" t="s">
        <v>54</v>
      </c>
      <c r="X415" s="21"/>
      <c r="Y415" s="19">
        <f>VLOOKUP(F415,[2]New!$B:$G,3,0)*K415/60</f>
        <v>719.1</v>
      </c>
      <c r="Z415" s="19">
        <f>VLOOKUP(F415,[2]New!$B:$G,4,0)*K415/60</f>
        <v>1797.75</v>
      </c>
      <c r="AA415" s="19">
        <f>VLOOKUP(F415,[2]New!$B:$G,6,0)*K415/60</f>
        <v>1787.0966666666666</v>
      </c>
      <c r="AB415" s="44">
        <f>VLOOKUP(A415,'[4]PO CAG'!$A:$L,12,0)</f>
        <v>46268</v>
      </c>
      <c r="AC415" s="22">
        <f>IFERROR(VLOOKUP(F415,[3]Sheet1!$E:$H,4,0),)</f>
        <v>0</v>
      </c>
      <c r="AD415" s="144"/>
      <c r="AE415" s="25" t="s">
        <v>4002</v>
      </c>
      <c r="AF415" s="382">
        <v>0</v>
      </c>
      <c r="AG415" s="135"/>
      <c r="AH415" s="135"/>
      <c r="AJ415" s="267" t="s">
        <v>152</v>
      </c>
      <c r="AN415" s="278">
        <v>3</v>
      </c>
      <c r="AO415" s="278">
        <v>3</v>
      </c>
      <c r="AP415" s="278">
        <v>3</v>
      </c>
      <c r="AQ415" s="278">
        <v>3</v>
      </c>
    </row>
    <row r="416" spans="1:43">
      <c r="A416" s="135" t="s">
        <v>3501</v>
      </c>
      <c r="B416" s="135" t="s">
        <v>3738</v>
      </c>
      <c r="C416" s="135" t="s">
        <v>3502</v>
      </c>
      <c r="D416" s="46">
        <v>11122088</v>
      </c>
      <c r="E416" s="20" t="s">
        <v>194</v>
      </c>
      <c r="F416" s="20" t="s">
        <v>195</v>
      </c>
      <c r="G416" s="24">
        <v>160</v>
      </c>
      <c r="H416" s="21">
        <v>46261</v>
      </c>
      <c r="I416" s="53" t="s">
        <v>3503</v>
      </c>
      <c r="J416" s="24" t="s">
        <v>3504</v>
      </c>
      <c r="K416" s="24">
        <v>160</v>
      </c>
      <c r="L416" s="46">
        <v>12129627</v>
      </c>
      <c r="M416" s="20" t="s">
        <v>95</v>
      </c>
      <c r="N416" s="38">
        <v>0</v>
      </c>
      <c r="O416" s="38">
        <v>0</v>
      </c>
      <c r="P416" s="20" t="s">
        <v>94</v>
      </c>
      <c r="Q416" s="20">
        <v>0</v>
      </c>
      <c r="R416" s="40">
        <v>46251</v>
      </c>
      <c r="S416" s="20">
        <v>0</v>
      </c>
      <c r="T416" s="20">
        <v>0</v>
      </c>
      <c r="U416" s="40">
        <v>46252</v>
      </c>
      <c r="V416" s="40">
        <v>46252</v>
      </c>
      <c r="W416" s="20" t="s">
        <v>54</v>
      </c>
      <c r="X416" s="21"/>
      <c r="Y416" s="19">
        <f>VLOOKUP(F416,[2]New!$B:$G,3,0)*K416/60</f>
        <v>144</v>
      </c>
      <c r="Z416" s="19">
        <f>VLOOKUP(F416,[2]New!$B:$G,4,0)*K416/60</f>
        <v>360</v>
      </c>
      <c r="AA416" s="19">
        <f>VLOOKUP(F416,[2]New!$B:$G,6,0)*K416/60</f>
        <v>357.86666666666667</v>
      </c>
      <c r="AB416" s="44">
        <f>VLOOKUP(A416,'[4]PO CAG'!$A:$L,12,0)</f>
        <v>46268</v>
      </c>
      <c r="AC416" s="22">
        <f>IFERROR(VLOOKUP(F416,[3]Sheet1!$E:$H,4,0),)</f>
        <v>0</v>
      </c>
      <c r="AD416" s="144"/>
      <c r="AE416" s="25" t="s">
        <v>4002</v>
      </c>
      <c r="AF416" s="382">
        <v>0</v>
      </c>
      <c r="AG416" s="135"/>
      <c r="AH416" s="135"/>
      <c r="AJ416" s="267" t="s">
        <v>152</v>
      </c>
      <c r="AN416" s="278">
        <v>3</v>
      </c>
      <c r="AO416" s="278">
        <v>3</v>
      </c>
      <c r="AP416" s="278">
        <v>3</v>
      </c>
      <c r="AQ416" s="278">
        <v>3</v>
      </c>
    </row>
    <row r="417" spans="1:43">
      <c r="A417" s="135" t="s">
        <v>3505</v>
      </c>
      <c r="B417" s="135" t="s">
        <v>3739</v>
      </c>
      <c r="C417" s="135" t="s">
        <v>3506</v>
      </c>
      <c r="D417" s="46">
        <v>11125154</v>
      </c>
      <c r="E417" s="20" t="s">
        <v>3507</v>
      </c>
      <c r="F417" s="20" t="s">
        <v>3508</v>
      </c>
      <c r="G417" s="24">
        <v>196</v>
      </c>
      <c r="H417" s="21">
        <v>46261</v>
      </c>
      <c r="I417" s="53" t="s">
        <v>3509</v>
      </c>
      <c r="J417" s="24" t="s">
        <v>3510</v>
      </c>
      <c r="K417" s="24">
        <v>196</v>
      </c>
      <c r="L417" s="46">
        <v>12120613</v>
      </c>
      <c r="M417" s="20" t="s">
        <v>3514</v>
      </c>
      <c r="N417" s="38">
        <v>0</v>
      </c>
      <c r="O417" s="38">
        <v>0</v>
      </c>
      <c r="P417" s="20" t="s">
        <v>469</v>
      </c>
      <c r="Q417" s="20">
        <v>0</v>
      </c>
      <c r="R417" s="40">
        <v>46251</v>
      </c>
      <c r="S417" s="20">
        <v>0</v>
      </c>
      <c r="T417" s="20">
        <v>0</v>
      </c>
      <c r="U417" s="40">
        <v>46252</v>
      </c>
      <c r="V417" s="40">
        <v>46252</v>
      </c>
      <c r="W417" s="20" t="s">
        <v>54</v>
      </c>
      <c r="X417" s="21"/>
      <c r="Y417" s="19">
        <f>VLOOKUP(F417,[2]New!$B:$G,3,0)*K417/60</f>
        <v>176.4</v>
      </c>
      <c r="Z417" s="19">
        <f>VLOOKUP(F417,[2]New!$B:$G,4,0)*K417/60</f>
        <v>604.33333333333337</v>
      </c>
      <c r="AA417" s="19">
        <f>VLOOKUP(F417,[2]New!$B:$G,6,0)*K417/60</f>
        <v>437.73333333333335</v>
      </c>
      <c r="AB417" s="44">
        <f>VLOOKUP(A417,'[4]PO CAG'!$A:$L,12,0)</f>
        <v>46269</v>
      </c>
      <c r="AC417" s="22">
        <f>IFERROR(VLOOKUP(F417,[3]Sheet1!$E:$H,4,0),)</f>
        <v>0</v>
      </c>
      <c r="AD417" s="144"/>
      <c r="AE417" s="25" t="s">
        <v>5351</v>
      </c>
      <c r="AF417" s="382">
        <v>0</v>
      </c>
      <c r="AG417" s="135"/>
      <c r="AH417" s="135"/>
      <c r="AJ417" s="267" t="s">
        <v>152</v>
      </c>
      <c r="AN417" s="278">
        <v>1</v>
      </c>
      <c r="AO417" s="278">
        <v>1</v>
      </c>
      <c r="AP417" s="278">
        <v>1</v>
      </c>
      <c r="AQ417" s="278">
        <v>1</v>
      </c>
    </row>
    <row r="418" spans="1:43">
      <c r="A418" s="135" t="s">
        <v>3515</v>
      </c>
      <c r="B418" s="135" t="s">
        <v>3680</v>
      </c>
      <c r="C418" s="135" t="s">
        <v>3516</v>
      </c>
      <c r="D418" s="46">
        <v>11135423</v>
      </c>
      <c r="E418" s="20" t="s">
        <v>3517</v>
      </c>
      <c r="F418" s="20" t="s">
        <v>3518</v>
      </c>
      <c r="G418" s="24">
        <v>1</v>
      </c>
      <c r="H418" s="21">
        <v>46260</v>
      </c>
      <c r="I418" s="53" t="s">
        <v>3519</v>
      </c>
      <c r="J418" s="24" t="s">
        <v>3520</v>
      </c>
      <c r="K418" s="24">
        <v>1</v>
      </c>
      <c r="L418" s="46">
        <v>12116048</v>
      </c>
      <c r="M418" s="20" t="s">
        <v>3665</v>
      </c>
      <c r="N418" s="38">
        <v>0</v>
      </c>
      <c r="O418" s="38">
        <v>0</v>
      </c>
      <c r="P418" s="20" t="s">
        <v>3227</v>
      </c>
      <c r="Q418" s="20">
        <v>0</v>
      </c>
      <c r="R418" s="40">
        <v>46249</v>
      </c>
      <c r="S418" s="20">
        <v>0</v>
      </c>
      <c r="T418" s="20">
        <v>0</v>
      </c>
      <c r="U418" s="40">
        <v>46251</v>
      </c>
      <c r="V418" s="40">
        <v>46251</v>
      </c>
      <c r="W418" s="20" t="s">
        <v>57</v>
      </c>
      <c r="X418" s="21"/>
      <c r="Y418" s="19">
        <f>VLOOKUP(F418,[2]New!$B:$G,3,0)*K418/60</f>
        <v>0.36666666666666664</v>
      </c>
      <c r="Z418" s="19">
        <f>VLOOKUP(F418,[2]New!$B:$G,4,0)*K418/60</f>
        <v>1.9650000000000001</v>
      </c>
      <c r="AA418" s="19">
        <f>VLOOKUP(F418,[2]New!$B:$G,6,0)*K418/60</f>
        <v>1.9166666666666667</v>
      </c>
      <c r="AB418" s="44">
        <f>VLOOKUP(A418,'[4]PO CAG'!$A:$L,12,0)</f>
        <v>46269</v>
      </c>
      <c r="AC418" s="22">
        <f>IFERROR(VLOOKUP(F418,[3]Sheet1!$E:$H,4,0),)</f>
        <v>0</v>
      </c>
      <c r="AD418" s="144"/>
      <c r="AE418" s="25" t="s">
        <v>4713</v>
      </c>
      <c r="AF418" s="382">
        <v>1</v>
      </c>
      <c r="AG418" s="135"/>
      <c r="AH418" s="135"/>
      <c r="AJ418" s="267" t="s">
        <v>153</v>
      </c>
      <c r="AN418" s="278">
        <v>2</v>
      </c>
      <c r="AO418" s="278">
        <v>2</v>
      </c>
      <c r="AP418" s="278">
        <v>2</v>
      </c>
      <c r="AQ418" s="278">
        <v>2</v>
      </c>
    </row>
    <row r="419" spans="1:43">
      <c r="A419" s="135" t="s">
        <v>3521</v>
      </c>
      <c r="B419" s="359" t="s">
        <v>3681</v>
      </c>
      <c r="C419" s="359" t="s">
        <v>3522</v>
      </c>
      <c r="D419" s="360">
        <v>11135559</v>
      </c>
      <c r="E419" s="361" t="s">
        <v>3523</v>
      </c>
      <c r="F419" s="361" t="s">
        <v>3524</v>
      </c>
      <c r="G419" s="245">
        <v>1</v>
      </c>
      <c r="H419" s="362">
        <v>46260</v>
      </c>
      <c r="I419" s="363" t="s">
        <v>3525</v>
      </c>
      <c r="J419" s="245" t="s">
        <v>3526</v>
      </c>
      <c r="K419" s="245">
        <v>1</v>
      </c>
      <c r="L419" s="360">
        <v>12116174</v>
      </c>
      <c r="M419" s="361" t="s">
        <v>3666</v>
      </c>
      <c r="N419" s="391">
        <v>0</v>
      </c>
      <c r="O419" s="391">
        <v>0</v>
      </c>
      <c r="P419" s="361" t="s">
        <v>3227</v>
      </c>
      <c r="Q419" s="361">
        <v>0</v>
      </c>
      <c r="R419" s="392">
        <v>46249</v>
      </c>
      <c r="S419" s="361">
        <v>0</v>
      </c>
      <c r="T419" s="361">
        <v>0</v>
      </c>
      <c r="U419" s="392">
        <v>46251</v>
      </c>
      <c r="V419" s="392">
        <v>46251</v>
      </c>
      <c r="W419" s="361" t="s">
        <v>57</v>
      </c>
      <c r="X419" s="362"/>
      <c r="Y419" s="393">
        <f>VLOOKUP(F419,[2]New!$B:$G,3,0)*K419/60</f>
        <v>1.4383333333333332</v>
      </c>
      <c r="Z419" s="393">
        <f>VLOOKUP(F419,[2]New!$B:$G,4,0)*K419/60</f>
        <v>1.6333333333333333</v>
      </c>
      <c r="AA419" s="393">
        <f>VLOOKUP(F419,[2]New!$B:$G,6,0)*K419/60</f>
        <v>3.25</v>
      </c>
      <c r="AB419" s="394">
        <f>VLOOKUP(A419,'[4]PO CAG'!$A:$L,12,0)</f>
        <v>46269</v>
      </c>
      <c r="AC419" s="22">
        <f>IFERROR(VLOOKUP(F419,[3]Sheet1!$E:$H,4,0),)</f>
        <v>0</v>
      </c>
      <c r="AD419" s="144" t="s">
        <v>5368</v>
      </c>
      <c r="AE419" s="25" t="s">
        <v>4004</v>
      </c>
      <c r="AF419" s="382">
        <v>1</v>
      </c>
      <c r="AG419" s="135"/>
      <c r="AH419" s="135"/>
      <c r="AN419" s="278">
        <v>2</v>
      </c>
      <c r="AO419" s="278">
        <v>2</v>
      </c>
      <c r="AP419" s="278">
        <v>2</v>
      </c>
      <c r="AQ419" s="278">
        <v>2</v>
      </c>
    </row>
    <row r="420" spans="1:43">
      <c r="A420" s="135" t="s">
        <v>3527</v>
      </c>
      <c r="B420" s="135" t="s">
        <v>3682</v>
      </c>
      <c r="C420" s="135" t="s">
        <v>3528</v>
      </c>
      <c r="D420" s="46">
        <v>11135627</v>
      </c>
      <c r="E420" s="20" t="s">
        <v>3529</v>
      </c>
      <c r="F420" s="20" t="s">
        <v>3530</v>
      </c>
      <c r="G420" s="24">
        <v>2</v>
      </c>
      <c r="H420" s="21">
        <v>46260</v>
      </c>
      <c r="I420" s="53" t="s">
        <v>3531</v>
      </c>
      <c r="J420" s="24" t="s">
        <v>3532</v>
      </c>
      <c r="K420" s="24">
        <v>2</v>
      </c>
      <c r="L420" s="46">
        <v>12116142</v>
      </c>
      <c r="M420" s="20" t="s">
        <v>102</v>
      </c>
      <c r="N420" s="38">
        <v>0</v>
      </c>
      <c r="O420" s="38">
        <v>0</v>
      </c>
      <c r="P420" s="20" t="s">
        <v>3227</v>
      </c>
      <c r="Q420" s="20">
        <v>0</v>
      </c>
      <c r="R420" s="40">
        <v>46249</v>
      </c>
      <c r="S420" s="20">
        <v>0</v>
      </c>
      <c r="T420" s="20">
        <v>0</v>
      </c>
      <c r="U420" s="40">
        <v>46251</v>
      </c>
      <c r="V420" s="40">
        <v>46251</v>
      </c>
      <c r="W420" s="20" t="s">
        <v>57</v>
      </c>
      <c r="X420" s="21"/>
      <c r="Y420" s="19">
        <f>VLOOKUP(F420,[2]New!$B:$G,3,0)*K420/60</f>
        <v>2.8766666666666665</v>
      </c>
      <c r="Z420" s="19">
        <f>VLOOKUP(F420,[2]New!$B:$G,4,0)*K420/60</f>
        <v>3.2666666666666666</v>
      </c>
      <c r="AA420" s="19">
        <f>VLOOKUP(F420,[2]New!$B:$G,6,0)*K420/60</f>
        <v>6.5</v>
      </c>
      <c r="AB420" s="44">
        <f>VLOOKUP(A420,'[4]PO CAG'!$A:$L,12,0)</f>
        <v>46269</v>
      </c>
      <c r="AC420" s="22">
        <f>IFERROR(VLOOKUP(F420,[3]Sheet1!$E:$H,4,0),)</f>
        <v>0</v>
      </c>
      <c r="AD420" s="144"/>
      <c r="AE420" s="25" t="s">
        <v>4713</v>
      </c>
      <c r="AF420" s="382">
        <v>1</v>
      </c>
      <c r="AG420" s="135"/>
      <c r="AH420" s="135"/>
      <c r="AJ420" s="267" t="s">
        <v>153</v>
      </c>
      <c r="AN420" s="278">
        <v>2</v>
      </c>
      <c r="AO420" s="278">
        <v>2</v>
      </c>
      <c r="AP420" s="278">
        <v>2</v>
      </c>
      <c r="AQ420" s="278">
        <v>2</v>
      </c>
    </row>
    <row r="421" spans="1:43">
      <c r="A421" s="135" t="s">
        <v>3533</v>
      </c>
      <c r="B421" s="135" t="s">
        <v>3683</v>
      </c>
      <c r="C421" s="135" t="s">
        <v>3534</v>
      </c>
      <c r="D421" s="46">
        <v>11135499</v>
      </c>
      <c r="E421" s="20" t="s">
        <v>3535</v>
      </c>
      <c r="F421" s="20" t="s">
        <v>3536</v>
      </c>
      <c r="G421" s="24">
        <v>3</v>
      </c>
      <c r="H421" s="21">
        <v>46260</v>
      </c>
      <c r="I421" s="53" t="s">
        <v>3537</v>
      </c>
      <c r="J421" s="24" t="s">
        <v>3538</v>
      </c>
      <c r="K421" s="24">
        <v>3</v>
      </c>
      <c r="L421" s="46">
        <v>12116026</v>
      </c>
      <c r="M421" s="20" t="s">
        <v>99</v>
      </c>
      <c r="N421" s="38">
        <v>0</v>
      </c>
      <c r="O421" s="38">
        <v>0</v>
      </c>
      <c r="P421" s="20" t="s">
        <v>3227</v>
      </c>
      <c r="Q421" s="20">
        <v>0</v>
      </c>
      <c r="R421" s="40">
        <v>46249</v>
      </c>
      <c r="S421" s="20">
        <v>0</v>
      </c>
      <c r="T421" s="20">
        <v>0</v>
      </c>
      <c r="U421" s="40">
        <v>46251</v>
      </c>
      <c r="V421" s="40">
        <v>46251</v>
      </c>
      <c r="W421" s="20" t="s">
        <v>57</v>
      </c>
      <c r="X421" s="21"/>
      <c r="Y421" s="19">
        <f>VLOOKUP(F421,[2]New!$B:$G,3,0)*K421/60</f>
        <v>1.1000000000000001</v>
      </c>
      <c r="Z421" s="19">
        <f>VLOOKUP(F421,[2]New!$B:$G,4,0)*K421/60</f>
        <v>5.8950000000000005</v>
      </c>
      <c r="AA421" s="19">
        <f>VLOOKUP(F421,[2]New!$B:$G,6,0)*K421/60</f>
        <v>5.75</v>
      </c>
      <c r="AB421" s="44">
        <f>VLOOKUP(A421,'[4]PO CAG'!$A:$L,12,0)</f>
        <v>46269</v>
      </c>
      <c r="AC421" s="22">
        <f>IFERROR(VLOOKUP(F421,[3]Sheet1!$E:$H,4,0),)</f>
        <v>0</v>
      </c>
      <c r="AD421" s="144"/>
      <c r="AE421" s="25" t="s">
        <v>4713</v>
      </c>
      <c r="AF421" s="382">
        <v>1</v>
      </c>
      <c r="AG421" s="135"/>
      <c r="AH421" s="135"/>
      <c r="AJ421" s="267" t="s">
        <v>153</v>
      </c>
      <c r="AN421" s="278">
        <v>2</v>
      </c>
      <c r="AO421" s="278">
        <v>2</v>
      </c>
      <c r="AP421" s="278">
        <v>2</v>
      </c>
      <c r="AQ421" s="278">
        <v>2</v>
      </c>
    </row>
    <row r="422" spans="1:43">
      <c r="A422" s="135" t="s">
        <v>3539</v>
      </c>
      <c r="B422" s="135" t="s">
        <v>3684</v>
      </c>
      <c r="C422" s="135" t="s">
        <v>3540</v>
      </c>
      <c r="D422" s="46">
        <v>11135473</v>
      </c>
      <c r="E422" s="20" t="s">
        <v>3541</v>
      </c>
      <c r="F422" s="20" t="s">
        <v>3542</v>
      </c>
      <c r="G422" s="24">
        <v>8</v>
      </c>
      <c r="H422" s="21">
        <v>46260</v>
      </c>
      <c r="I422" s="53" t="s">
        <v>3543</v>
      </c>
      <c r="J422" s="24" t="s">
        <v>3544</v>
      </c>
      <c r="K422" s="24">
        <v>8</v>
      </c>
      <c r="L422" s="46">
        <v>12116006</v>
      </c>
      <c r="M422" s="20" t="s">
        <v>97</v>
      </c>
      <c r="N422" s="38">
        <v>0</v>
      </c>
      <c r="O422" s="38">
        <v>0</v>
      </c>
      <c r="P422" s="20" t="s">
        <v>3227</v>
      </c>
      <c r="Q422" s="20">
        <v>0</v>
      </c>
      <c r="R422" s="40">
        <v>46249</v>
      </c>
      <c r="S422" s="20">
        <v>0</v>
      </c>
      <c r="T422" s="20">
        <v>0</v>
      </c>
      <c r="U422" s="40">
        <v>46251</v>
      </c>
      <c r="V422" s="40">
        <v>46251</v>
      </c>
      <c r="W422" s="20" t="s">
        <v>57</v>
      </c>
      <c r="X422" s="21"/>
      <c r="Y422" s="19">
        <f>VLOOKUP(F422,[2]New!$B:$G,3,0)*K422/60</f>
        <v>2.9333333333333331</v>
      </c>
      <c r="Z422" s="19">
        <f>VLOOKUP(F422,[2]New!$B:$G,4,0)*K422/60</f>
        <v>15.72</v>
      </c>
      <c r="AA422" s="19">
        <f>VLOOKUP(F422,[2]New!$B:$G,6,0)*K422/60</f>
        <v>15.333333333333334</v>
      </c>
      <c r="AB422" s="44">
        <f>VLOOKUP(A422,'[4]PO CAG'!$A:$L,12,0)</f>
        <v>46269</v>
      </c>
      <c r="AC422" s="22">
        <f>IFERROR(VLOOKUP(F422,[3]Sheet1!$E:$H,4,0),)</f>
        <v>0</v>
      </c>
      <c r="AD422" s="144"/>
      <c r="AE422" s="25" t="s">
        <v>4713</v>
      </c>
      <c r="AF422" s="382">
        <v>1</v>
      </c>
      <c r="AG422" s="135"/>
      <c r="AH422" s="135"/>
      <c r="AJ422" s="267" t="s">
        <v>153</v>
      </c>
      <c r="AN422" s="278">
        <v>2</v>
      </c>
      <c r="AO422" s="278">
        <v>2</v>
      </c>
      <c r="AP422" s="278">
        <v>2</v>
      </c>
      <c r="AQ422" s="278">
        <v>2</v>
      </c>
    </row>
    <row r="423" spans="1:43">
      <c r="A423" s="135" t="s">
        <v>3545</v>
      </c>
      <c r="B423" s="135" t="s">
        <v>3685</v>
      </c>
      <c r="C423" s="135" t="s">
        <v>3546</v>
      </c>
      <c r="D423" s="46">
        <v>11135473</v>
      </c>
      <c r="E423" s="20" t="s">
        <v>3541</v>
      </c>
      <c r="F423" s="20" t="s">
        <v>3542</v>
      </c>
      <c r="G423" s="24">
        <v>9</v>
      </c>
      <c r="H423" s="21">
        <v>46260</v>
      </c>
      <c r="I423" s="53" t="s">
        <v>3547</v>
      </c>
      <c r="J423" s="24" t="s">
        <v>3548</v>
      </c>
      <c r="K423" s="24">
        <v>9</v>
      </c>
      <c r="L423" s="46">
        <v>12116006</v>
      </c>
      <c r="M423" s="20" t="s">
        <v>97</v>
      </c>
      <c r="N423" s="38">
        <v>0</v>
      </c>
      <c r="O423" s="38">
        <v>0</v>
      </c>
      <c r="P423" s="20" t="s">
        <v>3227</v>
      </c>
      <c r="Q423" s="20">
        <v>0</v>
      </c>
      <c r="R423" s="40">
        <v>46249</v>
      </c>
      <c r="S423" s="20">
        <v>0</v>
      </c>
      <c r="T423" s="20">
        <v>0</v>
      </c>
      <c r="U423" s="40">
        <v>46251</v>
      </c>
      <c r="V423" s="40">
        <v>46251</v>
      </c>
      <c r="W423" s="20" t="s">
        <v>57</v>
      </c>
      <c r="X423" s="21"/>
      <c r="Y423" s="19">
        <f>VLOOKUP(F423,[2]New!$B:$G,3,0)*K423/60</f>
        <v>3.3</v>
      </c>
      <c r="Z423" s="19">
        <f>VLOOKUP(F423,[2]New!$B:$G,4,0)*K423/60</f>
        <v>17.685000000000002</v>
      </c>
      <c r="AA423" s="19">
        <f>VLOOKUP(F423,[2]New!$B:$G,6,0)*K423/60</f>
        <v>17.25</v>
      </c>
      <c r="AB423" s="44">
        <f>VLOOKUP(A423,'[4]PO CAG'!$A:$L,12,0)</f>
        <v>46269</v>
      </c>
      <c r="AC423" s="22">
        <f>IFERROR(VLOOKUP(F423,[3]Sheet1!$E:$H,4,0),)</f>
        <v>0</v>
      </c>
      <c r="AD423" s="144"/>
      <c r="AE423" s="25" t="s">
        <v>4713</v>
      </c>
      <c r="AF423" s="382">
        <v>1</v>
      </c>
      <c r="AG423" s="135"/>
      <c r="AH423" s="135"/>
      <c r="AJ423" s="267" t="s">
        <v>153</v>
      </c>
      <c r="AN423" s="278">
        <v>2</v>
      </c>
      <c r="AO423" s="278">
        <v>2</v>
      </c>
      <c r="AP423" s="278">
        <v>2</v>
      </c>
      <c r="AQ423" s="278">
        <v>2</v>
      </c>
    </row>
    <row r="424" spans="1:43">
      <c r="A424" s="135" t="s">
        <v>3549</v>
      </c>
      <c r="B424" s="135" t="s">
        <v>3686</v>
      </c>
      <c r="C424" s="135" t="s">
        <v>3550</v>
      </c>
      <c r="D424" s="46">
        <v>11135605</v>
      </c>
      <c r="E424" s="20" t="s">
        <v>3551</v>
      </c>
      <c r="F424" s="20" t="s">
        <v>3552</v>
      </c>
      <c r="G424" s="24">
        <v>10</v>
      </c>
      <c r="H424" s="21">
        <v>46260</v>
      </c>
      <c r="I424" s="53" t="s">
        <v>3553</v>
      </c>
      <c r="J424" s="24" t="s">
        <v>3554</v>
      </c>
      <c r="K424" s="24">
        <v>10</v>
      </c>
      <c r="L424" s="46">
        <v>12116118</v>
      </c>
      <c r="M424" s="20" t="s">
        <v>3327</v>
      </c>
      <c r="N424" s="38">
        <v>0</v>
      </c>
      <c r="O424" s="38">
        <v>0</v>
      </c>
      <c r="P424" s="20" t="s">
        <v>3227</v>
      </c>
      <c r="Q424" s="20">
        <v>0</v>
      </c>
      <c r="R424" s="40">
        <v>46249</v>
      </c>
      <c r="S424" s="20">
        <v>0</v>
      </c>
      <c r="T424" s="20">
        <v>0</v>
      </c>
      <c r="U424" s="40">
        <v>46251</v>
      </c>
      <c r="V424" s="40">
        <v>46251</v>
      </c>
      <c r="W424" s="20" t="s">
        <v>57</v>
      </c>
      <c r="X424" s="21"/>
      <c r="Y424" s="19">
        <f>VLOOKUP(F424,[2]New!$B:$G,3,0)*K424/60</f>
        <v>14.383333333333333</v>
      </c>
      <c r="Z424" s="19">
        <f>VLOOKUP(F424,[2]New!$B:$G,4,0)*K424/60</f>
        <v>16.333333333333332</v>
      </c>
      <c r="AA424" s="19">
        <f>VLOOKUP(F424,[2]New!$B:$G,6,0)*K424/60</f>
        <v>32.5</v>
      </c>
      <c r="AB424" s="44">
        <f>VLOOKUP(A424,'[4]PO CAG'!$A:$L,12,0)</f>
        <v>46269</v>
      </c>
      <c r="AC424" s="22">
        <f>IFERROR(VLOOKUP(F424,[3]Sheet1!$E:$H,4,0),)</f>
        <v>0</v>
      </c>
      <c r="AD424" s="144"/>
      <c r="AE424" s="25" t="s">
        <v>4713</v>
      </c>
      <c r="AF424" s="382">
        <v>1</v>
      </c>
      <c r="AG424" s="135"/>
      <c r="AH424" s="135"/>
      <c r="AJ424" s="267" t="s">
        <v>153</v>
      </c>
      <c r="AN424" s="278">
        <v>2</v>
      </c>
      <c r="AO424" s="278">
        <v>2</v>
      </c>
      <c r="AP424" s="278">
        <v>2</v>
      </c>
      <c r="AQ424" s="278">
        <v>2</v>
      </c>
    </row>
    <row r="425" spans="1:43">
      <c r="A425" s="135" t="s">
        <v>3555</v>
      </c>
      <c r="B425" s="135" t="s">
        <v>3687</v>
      </c>
      <c r="C425" s="135" t="s">
        <v>3556</v>
      </c>
      <c r="D425" s="46">
        <v>11135601</v>
      </c>
      <c r="E425" s="20" t="s">
        <v>3557</v>
      </c>
      <c r="F425" s="20" t="s">
        <v>3558</v>
      </c>
      <c r="G425" s="24">
        <v>12</v>
      </c>
      <c r="H425" s="21">
        <v>46260</v>
      </c>
      <c r="I425" s="53" t="s">
        <v>3559</v>
      </c>
      <c r="J425" s="24" t="s">
        <v>3560</v>
      </c>
      <c r="K425" s="24">
        <v>12</v>
      </c>
      <c r="L425" s="46">
        <v>12116116</v>
      </c>
      <c r="M425" s="20" t="s">
        <v>3667</v>
      </c>
      <c r="N425" s="38">
        <v>0</v>
      </c>
      <c r="O425" s="38">
        <v>0</v>
      </c>
      <c r="P425" s="20" t="s">
        <v>3227</v>
      </c>
      <c r="Q425" s="20">
        <v>0</v>
      </c>
      <c r="R425" s="40">
        <v>46249</v>
      </c>
      <c r="S425" s="20">
        <v>0</v>
      </c>
      <c r="T425" s="20">
        <v>0</v>
      </c>
      <c r="U425" s="40">
        <v>46251</v>
      </c>
      <c r="V425" s="40">
        <v>46251</v>
      </c>
      <c r="W425" s="20" t="s">
        <v>57</v>
      </c>
      <c r="X425" s="21"/>
      <c r="Y425" s="19">
        <f>VLOOKUP(F425,[2]New!$B:$G,3,0)*K425/60</f>
        <v>17.259999999999998</v>
      </c>
      <c r="Z425" s="19">
        <f>VLOOKUP(F425,[2]New!$B:$G,4,0)*K425/60</f>
        <v>19.600000000000001</v>
      </c>
      <c r="AA425" s="19">
        <f>VLOOKUP(F425,[2]New!$B:$G,6,0)*K425/60</f>
        <v>39</v>
      </c>
      <c r="AB425" s="44">
        <f>VLOOKUP(A425,'[4]PO CAG'!$A:$L,12,0)</f>
        <v>46269</v>
      </c>
      <c r="AC425" s="22">
        <f>IFERROR(VLOOKUP(F425,[3]Sheet1!$E:$H,4,0),)</f>
        <v>0</v>
      </c>
      <c r="AD425" s="144"/>
      <c r="AE425" s="25" t="s">
        <v>4713</v>
      </c>
      <c r="AF425" s="382">
        <v>1</v>
      </c>
      <c r="AG425" s="135"/>
      <c r="AH425" s="135"/>
      <c r="AJ425" s="267" t="s">
        <v>153</v>
      </c>
      <c r="AN425" s="278">
        <v>2</v>
      </c>
      <c r="AO425" s="278">
        <v>2</v>
      </c>
      <c r="AP425" s="278">
        <v>2</v>
      </c>
      <c r="AQ425" s="278">
        <v>2</v>
      </c>
    </row>
    <row r="426" spans="1:43">
      <c r="A426" s="135" t="s">
        <v>3561</v>
      </c>
      <c r="B426" s="135" t="s">
        <v>3688</v>
      </c>
      <c r="C426" s="135" t="s">
        <v>3562</v>
      </c>
      <c r="D426" s="46">
        <v>11135477</v>
      </c>
      <c r="E426" s="20" t="s">
        <v>3563</v>
      </c>
      <c r="F426" s="20" t="s">
        <v>3564</v>
      </c>
      <c r="G426" s="24">
        <v>14</v>
      </c>
      <c r="H426" s="21">
        <v>46260</v>
      </c>
      <c r="I426" s="53" t="s">
        <v>3565</v>
      </c>
      <c r="J426" s="24" t="s">
        <v>3566</v>
      </c>
      <c r="K426" s="24">
        <v>14</v>
      </c>
      <c r="L426" s="46">
        <v>12116007</v>
      </c>
      <c r="M426" s="20" t="s">
        <v>3668</v>
      </c>
      <c r="N426" s="38">
        <v>0</v>
      </c>
      <c r="O426" s="38">
        <v>0</v>
      </c>
      <c r="P426" s="20" t="s">
        <v>3227</v>
      </c>
      <c r="Q426" s="20">
        <v>0</v>
      </c>
      <c r="R426" s="40">
        <v>46249</v>
      </c>
      <c r="S426" s="20">
        <v>0</v>
      </c>
      <c r="T426" s="20">
        <v>0</v>
      </c>
      <c r="U426" s="40">
        <v>46251</v>
      </c>
      <c r="V426" s="40">
        <v>46251</v>
      </c>
      <c r="W426" s="20" t="s">
        <v>57</v>
      </c>
      <c r="X426" s="21"/>
      <c r="Y426" s="19">
        <f>VLOOKUP(F426,[2]New!$B:$G,3,0)*K426/60</f>
        <v>5.1333333333333337</v>
      </c>
      <c r="Z426" s="19">
        <f>VLOOKUP(F426,[2]New!$B:$G,4,0)*K426/60</f>
        <v>27.51</v>
      </c>
      <c r="AA426" s="19">
        <f>VLOOKUP(F426,[2]New!$B:$G,6,0)*K426/60</f>
        <v>26.833333333333332</v>
      </c>
      <c r="AB426" s="44">
        <f>VLOOKUP(A426,'[4]PO CAG'!$A:$L,12,0)</f>
        <v>46269</v>
      </c>
      <c r="AC426" s="22">
        <f>IFERROR(VLOOKUP(F426,[3]Sheet1!$E:$H,4,0),)</f>
        <v>0</v>
      </c>
      <c r="AD426" s="144"/>
      <c r="AE426" s="25" t="s">
        <v>4713</v>
      </c>
      <c r="AF426" s="382">
        <v>1</v>
      </c>
      <c r="AG426" s="135"/>
      <c r="AH426" s="135"/>
      <c r="AJ426" s="267" t="s">
        <v>153</v>
      </c>
      <c r="AN426" s="278">
        <v>2</v>
      </c>
      <c r="AO426" s="278">
        <v>2</v>
      </c>
      <c r="AP426" s="278">
        <v>2</v>
      </c>
      <c r="AQ426" s="278">
        <v>2</v>
      </c>
    </row>
    <row r="427" spans="1:43">
      <c r="A427" s="135" t="s">
        <v>3567</v>
      </c>
      <c r="B427" s="135" t="s">
        <v>3689</v>
      </c>
      <c r="C427" s="135" t="s">
        <v>3568</v>
      </c>
      <c r="D427" s="46">
        <v>11135434</v>
      </c>
      <c r="E427" s="20" t="s">
        <v>3569</v>
      </c>
      <c r="F427" s="20" t="s">
        <v>3570</v>
      </c>
      <c r="G427" s="24">
        <v>17</v>
      </c>
      <c r="H427" s="21">
        <v>46260</v>
      </c>
      <c r="I427" s="53" t="s">
        <v>3571</v>
      </c>
      <c r="J427" s="24" t="s">
        <v>3572</v>
      </c>
      <c r="K427" s="24">
        <v>17</v>
      </c>
      <c r="L427" s="46">
        <v>12115974</v>
      </c>
      <c r="M427" s="20" t="s">
        <v>616</v>
      </c>
      <c r="N427" s="38">
        <v>0</v>
      </c>
      <c r="O427" s="38">
        <v>0</v>
      </c>
      <c r="P427" s="20" t="s">
        <v>3227</v>
      </c>
      <c r="Q427" s="20">
        <v>0</v>
      </c>
      <c r="R427" s="40">
        <v>46249</v>
      </c>
      <c r="S427" s="20">
        <v>0</v>
      </c>
      <c r="T427" s="20">
        <v>0</v>
      </c>
      <c r="U427" s="40">
        <v>46251</v>
      </c>
      <c r="V427" s="40">
        <v>46251</v>
      </c>
      <c r="W427" s="20" t="s">
        <v>57</v>
      </c>
      <c r="X427" s="21"/>
      <c r="Y427" s="19">
        <f>VLOOKUP(F427,[2]New!$B:$G,3,0)*K427/60</f>
        <v>6.2333333333333334</v>
      </c>
      <c r="Z427" s="19">
        <f>VLOOKUP(F427,[2]New!$B:$G,4,0)*K427/60</f>
        <v>33.405000000000001</v>
      </c>
      <c r="AA427" s="19">
        <f>VLOOKUP(F427,[2]New!$B:$G,6,0)*K427/60</f>
        <v>32.583333333333336</v>
      </c>
      <c r="AB427" s="44">
        <f>VLOOKUP(A427,'[4]PO CAG'!$A:$L,12,0)</f>
        <v>46269</v>
      </c>
      <c r="AC427" s="22">
        <f>IFERROR(VLOOKUP(F427,[3]Sheet1!$E:$H,4,0),)</f>
        <v>0</v>
      </c>
      <c r="AD427" s="144"/>
      <c r="AE427" s="25" t="s">
        <v>4713</v>
      </c>
      <c r="AF427" s="382">
        <v>1</v>
      </c>
      <c r="AG427" s="135"/>
      <c r="AH427" s="135"/>
      <c r="AJ427" s="267" t="s">
        <v>153</v>
      </c>
      <c r="AN427" s="278">
        <v>2</v>
      </c>
      <c r="AO427" s="278">
        <v>2</v>
      </c>
      <c r="AP427" s="278">
        <v>2</v>
      </c>
      <c r="AQ427" s="278">
        <v>2</v>
      </c>
    </row>
    <row r="428" spans="1:43">
      <c r="A428" s="135" t="s">
        <v>3573</v>
      </c>
      <c r="B428" s="135" t="s">
        <v>3690</v>
      </c>
      <c r="C428" s="135" t="s">
        <v>3574</v>
      </c>
      <c r="D428" s="46">
        <v>11135601</v>
      </c>
      <c r="E428" s="20" t="s">
        <v>3557</v>
      </c>
      <c r="F428" s="20" t="s">
        <v>3558</v>
      </c>
      <c r="G428" s="24">
        <v>21</v>
      </c>
      <c r="H428" s="21">
        <v>46260</v>
      </c>
      <c r="I428" s="53" t="s">
        <v>3575</v>
      </c>
      <c r="J428" s="24" t="s">
        <v>3576</v>
      </c>
      <c r="K428" s="24">
        <v>21</v>
      </c>
      <c r="L428" s="46">
        <v>12116116</v>
      </c>
      <c r="M428" s="20" t="s">
        <v>3667</v>
      </c>
      <c r="N428" s="38">
        <v>0</v>
      </c>
      <c r="O428" s="38">
        <v>0</v>
      </c>
      <c r="P428" s="20" t="s">
        <v>3227</v>
      </c>
      <c r="Q428" s="20">
        <v>0</v>
      </c>
      <c r="R428" s="40">
        <v>46249</v>
      </c>
      <c r="S428" s="20">
        <v>0</v>
      </c>
      <c r="T428" s="20">
        <v>0</v>
      </c>
      <c r="U428" s="40">
        <v>46251</v>
      </c>
      <c r="V428" s="40">
        <v>46251</v>
      </c>
      <c r="W428" s="20" t="s">
        <v>57</v>
      </c>
      <c r="X428" s="21"/>
      <c r="Y428" s="19">
        <f>VLOOKUP(F428,[2]New!$B:$G,3,0)*K428/60</f>
        <v>30.204999999999998</v>
      </c>
      <c r="Z428" s="19">
        <f>VLOOKUP(F428,[2]New!$B:$G,4,0)*K428/60</f>
        <v>34.299999999999997</v>
      </c>
      <c r="AA428" s="19">
        <f>VLOOKUP(F428,[2]New!$B:$G,6,0)*K428/60</f>
        <v>68.25</v>
      </c>
      <c r="AB428" s="44">
        <f>VLOOKUP(A428,'[4]PO CAG'!$A:$L,12,0)</f>
        <v>46269</v>
      </c>
      <c r="AC428" s="22">
        <f>IFERROR(VLOOKUP(F428,[3]Sheet1!$E:$H,4,0),)</f>
        <v>0</v>
      </c>
      <c r="AD428" s="144"/>
      <c r="AE428" s="25" t="s">
        <v>4713</v>
      </c>
      <c r="AF428" s="382">
        <v>1</v>
      </c>
      <c r="AG428" s="135"/>
      <c r="AH428" s="135"/>
      <c r="AJ428" s="267" t="s">
        <v>153</v>
      </c>
      <c r="AN428" s="278">
        <v>2</v>
      </c>
      <c r="AO428" s="278">
        <v>2</v>
      </c>
      <c r="AP428" s="278">
        <v>2</v>
      </c>
      <c r="AQ428" s="278">
        <v>2</v>
      </c>
    </row>
    <row r="429" spans="1:43">
      <c r="A429" s="135" t="s">
        <v>3577</v>
      </c>
      <c r="B429" s="135" t="s">
        <v>3691</v>
      </c>
      <c r="C429" s="135" t="s">
        <v>3578</v>
      </c>
      <c r="D429" s="46">
        <v>11135563</v>
      </c>
      <c r="E429" s="20" t="s">
        <v>3579</v>
      </c>
      <c r="F429" s="20" t="s">
        <v>3580</v>
      </c>
      <c r="G429" s="24">
        <v>27</v>
      </c>
      <c r="H429" s="21">
        <v>46260</v>
      </c>
      <c r="I429" s="53" t="s">
        <v>3581</v>
      </c>
      <c r="J429" s="24" t="s">
        <v>3582</v>
      </c>
      <c r="K429" s="24">
        <v>27</v>
      </c>
      <c r="L429" s="46">
        <v>12116176</v>
      </c>
      <c r="M429" s="20" t="s">
        <v>3331</v>
      </c>
      <c r="N429" s="38">
        <v>0</v>
      </c>
      <c r="O429" s="38">
        <v>0</v>
      </c>
      <c r="P429" s="20" t="s">
        <v>3227</v>
      </c>
      <c r="Q429" s="20">
        <v>0</v>
      </c>
      <c r="R429" s="40">
        <v>46249</v>
      </c>
      <c r="S429" s="20">
        <v>0</v>
      </c>
      <c r="T429" s="20">
        <v>0</v>
      </c>
      <c r="U429" s="40">
        <v>46251</v>
      </c>
      <c r="V429" s="40">
        <v>46251</v>
      </c>
      <c r="W429" s="20" t="s">
        <v>57</v>
      </c>
      <c r="X429" s="21"/>
      <c r="Y429" s="19">
        <f>VLOOKUP(F429,[2]New!$B:$G,3,0)*K429/60</f>
        <v>38.835000000000001</v>
      </c>
      <c r="Z429" s="19">
        <f>VLOOKUP(F429,[2]New!$B:$G,4,0)*K429/60</f>
        <v>44.1</v>
      </c>
      <c r="AA429" s="19">
        <f>VLOOKUP(F429,[2]New!$B:$G,6,0)*K429/60</f>
        <v>87.75</v>
      </c>
      <c r="AB429" s="44">
        <f>VLOOKUP(A429,'[4]PO CAG'!$A:$L,12,0)</f>
        <v>46269</v>
      </c>
      <c r="AC429" s="22">
        <f>IFERROR(VLOOKUP(F429,[3]Sheet1!$E:$H,4,0),)</f>
        <v>0</v>
      </c>
      <c r="AD429" s="144"/>
      <c r="AE429" s="25" t="s">
        <v>4713</v>
      </c>
      <c r="AF429" s="382">
        <v>1</v>
      </c>
      <c r="AG429" s="135"/>
      <c r="AH429" s="135"/>
      <c r="AJ429" s="267" t="s">
        <v>153</v>
      </c>
      <c r="AN429" s="278">
        <v>2</v>
      </c>
      <c r="AO429" s="278">
        <v>2</v>
      </c>
      <c r="AP429" s="278">
        <v>2</v>
      </c>
      <c r="AQ429" s="278">
        <v>2</v>
      </c>
    </row>
    <row r="430" spans="1:43">
      <c r="A430" s="135" t="s">
        <v>3583</v>
      </c>
      <c r="B430" s="135" t="s">
        <v>3692</v>
      </c>
      <c r="C430" s="135" t="s">
        <v>3584</v>
      </c>
      <c r="D430" s="46">
        <v>11135563</v>
      </c>
      <c r="E430" s="20" t="s">
        <v>3579</v>
      </c>
      <c r="F430" s="20" t="s">
        <v>3580</v>
      </c>
      <c r="G430" s="24">
        <v>39</v>
      </c>
      <c r="H430" s="21">
        <v>46260</v>
      </c>
      <c r="I430" s="53" t="s">
        <v>3585</v>
      </c>
      <c r="J430" s="24" t="s">
        <v>3586</v>
      </c>
      <c r="K430" s="24">
        <v>39</v>
      </c>
      <c r="L430" s="46">
        <v>12116176</v>
      </c>
      <c r="M430" s="20" t="s">
        <v>3331</v>
      </c>
      <c r="N430" s="38">
        <v>0</v>
      </c>
      <c r="O430" s="38">
        <v>0</v>
      </c>
      <c r="P430" s="20" t="s">
        <v>3227</v>
      </c>
      <c r="Q430" s="20">
        <v>0</v>
      </c>
      <c r="R430" s="40">
        <v>46249</v>
      </c>
      <c r="S430" s="20">
        <v>0</v>
      </c>
      <c r="T430" s="20">
        <v>0</v>
      </c>
      <c r="U430" s="40">
        <v>46251</v>
      </c>
      <c r="V430" s="40">
        <v>46251</v>
      </c>
      <c r="W430" s="20" t="s">
        <v>57</v>
      </c>
      <c r="X430" s="21"/>
      <c r="Y430" s="19">
        <f>VLOOKUP(F430,[2]New!$B:$G,3,0)*K430/60</f>
        <v>56.094999999999999</v>
      </c>
      <c r="Z430" s="19">
        <f>VLOOKUP(F430,[2]New!$B:$G,4,0)*K430/60</f>
        <v>63.7</v>
      </c>
      <c r="AA430" s="19">
        <f>VLOOKUP(F430,[2]New!$B:$G,6,0)*K430/60</f>
        <v>126.75</v>
      </c>
      <c r="AB430" s="44">
        <f>VLOOKUP(A430,'[4]PO CAG'!$A:$L,12,0)</f>
        <v>46269</v>
      </c>
      <c r="AC430" s="22">
        <f>IFERROR(VLOOKUP(F430,[3]Sheet1!$E:$H,4,0),)</f>
        <v>0</v>
      </c>
      <c r="AD430" s="144"/>
      <c r="AE430" s="25" t="s">
        <v>4713</v>
      </c>
      <c r="AF430" s="382">
        <v>1</v>
      </c>
      <c r="AG430" s="135"/>
      <c r="AH430" s="135"/>
      <c r="AJ430" s="267" t="s">
        <v>153</v>
      </c>
      <c r="AN430" s="278">
        <v>2</v>
      </c>
      <c r="AO430" s="278">
        <v>2</v>
      </c>
      <c r="AP430" s="278">
        <v>2</v>
      </c>
      <c r="AQ430" s="278">
        <v>2</v>
      </c>
    </row>
    <row r="431" spans="1:43">
      <c r="A431" s="135" t="s">
        <v>3587</v>
      </c>
      <c r="B431" s="135" t="s">
        <v>3693</v>
      </c>
      <c r="C431" s="135" t="s">
        <v>3588</v>
      </c>
      <c r="D431" s="46">
        <v>11135435</v>
      </c>
      <c r="E431" s="20" t="s">
        <v>3589</v>
      </c>
      <c r="F431" s="20" t="s">
        <v>3590</v>
      </c>
      <c r="G431" s="24">
        <v>61</v>
      </c>
      <c r="H431" s="21">
        <v>46260</v>
      </c>
      <c r="I431" s="53" t="s">
        <v>3591</v>
      </c>
      <c r="J431" s="24" t="s">
        <v>3592</v>
      </c>
      <c r="K431" s="24">
        <v>61</v>
      </c>
      <c r="L431" s="46">
        <v>12116051</v>
      </c>
      <c r="M431" s="20" t="s">
        <v>3328</v>
      </c>
      <c r="N431" s="38">
        <v>0</v>
      </c>
      <c r="O431" s="38">
        <v>0</v>
      </c>
      <c r="P431" s="20" t="s">
        <v>3227</v>
      </c>
      <c r="Q431" s="20">
        <v>0</v>
      </c>
      <c r="R431" s="40">
        <v>46249</v>
      </c>
      <c r="S431" s="20">
        <v>0</v>
      </c>
      <c r="T431" s="20">
        <v>0</v>
      </c>
      <c r="U431" s="40">
        <v>46251</v>
      </c>
      <c r="V431" s="40">
        <v>46251</v>
      </c>
      <c r="W431" s="20" t="s">
        <v>57</v>
      </c>
      <c r="X431" s="21"/>
      <c r="Y431" s="19">
        <f>VLOOKUP(F431,[2]New!$B:$G,3,0)*K431/60</f>
        <v>22.366666666666667</v>
      </c>
      <c r="Z431" s="19">
        <f>VLOOKUP(F431,[2]New!$B:$G,4,0)*K431/60</f>
        <v>119.86500000000001</v>
      </c>
      <c r="AA431" s="19">
        <f>VLOOKUP(F431,[2]New!$B:$G,6,0)*K431/60</f>
        <v>116.91666666666667</v>
      </c>
      <c r="AB431" s="44">
        <f>VLOOKUP(A431,'[4]PO CAG'!$A:$L,12,0)</f>
        <v>46269</v>
      </c>
      <c r="AC431" s="22">
        <f>IFERROR(VLOOKUP(F431,[3]Sheet1!$E:$H,4,0),)</f>
        <v>0</v>
      </c>
      <c r="AD431" s="144"/>
      <c r="AE431" s="25" t="s">
        <v>4713</v>
      </c>
      <c r="AF431" s="382">
        <v>1</v>
      </c>
      <c r="AG431" s="135"/>
      <c r="AH431" s="135"/>
      <c r="AJ431" s="267" t="s">
        <v>153</v>
      </c>
      <c r="AN431" s="278">
        <v>2</v>
      </c>
      <c r="AO431" s="278">
        <v>2</v>
      </c>
      <c r="AP431" s="278">
        <v>2</v>
      </c>
      <c r="AQ431" s="278">
        <v>2</v>
      </c>
    </row>
    <row r="432" spans="1:43">
      <c r="A432" s="135" t="s">
        <v>3593</v>
      </c>
      <c r="B432" s="135" t="s">
        <v>3694</v>
      </c>
      <c r="C432" s="135" t="s">
        <v>3594</v>
      </c>
      <c r="D432" s="46">
        <v>11130546</v>
      </c>
      <c r="E432" s="20" t="s">
        <v>359</v>
      </c>
      <c r="F432" s="20" t="s">
        <v>360</v>
      </c>
      <c r="G432" s="24">
        <v>10</v>
      </c>
      <c r="H432" s="21">
        <v>46260</v>
      </c>
      <c r="I432" s="53" t="s">
        <v>3595</v>
      </c>
      <c r="J432" s="24" t="s">
        <v>3596</v>
      </c>
      <c r="K432" s="24">
        <v>10</v>
      </c>
      <c r="L432" s="46">
        <v>12116006</v>
      </c>
      <c r="M432" s="20" t="s">
        <v>97</v>
      </c>
      <c r="N432" s="38">
        <v>0</v>
      </c>
      <c r="O432" s="38">
        <v>0</v>
      </c>
      <c r="P432" s="20" t="s">
        <v>94</v>
      </c>
      <c r="Q432" s="20">
        <v>0</v>
      </c>
      <c r="R432" s="40">
        <v>46249</v>
      </c>
      <c r="S432" s="20">
        <v>0</v>
      </c>
      <c r="T432" s="20">
        <v>0</v>
      </c>
      <c r="U432" s="40">
        <v>46251</v>
      </c>
      <c r="V432" s="40">
        <v>46251</v>
      </c>
      <c r="W432" s="20" t="s">
        <v>57</v>
      </c>
      <c r="X432" s="21"/>
      <c r="Y432" s="19">
        <f>VLOOKUP(F432,[2]New!$B:$G,3,0)*K432/60</f>
        <v>3.5</v>
      </c>
      <c r="Z432" s="19">
        <f>VLOOKUP(F432,[2]New!$B:$G,4,0)*K432/60</f>
        <v>15.433333333333334</v>
      </c>
      <c r="AA432" s="19">
        <f>VLOOKUP(F432,[2]New!$B:$G,6,0)*K432/60</f>
        <v>7.166666666666667</v>
      </c>
      <c r="AB432" s="44">
        <f>VLOOKUP(A432,'[4]PO CAG'!$A:$L,12,0)</f>
        <v>46269</v>
      </c>
      <c r="AC432" s="22">
        <f>IFERROR(VLOOKUP(F432,[3]Sheet1!$E:$H,4,0),)</f>
        <v>0</v>
      </c>
      <c r="AD432" s="144"/>
      <c r="AE432" s="25" t="s">
        <v>4713</v>
      </c>
      <c r="AF432" s="382">
        <v>1</v>
      </c>
      <c r="AG432" s="135"/>
      <c r="AH432" s="135"/>
      <c r="AJ432" s="267" t="s">
        <v>153</v>
      </c>
      <c r="AN432" s="278">
        <v>3</v>
      </c>
      <c r="AO432" s="278">
        <v>3</v>
      </c>
      <c r="AP432" s="278">
        <v>3</v>
      </c>
      <c r="AQ432" s="278">
        <v>3</v>
      </c>
    </row>
    <row r="433" spans="1:43">
      <c r="A433" s="135" t="s">
        <v>3597</v>
      </c>
      <c r="B433" s="135" t="s">
        <v>3695</v>
      </c>
      <c r="C433" s="135" t="s">
        <v>3598</v>
      </c>
      <c r="D433" s="46">
        <v>11130546</v>
      </c>
      <c r="E433" s="20" t="s">
        <v>359</v>
      </c>
      <c r="F433" s="20" t="s">
        <v>360</v>
      </c>
      <c r="G433" s="24">
        <v>15</v>
      </c>
      <c r="H433" s="21">
        <v>46260</v>
      </c>
      <c r="I433" s="53" t="s">
        <v>3599</v>
      </c>
      <c r="J433" s="24" t="s">
        <v>3600</v>
      </c>
      <c r="K433" s="24">
        <v>15</v>
      </c>
      <c r="L433" s="46">
        <v>12116006</v>
      </c>
      <c r="M433" s="20" t="s">
        <v>97</v>
      </c>
      <c r="N433" s="38">
        <v>0</v>
      </c>
      <c r="O433" s="38">
        <v>0</v>
      </c>
      <c r="P433" s="20" t="s">
        <v>94</v>
      </c>
      <c r="Q433" s="20">
        <v>0</v>
      </c>
      <c r="R433" s="40">
        <v>46249</v>
      </c>
      <c r="S433" s="20">
        <v>0</v>
      </c>
      <c r="T433" s="20">
        <v>0</v>
      </c>
      <c r="U433" s="40">
        <v>46251</v>
      </c>
      <c r="V433" s="40">
        <v>46251</v>
      </c>
      <c r="W433" s="20" t="s">
        <v>57</v>
      </c>
      <c r="X433" s="21"/>
      <c r="Y433" s="19">
        <f>VLOOKUP(F433,[2]New!$B:$G,3,0)*K433/60</f>
        <v>5.25</v>
      </c>
      <c r="Z433" s="19">
        <f>VLOOKUP(F433,[2]New!$B:$G,4,0)*K433/60</f>
        <v>23.15</v>
      </c>
      <c r="AA433" s="19">
        <f>VLOOKUP(F433,[2]New!$B:$G,6,0)*K433/60</f>
        <v>10.75</v>
      </c>
      <c r="AB433" s="44">
        <f>VLOOKUP(A433,'[4]PO CAG'!$A:$L,12,0)</f>
        <v>46274</v>
      </c>
      <c r="AC433" s="22">
        <f>IFERROR(VLOOKUP(F433,[3]Sheet1!$E:$H,4,0),)</f>
        <v>0</v>
      </c>
      <c r="AD433" s="144"/>
      <c r="AE433" s="25" t="s">
        <v>4713</v>
      </c>
      <c r="AF433" s="382">
        <v>1</v>
      </c>
      <c r="AG433" s="135"/>
      <c r="AH433" s="135"/>
      <c r="AJ433" s="267" t="s">
        <v>153</v>
      </c>
      <c r="AN433" s="278">
        <v>3</v>
      </c>
      <c r="AO433" s="278">
        <v>3</v>
      </c>
      <c r="AP433" s="278">
        <v>3</v>
      </c>
      <c r="AQ433" s="278">
        <v>3</v>
      </c>
    </row>
    <row r="434" spans="1:43">
      <c r="A434" s="135" t="s">
        <v>3601</v>
      </c>
      <c r="B434" s="135" t="s">
        <v>3696</v>
      </c>
      <c r="C434" s="135" t="s">
        <v>3602</v>
      </c>
      <c r="D434" s="46">
        <v>11130530</v>
      </c>
      <c r="E434" s="20" t="s">
        <v>190</v>
      </c>
      <c r="F434" s="20" t="s">
        <v>191</v>
      </c>
      <c r="G434" s="24">
        <v>30</v>
      </c>
      <c r="H434" s="21">
        <v>46260</v>
      </c>
      <c r="I434" s="53" t="s">
        <v>3603</v>
      </c>
      <c r="J434" s="24" t="s">
        <v>3604</v>
      </c>
      <c r="K434" s="24">
        <v>30</v>
      </c>
      <c r="L434" s="46">
        <v>12116026</v>
      </c>
      <c r="M434" s="20" t="s">
        <v>99</v>
      </c>
      <c r="N434" s="38">
        <v>0</v>
      </c>
      <c r="O434" s="38">
        <v>0</v>
      </c>
      <c r="P434" s="20" t="s">
        <v>94</v>
      </c>
      <c r="Q434" s="20">
        <v>0</v>
      </c>
      <c r="R434" s="40">
        <v>46249</v>
      </c>
      <c r="S434" s="20">
        <v>0</v>
      </c>
      <c r="T434" s="20">
        <v>0</v>
      </c>
      <c r="U434" s="40">
        <v>46251</v>
      </c>
      <c r="V434" s="40">
        <v>46251</v>
      </c>
      <c r="W434" s="20" t="s">
        <v>57</v>
      </c>
      <c r="X434" s="21"/>
      <c r="Y434" s="19">
        <f>VLOOKUP(F434,[2]New!$B:$G,3,0)*K434/60</f>
        <v>10.5</v>
      </c>
      <c r="Z434" s="19">
        <f>VLOOKUP(F434,[2]New!$B:$G,4,0)*K434/60</f>
        <v>46.3</v>
      </c>
      <c r="AA434" s="19">
        <f>VLOOKUP(F434,[2]New!$B:$G,6,0)*K434/60</f>
        <v>21.5</v>
      </c>
      <c r="AB434" s="44">
        <f>VLOOKUP(A434,'[4]PO CAG'!$A:$L,12,0)</f>
        <v>46274</v>
      </c>
      <c r="AC434" s="22">
        <f>IFERROR(VLOOKUP(F434,[3]Sheet1!$E:$H,4,0),)</f>
        <v>0</v>
      </c>
      <c r="AD434" s="144"/>
      <c r="AE434" s="25" t="s">
        <v>4713</v>
      </c>
      <c r="AF434" s="382">
        <v>1</v>
      </c>
      <c r="AG434" s="135"/>
      <c r="AH434" s="135"/>
      <c r="AJ434" s="267" t="s">
        <v>153</v>
      </c>
      <c r="AN434" s="278">
        <v>3</v>
      </c>
      <c r="AO434" s="278">
        <v>3</v>
      </c>
      <c r="AP434" s="278">
        <v>3</v>
      </c>
      <c r="AQ434" s="278">
        <v>3</v>
      </c>
    </row>
    <row r="435" spans="1:43">
      <c r="A435" s="135" t="s">
        <v>3605</v>
      </c>
      <c r="B435" s="135" t="s">
        <v>3697</v>
      </c>
      <c r="C435" s="135" t="s">
        <v>3606</v>
      </c>
      <c r="D435" s="46">
        <v>11130547</v>
      </c>
      <c r="E435" s="20" t="s">
        <v>3607</v>
      </c>
      <c r="F435" s="20" t="s">
        <v>3608</v>
      </c>
      <c r="G435" s="24">
        <v>5</v>
      </c>
      <c r="H435" s="21">
        <v>46260</v>
      </c>
      <c r="I435" s="53" t="s">
        <v>3609</v>
      </c>
      <c r="J435" s="24" t="s">
        <v>3610</v>
      </c>
      <c r="K435" s="24">
        <v>5</v>
      </c>
      <c r="L435" s="46">
        <v>12116010</v>
      </c>
      <c r="M435" s="20" t="s">
        <v>3669</v>
      </c>
      <c r="N435" s="38">
        <v>0</v>
      </c>
      <c r="O435" s="38">
        <v>0</v>
      </c>
      <c r="P435" s="20" t="s">
        <v>94</v>
      </c>
      <c r="Q435" s="20">
        <v>0</v>
      </c>
      <c r="R435" s="40">
        <v>46249</v>
      </c>
      <c r="S435" s="20">
        <v>0</v>
      </c>
      <c r="T435" s="20">
        <v>0</v>
      </c>
      <c r="U435" s="40">
        <v>46251</v>
      </c>
      <c r="V435" s="40">
        <v>46251</v>
      </c>
      <c r="W435" s="20" t="s">
        <v>57</v>
      </c>
      <c r="X435" s="21"/>
      <c r="Y435" s="19">
        <f>VLOOKUP(F435,[2]New!$B:$G,3,0)*K435/60</f>
        <v>1.75</v>
      </c>
      <c r="Z435" s="19">
        <f>VLOOKUP(F435,[2]New!$B:$G,4,0)*K435/60</f>
        <v>7.7166666666666668</v>
      </c>
      <c r="AA435" s="19">
        <f>VLOOKUP(F435,[2]New!$B:$G,6,0)*K435/60</f>
        <v>3.5833333333333335</v>
      </c>
      <c r="AB435" s="44">
        <f>VLOOKUP(A435,'[4]PO CAG'!$A:$L,12,0)</f>
        <v>46289</v>
      </c>
      <c r="AC435" s="22">
        <f>IFERROR(VLOOKUP(F435,[3]Sheet1!$E:$H,4,0),)</f>
        <v>0</v>
      </c>
      <c r="AD435" s="144"/>
      <c r="AE435" s="25" t="s">
        <v>4713</v>
      </c>
      <c r="AF435" s="382">
        <v>1</v>
      </c>
      <c r="AG435" s="135"/>
      <c r="AH435" s="135"/>
      <c r="AJ435" s="267" t="s">
        <v>153</v>
      </c>
      <c r="AN435" s="278">
        <v>3</v>
      </c>
      <c r="AO435" s="278">
        <v>3</v>
      </c>
      <c r="AP435" s="278">
        <v>3</v>
      </c>
      <c r="AQ435" s="278">
        <v>3</v>
      </c>
    </row>
    <row r="436" spans="1:43">
      <c r="A436" s="135" t="s">
        <v>3302</v>
      </c>
      <c r="B436" s="135" t="s">
        <v>3698</v>
      </c>
      <c r="C436" s="135" t="s">
        <v>3611</v>
      </c>
      <c r="D436" s="46">
        <v>11119391</v>
      </c>
      <c r="E436" s="20" t="s">
        <v>3304</v>
      </c>
      <c r="F436" s="20" t="s">
        <v>3305</v>
      </c>
      <c r="G436" s="24">
        <v>541</v>
      </c>
      <c r="H436" s="21">
        <v>46260</v>
      </c>
      <c r="I436" s="53" t="s">
        <v>3612</v>
      </c>
      <c r="J436" s="24" t="s">
        <v>3613</v>
      </c>
      <c r="K436" s="24">
        <v>541</v>
      </c>
      <c r="L436" s="46">
        <v>12116026</v>
      </c>
      <c r="M436" s="20" t="s">
        <v>99</v>
      </c>
      <c r="N436" s="38">
        <v>0</v>
      </c>
      <c r="O436" s="38">
        <v>0</v>
      </c>
      <c r="P436" s="20" t="s">
        <v>469</v>
      </c>
      <c r="Q436" s="20">
        <v>0</v>
      </c>
      <c r="R436" s="40">
        <v>46249</v>
      </c>
      <c r="S436" s="20">
        <v>0</v>
      </c>
      <c r="T436" s="20">
        <v>0</v>
      </c>
      <c r="U436" s="40">
        <v>46251</v>
      </c>
      <c r="V436" s="40">
        <v>46251</v>
      </c>
      <c r="W436" s="20" t="s">
        <v>57</v>
      </c>
      <c r="X436" s="21"/>
      <c r="Y436" s="19">
        <f>VLOOKUP(F436,[2]New!$B:$G,3,0)*K436/60</f>
        <v>504.93333333333334</v>
      </c>
      <c r="Z436" s="19">
        <f>VLOOKUP(F436,[2]New!$B:$G,4,0)*K436/60</f>
        <v>2109.9</v>
      </c>
      <c r="AA436" s="19">
        <f>VLOOKUP(F436,[2]New!$B:$G,6,0)*K436/60</f>
        <v>2607.62</v>
      </c>
      <c r="AB436" s="44">
        <f>VLOOKUP(A436,'[4]PO CAG'!$A:$L,12,0)</f>
        <v>46269</v>
      </c>
      <c r="AC436" s="22">
        <f>IFERROR(VLOOKUP(F436,[3]Sheet1!$E:$H,4,0),)</f>
        <v>0</v>
      </c>
      <c r="AD436" s="144"/>
      <c r="AE436" s="25" t="s">
        <v>4713</v>
      </c>
      <c r="AF436" s="382">
        <v>1</v>
      </c>
      <c r="AG436" s="135"/>
      <c r="AH436" s="135"/>
      <c r="AJ436" s="267" t="s">
        <v>153</v>
      </c>
      <c r="AN436" s="278">
        <v>2</v>
      </c>
      <c r="AO436" s="278">
        <v>2</v>
      </c>
      <c r="AP436" s="278">
        <v>2</v>
      </c>
      <c r="AQ436" s="278">
        <v>2</v>
      </c>
    </row>
    <row r="437" spans="1:43">
      <c r="A437" s="135" t="s">
        <v>3614</v>
      </c>
      <c r="B437" s="135" t="s">
        <v>3699</v>
      </c>
      <c r="C437" s="135" t="s">
        <v>3615</v>
      </c>
      <c r="D437" s="46">
        <v>11119507</v>
      </c>
      <c r="E437" s="20" t="s">
        <v>3616</v>
      </c>
      <c r="F437" s="20" t="s">
        <v>3617</v>
      </c>
      <c r="G437" s="24">
        <v>99</v>
      </c>
      <c r="H437" s="21">
        <v>46260</v>
      </c>
      <c r="I437" s="53" t="s">
        <v>3618</v>
      </c>
      <c r="J437" s="24" t="s">
        <v>3619</v>
      </c>
      <c r="K437" s="24">
        <v>99</v>
      </c>
      <c r="L437" s="46">
        <v>12116142</v>
      </c>
      <c r="M437" s="20" t="s">
        <v>102</v>
      </c>
      <c r="N437" s="38">
        <v>0</v>
      </c>
      <c r="O437" s="38">
        <v>0</v>
      </c>
      <c r="P437" s="20" t="s">
        <v>469</v>
      </c>
      <c r="Q437" s="20">
        <v>0</v>
      </c>
      <c r="R437" s="40">
        <v>46251</v>
      </c>
      <c r="S437" s="20">
        <v>0</v>
      </c>
      <c r="T437" s="20">
        <v>0</v>
      </c>
      <c r="U437" s="40">
        <v>46252</v>
      </c>
      <c r="V437" s="40">
        <v>46252</v>
      </c>
      <c r="W437" s="20" t="s">
        <v>57</v>
      </c>
      <c r="X437" s="21"/>
      <c r="Y437" s="19">
        <f>VLOOKUP(F437,[2]New!$B:$G,3,0)*K437/60</f>
        <v>92.4</v>
      </c>
      <c r="Z437" s="19">
        <f>VLOOKUP(F437,[2]New!$B:$G,4,0)*K437/60</f>
        <v>386.1</v>
      </c>
      <c r="AA437" s="19">
        <f>VLOOKUP(F437,[2]New!$B:$G,6,0)*K437/60</f>
        <v>477.18</v>
      </c>
      <c r="AB437" s="44">
        <f>VLOOKUP(A437,'[4]PO CAG'!$A:$L,12,0)</f>
        <v>46269</v>
      </c>
      <c r="AC437" s="22">
        <f>IFERROR(VLOOKUP(F437,[3]Sheet1!$E:$H,4,0),)</f>
        <v>0</v>
      </c>
      <c r="AD437" s="144"/>
      <c r="AE437" s="25" t="s">
        <v>4001</v>
      </c>
      <c r="AF437" s="382">
        <v>1</v>
      </c>
      <c r="AG437" s="135"/>
      <c r="AH437" s="135"/>
      <c r="AJ437" s="267" t="s">
        <v>153</v>
      </c>
      <c r="AN437" s="278">
        <v>2</v>
      </c>
      <c r="AO437" s="278">
        <v>2</v>
      </c>
      <c r="AP437" s="278">
        <v>2</v>
      </c>
      <c r="AQ437" s="278">
        <v>2</v>
      </c>
    </row>
    <row r="438" spans="1:43">
      <c r="A438" s="135" t="s">
        <v>3620</v>
      </c>
      <c r="B438" s="135" t="s">
        <v>3700</v>
      </c>
      <c r="C438" s="135" t="s">
        <v>3621</v>
      </c>
      <c r="D438" s="46">
        <v>11119509</v>
      </c>
      <c r="E438" s="20" t="s">
        <v>3622</v>
      </c>
      <c r="F438" s="20" t="s">
        <v>3623</v>
      </c>
      <c r="G438" s="24">
        <v>92</v>
      </c>
      <c r="H438" s="21">
        <v>46260</v>
      </c>
      <c r="I438" s="53" t="s">
        <v>3624</v>
      </c>
      <c r="J438" s="24" t="s">
        <v>3625</v>
      </c>
      <c r="K438" s="24">
        <v>92</v>
      </c>
      <c r="L438" s="46">
        <v>12116144</v>
      </c>
      <c r="M438" s="20" t="s">
        <v>3670</v>
      </c>
      <c r="N438" s="38">
        <v>0</v>
      </c>
      <c r="O438" s="38">
        <v>0</v>
      </c>
      <c r="P438" s="20" t="s">
        <v>469</v>
      </c>
      <c r="Q438" s="20">
        <v>0</v>
      </c>
      <c r="R438" s="40">
        <v>46249</v>
      </c>
      <c r="S438" s="20">
        <v>0</v>
      </c>
      <c r="T438" s="20">
        <v>0</v>
      </c>
      <c r="U438" s="40">
        <v>46251</v>
      </c>
      <c r="V438" s="40">
        <v>46251</v>
      </c>
      <c r="W438" s="20" t="s">
        <v>57</v>
      </c>
      <c r="X438" s="21"/>
      <c r="Y438" s="19">
        <f>VLOOKUP(F438,[2]New!$B:$G,3,0)*K438/60</f>
        <v>85.86666666666666</v>
      </c>
      <c r="Z438" s="19">
        <f>VLOOKUP(F438,[2]New!$B:$G,4,0)*K438/60</f>
        <v>358.8</v>
      </c>
      <c r="AA438" s="19">
        <f>VLOOKUP(F438,[2]New!$B:$G,6,0)*K438/60</f>
        <v>443.43999999999994</v>
      </c>
      <c r="AB438" s="44">
        <f>VLOOKUP(A438,'[4]PO CAG'!$A:$L,12,0)</f>
        <v>46269</v>
      </c>
      <c r="AC438" s="22">
        <f>IFERROR(VLOOKUP(F438,[3]Sheet1!$E:$H,4,0),)</f>
        <v>0</v>
      </c>
      <c r="AD438" s="144"/>
      <c r="AE438" s="25" t="s">
        <v>4713</v>
      </c>
      <c r="AF438" s="382">
        <v>1</v>
      </c>
      <c r="AG438" s="135"/>
      <c r="AH438" s="135"/>
      <c r="AJ438" s="267" t="s">
        <v>153</v>
      </c>
      <c r="AN438" s="278">
        <v>2</v>
      </c>
      <c r="AO438" s="278">
        <v>2</v>
      </c>
      <c r="AP438" s="278">
        <v>2</v>
      </c>
      <c r="AQ438" s="278">
        <v>2</v>
      </c>
    </row>
    <row r="439" spans="1:43">
      <c r="A439" s="135" t="s">
        <v>3200</v>
      </c>
      <c r="B439" s="135" t="s">
        <v>3701</v>
      </c>
      <c r="C439" s="135" t="s">
        <v>3626</v>
      </c>
      <c r="D439" s="46">
        <v>11134260</v>
      </c>
      <c r="E439" s="20" t="s">
        <v>3202</v>
      </c>
      <c r="F439" s="20" t="s">
        <v>3203</v>
      </c>
      <c r="G439" s="24">
        <v>141</v>
      </c>
      <c r="H439" s="21">
        <v>46260</v>
      </c>
      <c r="I439" s="53" t="s">
        <v>3627</v>
      </c>
      <c r="J439" s="24" t="s">
        <v>3628</v>
      </c>
      <c r="K439" s="24">
        <v>141</v>
      </c>
      <c r="L439" s="46">
        <v>12116064</v>
      </c>
      <c r="M439" s="20" t="s">
        <v>98</v>
      </c>
      <c r="N439" s="38">
        <v>0</v>
      </c>
      <c r="O439" s="38">
        <v>0</v>
      </c>
      <c r="P439" s="20" t="s">
        <v>469</v>
      </c>
      <c r="Q439" s="20">
        <v>0</v>
      </c>
      <c r="R439" s="40">
        <v>46249</v>
      </c>
      <c r="S439" s="20">
        <v>0</v>
      </c>
      <c r="T439" s="20">
        <v>0</v>
      </c>
      <c r="U439" s="40">
        <v>46251</v>
      </c>
      <c r="V439" s="40">
        <v>46251</v>
      </c>
      <c r="W439" s="20" t="s">
        <v>58</v>
      </c>
      <c r="X439" s="21"/>
      <c r="Y439" s="19">
        <f>VLOOKUP(F439,[2]New!$B:$G,3,0)*K439/60</f>
        <v>131.6</v>
      </c>
      <c r="Z439" s="19">
        <f>VLOOKUP(F439,[2]New!$B:$G,4,0)*K439/60</f>
        <v>549.9</v>
      </c>
      <c r="AA439" s="19">
        <f>VLOOKUP(F439,[2]New!$B:$G,6,0)*K439/60</f>
        <v>679.62</v>
      </c>
      <c r="AB439" s="44">
        <f>VLOOKUP(A439,'[4]PO CAG'!$A:$L,12,0)</f>
        <v>46269</v>
      </c>
      <c r="AC439" s="22">
        <f>IFERROR(VLOOKUP(F439,[3]Sheet1!$E:$H,4,0),)</f>
        <v>0</v>
      </c>
      <c r="AD439" s="144"/>
      <c r="AE439" s="25" t="s">
        <v>4713</v>
      </c>
      <c r="AF439" s="382">
        <v>1</v>
      </c>
      <c r="AG439" s="135"/>
      <c r="AH439" s="135"/>
      <c r="AJ439" s="267" t="s">
        <v>188</v>
      </c>
      <c r="AN439" s="278">
        <v>2</v>
      </c>
      <c r="AO439" s="278">
        <v>2</v>
      </c>
      <c r="AP439" s="278">
        <v>2</v>
      </c>
      <c r="AQ439" s="278">
        <v>2</v>
      </c>
    </row>
    <row r="440" spans="1:43">
      <c r="A440" s="135" t="s">
        <v>3629</v>
      </c>
      <c r="B440" s="135" t="s">
        <v>3702</v>
      </c>
      <c r="C440" s="135" t="s">
        <v>3630</v>
      </c>
      <c r="D440" s="46">
        <v>11134262</v>
      </c>
      <c r="E440" s="20" t="s">
        <v>3631</v>
      </c>
      <c r="F440" s="20" t="s">
        <v>3632</v>
      </c>
      <c r="G440" s="24">
        <v>230</v>
      </c>
      <c r="H440" s="21">
        <v>46260</v>
      </c>
      <c r="I440" s="53" t="s">
        <v>3633</v>
      </c>
      <c r="J440" s="24" t="s">
        <v>3634</v>
      </c>
      <c r="K440" s="24">
        <v>230</v>
      </c>
      <c r="L440" s="46">
        <v>12116066</v>
      </c>
      <c r="M440" s="20" t="s">
        <v>3671</v>
      </c>
      <c r="N440" s="38">
        <v>0</v>
      </c>
      <c r="O440" s="38">
        <v>0</v>
      </c>
      <c r="P440" s="20" t="s">
        <v>469</v>
      </c>
      <c r="Q440" s="20">
        <v>0</v>
      </c>
      <c r="R440" s="40">
        <v>46249</v>
      </c>
      <c r="S440" s="20">
        <v>0</v>
      </c>
      <c r="T440" s="20">
        <v>0</v>
      </c>
      <c r="U440" s="40">
        <v>46251</v>
      </c>
      <c r="V440" s="40">
        <v>46251</v>
      </c>
      <c r="W440" s="20" t="s">
        <v>58</v>
      </c>
      <c r="X440" s="21"/>
      <c r="Y440" s="19">
        <f>VLOOKUP(F440,[2]New!$B:$G,3,0)*K440/60</f>
        <v>214.66666666666666</v>
      </c>
      <c r="Z440" s="19">
        <f>VLOOKUP(F440,[2]New!$B:$G,4,0)*K440/60</f>
        <v>897</v>
      </c>
      <c r="AA440" s="19">
        <f>VLOOKUP(F440,[2]New!$B:$G,6,0)*K440/60</f>
        <v>1108.5999999999999</v>
      </c>
      <c r="AB440" s="44">
        <f>VLOOKUP(A440,'[4]PO CAG'!$A:$L,12,0)</f>
        <v>46269</v>
      </c>
      <c r="AC440" s="22">
        <f>IFERROR(VLOOKUP(F440,[3]Sheet1!$E:$H,4,0),)</f>
        <v>0</v>
      </c>
      <c r="AD440" s="144"/>
      <c r="AE440" s="25" t="s">
        <v>4713</v>
      </c>
      <c r="AF440" s="382">
        <v>1</v>
      </c>
      <c r="AG440" s="135"/>
      <c r="AH440" s="135"/>
      <c r="AJ440" s="267" t="s">
        <v>188</v>
      </c>
      <c r="AN440" s="278">
        <v>2</v>
      </c>
      <c r="AO440" s="278">
        <v>2</v>
      </c>
      <c r="AP440" s="278">
        <v>2</v>
      </c>
      <c r="AQ440" s="278">
        <v>2</v>
      </c>
    </row>
    <row r="441" spans="1:43">
      <c r="A441" s="135" t="s">
        <v>3635</v>
      </c>
      <c r="B441" s="135" t="s">
        <v>3703</v>
      </c>
      <c r="C441" s="135" t="s">
        <v>3636</v>
      </c>
      <c r="D441" s="46">
        <v>11134281</v>
      </c>
      <c r="E441" s="20" t="s">
        <v>3637</v>
      </c>
      <c r="F441" s="20" t="s">
        <v>3638</v>
      </c>
      <c r="G441" s="24">
        <v>302</v>
      </c>
      <c r="H441" s="21">
        <v>46260</v>
      </c>
      <c r="I441" s="53" t="s">
        <v>3639</v>
      </c>
      <c r="J441" s="24" t="s">
        <v>3640</v>
      </c>
      <c r="K441" s="24">
        <v>302</v>
      </c>
      <c r="L441" s="46">
        <v>12116193</v>
      </c>
      <c r="M441" s="20" t="s">
        <v>551</v>
      </c>
      <c r="N441" s="38">
        <v>0</v>
      </c>
      <c r="O441" s="38">
        <v>0</v>
      </c>
      <c r="P441" s="20" t="s">
        <v>469</v>
      </c>
      <c r="Q441" s="20">
        <v>0</v>
      </c>
      <c r="R441" s="40">
        <v>46249</v>
      </c>
      <c r="S441" s="20">
        <v>0</v>
      </c>
      <c r="T441" s="20">
        <v>0</v>
      </c>
      <c r="U441" s="40">
        <v>46251</v>
      </c>
      <c r="V441" s="40">
        <v>46251</v>
      </c>
      <c r="W441" s="20" t="s">
        <v>58</v>
      </c>
      <c r="X441" s="21"/>
      <c r="Y441" s="19">
        <f>VLOOKUP(F441,[2]New!$B:$G,3,0)*K441/60</f>
        <v>281.86666666666667</v>
      </c>
      <c r="Z441" s="19">
        <f>VLOOKUP(F441,[2]New!$B:$G,4,0)*K441/60</f>
        <v>1177.8</v>
      </c>
      <c r="AA441" s="19">
        <f>VLOOKUP(F441,[2]New!$B:$G,6,0)*K441/60</f>
        <v>1455.6399999999999</v>
      </c>
      <c r="AB441" s="44">
        <f>VLOOKUP(A441,'[4]PO CAG'!$A:$L,12,0)</f>
        <v>46269</v>
      </c>
      <c r="AC441" s="22">
        <f>IFERROR(VLOOKUP(F441,[3]Sheet1!$E:$H,4,0),)</f>
        <v>0</v>
      </c>
      <c r="AD441" s="144"/>
      <c r="AE441" s="25" t="s">
        <v>4713</v>
      </c>
      <c r="AF441" s="382">
        <v>1</v>
      </c>
      <c r="AG441" s="135"/>
      <c r="AH441" s="135"/>
      <c r="AJ441" s="267" t="s">
        <v>188</v>
      </c>
      <c r="AN441" s="278">
        <v>2</v>
      </c>
      <c r="AO441" s="278">
        <v>2</v>
      </c>
      <c r="AP441" s="278">
        <v>2</v>
      </c>
      <c r="AQ441" s="278">
        <v>2</v>
      </c>
    </row>
    <row r="442" spans="1:43">
      <c r="A442" s="135" t="s">
        <v>3641</v>
      </c>
      <c r="B442" s="135" t="s">
        <v>3704</v>
      </c>
      <c r="C442" s="135" t="s">
        <v>3642</v>
      </c>
      <c r="D442" s="46">
        <v>11135535</v>
      </c>
      <c r="E442" s="20" t="s">
        <v>3643</v>
      </c>
      <c r="F442" s="20" t="s">
        <v>3644</v>
      </c>
      <c r="G442" s="24">
        <v>24</v>
      </c>
      <c r="H442" s="21">
        <v>46260</v>
      </c>
      <c r="I442" s="53" t="s">
        <v>3645</v>
      </c>
      <c r="J442" s="24" t="s">
        <v>3646</v>
      </c>
      <c r="K442" s="24">
        <v>24</v>
      </c>
      <c r="L442" s="46">
        <v>12116060</v>
      </c>
      <c r="M442" s="20" t="s">
        <v>100</v>
      </c>
      <c r="N442" s="38">
        <v>0</v>
      </c>
      <c r="O442" s="38">
        <v>0</v>
      </c>
      <c r="P442" s="20" t="s">
        <v>3227</v>
      </c>
      <c r="Q442" s="20">
        <v>0</v>
      </c>
      <c r="R442" s="40">
        <v>46251</v>
      </c>
      <c r="S442" s="20">
        <v>0</v>
      </c>
      <c r="T442" s="20">
        <v>0</v>
      </c>
      <c r="U442" s="40">
        <v>46252</v>
      </c>
      <c r="V442" s="40">
        <v>46252</v>
      </c>
      <c r="W442" s="20" t="s">
        <v>58</v>
      </c>
      <c r="X442" s="21"/>
      <c r="Y442" s="19">
        <f>VLOOKUP(F442,[2]New!$B:$G,3,0)*K442/60</f>
        <v>8.8000000000000007</v>
      </c>
      <c r="Z442" s="19">
        <f>VLOOKUP(F442,[2]New!$B:$G,4,0)*K442/60</f>
        <v>47.160000000000004</v>
      </c>
      <c r="AA442" s="19">
        <f>VLOOKUP(F442,[2]New!$B:$G,6,0)*K442/60</f>
        <v>46</v>
      </c>
      <c r="AB442" s="44">
        <f>VLOOKUP(A442,'[4]PO CAG'!$A:$L,12,0)</f>
        <v>46269</v>
      </c>
      <c r="AC442" s="22">
        <f>IFERROR(VLOOKUP(F442,[3]Sheet1!$E:$H,4,0),)</f>
        <v>0</v>
      </c>
      <c r="AD442" s="144"/>
      <c r="AE442" s="25" t="s">
        <v>4001</v>
      </c>
      <c r="AF442" s="382">
        <v>1</v>
      </c>
      <c r="AG442" s="135"/>
      <c r="AH442" s="135"/>
      <c r="AJ442" s="267" t="s">
        <v>188</v>
      </c>
      <c r="AN442" s="278">
        <v>2</v>
      </c>
      <c r="AO442" s="278">
        <v>2</v>
      </c>
      <c r="AP442" s="278">
        <v>2</v>
      </c>
      <c r="AQ442" s="278">
        <v>2</v>
      </c>
    </row>
    <row r="443" spans="1:43">
      <c r="A443" s="135" t="s">
        <v>3647</v>
      </c>
      <c r="B443" s="135" t="s">
        <v>3705</v>
      </c>
      <c r="C443" s="135" t="s">
        <v>3648</v>
      </c>
      <c r="D443" s="46">
        <v>11135539</v>
      </c>
      <c r="E443" s="20" t="s">
        <v>3649</v>
      </c>
      <c r="F443" s="20" t="s">
        <v>3650</v>
      </c>
      <c r="G443" s="24">
        <v>20</v>
      </c>
      <c r="H443" s="21">
        <v>46260</v>
      </c>
      <c r="I443" s="53" t="s">
        <v>3651</v>
      </c>
      <c r="J443" s="24" t="s">
        <v>3652</v>
      </c>
      <c r="K443" s="24">
        <v>20</v>
      </c>
      <c r="L443" s="46">
        <v>12116064</v>
      </c>
      <c r="M443" s="20" t="s">
        <v>98</v>
      </c>
      <c r="N443" s="38">
        <v>0</v>
      </c>
      <c r="O443" s="38">
        <v>0</v>
      </c>
      <c r="P443" s="20" t="s">
        <v>3227</v>
      </c>
      <c r="Q443" s="20">
        <v>0</v>
      </c>
      <c r="R443" s="40">
        <v>46251</v>
      </c>
      <c r="S443" s="20">
        <v>0</v>
      </c>
      <c r="T443" s="20">
        <v>0</v>
      </c>
      <c r="U443" s="40">
        <v>46252</v>
      </c>
      <c r="V443" s="40">
        <v>46252</v>
      </c>
      <c r="W443" s="20" t="s">
        <v>58</v>
      </c>
      <c r="X443" s="21"/>
      <c r="Y443" s="19">
        <f>VLOOKUP(F443,[2]New!$B:$G,3,0)*K443/60</f>
        <v>7.333333333333333</v>
      </c>
      <c r="Z443" s="19">
        <f>VLOOKUP(F443,[2]New!$B:$G,4,0)*K443/60</f>
        <v>39.299999999999997</v>
      </c>
      <c r="AA443" s="19">
        <f>VLOOKUP(F443,[2]New!$B:$G,6,0)*K443/60</f>
        <v>38.333333333333336</v>
      </c>
      <c r="AB443" s="44">
        <f>VLOOKUP(A443,'[4]PO CAG'!$A:$L,12,0)</f>
        <v>46269</v>
      </c>
      <c r="AC443" s="22">
        <f>IFERROR(VLOOKUP(F443,[3]Sheet1!$E:$H,4,0),)</f>
        <v>0</v>
      </c>
      <c r="AD443" s="144"/>
      <c r="AE443" s="25" t="s">
        <v>4001</v>
      </c>
      <c r="AF443" s="382">
        <v>1</v>
      </c>
      <c r="AG443" s="135"/>
      <c r="AH443" s="135"/>
      <c r="AJ443" s="267" t="s">
        <v>188</v>
      </c>
      <c r="AN443" s="278">
        <v>2</v>
      </c>
      <c r="AO443" s="278">
        <v>2</v>
      </c>
      <c r="AP443" s="278">
        <v>2</v>
      </c>
      <c r="AQ443" s="278">
        <v>2</v>
      </c>
    </row>
    <row r="444" spans="1:43">
      <c r="A444" s="135" t="s">
        <v>3653</v>
      </c>
      <c r="B444" s="135" t="s">
        <v>3706</v>
      </c>
      <c r="C444" s="135" t="s">
        <v>3654</v>
      </c>
      <c r="D444" s="46">
        <v>11135542</v>
      </c>
      <c r="E444" s="20" t="s">
        <v>3655</v>
      </c>
      <c r="F444" s="20" t="s">
        <v>3656</v>
      </c>
      <c r="G444" s="24">
        <v>2</v>
      </c>
      <c r="H444" s="21">
        <v>46260</v>
      </c>
      <c r="I444" s="53" t="s">
        <v>3657</v>
      </c>
      <c r="J444" s="24" t="s">
        <v>3658</v>
      </c>
      <c r="K444" s="24">
        <v>2</v>
      </c>
      <c r="L444" s="46">
        <v>12116066</v>
      </c>
      <c r="M444" s="20" t="s">
        <v>3671</v>
      </c>
      <c r="N444" s="38">
        <v>0</v>
      </c>
      <c r="O444" s="38">
        <v>0</v>
      </c>
      <c r="P444" s="20" t="s">
        <v>3227</v>
      </c>
      <c r="Q444" s="20">
        <v>0</v>
      </c>
      <c r="R444" s="40">
        <v>46251</v>
      </c>
      <c r="S444" s="20">
        <v>0</v>
      </c>
      <c r="T444" s="20">
        <v>0</v>
      </c>
      <c r="U444" s="40">
        <v>46252</v>
      </c>
      <c r="V444" s="40">
        <v>46252</v>
      </c>
      <c r="W444" s="20" t="s">
        <v>58</v>
      </c>
      <c r="X444" s="21"/>
      <c r="Y444" s="19">
        <f>VLOOKUP(F444,[2]New!$B:$G,3,0)*K444/60</f>
        <v>0.73333333333333328</v>
      </c>
      <c r="Z444" s="19">
        <f>VLOOKUP(F444,[2]New!$B:$G,4,0)*K444/60</f>
        <v>3.93</v>
      </c>
      <c r="AA444" s="19">
        <f>VLOOKUP(F444,[2]New!$B:$G,6,0)*K444/60</f>
        <v>3.8333333333333335</v>
      </c>
      <c r="AB444" s="44">
        <f>VLOOKUP(A444,'[4]PO CAG'!$A:$L,12,0)</f>
        <v>46269</v>
      </c>
      <c r="AC444" s="22">
        <f>IFERROR(VLOOKUP(F444,[3]Sheet1!$E:$H,4,0),)</f>
        <v>0</v>
      </c>
      <c r="AD444" s="144"/>
      <c r="AE444" s="25" t="s">
        <v>4001</v>
      </c>
      <c r="AF444" s="382">
        <v>1</v>
      </c>
      <c r="AG444" s="135"/>
      <c r="AH444" s="135"/>
      <c r="AJ444" s="267" t="s">
        <v>188</v>
      </c>
      <c r="AN444" s="278">
        <v>2</v>
      </c>
      <c r="AO444" s="278">
        <v>2</v>
      </c>
      <c r="AP444" s="278">
        <v>2</v>
      </c>
      <c r="AQ444" s="278">
        <v>2</v>
      </c>
    </row>
    <row r="445" spans="1:43">
      <c r="A445" s="135" t="s">
        <v>3659</v>
      </c>
      <c r="B445" s="135" t="s">
        <v>3707</v>
      </c>
      <c r="C445" s="135" t="s">
        <v>3660</v>
      </c>
      <c r="D445" s="46">
        <v>11135545</v>
      </c>
      <c r="E445" s="20" t="s">
        <v>3661</v>
      </c>
      <c r="F445" s="20" t="s">
        <v>3662</v>
      </c>
      <c r="G445" s="24">
        <v>1</v>
      </c>
      <c r="H445" s="21">
        <v>46260</v>
      </c>
      <c r="I445" s="53" t="s">
        <v>3663</v>
      </c>
      <c r="J445" s="24" t="s">
        <v>3664</v>
      </c>
      <c r="K445" s="24">
        <v>1</v>
      </c>
      <c r="L445" s="46">
        <v>12116068</v>
      </c>
      <c r="M445" s="20" t="s">
        <v>3672</v>
      </c>
      <c r="N445" s="38">
        <v>0</v>
      </c>
      <c r="O445" s="38">
        <v>0</v>
      </c>
      <c r="P445" s="20" t="s">
        <v>3227</v>
      </c>
      <c r="Q445" s="20">
        <v>0</v>
      </c>
      <c r="R445" s="40">
        <v>46251</v>
      </c>
      <c r="S445" s="20">
        <v>0</v>
      </c>
      <c r="T445" s="20">
        <v>0</v>
      </c>
      <c r="U445" s="40">
        <v>46252</v>
      </c>
      <c r="V445" s="40">
        <v>46252</v>
      </c>
      <c r="W445" s="20" t="s">
        <v>58</v>
      </c>
      <c r="X445" s="21"/>
      <c r="Y445" s="19">
        <f>VLOOKUP(F445,[2]New!$B:$G,3,0)*K445/60</f>
        <v>1.4383333333333332</v>
      </c>
      <c r="Z445" s="19">
        <f>VLOOKUP(F445,[2]New!$B:$G,4,0)*K445/60</f>
        <v>1.6333333333333333</v>
      </c>
      <c r="AA445" s="19">
        <f>VLOOKUP(F445,[2]New!$B:$G,6,0)*K445/60</f>
        <v>3.25</v>
      </c>
      <c r="AB445" s="44">
        <f>VLOOKUP(A445,'[4]PO CAG'!$A:$L,12,0)</f>
        <v>46269</v>
      </c>
      <c r="AC445" s="22">
        <f>IFERROR(VLOOKUP(F445,[3]Sheet1!$E:$H,4,0),)</f>
        <v>0</v>
      </c>
      <c r="AD445" s="144"/>
      <c r="AE445" s="25" t="s">
        <v>4001</v>
      </c>
      <c r="AF445" s="382">
        <v>1</v>
      </c>
      <c r="AG445" s="135"/>
      <c r="AH445" s="135"/>
      <c r="AJ445" s="267" t="s">
        <v>188</v>
      </c>
      <c r="AN445" s="278">
        <v>2</v>
      </c>
      <c r="AO445" s="278">
        <v>2</v>
      </c>
      <c r="AP445" s="278">
        <v>2</v>
      </c>
      <c r="AQ445" s="278">
        <v>2</v>
      </c>
    </row>
    <row r="446" spans="1:43">
      <c r="A446" s="135" t="s">
        <v>3808</v>
      </c>
      <c r="B446" s="135" t="s">
        <v>3810</v>
      </c>
      <c r="C446" s="135" t="s">
        <v>3803</v>
      </c>
      <c r="D446" s="46">
        <v>12127738</v>
      </c>
      <c r="E446" s="20" t="s">
        <v>3804</v>
      </c>
      <c r="F446" s="20" t="s">
        <v>3805</v>
      </c>
      <c r="G446" s="24">
        <v>120</v>
      </c>
      <c r="H446" s="21">
        <v>46260</v>
      </c>
      <c r="I446" s="53" t="s">
        <v>3806</v>
      </c>
      <c r="J446" s="24" t="s">
        <v>3807</v>
      </c>
      <c r="K446" s="24">
        <v>123</v>
      </c>
      <c r="L446" s="46">
        <v>12000217</v>
      </c>
      <c r="M446" s="20" t="s">
        <v>3809</v>
      </c>
      <c r="N446" s="38">
        <v>0</v>
      </c>
      <c r="O446" s="38">
        <v>0</v>
      </c>
      <c r="P446" s="20" t="s">
        <v>469</v>
      </c>
      <c r="Q446" s="20">
        <v>3</v>
      </c>
      <c r="R446" s="40">
        <v>46249</v>
      </c>
      <c r="S446" s="20">
        <v>0</v>
      </c>
      <c r="T446" s="20">
        <v>0</v>
      </c>
      <c r="U446" s="40">
        <v>46251</v>
      </c>
      <c r="V446" s="40">
        <v>46251</v>
      </c>
      <c r="W446" s="20" t="s">
        <v>58</v>
      </c>
      <c r="X446" s="21"/>
      <c r="Y446" s="19">
        <v>0</v>
      </c>
      <c r="Z446" s="19">
        <v>0</v>
      </c>
      <c r="AA446" s="19">
        <v>0</v>
      </c>
      <c r="AB446" s="44">
        <v>46269</v>
      </c>
      <c r="AC446" s="22">
        <f>IFERROR(VLOOKUP(F446,[3]Sheet1!$E:$H,4,0),)</f>
        <v>0</v>
      </c>
      <c r="AD446" s="144"/>
      <c r="AE446" s="25" t="s">
        <v>4714</v>
      </c>
      <c r="AF446" s="135" t="s">
        <v>4003</v>
      </c>
      <c r="AG446" s="135"/>
      <c r="AH446" s="135"/>
      <c r="AJ446" s="267" t="s">
        <v>369</v>
      </c>
      <c r="AN446" s="278" t="s">
        <v>113</v>
      </c>
      <c r="AO446" s="278" t="s">
        <v>113</v>
      </c>
      <c r="AP446" s="278">
        <v>1</v>
      </c>
      <c r="AQ446" s="278">
        <v>1</v>
      </c>
    </row>
    <row r="447" spans="1:43">
      <c r="A447" s="135" t="s">
        <v>3815</v>
      </c>
      <c r="B447" s="135" t="s">
        <v>3740</v>
      </c>
      <c r="C447" s="135" t="s">
        <v>3816</v>
      </c>
      <c r="D447" s="46">
        <v>11119351</v>
      </c>
      <c r="E447" s="20" t="s">
        <v>3817</v>
      </c>
      <c r="F447" s="20" t="s">
        <v>3818</v>
      </c>
      <c r="G447" s="24">
        <v>1</v>
      </c>
      <c r="H447" s="21">
        <v>46261</v>
      </c>
      <c r="I447" s="53" t="s">
        <v>3819</v>
      </c>
      <c r="J447" s="24" t="s">
        <v>3820</v>
      </c>
      <c r="K447" s="24">
        <v>1</v>
      </c>
      <c r="L447" s="46">
        <v>12115986</v>
      </c>
      <c r="M447" s="20" t="s">
        <v>3919</v>
      </c>
      <c r="N447" s="38">
        <v>0</v>
      </c>
      <c r="O447" s="38">
        <v>0</v>
      </c>
      <c r="P447" s="20" t="s">
        <v>469</v>
      </c>
      <c r="Q447" s="20">
        <v>0</v>
      </c>
      <c r="R447" s="40">
        <v>46251</v>
      </c>
      <c r="S447" s="20">
        <v>0</v>
      </c>
      <c r="T447" s="20">
        <v>0</v>
      </c>
      <c r="U447" s="40">
        <v>46252</v>
      </c>
      <c r="V447" s="40">
        <v>46252</v>
      </c>
      <c r="W447" s="20" t="s">
        <v>57</v>
      </c>
      <c r="X447" s="21"/>
      <c r="Y447" s="19">
        <f>VLOOKUP(F447,[2]New!$B:$G,3,0)*K447/60</f>
        <v>0.93333333333333335</v>
      </c>
      <c r="Z447" s="19">
        <f>VLOOKUP(F447,[2]New!$B:$G,4,0)*K447/60</f>
        <v>3.9</v>
      </c>
      <c r="AA447" s="19">
        <f>VLOOKUP(F447,[2]New!$B:$G,6,0)*K447/60</f>
        <v>4.8166666666666664</v>
      </c>
      <c r="AB447" s="44">
        <f>VLOOKUP(A447,'[4]PO CAG'!$A:$L,12,0)</f>
        <v>46269</v>
      </c>
      <c r="AC447" s="22">
        <f>IFERROR(VLOOKUP(F447,[3]Sheet1!$E:$H,4,0),)</f>
        <v>0</v>
      </c>
      <c r="AD447" s="144"/>
      <c r="AE447" s="25" t="s">
        <v>4001</v>
      </c>
      <c r="AF447" s="382">
        <v>1</v>
      </c>
      <c r="AG447" s="135"/>
      <c r="AH447" s="135"/>
      <c r="AJ447" s="267" t="s">
        <v>153</v>
      </c>
      <c r="AN447" s="278">
        <v>2</v>
      </c>
      <c r="AO447" s="278">
        <v>2</v>
      </c>
      <c r="AP447" s="278">
        <v>2</v>
      </c>
      <c r="AQ447" s="278">
        <v>2</v>
      </c>
    </row>
    <row r="448" spans="1:43">
      <c r="A448" s="135" t="s">
        <v>3821</v>
      </c>
      <c r="B448" s="135" t="s">
        <v>3926</v>
      </c>
      <c r="C448" s="135" t="s">
        <v>3822</v>
      </c>
      <c r="D448" s="46">
        <v>11119503</v>
      </c>
      <c r="E448" s="20" t="s">
        <v>478</v>
      </c>
      <c r="F448" s="20" t="s">
        <v>479</v>
      </c>
      <c r="G448" s="24">
        <v>4</v>
      </c>
      <c r="H448" s="21">
        <v>46261</v>
      </c>
      <c r="I448" s="53" t="s">
        <v>3823</v>
      </c>
      <c r="J448" s="24" t="s">
        <v>3824</v>
      </c>
      <c r="K448" s="24">
        <v>4</v>
      </c>
      <c r="L448" s="46">
        <v>12116138</v>
      </c>
      <c r="M448" s="20" t="s">
        <v>484</v>
      </c>
      <c r="N448" s="38">
        <v>0</v>
      </c>
      <c r="O448" s="38">
        <v>0</v>
      </c>
      <c r="P448" s="20" t="s">
        <v>469</v>
      </c>
      <c r="Q448" s="20">
        <v>0</v>
      </c>
      <c r="R448" s="40">
        <v>46251</v>
      </c>
      <c r="S448" s="20">
        <v>0</v>
      </c>
      <c r="T448" s="20">
        <v>0</v>
      </c>
      <c r="U448" s="40">
        <v>46252</v>
      </c>
      <c r="V448" s="40">
        <v>46252</v>
      </c>
      <c r="W448" s="20" t="s">
        <v>57</v>
      </c>
      <c r="X448" s="21"/>
      <c r="Y448" s="19">
        <f>VLOOKUP(F448,[2]New!$B:$G,3,0)*K448/60</f>
        <v>3.7333333333333334</v>
      </c>
      <c r="Z448" s="19">
        <f>VLOOKUP(F448,[2]New!$B:$G,4,0)*K448/60</f>
        <v>15.6</v>
      </c>
      <c r="AA448" s="19">
        <f>VLOOKUP(F448,[2]New!$B:$G,6,0)*K448/60</f>
        <v>19.279999999999998</v>
      </c>
      <c r="AB448" s="44">
        <f>VLOOKUP(A448,'[4]PO CAG'!$A:$L,12,0)</f>
        <v>46269</v>
      </c>
      <c r="AC448" s="22">
        <f>IFERROR(VLOOKUP(F448,[3]Sheet1!$E:$H,4,0),)</f>
        <v>0</v>
      </c>
      <c r="AD448" s="144"/>
      <c r="AE448" s="25" t="s">
        <v>4001</v>
      </c>
      <c r="AF448" s="382">
        <v>1</v>
      </c>
      <c r="AG448" s="135"/>
      <c r="AH448" s="135"/>
      <c r="AJ448" s="267" t="s">
        <v>153</v>
      </c>
      <c r="AN448" s="278">
        <v>2</v>
      </c>
      <c r="AO448" s="278">
        <v>2</v>
      </c>
      <c r="AP448" s="278">
        <v>2</v>
      </c>
      <c r="AQ448" s="278">
        <v>2</v>
      </c>
    </row>
    <row r="449" spans="1:43">
      <c r="A449" s="135" t="s">
        <v>3825</v>
      </c>
      <c r="B449" s="135" t="s">
        <v>3927</v>
      </c>
      <c r="C449" s="135" t="s">
        <v>3826</v>
      </c>
      <c r="D449" s="46">
        <v>11119378</v>
      </c>
      <c r="E449" s="20" t="s">
        <v>1116</v>
      </c>
      <c r="F449" s="20" t="s">
        <v>1117</v>
      </c>
      <c r="G449" s="24">
        <v>4</v>
      </c>
      <c r="H449" s="21">
        <v>46261</v>
      </c>
      <c r="I449" s="53" t="s">
        <v>3827</v>
      </c>
      <c r="J449" s="24" t="s">
        <v>3828</v>
      </c>
      <c r="K449" s="24">
        <v>4</v>
      </c>
      <c r="L449" s="46">
        <v>12116013</v>
      </c>
      <c r="M449" s="20" t="s">
        <v>1144</v>
      </c>
      <c r="N449" s="38">
        <v>0</v>
      </c>
      <c r="O449" s="38">
        <v>0</v>
      </c>
      <c r="P449" s="20" t="s">
        <v>469</v>
      </c>
      <c r="Q449" s="20">
        <v>0</v>
      </c>
      <c r="R449" s="40">
        <v>46251</v>
      </c>
      <c r="S449" s="20">
        <v>0</v>
      </c>
      <c r="T449" s="20">
        <v>0</v>
      </c>
      <c r="U449" s="40">
        <v>46252</v>
      </c>
      <c r="V449" s="40">
        <v>46252</v>
      </c>
      <c r="W449" s="20" t="s">
        <v>57</v>
      </c>
      <c r="X449" s="21"/>
      <c r="Y449" s="19">
        <f>VLOOKUP(F449,[2]New!$B:$G,3,0)*K449/60</f>
        <v>3.7333333333333334</v>
      </c>
      <c r="Z449" s="19">
        <f>VLOOKUP(F449,[2]New!$B:$G,4,0)*K449/60</f>
        <v>15.6</v>
      </c>
      <c r="AA449" s="19">
        <f>VLOOKUP(F449,[2]New!$B:$G,6,0)*K449/60</f>
        <v>19.279999999999998</v>
      </c>
      <c r="AB449" s="44">
        <f>VLOOKUP(A449,'[4]PO CAG'!$A:$L,12,0)</f>
        <v>46269</v>
      </c>
      <c r="AC449" s="22">
        <f>IFERROR(VLOOKUP(F449,[3]Sheet1!$E:$H,4,0),)</f>
        <v>0</v>
      </c>
      <c r="AD449" s="144"/>
      <c r="AE449" s="25" t="s">
        <v>4001</v>
      </c>
      <c r="AF449" s="382">
        <v>1</v>
      </c>
      <c r="AG449" s="135"/>
      <c r="AH449" s="135"/>
      <c r="AJ449" s="267" t="s">
        <v>153</v>
      </c>
      <c r="AN449" s="278">
        <v>2</v>
      </c>
      <c r="AO449" s="278">
        <v>2</v>
      </c>
      <c r="AP449" s="278">
        <v>2</v>
      </c>
      <c r="AQ449" s="278">
        <v>2</v>
      </c>
    </row>
    <row r="450" spans="1:43">
      <c r="A450" s="135" t="s">
        <v>3829</v>
      </c>
      <c r="B450" s="135" t="s">
        <v>3928</v>
      </c>
      <c r="C450" s="135" t="s">
        <v>3830</v>
      </c>
      <c r="D450" s="46">
        <v>11119337</v>
      </c>
      <c r="E450" s="20" t="s">
        <v>3831</v>
      </c>
      <c r="F450" s="20" t="s">
        <v>3832</v>
      </c>
      <c r="G450" s="24">
        <v>39</v>
      </c>
      <c r="H450" s="21">
        <v>46261</v>
      </c>
      <c r="I450" s="53" t="s">
        <v>3833</v>
      </c>
      <c r="J450" s="24" t="s">
        <v>3834</v>
      </c>
      <c r="K450" s="24">
        <v>39</v>
      </c>
      <c r="L450" s="46">
        <v>12115972</v>
      </c>
      <c r="M450" s="20" t="s">
        <v>104</v>
      </c>
      <c r="N450" s="38">
        <v>0</v>
      </c>
      <c r="O450" s="38">
        <v>0</v>
      </c>
      <c r="P450" s="20" t="s">
        <v>469</v>
      </c>
      <c r="Q450" s="20">
        <v>0</v>
      </c>
      <c r="R450" s="40">
        <v>46251</v>
      </c>
      <c r="S450" s="20">
        <v>0</v>
      </c>
      <c r="T450" s="20">
        <v>0</v>
      </c>
      <c r="U450" s="40">
        <v>46252</v>
      </c>
      <c r="V450" s="40">
        <v>46252</v>
      </c>
      <c r="W450" s="20" t="s">
        <v>57</v>
      </c>
      <c r="X450" s="21"/>
      <c r="Y450" s="19">
        <f>VLOOKUP(F450,[2]New!$B:$G,3,0)*K450/60</f>
        <v>36.4</v>
      </c>
      <c r="Z450" s="19">
        <f>VLOOKUP(F450,[2]New!$B:$G,4,0)*K450/60</f>
        <v>152.1</v>
      </c>
      <c r="AA450" s="19">
        <f>VLOOKUP(F450,[2]New!$B:$G,6,0)*K450/60</f>
        <v>187.98</v>
      </c>
      <c r="AB450" s="44">
        <f>VLOOKUP(A450,'[4]PO CAG'!$A:$L,12,0)</f>
        <v>46269</v>
      </c>
      <c r="AC450" s="22">
        <f>IFERROR(VLOOKUP(F450,[3]Sheet1!$E:$H,4,0),)</f>
        <v>0</v>
      </c>
      <c r="AD450" s="144"/>
      <c r="AE450" s="25" t="s">
        <v>4001</v>
      </c>
      <c r="AF450" s="382">
        <v>1</v>
      </c>
      <c r="AG450" s="135"/>
      <c r="AH450" s="135"/>
      <c r="AJ450" s="267" t="s">
        <v>153</v>
      </c>
      <c r="AN450" s="278">
        <v>2</v>
      </c>
      <c r="AO450" s="278">
        <v>2</v>
      </c>
      <c r="AP450" s="278">
        <v>2</v>
      </c>
      <c r="AQ450" s="278">
        <v>2</v>
      </c>
    </row>
    <row r="451" spans="1:43">
      <c r="A451" s="135" t="s">
        <v>3835</v>
      </c>
      <c r="B451" s="135" t="s">
        <v>3929</v>
      </c>
      <c r="C451" s="135" t="s">
        <v>3836</v>
      </c>
      <c r="D451" s="46">
        <v>11119393</v>
      </c>
      <c r="E451" s="20" t="s">
        <v>3837</v>
      </c>
      <c r="F451" s="20" t="s">
        <v>3838</v>
      </c>
      <c r="G451" s="24">
        <v>166</v>
      </c>
      <c r="H451" s="21">
        <v>46261</v>
      </c>
      <c r="I451" s="53" t="s">
        <v>3839</v>
      </c>
      <c r="J451" s="24" t="s">
        <v>3840</v>
      </c>
      <c r="K451" s="24">
        <v>166</v>
      </c>
      <c r="L451" s="46">
        <v>12116028</v>
      </c>
      <c r="M451" s="20" t="s">
        <v>3920</v>
      </c>
      <c r="N451" s="38">
        <v>0</v>
      </c>
      <c r="O451" s="38">
        <v>0</v>
      </c>
      <c r="P451" s="20" t="s">
        <v>469</v>
      </c>
      <c r="Q451" s="20">
        <v>0</v>
      </c>
      <c r="R451" s="40">
        <v>46251</v>
      </c>
      <c r="S451" s="20">
        <v>0</v>
      </c>
      <c r="T451" s="20">
        <v>0</v>
      </c>
      <c r="U451" s="40">
        <v>46252</v>
      </c>
      <c r="V451" s="40">
        <v>46252</v>
      </c>
      <c r="W451" s="20" t="s">
        <v>57</v>
      </c>
      <c r="X451" s="21"/>
      <c r="Y451" s="19">
        <f>VLOOKUP(F451,[2]New!$B:$G,3,0)*K451/60</f>
        <v>154.93333333333334</v>
      </c>
      <c r="Z451" s="19">
        <f>VLOOKUP(F451,[2]New!$B:$G,4,0)*K451/60</f>
        <v>647.4</v>
      </c>
      <c r="AA451" s="19">
        <f>VLOOKUP(F451,[2]New!$B:$G,6,0)*K451/60</f>
        <v>800.12</v>
      </c>
      <c r="AB451" s="44">
        <f>VLOOKUP(A451,'[4]PO CAG'!$A:$L,12,0)</f>
        <v>46269</v>
      </c>
      <c r="AC451" s="22">
        <f>IFERROR(VLOOKUP(F451,[3]Sheet1!$E:$H,4,0),)</f>
        <v>0</v>
      </c>
      <c r="AD451" s="144"/>
      <c r="AE451" s="25" t="s">
        <v>4001</v>
      </c>
      <c r="AF451" s="382">
        <v>1</v>
      </c>
      <c r="AG451" s="135"/>
      <c r="AH451" s="135"/>
      <c r="AJ451" s="267" t="s">
        <v>153</v>
      </c>
      <c r="AN451" s="278">
        <v>2</v>
      </c>
      <c r="AO451" s="278">
        <v>2</v>
      </c>
      <c r="AP451" s="278">
        <v>2</v>
      </c>
      <c r="AQ451" s="278">
        <v>2</v>
      </c>
    </row>
    <row r="452" spans="1:43">
      <c r="A452" s="135" t="s">
        <v>3841</v>
      </c>
      <c r="B452" s="135" t="s">
        <v>3930</v>
      </c>
      <c r="C452" s="135" t="s">
        <v>3842</v>
      </c>
      <c r="D452" s="46">
        <v>11119375</v>
      </c>
      <c r="E452" s="20" t="s">
        <v>3843</v>
      </c>
      <c r="F452" s="20" t="s">
        <v>3844</v>
      </c>
      <c r="G452" s="24">
        <v>527</v>
      </c>
      <c r="H452" s="21">
        <v>46261</v>
      </c>
      <c r="I452" s="53" t="s">
        <v>3845</v>
      </c>
      <c r="J452" s="24" t="s">
        <v>3846</v>
      </c>
      <c r="K452" s="24">
        <v>527</v>
      </c>
      <c r="L452" s="46">
        <v>12116010</v>
      </c>
      <c r="M452" s="20" t="s">
        <v>3669</v>
      </c>
      <c r="N452" s="38">
        <v>0</v>
      </c>
      <c r="O452" s="38">
        <v>0</v>
      </c>
      <c r="P452" s="20" t="s">
        <v>469</v>
      </c>
      <c r="Q452" s="20">
        <v>0</v>
      </c>
      <c r="R452" s="40">
        <v>46251</v>
      </c>
      <c r="S452" s="20">
        <v>0</v>
      </c>
      <c r="T452" s="20">
        <v>0</v>
      </c>
      <c r="U452" s="40">
        <v>46252</v>
      </c>
      <c r="V452" s="40">
        <v>46252</v>
      </c>
      <c r="W452" s="20" t="s">
        <v>57</v>
      </c>
      <c r="X452" s="21"/>
      <c r="Y452" s="19">
        <f>VLOOKUP(F452,[2]New!$B:$G,3,0)*K452/60</f>
        <v>491.86666666666667</v>
      </c>
      <c r="Z452" s="19">
        <f>VLOOKUP(F452,[2]New!$B:$G,4,0)*K452/60</f>
        <v>2055.3000000000002</v>
      </c>
      <c r="AA452" s="19">
        <f>VLOOKUP(F452,[2]New!$B:$G,6,0)*K452/60</f>
        <v>2691.2133333333331</v>
      </c>
      <c r="AB452" s="44">
        <f>VLOOKUP(A452,'[4]PO CAG'!$A:$L,12,0)</f>
        <v>46269</v>
      </c>
      <c r="AC452" s="22">
        <f>IFERROR(VLOOKUP(F452,[3]Sheet1!$E:$H,4,0),)</f>
        <v>0</v>
      </c>
      <c r="AD452" s="144"/>
      <c r="AE452" s="25" t="s">
        <v>4001</v>
      </c>
      <c r="AF452" s="382">
        <v>1</v>
      </c>
      <c r="AG452" s="135"/>
      <c r="AH452" s="135"/>
      <c r="AJ452" s="267" t="s">
        <v>153</v>
      </c>
      <c r="AN452" s="278">
        <v>2</v>
      </c>
      <c r="AO452" s="278">
        <v>2</v>
      </c>
      <c r="AP452" s="278">
        <v>2</v>
      </c>
      <c r="AQ452" s="278">
        <v>2</v>
      </c>
    </row>
    <row r="453" spans="1:43">
      <c r="A453" s="135" t="s">
        <v>3847</v>
      </c>
      <c r="B453" s="135" t="s">
        <v>3931</v>
      </c>
      <c r="C453" s="135" t="s">
        <v>3848</v>
      </c>
      <c r="D453" s="46">
        <v>11134312</v>
      </c>
      <c r="E453" s="20" t="s">
        <v>3849</v>
      </c>
      <c r="F453" s="20" t="s">
        <v>3850</v>
      </c>
      <c r="G453" s="24">
        <v>2</v>
      </c>
      <c r="H453" s="21">
        <v>46261</v>
      </c>
      <c r="I453" s="53" t="s">
        <v>3851</v>
      </c>
      <c r="J453" s="24" t="s">
        <v>3852</v>
      </c>
      <c r="K453" s="24">
        <v>2</v>
      </c>
      <c r="L453" s="46">
        <v>12116320</v>
      </c>
      <c r="M453" s="20" t="s">
        <v>3921</v>
      </c>
      <c r="N453" s="38">
        <v>0</v>
      </c>
      <c r="O453" s="38">
        <v>0</v>
      </c>
      <c r="P453" s="20" t="s">
        <v>469</v>
      </c>
      <c r="Q453" s="20">
        <v>0</v>
      </c>
      <c r="R453" s="40">
        <v>46251</v>
      </c>
      <c r="S453" s="20">
        <v>0</v>
      </c>
      <c r="T453" s="20">
        <v>0</v>
      </c>
      <c r="U453" s="40">
        <v>46252</v>
      </c>
      <c r="V453" s="40">
        <v>46252</v>
      </c>
      <c r="W453" s="20" t="s">
        <v>58</v>
      </c>
      <c r="X453" s="21"/>
      <c r="Y453" s="19">
        <f>VLOOKUP(F453,[2]New!$B:$G,3,0)*K453/60</f>
        <v>1.8666666666666667</v>
      </c>
      <c r="Z453" s="19">
        <f>VLOOKUP(F453,[2]New!$B:$G,4,0)*K453/60</f>
        <v>7.8</v>
      </c>
      <c r="AA453" s="19">
        <f>VLOOKUP(F453,[2]New!$B:$G,6,0)*K453/60</f>
        <v>9.6399999999999988</v>
      </c>
      <c r="AB453" s="44">
        <f>VLOOKUP(A453,'[4]PO CAG'!$A:$L,12,0)</f>
        <v>46269</v>
      </c>
      <c r="AC453" s="22">
        <f>IFERROR(VLOOKUP(F453,[3]Sheet1!$E:$H,4,0),)</f>
        <v>0</v>
      </c>
      <c r="AD453" s="144"/>
      <c r="AE453" s="25" t="s">
        <v>4001</v>
      </c>
      <c r="AF453" s="382">
        <v>1</v>
      </c>
      <c r="AG453" s="135"/>
      <c r="AH453" s="135"/>
      <c r="AJ453" s="267" t="s">
        <v>188</v>
      </c>
      <c r="AN453" s="278">
        <v>2</v>
      </c>
      <c r="AO453" s="278">
        <v>2</v>
      </c>
      <c r="AP453" s="278">
        <v>2</v>
      </c>
      <c r="AQ453" s="278">
        <v>2</v>
      </c>
    </row>
    <row r="454" spans="1:43">
      <c r="A454" s="135" t="s">
        <v>3853</v>
      </c>
      <c r="B454" s="135" t="s">
        <v>3932</v>
      </c>
      <c r="C454" s="135" t="s">
        <v>3854</v>
      </c>
      <c r="D454" s="46">
        <v>11134274</v>
      </c>
      <c r="E454" s="20" t="s">
        <v>1272</v>
      </c>
      <c r="F454" s="20" t="s">
        <v>1273</v>
      </c>
      <c r="G454" s="24">
        <v>4</v>
      </c>
      <c r="H454" s="21">
        <v>46261</v>
      </c>
      <c r="I454" s="53" t="s">
        <v>3855</v>
      </c>
      <c r="J454" s="24" t="s">
        <v>3856</v>
      </c>
      <c r="K454" s="24">
        <v>4</v>
      </c>
      <c r="L454" s="46">
        <v>12116158</v>
      </c>
      <c r="M454" s="20" t="s">
        <v>1283</v>
      </c>
      <c r="N454" s="38">
        <v>0</v>
      </c>
      <c r="O454" s="38">
        <v>0</v>
      </c>
      <c r="P454" s="20" t="s">
        <v>469</v>
      </c>
      <c r="Q454" s="20">
        <v>0</v>
      </c>
      <c r="R454" s="40">
        <v>46251</v>
      </c>
      <c r="S454" s="20">
        <v>0</v>
      </c>
      <c r="T454" s="20">
        <v>0</v>
      </c>
      <c r="U454" s="40">
        <v>46252</v>
      </c>
      <c r="V454" s="40">
        <v>46252</v>
      </c>
      <c r="W454" s="20" t="s">
        <v>58</v>
      </c>
      <c r="X454" s="21"/>
      <c r="Y454" s="19">
        <f>VLOOKUP(F454,[2]New!$B:$G,3,0)*K454/60</f>
        <v>3.7333333333333334</v>
      </c>
      <c r="Z454" s="19">
        <f>VLOOKUP(F454,[2]New!$B:$G,4,0)*K454/60</f>
        <v>15.6</v>
      </c>
      <c r="AA454" s="19">
        <f>VLOOKUP(F454,[2]New!$B:$G,6,0)*K454/60</f>
        <v>19.279999999999998</v>
      </c>
      <c r="AB454" s="44">
        <f>VLOOKUP(A454,'[4]PO CAG'!$A:$L,12,0)</f>
        <v>46269</v>
      </c>
      <c r="AC454" s="22">
        <f>IFERROR(VLOOKUP(F454,[3]Sheet1!$E:$H,4,0),)</f>
        <v>0</v>
      </c>
      <c r="AD454" s="144"/>
      <c r="AE454" s="25" t="s">
        <v>4001</v>
      </c>
      <c r="AF454" s="382">
        <v>1</v>
      </c>
      <c r="AG454" s="135"/>
      <c r="AH454" s="135"/>
      <c r="AJ454" s="267" t="s">
        <v>188</v>
      </c>
      <c r="AN454" s="278">
        <v>2</v>
      </c>
      <c r="AO454" s="278">
        <v>2</v>
      </c>
      <c r="AP454" s="278">
        <v>2</v>
      </c>
      <c r="AQ454" s="278">
        <v>2</v>
      </c>
    </row>
    <row r="455" spans="1:43">
      <c r="A455" s="135" t="s">
        <v>3857</v>
      </c>
      <c r="B455" s="135" t="s">
        <v>3933</v>
      </c>
      <c r="C455" s="135" t="s">
        <v>3858</v>
      </c>
      <c r="D455" s="46">
        <v>11134258</v>
      </c>
      <c r="E455" s="20" t="s">
        <v>480</v>
      </c>
      <c r="F455" s="20" t="s">
        <v>481</v>
      </c>
      <c r="G455" s="24">
        <v>10</v>
      </c>
      <c r="H455" s="21">
        <v>46261</v>
      </c>
      <c r="I455" s="53" t="s">
        <v>3859</v>
      </c>
      <c r="J455" s="24" t="s">
        <v>3860</v>
      </c>
      <c r="K455" s="24">
        <v>10</v>
      </c>
      <c r="L455" s="46">
        <v>12116062</v>
      </c>
      <c r="M455" s="20" t="s">
        <v>485</v>
      </c>
      <c r="N455" s="38">
        <v>0</v>
      </c>
      <c r="O455" s="38">
        <v>0</v>
      </c>
      <c r="P455" s="20" t="s">
        <v>469</v>
      </c>
      <c r="Q455" s="20">
        <v>0</v>
      </c>
      <c r="R455" s="40">
        <v>46251</v>
      </c>
      <c r="S455" s="20">
        <v>0</v>
      </c>
      <c r="T455" s="20">
        <v>0</v>
      </c>
      <c r="U455" s="40">
        <v>46252</v>
      </c>
      <c r="V455" s="40">
        <v>46252</v>
      </c>
      <c r="W455" s="20" t="s">
        <v>58</v>
      </c>
      <c r="X455" s="21"/>
      <c r="Y455" s="19">
        <f>VLOOKUP(F455,[2]New!$B:$G,3,0)*K455/60</f>
        <v>9.3333333333333339</v>
      </c>
      <c r="Z455" s="19">
        <f>VLOOKUP(F455,[2]New!$B:$G,4,0)*K455/60</f>
        <v>39</v>
      </c>
      <c r="AA455" s="19">
        <f>VLOOKUP(F455,[2]New!$B:$G,6,0)*K455/60</f>
        <v>48.166666666666664</v>
      </c>
      <c r="AB455" s="44">
        <f>VLOOKUP(A455,'[4]PO CAG'!$A:$L,12,0)</f>
        <v>46269</v>
      </c>
      <c r="AC455" s="22">
        <f>IFERROR(VLOOKUP(F455,[3]Sheet1!$E:$H,4,0),)</f>
        <v>0</v>
      </c>
      <c r="AD455" s="144"/>
      <c r="AE455" s="25" t="s">
        <v>4001</v>
      </c>
      <c r="AF455" s="382">
        <v>1</v>
      </c>
      <c r="AG455" s="135"/>
      <c r="AH455" s="135"/>
      <c r="AJ455" s="267" t="s">
        <v>188</v>
      </c>
      <c r="AN455" s="278">
        <v>2</v>
      </c>
      <c r="AO455" s="278">
        <v>2</v>
      </c>
      <c r="AP455" s="278">
        <v>2</v>
      </c>
      <c r="AQ455" s="278">
        <v>2</v>
      </c>
    </row>
    <row r="456" spans="1:43">
      <c r="A456" s="135" t="s">
        <v>3861</v>
      </c>
      <c r="B456" s="135" t="s">
        <v>3934</v>
      </c>
      <c r="C456" s="135" t="s">
        <v>3862</v>
      </c>
      <c r="D456" s="46">
        <v>11134257</v>
      </c>
      <c r="E456" s="20" t="s">
        <v>3863</v>
      </c>
      <c r="F456" s="20" t="s">
        <v>3864</v>
      </c>
      <c r="G456" s="24">
        <v>15</v>
      </c>
      <c r="H456" s="21">
        <v>46261</v>
      </c>
      <c r="I456" s="53" t="s">
        <v>3865</v>
      </c>
      <c r="J456" s="24" t="s">
        <v>3866</v>
      </c>
      <c r="K456" s="24">
        <v>15</v>
      </c>
      <c r="L456" s="46">
        <v>12116061</v>
      </c>
      <c r="M456" s="20" t="s">
        <v>3922</v>
      </c>
      <c r="N456" s="38">
        <v>0</v>
      </c>
      <c r="O456" s="38">
        <v>0</v>
      </c>
      <c r="P456" s="20" t="s">
        <v>469</v>
      </c>
      <c r="Q456" s="20">
        <v>0</v>
      </c>
      <c r="R456" s="40">
        <v>46251</v>
      </c>
      <c r="S456" s="20">
        <v>0</v>
      </c>
      <c r="T456" s="20">
        <v>0</v>
      </c>
      <c r="U456" s="40">
        <v>46252</v>
      </c>
      <c r="V456" s="40">
        <v>46252</v>
      </c>
      <c r="W456" s="20" t="s">
        <v>58</v>
      </c>
      <c r="X456" s="21"/>
      <c r="Y456" s="19">
        <f>VLOOKUP(F456,[2]New!$B:$G,3,0)*K456/60</f>
        <v>14</v>
      </c>
      <c r="Z456" s="19">
        <f>VLOOKUP(F456,[2]New!$B:$G,4,0)*K456/60</f>
        <v>58.5</v>
      </c>
      <c r="AA456" s="19">
        <f>VLOOKUP(F456,[2]New!$B:$G,6,0)*K456/60</f>
        <v>72.3</v>
      </c>
      <c r="AB456" s="44">
        <f>VLOOKUP(A456,'[4]PO CAG'!$A:$L,12,0)</f>
        <v>46269</v>
      </c>
      <c r="AC456" s="22">
        <f>IFERROR(VLOOKUP(F456,[3]Sheet1!$E:$H,4,0),)</f>
        <v>0</v>
      </c>
      <c r="AD456" s="144"/>
      <c r="AE456" s="25" t="s">
        <v>4713</v>
      </c>
      <c r="AF456" s="382">
        <v>1</v>
      </c>
      <c r="AG456" s="135"/>
      <c r="AH456" s="135"/>
      <c r="AJ456" s="267" t="s">
        <v>188</v>
      </c>
      <c r="AN456" s="278">
        <v>2</v>
      </c>
      <c r="AO456" s="278">
        <v>2</v>
      </c>
      <c r="AP456" s="278">
        <v>2</v>
      </c>
      <c r="AQ456" s="278">
        <v>2</v>
      </c>
    </row>
    <row r="457" spans="1:43">
      <c r="A457" s="135" t="s">
        <v>3867</v>
      </c>
      <c r="B457" s="135" t="s">
        <v>3935</v>
      </c>
      <c r="C457" s="135" t="s">
        <v>3868</v>
      </c>
      <c r="D457" s="46">
        <v>11134250</v>
      </c>
      <c r="E457" s="20" t="s">
        <v>3869</v>
      </c>
      <c r="F457" s="20" t="s">
        <v>3870</v>
      </c>
      <c r="G457" s="24">
        <v>20</v>
      </c>
      <c r="H457" s="21">
        <v>46261</v>
      </c>
      <c r="I457" s="53" t="s">
        <v>3871</v>
      </c>
      <c r="J457" s="24" t="s">
        <v>3872</v>
      </c>
      <c r="K457" s="24">
        <v>20</v>
      </c>
      <c r="L457" s="46">
        <v>12116034</v>
      </c>
      <c r="M457" s="20" t="s">
        <v>105</v>
      </c>
      <c r="N457" s="38">
        <v>0</v>
      </c>
      <c r="O457" s="38">
        <v>0</v>
      </c>
      <c r="P457" s="20" t="s">
        <v>469</v>
      </c>
      <c r="Q457" s="20">
        <v>0</v>
      </c>
      <c r="R457" s="40">
        <v>46251</v>
      </c>
      <c r="S457" s="20">
        <v>0</v>
      </c>
      <c r="T457" s="20">
        <v>0</v>
      </c>
      <c r="U457" s="40">
        <v>46252</v>
      </c>
      <c r="V457" s="40">
        <v>46252</v>
      </c>
      <c r="W457" s="20" t="s">
        <v>58</v>
      </c>
      <c r="X457" s="21"/>
      <c r="Y457" s="19">
        <f>VLOOKUP(F457,[2]New!$B:$G,3,0)*K457/60</f>
        <v>18.666666666666668</v>
      </c>
      <c r="Z457" s="19">
        <f>VLOOKUP(F457,[2]New!$B:$G,4,0)*K457/60</f>
        <v>78</v>
      </c>
      <c r="AA457" s="19">
        <f>VLOOKUP(F457,[2]New!$B:$G,6,0)*K457/60</f>
        <v>96.4</v>
      </c>
      <c r="AB457" s="44">
        <f>VLOOKUP(A457,'[4]PO CAG'!$A:$L,12,0)</f>
        <v>46269</v>
      </c>
      <c r="AC457" s="22">
        <f>IFERROR(VLOOKUP(F457,[3]Sheet1!$E:$H,4,0),)</f>
        <v>0</v>
      </c>
      <c r="AD457" s="144"/>
      <c r="AE457" s="25" t="s">
        <v>4001</v>
      </c>
      <c r="AF457" s="382">
        <v>1</v>
      </c>
      <c r="AG457" s="135"/>
      <c r="AH457" s="135"/>
      <c r="AJ457" s="267" t="s">
        <v>188</v>
      </c>
      <c r="AN457" s="278">
        <v>2</v>
      </c>
      <c r="AO457" s="278">
        <v>2</v>
      </c>
      <c r="AP457" s="278">
        <v>2</v>
      </c>
      <c r="AQ457" s="278">
        <v>2</v>
      </c>
    </row>
    <row r="458" spans="1:43">
      <c r="A458" s="135" t="s">
        <v>3873</v>
      </c>
      <c r="B458" s="135" t="s">
        <v>3936</v>
      </c>
      <c r="C458" s="135" t="s">
        <v>3874</v>
      </c>
      <c r="D458" s="46">
        <v>11134265</v>
      </c>
      <c r="E458" s="20" t="s">
        <v>3875</v>
      </c>
      <c r="F458" s="20" t="s">
        <v>3876</v>
      </c>
      <c r="G458" s="24">
        <v>22</v>
      </c>
      <c r="H458" s="21">
        <v>46261</v>
      </c>
      <c r="I458" s="53" t="s">
        <v>3877</v>
      </c>
      <c r="J458" s="24" t="s">
        <v>3878</v>
      </c>
      <c r="K458" s="24">
        <v>22</v>
      </c>
      <c r="L458" s="46">
        <v>12116069</v>
      </c>
      <c r="M458" s="20" t="s">
        <v>3923</v>
      </c>
      <c r="N458" s="38">
        <v>0</v>
      </c>
      <c r="O458" s="38">
        <v>0</v>
      </c>
      <c r="P458" s="20" t="s">
        <v>469</v>
      </c>
      <c r="Q458" s="20">
        <v>0</v>
      </c>
      <c r="R458" s="40">
        <v>46251</v>
      </c>
      <c r="S458" s="20">
        <v>0</v>
      </c>
      <c r="T458" s="20">
        <v>0</v>
      </c>
      <c r="U458" s="40">
        <v>46252</v>
      </c>
      <c r="V458" s="40">
        <v>46252</v>
      </c>
      <c r="W458" s="20" t="s">
        <v>58</v>
      </c>
      <c r="X458" s="21"/>
      <c r="Y458" s="19">
        <f>VLOOKUP(F458,[2]New!$B:$G,3,0)*K458/60</f>
        <v>20.533333333333335</v>
      </c>
      <c r="Z458" s="19">
        <f>VLOOKUP(F458,[2]New!$B:$G,4,0)*K458/60</f>
        <v>85.8</v>
      </c>
      <c r="AA458" s="19">
        <f>VLOOKUP(F458,[2]New!$B:$G,6,0)*K458/60</f>
        <v>106.03999999999999</v>
      </c>
      <c r="AB458" s="44">
        <f>VLOOKUP(A458,'[4]PO CAG'!$A:$L,12,0)</f>
        <v>46269</v>
      </c>
      <c r="AC458" s="22">
        <f>IFERROR(VLOOKUP(F458,[3]Sheet1!$E:$H,4,0),)</f>
        <v>0</v>
      </c>
      <c r="AD458" s="144"/>
      <c r="AE458" s="25" t="s">
        <v>4001</v>
      </c>
      <c r="AF458" s="382">
        <v>1</v>
      </c>
      <c r="AG458" s="135"/>
      <c r="AH458" s="135"/>
      <c r="AJ458" s="267" t="s">
        <v>188</v>
      </c>
      <c r="AN458" s="278">
        <v>2</v>
      </c>
      <c r="AO458" s="278">
        <v>2</v>
      </c>
      <c r="AP458" s="278">
        <v>2</v>
      </c>
      <c r="AQ458" s="278">
        <v>2</v>
      </c>
    </row>
    <row r="459" spans="1:43">
      <c r="A459" s="135" t="s">
        <v>3988</v>
      </c>
      <c r="B459" s="135" t="s">
        <v>3937</v>
      </c>
      <c r="C459" s="135" t="s">
        <v>3986</v>
      </c>
      <c r="D459" s="46">
        <v>11134250</v>
      </c>
      <c r="E459" s="20" t="s">
        <v>3869</v>
      </c>
      <c r="F459" s="20" t="s">
        <v>3870</v>
      </c>
      <c r="G459" s="24">
        <v>2</v>
      </c>
      <c r="H459" s="21">
        <v>46261</v>
      </c>
      <c r="I459" s="53" t="s">
        <v>3987</v>
      </c>
      <c r="J459" s="24" t="s">
        <v>3881</v>
      </c>
      <c r="K459" s="24">
        <v>2</v>
      </c>
      <c r="L459" s="46">
        <v>12116034</v>
      </c>
      <c r="M459" s="20" t="s">
        <v>105</v>
      </c>
      <c r="N459" s="38">
        <v>0</v>
      </c>
      <c r="O459" s="38">
        <v>0</v>
      </c>
      <c r="P459" s="20" t="s">
        <v>469</v>
      </c>
      <c r="Q459" s="20">
        <v>0</v>
      </c>
      <c r="R459" s="40">
        <v>46251</v>
      </c>
      <c r="S459" s="20">
        <v>0</v>
      </c>
      <c r="T459" s="20">
        <v>0</v>
      </c>
      <c r="U459" s="40">
        <v>46252</v>
      </c>
      <c r="V459" s="40">
        <v>46252</v>
      </c>
      <c r="W459" s="20" t="s">
        <v>58</v>
      </c>
      <c r="X459" s="21"/>
      <c r="Y459" s="19">
        <f>VLOOKUP(F459,[2]New!$B:$G,3,0)*K459/60</f>
        <v>1.8666666666666667</v>
      </c>
      <c r="Z459" s="19">
        <f>VLOOKUP(F459,[2]New!$B:$G,4,0)*K459/60</f>
        <v>7.8</v>
      </c>
      <c r="AA459" s="19">
        <f>VLOOKUP(F459,[2]New!$B:$G,6,0)*K459/60</f>
        <v>9.6399999999999988</v>
      </c>
      <c r="AB459" s="44">
        <f>VLOOKUP(A459,'[4]PO CAG'!$A:$L,12,0)</f>
        <v>46269</v>
      </c>
      <c r="AC459" s="22">
        <f>IFERROR(VLOOKUP(F459,[3]Sheet1!$E:$H,4,0),)</f>
        <v>0</v>
      </c>
      <c r="AD459" s="144"/>
      <c r="AE459" s="25" t="s">
        <v>4001</v>
      </c>
      <c r="AF459" s="382">
        <v>1</v>
      </c>
      <c r="AG459" s="135"/>
      <c r="AH459" s="135"/>
      <c r="AJ459" s="267" t="s">
        <v>188</v>
      </c>
      <c r="AN459" s="278">
        <v>2</v>
      </c>
      <c r="AO459" s="278">
        <v>2</v>
      </c>
      <c r="AP459" s="278">
        <v>2</v>
      </c>
      <c r="AQ459" s="278">
        <v>2</v>
      </c>
    </row>
    <row r="460" spans="1:43">
      <c r="A460" s="135" t="s">
        <v>3882</v>
      </c>
      <c r="B460" s="135" t="s">
        <v>3938</v>
      </c>
      <c r="C460" s="135" t="s">
        <v>3883</v>
      </c>
      <c r="D460" s="46">
        <v>11134279</v>
      </c>
      <c r="E460" s="20" t="s">
        <v>3879</v>
      </c>
      <c r="F460" s="20" t="s">
        <v>3880</v>
      </c>
      <c r="G460" s="24">
        <v>26</v>
      </c>
      <c r="H460" s="21">
        <v>46261</v>
      </c>
      <c r="I460" s="53" t="s">
        <v>3884</v>
      </c>
      <c r="J460" s="24" t="s">
        <v>3885</v>
      </c>
      <c r="K460" s="24">
        <v>26</v>
      </c>
      <c r="L460" s="46">
        <v>12116191</v>
      </c>
      <c r="M460" s="20" t="s">
        <v>3924</v>
      </c>
      <c r="N460" s="38">
        <v>0</v>
      </c>
      <c r="O460" s="38">
        <v>0</v>
      </c>
      <c r="P460" s="20" t="s">
        <v>469</v>
      </c>
      <c r="Q460" s="20">
        <v>0</v>
      </c>
      <c r="R460" s="40">
        <v>46251</v>
      </c>
      <c r="S460" s="20">
        <v>0</v>
      </c>
      <c r="T460" s="20">
        <v>0</v>
      </c>
      <c r="U460" s="40">
        <v>46252</v>
      </c>
      <c r="V460" s="40">
        <v>46252</v>
      </c>
      <c r="W460" s="20" t="s">
        <v>58</v>
      </c>
      <c r="X460" s="21"/>
      <c r="Y460" s="19">
        <f>VLOOKUP(F460,[2]New!$B:$G,3,0)*K460/60</f>
        <v>24.266666666666666</v>
      </c>
      <c r="Z460" s="19">
        <f>VLOOKUP(F460,[2]New!$B:$G,4,0)*K460/60</f>
        <v>101.4</v>
      </c>
      <c r="AA460" s="19">
        <f>VLOOKUP(F460,[2]New!$B:$G,6,0)*K460/60</f>
        <v>125.32</v>
      </c>
      <c r="AB460" s="44">
        <f>VLOOKUP(A460,'[4]PO CAG'!$A:$L,12,0)</f>
        <v>46269</v>
      </c>
      <c r="AC460" s="22">
        <f>IFERROR(VLOOKUP(F460,[3]Sheet1!$E:$H,4,0),)</f>
        <v>0</v>
      </c>
      <c r="AD460" s="144"/>
      <c r="AE460" s="25" t="s">
        <v>4001</v>
      </c>
      <c r="AF460" s="382">
        <v>1</v>
      </c>
      <c r="AG460" s="135"/>
      <c r="AH460" s="135"/>
      <c r="AJ460" s="267" t="s">
        <v>188</v>
      </c>
      <c r="AN460" s="278">
        <v>2</v>
      </c>
      <c r="AO460" s="278">
        <v>2</v>
      </c>
      <c r="AP460" s="278">
        <v>2</v>
      </c>
      <c r="AQ460" s="278">
        <v>2</v>
      </c>
    </row>
    <row r="461" spans="1:43">
      <c r="A461" s="135" t="s">
        <v>3886</v>
      </c>
      <c r="B461" s="135" t="s">
        <v>3939</v>
      </c>
      <c r="C461" s="135" t="s">
        <v>3887</v>
      </c>
      <c r="D461" s="46">
        <v>11134264</v>
      </c>
      <c r="E461" s="20" t="s">
        <v>3888</v>
      </c>
      <c r="F461" s="20" t="s">
        <v>3889</v>
      </c>
      <c r="G461" s="24">
        <v>47</v>
      </c>
      <c r="H461" s="21">
        <v>46261</v>
      </c>
      <c r="I461" s="53" t="s">
        <v>3890</v>
      </c>
      <c r="J461" s="24" t="s">
        <v>3891</v>
      </c>
      <c r="K461" s="24">
        <v>47</v>
      </c>
      <c r="L461" s="46">
        <v>12116068</v>
      </c>
      <c r="M461" s="20" t="s">
        <v>3672</v>
      </c>
      <c r="N461" s="38">
        <v>0</v>
      </c>
      <c r="O461" s="38">
        <v>0</v>
      </c>
      <c r="P461" s="20" t="s">
        <v>469</v>
      </c>
      <c r="Q461" s="20">
        <v>0</v>
      </c>
      <c r="R461" s="40">
        <v>46251</v>
      </c>
      <c r="S461" s="20">
        <v>0</v>
      </c>
      <c r="T461" s="20">
        <v>0</v>
      </c>
      <c r="U461" s="40">
        <v>46252</v>
      </c>
      <c r="V461" s="40">
        <v>46252</v>
      </c>
      <c r="W461" s="20" t="s">
        <v>58</v>
      </c>
      <c r="X461" s="21"/>
      <c r="Y461" s="19">
        <f>VLOOKUP(F461,[2]New!$B:$G,3,0)*K461/60</f>
        <v>43.866666666666667</v>
      </c>
      <c r="Z461" s="19">
        <f>VLOOKUP(F461,[2]New!$B:$G,4,0)*K461/60</f>
        <v>183.3</v>
      </c>
      <c r="AA461" s="19">
        <f>VLOOKUP(F461,[2]New!$B:$G,6,0)*K461/60</f>
        <v>226.54</v>
      </c>
      <c r="AB461" s="44">
        <f>VLOOKUP(A461,'[4]PO CAG'!$A:$L,12,0)</f>
        <v>46269</v>
      </c>
      <c r="AC461" s="22">
        <f>IFERROR(VLOOKUP(F461,[3]Sheet1!$E:$H,4,0),)</f>
        <v>0</v>
      </c>
      <c r="AD461" s="144"/>
      <c r="AE461" s="25" t="s">
        <v>4001</v>
      </c>
      <c r="AF461" s="382">
        <v>1</v>
      </c>
      <c r="AG461" s="135"/>
      <c r="AH461" s="135"/>
      <c r="AJ461" s="267" t="s">
        <v>188</v>
      </c>
      <c r="AN461" s="278">
        <v>2</v>
      </c>
      <c r="AO461" s="278">
        <v>2</v>
      </c>
      <c r="AP461" s="278">
        <v>2</v>
      </c>
      <c r="AQ461" s="278">
        <v>2</v>
      </c>
    </row>
    <row r="462" spans="1:43">
      <c r="A462" s="135" t="s">
        <v>3892</v>
      </c>
      <c r="B462" s="135" t="s">
        <v>3940</v>
      </c>
      <c r="C462" s="135" t="s">
        <v>3893</v>
      </c>
      <c r="D462" s="46">
        <v>11134263</v>
      </c>
      <c r="E462" s="20" t="s">
        <v>3894</v>
      </c>
      <c r="F462" s="20" t="s">
        <v>3895</v>
      </c>
      <c r="G462" s="24">
        <v>57</v>
      </c>
      <c r="H462" s="21">
        <v>46261</v>
      </c>
      <c r="I462" s="53" t="s">
        <v>3896</v>
      </c>
      <c r="J462" s="24" t="s">
        <v>3897</v>
      </c>
      <c r="K462" s="24">
        <v>57</v>
      </c>
      <c r="L462" s="46">
        <v>12116067</v>
      </c>
      <c r="M462" s="20" t="s">
        <v>3925</v>
      </c>
      <c r="N462" s="38">
        <v>0</v>
      </c>
      <c r="O462" s="38">
        <v>0</v>
      </c>
      <c r="P462" s="20" t="s">
        <v>469</v>
      </c>
      <c r="Q462" s="20">
        <v>0</v>
      </c>
      <c r="R462" s="40">
        <v>46251</v>
      </c>
      <c r="S462" s="20">
        <v>0</v>
      </c>
      <c r="T462" s="20">
        <v>0</v>
      </c>
      <c r="U462" s="40">
        <v>46252</v>
      </c>
      <c r="V462" s="40">
        <v>46252</v>
      </c>
      <c r="W462" s="20" t="s">
        <v>58</v>
      </c>
      <c r="X462" s="21"/>
      <c r="Y462" s="19">
        <f>VLOOKUP(F462,[2]New!$B:$G,3,0)*K462/60</f>
        <v>53.2</v>
      </c>
      <c r="Z462" s="19">
        <f>VLOOKUP(F462,[2]New!$B:$G,4,0)*K462/60</f>
        <v>222.3</v>
      </c>
      <c r="AA462" s="19">
        <f>VLOOKUP(F462,[2]New!$B:$G,6,0)*K462/60</f>
        <v>274.73999999999995</v>
      </c>
      <c r="AB462" s="44">
        <f>VLOOKUP(A462,'[4]PO CAG'!$A:$L,12,0)</f>
        <v>46269</v>
      </c>
      <c r="AC462" s="22">
        <f>IFERROR(VLOOKUP(F462,[3]Sheet1!$E:$H,4,0),)</f>
        <v>0</v>
      </c>
      <c r="AD462" s="144"/>
      <c r="AE462" s="25" t="s">
        <v>4001</v>
      </c>
      <c r="AF462" s="382">
        <v>1</v>
      </c>
      <c r="AG462" s="135"/>
      <c r="AH462" s="135"/>
      <c r="AJ462" s="267" t="s">
        <v>188</v>
      </c>
      <c r="AN462" s="278">
        <v>2</v>
      </c>
      <c r="AO462" s="278">
        <v>2</v>
      </c>
      <c r="AP462" s="278">
        <v>2</v>
      </c>
      <c r="AQ462" s="278">
        <v>2</v>
      </c>
    </row>
    <row r="463" spans="1:43">
      <c r="A463" s="135" t="s">
        <v>3635</v>
      </c>
      <c r="B463" s="135" t="s">
        <v>3941</v>
      </c>
      <c r="C463" s="135" t="s">
        <v>3898</v>
      </c>
      <c r="D463" s="46">
        <v>11134281</v>
      </c>
      <c r="E463" s="20" t="s">
        <v>3637</v>
      </c>
      <c r="F463" s="20" t="s">
        <v>3638</v>
      </c>
      <c r="G463" s="24">
        <v>334</v>
      </c>
      <c r="H463" s="21">
        <v>46261</v>
      </c>
      <c r="I463" s="53" t="s">
        <v>3899</v>
      </c>
      <c r="J463" s="24" t="s">
        <v>3900</v>
      </c>
      <c r="K463" s="24">
        <v>334</v>
      </c>
      <c r="L463" s="46">
        <v>12116193</v>
      </c>
      <c r="M463" s="20" t="s">
        <v>551</v>
      </c>
      <c r="N463" s="38">
        <v>0</v>
      </c>
      <c r="O463" s="38">
        <v>0</v>
      </c>
      <c r="P463" s="20" t="s">
        <v>469</v>
      </c>
      <c r="Q463" s="20">
        <v>0</v>
      </c>
      <c r="R463" s="40">
        <v>46251</v>
      </c>
      <c r="S463" s="20">
        <v>0</v>
      </c>
      <c r="T463" s="20">
        <v>0</v>
      </c>
      <c r="U463" s="40">
        <v>46252</v>
      </c>
      <c r="V463" s="40">
        <v>46252</v>
      </c>
      <c r="W463" s="20" t="s">
        <v>58</v>
      </c>
      <c r="X463" s="21"/>
      <c r="Y463" s="19">
        <f>VLOOKUP(F463,[2]New!$B:$G,3,0)*K463/60</f>
        <v>311.73333333333335</v>
      </c>
      <c r="Z463" s="19">
        <f>VLOOKUP(F463,[2]New!$B:$G,4,0)*K463/60</f>
        <v>1302.5999999999999</v>
      </c>
      <c r="AA463" s="19">
        <f>VLOOKUP(F463,[2]New!$B:$G,6,0)*K463/60</f>
        <v>1609.88</v>
      </c>
      <c r="AB463" s="44">
        <f>VLOOKUP(A463,'[4]PO CAG'!$A:$L,12,0)</f>
        <v>46269</v>
      </c>
      <c r="AC463" s="22">
        <f>IFERROR(VLOOKUP(F463,[3]Sheet1!$E:$H,4,0),)</f>
        <v>0</v>
      </c>
      <c r="AD463" s="144"/>
      <c r="AE463" s="25" t="s">
        <v>4001</v>
      </c>
      <c r="AF463" s="382">
        <v>1</v>
      </c>
      <c r="AG463" s="135"/>
      <c r="AH463" s="135"/>
      <c r="AJ463" s="267" t="s">
        <v>188</v>
      </c>
      <c r="AN463" s="278">
        <v>2</v>
      </c>
      <c r="AO463" s="278">
        <v>2</v>
      </c>
      <c r="AP463" s="278">
        <v>2</v>
      </c>
      <c r="AQ463" s="278">
        <v>2</v>
      </c>
    </row>
    <row r="464" spans="1:43">
      <c r="A464" s="135" t="s">
        <v>3901</v>
      </c>
      <c r="B464" s="135" t="s">
        <v>3942</v>
      </c>
      <c r="C464" s="135" t="s">
        <v>3902</v>
      </c>
      <c r="D464" s="46">
        <v>11135542</v>
      </c>
      <c r="E464" s="20" t="s">
        <v>3655</v>
      </c>
      <c r="F464" s="20" t="s">
        <v>3656</v>
      </c>
      <c r="G464" s="24">
        <v>12</v>
      </c>
      <c r="H464" s="21">
        <v>46261</v>
      </c>
      <c r="I464" s="53" t="s">
        <v>3903</v>
      </c>
      <c r="J464" s="24" t="s">
        <v>3904</v>
      </c>
      <c r="K464" s="24">
        <v>12</v>
      </c>
      <c r="L464" s="46">
        <v>12116066</v>
      </c>
      <c r="M464" s="20" t="s">
        <v>3671</v>
      </c>
      <c r="N464" s="38">
        <v>0</v>
      </c>
      <c r="O464" s="38">
        <v>0</v>
      </c>
      <c r="P464" s="20" t="s">
        <v>3227</v>
      </c>
      <c r="Q464" s="20">
        <v>0</v>
      </c>
      <c r="R464" s="40">
        <v>46251</v>
      </c>
      <c r="S464" s="20">
        <v>0</v>
      </c>
      <c r="T464" s="20">
        <v>0</v>
      </c>
      <c r="U464" s="40">
        <v>46252</v>
      </c>
      <c r="V464" s="40">
        <v>46252</v>
      </c>
      <c r="W464" s="20" t="s">
        <v>58</v>
      </c>
      <c r="X464" s="21"/>
      <c r="Y464" s="19">
        <f>VLOOKUP(F464,[2]New!$B:$G,3,0)*K464/60</f>
        <v>4.4000000000000004</v>
      </c>
      <c r="Z464" s="19">
        <f>VLOOKUP(F464,[2]New!$B:$G,4,0)*K464/60</f>
        <v>23.580000000000002</v>
      </c>
      <c r="AA464" s="19">
        <f>VLOOKUP(F464,[2]New!$B:$G,6,0)*K464/60</f>
        <v>23</v>
      </c>
      <c r="AB464" s="44">
        <f>VLOOKUP(A464,'[4]PO CAG'!$A:$L,12,0)</f>
        <v>46269</v>
      </c>
      <c r="AC464" s="22">
        <f>IFERROR(VLOOKUP(F464,[3]Sheet1!$E:$H,4,0),)</f>
        <v>0</v>
      </c>
      <c r="AD464" s="144"/>
      <c r="AE464" s="25" t="s">
        <v>4713</v>
      </c>
      <c r="AF464" s="382">
        <v>1</v>
      </c>
      <c r="AG464" s="135"/>
      <c r="AH464" s="135"/>
      <c r="AJ464" s="267" t="s">
        <v>188</v>
      </c>
      <c r="AN464" s="278">
        <v>2</v>
      </c>
      <c r="AO464" s="278">
        <v>2</v>
      </c>
      <c r="AP464" s="278">
        <v>2</v>
      </c>
      <c r="AQ464" s="278">
        <v>2</v>
      </c>
    </row>
    <row r="465" spans="1:43">
      <c r="A465" s="135" t="s">
        <v>3905</v>
      </c>
      <c r="B465" s="135" t="s">
        <v>3943</v>
      </c>
      <c r="C465" s="135" t="s">
        <v>3906</v>
      </c>
      <c r="D465" s="46">
        <v>11135539</v>
      </c>
      <c r="E465" s="20" t="s">
        <v>3649</v>
      </c>
      <c r="F465" s="20" t="s">
        <v>3650</v>
      </c>
      <c r="G465" s="24">
        <v>13</v>
      </c>
      <c r="H465" s="21">
        <v>46261</v>
      </c>
      <c r="I465" s="53" t="s">
        <v>3907</v>
      </c>
      <c r="J465" s="24" t="s">
        <v>3908</v>
      </c>
      <c r="K465" s="24">
        <v>13</v>
      </c>
      <c r="L465" s="46">
        <v>12116064</v>
      </c>
      <c r="M465" s="20" t="s">
        <v>98</v>
      </c>
      <c r="N465" s="38">
        <v>0</v>
      </c>
      <c r="O465" s="38">
        <v>0</v>
      </c>
      <c r="P465" s="20" t="s">
        <v>3227</v>
      </c>
      <c r="Q465" s="20">
        <v>0</v>
      </c>
      <c r="R465" s="40">
        <v>46251</v>
      </c>
      <c r="S465" s="20">
        <v>0</v>
      </c>
      <c r="T465" s="20">
        <v>0</v>
      </c>
      <c r="U465" s="40">
        <v>46252</v>
      </c>
      <c r="V465" s="40">
        <v>46252</v>
      </c>
      <c r="W465" s="20" t="s">
        <v>58</v>
      </c>
      <c r="X465" s="21"/>
      <c r="Y465" s="19">
        <f>VLOOKUP(F465,[2]New!$B:$G,3,0)*K465/60</f>
        <v>4.7666666666666666</v>
      </c>
      <c r="Z465" s="19">
        <f>VLOOKUP(F465,[2]New!$B:$G,4,0)*K465/60</f>
        <v>25.545000000000002</v>
      </c>
      <c r="AA465" s="19">
        <f>VLOOKUP(F465,[2]New!$B:$G,6,0)*K465/60</f>
        <v>24.916666666666668</v>
      </c>
      <c r="AB465" s="44">
        <f>VLOOKUP(A465,'[4]PO CAG'!$A:$L,12,0)</f>
        <v>46269</v>
      </c>
      <c r="AC465" s="22">
        <f>IFERROR(VLOOKUP(F465,[3]Sheet1!$E:$H,4,0),)</f>
        <v>0</v>
      </c>
      <c r="AD465" s="144"/>
      <c r="AE465" s="25" t="s">
        <v>4001</v>
      </c>
      <c r="AF465" s="382">
        <v>1</v>
      </c>
      <c r="AG465" s="135"/>
      <c r="AH465" s="135"/>
      <c r="AJ465" s="267" t="s">
        <v>188</v>
      </c>
      <c r="AN465" s="278">
        <v>2</v>
      </c>
      <c r="AO465" s="278">
        <v>2</v>
      </c>
      <c r="AP465" s="278">
        <v>2</v>
      </c>
      <c r="AQ465" s="278">
        <v>2</v>
      </c>
    </row>
    <row r="466" spans="1:43">
      <c r="A466" s="135" t="s">
        <v>3909</v>
      </c>
      <c r="B466" s="135" t="s">
        <v>3944</v>
      </c>
      <c r="C466" s="135" t="s">
        <v>3910</v>
      </c>
      <c r="D466" s="46">
        <v>11135667</v>
      </c>
      <c r="E466" s="20" t="s">
        <v>3911</v>
      </c>
      <c r="F466" s="20" t="s">
        <v>3912</v>
      </c>
      <c r="G466" s="24">
        <v>17</v>
      </c>
      <c r="H466" s="21">
        <v>46261</v>
      </c>
      <c r="I466" s="53" t="s">
        <v>3913</v>
      </c>
      <c r="J466" s="24" t="s">
        <v>3914</v>
      </c>
      <c r="K466" s="24">
        <v>17</v>
      </c>
      <c r="L466" s="46">
        <v>12116193</v>
      </c>
      <c r="M466" s="20" t="s">
        <v>551</v>
      </c>
      <c r="N466" s="38">
        <v>0</v>
      </c>
      <c r="O466" s="38">
        <v>0</v>
      </c>
      <c r="P466" s="20" t="s">
        <v>3227</v>
      </c>
      <c r="Q466" s="20">
        <v>0</v>
      </c>
      <c r="R466" s="40">
        <v>46251</v>
      </c>
      <c r="S466" s="20">
        <v>0</v>
      </c>
      <c r="T466" s="20">
        <v>0</v>
      </c>
      <c r="U466" s="40">
        <v>46252</v>
      </c>
      <c r="V466" s="40">
        <v>46252</v>
      </c>
      <c r="W466" s="20" t="s">
        <v>58</v>
      </c>
      <c r="X466" s="21"/>
      <c r="Y466" s="19">
        <f>VLOOKUP(F466,[2]New!$B:$G,3,0)*K466/60</f>
        <v>24.451666666666664</v>
      </c>
      <c r="Z466" s="19">
        <f>VLOOKUP(F466,[2]New!$B:$G,4,0)*K466/60</f>
        <v>27.766666666666666</v>
      </c>
      <c r="AA466" s="19">
        <f>VLOOKUP(F466,[2]New!$B:$G,6,0)*K466/60</f>
        <v>55.25</v>
      </c>
      <c r="AB466" s="44">
        <f>VLOOKUP(A466,'[4]PO CAG'!$A:$L,12,0)</f>
        <v>46269</v>
      </c>
      <c r="AC466" s="22">
        <f>IFERROR(VLOOKUP(F466,[3]Sheet1!$E:$H,4,0),)</f>
        <v>0</v>
      </c>
      <c r="AD466" s="144"/>
      <c r="AE466" s="25" t="s">
        <v>4001</v>
      </c>
      <c r="AF466" s="382">
        <v>1</v>
      </c>
      <c r="AG466" s="135"/>
      <c r="AH466" s="135"/>
      <c r="AJ466" s="267" t="s">
        <v>188</v>
      </c>
      <c r="AN466" s="278">
        <v>2</v>
      </c>
      <c r="AO466" s="278">
        <v>2</v>
      </c>
      <c r="AP466" s="278">
        <v>2</v>
      </c>
      <c r="AQ466" s="278">
        <v>2</v>
      </c>
    </row>
    <row r="467" spans="1:43">
      <c r="A467" s="135" t="s">
        <v>3915</v>
      </c>
      <c r="B467" s="135" t="s">
        <v>3945</v>
      </c>
      <c r="C467" s="135" t="s">
        <v>3916</v>
      </c>
      <c r="D467" s="46">
        <v>11135535</v>
      </c>
      <c r="E467" s="20" t="s">
        <v>3643</v>
      </c>
      <c r="F467" s="20" t="s">
        <v>3644</v>
      </c>
      <c r="G467" s="24">
        <v>69</v>
      </c>
      <c r="H467" s="21">
        <v>46261</v>
      </c>
      <c r="I467" s="53" t="s">
        <v>3917</v>
      </c>
      <c r="J467" s="24" t="s">
        <v>3918</v>
      </c>
      <c r="K467" s="24">
        <v>69</v>
      </c>
      <c r="L467" s="46">
        <v>12116060</v>
      </c>
      <c r="M467" s="20" t="s">
        <v>100</v>
      </c>
      <c r="N467" s="38">
        <v>0</v>
      </c>
      <c r="O467" s="38">
        <v>0</v>
      </c>
      <c r="P467" s="20" t="s">
        <v>3227</v>
      </c>
      <c r="Q467" s="20">
        <v>0</v>
      </c>
      <c r="R467" s="40">
        <v>46251</v>
      </c>
      <c r="S467" s="20">
        <v>0</v>
      </c>
      <c r="T467" s="20">
        <v>0</v>
      </c>
      <c r="U467" s="40">
        <v>46252</v>
      </c>
      <c r="V467" s="40">
        <v>46252</v>
      </c>
      <c r="W467" s="20" t="s">
        <v>58</v>
      </c>
      <c r="X467" s="21"/>
      <c r="Y467" s="19">
        <f>VLOOKUP(F467,[2]New!$B:$G,3,0)*K467/60</f>
        <v>25.3</v>
      </c>
      <c r="Z467" s="19">
        <f>VLOOKUP(F467,[2]New!$B:$G,4,0)*K467/60</f>
        <v>135.58500000000001</v>
      </c>
      <c r="AA467" s="19">
        <f>VLOOKUP(F467,[2]New!$B:$G,6,0)*K467/60</f>
        <v>132.25</v>
      </c>
      <c r="AB467" s="44">
        <f>VLOOKUP(A467,'[4]PO CAG'!$A:$L,12,0)</f>
        <v>46269</v>
      </c>
      <c r="AC467" s="22">
        <f>IFERROR(VLOOKUP(F467,[3]Sheet1!$E:$H,4,0),)</f>
        <v>0</v>
      </c>
      <c r="AD467" s="144"/>
      <c r="AE467" s="25" t="s">
        <v>4001</v>
      </c>
      <c r="AF467" s="382">
        <v>1</v>
      </c>
      <c r="AG467" s="135"/>
      <c r="AH467" s="135"/>
      <c r="AJ467" s="267" t="s">
        <v>188</v>
      </c>
      <c r="AN467" s="278">
        <v>2</v>
      </c>
      <c r="AO467" s="278">
        <v>2</v>
      </c>
      <c r="AP467" s="278">
        <v>2</v>
      </c>
      <c r="AQ467" s="278">
        <v>2</v>
      </c>
    </row>
    <row r="468" spans="1:43">
      <c r="A468" s="135" t="s">
        <v>3989</v>
      </c>
      <c r="B468" s="135" t="s">
        <v>3995</v>
      </c>
      <c r="C468" s="135" t="s">
        <v>3990</v>
      </c>
      <c r="D468" s="46">
        <v>11134283</v>
      </c>
      <c r="E468" s="20" t="s">
        <v>3991</v>
      </c>
      <c r="F468" s="20" t="s">
        <v>3992</v>
      </c>
      <c r="G468" s="24">
        <v>7</v>
      </c>
      <c r="H468" s="21">
        <v>46261</v>
      </c>
      <c r="I468" s="53" t="s">
        <v>3993</v>
      </c>
      <c r="J468" s="24" t="s">
        <v>3994</v>
      </c>
      <c r="K468" s="24">
        <v>7</v>
      </c>
      <c r="L468" s="46">
        <v>12116195</v>
      </c>
      <c r="M468" s="20" t="s">
        <v>3996</v>
      </c>
      <c r="N468" s="38">
        <v>0</v>
      </c>
      <c r="O468" s="38">
        <v>0</v>
      </c>
      <c r="P468" s="20" t="s">
        <v>469</v>
      </c>
      <c r="Q468" s="20">
        <v>0</v>
      </c>
      <c r="R468" s="40">
        <v>46251</v>
      </c>
      <c r="S468" s="20">
        <v>0</v>
      </c>
      <c r="T468" s="20">
        <v>0</v>
      </c>
      <c r="U468" s="40">
        <v>46252</v>
      </c>
      <c r="V468" s="40">
        <v>46252</v>
      </c>
      <c r="W468" s="20" t="s">
        <v>58</v>
      </c>
      <c r="X468" s="21"/>
      <c r="Y468" s="19">
        <f>VLOOKUP(F468,[2]New!$B:$G,3,0)*K468/60</f>
        <v>6.5333333333333332</v>
      </c>
      <c r="Z468" s="19">
        <f>VLOOKUP(F468,[2]New!$B:$G,4,0)*K468/60</f>
        <v>27.3</v>
      </c>
      <c r="AA468" s="19">
        <f>VLOOKUP(F468,[2]New!$B:$G,6,0)*K468/60</f>
        <v>33.739999999999995</v>
      </c>
      <c r="AB468" s="44">
        <f>VLOOKUP(A468,'[4]PO CAG'!$A:$L,12,0)</f>
        <v>46269</v>
      </c>
      <c r="AC468" s="22">
        <f>IFERROR(VLOOKUP(F468,[3]Sheet1!$E:$H,4,0),)</f>
        <v>0</v>
      </c>
      <c r="AD468" s="144"/>
      <c r="AE468" s="25" t="s">
        <v>4001</v>
      </c>
      <c r="AF468" s="382">
        <v>1</v>
      </c>
      <c r="AG468" s="135"/>
      <c r="AH468" s="135"/>
      <c r="AJ468" s="267" t="s">
        <v>188</v>
      </c>
      <c r="AN468" s="278">
        <v>2</v>
      </c>
      <c r="AO468" s="278">
        <v>2</v>
      </c>
      <c r="AP468" s="278">
        <v>2</v>
      </c>
      <c r="AQ468" s="278">
        <v>2</v>
      </c>
    </row>
    <row r="469" spans="1:43">
      <c r="A469" s="135" t="s">
        <v>4007</v>
      </c>
      <c r="B469" s="135" t="s">
        <v>4229</v>
      </c>
      <c r="C469" s="135" t="s">
        <v>4008</v>
      </c>
      <c r="D469" s="46">
        <v>11131257</v>
      </c>
      <c r="E469" s="20" t="s">
        <v>467</v>
      </c>
      <c r="F469" s="20" t="s">
        <v>468</v>
      </c>
      <c r="G469" s="24">
        <v>105</v>
      </c>
      <c r="H469" s="21">
        <v>46262</v>
      </c>
      <c r="I469" s="53" t="s">
        <v>4009</v>
      </c>
      <c r="J469" s="24" t="s">
        <v>4010</v>
      </c>
      <c r="K469" s="24">
        <v>105</v>
      </c>
      <c r="L469" s="46">
        <v>12121044</v>
      </c>
      <c r="M469" s="20" t="s">
        <v>472</v>
      </c>
      <c r="N469" s="38">
        <v>0</v>
      </c>
      <c r="O469" s="38">
        <v>0</v>
      </c>
      <c r="P469" s="20" t="s">
        <v>469</v>
      </c>
      <c r="Q469" s="20">
        <v>0</v>
      </c>
      <c r="R469" s="40">
        <v>46252</v>
      </c>
      <c r="S469" s="20">
        <v>0</v>
      </c>
      <c r="T469" s="20">
        <v>0</v>
      </c>
      <c r="U469" s="40">
        <v>46253</v>
      </c>
      <c r="V469" s="40">
        <v>46253</v>
      </c>
      <c r="W469" s="20" t="s">
        <v>54</v>
      </c>
      <c r="X469" s="21"/>
      <c r="Y469" s="19">
        <f>VLOOKUP(F469,[2]New!$B:$G,3,0)*K469/60</f>
        <v>94.5</v>
      </c>
      <c r="Z469" s="19">
        <f>VLOOKUP(F469,[2]New!$B:$G,4,0)*K469/60</f>
        <v>236.25</v>
      </c>
      <c r="AA469" s="19">
        <f>VLOOKUP(F469,[2]New!$B:$G,6,0)*K469/60</f>
        <v>234.84999999999997</v>
      </c>
      <c r="AB469" s="44">
        <f>VLOOKUP(A469,'[4]PO CAG'!$A:$L,12,0)</f>
        <v>46269</v>
      </c>
      <c r="AC469" s="22">
        <f>IFERROR(VLOOKUP(F469,[3]Sheet1!$E:$H,4,0),)</f>
        <v>0</v>
      </c>
      <c r="AD469" s="144"/>
      <c r="AE469" s="25" t="e">
        <v>#N/A</v>
      </c>
      <c r="AF469" s="135" t="s">
        <v>199</v>
      </c>
      <c r="AG469" s="135"/>
      <c r="AH469" s="135"/>
      <c r="AJ469" s="267" t="str">
        <f>W469</f>
        <v>M8</v>
      </c>
      <c r="AN469" s="278">
        <v>3</v>
      </c>
      <c r="AO469" s="278">
        <v>3</v>
      </c>
      <c r="AP469" s="278">
        <v>3</v>
      </c>
      <c r="AQ469" s="278">
        <v>3</v>
      </c>
    </row>
    <row r="470" spans="1:43">
      <c r="A470" s="135" t="s">
        <v>4011</v>
      </c>
      <c r="B470" s="135" t="s">
        <v>4232</v>
      </c>
      <c r="C470" s="135" t="s">
        <v>4012</v>
      </c>
      <c r="D470" s="46">
        <v>11134401</v>
      </c>
      <c r="E470" s="20" t="s">
        <v>645</v>
      </c>
      <c r="F470" s="20" t="s">
        <v>646</v>
      </c>
      <c r="G470" s="24">
        <v>139</v>
      </c>
      <c r="H470" s="21">
        <v>46262</v>
      </c>
      <c r="I470" s="53" t="s">
        <v>4013</v>
      </c>
      <c r="J470" s="24" t="s">
        <v>4014</v>
      </c>
      <c r="K470" s="24">
        <v>139</v>
      </c>
      <c r="L470" s="46">
        <v>12129626</v>
      </c>
      <c r="M470" s="20" t="s">
        <v>96</v>
      </c>
      <c r="N470" s="38">
        <v>0</v>
      </c>
      <c r="O470" s="38">
        <v>0</v>
      </c>
      <c r="P470" s="20" t="s">
        <v>130</v>
      </c>
      <c r="Q470" s="20">
        <v>0</v>
      </c>
      <c r="R470" s="40">
        <v>46252</v>
      </c>
      <c r="S470" s="20">
        <v>0</v>
      </c>
      <c r="T470" s="20">
        <v>0</v>
      </c>
      <c r="U470" s="40">
        <v>46253</v>
      </c>
      <c r="V470" s="40">
        <v>46253</v>
      </c>
      <c r="W470" s="20" t="s">
        <v>54</v>
      </c>
      <c r="X470" s="21"/>
      <c r="Y470" s="19">
        <f>VLOOKUP(F470,[2]New!$B:$G,3,0)*K470/60</f>
        <v>122.78333333333333</v>
      </c>
      <c r="Z470" s="19">
        <f>VLOOKUP(F470,[2]New!$B:$G,4,0)*K470/60</f>
        <v>312.75</v>
      </c>
      <c r="AA470" s="19">
        <f>VLOOKUP(F470,[2]New!$B:$G,6,0)*K470/60</f>
        <v>328.96666666666664</v>
      </c>
      <c r="AB470" s="44">
        <f>VLOOKUP(A470,'[4]PO CAG'!$A:$L,12,0)</f>
        <v>46272</v>
      </c>
      <c r="AC470" s="22">
        <f>IFERROR(VLOOKUP(F470,[3]Sheet1!$E:$H,4,0),)</f>
        <v>0</v>
      </c>
      <c r="AD470" s="144"/>
      <c r="AE470" s="25" t="e">
        <v>#N/A</v>
      </c>
      <c r="AF470" s="135" t="s">
        <v>199</v>
      </c>
      <c r="AG470" s="135"/>
      <c r="AH470" s="135"/>
      <c r="AJ470" s="267" t="str">
        <f t="shared" ref="AJ470:AJ473" si="0">W470</f>
        <v>M8</v>
      </c>
      <c r="AN470" s="278">
        <v>3</v>
      </c>
      <c r="AO470" s="278">
        <v>3</v>
      </c>
      <c r="AP470" s="278">
        <v>3</v>
      </c>
      <c r="AQ470" s="278">
        <v>3</v>
      </c>
    </row>
    <row r="471" spans="1:43">
      <c r="A471" s="135" t="s">
        <v>4015</v>
      </c>
      <c r="B471" s="135" t="s">
        <v>4231</v>
      </c>
      <c r="C471" s="135" t="s">
        <v>4016</v>
      </c>
      <c r="D471" s="46">
        <v>11134223</v>
      </c>
      <c r="E471" s="20" t="s">
        <v>427</v>
      </c>
      <c r="F471" s="20" t="s">
        <v>4017</v>
      </c>
      <c r="G471" s="24">
        <v>15</v>
      </c>
      <c r="H471" s="21">
        <v>46262</v>
      </c>
      <c r="I471" s="53" t="s">
        <v>4018</v>
      </c>
      <c r="J471" s="24" t="s">
        <v>4019</v>
      </c>
      <c r="K471" s="24">
        <v>19</v>
      </c>
      <c r="L471" s="46">
        <v>12139045</v>
      </c>
      <c r="M471" s="20" t="s">
        <v>428</v>
      </c>
      <c r="N471" s="38">
        <v>0</v>
      </c>
      <c r="O471" s="38">
        <v>0</v>
      </c>
      <c r="P471" s="20" t="s">
        <v>94</v>
      </c>
      <c r="Q471" s="20">
        <v>0</v>
      </c>
      <c r="R471" s="40">
        <v>46252</v>
      </c>
      <c r="S471" s="20">
        <v>4</v>
      </c>
      <c r="T471" s="20">
        <v>0</v>
      </c>
      <c r="U471" s="40">
        <v>46253</v>
      </c>
      <c r="V471" s="40">
        <v>46253</v>
      </c>
      <c r="W471" s="20" t="s">
        <v>54</v>
      </c>
      <c r="X471" s="21"/>
      <c r="Y471" s="19">
        <f>VLOOKUP(F471,[2]New!$B:$G,3,0)*K471/60</f>
        <v>9.879999999999999</v>
      </c>
      <c r="Z471" s="19">
        <f>VLOOKUP(F471,[2]New!$B:$G,4,0)*K471/60</f>
        <v>20.425000000000001</v>
      </c>
      <c r="AA471" s="19">
        <f>VLOOKUP(F471,[2]New!$B:$G,6,0)*K471/60</f>
        <v>40.216666666666669</v>
      </c>
      <c r="AB471" s="44">
        <f>VLOOKUP(A471,'[4]PO CAG'!$A:$L,12,0)</f>
        <v>46280</v>
      </c>
      <c r="AC471" s="22">
        <f>IFERROR(VLOOKUP(F471,[3]Sheet1!$E:$H,4,0),)</f>
        <v>0</v>
      </c>
      <c r="AD471" s="144"/>
      <c r="AE471" s="25" t="e">
        <v>#N/A</v>
      </c>
      <c r="AF471" s="135" t="s">
        <v>199</v>
      </c>
      <c r="AG471" s="135"/>
      <c r="AH471" s="135"/>
      <c r="AJ471" s="267" t="str">
        <f t="shared" si="0"/>
        <v>M8</v>
      </c>
      <c r="AN471" s="278">
        <v>1</v>
      </c>
      <c r="AO471" s="278">
        <v>1</v>
      </c>
      <c r="AP471" s="278">
        <v>1</v>
      </c>
      <c r="AQ471" s="278">
        <v>1</v>
      </c>
    </row>
    <row r="472" spans="1:43">
      <c r="A472" s="135" t="s">
        <v>4020</v>
      </c>
      <c r="B472" s="135" t="s">
        <v>4230</v>
      </c>
      <c r="C472" s="135" t="s">
        <v>4021</v>
      </c>
      <c r="D472" s="46">
        <v>11134222</v>
      </c>
      <c r="E472" s="20" t="s">
        <v>4022</v>
      </c>
      <c r="F472" s="20" t="s">
        <v>4023</v>
      </c>
      <c r="G472" s="24">
        <v>15</v>
      </c>
      <c r="H472" s="21">
        <v>46262</v>
      </c>
      <c r="I472" s="53" t="s">
        <v>4024</v>
      </c>
      <c r="J472" s="24" t="s">
        <v>4025</v>
      </c>
      <c r="K472" s="24">
        <v>21</v>
      </c>
      <c r="L472" s="46">
        <v>12139044</v>
      </c>
      <c r="M472" s="20" t="s">
        <v>4115</v>
      </c>
      <c r="N472" s="38">
        <v>0</v>
      </c>
      <c r="O472" s="38">
        <v>0</v>
      </c>
      <c r="P472" s="20" t="s">
        <v>94</v>
      </c>
      <c r="Q472" s="20">
        <v>0</v>
      </c>
      <c r="R472" s="40">
        <v>46252</v>
      </c>
      <c r="S472" s="20">
        <v>6</v>
      </c>
      <c r="T472" s="20">
        <v>0</v>
      </c>
      <c r="U472" s="40">
        <v>46253</v>
      </c>
      <c r="V472" s="40">
        <v>46253</v>
      </c>
      <c r="W472" s="20" t="s">
        <v>54</v>
      </c>
      <c r="X472" s="21"/>
      <c r="Y472" s="19">
        <f>VLOOKUP(F472,[2]New!$B:$G,3,0)*K472/60</f>
        <v>10.919999999999998</v>
      </c>
      <c r="Z472" s="19">
        <f>VLOOKUP(F472,[2]New!$B:$G,4,0)*K472/60</f>
        <v>22.574999999999999</v>
      </c>
      <c r="AA472" s="19">
        <f>VLOOKUP(F472,[2]New!$B:$G,6,0)*K472/60</f>
        <v>44.45</v>
      </c>
      <c r="AB472" s="44">
        <f>VLOOKUP(A472,'[4]PO CAG'!$A:$L,12,0)</f>
        <v>46280</v>
      </c>
      <c r="AC472" s="22">
        <f>IFERROR(VLOOKUP(F472,[3]Sheet1!$E:$H,4,0),)</f>
        <v>0</v>
      </c>
      <c r="AD472" s="144"/>
      <c r="AE472" s="25" t="e">
        <v>#N/A</v>
      </c>
      <c r="AF472" s="135" t="s">
        <v>199</v>
      </c>
      <c r="AG472" s="135"/>
      <c r="AH472" s="135"/>
      <c r="AJ472" s="267" t="str">
        <f t="shared" si="0"/>
        <v>M8</v>
      </c>
      <c r="AN472" s="278">
        <v>1</v>
      </c>
      <c r="AO472" s="278">
        <v>1</v>
      </c>
      <c r="AP472" s="278">
        <v>1</v>
      </c>
      <c r="AQ472" s="278">
        <v>1</v>
      </c>
    </row>
    <row r="473" spans="1:43">
      <c r="A473" s="135" t="s">
        <v>3999</v>
      </c>
      <c r="B473" s="135" t="s">
        <v>4233</v>
      </c>
      <c r="C473" s="135" t="s">
        <v>4026</v>
      </c>
      <c r="D473" s="46">
        <v>11122087</v>
      </c>
      <c r="E473" s="20" t="s">
        <v>196</v>
      </c>
      <c r="F473" s="20" t="s">
        <v>197</v>
      </c>
      <c r="G473" s="24">
        <v>40</v>
      </c>
      <c r="H473" s="21">
        <v>46262</v>
      </c>
      <c r="I473" s="53" t="s">
        <v>4027</v>
      </c>
      <c r="J473" s="24" t="s">
        <v>4028</v>
      </c>
      <c r="K473" s="24">
        <v>40</v>
      </c>
      <c r="L473" s="46">
        <v>12129626</v>
      </c>
      <c r="M473" s="20" t="s">
        <v>96</v>
      </c>
      <c r="N473" s="38">
        <v>0</v>
      </c>
      <c r="O473" s="38">
        <v>0</v>
      </c>
      <c r="P473" s="20" t="s">
        <v>94</v>
      </c>
      <c r="Q473" s="20">
        <v>0</v>
      </c>
      <c r="R473" s="40">
        <v>46252</v>
      </c>
      <c r="S473" s="20">
        <v>0</v>
      </c>
      <c r="T473" s="20">
        <v>0</v>
      </c>
      <c r="U473" s="40">
        <v>46253</v>
      </c>
      <c r="V473" s="40">
        <v>46253</v>
      </c>
      <c r="W473" s="20" t="s">
        <v>54</v>
      </c>
      <c r="X473" s="21"/>
      <c r="Y473" s="19">
        <f>VLOOKUP(F473,[2]New!$B:$G,3,0)*K473/60</f>
        <v>36</v>
      </c>
      <c r="Z473" s="19">
        <f>VLOOKUP(F473,[2]New!$B:$G,4,0)*K473/60</f>
        <v>90</v>
      </c>
      <c r="AA473" s="19">
        <f>VLOOKUP(F473,[2]New!$B:$G,6,0)*K473/60</f>
        <v>89.466666666666669</v>
      </c>
      <c r="AB473" s="44">
        <f>VLOOKUP(A473,'[4]PO CAG'!$A:$L,12,0)</f>
        <v>46282</v>
      </c>
      <c r="AC473" s="22">
        <f>IFERROR(VLOOKUP(F473,[3]Sheet1!$E:$H,4,0),)</f>
        <v>0</v>
      </c>
      <c r="AD473" s="144"/>
      <c r="AE473" s="25" t="e">
        <v>#N/A</v>
      </c>
      <c r="AF473" s="135" t="s">
        <v>199</v>
      </c>
      <c r="AG473" s="135"/>
      <c r="AH473" s="135"/>
      <c r="AJ473" s="267" t="str">
        <f t="shared" si="0"/>
        <v>M8</v>
      </c>
      <c r="AN473" s="278">
        <v>3</v>
      </c>
      <c r="AO473" s="278">
        <v>3</v>
      </c>
      <c r="AP473" s="278">
        <v>3</v>
      </c>
      <c r="AQ473" s="278">
        <v>3</v>
      </c>
    </row>
    <row r="474" spans="1:43">
      <c r="A474" s="135" t="s">
        <v>4000</v>
      </c>
      <c r="B474" s="135" t="s">
        <v>4234</v>
      </c>
      <c r="C474" s="135" t="s">
        <v>4029</v>
      </c>
      <c r="D474" s="46">
        <v>11122088</v>
      </c>
      <c r="E474" s="20" t="s">
        <v>194</v>
      </c>
      <c r="F474" s="20" t="s">
        <v>195</v>
      </c>
      <c r="G474" s="24">
        <v>15</v>
      </c>
      <c r="H474" s="21">
        <v>46262</v>
      </c>
      <c r="I474" s="53" t="s">
        <v>4030</v>
      </c>
      <c r="J474" s="24" t="s">
        <v>4031</v>
      </c>
      <c r="K474" s="24">
        <v>15</v>
      </c>
      <c r="L474" s="46">
        <v>12129627</v>
      </c>
      <c r="M474" s="20" t="s">
        <v>95</v>
      </c>
      <c r="N474" s="38">
        <v>0</v>
      </c>
      <c r="O474" s="38">
        <v>0</v>
      </c>
      <c r="P474" s="20" t="s">
        <v>94</v>
      </c>
      <c r="Q474" s="20">
        <v>0</v>
      </c>
      <c r="R474" s="40">
        <v>46253</v>
      </c>
      <c r="S474" s="20">
        <v>0</v>
      </c>
      <c r="T474" s="20">
        <v>0</v>
      </c>
      <c r="U474" s="40">
        <v>46254</v>
      </c>
      <c r="V474" s="40">
        <v>46254</v>
      </c>
      <c r="W474" s="20" t="s">
        <v>54</v>
      </c>
      <c r="X474" s="21"/>
      <c r="Y474" s="19">
        <f>VLOOKUP(F474,[2]New!$B:$G,3,0)*K474/60</f>
        <v>13.5</v>
      </c>
      <c r="Z474" s="19">
        <f>VLOOKUP(F474,[2]New!$B:$G,4,0)*K474/60</f>
        <v>33.75</v>
      </c>
      <c r="AA474" s="19">
        <f>VLOOKUP(F474,[2]New!$B:$G,6,0)*K474/60</f>
        <v>33.549999999999997</v>
      </c>
      <c r="AB474" s="44">
        <f>VLOOKUP(A474,'[4]PO CAG'!$A:$L,12,0)</f>
        <v>46282</v>
      </c>
      <c r="AC474" s="22">
        <f>IFERROR(VLOOKUP(F474,[3]Sheet1!$E:$H,4,0),)</f>
        <v>0</v>
      </c>
      <c r="AD474" s="144"/>
      <c r="AE474" s="25" t="e">
        <v>#N/A</v>
      </c>
      <c r="AF474" s="135" t="s">
        <v>199</v>
      </c>
      <c r="AG474" s="135"/>
      <c r="AH474" s="135"/>
      <c r="AJ474" s="267" t="s">
        <v>152</v>
      </c>
      <c r="AN474" s="278">
        <v>3</v>
      </c>
      <c r="AO474" s="278">
        <v>3</v>
      </c>
      <c r="AP474" s="278">
        <v>3</v>
      </c>
      <c r="AQ474" s="278">
        <v>3</v>
      </c>
    </row>
    <row r="475" spans="1:43">
      <c r="A475" s="135" t="s">
        <v>4032</v>
      </c>
      <c r="B475" s="135" t="s">
        <v>4235</v>
      </c>
      <c r="C475" s="135" t="s">
        <v>4033</v>
      </c>
      <c r="D475" s="46">
        <v>11126311</v>
      </c>
      <c r="E475" s="20" t="s">
        <v>2664</v>
      </c>
      <c r="F475" s="20" t="s">
        <v>745</v>
      </c>
      <c r="G475" s="24">
        <v>7</v>
      </c>
      <c r="H475" s="21">
        <v>46262</v>
      </c>
      <c r="I475" s="53" t="s">
        <v>4034</v>
      </c>
      <c r="J475" s="24" t="s">
        <v>4035</v>
      </c>
      <c r="K475" s="24">
        <v>7</v>
      </c>
      <c r="L475" s="46">
        <v>12132457</v>
      </c>
      <c r="M475" s="20" t="s">
        <v>2695</v>
      </c>
      <c r="N475" s="38">
        <v>0</v>
      </c>
      <c r="O475" s="38">
        <v>0</v>
      </c>
      <c r="P475" s="20" t="s">
        <v>469</v>
      </c>
      <c r="Q475" s="20">
        <v>0</v>
      </c>
      <c r="R475" s="40">
        <v>46252</v>
      </c>
      <c r="S475" s="20">
        <v>0</v>
      </c>
      <c r="T475" s="20">
        <v>0</v>
      </c>
      <c r="U475" s="40">
        <v>46253</v>
      </c>
      <c r="V475" s="40">
        <v>46253</v>
      </c>
      <c r="W475" s="20" t="s">
        <v>54</v>
      </c>
      <c r="X475" s="21"/>
      <c r="Y475" s="19">
        <f>VLOOKUP(F475,[2]New!$B:$G,3,0)*K475/60</f>
        <v>6.5333333333333332</v>
      </c>
      <c r="Z475" s="19">
        <f>VLOOKUP(F475,[2]New!$B:$G,4,0)*K475/60</f>
        <v>27.3</v>
      </c>
      <c r="AA475" s="19">
        <f>VLOOKUP(F475,[2]New!$B:$G,6,0)*K475/60</f>
        <v>33.716666666666669</v>
      </c>
      <c r="AB475" s="44">
        <f>VLOOKUP(A475,'[4]PO CAG'!$A:$L,12,0)</f>
        <v>46269</v>
      </c>
      <c r="AC475" s="22">
        <f>IFERROR(VLOOKUP(F475,[3]Sheet1!$E:$H,4,0),)</f>
        <v>0</v>
      </c>
      <c r="AD475" s="144"/>
      <c r="AE475" s="25" t="e">
        <v>#N/A</v>
      </c>
      <c r="AF475" s="135" t="s">
        <v>199</v>
      </c>
      <c r="AG475" s="135"/>
      <c r="AH475" s="135"/>
      <c r="AJ475" s="267" t="str">
        <f t="shared" ref="AJ475:AJ477" si="1">W475</f>
        <v>M8</v>
      </c>
      <c r="AN475" s="278">
        <v>1</v>
      </c>
      <c r="AO475" s="278">
        <v>1</v>
      </c>
      <c r="AP475" s="278">
        <v>1</v>
      </c>
      <c r="AQ475" s="278">
        <v>1</v>
      </c>
    </row>
    <row r="476" spans="1:43">
      <c r="A476" s="135" t="s">
        <v>4036</v>
      </c>
      <c r="B476" s="135" t="s">
        <v>4236</v>
      </c>
      <c r="C476" s="135" t="s">
        <v>4037</v>
      </c>
      <c r="D476" s="46">
        <v>11125155</v>
      </c>
      <c r="E476" s="20" t="s">
        <v>4038</v>
      </c>
      <c r="F476" s="20" t="s">
        <v>4039</v>
      </c>
      <c r="G476" s="24">
        <v>11</v>
      </c>
      <c r="H476" s="21">
        <v>46262</v>
      </c>
      <c r="I476" s="53" t="s">
        <v>4040</v>
      </c>
      <c r="J476" s="24" t="s">
        <v>4041</v>
      </c>
      <c r="K476" s="24">
        <v>11</v>
      </c>
      <c r="L476" s="46">
        <v>12120614</v>
      </c>
      <c r="M476" s="20" t="s">
        <v>714</v>
      </c>
      <c r="N476" s="38">
        <v>0</v>
      </c>
      <c r="O476" s="38">
        <v>0</v>
      </c>
      <c r="P476" s="20" t="s">
        <v>469</v>
      </c>
      <c r="Q476" s="20">
        <v>0</v>
      </c>
      <c r="R476" s="40">
        <v>46252</v>
      </c>
      <c r="S476" s="20">
        <v>0</v>
      </c>
      <c r="T476" s="20">
        <v>0</v>
      </c>
      <c r="U476" s="40">
        <v>46253</v>
      </c>
      <c r="V476" s="40">
        <v>46253</v>
      </c>
      <c r="W476" s="20" t="s">
        <v>54</v>
      </c>
      <c r="X476" s="21"/>
      <c r="Y476" s="19">
        <f>VLOOKUP(F476,[2]New!$B:$G,3,0)*K476/60</f>
        <v>10.266666666666667</v>
      </c>
      <c r="Z476" s="19">
        <f>VLOOKUP(F476,[2]New!$B:$G,4,0)*K476/60</f>
        <v>42.9</v>
      </c>
      <c r="AA476" s="19">
        <f>VLOOKUP(F476,[2]New!$B:$G,6,0)*K476/60</f>
        <v>52.983333333333334</v>
      </c>
      <c r="AB476" s="44">
        <f>VLOOKUP(A476,'[4]PO CAG'!$A:$L,12,0)</f>
        <v>46269</v>
      </c>
      <c r="AC476" s="22">
        <f>IFERROR(VLOOKUP(F476,[3]Sheet1!$E:$H,4,0),)</f>
        <v>0</v>
      </c>
      <c r="AD476" s="144"/>
      <c r="AE476" s="25" t="e">
        <v>#N/A</v>
      </c>
      <c r="AF476" s="135" t="s">
        <v>199</v>
      </c>
      <c r="AG476" s="135"/>
      <c r="AH476" s="135"/>
      <c r="AJ476" s="267" t="str">
        <f t="shared" si="1"/>
        <v>M8</v>
      </c>
      <c r="AN476" s="278">
        <v>1</v>
      </c>
      <c r="AO476" s="278">
        <v>1</v>
      </c>
      <c r="AP476" s="278">
        <v>1</v>
      </c>
      <c r="AQ476" s="278">
        <v>1</v>
      </c>
    </row>
    <row r="477" spans="1:43">
      <c r="A477" s="135" t="s">
        <v>4042</v>
      </c>
      <c r="B477" s="135" t="s">
        <v>4237</v>
      </c>
      <c r="C477" s="135" t="s">
        <v>4043</v>
      </c>
      <c r="D477" s="46">
        <v>11125141</v>
      </c>
      <c r="E477" s="20" t="s">
        <v>743</v>
      </c>
      <c r="F477" s="20" t="s">
        <v>744</v>
      </c>
      <c r="G477" s="24">
        <v>23</v>
      </c>
      <c r="H477" s="21">
        <v>46262</v>
      </c>
      <c r="I477" s="53" t="s">
        <v>4044</v>
      </c>
      <c r="J477" s="24" t="s">
        <v>4045</v>
      </c>
      <c r="K477" s="24">
        <v>23</v>
      </c>
      <c r="L477" s="46">
        <v>12120563</v>
      </c>
      <c r="M477" s="20" t="s">
        <v>763</v>
      </c>
      <c r="N477" s="38">
        <v>0</v>
      </c>
      <c r="O477" s="38">
        <v>0</v>
      </c>
      <c r="P477" s="20" t="s">
        <v>469</v>
      </c>
      <c r="Q477" s="20">
        <v>0</v>
      </c>
      <c r="R477" s="40">
        <v>46252</v>
      </c>
      <c r="S477" s="20">
        <v>0</v>
      </c>
      <c r="T477" s="20">
        <v>0</v>
      </c>
      <c r="U477" s="40">
        <v>46253</v>
      </c>
      <c r="V477" s="40">
        <v>46253</v>
      </c>
      <c r="W477" s="20" t="s">
        <v>54</v>
      </c>
      <c r="X477" s="21"/>
      <c r="Y477" s="19">
        <f>VLOOKUP(F477,[2]New!$B:$G,3,0)*K477/60</f>
        <v>21.466666666666665</v>
      </c>
      <c r="Z477" s="19">
        <f>VLOOKUP(F477,[2]New!$B:$G,4,0)*K477/60</f>
        <v>89.7</v>
      </c>
      <c r="AA477" s="19">
        <f>VLOOKUP(F477,[2]New!$B:$G,6,0)*K477/60</f>
        <v>110.78333333333333</v>
      </c>
      <c r="AB477" s="44">
        <f>VLOOKUP(A477,'[4]PO CAG'!$A:$L,12,0)</f>
        <v>46269</v>
      </c>
      <c r="AC477" s="22">
        <f>IFERROR(VLOOKUP(F477,[3]Sheet1!$E:$H,4,0),)</f>
        <v>0</v>
      </c>
      <c r="AD477" s="144"/>
      <c r="AE477" s="25" t="e">
        <v>#N/A</v>
      </c>
      <c r="AF477" s="135" t="s">
        <v>199</v>
      </c>
      <c r="AG477" s="135"/>
      <c r="AH477" s="135"/>
      <c r="AJ477" s="267" t="str">
        <f t="shared" si="1"/>
        <v>M8</v>
      </c>
      <c r="AN477" s="278">
        <v>1</v>
      </c>
      <c r="AO477" s="278">
        <v>1</v>
      </c>
      <c r="AP477" s="278">
        <v>1</v>
      </c>
      <c r="AQ477" s="278">
        <v>1</v>
      </c>
    </row>
    <row r="478" spans="1:43">
      <c r="A478" s="135" t="s">
        <v>4046</v>
      </c>
      <c r="B478" s="135" t="s">
        <v>4238</v>
      </c>
      <c r="C478" s="135" t="s">
        <v>4047</v>
      </c>
      <c r="D478" s="46">
        <v>11134366</v>
      </c>
      <c r="E478" s="20" t="s">
        <v>527</v>
      </c>
      <c r="F478" s="20" t="s">
        <v>528</v>
      </c>
      <c r="G478" s="24">
        <v>5</v>
      </c>
      <c r="H478" s="21">
        <v>46262</v>
      </c>
      <c r="I478" s="53" t="s">
        <v>4048</v>
      </c>
      <c r="J478" s="24" t="s">
        <v>4049</v>
      </c>
      <c r="K478" s="24">
        <v>5</v>
      </c>
      <c r="L478" s="46">
        <v>12120529</v>
      </c>
      <c r="M478" s="20" t="s">
        <v>534</v>
      </c>
      <c r="N478" s="38">
        <v>0</v>
      </c>
      <c r="O478" s="38">
        <v>0</v>
      </c>
      <c r="P478" s="20" t="s">
        <v>372</v>
      </c>
      <c r="Q478" s="20">
        <v>0</v>
      </c>
      <c r="R478" s="40">
        <v>46252</v>
      </c>
      <c r="S478" s="20">
        <v>0</v>
      </c>
      <c r="T478" s="20">
        <v>0</v>
      </c>
      <c r="U478" s="40">
        <v>46253</v>
      </c>
      <c r="V478" s="40">
        <v>46253</v>
      </c>
      <c r="W478" s="20" t="s">
        <v>54</v>
      </c>
      <c r="X478" s="21"/>
      <c r="Y478" s="19">
        <f>VLOOKUP(F478,[2]New!$B:$G,3,0)*K478/60</f>
        <v>3.3333333333333335</v>
      </c>
      <c r="Z478" s="19">
        <f>VLOOKUP(F478,[2]New!$B:$G,4,0)*K478/60</f>
        <v>13.333333333333334</v>
      </c>
      <c r="AA478" s="19">
        <f>VLOOKUP(F478,[2]New!$B:$G,6,0)*K478/60</f>
        <v>13.833333333333334</v>
      </c>
      <c r="AB478" s="44">
        <f>VLOOKUP(A478,'[4]PO CAG'!$A:$L,12,0)</f>
        <v>46269</v>
      </c>
      <c r="AC478" s="22">
        <f>IFERROR(VLOOKUP(F478,[3]Sheet1!$E:$H,4,0),)</f>
        <v>0</v>
      </c>
      <c r="AD478" s="144"/>
      <c r="AE478" s="25" t="e">
        <v>#N/A</v>
      </c>
      <c r="AF478" s="135" t="s">
        <v>199</v>
      </c>
      <c r="AG478" s="135"/>
      <c r="AH478" s="135"/>
      <c r="AJ478" s="267" t="s">
        <v>152</v>
      </c>
      <c r="AN478" s="278">
        <v>1</v>
      </c>
      <c r="AO478" s="278">
        <v>1</v>
      </c>
      <c r="AP478" s="278">
        <v>1</v>
      </c>
      <c r="AQ478" s="278">
        <v>1</v>
      </c>
    </row>
    <row r="479" spans="1:43">
      <c r="A479" s="135" t="s">
        <v>4050</v>
      </c>
      <c r="B479" s="135" t="s">
        <v>4239</v>
      </c>
      <c r="C479" s="135" t="s">
        <v>4051</v>
      </c>
      <c r="D479" s="46">
        <v>11132001</v>
      </c>
      <c r="E479" s="20" t="s">
        <v>222</v>
      </c>
      <c r="F479" s="20" t="s">
        <v>522</v>
      </c>
      <c r="G479" s="24">
        <v>8</v>
      </c>
      <c r="H479" s="21">
        <v>46262</v>
      </c>
      <c r="I479" s="53" t="s">
        <v>4052</v>
      </c>
      <c r="J479" s="24" t="s">
        <v>4053</v>
      </c>
      <c r="K479" s="24">
        <v>8</v>
      </c>
      <c r="L479" s="46">
        <v>12120522</v>
      </c>
      <c r="M479" s="20" t="s">
        <v>230</v>
      </c>
      <c r="N479" s="38">
        <v>0</v>
      </c>
      <c r="O479" s="38">
        <v>0</v>
      </c>
      <c r="P479" s="20" t="s">
        <v>372</v>
      </c>
      <c r="Q479" s="20">
        <v>0</v>
      </c>
      <c r="R479" s="40">
        <v>46252</v>
      </c>
      <c r="S479" s="20">
        <v>0</v>
      </c>
      <c r="T479" s="20">
        <v>0</v>
      </c>
      <c r="U479" s="40">
        <v>46253</v>
      </c>
      <c r="V479" s="40">
        <v>46253</v>
      </c>
      <c r="W479" s="20" t="s">
        <v>54</v>
      </c>
      <c r="X479" s="21"/>
      <c r="Y479" s="19">
        <f>VLOOKUP(F479,[2]New!$B:$G,3,0)*K479/60</f>
        <v>5.333333333333333</v>
      </c>
      <c r="Z479" s="19">
        <f>VLOOKUP(F479,[2]New!$B:$G,4,0)*K479/60</f>
        <v>21.333333333333332</v>
      </c>
      <c r="AA479" s="19">
        <f>VLOOKUP(F479,[2]New!$B:$G,6,0)*K479/60</f>
        <v>22.133333333333333</v>
      </c>
      <c r="AB479" s="44">
        <f>VLOOKUP(A479,'[4]PO CAG'!$A:$L,12,0)</f>
        <v>46269</v>
      </c>
      <c r="AC479" s="22">
        <f>IFERROR(VLOOKUP(F479,[3]Sheet1!$E:$H,4,0),)</f>
        <v>0</v>
      </c>
      <c r="AD479" s="144"/>
      <c r="AE479" s="25" t="e">
        <v>#N/A</v>
      </c>
      <c r="AF479" s="135" t="s">
        <v>199</v>
      </c>
      <c r="AG479" s="135"/>
      <c r="AH479" s="135"/>
      <c r="AJ479" s="267" t="s">
        <v>152</v>
      </c>
      <c r="AN479" s="278">
        <v>1</v>
      </c>
      <c r="AO479" s="278">
        <v>1</v>
      </c>
      <c r="AP479" s="278">
        <v>1</v>
      </c>
      <c r="AQ479" s="278">
        <v>1</v>
      </c>
    </row>
    <row r="480" spans="1:43">
      <c r="A480" s="135" t="s">
        <v>4054</v>
      </c>
      <c r="B480" s="135" t="s">
        <v>4240</v>
      </c>
      <c r="C480" s="135" t="s">
        <v>4055</v>
      </c>
      <c r="D480" s="46">
        <v>11134360</v>
      </c>
      <c r="E480" s="20" t="s">
        <v>748</v>
      </c>
      <c r="F480" s="20" t="s">
        <v>749</v>
      </c>
      <c r="G480" s="24">
        <v>17</v>
      </c>
      <c r="H480" s="21">
        <v>46262</v>
      </c>
      <c r="I480" s="53" t="s">
        <v>4056</v>
      </c>
      <c r="J480" s="24" t="s">
        <v>4057</v>
      </c>
      <c r="K480" s="24">
        <v>17</v>
      </c>
      <c r="L480" s="46">
        <v>12120522</v>
      </c>
      <c r="M480" s="20" t="s">
        <v>230</v>
      </c>
      <c r="N480" s="38">
        <v>0</v>
      </c>
      <c r="O480" s="38">
        <v>0</v>
      </c>
      <c r="P480" s="20" t="s">
        <v>372</v>
      </c>
      <c r="Q480" s="20">
        <v>0</v>
      </c>
      <c r="R480" s="40">
        <v>46252</v>
      </c>
      <c r="S480" s="20">
        <v>0</v>
      </c>
      <c r="T480" s="20">
        <v>0</v>
      </c>
      <c r="U480" s="40">
        <v>46253</v>
      </c>
      <c r="V480" s="40">
        <v>46253</v>
      </c>
      <c r="W480" s="20" t="s">
        <v>54</v>
      </c>
      <c r="X480" s="21"/>
      <c r="Y480" s="19">
        <f>VLOOKUP(F480,[2]New!$B:$G,3,0)*K480/60</f>
        <v>11.333333333333334</v>
      </c>
      <c r="Z480" s="19">
        <f>VLOOKUP(F480,[2]New!$B:$G,4,0)*K480/60</f>
        <v>45.333333333333336</v>
      </c>
      <c r="AA480" s="19">
        <f>VLOOKUP(F480,[2]New!$B:$G,6,0)*K480/60</f>
        <v>47.033333333333331</v>
      </c>
      <c r="AB480" s="44">
        <f>VLOOKUP(A480,'[4]PO CAG'!$A:$L,12,0)</f>
        <v>46269</v>
      </c>
      <c r="AC480" s="22">
        <f>IFERROR(VLOOKUP(F480,[3]Sheet1!$E:$H,4,0),)</f>
        <v>0</v>
      </c>
      <c r="AD480" s="144"/>
      <c r="AE480" s="25" t="e">
        <v>#N/A</v>
      </c>
      <c r="AF480" s="135" t="s">
        <v>199</v>
      </c>
      <c r="AG480" s="135"/>
      <c r="AH480" s="135"/>
      <c r="AJ480" s="267" t="s">
        <v>152</v>
      </c>
      <c r="AN480" s="278">
        <v>1</v>
      </c>
      <c r="AO480" s="278">
        <v>1</v>
      </c>
      <c r="AP480" s="278">
        <v>1</v>
      </c>
      <c r="AQ480" s="278">
        <v>1</v>
      </c>
    </row>
    <row r="481" spans="1:43">
      <c r="A481" s="135" t="s">
        <v>4058</v>
      </c>
      <c r="B481" s="135" t="s">
        <v>4241</v>
      </c>
      <c r="C481" s="135" t="s">
        <v>4059</v>
      </c>
      <c r="D481" s="46">
        <v>11132002</v>
      </c>
      <c r="E481" s="20" t="s">
        <v>223</v>
      </c>
      <c r="F481" s="20" t="s">
        <v>529</v>
      </c>
      <c r="G481" s="24">
        <v>26</v>
      </c>
      <c r="H481" s="21">
        <v>46262</v>
      </c>
      <c r="I481" s="53" t="s">
        <v>4060</v>
      </c>
      <c r="J481" s="24" t="s">
        <v>4061</v>
      </c>
      <c r="K481" s="24">
        <v>26</v>
      </c>
      <c r="L481" s="46">
        <v>12120523</v>
      </c>
      <c r="M481" s="20" t="s">
        <v>231</v>
      </c>
      <c r="N481" s="38">
        <v>0</v>
      </c>
      <c r="O481" s="38">
        <v>0</v>
      </c>
      <c r="P481" s="20" t="s">
        <v>372</v>
      </c>
      <c r="Q481" s="20">
        <v>0</v>
      </c>
      <c r="R481" s="40">
        <v>46252</v>
      </c>
      <c r="S481" s="20">
        <v>0</v>
      </c>
      <c r="T481" s="20">
        <v>0</v>
      </c>
      <c r="U481" s="40">
        <v>46253</v>
      </c>
      <c r="V481" s="40">
        <v>46253</v>
      </c>
      <c r="W481" s="20" t="s">
        <v>54</v>
      </c>
      <c r="X481" s="21"/>
      <c r="Y481" s="19">
        <f>VLOOKUP(F481,[2]New!$B:$G,3,0)*K481/60</f>
        <v>17.333333333333332</v>
      </c>
      <c r="Z481" s="19">
        <f>VLOOKUP(F481,[2]New!$B:$G,4,0)*K481/60</f>
        <v>69.333333333333329</v>
      </c>
      <c r="AA481" s="19">
        <f>VLOOKUP(F481,[2]New!$B:$G,6,0)*K481/60</f>
        <v>71.933333333333337</v>
      </c>
      <c r="AB481" s="44">
        <f>VLOOKUP(A481,'[4]PO CAG'!$A:$L,12,0)</f>
        <v>46269</v>
      </c>
      <c r="AC481" s="22">
        <f>IFERROR(VLOOKUP(F481,[3]Sheet1!$E:$H,4,0),)</f>
        <v>0</v>
      </c>
      <c r="AD481" s="144"/>
      <c r="AE481" s="25" t="e">
        <v>#N/A</v>
      </c>
      <c r="AF481" s="135" t="s">
        <v>199</v>
      </c>
      <c r="AG481" s="135"/>
      <c r="AH481" s="135"/>
      <c r="AJ481" s="267" t="s">
        <v>152</v>
      </c>
      <c r="AN481" s="278">
        <v>1</v>
      </c>
      <c r="AO481" s="278">
        <v>1</v>
      </c>
      <c r="AP481" s="278">
        <v>1</v>
      </c>
      <c r="AQ481" s="278">
        <v>1</v>
      </c>
    </row>
    <row r="482" spans="1:43">
      <c r="A482" s="135" t="s">
        <v>4062</v>
      </c>
      <c r="B482" s="135" t="s">
        <v>4242</v>
      </c>
      <c r="C482" s="135" t="s">
        <v>4063</v>
      </c>
      <c r="D482" s="46">
        <v>11134361</v>
      </c>
      <c r="E482" s="20" t="s">
        <v>525</v>
      </c>
      <c r="F482" s="20" t="s">
        <v>526</v>
      </c>
      <c r="G482" s="24">
        <v>53</v>
      </c>
      <c r="H482" s="21">
        <v>46262</v>
      </c>
      <c r="I482" s="53" t="s">
        <v>4064</v>
      </c>
      <c r="J482" s="24" t="s">
        <v>4065</v>
      </c>
      <c r="K482" s="24">
        <v>53</v>
      </c>
      <c r="L482" s="46">
        <v>12120523</v>
      </c>
      <c r="M482" s="20" t="s">
        <v>231</v>
      </c>
      <c r="N482" s="38">
        <v>0</v>
      </c>
      <c r="O482" s="38">
        <v>0</v>
      </c>
      <c r="P482" s="20" t="s">
        <v>372</v>
      </c>
      <c r="Q482" s="20">
        <v>0</v>
      </c>
      <c r="R482" s="40">
        <v>46252</v>
      </c>
      <c r="S482" s="20">
        <v>0</v>
      </c>
      <c r="T482" s="20">
        <v>0</v>
      </c>
      <c r="U482" s="40">
        <v>46253</v>
      </c>
      <c r="V482" s="40">
        <v>46253</v>
      </c>
      <c r="W482" s="20" t="s">
        <v>54</v>
      </c>
      <c r="X482" s="21"/>
      <c r="Y482" s="19">
        <f>VLOOKUP(F482,[2]New!$B:$G,3,0)*K482/60</f>
        <v>19.433333333333334</v>
      </c>
      <c r="Z482" s="19">
        <f>VLOOKUP(F482,[2]New!$B:$G,4,0)*K482/60</f>
        <v>104.14500000000001</v>
      </c>
      <c r="AA482" s="19">
        <f>VLOOKUP(F482,[2]New!$B:$G,6,0)*K482/60</f>
        <v>101.58333333333333</v>
      </c>
      <c r="AB482" s="44">
        <f>VLOOKUP(A482,'[4]PO CAG'!$A:$L,12,0)</f>
        <v>46269</v>
      </c>
      <c r="AC482" s="22">
        <f>IFERROR(VLOOKUP(F482,[3]Sheet1!$E:$H,4,0),)</f>
        <v>0</v>
      </c>
      <c r="AD482" s="144"/>
      <c r="AE482" s="25" t="e">
        <v>#N/A</v>
      </c>
      <c r="AF482" s="135" t="s">
        <v>199</v>
      </c>
      <c r="AG482" s="135"/>
      <c r="AH482" s="135"/>
      <c r="AJ482" s="267" t="s">
        <v>152</v>
      </c>
      <c r="AN482" s="278">
        <v>1</v>
      </c>
      <c r="AO482" s="278">
        <v>1</v>
      </c>
      <c r="AP482" s="278">
        <v>1</v>
      </c>
      <c r="AQ482" s="278">
        <v>1</v>
      </c>
    </row>
    <row r="483" spans="1:43">
      <c r="A483" s="135" t="s">
        <v>4066</v>
      </c>
      <c r="B483" s="135" t="s">
        <v>4243</v>
      </c>
      <c r="C483" s="135" t="s">
        <v>4067</v>
      </c>
      <c r="D483" s="46">
        <v>11134343</v>
      </c>
      <c r="E483" s="20" t="s">
        <v>224</v>
      </c>
      <c r="F483" s="20" t="s">
        <v>755</v>
      </c>
      <c r="G483" s="24">
        <v>8</v>
      </c>
      <c r="H483" s="21">
        <v>46262</v>
      </c>
      <c r="I483" s="53" t="s">
        <v>4068</v>
      </c>
      <c r="J483" s="24" t="s">
        <v>4069</v>
      </c>
      <c r="K483" s="24">
        <v>8</v>
      </c>
      <c r="L483" s="46">
        <v>12120504</v>
      </c>
      <c r="M483" s="20" t="s">
        <v>232</v>
      </c>
      <c r="N483" s="38">
        <v>0</v>
      </c>
      <c r="O483" s="38">
        <v>0</v>
      </c>
      <c r="P483" s="20" t="s">
        <v>469</v>
      </c>
      <c r="Q483" s="20">
        <v>0</v>
      </c>
      <c r="R483" s="40">
        <v>46252</v>
      </c>
      <c r="S483" s="20">
        <v>0</v>
      </c>
      <c r="T483" s="20">
        <v>0</v>
      </c>
      <c r="U483" s="40">
        <v>46253</v>
      </c>
      <c r="V483" s="40">
        <v>46253</v>
      </c>
      <c r="W483" s="20" t="s">
        <v>54</v>
      </c>
      <c r="X483" s="21"/>
      <c r="Y483" s="19">
        <f>VLOOKUP(F483,[2]New!$B:$G,3,0)*K483/60</f>
        <v>2.9333333333333331</v>
      </c>
      <c r="Z483" s="19">
        <f>VLOOKUP(F483,[2]New!$B:$G,4,0)*K483/60</f>
        <v>15.72</v>
      </c>
      <c r="AA483" s="19">
        <f>VLOOKUP(F483,[2]New!$B:$G,6,0)*K483/60</f>
        <v>15.333333333333334</v>
      </c>
      <c r="AB483" s="44">
        <f>VLOOKUP(A483,'[4]PO CAG'!$A:$L,12,0)</f>
        <v>46269</v>
      </c>
      <c r="AC483" s="22">
        <f>IFERROR(VLOOKUP(F483,[3]Sheet1!$E:$H,4,0),)</f>
        <v>0</v>
      </c>
      <c r="AD483" s="144"/>
      <c r="AE483" s="25" t="e">
        <v>#N/A</v>
      </c>
      <c r="AF483" s="135" t="s">
        <v>199</v>
      </c>
      <c r="AG483" s="135"/>
      <c r="AH483" s="135"/>
      <c r="AJ483" s="267" t="s">
        <v>152</v>
      </c>
      <c r="AN483" s="278">
        <v>1</v>
      </c>
      <c r="AO483" s="278">
        <v>1</v>
      </c>
      <c r="AP483" s="278">
        <v>1</v>
      </c>
      <c r="AQ483" s="278">
        <v>1</v>
      </c>
    </row>
    <row r="484" spans="1:43">
      <c r="A484" s="135" t="s">
        <v>4070</v>
      </c>
      <c r="B484" s="135" t="s">
        <v>4244</v>
      </c>
      <c r="C484" s="135" t="s">
        <v>4071</v>
      </c>
      <c r="D484" s="46">
        <v>11134345</v>
      </c>
      <c r="E484" s="20" t="s">
        <v>225</v>
      </c>
      <c r="F484" s="20" t="s">
        <v>4072</v>
      </c>
      <c r="G484" s="24">
        <v>10</v>
      </c>
      <c r="H484" s="21">
        <v>46262</v>
      </c>
      <c r="I484" s="53" t="s">
        <v>4073</v>
      </c>
      <c r="J484" s="24" t="s">
        <v>4074</v>
      </c>
      <c r="K484" s="24">
        <v>10</v>
      </c>
      <c r="L484" s="46">
        <v>12120506</v>
      </c>
      <c r="M484" s="20" t="s">
        <v>233</v>
      </c>
      <c r="N484" s="38">
        <v>0</v>
      </c>
      <c r="O484" s="38">
        <v>0</v>
      </c>
      <c r="P484" s="20" t="s">
        <v>469</v>
      </c>
      <c r="Q484" s="20">
        <v>0</v>
      </c>
      <c r="R484" s="40">
        <v>46252</v>
      </c>
      <c r="S484" s="20">
        <v>0</v>
      </c>
      <c r="T484" s="20">
        <v>0</v>
      </c>
      <c r="U484" s="40">
        <v>46253</v>
      </c>
      <c r="V484" s="40">
        <v>46253</v>
      </c>
      <c r="W484" s="20" t="s">
        <v>54</v>
      </c>
      <c r="X484" s="21"/>
      <c r="Y484" s="19">
        <f>VLOOKUP(F484,[2]New!$B:$G,3,0)*K484/60</f>
        <v>3.6666666666666665</v>
      </c>
      <c r="Z484" s="19">
        <f>VLOOKUP(F484,[2]New!$B:$G,4,0)*K484/60</f>
        <v>19.649999999999999</v>
      </c>
      <c r="AA484" s="19">
        <f>VLOOKUP(F484,[2]New!$B:$G,6,0)*K484/60</f>
        <v>19.166666666666668</v>
      </c>
      <c r="AB484" s="44">
        <f>VLOOKUP(A484,'[4]PO CAG'!$A:$L,12,0)</f>
        <v>46269</v>
      </c>
      <c r="AC484" s="22">
        <f>IFERROR(VLOOKUP(F484,[3]Sheet1!$E:$H,4,0),)</f>
        <v>0</v>
      </c>
      <c r="AD484" s="144"/>
      <c r="AE484" s="25" t="e">
        <v>#N/A</v>
      </c>
      <c r="AF484" s="135" t="s">
        <v>199</v>
      </c>
      <c r="AG484" s="135"/>
      <c r="AH484" s="135"/>
      <c r="AJ484" s="267" t="s">
        <v>152</v>
      </c>
      <c r="AN484" s="278">
        <v>1</v>
      </c>
      <c r="AO484" s="278">
        <v>1</v>
      </c>
      <c r="AP484" s="278">
        <v>1</v>
      </c>
      <c r="AQ484" s="278">
        <v>1</v>
      </c>
    </row>
    <row r="485" spans="1:43">
      <c r="A485" s="135" t="s">
        <v>4075</v>
      </c>
      <c r="B485" s="135" t="s">
        <v>4245</v>
      </c>
      <c r="C485" s="135" t="s">
        <v>4076</v>
      </c>
      <c r="D485" s="46">
        <v>11134344</v>
      </c>
      <c r="E485" s="20" t="s">
        <v>756</v>
      </c>
      <c r="F485" s="20" t="s">
        <v>757</v>
      </c>
      <c r="G485" s="24">
        <v>84</v>
      </c>
      <c r="H485" s="21">
        <v>46262</v>
      </c>
      <c r="I485" s="53" t="s">
        <v>4077</v>
      </c>
      <c r="J485" s="24" t="s">
        <v>4078</v>
      </c>
      <c r="K485" s="24">
        <v>84</v>
      </c>
      <c r="L485" s="46">
        <v>12120505</v>
      </c>
      <c r="M485" s="20" t="s">
        <v>766</v>
      </c>
      <c r="N485" s="38">
        <v>0</v>
      </c>
      <c r="O485" s="38">
        <v>0</v>
      </c>
      <c r="P485" s="20" t="s">
        <v>469</v>
      </c>
      <c r="Q485" s="20">
        <v>0</v>
      </c>
      <c r="R485" s="40">
        <v>46252</v>
      </c>
      <c r="S485" s="20">
        <v>0</v>
      </c>
      <c r="T485" s="20">
        <v>0</v>
      </c>
      <c r="U485" s="40">
        <v>46253</v>
      </c>
      <c r="V485" s="40">
        <v>46253</v>
      </c>
      <c r="W485" s="20" t="s">
        <v>54</v>
      </c>
      <c r="X485" s="21"/>
      <c r="Y485" s="19">
        <f>VLOOKUP(F485,[2]New!$B:$G,3,0)*K485/60</f>
        <v>30.8</v>
      </c>
      <c r="Z485" s="19">
        <f>VLOOKUP(F485,[2]New!$B:$G,4,0)*K485/60</f>
        <v>165.06</v>
      </c>
      <c r="AA485" s="19">
        <f>VLOOKUP(F485,[2]New!$B:$G,6,0)*K485/60</f>
        <v>161</v>
      </c>
      <c r="AB485" s="44">
        <f>VLOOKUP(A485,'[4]PO CAG'!$A:$L,12,0)</f>
        <v>46269</v>
      </c>
      <c r="AC485" s="22">
        <f>IFERROR(VLOOKUP(F485,[3]Sheet1!$E:$H,4,0),)</f>
        <v>0</v>
      </c>
      <c r="AD485" s="144"/>
      <c r="AE485" s="25" t="e">
        <v>#N/A</v>
      </c>
      <c r="AF485" s="135" t="s">
        <v>199</v>
      </c>
      <c r="AG485" s="135"/>
      <c r="AH485" s="135"/>
      <c r="AJ485" s="267" t="s">
        <v>152</v>
      </c>
      <c r="AN485" s="278">
        <v>1</v>
      </c>
      <c r="AO485" s="278">
        <v>1</v>
      </c>
      <c r="AP485" s="278">
        <v>1</v>
      </c>
      <c r="AQ485" s="278">
        <v>1</v>
      </c>
    </row>
    <row r="486" spans="1:43">
      <c r="A486" s="135" t="s">
        <v>4079</v>
      </c>
      <c r="B486" s="135" t="s">
        <v>4246</v>
      </c>
      <c r="C486" s="135" t="s">
        <v>4080</v>
      </c>
      <c r="D486" s="46">
        <v>11127835</v>
      </c>
      <c r="E486" s="20" t="s">
        <v>502</v>
      </c>
      <c r="F486" s="20" t="s">
        <v>503</v>
      </c>
      <c r="G486" s="24">
        <v>335</v>
      </c>
      <c r="H486" s="21">
        <v>46262</v>
      </c>
      <c r="I486" s="53" t="s">
        <v>4081</v>
      </c>
      <c r="J486" s="24" t="s">
        <v>4082</v>
      </c>
      <c r="K486" s="24">
        <v>335</v>
      </c>
      <c r="L486" s="46">
        <v>12120581</v>
      </c>
      <c r="M486" s="20" t="s">
        <v>508</v>
      </c>
      <c r="N486" s="38">
        <v>0</v>
      </c>
      <c r="O486" s="38">
        <v>0</v>
      </c>
      <c r="P486" s="20" t="s">
        <v>469</v>
      </c>
      <c r="Q486" s="20">
        <v>0</v>
      </c>
      <c r="R486" s="40">
        <v>46252</v>
      </c>
      <c r="S486" s="20">
        <v>0</v>
      </c>
      <c r="T486" s="20">
        <v>0</v>
      </c>
      <c r="U486" s="40">
        <v>46253</v>
      </c>
      <c r="V486" s="40">
        <v>46253</v>
      </c>
      <c r="W486" s="20" t="s">
        <v>54</v>
      </c>
      <c r="X486" s="21"/>
      <c r="Y486" s="19">
        <f>VLOOKUP(F486,[2]New!$B:$G,3,0)*K486/60</f>
        <v>122.83333333333333</v>
      </c>
      <c r="Z486" s="19">
        <f>VLOOKUP(F486,[2]New!$B:$G,4,0)*K486/60</f>
        <v>658.27499999999998</v>
      </c>
      <c r="AA486" s="19">
        <f>VLOOKUP(F486,[2]New!$B:$G,6,0)*K486/60</f>
        <v>642.08333333333337</v>
      </c>
      <c r="AB486" s="44">
        <f>VLOOKUP(A486,'[4]PO CAG'!$A:$L,12,0)</f>
        <v>46269</v>
      </c>
      <c r="AC486" s="22">
        <f>IFERROR(VLOOKUP(F486,[3]Sheet1!$E:$H,4,0),)</f>
        <v>0</v>
      </c>
      <c r="AD486" s="144"/>
      <c r="AE486" s="25" t="e">
        <v>#N/A</v>
      </c>
      <c r="AF486" s="135" t="s">
        <v>112</v>
      </c>
      <c r="AG486" s="135"/>
      <c r="AH486" s="135"/>
      <c r="AJ486" s="267" t="s">
        <v>187</v>
      </c>
      <c r="AN486" s="278">
        <v>1</v>
      </c>
      <c r="AO486" s="278">
        <v>1</v>
      </c>
      <c r="AP486" s="278">
        <v>1</v>
      </c>
      <c r="AQ486" s="278">
        <v>1</v>
      </c>
    </row>
    <row r="487" spans="1:43">
      <c r="A487" s="135" t="s">
        <v>4083</v>
      </c>
      <c r="B487" s="135" t="s">
        <v>4247</v>
      </c>
      <c r="C487" s="135" t="s">
        <v>4084</v>
      </c>
      <c r="D487" s="46">
        <v>11131259</v>
      </c>
      <c r="E487" s="20" t="s">
        <v>500</v>
      </c>
      <c r="F487" s="20" t="s">
        <v>501</v>
      </c>
      <c r="G487" s="24">
        <v>12</v>
      </c>
      <c r="H487" s="21">
        <v>46262</v>
      </c>
      <c r="I487" s="53" t="s">
        <v>4085</v>
      </c>
      <c r="J487" s="24" t="s">
        <v>4086</v>
      </c>
      <c r="K487" s="24">
        <v>12</v>
      </c>
      <c r="L487" s="46">
        <v>12120625</v>
      </c>
      <c r="M487" s="20" t="s">
        <v>507</v>
      </c>
      <c r="N487" s="38">
        <v>0</v>
      </c>
      <c r="O487" s="38">
        <v>0</v>
      </c>
      <c r="P487" s="20" t="s">
        <v>469</v>
      </c>
      <c r="Q487" s="20">
        <v>0</v>
      </c>
      <c r="R487" s="40">
        <v>46252</v>
      </c>
      <c r="S487" s="20">
        <v>0</v>
      </c>
      <c r="T487" s="20">
        <v>0</v>
      </c>
      <c r="U487" s="40">
        <v>46253</v>
      </c>
      <c r="V487" s="40">
        <v>46253</v>
      </c>
      <c r="W487" s="20" t="s">
        <v>54</v>
      </c>
      <c r="X487" s="21"/>
      <c r="Y487" s="19">
        <f>VLOOKUP(F487,[2]New!$B:$G,3,0)*K487/60</f>
        <v>10.8</v>
      </c>
      <c r="Z487" s="19">
        <f>VLOOKUP(F487,[2]New!$B:$G,4,0)*K487/60</f>
        <v>27</v>
      </c>
      <c r="AA487" s="19">
        <f>VLOOKUP(F487,[2]New!$B:$G,6,0)*K487/60</f>
        <v>34.4</v>
      </c>
      <c r="AB487" s="44">
        <f>VLOOKUP(A487,'[4]PO CAG'!$A:$L,12,0)</f>
        <v>46269</v>
      </c>
      <c r="AC487" s="22">
        <f>IFERROR(VLOOKUP(F487,[3]Sheet1!$E:$H,4,0),)</f>
        <v>0</v>
      </c>
      <c r="AD487" s="144"/>
      <c r="AE487" s="25" t="e">
        <v>#N/A</v>
      </c>
      <c r="AF487" s="135" t="s">
        <v>112</v>
      </c>
      <c r="AG487" s="135"/>
      <c r="AH487" s="135"/>
      <c r="AJ487" s="267" t="s">
        <v>187</v>
      </c>
      <c r="AN487" s="278">
        <v>2</v>
      </c>
      <c r="AO487" s="278">
        <v>2</v>
      </c>
      <c r="AP487" s="278" t="s">
        <v>113</v>
      </c>
      <c r="AQ487" s="278" t="s">
        <v>113</v>
      </c>
    </row>
    <row r="488" spans="1:43">
      <c r="A488" s="135" t="s">
        <v>4087</v>
      </c>
      <c r="B488" s="135" t="s">
        <v>4248</v>
      </c>
      <c r="C488" s="135" t="s">
        <v>4088</v>
      </c>
      <c r="D488" s="46">
        <v>11121772</v>
      </c>
      <c r="E488" s="20" t="s">
        <v>3477</v>
      </c>
      <c r="F488" s="20" t="s">
        <v>3478</v>
      </c>
      <c r="G488" s="24">
        <v>90</v>
      </c>
      <c r="H488" s="21">
        <v>46262</v>
      </c>
      <c r="I488" s="53" t="s">
        <v>4089</v>
      </c>
      <c r="J488" s="24" t="s">
        <v>4090</v>
      </c>
      <c r="K488" s="24">
        <v>90</v>
      </c>
      <c r="L488" s="46">
        <v>12120624</v>
      </c>
      <c r="M488" s="20" t="s">
        <v>509</v>
      </c>
      <c r="N488" s="38">
        <v>0</v>
      </c>
      <c r="O488" s="38">
        <v>0</v>
      </c>
      <c r="P488" s="20" t="s">
        <v>130</v>
      </c>
      <c r="Q488" s="20">
        <v>0</v>
      </c>
      <c r="R488" s="40">
        <v>46252</v>
      </c>
      <c r="S488" s="20">
        <v>0</v>
      </c>
      <c r="T488" s="20">
        <v>0</v>
      </c>
      <c r="U488" s="40">
        <v>46253</v>
      </c>
      <c r="V488" s="40">
        <v>46253</v>
      </c>
      <c r="W488" s="20" t="s">
        <v>54</v>
      </c>
      <c r="X488" s="21"/>
      <c r="Y488" s="19">
        <f>VLOOKUP(F488,[2]New!$B:$G,3,0)*K488/60</f>
        <v>81</v>
      </c>
      <c r="Z488" s="19">
        <f>VLOOKUP(F488,[2]New!$B:$G,4,0)*K488/60</f>
        <v>202.5</v>
      </c>
      <c r="AA488" s="19">
        <f>VLOOKUP(F488,[2]New!$B:$G,6,0)*K488/60</f>
        <v>258</v>
      </c>
      <c r="AB488" s="44">
        <f>VLOOKUP(A488,'[4]PO CAG'!$A:$L,12,0)</f>
        <v>46272</v>
      </c>
      <c r="AC488" s="22">
        <f>IFERROR(VLOOKUP(F488,[3]Sheet1!$E:$H,4,0),)</f>
        <v>0</v>
      </c>
      <c r="AD488" s="144"/>
      <c r="AE488" s="25" t="e">
        <v>#N/A</v>
      </c>
      <c r="AF488" s="135" t="s">
        <v>112</v>
      </c>
      <c r="AG488" s="135"/>
      <c r="AH488" s="135"/>
      <c r="AJ488" s="267" t="s">
        <v>187</v>
      </c>
      <c r="AN488" s="278">
        <v>2</v>
      </c>
      <c r="AO488" s="278">
        <v>2</v>
      </c>
      <c r="AP488" s="278" t="s">
        <v>113</v>
      </c>
      <c r="AQ488" s="278" t="s">
        <v>113</v>
      </c>
    </row>
    <row r="489" spans="1:43">
      <c r="A489" s="135" t="s">
        <v>4091</v>
      </c>
      <c r="B489" s="135" t="s">
        <v>4249</v>
      </c>
      <c r="C489" s="135" t="s">
        <v>4092</v>
      </c>
      <c r="D489" s="46">
        <v>11112479</v>
      </c>
      <c r="E489" s="20" t="s">
        <v>4093</v>
      </c>
      <c r="F489" s="20" t="s">
        <v>4094</v>
      </c>
      <c r="G489" s="24">
        <v>20</v>
      </c>
      <c r="H489" s="21">
        <v>46262</v>
      </c>
      <c r="I489" s="53" t="s">
        <v>4095</v>
      </c>
      <c r="J489" s="24" t="s">
        <v>4096</v>
      </c>
      <c r="K489" s="24">
        <v>20</v>
      </c>
      <c r="L489" s="46">
        <v>12115902</v>
      </c>
      <c r="M489" s="20" t="s">
        <v>4116</v>
      </c>
      <c r="N489" s="38">
        <v>0</v>
      </c>
      <c r="O489" s="38">
        <v>0</v>
      </c>
      <c r="P489" s="20" t="s">
        <v>130</v>
      </c>
      <c r="Q489" s="20">
        <v>0</v>
      </c>
      <c r="R489" s="40">
        <v>46252</v>
      </c>
      <c r="S489" s="20">
        <v>0</v>
      </c>
      <c r="T489" s="20">
        <v>0</v>
      </c>
      <c r="U489" s="40">
        <v>46253</v>
      </c>
      <c r="V489" s="40">
        <v>46253</v>
      </c>
      <c r="W489" s="20" t="s">
        <v>54</v>
      </c>
      <c r="X489" s="21"/>
      <c r="Y489" s="19">
        <f>VLOOKUP(F489,[2]New!$B:$G,3,0)*K489/60</f>
        <v>44</v>
      </c>
      <c r="Z489" s="19">
        <f>VLOOKUP(F489,[2]New!$B:$G,4,0)*K489/60</f>
        <v>52.666666666666664</v>
      </c>
      <c r="AA489" s="19">
        <f>VLOOKUP(F489,[2]New!$B:$G,6,0)*K489/60</f>
        <v>61.333333333333336</v>
      </c>
      <c r="AB489" s="44">
        <f>VLOOKUP(A489,'[4]PO CAG'!$A:$L,12,0)</f>
        <v>46272</v>
      </c>
      <c r="AC489" s="22">
        <f>IFERROR(VLOOKUP(F489,[3]Sheet1!$E:$H,4,0),)</f>
        <v>0</v>
      </c>
      <c r="AD489" s="144"/>
      <c r="AE489" s="25" t="e">
        <v>#N/A</v>
      </c>
      <c r="AF489" s="135" t="s">
        <v>112</v>
      </c>
      <c r="AG489" s="135"/>
      <c r="AH489" s="135"/>
      <c r="AJ489" s="267" t="s">
        <v>187</v>
      </c>
      <c r="AN489" s="278">
        <v>1</v>
      </c>
      <c r="AO489" s="278" t="s">
        <v>113</v>
      </c>
      <c r="AP489" s="278" t="s">
        <v>113</v>
      </c>
      <c r="AQ489" s="278" t="s">
        <v>113</v>
      </c>
    </row>
    <row r="490" spans="1:43">
      <c r="A490" s="135" t="s">
        <v>4097</v>
      </c>
      <c r="B490" s="135" t="s">
        <v>4250</v>
      </c>
      <c r="C490" s="135" t="s">
        <v>4098</v>
      </c>
      <c r="D490" s="46">
        <v>11112486</v>
      </c>
      <c r="E490" s="20" t="s">
        <v>4099</v>
      </c>
      <c r="F490" s="20" t="s">
        <v>4100</v>
      </c>
      <c r="G490" s="24">
        <v>35</v>
      </c>
      <c r="H490" s="21">
        <v>46262</v>
      </c>
      <c r="I490" s="53" t="s">
        <v>4101</v>
      </c>
      <c r="J490" s="24" t="s">
        <v>4102</v>
      </c>
      <c r="K490" s="24">
        <v>35</v>
      </c>
      <c r="L490" s="46">
        <v>12115909</v>
      </c>
      <c r="M490" s="20" t="s">
        <v>4117</v>
      </c>
      <c r="N490" s="38">
        <v>0</v>
      </c>
      <c r="O490" s="38">
        <v>0</v>
      </c>
      <c r="P490" s="20" t="s">
        <v>130</v>
      </c>
      <c r="Q490" s="20">
        <v>0</v>
      </c>
      <c r="R490" s="40">
        <v>46252</v>
      </c>
      <c r="S490" s="20">
        <v>0</v>
      </c>
      <c r="T490" s="20">
        <v>0</v>
      </c>
      <c r="U490" s="40">
        <v>46253</v>
      </c>
      <c r="V490" s="40">
        <v>46253</v>
      </c>
      <c r="W490" s="20" t="s">
        <v>54</v>
      </c>
      <c r="X490" s="21"/>
      <c r="Y490" s="19">
        <f>VLOOKUP(F490,[2]New!$B:$G,3,0)*K490/60</f>
        <v>77</v>
      </c>
      <c r="Z490" s="19">
        <f>VLOOKUP(F490,[2]New!$B:$G,4,0)*K490/60</f>
        <v>92.166666666666671</v>
      </c>
      <c r="AA490" s="19">
        <f>VLOOKUP(F490,[2]New!$B:$G,6,0)*K490/60</f>
        <v>107.33333333333333</v>
      </c>
      <c r="AB490" s="44">
        <f>VLOOKUP(A490,'[4]PO CAG'!$A:$L,12,0)</f>
        <v>46272</v>
      </c>
      <c r="AC490" s="22">
        <f>IFERROR(VLOOKUP(F490,[3]Sheet1!$E:$H,4,0),)</f>
        <v>0</v>
      </c>
      <c r="AD490" s="144"/>
      <c r="AE490" s="25" t="e">
        <v>#N/A</v>
      </c>
      <c r="AF490" s="135" t="s">
        <v>112</v>
      </c>
      <c r="AG490" s="135"/>
      <c r="AH490" s="135"/>
      <c r="AJ490" s="267" t="s">
        <v>187</v>
      </c>
      <c r="AN490" s="278">
        <v>1</v>
      </c>
      <c r="AO490" s="278" t="s">
        <v>113</v>
      </c>
      <c r="AP490" s="278" t="s">
        <v>113</v>
      </c>
      <c r="AQ490" s="278" t="s">
        <v>113</v>
      </c>
    </row>
    <row r="491" spans="1:43">
      <c r="A491" s="135" t="s">
        <v>4103</v>
      </c>
      <c r="B491" s="135" t="s">
        <v>4251</v>
      </c>
      <c r="C491" s="135" t="s">
        <v>4104</v>
      </c>
      <c r="D491" s="46">
        <v>11112475</v>
      </c>
      <c r="E491" s="20" t="s">
        <v>4105</v>
      </c>
      <c r="F491" s="20" t="s">
        <v>4106</v>
      </c>
      <c r="G491" s="24">
        <v>10</v>
      </c>
      <c r="H491" s="21">
        <v>46262</v>
      </c>
      <c r="I491" s="53" t="s">
        <v>4107</v>
      </c>
      <c r="J491" s="24" t="s">
        <v>4108</v>
      </c>
      <c r="K491" s="24">
        <v>10</v>
      </c>
      <c r="L491" s="46">
        <v>12116402</v>
      </c>
      <c r="M491" s="20" t="s">
        <v>4118</v>
      </c>
      <c r="N491" s="38">
        <v>0</v>
      </c>
      <c r="O491" s="38">
        <v>0</v>
      </c>
      <c r="P491" s="20" t="s">
        <v>130</v>
      </c>
      <c r="Q491" s="20">
        <v>0</v>
      </c>
      <c r="R491" s="40">
        <v>46252</v>
      </c>
      <c r="S491" s="20">
        <v>0</v>
      </c>
      <c r="T491" s="20">
        <v>0</v>
      </c>
      <c r="U491" s="40">
        <v>46253</v>
      </c>
      <c r="V491" s="40">
        <v>46253</v>
      </c>
      <c r="W491" s="20" t="s">
        <v>54</v>
      </c>
      <c r="X491" s="21"/>
      <c r="Y491" s="19">
        <f>VLOOKUP(F491,[2]New!$B:$G,3,0)*K491/60</f>
        <v>22</v>
      </c>
      <c r="Z491" s="19">
        <f>VLOOKUP(F491,[2]New!$B:$G,4,0)*K491/60</f>
        <v>26.333333333333332</v>
      </c>
      <c r="AA491" s="19">
        <f>VLOOKUP(F491,[2]New!$B:$G,6,0)*K491/60</f>
        <v>30.666666666666668</v>
      </c>
      <c r="AB491" s="44">
        <f>VLOOKUP(A491,'[4]PO CAG'!$A:$L,12,0)</f>
        <v>46272</v>
      </c>
      <c r="AC491" s="22">
        <f>IFERROR(VLOOKUP(F491,[3]Sheet1!$E:$H,4,0),)</f>
        <v>0</v>
      </c>
      <c r="AD491" s="144"/>
      <c r="AE491" s="25" t="e">
        <v>#N/A</v>
      </c>
      <c r="AF491" s="135" t="s">
        <v>112</v>
      </c>
      <c r="AG491" s="135"/>
      <c r="AH491" s="135"/>
      <c r="AJ491" s="267" t="s">
        <v>187</v>
      </c>
      <c r="AN491" s="278">
        <v>1</v>
      </c>
      <c r="AO491" s="278" t="s">
        <v>113</v>
      </c>
      <c r="AP491" s="278" t="s">
        <v>113</v>
      </c>
      <c r="AQ491" s="278" t="s">
        <v>113</v>
      </c>
    </row>
    <row r="492" spans="1:43">
      <c r="A492" s="135" t="s">
        <v>3087</v>
      </c>
      <c r="B492" s="135" t="s">
        <v>4274</v>
      </c>
      <c r="C492" s="135" t="s">
        <v>4109</v>
      </c>
      <c r="D492" s="46">
        <v>11134248</v>
      </c>
      <c r="E492" s="20" t="s">
        <v>179</v>
      </c>
      <c r="F492" s="20" t="s">
        <v>180</v>
      </c>
      <c r="G492" s="24">
        <v>500</v>
      </c>
      <c r="H492" s="21">
        <v>46272</v>
      </c>
      <c r="I492" s="53" t="s">
        <v>4110</v>
      </c>
      <c r="J492" s="24" t="s">
        <v>4111</v>
      </c>
      <c r="K492" s="24">
        <v>503</v>
      </c>
      <c r="L492" s="46">
        <v>12139931</v>
      </c>
      <c r="M492" s="20" t="s">
        <v>185</v>
      </c>
      <c r="N492" s="38">
        <v>0</v>
      </c>
      <c r="O492" s="38">
        <v>0</v>
      </c>
      <c r="P492" s="20" t="s">
        <v>72</v>
      </c>
      <c r="Q492" s="20">
        <v>0</v>
      </c>
      <c r="R492" s="40">
        <v>46252</v>
      </c>
      <c r="S492" s="20">
        <v>0</v>
      </c>
      <c r="T492" s="20">
        <v>3</v>
      </c>
      <c r="U492" s="40">
        <v>46253</v>
      </c>
      <c r="V492" s="40">
        <v>46253</v>
      </c>
      <c r="W492" s="20" t="s">
        <v>54</v>
      </c>
      <c r="X492" s="21"/>
      <c r="Y492" s="19">
        <f>VLOOKUP(F492,[2]New!$B:$G,3,0)*K492/60</f>
        <v>281.68</v>
      </c>
      <c r="Z492" s="19">
        <f>VLOOKUP(F492,[2]New!$B:$G,4,0)*K492/60</f>
        <v>540.72500000000002</v>
      </c>
      <c r="AA492" s="19">
        <f>VLOOKUP(F492,[2]New!$B:$G,6,0)*K492/60</f>
        <v>1117.4983333333334</v>
      </c>
      <c r="AB492" s="44">
        <f>VLOOKUP(A492,'[4]PO CAG'!$A:$L,12,0)</f>
        <v>46303</v>
      </c>
      <c r="AC492" s="22" t="str">
        <f>IFERROR(VLOOKUP(F492,[3]Sheet1!$E:$H,4,0),)</f>
        <v>H</v>
      </c>
      <c r="AD492" s="144"/>
      <c r="AE492" s="25" t="e">
        <v>#N/A</v>
      </c>
      <c r="AF492" s="135" t="s">
        <v>198</v>
      </c>
      <c r="AG492" s="135"/>
      <c r="AH492" s="135"/>
      <c r="AJ492" s="267" t="s">
        <v>444</v>
      </c>
      <c r="AN492" s="278">
        <v>2</v>
      </c>
      <c r="AO492" s="278">
        <v>2</v>
      </c>
      <c r="AP492" s="278">
        <v>2</v>
      </c>
      <c r="AQ492" s="278">
        <v>2</v>
      </c>
    </row>
    <row r="493" spans="1:43">
      <c r="A493" s="135" t="s">
        <v>3090</v>
      </c>
      <c r="B493" s="135" t="s">
        <v>4275</v>
      </c>
      <c r="C493" s="135" t="s">
        <v>4112</v>
      </c>
      <c r="D493" s="46">
        <v>11134562</v>
      </c>
      <c r="E493" s="20" t="s">
        <v>263</v>
      </c>
      <c r="F493" s="20" t="s">
        <v>264</v>
      </c>
      <c r="G493" s="24">
        <v>614</v>
      </c>
      <c r="H493" s="21">
        <v>46272</v>
      </c>
      <c r="I493" s="53" t="s">
        <v>4113</v>
      </c>
      <c r="J493" s="24" t="s">
        <v>4114</v>
      </c>
      <c r="K493" s="24">
        <v>620</v>
      </c>
      <c r="L493" s="46">
        <v>12129258</v>
      </c>
      <c r="M493" s="20" t="s">
        <v>265</v>
      </c>
      <c r="N493" s="38">
        <v>0</v>
      </c>
      <c r="O493" s="38">
        <v>0</v>
      </c>
      <c r="P493" s="20" t="s">
        <v>72</v>
      </c>
      <c r="Q493" s="20">
        <v>0</v>
      </c>
      <c r="R493" s="40">
        <v>46252</v>
      </c>
      <c r="S493" s="20">
        <v>3</v>
      </c>
      <c r="T493" s="20">
        <v>3</v>
      </c>
      <c r="U493" s="40">
        <v>46253</v>
      </c>
      <c r="V493" s="40">
        <v>46253</v>
      </c>
      <c r="W493" s="20" t="s">
        <v>54</v>
      </c>
      <c r="X493" s="21"/>
      <c r="Y493" s="19">
        <f>VLOOKUP(F493,[2]New!$B:$G,3,0)*K493/60</f>
        <v>578.66666666666663</v>
      </c>
      <c r="Z493" s="19">
        <f>VLOOKUP(F493,[2]New!$B:$G,4,0)*K493/60</f>
        <v>2418</v>
      </c>
      <c r="AA493" s="19">
        <f>VLOOKUP(F493,[2]New!$B:$G,6,0)*K493/60</f>
        <v>2986.3333333333335</v>
      </c>
      <c r="AB493" s="44">
        <f>VLOOKUP(A493,'[4]PO CAG'!$A:$L,12,0)</f>
        <v>46303</v>
      </c>
      <c r="AC493" s="22" t="str">
        <f>IFERROR(VLOOKUP(F493,[3]Sheet1!$E:$H,4,0),)</f>
        <v>H</v>
      </c>
      <c r="AD493" s="144"/>
      <c r="AE493" s="25" t="e">
        <v>#N/A</v>
      </c>
      <c r="AF493" s="135" t="s">
        <v>198</v>
      </c>
      <c r="AG493" s="135"/>
      <c r="AH493" s="135"/>
      <c r="AJ493" s="267" t="s">
        <v>444</v>
      </c>
      <c r="AN493" s="278">
        <v>1</v>
      </c>
      <c r="AO493" s="278">
        <v>1</v>
      </c>
      <c r="AP493" s="278">
        <v>1</v>
      </c>
      <c r="AQ493" s="278">
        <v>1</v>
      </c>
    </row>
    <row r="494" spans="1:43">
      <c r="A494" s="135" t="s">
        <v>4119</v>
      </c>
      <c r="B494" s="135" t="s">
        <v>4252</v>
      </c>
      <c r="C494" s="135" t="s">
        <v>4120</v>
      </c>
      <c r="D494" s="46">
        <v>11131303</v>
      </c>
      <c r="E494" s="20" t="s">
        <v>2835</v>
      </c>
      <c r="F494" s="20" t="s">
        <v>2836</v>
      </c>
      <c r="G494" s="24">
        <v>6</v>
      </c>
      <c r="H494" s="21">
        <v>46262</v>
      </c>
      <c r="I494" s="53" t="s">
        <v>4121</v>
      </c>
      <c r="J494" s="24" t="s">
        <v>4122</v>
      </c>
      <c r="K494" s="24">
        <v>9</v>
      </c>
      <c r="L494" s="46">
        <v>12116193</v>
      </c>
      <c r="M494" s="20" t="s">
        <v>551</v>
      </c>
      <c r="N494" s="38">
        <v>0</v>
      </c>
      <c r="O494" s="38">
        <v>0</v>
      </c>
      <c r="P494" s="20" t="s">
        <v>354</v>
      </c>
      <c r="Q494" s="20">
        <v>0</v>
      </c>
      <c r="R494" s="40">
        <v>46252</v>
      </c>
      <c r="S494" s="38">
        <v>3</v>
      </c>
      <c r="T494" s="20">
        <v>0</v>
      </c>
      <c r="U494" s="40">
        <v>46253</v>
      </c>
      <c r="V494" s="40">
        <v>46253</v>
      </c>
      <c r="W494" s="20" t="s">
        <v>57</v>
      </c>
      <c r="X494" s="21"/>
      <c r="Y494" s="19">
        <f>VLOOKUP(F494,[2]New!$B:$G,3,0)*K494/60</f>
        <v>12.944999999999999</v>
      </c>
      <c r="Z494" s="19">
        <f>VLOOKUP(F494,[2]New!$B:$G,4,0)*K494/60</f>
        <v>14.7</v>
      </c>
      <c r="AA494" s="19">
        <f>VLOOKUP(F494,[2]New!$B:$G,6,0)*K494/60</f>
        <v>29.25</v>
      </c>
      <c r="AB494" s="44">
        <f>VLOOKUP(A494,'[4]PO CAG'!$A:$L,12,0)</f>
        <v>46274</v>
      </c>
      <c r="AC494" s="22">
        <f>IFERROR(VLOOKUP(F494,[3]Sheet1!$E:$H,4,0),)</f>
        <v>0</v>
      </c>
      <c r="AD494" s="144"/>
      <c r="AE494" s="25" t="e">
        <v>#N/A</v>
      </c>
      <c r="AF494" s="135" t="s">
        <v>112</v>
      </c>
      <c r="AG494" s="135"/>
      <c r="AH494" s="135"/>
      <c r="AJ494" s="267" t="s">
        <v>153</v>
      </c>
      <c r="AN494" s="278">
        <v>3</v>
      </c>
      <c r="AO494" s="278">
        <v>3</v>
      </c>
      <c r="AP494" s="278">
        <v>3</v>
      </c>
      <c r="AQ494" s="278">
        <v>3</v>
      </c>
    </row>
    <row r="495" spans="1:43">
      <c r="A495" s="135" t="s">
        <v>4123</v>
      </c>
      <c r="B495" s="135" t="s">
        <v>4253</v>
      </c>
      <c r="C495" s="135" t="s">
        <v>4124</v>
      </c>
      <c r="D495" s="46">
        <v>11131304</v>
      </c>
      <c r="E495" s="20" t="s">
        <v>1877</v>
      </c>
      <c r="F495" s="20" t="s">
        <v>1878</v>
      </c>
      <c r="G495" s="24">
        <v>10</v>
      </c>
      <c r="H495" s="21">
        <v>46262</v>
      </c>
      <c r="I495" s="53" t="s">
        <v>4125</v>
      </c>
      <c r="J495" s="24" t="s">
        <v>4126</v>
      </c>
      <c r="K495" s="24">
        <v>10</v>
      </c>
      <c r="L495" s="46">
        <v>12116196</v>
      </c>
      <c r="M495" s="20" t="s">
        <v>620</v>
      </c>
      <c r="N495" s="38">
        <v>0</v>
      </c>
      <c r="O495" s="38">
        <v>0</v>
      </c>
      <c r="P495" s="20" t="s">
        <v>354</v>
      </c>
      <c r="Q495" s="20">
        <v>0</v>
      </c>
      <c r="R495" s="40">
        <v>46252</v>
      </c>
      <c r="S495" s="20">
        <v>0</v>
      </c>
      <c r="T495" s="20">
        <v>0</v>
      </c>
      <c r="U495" s="40">
        <v>46253</v>
      </c>
      <c r="V495" s="40">
        <v>46253</v>
      </c>
      <c r="W495" s="20" t="s">
        <v>57</v>
      </c>
      <c r="X495" s="21"/>
      <c r="Y495" s="19">
        <f>VLOOKUP(F495,[2]New!$B:$G,3,0)*K495/60</f>
        <v>3.5</v>
      </c>
      <c r="Z495" s="19">
        <f>VLOOKUP(F495,[2]New!$B:$G,4,0)*K495/60</f>
        <v>15.433333333333334</v>
      </c>
      <c r="AA495" s="19">
        <f>VLOOKUP(F495,[2]New!$B:$G,6,0)*K495/60</f>
        <v>7.166666666666667</v>
      </c>
      <c r="AB495" s="44">
        <f>VLOOKUP(A495,'[4]PO CAG'!$A:$L,12,0)</f>
        <v>46274</v>
      </c>
      <c r="AC495" s="22">
        <f>IFERROR(VLOOKUP(F495,[3]Sheet1!$E:$H,4,0),)</f>
        <v>0</v>
      </c>
      <c r="AD495" s="144"/>
      <c r="AE495" s="25" t="e">
        <v>#N/A</v>
      </c>
      <c r="AF495" s="135" t="s">
        <v>112</v>
      </c>
      <c r="AG495" s="135"/>
      <c r="AH495" s="135"/>
      <c r="AJ495" s="267" t="s">
        <v>153</v>
      </c>
      <c r="AN495" s="278">
        <v>3</v>
      </c>
      <c r="AO495" s="278">
        <v>3</v>
      </c>
      <c r="AP495" s="278">
        <v>3</v>
      </c>
      <c r="AQ495" s="278">
        <v>3</v>
      </c>
    </row>
    <row r="496" spans="1:43">
      <c r="A496" s="135" t="s">
        <v>4127</v>
      </c>
      <c r="B496" s="135" t="s">
        <v>4254</v>
      </c>
      <c r="C496" s="135" t="s">
        <v>4128</v>
      </c>
      <c r="D496" s="46">
        <v>11131307</v>
      </c>
      <c r="E496" s="20" t="s">
        <v>1881</v>
      </c>
      <c r="F496" s="20" t="s">
        <v>1882</v>
      </c>
      <c r="G496" s="24">
        <v>4</v>
      </c>
      <c r="H496" s="21">
        <v>46262</v>
      </c>
      <c r="I496" s="53" t="s">
        <v>4129</v>
      </c>
      <c r="J496" s="24" t="s">
        <v>4130</v>
      </c>
      <c r="K496" s="24">
        <v>4</v>
      </c>
      <c r="L496" s="46">
        <v>12124616</v>
      </c>
      <c r="M496" s="20" t="s">
        <v>1952</v>
      </c>
      <c r="N496" s="38">
        <v>0</v>
      </c>
      <c r="O496" s="38">
        <v>0</v>
      </c>
      <c r="P496" s="20" t="s">
        <v>94</v>
      </c>
      <c r="Q496" s="20">
        <v>0</v>
      </c>
      <c r="R496" s="40">
        <v>46252</v>
      </c>
      <c r="S496" s="20">
        <v>0</v>
      </c>
      <c r="T496" s="20">
        <v>0</v>
      </c>
      <c r="U496" s="40">
        <v>46253</v>
      </c>
      <c r="V496" s="40">
        <v>46253</v>
      </c>
      <c r="W496" s="20" t="s">
        <v>57</v>
      </c>
      <c r="X496" s="21"/>
      <c r="Y496" s="19" t="e">
        <f>VLOOKUP(F496,[2]New!$B:$G,3,0)*K496/60</f>
        <v>#N/A</v>
      </c>
      <c r="Z496" s="19" t="e">
        <f>VLOOKUP(F496,[2]New!$B:$G,4,0)*K496/60</f>
        <v>#N/A</v>
      </c>
      <c r="AA496" s="19" t="e">
        <f>VLOOKUP(F496,[2]New!$B:$G,6,0)*K496/60</f>
        <v>#N/A</v>
      </c>
      <c r="AB496" s="44">
        <f>VLOOKUP(A496,'[4]PO CAG'!$A:$L,12,0)</f>
        <v>46274</v>
      </c>
      <c r="AC496" s="22">
        <f>IFERROR(VLOOKUP(F496,[3]Sheet1!$E:$H,4,0),)</f>
        <v>0</v>
      </c>
      <c r="AD496" s="144"/>
      <c r="AE496" s="25" t="e">
        <v>#N/A</v>
      </c>
      <c r="AF496" s="135" t="s">
        <v>112</v>
      </c>
      <c r="AG496" s="135"/>
      <c r="AH496" s="135"/>
      <c r="AJ496" s="267" t="s">
        <v>153</v>
      </c>
      <c r="AN496" s="278">
        <v>3</v>
      </c>
      <c r="AO496" s="278">
        <v>3</v>
      </c>
      <c r="AP496" s="278">
        <v>3</v>
      </c>
      <c r="AQ496" s="278">
        <v>3</v>
      </c>
    </row>
    <row r="497" spans="1:43">
      <c r="A497" s="135" t="s">
        <v>4131</v>
      </c>
      <c r="B497" s="135" t="s">
        <v>4255</v>
      </c>
      <c r="C497" s="135" t="s">
        <v>4132</v>
      </c>
      <c r="D497" s="46">
        <v>11131289</v>
      </c>
      <c r="E497" s="20" t="s">
        <v>192</v>
      </c>
      <c r="F497" s="20" t="s">
        <v>193</v>
      </c>
      <c r="G497" s="24">
        <v>25</v>
      </c>
      <c r="H497" s="21">
        <v>46262</v>
      </c>
      <c r="I497" s="53" t="s">
        <v>4133</v>
      </c>
      <c r="J497" s="24" t="s">
        <v>4134</v>
      </c>
      <c r="K497" s="24">
        <v>25</v>
      </c>
      <c r="L497" s="46">
        <v>12116064</v>
      </c>
      <c r="M497" s="20" t="s">
        <v>98</v>
      </c>
      <c r="N497" s="38">
        <v>0</v>
      </c>
      <c r="O497" s="38">
        <v>0</v>
      </c>
      <c r="P497" s="20" t="s">
        <v>94</v>
      </c>
      <c r="Q497" s="20">
        <v>0</v>
      </c>
      <c r="R497" s="40">
        <v>46252</v>
      </c>
      <c r="S497" s="20">
        <v>0</v>
      </c>
      <c r="T497" s="20">
        <v>0</v>
      </c>
      <c r="U497" s="40">
        <v>46253</v>
      </c>
      <c r="V497" s="40">
        <v>46253</v>
      </c>
      <c r="W497" s="20" t="s">
        <v>57</v>
      </c>
      <c r="X497" s="21"/>
      <c r="Y497" s="19">
        <f>VLOOKUP(F497,[2]New!$B:$G,3,0)*K497/60</f>
        <v>35.958333333333336</v>
      </c>
      <c r="Z497" s="19">
        <f>VLOOKUP(F497,[2]New!$B:$G,4,0)*K497/60</f>
        <v>40.833333333333336</v>
      </c>
      <c r="AA497" s="19">
        <f>VLOOKUP(F497,[2]New!$B:$G,6,0)*K497/60</f>
        <v>81.25</v>
      </c>
      <c r="AB497" s="44">
        <f>VLOOKUP(A497,'[4]PO CAG'!$A:$L,12,0)</f>
        <v>46274</v>
      </c>
      <c r="AC497" s="22">
        <f>IFERROR(VLOOKUP(F497,[3]Sheet1!$E:$H,4,0),)</f>
        <v>0</v>
      </c>
      <c r="AD497" s="144"/>
      <c r="AE497" s="25" t="e">
        <v>#N/A</v>
      </c>
      <c r="AF497" s="135" t="s">
        <v>112</v>
      </c>
      <c r="AG497" s="135"/>
      <c r="AH497" s="135"/>
      <c r="AJ497" s="267" t="s">
        <v>153</v>
      </c>
      <c r="AN497" s="278">
        <v>3</v>
      </c>
      <c r="AO497" s="278">
        <v>3</v>
      </c>
      <c r="AP497" s="278">
        <v>3</v>
      </c>
      <c r="AQ497" s="278">
        <v>3</v>
      </c>
    </row>
    <row r="498" spans="1:43">
      <c r="A498" s="135" t="s">
        <v>4135</v>
      </c>
      <c r="B498" s="135" t="s">
        <v>4256</v>
      </c>
      <c r="C498" s="135" t="s">
        <v>4136</v>
      </c>
      <c r="D498" s="46">
        <v>11132714</v>
      </c>
      <c r="E498" s="20" t="s">
        <v>462</v>
      </c>
      <c r="F498" s="20" t="s">
        <v>463</v>
      </c>
      <c r="G498" s="24">
        <v>30</v>
      </c>
      <c r="H498" s="21">
        <v>46262</v>
      </c>
      <c r="I498" s="53" t="s">
        <v>4137</v>
      </c>
      <c r="J498" s="24" t="s">
        <v>4138</v>
      </c>
      <c r="K498" s="24">
        <v>30</v>
      </c>
      <c r="L498" s="46">
        <v>12116034</v>
      </c>
      <c r="M498" s="20" t="s">
        <v>105</v>
      </c>
      <c r="N498" s="38">
        <v>0</v>
      </c>
      <c r="O498" s="38">
        <v>0</v>
      </c>
      <c r="P498" s="20" t="s">
        <v>94</v>
      </c>
      <c r="Q498" s="20">
        <v>0</v>
      </c>
      <c r="R498" s="40">
        <v>46252</v>
      </c>
      <c r="S498" s="20">
        <v>0</v>
      </c>
      <c r="T498" s="20">
        <v>0</v>
      </c>
      <c r="U498" s="40">
        <v>46253</v>
      </c>
      <c r="V498" s="40">
        <v>46253</v>
      </c>
      <c r="W498" s="20" t="s">
        <v>57</v>
      </c>
      <c r="X498" s="21"/>
      <c r="Y498" s="19">
        <f>VLOOKUP(F498,[2]New!$B:$G,3,0)*K498/60</f>
        <v>43.15</v>
      </c>
      <c r="Z498" s="19">
        <f>VLOOKUP(F498,[2]New!$B:$G,4,0)*K498/60</f>
        <v>49</v>
      </c>
      <c r="AA498" s="19">
        <f>VLOOKUP(F498,[2]New!$B:$G,6,0)*K498/60</f>
        <v>97.5</v>
      </c>
      <c r="AB498" s="44">
        <f>VLOOKUP(A498,'[4]PO CAG'!$A:$L,12,0)</f>
        <v>46274</v>
      </c>
      <c r="AC498" s="22">
        <f>IFERROR(VLOOKUP(F498,[3]Sheet1!$E:$H,4,0),)</f>
        <v>0</v>
      </c>
      <c r="AD498" s="144"/>
      <c r="AE498" s="25" t="e">
        <v>#N/A</v>
      </c>
      <c r="AF498" s="135" t="s">
        <v>112</v>
      </c>
      <c r="AG498" s="135"/>
      <c r="AH498" s="135"/>
      <c r="AI498" s="135"/>
      <c r="AJ498" s="267" t="s">
        <v>153</v>
      </c>
      <c r="AN498" s="278">
        <v>3</v>
      </c>
      <c r="AO498" s="278">
        <v>3</v>
      </c>
      <c r="AP498" s="278">
        <v>3</v>
      </c>
      <c r="AQ498" s="278">
        <v>3</v>
      </c>
    </row>
    <row r="499" spans="1:43">
      <c r="A499" s="135" t="s">
        <v>4139</v>
      </c>
      <c r="B499" s="135" t="s">
        <v>4257</v>
      </c>
      <c r="C499" s="135" t="s">
        <v>4140</v>
      </c>
      <c r="D499" s="46">
        <v>11132715</v>
      </c>
      <c r="E499" s="20" t="s">
        <v>216</v>
      </c>
      <c r="F499" s="20" t="s">
        <v>217</v>
      </c>
      <c r="G499" s="24">
        <v>30</v>
      </c>
      <c r="H499" s="21">
        <v>46262</v>
      </c>
      <c r="I499" s="53" t="s">
        <v>4141</v>
      </c>
      <c r="J499" s="24" t="s">
        <v>4142</v>
      </c>
      <c r="K499" s="24">
        <v>30</v>
      </c>
      <c r="L499" s="46">
        <v>12116036</v>
      </c>
      <c r="M499" s="20" t="s">
        <v>103</v>
      </c>
      <c r="N499" s="38">
        <v>0</v>
      </c>
      <c r="O499" s="38">
        <v>0</v>
      </c>
      <c r="P499" s="20" t="s">
        <v>94</v>
      </c>
      <c r="Q499" s="20">
        <v>0</v>
      </c>
      <c r="R499" s="40">
        <v>46252</v>
      </c>
      <c r="S499" s="20">
        <v>0</v>
      </c>
      <c r="T499" s="20">
        <v>0</v>
      </c>
      <c r="U499" s="40">
        <v>46253</v>
      </c>
      <c r="V499" s="40">
        <v>46253</v>
      </c>
      <c r="W499" s="20" t="s">
        <v>57</v>
      </c>
      <c r="X499" s="21"/>
      <c r="Y499" s="19">
        <f>VLOOKUP(F499,[2]New!$B:$G,3,0)*K499/60</f>
        <v>10.5</v>
      </c>
      <c r="Z499" s="19">
        <f>VLOOKUP(F499,[2]New!$B:$G,4,0)*K499/60</f>
        <v>46.3</v>
      </c>
      <c r="AA499" s="19">
        <f>VLOOKUP(F499,[2]New!$B:$G,6,0)*K499/60</f>
        <v>21.5</v>
      </c>
      <c r="AB499" s="44">
        <f>VLOOKUP(A499,'[4]PO CAG'!$A:$L,12,0)</f>
        <v>46274</v>
      </c>
      <c r="AC499" s="22">
        <f>IFERROR(VLOOKUP(F499,[3]Sheet1!$E:$H,4,0),)</f>
        <v>0</v>
      </c>
      <c r="AD499" s="144"/>
      <c r="AE499" s="25" t="e">
        <v>#N/A</v>
      </c>
      <c r="AF499" s="135" t="s">
        <v>112</v>
      </c>
      <c r="AG499" s="135"/>
      <c r="AH499" s="135"/>
      <c r="AI499" s="135"/>
      <c r="AJ499" s="267" t="s">
        <v>153</v>
      </c>
      <c r="AN499" s="278">
        <v>3</v>
      </c>
      <c r="AO499" s="278">
        <v>3</v>
      </c>
      <c r="AP499" s="278">
        <v>3</v>
      </c>
      <c r="AQ499" s="278">
        <v>3</v>
      </c>
    </row>
    <row r="500" spans="1:43">
      <c r="A500" s="135" t="s">
        <v>4143</v>
      </c>
      <c r="B500" s="135" t="s">
        <v>4258</v>
      </c>
      <c r="C500" s="135" t="s">
        <v>4144</v>
      </c>
      <c r="D500" s="46">
        <v>11135517</v>
      </c>
      <c r="E500" s="20" t="s">
        <v>4145</v>
      </c>
      <c r="F500" s="20" t="s">
        <v>4146</v>
      </c>
      <c r="G500" s="24">
        <v>2</v>
      </c>
      <c r="H500" s="21">
        <v>46262</v>
      </c>
      <c r="I500" s="53" t="s">
        <v>4147</v>
      </c>
      <c r="J500" s="24" t="s">
        <v>4148</v>
      </c>
      <c r="K500" s="24">
        <v>2</v>
      </c>
      <c r="L500" s="46">
        <v>12116037</v>
      </c>
      <c r="M500" s="20" t="s">
        <v>4221</v>
      </c>
      <c r="N500" s="38">
        <v>0</v>
      </c>
      <c r="O500" s="38">
        <v>0</v>
      </c>
      <c r="P500" s="20" t="s">
        <v>3227</v>
      </c>
      <c r="Q500" s="20">
        <v>0</v>
      </c>
      <c r="R500" s="40">
        <v>46252</v>
      </c>
      <c r="S500" s="20">
        <v>0</v>
      </c>
      <c r="T500" s="20">
        <v>0</v>
      </c>
      <c r="U500" s="40">
        <v>46253</v>
      </c>
      <c r="V500" s="40">
        <v>46253</v>
      </c>
      <c r="W500" s="20" t="s">
        <v>57</v>
      </c>
      <c r="X500" s="21"/>
      <c r="Y500" s="19">
        <f>VLOOKUP(F500,[2]New!$B:$G,3,0)*K500/60</f>
        <v>0.73333333333333328</v>
      </c>
      <c r="Z500" s="19">
        <f>VLOOKUP(F500,[2]New!$B:$G,4,0)*K500/60</f>
        <v>3.93</v>
      </c>
      <c r="AA500" s="19">
        <f>VLOOKUP(F500,[2]New!$B:$G,6,0)*K500/60</f>
        <v>3.8333333333333335</v>
      </c>
      <c r="AB500" s="44">
        <f>VLOOKUP(A500,'[4]PO CAG'!$A:$L,12,0)</f>
        <v>46269</v>
      </c>
      <c r="AC500" s="22">
        <f>IFERROR(VLOOKUP(F500,[3]Sheet1!$E:$H,4,0),)</f>
        <v>0</v>
      </c>
      <c r="AD500" s="144"/>
      <c r="AE500" s="25" t="e">
        <v>#N/A</v>
      </c>
      <c r="AF500" s="135" t="s">
        <v>112</v>
      </c>
      <c r="AG500" s="135"/>
      <c r="AH500" s="135"/>
      <c r="AI500" s="135"/>
      <c r="AJ500" s="267" t="s">
        <v>153</v>
      </c>
      <c r="AN500" s="278">
        <v>2</v>
      </c>
      <c r="AO500" s="278">
        <v>2</v>
      </c>
      <c r="AP500" s="278">
        <v>2</v>
      </c>
      <c r="AQ500" s="278">
        <v>2</v>
      </c>
    </row>
    <row r="501" spans="1:43">
      <c r="A501" s="135" t="s">
        <v>4149</v>
      </c>
      <c r="B501" s="135" t="s">
        <v>4259</v>
      </c>
      <c r="C501" s="135" t="s">
        <v>4150</v>
      </c>
      <c r="D501" s="46">
        <v>11134284</v>
      </c>
      <c r="E501" s="20" t="s">
        <v>4151</v>
      </c>
      <c r="F501" s="20" t="s">
        <v>4152</v>
      </c>
      <c r="G501" s="24">
        <v>8</v>
      </c>
      <c r="H501" s="21">
        <v>46262</v>
      </c>
      <c r="I501" s="53" t="s">
        <v>4153</v>
      </c>
      <c r="J501" s="24" t="s">
        <v>4154</v>
      </c>
      <c r="K501" s="24">
        <v>8</v>
      </c>
      <c r="L501" s="46">
        <v>12116196</v>
      </c>
      <c r="M501" s="20" t="s">
        <v>620</v>
      </c>
      <c r="N501" s="38">
        <v>0</v>
      </c>
      <c r="O501" s="38">
        <v>0</v>
      </c>
      <c r="P501" s="20" t="s">
        <v>469</v>
      </c>
      <c r="Q501" s="20">
        <v>0</v>
      </c>
      <c r="R501" s="40">
        <v>46253</v>
      </c>
      <c r="S501" s="20">
        <v>0</v>
      </c>
      <c r="T501" s="20">
        <v>0</v>
      </c>
      <c r="U501" s="40">
        <v>46254</v>
      </c>
      <c r="V501" s="40">
        <v>46254</v>
      </c>
      <c r="W501" s="20" t="s">
        <v>57</v>
      </c>
      <c r="X501" s="21"/>
      <c r="Y501" s="19">
        <f>VLOOKUP(F501,[2]New!$B:$G,3,0)*K501/60</f>
        <v>7.4666666666666668</v>
      </c>
      <c r="Z501" s="19">
        <f>VLOOKUP(F501,[2]New!$B:$G,4,0)*K501/60</f>
        <v>31.2</v>
      </c>
      <c r="AA501" s="19">
        <f>VLOOKUP(F501,[2]New!$B:$G,6,0)*K501/60</f>
        <v>38.559999999999995</v>
      </c>
      <c r="AB501" s="44">
        <f>VLOOKUP(A501,'[4]PO CAG'!$A:$L,12,0)</f>
        <v>46269</v>
      </c>
      <c r="AC501" s="22">
        <f>IFERROR(VLOOKUP(F501,[3]Sheet1!$E:$H,4,0),)</f>
        <v>0</v>
      </c>
      <c r="AD501" s="144"/>
      <c r="AE501" s="25" t="e">
        <v>#N/A</v>
      </c>
      <c r="AF501" s="135" t="s">
        <v>112</v>
      </c>
      <c r="AG501" s="135"/>
      <c r="AH501" s="135"/>
      <c r="AI501" s="135"/>
      <c r="AJ501" s="267" t="s">
        <v>153</v>
      </c>
      <c r="AN501" s="278">
        <v>2</v>
      </c>
      <c r="AO501" s="278">
        <v>2</v>
      </c>
      <c r="AP501" s="278">
        <v>2</v>
      </c>
      <c r="AQ501" s="278">
        <v>2</v>
      </c>
    </row>
    <row r="502" spans="1:43">
      <c r="A502" s="135" t="s">
        <v>4155</v>
      </c>
      <c r="B502" s="135" t="s">
        <v>4260</v>
      </c>
      <c r="C502" s="135" t="s">
        <v>4156</v>
      </c>
      <c r="D502" s="46">
        <v>11130674</v>
      </c>
      <c r="E502" s="20" t="s">
        <v>4157</v>
      </c>
      <c r="F502" s="20" t="s">
        <v>4158</v>
      </c>
      <c r="G502" s="24">
        <v>2</v>
      </c>
      <c r="H502" s="21">
        <v>46262</v>
      </c>
      <c r="I502" s="53" t="s">
        <v>4159</v>
      </c>
      <c r="J502" s="24" t="s">
        <v>4160</v>
      </c>
      <c r="K502" s="24">
        <v>2</v>
      </c>
      <c r="L502" s="46">
        <v>12116116</v>
      </c>
      <c r="M502" s="20" t="s">
        <v>3667</v>
      </c>
      <c r="N502" s="38">
        <v>0</v>
      </c>
      <c r="O502" s="38">
        <v>0</v>
      </c>
      <c r="P502" s="20" t="s">
        <v>354</v>
      </c>
      <c r="Q502" s="20">
        <v>0</v>
      </c>
      <c r="R502" s="40">
        <v>46252</v>
      </c>
      <c r="S502" s="20">
        <v>0</v>
      </c>
      <c r="T502" s="20">
        <v>0</v>
      </c>
      <c r="U502" s="40">
        <v>46253</v>
      </c>
      <c r="V502" s="40">
        <v>46253</v>
      </c>
      <c r="W502" s="20" t="s">
        <v>57</v>
      </c>
      <c r="X502" s="21"/>
      <c r="Y502" s="19">
        <f>VLOOKUP(F502,[2]New!$B:$G,3,0)*K502/60</f>
        <v>0.7</v>
      </c>
      <c r="Z502" s="19">
        <f>VLOOKUP(F502,[2]New!$B:$G,4,0)*K502/60</f>
        <v>3.0866666666666664</v>
      </c>
      <c r="AA502" s="19">
        <f>VLOOKUP(F502,[2]New!$B:$G,6,0)*K502/60</f>
        <v>1.4333333333333333</v>
      </c>
      <c r="AB502" s="44">
        <f>VLOOKUP(A502,'[4]PO CAG'!$A:$L,12,0)</f>
        <v>46274</v>
      </c>
      <c r="AC502" s="22">
        <f>IFERROR(VLOOKUP(F502,[3]Sheet1!$E:$H,4,0),)</f>
        <v>0</v>
      </c>
      <c r="AD502" s="144"/>
      <c r="AE502" s="25" t="e">
        <v>#N/A</v>
      </c>
      <c r="AF502" s="135" t="s">
        <v>112</v>
      </c>
      <c r="AG502" s="135"/>
      <c r="AH502" s="135"/>
      <c r="AI502" s="135"/>
      <c r="AJ502" s="267" t="s">
        <v>153</v>
      </c>
      <c r="AN502" s="278">
        <v>3</v>
      </c>
      <c r="AO502" s="278">
        <v>3</v>
      </c>
      <c r="AP502" s="278">
        <v>3</v>
      </c>
      <c r="AQ502" s="278">
        <v>3</v>
      </c>
    </row>
    <row r="503" spans="1:43">
      <c r="A503" s="135" t="s">
        <v>4161</v>
      </c>
      <c r="B503" s="135" t="s">
        <v>4261</v>
      </c>
      <c r="C503" s="135" t="s">
        <v>4162</v>
      </c>
      <c r="D503" s="46">
        <v>11130628</v>
      </c>
      <c r="E503" s="20" t="s">
        <v>1913</v>
      </c>
      <c r="F503" s="20" t="s">
        <v>1914</v>
      </c>
      <c r="G503" s="24">
        <v>6</v>
      </c>
      <c r="H503" s="21">
        <v>46262</v>
      </c>
      <c r="I503" s="53" t="s">
        <v>4163</v>
      </c>
      <c r="J503" s="24" t="s">
        <v>4164</v>
      </c>
      <c r="K503" s="24">
        <v>6</v>
      </c>
      <c r="L503" s="46">
        <v>12116002</v>
      </c>
      <c r="M503" s="20" t="s">
        <v>1025</v>
      </c>
      <c r="N503" s="38">
        <v>0</v>
      </c>
      <c r="O503" s="38">
        <v>0</v>
      </c>
      <c r="P503" s="20" t="s">
        <v>354</v>
      </c>
      <c r="Q503" s="20">
        <v>0</v>
      </c>
      <c r="R503" s="40">
        <v>46252</v>
      </c>
      <c r="S503" s="20">
        <v>0</v>
      </c>
      <c r="T503" s="20">
        <v>0</v>
      </c>
      <c r="U503" s="40">
        <v>46253</v>
      </c>
      <c r="V503" s="40">
        <v>46253</v>
      </c>
      <c r="W503" s="20" t="s">
        <v>57</v>
      </c>
      <c r="X503" s="21"/>
      <c r="Y503" s="19">
        <f>VLOOKUP(F503,[2]New!$B:$G,3,0)*K503/60</f>
        <v>2.1</v>
      </c>
      <c r="Z503" s="19">
        <f>VLOOKUP(F503,[2]New!$B:$G,4,0)*K503/60</f>
        <v>9.259999999999998</v>
      </c>
      <c r="AA503" s="19">
        <f>VLOOKUP(F503,[2]New!$B:$G,6,0)*K503/60</f>
        <v>4.3</v>
      </c>
      <c r="AB503" s="44">
        <f>VLOOKUP(A503,'[4]PO CAG'!$A:$L,12,0)</f>
        <v>46274</v>
      </c>
      <c r="AC503" s="22">
        <f>IFERROR(VLOOKUP(F503,[3]Sheet1!$E:$H,4,0),)</f>
        <v>0</v>
      </c>
      <c r="AD503" s="144"/>
      <c r="AE503" s="25" t="e">
        <v>#N/A</v>
      </c>
      <c r="AF503" s="135" t="s">
        <v>112</v>
      </c>
      <c r="AG503" s="135"/>
      <c r="AH503" s="135"/>
      <c r="AI503" s="135"/>
      <c r="AJ503" s="267" t="s">
        <v>153</v>
      </c>
      <c r="AN503" s="278">
        <v>3</v>
      </c>
      <c r="AO503" s="278">
        <v>3</v>
      </c>
      <c r="AP503" s="278">
        <v>3</v>
      </c>
      <c r="AQ503" s="278">
        <v>3</v>
      </c>
    </row>
    <row r="504" spans="1:43">
      <c r="A504" s="135" t="s">
        <v>4165</v>
      </c>
      <c r="B504" s="135" t="s">
        <v>4262</v>
      </c>
      <c r="C504" s="135" t="s">
        <v>4166</v>
      </c>
      <c r="D504" s="46">
        <v>11130547</v>
      </c>
      <c r="E504" s="20" t="s">
        <v>3607</v>
      </c>
      <c r="F504" s="20" t="s">
        <v>3608</v>
      </c>
      <c r="G504" s="24">
        <v>40</v>
      </c>
      <c r="H504" s="21">
        <v>46262</v>
      </c>
      <c r="I504" s="53" t="s">
        <v>4167</v>
      </c>
      <c r="J504" s="24" t="s">
        <v>4168</v>
      </c>
      <c r="K504" s="24">
        <v>40</v>
      </c>
      <c r="L504" s="46">
        <v>12116010</v>
      </c>
      <c r="M504" s="20" t="s">
        <v>3669</v>
      </c>
      <c r="N504" s="38">
        <v>0</v>
      </c>
      <c r="O504" s="38">
        <v>0</v>
      </c>
      <c r="P504" s="20" t="s">
        <v>354</v>
      </c>
      <c r="Q504" s="20">
        <v>0</v>
      </c>
      <c r="R504" s="40">
        <v>46252</v>
      </c>
      <c r="S504" s="20">
        <v>0</v>
      </c>
      <c r="T504" s="20">
        <v>0</v>
      </c>
      <c r="U504" s="40">
        <v>46253</v>
      </c>
      <c r="V504" s="40">
        <v>46253</v>
      </c>
      <c r="W504" s="20" t="s">
        <v>57</v>
      </c>
      <c r="X504" s="21"/>
      <c r="Y504" s="19">
        <f>VLOOKUP(F504,[2]New!$B:$G,3,0)*K504/60</f>
        <v>14</v>
      </c>
      <c r="Z504" s="19">
        <f>VLOOKUP(F504,[2]New!$B:$G,4,0)*K504/60</f>
        <v>61.733333333333334</v>
      </c>
      <c r="AA504" s="19">
        <f>VLOOKUP(F504,[2]New!$B:$G,6,0)*K504/60</f>
        <v>28.666666666666668</v>
      </c>
      <c r="AB504" s="44">
        <f>VLOOKUP(A504,'[4]PO CAG'!$A:$L,12,0)</f>
        <v>46274</v>
      </c>
      <c r="AC504" s="22">
        <f>IFERROR(VLOOKUP(F504,[3]Sheet1!$E:$H,4,0),)</f>
        <v>0</v>
      </c>
      <c r="AD504" s="144"/>
      <c r="AE504" s="25" t="e">
        <v>#N/A</v>
      </c>
      <c r="AF504" s="135" t="s">
        <v>112</v>
      </c>
      <c r="AG504" s="135"/>
      <c r="AH504" s="135"/>
      <c r="AI504" s="135"/>
      <c r="AJ504" s="267" t="s">
        <v>153</v>
      </c>
      <c r="AN504" s="278">
        <v>3</v>
      </c>
      <c r="AO504" s="278">
        <v>3</v>
      </c>
      <c r="AP504" s="278">
        <v>3</v>
      </c>
      <c r="AQ504" s="278">
        <v>3</v>
      </c>
    </row>
    <row r="505" spans="1:43">
      <c r="A505" s="135" t="s">
        <v>4169</v>
      </c>
      <c r="B505" s="135" t="s">
        <v>4263</v>
      </c>
      <c r="C505" s="135" t="s">
        <v>4170</v>
      </c>
      <c r="D505" s="46">
        <v>11130696</v>
      </c>
      <c r="E505" s="20" t="s">
        <v>1925</v>
      </c>
      <c r="F505" s="20" t="s">
        <v>1926</v>
      </c>
      <c r="G505" s="24">
        <v>1</v>
      </c>
      <c r="H505" s="21">
        <v>46262</v>
      </c>
      <c r="I505" s="53" t="s">
        <v>4171</v>
      </c>
      <c r="J505" s="24" t="s">
        <v>4172</v>
      </c>
      <c r="K505" s="24">
        <v>1</v>
      </c>
      <c r="L505" s="46">
        <v>12116078</v>
      </c>
      <c r="M505" s="20" t="s">
        <v>1954</v>
      </c>
      <c r="N505" s="38">
        <v>0</v>
      </c>
      <c r="O505" s="38">
        <v>0</v>
      </c>
      <c r="P505" s="20" t="s">
        <v>94</v>
      </c>
      <c r="Q505" s="20">
        <v>0</v>
      </c>
      <c r="R505" s="40">
        <v>46252</v>
      </c>
      <c r="S505" s="20">
        <v>0</v>
      </c>
      <c r="T505" s="20">
        <v>0</v>
      </c>
      <c r="U505" s="40">
        <v>46253</v>
      </c>
      <c r="V505" s="40">
        <v>46253</v>
      </c>
      <c r="W505" s="20" t="s">
        <v>57</v>
      </c>
      <c r="X505" s="21"/>
      <c r="Y505" s="19" t="e">
        <f>VLOOKUP(F505,[2]New!$B:$G,3,0)*K505/60</f>
        <v>#N/A</v>
      </c>
      <c r="Z505" s="19" t="e">
        <f>VLOOKUP(F505,[2]New!$B:$G,4,0)*K505/60</f>
        <v>#N/A</v>
      </c>
      <c r="AA505" s="19" t="e">
        <f>VLOOKUP(F505,[2]New!$B:$G,6,0)*K505/60</f>
        <v>#N/A</v>
      </c>
      <c r="AB505" s="44">
        <f>VLOOKUP(A505,'[4]PO CAG'!$A:$L,12,0)</f>
        <v>46274</v>
      </c>
      <c r="AC505" s="22">
        <f>IFERROR(VLOOKUP(F505,[3]Sheet1!$E:$H,4,0),)</f>
        <v>0</v>
      </c>
      <c r="AD505" s="144"/>
      <c r="AE505" s="25" t="e">
        <v>#N/A</v>
      </c>
      <c r="AF505" s="135" t="s">
        <v>112</v>
      </c>
      <c r="AG505" s="135"/>
      <c r="AH505" s="135"/>
      <c r="AI505" s="135"/>
      <c r="AJ505" s="267" t="s">
        <v>153</v>
      </c>
      <c r="AN505" s="278">
        <v>3</v>
      </c>
      <c r="AO505" s="278">
        <v>3</v>
      </c>
      <c r="AP505" s="278">
        <v>3</v>
      </c>
      <c r="AQ505" s="278">
        <v>3</v>
      </c>
    </row>
    <row r="506" spans="1:43">
      <c r="A506" s="135" t="s">
        <v>4173</v>
      </c>
      <c r="B506" s="135" t="s">
        <v>4264</v>
      </c>
      <c r="C506" s="135" t="s">
        <v>4174</v>
      </c>
      <c r="D506" s="46">
        <v>11130693</v>
      </c>
      <c r="E506" s="20" t="s">
        <v>4175</v>
      </c>
      <c r="F506" s="20" t="s">
        <v>4176</v>
      </c>
      <c r="G506" s="24">
        <v>7</v>
      </c>
      <c r="H506" s="21">
        <v>46262</v>
      </c>
      <c r="I506" s="53" t="s">
        <v>4177</v>
      </c>
      <c r="J506" s="24" t="s">
        <v>4178</v>
      </c>
      <c r="K506" s="24">
        <v>7</v>
      </c>
      <c r="L506" s="46">
        <v>12116072</v>
      </c>
      <c r="M506" s="20" t="s">
        <v>375</v>
      </c>
      <c r="N506" s="38">
        <v>0</v>
      </c>
      <c r="O506" s="38">
        <v>0</v>
      </c>
      <c r="P506" s="20" t="s">
        <v>94</v>
      </c>
      <c r="Q506" s="20">
        <v>0</v>
      </c>
      <c r="R506" s="40">
        <v>46252</v>
      </c>
      <c r="S506" s="20">
        <v>0</v>
      </c>
      <c r="T506" s="20">
        <v>0</v>
      </c>
      <c r="U506" s="40">
        <v>46253</v>
      </c>
      <c r="V506" s="40">
        <v>46253</v>
      </c>
      <c r="W506" s="20" t="s">
        <v>57</v>
      </c>
      <c r="X506" s="21"/>
      <c r="Y506" s="19">
        <f>VLOOKUP(F506,[2]New!$B:$G,3,0)*K506/60</f>
        <v>2.4500000000000002</v>
      </c>
      <c r="Z506" s="19">
        <f>VLOOKUP(F506,[2]New!$B:$G,4,0)*K506/60</f>
        <v>10.803333333333333</v>
      </c>
      <c r="AA506" s="19">
        <f>VLOOKUP(F506,[2]New!$B:$G,6,0)*K506/60</f>
        <v>5.0166666666666666</v>
      </c>
      <c r="AB506" s="44">
        <f>VLOOKUP(A506,'[4]PO CAG'!$A:$L,12,0)</f>
        <v>46274</v>
      </c>
      <c r="AC506" s="22">
        <f>IFERROR(VLOOKUP(F506,[3]Sheet1!$E:$H,4,0),)</f>
        <v>0</v>
      </c>
      <c r="AD506" s="144"/>
      <c r="AE506" s="25" t="e">
        <v>#N/A</v>
      </c>
      <c r="AF506" s="135" t="s">
        <v>112</v>
      </c>
      <c r="AG506" s="135"/>
      <c r="AH506" s="135"/>
      <c r="AI506" s="135"/>
      <c r="AJ506" s="267" t="s">
        <v>153</v>
      </c>
      <c r="AN506" s="278">
        <v>3</v>
      </c>
      <c r="AO506" s="278">
        <v>3</v>
      </c>
      <c r="AP506" s="278">
        <v>3</v>
      </c>
      <c r="AQ506" s="278">
        <v>3</v>
      </c>
    </row>
    <row r="507" spans="1:43">
      <c r="A507" s="135" t="s">
        <v>4179</v>
      </c>
      <c r="B507" s="135" t="s">
        <v>4265</v>
      </c>
      <c r="C507" s="135" t="s">
        <v>4180</v>
      </c>
      <c r="D507" s="46">
        <v>11119377</v>
      </c>
      <c r="E507" s="20" t="s">
        <v>4181</v>
      </c>
      <c r="F507" s="20" t="s">
        <v>4182</v>
      </c>
      <c r="G507" s="24">
        <v>2</v>
      </c>
      <c r="H507" s="21">
        <v>46262</v>
      </c>
      <c r="I507" s="53" t="s">
        <v>4183</v>
      </c>
      <c r="J507" s="24" t="s">
        <v>4184</v>
      </c>
      <c r="K507" s="24">
        <v>2</v>
      </c>
      <c r="L507" s="46">
        <v>12116012</v>
      </c>
      <c r="M507" s="20" t="s">
        <v>4222</v>
      </c>
      <c r="N507" s="38">
        <v>0</v>
      </c>
      <c r="O507" s="38">
        <v>0</v>
      </c>
      <c r="P507" s="20" t="s">
        <v>469</v>
      </c>
      <c r="Q507" s="20">
        <v>0</v>
      </c>
      <c r="R507" s="40">
        <v>46252</v>
      </c>
      <c r="S507" s="20">
        <v>0</v>
      </c>
      <c r="T507" s="20">
        <v>0</v>
      </c>
      <c r="U507" s="40">
        <v>46253</v>
      </c>
      <c r="V507" s="40">
        <v>46253</v>
      </c>
      <c r="W507" s="20" t="s">
        <v>57</v>
      </c>
      <c r="X507" s="21"/>
      <c r="Y507" s="19">
        <f>VLOOKUP(F507,[2]New!$B:$G,3,0)*K507/60</f>
        <v>1.8666666666666667</v>
      </c>
      <c r="Z507" s="19">
        <f>VLOOKUP(F507,[2]New!$B:$G,4,0)*K507/60</f>
        <v>7.8</v>
      </c>
      <c r="AA507" s="19">
        <f>VLOOKUP(F507,[2]New!$B:$G,6,0)*K507/60</f>
        <v>9.6399999999999988</v>
      </c>
      <c r="AB507" s="44">
        <f>VLOOKUP(A507,'[4]PO CAG'!$A:$L,12,0)</f>
        <v>46269</v>
      </c>
      <c r="AC507" s="22">
        <f>IFERROR(VLOOKUP(F507,[3]Sheet1!$E:$H,4,0),)</f>
        <v>0</v>
      </c>
      <c r="AD507" s="144"/>
      <c r="AE507" s="25" t="e">
        <v>#N/A</v>
      </c>
      <c r="AF507" s="135" t="s">
        <v>112</v>
      </c>
      <c r="AG507" s="135"/>
      <c r="AH507" s="135"/>
      <c r="AI507" s="135"/>
      <c r="AJ507" s="267" t="s">
        <v>153</v>
      </c>
      <c r="AN507" s="278">
        <v>2</v>
      </c>
      <c r="AO507" s="278">
        <v>2</v>
      </c>
      <c r="AP507" s="278">
        <v>2</v>
      </c>
      <c r="AQ507" s="278">
        <v>2</v>
      </c>
    </row>
    <row r="508" spans="1:43">
      <c r="A508" s="135" t="s">
        <v>4185</v>
      </c>
      <c r="B508" s="135" t="s">
        <v>4266</v>
      </c>
      <c r="C508" s="135" t="s">
        <v>4186</v>
      </c>
      <c r="D508" s="46">
        <v>11119367</v>
      </c>
      <c r="E508" s="20" t="s">
        <v>4187</v>
      </c>
      <c r="F508" s="20" t="s">
        <v>4188</v>
      </c>
      <c r="G508" s="24">
        <v>2</v>
      </c>
      <c r="H508" s="21">
        <v>46262</v>
      </c>
      <c r="I508" s="53" t="s">
        <v>4189</v>
      </c>
      <c r="J508" s="24" t="s">
        <v>4190</v>
      </c>
      <c r="K508" s="24">
        <v>2</v>
      </c>
      <c r="L508" s="46">
        <v>12116002</v>
      </c>
      <c r="M508" s="20" t="s">
        <v>1025</v>
      </c>
      <c r="N508" s="38">
        <v>0</v>
      </c>
      <c r="O508" s="38">
        <v>0</v>
      </c>
      <c r="P508" s="20" t="s">
        <v>469</v>
      </c>
      <c r="Q508" s="20">
        <v>0</v>
      </c>
      <c r="R508" s="40">
        <v>46252</v>
      </c>
      <c r="S508" s="20">
        <v>0</v>
      </c>
      <c r="T508" s="20">
        <v>0</v>
      </c>
      <c r="U508" s="40">
        <v>46253</v>
      </c>
      <c r="V508" s="40">
        <v>46253</v>
      </c>
      <c r="W508" s="20" t="s">
        <v>57</v>
      </c>
      <c r="X508" s="21"/>
      <c r="Y508" s="19">
        <f>VLOOKUP(F508,[2]New!$B:$G,3,0)*K508/60</f>
        <v>1.8666666666666667</v>
      </c>
      <c r="Z508" s="19">
        <f>VLOOKUP(F508,[2]New!$B:$G,4,0)*K508/60</f>
        <v>7.8</v>
      </c>
      <c r="AA508" s="19">
        <f>VLOOKUP(F508,[2]New!$B:$G,6,0)*K508/60</f>
        <v>9.6399999999999988</v>
      </c>
      <c r="AB508" s="44">
        <f>VLOOKUP(A508,'[4]PO CAG'!$A:$L,12,0)</f>
        <v>46269</v>
      </c>
      <c r="AC508" s="22">
        <f>IFERROR(VLOOKUP(F508,[3]Sheet1!$E:$H,4,0),)</f>
        <v>0</v>
      </c>
      <c r="AD508" s="144"/>
      <c r="AE508" s="25" t="e">
        <v>#N/A</v>
      </c>
      <c r="AF508" s="135" t="s">
        <v>112</v>
      </c>
      <c r="AG508" s="135"/>
      <c r="AH508" s="135"/>
      <c r="AI508" s="135"/>
      <c r="AJ508" s="267" t="s">
        <v>153</v>
      </c>
      <c r="AN508" s="278">
        <v>2</v>
      </c>
      <c r="AO508" s="278">
        <v>2</v>
      </c>
      <c r="AP508" s="278">
        <v>2</v>
      </c>
      <c r="AQ508" s="278">
        <v>2</v>
      </c>
    </row>
    <row r="509" spans="1:43">
      <c r="A509" s="135" t="s">
        <v>4179</v>
      </c>
      <c r="B509" s="135" t="s">
        <v>4267</v>
      </c>
      <c r="C509" s="135" t="s">
        <v>4191</v>
      </c>
      <c r="D509" s="46">
        <v>11119377</v>
      </c>
      <c r="E509" s="20" t="s">
        <v>4181</v>
      </c>
      <c r="F509" s="20" t="s">
        <v>4182</v>
      </c>
      <c r="G509" s="24">
        <v>26</v>
      </c>
      <c r="H509" s="21">
        <v>46262</v>
      </c>
      <c r="I509" s="53" t="s">
        <v>4192</v>
      </c>
      <c r="J509" s="24" t="s">
        <v>4193</v>
      </c>
      <c r="K509" s="24">
        <v>26</v>
      </c>
      <c r="L509" s="46">
        <v>12116012</v>
      </c>
      <c r="M509" s="20" t="s">
        <v>4222</v>
      </c>
      <c r="N509" s="38">
        <v>0</v>
      </c>
      <c r="O509" s="38">
        <v>0</v>
      </c>
      <c r="P509" s="20" t="s">
        <v>469</v>
      </c>
      <c r="Q509" s="20">
        <v>0</v>
      </c>
      <c r="R509" s="40">
        <v>46252</v>
      </c>
      <c r="S509" s="20">
        <v>0</v>
      </c>
      <c r="T509" s="20">
        <v>0</v>
      </c>
      <c r="U509" s="40">
        <v>46253</v>
      </c>
      <c r="V509" s="40">
        <v>46253</v>
      </c>
      <c r="W509" s="20" t="s">
        <v>57</v>
      </c>
      <c r="X509" s="21"/>
      <c r="Y509" s="19">
        <f>VLOOKUP(F509,[2]New!$B:$G,3,0)*K509/60</f>
        <v>24.266666666666666</v>
      </c>
      <c r="Z509" s="19">
        <f>VLOOKUP(F509,[2]New!$B:$G,4,0)*K509/60</f>
        <v>101.4</v>
      </c>
      <c r="AA509" s="19">
        <f>VLOOKUP(F509,[2]New!$B:$G,6,0)*K509/60</f>
        <v>125.32</v>
      </c>
      <c r="AB509" s="44">
        <f>VLOOKUP(A509,'[4]PO CAG'!$A:$L,12,0)</f>
        <v>46269</v>
      </c>
      <c r="AC509" s="22">
        <f>IFERROR(VLOOKUP(F509,[3]Sheet1!$E:$H,4,0),)</f>
        <v>0</v>
      </c>
      <c r="AD509" s="144"/>
      <c r="AE509" s="25" t="e">
        <v>#N/A</v>
      </c>
      <c r="AF509" s="135" t="s">
        <v>112</v>
      </c>
      <c r="AG509" s="135"/>
      <c r="AH509" s="135"/>
      <c r="AI509" s="135"/>
      <c r="AJ509" s="267" t="s">
        <v>153</v>
      </c>
      <c r="AN509" s="278">
        <v>2</v>
      </c>
      <c r="AO509" s="278">
        <v>2</v>
      </c>
      <c r="AP509" s="278">
        <v>2</v>
      </c>
      <c r="AQ509" s="278">
        <v>2</v>
      </c>
    </row>
    <row r="510" spans="1:43">
      <c r="A510" s="135" t="s">
        <v>4194</v>
      </c>
      <c r="B510" s="135" t="s">
        <v>4268</v>
      </c>
      <c r="C510" s="135" t="s">
        <v>4195</v>
      </c>
      <c r="D510" s="46">
        <v>11119490</v>
      </c>
      <c r="E510" s="20" t="s">
        <v>4196</v>
      </c>
      <c r="F510" s="20" t="s">
        <v>4197</v>
      </c>
      <c r="G510" s="24">
        <v>72</v>
      </c>
      <c r="H510" s="21">
        <v>46262</v>
      </c>
      <c r="I510" s="53" t="s">
        <v>4198</v>
      </c>
      <c r="J510" s="24" t="s">
        <v>4199</v>
      </c>
      <c r="K510" s="24">
        <v>72</v>
      </c>
      <c r="L510" s="46">
        <v>12116125</v>
      </c>
      <c r="M510" s="20" t="s">
        <v>4223</v>
      </c>
      <c r="N510" s="38">
        <v>0</v>
      </c>
      <c r="O510" s="38">
        <v>0</v>
      </c>
      <c r="P510" s="20" t="s">
        <v>469</v>
      </c>
      <c r="Q510" s="20">
        <v>0</v>
      </c>
      <c r="R510" s="40">
        <v>46252</v>
      </c>
      <c r="S510" s="20">
        <v>0</v>
      </c>
      <c r="T510" s="20">
        <v>0</v>
      </c>
      <c r="U510" s="40">
        <v>46253</v>
      </c>
      <c r="V510" s="40">
        <v>46253</v>
      </c>
      <c r="W510" s="20" t="s">
        <v>57</v>
      </c>
      <c r="X510" s="21"/>
      <c r="Y510" s="19">
        <f>VLOOKUP(F510,[2]New!$B:$G,3,0)*K510/60</f>
        <v>67.2</v>
      </c>
      <c r="Z510" s="19">
        <f>VLOOKUP(F510,[2]New!$B:$G,4,0)*K510/60</f>
        <v>280.8</v>
      </c>
      <c r="AA510" s="19">
        <f>VLOOKUP(F510,[2]New!$B:$G,6,0)*K510/60</f>
        <v>347.03999999999996</v>
      </c>
      <c r="AB510" s="44">
        <f>VLOOKUP(A510,'[4]PO CAG'!$A:$L,12,0)</f>
        <v>46269</v>
      </c>
      <c r="AC510" s="22">
        <f>IFERROR(VLOOKUP(F510,[3]Sheet1!$E:$H,4,0),)</f>
        <v>0</v>
      </c>
      <c r="AD510" s="144"/>
      <c r="AE510" s="25" t="e">
        <v>#N/A</v>
      </c>
      <c r="AF510" s="135" t="s">
        <v>112</v>
      </c>
      <c r="AG510" s="135"/>
      <c r="AH510" s="135"/>
      <c r="AI510" s="135"/>
      <c r="AJ510" s="267" t="s">
        <v>153</v>
      </c>
      <c r="AN510" s="278">
        <v>2</v>
      </c>
      <c r="AO510" s="278">
        <v>2</v>
      </c>
      <c r="AP510" s="278">
        <v>2</v>
      </c>
      <c r="AQ510" s="278">
        <v>2</v>
      </c>
    </row>
    <row r="511" spans="1:43">
      <c r="A511" s="135" t="s">
        <v>4200</v>
      </c>
      <c r="B511" s="135" t="s">
        <v>4269</v>
      </c>
      <c r="C511" s="135" t="s">
        <v>4201</v>
      </c>
      <c r="D511" s="46">
        <v>11119413</v>
      </c>
      <c r="E511" s="20" t="s">
        <v>4202</v>
      </c>
      <c r="F511" s="20" t="s">
        <v>4203</v>
      </c>
      <c r="G511" s="24">
        <v>93</v>
      </c>
      <c r="H511" s="21">
        <v>46262</v>
      </c>
      <c r="I511" s="53" t="s">
        <v>4204</v>
      </c>
      <c r="J511" s="24" t="s">
        <v>4205</v>
      </c>
      <c r="K511" s="24">
        <v>93</v>
      </c>
      <c r="L511" s="46">
        <v>12116048</v>
      </c>
      <c r="M511" s="20" t="s">
        <v>3665</v>
      </c>
      <c r="N511" s="38">
        <v>0</v>
      </c>
      <c r="O511" s="38">
        <v>0</v>
      </c>
      <c r="P511" s="20" t="s">
        <v>469</v>
      </c>
      <c r="Q511" s="20">
        <v>0</v>
      </c>
      <c r="R511" s="40">
        <v>46252</v>
      </c>
      <c r="S511" s="20">
        <v>0</v>
      </c>
      <c r="T511" s="20">
        <v>0</v>
      </c>
      <c r="U511" s="40">
        <v>46253</v>
      </c>
      <c r="V511" s="40">
        <v>46253</v>
      </c>
      <c r="W511" s="20" t="s">
        <v>57</v>
      </c>
      <c r="X511" s="21"/>
      <c r="Y511" s="19">
        <f>VLOOKUP(F511,[2]New!$B:$G,3,0)*K511/60</f>
        <v>86.8</v>
      </c>
      <c r="Z511" s="19">
        <f>VLOOKUP(F511,[2]New!$B:$G,4,0)*K511/60</f>
        <v>362.7</v>
      </c>
      <c r="AA511" s="19">
        <f>VLOOKUP(F511,[2]New!$B:$G,6,0)*K511/60</f>
        <v>448.26</v>
      </c>
      <c r="AB511" s="44">
        <f>VLOOKUP(A511,'[4]PO CAG'!$A:$L,12,0)</f>
        <v>46269</v>
      </c>
      <c r="AC511" s="22">
        <f>IFERROR(VLOOKUP(F511,[3]Sheet1!$E:$H,4,0),)</f>
        <v>0</v>
      </c>
      <c r="AD511" s="144"/>
      <c r="AE511" s="25" t="e">
        <v>#N/A</v>
      </c>
      <c r="AF511" s="135" t="s">
        <v>112</v>
      </c>
      <c r="AG511" s="135"/>
      <c r="AH511" s="135"/>
      <c r="AI511" s="135"/>
      <c r="AJ511" s="267" t="s">
        <v>153</v>
      </c>
      <c r="AN511" s="278">
        <v>2</v>
      </c>
      <c r="AO511" s="278">
        <v>2</v>
      </c>
      <c r="AP511" s="278">
        <v>2</v>
      </c>
      <c r="AQ511" s="278">
        <v>2</v>
      </c>
    </row>
    <row r="512" spans="1:43">
      <c r="A512" s="135" t="s">
        <v>4206</v>
      </c>
      <c r="B512" s="135" t="s">
        <v>4270</v>
      </c>
      <c r="C512" s="135" t="s">
        <v>4207</v>
      </c>
      <c r="D512" s="46">
        <v>11119372</v>
      </c>
      <c r="E512" s="20" t="s">
        <v>4208</v>
      </c>
      <c r="F512" s="20" t="s">
        <v>4209</v>
      </c>
      <c r="G512" s="24">
        <v>105</v>
      </c>
      <c r="H512" s="21">
        <v>46262</v>
      </c>
      <c r="I512" s="53" t="s">
        <v>4210</v>
      </c>
      <c r="J512" s="24" t="s">
        <v>4211</v>
      </c>
      <c r="K512" s="24">
        <v>105</v>
      </c>
      <c r="L512" s="46">
        <v>12116007</v>
      </c>
      <c r="M512" s="20" t="s">
        <v>3668</v>
      </c>
      <c r="N512" s="38">
        <v>0</v>
      </c>
      <c r="O512" s="38">
        <v>0</v>
      </c>
      <c r="P512" s="20" t="s">
        <v>469</v>
      </c>
      <c r="Q512" s="20">
        <v>0</v>
      </c>
      <c r="R512" s="40">
        <v>46252</v>
      </c>
      <c r="S512" s="20">
        <v>0</v>
      </c>
      <c r="T512" s="20">
        <v>0</v>
      </c>
      <c r="U512" s="40">
        <v>46253</v>
      </c>
      <c r="V512" s="40">
        <v>46253</v>
      </c>
      <c r="W512" s="20" t="s">
        <v>57</v>
      </c>
      <c r="X512" s="21"/>
      <c r="Y512" s="19">
        <f>VLOOKUP(F512,[2]New!$B:$G,3,0)*K512/60</f>
        <v>98</v>
      </c>
      <c r="Z512" s="19">
        <f>VLOOKUP(F512,[2]New!$B:$G,4,0)*K512/60</f>
        <v>409.5</v>
      </c>
      <c r="AA512" s="19">
        <f>VLOOKUP(F512,[2]New!$B:$G,6,0)*K512/60</f>
        <v>506.1</v>
      </c>
      <c r="AB512" s="44">
        <f>VLOOKUP(A512,'[4]PO CAG'!$A:$L,12,0)</f>
        <v>46269</v>
      </c>
      <c r="AC512" s="22">
        <f>IFERROR(VLOOKUP(F512,[3]Sheet1!$E:$H,4,0),)</f>
        <v>0</v>
      </c>
      <c r="AD512" s="144"/>
      <c r="AE512" s="25" t="e">
        <v>#N/A</v>
      </c>
      <c r="AF512" s="135" t="s">
        <v>112</v>
      </c>
      <c r="AG512" s="135"/>
      <c r="AH512" s="135"/>
      <c r="AI512" s="135"/>
      <c r="AJ512" s="267" t="s">
        <v>153</v>
      </c>
      <c r="AN512" s="278">
        <v>2</v>
      </c>
      <c r="AO512" s="278">
        <v>2</v>
      </c>
      <c r="AP512" s="278">
        <v>2</v>
      </c>
      <c r="AQ512" s="278">
        <v>2</v>
      </c>
    </row>
    <row r="513" spans="1:43">
      <c r="A513" s="135" t="s">
        <v>3829</v>
      </c>
      <c r="B513" s="135" t="s">
        <v>4271</v>
      </c>
      <c r="C513" s="135" t="s">
        <v>4212</v>
      </c>
      <c r="D513" s="46">
        <v>11119337</v>
      </c>
      <c r="E513" s="20" t="s">
        <v>3831</v>
      </c>
      <c r="F513" s="20" t="s">
        <v>3832</v>
      </c>
      <c r="G513" s="24">
        <v>130</v>
      </c>
      <c r="H513" s="21">
        <v>46262</v>
      </c>
      <c r="I513" s="53" t="s">
        <v>4213</v>
      </c>
      <c r="J513" s="24" t="s">
        <v>4214</v>
      </c>
      <c r="K513" s="24">
        <v>130</v>
      </c>
      <c r="L513" s="46">
        <v>12115972</v>
      </c>
      <c r="M513" s="20" t="s">
        <v>104</v>
      </c>
      <c r="N513" s="38">
        <v>0</v>
      </c>
      <c r="O513" s="38">
        <v>0</v>
      </c>
      <c r="P513" s="20" t="s">
        <v>469</v>
      </c>
      <c r="Q513" s="20">
        <v>0</v>
      </c>
      <c r="R513" s="40">
        <v>46252</v>
      </c>
      <c r="S513" s="20">
        <v>0</v>
      </c>
      <c r="T513" s="20">
        <v>0</v>
      </c>
      <c r="U513" s="40">
        <v>46253</v>
      </c>
      <c r="V513" s="40">
        <v>46253</v>
      </c>
      <c r="W513" s="20" t="s">
        <v>57</v>
      </c>
      <c r="X513" s="21"/>
      <c r="Y513" s="19">
        <f>VLOOKUP(F513,[2]New!$B:$G,3,0)*K513/60</f>
        <v>121.33333333333333</v>
      </c>
      <c r="Z513" s="19">
        <f>VLOOKUP(F513,[2]New!$B:$G,4,0)*K513/60</f>
        <v>507</v>
      </c>
      <c r="AA513" s="19">
        <f>VLOOKUP(F513,[2]New!$B:$G,6,0)*K513/60</f>
        <v>626.6</v>
      </c>
      <c r="AB513" s="44">
        <f>VLOOKUP(A513,'[4]PO CAG'!$A:$L,12,0)</f>
        <v>46269</v>
      </c>
      <c r="AC513" s="22">
        <f>IFERROR(VLOOKUP(F513,[3]Sheet1!$E:$H,4,0),)</f>
        <v>0</v>
      </c>
      <c r="AD513" s="144"/>
      <c r="AE513" s="25" t="e">
        <v>#N/A</v>
      </c>
      <c r="AF513" s="135" t="s">
        <v>112</v>
      </c>
      <c r="AG513" s="135"/>
      <c r="AH513" s="135"/>
      <c r="AI513" s="135"/>
      <c r="AJ513" s="267" t="s">
        <v>153</v>
      </c>
      <c r="AN513" s="278">
        <v>2</v>
      </c>
      <c r="AO513" s="278">
        <v>2</v>
      </c>
      <c r="AP513" s="278">
        <v>2</v>
      </c>
      <c r="AQ513" s="278">
        <v>2</v>
      </c>
    </row>
    <row r="514" spans="1:43">
      <c r="A514" s="135" t="s">
        <v>4215</v>
      </c>
      <c r="B514" s="135" t="s">
        <v>4272</v>
      </c>
      <c r="C514" s="135" t="s">
        <v>4216</v>
      </c>
      <c r="D514" s="46">
        <v>11119444</v>
      </c>
      <c r="E514" s="20" t="s">
        <v>4217</v>
      </c>
      <c r="F514" s="20" t="s">
        <v>4218</v>
      </c>
      <c r="G514" s="24">
        <v>146</v>
      </c>
      <c r="H514" s="21">
        <v>46262</v>
      </c>
      <c r="I514" s="53" t="s">
        <v>4219</v>
      </c>
      <c r="J514" s="24" t="s">
        <v>4220</v>
      </c>
      <c r="K514" s="24">
        <v>146</v>
      </c>
      <c r="L514" s="46">
        <v>12116079</v>
      </c>
      <c r="M514" s="20" t="s">
        <v>4224</v>
      </c>
      <c r="N514" s="38">
        <v>0</v>
      </c>
      <c r="O514" s="38">
        <v>0</v>
      </c>
      <c r="P514" s="20" t="s">
        <v>469</v>
      </c>
      <c r="Q514" s="20">
        <v>0</v>
      </c>
      <c r="R514" s="40">
        <v>46252</v>
      </c>
      <c r="S514" s="20">
        <v>0</v>
      </c>
      <c r="T514" s="20">
        <v>0</v>
      </c>
      <c r="U514" s="40">
        <v>46253</v>
      </c>
      <c r="V514" s="40">
        <v>46253</v>
      </c>
      <c r="W514" s="20" t="s">
        <v>57</v>
      </c>
      <c r="X514" s="21"/>
      <c r="Y514" s="19">
        <f>VLOOKUP(F514,[2]New!$B:$G,3,0)*K514/60</f>
        <v>136.26666666666668</v>
      </c>
      <c r="Z514" s="19">
        <f>VLOOKUP(F514,[2]New!$B:$G,4,0)*K514/60</f>
        <v>569.4</v>
      </c>
      <c r="AA514" s="19">
        <f>VLOOKUP(F514,[2]New!$B:$G,6,0)*K514/60</f>
        <v>703.71999999999991</v>
      </c>
      <c r="AB514" s="44">
        <f>VLOOKUP(A514,'[4]PO CAG'!$A:$L,12,0)</f>
        <v>46269</v>
      </c>
      <c r="AC514" s="22">
        <f>IFERROR(VLOOKUP(F514,[3]Sheet1!$E:$H,4,0),)</f>
        <v>0</v>
      </c>
      <c r="AD514" s="144"/>
      <c r="AE514" s="25" t="e">
        <v>#N/A</v>
      </c>
      <c r="AF514" s="135" t="s">
        <v>112</v>
      </c>
      <c r="AG514" s="135"/>
      <c r="AH514" s="135"/>
      <c r="AI514" s="135"/>
      <c r="AJ514" s="267" t="s">
        <v>153</v>
      </c>
      <c r="AN514" s="278">
        <v>2</v>
      </c>
      <c r="AO514" s="278">
        <v>2</v>
      </c>
      <c r="AP514" s="278">
        <v>2</v>
      </c>
      <c r="AQ514" s="278">
        <v>2</v>
      </c>
    </row>
    <row r="515" spans="1:43">
      <c r="A515" s="135" t="s">
        <v>1880</v>
      </c>
      <c r="B515" s="135" t="s">
        <v>4273</v>
      </c>
      <c r="C515" s="135" t="s">
        <v>4225</v>
      </c>
      <c r="D515" s="46">
        <v>11131307</v>
      </c>
      <c r="E515" s="20" t="s">
        <v>1881</v>
      </c>
      <c r="F515" s="20" t="s">
        <v>1882</v>
      </c>
      <c r="G515" s="24">
        <v>2</v>
      </c>
      <c r="H515" s="21">
        <v>46262</v>
      </c>
      <c r="I515" s="53" t="s">
        <v>4226</v>
      </c>
      <c r="J515" s="24" t="s">
        <v>4227</v>
      </c>
      <c r="K515" s="24">
        <v>2</v>
      </c>
      <c r="L515" s="46">
        <v>11127398</v>
      </c>
      <c r="M515" s="20" t="s">
        <v>4228</v>
      </c>
      <c r="N515" s="38">
        <v>0</v>
      </c>
      <c r="O515" s="38">
        <v>0</v>
      </c>
      <c r="P515" s="20" t="s">
        <v>94</v>
      </c>
      <c r="Q515" s="20">
        <v>0</v>
      </c>
      <c r="R515" s="40">
        <v>46252</v>
      </c>
      <c r="S515" s="20">
        <v>0</v>
      </c>
      <c r="T515" s="20">
        <v>0</v>
      </c>
      <c r="U515" s="40">
        <v>46253</v>
      </c>
      <c r="V515" s="40">
        <v>46253</v>
      </c>
      <c r="W515" s="20" t="s">
        <v>57</v>
      </c>
      <c r="X515" s="21"/>
      <c r="Y515" s="19" t="e">
        <f>VLOOKUP(F515,[2]New!$B:$G,3,0)*K515/60</f>
        <v>#N/A</v>
      </c>
      <c r="Z515" s="19" t="e">
        <f>VLOOKUP(F515,[2]New!$B:$G,4,0)*K515/60</f>
        <v>#N/A</v>
      </c>
      <c r="AA515" s="19" t="e">
        <f>VLOOKUP(F515,[2]New!$B:$G,6,0)*K515/60</f>
        <v>#N/A</v>
      </c>
      <c r="AB515" s="44">
        <f>VLOOKUP(A515,'[4]PO CAG'!$A:$L,12,0)</f>
        <v>46274</v>
      </c>
      <c r="AC515" s="22">
        <f>IFERROR(VLOOKUP(F515,[3]Sheet1!$E:$H,4,0),)</f>
        <v>0</v>
      </c>
      <c r="AD515" s="144"/>
      <c r="AE515" s="25" t="e">
        <v>#N/A</v>
      </c>
      <c r="AF515" s="135" t="s">
        <v>112</v>
      </c>
      <c r="AG515" s="135"/>
      <c r="AH515" s="135"/>
      <c r="AI515" s="135"/>
      <c r="AJ515" s="267" t="s">
        <v>153</v>
      </c>
      <c r="AN515" s="278">
        <v>3</v>
      </c>
      <c r="AO515" s="278">
        <v>3</v>
      </c>
      <c r="AP515" s="278">
        <v>3</v>
      </c>
      <c r="AQ515" s="278">
        <v>3</v>
      </c>
    </row>
    <row r="516" spans="1:43">
      <c r="A516" s="135" t="s">
        <v>3501</v>
      </c>
      <c r="B516" s="135" t="s">
        <v>4396</v>
      </c>
      <c r="C516" s="135" t="s">
        <v>4344</v>
      </c>
      <c r="D516" s="46">
        <v>11122088</v>
      </c>
      <c r="E516" s="20" t="s">
        <v>194</v>
      </c>
      <c r="F516" s="20" t="s">
        <v>195</v>
      </c>
      <c r="G516" s="24">
        <v>108</v>
      </c>
      <c r="H516" s="21">
        <v>46263</v>
      </c>
      <c r="I516" s="53" t="s">
        <v>4345</v>
      </c>
      <c r="J516" s="24" t="s">
        <v>4346</v>
      </c>
      <c r="K516" s="24">
        <v>108</v>
      </c>
      <c r="L516" s="46">
        <v>12129627</v>
      </c>
      <c r="M516" s="20" t="s">
        <v>95</v>
      </c>
      <c r="N516" s="38">
        <v>0</v>
      </c>
      <c r="O516" s="38">
        <v>0</v>
      </c>
      <c r="P516" s="20" t="s">
        <v>94</v>
      </c>
      <c r="Q516" s="20">
        <v>0</v>
      </c>
      <c r="R516" s="40">
        <v>46253</v>
      </c>
      <c r="S516" s="20">
        <v>0</v>
      </c>
      <c r="T516" s="20">
        <v>0</v>
      </c>
      <c r="U516" s="40">
        <v>46254</v>
      </c>
      <c r="V516" s="40">
        <v>46254</v>
      </c>
      <c r="W516" s="20" t="s">
        <v>54</v>
      </c>
      <c r="X516" s="21"/>
      <c r="Y516" s="19">
        <f>VLOOKUP(F516,[2]New!$B:$G,3,0)*K516/60</f>
        <v>97.2</v>
      </c>
      <c r="Z516" s="19">
        <f>VLOOKUP(F516,[2]New!$B:$G,4,0)*K516/60</f>
        <v>243</v>
      </c>
      <c r="AA516" s="19">
        <f>VLOOKUP(F516,[2]New!$B:$G,6,0)*K516/60</f>
        <v>241.55999999999997</v>
      </c>
      <c r="AB516" s="44">
        <f>VLOOKUP(A516,'[4]PO CAG'!$A:$L,12,0)</f>
        <v>46268</v>
      </c>
      <c r="AC516" s="22">
        <f>IFERROR(VLOOKUP(F516,[3]Sheet1!$E:$H,4,0),)</f>
        <v>0</v>
      </c>
      <c r="AD516" s="144"/>
      <c r="AE516" s="25" t="e">
        <v>#N/A</v>
      </c>
      <c r="AF516" s="135" t="s">
        <v>199</v>
      </c>
      <c r="AG516" s="135"/>
      <c r="AH516" s="135"/>
      <c r="AI516" s="135"/>
      <c r="AJ516" s="267" t="s">
        <v>152</v>
      </c>
      <c r="AN516" s="278">
        <v>3</v>
      </c>
      <c r="AO516" s="278">
        <v>3</v>
      </c>
      <c r="AP516" s="278">
        <v>3</v>
      </c>
      <c r="AQ516" s="278">
        <v>3</v>
      </c>
    </row>
    <row r="517" spans="1:43">
      <c r="A517" s="135" t="s">
        <v>4347</v>
      </c>
      <c r="B517" s="135" t="s">
        <v>4398</v>
      </c>
      <c r="C517" s="135" t="s">
        <v>4348</v>
      </c>
      <c r="D517" s="46">
        <v>11131953</v>
      </c>
      <c r="E517" s="20" t="s">
        <v>4349</v>
      </c>
      <c r="F517" s="20" t="s">
        <v>747</v>
      </c>
      <c r="G517" s="24">
        <v>2</v>
      </c>
      <c r="H517" s="21">
        <v>46263</v>
      </c>
      <c r="I517" s="53" t="s">
        <v>4350</v>
      </c>
      <c r="J517" s="24" t="s">
        <v>4351</v>
      </c>
      <c r="K517" s="24">
        <v>2</v>
      </c>
      <c r="L517" s="46">
        <v>12132618</v>
      </c>
      <c r="M517" s="20" t="s">
        <v>4395</v>
      </c>
      <c r="N517" s="38">
        <v>0</v>
      </c>
      <c r="O517" s="38">
        <v>0</v>
      </c>
      <c r="P517" s="20" t="s">
        <v>469</v>
      </c>
      <c r="Q517" s="20">
        <v>0</v>
      </c>
      <c r="R517" s="40">
        <v>46253</v>
      </c>
      <c r="S517" s="20">
        <v>0</v>
      </c>
      <c r="T517" s="20">
        <v>0</v>
      </c>
      <c r="U517" s="40">
        <v>46254</v>
      </c>
      <c r="V517" s="40">
        <v>46254</v>
      </c>
      <c r="W517" s="20" t="s">
        <v>54</v>
      </c>
      <c r="X517" s="21"/>
      <c r="Y517" s="19">
        <f>VLOOKUP(F517,[2]New!$B:$G,3,0)*K517/60</f>
        <v>1.25</v>
      </c>
      <c r="Z517" s="19">
        <f>VLOOKUP(F517,[2]New!$B:$G,4,0)*K517/60</f>
        <v>2.15</v>
      </c>
      <c r="AA517" s="19">
        <f>VLOOKUP(F517,[2]New!$B:$G,6,0)*K517/60</f>
        <v>5.5333333333333332</v>
      </c>
      <c r="AB517" s="44">
        <f>VLOOKUP(A517,'[4]PO CAG'!$A:$L,12,0)</f>
        <v>46269</v>
      </c>
      <c r="AC517" s="22">
        <f>IFERROR(VLOOKUP(F517,[3]Sheet1!$E:$H,4,0),)</f>
        <v>0</v>
      </c>
      <c r="AD517" s="144"/>
      <c r="AE517" s="25" t="e">
        <v>#N/A</v>
      </c>
      <c r="AF517" s="135" t="s">
        <v>199</v>
      </c>
      <c r="AG517" s="135"/>
      <c r="AH517" s="135"/>
      <c r="AI517" s="135"/>
      <c r="AJ517" s="267" t="s">
        <v>152</v>
      </c>
      <c r="AN517" s="278">
        <v>1</v>
      </c>
      <c r="AO517" s="278">
        <v>1</v>
      </c>
      <c r="AP517" s="278">
        <v>1</v>
      </c>
      <c r="AQ517" s="278">
        <v>1</v>
      </c>
    </row>
    <row r="518" spans="1:43">
      <c r="A518" s="135" t="s">
        <v>4352</v>
      </c>
      <c r="B518" s="135" t="s">
        <v>4397</v>
      </c>
      <c r="C518" s="135" t="s">
        <v>4353</v>
      </c>
      <c r="D518" s="46">
        <v>11125140</v>
      </c>
      <c r="E518" s="20" t="s">
        <v>220</v>
      </c>
      <c r="F518" s="20" t="s">
        <v>4354</v>
      </c>
      <c r="G518" s="24">
        <v>6</v>
      </c>
      <c r="H518" s="21">
        <v>46263</v>
      </c>
      <c r="I518" s="53" t="s">
        <v>4355</v>
      </c>
      <c r="J518" s="24" t="s">
        <v>4356</v>
      </c>
      <c r="K518" s="24">
        <v>6</v>
      </c>
      <c r="L518" s="46">
        <v>12120562</v>
      </c>
      <c r="M518" s="20" t="s">
        <v>228</v>
      </c>
      <c r="N518" s="38">
        <v>0</v>
      </c>
      <c r="O518" s="38">
        <v>0</v>
      </c>
      <c r="P518" s="20" t="s">
        <v>469</v>
      </c>
      <c r="Q518" s="20">
        <v>0</v>
      </c>
      <c r="R518" s="40">
        <v>46253</v>
      </c>
      <c r="S518" s="20">
        <v>0</v>
      </c>
      <c r="T518" s="20">
        <v>0</v>
      </c>
      <c r="U518" s="40">
        <v>46254</v>
      </c>
      <c r="V518" s="40">
        <v>46254</v>
      </c>
      <c r="W518" s="20" t="s">
        <v>54</v>
      </c>
      <c r="X518" s="21"/>
      <c r="Y518" s="19">
        <f>VLOOKUP(F518,[2]New!$B:$G,3,0)*K518/60</f>
        <v>5.6</v>
      </c>
      <c r="Z518" s="19">
        <f>VLOOKUP(F518,[2]New!$B:$G,4,0)*K518/60</f>
        <v>23.4</v>
      </c>
      <c r="AA518" s="19">
        <f>VLOOKUP(F518,[2]New!$B:$G,6,0)*K518/60</f>
        <v>28.9</v>
      </c>
      <c r="AB518" s="44">
        <f>VLOOKUP(A518,'[4]PO CAG'!$A:$L,12,0)</f>
        <v>46269</v>
      </c>
      <c r="AC518" s="22">
        <f>IFERROR(VLOOKUP(F518,[3]Sheet1!$E:$H,4,0),)</f>
        <v>0</v>
      </c>
      <c r="AD518" s="144"/>
      <c r="AE518" s="25" t="e">
        <v>#N/A</v>
      </c>
      <c r="AF518" s="135" t="s">
        <v>199</v>
      </c>
      <c r="AG518" s="135"/>
      <c r="AH518" s="135"/>
      <c r="AI518" s="135"/>
      <c r="AJ518" s="267" t="s">
        <v>152</v>
      </c>
      <c r="AN518" s="278">
        <v>1</v>
      </c>
      <c r="AO518" s="278">
        <v>1</v>
      </c>
      <c r="AP518" s="278">
        <v>1</v>
      </c>
      <c r="AQ518" s="278">
        <v>1</v>
      </c>
    </row>
    <row r="519" spans="1:43">
      <c r="A519" s="135" t="s">
        <v>4357</v>
      </c>
      <c r="B519" s="135" t="s">
        <v>4399</v>
      </c>
      <c r="C519" s="135" t="s">
        <v>4358</v>
      </c>
      <c r="D519" s="46">
        <v>11131954</v>
      </c>
      <c r="E519" s="20" t="s">
        <v>2669</v>
      </c>
      <c r="F519" s="20" t="s">
        <v>521</v>
      </c>
      <c r="G519" s="24">
        <v>20</v>
      </c>
      <c r="H519" s="21">
        <v>46263</v>
      </c>
      <c r="I519" s="53" t="s">
        <v>4359</v>
      </c>
      <c r="J519" s="24" t="s">
        <v>4360</v>
      </c>
      <c r="K519" s="24">
        <v>20</v>
      </c>
      <c r="L519" s="46">
        <v>12132619</v>
      </c>
      <c r="M519" s="20" t="s">
        <v>2696</v>
      </c>
      <c r="N519" s="38">
        <v>0</v>
      </c>
      <c r="O519" s="38">
        <v>0</v>
      </c>
      <c r="P519" s="20" t="s">
        <v>469</v>
      </c>
      <c r="Q519" s="20">
        <v>0</v>
      </c>
      <c r="R519" s="40">
        <v>46253</v>
      </c>
      <c r="S519" s="20">
        <v>0</v>
      </c>
      <c r="T519" s="20">
        <v>0</v>
      </c>
      <c r="U519" s="40">
        <v>46254</v>
      </c>
      <c r="V519" s="40">
        <v>46254</v>
      </c>
      <c r="W519" s="20" t="s">
        <v>54</v>
      </c>
      <c r="X519" s="21"/>
      <c r="Y519" s="19">
        <f>VLOOKUP(F519,[2]New!$B:$G,3,0)*K519/60</f>
        <v>18.666666666666668</v>
      </c>
      <c r="Z519" s="19">
        <f>VLOOKUP(F519,[2]New!$B:$G,4,0)*K519/60</f>
        <v>78</v>
      </c>
      <c r="AA519" s="19">
        <f>VLOOKUP(F519,[2]New!$B:$G,6,0)*K519/60</f>
        <v>96.333333333333329</v>
      </c>
      <c r="AB519" s="44">
        <f>VLOOKUP(A519,'[4]PO CAG'!$A:$L,12,0)</f>
        <v>46269</v>
      </c>
      <c r="AC519" s="22">
        <f>IFERROR(VLOOKUP(F519,[3]Sheet1!$E:$H,4,0),)</f>
        <v>0</v>
      </c>
      <c r="AD519" s="144"/>
      <c r="AE519" s="25" t="e">
        <v>#N/A</v>
      </c>
      <c r="AF519" s="135" t="s">
        <v>199</v>
      </c>
      <c r="AG519" s="135"/>
      <c r="AH519" s="135"/>
      <c r="AI519" s="135"/>
      <c r="AJ519" s="267" t="s">
        <v>152</v>
      </c>
      <c r="AN519" s="278">
        <v>1</v>
      </c>
      <c r="AO519" s="278">
        <v>1</v>
      </c>
      <c r="AP519" s="278">
        <v>1</v>
      </c>
      <c r="AQ519" s="278">
        <v>1</v>
      </c>
    </row>
    <row r="520" spans="1:43">
      <c r="A520" s="135" t="s">
        <v>4361</v>
      </c>
      <c r="B520" s="135" t="s">
        <v>4400</v>
      </c>
      <c r="C520" s="135" t="s">
        <v>4362</v>
      </c>
      <c r="D520" s="46">
        <v>11125153</v>
      </c>
      <c r="E520" s="20" t="s">
        <v>219</v>
      </c>
      <c r="F520" s="20" t="s">
        <v>519</v>
      </c>
      <c r="G520" s="24">
        <v>54</v>
      </c>
      <c r="H520" s="21">
        <v>46263</v>
      </c>
      <c r="I520" s="53" t="s">
        <v>4363</v>
      </c>
      <c r="J520" s="24" t="s">
        <v>4364</v>
      </c>
      <c r="K520" s="24">
        <v>54</v>
      </c>
      <c r="L520" s="46">
        <v>12120612</v>
      </c>
      <c r="M520" s="20" t="s">
        <v>227</v>
      </c>
      <c r="N520" s="38">
        <v>0</v>
      </c>
      <c r="O520" s="38">
        <v>0</v>
      </c>
      <c r="P520" s="20" t="s">
        <v>469</v>
      </c>
      <c r="Q520" s="20">
        <v>0</v>
      </c>
      <c r="R520" s="40">
        <v>46253</v>
      </c>
      <c r="S520" s="20">
        <v>0</v>
      </c>
      <c r="T520" s="20">
        <v>0</v>
      </c>
      <c r="U520" s="40">
        <v>46254</v>
      </c>
      <c r="V520" s="40">
        <v>46254</v>
      </c>
      <c r="W520" s="20" t="s">
        <v>54</v>
      </c>
      <c r="X520" s="21"/>
      <c r="Y520" s="19">
        <f>VLOOKUP(F520,[2]New!$B:$G,3,0)*K520/60</f>
        <v>19.8</v>
      </c>
      <c r="Z520" s="19">
        <f>VLOOKUP(F520,[2]New!$B:$G,4,0)*K520/60</f>
        <v>106.11</v>
      </c>
      <c r="AA520" s="19">
        <f>VLOOKUP(F520,[2]New!$B:$G,6,0)*K520/60</f>
        <v>103.5</v>
      </c>
      <c r="AB520" s="44">
        <f>VLOOKUP(A520,'[4]PO CAG'!$A:$L,12,0)</f>
        <v>46269</v>
      </c>
      <c r="AC520" s="22">
        <f>IFERROR(VLOOKUP(F520,[3]Sheet1!$E:$H,4,0),)</f>
        <v>0</v>
      </c>
      <c r="AD520" s="144"/>
      <c r="AE520" s="25" t="e">
        <v>#N/A</v>
      </c>
      <c r="AF520" s="135" t="s">
        <v>199</v>
      </c>
      <c r="AG520" s="135"/>
      <c r="AH520" s="135"/>
      <c r="AI520" s="135"/>
      <c r="AJ520" s="267" t="s">
        <v>152</v>
      </c>
      <c r="AN520" s="278">
        <v>1</v>
      </c>
      <c r="AO520" s="278">
        <v>1</v>
      </c>
      <c r="AP520" s="278">
        <v>1</v>
      </c>
      <c r="AQ520" s="278">
        <v>1</v>
      </c>
    </row>
    <row r="521" spans="1:43">
      <c r="A521" s="135" t="s">
        <v>4365</v>
      </c>
      <c r="B521" s="135" t="s">
        <v>4401</v>
      </c>
      <c r="C521" s="135" t="s">
        <v>4366</v>
      </c>
      <c r="D521" s="46">
        <v>11132003</v>
      </c>
      <c r="E521" s="20" t="s">
        <v>221</v>
      </c>
      <c r="F521" s="20" t="s">
        <v>752</v>
      </c>
      <c r="G521" s="24">
        <v>5</v>
      </c>
      <c r="H521" s="21">
        <v>46263</v>
      </c>
      <c r="I521" s="53" t="s">
        <v>4367</v>
      </c>
      <c r="J521" s="24" t="s">
        <v>4368</v>
      </c>
      <c r="K521" s="24">
        <v>5</v>
      </c>
      <c r="L521" s="46">
        <v>12120524</v>
      </c>
      <c r="M521" s="20" t="s">
        <v>229</v>
      </c>
      <c r="N521" s="38">
        <v>0</v>
      </c>
      <c r="O521" s="38">
        <v>0</v>
      </c>
      <c r="P521" s="20" t="s">
        <v>372</v>
      </c>
      <c r="Q521" s="20">
        <v>0</v>
      </c>
      <c r="R521" s="40">
        <v>46253</v>
      </c>
      <c r="S521" s="20">
        <v>0</v>
      </c>
      <c r="T521" s="20">
        <v>0</v>
      </c>
      <c r="U521" s="40">
        <v>46254</v>
      </c>
      <c r="V521" s="40">
        <v>46254</v>
      </c>
      <c r="W521" s="20" t="s">
        <v>54</v>
      </c>
      <c r="X521" s="21"/>
      <c r="Y521" s="19">
        <f>VLOOKUP(F521,[2]New!$B:$G,3,0)*K521/60</f>
        <v>3.3333333333333335</v>
      </c>
      <c r="Z521" s="19">
        <f>VLOOKUP(F521,[2]New!$B:$G,4,0)*K521/60</f>
        <v>13.333333333333334</v>
      </c>
      <c r="AA521" s="19">
        <f>VLOOKUP(F521,[2]New!$B:$G,6,0)*K521/60</f>
        <v>13.833333333333334</v>
      </c>
      <c r="AB521" s="44">
        <f>VLOOKUP(A521,'[4]PO CAG'!$A:$L,12,0)</f>
        <v>46269</v>
      </c>
      <c r="AC521" s="22">
        <f>IFERROR(VLOOKUP(F521,[3]Sheet1!$E:$H,4,0),)</f>
        <v>0</v>
      </c>
      <c r="AD521" s="144"/>
      <c r="AE521" s="25" t="e">
        <v>#N/A</v>
      </c>
      <c r="AF521" s="135" t="s">
        <v>199</v>
      </c>
      <c r="AG521" s="135"/>
      <c r="AH521" s="135"/>
      <c r="AI521" s="135"/>
      <c r="AJ521" s="267" t="s">
        <v>152</v>
      </c>
      <c r="AN521" s="278">
        <v>1</v>
      </c>
      <c r="AO521" s="278">
        <v>1</v>
      </c>
      <c r="AP521" s="278">
        <v>1</v>
      </c>
      <c r="AQ521" s="278">
        <v>1</v>
      </c>
    </row>
    <row r="522" spans="1:43">
      <c r="A522" s="135" t="s">
        <v>4369</v>
      </c>
      <c r="B522" s="135" t="s">
        <v>4402</v>
      </c>
      <c r="C522" s="135" t="s">
        <v>4370</v>
      </c>
      <c r="D522" s="46">
        <v>11132005</v>
      </c>
      <c r="E522" s="20" t="s">
        <v>4371</v>
      </c>
      <c r="F522" s="20" t="s">
        <v>4372</v>
      </c>
      <c r="G522" s="24">
        <v>14</v>
      </c>
      <c r="H522" s="21">
        <v>46263</v>
      </c>
      <c r="I522" s="53" t="s">
        <v>4373</v>
      </c>
      <c r="J522" s="24" t="s">
        <v>4374</v>
      </c>
      <c r="K522" s="24">
        <v>14</v>
      </c>
      <c r="L522" s="46">
        <v>12120526</v>
      </c>
      <c r="M522" s="20" t="s">
        <v>533</v>
      </c>
      <c r="N522" s="38">
        <v>0</v>
      </c>
      <c r="O522" s="38">
        <v>0</v>
      </c>
      <c r="P522" s="20" t="s">
        <v>372</v>
      </c>
      <c r="Q522" s="20">
        <v>0</v>
      </c>
      <c r="R522" s="40">
        <v>46253</v>
      </c>
      <c r="S522" s="20">
        <v>0</v>
      </c>
      <c r="T522" s="20">
        <v>0</v>
      </c>
      <c r="U522" s="40">
        <v>46254</v>
      </c>
      <c r="V522" s="40">
        <v>46254</v>
      </c>
      <c r="W522" s="20" t="s">
        <v>54</v>
      </c>
      <c r="X522" s="21"/>
      <c r="Y522" s="19">
        <f>VLOOKUP(F522,[2]New!$B:$G,3,0)*K522/60</f>
        <v>9.3333333333333339</v>
      </c>
      <c r="Z522" s="19">
        <f>VLOOKUP(F522,[2]New!$B:$G,4,0)*K522/60</f>
        <v>37.333333333333336</v>
      </c>
      <c r="AA522" s="19">
        <f>VLOOKUP(F522,[2]New!$B:$G,6,0)*K522/60</f>
        <v>38.733333333333334</v>
      </c>
      <c r="AB522" s="44">
        <f>VLOOKUP(A522,'[4]PO CAG'!$A:$L,12,0)</f>
        <v>46269</v>
      </c>
      <c r="AC522" s="22">
        <f>IFERROR(VLOOKUP(F522,[3]Sheet1!$E:$H,4,0),)</f>
        <v>0</v>
      </c>
      <c r="AD522" s="144"/>
      <c r="AE522" s="25" t="e">
        <v>#N/A</v>
      </c>
      <c r="AF522" s="135" t="s">
        <v>199</v>
      </c>
      <c r="AG522" s="135"/>
      <c r="AH522" s="135"/>
      <c r="AI522" s="135"/>
      <c r="AJ522" s="267" t="s">
        <v>152</v>
      </c>
      <c r="AN522" s="278">
        <v>1</v>
      </c>
      <c r="AO522" s="278">
        <v>1</v>
      </c>
      <c r="AP522" s="278">
        <v>1</v>
      </c>
      <c r="AQ522" s="278">
        <v>1</v>
      </c>
    </row>
    <row r="523" spans="1:43">
      <c r="A523" s="135" t="s">
        <v>4375</v>
      </c>
      <c r="B523" s="135" t="s">
        <v>4403</v>
      </c>
      <c r="C523" s="135" t="s">
        <v>4376</v>
      </c>
      <c r="D523" s="46">
        <v>11134364</v>
      </c>
      <c r="E523" s="20" t="s">
        <v>523</v>
      </c>
      <c r="F523" s="20" t="s">
        <v>524</v>
      </c>
      <c r="G523" s="24">
        <v>46</v>
      </c>
      <c r="H523" s="21">
        <v>46263</v>
      </c>
      <c r="I523" s="53" t="s">
        <v>4377</v>
      </c>
      <c r="J523" s="24" t="s">
        <v>4378</v>
      </c>
      <c r="K523" s="24">
        <v>46</v>
      </c>
      <c r="L523" s="46">
        <v>12120526</v>
      </c>
      <c r="M523" s="20" t="s">
        <v>533</v>
      </c>
      <c r="N523" s="38">
        <v>0</v>
      </c>
      <c r="O523" s="38">
        <v>0</v>
      </c>
      <c r="P523" s="20" t="s">
        <v>372</v>
      </c>
      <c r="Q523" s="20">
        <v>0</v>
      </c>
      <c r="R523" s="40">
        <v>46253</v>
      </c>
      <c r="S523" s="20">
        <v>0</v>
      </c>
      <c r="T523" s="20">
        <v>0</v>
      </c>
      <c r="U523" s="40">
        <v>46254</v>
      </c>
      <c r="V523" s="40">
        <v>46254</v>
      </c>
      <c r="W523" s="20" t="s">
        <v>54</v>
      </c>
      <c r="X523" s="21"/>
      <c r="Y523" s="19">
        <f>VLOOKUP(F523,[2]New!$B:$G,3,0)*K523/60</f>
        <v>16.866666666666667</v>
      </c>
      <c r="Z523" s="19">
        <f>VLOOKUP(F523,[2]New!$B:$G,4,0)*K523/60</f>
        <v>90.390000000000015</v>
      </c>
      <c r="AA523" s="19">
        <f>VLOOKUP(F523,[2]New!$B:$G,6,0)*K523/60</f>
        <v>88.166666666666671</v>
      </c>
      <c r="AB523" s="44">
        <f>VLOOKUP(A523,'[4]PO CAG'!$A:$L,12,0)</f>
        <v>46269</v>
      </c>
      <c r="AC523" s="22">
        <f>IFERROR(VLOOKUP(F523,[3]Sheet1!$E:$H,4,0),)</f>
        <v>0</v>
      </c>
      <c r="AD523" s="144"/>
      <c r="AE523" s="25" t="e">
        <v>#N/A</v>
      </c>
      <c r="AF523" s="135" t="s">
        <v>199</v>
      </c>
      <c r="AG523" s="135"/>
      <c r="AH523" s="135"/>
      <c r="AI523" s="135"/>
      <c r="AJ523" s="267" t="s">
        <v>152</v>
      </c>
      <c r="AN523" s="278">
        <v>1</v>
      </c>
      <c r="AO523" s="278">
        <v>1</v>
      </c>
      <c r="AP523" s="278">
        <v>1</v>
      </c>
      <c r="AQ523" s="278">
        <v>1</v>
      </c>
    </row>
    <row r="524" spans="1:43">
      <c r="A524" s="135" t="s">
        <v>4379</v>
      </c>
      <c r="B524" s="135" t="s">
        <v>4404</v>
      </c>
      <c r="C524" s="135" t="s">
        <v>4380</v>
      </c>
      <c r="D524" s="46">
        <v>11134346</v>
      </c>
      <c r="E524" s="20" t="s">
        <v>753</v>
      </c>
      <c r="F524" s="20" t="s">
        <v>754</v>
      </c>
      <c r="G524" s="24">
        <v>7</v>
      </c>
      <c r="H524" s="21">
        <v>46263</v>
      </c>
      <c r="I524" s="53" t="s">
        <v>4381</v>
      </c>
      <c r="J524" s="24" t="s">
        <v>4382</v>
      </c>
      <c r="K524" s="24">
        <v>7</v>
      </c>
      <c r="L524" s="46">
        <v>12120507</v>
      </c>
      <c r="M524" s="20" t="s">
        <v>765</v>
      </c>
      <c r="N524" s="38">
        <v>0</v>
      </c>
      <c r="O524" s="38">
        <v>0</v>
      </c>
      <c r="P524" s="20" t="s">
        <v>469</v>
      </c>
      <c r="Q524" s="20">
        <v>0</v>
      </c>
      <c r="R524" s="40">
        <v>46253</v>
      </c>
      <c r="S524" s="20">
        <v>0</v>
      </c>
      <c r="T524" s="20">
        <v>0</v>
      </c>
      <c r="U524" s="40">
        <v>46254</v>
      </c>
      <c r="V524" s="40">
        <v>46254</v>
      </c>
      <c r="W524" s="20" t="s">
        <v>54</v>
      </c>
      <c r="X524" s="21"/>
      <c r="Y524" s="19">
        <f>VLOOKUP(F524,[2]New!$B:$G,3,0)*K524/60</f>
        <v>2.5666666666666669</v>
      </c>
      <c r="Z524" s="19">
        <f>VLOOKUP(F524,[2]New!$B:$G,4,0)*K524/60</f>
        <v>13.755000000000001</v>
      </c>
      <c r="AA524" s="19">
        <f>VLOOKUP(F524,[2]New!$B:$G,6,0)*K524/60</f>
        <v>13.416666666666666</v>
      </c>
      <c r="AB524" s="44">
        <f>VLOOKUP(A524,'[4]PO CAG'!$A:$L,12,0)</f>
        <v>46269</v>
      </c>
      <c r="AC524" s="22">
        <f>IFERROR(VLOOKUP(F524,[3]Sheet1!$E:$H,4,0),)</f>
        <v>0</v>
      </c>
      <c r="AD524" s="144"/>
      <c r="AE524" s="25" t="e">
        <v>#N/A</v>
      </c>
      <c r="AF524" s="135" t="s">
        <v>199</v>
      </c>
      <c r="AG524" s="135"/>
      <c r="AH524" s="135"/>
      <c r="AI524" s="135"/>
      <c r="AJ524" s="267" t="s">
        <v>152</v>
      </c>
      <c r="AN524" s="278">
        <v>1</v>
      </c>
      <c r="AO524" s="278">
        <v>1</v>
      </c>
      <c r="AP524" s="278">
        <v>1</v>
      </c>
      <c r="AQ524" s="278">
        <v>1</v>
      </c>
    </row>
    <row r="525" spans="1:43">
      <c r="A525" s="135" t="s">
        <v>4383</v>
      </c>
      <c r="B525" s="135" t="s">
        <v>4405</v>
      </c>
      <c r="C525" s="135" t="s">
        <v>4384</v>
      </c>
      <c r="D525" s="46">
        <v>11134347</v>
      </c>
      <c r="E525" s="20" t="s">
        <v>530</v>
      </c>
      <c r="F525" s="20" t="s">
        <v>531</v>
      </c>
      <c r="G525" s="24">
        <v>110</v>
      </c>
      <c r="H525" s="21">
        <v>46263</v>
      </c>
      <c r="I525" s="53" t="s">
        <v>4385</v>
      </c>
      <c r="J525" s="24" t="s">
        <v>4386</v>
      </c>
      <c r="K525" s="24">
        <v>110</v>
      </c>
      <c r="L525" s="46">
        <v>12120508</v>
      </c>
      <c r="M525" s="20" t="s">
        <v>535</v>
      </c>
      <c r="N525" s="38">
        <v>0</v>
      </c>
      <c r="O525" s="38">
        <v>0</v>
      </c>
      <c r="P525" s="20" t="s">
        <v>469</v>
      </c>
      <c r="Q525" s="20">
        <v>0</v>
      </c>
      <c r="R525" s="40">
        <v>46253</v>
      </c>
      <c r="S525" s="20">
        <v>0</v>
      </c>
      <c r="T525" s="20">
        <v>0</v>
      </c>
      <c r="U525" s="40">
        <v>46254</v>
      </c>
      <c r="V525" s="40">
        <v>46254</v>
      </c>
      <c r="W525" s="20" t="s">
        <v>54</v>
      </c>
      <c r="X525" s="21"/>
      <c r="Y525" s="19">
        <f>VLOOKUP(F525,[2]New!$B:$G,3,0)*K525/60</f>
        <v>40.333333333333336</v>
      </c>
      <c r="Z525" s="19">
        <f>VLOOKUP(F525,[2]New!$B:$G,4,0)*K525/60</f>
        <v>216.15</v>
      </c>
      <c r="AA525" s="19">
        <f>VLOOKUP(F525,[2]New!$B:$G,6,0)*K525/60</f>
        <v>210.83333333333334</v>
      </c>
      <c r="AB525" s="44">
        <f>VLOOKUP(A525,'[4]PO CAG'!$A:$L,12,0)</f>
        <v>46269</v>
      </c>
      <c r="AC525" s="22">
        <f>IFERROR(VLOOKUP(F525,[3]Sheet1!$E:$H,4,0),)</f>
        <v>0</v>
      </c>
      <c r="AD525" s="144"/>
      <c r="AE525" s="25" t="e">
        <v>#N/A</v>
      </c>
      <c r="AF525" s="135" t="s">
        <v>199</v>
      </c>
      <c r="AG525" s="135"/>
      <c r="AH525" s="135"/>
      <c r="AI525" s="135"/>
      <c r="AJ525" s="267" t="s">
        <v>152</v>
      </c>
      <c r="AN525" s="278">
        <v>1</v>
      </c>
      <c r="AO525" s="278">
        <v>1</v>
      </c>
      <c r="AP525" s="278">
        <v>1</v>
      </c>
      <c r="AQ525" s="278">
        <v>1</v>
      </c>
    </row>
    <row r="526" spans="1:43">
      <c r="A526" s="135" t="s">
        <v>4387</v>
      </c>
      <c r="B526" s="135" t="s">
        <v>4406</v>
      </c>
      <c r="C526" s="135" t="s">
        <v>4388</v>
      </c>
      <c r="D526" s="46">
        <v>11134247</v>
      </c>
      <c r="E526" s="20" t="s">
        <v>177</v>
      </c>
      <c r="F526" s="20" t="s">
        <v>178</v>
      </c>
      <c r="G526" s="24">
        <v>287</v>
      </c>
      <c r="H526" s="21">
        <v>46273</v>
      </c>
      <c r="I526" s="53" t="s">
        <v>4389</v>
      </c>
      <c r="J526" s="24" t="s">
        <v>4390</v>
      </c>
      <c r="K526" s="24">
        <v>287</v>
      </c>
      <c r="L526" s="46">
        <v>12129253</v>
      </c>
      <c r="M526" s="20" t="s">
        <v>184</v>
      </c>
      <c r="N526" s="38">
        <v>0</v>
      </c>
      <c r="O526" s="38">
        <v>0</v>
      </c>
      <c r="P526" s="20" t="s">
        <v>72</v>
      </c>
      <c r="Q526" s="20">
        <v>0</v>
      </c>
      <c r="R526" s="40">
        <v>46253</v>
      </c>
      <c r="S526" s="20">
        <v>0</v>
      </c>
      <c r="T526" s="20">
        <v>0</v>
      </c>
      <c r="U526" s="40">
        <v>46254</v>
      </c>
      <c r="V526" s="40">
        <v>46254</v>
      </c>
      <c r="W526" s="20" t="s">
        <v>54</v>
      </c>
      <c r="X526" s="21"/>
      <c r="Y526" s="19">
        <f>VLOOKUP(F526,[2]New!$B:$G,3,0)*K526/60</f>
        <v>258.3</v>
      </c>
      <c r="Z526" s="19">
        <f>VLOOKUP(F526,[2]New!$B:$G,4,0)*K526/60</f>
        <v>645.75</v>
      </c>
      <c r="AA526" s="19">
        <f>VLOOKUP(F526,[2]New!$B:$G,6,0)*K526/60</f>
        <v>641.92333333333329</v>
      </c>
      <c r="AB526" s="44">
        <f>VLOOKUP(A526,'[4]PO CAG'!$A:$L,12,0)</f>
        <v>46303</v>
      </c>
      <c r="AC526" s="22" t="str">
        <f>IFERROR(VLOOKUP(F526,[3]Sheet1!$E:$H,4,0),)</f>
        <v>H</v>
      </c>
      <c r="AD526" s="144"/>
      <c r="AE526" s="25" t="e">
        <v>#N/A</v>
      </c>
      <c r="AF526" s="135" t="s">
        <v>198</v>
      </c>
      <c r="AG526" s="135"/>
      <c r="AH526" s="135"/>
      <c r="AI526" s="135"/>
      <c r="AJ526" s="267" t="s">
        <v>187</v>
      </c>
      <c r="AN526" s="278">
        <v>3</v>
      </c>
      <c r="AO526" s="278">
        <v>3</v>
      </c>
      <c r="AP526" s="278">
        <v>3</v>
      </c>
      <c r="AQ526" s="278">
        <v>3</v>
      </c>
    </row>
    <row r="527" spans="1:43">
      <c r="A527" s="135" t="s">
        <v>4391</v>
      </c>
      <c r="B527" s="135" t="s">
        <v>4407</v>
      </c>
      <c r="C527" s="135" t="s">
        <v>4392</v>
      </c>
      <c r="D527" s="46">
        <v>11134246</v>
      </c>
      <c r="E527" s="20" t="s">
        <v>175</v>
      </c>
      <c r="F527" s="20" t="s">
        <v>176</v>
      </c>
      <c r="G527" s="24">
        <v>1689</v>
      </c>
      <c r="H527" s="21">
        <v>46273</v>
      </c>
      <c r="I527" s="53" t="s">
        <v>4393</v>
      </c>
      <c r="J527" s="24" t="s">
        <v>4394</v>
      </c>
      <c r="K527" s="24">
        <v>1695</v>
      </c>
      <c r="L527" s="46">
        <v>12129252</v>
      </c>
      <c r="M527" s="20" t="s">
        <v>183</v>
      </c>
      <c r="N527" s="38">
        <v>0</v>
      </c>
      <c r="O527" s="38">
        <v>0</v>
      </c>
      <c r="P527" s="20" t="s">
        <v>72</v>
      </c>
      <c r="Q527" s="20">
        <v>0</v>
      </c>
      <c r="R527" s="40">
        <v>46253</v>
      </c>
      <c r="S527" s="20">
        <v>3</v>
      </c>
      <c r="T527" s="20">
        <v>3</v>
      </c>
      <c r="U527" s="40">
        <v>46254</v>
      </c>
      <c r="V527" s="40">
        <v>46254</v>
      </c>
      <c r="W527" s="20" t="s">
        <v>54</v>
      </c>
      <c r="X527" s="21"/>
      <c r="Y527" s="19">
        <f>VLOOKUP(F527,[2]New!$B:$G,3,0)*K527/60</f>
        <v>1525.5</v>
      </c>
      <c r="Z527" s="19">
        <f>VLOOKUP(F527,[2]New!$B:$G,4,0)*K527/60</f>
        <v>3813.75</v>
      </c>
      <c r="AA527" s="19">
        <f>VLOOKUP(F527,[2]New!$B:$G,6,0)*K527/60</f>
        <v>3791.1499999999996</v>
      </c>
      <c r="AB527" s="44">
        <f>VLOOKUP(A527,'[4]PO CAG'!$A:$L,12,0)</f>
        <v>46303</v>
      </c>
      <c r="AC527" s="22" t="str">
        <f>IFERROR(VLOOKUP(F527,[3]Sheet1!$E:$H,4,0),)</f>
        <v>H</v>
      </c>
      <c r="AD527" s="144"/>
      <c r="AE527" s="25" t="e">
        <v>#N/A</v>
      </c>
      <c r="AF527" s="135" t="s">
        <v>198</v>
      </c>
      <c r="AG527" s="135"/>
      <c r="AH527" s="135"/>
      <c r="AI527" s="135"/>
      <c r="AJ527" s="267" t="s">
        <v>187</v>
      </c>
      <c r="AN527" s="278">
        <v>3</v>
      </c>
      <c r="AO527" s="278">
        <v>3</v>
      </c>
      <c r="AP527" s="278">
        <v>3</v>
      </c>
      <c r="AQ527" s="278">
        <v>3</v>
      </c>
    </row>
    <row r="528" spans="1:43">
      <c r="A528" s="135" t="s">
        <v>4434</v>
      </c>
      <c r="B528" s="135" t="s">
        <v>4606</v>
      </c>
      <c r="C528" s="135" t="s">
        <v>4435</v>
      </c>
      <c r="D528" s="46">
        <v>11134310</v>
      </c>
      <c r="E528" s="20" t="s">
        <v>4436</v>
      </c>
      <c r="F528" s="20" t="s">
        <v>4437</v>
      </c>
      <c r="G528" s="24">
        <v>5</v>
      </c>
      <c r="H528" s="21">
        <v>46263</v>
      </c>
      <c r="I528" s="53" t="s">
        <v>4438</v>
      </c>
      <c r="J528" s="24" t="s">
        <v>4439</v>
      </c>
      <c r="K528" s="24">
        <v>5</v>
      </c>
      <c r="L528" s="46">
        <v>12116318</v>
      </c>
      <c r="M528" s="20" t="s">
        <v>4592</v>
      </c>
      <c r="N528" s="38">
        <v>0</v>
      </c>
      <c r="O528" s="38">
        <v>0</v>
      </c>
      <c r="P528" s="20" t="s">
        <v>469</v>
      </c>
      <c r="Q528" s="20">
        <v>0</v>
      </c>
      <c r="R528" s="40">
        <v>46253</v>
      </c>
      <c r="S528" s="20">
        <v>0</v>
      </c>
      <c r="T528" s="20">
        <v>0</v>
      </c>
      <c r="U528" s="40">
        <v>46254</v>
      </c>
      <c r="V528" s="40">
        <v>46254</v>
      </c>
      <c r="W528" s="20" t="s">
        <v>57</v>
      </c>
      <c r="X528" s="21"/>
      <c r="Y528" s="19">
        <f>VLOOKUP(F528,[2]New!$B:$G,3,0)*K528/60</f>
        <v>4.666666666666667</v>
      </c>
      <c r="Z528" s="19">
        <f>VLOOKUP(F528,[2]New!$B:$G,4,0)*K528/60</f>
        <v>19.5</v>
      </c>
      <c r="AA528" s="19">
        <f>VLOOKUP(F528,[2]New!$B:$G,6,0)*K528/60</f>
        <v>24.1</v>
      </c>
      <c r="AB528" s="44">
        <f>VLOOKUP(A528,'[4]PO CAG'!$A:$L,12,0)</f>
        <v>46269</v>
      </c>
      <c r="AC528" s="22">
        <f>IFERROR(VLOOKUP(F528,[3]Sheet1!$E:$H,4,0),)</f>
        <v>0</v>
      </c>
      <c r="AD528" s="144"/>
      <c r="AE528" s="25" t="e">
        <v>#N/A</v>
      </c>
      <c r="AF528" s="135" t="s">
        <v>112</v>
      </c>
      <c r="AG528" s="135"/>
      <c r="AH528" s="135"/>
      <c r="AI528" s="135"/>
      <c r="AJ528" s="267" t="s">
        <v>153</v>
      </c>
      <c r="AN528" s="278">
        <v>2</v>
      </c>
      <c r="AO528" s="278">
        <v>2</v>
      </c>
      <c r="AP528" s="278">
        <v>2</v>
      </c>
      <c r="AQ528" s="278">
        <v>2</v>
      </c>
    </row>
    <row r="529" spans="1:43">
      <c r="A529" s="135" t="s">
        <v>4440</v>
      </c>
      <c r="B529" s="135" t="s">
        <v>4607</v>
      </c>
      <c r="C529" s="135" t="s">
        <v>4441</v>
      </c>
      <c r="D529" s="46">
        <v>11134251</v>
      </c>
      <c r="E529" s="20" t="s">
        <v>594</v>
      </c>
      <c r="F529" s="20" t="s">
        <v>595</v>
      </c>
      <c r="G529" s="24">
        <v>7</v>
      </c>
      <c r="H529" s="21">
        <v>46263</v>
      </c>
      <c r="I529" s="53" t="s">
        <v>4442</v>
      </c>
      <c r="J529" s="24" t="s">
        <v>4443</v>
      </c>
      <c r="K529" s="24">
        <v>7</v>
      </c>
      <c r="L529" s="46">
        <v>12116035</v>
      </c>
      <c r="M529" s="20" t="s">
        <v>618</v>
      </c>
      <c r="N529" s="38">
        <v>0</v>
      </c>
      <c r="O529" s="38">
        <v>0</v>
      </c>
      <c r="P529" s="20" t="s">
        <v>469</v>
      </c>
      <c r="Q529" s="20">
        <v>0</v>
      </c>
      <c r="R529" s="40">
        <v>46253</v>
      </c>
      <c r="S529" s="20">
        <v>0</v>
      </c>
      <c r="T529" s="20">
        <v>0</v>
      </c>
      <c r="U529" s="40">
        <v>46254</v>
      </c>
      <c r="V529" s="40">
        <v>46254</v>
      </c>
      <c r="W529" s="20" t="s">
        <v>57</v>
      </c>
      <c r="X529" s="21"/>
      <c r="Y529" s="19">
        <f>VLOOKUP(F529,[2]New!$B:$G,3,0)*K529/60</f>
        <v>6.5333333333333332</v>
      </c>
      <c r="Z529" s="19">
        <f>VLOOKUP(F529,[2]New!$B:$G,4,0)*K529/60</f>
        <v>27.3</v>
      </c>
      <c r="AA529" s="19">
        <f>VLOOKUP(F529,[2]New!$B:$G,6,0)*K529/60</f>
        <v>33.739999999999995</v>
      </c>
      <c r="AB529" s="44">
        <f>VLOOKUP(A529,'[4]PO CAG'!$A:$L,12,0)</f>
        <v>46269</v>
      </c>
      <c r="AC529" s="22">
        <f>IFERROR(VLOOKUP(F529,[3]Sheet1!$E:$H,4,0),)</f>
        <v>0</v>
      </c>
      <c r="AD529" s="144"/>
      <c r="AE529" s="25" t="e">
        <v>#N/A</v>
      </c>
      <c r="AF529" s="135" t="s">
        <v>112</v>
      </c>
      <c r="AG529" s="135"/>
      <c r="AH529" s="135"/>
      <c r="AI529" s="135"/>
      <c r="AJ529" s="267" t="s">
        <v>153</v>
      </c>
      <c r="AN529" s="278">
        <v>2</v>
      </c>
      <c r="AO529" s="278">
        <v>2</v>
      </c>
      <c r="AP529" s="278">
        <v>2</v>
      </c>
      <c r="AQ529" s="278">
        <v>2</v>
      </c>
    </row>
    <row r="530" spans="1:43">
      <c r="A530" s="135" t="s">
        <v>4444</v>
      </c>
      <c r="B530" s="135" t="s">
        <v>4608</v>
      </c>
      <c r="C530" s="135" t="s">
        <v>4445</v>
      </c>
      <c r="D530" s="46">
        <v>11134305</v>
      </c>
      <c r="E530" s="20" t="s">
        <v>1010</v>
      </c>
      <c r="F530" s="20" t="s">
        <v>1011</v>
      </c>
      <c r="G530" s="24">
        <v>7</v>
      </c>
      <c r="H530" s="21">
        <v>46263</v>
      </c>
      <c r="I530" s="53" t="s">
        <v>4446</v>
      </c>
      <c r="J530" s="24" t="s">
        <v>4447</v>
      </c>
      <c r="K530" s="24">
        <v>7</v>
      </c>
      <c r="L530" s="46">
        <v>12116313</v>
      </c>
      <c r="M530" s="20" t="s">
        <v>1031</v>
      </c>
      <c r="N530" s="38">
        <v>0</v>
      </c>
      <c r="O530" s="38">
        <v>0</v>
      </c>
      <c r="P530" s="20" t="s">
        <v>469</v>
      </c>
      <c r="Q530" s="20">
        <v>0</v>
      </c>
      <c r="R530" s="40">
        <v>46253</v>
      </c>
      <c r="S530" s="20">
        <v>0</v>
      </c>
      <c r="T530" s="20">
        <v>0</v>
      </c>
      <c r="U530" s="40">
        <v>46254</v>
      </c>
      <c r="V530" s="40">
        <v>46254</v>
      </c>
      <c r="W530" s="20" t="s">
        <v>57</v>
      </c>
      <c r="X530" s="21"/>
      <c r="Y530" s="19">
        <f>VLOOKUP(F530,[2]New!$B:$G,3,0)*K530/60</f>
        <v>6.5333333333333332</v>
      </c>
      <c r="Z530" s="19">
        <f>VLOOKUP(F530,[2]New!$B:$G,4,0)*K530/60</f>
        <v>27.3</v>
      </c>
      <c r="AA530" s="19">
        <f>VLOOKUP(F530,[2]New!$B:$G,6,0)*K530/60</f>
        <v>33.716666666666669</v>
      </c>
      <c r="AB530" s="44">
        <f>VLOOKUP(A530,'[4]PO CAG'!$A:$L,12,0)</f>
        <v>46269</v>
      </c>
      <c r="AC530" s="22">
        <f>IFERROR(VLOOKUP(F530,[3]Sheet1!$E:$H,4,0),)</f>
        <v>0</v>
      </c>
      <c r="AD530" s="144"/>
      <c r="AE530" s="25" t="e">
        <v>#N/A</v>
      </c>
      <c r="AF530" s="135" t="s">
        <v>112</v>
      </c>
      <c r="AG530" s="135"/>
      <c r="AH530" s="135"/>
      <c r="AI530" s="135"/>
      <c r="AJ530" s="267" t="s">
        <v>153</v>
      </c>
      <c r="AN530" s="278">
        <v>2</v>
      </c>
      <c r="AO530" s="278">
        <v>2</v>
      </c>
      <c r="AP530" s="278">
        <v>2</v>
      </c>
      <c r="AQ530" s="278">
        <v>2</v>
      </c>
    </row>
    <row r="531" spans="1:43">
      <c r="A531" s="135" t="s">
        <v>3886</v>
      </c>
      <c r="B531" s="135" t="s">
        <v>4609</v>
      </c>
      <c r="C531" s="135" t="s">
        <v>4448</v>
      </c>
      <c r="D531" s="46">
        <v>11134264</v>
      </c>
      <c r="E531" s="20" t="s">
        <v>3888</v>
      </c>
      <c r="F531" s="20" t="s">
        <v>3889</v>
      </c>
      <c r="G531" s="24">
        <v>10</v>
      </c>
      <c r="H531" s="21">
        <v>46263</v>
      </c>
      <c r="I531" s="53" t="s">
        <v>4449</v>
      </c>
      <c r="J531" s="24" t="s">
        <v>4450</v>
      </c>
      <c r="K531" s="24">
        <v>10</v>
      </c>
      <c r="L531" s="46">
        <v>12116068</v>
      </c>
      <c r="M531" s="20" t="s">
        <v>3672</v>
      </c>
      <c r="N531" s="38">
        <v>0</v>
      </c>
      <c r="O531" s="38">
        <v>0</v>
      </c>
      <c r="P531" s="20" t="s">
        <v>469</v>
      </c>
      <c r="Q531" s="20">
        <v>0</v>
      </c>
      <c r="R531" s="40">
        <v>46253</v>
      </c>
      <c r="S531" s="20">
        <v>0</v>
      </c>
      <c r="T531" s="20">
        <v>0</v>
      </c>
      <c r="U531" s="40">
        <v>46254</v>
      </c>
      <c r="V531" s="40">
        <v>46254</v>
      </c>
      <c r="W531" s="20" t="s">
        <v>57</v>
      </c>
      <c r="X531" s="21"/>
      <c r="Y531" s="19">
        <f>VLOOKUP(F531,[2]New!$B:$G,3,0)*K531/60</f>
        <v>9.3333333333333339</v>
      </c>
      <c r="Z531" s="19">
        <f>VLOOKUP(F531,[2]New!$B:$G,4,0)*K531/60</f>
        <v>39</v>
      </c>
      <c r="AA531" s="19">
        <f>VLOOKUP(F531,[2]New!$B:$G,6,0)*K531/60</f>
        <v>48.2</v>
      </c>
      <c r="AB531" s="44">
        <f>VLOOKUP(A531,'[4]PO CAG'!$A:$L,12,0)</f>
        <v>46269</v>
      </c>
      <c r="AC531" s="22">
        <f>IFERROR(VLOOKUP(F531,[3]Sheet1!$E:$H,4,0),)</f>
        <v>0</v>
      </c>
      <c r="AD531" s="144"/>
      <c r="AE531" s="25" t="e">
        <v>#N/A</v>
      </c>
      <c r="AF531" s="135" t="s">
        <v>112</v>
      </c>
      <c r="AG531" s="135"/>
      <c r="AH531" s="135"/>
      <c r="AI531" s="135"/>
      <c r="AJ531" s="267" t="s">
        <v>153</v>
      </c>
      <c r="AN531" s="278">
        <v>2</v>
      </c>
      <c r="AO531" s="278">
        <v>2</v>
      </c>
      <c r="AP531" s="278">
        <v>2</v>
      </c>
      <c r="AQ531" s="278">
        <v>2</v>
      </c>
    </row>
    <row r="532" spans="1:43">
      <c r="A532" s="135" t="s">
        <v>4451</v>
      </c>
      <c r="B532" s="135" t="s">
        <v>4610</v>
      </c>
      <c r="C532" s="135" t="s">
        <v>4452</v>
      </c>
      <c r="D532" s="46">
        <v>11134311</v>
      </c>
      <c r="E532" s="20" t="s">
        <v>4453</v>
      </c>
      <c r="F532" s="20" t="s">
        <v>4454</v>
      </c>
      <c r="G532" s="24">
        <v>12</v>
      </c>
      <c r="H532" s="21">
        <v>46263</v>
      </c>
      <c r="I532" s="53" t="s">
        <v>4455</v>
      </c>
      <c r="J532" s="24" t="s">
        <v>4456</v>
      </c>
      <c r="K532" s="24">
        <v>12</v>
      </c>
      <c r="L532" s="46">
        <v>12116319</v>
      </c>
      <c r="M532" s="20" t="s">
        <v>4593</v>
      </c>
      <c r="N532" s="38">
        <v>0</v>
      </c>
      <c r="O532" s="38">
        <v>0</v>
      </c>
      <c r="P532" s="20" t="s">
        <v>469</v>
      </c>
      <c r="Q532" s="20">
        <v>0</v>
      </c>
      <c r="R532" s="40">
        <v>46253</v>
      </c>
      <c r="S532" s="20">
        <v>0</v>
      </c>
      <c r="T532" s="20">
        <v>0</v>
      </c>
      <c r="U532" s="40">
        <v>46254</v>
      </c>
      <c r="V532" s="40">
        <v>46254</v>
      </c>
      <c r="W532" s="20" t="s">
        <v>57</v>
      </c>
      <c r="X532" s="21"/>
      <c r="Y532" s="19">
        <f>VLOOKUP(F532,[2]New!$B:$G,3,0)*K532/60</f>
        <v>11.2</v>
      </c>
      <c r="Z532" s="19">
        <f>VLOOKUP(F532,[2]New!$B:$G,4,0)*K532/60</f>
        <v>46.8</v>
      </c>
      <c r="AA532" s="19">
        <f>VLOOKUP(F532,[2]New!$B:$G,6,0)*K532/60</f>
        <v>57.839999999999996</v>
      </c>
      <c r="AB532" s="44">
        <f>VLOOKUP(A532,'[4]PO CAG'!$A:$L,12,0)</f>
        <v>46269</v>
      </c>
      <c r="AC532" s="22">
        <f>IFERROR(VLOOKUP(F532,[3]Sheet1!$E:$H,4,0),)</f>
        <v>0</v>
      </c>
      <c r="AD532" s="144"/>
      <c r="AE532" s="25" t="e">
        <v>#N/A</v>
      </c>
      <c r="AF532" s="135" t="s">
        <v>112</v>
      </c>
      <c r="AG532" s="135"/>
      <c r="AH532" s="135"/>
      <c r="AI532" s="135"/>
      <c r="AJ532" s="267" t="s">
        <v>153</v>
      </c>
      <c r="AN532" s="278">
        <v>2</v>
      </c>
      <c r="AO532" s="278">
        <v>2</v>
      </c>
      <c r="AP532" s="278">
        <v>2</v>
      </c>
      <c r="AQ532" s="278">
        <v>2</v>
      </c>
    </row>
    <row r="533" spans="1:43">
      <c r="A533" s="135" t="s">
        <v>4457</v>
      </c>
      <c r="B533" s="135" t="s">
        <v>4611</v>
      </c>
      <c r="C533" s="135" t="s">
        <v>4458</v>
      </c>
      <c r="D533" s="46">
        <v>11134308</v>
      </c>
      <c r="E533" s="20" t="s">
        <v>4459</v>
      </c>
      <c r="F533" s="20" t="s">
        <v>4460</v>
      </c>
      <c r="G533" s="24">
        <v>22</v>
      </c>
      <c r="H533" s="21">
        <v>46263</v>
      </c>
      <c r="I533" s="53" t="s">
        <v>4461</v>
      </c>
      <c r="J533" s="24" t="s">
        <v>4462</v>
      </c>
      <c r="K533" s="24">
        <v>22</v>
      </c>
      <c r="L533" s="46">
        <v>12116316</v>
      </c>
      <c r="M533" s="20" t="s">
        <v>4594</v>
      </c>
      <c r="N533" s="38">
        <v>0</v>
      </c>
      <c r="O533" s="38">
        <v>0</v>
      </c>
      <c r="P533" s="20" t="s">
        <v>469</v>
      </c>
      <c r="Q533" s="20">
        <v>0</v>
      </c>
      <c r="R533" s="40">
        <v>46253</v>
      </c>
      <c r="S533" s="20">
        <v>0</v>
      </c>
      <c r="T533" s="20">
        <v>0</v>
      </c>
      <c r="U533" s="40">
        <v>46254</v>
      </c>
      <c r="V533" s="40">
        <v>46254</v>
      </c>
      <c r="W533" s="20" t="s">
        <v>57</v>
      </c>
      <c r="X533" s="21"/>
      <c r="Y533" s="19">
        <f>VLOOKUP(F533,[2]New!$B:$G,3,0)*K533/60</f>
        <v>20.533333333333335</v>
      </c>
      <c r="Z533" s="19">
        <f>VLOOKUP(F533,[2]New!$B:$G,4,0)*K533/60</f>
        <v>85.8</v>
      </c>
      <c r="AA533" s="19">
        <f>VLOOKUP(F533,[2]New!$B:$G,6,0)*K533/60</f>
        <v>106.03999999999999</v>
      </c>
      <c r="AB533" s="44">
        <f>VLOOKUP(A533,'[4]PO CAG'!$A:$L,12,0)</f>
        <v>46269</v>
      </c>
      <c r="AC533" s="22">
        <f>IFERROR(VLOOKUP(F533,[3]Sheet1!$E:$H,4,0),)</f>
        <v>0</v>
      </c>
      <c r="AD533" s="144"/>
      <c r="AE533" s="25" t="e">
        <v>#N/A</v>
      </c>
      <c r="AF533" s="135" t="s">
        <v>112</v>
      </c>
      <c r="AG533" s="135"/>
      <c r="AH533" s="135"/>
      <c r="AI533" s="135"/>
      <c r="AJ533" s="267" t="s">
        <v>153</v>
      </c>
      <c r="AN533" s="278">
        <v>2</v>
      </c>
      <c r="AO533" s="278">
        <v>2</v>
      </c>
      <c r="AP533" s="278">
        <v>2</v>
      </c>
      <c r="AQ533" s="278">
        <v>2</v>
      </c>
    </row>
    <row r="534" spans="1:43">
      <c r="A534" s="135" t="s">
        <v>4463</v>
      </c>
      <c r="B534" s="135" t="s">
        <v>4612</v>
      </c>
      <c r="C534" s="135" t="s">
        <v>4464</v>
      </c>
      <c r="D534" s="46">
        <v>11134314</v>
      </c>
      <c r="E534" s="20" t="s">
        <v>1032</v>
      </c>
      <c r="F534" s="20" t="s">
        <v>1033</v>
      </c>
      <c r="G534" s="24">
        <v>22</v>
      </c>
      <c r="H534" s="21">
        <v>46263</v>
      </c>
      <c r="I534" s="53" t="s">
        <v>4465</v>
      </c>
      <c r="J534" s="24" t="s">
        <v>4466</v>
      </c>
      <c r="K534" s="24">
        <v>22</v>
      </c>
      <c r="L534" s="46">
        <v>12116322</v>
      </c>
      <c r="M534" s="20" t="s">
        <v>1037</v>
      </c>
      <c r="N534" s="38">
        <v>0</v>
      </c>
      <c r="O534" s="38">
        <v>0</v>
      </c>
      <c r="P534" s="20" t="s">
        <v>469</v>
      </c>
      <c r="Q534" s="20">
        <v>0</v>
      </c>
      <c r="R534" s="40">
        <v>46253</v>
      </c>
      <c r="S534" s="20">
        <v>0</v>
      </c>
      <c r="T534" s="20">
        <v>0</v>
      </c>
      <c r="U534" s="40">
        <v>46254</v>
      </c>
      <c r="V534" s="40">
        <v>46254</v>
      </c>
      <c r="W534" s="20" t="s">
        <v>57</v>
      </c>
      <c r="X534" s="21"/>
      <c r="Y534" s="19">
        <f>VLOOKUP(F534,[2]New!$B:$G,3,0)*K534/60</f>
        <v>20.533333333333335</v>
      </c>
      <c r="Z534" s="19">
        <f>VLOOKUP(F534,[2]New!$B:$G,4,0)*K534/60</f>
        <v>85.8</v>
      </c>
      <c r="AA534" s="19">
        <f>VLOOKUP(F534,[2]New!$B:$G,6,0)*K534/60</f>
        <v>105.96666666666667</v>
      </c>
      <c r="AB534" s="44">
        <f>VLOOKUP(A534,'[4]PO CAG'!$A:$L,12,0)</f>
        <v>46269</v>
      </c>
      <c r="AC534" s="22">
        <f>IFERROR(VLOOKUP(F534,[3]Sheet1!$E:$H,4,0),)</f>
        <v>0</v>
      </c>
      <c r="AD534" s="144"/>
      <c r="AE534" s="25" t="e">
        <v>#N/A</v>
      </c>
      <c r="AF534" s="135" t="s">
        <v>112</v>
      </c>
      <c r="AG534" s="135"/>
      <c r="AH534" s="135"/>
      <c r="AI534" s="135"/>
      <c r="AJ534" s="267" t="s">
        <v>153</v>
      </c>
      <c r="AN534" s="278">
        <v>2</v>
      </c>
      <c r="AO534" s="278">
        <v>2</v>
      </c>
      <c r="AP534" s="278">
        <v>2</v>
      </c>
      <c r="AQ534" s="278">
        <v>2</v>
      </c>
    </row>
    <row r="535" spans="1:43">
      <c r="A535" s="135" t="s">
        <v>3861</v>
      </c>
      <c r="B535" s="135" t="s">
        <v>4613</v>
      </c>
      <c r="C535" s="135" t="s">
        <v>4467</v>
      </c>
      <c r="D535" s="46">
        <v>11134257</v>
      </c>
      <c r="E535" s="20" t="s">
        <v>3863</v>
      </c>
      <c r="F535" s="20" t="s">
        <v>3864</v>
      </c>
      <c r="G535" s="24">
        <v>27</v>
      </c>
      <c r="H535" s="21">
        <v>46263</v>
      </c>
      <c r="I535" s="53" t="s">
        <v>4468</v>
      </c>
      <c r="J535" s="24" t="s">
        <v>4469</v>
      </c>
      <c r="K535" s="24">
        <v>27</v>
      </c>
      <c r="L535" s="46">
        <v>12116061</v>
      </c>
      <c r="M535" s="20" t="s">
        <v>3922</v>
      </c>
      <c r="N535" s="38">
        <v>0</v>
      </c>
      <c r="O535" s="38">
        <v>0</v>
      </c>
      <c r="P535" s="20" t="s">
        <v>469</v>
      </c>
      <c r="Q535" s="20">
        <v>0</v>
      </c>
      <c r="R535" s="40">
        <v>46253</v>
      </c>
      <c r="S535" s="20">
        <v>0</v>
      </c>
      <c r="T535" s="20">
        <v>0</v>
      </c>
      <c r="U535" s="40">
        <v>46254</v>
      </c>
      <c r="V535" s="40">
        <v>46254</v>
      </c>
      <c r="W535" s="20" t="s">
        <v>57</v>
      </c>
      <c r="X535" s="21"/>
      <c r="Y535" s="19">
        <f>VLOOKUP(F535,[2]New!$B:$G,3,0)*K535/60</f>
        <v>25.2</v>
      </c>
      <c r="Z535" s="19">
        <f>VLOOKUP(F535,[2]New!$B:$G,4,0)*K535/60</f>
        <v>105.3</v>
      </c>
      <c r="AA535" s="19">
        <f>VLOOKUP(F535,[2]New!$B:$G,6,0)*K535/60</f>
        <v>130.13999999999999</v>
      </c>
      <c r="AB535" s="44">
        <f>VLOOKUP(A535,'[4]PO CAG'!$A:$L,12,0)</f>
        <v>46269</v>
      </c>
      <c r="AC535" s="22">
        <f>IFERROR(VLOOKUP(F535,[3]Sheet1!$E:$H,4,0),)</f>
        <v>0</v>
      </c>
      <c r="AD535" s="144"/>
      <c r="AE535" s="25" t="e">
        <v>#N/A</v>
      </c>
      <c r="AF535" s="135" t="s">
        <v>112</v>
      </c>
      <c r="AG535" s="135"/>
      <c r="AH535" s="135"/>
      <c r="AI535" s="135"/>
      <c r="AJ535" s="267" t="s">
        <v>153</v>
      </c>
      <c r="AN535" s="278">
        <v>2</v>
      </c>
      <c r="AO535" s="278">
        <v>2</v>
      </c>
      <c r="AP535" s="278">
        <v>2</v>
      </c>
      <c r="AQ535" s="278">
        <v>2</v>
      </c>
    </row>
    <row r="536" spans="1:43">
      <c r="A536" s="135" t="s">
        <v>4470</v>
      </c>
      <c r="B536" s="135" t="s">
        <v>4614</v>
      </c>
      <c r="C536" s="135" t="s">
        <v>4471</v>
      </c>
      <c r="D536" s="46">
        <v>11119615</v>
      </c>
      <c r="E536" s="20" t="s">
        <v>1000</v>
      </c>
      <c r="F536" s="20" t="s">
        <v>1001</v>
      </c>
      <c r="G536" s="24">
        <v>3</v>
      </c>
      <c r="H536" s="21">
        <v>46263</v>
      </c>
      <c r="I536" s="53" t="s">
        <v>4472</v>
      </c>
      <c r="J536" s="24" t="s">
        <v>4473</v>
      </c>
      <c r="K536" s="24">
        <v>3</v>
      </c>
      <c r="L536" s="46">
        <v>12116250</v>
      </c>
      <c r="M536" s="20" t="s">
        <v>1026</v>
      </c>
      <c r="N536" s="38">
        <v>0</v>
      </c>
      <c r="O536" s="38">
        <v>0</v>
      </c>
      <c r="P536" s="20" t="s">
        <v>469</v>
      </c>
      <c r="Q536" s="20">
        <v>0</v>
      </c>
      <c r="R536" s="40">
        <v>46253</v>
      </c>
      <c r="S536" s="20">
        <v>0</v>
      </c>
      <c r="T536" s="20">
        <v>0</v>
      </c>
      <c r="U536" s="40">
        <v>46254</v>
      </c>
      <c r="V536" s="40">
        <v>46254</v>
      </c>
      <c r="W536" s="20" t="s">
        <v>57</v>
      </c>
      <c r="X536" s="21"/>
      <c r="Y536" s="19">
        <f>VLOOKUP(F536,[2]New!$B:$G,3,0)*K536/60</f>
        <v>2.8</v>
      </c>
      <c r="Z536" s="19">
        <f>VLOOKUP(F536,[2]New!$B:$G,4,0)*K536/60</f>
        <v>11.7</v>
      </c>
      <c r="AA536" s="19">
        <f>VLOOKUP(F536,[2]New!$B:$G,6,0)*K536/60</f>
        <v>14.459999999999999</v>
      </c>
      <c r="AB536" s="44">
        <f>VLOOKUP(A536,'[4]PO CAG'!$A:$L,12,0)</f>
        <v>46269</v>
      </c>
      <c r="AC536" s="22">
        <f>IFERROR(VLOOKUP(F536,[3]Sheet1!$E:$H,4,0),)</f>
        <v>0</v>
      </c>
      <c r="AD536" s="144"/>
      <c r="AE536" s="25" t="e">
        <v>#N/A</v>
      </c>
      <c r="AF536" s="135" t="s">
        <v>112</v>
      </c>
      <c r="AG536" s="135"/>
      <c r="AH536" s="135"/>
      <c r="AI536" s="135"/>
      <c r="AJ536" s="267" t="s">
        <v>153</v>
      </c>
      <c r="AN536" s="278">
        <v>2</v>
      </c>
      <c r="AO536" s="278">
        <v>2</v>
      </c>
      <c r="AP536" s="278">
        <v>2</v>
      </c>
      <c r="AQ536" s="278">
        <v>2</v>
      </c>
    </row>
    <row r="537" spans="1:43">
      <c r="A537" s="135" t="s">
        <v>4474</v>
      </c>
      <c r="B537" s="135" t="s">
        <v>4615</v>
      </c>
      <c r="C537" s="135" t="s">
        <v>4475</v>
      </c>
      <c r="D537" s="46">
        <v>11119610</v>
      </c>
      <c r="E537" s="20" t="s">
        <v>984</v>
      </c>
      <c r="F537" s="20" t="s">
        <v>985</v>
      </c>
      <c r="G537" s="24">
        <v>4</v>
      </c>
      <c r="H537" s="21">
        <v>46263</v>
      </c>
      <c r="I537" s="53" t="s">
        <v>4476</v>
      </c>
      <c r="J537" s="24" t="s">
        <v>4477</v>
      </c>
      <c r="K537" s="24">
        <v>4</v>
      </c>
      <c r="L537" s="46">
        <v>12116245</v>
      </c>
      <c r="M537" s="20" t="s">
        <v>1018</v>
      </c>
      <c r="N537" s="38">
        <v>0</v>
      </c>
      <c r="O537" s="38">
        <v>0</v>
      </c>
      <c r="P537" s="20" t="s">
        <v>469</v>
      </c>
      <c r="Q537" s="20">
        <v>0</v>
      </c>
      <c r="R537" s="40">
        <v>46253</v>
      </c>
      <c r="S537" s="20">
        <v>0</v>
      </c>
      <c r="T537" s="20">
        <v>0</v>
      </c>
      <c r="U537" s="40">
        <v>46254</v>
      </c>
      <c r="V537" s="40">
        <v>46254</v>
      </c>
      <c r="W537" s="20" t="s">
        <v>57</v>
      </c>
      <c r="X537" s="21"/>
      <c r="Y537" s="19">
        <f>VLOOKUP(F537,[2]New!$B:$G,3,0)*K537/60</f>
        <v>3.7333333333333334</v>
      </c>
      <c r="Z537" s="19">
        <f>VLOOKUP(F537,[2]New!$B:$G,4,0)*K537/60</f>
        <v>15.6</v>
      </c>
      <c r="AA537" s="19">
        <f>VLOOKUP(F537,[2]New!$B:$G,6,0)*K537/60</f>
        <v>15.6</v>
      </c>
      <c r="AB537" s="44">
        <f>VLOOKUP(A537,'[4]PO CAG'!$A:$L,12,0)</f>
        <v>46269</v>
      </c>
      <c r="AC537" s="22">
        <f>IFERROR(VLOOKUP(F537,[3]Sheet1!$E:$H,4,0),)</f>
        <v>0</v>
      </c>
      <c r="AD537" s="144"/>
      <c r="AE537" s="25" t="e">
        <v>#N/A</v>
      </c>
      <c r="AF537" s="135" t="s">
        <v>112</v>
      </c>
      <c r="AG537" s="135"/>
      <c r="AH537" s="135"/>
      <c r="AI537" s="135"/>
      <c r="AJ537" s="267" t="s">
        <v>153</v>
      </c>
      <c r="AN537" s="278">
        <v>2</v>
      </c>
      <c r="AO537" s="278">
        <v>2</v>
      </c>
      <c r="AP537" s="278">
        <v>2</v>
      </c>
      <c r="AQ537" s="278">
        <v>2</v>
      </c>
    </row>
    <row r="538" spans="1:43">
      <c r="A538" s="135" t="s">
        <v>4478</v>
      </c>
      <c r="B538" s="135" t="s">
        <v>4616</v>
      </c>
      <c r="C538" s="135" t="s">
        <v>4479</v>
      </c>
      <c r="D538" s="46">
        <v>11119587</v>
      </c>
      <c r="E538" s="20" t="s">
        <v>785</v>
      </c>
      <c r="F538" s="20" t="s">
        <v>786</v>
      </c>
      <c r="G538" s="24">
        <v>8</v>
      </c>
      <c r="H538" s="21">
        <v>46263</v>
      </c>
      <c r="I538" s="53" t="s">
        <v>4480</v>
      </c>
      <c r="J538" s="24" t="s">
        <v>4481</v>
      </c>
      <c r="K538" s="24">
        <v>8</v>
      </c>
      <c r="L538" s="46">
        <v>12116222</v>
      </c>
      <c r="M538" s="20" t="s">
        <v>798</v>
      </c>
      <c r="N538" s="38">
        <v>0</v>
      </c>
      <c r="O538" s="38">
        <v>0</v>
      </c>
      <c r="P538" s="20" t="s">
        <v>469</v>
      </c>
      <c r="Q538" s="20">
        <v>0</v>
      </c>
      <c r="R538" s="40">
        <v>46253</v>
      </c>
      <c r="S538" s="20">
        <v>0</v>
      </c>
      <c r="T538" s="20">
        <v>0</v>
      </c>
      <c r="U538" s="40">
        <v>46254</v>
      </c>
      <c r="V538" s="40">
        <v>46254</v>
      </c>
      <c r="W538" s="20" t="s">
        <v>57</v>
      </c>
      <c r="X538" s="21"/>
      <c r="Y538" s="19">
        <f>VLOOKUP(F538,[2]New!$B:$G,3,0)*K538/60</f>
        <v>7.4666666666666668</v>
      </c>
      <c r="Z538" s="19">
        <f>VLOOKUP(F538,[2]New!$B:$G,4,0)*K538/60</f>
        <v>31.2</v>
      </c>
      <c r="AA538" s="19">
        <f>VLOOKUP(F538,[2]New!$B:$G,6,0)*K538/60</f>
        <v>38.559999999999995</v>
      </c>
      <c r="AB538" s="44">
        <f>VLOOKUP(A538,'[4]PO CAG'!$A:$L,12,0)</f>
        <v>46269</v>
      </c>
      <c r="AC538" s="22">
        <f>IFERROR(VLOOKUP(F538,[3]Sheet1!$E:$H,4,0),)</f>
        <v>0</v>
      </c>
      <c r="AD538" s="144"/>
      <c r="AE538" s="25" t="e">
        <v>#N/A</v>
      </c>
      <c r="AF538" s="135" t="s">
        <v>112</v>
      </c>
      <c r="AG538" s="135"/>
      <c r="AH538" s="135"/>
      <c r="AI538" s="135"/>
      <c r="AJ538" s="267" t="s">
        <v>153</v>
      </c>
      <c r="AN538" s="278">
        <v>2</v>
      </c>
      <c r="AO538" s="278">
        <v>2</v>
      </c>
      <c r="AP538" s="278">
        <v>2</v>
      </c>
      <c r="AQ538" s="278">
        <v>2</v>
      </c>
    </row>
    <row r="539" spans="1:43">
      <c r="A539" s="135" t="s">
        <v>4482</v>
      </c>
      <c r="B539" s="135" t="s">
        <v>4617</v>
      </c>
      <c r="C539" s="135" t="s">
        <v>4483</v>
      </c>
      <c r="D539" s="46">
        <v>11119334</v>
      </c>
      <c r="E539" s="20" t="s">
        <v>4484</v>
      </c>
      <c r="F539" s="20" t="s">
        <v>4485</v>
      </c>
      <c r="G539" s="24">
        <v>10</v>
      </c>
      <c r="H539" s="21">
        <v>46263</v>
      </c>
      <c r="I539" s="53" t="s">
        <v>4486</v>
      </c>
      <c r="J539" s="24" t="s">
        <v>4487</v>
      </c>
      <c r="K539" s="24">
        <v>10</v>
      </c>
      <c r="L539" s="46">
        <v>12115969</v>
      </c>
      <c r="M539" s="20" t="s">
        <v>4595</v>
      </c>
      <c r="N539" s="38">
        <v>0</v>
      </c>
      <c r="O539" s="38">
        <v>0</v>
      </c>
      <c r="P539" s="20" t="s">
        <v>469</v>
      </c>
      <c r="Q539" s="20">
        <v>0</v>
      </c>
      <c r="R539" s="40">
        <v>46253</v>
      </c>
      <c r="S539" s="20">
        <v>0</v>
      </c>
      <c r="T539" s="20">
        <v>0</v>
      </c>
      <c r="U539" s="40">
        <v>46254</v>
      </c>
      <c r="V539" s="40">
        <v>46254</v>
      </c>
      <c r="W539" s="20" t="s">
        <v>57</v>
      </c>
      <c r="X539" s="21"/>
      <c r="Y539" s="19">
        <f>VLOOKUP(F539,[2]New!$B:$G,3,0)*K539/60</f>
        <v>9.3333333333333339</v>
      </c>
      <c r="Z539" s="19">
        <f>VLOOKUP(F539,[2]New!$B:$G,4,0)*K539/60</f>
        <v>39</v>
      </c>
      <c r="AA539" s="19">
        <f>VLOOKUP(F539,[2]New!$B:$G,6,0)*K539/60</f>
        <v>48.2</v>
      </c>
      <c r="AB539" s="44">
        <f>VLOOKUP(A539,'[4]PO CAG'!$A:$L,12,0)</f>
        <v>46269</v>
      </c>
      <c r="AC539" s="22">
        <f>IFERROR(VLOOKUP(F539,[3]Sheet1!$E:$H,4,0),)</f>
        <v>0</v>
      </c>
      <c r="AD539" s="144"/>
      <c r="AE539" s="25" t="e">
        <v>#N/A</v>
      </c>
      <c r="AF539" s="135" t="s">
        <v>112</v>
      </c>
      <c r="AG539" s="135"/>
      <c r="AH539" s="135"/>
      <c r="AI539" s="135"/>
      <c r="AJ539" s="267" t="s">
        <v>153</v>
      </c>
      <c r="AN539" s="278">
        <v>2</v>
      </c>
      <c r="AO539" s="278">
        <v>2</v>
      </c>
      <c r="AP539" s="278">
        <v>2</v>
      </c>
      <c r="AQ539" s="278">
        <v>2</v>
      </c>
    </row>
    <row r="540" spans="1:43">
      <c r="A540" s="135" t="s">
        <v>4488</v>
      </c>
      <c r="B540" s="135" t="s">
        <v>4618</v>
      </c>
      <c r="C540" s="135" t="s">
        <v>4489</v>
      </c>
      <c r="D540" s="46">
        <v>11119344</v>
      </c>
      <c r="E540" s="20" t="s">
        <v>787</v>
      </c>
      <c r="F540" s="20" t="s">
        <v>788</v>
      </c>
      <c r="G540" s="24">
        <v>18</v>
      </c>
      <c r="H540" s="21">
        <v>46263</v>
      </c>
      <c r="I540" s="53" t="s">
        <v>4490</v>
      </c>
      <c r="J540" s="24" t="s">
        <v>4491</v>
      </c>
      <c r="K540" s="24">
        <v>18</v>
      </c>
      <c r="L540" s="46">
        <v>12115979</v>
      </c>
      <c r="M540" s="20" t="s">
        <v>799</v>
      </c>
      <c r="N540" s="38">
        <v>0</v>
      </c>
      <c r="O540" s="38">
        <v>0</v>
      </c>
      <c r="P540" s="20" t="s">
        <v>469</v>
      </c>
      <c r="Q540" s="20">
        <v>0</v>
      </c>
      <c r="R540" s="40">
        <v>46253</v>
      </c>
      <c r="S540" s="20">
        <v>0</v>
      </c>
      <c r="T540" s="20">
        <v>0</v>
      </c>
      <c r="U540" s="40">
        <v>46254</v>
      </c>
      <c r="V540" s="40">
        <v>46254</v>
      </c>
      <c r="W540" s="20" t="s">
        <v>57</v>
      </c>
      <c r="X540" s="21"/>
      <c r="Y540" s="19">
        <f>VLOOKUP(F540,[2]New!$B:$G,3,0)*K540/60</f>
        <v>16.8</v>
      </c>
      <c r="Z540" s="19">
        <f>VLOOKUP(F540,[2]New!$B:$G,4,0)*K540/60</f>
        <v>70.2</v>
      </c>
      <c r="AA540" s="19">
        <f>VLOOKUP(F540,[2]New!$B:$G,6,0)*K540/60</f>
        <v>86.759999999999991</v>
      </c>
      <c r="AB540" s="44">
        <f>VLOOKUP(A540,'[4]PO CAG'!$A:$L,12,0)</f>
        <v>46269</v>
      </c>
      <c r="AC540" s="22">
        <f>IFERROR(VLOOKUP(F540,[3]Sheet1!$E:$H,4,0),)</f>
        <v>0</v>
      </c>
      <c r="AD540" s="144"/>
      <c r="AE540" s="25" t="e">
        <v>#N/A</v>
      </c>
      <c r="AF540" s="135" t="s">
        <v>112</v>
      </c>
      <c r="AG540" s="135"/>
      <c r="AH540" s="135"/>
      <c r="AI540" s="135"/>
      <c r="AJ540" s="267" t="s">
        <v>153</v>
      </c>
      <c r="AN540" s="278">
        <v>2</v>
      </c>
      <c r="AO540" s="278">
        <v>2</v>
      </c>
      <c r="AP540" s="278">
        <v>2</v>
      </c>
      <c r="AQ540" s="278">
        <v>2</v>
      </c>
    </row>
    <row r="541" spans="1:43">
      <c r="A541" s="135" t="s">
        <v>4492</v>
      </c>
      <c r="B541" s="135" t="s">
        <v>4619</v>
      </c>
      <c r="C541" s="135" t="s">
        <v>4493</v>
      </c>
      <c r="D541" s="46">
        <v>11119414</v>
      </c>
      <c r="E541" s="20" t="s">
        <v>4494</v>
      </c>
      <c r="F541" s="20" t="s">
        <v>4495</v>
      </c>
      <c r="G541" s="24">
        <v>19</v>
      </c>
      <c r="H541" s="21">
        <v>46263</v>
      </c>
      <c r="I541" s="53" t="s">
        <v>4496</v>
      </c>
      <c r="J541" s="24" t="s">
        <v>4497</v>
      </c>
      <c r="K541" s="24">
        <v>19</v>
      </c>
      <c r="L541" s="46">
        <v>12116049</v>
      </c>
      <c r="M541" s="20" t="s">
        <v>4596</v>
      </c>
      <c r="N541" s="38">
        <v>0</v>
      </c>
      <c r="O541" s="38">
        <v>0</v>
      </c>
      <c r="P541" s="20" t="s">
        <v>469</v>
      </c>
      <c r="Q541" s="20">
        <v>0</v>
      </c>
      <c r="R541" s="40">
        <v>46253</v>
      </c>
      <c r="S541" s="20">
        <v>0</v>
      </c>
      <c r="T541" s="20">
        <v>0</v>
      </c>
      <c r="U541" s="40">
        <v>46254</v>
      </c>
      <c r="V541" s="40">
        <v>46254</v>
      </c>
      <c r="W541" s="20" t="s">
        <v>57</v>
      </c>
      <c r="X541" s="21"/>
      <c r="Y541" s="19">
        <f>VLOOKUP(F541,[2]New!$B:$G,3,0)*K541/60</f>
        <v>17.733333333333334</v>
      </c>
      <c r="Z541" s="19">
        <f>VLOOKUP(F541,[2]New!$B:$G,4,0)*K541/60</f>
        <v>74.099999999999994</v>
      </c>
      <c r="AA541" s="19">
        <f>VLOOKUP(F541,[2]New!$B:$G,6,0)*K541/60</f>
        <v>91.58</v>
      </c>
      <c r="AB541" s="44">
        <f>VLOOKUP(A541,'[4]PO CAG'!$A:$L,12,0)</f>
        <v>46269</v>
      </c>
      <c r="AC541" s="22">
        <f>IFERROR(VLOOKUP(F541,[3]Sheet1!$E:$H,4,0),)</f>
        <v>0</v>
      </c>
      <c r="AD541" s="144"/>
      <c r="AE541" s="25" t="e">
        <v>#N/A</v>
      </c>
      <c r="AF541" s="135" t="s">
        <v>112</v>
      </c>
      <c r="AG541" s="135"/>
      <c r="AH541" s="135"/>
      <c r="AI541" s="135"/>
      <c r="AJ541" s="267" t="s">
        <v>153</v>
      </c>
      <c r="AN541" s="278">
        <v>2</v>
      </c>
      <c r="AO541" s="278">
        <v>2</v>
      </c>
      <c r="AP541" s="278">
        <v>2</v>
      </c>
      <c r="AQ541" s="278">
        <v>2</v>
      </c>
    </row>
    <row r="542" spans="1:43">
      <c r="A542" s="135" t="s">
        <v>4498</v>
      </c>
      <c r="B542" s="135" t="s">
        <v>4620</v>
      </c>
      <c r="C542" s="135" t="s">
        <v>4499</v>
      </c>
      <c r="D542" s="46">
        <v>11119493</v>
      </c>
      <c r="E542" s="20" t="s">
        <v>4500</v>
      </c>
      <c r="F542" s="20" t="s">
        <v>4501</v>
      </c>
      <c r="G542" s="24">
        <v>21</v>
      </c>
      <c r="H542" s="21">
        <v>46263</v>
      </c>
      <c r="I542" s="53" t="s">
        <v>4502</v>
      </c>
      <c r="J542" s="24" t="s">
        <v>4503</v>
      </c>
      <c r="K542" s="24">
        <v>21</v>
      </c>
      <c r="L542" s="46">
        <v>12116128</v>
      </c>
      <c r="M542" s="20" t="s">
        <v>4597</v>
      </c>
      <c r="N542" s="38">
        <v>0</v>
      </c>
      <c r="O542" s="38">
        <v>0</v>
      </c>
      <c r="P542" s="20" t="s">
        <v>469</v>
      </c>
      <c r="Q542" s="20">
        <v>0</v>
      </c>
      <c r="R542" s="40">
        <v>46253</v>
      </c>
      <c r="S542" s="20">
        <v>0</v>
      </c>
      <c r="T542" s="20">
        <v>0</v>
      </c>
      <c r="U542" s="40">
        <v>46254</v>
      </c>
      <c r="V542" s="40">
        <v>46254</v>
      </c>
      <c r="W542" s="20" t="s">
        <v>57</v>
      </c>
      <c r="X542" s="21"/>
      <c r="Y542" s="19">
        <f>VLOOKUP(F542,[2]New!$B:$G,3,0)*K542/60</f>
        <v>19.600000000000001</v>
      </c>
      <c r="Z542" s="19">
        <f>VLOOKUP(F542,[2]New!$B:$G,4,0)*K542/60</f>
        <v>81.900000000000006</v>
      </c>
      <c r="AA542" s="19">
        <f>VLOOKUP(F542,[2]New!$B:$G,6,0)*K542/60</f>
        <v>101.22</v>
      </c>
      <c r="AB542" s="44">
        <f>VLOOKUP(A542,'[4]PO CAG'!$A:$L,12,0)</f>
        <v>46269</v>
      </c>
      <c r="AC542" s="22">
        <f>IFERROR(VLOOKUP(F542,[3]Sheet1!$E:$H,4,0),)</f>
        <v>0</v>
      </c>
      <c r="AD542" s="144"/>
      <c r="AE542" s="25" t="e">
        <v>#N/A</v>
      </c>
      <c r="AF542" s="135" t="s">
        <v>112</v>
      </c>
      <c r="AG542" s="135"/>
      <c r="AH542" s="135"/>
      <c r="AI542" s="135"/>
      <c r="AJ542" s="267" t="s">
        <v>153</v>
      </c>
      <c r="AN542" s="278">
        <v>2</v>
      </c>
      <c r="AO542" s="278">
        <v>2</v>
      </c>
      <c r="AP542" s="278">
        <v>2</v>
      </c>
      <c r="AQ542" s="278">
        <v>2</v>
      </c>
    </row>
    <row r="543" spans="1:43">
      <c r="A543" s="135" t="s">
        <v>4504</v>
      </c>
      <c r="B543" s="135" t="s">
        <v>4621</v>
      </c>
      <c r="C543" s="135" t="s">
        <v>4505</v>
      </c>
      <c r="D543" s="46">
        <v>11119379</v>
      </c>
      <c r="E543" s="20" t="s">
        <v>4506</v>
      </c>
      <c r="F543" s="20" t="s">
        <v>4507</v>
      </c>
      <c r="G543" s="24">
        <v>42</v>
      </c>
      <c r="H543" s="21">
        <v>46263</v>
      </c>
      <c r="I543" s="53" t="s">
        <v>4508</v>
      </c>
      <c r="J543" s="24" t="s">
        <v>4509</v>
      </c>
      <c r="K543" s="24">
        <v>42</v>
      </c>
      <c r="L543" s="46">
        <v>12116014</v>
      </c>
      <c r="M543" s="20" t="s">
        <v>4598</v>
      </c>
      <c r="N543" s="38">
        <v>0</v>
      </c>
      <c r="O543" s="38">
        <v>0</v>
      </c>
      <c r="P543" s="20" t="s">
        <v>469</v>
      </c>
      <c r="Q543" s="20">
        <v>0</v>
      </c>
      <c r="R543" s="40">
        <v>46253</v>
      </c>
      <c r="S543" s="20">
        <v>0</v>
      </c>
      <c r="T543" s="20">
        <v>0</v>
      </c>
      <c r="U543" s="40">
        <v>46254</v>
      </c>
      <c r="V543" s="40">
        <v>46254</v>
      </c>
      <c r="W543" s="20" t="s">
        <v>57</v>
      </c>
      <c r="X543" s="21"/>
      <c r="Y543" s="19">
        <f>VLOOKUP(F543,[2]New!$B:$G,3,0)*K543/60</f>
        <v>39.200000000000003</v>
      </c>
      <c r="Z543" s="19">
        <f>VLOOKUP(F543,[2]New!$B:$G,4,0)*K543/60</f>
        <v>163.80000000000001</v>
      </c>
      <c r="AA543" s="19">
        <f>VLOOKUP(F543,[2]New!$B:$G,6,0)*K543/60</f>
        <v>202.44</v>
      </c>
      <c r="AB543" s="44">
        <f>VLOOKUP(A543,'[4]PO CAG'!$A:$L,12,0)</f>
        <v>46269</v>
      </c>
      <c r="AC543" s="22">
        <f>IFERROR(VLOOKUP(F543,[3]Sheet1!$E:$H,4,0),)</f>
        <v>0</v>
      </c>
      <c r="AD543" s="144"/>
      <c r="AE543" s="25" t="e">
        <v>#N/A</v>
      </c>
      <c r="AF543" s="135" t="s">
        <v>112</v>
      </c>
      <c r="AG543" s="135"/>
      <c r="AH543" s="135"/>
      <c r="AI543" s="135"/>
      <c r="AJ543" s="267" t="s">
        <v>153</v>
      </c>
      <c r="AN543" s="278">
        <v>2</v>
      </c>
      <c r="AO543" s="278">
        <v>2</v>
      </c>
      <c r="AP543" s="278">
        <v>2</v>
      </c>
      <c r="AQ543" s="278">
        <v>2</v>
      </c>
    </row>
    <row r="544" spans="1:43">
      <c r="A544" s="135" t="s">
        <v>4510</v>
      </c>
      <c r="B544" s="135" t="s">
        <v>4622</v>
      </c>
      <c r="C544" s="135" t="s">
        <v>4511</v>
      </c>
      <c r="D544" s="46">
        <v>11119576</v>
      </c>
      <c r="E544" s="20" t="s">
        <v>4512</v>
      </c>
      <c r="F544" s="20" t="s">
        <v>4513</v>
      </c>
      <c r="G544" s="24">
        <v>56</v>
      </c>
      <c r="H544" s="21">
        <v>46263</v>
      </c>
      <c r="I544" s="53" t="s">
        <v>4514</v>
      </c>
      <c r="J544" s="24" t="s">
        <v>4515</v>
      </c>
      <c r="K544" s="24">
        <v>56</v>
      </c>
      <c r="L544" s="46">
        <v>12116211</v>
      </c>
      <c r="M544" s="20" t="s">
        <v>4599</v>
      </c>
      <c r="N544" s="38">
        <v>0</v>
      </c>
      <c r="O544" s="38">
        <v>0</v>
      </c>
      <c r="P544" s="20" t="s">
        <v>469</v>
      </c>
      <c r="Q544" s="20">
        <v>0</v>
      </c>
      <c r="R544" s="40">
        <v>46253</v>
      </c>
      <c r="S544" s="20">
        <v>0</v>
      </c>
      <c r="T544" s="20">
        <v>0</v>
      </c>
      <c r="U544" s="40">
        <v>46254</v>
      </c>
      <c r="V544" s="40">
        <v>46254</v>
      </c>
      <c r="W544" s="20" t="s">
        <v>57</v>
      </c>
      <c r="X544" s="21"/>
      <c r="Y544" s="19">
        <f>VLOOKUP(F544,[2]New!$B:$G,3,0)*K544/60</f>
        <v>52.266666666666666</v>
      </c>
      <c r="Z544" s="19">
        <f>VLOOKUP(F544,[2]New!$B:$G,4,0)*K544/60</f>
        <v>218.4</v>
      </c>
      <c r="AA544" s="19">
        <f>VLOOKUP(F544,[2]New!$B:$G,6,0)*K544/60</f>
        <v>269.91999999999996</v>
      </c>
      <c r="AB544" s="44">
        <f>VLOOKUP(A544,'[4]PO CAG'!$A:$L,12,0)</f>
        <v>46269</v>
      </c>
      <c r="AC544" s="22">
        <f>IFERROR(VLOOKUP(F544,[3]Sheet1!$E:$H,4,0),)</f>
        <v>0</v>
      </c>
      <c r="AD544" s="144"/>
      <c r="AE544" s="25" t="e">
        <v>#N/A</v>
      </c>
      <c r="AF544" s="135" t="s">
        <v>112</v>
      </c>
      <c r="AG544" s="135"/>
      <c r="AH544" s="135"/>
      <c r="AI544" s="135"/>
      <c r="AJ544" s="267" t="s">
        <v>153</v>
      </c>
      <c r="AN544" s="278">
        <v>2</v>
      </c>
      <c r="AO544" s="278">
        <v>2</v>
      </c>
      <c r="AP544" s="278">
        <v>2</v>
      </c>
      <c r="AQ544" s="278">
        <v>2</v>
      </c>
    </row>
    <row r="545" spans="1:43">
      <c r="A545" s="135" t="s">
        <v>4516</v>
      </c>
      <c r="B545" s="135" t="s">
        <v>4623</v>
      </c>
      <c r="C545" s="135" t="s">
        <v>4517</v>
      </c>
      <c r="D545" s="46">
        <v>11119442</v>
      </c>
      <c r="E545" s="20" t="s">
        <v>4518</v>
      </c>
      <c r="F545" s="20" t="s">
        <v>4519</v>
      </c>
      <c r="G545" s="24">
        <v>72</v>
      </c>
      <c r="H545" s="21">
        <v>46263</v>
      </c>
      <c r="I545" s="53" t="s">
        <v>4520</v>
      </c>
      <c r="J545" s="24" t="s">
        <v>4521</v>
      </c>
      <c r="K545" s="24">
        <v>72</v>
      </c>
      <c r="L545" s="46">
        <v>12116077</v>
      </c>
      <c r="M545" s="20" t="s">
        <v>4600</v>
      </c>
      <c r="N545" s="38">
        <v>0</v>
      </c>
      <c r="O545" s="38">
        <v>0</v>
      </c>
      <c r="P545" s="20" t="s">
        <v>469</v>
      </c>
      <c r="Q545" s="20">
        <v>0</v>
      </c>
      <c r="R545" s="40">
        <v>46253</v>
      </c>
      <c r="S545" s="20">
        <v>0</v>
      </c>
      <c r="T545" s="20">
        <v>0</v>
      </c>
      <c r="U545" s="40">
        <v>46254</v>
      </c>
      <c r="V545" s="40">
        <v>46254</v>
      </c>
      <c r="W545" s="20" t="s">
        <v>57</v>
      </c>
      <c r="X545" s="21"/>
      <c r="Y545" s="19">
        <f>VLOOKUP(F545,[2]New!$B:$G,3,0)*K545/60</f>
        <v>67.2</v>
      </c>
      <c r="Z545" s="19">
        <f>VLOOKUP(F545,[2]New!$B:$G,4,0)*K545/60</f>
        <v>280.8</v>
      </c>
      <c r="AA545" s="19">
        <f>VLOOKUP(F545,[2]New!$B:$G,6,0)*K545/60</f>
        <v>347.03999999999996</v>
      </c>
      <c r="AB545" s="44">
        <f>VLOOKUP(A545,'[4]PO CAG'!$A:$L,12,0)</f>
        <v>46269</v>
      </c>
      <c r="AC545" s="22">
        <f>IFERROR(VLOOKUP(F545,[3]Sheet1!$E:$H,4,0),)</f>
        <v>0</v>
      </c>
      <c r="AD545" s="144"/>
      <c r="AE545" s="25" t="e">
        <v>#N/A</v>
      </c>
      <c r="AF545" s="135" t="s">
        <v>112</v>
      </c>
      <c r="AG545" s="135"/>
      <c r="AH545" s="135"/>
      <c r="AI545" s="135"/>
      <c r="AJ545" s="267" t="s">
        <v>153</v>
      </c>
      <c r="AN545" s="278">
        <v>2</v>
      </c>
      <c r="AO545" s="278">
        <v>2</v>
      </c>
      <c r="AP545" s="278">
        <v>2</v>
      </c>
      <c r="AQ545" s="278">
        <v>2</v>
      </c>
    </row>
    <row r="546" spans="1:43">
      <c r="A546" s="135" t="s">
        <v>4522</v>
      </c>
      <c r="B546" s="135" t="s">
        <v>4624</v>
      </c>
      <c r="C546" s="135" t="s">
        <v>4523</v>
      </c>
      <c r="D546" s="46">
        <v>11119389</v>
      </c>
      <c r="E546" s="20" t="s">
        <v>4524</v>
      </c>
      <c r="F546" s="20" t="s">
        <v>4525</v>
      </c>
      <c r="G546" s="24">
        <v>88</v>
      </c>
      <c r="H546" s="21">
        <v>46263</v>
      </c>
      <c r="I546" s="53" t="s">
        <v>4526</v>
      </c>
      <c r="J546" s="24" t="s">
        <v>4527</v>
      </c>
      <c r="K546" s="24">
        <v>88</v>
      </c>
      <c r="L546" s="46">
        <v>12116024</v>
      </c>
      <c r="M546" s="20" t="s">
        <v>4601</v>
      </c>
      <c r="N546" s="38">
        <v>0</v>
      </c>
      <c r="O546" s="38">
        <v>0</v>
      </c>
      <c r="P546" s="20" t="s">
        <v>469</v>
      </c>
      <c r="Q546" s="20">
        <v>0</v>
      </c>
      <c r="R546" s="40">
        <v>46253</v>
      </c>
      <c r="S546" s="20">
        <v>0</v>
      </c>
      <c r="T546" s="20">
        <v>0</v>
      </c>
      <c r="U546" s="40">
        <v>46254</v>
      </c>
      <c r="V546" s="40">
        <v>46254</v>
      </c>
      <c r="W546" s="20" t="s">
        <v>57</v>
      </c>
      <c r="X546" s="21"/>
      <c r="Y546" s="19">
        <f>VLOOKUP(F546,[2]New!$B:$G,3,0)*K546/60</f>
        <v>82.13333333333334</v>
      </c>
      <c r="Z546" s="19">
        <f>VLOOKUP(F546,[2]New!$B:$G,4,0)*K546/60</f>
        <v>343.2</v>
      </c>
      <c r="AA546" s="19">
        <f>VLOOKUP(F546,[2]New!$B:$G,6,0)*K546/60</f>
        <v>424.15999999999997</v>
      </c>
      <c r="AB546" s="44">
        <f>VLOOKUP(A546,'[4]PO CAG'!$A:$L,12,0)</f>
        <v>46269</v>
      </c>
      <c r="AC546" s="22">
        <f>IFERROR(VLOOKUP(F546,[3]Sheet1!$E:$H,4,0),)</f>
        <v>0</v>
      </c>
      <c r="AD546" s="144"/>
      <c r="AE546" s="25" t="e">
        <v>#N/A</v>
      </c>
      <c r="AF546" s="135" t="s">
        <v>112</v>
      </c>
      <c r="AG546" s="135"/>
      <c r="AH546" s="135"/>
      <c r="AI546" s="135"/>
      <c r="AJ546" s="267" t="s">
        <v>153</v>
      </c>
      <c r="AN546" s="278">
        <v>2</v>
      </c>
      <c r="AO546" s="278">
        <v>2</v>
      </c>
      <c r="AP546" s="278">
        <v>2</v>
      </c>
      <c r="AQ546" s="278">
        <v>2</v>
      </c>
    </row>
    <row r="547" spans="1:43">
      <c r="A547" s="135" t="s">
        <v>4528</v>
      </c>
      <c r="B547" s="135" t="s">
        <v>4625</v>
      </c>
      <c r="C547" s="135" t="s">
        <v>4529</v>
      </c>
      <c r="D547" s="46">
        <v>11119339</v>
      </c>
      <c r="E547" s="20" t="s">
        <v>590</v>
      </c>
      <c r="F547" s="20" t="s">
        <v>591</v>
      </c>
      <c r="G547" s="24">
        <v>121</v>
      </c>
      <c r="H547" s="21">
        <v>46263</v>
      </c>
      <c r="I547" s="53" t="s">
        <v>4530</v>
      </c>
      <c r="J547" s="24" t="s">
        <v>4531</v>
      </c>
      <c r="K547" s="24">
        <v>121</v>
      </c>
      <c r="L547" s="46">
        <v>12115974</v>
      </c>
      <c r="M547" s="20" t="s">
        <v>616</v>
      </c>
      <c r="N547" s="38">
        <v>0</v>
      </c>
      <c r="O547" s="38">
        <v>0</v>
      </c>
      <c r="P547" s="20" t="s">
        <v>469</v>
      </c>
      <c r="Q547" s="20">
        <v>0</v>
      </c>
      <c r="R547" s="40">
        <v>46253</v>
      </c>
      <c r="S547" s="20">
        <v>0</v>
      </c>
      <c r="T547" s="20">
        <v>0</v>
      </c>
      <c r="U547" s="40">
        <v>46254</v>
      </c>
      <c r="V547" s="40">
        <v>46254</v>
      </c>
      <c r="W547" s="20" t="s">
        <v>57</v>
      </c>
      <c r="X547" s="21"/>
      <c r="Y547" s="19">
        <f>VLOOKUP(F547,[2]New!$B:$G,3,0)*K547/60</f>
        <v>112.93333333333334</v>
      </c>
      <c r="Z547" s="19">
        <f>VLOOKUP(F547,[2]New!$B:$G,4,0)*K547/60</f>
        <v>471.9</v>
      </c>
      <c r="AA547" s="19">
        <f>VLOOKUP(F547,[2]New!$B:$G,6,0)*K547/60</f>
        <v>583.21999999999991</v>
      </c>
      <c r="AB547" s="44">
        <f>VLOOKUP(A547,'[4]PO CAG'!$A:$L,12,0)</f>
        <v>46269</v>
      </c>
      <c r="AC547" s="22">
        <f>IFERROR(VLOOKUP(F547,[3]Sheet1!$E:$H,4,0),)</f>
        <v>0</v>
      </c>
      <c r="AD547" s="144"/>
      <c r="AE547" s="25" t="e">
        <v>#N/A</v>
      </c>
      <c r="AF547" s="135" t="s">
        <v>112</v>
      </c>
      <c r="AG547" s="135"/>
      <c r="AH547" s="135"/>
      <c r="AI547" s="135"/>
      <c r="AJ547" s="267" t="s">
        <v>153</v>
      </c>
      <c r="AN547" s="278">
        <v>2</v>
      </c>
      <c r="AO547" s="278">
        <v>2</v>
      </c>
      <c r="AP547" s="278">
        <v>2</v>
      </c>
      <c r="AQ547" s="278">
        <v>2</v>
      </c>
    </row>
    <row r="548" spans="1:43">
      <c r="A548" s="135" t="s">
        <v>4532</v>
      </c>
      <c r="B548" s="135" t="s">
        <v>4626</v>
      </c>
      <c r="C548" s="135" t="s">
        <v>4533</v>
      </c>
      <c r="D548" s="46">
        <v>11119539</v>
      </c>
      <c r="E548" s="20" t="s">
        <v>4534</v>
      </c>
      <c r="F548" s="20" t="s">
        <v>4535</v>
      </c>
      <c r="G548" s="24">
        <v>128</v>
      </c>
      <c r="H548" s="21">
        <v>46263</v>
      </c>
      <c r="I548" s="53" t="s">
        <v>4536</v>
      </c>
      <c r="J548" s="24" t="s">
        <v>4537</v>
      </c>
      <c r="K548" s="24">
        <v>128</v>
      </c>
      <c r="L548" s="46">
        <v>12116174</v>
      </c>
      <c r="M548" s="20" t="s">
        <v>3666</v>
      </c>
      <c r="N548" s="38">
        <v>0</v>
      </c>
      <c r="O548" s="38">
        <v>0</v>
      </c>
      <c r="P548" s="20" t="s">
        <v>469</v>
      </c>
      <c r="Q548" s="20">
        <v>0</v>
      </c>
      <c r="R548" s="40">
        <v>46253</v>
      </c>
      <c r="S548" s="20">
        <v>0</v>
      </c>
      <c r="T548" s="20">
        <v>0</v>
      </c>
      <c r="U548" s="40">
        <v>46254</v>
      </c>
      <c r="V548" s="40">
        <v>46254</v>
      </c>
      <c r="W548" s="20" t="s">
        <v>57</v>
      </c>
      <c r="X548" s="21"/>
      <c r="Y548" s="19">
        <f>VLOOKUP(F548,[2]New!$B:$G,3,0)*K548/60</f>
        <v>119.46666666666667</v>
      </c>
      <c r="Z548" s="19">
        <f>VLOOKUP(F548,[2]New!$B:$G,4,0)*K548/60</f>
        <v>499.2</v>
      </c>
      <c r="AA548" s="19">
        <f>VLOOKUP(F548,[2]New!$B:$G,6,0)*K548/60</f>
        <v>616.95999999999992</v>
      </c>
      <c r="AB548" s="44">
        <f>VLOOKUP(A548,'[4]PO CAG'!$A:$L,12,0)</f>
        <v>46269</v>
      </c>
      <c r="AC548" s="22">
        <f>IFERROR(VLOOKUP(F548,[3]Sheet1!$E:$H,4,0),)</f>
        <v>0</v>
      </c>
      <c r="AD548" s="144"/>
      <c r="AE548" s="25" t="e">
        <v>#N/A</v>
      </c>
      <c r="AF548" s="135" t="s">
        <v>112</v>
      </c>
      <c r="AG548" s="135"/>
      <c r="AH548" s="135"/>
      <c r="AI548" s="135"/>
      <c r="AJ548" s="267" t="s">
        <v>153</v>
      </c>
      <c r="AN548" s="278">
        <v>2</v>
      </c>
      <c r="AO548" s="278">
        <v>2</v>
      </c>
      <c r="AP548" s="278">
        <v>2</v>
      </c>
      <c r="AQ548" s="278">
        <v>2</v>
      </c>
    </row>
    <row r="549" spans="1:43">
      <c r="A549" s="135" t="s">
        <v>4538</v>
      </c>
      <c r="B549" s="135" t="s">
        <v>4627</v>
      </c>
      <c r="C549" s="135" t="s">
        <v>4539</v>
      </c>
      <c r="D549" s="46">
        <v>11135427</v>
      </c>
      <c r="E549" s="20" t="s">
        <v>4540</v>
      </c>
      <c r="F549" s="20" t="s">
        <v>4541</v>
      </c>
      <c r="G549" s="24">
        <v>1</v>
      </c>
      <c r="H549" s="21">
        <v>46263</v>
      </c>
      <c r="I549" s="53" t="s">
        <v>4542</v>
      </c>
      <c r="J549" s="24" t="s">
        <v>4543</v>
      </c>
      <c r="K549" s="24">
        <v>1</v>
      </c>
      <c r="L549" s="46">
        <v>12116049</v>
      </c>
      <c r="M549" s="20" t="s">
        <v>4596</v>
      </c>
      <c r="N549" s="38">
        <v>0</v>
      </c>
      <c r="O549" s="38">
        <v>0</v>
      </c>
      <c r="P549" s="20" t="s">
        <v>3227</v>
      </c>
      <c r="Q549" s="20">
        <v>0</v>
      </c>
      <c r="R549" s="40">
        <v>46253</v>
      </c>
      <c r="S549" s="20">
        <v>0</v>
      </c>
      <c r="T549" s="20">
        <v>0</v>
      </c>
      <c r="U549" s="40">
        <v>46254</v>
      </c>
      <c r="V549" s="40">
        <v>46254</v>
      </c>
      <c r="W549" s="20" t="s">
        <v>57</v>
      </c>
      <c r="X549" s="21"/>
      <c r="Y549" s="19">
        <f>VLOOKUP(F549,[2]New!$B:$G,3,0)*K549/60</f>
        <v>0.36666666666666664</v>
      </c>
      <c r="Z549" s="19">
        <f>VLOOKUP(F549,[2]New!$B:$G,4,0)*K549/60</f>
        <v>1.9650000000000001</v>
      </c>
      <c r="AA549" s="19">
        <f>VLOOKUP(F549,[2]New!$B:$G,6,0)*K549/60</f>
        <v>1.9166666666666667</v>
      </c>
      <c r="AB549" s="44">
        <f>VLOOKUP(A549,'[4]PO CAG'!$A:$L,12,0)</f>
        <v>46269</v>
      </c>
      <c r="AC549" s="22">
        <f>IFERROR(VLOOKUP(F549,[3]Sheet1!$E:$H,4,0),)</f>
        <v>0</v>
      </c>
      <c r="AD549" s="144"/>
      <c r="AE549" s="25" t="e">
        <v>#N/A</v>
      </c>
      <c r="AF549" s="135" t="s">
        <v>112</v>
      </c>
      <c r="AG549" s="135"/>
      <c r="AH549" s="135"/>
      <c r="AI549" s="135"/>
      <c r="AJ549" s="267" t="s">
        <v>153</v>
      </c>
      <c r="AN549" s="278">
        <v>2</v>
      </c>
      <c r="AO549" s="278">
        <v>2</v>
      </c>
      <c r="AP549" s="278">
        <v>2</v>
      </c>
      <c r="AQ549" s="278">
        <v>2</v>
      </c>
    </row>
    <row r="550" spans="1:43">
      <c r="A550" s="135" t="s">
        <v>4544</v>
      </c>
      <c r="B550" s="135" t="s">
        <v>4628</v>
      </c>
      <c r="C550" s="135" t="s">
        <v>4545</v>
      </c>
      <c r="D550" s="46">
        <v>11135463</v>
      </c>
      <c r="E550" s="20" t="s">
        <v>4546</v>
      </c>
      <c r="F550" s="20" t="s">
        <v>4547</v>
      </c>
      <c r="G550" s="24">
        <v>1</v>
      </c>
      <c r="H550" s="21">
        <v>46263</v>
      </c>
      <c r="I550" s="53" t="s">
        <v>4548</v>
      </c>
      <c r="J550" s="24" t="s">
        <v>4549</v>
      </c>
      <c r="K550" s="24">
        <v>1</v>
      </c>
      <c r="L550" s="46">
        <v>12115995</v>
      </c>
      <c r="M550" s="20" t="s">
        <v>4602</v>
      </c>
      <c r="N550" s="38">
        <v>0</v>
      </c>
      <c r="O550" s="38">
        <v>0</v>
      </c>
      <c r="P550" s="20" t="s">
        <v>3227</v>
      </c>
      <c r="Q550" s="20">
        <v>0</v>
      </c>
      <c r="R550" s="40">
        <v>46253</v>
      </c>
      <c r="S550" s="20">
        <v>0</v>
      </c>
      <c r="T550" s="20">
        <v>0</v>
      </c>
      <c r="U550" s="40">
        <v>46254</v>
      </c>
      <c r="V550" s="40">
        <v>46254</v>
      </c>
      <c r="W550" s="20" t="s">
        <v>57</v>
      </c>
      <c r="X550" s="21"/>
      <c r="Y550" s="19" t="e">
        <f>VLOOKUP(F550,[2]New!$B:$G,3,0)*K550/60</f>
        <v>#N/A</v>
      </c>
      <c r="Z550" s="19" t="e">
        <f>VLOOKUP(F550,[2]New!$B:$G,4,0)*K550/60</f>
        <v>#N/A</v>
      </c>
      <c r="AA550" s="19" t="e">
        <f>VLOOKUP(F550,[2]New!$B:$G,6,0)*K550/60</f>
        <v>#N/A</v>
      </c>
      <c r="AB550" s="44">
        <f>VLOOKUP(A550,'[4]PO CAG'!$A:$L,12,0)</f>
        <v>46269</v>
      </c>
      <c r="AC550" s="22">
        <f>IFERROR(VLOOKUP(F550,[3]Sheet1!$E:$H,4,0),)</f>
        <v>0</v>
      </c>
      <c r="AD550" s="144"/>
      <c r="AE550" s="25" t="e">
        <v>#N/A</v>
      </c>
      <c r="AF550" s="135" t="s">
        <v>112</v>
      </c>
      <c r="AG550" s="135"/>
      <c r="AH550" s="135"/>
      <c r="AI550" s="135"/>
      <c r="AJ550" s="267" t="s">
        <v>153</v>
      </c>
      <c r="AN550" s="278">
        <v>2</v>
      </c>
      <c r="AO550" s="278">
        <v>2</v>
      </c>
      <c r="AP550" s="278">
        <v>2</v>
      </c>
      <c r="AQ550" s="278">
        <v>2</v>
      </c>
    </row>
    <row r="551" spans="1:43">
      <c r="A551" s="135" t="s">
        <v>4550</v>
      </c>
      <c r="B551" s="135" t="s">
        <v>4629</v>
      </c>
      <c r="C551" s="135" t="s">
        <v>4551</v>
      </c>
      <c r="D551" s="46">
        <v>11135580</v>
      </c>
      <c r="E551" s="20" t="s">
        <v>4552</v>
      </c>
      <c r="F551" s="20" t="s">
        <v>4553</v>
      </c>
      <c r="G551" s="24">
        <v>2</v>
      </c>
      <c r="H551" s="21">
        <v>46263</v>
      </c>
      <c r="I551" s="53" t="s">
        <v>4554</v>
      </c>
      <c r="J551" s="24" t="s">
        <v>4555</v>
      </c>
      <c r="K551" s="24">
        <v>2</v>
      </c>
      <c r="L551" s="46">
        <v>12124613</v>
      </c>
      <c r="M551" s="20" t="s">
        <v>4603</v>
      </c>
      <c r="N551" s="38">
        <v>0</v>
      </c>
      <c r="O551" s="38">
        <v>0</v>
      </c>
      <c r="P551" s="20" t="s">
        <v>3227</v>
      </c>
      <c r="Q551" s="20">
        <v>0</v>
      </c>
      <c r="R551" s="40">
        <v>46253</v>
      </c>
      <c r="S551" s="20">
        <v>0</v>
      </c>
      <c r="T551" s="20">
        <v>0</v>
      </c>
      <c r="U551" s="40">
        <v>46254</v>
      </c>
      <c r="V551" s="40">
        <v>46254</v>
      </c>
      <c r="W551" s="20" t="s">
        <v>57</v>
      </c>
      <c r="X551" s="21"/>
      <c r="Y551" s="19">
        <f>VLOOKUP(F551,[2]New!$B:$G,3,0)*K551/60</f>
        <v>2.8766666666666665</v>
      </c>
      <c r="Z551" s="19">
        <f>VLOOKUP(F551,[2]New!$B:$G,4,0)*K551/60</f>
        <v>3.2666666666666666</v>
      </c>
      <c r="AA551" s="19">
        <f>VLOOKUP(F551,[2]New!$B:$G,6,0)*K551/60</f>
        <v>6.5</v>
      </c>
      <c r="AB551" s="44">
        <f>VLOOKUP(A551,'[4]PO CAG'!$A:$L,12,0)</f>
        <v>46269</v>
      </c>
      <c r="AC551" s="22">
        <f>IFERROR(VLOOKUP(F551,[3]Sheet1!$E:$H,4,0),)</f>
        <v>0</v>
      </c>
      <c r="AD551" s="144"/>
      <c r="AE551" s="25" t="e">
        <v>#N/A</v>
      </c>
      <c r="AF551" s="135" t="s">
        <v>112</v>
      </c>
      <c r="AG551" s="135"/>
      <c r="AH551" s="135"/>
      <c r="AI551" s="135"/>
      <c r="AJ551" s="267" t="s">
        <v>153</v>
      </c>
      <c r="AN551" s="278">
        <v>2</v>
      </c>
      <c r="AO551" s="278">
        <v>2</v>
      </c>
      <c r="AP551" s="278">
        <v>2</v>
      </c>
      <c r="AQ551" s="278">
        <v>2</v>
      </c>
    </row>
    <row r="552" spans="1:43">
      <c r="A552" s="135" t="s">
        <v>4556</v>
      </c>
      <c r="B552" s="135" t="s">
        <v>4630</v>
      </c>
      <c r="C552" s="135" t="s">
        <v>4557</v>
      </c>
      <c r="D552" s="46">
        <v>11135573</v>
      </c>
      <c r="E552" s="20" t="s">
        <v>4558</v>
      </c>
      <c r="F552" s="20" t="s">
        <v>4559</v>
      </c>
      <c r="G552" s="24">
        <v>3</v>
      </c>
      <c r="H552" s="21">
        <v>46263</v>
      </c>
      <c r="I552" s="53" t="s">
        <v>4560</v>
      </c>
      <c r="J552" s="24" t="s">
        <v>4561</v>
      </c>
      <c r="K552" s="24">
        <v>3</v>
      </c>
      <c r="L552" s="46">
        <v>12116089</v>
      </c>
      <c r="M552" s="20" t="s">
        <v>1175</v>
      </c>
      <c r="N552" s="38">
        <v>0</v>
      </c>
      <c r="O552" s="38">
        <v>0</v>
      </c>
      <c r="P552" s="20" t="s">
        <v>3227</v>
      </c>
      <c r="Q552" s="20">
        <v>0</v>
      </c>
      <c r="R552" s="40">
        <v>46253</v>
      </c>
      <c r="S552" s="20">
        <v>0</v>
      </c>
      <c r="T552" s="20">
        <v>0</v>
      </c>
      <c r="U552" s="40">
        <v>46254</v>
      </c>
      <c r="V552" s="40">
        <v>46254</v>
      </c>
      <c r="W552" s="20" t="s">
        <v>57</v>
      </c>
      <c r="X552" s="21"/>
      <c r="Y552" s="19">
        <f>VLOOKUP(F552,[2]New!$B:$G,3,0)*K552/60</f>
        <v>4.3149999999999995</v>
      </c>
      <c r="Z552" s="19">
        <f>VLOOKUP(F552,[2]New!$B:$G,4,0)*K552/60</f>
        <v>4.9000000000000004</v>
      </c>
      <c r="AA552" s="19">
        <f>VLOOKUP(F552,[2]New!$B:$G,6,0)*K552/60</f>
        <v>9.75</v>
      </c>
      <c r="AB552" s="44">
        <f>VLOOKUP(A552,'[4]PO CAG'!$A:$L,12,0)</f>
        <v>46269</v>
      </c>
      <c r="AC552" s="22">
        <f>IFERROR(VLOOKUP(F552,[3]Sheet1!$E:$H,4,0),)</f>
        <v>0</v>
      </c>
      <c r="AD552" s="144"/>
      <c r="AE552" s="25" t="e">
        <v>#N/A</v>
      </c>
      <c r="AF552" s="135" t="s">
        <v>112</v>
      </c>
      <c r="AG552" s="135"/>
      <c r="AH552" s="135"/>
      <c r="AI552" s="135"/>
      <c r="AJ552" s="267" t="s">
        <v>153</v>
      </c>
      <c r="AN552" s="278">
        <v>2</v>
      </c>
      <c r="AO552" s="278">
        <v>2</v>
      </c>
      <c r="AP552" s="278">
        <v>2</v>
      </c>
      <c r="AQ552" s="278">
        <v>2</v>
      </c>
    </row>
    <row r="553" spans="1:43">
      <c r="A553" s="135" t="s">
        <v>4562</v>
      </c>
      <c r="B553" s="135" t="s">
        <v>4631</v>
      </c>
      <c r="C553" s="135" t="s">
        <v>4563</v>
      </c>
      <c r="D553" s="46">
        <v>11135492</v>
      </c>
      <c r="E553" s="20" t="s">
        <v>4564</v>
      </c>
      <c r="F553" s="20" t="s">
        <v>4565</v>
      </c>
      <c r="G553" s="24">
        <v>3</v>
      </c>
      <c r="H553" s="21">
        <v>46263</v>
      </c>
      <c r="I553" s="53" t="s">
        <v>4566</v>
      </c>
      <c r="J553" s="24" t="s">
        <v>4567</v>
      </c>
      <c r="K553" s="24">
        <v>3</v>
      </c>
      <c r="L553" s="46">
        <v>12116021</v>
      </c>
      <c r="M553" s="20" t="s">
        <v>608</v>
      </c>
      <c r="N553" s="38">
        <v>0</v>
      </c>
      <c r="O553" s="38">
        <v>0</v>
      </c>
      <c r="P553" s="20" t="s">
        <v>3227</v>
      </c>
      <c r="Q553" s="20">
        <v>0</v>
      </c>
      <c r="R553" s="40">
        <v>46253</v>
      </c>
      <c r="S553" s="20">
        <v>0</v>
      </c>
      <c r="T553" s="20">
        <v>0</v>
      </c>
      <c r="U553" s="40">
        <v>46254</v>
      </c>
      <c r="V553" s="40">
        <v>46254</v>
      </c>
      <c r="W553" s="20" t="s">
        <v>57</v>
      </c>
      <c r="X553" s="21"/>
      <c r="Y553" s="19" t="e">
        <f>VLOOKUP(F553,[2]New!$B:$G,3,0)*K553/60</f>
        <v>#N/A</v>
      </c>
      <c r="Z553" s="19" t="e">
        <f>VLOOKUP(F553,[2]New!$B:$G,4,0)*K553/60</f>
        <v>#N/A</v>
      </c>
      <c r="AA553" s="19" t="e">
        <f>VLOOKUP(F553,[2]New!$B:$G,6,0)*K553/60</f>
        <v>#N/A</v>
      </c>
      <c r="AB553" s="44">
        <f>VLOOKUP(A553,'[4]PO CAG'!$A:$L,12,0)</f>
        <v>46269</v>
      </c>
      <c r="AC553" s="22">
        <f>IFERROR(VLOOKUP(F553,[3]Sheet1!$E:$H,4,0),)</f>
        <v>0</v>
      </c>
      <c r="AD553" s="144"/>
      <c r="AE553" s="25" t="e">
        <v>#N/A</v>
      </c>
      <c r="AF553" s="135" t="s">
        <v>112</v>
      </c>
      <c r="AG553" s="135"/>
      <c r="AH553" s="135"/>
      <c r="AI553" s="135"/>
      <c r="AJ553" s="267" t="s">
        <v>153</v>
      </c>
      <c r="AN553" s="278">
        <v>2</v>
      </c>
      <c r="AO553" s="278">
        <v>2</v>
      </c>
      <c r="AP553" s="278">
        <v>2</v>
      </c>
      <c r="AQ553" s="278">
        <v>2</v>
      </c>
    </row>
    <row r="554" spans="1:43">
      <c r="A554" s="135" t="s">
        <v>4568</v>
      </c>
      <c r="B554" s="135" t="s">
        <v>4632</v>
      </c>
      <c r="C554" s="135" t="s">
        <v>4569</v>
      </c>
      <c r="D554" s="46">
        <v>11135468</v>
      </c>
      <c r="E554" s="20" t="s">
        <v>4570</v>
      </c>
      <c r="F554" s="20" t="s">
        <v>4571</v>
      </c>
      <c r="G554" s="24">
        <v>4</v>
      </c>
      <c r="H554" s="21">
        <v>46263</v>
      </c>
      <c r="I554" s="53" t="s">
        <v>4572</v>
      </c>
      <c r="J554" s="24" t="s">
        <v>4573</v>
      </c>
      <c r="K554" s="24">
        <v>4</v>
      </c>
      <c r="L554" s="46">
        <v>12124565</v>
      </c>
      <c r="M554" s="20" t="s">
        <v>4604</v>
      </c>
      <c r="N554" s="38">
        <v>0</v>
      </c>
      <c r="O554" s="38">
        <v>0</v>
      </c>
      <c r="P554" s="20" t="s">
        <v>3227</v>
      </c>
      <c r="Q554" s="20">
        <v>0</v>
      </c>
      <c r="R554" s="40">
        <v>46253</v>
      </c>
      <c r="S554" s="20">
        <v>0</v>
      </c>
      <c r="T554" s="20">
        <v>0</v>
      </c>
      <c r="U554" s="40">
        <v>46254</v>
      </c>
      <c r="V554" s="40">
        <v>46254</v>
      </c>
      <c r="W554" s="20" t="s">
        <v>57</v>
      </c>
      <c r="X554" s="21"/>
      <c r="Y554" s="19">
        <f>VLOOKUP(F554,[2]New!$B:$G,3,0)*K554/60</f>
        <v>1.4666666666666666</v>
      </c>
      <c r="Z554" s="19">
        <f>VLOOKUP(F554,[2]New!$B:$G,4,0)*K554/60</f>
        <v>7.86</v>
      </c>
      <c r="AA554" s="19">
        <f>VLOOKUP(F554,[2]New!$B:$G,6,0)*K554/60</f>
        <v>7.666666666666667</v>
      </c>
      <c r="AB554" s="44">
        <f>VLOOKUP(A554,'[4]PO CAG'!$A:$L,12,0)</f>
        <v>46269</v>
      </c>
      <c r="AC554" s="22">
        <f>IFERROR(VLOOKUP(F554,[3]Sheet1!$E:$H,4,0),)</f>
        <v>0</v>
      </c>
      <c r="AD554" s="144"/>
      <c r="AE554" s="25" t="e">
        <v>#N/A</v>
      </c>
      <c r="AF554" s="135" t="s">
        <v>112</v>
      </c>
      <c r="AG554" s="135"/>
      <c r="AH554" s="135"/>
      <c r="AI554" s="135"/>
      <c r="AJ554" s="267" t="s">
        <v>153</v>
      </c>
      <c r="AN554" s="278">
        <v>2</v>
      </c>
      <c r="AO554" s="278">
        <v>2</v>
      </c>
      <c r="AP554" s="278">
        <v>2</v>
      </c>
      <c r="AQ554" s="278">
        <v>2</v>
      </c>
    </row>
    <row r="555" spans="1:43">
      <c r="A555" s="135" t="s">
        <v>4574</v>
      </c>
      <c r="B555" s="135" t="s">
        <v>4633</v>
      </c>
      <c r="C555" s="135" t="s">
        <v>4575</v>
      </c>
      <c r="D555" s="46">
        <v>11135448</v>
      </c>
      <c r="E555" s="20" t="s">
        <v>4576</v>
      </c>
      <c r="F555" s="20" t="s">
        <v>4577</v>
      </c>
      <c r="G555" s="24">
        <v>4</v>
      </c>
      <c r="H555" s="21">
        <v>46263</v>
      </c>
      <c r="I555" s="53" t="s">
        <v>4578</v>
      </c>
      <c r="J555" s="24" t="s">
        <v>4579</v>
      </c>
      <c r="K555" s="24">
        <v>4</v>
      </c>
      <c r="L555" s="46">
        <v>12115983</v>
      </c>
      <c r="M555" s="20" t="s">
        <v>4605</v>
      </c>
      <c r="N555" s="38">
        <v>0</v>
      </c>
      <c r="O555" s="38">
        <v>0</v>
      </c>
      <c r="P555" s="20" t="s">
        <v>3227</v>
      </c>
      <c r="Q555" s="20">
        <v>0</v>
      </c>
      <c r="R555" s="40">
        <v>46253</v>
      </c>
      <c r="S555" s="20">
        <v>0</v>
      </c>
      <c r="T555" s="20">
        <v>0</v>
      </c>
      <c r="U555" s="40">
        <v>46254</v>
      </c>
      <c r="V555" s="40">
        <v>46254</v>
      </c>
      <c r="W555" s="20" t="s">
        <v>57</v>
      </c>
      <c r="X555" s="21"/>
      <c r="Y555" s="19">
        <f>VLOOKUP(F555,[2]New!$B:$G,3,0)*K555/60</f>
        <v>1.4666666666666666</v>
      </c>
      <c r="Z555" s="19">
        <f>VLOOKUP(F555,[2]New!$B:$G,4,0)*K555/60</f>
        <v>7.86</v>
      </c>
      <c r="AA555" s="19">
        <f>VLOOKUP(F555,[2]New!$B:$G,6,0)*K555/60</f>
        <v>7.666666666666667</v>
      </c>
      <c r="AB555" s="44">
        <f>VLOOKUP(A555,'[4]PO CAG'!$A:$L,12,0)</f>
        <v>46269</v>
      </c>
      <c r="AC555" s="22">
        <f>IFERROR(VLOOKUP(F555,[3]Sheet1!$E:$H,4,0),)</f>
        <v>0</v>
      </c>
      <c r="AD555" s="144"/>
      <c r="AE555" s="25" t="e">
        <v>#N/A</v>
      </c>
      <c r="AF555" s="135" t="s">
        <v>112</v>
      </c>
      <c r="AG555" s="135"/>
      <c r="AH555" s="135"/>
      <c r="AI555" s="135"/>
      <c r="AJ555" s="267" t="s">
        <v>153</v>
      </c>
      <c r="AN555" s="278">
        <v>2</v>
      </c>
      <c r="AO555" s="278">
        <v>2</v>
      </c>
      <c r="AP555" s="278">
        <v>2</v>
      </c>
      <c r="AQ555" s="278">
        <v>2</v>
      </c>
    </row>
    <row r="556" spans="1:43">
      <c r="A556" s="135" t="s">
        <v>4580</v>
      </c>
      <c r="B556" s="135" t="s">
        <v>4634</v>
      </c>
      <c r="C556" s="135" t="s">
        <v>4581</v>
      </c>
      <c r="D556" s="46">
        <v>11135551</v>
      </c>
      <c r="E556" s="20" t="s">
        <v>4582</v>
      </c>
      <c r="F556" s="20" t="s">
        <v>4583</v>
      </c>
      <c r="G556" s="24">
        <v>10</v>
      </c>
      <c r="H556" s="21">
        <v>46263</v>
      </c>
      <c r="I556" s="53" t="s">
        <v>4584</v>
      </c>
      <c r="J556" s="24" t="s">
        <v>4585</v>
      </c>
      <c r="K556" s="24">
        <v>10</v>
      </c>
      <c r="L556" s="46">
        <v>12116170</v>
      </c>
      <c r="M556" s="20" t="s">
        <v>615</v>
      </c>
      <c r="N556" s="38">
        <v>0</v>
      </c>
      <c r="O556" s="38">
        <v>0</v>
      </c>
      <c r="P556" s="20" t="s">
        <v>3227</v>
      </c>
      <c r="Q556" s="20">
        <v>0</v>
      </c>
      <c r="R556" s="40">
        <v>46253</v>
      </c>
      <c r="S556" s="20">
        <v>0</v>
      </c>
      <c r="T556" s="20">
        <v>0</v>
      </c>
      <c r="U556" s="40">
        <v>46254</v>
      </c>
      <c r="V556" s="40">
        <v>46254</v>
      </c>
      <c r="W556" s="20" t="s">
        <v>57</v>
      </c>
      <c r="X556" s="21"/>
      <c r="Y556" s="19">
        <f>VLOOKUP(F556,[2]New!$B:$G,3,0)*K556/60</f>
        <v>14.383333333333333</v>
      </c>
      <c r="Z556" s="19">
        <f>VLOOKUP(F556,[2]New!$B:$G,4,0)*K556/60</f>
        <v>16.333333333333332</v>
      </c>
      <c r="AA556" s="19">
        <f>VLOOKUP(F556,[2]New!$B:$G,6,0)*K556/60</f>
        <v>32.5</v>
      </c>
      <c r="AB556" s="44">
        <f>VLOOKUP(A556,'[4]PO CAG'!$A:$L,12,0)</f>
        <v>46269</v>
      </c>
      <c r="AC556" s="22">
        <f>IFERROR(VLOOKUP(F556,[3]Sheet1!$E:$H,4,0),)</f>
        <v>0</v>
      </c>
      <c r="AD556" s="144"/>
      <c r="AE556" s="25" t="e">
        <v>#N/A</v>
      </c>
      <c r="AF556" s="135" t="s">
        <v>112</v>
      </c>
      <c r="AG556" s="135"/>
      <c r="AH556" s="135"/>
      <c r="AI556" s="135"/>
      <c r="AJ556" s="267" t="s">
        <v>153</v>
      </c>
      <c r="AN556" s="278">
        <v>2</v>
      </c>
      <c r="AO556" s="278">
        <v>2</v>
      </c>
      <c r="AP556" s="278">
        <v>2</v>
      </c>
      <c r="AQ556" s="278">
        <v>2</v>
      </c>
    </row>
    <row r="557" spans="1:43">
      <c r="A557" s="135" t="s">
        <v>4586</v>
      </c>
      <c r="B557" s="135" t="s">
        <v>4635</v>
      </c>
      <c r="C557" s="135" t="s">
        <v>4587</v>
      </c>
      <c r="D557" s="46">
        <v>11135490</v>
      </c>
      <c r="E557" s="20" t="s">
        <v>4588</v>
      </c>
      <c r="F557" s="20" t="s">
        <v>4589</v>
      </c>
      <c r="G557" s="24">
        <v>14</v>
      </c>
      <c r="H557" s="21">
        <v>46263</v>
      </c>
      <c r="I557" s="53" t="s">
        <v>4590</v>
      </c>
      <c r="J557" s="24" t="s">
        <v>4591</v>
      </c>
      <c r="K557" s="24">
        <v>14</v>
      </c>
      <c r="L557" s="46">
        <v>12116020</v>
      </c>
      <c r="M557" s="20" t="s">
        <v>1024</v>
      </c>
      <c r="N557" s="38">
        <v>0</v>
      </c>
      <c r="O557" s="38">
        <v>0</v>
      </c>
      <c r="P557" s="20" t="s">
        <v>3227</v>
      </c>
      <c r="Q557" s="20">
        <v>0</v>
      </c>
      <c r="R557" s="40">
        <v>46253</v>
      </c>
      <c r="S557" s="20">
        <v>0</v>
      </c>
      <c r="T557" s="20">
        <v>0</v>
      </c>
      <c r="U557" s="40">
        <v>46254</v>
      </c>
      <c r="V557" s="40">
        <v>46254</v>
      </c>
      <c r="W557" s="20" t="s">
        <v>57</v>
      </c>
      <c r="X557" s="21"/>
      <c r="Y557" s="19">
        <f>VLOOKUP(F557,[2]New!$B:$G,3,0)*K557/60</f>
        <v>20.136666666666667</v>
      </c>
      <c r="Z557" s="19">
        <f>VLOOKUP(F557,[2]New!$B:$G,4,0)*K557/60</f>
        <v>22.866666666666667</v>
      </c>
      <c r="AA557" s="19">
        <f>VLOOKUP(F557,[2]New!$B:$G,6,0)*K557/60</f>
        <v>45.5</v>
      </c>
      <c r="AB557" s="44">
        <f>VLOOKUP(A557,'[4]PO CAG'!$A:$L,12,0)</f>
        <v>46269</v>
      </c>
      <c r="AC557" s="22">
        <f>IFERROR(VLOOKUP(F557,[3]Sheet1!$E:$H,4,0),)</f>
        <v>0</v>
      </c>
      <c r="AD557" s="144"/>
      <c r="AE557" s="25" t="e">
        <v>#N/A</v>
      </c>
      <c r="AF557" s="135" t="s">
        <v>112</v>
      </c>
      <c r="AG557" s="135"/>
      <c r="AH557" s="135"/>
      <c r="AI557" s="135"/>
      <c r="AJ557" s="267" t="s">
        <v>153</v>
      </c>
      <c r="AN557" s="278">
        <v>2</v>
      </c>
      <c r="AO557" s="278">
        <v>2</v>
      </c>
      <c r="AP557" s="278">
        <v>2</v>
      </c>
      <c r="AQ557" s="278">
        <v>2</v>
      </c>
    </row>
    <row r="558" spans="1:43">
      <c r="A558" s="359" t="s">
        <v>4715</v>
      </c>
      <c r="B558" s="359" t="s">
        <v>5121</v>
      </c>
      <c r="C558" s="359" t="s">
        <v>4716</v>
      </c>
      <c r="D558" s="360">
        <v>11112470</v>
      </c>
      <c r="E558" s="361" t="s">
        <v>4717</v>
      </c>
      <c r="F558" s="361" t="s">
        <v>4718</v>
      </c>
      <c r="G558" s="245">
        <v>10</v>
      </c>
      <c r="H558" s="362">
        <v>46263</v>
      </c>
      <c r="I558" s="363" t="s">
        <v>4719</v>
      </c>
      <c r="J558" s="245" t="s">
        <v>4720</v>
      </c>
      <c r="K558" s="245">
        <v>10</v>
      </c>
      <c r="L558" s="360">
        <v>12116397</v>
      </c>
      <c r="M558" s="361" t="s">
        <v>4769</v>
      </c>
      <c r="N558" s="391">
        <v>0</v>
      </c>
      <c r="O558" s="391">
        <v>0</v>
      </c>
      <c r="P558" s="361" t="s">
        <v>130</v>
      </c>
      <c r="Q558" s="361">
        <v>0</v>
      </c>
      <c r="R558" s="392">
        <v>46255</v>
      </c>
      <c r="S558" s="361">
        <v>0</v>
      </c>
      <c r="T558" s="361">
        <v>0</v>
      </c>
      <c r="U558" s="392">
        <v>46258</v>
      </c>
      <c r="V558" s="392">
        <v>46258</v>
      </c>
      <c r="W558" s="361" t="s">
        <v>54</v>
      </c>
      <c r="X558" s="362"/>
      <c r="Y558" s="393">
        <f>VLOOKUP(F558,[2]New!$B:$G,3,0)*K558/60</f>
        <v>22</v>
      </c>
      <c r="Z558" s="393">
        <f>VLOOKUP(F558,[2]New!$B:$G,4,0)*K558/60</f>
        <v>26.333333333333332</v>
      </c>
      <c r="AA558" s="393">
        <f>VLOOKUP(F558,[2]New!$B:$G,6,0)*K558/60</f>
        <v>30.666666666666668</v>
      </c>
      <c r="AB558" s="394">
        <f>VLOOKUP(A558,'[4]PO CAG'!$A:$L,12,0)</f>
        <v>46269</v>
      </c>
      <c r="AC558" s="395">
        <f>IFERROR(VLOOKUP(F558,[3]Sheet1!$E:$H,4,0),)</f>
        <v>0</v>
      </c>
      <c r="AD558" s="396"/>
      <c r="AE558" s="25" t="e">
        <v>#N/A</v>
      </c>
      <c r="AF558" s="359" t="s">
        <v>112</v>
      </c>
      <c r="AG558" s="135"/>
      <c r="AH558" s="135"/>
      <c r="AI558" s="135"/>
      <c r="AJ558" s="267" t="s">
        <v>5360</v>
      </c>
      <c r="AN558" s="278">
        <v>1</v>
      </c>
      <c r="AO558" s="278" t="s">
        <v>113</v>
      </c>
      <c r="AP558" s="278" t="s">
        <v>113</v>
      </c>
      <c r="AQ558" s="278" t="s">
        <v>113</v>
      </c>
    </row>
    <row r="559" spans="1:43">
      <c r="A559" s="359" t="s">
        <v>4721</v>
      </c>
      <c r="B559" s="359" t="s">
        <v>5122</v>
      </c>
      <c r="C559" s="359" t="s">
        <v>4722</v>
      </c>
      <c r="D559" s="360">
        <v>11112473</v>
      </c>
      <c r="E559" s="361" t="s">
        <v>4723</v>
      </c>
      <c r="F559" s="361" t="s">
        <v>4724</v>
      </c>
      <c r="G559" s="245">
        <v>15</v>
      </c>
      <c r="H559" s="362">
        <v>46263</v>
      </c>
      <c r="I559" s="363" t="s">
        <v>4725</v>
      </c>
      <c r="J559" s="245" t="s">
        <v>4726</v>
      </c>
      <c r="K559" s="245">
        <v>15</v>
      </c>
      <c r="L559" s="360">
        <v>12116400</v>
      </c>
      <c r="M559" s="361" t="s">
        <v>4770</v>
      </c>
      <c r="N559" s="391">
        <v>0</v>
      </c>
      <c r="O559" s="391">
        <v>0</v>
      </c>
      <c r="P559" s="361" t="s">
        <v>130</v>
      </c>
      <c r="Q559" s="361">
        <v>0</v>
      </c>
      <c r="R559" s="392">
        <v>46255</v>
      </c>
      <c r="S559" s="361">
        <v>0</v>
      </c>
      <c r="T559" s="361">
        <v>0</v>
      </c>
      <c r="U559" s="392">
        <v>46258</v>
      </c>
      <c r="V559" s="392">
        <v>46258</v>
      </c>
      <c r="W559" s="361" t="s">
        <v>54</v>
      </c>
      <c r="X559" s="362"/>
      <c r="Y559" s="393">
        <f>VLOOKUP(F559,[2]New!$B:$G,3,0)*K559/60</f>
        <v>33</v>
      </c>
      <c r="Z559" s="393">
        <f>VLOOKUP(F559,[2]New!$B:$G,4,0)*K559/60</f>
        <v>39.5</v>
      </c>
      <c r="AA559" s="393">
        <f>VLOOKUP(F559,[2]New!$B:$G,6,0)*K559/60</f>
        <v>46</v>
      </c>
      <c r="AB559" s="394">
        <f>VLOOKUP(A559,'[4]PO CAG'!$A:$L,12,0)</f>
        <v>46269</v>
      </c>
      <c r="AC559" s="395">
        <f>IFERROR(VLOOKUP(F559,[3]Sheet1!$E:$H,4,0),)</f>
        <v>0</v>
      </c>
      <c r="AD559" s="396"/>
      <c r="AE559" s="397" t="s">
        <v>4004</v>
      </c>
      <c r="AF559" s="359" t="s">
        <v>112</v>
      </c>
      <c r="AG559" s="135"/>
      <c r="AH559" s="135"/>
      <c r="AI559" s="135"/>
      <c r="AJ559" s="267" t="s">
        <v>152</v>
      </c>
      <c r="AN559" s="278">
        <v>1</v>
      </c>
      <c r="AO559" s="278" t="s">
        <v>113</v>
      </c>
      <c r="AP559" s="278" t="s">
        <v>113</v>
      </c>
      <c r="AQ559" s="278" t="s">
        <v>113</v>
      </c>
    </row>
    <row r="560" spans="1:43">
      <c r="A560" s="135" t="s">
        <v>4727</v>
      </c>
      <c r="B560" s="135" t="s">
        <v>5123</v>
      </c>
      <c r="C560" s="135" t="s">
        <v>4728</v>
      </c>
      <c r="D560" s="46">
        <v>11134402</v>
      </c>
      <c r="E560" s="20" t="s">
        <v>4729</v>
      </c>
      <c r="F560" s="20" t="s">
        <v>4730</v>
      </c>
      <c r="G560" s="24">
        <v>268</v>
      </c>
      <c r="H560" s="21">
        <v>46263</v>
      </c>
      <c r="I560" s="53" t="s">
        <v>4731</v>
      </c>
      <c r="J560" s="24" t="s">
        <v>4732</v>
      </c>
      <c r="K560" s="24">
        <v>268</v>
      </c>
      <c r="L560" s="46">
        <v>12129627</v>
      </c>
      <c r="M560" s="20" t="s">
        <v>95</v>
      </c>
      <c r="N560" s="38">
        <v>0</v>
      </c>
      <c r="O560" s="38">
        <v>0</v>
      </c>
      <c r="P560" s="20" t="s">
        <v>130</v>
      </c>
      <c r="Q560" s="20">
        <v>0</v>
      </c>
      <c r="R560" s="40">
        <v>46255</v>
      </c>
      <c r="S560" s="20">
        <v>0</v>
      </c>
      <c r="T560" s="20">
        <v>0</v>
      </c>
      <c r="U560" s="40">
        <v>46258</v>
      </c>
      <c r="V560" s="40">
        <v>46258</v>
      </c>
      <c r="W560" s="20" t="s">
        <v>54</v>
      </c>
      <c r="X560" s="21"/>
      <c r="Y560" s="19">
        <f>VLOOKUP(F560,[2]New!$B:$G,3,0)*K560/60</f>
        <v>236.73333333333332</v>
      </c>
      <c r="Z560" s="19">
        <f>VLOOKUP(F560,[2]New!$B:$G,4,0)*K560/60</f>
        <v>603</v>
      </c>
      <c r="AA560" s="19">
        <f>VLOOKUP(F560,[2]New!$B:$G,6,0)*K560/60</f>
        <v>634.26666666666665</v>
      </c>
      <c r="AB560" s="44">
        <f>VLOOKUP(A560,'[4]PO CAG'!$A:$L,12,0)</f>
        <v>46268</v>
      </c>
      <c r="AC560" s="22">
        <f>IFERROR(VLOOKUP(F560,[3]Sheet1!$E:$H,4,0),)</f>
        <v>0</v>
      </c>
      <c r="AD560" s="144"/>
      <c r="AE560" s="25" t="e">
        <v>#N/A</v>
      </c>
      <c r="AF560" s="135" t="s">
        <v>199</v>
      </c>
      <c r="AG560" s="135"/>
      <c r="AH560" s="135"/>
      <c r="AI560" s="135"/>
      <c r="AJ560" s="267" t="s">
        <v>152</v>
      </c>
      <c r="AN560" s="278">
        <v>3</v>
      </c>
      <c r="AO560" s="278">
        <v>3</v>
      </c>
      <c r="AP560" s="278">
        <v>3</v>
      </c>
      <c r="AQ560" s="278">
        <v>3</v>
      </c>
    </row>
    <row r="561" spans="1:43">
      <c r="A561" s="135" t="s">
        <v>4733</v>
      </c>
      <c r="B561" s="135" t="s">
        <v>5124</v>
      </c>
      <c r="C561" s="135" t="s">
        <v>4734</v>
      </c>
      <c r="D561" s="46">
        <v>11134402</v>
      </c>
      <c r="E561" s="20" t="s">
        <v>4729</v>
      </c>
      <c r="F561" s="20" t="s">
        <v>4730</v>
      </c>
      <c r="G561" s="24">
        <v>80</v>
      </c>
      <c r="H561" s="21">
        <v>46263</v>
      </c>
      <c r="I561" s="53" t="s">
        <v>4735</v>
      </c>
      <c r="J561" s="24" t="s">
        <v>4736</v>
      </c>
      <c r="K561" s="24">
        <v>90</v>
      </c>
      <c r="L561" s="46">
        <v>12129627</v>
      </c>
      <c r="M561" s="20" t="s">
        <v>95</v>
      </c>
      <c r="N561" s="38">
        <v>0</v>
      </c>
      <c r="O561" s="38">
        <v>0</v>
      </c>
      <c r="P561" s="20" t="s">
        <v>130</v>
      </c>
      <c r="Q561" s="20">
        <v>0</v>
      </c>
      <c r="R561" s="40">
        <v>46255</v>
      </c>
      <c r="S561" s="20">
        <v>10</v>
      </c>
      <c r="T561" s="20">
        <v>0</v>
      </c>
      <c r="U561" s="40">
        <v>46258</v>
      </c>
      <c r="V561" s="40">
        <v>46258</v>
      </c>
      <c r="W561" s="20" t="s">
        <v>54</v>
      </c>
      <c r="X561" s="21"/>
      <c r="Y561" s="19">
        <f>VLOOKUP(F561,[2]New!$B:$G,3,0)*K561/60</f>
        <v>79.5</v>
      </c>
      <c r="Z561" s="19">
        <f>VLOOKUP(F561,[2]New!$B:$G,4,0)*K561/60</f>
        <v>202.5</v>
      </c>
      <c r="AA561" s="19">
        <f>VLOOKUP(F561,[2]New!$B:$G,6,0)*K561/60</f>
        <v>213</v>
      </c>
      <c r="AB561" s="44">
        <f>VLOOKUP(A561,'[4]PO CAG'!$A:$L,12,0)</f>
        <v>46272</v>
      </c>
      <c r="AC561" s="22">
        <f>IFERROR(VLOOKUP(F561,[3]Sheet1!$E:$H,4,0),)</f>
        <v>0</v>
      </c>
      <c r="AD561" s="144"/>
      <c r="AE561" s="25" t="e">
        <v>#N/A</v>
      </c>
      <c r="AF561" s="135" t="s">
        <v>199</v>
      </c>
      <c r="AG561" s="135"/>
      <c r="AH561" s="135"/>
      <c r="AI561" s="135"/>
      <c r="AJ561" s="267" t="s">
        <v>152</v>
      </c>
      <c r="AN561" s="278">
        <v>3</v>
      </c>
      <c r="AO561" s="278">
        <v>3</v>
      </c>
      <c r="AP561" s="278">
        <v>3</v>
      </c>
      <c r="AQ561" s="278">
        <v>3</v>
      </c>
    </row>
    <row r="562" spans="1:43">
      <c r="A562" s="135" t="s">
        <v>4737</v>
      </c>
      <c r="B562" s="135" t="s">
        <v>5193</v>
      </c>
      <c r="C562" s="135" t="s">
        <v>4738</v>
      </c>
      <c r="D562" s="46">
        <v>11122087</v>
      </c>
      <c r="E562" s="20" t="s">
        <v>196</v>
      </c>
      <c r="F562" s="20" t="s">
        <v>197</v>
      </c>
      <c r="G562" s="24">
        <v>32</v>
      </c>
      <c r="H562" s="21">
        <v>46269</v>
      </c>
      <c r="I562" s="53" t="s">
        <v>4739</v>
      </c>
      <c r="J562" s="24" t="s">
        <v>4740</v>
      </c>
      <c r="K562" s="24">
        <v>32</v>
      </c>
      <c r="L562" s="46">
        <v>12129626</v>
      </c>
      <c r="M562" s="20" t="s">
        <v>96</v>
      </c>
      <c r="N562" s="38">
        <v>0</v>
      </c>
      <c r="O562" s="38">
        <v>0</v>
      </c>
      <c r="P562" s="20" t="s">
        <v>94</v>
      </c>
      <c r="Q562" s="20">
        <v>0</v>
      </c>
      <c r="R562" s="40">
        <v>46255</v>
      </c>
      <c r="S562" s="20">
        <v>0</v>
      </c>
      <c r="T562" s="20">
        <v>0</v>
      </c>
      <c r="U562" s="40">
        <v>46258</v>
      </c>
      <c r="V562" s="40">
        <v>46258</v>
      </c>
      <c r="W562" s="20" t="s">
        <v>54</v>
      </c>
      <c r="X562" s="21"/>
      <c r="Y562" s="19">
        <f>VLOOKUP(F562,[2]New!$B:$G,3,0)*K562/60</f>
        <v>28.8</v>
      </c>
      <c r="Z562" s="19">
        <f>VLOOKUP(F562,[2]New!$B:$G,4,0)*K562/60</f>
        <v>72</v>
      </c>
      <c r="AA562" s="19">
        <f>VLOOKUP(F562,[2]New!$B:$G,6,0)*K562/60</f>
        <v>71.573333333333323</v>
      </c>
      <c r="AB562" s="44">
        <f>VLOOKUP(A562,'[4]PO CAG'!$A:$L,12,0)</f>
        <v>46280</v>
      </c>
      <c r="AC562" s="22">
        <f>IFERROR(VLOOKUP(F562,[3]Sheet1!$E:$H,4,0),)</f>
        <v>0</v>
      </c>
      <c r="AD562" s="144"/>
      <c r="AE562" s="25" t="e">
        <v>#N/A</v>
      </c>
      <c r="AF562" s="135" t="s">
        <v>199</v>
      </c>
      <c r="AG562" s="135"/>
      <c r="AH562" s="135"/>
      <c r="AI562" s="135"/>
      <c r="AJ562" s="267" t="s">
        <v>152</v>
      </c>
      <c r="AN562" s="278">
        <v>3</v>
      </c>
      <c r="AO562" s="278">
        <v>3</v>
      </c>
      <c r="AP562" s="278">
        <v>3</v>
      </c>
      <c r="AQ562" s="278">
        <v>3</v>
      </c>
    </row>
    <row r="563" spans="1:43">
      <c r="A563" s="135" t="s">
        <v>4741</v>
      </c>
      <c r="B563" s="135" t="s">
        <v>5194</v>
      </c>
      <c r="C563" s="135" t="s">
        <v>4742</v>
      </c>
      <c r="D563" s="46">
        <v>11122088</v>
      </c>
      <c r="E563" s="20" t="s">
        <v>194</v>
      </c>
      <c r="F563" s="20" t="s">
        <v>195</v>
      </c>
      <c r="G563" s="24">
        <v>35</v>
      </c>
      <c r="H563" s="21">
        <v>46269</v>
      </c>
      <c r="I563" s="53" t="s">
        <v>4743</v>
      </c>
      <c r="J563" s="24" t="s">
        <v>4744</v>
      </c>
      <c r="K563" s="24">
        <v>35</v>
      </c>
      <c r="L563" s="46">
        <v>12129627</v>
      </c>
      <c r="M563" s="20" t="s">
        <v>95</v>
      </c>
      <c r="N563" s="38">
        <v>0</v>
      </c>
      <c r="O563" s="38">
        <v>0</v>
      </c>
      <c r="P563" s="20" t="s">
        <v>94</v>
      </c>
      <c r="Q563" s="20">
        <v>0</v>
      </c>
      <c r="R563" s="40">
        <v>46255</v>
      </c>
      <c r="S563" s="20">
        <v>0</v>
      </c>
      <c r="T563" s="20">
        <v>0</v>
      </c>
      <c r="U563" s="40">
        <v>46258</v>
      </c>
      <c r="V563" s="40">
        <v>46258</v>
      </c>
      <c r="W563" s="20" t="s">
        <v>54</v>
      </c>
      <c r="X563" s="21"/>
      <c r="Y563" s="19">
        <f>VLOOKUP(F563,[2]New!$B:$G,3,0)*K563/60</f>
        <v>31.5</v>
      </c>
      <c r="Z563" s="19">
        <f>VLOOKUP(F563,[2]New!$B:$G,4,0)*K563/60</f>
        <v>78.75</v>
      </c>
      <c r="AA563" s="19">
        <f>VLOOKUP(F563,[2]New!$B:$G,6,0)*K563/60</f>
        <v>78.283333333333331</v>
      </c>
      <c r="AB563" s="44">
        <f>VLOOKUP(A563,'[4]PO CAG'!$A:$L,12,0)</f>
        <v>46303</v>
      </c>
      <c r="AC563" s="22">
        <f>IFERROR(VLOOKUP(F563,[3]Sheet1!$E:$H,4,0),)</f>
        <v>0</v>
      </c>
      <c r="AD563" s="144"/>
      <c r="AE563" s="25" t="e">
        <v>#N/A</v>
      </c>
      <c r="AF563" s="135" t="s">
        <v>199</v>
      </c>
      <c r="AG563" s="135"/>
      <c r="AH563" s="135"/>
      <c r="AI563" s="135"/>
      <c r="AJ563" s="267" t="s">
        <v>152</v>
      </c>
      <c r="AN563" s="278">
        <v>3</v>
      </c>
      <c r="AO563" s="278">
        <v>3</v>
      </c>
      <c r="AP563" s="278">
        <v>3</v>
      </c>
      <c r="AQ563" s="278">
        <v>3</v>
      </c>
    </row>
    <row r="564" spans="1:43">
      <c r="A564" s="135" t="s">
        <v>4745</v>
      </c>
      <c r="B564" s="135" t="s">
        <v>5195</v>
      </c>
      <c r="C564" s="135" t="s">
        <v>4746</v>
      </c>
      <c r="D564" s="46">
        <v>11122088</v>
      </c>
      <c r="E564" s="20" t="s">
        <v>194</v>
      </c>
      <c r="F564" s="20" t="s">
        <v>195</v>
      </c>
      <c r="G564" s="24">
        <v>105</v>
      </c>
      <c r="H564" s="21">
        <v>46269</v>
      </c>
      <c r="I564" s="53" t="s">
        <v>4747</v>
      </c>
      <c r="J564" s="24" t="s">
        <v>4748</v>
      </c>
      <c r="K564" s="24">
        <v>105</v>
      </c>
      <c r="L564" s="46">
        <v>12129627</v>
      </c>
      <c r="M564" s="20" t="s">
        <v>95</v>
      </c>
      <c r="N564" s="38">
        <v>0</v>
      </c>
      <c r="O564" s="38">
        <v>0</v>
      </c>
      <c r="P564" s="20" t="s">
        <v>94</v>
      </c>
      <c r="Q564" s="20">
        <v>0</v>
      </c>
      <c r="R564" s="40">
        <v>46255</v>
      </c>
      <c r="S564" s="20">
        <v>0</v>
      </c>
      <c r="T564" s="20">
        <v>0</v>
      </c>
      <c r="U564" s="40">
        <v>46258</v>
      </c>
      <c r="V564" s="40">
        <v>46258</v>
      </c>
      <c r="W564" s="20" t="s">
        <v>54</v>
      </c>
      <c r="X564" s="21"/>
      <c r="Y564" s="19">
        <f>VLOOKUP(F564,[2]New!$B:$G,3,0)*K564/60</f>
        <v>94.5</v>
      </c>
      <c r="Z564" s="19">
        <f>VLOOKUP(F564,[2]New!$B:$G,4,0)*K564/60</f>
        <v>236.25</v>
      </c>
      <c r="AA564" s="19">
        <f>VLOOKUP(F564,[2]New!$B:$G,6,0)*K564/60</f>
        <v>234.84999999999997</v>
      </c>
      <c r="AB564" s="44">
        <f>VLOOKUP(A564,'[4]PO CAG'!$A:$L,12,0)</f>
        <v>46301</v>
      </c>
      <c r="AC564" s="22">
        <f>IFERROR(VLOOKUP(F564,[3]Sheet1!$E:$H,4,0),)</f>
        <v>0</v>
      </c>
      <c r="AD564" s="144"/>
      <c r="AE564" s="25" t="e">
        <v>#N/A</v>
      </c>
      <c r="AF564" s="135" t="s">
        <v>199</v>
      </c>
      <c r="AG564" s="135"/>
      <c r="AH564" s="135"/>
      <c r="AI564" s="135"/>
      <c r="AJ564" s="267" t="s">
        <v>152</v>
      </c>
      <c r="AN564" s="278">
        <v>3</v>
      </c>
      <c r="AO564" s="278">
        <v>3</v>
      </c>
      <c r="AP564" s="278">
        <v>3</v>
      </c>
      <c r="AQ564" s="278">
        <v>3</v>
      </c>
    </row>
    <row r="565" spans="1:43">
      <c r="A565" s="135" t="s">
        <v>4749</v>
      </c>
      <c r="B565" s="135" t="s">
        <v>5196</v>
      </c>
      <c r="C565" s="135" t="s">
        <v>4750</v>
      </c>
      <c r="D565" s="46">
        <v>11122087</v>
      </c>
      <c r="E565" s="20" t="s">
        <v>196</v>
      </c>
      <c r="F565" s="20" t="s">
        <v>197</v>
      </c>
      <c r="G565" s="24">
        <v>175</v>
      </c>
      <c r="H565" s="21">
        <v>46269</v>
      </c>
      <c r="I565" s="53" t="s">
        <v>4751</v>
      </c>
      <c r="J565" s="24" t="s">
        <v>4752</v>
      </c>
      <c r="K565" s="24">
        <v>175</v>
      </c>
      <c r="L565" s="46">
        <v>12129626</v>
      </c>
      <c r="M565" s="20" t="s">
        <v>96</v>
      </c>
      <c r="N565" s="38">
        <v>0</v>
      </c>
      <c r="O565" s="38">
        <v>0</v>
      </c>
      <c r="P565" s="20" t="s">
        <v>94</v>
      </c>
      <c r="Q565" s="20">
        <v>0</v>
      </c>
      <c r="R565" s="40">
        <v>46255</v>
      </c>
      <c r="S565" s="20">
        <v>0</v>
      </c>
      <c r="T565" s="20">
        <v>0</v>
      </c>
      <c r="U565" s="40">
        <v>46258</v>
      </c>
      <c r="V565" s="40">
        <v>46258</v>
      </c>
      <c r="W565" s="20" t="s">
        <v>54</v>
      </c>
      <c r="X565" s="21"/>
      <c r="Y565" s="19">
        <f>VLOOKUP(F565,[2]New!$B:$G,3,0)*K565/60</f>
        <v>157.5</v>
      </c>
      <c r="Z565" s="19">
        <f>VLOOKUP(F565,[2]New!$B:$G,4,0)*K565/60</f>
        <v>393.75</v>
      </c>
      <c r="AA565" s="19">
        <f>VLOOKUP(F565,[2]New!$B:$G,6,0)*K565/60</f>
        <v>391.41666666666663</v>
      </c>
      <c r="AB565" s="44">
        <f>VLOOKUP(A565,'[4]PO CAG'!$A:$L,12,0)</f>
        <v>46301</v>
      </c>
      <c r="AC565" s="22">
        <f>IFERROR(VLOOKUP(F565,[3]Sheet1!$E:$H,4,0),)</f>
        <v>0</v>
      </c>
      <c r="AD565" s="144"/>
      <c r="AE565" s="25" t="e">
        <v>#N/A</v>
      </c>
      <c r="AF565" s="135" t="s">
        <v>199</v>
      </c>
      <c r="AG565" s="135"/>
      <c r="AH565" s="135"/>
      <c r="AI565" s="135"/>
      <c r="AJ565" s="267" t="s">
        <v>152</v>
      </c>
      <c r="AN565" s="278">
        <v>3</v>
      </c>
      <c r="AO565" s="278">
        <v>3</v>
      </c>
      <c r="AP565" s="278">
        <v>3</v>
      </c>
      <c r="AQ565" s="278">
        <v>3</v>
      </c>
    </row>
    <row r="566" spans="1:43">
      <c r="A566" s="135" t="s">
        <v>4753</v>
      </c>
      <c r="B566" s="135" t="s">
        <v>5197</v>
      </c>
      <c r="C566" s="135" t="s">
        <v>4754</v>
      </c>
      <c r="D566" s="46">
        <v>11134247</v>
      </c>
      <c r="E566" s="20" t="s">
        <v>177</v>
      </c>
      <c r="F566" s="20" t="s">
        <v>178</v>
      </c>
      <c r="G566" s="24">
        <v>15</v>
      </c>
      <c r="H566" s="21">
        <v>46272</v>
      </c>
      <c r="I566" s="53" t="s">
        <v>4755</v>
      </c>
      <c r="J566" s="24" t="s">
        <v>4756</v>
      </c>
      <c r="K566" s="24">
        <v>15</v>
      </c>
      <c r="L566" s="46">
        <v>12129253</v>
      </c>
      <c r="M566" s="20" t="s">
        <v>184</v>
      </c>
      <c r="N566" s="38">
        <v>0</v>
      </c>
      <c r="O566" s="38">
        <v>0</v>
      </c>
      <c r="P566" s="20" t="s">
        <v>72</v>
      </c>
      <c r="Q566" s="20">
        <v>0</v>
      </c>
      <c r="R566" s="40">
        <v>46255</v>
      </c>
      <c r="S566" s="20">
        <v>0</v>
      </c>
      <c r="T566" s="20">
        <v>0</v>
      </c>
      <c r="U566" s="40">
        <v>46258</v>
      </c>
      <c r="V566" s="40">
        <v>46258</v>
      </c>
      <c r="W566" s="20" t="s">
        <v>54</v>
      </c>
      <c r="X566" s="21"/>
      <c r="Y566" s="19">
        <f>VLOOKUP(F566,[2]New!$B:$G,3,0)*K566/60</f>
        <v>13.5</v>
      </c>
      <c r="Z566" s="19">
        <f>VLOOKUP(F566,[2]New!$B:$G,4,0)*K566/60</f>
        <v>33.75</v>
      </c>
      <c r="AA566" s="19">
        <f>VLOOKUP(F566,[2]New!$B:$G,6,0)*K566/60</f>
        <v>33.549999999999997</v>
      </c>
      <c r="AB566" s="44">
        <f>VLOOKUP(A566,'[4]PO CAG'!$A:$L,12,0)</f>
        <v>46303</v>
      </c>
      <c r="AC566" s="22" t="str">
        <f>IFERROR(VLOOKUP(F566,[3]Sheet1!$E:$H,4,0),)</f>
        <v>H</v>
      </c>
      <c r="AD566" s="144"/>
      <c r="AE566" s="25" t="e">
        <v>#N/A</v>
      </c>
      <c r="AF566" s="135" t="s">
        <v>198</v>
      </c>
      <c r="AG566" s="135"/>
      <c r="AH566" s="135"/>
      <c r="AI566" s="135"/>
      <c r="AJ566" s="267" t="s">
        <v>187</v>
      </c>
      <c r="AN566" s="278">
        <v>3</v>
      </c>
      <c r="AO566" s="278">
        <v>3</v>
      </c>
      <c r="AP566" s="278">
        <v>3</v>
      </c>
      <c r="AQ566" s="278">
        <v>3</v>
      </c>
    </row>
    <row r="567" spans="1:43">
      <c r="A567" s="135" t="s">
        <v>4757</v>
      </c>
      <c r="B567" s="135" t="s">
        <v>5198</v>
      </c>
      <c r="C567" s="135" t="s">
        <v>4758</v>
      </c>
      <c r="D567" s="46">
        <v>11134246</v>
      </c>
      <c r="E567" s="20" t="s">
        <v>175</v>
      </c>
      <c r="F567" s="20" t="s">
        <v>176</v>
      </c>
      <c r="G567" s="24">
        <v>100</v>
      </c>
      <c r="H567" s="21">
        <v>46272</v>
      </c>
      <c r="I567" s="53" t="s">
        <v>4759</v>
      </c>
      <c r="J567" s="24" t="s">
        <v>4760</v>
      </c>
      <c r="K567" s="24">
        <v>103</v>
      </c>
      <c r="L567" s="46">
        <v>12129252</v>
      </c>
      <c r="M567" s="20" t="s">
        <v>183</v>
      </c>
      <c r="N567" s="38">
        <v>0</v>
      </c>
      <c r="O567" s="38">
        <v>0</v>
      </c>
      <c r="P567" s="20" t="s">
        <v>72</v>
      </c>
      <c r="Q567" s="20">
        <v>0</v>
      </c>
      <c r="R567" s="40">
        <v>46255</v>
      </c>
      <c r="S567" s="20">
        <v>0</v>
      </c>
      <c r="T567" s="20">
        <v>3</v>
      </c>
      <c r="U567" s="40">
        <v>46258</v>
      </c>
      <c r="V567" s="40">
        <v>46258</v>
      </c>
      <c r="W567" s="20" t="s">
        <v>54</v>
      </c>
      <c r="X567" s="21"/>
      <c r="Y567" s="19">
        <f>VLOOKUP(F567,[2]New!$B:$G,3,0)*K567/60</f>
        <v>92.7</v>
      </c>
      <c r="Z567" s="19">
        <f>VLOOKUP(F567,[2]New!$B:$G,4,0)*K567/60</f>
        <v>231.75</v>
      </c>
      <c r="AA567" s="19">
        <f>VLOOKUP(F567,[2]New!$B:$G,6,0)*K567/60</f>
        <v>230.37666666666664</v>
      </c>
      <c r="AB567" s="44">
        <f>VLOOKUP(A567,'[4]PO CAG'!$A:$L,12,0)</f>
        <v>46303</v>
      </c>
      <c r="AC567" s="22" t="str">
        <f>IFERROR(VLOOKUP(F567,[3]Sheet1!$E:$H,4,0),)</f>
        <v>H</v>
      </c>
      <c r="AD567" s="144"/>
      <c r="AE567" s="25" t="e">
        <v>#N/A</v>
      </c>
      <c r="AF567" s="135" t="s">
        <v>198</v>
      </c>
      <c r="AG567" s="135"/>
      <c r="AH567" s="135"/>
      <c r="AI567" s="135"/>
      <c r="AJ567" s="267" t="s">
        <v>187</v>
      </c>
      <c r="AN567" s="278">
        <v>3</v>
      </c>
      <c r="AO567" s="278">
        <v>3</v>
      </c>
      <c r="AP567" s="278">
        <v>3</v>
      </c>
      <c r="AQ567" s="278">
        <v>3</v>
      </c>
    </row>
    <row r="568" spans="1:43">
      <c r="A568" s="135" t="s">
        <v>4761</v>
      </c>
      <c r="B568" s="135" t="s">
        <v>5199</v>
      </c>
      <c r="C568" s="135" t="s">
        <v>4762</v>
      </c>
      <c r="D568" s="46">
        <v>11134249</v>
      </c>
      <c r="E568" s="20" t="s">
        <v>181</v>
      </c>
      <c r="F568" s="20" t="s">
        <v>182</v>
      </c>
      <c r="G568" s="24">
        <v>30</v>
      </c>
      <c r="H568" s="21">
        <v>46272</v>
      </c>
      <c r="I568" s="53" t="s">
        <v>4763</v>
      </c>
      <c r="J568" s="24" t="s">
        <v>4764</v>
      </c>
      <c r="K568" s="24">
        <v>30</v>
      </c>
      <c r="L568" s="46">
        <v>12139932</v>
      </c>
      <c r="M568" s="20" t="s">
        <v>186</v>
      </c>
      <c r="N568" s="38">
        <v>0</v>
      </c>
      <c r="O568" s="38">
        <v>0</v>
      </c>
      <c r="P568" s="20" t="s">
        <v>72</v>
      </c>
      <c r="Q568" s="20">
        <v>0</v>
      </c>
      <c r="R568" s="40">
        <v>46255</v>
      </c>
      <c r="S568" s="20">
        <v>0</v>
      </c>
      <c r="T568" s="20">
        <v>0</v>
      </c>
      <c r="U568" s="40">
        <v>46258</v>
      </c>
      <c r="V568" s="40">
        <v>46258</v>
      </c>
      <c r="W568" s="20" t="s">
        <v>54</v>
      </c>
      <c r="X568" s="21"/>
      <c r="Y568" s="19">
        <f>VLOOKUP(F568,[2]New!$B:$G,3,0)*K568/60</f>
        <v>16.8</v>
      </c>
      <c r="Z568" s="19">
        <f>VLOOKUP(F568,[2]New!$B:$G,4,0)*K568/60</f>
        <v>32.25</v>
      </c>
      <c r="AA568" s="19">
        <f>VLOOKUP(F568,[2]New!$B:$G,6,0)*K568/60</f>
        <v>66.650000000000006</v>
      </c>
      <c r="AB568" s="44">
        <f>VLOOKUP(A568,'[4]PO CAG'!$A:$L,12,0)</f>
        <v>46303</v>
      </c>
      <c r="AC568" s="22" t="str">
        <f>IFERROR(VLOOKUP(F568,[3]Sheet1!$E:$H,4,0),)</f>
        <v>H</v>
      </c>
      <c r="AD568" s="144"/>
      <c r="AE568" s="25" t="e">
        <v>#N/A</v>
      </c>
      <c r="AF568" s="135" t="s">
        <v>198</v>
      </c>
      <c r="AG568" s="135"/>
      <c r="AH568" s="135"/>
      <c r="AI568" s="135"/>
      <c r="AJ568" s="267" t="s">
        <v>187</v>
      </c>
      <c r="AN568" s="278">
        <v>2</v>
      </c>
      <c r="AO568" s="278">
        <v>2</v>
      </c>
      <c r="AP568" s="278">
        <v>2</v>
      </c>
      <c r="AQ568" s="278">
        <v>2</v>
      </c>
    </row>
    <row r="569" spans="1:43">
      <c r="A569" s="135" t="s">
        <v>4765</v>
      </c>
      <c r="B569" s="135" t="s">
        <v>5200</v>
      </c>
      <c r="C569" s="135" t="s">
        <v>4766</v>
      </c>
      <c r="D569" s="46">
        <v>11134248</v>
      </c>
      <c r="E569" s="20" t="s">
        <v>179</v>
      </c>
      <c r="F569" s="20" t="s">
        <v>180</v>
      </c>
      <c r="G569" s="24">
        <v>270</v>
      </c>
      <c r="H569" s="21">
        <v>46272</v>
      </c>
      <c r="I569" s="53" t="s">
        <v>4767</v>
      </c>
      <c r="J569" s="24" t="s">
        <v>4768</v>
      </c>
      <c r="K569" s="24">
        <v>276</v>
      </c>
      <c r="L569" s="46">
        <v>12139931</v>
      </c>
      <c r="M569" s="20" t="s">
        <v>185</v>
      </c>
      <c r="N569" s="38">
        <v>0</v>
      </c>
      <c r="O569" s="38">
        <v>0</v>
      </c>
      <c r="P569" s="20" t="s">
        <v>72</v>
      </c>
      <c r="Q569" s="20">
        <v>0</v>
      </c>
      <c r="R569" s="40">
        <v>46255</v>
      </c>
      <c r="S569" s="20">
        <v>3</v>
      </c>
      <c r="T569" s="20">
        <v>3</v>
      </c>
      <c r="U569" s="40">
        <v>46258</v>
      </c>
      <c r="V569" s="40">
        <v>46258</v>
      </c>
      <c r="W569" s="20" t="s">
        <v>54</v>
      </c>
      <c r="X569" s="21"/>
      <c r="Y569" s="19">
        <f>VLOOKUP(F569,[2]New!$B:$G,3,0)*K569/60</f>
        <v>154.56</v>
      </c>
      <c r="Z569" s="19">
        <f>VLOOKUP(F569,[2]New!$B:$G,4,0)*K569/60</f>
        <v>296.7</v>
      </c>
      <c r="AA569" s="19">
        <f>VLOOKUP(F569,[2]New!$B:$G,6,0)*K569/60</f>
        <v>613.18000000000006</v>
      </c>
      <c r="AB569" s="44">
        <f>VLOOKUP(A569,'[4]PO CAG'!$A:$L,12,0)</f>
        <v>46303</v>
      </c>
      <c r="AC569" s="22" t="str">
        <f>IFERROR(VLOOKUP(F569,[3]Sheet1!$E:$H,4,0),)</f>
        <v>H</v>
      </c>
      <c r="AD569" s="144"/>
      <c r="AE569" s="25" t="e">
        <v>#N/A</v>
      </c>
      <c r="AF569" s="135" t="s">
        <v>198</v>
      </c>
      <c r="AG569" s="135"/>
      <c r="AH569" s="135"/>
      <c r="AI569" s="135"/>
      <c r="AJ569" s="267" t="s">
        <v>187</v>
      </c>
      <c r="AN569" s="278">
        <v>2</v>
      </c>
      <c r="AO569" s="278">
        <v>2</v>
      </c>
      <c r="AP569" s="278">
        <v>2</v>
      </c>
      <c r="AQ569" s="278">
        <v>2</v>
      </c>
    </row>
    <row r="570" spans="1:43">
      <c r="A570" s="135" t="s">
        <v>4771</v>
      </c>
      <c r="B570" s="135" t="s">
        <v>5125</v>
      </c>
      <c r="C570" s="135" t="s">
        <v>4772</v>
      </c>
      <c r="D570" s="46">
        <v>11131302</v>
      </c>
      <c r="E570" s="20" t="s">
        <v>4773</v>
      </c>
      <c r="F570" s="20" t="s">
        <v>4774</v>
      </c>
      <c r="G570" s="24">
        <v>10</v>
      </c>
      <c r="H570" s="21">
        <v>46263</v>
      </c>
      <c r="I570" s="53" t="s">
        <v>4775</v>
      </c>
      <c r="J570" s="24" t="s">
        <v>4776</v>
      </c>
      <c r="K570" s="24">
        <v>10</v>
      </c>
      <c r="L570" s="46">
        <v>12116190</v>
      </c>
      <c r="M570" s="20" t="s">
        <v>5006</v>
      </c>
      <c r="N570" s="38">
        <v>0</v>
      </c>
      <c r="O570" s="38">
        <v>0</v>
      </c>
      <c r="P570" s="20" t="s">
        <v>94</v>
      </c>
      <c r="Q570" s="20">
        <v>0</v>
      </c>
      <c r="R570" s="40">
        <v>46255</v>
      </c>
      <c r="S570" s="20">
        <v>0</v>
      </c>
      <c r="T570" s="20">
        <v>0</v>
      </c>
      <c r="U570" s="40">
        <v>46258</v>
      </c>
      <c r="V570" s="40">
        <v>46258</v>
      </c>
      <c r="W570" s="20" t="s">
        <v>57</v>
      </c>
      <c r="X570" s="21"/>
      <c r="Y570" s="19">
        <f>VLOOKUP(F570,[2]New!$B:$G,3,0)*K570/60</f>
        <v>3.5</v>
      </c>
      <c r="Z570" s="19">
        <f>VLOOKUP(F570,[2]New!$B:$G,4,0)*K570/60</f>
        <v>15.433333333333334</v>
      </c>
      <c r="AA570" s="19">
        <f>VLOOKUP(F570,[2]New!$B:$G,6,0)*K570/60</f>
        <v>7.166666666666667</v>
      </c>
      <c r="AB570" s="44">
        <f>VLOOKUP(A570,'[4]PO CAG'!$A:$L,12,0)</f>
        <v>46269</v>
      </c>
      <c r="AC570" s="22">
        <f>IFERROR(VLOOKUP(F570,[3]Sheet1!$E:$H,4,0),)</f>
        <v>0</v>
      </c>
      <c r="AD570" s="144"/>
      <c r="AE570" s="25" t="e">
        <v>#N/A</v>
      </c>
      <c r="AF570" s="135" t="s">
        <v>112</v>
      </c>
      <c r="AG570" s="135"/>
      <c r="AH570" s="135"/>
      <c r="AI570" s="135"/>
      <c r="AJ570" s="267" t="s">
        <v>153</v>
      </c>
      <c r="AN570" s="278">
        <v>3</v>
      </c>
      <c r="AO570" s="278">
        <v>3</v>
      </c>
      <c r="AP570" s="278">
        <v>3</v>
      </c>
      <c r="AQ570" s="278">
        <v>3</v>
      </c>
    </row>
    <row r="571" spans="1:43">
      <c r="A571" s="135" t="s">
        <v>4777</v>
      </c>
      <c r="B571" s="135" t="s">
        <v>5126</v>
      </c>
      <c r="C571" s="135" t="s">
        <v>4778</v>
      </c>
      <c r="D571" s="46">
        <v>11134302</v>
      </c>
      <c r="E571" s="20" t="s">
        <v>4779</v>
      </c>
      <c r="F571" s="20" t="s">
        <v>4780</v>
      </c>
      <c r="G571" s="24">
        <v>1</v>
      </c>
      <c r="H571" s="21">
        <v>46263</v>
      </c>
      <c r="I571" s="53" t="s">
        <v>4781</v>
      </c>
      <c r="J571" s="24" t="s">
        <v>4782</v>
      </c>
      <c r="K571" s="24">
        <v>1</v>
      </c>
      <c r="L571" s="46">
        <v>12116282</v>
      </c>
      <c r="M571" s="20" t="s">
        <v>5007</v>
      </c>
      <c r="N571" s="38">
        <v>0</v>
      </c>
      <c r="O571" s="38">
        <v>0</v>
      </c>
      <c r="P571" s="20" t="s">
        <v>469</v>
      </c>
      <c r="Q571" s="20">
        <v>0</v>
      </c>
      <c r="R571" s="40">
        <v>46255</v>
      </c>
      <c r="S571" s="20">
        <v>0</v>
      </c>
      <c r="T571" s="20">
        <v>0</v>
      </c>
      <c r="U571" s="40">
        <v>46258</v>
      </c>
      <c r="V571" s="40">
        <v>46258</v>
      </c>
      <c r="W571" s="20" t="s">
        <v>57</v>
      </c>
      <c r="X571" s="21"/>
      <c r="Y571" s="19">
        <f>VLOOKUP(F571,[2]New!$B:$G,3,0)*K571/60</f>
        <v>0.93333333333333335</v>
      </c>
      <c r="Z571" s="19">
        <f>VLOOKUP(F571,[2]New!$B:$G,4,0)*K571/60</f>
        <v>3.9</v>
      </c>
      <c r="AA571" s="19">
        <f>VLOOKUP(F571,[2]New!$B:$G,6,0)*K571/60</f>
        <v>4.8166666666666664</v>
      </c>
      <c r="AB571" s="44">
        <f>VLOOKUP(A571,'[4]PO CAG'!$A:$L,12,0)</f>
        <v>46269</v>
      </c>
      <c r="AC571" s="22">
        <f>IFERROR(VLOOKUP(F571,[3]Sheet1!$E:$H,4,0),)</f>
        <v>0</v>
      </c>
      <c r="AD571" s="144"/>
      <c r="AE571" s="25" t="e">
        <v>#N/A</v>
      </c>
      <c r="AF571" s="135" t="s">
        <v>112</v>
      </c>
      <c r="AG571" s="135"/>
      <c r="AH571" s="135"/>
      <c r="AI571" s="135"/>
      <c r="AJ571" s="267" t="s">
        <v>153</v>
      </c>
      <c r="AN571" s="278">
        <v>2</v>
      </c>
      <c r="AO571" s="278">
        <v>2</v>
      </c>
      <c r="AP571" s="278">
        <v>2</v>
      </c>
      <c r="AQ571" s="278">
        <v>2</v>
      </c>
    </row>
    <row r="572" spans="1:43">
      <c r="A572" s="135" t="s">
        <v>4783</v>
      </c>
      <c r="B572" s="135" t="s">
        <v>5127</v>
      </c>
      <c r="C572" s="135" t="s">
        <v>4784</v>
      </c>
      <c r="D572" s="46">
        <v>11134304</v>
      </c>
      <c r="E572" s="20" t="s">
        <v>1128</v>
      </c>
      <c r="F572" s="20" t="s">
        <v>1129</v>
      </c>
      <c r="G572" s="24">
        <v>2</v>
      </c>
      <c r="H572" s="21">
        <v>46263</v>
      </c>
      <c r="I572" s="53" t="s">
        <v>4785</v>
      </c>
      <c r="J572" s="24" t="s">
        <v>4786</v>
      </c>
      <c r="K572" s="24">
        <v>2</v>
      </c>
      <c r="L572" s="46">
        <v>12116312</v>
      </c>
      <c r="M572" s="20" t="s">
        <v>1150</v>
      </c>
      <c r="N572" s="38">
        <v>0</v>
      </c>
      <c r="O572" s="38">
        <v>0</v>
      </c>
      <c r="P572" s="20" t="s">
        <v>469</v>
      </c>
      <c r="Q572" s="20">
        <v>0</v>
      </c>
      <c r="R572" s="40">
        <v>46255</v>
      </c>
      <c r="S572" s="20">
        <v>0</v>
      </c>
      <c r="T572" s="20">
        <v>0</v>
      </c>
      <c r="U572" s="40">
        <v>46258</v>
      </c>
      <c r="V572" s="40">
        <v>46258</v>
      </c>
      <c r="W572" s="20" t="s">
        <v>57</v>
      </c>
      <c r="X572" s="21"/>
      <c r="Y572" s="19">
        <f>VLOOKUP(F572,[2]New!$B:$G,3,0)*K572/60</f>
        <v>1.8666666666666667</v>
      </c>
      <c r="Z572" s="19">
        <f>VLOOKUP(F572,[2]New!$B:$G,4,0)*K572/60</f>
        <v>7.8</v>
      </c>
      <c r="AA572" s="19">
        <f>VLOOKUP(F572,[2]New!$B:$G,6,0)*K572/60</f>
        <v>9.6333333333333329</v>
      </c>
      <c r="AB572" s="44">
        <f>VLOOKUP(A572,'[4]PO CAG'!$A:$L,12,0)</f>
        <v>46269</v>
      </c>
      <c r="AC572" s="22">
        <f>IFERROR(VLOOKUP(F572,[3]Sheet1!$E:$H,4,0),)</f>
        <v>0</v>
      </c>
      <c r="AD572" s="144"/>
      <c r="AE572" s="25" t="e">
        <v>#N/A</v>
      </c>
      <c r="AF572" s="135" t="s">
        <v>112</v>
      </c>
      <c r="AG572" s="135"/>
      <c r="AH572" s="135"/>
      <c r="AI572" s="135"/>
      <c r="AJ572" s="267" t="s">
        <v>153</v>
      </c>
      <c r="AN572" s="278">
        <v>2</v>
      </c>
      <c r="AO572" s="278">
        <v>2</v>
      </c>
      <c r="AP572" s="278">
        <v>2</v>
      </c>
      <c r="AQ572" s="278">
        <v>2</v>
      </c>
    </row>
    <row r="573" spans="1:43">
      <c r="A573" s="135" t="s">
        <v>4787</v>
      </c>
      <c r="B573" s="135" t="s">
        <v>5128</v>
      </c>
      <c r="C573" s="135" t="s">
        <v>4788</v>
      </c>
      <c r="D573" s="46">
        <v>11134315</v>
      </c>
      <c r="E573" s="20" t="s">
        <v>4789</v>
      </c>
      <c r="F573" s="20" t="s">
        <v>4790</v>
      </c>
      <c r="G573" s="24">
        <v>2</v>
      </c>
      <c r="H573" s="21">
        <v>46263</v>
      </c>
      <c r="I573" s="53" t="s">
        <v>4791</v>
      </c>
      <c r="J573" s="24" t="s">
        <v>4792</v>
      </c>
      <c r="K573" s="24">
        <v>2</v>
      </c>
      <c r="L573" s="46">
        <v>12116323</v>
      </c>
      <c r="M573" s="20" t="s">
        <v>5008</v>
      </c>
      <c r="N573" s="38">
        <v>0</v>
      </c>
      <c r="O573" s="38">
        <v>0</v>
      </c>
      <c r="P573" s="20" t="s">
        <v>469</v>
      </c>
      <c r="Q573" s="20">
        <v>0</v>
      </c>
      <c r="R573" s="40">
        <v>46255</v>
      </c>
      <c r="S573" s="20">
        <v>0</v>
      </c>
      <c r="T573" s="20">
        <v>0</v>
      </c>
      <c r="U573" s="40">
        <v>46258</v>
      </c>
      <c r="V573" s="40">
        <v>46258</v>
      </c>
      <c r="W573" s="20" t="s">
        <v>57</v>
      </c>
      <c r="X573" s="21"/>
      <c r="Y573" s="19">
        <f>VLOOKUP(F573,[2]New!$B:$G,3,0)*K573/60</f>
        <v>1.8666666666666667</v>
      </c>
      <c r="Z573" s="19">
        <f>VLOOKUP(F573,[2]New!$B:$G,4,0)*K573/60</f>
        <v>7.8</v>
      </c>
      <c r="AA573" s="19">
        <f>VLOOKUP(F573,[2]New!$B:$G,6,0)*K573/60</f>
        <v>9.6333333333333329</v>
      </c>
      <c r="AB573" s="44">
        <f>VLOOKUP(A573,'[4]PO CAG'!$A:$L,12,0)</f>
        <v>46269</v>
      </c>
      <c r="AC573" s="22">
        <f>IFERROR(VLOOKUP(F573,[3]Sheet1!$E:$H,4,0),)</f>
        <v>0</v>
      </c>
      <c r="AD573" s="144"/>
      <c r="AE573" s="25" t="e">
        <v>#N/A</v>
      </c>
      <c r="AF573" s="135" t="s">
        <v>112</v>
      </c>
      <c r="AG573" s="135"/>
      <c r="AH573" s="135"/>
      <c r="AI573" s="135"/>
      <c r="AJ573" s="267" t="s">
        <v>153</v>
      </c>
      <c r="AN573" s="278">
        <v>2</v>
      </c>
      <c r="AO573" s="278">
        <v>2</v>
      </c>
      <c r="AP573" s="278">
        <v>2</v>
      </c>
      <c r="AQ573" s="278">
        <v>2</v>
      </c>
    </row>
    <row r="574" spans="1:43">
      <c r="A574" s="135" t="s">
        <v>4793</v>
      </c>
      <c r="B574" s="135" t="s">
        <v>5129</v>
      </c>
      <c r="C574" s="135" t="s">
        <v>4794</v>
      </c>
      <c r="D574" s="46">
        <v>11134278</v>
      </c>
      <c r="E574" s="20" t="s">
        <v>4795</v>
      </c>
      <c r="F574" s="20" t="s">
        <v>4796</v>
      </c>
      <c r="G574" s="24">
        <v>4</v>
      </c>
      <c r="H574" s="21">
        <v>46263</v>
      </c>
      <c r="I574" s="53" t="s">
        <v>4797</v>
      </c>
      <c r="J574" s="24" t="s">
        <v>4798</v>
      </c>
      <c r="K574" s="24">
        <v>4</v>
      </c>
      <c r="L574" s="46">
        <v>12116190</v>
      </c>
      <c r="M574" s="20" t="s">
        <v>5006</v>
      </c>
      <c r="N574" s="38">
        <v>0</v>
      </c>
      <c r="O574" s="38">
        <v>0</v>
      </c>
      <c r="P574" s="20" t="s">
        <v>469</v>
      </c>
      <c r="Q574" s="20">
        <v>0</v>
      </c>
      <c r="R574" s="40">
        <v>46255</v>
      </c>
      <c r="S574" s="20">
        <v>0</v>
      </c>
      <c r="T574" s="20">
        <v>0</v>
      </c>
      <c r="U574" s="40">
        <v>46258</v>
      </c>
      <c r="V574" s="40">
        <v>46258</v>
      </c>
      <c r="W574" s="20" t="s">
        <v>57</v>
      </c>
      <c r="X574" s="21"/>
      <c r="Y574" s="19">
        <f>VLOOKUP(F574,[2]New!$B:$G,3,0)*K574/60</f>
        <v>3.7333333333333334</v>
      </c>
      <c r="Z574" s="19">
        <f>VLOOKUP(F574,[2]New!$B:$G,4,0)*K574/60</f>
        <v>15.6</v>
      </c>
      <c r="AA574" s="19">
        <f>VLOOKUP(F574,[2]New!$B:$G,6,0)*K574/60</f>
        <v>19.279999999999998</v>
      </c>
      <c r="AB574" s="44">
        <f>VLOOKUP(A574,'[4]PO CAG'!$A:$L,12,0)</f>
        <v>46269</v>
      </c>
      <c r="AC574" s="22">
        <f>IFERROR(VLOOKUP(F574,[3]Sheet1!$E:$H,4,0),)</f>
        <v>0</v>
      </c>
      <c r="AD574" s="144"/>
      <c r="AE574" s="25" t="e">
        <v>#N/A</v>
      </c>
      <c r="AF574" s="135" t="s">
        <v>112</v>
      </c>
      <c r="AG574" s="135"/>
      <c r="AH574" s="135"/>
      <c r="AI574" s="135"/>
      <c r="AJ574" s="267" t="s">
        <v>153</v>
      </c>
      <c r="AN574" s="278">
        <v>2</v>
      </c>
      <c r="AO574" s="278">
        <v>2</v>
      </c>
      <c r="AP574" s="278">
        <v>2</v>
      </c>
      <c r="AQ574" s="278">
        <v>2</v>
      </c>
    </row>
    <row r="575" spans="1:43">
      <c r="A575" s="135" t="s">
        <v>4799</v>
      </c>
      <c r="B575" s="135" t="s">
        <v>5130</v>
      </c>
      <c r="C575" s="135" t="s">
        <v>4800</v>
      </c>
      <c r="D575" s="46">
        <v>11134259</v>
      </c>
      <c r="E575" s="20" t="s">
        <v>592</v>
      </c>
      <c r="F575" s="20" t="s">
        <v>593</v>
      </c>
      <c r="G575" s="24">
        <v>5</v>
      </c>
      <c r="H575" s="21">
        <v>46263</v>
      </c>
      <c r="I575" s="53" t="s">
        <v>4801</v>
      </c>
      <c r="J575" s="24" t="s">
        <v>4802</v>
      </c>
      <c r="K575" s="24">
        <v>5</v>
      </c>
      <c r="L575" s="46">
        <v>12116063</v>
      </c>
      <c r="M575" s="20" t="s">
        <v>617</v>
      </c>
      <c r="N575" s="38">
        <v>0</v>
      </c>
      <c r="O575" s="38">
        <v>0</v>
      </c>
      <c r="P575" s="20" t="s">
        <v>469</v>
      </c>
      <c r="Q575" s="20">
        <v>0</v>
      </c>
      <c r="R575" s="40">
        <v>46255</v>
      </c>
      <c r="S575" s="20">
        <v>0</v>
      </c>
      <c r="T575" s="20">
        <v>0</v>
      </c>
      <c r="U575" s="40">
        <v>46258</v>
      </c>
      <c r="V575" s="40">
        <v>46258</v>
      </c>
      <c r="W575" s="20" t="s">
        <v>57</v>
      </c>
      <c r="X575" s="21"/>
      <c r="Y575" s="19">
        <f>VLOOKUP(F575,[2]New!$B:$G,3,0)*K575/60</f>
        <v>4.666666666666667</v>
      </c>
      <c r="Z575" s="19">
        <f>VLOOKUP(F575,[2]New!$B:$G,4,0)*K575/60</f>
        <v>19.5</v>
      </c>
      <c r="AA575" s="19">
        <f>VLOOKUP(F575,[2]New!$B:$G,6,0)*K575/60</f>
        <v>24.083333333333332</v>
      </c>
      <c r="AB575" s="44">
        <f>VLOOKUP(A575,'[4]PO CAG'!$A:$L,12,0)</f>
        <v>46269</v>
      </c>
      <c r="AC575" s="22">
        <f>IFERROR(VLOOKUP(F575,[3]Sheet1!$E:$H,4,0),)</f>
        <v>0</v>
      </c>
      <c r="AD575" s="144"/>
      <c r="AE575" s="25" t="e">
        <v>#N/A</v>
      </c>
      <c r="AF575" s="135" t="s">
        <v>112</v>
      </c>
      <c r="AG575" s="135"/>
      <c r="AH575" s="135"/>
      <c r="AI575" s="135"/>
      <c r="AJ575" s="267" t="s">
        <v>153</v>
      </c>
      <c r="AN575" s="278">
        <v>2</v>
      </c>
      <c r="AO575" s="278">
        <v>2</v>
      </c>
      <c r="AP575" s="278">
        <v>2</v>
      </c>
      <c r="AQ575" s="278">
        <v>2</v>
      </c>
    </row>
    <row r="576" spans="1:43">
      <c r="A576" s="135" t="s">
        <v>4803</v>
      </c>
      <c r="B576" s="135" t="s">
        <v>5131</v>
      </c>
      <c r="C576" s="135" t="s">
        <v>4804</v>
      </c>
      <c r="D576" s="46">
        <v>11134313</v>
      </c>
      <c r="E576" s="20" t="s">
        <v>4805</v>
      </c>
      <c r="F576" s="20" t="s">
        <v>4806</v>
      </c>
      <c r="G576" s="24">
        <v>6</v>
      </c>
      <c r="H576" s="21">
        <v>46263</v>
      </c>
      <c r="I576" s="53" t="s">
        <v>4807</v>
      </c>
      <c r="J576" s="24" t="s">
        <v>4808</v>
      </c>
      <c r="K576" s="24">
        <v>6</v>
      </c>
      <c r="L576" s="46">
        <v>12116321</v>
      </c>
      <c r="M576" s="20" t="s">
        <v>5009</v>
      </c>
      <c r="N576" s="38">
        <v>0</v>
      </c>
      <c r="O576" s="38">
        <v>0</v>
      </c>
      <c r="P576" s="20" t="s">
        <v>469</v>
      </c>
      <c r="Q576" s="20">
        <v>0</v>
      </c>
      <c r="R576" s="40">
        <v>46255</v>
      </c>
      <c r="S576" s="20">
        <v>0</v>
      </c>
      <c r="T576" s="20">
        <v>0</v>
      </c>
      <c r="U576" s="40">
        <v>46258</v>
      </c>
      <c r="V576" s="40">
        <v>46258</v>
      </c>
      <c r="W576" s="20" t="s">
        <v>57</v>
      </c>
      <c r="X576" s="21"/>
      <c r="Y576" s="19">
        <f>VLOOKUP(F576,[2]New!$B:$G,3,0)*K576/60</f>
        <v>5.6</v>
      </c>
      <c r="Z576" s="19">
        <f>VLOOKUP(F576,[2]New!$B:$G,4,0)*K576/60</f>
        <v>23.4</v>
      </c>
      <c r="AA576" s="19">
        <f>VLOOKUP(F576,[2]New!$B:$G,6,0)*K576/60</f>
        <v>28.919999999999998</v>
      </c>
      <c r="AB576" s="44">
        <f>VLOOKUP(A576,'[4]PO CAG'!$A:$L,12,0)</f>
        <v>46269</v>
      </c>
      <c r="AC576" s="22">
        <f>IFERROR(VLOOKUP(F576,[3]Sheet1!$E:$H,4,0),)</f>
        <v>0</v>
      </c>
      <c r="AD576" s="144"/>
      <c r="AE576" s="25" t="e">
        <v>#N/A</v>
      </c>
      <c r="AF576" s="135" t="s">
        <v>112</v>
      </c>
      <c r="AG576" s="135"/>
      <c r="AH576" s="135"/>
      <c r="AI576" s="135"/>
      <c r="AJ576" s="267" t="s">
        <v>153</v>
      </c>
      <c r="AN576" s="278">
        <v>2</v>
      </c>
      <c r="AO576" s="278">
        <v>2</v>
      </c>
      <c r="AP576" s="278">
        <v>2</v>
      </c>
      <c r="AQ576" s="278">
        <v>2</v>
      </c>
    </row>
    <row r="577" spans="1:43">
      <c r="A577" s="135" t="s">
        <v>4809</v>
      </c>
      <c r="B577" s="135" t="s">
        <v>5132</v>
      </c>
      <c r="C577" s="135" t="s">
        <v>4810</v>
      </c>
      <c r="D577" s="46">
        <v>11134287</v>
      </c>
      <c r="E577" s="20" t="s">
        <v>4811</v>
      </c>
      <c r="F577" s="20" t="s">
        <v>4812</v>
      </c>
      <c r="G577" s="24">
        <v>9</v>
      </c>
      <c r="H577" s="21">
        <v>46263</v>
      </c>
      <c r="I577" s="53" t="s">
        <v>4813</v>
      </c>
      <c r="J577" s="24" t="s">
        <v>4814</v>
      </c>
      <c r="K577" s="24">
        <v>9</v>
      </c>
      <c r="L577" s="46">
        <v>12116199</v>
      </c>
      <c r="M577" s="20" t="s">
        <v>619</v>
      </c>
      <c r="N577" s="38">
        <v>0</v>
      </c>
      <c r="O577" s="38">
        <v>0</v>
      </c>
      <c r="P577" s="20" t="s">
        <v>469</v>
      </c>
      <c r="Q577" s="20">
        <v>0</v>
      </c>
      <c r="R577" s="40">
        <v>46255</v>
      </c>
      <c r="S577" s="20">
        <v>0</v>
      </c>
      <c r="T577" s="20">
        <v>0</v>
      </c>
      <c r="U577" s="40">
        <v>46258</v>
      </c>
      <c r="V577" s="40">
        <v>46258</v>
      </c>
      <c r="W577" s="20" t="s">
        <v>57</v>
      </c>
      <c r="X577" s="21"/>
      <c r="Y577" s="19">
        <f>VLOOKUP(F577,[2]New!$B:$G,3,0)*K577/60</f>
        <v>8.4</v>
      </c>
      <c r="Z577" s="19">
        <f>VLOOKUP(F577,[2]New!$B:$G,4,0)*K577/60</f>
        <v>35.1</v>
      </c>
      <c r="AA577" s="19">
        <f>VLOOKUP(F577,[2]New!$B:$G,6,0)*K577/60</f>
        <v>43.379999999999995</v>
      </c>
      <c r="AB577" s="44">
        <f>VLOOKUP(A577,'[4]PO CAG'!$A:$L,12,0)</f>
        <v>46269</v>
      </c>
      <c r="AC577" s="22">
        <f>IFERROR(VLOOKUP(F577,[3]Sheet1!$E:$H,4,0),)</f>
        <v>0</v>
      </c>
      <c r="AD577" s="144"/>
      <c r="AE577" s="25" t="e">
        <v>#N/A</v>
      </c>
      <c r="AF577" s="135" t="s">
        <v>112</v>
      </c>
      <c r="AG577" s="135"/>
      <c r="AH577" s="135"/>
      <c r="AI577" s="135"/>
      <c r="AJ577" s="267" t="s">
        <v>153</v>
      </c>
      <c r="AN577" s="278">
        <v>2</v>
      </c>
      <c r="AO577" s="278">
        <v>2</v>
      </c>
      <c r="AP577" s="278">
        <v>2</v>
      </c>
      <c r="AQ577" s="278">
        <v>2</v>
      </c>
    </row>
    <row r="578" spans="1:43">
      <c r="A578" s="135" t="s">
        <v>4815</v>
      </c>
      <c r="B578" s="135" t="s">
        <v>5133</v>
      </c>
      <c r="C578" s="135" t="s">
        <v>4816</v>
      </c>
      <c r="D578" s="46">
        <v>11134266</v>
      </c>
      <c r="E578" s="20" t="s">
        <v>4817</v>
      </c>
      <c r="F578" s="20" t="s">
        <v>4818</v>
      </c>
      <c r="G578" s="24">
        <v>11</v>
      </c>
      <c r="H578" s="21">
        <v>46263</v>
      </c>
      <c r="I578" s="53" t="s">
        <v>4819</v>
      </c>
      <c r="J578" s="24" t="s">
        <v>4820</v>
      </c>
      <c r="K578" s="24">
        <v>11</v>
      </c>
      <c r="L578" s="46">
        <v>12116150</v>
      </c>
      <c r="M578" s="20" t="s">
        <v>5010</v>
      </c>
      <c r="N578" s="38">
        <v>0</v>
      </c>
      <c r="O578" s="38">
        <v>0</v>
      </c>
      <c r="P578" s="20" t="s">
        <v>469</v>
      </c>
      <c r="Q578" s="20">
        <v>0</v>
      </c>
      <c r="R578" s="40">
        <v>46255</v>
      </c>
      <c r="S578" s="20">
        <v>0</v>
      </c>
      <c r="T578" s="20">
        <v>0</v>
      </c>
      <c r="U578" s="40">
        <v>46258</v>
      </c>
      <c r="V578" s="40">
        <v>46258</v>
      </c>
      <c r="W578" s="20" t="s">
        <v>57</v>
      </c>
      <c r="X578" s="21"/>
      <c r="Y578" s="19">
        <f>VLOOKUP(F578,[2]New!$B:$G,3,0)*K578/60</f>
        <v>10.266666666666667</v>
      </c>
      <c r="Z578" s="19">
        <f>VLOOKUP(F578,[2]New!$B:$G,4,0)*K578/60</f>
        <v>42.9</v>
      </c>
      <c r="AA578" s="19">
        <f>VLOOKUP(F578,[2]New!$B:$G,6,0)*K578/60</f>
        <v>53.019999999999996</v>
      </c>
      <c r="AB578" s="44">
        <f>VLOOKUP(A578,'[4]PO CAG'!$A:$L,12,0)</f>
        <v>46269</v>
      </c>
      <c r="AC578" s="22">
        <f>IFERROR(VLOOKUP(F578,[3]Sheet1!$E:$H,4,0),)</f>
        <v>0</v>
      </c>
      <c r="AD578" s="144"/>
      <c r="AE578" s="25" t="e">
        <v>#N/A</v>
      </c>
      <c r="AF578" s="135" t="s">
        <v>112</v>
      </c>
      <c r="AG578" s="135"/>
      <c r="AH578" s="135"/>
      <c r="AI578" s="135"/>
      <c r="AJ578" s="267" t="s">
        <v>153</v>
      </c>
      <c r="AN578" s="278">
        <v>2</v>
      </c>
      <c r="AO578" s="278">
        <v>2</v>
      </c>
      <c r="AP578" s="278">
        <v>2</v>
      </c>
      <c r="AQ578" s="278">
        <v>2</v>
      </c>
    </row>
    <row r="579" spans="1:43">
      <c r="A579" s="135" t="s">
        <v>4821</v>
      </c>
      <c r="B579" s="135" t="s">
        <v>5134</v>
      </c>
      <c r="C579" s="135" t="s">
        <v>4822</v>
      </c>
      <c r="D579" s="46">
        <v>11134286</v>
      </c>
      <c r="E579" s="20" t="s">
        <v>837</v>
      </c>
      <c r="F579" s="20" t="s">
        <v>838</v>
      </c>
      <c r="G579" s="24">
        <v>19</v>
      </c>
      <c r="H579" s="21">
        <v>46263</v>
      </c>
      <c r="I579" s="53" t="s">
        <v>4823</v>
      </c>
      <c r="J579" s="24" t="s">
        <v>4824</v>
      </c>
      <c r="K579" s="24">
        <v>19</v>
      </c>
      <c r="L579" s="46">
        <v>12116198</v>
      </c>
      <c r="M579" s="20" t="s">
        <v>880</v>
      </c>
      <c r="N579" s="38">
        <v>0</v>
      </c>
      <c r="O579" s="38">
        <v>0</v>
      </c>
      <c r="P579" s="20" t="s">
        <v>469</v>
      </c>
      <c r="Q579" s="20">
        <v>0</v>
      </c>
      <c r="R579" s="40">
        <v>46255</v>
      </c>
      <c r="S579" s="20">
        <v>0</v>
      </c>
      <c r="T579" s="20">
        <v>0</v>
      </c>
      <c r="U579" s="40">
        <v>46258</v>
      </c>
      <c r="V579" s="40">
        <v>46258</v>
      </c>
      <c r="W579" s="20" t="s">
        <v>57</v>
      </c>
      <c r="X579" s="21"/>
      <c r="Y579" s="19">
        <f>VLOOKUP(F579,[2]New!$B:$G,3,0)*K579/60</f>
        <v>17.733333333333334</v>
      </c>
      <c r="Z579" s="19">
        <f>VLOOKUP(F579,[2]New!$B:$G,4,0)*K579/60</f>
        <v>74.099999999999994</v>
      </c>
      <c r="AA579" s="19">
        <f>VLOOKUP(F579,[2]New!$B:$G,6,0)*K579/60</f>
        <v>74.099999999999994</v>
      </c>
      <c r="AB579" s="44">
        <f>VLOOKUP(A579,'[4]PO CAG'!$A:$L,12,0)</f>
        <v>46269</v>
      </c>
      <c r="AC579" s="22">
        <f>IFERROR(VLOOKUP(F579,[3]Sheet1!$E:$H,4,0),)</f>
        <v>0</v>
      </c>
      <c r="AD579" s="144"/>
      <c r="AE579" s="25" t="e">
        <v>#N/A</v>
      </c>
      <c r="AF579" s="135" t="s">
        <v>112</v>
      </c>
      <c r="AG579" s="135"/>
      <c r="AH579" s="135"/>
      <c r="AI579" s="135"/>
      <c r="AJ579" s="267" t="s">
        <v>153</v>
      </c>
      <c r="AN579" s="278">
        <v>2</v>
      </c>
      <c r="AO579" s="278">
        <v>2</v>
      </c>
      <c r="AP579" s="278">
        <v>2</v>
      </c>
      <c r="AQ579" s="278">
        <v>2</v>
      </c>
    </row>
    <row r="580" spans="1:43">
      <c r="A580" s="135" t="s">
        <v>4825</v>
      </c>
      <c r="B580" s="135" t="s">
        <v>5135</v>
      </c>
      <c r="C580" s="135" t="s">
        <v>4826</v>
      </c>
      <c r="D580" s="46">
        <v>11134253</v>
      </c>
      <c r="E580" s="20" t="s">
        <v>4827</v>
      </c>
      <c r="F580" s="20" t="s">
        <v>4828</v>
      </c>
      <c r="G580" s="24">
        <v>29</v>
      </c>
      <c r="H580" s="21">
        <v>46263</v>
      </c>
      <c r="I580" s="53" t="s">
        <v>4829</v>
      </c>
      <c r="J580" s="24" t="s">
        <v>4830</v>
      </c>
      <c r="K580" s="24">
        <v>29</v>
      </c>
      <c r="L580" s="46">
        <v>12116037</v>
      </c>
      <c r="M580" s="20" t="s">
        <v>4221</v>
      </c>
      <c r="N580" s="38">
        <v>0</v>
      </c>
      <c r="O580" s="38">
        <v>0</v>
      </c>
      <c r="P580" s="20" t="s">
        <v>469</v>
      </c>
      <c r="Q580" s="20">
        <v>0</v>
      </c>
      <c r="R580" s="40">
        <v>46255</v>
      </c>
      <c r="S580" s="20">
        <v>0</v>
      </c>
      <c r="T580" s="20">
        <v>0</v>
      </c>
      <c r="U580" s="40">
        <v>46258</v>
      </c>
      <c r="V580" s="40">
        <v>46258</v>
      </c>
      <c r="W580" s="20" t="s">
        <v>57</v>
      </c>
      <c r="X580" s="21"/>
      <c r="Y580" s="19">
        <f>VLOOKUP(F580,[2]New!$B:$G,3,0)*K580/60</f>
        <v>34.799999999999997</v>
      </c>
      <c r="Z580" s="19">
        <f>VLOOKUP(F580,[2]New!$B:$G,4,0)*K580/60</f>
        <v>115.03333333333333</v>
      </c>
      <c r="AA580" s="19">
        <f>VLOOKUP(F580,[2]New!$B:$G,6,0)*K580/60</f>
        <v>139.78</v>
      </c>
      <c r="AB580" s="44">
        <f>VLOOKUP(A580,'[4]PO CAG'!$A:$L,12,0)</f>
        <v>46269</v>
      </c>
      <c r="AC580" s="22">
        <f>IFERROR(VLOOKUP(F580,[3]Sheet1!$E:$H,4,0),)</f>
        <v>0</v>
      </c>
      <c r="AD580" s="144"/>
      <c r="AE580" s="25" t="e">
        <v>#N/A</v>
      </c>
      <c r="AF580" s="135" t="s">
        <v>112</v>
      </c>
      <c r="AG580" s="135"/>
      <c r="AH580" s="135"/>
      <c r="AI580" s="135"/>
      <c r="AJ580" s="267" t="s">
        <v>153</v>
      </c>
      <c r="AN580" s="278">
        <v>2</v>
      </c>
      <c r="AO580" s="278">
        <v>2</v>
      </c>
      <c r="AP580" s="278">
        <v>2</v>
      </c>
      <c r="AQ580" s="278">
        <v>2</v>
      </c>
    </row>
    <row r="581" spans="1:43">
      <c r="A581" s="135" t="s">
        <v>4831</v>
      </c>
      <c r="B581" s="135" t="s">
        <v>5136</v>
      </c>
      <c r="C581" s="135" t="s">
        <v>4832</v>
      </c>
      <c r="D581" s="46">
        <v>11134279</v>
      </c>
      <c r="E581" s="20" t="s">
        <v>3879</v>
      </c>
      <c r="F581" s="20" t="s">
        <v>3880</v>
      </c>
      <c r="G581" s="24">
        <v>32</v>
      </c>
      <c r="H581" s="21">
        <v>46263</v>
      </c>
      <c r="I581" s="53" t="s">
        <v>4833</v>
      </c>
      <c r="J581" s="24" t="s">
        <v>4834</v>
      </c>
      <c r="K581" s="24">
        <v>32</v>
      </c>
      <c r="L581" s="46">
        <v>12116191</v>
      </c>
      <c r="M581" s="20" t="s">
        <v>3924</v>
      </c>
      <c r="N581" s="38">
        <v>0</v>
      </c>
      <c r="O581" s="38">
        <v>0</v>
      </c>
      <c r="P581" s="20" t="s">
        <v>469</v>
      </c>
      <c r="Q581" s="20">
        <v>0</v>
      </c>
      <c r="R581" s="40">
        <v>46255</v>
      </c>
      <c r="S581" s="20">
        <v>0</v>
      </c>
      <c r="T581" s="20">
        <v>0</v>
      </c>
      <c r="U581" s="40">
        <v>46258</v>
      </c>
      <c r="V581" s="40">
        <v>46258</v>
      </c>
      <c r="W581" s="20" t="s">
        <v>57</v>
      </c>
      <c r="X581" s="21"/>
      <c r="Y581" s="19">
        <f>VLOOKUP(F581,[2]New!$B:$G,3,0)*K581/60</f>
        <v>29.866666666666667</v>
      </c>
      <c r="Z581" s="19">
        <f>VLOOKUP(F581,[2]New!$B:$G,4,0)*K581/60</f>
        <v>124.8</v>
      </c>
      <c r="AA581" s="19">
        <f>VLOOKUP(F581,[2]New!$B:$G,6,0)*K581/60</f>
        <v>154.23999999999998</v>
      </c>
      <c r="AB581" s="44">
        <f>VLOOKUP(A581,'[4]PO CAG'!$A:$L,12,0)</f>
        <v>46269</v>
      </c>
      <c r="AC581" s="22">
        <f>IFERROR(VLOOKUP(F581,[3]Sheet1!$E:$H,4,0),)</f>
        <v>0</v>
      </c>
      <c r="AD581" s="144"/>
      <c r="AE581" s="25" t="e">
        <v>#N/A</v>
      </c>
      <c r="AF581" s="135" t="s">
        <v>112</v>
      </c>
      <c r="AG581" s="135"/>
      <c r="AH581" s="135"/>
      <c r="AI581" s="135"/>
      <c r="AJ581" s="267" t="s">
        <v>153</v>
      </c>
      <c r="AN581" s="278">
        <v>2</v>
      </c>
      <c r="AO581" s="278">
        <v>2</v>
      </c>
      <c r="AP581" s="278">
        <v>2</v>
      </c>
      <c r="AQ581" s="278">
        <v>2</v>
      </c>
    </row>
    <row r="582" spans="1:43">
      <c r="A582" s="135" t="s">
        <v>4835</v>
      </c>
      <c r="B582" s="135" t="s">
        <v>5137</v>
      </c>
      <c r="C582" s="135" t="s">
        <v>4836</v>
      </c>
      <c r="D582" s="46">
        <v>11134288</v>
      </c>
      <c r="E582" s="20" t="s">
        <v>3250</v>
      </c>
      <c r="F582" s="20" t="s">
        <v>3251</v>
      </c>
      <c r="G582" s="24">
        <v>49</v>
      </c>
      <c r="H582" s="21">
        <v>46263</v>
      </c>
      <c r="I582" s="53" t="s">
        <v>4837</v>
      </c>
      <c r="J582" s="24" t="s">
        <v>4838</v>
      </c>
      <c r="K582" s="24">
        <v>49</v>
      </c>
      <c r="L582" s="46">
        <v>12116200</v>
      </c>
      <c r="M582" s="20" t="s">
        <v>3323</v>
      </c>
      <c r="N582" s="38">
        <v>0</v>
      </c>
      <c r="O582" s="38">
        <v>0</v>
      </c>
      <c r="P582" s="20" t="s">
        <v>469</v>
      </c>
      <c r="Q582" s="20">
        <v>0</v>
      </c>
      <c r="R582" s="40">
        <v>46255</v>
      </c>
      <c r="S582" s="20">
        <v>0</v>
      </c>
      <c r="T582" s="20">
        <v>0</v>
      </c>
      <c r="U582" s="40">
        <v>46258</v>
      </c>
      <c r="V582" s="40">
        <v>46258</v>
      </c>
      <c r="W582" s="20" t="s">
        <v>57</v>
      </c>
      <c r="X582" s="21"/>
      <c r="Y582" s="19">
        <f>VLOOKUP(F582,[2]New!$B:$G,3,0)*K582/60</f>
        <v>45.733333333333334</v>
      </c>
      <c r="Z582" s="19">
        <f>VLOOKUP(F582,[2]New!$B:$G,4,0)*K582/60</f>
        <v>191.1</v>
      </c>
      <c r="AA582" s="19">
        <f>VLOOKUP(F582,[2]New!$B:$G,6,0)*K582/60</f>
        <v>236.17999999999998</v>
      </c>
      <c r="AB582" s="44">
        <f>VLOOKUP(A582,'[4]PO CAG'!$A:$L,12,0)</f>
        <v>46269</v>
      </c>
      <c r="AC582" s="22">
        <f>IFERROR(VLOOKUP(F582,[3]Sheet1!$E:$H,4,0),)</f>
        <v>0</v>
      </c>
      <c r="AD582" s="144"/>
      <c r="AE582" s="25" t="e">
        <v>#N/A</v>
      </c>
      <c r="AF582" s="135" t="s">
        <v>112</v>
      </c>
      <c r="AG582" s="135"/>
      <c r="AH582" s="135"/>
      <c r="AI582" s="135"/>
      <c r="AJ582" s="267" t="s">
        <v>153</v>
      </c>
      <c r="AN582" s="278">
        <v>2</v>
      </c>
      <c r="AO582" s="278">
        <v>2</v>
      </c>
      <c r="AP582" s="278">
        <v>2</v>
      </c>
      <c r="AQ582" s="278">
        <v>2</v>
      </c>
    </row>
    <row r="583" spans="1:43">
      <c r="A583" s="135" t="s">
        <v>4839</v>
      </c>
      <c r="B583" s="135" t="s">
        <v>5138</v>
      </c>
      <c r="C583" s="135" t="s">
        <v>4840</v>
      </c>
      <c r="D583" s="46">
        <v>11134270</v>
      </c>
      <c r="E583" s="20" t="s">
        <v>4841</v>
      </c>
      <c r="F583" s="20" t="s">
        <v>4842</v>
      </c>
      <c r="G583" s="24">
        <v>57</v>
      </c>
      <c r="H583" s="21">
        <v>46263</v>
      </c>
      <c r="I583" s="53" t="s">
        <v>4843</v>
      </c>
      <c r="J583" s="24" t="s">
        <v>4844</v>
      </c>
      <c r="K583" s="24">
        <v>57</v>
      </c>
      <c r="L583" s="46">
        <v>12116154</v>
      </c>
      <c r="M583" s="20" t="s">
        <v>371</v>
      </c>
      <c r="N583" s="38">
        <v>0</v>
      </c>
      <c r="O583" s="38">
        <v>0</v>
      </c>
      <c r="P583" s="20" t="s">
        <v>469</v>
      </c>
      <c r="Q583" s="20">
        <v>0</v>
      </c>
      <c r="R583" s="40">
        <v>46255</v>
      </c>
      <c r="S583" s="20">
        <v>0</v>
      </c>
      <c r="T583" s="20">
        <v>0</v>
      </c>
      <c r="U583" s="40">
        <v>46258</v>
      </c>
      <c r="V583" s="40">
        <v>46258</v>
      </c>
      <c r="W583" s="20" t="s">
        <v>57</v>
      </c>
      <c r="X583" s="21"/>
      <c r="Y583" s="19">
        <f>VLOOKUP(F583,[2]New!$B:$G,3,0)*K583/60</f>
        <v>53.2</v>
      </c>
      <c r="Z583" s="19">
        <f>VLOOKUP(F583,[2]New!$B:$G,4,0)*K583/60</f>
        <v>222.3</v>
      </c>
      <c r="AA583" s="19">
        <f>VLOOKUP(F583,[2]New!$B:$G,6,0)*K583/60</f>
        <v>274.73999999999995</v>
      </c>
      <c r="AB583" s="44">
        <f>VLOOKUP(A583,'[4]PO CAG'!$A:$L,12,0)</f>
        <v>46269</v>
      </c>
      <c r="AC583" s="22">
        <f>IFERROR(VLOOKUP(F583,[3]Sheet1!$E:$H,4,0),)</f>
        <v>0</v>
      </c>
      <c r="AD583" s="144"/>
      <c r="AE583" s="25" t="e">
        <v>#N/A</v>
      </c>
      <c r="AF583" s="135" t="s">
        <v>112</v>
      </c>
      <c r="AG583" s="135"/>
      <c r="AH583" s="135"/>
      <c r="AI583" s="135"/>
      <c r="AJ583" s="267" t="s">
        <v>153</v>
      </c>
      <c r="AN583" s="278">
        <v>2</v>
      </c>
      <c r="AO583" s="278">
        <v>2</v>
      </c>
      <c r="AP583" s="278">
        <v>2</v>
      </c>
      <c r="AQ583" s="278">
        <v>2</v>
      </c>
    </row>
    <row r="584" spans="1:43">
      <c r="A584" s="135" t="s">
        <v>4845</v>
      </c>
      <c r="B584" s="135" t="s">
        <v>5139</v>
      </c>
      <c r="C584" s="135" t="s">
        <v>4846</v>
      </c>
      <c r="D584" s="46">
        <v>11134278</v>
      </c>
      <c r="E584" s="20" t="s">
        <v>4795</v>
      </c>
      <c r="F584" s="20" t="s">
        <v>4796</v>
      </c>
      <c r="G584" s="24">
        <v>65</v>
      </c>
      <c r="H584" s="21">
        <v>46263</v>
      </c>
      <c r="I584" s="53" t="s">
        <v>4847</v>
      </c>
      <c r="J584" s="24" t="s">
        <v>4848</v>
      </c>
      <c r="K584" s="24">
        <v>65</v>
      </c>
      <c r="L584" s="46">
        <v>12116190</v>
      </c>
      <c r="M584" s="20" t="s">
        <v>5006</v>
      </c>
      <c r="N584" s="38">
        <v>0</v>
      </c>
      <c r="O584" s="38">
        <v>0</v>
      </c>
      <c r="P584" s="20" t="s">
        <v>469</v>
      </c>
      <c r="Q584" s="20">
        <v>0</v>
      </c>
      <c r="R584" s="40">
        <v>46255</v>
      </c>
      <c r="S584" s="20">
        <v>0</v>
      </c>
      <c r="T584" s="20">
        <v>0</v>
      </c>
      <c r="U584" s="40">
        <v>46258</v>
      </c>
      <c r="V584" s="40">
        <v>46258</v>
      </c>
      <c r="W584" s="20" t="s">
        <v>57</v>
      </c>
      <c r="X584" s="21"/>
      <c r="Y584" s="19">
        <f>VLOOKUP(F584,[2]New!$B:$G,3,0)*K584/60</f>
        <v>60.666666666666664</v>
      </c>
      <c r="Z584" s="19">
        <f>VLOOKUP(F584,[2]New!$B:$G,4,0)*K584/60</f>
        <v>253.5</v>
      </c>
      <c r="AA584" s="19">
        <f>VLOOKUP(F584,[2]New!$B:$G,6,0)*K584/60</f>
        <v>313.3</v>
      </c>
      <c r="AB584" s="44">
        <f>VLOOKUP(A584,'[4]PO CAG'!$A:$L,12,0)</f>
        <v>46269</v>
      </c>
      <c r="AC584" s="22">
        <f>IFERROR(VLOOKUP(F584,[3]Sheet1!$E:$H,4,0),)</f>
        <v>0</v>
      </c>
      <c r="AD584" s="144"/>
      <c r="AE584" s="25" t="e">
        <v>#N/A</v>
      </c>
      <c r="AF584" s="135" t="s">
        <v>112</v>
      </c>
      <c r="AG584" s="135"/>
      <c r="AH584" s="135"/>
      <c r="AI584" s="135"/>
      <c r="AJ584" s="267" t="s">
        <v>153</v>
      </c>
      <c r="AN584" s="278">
        <v>2</v>
      </c>
      <c r="AO584" s="278">
        <v>2</v>
      </c>
      <c r="AP584" s="278">
        <v>2</v>
      </c>
      <c r="AQ584" s="278">
        <v>2</v>
      </c>
    </row>
    <row r="585" spans="1:43">
      <c r="A585" s="135" t="s">
        <v>3882</v>
      </c>
      <c r="B585" s="135" t="s">
        <v>5140</v>
      </c>
      <c r="C585" s="135" t="s">
        <v>4849</v>
      </c>
      <c r="D585" s="46">
        <v>11134279</v>
      </c>
      <c r="E585" s="20" t="s">
        <v>3879</v>
      </c>
      <c r="F585" s="20" t="s">
        <v>3880</v>
      </c>
      <c r="G585" s="24">
        <v>41</v>
      </c>
      <c r="H585" s="21">
        <v>46263</v>
      </c>
      <c r="I585" s="53" t="s">
        <v>4850</v>
      </c>
      <c r="J585" s="24" t="s">
        <v>4851</v>
      </c>
      <c r="K585" s="24">
        <v>41</v>
      </c>
      <c r="L585" s="46">
        <v>12116191</v>
      </c>
      <c r="M585" s="20" t="s">
        <v>3924</v>
      </c>
      <c r="N585" s="38">
        <v>0</v>
      </c>
      <c r="O585" s="38">
        <v>0</v>
      </c>
      <c r="P585" s="20" t="s">
        <v>469</v>
      </c>
      <c r="Q585" s="20">
        <v>0</v>
      </c>
      <c r="R585" s="40">
        <v>46255</v>
      </c>
      <c r="S585" s="20">
        <v>0</v>
      </c>
      <c r="T585" s="20">
        <v>0</v>
      </c>
      <c r="U585" s="40">
        <v>46258</v>
      </c>
      <c r="V585" s="40">
        <v>46258</v>
      </c>
      <c r="W585" s="20" t="s">
        <v>57</v>
      </c>
      <c r="X585" s="21"/>
      <c r="Y585" s="19">
        <f>VLOOKUP(F585,[2]New!$B:$G,3,0)*K585/60</f>
        <v>38.266666666666666</v>
      </c>
      <c r="Z585" s="19">
        <f>VLOOKUP(F585,[2]New!$B:$G,4,0)*K585/60</f>
        <v>159.9</v>
      </c>
      <c r="AA585" s="19">
        <f>VLOOKUP(F585,[2]New!$B:$G,6,0)*K585/60</f>
        <v>197.61999999999998</v>
      </c>
      <c r="AB585" s="44">
        <f>VLOOKUP(A585,'[4]PO CAG'!$A:$L,12,0)</f>
        <v>46269</v>
      </c>
      <c r="AC585" s="22">
        <f>IFERROR(VLOOKUP(F585,[3]Sheet1!$E:$H,4,0),)</f>
        <v>0</v>
      </c>
      <c r="AD585" s="144"/>
      <c r="AE585" s="25" t="e">
        <v>#N/A</v>
      </c>
      <c r="AF585" s="135" t="s">
        <v>112</v>
      </c>
      <c r="AG585" s="135"/>
      <c r="AH585" s="135"/>
      <c r="AI585" s="135"/>
      <c r="AJ585" s="267" t="s">
        <v>153</v>
      </c>
      <c r="AN585" s="278">
        <v>2</v>
      </c>
      <c r="AO585" s="278">
        <v>2</v>
      </c>
      <c r="AP585" s="278">
        <v>2</v>
      </c>
      <c r="AQ585" s="278">
        <v>2</v>
      </c>
    </row>
    <row r="586" spans="1:43">
      <c r="A586" s="135" t="s">
        <v>4852</v>
      </c>
      <c r="B586" s="135" t="s">
        <v>5141</v>
      </c>
      <c r="C586" s="135" t="s">
        <v>4853</v>
      </c>
      <c r="D586" s="46">
        <v>11134272</v>
      </c>
      <c r="E586" s="20" t="s">
        <v>4854</v>
      </c>
      <c r="F586" s="20" t="s">
        <v>4855</v>
      </c>
      <c r="G586" s="24">
        <v>69</v>
      </c>
      <c r="H586" s="21">
        <v>46263</v>
      </c>
      <c r="I586" s="53" t="s">
        <v>4856</v>
      </c>
      <c r="J586" s="24" t="s">
        <v>4857</v>
      </c>
      <c r="K586" s="24">
        <v>69</v>
      </c>
      <c r="L586" s="46">
        <v>12116156</v>
      </c>
      <c r="M586" s="20" t="s">
        <v>5011</v>
      </c>
      <c r="N586" s="38">
        <v>0</v>
      </c>
      <c r="O586" s="38">
        <v>0</v>
      </c>
      <c r="P586" s="20" t="s">
        <v>469</v>
      </c>
      <c r="Q586" s="20">
        <v>0</v>
      </c>
      <c r="R586" s="40">
        <v>46255</v>
      </c>
      <c r="S586" s="20">
        <v>0</v>
      </c>
      <c r="T586" s="20">
        <v>0</v>
      </c>
      <c r="U586" s="40">
        <v>46258</v>
      </c>
      <c r="V586" s="40">
        <v>46258</v>
      </c>
      <c r="W586" s="20" t="s">
        <v>57</v>
      </c>
      <c r="X586" s="21"/>
      <c r="Y586" s="19">
        <f>VLOOKUP(F586,[2]New!$B:$G,3,0)*K586/60</f>
        <v>64.400000000000006</v>
      </c>
      <c r="Z586" s="19">
        <f>VLOOKUP(F586,[2]New!$B:$G,4,0)*K586/60</f>
        <v>269.10000000000002</v>
      </c>
      <c r="AA586" s="19">
        <f>VLOOKUP(F586,[2]New!$B:$G,6,0)*K586/60</f>
        <v>332.58</v>
      </c>
      <c r="AB586" s="44">
        <f>VLOOKUP(A586,'[4]PO CAG'!$A:$L,12,0)</f>
        <v>46269</v>
      </c>
      <c r="AC586" s="22">
        <f>IFERROR(VLOOKUP(F586,[3]Sheet1!$E:$H,4,0),)</f>
        <v>0</v>
      </c>
      <c r="AD586" s="144"/>
      <c r="AE586" s="25" t="e">
        <v>#N/A</v>
      </c>
      <c r="AF586" s="135" t="s">
        <v>112</v>
      </c>
      <c r="AG586" s="135"/>
      <c r="AH586" s="135"/>
      <c r="AI586" s="135"/>
      <c r="AJ586" s="267" t="s">
        <v>153</v>
      </c>
      <c r="AN586" s="278">
        <v>2</v>
      </c>
      <c r="AO586" s="278">
        <v>2</v>
      </c>
      <c r="AP586" s="278">
        <v>2</v>
      </c>
      <c r="AQ586" s="278">
        <v>2</v>
      </c>
    </row>
    <row r="587" spans="1:43">
      <c r="A587" s="135" t="s">
        <v>4858</v>
      </c>
      <c r="B587" s="135" t="s">
        <v>5142</v>
      </c>
      <c r="C587" s="135" t="s">
        <v>4859</v>
      </c>
      <c r="D587" s="46">
        <v>11134287</v>
      </c>
      <c r="E587" s="20" t="s">
        <v>4811</v>
      </c>
      <c r="F587" s="20" t="s">
        <v>4812</v>
      </c>
      <c r="G587" s="24">
        <v>74</v>
      </c>
      <c r="H587" s="21">
        <v>46263</v>
      </c>
      <c r="I587" s="53" t="s">
        <v>4860</v>
      </c>
      <c r="J587" s="24" t="s">
        <v>4861</v>
      </c>
      <c r="K587" s="24">
        <v>74</v>
      </c>
      <c r="L587" s="46">
        <v>12116199</v>
      </c>
      <c r="M587" s="20" t="s">
        <v>619</v>
      </c>
      <c r="N587" s="38">
        <v>0</v>
      </c>
      <c r="O587" s="38">
        <v>0</v>
      </c>
      <c r="P587" s="20" t="s">
        <v>469</v>
      </c>
      <c r="Q587" s="20">
        <v>0</v>
      </c>
      <c r="R587" s="40">
        <v>46255</v>
      </c>
      <c r="S587" s="20">
        <v>0</v>
      </c>
      <c r="T587" s="20">
        <v>0</v>
      </c>
      <c r="U587" s="40">
        <v>46258</v>
      </c>
      <c r="V587" s="40">
        <v>46258</v>
      </c>
      <c r="W587" s="20" t="s">
        <v>57</v>
      </c>
      <c r="X587" s="21"/>
      <c r="Y587" s="19">
        <f>VLOOKUP(F587,[2]New!$B:$G,3,0)*K587/60</f>
        <v>69.066666666666663</v>
      </c>
      <c r="Z587" s="19">
        <f>VLOOKUP(F587,[2]New!$B:$G,4,0)*K587/60</f>
        <v>288.60000000000002</v>
      </c>
      <c r="AA587" s="19">
        <f>VLOOKUP(F587,[2]New!$B:$G,6,0)*K587/60</f>
        <v>356.68</v>
      </c>
      <c r="AB587" s="44">
        <f>VLOOKUP(A587,'[4]PO CAG'!$A:$L,12,0)</f>
        <v>46269</v>
      </c>
      <c r="AC587" s="22">
        <f>IFERROR(VLOOKUP(F587,[3]Sheet1!$E:$H,4,0),)</f>
        <v>0</v>
      </c>
      <c r="AD587" s="144"/>
      <c r="AE587" s="25" t="e">
        <v>#N/A</v>
      </c>
      <c r="AF587" s="135" t="s">
        <v>112</v>
      </c>
      <c r="AG587" s="135"/>
      <c r="AH587" s="135"/>
      <c r="AI587" s="135"/>
      <c r="AJ587" s="267" t="s">
        <v>153</v>
      </c>
      <c r="AN587" s="278">
        <v>2</v>
      </c>
      <c r="AO587" s="278">
        <v>2</v>
      </c>
      <c r="AP587" s="278">
        <v>2</v>
      </c>
      <c r="AQ587" s="278">
        <v>2</v>
      </c>
    </row>
    <row r="588" spans="1:43">
      <c r="A588" s="135" t="s">
        <v>4149</v>
      </c>
      <c r="B588" s="135" t="s">
        <v>5143</v>
      </c>
      <c r="C588" s="135" t="s">
        <v>4862</v>
      </c>
      <c r="D588" s="46">
        <v>11134284</v>
      </c>
      <c r="E588" s="20" t="s">
        <v>4151</v>
      </c>
      <c r="F588" s="20" t="s">
        <v>4152</v>
      </c>
      <c r="G588" s="24">
        <v>203</v>
      </c>
      <c r="H588" s="21">
        <v>46263</v>
      </c>
      <c r="I588" s="53" t="s">
        <v>4863</v>
      </c>
      <c r="J588" s="24" t="s">
        <v>4864</v>
      </c>
      <c r="K588" s="24">
        <v>203</v>
      </c>
      <c r="L588" s="46">
        <v>12116196</v>
      </c>
      <c r="M588" s="20" t="s">
        <v>620</v>
      </c>
      <c r="N588" s="38">
        <v>0</v>
      </c>
      <c r="O588" s="38">
        <v>0</v>
      </c>
      <c r="P588" s="20" t="s">
        <v>469</v>
      </c>
      <c r="Q588" s="20">
        <v>0</v>
      </c>
      <c r="R588" s="40">
        <v>46255</v>
      </c>
      <c r="S588" s="20">
        <v>0</v>
      </c>
      <c r="T588" s="20">
        <v>0</v>
      </c>
      <c r="U588" s="40">
        <v>46258</v>
      </c>
      <c r="V588" s="40">
        <v>46258</v>
      </c>
      <c r="W588" s="20" t="s">
        <v>57</v>
      </c>
      <c r="X588" s="21"/>
      <c r="Y588" s="19">
        <f>VLOOKUP(F588,[2]New!$B:$G,3,0)*K588/60</f>
        <v>189.46666666666667</v>
      </c>
      <c r="Z588" s="19">
        <f>VLOOKUP(F588,[2]New!$B:$G,4,0)*K588/60</f>
        <v>791.7</v>
      </c>
      <c r="AA588" s="19">
        <f>VLOOKUP(F588,[2]New!$B:$G,6,0)*K588/60</f>
        <v>978.45999999999992</v>
      </c>
      <c r="AB588" s="44">
        <f>VLOOKUP(A588,'[4]PO CAG'!$A:$L,12,0)</f>
        <v>46269</v>
      </c>
      <c r="AC588" s="22">
        <f>IFERROR(VLOOKUP(F588,[3]Sheet1!$E:$H,4,0),)</f>
        <v>0</v>
      </c>
      <c r="AD588" s="144"/>
      <c r="AE588" s="25" t="e">
        <v>#N/A</v>
      </c>
      <c r="AF588" s="135" t="s">
        <v>112</v>
      </c>
      <c r="AG588" s="135"/>
      <c r="AH588" s="135"/>
      <c r="AI588" s="135"/>
      <c r="AJ588" s="267" t="s">
        <v>153</v>
      </c>
      <c r="AN588" s="278">
        <v>2</v>
      </c>
      <c r="AO588" s="278">
        <v>2</v>
      </c>
      <c r="AP588" s="278">
        <v>2</v>
      </c>
      <c r="AQ588" s="278">
        <v>2</v>
      </c>
    </row>
    <row r="589" spans="1:43">
      <c r="A589" s="135" t="s">
        <v>4865</v>
      </c>
      <c r="B589" s="135" t="s">
        <v>5144</v>
      </c>
      <c r="C589" s="135" t="s">
        <v>4866</v>
      </c>
      <c r="D589" s="46">
        <v>11119397</v>
      </c>
      <c r="E589" s="20" t="s">
        <v>4867</v>
      </c>
      <c r="F589" s="20" t="s">
        <v>4868</v>
      </c>
      <c r="G589" s="24">
        <v>1</v>
      </c>
      <c r="H589" s="21">
        <v>46263</v>
      </c>
      <c r="I589" s="53" t="s">
        <v>4869</v>
      </c>
      <c r="J589" s="24" t="s">
        <v>4870</v>
      </c>
      <c r="K589" s="24">
        <v>1</v>
      </c>
      <c r="L589" s="46">
        <v>12116032</v>
      </c>
      <c r="M589" s="20" t="s">
        <v>5012</v>
      </c>
      <c r="N589" s="38">
        <v>0</v>
      </c>
      <c r="O589" s="38">
        <v>0</v>
      </c>
      <c r="P589" s="20" t="s">
        <v>469</v>
      </c>
      <c r="Q589" s="20">
        <v>0</v>
      </c>
      <c r="R589" s="40">
        <v>46255</v>
      </c>
      <c r="S589" s="20">
        <v>0</v>
      </c>
      <c r="T589" s="20">
        <v>0</v>
      </c>
      <c r="U589" s="40">
        <v>46258</v>
      </c>
      <c r="V589" s="40">
        <v>46258</v>
      </c>
      <c r="W589" s="20" t="s">
        <v>58</v>
      </c>
      <c r="X589" s="21"/>
      <c r="Y589" s="19">
        <f>VLOOKUP(F589,[2]New!$B:$G,3,0)*K589/60</f>
        <v>0.93333333333333335</v>
      </c>
      <c r="Z589" s="19">
        <f>VLOOKUP(F589,[2]New!$B:$G,4,0)*K589/60</f>
        <v>3.9</v>
      </c>
      <c r="AA589" s="19">
        <f>VLOOKUP(F589,[2]New!$B:$G,6,0)*K589/60</f>
        <v>4.8199999999999994</v>
      </c>
      <c r="AB589" s="44">
        <f>VLOOKUP(A589,'[4]PO CAG'!$A:$L,12,0)</f>
        <v>46269</v>
      </c>
      <c r="AC589" s="22">
        <f>IFERROR(VLOOKUP(F589,[3]Sheet1!$E:$H,4,0),)</f>
        <v>0</v>
      </c>
      <c r="AD589" s="144"/>
      <c r="AE589" s="25" t="e">
        <v>#N/A</v>
      </c>
      <c r="AF589" s="135" t="s">
        <v>112</v>
      </c>
      <c r="AG589" s="135"/>
      <c r="AH589" s="135"/>
      <c r="AI589" s="135"/>
      <c r="AJ589" s="267" t="s">
        <v>188</v>
      </c>
      <c r="AN589" s="278">
        <v>2</v>
      </c>
      <c r="AO589" s="278">
        <v>2</v>
      </c>
      <c r="AP589" s="278">
        <v>2</v>
      </c>
      <c r="AQ589" s="278">
        <v>2</v>
      </c>
    </row>
    <row r="590" spans="1:43">
      <c r="A590" s="135" t="s">
        <v>4871</v>
      </c>
      <c r="B590" s="135" t="s">
        <v>5145</v>
      </c>
      <c r="C590" s="135" t="s">
        <v>4872</v>
      </c>
      <c r="D590" s="46">
        <v>11119408</v>
      </c>
      <c r="E590" s="20" t="s">
        <v>777</v>
      </c>
      <c r="F590" s="20" t="s">
        <v>778</v>
      </c>
      <c r="G590" s="24">
        <v>1</v>
      </c>
      <c r="H590" s="21">
        <v>46263</v>
      </c>
      <c r="I590" s="53" t="s">
        <v>4873</v>
      </c>
      <c r="J590" s="24" t="s">
        <v>4874</v>
      </c>
      <c r="K590" s="24">
        <v>1</v>
      </c>
      <c r="L590" s="46">
        <v>12116043</v>
      </c>
      <c r="M590" s="20" t="s">
        <v>794</v>
      </c>
      <c r="N590" s="38">
        <v>0</v>
      </c>
      <c r="O590" s="38">
        <v>0</v>
      </c>
      <c r="P590" s="20" t="s">
        <v>469</v>
      </c>
      <c r="Q590" s="20">
        <v>0</v>
      </c>
      <c r="R590" s="40">
        <v>46255</v>
      </c>
      <c r="S590" s="20">
        <v>0</v>
      </c>
      <c r="T590" s="20">
        <v>0</v>
      </c>
      <c r="U590" s="40">
        <v>46258</v>
      </c>
      <c r="V590" s="40">
        <v>46258</v>
      </c>
      <c r="W590" s="20" t="s">
        <v>58</v>
      </c>
      <c r="X590" s="21"/>
      <c r="Y590" s="19">
        <f>VLOOKUP(F590,[2]New!$B:$G,3,0)*K590/60</f>
        <v>0.93333333333333335</v>
      </c>
      <c r="Z590" s="19">
        <f>VLOOKUP(F590,[2]New!$B:$G,4,0)*K590/60</f>
        <v>3.9</v>
      </c>
      <c r="AA590" s="19">
        <f>VLOOKUP(F590,[2]New!$B:$G,6,0)*K590/60</f>
        <v>4.8199999999999994</v>
      </c>
      <c r="AB590" s="44">
        <f>VLOOKUP(A590,'[4]PO CAG'!$A:$L,12,0)</f>
        <v>46269</v>
      </c>
      <c r="AC590" s="22">
        <f>IFERROR(VLOOKUP(F590,[3]Sheet1!$E:$H,4,0),)</f>
        <v>0</v>
      </c>
      <c r="AD590" s="144"/>
      <c r="AE590" s="25" t="e">
        <v>#N/A</v>
      </c>
      <c r="AF590" s="135" t="s">
        <v>112</v>
      </c>
      <c r="AG590" s="135"/>
      <c r="AH590" s="135"/>
      <c r="AI590" s="135"/>
      <c r="AJ590" s="267" t="s">
        <v>188</v>
      </c>
      <c r="AN590" s="278">
        <v>2</v>
      </c>
      <c r="AO590" s="278">
        <v>2</v>
      </c>
      <c r="AP590" s="278">
        <v>2</v>
      </c>
      <c r="AQ590" s="278">
        <v>2</v>
      </c>
    </row>
    <row r="591" spans="1:43">
      <c r="A591" s="135" t="s">
        <v>4875</v>
      </c>
      <c r="B591" s="135" t="s">
        <v>5146</v>
      </c>
      <c r="C591" s="135" t="s">
        <v>4876</v>
      </c>
      <c r="D591" s="46">
        <v>11119436</v>
      </c>
      <c r="E591" s="20" t="s">
        <v>570</v>
      </c>
      <c r="F591" s="20" t="s">
        <v>571</v>
      </c>
      <c r="G591" s="24">
        <v>1</v>
      </c>
      <c r="H591" s="21">
        <v>46263</v>
      </c>
      <c r="I591" s="53" t="s">
        <v>4877</v>
      </c>
      <c r="J591" s="24" t="s">
        <v>4878</v>
      </c>
      <c r="K591" s="24">
        <v>1</v>
      </c>
      <c r="L591" s="46">
        <v>12116071</v>
      </c>
      <c r="M591" s="20" t="s">
        <v>607</v>
      </c>
      <c r="N591" s="38">
        <v>0</v>
      </c>
      <c r="O591" s="38">
        <v>0</v>
      </c>
      <c r="P591" s="20" t="s">
        <v>469</v>
      </c>
      <c r="Q591" s="20">
        <v>0</v>
      </c>
      <c r="R591" s="40">
        <v>46255</v>
      </c>
      <c r="S591" s="20">
        <v>0</v>
      </c>
      <c r="T591" s="20">
        <v>0</v>
      </c>
      <c r="U591" s="40">
        <v>46258</v>
      </c>
      <c r="V591" s="40">
        <v>46258</v>
      </c>
      <c r="W591" s="20" t="s">
        <v>58</v>
      </c>
      <c r="X591" s="21"/>
      <c r="Y591" s="19">
        <f>VLOOKUP(F591,[2]New!$B:$G,3,0)*K591/60</f>
        <v>0.93333333333333335</v>
      </c>
      <c r="Z591" s="19">
        <f>VLOOKUP(F591,[2]New!$B:$G,4,0)*K591/60</f>
        <v>3.9</v>
      </c>
      <c r="AA591" s="19">
        <f>VLOOKUP(F591,[2]New!$B:$G,6,0)*K591/60</f>
        <v>4.8166666666666664</v>
      </c>
      <c r="AB591" s="44">
        <f>VLOOKUP(A591,'[4]PO CAG'!$A:$L,12,0)</f>
        <v>46269</v>
      </c>
      <c r="AC591" s="22">
        <f>IFERROR(VLOOKUP(F591,[3]Sheet1!$E:$H,4,0),)</f>
        <v>0</v>
      </c>
      <c r="AD591" s="144"/>
      <c r="AE591" s="25" t="e">
        <v>#N/A</v>
      </c>
      <c r="AF591" s="135" t="s">
        <v>112</v>
      </c>
      <c r="AG591" s="135"/>
      <c r="AH591" s="135"/>
      <c r="AI591" s="135"/>
      <c r="AJ591" s="267" t="s">
        <v>188</v>
      </c>
      <c r="AN591" s="278">
        <v>2</v>
      </c>
      <c r="AO591" s="278">
        <v>2</v>
      </c>
      <c r="AP591" s="278">
        <v>2</v>
      </c>
      <c r="AQ591" s="278">
        <v>2</v>
      </c>
    </row>
    <row r="592" spans="1:43">
      <c r="A592" s="135" t="s">
        <v>4879</v>
      </c>
      <c r="B592" s="135" t="s">
        <v>5147</v>
      </c>
      <c r="C592" s="135" t="s">
        <v>4880</v>
      </c>
      <c r="D592" s="46">
        <v>11119657</v>
      </c>
      <c r="E592" s="20" t="s">
        <v>2354</v>
      </c>
      <c r="F592" s="20" t="s">
        <v>2355</v>
      </c>
      <c r="G592" s="24">
        <v>1</v>
      </c>
      <c r="H592" s="21">
        <v>46263</v>
      </c>
      <c r="I592" s="53" t="s">
        <v>4881</v>
      </c>
      <c r="J592" s="24" t="s">
        <v>4882</v>
      </c>
      <c r="K592" s="24">
        <v>1</v>
      </c>
      <c r="L592" s="46">
        <v>12116292</v>
      </c>
      <c r="M592" s="20" t="s">
        <v>2460</v>
      </c>
      <c r="N592" s="38">
        <v>0</v>
      </c>
      <c r="O592" s="38">
        <v>0</v>
      </c>
      <c r="P592" s="20" t="s">
        <v>469</v>
      </c>
      <c r="Q592" s="20">
        <v>0</v>
      </c>
      <c r="R592" s="40">
        <v>46255</v>
      </c>
      <c r="S592" s="20">
        <v>0</v>
      </c>
      <c r="T592" s="20">
        <v>0</v>
      </c>
      <c r="U592" s="40">
        <v>46258</v>
      </c>
      <c r="V592" s="40">
        <v>46258</v>
      </c>
      <c r="W592" s="20" t="s">
        <v>58</v>
      </c>
      <c r="X592" s="21"/>
      <c r="Y592" s="19">
        <f>VLOOKUP(F592,[2]New!$B:$G,3,0)*K592/60</f>
        <v>0.93333333333333335</v>
      </c>
      <c r="Z592" s="19">
        <f>VLOOKUP(F592,[2]New!$B:$G,4,0)*K592/60</f>
        <v>3.9</v>
      </c>
      <c r="AA592" s="19">
        <f>VLOOKUP(F592,[2]New!$B:$G,6,0)*K592/60</f>
        <v>4.8199999999999994</v>
      </c>
      <c r="AB592" s="44">
        <f>VLOOKUP(A592,'[4]PO CAG'!$A:$L,12,0)</f>
        <v>46269</v>
      </c>
      <c r="AC592" s="22">
        <f>IFERROR(VLOOKUP(F592,[3]Sheet1!$E:$H,4,0),)</f>
        <v>0</v>
      </c>
      <c r="AD592" s="144"/>
      <c r="AE592" s="25" t="e">
        <v>#N/A</v>
      </c>
      <c r="AF592" s="135" t="s">
        <v>112</v>
      </c>
      <c r="AG592" s="135"/>
      <c r="AH592" s="135"/>
      <c r="AI592" s="135"/>
      <c r="AJ592" s="267" t="s">
        <v>188</v>
      </c>
      <c r="AN592" s="278">
        <v>2</v>
      </c>
      <c r="AO592" s="278">
        <v>2</v>
      </c>
      <c r="AP592" s="278">
        <v>2</v>
      </c>
      <c r="AQ592" s="278">
        <v>2</v>
      </c>
    </row>
    <row r="593" spans="1:43">
      <c r="A593" s="135" t="s">
        <v>4883</v>
      </c>
      <c r="B593" s="135" t="s">
        <v>5148</v>
      </c>
      <c r="C593" s="135" t="s">
        <v>4884</v>
      </c>
      <c r="D593" s="46">
        <v>11119613</v>
      </c>
      <c r="E593" s="20" t="s">
        <v>994</v>
      </c>
      <c r="F593" s="20" t="s">
        <v>995</v>
      </c>
      <c r="G593" s="24">
        <v>1</v>
      </c>
      <c r="H593" s="21">
        <v>46263</v>
      </c>
      <c r="I593" s="53" t="s">
        <v>4885</v>
      </c>
      <c r="J593" s="24" t="s">
        <v>4886</v>
      </c>
      <c r="K593" s="24">
        <v>1</v>
      </c>
      <c r="L593" s="46">
        <v>12116248</v>
      </c>
      <c r="M593" s="20" t="s">
        <v>1022</v>
      </c>
      <c r="N593" s="38">
        <v>0</v>
      </c>
      <c r="O593" s="38">
        <v>0</v>
      </c>
      <c r="P593" s="20" t="s">
        <v>469</v>
      </c>
      <c r="Q593" s="20">
        <v>0</v>
      </c>
      <c r="R593" s="40">
        <v>46255</v>
      </c>
      <c r="S593" s="20">
        <v>0</v>
      </c>
      <c r="T593" s="20">
        <v>0</v>
      </c>
      <c r="U593" s="40">
        <v>46258</v>
      </c>
      <c r="V593" s="40">
        <v>46258</v>
      </c>
      <c r="W593" s="20" t="s">
        <v>58</v>
      </c>
      <c r="X593" s="21"/>
      <c r="Y593" s="19">
        <f>VLOOKUP(F593,[2]New!$B:$G,3,0)*K593/60</f>
        <v>0.93333333333333335</v>
      </c>
      <c r="Z593" s="19">
        <f>VLOOKUP(F593,[2]New!$B:$G,4,0)*K593/60</f>
        <v>3.9</v>
      </c>
      <c r="AA593" s="19">
        <f>VLOOKUP(F593,[2]New!$B:$G,6,0)*K593/60</f>
        <v>4.8199999999999994</v>
      </c>
      <c r="AB593" s="44">
        <f>VLOOKUP(A593,'[4]PO CAG'!$A:$L,12,0)</f>
        <v>46269</v>
      </c>
      <c r="AC593" s="22">
        <f>IFERROR(VLOOKUP(F593,[3]Sheet1!$E:$H,4,0),)</f>
        <v>0</v>
      </c>
      <c r="AD593" s="144"/>
      <c r="AE593" s="25" t="e">
        <v>#N/A</v>
      </c>
      <c r="AF593" s="135" t="s">
        <v>112</v>
      </c>
      <c r="AG593" s="135"/>
      <c r="AH593" s="135"/>
      <c r="AI593" s="135"/>
      <c r="AJ593" s="267" t="s">
        <v>188</v>
      </c>
      <c r="AN593" s="278">
        <v>2</v>
      </c>
      <c r="AO593" s="278">
        <v>2</v>
      </c>
      <c r="AP593" s="278">
        <v>2</v>
      </c>
      <c r="AQ593" s="278">
        <v>2</v>
      </c>
    </row>
    <row r="594" spans="1:43">
      <c r="A594" s="135" t="s">
        <v>4887</v>
      </c>
      <c r="B594" s="135" t="s">
        <v>5149</v>
      </c>
      <c r="C594" s="135" t="s">
        <v>4888</v>
      </c>
      <c r="D594" s="46">
        <v>11119632</v>
      </c>
      <c r="E594" s="20" t="s">
        <v>4889</v>
      </c>
      <c r="F594" s="20" t="s">
        <v>4890</v>
      </c>
      <c r="G594" s="24">
        <v>1</v>
      </c>
      <c r="H594" s="21">
        <v>46263</v>
      </c>
      <c r="I594" s="53" t="s">
        <v>4891</v>
      </c>
      <c r="J594" s="24" t="s">
        <v>4892</v>
      </c>
      <c r="K594" s="24">
        <v>1</v>
      </c>
      <c r="L594" s="46">
        <v>12116267</v>
      </c>
      <c r="M594" s="20" t="s">
        <v>5013</v>
      </c>
      <c r="N594" s="38">
        <v>0</v>
      </c>
      <c r="O594" s="38">
        <v>0</v>
      </c>
      <c r="P594" s="20" t="s">
        <v>469</v>
      </c>
      <c r="Q594" s="20">
        <v>0</v>
      </c>
      <c r="R594" s="40">
        <v>46255</v>
      </c>
      <c r="S594" s="20">
        <v>0</v>
      </c>
      <c r="T594" s="20">
        <v>0</v>
      </c>
      <c r="U594" s="40">
        <v>46258</v>
      </c>
      <c r="V594" s="40">
        <v>46258</v>
      </c>
      <c r="W594" s="20" t="s">
        <v>58</v>
      </c>
      <c r="X594" s="21"/>
      <c r="Y594" s="19">
        <f>VLOOKUP(F594,[2]New!$B:$G,3,0)*K594/60</f>
        <v>0.93333333333333335</v>
      </c>
      <c r="Z594" s="19">
        <f>VLOOKUP(F594,[2]New!$B:$G,4,0)*K594/60</f>
        <v>3.9</v>
      </c>
      <c r="AA594" s="19">
        <f>VLOOKUP(F594,[2]New!$B:$G,6,0)*K594/60</f>
        <v>4.8199999999999994</v>
      </c>
      <c r="AB594" s="44">
        <f>VLOOKUP(A594,'[4]PO CAG'!$A:$L,12,0)</f>
        <v>46269</v>
      </c>
      <c r="AC594" s="22">
        <f>IFERROR(VLOOKUP(F594,[3]Sheet1!$E:$H,4,0),)</f>
        <v>0</v>
      </c>
      <c r="AD594" s="144"/>
      <c r="AE594" s="25" t="e">
        <v>#N/A</v>
      </c>
      <c r="AF594" s="135" t="s">
        <v>112</v>
      </c>
      <c r="AG594" s="135"/>
      <c r="AH594" s="135"/>
      <c r="AI594" s="135"/>
      <c r="AJ594" s="267" t="s">
        <v>188</v>
      </c>
      <c r="AN594" s="278">
        <v>2</v>
      </c>
      <c r="AO594" s="278">
        <v>2</v>
      </c>
      <c r="AP594" s="278">
        <v>2</v>
      </c>
      <c r="AQ594" s="278">
        <v>2</v>
      </c>
    </row>
    <row r="595" spans="1:43">
      <c r="A595" s="135" t="s">
        <v>4893</v>
      </c>
      <c r="B595" s="135" t="s">
        <v>5150</v>
      </c>
      <c r="C595" s="135" t="s">
        <v>4894</v>
      </c>
      <c r="D595" s="46">
        <v>11119341</v>
      </c>
      <c r="E595" s="20" t="s">
        <v>4895</v>
      </c>
      <c r="F595" s="20" t="s">
        <v>4896</v>
      </c>
      <c r="G595" s="24">
        <v>2</v>
      </c>
      <c r="H595" s="21">
        <v>46263</v>
      </c>
      <c r="I595" s="53" t="s">
        <v>4897</v>
      </c>
      <c r="J595" s="24" t="s">
        <v>4898</v>
      </c>
      <c r="K595" s="24">
        <v>2</v>
      </c>
      <c r="L595" s="46">
        <v>12115976</v>
      </c>
      <c r="M595" s="20" t="s">
        <v>5014</v>
      </c>
      <c r="N595" s="38">
        <v>0</v>
      </c>
      <c r="O595" s="38">
        <v>0</v>
      </c>
      <c r="P595" s="20" t="s">
        <v>469</v>
      </c>
      <c r="Q595" s="20">
        <v>0</v>
      </c>
      <c r="R595" s="40">
        <v>46255</v>
      </c>
      <c r="S595" s="20">
        <v>0</v>
      </c>
      <c r="T595" s="20">
        <v>0</v>
      </c>
      <c r="U595" s="40">
        <v>46258</v>
      </c>
      <c r="V595" s="40">
        <v>46258</v>
      </c>
      <c r="W595" s="20" t="s">
        <v>58</v>
      </c>
      <c r="X595" s="21"/>
      <c r="Y595" s="19">
        <f>VLOOKUP(F595,[2]New!$B:$G,3,0)*K595/60</f>
        <v>1.8666666666666667</v>
      </c>
      <c r="Z595" s="19">
        <f>VLOOKUP(F595,[2]New!$B:$G,4,0)*K595/60</f>
        <v>7.8</v>
      </c>
      <c r="AA595" s="19">
        <f>VLOOKUP(F595,[2]New!$B:$G,6,0)*K595/60</f>
        <v>9.6333333333333329</v>
      </c>
      <c r="AB595" s="44">
        <f>VLOOKUP(A595,'[4]PO CAG'!$A:$L,12,0)</f>
        <v>46269</v>
      </c>
      <c r="AC595" s="22">
        <f>IFERROR(VLOOKUP(F595,[3]Sheet1!$E:$H,4,0),)</f>
        <v>0</v>
      </c>
      <c r="AD595" s="144"/>
      <c r="AE595" s="25" t="e">
        <v>#N/A</v>
      </c>
      <c r="AF595" s="135" t="s">
        <v>112</v>
      </c>
      <c r="AG595" s="135"/>
      <c r="AH595" s="135"/>
      <c r="AI595" s="135"/>
      <c r="AJ595" s="267" t="s">
        <v>188</v>
      </c>
      <c r="AN595" s="278">
        <v>2</v>
      </c>
      <c r="AO595" s="278">
        <v>2</v>
      </c>
      <c r="AP595" s="278">
        <v>2</v>
      </c>
      <c r="AQ595" s="278">
        <v>2</v>
      </c>
    </row>
    <row r="596" spans="1:43">
      <c r="A596" s="135" t="s">
        <v>4899</v>
      </c>
      <c r="B596" s="135" t="s">
        <v>5151</v>
      </c>
      <c r="C596" s="135" t="s">
        <v>4900</v>
      </c>
      <c r="D596" s="46">
        <v>11119496</v>
      </c>
      <c r="E596" s="20" t="s">
        <v>4901</v>
      </c>
      <c r="F596" s="20" t="s">
        <v>4902</v>
      </c>
      <c r="G596" s="24">
        <v>2</v>
      </c>
      <c r="H596" s="21">
        <v>46263</v>
      </c>
      <c r="I596" s="53" t="s">
        <v>4903</v>
      </c>
      <c r="J596" s="24" t="s">
        <v>4904</v>
      </c>
      <c r="K596" s="24">
        <v>2</v>
      </c>
      <c r="L596" s="46">
        <v>12116131</v>
      </c>
      <c r="M596" s="20" t="s">
        <v>5015</v>
      </c>
      <c r="N596" s="38">
        <v>0</v>
      </c>
      <c r="O596" s="38">
        <v>0</v>
      </c>
      <c r="P596" s="20" t="s">
        <v>469</v>
      </c>
      <c r="Q596" s="20">
        <v>0</v>
      </c>
      <c r="R596" s="40">
        <v>46255</v>
      </c>
      <c r="S596" s="20">
        <v>0</v>
      </c>
      <c r="T596" s="20">
        <v>0</v>
      </c>
      <c r="U596" s="40">
        <v>46258</v>
      </c>
      <c r="V596" s="40">
        <v>46258</v>
      </c>
      <c r="W596" s="20" t="s">
        <v>58</v>
      </c>
      <c r="X596" s="21"/>
      <c r="Y596" s="19">
        <f>VLOOKUP(F596,[2]New!$B:$G,3,0)*K596/60</f>
        <v>1.8666666666666667</v>
      </c>
      <c r="Z596" s="19">
        <f>VLOOKUP(F596,[2]New!$B:$G,4,0)*K596/60</f>
        <v>7.8</v>
      </c>
      <c r="AA596" s="19">
        <f>VLOOKUP(F596,[2]New!$B:$G,6,0)*K596/60</f>
        <v>9.6399999999999988</v>
      </c>
      <c r="AB596" s="44">
        <f>VLOOKUP(A596,'[4]PO CAG'!$A:$L,12,0)</f>
        <v>46269</v>
      </c>
      <c r="AC596" s="22">
        <f>IFERROR(VLOOKUP(F596,[3]Sheet1!$E:$H,4,0),)</f>
        <v>0</v>
      </c>
      <c r="AD596" s="144"/>
      <c r="AE596" s="25" t="e">
        <v>#N/A</v>
      </c>
      <c r="AF596" s="135" t="s">
        <v>112</v>
      </c>
      <c r="AG596" s="135"/>
      <c r="AH596" s="135"/>
      <c r="AI596" s="135"/>
      <c r="AJ596" s="267" t="s">
        <v>188</v>
      </c>
      <c r="AN596" s="278">
        <v>2</v>
      </c>
      <c r="AO596" s="278">
        <v>2</v>
      </c>
      <c r="AP596" s="278">
        <v>2</v>
      </c>
      <c r="AQ596" s="278">
        <v>2</v>
      </c>
    </row>
    <row r="597" spans="1:43">
      <c r="A597" s="135" t="s">
        <v>4905</v>
      </c>
      <c r="B597" s="135" t="s">
        <v>5152</v>
      </c>
      <c r="C597" s="135" t="s">
        <v>4906</v>
      </c>
      <c r="D597" s="46">
        <v>11119338</v>
      </c>
      <c r="E597" s="20" t="s">
        <v>4907</v>
      </c>
      <c r="F597" s="20" t="s">
        <v>4908</v>
      </c>
      <c r="G597" s="24">
        <v>2</v>
      </c>
      <c r="H597" s="21">
        <v>46263</v>
      </c>
      <c r="I597" s="53" t="s">
        <v>4909</v>
      </c>
      <c r="J597" s="24" t="s">
        <v>4910</v>
      </c>
      <c r="K597" s="24">
        <v>2</v>
      </c>
      <c r="L597" s="46">
        <v>12115973</v>
      </c>
      <c r="M597" s="20" t="s">
        <v>5016</v>
      </c>
      <c r="N597" s="38">
        <v>0</v>
      </c>
      <c r="O597" s="38">
        <v>0</v>
      </c>
      <c r="P597" s="20" t="s">
        <v>469</v>
      </c>
      <c r="Q597" s="20">
        <v>0</v>
      </c>
      <c r="R597" s="40">
        <v>46255</v>
      </c>
      <c r="S597" s="20">
        <v>0</v>
      </c>
      <c r="T597" s="20">
        <v>0</v>
      </c>
      <c r="U597" s="40">
        <v>46258</v>
      </c>
      <c r="V597" s="40">
        <v>46258</v>
      </c>
      <c r="W597" s="20" t="s">
        <v>58</v>
      </c>
      <c r="X597" s="21"/>
      <c r="Y597" s="19">
        <f>VLOOKUP(F597,[2]New!$B:$G,3,0)*K597/60</f>
        <v>1.8666666666666667</v>
      </c>
      <c r="Z597" s="19">
        <f>VLOOKUP(F597,[2]New!$B:$G,4,0)*K597/60</f>
        <v>7.8</v>
      </c>
      <c r="AA597" s="19">
        <f>VLOOKUP(F597,[2]New!$B:$G,6,0)*K597/60</f>
        <v>9.6399999999999988</v>
      </c>
      <c r="AB597" s="44">
        <f>VLOOKUP(A597,'[4]PO CAG'!$A:$L,12,0)</f>
        <v>46269</v>
      </c>
      <c r="AC597" s="22">
        <f>IFERROR(VLOOKUP(F597,[3]Sheet1!$E:$H,4,0),)</f>
        <v>0</v>
      </c>
      <c r="AD597" s="144"/>
      <c r="AE597" s="25" t="e">
        <v>#N/A</v>
      </c>
      <c r="AF597" s="135" t="s">
        <v>112</v>
      </c>
      <c r="AG597" s="135"/>
      <c r="AH597" s="135"/>
      <c r="AI597" s="135"/>
      <c r="AJ597" s="267" t="s">
        <v>188</v>
      </c>
      <c r="AN597" s="278">
        <v>2</v>
      </c>
      <c r="AO597" s="278">
        <v>2</v>
      </c>
      <c r="AP597" s="278">
        <v>2</v>
      </c>
      <c r="AQ597" s="278">
        <v>2</v>
      </c>
    </row>
    <row r="598" spans="1:43">
      <c r="A598" s="135" t="s">
        <v>4911</v>
      </c>
      <c r="B598" s="135" t="s">
        <v>5153</v>
      </c>
      <c r="C598" s="135" t="s">
        <v>4912</v>
      </c>
      <c r="D598" s="46">
        <v>11119420</v>
      </c>
      <c r="E598" s="20" t="s">
        <v>769</v>
      </c>
      <c r="F598" s="20" t="s">
        <v>770</v>
      </c>
      <c r="G598" s="24">
        <v>2</v>
      </c>
      <c r="H598" s="21">
        <v>46263</v>
      </c>
      <c r="I598" s="53" t="s">
        <v>4913</v>
      </c>
      <c r="J598" s="24" t="s">
        <v>4914</v>
      </c>
      <c r="K598" s="24">
        <v>2</v>
      </c>
      <c r="L598" s="46">
        <v>12116055</v>
      </c>
      <c r="M598" s="20" t="s">
        <v>790</v>
      </c>
      <c r="N598" s="38">
        <v>0</v>
      </c>
      <c r="O598" s="38">
        <v>0</v>
      </c>
      <c r="P598" s="20" t="s">
        <v>469</v>
      </c>
      <c r="Q598" s="20">
        <v>0</v>
      </c>
      <c r="R598" s="40">
        <v>46255</v>
      </c>
      <c r="S598" s="20">
        <v>0</v>
      </c>
      <c r="T598" s="20">
        <v>0</v>
      </c>
      <c r="U598" s="40">
        <v>46258</v>
      </c>
      <c r="V598" s="40">
        <v>46258</v>
      </c>
      <c r="W598" s="20" t="s">
        <v>58</v>
      </c>
      <c r="X598" s="21"/>
      <c r="Y598" s="19">
        <f>VLOOKUP(F598,[2]New!$B:$G,3,0)*K598/60</f>
        <v>1.8666666666666667</v>
      </c>
      <c r="Z598" s="19">
        <f>VLOOKUP(F598,[2]New!$B:$G,4,0)*K598/60</f>
        <v>7.8</v>
      </c>
      <c r="AA598" s="19">
        <f>VLOOKUP(F598,[2]New!$B:$G,6,0)*K598/60</f>
        <v>9.6399999999999988</v>
      </c>
      <c r="AB598" s="44">
        <f>VLOOKUP(A598,'[4]PO CAG'!$A:$L,12,0)</f>
        <v>46269</v>
      </c>
      <c r="AC598" s="22">
        <f>IFERROR(VLOOKUP(F598,[3]Sheet1!$E:$H,4,0),)</f>
        <v>0</v>
      </c>
      <c r="AD598" s="144"/>
      <c r="AE598" s="25" t="e">
        <v>#N/A</v>
      </c>
      <c r="AF598" s="135" t="s">
        <v>112</v>
      </c>
      <c r="AG598" s="135"/>
      <c r="AH598" s="135"/>
      <c r="AI598" s="135"/>
      <c r="AJ598" s="267" t="s">
        <v>188</v>
      </c>
      <c r="AN598" s="278">
        <v>2</v>
      </c>
      <c r="AO598" s="278">
        <v>2</v>
      </c>
      <c r="AP598" s="278">
        <v>2</v>
      </c>
      <c r="AQ598" s="278">
        <v>2</v>
      </c>
    </row>
    <row r="599" spans="1:43">
      <c r="A599" s="135" t="s">
        <v>4915</v>
      </c>
      <c r="B599" s="135" t="s">
        <v>5154</v>
      </c>
      <c r="C599" s="135" t="s">
        <v>4916</v>
      </c>
      <c r="D599" s="46">
        <v>11119394</v>
      </c>
      <c r="E599" s="20" t="s">
        <v>568</v>
      </c>
      <c r="F599" s="20" t="s">
        <v>569</v>
      </c>
      <c r="G599" s="24">
        <v>2</v>
      </c>
      <c r="H599" s="21">
        <v>46263</v>
      </c>
      <c r="I599" s="53" t="s">
        <v>4917</v>
      </c>
      <c r="J599" s="24" t="s">
        <v>4918</v>
      </c>
      <c r="K599" s="24">
        <v>2</v>
      </c>
      <c r="L599" s="46">
        <v>12116029</v>
      </c>
      <c r="M599" s="20" t="s">
        <v>606</v>
      </c>
      <c r="N599" s="38">
        <v>0</v>
      </c>
      <c r="O599" s="38">
        <v>0</v>
      </c>
      <c r="P599" s="20" t="s">
        <v>469</v>
      </c>
      <c r="Q599" s="20">
        <v>0</v>
      </c>
      <c r="R599" s="40">
        <v>46255</v>
      </c>
      <c r="S599" s="20">
        <v>0</v>
      </c>
      <c r="T599" s="20">
        <v>0</v>
      </c>
      <c r="U599" s="40">
        <v>46258</v>
      </c>
      <c r="V599" s="40">
        <v>46258</v>
      </c>
      <c r="W599" s="20" t="s">
        <v>58</v>
      </c>
      <c r="X599" s="21"/>
      <c r="Y599" s="19">
        <f>VLOOKUP(F599,[2]New!$B:$G,3,0)*K599/60</f>
        <v>1.8666666666666667</v>
      </c>
      <c r="Z599" s="19">
        <f>VLOOKUP(F599,[2]New!$B:$G,4,0)*K599/60</f>
        <v>7.8</v>
      </c>
      <c r="AA599" s="19">
        <f>VLOOKUP(F599,[2]New!$B:$G,6,0)*K599/60</f>
        <v>9.6399999999999988</v>
      </c>
      <c r="AB599" s="44">
        <f>VLOOKUP(A599,'[4]PO CAG'!$A:$L,12,0)</f>
        <v>46269</v>
      </c>
      <c r="AC599" s="22">
        <f>IFERROR(VLOOKUP(F599,[3]Sheet1!$E:$H,4,0),)</f>
        <v>0</v>
      </c>
      <c r="AD599" s="144"/>
      <c r="AE599" s="25" t="e">
        <v>#N/A</v>
      </c>
      <c r="AF599" s="135" t="s">
        <v>112</v>
      </c>
      <c r="AG599" s="135"/>
      <c r="AH599" s="135"/>
      <c r="AI599" s="135"/>
      <c r="AJ599" s="267" t="s">
        <v>188</v>
      </c>
      <c r="AN599" s="278">
        <v>2</v>
      </c>
      <c r="AO599" s="278">
        <v>2</v>
      </c>
      <c r="AP599" s="278">
        <v>2</v>
      </c>
      <c r="AQ599" s="278">
        <v>2</v>
      </c>
    </row>
    <row r="600" spans="1:43">
      <c r="A600" s="135" t="s">
        <v>4919</v>
      </c>
      <c r="B600" s="135" t="s">
        <v>5155</v>
      </c>
      <c r="C600" s="135" t="s">
        <v>4920</v>
      </c>
      <c r="D600" s="46">
        <v>11119498</v>
      </c>
      <c r="E600" s="20" t="s">
        <v>580</v>
      </c>
      <c r="F600" s="20" t="s">
        <v>581</v>
      </c>
      <c r="G600" s="24">
        <v>2</v>
      </c>
      <c r="H600" s="21">
        <v>46263</v>
      </c>
      <c r="I600" s="53" t="s">
        <v>4921</v>
      </c>
      <c r="J600" s="24" t="s">
        <v>4922</v>
      </c>
      <c r="K600" s="24">
        <v>2</v>
      </c>
      <c r="L600" s="46">
        <v>12116133</v>
      </c>
      <c r="M600" s="20" t="s">
        <v>612</v>
      </c>
      <c r="N600" s="38">
        <v>0</v>
      </c>
      <c r="O600" s="38">
        <v>0</v>
      </c>
      <c r="P600" s="20" t="s">
        <v>469</v>
      </c>
      <c r="Q600" s="20">
        <v>0</v>
      </c>
      <c r="R600" s="40">
        <v>46255</v>
      </c>
      <c r="S600" s="20">
        <v>0</v>
      </c>
      <c r="T600" s="20">
        <v>0</v>
      </c>
      <c r="U600" s="40">
        <v>46258</v>
      </c>
      <c r="V600" s="40">
        <v>46258</v>
      </c>
      <c r="W600" s="20" t="s">
        <v>58</v>
      </c>
      <c r="X600" s="21"/>
      <c r="Y600" s="19">
        <f>VLOOKUP(F600,[2]New!$B:$G,3,0)*K600/60</f>
        <v>1.8666666666666667</v>
      </c>
      <c r="Z600" s="19">
        <f>VLOOKUP(F600,[2]New!$B:$G,4,0)*K600/60</f>
        <v>7.8</v>
      </c>
      <c r="AA600" s="19">
        <f>VLOOKUP(F600,[2]New!$B:$G,6,0)*K600/60</f>
        <v>9.6399999999999988</v>
      </c>
      <c r="AB600" s="44">
        <f>VLOOKUP(A600,'[4]PO CAG'!$A:$L,12,0)</f>
        <v>46269</v>
      </c>
      <c r="AC600" s="22">
        <f>IFERROR(VLOOKUP(F600,[3]Sheet1!$E:$H,4,0),)</f>
        <v>0</v>
      </c>
      <c r="AD600" s="144"/>
      <c r="AE600" s="25" t="e">
        <v>#N/A</v>
      </c>
      <c r="AF600" s="135" t="s">
        <v>112</v>
      </c>
      <c r="AG600" s="135"/>
      <c r="AH600" s="135"/>
      <c r="AI600" s="135"/>
      <c r="AJ600" s="267" t="s">
        <v>188</v>
      </c>
      <c r="AN600" s="278">
        <v>2</v>
      </c>
      <c r="AO600" s="278">
        <v>2</v>
      </c>
      <c r="AP600" s="278">
        <v>2</v>
      </c>
      <c r="AQ600" s="278">
        <v>2</v>
      </c>
    </row>
    <row r="601" spans="1:43">
      <c r="A601" s="135" t="s">
        <v>4923</v>
      </c>
      <c r="B601" s="135" t="s">
        <v>5156</v>
      </c>
      <c r="C601" s="135" t="s">
        <v>4924</v>
      </c>
      <c r="D601" s="46">
        <v>11119381</v>
      </c>
      <c r="E601" s="20" t="s">
        <v>4925</v>
      </c>
      <c r="F601" s="20" t="s">
        <v>4926</v>
      </c>
      <c r="G601" s="24">
        <v>3</v>
      </c>
      <c r="H601" s="21">
        <v>46263</v>
      </c>
      <c r="I601" s="53" t="s">
        <v>4927</v>
      </c>
      <c r="J601" s="24" t="s">
        <v>4928</v>
      </c>
      <c r="K601" s="24">
        <v>3</v>
      </c>
      <c r="L601" s="46">
        <v>12116016</v>
      </c>
      <c r="M601" s="20" t="s">
        <v>5017</v>
      </c>
      <c r="N601" s="38">
        <v>0</v>
      </c>
      <c r="O601" s="38">
        <v>0</v>
      </c>
      <c r="P601" s="20" t="s">
        <v>469</v>
      </c>
      <c r="Q601" s="20">
        <v>0</v>
      </c>
      <c r="R601" s="40">
        <v>46255</v>
      </c>
      <c r="S601" s="20">
        <v>0</v>
      </c>
      <c r="T601" s="20">
        <v>0</v>
      </c>
      <c r="U601" s="40">
        <v>46258</v>
      </c>
      <c r="V601" s="40">
        <v>46258</v>
      </c>
      <c r="W601" s="20" t="s">
        <v>58</v>
      </c>
      <c r="X601" s="21"/>
      <c r="Y601" s="19">
        <f>VLOOKUP(F601,[2]New!$B:$G,3,0)*K601/60</f>
        <v>2.8</v>
      </c>
      <c r="Z601" s="19">
        <f>VLOOKUP(F601,[2]New!$B:$G,4,0)*K601/60</f>
        <v>11.7</v>
      </c>
      <c r="AA601" s="19">
        <f>VLOOKUP(F601,[2]New!$B:$G,6,0)*K601/60</f>
        <v>13.159999999999998</v>
      </c>
      <c r="AB601" s="44">
        <f>VLOOKUP(A601,'[4]PO CAG'!$A:$L,12,0)</f>
        <v>46269</v>
      </c>
      <c r="AC601" s="22">
        <f>IFERROR(VLOOKUP(F601,[3]Sheet1!$E:$H,4,0),)</f>
        <v>0</v>
      </c>
      <c r="AD601" s="144"/>
      <c r="AE601" s="25" t="e">
        <v>#N/A</v>
      </c>
      <c r="AF601" s="135" t="s">
        <v>112</v>
      </c>
      <c r="AG601" s="135"/>
      <c r="AH601" s="135"/>
      <c r="AI601" s="135"/>
      <c r="AJ601" s="267" t="s">
        <v>188</v>
      </c>
      <c r="AN601" s="278">
        <v>2</v>
      </c>
      <c r="AO601" s="278">
        <v>2</v>
      </c>
      <c r="AP601" s="278">
        <v>2</v>
      </c>
      <c r="AQ601" s="278">
        <v>2</v>
      </c>
    </row>
    <row r="602" spans="1:43">
      <c r="A602" s="135" t="s">
        <v>4929</v>
      </c>
      <c r="B602" s="135" t="s">
        <v>5157</v>
      </c>
      <c r="C602" s="135" t="s">
        <v>4930</v>
      </c>
      <c r="D602" s="46">
        <v>11119348</v>
      </c>
      <c r="E602" s="20" t="s">
        <v>4931</v>
      </c>
      <c r="F602" s="20" t="s">
        <v>4932</v>
      </c>
      <c r="G602" s="24">
        <v>4</v>
      </c>
      <c r="H602" s="21">
        <v>46263</v>
      </c>
      <c r="I602" s="53" t="s">
        <v>4933</v>
      </c>
      <c r="J602" s="24" t="s">
        <v>4934</v>
      </c>
      <c r="K602" s="24">
        <v>4</v>
      </c>
      <c r="L602" s="46">
        <v>12115983</v>
      </c>
      <c r="M602" s="20" t="s">
        <v>4605</v>
      </c>
      <c r="N602" s="38">
        <v>0</v>
      </c>
      <c r="O602" s="38">
        <v>0</v>
      </c>
      <c r="P602" s="20" t="s">
        <v>469</v>
      </c>
      <c r="Q602" s="20">
        <v>0</v>
      </c>
      <c r="R602" s="40">
        <v>46255</v>
      </c>
      <c r="S602" s="20">
        <v>0</v>
      </c>
      <c r="T602" s="20">
        <v>0</v>
      </c>
      <c r="U602" s="40">
        <v>46258</v>
      </c>
      <c r="V602" s="40">
        <v>46258</v>
      </c>
      <c r="W602" s="20" t="s">
        <v>58</v>
      </c>
      <c r="X602" s="21"/>
      <c r="Y602" s="19">
        <f>VLOOKUP(F602,[2]New!$B:$G,3,0)*K602/60</f>
        <v>3.7333333333333334</v>
      </c>
      <c r="Z602" s="19">
        <f>VLOOKUP(F602,[2]New!$B:$G,4,0)*K602/60</f>
        <v>15.6</v>
      </c>
      <c r="AA602" s="19">
        <f>VLOOKUP(F602,[2]New!$B:$G,6,0)*K602/60</f>
        <v>17.546666666666667</v>
      </c>
      <c r="AB602" s="44">
        <f>VLOOKUP(A602,'[4]PO CAG'!$A:$L,12,0)</f>
        <v>46269</v>
      </c>
      <c r="AC602" s="22">
        <f>IFERROR(VLOOKUP(F602,[3]Sheet1!$E:$H,4,0),)</f>
        <v>0</v>
      </c>
      <c r="AD602" s="144"/>
      <c r="AE602" s="25" t="e">
        <v>#N/A</v>
      </c>
      <c r="AF602" s="135" t="s">
        <v>112</v>
      </c>
      <c r="AG602" s="135"/>
      <c r="AH602" s="135"/>
      <c r="AI602" s="135"/>
      <c r="AJ602" s="267" t="s">
        <v>188</v>
      </c>
      <c r="AN602" s="278">
        <v>2</v>
      </c>
      <c r="AO602" s="278">
        <v>2</v>
      </c>
      <c r="AP602" s="278">
        <v>2</v>
      </c>
      <c r="AQ602" s="278">
        <v>2</v>
      </c>
    </row>
    <row r="603" spans="1:43">
      <c r="A603" s="135" t="s">
        <v>4935</v>
      </c>
      <c r="B603" s="135" t="s">
        <v>5158</v>
      </c>
      <c r="C603" s="135" t="s">
        <v>4936</v>
      </c>
      <c r="D603" s="46">
        <v>11119342</v>
      </c>
      <c r="E603" s="20" t="s">
        <v>783</v>
      </c>
      <c r="F603" s="20" t="s">
        <v>784</v>
      </c>
      <c r="G603" s="24">
        <v>4</v>
      </c>
      <c r="H603" s="21">
        <v>46263</v>
      </c>
      <c r="I603" s="53" t="s">
        <v>4937</v>
      </c>
      <c r="J603" s="24" t="s">
        <v>4938</v>
      </c>
      <c r="K603" s="24">
        <v>4</v>
      </c>
      <c r="L603" s="46">
        <v>12115977</v>
      </c>
      <c r="M603" s="20" t="s">
        <v>797</v>
      </c>
      <c r="N603" s="38">
        <v>0</v>
      </c>
      <c r="O603" s="38">
        <v>0</v>
      </c>
      <c r="P603" s="20" t="s">
        <v>469</v>
      </c>
      <c r="Q603" s="20">
        <v>0</v>
      </c>
      <c r="R603" s="40">
        <v>46255</v>
      </c>
      <c r="S603" s="20">
        <v>0</v>
      </c>
      <c r="T603" s="20">
        <v>0</v>
      </c>
      <c r="U603" s="40">
        <v>46258</v>
      </c>
      <c r="V603" s="40">
        <v>46258</v>
      </c>
      <c r="W603" s="20" t="s">
        <v>58</v>
      </c>
      <c r="X603" s="21"/>
      <c r="Y603" s="19">
        <f>VLOOKUP(F603,[2]New!$B:$G,3,0)*K603/60</f>
        <v>3.7333333333333334</v>
      </c>
      <c r="Z603" s="19">
        <f>VLOOKUP(F603,[2]New!$B:$G,4,0)*K603/60</f>
        <v>15.6</v>
      </c>
      <c r="AA603" s="19">
        <f>VLOOKUP(F603,[2]New!$B:$G,6,0)*K603/60</f>
        <v>19.266666666666666</v>
      </c>
      <c r="AB603" s="44">
        <f>VLOOKUP(A603,'[4]PO CAG'!$A:$L,12,0)</f>
        <v>46269</v>
      </c>
      <c r="AC603" s="22">
        <f>IFERROR(VLOOKUP(F603,[3]Sheet1!$E:$H,4,0),)</f>
        <v>0</v>
      </c>
      <c r="AD603" s="144"/>
      <c r="AE603" s="25" t="e">
        <v>#N/A</v>
      </c>
      <c r="AF603" s="135" t="s">
        <v>112</v>
      </c>
      <c r="AG603" s="135"/>
      <c r="AH603" s="135"/>
      <c r="AI603" s="135"/>
      <c r="AJ603" s="267" t="s">
        <v>188</v>
      </c>
      <c r="AN603" s="278">
        <v>2</v>
      </c>
      <c r="AO603" s="278">
        <v>2</v>
      </c>
      <c r="AP603" s="278">
        <v>2</v>
      </c>
      <c r="AQ603" s="278">
        <v>2</v>
      </c>
    </row>
    <row r="604" spans="1:43">
      <c r="A604" s="135" t="s">
        <v>4939</v>
      </c>
      <c r="B604" s="135" t="s">
        <v>5159</v>
      </c>
      <c r="C604" s="135" t="s">
        <v>4940</v>
      </c>
      <c r="D604" s="46">
        <v>11119374</v>
      </c>
      <c r="E604" s="20" t="s">
        <v>586</v>
      </c>
      <c r="F604" s="20" t="s">
        <v>587</v>
      </c>
      <c r="G604" s="24">
        <v>4</v>
      </c>
      <c r="H604" s="21">
        <v>46263</v>
      </c>
      <c r="I604" s="53" t="s">
        <v>4941</v>
      </c>
      <c r="J604" s="24" t="s">
        <v>4942</v>
      </c>
      <c r="K604" s="24">
        <v>4</v>
      </c>
      <c r="L604" s="46">
        <v>12116009</v>
      </c>
      <c r="M604" s="20" t="s">
        <v>614</v>
      </c>
      <c r="N604" s="38">
        <v>0</v>
      </c>
      <c r="O604" s="38">
        <v>0</v>
      </c>
      <c r="P604" s="20" t="s">
        <v>469</v>
      </c>
      <c r="Q604" s="20">
        <v>0</v>
      </c>
      <c r="R604" s="40">
        <v>46255</v>
      </c>
      <c r="S604" s="20">
        <v>0</v>
      </c>
      <c r="T604" s="20">
        <v>0</v>
      </c>
      <c r="U604" s="40">
        <v>46258</v>
      </c>
      <c r="V604" s="40">
        <v>46258</v>
      </c>
      <c r="W604" s="20" t="s">
        <v>58</v>
      </c>
      <c r="X604" s="21"/>
      <c r="Y604" s="19">
        <f>VLOOKUP(F604,[2]New!$B:$G,3,0)*K604/60</f>
        <v>3.7333333333333334</v>
      </c>
      <c r="Z604" s="19">
        <f>VLOOKUP(F604,[2]New!$B:$G,4,0)*K604/60</f>
        <v>15.6</v>
      </c>
      <c r="AA604" s="19">
        <f>VLOOKUP(F604,[2]New!$B:$G,6,0)*K604/60</f>
        <v>19.279999999999998</v>
      </c>
      <c r="AB604" s="44">
        <f>VLOOKUP(A604,'[4]PO CAG'!$A:$L,12,0)</f>
        <v>46269</v>
      </c>
      <c r="AC604" s="22">
        <f>IFERROR(VLOOKUP(F604,[3]Sheet1!$E:$H,4,0),)</f>
        <v>0</v>
      </c>
      <c r="AD604" s="144"/>
      <c r="AE604" s="25" t="e">
        <v>#N/A</v>
      </c>
      <c r="AF604" s="135" t="s">
        <v>112</v>
      </c>
      <c r="AG604" s="135"/>
      <c r="AH604" s="135"/>
      <c r="AI604" s="135"/>
      <c r="AJ604" s="267" t="s">
        <v>188</v>
      </c>
      <c r="AN604" s="278">
        <v>2</v>
      </c>
      <c r="AO604" s="278">
        <v>2</v>
      </c>
      <c r="AP604" s="278">
        <v>2</v>
      </c>
      <c r="AQ604" s="278">
        <v>2</v>
      </c>
    </row>
    <row r="605" spans="1:43">
      <c r="A605" s="135" t="s">
        <v>4943</v>
      </c>
      <c r="B605" s="135" t="s">
        <v>5160</v>
      </c>
      <c r="C605" s="135" t="s">
        <v>4944</v>
      </c>
      <c r="D605" s="46">
        <v>11119386</v>
      </c>
      <c r="E605" s="20" t="s">
        <v>572</v>
      </c>
      <c r="F605" s="20" t="s">
        <v>573</v>
      </c>
      <c r="G605" s="24">
        <v>4</v>
      </c>
      <c r="H605" s="21">
        <v>46263</v>
      </c>
      <c r="I605" s="53" t="s">
        <v>4945</v>
      </c>
      <c r="J605" s="24" t="s">
        <v>4946</v>
      </c>
      <c r="K605" s="24">
        <v>4</v>
      </c>
      <c r="L605" s="46">
        <v>12116021</v>
      </c>
      <c r="M605" s="20" t="s">
        <v>608</v>
      </c>
      <c r="N605" s="38">
        <v>0</v>
      </c>
      <c r="O605" s="38">
        <v>0</v>
      </c>
      <c r="P605" s="20" t="s">
        <v>469</v>
      </c>
      <c r="Q605" s="20">
        <v>0</v>
      </c>
      <c r="R605" s="40">
        <v>46255</v>
      </c>
      <c r="S605" s="20">
        <v>0</v>
      </c>
      <c r="T605" s="20">
        <v>0</v>
      </c>
      <c r="U605" s="40">
        <v>46258</v>
      </c>
      <c r="V605" s="40">
        <v>46258</v>
      </c>
      <c r="W605" s="20" t="s">
        <v>58</v>
      </c>
      <c r="X605" s="21"/>
      <c r="Y605" s="19">
        <f>VLOOKUP(F605,[2]New!$B:$G,3,0)*K605/60</f>
        <v>3.7333333333333334</v>
      </c>
      <c r="Z605" s="19">
        <f>VLOOKUP(F605,[2]New!$B:$G,4,0)*K605/60</f>
        <v>15.6</v>
      </c>
      <c r="AA605" s="19">
        <f>VLOOKUP(F605,[2]New!$B:$G,6,0)*K605/60</f>
        <v>19.279999999999998</v>
      </c>
      <c r="AB605" s="44">
        <f>VLOOKUP(A605,'[4]PO CAG'!$A:$L,12,0)</f>
        <v>46269</v>
      </c>
      <c r="AC605" s="22">
        <f>IFERROR(VLOOKUP(F605,[3]Sheet1!$E:$H,4,0),)</f>
        <v>0</v>
      </c>
      <c r="AD605" s="144"/>
      <c r="AE605" s="25" t="e">
        <v>#N/A</v>
      </c>
      <c r="AF605" s="135" t="s">
        <v>112</v>
      </c>
      <c r="AG605" s="135"/>
      <c r="AH605" s="135"/>
      <c r="AI605" s="135"/>
      <c r="AJ605" s="267" t="s">
        <v>188</v>
      </c>
      <c r="AN605" s="278">
        <v>2</v>
      </c>
      <c r="AO605" s="278">
        <v>2</v>
      </c>
      <c r="AP605" s="278">
        <v>2</v>
      </c>
      <c r="AQ605" s="278">
        <v>2</v>
      </c>
    </row>
    <row r="606" spans="1:43">
      <c r="A606" s="135" t="s">
        <v>4947</v>
      </c>
      <c r="B606" s="135" t="s">
        <v>5161</v>
      </c>
      <c r="C606" s="135" t="s">
        <v>4948</v>
      </c>
      <c r="D606" s="46">
        <v>11119398</v>
      </c>
      <c r="E606" s="20" t="s">
        <v>775</v>
      </c>
      <c r="F606" s="20" t="s">
        <v>776</v>
      </c>
      <c r="G606" s="24">
        <v>4</v>
      </c>
      <c r="H606" s="21">
        <v>46263</v>
      </c>
      <c r="I606" s="53" t="s">
        <v>4949</v>
      </c>
      <c r="J606" s="24" t="s">
        <v>4950</v>
      </c>
      <c r="K606" s="24">
        <v>4</v>
      </c>
      <c r="L606" s="46">
        <v>12116033</v>
      </c>
      <c r="M606" s="20" t="s">
        <v>793</v>
      </c>
      <c r="N606" s="38">
        <v>0</v>
      </c>
      <c r="O606" s="38">
        <v>0</v>
      </c>
      <c r="P606" s="20" t="s">
        <v>469</v>
      </c>
      <c r="Q606" s="20">
        <v>0</v>
      </c>
      <c r="R606" s="40">
        <v>46255</v>
      </c>
      <c r="S606" s="20">
        <v>0</v>
      </c>
      <c r="T606" s="20">
        <v>0</v>
      </c>
      <c r="U606" s="40">
        <v>46258</v>
      </c>
      <c r="V606" s="40">
        <v>46258</v>
      </c>
      <c r="W606" s="20" t="s">
        <v>58</v>
      </c>
      <c r="X606" s="21"/>
      <c r="Y606" s="19">
        <f>VLOOKUP(F606,[2]New!$B:$G,3,0)*K606/60</f>
        <v>3.7333333333333334</v>
      </c>
      <c r="Z606" s="19">
        <f>VLOOKUP(F606,[2]New!$B:$G,4,0)*K606/60</f>
        <v>15.6</v>
      </c>
      <c r="AA606" s="19">
        <f>VLOOKUP(F606,[2]New!$B:$G,6,0)*K606/60</f>
        <v>19.279999999999998</v>
      </c>
      <c r="AB606" s="44">
        <f>VLOOKUP(A606,'[4]PO CAG'!$A:$L,12,0)</f>
        <v>46269</v>
      </c>
      <c r="AC606" s="22">
        <f>IFERROR(VLOOKUP(F606,[3]Sheet1!$E:$H,4,0),)</f>
        <v>0</v>
      </c>
      <c r="AD606" s="144"/>
      <c r="AE606" s="25" t="e">
        <v>#N/A</v>
      </c>
      <c r="AF606" s="135" t="s">
        <v>112</v>
      </c>
      <c r="AG606" s="135"/>
      <c r="AH606" s="135"/>
      <c r="AI606" s="135"/>
      <c r="AJ606" s="267" t="s">
        <v>188</v>
      </c>
      <c r="AN606" s="278">
        <v>2</v>
      </c>
      <c r="AO606" s="278">
        <v>2</v>
      </c>
      <c r="AP606" s="278">
        <v>2</v>
      </c>
      <c r="AQ606" s="278">
        <v>2</v>
      </c>
    </row>
    <row r="607" spans="1:43">
      <c r="A607" s="135" t="s">
        <v>4951</v>
      </c>
      <c r="B607" s="135" t="s">
        <v>5162</v>
      </c>
      <c r="C607" s="135" t="s">
        <v>4952</v>
      </c>
      <c r="D607" s="46">
        <v>11119570</v>
      </c>
      <c r="E607" s="20" t="s">
        <v>625</v>
      </c>
      <c r="F607" s="20" t="s">
        <v>626</v>
      </c>
      <c r="G607" s="24">
        <v>5</v>
      </c>
      <c r="H607" s="21">
        <v>46263</v>
      </c>
      <c r="I607" s="53" t="s">
        <v>4953</v>
      </c>
      <c r="J607" s="24" t="s">
        <v>4954</v>
      </c>
      <c r="K607" s="24">
        <v>5</v>
      </c>
      <c r="L607" s="46">
        <v>12116205</v>
      </c>
      <c r="M607" s="20" t="s">
        <v>632</v>
      </c>
      <c r="N607" s="38">
        <v>0</v>
      </c>
      <c r="O607" s="38">
        <v>0</v>
      </c>
      <c r="P607" s="20" t="s">
        <v>469</v>
      </c>
      <c r="Q607" s="20">
        <v>0</v>
      </c>
      <c r="R607" s="40">
        <v>46255</v>
      </c>
      <c r="S607" s="20">
        <v>0</v>
      </c>
      <c r="T607" s="20">
        <v>0</v>
      </c>
      <c r="U607" s="40">
        <v>46258</v>
      </c>
      <c r="V607" s="40">
        <v>46258</v>
      </c>
      <c r="W607" s="20" t="s">
        <v>58</v>
      </c>
      <c r="X607" s="21"/>
      <c r="Y607" s="19">
        <f>VLOOKUP(F607,[2]New!$B:$G,3,0)*K607/60</f>
        <v>4.666666666666667</v>
      </c>
      <c r="Z607" s="19">
        <f>VLOOKUP(F607,[2]New!$B:$G,4,0)*K607/60</f>
        <v>19.5</v>
      </c>
      <c r="AA607" s="19">
        <f>VLOOKUP(F607,[2]New!$B:$G,6,0)*K607/60</f>
        <v>24.1</v>
      </c>
      <c r="AB607" s="44">
        <f>VLOOKUP(A607,'[4]PO CAG'!$A:$L,12,0)</f>
        <v>46269</v>
      </c>
      <c r="AC607" s="22">
        <f>IFERROR(VLOOKUP(F607,[3]Sheet1!$E:$H,4,0),)</f>
        <v>0</v>
      </c>
      <c r="AD607" s="144"/>
      <c r="AE607" s="25" t="e">
        <v>#N/A</v>
      </c>
      <c r="AF607" s="135" t="s">
        <v>112</v>
      </c>
      <c r="AG607" s="135"/>
      <c r="AH607" s="135"/>
      <c r="AI607" s="135"/>
      <c r="AJ607" s="267" t="s">
        <v>188</v>
      </c>
      <c r="AN607" s="278">
        <v>2</v>
      </c>
      <c r="AO607" s="278">
        <v>2</v>
      </c>
      <c r="AP607" s="278">
        <v>2</v>
      </c>
      <c r="AQ607" s="278">
        <v>2</v>
      </c>
    </row>
    <row r="608" spans="1:43">
      <c r="A608" s="135" t="s">
        <v>4955</v>
      </c>
      <c r="B608" s="135" t="s">
        <v>5163</v>
      </c>
      <c r="C608" s="135" t="s">
        <v>4956</v>
      </c>
      <c r="D608" s="46">
        <v>11119664</v>
      </c>
      <c r="E608" s="20" t="s">
        <v>4957</v>
      </c>
      <c r="F608" s="20" t="s">
        <v>4958</v>
      </c>
      <c r="G608" s="24">
        <v>5</v>
      </c>
      <c r="H608" s="21">
        <v>46263</v>
      </c>
      <c r="I608" s="53" t="s">
        <v>4959</v>
      </c>
      <c r="J608" s="24" t="s">
        <v>4960</v>
      </c>
      <c r="K608" s="24">
        <v>5</v>
      </c>
      <c r="L608" s="46">
        <v>12116299</v>
      </c>
      <c r="M608" s="20" t="s">
        <v>5018</v>
      </c>
      <c r="N608" s="38">
        <v>0</v>
      </c>
      <c r="O608" s="38">
        <v>0</v>
      </c>
      <c r="P608" s="20" t="s">
        <v>469</v>
      </c>
      <c r="Q608" s="20">
        <v>0</v>
      </c>
      <c r="R608" s="40">
        <v>46255</v>
      </c>
      <c r="S608" s="20">
        <v>0</v>
      </c>
      <c r="T608" s="20">
        <v>0</v>
      </c>
      <c r="U608" s="40">
        <v>46258</v>
      </c>
      <c r="V608" s="40">
        <v>46258</v>
      </c>
      <c r="W608" s="20" t="s">
        <v>58</v>
      </c>
      <c r="X608" s="21"/>
      <c r="Y608" s="19">
        <f>VLOOKUP(F608,[2]New!$B:$G,3,0)*K608/60</f>
        <v>4.666666666666667</v>
      </c>
      <c r="Z608" s="19">
        <f>VLOOKUP(F608,[2]New!$B:$G,4,0)*K608/60</f>
        <v>19.5</v>
      </c>
      <c r="AA608" s="19">
        <f>VLOOKUP(F608,[2]New!$B:$G,6,0)*K608/60</f>
        <v>24.1</v>
      </c>
      <c r="AB608" s="44">
        <f>VLOOKUP(A608,'[4]PO CAG'!$A:$L,12,0)</f>
        <v>46269</v>
      </c>
      <c r="AC608" s="22">
        <f>IFERROR(VLOOKUP(F608,[3]Sheet1!$E:$H,4,0),)</f>
        <v>0</v>
      </c>
      <c r="AD608" s="144"/>
      <c r="AE608" s="25" t="e">
        <v>#N/A</v>
      </c>
      <c r="AF608" s="135" t="s">
        <v>112</v>
      </c>
      <c r="AG608" s="135"/>
      <c r="AH608" s="135"/>
      <c r="AI608" s="135"/>
      <c r="AJ608" s="267" t="s">
        <v>188</v>
      </c>
      <c r="AN608" s="278">
        <v>2</v>
      </c>
      <c r="AO608" s="278">
        <v>2</v>
      </c>
      <c r="AP608" s="278">
        <v>2</v>
      </c>
      <c r="AQ608" s="278">
        <v>2</v>
      </c>
    </row>
    <row r="609" spans="1:43">
      <c r="A609" s="135" t="s">
        <v>4961</v>
      </c>
      <c r="B609" s="135" t="s">
        <v>5164</v>
      </c>
      <c r="C609" s="135" t="s">
        <v>4962</v>
      </c>
      <c r="D609" s="46">
        <v>11119366</v>
      </c>
      <c r="E609" s="20" t="s">
        <v>578</v>
      </c>
      <c r="F609" s="20" t="s">
        <v>579</v>
      </c>
      <c r="G609" s="24">
        <v>6</v>
      </c>
      <c r="H609" s="21">
        <v>46263</v>
      </c>
      <c r="I609" s="53" t="s">
        <v>4963</v>
      </c>
      <c r="J609" s="24" t="s">
        <v>4964</v>
      </c>
      <c r="K609" s="24">
        <v>6</v>
      </c>
      <c r="L609" s="46">
        <v>12116001</v>
      </c>
      <c r="M609" s="20" t="s">
        <v>611</v>
      </c>
      <c r="N609" s="38">
        <v>0</v>
      </c>
      <c r="O609" s="38">
        <v>0</v>
      </c>
      <c r="P609" s="20" t="s">
        <v>469</v>
      </c>
      <c r="Q609" s="20">
        <v>0</v>
      </c>
      <c r="R609" s="40">
        <v>46255</v>
      </c>
      <c r="S609" s="20">
        <v>0</v>
      </c>
      <c r="T609" s="20">
        <v>0</v>
      </c>
      <c r="U609" s="40">
        <v>46258</v>
      </c>
      <c r="V609" s="40">
        <v>46258</v>
      </c>
      <c r="W609" s="20" t="s">
        <v>58</v>
      </c>
      <c r="X609" s="21"/>
      <c r="Y609" s="19">
        <f>VLOOKUP(F609,[2]New!$B:$G,3,0)*K609/60</f>
        <v>5.6</v>
      </c>
      <c r="Z609" s="19">
        <f>VLOOKUP(F609,[2]New!$B:$G,4,0)*K609/60</f>
        <v>23.4</v>
      </c>
      <c r="AA609" s="19">
        <f>VLOOKUP(F609,[2]New!$B:$G,6,0)*K609/60</f>
        <v>28.9</v>
      </c>
      <c r="AB609" s="44">
        <f>VLOOKUP(A609,'[4]PO CAG'!$A:$L,12,0)</f>
        <v>46269</v>
      </c>
      <c r="AC609" s="22">
        <f>IFERROR(VLOOKUP(F609,[3]Sheet1!$E:$H,4,0),)</f>
        <v>0</v>
      </c>
      <c r="AD609" s="144"/>
      <c r="AE609" s="25" t="e">
        <v>#N/A</v>
      </c>
      <c r="AF609" s="135" t="s">
        <v>112</v>
      </c>
      <c r="AG609" s="135"/>
      <c r="AH609" s="135"/>
      <c r="AI609" s="135"/>
      <c r="AJ609" s="267" t="s">
        <v>188</v>
      </c>
      <c r="AN609" s="278">
        <v>2</v>
      </c>
      <c r="AO609" s="278">
        <v>2</v>
      </c>
      <c r="AP609" s="278">
        <v>2</v>
      </c>
      <c r="AQ609" s="278">
        <v>2</v>
      </c>
    </row>
    <row r="610" spans="1:43">
      <c r="A610" s="135" t="s">
        <v>4965</v>
      </c>
      <c r="B610" s="135" t="s">
        <v>5165</v>
      </c>
      <c r="C610" s="135" t="s">
        <v>4966</v>
      </c>
      <c r="D610" s="46">
        <v>11119629</v>
      </c>
      <c r="E610" s="20" t="s">
        <v>600</v>
      </c>
      <c r="F610" s="20" t="s">
        <v>601</v>
      </c>
      <c r="G610" s="24">
        <v>6</v>
      </c>
      <c r="H610" s="21">
        <v>46263</v>
      </c>
      <c r="I610" s="53" t="s">
        <v>4967</v>
      </c>
      <c r="J610" s="24" t="s">
        <v>4968</v>
      </c>
      <c r="K610" s="24">
        <v>6</v>
      </c>
      <c r="L610" s="46">
        <v>12116264</v>
      </c>
      <c r="M610" s="20" t="s">
        <v>623</v>
      </c>
      <c r="N610" s="38">
        <v>0</v>
      </c>
      <c r="O610" s="38">
        <v>0</v>
      </c>
      <c r="P610" s="20" t="s">
        <v>469</v>
      </c>
      <c r="Q610" s="20">
        <v>0</v>
      </c>
      <c r="R610" s="40">
        <v>46255</v>
      </c>
      <c r="S610" s="20">
        <v>0</v>
      </c>
      <c r="T610" s="20">
        <v>0</v>
      </c>
      <c r="U610" s="40">
        <v>46258</v>
      </c>
      <c r="V610" s="40">
        <v>46258</v>
      </c>
      <c r="W610" s="20" t="s">
        <v>58</v>
      </c>
      <c r="X610" s="21"/>
      <c r="Y610" s="19">
        <f>VLOOKUP(F610,[2]New!$B:$G,3,0)*K610/60</f>
        <v>5.6</v>
      </c>
      <c r="Z610" s="19">
        <f>VLOOKUP(F610,[2]New!$B:$G,4,0)*K610/60</f>
        <v>23.4</v>
      </c>
      <c r="AA610" s="19">
        <f>VLOOKUP(F610,[2]New!$B:$G,6,0)*K610/60</f>
        <v>23.4</v>
      </c>
      <c r="AB610" s="44">
        <f>VLOOKUP(A610,'[4]PO CAG'!$A:$L,12,0)</f>
        <v>46269</v>
      </c>
      <c r="AC610" s="22">
        <f>IFERROR(VLOOKUP(F610,[3]Sheet1!$E:$H,4,0),)</f>
        <v>0</v>
      </c>
      <c r="AD610" s="144"/>
      <c r="AE610" s="25" t="e">
        <v>#N/A</v>
      </c>
      <c r="AF610" s="135" t="s">
        <v>112</v>
      </c>
      <c r="AG610" s="135"/>
      <c r="AH610" s="135"/>
      <c r="AI610" s="135"/>
      <c r="AJ610" s="267" t="s">
        <v>188</v>
      </c>
      <c r="AN610" s="278">
        <v>2</v>
      </c>
      <c r="AO610" s="278">
        <v>2</v>
      </c>
      <c r="AP610" s="278">
        <v>2</v>
      </c>
      <c r="AQ610" s="278">
        <v>2</v>
      </c>
    </row>
    <row r="611" spans="1:43">
      <c r="A611" s="135" t="s">
        <v>4969</v>
      </c>
      <c r="B611" s="135" t="s">
        <v>5166</v>
      </c>
      <c r="C611" s="135" t="s">
        <v>4970</v>
      </c>
      <c r="D611" s="46">
        <v>11119340</v>
      </c>
      <c r="E611" s="20" t="s">
        <v>498</v>
      </c>
      <c r="F611" s="20" t="s">
        <v>499</v>
      </c>
      <c r="G611" s="24">
        <v>7</v>
      </c>
      <c r="H611" s="21">
        <v>46263</v>
      </c>
      <c r="I611" s="53" t="s">
        <v>4971</v>
      </c>
      <c r="J611" s="24" t="s">
        <v>4972</v>
      </c>
      <c r="K611" s="24">
        <v>7</v>
      </c>
      <c r="L611" s="46">
        <v>12115975</v>
      </c>
      <c r="M611" s="20" t="s">
        <v>510</v>
      </c>
      <c r="N611" s="38">
        <v>0</v>
      </c>
      <c r="O611" s="38">
        <v>0</v>
      </c>
      <c r="P611" s="20" t="s">
        <v>469</v>
      </c>
      <c r="Q611" s="20">
        <v>0</v>
      </c>
      <c r="R611" s="40">
        <v>46255</v>
      </c>
      <c r="S611" s="20">
        <v>0</v>
      </c>
      <c r="T611" s="20">
        <v>0</v>
      </c>
      <c r="U611" s="40">
        <v>46258</v>
      </c>
      <c r="V611" s="40">
        <v>46258</v>
      </c>
      <c r="W611" s="20" t="s">
        <v>58</v>
      </c>
      <c r="X611" s="21"/>
      <c r="Y611" s="19">
        <f>VLOOKUP(F611,[2]New!$B:$G,3,0)*K611/60</f>
        <v>6.5333333333333332</v>
      </c>
      <c r="Z611" s="19">
        <f>VLOOKUP(F611,[2]New!$B:$G,4,0)*K611/60</f>
        <v>27.3</v>
      </c>
      <c r="AA611" s="19">
        <f>VLOOKUP(F611,[2]New!$B:$G,6,0)*K611/60</f>
        <v>33.739999999999995</v>
      </c>
      <c r="AB611" s="44">
        <f>VLOOKUP(A611,'[4]PO CAG'!$A:$L,12,0)</f>
        <v>46269</v>
      </c>
      <c r="AC611" s="22">
        <f>IFERROR(VLOOKUP(F611,[3]Sheet1!$E:$H,4,0),)</f>
        <v>0</v>
      </c>
      <c r="AD611" s="144"/>
      <c r="AE611" s="25" t="e">
        <v>#N/A</v>
      </c>
      <c r="AF611" s="135" t="s">
        <v>112</v>
      </c>
      <c r="AG611" s="135"/>
      <c r="AH611" s="135"/>
      <c r="AI611" s="135"/>
      <c r="AJ611" s="267" t="s">
        <v>188</v>
      </c>
      <c r="AN611" s="278">
        <v>2</v>
      </c>
      <c r="AO611" s="278">
        <v>2</v>
      </c>
      <c r="AP611" s="278">
        <v>2</v>
      </c>
      <c r="AQ611" s="278">
        <v>2</v>
      </c>
    </row>
    <row r="612" spans="1:43">
      <c r="A612" s="135" t="s">
        <v>4973</v>
      </c>
      <c r="B612" s="135" t="s">
        <v>5167</v>
      </c>
      <c r="C612" s="135" t="s">
        <v>4974</v>
      </c>
      <c r="D612" s="46">
        <v>11119417</v>
      </c>
      <c r="E612" s="20" t="s">
        <v>1118</v>
      </c>
      <c r="F612" s="20" t="s">
        <v>1119</v>
      </c>
      <c r="G612" s="24">
        <v>8</v>
      </c>
      <c r="H612" s="21">
        <v>46263</v>
      </c>
      <c r="I612" s="53" t="s">
        <v>4975</v>
      </c>
      <c r="J612" s="24" t="s">
        <v>4976</v>
      </c>
      <c r="K612" s="24">
        <v>8</v>
      </c>
      <c r="L612" s="46">
        <v>12116052</v>
      </c>
      <c r="M612" s="20" t="s">
        <v>1145</v>
      </c>
      <c r="N612" s="38">
        <v>0</v>
      </c>
      <c r="O612" s="38">
        <v>0</v>
      </c>
      <c r="P612" s="20" t="s">
        <v>469</v>
      </c>
      <c r="Q612" s="20">
        <v>0</v>
      </c>
      <c r="R612" s="40">
        <v>46255</v>
      </c>
      <c r="S612" s="20">
        <v>0</v>
      </c>
      <c r="T612" s="20">
        <v>0</v>
      </c>
      <c r="U612" s="40">
        <v>46258</v>
      </c>
      <c r="V612" s="40">
        <v>46258</v>
      </c>
      <c r="W612" s="20" t="s">
        <v>58</v>
      </c>
      <c r="X612" s="21"/>
      <c r="Y612" s="19">
        <f>VLOOKUP(F612,[2]New!$B:$G,3,0)*K612/60</f>
        <v>7.4666666666666668</v>
      </c>
      <c r="Z612" s="19">
        <f>VLOOKUP(F612,[2]New!$B:$G,4,0)*K612/60</f>
        <v>31.2</v>
      </c>
      <c r="AA612" s="19">
        <f>VLOOKUP(F612,[2]New!$B:$G,6,0)*K612/60</f>
        <v>38.559999999999995</v>
      </c>
      <c r="AB612" s="44">
        <f>VLOOKUP(A612,'[4]PO CAG'!$A:$L,12,0)</f>
        <v>46269</v>
      </c>
      <c r="AC612" s="22">
        <f>IFERROR(VLOOKUP(F612,[3]Sheet1!$E:$H,4,0),)</f>
        <v>0</v>
      </c>
      <c r="AD612" s="144"/>
      <c r="AE612" s="25" t="e">
        <v>#N/A</v>
      </c>
      <c r="AF612" s="135" t="s">
        <v>112</v>
      </c>
      <c r="AG612" s="135"/>
      <c r="AH612" s="135"/>
      <c r="AI612" s="135"/>
      <c r="AJ612" s="267" t="s">
        <v>188</v>
      </c>
      <c r="AN612" s="278">
        <v>2</v>
      </c>
      <c r="AO612" s="278">
        <v>2</v>
      </c>
      <c r="AP612" s="278">
        <v>2</v>
      </c>
      <c r="AQ612" s="278">
        <v>2</v>
      </c>
    </row>
    <row r="613" spans="1:43">
      <c r="A613" s="135" t="s">
        <v>4215</v>
      </c>
      <c r="B613" s="135" t="s">
        <v>5168</v>
      </c>
      <c r="C613" s="135" t="s">
        <v>4977</v>
      </c>
      <c r="D613" s="46">
        <v>11119444</v>
      </c>
      <c r="E613" s="20" t="s">
        <v>4217</v>
      </c>
      <c r="F613" s="20" t="s">
        <v>4218</v>
      </c>
      <c r="G613" s="24">
        <v>9</v>
      </c>
      <c r="H613" s="21">
        <v>46263</v>
      </c>
      <c r="I613" s="53" t="s">
        <v>4978</v>
      </c>
      <c r="J613" s="24" t="s">
        <v>4979</v>
      </c>
      <c r="K613" s="24">
        <v>9</v>
      </c>
      <c r="L613" s="46">
        <v>12116079</v>
      </c>
      <c r="M613" s="20" t="s">
        <v>4224</v>
      </c>
      <c r="N613" s="38">
        <v>0</v>
      </c>
      <c r="O613" s="38">
        <v>0</v>
      </c>
      <c r="P613" s="20" t="s">
        <v>469</v>
      </c>
      <c r="Q613" s="20">
        <v>0</v>
      </c>
      <c r="R613" s="40">
        <v>46255</v>
      </c>
      <c r="S613" s="20">
        <v>0</v>
      </c>
      <c r="T613" s="20">
        <v>0</v>
      </c>
      <c r="U613" s="40">
        <v>46258</v>
      </c>
      <c r="V613" s="40">
        <v>46258</v>
      </c>
      <c r="W613" s="20" t="s">
        <v>58</v>
      </c>
      <c r="X613" s="21"/>
      <c r="Y613" s="19">
        <f>VLOOKUP(F613,[2]New!$B:$G,3,0)*K613/60</f>
        <v>8.4</v>
      </c>
      <c r="Z613" s="19">
        <f>VLOOKUP(F613,[2]New!$B:$G,4,0)*K613/60</f>
        <v>35.1</v>
      </c>
      <c r="AA613" s="19">
        <f>VLOOKUP(F613,[2]New!$B:$G,6,0)*K613/60</f>
        <v>43.379999999999995</v>
      </c>
      <c r="AB613" s="44">
        <f>VLOOKUP(A613,'[4]PO CAG'!$A:$L,12,0)</f>
        <v>46269</v>
      </c>
      <c r="AC613" s="22">
        <f>IFERROR(VLOOKUP(F613,[3]Sheet1!$E:$H,4,0),)</f>
        <v>0</v>
      </c>
      <c r="AD613" s="144"/>
      <c r="AE613" s="25" t="e">
        <v>#N/A</v>
      </c>
      <c r="AF613" s="135" t="s">
        <v>112</v>
      </c>
      <c r="AG613" s="135"/>
      <c r="AH613" s="135"/>
      <c r="AI613" s="135"/>
      <c r="AJ613" s="267" t="s">
        <v>188</v>
      </c>
      <c r="AN613" s="278">
        <v>2</v>
      </c>
      <c r="AO613" s="278">
        <v>2</v>
      </c>
      <c r="AP613" s="278">
        <v>2</v>
      </c>
      <c r="AQ613" s="278">
        <v>2</v>
      </c>
    </row>
    <row r="614" spans="1:43">
      <c r="A614" s="135" t="s">
        <v>4980</v>
      </c>
      <c r="B614" s="135" t="s">
        <v>5169</v>
      </c>
      <c r="C614" s="135" t="s">
        <v>4981</v>
      </c>
      <c r="D614" s="46">
        <v>11119659</v>
      </c>
      <c r="E614" s="20" t="s">
        <v>602</v>
      </c>
      <c r="F614" s="20" t="s">
        <v>603</v>
      </c>
      <c r="G614" s="24">
        <v>10</v>
      </c>
      <c r="H614" s="21">
        <v>46263</v>
      </c>
      <c r="I614" s="53" t="s">
        <v>4982</v>
      </c>
      <c r="J614" s="24" t="s">
        <v>4983</v>
      </c>
      <c r="K614" s="24">
        <v>10</v>
      </c>
      <c r="L614" s="46">
        <v>12116294</v>
      </c>
      <c r="M614" s="20" t="s">
        <v>624</v>
      </c>
      <c r="N614" s="38">
        <v>0</v>
      </c>
      <c r="O614" s="38">
        <v>0</v>
      </c>
      <c r="P614" s="20" t="s">
        <v>469</v>
      </c>
      <c r="Q614" s="20">
        <v>0</v>
      </c>
      <c r="R614" s="40">
        <v>46255</v>
      </c>
      <c r="S614" s="20">
        <v>0</v>
      </c>
      <c r="T614" s="20">
        <v>0</v>
      </c>
      <c r="U614" s="40">
        <v>46258</v>
      </c>
      <c r="V614" s="40">
        <v>46258</v>
      </c>
      <c r="W614" s="20" t="s">
        <v>58</v>
      </c>
      <c r="X614" s="21"/>
      <c r="Y614" s="19">
        <f>VLOOKUP(F614,[2]New!$B:$G,3,0)*K614/60</f>
        <v>9.3333333333333339</v>
      </c>
      <c r="Z614" s="19">
        <f>VLOOKUP(F614,[2]New!$B:$G,4,0)*K614/60</f>
        <v>39</v>
      </c>
      <c r="AA614" s="19">
        <f>VLOOKUP(F614,[2]New!$B:$G,6,0)*K614/60</f>
        <v>48.2</v>
      </c>
      <c r="AB614" s="44">
        <f>VLOOKUP(A614,'[4]PO CAG'!$A:$L,12,0)</f>
        <v>46269</v>
      </c>
      <c r="AC614" s="22">
        <f>IFERROR(VLOOKUP(F614,[3]Sheet1!$E:$H,4,0),)</f>
        <v>0</v>
      </c>
      <c r="AD614" s="144"/>
      <c r="AE614" s="25" t="e">
        <v>#N/A</v>
      </c>
      <c r="AF614" s="135" t="s">
        <v>112</v>
      </c>
      <c r="AG614" s="135"/>
      <c r="AH614" s="135"/>
      <c r="AI614" s="135"/>
      <c r="AJ614" s="267" t="s">
        <v>188</v>
      </c>
      <c r="AN614" s="278">
        <v>2</v>
      </c>
      <c r="AO614" s="278">
        <v>2</v>
      </c>
      <c r="AP614" s="278">
        <v>2</v>
      </c>
      <c r="AQ614" s="278">
        <v>2</v>
      </c>
    </row>
    <row r="615" spans="1:43">
      <c r="A615" s="135" t="s">
        <v>4984</v>
      </c>
      <c r="B615" s="135" t="s">
        <v>5170</v>
      </c>
      <c r="C615" s="135" t="s">
        <v>4985</v>
      </c>
      <c r="D615" s="46">
        <v>11119347</v>
      </c>
      <c r="E615" s="20" t="s">
        <v>1122</v>
      </c>
      <c r="F615" s="20" t="s">
        <v>1123</v>
      </c>
      <c r="G615" s="24">
        <v>12</v>
      </c>
      <c r="H615" s="21">
        <v>46263</v>
      </c>
      <c r="I615" s="53" t="s">
        <v>4986</v>
      </c>
      <c r="J615" s="24" t="s">
        <v>4987</v>
      </c>
      <c r="K615" s="24">
        <v>12</v>
      </c>
      <c r="L615" s="46">
        <v>12115982</v>
      </c>
      <c r="M615" s="20" t="s">
        <v>101</v>
      </c>
      <c r="N615" s="38">
        <v>0</v>
      </c>
      <c r="O615" s="38">
        <v>0</v>
      </c>
      <c r="P615" s="20" t="s">
        <v>469</v>
      </c>
      <c r="Q615" s="20">
        <v>0</v>
      </c>
      <c r="R615" s="40">
        <v>46255</v>
      </c>
      <c r="S615" s="20">
        <v>0</v>
      </c>
      <c r="T615" s="20">
        <v>0</v>
      </c>
      <c r="U615" s="40">
        <v>46258</v>
      </c>
      <c r="V615" s="40">
        <v>46258</v>
      </c>
      <c r="W615" s="20" t="s">
        <v>58</v>
      </c>
      <c r="X615" s="21"/>
      <c r="Y615" s="19">
        <f>VLOOKUP(F615,[2]New!$B:$G,3,0)*K615/60</f>
        <v>11.2</v>
      </c>
      <c r="Z615" s="19">
        <f>VLOOKUP(F615,[2]New!$B:$G,4,0)*K615/60</f>
        <v>46.8</v>
      </c>
      <c r="AA615" s="19">
        <f>VLOOKUP(F615,[2]New!$B:$G,6,0)*K615/60</f>
        <v>57.839999999999996</v>
      </c>
      <c r="AB615" s="44">
        <f>VLOOKUP(A615,'[4]PO CAG'!$A:$L,12,0)</f>
        <v>46269</v>
      </c>
      <c r="AC615" s="22">
        <f>IFERROR(VLOOKUP(F615,[3]Sheet1!$E:$H,4,0),)</f>
        <v>0</v>
      </c>
      <c r="AD615" s="144"/>
      <c r="AE615" s="25" t="e">
        <v>#N/A</v>
      </c>
      <c r="AF615" s="135" t="s">
        <v>112</v>
      </c>
      <c r="AG615" s="135"/>
      <c r="AH615" s="135"/>
      <c r="AI615" s="135"/>
      <c r="AJ615" s="267" t="s">
        <v>188</v>
      </c>
      <c r="AN615" s="278">
        <v>2</v>
      </c>
      <c r="AO615" s="278">
        <v>2</v>
      </c>
      <c r="AP615" s="278">
        <v>2</v>
      </c>
      <c r="AQ615" s="278">
        <v>2</v>
      </c>
    </row>
    <row r="616" spans="1:43">
      <c r="A616" s="135" t="s">
        <v>4988</v>
      </c>
      <c r="B616" s="135" t="s">
        <v>5171</v>
      </c>
      <c r="C616" s="135" t="s">
        <v>4989</v>
      </c>
      <c r="D616" s="46">
        <v>11119364</v>
      </c>
      <c r="E616" s="20" t="s">
        <v>584</v>
      </c>
      <c r="F616" s="20" t="s">
        <v>585</v>
      </c>
      <c r="G616" s="24">
        <v>12</v>
      </c>
      <c r="H616" s="21">
        <v>46263</v>
      </c>
      <c r="I616" s="53" t="s">
        <v>4990</v>
      </c>
      <c r="J616" s="24" t="s">
        <v>4991</v>
      </c>
      <c r="K616" s="24">
        <v>12</v>
      </c>
      <c r="L616" s="46">
        <v>12115999</v>
      </c>
      <c r="M616" s="20" t="s">
        <v>613</v>
      </c>
      <c r="N616" s="38">
        <v>0</v>
      </c>
      <c r="O616" s="38">
        <v>0</v>
      </c>
      <c r="P616" s="20" t="s">
        <v>469</v>
      </c>
      <c r="Q616" s="20">
        <v>0</v>
      </c>
      <c r="R616" s="40">
        <v>46255</v>
      </c>
      <c r="S616" s="20">
        <v>0</v>
      </c>
      <c r="T616" s="20">
        <v>0</v>
      </c>
      <c r="U616" s="40">
        <v>46258</v>
      </c>
      <c r="V616" s="40">
        <v>46258</v>
      </c>
      <c r="W616" s="20" t="s">
        <v>58</v>
      </c>
      <c r="X616" s="21"/>
      <c r="Y616" s="19">
        <f>VLOOKUP(F616,[2]New!$B:$G,3,0)*K616/60</f>
        <v>11.2</v>
      </c>
      <c r="Z616" s="19">
        <f>VLOOKUP(F616,[2]New!$B:$G,4,0)*K616/60</f>
        <v>46.8</v>
      </c>
      <c r="AA616" s="19">
        <f>VLOOKUP(F616,[2]New!$B:$G,6,0)*K616/60</f>
        <v>57.8</v>
      </c>
      <c r="AB616" s="44">
        <f>VLOOKUP(A616,'[4]PO CAG'!$A:$L,12,0)</f>
        <v>46269</v>
      </c>
      <c r="AC616" s="22">
        <f>IFERROR(VLOOKUP(F616,[3]Sheet1!$E:$H,4,0),)</f>
        <v>0</v>
      </c>
      <c r="AD616" s="144"/>
      <c r="AE616" s="25" t="e">
        <v>#N/A</v>
      </c>
      <c r="AF616" s="135" t="s">
        <v>112</v>
      </c>
      <c r="AG616" s="135"/>
      <c r="AH616" s="135"/>
      <c r="AI616" s="135"/>
      <c r="AJ616" s="267" t="s">
        <v>188</v>
      </c>
      <c r="AN616" s="278">
        <v>2</v>
      </c>
      <c r="AO616" s="278">
        <v>2</v>
      </c>
      <c r="AP616" s="278">
        <v>2</v>
      </c>
      <c r="AQ616" s="278">
        <v>2</v>
      </c>
    </row>
    <row r="617" spans="1:43">
      <c r="A617" s="135" t="s">
        <v>4992</v>
      </c>
      <c r="B617" s="135" t="s">
        <v>5172</v>
      </c>
      <c r="C617" s="135" t="s">
        <v>4993</v>
      </c>
      <c r="D617" s="46">
        <v>11119486</v>
      </c>
      <c r="E617" s="20" t="s">
        <v>4994</v>
      </c>
      <c r="F617" s="20" t="s">
        <v>4995</v>
      </c>
      <c r="G617" s="24">
        <v>12</v>
      </c>
      <c r="H617" s="21">
        <v>46263</v>
      </c>
      <c r="I617" s="53" t="s">
        <v>4996</v>
      </c>
      <c r="J617" s="24" t="s">
        <v>4997</v>
      </c>
      <c r="K617" s="24">
        <v>12</v>
      </c>
      <c r="L617" s="46">
        <v>12116121</v>
      </c>
      <c r="M617" s="20" t="s">
        <v>5019</v>
      </c>
      <c r="N617" s="38">
        <v>0</v>
      </c>
      <c r="O617" s="38">
        <v>0</v>
      </c>
      <c r="P617" s="20" t="s">
        <v>469</v>
      </c>
      <c r="Q617" s="20">
        <v>0</v>
      </c>
      <c r="R617" s="40">
        <v>46255</v>
      </c>
      <c r="S617" s="20">
        <v>0</v>
      </c>
      <c r="T617" s="20">
        <v>0</v>
      </c>
      <c r="U617" s="40">
        <v>46258</v>
      </c>
      <c r="V617" s="40">
        <v>46258</v>
      </c>
      <c r="W617" s="20" t="s">
        <v>58</v>
      </c>
      <c r="X617" s="21"/>
      <c r="Y617" s="19">
        <f>VLOOKUP(F617,[2]New!$B:$G,3,0)*K617/60</f>
        <v>11.2</v>
      </c>
      <c r="Z617" s="19">
        <f>VLOOKUP(F617,[2]New!$B:$G,4,0)*K617/60</f>
        <v>46.8</v>
      </c>
      <c r="AA617" s="19">
        <f>VLOOKUP(F617,[2]New!$B:$G,6,0)*K617/60</f>
        <v>57.839999999999996</v>
      </c>
      <c r="AB617" s="44">
        <f>VLOOKUP(A617,'[4]PO CAG'!$A:$L,12,0)</f>
        <v>46269</v>
      </c>
      <c r="AC617" s="22">
        <f>IFERROR(VLOOKUP(F617,[3]Sheet1!$E:$H,4,0),)</f>
        <v>0</v>
      </c>
      <c r="AD617" s="144"/>
      <c r="AE617" s="25" t="e">
        <v>#N/A</v>
      </c>
      <c r="AF617" s="135" t="s">
        <v>112</v>
      </c>
      <c r="AG617" s="135"/>
      <c r="AH617" s="135"/>
      <c r="AI617" s="135"/>
      <c r="AJ617" s="267" t="s">
        <v>188</v>
      </c>
      <c r="AN617" s="278">
        <v>2</v>
      </c>
      <c r="AO617" s="278">
        <v>2</v>
      </c>
      <c r="AP617" s="278">
        <v>2</v>
      </c>
      <c r="AQ617" s="278">
        <v>2</v>
      </c>
    </row>
    <row r="618" spans="1:43">
      <c r="A618" s="135" t="s">
        <v>4998</v>
      </c>
      <c r="B618" s="135" t="s">
        <v>5173</v>
      </c>
      <c r="C618" s="135" t="s">
        <v>4999</v>
      </c>
      <c r="D618" s="46">
        <v>11119631</v>
      </c>
      <c r="E618" s="20" t="s">
        <v>629</v>
      </c>
      <c r="F618" s="20" t="s">
        <v>630</v>
      </c>
      <c r="G618" s="24">
        <v>12</v>
      </c>
      <c r="H618" s="21">
        <v>46263</v>
      </c>
      <c r="I618" s="53" t="s">
        <v>5000</v>
      </c>
      <c r="J618" s="24" t="s">
        <v>5001</v>
      </c>
      <c r="K618" s="24">
        <v>12</v>
      </c>
      <c r="L618" s="46">
        <v>12116266</v>
      </c>
      <c r="M618" s="20" t="s">
        <v>634</v>
      </c>
      <c r="N618" s="38">
        <v>0</v>
      </c>
      <c r="O618" s="38">
        <v>0</v>
      </c>
      <c r="P618" s="20" t="s">
        <v>469</v>
      </c>
      <c r="Q618" s="20">
        <v>0</v>
      </c>
      <c r="R618" s="40">
        <v>46255</v>
      </c>
      <c r="S618" s="20">
        <v>0</v>
      </c>
      <c r="T618" s="20">
        <v>0</v>
      </c>
      <c r="U618" s="40">
        <v>46258</v>
      </c>
      <c r="V618" s="40">
        <v>46258</v>
      </c>
      <c r="W618" s="20" t="s">
        <v>58</v>
      </c>
      <c r="X618" s="21"/>
      <c r="Y618" s="19">
        <f>VLOOKUP(F618,[2]New!$B:$G,3,0)*K618/60</f>
        <v>11.2</v>
      </c>
      <c r="Z618" s="19">
        <f>VLOOKUP(F618,[2]New!$B:$G,4,0)*K618/60</f>
        <v>46.8</v>
      </c>
      <c r="AA618" s="19">
        <f>VLOOKUP(F618,[2]New!$B:$G,6,0)*K618/60</f>
        <v>57.839999999999996</v>
      </c>
      <c r="AB618" s="44">
        <f>VLOOKUP(A618,'[4]PO CAG'!$A:$L,12,0)</f>
        <v>46269</v>
      </c>
      <c r="AC618" s="22">
        <f>IFERROR(VLOOKUP(F618,[3]Sheet1!$E:$H,4,0),)</f>
        <v>0</v>
      </c>
      <c r="AD618" s="144"/>
      <c r="AE618" s="25" t="e">
        <v>#N/A</v>
      </c>
      <c r="AF618" s="135" t="s">
        <v>112</v>
      </c>
      <c r="AG618" s="135"/>
      <c r="AH618" s="135"/>
      <c r="AI618" s="135"/>
      <c r="AJ618" s="267" t="s">
        <v>188</v>
      </c>
      <c r="AN618" s="278">
        <v>2</v>
      </c>
      <c r="AO618" s="278">
        <v>2</v>
      </c>
      <c r="AP618" s="278">
        <v>2</v>
      </c>
      <c r="AQ618" s="278">
        <v>2</v>
      </c>
    </row>
    <row r="619" spans="1:43">
      <c r="A619" s="135" t="s">
        <v>5002</v>
      </c>
      <c r="B619" s="135" t="s">
        <v>5174</v>
      </c>
      <c r="C619" s="135" t="s">
        <v>5003</v>
      </c>
      <c r="D619" s="46">
        <v>11119418</v>
      </c>
      <c r="E619" s="20" t="s">
        <v>781</v>
      </c>
      <c r="F619" s="20" t="s">
        <v>782</v>
      </c>
      <c r="G619" s="24">
        <v>13</v>
      </c>
      <c r="H619" s="21">
        <v>46263</v>
      </c>
      <c r="I619" s="53" t="s">
        <v>5004</v>
      </c>
      <c r="J619" s="24" t="s">
        <v>5005</v>
      </c>
      <c r="K619" s="24">
        <v>13</v>
      </c>
      <c r="L619" s="46">
        <v>12116053</v>
      </c>
      <c r="M619" s="20" t="s">
        <v>796</v>
      </c>
      <c r="N619" s="38">
        <v>0</v>
      </c>
      <c r="O619" s="38">
        <v>0</v>
      </c>
      <c r="P619" s="20" t="s">
        <v>469</v>
      </c>
      <c r="Q619" s="20">
        <v>0</v>
      </c>
      <c r="R619" s="40">
        <v>46255</v>
      </c>
      <c r="S619" s="20">
        <v>0</v>
      </c>
      <c r="T619" s="20">
        <v>0</v>
      </c>
      <c r="U619" s="40">
        <v>46258</v>
      </c>
      <c r="V619" s="40">
        <v>46258</v>
      </c>
      <c r="W619" s="20" t="s">
        <v>58</v>
      </c>
      <c r="X619" s="21"/>
      <c r="Y619" s="19">
        <f>VLOOKUP(F619,[2]New!$B:$G,3,0)*K619/60</f>
        <v>12.133333333333333</v>
      </c>
      <c r="Z619" s="19">
        <f>VLOOKUP(F619,[2]New!$B:$G,4,0)*K619/60</f>
        <v>50.7</v>
      </c>
      <c r="AA619" s="19">
        <f>VLOOKUP(F619,[2]New!$B:$G,6,0)*K619/60</f>
        <v>62.66</v>
      </c>
      <c r="AB619" s="44">
        <f>VLOOKUP(A619,'[4]PO CAG'!$A:$L,12,0)</f>
        <v>46269</v>
      </c>
      <c r="AC619" s="22">
        <f>IFERROR(VLOOKUP(F619,[3]Sheet1!$E:$H,4,0),)</f>
        <v>0</v>
      </c>
      <c r="AD619" s="144"/>
      <c r="AE619" s="25" t="e">
        <v>#N/A</v>
      </c>
      <c r="AF619" s="135" t="s">
        <v>112</v>
      </c>
      <c r="AG619" s="135"/>
      <c r="AH619" s="135"/>
      <c r="AI619" s="135"/>
      <c r="AJ619" s="267" t="s">
        <v>188</v>
      </c>
      <c r="AN619" s="278">
        <v>2</v>
      </c>
      <c r="AO619" s="278">
        <v>2</v>
      </c>
      <c r="AP619" s="278">
        <v>2</v>
      </c>
      <c r="AQ619" s="278">
        <v>2</v>
      </c>
    </row>
    <row r="620" spans="1:43">
      <c r="A620" s="135" t="s">
        <v>5020</v>
      </c>
      <c r="B620" s="135" t="s">
        <v>5175</v>
      </c>
      <c r="C620" s="135" t="s">
        <v>5021</v>
      </c>
      <c r="D620" s="46">
        <v>11119421</v>
      </c>
      <c r="E620" s="20" t="s">
        <v>1120</v>
      </c>
      <c r="F620" s="20" t="s">
        <v>1121</v>
      </c>
      <c r="G620" s="24">
        <v>15</v>
      </c>
      <c r="H620" s="21">
        <v>46263</v>
      </c>
      <c r="I620" s="53" t="s">
        <v>5022</v>
      </c>
      <c r="J620" s="24" t="s">
        <v>5023</v>
      </c>
      <c r="K620" s="24">
        <v>15</v>
      </c>
      <c r="L620" s="46">
        <v>12116056</v>
      </c>
      <c r="M620" s="20" t="s">
        <v>1147</v>
      </c>
      <c r="N620" s="38">
        <v>0</v>
      </c>
      <c r="O620" s="38">
        <v>0</v>
      </c>
      <c r="P620" s="20" t="s">
        <v>469</v>
      </c>
      <c r="Q620" s="20">
        <v>0</v>
      </c>
      <c r="R620" s="40">
        <v>46255</v>
      </c>
      <c r="S620" s="20">
        <v>0</v>
      </c>
      <c r="T620" s="20">
        <v>0</v>
      </c>
      <c r="U620" s="40">
        <v>46258</v>
      </c>
      <c r="V620" s="40">
        <v>46258</v>
      </c>
      <c r="W620" s="20" t="s">
        <v>58</v>
      </c>
      <c r="X620" s="21"/>
      <c r="Y620" s="19">
        <f>VLOOKUP(F620,[2]New!$B:$G,3,0)*K620/60</f>
        <v>14</v>
      </c>
      <c r="Z620" s="19">
        <f>VLOOKUP(F620,[2]New!$B:$G,4,0)*K620/60</f>
        <v>58.5</v>
      </c>
      <c r="AA620" s="19">
        <f>VLOOKUP(F620,[2]New!$B:$G,6,0)*K620/60</f>
        <v>72.3</v>
      </c>
      <c r="AB620" s="44">
        <f>VLOOKUP(A620,'[4]PO CAG'!$A:$L,12,0)</f>
        <v>46269</v>
      </c>
      <c r="AC620" s="22">
        <f>IFERROR(VLOOKUP(F620,[3]Sheet1!$E:$H,4,0),)</f>
        <v>0</v>
      </c>
      <c r="AD620" s="144"/>
      <c r="AE620" s="25" t="e">
        <v>#N/A</v>
      </c>
      <c r="AF620" s="135" t="s">
        <v>112</v>
      </c>
      <c r="AG620" s="135"/>
      <c r="AH620" s="135"/>
      <c r="AI620" s="135"/>
      <c r="AJ620" s="267" t="s">
        <v>188</v>
      </c>
      <c r="AN620" s="278">
        <v>2</v>
      </c>
      <c r="AO620" s="278">
        <v>2</v>
      </c>
      <c r="AP620" s="278">
        <v>2</v>
      </c>
      <c r="AQ620" s="278">
        <v>2</v>
      </c>
    </row>
    <row r="621" spans="1:43">
      <c r="A621" s="135" t="s">
        <v>5024</v>
      </c>
      <c r="B621" s="135" t="s">
        <v>5176</v>
      </c>
      <c r="C621" s="135" t="s">
        <v>5025</v>
      </c>
      <c r="D621" s="46">
        <v>11119663</v>
      </c>
      <c r="E621" s="20" t="s">
        <v>683</v>
      </c>
      <c r="F621" s="20" t="s">
        <v>684</v>
      </c>
      <c r="G621" s="24">
        <v>15</v>
      </c>
      <c r="H621" s="21">
        <v>46263</v>
      </c>
      <c r="I621" s="53" t="s">
        <v>5026</v>
      </c>
      <c r="J621" s="24" t="s">
        <v>5027</v>
      </c>
      <c r="K621" s="24">
        <v>15</v>
      </c>
      <c r="L621" s="46">
        <v>12116298</v>
      </c>
      <c r="M621" s="20" t="s">
        <v>717</v>
      </c>
      <c r="N621" s="38">
        <v>0</v>
      </c>
      <c r="O621" s="38">
        <v>0</v>
      </c>
      <c r="P621" s="20" t="s">
        <v>469</v>
      </c>
      <c r="Q621" s="20">
        <v>0</v>
      </c>
      <c r="R621" s="40">
        <v>46255</v>
      </c>
      <c r="S621" s="20">
        <v>0</v>
      </c>
      <c r="T621" s="20">
        <v>0</v>
      </c>
      <c r="U621" s="40">
        <v>46258</v>
      </c>
      <c r="V621" s="40">
        <v>46258</v>
      </c>
      <c r="W621" s="20" t="s">
        <v>58</v>
      </c>
      <c r="X621" s="21"/>
      <c r="Y621" s="19">
        <f>VLOOKUP(F621,[2]New!$B:$G,3,0)*K621/60</f>
        <v>14</v>
      </c>
      <c r="Z621" s="19">
        <f>VLOOKUP(F621,[2]New!$B:$G,4,0)*K621/60</f>
        <v>58.5</v>
      </c>
      <c r="AA621" s="19">
        <f>VLOOKUP(F621,[2]New!$B:$G,6,0)*K621/60</f>
        <v>72.3</v>
      </c>
      <c r="AB621" s="44">
        <f>VLOOKUP(A621,'[4]PO CAG'!$A:$L,12,0)</f>
        <v>46269</v>
      </c>
      <c r="AC621" s="22">
        <f>IFERROR(VLOOKUP(F621,[3]Sheet1!$E:$H,4,0),)</f>
        <v>0</v>
      </c>
      <c r="AD621" s="144"/>
      <c r="AE621" s="25" t="e">
        <v>#N/A</v>
      </c>
      <c r="AF621" s="135" t="s">
        <v>112</v>
      </c>
      <c r="AG621" s="135"/>
      <c r="AH621" s="135"/>
      <c r="AI621" s="135"/>
      <c r="AJ621" s="267" t="s">
        <v>188</v>
      </c>
      <c r="AN621" s="278">
        <v>2</v>
      </c>
      <c r="AO621" s="278">
        <v>2</v>
      </c>
      <c r="AP621" s="278">
        <v>2</v>
      </c>
      <c r="AQ621" s="278">
        <v>2</v>
      </c>
    </row>
    <row r="622" spans="1:43">
      <c r="A622" s="135" t="s">
        <v>5028</v>
      </c>
      <c r="B622" s="135" t="s">
        <v>5177</v>
      </c>
      <c r="C622" s="135" t="s">
        <v>5029</v>
      </c>
      <c r="D622" s="46">
        <v>11119333</v>
      </c>
      <c r="E622" s="20" t="s">
        <v>853</v>
      </c>
      <c r="F622" s="20" t="s">
        <v>854</v>
      </c>
      <c r="G622" s="24">
        <v>16</v>
      </c>
      <c r="H622" s="21">
        <v>46263</v>
      </c>
      <c r="I622" s="53" t="s">
        <v>5030</v>
      </c>
      <c r="J622" s="24" t="s">
        <v>5031</v>
      </c>
      <c r="K622" s="24">
        <v>16</v>
      </c>
      <c r="L622" s="46">
        <v>12115968</v>
      </c>
      <c r="M622" s="20" t="s">
        <v>106</v>
      </c>
      <c r="N622" s="38">
        <v>0</v>
      </c>
      <c r="O622" s="38">
        <v>0</v>
      </c>
      <c r="P622" s="20" t="s">
        <v>469</v>
      </c>
      <c r="Q622" s="20">
        <v>0</v>
      </c>
      <c r="R622" s="40">
        <v>46255</v>
      </c>
      <c r="S622" s="20">
        <v>0</v>
      </c>
      <c r="T622" s="20">
        <v>0</v>
      </c>
      <c r="U622" s="40">
        <v>46258</v>
      </c>
      <c r="V622" s="40">
        <v>46258</v>
      </c>
      <c r="W622" s="20" t="s">
        <v>58</v>
      </c>
      <c r="X622" s="21"/>
      <c r="Y622" s="19">
        <f>VLOOKUP(F622,[2]New!$B:$G,3,0)*K622/60</f>
        <v>14.933333333333334</v>
      </c>
      <c r="Z622" s="19">
        <f>VLOOKUP(F622,[2]New!$B:$G,4,0)*K622/60</f>
        <v>62.4</v>
      </c>
      <c r="AA622" s="19">
        <f>VLOOKUP(F622,[2]New!$B:$G,6,0)*K622/60</f>
        <v>77.11999999999999</v>
      </c>
      <c r="AB622" s="44">
        <f>VLOOKUP(A622,'[4]PO CAG'!$A:$L,12,0)</f>
        <v>46269</v>
      </c>
      <c r="AC622" s="22">
        <f>IFERROR(VLOOKUP(F622,[3]Sheet1!$E:$H,4,0),)</f>
        <v>0</v>
      </c>
      <c r="AD622" s="144"/>
      <c r="AE622" s="25" t="e">
        <v>#N/A</v>
      </c>
      <c r="AF622" s="135" t="s">
        <v>112</v>
      </c>
      <c r="AG622" s="135"/>
      <c r="AH622" s="135"/>
      <c r="AI622" s="135"/>
      <c r="AJ622" s="267" t="s">
        <v>188</v>
      </c>
      <c r="AN622" s="278">
        <v>2</v>
      </c>
      <c r="AO622" s="278">
        <v>2</v>
      </c>
      <c r="AP622" s="278">
        <v>2</v>
      </c>
      <c r="AQ622" s="278">
        <v>2</v>
      </c>
    </row>
    <row r="623" spans="1:43">
      <c r="A623" s="135" t="s">
        <v>5032</v>
      </c>
      <c r="B623" s="135" t="s">
        <v>5178</v>
      </c>
      <c r="C623" s="135" t="s">
        <v>5033</v>
      </c>
      <c r="D623" s="46">
        <v>11119582</v>
      </c>
      <c r="E623" s="20" t="s">
        <v>863</v>
      </c>
      <c r="F623" s="20" t="s">
        <v>864</v>
      </c>
      <c r="G623" s="24">
        <v>16</v>
      </c>
      <c r="H623" s="21">
        <v>46263</v>
      </c>
      <c r="I623" s="53" t="s">
        <v>5034</v>
      </c>
      <c r="J623" s="24" t="s">
        <v>5035</v>
      </c>
      <c r="K623" s="24">
        <v>16</v>
      </c>
      <c r="L623" s="46">
        <v>12116217</v>
      </c>
      <c r="M623" s="20" t="s">
        <v>878</v>
      </c>
      <c r="N623" s="38">
        <v>0</v>
      </c>
      <c r="O623" s="38">
        <v>0</v>
      </c>
      <c r="P623" s="20" t="s">
        <v>469</v>
      </c>
      <c r="Q623" s="20">
        <v>0</v>
      </c>
      <c r="R623" s="40">
        <v>46255</v>
      </c>
      <c r="S623" s="20">
        <v>0</v>
      </c>
      <c r="T623" s="20">
        <v>0</v>
      </c>
      <c r="U623" s="40">
        <v>46258</v>
      </c>
      <c r="V623" s="40">
        <v>46258</v>
      </c>
      <c r="W623" s="20" t="s">
        <v>58</v>
      </c>
      <c r="X623" s="21"/>
      <c r="Y623" s="19">
        <f>VLOOKUP(F623,[2]New!$B:$G,3,0)*K623/60</f>
        <v>14.933333333333334</v>
      </c>
      <c r="Z623" s="19">
        <f>VLOOKUP(F623,[2]New!$B:$G,4,0)*K623/60</f>
        <v>62.4</v>
      </c>
      <c r="AA623" s="19">
        <f>VLOOKUP(F623,[2]New!$B:$G,6,0)*K623/60</f>
        <v>77.066666666666663</v>
      </c>
      <c r="AB623" s="44">
        <f>VLOOKUP(A623,'[4]PO CAG'!$A:$L,12,0)</f>
        <v>46269</v>
      </c>
      <c r="AC623" s="22">
        <f>IFERROR(VLOOKUP(F623,[3]Sheet1!$E:$H,4,0),)</f>
        <v>0</v>
      </c>
      <c r="AD623" s="144"/>
      <c r="AE623" s="25" t="e">
        <v>#N/A</v>
      </c>
      <c r="AF623" s="135" t="s">
        <v>112</v>
      </c>
      <c r="AG623" s="135"/>
      <c r="AH623" s="135"/>
      <c r="AI623" s="135"/>
      <c r="AJ623" s="267" t="s">
        <v>188</v>
      </c>
      <c r="AN623" s="278">
        <v>2</v>
      </c>
      <c r="AO623" s="278">
        <v>2</v>
      </c>
      <c r="AP623" s="278">
        <v>2</v>
      </c>
      <c r="AQ623" s="278">
        <v>2</v>
      </c>
    </row>
    <row r="624" spans="1:43">
      <c r="A624" s="135" t="s">
        <v>5036</v>
      </c>
      <c r="B624" s="135" t="s">
        <v>5179</v>
      </c>
      <c r="C624" s="135" t="s">
        <v>5037</v>
      </c>
      <c r="D624" s="46">
        <v>11119390</v>
      </c>
      <c r="E624" s="20" t="s">
        <v>5038</v>
      </c>
      <c r="F624" s="20" t="s">
        <v>5039</v>
      </c>
      <c r="G624" s="24">
        <v>20</v>
      </c>
      <c r="H624" s="21">
        <v>46263</v>
      </c>
      <c r="I624" s="53" t="s">
        <v>5040</v>
      </c>
      <c r="J624" s="24" t="s">
        <v>5041</v>
      </c>
      <c r="K624" s="24">
        <v>20</v>
      </c>
      <c r="L624" s="46">
        <v>12116025</v>
      </c>
      <c r="M624" s="20" t="s">
        <v>5093</v>
      </c>
      <c r="N624" s="38">
        <v>0</v>
      </c>
      <c r="O624" s="38">
        <v>0</v>
      </c>
      <c r="P624" s="20" t="s">
        <v>469</v>
      </c>
      <c r="Q624" s="20">
        <v>0</v>
      </c>
      <c r="R624" s="40">
        <v>46255</v>
      </c>
      <c r="S624" s="20">
        <v>0</v>
      </c>
      <c r="T624" s="20">
        <v>0</v>
      </c>
      <c r="U624" s="40">
        <v>46258</v>
      </c>
      <c r="V624" s="40">
        <v>46258</v>
      </c>
      <c r="W624" s="20" t="s">
        <v>58</v>
      </c>
      <c r="X624" s="21"/>
      <c r="Y624" s="19">
        <f>VLOOKUP(F624,[2]New!$B:$G,3,0)*K624/60</f>
        <v>18.666666666666668</v>
      </c>
      <c r="Z624" s="19">
        <f>VLOOKUP(F624,[2]New!$B:$G,4,0)*K624/60</f>
        <v>78</v>
      </c>
      <c r="AA624" s="19">
        <f>VLOOKUP(F624,[2]New!$B:$G,6,0)*K624/60</f>
        <v>96.4</v>
      </c>
      <c r="AB624" s="44">
        <f>VLOOKUP(A624,'[4]PO CAG'!$A:$L,12,0)</f>
        <v>46269</v>
      </c>
      <c r="AC624" s="22">
        <f>IFERROR(VLOOKUP(F624,[3]Sheet1!$E:$H,4,0),)</f>
        <v>0</v>
      </c>
      <c r="AD624" s="144"/>
      <c r="AE624" s="25" t="e">
        <v>#N/A</v>
      </c>
      <c r="AF624" s="135" t="s">
        <v>112</v>
      </c>
      <c r="AG624" s="135"/>
      <c r="AH624" s="135"/>
      <c r="AI624" s="135"/>
      <c r="AJ624" s="267" t="s">
        <v>188</v>
      </c>
      <c r="AN624" s="278">
        <v>2</v>
      </c>
      <c r="AO624" s="278">
        <v>2</v>
      </c>
      <c r="AP624" s="278">
        <v>2</v>
      </c>
      <c r="AQ624" s="278">
        <v>2</v>
      </c>
    </row>
    <row r="625" spans="1:43">
      <c r="A625" s="135" t="s">
        <v>5042</v>
      </c>
      <c r="B625" s="135" t="s">
        <v>5180</v>
      </c>
      <c r="C625" s="135" t="s">
        <v>5043</v>
      </c>
      <c r="D625" s="46">
        <v>11119447</v>
      </c>
      <c r="E625" s="20" t="s">
        <v>1002</v>
      </c>
      <c r="F625" s="20" t="s">
        <v>1003</v>
      </c>
      <c r="G625" s="24">
        <v>33</v>
      </c>
      <c r="H625" s="21">
        <v>46263</v>
      </c>
      <c r="I625" s="53" t="s">
        <v>5044</v>
      </c>
      <c r="J625" s="24" t="s">
        <v>5045</v>
      </c>
      <c r="K625" s="24">
        <v>33</v>
      </c>
      <c r="L625" s="46">
        <v>12116082</v>
      </c>
      <c r="M625" s="20" t="s">
        <v>1027</v>
      </c>
      <c r="N625" s="38">
        <v>0</v>
      </c>
      <c r="O625" s="38">
        <v>0</v>
      </c>
      <c r="P625" s="20" t="s">
        <v>469</v>
      </c>
      <c r="Q625" s="20">
        <v>0</v>
      </c>
      <c r="R625" s="40">
        <v>46255</v>
      </c>
      <c r="S625" s="20">
        <v>0</v>
      </c>
      <c r="T625" s="20">
        <v>0</v>
      </c>
      <c r="U625" s="40">
        <v>46258</v>
      </c>
      <c r="V625" s="40">
        <v>46258</v>
      </c>
      <c r="W625" s="20" t="s">
        <v>58</v>
      </c>
      <c r="X625" s="21"/>
      <c r="Y625" s="19">
        <f>VLOOKUP(F625,[2]New!$B:$G,3,0)*K625/60</f>
        <v>30.8</v>
      </c>
      <c r="Z625" s="19">
        <f>VLOOKUP(F625,[2]New!$B:$G,4,0)*K625/60</f>
        <v>128.69999999999999</v>
      </c>
      <c r="AA625" s="19">
        <f>VLOOKUP(F625,[2]New!$B:$G,6,0)*K625/60</f>
        <v>158.94999999999999</v>
      </c>
      <c r="AB625" s="44">
        <f>VLOOKUP(A625,'[4]PO CAG'!$A:$L,12,0)</f>
        <v>46269</v>
      </c>
      <c r="AC625" s="22">
        <f>IFERROR(VLOOKUP(F625,[3]Sheet1!$E:$H,4,0),)</f>
        <v>0</v>
      </c>
      <c r="AD625" s="144"/>
      <c r="AE625" s="25" t="e">
        <v>#N/A</v>
      </c>
      <c r="AF625" s="135" t="s">
        <v>112</v>
      </c>
      <c r="AG625" s="135"/>
      <c r="AH625" s="135"/>
      <c r="AI625" s="135"/>
      <c r="AJ625" s="267" t="s">
        <v>188</v>
      </c>
      <c r="AN625" s="278">
        <v>2</v>
      </c>
      <c r="AO625" s="278">
        <v>2</v>
      </c>
      <c r="AP625" s="278">
        <v>2</v>
      </c>
      <c r="AQ625" s="278">
        <v>2</v>
      </c>
    </row>
    <row r="626" spans="1:43">
      <c r="A626" s="135" t="s">
        <v>5046</v>
      </c>
      <c r="B626" s="135" t="s">
        <v>5181</v>
      </c>
      <c r="C626" s="135" t="s">
        <v>5047</v>
      </c>
      <c r="D626" s="46">
        <v>11119537</v>
      </c>
      <c r="E626" s="20" t="s">
        <v>5048</v>
      </c>
      <c r="F626" s="20" t="s">
        <v>5049</v>
      </c>
      <c r="G626" s="24">
        <v>36</v>
      </c>
      <c r="H626" s="21">
        <v>46263</v>
      </c>
      <c r="I626" s="53" t="s">
        <v>5050</v>
      </c>
      <c r="J626" s="24" t="s">
        <v>5051</v>
      </c>
      <c r="K626" s="24">
        <v>36</v>
      </c>
      <c r="L626" s="46">
        <v>12116172</v>
      </c>
      <c r="M626" s="20" t="s">
        <v>5094</v>
      </c>
      <c r="N626" s="38">
        <v>0</v>
      </c>
      <c r="O626" s="38">
        <v>0</v>
      </c>
      <c r="P626" s="20" t="s">
        <v>469</v>
      </c>
      <c r="Q626" s="20">
        <v>0</v>
      </c>
      <c r="R626" s="40">
        <v>46255</v>
      </c>
      <c r="S626" s="20">
        <v>0</v>
      </c>
      <c r="T626" s="20">
        <v>0</v>
      </c>
      <c r="U626" s="40">
        <v>46258</v>
      </c>
      <c r="V626" s="40">
        <v>46258</v>
      </c>
      <c r="W626" s="20" t="s">
        <v>58</v>
      </c>
      <c r="X626" s="21"/>
      <c r="Y626" s="19">
        <f>VLOOKUP(F626,[2]New!$B:$G,3,0)*K626/60</f>
        <v>33.6</v>
      </c>
      <c r="Z626" s="19">
        <f>VLOOKUP(F626,[2]New!$B:$G,4,0)*K626/60</f>
        <v>140.4</v>
      </c>
      <c r="AA626" s="19">
        <f>VLOOKUP(F626,[2]New!$B:$G,6,0)*K626/60</f>
        <v>173.51999999999998</v>
      </c>
      <c r="AB626" s="44">
        <f>VLOOKUP(A626,'[4]PO CAG'!$A:$L,12,0)</f>
        <v>46269</v>
      </c>
      <c r="AC626" s="22">
        <f>IFERROR(VLOOKUP(F626,[3]Sheet1!$E:$H,4,0),)</f>
        <v>0</v>
      </c>
      <c r="AD626" s="144"/>
      <c r="AE626" s="25" t="e">
        <v>#N/A</v>
      </c>
      <c r="AF626" s="135" t="s">
        <v>112</v>
      </c>
      <c r="AG626" s="135"/>
      <c r="AH626" s="135"/>
      <c r="AI626" s="135"/>
      <c r="AJ626" s="267" t="s">
        <v>188</v>
      </c>
      <c r="AN626" s="278">
        <v>2</v>
      </c>
      <c r="AO626" s="278">
        <v>2</v>
      </c>
      <c r="AP626" s="278">
        <v>2</v>
      </c>
      <c r="AQ626" s="278">
        <v>2</v>
      </c>
    </row>
    <row r="627" spans="1:43">
      <c r="A627" s="135" t="s">
        <v>5052</v>
      </c>
      <c r="B627" s="135" t="s">
        <v>5182</v>
      </c>
      <c r="C627" s="135" t="s">
        <v>5053</v>
      </c>
      <c r="D627" s="46">
        <v>11119438</v>
      </c>
      <c r="E627" s="20" t="s">
        <v>5054</v>
      </c>
      <c r="F627" s="20" t="s">
        <v>5055</v>
      </c>
      <c r="G627" s="24">
        <v>37</v>
      </c>
      <c r="H627" s="21">
        <v>46263</v>
      </c>
      <c r="I627" s="53" t="s">
        <v>5056</v>
      </c>
      <c r="J627" s="24" t="s">
        <v>5057</v>
      </c>
      <c r="K627" s="24">
        <v>37</v>
      </c>
      <c r="L627" s="46">
        <v>12116073</v>
      </c>
      <c r="M627" s="20" t="s">
        <v>5095</v>
      </c>
      <c r="N627" s="38">
        <v>0</v>
      </c>
      <c r="O627" s="38">
        <v>0</v>
      </c>
      <c r="P627" s="20" t="s">
        <v>469</v>
      </c>
      <c r="Q627" s="20">
        <v>0</v>
      </c>
      <c r="R627" s="40">
        <v>46255</v>
      </c>
      <c r="S627" s="20">
        <v>0</v>
      </c>
      <c r="T627" s="20">
        <v>0</v>
      </c>
      <c r="U627" s="40">
        <v>46258</v>
      </c>
      <c r="V627" s="40">
        <v>46258</v>
      </c>
      <c r="W627" s="20" t="s">
        <v>58</v>
      </c>
      <c r="X627" s="21"/>
      <c r="Y627" s="19">
        <f>VLOOKUP(F627,[2]New!$B:$G,3,0)*K627/60</f>
        <v>34.533333333333331</v>
      </c>
      <c r="Z627" s="19">
        <f>VLOOKUP(F627,[2]New!$B:$G,4,0)*K627/60</f>
        <v>144.30000000000001</v>
      </c>
      <c r="AA627" s="19">
        <f>VLOOKUP(F627,[2]New!$B:$G,6,0)*K627/60</f>
        <v>178.34</v>
      </c>
      <c r="AB627" s="44">
        <f>VLOOKUP(A627,'[4]PO CAG'!$A:$L,12,0)</f>
        <v>46269</v>
      </c>
      <c r="AC627" s="22">
        <f>IFERROR(VLOOKUP(F627,[3]Sheet1!$E:$H,4,0),)</f>
        <v>0</v>
      </c>
      <c r="AD627" s="144"/>
      <c r="AE627" s="25" t="e">
        <v>#N/A</v>
      </c>
      <c r="AF627" s="135" t="s">
        <v>112</v>
      </c>
      <c r="AG627" s="135"/>
      <c r="AH627" s="135"/>
      <c r="AI627" s="135"/>
      <c r="AJ627" s="267" t="s">
        <v>188</v>
      </c>
      <c r="AN627" s="278">
        <v>2</v>
      </c>
      <c r="AO627" s="278">
        <v>2</v>
      </c>
      <c r="AP627" s="278">
        <v>2</v>
      </c>
      <c r="AQ627" s="278">
        <v>2</v>
      </c>
    </row>
    <row r="628" spans="1:43">
      <c r="A628" s="135" t="s">
        <v>5058</v>
      </c>
      <c r="B628" s="135" t="s">
        <v>5183</v>
      </c>
      <c r="C628" s="135" t="s">
        <v>5059</v>
      </c>
      <c r="D628" s="46">
        <v>11119450</v>
      </c>
      <c r="E628" s="20" t="s">
        <v>5060</v>
      </c>
      <c r="F628" s="20" t="s">
        <v>5061</v>
      </c>
      <c r="G628" s="24">
        <v>38</v>
      </c>
      <c r="H628" s="21">
        <v>46263</v>
      </c>
      <c r="I628" s="53" t="s">
        <v>5062</v>
      </c>
      <c r="J628" s="24" t="s">
        <v>5063</v>
      </c>
      <c r="K628" s="24">
        <v>38</v>
      </c>
      <c r="L628" s="46">
        <v>12116085</v>
      </c>
      <c r="M628" s="20" t="s">
        <v>5096</v>
      </c>
      <c r="N628" s="38">
        <v>0</v>
      </c>
      <c r="O628" s="38">
        <v>0</v>
      </c>
      <c r="P628" s="20" t="s">
        <v>469</v>
      </c>
      <c r="Q628" s="20">
        <v>0</v>
      </c>
      <c r="R628" s="40">
        <v>46255</v>
      </c>
      <c r="S628" s="20">
        <v>0</v>
      </c>
      <c r="T628" s="20">
        <v>0</v>
      </c>
      <c r="U628" s="40">
        <v>46258</v>
      </c>
      <c r="V628" s="40">
        <v>46258</v>
      </c>
      <c r="W628" s="20" t="s">
        <v>58</v>
      </c>
      <c r="X628" s="21"/>
      <c r="Y628" s="19">
        <f>VLOOKUP(F628,[2]New!$B:$G,3,0)*K628/60</f>
        <v>35.466666666666669</v>
      </c>
      <c r="Z628" s="19">
        <f>VLOOKUP(F628,[2]New!$B:$G,4,0)*K628/60</f>
        <v>148.19999999999999</v>
      </c>
      <c r="AA628" s="19">
        <f>VLOOKUP(F628,[2]New!$B:$G,6,0)*K628/60</f>
        <v>183.16</v>
      </c>
      <c r="AB628" s="44">
        <f>VLOOKUP(A628,'[4]PO CAG'!$A:$L,12,0)</f>
        <v>46269</v>
      </c>
      <c r="AC628" s="22">
        <f>IFERROR(VLOOKUP(F628,[3]Sheet1!$E:$H,4,0),)</f>
        <v>0</v>
      </c>
      <c r="AD628" s="144"/>
      <c r="AE628" s="25" t="e">
        <v>#N/A</v>
      </c>
      <c r="AF628" s="135" t="s">
        <v>112</v>
      </c>
      <c r="AG628" s="135"/>
      <c r="AH628" s="135"/>
      <c r="AI628" s="135"/>
      <c r="AJ628" s="267" t="s">
        <v>188</v>
      </c>
      <c r="AN628" s="278">
        <v>2</v>
      </c>
      <c r="AO628" s="278">
        <v>2</v>
      </c>
      <c r="AP628" s="278">
        <v>2</v>
      </c>
      <c r="AQ628" s="278">
        <v>2</v>
      </c>
    </row>
    <row r="629" spans="1:43">
      <c r="A629" s="135" t="s">
        <v>3829</v>
      </c>
      <c r="B629" s="135" t="s">
        <v>5184</v>
      </c>
      <c r="C629" s="135" t="s">
        <v>5064</v>
      </c>
      <c r="D629" s="46">
        <v>11119337</v>
      </c>
      <c r="E629" s="20" t="s">
        <v>3831</v>
      </c>
      <c r="F629" s="20" t="s">
        <v>3832</v>
      </c>
      <c r="G629" s="24">
        <v>39</v>
      </c>
      <c r="H629" s="21">
        <v>46263</v>
      </c>
      <c r="I629" s="53" t="s">
        <v>5065</v>
      </c>
      <c r="J629" s="24" t="s">
        <v>5066</v>
      </c>
      <c r="K629" s="24">
        <v>39</v>
      </c>
      <c r="L629" s="46">
        <v>12115972</v>
      </c>
      <c r="M629" s="20" t="s">
        <v>104</v>
      </c>
      <c r="N629" s="38">
        <v>0</v>
      </c>
      <c r="O629" s="38">
        <v>0</v>
      </c>
      <c r="P629" s="20" t="s">
        <v>469</v>
      </c>
      <c r="Q629" s="20">
        <v>0</v>
      </c>
      <c r="R629" s="40">
        <v>46255</v>
      </c>
      <c r="S629" s="20">
        <v>0</v>
      </c>
      <c r="T629" s="20">
        <v>0</v>
      </c>
      <c r="U629" s="40">
        <v>46258</v>
      </c>
      <c r="V629" s="40">
        <v>46258</v>
      </c>
      <c r="W629" s="20" t="s">
        <v>58</v>
      </c>
      <c r="X629" s="21"/>
      <c r="Y629" s="19">
        <f>VLOOKUP(F629,[2]New!$B:$G,3,0)*K629/60</f>
        <v>36.4</v>
      </c>
      <c r="Z629" s="19">
        <f>VLOOKUP(F629,[2]New!$B:$G,4,0)*K629/60</f>
        <v>152.1</v>
      </c>
      <c r="AA629" s="19">
        <f>VLOOKUP(F629,[2]New!$B:$G,6,0)*K629/60</f>
        <v>187.98</v>
      </c>
      <c r="AB629" s="44">
        <f>VLOOKUP(A629,'[4]PO CAG'!$A:$L,12,0)</f>
        <v>46269</v>
      </c>
      <c r="AC629" s="22">
        <f>IFERROR(VLOOKUP(F629,[3]Sheet1!$E:$H,4,0),)</f>
        <v>0</v>
      </c>
      <c r="AD629" s="144"/>
      <c r="AE629" s="25" t="e">
        <v>#N/A</v>
      </c>
      <c r="AF629" s="135" t="s">
        <v>112</v>
      </c>
      <c r="AG629" s="135"/>
      <c r="AH629" s="135"/>
      <c r="AI629" s="135"/>
      <c r="AJ629" s="267" t="s">
        <v>188</v>
      </c>
      <c r="AN629" s="278">
        <v>2</v>
      </c>
      <c r="AO629" s="278">
        <v>2</v>
      </c>
      <c r="AP629" s="278">
        <v>2</v>
      </c>
      <c r="AQ629" s="278">
        <v>2</v>
      </c>
    </row>
    <row r="630" spans="1:43">
      <c r="A630" s="135" t="s">
        <v>5067</v>
      </c>
      <c r="B630" s="135" t="s">
        <v>5185</v>
      </c>
      <c r="C630" s="135" t="s">
        <v>5068</v>
      </c>
      <c r="D630" s="46">
        <v>11119365</v>
      </c>
      <c r="E630" s="20" t="s">
        <v>1124</v>
      </c>
      <c r="F630" s="20" t="s">
        <v>1125</v>
      </c>
      <c r="G630" s="24">
        <v>45</v>
      </c>
      <c r="H630" s="21">
        <v>46263</v>
      </c>
      <c r="I630" s="53" t="s">
        <v>5069</v>
      </c>
      <c r="J630" s="24" t="s">
        <v>5070</v>
      </c>
      <c r="K630" s="24">
        <v>45</v>
      </c>
      <c r="L630" s="46">
        <v>12116000</v>
      </c>
      <c r="M630" s="20" t="s">
        <v>1148</v>
      </c>
      <c r="N630" s="38">
        <v>0</v>
      </c>
      <c r="O630" s="38">
        <v>0</v>
      </c>
      <c r="P630" s="20" t="s">
        <v>469</v>
      </c>
      <c r="Q630" s="20">
        <v>0</v>
      </c>
      <c r="R630" s="40">
        <v>46255</v>
      </c>
      <c r="S630" s="20">
        <v>0</v>
      </c>
      <c r="T630" s="20">
        <v>0</v>
      </c>
      <c r="U630" s="40">
        <v>46258</v>
      </c>
      <c r="V630" s="40">
        <v>46258</v>
      </c>
      <c r="W630" s="20" t="s">
        <v>58</v>
      </c>
      <c r="X630" s="21"/>
      <c r="Y630" s="19">
        <f>VLOOKUP(F630,[2]New!$B:$G,3,0)*K630/60</f>
        <v>42</v>
      </c>
      <c r="Z630" s="19">
        <f>VLOOKUP(F630,[2]New!$B:$G,4,0)*K630/60</f>
        <v>175.5</v>
      </c>
      <c r="AA630" s="19">
        <f>VLOOKUP(F630,[2]New!$B:$G,6,0)*K630/60</f>
        <v>216.75</v>
      </c>
      <c r="AB630" s="44">
        <f>VLOOKUP(A630,'[4]PO CAG'!$A:$L,12,0)</f>
        <v>46269</v>
      </c>
      <c r="AC630" s="22">
        <f>IFERROR(VLOOKUP(F630,[3]Sheet1!$E:$H,4,0),)</f>
        <v>0</v>
      </c>
      <c r="AD630" s="144"/>
      <c r="AE630" s="25" t="e">
        <v>#N/A</v>
      </c>
      <c r="AF630" s="135" t="s">
        <v>112</v>
      </c>
      <c r="AG630" s="135"/>
      <c r="AH630" s="135"/>
      <c r="AI630" s="135"/>
      <c r="AJ630" s="267" t="s">
        <v>188</v>
      </c>
      <c r="AN630" s="278">
        <v>2</v>
      </c>
      <c r="AO630" s="278">
        <v>2</v>
      </c>
      <c r="AP630" s="278">
        <v>2</v>
      </c>
      <c r="AQ630" s="278">
        <v>2</v>
      </c>
    </row>
    <row r="631" spans="1:43">
      <c r="A631" s="135" t="s">
        <v>5071</v>
      </c>
      <c r="B631" s="135" t="s">
        <v>5186</v>
      </c>
      <c r="C631" s="135" t="s">
        <v>5072</v>
      </c>
      <c r="D631" s="46">
        <v>11119492</v>
      </c>
      <c r="E631" s="20" t="s">
        <v>5073</v>
      </c>
      <c r="F631" s="20" t="s">
        <v>5074</v>
      </c>
      <c r="G631" s="24">
        <v>51</v>
      </c>
      <c r="H631" s="21">
        <v>46263</v>
      </c>
      <c r="I631" s="53" t="s">
        <v>5075</v>
      </c>
      <c r="J631" s="24" t="s">
        <v>5076</v>
      </c>
      <c r="K631" s="24">
        <v>51</v>
      </c>
      <c r="L631" s="46">
        <v>12116127</v>
      </c>
      <c r="M631" s="20" t="s">
        <v>5097</v>
      </c>
      <c r="N631" s="38">
        <v>0</v>
      </c>
      <c r="O631" s="38">
        <v>0</v>
      </c>
      <c r="P631" s="20" t="s">
        <v>469</v>
      </c>
      <c r="Q631" s="20">
        <v>0</v>
      </c>
      <c r="R631" s="40">
        <v>46255</v>
      </c>
      <c r="S631" s="20">
        <v>0</v>
      </c>
      <c r="T631" s="20">
        <v>0</v>
      </c>
      <c r="U631" s="40">
        <v>46258</v>
      </c>
      <c r="V631" s="40">
        <v>46258</v>
      </c>
      <c r="W631" s="20" t="s">
        <v>58</v>
      </c>
      <c r="X631" s="21"/>
      <c r="Y631" s="19">
        <f>VLOOKUP(F631,[2]New!$B:$G,3,0)*K631/60</f>
        <v>47.6</v>
      </c>
      <c r="Z631" s="19">
        <f>VLOOKUP(F631,[2]New!$B:$G,4,0)*K631/60</f>
        <v>198.9</v>
      </c>
      <c r="AA631" s="19">
        <f>VLOOKUP(F631,[2]New!$B:$G,6,0)*K631/60</f>
        <v>245.82</v>
      </c>
      <c r="AB631" s="44">
        <f>VLOOKUP(A631,'[4]PO CAG'!$A:$L,12,0)</f>
        <v>46269</v>
      </c>
      <c r="AC631" s="22">
        <f>IFERROR(VLOOKUP(F631,[3]Sheet1!$E:$H,4,0),)</f>
        <v>0</v>
      </c>
      <c r="AD631" s="144"/>
      <c r="AE631" s="25" t="e">
        <v>#N/A</v>
      </c>
      <c r="AF631" s="135" t="s">
        <v>112</v>
      </c>
      <c r="AG631" s="135"/>
      <c r="AH631" s="135"/>
      <c r="AI631" s="135"/>
      <c r="AJ631" s="267" t="s">
        <v>188</v>
      </c>
      <c r="AN631" s="278">
        <v>2</v>
      </c>
      <c r="AO631" s="278">
        <v>2</v>
      </c>
      <c r="AP631" s="278">
        <v>2</v>
      </c>
      <c r="AQ631" s="278">
        <v>2</v>
      </c>
    </row>
    <row r="632" spans="1:43">
      <c r="A632" s="135" t="s">
        <v>5077</v>
      </c>
      <c r="B632" s="135" t="s">
        <v>5187</v>
      </c>
      <c r="C632" s="135" t="s">
        <v>5078</v>
      </c>
      <c r="D632" s="46">
        <v>11119485</v>
      </c>
      <c r="E632" s="20" t="s">
        <v>5079</v>
      </c>
      <c r="F632" s="20" t="s">
        <v>5080</v>
      </c>
      <c r="G632" s="24">
        <v>59</v>
      </c>
      <c r="H632" s="21">
        <v>46263</v>
      </c>
      <c r="I632" s="53" t="s">
        <v>5081</v>
      </c>
      <c r="J632" s="24" t="s">
        <v>5082</v>
      </c>
      <c r="K632" s="24">
        <v>59</v>
      </c>
      <c r="L632" s="46">
        <v>12116120</v>
      </c>
      <c r="M632" s="20" t="s">
        <v>5098</v>
      </c>
      <c r="N632" s="38">
        <v>0</v>
      </c>
      <c r="O632" s="38">
        <v>0</v>
      </c>
      <c r="P632" s="20" t="s">
        <v>469</v>
      </c>
      <c r="Q632" s="20">
        <v>0</v>
      </c>
      <c r="R632" s="40">
        <v>46255</v>
      </c>
      <c r="S632" s="20">
        <v>0</v>
      </c>
      <c r="T632" s="20">
        <v>0</v>
      </c>
      <c r="U632" s="40">
        <v>46258</v>
      </c>
      <c r="V632" s="40">
        <v>46258</v>
      </c>
      <c r="W632" s="20" t="s">
        <v>58</v>
      </c>
      <c r="X632" s="21"/>
      <c r="Y632" s="19">
        <f>VLOOKUP(F632,[2]New!$B:$G,3,0)*K632/60</f>
        <v>55.06666666666667</v>
      </c>
      <c r="Z632" s="19">
        <f>VLOOKUP(F632,[2]New!$B:$G,4,0)*K632/60</f>
        <v>230.1</v>
      </c>
      <c r="AA632" s="19">
        <f>VLOOKUP(F632,[2]New!$B:$G,6,0)*K632/60</f>
        <v>284.38</v>
      </c>
      <c r="AB632" s="44">
        <f>VLOOKUP(A632,'[4]PO CAG'!$A:$L,12,0)</f>
        <v>46269</v>
      </c>
      <c r="AC632" s="22">
        <f>IFERROR(VLOOKUP(F632,[3]Sheet1!$E:$H,4,0),)</f>
        <v>0</v>
      </c>
      <c r="AD632" s="144"/>
      <c r="AE632" s="25" t="e">
        <v>#N/A</v>
      </c>
      <c r="AF632" s="135" t="s">
        <v>112</v>
      </c>
      <c r="AG632" s="135"/>
      <c r="AH632" s="135"/>
      <c r="AI632" s="135"/>
      <c r="AJ632" s="267" t="s">
        <v>188</v>
      </c>
      <c r="AN632" s="278">
        <v>2</v>
      </c>
      <c r="AO632" s="278">
        <v>2</v>
      </c>
      <c r="AP632" s="278">
        <v>2</v>
      </c>
      <c r="AQ632" s="278">
        <v>2</v>
      </c>
    </row>
    <row r="633" spans="1:43">
      <c r="A633" s="135" t="s">
        <v>5083</v>
      </c>
      <c r="B633" s="135" t="s">
        <v>5188</v>
      </c>
      <c r="C633" s="135" t="s">
        <v>5084</v>
      </c>
      <c r="D633" s="46">
        <v>11119363</v>
      </c>
      <c r="E633" s="20" t="s">
        <v>865</v>
      </c>
      <c r="F633" s="20" t="s">
        <v>866</v>
      </c>
      <c r="G633" s="24">
        <v>101</v>
      </c>
      <c r="H633" s="21">
        <v>46263</v>
      </c>
      <c r="I633" s="53" t="s">
        <v>5085</v>
      </c>
      <c r="J633" s="24" t="s">
        <v>5086</v>
      </c>
      <c r="K633" s="24">
        <v>101</v>
      </c>
      <c r="L633" s="46">
        <v>12115998</v>
      </c>
      <c r="M633" s="20" t="s">
        <v>879</v>
      </c>
      <c r="N633" s="38">
        <v>0</v>
      </c>
      <c r="O633" s="38">
        <v>0</v>
      </c>
      <c r="P633" s="20" t="s">
        <v>469</v>
      </c>
      <c r="Q633" s="20">
        <v>0</v>
      </c>
      <c r="R633" s="40">
        <v>46255</v>
      </c>
      <c r="S633" s="20">
        <v>0</v>
      </c>
      <c r="T633" s="20">
        <v>0</v>
      </c>
      <c r="U633" s="40">
        <v>46258</v>
      </c>
      <c r="V633" s="40">
        <v>46258</v>
      </c>
      <c r="W633" s="20" t="s">
        <v>58</v>
      </c>
      <c r="X633" s="21"/>
      <c r="Y633" s="19">
        <f>VLOOKUP(F633,[2]New!$B:$G,3,0)*K633/60</f>
        <v>94.266666666666666</v>
      </c>
      <c r="Z633" s="19">
        <f>VLOOKUP(F633,[2]New!$B:$G,4,0)*K633/60</f>
        <v>393.9</v>
      </c>
      <c r="AA633" s="19">
        <f>VLOOKUP(F633,[2]New!$B:$G,6,0)*K633/60</f>
        <v>486.48333333333335</v>
      </c>
      <c r="AB633" s="44">
        <f>VLOOKUP(A633,'[4]PO CAG'!$A:$L,12,0)</f>
        <v>46269</v>
      </c>
      <c r="AC633" s="22">
        <f>IFERROR(VLOOKUP(F633,[3]Sheet1!$E:$H,4,0),)</f>
        <v>0</v>
      </c>
      <c r="AD633" s="144"/>
      <c r="AE633" s="25" t="e">
        <v>#N/A</v>
      </c>
      <c r="AF633" s="135" t="s">
        <v>112</v>
      </c>
      <c r="AG633" s="135"/>
      <c r="AH633" s="135"/>
      <c r="AI633" s="135"/>
      <c r="AJ633" s="267" t="s">
        <v>188</v>
      </c>
      <c r="AN633" s="278">
        <v>2</v>
      </c>
      <c r="AO633" s="278">
        <v>2</v>
      </c>
      <c r="AP633" s="278">
        <v>2</v>
      </c>
      <c r="AQ633" s="278">
        <v>2</v>
      </c>
    </row>
    <row r="634" spans="1:43">
      <c r="A634" s="135" t="s">
        <v>5087</v>
      </c>
      <c r="B634" s="135" t="s">
        <v>5189</v>
      </c>
      <c r="C634" s="135" t="s">
        <v>5088</v>
      </c>
      <c r="D634" s="46">
        <v>11119481</v>
      </c>
      <c r="E634" s="20" t="s">
        <v>5089</v>
      </c>
      <c r="F634" s="20" t="s">
        <v>5090</v>
      </c>
      <c r="G634" s="24">
        <v>152</v>
      </c>
      <c r="H634" s="21">
        <v>46263</v>
      </c>
      <c r="I634" s="53" t="s">
        <v>5091</v>
      </c>
      <c r="J634" s="24" t="s">
        <v>5092</v>
      </c>
      <c r="K634" s="24">
        <v>152</v>
      </c>
      <c r="L634" s="46">
        <v>12116116</v>
      </c>
      <c r="M634" s="20" t="s">
        <v>3667</v>
      </c>
      <c r="N634" s="38">
        <v>0</v>
      </c>
      <c r="O634" s="38">
        <v>0</v>
      </c>
      <c r="P634" s="20" t="s">
        <v>469</v>
      </c>
      <c r="Q634" s="20">
        <v>0</v>
      </c>
      <c r="R634" s="40">
        <v>46255</v>
      </c>
      <c r="S634" s="20">
        <v>0</v>
      </c>
      <c r="T634" s="20">
        <v>0</v>
      </c>
      <c r="U634" s="40">
        <v>46258</v>
      </c>
      <c r="V634" s="40">
        <v>46258</v>
      </c>
      <c r="W634" s="20" t="s">
        <v>58</v>
      </c>
      <c r="X634" s="21"/>
      <c r="Y634" s="19">
        <f>VLOOKUP(F634,[2]New!$B:$G,3,0)*K634/60</f>
        <v>141.86666666666667</v>
      </c>
      <c r="Z634" s="19">
        <f>VLOOKUP(F634,[2]New!$B:$G,4,0)*K634/60</f>
        <v>592.79999999999995</v>
      </c>
      <c r="AA634" s="19">
        <f>VLOOKUP(F634,[2]New!$B:$G,6,0)*K634/60</f>
        <v>732.64</v>
      </c>
      <c r="AB634" s="44">
        <f>VLOOKUP(A634,'[4]PO CAG'!$A:$L,12,0)</f>
        <v>46269</v>
      </c>
      <c r="AC634" s="22">
        <f>IFERROR(VLOOKUP(F634,[3]Sheet1!$E:$H,4,0),)</f>
        <v>0</v>
      </c>
      <c r="AD634" s="144"/>
      <c r="AE634" s="25" t="e">
        <v>#N/A</v>
      </c>
      <c r="AF634" s="135" t="s">
        <v>112</v>
      </c>
      <c r="AG634" s="135"/>
      <c r="AH634" s="135"/>
      <c r="AI634" s="135"/>
      <c r="AJ634" s="267" t="s">
        <v>188</v>
      </c>
      <c r="AN634" s="278">
        <v>2</v>
      </c>
      <c r="AO634" s="278">
        <v>2</v>
      </c>
      <c r="AP634" s="278">
        <v>2</v>
      </c>
      <c r="AQ634" s="278">
        <v>2</v>
      </c>
    </row>
    <row r="635" spans="1:43">
      <c r="A635" s="135" t="s">
        <v>3989</v>
      </c>
      <c r="B635" s="135" t="s">
        <v>5190</v>
      </c>
      <c r="C635" s="135" t="s">
        <v>5099</v>
      </c>
      <c r="D635" s="46">
        <v>11134283</v>
      </c>
      <c r="E635" s="20" t="s">
        <v>3991</v>
      </c>
      <c r="F635" s="20" t="s">
        <v>3992</v>
      </c>
      <c r="G635" s="24">
        <v>7</v>
      </c>
      <c r="H635" s="21">
        <v>46263</v>
      </c>
      <c r="I635" s="53" t="s">
        <v>5100</v>
      </c>
      <c r="J635" s="24" t="s">
        <v>5101</v>
      </c>
      <c r="K635" s="24">
        <v>7</v>
      </c>
      <c r="L635" s="46">
        <v>12116195</v>
      </c>
      <c r="M635" s="20" t="s">
        <v>3996</v>
      </c>
      <c r="N635" s="38">
        <v>0</v>
      </c>
      <c r="O635" s="38">
        <v>0</v>
      </c>
      <c r="P635" s="20" t="s">
        <v>469</v>
      </c>
      <c r="Q635" s="20">
        <v>0</v>
      </c>
      <c r="R635" s="40">
        <v>46255</v>
      </c>
      <c r="S635" s="20">
        <v>0</v>
      </c>
      <c r="T635" s="20">
        <v>0</v>
      </c>
      <c r="U635" s="40">
        <v>46258</v>
      </c>
      <c r="V635" s="40">
        <v>46258</v>
      </c>
      <c r="W635" s="20" t="s">
        <v>57</v>
      </c>
      <c r="X635" s="21"/>
      <c r="Y635" s="19">
        <f>VLOOKUP(F635,[2]New!$B:$G,3,0)*K635/60</f>
        <v>6.5333333333333332</v>
      </c>
      <c r="Z635" s="19">
        <f>VLOOKUP(F635,[2]New!$B:$G,4,0)*K635/60</f>
        <v>27.3</v>
      </c>
      <c r="AA635" s="19">
        <f>VLOOKUP(F635,[2]New!$B:$G,6,0)*K635/60</f>
        <v>33.739999999999995</v>
      </c>
      <c r="AB635" s="44">
        <f>VLOOKUP(A635,'[4]PO CAG'!$A:$L,12,0)</f>
        <v>46269</v>
      </c>
      <c r="AC635" s="22">
        <f>IFERROR(VLOOKUP(F635,[3]Sheet1!$E:$H,4,0),)</f>
        <v>0</v>
      </c>
      <c r="AD635" s="144"/>
      <c r="AE635" s="25" t="e">
        <v>#N/A</v>
      </c>
      <c r="AF635" s="135" t="s">
        <v>112</v>
      </c>
      <c r="AG635" s="135"/>
      <c r="AH635" s="135"/>
      <c r="AI635" s="135"/>
      <c r="AJ635" s="267" t="s">
        <v>188</v>
      </c>
      <c r="AN635" s="278">
        <v>2</v>
      </c>
      <c r="AO635" s="278">
        <v>2</v>
      </c>
      <c r="AP635" s="278">
        <v>2</v>
      </c>
      <c r="AQ635" s="278">
        <v>2</v>
      </c>
    </row>
    <row r="636" spans="1:43">
      <c r="A636" s="135" t="s">
        <v>5102</v>
      </c>
      <c r="B636" s="135" t="s">
        <v>5191</v>
      </c>
      <c r="C636" s="135" t="s">
        <v>5103</v>
      </c>
      <c r="D636" s="46">
        <v>11130628</v>
      </c>
      <c r="E636" s="20" t="s">
        <v>1913</v>
      </c>
      <c r="F636" s="20" t="s">
        <v>1914</v>
      </c>
      <c r="G636" s="24">
        <v>2</v>
      </c>
      <c r="H636" s="21">
        <v>46263</v>
      </c>
      <c r="I636" s="53" t="s">
        <v>5104</v>
      </c>
      <c r="J636" s="24" t="s">
        <v>5105</v>
      </c>
      <c r="K636" s="24">
        <v>2</v>
      </c>
      <c r="L636" s="46">
        <v>12116002</v>
      </c>
      <c r="M636" s="20" t="s">
        <v>1025</v>
      </c>
      <c r="N636" s="38">
        <v>0</v>
      </c>
      <c r="O636" s="38">
        <v>0</v>
      </c>
      <c r="P636" s="20" t="s">
        <v>94</v>
      </c>
      <c r="Q636" s="20">
        <v>0</v>
      </c>
      <c r="R636" s="40">
        <v>46255</v>
      </c>
      <c r="S636" s="20">
        <v>0</v>
      </c>
      <c r="T636" s="20">
        <v>0</v>
      </c>
      <c r="U636" s="40">
        <v>46258</v>
      </c>
      <c r="V636" s="40">
        <v>46258</v>
      </c>
      <c r="W636" s="20" t="s">
        <v>57</v>
      </c>
      <c r="X636" s="21"/>
      <c r="Y636" s="19">
        <f>VLOOKUP(F636,[2]New!$B:$G,3,0)*K636/60</f>
        <v>0.7</v>
      </c>
      <c r="Z636" s="19">
        <f>VLOOKUP(F636,[2]New!$B:$G,4,0)*K636/60</f>
        <v>3.0866666666666664</v>
      </c>
      <c r="AA636" s="19">
        <f>VLOOKUP(F636,[2]New!$B:$G,6,0)*K636/60</f>
        <v>1.4333333333333333</v>
      </c>
      <c r="AB636" s="44">
        <f>VLOOKUP(A636,'[4]PO CAG'!$A:$L,12,0)</f>
        <v>46274</v>
      </c>
      <c r="AC636" s="22">
        <f>IFERROR(VLOOKUP(F636,[3]Sheet1!$E:$H,4,0),)</f>
        <v>0</v>
      </c>
      <c r="AD636" s="144"/>
      <c r="AE636" s="25" t="e">
        <v>#N/A</v>
      </c>
      <c r="AF636" s="135" t="s">
        <v>112</v>
      </c>
      <c r="AG636" s="135"/>
      <c r="AH636" s="135"/>
      <c r="AI636" s="135"/>
      <c r="AJ636" s="267" t="s">
        <v>188</v>
      </c>
      <c r="AN636" s="278">
        <v>3</v>
      </c>
      <c r="AO636" s="278">
        <v>3</v>
      </c>
      <c r="AP636" s="278">
        <v>3</v>
      </c>
      <c r="AQ636" s="278">
        <v>3</v>
      </c>
    </row>
    <row r="637" spans="1:43">
      <c r="A637" s="135" t="s">
        <v>5106</v>
      </c>
      <c r="B637" s="135" t="s">
        <v>5192</v>
      </c>
      <c r="C637" s="135" t="s">
        <v>5107</v>
      </c>
      <c r="D637" s="46">
        <v>11130545</v>
      </c>
      <c r="E637" s="20" t="s">
        <v>5108</v>
      </c>
      <c r="F637" s="20" t="s">
        <v>5109</v>
      </c>
      <c r="G637" s="24">
        <v>10</v>
      </c>
      <c r="H637" s="21">
        <v>46263</v>
      </c>
      <c r="I637" s="53" t="s">
        <v>5110</v>
      </c>
      <c r="J637" s="24" t="s">
        <v>5111</v>
      </c>
      <c r="K637" s="24">
        <v>10</v>
      </c>
      <c r="L637" s="46">
        <v>12124565</v>
      </c>
      <c r="M637" s="20" t="s">
        <v>4604</v>
      </c>
      <c r="N637" s="38">
        <v>0</v>
      </c>
      <c r="O637" s="38">
        <v>0</v>
      </c>
      <c r="P637" s="20" t="s">
        <v>94</v>
      </c>
      <c r="Q637" s="20">
        <v>0</v>
      </c>
      <c r="R637" s="40">
        <v>46255</v>
      </c>
      <c r="S637" s="20">
        <v>0</v>
      </c>
      <c r="T637" s="20">
        <v>0</v>
      </c>
      <c r="U637" s="40">
        <v>46258</v>
      </c>
      <c r="V637" s="40">
        <v>46258</v>
      </c>
      <c r="W637" s="20" t="s">
        <v>57</v>
      </c>
      <c r="X637" s="21"/>
      <c r="Y637" s="19">
        <v>0</v>
      </c>
      <c r="Z637" s="19">
        <v>0</v>
      </c>
      <c r="AA637" s="19">
        <v>0</v>
      </c>
      <c r="AB637" s="44">
        <f>VLOOKUP(A637,'[4]PO CAG'!$A:$L,12,0)</f>
        <v>46269</v>
      </c>
      <c r="AC637" s="22">
        <f>IFERROR(VLOOKUP(F637,[3]Sheet1!$E:$H,4,0),)</f>
        <v>0</v>
      </c>
      <c r="AD637" s="144"/>
      <c r="AE637" s="25" t="e">
        <v>#N/A</v>
      </c>
      <c r="AF637" s="135" t="s">
        <v>112</v>
      </c>
      <c r="AG637" s="135"/>
      <c r="AH637" s="135"/>
      <c r="AI637" s="135"/>
      <c r="AJ637" s="267" t="s">
        <v>188</v>
      </c>
      <c r="AN637" s="278">
        <v>3</v>
      </c>
      <c r="AO637" s="278">
        <v>3</v>
      </c>
      <c r="AP637" s="278">
        <v>3</v>
      </c>
      <c r="AQ637" s="278">
        <v>3</v>
      </c>
    </row>
    <row r="638" spans="1:43">
      <c r="A638" s="135"/>
      <c r="B638" s="135" t="s">
        <v>5118</v>
      </c>
      <c r="C638" s="135">
        <v>2000129152</v>
      </c>
      <c r="D638" s="46">
        <v>11134307</v>
      </c>
      <c r="E638" s="20" t="s">
        <v>5112</v>
      </c>
      <c r="F638" s="20" t="s">
        <v>5113</v>
      </c>
      <c r="G638" s="24">
        <v>3</v>
      </c>
      <c r="H638" s="21">
        <v>46252</v>
      </c>
      <c r="I638" s="53" t="s">
        <v>5114</v>
      </c>
      <c r="J638" s="24" t="s">
        <v>5115</v>
      </c>
      <c r="K638" s="24">
        <v>3</v>
      </c>
      <c r="L638" s="46">
        <v>12116315</v>
      </c>
      <c r="M638" s="20" t="s">
        <v>5120</v>
      </c>
      <c r="N638" s="38">
        <v>0</v>
      </c>
      <c r="O638" s="38">
        <v>0</v>
      </c>
      <c r="P638" s="20" t="s">
        <v>92</v>
      </c>
      <c r="Q638" s="20">
        <v>0</v>
      </c>
      <c r="R638" s="40">
        <v>46251</v>
      </c>
      <c r="S638" s="20">
        <v>0</v>
      </c>
      <c r="T638" s="20">
        <v>0</v>
      </c>
      <c r="U638" s="40">
        <v>46252</v>
      </c>
      <c r="V638" s="40"/>
      <c r="W638" s="20"/>
      <c r="X638" s="21"/>
      <c r="Y638" s="19"/>
      <c r="Z638" s="19"/>
      <c r="AA638" s="19"/>
      <c r="AB638" s="20" t="s">
        <v>92</v>
      </c>
      <c r="AC638" s="22"/>
      <c r="AD638" s="144"/>
      <c r="AE638" s="20" t="s">
        <v>92</v>
      </c>
      <c r="AF638" s="135"/>
      <c r="AG638" s="135"/>
      <c r="AH638" s="135"/>
      <c r="AI638" s="135"/>
    </row>
    <row r="639" spans="1:43">
      <c r="A639" s="135"/>
      <c r="B639" s="135" t="s">
        <v>5119</v>
      </c>
      <c r="C639" s="135">
        <v>2000129153</v>
      </c>
      <c r="D639" s="46">
        <v>11134307</v>
      </c>
      <c r="E639" s="20" t="s">
        <v>5112</v>
      </c>
      <c r="F639" s="20" t="s">
        <v>5113</v>
      </c>
      <c r="G639" s="24">
        <v>3</v>
      </c>
      <c r="H639" s="21">
        <v>46252</v>
      </c>
      <c r="I639" s="53" t="s">
        <v>5116</v>
      </c>
      <c r="J639" s="24" t="s">
        <v>5117</v>
      </c>
      <c r="K639" s="24">
        <v>3</v>
      </c>
      <c r="L639" s="46">
        <v>12116315</v>
      </c>
      <c r="M639" s="20" t="s">
        <v>5120</v>
      </c>
      <c r="N639" s="38">
        <v>0</v>
      </c>
      <c r="O639" s="38">
        <v>0</v>
      </c>
      <c r="P639" s="20" t="s">
        <v>92</v>
      </c>
      <c r="Q639" s="20">
        <v>0</v>
      </c>
      <c r="R639" s="40">
        <v>46251</v>
      </c>
      <c r="S639" s="20">
        <v>0</v>
      </c>
      <c r="T639" s="20">
        <v>0</v>
      </c>
      <c r="U639" s="40">
        <v>46252</v>
      </c>
      <c r="V639" s="40"/>
      <c r="W639" s="20"/>
      <c r="X639" s="21"/>
      <c r="Y639" s="19"/>
      <c r="Z639" s="19"/>
      <c r="AA639" s="19"/>
      <c r="AB639" s="20" t="s">
        <v>92</v>
      </c>
      <c r="AC639" s="22"/>
      <c r="AD639" s="144"/>
      <c r="AE639" s="20" t="s">
        <v>92</v>
      </c>
      <c r="AF639" s="135"/>
      <c r="AG639" s="135"/>
      <c r="AH639" s="135"/>
      <c r="AI639" s="135"/>
    </row>
    <row r="640" spans="1:43">
      <c r="A640" s="135" t="s">
        <v>5369</v>
      </c>
      <c r="B640" s="135" t="s">
        <v>5370</v>
      </c>
      <c r="C640" s="135" t="s">
        <v>5371</v>
      </c>
      <c r="D640" s="46">
        <v>11134249</v>
      </c>
      <c r="E640" s="20" t="s">
        <v>181</v>
      </c>
      <c r="F640" s="20" t="s">
        <v>1249</v>
      </c>
      <c r="G640" s="24">
        <v>200</v>
      </c>
      <c r="H640" s="21" t="s">
        <v>5372</v>
      </c>
      <c r="I640" s="53" t="s">
        <v>5371</v>
      </c>
      <c r="J640" s="24" t="s">
        <v>1253</v>
      </c>
      <c r="K640" s="24">
        <v>200</v>
      </c>
      <c r="L640" s="46"/>
      <c r="M640" s="20"/>
      <c r="N640" s="38">
        <v>0</v>
      </c>
      <c r="O640" s="38">
        <v>0</v>
      </c>
      <c r="P640" s="20" t="s">
        <v>92</v>
      </c>
      <c r="Q640" s="20">
        <v>0</v>
      </c>
      <c r="R640" s="40" t="s">
        <v>215</v>
      </c>
      <c r="S640" s="20">
        <v>0</v>
      </c>
      <c r="T640" s="20">
        <v>0</v>
      </c>
      <c r="U640" s="40" t="s">
        <v>215</v>
      </c>
      <c r="V640" s="40" t="s">
        <v>215</v>
      </c>
      <c r="W640" s="20"/>
      <c r="X640" s="21">
        <v>46254</v>
      </c>
      <c r="Y640" s="19"/>
      <c r="Z640" s="19"/>
      <c r="AA640" s="19"/>
      <c r="AB640" s="20" t="s">
        <v>92</v>
      </c>
      <c r="AC640" s="22"/>
      <c r="AD640" s="144"/>
      <c r="AE640" s="20" t="s">
        <v>92</v>
      </c>
      <c r="AF640" s="135"/>
      <c r="AG640" s="135"/>
      <c r="AH640" s="135"/>
      <c r="AI640" s="135"/>
    </row>
    <row r="641" spans="1:36">
      <c r="A641" s="135" t="s">
        <v>5369</v>
      </c>
      <c r="B641" s="135" t="s">
        <v>5373</v>
      </c>
      <c r="C641" s="135" t="s">
        <v>5371</v>
      </c>
      <c r="D641" s="46">
        <v>11134247</v>
      </c>
      <c r="E641" s="20" t="s">
        <v>177</v>
      </c>
      <c r="F641" s="20" t="s">
        <v>1250</v>
      </c>
      <c r="G641" s="24">
        <v>200</v>
      </c>
      <c r="H641" s="21" t="s">
        <v>5372</v>
      </c>
      <c r="I641" s="53" t="s">
        <v>5371</v>
      </c>
      <c r="J641" s="24" t="s">
        <v>1255</v>
      </c>
      <c r="K641" s="24">
        <v>200</v>
      </c>
      <c r="L641" s="46"/>
      <c r="M641" s="20"/>
      <c r="N641" s="38">
        <v>0</v>
      </c>
      <c r="O641" s="38">
        <v>0</v>
      </c>
      <c r="P641" s="20" t="s">
        <v>92</v>
      </c>
      <c r="Q641" s="20">
        <v>0</v>
      </c>
      <c r="R641" s="40" t="s">
        <v>215</v>
      </c>
      <c r="S641" s="20">
        <v>0</v>
      </c>
      <c r="T641" s="20">
        <v>0</v>
      </c>
      <c r="U641" s="40" t="s">
        <v>215</v>
      </c>
      <c r="V641" s="40" t="s">
        <v>215</v>
      </c>
      <c r="W641" s="20"/>
      <c r="X641" s="21">
        <v>46254</v>
      </c>
      <c r="Y641" s="19"/>
      <c r="Z641" s="19"/>
      <c r="AA641" s="19"/>
      <c r="AB641" s="20" t="s">
        <v>92</v>
      </c>
      <c r="AC641" s="22"/>
      <c r="AD641" s="144"/>
      <c r="AE641" s="20" t="s">
        <v>92</v>
      </c>
      <c r="AF641" s="135"/>
      <c r="AG641" s="135"/>
      <c r="AH641" s="135"/>
      <c r="AI641" s="135"/>
    </row>
    <row r="642" spans="1:36">
      <c r="A642" s="135" t="s">
        <v>5369</v>
      </c>
      <c r="B642" s="135" t="s">
        <v>5374</v>
      </c>
      <c r="C642" s="135" t="s">
        <v>5371</v>
      </c>
      <c r="D642" s="46">
        <v>11134563</v>
      </c>
      <c r="E642" s="20" t="s">
        <v>552</v>
      </c>
      <c r="F642" s="20" t="s">
        <v>5375</v>
      </c>
      <c r="G642" s="24">
        <v>200</v>
      </c>
      <c r="H642" s="21" t="s">
        <v>5372</v>
      </c>
      <c r="I642" s="53" t="s">
        <v>5371</v>
      </c>
      <c r="J642" s="24" t="s">
        <v>1337</v>
      </c>
      <c r="K642" s="24">
        <v>200</v>
      </c>
      <c r="L642" s="46"/>
      <c r="M642" s="20"/>
      <c r="N642" s="38">
        <v>0</v>
      </c>
      <c r="O642" s="38">
        <v>0</v>
      </c>
      <c r="P642" s="20" t="s">
        <v>92</v>
      </c>
      <c r="Q642" s="20">
        <v>0</v>
      </c>
      <c r="R642" s="40" t="s">
        <v>215</v>
      </c>
      <c r="S642" s="20">
        <v>0</v>
      </c>
      <c r="T642" s="20">
        <v>0</v>
      </c>
      <c r="U642" s="40" t="s">
        <v>215</v>
      </c>
      <c r="V642" s="40" t="s">
        <v>215</v>
      </c>
      <c r="W642" s="20"/>
      <c r="X642" s="21">
        <v>46254</v>
      </c>
      <c r="Y642" s="19"/>
      <c r="Z642" s="19"/>
      <c r="AA642" s="19"/>
      <c r="AB642" s="20" t="s">
        <v>92</v>
      </c>
      <c r="AC642" s="22"/>
      <c r="AD642" s="144"/>
      <c r="AE642" s="20" t="s">
        <v>92</v>
      </c>
      <c r="AF642" s="135"/>
      <c r="AG642" s="135"/>
      <c r="AH642" s="135"/>
      <c r="AI642" s="135"/>
    </row>
    <row r="643" spans="1:36">
      <c r="A643" s="135" t="s">
        <v>5369</v>
      </c>
      <c r="B643" s="135" t="s">
        <v>5376</v>
      </c>
      <c r="C643" s="135" t="s">
        <v>5371</v>
      </c>
      <c r="D643" s="46">
        <v>12129248</v>
      </c>
      <c r="E643" s="20" t="s">
        <v>73</v>
      </c>
      <c r="F643" s="20" t="s">
        <v>5377</v>
      </c>
      <c r="G643" s="24">
        <v>200</v>
      </c>
      <c r="H643" s="21" t="s">
        <v>5372</v>
      </c>
      <c r="I643" s="53" t="s">
        <v>5371</v>
      </c>
      <c r="J643" s="24" t="s">
        <v>1339</v>
      </c>
      <c r="K643" s="24">
        <v>200</v>
      </c>
      <c r="L643" s="46"/>
      <c r="M643" s="20"/>
      <c r="N643" s="38">
        <v>0</v>
      </c>
      <c r="O643" s="38">
        <v>0</v>
      </c>
      <c r="P643" s="20" t="s">
        <v>92</v>
      </c>
      <c r="Q643" s="20">
        <v>0</v>
      </c>
      <c r="R643" s="40" t="s">
        <v>215</v>
      </c>
      <c r="S643" s="20">
        <v>0</v>
      </c>
      <c r="T643" s="20">
        <v>0</v>
      </c>
      <c r="U643" s="40">
        <v>46253</v>
      </c>
      <c r="V643" s="40" t="s">
        <v>215</v>
      </c>
      <c r="W643" s="20"/>
      <c r="X643" s="21">
        <v>46254</v>
      </c>
      <c r="Y643" s="19"/>
      <c r="Z643" s="19"/>
      <c r="AA643" s="19"/>
      <c r="AB643" s="20" t="s">
        <v>92</v>
      </c>
      <c r="AC643" s="22"/>
      <c r="AD643" s="144"/>
      <c r="AE643" s="20" t="s">
        <v>92</v>
      </c>
      <c r="AF643" s="135"/>
      <c r="AG643" s="135"/>
      <c r="AH643" s="135"/>
      <c r="AI643" s="135"/>
    </row>
    <row r="644" spans="1:36">
      <c r="A644" s="135" t="s">
        <v>5369</v>
      </c>
      <c r="B644" s="135" t="s">
        <v>5378</v>
      </c>
      <c r="C644" s="135" t="s">
        <v>5371</v>
      </c>
      <c r="D644" s="46">
        <v>11124224</v>
      </c>
      <c r="E644" s="20" t="s">
        <v>1521</v>
      </c>
      <c r="F644" s="20" t="s">
        <v>5379</v>
      </c>
      <c r="G644" s="24">
        <v>200</v>
      </c>
      <c r="H644" s="21" t="s">
        <v>5372</v>
      </c>
      <c r="I644" s="53" t="s">
        <v>5371</v>
      </c>
      <c r="J644" s="24" t="s">
        <v>1524</v>
      </c>
      <c r="K644" s="24">
        <v>200</v>
      </c>
      <c r="L644" s="46"/>
      <c r="M644" s="20"/>
      <c r="N644" s="38">
        <v>0</v>
      </c>
      <c r="O644" s="38">
        <v>0</v>
      </c>
      <c r="P644" s="20" t="s">
        <v>92</v>
      </c>
      <c r="Q644" s="20">
        <v>0</v>
      </c>
      <c r="R644" s="40" t="s">
        <v>215</v>
      </c>
      <c r="S644" s="20">
        <v>0</v>
      </c>
      <c r="T644" s="20">
        <v>0</v>
      </c>
      <c r="U644" s="40" t="s">
        <v>215</v>
      </c>
      <c r="V644" s="40" t="s">
        <v>215</v>
      </c>
      <c r="W644" s="20"/>
      <c r="X644" s="21">
        <v>46254</v>
      </c>
      <c r="Y644" s="19"/>
      <c r="Z644" s="19"/>
      <c r="AA644" s="19"/>
      <c r="AB644" s="20" t="s">
        <v>92</v>
      </c>
      <c r="AC644" s="22"/>
      <c r="AD644" s="144"/>
      <c r="AE644" s="20" t="s">
        <v>92</v>
      </c>
      <c r="AF644" s="135"/>
      <c r="AG644" s="135"/>
      <c r="AH644" s="135"/>
      <c r="AI644" s="135"/>
    </row>
    <row r="645" spans="1:36">
      <c r="A645" s="135" t="s">
        <v>5380</v>
      </c>
      <c r="B645" s="135" t="s">
        <v>5769</v>
      </c>
      <c r="C645" s="135" t="s">
        <v>5381</v>
      </c>
      <c r="D645" s="46">
        <v>11119494</v>
      </c>
      <c r="E645" s="20" t="s">
        <v>574</v>
      </c>
      <c r="F645" s="20" t="s">
        <v>575</v>
      </c>
      <c r="G645" s="24">
        <v>1</v>
      </c>
      <c r="H645" s="21">
        <v>46263</v>
      </c>
      <c r="I645" s="53" t="s">
        <v>5382</v>
      </c>
      <c r="J645" s="24" t="s">
        <v>5383</v>
      </c>
      <c r="K645" s="24">
        <v>1</v>
      </c>
      <c r="L645" s="46">
        <v>12116129</v>
      </c>
      <c r="M645" s="20" t="s">
        <v>609</v>
      </c>
      <c r="N645" s="38">
        <v>0</v>
      </c>
      <c r="O645" s="38">
        <v>0</v>
      </c>
      <c r="P645" s="20" t="s">
        <v>469</v>
      </c>
      <c r="Q645" s="20">
        <v>0</v>
      </c>
      <c r="R645" s="40">
        <v>46258</v>
      </c>
      <c r="S645" s="20">
        <v>0</v>
      </c>
      <c r="T645" s="20">
        <v>0</v>
      </c>
      <c r="U645" s="40">
        <v>46259</v>
      </c>
      <c r="V645" s="40">
        <v>46259</v>
      </c>
      <c r="W645" s="20" t="s">
        <v>57</v>
      </c>
      <c r="X645" s="21"/>
      <c r="Y645" s="19">
        <v>0</v>
      </c>
      <c r="Z645" s="19">
        <v>0</v>
      </c>
      <c r="AA645" s="19">
        <v>0</v>
      </c>
      <c r="AB645" s="44">
        <f>VLOOKUP(A645,'[4]PO CAG'!$A:$L,12,0)</f>
        <v>46269</v>
      </c>
      <c r="AC645" s="22">
        <f>IFERROR(VLOOKUP(F645,[3]Sheet1!$E:$H,4,0),)</f>
        <v>0</v>
      </c>
      <c r="AD645" s="144"/>
      <c r="AE645" s="20"/>
      <c r="AF645" s="135" t="s">
        <v>112</v>
      </c>
      <c r="AG645" s="135"/>
      <c r="AH645" s="135"/>
      <c r="AI645" s="135"/>
      <c r="AJ645" s="267" t="s">
        <v>153</v>
      </c>
    </row>
    <row r="646" spans="1:36">
      <c r="A646" s="135" t="s">
        <v>5384</v>
      </c>
      <c r="B646" s="135" t="s">
        <v>5770</v>
      </c>
      <c r="C646" s="135" t="s">
        <v>5385</v>
      </c>
      <c r="D646" s="46">
        <v>11119495</v>
      </c>
      <c r="E646" s="20" t="s">
        <v>1137</v>
      </c>
      <c r="F646" s="20" t="s">
        <v>1138</v>
      </c>
      <c r="G646" s="24">
        <v>1</v>
      </c>
      <c r="H646" s="21">
        <v>46263</v>
      </c>
      <c r="I646" s="53" t="s">
        <v>5386</v>
      </c>
      <c r="J646" s="24" t="s">
        <v>5387</v>
      </c>
      <c r="K646" s="24">
        <v>1</v>
      </c>
      <c r="L646" s="46">
        <v>12116130</v>
      </c>
      <c r="M646" s="20" t="s">
        <v>1153</v>
      </c>
      <c r="N646" s="38">
        <v>0</v>
      </c>
      <c r="O646" s="38">
        <v>0</v>
      </c>
      <c r="P646" s="20" t="s">
        <v>469</v>
      </c>
      <c r="Q646" s="20">
        <v>0</v>
      </c>
      <c r="R646" s="40">
        <v>46258</v>
      </c>
      <c r="S646" s="20">
        <v>0</v>
      </c>
      <c r="T646" s="20">
        <v>0</v>
      </c>
      <c r="U646" s="40">
        <v>46259</v>
      </c>
      <c r="V646" s="40">
        <v>46259</v>
      </c>
      <c r="W646" s="20" t="s">
        <v>57</v>
      </c>
      <c r="X646" s="21"/>
      <c r="Y646" s="19">
        <v>0</v>
      </c>
      <c r="Z646" s="19">
        <v>0</v>
      </c>
      <c r="AA646" s="19">
        <v>0</v>
      </c>
      <c r="AB646" s="44">
        <f>VLOOKUP(A646,'[4]PO CAG'!$A:$L,12,0)</f>
        <v>46269</v>
      </c>
      <c r="AC646" s="22">
        <f>IFERROR(VLOOKUP(F646,[3]Sheet1!$E:$H,4,0),)</f>
        <v>0</v>
      </c>
      <c r="AD646" s="144"/>
      <c r="AE646" s="20"/>
      <c r="AF646" s="135" t="s">
        <v>112</v>
      </c>
      <c r="AG646" s="135"/>
      <c r="AH646" s="135"/>
      <c r="AI646" s="135"/>
      <c r="AJ646" s="267" t="s">
        <v>153</v>
      </c>
    </row>
    <row r="647" spans="1:36">
      <c r="A647" s="135" t="s">
        <v>5388</v>
      </c>
      <c r="B647" s="135" t="s">
        <v>5771</v>
      </c>
      <c r="C647" s="135" t="s">
        <v>5389</v>
      </c>
      <c r="D647" s="46">
        <v>11119497</v>
      </c>
      <c r="E647" s="20" t="s">
        <v>596</v>
      </c>
      <c r="F647" s="20" t="s">
        <v>597</v>
      </c>
      <c r="G647" s="24">
        <v>1</v>
      </c>
      <c r="H647" s="21">
        <v>46263</v>
      </c>
      <c r="I647" s="53" t="s">
        <v>5390</v>
      </c>
      <c r="J647" s="24" t="s">
        <v>5391</v>
      </c>
      <c r="K647" s="24">
        <v>1</v>
      </c>
      <c r="L647" s="46">
        <v>12116132</v>
      </c>
      <c r="M647" s="20" t="s">
        <v>621</v>
      </c>
      <c r="N647" s="38">
        <v>0</v>
      </c>
      <c r="O647" s="38">
        <v>0</v>
      </c>
      <c r="P647" s="20" t="s">
        <v>469</v>
      </c>
      <c r="Q647" s="20">
        <v>0</v>
      </c>
      <c r="R647" s="40">
        <v>46258</v>
      </c>
      <c r="S647" s="20">
        <v>0</v>
      </c>
      <c r="T647" s="20">
        <v>0</v>
      </c>
      <c r="U647" s="40">
        <v>46259</v>
      </c>
      <c r="V647" s="40">
        <v>46259</v>
      </c>
      <c r="W647" s="20" t="s">
        <v>57</v>
      </c>
      <c r="X647" s="21"/>
      <c r="Y647" s="19">
        <v>0</v>
      </c>
      <c r="Z647" s="19">
        <v>0</v>
      </c>
      <c r="AA647" s="19">
        <v>0</v>
      </c>
      <c r="AB647" s="44">
        <f>VLOOKUP(A647,'[4]PO CAG'!$A:$L,12,0)</f>
        <v>46269</v>
      </c>
      <c r="AC647" s="22">
        <f>IFERROR(VLOOKUP(F647,[3]Sheet1!$E:$H,4,0),)</f>
        <v>0</v>
      </c>
      <c r="AD647" s="144"/>
      <c r="AE647" s="20"/>
      <c r="AF647" s="135" t="s">
        <v>112</v>
      </c>
      <c r="AG647" s="135"/>
      <c r="AH647" s="135"/>
      <c r="AI647" s="135"/>
      <c r="AJ647" s="267" t="s">
        <v>153</v>
      </c>
    </row>
    <row r="648" spans="1:36">
      <c r="A648" s="135" t="s">
        <v>5392</v>
      </c>
      <c r="B648" s="135" t="s">
        <v>5772</v>
      </c>
      <c r="C648" s="135" t="s">
        <v>5393</v>
      </c>
      <c r="D648" s="46">
        <v>11119506</v>
      </c>
      <c r="E648" s="20" t="s">
        <v>843</v>
      </c>
      <c r="F648" s="20" t="s">
        <v>844</v>
      </c>
      <c r="G648" s="24">
        <v>1</v>
      </c>
      <c r="H648" s="21">
        <v>46263</v>
      </c>
      <c r="I648" s="53" t="s">
        <v>5394</v>
      </c>
      <c r="J648" s="24" t="s">
        <v>5395</v>
      </c>
      <c r="K648" s="24">
        <v>1</v>
      </c>
      <c r="L648" s="46">
        <v>12116141</v>
      </c>
      <c r="M648" s="20" t="s">
        <v>869</v>
      </c>
      <c r="N648" s="38">
        <v>0</v>
      </c>
      <c r="O648" s="38">
        <v>0</v>
      </c>
      <c r="P648" s="20" t="s">
        <v>469</v>
      </c>
      <c r="Q648" s="20">
        <v>0</v>
      </c>
      <c r="R648" s="40">
        <v>46258</v>
      </c>
      <c r="S648" s="20">
        <v>0</v>
      </c>
      <c r="T648" s="20">
        <v>0</v>
      </c>
      <c r="U648" s="40">
        <v>46259</v>
      </c>
      <c r="V648" s="40">
        <v>46259</v>
      </c>
      <c r="W648" s="20" t="s">
        <v>57</v>
      </c>
      <c r="X648" s="21"/>
      <c r="Y648" s="19">
        <v>0</v>
      </c>
      <c r="Z648" s="19">
        <v>0</v>
      </c>
      <c r="AA648" s="19">
        <v>0</v>
      </c>
      <c r="AB648" s="44">
        <f>VLOOKUP(A648,'[4]PO CAG'!$A:$L,12,0)</f>
        <v>46269</v>
      </c>
      <c r="AC648" s="22">
        <f>IFERROR(VLOOKUP(F648,[3]Sheet1!$E:$H,4,0),)</f>
        <v>0</v>
      </c>
      <c r="AD648" s="144"/>
      <c r="AE648" s="20"/>
      <c r="AF648" s="135" t="s">
        <v>112</v>
      </c>
      <c r="AG648" s="135"/>
      <c r="AH648" s="135"/>
      <c r="AI648" s="135"/>
      <c r="AJ648" s="267" t="s">
        <v>153</v>
      </c>
    </row>
    <row r="649" spans="1:36">
      <c r="A649" s="135" t="s">
        <v>5396</v>
      </c>
      <c r="B649" s="135" t="s">
        <v>5773</v>
      </c>
      <c r="C649" s="135" t="s">
        <v>5397</v>
      </c>
      <c r="D649" s="46">
        <v>11119512</v>
      </c>
      <c r="E649" s="20" t="s">
        <v>978</v>
      </c>
      <c r="F649" s="20" t="s">
        <v>979</v>
      </c>
      <c r="G649" s="24">
        <v>1</v>
      </c>
      <c r="H649" s="21">
        <v>46263</v>
      </c>
      <c r="I649" s="53" t="s">
        <v>5398</v>
      </c>
      <c r="J649" s="24" t="s">
        <v>5399</v>
      </c>
      <c r="K649" s="24">
        <v>1</v>
      </c>
      <c r="L649" s="46">
        <v>12116147</v>
      </c>
      <c r="M649" s="20" t="s">
        <v>1015</v>
      </c>
      <c r="N649" s="38">
        <v>0</v>
      </c>
      <c r="O649" s="38">
        <v>0</v>
      </c>
      <c r="P649" s="20" t="s">
        <v>469</v>
      </c>
      <c r="Q649" s="20">
        <v>0</v>
      </c>
      <c r="R649" s="40">
        <v>46258</v>
      </c>
      <c r="S649" s="20">
        <v>0</v>
      </c>
      <c r="T649" s="20">
        <v>0</v>
      </c>
      <c r="U649" s="40">
        <v>46259</v>
      </c>
      <c r="V649" s="40">
        <v>46259</v>
      </c>
      <c r="W649" s="20" t="s">
        <v>57</v>
      </c>
      <c r="X649" s="21"/>
      <c r="Y649" s="19">
        <v>0</v>
      </c>
      <c r="Z649" s="19">
        <v>0</v>
      </c>
      <c r="AA649" s="19">
        <v>0</v>
      </c>
      <c r="AB649" s="44">
        <f>VLOOKUP(A649,'[4]PO CAG'!$A:$L,12,0)</f>
        <v>46269</v>
      </c>
      <c r="AC649" s="22">
        <f>IFERROR(VLOOKUP(F649,[3]Sheet1!$E:$H,4,0),)</f>
        <v>0</v>
      </c>
      <c r="AD649" s="144"/>
      <c r="AE649" s="20"/>
      <c r="AF649" s="135" t="s">
        <v>112</v>
      </c>
      <c r="AG649" s="135"/>
      <c r="AH649" s="135"/>
      <c r="AI649" s="135"/>
      <c r="AJ649" s="267" t="s">
        <v>153</v>
      </c>
    </row>
    <row r="650" spans="1:36">
      <c r="A650" s="135" t="s">
        <v>5400</v>
      </c>
      <c r="B650" s="135" t="s">
        <v>5774</v>
      </c>
      <c r="C650" s="135" t="s">
        <v>5401</v>
      </c>
      <c r="D650" s="46">
        <v>11119376</v>
      </c>
      <c r="E650" s="20" t="s">
        <v>474</v>
      </c>
      <c r="F650" s="20" t="s">
        <v>475</v>
      </c>
      <c r="G650" s="24">
        <v>1</v>
      </c>
      <c r="H650" s="21">
        <v>46263</v>
      </c>
      <c r="I650" s="53" t="s">
        <v>5402</v>
      </c>
      <c r="J650" s="24" t="s">
        <v>5403</v>
      </c>
      <c r="K650" s="24">
        <v>1</v>
      </c>
      <c r="L650" s="46">
        <v>12116011</v>
      </c>
      <c r="M650" s="20" t="s">
        <v>482</v>
      </c>
      <c r="N650" s="38">
        <v>0</v>
      </c>
      <c r="O650" s="38">
        <v>0</v>
      </c>
      <c r="P650" s="20" t="s">
        <v>469</v>
      </c>
      <c r="Q650" s="20">
        <v>0</v>
      </c>
      <c r="R650" s="40">
        <v>46258</v>
      </c>
      <c r="S650" s="20">
        <v>0</v>
      </c>
      <c r="T650" s="20">
        <v>0</v>
      </c>
      <c r="U650" s="40">
        <v>46259</v>
      </c>
      <c r="V650" s="40">
        <v>46259</v>
      </c>
      <c r="W650" s="20" t="s">
        <v>57</v>
      </c>
      <c r="X650" s="21"/>
      <c r="Y650" s="19">
        <v>0</v>
      </c>
      <c r="Z650" s="19">
        <v>0</v>
      </c>
      <c r="AA650" s="19">
        <v>0</v>
      </c>
      <c r="AB650" s="44">
        <f>VLOOKUP(A650,'[4]PO CAG'!$A:$L,12,0)</f>
        <v>46274</v>
      </c>
      <c r="AC650" s="22">
        <f>IFERROR(VLOOKUP(F650,[3]Sheet1!$E:$H,4,0),)</f>
        <v>0</v>
      </c>
      <c r="AD650" s="144"/>
      <c r="AE650" s="20"/>
      <c r="AF650" s="135" t="s">
        <v>112</v>
      </c>
      <c r="AG650" s="135"/>
      <c r="AH650" s="135"/>
      <c r="AI650" s="135"/>
      <c r="AJ650" s="267" t="s">
        <v>153</v>
      </c>
    </row>
    <row r="651" spans="1:36">
      <c r="A651" s="135" t="s">
        <v>5404</v>
      </c>
      <c r="B651" s="135" t="s">
        <v>5775</v>
      </c>
      <c r="C651" s="135" t="s">
        <v>5405</v>
      </c>
      <c r="D651" s="46">
        <v>11119350</v>
      </c>
      <c r="E651" s="20" t="s">
        <v>1114</v>
      </c>
      <c r="F651" s="20" t="s">
        <v>1115</v>
      </c>
      <c r="G651" s="24">
        <v>3</v>
      </c>
      <c r="H651" s="21">
        <v>46263</v>
      </c>
      <c r="I651" s="53" t="s">
        <v>5406</v>
      </c>
      <c r="J651" s="24" t="s">
        <v>5407</v>
      </c>
      <c r="K651" s="24">
        <v>3</v>
      </c>
      <c r="L651" s="46">
        <v>12115985</v>
      </c>
      <c r="M651" s="20" t="s">
        <v>1143</v>
      </c>
      <c r="N651" s="38">
        <v>0</v>
      </c>
      <c r="O651" s="38">
        <v>0</v>
      </c>
      <c r="P651" s="20" t="s">
        <v>469</v>
      </c>
      <c r="Q651" s="20">
        <v>0</v>
      </c>
      <c r="R651" s="40">
        <v>46258</v>
      </c>
      <c r="S651" s="20">
        <v>0</v>
      </c>
      <c r="T651" s="20">
        <v>0</v>
      </c>
      <c r="U651" s="40">
        <v>46259</v>
      </c>
      <c r="V651" s="40">
        <v>46259</v>
      </c>
      <c r="W651" s="20" t="s">
        <v>57</v>
      </c>
      <c r="X651" s="21"/>
      <c r="Y651" s="19">
        <v>0</v>
      </c>
      <c r="Z651" s="19">
        <v>0</v>
      </c>
      <c r="AA651" s="19">
        <v>0</v>
      </c>
      <c r="AB651" s="44">
        <f>VLOOKUP(A651,'[4]PO CAG'!$A:$L,12,0)</f>
        <v>46269</v>
      </c>
      <c r="AC651" s="22">
        <f>IFERROR(VLOOKUP(F651,[3]Sheet1!$E:$H,4,0),)</f>
        <v>0</v>
      </c>
      <c r="AD651" s="144"/>
      <c r="AE651" s="20"/>
      <c r="AF651" s="135" t="s">
        <v>112</v>
      </c>
      <c r="AG651" s="135"/>
      <c r="AH651" s="135"/>
      <c r="AI651" s="135"/>
      <c r="AJ651" s="267" t="s">
        <v>153</v>
      </c>
    </row>
    <row r="652" spans="1:36">
      <c r="A652" s="135" t="s">
        <v>5408</v>
      </c>
      <c r="B652" s="135" t="s">
        <v>5776</v>
      </c>
      <c r="C652" s="135" t="s">
        <v>5409</v>
      </c>
      <c r="D652" s="46">
        <v>11119440</v>
      </c>
      <c r="E652" s="20" t="s">
        <v>5410</v>
      </c>
      <c r="F652" s="20" t="s">
        <v>5411</v>
      </c>
      <c r="G652" s="24">
        <v>3</v>
      </c>
      <c r="H652" s="21">
        <v>46263</v>
      </c>
      <c r="I652" s="53" t="s">
        <v>5412</v>
      </c>
      <c r="J652" s="24" t="s">
        <v>5413</v>
      </c>
      <c r="K652" s="24">
        <v>3</v>
      </c>
      <c r="L652" s="46">
        <v>12116075</v>
      </c>
      <c r="M652" s="20" t="s">
        <v>5620</v>
      </c>
      <c r="N652" s="38">
        <v>0</v>
      </c>
      <c r="O652" s="38">
        <v>0</v>
      </c>
      <c r="P652" s="20" t="s">
        <v>469</v>
      </c>
      <c r="Q652" s="20">
        <v>0</v>
      </c>
      <c r="R652" s="40">
        <v>46258</v>
      </c>
      <c r="S652" s="20">
        <v>0</v>
      </c>
      <c r="T652" s="20">
        <v>0</v>
      </c>
      <c r="U652" s="40">
        <v>46259</v>
      </c>
      <c r="V652" s="40">
        <v>46259</v>
      </c>
      <c r="W652" s="20" t="s">
        <v>57</v>
      </c>
      <c r="X652" s="21"/>
      <c r="Y652" s="19">
        <v>0</v>
      </c>
      <c r="Z652" s="19">
        <v>0</v>
      </c>
      <c r="AA652" s="19">
        <v>0</v>
      </c>
      <c r="AB652" s="44">
        <f>VLOOKUP(A652,'[4]PO CAG'!$A:$L,12,0)</f>
        <v>46269</v>
      </c>
      <c r="AC652" s="22">
        <f>IFERROR(VLOOKUP(F652,[3]Sheet1!$E:$H,4,0),)</f>
        <v>0</v>
      </c>
      <c r="AD652" s="144"/>
      <c r="AE652" s="20"/>
      <c r="AF652" s="135" t="s">
        <v>112</v>
      </c>
      <c r="AG652" s="135"/>
      <c r="AH652" s="135"/>
      <c r="AI652" s="135"/>
      <c r="AJ652" s="267" t="s">
        <v>153</v>
      </c>
    </row>
    <row r="653" spans="1:36">
      <c r="A653" s="135" t="s">
        <v>5414</v>
      </c>
      <c r="B653" s="135" t="s">
        <v>5777</v>
      </c>
      <c r="C653" s="135" t="s">
        <v>5415</v>
      </c>
      <c r="D653" s="46">
        <v>11119484</v>
      </c>
      <c r="E653" s="20" t="s">
        <v>5416</v>
      </c>
      <c r="F653" s="20" t="s">
        <v>5417</v>
      </c>
      <c r="G653" s="24">
        <v>3</v>
      </c>
      <c r="H653" s="21">
        <v>46263</v>
      </c>
      <c r="I653" s="53" t="s">
        <v>5418</v>
      </c>
      <c r="J653" s="24" t="s">
        <v>5419</v>
      </c>
      <c r="K653" s="24">
        <v>3</v>
      </c>
      <c r="L653" s="46">
        <v>12116119</v>
      </c>
      <c r="M653" s="20" t="s">
        <v>5621</v>
      </c>
      <c r="N653" s="38">
        <v>0</v>
      </c>
      <c r="O653" s="38">
        <v>0</v>
      </c>
      <c r="P653" s="20" t="s">
        <v>469</v>
      </c>
      <c r="Q653" s="20">
        <v>0</v>
      </c>
      <c r="R653" s="40">
        <v>46258</v>
      </c>
      <c r="S653" s="20">
        <v>0</v>
      </c>
      <c r="T653" s="20">
        <v>0</v>
      </c>
      <c r="U653" s="40">
        <v>46259</v>
      </c>
      <c r="V653" s="40">
        <v>46259</v>
      </c>
      <c r="W653" s="20" t="s">
        <v>57</v>
      </c>
      <c r="X653" s="21"/>
      <c r="Y653" s="19">
        <v>0</v>
      </c>
      <c r="Z653" s="19">
        <v>0</v>
      </c>
      <c r="AA653" s="19">
        <v>0</v>
      </c>
      <c r="AB653" s="44">
        <f>VLOOKUP(A653,'[4]PO CAG'!$A:$L,12,0)</f>
        <v>46269</v>
      </c>
      <c r="AC653" s="22">
        <f>IFERROR(VLOOKUP(F653,[3]Sheet1!$E:$H,4,0),)</f>
        <v>0</v>
      </c>
      <c r="AD653" s="144"/>
      <c r="AE653" s="20"/>
      <c r="AF653" s="135" t="s">
        <v>112</v>
      </c>
      <c r="AG653" s="135"/>
      <c r="AH653" s="135"/>
      <c r="AI653" s="135"/>
      <c r="AJ653" s="267" t="s">
        <v>153</v>
      </c>
    </row>
    <row r="654" spans="1:36">
      <c r="A654" s="135" t="s">
        <v>5420</v>
      </c>
      <c r="B654" s="135" t="s">
        <v>5778</v>
      </c>
      <c r="C654" s="135" t="s">
        <v>5421</v>
      </c>
      <c r="D654" s="46">
        <v>11119491</v>
      </c>
      <c r="E654" s="20" t="s">
        <v>5422</v>
      </c>
      <c r="F654" s="20" t="s">
        <v>5423</v>
      </c>
      <c r="G654" s="24">
        <v>3</v>
      </c>
      <c r="H654" s="21">
        <v>46263</v>
      </c>
      <c r="I654" s="53" t="s">
        <v>5424</v>
      </c>
      <c r="J654" s="24" t="s">
        <v>5425</v>
      </c>
      <c r="K654" s="24">
        <v>3</v>
      </c>
      <c r="L654" s="46">
        <v>12116126</v>
      </c>
      <c r="M654" s="20" t="s">
        <v>5622</v>
      </c>
      <c r="N654" s="38">
        <v>0</v>
      </c>
      <c r="O654" s="38">
        <v>0</v>
      </c>
      <c r="P654" s="20" t="s">
        <v>469</v>
      </c>
      <c r="Q654" s="20">
        <v>0</v>
      </c>
      <c r="R654" s="40">
        <v>46258</v>
      </c>
      <c r="S654" s="20">
        <v>0</v>
      </c>
      <c r="T654" s="20">
        <v>0</v>
      </c>
      <c r="U654" s="40">
        <v>46259</v>
      </c>
      <c r="V654" s="40">
        <v>46259</v>
      </c>
      <c r="W654" s="20" t="s">
        <v>57</v>
      </c>
      <c r="X654" s="21"/>
      <c r="Y654" s="19">
        <v>0</v>
      </c>
      <c r="Z654" s="19">
        <v>0</v>
      </c>
      <c r="AA654" s="19">
        <v>0</v>
      </c>
      <c r="AB654" s="44">
        <f>VLOOKUP(A654,'[4]PO CAG'!$A:$L,12,0)</f>
        <v>46269</v>
      </c>
      <c r="AC654" s="22">
        <f>IFERROR(VLOOKUP(F654,[3]Sheet1!$E:$H,4,0),)</f>
        <v>0</v>
      </c>
      <c r="AD654" s="144"/>
      <c r="AE654" s="20"/>
      <c r="AF654" s="135" t="s">
        <v>112</v>
      </c>
      <c r="AG654" s="135"/>
      <c r="AH654" s="135"/>
      <c r="AI654" s="135"/>
      <c r="AJ654" s="267" t="s">
        <v>153</v>
      </c>
    </row>
    <row r="655" spans="1:36">
      <c r="A655" s="135" t="s">
        <v>5426</v>
      </c>
      <c r="B655" s="135" t="s">
        <v>5779</v>
      </c>
      <c r="C655" s="135" t="s">
        <v>5427</v>
      </c>
      <c r="D655" s="46">
        <v>11119514</v>
      </c>
      <c r="E655" s="20" t="s">
        <v>2749</v>
      </c>
      <c r="F655" s="20" t="s">
        <v>2750</v>
      </c>
      <c r="G655" s="24">
        <v>4</v>
      </c>
      <c r="H655" s="21">
        <v>46263</v>
      </c>
      <c r="I655" s="53" t="s">
        <v>5428</v>
      </c>
      <c r="J655" s="24" t="s">
        <v>5429</v>
      </c>
      <c r="K655" s="24">
        <v>4</v>
      </c>
      <c r="L655" s="46">
        <v>12116149</v>
      </c>
      <c r="M655" s="20" t="s">
        <v>2864</v>
      </c>
      <c r="N655" s="38">
        <v>0</v>
      </c>
      <c r="O655" s="38">
        <v>0</v>
      </c>
      <c r="P655" s="20" t="s">
        <v>469</v>
      </c>
      <c r="Q655" s="20">
        <v>0</v>
      </c>
      <c r="R655" s="40">
        <v>46258</v>
      </c>
      <c r="S655" s="20">
        <v>0</v>
      </c>
      <c r="T655" s="20">
        <v>0</v>
      </c>
      <c r="U655" s="40">
        <v>46259</v>
      </c>
      <c r="V655" s="40">
        <v>46259</v>
      </c>
      <c r="W655" s="20" t="s">
        <v>57</v>
      </c>
      <c r="X655" s="21"/>
      <c r="Y655" s="19">
        <v>0</v>
      </c>
      <c r="Z655" s="19">
        <v>0</v>
      </c>
      <c r="AA655" s="19">
        <v>0</v>
      </c>
      <c r="AB655" s="44">
        <f>VLOOKUP(A655,'[4]PO CAG'!$A:$L,12,0)</f>
        <v>46269</v>
      </c>
      <c r="AC655" s="22">
        <f>IFERROR(VLOOKUP(F655,[3]Sheet1!$E:$H,4,0),)</f>
        <v>0</v>
      </c>
      <c r="AD655" s="144"/>
      <c r="AE655" s="20"/>
      <c r="AF655" s="135" t="s">
        <v>112</v>
      </c>
      <c r="AG655" s="135"/>
      <c r="AH655" s="135"/>
      <c r="AI655" s="135"/>
      <c r="AJ655" s="267" t="s">
        <v>153</v>
      </c>
    </row>
    <row r="656" spans="1:36">
      <c r="A656" s="135" t="s">
        <v>5430</v>
      </c>
      <c r="B656" s="135" t="s">
        <v>5780</v>
      </c>
      <c r="C656" s="135" t="s">
        <v>5431</v>
      </c>
      <c r="D656" s="46">
        <v>11119554</v>
      </c>
      <c r="E656" s="20" t="s">
        <v>851</v>
      </c>
      <c r="F656" s="20" t="s">
        <v>852</v>
      </c>
      <c r="G656" s="24">
        <v>4</v>
      </c>
      <c r="H656" s="21">
        <v>46263</v>
      </c>
      <c r="I656" s="53" t="s">
        <v>5432</v>
      </c>
      <c r="J656" s="24" t="s">
        <v>5433</v>
      </c>
      <c r="K656" s="24">
        <v>4</v>
      </c>
      <c r="L656" s="46">
        <v>12116189</v>
      </c>
      <c r="M656" s="20" t="s">
        <v>873</v>
      </c>
      <c r="N656" s="38">
        <v>0</v>
      </c>
      <c r="O656" s="38">
        <v>0</v>
      </c>
      <c r="P656" s="20" t="s">
        <v>469</v>
      </c>
      <c r="Q656" s="20">
        <v>0</v>
      </c>
      <c r="R656" s="40">
        <v>46258</v>
      </c>
      <c r="S656" s="20">
        <v>0</v>
      </c>
      <c r="T656" s="20">
        <v>0</v>
      </c>
      <c r="U656" s="40">
        <v>46259</v>
      </c>
      <c r="V656" s="40">
        <v>46259</v>
      </c>
      <c r="W656" s="20" t="s">
        <v>57</v>
      </c>
      <c r="X656" s="21"/>
      <c r="Y656" s="19">
        <v>0</v>
      </c>
      <c r="Z656" s="19">
        <v>0</v>
      </c>
      <c r="AA656" s="19">
        <v>0</v>
      </c>
      <c r="AB656" s="44">
        <f>VLOOKUP(A656,'[4]PO CAG'!$A:$L,12,0)</f>
        <v>46269</v>
      </c>
      <c r="AC656" s="22">
        <f>IFERROR(VLOOKUP(F656,[3]Sheet1!$E:$H,4,0),)</f>
        <v>0</v>
      </c>
      <c r="AD656" s="144"/>
      <c r="AE656" s="20"/>
      <c r="AF656" s="135" t="s">
        <v>112</v>
      </c>
      <c r="AG656" s="135"/>
      <c r="AH656" s="135"/>
      <c r="AI656" s="135"/>
      <c r="AJ656" s="267" t="s">
        <v>153</v>
      </c>
    </row>
    <row r="657" spans="1:36">
      <c r="A657" s="135" t="s">
        <v>5434</v>
      </c>
      <c r="B657" s="135" t="s">
        <v>5781</v>
      </c>
      <c r="C657" s="135" t="s">
        <v>5435</v>
      </c>
      <c r="D657" s="46">
        <v>11119421</v>
      </c>
      <c r="E657" s="20" t="s">
        <v>1120</v>
      </c>
      <c r="F657" s="20" t="s">
        <v>1121</v>
      </c>
      <c r="G657" s="24">
        <v>5</v>
      </c>
      <c r="H657" s="21">
        <v>46263</v>
      </c>
      <c r="I657" s="53" t="s">
        <v>5436</v>
      </c>
      <c r="J657" s="24" t="s">
        <v>5437</v>
      </c>
      <c r="K657" s="24">
        <v>5</v>
      </c>
      <c r="L657" s="46">
        <v>12116056</v>
      </c>
      <c r="M657" s="20" t="s">
        <v>1147</v>
      </c>
      <c r="N657" s="38">
        <v>0</v>
      </c>
      <c r="O657" s="38">
        <v>0</v>
      </c>
      <c r="P657" s="20" t="s">
        <v>469</v>
      </c>
      <c r="Q657" s="20">
        <v>0</v>
      </c>
      <c r="R657" s="40">
        <v>46258</v>
      </c>
      <c r="S657" s="20">
        <v>0</v>
      </c>
      <c r="T657" s="20">
        <v>0</v>
      </c>
      <c r="U657" s="40">
        <v>46259</v>
      </c>
      <c r="V657" s="40">
        <v>46259</v>
      </c>
      <c r="W657" s="20" t="s">
        <v>57</v>
      </c>
      <c r="X657" s="21"/>
      <c r="Y657" s="19">
        <v>0</v>
      </c>
      <c r="Z657" s="19">
        <v>0</v>
      </c>
      <c r="AA657" s="19">
        <v>0</v>
      </c>
      <c r="AB657" s="44">
        <f>VLOOKUP(A657,'[4]PO CAG'!$A:$L,12,0)</f>
        <v>46269</v>
      </c>
      <c r="AC657" s="22">
        <f>IFERROR(VLOOKUP(F657,[3]Sheet1!$E:$H,4,0),)</f>
        <v>0</v>
      </c>
      <c r="AD657" s="144"/>
      <c r="AE657" s="20"/>
      <c r="AF657" s="135" t="s">
        <v>112</v>
      </c>
      <c r="AG657" s="135"/>
      <c r="AH657" s="135"/>
      <c r="AI657" s="135"/>
      <c r="AJ657" s="267" t="s">
        <v>153</v>
      </c>
    </row>
    <row r="658" spans="1:36">
      <c r="A658" s="135" t="s">
        <v>5438</v>
      </c>
      <c r="B658" s="135" t="s">
        <v>5782</v>
      </c>
      <c r="C658" s="135" t="s">
        <v>5439</v>
      </c>
      <c r="D658" s="46">
        <v>11119492</v>
      </c>
      <c r="E658" s="20" t="s">
        <v>5073</v>
      </c>
      <c r="F658" s="20" t="s">
        <v>5074</v>
      </c>
      <c r="G658" s="24">
        <v>5</v>
      </c>
      <c r="H658" s="21">
        <v>46263</v>
      </c>
      <c r="I658" s="53" t="s">
        <v>5440</v>
      </c>
      <c r="J658" s="24" t="s">
        <v>5441</v>
      </c>
      <c r="K658" s="24">
        <v>5</v>
      </c>
      <c r="L658" s="46">
        <v>12116127</v>
      </c>
      <c r="M658" s="20" t="s">
        <v>5097</v>
      </c>
      <c r="N658" s="38">
        <v>0</v>
      </c>
      <c r="O658" s="38">
        <v>0</v>
      </c>
      <c r="P658" s="20" t="s">
        <v>469</v>
      </c>
      <c r="Q658" s="20">
        <v>0</v>
      </c>
      <c r="R658" s="40">
        <v>46258</v>
      </c>
      <c r="S658" s="20">
        <v>0</v>
      </c>
      <c r="T658" s="20">
        <v>0</v>
      </c>
      <c r="U658" s="40">
        <v>46259</v>
      </c>
      <c r="V658" s="40">
        <v>46259</v>
      </c>
      <c r="W658" s="20" t="s">
        <v>57</v>
      </c>
      <c r="X658" s="21"/>
      <c r="Y658" s="19">
        <v>0</v>
      </c>
      <c r="Z658" s="19">
        <v>0</v>
      </c>
      <c r="AA658" s="19">
        <v>0</v>
      </c>
      <c r="AB658" s="44">
        <f>VLOOKUP(A658,'[4]PO CAG'!$A:$L,12,0)</f>
        <v>46269</v>
      </c>
      <c r="AC658" s="22">
        <f>IFERROR(VLOOKUP(F658,[3]Sheet1!$E:$H,4,0),)</f>
        <v>0</v>
      </c>
      <c r="AD658" s="144"/>
      <c r="AE658" s="20"/>
      <c r="AF658" s="135" t="s">
        <v>112</v>
      </c>
      <c r="AG658" s="135"/>
      <c r="AH658" s="135"/>
      <c r="AI658" s="135"/>
      <c r="AJ658" s="267" t="s">
        <v>153</v>
      </c>
    </row>
    <row r="659" spans="1:36">
      <c r="A659" s="135" t="s">
        <v>5442</v>
      </c>
      <c r="B659" s="135" t="s">
        <v>5783</v>
      </c>
      <c r="C659" s="135" t="s">
        <v>5443</v>
      </c>
      <c r="D659" s="46">
        <v>11119552</v>
      </c>
      <c r="E659" s="20" t="s">
        <v>5444</v>
      </c>
      <c r="F659" s="20" t="s">
        <v>5445</v>
      </c>
      <c r="G659" s="24">
        <v>6</v>
      </c>
      <c r="H659" s="21">
        <v>46263</v>
      </c>
      <c r="I659" s="53" t="s">
        <v>5446</v>
      </c>
      <c r="J659" s="24" t="s">
        <v>5447</v>
      </c>
      <c r="K659" s="24">
        <v>6</v>
      </c>
      <c r="L659" s="46">
        <v>12116187</v>
      </c>
      <c r="M659" s="20" t="s">
        <v>5623</v>
      </c>
      <c r="N659" s="38">
        <v>0</v>
      </c>
      <c r="O659" s="38">
        <v>0</v>
      </c>
      <c r="P659" s="20" t="s">
        <v>469</v>
      </c>
      <c r="Q659" s="20">
        <v>0</v>
      </c>
      <c r="R659" s="40">
        <v>46258</v>
      </c>
      <c r="S659" s="20">
        <v>0</v>
      </c>
      <c r="T659" s="20">
        <v>0</v>
      </c>
      <c r="U659" s="40">
        <v>46259</v>
      </c>
      <c r="V659" s="40">
        <v>46259</v>
      </c>
      <c r="W659" s="20" t="s">
        <v>57</v>
      </c>
      <c r="X659" s="21"/>
      <c r="Y659" s="19">
        <v>0</v>
      </c>
      <c r="Z659" s="19">
        <v>0</v>
      </c>
      <c r="AA659" s="19">
        <v>0</v>
      </c>
      <c r="AB659" s="44">
        <f>VLOOKUP(A659,'[4]PO CAG'!$A:$L,12,0)</f>
        <v>46269</v>
      </c>
      <c r="AC659" s="22">
        <f>IFERROR(VLOOKUP(F659,[3]Sheet1!$E:$H,4,0),)</f>
        <v>0</v>
      </c>
      <c r="AD659" s="144"/>
      <c r="AE659" s="20"/>
      <c r="AF659" s="135" t="s">
        <v>112</v>
      </c>
      <c r="AG659" s="135"/>
      <c r="AH659" s="135"/>
      <c r="AI659" s="135"/>
      <c r="AJ659" s="267" t="s">
        <v>153</v>
      </c>
    </row>
    <row r="660" spans="1:36">
      <c r="A660" s="135" t="s">
        <v>5448</v>
      </c>
      <c r="B660" s="135" t="s">
        <v>5784</v>
      </c>
      <c r="C660" s="135" t="s">
        <v>5449</v>
      </c>
      <c r="D660" s="46">
        <v>11119455</v>
      </c>
      <c r="E660" s="20" t="s">
        <v>5450</v>
      </c>
      <c r="F660" s="20" t="s">
        <v>5451</v>
      </c>
      <c r="G660" s="24">
        <v>7</v>
      </c>
      <c r="H660" s="21">
        <v>46263</v>
      </c>
      <c r="I660" s="53" t="s">
        <v>5452</v>
      </c>
      <c r="J660" s="24" t="s">
        <v>5453</v>
      </c>
      <c r="K660" s="24">
        <v>7</v>
      </c>
      <c r="L660" s="46">
        <v>12116090</v>
      </c>
      <c r="M660" s="20" t="s">
        <v>5624</v>
      </c>
      <c r="N660" s="38">
        <v>0</v>
      </c>
      <c r="O660" s="38">
        <v>0</v>
      </c>
      <c r="P660" s="20" t="s">
        <v>469</v>
      </c>
      <c r="Q660" s="20">
        <v>0</v>
      </c>
      <c r="R660" s="40">
        <v>46258</v>
      </c>
      <c r="S660" s="20">
        <v>0</v>
      </c>
      <c r="T660" s="20">
        <v>0</v>
      </c>
      <c r="U660" s="40">
        <v>46259</v>
      </c>
      <c r="V660" s="40">
        <v>46259</v>
      </c>
      <c r="W660" s="20" t="s">
        <v>57</v>
      </c>
      <c r="X660" s="21"/>
      <c r="Y660" s="19">
        <v>0</v>
      </c>
      <c r="Z660" s="19">
        <v>0</v>
      </c>
      <c r="AA660" s="19">
        <v>0</v>
      </c>
      <c r="AB660" s="44">
        <f>VLOOKUP(A660,'[4]PO CAG'!$A:$L,12,0)</f>
        <v>46269</v>
      </c>
      <c r="AC660" s="22">
        <f>IFERROR(VLOOKUP(F660,[3]Sheet1!$E:$H,4,0),)</f>
        <v>0</v>
      </c>
      <c r="AD660" s="144"/>
      <c r="AE660" s="20"/>
      <c r="AF660" s="135" t="s">
        <v>112</v>
      </c>
      <c r="AG660" s="135"/>
      <c r="AH660" s="135"/>
      <c r="AI660" s="135"/>
      <c r="AJ660" s="267" t="s">
        <v>153</v>
      </c>
    </row>
    <row r="661" spans="1:36">
      <c r="A661" s="135" t="s">
        <v>5454</v>
      </c>
      <c r="B661" s="135" t="s">
        <v>5785</v>
      </c>
      <c r="C661" s="135" t="s">
        <v>5455</v>
      </c>
      <c r="D661" s="46">
        <v>11119510</v>
      </c>
      <c r="E661" s="20" t="s">
        <v>5456</v>
      </c>
      <c r="F661" s="20" t="s">
        <v>5457</v>
      </c>
      <c r="G661" s="24">
        <v>7</v>
      </c>
      <c r="H661" s="21">
        <v>46263</v>
      </c>
      <c r="I661" s="53" t="s">
        <v>5458</v>
      </c>
      <c r="J661" s="24" t="s">
        <v>5459</v>
      </c>
      <c r="K661" s="24">
        <v>7</v>
      </c>
      <c r="L661" s="46">
        <v>12116145</v>
      </c>
      <c r="M661" s="20" t="s">
        <v>5625</v>
      </c>
      <c r="N661" s="38">
        <v>0</v>
      </c>
      <c r="O661" s="38">
        <v>0</v>
      </c>
      <c r="P661" s="20" t="s">
        <v>469</v>
      </c>
      <c r="Q661" s="20">
        <v>0</v>
      </c>
      <c r="R661" s="40">
        <v>46258</v>
      </c>
      <c r="S661" s="20">
        <v>0</v>
      </c>
      <c r="T661" s="20">
        <v>0</v>
      </c>
      <c r="U661" s="40">
        <v>46259</v>
      </c>
      <c r="V661" s="40">
        <v>46259</v>
      </c>
      <c r="W661" s="20" t="s">
        <v>57</v>
      </c>
      <c r="X661" s="21"/>
      <c r="Y661" s="19">
        <v>0</v>
      </c>
      <c r="Z661" s="19">
        <v>0</v>
      </c>
      <c r="AA661" s="19">
        <v>0</v>
      </c>
      <c r="AB661" s="44">
        <f>VLOOKUP(A661,'[4]PO CAG'!$A:$L,12,0)</f>
        <v>46269</v>
      </c>
      <c r="AC661" s="22">
        <f>IFERROR(VLOOKUP(F661,[3]Sheet1!$E:$H,4,0),)</f>
        <v>0</v>
      </c>
      <c r="AD661" s="144"/>
      <c r="AE661" s="20"/>
      <c r="AF661" s="135" t="s">
        <v>112</v>
      </c>
      <c r="AG661" s="135"/>
      <c r="AH661" s="135"/>
      <c r="AI661" s="135"/>
      <c r="AJ661" s="267" t="s">
        <v>153</v>
      </c>
    </row>
    <row r="662" spans="1:36">
      <c r="A662" s="135" t="s">
        <v>5460</v>
      </c>
      <c r="B662" s="135" t="s">
        <v>5786</v>
      </c>
      <c r="C662" s="135" t="s">
        <v>5461</v>
      </c>
      <c r="D662" s="46">
        <v>11119352</v>
      </c>
      <c r="E662" s="20" t="s">
        <v>5462</v>
      </c>
      <c r="F662" s="20" t="s">
        <v>5463</v>
      </c>
      <c r="G662" s="24">
        <v>8</v>
      </c>
      <c r="H662" s="21">
        <v>46263</v>
      </c>
      <c r="I662" s="53" t="s">
        <v>5464</v>
      </c>
      <c r="J662" s="24" t="s">
        <v>5465</v>
      </c>
      <c r="K662" s="24">
        <v>8</v>
      </c>
      <c r="L662" s="46">
        <v>12115987</v>
      </c>
      <c r="M662" s="20" t="s">
        <v>5626</v>
      </c>
      <c r="N662" s="38">
        <v>0</v>
      </c>
      <c r="O662" s="38">
        <v>0</v>
      </c>
      <c r="P662" s="20" t="s">
        <v>469</v>
      </c>
      <c r="Q662" s="20">
        <v>0</v>
      </c>
      <c r="R662" s="40">
        <v>46258</v>
      </c>
      <c r="S662" s="20">
        <v>0</v>
      </c>
      <c r="T662" s="20">
        <v>0</v>
      </c>
      <c r="U662" s="40">
        <v>46259</v>
      </c>
      <c r="V662" s="40">
        <v>46259</v>
      </c>
      <c r="W662" s="20" t="s">
        <v>57</v>
      </c>
      <c r="X662" s="21"/>
      <c r="Y662" s="19">
        <v>0</v>
      </c>
      <c r="Z662" s="19">
        <v>0</v>
      </c>
      <c r="AA662" s="19">
        <v>0</v>
      </c>
      <c r="AB662" s="44">
        <f>VLOOKUP(A662,'[4]PO CAG'!$A:$L,12,0)</f>
        <v>46269</v>
      </c>
      <c r="AC662" s="22">
        <f>IFERROR(VLOOKUP(F662,[3]Sheet1!$E:$H,4,0),)</f>
        <v>0</v>
      </c>
      <c r="AD662" s="144"/>
      <c r="AE662" s="20"/>
      <c r="AF662" s="135" t="s">
        <v>112</v>
      </c>
      <c r="AG662" s="135"/>
      <c r="AH662" s="135"/>
      <c r="AI662" s="135"/>
      <c r="AJ662" s="267" t="s">
        <v>153</v>
      </c>
    </row>
    <row r="663" spans="1:36">
      <c r="A663" s="135" t="s">
        <v>5466</v>
      </c>
      <c r="B663" s="135" t="s">
        <v>5787</v>
      </c>
      <c r="C663" s="135" t="s">
        <v>5467</v>
      </c>
      <c r="D663" s="46">
        <v>11119538</v>
      </c>
      <c r="E663" s="20" t="s">
        <v>5468</v>
      </c>
      <c r="F663" s="20" t="s">
        <v>5469</v>
      </c>
      <c r="G663" s="24">
        <v>8</v>
      </c>
      <c r="H663" s="21">
        <v>46263</v>
      </c>
      <c r="I663" s="53" t="s">
        <v>5470</v>
      </c>
      <c r="J663" s="24" t="s">
        <v>5471</v>
      </c>
      <c r="K663" s="24">
        <v>8</v>
      </c>
      <c r="L663" s="46">
        <v>12116173</v>
      </c>
      <c r="M663" s="20" t="s">
        <v>5627</v>
      </c>
      <c r="N663" s="38">
        <v>0</v>
      </c>
      <c r="O663" s="38">
        <v>0</v>
      </c>
      <c r="P663" s="20" t="s">
        <v>469</v>
      </c>
      <c r="Q663" s="20">
        <v>0</v>
      </c>
      <c r="R663" s="40">
        <v>46258</v>
      </c>
      <c r="S663" s="20">
        <v>0</v>
      </c>
      <c r="T663" s="20">
        <v>0</v>
      </c>
      <c r="U663" s="40">
        <v>46259</v>
      </c>
      <c r="V663" s="40">
        <v>46259</v>
      </c>
      <c r="W663" s="20" t="s">
        <v>57</v>
      </c>
      <c r="X663" s="21"/>
      <c r="Y663" s="19">
        <v>0</v>
      </c>
      <c r="Z663" s="19">
        <v>0</v>
      </c>
      <c r="AA663" s="19">
        <v>0</v>
      </c>
      <c r="AB663" s="44">
        <f>VLOOKUP(A663,'[4]PO CAG'!$A:$L,12,0)</f>
        <v>46269</v>
      </c>
      <c r="AC663" s="22">
        <f>IFERROR(VLOOKUP(F663,[3]Sheet1!$E:$H,4,0),)</f>
        <v>0</v>
      </c>
      <c r="AD663" s="144"/>
      <c r="AE663" s="20"/>
      <c r="AF663" s="135" t="s">
        <v>112</v>
      </c>
      <c r="AG663" s="135"/>
      <c r="AH663" s="135"/>
      <c r="AI663" s="135"/>
      <c r="AJ663" s="267" t="s">
        <v>153</v>
      </c>
    </row>
    <row r="664" spans="1:36">
      <c r="A664" s="135" t="s">
        <v>5472</v>
      </c>
      <c r="B664" s="135" t="s">
        <v>5788</v>
      </c>
      <c r="C664" s="135" t="s">
        <v>5473</v>
      </c>
      <c r="D664" s="46">
        <v>11119542</v>
      </c>
      <c r="E664" s="20" t="s">
        <v>859</v>
      </c>
      <c r="F664" s="20" t="s">
        <v>860</v>
      </c>
      <c r="G664" s="24">
        <v>8</v>
      </c>
      <c r="H664" s="21">
        <v>46263</v>
      </c>
      <c r="I664" s="53" t="s">
        <v>5474</v>
      </c>
      <c r="J664" s="24" t="s">
        <v>5475</v>
      </c>
      <c r="K664" s="24">
        <v>8</v>
      </c>
      <c r="L664" s="46">
        <v>12116177</v>
      </c>
      <c r="M664" s="20" t="s">
        <v>876</v>
      </c>
      <c r="N664" s="38">
        <v>0</v>
      </c>
      <c r="O664" s="38">
        <v>0</v>
      </c>
      <c r="P664" s="20" t="s">
        <v>469</v>
      </c>
      <c r="Q664" s="20">
        <v>0</v>
      </c>
      <c r="R664" s="40">
        <v>46258</v>
      </c>
      <c r="S664" s="20">
        <v>0</v>
      </c>
      <c r="T664" s="20">
        <v>0</v>
      </c>
      <c r="U664" s="40">
        <v>46259</v>
      </c>
      <c r="V664" s="40">
        <v>46259</v>
      </c>
      <c r="W664" s="20" t="s">
        <v>57</v>
      </c>
      <c r="X664" s="21"/>
      <c r="Y664" s="19">
        <v>0</v>
      </c>
      <c r="Z664" s="19">
        <v>0</v>
      </c>
      <c r="AA664" s="19">
        <v>0</v>
      </c>
      <c r="AB664" s="44">
        <f>VLOOKUP(A664,'[4]PO CAG'!$A:$L,12,0)</f>
        <v>46269</v>
      </c>
      <c r="AC664" s="22">
        <f>IFERROR(VLOOKUP(F664,[3]Sheet1!$E:$H,4,0),)</f>
        <v>0</v>
      </c>
      <c r="AD664" s="144"/>
      <c r="AE664" s="20"/>
      <c r="AF664" s="135" t="s">
        <v>112</v>
      </c>
      <c r="AG664" s="135"/>
      <c r="AH664" s="135"/>
      <c r="AI664" s="135"/>
      <c r="AJ664" s="267" t="s">
        <v>153</v>
      </c>
    </row>
    <row r="665" spans="1:36">
      <c r="A665" s="135" t="s">
        <v>5476</v>
      </c>
      <c r="B665" s="135" t="s">
        <v>5789</v>
      </c>
      <c r="C665" s="135" t="s">
        <v>5477</v>
      </c>
      <c r="D665" s="46">
        <v>11119545</v>
      </c>
      <c r="E665" s="20" t="s">
        <v>996</v>
      </c>
      <c r="F665" s="20" t="s">
        <v>997</v>
      </c>
      <c r="G665" s="24">
        <v>8</v>
      </c>
      <c r="H665" s="21">
        <v>46263</v>
      </c>
      <c r="I665" s="53" t="s">
        <v>5478</v>
      </c>
      <c r="J665" s="24" t="s">
        <v>5479</v>
      </c>
      <c r="K665" s="24">
        <v>8</v>
      </c>
      <c r="L665" s="46">
        <v>12116180</v>
      </c>
      <c r="M665" s="20" t="s">
        <v>1023</v>
      </c>
      <c r="N665" s="38">
        <v>0</v>
      </c>
      <c r="O665" s="38">
        <v>0</v>
      </c>
      <c r="P665" s="20" t="s">
        <v>469</v>
      </c>
      <c r="Q665" s="20">
        <v>0</v>
      </c>
      <c r="R665" s="40">
        <v>46258</v>
      </c>
      <c r="S665" s="20">
        <v>0</v>
      </c>
      <c r="T665" s="20">
        <v>0</v>
      </c>
      <c r="U665" s="40">
        <v>46259</v>
      </c>
      <c r="V665" s="40">
        <v>46259</v>
      </c>
      <c r="W665" s="20" t="s">
        <v>57</v>
      </c>
      <c r="X665" s="21"/>
      <c r="Y665" s="19">
        <v>0</v>
      </c>
      <c r="Z665" s="19">
        <v>0</v>
      </c>
      <c r="AA665" s="19">
        <v>0</v>
      </c>
      <c r="AB665" s="44">
        <f>VLOOKUP(A665,'[4]PO CAG'!$A:$L,12,0)</f>
        <v>46269</v>
      </c>
      <c r="AC665" s="22">
        <f>IFERROR(VLOOKUP(F665,[3]Sheet1!$E:$H,4,0),)</f>
        <v>0</v>
      </c>
      <c r="AD665" s="144"/>
      <c r="AE665" s="20"/>
      <c r="AF665" s="135" t="s">
        <v>112</v>
      </c>
      <c r="AG665" s="135"/>
      <c r="AH665" s="135"/>
      <c r="AI665" s="135"/>
      <c r="AJ665" s="267" t="s">
        <v>153</v>
      </c>
    </row>
    <row r="666" spans="1:36">
      <c r="A666" s="135" t="s">
        <v>5480</v>
      </c>
      <c r="B666" s="135" t="s">
        <v>5790</v>
      </c>
      <c r="C666" s="135" t="s">
        <v>5481</v>
      </c>
      <c r="D666" s="46">
        <v>11119661</v>
      </c>
      <c r="E666" s="20" t="s">
        <v>5482</v>
      </c>
      <c r="F666" s="20" t="s">
        <v>5483</v>
      </c>
      <c r="G666" s="24">
        <v>8</v>
      </c>
      <c r="H666" s="21">
        <v>46263</v>
      </c>
      <c r="I666" s="53" t="s">
        <v>5484</v>
      </c>
      <c r="J666" s="24" t="s">
        <v>5485</v>
      </c>
      <c r="K666" s="24">
        <v>8</v>
      </c>
      <c r="L666" s="46">
        <v>12116296</v>
      </c>
      <c r="M666" s="20" t="s">
        <v>5628</v>
      </c>
      <c r="N666" s="38">
        <v>0</v>
      </c>
      <c r="O666" s="38">
        <v>0</v>
      </c>
      <c r="P666" s="20" t="s">
        <v>469</v>
      </c>
      <c r="Q666" s="20">
        <v>0</v>
      </c>
      <c r="R666" s="40">
        <v>46258</v>
      </c>
      <c r="S666" s="20">
        <v>0</v>
      </c>
      <c r="T666" s="20">
        <v>0</v>
      </c>
      <c r="U666" s="40">
        <v>46259</v>
      </c>
      <c r="V666" s="40">
        <v>46259</v>
      </c>
      <c r="W666" s="20" t="s">
        <v>57</v>
      </c>
      <c r="X666" s="21"/>
      <c r="Y666" s="19">
        <v>0</v>
      </c>
      <c r="Z666" s="19">
        <v>0</v>
      </c>
      <c r="AA666" s="19">
        <v>0</v>
      </c>
      <c r="AB666" s="44">
        <f>VLOOKUP(A666,'[4]PO CAG'!$A:$L,12,0)</f>
        <v>46269</v>
      </c>
      <c r="AC666" s="22">
        <f>IFERROR(VLOOKUP(F666,[3]Sheet1!$E:$H,4,0),)</f>
        <v>0</v>
      </c>
      <c r="AD666" s="144"/>
      <c r="AE666" s="20"/>
      <c r="AF666" s="135" t="s">
        <v>112</v>
      </c>
      <c r="AG666" s="135"/>
      <c r="AH666" s="135"/>
      <c r="AI666" s="135"/>
      <c r="AJ666" s="267" t="s">
        <v>153</v>
      </c>
    </row>
    <row r="667" spans="1:36">
      <c r="A667" s="135" t="s">
        <v>5486</v>
      </c>
      <c r="B667" s="135" t="s">
        <v>5791</v>
      </c>
      <c r="C667" s="135" t="s">
        <v>5487</v>
      </c>
      <c r="D667" s="46">
        <v>11119480</v>
      </c>
      <c r="E667" s="20" t="s">
        <v>861</v>
      </c>
      <c r="F667" s="20" t="s">
        <v>862</v>
      </c>
      <c r="G667" s="24">
        <v>9</v>
      </c>
      <c r="H667" s="21">
        <v>46263</v>
      </c>
      <c r="I667" s="53" t="s">
        <v>5488</v>
      </c>
      <c r="J667" s="24" t="s">
        <v>5489</v>
      </c>
      <c r="K667" s="24">
        <v>9</v>
      </c>
      <c r="L667" s="46">
        <v>12116115</v>
      </c>
      <c r="M667" s="20" t="s">
        <v>877</v>
      </c>
      <c r="N667" s="38">
        <v>0</v>
      </c>
      <c r="O667" s="38">
        <v>0</v>
      </c>
      <c r="P667" s="20" t="s">
        <v>469</v>
      </c>
      <c r="Q667" s="20">
        <v>0</v>
      </c>
      <c r="R667" s="40">
        <v>46258</v>
      </c>
      <c r="S667" s="20">
        <v>0</v>
      </c>
      <c r="T667" s="20">
        <v>0</v>
      </c>
      <c r="U667" s="40">
        <v>46259</v>
      </c>
      <c r="V667" s="40">
        <v>46259</v>
      </c>
      <c r="W667" s="20" t="s">
        <v>57</v>
      </c>
      <c r="X667" s="21"/>
      <c r="Y667" s="19">
        <v>0</v>
      </c>
      <c r="Z667" s="19">
        <v>0</v>
      </c>
      <c r="AA667" s="19">
        <v>0</v>
      </c>
      <c r="AB667" s="44">
        <f>VLOOKUP(A667,'[4]PO CAG'!$A:$L,12,0)</f>
        <v>46269</v>
      </c>
      <c r="AC667" s="22">
        <f>IFERROR(VLOOKUP(F667,[3]Sheet1!$E:$H,4,0),)</f>
        <v>0</v>
      </c>
      <c r="AD667" s="144"/>
      <c r="AE667" s="20"/>
      <c r="AF667" s="135" t="s">
        <v>112</v>
      </c>
      <c r="AG667" s="135"/>
      <c r="AH667" s="135"/>
      <c r="AI667" s="135"/>
      <c r="AJ667" s="267" t="s">
        <v>153</v>
      </c>
    </row>
    <row r="668" spans="1:36">
      <c r="A668" s="135" t="s">
        <v>5490</v>
      </c>
      <c r="B668" s="135" t="s">
        <v>5792</v>
      </c>
      <c r="C668" s="135" t="s">
        <v>5491</v>
      </c>
      <c r="D668" s="46">
        <v>11119441</v>
      </c>
      <c r="E668" s="20" t="s">
        <v>5492</v>
      </c>
      <c r="F668" s="20" t="s">
        <v>5493</v>
      </c>
      <c r="G668" s="24">
        <v>10</v>
      </c>
      <c r="H668" s="21">
        <v>46263</v>
      </c>
      <c r="I668" s="53" t="s">
        <v>5494</v>
      </c>
      <c r="J668" s="24" t="s">
        <v>5495</v>
      </c>
      <c r="K668" s="24">
        <v>10</v>
      </c>
      <c r="L668" s="46">
        <v>12116076</v>
      </c>
      <c r="M668" s="20" t="s">
        <v>5629</v>
      </c>
      <c r="N668" s="38">
        <v>0</v>
      </c>
      <c r="O668" s="38">
        <v>0</v>
      </c>
      <c r="P668" s="20" t="s">
        <v>469</v>
      </c>
      <c r="Q668" s="20">
        <v>0</v>
      </c>
      <c r="R668" s="40">
        <v>46258</v>
      </c>
      <c r="S668" s="20">
        <v>0</v>
      </c>
      <c r="T668" s="20">
        <v>0</v>
      </c>
      <c r="U668" s="40">
        <v>46259</v>
      </c>
      <c r="V668" s="40">
        <v>46259</v>
      </c>
      <c r="W668" s="20" t="s">
        <v>57</v>
      </c>
      <c r="X668" s="21"/>
      <c r="Y668" s="19">
        <v>0</v>
      </c>
      <c r="Z668" s="19">
        <v>0</v>
      </c>
      <c r="AA668" s="19">
        <v>0</v>
      </c>
      <c r="AB668" s="44">
        <f>VLOOKUP(A668,'[4]PO CAG'!$A:$L,12,0)</f>
        <v>46269</v>
      </c>
      <c r="AC668" s="22">
        <f>IFERROR(VLOOKUP(F668,[3]Sheet1!$E:$H,4,0),)</f>
        <v>0</v>
      </c>
      <c r="AD668" s="144"/>
      <c r="AE668" s="20"/>
      <c r="AF668" s="135" t="s">
        <v>112</v>
      </c>
      <c r="AG668" s="135"/>
      <c r="AH668" s="135"/>
      <c r="AI668" s="135"/>
      <c r="AJ668" s="267" t="s">
        <v>153</v>
      </c>
    </row>
    <row r="669" spans="1:36">
      <c r="A669" s="135" t="s">
        <v>5496</v>
      </c>
      <c r="B669" s="135" t="s">
        <v>5793</v>
      </c>
      <c r="C669" s="135" t="s">
        <v>5497</v>
      </c>
      <c r="D669" s="46">
        <v>11119450</v>
      </c>
      <c r="E669" s="20" t="s">
        <v>5060</v>
      </c>
      <c r="F669" s="20" t="s">
        <v>5061</v>
      </c>
      <c r="G669" s="24">
        <v>12</v>
      </c>
      <c r="H669" s="21">
        <v>46263</v>
      </c>
      <c r="I669" s="53" t="s">
        <v>5498</v>
      </c>
      <c r="J669" s="24" t="s">
        <v>5499</v>
      </c>
      <c r="K669" s="24">
        <v>12</v>
      </c>
      <c r="L669" s="46">
        <v>12116085</v>
      </c>
      <c r="M669" s="20" t="s">
        <v>5096</v>
      </c>
      <c r="N669" s="38">
        <v>0</v>
      </c>
      <c r="O669" s="38">
        <v>0</v>
      </c>
      <c r="P669" s="20" t="s">
        <v>469</v>
      </c>
      <c r="Q669" s="20">
        <v>0</v>
      </c>
      <c r="R669" s="40">
        <v>46258</v>
      </c>
      <c r="S669" s="20">
        <v>0</v>
      </c>
      <c r="T669" s="20">
        <v>0</v>
      </c>
      <c r="U669" s="40">
        <v>46259</v>
      </c>
      <c r="V669" s="40">
        <v>46259</v>
      </c>
      <c r="W669" s="20" t="s">
        <v>57</v>
      </c>
      <c r="X669" s="21"/>
      <c r="Y669" s="19">
        <v>0</v>
      </c>
      <c r="Z669" s="19">
        <v>0</v>
      </c>
      <c r="AA669" s="19">
        <v>0</v>
      </c>
      <c r="AB669" s="44">
        <f>VLOOKUP(A669,'[4]PO CAG'!$A:$L,12,0)</f>
        <v>46269</v>
      </c>
      <c r="AC669" s="22">
        <f>IFERROR(VLOOKUP(F669,[3]Sheet1!$E:$H,4,0),)</f>
        <v>0</v>
      </c>
      <c r="AD669" s="144"/>
      <c r="AE669" s="20"/>
      <c r="AF669" s="135" t="s">
        <v>112</v>
      </c>
      <c r="AG669" s="135"/>
      <c r="AH669" s="135"/>
      <c r="AI669" s="135"/>
      <c r="AJ669" s="267" t="s">
        <v>153</v>
      </c>
    </row>
    <row r="670" spans="1:36">
      <c r="A670" s="135" t="s">
        <v>5500</v>
      </c>
      <c r="B670" s="135" t="s">
        <v>5794</v>
      </c>
      <c r="C670" s="135" t="s">
        <v>5501</v>
      </c>
      <c r="D670" s="46">
        <v>11119549</v>
      </c>
      <c r="E670" s="20" t="s">
        <v>5502</v>
      </c>
      <c r="F670" s="20" t="s">
        <v>5503</v>
      </c>
      <c r="G670" s="24">
        <v>12</v>
      </c>
      <c r="H670" s="21">
        <v>46263</v>
      </c>
      <c r="I670" s="53" t="s">
        <v>5504</v>
      </c>
      <c r="J670" s="24" t="s">
        <v>5505</v>
      </c>
      <c r="K670" s="24">
        <v>12</v>
      </c>
      <c r="L670" s="46">
        <v>12116184</v>
      </c>
      <c r="M670" s="20" t="s">
        <v>5630</v>
      </c>
      <c r="N670" s="38">
        <v>0</v>
      </c>
      <c r="O670" s="38">
        <v>0</v>
      </c>
      <c r="P670" s="20" t="s">
        <v>469</v>
      </c>
      <c r="Q670" s="20">
        <v>0</v>
      </c>
      <c r="R670" s="40">
        <v>46258</v>
      </c>
      <c r="S670" s="20">
        <v>0</v>
      </c>
      <c r="T670" s="20">
        <v>0</v>
      </c>
      <c r="U670" s="40">
        <v>46259</v>
      </c>
      <c r="V670" s="40">
        <v>46259</v>
      </c>
      <c r="W670" s="20" t="s">
        <v>57</v>
      </c>
      <c r="X670" s="21"/>
      <c r="Y670" s="19">
        <v>0</v>
      </c>
      <c r="Z670" s="19">
        <v>0</v>
      </c>
      <c r="AA670" s="19">
        <v>0</v>
      </c>
      <c r="AB670" s="44">
        <f>VLOOKUP(A670,'[4]PO CAG'!$A:$L,12,0)</f>
        <v>46269</v>
      </c>
      <c r="AC670" s="22">
        <f>IFERROR(VLOOKUP(F670,[3]Sheet1!$E:$H,4,0),)</f>
        <v>0</v>
      </c>
      <c r="AD670" s="144"/>
      <c r="AE670" s="20"/>
      <c r="AF670" s="135" t="s">
        <v>112</v>
      </c>
      <c r="AG670" s="135"/>
      <c r="AH670" s="135"/>
      <c r="AI670" s="135"/>
      <c r="AJ670" s="267" t="s">
        <v>153</v>
      </c>
    </row>
    <row r="671" spans="1:36">
      <c r="A671" s="135" t="s">
        <v>5506</v>
      </c>
      <c r="B671" s="135" t="s">
        <v>5795</v>
      </c>
      <c r="C671" s="135" t="s">
        <v>5507</v>
      </c>
      <c r="D671" s="46">
        <v>11119419</v>
      </c>
      <c r="E671" s="20" t="s">
        <v>5508</v>
      </c>
      <c r="F671" s="20" t="s">
        <v>5509</v>
      </c>
      <c r="G671" s="24">
        <v>13</v>
      </c>
      <c r="H671" s="21">
        <v>46263</v>
      </c>
      <c r="I671" s="53" t="s">
        <v>5510</v>
      </c>
      <c r="J671" s="24" t="s">
        <v>5511</v>
      </c>
      <c r="K671" s="24">
        <v>13</v>
      </c>
      <c r="L671" s="46">
        <v>12116054</v>
      </c>
      <c r="M671" s="20" t="s">
        <v>5631</v>
      </c>
      <c r="N671" s="38">
        <v>0</v>
      </c>
      <c r="O671" s="38">
        <v>0</v>
      </c>
      <c r="P671" s="20" t="s">
        <v>469</v>
      </c>
      <c r="Q671" s="20">
        <v>0</v>
      </c>
      <c r="R671" s="40">
        <v>46258</v>
      </c>
      <c r="S671" s="20">
        <v>0</v>
      </c>
      <c r="T671" s="20">
        <v>0</v>
      </c>
      <c r="U671" s="40">
        <v>46259</v>
      </c>
      <c r="V671" s="40">
        <v>46259</v>
      </c>
      <c r="W671" s="20" t="s">
        <v>57</v>
      </c>
      <c r="X671" s="21"/>
      <c r="Y671" s="19">
        <v>0</v>
      </c>
      <c r="Z671" s="19">
        <v>0</v>
      </c>
      <c r="AA671" s="19">
        <v>0</v>
      </c>
      <c r="AB671" s="44">
        <f>VLOOKUP(A671,'[4]PO CAG'!$A:$L,12,0)</f>
        <v>46269</v>
      </c>
      <c r="AC671" s="22">
        <f>IFERROR(VLOOKUP(F671,[3]Sheet1!$E:$H,4,0),)</f>
        <v>0</v>
      </c>
      <c r="AD671" s="144"/>
      <c r="AE671" s="20"/>
      <c r="AF671" s="135" t="s">
        <v>112</v>
      </c>
      <c r="AG671" s="135"/>
      <c r="AH671" s="135"/>
      <c r="AI671" s="135"/>
      <c r="AJ671" s="267" t="s">
        <v>153</v>
      </c>
    </row>
    <row r="672" spans="1:36">
      <c r="A672" s="135" t="s">
        <v>5512</v>
      </c>
      <c r="B672" s="135" t="s">
        <v>5796</v>
      </c>
      <c r="C672" s="135" t="s">
        <v>5513</v>
      </c>
      <c r="D672" s="46">
        <v>11119437</v>
      </c>
      <c r="E672" s="20" t="s">
        <v>582</v>
      </c>
      <c r="F672" s="20" t="s">
        <v>583</v>
      </c>
      <c r="G672" s="24">
        <v>13</v>
      </c>
      <c r="H672" s="21">
        <v>46263</v>
      </c>
      <c r="I672" s="53" t="s">
        <v>5514</v>
      </c>
      <c r="J672" s="24" t="s">
        <v>5515</v>
      </c>
      <c r="K672" s="24">
        <v>13</v>
      </c>
      <c r="L672" s="46">
        <v>12116072</v>
      </c>
      <c r="M672" s="20" t="s">
        <v>375</v>
      </c>
      <c r="N672" s="38">
        <v>0</v>
      </c>
      <c r="O672" s="38">
        <v>0</v>
      </c>
      <c r="P672" s="20" t="s">
        <v>469</v>
      </c>
      <c r="Q672" s="20">
        <v>0</v>
      </c>
      <c r="R672" s="40">
        <v>46258</v>
      </c>
      <c r="S672" s="20">
        <v>0</v>
      </c>
      <c r="T672" s="20">
        <v>0</v>
      </c>
      <c r="U672" s="40">
        <v>46259</v>
      </c>
      <c r="V672" s="40">
        <v>46259</v>
      </c>
      <c r="W672" s="20" t="s">
        <v>57</v>
      </c>
      <c r="X672" s="21"/>
      <c r="Y672" s="19">
        <v>0</v>
      </c>
      <c r="Z672" s="19">
        <v>0</v>
      </c>
      <c r="AA672" s="19">
        <v>0</v>
      </c>
      <c r="AB672" s="44">
        <f>VLOOKUP(A672,'[4]PO CAG'!$A:$L,12,0)</f>
        <v>46269</v>
      </c>
      <c r="AC672" s="22">
        <f>IFERROR(VLOOKUP(F672,[3]Sheet1!$E:$H,4,0),)</f>
        <v>0</v>
      </c>
      <c r="AD672" s="144"/>
      <c r="AE672" s="20"/>
      <c r="AF672" s="135" t="s">
        <v>112</v>
      </c>
      <c r="AG672" s="135"/>
      <c r="AH672" s="135"/>
      <c r="AI672" s="135"/>
      <c r="AJ672" s="267" t="s">
        <v>153</v>
      </c>
    </row>
    <row r="673" spans="1:36">
      <c r="A673" s="135" t="s">
        <v>5516</v>
      </c>
      <c r="B673" s="135" t="s">
        <v>5797</v>
      </c>
      <c r="C673" s="135" t="s">
        <v>5517</v>
      </c>
      <c r="D673" s="46">
        <v>11119453</v>
      </c>
      <c r="E673" s="20" t="s">
        <v>974</v>
      </c>
      <c r="F673" s="20" t="s">
        <v>975</v>
      </c>
      <c r="G673" s="24">
        <v>14</v>
      </c>
      <c r="H673" s="21">
        <v>46263</v>
      </c>
      <c r="I673" s="53" t="s">
        <v>5518</v>
      </c>
      <c r="J673" s="24" t="s">
        <v>5519</v>
      </c>
      <c r="K673" s="24">
        <v>14</v>
      </c>
      <c r="L673" s="46">
        <v>12116088</v>
      </c>
      <c r="M673" s="20" t="s">
        <v>1013</v>
      </c>
      <c r="N673" s="38">
        <v>0</v>
      </c>
      <c r="O673" s="38">
        <v>0</v>
      </c>
      <c r="P673" s="20" t="s">
        <v>469</v>
      </c>
      <c r="Q673" s="20">
        <v>0</v>
      </c>
      <c r="R673" s="40">
        <v>46258</v>
      </c>
      <c r="S673" s="20">
        <v>0</v>
      </c>
      <c r="T673" s="20">
        <v>0</v>
      </c>
      <c r="U673" s="40">
        <v>46259</v>
      </c>
      <c r="V673" s="40">
        <v>46259</v>
      </c>
      <c r="W673" s="20" t="s">
        <v>57</v>
      </c>
      <c r="X673" s="21"/>
      <c r="Y673" s="19">
        <v>0</v>
      </c>
      <c r="Z673" s="19">
        <v>0</v>
      </c>
      <c r="AA673" s="19">
        <v>0</v>
      </c>
      <c r="AB673" s="44">
        <f>VLOOKUP(A673,'[4]PO CAG'!$A:$L,12,0)</f>
        <v>46269</v>
      </c>
      <c r="AC673" s="22">
        <f>IFERROR(VLOOKUP(F673,[3]Sheet1!$E:$H,4,0),)</f>
        <v>0</v>
      </c>
      <c r="AD673" s="144"/>
      <c r="AE673" s="20"/>
      <c r="AF673" s="135" t="s">
        <v>112</v>
      </c>
      <c r="AG673" s="135"/>
      <c r="AH673" s="135"/>
      <c r="AI673" s="135"/>
      <c r="AJ673" s="267" t="s">
        <v>153</v>
      </c>
    </row>
    <row r="674" spans="1:36">
      <c r="A674" s="135" t="s">
        <v>5520</v>
      </c>
      <c r="B674" s="135" t="s">
        <v>5798</v>
      </c>
      <c r="C674" s="135" t="s">
        <v>5521</v>
      </c>
      <c r="D674" s="46">
        <v>11119423</v>
      </c>
      <c r="E674" s="20" t="s">
        <v>5522</v>
      </c>
      <c r="F674" s="20" t="s">
        <v>5523</v>
      </c>
      <c r="G674" s="24">
        <v>15</v>
      </c>
      <c r="H674" s="21">
        <v>46263</v>
      </c>
      <c r="I674" s="53" t="s">
        <v>5524</v>
      </c>
      <c r="J674" s="24" t="s">
        <v>5525</v>
      </c>
      <c r="K674" s="24">
        <v>15</v>
      </c>
      <c r="L674" s="46">
        <v>12116058</v>
      </c>
      <c r="M674" s="20" t="s">
        <v>5632</v>
      </c>
      <c r="N674" s="38">
        <v>0</v>
      </c>
      <c r="O674" s="38">
        <v>0</v>
      </c>
      <c r="P674" s="20" t="s">
        <v>469</v>
      </c>
      <c r="Q674" s="20">
        <v>0</v>
      </c>
      <c r="R674" s="40">
        <v>46258</v>
      </c>
      <c r="S674" s="20">
        <v>0</v>
      </c>
      <c r="T674" s="20">
        <v>0</v>
      </c>
      <c r="U674" s="40">
        <v>46259</v>
      </c>
      <c r="V674" s="40">
        <v>46259</v>
      </c>
      <c r="W674" s="20" t="s">
        <v>57</v>
      </c>
      <c r="X674" s="21"/>
      <c r="Y674" s="19">
        <v>0</v>
      </c>
      <c r="Z674" s="19">
        <v>0</v>
      </c>
      <c r="AA674" s="19">
        <v>0</v>
      </c>
      <c r="AB674" s="44">
        <f>VLOOKUP(A674,'[4]PO CAG'!$A:$L,12,0)</f>
        <v>46269</v>
      </c>
      <c r="AC674" s="22">
        <f>IFERROR(VLOOKUP(F674,[3]Sheet1!$E:$H,4,0),)</f>
        <v>0</v>
      </c>
      <c r="AD674" s="144"/>
      <c r="AE674" s="20"/>
      <c r="AF674" s="135" t="s">
        <v>112</v>
      </c>
      <c r="AG674" s="135"/>
      <c r="AH674" s="135"/>
      <c r="AI674" s="135"/>
      <c r="AJ674" s="267" t="s">
        <v>153</v>
      </c>
    </row>
    <row r="675" spans="1:36">
      <c r="A675" s="135" t="s">
        <v>5526</v>
      </c>
      <c r="B675" s="135" t="s">
        <v>5799</v>
      </c>
      <c r="C675" s="135" t="s">
        <v>5527</v>
      </c>
      <c r="D675" s="46">
        <v>11119445</v>
      </c>
      <c r="E675" s="20" t="s">
        <v>857</v>
      </c>
      <c r="F675" s="20" t="s">
        <v>858</v>
      </c>
      <c r="G675" s="24">
        <v>21</v>
      </c>
      <c r="H675" s="21">
        <v>46263</v>
      </c>
      <c r="I675" s="53" t="s">
        <v>5528</v>
      </c>
      <c r="J675" s="24" t="s">
        <v>5529</v>
      </c>
      <c r="K675" s="24">
        <v>21</v>
      </c>
      <c r="L675" s="46">
        <v>12116080</v>
      </c>
      <c r="M675" s="20" t="s">
        <v>875</v>
      </c>
      <c r="N675" s="38">
        <v>0</v>
      </c>
      <c r="O675" s="38">
        <v>0</v>
      </c>
      <c r="P675" s="20" t="s">
        <v>469</v>
      </c>
      <c r="Q675" s="20">
        <v>0</v>
      </c>
      <c r="R675" s="40">
        <v>46258</v>
      </c>
      <c r="S675" s="20">
        <v>0</v>
      </c>
      <c r="T675" s="20">
        <v>0</v>
      </c>
      <c r="U675" s="40">
        <v>46259</v>
      </c>
      <c r="V675" s="40">
        <v>46259</v>
      </c>
      <c r="W675" s="20" t="s">
        <v>57</v>
      </c>
      <c r="X675" s="21"/>
      <c r="Y675" s="19">
        <v>0</v>
      </c>
      <c r="Z675" s="19">
        <v>0</v>
      </c>
      <c r="AA675" s="19">
        <v>0</v>
      </c>
      <c r="AB675" s="44">
        <f>VLOOKUP(A675,'[4]PO CAG'!$A:$L,12,0)</f>
        <v>46269</v>
      </c>
      <c r="AC675" s="22">
        <f>IFERROR(VLOOKUP(F675,[3]Sheet1!$E:$H,4,0),)</f>
        <v>0</v>
      </c>
      <c r="AD675" s="144"/>
      <c r="AE675" s="20"/>
      <c r="AF675" s="135" t="s">
        <v>112</v>
      </c>
      <c r="AG675" s="135"/>
      <c r="AH675" s="135"/>
      <c r="AI675" s="135"/>
      <c r="AJ675" s="267" t="s">
        <v>153</v>
      </c>
    </row>
    <row r="676" spans="1:36">
      <c r="A676" s="135" t="s">
        <v>5530</v>
      </c>
      <c r="B676" s="135" t="s">
        <v>5800</v>
      </c>
      <c r="C676" s="135" t="s">
        <v>5531</v>
      </c>
      <c r="D676" s="46">
        <v>11119505</v>
      </c>
      <c r="E676" s="20" t="s">
        <v>627</v>
      </c>
      <c r="F676" s="20" t="s">
        <v>628</v>
      </c>
      <c r="G676" s="24">
        <v>21</v>
      </c>
      <c r="H676" s="21">
        <v>46263</v>
      </c>
      <c r="I676" s="53" t="s">
        <v>5532</v>
      </c>
      <c r="J676" s="24" t="s">
        <v>5533</v>
      </c>
      <c r="K676" s="24">
        <v>21</v>
      </c>
      <c r="L676" s="46">
        <v>12116140</v>
      </c>
      <c r="M676" s="20" t="s">
        <v>633</v>
      </c>
      <c r="N676" s="38">
        <v>0</v>
      </c>
      <c r="O676" s="38">
        <v>0</v>
      </c>
      <c r="P676" s="20" t="s">
        <v>469</v>
      </c>
      <c r="Q676" s="20">
        <v>0</v>
      </c>
      <c r="R676" s="40">
        <v>46258</v>
      </c>
      <c r="S676" s="20">
        <v>0</v>
      </c>
      <c r="T676" s="20">
        <v>0</v>
      </c>
      <c r="U676" s="40">
        <v>46259</v>
      </c>
      <c r="V676" s="40">
        <v>46259</v>
      </c>
      <c r="W676" s="20" t="s">
        <v>57</v>
      </c>
      <c r="X676" s="21"/>
      <c r="Y676" s="19">
        <v>0</v>
      </c>
      <c r="Z676" s="19">
        <v>0</v>
      </c>
      <c r="AA676" s="19">
        <v>0</v>
      </c>
      <c r="AB676" s="44">
        <f>VLOOKUP(A676,'[4]PO CAG'!$A:$L,12,0)</f>
        <v>46269</v>
      </c>
      <c r="AC676" s="22">
        <f>IFERROR(VLOOKUP(F676,[3]Sheet1!$E:$H,4,0),)</f>
        <v>0</v>
      </c>
      <c r="AD676" s="144"/>
      <c r="AE676" s="20"/>
      <c r="AF676" s="135" t="s">
        <v>112</v>
      </c>
      <c r="AG676" s="135"/>
      <c r="AH676" s="135"/>
      <c r="AI676" s="135"/>
      <c r="AJ676" s="267" t="s">
        <v>153</v>
      </c>
    </row>
    <row r="677" spans="1:36">
      <c r="A677" s="135" t="s">
        <v>5534</v>
      </c>
      <c r="B677" s="135" t="s">
        <v>5801</v>
      </c>
      <c r="C677" s="135" t="s">
        <v>5535</v>
      </c>
      <c r="D677" s="46">
        <v>11119377</v>
      </c>
      <c r="E677" s="20" t="s">
        <v>4181</v>
      </c>
      <c r="F677" s="20" t="s">
        <v>4182</v>
      </c>
      <c r="G677" s="24">
        <v>22</v>
      </c>
      <c r="H677" s="21">
        <v>46263</v>
      </c>
      <c r="I677" s="53" t="s">
        <v>5536</v>
      </c>
      <c r="J677" s="24" t="s">
        <v>5537</v>
      </c>
      <c r="K677" s="24">
        <v>22</v>
      </c>
      <c r="L677" s="46">
        <v>12116012</v>
      </c>
      <c r="M677" s="20" t="s">
        <v>4222</v>
      </c>
      <c r="N677" s="38">
        <v>0</v>
      </c>
      <c r="O677" s="38">
        <v>0</v>
      </c>
      <c r="P677" s="20" t="s">
        <v>469</v>
      </c>
      <c r="Q677" s="20">
        <v>0</v>
      </c>
      <c r="R677" s="40">
        <v>46258</v>
      </c>
      <c r="S677" s="20">
        <v>0</v>
      </c>
      <c r="T677" s="20">
        <v>0</v>
      </c>
      <c r="U677" s="40">
        <v>46259</v>
      </c>
      <c r="V677" s="40">
        <v>46259</v>
      </c>
      <c r="W677" s="20" t="s">
        <v>57</v>
      </c>
      <c r="X677" s="21"/>
      <c r="Y677" s="19">
        <v>0</v>
      </c>
      <c r="Z677" s="19">
        <v>0</v>
      </c>
      <c r="AA677" s="19">
        <v>0</v>
      </c>
      <c r="AB677" s="44">
        <f>VLOOKUP(A677,'[4]PO CAG'!$A:$L,12,0)</f>
        <v>46274</v>
      </c>
      <c r="AC677" s="22">
        <f>IFERROR(VLOOKUP(F677,[3]Sheet1!$E:$H,4,0),)</f>
        <v>0</v>
      </c>
      <c r="AD677" s="144"/>
      <c r="AE677" s="20"/>
      <c r="AF677" s="135" t="s">
        <v>112</v>
      </c>
      <c r="AG677" s="135"/>
      <c r="AH677" s="135"/>
      <c r="AI677" s="135"/>
      <c r="AJ677" s="267" t="s">
        <v>153</v>
      </c>
    </row>
    <row r="678" spans="1:36">
      <c r="A678" s="135" t="s">
        <v>5538</v>
      </c>
      <c r="B678" s="135" t="s">
        <v>5802</v>
      </c>
      <c r="C678" s="135" t="s">
        <v>5539</v>
      </c>
      <c r="D678" s="46">
        <v>11119416</v>
      </c>
      <c r="E678" s="20" t="s">
        <v>3289</v>
      </c>
      <c r="F678" s="20" t="s">
        <v>3290</v>
      </c>
      <c r="G678" s="24">
        <v>29</v>
      </c>
      <c r="H678" s="21">
        <v>46263</v>
      </c>
      <c r="I678" s="53" t="s">
        <v>5540</v>
      </c>
      <c r="J678" s="24" t="s">
        <v>5541</v>
      </c>
      <c r="K678" s="24">
        <v>29</v>
      </c>
      <c r="L678" s="46">
        <v>12116051</v>
      </c>
      <c r="M678" s="20" t="s">
        <v>3328</v>
      </c>
      <c r="N678" s="38">
        <v>0</v>
      </c>
      <c r="O678" s="38">
        <v>0</v>
      </c>
      <c r="P678" s="20" t="s">
        <v>469</v>
      </c>
      <c r="Q678" s="20">
        <v>0</v>
      </c>
      <c r="R678" s="40">
        <v>46258</v>
      </c>
      <c r="S678" s="20">
        <v>0</v>
      </c>
      <c r="T678" s="20">
        <v>0</v>
      </c>
      <c r="U678" s="40">
        <v>46259</v>
      </c>
      <c r="V678" s="40">
        <v>46259</v>
      </c>
      <c r="W678" s="20" t="s">
        <v>57</v>
      </c>
      <c r="X678" s="21"/>
      <c r="Y678" s="19">
        <v>0</v>
      </c>
      <c r="Z678" s="19">
        <v>0</v>
      </c>
      <c r="AA678" s="19">
        <v>0</v>
      </c>
      <c r="AB678" s="44">
        <f>VLOOKUP(A678,'[4]PO CAG'!$A:$L,12,0)</f>
        <v>46274</v>
      </c>
      <c r="AC678" s="22">
        <f>IFERROR(VLOOKUP(F678,[3]Sheet1!$E:$H,4,0),)</f>
        <v>0</v>
      </c>
      <c r="AD678" s="144"/>
      <c r="AE678" s="20"/>
      <c r="AF678" s="135" t="s">
        <v>112</v>
      </c>
      <c r="AG678" s="135"/>
      <c r="AH678" s="135"/>
      <c r="AI678" s="135"/>
      <c r="AJ678" s="267" t="s">
        <v>153</v>
      </c>
    </row>
    <row r="679" spans="1:36">
      <c r="A679" s="135" t="s">
        <v>5542</v>
      </c>
      <c r="B679" s="135" t="s">
        <v>5803</v>
      </c>
      <c r="C679" s="135" t="s">
        <v>5543</v>
      </c>
      <c r="D679" s="46">
        <v>11119413</v>
      </c>
      <c r="E679" s="20" t="s">
        <v>4202</v>
      </c>
      <c r="F679" s="20" t="s">
        <v>4203</v>
      </c>
      <c r="G679" s="24">
        <v>31</v>
      </c>
      <c r="H679" s="21">
        <v>46263</v>
      </c>
      <c r="I679" s="53" t="s">
        <v>5544</v>
      </c>
      <c r="J679" s="24" t="s">
        <v>5545</v>
      </c>
      <c r="K679" s="24">
        <v>31</v>
      </c>
      <c r="L679" s="46">
        <v>12116048</v>
      </c>
      <c r="M679" s="20" t="s">
        <v>3665</v>
      </c>
      <c r="N679" s="38">
        <v>0</v>
      </c>
      <c r="O679" s="38">
        <v>0</v>
      </c>
      <c r="P679" s="20" t="s">
        <v>469</v>
      </c>
      <c r="Q679" s="20">
        <v>0</v>
      </c>
      <c r="R679" s="40">
        <v>46258</v>
      </c>
      <c r="S679" s="20">
        <v>0</v>
      </c>
      <c r="T679" s="20">
        <v>0</v>
      </c>
      <c r="U679" s="40">
        <v>46259</v>
      </c>
      <c r="V679" s="40">
        <v>46259</v>
      </c>
      <c r="W679" s="20" t="s">
        <v>57</v>
      </c>
      <c r="X679" s="21"/>
      <c r="Y679" s="19">
        <v>0</v>
      </c>
      <c r="Z679" s="19">
        <v>0</v>
      </c>
      <c r="AA679" s="19">
        <v>0</v>
      </c>
      <c r="AB679" s="44">
        <f>VLOOKUP(A679,'[4]PO CAG'!$A:$L,12,0)</f>
        <v>46274</v>
      </c>
      <c r="AC679" s="22">
        <f>IFERROR(VLOOKUP(F679,[3]Sheet1!$E:$H,4,0),)</f>
        <v>0</v>
      </c>
      <c r="AD679" s="144"/>
      <c r="AE679" s="20"/>
      <c r="AF679" s="135" t="s">
        <v>112</v>
      </c>
      <c r="AG679" s="135"/>
      <c r="AH679" s="135"/>
      <c r="AI679" s="135"/>
      <c r="AJ679" s="267" t="s">
        <v>153</v>
      </c>
    </row>
    <row r="680" spans="1:36">
      <c r="A680" s="135" t="s">
        <v>5546</v>
      </c>
      <c r="B680" s="135" t="s">
        <v>5804</v>
      </c>
      <c r="C680" s="135" t="s">
        <v>5547</v>
      </c>
      <c r="D680" s="46">
        <v>11119444</v>
      </c>
      <c r="E680" s="20" t="s">
        <v>4217</v>
      </c>
      <c r="F680" s="20" t="s">
        <v>4218</v>
      </c>
      <c r="G680" s="24">
        <v>33</v>
      </c>
      <c r="H680" s="21">
        <v>46263</v>
      </c>
      <c r="I680" s="53" t="s">
        <v>5548</v>
      </c>
      <c r="J680" s="24" t="s">
        <v>5549</v>
      </c>
      <c r="K680" s="24">
        <v>33</v>
      </c>
      <c r="L680" s="46">
        <v>12116079</v>
      </c>
      <c r="M680" s="20" t="s">
        <v>4224</v>
      </c>
      <c r="N680" s="38">
        <v>0</v>
      </c>
      <c r="O680" s="38">
        <v>0</v>
      </c>
      <c r="P680" s="20" t="s">
        <v>469</v>
      </c>
      <c r="Q680" s="20">
        <v>0</v>
      </c>
      <c r="R680" s="40">
        <v>46258</v>
      </c>
      <c r="S680" s="20">
        <v>0</v>
      </c>
      <c r="T680" s="20">
        <v>0</v>
      </c>
      <c r="U680" s="40">
        <v>46259</v>
      </c>
      <c r="V680" s="40">
        <v>46259</v>
      </c>
      <c r="W680" s="20" t="s">
        <v>57</v>
      </c>
      <c r="X680" s="21"/>
      <c r="Y680" s="19">
        <v>0</v>
      </c>
      <c r="Z680" s="19">
        <v>0</v>
      </c>
      <c r="AA680" s="19">
        <v>0</v>
      </c>
      <c r="AB680" s="44">
        <f>VLOOKUP(A680,'[4]PO CAG'!$A:$L,12,0)</f>
        <v>46274</v>
      </c>
      <c r="AC680" s="22">
        <f>IFERROR(VLOOKUP(F680,[3]Sheet1!$E:$H,4,0),)</f>
        <v>0</v>
      </c>
      <c r="AD680" s="144"/>
      <c r="AE680" s="20"/>
      <c r="AF680" s="135" t="s">
        <v>112</v>
      </c>
      <c r="AG680" s="135"/>
      <c r="AH680" s="135"/>
      <c r="AI680" s="135"/>
      <c r="AJ680" s="267" t="s">
        <v>153</v>
      </c>
    </row>
    <row r="681" spans="1:36">
      <c r="A681" s="135" t="s">
        <v>5550</v>
      </c>
      <c r="B681" s="135" t="s">
        <v>5805</v>
      </c>
      <c r="C681" s="135" t="s">
        <v>5551</v>
      </c>
      <c r="D681" s="46">
        <v>11119393</v>
      </c>
      <c r="E681" s="20" t="s">
        <v>3837</v>
      </c>
      <c r="F681" s="20" t="s">
        <v>3838</v>
      </c>
      <c r="G681" s="24">
        <v>37</v>
      </c>
      <c r="H681" s="21">
        <v>46263</v>
      </c>
      <c r="I681" s="53" t="s">
        <v>5552</v>
      </c>
      <c r="J681" s="24" t="s">
        <v>5553</v>
      </c>
      <c r="K681" s="24">
        <v>37</v>
      </c>
      <c r="L681" s="46">
        <v>12116028</v>
      </c>
      <c r="M681" s="20" t="s">
        <v>3920</v>
      </c>
      <c r="N681" s="38">
        <v>0</v>
      </c>
      <c r="O681" s="38">
        <v>0</v>
      </c>
      <c r="P681" s="20" t="s">
        <v>469</v>
      </c>
      <c r="Q681" s="20">
        <v>0</v>
      </c>
      <c r="R681" s="40">
        <v>46258</v>
      </c>
      <c r="S681" s="20">
        <v>0</v>
      </c>
      <c r="T681" s="20">
        <v>0</v>
      </c>
      <c r="U681" s="40">
        <v>46259</v>
      </c>
      <c r="V681" s="40">
        <v>46259</v>
      </c>
      <c r="W681" s="20" t="s">
        <v>57</v>
      </c>
      <c r="X681" s="21"/>
      <c r="Y681" s="19">
        <v>0</v>
      </c>
      <c r="Z681" s="19">
        <v>0</v>
      </c>
      <c r="AA681" s="19">
        <v>0</v>
      </c>
      <c r="AB681" s="44">
        <f>VLOOKUP(A681,'[4]PO CAG'!$A:$L,12,0)</f>
        <v>46274</v>
      </c>
      <c r="AC681" s="22">
        <f>IFERROR(VLOOKUP(F681,[3]Sheet1!$E:$H,4,0),)</f>
        <v>0</v>
      </c>
      <c r="AD681" s="144"/>
      <c r="AE681" s="20"/>
      <c r="AF681" s="135" t="s">
        <v>112</v>
      </c>
      <c r="AG681" s="135"/>
      <c r="AH681" s="135"/>
      <c r="AI681" s="135"/>
      <c r="AJ681" s="267" t="s">
        <v>153</v>
      </c>
    </row>
    <row r="682" spans="1:36">
      <c r="A682" s="135" t="s">
        <v>5554</v>
      </c>
      <c r="B682" s="135" t="s">
        <v>5806</v>
      </c>
      <c r="C682" s="135" t="s">
        <v>5555</v>
      </c>
      <c r="D682" s="46">
        <v>11119375</v>
      </c>
      <c r="E682" s="20" t="s">
        <v>3843</v>
      </c>
      <c r="F682" s="20" t="s">
        <v>3844</v>
      </c>
      <c r="G682" s="24">
        <v>42</v>
      </c>
      <c r="H682" s="21">
        <v>46263</v>
      </c>
      <c r="I682" s="53" t="s">
        <v>5556</v>
      </c>
      <c r="J682" s="24" t="s">
        <v>5557</v>
      </c>
      <c r="K682" s="24">
        <v>42</v>
      </c>
      <c r="L682" s="46">
        <v>12116010</v>
      </c>
      <c r="M682" s="20" t="s">
        <v>3669</v>
      </c>
      <c r="N682" s="38">
        <v>0</v>
      </c>
      <c r="O682" s="38">
        <v>0</v>
      </c>
      <c r="P682" s="20" t="s">
        <v>469</v>
      </c>
      <c r="Q682" s="20">
        <v>0</v>
      </c>
      <c r="R682" s="40">
        <v>46258</v>
      </c>
      <c r="S682" s="20">
        <v>0</v>
      </c>
      <c r="T682" s="20">
        <v>0</v>
      </c>
      <c r="U682" s="40">
        <v>46259</v>
      </c>
      <c r="V682" s="40">
        <v>46259</v>
      </c>
      <c r="W682" s="20" t="s">
        <v>57</v>
      </c>
      <c r="X682" s="21"/>
      <c r="Y682" s="19">
        <v>0</v>
      </c>
      <c r="Z682" s="19">
        <v>0</v>
      </c>
      <c r="AA682" s="19">
        <v>0</v>
      </c>
      <c r="AB682" s="44">
        <f>VLOOKUP(A682,'[4]PO CAG'!$A:$L,12,0)</f>
        <v>46274</v>
      </c>
      <c r="AC682" s="22">
        <f>IFERROR(VLOOKUP(F682,[3]Sheet1!$E:$H,4,0),)</f>
        <v>0</v>
      </c>
      <c r="AD682" s="144"/>
      <c r="AE682" s="20"/>
      <c r="AF682" s="135" t="s">
        <v>112</v>
      </c>
      <c r="AG682" s="135"/>
      <c r="AH682" s="135"/>
      <c r="AI682" s="135"/>
      <c r="AJ682" s="267" t="s">
        <v>153</v>
      </c>
    </row>
    <row r="683" spans="1:36">
      <c r="A683" s="135" t="s">
        <v>5558</v>
      </c>
      <c r="B683" s="135" t="s">
        <v>5807</v>
      </c>
      <c r="C683" s="135" t="s">
        <v>5559</v>
      </c>
      <c r="D683" s="46">
        <v>11119415</v>
      </c>
      <c r="E683" s="20" t="s">
        <v>3295</v>
      </c>
      <c r="F683" s="20" t="s">
        <v>3296</v>
      </c>
      <c r="G683" s="24">
        <v>54</v>
      </c>
      <c r="H683" s="21">
        <v>46263</v>
      </c>
      <c r="I683" s="53" t="s">
        <v>5560</v>
      </c>
      <c r="J683" s="24" t="s">
        <v>5561</v>
      </c>
      <c r="K683" s="24">
        <v>54</v>
      </c>
      <c r="L683" s="46">
        <v>12116050</v>
      </c>
      <c r="M683" s="20" t="s">
        <v>3329</v>
      </c>
      <c r="N683" s="38">
        <v>0</v>
      </c>
      <c r="O683" s="38">
        <v>0</v>
      </c>
      <c r="P683" s="20" t="s">
        <v>469</v>
      </c>
      <c r="Q683" s="20">
        <v>0</v>
      </c>
      <c r="R683" s="40">
        <v>46258</v>
      </c>
      <c r="S683" s="20">
        <v>0</v>
      </c>
      <c r="T683" s="20">
        <v>0</v>
      </c>
      <c r="U683" s="40">
        <v>46259</v>
      </c>
      <c r="V683" s="40">
        <v>46259</v>
      </c>
      <c r="W683" s="20" t="s">
        <v>57</v>
      </c>
      <c r="X683" s="21"/>
      <c r="Y683" s="19">
        <v>0</v>
      </c>
      <c r="Z683" s="19">
        <v>0</v>
      </c>
      <c r="AA683" s="19">
        <v>0</v>
      </c>
      <c r="AB683" s="44">
        <f>VLOOKUP(A683,'[4]PO CAG'!$A:$L,12,0)</f>
        <v>46274</v>
      </c>
      <c r="AC683" s="22">
        <f>IFERROR(VLOOKUP(F683,[3]Sheet1!$E:$H,4,0),)</f>
        <v>0</v>
      </c>
      <c r="AD683" s="144"/>
      <c r="AE683" s="20"/>
      <c r="AF683" s="135" t="s">
        <v>112</v>
      </c>
      <c r="AG683" s="135"/>
      <c r="AH683" s="135"/>
      <c r="AI683" s="135"/>
      <c r="AJ683" s="267" t="s">
        <v>153</v>
      </c>
    </row>
    <row r="684" spans="1:36">
      <c r="A684" s="135" t="s">
        <v>5562</v>
      </c>
      <c r="B684" s="135" t="s">
        <v>5808</v>
      </c>
      <c r="C684" s="135" t="s">
        <v>5563</v>
      </c>
      <c r="D684" s="46">
        <v>11119371</v>
      </c>
      <c r="E684" s="20" t="s">
        <v>3271</v>
      </c>
      <c r="F684" s="20" t="s">
        <v>3272</v>
      </c>
      <c r="G684" s="24">
        <v>87</v>
      </c>
      <c r="H684" s="21">
        <v>46263</v>
      </c>
      <c r="I684" s="53" t="s">
        <v>5564</v>
      </c>
      <c r="J684" s="24" t="s">
        <v>5565</v>
      </c>
      <c r="K684" s="24">
        <v>87</v>
      </c>
      <c r="L684" s="46">
        <v>12116006</v>
      </c>
      <c r="M684" s="20" t="s">
        <v>97</v>
      </c>
      <c r="N684" s="38">
        <v>0</v>
      </c>
      <c r="O684" s="38">
        <v>0</v>
      </c>
      <c r="P684" s="20" t="s">
        <v>469</v>
      </c>
      <c r="Q684" s="20">
        <v>0</v>
      </c>
      <c r="R684" s="40">
        <v>46258</v>
      </c>
      <c r="S684" s="20">
        <v>0</v>
      </c>
      <c r="T684" s="20">
        <v>0</v>
      </c>
      <c r="U684" s="40">
        <v>46259</v>
      </c>
      <c r="V684" s="40">
        <v>46259</v>
      </c>
      <c r="W684" s="20" t="s">
        <v>57</v>
      </c>
      <c r="X684" s="21"/>
      <c r="Y684" s="19">
        <v>0</v>
      </c>
      <c r="Z684" s="19">
        <v>0</v>
      </c>
      <c r="AA684" s="19">
        <v>0</v>
      </c>
      <c r="AB684" s="44">
        <f>VLOOKUP(A684,'[4]PO CAG'!$A:$L,12,0)</f>
        <v>46274</v>
      </c>
      <c r="AC684" s="22">
        <f>IFERROR(VLOOKUP(F684,[3]Sheet1!$E:$H,4,0),)</f>
        <v>0</v>
      </c>
      <c r="AD684" s="144"/>
      <c r="AE684" s="20"/>
      <c r="AF684" s="135" t="s">
        <v>112</v>
      </c>
      <c r="AG684" s="135"/>
      <c r="AH684" s="135"/>
      <c r="AI684" s="135"/>
      <c r="AJ684" s="267" t="s">
        <v>153</v>
      </c>
    </row>
    <row r="685" spans="1:36">
      <c r="A685" s="135" t="s">
        <v>5566</v>
      </c>
      <c r="B685" s="135" t="s">
        <v>5809</v>
      </c>
      <c r="C685" s="135" t="s">
        <v>5567</v>
      </c>
      <c r="D685" s="46">
        <v>11119541</v>
      </c>
      <c r="E685" s="20" t="s">
        <v>3316</v>
      </c>
      <c r="F685" s="20" t="s">
        <v>3317</v>
      </c>
      <c r="G685" s="24">
        <v>91</v>
      </c>
      <c r="H685" s="21">
        <v>46263</v>
      </c>
      <c r="I685" s="53" t="s">
        <v>5568</v>
      </c>
      <c r="J685" s="24" t="s">
        <v>5569</v>
      </c>
      <c r="K685" s="24">
        <v>91</v>
      </c>
      <c r="L685" s="46">
        <v>12116176</v>
      </c>
      <c r="M685" s="20" t="s">
        <v>3331</v>
      </c>
      <c r="N685" s="38">
        <v>0</v>
      </c>
      <c r="O685" s="38">
        <v>0</v>
      </c>
      <c r="P685" s="20" t="s">
        <v>469</v>
      </c>
      <c r="Q685" s="20">
        <v>0</v>
      </c>
      <c r="R685" s="40">
        <v>46258</v>
      </c>
      <c r="S685" s="20">
        <v>0</v>
      </c>
      <c r="T685" s="20">
        <v>0</v>
      </c>
      <c r="U685" s="40">
        <v>46259</v>
      </c>
      <c r="V685" s="40">
        <v>46259</v>
      </c>
      <c r="W685" s="20" t="s">
        <v>57</v>
      </c>
      <c r="X685" s="21"/>
      <c r="Y685" s="19">
        <v>0</v>
      </c>
      <c r="Z685" s="19">
        <v>0</v>
      </c>
      <c r="AA685" s="19">
        <v>0</v>
      </c>
      <c r="AB685" s="44">
        <f>VLOOKUP(A685,'[4]PO CAG'!$A:$L,12,0)</f>
        <v>46274</v>
      </c>
      <c r="AC685" s="22">
        <f>IFERROR(VLOOKUP(F685,[3]Sheet1!$E:$H,4,0),)</f>
        <v>0</v>
      </c>
      <c r="AD685" s="144"/>
      <c r="AE685" s="20"/>
      <c r="AF685" s="135" t="s">
        <v>112</v>
      </c>
      <c r="AG685" s="135"/>
      <c r="AH685" s="135"/>
      <c r="AI685" s="135"/>
      <c r="AJ685" s="267" t="s">
        <v>153</v>
      </c>
    </row>
    <row r="686" spans="1:36">
      <c r="A686" s="135" t="s">
        <v>5570</v>
      </c>
      <c r="B686" s="135" t="s">
        <v>5810</v>
      </c>
      <c r="C686" s="135" t="s">
        <v>5571</v>
      </c>
      <c r="D686" s="46">
        <v>11119446</v>
      </c>
      <c r="E686" s="20" t="s">
        <v>5572</v>
      </c>
      <c r="F686" s="20" t="s">
        <v>5573</v>
      </c>
      <c r="G686" s="24">
        <v>1</v>
      </c>
      <c r="H686" s="21">
        <v>46263</v>
      </c>
      <c r="I686" s="53" t="s">
        <v>5574</v>
      </c>
      <c r="J686" s="24" t="s">
        <v>5575</v>
      </c>
      <c r="K686" s="24">
        <v>1</v>
      </c>
      <c r="L686" s="46">
        <v>12116081</v>
      </c>
      <c r="M686" s="20" t="s">
        <v>5633</v>
      </c>
      <c r="N686" s="38">
        <v>0</v>
      </c>
      <c r="O686" s="38">
        <v>0</v>
      </c>
      <c r="P686" s="20" t="s">
        <v>469</v>
      </c>
      <c r="Q686" s="20">
        <v>0</v>
      </c>
      <c r="R686" s="40">
        <v>46258</v>
      </c>
      <c r="S686" s="20">
        <v>0</v>
      </c>
      <c r="T686" s="20">
        <v>0</v>
      </c>
      <c r="U686" s="40">
        <v>46259</v>
      </c>
      <c r="V686" s="40">
        <v>46259</v>
      </c>
      <c r="W686" s="20" t="s">
        <v>57</v>
      </c>
      <c r="X686" s="21"/>
      <c r="Y686" s="19">
        <v>0</v>
      </c>
      <c r="Z686" s="19">
        <v>0</v>
      </c>
      <c r="AA686" s="19">
        <v>0</v>
      </c>
      <c r="AB686" s="44">
        <f>VLOOKUP(A686,'[4]PO CAG'!$A:$L,12,0)</f>
        <v>46269</v>
      </c>
      <c r="AC686" s="22">
        <f>IFERROR(VLOOKUP(F686,[3]Sheet1!$E:$H,4,0),)</f>
        <v>0</v>
      </c>
      <c r="AD686" s="144"/>
      <c r="AE686" s="20"/>
      <c r="AF686" s="135" t="s">
        <v>112</v>
      </c>
      <c r="AG686" s="135"/>
      <c r="AH686" s="135"/>
      <c r="AI686" s="135"/>
      <c r="AJ686" s="267" t="s">
        <v>153</v>
      </c>
    </row>
    <row r="687" spans="1:36">
      <c r="A687" s="135" t="s">
        <v>5576</v>
      </c>
      <c r="B687" s="135" t="s">
        <v>5811</v>
      </c>
      <c r="C687" s="135" t="s">
        <v>5577</v>
      </c>
      <c r="D687" s="46">
        <v>11119544</v>
      </c>
      <c r="E687" s="20" t="s">
        <v>2304</v>
      </c>
      <c r="F687" s="20" t="s">
        <v>2305</v>
      </c>
      <c r="G687" s="24">
        <v>1</v>
      </c>
      <c r="H687" s="21">
        <v>46263</v>
      </c>
      <c r="I687" s="53" t="s">
        <v>5578</v>
      </c>
      <c r="J687" s="24" t="s">
        <v>5579</v>
      </c>
      <c r="K687" s="24">
        <v>1</v>
      </c>
      <c r="L687" s="46">
        <v>12116179</v>
      </c>
      <c r="M687" s="20" t="s">
        <v>2459</v>
      </c>
      <c r="N687" s="38">
        <v>0</v>
      </c>
      <c r="O687" s="38">
        <v>0</v>
      </c>
      <c r="P687" s="20" t="s">
        <v>469</v>
      </c>
      <c r="Q687" s="20">
        <v>0</v>
      </c>
      <c r="R687" s="40">
        <v>46258</v>
      </c>
      <c r="S687" s="20">
        <v>0</v>
      </c>
      <c r="T687" s="20">
        <v>0</v>
      </c>
      <c r="U687" s="40">
        <v>46259</v>
      </c>
      <c r="V687" s="40">
        <v>46259</v>
      </c>
      <c r="W687" s="20" t="s">
        <v>57</v>
      </c>
      <c r="X687" s="21"/>
      <c r="Y687" s="19">
        <v>0</v>
      </c>
      <c r="Z687" s="19">
        <v>0</v>
      </c>
      <c r="AA687" s="19">
        <v>0</v>
      </c>
      <c r="AB687" s="44">
        <f>VLOOKUP(A687,'[4]PO CAG'!$A:$L,12,0)</f>
        <v>46269</v>
      </c>
      <c r="AC687" s="22">
        <f>IFERROR(VLOOKUP(F687,[3]Sheet1!$E:$H,4,0),)</f>
        <v>0</v>
      </c>
      <c r="AD687" s="144"/>
      <c r="AE687" s="20"/>
      <c r="AF687" s="135" t="s">
        <v>112</v>
      </c>
      <c r="AG687" s="135"/>
      <c r="AH687" s="135"/>
      <c r="AI687" s="135"/>
      <c r="AJ687" s="267" t="s">
        <v>153</v>
      </c>
    </row>
    <row r="688" spans="1:36">
      <c r="A688" s="135" t="s">
        <v>5580</v>
      </c>
      <c r="B688" s="135" t="s">
        <v>5812</v>
      </c>
      <c r="C688" s="135" t="s">
        <v>5581</v>
      </c>
      <c r="D688" s="46">
        <v>11119660</v>
      </c>
      <c r="E688" s="20" t="s">
        <v>5582</v>
      </c>
      <c r="F688" s="20" t="s">
        <v>5583</v>
      </c>
      <c r="G688" s="24">
        <v>1</v>
      </c>
      <c r="H688" s="21">
        <v>46263</v>
      </c>
      <c r="I688" s="53" t="s">
        <v>5584</v>
      </c>
      <c r="J688" s="24" t="s">
        <v>5585</v>
      </c>
      <c r="K688" s="24">
        <v>1</v>
      </c>
      <c r="L688" s="46">
        <v>12116295</v>
      </c>
      <c r="M688" s="20" t="s">
        <v>5634</v>
      </c>
      <c r="N688" s="38">
        <v>0</v>
      </c>
      <c r="O688" s="38">
        <v>0</v>
      </c>
      <c r="P688" s="20" t="s">
        <v>469</v>
      </c>
      <c r="Q688" s="20">
        <v>0</v>
      </c>
      <c r="R688" s="40">
        <v>46258</v>
      </c>
      <c r="S688" s="20">
        <v>0</v>
      </c>
      <c r="T688" s="20">
        <v>0</v>
      </c>
      <c r="U688" s="40">
        <v>46259</v>
      </c>
      <c r="V688" s="40">
        <v>46259</v>
      </c>
      <c r="W688" s="20" t="s">
        <v>57</v>
      </c>
      <c r="X688" s="21"/>
      <c r="Y688" s="19">
        <v>0</v>
      </c>
      <c r="Z688" s="19">
        <v>0</v>
      </c>
      <c r="AA688" s="19">
        <v>0</v>
      </c>
      <c r="AB688" s="44">
        <f>VLOOKUP(A688,'[4]PO CAG'!$A:$L,12,0)</f>
        <v>46269</v>
      </c>
      <c r="AC688" s="22">
        <f>IFERROR(VLOOKUP(F688,[3]Sheet1!$E:$H,4,0),)</f>
        <v>0</v>
      </c>
      <c r="AD688" s="144"/>
      <c r="AE688" s="20"/>
      <c r="AF688" s="135" t="s">
        <v>112</v>
      </c>
      <c r="AG688" s="135"/>
      <c r="AH688" s="135"/>
      <c r="AI688" s="135"/>
      <c r="AJ688" s="267" t="s">
        <v>153</v>
      </c>
    </row>
    <row r="689" spans="1:36">
      <c r="A689" s="135" t="s">
        <v>5586</v>
      </c>
      <c r="B689" s="135" t="s">
        <v>5813</v>
      </c>
      <c r="C689" s="135" t="s">
        <v>5587</v>
      </c>
      <c r="D689" s="46">
        <v>11119573</v>
      </c>
      <c r="E689" s="20" t="s">
        <v>5588</v>
      </c>
      <c r="F689" s="20" t="s">
        <v>5589</v>
      </c>
      <c r="G689" s="24">
        <v>1</v>
      </c>
      <c r="H689" s="21">
        <v>46263</v>
      </c>
      <c r="I689" s="53" t="s">
        <v>5590</v>
      </c>
      <c r="J689" s="24" t="s">
        <v>5591</v>
      </c>
      <c r="K689" s="24">
        <v>1</v>
      </c>
      <c r="L689" s="46">
        <v>12116208</v>
      </c>
      <c r="M689" s="20" t="s">
        <v>5635</v>
      </c>
      <c r="N689" s="38">
        <v>0</v>
      </c>
      <c r="O689" s="38">
        <v>0</v>
      </c>
      <c r="P689" s="20" t="s">
        <v>469</v>
      </c>
      <c r="Q689" s="20">
        <v>0</v>
      </c>
      <c r="R689" s="40">
        <v>46258</v>
      </c>
      <c r="S689" s="20">
        <v>0</v>
      </c>
      <c r="T689" s="20">
        <v>0</v>
      </c>
      <c r="U689" s="40">
        <v>46259</v>
      </c>
      <c r="V689" s="40">
        <v>46259</v>
      </c>
      <c r="W689" s="20" t="s">
        <v>57</v>
      </c>
      <c r="X689" s="21"/>
      <c r="Y689" s="19">
        <v>0</v>
      </c>
      <c r="Z689" s="19">
        <v>0</v>
      </c>
      <c r="AA689" s="19">
        <v>0</v>
      </c>
      <c r="AB689" s="44">
        <f>VLOOKUP(A689,'[4]PO CAG'!$A:$L,12,0)</f>
        <v>46269</v>
      </c>
      <c r="AC689" s="22">
        <f>IFERROR(VLOOKUP(F689,[3]Sheet1!$E:$H,4,0),)</f>
        <v>0</v>
      </c>
      <c r="AD689" s="144"/>
      <c r="AE689" s="20"/>
      <c r="AF689" s="135" t="s">
        <v>112</v>
      </c>
      <c r="AG689" s="135"/>
      <c r="AH689" s="135"/>
      <c r="AI689" s="135"/>
      <c r="AJ689" s="267" t="s">
        <v>153</v>
      </c>
    </row>
    <row r="690" spans="1:36">
      <c r="A690" s="135" t="s">
        <v>5592</v>
      </c>
      <c r="B690" s="135" t="s">
        <v>5814</v>
      </c>
      <c r="C690" s="135" t="s">
        <v>5593</v>
      </c>
      <c r="D690" s="46">
        <v>11119601</v>
      </c>
      <c r="E690" s="20" t="s">
        <v>1478</v>
      </c>
      <c r="F690" s="20" t="s">
        <v>1479</v>
      </c>
      <c r="G690" s="24">
        <v>1</v>
      </c>
      <c r="H690" s="21">
        <v>46263</v>
      </c>
      <c r="I690" s="53" t="s">
        <v>5594</v>
      </c>
      <c r="J690" s="24" t="s">
        <v>5595</v>
      </c>
      <c r="K690" s="24">
        <v>1</v>
      </c>
      <c r="L690" s="46">
        <v>12116236</v>
      </c>
      <c r="M690" s="20" t="s">
        <v>1494</v>
      </c>
      <c r="N690" s="38">
        <v>0</v>
      </c>
      <c r="O690" s="38">
        <v>0</v>
      </c>
      <c r="P690" s="20" t="s">
        <v>469</v>
      </c>
      <c r="Q690" s="20">
        <v>0</v>
      </c>
      <c r="R690" s="40">
        <v>46258</v>
      </c>
      <c r="S690" s="20">
        <v>0</v>
      </c>
      <c r="T690" s="20">
        <v>0</v>
      </c>
      <c r="U690" s="40">
        <v>46259</v>
      </c>
      <c r="V690" s="40">
        <v>46259</v>
      </c>
      <c r="W690" s="20" t="s">
        <v>57</v>
      </c>
      <c r="X690" s="21"/>
      <c r="Y690" s="19">
        <v>0</v>
      </c>
      <c r="Z690" s="19">
        <v>0</v>
      </c>
      <c r="AA690" s="19">
        <v>0</v>
      </c>
      <c r="AB690" s="44">
        <f>VLOOKUP(A690,'[4]PO CAG'!$A:$L,12,0)</f>
        <v>46269</v>
      </c>
      <c r="AC690" s="22">
        <f>IFERROR(VLOOKUP(F690,[3]Sheet1!$E:$H,4,0),)</f>
        <v>0</v>
      </c>
      <c r="AD690" s="144"/>
      <c r="AE690" s="20"/>
      <c r="AF690" s="135" t="s">
        <v>112</v>
      </c>
      <c r="AG690" s="135"/>
      <c r="AH690" s="135"/>
      <c r="AI690" s="135"/>
      <c r="AJ690" s="267" t="s">
        <v>153</v>
      </c>
    </row>
    <row r="691" spans="1:36">
      <c r="A691" s="135" t="s">
        <v>5596</v>
      </c>
      <c r="B691" s="135" t="s">
        <v>5815</v>
      </c>
      <c r="C691" s="135" t="s">
        <v>5597</v>
      </c>
      <c r="D691" s="46">
        <v>11119602</v>
      </c>
      <c r="E691" s="20" t="s">
        <v>5598</v>
      </c>
      <c r="F691" s="20" t="s">
        <v>5599</v>
      </c>
      <c r="G691" s="24">
        <v>1</v>
      </c>
      <c r="H691" s="21">
        <v>46263</v>
      </c>
      <c r="I691" s="53" t="s">
        <v>5600</v>
      </c>
      <c r="J691" s="24" t="s">
        <v>5601</v>
      </c>
      <c r="K691" s="24">
        <v>1</v>
      </c>
      <c r="L691" s="46">
        <v>12116237</v>
      </c>
      <c r="M691" s="20" t="s">
        <v>5636</v>
      </c>
      <c r="N691" s="38">
        <v>0</v>
      </c>
      <c r="O691" s="38">
        <v>0</v>
      </c>
      <c r="P691" s="20" t="s">
        <v>469</v>
      </c>
      <c r="Q691" s="20">
        <v>0</v>
      </c>
      <c r="R691" s="40">
        <v>46258</v>
      </c>
      <c r="S691" s="20">
        <v>0</v>
      </c>
      <c r="T691" s="20">
        <v>0</v>
      </c>
      <c r="U691" s="40">
        <v>46259</v>
      </c>
      <c r="V691" s="40">
        <v>46259</v>
      </c>
      <c r="W691" s="20" t="s">
        <v>57</v>
      </c>
      <c r="X691" s="21"/>
      <c r="Y691" s="19">
        <v>0</v>
      </c>
      <c r="Z691" s="19">
        <v>0</v>
      </c>
      <c r="AA691" s="19">
        <v>0</v>
      </c>
      <c r="AB691" s="44">
        <f>VLOOKUP(A691,'[4]PO CAG'!$A:$L,12,0)</f>
        <v>46269</v>
      </c>
      <c r="AC691" s="22">
        <f>IFERROR(VLOOKUP(F691,[3]Sheet1!$E:$H,4,0),)</f>
        <v>0</v>
      </c>
      <c r="AD691" s="144"/>
      <c r="AE691" s="20"/>
      <c r="AF691" s="135" t="s">
        <v>112</v>
      </c>
      <c r="AG691" s="135"/>
      <c r="AH691" s="135"/>
      <c r="AI691" s="135"/>
      <c r="AJ691" s="267" t="s">
        <v>153</v>
      </c>
    </row>
    <row r="692" spans="1:36">
      <c r="A692" s="135" t="s">
        <v>5602</v>
      </c>
      <c r="B692" s="135" t="s">
        <v>5816</v>
      </c>
      <c r="C692" s="135" t="s">
        <v>5603</v>
      </c>
      <c r="D692" s="46">
        <v>11119628</v>
      </c>
      <c r="E692" s="20" t="s">
        <v>845</v>
      </c>
      <c r="F692" s="20" t="s">
        <v>846</v>
      </c>
      <c r="G692" s="24">
        <v>1</v>
      </c>
      <c r="H692" s="21">
        <v>46263</v>
      </c>
      <c r="I692" s="53" t="s">
        <v>5604</v>
      </c>
      <c r="J692" s="24" t="s">
        <v>5605</v>
      </c>
      <c r="K692" s="24">
        <v>1</v>
      </c>
      <c r="L692" s="46">
        <v>12116263</v>
      </c>
      <c r="M692" s="20" t="s">
        <v>870</v>
      </c>
      <c r="N692" s="38">
        <v>0</v>
      </c>
      <c r="O692" s="38">
        <v>0</v>
      </c>
      <c r="P692" s="20" t="s">
        <v>469</v>
      </c>
      <c r="Q692" s="20">
        <v>0</v>
      </c>
      <c r="R692" s="40">
        <v>46258</v>
      </c>
      <c r="S692" s="20">
        <v>0</v>
      </c>
      <c r="T692" s="20">
        <v>0</v>
      </c>
      <c r="U692" s="40">
        <v>46259</v>
      </c>
      <c r="V692" s="40">
        <v>46259</v>
      </c>
      <c r="W692" s="20" t="s">
        <v>57</v>
      </c>
      <c r="X692" s="21"/>
      <c r="Y692" s="19">
        <v>0</v>
      </c>
      <c r="Z692" s="19">
        <v>0</v>
      </c>
      <c r="AA692" s="19">
        <v>0</v>
      </c>
      <c r="AB692" s="44">
        <f>VLOOKUP(A692,'[4]PO CAG'!$A:$L,12,0)</f>
        <v>46269</v>
      </c>
      <c r="AC692" s="22">
        <f>IFERROR(VLOOKUP(F692,[3]Sheet1!$E:$H,4,0),)</f>
        <v>0</v>
      </c>
      <c r="AD692" s="144"/>
      <c r="AE692" s="20"/>
      <c r="AF692" s="135" t="s">
        <v>112</v>
      </c>
      <c r="AG692" s="135"/>
      <c r="AH692" s="135"/>
      <c r="AI692" s="135"/>
      <c r="AJ692" s="267" t="s">
        <v>153</v>
      </c>
    </row>
    <row r="693" spans="1:36">
      <c r="A693" s="135" t="s">
        <v>5606</v>
      </c>
      <c r="B693" s="135" t="s">
        <v>5817</v>
      </c>
      <c r="C693" s="135" t="s">
        <v>5607</v>
      </c>
      <c r="D693" s="46">
        <v>11119513</v>
      </c>
      <c r="E693" s="20" t="s">
        <v>2743</v>
      </c>
      <c r="F693" s="20" t="s">
        <v>2744</v>
      </c>
      <c r="G693" s="24">
        <v>2</v>
      </c>
      <c r="H693" s="21">
        <v>46263</v>
      </c>
      <c r="I693" s="53" t="s">
        <v>5608</v>
      </c>
      <c r="J693" s="24" t="s">
        <v>5609</v>
      </c>
      <c r="K693" s="24">
        <v>2</v>
      </c>
      <c r="L693" s="46">
        <v>12116148</v>
      </c>
      <c r="M693" s="20" t="s">
        <v>2863</v>
      </c>
      <c r="N693" s="38">
        <v>0</v>
      </c>
      <c r="O693" s="38">
        <v>0</v>
      </c>
      <c r="P693" s="20" t="s">
        <v>469</v>
      </c>
      <c r="Q693" s="20">
        <v>0</v>
      </c>
      <c r="R693" s="40">
        <v>46258</v>
      </c>
      <c r="S693" s="20">
        <v>0</v>
      </c>
      <c r="T693" s="20">
        <v>0</v>
      </c>
      <c r="U693" s="40">
        <v>46259</v>
      </c>
      <c r="V693" s="40">
        <v>46259</v>
      </c>
      <c r="W693" s="20" t="s">
        <v>57</v>
      </c>
      <c r="X693" s="21"/>
      <c r="Y693" s="19">
        <v>0</v>
      </c>
      <c r="Z693" s="19">
        <v>0</v>
      </c>
      <c r="AA693" s="19">
        <v>0</v>
      </c>
      <c r="AB693" s="44">
        <f>VLOOKUP(A693,'[4]PO CAG'!$A:$L,12,0)</f>
        <v>46269</v>
      </c>
      <c r="AC693" s="22">
        <f>IFERROR(VLOOKUP(F693,[3]Sheet1!$E:$H,4,0),)</f>
        <v>0</v>
      </c>
      <c r="AD693" s="144"/>
      <c r="AE693" s="20"/>
      <c r="AF693" s="135" t="s">
        <v>112</v>
      </c>
      <c r="AG693" s="135"/>
      <c r="AH693" s="135"/>
      <c r="AI693" s="135"/>
      <c r="AJ693" s="267" t="s">
        <v>153</v>
      </c>
    </row>
    <row r="694" spans="1:36">
      <c r="A694" s="135" t="s">
        <v>5610</v>
      </c>
      <c r="B694" s="135" t="s">
        <v>5818</v>
      </c>
      <c r="C694" s="135" t="s">
        <v>5611</v>
      </c>
      <c r="D694" s="46">
        <v>11119585</v>
      </c>
      <c r="E694" s="20" t="s">
        <v>5612</v>
      </c>
      <c r="F694" s="20" t="s">
        <v>5613</v>
      </c>
      <c r="G694" s="24">
        <v>2</v>
      </c>
      <c r="H694" s="21">
        <v>46263</v>
      </c>
      <c r="I694" s="53" t="s">
        <v>5614</v>
      </c>
      <c r="J694" s="24" t="s">
        <v>5615</v>
      </c>
      <c r="K694" s="24">
        <v>2</v>
      </c>
      <c r="L694" s="46">
        <v>12116220</v>
      </c>
      <c r="M694" s="20" t="s">
        <v>5637</v>
      </c>
      <c r="N694" s="38">
        <v>0</v>
      </c>
      <c r="O694" s="38">
        <v>0</v>
      </c>
      <c r="P694" s="20" t="s">
        <v>469</v>
      </c>
      <c r="Q694" s="20">
        <v>0</v>
      </c>
      <c r="R694" s="40">
        <v>46258</v>
      </c>
      <c r="S694" s="20">
        <v>0</v>
      </c>
      <c r="T694" s="20">
        <v>0</v>
      </c>
      <c r="U694" s="40">
        <v>46259</v>
      </c>
      <c r="V694" s="40">
        <v>46259</v>
      </c>
      <c r="W694" s="20" t="s">
        <v>57</v>
      </c>
      <c r="X694" s="21"/>
      <c r="Y694" s="19">
        <v>0</v>
      </c>
      <c r="Z694" s="19">
        <v>0</v>
      </c>
      <c r="AA694" s="19">
        <v>0</v>
      </c>
      <c r="AB694" s="44">
        <f>VLOOKUP(A694,'[4]PO CAG'!$A:$L,12,0)</f>
        <v>46269</v>
      </c>
      <c r="AC694" s="22">
        <f>IFERROR(VLOOKUP(F694,[3]Sheet1!$E:$H,4,0),)</f>
        <v>0</v>
      </c>
      <c r="AD694" s="144"/>
      <c r="AE694" s="20"/>
      <c r="AF694" s="135" t="s">
        <v>112</v>
      </c>
      <c r="AG694" s="135"/>
      <c r="AH694" s="135"/>
      <c r="AI694" s="135"/>
      <c r="AJ694" s="267" t="s">
        <v>153</v>
      </c>
    </row>
    <row r="695" spans="1:36">
      <c r="A695" s="135" t="s">
        <v>5616</v>
      </c>
      <c r="B695" s="135" t="s">
        <v>5819</v>
      </c>
      <c r="C695" s="135" t="s">
        <v>5617</v>
      </c>
      <c r="D695" s="46">
        <v>11119671</v>
      </c>
      <c r="E695" s="20" t="s">
        <v>986</v>
      </c>
      <c r="F695" s="20" t="s">
        <v>987</v>
      </c>
      <c r="G695" s="24">
        <v>2</v>
      </c>
      <c r="H695" s="21">
        <v>46263</v>
      </c>
      <c r="I695" s="53" t="s">
        <v>5618</v>
      </c>
      <c r="J695" s="24" t="s">
        <v>5619</v>
      </c>
      <c r="K695" s="24">
        <v>2</v>
      </c>
      <c r="L695" s="46">
        <v>12116306</v>
      </c>
      <c r="M695" s="20" t="s">
        <v>1019</v>
      </c>
      <c r="N695" s="38">
        <v>0</v>
      </c>
      <c r="O695" s="38">
        <v>0</v>
      </c>
      <c r="P695" s="20" t="s">
        <v>469</v>
      </c>
      <c r="Q695" s="20">
        <v>0</v>
      </c>
      <c r="R695" s="40">
        <v>46258</v>
      </c>
      <c r="S695" s="20">
        <v>0</v>
      </c>
      <c r="T695" s="20">
        <v>0</v>
      </c>
      <c r="U695" s="40">
        <v>46259</v>
      </c>
      <c r="V695" s="40">
        <v>46259</v>
      </c>
      <c r="W695" s="20" t="s">
        <v>57</v>
      </c>
      <c r="X695" s="21"/>
      <c r="Y695" s="19">
        <v>0</v>
      </c>
      <c r="Z695" s="19">
        <v>0</v>
      </c>
      <c r="AA695" s="19">
        <v>0</v>
      </c>
      <c r="AB695" s="44">
        <f>VLOOKUP(A695,'[4]PO CAG'!$A:$L,12,0)</f>
        <v>46269</v>
      </c>
      <c r="AC695" s="22">
        <f>IFERROR(VLOOKUP(F695,[3]Sheet1!$E:$H,4,0),)</f>
        <v>0</v>
      </c>
      <c r="AD695" s="144"/>
      <c r="AE695" s="20"/>
      <c r="AF695" s="135" t="s">
        <v>112</v>
      </c>
      <c r="AG695" s="135"/>
      <c r="AH695" s="135"/>
      <c r="AI695" s="135"/>
      <c r="AJ695" s="267" t="s">
        <v>153</v>
      </c>
    </row>
    <row r="696" spans="1:36">
      <c r="A696" s="135" t="s">
        <v>5638</v>
      </c>
      <c r="B696" s="135" t="s">
        <v>5820</v>
      </c>
      <c r="C696" s="135" t="s">
        <v>5639</v>
      </c>
      <c r="D696" s="46">
        <v>11119477</v>
      </c>
      <c r="E696" s="20" t="s">
        <v>5640</v>
      </c>
      <c r="F696" s="20" t="s">
        <v>5641</v>
      </c>
      <c r="G696" s="24">
        <v>3</v>
      </c>
      <c r="H696" s="21">
        <v>46263</v>
      </c>
      <c r="I696" s="53" t="s">
        <v>5642</v>
      </c>
      <c r="J696" s="24" t="s">
        <v>5643</v>
      </c>
      <c r="K696" s="24">
        <v>3</v>
      </c>
      <c r="L696" s="46">
        <v>12116112</v>
      </c>
      <c r="M696" s="20" t="s">
        <v>5764</v>
      </c>
      <c r="N696" s="38">
        <v>0</v>
      </c>
      <c r="O696" s="38">
        <v>0</v>
      </c>
      <c r="P696" s="20" t="s">
        <v>469</v>
      </c>
      <c r="Q696" s="20">
        <v>0</v>
      </c>
      <c r="R696" s="40">
        <v>46258</v>
      </c>
      <c r="S696" s="20">
        <v>0</v>
      </c>
      <c r="T696" s="20">
        <v>0</v>
      </c>
      <c r="U696" s="40">
        <v>46259</v>
      </c>
      <c r="V696" s="40">
        <v>46259</v>
      </c>
      <c r="W696" s="20" t="s">
        <v>57</v>
      </c>
      <c r="X696" s="21"/>
      <c r="Y696" s="19">
        <v>0</v>
      </c>
      <c r="Z696" s="19">
        <v>0</v>
      </c>
      <c r="AA696" s="19">
        <v>0</v>
      </c>
      <c r="AB696" s="44">
        <f>VLOOKUP(A696,'[4]PO CAG'!$A:$L,12,0)</f>
        <v>46269</v>
      </c>
      <c r="AC696" s="22">
        <f>IFERROR(VLOOKUP(F696,[3]Sheet1!$E:$H,4,0),)</f>
        <v>0</v>
      </c>
      <c r="AD696" s="144"/>
      <c r="AE696" s="20"/>
      <c r="AF696" s="135" t="s">
        <v>112</v>
      </c>
      <c r="AG696" s="135"/>
      <c r="AH696" s="135"/>
      <c r="AI696" s="135"/>
      <c r="AJ696" s="267" t="s">
        <v>153</v>
      </c>
    </row>
    <row r="697" spans="1:36">
      <c r="A697" s="135" t="s">
        <v>5644</v>
      </c>
      <c r="B697" s="135" t="s">
        <v>5821</v>
      </c>
      <c r="C697" s="135" t="s">
        <v>5645</v>
      </c>
      <c r="D697" s="46">
        <v>11119551</v>
      </c>
      <c r="E697" s="20" t="s">
        <v>5646</v>
      </c>
      <c r="F697" s="20" t="s">
        <v>5647</v>
      </c>
      <c r="G697" s="24">
        <v>3</v>
      </c>
      <c r="H697" s="21">
        <v>46263</v>
      </c>
      <c r="I697" s="53" t="s">
        <v>5648</v>
      </c>
      <c r="J697" s="24" t="s">
        <v>5649</v>
      </c>
      <c r="K697" s="24">
        <v>3</v>
      </c>
      <c r="L697" s="46">
        <v>12116186</v>
      </c>
      <c r="M697" s="20" t="s">
        <v>5765</v>
      </c>
      <c r="N697" s="38">
        <v>0</v>
      </c>
      <c r="O697" s="38">
        <v>0</v>
      </c>
      <c r="P697" s="20" t="s">
        <v>469</v>
      </c>
      <c r="Q697" s="20">
        <v>0</v>
      </c>
      <c r="R697" s="40">
        <v>46258</v>
      </c>
      <c r="S697" s="20">
        <v>0</v>
      </c>
      <c r="T697" s="20">
        <v>0</v>
      </c>
      <c r="U697" s="40">
        <v>46259</v>
      </c>
      <c r="V697" s="40">
        <v>46259</v>
      </c>
      <c r="W697" s="20" t="s">
        <v>57</v>
      </c>
      <c r="X697" s="21"/>
      <c r="Y697" s="19">
        <v>0</v>
      </c>
      <c r="Z697" s="19">
        <v>0</v>
      </c>
      <c r="AA697" s="19">
        <v>0</v>
      </c>
      <c r="AB697" s="44">
        <f>VLOOKUP(A697,'[4]PO CAG'!$A:$L,12,0)</f>
        <v>46269</v>
      </c>
      <c r="AC697" s="22">
        <f>IFERROR(VLOOKUP(F697,[3]Sheet1!$E:$H,4,0),)</f>
        <v>0</v>
      </c>
      <c r="AD697" s="144"/>
      <c r="AE697" s="20"/>
      <c r="AF697" s="135" t="s">
        <v>112</v>
      </c>
      <c r="AG697" s="135"/>
      <c r="AH697" s="135"/>
      <c r="AI697" s="135"/>
      <c r="AJ697" s="267" t="s">
        <v>153</v>
      </c>
    </row>
    <row r="698" spans="1:36">
      <c r="A698" s="135" t="s">
        <v>5650</v>
      </c>
      <c r="B698" s="135" t="s">
        <v>5822</v>
      </c>
      <c r="C698" s="135" t="s">
        <v>5651</v>
      </c>
      <c r="D698" s="46">
        <v>11119665</v>
      </c>
      <c r="E698" s="20" t="s">
        <v>2262</v>
      </c>
      <c r="F698" s="20" t="s">
        <v>2263</v>
      </c>
      <c r="G698" s="24">
        <v>4</v>
      </c>
      <c r="H698" s="21">
        <v>46263</v>
      </c>
      <c r="I698" s="53" t="s">
        <v>5652</v>
      </c>
      <c r="J698" s="24" t="s">
        <v>5653</v>
      </c>
      <c r="K698" s="24">
        <v>4</v>
      </c>
      <c r="L698" s="46">
        <v>12116300</v>
      </c>
      <c r="M698" s="20" t="s">
        <v>2465</v>
      </c>
      <c r="N698" s="38">
        <v>0</v>
      </c>
      <c r="O698" s="38">
        <v>0</v>
      </c>
      <c r="P698" s="20" t="s">
        <v>469</v>
      </c>
      <c r="Q698" s="20">
        <v>0</v>
      </c>
      <c r="R698" s="40">
        <v>46258</v>
      </c>
      <c r="S698" s="20">
        <v>0</v>
      </c>
      <c r="T698" s="20">
        <v>0</v>
      </c>
      <c r="U698" s="40">
        <v>46259</v>
      </c>
      <c r="V698" s="40">
        <v>46259</v>
      </c>
      <c r="W698" s="20" t="s">
        <v>57</v>
      </c>
      <c r="X698" s="21"/>
      <c r="Y698" s="19">
        <v>0</v>
      </c>
      <c r="Z698" s="19">
        <v>0</v>
      </c>
      <c r="AA698" s="19">
        <v>0</v>
      </c>
      <c r="AB698" s="44">
        <f>VLOOKUP(A698,'[4]PO CAG'!$A:$L,12,0)</f>
        <v>46269</v>
      </c>
      <c r="AC698" s="22">
        <f>IFERROR(VLOOKUP(F698,[3]Sheet1!$E:$H,4,0),)</f>
        <v>0</v>
      </c>
      <c r="AD698" s="144"/>
      <c r="AE698" s="20"/>
      <c r="AF698" s="135" t="s">
        <v>112</v>
      </c>
      <c r="AG698" s="135"/>
      <c r="AH698" s="135"/>
      <c r="AI698" s="135"/>
      <c r="AJ698" s="267" t="s">
        <v>153</v>
      </c>
    </row>
    <row r="699" spans="1:36">
      <c r="A699" s="135" t="s">
        <v>5654</v>
      </c>
      <c r="B699" s="135" t="s">
        <v>5823</v>
      </c>
      <c r="C699" s="135" t="s">
        <v>5655</v>
      </c>
      <c r="D699" s="46">
        <v>11119583</v>
      </c>
      <c r="E699" s="20" t="s">
        <v>5656</v>
      </c>
      <c r="F699" s="20" t="s">
        <v>5657</v>
      </c>
      <c r="G699" s="24">
        <v>4</v>
      </c>
      <c r="H699" s="21">
        <v>46263</v>
      </c>
      <c r="I699" s="53" t="s">
        <v>5658</v>
      </c>
      <c r="J699" s="24" t="s">
        <v>5659</v>
      </c>
      <c r="K699" s="24">
        <v>4</v>
      </c>
      <c r="L699" s="46">
        <v>12116218</v>
      </c>
      <c r="M699" s="20" t="s">
        <v>5766</v>
      </c>
      <c r="N699" s="38">
        <v>0</v>
      </c>
      <c r="O699" s="38">
        <v>0</v>
      </c>
      <c r="P699" s="20" t="s">
        <v>469</v>
      </c>
      <c r="Q699" s="20">
        <v>0</v>
      </c>
      <c r="R699" s="40">
        <v>46258</v>
      </c>
      <c r="S699" s="20">
        <v>0</v>
      </c>
      <c r="T699" s="20">
        <v>0</v>
      </c>
      <c r="U699" s="40">
        <v>46259</v>
      </c>
      <c r="V699" s="40">
        <v>46259</v>
      </c>
      <c r="W699" s="20" t="s">
        <v>57</v>
      </c>
      <c r="X699" s="21"/>
      <c r="Y699" s="19">
        <v>0</v>
      </c>
      <c r="Z699" s="19">
        <v>0</v>
      </c>
      <c r="AA699" s="19">
        <v>0</v>
      </c>
      <c r="AB699" s="44">
        <f>VLOOKUP(A699,'[4]PO CAG'!$A:$L,12,0)</f>
        <v>46269</v>
      </c>
      <c r="AC699" s="22">
        <f>IFERROR(VLOOKUP(F699,[3]Sheet1!$E:$H,4,0),)</f>
        <v>0</v>
      </c>
      <c r="AD699" s="144"/>
      <c r="AE699" s="20"/>
      <c r="AF699" s="135" t="s">
        <v>112</v>
      </c>
      <c r="AG699" s="135"/>
      <c r="AH699" s="135"/>
      <c r="AI699" s="135"/>
      <c r="AJ699" s="267" t="s">
        <v>153</v>
      </c>
    </row>
    <row r="700" spans="1:36">
      <c r="A700" s="135" t="s">
        <v>5660</v>
      </c>
      <c r="B700" s="135" t="s">
        <v>5824</v>
      </c>
      <c r="C700" s="135" t="s">
        <v>5661</v>
      </c>
      <c r="D700" s="46">
        <v>11119618</v>
      </c>
      <c r="E700" s="20" t="s">
        <v>841</v>
      </c>
      <c r="F700" s="20" t="s">
        <v>842</v>
      </c>
      <c r="G700" s="24">
        <v>4</v>
      </c>
      <c r="H700" s="21">
        <v>46263</v>
      </c>
      <c r="I700" s="53" t="s">
        <v>5662</v>
      </c>
      <c r="J700" s="24" t="s">
        <v>5663</v>
      </c>
      <c r="K700" s="24">
        <v>4</v>
      </c>
      <c r="L700" s="46">
        <v>12116253</v>
      </c>
      <c r="M700" s="20" t="s">
        <v>868</v>
      </c>
      <c r="N700" s="38">
        <v>0</v>
      </c>
      <c r="O700" s="38">
        <v>0</v>
      </c>
      <c r="P700" s="20" t="s">
        <v>469</v>
      </c>
      <c r="Q700" s="20">
        <v>0</v>
      </c>
      <c r="R700" s="40">
        <v>46258</v>
      </c>
      <c r="S700" s="20">
        <v>0</v>
      </c>
      <c r="T700" s="20">
        <v>0</v>
      </c>
      <c r="U700" s="40">
        <v>46259</v>
      </c>
      <c r="V700" s="40">
        <v>46259</v>
      </c>
      <c r="W700" s="20" t="s">
        <v>57</v>
      </c>
      <c r="X700" s="21"/>
      <c r="Y700" s="19">
        <v>0</v>
      </c>
      <c r="Z700" s="19">
        <v>0</v>
      </c>
      <c r="AA700" s="19">
        <v>0</v>
      </c>
      <c r="AB700" s="44">
        <f>VLOOKUP(A700,'[4]PO CAG'!$A:$L,12,0)</f>
        <v>46269</v>
      </c>
      <c r="AC700" s="22">
        <f>IFERROR(VLOOKUP(F700,[3]Sheet1!$E:$H,4,0),)</f>
        <v>0</v>
      </c>
      <c r="AD700" s="144"/>
      <c r="AE700" s="20"/>
      <c r="AF700" s="135" t="s">
        <v>112</v>
      </c>
      <c r="AG700" s="135"/>
      <c r="AH700" s="135"/>
      <c r="AI700" s="135"/>
      <c r="AJ700" s="267" t="s">
        <v>153</v>
      </c>
    </row>
    <row r="701" spans="1:36">
      <c r="A701" s="135" t="s">
        <v>5664</v>
      </c>
      <c r="B701" s="135" t="s">
        <v>5825</v>
      </c>
      <c r="C701" s="135" t="s">
        <v>5665</v>
      </c>
      <c r="D701" s="46">
        <v>11119553</v>
      </c>
      <c r="E701" s="20" t="s">
        <v>1162</v>
      </c>
      <c r="F701" s="20" t="s">
        <v>1163</v>
      </c>
      <c r="G701" s="24">
        <v>5</v>
      </c>
      <c r="H701" s="21">
        <v>46263</v>
      </c>
      <c r="I701" s="53" t="s">
        <v>5666</v>
      </c>
      <c r="J701" s="24" t="s">
        <v>5667</v>
      </c>
      <c r="K701" s="24">
        <v>5</v>
      </c>
      <c r="L701" s="46">
        <v>12116188</v>
      </c>
      <c r="M701" s="20" t="s">
        <v>1176</v>
      </c>
      <c r="N701" s="38">
        <v>0</v>
      </c>
      <c r="O701" s="38">
        <v>0</v>
      </c>
      <c r="P701" s="20" t="s">
        <v>469</v>
      </c>
      <c r="Q701" s="20">
        <v>0</v>
      </c>
      <c r="R701" s="40">
        <v>46258</v>
      </c>
      <c r="S701" s="20">
        <v>0</v>
      </c>
      <c r="T701" s="20">
        <v>0</v>
      </c>
      <c r="U701" s="40">
        <v>46259</v>
      </c>
      <c r="V701" s="40">
        <v>46259</v>
      </c>
      <c r="W701" s="20" t="s">
        <v>57</v>
      </c>
      <c r="X701" s="21"/>
      <c r="Y701" s="19">
        <v>0</v>
      </c>
      <c r="Z701" s="19">
        <v>0</v>
      </c>
      <c r="AA701" s="19">
        <v>0</v>
      </c>
      <c r="AB701" s="44">
        <f>VLOOKUP(A701,'[4]PO CAG'!$A:$L,12,0)</f>
        <v>46269</v>
      </c>
      <c r="AC701" s="22">
        <f>IFERROR(VLOOKUP(F701,[3]Sheet1!$E:$H,4,0),)</f>
        <v>0</v>
      </c>
      <c r="AD701" s="144"/>
      <c r="AE701" s="20"/>
      <c r="AF701" s="135" t="s">
        <v>112</v>
      </c>
      <c r="AG701" s="135"/>
      <c r="AH701" s="135"/>
      <c r="AI701" s="135"/>
      <c r="AJ701" s="267" t="s">
        <v>153</v>
      </c>
    </row>
    <row r="702" spans="1:36">
      <c r="A702" s="135" t="s">
        <v>5668</v>
      </c>
      <c r="B702" s="135" t="s">
        <v>5826</v>
      </c>
      <c r="C702" s="135" t="s">
        <v>5669</v>
      </c>
      <c r="D702" s="46">
        <v>11119667</v>
      </c>
      <c r="E702" s="20" t="s">
        <v>779</v>
      </c>
      <c r="F702" s="20" t="s">
        <v>780</v>
      </c>
      <c r="G702" s="24">
        <v>5</v>
      </c>
      <c r="H702" s="21">
        <v>46263</v>
      </c>
      <c r="I702" s="53" t="s">
        <v>5670</v>
      </c>
      <c r="J702" s="24" t="s">
        <v>5671</v>
      </c>
      <c r="K702" s="24">
        <v>5</v>
      </c>
      <c r="L702" s="46">
        <v>12116302</v>
      </c>
      <c r="M702" s="20" t="s">
        <v>795</v>
      </c>
      <c r="N702" s="38">
        <v>0</v>
      </c>
      <c r="O702" s="38">
        <v>0</v>
      </c>
      <c r="P702" s="20" t="s">
        <v>469</v>
      </c>
      <c r="Q702" s="20">
        <v>0</v>
      </c>
      <c r="R702" s="40">
        <v>46258</v>
      </c>
      <c r="S702" s="20">
        <v>0</v>
      </c>
      <c r="T702" s="20">
        <v>0</v>
      </c>
      <c r="U702" s="40">
        <v>46259</v>
      </c>
      <c r="V702" s="40">
        <v>46259</v>
      </c>
      <c r="W702" s="20" t="s">
        <v>57</v>
      </c>
      <c r="X702" s="21"/>
      <c r="Y702" s="19">
        <v>0</v>
      </c>
      <c r="Z702" s="19">
        <v>0</v>
      </c>
      <c r="AA702" s="19">
        <v>0</v>
      </c>
      <c r="AB702" s="44">
        <f>VLOOKUP(A702,'[4]PO CAG'!$A:$L,12,0)</f>
        <v>46269</v>
      </c>
      <c r="AC702" s="22">
        <f>IFERROR(VLOOKUP(F702,[3]Sheet1!$E:$H,4,0),)</f>
        <v>0</v>
      </c>
      <c r="AD702" s="144"/>
      <c r="AE702" s="20"/>
      <c r="AF702" s="135" t="s">
        <v>112</v>
      </c>
      <c r="AG702" s="135"/>
      <c r="AH702" s="135"/>
      <c r="AI702" s="135"/>
      <c r="AJ702" s="267" t="s">
        <v>153</v>
      </c>
    </row>
    <row r="703" spans="1:36">
      <c r="A703" s="135" t="s">
        <v>5672</v>
      </c>
      <c r="B703" s="135" t="s">
        <v>5827</v>
      </c>
      <c r="C703" s="135" t="s">
        <v>5673</v>
      </c>
      <c r="D703" s="46">
        <v>11119457</v>
      </c>
      <c r="E703" s="20" t="s">
        <v>1158</v>
      </c>
      <c r="F703" s="20" t="s">
        <v>1159</v>
      </c>
      <c r="G703" s="24">
        <v>6</v>
      </c>
      <c r="H703" s="21">
        <v>46263</v>
      </c>
      <c r="I703" s="53" t="s">
        <v>5674</v>
      </c>
      <c r="J703" s="24" t="s">
        <v>5675</v>
      </c>
      <c r="K703" s="24">
        <v>6</v>
      </c>
      <c r="L703" s="46">
        <v>12116092</v>
      </c>
      <c r="M703" s="20" t="s">
        <v>1174</v>
      </c>
      <c r="N703" s="38">
        <v>0</v>
      </c>
      <c r="O703" s="38">
        <v>0</v>
      </c>
      <c r="P703" s="20" t="s">
        <v>469</v>
      </c>
      <c r="Q703" s="20">
        <v>0</v>
      </c>
      <c r="R703" s="40">
        <v>46258</v>
      </c>
      <c r="S703" s="20">
        <v>0</v>
      </c>
      <c r="T703" s="20">
        <v>0</v>
      </c>
      <c r="U703" s="40">
        <v>46259</v>
      </c>
      <c r="V703" s="40">
        <v>46259</v>
      </c>
      <c r="W703" s="20" t="s">
        <v>57</v>
      </c>
      <c r="X703" s="21"/>
      <c r="Y703" s="19">
        <v>0</v>
      </c>
      <c r="Z703" s="19">
        <v>0</v>
      </c>
      <c r="AA703" s="19">
        <v>0</v>
      </c>
      <c r="AB703" s="44">
        <f>VLOOKUP(A703,'[4]PO CAG'!$A:$L,12,0)</f>
        <v>46269</v>
      </c>
      <c r="AC703" s="22">
        <f>IFERROR(VLOOKUP(F703,[3]Sheet1!$E:$H,4,0),)</f>
        <v>0</v>
      </c>
      <c r="AD703" s="144"/>
      <c r="AE703" s="20"/>
      <c r="AF703" s="135" t="s">
        <v>112</v>
      </c>
      <c r="AG703" s="135"/>
      <c r="AH703" s="135"/>
      <c r="AI703" s="135"/>
      <c r="AJ703" s="267" t="s">
        <v>153</v>
      </c>
    </row>
    <row r="704" spans="1:36">
      <c r="A704" s="135" t="s">
        <v>5676</v>
      </c>
      <c r="B704" s="135" t="s">
        <v>5828</v>
      </c>
      <c r="C704" s="135" t="s">
        <v>5677</v>
      </c>
      <c r="D704" s="46">
        <v>11119511</v>
      </c>
      <c r="E704" s="20" t="s">
        <v>1133</v>
      </c>
      <c r="F704" s="20" t="s">
        <v>1134</v>
      </c>
      <c r="G704" s="24">
        <v>6</v>
      </c>
      <c r="H704" s="21">
        <v>46263</v>
      </c>
      <c r="I704" s="53" t="s">
        <v>5678</v>
      </c>
      <c r="J704" s="24" t="s">
        <v>5679</v>
      </c>
      <c r="K704" s="24">
        <v>6</v>
      </c>
      <c r="L704" s="46">
        <v>12116146</v>
      </c>
      <c r="M704" s="20" t="s">
        <v>1151</v>
      </c>
      <c r="N704" s="38">
        <v>0</v>
      </c>
      <c r="O704" s="38">
        <v>0</v>
      </c>
      <c r="P704" s="20" t="s">
        <v>469</v>
      </c>
      <c r="Q704" s="20">
        <v>0</v>
      </c>
      <c r="R704" s="40">
        <v>46258</v>
      </c>
      <c r="S704" s="20">
        <v>0</v>
      </c>
      <c r="T704" s="20">
        <v>0</v>
      </c>
      <c r="U704" s="40">
        <v>46259</v>
      </c>
      <c r="V704" s="40">
        <v>46259</v>
      </c>
      <c r="W704" s="20" t="s">
        <v>57</v>
      </c>
      <c r="X704" s="21"/>
      <c r="Y704" s="19">
        <v>0</v>
      </c>
      <c r="Z704" s="19">
        <v>0</v>
      </c>
      <c r="AA704" s="19">
        <v>0</v>
      </c>
      <c r="AB704" s="44">
        <f>VLOOKUP(A704,'[4]PO CAG'!$A:$L,12,0)</f>
        <v>46269</v>
      </c>
      <c r="AC704" s="22">
        <f>IFERROR(VLOOKUP(F704,[3]Sheet1!$E:$H,4,0),)</f>
        <v>0</v>
      </c>
      <c r="AD704" s="144"/>
      <c r="AE704" s="20"/>
      <c r="AF704" s="135" t="s">
        <v>112</v>
      </c>
      <c r="AG704" s="135"/>
      <c r="AH704" s="135"/>
      <c r="AI704" s="135"/>
      <c r="AJ704" s="267" t="s">
        <v>153</v>
      </c>
    </row>
    <row r="705" spans="1:36">
      <c r="A705" s="135" t="s">
        <v>5680</v>
      </c>
      <c r="B705" s="135" t="s">
        <v>5829</v>
      </c>
      <c r="C705" s="135" t="s">
        <v>5681</v>
      </c>
      <c r="D705" s="46">
        <v>11119625</v>
      </c>
      <c r="E705" s="20" t="s">
        <v>849</v>
      </c>
      <c r="F705" s="20" t="s">
        <v>850</v>
      </c>
      <c r="G705" s="24">
        <v>7</v>
      </c>
      <c r="H705" s="21">
        <v>46263</v>
      </c>
      <c r="I705" s="53" t="s">
        <v>5682</v>
      </c>
      <c r="J705" s="24" t="s">
        <v>5683</v>
      </c>
      <c r="K705" s="24">
        <v>7</v>
      </c>
      <c r="L705" s="46">
        <v>12116260</v>
      </c>
      <c r="M705" s="20" t="s">
        <v>872</v>
      </c>
      <c r="N705" s="38">
        <v>0</v>
      </c>
      <c r="O705" s="38">
        <v>0</v>
      </c>
      <c r="P705" s="20" t="s">
        <v>469</v>
      </c>
      <c r="Q705" s="20">
        <v>0</v>
      </c>
      <c r="R705" s="40">
        <v>46258</v>
      </c>
      <c r="S705" s="20">
        <v>0</v>
      </c>
      <c r="T705" s="20">
        <v>0</v>
      </c>
      <c r="U705" s="40">
        <v>46259</v>
      </c>
      <c r="V705" s="40">
        <v>46259</v>
      </c>
      <c r="W705" s="20" t="s">
        <v>57</v>
      </c>
      <c r="X705" s="21"/>
      <c r="Y705" s="19">
        <v>0</v>
      </c>
      <c r="Z705" s="19">
        <v>0</v>
      </c>
      <c r="AA705" s="19">
        <v>0</v>
      </c>
      <c r="AB705" s="44">
        <f>VLOOKUP(A705,'[4]PO CAG'!$A:$L,12,0)</f>
        <v>46269</v>
      </c>
      <c r="AC705" s="22">
        <f>IFERROR(VLOOKUP(F705,[3]Sheet1!$E:$H,4,0),)</f>
        <v>0</v>
      </c>
      <c r="AD705" s="144"/>
      <c r="AE705" s="20"/>
      <c r="AF705" s="135" t="s">
        <v>112</v>
      </c>
      <c r="AG705" s="135"/>
      <c r="AH705" s="135"/>
      <c r="AI705" s="135"/>
      <c r="AJ705" s="267" t="s">
        <v>153</v>
      </c>
    </row>
    <row r="706" spans="1:36">
      <c r="A706" s="135" t="s">
        <v>5684</v>
      </c>
      <c r="B706" s="135" t="s">
        <v>5830</v>
      </c>
      <c r="C706" s="135" t="s">
        <v>5685</v>
      </c>
      <c r="D706" s="46">
        <v>11119540</v>
      </c>
      <c r="E706" s="20" t="s">
        <v>1135</v>
      </c>
      <c r="F706" s="20" t="s">
        <v>1136</v>
      </c>
      <c r="G706" s="24">
        <v>10</v>
      </c>
      <c r="H706" s="21">
        <v>46263</v>
      </c>
      <c r="I706" s="53" t="s">
        <v>5686</v>
      </c>
      <c r="J706" s="24" t="s">
        <v>5687</v>
      </c>
      <c r="K706" s="24">
        <v>10</v>
      </c>
      <c r="L706" s="46">
        <v>12116175</v>
      </c>
      <c r="M706" s="20" t="s">
        <v>1152</v>
      </c>
      <c r="N706" s="38">
        <v>0</v>
      </c>
      <c r="O706" s="38">
        <v>0</v>
      </c>
      <c r="P706" s="20" t="s">
        <v>469</v>
      </c>
      <c r="Q706" s="20">
        <v>0</v>
      </c>
      <c r="R706" s="40">
        <v>46258</v>
      </c>
      <c r="S706" s="20">
        <v>0</v>
      </c>
      <c r="T706" s="20">
        <v>0</v>
      </c>
      <c r="U706" s="40">
        <v>46259</v>
      </c>
      <c r="V706" s="40">
        <v>46259</v>
      </c>
      <c r="W706" s="20" t="s">
        <v>57</v>
      </c>
      <c r="X706" s="21"/>
      <c r="Y706" s="19">
        <v>0</v>
      </c>
      <c r="Z706" s="19">
        <v>0</v>
      </c>
      <c r="AA706" s="19">
        <v>0</v>
      </c>
      <c r="AB706" s="44">
        <f>VLOOKUP(A706,'[4]PO CAG'!$A:$L,12,0)</f>
        <v>46269</v>
      </c>
      <c r="AC706" s="22">
        <f>IFERROR(VLOOKUP(F706,[3]Sheet1!$E:$H,4,0),)</f>
        <v>0</v>
      </c>
      <c r="AD706" s="144"/>
      <c r="AE706" s="20"/>
      <c r="AF706" s="135" t="s">
        <v>112</v>
      </c>
      <c r="AG706" s="135"/>
      <c r="AH706" s="135"/>
      <c r="AI706" s="135"/>
      <c r="AJ706" s="267" t="s">
        <v>153</v>
      </c>
    </row>
    <row r="707" spans="1:36">
      <c r="A707" s="135" t="s">
        <v>5688</v>
      </c>
      <c r="B707" s="135" t="s">
        <v>5831</v>
      </c>
      <c r="C707" s="135" t="s">
        <v>5689</v>
      </c>
      <c r="D707" s="46">
        <v>11119452</v>
      </c>
      <c r="E707" s="20" t="s">
        <v>2236</v>
      </c>
      <c r="F707" s="20" t="s">
        <v>2237</v>
      </c>
      <c r="G707" s="24">
        <v>10</v>
      </c>
      <c r="H707" s="21">
        <v>46263</v>
      </c>
      <c r="I707" s="53" t="s">
        <v>5690</v>
      </c>
      <c r="J707" s="24" t="s">
        <v>5691</v>
      </c>
      <c r="K707" s="24">
        <v>10</v>
      </c>
      <c r="L707" s="46">
        <v>12116087</v>
      </c>
      <c r="M707" s="20" t="s">
        <v>2464</v>
      </c>
      <c r="N707" s="38">
        <v>0</v>
      </c>
      <c r="O707" s="38">
        <v>0</v>
      </c>
      <c r="P707" s="20" t="s">
        <v>469</v>
      </c>
      <c r="Q707" s="20">
        <v>0</v>
      </c>
      <c r="R707" s="40">
        <v>46258</v>
      </c>
      <c r="S707" s="20">
        <v>0</v>
      </c>
      <c r="T707" s="20">
        <v>0</v>
      </c>
      <c r="U707" s="40">
        <v>46259</v>
      </c>
      <c r="V707" s="40">
        <v>46259</v>
      </c>
      <c r="W707" s="20" t="s">
        <v>57</v>
      </c>
      <c r="X707" s="21"/>
      <c r="Y707" s="19">
        <v>0</v>
      </c>
      <c r="Z707" s="19">
        <v>0</v>
      </c>
      <c r="AA707" s="19">
        <v>0</v>
      </c>
      <c r="AB707" s="44">
        <f>VLOOKUP(A707,'[4]PO CAG'!$A:$L,12,0)</f>
        <v>46269</v>
      </c>
      <c r="AC707" s="22">
        <f>IFERROR(VLOOKUP(F707,[3]Sheet1!$E:$H,4,0),)</f>
        <v>0</v>
      </c>
      <c r="AD707" s="144"/>
      <c r="AE707" s="20"/>
      <c r="AF707" s="135" t="s">
        <v>112</v>
      </c>
      <c r="AG707" s="135"/>
      <c r="AH707" s="135"/>
      <c r="AI707" s="135"/>
      <c r="AJ707" s="267" t="s">
        <v>153</v>
      </c>
    </row>
    <row r="708" spans="1:36">
      <c r="A708" s="135" t="s">
        <v>5692</v>
      </c>
      <c r="B708" s="135" t="s">
        <v>5832</v>
      </c>
      <c r="C708" s="135" t="s">
        <v>5693</v>
      </c>
      <c r="D708" s="46">
        <v>11119579</v>
      </c>
      <c r="E708" s="20" t="s">
        <v>5694</v>
      </c>
      <c r="F708" s="20" t="s">
        <v>5695</v>
      </c>
      <c r="G708" s="24">
        <v>11</v>
      </c>
      <c r="H708" s="21">
        <v>46263</v>
      </c>
      <c r="I708" s="53" t="s">
        <v>5696</v>
      </c>
      <c r="J708" s="24" t="s">
        <v>5697</v>
      </c>
      <c r="K708" s="24">
        <v>11</v>
      </c>
      <c r="L708" s="46">
        <v>12116214</v>
      </c>
      <c r="M708" s="20" t="s">
        <v>5767</v>
      </c>
      <c r="N708" s="38">
        <v>0</v>
      </c>
      <c r="O708" s="38">
        <v>0</v>
      </c>
      <c r="P708" s="20" t="s">
        <v>469</v>
      </c>
      <c r="Q708" s="20">
        <v>0</v>
      </c>
      <c r="R708" s="40">
        <v>46258</v>
      </c>
      <c r="S708" s="20">
        <v>0</v>
      </c>
      <c r="T708" s="20">
        <v>0</v>
      </c>
      <c r="U708" s="40">
        <v>46259</v>
      </c>
      <c r="V708" s="40">
        <v>46259</v>
      </c>
      <c r="W708" s="20" t="s">
        <v>57</v>
      </c>
      <c r="X708" s="21"/>
      <c r="Y708" s="19">
        <v>0</v>
      </c>
      <c r="Z708" s="19">
        <v>0</v>
      </c>
      <c r="AA708" s="19">
        <v>0</v>
      </c>
      <c r="AB708" s="44">
        <f>VLOOKUP(A708,'[4]PO CAG'!$A:$L,12,0)</f>
        <v>46269</v>
      </c>
      <c r="AC708" s="22">
        <f>IFERROR(VLOOKUP(F708,[3]Sheet1!$E:$H,4,0),)</f>
        <v>0</v>
      </c>
      <c r="AD708" s="144"/>
      <c r="AE708" s="20"/>
      <c r="AF708" s="135" t="s">
        <v>112</v>
      </c>
      <c r="AG708" s="135"/>
      <c r="AH708" s="135"/>
      <c r="AI708" s="135"/>
      <c r="AJ708" s="267" t="s">
        <v>153</v>
      </c>
    </row>
    <row r="709" spans="1:36">
      <c r="A709" s="135" t="s">
        <v>5698</v>
      </c>
      <c r="B709" s="135" t="s">
        <v>5833</v>
      </c>
      <c r="C709" s="135" t="s">
        <v>5699</v>
      </c>
      <c r="D709" s="46">
        <v>11119547</v>
      </c>
      <c r="E709" s="20" t="s">
        <v>5700</v>
      </c>
      <c r="F709" s="20" t="s">
        <v>5701</v>
      </c>
      <c r="G709" s="24">
        <v>12</v>
      </c>
      <c r="H709" s="21">
        <v>46263</v>
      </c>
      <c r="I709" s="53" t="s">
        <v>5702</v>
      </c>
      <c r="J709" s="24" t="s">
        <v>5703</v>
      </c>
      <c r="K709" s="24">
        <v>12</v>
      </c>
      <c r="L709" s="46">
        <v>12116182</v>
      </c>
      <c r="M709" s="20" t="s">
        <v>5768</v>
      </c>
      <c r="N709" s="38">
        <v>0</v>
      </c>
      <c r="O709" s="38">
        <v>0</v>
      </c>
      <c r="P709" s="20" t="s">
        <v>469</v>
      </c>
      <c r="Q709" s="20">
        <v>0</v>
      </c>
      <c r="R709" s="40">
        <v>46258</v>
      </c>
      <c r="S709" s="20">
        <v>0</v>
      </c>
      <c r="T709" s="20">
        <v>0</v>
      </c>
      <c r="U709" s="40">
        <v>46259</v>
      </c>
      <c r="V709" s="40">
        <v>46259</v>
      </c>
      <c r="W709" s="20" t="s">
        <v>57</v>
      </c>
      <c r="X709" s="21"/>
      <c r="Y709" s="19">
        <v>0</v>
      </c>
      <c r="Z709" s="19">
        <v>0</v>
      </c>
      <c r="AA709" s="19">
        <v>0</v>
      </c>
      <c r="AB709" s="44">
        <f>VLOOKUP(A709,'[4]PO CAG'!$A:$L,12,0)</f>
        <v>46269</v>
      </c>
      <c r="AC709" s="22">
        <f>IFERROR(VLOOKUP(F709,[3]Sheet1!$E:$H,4,0),)</f>
        <v>0</v>
      </c>
      <c r="AD709" s="144"/>
      <c r="AE709" s="20"/>
      <c r="AF709" s="135" t="s">
        <v>112</v>
      </c>
      <c r="AG709" s="135"/>
      <c r="AH709" s="135"/>
      <c r="AI709" s="135"/>
      <c r="AJ709" s="267" t="s">
        <v>153</v>
      </c>
    </row>
    <row r="710" spans="1:36">
      <c r="A710" s="135" t="s">
        <v>5704</v>
      </c>
      <c r="B710" s="135" t="s">
        <v>5834</v>
      </c>
      <c r="C710" s="135" t="s">
        <v>5705</v>
      </c>
      <c r="D710" s="46">
        <v>11119535</v>
      </c>
      <c r="E710" s="20" t="s">
        <v>588</v>
      </c>
      <c r="F710" s="20" t="s">
        <v>589</v>
      </c>
      <c r="G710" s="24">
        <v>15</v>
      </c>
      <c r="H710" s="21">
        <v>46263</v>
      </c>
      <c r="I710" s="53" t="s">
        <v>5706</v>
      </c>
      <c r="J710" s="24" t="s">
        <v>5707</v>
      </c>
      <c r="K710" s="24">
        <v>15</v>
      </c>
      <c r="L710" s="46">
        <v>12116170</v>
      </c>
      <c r="M710" s="20" t="s">
        <v>615</v>
      </c>
      <c r="N710" s="38">
        <v>0</v>
      </c>
      <c r="O710" s="38">
        <v>0</v>
      </c>
      <c r="P710" s="20" t="s">
        <v>469</v>
      </c>
      <c r="Q710" s="20">
        <v>0</v>
      </c>
      <c r="R710" s="40">
        <v>46258</v>
      </c>
      <c r="S710" s="20">
        <v>0</v>
      </c>
      <c r="T710" s="20">
        <v>0</v>
      </c>
      <c r="U710" s="40">
        <v>46259</v>
      </c>
      <c r="V710" s="40">
        <v>46259</v>
      </c>
      <c r="W710" s="20" t="s">
        <v>57</v>
      </c>
      <c r="X710" s="21"/>
      <c r="Y710" s="19">
        <v>0</v>
      </c>
      <c r="Z710" s="19">
        <v>0</v>
      </c>
      <c r="AA710" s="19">
        <v>0</v>
      </c>
      <c r="AB710" s="44">
        <f>VLOOKUP(A710,'[4]PO CAG'!$A:$L,12,0)</f>
        <v>46269</v>
      </c>
      <c r="AC710" s="22">
        <f>IFERROR(VLOOKUP(F710,[3]Sheet1!$E:$H,4,0),)</f>
        <v>0</v>
      </c>
      <c r="AD710" s="144"/>
      <c r="AE710" s="20"/>
      <c r="AF710" s="135" t="s">
        <v>112</v>
      </c>
      <c r="AG710" s="135"/>
      <c r="AH710" s="135"/>
      <c r="AI710" s="135"/>
      <c r="AJ710" s="267" t="s">
        <v>153</v>
      </c>
    </row>
    <row r="711" spans="1:36">
      <c r="A711" s="135" t="s">
        <v>5708</v>
      </c>
      <c r="B711" s="135" t="s">
        <v>5835</v>
      </c>
      <c r="C711" s="135" t="s">
        <v>5709</v>
      </c>
      <c r="D711" s="46">
        <v>11119454</v>
      </c>
      <c r="E711" s="20" t="s">
        <v>1160</v>
      </c>
      <c r="F711" s="20" t="s">
        <v>1161</v>
      </c>
      <c r="G711" s="24">
        <v>28</v>
      </c>
      <c r="H711" s="21">
        <v>46263</v>
      </c>
      <c r="I711" s="53" t="s">
        <v>5710</v>
      </c>
      <c r="J711" s="24" t="s">
        <v>5711</v>
      </c>
      <c r="K711" s="24">
        <v>28</v>
      </c>
      <c r="L711" s="46">
        <v>12116089</v>
      </c>
      <c r="M711" s="20" t="s">
        <v>1175</v>
      </c>
      <c r="N711" s="38">
        <v>0</v>
      </c>
      <c r="O711" s="38">
        <v>0</v>
      </c>
      <c r="P711" s="20" t="s">
        <v>469</v>
      </c>
      <c r="Q711" s="20">
        <v>0</v>
      </c>
      <c r="R711" s="40">
        <v>46258</v>
      </c>
      <c r="S711" s="20">
        <v>0</v>
      </c>
      <c r="T711" s="20">
        <v>0</v>
      </c>
      <c r="U711" s="40">
        <v>46259</v>
      </c>
      <c r="V711" s="40">
        <v>46259</v>
      </c>
      <c r="W711" s="20" t="s">
        <v>57</v>
      </c>
      <c r="X711" s="21"/>
      <c r="Y711" s="19">
        <v>0</v>
      </c>
      <c r="Z711" s="19">
        <v>0</v>
      </c>
      <c r="AA711" s="19">
        <v>0</v>
      </c>
      <c r="AB711" s="44">
        <f>VLOOKUP(A711,'[4]PO CAG'!$A:$L,12,0)</f>
        <v>46269</v>
      </c>
      <c r="AC711" s="22">
        <f>IFERROR(VLOOKUP(F711,[3]Sheet1!$E:$H,4,0),)</f>
        <v>0</v>
      </c>
      <c r="AD711" s="144"/>
      <c r="AE711" s="20"/>
      <c r="AF711" s="135" t="s">
        <v>112</v>
      </c>
      <c r="AG711" s="135"/>
      <c r="AH711" s="135"/>
      <c r="AI711" s="135"/>
      <c r="AJ711" s="267" t="s">
        <v>153</v>
      </c>
    </row>
    <row r="712" spans="1:36">
      <c r="A712" s="135" t="s">
        <v>5712</v>
      </c>
      <c r="B712" s="135" t="s">
        <v>5836</v>
      </c>
      <c r="C712" s="135" t="s">
        <v>5713</v>
      </c>
      <c r="D712" s="46">
        <v>11119448</v>
      </c>
      <c r="E712" s="20" t="s">
        <v>1164</v>
      </c>
      <c r="F712" s="20" t="s">
        <v>1165</v>
      </c>
      <c r="G712" s="24">
        <v>29</v>
      </c>
      <c r="H712" s="21">
        <v>46263</v>
      </c>
      <c r="I712" s="53" t="s">
        <v>5714</v>
      </c>
      <c r="J712" s="24" t="s">
        <v>5715</v>
      </c>
      <c r="K712" s="24">
        <v>29</v>
      </c>
      <c r="L712" s="46">
        <v>12116083</v>
      </c>
      <c r="M712" s="20" t="s">
        <v>1177</v>
      </c>
      <c r="N712" s="38">
        <v>0</v>
      </c>
      <c r="O712" s="38">
        <v>0</v>
      </c>
      <c r="P712" s="20" t="s">
        <v>469</v>
      </c>
      <c r="Q712" s="20">
        <v>0</v>
      </c>
      <c r="R712" s="40">
        <v>46258</v>
      </c>
      <c r="S712" s="20">
        <v>0</v>
      </c>
      <c r="T712" s="20">
        <v>0</v>
      </c>
      <c r="U712" s="40">
        <v>46259</v>
      </c>
      <c r="V712" s="40">
        <v>46259</v>
      </c>
      <c r="W712" s="20" t="s">
        <v>57</v>
      </c>
      <c r="X712" s="21"/>
      <c r="Y712" s="19">
        <v>0</v>
      </c>
      <c r="Z712" s="19">
        <v>0</v>
      </c>
      <c r="AA712" s="19">
        <v>0</v>
      </c>
      <c r="AB712" s="44">
        <f>VLOOKUP(A712,'[4]PO CAG'!$A:$L,12,0)</f>
        <v>46269</v>
      </c>
      <c r="AC712" s="22">
        <f>IFERROR(VLOOKUP(F712,[3]Sheet1!$E:$H,4,0),)</f>
        <v>0</v>
      </c>
      <c r="AD712" s="144"/>
      <c r="AE712" s="20"/>
      <c r="AF712" s="135" t="s">
        <v>112</v>
      </c>
      <c r="AG712" s="135"/>
      <c r="AH712" s="135"/>
      <c r="AI712" s="135"/>
      <c r="AJ712" s="267" t="s">
        <v>153</v>
      </c>
    </row>
    <row r="713" spans="1:36">
      <c r="A713" s="135" t="s">
        <v>5716</v>
      </c>
      <c r="B713" s="135" t="s">
        <v>5837</v>
      </c>
      <c r="C713" s="135" t="s">
        <v>5717</v>
      </c>
      <c r="D713" s="46">
        <v>11134312</v>
      </c>
      <c r="E713" s="20" t="s">
        <v>3849</v>
      </c>
      <c r="F713" s="20" t="s">
        <v>3850</v>
      </c>
      <c r="G713" s="24">
        <v>1</v>
      </c>
      <c r="H713" s="21">
        <v>46263</v>
      </c>
      <c r="I713" s="53" t="s">
        <v>5718</v>
      </c>
      <c r="J713" s="24" t="s">
        <v>5719</v>
      </c>
      <c r="K713" s="24">
        <v>1</v>
      </c>
      <c r="L713" s="46">
        <v>12116320</v>
      </c>
      <c r="M713" s="20" t="s">
        <v>3921</v>
      </c>
      <c r="N713" s="38">
        <v>0</v>
      </c>
      <c r="O713" s="38">
        <v>0</v>
      </c>
      <c r="P713" s="20" t="s">
        <v>469</v>
      </c>
      <c r="Q713" s="20">
        <v>0</v>
      </c>
      <c r="R713" s="40">
        <v>46258</v>
      </c>
      <c r="S713" s="20">
        <v>0</v>
      </c>
      <c r="T713" s="20">
        <v>0</v>
      </c>
      <c r="U713" s="40">
        <v>46259</v>
      </c>
      <c r="V713" s="40">
        <v>46259</v>
      </c>
      <c r="W713" s="20" t="s">
        <v>58</v>
      </c>
      <c r="X713" s="21"/>
      <c r="Y713" s="19">
        <v>0</v>
      </c>
      <c r="Z713" s="19">
        <v>0</v>
      </c>
      <c r="AA713" s="19">
        <v>0</v>
      </c>
      <c r="AB713" s="44">
        <f>VLOOKUP(A713,'[4]PO CAG'!$A:$L,12,0)</f>
        <v>46274</v>
      </c>
      <c r="AC713" s="22">
        <f>IFERROR(VLOOKUP(F713,[3]Sheet1!$E:$H,4,0),)</f>
        <v>0</v>
      </c>
      <c r="AD713" s="144"/>
      <c r="AE713" s="20"/>
      <c r="AF713" s="135" t="s">
        <v>112</v>
      </c>
      <c r="AG713" s="135"/>
      <c r="AH713" s="135"/>
      <c r="AI713" s="135"/>
      <c r="AJ713" s="267" t="s">
        <v>188</v>
      </c>
    </row>
    <row r="714" spans="1:36">
      <c r="A714" s="135" t="s">
        <v>5720</v>
      </c>
      <c r="B714" s="135" t="s">
        <v>5838</v>
      </c>
      <c r="C714" s="135" t="s">
        <v>5721</v>
      </c>
      <c r="D714" s="46">
        <v>11134290</v>
      </c>
      <c r="E714" s="20" t="s">
        <v>1270</v>
      </c>
      <c r="F714" s="20" t="s">
        <v>1271</v>
      </c>
      <c r="G714" s="24">
        <v>7</v>
      </c>
      <c r="H714" s="21">
        <v>46263</v>
      </c>
      <c r="I714" s="53" t="s">
        <v>5722</v>
      </c>
      <c r="J714" s="24" t="s">
        <v>5723</v>
      </c>
      <c r="K714" s="24">
        <v>7</v>
      </c>
      <c r="L714" s="46">
        <v>12116202</v>
      </c>
      <c r="M714" s="20" t="s">
        <v>1282</v>
      </c>
      <c r="N714" s="38">
        <v>0</v>
      </c>
      <c r="O714" s="38">
        <v>0</v>
      </c>
      <c r="P714" s="20" t="s">
        <v>469</v>
      </c>
      <c r="Q714" s="20">
        <v>0</v>
      </c>
      <c r="R714" s="40">
        <v>46258</v>
      </c>
      <c r="S714" s="20">
        <v>0</v>
      </c>
      <c r="T714" s="20">
        <v>0</v>
      </c>
      <c r="U714" s="40">
        <v>46259</v>
      </c>
      <c r="V714" s="40">
        <v>46259</v>
      </c>
      <c r="W714" s="20" t="s">
        <v>58</v>
      </c>
      <c r="X714" s="21"/>
      <c r="Y714" s="19">
        <v>0</v>
      </c>
      <c r="Z714" s="19">
        <v>0</v>
      </c>
      <c r="AA714" s="19">
        <v>0</v>
      </c>
      <c r="AB714" s="44">
        <f>VLOOKUP(A714,'[4]PO CAG'!$A:$L,12,0)</f>
        <v>46269</v>
      </c>
      <c r="AC714" s="22">
        <f>IFERROR(VLOOKUP(F714,[3]Sheet1!$E:$H,4,0),)</f>
        <v>0</v>
      </c>
      <c r="AD714" s="144"/>
      <c r="AE714" s="20"/>
      <c r="AF714" s="135" t="s">
        <v>112</v>
      </c>
      <c r="AG714" s="135"/>
      <c r="AH714" s="135"/>
      <c r="AI714" s="135"/>
      <c r="AJ714" s="267" t="s">
        <v>188</v>
      </c>
    </row>
    <row r="715" spans="1:36">
      <c r="A715" s="135" t="s">
        <v>5724</v>
      </c>
      <c r="B715" s="135" t="s">
        <v>5839</v>
      </c>
      <c r="C715" s="135" t="s">
        <v>5725</v>
      </c>
      <c r="D715" s="46">
        <v>11134263</v>
      </c>
      <c r="E715" s="20" t="s">
        <v>3894</v>
      </c>
      <c r="F715" s="20" t="s">
        <v>3895</v>
      </c>
      <c r="G715" s="24">
        <v>14</v>
      </c>
      <c r="H715" s="21">
        <v>46270</v>
      </c>
      <c r="I715" s="53" t="s">
        <v>5726</v>
      </c>
      <c r="J715" s="24" t="s">
        <v>5727</v>
      </c>
      <c r="K715" s="24">
        <v>14</v>
      </c>
      <c r="L715" s="46">
        <v>12116067</v>
      </c>
      <c r="M715" s="20" t="s">
        <v>3925</v>
      </c>
      <c r="N715" s="38">
        <v>0</v>
      </c>
      <c r="O715" s="38">
        <v>0</v>
      </c>
      <c r="P715" s="20" t="s">
        <v>469</v>
      </c>
      <c r="Q715" s="20">
        <v>0</v>
      </c>
      <c r="R715" s="40">
        <v>46258</v>
      </c>
      <c r="S715" s="20">
        <v>0</v>
      </c>
      <c r="T715" s="20">
        <v>0</v>
      </c>
      <c r="U715" s="40">
        <v>46259</v>
      </c>
      <c r="V715" s="40">
        <v>46259</v>
      </c>
      <c r="W715" s="20" t="s">
        <v>58</v>
      </c>
      <c r="X715" s="21"/>
      <c r="Y715" s="19">
        <v>0</v>
      </c>
      <c r="Z715" s="19">
        <v>0</v>
      </c>
      <c r="AA715" s="19">
        <v>0</v>
      </c>
      <c r="AB715" s="44">
        <f>VLOOKUP(A715,'[4]PO CAG'!$A:$L,12,0)</f>
        <v>46274</v>
      </c>
      <c r="AC715" s="22">
        <f>IFERROR(VLOOKUP(F715,[3]Sheet1!$E:$H,4,0),)</f>
        <v>0</v>
      </c>
      <c r="AD715" s="144"/>
      <c r="AE715" s="20"/>
      <c r="AF715" s="135" t="s">
        <v>112</v>
      </c>
      <c r="AG715" s="135"/>
      <c r="AH715" s="135"/>
      <c r="AI715" s="135"/>
      <c r="AJ715" s="267" t="s">
        <v>188</v>
      </c>
    </row>
    <row r="716" spans="1:36">
      <c r="A716" s="135" t="s">
        <v>5728</v>
      </c>
      <c r="B716" s="135" t="s">
        <v>5840</v>
      </c>
      <c r="C716" s="135" t="s">
        <v>5729</v>
      </c>
      <c r="D716" s="46">
        <v>11134265</v>
      </c>
      <c r="E716" s="20" t="s">
        <v>3875</v>
      </c>
      <c r="F716" s="20" t="s">
        <v>3876</v>
      </c>
      <c r="G716" s="24">
        <v>15</v>
      </c>
      <c r="H716" s="21">
        <v>46270</v>
      </c>
      <c r="I716" s="53" t="s">
        <v>5730</v>
      </c>
      <c r="J716" s="24" t="s">
        <v>5731</v>
      </c>
      <c r="K716" s="24">
        <v>15</v>
      </c>
      <c r="L716" s="46">
        <v>12116069</v>
      </c>
      <c r="M716" s="20" t="s">
        <v>3923</v>
      </c>
      <c r="N716" s="38">
        <v>0</v>
      </c>
      <c r="O716" s="38">
        <v>0</v>
      </c>
      <c r="P716" s="20" t="s">
        <v>469</v>
      </c>
      <c r="Q716" s="20">
        <v>0</v>
      </c>
      <c r="R716" s="40">
        <v>46258</v>
      </c>
      <c r="S716" s="20">
        <v>0</v>
      </c>
      <c r="T716" s="20">
        <v>0</v>
      </c>
      <c r="U716" s="40">
        <v>46259</v>
      </c>
      <c r="V716" s="40">
        <v>46259</v>
      </c>
      <c r="W716" s="20" t="s">
        <v>58</v>
      </c>
      <c r="X716" s="21"/>
      <c r="Y716" s="19">
        <v>0</v>
      </c>
      <c r="Z716" s="19">
        <v>0</v>
      </c>
      <c r="AA716" s="19">
        <v>0</v>
      </c>
      <c r="AB716" s="44">
        <f>VLOOKUP(A716,'[4]PO CAG'!$A:$L,12,0)</f>
        <v>46274</v>
      </c>
      <c r="AC716" s="22">
        <f>IFERROR(VLOOKUP(F716,[3]Sheet1!$E:$H,4,0),)</f>
        <v>0</v>
      </c>
      <c r="AD716" s="144"/>
      <c r="AE716" s="20"/>
      <c r="AF716" s="135" t="s">
        <v>112</v>
      </c>
      <c r="AG716" s="135"/>
      <c r="AH716" s="135"/>
      <c r="AI716" s="135"/>
      <c r="AJ716" s="267" t="s">
        <v>188</v>
      </c>
    </row>
    <row r="717" spans="1:36">
      <c r="A717" s="135" t="s">
        <v>5732</v>
      </c>
      <c r="B717" s="135" t="s">
        <v>5841</v>
      </c>
      <c r="C717" s="135" t="s">
        <v>5733</v>
      </c>
      <c r="D717" s="46">
        <v>11134258</v>
      </c>
      <c r="E717" s="20" t="s">
        <v>480</v>
      </c>
      <c r="F717" s="20" t="s">
        <v>481</v>
      </c>
      <c r="G717" s="24">
        <v>24</v>
      </c>
      <c r="H717" s="21">
        <v>46270</v>
      </c>
      <c r="I717" s="53" t="s">
        <v>5734</v>
      </c>
      <c r="J717" s="24" t="s">
        <v>5735</v>
      </c>
      <c r="K717" s="24">
        <v>24</v>
      </c>
      <c r="L717" s="46">
        <v>12116062</v>
      </c>
      <c r="M717" s="20" t="s">
        <v>485</v>
      </c>
      <c r="N717" s="38">
        <v>0</v>
      </c>
      <c r="O717" s="38">
        <v>0</v>
      </c>
      <c r="P717" s="20" t="s">
        <v>469</v>
      </c>
      <c r="Q717" s="20">
        <v>0</v>
      </c>
      <c r="R717" s="40">
        <v>46258</v>
      </c>
      <c r="S717" s="20">
        <v>0</v>
      </c>
      <c r="T717" s="20">
        <v>0</v>
      </c>
      <c r="U717" s="40">
        <v>46259</v>
      </c>
      <c r="V717" s="40">
        <v>46259</v>
      </c>
      <c r="W717" s="20" t="s">
        <v>58</v>
      </c>
      <c r="X717" s="21"/>
      <c r="Y717" s="19">
        <v>0</v>
      </c>
      <c r="Z717" s="19">
        <v>0</v>
      </c>
      <c r="AA717" s="19">
        <v>0</v>
      </c>
      <c r="AB717" s="44">
        <f>VLOOKUP(A717,'[4]PO CAG'!$A:$L,12,0)</f>
        <v>46274</v>
      </c>
      <c r="AC717" s="22">
        <f>IFERROR(VLOOKUP(F717,[3]Sheet1!$E:$H,4,0),)</f>
        <v>0</v>
      </c>
      <c r="AD717" s="144"/>
      <c r="AE717" s="20"/>
      <c r="AF717" s="135" t="s">
        <v>112</v>
      </c>
      <c r="AG717" s="135"/>
      <c r="AH717" s="135"/>
      <c r="AI717" s="135"/>
      <c r="AJ717" s="267" t="s">
        <v>188</v>
      </c>
    </row>
    <row r="718" spans="1:36">
      <c r="A718" s="135" t="s">
        <v>5736</v>
      </c>
      <c r="B718" s="135" t="s">
        <v>5842</v>
      </c>
      <c r="C718" s="135" t="s">
        <v>5737</v>
      </c>
      <c r="D718" s="46">
        <v>11134250</v>
      </c>
      <c r="E718" s="20" t="s">
        <v>3869</v>
      </c>
      <c r="F718" s="20" t="s">
        <v>3870</v>
      </c>
      <c r="G718" s="24">
        <v>25</v>
      </c>
      <c r="H718" s="21">
        <v>46270</v>
      </c>
      <c r="I718" s="53" t="s">
        <v>5738</v>
      </c>
      <c r="J718" s="24" t="s">
        <v>5739</v>
      </c>
      <c r="K718" s="24">
        <v>25</v>
      </c>
      <c r="L718" s="46">
        <v>12116034</v>
      </c>
      <c r="M718" s="20" t="s">
        <v>105</v>
      </c>
      <c r="N718" s="38">
        <v>0</v>
      </c>
      <c r="O718" s="38">
        <v>0</v>
      </c>
      <c r="P718" s="20" t="s">
        <v>469</v>
      </c>
      <c r="Q718" s="20">
        <v>0</v>
      </c>
      <c r="R718" s="40">
        <v>46258</v>
      </c>
      <c r="S718" s="20">
        <v>0</v>
      </c>
      <c r="T718" s="20">
        <v>0</v>
      </c>
      <c r="U718" s="40">
        <v>46259</v>
      </c>
      <c r="V718" s="40">
        <v>46259</v>
      </c>
      <c r="W718" s="20" t="s">
        <v>58</v>
      </c>
      <c r="X718" s="21"/>
      <c r="Y718" s="19">
        <v>0</v>
      </c>
      <c r="Z718" s="19">
        <v>0</v>
      </c>
      <c r="AA718" s="19">
        <v>0</v>
      </c>
      <c r="AB718" s="44">
        <f>VLOOKUP(A718,'[4]PO CAG'!$A:$L,12,0)</f>
        <v>46274</v>
      </c>
      <c r="AC718" s="22">
        <f>IFERROR(VLOOKUP(F718,[3]Sheet1!$E:$H,4,0),)</f>
        <v>0</v>
      </c>
      <c r="AD718" s="144"/>
      <c r="AE718" s="20"/>
      <c r="AF718" s="135" t="s">
        <v>112</v>
      </c>
      <c r="AG718" s="135"/>
      <c r="AH718" s="135"/>
      <c r="AI718" s="135"/>
      <c r="AJ718" s="267" t="s">
        <v>188</v>
      </c>
    </row>
    <row r="719" spans="1:36">
      <c r="A719" s="135" t="s">
        <v>5740</v>
      </c>
      <c r="B719" s="135" t="s">
        <v>5843</v>
      </c>
      <c r="C719" s="135" t="s">
        <v>5741</v>
      </c>
      <c r="D719" s="46">
        <v>11134252</v>
      </c>
      <c r="E719" s="20" t="s">
        <v>3184</v>
      </c>
      <c r="F719" s="20" t="s">
        <v>3185</v>
      </c>
      <c r="G719" s="24">
        <v>32</v>
      </c>
      <c r="H719" s="21">
        <v>46270</v>
      </c>
      <c r="I719" s="53" t="s">
        <v>5742</v>
      </c>
      <c r="J719" s="24" t="s">
        <v>5743</v>
      </c>
      <c r="K719" s="24">
        <v>32</v>
      </c>
      <c r="L719" s="46">
        <v>12116036</v>
      </c>
      <c r="M719" s="20" t="s">
        <v>103</v>
      </c>
      <c r="N719" s="38">
        <v>0</v>
      </c>
      <c r="O719" s="38">
        <v>0</v>
      </c>
      <c r="P719" s="20" t="s">
        <v>469</v>
      </c>
      <c r="Q719" s="20">
        <v>0</v>
      </c>
      <c r="R719" s="40">
        <v>46258</v>
      </c>
      <c r="S719" s="20">
        <v>0</v>
      </c>
      <c r="T719" s="20">
        <v>0</v>
      </c>
      <c r="U719" s="40">
        <v>46259</v>
      </c>
      <c r="V719" s="40">
        <v>46259</v>
      </c>
      <c r="W719" s="20" t="s">
        <v>58</v>
      </c>
      <c r="X719" s="21"/>
      <c r="Y719" s="19">
        <v>0</v>
      </c>
      <c r="Z719" s="19">
        <v>0</v>
      </c>
      <c r="AA719" s="19">
        <v>0</v>
      </c>
      <c r="AB719" s="44">
        <f>VLOOKUP(A719,'[4]PO CAG'!$A:$L,12,0)</f>
        <v>46274</v>
      </c>
      <c r="AC719" s="22">
        <f>IFERROR(VLOOKUP(F719,[3]Sheet1!$E:$H,4,0),)</f>
        <v>0</v>
      </c>
      <c r="AD719" s="144"/>
      <c r="AE719" s="20"/>
      <c r="AF719" s="135" t="s">
        <v>112</v>
      </c>
      <c r="AG719" s="135"/>
      <c r="AH719" s="135"/>
      <c r="AI719" s="135"/>
      <c r="AJ719" s="267" t="s">
        <v>188</v>
      </c>
    </row>
    <row r="720" spans="1:36">
      <c r="A720" s="135" t="s">
        <v>5744</v>
      </c>
      <c r="B720" s="135" t="s">
        <v>5844</v>
      </c>
      <c r="C720" s="135" t="s">
        <v>5745</v>
      </c>
      <c r="D720" s="46">
        <v>11134282</v>
      </c>
      <c r="E720" s="20" t="s">
        <v>3265</v>
      </c>
      <c r="F720" s="20" t="s">
        <v>3266</v>
      </c>
      <c r="G720" s="24">
        <v>32</v>
      </c>
      <c r="H720" s="21">
        <v>46270</v>
      </c>
      <c r="I720" s="53" t="s">
        <v>5746</v>
      </c>
      <c r="J720" s="24" t="s">
        <v>5747</v>
      </c>
      <c r="K720" s="24">
        <v>32</v>
      </c>
      <c r="L720" s="46">
        <v>12116194</v>
      </c>
      <c r="M720" s="20" t="s">
        <v>3325</v>
      </c>
      <c r="N720" s="38">
        <v>0</v>
      </c>
      <c r="O720" s="38">
        <v>0</v>
      </c>
      <c r="P720" s="20" t="s">
        <v>469</v>
      </c>
      <c r="Q720" s="20">
        <v>0</v>
      </c>
      <c r="R720" s="40">
        <v>46258</v>
      </c>
      <c r="S720" s="20">
        <v>0</v>
      </c>
      <c r="T720" s="20">
        <v>0</v>
      </c>
      <c r="U720" s="40">
        <v>46259</v>
      </c>
      <c r="V720" s="40">
        <v>46259</v>
      </c>
      <c r="W720" s="20" t="s">
        <v>58</v>
      </c>
      <c r="X720" s="21"/>
      <c r="Y720" s="19">
        <v>0</v>
      </c>
      <c r="Z720" s="19">
        <v>0</v>
      </c>
      <c r="AA720" s="19">
        <v>0</v>
      </c>
      <c r="AB720" s="44">
        <f>VLOOKUP(A720,'[4]PO CAG'!$A:$L,12,0)</f>
        <v>46274</v>
      </c>
      <c r="AC720" s="22">
        <f>IFERROR(VLOOKUP(F720,[3]Sheet1!$E:$H,4,0),)</f>
        <v>0</v>
      </c>
      <c r="AD720" s="144"/>
      <c r="AE720" s="20"/>
      <c r="AF720" s="135" t="s">
        <v>112</v>
      </c>
      <c r="AG720" s="135"/>
      <c r="AH720" s="135"/>
      <c r="AI720" s="135"/>
      <c r="AJ720" s="267" t="s">
        <v>188</v>
      </c>
    </row>
    <row r="721" spans="1:36">
      <c r="A721" s="135" t="s">
        <v>5748</v>
      </c>
      <c r="B721" s="135" t="s">
        <v>5845</v>
      </c>
      <c r="C721" s="135" t="s">
        <v>5749</v>
      </c>
      <c r="D721" s="46">
        <v>11134262</v>
      </c>
      <c r="E721" s="20" t="s">
        <v>3631</v>
      </c>
      <c r="F721" s="20" t="s">
        <v>3632</v>
      </c>
      <c r="G721" s="24">
        <v>41</v>
      </c>
      <c r="H721" s="21">
        <v>46270</v>
      </c>
      <c r="I721" s="53" t="s">
        <v>5750</v>
      </c>
      <c r="J721" s="24" t="s">
        <v>5751</v>
      </c>
      <c r="K721" s="24">
        <v>41</v>
      </c>
      <c r="L721" s="46">
        <v>12116066</v>
      </c>
      <c r="M721" s="20" t="s">
        <v>3671</v>
      </c>
      <c r="N721" s="38">
        <v>0</v>
      </c>
      <c r="O721" s="38">
        <v>0</v>
      </c>
      <c r="P721" s="20" t="s">
        <v>469</v>
      </c>
      <c r="Q721" s="20">
        <v>0</v>
      </c>
      <c r="R721" s="40">
        <v>46258</v>
      </c>
      <c r="S721" s="20">
        <v>0</v>
      </c>
      <c r="T721" s="20">
        <v>0</v>
      </c>
      <c r="U721" s="40">
        <v>46259</v>
      </c>
      <c r="V721" s="40">
        <v>46259</v>
      </c>
      <c r="W721" s="20" t="s">
        <v>58</v>
      </c>
      <c r="X721" s="21"/>
      <c r="Y721" s="19">
        <v>0</v>
      </c>
      <c r="Z721" s="19">
        <v>0</v>
      </c>
      <c r="AA721" s="19">
        <v>0</v>
      </c>
      <c r="AB721" s="44">
        <f>VLOOKUP(A721,'[4]PO CAG'!$A:$L,12,0)</f>
        <v>46274</v>
      </c>
      <c r="AC721" s="22">
        <f>IFERROR(VLOOKUP(F721,[3]Sheet1!$E:$H,4,0),)</f>
        <v>0</v>
      </c>
      <c r="AD721" s="144"/>
      <c r="AE721" s="20"/>
      <c r="AF721" s="135" t="s">
        <v>112</v>
      </c>
      <c r="AG721" s="135"/>
      <c r="AH721" s="135"/>
      <c r="AI721" s="135"/>
      <c r="AJ721" s="267" t="s">
        <v>188</v>
      </c>
    </row>
    <row r="722" spans="1:36">
      <c r="A722" s="135" t="s">
        <v>5752</v>
      </c>
      <c r="B722" s="135" t="s">
        <v>5846</v>
      </c>
      <c r="C722" s="135" t="s">
        <v>5753</v>
      </c>
      <c r="D722" s="46">
        <v>11134261</v>
      </c>
      <c r="E722" s="20" t="s">
        <v>3196</v>
      </c>
      <c r="F722" s="20" t="s">
        <v>3197</v>
      </c>
      <c r="G722" s="24">
        <v>74</v>
      </c>
      <c r="H722" s="21">
        <v>46270</v>
      </c>
      <c r="I722" s="53" t="s">
        <v>5754</v>
      </c>
      <c r="J722" s="24" t="s">
        <v>5755</v>
      </c>
      <c r="K722" s="24">
        <v>74</v>
      </c>
      <c r="L722" s="46">
        <v>12116065</v>
      </c>
      <c r="M722" s="20" t="s">
        <v>3206</v>
      </c>
      <c r="N722" s="38">
        <v>0</v>
      </c>
      <c r="O722" s="38">
        <v>0</v>
      </c>
      <c r="P722" s="20" t="s">
        <v>469</v>
      </c>
      <c r="Q722" s="20">
        <v>0</v>
      </c>
      <c r="R722" s="40">
        <v>46258</v>
      </c>
      <c r="S722" s="20">
        <v>0</v>
      </c>
      <c r="T722" s="20">
        <v>0</v>
      </c>
      <c r="U722" s="40">
        <v>46259</v>
      </c>
      <c r="V722" s="40">
        <v>46259</v>
      </c>
      <c r="W722" s="20" t="s">
        <v>58</v>
      </c>
      <c r="X722" s="21"/>
      <c r="Y722" s="19">
        <v>0</v>
      </c>
      <c r="Z722" s="19">
        <v>0</v>
      </c>
      <c r="AA722" s="19">
        <v>0</v>
      </c>
      <c r="AB722" s="44">
        <f>VLOOKUP(A722,'[4]PO CAG'!$A:$L,12,0)</f>
        <v>46274</v>
      </c>
      <c r="AC722" s="22">
        <f>IFERROR(VLOOKUP(F722,[3]Sheet1!$E:$H,4,0),)</f>
        <v>0</v>
      </c>
      <c r="AD722" s="144"/>
      <c r="AE722" s="20"/>
      <c r="AF722" s="135" t="s">
        <v>112</v>
      </c>
      <c r="AG722" s="135"/>
      <c r="AH722" s="135"/>
      <c r="AI722" s="135"/>
      <c r="AJ722" s="267" t="s">
        <v>188</v>
      </c>
    </row>
    <row r="723" spans="1:36">
      <c r="A723" s="135" t="s">
        <v>5756</v>
      </c>
      <c r="B723" s="135" t="s">
        <v>5847</v>
      </c>
      <c r="C723" s="135" t="s">
        <v>5757</v>
      </c>
      <c r="D723" s="46">
        <v>11134260</v>
      </c>
      <c r="E723" s="20" t="s">
        <v>3202</v>
      </c>
      <c r="F723" s="20" t="s">
        <v>3203</v>
      </c>
      <c r="G723" s="24">
        <v>217</v>
      </c>
      <c r="H723" s="21">
        <v>46270</v>
      </c>
      <c r="I723" s="53" t="s">
        <v>5758</v>
      </c>
      <c r="J723" s="24" t="s">
        <v>5759</v>
      </c>
      <c r="K723" s="24">
        <v>217</v>
      </c>
      <c r="L723" s="46">
        <v>12116064</v>
      </c>
      <c r="M723" s="20" t="s">
        <v>98</v>
      </c>
      <c r="N723" s="38">
        <v>0</v>
      </c>
      <c r="O723" s="38">
        <v>0</v>
      </c>
      <c r="P723" s="20" t="s">
        <v>469</v>
      </c>
      <c r="Q723" s="20">
        <v>0</v>
      </c>
      <c r="R723" s="40">
        <v>46258</v>
      </c>
      <c r="S723" s="20">
        <v>0</v>
      </c>
      <c r="T723" s="20">
        <v>0</v>
      </c>
      <c r="U723" s="40">
        <v>46259</v>
      </c>
      <c r="V723" s="40">
        <v>46259</v>
      </c>
      <c r="W723" s="20" t="s">
        <v>58</v>
      </c>
      <c r="X723" s="21"/>
      <c r="Y723" s="19">
        <v>0</v>
      </c>
      <c r="Z723" s="19">
        <v>0</v>
      </c>
      <c r="AA723" s="19">
        <v>0</v>
      </c>
      <c r="AB723" s="44">
        <f>VLOOKUP(A723,'[4]PO CAG'!$A:$L,12,0)</f>
        <v>46274</v>
      </c>
      <c r="AC723" s="22">
        <f>IFERROR(VLOOKUP(F723,[3]Sheet1!$E:$H,4,0),)</f>
        <v>0</v>
      </c>
      <c r="AD723" s="144"/>
      <c r="AE723" s="20"/>
      <c r="AF723" s="135" t="s">
        <v>112</v>
      </c>
      <c r="AG723" s="135"/>
      <c r="AH723" s="135"/>
      <c r="AI723" s="135"/>
      <c r="AJ723" s="267" t="s">
        <v>188</v>
      </c>
    </row>
    <row r="724" spans="1:36">
      <c r="A724" s="135" t="s">
        <v>5760</v>
      </c>
      <c r="B724" s="135" t="s">
        <v>5848</v>
      </c>
      <c r="C724" s="135" t="s">
        <v>5761</v>
      </c>
      <c r="D724" s="46">
        <v>11134281</v>
      </c>
      <c r="E724" s="20" t="s">
        <v>3637</v>
      </c>
      <c r="F724" s="20" t="s">
        <v>3638</v>
      </c>
      <c r="G724" s="24">
        <v>238</v>
      </c>
      <c r="H724" s="21">
        <v>46270</v>
      </c>
      <c r="I724" s="53" t="s">
        <v>5762</v>
      </c>
      <c r="J724" s="24" t="s">
        <v>5763</v>
      </c>
      <c r="K724" s="24">
        <v>238</v>
      </c>
      <c r="L724" s="46">
        <v>12116193</v>
      </c>
      <c r="M724" s="20" t="s">
        <v>551</v>
      </c>
      <c r="N724" s="38">
        <v>0</v>
      </c>
      <c r="O724" s="38">
        <v>0</v>
      </c>
      <c r="P724" s="20" t="s">
        <v>469</v>
      </c>
      <c r="Q724" s="20">
        <v>0</v>
      </c>
      <c r="R724" s="40">
        <v>46258</v>
      </c>
      <c r="S724" s="20">
        <v>0</v>
      </c>
      <c r="T724" s="20">
        <v>0</v>
      </c>
      <c r="U724" s="40">
        <v>46259</v>
      </c>
      <c r="V724" s="40">
        <v>46259</v>
      </c>
      <c r="W724" s="20" t="s">
        <v>58</v>
      </c>
      <c r="X724" s="21"/>
      <c r="Y724" s="19">
        <v>0</v>
      </c>
      <c r="Z724" s="19">
        <v>0</v>
      </c>
      <c r="AA724" s="19">
        <v>0</v>
      </c>
      <c r="AB724" s="44">
        <f>VLOOKUP(A724,'[4]PO CAG'!$A:$L,12,0)</f>
        <v>46274</v>
      </c>
      <c r="AC724" s="22">
        <f>IFERROR(VLOOKUP(F724,[3]Sheet1!$E:$H,4,0),)</f>
        <v>0</v>
      </c>
      <c r="AD724" s="144"/>
      <c r="AE724" s="20"/>
      <c r="AF724" s="135" t="s">
        <v>112</v>
      </c>
      <c r="AG724" s="135"/>
      <c r="AH724" s="135"/>
      <c r="AI724" s="135"/>
      <c r="AJ724" s="267" t="s">
        <v>188</v>
      </c>
    </row>
    <row r="725" spans="1:36">
      <c r="A725" s="135" t="s">
        <v>5987</v>
      </c>
      <c r="B725" s="135" t="s">
        <v>6022</v>
      </c>
      <c r="C725" s="135" t="s">
        <v>5988</v>
      </c>
      <c r="D725" s="46">
        <v>11134285</v>
      </c>
      <c r="E725" s="20" t="s">
        <v>3259</v>
      </c>
      <c r="F725" s="20" t="s">
        <v>3260</v>
      </c>
      <c r="G725" s="24">
        <v>83</v>
      </c>
      <c r="H725" s="21">
        <v>46270</v>
      </c>
      <c r="I725" s="53" t="s">
        <v>5989</v>
      </c>
      <c r="J725" s="24" t="s">
        <v>5990</v>
      </c>
      <c r="K725" s="24">
        <v>83</v>
      </c>
      <c r="L725" s="46">
        <v>12116197</v>
      </c>
      <c r="M725" s="20" t="s">
        <v>3324</v>
      </c>
      <c r="N725" s="38">
        <v>0</v>
      </c>
      <c r="O725" s="38">
        <v>0</v>
      </c>
      <c r="P725" s="20" t="s">
        <v>469</v>
      </c>
      <c r="Q725" s="20">
        <v>0</v>
      </c>
      <c r="R725" s="40">
        <v>46259</v>
      </c>
      <c r="S725" s="20">
        <v>0</v>
      </c>
      <c r="T725" s="20">
        <v>0</v>
      </c>
      <c r="U725" s="40">
        <v>46260</v>
      </c>
      <c r="V725" s="40">
        <v>46260</v>
      </c>
      <c r="W725" s="20" t="s">
        <v>57</v>
      </c>
      <c r="X725" s="21"/>
      <c r="Y725" s="19">
        <v>0</v>
      </c>
      <c r="Z725" s="19">
        <v>0</v>
      </c>
      <c r="AA725" s="19">
        <v>0</v>
      </c>
      <c r="AB725" s="44">
        <f>VLOOKUP(A725,'[4]PO CAG'!$A:$L,12,0)</f>
        <v>46274</v>
      </c>
      <c r="AC725" s="22">
        <f>IFERROR(VLOOKUP(F725,[3]Sheet1!$E:$H,4,0),)</f>
        <v>0</v>
      </c>
      <c r="AD725" s="144"/>
      <c r="AE725" s="20"/>
      <c r="AF725" s="135" t="s">
        <v>112</v>
      </c>
      <c r="AG725" s="135"/>
      <c r="AH725" s="135"/>
      <c r="AI725" s="135"/>
      <c r="AJ725" s="267" t="s">
        <v>153</v>
      </c>
    </row>
    <row r="726" spans="1:36">
      <c r="A726" s="135" t="s">
        <v>5744</v>
      </c>
      <c r="B726" s="135" t="s">
        <v>6023</v>
      </c>
      <c r="C726" s="135" t="s">
        <v>5991</v>
      </c>
      <c r="D726" s="46">
        <v>11134282</v>
      </c>
      <c r="E726" s="20" t="s">
        <v>3265</v>
      </c>
      <c r="F726" s="20" t="s">
        <v>3266</v>
      </c>
      <c r="G726" s="24">
        <v>161</v>
      </c>
      <c r="H726" s="21">
        <v>46270</v>
      </c>
      <c r="I726" s="53" t="s">
        <v>5992</v>
      </c>
      <c r="J726" s="24" t="s">
        <v>5993</v>
      </c>
      <c r="K726" s="24">
        <v>161</v>
      </c>
      <c r="L726" s="46">
        <v>12116194</v>
      </c>
      <c r="M726" s="20" t="s">
        <v>3325</v>
      </c>
      <c r="N726" s="38">
        <v>0</v>
      </c>
      <c r="O726" s="38">
        <v>0</v>
      </c>
      <c r="P726" s="20" t="s">
        <v>469</v>
      </c>
      <c r="Q726" s="20">
        <v>0</v>
      </c>
      <c r="R726" s="40">
        <v>46259</v>
      </c>
      <c r="S726" s="20">
        <v>0</v>
      </c>
      <c r="T726" s="20">
        <v>0</v>
      </c>
      <c r="U726" s="40">
        <v>46260</v>
      </c>
      <c r="V726" s="40">
        <v>46260</v>
      </c>
      <c r="W726" s="20" t="s">
        <v>57</v>
      </c>
      <c r="X726" s="21"/>
      <c r="Y726" s="19">
        <v>0</v>
      </c>
      <c r="Z726" s="19">
        <v>0</v>
      </c>
      <c r="AA726" s="19">
        <v>0</v>
      </c>
      <c r="AB726" s="44">
        <f>VLOOKUP(A726,'[4]PO CAG'!$A:$L,12,0)</f>
        <v>46274</v>
      </c>
      <c r="AC726" s="22">
        <f>IFERROR(VLOOKUP(F726,[3]Sheet1!$E:$H,4,0),)</f>
        <v>0</v>
      </c>
      <c r="AD726" s="144"/>
      <c r="AE726" s="20"/>
      <c r="AF726" s="135" t="s">
        <v>112</v>
      </c>
      <c r="AG726" s="135"/>
      <c r="AH726" s="135"/>
      <c r="AI726" s="135"/>
      <c r="AJ726" s="267" t="s">
        <v>153</v>
      </c>
    </row>
    <row r="727" spans="1:36">
      <c r="A727" s="135" t="s">
        <v>5994</v>
      </c>
      <c r="B727" s="135" t="s">
        <v>6024</v>
      </c>
      <c r="C727" s="135" t="s">
        <v>5995</v>
      </c>
      <c r="D727" s="46">
        <v>11119503</v>
      </c>
      <c r="E727" s="20" t="s">
        <v>478</v>
      </c>
      <c r="F727" s="20" t="s">
        <v>479</v>
      </c>
      <c r="G727" s="24">
        <v>13</v>
      </c>
      <c r="H727" s="21">
        <v>46270</v>
      </c>
      <c r="I727" s="53" t="s">
        <v>5996</v>
      </c>
      <c r="J727" s="24" t="s">
        <v>5997</v>
      </c>
      <c r="K727" s="24">
        <v>13</v>
      </c>
      <c r="L727" s="46">
        <v>12116138</v>
      </c>
      <c r="M727" s="20" t="s">
        <v>484</v>
      </c>
      <c r="N727" s="38">
        <v>0</v>
      </c>
      <c r="O727" s="38">
        <v>0</v>
      </c>
      <c r="P727" s="20" t="s">
        <v>469</v>
      </c>
      <c r="Q727" s="20">
        <v>0</v>
      </c>
      <c r="R727" s="40">
        <v>46259</v>
      </c>
      <c r="S727" s="20">
        <v>0</v>
      </c>
      <c r="T727" s="20">
        <v>0</v>
      </c>
      <c r="U727" s="40">
        <v>46260</v>
      </c>
      <c r="V727" s="40">
        <v>46260</v>
      </c>
      <c r="W727" s="20" t="s">
        <v>57</v>
      </c>
      <c r="X727" s="21"/>
      <c r="Y727" s="19">
        <v>0</v>
      </c>
      <c r="Z727" s="19">
        <v>0</v>
      </c>
      <c r="AA727" s="19">
        <v>0</v>
      </c>
      <c r="AB727" s="44">
        <f>VLOOKUP(A727,'[4]PO CAG'!$A:$L,12,0)</f>
        <v>46274</v>
      </c>
      <c r="AC727" s="22">
        <f>IFERROR(VLOOKUP(F727,[3]Sheet1!$E:$H,4,0),)</f>
        <v>0</v>
      </c>
      <c r="AD727" s="144"/>
      <c r="AE727" s="20"/>
      <c r="AF727" s="135" t="s">
        <v>112</v>
      </c>
      <c r="AG727" s="135"/>
      <c r="AH727" s="135"/>
      <c r="AI727" s="135"/>
      <c r="AJ727" s="267" t="s">
        <v>153</v>
      </c>
    </row>
    <row r="728" spans="1:36">
      <c r="A728" s="135" t="s">
        <v>5998</v>
      </c>
      <c r="B728" s="135" t="s">
        <v>6025</v>
      </c>
      <c r="C728" s="135" t="s">
        <v>5999</v>
      </c>
      <c r="D728" s="46">
        <v>11119490</v>
      </c>
      <c r="E728" s="20" t="s">
        <v>4196</v>
      </c>
      <c r="F728" s="20" t="s">
        <v>4197</v>
      </c>
      <c r="G728" s="24">
        <v>34</v>
      </c>
      <c r="H728" s="21">
        <v>46270</v>
      </c>
      <c r="I728" s="53" t="s">
        <v>6000</v>
      </c>
      <c r="J728" s="24" t="s">
        <v>6001</v>
      </c>
      <c r="K728" s="24">
        <v>34</v>
      </c>
      <c r="L728" s="46">
        <v>12116125</v>
      </c>
      <c r="M728" s="20" t="s">
        <v>4223</v>
      </c>
      <c r="N728" s="38">
        <v>0</v>
      </c>
      <c r="O728" s="38">
        <v>0</v>
      </c>
      <c r="P728" s="20" t="s">
        <v>469</v>
      </c>
      <c r="Q728" s="20">
        <v>0</v>
      </c>
      <c r="R728" s="40">
        <v>46259</v>
      </c>
      <c r="S728" s="20">
        <v>0</v>
      </c>
      <c r="T728" s="20">
        <v>0</v>
      </c>
      <c r="U728" s="40">
        <v>46260</v>
      </c>
      <c r="V728" s="40">
        <v>46260</v>
      </c>
      <c r="W728" s="20" t="s">
        <v>57</v>
      </c>
      <c r="X728" s="21"/>
      <c r="Y728" s="19">
        <v>0</v>
      </c>
      <c r="Z728" s="19">
        <v>0</v>
      </c>
      <c r="AA728" s="19">
        <v>0</v>
      </c>
      <c r="AB728" s="44">
        <f>VLOOKUP(A728,'[4]PO CAG'!$A:$L,12,0)</f>
        <v>46274</v>
      </c>
      <c r="AC728" s="22">
        <f>IFERROR(VLOOKUP(F728,[3]Sheet1!$E:$H,4,0),)</f>
        <v>0</v>
      </c>
      <c r="AD728" s="144"/>
      <c r="AE728" s="20"/>
      <c r="AF728" s="135" t="s">
        <v>112</v>
      </c>
      <c r="AG728" s="135"/>
      <c r="AH728" s="135"/>
      <c r="AI728" s="135"/>
      <c r="AJ728" s="267" t="s">
        <v>153</v>
      </c>
    </row>
    <row r="729" spans="1:36">
      <c r="A729" s="135" t="s">
        <v>6002</v>
      </c>
      <c r="B729" s="135" t="s">
        <v>6026</v>
      </c>
      <c r="C729" s="135" t="s">
        <v>6003</v>
      </c>
      <c r="D729" s="46">
        <v>11119507</v>
      </c>
      <c r="E729" s="20" t="s">
        <v>3616</v>
      </c>
      <c r="F729" s="20" t="s">
        <v>3617</v>
      </c>
      <c r="G729" s="24">
        <v>57</v>
      </c>
      <c r="H729" s="21">
        <v>46270</v>
      </c>
      <c r="I729" s="53" t="s">
        <v>6004</v>
      </c>
      <c r="J729" s="24" t="s">
        <v>6005</v>
      </c>
      <c r="K729" s="24">
        <v>57</v>
      </c>
      <c r="L729" s="46">
        <v>12116142</v>
      </c>
      <c r="M729" s="20" t="s">
        <v>102</v>
      </c>
      <c r="N729" s="38">
        <v>0</v>
      </c>
      <c r="O729" s="38">
        <v>0</v>
      </c>
      <c r="P729" s="20" t="s">
        <v>469</v>
      </c>
      <c r="Q729" s="20">
        <v>0</v>
      </c>
      <c r="R729" s="40">
        <v>46259</v>
      </c>
      <c r="S729" s="20">
        <v>0</v>
      </c>
      <c r="T729" s="20">
        <v>0</v>
      </c>
      <c r="U729" s="40">
        <v>46260</v>
      </c>
      <c r="V729" s="40">
        <v>46260</v>
      </c>
      <c r="W729" s="20" t="s">
        <v>57</v>
      </c>
      <c r="X729" s="21"/>
      <c r="Y729" s="19">
        <v>0</v>
      </c>
      <c r="Z729" s="19">
        <v>0</v>
      </c>
      <c r="AA729" s="19">
        <v>0</v>
      </c>
      <c r="AB729" s="44">
        <f>VLOOKUP(A729,'[4]PO CAG'!$A:$L,12,0)</f>
        <v>46274</v>
      </c>
      <c r="AC729" s="22">
        <f>IFERROR(VLOOKUP(F729,[3]Sheet1!$E:$H,4,0),)</f>
        <v>0</v>
      </c>
      <c r="AD729" s="144"/>
      <c r="AE729" s="20"/>
      <c r="AF729" s="135" t="s">
        <v>112</v>
      </c>
      <c r="AG729" s="135"/>
      <c r="AH729" s="135"/>
      <c r="AI729" s="135"/>
      <c r="AJ729" s="267" t="s">
        <v>153</v>
      </c>
    </row>
    <row r="730" spans="1:36">
      <c r="A730" s="135" t="s">
        <v>6006</v>
      </c>
      <c r="B730" s="135" t="s">
        <v>6027</v>
      </c>
      <c r="C730" s="135" t="s">
        <v>6007</v>
      </c>
      <c r="D730" s="46">
        <v>11116931</v>
      </c>
      <c r="E730" s="20" t="s">
        <v>393</v>
      </c>
      <c r="F730" s="20" t="s">
        <v>394</v>
      </c>
      <c r="G730" s="24">
        <v>100</v>
      </c>
      <c r="H730" s="21">
        <v>46270</v>
      </c>
      <c r="I730" s="53" t="s">
        <v>6008</v>
      </c>
      <c r="J730" s="24" t="s">
        <v>6009</v>
      </c>
      <c r="K730" s="24">
        <v>101</v>
      </c>
      <c r="L730" s="46">
        <v>12115880</v>
      </c>
      <c r="M730" s="20" t="s">
        <v>402</v>
      </c>
      <c r="N730" s="38">
        <v>0</v>
      </c>
      <c r="O730" s="38">
        <v>1</v>
      </c>
      <c r="P730" s="20" t="s">
        <v>395</v>
      </c>
      <c r="Q730" s="20">
        <v>0</v>
      </c>
      <c r="R730" s="40">
        <v>46259</v>
      </c>
      <c r="S730" s="20">
        <v>0</v>
      </c>
      <c r="T730" s="20">
        <v>0</v>
      </c>
      <c r="U730" s="40">
        <v>46260</v>
      </c>
      <c r="V730" s="40">
        <v>46260</v>
      </c>
      <c r="W730" s="20" t="s">
        <v>57</v>
      </c>
      <c r="X730" s="21"/>
      <c r="Y730" s="19">
        <v>0</v>
      </c>
      <c r="Z730" s="19">
        <v>0</v>
      </c>
      <c r="AA730" s="19">
        <v>0</v>
      </c>
      <c r="AB730" s="44">
        <f>VLOOKUP(A730,'[4]PO CAG'!$A:$L,12,0)</f>
        <v>46276</v>
      </c>
      <c r="AC730" s="22">
        <f>IFERROR(VLOOKUP(F730,[3]Sheet1!$E:$H,4,0),)</f>
        <v>0</v>
      </c>
      <c r="AD730" s="144"/>
      <c r="AE730" s="20"/>
      <c r="AF730" s="135" t="s">
        <v>112</v>
      </c>
      <c r="AG730" s="135"/>
      <c r="AH730" s="135"/>
      <c r="AI730" s="135"/>
      <c r="AJ730" s="267" t="s">
        <v>153</v>
      </c>
    </row>
    <row r="731" spans="1:36">
      <c r="A731" s="135" t="s">
        <v>6010</v>
      </c>
      <c r="B731" s="135" t="s">
        <v>6028</v>
      </c>
      <c r="C731" s="135" t="s">
        <v>6011</v>
      </c>
      <c r="D731" s="46">
        <v>11116929</v>
      </c>
      <c r="E731" s="20" t="s">
        <v>396</v>
      </c>
      <c r="F731" s="20" t="s">
        <v>397</v>
      </c>
      <c r="G731" s="24">
        <v>60</v>
      </c>
      <c r="H731" s="21">
        <v>46270</v>
      </c>
      <c r="I731" s="53" t="s">
        <v>6012</v>
      </c>
      <c r="J731" s="24" t="s">
        <v>6013</v>
      </c>
      <c r="K731" s="24">
        <v>64</v>
      </c>
      <c r="L731" s="46">
        <v>12115878</v>
      </c>
      <c r="M731" s="20" t="s">
        <v>403</v>
      </c>
      <c r="N731" s="38">
        <v>0</v>
      </c>
      <c r="O731" s="38">
        <v>1</v>
      </c>
      <c r="P731" s="20" t="s">
        <v>395</v>
      </c>
      <c r="Q731" s="20">
        <v>3</v>
      </c>
      <c r="R731" s="40">
        <v>46259</v>
      </c>
      <c r="S731" s="20">
        <v>0</v>
      </c>
      <c r="T731" s="20">
        <v>0</v>
      </c>
      <c r="U731" s="40">
        <v>46260</v>
      </c>
      <c r="V731" s="40">
        <v>46260</v>
      </c>
      <c r="W731" s="20" t="s">
        <v>57</v>
      </c>
      <c r="X731" s="21"/>
      <c r="Y731" s="19">
        <v>0</v>
      </c>
      <c r="Z731" s="19">
        <v>0</v>
      </c>
      <c r="AA731" s="19">
        <v>0</v>
      </c>
      <c r="AB731" s="44">
        <f>VLOOKUP(A731,'[4]PO CAG'!$A:$L,12,0)</f>
        <v>46276</v>
      </c>
      <c r="AC731" s="22">
        <f>IFERROR(VLOOKUP(F731,[3]Sheet1!$E:$H,4,0),)</f>
        <v>0</v>
      </c>
      <c r="AD731" s="144"/>
      <c r="AE731" s="20"/>
      <c r="AF731" s="135" t="s">
        <v>112</v>
      </c>
      <c r="AG731" s="135"/>
      <c r="AH731" s="135"/>
      <c r="AI731" s="135"/>
      <c r="AJ731" s="267" t="s">
        <v>153</v>
      </c>
    </row>
    <row r="732" spans="1:36">
      <c r="A732" s="135" t="s">
        <v>6014</v>
      </c>
      <c r="B732" s="135" t="s">
        <v>6029</v>
      </c>
      <c r="C732" s="135" t="s">
        <v>6015</v>
      </c>
      <c r="D732" s="46">
        <v>11116932</v>
      </c>
      <c r="E732" s="20" t="s">
        <v>398</v>
      </c>
      <c r="F732" s="20" t="s">
        <v>399</v>
      </c>
      <c r="G732" s="24">
        <v>250</v>
      </c>
      <c r="H732" s="21">
        <v>46270</v>
      </c>
      <c r="I732" s="53" t="s">
        <v>6016</v>
      </c>
      <c r="J732" s="24" t="s">
        <v>6017</v>
      </c>
      <c r="K732" s="24">
        <v>251</v>
      </c>
      <c r="L732" s="46">
        <v>12115881</v>
      </c>
      <c r="M732" s="20" t="s">
        <v>404</v>
      </c>
      <c r="N732" s="38">
        <v>0</v>
      </c>
      <c r="O732" s="38">
        <v>1</v>
      </c>
      <c r="P732" s="20" t="s">
        <v>395</v>
      </c>
      <c r="Q732" s="20">
        <v>0</v>
      </c>
      <c r="R732" s="40">
        <v>46259</v>
      </c>
      <c r="S732" s="20">
        <v>0</v>
      </c>
      <c r="T732" s="20">
        <v>0</v>
      </c>
      <c r="U732" s="40">
        <v>46260</v>
      </c>
      <c r="V732" s="40">
        <v>46260</v>
      </c>
      <c r="W732" s="20" t="s">
        <v>57</v>
      </c>
      <c r="X732" s="21"/>
      <c r="Y732" s="19">
        <v>0</v>
      </c>
      <c r="Z732" s="19">
        <v>0</v>
      </c>
      <c r="AA732" s="19">
        <v>0</v>
      </c>
      <c r="AB732" s="44">
        <f>VLOOKUP(A732,'[4]PO CAG'!$A:$L,12,0)</f>
        <v>46276</v>
      </c>
      <c r="AC732" s="22">
        <f>IFERROR(VLOOKUP(F732,[3]Sheet1!$E:$H,4,0),)</f>
        <v>0</v>
      </c>
      <c r="AD732" s="144"/>
      <c r="AE732" s="20"/>
      <c r="AF732" s="135" t="s">
        <v>112</v>
      </c>
      <c r="AG732" s="135"/>
      <c r="AH732" s="135"/>
      <c r="AI732" s="135"/>
      <c r="AJ732" s="267" t="s">
        <v>153</v>
      </c>
    </row>
    <row r="733" spans="1:36">
      <c r="A733" s="135" t="s">
        <v>6018</v>
      </c>
      <c r="B733" s="135" t="s">
        <v>6030</v>
      </c>
      <c r="C733" s="135" t="s">
        <v>6019</v>
      </c>
      <c r="D733" s="46">
        <v>11116930</v>
      </c>
      <c r="E733" s="20" t="s">
        <v>400</v>
      </c>
      <c r="F733" s="20" t="s">
        <v>401</v>
      </c>
      <c r="G733" s="24">
        <v>230</v>
      </c>
      <c r="H733" s="21">
        <v>46270</v>
      </c>
      <c r="I733" s="53" t="s">
        <v>6020</v>
      </c>
      <c r="J733" s="24" t="s">
        <v>6021</v>
      </c>
      <c r="K733" s="24">
        <v>231</v>
      </c>
      <c r="L733" s="46">
        <v>12115879</v>
      </c>
      <c r="M733" s="20" t="s">
        <v>405</v>
      </c>
      <c r="N733" s="38">
        <v>0</v>
      </c>
      <c r="O733" s="38">
        <v>1</v>
      </c>
      <c r="P733" s="20" t="s">
        <v>395</v>
      </c>
      <c r="Q733" s="20">
        <v>0</v>
      </c>
      <c r="R733" s="40">
        <v>46259</v>
      </c>
      <c r="S733" s="20">
        <v>0</v>
      </c>
      <c r="T733" s="20">
        <v>0</v>
      </c>
      <c r="U733" s="40">
        <v>46260</v>
      </c>
      <c r="V733" s="40">
        <v>46260</v>
      </c>
      <c r="W733" s="20" t="s">
        <v>57</v>
      </c>
      <c r="X733" s="21"/>
      <c r="Y733" s="19">
        <v>0</v>
      </c>
      <c r="Z733" s="19">
        <v>0</v>
      </c>
      <c r="AA733" s="19">
        <v>0</v>
      </c>
      <c r="AB733" s="44">
        <f>VLOOKUP(A733,'[4]PO CAG'!$A:$L,12,0)</f>
        <v>46276</v>
      </c>
      <c r="AC733" s="22">
        <f>IFERROR(VLOOKUP(F733,[3]Sheet1!$E:$H,4,0),)</f>
        <v>0</v>
      </c>
      <c r="AD733" s="144"/>
      <c r="AE733" s="20"/>
      <c r="AF733" s="135" t="s">
        <v>112</v>
      </c>
      <c r="AG733" s="135"/>
      <c r="AH733" s="135"/>
      <c r="AI733" s="135"/>
      <c r="AJ733" s="267" t="s">
        <v>153</v>
      </c>
    </row>
    <row r="734" spans="1:36">
      <c r="A734" s="135"/>
      <c r="B734" s="135"/>
      <c r="C734" s="135"/>
      <c r="D734" s="46"/>
      <c r="E734" s="20"/>
      <c r="F734" s="20"/>
      <c r="G734" s="24"/>
      <c r="H734" s="21"/>
      <c r="I734" s="53"/>
      <c r="J734" s="24"/>
      <c r="K734" s="24"/>
      <c r="L734" s="46"/>
      <c r="M734" s="20"/>
      <c r="N734" s="38"/>
      <c r="O734" s="38"/>
      <c r="P734" s="20"/>
      <c r="Q734" s="20"/>
      <c r="R734" s="40"/>
      <c r="S734" s="38"/>
      <c r="T734" s="38"/>
      <c r="U734" s="40"/>
      <c r="V734" s="40"/>
      <c r="W734" s="20"/>
      <c r="X734" s="21"/>
      <c r="Y734" s="19">
        <v>0</v>
      </c>
      <c r="Z734" s="19">
        <v>0</v>
      </c>
      <c r="AA734" s="19">
        <v>0</v>
      </c>
      <c r="AB734" s="44" t="e">
        <f>VLOOKUP(A734,'[4]PO CAG'!$A:$L,12,0)</f>
        <v>#N/A</v>
      </c>
      <c r="AC734" s="22">
        <f>IFERROR(VLOOKUP(F734,[3]Sheet1!$E:$H,4,0),)</f>
        <v>0</v>
      </c>
      <c r="AD734" s="144"/>
      <c r="AE734" s="20"/>
      <c r="AF734" s="135"/>
      <c r="AG734" s="135"/>
      <c r="AH734" s="135"/>
      <c r="AI734" s="135"/>
    </row>
    <row r="735" spans="1:36">
      <c r="A735" s="135"/>
      <c r="B735" s="135"/>
      <c r="C735" s="135"/>
      <c r="D735" s="46"/>
      <c r="E735" s="20"/>
      <c r="F735" s="20"/>
      <c r="G735" s="24"/>
      <c r="H735" s="21"/>
      <c r="I735" s="53"/>
      <c r="J735" s="24"/>
      <c r="K735" s="24"/>
      <c r="L735" s="46"/>
      <c r="M735" s="20"/>
      <c r="N735" s="38"/>
      <c r="O735" s="38"/>
      <c r="P735" s="20"/>
      <c r="Q735" s="20"/>
      <c r="R735" s="40"/>
      <c r="S735" s="38"/>
      <c r="T735" s="38"/>
      <c r="U735" s="40"/>
      <c r="V735" s="40"/>
      <c r="W735" s="20"/>
      <c r="X735" s="21"/>
      <c r="Y735" s="19">
        <v>0</v>
      </c>
      <c r="Z735" s="19">
        <v>0</v>
      </c>
      <c r="AA735" s="19">
        <v>0</v>
      </c>
      <c r="AB735" s="44" t="e">
        <f>VLOOKUP(A735,'[4]PO CAG'!$A:$L,12,0)</f>
        <v>#N/A</v>
      </c>
      <c r="AC735" s="22">
        <f>IFERROR(VLOOKUP(F735,[3]Sheet1!$E:$H,4,0),)</f>
        <v>0</v>
      </c>
      <c r="AD735" s="144"/>
      <c r="AE735" s="20"/>
      <c r="AF735" s="135"/>
      <c r="AG735" s="135"/>
      <c r="AH735" s="135"/>
      <c r="AI735" s="135"/>
    </row>
    <row r="736" spans="1:36">
      <c r="A736" s="135"/>
      <c r="B736" s="135"/>
      <c r="C736" s="135"/>
      <c r="D736" s="46"/>
      <c r="E736" s="20"/>
      <c r="F736" s="20"/>
      <c r="G736" s="24"/>
      <c r="H736" s="21"/>
      <c r="I736" s="53"/>
      <c r="J736" s="24"/>
      <c r="K736" s="24"/>
      <c r="L736" s="46"/>
      <c r="M736" s="20"/>
      <c r="N736" s="38"/>
      <c r="O736" s="38"/>
      <c r="P736" s="20"/>
      <c r="Q736" s="20"/>
      <c r="R736" s="40"/>
      <c r="S736" s="38"/>
      <c r="T736" s="38"/>
      <c r="U736" s="40"/>
      <c r="V736" s="40"/>
      <c r="W736" s="20"/>
      <c r="X736" s="21"/>
      <c r="Y736" s="19">
        <v>0</v>
      </c>
      <c r="Z736" s="19">
        <v>0</v>
      </c>
      <c r="AA736" s="19">
        <v>0</v>
      </c>
      <c r="AB736" s="44" t="e">
        <f>VLOOKUP(A736,'[4]PO CAG'!$A:$L,12,0)</f>
        <v>#N/A</v>
      </c>
      <c r="AC736" s="22">
        <f>IFERROR(VLOOKUP(F736,[3]Sheet1!$E:$H,4,0),)</f>
        <v>0</v>
      </c>
      <c r="AD736" s="144"/>
      <c r="AE736" s="20"/>
      <c r="AF736" s="135"/>
      <c r="AG736" s="135"/>
      <c r="AH736" s="135"/>
      <c r="AI736" s="135"/>
    </row>
    <row r="737" spans="1:35">
      <c r="A737" s="135"/>
      <c r="B737" s="135"/>
      <c r="C737" s="135"/>
      <c r="D737" s="46"/>
      <c r="E737" s="20"/>
      <c r="F737" s="20"/>
      <c r="G737" s="24"/>
      <c r="H737" s="21"/>
      <c r="I737" s="53"/>
      <c r="J737" s="24"/>
      <c r="K737" s="24"/>
      <c r="L737" s="46"/>
      <c r="M737" s="20"/>
      <c r="N737" s="38"/>
      <c r="O737" s="38"/>
      <c r="P737" s="20"/>
      <c r="Q737" s="20"/>
      <c r="R737" s="40"/>
      <c r="S737" s="38"/>
      <c r="T737" s="38"/>
      <c r="U737" s="40"/>
      <c r="V737" s="40"/>
      <c r="W737" s="20"/>
      <c r="X737" s="21"/>
      <c r="Y737" s="19">
        <v>0</v>
      </c>
      <c r="Z737" s="19">
        <v>0</v>
      </c>
      <c r="AA737" s="19">
        <v>0</v>
      </c>
      <c r="AB737" s="44" t="e">
        <f>VLOOKUP(A737,'[4]PO CAG'!$A:$L,12,0)</f>
        <v>#N/A</v>
      </c>
      <c r="AC737" s="22">
        <f>IFERROR(VLOOKUP(F737,[3]Sheet1!$E:$H,4,0),)</f>
        <v>0</v>
      </c>
      <c r="AD737" s="144"/>
      <c r="AE737" s="20"/>
      <c r="AF737" s="135"/>
      <c r="AG737" s="135"/>
      <c r="AH737" s="135"/>
      <c r="AI737" s="135"/>
    </row>
    <row r="738" spans="1:35">
      <c r="A738" s="135"/>
      <c r="B738" s="135"/>
      <c r="C738" s="135"/>
      <c r="D738" s="46"/>
      <c r="E738" s="20"/>
      <c r="F738" s="20"/>
      <c r="G738" s="24"/>
      <c r="H738" s="21"/>
      <c r="I738" s="53"/>
      <c r="J738" s="24"/>
      <c r="K738" s="24"/>
      <c r="L738" s="46"/>
      <c r="M738" s="20"/>
      <c r="N738" s="38"/>
      <c r="O738" s="38"/>
      <c r="P738" s="20"/>
      <c r="Q738" s="20"/>
      <c r="R738" s="40"/>
      <c r="S738" s="38"/>
      <c r="T738" s="38"/>
      <c r="U738" s="40"/>
      <c r="V738" s="40"/>
      <c r="W738" s="20"/>
      <c r="X738" s="21"/>
      <c r="Y738" s="19">
        <v>0</v>
      </c>
      <c r="Z738" s="19">
        <v>0</v>
      </c>
      <c r="AA738" s="19">
        <v>0</v>
      </c>
      <c r="AB738" s="44" t="e">
        <f>VLOOKUP(A738,'[4]PO CAG'!$A:$L,12,0)</f>
        <v>#N/A</v>
      </c>
      <c r="AC738" s="22">
        <f>IFERROR(VLOOKUP(F738,[3]Sheet1!$E:$H,4,0),)</f>
        <v>0</v>
      </c>
      <c r="AD738" s="144"/>
      <c r="AE738" s="20"/>
      <c r="AF738" s="135"/>
      <c r="AG738" s="135"/>
      <c r="AH738" s="135"/>
      <c r="AI738" s="135"/>
    </row>
    <row r="739" spans="1:35">
      <c r="A739" s="135"/>
      <c r="B739" s="135"/>
      <c r="C739" s="135"/>
      <c r="D739" s="46"/>
      <c r="E739" s="20"/>
      <c r="F739" s="20"/>
      <c r="G739" s="24"/>
      <c r="H739" s="21"/>
      <c r="I739" s="53"/>
      <c r="J739" s="24"/>
      <c r="K739" s="24"/>
      <c r="L739" s="46"/>
      <c r="M739" s="20"/>
      <c r="N739" s="38"/>
      <c r="O739" s="38"/>
      <c r="P739" s="20"/>
      <c r="Q739" s="20"/>
      <c r="R739" s="40"/>
      <c r="S739" s="38"/>
      <c r="T739" s="38"/>
      <c r="U739" s="40"/>
      <c r="V739" s="40"/>
      <c r="W739" s="20"/>
      <c r="X739" s="21"/>
      <c r="Y739" s="19">
        <v>0</v>
      </c>
      <c r="Z739" s="19">
        <v>0</v>
      </c>
      <c r="AA739" s="19">
        <v>0</v>
      </c>
      <c r="AB739" s="44" t="e">
        <f>VLOOKUP(A739,'[4]PO CAG'!$A:$L,12,0)</f>
        <v>#N/A</v>
      </c>
      <c r="AC739" s="22">
        <f>IFERROR(VLOOKUP(F739,[3]Sheet1!$E:$H,4,0),)</f>
        <v>0</v>
      </c>
      <c r="AD739" s="144"/>
      <c r="AE739" s="20"/>
      <c r="AF739" s="135"/>
      <c r="AG739" s="135"/>
      <c r="AH739" s="135"/>
      <c r="AI739" s="135"/>
    </row>
    <row r="740" spans="1:35">
      <c r="A740" s="135"/>
      <c r="B740" s="135"/>
      <c r="C740" s="135"/>
      <c r="D740" s="46"/>
      <c r="E740" s="20"/>
      <c r="F740" s="20"/>
      <c r="G740" s="24"/>
      <c r="H740" s="21"/>
      <c r="I740" s="53"/>
      <c r="J740" s="24"/>
      <c r="K740" s="24"/>
      <c r="L740" s="46"/>
      <c r="M740" s="20"/>
      <c r="N740" s="38"/>
      <c r="O740" s="38"/>
      <c r="P740" s="20"/>
      <c r="Q740" s="20"/>
      <c r="R740" s="40"/>
      <c r="S740" s="38"/>
      <c r="T740" s="38"/>
      <c r="U740" s="40"/>
      <c r="V740" s="40"/>
      <c r="W740" s="20"/>
      <c r="X740" s="21"/>
      <c r="Y740" s="19">
        <v>0</v>
      </c>
      <c r="Z740" s="19">
        <v>0</v>
      </c>
      <c r="AA740" s="19">
        <v>0</v>
      </c>
      <c r="AB740" s="44" t="e">
        <f>VLOOKUP(A740,'[4]PO CAG'!$A:$L,12,0)</f>
        <v>#N/A</v>
      </c>
      <c r="AC740" s="22">
        <f>IFERROR(VLOOKUP(F740,[3]Sheet1!$E:$H,4,0),)</f>
        <v>0</v>
      </c>
      <c r="AD740" s="144"/>
      <c r="AE740" s="20"/>
      <c r="AF740" s="135"/>
      <c r="AG740" s="135"/>
      <c r="AH740" s="135"/>
      <c r="AI740" s="135"/>
    </row>
    <row r="741" spans="1:35">
      <c r="A741" s="135"/>
      <c r="B741" s="135"/>
      <c r="C741" s="135"/>
      <c r="D741" s="46"/>
      <c r="E741" s="20"/>
      <c r="F741" s="20"/>
      <c r="G741" s="24"/>
      <c r="H741" s="21"/>
      <c r="I741" s="53"/>
      <c r="J741" s="24"/>
      <c r="K741" s="24"/>
      <c r="L741" s="46"/>
      <c r="M741" s="20"/>
      <c r="N741" s="38"/>
      <c r="O741" s="38"/>
      <c r="P741" s="20"/>
      <c r="Q741" s="20"/>
      <c r="R741" s="40"/>
      <c r="S741" s="38"/>
      <c r="T741" s="38"/>
      <c r="U741" s="40"/>
      <c r="V741" s="40"/>
      <c r="W741" s="20"/>
      <c r="X741" s="21"/>
      <c r="Y741" s="19">
        <v>0</v>
      </c>
      <c r="Z741" s="19">
        <v>0</v>
      </c>
      <c r="AA741" s="19">
        <v>0</v>
      </c>
      <c r="AB741" s="44" t="e">
        <f>VLOOKUP(A741,'[4]PO CAG'!$A:$L,12,0)</f>
        <v>#N/A</v>
      </c>
      <c r="AC741" s="22">
        <f>IFERROR(VLOOKUP(F741,[3]Sheet1!$E:$H,4,0),)</f>
        <v>0</v>
      </c>
      <c r="AD741" s="144"/>
      <c r="AE741" s="20"/>
      <c r="AF741" s="135"/>
      <c r="AG741" s="135"/>
      <c r="AH741" s="135"/>
      <c r="AI741" s="135"/>
    </row>
    <row r="742" spans="1:35">
      <c r="A742" s="135"/>
      <c r="B742" s="135"/>
      <c r="C742" s="135"/>
      <c r="D742" s="46"/>
      <c r="E742" s="20"/>
      <c r="F742" s="20"/>
      <c r="G742" s="24"/>
      <c r="H742" s="21"/>
      <c r="I742" s="53"/>
      <c r="J742" s="24"/>
      <c r="K742" s="24"/>
      <c r="L742" s="46"/>
      <c r="M742" s="20"/>
      <c r="N742" s="38"/>
      <c r="O742" s="38"/>
      <c r="P742" s="20"/>
      <c r="Q742" s="20"/>
      <c r="R742" s="40"/>
      <c r="S742" s="38"/>
      <c r="T742" s="38"/>
      <c r="U742" s="40"/>
      <c r="V742" s="40"/>
      <c r="W742" s="20"/>
      <c r="X742" s="21"/>
      <c r="Y742" s="19">
        <v>0</v>
      </c>
      <c r="Z742" s="19">
        <v>0</v>
      </c>
      <c r="AA742" s="19">
        <v>0</v>
      </c>
      <c r="AB742" s="44" t="e">
        <f>VLOOKUP(A742,'[4]PO CAG'!$A:$L,12,0)</f>
        <v>#N/A</v>
      </c>
      <c r="AC742" s="22">
        <f>IFERROR(VLOOKUP(F742,[3]Sheet1!$E:$H,4,0),)</f>
        <v>0</v>
      </c>
      <c r="AD742" s="144"/>
      <c r="AE742" s="20"/>
      <c r="AF742" s="135"/>
      <c r="AG742" s="135"/>
      <c r="AH742" s="135"/>
      <c r="AI742" s="135"/>
    </row>
    <row r="743" spans="1:35">
      <c r="A743" s="135"/>
      <c r="B743" s="135"/>
      <c r="C743" s="135"/>
      <c r="D743" s="46"/>
      <c r="E743" s="20"/>
      <c r="F743" s="20"/>
      <c r="G743" s="24"/>
      <c r="H743" s="21"/>
      <c r="I743" s="53"/>
      <c r="J743" s="24"/>
      <c r="K743" s="24"/>
      <c r="L743" s="46"/>
      <c r="M743" s="20"/>
      <c r="N743" s="38"/>
      <c r="O743" s="38"/>
      <c r="P743" s="20"/>
      <c r="Q743" s="20"/>
      <c r="R743" s="40"/>
      <c r="S743" s="38"/>
      <c r="T743" s="38"/>
      <c r="U743" s="40"/>
      <c r="V743" s="40"/>
      <c r="W743" s="20"/>
      <c r="X743" s="21"/>
      <c r="Y743" s="19">
        <v>0</v>
      </c>
      <c r="Z743" s="19">
        <v>0</v>
      </c>
      <c r="AA743" s="19">
        <v>0</v>
      </c>
      <c r="AB743" s="44" t="e">
        <f>VLOOKUP(A743,'[4]PO CAG'!$A:$L,12,0)</f>
        <v>#N/A</v>
      </c>
      <c r="AC743" s="22">
        <f>IFERROR(VLOOKUP(F743,[3]Sheet1!$E:$H,4,0),)</f>
        <v>0</v>
      </c>
      <c r="AD743" s="144"/>
      <c r="AE743" s="20"/>
      <c r="AF743" s="135"/>
      <c r="AG743" s="135"/>
      <c r="AH743" s="135"/>
      <c r="AI743" s="135"/>
    </row>
    <row r="744" spans="1:35">
      <c r="A744" s="135"/>
      <c r="B744" s="135"/>
      <c r="C744" s="135"/>
      <c r="D744" s="46"/>
      <c r="E744" s="20"/>
      <c r="F744" s="20"/>
      <c r="G744" s="24"/>
      <c r="H744" s="21"/>
      <c r="I744" s="53"/>
      <c r="J744" s="24"/>
      <c r="K744" s="24"/>
      <c r="L744" s="46"/>
      <c r="M744" s="20"/>
      <c r="N744" s="38"/>
      <c r="O744" s="38"/>
      <c r="P744" s="20"/>
      <c r="Q744" s="20"/>
      <c r="R744" s="40"/>
      <c r="S744" s="38"/>
      <c r="T744" s="38"/>
      <c r="U744" s="40"/>
      <c r="V744" s="40"/>
      <c r="W744" s="20"/>
      <c r="X744" s="21"/>
      <c r="Y744" s="19">
        <v>0</v>
      </c>
      <c r="Z744" s="19">
        <v>0</v>
      </c>
      <c r="AA744" s="19">
        <v>0</v>
      </c>
      <c r="AB744" s="44" t="e">
        <f>VLOOKUP(A744,'[4]PO CAG'!$A:$L,12,0)</f>
        <v>#N/A</v>
      </c>
      <c r="AC744" s="22">
        <f>IFERROR(VLOOKUP(F744,[3]Sheet1!$E:$H,4,0),)</f>
        <v>0</v>
      </c>
      <c r="AD744" s="144"/>
      <c r="AE744" s="20"/>
      <c r="AF744" s="135"/>
      <c r="AG744" s="135"/>
      <c r="AH744" s="135"/>
      <c r="AI744" s="135"/>
    </row>
    <row r="745" spans="1:35">
      <c r="A745" s="135"/>
      <c r="B745" s="135"/>
      <c r="C745" s="135"/>
      <c r="D745" s="46"/>
      <c r="E745" s="20"/>
      <c r="F745" s="20"/>
      <c r="G745" s="24"/>
      <c r="H745" s="21"/>
      <c r="I745" s="53"/>
      <c r="J745" s="24"/>
      <c r="K745" s="24"/>
      <c r="L745" s="46"/>
      <c r="M745" s="20"/>
      <c r="N745" s="38"/>
      <c r="O745" s="38"/>
      <c r="P745" s="20"/>
      <c r="Q745" s="20"/>
      <c r="R745" s="40"/>
      <c r="S745" s="38"/>
      <c r="T745" s="38"/>
      <c r="U745" s="40"/>
      <c r="V745" s="40"/>
      <c r="W745" s="20"/>
      <c r="X745" s="21"/>
      <c r="Y745" s="19">
        <v>0</v>
      </c>
      <c r="Z745" s="19">
        <v>0</v>
      </c>
      <c r="AA745" s="19">
        <v>0</v>
      </c>
      <c r="AB745" s="44" t="e">
        <f>VLOOKUP(A745,'[4]PO CAG'!$A:$L,12,0)</f>
        <v>#N/A</v>
      </c>
      <c r="AC745" s="22">
        <f>IFERROR(VLOOKUP(F745,[3]Sheet1!$E:$H,4,0),)</f>
        <v>0</v>
      </c>
      <c r="AD745" s="144"/>
      <c r="AE745" s="20"/>
      <c r="AF745" s="135"/>
      <c r="AG745" s="135"/>
      <c r="AH745" s="135"/>
      <c r="AI745" s="135"/>
    </row>
    <row r="746" spans="1:35">
      <c r="A746" s="135"/>
      <c r="B746" s="135"/>
      <c r="C746" s="135"/>
      <c r="D746" s="46"/>
      <c r="E746" s="20"/>
      <c r="F746" s="20"/>
      <c r="G746" s="24"/>
      <c r="H746" s="21"/>
      <c r="I746" s="53"/>
      <c r="J746" s="24"/>
      <c r="K746" s="24"/>
      <c r="L746" s="46"/>
      <c r="M746" s="20"/>
      <c r="N746" s="38"/>
      <c r="O746" s="38"/>
      <c r="P746" s="20"/>
      <c r="Q746" s="20"/>
      <c r="R746" s="40"/>
      <c r="S746" s="38"/>
      <c r="T746" s="38"/>
      <c r="U746" s="40"/>
      <c r="V746" s="40"/>
      <c r="W746" s="20"/>
      <c r="X746" s="21"/>
      <c r="Y746" s="19">
        <v>0</v>
      </c>
      <c r="Z746" s="19">
        <v>0</v>
      </c>
      <c r="AA746" s="19">
        <v>0</v>
      </c>
      <c r="AB746" s="44" t="e">
        <f>VLOOKUP(A746,'[4]PO CAG'!$A:$L,12,0)</f>
        <v>#N/A</v>
      </c>
      <c r="AC746" s="22">
        <f>IFERROR(VLOOKUP(F746,[3]Sheet1!$E:$H,4,0),)</f>
        <v>0</v>
      </c>
      <c r="AD746" s="144"/>
      <c r="AE746" s="20"/>
      <c r="AF746" s="135"/>
      <c r="AG746" s="135"/>
      <c r="AH746" s="135"/>
      <c r="AI746" s="135"/>
    </row>
    <row r="747" spans="1:35">
      <c r="A747" s="135"/>
      <c r="B747" s="135"/>
      <c r="C747" s="135"/>
      <c r="D747" s="46"/>
      <c r="E747" s="20"/>
      <c r="F747" s="20"/>
      <c r="G747" s="24"/>
      <c r="H747" s="21"/>
      <c r="I747" s="53"/>
      <c r="J747" s="24"/>
      <c r="K747" s="24"/>
      <c r="L747" s="46"/>
      <c r="M747" s="20"/>
      <c r="N747" s="38"/>
      <c r="O747" s="38"/>
      <c r="P747" s="20"/>
      <c r="Q747" s="20"/>
      <c r="R747" s="40"/>
      <c r="S747" s="38"/>
      <c r="T747" s="38"/>
      <c r="U747" s="40"/>
      <c r="V747" s="40"/>
      <c r="W747" s="20"/>
      <c r="X747" s="21"/>
      <c r="Y747" s="19">
        <v>0</v>
      </c>
      <c r="Z747" s="19">
        <v>0</v>
      </c>
      <c r="AA747" s="19">
        <v>0</v>
      </c>
      <c r="AB747" s="44" t="e">
        <f>VLOOKUP(A747,'[4]PO CAG'!$A:$L,12,0)</f>
        <v>#N/A</v>
      </c>
      <c r="AC747" s="22">
        <f>IFERROR(VLOOKUP(F747,[3]Sheet1!$E:$H,4,0),)</f>
        <v>0</v>
      </c>
      <c r="AD747" s="144"/>
      <c r="AE747" s="20"/>
      <c r="AF747" s="135"/>
      <c r="AG747" s="135"/>
      <c r="AH747" s="135"/>
      <c r="AI747" s="135"/>
    </row>
    <row r="748" spans="1:35">
      <c r="A748" s="135"/>
      <c r="B748" s="135"/>
      <c r="C748" s="135"/>
      <c r="D748" s="46"/>
      <c r="E748" s="20"/>
      <c r="F748" s="20"/>
      <c r="G748" s="24"/>
      <c r="H748" s="21"/>
      <c r="I748" s="53"/>
      <c r="J748" s="24"/>
      <c r="K748" s="24"/>
      <c r="L748" s="46"/>
      <c r="M748" s="20"/>
      <c r="N748" s="38"/>
      <c r="O748" s="38"/>
      <c r="P748" s="20"/>
      <c r="Q748" s="20"/>
      <c r="R748" s="40"/>
      <c r="S748" s="38"/>
      <c r="T748" s="38"/>
      <c r="U748" s="40"/>
      <c r="V748" s="40"/>
      <c r="W748" s="20"/>
      <c r="X748" s="21"/>
      <c r="Y748" s="19">
        <v>0</v>
      </c>
      <c r="Z748" s="19">
        <v>0</v>
      </c>
      <c r="AA748" s="19">
        <v>0</v>
      </c>
      <c r="AB748" s="44" t="e">
        <f>VLOOKUP(A748,'[4]PO CAG'!$A:$L,12,0)</f>
        <v>#N/A</v>
      </c>
      <c r="AC748" s="22">
        <f>IFERROR(VLOOKUP(F748,[3]Sheet1!$E:$H,4,0),)</f>
        <v>0</v>
      </c>
      <c r="AD748" s="144"/>
      <c r="AE748" s="20"/>
      <c r="AF748" s="135"/>
      <c r="AG748" s="135"/>
      <c r="AH748" s="135"/>
      <c r="AI748" s="135"/>
    </row>
    <row r="749" spans="1:35">
      <c r="A749" s="135"/>
      <c r="B749" s="135"/>
      <c r="C749" s="135"/>
      <c r="D749" s="46"/>
      <c r="E749" s="20"/>
      <c r="F749" s="20"/>
      <c r="G749" s="24"/>
      <c r="H749" s="21"/>
      <c r="I749" s="53"/>
      <c r="J749" s="24"/>
      <c r="K749" s="24"/>
      <c r="L749" s="46"/>
      <c r="M749" s="20"/>
      <c r="N749" s="38"/>
      <c r="O749" s="38"/>
      <c r="P749" s="20"/>
      <c r="Q749" s="20"/>
      <c r="R749" s="40"/>
      <c r="S749" s="38"/>
      <c r="T749" s="38"/>
      <c r="U749" s="40"/>
      <c r="V749" s="40"/>
      <c r="W749" s="20"/>
      <c r="X749" s="21"/>
      <c r="Y749" s="19">
        <v>0</v>
      </c>
      <c r="Z749" s="19">
        <v>0</v>
      </c>
      <c r="AA749" s="19">
        <v>0</v>
      </c>
      <c r="AB749" s="44" t="e">
        <f>VLOOKUP(A749,'[4]PO CAG'!$A:$L,12,0)</f>
        <v>#N/A</v>
      </c>
      <c r="AC749" s="22">
        <f>IFERROR(VLOOKUP(F749,[3]Sheet1!$E:$H,4,0),)</f>
        <v>0</v>
      </c>
      <c r="AD749" s="144"/>
      <c r="AE749" s="20"/>
      <c r="AF749" s="135"/>
      <c r="AG749" s="135"/>
      <c r="AH749" s="135"/>
      <c r="AI749" s="135"/>
    </row>
    <row r="750" spans="1:35">
      <c r="A750" s="135"/>
      <c r="B750" s="135"/>
      <c r="C750" s="135"/>
      <c r="D750" s="46"/>
      <c r="E750" s="20"/>
      <c r="F750" s="20"/>
      <c r="G750" s="24"/>
      <c r="H750" s="21"/>
      <c r="I750" s="53"/>
      <c r="J750" s="24"/>
      <c r="K750" s="24"/>
      <c r="L750" s="46"/>
      <c r="M750" s="20"/>
      <c r="N750" s="38"/>
      <c r="O750" s="38"/>
      <c r="P750" s="20"/>
      <c r="Q750" s="20"/>
      <c r="R750" s="40"/>
      <c r="S750" s="38"/>
      <c r="T750" s="38"/>
      <c r="U750" s="40"/>
      <c r="V750" s="40"/>
      <c r="W750" s="20"/>
      <c r="X750" s="21"/>
      <c r="Y750" s="19">
        <v>0</v>
      </c>
      <c r="Z750" s="19">
        <v>0</v>
      </c>
      <c r="AA750" s="19">
        <v>0</v>
      </c>
      <c r="AB750" s="44" t="e">
        <f>VLOOKUP(A750,'[4]PO CAG'!$A:$L,12,0)</f>
        <v>#N/A</v>
      </c>
      <c r="AC750" s="22">
        <f>IFERROR(VLOOKUP(F750,[3]Sheet1!$E:$H,4,0),)</f>
        <v>0</v>
      </c>
      <c r="AD750" s="144"/>
      <c r="AE750" s="20"/>
      <c r="AF750" s="135"/>
      <c r="AG750" s="135"/>
      <c r="AH750" s="135"/>
      <c r="AI750" s="135"/>
    </row>
    <row r="751" spans="1:35">
      <c r="A751" s="135"/>
      <c r="B751" s="135"/>
      <c r="C751" s="135"/>
      <c r="D751" s="46"/>
      <c r="E751" s="20"/>
      <c r="F751" s="20"/>
      <c r="G751" s="24"/>
      <c r="H751" s="21"/>
      <c r="I751" s="53"/>
      <c r="J751" s="24"/>
      <c r="K751" s="24"/>
      <c r="L751" s="46"/>
      <c r="M751" s="20"/>
      <c r="N751" s="38"/>
      <c r="O751" s="38"/>
      <c r="P751" s="20"/>
      <c r="Q751" s="20"/>
      <c r="R751" s="40"/>
      <c r="S751" s="38"/>
      <c r="T751" s="38"/>
      <c r="U751" s="40"/>
      <c r="V751" s="40"/>
      <c r="W751" s="20"/>
      <c r="X751" s="21"/>
      <c r="Y751" s="19">
        <v>0</v>
      </c>
      <c r="Z751" s="19">
        <v>0</v>
      </c>
      <c r="AA751" s="19">
        <v>0</v>
      </c>
      <c r="AB751" s="44" t="e">
        <f>VLOOKUP(A751,'[4]PO CAG'!$A:$L,12,0)</f>
        <v>#N/A</v>
      </c>
      <c r="AC751" s="22">
        <f>IFERROR(VLOOKUP(F751,[3]Sheet1!$E:$H,4,0),)</f>
        <v>0</v>
      </c>
      <c r="AD751" s="144"/>
      <c r="AE751" s="20"/>
      <c r="AF751" s="135"/>
      <c r="AG751" s="135"/>
      <c r="AH751" s="135"/>
      <c r="AI751" s="135"/>
    </row>
    <row r="752" spans="1:35">
      <c r="A752" s="135"/>
      <c r="B752" s="135"/>
      <c r="C752" s="135"/>
      <c r="D752" s="46"/>
      <c r="E752" s="20"/>
      <c r="F752" s="20"/>
      <c r="G752" s="24"/>
      <c r="H752" s="21"/>
      <c r="I752" s="53"/>
      <c r="J752" s="24"/>
      <c r="K752" s="24"/>
      <c r="L752" s="46"/>
      <c r="M752" s="20"/>
      <c r="N752" s="38"/>
      <c r="O752" s="38"/>
      <c r="P752" s="20"/>
      <c r="Q752" s="20"/>
      <c r="R752" s="40"/>
      <c r="S752" s="38"/>
      <c r="T752" s="38"/>
      <c r="U752" s="40"/>
      <c r="V752" s="40"/>
      <c r="W752" s="20"/>
      <c r="X752" s="21"/>
      <c r="Y752" s="19">
        <v>0</v>
      </c>
      <c r="Z752" s="19">
        <v>0</v>
      </c>
      <c r="AA752" s="19">
        <v>0</v>
      </c>
      <c r="AB752" s="44" t="e">
        <f>VLOOKUP(A752,'[4]PO CAG'!$A:$L,12,0)</f>
        <v>#N/A</v>
      </c>
      <c r="AC752" s="22">
        <f>IFERROR(VLOOKUP(F752,[3]Sheet1!$E:$H,4,0),)</f>
        <v>0</v>
      </c>
      <c r="AD752" s="144"/>
      <c r="AE752" s="20"/>
      <c r="AF752" s="135"/>
      <c r="AG752" s="135"/>
      <c r="AH752" s="135"/>
      <c r="AI752" s="135"/>
    </row>
    <row r="753" spans="1:35">
      <c r="A753" s="135"/>
      <c r="B753" s="135"/>
      <c r="C753" s="135"/>
      <c r="D753" s="46"/>
      <c r="E753" s="20"/>
      <c r="F753" s="20"/>
      <c r="G753" s="24"/>
      <c r="H753" s="21"/>
      <c r="I753" s="53"/>
      <c r="J753" s="24"/>
      <c r="K753" s="24"/>
      <c r="L753" s="46"/>
      <c r="M753" s="20"/>
      <c r="N753" s="38"/>
      <c r="O753" s="38"/>
      <c r="P753" s="20"/>
      <c r="Q753" s="20"/>
      <c r="R753" s="40"/>
      <c r="S753" s="38"/>
      <c r="T753" s="38"/>
      <c r="U753" s="40"/>
      <c r="V753" s="40"/>
      <c r="W753" s="20"/>
      <c r="X753" s="21"/>
      <c r="Y753" s="19">
        <v>0</v>
      </c>
      <c r="Z753" s="19">
        <v>0</v>
      </c>
      <c r="AA753" s="19">
        <v>0</v>
      </c>
      <c r="AB753" s="44" t="e">
        <f>VLOOKUP(A753,'[4]PO CAG'!$A:$L,12,0)</f>
        <v>#N/A</v>
      </c>
      <c r="AC753" s="22">
        <f>IFERROR(VLOOKUP(F753,[3]Sheet1!$E:$H,4,0),)</f>
        <v>0</v>
      </c>
      <c r="AD753" s="144"/>
      <c r="AE753" s="20"/>
      <c r="AF753" s="135"/>
      <c r="AG753" s="135"/>
      <c r="AH753" s="135"/>
      <c r="AI753" s="135"/>
    </row>
    <row r="754" spans="1:35">
      <c r="A754" s="135"/>
      <c r="B754" s="135"/>
      <c r="C754" s="135"/>
      <c r="D754" s="46"/>
      <c r="E754" s="20"/>
      <c r="F754" s="20"/>
      <c r="G754" s="24"/>
      <c r="H754" s="21"/>
      <c r="I754" s="53"/>
      <c r="J754" s="24"/>
      <c r="K754" s="24"/>
      <c r="L754" s="46"/>
      <c r="M754" s="20"/>
      <c r="N754" s="38"/>
      <c r="O754" s="38"/>
      <c r="P754" s="20"/>
      <c r="Q754" s="20"/>
      <c r="R754" s="40"/>
      <c r="S754" s="38"/>
      <c r="T754" s="38"/>
      <c r="U754" s="40"/>
      <c r="V754" s="40"/>
      <c r="W754" s="20"/>
      <c r="X754" s="21"/>
      <c r="Y754" s="19">
        <v>0</v>
      </c>
      <c r="Z754" s="19">
        <v>0</v>
      </c>
      <c r="AA754" s="19">
        <v>0</v>
      </c>
      <c r="AB754" s="44" t="e">
        <f>VLOOKUP(A754,'[4]PO CAG'!$A:$L,12,0)</f>
        <v>#N/A</v>
      </c>
      <c r="AC754" s="22">
        <f>IFERROR(VLOOKUP(F754,[3]Sheet1!$E:$H,4,0),)</f>
        <v>0</v>
      </c>
      <c r="AD754" s="144"/>
      <c r="AE754" s="20"/>
      <c r="AF754" s="135"/>
      <c r="AG754" s="135"/>
      <c r="AH754" s="135"/>
      <c r="AI754" s="135"/>
    </row>
    <row r="755" spans="1:35">
      <c r="A755" s="135"/>
      <c r="B755" s="135"/>
      <c r="C755" s="135"/>
      <c r="D755" s="46"/>
      <c r="E755" s="20"/>
      <c r="F755" s="20"/>
      <c r="G755" s="24"/>
      <c r="H755" s="21"/>
      <c r="I755" s="53"/>
      <c r="J755" s="24"/>
      <c r="K755" s="24"/>
      <c r="L755" s="46"/>
      <c r="M755" s="20"/>
      <c r="N755" s="38"/>
      <c r="O755" s="38"/>
      <c r="P755" s="20"/>
      <c r="Q755" s="20"/>
      <c r="R755" s="40"/>
      <c r="S755" s="38"/>
      <c r="T755" s="38"/>
      <c r="U755" s="40"/>
      <c r="V755" s="40"/>
      <c r="W755" s="20"/>
      <c r="X755" s="21"/>
      <c r="Y755" s="19">
        <v>0</v>
      </c>
      <c r="Z755" s="19">
        <v>0</v>
      </c>
      <c r="AA755" s="19">
        <v>0</v>
      </c>
      <c r="AB755" s="44" t="e">
        <f>VLOOKUP(A755,'[4]PO CAG'!$A:$L,12,0)</f>
        <v>#N/A</v>
      </c>
      <c r="AC755" s="22">
        <f>IFERROR(VLOOKUP(F755,[3]Sheet1!$E:$H,4,0),)</f>
        <v>0</v>
      </c>
      <c r="AD755" s="144"/>
      <c r="AE755" s="20"/>
      <c r="AF755" s="135"/>
      <c r="AG755" s="135"/>
      <c r="AH755" s="135"/>
      <c r="AI755" s="135"/>
    </row>
    <row r="756" spans="1:35">
      <c r="A756" s="135"/>
      <c r="B756" s="135"/>
      <c r="C756" s="135"/>
      <c r="D756" s="46"/>
      <c r="E756" s="20"/>
      <c r="F756" s="20"/>
      <c r="G756" s="24"/>
      <c r="H756" s="21"/>
      <c r="I756" s="53"/>
      <c r="J756" s="24"/>
      <c r="K756" s="24"/>
      <c r="L756" s="46"/>
      <c r="M756" s="20"/>
      <c r="N756" s="38"/>
      <c r="O756" s="38"/>
      <c r="P756" s="20"/>
      <c r="Q756" s="20"/>
      <c r="R756" s="40"/>
      <c r="S756" s="38"/>
      <c r="T756" s="38"/>
      <c r="U756" s="40"/>
      <c r="V756" s="40"/>
      <c r="W756" s="20"/>
      <c r="X756" s="21"/>
      <c r="Y756" s="19">
        <v>0</v>
      </c>
      <c r="Z756" s="19">
        <v>0</v>
      </c>
      <c r="AA756" s="19">
        <v>0</v>
      </c>
      <c r="AB756" s="44" t="e">
        <f>VLOOKUP(A756,'[4]PO CAG'!$A:$L,12,0)</f>
        <v>#N/A</v>
      </c>
      <c r="AC756" s="22">
        <f>IFERROR(VLOOKUP(F756,[3]Sheet1!$E:$H,4,0),)</f>
        <v>0</v>
      </c>
      <c r="AD756" s="144"/>
      <c r="AE756" s="20"/>
      <c r="AF756" s="135"/>
      <c r="AG756" s="135"/>
      <c r="AH756" s="135"/>
      <c r="AI756" s="135"/>
    </row>
    <row r="757" spans="1:35">
      <c r="A757" s="135"/>
      <c r="B757" s="135"/>
      <c r="C757" s="135"/>
      <c r="D757" s="46"/>
      <c r="E757" s="20"/>
      <c r="F757" s="20"/>
      <c r="G757" s="24"/>
      <c r="H757" s="21"/>
      <c r="I757" s="53"/>
      <c r="J757" s="24"/>
      <c r="K757" s="24"/>
      <c r="L757" s="46"/>
      <c r="M757" s="20"/>
      <c r="N757" s="38"/>
      <c r="O757" s="38"/>
      <c r="P757" s="20"/>
      <c r="Q757" s="20"/>
      <c r="R757" s="40"/>
      <c r="S757" s="38"/>
      <c r="T757" s="38"/>
      <c r="U757" s="40"/>
      <c r="V757" s="40"/>
      <c r="W757" s="20"/>
      <c r="X757" s="21"/>
      <c r="Y757" s="19">
        <v>0</v>
      </c>
      <c r="Z757" s="19">
        <v>0</v>
      </c>
      <c r="AA757" s="19">
        <v>0</v>
      </c>
      <c r="AB757" s="44" t="e">
        <f>VLOOKUP(A757,'[4]PO CAG'!$A:$L,12,0)</f>
        <v>#N/A</v>
      </c>
      <c r="AC757" s="22">
        <f>IFERROR(VLOOKUP(F757,[3]Sheet1!$E:$H,4,0),)</f>
        <v>0</v>
      </c>
      <c r="AD757" s="144"/>
      <c r="AE757" s="20"/>
      <c r="AF757" s="135"/>
      <c r="AG757" s="135"/>
      <c r="AH757" s="135"/>
      <c r="AI757" s="135"/>
    </row>
    <row r="758" spans="1:35">
      <c r="A758" s="135"/>
      <c r="B758" s="135"/>
      <c r="C758" s="135"/>
      <c r="D758" s="46"/>
      <c r="E758" s="20"/>
      <c r="F758" s="20"/>
      <c r="G758" s="24"/>
      <c r="H758" s="21"/>
      <c r="I758" s="53"/>
      <c r="J758" s="24"/>
      <c r="K758" s="24"/>
      <c r="L758" s="46"/>
      <c r="M758" s="20"/>
      <c r="N758" s="38"/>
      <c r="O758" s="38"/>
      <c r="P758" s="20"/>
      <c r="Q758" s="20"/>
      <c r="R758" s="40"/>
      <c r="S758" s="38"/>
      <c r="T758" s="38"/>
      <c r="U758" s="40"/>
      <c r="V758" s="40"/>
      <c r="W758" s="20"/>
      <c r="X758" s="21"/>
      <c r="Y758" s="19">
        <v>0</v>
      </c>
      <c r="Z758" s="19">
        <v>0</v>
      </c>
      <c r="AA758" s="19">
        <v>0</v>
      </c>
      <c r="AB758" s="44" t="e">
        <f>VLOOKUP(A758,'[4]PO CAG'!$A:$L,12,0)</f>
        <v>#N/A</v>
      </c>
      <c r="AC758" s="22">
        <f>IFERROR(VLOOKUP(F758,[3]Sheet1!$E:$H,4,0),)</f>
        <v>0</v>
      </c>
      <c r="AD758" s="144"/>
      <c r="AE758" s="20"/>
      <c r="AF758" s="135"/>
      <c r="AG758" s="135"/>
      <c r="AH758" s="135"/>
      <c r="AI758" s="135"/>
    </row>
    <row r="759" spans="1:35">
      <c r="A759" s="135"/>
      <c r="B759" s="135"/>
      <c r="C759" s="135"/>
      <c r="D759" s="46"/>
      <c r="E759" s="20"/>
      <c r="F759" s="20"/>
      <c r="G759" s="24"/>
      <c r="H759" s="21"/>
      <c r="I759" s="53"/>
      <c r="J759" s="24"/>
      <c r="K759" s="24"/>
      <c r="L759" s="46"/>
      <c r="M759" s="20"/>
      <c r="N759" s="38"/>
      <c r="O759" s="38"/>
      <c r="P759" s="20"/>
      <c r="Q759" s="20"/>
      <c r="R759" s="40"/>
      <c r="S759" s="38"/>
      <c r="T759" s="38"/>
      <c r="U759" s="40"/>
      <c r="V759" s="40"/>
      <c r="W759" s="20"/>
      <c r="X759" s="21"/>
      <c r="Y759" s="19">
        <v>0</v>
      </c>
      <c r="Z759" s="19">
        <v>0</v>
      </c>
      <c r="AA759" s="19">
        <v>0</v>
      </c>
      <c r="AB759" s="44" t="e">
        <f>VLOOKUP(A759,'[4]PO CAG'!$A:$L,12,0)</f>
        <v>#N/A</v>
      </c>
      <c r="AC759" s="22">
        <f>IFERROR(VLOOKUP(F759,[3]Sheet1!$E:$H,4,0),)</f>
        <v>0</v>
      </c>
      <c r="AD759" s="144"/>
      <c r="AE759" s="20"/>
      <c r="AF759" s="135"/>
      <c r="AG759" s="135"/>
      <c r="AH759" s="135"/>
      <c r="AI759" s="135"/>
    </row>
    <row r="760" spans="1:35">
      <c r="A760" s="135"/>
      <c r="B760" s="135"/>
      <c r="C760" s="135"/>
      <c r="D760" s="46"/>
      <c r="E760" s="20"/>
      <c r="F760" s="20"/>
      <c r="G760" s="24"/>
      <c r="H760" s="21"/>
      <c r="I760" s="53"/>
      <c r="J760" s="24"/>
      <c r="K760" s="24"/>
      <c r="L760" s="46"/>
      <c r="M760" s="20"/>
      <c r="N760" s="38"/>
      <c r="O760" s="38"/>
      <c r="P760" s="20"/>
      <c r="Q760" s="20"/>
      <c r="R760" s="40"/>
      <c r="S760" s="38"/>
      <c r="T760" s="38"/>
      <c r="U760" s="40"/>
      <c r="V760" s="40"/>
      <c r="W760" s="20"/>
      <c r="X760" s="21"/>
      <c r="Y760" s="19">
        <v>0</v>
      </c>
      <c r="Z760" s="19">
        <v>0</v>
      </c>
      <c r="AA760" s="19">
        <v>0</v>
      </c>
      <c r="AB760" s="44" t="e">
        <f>VLOOKUP(A760,'[4]PO CAG'!$A:$L,12,0)</f>
        <v>#N/A</v>
      </c>
      <c r="AC760" s="22">
        <f>IFERROR(VLOOKUP(F760,[3]Sheet1!$E:$H,4,0),)</f>
        <v>0</v>
      </c>
      <c r="AD760" s="144"/>
      <c r="AE760" s="20"/>
      <c r="AF760" s="135"/>
      <c r="AG760" s="135"/>
      <c r="AH760" s="135"/>
      <c r="AI760" s="135"/>
    </row>
    <row r="761" spans="1:35">
      <c r="A761" s="135"/>
      <c r="B761" s="135"/>
      <c r="C761" s="135"/>
      <c r="D761" s="46"/>
      <c r="E761" s="20"/>
      <c r="F761" s="20"/>
      <c r="G761" s="24"/>
      <c r="H761" s="21"/>
      <c r="I761" s="53"/>
      <c r="J761" s="24"/>
      <c r="K761" s="24"/>
      <c r="L761" s="46"/>
      <c r="M761" s="20"/>
      <c r="N761" s="38"/>
      <c r="O761" s="38"/>
      <c r="P761" s="20"/>
      <c r="Q761" s="20"/>
      <c r="R761" s="40"/>
      <c r="S761" s="38"/>
      <c r="T761" s="38"/>
      <c r="U761" s="40"/>
      <c r="V761" s="40"/>
      <c r="W761" s="20"/>
      <c r="X761" s="21"/>
      <c r="Y761" s="19">
        <v>0</v>
      </c>
      <c r="Z761" s="19">
        <v>0</v>
      </c>
      <c r="AA761" s="19">
        <v>0</v>
      </c>
      <c r="AB761" s="44" t="e">
        <f>VLOOKUP(A761,'[4]PO CAG'!$A:$L,12,0)</f>
        <v>#N/A</v>
      </c>
      <c r="AC761" s="22">
        <f>IFERROR(VLOOKUP(F761,[3]Sheet1!$E:$H,4,0),)</f>
        <v>0</v>
      </c>
      <c r="AD761" s="144"/>
      <c r="AE761" s="20"/>
      <c r="AF761" s="135"/>
      <c r="AG761" s="135"/>
      <c r="AH761" s="135"/>
      <c r="AI761" s="135"/>
    </row>
    <row r="762" spans="1:35">
      <c r="A762" s="135"/>
      <c r="B762" s="135"/>
      <c r="C762" s="135"/>
      <c r="D762" s="46"/>
      <c r="E762" s="20"/>
      <c r="F762" s="20"/>
      <c r="G762" s="24"/>
      <c r="H762" s="21"/>
      <c r="I762" s="53"/>
      <c r="J762" s="24"/>
      <c r="K762" s="24"/>
      <c r="L762" s="46"/>
      <c r="M762" s="20"/>
      <c r="N762" s="38"/>
      <c r="O762" s="38"/>
      <c r="P762" s="20"/>
      <c r="Q762" s="20"/>
      <c r="R762" s="40"/>
      <c r="S762" s="38"/>
      <c r="T762" s="38"/>
      <c r="U762" s="40"/>
      <c r="V762" s="40"/>
      <c r="W762" s="20"/>
      <c r="X762" s="21"/>
      <c r="Y762" s="19">
        <v>0</v>
      </c>
      <c r="Z762" s="19">
        <v>0</v>
      </c>
      <c r="AA762" s="19">
        <v>0</v>
      </c>
      <c r="AB762" s="44" t="e">
        <f>VLOOKUP(A762,'[4]PO CAG'!$A:$L,12,0)</f>
        <v>#N/A</v>
      </c>
      <c r="AC762" s="22">
        <f>IFERROR(VLOOKUP(F762,[3]Sheet1!$E:$H,4,0),)</f>
        <v>0</v>
      </c>
      <c r="AD762" s="144"/>
      <c r="AE762" s="20"/>
      <c r="AF762" s="135"/>
      <c r="AG762" s="135"/>
      <c r="AH762" s="135"/>
      <c r="AI762" s="135"/>
    </row>
    <row r="763" spans="1:35">
      <c r="A763" s="135"/>
      <c r="B763" s="135"/>
      <c r="C763" s="135"/>
      <c r="D763" s="46"/>
      <c r="E763" s="20"/>
      <c r="F763" s="20"/>
      <c r="G763" s="24"/>
      <c r="H763" s="21"/>
      <c r="I763" s="53"/>
      <c r="J763" s="24"/>
      <c r="K763" s="24"/>
      <c r="L763" s="46"/>
      <c r="M763" s="20"/>
      <c r="N763" s="38"/>
      <c r="O763" s="38"/>
      <c r="P763" s="20"/>
      <c r="Q763" s="20"/>
      <c r="R763" s="40"/>
      <c r="S763" s="38"/>
      <c r="T763" s="38"/>
      <c r="U763" s="40"/>
      <c r="V763" s="40"/>
      <c r="W763" s="20"/>
      <c r="X763" s="21"/>
      <c r="Y763" s="19">
        <v>0</v>
      </c>
      <c r="Z763" s="19">
        <v>0</v>
      </c>
      <c r="AA763" s="19">
        <v>0</v>
      </c>
      <c r="AB763" s="44" t="e">
        <f>VLOOKUP(A763,'[4]PO CAG'!$A:$L,12,0)</f>
        <v>#N/A</v>
      </c>
      <c r="AC763" s="22">
        <f>IFERROR(VLOOKUP(F763,[3]Sheet1!$E:$H,4,0),)</f>
        <v>0</v>
      </c>
      <c r="AD763" s="144"/>
      <c r="AE763" s="20"/>
      <c r="AF763" s="135"/>
      <c r="AG763" s="135"/>
      <c r="AH763" s="135"/>
      <c r="AI763" s="135"/>
    </row>
    <row r="764" spans="1:35">
      <c r="A764" s="135"/>
      <c r="B764" s="135"/>
      <c r="C764" s="135"/>
      <c r="D764" s="46"/>
      <c r="E764" s="20"/>
      <c r="F764" s="20"/>
      <c r="G764" s="24"/>
      <c r="H764" s="21"/>
      <c r="I764" s="53"/>
      <c r="J764" s="24"/>
      <c r="K764" s="24"/>
      <c r="L764" s="46"/>
      <c r="M764" s="20"/>
      <c r="N764" s="38"/>
      <c r="O764" s="38"/>
      <c r="P764" s="20"/>
      <c r="Q764" s="20"/>
      <c r="R764" s="40"/>
      <c r="S764" s="38"/>
      <c r="T764" s="38"/>
      <c r="U764" s="40"/>
      <c r="V764" s="40"/>
      <c r="W764" s="20"/>
      <c r="X764" s="21"/>
      <c r="Y764" s="19">
        <v>0</v>
      </c>
      <c r="Z764" s="19">
        <v>0</v>
      </c>
      <c r="AA764" s="19">
        <v>0</v>
      </c>
      <c r="AB764" s="44" t="e">
        <f>VLOOKUP(A764,'[4]PO CAG'!$A:$L,12,0)</f>
        <v>#N/A</v>
      </c>
      <c r="AC764" s="22">
        <f>IFERROR(VLOOKUP(F764,[3]Sheet1!$E:$H,4,0),)</f>
        <v>0</v>
      </c>
      <c r="AD764" s="144"/>
      <c r="AE764" s="20"/>
      <c r="AF764" s="135"/>
      <c r="AG764" s="135"/>
      <c r="AH764" s="135"/>
      <c r="AI764" s="135"/>
    </row>
    <row r="765" spans="1:35">
      <c r="A765" s="135"/>
      <c r="B765" s="135"/>
      <c r="C765" s="135"/>
      <c r="D765" s="46"/>
      <c r="E765" s="20"/>
      <c r="F765" s="20"/>
      <c r="G765" s="24"/>
      <c r="H765" s="21"/>
      <c r="I765" s="53"/>
      <c r="J765" s="24"/>
      <c r="K765" s="24"/>
      <c r="L765" s="46"/>
      <c r="M765" s="20"/>
      <c r="N765" s="38"/>
      <c r="O765" s="38"/>
      <c r="P765" s="20"/>
      <c r="Q765" s="20"/>
      <c r="R765" s="40"/>
      <c r="S765" s="38"/>
      <c r="T765" s="38"/>
      <c r="U765" s="40"/>
      <c r="V765" s="40"/>
      <c r="W765" s="20"/>
      <c r="X765" s="21"/>
      <c r="Y765" s="19">
        <v>0</v>
      </c>
      <c r="Z765" s="19">
        <v>0</v>
      </c>
      <c r="AA765" s="19">
        <v>0</v>
      </c>
      <c r="AB765" s="44" t="e">
        <f>VLOOKUP(A765,'[4]PO CAG'!$A:$L,12,0)</f>
        <v>#N/A</v>
      </c>
      <c r="AC765" s="22">
        <f>IFERROR(VLOOKUP(F765,[3]Sheet1!$E:$H,4,0),)</f>
        <v>0</v>
      </c>
      <c r="AD765" s="144"/>
      <c r="AE765" s="20"/>
      <c r="AF765" s="135"/>
      <c r="AG765" s="135"/>
      <c r="AH765" s="135"/>
      <c r="AI765" s="135"/>
    </row>
    <row r="766" spans="1:35">
      <c r="A766" s="135"/>
      <c r="B766" s="135"/>
      <c r="C766" s="135"/>
      <c r="D766" s="46"/>
      <c r="E766" s="20"/>
      <c r="F766" s="20"/>
      <c r="G766" s="24"/>
      <c r="H766" s="21"/>
      <c r="I766" s="53"/>
      <c r="J766" s="24"/>
      <c r="K766" s="24"/>
      <c r="L766" s="46"/>
      <c r="M766" s="20"/>
      <c r="N766" s="38"/>
      <c r="O766" s="38"/>
      <c r="P766" s="20"/>
      <c r="Q766" s="20"/>
      <c r="R766" s="40"/>
      <c r="S766" s="38"/>
      <c r="T766" s="38"/>
      <c r="U766" s="40"/>
      <c r="V766" s="40"/>
      <c r="W766" s="20"/>
      <c r="X766" s="21"/>
      <c r="Y766" s="19">
        <v>0</v>
      </c>
      <c r="Z766" s="19">
        <v>0</v>
      </c>
      <c r="AA766" s="19">
        <v>0</v>
      </c>
      <c r="AB766" s="44" t="e">
        <f>VLOOKUP(A766,'[4]PO CAG'!$A:$L,12,0)</f>
        <v>#N/A</v>
      </c>
      <c r="AC766" s="22">
        <f>IFERROR(VLOOKUP(F766,[3]Sheet1!$E:$H,4,0),)</f>
        <v>0</v>
      </c>
      <c r="AD766" s="144"/>
      <c r="AE766" s="20"/>
      <c r="AF766" s="135"/>
      <c r="AG766" s="135"/>
      <c r="AH766" s="135"/>
      <c r="AI766" s="135"/>
    </row>
    <row r="767" spans="1:35">
      <c r="A767" s="135"/>
      <c r="B767" s="135"/>
      <c r="C767" s="135"/>
      <c r="D767" s="46"/>
      <c r="E767" s="20"/>
      <c r="F767" s="20"/>
      <c r="G767" s="24"/>
      <c r="H767" s="21"/>
      <c r="I767" s="53"/>
      <c r="J767" s="24"/>
      <c r="K767" s="24"/>
      <c r="L767" s="46"/>
      <c r="M767" s="20"/>
      <c r="N767" s="38"/>
      <c r="O767" s="38"/>
      <c r="P767" s="20"/>
      <c r="Q767" s="20"/>
      <c r="R767" s="40"/>
      <c r="S767" s="38"/>
      <c r="T767" s="38"/>
      <c r="U767" s="40"/>
      <c r="V767" s="40"/>
      <c r="W767" s="20"/>
      <c r="X767" s="21"/>
      <c r="Y767" s="19">
        <v>0</v>
      </c>
      <c r="Z767" s="19">
        <v>0</v>
      </c>
      <c r="AA767" s="19">
        <v>0</v>
      </c>
      <c r="AB767" s="44" t="e">
        <f>VLOOKUP(A767,'[4]PO CAG'!$A:$L,12,0)</f>
        <v>#N/A</v>
      </c>
      <c r="AC767" s="22">
        <f>IFERROR(VLOOKUP(F767,[3]Sheet1!$E:$H,4,0),)</f>
        <v>0</v>
      </c>
      <c r="AD767" s="144"/>
      <c r="AE767" s="20"/>
      <c r="AF767" s="135"/>
      <c r="AG767" s="135"/>
      <c r="AH767" s="135"/>
      <c r="AI767" s="135"/>
    </row>
    <row r="768" spans="1:35">
      <c r="A768" s="135"/>
      <c r="B768" s="135"/>
      <c r="C768" s="135"/>
      <c r="D768" s="46"/>
      <c r="E768" s="20"/>
      <c r="F768" s="20"/>
      <c r="G768" s="24"/>
      <c r="H768" s="21"/>
      <c r="I768" s="53"/>
      <c r="J768" s="24"/>
      <c r="K768" s="24"/>
      <c r="L768" s="46"/>
      <c r="M768" s="20"/>
      <c r="N768" s="38"/>
      <c r="O768" s="38"/>
      <c r="P768" s="20"/>
      <c r="Q768" s="20"/>
      <c r="R768" s="40"/>
      <c r="S768" s="38"/>
      <c r="T768" s="38"/>
      <c r="U768" s="40"/>
      <c r="V768" s="40"/>
      <c r="W768" s="20"/>
      <c r="X768" s="21"/>
      <c r="Y768" s="19">
        <v>0</v>
      </c>
      <c r="Z768" s="19">
        <v>0</v>
      </c>
      <c r="AA768" s="19">
        <v>0</v>
      </c>
      <c r="AB768" s="44" t="e">
        <f>VLOOKUP(A768,'[4]PO CAG'!$A:$L,12,0)</f>
        <v>#N/A</v>
      </c>
      <c r="AC768" s="22">
        <f>IFERROR(VLOOKUP(F768,[3]Sheet1!$E:$H,4,0),)</f>
        <v>0</v>
      </c>
      <c r="AD768" s="144"/>
      <c r="AE768" s="20"/>
      <c r="AF768" s="135"/>
      <c r="AG768" s="135"/>
      <c r="AH768" s="135"/>
      <c r="AI768" s="135"/>
    </row>
    <row r="769" spans="1:35">
      <c r="A769" s="135"/>
      <c r="B769" s="135"/>
      <c r="C769" s="135"/>
      <c r="D769" s="46"/>
      <c r="E769" s="20"/>
      <c r="F769" s="20"/>
      <c r="G769" s="24"/>
      <c r="H769" s="21"/>
      <c r="I769" s="53"/>
      <c r="J769" s="24"/>
      <c r="K769" s="24"/>
      <c r="L769" s="46"/>
      <c r="M769" s="20"/>
      <c r="N769" s="38"/>
      <c r="O769" s="38"/>
      <c r="P769" s="20"/>
      <c r="Q769" s="20"/>
      <c r="R769" s="40"/>
      <c r="S769" s="38"/>
      <c r="T769" s="38"/>
      <c r="U769" s="40"/>
      <c r="V769" s="40"/>
      <c r="W769" s="20"/>
      <c r="X769" s="21"/>
      <c r="Y769" s="19">
        <v>0</v>
      </c>
      <c r="Z769" s="19">
        <v>0</v>
      </c>
      <c r="AA769" s="19">
        <v>0</v>
      </c>
      <c r="AB769" s="44" t="e">
        <f>VLOOKUP(A769,'[4]PO CAG'!$A:$L,12,0)</f>
        <v>#N/A</v>
      </c>
      <c r="AC769" s="22">
        <f>IFERROR(VLOOKUP(F769,[3]Sheet1!$E:$H,4,0),)</f>
        <v>0</v>
      </c>
      <c r="AD769" s="144"/>
      <c r="AE769" s="20"/>
      <c r="AF769" s="135"/>
      <c r="AG769" s="135"/>
      <c r="AH769" s="135"/>
      <c r="AI769" s="135"/>
    </row>
    <row r="770" spans="1:35">
      <c r="A770" s="135"/>
      <c r="B770" s="135"/>
      <c r="C770" s="135"/>
      <c r="D770" s="46"/>
      <c r="E770" s="20"/>
      <c r="F770" s="20"/>
      <c r="G770" s="24"/>
      <c r="H770" s="21"/>
      <c r="I770" s="53"/>
      <c r="J770" s="24"/>
      <c r="K770" s="24"/>
      <c r="L770" s="46"/>
      <c r="M770" s="20"/>
      <c r="N770" s="38"/>
      <c r="O770" s="38"/>
      <c r="P770" s="20"/>
      <c r="Q770" s="20"/>
      <c r="R770" s="40"/>
      <c r="S770" s="38"/>
      <c r="T770" s="38"/>
      <c r="U770" s="40"/>
      <c r="V770" s="40"/>
      <c r="W770" s="20"/>
      <c r="X770" s="21"/>
      <c r="Y770" s="19">
        <v>0</v>
      </c>
      <c r="Z770" s="19">
        <v>0</v>
      </c>
      <c r="AA770" s="19">
        <v>0</v>
      </c>
      <c r="AB770" s="44" t="e">
        <f>VLOOKUP(A770,'[4]PO CAG'!$A:$L,12,0)</f>
        <v>#N/A</v>
      </c>
      <c r="AC770" s="22">
        <f>IFERROR(VLOOKUP(F770,[3]Sheet1!$E:$H,4,0),)</f>
        <v>0</v>
      </c>
      <c r="AD770" s="144"/>
      <c r="AE770" s="20"/>
      <c r="AF770" s="135"/>
      <c r="AG770" s="135"/>
      <c r="AH770" s="135"/>
      <c r="AI770" s="135"/>
    </row>
    <row r="771" spans="1:35">
      <c r="A771" s="135"/>
      <c r="B771" s="135"/>
      <c r="C771" s="135"/>
      <c r="D771" s="46"/>
      <c r="E771" s="20"/>
      <c r="F771" s="20"/>
      <c r="G771" s="24"/>
      <c r="H771" s="21"/>
      <c r="I771" s="53"/>
      <c r="J771" s="24"/>
      <c r="K771" s="24"/>
      <c r="L771" s="46"/>
      <c r="M771" s="20"/>
      <c r="N771" s="38"/>
      <c r="O771" s="38"/>
      <c r="P771" s="20"/>
      <c r="Q771" s="20"/>
      <c r="R771" s="40"/>
      <c r="S771" s="38"/>
      <c r="T771" s="38"/>
      <c r="U771" s="40"/>
      <c r="V771" s="40"/>
      <c r="W771" s="20"/>
      <c r="X771" s="21"/>
      <c r="Y771" s="19">
        <v>0</v>
      </c>
      <c r="Z771" s="19">
        <v>0</v>
      </c>
      <c r="AA771" s="19">
        <v>0</v>
      </c>
      <c r="AB771" s="44" t="e">
        <f>VLOOKUP(A771,'[4]PO CAG'!$A:$L,12,0)</f>
        <v>#N/A</v>
      </c>
      <c r="AC771" s="22">
        <f>IFERROR(VLOOKUP(F771,[3]Sheet1!$E:$H,4,0),)</f>
        <v>0</v>
      </c>
      <c r="AD771" s="144"/>
      <c r="AE771" s="20"/>
      <c r="AF771" s="135"/>
      <c r="AG771" s="135"/>
      <c r="AH771" s="135"/>
      <c r="AI771" s="135"/>
    </row>
    <row r="772" spans="1:35">
      <c r="A772" s="135"/>
      <c r="B772" s="135"/>
      <c r="C772" s="135"/>
      <c r="D772" s="46"/>
      <c r="E772" s="20"/>
      <c r="F772" s="20"/>
      <c r="G772" s="24"/>
      <c r="H772" s="21"/>
      <c r="I772" s="53"/>
      <c r="J772" s="24"/>
      <c r="K772" s="24"/>
      <c r="L772" s="46"/>
      <c r="M772" s="20"/>
      <c r="N772" s="38"/>
      <c r="O772" s="38"/>
      <c r="P772" s="20"/>
      <c r="Q772" s="20"/>
      <c r="R772" s="40"/>
      <c r="S772" s="38"/>
      <c r="T772" s="38"/>
      <c r="U772" s="40"/>
      <c r="V772" s="40"/>
      <c r="W772" s="20"/>
      <c r="X772" s="21"/>
      <c r="Y772" s="19">
        <v>0</v>
      </c>
      <c r="Z772" s="19">
        <v>0</v>
      </c>
      <c r="AA772" s="19">
        <v>0</v>
      </c>
      <c r="AB772" s="44" t="e">
        <f>VLOOKUP(A772,'[4]PO CAG'!$A:$L,12,0)</f>
        <v>#N/A</v>
      </c>
      <c r="AC772" s="22">
        <f>IFERROR(VLOOKUP(F772,[3]Sheet1!$E:$H,4,0),)</f>
        <v>0</v>
      </c>
      <c r="AD772" s="144"/>
      <c r="AE772" s="20"/>
      <c r="AF772" s="135"/>
      <c r="AG772" s="135"/>
      <c r="AH772" s="135"/>
      <c r="AI772" s="135"/>
    </row>
    <row r="773" spans="1:35">
      <c r="A773" s="135"/>
      <c r="B773" s="135"/>
      <c r="C773" s="135"/>
      <c r="D773" s="46"/>
      <c r="E773" s="20"/>
      <c r="F773" s="20"/>
      <c r="G773" s="24"/>
      <c r="H773" s="21"/>
      <c r="I773" s="53"/>
      <c r="J773" s="24"/>
      <c r="K773" s="24"/>
      <c r="L773" s="46"/>
      <c r="M773" s="20"/>
      <c r="N773" s="38"/>
      <c r="O773" s="38"/>
      <c r="P773" s="20"/>
      <c r="Q773" s="20"/>
      <c r="R773" s="40"/>
      <c r="S773" s="38"/>
      <c r="T773" s="38"/>
      <c r="U773" s="40"/>
      <c r="V773" s="40"/>
      <c r="W773" s="20"/>
      <c r="X773" s="21"/>
      <c r="Y773" s="19">
        <v>0</v>
      </c>
      <c r="Z773" s="19">
        <v>0</v>
      </c>
      <c r="AA773" s="19">
        <v>0</v>
      </c>
      <c r="AB773" s="44" t="e">
        <f>VLOOKUP(A773,'[4]PO CAG'!$A:$L,12,0)</f>
        <v>#N/A</v>
      </c>
      <c r="AC773" s="22">
        <f>IFERROR(VLOOKUP(F773,[3]Sheet1!$E:$H,4,0),)</f>
        <v>0</v>
      </c>
      <c r="AD773" s="144"/>
      <c r="AE773" s="20"/>
      <c r="AF773" s="135"/>
      <c r="AG773" s="135"/>
      <c r="AH773" s="135"/>
      <c r="AI773" s="135"/>
    </row>
    <row r="774" spans="1:35">
      <c r="A774" s="135"/>
      <c r="B774" s="135"/>
      <c r="C774" s="135"/>
      <c r="D774" s="46"/>
      <c r="E774" s="20"/>
      <c r="F774" s="20"/>
      <c r="G774" s="24"/>
      <c r="H774" s="21"/>
      <c r="I774" s="53"/>
      <c r="J774" s="24"/>
      <c r="K774" s="24"/>
      <c r="L774" s="46"/>
      <c r="M774" s="20"/>
      <c r="N774" s="38"/>
      <c r="O774" s="38"/>
      <c r="P774" s="20"/>
      <c r="Q774" s="20"/>
      <c r="R774" s="40"/>
      <c r="S774" s="38"/>
      <c r="T774" s="38"/>
      <c r="U774" s="40"/>
      <c r="V774" s="40"/>
      <c r="W774" s="20"/>
      <c r="X774" s="21"/>
      <c r="Y774" s="19">
        <v>0</v>
      </c>
      <c r="Z774" s="19">
        <v>0</v>
      </c>
      <c r="AA774" s="19">
        <v>0</v>
      </c>
      <c r="AB774" s="44" t="e">
        <f>VLOOKUP(A774,'[4]PO CAG'!$A:$L,12,0)</f>
        <v>#N/A</v>
      </c>
      <c r="AC774" s="22">
        <f>IFERROR(VLOOKUP(F774,[3]Sheet1!$E:$H,4,0),)</f>
        <v>0</v>
      </c>
      <c r="AD774" s="144"/>
      <c r="AE774" s="20"/>
      <c r="AF774" s="135"/>
      <c r="AG774" s="135"/>
      <c r="AH774" s="135"/>
      <c r="AI774" s="135"/>
    </row>
    <row r="775" spans="1:35">
      <c r="A775" s="135"/>
      <c r="B775" s="135"/>
      <c r="C775" s="135"/>
      <c r="D775" s="46"/>
      <c r="E775" s="20"/>
      <c r="F775" s="20"/>
      <c r="G775" s="24"/>
      <c r="H775" s="21"/>
      <c r="I775" s="53"/>
      <c r="J775" s="24"/>
      <c r="K775" s="24"/>
      <c r="L775" s="46"/>
      <c r="M775" s="20"/>
      <c r="N775" s="38"/>
      <c r="O775" s="38"/>
      <c r="P775" s="20"/>
      <c r="Q775" s="20"/>
      <c r="R775" s="40"/>
      <c r="S775" s="38"/>
      <c r="T775" s="38"/>
      <c r="U775" s="40"/>
      <c r="V775" s="40"/>
      <c r="W775" s="20"/>
      <c r="X775" s="21"/>
      <c r="Y775" s="19">
        <v>0</v>
      </c>
      <c r="Z775" s="19">
        <v>0</v>
      </c>
      <c r="AA775" s="19">
        <v>0</v>
      </c>
      <c r="AB775" s="44" t="e">
        <f>VLOOKUP(A775,'[4]PO CAG'!$A:$L,12,0)</f>
        <v>#N/A</v>
      </c>
      <c r="AC775" s="22">
        <f>IFERROR(VLOOKUP(F775,[3]Sheet1!$E:$H,4,0),)</f>
        <v>0</v>
      </c>
      <c r="AD775" s="144"/>
      <c r="AE775" s="20"/>
      <c r="AF775" s="135"/>
      <c r="AG775" s="135"/>
      <c r="AH775" s="135"/>
      <c r="AI775" s="135"/>
    </row>
    <row r="776" spans="1:35">
      <c r="A776" s="135"/>
      <c r="B776" s="135"/>
      <c r="C776" s="135"/>
      <c r="D776" s="46"/>
      <c r="E776" s="20"/>
      <c r="F776" s="20"/>
      <c r="G776" s="24"/>
      <c r="H776" s="21"/>
      <c r="I776" s="53"/>
      <c r="J776" s="24"/>
      <c r="K776" s="24"/>
      <c r="L776" s="46"/>
      <c r="M776" s="20"/>
      <c r="N776" s="38"/>
      <c r="O776" s="38"/>
      <c r="P776" s="20"/>
      <c r="Q776" s="20"/>
      <c r="R776" s="40"/>
      <c r="S776" s="38"/>
      <c r="T776" s="38"/>
      <c r="U776" s="40"/>
      <c r="V776" s="40"/>
      <c r="W776" s="20"/>
      <c r="X776" s="21"/>
      <c r="Y776" s="19">
        <v>0</v>
      </c>
      <c r="Z776" s="19">
        <v>0</v>
      </c>
      <c r="AA776" s="19">
        <v>0</v>
      </c>
      <c r="AB776" s="44" t="e">
        <f>VLOOKUP(A776,'[4]PO CAG'!$A:$L,12,0)</f>
        <v>#N/A</v>
      </c>
      <c r="AC776" s="22">
        <f>IFERROR(VLOOKUP(F776,[3]Sheet1!$E:$H,4,0),)</f>
        <v>0</v>
      </c>
      <c r="AD776" s="144"/>
      <c r="AE776" s="20"/>
      <c r="AF776" s="135"/>
      <c r="AG776" s="135"/>
      <c r="AH776" s="135"/>
      <c r="AI776" s="135"/>
    </row>
    <row r="777" spans="1:35">
      <c r="A777" s="135"/>
      <c r="B777" s="135"/>
      <c r="C777" s="135"/>
      <c r="D777" s="46"/>
      <c r="E777" s="20"/>
      <c r="F777" s="20"/>
      <c r="G777" s="24"/>
      <c r="H777" s="21"/>
      <c r="I777" s="53"/>
      <c r="J777" s="24"/>
      <c r="K777" s="24"/>
      <c r="L777" s="46"/>
      <c r="M777" s="20"/>
      <c r="N777" s="38"/>
      <c r="O777" s="38"/>
      <c r="P777" s="20"/>
      <c r="Q777" s="20"/>
      <c r="R777" s="40"/>
      <c r="S777" s="38"/>
      <c r="T777" s="38"/>
      <c r="U777" s="40"/>
      <c r="V777" s="40"/>
      <c r="W777" s="20"/>
      <c r="X777" s="21"/>
      <c r="Y777" s="19">
        <v>0</v>
      </c>
      <c r="Z777" s="19">
        <v>0</v>
      </c>
      <c r="AA777" s="19">
        <v>0</v>
      </c>
      <c r="AB777" s="44" t="e">
        <f>VLOOKUP(A777,'[4]PO CAG'!$A:$L,12,0)</f>
        <v>#N/A</v>
      </c>
      <c r="AC777" s="22">
        <f>IFERROR(VLOOKUP(F777,[3]Sheet1!$E:$H,4,0),)</f>
        <v>0</v>
      </c>
      <c r="AD777" s="144"/>
      <c r="AE777" s="20"/>
      <c r="AF777" s="135"/>
      <c r="AG777" s="135"/>
      <c r="AH777" s="135"/>
      <c r="AI777" s="135"/>
    </row>
    <row r="778" spans="1:35">
      <c r="A778" s="135"/>
      <c r="B778" s="135"/>
      <c r="C778" s="135"/>
      <c r="D778" s="46"/>
      <c r="E778" s="20"/>
      <c r="F778" s="20"/>
      <c r="G778" s="24"/>
      <c r="H778" s="21"/>
      <c r="I778" s="53"/>
      <c r="J778" s="24"/>
      <c r="K778" s="24"/>
      <c r="L778" s="46"/>
      <c r="M778" s="20"/>
      <c r="N778" s="38"/>
      <c r="O778" s="38"/>
      <c r="P778" s="20"/>
      <c r="Q778" s="20"/>
      <c r="R778" s="40"/>
      <c r="S778" s="38"/>
      <c r="T778" s="38"/>
      <c r="U778" s="40"/>
      <c r="V778" s="40"/>
      <c r="W778" s="20"/>
      <c r="X778" s="21"/>
      <c r="Y778" s="19">
        <v>0</v>
      </c>
      <c r="Z778" s="19">
        <v>0</v>
      </c>
      <c r="AA778" s="19">
        <v>0</v>
      </c>
      <c r="AB778" s="44" t="e">
        <f>VLOOKUP(A778,'[4]PO CAG'!$A:$L,12,0)</f>
        <v>#N/A</v>
      </c>
      <c r="AC778" s="22">
        <f>IFERROR(VLOOKUP(F778,[3]Sheet1!$E:$H,4,0),)</f>
        <v>0</v>
      </c>
      <c r="AD778" s="144"/>
      <c r="AE778" s="20"/>
      <c r="AF778" s="135"/>
      <c r="AG778" s="135"/>
      <c r="AH778" s="135"/>
      <c r="AI778" s="135"/>
    </row>
    <row r="779" spans="1:35">
      <c r="A779" s="135"/>
      <c r="B779" s="135"/>
      <c r="C779" s="135"/>
      <c r="D779" s="46"/>
      <c r="E779" s="20"/>
      <c r="F779" s="20"/>
      <c r="G779" s="24"/>
      <c r="H779" s="21"/>
      <c r="I779" s="53"/>
      <c r="J779" s="24"/>
      <c r="K779" s="24"/>
      <c r="L779" s="46"/>
      <c r="M779" s="20"/>
      <c r="N779" s="38"/>
      <c r="O779" s="38"/>
      <c r="P779" s="20"/>
      <c r="Q779" s="20"/>
      <c r="R779" s="40"/>
      <c r="S779" s="38"/>
      <c r="T779" s="38"/>
      <c r="U779" s="40"/>
      <c r="V779" s="40"/>
      <c r="W779" s="20"/>
      <c r="X779" s="21"/>
      <c r="Y779" s="19">
        <v>0</v>
      </c>
      <c r="Z779" s="19">
        <v>0</v>
      </c>
      <c r="AA779" s="19">
        <v>0</v>
      </c>
      <c r="AB779" s="44" t="e">
        <f>VLOOKUP(A779,'[4]PO CAG'!$A:$L,12,0)</f>
        <v>#N/A</v>
      </c>
      <c r="AC779" s="22">
        <f>IFERROR(VLOOKUP(F779,[3]Sheet1!$E:$H,4,0),)</f>
        <v>0</v>
      </c>
      <c r="AD779" s="144"/>
      <c r="AE779" s="20"/>
      <c r="AF779" s="135"/>
      <c r="AG779" s="135"/>
      <c r="AH779" s="135"/>
      <c r="AI779" s="135"/>
    </row>
    <row r="780" spans="1:35">
      <c r="A780" s="135"/>
      <c r="B780" s="135"/>
      <c r="C780" s="135"/>
      <c r="D780" s="46"/>
      <c r="E780" s="20"/>
      <c r="F780" s="20"/>
      <c r="G780" s="24"/>
      <c r="H780" s="21"/>
      <c r="I780" s="53"/>
      <c r="J780" s="24"/>
      <c r="K780" s="24"/>
      <c r="L780" s="46"/>
      <c r="M780" s="20"/>
      <c r="N780" s="38"/>
      <c r="O780" s="38"/>
      <c r="P780" s="20"/>
      <c r="Q780" s="20"/>
      <c r="R780" s="40"/>
      <c r="S780" s="38"/>
      <c r="T780" s="38"/>
      <c r="U780" s="40"/>
      <c r="V780" s="40"/>
      <c r="W780" s="20"/>
      <c r="X780" s="21"/>
      <c r="Y780" s="19">
        <v>0</v>
      </c>
      <c r="Z780" s="19">
        <v>0</v>
      </c>
      <c r="AA780" s="19">
        <v>0</v>
      </c>
      <c r="AB780" s="44" t="e">
        <f>VLOOKUP(A780,'[4]PO CAG'!$A:$L,12,0)</f>
        <v>#N/A</v>
      </c>
      <c r="AC780" s="22">
        <f>IFERROR(VLOOKUP(F780,[3]Sheet1!$E:$H,4,0),)</f>
        <v>0</v>
      </c>
      <c r="AD780" s="144"/>
      <c r="AE780" s="20"/>
      <c r="AF780" s="135"/>
      <c r="AG780" s="135"/>
      <c r="AH780" s="135"/>
      <c r="AI780" s="135"/>
    </row>
    <row r="781" spans="1:35">
      <c r="A781" s="135"/>
      <c r="B781" s="135"/>
      <c r="C781" s="135"/>
      <c r="D781" s="46"/>
      <c r="E781" s="20"/>
      <c r="F781" s="20"/>
      <c r="G781" s="24"/>
      <c r="H781" s="21"/>
      <c r="I781" s="53"/>
      <c r="J781" s="24"/>
      <c r="K781" s="24"/>
      <c r="L781" s="46"/>
      <c r="M781" s="20"/>
      <c r="N781" s="38"/>
      <c r="O781" s="38"/>
      <c r="P781" s="20"/>
      <c r="Q781" s="20"/>
      <c r="R781" s="40"/>
      <c r="S781" s="38"/>
      <c r="T781" s="38"/>
      <c r="U781" s="40"/>
      <c r="V781" s="40"/>
      <c r="W781" s="20"/>
      <c r="X781" s="21"/>
      <c r="Y781" s="19">
        <v>0</v>
      </c>
      <c r="Z781" s="19">
        <v>0</v>
      </c>
      <c r="AA781" s="19">
        <v>0</v>
      </c>
      <c r="AB781" s="44" t="e">
        <f>VLOOKUP(A781,'[4]PO CAG'!$A:$L,12,0)</f>
        <v>#N/A</v>
      </c>
      <c r="AC781" s="22">
        <f>IFERROR(VLOOKUP(F781,[3]Sheet1!$E:$H,4,0),)</f>
        <v>0</v>
      </c>
      <c r="AD781" s="144"/>
      <c r="AE781" s="20"/>
      <c r="AF781" s="135"/>
      <c r="AG781" s="135"/>
      <c r="AH781" s="135"/>
      <c r="AI781" s="135"/>
    </row>
    <row r="782" spans="1:35">
      <c r="A782" s="135"/>
      <c r="B782" s="135"/>
      <c r="C782" s="135"/>
      <c r="D782" s="46"/>
      <c r="E782" s="20"/>
      <c r="F782" s="20"/>
      <c r="G782" s="24"/>
      <c r="H782" s="21"/>
      <c r="I782" s="53"/>
      <c r="J782" s="24"/>
      <c r="K782" s="24"/>
      <c r="L782" s="46"/>
      <c r="M782" s="20"/>
      <c r="N782" s="38"/>
      <c r="O782" s="38"/>
      <c r="P782" s="20"/>
      <c r="Q782" s="20"/>
      <c r="R782" s="40"/>
      <c r="S782" s="38"/>
      <c r="T782" s="38"/>
      <c r="U782" s="40"/>
      <c r="V782" s="40"/>
      <c r="W782" s="20"/>
      <c r="X782" s="21"/>
      <c r="Y782" s="19">
        <v>0</v>
      </c>
      <c r="Z782" s="19">
        <v>0</v>
      </c>
      <c r="AA782" s="19">
        <v>0</v>
      </c>
      <c r="AB782" s="44" t="e">
        <f>VLOOKUP(A782,'[4]PO CAG'!$A:$L,12,0)</f>
        <v>#N/A</v>
      </c>
      <c r="AC782" s="22">
        <f>IFERROR(VLOOKUP(F782,[3]Sheet1!$E:$H,4,0),)</f>
        <v>0</v>
      </c>
      <c r="AD782" s="144"/>
      <c r="AE782" s="20"/>
      <c r="AF782" s="135"/>
      <c r="AG782" s="135"/>
      <c r="AH782" s="135"/>
      <c r="AI782" s="135"/>
    </row>
    <row r="783" spans="1:35">
      <c r="A783" s="135"/>
      <c r="B783" s="135"/>
      <c r="C783" s="135"/>
      <c r="D783" s="46"/>
      <c r="E783" s="20"/>
      <c r="F783" s="20"/>
      <c r="G783" s="24"/>
      <c r="H783" s="21"/>
      <c r="I783" s="53"/>
      <c r="J783" s="24"/>
      <c r="K783" s="24"/>
      <c r="L783" s="46"/>
      <c r="M783" s="20"/>
      <c r="N783" s="38"/>
      <c r="O783" s="38"/>
      <c r="P783" s="20"/>
      <c r="Q783" s="20"/>
      <c r="R783" s="40"/>
      <c r="S783" s="38"/>
      <c r="T783" s="38"/>
      <c r="U783" s="40"/>
      <c r="V783" s="40"/>
      <c r="W783" s="20"/>
      <c r="X783" s="21"/>
      <c r="Y783" s="19">
        <v>0</v>
      </c>
      <c r="Z783" s="19">
        <v>0</v>
      </c>
      <c r="AA783" s="19">
        <v>0</v>
      </c>
      <c r="AB783" s="44" t="e">
        <f>VLOOKUP(A783,'[4]PO CAG'!$A:$L,12,0)</f>
        <v>#N/A</v>
      </c>
      <c r="AC783" s="22">
        <f>IFERROR(VLOOKUP(F783,[3]Sheet1!$E:$H,4,0),)</f>
        <v>0</v>
      </c>
      <c r="AD783" s="144"/>
      <c r="AE783" s="20"/>
      <c r="AF783" s="135"/>
      <c r="AG783" s="135"/>
      <c r="AH783" s="135"/>
      <c r="AI783" s="135"/>
    </row>
    <row r="784" spans="1:35">
      <c r="A784" s="135"/>
      <c r="B784" s="135"/>
      <c r="C784" s="135"/>
      <c r="D784" s="46"/>
      <c r="E784" s="20"/>
      <c r="F784" s="20"/>
      <c r="G784" s="24"/>
      <c r="H784" s="21"/>
      <c r="I784" s="53"/>
      <c r="J784" s="24"/>
      <c r="K784" s="24"/>
      <c r="L784" s="46"/>
      <c r="M784" s="20"/>
      <c r="N784" s="38"/>
      <c r="O784" s="38"/>
      <c r="P784" s="20"/>
      <c r="Q784" s="20"/>
      <c r="R784" s="40"/>
      <c r="S784" s="38"/>
      <c r="T784" s="38"/>
      <c r="U784" s="40"/>
      <c r="V784" s="40"/>
      <c r="W784" s="20"/>
      <c r="X784" s="21"/>
      <c r="Y784" s="19">
        <v>0</v>
      </c>
      <c r="Z784" s="19">
        <v>0</v>
      </c>
      <c r="AA784" s="19">
        <v>0</v>
      </c>
      <c r="AB784" s="44" t="e">
        <f>VLOOKUP(A784,'[4]PO CAG'!$A:$L,12,0)</f>
        <v>#N/A</v>
      </c>
      <c r="AC784" s="22">
        <f>IFERROR(VLOOKUP(F784,[3]Sheet1!$E:$H,4,0),)</f>
        <v>0</v>
      </c>
      <c r="AD784" s="144"/>
      <c r="AE784" s="20"/>
      <c r="AF784" s="135"/>
      <c r="AG784" s="135"/>
      <c r="AH784" s="135"/>
      <c r="AI784" s="135"/>
    </row>
    <row r="785" spans="1:35">
      <c r="A785" s="135"/>
      <c r="B785" s="135"/>
      <c r="C785" s="135"/>
      <c r="D785" s="46"/>
      <c r="E785" s="20"/>
      <c r="F785" s="20"/>
      <c r="G785" s="24"/>
      <c r="H785" s="21"/>
      <c r="I785" s="53"/>
      <c r="J785" s="24"/>
      <c r="K785" s="24"/>
      <c r="L785" s="46"/>
      <c r="M785" s="20"/>
      <c r="N785" s="38"/>
      <c r="O785" s="38"/>
      <c r="P785" s="20"/>
      <c r="Q785" s="20"/>
      <c r="R785" s="40"/>
      <c r="S785" s="38"/>
      <c r="T785" s="38"/>
      <c r="U785" s="40"/>
      <c r="V785" s="40"/>
      <c r="W785" s="20"/>
      <c r="X785" s="21"/>
      <c r="Y785" s="19">
        <v>0</v>
      </c>
      <c r="Z785" s="19">
        <v>0</v>
      </c>
      <c r="AA785" s="19">
        <v>0</v>
      </c>
      <c r="AB785" s="44" t="e">
        <f>VLOOKUP(A785,'[4]PO CAG'!$A:$L,12,0)</f>
        <v>#N/A</v>
      </c>
      <c r="AC785" s="22">
        <f>IFERROR(VLOOKUP(F785,[3]Sheet1!$E:$H,4,0),)</f>
        <v>0</v>
      </c>
      <c r="AD785" s="144"/>
      <c r="AE785" s="20"/>
      <c r="AF785" s="135"/>
      <c r="AG785" s="135"/>
      <c r="AH785" s="135"/>
      <c r="AI785" s="135"/>
    </row>
    <row r="786" spans="1:35">
      <c r="A786" s="135"/>
      <c r="B786" s="135"/>
      <c r="C786" s="135"/>
      <c r="D786" s="46"/>
      <c r="E786" s="20"/>
      <c r="F786" s="20"/>
      <c r="G786" s="24"/>
      <c r="H786" s="21"/>
      <c r="I786" s="53"/>
      <c r="J786" s="24"/>
      <c r="K786" s="24"/>
      <c r="L786" s="46"/>
      <c r="M786" s="20"/>
      <c r="N786" s="38"/>
      <c r="O786" s="38"/>
      <c r="P786" s="20"/>
      <c r="Q786" s="20"/>
      <c r="R786" s="40"/>
      <c r="S786" s="38"/>
      <c r="T786" s="38"/>
      <c r="U786" s="40"/>
      <c r="V786" s="40"/>
      <c r="W786" s="20"/>
      <c r="X786" s="21"/>
      <c r="Y786" s="19">
        <v>0</v>
      </c>
      <c r="Z786" s="19">
        <v>0</v>
      </c>
      <c r="AA786" s="19">
        <v>0</v>
      </c>
      <c r="AB786" s="44" t="e">
        <f>VLOOKUP(A786,'[4]PO CAG'!$A:$L,12,0)</f>
        <v>#N/A</v>
      </c>
      <c r="AC786" s="22">
        <f>IFERROR(VLOOKUP(F786,[3]Sheet1!$E:$H,4,0),)</f>
        <v>0</v>
      </c>
      <c r="AD786" s="144"/>
      <c r="AE786" s="20"/>
      <c r="AF786" s="135"/>
      <c r="AG786" s="135"/>
      <c r="AH786" s="135"/>
      <c r="AI786" s="135"/>
    </row>
    <row r="787" spans="1:35">
      <c r="A787" s="135"/>
      <c r="B787" s="135"/>
      <c r="C787" s="135"/>
      <c r="D787" s="46"/>
      <c r="E787" s="20"/>
      <c r="F787" s="20"/>
      <c r="G787" s="24"/>
      <c r="H787" s="21"/>
      <c r="I787" s="53"/>
      <c r="J787" s="24"/>
      <c r="K787" s="24"/>
      <c r="L787" s="46"/>
      <c r="M787" s="20"/>
      <c r="N787" s="38"/>
      <c r="O787" s="38"/>
      <c r="P787" s="20"/>
      <c r="Q787" s="20"/>
      <c r="R787" s="40"/>
      <c r="S787" s="38"/>
      <c r="T787" s="38"/>
      <c r="U787" s="40"/>
      <c r="V787" s="40"/>
      <c r="W787" s="20"/>
      <c r="X787" s="21"/>
      <c r="Y787" s="19">
        <v>0</v>
      </c>
      <c r="Z787" s="19">
        <v>0</v>
      </c>
      <c r="AA787" s="19">
        <v>0</v>
      </c>
      <c r="AB787" s="44" t="e">
        <f>VLOOKUP(A787,'[4]PO CAG'!$A:$L,12,0)</f>
        <v>#N/A</v>
      </c>
      <c r="AC787" s="22">
        <f>IFERROR(VLOOKUP(F787,[3]Sheet1!$E:$H,4,0),)</f>
        <v>0</v>
      </c>
      <c r="AD787" s="144"/>
      <c r="AE787" s="20"/>
      <c r="AF787" s="135"/>
      <c r="AG787" s="135"/>
      <c r="AH787" s="135"/>
      <c r="AI787" s="135"/>
    </row>
    <row r="788" spans="1:35">
      <c r="A788" s="135"/>
      <c r="B788" s="135"/>
      <c r="C788" s="135"/>
      <c r="D788" s="46"/>
      <c r="E788" s="20"/>
      <c r="F788" s="20"/>
      <c r="G788" s="24"/>
      <c r="H788" s="21"/>
      <c r="I788" s="53"/>
      <c r="J788" s="24"/>
      <c r="K788" s="24"/>
      <c r="L788" s="46"/>
      <c r="M788" s="20"/>
      <c r="N788" s="38"/>
      <c r="O788" s="38"/>
      <c r="P788" s="20"/>
      <c r="Q788" s="20"/>
      <c r="R788" s="40"/>
      <c r="S788" s="38"/>
      <c r="T788" s="38"/>
      <c r="U788" s="40"/>
      <c r="V788" s="40"/>
      <c r="W788" s="20"/>
      <c r="X788" s="21"/>
      <c r="Y788" s="19">
        <v>0</v>
      </c>
      <c r="Z788" s="19">
        <v>0</v>
      </c>
      <c r="AA788" s="19">
        <v>0</v>
      </c>
      <c r="AB788" s="44" t="e">
        <f>VLOOKUP(A788,'[4]PO CAG'!$A:$L,12,0)</f>
        <v>#N/A</v>
      </c>
      <c r="AC788" s="22">
        <f>IFERROR(VLOOKUP(F788,[3]Sheet1!$E:$H,4,0),)</f>
        <v>0</v>
      </c>
      <c r="AD788" s="144"/>
      <c r="AE788" s="20"/>
      <c r="AF788" s="135"/>
      <c r="AG788" s="135"/>
      <c r="AH788" s="135"/>
      <c r="AI788" s="135"/>
    </row>
    <row r="789" spans="1:35">
      <c r="A789" s="135"/>
      <c r="B789" s="135"/>
      <c r="C789" s="135"/>
      <c r="D789" s="46"/>
      <c r="E789" s="20"/>
      <c r="F789" s="20"/>
      <c r="G789" s="24"/>
      <c r="H789" s="21"/>
      <c r="I789" s="53"/>
      <c r="J789" s="24"/>
      <c r="K789" s="24"/>
      <c r="L789" s="46"/>
      <c r="M789" s="20"/>
      <c r="N789" s="38"/>
      <c r="O789" s="38"/>
      <c r="P789" s="20"/>
      <c r="Q789" s="20"/>
      <c r="R789" s="40"/>
      <c r="S789" s="38"/>
      <c r="T789" s="38"/>
      <c r="U789" s="40"/>
      <c r="V789" s="40"/>
      <c r="W789" s="20"/>
      <c r="X789" s="21"/>
      <c r="Y789" s="19">
        <v>0</v>
      </c>
      <c r="Z789" s="19">
        <v>0</v>
      </c>
      <c r="AA789" s="19">
        <v>0</v>
      </c>
      <c r="AB789" s="44" t="e">
        <f>VLOOKUP(A789,'[4]PO CAG'!$A:$L,12,0)</f>
        <v>#N/A</v>
      </c>
      <c r="AC789" s="22">
        <f>IFERROR(VLOOKUP(F789,[3]Sheet1!$E:$H,4,0),)</f>
        <v>0</v>
      </c>
      <c r="AD789" s="144"/>
      <c r="AE789" s="20"/>
      <c r="AF789" s="135"/>
      <c r="AG789" s="135"/>
      <c r="AH789" s="135"/>
      <c r="AI789" s="135"/>
    </row>
    <row r="790" spans="1:35">
      <c r="A790" s="135"/>
      <c r="B790" s="135"/>
      <c r="C790" s="135"/>
      <c r="D790" s="46"/>
      <c r="E790" s="20"/>
      <c r="F790" s="20"/>
      <c r="G790" s="24"/>
      <c r="H790" s="21"/>
      <c r="I790" s="53"/>
      <c r="J790" s="24"/>
      <c r="K790" s="24"/>
      <c r="L790" s="46"/>
      <c r="M790" s="20"/>
      <c r="N790" s="38"/>
      <c r="O790" s="38"/>
      <c r="P790" s="20"/>
      <c r="Q790" s="20"/>
      <c r="R790" s="40"/>
      <c r="S790" s="38"/>
      <c r="T790" s="38"/>
      <c r="U790" s="40"/>
      <c r="V790" s="40"/>
      <c r="W790" s="20"/>
      <c r="X790" s="21"/>
      <c r="Y790" s="19">
        <v>0</v>
      </c>
      <c r="Z790" s="19">
        <v>0</v>
      </c>
      <c r="AA790" s="19">
        <v>0</v>
      </c>
      <c r="AB790" s="44" t="e">
        <f>VLOOKUP(A790,'[4]PO CAG'!$A:$L,12,0)</f>
        <v>#N/A</v>
      </c>
      <c r="AC790" s="22">
        <f>IFERROR(VLOOKUP(F790,[3]Sheet1!$E:$H,4,0),)</f>
        <v>0</v>
      </c>
      <c r="AD790" s="144"/>
      <c r="AE790" s="20"/>
      <c r="AF790" s="135"/>
      <c r="AG790" s="135"/>
      <c r="AH790" s="135"/>
      <c r="AI790" s="135"/>
    </row>
    <row r="791" spans="1:35">
      <c r="A791" s="135"/>
      <c r="B791" s="135"/>
      <c r="C791" s="135"/>
      <c r="D791" s="46"/>
      <c r="E791" s="20"/>
      <c r="F791" s="20"/>
      <c r="G791" s="24"/>
      <c r="H791" s="21"/>
      <c r="I791" s="53"/>
      <c r="J791" s="24"/>
      <c r="K791" s="24"/>
      <c r="L791" s="46"/>
      <c r="M791" s="20"/>
      <c r="N791" s="38"/>
      <c r="O791" s="38"/>
      <c r="P791" s="20"/>
      <c r="Q791" s="20"/>
      <c r="R791" s="40"/>
      <c r="S791" s="38"/>
      <c r="T791" s="38"/>
      <c r="U791" s="40"/>
      <c r="V791" s="40"/>
      <c r="W791" s="20"/>
      <c r="X791" s="21"/>
      <c r="Y791" s="19">
        <v>0</v>
      </c>
      <c r="Z791" s="19">
        <v>0</v>
      </c>
      <c r="AA791" s="19">
        <v>0</v>
      </c>
      <c r="AB791" s="44" t="e">
        <f>VLOOKUP(A791,'[4]PO CAG'!$A:$L,12,0)</f>
        <v>#N/A</v>
      </c>
      <c r="AC791" s="22">
        <f>IFERROR(VLOOKUP(F791,[3]Sheet1!$E:$H,4,0),)</f>
        <v>0</v>
      </c>
      <c r="AD791" s="144"/>
      <c r="AE791" s="20"/>
      <c r="AF791" s="135"/>
      <c r="AG791" s="135"/>
      <c r="AH791" s="135"/>
      <c r="AI791" s="135"/>
    </row>
    <row r="792" spans="1:35">
      <c r="A792" s="135"/>
      <c r="B792" s="135"/>
      <c r="C792" s="135"/>
      <c r="D792" s="46"/>
      <c r="E792" s="20"/>
      <c r="F792" s="20"/>
      <c r="G792" s="24"/>
      <c r="H792" s="21"/>
      <c r="I792" s="53"/>
      <c r="J792" s="24"/>
      <c r="K792" s="24"/>
      <c r="L792" s="46"/>
      <c r="M792" s="20"/>
      <c r="N792" s="38"/>
      <c r="O792" s="38"/>
      <c r="P792" s="20"/>
      <c r="Q792" s="20"/>
      <c r="R792" s="40"/>
      <c r="S792" s="38"/>
      <c r="T792" s="38"/>
      <c r="U792" s="40"/>
      <c r="V792" s="40"/>
      <c r="W792" s="20"/>
      <c r="X792" s="21"/>
      <c r="Y792" s="19">
        <v>0</v>
      </c>
      <c r="Z792" s="19">
        <v>0</v>
      </c>
      <c r="AA792" s="19">
        <v>0</v>
      </c>
      <c r="AB792" s="44" t="e">
        <f>VLOOKUP(A792,'[4]PO CAG'!$A:$L,12,0)</f>
        <v>#N/A</v>
      </c>
      <c r="AC792" s="22">
        <f>IFERROR(VLOOKUP(F792,[3]Sheet1!$E:$H,4,0),)</f>
        <v>0</v>
      </c>
      <c r="AD792" s="144"/>
      <c r="AE792" s="20"/>
      <c r="AF792" s="135"/>
      <c r="AG792" s="135"/>
      <c r="AH792" s="135"/>
      <c r="AI792" s="135"/>
    </row>
    <row r="793" spans="1:35">
      <c r="A793" s="135"/>
      <c r="B793" s="135"/>
      <c r="C793" s="135"/>
      <c r="D793" s="46"/>
      <c r="E793" s="20"/>
      <c r="F793" s="20"/>
      <c r="G793" s="24"/>
      <c r="H793" s="21"/>
      <c r="I793" s="53"/>
      <c r="J793" s="24"/>
      <c r="K793" s="24"/>
      <c r="L793" s="46"/>
      <c r="M793" s="20"/>
      <c r="N793" s="38"/>
      <c r="O793" s="38"/>
      <c r="P793" s="20"/>
      <c r="Q793" s="20"/>
      <c r="R793" s="40"/>
      <c r="S793" s="38"/>
      <c r="T793" s="38"/>
      <c r="U793" s="40"/>
      <c r="V793" s="40"/>
      <c r="W793" s="20"/>
      <c r="X793" s="21"/>
      <c r="Y793" s="19">
        <v>0</v>
      </c>
      <c r="Z793" s="19">
        <v>0</v>
      </c>
      <c r="AA793" s="19">
        <v>0</v>
      </c>
      <c r="AB793" s="44" t="e">
        <f>VLOOKUP(A793,'[4]PO CAG'!$A:$L,12,0)</f>
        <v>#N/A</v>
      </c>
      <c r="AC793" s="22">
        <f>IFERROR(VLOOKUP(F793,[3]Sheet1!$E:$H,4,0),)</f>
        <v>0</v>
      </c>
      <c r="AD793" s="144"/>
      <c r="AE793" s="20"/>
      <c r="AF793" s="135"/>
      <c r="AG793" s="135"/>
      <c r="AH793" s="135"/>
      <c r="AI793" s="135"/>
    </row>
    <row r="794" spans="1:35">
      <c r="A794" s="135"/>
      <c r="B794" s="135"/>
      <c r="C794" s="135"/>
      <c r="D794" s="46"/>
      <c r="E794" s="20"/>
      <c r="F794" s="20"/>
      <c r="G794" s="24"/>
      <c r="H794" s="21"/>
      <c r="I794" s="53"/>
      <c r="J794" s="24"/>
      <c r="K794" s="24"/>
      <c r="L794" s="46"/>
      <c r="M794" s="20"/>
      <c r="N794" s="38"/>
      <c r="O794" s="38"/>
      <c r="P794" s="20"/>
      <c r="Q794" s="20"/>
      <c r="R794" s="40"/>
      <c r="S794" s="38"/>
      <c r="T794" s="38"/>
      <c r="U794" s="40"/>
      <c r="V794" s="40"/>
      <c r="W794" s="20"/>
      <c r="X794" s="21"/>
      <c r="Y794" s="19">
        <v>0</v>
      </c>
      <c r="Z794" s="19">
        <v>0</v>
      </c>
      <c r="AA794" s="19">
        <v>0</v>
      </c>
      <c r="AB794" s="44" t="e">
        <f>VLOOKUP(A794,'[4]PO CAG'!$A:$L,12,0)</f>
        <v>#N/A</v>
      </c>
      <c r="AC794" s="22">
        <f>IFERROR(VLOOKUP(F794,[3]Sheet1!$E:$H,4,0),)</f>
        <v>0</v>
      </c>
      <c r="AD794" s="144"/>
      <c r="AE794" s="20"/>
      <c r="AF794" s="135"/>
      <c r="AG794" s="135"/>
      <c r="AH794" s="135"/>
      <c r="AI794" s="135"/>
    </row>
    <row r="795" spans="1:35">
      <c r="A795" s="135"/>
      <c r="B795" s="135"/>
      <c r="C795" s="135"/>
      <c r="D795" s="46"/>
      <c r="E795" s="20"/>
      <c r="F795" s="20"/>
      <c r="G795" s="24"/>
      <c r="H795" s="21"/>
      <c r="I795" s="53"/>
      <c r="J795" s="24"/>
      <c r="K795" s="24"/>
      <c r="L795" s="46"/>
      <c r="M795" s="20"/>
      <c r="N795" s="38"/>
      <c r="O795" s="38"/>
      <c r="P795" s="20"/>
      <c r="Q795" s="20"/>
      <c r="R795" s="40"/>
      <c r="S795" s="38"/>
      <c r="T795" s="38"/>
      <c r="U795" s="40"/>
      <c r="V795" s="40"/>
      <c r="W795" s="20"/>
      <c r="X795" s="21"/>
      <c r="Y795" s="19">
        <v>0</v>
      </c>
      <c r="Z795" s="19">
        <v>0</v>
      </c>
      <c r="AA795" s="19">
        <v>0</v>
      </c>
      <c r="AB795" s="44" t="e">
        <f>VLOOKUP(A795,'[4]PO CAG'!$A:$L,12,0)</f>
        <v>#N/A</v>
      </c>
      <c r="AC795" s="22">
        <f>IFERROR(VLOOKUP(F795,[3]Sheet1!$E:$H,4,0),)</f>
        <v>0</v>
      </c>
      <c r="AD795" s="144"/>
      <c r="AE795" s="20"/>
      <c r="AF795" s="135"/>
      <c r="AG795" s="135"/>
      <c r="AH795" s="135"/>
      <c r="AI795" s="135"/>
    </row>
    <row r="796" spans="1:35">
      <c r="A796" s="135"/>
      <c r="B796" s="135"/>
      <c r="C796" s="135"/>
      <c r="D796" s="46"/>
      <c r="E796" s="20"/>
      <c r="F796" s="20"/>
      <c r="G796" s="24"/>
      <c r="H796" s="21"/>
      <c r="I796" s="53"/>
      <c r="J796" s="24"/>
      <c r="K796" s="24"/>
      <c r="L796" s="46"/>
      <c r="M796" s="20"/>
      <c r="N796" s="38"/>
      <c r="O796" s="38"/>
      <c r="P796" s="20"/>
      <c r="Q796" s="20"/>
      <c r="R796" s="40"/>
      <c r="S796" s="38"/>
      <c r="T796" s="38"/>
      <c r="U796" s="40"/>
      <c r="V796" s="40"/>
      <c r="W796" s="20"/>
      <c r="X796" s="21"/>
      <c r="Y796" s="19">
        <v>0</v>
      </c>
      <c r="Z796" s="19">
        <v>0</v>
      </c>
      <c r="AA796" s="19">
        <v>0</v>
      </c>
      <c r="AB796" s="44" t="e">
        <f>VLOOKUP(A796,'[4]PO CAG'!$A:$L,12,0)</f>
        <v>#N/A</v>
      </c>
      <c r="AC796" s="22">
        <f>IFERROR(VLOOKUP(F796,[3]Sheet1!$E:$H,4,0),)</f>
        <v>0</v>
      </c>
      <c r="AD796" s="144"/>
      <c r="AE796" s="20"/>
      <c r="AF796" s="135"/>
      <c r="AG796" s="135"/>
      <c r="AH796" s="135"/>
      <c r="AI796" s="135"/>
    </row>
    <row r="797" spans="1:35">
      <c r="A797" s="135"/>
      <c r="B797" s="135"/>
      <c r="C797" s="135"/>
      <c r="D797" s="46"/>
      <c r="E797" s="20"/>
      <c r="F797" s="20"/>
      <c r="G797" s="24"/>
      <c r="H797" s="21"/>
      <c r="I797" s="53"/>
      <c r="J797" s="24"/>
      <c r="K797" s="24"/>
      <c r="L797" s="46"/>
      <c r="M797" s="20"/>
      <c r="N797" s="38"/>
      <c r="O797" s="38"/>
      <c r="P797" s="20"/>
      <c r="Q797" s="20"/>
      <c r="R797" s="40"/>
      <c r="S797" s="38"/>
      <c r="T797" s="38"/>
      <c r="U797" s="40"/>
      <c r="V797" s="40"/>
      <c r="W797" s="20"/>
      <c r="X797" s="21"/>
      <c r="Y797" s="19">
        <v>0</v>
      </c>
      <c r="Z797" s="19">
        <v>0</v>
      </c>
      <c r="AA797" s="19">
        <v>0</v>
      </c>
      <c r="AB797" s="44" t="e">
        <f>VLOOKUP(A797,'[4]PO CAG'!$A:$L,12,0)</f>
        <v>#N/A</v>
      </c>
      <c r="AC797" s="22">
        <f>IFERROR(VLOOKUP(F797,[3]Sheet1!$E:$H,4,0),)</f>
        <v>0</v>
      </c>
      <c r="AD797" s="144"/>
      <c r="AE797" s="20"/>
      <c r="AF797" s="135"/>
      <c r="AG797" s="135"/>
      <c r="AH797" s="135"/>
      <c r="AI797" s="135"/>
    </row>
    <row r="798" spans="1:35">
      <c r="A798" s="135"/>
      <c r="B798" s="135"/>
      <c r="C798" s="135"/>
      <c r="D798" s="46"/>
      <c r="E798" s="20"/>
      <c r="F798" s="20"/>
      <c r="G798" s="24"/>
      <c r="H798" s="21"/>
      <c r="I798" s="53"/>
      <c r="J798" s="24"/>
      <c r="K798" s="24"/>
      <c r="L798" s="46"/>
      <c r="M798" s="20"/>
      <c r="N798" s="38"/>
      <c r="O798" s="38"/>
      <c r="P798" s="20"/>
      <c r="Q798" s="20"/>
      <c r="R798" s="40"/>
      <c r="S798" s="38"/>
      <c r="T798" s="38"/>
      <c r="U798" s="40"/>
      <c r="V798" s="40"/>
      <c r="W798" s="20"/>
      <c r="X798" s="21"/>
      <c r="Y798" s="19">
        <v>0</v>
      </c>
      <c r="Z798" s="19">
        <v>0</v>
      </c>
      <c r="AA798" s="19">
        <v>0</v>
      </c>
      <c r="AB798" s="44" t="e">
        <f>VLOOKUP(A798,'[4]PO CAG'!$A:$L,12,0)</f>
        <v>#N/A</v>
      </c>
      <c r="AC798" s="22">
        <f>IFERROR(VLOOKUP(F798,[3]Sheet1!$E:$H,4,0),)</f>
        <v>0</v>
      </c>
      <c r="AD798" s="144"/>
      <c r="AE798" s="20"/>
      <c r="AF798" s="135"/>
      <c r="AG798" s="135"/>
      <c r="AH798" s="135"/>
      <c r="AI798" s="135"/>
    </row>
    <row r="799" spans="1:35">
      <c r="A799" s="135"/>
      <c r="B799" s="135"/>
      <c r="C799" s="135"/>
      <c r="D799" s="46"/>
      <c r="E799" s="20"/>
      <c r="F799" s="20"/>
      <c r="G799" s="24"/>
      <c r="H799" s="21"/>
      <c r="I799" s="53"/>
      <c r="J799" s="24"/>
      <c r="K799" s="24"/>
      <c r="L799" s="46"/>
      <c r="M799" s="20"/>
      <c r="N799" s="38"/>
      <c r="O799" s="38"/>
      <c r="P799" s="20"/>
      <c r="Q799" s="20"/>
      <c r="R799" s="40"/>
      <c r="S799" s="38"/>
      <c r="T799" s="38"/>
      <c r="U799" s="40"/>
      <c r="V799" s="40"/>
      <c r="W799" s="20"/>
      <c r="X799" s="21"/>
      <c r="Y799" s="19">
        <v>0</v>
      </c>
      <c r="Z799" s="19">
        <v>0</v>
      </c>
      <c r="AA799" s="19">
        <v>0</v>
      </c>
      <c r="AB799" s="44" t="e">
        <f>VLOOKUP(A799,'[4]PO CAG'!$A:$L,12,0)</f>
        <v>#N/A</v>
      </c>
      <c r="AC799" s="22">
        <f>IFERROR(VLOOKUP(F799,[3]Sheet1!$E:$H,4,0),)</f>
        <v>0</v>
      </c>
      <c r="AD799" s="144"/>
      <c r="AE799" s="20"/>
      <c r="AF799" s="135"/>
      <c r="AG799" s="135"/>
      <c r="AH799" s="135"/>
      <c r="AI799" s="135"/>
    </row>
    <row r="800" spans="1:35">
      <c r="A800" s="135"/>
      <c r="B800" s="135"/>
      <c r="C800" s="135"/>
      <c r="D800" s="46"/>
      <c r="E800" s="20"/>
      <c r="F800" s="20"/>
      <c r="G800" s="24"/>
      <c r="H800" s="21"/>
      <c r="I800" s="53"/>
      <c r="J800" s="24"/>
      <c r="K800" s="24"/>
      <c r="L800" s="46"/>
      <c r="M800" s="20"/>
      <c r="N800" s="38"/>
      <c r="O800" s="38"/>
      <c r="P800" s="20"/>
      <c r="Q800" s="20"/>
      <c r="R800" s="40"/>
      <c r="S800" s="38"/>
      <c r="T800" s="38"/>
      <c r="U800" s="40"/>
      <c r="V800" s="40"/>
      <c r="W800" s="20"/>
      <c r="X800" s="21"/>
      <c r="Y800" s="19">
        <v>0</v>
      </c>
      <c r="Z800" s="19">
        <v>0</v>
      </c>
      <c r="AA800" s="19">
        <v>0</v>
      </c>
      <c r="AB800" s="44" t="e">
        <f>VLOOKUP(A800,'[4]PO CAG'!$A:$L,12,0)</f>
        <v>#N/A</v>
      </c>
      <c r="AC800" s="22">
        <f>IFERROR(VLOOKUP(F800,[3]Sheet1!$E:$H,4,0),)</f>
        <v>0</v>
      </c>
      <c r="AD800" s="144"/>
      <c r="AE800" s="20"/>
      <c r="AF800" s="135"/>
      <c r="AG800" s="135"/>
      <c r="AH800" s="135"/>
      <c r="AI800" s="135"/>
    </row>
    <row r="801" spans="1:35">
      <c r="A801" s="135"/>
      <c r="B801" s="135"/>
      <c r="C801" s="135"/>
      <c r="D801" s="46"/>
      <c r="E801" s="20"/>
      <c r="F801" s="20"/>
      <c r="G801" s="24"/>
      <c r="H801" s="21"/>
      <c r="I801" s="53"/>
      <c r="J801" s="24"/>
      <c r="K801" s="24"/>
      <c r="L801" s="46"/>
      <c r="M801" s="20"/>
      <c r="N801" s="38"/>
      <c r="O801" s="38"/>
      <c r="P801" s="20"/>
      <c r="Q801" s="20"/>
      <c r="R801" s="40"/>
      <c r="S801" s="38"/>
      <c r="T801" s="38"/>
      <c r="U801" s="40"/>
      <c r="V801" s="40"/>
      <c r="W801" s="20"/>
      <c r="X801" s="21"/>
      <c r="Y801" s="19">
        <v>0</v>
      </c>
      <c r="Z801" s="19">
        <v>0</v>
      </c>
      <c r="AA801" s="19">
        <v>0</v>
      </c>
      <c r="AB801" s="44" t="e">
        <f>VLOOKUP(A801,'[4]PO CAG'!$A:$L,12,0)</f>
        <v>#N/A</v>
      </c>
      <c r="AC801" s="22">
        <f>IFERROR(VLOOKUP(F801,[3]Sheet1!$E:$H,4,0),)</f>
        <v>0</v>
      </c>
      <c r="AD801" s="144"/>
      <c r="AE801" s="20"/>
      <c r="AF801" s="135"/>
      <c r="AG801" s="135"/>
      <c r="AH801" s="135"/>
      <c r="AI801" s="135"/>
    </row>
    <row r="802" spans="1:35">
      <c r="A802" s="135"/>
      <c r="B802" s="135"/>
      <c r="C802" s="135"/>
      <c r="D802" s="46"/>
      <c r="E802" s="20"/>
      <c r="F802" s="20"/>
      <c r="G802" s="24"/>
      <c r="H802" s="21"/>
      <c r="I802" s="53"/>
      <c r="J802" s="24"/>
      <c r="K802" s="24"/>
      <c r="L802" s="46"/>
      <c r="M802" s="20"/>
      <c r="N802" s="38"/>
      <c r="O802" s="38"/>
      <c r="P802" s="20"/>
      <c r="Q802" s="20"/>
      <c r="R802" s="40"/>
      <c r="S802" s="38"/>
      <c r="T802" s="38"/>
      <c r="U802" s="40"/>
      <c r="V802" s="40"/>
      <c r="W802" s="20"/>
      <c r="X802" s="21"/>
      <c r="Y802" s="19">
        <v>0</v>
      </c>
      <c r="Z802" s="19">
        <v>0</v>
      </c>
      <c r="AA802" s="19">
        <v>0</v>
      </c>
      <c r="AB802" s="44" t="e">
        <f>VLOOKUP(A802,'[4]PO CAG'!$A:$L,12,0)</f>
        <v>#N/A</v>
      </c>
      <c r="AC802" s="22">
        <f>IFERROR(VLOOKUP(F802,[3]Sheet1!$E:$H,4,0),)</f>
        <v>0</v>
      </c>
      <c r="AD802" s="144"/>
      <c r="AE802" s="20"/>
      <c r="AF802" s="135"/>
      <c r="AG802" s="135"/>
      <c r="AH802" s="135"/>
      <c r="AI802" s="135"/>
    </row>
    <row r="803" spans="1:35">
      <c r="A803" s="135"/>
      <c r="B803" s="135"/>
      <c r="C803" s="135"/>
      <c r="D803" s="46"/>
      <c r="E803" s="20"/>
      <c r="F803" s="20"/>
      <c r="G803" s="24"/>
      <c r="H803" s="21"/>
      <c r="I803" s="53"/>
      <c r="J803" s="24"/>
      <c r="K803" s="24"/>
      <c r="L803" s="46"/>
      <c r="M803" s="20"/>
      <c r="N803" s="38"/>
      <c r="O803" s="38"/>
      <c r="P803" s="20"/>
      <c r="Q803" s="20"/>
      <c r="R803" s="40"/>
      <c r="S803" s="38"/>
      <c r="T803" s="38"/>
      <c r="U803" s="40"/>
      <c r="V803" s="40"/>
      <c r="W803" s="20"/>
      <c r="X803" s="21"/>
      <c r="Y803" s="19">
        <v>0</v>
      </c>
      <c r="Z803" s="19">
        <v>0</v>
      </c>
      <c r="AA803" s="19">
        <v>0</v>
      </c>
      <c r="AB803" s="44" t="e">
        <f>VLOOKUP(A803,'[4]PO CAG'!$A:$L,12,0)</f>
        <v>#N/A</v>
      </c>
      <c r="AC803" s="22">
        <f>IFERROR(VLOOKUP(F803,[3]Sheet1!$E:$H,4,0),)</f>
        <v>0</v>
      </c>
      <c r="AD803" s="144"/>
      <c r="AE803" s="20"/>
      <c r="AF803" s="135"/>
      <c r="AG803" s="135"/>
      <c r="AH803" s="135"/>
      <c r="AI803" s="135"/>
    </row>
    <row r="804" spans="1:35">
      <c r="A804" s="135"/>
      <c r="B804" s="135"/>
      <c r="C804" s="135"/>
      <c r="D804" s="46"/>
      <c r="E804" s="20"/>
      <c r="F804" s="20"/>
      <c r="G804" s="24"/>
      <c r="H804" s="21"/>
      <c r="I804" s="53"/>
      <c r="J804" s="24"/>
      <c r="K804" s="24"/>
      <c r="L804" s="46"/>
      <c r="M804" s="20"/>
      <c r="N804" s="38"/>
      <c r="O804" s="38"/>
      <c r="P804" s="20"/>
      <c r="Q804" s="20"/>
      <c r="R804" s="40"/>
      <c r="S804" s="38"/>
      <c r="T804" s="38"/>
      <c r="U804" s="40"/>
      <c r="V804" s="40"/>
      <c r="W804" s="20"/>
      <c r="X804" s="21"/>
      <c r="Y804" s="19">
        <v>0</v>
      </c>
      <c r="Z804" s="19">
        <v>0</v>
      </c>
      <c r="AA804" s="19">
        <v>0</v>
      </c>
      <c r="AB804" s="44" t="e">
        <f>VLOOKUP(A804,'[4]PO CAG'!$A:$L,12,0)</f>
        <v>#N/A</v>
      </c>
      <c r="AC804" s="22">
        <f>IFERROR(VLOOKUP(F804,[3]Sheet1!$E:$H,4,0),)</f>
        <v>0</v>
      </c>
      <c r="AD804" s="144"/>
      <c r="AE804" s="20"/>
      <c r="AF804" s="135"/>
      <c r="AG804" s="135"/>
      <c r="AH804" s="135"/>
      <c r="AI804" s="135"/>
    </row>
    <row r="805" spans="1:35">
      <c r="A805" s="135"/>
      <c r="B805" s="135"/>
      <c r="C805" s="135"/>
      <c r="D805" s="46"/>
      <c r="E805" s="20"/>
      <c r="F805" s="20"/>
      <c r="G805" s="24"/>
      <c r="H805" s="21"/>
      <c r="I805" s="53"/>
      <c r="J805" s="24"/>
      <c r="K805" s="24"/>
      <c r="L805" s="46"/>
      <c r="M805" s="20"/>
      <c r="N805" s="38"/>
      <c r="O805" s="38"/>
      <c r="P805" s="20"/>
      <c r="Q805" s="20"/>
      <c r="R805" s="40"/>
      <c r="S805" s="38"/>
      <c r="T805" s="38"/>
      <c r="U805" s="40"/>
      <c r="V805" s="40"/>
      <c r="W805" s="20"/>
      <c r="X805" s="21"/>
      <c r="Y805" s="19">
        <v>0</v>
      </c>
      <c r="Z805" s="19">
        <v>0</v>
      </c>
      <c r="AA805" s="19">
        <v>0</v>
      </c>
      <c r="AB805" s="44" t="e">
        <f>VLOOKUP(A805,'[4]PO CAG'!$A:$L,12,0)</f>
        <v>#N/A</v>
      </c>
      <c r="AC805" s="22">
        <f>IFERROR(VLOOKUP(F805,[3]Sheet1!$E:$H,4,0),)</f>
        <v>0</v>
      </c>
      <c r="AD805" s="144"/>
      <c r="AE805" s="20"/>
      <c r="AF805" s="135"/>
      <c r="AG805" s="135"/>
      <c r="AH805" s="135"/>
      <c r="AI805" s="135"/>
    </row>
    <row r="806" spans="1:35">
      <c r="A806" s="135"/>
      <c r="B806" s="135"/>
      <c r="C806" s="135"/>
      <c r="D806" s="46"/>
      <c r="E806" s="20"/>
      <c r="F806" s="20"/>
      <c r="G806" s="24"/>
      <c r="H806" s="21"/>
      <c r="I806" s="53"/>
      <c r="J806" s="24"/>
      <c r="K806" s="24"/>
      <c r="L806" s="46"/>
      <c r="M806" s="20"/>
      <c r="N806" s="38"/>
      <c r="O806" s="38"/>
      <c r="P806" s="20"/>
      <c r="Q806" s="20"/>
      <c r="R806" s="40"/>
      <c r="S806" s="38"/>
      <c r="T806" s="38"/>
      <c r="U806" s="40"/>
      <c r="V806" s="40"/>
      <c r="W806" s="20"/>
      <c r="X806" s="21"/>
      <c r="Y806" s="19">
        <v>0</v>
      </c>
      <c r="Z806" s="19">
        <v>0</v>
      </c>
      <c r="AA806" s="19">
        <v>0</v>
      </c>
      <c r="AB806" s="44" t="e">
        <f>VLOOKUP(A806,'[4]PO CAG'!$A:$L,12,0)</f>
        <v>#N/A</v>
      </c>
      <c r="AC806" s="22">
        <f>IFERROR(VLOOKUP(F806,[3]Sheet1!$E:$H,4,0),)</f>
        <v>0</v>
      </c>
      <c r="AD806" s="144"/>
      <c r="AE806" s="20"/>
      <c r="AF806" s="135"/>
      <c r="AG806" s="135"/>
      <c r="AH806" s="135"/>
      <c r="AI806" s="135"/>
    </row>
    <row r="807" spans="1:35">
      <c r="A807" s="135"/>
      <c r="B807" s="135"/>
      <c r="C807" s="135"/>
      <c r="D807" s="46"/>
      <c r="E807" s="20"/>
      <c r="F807" s="20"/>
      <c r="G807" s="24"/>
      <c r="H807" s="21"/>
      <c r="I807" s="53"/>
      <c r="J807" s="24"/>
      <c r="K807" s="24"/>
      <c r="L807" s="46"/>
      <c r="M807" s="20"/>
      <c r="N807" s="38"/>
      <c r="O807" s="38"/>
      <c r="P807" s="20"/>
      <c r="Q807" s="20"/>
      <c r="R807" s="40"/>
      <c r="S807" s="38"/>
      <c r="T807" s="38"/>
      <c r="U807" s="40"/>
      <c r="V807" s="40"/>
      <c r="W807" s="20"/>
      <c r="X807" s="21"/>
      <c r="Y807" s="19">
        <v>0</v>
      </c>
      <c r="Z807" s="19">
        <v>0</v>
      </c>
      <c r="AA807" s="19">
        <v>0</v>
      </c>
      <c r="AB807" s="44" t="e">
        <f>VLOOKUP(A807,'[4]PO CAG'!$A:$L,12,0)</f>
        <v>#N/A</v>
      </c>
      <c r="AC807" s="22">
        <f>IFERROR(VLOOKUP(F807,[3]Sheet1!$E:$H,4,0),)</f>
        <v>0</v>
      </c>
      <c r="AD807" s="144"/>
      <c r="AE807" s="20"/>
      <c r="AF807" s="135"/>
      <c r="AG807" s="135"/>
      <c r="AH807" s="135"/>
      <c r="AI807" s="135"/>
    </row>
    <row r="808" spans="1:35">
      <c r="A808" s="135"/>
      <c r="B808" s="135"/>
      <c r="C808" s="135"/>
      <c r="D808" s="46"/>
      <c r="E808" s="20"/>
      <c r="F808" s="20"/>
      <c r="G808" s="24"/>
      <c r="H808" s="21"/>
      <c r="I808" s="53"/>
      <c r="J808" s="24"/>
      <c r="K808" s="24"/>
      <c r="L808" s="46"/>
      <c r="M808" s="20"/>
      <c r="N808" s="38"/>
      <c r="O808" s="38"/>
      <c r="P808" s="20"/>
      <c r="Q808" s="20"/>
      <c r="R808" s="40"/>
      <c r="S808" s="38"/>
      <c r="T808" s="38"/>
      <c r="U808" s="40"/>
      <c r="V808" s="40"/>
      <c r="W808" s="20"/>
      <c r="X808" s="21"/>
      <c r="Y808" s="19">
        <v>0</v>
      </c>
      <c r="Z808" s="19">
        <v>0</v>
      </c>
      <c r="AA808" s="19">
        <v>0</v>
      </c>
      <c r="AB808" s="44" t="e">
        <f>VLOOKUP(A808,'[4]PO CAG'!$A:$L,12,0)</f>
        <v>#N/A</v>
      </c>
      <c r="AC808" s="22">
        <f>IFERROR(VLOOKUP(F808,[3]Sheet1!$E:$H,4,0),)</f>
        <v>0</v>
      </c>
      <c r="AD808" s="144"/>
      <c r="AE808" s="20"/>
      <c r="AF808" s="135"/>
      <c r="AG808" s="135"/>
      <c r="AH808" s="135"/>
      <c r="AI808" s="135"/>
    </row>
    <row r="809" spans="1:35">
      <c r="A809" s="135"/>
      <c r="B809" s="135"/>
      <c r="C809" s="135"/>
      <c r="D809" s="46"/>
      <c r="E809" s="20"/>
      <c r="F809" s="20"/>
      <c r="G809" s="24"/>
      <c r="H809" s="21"/>
      <c r="I809" s="53"/>
      <c r="J809" s="24"/>
      <c r="K809" s="24"/>
      <c r="L809" s="46"/>
      <c r="M809" s="20"/>
      <c r="N809" s="38"/>
      <c r="O809" s="38"/>
      <c r="P809" s="20"/>
      <c r="Q809" s="20"/>
      <c r="R809" s="40"/>
      <c r="S809" s="38"/>
      <c r="T809" s="38"/>
      <c r="U809" s="40"/>
      <c r="V809" s="40"/>
      <c r="W809" s="20"/>
      <c r="X809" s="21"/>
      <c r="Y809" s="19">
        <v>0</v>
      </c>
      <c r="Z809" s="19">
        <v>0</v>
      </c>
      <c r="AA809" s="19">
        <v>0</v>
      </c>
      <c r="AB809" s="44" t="e">
        <f>VLOOKUP(A809,'[4]PO CAG'!$A:$L,12,0)</f>
        <v>#N/A</v>
      </c>
      <c r="AC809" s="22">
        <f>IFERROR(VLOOKUP(F809,[3]Sheet1!$E:$H,4,0),)</f>
        <v>0</v>
      </c>
      <c r="AD809" s="144"/>
      <c r="AE809" s="20"/>
      <c r="AF809" s="135"/>
      <c r="AG809" s="135"/>
      <c r="AH809" s="135"/>
      <c r="AI809" s="135"/>
    </row>
    <row r="810" spans="1:35">
      <c r="A810" s="135"/>
      <c r="B810" s="135"/>
      <c r="C810" s="135"/>
      <c r="D810" s="46"/>
      <c r="E810" s="20"/>
      <c r="F810" s="20"/>
      <c r="G810" s="24"/>
      <c r="H810" s="21"/>
      <c r="I810" s="53"/>
      <c r="J810" s="24"/>
      <c r="K810" s="24"/>
      <c r="L810" s="46"/>
      <c r="M810" s="20"/>
      <c r="N810" s="38"/>
      <c r="O810" s="38"/>
      <c r="P810" s="20"/>
      <c r="Q810" s="20"/>
      <c r="R810" s="40"/>
      <c r="S810" s="38"/>
      <c r="T810" s="38"/>
      <c r="U810" s="40"/>
      <c r="V810" s="40"/>
      <c r="W810" s="20"/>
      <c r="X810" s="21"/>
      <c r="Y810" s="19">
        <v>0</v>
      </c>
      <c r="Z810" s="19">
        <v>0</v>
      </c>
      <c r="AA810" s="19">
        <v>0</v>
      </c>
      <c r="AB810" s="44" t="e">
        <f>VLOOKUP(A810,'[4]PO CAG'!$A:$L,12,0)</f>
        <v>#N/A</v>
      </c>
      <c r="AC810" s="22">
        <f>IFERROR(VLOOKUP(F810,[3]Sheet1!$E:$H,4,0),)</f>
        <v>0</v>
      </c>
      <c r="AD810" s="144"/>
      <c r="AE810" s="20"/>
      <c r="AF810" s="135"/>
      <c r="AG810" s="135"/>
      <c r="AH810" s="135"/>
      <c r="AI810" s="135"/>
    </row>
    <row r="811" spans="1:35">
      <c r="A811" s="135"/>
      <c r="B811" s="135"/>
      <c r="C811" s="135"/>
      <c r="D811" s="46"/>
      <c r="E811" s="20"/>
      <c r="F811" s="20"/>
      <c r="G811" s="24"/>
      <c r="H811" s="21"/>
      <c r="I811" s="53"/>
      <c r="J811" s="24"/>
      <c r="K811" s="24"/>
      <c r="L811" s="46"/>
      <c r="M811" s="20"/>
      <c r="N811" s="38"/>
      <c r="O811" s="38"/>
      <c r="P811" s="20"/>
      <c r="Q811" s="20"/>
      <c r="R811" s="40"/>
      <c r="S811" s="38"/>
      <c r="T811" s="38"/>
      <c r="U811" s="40"/>
      <c r="V811" s="40"/>
      <c r="W811" s="20"/>
      <c r="X811" s="21"/>
      <c r="Y811" s="19">
        <v>0</v>
      </c>
      <c r="Z811" s="19">
        <v>0</v>
      </c>
      <c r="AA811" s="19">
        <v>0</v>
      </c>
      <c r="AB811" s="44" t="e">
        <f>VLOOKUP(A811,'[4]PO CAG'!$A:$L,12,0)</f>
        <v>#N/A</v>
      </c>
      <c r="AC811" s="22">
        <f>IFERROR(VLOOKUP(F811,[3]Sheet1!$E:$H,4,0),)</f>
        <v>0</v>
      </c>
      <c r="AD811" s="144"/>
      <c r="AE811" s="20"/>
      <c r="AF811" s="135"/>
      <c r="AG811" s="135"/>
      <c r="AH811" s="135"/>
      <c r="AI811" s="135"/>
    </row>
    <row r="812" spans="1:35">
      <c r="A812" s="135"/>
      <c r="B812" s="135"/>
      <c r="C812" s="135"/>
      <c r="D812" s="46"/>
      <c r="E812" s="20"/>
      <c r="F812" s="20"/>
      <c r="G812" s="24"/>
      <c r="H812" s="21"/>
      <c r="I812" s="53"/>
      <c r="J812" s="24"/>
      <c r="K812" s="24"/>
      <c r="L812" s="46"/>
      <c r="M812" s="20"/>
      <c r="N812" s="38"/>
      <c r="O812" s="38"/>
      <c r="P812" s="20"/>
      <c r="Q812" s="20"/>
      <c r="R812" s="40"/>
      <c r="S812" s="38"/>
      <c r="T812" s="38"/>
      <c r="U812" s="40"/>
      <c r="V812" s="40"/>
      <c r="W812" s="20"/>
      <c r="X812" s="21"/>
      <c r="Y812" s="19">
        <v>0</v>
      </c>
      <c r="Z812" s="19">
        <v>0</v>
      </c>
      <c r="AA812" s="19">
        <v>0</v>
      </c>
      <c r="AB812" s="44" t="e">
        <f>VLOOKUP(A812,'[4]PO CAG'!$A:$L,12,0)</f>
        <v>#N/A</v>
      </c>
      <c r="AC812" s="22">
        <f>IFERROR(VLOOKUP(F812,[3]Sheet1!$E:$H,4,0),)</f>
        <v>0</v>
      </c>
      <c r="AD812" s="144"/>
      <c r="AE812" s="20"/>
      <c r="AF812" s="135"/>
      <c r="AG812" s="135"/>
      <c r="AH812" s="135"/>
      <c r="AI812" s="135"/>
    </row>
    <row r="813" spans="1:35">
      <c r="A813" s="135"/>
      <c r="B813" s="135"/>
      <c r="C813" s="135"/>
      <c r="D813" s="46"/>
      <c r="E813" s="20"/>
      <c r="F813" s="20"/>
      <c r="G813" s="24"/>
      <c r="H813" s="21"/>
      <c r="I813" s="53"/>
      <c r="J813" s="24"/>
      <c r="K813" s="24"/>
      <c r="L813" s="46"/>
      <c r="M813" s="20"/>
      <c r="N813" s="38"/>
      <c r="O813" s="38"/>
      <c r="P813" s="20"/>
      <c r="Q813" s="20"/>
      <c r="R813" s="40"/>
      <c r="S813" s="38"/>
      <c r="T813" s="38"/>
      <c r="U813" s="40"/>
      <c r="V813" s="40"/>
      <c r="W813" s="20"/>
      <c r="X813" s="21"/>
      <c r="Y813" s="19">
        <v>0</v>
      </c>
      <c r="Z813" s="19">
        <v>0</v>
      </c>
      <c r="AA813" s="19">
        <v>0</v>
      </c>
      <c r="AB813" s="44" t="e">
        <f>VLOOKUP(A813,'[4]PO CAG'!$A:$L,12,0)</f>
        <v>#N/A</v>
      </c>
      <c r="AC813" s="22">
        <f>IFERROR(VLOOKUP(F813,[3]Sheet1!$E:$H,4,0),)</f>
        <v>0</v>
      </c>
      <c r="AD813" s="144"/>
      <c r="AE813" s="20"/>
      <c r="AF813" s="135"/>
      <c r="AG813" s="135"/>
      <c r="AH813" s="135"/>
      <c r="AI813" s="135"/>
    </row>
    <row r="814" spans="1:35">
      <c r="A814" s="135"/>
      <c r="B814" s="135"/>
      <c r="C814" s="135"/>
      <c r="D814" s="46"/>
      <c r="E814" s="20"/>
      <c r="F814" s="20"/>
      <c r="G814" s="24"/>
      <c r="H814" s="21"/>
      <c r="I814" s="53"/>
      <c r="J814" s="24"/>
      <c r="K814" s="24"/>
      <c r="L814" s="46"/>
      <c r="M814" s="20"/>
      <c r="N814" s="38"/>
      <c r="O814" s="38"/>
      <c r="P814" s="20"/>
      <c r="Q814" s="20"/>
      <c r="R814" s="40"/>
      <c r="S814" s="38"/>
      <c r="T814" s="38"/>
      <c r="U814" s="40"/>
      <c r="V814" s="40"/>
      <c r="W814" s="20"/>
      <c r="X814" s="21"/>
      <c r="Y814" s="19">
        <v>0</v>
      </c>
      <c r="Z814" s="19">
        <v>0</v>
      </c>
      <c r="AA814" s="19">
        <v>0</v>
      </c>
      <c r="AB814" s="44" t="e">
        <f>VLOOKUP(A814,'[4]PO CAG'!$A:$L,12,0)</f>
        <v>#N/A</v>
      </c>
      <c r="AC814" s="22">
        <f>IFERROR(VLOOKUP(F814,[3]Sheet1!$E:$H,4,0),)</f>
        <v>0</v>
      </c>
      <c r="AD814" s="144"/>
      <c r="AE814" s="20"/>
      <c r="AF814" s="135"/>
      <c r="AG814" s="135"/>
      <c r="AH814" s="135"/>
      <c r="AI814" s="135"/>
    </row>
    <row r="815" spans="1:35">
      <c r="A815" s="135"/>
      <c r="B815" s="135"/>
      <c r="C815" s="135"/>
      <c r="D815" s="46"/>
      <c r="E815" s="20"/>
      <c r="F815" s="20"/>
      <c r="G815" s="24"/>
      <c r="H815" s="21"/>
      <c r="I815" s="53"/>
      <c r="J815" s="24"/>
      <c r="K815" s="24"/>
      <c r="L815" s="46"/>
      <c r="M815" s="20"/>
      <c r="N815" s="38"/>
      <c r="O815" s="38"/>
      <c r="P815" s="20"/>
      <c r="Q815" s="20"/>
      <c r="R815" s="40"/>
      <c r="S815" s="38"/>
      <c r="T815" s="38"/>
      <c r="U815" s="40"/>
      <c r="V815" s="40"/>
      <c r="W815" s="20"/>
      <c r="X815" s="21"/>
      <c r="Y815" s="19">
        <v>0</v>
      </c>
      <c r="Z815" s="19">
        <v>0</v>
      </c>
      <c r="AA815" s="19">
        <v>0</v>
      </c>
      <c r="AB815" s="44" t="e">
        <f>VLOOKUP(A815,'[4]PO CAG'!$A:$L,12,0)</f>
        <v>#N/A</v>
      </c>
      <c r="AC815" s="22">
        <f>IFERROR(VLOOKUP(F815,[3]Sheet1!$E:$H,4,0),)</f>
        <v>0</v>
      </c>
      <c r="AD815" s="144"/>
      <c r="AE815" s="20"/>
      <c r="AF815" s="135"/>
      <c r="AG815" s="135"/>
      <c r="AH815" s="135"/>
      <c r="AI815" s="135"/>
    </row>
    <row r="816" spans="1:35">
      <c r="A816" s="135"/>
      <c r="B816" s="135"/>
      <c r="C816" s="135"/>
      <c r="D816" s="46"/>
      <c r="E816" s="20"/>
      <c r="F816" s="20"/>
      <c r="G816" s="24"/>
      <c r="H816" s="21"/>
      <c r="I816" s="53"/>
      <c r="J816" s="24"/>
      <c r="K816" s="24"/>
      <c r="L816" s="46"/>
      <c r="M816" s="20"/>
      <c r="N816" s="38"/>
      <c r="O816" s="38"/>
      <c r="P816" s="20"/>
      <c r="Q816" s="20"/>
      <c r="R816" s="40"/>
      <c r="S816" s="38"/>
      <c r="T816" s="38"/>
      <c r="U816" s="40"/>
      <c r="V816" s="40"/>
      <c r="W816" s="20"/>
      <c r="X816" s="21"/>
      <c r="Y816" s="19">
        <v>0</v>
      </c>
      <c r="Z816" s="19">
        <v>0</v>
      </c>
      <c r="AA816" s="19">
        <v>0</v>
      </c>
      <c r="AB816" s="44" t="e">
        <f>VLOOKUP(A816,'[4]PO CAG'!$A:$L,12,0)</f>
        <v>#N/A</v>
      </c>
      <c r="AC816" s="22">
        <f>IFERROR(VLOOKUP(F816,[3]Sheet1!$E:$H,4,0),)</f>
        <v>0</v>
      </c>
      <c r="AD816" s="144"/>
      <c r="AE816" s="20"/>
      <c r="AF816" s="135"/>
      <c r="AG816" s="135"/>
      <c r="AH816" s="135"/>
      <c r="AI816" s="135"/>
    </row>
    <row r="817" spans="1:35">
      <c r="A817" s="135"/>
      <c r="B817" s="135"/>
      <c r="C817" s="135"/>
      <c r="D817" s="46"/>
      <c r="E817" s="20"/>
      <c r="F817" s="20"/>
      <c r="G817" s="24"/>
      <c r="H817" s="21"/>
      <c r="I817" s="53"/>
      <c r="J817" s="24"/>
      <c r="K817" s="24"/>
      <c r="L817" s="46"/>
      <c r="M817" s="20"/>
      <c r="N817" s="38"/>
      <c r="O817" s="38"/>
      <c r="P817" s="20"/>
      <c r="Q817" s="20"/>
      <c r="R817" s="40"/>
      <c r="S817" s="38"/>
      <c r="T817" s="38"/>
      <c r="U817" s="40"/>
      <c r="V817" s="40"/>
      <c r="W817" s="20"/>
      <c r="X817" s="21"/>
      <c r="Y817" s="19">
        <v>0</v>
      </c>
      <c r="Z817" s="19">
        <v>0</v>
      </c>
      <c r="AA817" s="19">
        <v>0</v>
      </c>
      <c r="AB817" s="44" t="e">
        <f>VLOOKUP(A817,'[4]PO CAG'!$A:$L,12,0)</f>
        <v>#N/A</v>
      </c>
      <c r="AC817" s="22">
        <f>IFERROR(VLOOKUP(F817,[3]Sheet1!$E:$H,4,0),)</f>
        <v>0</v>
      </c>
      <c r="AD817" s="144"/>
      <c r="AE817" s="20"/>
      <c r="AF817" s="135"/>
      <c r="AG817" s="135"/>
      <c r="AH817" s="135"/>
      <c r="AI817" s="135"/>
    </row>
    <row r="818" spans="1:35">
      <c r="A818" s="135"/>
      <c r="B818" s="135"/>
      <c r="C818" s="135"/>
      <c r="D818" s="46"/>
      <c r="E818" s="20"/>
      <c r="F818" s="20"/>
      <c r="G818" s="24"/>
      <c r="H818" s="21"/>
      <c r="I818" s="53"/>
      <c r="J818" s="24"/>
      <c r="K818" s="24"/>
      <c r="L818" s="46"/>
      <c r="M818" s="20"/>
      <c r="N818" s="38"/>
      <c r="O818" s="38"/>
      <c r="P818" s="20"/>
      <c r="Q818" s="20"/>
      <c r="R818" s="40"/>
      <c r="S818" s="38"/>
      <c r="T818" s="38"/>
      <c r="U818" s="40"/>
      <c r="V818" s="40"/>
      <c r="W818" s="20"/>
      <c r="X818" s="21"/>
      <c r="Y818" s="19">
        <v>0</v>
      </c>
      <c r="Z818" s="19">
        <v>0</v>
      </c>
      <c r="AA818" s="19">
        <v>0</v>
      </c>
      <c r="AB818" s="44" t="e">
        <f>VLOOKUP(A818,'[4]PO CAG'!$A:$L,12,0)</f>
        <v>#N/A</v>
      </c>
      <c r="AC818" s="22">
        <f>IFERROR(VLOOKUP(F818,[3]Sheet1!$E:$H,4,0),)</f>
        <v>0</v>
      </c>
      <c r="AD818" s="144"/>
      <c r="AE818" s="20"/>
      <c r="AF818" s="135"/>
      <c r="AG818" s="135"/>
      <c r="AH818" s="135"/>
      <c r="AI818" s="135"/>
    </row>
    <row r="819" spans="1:35">
      <c r="A819" s="135"/>
      <c r="B819" s="135"/>
      <c r="C819" s="135"/>
      <c r="D819" s="46"/>
      <c r="E819" s="20"/>
      <c r="F819" s="20"/>
      <c r="G819" s="24"/>
      <c r="H819" s="21"/>
      <c r="I819" s="53"/>
      <c r="J819" s="24"/>
      <c r="K819" s="24"/>
      <c r="L819" s="46"/>
      <c r="M819" s="20"/>
      <c r="N819" s="38"/>
      <c r="O819" s="38"/>
      <c r="P819" s="20"/>
      <c r="Q819" s="20"/>
      <c r="R819" s="40"/>
      <c r="S819" s="38"/>
      <c r="T819" s="38"/>
      <c r="U819" s="40"/>
      <c r="V819" s="40"/>
      <c r="W819" s="20"/>
      <c r="X819" s="21"/>
      <c r="Y819" s="19">
        <v>0</v>
      </c>
      <c r="Z819" s="19">
        <v>0</v>
      </c>
      <c r="AA819" s="19">
        <v>0</v>
      </c>
      <c r="AB819" s="44" t="e">
        <f>VLOOKUP(A819,'[4]PO CAG'!$A:$L,12,0)</f>
        <v>#N/A</v>
      </c>
      <c r="AC819" s="22">
        <f>IFERROR(VLOOKUP(F819,[3]Sheet1!$E:$H,4,0),)</f>
        <v>0</v>
      </c>
      <c r="AD819" s="144"/>
      <c r="AE819" s="20"/>
      <c r="AF819" s="135"/>
      <c r="AG819" s="135"/>
      <c r="AH819" s="135"/>
      <c r="AI819" s="135"/>
    </row>
    <row r="820" spans="1:35">
      <c r="A820" s="135"/>
      <c r="B820" s="135"/>
      <c r="C820" s="135"/>
      <c r="D820" s="46"/>
      <c r="E820" s="20"/>
      <c r="F820" s="20"/>
      <c r="G820" s="24"/>
      <c r="H820" s="21"/>
      <c r="I820" s="53"/>
      <c r="J820" s="24"/>
      <c r="K820" s="24"/>
      <c r="L820" s="46"/>
      <c r="M820" s="20"/>
      <c r="N820" s="38"/>
      <c r="O820" s="38"/>
      <c r="P820" s="20"/>
      <c r="Q820" s="20"/>
      <c r="R820" s="40"/>
      <c r="S820" s="38"/>
      <c r="T820" s="38"/>
      <c r="U820" s="40"/>
      <c r="V820" s="40"/>
      <c r="W820" s="20"/>
      <c r="X820" s="21"/>
      <c r="Y820" s="19">
        <v>0</v>
      </c>
      <c r="Z820" s="19">
        <v>0</v>
      </c>
      <c r="AA820" s="19">
        <v>0</v>
      </c>
      <c r="AB820" s="44" t="e">
        <f>VLOOKUP(A820,'[4]PO CAG'!$A:$L,12,0)</f>
        <v>#N/A</v>
      </c>
      <c r="AC820" s="22">
        <f>IFERROR(VLOOKUP(F820,[3]Sheet1!$E:$H,4,0),)</f>
        <v>0</v>
      </c>
      <c r="AD820" s="144"/>
      <c r="AE820" s="20"/>
      <c r="AF820" s="135"/>
      <c r="AG820" s="135"/>
      <c r="AH820" s="135"/>
      <c r="AI820" s="135"/>
    </row>
    <row r="821" spans="1:35">
      <c r="A821" s="135"/>
      <c r="B821" s="135"/>
      <c r="C821" s="135"/>
      <c r="D821" s="46"/>
      <c r="E821" s="20"/>
      <c r="F821" s="20"/>
      <c r="G821" s="24"/>
      <c r="H821" s="21"/>
      <c r="I821" s="53"/>
      <c r="J821" s="24"/>
      <c r="K821" s="24"/>
      <c r="L821" s="46"/>
      <c r="M821" s="20"/>
      <c r="N821" s="38"/>
      <c r="O821" s="38"/>
      <c r="P821" s="20"/>
      <c r="Q821" s="20"/>
      <c r="R821" s="40"/>
      <c r="S821" s="38"/>
      <c r="T821" s="38"/>
      <c r="U821" s="40"/>
      <c r="V821" s="40"/>
      <c r="W821" s="20"/>
      <c r="X821" s="21"/>
      <c r="Y821" s="19">
        <v>0</v>
      </c>
      <c r="Z821" s="19">
        <v>0</v>
      </c>
      <c r="AA821" s="19">
        <v>0</v>
      </c>
      <c r="AB821" s="44" t="e">
        <f>VLOOKUP(A821,'[4]PO CAG'!$A:$L,12,0)</f>
        <v>#N/A</v>
      </c>
      <c r="AC821" s="22">
        <f>IFERROR(VLOOKUP(F821,[3]Sheet1!$E:$H,4,0),)</f>
        <v>0</v>
      </c>
      <c r="AD821" s="144"/>
      <c r="AE821" s="20"/>
      <c r="AF821" s="135"/>
      <c r="AG821" s="135"/>
      <c r="AH821" s="135"/>
      <c r="AI821" s="135"/>
    </row>
    <row r="822" spans="1:35">
      <c r="A822" s="135"/>
      <c r="B822" s="135"/>
      <c r="C822" s="135"/>
      <c r="D822" s="46"/>
      <c r="E822" s="20"/>
      <c r="F822" s="20"/>
      <c r="G822" s="24"/>
      <c r="H822" s="21"/>
      <c r="I822" s="53"/>
      <c r="J822" s="24"/>
      <c r="K822" s="24"/>
      <c r="L822" s="46"/>
      <c r="M822" s="20"/>
      <c r="N822" s="38"/>
      <c r="O822" s="38"/>
      <c r="P822" s="20"/>
      <c r="Q822" s="20"/>
      <c r="R822" s="40"/>
      <c r="S822" s="38"/>
      <c r="T822" s="38"/>
      <c r="U822" s="40"/>
      <c r="V822" s="40"/>
      <c r="W822" s="20"/>
      <c r="X822" s="21"/>
      <c r="Y822" s="19">
        <v>0</v>
      </c>
      <c r="Z822" s="19">
        <v>0</v>
      </c>
      <c r="AA822" s="19">
        <v>0</v>
      </c>
      <c r="AB822" s="44" t="e">
        <f>VLOOKUP(A822,'[4]PO CAG'!$A:$L,12,0)</f>
        <v>#N/A</v>
      </c>
      <c r="AC822" s="22">
        <f>IFERROR(VLOOKUP(F822,[3]Sheet1!$E:$H,4,0),)</f>
        <v>0</v>
      </c>
      <c r="AD822" s="144"/>
      <c r="AE822" s="20"/>
      <c r="AF822" s="135"/>
      <c r="AG822" s="135"/>
      <c r="AH822" s="135"/>
      <c r="AI822" s="135"/>
    </row>
    <row r="823" spans="1:35">
      <c r="A823" s="135"/>
      <c r="B823" s="135"/>
      <c r="C823" s="135"/>
      <c r="D823" s="46"/>
      <c r="E823" s="20"/>
      <c r="F823" s="20"/>
      <c r="G823" s="24"/>
      <c r="H823" s="21"/>
      <c r="I823" s="53"/>
      <c r="J823" s="24"/>
      <c r="K823" s="24"/>
      <c r="L823" s="46"/>
      <c r="M823" s="20"/>
      <c r="N823" s="38"/>
      <c r="O823" s="38"/>
      <c r="P823" s="20"/>
      <c r="Q823" s="20"/>
      <c r="R823" s="40"/>
      <c r="S823" s="38"/>
      <c r="T823" s="38"/>
      <c r="U823" s="40"/>
      <c r="V823" s="40"/>
      <c r="W823" s="20"/>
      <c r="X823" s="21"/>
      <c r="Y823" s="19">
        <v>0</v>
      </c>
      <c r="Z823" s="19">
        <v>0</v>
      </c>
      <c r="AA823" s="19">
        <v>0</v>
      </c>
      <c r="AB823" s="44" t="e">
        <f>VLOOKUP(A823,'[4]PO CAG'!$A:$L,12,0)</f>
        <v>#N/A</v>
      </c>
      <c r="AC823" s="22">
        <f>IFERROR(VLOOKUP(F823,[3]Sheet1!$E:$H,4,0),)</f>
        <v>0</v>
      </c>
      <c r="AD823" s="144"/>
      <c r="AE823" s="20"/>
      <c r="AF823" s="135"/>
      <c r="AG823" s="135"/>
      <c r="AH823" s="135"/>
      <c r="AI823" s="135"/>
    </row>
    <row r="824" spans="1:35">
      <c r="A824" s="135"/>
      <c r="B824" s="135"/>
      <c r="C824" s="135"/>
      <c r="D824" s="46"/>
      <c r="E824" s="20"/>
      <c r="F824" s="20"/>
      <c r="G824" s="24"/>
      <c r="H824" s="21"/>
      <c r="I824" s="53"/>
      <c r="J824" s="24"/>
      <c r="K824" s="24"/>
      <c r="L824" s="46"/>
      <c r="M824" s="20"/>
      <c r="N824" s="38"/>
      <c r="O824" s="38"/>
      <c r="P824" s="20"/>
      <c r="Q824" s="20"/>
      <c r="R824" s="40"/>
      <c r="S824" s="38"/>
      <c r="T824" s="38"/>
      <c r="U824" s="40"/>
      <c r="V824" s="40"/>
      <c r="W824" s="20"/>
      <c r="X824" s="21"/>
      <c r="Y824" s="19">
        <v>0</v>
      </c>
      <c r="Z824" s="19">
        <v>0</v>
      </c>
      <c r="AA824" s="19">
        <v>0</v>
      </c>
      <c r="AB824" s="44" t="e">
        <f>VLOOKUP(A824,'[4]PO CAG'!$A:$L,12,0)</f>
        <v>#N/A</v>
      </c>
      <c r="AC824" s="22">
        <f>IFERROR(VLOOKUP(F824,[3]Sheet1!$E:$H,4,0),)</f>
        <v>0</v>
      </c>
      <c r="AD824" s="144"/>
      <c r="AE824" s="20"/>
      <c r="AF824" s="135"/>
      <c r="AG824" s="135"/>
      <c r="AH824" s="135"/>
      <c r="AI824" s="135"/>
    </row>
    <row r="825" spans="1:35">
      <c r="A825" s="135"/>
      <c r="B825" s="135"/>
      <c r="C825" s="135"/>
      <c r="D825" s="46"/>
      <c r="E825" s="20"/>
      <c r="F825" s="20"/>
      <c r="G825" s="24"/>
      <c r="H825" s="21"/>
      <c r="I825" s="53"/>
      <c r="J825" s="24"/>
      <c r="K825" s="24"/>
      <c r="L825" s="46"/>
      <c r="M825" s="20"/>
      <c r="N825" s="38"/>
      <c r="O825" s="38"/>
      <c r="P825" s="20"/>
      <c r="Q825" s="20"/>
      <c r="R825" s="40"/>
      <c r="S825" s="38"/>
      <c r="T825" s="38"/>
      <c r="U825" s="40"/>
      <c r="V825" s="40"/>
      <c r="W825" s="20"/>
      <c r="X825" s="21"/>
      <c r="Y825" s="19">
        <v>0</v>
      </c>
      <c r="Z825" s="19">
        <v>0</v>
      </c>
      <c r="AA825" s="19">
        <v>0</v>
      </c>
      <c r="AB825" s="44" t="e">
        <f>VLOOKUP(A825,'[4]PO CAG'!$A:$L,12,0)</f>
        <v>#N/A</v>
      </c>
      <c r="AC825" s="22">
        <f>IFERROR(VLOOKUP(F825,[3]Sheet1!$E:$H,4,0),)</f>
        <v>0</v>
      </c>
      <c r="AD825" s="144"/>
      <c r="AE825" s="20"/>
      <c r="AF825" s="135"/>
      <c r="AG825" s="135"/>
      <c r="AH825" s="135"/>
      <c r="AI825" s="135"/>
    </row>
    <row r="826" spans="1:35">
      <c r="A826" s="135"/>
      <c r="B826" s="135"/>
      <c r="C826" s="135"/>
      <c r="D826" s="46"/>
      <c r="E826" s="20"/>
      <c r="F826" s="20"/>
      <c r="G826" s="24"/>
      <c r="H826" s="21"/>
      <c r="I826" s="53"/>
      <c r="J826" s="24"/>
      <c r="K826" s="24"/>
      <c r="L826" s="46"/>
      <c r="M826" s="20"/>
      <c r="N826" s="38"/>
      <c r="O826" s="38"/>
      <c r="P826" s="20"/>
      <c r="Q826" s="20"/>
      <c r="R826" s="40"/>
      <c r="S826" s="38"/>
      <c r="T826" s="38"/>
      <c r="U826" s="40"/>
      <c r="V826" s="40"/>
      <c r="W826" s="20"/>
      <c r="X826" s="21"/>
      <c r="Y826" s="19">
        <v>0</v>
      </c>
      <c r="Z826" s="19">
        <v>0</v>
      </c>
      <c r="AA826" s="19">
        <v>0</v>
      </c>
      <c r="AB826" s="44" t="e">
        <f>VLOOKUP(A826,'[4]PO CAG'!$A:$L,12,0)</f>
        <v>#N/A</v>
      </c>
      <c r="AC826" s="22">
        <f>IFERROR(VLOOKUP(F826,[3]Sheet1!$E:$H,4,0),)</f>
        <v>0</v>
      </c>
      <c r="AD826" s="144"/>
      <c r="AE826" s="20"/>
      <c r="AF826" s="135"/>
      <c r="AG826" s="135"/>
      <c r="AH826" s="135"/>
      <c r="AI826" s="135"/>
    </row>
    <row r="827" spans="1:35">
      <c r="A827" s="135"/>
      <c r="B827" s="135"/>
      <c r="C827" s="135"/>
      <c r="D827" s="46"/>
      <c r="E827" s="20"/>
      <c r="F827" s="20"/>
      <c r="G827" s="24"/>
      <c r="H827" s="21"/>
      <c r="I827" s="53"/>
      <c r="J827" s="24"/>
      <c r="K827" s="24"/>
      <c r="L827" s="46"/>
      <c r="M827" s="20"/>
      <c r="N827" s="38"/>
      <c r="O827" s="38"/>
      <c r="P827" s="20"/>
      <c r="Q827" s="20"/>
      <c r="R827" s="40"/>
      <c r="S827" s="38"/>
      <c r="T827" s="38"/>
      <c r="U827" s="40"/>
      <c r="V827" s="40"/>
      <c r="W827" s="20"/>
      <c r="X827" s="21"/>
      <c r="Y827" s="19">
        <v>0</v>
      </c>
      <c r="Z827" s="19">
        <v>0</v>
      </c>
      <c r="AA827" s="19">
        <v>0</v>
      </c>
      <c r="AB827" s="44" t="e">
        <f>VLOOKUP(A827,'[4]PO CAG'!$A:$L,12,0)</f>
        <v>#N/A</v>
      </c>
      <c r="AC827" s="22">
        <f>IFERROR(VLOOKUP(F827,[3]Sheet1!$E:$H,4,0),)</f>
        <v>0</v>
      </c>
      <c r="AD827" s="144"/>
      <c r="AE827" s="20"/>
      <c r="AF827" s="135"/>
      <c r="AG827" s="135"/>
      <c r="AH827" s="135"/>
      <c r="AI827" s="135"/>
    </row>
    <row r="828" spans="1:35">
      <c r="A828" s="135"/>
      <c r="B828" s="135"/>
      <c r="C828" s="135"/>
      <c r="D828" s="46"/>
      <c r="E828" s="20"/>
      <c r="F828" s="20"/>
      <c r="G828" s="24"/>
      <c r="H828" s="21"/>
      <c r="I828" s="53"/>
      <c r="J828" s="24"/>
      <c r="K828" s="24"/>
      <c r="L828" s="46"/>
      <c r="M828" s="20"/>
      <c r="N828" s="38"/>
      <c r="O828" s="38"/>
      <c r="P828" s="20"/>
      <c r="Q828" s="20"/>
      <c r="R828" s="40"/>
      <c r="S828" s="38"/>
      <c r="T828" s="38"/>
      <c r="U828" s="40"/>
      <c r="V828" s="40"/>
      <c r="W828" s="20"/>
      <c r="X828" s="21"/>
      <c r="Y828" s="19">
        <v>0</v>
      </c>
      <c r="Z828" s="19">
        <v>0</v>
      </c>
      <c r="AA828" s="19">
        <v>0</v>
      </c>
      <c r="AB828" s="44" t="e">
        <f>VLOOKUP(A828,'[4]PO CAG'!$A:$L,12,0)</f>
        <v>#N/A</v>
      </c>
      <c r="AC828" s="22">
        <f>IFERROR(VLOOKUP(F828,[3]Sheet1!$E:$H,4,0),)</f>
        <v>0</v>
      </c>
      <c r="AD828" s="144"/>
      <c r="AE828" s="20"/>
      <c r="AF828" s="135"/>
      <c r="AG828" s="135"/>
      <c r="AH828" s="135"/>
      <c r="AI828" s="135"/>
    </row>
    <row r="829" spans="1:35">
      <c r="A829" s="135"/>
      <c r="B829" s="135"/>
      <c r="C829" s="135"/>
      <c r="D829" s="46"/>
      <c r="E829" s="20"/>
      <c r="F829" s="20"/>
      <c r="G829" s="24"/>
      <c r="H829" s="21"/>
      <c r="I829" s="53"/>
      <c r="J829" s="24"/>
      <c r="K829" s="24"/>
      <c r="L829" s="46"/>
      <c r="M829" s="20"/>
      <c r="N829" s="38"/>
      <c r="O829" s="38"/>
      <c r="P829" s="20"/>
      <c r="Q829" s="20"/>
      <c r="R829" s="40"/>
      <c r="S829" s="38"/>
      <c r="T829" s="38"/>
      <c r="U829" s="40"/>
      <c r="V829" s="40"/>
      <c r="W829" s="20"/>
      <c r="X829" s="21"/>
      <c r="Y829" s="19">
        <v>0</v>
      </c>
      <c r="Z829" s="19">
        <v>0</v>
      </c>
      <c r="AA829" s="19">
        <v>0</v>
      </c>
      <c r="AB829" s="44" t="e">
        <f>VLOOKUP(A829,'[4]PO CAG'!$A:$L,12,0)</f>
        <v>#N/A</v>
      </c>
      <c r="AC829" s="22">
        <f>IFERROR(VLOOKUP(F829,[3]Sheet1!$E:$H,4,0),)</f>
        <v>0</v>
      </c>
      <c r="AD829" s="144"/>
      <c r="AE829" s="20"/>
      <c r="AF829" s="135"/>
      <c r="AG829" s="135"/>
      <c r="AH829" s="135"/>
      <c r="AI829" s="135"/>
    </row>
    <row r="830" spans="1:35">
      <c r="A830" s="135"/>
      <c r="B830" s="135"/>
      <c r="C830" s="135"/>
      <c r="D830" s="46"/>
      <c r="E830" s="20"/>
      <c r="F830" s="20"/>
      <c r="G830" s="24"/>
      <c r="H830" s="21"/>
      <c r="I830" s="53"/>
      <c r="J830" s="24"/>
      <c r="K830" s="24"/>
      <c r="L830" s="46"/>
      <c r="M830" s="20"/>
      <c r="N830" s="38"/>
      <c r="O830" s="38"/>
      <c r="P830" s="20"/>
      <c r="Q830" s="20"/>
      <c r="R830" s="40"/>
      <c r="S830" s="38"/>
      <c r="T830" s="38"/>
      <c r="U830" s="40"/>
      <c r="V830" s="40"/>
      <c r="W830" s="20"/>
      <c r="X830" s="21"/>
      <c r="Y830" s="19">
        <v>0</v>
      </c>
      <c r="Z830" s="19">
        <v>0</v>
      </c>
      <c r="AA830" s="19">
        <v>0</v>
      </c>
      <c r="AB830" s="44" t="e">
        <f>VLOOKUP(A830,'[4]PO CAG'!$A:$L,12,0)</f>
        <v>#N/A</v>
      </c>
      <c r="AC830" s="22">
        <f>IFERROR(VLOOKUP(F830,[3]Sheet1!$E:$H,4,0),)</f>
        <v>0</v>
      </c>
      <c r="AD830" s="144"/>
      <c r="AE830" s="20"/>
      <c r="AF830" s="135"/>
      <c r="AG830" s="135"/>
      <c r="AH830" s="135"/>
      <c r="AI830" s="135"/>
    </row>
    <row r="831" spans="1:35">
      <c r="A831" s="135"/>
      <c r="B831" s="135"/>
      <c r="C831" s="135"/>
      <c r="D831" s="46"/>
      <c r="E831" s="20"/>
      <c r="F831" s="20"/>
      <c r="G831" s="24"/>
      <c r="H831" s="21"/>
      <c r="I831" s="53"/>
      <c r="J831" s="24"/>
      <c r="K831" s="24"/>
      <c r="L831" s="46"/>
      <c r="M831" s="20"/>
      <c r="N831" s="38"/>
      <c r="O831" s="38"/>
      <c r="P831" s="20"/>
      <c r="Q831" s="20"/>
      <c r="R831" s="40"/>
      <c r="S831" s="38"/>
      <c r="T831" s="38"/>
      <c r="U831" s="40"/>
      <c r="V831" s="40"/>
      <c r="W831" s="20"/>
      <c r="X831" s="21"/>
      <c r="Y831" s="19">
        <v>0</v>
      </c>
      <c r="Z831" s="19">
        <v>0</v>
      </c>
      <c r="AA831" s="19">
        <v>0</v>
      </c>
      <c r="AB831" s="44" t="e">
        <f>VLOOKUP(A831,'[4]PO CAG'!$A:$L,12,0)</f>
        <v>#N/A</v>
      </c>
      <c r="AC831" s="22">
        <f>IFERROR(VLOOKUP(F831,[3]Sheet1!$E:$H,4,0),)</f>
        <v>0</v>
      </c>
      <c r="AD831" s="144"/>
      <c r="AE831" s="20"/>
      <c r="AF831" s="135"/>
      <c r="AG831" s="135"/>
      <c r="AH831" s="135"/>
      <c r="AI831" s="135"/>
    </row>
    <row r="832" spans="1:35">
      <c r="A832" s="135"/>
      <c r="B832" s="135"/>
      <c r="C832" s="135"/>
      <c r="D832" s="46"/>
      <c r="E832" s="20"/>
      <c r="F832" s="20"/>
      <c r="G832" s="24"/>
      <c r="H832" s="21"/>
      <c r="I832" s="53"/>
      <c r="J832" s="24"/>
      <c r="K832" s="24"/>
      <c r="L832" s="46"/>
      <c r="M832" s="20"/>
      <c r="N832" s="38"/>
      <c r="O832" s="38"/>
      <c r="P832" s="20"/>
      <c r="Q832" s="20"/>
      <c r="R832" s="40"/>
      <c r="S832" s="38"/>
      <c r="T832" s="38"/>
      <c r="U832" s="40"/>
      <c r="V832" s="40"/>
      <c r="W832" s="20"/>
      <c r="X832" s="21"/>
      <c r="Y832" s="19">
        <v>0</v>
      </c>
      <c r="Z832" s="19">
        <v>0</v>
      </c>
      <c r="AA832" s="19">
        <v>0</v>
      </c>
      <c r="AB832" s="44" t="e">
        <f>VLOOKUP(A832,'[4]PO CAG'!$A:$L,12,0)</f>
        <v>#N/A</v>
      </c>
      <c r="AC832" s="22">
        <f>IFERROR(VLOOKUP(F832,[3]Sheet1!$E:$H,4,0),)</f>
        <v>0</v>
      </c>
      <c r="AD832" s="144"/>
      <c r="AE832" s="20"/>
      <c r="AF832" s="135"/>
      <c r="AG832" s="135"/>
      <c r="AH832" s="135"/>
      <c r="AI832" s="135"/>
    </row>
    <row r="833" spans="1:35">
      <c r="A833" s="135"/>
      <c r="B833" s="135"/>
      <c r="C833" s="135"/>
      <c r="D833" s="46"/>
      <c r="E833" s="20"/>
      <c r="F833" s="20"/>
      <c r="G833" s="24"/>
      <c r="H833" s="21"/>
      <c r="I833" s="53"/>
      <c r="J833" s="24"/>
      <c r="K833" s="24"/>
      <c r="L833" s="46"/>
      <c r="M833" s="20"/>
      <c r="N833" s="38"/>
      <c r="O833" s="38"/>
      <c r="P833" s="20"/>
      <c r="Q833" s="20"/>
      <c r="R833" s="40"/>
      <c r="S833" s="38"/>
      <c r="T833" s="38"/>
      <c r="U833" s="40"/>
      <c r="V833" s="40"/>
      <c r="W833" s="20"/>
      <c r="X833" s="21"/>
      <c r="Y833" s="19">
        <v>0</v>
      </c>
      <c r="Z833" s="19">
        <v>0</v>
      </c>
      <c r="AA833" s="19">
        <v>0</v>
      </c>
      <c r="AB833" s="44" t="e">
        <f>VLOOKUP(A833,'[4]PO CAG'!$A:$L,12,0)</f>
        <v>#N/A</v>
      </c>
      <c r="AC833" s="22">
        <f>IFERROR(VLOOKUP(F833,[3]Sheet1!$E:$H,4,0),)</f>
        <v>0</v>
      </c>
      <c r="AD833" s="144"/>
      <c r="AE833" s="20"/>
      <c r="AF833" s="135"/>
      <c r="AG833" s="135"/>
      <c r="AH833" s="135"/>
      <c r="AI833" s="135"/>
    </row>
    <row r="834" spans="1:35">
      <c r="A834" s="135"/>
      <c r="B834" s="135"/>
      <c r="C834" s="135"/>
      <c r="D834" s="46"/>
      <c r="E834" s="20"/>
      <c r="F834" s="20"/>
      <c r="G834" s="24"/>
      <c r="H834" s="21"/>
      <c r="I834" s="53"/>
      <c r="J834" s="24"/>
      <c r="K834" s="24"/>
      <c r="L834" s="46"/>
      <c r="M834" s="20"/>
      <c r="N834" s="38"/>
      <c r="O834" s="38"/>
      <c r="P834" s="20"/>
      <c r="Q834" s="20"/>
      <c r="R834" s="40"/>
      <c r="S834" s="38"/>
      <c r="T834" s="38"/>
      <c r="U834" s="40"/>
      <c r="V834" s="40"/>
      <c r="W834" s="20"/>
      <c r="X834" s="21"/>
      <c r="Y834" s="19">
        <v>0</v>
      </c>
      <c r="Z834" s="19">
        <v>0</v>
      </c>
      <c r="AA834" s="19">
        <v>0</v>
      </c>
      <c r="AB834" s="44" t="e">
        <f>VLOOKUP(A834,'[4]PO CAG'!$A:$L,12,0)</f>
        <v>#N/A</v>
      </c>
      <c r="AC834" s="22">
        <f>IFERROR(VLOOKUP(F834,[3]Sheet1!$E:$H,4,0),)</f>
        <v>0</v>
      </c>
      <c r="AD834" s="144"/>
      <c r="AE834" s="20"/>
      <c r="AF834" s="135"/>
      <c r="AG834" s="135"/>
      <c r="AH834" s="135"/>
      <c r="AI834" s="135"/>
    </row>
    <row r="835" spans="1:35">
      <c r="A835" s="135"/>
      <c r="B835" s="135"/>
      <c r="C835" s="135"/>
      <c r="D835" s="46"/>
      <c r="E835" s="20"/>
      <c r="F835" s="20"/>
      <c r="G835" s="24"/>
      <c r="H835" s="21"/>
      <c r="I835" s="53"/>
      <c r="J835" s="24"/>
      <c r="K835" s="24"/>
      <c r="L835" s="46"/>
      <c r="M835" s="20"/>
      <c r="N835" s="38"/>
      <c r="O835" s="38"/>
      <c r="P835" s="20"/>
      <c r="Q835" s="20"/>
      <c r="R835" s="40"/>
      <c r="S835" s="38"/>
      <c r="T835" s="38"/>
      <c r="U835" s="40"/>
      <c r="V835" s="40"/>
      <c r="W835" s="20"/>
      <c r="X835" s="21"/>
      <c r="Y835" s="19">
        <v>0</v>
      </c>
      <c r="Z835" s="19">
        <v>0</v>
      </c>
      <c r="AA835" s="19">
        <v>0</v>
      </c>
      <c r="AB835" s="44" t="e">
        <f>VLOOKUP(A835,'[4]PO CAG'!$A:$L,12,0)</f>
        <v>#N/A</v>
      </c>
      <c r="AC835" s="22">
        <f>IFERROR(VLOOKUP(F835,[3]Sheet1!$E:$H,4,0),)</f>
        <v>0</v>
      </c>
      <c r="AD835" s="144"/>
      <c r="AE835" s="20"/>
      <c r="AF835" s="135"/>
      <c r="AG835" s="135"/>
      <c r="AH835" s="135"/>
      <c r="AI835" s="135"/>
    </row>
    <row r="836" spans="1:35">
      <c r="A836" s="135"/>
      <c r="B836" s="135"/>
      <c r="C836" s="135"/>
      <c r="D836" s="46"/>
      <c r="E836" s="20"/>
      <c r="F836" s="20"/>
      <c r="G836" s="24"/>
      <c r="H836" s="21"/>
      <c r="I836" s="53"/>
      <c r="J836" s="24"/>
      <c r="K836" s="24"/>
      <c r="L836" s="46"/>
      <c r="M836" s="20"/>
      <c r="N836" s="38"/>
      <c r="O836" s="38"/>
      <c r="P836" s="20"/>
      <c r="Q836" s="20"/>
      <c r="R836" s="40"/>
      <c r="S836" s="38"/>
      <c r="T836" s="38"/>
      <c r="U836" s="40"/>
      <c r="V836" s="40"/>
      <c r="W836" s="20"/>
      <c r="X836" s="21"/>
      <c r="Y836" s="19">
        <v>0</v>
      </c>
      <c r="Z836" s="19">
        <v>0</v>
      </c>
      <c r="AA836" s="19">
        <v>0</v>
      </c>
      <c r="AB836" s="44" t="e">
        <f>VLOOKUP(A836,'[4]PO CAG'!$A:$L,12,0)</f>
        <v>#N/A</v>
      </c>
      <c r="AC836" s="22">
        <f>IFERROR(VLOOKUP(F836,[3]Sheet1!$E:$H,4,0),)</f>
        <v>0</v>
      </c>
      <c r="AD836" s="144"/>
      <c r="AE836" s="20"/>
      <c r="AF836" s="135"/>
      <c r="AG836" s="135"/>
      <c r="AH836" s="135"/>
      <c r="AI836" s="135"/>
    </row>
    <row r="837" spans="1:35">
      <c r="A837" s="135"/>
      <c r="B837" s="135"/>
      <c r="C837" s="135"/>
      <c r="D837" s="46"/>
      <c r="E837" s="20"/>
      <c r="F837" s="20"/>
      <c r="G837" s="24"/>
      <c r="H837" s="21"/>
      <c r="I837" s="53"/>
      <c r="J837" s="24"/>
      <c r="K837" s="24"/>
      <c r="L837" s="46"/>
      <c r="M837" s="20"/>
      <c r="N837" s="38"/>
      <c r="O837" s="38"/>
      <c r="P837" s="20"/>
      <c r="Q837" s="20"/>
      <c r="R837" s="40"/>
      <c r="S837" s="38"/>
      <c r="T837" s="38"/>
      <c r="U837" s="40"/>
      <c r="V837" s="40"/>
      <c r="W837" s="20"/>
      <c r="X837" s="21"/>
      <c r="Y837" s="19">
        <v>0</v>
      </c>
      <c r="Z837" s="19">
        <v>0</v>
      </c>
      <c r="AA837" s="19">
        <v>0</v>
      </c>
      <c r="AB837" s="44" t="e">
        <f>VLOOKUP(A837,'[4]PO CAG'!$A:$L,12,0)</f>
        <v>#N/A</v>
      </c>
      <c r="AC837" s="22">
        <f>IFERROR(VLOOKUP(F837,[3]Sheet1!$E:$H,4,0),)</f>
        <v>0</v>
      </c>
      <c r="AD837" s="144"/>
      <c r="AE837" s="20"/>
      <c r="AF837" s="135"/>
      <c r="AG837" s="135"/>
      <c r="AH837" s="135"/>
      <c r="AI837" s="135"/>
    </row>
    <row r="838" spans="1:35">
      <c r="A838" s="135"/>
      <c r="B838" s="135"/>
      <c r="C838" s="135"/>
      <c r="D838" s="46"/>
      <c r="E838" s="20"/>
      <c r="F838" s="20"/>
      <c r="G838" s="24"/>
      <c r="H838" s="21"/>
      <c r="I838" s="53"/>
      <c r="J838" s="24"/>
      <c r="K838" s="24"/>
      <c r="L838" s="46"/>
      <c r="M838" s="20"/>
      <c r="N838" s="38"/>
      <c r="O838" s="38"/>
      <c r="P838" s="20"/>
      <c r="Q838" s="20"/>
      <c r="R838" s="40"/>
      <c r="S838" s="38"/>
      <c r="T838" s="38"/>
      <c r="U838" s="40"/>
      <c r="V838" s="40"/>
      <c r="W838" s="20"/>
      <c r="X838" s="21"/>
      <c r="Y838" s="19">
        <v>0</v>
      </c>
      <c r="Z838" s="19">
        <v>0</v>
      </c>
      <c r="AA838" s="19">
        <v>0</v>
      </c>
      <c r="AB838" s="44" t="e">
        <f>VLOOKUP(A838,'[4]PO CAG'!$A:$L,12,0)</f>
        <v>#N/A</v>
      </c>
      <c r="AC838" s="22">
        <f>IFERROR(VLOOKUP(F838,[3]Sheet1!$E:$H,4,0),)</f>
        <v>0</v>
      </c>
      <c r="AD838" s="144"/>
      <c r="AE838" s="20"/>
      <c r="AF838" s="135"/>
      <c r="AG838" s="135"/>
      <c r="AH838" s="135"/>
      <c r="AI838" s="135"/>
    </row>
    <row r="839" spans="1:35">
      <c r="A839" s="135"/>
      <c r="B839" s="135"/>
      <c r="C839" s="135"/>
      <c r="D839" s="46"/>
      <c r="E839" s="20"/>
      <c r="F839" s="20"/>
      <c r="G839" s="24"/>
      <c r="H839" s="21"/>
      <c r="I839" s="53"/>
      <c r="J839" s="24"/>
      <c r="K839" s="24"/>
      <c r="L839" s="46"/>
      <c r="M839" s="20"/>
      <c r="N839" s="38"/>
      <c r="O839" s="38"/>
      <c r="P839" s="20"/>
      <c r="Q839" s="20"/>
      <c r="R839" s="40"/>
      <c r="S839" s="38"/>
      <c r="T839" s="38"/>
      <c r="U839" s="40"/>
      <c r="V839" s="40"/>
      <c r="W839" s="20"/>
      <c r="X839" s="21"/>
      <c r="Y839" s="19">
        <v>0</v>
      </c>
      <c r="Z839" s="19">
        <v>0</v>
      </c>
      <c r="AA839" s="19">
        <v>0</v>
      </c>
      <c r="AB839" s="44" t="e">
        <f>VLOOKUP(A839,'[4]PO CAG'!$A:$L,12,0)</f>
        <v>#N/A</v>
      </c>
      <c r="AC839" s="22">
        <f>IFERROR(VLOOKUP(F839,[3]Sheet1!$E:$H,4,0),)</f>
        <v>0</v>
      </c>
      <c r="AD839" s="144"/>
      <c r="AE839" s="20"/>
      <c r="AF839" s="135"/>
      <c r="AG839" s="135"/>
      <c r="AH839" s="135"/>
      <c r="AI839" s="135"/>
    </row>
    <row r="840" spans="1:35">
      <c r="A840" s="135"/>
      <c r="B840" s="135"/>
      <c r="C840" s="135"/>
      <c r="D840" s="46"/>
      <c r="E840" s="20"/>
      <c r="F840" s="20"/>
      <c r="G840" s="24"/>
      <c r="H840" s="21"/>
      <c r="I840" s="53"/>
      <c r="J840" s="24"/>
      <c r="K840" s="24"/>
      <c r="L840" s="46"/>
      <c r="M840" s="20"/>
      <c r="N840" s="38"/>
      <c r="O840" s="38"/>
      <c r="P840" s="20"/>
      <c r="Q840" s="20"/>
      <c r="R840" s="40"/>
      <c r="S840" s="38"/>
      <c r="T840" s="38"/>
      <c r="U840" s="40"/>
      <c r="V840" s="40"/>
      <c r="W840" s="20"/>
      <c r="X840" s="21"/>
      <c r="Y840" s="19">
        <v>0</v>
      </c>
      <c r="Z840" s="19">
        <v>0</v>
      </c>
      <c r="AA840" s="19">
        <v>0</v>
      </c>
      <c r="AB840" s="44" t="e">
        <f>VLOOKUP(A840,'[4]PO CAG'!$A:$L,12,0)</f>
        <v>#N/A</v>
      </c>
      <c r="AC840" s="22">
        <f>IFERROR(VLOOKUP(F840,[3]Sheet1!$E:$H,4,0),)</f>
        <v>0</v>
      </c>
      <c r="AD840" s="144"/>
      <c r="AE840" s="20"/>
      <c r="AF840" s="135"/>
      <c r="AG840" s="135"/>
      <c r="AH840" s="135"/>
      <c r="AI840" s="135"/>
    </row>
    <row r="841" spans="1:35">
      <c r="A841" s="135"/>
      <c r="B841" s="135"/>
      <c r="C841" s="135"/>
      <c r="D841" s="46"/>
      <c r="E841" s="20"/>
      <c r="F841" s="20"/>
      <c r="G841" s="24"/>
      <c r="H841" s="21"/>
      <c r="I841" s="53"/>
      <c r="J841" s="24"/>
      <c r="K841" s="24"/>
      <c r="L841" s="46"/>
      <c r="M841" s="20"/>
      <c r="N841" s="38"/>
      <c r="O841" s="38"/>
      <c r="P841" s="20"/>
      <c r="Q841" s="20"/>
      <c r="R841" s="40"/>
      <c r="S841" s="38"/>
      <c r="T841" s="38"/>
      <c r="U841" s="40"/>
      <c r="V841" s="40"/>
      <c r="W841" s="20"/>
      <c r="X841" s="21"/>
      <c r="Y841" s="19">
        <v>0</v>
      </c>
      <c r="Z841" s="19">
        <v>0</v>
      </c>
      <c r="AA841" s="19">
        <v>0</v>
      </c>
      <c r="AB841" s="44" t="e">
        <f>VLOOKUP(A841,'[4]PO CAG'!$A:$L,12,0)</f>
        <v>#N/A</v>
      </c>
      <c r="AC841" s="22">
        <f>IFERROR(VLOOKUP(F841,[3]Sheet1!$E:$H,4,0),)</f>
        <v>0</v>
      </c>
      <c r="AD841" s="144"/>
      <c r="AE841" s="20"/>
      <c r="AF841" s="135"/>
      <c r="AG841" s="135"/>
      <c r="AH841" s="135"/>
      <c r="AI841" s="135"/>
    </row>
    <row r="842" spans="1:35">
      <c r="A842" s="135"/>
      <c r="B842" s="135"/>
      <c r="C842" s="135"/>
      <c r="D842" s="46"/>
      <c r="E842" s="20"/>
      <c r="F842" s="20"/>
      <c r="G842" s="24"/>
      <c r="H842" s="21"/>
      <c r="I842" s="53"/>
      <c r="J842" s="24"/>
      <c r="K842" s="24"/>
      <c r="L842" s="46"/>
      <c r="M842" s="20"/>
      <c r="N842" s="38"/>
      <c r="O842" s="38"/>
      <c r="P842" s="20"/>
      <c r="Q842" s="20"/>
      <c r="R842" s="40"/>
      <c r="S842" s="38"/>
      <c r="T842" s="38"/>
      <c r="U842" s="40"/>
      <c r="V842" s="40"/>
      <c r="W842" s="20"/>
      <c r="X842" s="21"/>
      <c r="Y842" s="19">
        <v>0</v>
      </c>
      <c r="Z842" s="19">
        <v>0</v>
      </c>
      <c r="AA842" s="19">
        <v>0</v>
      </c>
      <c r="AB842" s="44" t="e">
        <f>VLOOKUP(A842,'[4]PO CAG'!$A:$L,12,0)</f>
        <v>#N/A</v>
      </c>
      <c r="AC842" s="22">
        <f>IFERROR(VLOOKUP(F842,[3]Sheet1!$E:$H,4,0),)</f>
        <v>0</v>
      </c>
      <c r="AD842" s="144"/>
      <c r="AE842" s="20"/>
      <c r="AF842" s="135"/>
      <c r="AG842" s="135"/>
      <c r="AH842" s="135"/>
      <c r="AI842" s="135"/>
    </row>
    <row r="843" spans="1:35">
      <c r="A843" s="135"/>
      <c r="B843" s="135"/>
      <c r="C843" s="135"/>
      <c r="D843" s="46"/>
      <c r="E843" s="20"/>
      <c r="F843" s="20"/>
      <c r="G843" s="24"/>
      <c r="H843" s="21"/>
      <c r="I843" s="53"/>
      <c r="J843" s="24"/>
      <c r="K843" s="24"/>
      <c r="L843" s="46"/>
      <c r="M843" s="20"/>
      <c r="N843" s="38"/>
      <c r="O843" s="38"/>
      <c r="P843" s="20"/>
      <c r="Q843" s="20"/>
      <c r="R843" s="40"/>
      <c r="S843" s="38"/>
      <c r="T843" s="38"/>
      <c r="U843" s="40"/>
      <c r="V843" s="40"/>
      <c r="W843" s="20"/>
      <c r="X843" s="21"/>
      <c r="Y843" s="19">
        <v>0</v>
      </c>
      <c r="Z843" s="19">
        <v>0</v>
      </c>
      <c r="AA843" s="19">
        <v>0</v>
      </c>
      <c r="AB843" s="44" t="e">
        <f>VLOOKUP(A843,'[4]PO CAG'!$A:$L,12,0)</f>
        <v>#N/A</v>
      </c>
      <c r="AC843" s="22">
        <f>IFERROR(VLOOKUP(F843,[3]Sheet1!$E:$H,4,0),)</f>
        <v>0</v>
      </c>
      <c r="AD843" s="144"/>
      <c r="AE843" s="20"/>
      <c r="AF843" s="135"/>
      <c r="AG843" s="135"/>
      <c r="AH843" s="135"/>
      <c r="AI843" s="135"/>
    </row>
    <row r="844" spans="1:35">
      <c r="A844" s="135"/>
      <c r="B844" s="135"/>
      <c r="C844" s="135"/>
      <c r="D844" s="46"/>
      <c r="E844" s="20"/>
      <c r="F844" s="20"/>
      <c r="G844" s="24"/>
      <c r="H844" s="21"/>
      <c r="I844" s="53"/>
      <c r="J844" s="24"/>
      <c r="K844" s="24"/>
      <c r="L844" s="46"/>
      <c r="M844" s="20"/>
      <c r="N844" s="38"/>
      <c r="O844" s="38"/>
      <c r="P844" s="20"/>
      <c r="Q844" s="20"/>
      <c r="R844" s="40"/>
      <c r="S844" s="38"/>
      <c r="T844" s="38"/>
      <c r="U844" s="40"/>
      <c r="V844" s="40"/>
      <c r="W844" s="20"/>
      <c r="X844" s="21"/>
      <c r="Y844" s="19">
        <v>0</v>
      </c>
      <c r="Z844" s="19">
        <v>0</v>
      </c>
      <c r="AA844" s="19">
        <v>0</v>
      </c>
      <c r="AB844" s="44" t="e">
        <f>VLOOKUP(A844,'[4]PO CAG'!$A:$L,12,0)</f>
        <v>#N/A</v>
      </c>
      <c r="AC844" s="22">
        <f>IFERROR(VLOOKUP(F844,[3]Sheet1!$E:$H,4,0),)</f>
        <v>0</v>
      </c>
      <c r="AD844" s="144"/>
      <c r="AE844" s="20"/>
      <c r="AF844" s="135"/>
      <c r="AG844" s="135"/>
      <c r="AH844" s="135"/>
      <c r="AI844" s="135"/>
    </row>
    <row r="845" spans="1:35">
      <c r="A845" s="135"/>
      <c r="B845" s="135"/>
      <c r="C845" s="135"/>
      <c r="D845" s="46"/>
      <c r="E845" s="20"/>
      <c r="F845" s="20"/>
      <c r="G845" s="24"/>
      <c r="H845" s="21"/>
      <c r="I845" s="53"/>
      <c r="J845" s="24"/>
      <c r="K845" s="24"/>
      <c r="L845" s="46"/>
      <c r="M845" s="20"/>
      <c r="N845" s="38"/>
      <c r="O845" s="38"/>
      <c r="P845" s="20"/>
      <c r="Q845" s="20"/>
      <c r="R845" s="40"/>
      <c r="S845" s="38"/>
      <c r="T845" s="38"/>
      <c r="U845" s="40"/>
      <c r="V845" s="40"/>
      <c r="W845" s="20"/>
      <c r="X845" s="21"/>
      <c r="Y845" s="19">
        <v>0</v>
      </c>
      <c r="Z845" s="19">
        <v>0</v>
      </c>
      <c r="AA845" s="19">
        <v>0</v>
      </c>
      <c r="AB845" s="44" t="e">
        <f>VLOOKUP(A845,'[4]PO CAG'!$A:$L,12,0)</f>
        <v>#N/A</v>
      </c>
      <c r="AC845" s="22">
        <f>IFERROR(VLOOKUP(F845,[3]Sheet1!$E:$H,4,0),)</f>
        <v>0</v>
      </c>
      <c r="AD845" s="144"/>
      <c r="AE845" s="20"/>
      <c r="AF845" s="135"/>
      <c r="AG845" s="135"/>
      <c r="AH845" s="135"/>
      <c r="AI845" s="135"/>
    </row>
    <row r="846" spans="1:35">
      <c r="A846" s="135"/>
      <c r="B846" s="135"/>
      <c r="C846" s="135"/>
      <c r="D846" s="46"/>
      <c r="E846" s="20"/>
      <c r="F846" s="20"/>
      <c r="G846" s="24"/>
      <c r="H846" s="21"/>
      <c r="I846" s="53"/>
      <c r="J846" s="24"/>
      <c r="K846" s="24"/>
      <c r="L846" s="46"/>
      <c r="M846" s="20"/>
      <c r="N846" s="38"/>
      <c r="O846" s="38"/>
      <c r="P846" s="20"/>
      <c r="Q846" s="20"/>
      <c r="R846" s="40"/>
      <c r="S846" s="38"/>
      <c r="T846" s="38"/>
      <c r="U846" s="40"/>
      <c r="V846" s="40"/>
      <c r="W846" s="20"/>
      <c r="X846" s="21"/>
      <c r="Y846" s="19">
        <v>0</v>
      </c>
      <c r="Z846" s="19">
        <v>0</v>
      </c>
      <c r="AA846" s="19">
        <v>0</v>
      </c>
      <c r="AB846" s="44" t="e">
        <f>VLOOKUP(A846,'[4]PO CAG'!$A:$L,12,0)</f>
        <v>#N/A</v>
      </c>
      <c r="AC846" s="22">
        <f>IFERROR(VLOOKUP(F846,[3]Sheet1!$E:$H,4,0),)</f>
        <v>0</v>
      </c>
      <c r="AD846" s="144"/>
      <c r="AE846" s="20"/>
      <c r="AF846" s="135"/>
      <c r="AG846" s="135"/>
      <c r="AH846" s="135"/>
      <c r="AI846" s="135"/>
    </row>
    <row r="847" spans="1:35">
      <c r="A847" s="135"/>
      <c r="B847" s="135"/>
      <c r="C847" s="135"/>
      <c r="D847" s="46"/>
      <c r="E847" s="20"/>
      <c r="F847" s="20"/>
      <c r="G847" s="24"/>
      <c r="H847" s="21"/>
      <c r="I847" s="53"/>
      <c r="J847" s="24"/>
      <c r="K847" s="24"/>
      <c r="L847" s="46"/>
      <c r="M847" s="20"/>
      <c r="N847" s="38"/>
      <c r="O847" s="38"/>
      <c r="P847" s="20"/>
      <c r="Q847" s="20"/>
      <c r="R847" s="40"/>
      <c r="S847" s="38"/>
      <c r="T847" s="38"/>
      <c r="U847" s="40"/>
      <c r="V847" s="40"/>
      <c r="W847" s="20"/>
      <c r="X847" s="21"/>
      <c r="Y847" s="19">
        <v>0</v>
      </c>
      <c r="Z847" s="19">
        <v>0</v>
      </c>
      <c r="AA847" s="19">
        <v>0</v>
      </c>
      <c r="AB847" s="44" t="e">
        <f>VLOOKUP(A847,'[4]PO CAG'!$A:$L,12,0)</f>
        <v>#N/A</v>
      </c>
      <c r="AC847" s="22">
        <f>IFERROR(VLOOKUP(F847,[3]Sheet1!$E:$H,4,0),)</f>
        <v>0</v>
      </c>
      <c r="AD847" s="144"/>
      <c r="AE847" s="20"/>
      <c r="AF847" s="135"/>
      <c r="AG847" s="135"/>
      <c r="AH847" s="135"/>
      <c r="AI847" s="135"/>
    </row>
    <row r="848" spans="1:35">
      <c r="A848" s="135"/>
      <c r="B848" s="135"/>
      <c r="C848" s="135"/>
      <c r="D848" s="46"/>
      <c r="E848" s="20"/>
      <c r="F848" s="20"/>
      <c r="G848" s="24"/>
      <c r="H848" s="21"/>
      <c r="I848" s="53"/>
      <c r="J848" s="24"/>
      <c r="K848" s="24"/>
      <c r="L848" s="46"/>
      <c r="M848" s="20"/>
      <c r="N848" s="38"/>
      <c r="O848" s="38"/>
      <c r="P848" s="20"/>
      <c r="Q848" s="20"/>
      <c r="R848" s="40"/>
      <c r="S848" s="38"/>
      <c r="T848" s="38"/>
      <c r="U848" s="40"/>
      <c r="V848" s="40"/>
      <c r="W848" s="20"/>
      <c r="X848" s="21"/>
      <c r="Y848" s="19">
        <v>0</v>
      </c>
      <c r="Z848" s="19">
        <v>0</v>
      </c>
      <c r="AA848" s="19">
        <v>0</v>
      </c>
      <c r="AB848" s="44" t="e">
        <f>VLOOKUP(A848,'[4]PO CAG'!$A:$L,12,0)</f>
        <v>#N/A</v>
      </c>
      <c r="AC848" s="22">
        <f>IFERROR(VLOOKUP(F848,[3]Sheet1!$E:$H,4,0),)</f>
        <v>0</v>
      </c>
      <c r="AD848" s="144"/>
      <c r="AE848" s="20"/>
      <c r="AF848" s="135"/>
      <c r="AG848" s="135"/>
      <c r="AH848" s="135"/>
      <c r="AI848" s="135"/>
    </row>
    <row r="849" spans="1:35">
      <c r="A849" s="135"/>
      <c r="B849" s="135"/>
      <c r="C849" s="135"/>
      <c r="D849" s="46"/>
      <c r="E849" s="20"/>
      <c r="F849" s="20"/>
      <c r="G849" s="24"/>
      <c r="H849" s="21"/>
      <c r="I849" s="53"/>
      <c r="J849" s="24"/>
      <c r="K849" s="24"/>
      <c r="L849" s="46"/>
      <c r="M849" s="20"/>
      <c r="N849" s="38"/>
      <c r="O849" s="38"/>
      <c r="P849" s="20"/>
      <c r="Q849" s="20"/>
      <c r="R849" s="40"/>
      <c r="S849" s="38"/>
      <c r="T849" s="38"/>
      <c r="U849" s="40"/>
      <c r="V849" s="40"/>
      <c r="W849" s="20"/>
      <c r="X849" s="21"/>
      <c r="Y849" s="19">
        <v>0</v>
      </c>
      <c r="Z849" s="19">
        <v>0</v>
      </c>
      <c r="AA849" s="19">
        <v>0</v>
      </c>
      <c r="AB849" s="44" t="e">
        <f>VLOOKUP(A849,'[4]PO CAG'!$A:$L,12,0)</f>
        <v>#N/A</v>
      </c>
      <c r="AC849" s="22">
        <f>IFERROR(VLOOKUP(F849,[3]Sheet1!$E:$H,4,0),)</f>
        <v>0</v>
      </c>
      <c r="AD849" s="144"/>
      <c r="AE849" s="20"/>
      <c r="AF849" s="135"/>
      <c r="AG849" s="135"/>
      <c r="AH849" s="135"/>
      <c r="AI849" s="135"/>
    </row>
    <row r="850" spans="1:35">
      <c r="A850" s="135"/>
      <c r="B850" s="135"/>
      <c r="C850" s="135"/>
      <c r="D850" s="46"/>
      <c r="E850" s="20"/>
      <c r="F850" s="20"/>
      <c r="G850" s="24"/>
      <c r="H850" s="21"/>
      <c r="I850" s="53"/>
      <c r="J850" s="24"/>
      <c r="K850" s="24"/>
      <c r="L850" s="46"/>
      <c r="M850" s="20"/>
      <c r="N850" s="38"/>
      <c r="O850" s="38"/>
      <c r="P850" s="20"/>
      <c r="Q850" s="20"/>
      <c r="R850" s="40"/>
      <c r="S850" s="38"/>
      <c r="T850" s="38"/>
      <c r="U850" s="40"/>
      <c r="V850" s="40"/>
      <c r="W850" s="20"/>
      <c r="X850" s="21"/>
      <c r="Y850" s="19">
        <v>0</v>
      </c>
      <c r="Z850" s="19">
        <v>0</v>
      </c>
      <c r="AA850" s="19">
        <v>0</v>
      </c>
      <c r="AB850" s="44" t="e">
        <f>VLOOKUP(A850,'[4]PO CAG'!$A:$L,12,0)</f>
        <v>#N/A</v>
      </c>
      <c r="AC850" s="22">
        <f>IFERROR(VLOOKUP(F850,[3]Sheet1!$E:$H,4,0),)</f>
        <v>0</v>
      </c>
      <c r="AD850" s="144"/>
      <c r="AE850" s="20"/>
      <c r="AF850" s="135"/>
      <c r="AG850" s="135"/>
      <c r="AH850" s="135"/>
      <c r="AI850" s="135"/>
    </row>
    <row r="851" spans="1:35">
      <c r="A851" s="135"/>
      <c r="B851" s="135"/>
      <c r="C851" s="135"/>
      <c r="D851" s="46"/>
      <c r="E851" s="20"/>
      <c r="F851" s="20"/>
      <c r="G851" s="24"/>
      <c r="H851" s="21"/>
      <c r="I851" s="53"/>
      <c r="J851" s="24"/>
      <c r="K851" s="24"/>
      <c r="L851" s="46"/>
      <c r="M851" s="20"/>
      <c r="N851" s="38"/>
      <c r="O851" s="38"/>
      <c r="P851" s="20"/>
      <c r="Q851" s="20"/>
      <c r="R851" s="40"/>
      <c r="S851" s="38"/>
      <c r="T851" s="38"/>
      <c r="U851" s="40"/>
      <c r="V851" s="40"/>
      <c r="W851" s="20"/>
      <c r="X851" s="21"/>
      <c r="Y851" s="19">
        <v>0</v>
      </c>
      <c r="Z851" s="19">
        <v>0</v>
      </c>
      <c r="AA851" s="19">
        <v>0</v>
      </c>
      <c r="AB851" s="44" t="e">
        <f>VLOOKUP(A851,'[4]PO CAG'!$A:$L,12,0)</f>
        <v>#N/A</v>
      </c>
      <c r="AC851" s="22">
        <f>IFERROR(VLOOKUP(F851,[3]Sheet1!$E:$H,4,0),)</f>
        <v>0</v>
      </c>
      <c r="AD851" s="144"/>
      <c r="AE851" s="20"/>
      <c r="AF851" s="135"/>
      <c r="AG851" s="135"/>
      <c r="AH851" s="135"/>
      <c r="AI851" s="135"/>
    </row>
    <row r="852" spans="1:35">
      <c r="A852" s="135"/>
      <c r="B852" s="135"/>
      <c r="C852" s="135"/>
      <c r="D852" s="46"/>
      <c r="E852" s="20"/>
      <c r="F852" s="20"/>
      <c r="G852" s="24"/>
      <c r="H852" s="21"/>
      <c r="I852" s="53"/>
      <c r="J852" s="24"/>
      <c r="K852" s="24"/>
      <c r="L852" s="46"/>
      <c r="M852" s="20"/>
      <c r="N852" s="38"/>
      <c r="O852" s="38"/>
      <c r="P852" s="20"/>
      <c r="Q852" s="20"/>
      <c r="R852" s="40"/>
      <c r="S852" s="38"/>
      <c r="T852" s="38"/>
      <c r="U852" s="40"/>
      <c r="V852" s="40"/>
      <c r="W852" s="20"/>
      <c r="X852" s="21"/>
      <c r="Y852" s="19">
        <v>0</v>
      </c>
      <c r="Z852" s="19">
        <v>0</v>
      </c>
      <c r="AA852" s="19">
        <v>0</v>
      </c>
      <c r="AB852" s="44" t="e">
        <f>VLOOKUP(A852,'[4]PO CAG'!$A:$L,12,0)</f>
        <v>#N/A</v>
      </c>
      <c r="AC852" s="22">
        <f>IFERROR(VLOOKUP(F852,[3]Sheet1!$E:$H,4,0),)</f>
        <v>0</v>
      </c>
      <c r="AD852" s="144"/>
      <c r="AE852" s="20"/>
      <c r="AF852" s="135"/>
      <c r="AG852" s="135"/>
      <c r="AH852" s="135"/>
      <c r="AI852" s="135"/>
    </row>
    <row r="853" spans="1:35">
      <c r="A853" s="135"/>
      <c r="B853" s="135"/>
      <c r="C853" s="135"/>
      <c r="D853" s="46"/>
      <c r="E853" s="20"/>
      <c r="F853" s="20"/>
      <c r="G853" s="24"/>
      <c r="H853" s="21"/>
      <c r="I853" s="53"/>
      <c r="J853" s="24"/>
      <c r="K853" s="24"/>
      <c r="L853" s="46"/>
      <c r="M853" s="20"/>
      <c r="N853" s="38"/>
      <c r="O853" s="38"/>
      <c r="P853" s="20"/>
      <c r="Q853" s="20"/>
      <c r="R853" s="40"/>
      <c r="S853" s="38"/>
      <c r="T853" s="38"/>
      <c r="U853" s="40"/>
      <c r="V853" s="40"/>
      <c r="W853" s="20"/>
      <c r="X853" s="21"/>
      <c r="Y853" s="19">
        <v>0</v>
      </c>
      <c r="Z853" s="19">
        <v>0</v>
      </c>
      <c r="AA853" s="19">
        <v>0</v>
      </c>
      <c r="AB853" s="44" t="e">
        <f>VLOOKUP(A853,'[4]PO CAG'!$A:$L,12,0)</f>
        <v>#N/A</v>
      </c>
      <c r="AC853" s="22">
        <f>IFERROR(VLOOKUP(F853,[3]Sheet1!$E:$H,4,0),)</f>
        <v>0</v>
      </c>
      <c r="AD853" s="144"/>
      <c r="AE853" s="20"/>
      <c r="AF853" s="135"/>
      <c r="AG853" s="135"/>
      <c r="AH853" s="135"/>
      <c r="AI853" s="135"/>
    </row>
    <row r="854" spans="1:35">
      <c r="A854" s="135"/>
      <c r="B854" s="135"/>
      <c r="C854" s="135"/>
      <c r="D854" s="46"/>
      <c r="E854" s="20"/>
      <c r="F854" s="20"/>
      <c r="G854" s="24"/>
      <c r="H854" s="21"/>
      <c r="I854" s="53"/>
      <c r="J854" s="24"/>
      <c r="K854" s="24"/>
      <c r="L854" s="46"/>
      <c r="M854" s="20"/>
      <c r="N854" s="38"/>
      <c r="O854" s="38"/>
      <c r="P854" s="20"/>
      <c r="Q854" s="20"/>
      <c r="R854" s="40"/>
      <c r="S854" s="38"/>
      <c r="T854" s="38"/>
      <c r="U854" s="40"/>
      <c r="V854" s="40"/>
      <c r="W854" s="20"/>
      <c r="X854" s="21"/>
      <c r="Y854" s="19">
        <v>0</v>
      </c>
      <c r="Z854" s="19">
        <v>0</v>
      </c>
      <c r="AA854" s="19">
        <v>0</v>
      </c>
      <c r="AB854" s="44" t="e">
        <f>VLOOKUP(A854,'[4]PO CAG'!$A:$L,12,0)</f>
        <v>#N/A</v>
      </c>
      <c r="AC854" s="22">
        <f>IFERROR(VLOOKUP(F854,[3]Sheet1!$E:$H,4,0),)</f>
        <v>0</v>
      </c>
      <c r="AD854" s="144"/>
      <c r="AE854" s="20"/>
      <c r="AF854" s="135"/>
      <c r="AG854" s="135"/>
      <c r="AH854" s="135"/>
      <c r="AI854" s="135"/>
    </row>
    <row r="855" spans="1:35">
      <c r="A855" s="135"/>
      <c r="B855" s="135"/>
      <c r="C855" s="135"/>
      <c r="D855" s="46"/>
      <c r="E855" s="20"/>
      <c r="F855" s="20"/>
      <c r="G855" s="24"/>
      <c r="H855" s="21"/>
      <c r="I855" s="53"/>
      <c r="J855" s="24"/>
      <c r="K855" s="24"/>
      <c r="L855" s="46"/>
      <c r="M855" s="20"/>
      <c r="N855" s="38"/>
      <c r="O855" s="38"/>
      <c r="P855" s="20"/>
      <c r="Q855" s="20"/>
      <c r="R855" s="40"/>
      <c r="S855" s="38"/>
      <c r="T855" s="38"/>
      <c r="U855" s="40"/>
      <c r="V855" s="40"/>
      <c r="W855" s="20"/>
      <c r="X855" s="21"/>
      <c r="Y855" s="19">
        <v>0</v>
      </c>
      <c r="Z855" s="19">
        <v>0</v>
      </c>
      <c r="AA855" s="19">
        <v>0</v>
      </c>
      <c r="AB855" s="44" t="e">
        <f>VLOOKUP(A855,'[4]PO CAG'!$A:$L,12,0)</f>
        <v>#N/A</v>
      </c>
      <c r="AC855" s="22">
        <f>IFERROR(VLOOKUP(F855,[3]Sheet1!$E:$H,4,0),)</f>
        <v>0</v>
      </c>
      <c r="AD855" s="144"/>
      <c r="AE855" s="20"/>
      <c r="AF855" s="135"/>
      <c r="AG855" s="135"/>
      <c r="AH855" s="135"/>
      <c r="AI855" s="135"/>
    </row>
    <row r="856" spans="1:35">
      <c r="A856" s="135"/>
      <c r="B856" s="135"/>
      <c r="C856" s="135"/>
      <c r="D856" s="46"/>
      <c r="E856" s="20"/>
      <c r="F856" s="20"/>
      <c r="G856" s="24"/>
      <c r="H856" s="21"/>
      <c r="I856" s="53"/>
      <c r="J856" s="24"/>
      <c r="K856" s="24"/>
      <c r="L856" s="46"/>
      <c r="M856" s="20"/>
      <c r="N856" s="38"/>
      <c r="O856" s="38"/>
      <c r="P856" s="20"/>
      <c r="Q856" s="20"/>
      <c r="R856" s="40"/>
      <c r="S856" s="38"/>
      <c r="T856" s="38"/>
      <c r="U856" s="40"/>
      <c r="V856" s="40"/>
      <c r="W856" s="20"/>
      <c r="X856" s="21"/>
      <c r="Y856" s="19">
        <v>0</v>
      </c>
      <c r="Z856" s="19">
        <v>0</v>
      </c>
      <c r="AA856" s="19">
        <v>0</v>
      </c>
      <c r="AB856" s="44" t="e">
        <f>VLOOKUP(A856,'[4]PO CAG'!$A:$L,12,0)</f>
        <v>#N/A</v>
      </c>
      <c r="AC856" s="22">
        <f>IFERROR(VLOOKUP(F856,[3]Sheet1!$E:$H,4,0),)</f>
        <v>0</v>
      </c>
      <c r="AD856" s="144"/>
      <c r="AE856" s="20"/>
      <c r="AF856" s="135"/>
      <c r="AG856" s="135"/>
      <c r="AH856" s="135"/>
      <c r="AI856" s="135"/>
    </row>
    <row r="857" spans="1:35">
      <c r="A857" s="135"/>
      <c r="B857" s="135"/>
      <c r="C857" s="135"/>
      <c r="D857" s="46"/>
      <c r="E857" s="20"/>
      <c r="F857" s="20"/>
      <c r="G857" s="24"/>
      <c r="H857" s="21"/>
      <c r="I857" s="53"/>
      <c r="J857" s="24"/>
      <c r="K857" s="24"/>
      <c r="L857" s="46"/>
      <c r="M857" s="20"/>
      <c r="N857" s="38"/>
      <c r="O857" s="38"/>
      <c r="P857" s="20"/>
      <c r="Q857" s="20"/>
      <c r="R857" s="40"/>
      <c r="S857" s="38"/>
      <c r="T857" s="38"/>
      <c r="U857" s="40"/>
      <c r="V857" s="40"/>
      <c r="W857" s="20"/>
      <c r="X857" s="21"/>
      <c r="Y857" s="19">
        <v>0</v>
      </c>
      <c r="Z857" s="19">
        <v>0</v>
      </c>
      <c r="AA857" s="19">
        <v>0</v>
      </c>
      <c r="AB857" s="44" t="e">
        <f>VLOOKUP(A857,'[4]PO CAG'!$A:$L,12,0)</f>
        <v>#N/A</v>
      </c>
      <c r="AC857" s="22">
        <f>IFERROR(VLOOKUP(F857,[3]Sheet1!$E:$H,4,0),)</f>
        <v>0</v>
      </c>
      <c r="AD857" s="144"/>
      <c r="AE857" s="20"/>
      <c r="AF857" s="135"/>
      <c r="AG857" s="135"/>
      <c r="AH857" s="135"/>
      <c r="AI857" s="135"/>
    </row>
    <row r="858" spans="1:35">
      <c r="A858" s="135"/>
      <c r="B858" s="135"/>
      <c r="C858" s="135"/>
      <c r="D858" s="46"/>
      <c r="E858" s="20"/>
      <c r="F858" s="20"/>
      <c r="G858" s="24"/>
      <c r="H858" s="21"/>
      <c r="I858" s="53"/>
      <c r="J858" s="24"/>
      <c r="K858" s="24"/>
      <c r="L858" s="46"/>
      <c r="M858" s="20"/>
      <c r="N858" s="38"/>
      <c r="O858" s="38"/>
      <c r="P858" s="20"/>
      <c r="Q858" s="20"/>
      <c r="R858" s="40"/>
      <c r="S858" s="38"/>
      <c r="T858" s="38"/>
      <c r="U858" s="40"/>
      <c r="V858" s="40"/>
      <c r="W858" s="20"/>
      <c r="X858" s="21"/>
      <c r="Y858" s="19">
        <v>0</v>
      </c>
      <c r="Z858" s="19">
        <v>0</v>
      </c>
      <c r="AA858" s="19">
        <v>0</v>
      </c>
      <c r="AB858" s="44" t="e">
        <f>VLOOKUP(A858,'[4]PO CAG'!$A:$L,12,0)</f>
        <v>#N/A</v>
      </c>
      <c r="AC858" s="22">
        <f>IFERROR(VLOOKUP(F858,[3]Sheet1!$E:$H,4,0),)</f>
        <v>0</v>
      </c>
      <c r="AD858" s="144"/>
      <c r="AE858" s="20"/>
      <c r="AF858" s="135"/>
      <c r="AG858" s="135"/>
      <c r="AH858" s="135"/>
      <c r="AI858" s="135"/>
    </row>
    <row r="859" spans="1:35">
      <c r="A859" s="135"/>
      <c r="B859" s="135"/>
      <c r="C859" s="135"/>
      <c r="D859" s="46"/>
      <c r="E859" s="20"/>
      <c r="F859" s="20"/>
      <c r="G859" s="24"/>
      <c r="H859" s="21"/>
      <c r="I859" s="53"/>
      <c r="J859" s="24"/>
      <c r="K859" s="24"/>
      <c r="L859" s="46"/>
      <c r="M859" s="20"/>
      <c r="N859" s="38"/>
      <c r="O859" s="38"/>
      <c r="P859" s="20"/>
      <c r="Q859" s="20"/>
      <c r="R859" s="40"/>
      <c r="S859" s="38"/>
      <c r="T859" s="38"/>
      <c r="U859" s="40"/>
      <c r="V859" s="40"/>
      <c r="W859" s="20"/>
      <c r="X859" s="21"/>
      <c r="Y859" s="19">
        <v>0</v>
      </c>
      <c r="Z859" s="19">
        <v>0</v>
      </c>
      <c r="AA859" s="19">
        <v>0</v>
      </c>
      <c r="AB859" s="44" t="e">
        <f>VLOOKUP(A859,'[4]PO CAG'!$A:$L,12,0)</f>
        <v>#N/A</v>
      </c>
      <c r="AC859" s="22">
        <f>IFERROR(VLOOKUP(F859,[3]Sheet1!$E:$H,4,0),)</f>
        <v>0</v>
      </c>
      <c r="AD859" s="144"/>
      <c r="AE859" s="20"/>
      <c r="AF859" s="135"/>
      <c r="AG859" s="135"/>
      <c r="AH859" s="135"/>
      <c r="AI859" s="135"/>
    </row>
    <row r="860" spans="1:35">
      <c r="A860" s="135"/>
      <c r="B860" s="135"/>
      <c r="C860" s="135"/>
      <c r="D860" s="46"/>
      <c r="E860" s="20"/>
      <c r="F860" s="20"/>
      <c r="G860" s="24"/>
      <c r="H860" s="21"/>
      <c r="I860" s="53"/>
      <c r="J860" s="24"/>
      <c r="K860" s="24"/>
      <c r="L860" s="46"/>
      <c r="M860" s="20"/>
      <c r="N860" s="38"/>
      <c r="O860" s="38"/>
      <c r="P860" s="20"/>
      <c r="Q860" s="20"/>
      <c r="R860" s="40"/>
      <c r="S860" s="38"/>
      <c r="T860" s="38"/>
      <c r="U860" s="40"/>
      <c r="V860" s="40"/>
      <c r="W860" s="20"/>
      <c r="X860" s="21"/>
      <c r="Y860" s="19">
        <v>0</v>
      </c>
      <c r="Z860" s="19">
        <v>0</v>
      </c>
      <c r="AA860" s="19">
        <v>0</v>
      </c>
      <c r="AB860" s="44" t="e">
        <f>VLOOKUP(A860,'[4]PO CAG'!$A:$L,12,0)</f>
        <v>#N/A</v>
      </c>
      <c r="AC860" s="22">
        <f>IFERROR(VLOOKUP(F860,[3]Sheet1!$E:$H,4,0),)</f>
        <v>0</v>
      </c>
      <c r="AD860" s="144"/>
      <c r="AE860" s="20"/>
      <c r="AF860" s="135"/>
      <c r="AG860" s="135"/>
      <c r="AH860" s="135"/>
      <c r="AI860" s="135"/>
    </row>
    <row r="861" spans="1:35">
      <c r="A861" s="135"/>
      <c r="B861" s="135"/>
      <c r="C861" s="135"/>
      <c r="D861" s="46"/>
      <c r="E861" s="20"/>
      <c r="F861" s="20"/>
      <c r="G861" s="24"/>
      <c r="H861" s="21"/>
      <c r="I861" s="53"/>
      <c r="J861" s="24"/>
      <c r="K861" s="24"/>
      <c r="L861" s="46"/>
      <c r="M861" s="20"/>
      <c r="N861" s="38"/>
      <c r="O861" s="38"/>
      <c r="P861" s="20"/>
      <c r="Q861" s="20"/>
      <c r="R861" s="40"/>
      <c r="S861" s="38"/>
      <c r="T861" s="38"/>
      <c r="U861" s="40"/>
      <c r="V861" s="40"/>
      <c r="W861" s="20"/>
      <c r="X861" s="21"/>
      <c r="Y861" s="19">
        <v>0</v>
      </c>
      <c r="Z861" s="19">
        <v>0</v>
      </c>
      <c r="AA861" s="19">
        <v>0</v>
      </c>
      <c r="AB861" s="44" t="e">
        <f>VLOOKUP(A861,'[4]PO CAG'!$A:$L,12,0)</f>
        <v>#N/A</v>
      </c>
      <c r="AC861" s="22">
        <f>IFERROR(VLOOKUP(F861,[3]Sheet1!$E:$H,4,0),)</f>
        <v>0</v>
      </c>
      <c r="AD861" s="144"/>
      <c r="AE861" s="20"/>
      <c r="AF861" s="135"/>
      <c r="AG861" s="135"/>
      <c r="AH861" s="135"/>
      <c r="AI861" s="135"/>
    </row>
    <row r="862" spans="1:35">
      <c r="A862" s="135"/>
      <c r="B862" s="135"/>
      <c r="C862" s="135"/>
      <c r="D862" s="46"/>
      <c r="E862" s="20"/>
      <c r="F862" s="20"/>
      <c r="G862" s="24"/>
      <c r="H862" s="21"/>
      <c r="I862" s="53"/>
      <c r="J862" s="24"/>
      <c r="K862" s="24"/>
      <c r="L862" s="46"/>
      <c r="M862" s="20"/>
      <c r="N862" s="38"/>
      <c r="O862" s="38"/>
      <c r="P862" s="20"/>
      <c r="Q862" s="20"/>
      <c r="R862" s="40"/>
      <c r="S862" s="38"/>
      <c r="T862" s="38"/>
      <c r="U862" s="40"/>
      <c r="V862" s="40"/>
      <c r="W862" s="20"/>
      <c r="X862" s="21"/>
      <c r="Y862" s="19">
        <v>0</v>
      </c>
      <c r="Z862" s="19">
        <v>0</v>
      </c>
      <c r="AA862" s="19">
        <v>0</v>
      </c>
      <c r="AB862" s="44" t="e">
        <f>VLOOKUP(A862,'[4]PO CAG'!$A:$L,12,0)</f>
        <v>#N/A</v>
      </c>
      <c r="AC862" s="22">
        <f>IFERROR(VLOOKUP(F862,[3]Sheet1!$E:$H,4,0),)</f>
        <v>0</v>
      </c>
      <c r="AD862" s="144"/>
      <c r="AE862" s="20"/>
      <c r="AF862" s="135"/>
      <c r="AG862" s="135"/>
      <c r="AH862" s="135"/>
      <c r="AI862" s="135"/>
    </row>
    <row r="863" spans="1:35">
      <c r="A863" s="135"/>
      <c r="B863" s="135"/>
      <c r="C863" s="135"/>
      <c r="D863" s="46"/>
      <c r="E863" s="20"/>
      <c r="F863" s="20"/>
      <c r="G863" s="24"/>
      <c r="H863" s="21"/>
      <c r="I863" s="53"/>
      <c r="J863" s="24"/>
      <c r="K863" s="24"/>
      <c r="L863" s="46"/>
      <c r="M863" s="20"/>
      <c r="N863" s="38"/>
      <c r="O863" s="38"/>
      <c r="P863" s="20"/>
      <c r="Q863" s="20"/>
      <c r="R863" s="40"/>
      <c r="S863" s="38"/>
      <c r="T863" s="38"/>
      <c r="U863" s="40"/>
      <c r="V863" s="40"/>
      <c r="W863" s="20"/>
      <c r="X863" s="21"/>
      <c r="Y863" s="19">
        <v>0</v>
      </c>
      <c r="Z863" s="19">
        <v>0</v>
      </c>
      <c r="AA863" s="19">
        <v>0</v>
      </c>
      <c r="AB863" s="44" t="e">
        <f>VLOOKUP(A863,'[4]PO CAG'!$A:$L,12,0)</f>
        <v>#N/A</v>
      </c>
      <c r="AC863" s="22">
        <f>IFERROR(VLOOKUP(F863,[3]Sheet1!$E:$H,4,0),)</f>
        <v>0</v>
      </c>
      <c r="AD863" s="144"/>
      <c r="AE863" s="20"/>
      <c r="AF863" s="135"/>
      <c r="AG863" s="135"/>
      <c r="AH863" s="135"/>
      <c r="AI863" s="135"/>
    </row>
    <row r="864" spans="1:35">
      <c r="A864" s="135"/>
      <c r="B864" s="135"/>
      <c r="C864" s="135"/>
      <c r="D864" s="46"/>
      <c r="E864" s="20"/>
      <c r="F864" s="20"/>
      <c r="G864" s="24"/>
      <c r="H864" s="21"/>
      <c r="I864" s="53"/>
      <c r="J864" s="24"/>
      <c r="K864" s="24"/>
      <c r="L864" s="46"/>
      <c r="M864" s="20"/>
      <c r="N864" s="38"/>
      <c r="O864" s="38"/>
      <c r="P864" s="20"/>
      <c r="Q864" s="20"/>
      <c r="R864" s="40"/>
      <c r="S864" s="38"/>
      <c r="T864" s="38"/>
      <c r="U864" s="40"/>
      <c r="V864" s="40"/>
      <c r="W864" s="20"/>
      <c r="X864" s="21"/>
      <c r="Y864" s="19">
        <v>0</v>
      </c>
      <c r="Z864" s="19">
        <v>0</v>
      </c>
      <c r="AA864" s="19">
        <v>0</v>
      </c>
      <c r="AB864" s="44" t="e">
        <f>VLOOKUP(A864,'[4]PO CAG'!$A:$L,12,0)</f>
        <v>#N/A</v>
      </c>
      <c r="AC864" s="22">
        <f>IFERROR(VLOOKUP(F864,[3]Sheet1!$E:$H,4,0),)</f>
        <v>0</v>
      </c>
      <c r="AD864" s="144"/>
      <c r="AE864" s="20"/>
      <c r="AF864" s="135"/>
      <c r="AG864" s="135"/>
      <c r="AH864" s="135"/>
      <c r="AI864" s="135"/>
    </row>
    <row r="865" spans="1:35">
      <c r="A865" s="135"/>
      <c r="B865" s="135"/>
      <c r="C865" s="135"/>
      <c r="D865" s="46"/>
      <c r="E865" s="20"/>
      <c r="F865" s="20"/>
      <c r="G865" s="24"/>
      <c r="H865" s="21"/>
      <c r="I865" s="53"/>
      <c r="J865" s="24"/>
      <c r="K865" s="24"/>
      <c r="L865" s="46"/>
      <c r="M865" s="20"/>
      <c r="N865" s="38"/>
      <c r="O865" s="38"/>
      <c r="P865" s="20"/>
      <c r="Q865" s="20"/>
      <c r="R865" s="40"/>
      <c r="S865" s="38"/>
      <c r="T865" s="38"/>
      <c r="U865" s="40"/>
      <c r="V865" s="40"/>
      <c r="W865" s="20"/>
      <c r="X865" s="21"/>
      <c r="Y865" s="19">
        <v>0</v>
      </c>
      <c r="Z865" s="19">
        <v>0</v>
      </c>
      <c r="AA865" s="19">
        <v>0</v>
      </c>
      <c r="AB865" s="44" t="e">
        <f>VLOOKUP(A865,'[4]PO CAG'!$A:$L,12,0)</f>
        <v>#N/A</v>
      </c>
      <c r="AC865" s="22">
        <f>IFERROR(VLOOKUP(F865,[3]Sheet1!$E:$H,4,0),)</f>
        <v>0</v>
      </c>
      <c r="AD865" s="144"/>
      <c r="AE865" s="20"/>
      <c r="AF865" s="135"/>
      <c r="AG865" s="135"/>
      <c r="AH865" s="135"/>
      <c r="AI865" s="135"/>
    </row>
    <row r="866" spans="1:35">
      <c r="A866" s="135"/>
      <c r="B866" s="135"/>
      <c r="C866" s="135"/>
      <c r="D866" s="46"/>
      <c r="E866" s="20"/>
      <c r="F866" s="20"/>
      <c r="G866" s="24"/>
      <c r="H866" s="21"/>
      <c r="I866" s="53"/>
      <c r="J866" s="24"/>
      <c r="K866" s="24"/>
      <c r="L866" s="46"/>
      <c r="M866" s="20"/>
      <c r="N866" s="38"/>
      <c r="O866" s="38"/>
      <c r="P866" s="20"/>
      <c r="Q866" s="20"/>
      <c r="R866" s="40"/>
      <c r="S866" s="38"/>
      <c r="T866" s="38"/>
      <c r="U866" s="40"/>
      <c r="V866" s="40"/>
      <c r="W866" s="20"/>
      <c r="X866" s="21"/>
      <c r="Y866" s="19">
        <v>0</v>
      </c>
      <c r="Z866" s="19">
        <v>0</v>
      </c>
      <c r="AA866" s="19">
        <v>0</v>
      </c>
      <c r="AB866" s="44" t="e">
        <f>VLOOKUP(A866,'[4]PO CAG'!$A:$L,12,0)</f>
        <v>#N/A</v>
      </c>
      <c r="AC866" s="22">
        <f>IFERROR(VLOOKUP(F866,[3]Sheet1!$E:$H,4,0),)</f>
        <v>0</v>
      </c>
      <c r="AD866" s="144"/>
      <c r="AE866" s="20"/>
      <c r="AF866" s="135"/>
      <c r="AG866" s="135"/>
      <c r="AH866" s="135"/>
      <c r="AI866" s="135"/>
    </row>
    <row r="867" spans="1:35">
      <c r="A867" s="135"/>
      <c r="B867" s="135"/>
      <c r="C867" s="135"/>
      <c r="D867" s="46"/>
      <c r="E867" s="20"/>
      <c r="F867" s="20"/>
      <c r="G867" s="24"/>
      <c r="H867" s="21"/>
      <c r="I867" s="53"/>
      <c r="J867" s="24"/>
      <c r="K867" s="24"/>
      <c r="L867" s="46"/>
      <c r="M867" s="20"/>
      <c r="N867" s="38"/>
      <c r="O867" s="38"/>
      <c r="P867" s="20"/>
      <c r="Q867" s="20"/>
      <c r="R867" s="40"/>
      <c r="S867" s="38"/>
      <c r="T867" s="38"/>
      <c r="U867" s="40"/>
      <c r="V867" s="40"/>
      <c r="W867" s="20"/>
      <c r="X867" s="21"/>
      <c r="Y867" s="19">
        <v>0</v>
      </c>
      <c r="Z867" s="19">
        <v>0</v>
      </c>
      <c r="AA867" s="19">
        <v>0</v>
      </c>
      <c r="AB867" s="44" t="e">
        <f>VLOOKUP(A867,'[4]PO CAG'!$A:$L,12,0)</f>
        <v>#N/A</v>
      </c>
      <c r="AC867" s="22">
        <f>IFERROR(VLOOKUP(F867,[3]Sheet1!$E:$H,4,0),)</f>
        <v>0</v>
      </c>
      <c r="AD867" s="144"/>
      <c r="AE867" s="20"/>
      <c r="AF867" s="135"/>
      <c r="AG867" s="135"/>
      <c r="AH867" s="135"/>
      <c r="AI867" s="135"/>
    </row>
    <row r="868" spans="1:35">
      <c r="A868" s="135"/>
      <c r="B868" s="135"/>
      <c r="C868" s="135"/>
      <c r="D868" s="46"/>
      <c r="E868" s="20"/>
      <c r="F868" s="20"/>
      <c r="G868" s="24"/>
      <c r="H868" s="21"/>
      <c r="I868" s="53"/>
      <c r="J868" s="24"/>
      <c r="K868" s="24"/>
      <c r="L868" s="46"/>
      <c r="M868" s="20"/>
      <c r="N868" s="38"/>
      <c r="O868" s="38"/>
      <c r="P868" s="20"/>
      <c r="Q868" s="20"/>
      <c r="R868" s="40"/>
      <c r="S868" s="38"/>
      <c r="T868" s="38"/>
      <c r="U868" s="40"/>
      <c r="V868" s="40"/>
      <c r="W868" s="20"/>
      <c r="X868" s="21"/>
      <c r="Y868" s="19">
        <v>0</v>
      </c>
      <c r="Z868" s="19">
        <v>0</v>
      </c>
      <c r="AA868" s="19">
        <v>0</v>
      </c>
      <c r="AB868" s="44" t="e">
        <f>VLOOKUP(A868,'[4]PO CAG'!$A:$L,12,0)</f>
        <v>#N/A</v>
      </c>
      <c r="AC868" s="22">
        <f>IFERROR(VLOOKUP(F868,[3]Sheet1!$E:$H,4,0),)</f>
        <v>0</v>
      </c>
      <c r="AD868" s="144"/>
      <c r="AE868" s="20"/>
      <c r="AF868" s="135"/>
      <c r="AG868" s="135"/>
      <c r="AH868" s="135"/>
      <c r="AI868" s="135"/>
    </row>
    <row r="869" spans="1:35">
      <c r="A869" s="135"/>
      <c r="B869" s="135"/>
      <c r="C869" s="135"/>
      <c r="D869" s="46"/>
      <c r="E869" s="20"/>
      <c r="F869" s="20"/>
      <c r="G869" s="24"/>
      <c r="H869" s="21"/>
      <c r="I869" s="53"/>
      <c r="J869" s="24"/>
      <c r="K869" s="24"/>
      <c r="L869" s="46"/>
      <c r="M869" s="20"/>
      <c r="N869" s="38"/>
      <c r="O869" s="38"/>
      <c r="P869" s="20"/>
      <c r="Q869" s="20"/>
      <c r="R869" s="40"/>
      <c r="S869" s="38"/>
      <c r="T869" s="38"/>
      <c r="U869" s="40"/>
      <c r="V869" s="40"/>
      <c r="W869" s="20"/>
      <c r="X869" s="21"/>
      <c r="Y869" s="19">
        <v>0</v>
      </c>
      <c r="Z869" s="19">
        <v>0</v>
      </c>
      <c r="AA869" s="19">
        <v>0</v>
      </c>
      <c r="AB869" s="44" t="e">
        <f>VLOOKUP(A869,'[4]PO CAG'!$A:$L,12,0)</f>
        <v>#N/A</v>
      </c>
      <c r="AC869" s="22">
        <f>IFERROR(VLOOKUP(F869,[3]Sheet1!$E:$H,4,0),)</f>
        <v>0</v>
      </c>
      <c r="AD869" s="144"/>
      <c r="AE869" s="20"/>
      <c r="AF869" s="135"/>
      <c r="AG869" s="135"/>
      <c r="AH869" s="135"/>
      <c r="AI869" s="135"/>
    </row>
    <row r="870" spans="1:35">
      <c r="A870" s="135"/>
      <c r="B870" s="135"/>
      <c r="C870" s="135"/>
      <c r="D870" s="46"/>
      <c r="E870" s="20"/>
      <c r="F870" s="20"/>
      <c r="G870" s="24"/>
      <c r="H870" s="21"/>
      <c r="I870" s="53"/>
      <c r="J870" s="24"/>
      <c r="K870" s="24"/>
      <c r="L870" s="46"/>
      <c r="M870" s="20"/>
      <c r="N870" s="38"/>
      <c r="O870" s="38"/>
      <c r="P870" s="20"/>
      <c r="Q870" s="20"/>
      <c r="R870" s="40"/>
      <c r="S870" s="38"/>
      <c r="T870" s="38"/>
      <c r="U870" s="40"/>
      <c r="V870" s="40"/>
      <c r="W870" s="20"/>
      <c r="X870" s="21"/>
      <c r="Y870" s="19">
        <v>0</v>
      </c>
      <c r="Z870" s="19">
        <v>0</v>
      </c>
      <c r="AA870" s="19">
        <v>0</v>
      </c>
      <c r="AB870" s="44" t="e">
        <f>VLOOKUP(A870,'[4]PO CAG'!$A:$L,12,0)</f>
        <v>#N/A</v>
      </c>
      <c r="AC870" s="22">
        <f>IFERROR(VLOOKUP(F870,[3]Sheet1!$E:$H,4,0),)</f>
        <v>0</v>
      </c>
      <c r="AD870" s="144"/>
      <c r="AE870" s="20"/>
      <c r="AF870" s="135"/>
      <c r="AG870" s="135"/>
      <c r="AH870" s="135"/>
      <c r="AI870" s="135"/>
    </row>
    <row r="871" spans="1:35">
      <c r="A871" s="135"/>
      <c r="B871" s="135"/>
      <c r="C871" s="135"/>
      <c r="D871" s="46"/>
      <c r="E871" s="20"/>
      <c r="F871" s="20"/>
      <c r="G871" s="24"/>
      <c r="H871" s="21"/>
      <c r="I871" s="53"/>
      <c r="J871" s="24"/>
      <c r="K871" s="24"/>
      <c r="L871" s="46"/>
      <c r="M871" s="20"/>
      <c r="N871" s="38"/>
      <c r="O871" s="38"/>
      <c r="P871" s="20"/>
      <c r="Q871" s="20"/>
      <c r="R871" s="40"/>
      <c r="S871" s="38"/>
      <c r="T871" s="38"/>
      <c r="U871" s="40"/>
      <c r="V871" s="40"/>
      <c r="W871" s="20"/>
      <c r="X871" s="21"/>
      <c r="Y871" s="19">
        <v>0</v>
      </c>
      <c r="Z871" s="19">
        <v>0</v>
      </c>
      <c r="AA871" s="19">
        <v>0</v>
      </c>
      <c r="AB871" s="44" t="e">
        <f>VLOOKUP(A871,'[4]PO CAG'!$A:$L,12,0)</f>
        <v>#N/A</v>
      </c>
      <c r="AC871" s="22">
        <f>IFERROR(VLOOKUP(F871,[3]Sheet1!$E:$H,4,0),)</f>
        <v>0</v>
      </c>
      <c r="AD871" s="144"/>
      <c r="AE871" s="20"/>
      <c r="AF871" s="135"/>
      <c r="AG871" s="135"/>
      <c r="AH871" s="135"/>
      <c r="AI871" s="135"/>
    </row>
    <row r="872" spans="1:35">
      <c r="A872" s="135"/>
      <c r="B872" s="135"/>
      <c r="C872" s="135"/>
      <c r="D872" s="46"/>
      <c r="E872" s="20"/>
      <c r="F872" s="20"/>
      <c r="G872" s="24"/>
      <c r="H872" s="21"/>
      <c r="I872" s="53"/>
      <c r="J872" s="24"/>
      <c r="K872" s="24"/>
      <c r="L872" s="46"/>
      <c r="M872" s="20"/>
      <c r="N872" s="38"/>
      <c r="O872" s="38"/>
      <c r="P872" s="20"/>
      <c r="Q872" s="20"/>
      <c r="R872" s="40"/>
      <c r="S872" s="38"/>
      <c r="T872" s="38"/>
      <c r="U872" s="40"/>
      <c r="V872" s="40"/>
      <c r="W872" s="20"/>
      <c r="X872" s="21"/>
      <c r="Y872" s="19">
        <v>0</v>
      </c>
      <c r="Z872" s="19">
        <v>0</v>
      </c>
      <c r="AA872" s="19">
        <v>0</v>
      </c>
      <c r="AB872" s="44" t="e">
        <f>VLOOKUP(A872,'[4]PO CAG'!$A:$L,12,0)</f>
        <v>#N/A</v>
      </c>
      <c r="AC872" s="22">
        <f>IFERROR(VLOOKUP(F872,[3]Sheet1!$E:$H,4,0),)</f>
        <v>0</v>
      </c>
      <c r="AD872" s="144"/>
      <c r="AE872" s="20"/>
      <c r="AF872" s="135"/>
      <c r="AG872" s="135"/>
      <c r="AH872" s="135"/>
      <c r="AI872" s="135"/>
    </row>
    <row r="873" spans="1:35">
      <c r="A873" s="135"/>
      <c r="B873" s="135"/>
      <c r="C873" s="135"/>
      <c r="D873" s="46"/>
      <c r="E873" s="20"/>
      <c r="F873" s="20"/>
      <c r="G873" s="24"/>
      <c r="H873" s="21"/>
      <c r="I873" s="53"/>
      <c r="J873" s="24"/>
      <c r="K873" s="24"/>
      <c r="L873" s="46"/>
      <c r="M873" s="20"/>
      <c r="N873" s="38"/>
      <c r="O873" s="38"/>
      <c r="P873" s="20"/>
      <c r="Q873" s="20"/>
      <c r="R873" s="40"/>
      <c r="S873" s="38"/>
      <c r="T873" s="38"/>
      <c r="U873" s="40"/>
      <c r="V873" s="40"/>
      <c r="W873" s="20"/>
      <c r="X873" s="21"/>
      <c r="Y873" s="38"/>
      <c r="Z873" s="38"/>
      <c r="AA873" s="38"/>
      <c r="AB873" s="20"/>
      <c r="AC873" s="22"/>
      <c r="AD873" s="144"/>
      <c r="AE873" s="20"/>
      <c r="AF873" s="135"/>
      <c r="AG873" s="135"/>
      <c r="AH873" s="135"/>
      <c r="AI873" s="135"/>
    </row>
    <row r="874" spans="1:35">
      <c r="A874" s="135"/>
      <c r="B874" s="135"/>
      <c r="C874" s="135"/>
      <c r="D874" s="46"/>
      <c r="E874" s="20"/>
      <c r="F874" s="20"/>
      <c r="G874" s="24"/>
      <c r="H874" s="21"/>
      <c r="I874" s="53"/>
      <c r="J874" s="24"/>
      <c r="K874" s="24"/>
      <c r="L874" s="46"/>
      <c r="M874" s="20"/>
      <c r="N874" s="38"/>
      <c r="O874" s="38"/>
      <c r="P874" s="20"/>
      <c r="Q874" s="20"/>
      <c r="R874" s="40"/>
      <c r="S874" s="38"/>
      <c r="T874" s="38"/>
      <c r="U874" s="40"/>
      <c r="V874" s="40"/>
      <c r="W874" s="20"/>
      <c r="X874" s="21"/>
      <c r="Y874" s="38"/>
      <c r="Z874" s="38"/>
      <c r="AA874" s="38"/>
      <c r="AB874" s="20"/>
      <c r="AC874" s="22"/>
      <c r="AD874" s="144"/>
      <c r="AE874" s="20"/>
      <c r="AF874" s="135"/>
      <c r="AG874" s="135"/>
      <c r="AH874" s="135"/>
      <c r="AI874" s="135"/>
    </row>
    <row r="875" spans="1:35">
      <c r="A875" s="135"/>
      <c r="B875" s="135"/>
      <c r="C875" s="135"/>
      <c r="D875" s="46"/>
      <c r="E875" s="20"/>
      <c r="F875" s="20"/>
      <c r="G875" s="24"/>
      <c r="H875" s="21"/>
      <c r="I875" s="53"/>
      <c r="J875" s="24"/>
      <c r="K875" s="24"/>
      <c r="L875" s="46"/>
      <c r="M875" s="20"/>
      <c r="N875" s="38"/>
      <c r="O875" s="38"/>
      <c r="P875" s="20"/>
      <c r="Q875" s="20"/>
      <c r="R875" s="40"/>
      <c r="S875" s="38"/>
      <c r="T875" s="38"/>
      <c r="U875" s="40"/>
      <c r="V875" s="40"/>
      <c r="W875" s="20"/>
      <c r="X875" s="21"/>
      <c r="Y875" s="38"/>
      <c r="Z875" s="38"/>
      <c r="AA875" s="38"/>
      <c r="AB875" s="20"/>
      <c r="AC875" s="22"/>
      <c r="AD875" s="144"/>
      <c r="AE875" s="20"/>
      <c r="AF875" s="135"/>
      <c r="AG875" s="135"/>
      <c r="AH875" s="135"/>
      <c r="AI875" s="135"/>
    </row>
    <row r="876" spans="1:35">
      <c r="A876" s="135"/>
      <c r="B876" s="135"/>
      <c r="C876" s="135"/>
      <c r="D876" s="46"/>
      <c r="E876" s="20"/>
      <c r="F876" s="20"/>
      <c r="G876" s="24"/>
      <c r="H876" s="21"/>
      <c r="I876" s="53"/>
      <c r="J876" s="24"/>
      <c r="K876" s="24"/>
      <c r="L876" s="46"/>
      <c r="M876" s="20"/>
      <c r="N876" s="38"/>
      <c r="O876" s="38"/>
      <c r="P876" s="20"/>
      <c r="Q876" s="20"/>
      <c r="R876" s="40"/>
      <c r="S876" s="38"/>
      <c r="T876" s="38"/>
      <c r="U876" s="40"/>
      <c r="V876" s="40"/>
      <c r="W876" s="20"/>
      <c r="X876" s="21"/>
      <c r="Y876" s="38"/>
      <c r="Z876" s="38"/>
      <c r="AA876" s="38"/>
      <c r="AB876" s="20"/>
      <c r="AC876" s="22"/>
      <c r="AD876" s="144"/>
      <c r="AE876" s="20"/>
      <c r="AF876" s="135"/>
      <c r="AG876" s="135"/>
      <c r="AH876" s="135"/>
      <c r="AI876" s="135"/>
    </row>
    <row r="877" spans="1:35">
      <c r="A877" s="135"/>
      <c r="B877" s="135"/>
      <c r="C877" s="135"/>
      <c r="D877" s="46"/>
      <c r="E877" s="20"/>
      <c r="F877" s="20"/>
      <c r="G877" s="24"/>
      <c r="H877" s="21"/>
      <c r="I877" s="53"/>
      <c r="J877" s="24"/>
      <c r="K877" s="24"/>
      <c r="L877" s="46"/>
      <c r="M877" s="20"/>
      <c r="N877" s="38"/>
      <c r="O877" s="38"/>
      <c r="P877" s="20"/>
      <c r="Q877" s="20"/>
      <c r="R877" s="40"/>
      <c r="S877" s="38"/>
      <c r="T877" s="38"/>
      <c r="U877" s="40"/>
      <c r="V877" s="40"/>
      <c r="W877" s="20"/>
      <c r="X877" s="21"/>
      <c r="Y877" s="38"/>
      <c r="Z877" s="38"/>
      <c r="AA877" s="38"/>
      <c r="AB877" s="20"/>
      <c r="AC877" s="22"/>
      <c r="AD877" s="144"/>
      <c r="AE877" s="20"/>
      <c r="AF877" s="135"/>
      <c r="AG877" s="135"/>
      <c r="AH877" s="135"/>
      <c r="AI877" s="135"/>
    </row>
    <row r="878" spans="1:35">
      <c r="A878" s="135"/>
      <c r="B878" s="135"/>
      <c r="C878" s="135"/>
      <c r="D878" s="46"/>
      <c r="E878" s="20"/>
      <c r="F878" s="20"/>
      <c r="G878" s="24"/>
      <c r="H878" s="21"/>
      <c r="I878" s="53"/>
      <c r="J878" s="24"/>
      <c r="K878" s="24"/>
      <c r="L878" s="46"/>
      <c r="M878" s="20"/>
      <c r="N878" s="38"/>
      <c r="O878" s="38"/>
      <c r="P878" s="20"/>
      <c r="Q878" s="20"/>
      <c r="R878" s="40"/>
      <c r="S878" s="38"/>
      <c r="T878" s="38"/>
      <c r="U878" s="40"/>
      <c r="V878" s="40"/>
      <c r="W878" s="20"/>
      <c r="X878" s="21"/>
      <c r="Y878" s="38"/>
      <c r="Z878" s="38"/>
      <c r="AA878" s="38"/>
      <c r="AB878" s="20"/>
      <c r="AC878" s="22"/>
      <c r="AD878" s="144"/>
      <c r="AE878" s="20"/>
      <c r="AF878" s="135"/>
      <c r="AG878" s="135"/>
      <c r="AH878" s="135"/>
      <c r="AI878" s="135"/>
    </row>
    <row r="879" spans="1:35">
      <c r="A879" s="135"/>
      <c r="B879" s="135"/>
      <c r="C879" s="135"/>
      <c r="D879" s="46"/>
      <c r="E879" s="20"/>
      <c r="F879" s="20"/>
      <c r="G879" s="24"/>
      <c r="H879" s="21"/>
      <c r="I879" s="53"/>
      <c r="J879" s="24"/>
      <c r="K879" s="24"/>
      <c r="L879" s="46"/>
      <c r="M879" s="20"/>
      <c r="N879" s="38"/>
      <c r="O879" s="38"/>
      <c r="P879" s="20"/>
      <c r="Q879" s="20"/>
      <c r="R879" s="40"/>
      <c r="S879" s="38"/>
      <c r="T879" s="38"/>
      <c r="U879" s="40"/>
      <c r="V879" s="40"/>
      <c r="W879" s="20"/>
      <c r="X879" s="21"/>
      <c r="Y879" s="38"/>
      <c r="Z879" s="38"/>
      <c r="AA879" s="38"/>
      <c r="AB879" s="20"/>
      <c r="AC879" s="22"/>
      <c r="AD879" s="144"/>
      <c r="AE879" s="20"/>
      <c r="AF879" s="135"/>
      <c r="AG879" s="135"/>
      <c r="AH879" s="135"/>
      <c r="AI879" s="135"/>
    </row>
    <row r="880" spans="1:35">
      <c r="A880" s="135"/>
      <c r="B880" s="135"/>
      <c r="C880" s="135"/>
      <c r="D880" s="46"/>
      <c r="E880" s="20"/>
      <c r="F880" s="20"/>
      <c r="G880" s="24"/>
      <c r="H880" s="21"/>
      <c r="I880" s="53"/>
      <c r="J880" s="24"/>
      <c r="K880" s="24"/>
      <c r="L880" s="46"/>
      <c r="M880" s="20"/>
      <c r="N880" s="38"/>
      <c r="O880" s="38"/>
      <c r="P880" s="20"/>
      <c r="Q880" s="20"/>
      <c r="R880" s="40"/>
      <c r="S880" s="38"/>
      <c r="T880" s="38"/>
      <c r="U880" s="40"/>
      <c r="V880" s="40"/>
      <c r="W880" s="20"/>
      <c r="X880" s="21"/>
      <c r="Y880" s="38"/>
      <c r="Z880" s="38"/>
      <c r="AA880" s="38"/>
      <c r="AB880" s="20"/>
      <c r="AC880" s="22"/>
      <c r="AD880" s="144"/>
      <c r="AE880" s="20"/>
      <c r="AF880" s="135"/>
      <c r="AG880" s="135"/>
      <c r="AH880" s="135"/>
      <c r="AI880" s="135"/>
    </row>
  </sheetData>
  <autoFilter ref="A2:AQ669"/>
  <conditionalFormatting sqref="C2">
    <cfRule type="duplicateValues" dxfId="13175" priority="154790"/>
  </conditionalFormatting>
  <conditionalFormatting sqref="J2">
    <cfRule type="duplicateValues" dxfId="13174" priority="154791"/>
  </conditionalFormatting>
  <conditionalFormatting sqref="B2">
    <cfRule type="duplicateValues" dxfId="13173" priority="154792"/>
  </conditionalFormatting>
  <conditionalFormatting sqref="B2">
    <cfRule type="duplicateValues" dxfId="13172" priority="154793"/>
    <cfRule type="duplicateValues" dxfId="13171" priority="154794"/>
    <cfRule type="duplicateValues" dxfId="13170" priority="154795"/>
  </conditionalFormatting>
  <conditionalFormatting sqref="B2">
    <cfRule type="duplicateValues" dxfId="13169" priority="154796"/>
    <cfRule type="duplicateValues" dxfId="13168" priority="154797"/>
  </conditionalFormatting>
  <conditionalFormatting sqref="I2">
    <cfRule type="duplicateValues" dxfId="13167" priority="154798"/>
  </conditionalFormatting>
  <conditionalFormatting sqref="J2">
    <cfRule type="duplicateValues" dxfId="13166" priority="154799"/>
    <cfRule type="duplicateValues" dxfId="13165" priority="154800"/>
  </conditionalFormatting>
  <conditionalFormatting sqref="I2:J2">
    <cfRule type="duplicateValues" dxfId="13164" priority="154801"/>
  </conditionalFormatting>
  <conditionalFormatting sqref="J881:J1048576 J2">
    <cfRule type="duplicateValues" dxfId="13163" priority="1113"/>
  </conditionalFormatting>
  <conditionalFormatting sqref="B881:B1048576 B2">
    <cfRule type="duplicateValues" dxfId="13162" priority="1105"/>
  </conditionalFormatting>
  <conditionalFormatting sqref="I881:I1048576 I2">
    <cfRule type="duplicateValues" dxfId="13161" priority="1082"/>
  </conditionalFormatting>
  <conditionalFormatting sqref="B881:B1048576">
    <cfRule type="duplicateValues" dxfId="13160" priority="1081"/>
  </conditionalFormatting>
  <conditionalFormatting sqref="A881:A1048576 A2">
    <cfRule type="duplicateValues" dxfId="13159" priority="1080"/>
  </conditionalFormatting>
  <conditionalFormatting sqref="I881:J1048576 I2:J2">
    <cfRule type="duplicateValues" dxfId="13158" priority="1010"/>
  </conditionalFormatting>
  <conditionalFormatting sqref="B2">
    <cfRule type="duplicateValues" dxfId="13157" priority="160660"/>
  </conditionalFormatting>
  <conditionalFormatting sqref="B1">
    <cfRule type="duplicateValues" dxfId="13156" priority="942"/>
  </conditionalFormatting>
  <conditionalFormatting sqref="E1">
    <cfRule type="duplicateValues" dxfId="13155" priority="941"/>
  </conditionalFormatting>
  <conditionalFormatting sqref="B1">
    <cfRule type="duplicateValues" dxfId="13154" priority="937"/>
    <cfRule type="duplicateValues" dxfId="13153" priority="938"/>
    <cfRule type="duplicateValues" dxfId="13152" priority="939"/>
    <cfRule type="duplicateValues" dxfId="13151" priority="940"/>
  </conditionalFormatting>
  <conditionalFormatting sqref="B1">
    <cfRule type="duplicateValues" dxfId="13150" priority="935"/>
    <cfRule type="duplicateValues" dxfId="13149" priority="936"/>
  </conditionalFormatting>
  <conditionalFormatting sqref="B1">
    <cfRule type="duplicateValues" dxfId="13148" priority="934"/>
  </conditionalFormatting>
  <conditionalFormatting sqref="B1">
    <cfRule type="duplicateValues" dxfId="13147" priority="932"/>
    <cfRule type="duplicateValues" dxfId="13146" priority="933"/>
  </conditionalFormatting>
  <conditionalFormatting sqref="B1">
    <cfRule type="duplicateValues" dxfId="13145" priority="929"/>
    <cfRule type="duplicateValues" dxfId="13144" priority="930"/>
    <cfRule type="duplicateValues" dxfId="13143" priority="931"/>
  </conditionalFormatting>
  <conditionalFormatting sqref="B1">
    <cfRule type="duplicateValues" dxfId="13142" priority="919"/>
    <cfRule type="duplicateValues" dxfId="13141" priority="920"/>
    <cfRule type="duplicateValues" dxfId="13140" priority="921"/>
    <cfRule type="duplicateValues" dxfId="13139" priority="922"/>
    <cfRule type="duplicateValues" dxfId="13138" priority="923"/>
    <cfRule type="duplicateValues" dxfId="13137" priority="924"/>
    <cfRule type="duplicateValues" dxfId="13136" priority="925"/>
    <cfRule type="duplicateValues" dxfId="13135" priority="926"/>
    <cfRule type="duplicateValues" dxfId="13134" priority="927"/>
    <cfRule type="duplicateValues" dxfId="13133" priority="928"/>
  </conditionalFormatting>
  <conditionalFormatting sqref="B1">
    <cfRule type="duplicateValues" dxfId="13132" priority="915"/>
    <cfRule type="duplicateValues" dxfId="13131" priority="916"/>
    <cfRule type="duplicateValues" dxfId="13130" priority="917"/>
    <cfRule type="duplicateValues" dxfId="13129" priority="918"/>
  </conditionalFormatting>
  <conditionalFormatting sqref="B1">
    <cfRule type="duplicateValues" dxfId="13128" priority="909"/>
    <cfRule type="duplicateValues" dxfId="13127" priority="910"/>
    <cfRule type="duplicateValues" dxfId="13126" priority="911"/>
    <cfRule type="duplicateValues" dxfId="13125" priority="912"/>
    <cfRule type="duplicateValues" dxfId="13124" priority="913"/>
    <cfRule type="duplicateValues" dxfId="13123" priority="914"/>
  </conditionalFormatting>
  <conditionalFormatting sqref="B1">
    <cfRule type="duplicateValues" dxfId="13122" priority="904"/>
    <cfRule type="duplicateValues" dxfId="13121" priority="905"/>
    <cfRule type="duplicateValues" dxfId="13120" priority="906"/>
    <cfRule type="duplicateValues" dxfId="13119" priority="907"/>
    <cfRule type="duplicateValues" dxfId="13118" priority="908"/>
  </conditionalFormatting>
  <conditionalFormatting sqref="B1">
    <cfRule type="duplicateValues" dxfId="13117" priority="902"/>
    <cfRule type="duplicateValues" dxfId="13116" priority="903"/>
  </conditionalFormatting>
  <conditionalFormatting sqref="B1">
    <cfRule type="duplicateValues" dxfId="13115" priority="900"/>
    <cfRule type="duplicateValues" dxfId="13114" priority="901"/>
  </conditionalFormatting>
  <conditionalFormatting sqref="B1">
    <cfRule type="duplicateValues" dxfId="13113" priority="899"/>
  </conditionalFormatting>
  <conditionalFormatting sqref="B1">
    <cfRule type="duplicateValues" dxfId="13112" priority="895"/>
    <cfRule type="duplicateValues" dxfId="13111" priority="896"/>
    <cfRule type="duplicateValues" dxfId="13110" priority="897"/>
    <cfRule type="duplicateValues" dxfId="13109" priority="898"/>
  </conditionalFormatting>
  <conditionalFormatting sqref="B1">
    <cfRule type="duplicateValues" dxfId="13108" priority="892"/>
    <cfRule type="duplicateValues" dxfId="13107" priority="893"/>
    <cfRule type="duplicateValues" dxfId="13106" priority="894"/>
  </conditionalFormatting>
  <conditionalFormatting sqref="E1">
    <cfRule type="duplicateValues" dxfId="13105" priority="891"/>
  </conditionalFormatting>
  <conditionalFormatting sqref="B1">
    <cfRule type="duplicateValues" dxfId="13104" priority="889"/>
    <cfRule type="duplicateValues" dxfId="13103" priority="890"/>
  </conditionalFormatting>
  <conditionalFormatting sqref="B1">
    <cfRule type="duplicateValues" dxfId="13102" priority="888"/>
  </conditionalFormatting>
  <conditionalFormatting sqref="B1">
    <cfRule type="duplicateValues" dxfId="13101" priority="887"/>
  </conditionalFormatting>
  <conditionalFormatting sqref="E1">
    <cfRule type="duplicateValues" dxfId="13100" priority="886"/>
  </conditionalFormatting>
  <conditionalFormatting sqref="C881:C1048576 C1:C2">
    <cfRule type="duplicateValues" dxfId="13099" priority="869"/>
  </conditionalFormatting>
  <conditionalFormatting sqref="J881:J1048576 J1:J2">
    <cfRule type="duplicateValues" dxfId="13098" priority="807"/>
  </conditionalFormatting>
  <conditionalFormatting sqref="B881:B1048576 B1:B2">
    <cfRule type="duplicateValues" dxfId="13097" priority="806"/>
  </conditionalFormatting>
  <conditionalFormatting sqref="C881:C1048576">
    <cfRule type="duplicateValues" dxfId="13096" priority="706"/>
  </conditionalFormatting>
  <conditionalFormatting sqref="B881:B1048576 B1:B2">
    <cfRule type="duplicateValues" dxfId="13095" priority="654"/>
    <cfRule type="duplicateValues" dxfId="13094" priority="655"/>
  </conditionalFormatting>
  <conditionalFormatting sqref="I881:J1048576 I1:J2">
    <cfRule type="duplicateValues" dxfId="13093" priority="520"/>
  </conditionalFormatting>
  <conditionalFormatting sqref="I881:I1048576 I1:I2 C881:C1048576 C1:C2">
    <cfRule type="duplicateValues" dxfId="13092" priority="508"/>
  </conditionalFormatting>
  <conditionalFormatting sqref="B881:B1048576">
    <cfRule type="duplicateValues" dxfId="13091" priority="384"/>
    <cfRule type="duplicateValues" dxfId="13090" priority="390"/>
  </conditionalFormatting>
  <conditionalFormatting sqref="B881:B1048576 B1:B2">
    <cfRule type="duplicateValues" dxfId="13089" priority="247"/>
    <cfRule type="duplicateValues" dxfId="13088" priority="256"/>
    <cfRule type="duplicateValues" dxfId="13087" priority="257"/>
  </conditionalFormatting>
  <conditionalFormatting sqref="C881:C1048576">
    <cfRule type="duplicateValues" dxfId="13086" priority="254"/>
  </conditionalFormatting>
  <conditionalFormatting sqref="J881:J1048576">
    <cfRule type="duplicateValues" dxfId="13085" priority="246"/>
  </conditionalFormatting>
  <conditionalFormatting sqref="B881:B1048576">
    <cfRule type="duplicateValues" dxfId="13084" priority="208"/>
  </conditionalFormatting>
  <conditionalFormatting sqref="B881:B1048576 B1:B52">
    <cfRule type="duplicateValues" dxfId="13083" priority="187"/>
  </conditionalFormatting>
  <conditionalFormatting sqref="J881:J1048576 J1:J52">
    <cfRule type="duplicateValues" dxfId="13082" priority="186"/>
  </conditionalFormatting>
  <conditionalFormatting sqref="B53:B55">
    <cfRule type="duplicateValues" dxfId="13081" priority="180"/>
  </conditionalFormatting>
  <conditionalFormatting sqref="B59">
    <cfRule type="duplicateValues" dxfId="13080" priority="159"/>
  </conditionalFormatting>
  <conditionalFormatting sqref="J59">
    <cfRule type="duplicateValues" dxfId="13079" priority="158"/>
  </conditionalFormatting>
  <conditionalFormatting sqref="B59">
    <cfRule type="duplicateValues" dxfId="13078" priority="156"/>
    <cfRule type="duplicateValues" dxfId="13077" priority="157"/>
  </conditionalFormatting>
  <conditionalFormatting sqref="B59">
    <cfRule type="duplicateValues" dxfId="13076" priority="155"/>
  </conditionalFormatting>
  <conditionalFormatting sqref="B59">
    <cfRule type="duplicateValues" dxfId="13075" priority="152"/>
    <cfRule type="duplicateValues" dxfId="13074" priority="153"/>
    <cfRule type="duplicateValues" dxfId="13073" priority="154"/>
  </conditionalFormatting>
  <conditionalFormatting sqref="J59">
    <cfRule type="duplicateValues" dxfId="13072" priority="151"/>
  </conditionalFormatting>
  <conditionalFormatting sqref="I59">
    <cfRule type="duplicateValues" dxfId="13071" priority="150"/>
  </conditionalFormatting>
  <conditionalFormatting sqref="I59:J59">
    <cfRule type="duplicateValues" dxfId="13070" priority="149"/>
  </conditionalFormatting>
  <conditionalFormatting sqref="J59">
    <cfRule type="duplicateValues" dxfId="13069" priority="147"/>
    <cfRule type="duplicateValues" dxfId="13068" priority="148"/>
  </conditionalFormatting>
  <conditionalFormatting sqref="I59">
    <cfRule type="duplicateValues" dxfId="13067" priority="146"/>
  </conditionalFormatting>
  <conditionalFormatting sqref="C59">
    <cfRule type="duplicateValues" dxfId="13066" priority="145"/>
  </conditionalFormatting>
  <conditionalFormatting sqref="C59">
    <cfRule type="duplicateValues" dxfId="13065" priority="144"/>
  </conditionalFormatting>
  <conditionalFormatting sqref="A881:A1048576 A1:A135">
    <cfRule type="duplicateValues" dxfId="13064" priority="143"/>
  </conditionalFormatting>
  <conditionalFormatting sqref="B162 B136:B159 B164:B179">
    <cfRule type="duplicateValues" dxfId="13063" priority="142"/>
  </conditionalFormatting>
  <conditionalFormatting sqref="J136:J159 J162 J164:J177">
    <cfRule type="duplicateValues" dxfId="13062" priority="141"/>
  </conditionalFormatting>
  <conditionalFormatting sqref="B162 B136:B159 B164:B179">
    <cfRule type="duplicateValues" dxfId="13061" priority="139"/>
    <cfRule type="duplicateValues" dxfId="13060" priority="140"/>
  </conditionalFormatting>
  <conditionalFormatting sqref="B162">
    <cfRule type="duplicateValues" dxfId="13059" priority="138"/>
  </conditionalFormatting>
  <conditionalFormatting sqref="C136:C159 C162 C164:C177">
    <cfRule type="duplicateValues" dxfId="13058" priority="137"/>
  </conditionalFormatting>
  <conditionalFormatting sqref="B162 B136:B159 B164:B179">
    <cfRule type="duplicateValues" dxfId="13057" priority="134"/>
    <cfRule type="duplicateValues" dxfId="13056" priority="135"/>
    <cfRule type="duplicateValues" dxfId="13055" priority="136"/>
  </conditionalFormatting>
  <conditionalFormatting sqref="AG140:AH177 AG136:AG139 A136:A159 A162 A164:A177">
    <cfRule type="duplicateValues" dxfId="13054" priority="133"/>
  </conditionalFormatting>
  <conditionalFormatting sqref="J136:J159">
    <cfRule type="duplicateValues" dxfId="13053" priority="132"/>
  </conditionalFormatting>
  <conditionalFormatting sqref="I136:I159 I162 I164:I177">
    <cfRule type="duplicateValues" dxfId="13052" priority="131"/>
  </conditionalFormatting>
  <conditionalFormatting sqref="I136:J159 I162:J162 I164:J177">
    <cfRule type="duplicateValues" dxfId="13051" priority="130"/>
  </conditionalFormatting>
  <conditionalFormatting sqref="J136:J159 J162 J164:J177">
    <cfRule type="duplicateValues" dxfId="13050" priority="128"/>
    <cfRule type="duplicateValues" dxfId="13049" priority="129"/>
  </conditionalFormatting>
  <conditionalFormatting sqref="C136:C159 I136:I159 I162 C162 C164:C177 I164:I177">
    <cfRule type="duplicateValues" dxfId="13048" priority="127"/>
  </conditionalFormatting>
  <conditionalFormatting sqref="AH140:AH177 A136:A159 A162 A164:A177">
    <cfRule type="duplicateValues" dxfId="13047" priority="126"/>
  </conditionalFormatting>
  <conditionalFormatting sqref="C881:C1048576 C1:C159 C162 C164:C177">
    <cfRule type="duplicateValues" dxfId="13046" priority="125"/>
  </conditionalFormatting>
  <conditionalFormatting sqref="B161">
    <cfRule type="duplicateValues" dxfId="13045" priority="124"/>
  </conditionalFormatting>
  <conditionalFormatting sqref="J160:J161">
    <cfRule type="duplicateValues" dxfId="13044" priority="123"/>
  </conditionalFormatting>
  <conditionalFormatting sqref="B161">
    <cfRule type="duplicateValues" dxfId="13043" priority="121"/>
    <cfRule type="duplicateValues" dxfId="13042" priority="122"/>
  </conditionalFormatting>
  <conditionalFormatting sqref="B161">
    <cfRule type="duplicateValues" dxfId="13041" priority="120"/>
  </conditionalFormatting>
  <conditionalFormatting sqref="C160:C161">
    <cfRule type="duplicateValues" dxfId="13040" priority="119"/>
  </conditionalFormatting>
  <conditionalFormatting sqref="B161">
    <cfRule type="duplicateValues" dxfId="13039" priority="116"/>
    <cfRule type="duplicateValues" dxfId="13038" priority="117"/>
    <cfRule type="duplicateValues" dxfId="13037" priority="118"/>
  </conditionalFormatting>
  <conditionalFormatting sqref="A160:A161">
    <cfRule type="duplicateValues" dxfId="13036" priority="115"/>
  </conditionalFormatting>
  <conditionalFormatting sqref="J160:J161">
    <cfRule type="duplicateValues" dxfId="13035" priority="114"/>
  </conditionalFormatting>
  <conditionalFormatting sqref="I160:I161">
    <cfRule type="duplicateValues" dxfId="13034" priority="113"/>
  </conditionalFormatting>
  <conditionalFormatting sqref="I160:J161">
    <cfRule type="duplicateValues" dxfId="13033" priority="112"/>
  </conditionalFormatting>
  <conditionalFormatting sqref="J160:J161">
    <cfRule type="duplicateValues" dxfId="13032" priority="110"/>
    <cfRule type="duplicateValues" dxfId="13031" priority="111"/>
  </conditionalFormatting>
  <conditionalFormatting sqref="C160:C161 I160:I161">
    <cfRule type="duplicateValues" dxfId="13030" priority="109"/>
  </conditionalFormatting>
  <conditionalFormatting sqref="A160:A161">
    <cfRule type="duplicateValues" dxfId="13029" priority="108"/>
  </conditionalFormatting>
  <conditionalFormatting sqref="C160:C161">
    <cfRule type="duplicateValues" dxfId="13028" priority="107"/>
  </conditionalFormatting>
  <conditionalFormatting sqref="J163">
    <cfRule type="duplicateValues" dxfId="13027" priority="105"/>
  </conditionalFormatting>
  <conditionalFormatting sqref="C163">
    <cfRule type="duplicateValues" dxfId="13026" priority="101"/>
  </conditionalFormatting>
  <conditionalFormatting sqref="A163">
    <cfRule type="duplicateValues" dxfId="13025" priority="97"/>
  </conditionalFormatting>
  <conditionalFormatting sqref="J163">
    <cfRule type="duplicateValues" dxfId="13024" priority="96"/>
  </conditionalFormatting>
  <conditionalFormatting sqref="I163">
    <cfRule type="duplicateValues" dxfId="13023" priority="95"/>
  </conditionalFormatting>
  <conditionalFormatting sqref="I163:J163">
    <cfRule type="duplicateValues" dxfId="13022" priority="94"/>
  </conditionalFormatting>
  <conditionalFormatting sqref="J163">
    <cfRule type="duplicateValues" dxfId="13021" priority="92"/>
    <cfRule type="duplicateValues" dxfId="13020" priority="93"/>
  </conditionalFormatting>
  <conditionalFormatting sqref="C163 I163">
    <cfRule type="duplicateValues" dxfId="13019" priority="91"/>
  </conditionalFormatting>
  <conditionalFormatting sqref="A163">
    <cfRule type="duplicateValues" dxfId="13018" priority="90"/>
  </conditionalFormatting>
  <conditionalFormatting sqref="C163">
    <cfRule type="duplicateValues" dxfId="13017" priority="89"/>
  </conditionalFormatting>
  <conditionalFormatting sqref="B160">
    <cfRule type="duplicateValues" dxfId="13016" priority="88"/>
  </conditionalFormatting>
  <conditionalFormatting sqref="B160">
    <cfRule type="duplicateValues" dxfId="13015" priority="86"/>
    <cfRule type="duplicateValues" dxfId="13014" priority="87"/>
  </conditionalFormatting>
  <conditionalFormatting sqref="B160">
    <cfRule type="duplicateValues" dxfId="13013" priority="85"/>
  </conditionalFormatting>
  <conditionalFormatting sqref="B160">
    <cfRule type="duplicateValues" dxfId="13012" priority="82"/>
    <cfRule type="duplicateValues" dxfId="13011" priority="83"/>
    <cfRule type="duplicateValues" dxfId="13010" priority="84"/>
  </conditionalFormatting>
  <conditionalFormatting sqref="B163">
    <cfRule type="duplicateValues" dxfId="13009" priority="81"/>
  </conditionalFormatting>
  <conditionalFormatting sqref="B163">
    <cfRule type="duplicateValues" dxfId="13008" priority="79"/>
    <cfRule type="duplicateValues" dxfId="13007" priority="80"/>
  </conditionalFormatting>
  <conditionalFormatting sqref="B163">
    <cfRule type="duplicateValues" dxfId="13006" priority="78"/>
  </conditionalFormatting>
  <conditionalFormatting sqref="B163">
    <cfRule type="duplicateValues" dxfId="13005" priority="75"/>
    <cfRule type="duplicateValues" dxfId="13004" priority="76"/>
    <cfRule type="duplicateValues" dxfId="13003" priority="77"/>
  </conditionalFormatting>
  <conditionalFormatting sqref="B881:B1048576 B1:B297">
    <cfRule type="duplicateValues" dxfId="13002" priority="56"/>
  </conditionalFormatting>
  <conditionalFormatting sqref="B298:B515">
    <cfRule type="duplicateValues" dxfId="13001" priority="54"/>
  </conditionalFormatting>
  <conditionalFormatting sqref="J282:J497">
    <cfRule type="duplicateValues" dxfId="13000" priority="53"/>
  </conditionalFormatting>
  <conditionalFormatting sqref="B298:B515">
    <cfRule type="duplicateValues" dxfId="12999" priority="51"/>
    <cfRule type="duplicateValues" dxfId="12998" priority="52"/>
  </conditionalFormatting>
  <conditionalFormatting sqref="C282:C497">
    <cfRule type="duplicateValues" dxfId="12997" priority="50"/>
  </conditionalFormatting>
  <conditionalFormatting sqref="B298:B515">
    <cfRule type="duplicateValues" dxfId="12996" priority="47"/>
    <cfRule type="duplicateValues" dxfId="12995" priority="48"/>
    <cfRule type="duplicateValues" dxfId="12994" priority="49"/>
  </conditionalFormatting>
  <conditionalFormatting sqref="AG282:AH497 A282:A497">
    <cfRule type="duplicateValues" dxfId="12993" priority="46"/>
  </conditionalFormatting>
  <conditionalFormatting sqref="I282:I497">
    <cfRule type="duplicateValues" dxfId="12992" priority="45"/>
  </conditionalFormatting>
  <conditionalFormatting sqref="I282:J497">
    <cfRule type="duplicateValues" dxfId="12991" priority="44"/>
  </conditionalFormatting>
  <conditionalFormatting sqref="J282:J497">
    <cfRule type="duplicateValues" dxfId="12990" priority="42"/>
    <cfRule type="duplicateValues" dxfId="12989" priority="43"/>
  </conditionalFormatting>
  <conditionalFormatting sqref="I282:I497 C282:C497">
    <cfRule type="duplicateValues" dxfId="12988" priority="41"/>
  </conditionalFormatting>
  <conditionalFormatting sqref="AH282:AH497 A282:A497">
    <cfRule type="duplicateValues" dxfId="12987" priority="40"/>
  </conditionalFormatting>
  <conditionalFormatting sqref="B298:B515">
    <cfRule type="duplicateValues" dxfId="12986" priority="39"/>
  </conditionalFormatting>
  <conditionalFormatting sqref="B881:B1048576 B1:B515">
    <cfRule type="duplicateValues" dxfId="12985" priority="38"/>
  </conditionalFormatting>
  <conditionalFormatting sqref="B180:B297">
    <cfRule type="duplicateValues" dxfId="12984" priority="253127"/>
  </conditionalFormatting>
  <conditionalFormatting sqref="J178:J281">
    <cfRule type="duplicateValues" dxfId="12983" priority="253129"/>
  </conditionalFormatting>
  <conditionalFormatting sqref="B180:B297">
    <cfRule type="duplicateValues" dxfId="12982" priority="253131"/>
    <cfRule type="duplicateValues" dxfId="12981" priority="253132"/>
  </conditionalFormatting>
  <conditionalFormatting sqref="C178:C281">
    <cfRule type="duplicateValues" dxfId="12980" priority="253135"/>
  </conditionalFormatting>
  <conditionalFormatting sqref="B180:B297">
    <cfRule type="duplicateValues" dxfId="12979" priority="253137"/>
    <cfRule type="duplicateValues" dxfId="12978" priority="253138"/>
    <cfRule type="duplicateValues" dxfId="12977" priority="253139"/>
  </conditionalFormatting>
  <conditionalFormatting sqref="A178:A281 AG178:AH281">
    <cfRule type="duplicateValues" dxfId="12976" priority="253143"/>
  </conditionalFormatting>
  <conditionalFormatting sqref="I178:I281">
    <cfRule type="duplicateValues" dxfId="12975" priority="253147"/>
  </conditionalFormatting>
  <conditionalFormatting sqref="I178:J281">
    <cfRule type="duplicateValues" dxfId="12974" priority="253149"/>
  </conditionalFormatting>
  <conditionalFormatting sqref="J178:J281">
    <cfRule type="duplicateValues" dxfId="12973" priority="253151"/>
    <cfRule type="duplicateValues" dxfId="12972" priority="253152"/>
  </conditionalFormatting>
  <conditionalFormatting sqref="I178:I281 C178:C281">
    <cfRule type="duplicateValues" dxfId="12971" priority="253155"/>
  </conditionalFormatting>
  <conditionalFormatting sqref="A178:A281 AH178:AH281">
    <cfRule type="duplicateValues" dxfId="12970" priority="253159"/>
  </conditionalFormatting>
  <conditionalFormatting sqref="C60:C135 C53:C58">
    <cfRule type="duplicateValues" dxfId="12969" priority="253303"/>
  </conditionalFormatting>
  <conditionalFormatting sqref="C60:C135 C53:C58 I53:I58 I60:I135">
    <cfRule type="duplicateValues" dxfId="12968" priority="253334"/>
  </conditionalFormatting>
  <conditionalFormatting sqref="B53:B58 B60:B135">
    <cfRule type="duplicateValues" dxfId="12967" priority="253410"/>
  </conditionalFormatting>
  <conditionalFormatting sqref="J60:J135 J53:J58">
    <cfRule type="duplicateValues" dxfId="12966" priority="253413"/>
  </conditionalFormatting>
  <conditionalFormatting sqref="B53:B58 B60:B135">
    <cfRule type="duplicateValues" dxfId="12965" priority="253415"/>
    <cfRule type="duplicateValues" dxfId="12964" priority="253416"/>
  </conditionalFormatting>
  <conditionalFormatting sqref="B53:B58 B60:B135">
    <cfRule type="duplicateValues" dxfId="12963" priority="253422"/>
    <cfRule type="duplicateValues" dxfId="12962" priority="253423"/>
    <cfRule type="duplicateValues" dxfId="12961" priority="253424"/>
  </conditionalFormatting>
  <conditionalFormatting sqref="I60:I135 I53:I58">
    <cfRule type="duplicateValues" dxfId="12960" priority="253435"/>
  </conditionalFormatting>
  <conditionalFormatting sqref="I60:J135 I53:J58">
    <cfRule type="duplicateValues" dxfId="12959" priority="253437"/>
  </conditionalFormatting>
  <conditionalFormatting sqref="J60:J135 J53:J58">
    <cfRule type="duplicateValues" dxfId="12958" priority="253439"/>
    <cfRule type="duplicateValues" dxfId="12957" priority="253440"/>
  </conditionalFormatting>
  <conditionalFormatting sqref="J53:J58">
    <cfRule type="duplicateValues" dxfId="12956" priority="253646"/>
  </conditionalFormatting>
  <conditionalFormatting sqref="AG53:AG135 A53:A135">
    <cfRule type="duplicateValues" dxfId="12955" priority="253647"/>
  </conditionalFormatting>
  <conditionalFormatting sqref="A26:A52 A3 AG3:AG52">
    <cfRule type="duplicateValues" dxfId="12954" priority="254351"/>
  </conditionalFormatting>
  <conditionalFormatting sqref="C3:C52">
    <cfRule type="duplicateValues" dxfId="12953" priority="254592"/>
  </conditionalFormatting>
  <conditionalFormatting sqref="J3:J52">
    <cfRule type="duplicateValues" dxfId="12952" priority="254593"/>
  </conditionalFormatting>
  <conditionalFormatting sqref="I3:I52">
    <cfRule type="duplicateValues" dxfId="12951" priority="254594"/>
  </conditionalFormatting>
  <conditionalFormatting sqref="I3:J52">
    <cfRule type="duplicateValues" dxfId="12950" priority="254595"/>
  </conditionalFormatting>
  <conditionalFormatting sqref="J3:J52">
    <cfRule type="duplicateValues" dxfId="12949" priority="254596"/>
    <cfRule type="duplicateValues" dxfId="12948" priority="254597"/>
  </conditionalFormatting>
  <conditionalFormatting sqref="I3:I52 C3:C52">
    <cfRule type="duplicateValues" dxfId="12947" priority="254598"/>
  </conditionalFormatting>
  <conditionalFormatting sqref="B3:B52">
    <cfRule type="duplicateValues" dxfId="12946" priority="254600"/>
    <cfRule type="duplicateValues" dxfId="12945" priority="254601"/>
  </conditionalFormatting>
  <conditionalFormatting sqref="B3:B52">
    <cfRule type="duplicateValues" dxfId="12944" priority="254602"/>
  </conditionalFormatting>
  <conditionalFormatting sqref="B3:B52">
    <cfRule type="duplicateValues" dxfId="12943" priority="254603"/>
    <cfRule type="duplicateValues" dxfId="12942" priority="254604"/>
    <cfRule type="duplicateValues" dxfId="12941" priority="254605"/>
  </conditionalFormatting>
  <conditionalFormatting sqref="B516:B724">
    <cfRule type="duplicateValues" dxfId="12940" priority="36"/>
  </conditionalFormatting>
  <conditionalFormatting sqref="J498:J684">
    <cfRule type="duplicateValues" dxfId="12939" priority="35"/>
  </conditionalFormatting>
  <conditionalFormatting sqref="B516:B724">
    <cfRule type="duplicateValues" dxfId="12938" priority="33"/>
    <cfRule type="duplicateValues" dxfId="12937" priority="34"/>
  </conditionalFormatting>
  <conditionalFormatting sqref="C498:C684">
    <cfRule type="duplicateValues" dxfId="12936" priority="32"/>
  </conditionalFormatting>
  <conditionalFormatting sqref="B516:B724">
    <cfRule type="duplicateValues" dxfId="12935" priority="29"/>
    <cfRule type="duplicateValues" dxfId="12934" priority="30"/>
    <cfRule type="duplicateValues" dxfId="12933" priority="31"/>
  </conditionalFormatting>
  <conditionalFormatting sqref="AG498:AI684 A498:A684">
    <cfRule type="duplicateValues" dxfId="12932" priority="28"/>
  </conditionalFormatting>
  <conditionalFormatting sqref="I498:I684">
    <cfRule type="duplicateValues" dxfId="12931" priority="27"/>
  </conditionalFormatting>
  <conditionalFormatting sqref="I498:J684">
    <cfRule type="duplicateValues" dxfId="12930" priority="26"/>
  </conditionalFormatting>
  <conditionalFormatting sqref="J498:J684">
    <cfRule type="duplicateValues" dxfId="12929" priority="24"/>
    <cfRule type="duplicateValues" dxfId="12928" priority="25"/>
  </conditionalFormatting>
  <conditionalFormatting sqref="I498:I684 C498:C684">
    <cfRule type="duplicateValues" dxfId="12927" priority="23"/>
  </conditionalFormatting>
  <conditionalFormatting sqref="AH498:AI684 A498:A684">
    <cfRule type="duplicateValues" dxfId="12926" priority="22"/>
  </conditionalFormatting>
  <conditionalFormatting sqref="B516:B724">
    <cfRule type="duplicateValues" dxfId="12925" priority="21"/>
  </conditionalFormatting>
  <conditionalFormatting sqref="B516:B724">
    <cfRule type="duplicateValues" dxfId="12924" priority="20"/>
  </conditionalFormatting>
  <conditionalFormatting sqref="B881:B1048576 B1:B724">
    <cfRule type="duplicateValues" dxfId="12923" priority="19"/>
  </conditionalFormatting>
  <conditionalFormatting sqref="B725:B880">
    <cfRule type="duplicateValues" dxfId="12922" priority="18"/>
  </conditionalFormatting>
  <conditionalFormatting sqref="J685:J880">
    <cfRule type="duplicateValues" dxfId="12921" priority="17"/>
  </conditionalFormatting>
  <conditionalFormatting sqref="B725:B880">
    <cfRule type="duplicateValues" dxfId="12920" priority="15"/>
    <cfRule type="duplicateValues" dxfId="12919" priority="16"/>
  </conditionalFormatting>
  <conditionalFormatting sqref="C685:C880">
    <cfRule type="duplicateValues" dxfId="12918" priority="14"/>
  </conditionalFormatting>
  <conditionalFormatting sqref="B725:B880">
    <cfRule type="duplicateValues" dxfId="12917" priority="11"/>
    <cfRule type="duplicateValues" dxfId="12916" priority="12"/>
    <cfRule type="duplicateValues" dxfId="12915" priority="13"/>
  </conditionalFormatting>
  <conditionalFormatting sqref="AG685:AI880 A685:A880">
    <cfRule type="duplicateValues" dxfId="12914" priority="10"/>
  </conditionalFormatting>
  <conditionalFormatting sqref="I685:I880">
    <cfRule type="duplicateValues" dxfId="12913" priority="9"/>
  </conditionalFormatting>
  <conditionalFormatting sqref="I685:J880">
    <cfRule type="duplicateValues" dxfId="12912" priority="8"/>
  </conditionalFormatting>
  <conditionalFormatting sqref="J685:J880">
    <cfRule type="duplicateValues" dxfId="12911" priority="6"/>
    <cfRule type="duplicateValues" dxfId="12910" priority="7"/>
  </conditionalFormatting>
  <conditionalFormatting sqref="I685:I880 C685:C880">
    <cfRule type="duplicateValues" dxfId="12909" priority="5"/>
  </conditionalFormatting>
  <conditionalFormatting sqref="AH685:AI880 A685:A880">
    <cfRule type="duplicateValues" dxfId="12908" priority="4"/>
  </conditionalFormatting>
  <conditionalFormatting sqref="B725:B880">
    <cfRule type="duplicateValues" dxfId="12907" priority="3"/>
  </conditionalFormatting>
  <conditionalFormatting sqref="B725:B880">
    <cfRule type="duplicateValues" dxfId="12906" priority="2"/>
  </conditionalFormatting>
  <conditionalFormatting sqref="B725:B880">
    <cfRule type="duplicateValues" dxfId="12905" priority="1"/>
  </conditionalFormatting>
  <pageMargins left="0.16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25"/>
  <sheetViews>
    <sheetView topLeftCell="A37" workbookViewId="0">
      <selection activeCell="K54" sqref="K54"/>
    </sheetView>
  </sheetViews>
  <sheetFormatPr defaultRowHeight="14.4"/>
  <cols>
    <col min="4" max="4" width="17.6640625" customWidth="1"/>
    <col min="5" max="5" width="14.21875" customWidth="1"/>
    <col min="7" max="7" width="10.109375" customWidth="1"/>
    <col min="9" max="9" width="12.88671875" customWidth="1"/>
    <col min="10" max="10" width="11.109375" customWidth="1"/>
    <col min="13" max="13" width="14.33203125" customWidth="1"/>
  </cols>
  <sheetData>
    <row r="5" spans="4:13" ht="15.6">
      <c r="I5" s="380" t="s">
        <v>32</v>
      </c>
      <c r="J5" s="380"/>
    </row>
    <row r="6" spans="4:13">
      <c r="D6" s="135" t="s">
        <v>3497</v>
      </c>
      <c r="E6" s="46">
        <v>11122087</v>
      </c>
      <c r="F6" s="20" t="s">
        <v>196</v>
      </c>
      <c r="G6" s="20" t="s">
        <v>197</v>
      </c>
      <c r="H6" s="24">
        <v>799</v>
      </c>
      <c r="I6" s="44">
        <v>46268</v>
      </c>
      <c r="J6" s="44"/>
    </row>
    <row r="7" spans="4:13">
      <c r="D7" s="135" t="s">
        <v>3501</v>
      </c>
      <c r="E7" s="46">
        <v>11122088</v>
      </c>
      <c r="F7" s="20" t="s">
        <v>194</v>
      </c>
      <c r="G7" s="20" t="s">
        <v>195</v>
      </c>
      <c r="H7" s="24">
        <v>160</v>
      </c>
      <c r="I7" s="44">
        <v>46268</v>
      </c>
      <c r="J7" s="44"/>
    </row>
    <row r="8" spans="4:13">
      <c r="D8" s="260" t="s">
        <v>3501</v>
      </c>
      <c r="E8" s="278">
        <v>11122088</v>
      </c>
      <c r="F8" s="278" t="s">
        <v>194</v>
      </c>
      <c r="G8" s="278" t="s">
        <v>195</v>
      </c>
      <c r="H8" s="379">
        <v>108</v>
      </c>
      <c r="I8" s="381">
        <v>46268</v>
      </c>
      <c r="J8" s="381"/>
    </row>
    <row r="9" spans="4:13">
      <c r="D9" s="260" t="s">
        <v>3999</v>
      </c>
      <c r="E9" s="278">
        <v>11122087</v>
      </c>
      <c r="F9" s="278" t="s">
        <v>196</v>
      </c>
      <c r="G9" s="278" t="s">
        <v>197</v>
      </c>
      <c r="H9" s="379">
        <v>40</v>
      </c>
      <c r="I9" s="381">
        <v>46282</v>
      </c>
      <c r="J9" s="381"/>
    </row>
    <row r="10" spans="4:13">
      <c r="D10" s="260" t="s">
        <v>4000</v>
      </c>
      <c r="E10" s="278">
        <v>11122088</v>
      </c>
      <c r="F10" s="278" t="s">
        <v>194</v>
      </c>
      <c r="G10" s="278" t="s">
        <v>195</v>
      </c>
      <c r="H10" s="379">
        <v>15</v>
      </c>
      <c r="I10" s="381">
        <v>46282</v>
      </c>
      <c r="J10" s="381"/>
    </row>
    <row r="16" spans="4:13">
      <c r="M16" t="s">
        <v>5357</v>
      </c>
    </row>
    <row r="17" spans="4:13">
      <c r="D17" s="135" t="s">
        <v>3234</v>
      </c>
      <c r="E17" s="46">
        <v>11131256</v>
      </c>
      <c r="F17" s="20" t="s">
        <v>470</v>
      </c>
      <c r="G17" s="20" t="s">
        <v>471</v>
      </c>
      <c r="H17" s="24">
        <v>1202</v>
      </c>
      <c r="I17" s="21">
        <v>46259</v>
      </c>
      <c r="J17" s="53" t="s">
        <v>3235</v>
      </c>
      <c r="K17" s="24" t="s">
        <v>3236</v>
      </c>
      <c r="L17" s="24">
        <v>1202</v>
      </c>
      <c r="M17">
        <v>0</v>
      </c>
    </row>
    <row r="18" spans="4:13">
      <c r="D18" s="135" t="s">
        <v>3244</v>
      </c>
      <c r="E18" s="46">
        <v>11131258</v>
      </c>
      <c r="F18" s="20" t="s">
        <v>504</v>
      </c>
      <c r="G18" s="20" t="s">
        <v>505</v>
      </c>
      <c r="H18" s="24">
        <v>1100</v>
      </c>
      <c r="I18" s="21">
        <v>46259</v>
      </c>
      <c r="J18" s="53" t="s">
        <v>3245</v>
      </c>
      <c r="K18" s="24" t="s">
        <v>3246</v>
      </c>
      <c r="L18" s="24">
        <v>1100</v>
      </c>
      <c r="M18">
        <v>0</v>
      </c>
    </row>
    <row r="19" spans="4:13">
      <c r="D19" s="386" t="s">
        <v>5352</v>
      </c>
      <c r="E19" s="340">
        <v>11127226</v>
      </c>
      <c r="F19" s="341" t="s">
        <v>5353</v>
      </c>
      <c r="G19" s="387" t="s">
        <v>5354</v>
      </c>
      <c r="H19" s="388">
        <v>20</v>
      </c>
      <c r="I19" s="389">
        <v>46260</v>
      </c>
      <c r="J19" s="390" t="s">
        <v>5355</v>
      </c>
      <c r="K19" s="341" t="s">
        <v>5356</v>
      </c>
      <c r="L19" s="341">
        <v>22</v>
      </c>
      <c r="M19">
        <v>2</v>
      </c>
    </row>
    <row r="20" spans="4:13">
      <c r="D20" s="386"/>
      <c r="E20" s="340"/>
      <c r="F20" s="341"/>
      <c r="G20" s="387"/>
      <c r="H20" s="388"/>
      <c r="I20" s="389"/>
      <c r="J20" s="390"/>
      <c r="K20" s="341"/>
      <c r="L20" s="341"/>
    </row>
    <row r="24" spans="4:13">
      <c r="D24" s="260" t="s">
        <v>5361</v>
      </c>
      <c r="E24" s="278" t="s">
        <v>5362</v>
      </c>
      <c r="F24" s="278">
        <v>11126311</v>
      </c>
      <c r="G24" s="278" t="s">
        <v>2664</v>
      </c>
      <c r="H24" s="278" t="s">
        <v>745</v>
      </c>
      <c r="I24" s="278" t="s">
        <v>469</v>
      </c>
      <c r="J24" s="278">
        <v>5</v>
      </c>
    </row>
    <row r="25" spans="4:13">
      <c r="D25" s="260" t="s">
        <v>5361</v>
      </c>
      <c r="F25">
        <v>11124123</v>
      </c>
      <c r="G25" s="278" t="s">
        <v>5363</v>
      </c>
      <c r="H25" s="278" t="s">
        <v>745</v>
      </c>
      <c r="I25" s="278" t="s">
        <v>469</v>
      </c>
      <c r="J25" s="278">
        <v>1</v>
      </c>
    </row>
  </sheetData>
  <conditionalFormatting sqref="D8">
    <cfRule type="duplicateValues" dxfId="12904" priority="39"/>
  </conditionalFormatting>
  <conditionalFormatting sqref="D8">
    <cfRule type="duplicateValues" dxfId="12903" priority="40"/>
  </conditionalFormatting>
  <conditionalFormatting sqref="D9:D10">
    <cfRule type="duplicateValues" dxfId="12902" priority="38"/>
  </conditionalFormatting>
  <conditionalFormatting sqref="D6:D7">
    <cfRule type="duplicateValues" dxfId="12901" priority="37"/>
  </conditionalFormatting>
  <conditionalFormatting sqref="D6:D7">
    <cfRule type="duplicateValues" dxfId="12900" priority="36"/>
  </conditionalFormatting>
  <conditionalFormatting sqref="K17:K19">
    <cfRule type="duplicateValues" dxfId="12899" priority="35"/>
  </conditionalFormatting>
  <conditionalFormatting sqref="D17:D19">
    <cfRule type="duplicateValues" dxfId="12898" priority="34"/>
  </conditionalFormatting>
  <conditionalFormatting sqref="J17:J19">
    <cfRule type="duplicateValues" dxfId="12897" priority="33"/>
  </conditionalFormatting>
  <conditionalFormatting sqref="J17:K19">
    <cfRule type="duplicateValues" dxfId="12896" priority="32"/>
  </conditionalFormatting>
  <conditionalFormatting sqref="K17:K19">
    <cfRule type="duplicateValues" dxfId="12895" priority="30"/>
    <cfRule type="duplicateValues" dxfId="12894" priority="31"/>
  </conditionalFormatting>
  <conditionalFormatting sqref="J17:J19 D17:D19">
    <cfRule type="duplicateValues" dxfId="12893" priority="29"/>
  </conditionalFormatting>
  <conditionalFormatting sqref="K20">
    <cfRule type="duplicateValues" dxfId="12892" priority="28"/>
  </conditionalFormatting>
  <conditionalFormatting sqref="J20:K20">
    <cfRule type="duplicateValues" dxfId="12891" priority="27"/>
  </conditionalFormatting>
  <conditionalFormatting sqref="D20">
    <cfRule type="duplicateValues" dxfId="12890" priority="26"/>
  </conditionalFormatting>
  <conditionalFormatting sqref="K20">
    <cfRule type="duplicateValues" dxfId="12889" priority="24"/>
    <cfRule type="duplicateValues" dxfId="12888" priority="25"/>
  </conditionalFormatting>
  <conditionalFormatting sqref="D20 J20">
    <cfRule type="duplicateValues" dxfId="12887" priority="22"/>
    <cfRule type="duplicateValues" dxfId="12886" priority="23"/>
  </conditionalFormatting>
  <conditionalFormatting sqref="J20">
    <cfRule type="duplicateValues" dxfId="12885" priority="21"/>
  </conditionalFormatting>
  <conditionalFormatting sqref="J20">
    <cfRule type="duplicateValues" dxfId="12884" priority="19"/>
    <cfRule type="duplicateValues" dxfId="12883" priority="20"/>
  </conditionalFormatting>
  <conditionalFormatting sqref="K20">
    <cfRule type="duplicateValues" dxfId="12882" priority="18"/>
  </conditionalFormatting>
  <conditionalFormatting sqref="K20">
    <cfRule type="duplicateValues" dxfId="12881" priority="17"/>
  </conditionalFormatting>
  <conditionalFormatting sqref="K20">
    <cfRule type="duplicateValues" dxfId="12880" priority="16"/>
  </conditionalFormatting>
  <conditionalFormatting sqref="K19">
    <cfRule type="duplicateValues" dxfId="12879" priority="15"/>
  </conditionalFormatting>
  <conditionalFormatting sqref="J19:K19">
    <cfRule type="duplicateValues" dxfId="12878" priority="14"/>
  </conditionalFormatting>
  <conditionalFormatting sqref="D19">
    <cfRule type="duplicateValues" dxfId="12877" priority="13"/>
  </conditionalFormatting>
  <conditionalFormatting sqref="K19">
    <cfRule type="duplicateValues" dxfId="12876" priority="11"/>
    <cfRule type="duplicateValues" dxfId="12875" priority="12"/>
  </conditionalFormatting>
  <conditionalFormatting sqref="D19 J19">
    <cfRule type="duplicateValues" dxfId="12874" priority="9"/>
    <cfRule type="duplicateValues" dxfId="12873" priority="10"/>
  </conditionalFormatting>
  <conditionalFormatting sqref="J19">
    <cfRule type="duplicateValues" dxfId="12872" priority="8"/>
  </conditionalFormatting>
  <conditionalFormatting sqref="J19">
    <cfRule type="duplicateValues" dxfId="12871" priority="6"/>
    <cfRule type="duplicateValues" dxfId="12870" priority="7"/>
  </conditionalFormatting>
  <conditionalFormatting sqref="K19">
    <cfRule type="duplicateValues" dxfId="12869" priority="5"/>
  </conditionalFormatting>
  <conditionalFormatting sqref="K19">
    <cfRule type="duplicateValues" dxfId="12868" priority="4"/>
  </conditionalFormatting>
  <conditionalFormatting sqref="K19">
    <cfRule type="duplicateValues" dxfId="12867" priority="3"/>
  </conditionalFormatting>
  <conditionalFormatting sqref="D24">
    <cfRule type="duplicateValues" dxfId="12866" priority="2"/>
  </conditionalFormatting>
  <conditionalFormatting sqref="D25">
    <cfRule type="duplicateValues" dxfId="1286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88"/>
  <sheetViews>
    <sheetView workbookViewId="0">
      <selection activeCell="J11" sqref="J11"/>
    </sheetView>
  </sheetViews>
  <sheetFormatPr defaultRowHeight="14.4"/>
  <cols>
    <col min="3" max="3" width="9.6640625" customWidth="1"/>
    <col min="4" max="4" width="10.44140625" customWidth="1"/>
    <col min="8" max="8" width="10.77734375" customWidth="1"/>
    <col min="9" max="9" width="11.6640625" customWidth="1"/>
    <col min="10" max="10" width="12.33203125" customWidth="1"/>
    <col min="17" max="18" width="10" bestFit="1" customWidth="1"/>
  </cols>
  <sheetData>
    <row r="1" spans="1:21" ht="40.200000000000003" thickBot="1">
      <c r="A1" s="134" t="s">
        <v>117</v>
      </c>
      <c r="B1" s="45" t="s">
        <v>36</v>
      </c>
      <c r="C1" s="26" t="s">
        <v>118</v>
      </c>
      <c r="D1" s="26" t="s">
        <v>119</v>
      </c>
      <c r="E1" s="27" t="s">
        <v>120</v>
      </c>
      <c r="F1" s="28" t="s">
        <v>121</v>
      </c>
      <c r="G1" s="52" t="s">
        <v>37</v>
      </c>
      <c r="H1" s="27" t="s">
        <v>122</v>
      </c>
      <c r="I1" s="27" t="s">
        <v>123</v>
      </c>
      <c r="J1" s="48" t="s">
        <v>124</v>
      </c>
      <c r="K1" s="29" t="s">
        <v>125</v>
      </c>
      <c r="L1" s="42" t="s">
        <v>2</v>
      </c>
      <c r="M1" s="32" t="s">
        <v>3</v>
      </c>
      <c r="N1" s="32" t="s">
        <v>347</v>
      </c>
      <c r="O1" s="32" t="s">
        <v>348</v>
      </c>
      <c r="P1" s="57" t="s">
        <v>51</v>
      </c>
      <c r="Q1" s="161" t="s">
        <v>68</v>
      </c>
      <c r="R1" s="55" t="s">
        <v>49</v>
      </c>
      <c r="S1" s="264" t="s">
        <v>50</v>
      </c>
      <c r="T1" s="265" t="s">
        <v>129</v>
      </c>
      <c r="U1" s="258" t="s">
        <v>107</v>
      </c>
    </row>
    <row r="2" spans="1:21" ht="15" thickTop="1">
      <c r="A2" s="135">
        <v>2000119895</v>
      </c>
      <c r="B2" s="46">
        <v>11134343</v>
      </c>
      <c r="C2" s="20" t="s">
        <v>224</v>
      </c>
      <c r="D2" s="20" t="s">
        <v>235</v>
      </c>
      <c r="E2" s="24">
        <v>92</v>
      </c>
      <c r="F2" s="21">
        <v>46107</v>
      </c>
      <c r="G2" s="53" t="s">
        <v>236</v>
      </c>
      <c r="H2" s="24" t="s">
        <v>237</v>
      </c>
      <c r="I2" s="24">
        <v>92</v>
      </c>
      <c r="J2" s="46">
        <v>12120504</v>
      </c>
      <c r="K2" s="20" t="s">
        <v>232</v>
      </c>
      <c r="L2" s="40">
        <v>46146</v>
      </c>
      <c r="M2" s="40">
        <v>46147</v>
      </c>
      <c r="N2" s="40">
        <v>46147</v>
      </c>
      <c r="O2" s="40">
        <v>46149</v>
      </c>
      <c r="P2" s="20" t="s">
        <v>54</v>
      </c>
      <c r="Q2" s="22"/>
      <c r="R2" s="144"/>
      <c r="S2" s="20" t="s">
        <v>92</v>
      </c>
      <c r="T2" s="135"/>
      <c r="U2" s="338" t="s">
        <v>296</v>
      </c>
    </row>
    <row r="3" spans="1:21">
      <c r="A3" s="135">
        <v>2000119880</v>
      </c>
      <c r="B3" s="46">
        <v>11134343</v>
      </c>
      <c r="C3" s="20" t="s">
        <v>224</v>
      </c>
      <c r="D3" s="20" t="s">
        <v>235</v>
      </c>
      <c r="E3" s="24">
        <v>92</v>
      </c>
      <c r="F3" s="21">
        <v>46140</v>
      </c>
      <c r="G3" s="53" t="s">
        <v>239</v>
      </c>
      <c r="H3" s="24" t="s">
        <v>240</v>
      </c>
      <c r="I3" s="24">
        <v>92</v>
      </c>
      <c r="J3" s="46">
        <v>12120504</v>
      </c>
      <c r="K3" s="20" t="s">
        <v>232</v>
      </c>
      <c r="L3" s="40">
        <v>46146</v>
      </c>
      <c r="M3" s="40">
        <v>46147</v>
      </c>
      <c r="N3" s="40">
        <v>46147</v>
      </c>
      <c r="O3" s="40">
        <v>46149</v>
      </c>
      <c r="P3" s="20" t="s">
        <v>54</v>
      </c>
      <c r="Q3" s="22"/>
      <c r="R3" s="144"/>
      <c r="S3" s="20" t="s">
        <v>92</v>
      </c>
      <c r="T3" s="135"/>
      <c r="U3" s="338" t="s">
        <v>296</v>
      </c>
    </row>
    <row r="4" spans="1:21">
      <c r="A4" s="135">
        <v>2000119881</v>
      </c>
      <c r="B4" s="46">
        <v>11134343</v>
      </c>
      <c r="C4" s="20" t="s">
        <v>224</v>
      </c>
      <c r="D4" s="20" t="s">
        <v>235</v>
      </c>
      <c r="E4" s="24">
        <v>92</v>
      </c>
      <c r="F4" s="21">
        <v>46140</v>
      </c>
      <c r="G4" s="53" t="s">
        <v>242</v>
      </c>
      <c r="H4" s="24" t="s">
        <v>243</v>
      </c>
      <c r="I4" s="24">
        <v>92</v>
      </c>
      <c r="J4" s="46">
        <v>12120504</v>
      </c>
      <c r="K4" s="20" t="s">
        <v>232</v>
      </c>
      <c r="L4" s="40">
        <v>46146</v>
      </c>
      <c r="M4" s="40">
        <v>46147</v>
      </c>
      <c r="N4" s="40">
        <v>46147</v>
      </c>
      <c r="O4" s="40">
        <v>46149</v>
      </c>
      <c r="P4" s="20" t="s">
        <v>54</v>
      </c>
      <c r="Q4" s="22"/>
      <c r="R4" s="144"/>
      <c r="S4" s="20" t="s">
        <v>92</v>
      </c>
      <c r="T4" s="135"/>
      <c r="U4" s="338" t="s">
        <v>296</v>
      </c>
    </row>
    <row r="5" spans="1:21">
      <c r="A5" s="135">
        <v>2000119885</v>
      </c>
      <c r="B5" s="46">
        <v>11134345</v>
      </c>
      <c r="C5" s="20" t="s">
        <v>225</v>
      </c>
      <c r="D5" s="20" t="s">
        <v>245</v>
      </c>
      <c r="E5" s="24">
        <v>57</v>
      </c>
      <c r="F5" s="21">
        <v>46134</v>
      </c>
      <c r="G5" s="53" t="s">
        <v>246</v>
      </c>
      <c r="H5" s="24" t="s">
        <v>247</v>
      </c>
      <c r="I5" s="24">
        <v>57</v>
      </c>
      <c r="J5" s="46">
        <v>12120506</v>
      </c>
      <c r="K5" s="20" t="s">
        <v>233</v>
      </c>
      <c r="L5" s="40">
        <v>46146</v>
      </c>
      <c r="M5" s="40">
        <v>46147</v>
      </c>
      <c r="N5" s="40">
        <v>46147</v>
      </c>
      <c r="O5" s="40">
        <v>46149</v>
      </c>
      <c r="P5" s="20" t="s">
        <v>54</v>
      </c>
      <c r="Q5" s="22"/>
      <c r="R5" s="144"/>
      <c r="S5" s="20" t="s">
        <v>92</v>
      </c>
      <c r="T5" s="135"/>
      <c r="U5" s="338" t="s">
        <v>296</v>
      </c>
    </row>
    <row r="6" spans="1:21">
      <c r="A6" s="135">
        <v>2000119886</v>
      </c>
      <c r="B6" s="46">
        <v>11134345</v>
      </c>
      <c r="C6" s="20" t="s">
        <v>225</v>
      </c>
      <c r="D6" s="20" t="s">
        <v>245</v>
      </c>
      <c r="E6" s="24">
        <v>57</v>
      </c>
      <c r="F6" s="21">
        <v>46134</v>
      </c>
      <c r="G6" s="53" t="s">
        <v>249</v>
      </c>
      <c r="H6" s="24" t="s">
        <v>250</v>
      </c>
      <c r="I6" s="24">
        <v>57</v>
      </c>
      <c r="J6" s="46">
        <v>12120506</v>
      </c>
      <c r="K6" s="20" t="s">
        <v>233</v>
      </c>
      <c r="L6" s="40">
        <v>46146</v>
      </c>
      <c r="M6" s="40">
        <v>46147</v>
      </c>
      <c r="N6" s="40">
        <v>46147</v>
      </c>
      <c r="O6" s="40">
        <v>46149</v>
      </c>
      <c r="P6" s="20" t="s">
        <v>54</v>
      </c>
      <c r="Q6" s="22"/>
      <c r="R6" s="144"/>
      <c r="S6" s="20" t="s">
        <v>92</v>
      </c>
      <c r="T6" s="135"/>
      <c r="U6" s="338" t="s">
        <v>296</v>
      </c>
    </row>
    <row r="7" spans="1:21">
      <c r="A7" s="135">
        <v>2000119887</v>
      </c>
      <c r="B7" s="46">
        <v>11134345</v>
      </c>
      <c r="C7" s="20" t="s">
        <v>225</v>
      </c>
      <c r="D7" s="20" t="s">
        <v>245</v>
      </c>
      <c r="E7" s="24">
        <v>57</v>
      </c>
      <c r="F7" s="21">
        <v>46134</v>
      </c>
      <c r="G7" s="53" t="s">
        <v>252</v>
      </c>
      <c r="H7" s="24" t="s">
        <v>253</v>
      </c>
      <c r="I7" s="24">
        <v>57</v>
      </c>
      <c r="J7" s="46">
        <v>12120506</v>
      </c>
      <c r="K7" s="20" t="s">
        <v>233</v>
      </c>
      <c r="L7" s="40">
        <v>46146</v>
      </c>
      <c r="M7" s="40">
        <v>46147</v>
      </c>
      <c r="N7" s="40">
        <v>46147</v>
      </c>
      <c r="O7" s="40">
        <v>46149</v>
      </c>
      <c r="P7" s="20" t="s">
        <v>54</v>
      </c>
      <c r="Q7" s="22"/>
      <c r="R7" s="144"/>
      <c r="S7" s="20" t="s">
        <v>92</v>
      </c>
      <c r="T7" s="135"/>
      <c r="U7" s="338" t="s">
        <v>296</v>
      </c>
    </row>
    <row r="8" spans="1:21">
      <c r="A8" s="135">
        <v>2000119888</v>
      </c>
      <c r="B8" s="46">
        <v>11134345</v>
      </c>
      <c r="C8" s="20" t="s">
        <v>225</v>
      </c>
      <c r="D8" s="20" t="s">
        <v>245</v>
      </c>
      <c r="E8" s="24">
        <v>56</v>
      </c>
      <c r="F8" s="21">
        <v>46156</v>
      </c>
      <c r="G8" s="53" t="s">
        <v>255</v>
      </c>
      <c r="H8" s="24" t="s">
        <v>256</v>
      </c>
      <c r="I8" s="24">
        <v>56</v>
      </c>
      <c r="J8" s="46">
        <v>12120506</v>
      </c>
      <c r="K8" s="20" t="s">
        <v>233</v>
      </c>
      <c r="L8" s="40">
        <v>46160</v>
      </c>
      <c r="M8" s="40">
        <v>46161</v>
      </c>
      <c r="N8" s="40">
        <v>46161</v>
      </c>
      <c r="O8" s="40">
        <v>46164</v>
      </c>
      <c r="P8" s="20" t="s">
        <v>54</v>
      </c>
      <c r="Q8" s="22"/>
      <c r="R8" s="144"/>
      <c r="S8" s="20" t="s">
        <v>92</v>
      </c>
      <c r="T8" s="135"/>
      <c r="U8" s="338" t="s">
        <v>295</v>
      </c>
    </row>
    <row r="9" spans="1:21">
      <c r="A9" s="135">
        <v>2000119889</v>
      </c>
      <c r="B9" s="46">
        <v>11134345</v>
      </c>
      <c r="C9" s="20" t="s">
        <v>225</v>
      </c>
      <c r="D9" s="20" t="s">
        <v>245</v>
      </c>
      <c r="E9" s="24">
        <v>56</v>
      </c>
      <c r="F9" s="21">
        <v>46156</v>
      </c>
      <c r="G9" s="53" t="s">
        <v>258</v>
      </c>
      <c r="H9" s="24" t="s">
        <v>259</v>
      </c>
      <c r="I9" s="24">
        <v>56</v>
      </c>
      <c r="J9" s="46">
        <v>12120506</v>
      </c>
      <c r="K9" s="20" t="s">
        <v>233</v>
      </c>
      <c r="L9" s="40">
        <v>46160</v>
      </c>
      <c r="M9" s="40">
        <v>46161</v>
      </c>
      <c r="N9" s="40">
        <v>46161</v>
      </c>
      <c r="O9" s="40">
        <v>46164</v>
      </c>
      <c r="P9" s="20" t="s">
        <v>54</v>
      </c>
      <c r="Q9" s="22"/>
      <c r="R9" s="144"/>
      <c r="S9" s="20" t="s">
        <v>92</v>
      </c>
      <c r="T9" s="135"/>
      <c r="U9" s="338" t="s">
        <v>295</v>
      </c>
    </row>
    <row r="10" spans="1:21">
      <c r="A10" s="135">
        <v>2000119890</v>
      </c>
      <c r="B10" s="46">
        <v>11134345</v>
      </c>
      <c r="C10" s="20" t="s">
        <v>225</v>
      </c>
      <c r="D10" s="20" t="s">
        <v>245</v>
      </c>
      <c r="E10" s="24">
        <v>56</v>
      </c>
      <c r="F10" s="21">
        <v>46156</v>
      </c>
      <c r="G10" s="53" t="s">
        <v>261</v>
      </c>
      <c r="H10" s="24" t="s">
        <v>262</v>
      </c>
      <c r="I10" s="24">
        <v>56</v>
      </c>
      <c r="J10" s="46">
        <v>12120506</v>
      </c>
      <c r="K10" s="20" t="s">
        <v>233</v>
      </c>
      <c r="L10" s="40">
        <v>46160</v>
      </c>
      <c r="M10" s="40">
        <v>46161</v>
      </c>
      <c r="N10" s="40">
        <v>46161</v>
      </c>
      <c r="O10" s="40">
        <v>46164</v>
      </c>
      <c r="P10" s="20" t="s">
        <v>54</v>
      </c>
      <c r="Q10" s="22"/>
      <c r="R10" s="144"/>
      <c r="S10" s="20" t="s">
        <v>92</v>
      </c>
      <c r="T10" s="135"/>
      <c r="U10" s="338" t="s">
        <v>295</v>
      </c>
    </row>
    <row r="11" spans="1:21">
      <c r="A11" s="135">
        <v>2000120213</v>
      </c>
      <c r="B11" s="46">
        <v>11125153</v>
      </c>
      <c r="C11" s="20" t="s">
        <v>219</v>
      </c>
      <c r="D11" s="20" t="s">
        <v>266</v>
      </c>
      <c r="E11" s="24">
        <v>250</v>
      </c>
      <c r="F11" s="21" t="s">
        <v>268</v>
      </c>
      <c r="G11" s="53" t="s">
        <v>269</v>
      </c>
      <c r="H11" s="24" t="s">
        <v>270</v>
      </c>
      <c r="I11" s="24">
        <v>250</v>
      </c>
      <c r="J11" s="46">
        <v>12120612</v>
      </c>
      <c r="K11" s="20" t="s">
        <v>227</v>
      </c>
      <c r="L11" s="40">
        <v>46128</v>
      </c>
      <c r="M11" s="40">
        <v>46147</v>
      </c>
      <c r="N11" s="40">
        <v>46147</v>
      </c>
      <c r="O11" s="40">
        <v>46149</v>
      </c>
      <c r="P11" s="20" t="s">
        <v>54</v>
      </c>
      <c r="Q11" s="22"/>
      <c r="R11" s="144"/>
      <c r="S11" s="20" t="s">
        <v>92</v>
      </c>
      <c r="T11" s="135"/>
      <c r="U11" s="338" t="s">
        <v>296</v>
      </c>
    </row>
    <row r="12" spans="1:21">
      <c r="A12" s="135">
        <v>2000120120</v>
      </c>
      <c r="B12" s="46">
        <v>11125140</v>
      </c>
      <c r="C12" s="20" t="s">
        <v>220</v>
      </c>
      <c r="D12" s="20" t="s">
        <v>271</v>
      </c>
      <c r="E12" s="24">
        <v>129</v>
      </c>
      <c r="F12" s="21" t="s">
        <v>274</v>
      </c>
      <c r="G12" s="53" t="s">
        <v>275</v>
      </c>
      <c r="H12" s="24" t="s">
        <v>276</v>
      </c>
      <c r="I12" s="24">
        <v>129</v>
      </c>
      <c r="J12" s="46">
        <v>12120562</v>
      </c>
      <c r="K12" s="20" t="s">
        <v>228</v>
      </c>
      <c r="L12" s="40">
        <v>46160</v>
      </c>
      <c r="M12" s="40">
        <v>46161</v>
      </c>
      <c r="N12" s="40">
        <v>46161</v>
      </c>
      <c r="O12" s="40">
        <v>46164</v>
      </c>
      <c r="P12" s="20" t="s">
        <v>54</v>
      </c>
      <c r="Q12" s="22"/>
      <c r="R12" s="144"/>
      <c r="S12" s="20" t="s">
        <v>92</v>
      </c>
      <c r="T12" s="135"/>
      <c r="U12" s="338" t="s">
        <v>295</v>
      </c>
    </row>
    <row r="13" spans="1:21">
      <c r="A13" s="135">
        <v>2000120122</v>
      </c>
      <c r="B13" s="46">
        <v>11125140</v>
      </c>
      <c r="C13" s="20" t="s">
        <v>220</v>
      </c>
      <c r="D13" s="20" t="s">
        <v>271</v>
      </c>
      <c r="E13" s="24">
        <v>129</v>
      </c>
      <c r="F13" s="21" t="s">
        <v>274</v>
      </c>
      <c r="G13" s="53" t="s">
        <v>278</v>
      </c>
      <c r="H13" s="24" t="s">
        <v>279</v>
      </c>
      <c r="I13" s="24">
        <v>129</v>
      </c>
      <c r="J13" s="46">
        <v>12120562</v>
      </c>
      <c r="K13" s="20" t="s">
        <v>228</v>
      </c>
      <c r="L13" s="40">
        <v>46160</v>
      </c>
      <c r="M13" s="40">
        <v>46161</v>
      </c>
      <c r="N13" s="40">
        <v>46161</v>
      </c>
      <c r="O13" s="40">
        <v>46164</v>
      </c>
      <c r="P13" s="20" t="s">
        <v>54</v>
      </c>
      <c r="Q13" s="22"/>
      <c r="R13" s="144"/>
      <c r="S13" s="20" t="s">
        <v>92</v>
      </c>
      <c r="T13" s="135"/>
      <c r="U13" s="338" t="s">
        <v>295</v>
      </c>
    </row>
    <row r="14" spans="1:21">
      <c r="A14" s="135">
        <v>2000120124</v>
      </c>
      <c r="B14" s="46">
        <v>11125140</v>
      </c>
      <c r="C14" s="20" t="s">
        <v>220</v>
      </c>
      <c r="D14" s="20" t="s">
        <v>271</v>
      </c>
      <c r="E14" s="24">
        <v>129</v>
      </c>
      <c r="F14" s="21" t="s">
        <v>274</v>
      </c>
      <c r="G14" s="53" t="s">
        <v>281</v>
      </c>
      <c r="H14" s="24" t="s">
        <v>282</v>
      </c>
      <c r="I14" s="24">
        <v>129</v>
      </c>
      <c r="J14" s="46">
        <v>12120562</v>
      </c>
      <c r="K14" s="20" t="s">
        <v>228</v>
      </c>
      <c r="L14" s="40">
        <v>46160</v>
      </c>
      <c r="M14" s="40">
        <v>46161</v>
      </c>
      <c r="N14" s="40">
        <v>46161</v>
      </c>
      <c r="O14" s="40">
        <v>46164</v>
      </c>
      <c r="P14" s="20" t="s">
        <v>54</v>
      </c>
      <c r="Q14" s="22"/>
      <c r="R14" s="144"/>
      <c r="S14" s="20" t="s">
        <v>92</v>
      </c>
      <c r="T14" s="135"/>
      <c r="U14" s="338" t="s">
        <v>295</v>
      </c>
    </row>
    <row r="15" spans="1:21">
      <c r="A15" s="135">
        <v>2000120132</v>
      </c>
      <c r="B15" s="46">
        <v>11125142</v>
      </c>
      <c r="C15" s="20" t="s">
        <v>218</v>
      </c>
      <c r="D15" s="20" t="s">
        <v>284</v>
      </c>
      <c r="E15" s="24">
        <v>66</v>
      </c>
      <c r="F15" s="21" t="s">
        <v>274</v>
      </c>
      <c r="G15" s="53" t="s">
        <v>287</v>
      </c>
      <c r="H15" s="24" t="s">
        <v>288</v>
      </c>
      <c r="I15" s="24">
        <v>66</v>
      </c>
      <c r="J15" s="46">
        <v>12120564</v>
      </c>
      <c r="K15" s="20" t="s">
        <v>226</v>
      </c>
      <c r="L15" s="40">
        <v>46160</v>
      </c>
      <c r="M15" s="40">
        <v>46161</v>
      </c>
      <c r="N15" s="40">
        <v>46161</v>
      </c>
      <c r="O15" s="40">
        <v>46164</v>
      </c>
      <c r="P15" s="20" t="s">
        <v>54</v>
      </c>
      <c r="Q15" s="22"/>
      <c r="R15" s="144"/>
      <c r="S15" s="20" t="s">
        <v>92</v>
      </c>
      <c r="T15" s="135"/>
      <c r="U15" s="338" t="s">
        <v>295</v>
      </c>
    </row>
    <row r="16" spans="1:21">
      <c r="A16" s="135">
        <v>2000120133</v>
      </c>
      <c r="B16" s="46">
        <v>11125142</v>
      </c>
      <c r="C16" s="20" t="s">
        <v>218</v>
      </c>
      <c r="D16" s="20" t="s">
        <v>284</v>
      </c>
      <c r="E16" s="24">
        <v>66</v>
      </c>
      <c r="F16" s="21" t="s">
        <v>274</v>
      </c>
      <c r="G16" s="53" t="s">
        <v>290</v>
      </c>
      <c r="H16" s="24" t="s">
        <v>291</v>
      </c>
      <c r="I16" s="24">
        <v>66</v>
      </c>
      <c r="J16" s="46">
        <v>12120564</v>
      </c>
      <c r="K16" s="20" t="s">
        <v>226</v>
      </c>
      <c r="L16" s="40">
        <v>46160</v>
      </c>
      <c r="M16" s="40">
        <v>46161</v>
      </c>
      <c r="N16" s="40">
        <v>46161</v>
      </c>
      <c r="O16" s="40">
        <v>46164</v>
      </c>
      <c r="P16" s="20" t="s">
        <v>54</v>
      </c>
      <c r="Q16" s="22"/>
      <c r="R16" s="144"/>
      <c r="S16" s="20" t="s">
        <v>92</v>
      </c>
      <c r="T16" s="135"/>
      <c r="U16" s="338" t="s">
        <v>295</v>
      </c>
    </row>
    <row r="17" spans="1:21">
      <c r="A17" s="135">
        <v>2000120134</v>
      </c>
      <c r="B17" s="46">
        <v>11125142</v>
      </c>
      <c r="C17" s="20" t="s">
        <v>218</v>
      </c>
      <c r="D17" s="20" t="s">
        <v>284</v>
      </c>
      <c r="E17" s="24">
        <v>66</v>
      </c>
      <c r="F17" s="21" t="s">
        <v>274</v>
      </c>
      <c r="G17" s="53" t="s">
        <v>293</v>
      </c>
      <c r="H17" s="24" t="s">
        <v>294</v>
      </c>
      <c r="I17" s="24">
        <v>66</v>
      </c>
      <c r="J17" s="46">
        <v>12120564</v>
      </c>
      <c r="K17" s="20" t="s">
        <v>226</v>
      </c>
      <c r="L17" s="40">
        <v>46160</v>
      </c>
      <c r="M17" s="40">
        <v>46161</v>
      </c>
      <c r="N17" s="40">
        <v>46161</v>
      </c>
      <c r="O17" s="40">
        <v>46164</v>
      </c>
      <c r="P17" s="20" t="s">
        <v>54</v>
      </c>
      <c r="Q17" s="22"/>
      <c r="R17" s="144"/>
      <c r="S17" s="20" t="s">
        <v>92</v>
      </c>
      <c r="T17" s="135"/>
      <c r="U17" s="338" t="s">
        <v>295</v>
      </c>
    </row>
    <row r="18" spans="1:21">
      <c r="A18" s="135">
        <v>2000120138</v>
      </c>
      <c r="B18" s="46">
        <v>11132001</v>
      </c>
      <c r="C18" s="20" t="s">
        <v>222</v>
      </c>
      <c r="D18" s="20" t="s">
        <v>298</v>
      </c>
      <c r="E18" s="24">
        <v>129</v>
      </c>
      <c r="F18" s="21" t="s">
        <v>272</v>
      </c>
      <c r="G18" s="53" t="s">
        <v>299</v>
      </c>
      <c r="H18" s="24" t="s">
        <v>300</v>
      </c>
      <c r="I18" s="24">
        <v>129</v>
      </c>
      <c r="J18" s="46">
        <v>12120522</v>
      </c>
      <c r="K18" s="20" t="s">
        <v>230</v>
      </c>
      <c r="L18" s="40">
        <v>46149</v>
      </c>
      <c r="M18" s="40">
        <v>46150</v>
      </c>
      <c r="N18" s="40">
        <v>46150</v>
      </c>
      <c r="O18" s="40">
        <v>46153</v>
      </c>
      <c r="P18" s="20" t="s">
        <v>54</v>
      </c>
      <c r="Q18" s="22"/>
      <c r="R18" s="144"/>
      <c r="S18" s="20" t="s">
        <v>92</v>
      </c>
      <c r="T18" s="135"/>
      <c r="U18" s="338" t="s">
        <v>346</v>
      </c>
    </row>
    <row r="19" spans="1:21">
      <c r="A19" s="135">
        <v>2000120139</v>
      </c>
      <c r="B19" s="46">
        <v>11132001</v>
      </c>
      <c r="C19" s="20" t="s">
        <v>222</v>
      </c>
      <c r="D19" s="20" t="s">
        <v>298</v>
      </c>
      <c r="E19" s="24">
        <v>129</v>
      </c>
      <c r="F19" s="21" t="s">
        <v>272</v>
      </c>
      <c r="G19" s="53" t="s">
        <v>301</v>
      </c>
      <c r="H19" s="24" t="s">
        <v>302</v>
      </c>
      <c r="I19" s="24">
        <v>129</v>
      </c>
      <c r="J19" s="46">
        <v>12120522</v>
      </c>
      <c r="K19" s="20" t="s">
        <v>230</v>
      </c>
      <c r="L19" s="40">
        <v>46149</v>
      </c>
      <c r="M19" s="40">
        <v>46150</v>
      </c>
      <c r="N19" s="40">
        <v>46150</v>
      </c>
      <c r="O19" s="40">
        <v>46153</v>
      </c>
      <c r="P19" s="20" t="s">
        <v>54</v>
      </c>
      <c r="Q19" s="22"/>
      <c r="R19" s="144"/>
      <c r="S19" s="20" t="s">
        <v>92</v>
      </c>
      <c r="T19" s="135"/>
      <c r="U19" s="338" t="s">
        <v>346</v>
      </c>
    </row>
    <row r="20" spans="1:21">
      <c r="A20" s="135">
        <v>2000120140</v>
      </c>
      <c r="B20" s="46">
        <v>11132001</v>
      </c>
      <c r="C20" s="20" t="s">
        <v>222</v>
      </c>
      <c r="D20" s="20" t="s">
        <v>298</v>
      </c>
      <c r="E20" s="24">
        <v>129</v>
      </c>
      <c r="F20" s="21" t="s">
        <v>272</v>
      </c>
      <c r="G20" s="53" t="s">
        <v>303</v>
      </c>
      <c r="H20" s="24" t="s">
        <v>304</v>
      </c>
      <c r="I20" s="24">
        <v>129</v>
      </c>
      <c r="J20" s="46">
        <v>12120522</v>
      </c>
      <c r="K20" s="20" t="s">
        <v>230</v>
      </c>
      <c r="L20" s="40">
        <v>46149</v>
      </c>
      <c r="M20" s="40">
        <v>46150</v>
      </c>
      <c r="N20" s="40">
        <v>46150</v>
      </c>
      <c r="O20" s="40">
        <v>46153</v>
      </c>
      <c r="P20" s="20" t="s">
        <v>54</v>
      </c>
      <c r="Q20" s="22"/>
      <c r="R20" s="144"/>
      <c r="S20" s="20" t="s">
        <v>92</v>
      </c>
      <c r="T20" s="135"/>
      <c r="U20" s="338" t="s">
        <v>346</v>
      </c>
    </row>
    <row r="21" spans="1:21">
      <c r="A21" s="135">
        <v>2000120141</v>
      </c>
      <c r="B21" s="46">
        <v>11132001</v>
      </c>
      <c r="C21" s="20" t="s">
        <v>222</v>
      </c>
      <c r="D21" s="20" t="s">
        <v>298</v>
      </c>
      <c r="E21" s="24">
        <v>129</v>
      </c>
      <c r="F21" s="21" t="s">
        <v>274</v>
      </c>
      <c r="G21" s="53" t="s">
        <v>305</v>
      </c>
      <c r="H21" s="24" t="s">
        <v>306</v>
      </c>
      <c r="I21" s="24">
        <v>129</v>
      </c>
      <c r="J21" s="46">
        <v>12120522</v>
      </c>
      <c r="K21" s="20" t="s">
        <v>230</v>
      </c>
      <c r="L21" s="40">
        <v>46160</v>
      </c>
      <c r="M21" s="40">
        <v>46161</v>
      </c>
      <c r="N21" s="40">
        <v>46161</v>
      </c>
      <c r="O21" s="40">
        <v>46164</v>
      </c>
      <c r="P21" s="20" t="s">
        <v>54</v>
      </c>
      <c r="Q21" s="22"/>
      <c r="R21" s="144"/>
      <c r="S21" s="20" t="s">
        <v>92</v>
      </c>
      <c r="T21" s="135"/>
      <c r="U21" s="338" t="s">
        <v>295</v>
      </c>
    </row>
    <row r="22" spans="1:21">
      <c r="A22" s="135">
        <v>2000120142</v>
      </c>
      <c r="B22" s="46">
        <v>11132001</v>
      </c>
      <c r="C22" s="20" t="s">
        <v>222</v>
      </c>
      <c r="D22" s="20" t="s">
        <v>298</v>
      </c>
      <c r="E22" s="24">
        <v>129</v>
      </c>
      <c r="F22" s="21" t="s">
        <v>274</v>
      </c>
      <c r="G22" s="53" t="s">
        <v>307</v>
      </c>
      <c r="H22" s="24" t="s">
        <v>308</v>
      </c>
      <c r="I22" s="24">
        <v>129</v>
      </c>
      <c r="J22" s="46">
        <v>12120522</v>
      </c>
      <c r="K22" s="20" t="s">
        <v>230</v>
      </c>
      <c r="L22" s="40">
        <v>46160</v>
      </c>
      <c r="M22" s="40">
        <v>46161</v>
      </c>
      <c r="N22" s="40">
        <v>46161</v>
      </c>
      <c r="O22" s="40">
        <v>46164</v>
      </c>
      <c r="P22" s="20" t="s">
        <v>54</v>
      </c>
      <c r="Q22" s="22"/>
      <c r="R22" s="144"/>
      <c r="S22" s="20" t="s">
        <v>92</v>
      </c>
      <c r="T22" s="135"/>
      <c r="U22" s="338" t="s">
        <v>295</v>
      </c>
    </row>
    <row r="23" spans="1:21">
      <c r="A23" s="135">
        <v>2000120143</v>
      </c>
      <c r="B23" s="46">
        <v>11132001</v>
      </c>
      <c r="C23" s="20" t="s">
        <v>222</v>
      </c>
      <c r="D23" s="20" t="s">
        <v>298</v>
      </c>
      <c r="E23" s="24">
        <v>129</v>
      </c>
      <c r="F23" s="21" t="s">
        <v>274</v>
      </c>
      <c r="G23" s="53" t="s">
        <v>309</v>
      </c>
      <c r="H23" s="24" t="s">
        <v>310</v>
      </c>
      <c r="I23" s="24">
        <v>129</v>
      </c>
      <c r="J23" s="46">
        <v>12120522</v>
      </c>
      <c r="K23" s="20" t="s">
        <v>230</v>
      </c>
      <c r="L23" s="40">
        <v>46160</v>
      </c>
      <c r="M23" s="40">
        <v>46161</v>
      </c>
      <c r="N23" s="40">
        <v>46161</v>
      </c>
      <c r="O23" s="40">
        <v>46164</v>
      </c>
      <c r="P23" s="20" t="s">
        <v>54</v>
      </c>
      <c r="Q23" s="22"/>
      <c r="R23" s="144"/>
      <c r="S23" s="20" t="s">
        <v>92</v>
      </c>
      <c r="T23" s="135"/>
      <c r="U23" s="338" t="s">
        <v>295</v>
      </c>
    </row>
    <row r="24" spans="1:21">
      <c r="A24" s="135">
        <v>2000120144</v>
      </c>
      <c r="B24" s="46">
        <v>11132002</v>
      </c>
      <c r="C24" s="20" t="s">
        <v>223</v>
      </c>
      <c r="D24" s="20" t="s">
        <v>311</v>
      </c>
      <c r="E24" s="24">
        <v>11</v>
      </c>
      <c r="F24" s="21" t="s">
        <v>283</v>
      </c>
      <c r="G24" s="53" t="s">
        <v>312</v>
      </c>
      <c r="H24" s="24" t="s">
        <v>313</v>
      </c>
      <c r="I24" s="24">
        <v>11</v>
      </c>
      <c r="J24" s="46">
        <v>12120523</v>
      </c>
      <c r="K24" s="20" t="s">
        <v>231</v>
      </c>
      <c r="L24" s="40">
        <v>46149</v>
      </c>
      <c r="M24" s="40">
        <v>46150</v>
      </c>
      <c r="N24" s="40">
        <v>46150</v>
      </c>
      <c r="O24" s="40">
        <v>46153</v>
      </c>
      <c r="P24" s="20" t="s">
        <v>54</v>
      </c>
      <c r="Q24" s="22"/>
      <c r="R24" s="144"/>
      <c r="S24" s="20" t="s">
        <v>92</v>
      </c>
      <c r="T24" s="135"/>
      <c r="U24" s="338" t="s">
        <v>346</v>
      </c>
    </row>
    <row r="25" spans="1:21">
      <c r="A25" s="135">
        <v>2000120145</v>
      </c>
      <c r="B25" s="46">
        <v>11132002</v>
      </c>
      <c r="C25" s="20" t="s">
        <v>223</v>
      </c>
      <c r="D25" s="20" t="s">
        <v>311</v>
      </c>
      <c r="E25" s="24">
        <v>11</v>
      </c>
      <c r="F25" s="21" t="s">
        <v>283</v>
      </c>
      <c r="G25" s="53" t="s">
        <v>314</v>
      </c>
      <c r="H25" s="24" t="s">
        <v>315</v>
      </c>
      <c r="I25" s="24">
        <v>11</v>
      </c>
      <c r="J25" s="46">
        <v>12120523</v>
      </c>
      <c r="K25" s="20" t="s">
        <v>231</v>
      </c>
      <c r="L25" s="40">
        <v>46149</v>
      </c>
      <c r="M25" s="40">
        <v>46150</v>
      </c>
      <c r="N25" s="40">
        <v>46150</v>
      </c>
      <c r="O25" s="40">
        <v>46153</v>
      </c>
      <c r="P25" s="20" t="s">
        <v>54</v>
      </c>
      <c r="Q25" s="22"/>
      <c r="R25" s="144"/>
      <c r="S25" s="20" t="s">
        <v>92</v>
      </c>
      <c r="T25" s="135"/>
      <c r="U25" s="338" t="s">
        <v>346</v>
      </c>
    </row>
    <row r="26" spans="1:21">
      <c r="A26" s="135">
        <v>2000120146</v>
      </c>
      <c r="B26" s="46">
        <v>11132002</v>
      </c>
      <c r="C26" s="20" t="s">
        <v>223</v>
      </c>
      <c r="D26" s="20" t="s">
        <v>311</v>
      </c>
      <c r="E26" s="24">
        <v>11</v>
      </c>
      <c r="F26" s="21" t="s">
        <v>283</v>
      </c>
      <c r="G26" s="53" t="s">
        <v>316</v>
      </c>
      <c r="H26" s="24" t="s">
        <v>317</v>
      </c>
      <c r="I26" s="24">
        <v>11</v>
      </c>
      <c r="J26" s="46">
        <v>12120523</v>
      </c>
      <c r="K26" s="20" t="s">
        <v>231</v>
      </c>
      <c r="L26" s="40">
        <v>46149</v>
      </c>
      <c r="M26" s="40">
        <v>46150</v>
      </c>
      <c r="N26" s="40">
        <v>46150</v>
      </c>
      <c r="O26" s="40">
        <v>46153</v>
      </c>
      <c r="P26" s="20" t="s">
        <v>54</v>
      </c>
      <c r="Q26" s="22"/>
      <c r="R26" s="144"/>
      <c r="S26" s="20" t="s">
        <v>92</v>
      </c>
      <c r="T26" s="135"/>
      <c r="U26" s="338" t="s">
        <v>346</v>
      </c>
    </row>
    <row r="27" spans="1:21">
      <c r="A27" s="135">
        <v>2000120147</v>
      </c>
      <c r="B27" s="46">
        <v>11132003</v>
      </c>
      <c r="C27" s="20" t="s">
        <v>221</v>
      </c>
      <c r="D27" s="20" t="s">
        <v>318</v>
      </c>
      <c r="E27" s="24">
        <v>70</v>
      </c>
      <c r="F27" s="21" t="s">
        <v>285</v>
      </c>
      <c r="G27" s="53" t="s">
        <v>319</v>
      </c>
      <c r="H27" s="24" t="s">
        <v>320</v>
      </c>
      <c r="I27" s="24">
        <v>70</v>
      </c>
      <c r="J27" s="46">
        <v>12120524</v>
      </c>
      <c r="K27" s="20" t="s">
        <v>229</v>
      </c>
      <c r="L27" s="40">
        <v>46149</v>
      </c>
      <c r="M27" s="40">
        <v>46150</v>
      </c>
      <c r="N27" s="40">
        <v>46150</v>
      </c>
      <c r="O27" s="40">
        <v>46153</v>
      </c>
      <c r="P27" s="20" t="s">
        <v>54</v>
      </c>
      <c r="Q27" s="22"/>
      <c r="R27" s="144"/>
      <c r="S27" s="20" t="s">
        <v>92</v>
      </c>
      <c r="T27" s="135"/>
      <c r="U27" s="338" t="s">
        <v>346</v>
      </c>
    </row>
    <row r="28" spans="1:21">
      <c r="A28" s="135">
        <v>2000120148</v>
      </c>
      <c r="B28" s="46">
        <v>11132003</v>
      </c>
      <c r="C28" s="20" t="s">
        <v>221</v>
      </c>
      <c r="D28" s="20" t="s">
        <v>318</v>
      </c>
      <c r="E28" s="24">
        <v>70</v>
      </c>
      <c r="F28" s="21" t="s">
        <v>285</v>
      </c>
      <c r="G28" s="53" t="s">
        <v>321</v>
      </c>
      <c r="H28" s="24" t="s">
        <v>322</v>
      </c>
      <c r="I28" s="24">
        <v>70</v>
      </c>
      <c r="J28" s="46">
        <v>12120524</v>
      </c>
      <c r="K28" s="20" t="s">
        <v>229</v>
      </c>
      <c r="L28" s="40">
        <v>46149</v>
      </c>
      <c r="M28" s="40">
        <v>46150</v>
      </c>
      <c r="N28" s="40">
        <v>46150</v>
      </c>
      <c r="O28" s="40">
        <v>46153</v>
      </c>
      <c r="P28" s="20" t="s">
        <v>54</v>
      </c>
      <c r="Q28" s="22"/>
      <c r="R28" s="144"/>
      <c r="S28" s="20" t="s">
        <v>92</v>
      </c>
      <c r="T28" s="135"/>
      <c r="U28" s="338" t="s">
        <v>346</v>
      </c>
    </row>
    <row r="29" spans="1:21">
      <c r="A29" s="135">
        <v>2000120149</v>
      </c>
      <c r="B29" s="46">
        <v>11132003</v>
      </c>
      <c r="C29" s="20" t="s">
        <v>221</v>
      </c>
      <c r="D29" s="20" t="s">
        <v>318</v>
      </c>
      <c r="E29" s="24">
        <v>70</v>
      </c>
      <c r="F29" s="21" t="s">
        <v>285</v>
      </c>
      <c r="G29" s="53" t="s">
        <v>323</v>
      </c>
      <c r="H29" s="24" t="s">
        <v>324</v>
      </c>
      <c r="I29" s="24">
        <v>70</v>
      </c>
      <c r="J29" s="46">
        <v>12120524</v>
      </c>
      <c r="K29" s="20" t="s">
        <v>229</v>
      </c>
      <c r="L29" s="40">
        <v>46149</v>
      </c>
      <c r="M29" s="40">
        <v>46150</v>
      </c>
      <c r="N29" s="40">
        <v>46150</v>
      </c>
      <c r="O29" s="40">
        <v>46153</v>
      </c>
      <c r="P29" s="20" t="s">
        <v>54</v>
      </c>
      <c r="Q29" s="22"/>
      <c r="R29" s="144"/>
      <c r="S29" s="20" t="s">
        <v>92</v>
      </c>
      <c r="T29" s="135"/>
      <c r="U29" s="338" t="s">
        <v>346</v>
      </c>
    </row>
    <row r="30" spans="1:21">
      <c r="A30" s="135">
        <v>2000120150</v>
      </c>
      <c r="B30" s="46">
        <v>11132003</v>
      </c>
      <c r="C30" s="20" t="s">
        <v>221</v>
      </c>
      <c r="D30" s="20" t="s">
        <v>318</v>
      </c>
      <c r="E30" s="24">
        <v>69</v>
      </c>
      <c r="F30" s="21" t="s">
        <v>274</v>
      </c>
      <c r="G30" s="53" t="s">
        <v>325</v>
      </c>
      <c r="H30" s="24" t="s">
        <v>326</v>
      </c>
      <c r="I30" s="24">
        <v>69</v>
      </c>
      <c r="J30" s="46">
        <v>12120524</v>
      </c>
      <c r="K30" s="20" t="s">
        <v>229</v>
      </c>
      <c r="L30" s="40">
        <v>46160</v>
      </c>
      <c r="M30" s="40">
        <v>46161</v>
      </c>
      <c r="N30" s="40">
        <v>46161</v>
      </c>
      <c r="O30" s="40">
        <v>46164</v>
      </c>
      <c r="P30" s="20" t="s">
        <v>54</v>
      </c>
      <c r="Q30" s="22"/>
      <c r="R30" s="144"/>
      <c r="S30" s="20" t="s">
        <v>92</v>
      </c>
      <c r="T30" s="135"/>
      <c r="U30" s="338" t="s">
        <v>295</v>
      </c>
    </row>
    <row r="31" spans="1:21">
      <c r="A31" s="135">
        <v>2000120151</v>
      </c>
      <c r="B31" s="46">
        <v>11132003</v>
      </c>
      <c r="C31" s="20" t="s">
        <v>221</v>
      </c>
      <c r="D31" s="20" t="s">
        <v>318</v>
      </c>
      <c r="E31" s="24">
        <v>69</v>
      </c>
      <c r="F31" s="21" t="s">
        <v>274</v>
      </c>
      <c r="G31" s="53" t="s">
        <v>327</v>
      </c>
      <c r="H31" s="24" t="s">
        <v>328</v>
      </c>
      <c r="I31" s="24">
        <v>69</v>
      </c>
      <c r="J31" s="46">
        <v>12120524</v>
      </c>
      <c r="K31" s="20" t="s">
        <v>229</v>
      </c>
      <c r="L31" s="40">
        <v>46160</v>
      </c>
      <c r="M31" s="40">
        <v>46161</v>
      </c>
      <c r="N31" s="40">
        <v>46161</v>
      </c>
      <c r="O31" s="40">
        <v>46164</v>
      </c>
      <c r="P31" s="20" t="s">
        <v>54</v>
      </c>
      <c r="Q31" s="22"/>
      <c r="R31" s="144"/>
      <c r="S31" s="20" t="s">
        <v>92</v>
      </c>
      <c r="T31" s="135"/>
      <c r="U31" s="338" t="s">
        <v>295</v>
      </c>
    </row>
    <row r="32" spans="1:21">
      <c r="A32" s="135">
        <v>2000120152</v>
      </c>
      <c r="B32" s="46">
        <v>11132003</v>
      </c>
      <c r="C32" s="20" t="s">
        <v>221</v>
      </c>
      <c r="D32" s="20" t="s">
        <v>318</v>
      </c>
      <c r="E32" s="24">
        <v>69</v>
      </c>
      <c r="F32" s="21" t="s">
        <v>274</v>
      </c>
      <c r="G32" s="53" t="s">
        <v>329</v>
      </c>
      <c r="H32" s="24" t="s">
        <v>330</v>
      </c>
      <c r="I32" s="24">
        <v>69</v>
      </c>
      <c r="J32" s="46">
        <v>12120524</v>
      </c>
      <c r="K32" s="20" t="s">
        <v>229</v>
      </c>
      <c r="L32" s="40">
        <v>46160</v>
      </c>
      <c r="M32" s="40">
        <v>46161</v>
      </c>
      <c r="N32" s="40">
        <v>46161</v>
      </c>
      <c r="O32" s="40">
        <v>46164</v>
      </c>
      <c r="P32" s="20" t="s">
        <v>54</v>
      </c>
      <c r="Q32" s="22"/>
      <c r="R32" s="144"/>
      <c r="S32" s="20" t="s">
        <v>92</v>
      </c>
      <c r="T32" s="135"/>
      <c r="U32" s="338" t="s">
        <v>295</v>
      </c>
    </row>
    <row r="33" spans="1:33">
      <c r="A33" s="135"/>
      <c r="B33" s="46"/>
      <c r="C33" s="20"/>
      <c r="D33" s="20"/>
      <c r="E33" s="24"/>
      <c r="F33" s="21"/>
      <c r="G33" s="53"/>
      <c r="H33" s="24"/>
      <c r="I33" s="24"/>
      <c r="J33" s="46"/>
      <c r="K33" s="20"/>
      <c r="L33" s="40"/>
      <c r="M33" s="40"/>
      <c r="N33" s="40"/>
      <c r="O33" s="20"/>
      <c r="P33" s="20"/>
      <c r="Q33" s="22"/>
      <c r="R33" s="144"/>
      <c r="S33" s="20"/>
      <c r="T33" s="135"/>
      <c r="U33" s="338"/>
    </row>
    <row r="34" spans="1:33">
      <c r="A34" s="135"/>
      <c r="B34" s="46"/>
      <c r="C34" s="20"/>
      <c r="D34" s="20"/>
      <c r="E34" s="24"/>
      <c r="F34" s="21"/>
      <c r="G34" s="53"/>
      <c r="H34" s="24"/>
      <c r="I34" s="24"/>
      <c r="J34" s="46"/>
      <c r="K34" s="20"/>
      <c r="L34" s="40"/>
      <c r="M34" s="40"/>
      <c r="N34" s="40"/>
      <c r="O34" s="20"/>
      <c r="P34" s="20"/>
      <c r="Q34" s="22"/>
      <c r="R34" s="144"/>
      <c r="S34" s="20"/>
      <c r="T34" s="135"/>
      <c r="U34" s="338"/>
    </row>
    <row r="35" spans="1:33">
      <c r="A35" s="135"/>
      <c r="B35" s="46"/>
      <c r="C35" s="20"/>
      <c r="D35" s="20"/>
      <c r="E35" s="24"/>
      <c r="F35" s="21"/>
      <c r="G35" s="53"/>
      <c r="H35" s="24"/>
      <c r="I35" s="24"/>
      <c r="J35" s="46"/>
      <c r="K35" s="20"/>
      <c r="L35" s="40"/>
      <c r="M35" s="40"/>
      <c r="N35" s="40"/>
      <c r="O35" s="20"/>
      <c r="P35" s="20"/>
      <c r="Q35" s="22"/>
      <c r="R35" s="144"/>
      <c r="S35" s="20"/>
      <c r="T35" s="135"/>
      <c r="U35" s="338"/>
    </row>
    <row r="36" spans="1:33">
      <c r="A36" s="135"/>
      <c r="B36" s="46"/>
      <c r="C36" s="20"/>
      <c r="D36" s="20"/>
      <c r="E36" s="24"/>
      <c r="F36" s="21"/>
      <c r="G36" s="53"/>
      <c r="H36" s="24"/>
      <c r="I36" s="24"/>
      <c r="J36" s="46"/>
      <c r="K36" s="20"/>
      <c r="L36" s="40"/>
      <c r="M36" s="40"/>
      <c r="N36" s="40"/>
      <c r="O36" s="20"/>
      <c r="P36" s="20"/>
      <c r="Q36" s="22"/>
      <c r="R36" s="144"/>
      <c r="S36" s="20"/>
      <c r="T36" s="135"/>
      <c r="U36" s="338"/>
    </row>
    <row r="37" spans="1:33">
      <c r="A37" s="135"/>
      <c r="B37" s="46"/>
      <c r="C37" s="20"/>
      <c r="D37" s="20"/>
      <c r="E37" s="24"/>
      <c r="F37" s="21"/>
      <c r="G37" s="53"/>
      <c r="H37" s="24"/>
      <c r="I37" s="24"/>
      <c r="J37" s="46"/>
      <c r="K37" s="20"/>
      <c r="L37" s="40"/>
      <c r="M37" s="40"/>
      <c r="N37" s="40"/>
      <c r="O37" s="20"/>
      <c r="P37" s="20"/>
      <c r="Q37" s="22"/>
      <c r="R37" s="144"/>
      <c r="S37" s="20"/>
      <c r="T37" s="135"/>
      <c r="U37" s="338"/>
    </row>
    <row r="38" spans="1:33">
      <c r="A38" s="135"/>
      <c r="B38" s="46"/>
      <c r="C38" s="20"/>
      <c r="D38" s="20"/>
      <c r="E38" s="24"/>
      <c r="F38" s="21"/>
      <c r="G38" s="53"/>
      <c r="H38" s="24"/>
      <c r="I38" s="24"/>
      <c r="J38" s="46"/>
      <c r="K38" s="20"/>
      <c r="L38" s="40"/>
      <c r="M38" s="40"/>
      <c r="N38" s="40"/>
      <c r="O38" s="20"/>
      <c r="P38" s="20"/>
      <c r="Q38" s="22"/>
      <c r="R38" s="144"/>
      <c r="S38" s="20"/>
      <c r="T38" s="135"/>
      <c r="U38" s="49"/>
    </row>
    <row r="41" spans="1:33" ht="42" thickBot="1">
      <c r="A41" s="247" t="s">
        <v>116</v>
      </c>
      <c r="B41" s="134" t="s">
        <v>117</v>
      </c>
      <c r="C41" s="45" t="s">
        <v>36</v>
      </c>
      <c r="D41" s="26" t="s">
        <v>118</v>
      </c>
      <c r="E41" s="26" t="s">
        <v>119</v>
      </c>
      <c r="F41" s="27" t="s">
        <v>120</v>
      </c>
      <c r="G41" s="28" t="s">
        <v>121</v>
      </c>
      <c r="H41" s="52" t="s">
        <v>37</v>
      </c>
      <c r="I41" s="27" t="s">
        <v>122</v>
      </c>
      <c r="J41" s="27" t="s">
        <v>123</v>
      </c>
      <c r="K41" s="48" t="s">
        <v>124</v>
      </c>
      <c r="L41" s="29" t="s">
        <v>125</v>
      </c>
      <c r="M41" s="50" t="s">
        <v>126</v>
      </c>
      <c r="N41" s="50"/>
      <c r="O41" s="30" t="s">
        <v>31</v>
      </c>
      <c r="P41" s="30" t="s">
        <v>31</v>
      </c>
      <c r="Q41" s="129" t="s">
        <v>53</v>
      </c>
      <c r="R41" s="42" t="s">
        <v>2</v>
      </c>
      <c r="S41" s="130" t="s">
        <v>33</v>
      </c>
      <c r="T41" s="226" t="s">
        <v>80</v>
      </c>
      <c r="U41" s="32" t="s">
        <v>3</v>
      </c>
      <c r="V41" s="39" t="s">
        <v>127</v>
      </c>
      <c r="W41" s="57" t="s">
        <v>51</v>
      </c>
      <c r="X41" s="39" t="s">
        <v>128</v>
      </c>
      <c r="Y41" s="33" t="s">
        <v>2</v>
      </c>
      <c r="Z41" s="33" t="s">
        <v>3</v>
      </c>
      <c r="AA41" s="33" t="s">
        <v>5</v>
      </c>
      <c r="AB41" s="43" t="s">
        <v>32</v>
      </c>
      <c r="AC41" s="161" t="s">
        <v>68</v>
      </c>
      <c r="AD41" s="55" t="s">
        <v>49</v>
      </c>
      <c r="AE41" s="264" t="s">
        <v>50</v>
      </c>
      <c r="AF41" s="265" t="s">
        <v>129</v>
      </c>
      <c r="AG41" s="258" t="s">
        <v>107</v>
      </c>
    </row>
    <row r="42" spans="1:33" ht="15" thickTop="1">
      <c r="A42" s="135" t="s">
        <v>234</v>
      </c>
      <c r="B42" s="135">
        <v>2000119895</v>
      </c>
      <c r="C42" s="46">
        <v>11134343</v>
      </c>
      <c r="D42" s="20" t="s">
        <v>224</v>
      </c>
      <c r="E42" s="20" t="s">
        <v>235</v>
      </c>
      <c r="F42" s="24">
        <v>92</v>
      </c>
      <c r="G42" s="21">
        <v>46107</v>
      </c>
      <c r="H42" s="53" t="s">
        <v>236</v>
      </c>
      <c r="I42" s="24" t="s">
        <v>237</v>
      </c>
      <c r="J42" s="24">
        <v>92</v>
      </c>
      <c r="K42" s="46">
        <v>12120504</v>
      </c>
      <c r="L42" s="20" t="s">
        <v>232</v>
      </c>
      <c r="M42" s="38">
        <v>0</v>
      </c>
      <c r="N42" s="38"/>
      <c r="O42" s="38">
        <v>0</v>
      </c>
      <c r="P42" s="38">
        <v>0</v>
      </c>
      <c r="Q42" s="20">
        <v>0</v>
      </c>
      <c r="R42" s="40">
        <v>46146</v>
      </c>
      <c r="S42" s="38">
        <v>0</v>
      </c>
      <c r="T42" s="38">
        <v>0</v>
      </c>
      <c r="U42" s="40">
        <v>46147</v>
      </c>
      <c r="V42" s="40">
        <v>46147</v>
      </c>
      <c r="W42" s="20" t="s">
        <v>54</v>
      </c>
      <c r="X42" s="21"/>
      <c r="Y42" s="19">
        <v>0</v>
      </c>
      <c r="Z42" s="19">
        <v>0</v>
      </c>
      <c r="AA42" s="19">
        <v>0</v>
      </c>
      <c r="AB42" s="325">
        <v>46161</v>
      </c>
      <c r="AC42" s="22">
        <v>0</v>
      </c>
      <c r="AD42" s="144"/>
      <c r="AE42" s="20" t="s">
        <v>92</v>
      </c>
      <c r="AF42" s="135"/>
      <c r="AG42" s="338" t="s">
        <v>296</v>
      </c>
    </row>
    <row r="43" spans="1:33">
      <c r="A43" s="135" t="s">
        <v>238</v>
      </c>
      <c r="B43" s="135">
        <v>2000119880</v>
      </c>
      <c r="C43" s="46">
        <v>11134343</v>
      </c>
      <c r="D43" s="20" t="s">
        <v>224</v>
      </c>
      <c r="E43" s="20" t="s">
        <v>235</v>
      </c>
      <c r="F43" s="24">
        <v>92</v>
      </c>
      <c r="G43" s="21">
        <v>46140</v>
      </c>
      <c r="H43" s="53" t="s">
        <v>239</v>
      </c>
      <c r="I43" s="24" t="s">
        <v>240</v>
      </c>
      <c r="J43" s="24">
        <v>92</v>
      </c>
      <c r="K43" s="46">
        <v>12120504</v>
      </c>
      <c r="L43" s="20" t="s">
        <v>232</v>
      </c>
      <c r="M43" s="38">
        <v>0</v>
      </c>
      <c r="N43" s="38"/>
      <c r="O43" s="38">
        <v>0</v>
      </c>
      <c r="P43" s="38">
        <v>0</v>
      </c>
      <c r="Q43" s="20">
        <v>0</v>
      </c>
      <c r="R43" s="40">
        <v>46146</v>
      </c>
      <c r="S43" s="38">
        <v>0</v>
      </c>
      <c r="T43" s="38">
        <v>0</v>
      </c>
      <c r="U43" s="40">
        <v>46147</v>
      </c>
      <c r="V43" s="40">
        <v>46147</v>
      </c>
      <c r="W43" s="20" t="s">
        <v>54</v>
      </c>
      <c r="X43" s="21"/>
      <c r="Y43" s="19">
        <v>0</v>
      </c>
      <c r="Z43" s="19">
        <v>0</v>
      </c>
      <c r="AA43" s="19">
        <v>0</v>
      </c>
      <c r="AB43" s="325">
        <v>46161</v>
      </c>
      <c r="AC43" s="22">
        <v>0</v>
      </c>
      <c r="AD43" s="144"/>
      <c r="AE43" s="20" t="s">
        <v>92</v>
      </c>
      <c r="AF43" s="135"/>
      <c r="AG43" s="338" t="s">
        <v>296</v>
      </c>
    </row>
    <row r="44" spans="1:33">
      <c r="A44" s="135" t="s">
        <v>241</v>
      </c>
      <c r="B44" s="135">
        <v>2000119881</v>
      </c>
      <c r="C44" s="46">
        <v>11134343</v>
      </c>
      <c r="D44" s="20" t="s">
        <v>224</v>
      </c>
      <c r="E44" s="20" t="s">
        <v>235</v>
      </c>
      <c r="F44" s="24">
        <v>92</v>
      </c>
      <c r="G44" s="21">
        <v>46140</v>
      </c>
      <c r="H44" s="53" t="s">
        <v>242</v>
      </c>
      <c r="I44" s="24" t="s">
        <v>243</v>
      </c>
      <c r="J44" s="24">
        <v>92</v>
      </c>
      <c r="K44" s="46">
        <v>12120504</v>
      </c>
      <c r="L44" s="20" t="s">
        <v>232</v>
      </c>
      <c r="M44" s="38">
        <v>0</v>
      </c>
      <c r="N44" s="38"/>
      <c r="O44" s="38">
        <v>0</v>
      </c>
      <c r="P44" s="38">
        <v>0</v>
      </c>
      <c r="Q44" s="20">
        <v>0</v>
      </c>
      <c r="R44" s="40">
        <v>46146</v>
      </c>
      <c r="S44" s="38">
        <v>0</v>
      </c>
      <c r="T44" s="38">
        <v>0</v>
      </c>
      <c r="U44" s="40">
        <v>46147</v>
      </c>
      <c r="V44" s="40">
        <v>46147</v>
      </c>
      <c r="W44" s="20" t="s">
        <v>54</v>
      </c>
      <c r="X44" s="21"/>
      <c r="Y44" s="19">
        <v>0</v>
      </c>
      <c r="Z44" s="19">
        <v>0</v>
      </c>
      <c r="AA44" s="19">
        <v>0</v>
      </c>
      <c r="AB44" s="325">
        <v>46161</v>
      </c>
      <c r="AC44" s="22">
        <v>0</v>
      </c>
      <c r="AD44" s="144"/>
      <c r="AE44" s="20" t="s">
        <v>92</v>
      </c>
      <c r="AF44" s="135"/>
      <c r="AG44" s="338" t="s">
        <v>296</v>
      </c>
    </row>
    <row r="45" spans="1:33">
      <c r="A45" s="135" t="s">
        <v>244</v>
      </c>
      <c r="B45" s="135">
        <v>2000119885</v>
      </c>
      <c r="C45" s="46">
        <v>11134345</v>
      </c>
      <c r="D45" s="20" t="s">
        <v>225</v>
      </c>
      <c r="E45" s="20" t="s">
        <v>245</v>
      </c>
      <c r="F45" s="24">
        <v>57</v>
      </c>
      <c r="G45" s="21">
        <v>46134</v>
      </c>
      <c r="H45" s="53" t="s">
        <v>246</v>
      </c>
      <c r="I45" s="24" t="s">
        <v>247</v>
      </c>
      <c r="J45" s="24">
        <v>57</v>
      </c>
      <c r="K45" s="46">
        <v>12120506</v>
      </c>
      <c r="L45" s="20" t="s">
        <v>233</v>
      </c>
      <c r="M45" s="38">
        <v>0</v>
      </c>
      <c r="N45" s="38"/>
      <c r="O45" s="38">
        <v>0</v>
      </c>
      <c r="P45" s="38">
        <v>0</v>
      </c>
      <c r="Q45" s="20">
        <v>0</v>
      </c>
      <c r="R45" s="40">
        <v>46146</v>
      </c>
      <c r="S45" s="38">
        <v>0</v>
      </c>
      <c r="T45" s="38">
        <v>0</v>
      </c>
      <c r="U45" s="40">
        <v>46147</v>
      </c>
      <c r="V45" s="40">
        <v>46147</v>
      </c>
      <c r="W45" s="20" t="s">
        <v>54</v>
      </c>
      <c r="X45" s="21"/>
      <c r="Y45" s="19">
        <v>0</v>
      </c>
      <c r="Z45" s="19">
        <v>0</v>
      </c>
      <c r="AA45" s="19">
        <v>0</v>
      </c>
      <c r="AB45" s="325">
        <v>46157</v>
      </c>
      <c r="AC45" s="22">
        <v>0</v>
      </c>
      <c r="AD45" s="144"/>
      <c r="AE45" s="20" t="s">
        <v>92</v>
      </c>
      <c r="AF45" s="135"/>
      <c r="AG45" s="338" t="s">
        <v>296</v>
      </c>
    </row>
    <row r="46" spans="1:33">
      <c r="A46" s="135" t="s">
        <v>248</v>
      </c>
      <c r="B46" s="135">
        <v>2000119886</v>
      </c>
      <c r="C46" s="46">
        <v>11134345</v>
      </c>
      <c r="D46" s="20" t="s">
        <v>225</v>
      </c>
      <c r="E46" s="20" t="s">
        <v>245</v>
      </c>
      <c r="F46" s="24">
        <v>57</v>
      </c>
      <c r="G46" s="21">
        <v>46134</v>
      </c>
      <c r="H46" s="53" t="s">
        <v>249</v>
      </c>
      <c r="I46" s="24" t="s">
        <v>250</v>
      </c>
      <c r="J46" s="24">
        <v>57</v>
      </c>
      <c r="K46" s="46">
        <v>12120506</v>
      </c>
      <c r="L46" s="20" t="s">
        <v>233</v>
      </c>
      <c r="M46" s="38">
        <v>0</v>
      </c>
      <c r="N46" s="38"/>
      <c r="O46" s="38">
        <v>0</v>
      </c>
      <c r="P46" s="38">
        <v>0</v>
      </c>
      <c r="Q46" s="20">
        <v>0</v>
      </c>
      <c r="R46" s="40">
        <v>46146</v>
      </c>
      <c r="S46" s="38">
        <v>0</v>
      </c>
      <c r="T46" s="38">
        <v>0</v>
      </c>
      <c r="U46" s="40">
        <v>46147</v>
      </c>
      <c r="V46" s="40">
        <v>46147</v>
      </c>
      <c r="W46" s="20" t="s">
        <v>54</v>
      </c>
      <c r="X46" s="21"/>
      <c r="Y46" s="19">
        <v>0</v>
      </c>
      <c r="Z46" s="19">
        <v>0</v>
      </c>
      <c r="AA46" s="19">
        <v>0</v>
      </c>
      <c r="AB46" s="325">
        <v>46157</v>
      </c>
      <c r="AC46" s="22">
        <v>0</v>
      </c>
      <c r="AD46" s="144"/>
      <c r="AE46" s="20" t="s">
        <v>92</v>
      </c>
      <c r="AF46" s="135"/>
      <c r="AG46" s="338" t="s">
        <v>296</v>
      </c>
    </row>
    <row r="47" spans="1:33">
      <c r="A47" s="135" t="s">
        <v>251</v>
      </c>
      <c r="B47" s="135">
        <v>2000119887</v>
      </c>
      <c r="C47" s="46">
        <v>11134345</v>
      </c>
      <c r="D47" s="20" t="s">
        <v>225</v>
      </c>
      <c r="E47" s="20" t="s">
        <v>245</v>
      </c>
      <c r="F47" s="24">
        <v>57</v>
      </c>
      <c r="G47" s="21">
        <v>46134</v>
      </c>
      <c r="H47" s="53" t="s">
        <v>252</v>
      </c>
      <c r="I47" s="24" t="s">
        <v>253</v>
      </c>
      <c r="J47" s="24">
        <v>57</v>
      </c>
      <c r="K47" s="46">
        <v>12120506</v>
      </c>
      <c r="L47" s="20" t="s">
        <v>233</v>
      </c>
      <c r="M47" s="38">
        <v>0</v>
      </c>
      <c r="N47" s="38"/>
      <c r="O47" s="38">
        <v>0</v>
      </c>
      <c r="P47" s="38">
        <v>0</v>
      </c>
      <c r="Q47" s="20">
        <v>0</v>
      </c>
      <c r="R47" s="40">
        <v>46146</v>
      </c>
      <c r="S47" s="38">
        <v>0</v>
      </c>
      <c r="T47" s="38">
        <v>0</v>
      </c>
      <c r="U47" s="40">
        <v>46147</v>
      </c>
      <c r="V47" s="40">
        <v>46147</v>
      </c>
      <c r="W47" s="20" t="s">
        <v>54</v>
      </c>
      <c r="X47" s="21"/>
      <c r="Y47" s="19">
        <v>0</v>
      </c>
      <c r="Z47" s="19">
        <v>0</v>
      </c>
      <c r="AA47" s="19">
        <v>0</v>
      </c>
      <c r="AB47" s="325">
        <v>46157</v>
      </c>
      <c r="AC47" s="22">
        <v>0</v>
      </c>
      <c r="AD47" s="144"/>
      <c r="AE47" s="20" t="s">
        <v>92</v>
      </c>
      <c r="AF47" s="135"/>
      <c r="AG47" s="338" t="s">
        <v>296</v>
      </c>
    </row>
    <row r="48" spans="1:33">
      <c r="A48" s="135" t="s">
        <v>254</v>
      </c>
      <c r="B48" s="135">
        <v>2000119888</v>
      </c>
      <c r="C48" s="46">
        <v>11134345</v>
      </c>
      <c r="D48" s="20" t="s">
        <v>225</v>
      </c>
      <c r="E48" s="20" t="s">
        <v>245</v>
      </c>
      <c r="F48" s="24">
        <v>56</v>
      </c>
      <c r="G48" s="21">
        <v>46156</v>
      </c>
      <c r="H48" s="53" t="s">
        <v>255</v>
      </c>
      <c r="I48" s="24" t="s">
        <v>256</v>
      </c>
      <c r="J48" s="24">
        <v>56</v>
      </c>
      <c r="K48" s="46">
        <v>12120506</v>
      </c>
      <c r="L48" s="20" t="s">
        <v>233</v>
      </c>
      <c r="M48" s="38">
        <v>0</v>
      </c>
      <c r="N48" s="38"/>
      <c r="O48" s="38">
        <v>0</v>
      </c>
      <c r="P48" s="38">
        <v>0</v>
      </c>
      <c r="Q48" s="20">
        <v>0</v>
      </c>
      <c r="R48" s="40">
        <v>46160</v>
      </c>
      <c r="S48" s="38">
        <v>0</v>
      </c>
      <c r="T48" s="38">
        <v>0</v>
      </c>
      <c r="U48" s="40">
        <v>46161</v>
      </c>
      <c r="V48" s="40">
        <v>46161</v>
      </c>
      <c r="W48" s="20" t="s">
        <v>54</v>
      </c>
      <c r="X48" s="21"/>
      <c r="Y48" s="19">
        <v>0</v>
      </c>
      <c r="Z48" s="19">
        <v>0</v>
      </c>
      <c r="AA48" s="19">
        <v>0</v>
      </c>
      <c r="AB48" s="325">
        <v>46175</v>
      </c>
      <c r="AC48" s="22">
        <v>0</v>
      </c>
      <c r="AD48" s="144"/>
      <c r="AE48" s="20" t="s">
        <v>92</v>
      </c>
      <c r="AF48" s="135"/>
      <c r="AG48" s="338" t="s">
        <v>295</v>
      </c>
    </row>
    <row r="49" spans="1:33">
      <c r="A49" s="135" t="s">
        <v>257</v>
      </c>
      <c r="B49" s="135">
        <v>2000119889</v>
      </c>
      <c r="C49" s="46">
        <v>11134345</v>
      </c>
      <c r="D49" s="20" t="s">
        <v>225</v>
      </c>
      <c r="E49" s="20" t="s">
        <v>245</v>
      </c>
      <c r="F49" s="24">
        <v>56</v>
      </c>
      <c r="G49" s="21">
        <v>46156</v>
      </c>
      <c r="H49" s="53" t="s">
        <v>258</v>
      </c>
      <c r="I49" s="24" t="s">
        <v>259</v>
      </c>
      <c r="J49" s="24">
        <v>56</v>
      </c>
      <c r="K49" s="46">
        <v>12120506</v>
      </c>
      <c r="L49" s="20" t="s">
        <v>233</v>
      </c>
      <c r="M49" s="38">
        <v>0</v>
      </c>
      <c r="N49" s="38"/>
      <c r="O49" s="38">
        <v>0</v>
      </c>
      <c r="P49" s="38">
        <v>0</v>
      </c>
      <c r="Q49" s="20">
        <v>0</v>
      </c>
      <c r="R49" s="40">
        <v>46160</v>
      </c>
      <c r="S49" s="38">
        <v>0</v>
      </c>
      <c r="T49" s="38">
        <v>0</v>
      </c>
      <c r="U49" s="40">
        <v>46161</v>
      </c>
      <c r="V49" s="40">
        <v>46161</v>
      </c>
      <c r="W49" s="20" t="s">
        <v>54</v>
      </c>
      <c r="X49" s="21"/>
      <c r="Y49" s="19">
        <v>0</v>
      </c>
      <c r="Z49" s="19">
        <v>0</v>
      </c>
      <c r="AA49" s="19">
        <v>0</v>
      </c>
      <c r="AB49" s="325">
        <v>46175</v>
      </c>
      <c r="AC49" s="22">
        <v>0</v>
      </c>
      <c r="AD49" s="144"/>
      <c r="AE49" s="20" t="s">
        <v>92</v>
      </c>
      <c r="AF49" s="135"/>
      <c r="AG49" s="338" t="s">
        <v>295</v>
      </c>
    </row>
    <row r="50" spans="1:33">
      <c r="A50" s="135" t="s">
        <v>260</v>
      </c>
      <c r="B50" s="135">
        <v>2000119890</v>
      </c>
      <c r="C50" s="46">
        <v>11134345</v>
      </c>
      <c r="D50" s="20" t="s">
        <v>225</v>
      </c>
      <c r="E50" s="20" t="s">
        <v>245</v>
      </c>
      <c r="F50" s="24">
        <v>56</v>
      </c>
      <c r="G50" s="21">
        <v>46156</v>
      </c>
      <c r="H50" s="53" t="s">
        <v>261</v>
      </c>
      <c r="I50" s="24" t="s">
        <v>262</v>
      </c>
      <c r="J50" s="24">
        <v>56</v>
      </c>
      <c r="K50" s="46">
        <v>12120506</v>
      </c>
      <c r="L50" s="20" t="s">
        <v>233</v>
      </c>
      <c r="M50" s="38">
        <v>0</v>
      </c>
      <c r="N50" s="38"/>
      <c r="O50" s="38">
        <v>0</v>
      </c>
      <c r="P50" s="38">
        <v>0</v>
      </c>
      <c r="Q50" s="20">
        <v>0</v>
      </c>
      <c r="R50" s="40">
        <v>46160</v>
      </c>
      <c r="S50" s="38">
        <v>0</v>
      </c>
      <c r="T50" s="38">
        <v>0</v>
      </c>
      <c r="U50" s="40">
        <v>46161</v>
      </c>
      <c r="V50" s="40">
        <v>46161</v>
      </c>
      <c r="W50" s="20" t="s">
        <v>54</v>
      </c>
      <c r="X50" s="21"/>
      <c r="Y50" s="19">
        <v>0</v>
      </c>
      <c r="Z50" s="19">
        <v>0</v>
      </c>
      <c r="AA50" s="19">
        <v>0</v>
      </c>
      <c r="AB50" s="325">
        <v>46175</v>
      </c>
      <c r="AC50" s="22">
        <v>0</v>
      </c>
      <c r="AD50" s="144"/>
      <c r="AE50" s="20" t="s">
        <v>92</v>
      </c>
      <c r="AF50" s="135"/>
      <c r="AG50" s="338" t="s">
        <v>295</v>
      </c>
    </row>
    <row r="51" spans="1:33">
      <c r="A51" s="135" t="s">
        <v>267</v>
      </c>
      <c r="B51" s="135">
        <v>2000120213</v>
      </c>
      <c r="C51" s="46">
        <v>11125153</v>
      </c>
      <c r="D51" s="20" t="s">
        <v>219</v>
      </c>
      <c r="E51" s="20" t="s">
        <v>266</v>
      </c>
      <c r="F51" s="24">
        <v>250</v>
      </c>
      <c r="G51" s="21" t="s">
        <v>268</v>
      </c>
      <c r="H51" s="53" t="s">
        <v>269</v>
      </c>
      <c r="I51" s="24" t="s">
        <v>270</v>
      </c>
      <c r="J51" s="24">
        <v>250</v>
      </c>
      <c r="K51" s="46">
        <v>12120612</v>
      </c>
      <c r="L51" s="20" t="s">
        <v>227</v>
      </c>
      <c r="M51" s="38">
        <v>0</v>
      </c>
      <c r="N51" s="38"/>
      <c r="O51" s="38">
        <v>0</v>
      </c>
      <c r="P51" s="38">
        <v>0</v>
      </c>
      <c r="Q51" s="20">
        <v>0</v>
      </c>
      <c r="R51" s="40">
        <v>46128</v>
      </c>
      <c r="S51" s="38">
        <v>0</v>
      </c>
      <c r="T51" s="38">
        <v>0</v>
      </c>
      <c r="U51" s="339">
        <v>46147</v>
      </c>
      <c r="V51" s="339">
        <v>46147</v>
      </c>
      <c r="W51" s="20" t="s">
        <v>54</v>
      </c>
      <c r="X51" s="21">
        <v>46134</v>
      </c>
      <c r="Y51" s="20">
        <v>0</v>
      </c>
      <c r="Z51" s="20">
        <v>0</v>
      </c>
      <c r="AA51" s="20">
        <v>0</v>
      </c>
      <c r="AB51" s="325">
        <v>46154</v>
      </c>
      <c r="AC51" s="22"/>
      <c r="AD51" s="144"/>
      <c r="AE51" s="20" t="s">
        <v>92</v>
      </c>
      <c r="AF51" s="135"/>
      <c r="AG51" s="338" t="s">
        <v>296</v>
      </c>
    </row>
    <row r="52" spans="1:33">
      <c r="A52" s="135" t="s">
        <v>273</v>
      </c>
      <c r="B52" s="135">
        <v>2000120120</v>
      </c>
      <c r="C52" s="46">
        <v>11125140</v>
      </c>
      <c r="D52" s="20" t="s">
        <v>220</v>
      </c>
      <c r="E52" s="20" t="s">
        <v>271</v>
      </c>
      <c r="F52" s="24">
        <v>129</v>
      </c>
      <c r="G52" s="21" t="s">
        <v>274</v>
      </c>
      <c r="H52" s="53" t="s">
        <v>275</v>
      </c>
      <c r="I52" s="24" t="s">
        <v>276</v>
      </c>
      <c r="J52" s="24">
        <v>129</v>
      </c>
      <c r="K52" s="46">
        <v>12120562</v>
      </c>
      <c r="L52" s="20" t="s">
        <v>228</v>
      </c>
      <c r="M52" s="38">
        <v>0</v>
      </c>
      <c r="N52" s="38"/>
      <c r="O52" s="38">
        <v>0</v>
      </c>
      <c r="P52" s="38">
        <v>0</v>
      </c>
      <c r="Q52" s="20">
        <v>0</v>
      </c>
      <c r="R52" s="40">
        <v>46160</v>
      </c>
      <c r="S52" s="38">
        <v>0</v>
      </c>
      <c r="T52" s="38">
        <v>0</v>
      </c>
      <c r="U52" s="40">
        <v>46161</v>
      </c>
      <c r="V52" s="40">
        <v>46161</v>
      </c>
      <c r="W52" s="20" t="s">
        <v>54</v>
      </c>
      <c r="X52" s="21"/>
      <c r="Y52" s="38"/>
      <c r="Z52" s="38"/>
      <c r="AA52" s="38"/>
      <c r="AB52" s="325">
        <v>46175</v>
      </c>
      <c r="AC52" s="22"/>
      <c r="AD52" s="144"/>
      <c r="AE52" s="20" t="s">
        <v>92</v>
      </c>
      <c r="AF52" s="135"/>
      <c r="AG52" s="338" t="s">
        <v>295</v>
      </c>
    </row>
    <row r="53" spans="1:33">
      <c r="A53" s="135" t="s">
        <v>277</v>
      </c>
      <c r="B53" s="135">
        <v>2000120122</v>
      </c>
      <c r="C53" s="46">
        <v>11125140</v>
      </c>
      <c r="D53" s="20" t="s">
        <v>220</v>
      </c>
      <c r="E53" s="20" t="s">
        <v>271</v>
      </c>
      <c r="F53" s="24">
        <v>129</v>
      </c>
      <c r="G53" s="21" t="s">
        <v>274</v>
      </c>
      <c r="H53" s="53" t="s">
        <v>278</v>
      </c>
      <c r="I53" s="24" t="s">
        <v>279</v>
      </c>
      <c r="J53" s="24">
        <v>129</v>
      </c>
      <c r="K53" s="46">
        <v>12120562</v>
      </c>
      <c r="L53" s="20" t="s">
        <v>228</v>
      </c>
      <c r="M53" s="38">
        <v>0</v>
      </c>
      <c r="N53" s="38"/>
      <c r="O53" s="38">
        <v>0</v>
      </c>
      <c r="P53" s="38">
        <v>0</v>
      </c>
      <c r="Q53" s="20">
        <v>0</v>
      </c>
      <c r="R53" s="40">
        <v>46160</v>
      </c>
      <c r="S53" s="38">
        <v>0</v>
      </c>
      <c r="T53" s="38">
        <v>0</v>
      </c>
      <c r="U53" s="40">
        <v>46161</v>
      </c>
      <c r="V53" s="40">
        <v>46161</v>
      </c>
      <c r="W53" s="20" t="s">
        <v>54</v>
      </c>
      <c r="X53" s="21"/>
      <c r="Y53" s="38"/>
      <c r="Z53" s="38"/>
      <c r="AA53" s="38"/>
      <c r="AB53" s="325">
        <v>46175</v>
      </c>
      <c r="AC53" s="22"/>
      <c r="AD53" s="144"/>
      <c r="AE53" s="20" t="s">
        <v>92</v>
      </c>
      <c r="AF53" s="135"/>
      <c r="AG53" s="338" t="s">
        <v>295</v>
      </c>
    </row>
    <row r="54" spans="1:33">
      <c r="A54" s="135" t="s">
        <v>280</v>
      </c>
      <c r="B54" s="135">
        <v>2000120124</v>
      </c>
      <c r="C54" s="46">
        <v>11125140</v>
      </c>
      <c r="D54" s="20" t="s">
        <v>220</v>
      </c>
      <c r="E54" s="20" t="s">
        <v>271</v>
      </c>
      <c r="F54" s="24">
        <v>129</v>
      </c>
      <c r="G54" s="21" t="s">
        <v>274</v>
      </c>
      <c r="H54" s="53" t="s">
        <v>281</v>
      </c>
      <c r="I54" s="24" t="s">
        <v>282</v>
      </c>
      <c r="J54" s="24">
        <v>129</v>
      </c>
      <c r="K54" s="46">
        <v>12120562</v>
      </c>
      <c r="L54" s="20" t="s">
        <v>228</v>
      </c>
      <c r="M54" s="38">
        <v>0</v>
      </c>
      <c r="N54" s="38"/>
      <c r="O54" s="38">
        <v>0</v>
      </c>
      <c r="P54" s="38">
        <v>0</v>
      </c>
      <c r="Q54" s="20">
        <v>0</v>
      </c>
      <c r="R54" s="40">
        <v>46160</v>
      </c>
      <c r="S54" s="38">
        <v>0</v>
      </c>
      <c r="T54" s="38">
        <v>0</v>
      </c>
      <c r="U54" s="40">
        <v>46161</v>
      </c>
      <c r="V54" s="40">
        <v>46161</v>
      </c>
      <c r="W54" s="20" t="s">
        <v>54</v>
      </c>
      <c r="X54" s="21"/>
      <c r="Y54" s="38"/>
      <c r="Z54" s="38"/>
      <c r="AA54" s="38"/>
      <c r="AB54" s="325">
        <v>46175</v>
      </c>
      <c r="AC54" s="22"/>
      <c r="AD54" s="144"/>
      <c r="AE54" s="20" t="s">
        <v>92</v>
      </c>
      <c r="AF54" s="135"/>
      <c r="AG54" s="338" t="s">
        <v>295</v>
      </c>
    </row>
    <row r="55" spans="1:33">
      <c r="A55" s="135" t="s">
        <v>286</v>
      </c>
      <c r="B55" s="135">
        <v>2000120132</v>
      </c>
      <c r="C55" s="46">
        <v>11125142</v>
      </c>
      <c r="D55" s="20" t="s">
        <v>218</v>
      </c>
      <c r="E55" s="20" t="s">
        <v>284</v>
      </c>
      <c r="F55" s="24">
        <v>66</v>
      </c>
      <c r="G55" s="21" t="s">
        <v>274</v>
      </c>
      <c r="H55" s="53" t="s">
        <v>287</v>
      </c>
      <c r="I55" s="24" t="s">
        <v>288</v>
      </c>
      <c r="J55" s="24">
        <v>66</v>
      </c>
      <c r="K55" s="46">
        <v>12120564</v>
      </c>
      <c r="L55" s="20" t="s">
        <v>226</v>
      </c>
      <c r="M55" s="38">
        <v>0</v>
      </c>
      <c r="N55" s="38"/>
      <c r="O55" s="38">
        <v>0</v>
      </c>
      <c r="P55" s="38">
        <v>0</v>
      </c>
      <c r="Q55" s="20">
        <v>0</v>
      </c>
      <c r="R55" s="40">
        <v>46160</v>
      </c>
      <c r="S55" s="38">
        <v>0</v>
      </c>
      <c r="T55" s="38">
        <v>0</v>
      </c>
      <c r="U55" s="40">
        <v>46161</v>
      </c>
      <c r="V55" s="40">
        <v>46161</v>
      </c>
      <c r="W55" s="20" t="s">
        <v>54</v>
      </c>
      <c r="X55" s="21"/>
      <c r="Y55" s="38"/>
      <c r="Z55" s="38"/>
      <c r="AA55" s="38"/>
      <c r="AB55" s="325">
        <v>46175</v>
      </c>
      <c r="AC55" s="22"/>
      <c r="AD55" s="144"/>
      <c r="AE55" s="20" t="s">
        <v>92</v>
      </c>
      <c r="AF55" s="135"/>
      <c r="AG55" s="338" t="s">
        <v>295</v>
      </c>
    </row>
    <row r="56" spans="1:33">
      <c r="A56" s="135" t="s">
        <v>289</v>
      </c>
      <c r="B56" s="135">
        <v>2000120133</v>
      </c>
      <c r="C56" s="46">
        <v>11125142</v>
      </c>
      <c r="D56" s="20" t="s">
        <v>218</v>
      </c>
      <c r="E56" s="20" t="s">
        <v>284</v>
      </c>
      <c r="F56" s="24">
        <v>66</v>
      </c>
      <c r="G56" s="21" t="s">
        <v>274</v>
      </c>
      <c r="H56" s="53" t="s">
        <v>290</v>
      </c>
      <c r="I56" s="24" t="s">
        <v>291</v>
      </c>
      <c r="J56" s="24">
        <v>66</v>
      </c>
      <c r="K56" s="46">
        <v>12120564</v>
      </c>
      <c r="L56" s="20" t="s">
        <v>226</v>
      </c>
      <c r="M56" s="38">
        <v>0</v>
      </c>
      <c r="N56" s="38"/>
      <c r="O56" s="38">
        <v>0</v>
      </c>
      <c r="P56" s="38">
        <v>0</v>
      </c>
      <c r="Q56" s="20">
        <v>0</v>
      </c>
      <c r="R56" s="40">
        <v>46160</v>
      </c>
      <c r="S56" s="38">
        <v>0</v>
      </c>
      <c r="T56" s="38">
        <v>0</v>
      </c>
      <c r="U56" s="40">
        <v>46161</v>
      </c>
      <c r="V56" s="40">
        <v>46161</v>
      </c>
      <c r="W56" s="20" t="s">
        <v>54</v>
      </c>
      <c r="X56" s="21"/>
      <c r="Y56" s="38"/>
      <c r="Z56" s="38"/>
      <c r="AA56" s="38"/>
      <c r="AB56" s="325">
        <v>46175</v>
      </c>
      <c r="AC56" s="22"/>
      <c r="AD56" s="144"/>
      <c r="AE56" s="20" t="s">
        <v>92</v>
      </c>
      <c r="AF56" s="135"/>
      <c r="AG56" s="338" t="s">
        <v>295</v>
      </c>
    </row>
    <row r="57" spans="1:33">
      <c r="A57" s="135" t="s">
        <v>292</v>
      </c>
      <c r="B57" s="135">
        <v>2000120134</v>
      </c>
      <c r="C57" s="46">
        <v>11125142</v>
      </c>
      <c r="D57" s="20" t="s">
        <v>218</v>
      </c>
      <c r="E57" s="20" t="s">
        <v>284</v>
      </c>
      <c r="F57" s="24">
        <v>66</v>
      </c>
      <c r="G57" s="21" t="s">
        <v>274</v>
      </c>
      <c r="H57" s="53" t="s">
        <v>293</v>
      </c>
      <c r="I57" s="24" t="s">
        <v>294</v>
      </c>
      <c r="J57" s="24">
        <v>66</v>
      </c>
      <c r="K57" s="46">
        <v>12120564</v>
      </c>
      <c r="L57" s="20" t="s">
        <v>226</v>
      </c>
      <c r="M57" s="38">
        <v>0</v>
      </c>
      <c r="N57" s="38"/>
      <c r="O57" s="38">
        <v>0</v>
      </c>
      <c r="P57" s="38">
        <v>0</v>
      </c>
      <c r="Q57" s="20">
        <v>0</v>
      </c>
      <c r="R57" s="40">
        <v>46160</v>
      </c>
      <c r="S57" s="38">
        <v>0</v>
      </c>
      <c r="T57" s="38">
        <v>0</v>
      </c>
      <c r="U57" s="40">
        <v>46161</v>
      </c>
      <c r="V57" s="40">
        <v>46161</v>
      </c>
      <c r="W57" s="20" t="s">
        <v>54</v>
      </c>
      <c r="X57" s="21"/>
      <c r="Y57" s="38"/>
      <c r="Z57" s="38"/>
      <c r="AA57" s="38"/>
      <c r="AB57" s="325">
        <v>46175</v>
      </c>
      <c r="AC57" s="22"/>
      <c r="AD57" s="144"/>
      <c r="AE57" s="20" t="s">
        <v>92</v>
      </c>
      <c r="AF57" s="135"/>
      <c r="AG57" s="338" t="s">
        <v>295</v>
      </c>
    </row>
    <row r="58" spans="1:33">
      <c r="A58" s="135" t="s">
        <v>331</v>
      </c>
      <c r="B58" s="135">
        <v>2000120138</v>
      </c>
      <c r="C58" s="46">
        <v>11132001</v>
      </c>
      <c r="D58" s="20" t="s">
        <v>222</v>
      </c>
      <c r="E58" s="20" t="s">
        <v>298</v>
      </c>
      <c r="F58" s="24">
        <v>129</v>
      </c>
      <c r="G58" s="21" t="s">
        <v>272</v>
      </c>
      <c r="H58" s="53" t="s">
        <v>299</v>
      </c>
      <c r="I58" s="24" t="s">
        <v>300</v>
      </c>
      <c r="J58" s="24">
        <v>129</v>
      </c>
      <c r="K58" s="46">
        <v>12120522</v>
      </c>
      <c r="L58" s="20" t="s">
        <v>230</v>
      </c>
      <c r="M58" s="38">
        <v>0</v>
      </c>
      <c r="N58" s="38"/>
      <c r="O58" s="38">
        <v>0</v>
      </c>
      <c r="P58" s="38">
        <v>0</v>
      </c>
      <c r="Q58" s="20">
        <v>0</v>
      </c>
      <c r="R58" s="40">
        <v>46149</v>
      </c>
      <c r="S58" s="38">
        <v>0</v>
      </c>
      <c r="T58" s="38">
        <v>0</v>
      </c>
      <c r="U58" s="40">
        <v>46150</v>
      </c>
      <c r="V58" s="40">
        <v>46150</v>
      </c>
      <c r="W58" s="20" t="s">
        <v>54</v>
      </c>
      <c r="X58" s="21"/>
      <c r="Y58" s="38"/>
      <c r="Z58" s="38"/>
      <c r="AA58" s="38"/>
      <c r="AB58" s="325">
        <v>46164</v>
      </c>
      <c r="AC58" s="22"/>
      <c r="AD58" s="144"/>
      <c r="AE58" s="20" t="s">
        <v>92</v>
      </c>
      <c r="AF58" s="135"/>
      <c r="AG58" s="338" t="s">
        <v>346</v>
      </c>
    </row>
    <row r="59" spans="1:33">
      <c r="A59" s="135" t="s">
        <v>332</v>
      </c>
      <c r="B59" s="135">
        <v>2000120139</v>
      </c>
      <c r="C59" s="46">
        <v>11132001</v>
      </c>
      <c r="D59" s="20" t="s">
        <v>222</v>
      </c>
      <c r="E59" s="20" t="s">
        <v>298</v>
      </c>
      <c r="F59" s="24">
        <v>129</v>
      </c>
      <c r="G59" s="21" t="s">
        <v>272</v>
      </c>
      <c r="H59" s="53" t="s">
        <v>301</v>
      </c>
      <c r="I59" s="24" t="s">
        <v>302</v>
      </c>
      <c r="J59" s="24">
        <v>129</v>
      </c>
      <c r="K59" s="46">
        <v>12120522</v>
      </c>
      <c r="L59" s="20" t="s">
        <v>230</v>
      </c>
      <c r="M59" s="38">
        <v>0</v>
      </c>
      <c r="N59" s="38"/>
      <c r="O59" s="38">
        <v>0</v>
      </c>
      <c r="P59" s="38">
        <v>0</v>
      </c>
      <c r="Q59" s="20">
        <v>0</v>
      </c>
      <c r="R59" s="40">
        <v>46149</v>
      </c>
      <c r="S59" s="38">
        <v>0</v>
      </c>
      <c r="T59" s="38">
        <v>0</v>
      </c>
      <c r="U59" s="40">
        <v>46150</v>
      </c>
      <c r="V59" s="40">
        <v>46150</v>
      </c>
      <c r="W59" s="20" t="s">
        <v>54</v>
      </c>
      <c r="X59" s="21"/>
      <c r="Y59" s="38"/>
      <c r="Z59" s="38"/>
      <c r="AA59" s="38"/>
      <c r="AB59" s="325">
        <v>46164</v>
      </c>
      <c r="AC59" s="22"/>
      <c r="AD59" s="144"/>
      <c r="AE59" s="20" t="s">
        <v>92</v>
      </c>
      <c r="AF59" s="135"/>
      <c r="AG59" s="338" t="s">
        <v>346</v>
      </c>
    </row>
    <row r="60" spans="1:33">
      <c r="A60" s="135" t="s">
        <v>333</v>
      </c>
      <c r="B60" s="135">
        <v>2000120140</v>
      </c>
      <c r="C60" s="46">
        <v>11132001</v>
      </c>
      <c r="D60" s="20" t="s">
        <v>222</v>
      </c>
      <c r="E60" s="20" t="s">
        <v>298</v>
      </c>
      <c r="F60" s="24">
        <v>129</v>
      </c>
      <c r="G60" s="21" t="s">
        <v>272</v>
      </c>
      <c r="H60" s="53" t="s">
        <v>303</v>
      </c>
      <c r="I60" s="24" t="s">
        <v>304</v>
      </c>
      <c r="J60" s="24">
        <v>129</v>
      </c>
      <c r="K60" s="46">
        <v>12120522</v>
      </c>
      <c r="L60" s="20" t="s">
        <v>230</v>
      </c>
      <c r="M60" s="38">
        <v>0</v>
      </c>
      <c r="N60" s="38"/>
      <c r="O60" s="38">
        <v>0</v>
      </c>
      <c r="P60" s="38">
        <v>0</v>
      </c>
      <c r="Q60" s="20">
        <v>0</v>
      </c>
      <c r="R60" s="40">
        <v>46149</v>
      </c>
      <c r="S60" s="38">
        <v>0</v>
      </c>
      <c r="T60" s="38">
        <v>0</v>
      </c>
      <c r="U60" s="40">
        <v>46150</v>
      </c>
      <c r="V60" s="40">
        <v>46150</v>
      </c>
      <c r="W60" s="20" t="s">
        <v>54</v>
      </c>
      <c r="X60" s="21"/>
      <c r="Y60" s="38"/>
      <c r="Z60" s="38"/>
      <c r="AA60" s="38"/>
      <c r="AB60" s="325">
        <v>46164</v>
      </c>
      <c r="AC60" s="22"/>
      <c r="AD60" s="144"/>
      <c r="AE60" s="20" t="s">
        <v>92</v>
      </c>
      <c r="AF60" s="135"/>
      <c r="AG60" s="338" t="s">
        <v>346</v>
      </c>
    </row>
    <row r="61" spans="1:33">
      <c r="A61" s="135" t="s">
        <v>334</v>
      </c>
      <c r="B61" s="135">
        <v>2000120141</v>
      </c>
      <c r="C61" s="46">
        <v>11132001</v>
      </c>
      <c r="D61" s="20" t="s">
        <v>222</v>
      </c>
      <c r="E61" s="20" t="s">
        <v>298</v>
      </c>
      <c r="F61" s="24">
        <v>129</v>
      </c>
      <c r="G61" s="21" t="s">
        <v>274</v>
      </c>
      <c r="H61" s="53" t="s">
        <v>305</v>
      </c>
      <c r="I61" s="24" t="s">
        <v>306</v>
      </c>
      <c r="J61" s="24">
        <v>129</v>
      </c>
      <c r="K61" s="46">
        <v>12120522</v>
      </c>
      <c r="L61" s="20" t="s">
        <v>230</v>
      </c>
      <c r="M61" s="38">
        <v>0</v>
      </c>
      <c r="N61" s="38"/>
      <c r="O61" s="38">
        <v>0</v>
      </c>
      <c r="P61" s="38">
        <v>0</v>
      </c>
      <c r="Q61" s="20">
        <v>0</v>
      </c>
      <c r="R61" s="40">
        <v>46160</v>
      </c>
      <c r="S61" s="38">
        <v>0</v>
      </c>
      <c r="T61" s="38">
        <v>0</v>
      </c>
      <c r="U61" s="40">
        <v>46161</v>
      </c>
      <c r="V61" s="40">
        <v>46161</v>
      </c>
      <c r="W61" s="20" t="s">
        <v>54</v>
      </c>
      <c r="X61" s="21"/>
      <c r="Y61" s="38"/>
      <c r="Z61" s="38"/>
      <c r="AA61" s="38"/>
      <c r="AB61" s="325">
        <v>46175</v>
      </c>
      <c r="AC61" s="22"/>
      <c r="AD61" s="144"/>
      <c r="AE61" s="20" t="s">
        <v>92</v>
      </c>
      <c r="AF61" s="135"/>
      <c r="AG61" s="338" t="s">
        <v>295</v>
      </c>
    </row>
    <row r="62" spans="1:33">
      <c r="A62" s="135" t="s">
        <v>335</v>
      </c>
      <c r="B62" s="135">
        <v>2000120142</v>
      </c>
      <c r="C62" s="46">
        <v>11132001</v>
      </c>
      <c r="D62" s="20" t="s">
        <v>222</v>
      </c>
      <c r="E62" s="20" t="s">
        <v>298</v>
      </c>
      <c r="F62" s="24">
        <v>129</v>
      </c>
      <c r="G62" s="21" t="s">
        <v>274</v>
      </c>
      <c r="H62" s="53" t="s">
        <v>307</v>
      </c>
      <c r="I62" s="24" t="s">
        <v>308</v>
      </c>
      <c r="J62" s="24">
        <v>129</v>
      </c>
      <c r="K62" s="46">
        <v>12120522</v>
      </c>
      <c r="L62" s="20" t="s">
        <v>230</v>
      </c>
      <c r="M62" s="38">
        <v>0</v>
      </c>
      <c r="N62" s="38"/>
      <c r="O62" s="38">
        <v>0</v>
      </c>
      <c r="P62" s="38">
        <v>0</v>
      </c>
      <c r="Q62" s="20">
        <v>0</v>
      </c>
      <c r="R62" s="40">
        <v>46160</v>
      </c>
      <c r="S62" s="38">
        <v>0</v>
      </c>
      <c r="T62" s="38">
        <v>0</v>
      </c>
      <c r="U62" s="40">
        <v>46161</v>
      </c>
      <c r="V62" s="40">
        <v>46161</v>
      </c>
      <c r="W62" s="20" t="s">
        <v>54</v>
      </c>
      <c r="X62" s="21"/>
      <c r="Y62" s="38"/>
      <c r="Z62" s="38"/>
      <c r="AA62" s="38"/>
      <c r="AB62" s="325">
        <v>46175</v>
      </c>
      <c r="AC62" s="22"/>
      <c r="AD62" s="144"/>
      <c r="AE62" s="20" t="s">
        <v>92</v>
      </c>
      <c r="AF62" s="135"/>
      <c r="AG62" s="338" t="s">
        <v>295</v>
      </c>
    </row>
    <row r="63" spans="1:33">
      <c r="A63" s="135" t="s">
        <v>336</v>
      </c>
      <c r="B63" s="135">
        <v>2000120143</v>
      </c>
      <c r="C63" s="46">
        <v>11132001</v>
      </c>
      <c r="D63" s="20" t="s">
        <v>222</v>
      </c>
      <c r="E63" s="20" t="s">
        <v>298</v>
      </c>
      <c r="F63" s="24">
        <v>129</v>
      </c>
      <c r="G63" s="21" t="s">
        <v>274</v>
      </c>
      <c r="H63" s="53" t="s">
        <v>309</v>
      </c>
      <c r="I63" s="24" t="s">
        <v>310</v>
      </c>
      <c r="J63" s="24">
        <v>129</v>
      </c>
      <c r="K63" s="46">
        <v>12120522</v>
      </c>
      <c r="L63" s="20" t="s">
        <v>230</v>
      </c>
      <c r="M63" s="38">
        <v>0</v>
      </c>
      <c r="N63" s="38"/>
      <c r="O63" s="38">
        <v>0</v>
      </c>
      <c r="P63" s="38">
        <v>0</v>
      </c>
      <c r="Q63" s="20">
        <v>0</v>
      </c>
      <c r="R63" s="40">
        <v>46160</v>
      </c>
      <c r="S63" s="38">
        <v>0</v>
      </c>
      <c r="T63" s="38">
        <v>0</v>
      </c>
      <c r="U63" s="40">
        <v>46161</v>
      </c>
      <c r="V63" s="40">
        <v>46161</v>
      </c>
      <c r="W63" s="20" t="s">
        <v>54</v>
      </c>
      <c r="X63" s="21"/>
      <c r="Y63" s="38"/>
      <c r="Z63" s="38"/>
      <c r="AA63" s="38"/>
      <c r="AB63" s="325">
        <v>46175</v>
      </c>
      <c r="AC63" s="22"/>
      <c r="AD63" s="144"/>
      <c r="AE63" s="20" t="s">
        <v>92</v>
      </c>
      <c r="AF63" s="135"/>
      <c r="AG63" s="338" t="s">
        <v>295</v>
      </c>
    </row>
    <row r="64" spans="1:33">
      <c r="A64" s="135" t="s">
        <v>337</v>
      </c>
      <c r="B64" s="135">
        <v>2000120144</v>
      </c>
      <c r="C64" s="46">
        <v>11132002</v>
      </c>
      <c r="D64" s="20" t="s">
        <v>223</v>
      </c>
      <c r="E64" s="20" t="s">
        <v>311</v>
      </c>
      <c r="F64" s="24">
        <v>11</v>
      </c>
      <c r="G64" s="21" t="s">
        <v>283</v>
      </c>
      <c r="H64" s="53" t="s">
        <v>312</v>
      </c>
      <c r="I64" s="24" t="s">
        <v>313</v>
      </c>
      <c r="J64" s="24">
        <v>11</v>
      </c>
      <c r="K64" s="46">
        <v>12120523</v>
      </c>
      <c r="L64" s="20" t="s">
        <v>231</v>
      </c>
      <c r="M64" s="38">
        <v>0</v>
      </c>
      <c r="N64" s="38"/>
      <c r="O64" s="38">
        <v>0</v>
      </c>
      <c r="P64" s="38">
        <v>0</v>
      </c>
      <c r="Q64" s="20">
        <v>0</v>
      </c>
      <c r="R64" s="40">
        <v>46149</v>
      </c>
      <c r="S64" s="38">
        <v>0</v>
      </c>
      <c r="T64" s="38">
        <v>0</v>
      </c>
      <c r="U64" s="40">
        <v>46150</v>
      </c>
      <c r="V64" s="40">
        <v>46150</v>
      </c>
      <c r="W64" s="20" t="s">
        <v>54</v>
      </c>
      <c r="X64" s="21"/>
      <c r="Y64" s="38"/>
      <c r="Z64" s="38"/>
      <c r="AA64" s="38"/>
      <c r="AB64" s="325">
        <v>46164</v>
      </c>
      <c r="AC64" s="22"/>
      <c r="AD64" s="144"/>
      <c r="AE64" s="20" t="s">
        <v>92</v>
      </c>
      <c r="AF64" s="135"/>
      <c r="AG64" s="338" t="s">
        <v>346</v>
      </c>
    </row>
    <row r="65" spans="1:33">
      <c r="A65" s="135" t="s">
        <v>338</v>
      </c>
      <c r="B65" s="135">
        <v>2000120145</v>
      </c>
      <c r="C65" s="46">
        <v>11132002</v>
      </c>
      <c r="D65" s="20" t="s">
        <v>223</v>
      </c>
      <c r="E65" s="20" t="s">
        <v>311</v>
      </c>
      <c r="F65" s="24">
        <v>11</v>
      </c>
      <c r="G65" s="21" t="s">
        <v>283</v>
      </c>
      <c r="H65" s="53" t="s">
        <v>314</v>
      </c>
      <c r="I65" s="24" t="s">
        <v>315</v>
      </c>
      <c r="J65" s="24">
        <v>11</v>
      </c>
      <c r="K65" s="46">
        <v>12120523</v>
      </c>
      <c r="L65" s="20" t="s">
        <v>231</v>
      </c>
      <c r="M65" s="38">
        <v>0</v>
      </c>
      <c r="N65" s="38"/>
      <c r="O65" s="38">
        <v>0</v>
      </c>
      <c r="P65" s="38">
        <v>0</v>
      </c>
      <c r="Q65" s="20">
        <v>0</v>
      </c>
      <c r="R65" s="40">
        <v>46149</v>
      </c>
      <c r="S65" s="38">
        <v>0</v>
      </c>
      <c r="T65" s="38">
        <v>0</v>
      </c>
      <c r="U65" s="40">
        <v>46150</v>
      </c>
      <c r="V65" s="40">
        <v>46150</v>
      </c>
      <c r="W65" s="20" t="s">
        <v>54</v>
      </c>
      <c r="X65" s="21"/>
      <c r="Y65" s="38"/>
      <c r="Z65" s="38"/>
      <c r="AA65" s="38"/>
      <c r="AB65" s="325">
        <v>46164</v>
      </c>
      <c r="AC65" s="22"/>
      <c r="AD65" s="144"/>
      <c r="AE65" s="20" t="s">
        <v>92</v>
      </c>
      <c r="AF65" s="135"/>
      <c r="AG65" s="338" t="s">
        <v>346</v>
      </c>
    </row>
    <row r="66" spans="1:33">
      <c r="A66" s="135" t="s">
        <v>339</v>
      </c>
      <c r="B66" s="135">
        <v>2000120146</v>
      </c>
      <c r="C66" s="46">
        <v>11132002</v>
      </c>
      <c r="D66" s="20" t="s">
        <v>223</v>
      </c>
      <c r="E66" s="20" t="s">
        <v>311</v>
      </c>
      <c r="F66" s="24">
        <v>11</v>
      </c>
      <c r="G66" s="21" t="s">
        <v>283</v>
      </c>
      <c r="H66" s="53" t="s">
        <v>316</v>
      </c>
      <c r="I66" s="24" t="s">
        <v>317</v>
      </c>
      <c r="J66" s="24">
        <v>11</v>
      </c>
      <c r="K66" s="46">
        <v>12120523</v>
      </c>
      <c r="L66" s="20" t="s">
        <v>231</v>
      </c>
      <c r="M66" s="38">
        <v>0</v>
      </c>
      <c r="N66" s="38"/>
      <c r="O66" s="38">
        <v>0</v>
      </c>
      <c r="P66" s="38">
        <v>0</v>
      </c>
      <c r="Q66" s="20">
        <v>0</v>
      </c>
      <c r="R66" s="40">
        <v>46149</v>
      </c>
      <c r="S66" s="38">
        <v>0</v>
      </c>
      <c r="T66" s="38">
        <v>0</v>
      </c>
      <c r="U66" s="40">
        <v>46150</v>
      </c>
      <c r="V66" s="40">
        <v>46150</v>
      </c>
      <c r="W66" s="20" t="s">
        <v>54</v>
      </c>
      <c r="X66" s="21"/>
      <c r="Y66" s="38"/>
      <c r="Z66" s="38"/>
      <c r="AA66" s="38"/>
      <c r="AB66" s="325">
        <v>46164</v>
      </c>
      <c r="AC66" s="22"/>
      <c r="AD66" s="144"/>
      <c r="AE66" s="20" t="s">
        <v>92</v>
      </c>
      <c r="AF66" s="135"/>
      <c r="AG66" s="338" t="s">
        <v>346</v>
      </c>
    </row>
    <row r="67" spans="1:33">
      <c r="A67" s="135" t="s">
        <v>340</v>
      </c>
      <c r="B67" s="135">
        <v>2000120147</v>
      </c>
      <c r="C67" s="46">
        <v>11132003</v>
      </c>
      <c r="D67" s="20" t="s">
        <v>221</v>
      </c>
      <c r="E67" s="20" t="s">
        <v>318</v>
      </c>
      <c r="F67" s="24">
        <v>70</v>
      </c>
      <c r="G67" s="21" t="s">
        <v>285</v>
      </c>
      <c r="H67" s="53" t="s">
        <v>319</v>
      </c>
      <c r="I67" s="24" t="s">
        <v>320</v>
      </c>
      <c r="J67" s="24">
        <v>70</v>
      </c>
      <c r="K67" s="46">
        <v>12120524</v>
      </c>
      <c r="L67" s="20" t="s">
        <v>229</v>
      </c>
      <c r="M67" s="38">
        <v>0</v>
      </c>
      <c r="N67" s="38"/>
      <c r="O67" s="38">
        <v>0</v>
      </c>
      <c r="P67" s="38">
        <v>0</v>
      </c>
      <c r="Q67" s="20">
        <v>0</v>
      </c>
      <c r="R67" s="40">
        <v>46149</v>
      </c>
      <c r="S67" s="38">
        <v>0</v>
      </c>
      <c r="T67" s="38">
        <v>0</v>
      </c>
      <c r="U67" s="40">
        <v>46150</v>
      </c>
      <c r="V67" s="40">
        <v>46150</v>
      </c>
      <c r="W67" s="20" t="s">
        <v>54</v>
      </c>
      <c r="X67" s="21"/>
      <c r="Y67" s="38"/>
      <c r="Z67" s="38"/>
      <c r="AA67" s="38"/>
      <c r="AB67" s="325">
        <v>46164</v>
      </c>
      <c r="AC67" s="22"/>
      <c r="AD67" s="144"/>
      <c r="AE67" s="20" t="s">
        <v>92</v>
      </c>
      <c r="AF67" s="135"/>
      <c r="AG67" s="338" t="s">
        <v>346</v>
      </c>
    </row>
    <row r="68" spans="1:33">
      <c r="A68" s="135" t="s">
        <v>341</v>
      </c>
      <c r="B68" s="135">
        <v>2000120148</v>
      </c>
      <c r="C68" s="46">
        <v>11132003</v>
      </c>
      <c r="D68" s="20" t="s">
        <v>221</v>
      </c>
      <c r="E68" s="20" t="s">
        <v>318</v>
      </c>
      <c r="F68" s="24">
        <v>70</v>
      </c>
      <c r="G68" s="21" t="s">
        <v>285</v>
      </c>
      <c r="H68" s="53" t="s">
        <v>321</v>
      </c>
      <c r="I68" s="24" t="s">
        <v>322</v>
      </c>
      <c r="J68" s="24">
        <v>70</v>
      </c>
      <c r="K68" s="46">
        <v>12120524</v>
      </c>
      <c r="L68" s="20" t="s">
        <v>229</v>
      </c>
      <c r="M68" s="38">
        <v>0</v>
      </c>
      <c r="N68" s="38"/>
      <c r="O68" s="38">
        <v>0</v>
      </c>
      <c r="P68" s="38">
        <v>0</v>
      </c>
      <c r="Q68" s="20">
        <v>0</v>
      </c>
      <c r="R68" s="40">
        <v>46149</v>
      </c>
      <c r="S68" s="38">
        <v>0</v>
      </c>
      <c r="T68" s="38">
        <v>0</v>
      </c>
      <c r="U68" s="40">
        <v>46150</v>
      </c>
      <c r="V68" s="40">
        <v>46150</v>
      </c>
      <c r="W68" s="20" t="s">
        <v>54</v>
      </c>
      <c r="X68" s="21"/>
      <c r="Y68" s="38"/>
      <c r="Z68" s="38"/>
      <c r="AA68" s="38"/>
      <c r="AB68" s="325">
        <v>46164</v>
      </c>
      <c r="AC68" s="22"/>
      <c r="AD68" s="144"/>
      <c r="AE68" s="20" t="s">
        <v>92</v>
      </c>
      <c r="AF68" s="135"/>
      <c r="AG68" s="338" t="s">
        <v>346</v>
      </c>
    </row>
    <row r="69" spans="1:33">
      <c r="A69" s="135" t="s">
        <v>342</v>
      </c>
      <c r="B69" s="135">
        <v>2000120149</v>
      </c>
      <c r="C69" s="46">
        <v>11132003</v>
      </c>
      <c r="D69" s="20" t="s">
        <v>221</v>
      </c>
      <c r="E69" s="20" t="s">
        <v>318</v>
      </c>
      <c r="F69" s="24">
        <v>70</v>
      </c>
      <c r="G69" s="21" t="s">
        <v>285</v>
      </c>
      <c r="H69" s="53" t="s">
        <v>323</v>
      </c>
      <c r="I69" s="24" t="s">
        <v>324</v>
      </c>
      <c r="J69" s="24">
        <v>70</v>
      </c>
      <c r="K69" s="46">
        <v>12120524</v>
      </c>
      <c r="L69" s="20" t="s">
        <v>229</v>
      </c>
      <c r="M69" s="38">
        <v>0</v>
      </c>
      <c r="N69" s="38"/>
      <c r="O69" s="38">
        <v>0</v>
      </c>
      <c r="P69" s="38">
        <v>0</v>
      </c>
      <c r="Q69" s="20">
        <v>0</v>
      </c>
      <c r="R69" s="40">
        <v>46149</v>
      </c>
      <c r="S69" s="38">
        <v>0</v>
      </c>
      <c r="T69" s="38">
        <v>0</v>
      </c>
      <c r="U69" s="40">
        <v>46150</v>
      </c>
      <c r="V69" s="40">
        <v>46150</v>
      </c>
      <c r="W69" s="20" t="s">
        <v>54</v>
      </c>
      <c r="X69" s="21"/>
      <c r="Y69" s="38"/>
      <c r="Z69" s="38"/>
      <c r="AA69" s="38"/>
      <c r="AB69" s="325">
        <v>46164</v>
      </c>
      <c r="AC69" s="22"/>
      <c r="AD69" s="144"/>
      <c r="AE69" s="20" t="s">
        <v>92</v>
      </c>
      <c r="AF69" s="135"/>
      <c r="AG69" s="338" t="s">
        <v>346</v>
      </c>
    </row>
    <row r="70" spans="1:33">
      <c r="A70" s="135" t="s">
        <v>343</v>
      </c>
      <c r="B70" s="135">
        <v>2000120150</v>
      </c>
      <c r="C70" s="46">
        <v>11132003</v>
      </c>
      <c r="D70" s="20" t="s">
        <v>221</v>
      </c>
      <c r="E70" s="20" t="s">
        <v>318</v>
      </c>
      <c r="F70" s="24">
        <v>69</v>
      </c>
      <c r="G70" s="21" t="s">
        <v>274</v>
      </c>
      <c r="H70" s="53" t="s">
        <v>325</v>
      </c>
      <c r="I70" s="24" t="s">
        <v>326</v>
      </c>
      <c r="J70" s="24">
        <v>69</v>
      </c>
      <c r="K70" s="46">
        <v>12120524</v>
      </c>
      <c r="L70" s="20" t="s">
        <v>229</v>
      </c>
      <c r="M70" s="38">
        <v>0</v>
      </c>
      <c r="N70" s="38"/>
      <c r="O70" s="38">
        <v>0</v>
      </c>
      <c r="P70" s="38">
        <v>0</v>
      </c>
      <c r="Q70" s="20">
        <v>0</v>
      </c>
      <c r="R70" s="40">
        <v>46160</v>
      </c>
      <c r="S70" s="38">
        <v>0</v>
      </c>
      <c r="T70" s="38">
        <v>0</v>
      </c>
      <c r="U70" s="40">
        <v>46161</v>
      </c>
      <c r="V70" s="40">
        <v>46161</v>
      </c>
      <c r="W70" s="20" t="s">
        <v>54</v>
      </c>
      <c r="X70" s="21"/>
      <c r="Y70" s="38"/>
      <c r="Z70" s="38"/>
      <c r="AA70" s="38"/>
      <c r="AB70" s="325">
        <v>46175</v>
      </c>
      <c r="AC70" s="22"/>
      <c r="AD70" s="144"/>
      <c r="AE70" s="20" t="s">
        <v>92</v>
      </c>
      <c r="AF70" s="135"/>
      <c r="AG70" s="338" t="s">
        <v>295</v>
      </c>
    </row>
    <row r="71" spans="1:33">
      <c r="A71" s="135" t="s">
        <v>344</v>
      </c>
      <c r="B71" s="135">
        <v>2000120151</v>
      </c>
      <c r="C71" s="46">
        <v>11132003</v>
      </c>
      <c r="D71" s="20" t="s">
        <v>221</v>
      </c>
      <c r="E71" s="20" t="s">
        <v>318</v>
      </c>
      <c r="F71" s="24">
        <v>69</v>
      </c>
      <c r="G71" s="21" t="s">
        <v>274</v>
      </c>
      <c r="H71" s="53" t="s">
        <v>327</v>
      </c>
      <c r="I71" s="24" t="s">
        <v>328</v>
      </c>
      <c r="J71" s="24">
        <v>69</v>
      </c>
      <c r="K71" s="46">
        <v>12120524</v>
      </c>
      <c r="L71" s="20" t="s">
        <v>229</v>
      </c>
      <c r="M71" s="38">
        <v>0</v>
      </c>
      <c r="N71" s="38"/>
      <c r="O71" s="38">
        <v>0</v>
      </c>
      <c r="P71" s="38">
        <v>0</v>
      </c>
      <c r="Q71" s="20">
        <v>0</v>
      </c>
      <c r="R71" s="40">
        <v>46160</v>
      </c>
      <c r="S71" s="38">
        <v>0</v>
      </c>
      <c r="T71" s="38">
        <v>0</v>
      </c>
      <c r="U71" s="40">
        <v>46161</v>
      </c>
      <c r="V71" s="40">
        <v>46161</v>
      </c>
      <c r="W71" s="20" t="s">
        <v>54</v>
      </c>
      <c r="X71" s="21"/>
      <c r="Y71" s="38"/>
      <c r="Z71" s="38"/>
      <c r="AA71" s="38"/>
      <c r="AB71" s="325">
        <v>46175</v>
      </c>
      <c r="AC71" s="22"/>
      <c r="AD71" s="144"/>
      <c r="AE71" s="20" t="s">
        <v>92</v>
      </c>
      <c r="AF71" s="135"/>
      <c r="AG71" s="338" t="s">
        <v>295</v>
      </c>
    </row>
    <row r="72" spans="1:33">
      <c r="A72" s="135" t="s">
        <v>345</v>
      </c>
      <c r="B72" s="135">
        <v>2000120152</v>
      </c>
      <c r="C72" s="46">
        <v>11132003</v>
      </c>
      <c r="D72" s="20" t="s">
        <v>221</v>
      </c>
      <c r="E72" s="20" t="s">
        <v>318</v>
      </c>
      <c r="F72" s="24">
        <v>69</v>
      </c>
      <c r="G72" s="21" t="s">
        <v>274</v>
      </c>
      <c r="H72" s="53" t="s">
        <v>329</v>
      </c>
      <c r="I72" s="24" t="s">
        <v>330</v>
      </c>
      <c r="J72" s="24">
        <v>69</v>
      </c>
      <c r="K72" s="46">
        <v>12120524</v>
      </c>
      <c r="L72" s="20" t="s">
        <v>229</v>
      </c>
      <c r="M72" s="38">
        <v>0</v>
      </c>
      <c r="N72" s="38"/>
      <c r="O72" s="38">
        <v>0</v>
      </c>
      <c r="P72" s="38">
        <v>0</v>
      </c>
      <c r="Q72" s="20">
        <v>0</v>
      </c>
      <c r="R72" s="40">
        <v>46160</v>
      </c>
      <c r="S72" s="38">
        <v>0</v>
      </c>
      <c r="T72" s="38">
        <v>0</v>
      </c>
      <c r="U72" s="40">
        <v>46161</v>
      </c>
      <c r="V72" s="40">
        <v>46161</v>
      </c>
      <c r="W72" s="20" t="s">
        <v>54</v>
      </c>
      <c r="X72" s="21"/>
      <c r="Y72" s="38"/>
      <c r="Z72" s="38"/>
      <c r="AA72" s="38"/>
      <c r="AB72" s="325">
        <v>46175</v>
      </c>
      <c r="AC72" s="22"/>
      <c r="AD72" s="144"/>
      <c r="AE72" s="20" t="s">
        <v>92</v>
      </c>
      <c r="AF72" s="135"/>
      <c r="AG72" s="338" t="s">
        <v>295</v>
      </c>
    </row>
    <row r="74" spans="1:33">
      <c r="C74" s="340"/>
      <c r="D74" s="341"/>
    </row>
    <row r="75" spans="1:33">
      <c r="C75" s="340"/>
      <c r="D75" s="341"/>
    </row>
    <row r="76" spans="1:33">
      <c r="C76" s="340"/>
      <c r="D76" s="341"/>
    </row>
    <row r="77" spans="1:33">
      <c r="C77" s="340"/>
      <c r="D77" s="341"/>
    </row>
    <row r="78" spans="1:33">
      <c r="C78" s="340"/>
      <c r="D78" s="341"/>
    </row>
    <row r="79" spans="1:33">
      <c r="C79" s="340"/>
      <c r="D79" s="341"/>
    </row>
    <row r="80" spans="1:33">
      <c r="C80" s="340"/>
      <c r="D80" s="341"/>
    </row>
    <row r="81" spans="3:4">
      <c r="C81" s="340"/>
      <c r="D81" s="341"/>
    </row>
    <row r="82" spans="3:4">
      <c r="C82" s="340"/>
      <c r="D82" s="341"/>
    </row>
    <row r="83" spans="3:4">
      <c r="C83" s="340"/>
      <c r="D83" s="341"/>
    </row>
    <row r="84" spans="3:4">
      <c r="C84" s="340"/>
      <c r="D84" s="341"/>
    </row>
    <row r="85" spans="3:4">
      <c r="C85" s="340"/>
      <c r="D85" s="341"/>
    </row>
    <row r="86" spans="3:4">
      <c r="C86" s="340"/>
      <c r="D86" s="341"/>
    </row>
    <row r="87" spans="3:4">
      <c r="C87" s="340"/>
      <c r="D87" s="341"/>
    </row>
    <row r="88" spans="3:4">
      <c r="C88" s="340"/>
      <c r="D88" s="341"/>
    </row>
  </sheetData>
  <autoFilter ref="A1:AE32"/>
  <conditionalFormatting sqref="A1">
    <cfRule type="duplicateValues" dxfId="12864" priority="198"/>
  </conditionalFormatting>
  <conditionalFormatting sqref="H1">
    <cfRule type="duplicateValues" dxfId="12863" priority="197"/>
  </conditionalFormatting>
  <conditionalFormatting sqref="G1">
    <cfRule type="duplicateValues" dxfId="12862" priority="196"/>
  </conditionalFormatting>
  <conditionalFormatting sqref="H1">
    <cfRule type="duplicateValues" dxfId="12861" priority="194"/>
    <cfRule type="duplicateValues" dxfId="12860" priority="195"/>
  </conditionalFormatting>
  <conditionalFormatting sqref="G1:H1">
    <cfRule type="duplicateValues" dxfId="12859" priority="193"/>
  </conditionalFormatting>
  <conditionalFormatting sqref="H1">
    <cfRule type="duplicateValues" dxfId="12858" priority="192"/>
  </conditionalFormatting>
  <conditionalFormatting sqref="G1">
    <cfRule type="duplicateValues" dxfId="12857" priority="191"/>
  </conditionalFormatting>
  <conditionalFormatting sqref="G1:H1">
    <cfRule type="duplicateValues" dxfId="12856" priority="190"/>
  </conditionalFormatting>
  <conditionalFormatting sqref="A1">
    <cfRule type="duplicateValues" dxfId="12855" priority="189"/>
  </conditionalFormatting>
  <conditionalFormatting sqref="H1">
    <cfRule type="duplicateValues" dxfId="12854" priority="188"/>
  </conditionalFormatting>
  <conditionalFormatting sqref="A1">
    <cfRule type="duplicateValues" dxfId="12853" priority="187"/>
  </conditionalFormatting>
  <conditionalFormatting sqref="G1:H1">
    <cfRule type="duplicateValues" dxfId="12852" priority="186"/>
  </conditionalFormatting>
  <conditionalFormatting sqref="G1 A1">
    <cfRule type="duplicateValues" dxfId="12851" priority="185"/>
  </conditionalFormatting>
  <conditionalFormatting sqref="A2:A37">
    <cfRule type="duplicateValues" dxfId="12850" priority="184"/>
  </conditionalFormatting>
  <conditionalFormatting sqref="H2:H37">
    <cfRule type="duplicateValues" dxfId="12849" priority="183"/>
  </conditionalFormatting>
  <conditionalFormatting sqref="G2:G37">
    <cfRule type="duplicateValues" dxfId="12848" priority="182"/>
  </conditionalFormatting>
  <conditionalFormatting sqref="G2:H37">
    <cfRule type="duplicateValues" dxfId="12847" priority="181"/>
  </conditionalFormatting>
  <conditionalFormatting sqref="H2:H37">
    <cfRule type="duplicateValues" dxfId="12846" priority="179"/>
    <cfRule type="duplicateValues" dxfId="12845" priority="180"/>
  </conditionalFormatting>
  <conditionalFormatting sqref="G2:G37 A2:A37">
    <cfRule type="duplicateValues" dxfId="12844" priority="178"/>
  </conditionalFormatting>
  <conditionalFormatting sqref="A38">
    <cfRule type="duplicateValues" dxfId="12843" priority="177"/>
  </conditionalFormatting>
  <conditionalFormatting sqref="H38">
    <cfRule type="duplicateValues" dxfId="12842" priority="176"/>
  </conditionalFormatting>
  <conditionalFormatting sqref="G38">
    <cfRule type="duplicateValues" dxfId="12841" priority="175"/>
  </conditionalFormatting>
  <conditionalFormatting sqref="G38:H38">
    <cfRule type="duplicateValues" dxfId="12840" priority="174"/>
  </conditionalFormatting>
  <conditionalFormatting sqref="H38">
    <cfRule type="duplicateValues" dxfId="12839" priority="172"/>
    <cfRule type="duplicateValues" dxfId="12838" priority="173"/>
  </conditionalFormatting>
  <conditionalFormatting sqref="G38 A38">
    <cfRule type="duplicateValues" dxfId="12837" priority="171"/>
  </conditionalFormatting>
  <conditionalFormatting sqref="B41">
    <cfRule type="duplicateValues" dxfId="12836" priority="74"/>
  </conditionalFormatting>
  <conditionalFormatting sqref="I41">
    <cfRule type="duplicateValues" dxfId="12835" priority="73"/>
  </conditionalFormatting>
  <conditionalFormatting sqref="A41">
    <cfRule type="duplicateValues" dxfId="12834" priority="72"/>
  </conditionalFormatting>
  <conditionalFormatting sqref="A41">
    <cfRule type="duplicateValues" dxfId="12833" priority="69"/>
    <cfRule type="duplicateValues" dxfId="12832" priority="70"/>
    <cfRule type="duplicateValues" dxfId="12831" priority="71"/>
  </conditionalFormatting>
  <conditionalFormatting sqref="A41">
    <cfRule type="duplicateValues" dxfId="12830" priority="67"/>
    <cfRule type="duplicateValues" dxfId="12829" priority="68"/>
  </conditionalFormatting>
  <conditionalFormatting sqref="H41">
    <cfRule type="duplicateValues" dxfId="12828" priority="66"/>
  </conditionalFormatting>
  <conditionalFormatting sqref="I41">
    <cfRule type="duplicateValues" dxfId="12827" priority="64"/>
    <cfRule type="duplicateValues" dxfId="12826" priority="65"/>
  </conditionalFormatting>
  <conditionalFormatting sqref="H41:I41">
    <cfRule type="duplicateValues" dxfId="12825" priority="63"/>
  </conditionalFormatting>
  <conditionalFormatting sqref="I41">
    <cfRule type="duplicateValues" dxfId="12824" priority="62"/>
  </conditionalFormatting>
  <conditionalFormatting sqref="A41">
    <cfRule type="duplicateValues" dxfId="12823" priority="61"/>
  </conditionalFormatting>
  <conditionalFormatting sqref="H41">
    <cfRule type="duplicateValues" dxfId="12822" priority="60"/>
  </conditionalFormatting>
  <conditionalFormatting sqref="H41:I41">
    <cfRule type="duplicateValues" dxfId="12821" priority="59"/>
  </conditionalFormatting>
  <conditionalFormatting sqref="A41">
    <cfRule type="duplicateValues" dxfId="12820" priority="58"/>
  </conditionalFormatting>
  <conditionalFormatting sqref="B41">
    <cfRule type="duplicateValues" dxfId="12819" priority="57"/>
  </conditionalFormatting>
  <conditionalFormatting sqref="I41">
    <cfRule type="duplicateValues" dxfId="12818" priority="56"/>
  </conditionalFormatting>
  <conditionalFormatting sqref="A41">
    <cfRule type="duplicateValues" dxfId="12817" priority="55"/>
  </conditionalFormatting>
  <conditionalFormatting sqref="A41">
    <cfRule type="duplicateValues" dxfId="12816" priority="54"/>
  </conditionalFormatting>
  <conditionalFormatting sqref="B41">
    <cfRule type="duplicateValues" dxfId="12815" priority="53"/>
  </conditionalFormatting>
  <conditionalFormatting sqref="A41">
    <cfRule type="duplicateValues" dxfId="12814" priority="51"/>
    <cfRule type="duplicateValues" dxfId="12813" priority="52"/>
  </conditionalFormatting>
  <conditionalFormatting sqref="A41">
    <cfRule type="duplicateValues" dxfId="12812" priority="50"/>
  </conditionalFormatting>
  <conditionalFormatting sqref="A41">
    <cfRule type="duplicateValues" dxfId="12811" priority="49"/>
  </conditionalFormatting>
  <conditionalFormatting sqref="H41:I41">
    <cfRule type="duplicateValues" dxfId="12810" priority="48"/>
  </conditionalFormatting>
  <conditionalFormatting sqref="H41 B41">
    <cfRule type="duplicateValues" dxfId="12809" priority="47"/>
  </conditionalFormatting>
  <conditionalFormatting sqref="A41:A57">
    <cfRule type="duplicateValues" dxfId="12808" priority="45"/>
    <cfRule type="duplicateValues" dxfId="12807" priority="46"/>
  </conditionalFormatting>
  <conditionalFormatting sqref="A41:A57">
    <cfRule type="duplicateValues" dxfId="12806" priority="44"/>
  </conditionalFormatting>
  <conditionalFormatting sqref="B41:B57">
    <cfRule type="duplicateValues" dxfId="12805" priority="43"/>
  </conditionalFormatting>
  <conditionalFormatting sqref="A42:A57">
    <cfRule type="duplicateValues" dxfId="12804" priority="42"/>
  </conditionalFormatting>
  <conditionalFormatting sqref="B42:B57">
    <cfRule type="duplicateValues" dxfId="12803" priority="41"/>
  </conditionalFormatting>
  <conditionalFormatting sqref="A42:A57">
    <cfRule type="duplicateValues" dxfId="12802" priority="39"/>
    <cfRule type="duplicateValues" dxfId="12801" priority="40"/>
  </conditionalFormatting>
  <conditionalFormatting sqref="I42:I57">
    <cfRule type="duplicateValues" dxfId="12800" priority="38"/>
  </conditionalFormatting>
  <conditionalFormatting sqref="H42:H57">
    <cfRule type="duplicateValues" dxfId="12799" priority="37"/>
  </conditionalFormatting>
  <conditionalFormatting sqref="H42:I57">
    <cfRule type="duplicateValues" dxfId="12798" priority="36"/>
  </conditionalFormatting>
  <conditionalFormatting sqref="I42:I57">
    <cfRule type="duplicateValues" dxfId="12797" priority="34"/>
    <cfRule type="duplicateValues" dxfId="12796" priority="35"/>
  </conditionalFormatting>
  <conditionalFormatting sqref="A42:A57">
    <cfRule type="duplicateValues" dxfId="12795" priority="31"/>
    <cfRule type="duplicateValues" dxfId="12794" priority="32"/>
    <cfRule type="duplicateValues" dxfId="12793" priority="33"/>
  </conditionalFormatting>
  <conditionalFormatting sqref="H42:H57 B42:B57">
    <cfRule type="duplicateValues" dxfId="12792" priority="30"/>
  </conditionalFormatting>
  <conditionalFormatting sqref="A58:A67">
    <cfRule type="duplicateValues" dxfId="12791" priority="28"/>
    <cfRule type="duplicateValues" dxfId="12790" priority="29"/>
  </conditionalFormatting>
  <conditionalFormatting sqref="A58:A67">
    <cfRule type="duplicateValues" dxfId="12789" priority="27"/>
  </conditionalFormatting>
  <conditionalFormatting sqref="B58:B67">
    <cfRule type="duplicateValues" dxfId="12788" priority="26"/>
  </conditionalFormatting>
  <conditionalFormatting sqref="A58:A67">
    <cfRule type="duplicateValues" dxfId="12787" priority="24"/>
    <cfRule type="duplicateValues" dxfId="12786" priority="25"/>
  </conditionalFormatting>
  <conditionalFormatting sqref="I58:I67">
    <cfRule type="duplicateValues" dxfId="12785" priority="23"/>
  </conditionalFormatting>
  <conditionalFormatting sqref="H58:H67">
    <cfRule type="duplicateValues" dxfId="12784" priority="22"/>
  </conditionalFormatting>
  <conditionalFormatting sqref="H58:I67">
    <cfRule type="duplicateValues" dxfId="12783" priority="21"/>
  </conditionalFormatting>
  <conditionalFormatting sqref="I58:I67">
    <cfRule type="duplicateValues" dxfId="12782" priority="19"/>
    <cfRule type="duplicateValues" dxfId="12781" priority="20"/>
  </conditionalFormatting>
  <conditionalFormatting sqref="A58:A67">
    <cfRule type="duplicateValues" dxfId="12780" priority="16"/>
    <cfRule type="duplicateValues" dxfId="12779" priority="17"/>
    <cfRule type="duplicateValues" dxfId="12778" priority="18"/>
  </conditionalFormatting>
  <conditionalFormatting sqref="B58:B67 H58:H67">
    <cfRule type="duplicateValues" dxfId="12777" priority="15"/>
  </conditionalFormatting>
  <conditionalFormatting sqref="A58:A67">
    <cfRule type="duplicateValues" dxfId="12776" priority="14"/>
  </conditionalFormatting>
  <conditionalFormatting sqref="A68:A72">
    <cfRule type="duplicateValues" dxfId="12775" priority="12"/>
    <cfRule type="duplicateValues" dxfId="12774" priority="13"/>
  </conditionalFormatting>
  <conditionalFormatting sqref="A68:A72">
    <cfRule type="duplicateValues" dxfId="12773" priority="11"/>
  </conditionalFormatting>
  <conditionalFormatting sqref="B68:B72">
    <cfRule type="duplicateValues" dxfId="12772" priority="10"/>
  </conditionalFormatting>
  <conditionalFormatting sqref="I68:I72">
    <cfRule type="duplicateValues" dxfId="12771" priority="9"/>
  </conditionalFormatting>
  <conditionalFormatting sqref="H68:H72">
    <cfRule type="duplicateValues" dxfId="12770" priority="8"/>
  </conditionalFormatting>
  <conditionalFormatting sqref="H68:I72">
    <cfRule type="duplicateValues" dxfId="12769" priority="7"/>
  </conditionalFormatting>
  <conditionalFormatting sqref="I68:I72">
    <cfRule type="duplicateValues" dxfId="12768" priority="5"/>
    <cfRule type="duplicateValues" dxfId="12767" priority="6"/>
  </conditionalFormatting>
  <conditionalFormatting sqref="A68:A72">
    <cfRule type="duplicateValues" dxfId="12766" priority="2"/>
    <cfRule type="duplicateValues" dxfId="12765" priority="3"/>
    <cfRule type="duplicateValues" dxfId="12764" priority="4"/>
  </conditionalFormatting>
  <conditionalFormatting sqref="B68:B72 H68:H72">
    <cfRule type="duplicateValues" dxfId="1276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Q673"/>
  <sheetViews>
    <sheetView view="pageBreakPreview" zoomScaleNormal="100" zoomScaleSheetLayoutView="100" workbookViewId="0">
      <selection activeCell="M640" sqref="M640"/>
    </sheetView>
  </sheetViews>
  <sheetFormatPr defaultColWidth="9.21875" defaultRowHeight="14.4"/>
  <cols>
    <col min="1" max="1" width="5.21875" style="335" customWidth="1"/>
    <col min="2" max="2" width="12.5546875" style="279" customWidth="1"/>
    <col min="3" max="3" width="12.77734375" style="279" customWidth="1"/>
    <col min="4" max="4" width="20.21875" style="316" customWidth="1"/>
    <col min="5" max="5" width="12.77734375" style="279" customWidth="1"/>
    <col min="6" max="6" width="11" style="279" customWidth="1"/>
    <col min="7" max="8" width="11.5546875" style="279" customWidth="1"/>
    <col min="9" max="9" width="7.21875" style="279" customWidth="1"/>
    <col min="10" max="10" width="9.44140625" style="280" customWidth="1"/>
    <col min="11" max="11" width="6.44140625" style="280" customWidth="1"/>
    <col min="12" max="12" width="9.5546875" style="279" customWidth="1"/>
    <col min="13" max="14" width="9.21875" style="279" customWidth="1"/>
    <col min="15" max="15" width="5.6640625" style="279" customWidth="1"/>
    <col min="16" max="16" width="9.77734375" style="279" customWidth="1"/>
    <col min="17" max="17" width="7.88671875" style="307" customWidth="1"/>
    <col min="18" max="16384" width="9.21875" style="279"/>
  </cols>
  <sheetData>
    <row r="1" spans="1:17" ht="19.5" customHeight="1">
      <c r="A1" s="404" t="s">
        <v>6</v>
      </c>
      <c r="B1" s="405"/>
      <c r="C1" s="414" t="s">
        <v>7</v>
      </c>
      <c r="D1" s="415"/>
      <c r="E1" s="415"/>
      <c r="F1" s="415"/>
      <c r="G1" s="415"/>
      <c r="H1" s="415"/>
      <c r="I1" s="415"/>
      <c r="J1" s="415"/>
      <c r="K1" s="415"/>
      <c r="L1" s="415"/>
      <c r="M1" s="416"/>
      <c r="N1" s="402" t="s">
        <v>43</v>
      </c>
      <c r="O1" s="409"/>
      <c r="P1" s="410"/>
    </row>
    <row r="2" spans="1:17" ht="21" customHeight="1">
      <c r="A2" s="404" t="s">
        <v>8</v>
      </c>
      <c r="B2" s="405"/>
      <c r="C2" s="417"/>
      <c r="D2" s="418"/>
      <c r="E2" s="418"/>
      <c r="F2" s="418"/>
      <c r="G2" s="418"/>
      <c r="H2" s="418"/>
      <c r="I2" s="418"/>
      <c r="J2" s="418"/>
      <c r="K2" s="418"/>
      <c r="L2" s="418"/>
      <c r="M2" s="419"/>
      <c r="N2" s="411" t="s">
        <v>6045</v>
      </c>
      <c r="O2" s="412"/>
      <c r="P2" s="413"/>
    </row>
    <row r="3" spans="1:17" ht="3" customHeight="1">
      <c r="A3" s="326"/>
      <c r="B3" s="303"/>
      <c r="C3" s="303"/>
      <c r="D3" s="311"/>
      <c r="E3" s="303"/>
      <c r="F3" s="303"/>
      <c r="G3" s="303"/>
      <c r="H3" s="303"/>
      <c r="I3" s="303"/>
      <c r="J3" s="305"/>
      <c r="K3" s="304"/>
      <c r="L3" s="304"/>
      <c r="M3" s="304"/>
      <c r="N3" s="304"/>
      <c r="O3" s="304"/>
      <c r="P3" s="303"/>
    </row>
    <row r="4" spans="1:17" ht="17.25" customHeight="1">
      <c r="A4" s="406" t="s">
        <v>9</v>
      </c>
      <c r="B4" s="406"/>
      <c r="C4" s="302">
        <v>46259</v>
      </c>
      <c r="D4" s="312"/>
      <c r="E4" s="302"/>
      <c r="F4" s="299"/>
      <c r="G4" s="299"/>
      <c r="H4" s="299"/>
      <c r="I4" s="299"/>
      <c r="J4" s="301"/>
      <c r="K4" s="300"/>
      <c r="L4" s="300"/>
      <c r="M4" s="300"/>
      <c r="N4" s="300"/>
      <c r="O4" s="300"/>
      <c r="P4" s="299"/>
      <c r="Q4" s="308"/>
    </row>
    <row r="5" spans="1:17" ht="21" customHeight="1">
      <c r="A5" s="327" t="s">
        <v>0</v>
      </c>
      <c r="B5" s="319" t="s">
        <v>38</v>
      </c>
      <c r="C5" s="434" t="s">
        <v>210</v>
      </c>
      <c r="D5" s="398" t="s">
        <v>209</v>
      </c>
      <c r="E5" s="400" t="s">
        <v>39</v>
      </c>
      <c r="F5" s="424" t="s">
        <v>40</v>
      </c>
      <c r="G5" s="426" t="s">
        <v>41</v>
      </c>
      <c r="H5" s="428" t="s">
        <v>42</v>
      </c>
      <c r="I5" s="430" t="s">
        <v>10</v>
      </c>
      <c r="J5" s="402" t="s">
        <v>4</v>
      </c>
      <c r="K5" s="403"/>
      <c r="L5" s="432" t="s">
        <v>11</v>
      </c>
      <c r="M5" s="402" t="s">
        <v>12</v>
      </c>
      <c r="N5" s="403"/>
      <c r="O5" s="420" t="s">
        <v>13</v>
      </c>
      <c r="P5" s="421"/>
      <c r="Q5" s="308"/>
    </row>
    <row r="6" spans="1:17" ht="21" customHeight="1">
      <c r="A6" s="328"/>
      <c r="B6" s="306"/>
      <c r="C6" s="429"/>
      <c r="D6" s="399"/>
      <c r="E6" s="401"/>
      <c r="F6" s="425"/>
      <c r="G6" s="427"/>
      <c r="H6" s="429"/>
      <c r="I6" s="431"/>
      <c r="J6" s="298" t="s">
        <v>14</v>
      </c>
      <c r="K6" s="297" t="s">
        <v>15</v>
      </c>
      <c r="L6" s="433"/>
      <c r="M6" s="297" t="s">
        <v>16</v>
      </c>
      <c r="N6" s="297" t="s">
        <v>17</v>
      </c>
      <c r="O6" s="422"/>
      <c r="P6" s="423"/>
      <c r="Q6" s="308"/>
    </row>
    <row r="7" spans="1:17" ht="17.399999999999999" hidden="1" customHeight="1">
      <c r="A7" s="329" t="s">
        <v>451</v>
      </c>
      <c r="B7" s="14">
        <f>VLOOKUP($A7,PLAN!$B:$AC,3,0)</f>
        <v>12129248</v>
      </c>
      <c r="C7" s="14" t="str">
        <f>VLOOKUP($A7,PLAN!$B:$AC,4,0)</f>
        <v>PR2145021-0-A</v>
      </c>
      <c r="D7" s="14" t="str">
        <f>VLOOKUP($A7,PLAN!$B:$AC,5,0)</f>
        <v>2009051 Masters HF CN</v>
      </c>
      <c r="E7" s="14" t="str">
        <f>VLOOKUP($A7,PLAN!$B:$AC,2,0)</f>
        <v>1001897397</v>
      </c>
      <c r="F7" s="15">
        <f>VLOOKUP($A7,PLAN!$B:$AC,7,0)</f>
        <v>46249</v>
      </c>
      <c r="G7" s="16" t="str">
        <f>VLOOKUP($A7,PLAN!$B:$AC,8,0)</f>
        <v>0103516476</v>
      </c>
      <c r="H7" s="16" t="str">
        <f>VLOOKUP($A7,PLAN!$B:$AC,9,0)</f>
        <v>260625K01A</v>
      </c>
      <c r="I7" s="16">
        <f>VLOOKUP($A7,PLAN!$B:$AC,10,0)</f>
        <v>3306</v>
      </c>
      <c r="J7" s="17">
        <f>VLOOKUP($A7,PLAN!$B:$AC,21,0)</f>
        <v>46206</v>
      </c>
      <c r="K7" s="145" t="str">
        <f>VLOOKUP($A7,PLAN!$B:$AC,22,0)</f>
        <v>M8</v>
      </c>
      <c r="L7" s="1"/>
      <c r="M7" s="1"/>
      <c r="N7" s="1"/>
      <c r="O7" s="221" t="s">
        <v>79</v>
      </c>
      <c r="P7" s="220"/>
      <c r="Q7" s="18">
        <f>VLOOKUP(A7,PLAN!B:R,17,0)</f>
        <v>46205</v>
      </c>
    </row>
    <row r="8" spans="1:17" ht="19.8" hidden="1" customHeight="1">
      <c r="A8" s="329" t="s">
        <v>800</v>
      </c>
      <c r="B8" s="14">
        <f>VLOOKUP($A8,PLAN!$B:$AC,3,0)</f>
        <v>11134248</v>
      </c>
      <c r="C8" s="14" t="str">
        <f>VLOOKUP($A8,PLAN!$B:$AC,4,0)</f>
        <v>2041189-D-A</v>
      </c>
      <c r="D8" s="14" t="str">
        <f>VLOOKUP($A8,PLAN!$B:$AC,5,0)</f>
        <v>CSR135-26P CN</v>
      </c>
      <c r="E8" s="14" t="str">
        <f>VLOOKUP($A8,PLAN!$B:$AC,2,0)</f>
        <v>1001910173</v>
      </c>
      <c r="F8" s="15">
        <f>VLOOKUP($A8,PLAN!$B:$AC,7,0)</f>
        <v>46232</v>
      </c>
      <c r="G8" s="16" t="str">
        <f>VLOOKUP($A8,PLAN!$B:$AC,8,0)</f>
        <v>0103541259</v>
      </c>
      <c r="H8" s="16" t="str">
        <f>VLOOKUP($A8,PLAN!$B:$AC,9,0)</f>
        <v>260709K24A</v>
      </c>
      <c r="I8" s="16">
        <f>VLOOKUP($A8,PLAN!$B:$AC,10,0)</f>
        <v>626</v>
      </c>
      <c r="J8" s="17">
        <f>VLOOKUP($A8,PLAN!$B:$AC,21,0)</f>
        <v>46218</v>
      </c>
      <c r="K8" s="145" t="str">
        <f>VLOOKUP($A8,PLAN!$B:$AC,22,0)</f>
        <v>M8</v>
      </c>
      <c r="L8" s="1"/>
      <c r="M8" s="1"/>
      <c r="N8" s="1"/>
      <c r="O8" s="221" t="s">
        <v>79</v>
      </c>
      <c r="P8" s="220"/>
      <c r="Q8" s="18">
        <f>VLOOKUP(A8,PLAN!B:R,17,0)</f>
        <v>46217</v>
      </c>
    </row>
    <row r="9" spans="1:17" ht="18" hidden="1" customHeight="1">
      <c r="A9" s="329" t="s">
        <v>902</v>
      </c>
      <c r="B9" s="14">
        <f>VLOOKUP($A9,PLAN!$B:$AC,3,0)</f>
        <v>11134249</v>
      </c>
      <c r="C9" s="14" t="str">
        <f>VLOOKUP($A9,PLAN!$B:$AC,4,0)</f>
        <v>2041190-D-A</v>
      </c>
      <c r="D9" s="14" t="str">
        <f>VLOOKUP($A9,PLAN!$B:$AC,5,0)</f>
        <v>CSR150-26P CN</v>
      </c>
      <c r="E9" s="14" t="str">
        <f>VLOOKUP($A9,PLAN!$B:$AC,2,0)</f>
        <v>1001910722</v>
      </c>
      <c r="F9" s="15">
        <f>VLOOKUP($A9,PLAN!$B:$AC,7,0)</f>
        <v>46233</v>
      </c>
      <c r="G9" s="16" t="str">
        <f>VLOOKUP($A9,PLAN!$B:$AC,8,0)</f>
        <v>0103542125</v>
      </c>
      <c r="H9" s="16" t="str">
        <f>VLOOKUP($A9,PLAN!$B:$AC,9,0)</f>
        <v>260709K25A</v>
      </c>
      <c r="I9" s="16">
        <f>VLOOKUP($A9,PLAN!$B:$AC,10,0)</f>
        <v>36</v>
      </c>
      <c r="J9" s="17">
        <f>VLOOKUP($A9,PLAN!$B:$AC,21,0)</f>
        <v>46219</v>
      </c>
      <c r="K9" s="145" t="str">
        <f>VLOOKUP($A9,PLAN!$B:$AC,22,0)</f>
        <v>M8</v>
      </c>
      <c r="L9" s="1"/>
      <c r="M9" s="1"/>
      <c r="N9" s="1"/>
      <c r="O9" s="221" t="s">
        <v>79</v>
      </c>
      <c r="P9" s="220"/>
      <c r="Q9" s="18">
        <f>VLOOKUP(A9,PLAN!B:R,17,0)</f>
        <v>46218</v>
      </c>
    </row>
    <row r="10" spans="1:17" ht="18" hidden="1" customHeight="1">
      <c r="A10" s="329" t="s">
        <v>903</v>
      </c>
      <c r="B10" s="14">
        <f>VLOOKUP($A10,PLAN!$B:$AC,3,0)</f>
        <v>11134248</v>
      </c>
      <c r="C10" s="14" t="str">
        <f>VLOOKUP($A10,PLAN!$B:$AC,4,0)</f>
        <v>2041189-D-A</v>
      </c>
      <c r="D10" s="14" t="str">
        <f>VLOOKUP($A10,PLAN!$B:$AC,5,0)</f>
        <v>CSR135-26P CN</v>
      </c>
      <c r="E10" s="14" t="str">
        <f>VLOOKUP($A10,PLAN!$B:$AC,2,0)</f>
        <v>1001910723</v>
      </c>
      <c r="F10" s="15">
        <f>VLOOKUP($A10,PLAN!$B:$AC,7,0)</f>
        <v>46233</v>
      </c>
      <c r="G10" s="16" t="str">
        <f>VLOOKUP($A10,PLAN!$B:$AC,8,0)</f>
        <v>0103542126</v>
      </c>
      <c r="H10" s="16" t="str">
        <f>VLOOKUP($A10,PLAN!$B:$AC,9,0)</f>
        <v>260709K26A</v>
      </c>
      <c r="I10" s="16">
        <f>VLOOKUP($A10,PLAN!$B:$AC,10,0)</f>
        <v>270</v>
      </c>
      <c r="J10" s="17">
        <f>VLOOKUP($A10,PLAN!$B:$AC,21,0)</f>
        <v>46219</v>
      </c>
      <c r="K10" s="145" t="str">
        <f>VLOOKUP($A10,PLAN!$B:$AC,22,0)</f>
        <v>M8</v>
      </c>
      <c r="L10" s="1"/>
      <c r="M10" s="1"/>
      <c r="N10" s="1"/>
      <c r="O10" s="221" t="s">
        <v>79</v>
      </c>
      <c r="P10" s="220"/>
      <c r="Q10" s="18">
        <f>VLOOKUP(A10,PLAN!B:R,17,0)</f>
        <v>46218</v>
      </c>
    </row>
    <row r="11" spans="1:17" ht="18" hidden="1" customHeight="1">
      <c r="A11" s="329" t="s">
        <v>904</v>
      </c>
      <c r="B11" s="14">
        <f>VLOOKUP($A11,PLAN!$B:$AC,3,0)</f>
        <v>11134248</v>
      </c>
      <c r="C11" s="14" t="str">
        <f>VLOOKUP($A11,PLAN!$B:$AC,4,0)</f>
        <v>2041189-D-A</v>
      </c>
      <c r="D11" s="14" t="str">
        <f>VLOOKUP($A11,PLAN!$B:$AC,5,0)</f>
        <v>CSR135-26P CN</v>
      </c>
      <c r="E11" s="14" t="str">
        <f>VLOOKUP($A11,PLAN!$B:$AC,2,0)</f>
        <v>1001910724</v>
      </c>
      <c r="F11" s="15">
        <f>VLOOKUP($A11,PLAN!$B:$AC,7,0)</f>
        <v>46233</v>
      </c>
      <c r="G11" s="16" t="str">
        <f>VLOOKUP($A11,PLAN!$B:$AC,8,0)</f>
        <v>0103542127</v>
      </c>
      <c r="H11" s="16" t="str">
        <f>VLOOKUP($A11,PLAN!$B:$AC,9,0)</f>
        <v>260709K27A</v>
      </c>
      <c r="I11" s="16">
        <f>VLOOKUP($A11,PLAN!$B:$AC,10,0)</f>
        <v>2050</v>
      </c>
      <c r="J11" s="17">
        <f>VLOOKUP($A11,PLAN!$B:$AC,21,0)</f>
        <v>46219</v>
      </c>
      <c r="K11" s="145" t="str">
        <f>VLOOKUP($A11,PLAN!$B:$AC,22,0)</f>
        <v>M8</v>
      </c>
      <c r="L11" s="1"/>
      <c r="M11" s="1"/>
      <c r="N11" s="1"/>
      <c r="O11" s="221" t="s">
        <v>79</v>
      </c>
      <c r="P11" s="220"/>
      <c r="Q11" s="18">
        <f>VLOOKUP(A11,PLAN!B:R,17,0)</f>
        <v>46218</v>
      </c>
    </row>
    <row r="12" spans="1:17" ht="16.2" hidden="1" customHeight="1">
      <c r="A12" s="329" t="s">
        <v>719</v>
      </c>
      <c r="B12" s="14">
        <f>VLOOKUP($A12,PLAN!$B:$AC,3,0)</f>
        <v>11125142</v>
      </c>
      <c r="C12" s="14" t="str">
        <f>VLOOKUP($A12,PLAN!$B:$AC,4,0)</f>
        <v>1941011-D-A</v>
      </c>
      <c r="D12" s="14" t="str">
        <f>VLOOKUP($A12,PLAN!$B:$AC,5,0)</f>
        <v>Masters PARKWAY SOFT 150cm Straight</v>
      </c>
      <c r="E12" s="14" t="str">
        <f>VLOOKUP($A12,PLAN!$B:$AC,2,0)</f>
        <v>2000126703</v>
      </c>
      <c r="F12" s="15">
        <f>VLOOKUP($A12,PLAN!$B:$AC,7,0)</f>
        <v>46234</v>
      </c>
      <c r="G12" s="16" t="str">
        <f>VLOOKUP($A12,PLAN!$B:$AC,8,0)</f>
        <v>0103539406</v>
      </c>
      <c r="H12" s="16" t="str">
        <f>VLOOKUP($A12,PLAN!$B:$AC,9,0)</f>
        <v>260707Y17A</v>
      </c>
      <c r="I12" s="16">
        <f>VLOOKUP($A12,PLAN!$B:$AC,10,0)</f>
        <v>3</v>
      </c>
      <c r="J12" s="17" t="str">
        <f>VLOOKUP($A12,PLAN!$B:$AC,21,0)</f>
        <v>N/A</v>
      </c>
      <c r="K12" s="145" t="str">
        <f>VLOOKUP($A12,PLAN!$B:$AC,22,0)</f>
        <v>TEST</v>
      </c>
      <c r="L12" s="1"/>
      <c r="M12" s="1"/>
      <c r="N12" s="1"/>
      <c r="O12" s="221" t="s">
        <v>79</v>
      </c>
      <c r="P12" s="220"/>
      <c r="Q12" s="18" t="s">
        <v>937</v>
      </c>
    </row>
    <row r="13" spans="1:17" ht="16.2" hidden="1" customHeight="1">
      <c r="A13" s="329" t="s">
        <v>720</v>
      </c>
      <c r="B13" s="14">
        <f>VLOOKUP($A13,PLAN!$B:$AC,3,0)</f>
        <v>11125142</v>
      </c>
      <c r="C13" s="14" t="str">
        <f>VLOOKUP($A13,PLAN!$B:$AC,4,0)</f>
        <v>1941011-D-A</v>
      </c>
      <c r="D13" s="14" t="str">
        <f>VLOOKUP($A13,PLAN!$B:$AC,5,0)</f>
        <v>Masters PARKWAY SOFT 150cm Straight</v>
      </c>
      <c r="E13" s="14" t="str">
        <f>VLOOKUP($A13,PLAN!$B:$AC,2,0)</f>
        <v>2000126704</v>
      </c>
      <c r="F13" s="15">
        <f>VLOOKUP($A13,PLAN!$B:$AC,7,0)</f>
        <v>46234</v>
      </c>
      <c r="G13" s="16" t="str">
        <f>VLOOKUP($A13,PLAN!$B:$AC,8,0)</f>
        <v>0103539408</v>
      </c>
      <c r="H13" s="16" t="str">
        <f>VLOOKUP($A13,PLAN!$B:$AC,9,0)</f>
        <v>260707Y17D</v>
      </c>
      <c r="I13" s="16">
        <f>VLOOKUP($A13,PLAN!$B:$AC,10,0)</f>
        <v>9</v>
      </c>
      <c r="J13" s="17">
        <f>VLOOKUP($A13,PLAN!$B:$AC,21,0)</f>
        <v>46230</v>
      </c>
      <c r="K13" s="145" t="str">
        <f>VLOOKUP($A13,PLAN!$B:$AC,22,0)</f>
        <v>TEST</v>
      </c>
      <c r="L13" s="1"/>
      <c r="M13" s="1"/>
      <c r="N13" s="1"/>
      <c r="O13" s="221" t="s">
        <v>79</v>
      </c>
      <c r="P13" s="220"/>
      <c r="Q13" s="18" t="s">
        <v>937</v>
      </c>
    </row>
    <row r="14" spans="1:17" ht="16.2" hidden="1" customHeight="1">
      <c r="A14" s="329" t="s">
        <v>721</v>
      </c>
      <c r="B14" s="14">
        <f>VLOOKUP($A14,PLAN!$B:$AC,3,0)</f>
        <v>11112488</v>
      </c>
      <c r="C14" s="14" t="str">
        <f>VLOOKUP($A14,PLAN!$B:$AC,4,0)</f>
        <v>PSC35170S-E-A</v>
      </c>
      <c r="D14" s="14" t="str">
        <f>VLOOKUP($A14,PLAN!$B:$AC,5,0)</f>
        <v>CROSSWALK 035 170cm Straight</v>
      </c>
      <c r="E14" s="14" t="str">
        <f>VLOOKUP($A14,PLAN!$B:$AC,2,0)</f>
        <v>2000126705</v>
      </c>
      <c r="F14" s="15">
        <f>VLOOKUP($A14,PLAN!$B:$AC,7,0)</f>
        <v>46234</v>
      </c>
      <c r="G14" s="16" t="str">
        <f>VLOOKUP($A14,PLAN!$B:$AC,8,0)</f>
        <v>0103539409</v>
      </c>
      <c r="H14" s="16" t="str">
        <f>VLOOKUP($A14,PLAN!$B:$AC,9,0)</f>
        <v>260707Y18A</v>
      </c>
      <c r="I14" s="16">
        <f>VLOOKUP($A14,PLAN!$B:$AC,10,0)</f>
        <v>3</v>
      </c>
      <c r="J14" s="17" t="str">
        <f>VLOOKUP($A14,PLAN!$B:$AC,21,0)</f>
        <v>N/A</v>
      </c>
      <c r="K14" s="145" t="str">
        <f>VLOOKUP($A14,PLAN!$B:$AC,22,0)</f>
        <v>TEST</v>
      </c>
      <c r="L14" s="1"/>
      <c r="M14" s="1"/>
      <c r="N14" s="1"/>
      <c r="O14" s="221" t="s">
        <v>79</v>
      </c>
      <c r="P14" s="220"/>
      <c r="Q14" s="18" t="s">
        <v>937</v>
      </c>
    </row>
    <row r="15" spans="1:17" ht="16.2" hidden="1" customHeight="1">
      <c r="A15" s="329" t="s">
        <v>722</v>
      </c>
      <c r="B15" s="14">
        <f>VLOOKUP($A15,PLAN!$B:$AC,3,0)</f>
        <v>11112488</v>
      </c>
      <c r="C15" s="14" t="str">
        <f>VLOOKUP($A15,PLAN!$B:$AC,4,0)</f>
        <v>PSC35170S-E-A</v>
      </c>
      <c r="D15" s="14" t="str">
        <f>VLOOKUP($A15,PLAN!$B:$AC,5,0)</f>
        <v>CROSSWALK 035 170cm Straight</v>
      </c>
      <c r="E15" s="14" t="str">
        <f>VLOOKUP($A15,PLAN!$B:$AC,2,0)</f>
        <v>2000126706</v>
      </c>
      <c r="F15" s="15">
        <f>VLOOKUP($A15,PLAN!$B:$AC,7,0)</f>
        <v>46234</v>
      </c>
      <c r="G15" s="16" t="str">
        <f>VLOOKUP($A15,PLAN!$B:$AC,8,0)</f>
        <v>0103539410</v>
      </c>
      <c r="H15" s="16" t="str">
        <f>VLOOKUP($A15,PLAN!$B:$AC,9,0)</f>
        <v>260707Y18D</v>
      </c>
      <c r="I15" s="16">
        <f>VLOOKUP($A15,PLAN!$B:$AC,10,0)</f>
        <v>9</v>
      </c>
      <c r="J15" s="17">
        <f>VLOOKUP($A15,PLAN!$B:$AC,21,0)</f>
        <v>46230</v>
      </c>
      <c r="K15" s="145" t="str">
        <f>VLOOKUP($A15,PLAN!$B:$AC,22,0)</f>
        <v>TEST</v>
      </c>
      <c r="L15" s="1"/>
      <c r="M15" s="1"/>
      <c r="N15" s="1"/>
      <c r="O15" s="221" t="s">
        <v>79</v>
      </c>
      <c r="P15" s="220"/>
      <c r="Q15" s="18" t="s">
        <v>937</v>
      </c>
    </row>
    <row r="16" spans="1:17" ht="16.2" hidden="1" customHeight="1">
      <c r="A16" s="329" t="s">
        <v>723</v>
      </c>
      <c r="B16" s="14">
        <f>VLOOKUP($A16,PLAN!$B:$AC,3,0)</f>
        <v>12012480</v>
      </c>
      <c r="C16" s="14" t="str">
        <f>VLOOKUP($A16,PLAN!$B:$AC,4,0)</f>
        <v>PR1944001-0-A</v>
      </c>
      <c r="D16" s="14" t="str">
        <f>VLOOKUP($A16,PLAN!$B:$AC,5,0)</f>
        <v>Accessories for Masters Parkway HF</v>
      </c>
      <c r="E16" s="14" t="str">
        <f>VLOOKUP($A16,PLAN!$B:$AC,2,0)</f>
        <v>2000126709</v>
      </c>
      <c r="F16" s="15">
        <f>VLOOKUP($A16,PLAN!$B:$AC,7,0)</f>
        <v>46234</v>
      </c>
      <c r="G16" s="16" t="str">
        <f>VLOOKUP($A16,PLAN!$B:$AC,8,0)</f>
        <v>0103539413</v>
      </c>
      <c r="H16" s="16" t="str">
        <f>VLOOKUP($A16,PLAN!$B:$AC,9,0)</f>
        <v>260707Y20A</v>
      </c>
      <c r="I16" s="16">
        <f>VLOOKUP($A16,PLAN!$B:$AC,10,0)</f>
        <v>3</v>
      </c>
      <c r="J16" s="17" t="str">
        <f>VLOOKUP($A16,PLAN!$B:$AC,21,0)</f>
        <v>N/A</v>
      </c>
      <c r="K16" s="145" t="str">
        <f>VLOOKUP($A16,PLAN!$B:$AC,22,0)</f>
        <v>TEST</v>
      </c>
      <c r="L16" s="1"/>
      <c r="M16" s="1"/>
      <c r="N16" s="1"/>
      <c r="O16" s="221" t="s">
        <v>79</v>
      </c>
      <c r="P16" s="220"/>
      <c r="Q16" s="18" t="s">
        <v>937</v>
      </c>
    </row>
    <row r="17" spans="1:17" ht="16.2" hidden="1" customHeight="1">
      <c r="A17" s="329" t="s">
        <v>724</v>
      </c>
      <c r="B17" s="14">
        <f>VLOOKUP($A17,PLAN!$B:$AC,3,0)</f>
        <v>12012480</v>
      </c>
      <c r="C17" s="14" t="str">
        <f>VLOOKUP($A17,PLAN!$B:$AC,4,0)</f>
        <v>PR1944001-0-A</v>
      </c>
      <c r="D17" s="14" t="str">
        <f>VLOOKUP($A17,PLAN!$B:$AC,5,0)</f>
        <v>Accessories for Masters Parkway HF</v>
      </c>
      <c r="E17" s="14" t="str">
        <f>VLOOKUP($A17,PLAN!$B:$AC,2,0)</f>
        <v>2000126710</v>
      </c>
      <c r="F17" s="15">
        <f>VLOOKUP($A17,PLAN!$B:$AC,7,0)</f>
        <v>46234</v>
      </c>
      <c r="G17" s="16" t="str">
        <f>VLOOKUP($A17,PLAN!$B:$AC,8,0)</f>
        <v>0103539414</v>
      </c>
      <c r="H17" s="16" t="str">
        <f>VLOOKUP($A17,PLAN!$B:$AC,9,0)</f>
        <v>260707Y20D</v>
      </c>
      <c r="I17" s="16">
        <f>VLOOKUP($A17,PLAN!$B:$AC,10,0)</f>
        <v>9</v>
      </c>
      <c r="J17" s="17">
        <f>VLOOKUP($A17,PLAN!$B:$AC,21,0)</f>
        <v>46230</v>
      </c>
      <c r="K17" s="145" t="str">
        <f>VLOOKUP($A17,PLAN!$B:$AC,22,0)</f>
        <v>TEST</v>
      </c>
      <c r="L17" s="1"/>
      <c r="M17" s="1"/>
      <c r="N17" s="1"/>
      <c r="O17" s="221" t="s">
        <v>79</v>
      </c>
      <c r="P17" s="220"/>
      <c r="Q17" s="18" t="s">
        <v>937</v>
      </c>
    </row>
    <row r="18" spans="1:17" ht="16.2" hidden="1" customHeight="1">
      <c r="A18" s="329" t="s">
        <v>725</v>
      </c>
      <c r="B18" s="14">
        <f>VLOOKUP($A18,PLAN!$B:$AC,3,0)</f>
        <v>12143523</v>
      </c>
      <c r="C18" s="14" t="str">
        <f>VLOOKUP($A18,PLAN!$B:$AC,4,0)</f>
        <v>PR2545028-0-A</v>
      </c>
      <c r="D18" s="14" t="str">
        <f>VLOOKUP($A18,PLAN!$B:$AC,5,0)</f>
        <v>2009009 Veloute</v>
      </c>
      <c r="E18" s="14" t="str">
        <f>VLOOKUP($A18,PLAN!$B:$AC,2,0)</f>
        <v>2000127274</v>
      </c>
      <c r="F18" s="15">
        <f>VLOOKUP($A18,PLAN!$B:$AC,7,0)</f>
        <v>46234</v>
      </c>
      <c r="G18" s="16" t="str">
        <f>VLOOKUP($A18,PLAN!$B:$AC,8,0)</f>
        <v>0103553325</v>
      </c>
      <c r="H18" s="16" t="str">
        <f>VLOOKUP($A18,PLAN!$B:$AC,9,0)</f>
        <v>260707Y21A</v>
      </c>
      <c r="I18" s="16">
        <f>VLOOKUP($A18,PLAN!$B:$AC,10,0)</f>
        <v>3</v>
      </c>
      <c r="J18" s="17" t="str">
        <f>VLOOKUP($A18,PLAN!$B:$AC,21,0)</f>
        <v>N/A</v>
      </c>
      <c r="K18" s="145" t="str">
        <f>VLOOKUP($A18,PLAN!$B:$AC,22,0)</f>
        <v>TEST</v>
      </c>
      <c r="L18" s="1"/>
      <c r="M18" s="1"/>
      <c r="N18" s="1"/>
      <c r="O18" s="221" t="s">
        <v>79</v>
      </c>
      <c r="P18" s="220"/>
      <c r="Q18" s="18" t="s">
        <v>937</v>
      </c>
    </row>
    <row r="19" spans="1:17" ht="16.2" hidden="1" customHeight="1">
      <c r="A19" s="329" t="s">
        <v>726</v>
      </c>
      <c r="B19" s="14">
        <f>VLOOKUP($A19,PLAN!$B:$AC,3,0)</f>
        <v>12143523</v>
      </c>
      <c r="C19" s="14" t="str">
        <f>VLOOKUP($A19,PLAN!$B:$AC,4,0)</f>
        <v>PR2545028-0-A</v>
      </c>
      <c r="D19" s="14" t="str">
        <f>VLOOKUP($A19,PLAN!$B:$AC,5,0)</f>
        <v>2009009 Veloute</v>
      </c>
      <c r="E19" s="14" t="str">
        <f>VLOOKUP($A19,PLAN!$B:$AC,2,0)</f>
        <v xml:space="preserve"> 2000127275</v>
      </c>
      <c r="F19" s="15">
        <f>VLOOKUP($A19,PLAN!$B:$AC,7,0)</f>
        <v>46234</v>
      </c>
      <c r="G19" s="16" t="str">
        <f>VLOOKUP($A19,PLAN!$B:$AC,8,0)</f>
        <v>0103553326</v>
      </c>
      <c r="H19" s="16" t="str">
        <f>VLOOKUP($A19,PLAN!$B:$AC,9,0)</f>
        <v>260707Y21D</v>
      </c>
      <c r="I19" s="16">
        <f>VLOOKUP($A19,PLAN!$B:$AC,10,0)</f>
        <v>9</v>
      </c>
      <c r="J19" s="17">
        <f>VLOOKUP($A19,PLAN!$B:$AC,21,0)</f>
        <v>46230</v>
      </c>
      <c r="K19" s="145" t="str">
        <f>VLOOKUP($A19,PLAN!$B:$AC,22,0)</f>
        <v>TEST</v>
      </c>
      <c r="L19" s="1"/>
      <c r="M19" s="1"/>
      <c r="N19" s="1"/>
      <c r="O19" s="221" t="s">
        <v>79</v>
      </c>
      <c r="P19" s="220"/>
      <c r="Q19" s="18" t="s">
        <v>937</v>
      </c>
    </row>
    <row r="20" spans="1:17" ht="16.2" hidden="1" customHeight="1">
      <c r="A20" s="329" t="s">
        <v>727</v>
      </c>
      <c r="B20" s="14">
        <f>VLOOKUP($A20,PLAN!$B:$AC,3,0)</f>
        <v>11134563</v>
      </c>
      <c r="C20" s="14" t="str">
        <f>VLOOKUP($A20,PLAN!$B:$AC,4,0)</f>
        <v>2041304-C-A</v>
      </c>
      <c r="D20" s="14" t="str">
        <f>VLOOKUP($A20,PLAN!$B:$AC,5,0)</f>
        <v>ASAHI Masters PARKWAY HF 150cm Straight</v>
      </c>
      <c r="E20" s="14" t="str">
        <f>VLOOKUP($A20,PLAN!$B:$AC,2,0)</f>
        <v>2000126731</v>
      </c>
      <c r="F20" s="15">
        <f>VLOOKUP($A20,PLAN!$B:$AC,7,0)</f>
        <v>46234</v>
      </c>
      <c r="G20" s="16" t="str">
        <f>VLOOKUP($A20,PLAN!$B:$AC,8,0)</f>
        <v>0103539435</v>
      </c>
      <c r="H20" s="16" t="str">
        <f>VLOOKUP($A20,PLAN!$B:$AC,9,0)</f>
        <v>260707Y30A</v>
      </c>
      <c r="I20" s="16">
        <f>VLOOKUP($A20,PLAN!$B:$AC,10,0)</f>
        <v>3</v>
      </c>
      <c r="J20" s="17" t="str">
        <f>VLOOKUP($A20,PLAN!$B:$AC,21,0)</f>
        <v>N/A</v>
      </c>
      <c r="K20" s="145" t="str">
        <f>VLOOKUP($A20,PLAN!$B:$AC,22,0)</f>
        <v>TEST</v>
      </c>
      <c r="L20" s="1"/>
      <c r="M20" s="1"/>
      <c r="N20" s="1"/>
      <c r="O20" s="221" t="s">
        <v>79</v>
      </c>
      <c r="P20" s="220"/>
      <c r="Q20" s="18" t="s">
        <v>937</v>
      </c>
    </row>
    <row r="21" spans="1:17" ht="16.2" hidden="1" customHeight="1">
      <c r="A21" s="329" t="s">
        <v>728</v>
      </c>
      <c r="B21" s="14">
        <f>VLOOKUP($A21,PLAN!$B:$AC,3,0)</f>
        <v>11134563</v>
      </c>
      <c r="C21" s="14" t="str">
        <f>VLOOKUP($A21,PLAN!$B:$AC,4,0)</f>
        <v>2041304-C-A</v>
      </c>
      <c r="D21" s="14" t="str">
        <f>VLOOKUP($A21,PLAN!$B:$AC,5,0)</f>
        <v>ASAHI Masters PARKWAY HF 150cm Straight</v>
      </c>
      <c r="E21" s="14" t="str">
        <f>VLOOKUP($A21,PLAN!$B:$AC,2,0)</f>
        <v>2000126732</v>
      </c>
      <c r="F21" s="15">
        <f>VLOOKUP($A21,PLAN!$B:$AC,7,0)</f>
        <v>46234</v>
      </c>
      <c r="G21" s="16" t="str">
        <f>VLOOKUP($A21,PLAN!$B:$AC,8,0)</f>
        <v>0103539437</v>
      </c>
      <c r="H21" s="16" t="str">
        <f>VLOOKUP($A21,PLAN!$B:$AC,9,0)</f>
        <v>260707Y30B</v>
      </c>
      <c r="I21" s="16">
        <f>VLOOKUP($A21,PLAN!$B:$AC,10,0)</f>
        <v>9</v>
      </c>
      <c r="J21" s="17">
        <f>VLOOKUP($A21,PLAN!$B:$AC,21,0)</f>
        <v>46230</v>
      </c>
      <c r="K21" s="145" t="str">
        <f>VLOOKUP($A21,PLAN!$B:$AC,22,0)</f>
        <v>TEST</v>
      </c>
      <c r="L21" s="1"/>
      <c r="M21" s="1"/>
      <c r="N21" s="1"/>
      <c r="O21" s="221" t="s">
        <v>79</v>
      </c>
      <c r="P21" s="220"/>
      <c r="Q21" s="18" t="s">
        <v>937</v>
      </c>
    </row>
    <row r="22" spans="1:17" ht="16.2" hidden="1" customHeight="1">
      <c r="A22" s="329" t="s">
        <v>729</v>
      </c>
      <c r="B22" s="14">
        <f>VLOOKUP($A22,PLAN!$B:$AC,3,0)</f>
        <v>11134563</v>
      </c>
      <c r="C22" s="14" t="str">
        <f>VLOOKUP($A22,PLAN!$B:$AC,4,0)</f>
        <v>2041304-C-A</v>
      </c>
      <c r="D22" s="14" t="str">
        <f>VLOOKUP($A22,PLAN!$B:$AC,5,0)</f>
        <v>ASAHI Masters PARKWAY HF 150cm Straight</v>
      </c>
      <c r="E22" s="14" t="str">
        <f>VLOOKUP($A22,PLAN!$B:$AC,2,0)</f>
        <v>2000126733</v>
      </c>
      <c r="F22" s="15">
        <f>VLOOKUP($A22,PLAN!$B:$AC,7,0)</f>
        <v>46234</v>
      </c>
      <c r="G22" s="16" t="str">
        <f>VLOOKUP($A22,PLAN!$B:$AC,8,0)</f>
        <v>0103539438</v>
      </c>
      <c r="H22" s="16" t="str">
        <f>VLOOKUP($A22,PLAN!$B:$AC,9,0)</f>
        <v>260707Y30D</v>
      </c>
      <c r="I22" s="16">
        <f>VLOOKUP($A22,PLAN!$B:$AC,10,0)</f>
        <v>9</v>
      </c>
      <c r="J22" s="17">
        <f>VLOOKUP($A22,PLAN!$B:$AC,21,0)</f>
        <v>46230</v>
      </c>
      <c r="K22" s="145" t="str">
        <f>VLOOKUP($A22,PLAN!$B:$AC,22,0)</f>
        <v>TEST</v>
      </c>
      <c r="L22" s="1"/>
      <c r="M22" s="1"/>
      <c r="N22" s="1"/>
      <c r="O22" s="221" t="s">
        <v>79</v>
      </c>
      <c r="P22" s="220"/>
      <c r="Q22" s="18" t="s">
        <v>937</v>
      </c>
    </row>
    <row r="23" spans="1:17" ht="16.2" hidden="1" customHeight="1">
      <c r="A23" s="329" t="s">
        <v>730</v>
      </c>
      <c r="B23" s="14">
        <f>VLOOKUP($A23,PLAN!$B:$AC,3,0)</f>
        <v>11134247</v>
      </c>
      <c r="C23" s="14" t="str">
        <f>VLOOKUP($A23,PLAN!$B:$AC,4,0)</f>
        <v>2141050-D-A</v>
      </c>
      <c r="D23" s="14" t="str">
        <f>VLOOKUP($A23,PLAN!$B:$AC,5,0)</f>
        <v>ASAHI Caravel 150cm</v>
      </c>
      <c r="E23" s="14" t="str">
        <f>VLOOKUP($A23,PLAN!$B:$AC,2,0)</f>
        <v>2000126734</v>
      </c>
      <c r="F23" s="15">
        <f>VLOOKUP($A23,PLAN!$B:$AC,7,0)</f>
        <v>46234</v>
      </c>
      <c r="G23" s="16" t="str">
        <f>VLOOKUP($A23,PLAN!$B:$AC,8,0)</f>
        <v>0103539439</v>
      </c>
      <c r="H23" s="16" t="str">
        <f>VLOOKUP($A23,PLAN!$B:$AC,9,0)</f>
        <v>260707Y31A</v>
      </c>
      <c r="I23" s="16">
        <f>VLOOKUP($A23,PLAN!$B:$AC,10,0)</f>
        <v>3</v>
      </c>
      <c r="J23" s="17" t="str">
        <f>VLOOKUP($A23,PLAN!$B:$AC,21,0)</f>
        <v>N/A</v>
      </c>
      <c r="K23" s="145" t="str">
        <f>VLOOKUP($A23,PLAN!$B:$AC,22,0)</f>
        <v>TEST</v>
      </c>
      <c r="L23" s="1"/>
      <c r="M23" s="1"/>
      <c r="N23" s="1"/>
      <c r="O23" s="221" t="s">
        <v>79</v>
      </c>
      <c r="P23" s="220"/>
      <c r="Q23" s="18" t="s">
        <v>937</v>
      </c>
    </row>
    <row r="24" spans="1:17" ht="16.2" hidden="1" customHeight="1">
      <c r="A24" s="329" t="s">
        <v>731</v>
      </c>
      <c r="B24" s="14">
        <f>VLOOKUP($A24,PLAN!$B:$AC,3,0)</f>
        <v>11134247</v>
      </c>
      <c r="C24" s="14" t="str">
        <f>VLOOKUP($A24,PLAN!$B:$AC,4,0)</f>
        <v>2141050-D-A</v>
      </c>
      <c r="D24" s="14" t="str">
        <f>VLOOKUP($A24,PLAN!$B:$AC,5,0)</f>
        <v>ASAHI Caravel 150cm</v>
      </c>
      <c r="E24" s="14" t="str">
        <f>VLOOKUP($A24,PLAN!$B:$AC,2,0)</f>
        <v>2000126735</v>
      </c>
      <c r="F24" s="15">
        <f>VLOOKUP($A24,PLAN!$B:$AC,7,0)</f>
        <v>46234</v>
      </c>
      <c r="G24" s="16" t="str">
        <f>VLOOKUP($A24,PLAN!$B:$AC,8,0)</f>
        <v>0103539440</v>
      </c>
      <c r="H24" s="16" t="str">
        <f>VLOOKUP($A24,PLAN!$B:$AC,9,0)</f>
        <v>260707Y31B</v>
      </c>
      <c r="I24" s="16">
        <f>VLOOKUP($A24,PLAN!$B:$AC,10,0)</f>
        <v>9</v>
      </c>
      <c r="J24" s="17">
        <f>VLOOKUP($A24,PLAN!$B:$AC,21,0)</f>
        <v>46230</v>
      </c>
      <c r="K24" s="145" t="str">
        <f>VLOOKUP($A24,PLAN!$B:$AC,22,0)</f>
        <v>TEST</v>
      </c>
      <c r="L24" s="1"/>
      <c r="M24" s="1"/>
      <c r="N24" s="1"/>
      <c r="O24" s="221" t="s">
        <v>79</v>
      </c>
      <c r="P24" s="220"/>
      <c r="Q24" s="18" t="s">
        <v>937</v>
      </c>
    </row>
    <row r="25" spans="1:17" ht="16.2" hidden="1" customHeight="1">
      <c r="A25" s="329" t="s">
        <v>732</v>
      </c>
      <c r="B25" s="14">
        <f>VLOOKUP($A25,PLAN!$B:$AC,3,0)</f>
        <v>11134247</v>
      </c>
      <c r="C25" s="14" t="str">
        <f>VLOOKUP($A25,PLAN!$B:$AC,4,0)</f>
        <v>2141050-D-A</v>
      </c>
      <c r="D25" s="14" t="str">
        <f>VLOOKUP($A25,PLAN!$B:$AC,5,0)</f>
        <v>ASAHI Caravel 150cm</v>
      </c>
      <c r="E25" s="14" t="str">
        <f>VLOOKUP($A25,PLAN!$B:$AC,2,0)</f>
        <v>2000126736</v>
      </c>
      <c r="F25" s="15">
        <f>VLOOKUP($A25,PLAN!$B:$AC,7,0)</f>
        <v>46234</v>
      </c>
      <c r="G25" s="16" t="str">
        <f>VLOOKUP($A25,PLAN!$B:$AC,8,0)</f>
        <v>0103539441</v>
      </c>
      <c r="H25" s="16" t="str">
        <f>VLOOKUP($A25,PLAN!$B:$AC,9,0)</f>
        <v>260707Y31D</v>
      </c>
      <c r="I25" s="16">
        <f>VLOOKUP($A25,PLAN!$B:$AC,10,0)</f>
        <v>9</v>
      </c>
      <c r="J25" s="17">
        <f>VLOOKUP($A25,PLAN!$B:$AC,21,0)</f>
        <v>46230</v>
      </c>
      <c r="K25" s="145" t="str">
        <f>VLOOKUP($A25,PLAN!$B:$AC,22,0)</f>
        <v>TEST</v>
      </c>
      <c r="L25" s="1"/>
      <c r="M25" s="1"/>
      <c r="N25" s="1"/>
      <c r="O25" s="221" t="s">
        <v>79</v>
      </c>
      <c r="P25" s="220"/>
      <c r="Q25" s="18" t="s">
        <v>937</v>
      </c>
    </row>
    <row r="26" spans="1:17" ht="16.2" hidden="1" customHeight="1">
      <c r="A26" s="329" t="s">
        <v>733</v>
      </c>
      <c r="B26" s="14">
        <f>VLOOKUP($A26,PLAN!$B:$AC,3,0)</f>
        <v>11134249</v>
      </c>
      <c r="C26" s="14" t="str">
        <f>VLOOKUP($A26,PLAN!$B:$AC,4,0)</f>
        <v>2041190-D-A</v>
      </c>
      <c r="D26" s="14" t="str">
        <f>VLOOKUP($A26,PLAN!$B:$AC,5,0)</f>
        <v>ASAHI Corsair Pro 150㎝</v>
      </c>
      <c r="E26" s="14" t="str">
        <f>VLOOKUP($A26,PLAN!$B:$AC,2,0)</f>
        <v>2000126737</v>
      </c>
      <c r="F26" s="15">
        <f>VLOOKUP($A26,PLAN!$B:$AC,7,0)</f>
        <v>46234</v>
      </c>
      <c r="G26" s="16" t="str">
        <f>VLOOKUP($A26,PLAN!$B:$AC,8,0)</f>
        <v>0103539442</v>
      </c>
      <c r="H26" s="16" t="str">
        <f>VLOOKUP($A26,PLAN!$B:$AC,9,0)</f>
        <v>260707Y32A</v>
      </c>
      <c r="I26" s="16">
        <f>VLOOKUP($A26,PLAN!$B:$AC,10,0)</f>
        <v>3</v>
      </c>
      <c r="J26" s="17" t="str">
        <f>VLOOKUP($A26,PLAN!$B:$AC,21,0)</f>
        <v>N/A</v>
      </c>
      <c r="K26" s="145" t="str">
        <f>VLOOKUP($A26,PLAN!$B:$AC,22,0)</f>
        <v>TEST</v>
      </c>
      <c r="L26" s="1"/>
      <c r="M26" s="1"/>
      <c r="N26" s="1"/>
      <c r="O26" s="221" t="s">
        <v>79</v>
      </c>
      <c r="P26" s="220"/>
      <c r="Q26" s="18" t="s">
        <v>937</v>
      </c>
    </row>
    <row r="27" spans="1:17" ht="16.2" hidden="1" customHeight="1">
      <c r="A27" s="329" t="s">
        <v>734</v>
      </c>
      <c r="B27" s="14">
        <f>VLOOKUP($A27,PLAN!$B:$AC,3,0)</f>
        <v>11134249</v>
      </c>
      <c r="C27" s="14" t="str">
        <f>VLOOKUP($A27,PLAN!$B:$AC,4,0)</f>
        <v>2041190-D-A</v>
      </c>
      <c r="D27" s="14" t="str">
        <f>VLOOKUP($A27,PLAN!$B:$AC,5,0)</f>
        <v>ASAHI Corsair Pro 150㎝</v>
      </c>
      <c r="E27" s="14" t="str">
        <f>VLOOKUP($A27,PLAN!$B:$AC,2,0)</f>
        <v>2000126738</v>
      </c>
      <c r="F27" s="15">
        <f>VLOOKUP($A27,PLAN!$B:$AC,7,0)</f>
        <v>46234</v>
      </c>
      <c r="G27" s="16" t="str">
        <f>VLOOKUP($A27,PLAN!$B:$AC,8,0)</f>
        <v>0103539443</v>
      </c>
      <c r="H27" s="16" t="str">
        <f>VLOOKUP($A27,PLAN!$B:$AC,9,0)</f>
        <v>260707Y32D</v>
      </c>
      <c r="I27" s="16">
        <f>VLOOKUP($A27,PLAN!$B:$AC,10,0)</f>
        <v>9</v>
      </c>
      <c r="J27" s="17">
        <f>VLOOKUP($A27,PLAN!$B:$AC,21,0)</f>
        <v>46230</v>
      </c>
      <c r="K27" s="145" t="str">
        <f>VLOOKUP($A27,PLAN!$B:$AC,22,0)</f>
        <v>TEST</v>
      </c>
      <c r="L27" s="1"/>
      <c r="M27" s="1"/>
      <c r="N27" s="1"/>
      <c r="O27" s="221" t="s">
        <v>79</v>
      </c>
      <c r="P27" s="220"/>
      <c r="Q27" s="18" t="s">
        <v>937</v>
      </c>
    </row>
    <row r="28" spans="1:17" ht="16.2" hidden="1" customHeight="1">
      <c r="A28" s="329" t="s">
        <v>735</v>
      </c>
      <c r="B28" s="14">
        <f>VLOOKUP($A28,PLAN!$B:$AC,3,0)</f>
        <v>11119663</v>
      </c>
      <c r="C28" s="14" t="str">
        <f>VLOOKUP($A28,PLAN!$B:$AC,4,0)</f>
        <v>1911329-D-A</v>
      </c>
      <c r="D28" s="14" t="str">
        <f>VLOOKUP($A28,PLAN!$B:$AC,5,0)</f>
        <v>HJ80AL102P10002 JP</v>
      </c>
      <c r="E28" s="14" t="str">
        <f>VLOOKUP($A28,PLAN!$B:$AC,2,0)</f>
        <v>2000126739</v>
      </c>
      <c r="F28" s="15">
        <f>VLOOKUP($A28,PLAN!$B:$AC,7,0)</f>
        <v>46234</v>
      </c>
      <c r="G28" s="16" t="str">
        <f>VLOOKUP($A28,PLAN!$B:$AC,8,0)</f>
        <v>0103539445</v>
      </c>
      <c r="H28" s="16" t="str">
        <f>VLOOKUP($A28,PLAN!$B:$AC,9,0)</f>
        <v>260707Y33A</v>
      </c>
      <c r="I28" s="16">
        <f>VLOOKUP($A28,PLAN!$B:$AC,10,0)</f>
        <v>3</v>
      </c>
      <c r="J28" s="17" t="str">
        <f>VLOOKUP($A28,PLAN!$B:$AC,21,0)</f>
        <v>N/A</v>
      </c>
      <c r="K28" s="145" t="str">
        <f>VLOOKUP($A28,PLAN!$B:$AC,22,0)</f>
        <v>TEST</v>
      </c>
      <c r="L28" s="1"/>
      <c r="M28" s="1"/>
      <c r="N28" s="1"/>
      <c r="O28" s="221" t="s">
        <v>79</v>
      </c>
      <c r="P28" s="220"/>
      <c r="Q28" s="18" t="s">
        <v>937</v>
      </c>
    </row>
    <row r="29" spans="1:17" ht="16.2" hidden="1" customHeight="1">
      <c r="A29" s="329" t="s">
        <v>736</v>
      </c>
      <c r="B29" s="14">
        <f>VLOOKUP($A29,PLAN!$B:$AC,3,0)</f>
        <v>11119663</v>
      </c>
      <c r="C29" s="14" t="str">
        <f>VLOOKUP($A29,PLAN!$B:$AC,4,0)</f>
        <v>1911329-D-A</v>
      </c>
      <c r="D29" s="14" t="str">
        <f>VLOOKUP($A29,PLAN!$B:$AC,5,0)</f>
        <v>HJ80AL102P10002 JP</v>
      </c>
      <c r="E29" s="14" t="str">
        <f>VLOOKUP($A29,PLAN!$B:$AC,2,0)</f>
        <v>2000126740</v>
      </c>
      <c r="F29" s="15">
        <f>VLOOKUP($A29,PLAN!$B:$AC,7,0)</f>
        <v>46234</v>
      </c>
      <c r="G29" s="16" t="str">
        <f>VLOOKUP($A29,PLAN!$B:$AC,8,0)</f>
        <v>0103539446</v>
      </c>
      <c r="H29" s="16" t="str">
        <f>VLOOKUP($A29,PLAN!$B:$AC,9,0)</f>
        <v>260707Y33B</v>
      </c>
      <c r="I29" s="16">
        <f>VLOOKUP($A29,PLAN!$B:$AC,10,0)</f>
        <v>6</v>
      </c>
      <c r="J29" s="17">
        <f>VLOOKUP($A29,PLAN!$B:$AC,21,0)</f>
        <v>46230</v>
      </c>
      <c r="K29" s="145" t="str">
        <f>VLOOKUP($A29,PLAN!$B:$AC,22,0)</f>
        <v>TEST</v>
      </c>
      <c r="L29" s="1"/>
      <c r="M29" s="1"/>
      <c r="N29" s="1"/>
      <c r="O29" s="221" t="s">
        <v>79</v>
      </c>
      <c r="P29" s="220"/>
      <c r="Q29" s="18" t="s">
        <v>937</v>
      </c>
    </row>
    <row r="30" spans="1:17" ht="16.2" hidden="1" customHeight="1">
      <c r="A30" s="329" t="s">
        <v>737</v>
      </c>
      <c r="B30" s="14">
        <f>VLOOKUP($A30,PLAN!$B:$AC,3,0)</f>
        <v>11134203</v>
      </c>
      <c r="C30" s="14" t="str">
        <f>VLOOKUP($A30,PLAN!$B:$AC,4,0)</f>
        <v>2211671-D-A</v>
      </c>
      <c r="D30" s="14" t="str">
        <f>VLOOKUP($A30,PLAN!$B:$AC,5,0)</f>
        <v>HW80AL102P10000 CN</v>
      </c>
      <c r="E30" s="14" t="str">
        <f>VLOOKUP($A30,PLAN!$B:$AC,2,0)</f>
        <v>2000127121</v>
      </c>
      <c r="F30" s="15">
        <f>VLOOKUP($A30,PLAN!$B:$AC,7,0)</f>
        <v>46234</v>
      </c>
      <c r="G30" s="16" t="str">
        <f>VLOOKUP($A30,PLAN!$B:$AC,8,0)</f>
        <v>0103548965</v>
      </c>
      <c r="H30" s="16" t="str">
        <f>VLOOKUP($A30,PLAN!$B:$AC,9,0)</f>
        <v>260713Y01A</v>
      </c>
      <c r="I30" s="16">
        <f>VLOOKUP($A30,PLAN!$B:$AC,10,0)</f>
        <v>3</v>
      </c>
      <c r="J30" s="17" t="str">
        <f>VLOOKUP($A30,PLAN!$B:$AC,21,0)</f>
        <v>N/A</v>
      </c>
      <c r="K30" s="145" t="str">
        <f>VLOOKUP($A30,PLAN!$B:$AC,22,0)</f>
        <v>TEST</v>
      </c>
      <c r="L30" s="1"/>
      <c r="M30" s="1"/>
      <c r="N30" s="1"/>
      <c r="O30" s="221" t="s">
        <v>79</v>
      </c>
      <c r="P30" s="220"/>
      <c r="Q30" s="18" t="s">
        <v>937</v>
      </c>
    </row>
    <row r="31" spans="1:17" ht="16.2" hidden="1" customHeight="1">
      <c r="A31" s="329" t="s">
        <v>1193</v>
      </c>
      <c r="B31" s="14">
        <f>VLOOKUP($A31,PLAN!$B:$AC,3,0)</f>
        <v>11134203</v>
      </c>
      <c r="C31" s="14" t="str">
        <f>VLOOKUP($A31,PLAN!$B:$AC,4,0)</f>
        <v>2211671-D-A</v>
      </c>
      <c r="D31" s="14" t="str">
        <f>VLOOKUP($A31,PLAN!$B:$AC,5,0)</f>
        <v>HW80AL102P10000 CN</v>
      </c>
      <c r="E31" s="14" t="str">
        <f>VLOOKUP($A31,PLAN!$B:$AC,2,0)</f>
        <v>2000127122</v>
      </c>
      <c r="F31" s="15">
        <f>VLOOKUP($A31,PLAN!$B:$AC,7,0)</f>
        <v>46234</v>
      </c>
      <c r="G31" s="16" t="str">
        <f>VLOOKUP($A31,PLAN!$B:$AC,8,0)</f>
        <v>0103548970</v>
      </c>
      <c r="H31" s="16" t="str">
        <f>VLOOKUP($A31,PLAN!$B:$AC,9,0)</f>
        <v>260713Y01D</v>
      </c>
      <c r="I31" s="16">
        <f>VLOOKUP($A31,PLAN!$B:$AC,10,0)</f>
        <v>9</v>
      </c>
      <c r="J31" s="17">
        <f>VLOOKUP($A31,PLAN!$B:$AC,21,0)</f>
        <v>46230</v>
      </c>
      <c r="K31" s="145" t="str">
        <f>VLOOKUP($A31,PLAN!$B:$AC,22,0)</f>
        <v>TEST</v>
      </c>
      <c r="L31" s="1"/>
      <c r="M31" s="1"/>
      <c r="N31" s="1"/>
      <c r="O31" s="221" t="s">
        <v>79</v>
      </c>
      <c r="P31" s="220"/>
      <c r="Q31" s="18" t="s">
        <v>937</v>
      </c>
    </row>
    <row r="32" spans="1:17" ht="16.2" hidden="1" customHeight="1">
      <c r="A32" s="329" t="s">
        <v>738</v>
      </c>
      <c r="B32" s="14">
        <f>VLOOKUP($A32,PLAN!$B:$AC,3,0)</f>
        <v>12129248</v>
      </c>
      <c r="C32" s="14" t="str">
        <f>VLOOKUP($A32,PLAN!$B:$AC,4,0)</f>
        <v>PR2145021-0-A</v>
      </c>
      <c r="D32" s="14" t="str">
        <f>VLOOKUP($A32,PLAN!$B:$AC,5,0)</f>
        <v>Accessories for Masters Parkway HF</v>
      </c>
      <c r="E32" s="14" t="str">
        <f>VLOOKUP($A32,PLAN!$B:$AC,2,0)</f>
        <v>2000126742</v>
      </c>
      <c r="F32" s="15">
        <f>VLOOKUP($A32,PLAN!$B:$AC,7,0)</f>
        <v>46234</v>
      </c>
      <c r="G32" s="16" t="str">
        <f>VLOOKUP($A32,PLAN!$B:$AC,8,0)</f>
        <v>0103539448</v>
      </c>
      <c r="H32" s="16" t="str">
        <f>VLOOKUP($A32,PLAN!$B:$AC,9,0)</f>
        <v>260707Y34A</v>
      </c>
      <c r="I32" s="16">
        <f>VLOOKUP($A32,PLAN!$B:$AC,10,0)</f>
        <v>3</v>
      </c>
      <c r="J32" s="17" t="str">
        <f>VLOOKUP($A32,PLAN!$B:$AC,21,0)</f>
        <v>N/A</v>
      </c>
      <c r="K32" s="145" t="str">
        <f>VLOOKUP($A32,PLAN!$B:$AC,22,0)</f>
        <v>TEST</v>
      </c>
      <c r="L32" s="1"/>
      <c r="M32" s="1"/>
      <c r="N32" s="1"/>
      <c r="O32" s="221" t="s">
        <v>79</v>
      </c>
      <c r="P32" s="220"/>
      <c r="Q32" s="18" t="s">
        <v>937</v>
      </c>
    </row>
    <row r="33" spans="1:17" ht="16.2" hidden="1" customHeight="1">
      <c r="A33" s="329" t="s">
        <v>739</v>
      </c>
      <c r="B33" s="14">
        <f>VLOOKUP($A33,PLAN!$B:$AC,3,0)</f>
        <v>12129248</v>
      </c>
      <c r="C33" s="14" t="str">
        <f>VLOOKUP($A33,PLAN!$B:$AC,4,0)</f>
        <v>PR2145021-0-A</v>
      </c>
      <c r="D33" s="14" t="str">
        <f>VLOOKUP($A33,PLAN!$B:$AC,5,0)</f>
        <v>Accessories for Masters Parkway HF</v>
      </c>
      <c r="E33" s="14" t="str">
        <f>VLOOKUP($A33,PLAN!$B:$AC,2,0)</f>
        <v>2000126743</v>
      </c>
      <c r="F33" s="15">
        <f>VLOOKUP($A33,PLAN!$B:$AC,7,0)</f>
        <v>46234</v>
      </c>
      <c r="G33" s="16" t="str">
        <f>VLOOKUP($A33,PLAN!$B:$AC,8,0)</f>
        <v>0103539449</v>
      </c>
      <c r="H33" s="16" t="str">
        <f>VLOOKUP($A33,PLAN!$B:$AC,9,0)</f>
        <v>260707Y34D</v>
      </c>
      <c r="I33" s="16">
        <f>VLOOKUP($A33,PLAN!$B:$AC,10,0)</f>
        <v>9</v>
      </c>
      <c r="J33" s="17">
        <f>VLOOKUP($A33,PLAN!$B:$AC,21,0)</f>
        <v>46230</v>
      </c>
      <c r="K33" s="145" t="str">
        <f>VLOOKUP($A33,PLAN!$B:$AC,22,0)</f>
        <v>TEST</v>
      </c>
      <c r="L33" s="1"/>
      <c r="M33" s="1"/>
      <c r="N33" s="1"/>
      <c r="O33" s="221" t="s">
        <v>79</v>
      </c>
      <c r="P33" s="220"/>
      <c r="Q33" s="18" t="s">
        <v>937</v>
      </c>
    </row>
    <row r="34" spans="1:17" ht="16.2" hidden="1" customHeight="1">
      <c r="A34" s="329" t="s">
        <v>1038</v>
      </c>
      <c r="B34" s="14">
        <f>VLOOKUP($A34,PLAN!$B:$AC,3,0)</f>
        <v>11134152</v>
      </c>
      <c r="C34" s="14" t="str">
        <f>VLOOKUP($A34,PLAN!$B:$AC,4,0)</f>
        <v>1811913-L-A</v>
      </c>
      <c r="D34" s="14" t="str">
        <f>VLOOKUP($A34,PLAN!$B:$AC,5,0)</f>
        <v>HW60SP400P10000 CN</v>
      </c>
      <c r="E34" s="14" t="str">
        <f>VLOOKUP($A34,PLAN!$B:$AC,2,0)</f>
        <v>1001913378</v>
      </c>
      <c r="F34" s="15">
        <f>VLOOKUP($A34,PLAN!$B:$AC,7,0)</f>
        <v>46233</v>
      </c>
      <c r="G34" s="16" t="str">
        <f>VLOOKUP($A34,PLAN!$B:$AC,8,0)</f>
        <v>0103547088</v>
      </c>
      <c r="H34" s="16" t="str">
        <f>VLOOKUP($A34,PLAN!$B:$AC,9,0)</f>
        <v>260713C01A</v>
      </c>
      <c r="I34" s="16">
        <f>VLOOKUP($A34,PLAN!$B:$AC,10,0)</f>
        <v>3</v>
      </c>
      <c r="J34" s="17">
        <f>VLOOKUP($A34,PLAN!$B:$AC,21,0)</f>
        <v>46220</v>
      </c>
      <c r="K34" s="145" t="str">
        <f>VLOOKUP($A34,PLAN!$B:$AC,22,0)</f>
        <v>M9</v>
      </c>
      <c r="L34" s="1"/>
      <c r="M34" s="1"/>
      <c r="N34" s="1"/>
      <c r="O34" s="221" t="s">
        <v>79</v>
      </c>
      <c r="P34" s="220"/>
      <c r="Q34" s="18">
        <f>VLOOKUP(A34,PLAN!B:R,17,0)</f>
        <v>46219</v>
      </c>
    </row>
    <row r="35" spans="1:17" ht="16.2" hidden="1" customHeight="1">
      <c r="A35" s="329" t="s">
        <v>1039</v>
      </c>
      <c r="B35" s="14">
        <f>VLOOKUP($A35,PLAN!$B:$AC,3,0)</f>
        <v>11134149</v>
      </c>
      <c r="C35" s="14" t="str">
        <f>VLOOKUP($A35,PLAN!$B:$AC,4,0)</f>
        <v>1811910-L-A</v>
      </c>
      <c r="D35" s="14" t="str">
        <f>VLOOKUP($A35,PLAN!$B:$AC,5,0)</f>
        <v>HW60SP352P10000 CN</v>
      </c>
      <c r="E35" s="14" t="str">
        <f>VLOOKUP($A35,PLAN!$B:$AC,2,0)</f>
        <v>1001913379</v>
      </c>
      <c r="F35" s="15">
        <f>VLOOKUP($A35,PLAN!$B:$AC,7,0)</f>
        <v>46233</v>
      </c>
      <c r="G35" s="16" t="str">
        <f>VLOOKUP($A35,PLAN!$B:$AC,8,0)</f>
        <v>0103547089</v>
      </c>
      <c r="H35" s="16" t="str">
        <f>VLOOKUP($A35,PLAN!$B:$AC,9,0)</f>
        <v>260713C02A</v>
      </c>
      <c r="I35" s="16">
        <f>VLOOKUP($A35,PLAN!$B:$AC,10,0)</f>
        <v>10</v>
      </c>
      <c r="J35" s="17">
        <f>VLOOKUP($A35,PLAN!$B:$AC,21,0)</f>
        <v>46220</v>
      </c>
      <c r="K35" s="145" t="str">
        <f>VLOOKUP($A35,PLAN!$B:$AC,22,0)</f>
        <v>M9</v>
      </c>
      <c r="L35" s="1"/>
      <c r="M35" s="1"/>
      <c r="N35" s="1"/>
      <c r="O35" s="221" t="s">
        <v>79</v>
      </c>
      <c r="P35" s="220"/>
      <c r="Q35" s="18">
        <f>VLOOKUP(A35,PLAN!B:R,17,0)</f>
        <v>46219</v>
      </c>
    </row>
    <row r="36" spans="1:17" ht="16.2" hidden="1" customHeight="1">
      <c r="A36" s="329" t="s">
        <v>1040</v>
      </c>
      <c r="B36" s="14">
        <f>VLOOKUP($A36,PLAN!$B:$AC,3,0)</f>
        <v>11134146</v>
      </c>
      <c r="C36" s="14" t="str">
        <f>VLOOKUP($A36,PLAN!$B:$AC,4,0)</f>
        <v>1811907-L-A</v>
      </c>
      <c r="D36" s="14" t="str">
        <f>VLOOKUP($A36,PLAN!$B:$AC,5,0)</f>
        <v>HW60SP300P10000 CN</v>
      </c>
      <c r="E36" s="14" t="str">
        <f>VLOOKUP($A36,PLAN!$B:$AC,2,0)</f>
        <v>1001913380</v>
      </c>
      <c r="F36" s="15">
        <f>VLOOKUP($A36,PLAN!$B:$AC,7,0)</f>
        <v>46233</v>
      </c>
      <c r="G36" s="16" t="str">
        <f>VLOOKUP($A36,PLAN!$B:$AC,8,0)</f>
        <v>0103547090</v>
      </c>
      <c r="H36" s="16" t="str">
        <f>VLOOKUP($A36,PLAN!$B:$AC,9,0)</f>
        <v>260713C03A</v>
      </c>
      <c r="I36" s="16">
        <f>VLOOKUP($A36,PLAN!$B:$AC,10,0)</f>
        <v>21</v>
      </c>
      <c r="J36" s="17">
        <f>VLOOKUP($A36,PLAN!$B:$AC,21,0)</f>
        <v>46220</v>
      </c>
      <c r="K36" s="145" t="str">
        <f>VLOOKUP($A36,PLAN!$B:$AC,22,0)</f>
        <v>M9</v>
      </c>
      <c r="L36" s="1"/>
      <c r="M36" s="1"/>
      <c r="N36" s="1"/>
      <c r="O36" s="221" t="s">
        <v>79</v>
      </c>
      <c r="P36" s="220"/>
      <c r="Q36" s="18">
        <f>VLOOKUP(A36,PLAN!B:R,17,0)</f>
        <v>46219</v>
      </c>
    </row>
    <row r="37" spans="1:17" ht="16.2" hidden="1" customHeight="1">
      <c r="A37" s="329" t="s">
        <v>1041</v>
      </c>
      <c r="B37" s="14">
        <f>VLOOKUP($A37,PLAN!$B:$AC,3,0)</f>
        <v>11134150</v>
      </c>
      <c r="C37" s="14" t="str">
        <f>VLOOKUP($A37,PLAN!$B:$AC,4,0)</f>
        <v>1811911-L-A</v>
      </c>
      <c r="D37" s="14" t="str">
        <f>VLOOKUP($A37,PLAN!$B:$AC,5,0)</f>
        <v>HW60SP370P10000 CN</v>
      </c>
      <c r="E37" s="14" t="str">
        <f>VLOOKUP($A37,PLAN!$B:$AC,2,0)</f>
        <v>1001913381</v>
      </c>
      <c r="F37" s="15">
        <f>VLOOKUP($A37,PLAN!$B:$AC,7,0)</f>
        <v>46233</v>
      </c>
      <c r="G37" s="16" t="str">
        <f>VLOOKUP($A37,PLAN!$B:$AC,8,0)</f>
        <v>0103547091</v>
      </c>
      <c r="H37" s="16" t="str">
        <f>VLOOKUP($A37,PLAN!$B:$AC,9,0)</f>
        <v>260713C04A</v>
      </c>
      <c r="I37" s="16">
        <f>VLOOKUP($A37,PLAN!$B:$AC,10,0)</f>
        <v>290</v>
      </c>
      <c r="J37" s="17">
        <f>VLOOKUP($A37,PLAN!$B:$AC,21,0)</f>
        <v>46220</v>
      </c>
      <c r="K37" s="145" t="str">
        <f>VLOOKUP($A37,PLAN!$B:$AC,22,0)</f>
        <v>M9</v>
      </c>
      <c r="L37" s="1"/>
      <c r="M37" s="1"/>
      <c r="N37" s="1"/>
      <c r="O37" s="221" t="s">
        <v>79</v>
      </c>
      <c r="P37" s="220"/>
      <c r="Q37" s="18">
        <f>VLOOKUP(A37,PLAN!B:R,17,0)</f>
        <v>46219</v>
      </c>
    </row>
    <row r="38" spans="1:17" ht="16.2" hidden="1" customHeight="1">
      <c r="A38" s="329" t="s">
        <v>1042</v>
      </c>
      <c r="B38" s="14">
        <f>VLOOKUP($A38,PLAN!$B:$AC,3,0)</f>
        <v>11134148</v>
      </c>
      <c r="C38" s="14" t="str">
        <f>VLOOKUP($A38,PLAN!$B:$AC,4,0)</f>
        <v>1811909-L-A</v>
      </c>
      <c r="D38" s="14" t="str">
        <f>VLOOKUP($A38,PLAN!$B:$AC,5,0)</f>
        <v>HW60SP350P10000 CN</v>
      </c>
      <c r="E38" s="14" t="str">
        <f>VLOOKUP($A38,PLAN!$B:$AC,2,0)</f>
        <v>1001913382</v>
      </c>
      <c r="F38" s="15">
        <f>VLOOKUP($A38,PLAN!$B:$AC,7,0)</f>
        <v>46233</v>
      </c>
      <c r="G38" s="16" t="str">
        <f>VLOOKUP($A38,PLAN!$B:$AC,8,0)</f>
        <v>0103547092</v>
      </c>
      <c r="H38" s="16" t="str">
        <f>VLOOKUP($A38,PLAN!$B:$AC,9,0)</f>
        <v>260713C05A</v>
      </c>
      <c r="I38" s="16">
        <f>VLOOKUP($A38,PLAN!$B:$AC,10,0)</f>
        <v>400</v>
      </c>
      <c r="J38" s="17">
        <f>VLOOKUP($A38,PLAN!$B:$AC,21,0)</f>
        <v>46220</v>
      </c>
      <c r="K38" s="145" t="str">
        <f>VLOOKUP($A38,PLAN!$B:$AC,22,0)</f>
        <v>M9</v>
      </c>
      <c r="L38" s="1"/>
      <c r="M38" s="1"/>
      <c r="N38" s="1"/>
      <c r="O38" s="221" t="s">
        <v>79</v>
      </c>
      <c r="P38" s="220"/>
      <c r="Q38" s="18">
        <f>VLOOKUP(A38,PLAN!B:R,17,0)</f>
        <v>46219</v>
      </c>
    </row>
    <row r="39" spans="1:17" ht="16.2" hidden="1" customHeight="1">
      <c r="A39" s="329" t="s">
        <v>1043</v>
      </c>
      <c r="B39" s="14">
        <f>VLOOKUP($A39,PLAN!$B:$AC,3,0)</f>
        <v>11134129</v>
      </c>
      <c r="C39" s="14" t="str">
        <f>VLOOKUP($A39,PLAN!$B:$AC,4,0)</f>
        <v>1811861-J-A</v>
      </c>
      <c r="D39" s="14" t="str">
        <f>VLOOKUP($A39,PLAN!$B:$AC,5,0)</f>
        <v>HW60AL070P10000 CN</v>
      </c>
      <c r="E39" s="14" t="str">
        <f>VLOOKUP($A39,PLAN!$B:$AC,2,0)</f>
        <v>1001913383</v>
      </c>
      <c r="F39" s="15">
        <f>VLOOKUP($A39,PLAN!$B:$AC,7,0)</f>
        <v>46233</v>
      </c>
      <c r="G39" s="16" t="str">
        <f>VLOOKUP($A39,PLAN!$B:$AC,8,0)</f>
        <v>0103547093</v>
      </c>
      <c r="H39" s="16" t="str">
        <f>VLOOKUP($A39,PLAN!$B:$AC,9,0)</f>
        <v>260713C06A</v>
      </c>
      <c r="I39" s="16">
        <f>VLOOKUP($A39,PLAN!$B:$AC,10,0)</f>
        <v>40</v>
      </c>
      <c r="J39" s="17">
        <f>VLOOKUP($A39,PLAN!$B:$AC,21,0)</f>
        <v>46220</v>
      </c>
      <c r="K39" s="145" t="str">
        <f>VLOOKUP($A39,PLAN!$B:$AC,22,0)</f>
        <v>M10</v>
      </c>
      <c r="L39" s="1"/>
      <c r="M39" s="1"/>
      <c r="N39" s="1"/>
      <c r="O39" s="221" t="s">
        <v>79</v>
      </c>
      <c r="P39" s="220"/>
      <c r="Q39" s="18">
        <f>VLOOKUP(A39,PLAN!B:R,17,0)</f>
        <v>46219</v>
      </c>
    </row>
    <row r="40" spans="1:17" ht="16.2" hidden="1" customHeight="1">
      <c r="A40" s="329" t="s">
        <v>1044</v>
      </c>
      <c r="B40" s="14">
        <f>VLOOKUP($A40,PLAN!$B:$AC,3,0)</f>
        <v>11134131</v>
      </c>
      <c r="C40" s="14" t="str">
        <f>VLOOKUP($A40,PLAN!$B:$AC,4,0)</f>
        <v>1811863-J-A</v>
      </c>
      <c r="D40" s="14" t="str">
        <f>VLOOKUP($A40,PLAN!$B:$AC,5,0)</f>
        <v>HW60AL100P10000 CN</v>
      </c>
      <c r="E40" s="14" t="str">
        <f>VLOOKUP($A40,PLAN!$B:$AC,2,0)</f>
        <v>1001913384</v>
      </c>
      <c r="F40" s="15">
        <f>VLOOKUP($A40,PLAN!$B:$AC,7,0)</f>
        <v>46233</v>
      </c>
      <c r="G40" s="16" t="str">
        <f>VLOOKUP($A40,PLAN!$B:$AC,8,0)</f>
        <v>0103547094</v>
      </c>
      <c r="H40" s="16" t="str">
        <f>VLOOKUP($A40,PLAN!$B:$AC,9,0)</f>
        <v>260713C07A</v>
      </c>
      <c r="I40" s="16">
        <f>VLOOKUP($A40,PLAN!$B:$AC,10,0)</f>
        <v>96</v>
      </c>
      <c r="J40" s="17">
        <f>VLOOKUP($A40,PLAN!$B:$AC,21,0)</f>
        <v>46220</v>
      </c>
      <c r="K40" s="145" t="str">
        <f>VLOOKUP($A40,PLAN!$B:$AC,22,0)</f>
        <v>M10</v>
      </c>
      <c r="L40" s="1"/>
      <c r="M40" s="1"/>
      <c r="N40" s="1"/>
      <c r="O40" s="221" t="s">
        <v>79</v>
      </c>
      <c r="P40" s="220"/>
      <c r="Q40" s="18">
        <f>VLOOKUP(A40,PLAN!B:R,17,0)</f>
        <v>46219</v>
      </c>
    </row>
    <row r="41" spans="1:17" ht="16.2" hidden="1" customHeight="1">
      <c r="A41" s="329" t="s">
        <v>1045</v>
      </c>
      <c r="B41" s="14">
        <f>VLOOKUP($A41,PLAN!$B:$AC,3,0)</f>
        <v>11134120</v>
      </c>
      <c r="C41" s="14" t="str">
        <f>VLOOKUP($A41,PLAN!$B:$AC,4,0)</f>
        <v>1811831-J-A</v>
      </c>
      <c r="D41" s="14" t="str">
        <f>VLOOKUP($A41,PLAN!$B:$AC,5,0)</f>
        <v>HW60JL400P10000 CN</v>
      </c>
      <c r="E41" s="14" t="str">
        <f>VLOOKUP($A41,PLAN!$B:$AC,2,0)</f>
        <v>1001913385</v>
      </c>
      <c r="F41" s="15">
        <f>VLOOKUP($A41,PLAN!$B:$AC,7,0)</f>
        <v>46233</v>
      </c>
      <c r="G41" s="16" t="str">
        <f>VLOOKUP($A41,PLAN!$B:$AC,8,0)</f>
        <v>0103547095</v>
      </c>
      <c r="H41" s="16" t="str">
        <f>VLOOKUP($A41,PLAN!$B:$AC,9,0)</f>
        <v>260713C08A</v>
      </c>
      <c r="I41" s="16">
        <f>VLOOKUP($A41,PLAN!$B:$AC,10,0)</f>
        <v>380</v>
      </c>
      <c r="J41" s="17">
        <f>VLOOKUP($A41,PLAN!$B:$AC,21,0)</f>
        <v>46220</v>
      </c>
      <c r="K41" s="145" t="str">
        <f>VLOOKUP($A41,PLAN!$B:$AC,22,0)</f>
        <v>M10</v>
      </c>
      <c r="L41" s="1"/>
      <c r="M41" s="1"/>
      <c r="N41" s="1"/>
      <c r="O41" s="221" t="s">
        <v>79</v>
      </c>
      <c r="P41" s="220"/>
      <c r="Q41" s="18">
        <f>VLOOKUP(A41,PLAN!B:R,17,0)</f>
        <v>46219</v>
      </c>
    </row>
    <row r="42" spans="1:17" ht="16.2" hidden="1" customHeight="1">
      <c r="A42" s="329" t="s">
        <v>1046</v>
      </c>
      <c r="B42" s="14">
        <f>VLOOKUP($A42,PLAN!$B:$AC,3,0)</f>
        <v>11134117</v>
      </c>
      <c r="C42" s="14" t="str">
        <f>VLOOKUP($A42,PLAN!$B:$AC,4,0)</f>
        <v>1811827-J-A</v>
      </c>
      <c r="D42" s="14" t="str">
        <f>VLOOKUP($A42,PLAN!$B:$AC,5,0)</f>
        <v>HW60JL350P10000 CN</v>
      </c>
      <c r="E42" s="14" t="str">
        <f>VLOOKUP($A42,PLAN!$B:$AC,2,0)</f>
        <v>1001913386</v>
      </c>
      <c r="F42" s="15">
        <f>VLOOKUP($A42,PLAN!$B:$AC,7,0)</f>
        <v>46233</v>
      </c>
      <c r="G42" s="16" t="str">
        <f>VLOOKUP($A42,PLAN!$B:$AC,8,0)</f>
        <v>0103547096</v>
      </c>
      <c r="H42" s="16" t="str">
        <f>VLOOKUP($A42,PLAN!$B:$AC,9,0)</f>
        <v>260713C09A</v>
      </c>
      <c r="I42" s="16">
        <f>VLOOKUP($A42,PLAN!$B:$AC,10,0)</f>
        <v>324</v>
      </c>
      <c r="J42" s="17">
        <f>VLOOKUP($A42,PLAN!$B:$AC,21,0)</f>
        <v>46220</v>
      </c>
      <c r="K42" s="145" t="str">
        <f>VLOOKUP($A42,PLAN!$B:$AC,22,0)</f>
        <v>M10</v>
      </c>
      <c r="L42" s="1"/>
      <c r="M42" s="1"/>
      <c r="N42" s="1"/>
      <c r="O42" s="221" t="s">
        <v>79</v>
      </c>
      <c r="P42" s="220"/>
      <c r="Q42" s="18">
        <f>VLOOKUP(A42,PLAN!B:R,17,0)</f>
        <v>46219</v>
      </c>
    </row>
    <row r="43" spans="1:17" ht="16.2" hidden="1" customHeight="1">
      <c r="A43" s="329" t="s">
        <v>1047</v>
      </c>
      <c r="B43" s="14">
        <f>VLOOKUP($A43,PLAN!$B:$AC,3,0)</f>
        <v>11134148</v>
      </c>
      <c r="C43" s="14" t="str">
        <f>VLOOKUP($A43,PLAN!$B:$AC,4,0)</f>
        <v>1811909-L-A</v>
      </c>
      <c r="D43" s="14" t="str">
        <f>VLOOKUP($A43,PLAN!$B:$AC,5,0)</f>
        <v>HW60SP350P10000 CN</v>
      </c>
      <c r="E43" s="14" t="str">
        <f>VLOOKUP($A43,PLAN!$B:$AC,2,0)</f>
        <v>1001913433</v>
      </c>
      <c r="F43" s="15">
        <f>VLOOKUP($A43,PLAN!$B:$AC,7,0)</f>
        <v>46234</v>
      </c>
      <c r="G43" s="16" t="str">
        <f>VLOOKUP($A43,PLAN!$B:$AC,8,0)</f>
        <v>0103547143</v>
      </c>
      <c r="H43" s="16" t="str">
        <f>VLOOKUP($A43,PLAN!$B:$AC,9,0)</f>
        <v>260713C56A</v>
      </c>
      <c r="I43" s="16">
        <f>VLOOKUP($A43,PLAN!$B:$AC,10,0)</f>
        <v>486</v>
      </c>
      <c r="J43" s="17">
        <f>VLOOKUP($A43,PLAN!$B:$AC,21,0)</f>
        <v>46221</v>
      </c>
      <c r="K43" s="145" t="str">
        <f>VLOOKUP($A43,PLAN!$B:$AC,22,0)</f>
        <v>M10</v>
      </c>
      <c r="L43" s="1"/>
      <c r="M43" s="1"/>
      <c r="N43" s="1"/>
      <c r="O43" s="221" t="s">
        <v>79</v>
      </c>
      <c r="P43" s="220"/>
      <c r="Q43" s="18">
        <f>VLOOKUP(A43,PLAN!B:R,17,0)</f>
        <v>46220</v>
      </c>
    </row>
    <row r="44" spans="1:17" ht="16.2" hidden="1" customHeight="1">
      <c r="A44" s="329" t="s">
        <v>1096</v>
      </c>
      <c r="B44" s="14">
        <f>VLOOKUP($A44,PLAN!$B:$AC,3,0)</f>
        <v>11134148</v>
      </c>
      <c r="C44" s="14" t="str">
        <f>VLOOKUP($A44,PLAN!$B:$AC,4,0)</f>
        <v>1811909-L-A</v>
      </c>
      <c r="D44" s="14" t="str">
        <f>VLOOKUP($A44,PLAN!$B:$AC,5,0)</f>
        <v>HW60SP350P10000 CN</v>
      </c>
      <c r="E44" s="14" t="str">
        <f>VLOOKUP($A44,PLAN!$B:$AC,2,0)</f>
        <v>1001914294</v>
      </c>
      <c r="F44" s="15">
        <f>VLOOKUP($A44,PLAN!$B:$AC,7,0)</f>
        <v>46234</v>
      </c>
      <c r="G44" s="16" t="str">
        <f>VLOOKUP($A44,PLAN!$B:$AC,8,0)</f>
        <v>0103548549</v>
      </c>
      <c r="H44" s="16" t="str">
        <f>VLOOKUP($A44,PLAN!$B:$AC,9,0)</f>
        <v>260616C17B</v>
      </c>
      <c r="I44" s="16">
        <f>VLOOKUP($A44,PLAN!$B:$AC,10,0)</f>
        <v>1</v>
      </c>
      <c r="J44" s="17">
        <f>VLOOKUP($A44,PLAN!$B:$AC,21,0)</f>
        <v>46221</v>
      </c>
      <c r="K44" s="145" t="str">
        <f>VLOOKUP($A44,PLAN!$B:$AC,22,0)</f>
        <v>M10</v>
      </c>
      <c r="L44" s="1"/>
      <c r="M44" s="1"/>
      <c r="N44" s="1"/>
      <c r="O44" s="221" t="s">
        <v>79</v>
      </c>
      <c r="P44" s="220"/>
      <c r="Q44" s="18">
        <f>VLOOKUP(A44,PLAN!B:R,17,0)</f>
        <v>46220</v>
      </c>
    </row>
    <row r="45" spans="1:17" ht="16.2" hidden="1" customHeight="1">
      <c r="A45" s="329" t="s">
        <v>1186</v>
      </c>
      <c r="B45" s="14">
        <f>VLOOKUP($A45,PLAN!$B:$AC,3,0)</f>
        <v>11134146</v>
      </c>
      <c r="C45" s="14" t="str">
        <f>VLOOKUP($A45,PLAN!$B:$AC,4,0)</f>
        <v>1811907-L-A</v>
      </c>
      <c r="D45" s="14" t="str">
        <f>VLOOKUP($A45,PLAN!$B:$AC,5,0)</f>
        <v>HW60SP300P10000 CN</v>
      </c>
      <c r="E45" s="14" t="str">
        <f>VLOOKUP($A45,PLAN!$B:$AC,2,0)</f>
        <v>1001916295</v>
      </c>
      <c r="F45" s="15">
        <f>VLOOKUP($A45,PLAN!$B:$AC,7,0)</f>
        <v>46237</v>
      </c>
      <c r="G45" s="16" t="str">
        <f>VLOOKUP($A45,PLAN!$B:$AC,8,0)</f>
        <v>0103552270</v>
      </c>
      <c r="H45" s="16" t="str">
        <f>VLOOKUP($A45,PLAN!$B:$AC,9,0)</f>
        <v>260715C44A</v>
      </c>
      <c r="I45" s="16">
        <f>VLOOKUP($A45,PLAN!$B:$AC,10,0)</f>
        <v>720</v>
      </c>
      <c r="J45" s="17">
        <f>VLOOKUP($A45,PLAN!$B:$AC,21,0)</f>
        <v>46223</v>
      </c>
      <c r="K45" s="145" t="str">
        <f>VLOOKUP($A45,PLAN!$B:$AC,22,0)</f>
        <v>M10</v>
      </c>
      <c r="L45" s="1"/>
      <c r="M45" s="1"/>
      <c r="N45" s="1"/>
      <c r="O45" s="221" t="s">
        <v>79</v>
      </c>
      <c r="P45" s="220"/>
      <c r="Q45" s="18">
        <f>VLOOKUP(A45,PLAN!B:R,17,0)</f>
        <v>46221</v>
      </c>
    </row>
    <row r="46" spans="1:17" ht="16.2" hidden="1" customHeight="1">
      <c r="A46" s="329" t="s">
        <v>1189</v>
      </c>
      <c r="B46" s="14">
        <f>VLOOKUP($A46,PLAN!$B:$AC,3,0)</f>
        <v>11134247</v>
      </c>
      <c r="C46" s="14" t="str">
        <f>VLOOKUP($A46,PLAN!$B:$AC,4,0)</f>
        <v>2141050-D-A</v>
      </c>
      <c r="D46" s="14" t="str">
        <f>VLOOKUP($A46,PLAN!$B:$AC,5,0)</f>
        <v>CRV150-19P CN</v>
      </c>
      <c r="E46" s="14" t="str">
        <f>VLOOKUP($A46,PLAN!$B:$AC,2,0)</f>
        <v>1001916337</v>
      </c>
      <c r="F46" s="15">
        <f>VLOOKUP($A46,PLAN!$B:$AC,7,0)</f>
        <v>46238</v>
      </c>
      <c r="G46" s="16" t="str">
        <f>VLOOKUP($A46,PLAN!$B:$AC,8,0)</f>
        <v>0103552318</v>
      </c>
      <c r="H46" s="16" t="str">
        <f>VLOOKUP($A46,PLAN!$B:$AC,9,0)</f>
        <v>260715K15A</v>
      </c>
      <c r="I46" s="16">
        <f>VLOOKUP($A46,PLAN!$B:$AC,10,0)</f>
        <v>20</v>
      </c>
      <c r="J46" s="17">
        <f>VLOOKUP($A46,PLAN!$B:$AC,21,0)</f>
        <v>46224</v>
      </c>
      <c r="K46" s="145" t="str">
        <f>VLOOKUP($A46,PLAN!$B:$AC,22,0)</f>
        <v>M8</v>
      </c>
      <c r="L46" s="1"/>
      <c r="M46" s="1"/>
      <c r="N46" s="1"/>
      <c r="O46" s="221" t="s">
        <v>79</v>
      </c>
      <c r="P46" s="220"/>
      <c r="Q46" s="18">
        <f>VLOOKUP(A46,PLAN!B:R,17,0)</f>
        <v>46223</v>
      </c>
    </row>
    <row r="47" spans="1:17" ht="16.2" hidden="1" customHeight="1">
      <c r="A47" s="329" t="s">
        <v>1190</v>
      </c>
      <c r="B47" s="14">
        <f>VLOOKUP($A47,PLAN!$B:$AC,3,0)</f>
        <v>11134246</v>
      </c>
      <c r="C47" s="14" t="str">
        <f>VLOOKUP($A47,PLAN!$B:$AC,4,0)</f>
        <v>2141049-D-A</v>
      </c>
      <c r="D47" s="14" t="str">
        <f>VLOOKUP($A47,PLAN!$B:$AC,5,0)</f>
        <v>CRV135-19P CN</v>
      </c>
      <c r="E47" s="14" t="str">
        <f>VLOOKUP($A47,PLAN!$B:$AC,2,0)</f>
        <v>1001916338</v>
      </c>
      <c r="F47" s="15">
        <f>VLOOKUP($A47,PLAN!$B:$AC,7,0)</f>
        <v>46238</v>
      </c>
      <c r="G47" s="16" t="str">
        <f>VLOOKUP($A47,PLAN!$B:$AC,8,0)</f>
        <v>0103552319</v>
      </c>
      <c r="H47" s="16" t="str">
        <f>VLOOKUP($A47,PLAN!$B:$AC,9,0)</f>
        <v>260715K16A</v>
      </c>
      <c r="I47" s="16">
        <f>VLOOKUP($A47,PLAN!$B:$AC,10,0)</f>
        <v>1497</v>
      </c>
      <c r="J47" s="17">
        <f>VLOOKUP($A47,PLAN!$B:$AC,21,0)</f>
        <v>46224</v>
      </c>
      <c r="K47" s="145" t="str">
        <f>VLOOKUP($A47,PLAN!$B:$AC,22,0)</f>
        <v>M8</v>
      </c>
      <c r="L47" s="1"/>
      <c r="M47" s="1"/>
      <c r="N47" s="1"/>
      <c r="O47" s="221" t="s">
        <v>79</v>
      </c>
      <c r="P47" s="220"/>
      <c r="Q47" s="18">
        <f>VLOOKUP(A47,PLAN!B:R,17,0)</f>
        <v>46223</v>
      </c>
    </row>
    <row r="48" spans="1:17" ht="16.2" hidden="1" customHeight="1">
      <c r="A48" s="329" t="s">
        <v>1187</v>
      </c>
      <c r="B48" s="14">
        <f>VLOOKUP($A48,PLAN!$B:$AC,3,0)</f>
        <v>11134125</v>
      </c>
      <c r="C48" s="14" t="str">
        <f>VLOOKUP($A48,PLAN!$B:$AC,4,0)</f>
        <v>1811851-J-A</v>
      </c>
      <c r="D48" s="14" t="str">
        <f>VLOOKUP($A48,PLAN!$B:$AC,5,0)</f>
        <v>HW60JR400P10000 CN</v>
      </c>
      <c r="E48" s="14" t="str">
        <f>VLOOKUP($A48,PLAN!$B:$AC,2,0)</f>
        <v>1001916320</v>
      </c>
      <c r="F48" s="15">
        <f>VLOOKUP($A48,PLAN!$B:$AC,7,0)</f>
        <v>46238</v>
      </c>
      <c r="G48" s="16" t="str">
        <f>VLOOKUP($A48,PLAN!$B:$AC,8,0)</f>
        <v>0103552300</v>
      </c>
      <c r="H48" s="16" t="str">
        <f>VLOOKUP($A48,PLAN!$B:$AC,9,0)</f>
        <v>260715C69A</v>
      </c>
      <c r="I48" s="16">
        <f>VLOOKUP($A48,PLAN!$B:$AC,10,0)</f>
        <v>420</v>
      </c>
      <c r="J48" s="17">
        <f>VLOOKUP($A48,PLAN!$B:$AC,21,0)</f>
        <v>46224</v>
      </c>
      <c r="K48" s="145" t="str">
        <f>VLOOKUP($A48,PLAN!$B:$AC,22,0)</f>
        <v>M9</v>
      </c>
      <c r="L48" s="1"/>
      <c r="M48" s="1"/>
      <c r="N48" s="1"/>
      <c r="O48" s="221" t="s">
        <v>79</v>
      </c>
      <c r="P48" s="220"/>
      <c r="Q48" s="18">
        <f>VLOOKUP(A48,PLAN!B:R,17,0)</f>
        <v>46223</v>
      </c>
    </row>
    <row r="49" spans="1:17" ht="16.2" hidden="1" customHeight="1">
      <c r="A49" s="329" t="s">
        <v>1188</v>
      </c>
      <c r="B49" s="14">
        <f>VLOOKUP($A49,PLAN!$B:$AC,3,0)</f>
        <v>11134148</v>
      </c>
      <c r="C49" s="14" t="str">
        <f>VLOOKUP($A49,PLAN!$B:$AC,4,0)</f>
        <v>1811909-L-A</v>
      </c>
      <c r="D49" s="14" t="str">
        <f>VLOOKUP($A49,PLAN!$B:$AC,5,0)</f>
        <v>HW60SP350P10000 CN</v>
      </c>
      <c r="E49" s="14" t="str">
        <f>VLOOKUP($A49,PLAN!$B:$AC,2,0)</f>
        <v>1001916321</v>
      </c>
      <c r="F49" s="15">
        <f>VLOOKUP($A49,PLAN!$B:$AC,7,0)</f>
        <v>46238</v>
      </c>
      <c r="G49" s="16" t="str">
        <f>VLOOKUP($A49,PLAN!$B:$AC,8,0)</f>
        <v>0103552301</v>
      </c>
      <c r="H49" s="16" t="str">
        <f>VLOOKUP($A49,PLAN!$B:$AC,9,0)</f>
        <v>260715C70A</v>
      </c>
      <c r="I49" s="16">
        <f>VLOOKUP($A49,PLAN!$B:$AC,10,0)</f>
        <v>726</v>
      </c>
      <c r="J49" s="17">
        <f>VLOOKUP($A49,PLAN!$B:$AC,21,0)</f>
        <v>46224</v>
      </c>
      <c r="K49" s="145" t="str">
        <f>VLOOKUP($A49,PLAN!$B:$AC,22,0)</f>
        <v>M10</v>
      </c>
      <c r="L49" s="1"/>
      <c r="M49" s="1"/>
      <c r="N49" s="1"/>
      <c r="O49" s="221" t="s">
        <v>79</v>
      </c>
      <c r="P49" s="220"/>
      <c r="Q49" s="18">
        <f>VLOOKUP(A49,PLAN!B:R,17,0)</f>
        <v>46223</v>
      </c>
    </row>
    <row r="50" spans="1:17" ht="16.2" hidden="1" customHeight="1">
      <c r="A50" s="329" t="s">
        <v>1287</v>
      </c>
      <c r="B50" s="14">
        <f>VLOOKUP($A50,PLAN!$B:$AC,3,0)</f>
        <v>11134148</v>
      </c>
      <c r="C50" s="14" t="str">
        <f>VLOOKUP($A50,PLAN!$B:$AC,4,0)</f>
        <v>1811909-L-A</v>
      </c>
      <c r="D50" s="14" t="str">
        <f>VLOOKUP($A50,PLAN!$B:$AC,5,0)</f>
        <v>HW60SP350P10000 CN</v>
      </c>
      <c r="E50" s="14" t="str">
        <f>VLOOKUP($A50,PLAN!$B:$AC,2,0)</f>
        <v>1001919161</v>
      </c>
      <c r="F50" s="15">
        <f>VLOOKUP($A50,PLAN!$B:$AC,7,0)</f>
        <v>46239</v>
      </c>
      <c r="G50" s="16" t="str">
        <f>VLOOKUP($A50,PLAN!$B:$AC,8,0)</f>
        <v>0103558155</v>
      </c>
      <c r="H50" s="16" t="str">
        <f>VLOOKUP($A50,PLAN!$B:$AC,9,0)</f>
        <v>260716C01A</v>
      </c>
      <c r="I50" s="16">
        <f>VLOOKUP($A50,PLAN!$B:$AC,10,0)</f>
        <v>726</v>
      </c>
      <c r="J50" s="17">
        <f>VLOOKUP($A50,PLAN!$B:$AC,21,0)</f>
        <v>46225</v>
      </c>
      <c r="K50" s="145" t="str">
        <f>VLOOKUP($A50,PLAN!$B:$AC,22,0)</f>
        <v>M9</v>
      </c>
      <c r="L50" s="1"/>
      <c r="M50" s="1"/>
      <c r="N50" s="1"/>
      <c r="O50" s="221" t="s">
        <v>79</v>
      </c>
      <c r="P50" s="220"/>
      <c r="Q50" s="18">
        <f>VLOOKUP(A50,PLAN!B:R,17,0)</f>
        <v>46224</v>
      </c>
    </row>
    <row r="51" spans="1:17" ht="17.25" hidden="1" customHeight="1">
      <c r="A51" s="329" t="s">
        <v>1288</v>
      </c>
      <c r="B51" s="14">
        <f>VLOOKUP($A51,PLAN!$B:$AC,3,0)</f>
        <v>11134146</v>
      </c>
      <c r="C51" s="14" t="str">
        <f>VLOOKUP($A51,PLAN!$B:$AC,4,0)</f>
        <v>1811907-L-A</v>
      </c>
      <c r="D51" s="14" t="str">
        <f>VLOOKUP($A51,PLAN!$B:$AC,5,0)</f>
        <v>HW60SP300P10000 CN</v>
      </c>
      <c r="E51" s="14" t="str">
        <f>VLOOKUP($A51,PLAN!$B:$AC,2,0)</f>
        <v>1001919195</v>
      </c>
      <c r="F51" s="15">
        <f>VLOOKUP($A51,PLAN!$B:$AC,7,0)</f>
        <v>46240</v>
      </c>
      <c r="G51" s="16" t="str">
        <f>VLOOKUP($A51,PLAN!$B:$AC,8,0)</f>
        <v>0103558188</v>
      </c>
      <c r="H51" s="16" t="str">
        <f>VLOOKUP($A51,PLAN!$B:$AC,9,0)</f>
        <v>260716C33A</v>
      </c>
      <c r="I51" s="16">
        <f>VLOOKUP($A51,PLAN!$B:$AC,10,0)</f>
        <v>126</v>
      </c>
      <c r="J51" s="17">
        <f>VLOOKUP($A51,PLAN!$B:$AC,21,0)</f>
        <v>46226</v>
      </c>
      <c r="K51" s="145" t="str">
        <f>VLOOKUP($A51,PLAN!$B:$AC,22,0)</f>
        <v>M9</v>
      </c>
      <c r="L51" s="1"/>
      <c r="M51" s="1"/>
      <c r="N51" s="1"/>
      <c r="O51" s="221" t="s">
        <v>79</v>
      </c>
      <c r="P51" s="220"/>
      <c r="Q51" s="18">
        <f>VLOOKUP(A51,PLAN!B:R,17,0)</f>
        <v>46225</v>
      </c>
    </row>
    <row r="52" spans="1:17" ht="17.25" hidden="1" customHeight="1">
      <c r="A52" s="329" t="s">
        <v>1289</v>
      </c>
      <c r="B52" s="14">
        <f>VLOOKUP($A52,PLAN!$B:$AC,3,0)</f>
        <v>11134146</v>
      </c>
      <c r="C52" s="14" t="str">
        <f>VLOOKUP($A52,PLAN!$B:$AC,4,0)</f>
        <v>1811907-L-A</v>
      </c>
      <c r="D52" s="14" t="str">
        <f>VLOOKUP($A52,PLAN!$B:$AC,5,0)</f>
        <v>HW60SP300P10000 CN</v>
      </c>
      <c r="E52" s="14" t="str">
        <f>VLOOKUP($A52,PLAN!$B:$AC,2,0)</f>
        <v>1001919196</v>
      </c>
      <c r="F52" s="15">
        <f>VLOOKUP($A52,PLAN!$B:$AC,7,0)</f>
        <v>46240</v>
      </c>
      <c r="G52" s="16" t="str">
        <f>VLOOKUP($A52,PLAN!$B:$AC,8,0)</f>
        <v>0103558189</v>
      </c>
      <c r="H52" s="16" t="str">
        <f>VLOOKUP($A52,PLAN!$B:$AC,9,0)</f>
        <v>260716C34A</v>
      </c>
      <c r="I52" s="16">
        <f>VLOOKUP($A52,PLAN!$B:$AC,10,0)</f>
        <v>720</v>
      </c>
      <c r="J52" s="17">
        <f>VLOOKUP($A52,PLAN!$B:$AC,21,0)</f>
        <v>46226</v>
      </c>
      <c r="K52" s="145" t="str">
        <f>VLOOKUP($A52,PLAN!$B:$AC,22,0)</f>
        <v>M10</v>
      </c>
      <c r="L52" s="1"/>
      <c r="M52" s="1"/>
      <c r="N52" s="1"/>
      <c r="O52" s="221" t="s">
        <v>79</v>
      </c>
      <c r="P52" s="220"/>
      <c r="Q52" s="18">
        <f>VLOOKUP(A52,PLAN!B:R,17,0)</f>
        <v>46225</v>
      </c>
    </row>
    <row r="53" spans="1:17" ht="17.25" hidden="1" customHeight="1">
      <c r="A53" s="329" t="s">
        <v>1285</v>
      </c>
      <c r="B53" s="14">
        <f>VLOOKUP($A53,PLAN!$B:$AC,3,0)</f>
        <v>11134249</v>
      </c>
      <c r="C53" s="14" t="str">
        <f>VLOOKUP($A53,PLAN!$B:$AC,4,0)</f>
        <v>2041190-D-A</v>
      </c>
      <c r="D53" s="14" t="str">
        <f>VLOOKUP($A53,PLAN!$B:$AC,5,0)</f>
        <v>CSR150-26P CN</v>
      </c>
      <c r="E53" s="14" t="str">
        <f>VLOOKUP($A53,PLAN!$B:$AC,2,0)</f>
        <v>1001919159</v>
      </c>
      <c r="F53" s="15">
        <f>VLOOKUP($A53,PLAN!$B:$AC,7,0)</f>
        <v>46241</v>
      </c>
      <c r="G53" s="16" t="str">
        <f>VLOOKUP($A53,PLAN!$B:$AC,8,0)</f>
        <v>0103558153</v>
      </c>
      <c r="H53" s="16" t="str">
        <f>VLOOKUP($A53,PLAN!$B:$AC,9,0)</f>
        <v>260716K09A</v>
      </c>
      <c r="I53" s="16">
        <f>VLOOKUP($A53,PLAN!$B:$AC,10,0)</f>
        <v>454</v>
      </c>
      <c r="J53" s="17">
        <f>VLOOKUP($A53,PLAN!$B:$AC,21,0)</f>
        <v>46227</v>
      </c>
      <c r="K53" s="145" t="str">
        <f>VLOOKUP($A53,PLAN!$B:$AC,22,0)</f>
        <v>M8</v>
      </c>
      <c r="L53" s="1"/>
      <c r="M53" s="1"/>
      <c r="N53" s="1"/>
      <c r="O53" s="221" t="s">
        <v>79</v>
      </c>
      <c r="P53" s="220"/>
      <c r="Q53" s="18">
        <f>VLOOKUP(A53,PLAN!B:R,17,0)</f>
        <v>46226</v>
      </c>
    </row>
    <row r="54" spans="1:17" ht="17.25" hidden="1" customHeight="1">
      <c r="A54" s="329" t="s">
        <v>1286</v>
      </c>
      <c r="B54" s="14">
        <f>VLOOKUP($A54,PLAN!$B:$AC,3,0)</f>
        <v>11134248</v>
      </c>
      <c r="C54" s="14" t="str">
        <f>VLOOKUP($A54,PLAN!$B:$AC,4,0)</f>
        <v>2041189-D-A</v>
      </c>
      <c r="D54" s="14" t="str">
        <f>VLOOKUP($A54,PLAN!$B:$AC,5,0)</f>
        <v>CSR135-26P CN</v>
      </c>
      <c r="E54" s="14" t="str">
        <f>VLOOKUP($A54,PLAN!$B:$AC,2,0)</f>
        <v>1001919160</v>
      </c>
      <c r="F54" s="15">
        <f>VLOOKUP($A54,PLAN!$B:$AC,7,0)</f>
        <v>46241</v>
      </c>
      <c r="G54" s="16" t="str">
        <f>VLOOKUP($A54,PLAN!$B:$AC,8,0)</f>
        <v>0103558154</v>
      </c>
      <c r="H54" s="16" t="str">
        <f>VLOOKUP($A54,PLAN!$B:$AC,9,0)</f>
        <v>260716K10A</v>
      </c>
      <c r="I54" s="16">
        <f>VLOOKUP($A54,PLAN!$B:$AC,10,0)</f>
        <v>1472</v>
      </c>
      <c r="J54" s="17">
        <f>VLOOKUP($A54,PLAN!$B:$AC,21,0)</f>
        <v>46227</v>
      </c>
      <c r="K54" s="145" t="str">
        <f>VLOOKUP($A54,PLAN!$B:$AC,22,0)</f>
        <v>M8</v>
      </c>
      <c r="L54" s="1"/>
      <c r="M54" s="1"/>
      <c r="N54" s="1"/>
      <c r="O54" s="221" t="s">
        <v>79</v>
      </c>
      <c r="P54" s="220"/>
      <c r="Q54" s="18">
        <f>VLOOKUP(A54,PLAN!B:R,17,0)</f>
        <v>46226</v>
      </c>
    </row>
    <row r="55" spans="1:17" ht="17.25" hidden="1" customHeight="1">
      <c r="A55" s="329" t="s">
        <v>1515</v>
      </c>
      <c r="B55" s="14">
        <f>VLOOKUP($A55,PLAN!$B:$AC,3,0)</f>
        <v>11134148</v>
      </c>
      <c r="C55" s="14" t="str">
        <f>VLOOKUP($A55,PLAN!$B:$AC,4,0)</f>
        <v>1811909-L-A</v>
      </c>
      <c r="D55" s="14" t="str">
        <f>VLOOKUP($A55,PLAN!$B:$AC,5,0)</f>
        <v>HW60SP350P10000 CN</v>
      </c>
      <c r="E55" s="14" t="str">
        <f>VLOOKUP($A55,PLAN!$B:$AC,2,0)</f>
        <v>1001921212</v>
      </c>
      <c r="F55" s="15">
        <f>VLOOKUP($A55,PLAN!$B:$AC,7,0)</f>
        <v>46241</v>
      </c>
      <c r="G55" s="16" t="str">
        <f>VLOOKUP($A55,PLAN!$B:$AC,8,0)</f>
        <v>0103562310</v>
      </c>
      <c r="H55" s="16" t="str">
        <f>VLOOKUP($A55,PLAN!$B:$AC,9,0)</f>
        <v>260720C31A</v>
      </c>
      <c r="I55" s="16">
        <f>VLOOKUP($A55,PLAN!$B:$AC,10,0)</f>
        <v>426</v>
      </c>
      <c r="J55" s="17">
        <f>VLOOKUP($A55,PLAN!$B:$AC,21,0)</f>
        <v>46227</v>
      </c>
      <c r="K55" s="145" t="str">
        <f>VLOOKUP($A55,PLAN!$B:$AC,22,0)</f>
        <v>M9</v>
      </c>
      <c r="L55" s="1"/>
      <c r="M55" s="1"/>
      <c r="N55" s="1"/>
      <c r="O55" s="221" t="s">
        <v>79</v>
      </c>
      <c r="P55" s="220"/>
      <c r="Q55" s="18">
        <f>VLOOKUP(A55,PLAN!B:R,17,0)</f>
        <v>46226</v>
      </c>
    </row>
    <row r="56" spans="1:17" ht="17.25" hidden="1" customHeight="1">
      <c r="A56" s="329" t="s">
        <v>1516</v>
      </c>
      <c r="B56" s="14">
        <f>VLOOKUP($A56,PLAN!$B:$AC,3,0)</f>
        <v>11134148</v>
      </c>
      <c r="C56" s="14" t="str">
        <f>VLOOKUP($A56,PLAN!$B:$AC,4,0)</f>
        <v>1811909-L-A</v>
      </c>
      <c r="D56" s="14" t="str">
        <f>VLOOKUP($A56,PLAN!$B:$AC,5,0)</f>
        <v>HW60SP350P10000 CN</v>
      </c>
      <c r="E56" s="14" t="str">
        <f>VLOOKUP($A56,PLAN!$B:$AC,2,0)</f>
        <v>1001921213</v>
      </c>
      <c r="F56" s="15">
        <f>VLOOKUP($A56,PLAN!$B:$AC,7,0)</f>
        <v>46241</v>
      </c>
      <c r="G56" s="16" t="str">
        <f>VLOOKUP($A56,PLAN!$B:$AC,8,0)</f>
        <v>0103562311</v>
      </c>
      <c r="H56" s="16" t="str">
        <f>VLOOKUP($A56,PLAN!$B:$AC,9,0)</f>
        <v>260720C32A</v>
      </c>
      <c r="I56" s="16">
        <f>VLOOKUP($A56,PLAN!$B:$AC,10,0)</f>
        <v>720</v>
      </c>
      <c r="J56" s="17">
        <f>VLOOKUP($A56,PLAN!$B:$AC,21,0)</f>
        <v>46227</v>
      </c>
      <c r="K56" s="145" t="str">
        <f>VLOOKUP($A56,PLAN!$B:$AC,22,0)</f>
        <v>M10</v>
      </c>
      <c r="L56" s="1"/>
      <c r="M56" s="1"/>
      <c r="N56" s="1"/>
      <c r="O56" s="221" t="s">
        <v>79</v>
      </c>
      <c r="P56" s="220"/>
      <c r="Q56" s="18">
        <f>VLOOKUP(A56,PLAN!B:R,17,0)</f>
        <v>46226</v>
      </c>
    </row>
    <row r="57" spans="1:17" ht="17.25" hidden="1" customHeight="1">
      <c r="A57" s="329" t="s">
        <v>1495</v>
      </c>
      <c r="B57" s="14">
        <f>VLOOKUP($A57,PLAN!$B:$AC,3,0)</f>
        <v>11132727</v>
      </c>
      <c r="C57" s="14" t="str">
        <f>VLOOKUP($A57,PLAN!$B:$AC,4,0)</f>
        <v>2211158-D-A</v>
      </c>
      <c r="D57" s="14" t="str">
        <f>VLOOKUP($A57,PLAN!$B:$AC,5,0)</f>
        <v>HW70PB350P10000 NOCE</v>
      </c>
      <c r="E57" s="14" t="str">
        <f>VLOOKUP($A57,PLAN!$B:$AC,2,0)</f>
        <v>1001921214</v>
      </c>
      <c r="F57" s="15">
        <f>VLOOKUP($A57,PLAN!$B:$AC,7,0)</f>
        <v>46235</v>
      </c>
      <c r="G57" s="16" t="str">
        <f>VLOOKUP($A57,PLAN!$B:$AC,8,0)</f>
        <v>0103562312</v>
      </c>
      <c r="H57" s="16" t="str">
        <f>VLOOKUP($A57,PLAN!$B:$AC,9,0)</f>
        <v>260720C33A</v>
      </c>
      <c r="I57" s="16">
        <f>VLOOKUP($A57,PLAN!$B:$AC,10,0)</f>
        <v>2</v>
      </c>
      <c r="J57" s="17">
        <f>VLOOKUP($A57,PLAN!$B:$AC,21,0)</f>
        <v>46230</v>
      </c>
      <c r="K57" s="145" t="str">
        <f>VLOOKUP($A57,PLAN!$B:$AC,22,0)</f>
        <v>M9</v>
      </c>
      <c r="L57" s="1"/>
      <c r="M57" s="1"/>
      <c r="N57" s="1"/>
      <c r="O57" s="221" t="s">
        <v>79</v>
      </c>
      <c r="P57" s="220"/>
      <c r="Q57" s="18">
        <f>VLOOKUP(A57,PLAN!B:R,17,0)</f>
        <v>46227</v>
      </c>
    </row>
    <row r="58" spans="1:17" ht="17.25" hidden="1" customHeight="1">
      <c r="A58" s="329" t="s">
        <v>1496</v>
      </c>
      <c r="B58" s="14">
        <f>VLOOKUP($A58,PLAN!$B:$AC,3,0)</f>
        <v>11134274</v>
      </c>
      <c r="C58" s="14" t="str">
        <f>VLOOKUP($A58,PLAN!$B:$AC,4,0)</f>
        <v>1911189-E-A</v>
      </c>
      <c r="D58" s="14" t="str">
        <f>VLOOKUP($A58,PLAN!$B:$AC,5,0)</f>
        <v>HJ70PB400P10000 JP</v>
      </c>
      <c r="E58" s="14" t="str">
        <f>VLOOKUP($A58,PLAN!$B:$AC,2,0)</f>
        <v>1001921216</v>
      </c>
      <c r="F58" s="15">
        <f>VLOOKUP($A58,PLAN!$B:$AC,7,0)</f>
        <v>46235</v>
      </c>
      <c r="G58" s="16" t="str">
        <f>VLOOKUP($A58,PLAN!$B:$AC,8,0)</f>
        <v>0103562313</v>
      </c>
      <c r="H58" s="16" t="str">
        <f>VLOOKUP($A58,PLAN!$B:$AC,9,0)</f>
        <v>260720C34A</v>
      </c>
      <c r="I58" s="16">
        <f>VLOOKUP($A58,PLAN!$B:$AC,10,0)</f>
        <v>1</v>
      </c>
      <c r="J58" s="17">
        <f>VLOOKUP($A58,PLAN!$B:$AC,21,0)</f>
        <v>46230</v>
      </c>
      <c r="K58" s="145" t="str">
        <f>VLOOKUP($A58,PLAN!$B:$AC,22,0)</f>
        <v>M9</v>
      </c>
      <c r="L58" s="1"/>
      <c r="M58" s="1"/>
      <c r="N58" s="1"/>
      <c r="O58" s="221" t="s">
        <v>79</v>
      </c>
      <c r="P58" s="220"/>
      <c r="Q58" s="18">
        <f>VLOOKUP(A58,PLAN!B:R,17,0)</f>
        <v>46227</v>
      </c>
    </row>
    <row r="59" spans="1:17" ht="17.25" hidden="1" customHeight="1">
      <c r="A59" s="329" t="s">
        <v>1497</v>
      </c>
      <c r="B59" s="14">
        <f>VLOOKUP($A59,PLAN!$B:$AC,3,0)</f>
        <v>11134295</v>
      </c>
      <c r="C59" s="14" t="str">
        <f>VLOOKUP($A59,PLAN!$B:$AC,4,0)</f>
        <v>1911306-E-A</v>
      </c>
      <c r="D59" s="14" t="str">
        <f>VLOOKUP($A59,PLAN!$B:$AC,5,0)</f>
        <v>HJ80PB302P09000 JP</v>
      </c>
      <c r="E59" s="14" t="str">
        <f>VLOOKUP($A59,PLAN!$B:$AC,2,0)</f>
        <v>1001921217</v>
      </c>
      <c r="F59" s="15">
        <f>VLOOKUP($A59,PLAN!$B:$AC,7,0)</f>
        <v>46235</v>
      </c>
      <c r="G59" s="16" t="str">
        <f>VLOOKUP($A59,PLAN!$B:$AC,8,0)</f>
        <v>0103562314</v>
      </c>
      <c r="H59" s="16" t="str">
        <f>VLOOKUP($A59,PLAN!$B:$AC,9,0)</f>
        <v>260720C35A</v>
      </c>
      <c r="I59" s="16">
        <f>VLOOKUP($A59,PLAN!$B:$AC,10,0)</f>
        <v>1</v>
      </c>
      <c r="J59" s="17">
        <f>VLOOKUP($A59,PLAN!$B:$AC,21,0)</f>
        <v>46230</v>
      </c>
      <c r="K59" s="145" t="str">
        <f>VLOOKUP($A59,PLAN!$B:$AC,22,0)</f>
        <v>M9</v>
      </c>
      <c r="L59" s="1"/>
      <c r="M59" s="1"/>
      <c r="N59" s="1"/>
      <c r="O59" s="221" t="s">
        <v>79</v>
      </c>
      <c r="P59" s="220"/>
      <c r="Q59" s="18">
        <f>VLOOKUP(A59,PLAN!B:R,17,0)</f>
        <v>46227</v>
      </c>
    </row>
    <row r="60" spans="1:17" ht="17.25" hidden="1" customHeight="1">
      <c r="A60" s="329" t="s">
        <v>1498</v>
      </c>
      <c r="B60" s="14">
        <f>VLOOKUP($A60,PLAN!$B:$AC,3,0)</f>
        <v>11134304</v>
      </c>
      <c r="C60" s="14" t="str">
        <f>VLOOKUP($A60,PLAN!$B:$AC,4,0)</f>
        <v>1911343-E-A</v>
      </c>
      <c r="D60" s="14" t="str">
        <f>VLOOKUP($A60,PLAN!$B:$AC,5,0)</f>
        <v>HJ80SP300P10000 JP</v>
      </c>
      <c r="E60" s="14" t="str">
        <f>VLOOKUP($A60,PLAN!$B:$AC,2,0)</f>
        <v>1001921218</v>
      </c>
      <c r="F60" s="15">
        <f>VLOOKUP($A60,PLAN!$B:$AC,7,0)</f>
        <v>46235</v>
      </c>
      <c r="G60" s="16" t="str">
        <f>VLOOKUP($A60,PLAN!$B:$AC,8,0)</f>
        <v>0103562316</v>
      </c>
      <c r="H60" s="16" t="str">
        <f>VLOOKUP($A60,PLAN!$B:$AC,9,0)</f>
        <v>260720C36A</v>
      </c>
      <c r="I60" s="16">
        <f>VLOOKUP($A60,PLAN!$B:$AC,10,0)</f>
        <v>1</v>
      </c>
      <c r="J60" s="17">
        <f>VLOOKUP($A60,PLAN!$B:$AC,21,0)</f>
        <v>46230</v>
      </c>
      <c r="K60" s="145" t="str">
        <f>VLOOKUP($A60,PLAN!$B:$AC,22,0)</f>
        <v>M9</v>
      </c>
      <c r="L60" s="1"/>
      <c r="M60" s="1"/>
      <c r="N60" s="1"/>
      <c r="O60" s="221" t="s">
        <v>79</v>
      </c>
      <c r="P60" s="220"/>
      <c r="Q60" s="18">
        <f>VLOOKUP(A60,PLAN!B:R,17,0)</f>
        <v>46227</v>
      </c>
    </row>
    <row r="61" spans="1:17" ht="17.25" hidden="1" customHeight="1">
      <c r="A61" s="329" t="s">
        <v>1499</v>
      </c>
      <c r="B61" s="14">
        <f>VLOOKUP($A61,PLAN!$B:$AC,3,0)</f>
        <v>11134294</v>
      </c>
      <c r="C61" s="14" t="str">
        <f>VLOOKUP($A61,PLAN!$B:$AC,4,0)</f>
        <v>1911305-E-A</v>
      </c>
      <c r="D61" s="14" t="str">
        <f>VLOOKUP($A61,PLAN!$B:$AC,5,0)</f>
        <v>HJ80PB302P10000 JP</v>
      </c>
      <c r="E61" s="14" t="str">
        <f>VLOOKUP($A61,PLAN!$B:$AC,2,0)</f>
        <v>1001921219</v>
      </c>
      <c r="F61" s="15">
        <f>VLOOKUP($A61,PLAN!$B:$AC,7,0)</f>
        <v>46235</v>
      </c>
      <c r="G61" s="16" t="str">
        <f>VLOOKUP($A61,PLAN!$B:$AC,8,0)</f>
        <v>0103562317</v>
      </c>
      <c r="H61" s="16" t="str">
        <f>VLOOKUP($A61,PLAN!$B:$AC,9,0)</f>
        <v>260720C37A</v>
      </c>
      <c r="I61" s="16">
        <f>VLOOKUP($A61,PLAN!$B:$AC,10,0)</f>
        <v>2</v>
      </c>
      <c r="J61" s="17">
        <f>VLOOKUP($A61,PLAN!$B:$AC,21,0)</f>
        <v>46230</v>
      </c>
      <c r="K61" s="145" t="str">
        <f>VLOOKUP($A61,PLAN!$B:$AC,22,0)</f>
        <v>M9</v>
      </c>
      <c r="L61" s="1"/>
      <c r="M61" s="1"/>
      <c r="N61" s="1"/>
      <c r="O61" s="221" t="s">
        <v>79</v>
      </c>
      <c r="P61" s="220"/>
      <c r="Q61" s="18">
        <f>VLOOKUP(A61,PLAN!B:R,17,0)</f>
        <v>46227</v>
      </c>
    </row>
    <row r="62" spans="1:17" ht="17.25" hidden="1" customHeight="1">
      <c r="A62" s="329" t="s">
        <v>1500</v>
      </c>
      <c r="B62" s="14">
        <f>VLOOKUP($A62,PLAN!$B:$AC,3,0)</f>
        <v>11134290</v>
      </c>
      <c r="C62" s="14" t="str">
        <f>VLOOKUP($A62,PLAN!$B:$AC,4,0)</f>
        <v>1911233-E-A</v>
      </c>
      <c r="D62" s="14" t="str">
        <f>VLOOKUP($A62,PLAN!$B:$AC,5,0)</f>
        <v>HJ70SP452P10020 JP</v>
      </c>
      <c r="E62" s="14" t="str">
        <f>VLOOKUP($A62,PLAN!$B:$AC,2,0)</f>
        <v>1001921220</v>
      </c>
      <c r="F62" s="15">
        <f>VLOOKUP($A62,PLAN!$B:$AC,7,0)</f>
        <v>46235</v>
      </c>
      <c r="G62" s="16" t="str">
        <f>VLOOKUP($A62,PLAN!$B:$AC,8,0)</f>
        <v>0103562318</v>
      </c>
      <c r="H62" s="16" t="str">
        <f>VLOOKUP($A62,PLAN!$B:$AC,9,0)</f>
        <v>260720C38A</v>
      </c>
      <c r="I62" s="16">
        <f>VLOOKUP($A62,PLAN!$B:$AC,10,0)</f>
        <v>4</v>
      </c>
      <c r="J62" s="17">
        <f>VLOOKUP($A62,PLAN!$B:$AC,21,0)</f>
        <v>46230</v>
      </c>
      <c r="K62" s="145" t="str">
        <f>VLOOKUP($A62,PLAN!$B:$AC,22,0)</f>
        <v>M9</v>
      </c>
      <c r="L62" s="1"/>
      <c r="M62" s="1"/>
      <c r="N62" s="1"/>
      <c r="O62" s="221" t="s">
        <v>79</v>
      </c>
      <c r="P62" s="220"/>
      <c r="Q62" s="18">
        <f>VLOOKUP(A62,PLAN!B:R,17,0)</f>
        <v>46227</v>
      </c>
    </row>
    <row r="63" spans="1:17" ht="17.25" hidden="1" customHeight="1">
      <c r="A63" s="329" t="s">
        <v>1501</v>
      </c>
      <c r="B63" s="14">
        <f>VLOOKUP($A63,PLAN!$B:$AC,3,0)</f>
        <v>11119669</v>
      </c>
      <c r="C63" s="14" t="str">
        <f>VLOOKUP($A63,PLAN!$B:$AC,4,0)</f>
        <v>1911335-D-A</v>
      </c>
      <c r="D63" s="14" t="str">
        <f>VLOOKUP($A63,PLAN!$B:$AC,5,0)</f>
        <v>HJ80AL200P10002 JP</v>
      </c>
      <c r="E63" s="14" t="str">
        <f>VLOOKUP($A63,PLAN!$B:$AC,2,0)</f>
        <v>1001921221</v>
      </c>
      <c r="F63" s="15">
        <f>VLOOKUP($A63,PLAN!$B:$AC,7,0)</f>
        <v>46235</v>
      </c>
      <c r="G63" s="16" t="str">
        <f>VLOOKUP($A63,PLAN!$B:$AC,8,0)</f>
        <v>0103562319</v>
      </c>
      <c r="H63" s="16" t="str">
        <f>VLOOKUP($A63,PLAN!$B:$AC,9,0)</f>
        <v>260720C39A</v>
      </c>
      <c r="I63" s="16">
        <f>VLOOKUP($A63,PLAN!$B:$AC,10,0)</f>
        <v>1</v>
      </c>
      <c r="J63" s="17">
        <f>VLOOKUP($A63,PLAN!$B:$AC,21,0)</f>
        <v>46230</v>
      </c>
      <c r="K63" s="145" t="str">
        <f>VLOOKUP($A63,PLAN!$B:$AC,22,0)</f>
        <v>M9</v>
      </c>
      <c r="L63" s="1"/>
      <c r="M63" s="1"/>
      <c r="N63" s="1"/>
      <c r="O63" s="221" t="s">
        <v>79</v>
      </c>
      <c r="P63" s="220"/>
      <c r="Q63" s="18">
        <f>VLOOKUP(A63,PLAN!B:R,17,0)</f>
        <v>46227</v>
      </c>
    </row>
    <row r="64" spans="1:17" ht="17.25" hidden="1" customHeight="1">
      <c r="A64" s="329" t="s">
        <v>1502</v>
      </c>
      <c r="B64" s="14">
        <f>VLOOKUP($A64,PLAN!$B:$AC,3,0)</f>
        <v>11119610</v>
      </c>
      <c r="C64" s="14" t="str">
        <f>VLOOKUP($A64,PLAN!$B:$AC,4,0)</f>
        <v>1911276-D-A</v>
      </c>
      <c r="D64" s="14" t="str">
        <f>VLOOKUP($A64,PLAN!$B:$AC,5,0)</f>
        <v>HJ80JL400P10000 JP</v>
      </c>
      <c r="E64" s="14" t="str">
        <f>VLOOKUP($A64,PLAN!$B:$AC,2,0)</f>
        <v>1001921222</v>
      </c>
      <c r="F64" s="15">
        <f>VLOOKUP($A64,PLAN!$B:$AC,7,0)</f>
        <v>46235</v>
      </c>
      <c r="G64" s="16" t="str">
        <f>VLOOKUP($A64,PLAN!$B:$AC,8,0)</f>
        <v>0103562320</v>
      </c>
      <c r="H64" s="16" t="str">
        <f>VLOOKUP($A64,PLAN!$B:$AC,9,0)</f>
        <v>260720C40A</v>
      </c>
      <c r="I64" s="16">
        <f>VLOOKUP($A64,PLAN!$B:$AC,10,0)</f>
        <v>1</v>
      </c>
      <c r="J64" s="17">
        <f>VLOOKUP($A64,PLAN!$B:$AC,21,0)</f>
        <v>46230</v>
      </c>
      <c r="K64" s="145" t="str">
        <f>VLOOKUP($A64,PLAN!$B:$AC,22,0)</f>
        <v>M9</v>
      </c>
      <c r="L64" s="1"/>
      <c r="M64" s="1"/>
      <c r="N64" s="1"/>
      <c r="O64" s="221" t="s">
        <v>79</v>
      </c>
      <c r="P64" s="220"/>
      <c r="Q64" s="18">
        <f>VLOOKUP(A64,PLAN!B:R,17,0)</f>
        <v>46227</v>
      </c>
    </row>
    <row r="65" spans="1:17" ht="17.25" hidden="1" customHeight="1">
      <c r="A65" s="329" t="s">
        <v>1503</v>
      </c>
      <c r="B65" s="14">
        <f>VLOOKUP($A65,PLAN!$B:$AC,3,0)</f>
        <v>11119461</v>
      </c>
      <c r="C65" s="14" t="str">
        <f>VLOOKUP($A65,PLAN!$B:$AC,4,0)</f>
        <v>1911127-D-A</v>
      </c>
      <c r="D65" s="14" t="str">
        <f>VLOOKUP($A65,PLAN!$B:$AC,5,0)</f>
        <v>HJ70CP250P10020 JP</v>
      </c>
      <c r="E65" s="14" t="str">
        <f>VLOOKUP($A65,PLAN!$B:$AC,2,0)</f>
        <v>1001921223</v>
      </c>
      <c r="F65" s="15">
        <f>VLOOKUP($A65,PLAN!$B:$AC,7,0)</f>
        <v>46235</v>
      </c>
      <c r="G65" s="16" t="str">
        <f>VLOOKUP($A65,PLAN!$B:$AC,8,0)</f>
        <v>0103562322</v>
      </c>
      <c r="H65" s="16" t="str">
        <f>VLOOKUP($A65,PLAN!$B:$AC,9,0)</f>
        <v>260720C41A</v>
      </c>
      <c r="I65" s="16">
        <f>VLOOKUP($A65,PLAN!$B:$AC,10,0)</f>
        <v>2</v>
      </c>
      <c r="J65" s="17">
        <f>VLOOKUP($A65,PLAN!$B:$AC,21,0)</f>
        <v>46230</v>
      </c>
      <c r="K65" s="145" t="str">
        <f>VLOOKUP($A65,PLAN!$B:$AC,22,0)</f>
        <v>M9</v>
      </c>
      <c r="L65" s="1"/>
      <c r="M65" s="1"/>
      <c r="N65" s="1"/>
      <c r="O65" s="221" t="s">
        <v>79</v>
      </c>
      <c r="P65" s="220"/>
      <c r="Q65" s="18">
        <f>VLOOKUP(A65,PLAN!B:R,17,0)</f>
        <v>46227</v>
      </c>
    </row>
    <row r="66" spans="1:17" ht="17.25" hidden="1" customHeight="1">
      <c r="A66" s="329" t="s">
        <v>1504</v>
      </c>
      <c r="B66" s="14">
        <f>VLOOKUP($A66,PLAN!$B:$AC,3,0)</f>
        <v>11119588</v>
      </c>
      <c r="C66" s="14" t="str">
        <f>VLOOKUP($A66,PLAN!$B:$AC,4,0)</f>
        <v>1911254-D-A</v>
      </c>
      <c r="D66" s="14" t="str">
        <f>VLOOKUP($A66,PLAN!$B:$AC,5,0)</f>
        <v>HJ80CP152P10000 JP</v>
      </c>
      <c r="E66" s="14" t="str">
        <f>VLOOKUP($A66,PLAN!$B:$AC,2,0)</f>
        <v>1001921224</v>
      </c>
      <c r="F66" s="15">
        <f>VLOOKUP($A66,PLAN!$B:$AC,7,0)</f>
        <v>46235</v>
      </c>
      <c r="G66" s="16" t="str">
        <f>VLOOKUP($A66,PLAN!$B:$AC,8,0)</f>
        <v>0103562324</v>
      </c>
      <c r="H66" s="16" t="str">
        <f>VLOOKUP($A66,PLAN!$B:$AC,9,0)</f>
        <v>260720C42A</v>
      </c>
      <c r="I66" s="16">
        <f>VLOOKUP($A66,PLAN!$B:$AC,10,0)</f>
        <v>2</v>
      </c>
      <c r="J66" s="17">
        <f>VLOOKUP($A66,PLAN!$B:$AC,21,0)</f>
        <v>46230</v>
      </c>
      <c r="K66" s="145" t="str">
        <f>VLOOKUP($A66,PLAN!$B:$AC,22,0)</f>
        <v>M9</v>
      </c>
      <c r="L66" s="1"/>
      <c r="M66" s="1"/>
      <c r="N66" s="1"/>
      <c r="O66" s="221" t="s">
        <v>79</v>
      </c>
      <c r="P66" s="220"/>
      <c r="Q66" s="18">
        <f>VLOOKUP(A66,PLAN!B:R,17,0)</f>
        <v>46227</v>
      </c>
    </row>
    <row r="67" spans="1:17" ht="17.25" hidden="1" customHeight="1">
      <c r="A67" s="329" t="s">
        <v>1505</v>
      </c>
      <c r="B67" s="14">
        <f>VLOOKUP($A67,PLAN!$B:$AC,3,0)</f>
        <v>11119618</v>
      </c>
      <c r="C67" s="14" t="str">
        <f>VLOOKUP($A67,PLAN!$B:$AC,4,0)</f>
        <v>1911284-D-A</v>
      </c>
      <c r="D67" s="14" t="str">
        <f>VLOOKUP($A67,PLAN!$B:$AC,5,0)</f>
        <v>HJ80JL452P10000 JP</v>
      </c>
      <c r="E67" s="14" t="str">
        <f>VLOOKUP($A67,PLAN!$B:$AC,2,0)</f>
        <v>1001921225</v>
      </c>
      <c r="F67" s="15">
        <f>VLOOKUP($A67,PLAN!$B:$AC,7,0)</f>
        <v>46235</v>
      </c>
      <c r="G67" s="16" t="str">
        <f>VLOOKUP($A67,PLAN!$B:$AC,8,0)</f>
        <v>0103562325</v>
      </c>
      <c r="H67" s="16" t="str">
        <f>VLOOKUP($A67,PLAN!$B:$AC,9,0)</f>
        <v>260720C43A</v>
      </c>
      <c r="I67" s="16">
        <f>VLOOKUP($A67,PLAN!$B:$AC,10,0)</f>
        <v>2</v>
      </c>
      <c r="J67" s="17">
        <f>VLOOKUP($A67,PLAN!$B:$AC,21,0)</f>
        <v>46230</v>
      </c>
      <c r="K67" s="145" t="str">
        <f>VLOOKUP($A67,PLAN!$B:$AC,22,0)</f>
        <v>M9</v>
      </c>
      <c r="L67" s="1"/>
      <c r="M67" s="1"/>
      <c r="N67" s="1"/>
      <c r="O67" s="221" t="s">
        <v>79</v>
      </c>
      <c r="P67" s="220"/>
      <c r="Q67" s="18">
        <f>VLOOKUP(A67,PLAN!B:R,17,0)</f>
        <v>46227</v>
      </c>
    </row>
    <row r="68" spans="1:17" ht="17.25" hidden="1" customHeight="1">
      <c r="A68" s="329" t="s">
        <v>1506</v>
      </c>
      <c r="B68" s="14">
        <f>VLOOKUP($A68,PLAN!$B:$AC,3,0)</f>
        <v>11119625</v>
      </c>
      <c r="C68" s="14" t="str">
        <f>VLOOKUP($A68,PLAN!$B:$AC,4,0)</f>
        <v>1911291-D-A</v>
      </c>
      <c r="D68" s="14" t="str">
        <f>VLOOKUP($A68,PLAN!$B:$AC,5,0)</f>
        <v>HJ80JR350P10000 JP</v>
      </c>
      <c r="E68" s="14" t="str">
        <f>VLOOKUP($A68,PLAN!$B:$AC,2,0)</f>
        <v>1001921226</v>
      </c>
      <c r="F68" s="15">
        <f>VLOOKUP($A68,PLAN!$B:$AC,7,0)</f>
        <v>46235</v>
      </c>
      <c r="G68" s="16" t="str">
        <f>VLOOKUP($A68,PLAN!$B:$AC,8,0)</f>
        <v>0103562326</v>
      </c>
      <c r="H68" s="16" t="str">
        <f>VLOOKUP($A68,PLAN!$B:$AC,9,0)</f>
        <v>260720C44A</v>
      </c>
      <c r="I68" s="16">
        <f>VLOOKUP($A68,PLAN!$B:$AC,10,0)</f>
        <v>2</v>
      </c>
      <c r="J68" s="17">
        <f>VLOOKUP($A68,PLAN!$B:$AC,21,0)</f>
        <v>46230</v>
      </c>
      <c r="K68" s="145" t="str">
        <f>VLOOKUP($A68,PLAN!$B:$AC,22,0)</f>
        <v>M9</v>
      </c>
      <c r="L68" s="1"/>
      <c r="M68" s="1"/>
      <c r="N68" s="1"/>
      <c r="O68" s="221" t="s">
        <v>79</v>
      </c>
      <c r="P68" s="220"/>
      <c r="Q68" s="18">
        <f>VLOOKUP(A68,PLAN!B:R,17,0)</f>
        <v>46227</v>
      </c>
    </row>
    <row r="69" spans="1:17" ht="17.25" hidden="1" customHeight="1">
      <c r="A69" s="329" t="s">
        <v>1507</v>
      </c>
      <c r="B69" s="14">
        <f>VLOOKUP($A69,PLAN!$B:$AC,3,0)</f>
        <v>11119628</v>
      </c>
      <c r="C69" s="14" t="str">
        <f>VLOOKUP($A69,PLAN!$B:$AC,4,0)</f>
        <v>1911294-D-A</v>
      </c>
      <c r="D69" s="14" t="str">
        <f>VLOOKUP($A69,PLAN!$B:$AC,5,0)</f>
        <v>HJ80JR352P09000 JP</v>
      </c>
      <c r="E69" s="14" t="str">
        <f>VLOOKUP($A69,PLAN!$B:$AC,2,0)</f>
        <v>1001921228</v>
      </c>
      <c r="F69" s="15">
        <f>VLOOKUP($A69,PLAN!$B:$AC,7,0)</f>
        <v>46235</v>
      </c>
      <c r="G69" s="16" t="str">
        <f>VLOOKUP($A69,PLAN!$B:$AC,8,0)</f>
        <v>0103562328</v>
      </c>
      <c r="H69" s="16" t="str">
        <f>VLOOKUP($A69,PLAN!$B:$AC,9,0)</f>
        <v>260720C45A</v>
      </c>
      <c r="I69" s="16">
        <f>VLOOKUP($A69,PLAN!$B:$AC,10,0)</f>
        <v>2</v>
      </c>
      <c r="J69" s="17">
        <f>VLOOKUP($A69,PLAN!$B:$AC,21,0)</f>
        <v>46230</v>
      </c>
      <c r="K69" s="145" t="str">
        <f>VLOOKUP($A69,PLAN!$B:$AC,22,0)</f>
        <v>M9</v>
      </c>
      <c r="L69" s="1"/>
      <c r="M69" s="1"/>
      <c r="N69" s="1"/>
      <c r="O69" s="221" t="s">
        <v>79</v>
      </c>
      <c r="P69" s="220"/>
      <c r="Q69" s="18">
        <f>VLOOKUP(A69,PLAN!B:R,17,0)</f>
        <v>46227</v>
      </c>
    </row>
    <row r="70" spans="1:17" ht="17.25" hidden="1" customHeight="1">
      <c r="A70" s="329" t="s">
        <v>1508</v>
      </c>
      <c r="B70" s="14">
        <f>VLOOKUP($A70,PLAN!$B:$AC,3,0)</f>
        <v>11118595</v>
      </c>
      <c r="C70" s="14" t="str">
        <f>VLOOKUP($A70,PLAN!$B:$AC,4,0)</f>
        <v>1911339-D-A</v>
      </c>
      <c r="D70" s="14" t="str">
        <f>VLOOKUP($A70,PLAN!$B:$AC,5,0)</f>
        <v>HJ80SC350P10000 JP</v>
      </c>
      <c r="E70" s="14" t="str">
        <f>VLOOKUP($A70,PLAN!$B:$AC,2,0)</f>
        <v>1001921229</v>
      </c>
      <c r="F70" s="15">
        <f>VLOOKUP($A70,PLAN!$B:$AC,7,0)</f>
        <v>46235</v>
      </c>
      <c r="G70" s="16" t="str">
        <f>VLOOKUP($A70,PLAN!$B:$AC,8,0)</f>
        <v>0103562329</v>
      </c>
      <c r="H70" s="16" t="str">
        <f>VLOOKUP($A70,PLAN!$B:$AC,9,0)</f>
        <v>260720C46A</v>
      </c>
      <c r="I70" s="16">
        <f>VLOOKUP($A70,PLAN!$B:$AC,10,0)</f>
        <v>2</v>
      </c>
      <c r="J70" s="17">
        <f>VLOOKUP($A70,PLAN!$B:$AC,21,0)</f>
        <v>46230</v>
      </c>
      <c r="K70" s="145" t="str">
        <f>VLOOKUP($A70,PLAN!$B:$AC,22,0)</f>
        <v>M9</v>
      </c>
      <c r="L70" s="1"/>
      <c r="M70" s="1"/>
      <c r="N70" s="1"/>
      <c r="O70" s="221" t="s">
        <v>79</v>
      </c>
      <c r="P70" s="220"/>
      <c r="Q70" s="18">
        <f>VLOOKUP(A70,PLAN!B:R,17,0)</f>
        <v>46227</v>
      </c>
    </row>
    <row r="71" spans="1:17" ht="17.25" hidden="1" customHeight="1">
      <c r="A71" s="329" t="s">
        <v>1509</v>
      </c>
      <c r="B71" s="14">
        <f>VLOOKUP($A71,PLAN!$B:$AC,3,0)</f>
        <v>11119512</v>
      </c>
      <c r="C71" s="14" t="str">
        <f>VLOOKUP($A71,PLAN!$B:$AC,4,0)</f>
        <v>1911178-D-A</v>
      </c>
      <c r="D71" s="14" t="str">
        <f>VLOOKUP($A71,PLAN!$B:$AC,5,0)</f>
        <v>HJ70JR452P10020 JP</v>
      </c>
      <c r="E71" s="14" t="str">
        <f>VLOOKUP($A71,PLAN!$B:$AC,2,0)</f>
        <v>1001921230</v>
      </c>
      <c r="F71" s="15">
        <f>VLOOKUP($A71,PLAN!$B:$AC,7,0)</f>
        <v>46235</v>
      </c>
      <c r="G71" s="16" t="str">
        <f>VLOOKUP($A71,PLAN!$B:$AC,8,0)</f>
        <v>0103562330</v>
      </c>
      <c r="H71" s="16" t="str">
        <f>VLOOKUP($A71,PLAN!$B:$AC,9,0)</f>
        <v>260720C47A</v>
      </c>
      <c r="I71" s="16">
        <f>VLOOKUP($A71,PLAN!$B:$AC,10,0)</f>
        <v>3</v>
      </c>
      <c r="J71" s="17">
        <f>VLOOKUP($A71,PLAN!$B:$AC,21,0)</f>
        <v>46230</v>
      </c>
      <c r="K71" s="145" t="str">
        <f>VLOOKUP($A71,PLAN!$B:$AC,22,0)</f>
        <v>M9</v>
      </c>
      <c r="L71" s="1"/>
      <c r="M71" s="1"/>
      <c r="N71" s="1"/>
      <c r="O71" s="221" t="s">
        <v>79</v>
      </c>
      <c r="P71" s="220"/>
      <c r="Q71" s="18">
        <f>VLOOKUP(A71,PLAN!B:R,17,0)</f>
        <v>46227</v>
      </c>
    </row>
    <row r="72" spans="1:17" ht="17.25" hidden="1" customHeight="1">
      <c r="A72" s="329" t="s">
        <v>1510</v>
      </c>
      <c r="B72" s="14">
        <f>VLOOKUP($A72,PLAN!$B:$AC,3,0)</f>
        <v>11119528</v>
      </c>
      <c r="C72" s="14" t="str">
        <f>VLOOKUP($A72,PLAN!$B:$AC,4,0)</f>
        <v>1911194-D-A</v>
      </c>
      <c r="D72" s="14" t="str">
        <f>VLOOKUP($A72,PLAN!$B:$AC,5,0)</f>
        <v>HJ70RB072P10020 JP</v>
      </c>
      <c r="E72" s="14" t="str">
        <f>VLOOKUP($A72,PLAN!$B:$AC,2,0)</f>
        <v>1001921231</v>
      </c>
      <c r="F72" s="15">
        <f>VLOOKUP($A72,PLAN!$B:$AC,7,0)</f>
        <v>46235</v>
      </c>
      <c r="G72" s="16" t="str">
        <f>VLOOKUP($A72,PLAN!$B:$AC,8,0)</f>
        <v>0103562331</v>
      </c>
      <c r="H72" s="16" t="str">
        <f>VLOOKUP($A72,PLAN!$B:$AC,9,0)</f>
        <v>260720C48A</v>
      </c>
      <c r="I72" s="16">
        <f>VLOOKUP($A72,PLAN!$B:$AC,10,0)</f>
        <v>3</v>
      </c>
      <c r="J72" s="17">
        <f>VLOOKUP($A72,PLAN!$B:$AC,21,0)</f>
        <v>46230</v>
      </c>
      <c r="K72" s="145" t="str">
        <f>VLOOKUP($A72,PLAN!$B:$AC,22,0)</f>
        <v>M9</v>
      </c>
      <c r="L72" s="1"/>
      <c r="M72" s="1"/>
      <c r="N72" s="1"/>
      <c r="O72" s="221" t="s">
        <v>79</v>
      </c>
      <c r="P72" s="220"/>
      <c r="Q72" s="18">
        <f>VLOOKUP(A72,PLAN!B:R,17,0)</f>
        <v>46227</v>
      </c>
    </row>
    <row r="73" spans="1:17" ht="17.25" hidden="1" customHeight="1">
      <c r="A73" s="329" t="s">
        <v>1511</v>
      </c>
      <c r="B73" s="14">
        <f>VLOOKUP($A73,PLAN!$B:$AC,3,0)</f>
        <v>11119530</v>
      </c>
      <c r="C73" s="14" t="str">
        <f>VLOOKUP($A73,PLAN!$B:$AC,4,0)</f>
        <v>1911196-D-A</v>
      </c>
      <c r="D73" s="14" t="str">
        <f>VLOOKUP($A73,PLAN!$B:$AC,5,0)</f>
        <v>HJ70RB102P10020 JP</v>
      </c>
      <c r="E73" s="14" t="str">
        <f>VLOOKUP($A73,PLAN!$B:$AC,2,0)</f>
        <v>1001921232</v>
      </c>
      <c r="F73" s="15">
        <f>VLOOKUP($A73,PLAN!$B:$AC,7,0)</f>
        <v>46235</v>
      </c>
      <c r="G73" s="16" t="str">
        <f>VLOOKUP($A73,PLAN!$B:$AC,8,0)</f>
        <v>0103562333</v>
      </c>
      <c r="H73" s="16" t="str">
        <f>VLOOKUP($A73,PLAN!$B:$AC,9,0)</f>
        <v>260720C49A</v>
      </c>
      <c r="I73" s="16">
        <f>VLOOKUP($A73,PLAN!$B:$AC,10,0)</f>
        <v>3</v>
      </c>
      <c r="J73" s="17">
        <f>VLOOKUP($A73,PLAN!$B:$AC,21,0)</f>
        <v>46230</v>
      </c>
      <c r="K73" s="145" t="str">
        <f>VLOOKUP($A73,PLAN!$B:$AC,22,0)</f>
        <v>M9</v>
      </c>
      <c r="L73" s="1"/>
      <c r="M73" s="1"/>
      <c r="N73" s="1"/>
      <c r="O73" s="221" t="s">
        <v>79</v>
      </c>
      <c r="P73" s="220"/>
      <c r="Q73" s="18">
        <f>VLOOKUP(A73,PLAN!B:R,17,0)</f>
        <v>46227</v>
      </c>
    </row>
    <row r="74" spans="1:17" ht="17.25" hidden="1" customHeight="1">
      <c r="A74" s="329" t="s">
        <v>1512</v>
      </c>
      <c r="B74" s="14">
        <f>VLOOKUP($A74,PLAN!$B:$AC,3,0)</f>
        <v>11119667</v>
      </c>
      <c r="C74" s="14" t="str">
        <f>VLOOKUP($A74,PLAN!$B:$AC,4,0)</f>
        <v>1911333-D-A</v>
      </c>
      <c r="D74" s="14" t="str">
        <f>VLOOKUP($A74,PLAN!$B:$AC,5,0)</f>
        <v>HJ80AL152P10002 JP</v>
      </c>
      <c r="E74" s="14" t="str">
        <f>VLOOKUP($A74,PLAN!$B:$AC,2,0)</f>
        <v>1001921233</v>
      </c>
      <c r="F74" s="15">
        <f>VLOOKUP($A74,PLAN!$B:$AC,7,0)</f>
        <v>46235</v>
      </c>
      <c r="G74" s="16" t="str">
        <f>VLOOKUP($A74,PLAN!$B:$AC,8,0)</f>
        <v>0103562334</v>
      </c>
      <c r="H74" s="16" t="str">
        <f>VLOOKUP($A74,PLAN!$B:$AC,9,0)</f>
        <v>260720C50A</v>
      </c>
      <c r="I74" s="16">
        <f>VLOOKUP($A74,PLAN!$B:$AC,10,0)</f>
        <v>3</v>
      </c>
      <c r="J74" s="17">
        <f>VLOOKUP($A74,PLAN!$B:$AC,21,0)</f>
        <v>46230</v>
      </c>
      <c r="K74" s="145" t="str">
        <f>VLOOKUP($A74,PLAN!$B:$AC,22,0)</f>
        <v>M9</v>
      </c>
      <c r="L74" s="1"/>
      <c r="M74" s="1"/>
      <c r="N74" s="1"/>
      <c r="O74" s="221" t="s">
        <v>79</v>
      </c>
      <c r="P74" s="220"/>
      <c r="Q74" s="18">
        <f>VLOOKUP(A74,PLAN!B:R,17,0)</f>
        <v>46227</v>
      </c>
    </row>
    <row r="75" spans="1:17" ht="17.25" hidden="1" customHeight="1">
      <c r="A75" s="329" t="s">
        <v>1513</v>
      </c>
      <c r="B75" s="14">
        <f>VLOOKUP($A75,PLAN!$B:$AC,3,0)</f>
        <v>11119598</v>
      </c>
      <c r="C75" s="14" t="str">
        <f>VLOOKUP($A75,PLAN!$B:$AC,4,0)</f>
        <v>1911264-D-A</v>
      </c>
      <c r="D75" s="14" t="str">
        <f>VLOOKUP($A75,PLAN!$B:$AC,5,0)</f>
        <v>HJ80HS012P10000 JP</v>
      </c>
      <c r="E75" s="14" t="str">
        <f>VLOOKUP($A75,PLAN!$B:$AC,2,0)</f>
        <v>1001921234</v>
      </c>
      <c r="F75" s="15">
        <f>VLOOKUP($A75,PLAN!$B:$AC,7,0)</f>
        <v>46235</v>
      </c>
      <c r="G75" s="16" t="str">
        <f>VLOOKUP($A75,PLAN!$B:$AC,8,0)</f>
        <v>0103562335</v>
      </c>
      <c r="H75" s="16" t="str">
        <f>VLOOKUP($A75,PLAN!$B:$AC,9,0)</f>
        <v>260720C51A</v>
      </c>
      <c r="I75" s="16">
        <f>VLOOKUP($A75,PLAN!$B:$AC,10,0)</f>
        <v>3</v>
      </c>
      <c r="J75" s="17">
        <f>VLOOKUP($A75,PLAN!$B:$AC,21,0)</f>
        <v>46230</v>
      </c>
      <c r="K75" s="145" t="str">
        <f>VLOOKUP($A75,PLAN!$B:$AC,22,0)</f>
        <v>M9</v>
      </c>
      <c r="L75" s="1"/>
      <c r="M75" s="1"/>
      <c r="N75" s="1"/>
      <c r="O75" s="221" t="s">
        <v>79</v>
      </c>
      <c r="P75" s="220"/>
      <c r="Q75" s="18">
        <f>VLOOKUP(A75,PLAN!B:R,17,0)</f>
        <v>46227</v>
      </c>
    </row>
    <row r="76" spans="1:17" ht="17.25" hidden="1" customHeight="1">
      <c r="A76" s="329" t="s">
        <v>1514</v>
      </c>
      <c r="B76" s="14">
        <f>VLOOKUP($A76,PLAN!$B:$AC,3,0)</f>
        <v>11119613</v>
      </c>
      <c r="C76" s="14" t="str">
        <f>VLOOKUP($A76,PLAN!$B:$AC,4,0)</f>
        <v>1911279-D-A</v>
      </c>
      <c r="D76" s="14" t="str">
        <f>VLOOKUP($A76,PLAN!$B:$AC,5,0)</f>
        <v>HJ80JL402P09000 JP</v>
      </c>
      <c r="E76" s="14" t="str">
        <f>VLOOKUP($A76,PLAN!$B:$AC,2,0)</f>
        <v>1001921235</v>
      </c>
      <c r="F76" s="15">
        <f>VLOOKUP($A76,PLAN!$B:$AC,7,0)</f>
        <v>46235</v>
      </c>
      <c r="G76" s="16" t="str">
        <f>VLOOKUP($A76,PLAN!$B:$AC,8,0)</f>
        <v>0103562336</v>
      </c>
      <c r="H76" s="16" t="str">
        <f>VLOOKUP($A76,PLAN!$B:$AC,9,0)</f>
        <v>260720C52A</v>
      </c>
      <c r="I76" s="16">
        <f>VLOOKUP($A76,PLAN!$B:$AC,10,0)</f>
        <v>3</v>
      </c>
      <c r="J76" s="17">
        <f>VLOOKUP($A76,PLAN!$B:$AC,21,0)</f>
        <v>46230</v>
      </c>
      <c r="K76" s="145" t="str">
        <f>VLOOKUP($A76,PLAN!$B:$AC,22,0)</f>
        <v>M9</v>
      </c>
      <c r="L76" s="1"/>
      <c r="M76" s="1"/>
      <c r="N76" s="1"/>
      <c r="O76" s="221" t="s">
        <v>79</v>
      </c>
      <c r="P76" s="220"/>
      <c r="Q76" s="18">
        <f>VLOOKUP(A76,PLAN!B:R,17,0)</f>
        <v>46227</v>
      </c>
    </row>
    <row r="77" spans="1:17" ht="17.25" hidden="1" customHeight="1">
      <c r="A77" s="329" t="s">
        <v>1517</v>
      </c>
      <c r="B77" s="14">
        <f>VLOOKUP($A77,PLAN!$B:$AC,3,0)</f>
        <v>11134137</v>
      </c>
      <c r="C77" s="14" t="str">
        <f>VLOOKUP($A77,PLAN!$B:$AC,4,0)</f>
        <v>1811875-J-A</v>
      </c>
      <c r="D77" s="14" t="str">
        <f>VLOOKUP($A77,PLAN!$B:$AC,5,0)</f>
        <v>HW60AL070P10002 CN</v>
      </c>
      <c r="E77" s="14" t="str">
        <f>VLOOKUP($A77,PLAN!$B:$AC,2,0)</f>
        <v>1001921245</v>
      </c>
      <c r="F77" s="15">
        <f>VLOOKUP($A77,PLAN!$B:$AC,7,0)</f>
        <v>46247</v>
      </c>
      <c r="G77" s="16" t="str">
        <f>VLOOKUP($A77,PLAN!$B:$AC,8,0)</f>
        <v>0103562349</v>
      </c>
      <c r="H77" s="16" t="str">
        <f>VLOOKUP($A77,PLAN!$B:$AC,9,0)</f>
        <v>260720C61A</v>
      </c>
      <c r="I77" s="16">
        <f>VLOOKUP($A77,PLAN!$B:$AC,10,0)</f>
        <v>230</v>
      </c>
      <c r="J77" s="17">
        <f>VLOOKUP($A77,PLAN!$B:$AC,21,0)</f>
        <v>46230</v>
      </c>
      <c r="K77" s="145" t="str">
        <f>VLOOKUP($A77,PLAN!$B:$AC,22,0)</f>
        <v>M9</v>
      </c>
      <c r="L77" s="1"/>
      <c r="M77" s="1"/>
      <c r="N77" s="1"/>
      <c r="O77" s="221" t="s">
        <v>79</v>
      </c>
      <c r="P77" s="220"/>
      <c r="Q77" s="18">
        <f>VLOOKUP(A77,PLAN!B:R,17,0)</f>
        <v>46227</v>
      </c>
    </row>
    <row r="78" spans="1:17" ht="17.25" hidden="1" customHeight="1">
      <c r="A78" s="329" t="s">
        <v>1518</v>
      </c>
      <c r="B78" s="14">
        <f>VLOOKUP($A78,PLAN!$B:$AC,3,0)</f>
        <v>11134148</v>
      </c>
      <c r="C78" s="14" t="str">
        <f>VLOOKUP($A78,PLAN!$B:$AC,4,0)</f>
        <v>1811909-L-A</v>
      </c>
      <c r="D78" s="14" t="str">
        <f>VLOOKUP($A78,PLAN!$B:$AC,5,0)</f>
        <v>HW60SP350P10000 CN</v>
      </c>
      <c r="E78" s="14" t="str">
        <f>VLOOKUP($A78,PLAN!$B:$AC,2,0)</f>
        <v>1001921246</v>
      </c>
      <c r="F78" s="15">
        <f>VLOOKUP($A78,PLAN!$B:$AC,7,0)</f>
        <v>46247</v>
      </c>
      <c r="G78" s="16" t="str">
        <f>VLOOKUP($A78,PLAN!$B:$AC,8,0)</f>
        <v>0103562350</v>
      </c>
      <c r="H78" s="16" t="str">
        <f>VLOOKUP($A78,PLAN!$B:$AC,9,0)</f>
        <v>260720C62A</v>
      </c>
      <c r="I78" s="16">
        <f>VLOOKUP($A78,PLAN!$B:$AC,10,0)</f>
        <v>13</v>
      </c>
      <c r="J78" s="17">
        <f>VLOOKUP($A78,PLAN!$B:$AC,21,0)</f>
        <v>46230</v>
      </c>
      <c r="K78" s="145" t="str">
        <f>VLOOKUP($A78,PLAN!$B:$AC,22,0)</f>
        <v>M9</v>
      </c>
      <c r="L78" s="1"/>
      <c r="M78" s="1"/>
      <c r="N78" s="1"/>
      <c r="O78" s="221" t="s">
        <v>79</v>
      </c>
      <c r="P78" s="220"/>
      <c r="Q78" s="18">
        <f>VLOOKUP(A78,PLAN!B:R,17,0)</f>
        <v>46227</v>
      </c>
    </row>
    <row r="79" spans="1:17" ht="17.25" hidden="1" customHeight="1">
      <c r="A79" s="329" t="s">
        <v>1519</v>
      </c>
      <c r="B79" s="14">
        <f>VLOOKUP($A79,PLAN!$B:$AC,3,0)</f>
        <v>11134146</v>
      </c>
      <c r="C79" s="14" t="str">
        <f>VLOOKUP($A79,PLAN!$B:$AC,4,0)</f>
        <v>1811907-L-A</v>
      </c>
      <c r="D79" s="14" t="str">
        <f>VLOOKUP($A79,PLAN!$B:$AC,5,0)</f>
        <v>HW60SP300P10000 CN</v>
      </c>
      <c r="E79" s="14" t="str">
        <f>VLOOKUP($A79,PLAN!$B:$AC,2,0)</f>
        <v>1001921247</v>
      </c>
      <c r="F79" s="15">
        <f>VLOOKUP($A79,PLAN!$B:$AC,7,0)</f>
        <v>46247</v>
      </c>
      <c r="G79" s="16" t="str">
        <f>VLOOKUP($A79,PLAN!$B:$AC,8,0)</f>
        <v>0103562351</v>
      </c>
      <c r="H79" s="16" t="str">
        <f>VLOOKUP($A79,PLAN!$B:$AC,9,0)</f>
        <v>260720C63A</v>
      </c>
      <c r="I79" s="16">
        <f>VLOOKUP($A79,PLAN!$B:$AC,10,0)</f>
        <v>226</v>
      </c>
      <c r="J79" s="17">
        <f>VLOOKUP($A79,PLAN!$B:$AC,21,0)</f>
        <v>46230</v>
      </c>
      <c r="K79" s="145" t="str">
        <f>VLOOKUP($A79,PLAN!$B:$AC,22,0)</f>
        <v>M9</v>
      </c>
      <c r="L79" s="1"/>
      <c r="M79" s="1"/>
      <c r="N79" s="1"/>
      <c r="O79" s="221" t="s">
        <v>79</v>
      </c>
      <c r="P79" s="220"/>
      <c r="Q79" s="18">
        <f>VLOOKUP(A79,PLAN!B:R,17,0)</f>
        <v>46227</v>
      </c>
    </row>
    <row r="80" spans="1:17" ht="17.25" hidden="1" customHeight="1">
      <c r="A80" s="329" t="s">
        <v>1520</v>
      </c>
      <c r="B80" s="14">
        <f>VLOOKUP($A80,PLAN!$B:$AC,3,0)</f>
        <v>11134146</v>
      </c>
      <c r="C80" s="14" t="str">
        <f>VLOOKUP($A80,PLAN!$B:$AC,4,0)</f>
        <v>1811907-L-A</v>
      </c>
      <c r="D80" s="14" t="str">
        <f>VLOOKUP($A80,PLAN!$B:$AC,5,0)</f>
        <v>HW60SP300P10000 CN</v>
      </c>
      <c r="E80" s="14" t="str">
        <f>VLOOKUP($A80,PLAN!$B:$AC,2,0)</f>
        <v>1001921248</v>
      </c>
      <c r="F80" s="15">
        <f>VLOOKUP($A80,PLAN!$B:$AC,7,0)</f>
        <v>46247</v>
      </c>
      <c r="G80" s="16" t="str">
        <f>VLOOKUP($A80,PLAN!$B:$AC,8,0)</f>
        <v>0103562352</v>
      </c>
      <c r="H80" s="16" t="str">
        <f>VLOOKUP($A80,PLAN!$B:$AC,9,0)</f>
        <v>260720C64A</v>
      </c>
      <c r="I80" s="16">
        <f>VLOOKUP($A80,PLAN!$B:$AC,10,0)</f>
        <v>720</v>
      </c>
      <c r="J80" s="17">
        <f>VLOOKUP($A80,PLAN!$B:$AC,21,0)</f>
        <v>46230</v>
      </c>
      <c r="K80" s="145" t="str">
        <f>VLOOKUP($A80,PLAN!$B:$AC,22,0)</f>
        <v>M10</v>
      </c>
      <c r="L80" s="1"/>
      <c r="M80" s="1"/>
      <c r="N80" s="1"/>
      <c r="O80" s="221" t="s">
        <v>79</v>
      </c>
      <c r="P80" s="220"/>
      <c r="Q80" s="18">
        <f>VLOOKUP(A80,PLAN!B:R,17,0)</f>
        <v>46227</v>
      </c>
    </row>
    <row r="81" spans="1:17" ht="17.25" hidden="1" customHeight="1">
      <c r="A81" s="329" t="s">
        <v>1633</v>
      </c>
      <c r="B81" s="14">
        <f>VLOOKUP($A81,PLAN!$B:$AC,3,0)</f>
        <v>11107911</v>
      </c>
      <c r="C81" s="14" t="str">
        <f>VLOOKUP($A81,PLAN!$B:$AC,4,0)</f>
        <v>2511509-001</v>
      </c>
      <c r="D81" s="14" t="str">
        <f>VLOOKUP($A81,PLAN!$B:$AC,5,0)</f>
        <v>CROSSRIDGE 6Fr 100cm_Kit</v>
      </c>
      <c r="E81" s="14" t="str">
        <f>VLOOKUP($A81,PLAN!$B:$AC,2,0)</f>
        <v>2000127633</v>
      </c>
      <c r="F81" s="15">
        <f>VLOOKUP($A81,PLAN!$B:$AC,7,0)</f>
        <v>46234</v>
      </c>
      <c r="G81" s="16" t="str">
        <f>VLOOKUP($A81,PLAN!$B:$AC,8,0)</f>
        <v>0103565388</v>
      </c>
      <c r="H81" s="16" t="str">
        <f>VLOOKUP($A81,PLAN!$B:$AC,9,0)</f>
        <v>260720Y01A</v>
      </c>
      <c r="I81" s="16">
        <f>VLOOKUP($A81,PLAN!$B:$AC,10,0)</f>
        <v>20</v>
      </c>
      <c r="J81" s="17">
        <f>VLOOKUP($A81,PLAN!$B:$AC,21,0)</f>
        <v>46228</v>
      </c>
      <c r="K81" s="145" t="str">
        <f>VLOOKUP($A81,PLAN!$B:$AC,22,0)</f>
        <v>TEST</v>
      </c>
      <c r="L81" s="1"/>
      <c r="M81" s="1"/>
      <c r="N81" s="1"/>
      <c r="O81" s="221" t="s">
        <v>79</v>
      </c>
      <c r="P81" s="220"/>
      <c r="Q81" s="18" t="s">
        <v>1633</v>
      </c>
    </row>
    <row r="82" spans="1:17" ht="17.25" hidden="1" customHeight="1">
      <c r="A82" s="329" t="s">
        <v>1634</v>
      </c>
      <c r="B82" s="14">
        <f>VLOOKUP($A82,PLAN!$B:$AC,3,0)</f>
        <v>11107911</v>
      </c>
      <c r="C82" s="14" t="str">
        <f>VLOOKUP($A82,PLAN!$B:$AC,4,0)</f>
        <v>2511509-001</v>
      </c>
      <c r="D82" s="14" t="str">
        <f>VLOOKUP($A82,PLAN!$B:$AC,5,0)</f>
        <v>CROSSRIDGE 6Fr 100cm_Kit</v>
      </c>
      <c r="E82" s="14" t="str">
        <f>VLOOKUP($A82,PLAN!$B:$AC,2,0)</f>
        <v>2000127634</v>
      </c>
      <c r="F82" s="15">
        <f>VLOOKUP($A82,PLAN!$B:$AC,7,0)</f>
        <v>46234</v>
      </c>
      <c r="G82" s="16" t="str">
        <f>VLOOKUP($A82,PLAN!$B:$AC,8,0)</f>
        <v>0103565391</v>
      </c>
      <c r="H82" s="16" t="str">
        <f>VLOOKUP($A82,PLAN!$B:$AC,9,0)</f>
        <v>260720Y02A</v>
      </c>
      <c r="I82" s="16">
        <f>VLOOKUP($A82,PLAN!$B:$AC,10,0)</f>
        <v>3</v>
      </c>
      <c r="J82" s="17" t="str">
        <f>VLOOKUP($A82,PLAN!$B:$AC,21,0)</f>
        <v>N/A</v>
      </c>
      <c r="K82" s="145" t="str">
        <f>VLOOKUP($A82,PLAN!$B:$AC,22,0)</f>
        <v>TEST</v>
      </c>
      <c r="L82" s="1"/>
      <c r="M82" s="1"/>
      <c r="N82" s="1"/>
      <c r="O82" s="221" t="s">
        <v>79</v>
      </c>
      <c r="P82" s="220"/>
      <c r="Q82" s="18" t="s">
        <v>1633</v>
      </c>
    </row>
    <row r="83" spans="1:17" ht="17.25" hidden="1" customHeight="1">
      <c r="A83" s="329" t="s">
        <v>1635</v>
      </c>
      <c r="B83" s="14">
        <f>VLOOKUP($A83,PLAN!$B:$AC,3,0)</f>
        <v>11107911</v>
      </c>
      <c r="C83" s="14" t="str">
        <f>VLOOKUP($A83,PLAN!$B:$AC,4,0)</f>
        <v>2511509-001</v>
      </c>
      <c r="D83" s="14" t="str">
        <f>VLOOKUP($A83,PLAN!$B:$AC,5,0)</f>
        <v>CROSSRIDGE 6Fr 100cm_Kit</v>
      </c>
      <c r="E83" s="14" t="str">
        <f>VLOOKUP($A83,PLAN!$B:$AC,2,0)</f>
        <v>2000127635</v>
      </c>
      <c r="F83" s="15">
        <f>VLOOKUP($A83,PLAN!$B:$AC,7,0)</f>
        <v>46234</v>
      </c>
      <c r="G83" s="16" t="str">
        <f>VLOOKUP($A83,PLAN!$B:$AC,8,0)</f>
        <v>0103565392</v>
      </c>
      <c r="H83" s="16" t="str">
        <f>VLOOKUP($A83,PLAN!$B:$AC,9,0)</f>
        <v>260720Y03A</v>
      </c>
      <c r="I83" s="16">
        <f>VLOOKUP($A83,PLAN!$B:$AC,10,0)</f>
        <v>5</v>
      </c>
      <c r="J83" s="17">
        <f>VLOOKUP($A83,PLAN!$B:$AC,21,0)</f>
        <v>46228</v>
      </c>
      <c r="K83" s="145" t="str">
        <f>VLOOKUP($A83,PLAN!$B:$AC,22,0)</f>
        <v>TEST</v>
      </c>
      <c r="L83" s="1"/>
      <c r="M83" s="1"/>
      <c r="N83" s="1"/>
      <c r="O83" s="221" t="s">
        <v>79</v>
      </c>
      <c r="P83" s="220"/>
      <c r="Q83" s="18" t="s">
        <v>1633</v>
      </c>
    </row>
    <row r="84" spans="1:17" ht="17.25" hidden="1" customHeight="1">
      <c r="A84" s="329" t="s">
        <v>1636</v>
      </c>
      <c r="B84" s="14">
        <f>VLOOKUP($A84,PLAN!$B:$AC,3,0)</f>
        <v>11107911</v>
      </c>
      <c r="C84" s="14" t="str">
        <f>VLOOKUP($A84,PLAN!$B:$AC,4,0)</f>
        <v>2511509-001</v>
      </c>
      <c r="D84" s="14" t="str">
        <f>VLOOKUP($A84,PLAN!$B:$AC,5,0)</f>
        <v>CROSSRIDGE 6Fr 100cm_Kit</v>
      </c>
      <c r="E84" s="14" t="str">
        <f>VLOOKUP($A84,PLAN!$B:$AC,2,0)</f>
        <v>2000127636</v>
      </c>
      <c r="F84" s="15">
        <f>VLOOKUP($A84,PLAN!$B:$AC,7,0)</f>
        <v>46234</v>
      </c>
      <c r="G84" s="16" t="str">
        <f>VLOOKUP($A84,PLAN!$B:$AC,8,0)</f>
        <v>0103565394</v>
      </c>
      <c r="H84" s="16" t="str">
        <f>VLOOKUP($A84,PLAN!$B:$AC,9,0)</f>
        <v>260720Y04A</v>
      </c>
      <c r="I84" s="16">
        <f>VLOOKUP($A84,PLAN!$B:$AC,10,0)</f>
        <v>5</v>
      </c>
      <c r="J84" s="17">
        <f>VLOOKUP($A84,PLAN!$B:$AC,21,0)</f>
        <v>46228</v>
      </c>
      <c r="K84" s="145" t="str">
        <f>VLOOKUP($A84,PLAN!$B:$AC,22,0)</f>
        <v>TEST</v>
      </c>
      <c r="L84" s="1"/>
      <c r="M84" s="1"/>
      <c r="N84" s="1"/>
      <c r="O84" s="221" t="s">
        <v>79</v>
      </c>
      <c r="P84" s="220"/>
      <c r="Q84" s="18" t="s">
        <v>1633</v>
      </c>
    </row>
    <row r="85" spans="1:17" ht="17.25" hidden="1" customHeight="1">
      <c r="A85" s="329" t="s">
        <v>1637</v>
      </c>
      <c r="B85" s="14">
        <f>VLOOKUP($A85,PLAN!$B:$AC,3,0)</f>
        <v>11107911</v>
      </c>
      <c r="C85" s="14" t="str">
        <f>VLOOKUP($A85,PLAN!$B:$AC,4,0)</f>
        <v>2511509-001</v>
      </c>
      <c r="D85" s="14" t="str">
        <f>VLOOKUP($A85,PLAN!$B:$AC,5,0)</f>
        <v>CROSSRIDGE 6Fr 100cm_Kit</v>
      </c>
      <c r="E85" s="14" t="str">
        <f>VLOOKUP($A85,PLAN!$B:$AC,2,0)</f>
        <v>2000127637</v>
      </c>
      <c r="F85" s="15">
        <f>VLOOKUP($A85,PLAN!$B:$AC,7,0)</f>
        <v>46234</v>
      </c>
      <c r="G85" s="16" t="str">
        <f>VLOOKUP($A85,PLAN!$B:$AC,8,0)</f>
        <v>0103565396</v>
      </c>
      <c r="H85" s="16" t="str">
        <f>VLOOKUP($A85,PLAN!$B:$AC,9,0)</f>
        <v>260720Y05A</v>
      </c>
      <c r="I85" s="16">
        <f>VLOOKUP($A85,PLAN!$B:$AC,10,0)</f>
        <v>5</v>
      </c>
      <c r="J85" s="17">
        <f>VLOOKUP($A85,PLAN!$B:$AC,21,0)</f>
        <v>46228</v>
      </c>
      <c r="K85" s="145" t="str">
        <f>VLOOKUP($A85,PLAN!$B:$AC,22,0)</f>
        <v>TEST</v>
      </c>
      <c r="L85" s="1"/>
      <c r="M85" s="1"/>
      <c r="N85" s="1"/>
      <c r="O85" s="221" t="s">
        <v>79</v>
      </c>
      <c r="P85" s="220"/>
      <c r="Q85" s="18" t="s">
        <v>1633</v>
      </c>
    </row>
    <row r="86" spans="1:17" ht="17.25" hidden="1" customHeight="1">
      <c r="A86" s="329" t="s">
        <v>1638</v>
      </c>
      <c r="B86" s="14">
        <f>VLOOKUP($A86,PLAN!$B:$AC,3,0)</f>
        <v>11107911</v>
      </c>
      <c r="C86" s="14" t="str">
        <f>VLOOKUP($A86,PLAN!$B:$AC,4,0)</f>
        <v>2511509-001</v>
      </c>
      <c r="D86" s="14" t="str">
        <f>VLOOKUP($A86,PLAN!$B:$AC,5,0)</f>
        <v>CROSSRIDGE 6Fr 100cm_Kit</v>
      </c>
      <c r="E86" s="14" t="str">
        <f>VLOOKUP($A86,PLAN!$B:$AC,2,0)</f>
        <v>2000127638</v>
      </c>
      <c r="F86" s="15">
        <f>VLOOKUP($A86,PLAN!$B:$AC,7,0)</f>
        <v>46234</v>
      </c>
      <c r="G86" s="16" t="str">
        <f>VLOOKUP($A86,PLAN!$B:$AC,8,0)</f>
        <v>0103565398</v>
      </c>
      <c r="H86" s="16" t="str">
        <f>VLOOKUP($A86,PLAN!$B:$AC,9,0)</f>
        <v>260720Y06A</v>
      </c>
      <c r="I86" s="16">
        <f>VLOOKUP($A86,PLAN!$B:$AC,10,0)</f>
        <v>5</v>
      </c>
      <c r="J86" s="17">
        <f>VLOOKUP($A86,PLAN!$B:$AC,21,0)</f>
        <v>46228</v>
      </c>
      <c r="K86" s="145" t="str">
        <f>VLOOKUP($A86,PLAN!$B:$AC,22,0)</f>
        <v>TEST</v>
      </c>
      <c r="L86" s="1"/>
      <c r="M86" s="1"/>
      <c r="N86" s="1"/>
      <c r="O86" s="221" t="s">
        <v>79</v>
      </c>
      <c r="P86" s="220"/>
      <c r="Q86" s="18" t="s">
        <v>1633</v>
      </c>
    </row>
    <row r="87" spans="1:17" ht="17.25" hidden="1" customHeight="1">
      <c r="A87" s="329" t="s">
        <v>1639</v>
      </c>
      <c r="B87" s="14">
        <f>VLOOKUP($A87,PLAN!$B:$AC,3,0)</f>
        <v>11107911</v>
      </c>
      <c r="C87" s="14" t="str">
        <f>VLOOKUP($A87,PLAN!$B:$AC,4,0)</f>
        <v>2511509-001</v>
      </c>
      <c r="D87" s="14" t="str">
        <f>VLOOKUP($A87,PLAN!$B:$AC,5,0)</f>
        <v>CROSSRIDGE 6Fr 100cm_Kit</v>
      </c>
      <c r="E87" s="14" t="str">
        <f>VLOOKUP($A87,PLAN!$B:$AC,2,0)</f>
        <v>2000127639</v>
      </c>
      <c r="F87" s="15">
        <f>VLOOKUP($A87,PLAN!$B:$AC,7,0)</f>
        <v>46234</v>
      </c>
      <c r="G87" s="16" t="str">
        <f>VLOOKUP($A87,PLAN!$B:$AC,8,0)</f>
        <v>0103565400</v>
      </c>
      <c r="H87" s="16" t="str">
        <f>VLOOKUP($A87,PLAN!$B:$AC,9,0)</f>
        <v>260720Y07A</v>
      </c>
      <c r="I87" s="16">
        <f>VLOOKUP($A87,PLAN!$B:$AC,10,0)</f>
        <v>3</v>
      </c>
      <c r="J87" s="17" t="str">
        <f>VLOOKUP($A87,PLAN!$B:$AC,21,0)</f>
        <v>N/A</v>
      </c>
      <c r="K87" s="145" t="str">
        <f>VLOOKUP($A87,PLAN!$B:$AC,22,0)</f>
        <v>TEST</v>
      </c>
      <c r="L87" s="1"/>
      <c r="M87" s="1"/>
      <c r="N87" s="1"/>
      <c r="O87" s="221" t="s">
        <v>79</v>
      </c>
      <c r="P87" s="220"/>
      <c r="Q87" s="18" t="s">
        <v>1633</v>
      </c>
    </row>
    <row r="88" spans="1:17" ht="17.25" hidden="1" customHeight="1">
      <c r="A88" s="329" t="s">
        <v>1640</v>
      </c>
      <c r="B88" s="14">
        <f>VLOOKUP($A88,PLAN!$B:$AC,3,0)</f>
        <v>11107911</v>
      </c>
      <c r="C88" s="14" t="str">
        <f>VLOOKUP($A88,PLAN!$B:$AC,4,0)</f>
        <v>2511509-001</v>
      </c>
      <c r="D88" s="14" t="str">
        <f>VLOOKUP($A88,PLAN!$B:$AC,5,0)</f>
        <v>CROSSRIDGE 6Fr 100cm_Kit</v>
      </c>
      <c r="E88" s="14" t="str">
        <f>VLOOKUP($A88,PLAN!$B:$AC,2,0)</f>
        <v>2000127640</v>
      </c>
      <c r="F88" s="15">
        <f>VLOOKUP($A88,PLAN!$B:$AC,7,0)</f>
        <v>46234</v>
      </c>
      <c r="G88" s="16" t="str">
        <f>VLOOKUP($A88,PLAN!$B:$AC,8,0)</f>
        <v>0103565402</v>
      </c>
      <c r="H88" s="16" t="str">
        <f>VLOOKUP($A88,PLAN!$B:$AC,9,0)</f>
        <v>260720Y07D</v>
      </c>
      <c r="I88" s="16">
        <f>VLOOKUP($A88,PLAN!$B:$AC,10,0)</f>
        <v>9</v>
      </c>
      <c r="J88" s="17">
        <f>VLOOKUP($A88,PLAN!$B:$AC,21,0)</f>
        <v>46228</v>
      </c>
      <c r="K88" s="145" t="str">
        <f>VLOOKUP($A88,PLAN!$B:$AC,22,0)</f>
        <v>TEST</v>
      </c>
      <c r="L88" s="1"/>
      <c r="M88" s="1"/>
      <c r="N88" s="1"/>
      <c r="O88" s="221" t="s">
        <v>79</v>
      </c>
      <c r="P88" s="220"/>
      <c r="Q88" s="18" t="s">
        <v>1633</v>
      </c>
    </row>
    <row r="89" spans="1:17" ht="17.25" hidden="1" customHeight="1">
      <c r="A89" s="329" t="s">
        <v>1689</v>
      </c>
      <c r="B89" s="14">
        <f>VLOOKUP($A89,PLAN!$B:$AC,3,0)</f>
        <v>11134170</v>
      </c>
      <c r="C89" s="14" t="str">
        <f>VLOOKUP($A89,PLAN!$B:$AC,4,0)</f>
        <v>1811989-G-A</v>
      </c>
      <c r="D89" s="14" t="str">
        <f>VLOOKUP($A89,PLAN!$B:$AC,5,0)</f>
        <v>HW70AL070P10000 CN</v>
      </c>
      <c r="E89" s="14" t="str">
        <f>VLOOKUP($A89,PLAN!$B:$AC,2,0)</f>
        <v>1001923411</v>
      </c>
      <c r="F89" s="15">
        <f>VLOOKUP($A89,PLAN!$B:$AC,7,0)</f>
        <v>46248</v>
      </c>
      <c r="G89" s="16" t="str">
        <f>VLOOKUP($A89,PLAN!$B:$AC,8,0)</f>
        <v>0103566724</v>
      </c>
      <c r="H89" s="16" t="str">
        <f>VLOOKUP($A89,PLAN!$B:$AC,9,0)</f>
        <v>260721C01A</v>
      </c>
      <c r="I89" s="16">
        <f>VLOOKUP($A89,PLAN!$B:$AC,10,0)</f>
        <v>41</v>
      </c>
      <c r="J89" s="17">
        <f>VLOOKUP($A89,PLAN!$B:$AC,21,0)</f>
        <v>46231</v>
      </c>
      <c r="K89" s="145" t="str">
        <f>VLOOKUP($A89,PLAN!$B:$AC,22,0)</f>
        <v>M9</v>
      </c>
      <c r="L89" s="1"/>
      <c r="M89" s="1"/>
      <c r="N89" s="1"/>
      <c r="O89" s="221" t="s">
        <v>79</v>
      </c>
      <c r="P89" s="220"/>
      <c r="Q89" s="18">
        <f>VLOOKUP(A89,PLAN!B:R,17,0)</f>
        <v>46230</v>
      </c>
    </row>
    <row r="90" spans="1:17" ht="17.25" hidden="1" customHeight="1">
      <c r="A90" s="329" t="s">
        <v>1690</v>
      </c>
      <c r="B90" s="14">
        <f>VLOOKUP($A90,PLAN!$B:$AC,3,0)</f>
        <v>11134178</v>
      </c>
      <c r="C90" s="14" t="str">
        <f>VLOOKUP($A90,PLAN!$B:$AC,4,0)</f>
        <v>1861004-G-A</v>
      </c>
      <c r="D90" s="14" t="str">
        <f>VLOOKUP($A90,PLAN!$B:$AC,5,0)</f>
        <v>HW70AL070P10002 CN</v>
      </c>
      <c r="E90" s="14" t="str">
        <f>VLOOKUP($A90,PLAN!$B:$AC,2,0)</f>
        <v>1001923412</v>
      </c>
      <c r="F90" s="15">
        <f>VLOOKUP($A90,PLAN!$B:$AC,7,0)</f>
        <v>46248</v>
      </c>
      <c r="G90" s="16" t="str">
        <f>VLOOKUP($A90,PLAN!$B:$AC,8,0)</f>
        <v>0103566726</v>
      </c>
      <c r="H90" s="16" t="str">
        <f>VLOOKUP($A90,PLAN!$B:$AC,9,0)</f>
        <v>260721C02A</v>
      </c>
      <c r="I90" s="16">
        <f>VLOOKUP($A90,PLAN!$B:$AC,10,0)</f>
        <v>50</v>
      </c>
      <c r="J90" s="17">
        <f>VLOOKUP($A90,PLAN!$B:$AC,21,0)</f>
        <v>46231</v>
      </c>
      <c r="K90" s="145" t="str">
        <f>VLOOKUP($A90,PLAN!$B:$AC,22,0)</f>
        <v>M9</v>
      </c>
      <c r="L90" s="1"/>
      <c r="M90" s="1"/>
      <c r="N90" s="1"/>
      <c r="O90" s="221" t="s">
        <v>79</v>
      </c>
      <c r="P90" s="220"/>
      <c r="Q90" s="18">
        <f>VLOOKUP(A90,PLAN!B:R,17,0)</f>
        <v>46230</v>
      </c>
    </row>
    <row r="91" spans="1:17" ht="17.25" hidden="1" customHeight="1">
      <c r="A91" s="329" t="s">
        <v>1691</v>
      </c>
      <c r="B91" s="14">
        <f>VLOOKUP($A91,PLAN!$B:$AC,3,0)</f>
        <v>11134172</v>
      </c>
      <c r="C91" s="14" t="str">
        <f>VLOOKUP($A91,PLAN!$B:$AC,4,0)</f>
        <v>1811991-G-A</v>
      </c>
      <c r="D91" s="14" t="str">
        <f>VLOOKUP($A91,PLAN!$B:$AC,5,0)</f>
        <v>HW70AL100P10000 CN</v>
      </c>
      <c r="E91" s="14" t="str">
        <f>VLOOKUP($A91,PLAN!$B:$AC,2,0)</f>
        <v>1001923413</v>
      </c>
      <c r="F91" s="15">
        <f>VLOOKUP($A91,PLAN!$B:$AC,7,0)</f>
        <v>46248</v>
      </c>
      <c r="G91" s="16" t="str">
        <f>VLOOKUP($A91,PLAN!$B:$AC,8,0)</f>
        <v>0103566727</v>
      </c>
      <c r="H91" s="16" t="str">
        <f>VLOOKUP($A91,PLAN!$B:$AC,9,0)</f>
        <v>260721C03A</v>
      </c>
      <c r="I91" s="16">
        <f>VLOOKUP($A91,PLAN!$B:$AC,10,0)</f>
        <v>6</v>
      </c>
      <c r="J91" s="17">
        <f>VLOOKUP($A91,PLAN!$B:$AC,21,0)</f>
        <v>46231</v>
      </c>
      <c r="K91" s="145" t="str">
        <f>VLOOKUP($A91,PLAN!$B:$AC,22,0)</f>
        <v>M9</v>
      </c>
      <c r="L91" s="1"/>
      <c r="M91" s="1"/>
      <c r="N91" s="1"/>
      <c r="O91" s="221" t="s">
        <v>79</v>
      </c>
      <c r="P91" s="220"/>
      <c r="Q91" s="18">
        <f>VLOOKUP(A91,PLAN!B:R,17,0)</f>
        <v>46230</v>
      </c>
    </row>
    <row r="92" spans="1:17" ht="17.25" hidden="1" customHeight="1">
      <c r="A92" s="329" t="s">
        <v>1692</v>
      </c>
      <c r="B92" s="14">
        <f>VLOOKUP($A92,PLAN!$B:$AC,3,0)</f>
        <v>11134180</v>
      </c>
      <c r="C92" s="14" t="str">
        <f>VLOOKUP($A92,PLAN!$B:$AC,4,0)</f>
        <v>1861006-G-A</v>
      </c>
      <c r="D92" s="14" t="str">
        <f>VLOOKUP($A92,PLAN!$B:$AC,5,0)</f>
        <v>HW70AL100P10002 CN</v>
      </c>
      <c r="E92" s="14" t="str">
        <f>VLOOKUP($A92,PLAN!$B:$AC,2,0)</f>
        <v>1001923414</v>
      </c>
      <c r="F92" s="15">
        <f>VLOOKUP($A92,PLAN!$B:$AC,7,0)</f>
        <v>46248</v>
      </c>
      <c r="G92" s="16" t="str">
        <f>VLOOKUP($A92,PLAN!$B:$AC,8,0)</f>
        <v>0103566728</v>
      </c>
      <c r="H92" s="16" t="str">
        <f>VLOOKUP($A92,PLAN!$B:$AC,9,0)</f>
        <v>260721C04A</v>
      </c>
      <c r="I92" s="16">
        <f>VLOOKUP($A92,PLAN!$B:$AC,10,0)</f>
        <v>7</v>
      </c>
      <c r="J92" s="17">
        <f>VLOOKUP($A92,PLAN!$B:$AC,21,0)</f>
        <v>46231</v>
      </c>
      <c r="K92" s="145" t="str">
        <f>VLOOKUP($A92,PLAN!$B:$AC,22,0)</f>
        <v>M9</v>
      </c>
      <c r="L92" s="1"/>
      <c r="M92" s="1"/>
      <c r="N92" s="1"/>
      <c r="O92" s="221" t="s">
        <v>79</v>
      </c>
      <c r="P92" s="220"/>
      <c r="Q92" s="18">
        <f>VLOOKUP(A92,PLAN!B:R,17,0)</f>
        <v>46230</v>
      </c>
    </row>
    <row r="93" spans="1:17" ht="17.25" hidden="1" customHeight="1">
      <c r="A93" s="329" t="s">
        <v>1693</v>
      </c>
      <c r="B93" s="14">
        <f>VLOOKUP($A93,PLAN!$B:$AC,3,0)</f>
        <v>11134160</v>
      </c>
      <c r="C93" s="14" t="str">
        <f>VLOOKUP($A93,PLAN!$B:$AC,4,0)</f>
        <v>1811955-G-A</v>
      </c>
      <c r="D93" s="14" t="str">
        <f>VLOOKUP($A93,PLAN!$B:$AC,5,0)</f>
        <v>HW70JL350P10000 CN</v>
      </c>
      <c r="E93" s="14" t="str">
        <f>VLOOKUP($A93,PLAN!$B:$AC,2,0)</f>
        <v>1001923415</v>
      </c>
      <c r="F93" s="15">
        <f>VLOOKUP($A93,PLAN!$B:$AC,7,0)</f>
        <v>46248</v>
      </c>
      <c r="G93" s="16" t="str">
        <f>VLOOKUP($A93,PLAN!$B:$AC,8,0)</f>
        <v>0103566729</v>
      </c>
      <c r="H93" s="16" t="str">
        <f>VLOOKUP($A93,PLAN!$B:$AC,9,0)</f>
        <v>260721C05A</v>
      </c>
      <c r="I93" s="16">
        <f>VLOOKUP($A93,PLAN!$B:$AC,10,0)</f>
        <v>10</v>
      </c>
      <c r="J93" s="17">
        <f>VLOOKUP($A93,PLAN!$B:$AC,21,0)</f>
        <v>46231</v>
      </c>
      <c r="K93" s="145" t="str">
        <f>VLOOKUP($A93,PLAN!$B:$AC,22,0)</f>
        <v>M9</v>
      </c>
      <c r="L93" s="1"/>
      <c r="M93" s="1"/>
      <c r="N93" s="1"/>
      <c r="O93" s="221" t="s">
        <v>79</v>
      </c>
      <c r="P93" s="220"/>
      <c r="Q93" s="18">
        <f>VLOOKUP(A93,PLAN!B:R,17,0)</f>
        <v>46230</v>
      </c>
    </row>
    <row r="94" spans="1:17" ht="17.25" hidden="1" customHeight="1">
      <c r="A94" s="329" t="s">
        <v>1694</v>
      </c>
      <c r="B94" s="14">
        <f>VLOOKUP($A94,PLAN!$B:$AC,3,0)</f>
        <v>11134163</v>
      </c>
      <c r="C94" s="14" t="str">
        <f>VLOOKUP($A94,PLAN!$B:$AC,4,0)</f>
        <v>1811959-G-A</v>
      </c>
      <c r="D94" s="14" t="str">
        <f>VLOOKUP($A94,PLAN!$B:$AC,5,0)</f>
        <v>HW70JL400P10000 CN</v>
      </c>
      <c r="E94" s="14" t="str">
        <f>VLOOKUP($A94,PLAN!$B:$AC,2,0)</f>
        <v>1001923417</v>
      </c>
      <c r="F94" s="15">
        <f>VLOOKUP($A94,PLAN!$B:$AC,7,0)</f>
        <v>46248</v>
      </c>
      <c r="G94" s="16" t="str">
        <f>VLOOKUP($A94,PLAN!$B:$AC,8,0)</f>
        <v>0103566730</v>
      </c>
      <c r="H94" s="16" t="str">
        <f>VLOOKUP($A94,PLAN!$B:$AC,9,0)</f>
        <v>260721C06A</v>
      </c>
      <c r="I94" s="16">
        <f>VLOOKUP($A94,PLAN!$B:$AC,10,0)</f>
        <v>20</v>
      </c>
      <c r="J94" s="17">
        <f>VLOOKUP($A94,PLAN!$B:$AC,21,0)</f>
        <v>46231</v>
      </c>
      <c r="K94" s="145" t="str">
        <f>VLOOKUP($A94,PLAN!$B:$AC,22,0)</f>
        <v>M9</v>
      </c>
      <c r="L94" s="1"/>
      <c r="M94" s="1"/>
      <c r="N94" s="1"/>
      <c r="O94" s="221" t="s">
        <v>79</v>
      </c>
      <c r="P94" s="220"/>
      <c r="Q94" s="18">
        <f>VLOOKUP(A94,PLAN!B:R,17,0)</f>
        <v>46230</v>
      </c>
    </row>
    <row r="95" spans="1:17" ht="17.25" hidden="1" customHeight="1">
      <c r="A95" s="329" t="s">
        <v>1695</v>
      </c>
      <c r="B95" s="14">
        <f>VLOOKUP($A95,PLAN!$B:$AC,3,0)</f>
        <v>11134166</v>
      </c>
      <c r="C95" s="14" t="str">
        <f>VLOOKUP($A95,PLAN!$B:$AC,4,0)</f>
        <v>1811977-G-A</v>
      </c>
      <c r="D95" s="14" t="str">
        <f>VLOOKUP($A95,PLAN!$B:$AC,5,0)</f>
        <v>HW70JR350P10000 CN</v>
      </c>
      <c r="E95" s="14" t="str">
        <f>VLOOKUP($A95,PLAN!$B:$AC,2,0)</f>
        <v>1001923418</v>
      </c>
      <c r="F95" s="15">
        <f>VLOOKUP($A95,PLAN!$B:$AC,7,0)</f>
        <v>46248</v>
      </c>
      <c r="G95" s="16" t="str">
        <f>VLOOKUP($A95,PLAN!$B:$AC,8,0)</f>
        <v>0103566731</v>
      </c>
      <c r="H95" s="16" t="str">
        <f>VLOOKUP($A95,PLAN!$B:$AC,9,0)</f>
        <v>260721C07A</v>
      </c>
      <c r="I95" s="16">
        <f>VLOOKUP($A95,PLAN!$B:$AC,10,0)</f>
        <v>10</v>
      </c>
      <c r="J95" s="17">
        <f>VLOOKUP($A95,PLAN!$B:$AC,21,0)</f>
        <v>46231</v>
      </c>
      <c r="K95" s="145" t="str">
        <f>VLOOKUP($A95,PLAN!$B:$AC,22,0)</f>
        <v>M9</v>
      </c>
      <c r="L95" s="1"/>
      <c r="M95" s="1"/>
      <c r="N95" s="1"/>
      <c r="O95" s="221" t="s">
        <v>79</v>
      </c>
      <c r="P95" s="220"/>
      <c r="Q95" s="18">
        <f>VLOOKUP(A95,PLAN!B:R,17,0)</f>
        <v>46230</v>
      </c>
    </row>
    <row r="96" spans="1:17" ht="17.25" hidden="1" customHeight="1">
      <c r="A96" s="329" t="s">
        <v>1696</v>
      </c>
      <c r="B96" s="14">
        <f>VLOOKUP($A96,PLAN!$B:$AC,3,0)</f>
        <v>11134168</v>
      </c>
      <c r="C96" s="14" t="str">
        <f>VLOOKUP($A96,PLAN!$B:$AC,4,0)</f>
        <v>1811979-G-A</v>
      </c>
      <c r="D96" s="14" t="str">
        <f>VLOOKUP($A96,PLAN!$B:$AC,5,0)</f>
        <v>HW70JR400P10000 CN</v>
      </c>
      <c r="E96" s="14" t="str">
        <f>VLOOKUP($A96,PLAN!$B:$AC,2,0)</f>
        <v>1001923419</v>
      </c>
      <c r="F96" s="15">
        <f>VLOOKUP($A96,PLAN!$B:$AC,7,0)</f>
        <v>46248</v>
      </c>
      <c r="G96" s="16" t="str">
        <f>VLOOKUP($A96,PLAN!$B:$AC,8,0)</f>
        <v>0103566732</v>
      </c>
      <c r="H96" s="16" t="str">
        <f>VLOOKUP($A96,PLAN!$B:$AC,9,0)</f>
        <v>260721C08A</v>
      </c>
      <c r="I96" s="16">
        <f>VLOOKUP($A96,PLAN!$B:$AC,10,0)</f>
        <v>26</v>
      </c>
      <c r="J96" s="17">
        <f>VLOOKUP($A96,PLAN!$B:$AC,21,0)</f>
        <v>46231</v>
      </c>
      <c r="K96" s="145" t="str">
        <f>VLOOKUP($A96,PLAN!$B:$AC,22,0)</f>
        <v>M9</v>
      </c>
      <c r="L96" s="1"/>
      <c r="M96" s="1"/>
      <c r="N96" s="1"/>
      <c r="O96" s="221" t="s">
        <v>79</v>
      </c>
      <c r="P96" s="220"/>
      <c r="Q96" s="18">
        <f>VLOOKUP(A96,PLAN!B:R,17,0)</f>
        <v>46230</v>
      </c>
    </row>
    <row r="97" spans="1:17" ht="17.25" hidden="1" customHeight="1">
      <c r="A97" s="329" t="s">
        <v>1697</v>
      </c>
      <c r="B97" s="14">
        <f>VLOOKUP($A97,PLAN!$B:$AC,3,0)</f>
        <v>11134137</v>
      </c>
      <c r="C97" s="14" t="str">
        <f>VLOOKUP($A97,PLAN!$B:$AC,4,0)</f>
        <v>1811875-J-A</v>
      </c>
      <c r="D97" s="14" t="str">
        <f>VLOOKUP($A97,PLAN!$B:$AC,5,0)</f>
        <v>HW60AL070P10002 CN</v>
      </c>
      <c r="E97" s="14" t="str">
        <f>VLOOKUP($A97,PLAN!$B:$AC,2,0)</f>
        <v>1001923420</v>
      </c>
      <c r="F97" s="15">
        <f>VLOOKUP($A97,PLAN!$B:$AC,7,0)</f>
        <v>46248</v>
      </c>
      <c r="G97" s="16" t="str">
        <f>VLOOKUP($A97,PLAN!$B:$AC,8,0)</f>
        <v>0103566733</v>
      </c>
      <c r="H97" s="16" t="str">
        <f>VLOOKUP($A97,PLAN!$B:$AC,9,0)</f>
        <v>260721C09A</v>
      </c>
      <c r="I97" s="16">
        <f>VLOOKUP($A97,PLAN!$B:$AC,10,0)</f>
        <v>132</v>
      </c>
      <c r="J97" s="17">
        <f>VLOOKUP($A97,PLAN!$B:$AC,21,0)</f>
        <v>46231</v>
      </c>
      <c r="K97" s="145" t="str">
        <f>VLOOKUP($A97,PLAN!$B:$AC,22,0)</f>
        <v>M9</v>
      </c>
      <c r="L97" s="1"/>
      <c r="M97" s="1"/>
      <c r="N97" s="1"/>
      <c r="O97" s="221" t="s">
        <v>79</v>
      </c>
      <c r="P97" s="220"/>
      <c r="Q97" s="18">
        <f>VLOOKUP(A97,PLAN!B:R,17,0)</f>
        <v>46230</v>
      </c>
    </row>
    <row r="98" spans="1:17" ht="17.25" hidden="1" customHeight="1">
      <c r="A98" s="329" t="s">
        <v>1698</v>
      </c>
      <c r="B98" s="14">
        <f>VLOOKUP($A98,PLAN!$B:$AC,3,0)</f>
        <v>11134137</v>
      </c>
      <c r="C98" s="14" t="str">
        <f>VLOOKUP($A98,PLAN!$B:$AC,4,0)</f>
        <v>1811875-J-A</v>
      </c>
      <c r="D98" s="14" t="str">
        <f>VLOOKUP($A98,PLAN!$B:$AC,5,0)</f>
        <v>HW60AL070P10002 CN</v>
      </c>
      <c r="E98" s="14" t="str">
        <f>VLOOKUP($A98,PLAN!$B:$AC,2,0)</f>
        <v>1001923421</v>
      </c>
      <c r="F98" s="15">
        <f>VLOOKUP($A98,PLAN!$B:$AC,7,0)</f>
        <v>46248</v>
      </c>
      <c r="G98" s="16" t="str">
        <f>VLOOKUP($A98,PLAN!$B:$AC,8,0)</f>
        <v>0103566734</v>
      </c>
      <c r="H98" s="16" t="str">
        <f>VLOOKUP($A98,PLAN!$B:$AC,9,0)</f>
        <v>260721C10A</v>
      </c>
      <c r="I98" s="16">
        <f>VLOOKUP($A98,PLAN!$B:$AC,10,0)</f>
        <v>765</v>
      </c>
      <c r="J98" s="17">
        <f>VLOOKUP($A98,PLAN!$B:$AC,21,0)</f>
        <v>46231</v>
      </c>
      <c r="K98" s="145" t="str">
        <f>VLOOKUP($A98,PLAN!$B:$AC,22,0)</f>
        <v>M9</v>
      </c>
      <c r="L98" s="1"/>
      <c r="M98" s="1"/>
      <c r="N98" s="1"/>
      <c r="O98" s="221" t="s">
        <v>79</v>
      </c>
      <c r="P98" s="220"/>
      <c r="Q98" s="18">
        <f>VLOOKUP(A98,PLAN!B:R,17,0)</f>
        <v>46230</v>
      </c>
    </row>
    <row r="99" spans="1:17" ht="17.25" hidden="1" customHeight="1">
      <c r="A99" s="329" t="s">
        <v>1699</v>
      </c>
      <c r="B99" s="14">
        <f>VLOOKUP($A99,PLAN!$B:$AC,3,0)</f>
        <v>11134125</v>
      </c>
      <c r="C99" s="14" t="str">
        <f>VLOOKUP($A99,PLAN!$B:$AC,4,0)</f>
        <v>1811851-J-A</v>
      </c>
      <c r="D99" s="14" t="str">
        <f>VLOOKUP($A99,PLAN!$B:$AC,5,0)</f>
        <v>HW60JR400P10000 CN</v>
      </c>
      <c r="E99" s="14" t="str">
        <f>VLOOKUP($A99,PLAN!$B:$AC,2,0)</f>
        <v>1001923423</v>
      </c>
      <c r="F99" s="15">
        <f>VLOOKUP($A99,PLAN!$B:$AC,7,0)</f>
        <v>46248</v>
      </c>
      <c r="G99" s="16" t="str">
        <f>VLOOKUP($A99,PLAN!$B:$AC,8,0)</f>
        <v>0103566736</v>
      </c>
      <c r="H99" s="16" t="str">
        <f>VLOOKUP($A99,PLAN!$B:$AC,9,0)</f>
        <v>260721C11A</v>
      </c>
      <c r="I99" s="16">
        <f>VLOOKUP($A99,PLAN!$B:$AC,10,0)</f>
        <v>183</v>
      </c>
      <c r="J99" s="17">
        <f>VLOOKUP($A99,PLAN!$B:$AC,21,0)</f>
        <v>46231</v>
      </c>
      <c r="K99" s="145" t="str">
        <f>VLOOKUP($A99,PLAN!$B:$AC,22,0)</f>
        <v>M9</v>
      </c>
      <c r="L99" s="1"/>
      <c r="M99" s="1"/>
      <c r="N99" s="1"/>
      <c r="O99" s="221" t="s">
        <v>79</v>
      </c>
      <c r="P99" s="220"/>
      <c r="Q99" s="18">
        <f>VLOOKUP(A99,PLAN!B:R,17,0)</f>
        <v>46230</v>
      </c>
    </row>
    <row r="100" spans="1:17" ht="17.25" hidden="1" customHeight="1">
      <c r="A100" s="329" t="s">
        <v>1700</v>
      </c>
      <c r="B100" s="14">
        <f>VLOOKUP($A100,PLAN!$B:$AC,3,0)</f>
        <v>11134125</v>
      </c>
      <c r="C100" s="14" t="str">
        <f>VLOOKUP($A100,PLAN!$B:$AC,4,0)</f>
        <v>1811851-J-A</v>
      </c>
      <c r="D100" s="14" t="str">
        <f>VLOOKUP($A100,PLAN!$B:$AC,5,0)</f>
        <v>HW60JR400P10000 CN</v>
      </c>
      <c r="E100" s="14" t="str">
        <f>VLOOKUP($A100,PLAN!$B:$AC,2,0)</f>
        <v>1001923424</v>
      </c>
      <c r="F100" s="15">
        <f>VLOOKUP($A100,PLAN!$B:$AC,7,0)</f>
        <v>46249</v>
      </c>
      <c r="G100" s="16" t="str">
        <f>VLOOKUP($A100,PLAN!$B:$AC,8,0)</f>
        <v>0103566737</v>
      </c>
      <c r="H100" s="16" t="str">
        <f>VLOOKUP($A100,PLAN!$B:$AC,9,0)</f>
        <v>260721C12A</v>
      </c>
      <c r="I100" s="16">
        <f>VLOOKUP($A100,PLAN!$B:$AC,10,0)</f>
        <v>905</v>
      </c>
      <c r="J100" s="17">
        <f>VLOOKUP($A100,PLAN!$B:$AC,21,0)</f>
        <v>46232</v>
      </c>
      <c r="K100" s="145" t="str">
        <f>VLOOKUP($A100,PLAN!$B:$AC,22,0)</f>
        <v>M9</v>
      </c>
      <c r="L100" s="1"/>
      <c r="M100" s="1"/>
      <c r="N100" s="1"/>
      <c r="O100" s="221" t="s">
        <v>79</v>
      </c>
      <c r="P100" s="220"/>
      <c r="Q100" s="18">
        <f>VLOOKUP(A100,PLAN!B:R,17,0)</f>
        <v>46231</v>
      </c>
    </row>
    <row r="101" spans="1:17" ht="17.25" hidden="1" customHeight="1">
      <c r="A101" s="329" t="s">
        <v>1701</v>
      </c>
      <c r="B101" s="14">
        <f>VLOOKUP($A101,PLAN!$B:$AC,3,0)</f>
        <v>11134125</v>
      </c>
      <c r="C101" s="14" t="str">
        <f>VLOOKUP($A101,PLAN!$B:$AC,4,0)</f>
        <v>1811851-J-A</v>
      </c>
      <c r="D101" s="14" t="str">
        <f>VLOOKUP($A101,PLAN!$B:$AC,5,0)</f>
        <v>HW60JR400P10000 CN</v>
      </c>
      <c r="E101" s="14" t="str">
        <f>VLOOKUP($A101,PLAN!$B:$AC,2,0)</f>
        <v>1001923425</v>
      </c>
      <c r="F101" s="15">
        <f>VLOOKUP($A101,PLAN!$B:$AC,7,0)</f>
        <v>46249</v>
      </c>
      <c r="G101" s="16" t="str">
        <f>VLOOKUP($A101,PLAN!$B:$AC,8,0)</f>
        <v>0103566738</v>
      </c>
      <c r="H101" s="16" t="str">
        <f>VLOOKUP($A101,PLAN!$B:$AC,9,0)</f>
        <v>260721C13A</v>
      </c>
      <c r="I101" s="16">
        <f>VLOOKUP($A101,PLAN!$B:$AC,10,0)</f>
        <v>21</v>
      </c>
      <c r="J101" s="17">
        <f>VLOOKUP($A101,PLAN!$B:$AC,21,0)</f>
        <v>46232</v>
      </c>
      <c r="K101" s="145" t="str">
        <f>VLOOKUP($A101,PLAN!$B:$AC,22,0)</f>
        <v>M9</v>
      </c>
      <c r="L101" s="1"/>
      <c r="M101" s="1"/>
      <c r="N101" s="1"/>
      <c r="O101" s="221" t="s">
        <v>79</v>
      </c>
      <c r="P101" s="220"/>
      <c r="Q101" s="18">
        <f>VLOOKUP(A101,PLAN!B:R,17,0)</f>
        <v>46231</v>
      </c>
    </row>
    <row r="102" spans="1:17" ht="17.25" hidden="1" customHeight="1">
      <c r="A102" s="329" t="s">
        <v>1702</v>
      </c>
      <c r="B102" s="14">
        <f>VLOOKUP($A102,PLAN!$B:$AC,3,0)</f>
        <v>11134117</v>
      </c>
      <c r="C102" s="14" t="str">
        <f>VLOOKUP($A102,PLAN!$B:$AC,4,0)</f>
        <v>1811827-J-A</v>
      </c>
      <c r="D102" s="14" t="str">
        <f>VLOOKUP($A102,PLAN!$B:$AC,5,0)</f>
        <v>HW60JL350P10000 CN</v>
      </c>
      <c r="E102" s="14" t="str">
        <f>VLOOKUP($A102,PLAN!$B:$AC,2,0)</f>
        <v>1001923426</v>
      </c>
      <c r="F102" s="15">
        <f>VLOOKUP($A102,PLAN!$B:$AC,7,0)</f>
        <v>46249</v>
      </c>
      <c r="G102" s="16" t="str">
        <f>VLOOKUP($A102,PLAN!$B:$AC,8,0)</f>
        <v>0103566739</v>
      </c>
      <c r="H102" s="16" t="str">
        <f>VLOOKUP($A102,PLAN!$B:$AC,9,0)</f>
        <v>260721C14A</v>
      </c>
      <c r="I102" s="16">
        <f>VLOOKUP($A102,PLAN!$B:$AC,10,0)</f>
        <v>324</v>
      </c>
      <c r="J102" s="17">
        <f>VLOOKUP($A102,PLAN!$B:$AC,21,0)</f>
        <v>46232</v>
      </c>
      <c r="K102" s="145" t="str">
        <f>VLOOKUP($A102,PLAN!$B:$AC,22,0)</f>
        <v>M9</v>
      </c>
      <c r="L102" s="1"/>
      <c r="M102" s="1"/>
      <c r="N102" s="1"/>
      <c r="O102" s="221" t="s">
        <v>79</v>
      </c>
      <c r="P102" s="220"/>
      <c r="Q102" s="18">
        <f>VLOOKUP(A102,PLAN!B:R,17,0)</f>
        <v>46231</v>
      </c>
    </row>
    <row r="103" spans="1:17" ht="17.25" hidden="1" customHeight="1">
      <c r="A103" s="329" t="s">
        <v>1818</v>
      </c>
      <c r="B103" s="14">
        <f>VLOOKUP($A103,PLAN!$B:$AC,3,0)</f>
        <v>11130573</v>
      </c>
      <c r="C103" s="14" t="str">
        <f>VLOOKUP($A103,PLAN!$B:$AC,4,0)</f>
        <v>2211045-C-A</v>
      </c>
      <c r="D103" s="14" t="str">
        <f>VLOOKUP($A103,PLAN!$B:$AC,5,0)</f>
        <v>HW60HS010P10000 NOCE</v>
      </c>
      <c r="E103" s="14" t="str">
        <f>VLOOKUP($A103,PLAN!$B:$AC,2,0)</f>
        <v>1001925380</v>
      </c>
      <c r="F103" s="15">
        <f>VLOOKUP($A103,PLAN!$B:$AC,7,0)</f>
        <v>46241</v>
      </c>
      <c r="G103" s="16" t="str">
        <f>VLOOKUP($A103,PLAN!$B:$AC,8,0)</f>
        <v>0103570637</v>
      </c>
      <c r="H103" s="16" t="str">
        <f>VLOOKUP($A103,PLAN!$B:$AC,9,0)</f>
        <v>260723C01A</v>
      </c>
      <c r="I103" s="16">
        <f>VLOOKUP($A103,PLAN!$B:$AC,10,0)</f>
        <v>5</v>
      </c>
      <c r="J103" s="17">
        <f>VLOOKUP($A103,PLAN!$B:$AC,21,0)</f>
        <v>46233</v>
      </c>
      <c r="K103" s="145" t="str">
        <f>VLOOKUP($A103,PLAN!$B:$AC,22,0)</f>
        <v>M9</v>
      </c>
      <c r="L103" s="1"/>
      <c r="M103" s="1"/>
      <c r="N103" s="1"/>
      <c r="O103" s="221" t="s">
        <v>79</v>
      </c>
      <c r="P103" s="220"/>
      <c r="Q103" s="18">
        <f>VLOOKUP(A103,PLAN!B:R,17,0)</f>
        <v>46232</v>
      </c>
    </row>
    <row r="104" spans="1:17" ht="17.25" hidden="1" customHeight="1">
      <c r="A104" s="329" t="s">
        <v>1821</v>
      </c>
      <c r="B104" s="14">
        <f>VLOOKUP($A104,PLAN!$B:$AC,3,0)</f>
        <v>11130583</v>
      </c>
      <c r="C104" s="14" t="str">
        <f>VLOOKUP($A104,PLAN!$B:$AC,4,0)</f>
        <v>2211055-C-A</v>
      </c>
      <c r="D104" s="14" t="str">
        <f>VLOOKUP($A104,PLAN!$B:$AC,5,0)</f>
        <v>HW60MP010P10000 NOCE</v>
      </c>
      <c r="E104" s="14" t="str">
        <f>VLOOKUP($A104,PLAN!$B:$AC,2,0)</f>
        <v>1001925381</v>
      </c>
      <c r="F104" s="15">
        <f>VLOOKUP($A104,PLAN!$B:$AC,7,0)</f>
        <v>46241</v>
      </c>
      <c r="G104" s="16" t="str">
        <f>VLOOKUP($A104,PLAN!$B:$AC,8,0)</f>
        <v>0103570638</v>
      </c>
      <c r="H104" s="16" t="str">
        <f>VLOOKUP($A104,PLAN!$B:$AC,9,0)</f>
        <v>260723C02A</v>
      </c>
      <c r="I104" s="16">
        <f>VLOOKUP($A104,PLAN!$B:$AC,10,0)</f>
        <v>20</v>
      </c>
      <c r="J104" s="17">
        <f>VLOOKUP($A104,PLAN!$B:$AC,21,0)</f>
        <v>46233</v>
      </c>
      <c r="K104" s="145" t="str">
        <f>VLOOKUP($A104,PLAN!$B:$AC,22,0)</f>
        <v>M9</v>
      </c>
      <c r="L104" s="1"/>
      <c r="M104" s="1"/>
      <c r="N104" s="1"/>
      <c r="O104" s="221" t="s">
        <v>79</v>
      </c>
      <c r="P104" s="220"/>
      <c r="Q104" s="18">
        <f>VLOOKUP(A104,PLAN!B:R,17,0)</f>
        <v>46232</v>
      </c>
    </row>
    <row r="105" spans="1:17" ht="17.25" hidden="1" customHeight="1">
      <c r="A105" s="329" t="s">
        <v>1819</v>
      </c>
      <c r="B105" s="14">
        <f>VLOOKUP($A105,PLAN!$B:$AC,3,0)</f>
        <v>11130535</v>
      </c>
      <c r="C105" s="14" t="str">
        <f>VLOOKUP($A105,PLAN!$B:$AC,4,0)</f>
        <v>2211007-C-A</v>
      </c>
      <c r="D105" s="14" t="str">
        <f>VLOOKUP($A105,PLAN!$B:$AC,5,0)</f>
        <v>HW60AR100P10000 NOCE</v>
      </c>
      <c r="E105" s="14" t="str">
        <f>VLOOKUP($A105,PLAN!$B:$AC,2,0)</f>
        <v>1001925382</v>
      </c>
      <c r="F105" s="15">
        <f>VLOOKUP($A105,PLAN!$B:$AC,7,0)</f>
        <v>46241</v>
      </c>
      <c r="G105" s="16" t="str">
        <f>VLOOKUP($A105,PLAN!$B:$AC,8,0)</f>
        <v>0103570640</v>
      </c>
      <c r="H105" s="16" t="str">
        <f>VLOOKUP($A105,PLAN!$B:$AC,9,0)</f>
        <v>260723C03A</v>
      </c>
      <c r="I105" s="16">
        <f>VLOOKUP($A105,PLAN!$B:$AC,10,0)</f>
        <v>100</v>
      </c>
      <c r="J105" s="17">
        <f>VLOOKUP($A105,PLAN!$B:$AC,21,0)</f>
        <v>46233</v>
      </c>
      <c r="K105" s="145" t="str">
        <f>VLOOKUP($A105,PLAN!$B:$AC,22,0)</f>
        <v>M9</v>
      </c>
      <c r="L105" s="1"/>
      <c r="M105" s="1"/>
      <c r="N105" s="1"/>
      <c r="O105" s="221" t="s">
        <v>79</v>
      </c>
      <c r="P105" s="220"/>
      <c r="Q105" s="18">
        <f>VLOOKUP(A105,PLAN!B:R,17,0)</f>
        <v>46232</v>
      </c>
    </row>
    <row r="106" spans="1:17" ht="17.25" hidden="1" customHeight="1">
      <c r="A106" s="329" t="s">
        <v>1824</v>
      </c>
      <c r="B106" s="14">
        <f>VLOOKUP($A106,PLAN!$B:$AC,3,0)</f>
        <v>11134117</v>
      </c>
      <c r="C106" s="14" t="str">
        <f>VLOOKUP($A106,PLAN!$B:$AC,4,0)</f>
        <v>1811827-J-A</v>
      </c>
      <c r="D106" s="14" t="str">
        <f>VLOOKUP($A106,PLAN!$B:$AC,5,0)</f>
        <v>HW60JL350P10000 CN</v>
      </c>
      <c r="E106" s="14" t="str">
        <f>VLOOKUP($A106,PLAN!$B:$AC,2,0)</f>
        <v>1001925383</v>
      </c>
      <c r="F106" s="15">
        <f>VLOOKUP($A106,PLAN!$B:$AC,7,0)</f>
        <v>46251</v>
      </c>
      <c r="G106" s="16" t="str">
        <f>VLOOKUP($A106,PLAN!$B:$AC,8,0)</f>
        <v>0103570641</v>
      </c>
      <c r="H106" s="16" t="str">
        <f>VLOOKUP($A106,PLAN!$B:$AC,9,0)</f>
        <v>260723C04A</v>
      </c>
      <c r="I106" s="16">
        <f>VLOOKUP($A106,PLAN!$B:$AC,10,0)</f>
        <v>449</v>
      </c>
      <c r="J106" s="17">
        <f>VLOOKUP($A106,PLAN!$B:$AC,21,0)</f>
        <v>46233</v>
      </c>
      <c r="K106" s="145" t="str">
        <f>VLOOKUP($A106,PLAN!$B:$AC,22,0)</f>
        <v>M9</v>
      </c>
      <c r="L106" s="1"/>
      <c r="M106" s="1"/>
      <c r="N106" s="1"/>
      <c r="O106" s="221" t="s">
        <v>79</v>
      </c>
      <c r="P106" s="220"/>
      <c r="Q106" s="18">
        <f>VLOOKUP(A106,PLAN!B:R,17,0)</f>
        <v>46232</v>
      </c>
    </row>
    <row r="107" spans="1:17" ht="17.25" hidden="1" customHeight="1">
      <c r="A107" s="329" t="s">
        <v>1825</v>
      </c>
      <c r="B107" s="14">
        <f>VLOOKUP($A107,PLAN!$B:$AC,3,0)</f>
        <v>11134123</v>
      </c>
      <c r="C107" s="14" t="str">
        <f>VLOOKUP($A107,PLAN!$B:$AC,4,0)</f>
        <v>1811849-J-A</v>
      </c>
      <c r="D107" s="14" t="str">
        <f>VLOOKUP($A107,PLAN!$B:$AC,5,0)</f>
        <v>HW60JR350P10000 CN</v>
      </c>
      <c r="E107" s="14" t="str">
        <f>VLOOKUP($A107,PLAN!$B:$AC,2,0)</f>
        <v>1001925384</v>
      </c>
      <c r="F107" s="15">
        <f>VLOOKUP($A107,PLAN!$B:$AC,7,0)</f>
        <v>46251</v>
      </c>
      <c r="G107" s="16" t="str">
        <f>VLOOKUP($A107,PLAN!$B:$AC,8,0)</f>
        <v>0103570642</v>
      </c>
      <c r="H107" s="16" t="str">
        <f>VLOOKUP($A107,PLAN!$B:$AC,9,0)</f>
        <v>260723C05A</v>
      </c>
      <c r="I107" s="16">
        <f>VLOOKUP($A107,PLAN!$B:$AC,10,0)</f>
        <v>706</v>
      </c>
      <c r="J107" s="17">
        <f>VLOOKUP($A107,PLAN!$B:$AC,21,0)</f>
        <v>46233</v>
      </c>
      <c r="K107" s="145" t="str">
        <f>VLOOKUP($A107,PLAN!$B:$AC,22,0)</f>
        <v>M9</v>
      </c>
      <c r="L107" s="1"/>
      <c r="M107" s="1"/>
      <c r="N107" s="1"/>
      <c r="O107" s="221" t="s">
        <v>79</v>
      </c>
      <c r="P107" s="220"/>
      <c r="Q107" s="18">
        <f>VLOOKUP(A107,PLAN!B:R,17,0)</f>
        <v>46232</v>
      </c>
    </row>
    <row r="108" spans="1:17" ht="17.25" hidden="1" customHeight="1">
      <c r="A108" s="329" t="s">
        <v>1826</v>
      </c>
      <c r="B108" s="14">
        <f>VLOOKUP($A108,PLAN!$B:$AC,3,0)</f>
        <v>11134123</v>
      </c>
      <c r="C108" s="14" t="str">
        <f>VLOOKUP($A108,PLAN!$B:$AC,4,0)</f>
        <v>1811849-J-A</v>
      </c>
      <c r="D108" s="14" t="str">
        <f>VLOOKUP($A108,PLAN!$B:$AC,5,0)</f>
        <v>HW60JR350P10000 CN</v>
      </c>
      <c r="E108" s="14" t="str">
        <f>VLOOKUP($A108,PLAN!$B:$AC,2,0)</f>
        <v>1001925385</v>
      </c>
      <c r="F108" s="15">
        <f>VLOOKUP($A108,PLAN!$B:$AC,7,0)</f>
        <v>46252</v>
      </c>
      <c r="G108" s="16" t="str">
        <f>VLOOKUP($A108,PLAN!$B:$AC,8,0)</f>
        <v>0103570643</v>
      </c>
      <c r="H108" s="16" t="str">
        <f>VLOOKUP($A108,PLAN!$B:$AC,9,0)</f>
        <v>260723C06A</v>
      </c>
      <c r="I108" s="16">
        <f>VLOOKUP($A108,PLAN!$B:$AC,10,0)</f>
        <v>58</v>
      </c>
      <c r="J108" s="17">
        <f>VLOOKUP($A108,PLAN!$B:$AC,21,0)</f>
        <v>46234</v>
      </c>
      <c r="K108" s="145" t="str">
        <f>VLOOKUP($A108,PLAN!$B:$AC,22,0)</f>
        <v>M9</v>
      </c>
      <c r="L108" s="1"/>
      <c r="M108" s="1"/>
      <c r="N108" s="1"/>
      <c r="O108" s="221" t="s">
        <v>79</v>
      </c>
      <c r="P108" s="220"/>
      <c r="Q108" s="18">
        <f>VLOOKUP(A108,PLAN!B:R,17,0)</f>
        <v>46233</v>
      </c>
    </row>
    <row r="109" spans="1:17" ht="17.25" hidden="1" customHeight="1">
      <c r="A109" s="329" t="s">
        <v>1827</v>
      </c>
      <c r="B109" s="14">
        <f>VLOOKUP($A109,PLAN!$B:$AC,3,0)</f>
        <v>11134139</v>
      </c>
      <c r="C109" s="14" t="str">
        <f>VLOOKUP($A109,PLAN!$B:$AC,4,0)</f>
        <v>1811877-J-A</v>
      </c>
      <c r="D109" s="14" t="str">
        <f>VLOOKUP($A109,PLAN!$B:$AC,5,0)</f>
        <v>HW60AL100P10002 CN</v>
      </c>
      <c r="E109" s="14" t="str">
        <f>VLOOKUP($A109,PLAN!$B:$AC,2,0)</f>
        <v>1001925386</v>
      </c>
      <c r="F109" s="15">
        <f>VLOOKUP($A109,PLAN!$B:$AC,7,0)</f>
        <v>46252</v>
      </c>
      <c r="G109" s="16" t="str">
        <f>VLOOKUP($A109,PLAN!$B:$AC,8,0)</f>
        <v>0103570644</v>
      </c>
      <c r="H109" s="16" t="str">
        <f>VLOOKUP($A109,PLAN!$B:$AC,9,0)</f>
        <v>260723C07A</v>
      </c>
      <c r="I109" s="16">
        <f>VLOOKUP($A109,PLAN!$B:$AC,10,0)</f>
        <v>566</v>
      </c>
      <c r="J109" s="17">
        <f>VLOOKUP($A109,PLAN!$B:$AC,21,0)</f>
        <v>46234</v>
      </c>
      <c r="K109" s="145" t="str">
        <f>VLOOKUP($A109,PLAN!$B:$AC,22,0)</f>
        <v>M9</v>
      </c>
      <c r="L109" s="1"/>
      <c r="M109" s="1"/>
      <c r="N109" s="1"/>
      <c r="O109" s="221" t="s">
        <v>79</v>
      </c>
      <c r="P109" s="220"/>
      <c r="Q109" s="18">
        <f>VLOOKUP(A109,PLAN!B:R,17,0)</f>
        <v>46233</v>
      </c>
    </row>
    <row r="110" spans="1:17" ht="17.25" hidden="1" customHeight="1">
      <c r="A110" s="329" t="s">
        <v>1817</v>
      </c>
      <c r="B110" s="14">
        <f>VLOOKUP($A110,PLAN!$B:$AC,3,0)</f>
        <v>11116931</v>
      </c>
      <c r="C110" s="14" t="str">
        <f>VLOOKUP($A110,PLAN!$B:$AC,4,0)</f>
        <v>1521545-M-A</v>
      </c>
      <c r="D110" s="14" t="str">
        <f>VLOOKUP($A110,PLAN!$B:$AC,5,0)</f>
        <v>MS3552H21-ANG100M</v>
      </c>
      <c r="E110" s="14" t="str">
        <f>VLOOKUP($A110,PLAN!$B:$AC,2,0)</f>
        <v>1001925387</v>
      </c>
      <c r="F110" s="15">
        <f>VLOOKUP($A110,PLAN!$B:$AC,7,0)</f>
        <v>46242</v>
      </c>
      <c r="G110" s="16" t="str">
        <f>VLOOKUP($A110,PLAN!$B:$AC,8,0)</f>
        <v>0103570645</v>
      </c>
      <c r="H110" s="16" t="str">
        <f>VLOOKUP($A110,PLAN!$B:$AC,9,0)</f>
        <v>260723H01A</v>
      </c>
      <c r="I110" s="16">
        <f>VLOOKUP($A110,PLAN!$B:$AC,10,0)</f>
        <v>74</v>
      </c>
      <c r="J110" s="17">
        <f>VLOOKUP($A110,PLAN!$B:$AC,21,0)</f>
        <v>46234</v>
      </c>
      <c r="K110" s="145" t="str">
        <f>VLOOKUP($A110,PLAN!$B:$AC,22,0)</f>
        <v>M9</v>
      </c>
      <c r="L110" s="1"/>
      <c r="M110" s="1"/>
      <c r="N110" s="1"/>
      <c r="O110" s="221" t="s">
        <v>79</v>
      </c>
      <c r="P110" s="220"/>
      <c r="Q110" s="18">
        <f>VLOOKUP(A110,PLAN!B:R,17,0)</f>
        <v>46233</v>
      </c>
    </row>
    <row r="111" spans="1:17" ht="17.25" hidden="1" customHeight="1">
      <c r="A111" s="329" t="s">
        <v>1822</v>
      </c>
      <c r="B111" s="14">
        <f>VLOOKUP($A111,PLAN!$B:$AC,3,0)</f>
        <v>11116929</v>
      </c>
      <c r="C111" s="14" t="str">
        <f>VLOOKUP($A111,PLAN!$B:$AC,4,0)</f>
        <v>1521543-K-A</v>
      </c>
      <c r="D111" s="14" t="str">
        <f>VLOOKUP($A111,PLAN!$B:$AC,5,0)</f>
        <v>MS3552H21-ANG70G</v>
      </c>
      <c r="E111" s="14" t="str">
        <f>VLOOKUP($A111,PLAN!$B:$AC,2,0)</f>
        <v>1001925388</v>
      </c>
      <c r="F111" s="15">
        <f>VLOOKUP($A111,PLAN!$B:$AC,7,0)</f>
        <v>46242</v>
      </c>
      <c r="G111" s="16" t="str">
        <f>VLOOKUP($A111,PLAN!$B:$AC,8,0)</f>
        <v>0103570646</v>
      </c>
      <c r="H111" s="16" t="str">
        <f>VLOOKUP($A111,PLAN!$B:$AC,9,0)</f>
        <v>260723H02A</v>
      </c>
      <c r="I111" s="16">
        <f>VLOOKUP($A111,PLAN!$B:$AC,10,0)</f>
        <v>31</v>
      </c>
      <c r="J111" s="17">
        <f>VLOOKUP($A111,PLAN!$B:$AC,21,0)</f>
        <v>46234</v>
      </c>
      <c r="K111" s="145" t="str">
        <f>VLOOKUP($A111,PLAN!$B:$AC,22,0)</f>
        <v>M9</v>
      </c>
      <c r="L111" s="1"/>
      <c r="M111" s="1"/>
      <c r="N111" s="1"/>
      <c r="O111" s="221" t="s">
        <v>79</v>
      </c>
      <c r="P111" s="220"/>
      <c r="Q111" s="18">
        <f>VLOOKUP(A111,PLAN!B:R,17,0)</f>
        <v>46233</v>
      </c>
    </row>
    <row r="112" spans="1:17" ht="17.25" hidden="1" customHeight="1">
      <c r="A112" s="329" t="s">
        <v>1823</v>
      </c>
      <c r="B112" s="14">
        <f>VLOOKUP($A112,PLAN!$B:$AC,3,0)</f>
        <v>11116932</v>
      </c>
      <c r="C112" s="14" t="str">
        <f>VLOOKUP($A112,PLAN!$B:$AC,4,0)</f>
        <v>1521546-M-A</v>
      </c>
      <c r="D112" s="14" t="str">
        <f>VLOOKUP($A112,PLAN!$B:$AC,5,0)</f>
        <v>MS3552H21-PIG100N</v>
      </c>
      <c r="E112" s="14" t="str">
        <f>VLOOKUP($A112,PLAN!$B:$AC,2,0)</f>
        <v>1001925389</v>
      </c>
      <c r="F112" s="15">
        <f>VLOOKUP($A112,PLAN!$B:$AC,7,0)</f>
        <v>46242</v>
      </c>
      <c r="G112" s="16" t="str">
        <f>VLOOKUP($A112,PLAN!$B:$AC,8,0)</f>
        <v>0103570648</v>
      </c>
      <c r="H112" s="16" t="str">
        <f>VLOOKUP($A112,PLAN!$B:$AC,9,0)</f>
        <v>260723H03A</v>
      </c>
      <c r="I112" s="16">
        <f>VLOOKUP($A112,PLAN!$B:$AC,10,0)</f>
        <v>201</v>
      </c>
      <c r="J112" s="17">
        <f>VLOOKUP($A112,PLAN!$B:$AC,21,0)</f>
        <v>46234</v>
      </c>
      <c r="K112" s="145" t="str">
        <f>VLOOKUP($A112,PLAN!$B:$AC,22,0)</f>
        <v>M9</v>
      </c>
      <c r="L112" s="1"/>
      <c r="M112" s="1"/>
      <c r="N112" s="1"/>
      <c r="O112" s="221" t="s">
        <v>79</v>
      </c>
      <c r="P112" s="220"/>
      <c r="Q112" s="18">
        <f>VLOOKUP(A112,PLAN!B:R,17,0)</f>
        <v>46233</v>
      </c>
    </row>
    <row r="113" spans="1:17" ht="17.25" hidden="1" customHeight="1">
      <c r="A113" s="329" t="s">
        <v>1873</v>
      </c>
      <c r="B113" s="14">
        <f>VLOOKUP($A113,PLAN!$B:$AC,3,0)</f>
        <v>11112487</v>
      </c>
      <c r="C113" s="14" t="str">
        <f>VLOOKUP($A113,PLAN!$B:$AC,4,0)</f>
        <v>PSC35150S-E-A</v>
      </c>
      <c r="D113" s="14" t="str">
        <f>VLOOKUP($A113,PLAN!$B:$AC,5,0)</f>
        <v>PSC35150S US</v>
      </c>
      <c r="E113" s="14" t="str">
        <f>VLOOKUP($A113,PLAN!$B:$AC,2,0)</f>
        <v>2000127842</v>
      </c>
      <c r="F113" s="15">
        <f>VLOOKUP($A113,PLAN!$B:$AC,7,0)</f>
        <v>46240</v>
      </c>
      <c r="G113" s="16" t="str">
        <f>VLOOKUP($A113,PLAN!$B:$AC,8,0)</f>
        <v>0103569851</v>
      </c>
      <c r="H113" s="16" t="str">
        <f>VLOOKUP($A113,PLAN!$B:$AC,9,0)</f>
        <v>260722Z01A</v>
      </c>
      <c r="I113" s="16">
        <f>VLOOKUP($A113,PLAN!$B:$AC,10,0)</f>
        <v>65</v>
      </c>
      <c r="J113" s="17">
        <f>VLOOKUP($A113,PLAN!$B:$AC,21,0)</f>
        <v>46233</v>
      </c>
      <c r="K113" s="145" t="str">
        <f>VLOOKUP($A113,PLAN!$B:$AC,22,0)</f>
        <v>M8</v>
      </c>
      <c r="L113" s="1"/>
      <c r="M113" s="1"/>
      <c r="N113" s="1"/>
      <c r="O113" s="221" t="s">
        <v>79</v>
      </c>
      <c r="P113" s="220"/>
      <c r="Q113" s="18" t="s">
        <v>1988</v>
      </c>
    </row>
    <row r="114" spans="1:17" ht="19.8" hidden="1" customHeight="1">
      <c r="A114" s="329" t="s">
        <v>1955</v>
      </c>
      <c r="B114" s="14">
        <f>VLOOKUP($A114,PLAN!$B:$AC,3,0)</f>
        <v>11134401</v>
      </c>
      <c r="C114" s="14" t="str">
        <f>VLOOKUP($A114,PLAN!$B:$AC,4,0)</f>
        <v>1941102-C-A</v>
      </c>
      <c r="D114" s="14" t="str">
        <f>VLOOKUP($A114,PLAN!$B:$AC,5,0)</f>
        <v>CRV135-19P US2</v>
      </c>
      <c r="E114" s="14" t="str">
        <f>VLOOKUP($A114,PLAN!$B:$AC,2,0)</f>
        <v>1001928729</v>
      </c>
      <c r="F114" s="15">
        <f>VLOOKUP($A114,PLAN!$B:$AC,7,0)</f>
        <v>46242</v>
      </c>
      <c r="G114" s="16" t="str">
        <f>VLOOKUP($A114,PLAN!$B:$AC,8,0)</f>
        <v>0103577664</v>
      </c>
      <c r="H114" s="16" t="str">
        <f>VLOOKUP($A114,PLAN!$B:$AC,9,0)</f>
        <v>260727K01A</v>
      </c>
      <c r="I114" s="16">
        <f>VLOOKUP($A114,PLAN!$B:$AC,10,0)</f>
        <v>87</v>
      </c>
      <c r="J114" s="17">
        <f>VLOOKUP($A114,PLAN!$B:$AC,21,0)</f>
        <v>46235</v>
      </c>
      <c r="K114" s="145" t="str">
        <f>VLOOKUP($A114,PLAN!$B:$AC,22,0)</f>
        <v>M8</v>
      </c>
      <c r="L114" s="1"/>
      <c r="M114" s="1"/>
      <c r="N114" s="1"/>
      <c r="O114" s="221" t="s">
        <v>79</v>
      </c>
      <c r="P114" s="220"/>
      <c r="Q114" s="18">
        <f>VLOOKUP(A114,PLAN!B:R,17,0)</f>
        <v>46234</v>
      </c>
    </row>
    <row r="115" spans="1:17" ht="19.8" hidden="1" customHeight="1">
      <c r="A115" s="329" t="s">
        <v>1956</v>
      </c>
      <c r="B115" s="14">
        <f>VLOOKUP($A115,PLAN!$B:$AC,3,0)</f>
        <v>11131257</v>
      </c>
      <c r="C115" s="14" t="str">
        <f>VLOOKUP($A115,PLAN!$B:$AC,4,0)</f>
        <v>1841034-D-A</v>
      </c>
      <c r="D115" s="14" t="str">
        <f>VLOOKUP($A115,PLAN!$B:$AC,5,0)</f>
        <v>CRV150-19M JP</v>
      </c>
      <c r="E115" s="14" t="str">
        <f>VLOOKUP($A115,PLAN!$B:$AC,2,0)</f>
        <v>1001928730</v>
      </c>
      <c r="F115" s="15">
        <f>VLOOKUP($A115,PLAN!$B:$AC,7,0)</f>
        <v>46242</v>
      </c>
      <c r="G115" s="16" t="str">
        <f>VLOOKUP($A115,PLAN!$B:$AC,8,0)</f>
        <v>0103577665</v>
      </c>
      <c r="H115" s="16" t="str">
        <f>VLOOKUP($A115,PLAN!$B:$AC,9,0)</f>
        <v>260727K02A</v>
      </c>
      <c r="I115" s="16">
        <f>VLOOKUP($A115,PLAN!$B:$AC,10,0)</f>
        <v>38</v>
      </c>
      <c r="J115" s="17">
        <f>VLOOKUP($A115,PLAN!$B:$AC,21,0)</f>
        <v>46235</v>
      </c>
      <c r="K115" s="145" t="str">
        <f>VLOOKUP($A115,PLAN!$B:$AC,22,0)</f>
        <v>M8</v>
      </c>
      <c r="L115" s="1"/>
      <c r="M115" s="1"/>
      <c r="N115" s="1"/>
      <c r="O115" s="221" t="s">
        <v>79</v>
      </c>
      <c r="P115" s="220"/>
      <c r="Q115" s="18">
        <f>VLOOKUP(A115,PLAN!B:R,17,0)</f>
        <v>46234</v>
      </c>
    </row>
    <row r="116" spans="1:17" ht="19.8" hidden="1" customHeight="1">
      <c r="A116" s="329" t="s">
        <v>1957</v>
      </c>
      <c r="B116" s="14">
        <f>VLOOKUP($A116,PLAN!$B:$AC,3,0)</f>
        <v>11131256</v>
      </c>
      <c r="C116" s="14" t="str">
        <f>VLOOKUP($A116,PLAN!$B:$AC,4,0)</f>
        <v>1841033-E-A</v>
      </c>
      <c r="D116" s="14" t="str">
        <f>VLOOKUP($A116,PLAN!$B:$AC,5,0)</f>
        <v>CRV135-19M JP</v>
      </c>
      <c r="E116" s="14" t="str">
        <f>VLOOKUP($A116,PLAN!$B:$AC,2,0)</f>
        <v>1001928731</v>
      </c>
      <c r="F116" s="15">
        <f>VLOOKUP($A116,PLAN!$B:$AC,7,0)</f>
        <v>46242</v>
      </c>
      <c r="G116" s="16" t="str">
        <f>VLOOKUP($A116,PLAN!$B:$AC,8,0)</f>
        <v>0103577666</v>
      </c>
      <c r="H116" s="16" t="str">
        <f>VLOOKUP($A116,PLAN!$B:$AC,9,0)</f>
        <v>260727K03A</v>
      </c>
      <c r="I116" s="16">
        <f>VLOOKUP($A116,PLAN!$B:$AC,10,0)</f>
        <v>477</v>
      </c>
      <c r="J116" s="17">
        <f>VLOOKUP($A116,PLAN!$B:$AC,21,0)</f>
        <v>46235</v>
      </c>
      <c r="K116" s="145" t="str">
        <f>VLOOKUP($A116,PLAN!$B:$AC,22,0)</f>
        <v>M8</v>
      </c>
      <c r="L116" s="1"/>
      <c r="M116" s="1"/>
      <c r="N116" s="1"/>
      <c r="O116" s="221" t="s">
        <v>79</v>
      </c>
      <c r="P116" s="220"/>
      <c r="Q116" s="18">
        <f>VLOOKUP(A116,PLAN!B:R,17,0)</f>
        <v>46234</v>
      </c>
    </row>
    <row r="117" spans="1:17" ht="19.8" hidden="1" customHeight="1">
      <c r="A117" s="329" t="s">
        <v>1958</v>
      </c>
      <c r="B117" s="14">
        <f>VLOOKUP($A117,PLAN!$B:$AC,3,0)</f>
        <v>11134343</v>
      </c>
      <c r="C117" s="14" t="str">
        <f>VLOOKUP($A117,PLAN!$B:$AC,4,0)</f>
        <v>1941029-F-A</v>
      </c>
      <c r="D117" s="14" t="str">
        <f>VLOOKUP($A117,PLAN!$B:$AC,5,0)</f>
        <v>VEL105-16SR JP</v>
      </c>
      <c r="E117" s="14" t="str">
        <f>VLOOKUP($A117,PLAN!$B:$AC,2,0)</f>
        <v>1001928732</v>
      </c>
      <c r="F117" s="15">
        <f>VLOOKUP($A117,PLAN!$B:$AC,7,0)</f>
        <v>46242</v>
      </c>
      <c r="G117" s="16" t="str">
        <f>VLOOKUP($A117,PLAN!$B:$AC,8,0)</f>
        <v>0103577667</v>
      </c>
      <c r="H117" s="16" t="str">
        <f>VLOOKUP($A117,PLAN!$B:$AC,9,0)</f>
        <v>260727K04A</v>
      </c>
      <c r="I117" s="16">
        <f>VLOOKUP($A117,PLAN!$B:$AC,10,0)</f>
        <v>3</v>
      </c>
      <c r="J117" s="17">
        <f>VLOOKUP($A117,PLAN!$B:$AC,21,0)</f>
        <v>46235</v>
      </c>
      <c r="K117" s="145" t="str">
        <f>VLOOKUP($A117,PLAN!$B:$AC,22,0)</f>
        <v>M8</v>
      </c>
      <c r="L117" s="1"/>
      <c r="M117" s="1"/>
      <c r="N117" s="1"/>
      <c r="O117" s="221" t="s">
        <v>79</v>
      </c>
      <c r="P117" s="220"/>
      <c r="Q117" s="18">
        <f>VLOOKUP(A117,PLAN!B:R,17,0)</f>
        <v>46234</v>
      </c>
    </row>
    <row r="118" spans="1:17" ht="19.8" hidden="1" customHeight="1">
      <c r="A118" s="329" t="s">
        <v>1959</v>
      </c>
      <c r="B118" s="14">
        <f>VLOOKUP($A118,PLAN!$B:$AC,3,0)</f>
        <v>11134346</v>
      </c>
      <c r="C118" s="14" t="str">
        <f>VLOOKUP($A118,PLAN!$B:$AC,4,0)</f>
        <v>1941032-G-A</v>
      </c>
      <c r="D118" s="14" t="str">
        <f>VLOOKUP($A118,PLAN!$B:$AC,5,0)</f>
        <v>VEL105-16ASR JP</v>
      </c>
      <c r="E118" s="14" t="str">
        <f>VLOOKUP($A118,PLAN!$B:$AC,2,0)</f>
        <v>1001928733</v>
      </c>
      <c r="F118" s="15">
        <f>VLOOKUP($A118,PLAN!$B:$AC,7,0)</f>
        <v>46242</v>
      </c>
      <c r="G118" s="16" t="str">
        <f>VLOOKUP($A118,PLAN!$B:$AC,8,0)</f>
        <v>0103577668</v>
      </c>
      <c r="H118" s="16" t="str">
        <f>VLOOKUP($A118,PLAN!$B:$AC,9,0)</f>
        <v>260727K05A</v>
      </c>
      <c r="I118" s="16">
        <f>VLOOKUP($A118,PLAN!$B:$AC,10,0)</f>
        <v>17</v>
      </c>
      <c r="J118" s="17">
        <f>VLOOKUP($A118,PLAN!$B:$AC,21,0)</f>
        <v>46235</v>
      </c>
      <c r="K118" s="145" t="str">
        <f>VLOOKUP($A118,PLAN!$B:$AC,22,0)</f>
        <v>M8</v>
      </c>
      <c r="L118" s="1"/>
      <c r="M118" s="1"/>
      <c r="N118" s="1"/>
      <c r="O118" s="221" t="s">
        <v>79</v>
      </c>
      <c r="P118" s="220"/>
      <c r="Q118" s="18">
        <f>VLOOKUP(A118,PLAN!B:R,17,0)</f>
        <v>46234</v>
      </c>
    </row>
    <row r="119" spans="1:17" ht="19.8" hidden="1" customHeight="1">
      <c r="A119" s="329" t="s">
        <v>1960</v>
      </c>
      <c r="B119" s="14">
        <f>VLOOKUP($A119,PLAN!$B:$AC,3,0)</f>
        <v>11134347</v>
      </c>
      <c r="C119" s="14" t="str">
        <f>VLOOKUP($A119,PLAN!$B:$AC,4,0)</f>
        <v>1941033-G-A</v>
      </c>
      <c r="D119" s="14" t="str">
        <f>VLOOKUP($A119,PLAN!$B:$AC,5,0)</f>
        <v>VEL125-16ASR JP</v>
      </c>
      <c r="E119" s="14" t="str">
        <f>VLOOKUP($A119,PLAN!$B:$AC,2,0)</f>
        <v>1001928734</v>
      </c>
      <c r="F119" s="15">
        <f>VLOOKUP($A119,PLAN!$B:$AC,7,0)</f>
        <v>46242</v>
      </c>
      <c r="G119" s="16" t="str">
        <f>VLOOKUP($A119,PLAN!$B:$AC,8,0)</f>
        <v>0103577670</v>
      </c>
      <c r="H119" s="16" t="str">
        <f>VLOOKUP($A119,PLAN!$B:$AC,9,0)</f>
        <v>260727K06A</v>
      </c>
      <c r="I119" s="16">
        <f>VLOOKUP($A119,PLAN!$B:$AC,10,0)</f>
        <v>24</v>
      </c>
      <c r="J119" s="17">
        <f>VLOOKUP($A119,PLAN!$B:$AC,21,0)</f>
        <v>46235</v>
      </c>
      <c r="K119" s="145" t="str">
        <f>VLOOKUP($A119,PLAN!$B:$AC,22,0)</f>
        <v>M8</v>
      </c>
      <c r="L119" s="1"/>
      <c r="M119" s="1"/>
      <c r="N119" s="1"/>
      <c r="O119" s="221" t="s">
        <v>79</v>
      </c>
      <c r="P119" s="220"/>
      <c r="Q119" s="18">
        <f>VLOOKUP(A119,PLAN!B:R,17,0)</f>
        <v>46234</v>
      </c>
    </row>
    <row r="120" spans="1:17" ht="19.8" hidden="1" customHeight="1">
      <c r="A120" s="329" t="s">
        <v>1961</v>
      </c>
      <c r="B120" s="14">
        <f>VLOOKUP($A120,PLAN!$B:$AC,3,0)</f>
        <v>11134365</v>
      </c>
      <c r="C120" s="14" t="str">
        <f>VLOOKUP($A120,PLAN!$B:$AC,4,0)</f>
        <v>1941061-G-A</v>
      </c>
      <c r="D120" s="14" t="str">
        <f>VLOOKUP($A120,PLAN!$B:$AC,5,0)</f>
        <v>TLS125-16SSRR JP</v>
      </c>
      <c r="E120" s="14" t="str">
        <f>VLOOKUP($A120,PLAN!$B:$AC,2,0)</f>
        <v>1001928735</v>
      </c>
      <c r="F120" s="15">
        <f>VLOOKUP($A120,PLAN!$B:$AC,7,0)</f>
        <v>46242</v>
      </c>
      <c r="G120" s="16" t="str">
        <f>VLOOKUP($A120,PLAN!$B:$AC,8,0)</f>
        <v>0103577671</v>
      </c>
      <c r="H120" s="16" t="str">
        <f>VLOOKUP($A120,PLAN!$B:$AC,9,0)</f>
        <v>260727K07A</v>
      </c>
      <c r="I120" s="16">
        <f>VLOOKUP($A120,PLAN!$B:$AC,10,0)</f>
        <v>1</v>
      </c>
      <c r="J120" s="17">
        <f>VLOOKUP($A120,PLAN!$B:$AC,21,0)</f>
        <v>46235</v>
      </c>
      <c r="K120" s="145" t="str">
        <f>VLOOKUP($A120,PLAN!$B:$AC,22,0)</f>
        <v>M8</v>
      </c>
      <c r="L120" s="1"/>
      <c r="M120" s="1"/>
      <c r="N120" s="1"/>
      <c r="O120" s="221" t="s">
        <v>79</v>
      </c>
      <c r="P120" s="220"/>
      <c r="Q120" s="18">
        <f>VLOOKUP(A120,PLAN!B:R,17,0)</f>
        <v>46234</v>
      </c>
    </row>
    <row r="121" spans="1:17" ht="19.8" hidden="1" customHeight="1">
      <c r="A121" s="329" t="s">
        <v>1962</v>
      </c>
      <c r="B121" s="14">
        <f>VLOOKUP($A121,PLAN!$B:$AC,3,0)</f>
        <v>11132003</v>
      </c>
      <c r="C121" s="14" t="str">
        <f>VLOOKUP($A121,PLAN!$B:$AC,4,0)</f>
        <v>1941065-D-A</v>
      </c>
      <c r="D121" s="14" t="str">
        <f>VLOOKUP($A121,PLAN!$B:$AC,5,0)</f>
        <v>TLS150-16YR JP</v>
      </c>
      <c r="E121" s="14" t="str">
        <f>VLOOKUP($A121,PLAN!$B:$AC,2,0)</f>
        <v>1001928736</v>
      </c>
      <c r="F121" s="15">
        <f>VLOOKUP($A121,PLAN!$B:$AC,7,0)</f>
        <v>46242</v>
      </c>
      <c r="G121" s="16" t="str">
        <f>VLOOKUP($A121,PLAN!$B:$AC,8,0)</f>
        <v>0103577672</v>
      </c>
      <c r="H121" s="16" t="str">
        <f>VLOOKUP($A121,PLAN!$B:$AC,9,0)</f>
        <v>260727K08A</v>
      </c>
      <c r="I121" s="16">
        <f>VLOOKUP($A121,PLAN!$B:$AC,10,0)</f>
        <v>1</v>
      </c>
      <c r="J121" s="17">
        <f>VLOOKUP($A121,PLAN!$B:$AC,21,0)</f>
        <v>46235</v>
      </c>
      <c r="K121" s="145" t="str">
        <f>VLOOKUP($A121,PLAN!$B:$AC,22,0)</f>
        <v>M8</v>
      </c>
      <c r="L121" s="1"/>
      <c r="M121" s="1"/>
      <c r="N121" s="1"/>
      <c r="O121" s="221" t="s">
        <v>79</v>
      </c>
      <c r="P121" s="220"/>
      <c r="Q121" s="18">
        <f>VLOOKUP(A121,PLAN!B:R,17,0)</f>
        <v>46234</v>
      </c>
    </row>
    <row r="122" spans="1:17" ht="19.8" hidden="1" customHeight="1">
      <c r="A122" s="329" t="s">
        <v>1963</v>
      </c>
      <c r="B122" s="14">
        <f>VLOOKUP($A122,PLAN!$B:$AC,3,0)</f>
        <v>11134366</v>
      </c>
      <c r="C122" s="14" t="str">
        <f>VLOOKUP($A122,PLAN!$B:$AC,4,0)</f>
        <v>1941062-G-A</v>
      </c>
      <c r="D122" s="14" t="str">
        <f>VLOOKUP($A122,PLAN!$B:$AC,5,0)</f>
        <v>TLS125-16SSLR JP</v>
      </c>
      <c r="E122" s="14" t="str">
        <f>VLOOKUP($A122,PLAN!$B:$AC,2,0)</f>
        <v>1001928737</v>
      </c>
      <c r="F122" s="15">
        <f>VLOOKUP($A122,PLAN!$B:$AC,7,0)</f>
        <v>46242</v>
      </c>
      <c r="G122" s="16" t="str">
        <f>VLOOKUP($A122,PLAN!$B:$AC,8,0)</f>
        <v>0103577673</v>
      </c>
      <c r="H122" s="16" t="str">
        <f>VLOOKUP($A122,PLAN!$B:$AC,9,0)</f>
        <v>260727K09A</v>
      </c>
      <c r="I122" s="16">
        <f>VLOOKUP($A122,PLAN!$B:$AC,10,0)</f>
        <v>2</v>
      </c>
      <c r="J122" s="17">
        <f>VLOOKUP($A122,PLAN!$B:$AC,21,0)</f>
        <v>46235</v>
      </c>
      <c r="K122" s="145" t="str">
        <f>VLOOKUP($A122,PLAN!$B:$AC,22,0)</f>
        <v>M8</v>
      </c>
      <c r="L122" s="1"/>
      <c r="M122" s="1"/>
      <c r="N122" s="1"/>
      <c r="O122" s="221" t="s">
        <v>79</v>
      </c>
      <c r="P122" s="220"/>
      <c r="Q122" s="18">
        <f>VLOOKUP(A122,PLAN!B:R,17,0)</f>
        <v>46234</v>
      </c>
    </row>
    <row r="123" spans="1:17" ht="19.8" hidden="1" customHeight="1">
      <c r="A123" s="329" t="s">
        <v>1964</v>
      </c>
      <c r="B123" s="14">
        <f>VLOOKUP($A123,PLAN!$B:$AC,3,0)</f>
        <v>11134364</v>
      </c>
      <c r="C123" s="14" t="str">
        <f>VLOOKUP($A123,PLAN!$B:$AC,4,0)</f>
        <v>1941060-G-A</v>
      </c>
      <c r="D123" s="14" t="str">
        <f>VLOOKUP($A123,PLAN!$B:$AC,5,0)</f>
        <v>TLS125-16ASR JP</v>
      </c>
      <c r="E123" s="14" t="str">
        <f>VLOOKUP($A123,PLAN!$B:$AC,2,0)</f>
        <v>1001928738</v>
      </c>
      <c r="F123" s="15">
        <f>VLOOKUP($A123,PLAN!$B:$AC,7,0)</f>
        <v>46242</v>
      </c>
      <c r="G123" s="16" t="str">
        <f>VLOOKUP($A123,PLAN!$B:$AC,8,0)</f>
        <v>0103577675</v>
      </c>
      <c r="H123" s="16" t="str">
        <f>VLOOKUP($A123,PLAN!$B:$AC,9,0)</f>
        <v>260727K10A</v>
      </c>
      <c r="I123" s="16">
        <f>VLOOKUP($A123,PLAN!$B:$AC,10,0)</f>
        <v>3</v>
      </c>
      <c r="J123" s="17">
        <f>VLOOKUP($A123,PLAN!$B:$AC,21,0)</f>
        <v>46235</v>
      </c>
      <c r="K123" s="145" t="str">
        <f>VLOOKUP($A123,PLAN!$B:$AC,22,0)</f>
        <v>M8</v>
      </c>
      <c r="L123" s="1"/>
      <c r="M123" s="1"/>
      <c r="N123" s="1"/>
      <c r="O123" s="221" t="s">
        <v>79</v>
      </c>
      <c r="P123" s="220"/>
      <c r="Q123" s="18">
        <f>VLOOKUP(A123,PLAN!B:R,17,0)</f>
        <v>46234</v>
      </c>
    </row>
    <row r="124" spans="1:17" ht="19.8" hidden="1" customHeight="1">
      <c r="A124" s="329" t="s">
        <v>1965</v>
      </c>
      <c r="B124" s="14">
        <f>VLOOKUP($A124,PLAN!$B:$AC,3,0)</f>
        <v>11134360</v>
      </c>
      <c r="C124" s="14" t="str">
        <f>VLOOKUP($A124,PLAN!$B:$AC,4,0)</f>
        <v>1941056-F-A</v>
      </c>
      <c r="D124" s="14" t="str">
        <f>VLOOKUP($A124,PLAN!$B:$AC,5,0)</f>
        <v>TLS105-16SR JP</v>
      </c>
      <c r="E124" s="14" t="str">
        <f>VLOOKUP($A124,PLAN!$B:$AC,2,0)</f>
        <v>1001928739</v>
      </c>
      <c r="F124" s="15">
        <f>VLOOKUP($A124,PLAN!$B:$AC,7,0)</f>
        <v>46242</v>
      </c>
      <c r="G124" s="16" t="str">
        <f>VLOOKUP($A124,PLAN!$B:$AC,8,0)</f>
        <v>0103577677</v>
      </c>
      <c r="H124" s="16" t="str">
        <f>VLOOKUP($A124,PLAN!$B:$AC,9,0)</f>
        <v>260727K11A</v>
      </c>
      <c r="I124" s="16">
        <f>VLOOKUP($A124,PLAN!$B:$AC,10,0)</f>
        <v>18</v>
      </c>
      <c r="J124" s="17">
        <f>VLOOKUP($A124,PLAN!$B:$AC,21,0)</f>
        <v>46235</v>
      </c>
      <c r="K124" s="145" t="str">
        <f>VLOOKUP($A124,PLAN!$B:$AC,22,0)</f>
        <v>M8</v>
      </c>
      <c r="L124" s="1"/>
      <c r="M124" s="1"/>
      <c r="N124" s="1"/>
      <c r="O124" s="221" t="s">
        <v>79</v>
      </c>
      <c r="P124" s="220"/>
      <c r="Q124" s="18">
        <f>VLOOKUP(A124,PLAN!B:R,17,0)</f>
        <v>46234</v>
      </c>
    </row>
    <row r="125" spans="1:17" ht="19.8" hidden="1" customHeight="1">
      <c r="A125" s="329" t="s">
        <v>1966</v>
      </c>
      <c r="B125" s="14">
        <f>VLOOKUP($A125,PLAN!$B:$AC,3,0)</f>
        <v>11125143</v>
      </c>
      <c r="C125" s="14" t="str">
        <f>VLOOKUP($A125,PLAN!$B:$AC,4,0)</f>
        <v>1941012-E-A</v>
      </c>
      <c r="D125" s="14" t="str">
        <f>VLOOKUP($A125,PLAN!$B:$AC,5,0)</f>
        <v>MST45A-18PWSSFR JP</v>
      </c>
      <c r="E125" s="14" t="str">
        <f>VLOOKUP($A125,PLAN!$B:$AC,2,0)</f>
        <v>1001928740</v>
      </c>
      <c r="F125" s="15">
        <f>VLOOKUP($A125,PLAN!$B:$AC,7,0)</f>
        <v>46242</v>
      </c>
      <c r="G125" s="16" t="str">
        <f>VLOOKUP($A125,PLAN!$B:$AC,8,0)</f>
        <v>0103577678</v>
      </c>
      <c r="H125" s="16" t="str">
        <f>VLOOKUP($A125,PLAN!$B:$AC,9,0)</f>
        <v>260727K12A</v>
      </c>
      <c r="I125" s="16">
        <f>VLOOKUP($A125,PLAN!$B:$AC,10,0)</f>
        <v>2</v>
      </c>
      <c r="J125" s="17">
        <f>VLOOKUP($A125,PLAN!$B:$AC,21,0)</f>
        <v>46235</v>
      </c>
      <c r="K125" s="145" t="str">
        <f>VLOOKUP($A125,PLAN!$B:$AC,22,0)</f>
        <v>M8</v>
      </c>
      <c r="L125" s="1"/>
      <c r="M125" s="1"/>
      <c r="N125" s="1"/>
      <c r="O125" s="221" t="s">
        <v>79</v>
      </c>
      <c r="P125" s="220"/>
      <c r="Q125" s="18">
        <f>VLOOKUP(A125,PLAN!B:R,17,0)</f>
        <v>46234</v>
      </c>
    </row>
    <row r="126" spans="1:17" ht="19.8" hidden="1" customHeight="1">
      <c r="A126" s="329" t="s">
        <v>1967</v>
      </c>
      <c r="B126" s="14">
        <f>VLOOKUP($A126,PLAN!$B:$AC,3,0)</f>
        <v>11125153</v>
      </c>
      <c r="C126" s="14" t="str">
        <f>VLOOKUP($A126,PLAN!$B:$AC,4,0)</f>
        <v>1941022-F-A</v>
      </c>
      <c r="D126" s="14" t="str">
        <f>VLOOKUP($A126,PLAN!$B:$AC,5,0)</f>
        <v>MST105-27HFR JP</v>
      </c>
      <c r="E126" s="14" t="str">
        <f>VLOOKUP($A126,PLAN!$B:$AC,2,0)</f>
        <v>1001928741</v>
      </c>
      <c r="F126" s="15">
        <f>VLOOKUP($A126,PLAN!$B:$AC,7,0)</f>
        <v>46242</v>
      </c>
      <c r="G126" s="16" t="str">
        <f>VLOOKUP($A126,PLAN!$B:$AC,8,0)</f>
        <v>0103577680</v>
      </c>
      <c r="H126" s="16" t="str">
        <f>VLOOKUP($A126,PLAN!$B:$AC,9,0)</f>
        <v>260727K13A</v>
      </c>
      <c r="I126" s="16">
        <f>VLOOKUP($A126,PLAN!$B:$AC,10,0)</f>
        <v>8</v>
      </c>
      <c r="J126" s="17">
        <f>VLOOKUP($A126,PLAN!$B:$AC,21,0)</f>
        <v>46235</v>
      </c>
      <c r="K126" s="145" t="str">
        <f>VLOOKUP($A126,PLAN!$B:$AC,22,0)</f>
        <v>M8</v>
      </c>
      <c r="L126" s="1"/>
      <c r="M126" s="1"/>
      <c r="N126" s="1"/>
      <c r="O126" s="221" t="s">
        <v>79</v>
      </c>
      <c r="P126" s="220"/>
      <c r="Q126" s="18">
        <f>VLOOKUP(A126,PLAN!B:R,17,0)</f>
        <v>46234</v>
      </c>
    </row>
    <row r="127" spans="1:17" ht="19.8" hidden="1" customHeight="1">
      <c r="A127" s="329" t="s">
        <v>1968</v>
      </c>
      <c r="B127" s="14">
        <f>VLOOKUP($A127,PLAN!$B:$AC,3,0)</f>
        <v>11125141</v>
      </c>
      <c r="C127" s="14" t="str">
        <f>VLOOKUP($A127,PLAN!$B:$AC,4,0)</f>
        <v>1941010-D-A</v>
      </c>
      <c r="D127" s="14" t="str">
        <f>VLOOKUP($A127,PLAN!$B:$AC,5,0)</f>
        <v>MST125-18PWSFR JP</v>
      </c>
      <c r="E127" s="14" t="str">
        <f>VLOOKUP($A127,PLAN!$B:$AC,2,0)</f>
        <v>1001928742</v>
      </c>
      <c r="F127" s="15">
        <f>VLOOKUP($A127,PLAN!$B:$AC,7,0)</f>
        <v>46242</v>
      </c>
      <c r="G127" s="16" t="str">
        <f>VLOOKUP($A127,PLAN!$B:$AC,8,0)</f>
        <v>0103577681</v>
      </c>
      <c r="H127" s="16" t="str">
        <f>VLOOKUP($A127,PLAN!$B:$AC,9,0)</f>
        <v>260727K14A</v>
      </c>
      <c r="I127" s="16">
        <f>VLOOKUP($A127,PLAN!$B:$AC,10,0)</f>
        <v>10</v>
      </c>
      <c r="J127" s="17">
        <f>VLOOKUP($A127,PLAN!$B:$AC,21,0)</f>
        <v>46235</v>
      </c>
      <c r="K127" s="145" t="str">
        <f>VLOOKUP($A127,PLAN!$B:$AC,22,0)</f>
        <v>M8</v>
      </c>
      <c r="L127" s="1"/>
      <c r="M127" s="1"/>
      <c r="N127" s="1"/>
      <c r="O127" s="221" t="s">
        <v>79</v>
      </c>
      <c r="P127" s="220"/>
      <c r="Q127" s="18">
        <f>VLOOKUP(A127,PLAN!B:R,17,0)</f>
        <v>46234</v>
      </c>
    </row>
    <row r="128" spans="1:17" ht="19.8" hidden="1" customHeight="1">
      <c r="A128" s="329" t="s">
        <v>1969</v>
      </c>
      <c r="B128" s="14">
        <f>VLOOKUP($A128,PLAN!$B:$AC,3,0)</f>
        <v>11125144</v>
      </c>
      <c r="C128" s="14" t="str">
        <f>VLOOKUP($A128,PLAN!$B:$AC,4,0)</f>
        <v>1941013-E-A</v>
      </c>
      <c r="D128" s="14" t="str">
        <f>VLOOKUP($A128,PLAN!$B:$AC,5,0)</f>
        <v>MST45A-18PWSFR JP</v>
      </c>
      <c r="E128" s="14" t="str">
        <f>VLOOKUP($A128,PLAN!$B:$AC,2,0)</f>
        <v>1001928743</v>
      </c>
      <c r="F128" s="15">
        <f>VLOOKUP($A128,PLAN!$B:$AC,7,0)</f>
        <v>46242</v>
      </c>
      <c r="G128" s="16" t="str">
        <f>VLOOKUP($A128,PLAN!$B:$AC,8,0)</f>
        <v>0103577682</v>
      </c>
      <c r="H128" s="16" t="str">
        <f>VLOOKUP($A128,PLAN!$B:$AC,9,0)</f>
        <v>260727K15A</v>
      </c>
      <c r="I128" s="16">
        <f>VLOOKUP($A128,PLAN!$B:$AC,10,0)</f>
        <v>11</v>
      </c>
      <c r="J128" s="17">
        <f>VLOOKUP($A128,PLAN!$B:$AC,21,0)</f>
        <v>46235</v>
      </c>
      <c r="K128" s="145" t="str">
        <f>VLOOKUP($A128,PLAN!$B:$AC,22,0)</f>
        <v>M8</v>
      </c>
      <c r="L128" s="1"/>
      <c r="M128" s="1"/>
      <c r="N128" s="1"/>
      <c r="O128" s="221" t="s">
        <v>79</v>
      </c>
      <c r="P128" s="220"/>
      <c r="Q128" s="18">
        <f>VLOOKUP(A128,PLAN!B:R,17,0)</f>
        <v>46234</v>
      </c>
    </row>
    <row r="129" spans="1:17" ht="19.8" hidden="1" customHeight="1">
      <c r="A129" s="329" t="s">
        <v>1970</v>
      </c>
      <c r="B129" s="14">
        <f>VLOOKUP($A129,PLAN!$B:$AC,3,0)</f>
        <v>11125142</v>
      </c>
      <c r="C129" s="14" t="str">
        <f>VLOOKUP($A129,PLAN!$B:$AC,4,0)</f>
        <v>1941011-D-A</v>
      </c>
      <c r="D129" s="14" t="str">
        <f>VLOOKUP($A129,PLAN!$B:$AC,5,0)</f>
        <v>MST150-18PWSFR JP</v>
      </c>
      <c r="E129" s="14" t="str">
        <f>VLOOKUP($A129,PLAN!$B:$AC,2,0)</f>
        <v>1001928744</v>
      </c>
      <c r="F129" s="15">
        <f>VLOOKUP($A129,PLAN!$B:$AC,7,0)</f>
        <v>46242</v>
      </c>
      <c r="G129" s="16" t="str">
        <f>VLOOKUP($A129,PLAN!$B:$AC,8,0)</f>
        <v>0103577683</v>
      </c>
      <c r="H129" s="16" t="str">
        <f>VLOOKUP($A129,PLAN!$B:$AC,9,0)</f>
        <v>260727K16A</v>
      </c>
      <c r="I129" s="16">
        <f>VLOOKUP($A129,PLAN!$B:$AC,10,0)</f>
        <v>14</v>
      </c>
      <c r="J129" s="17">
        <f>VLOOKUP($A129,PLAN!$B:$AC,21,0)</f>
        <v>46235</v>
      </c>
      <c r="K129" s="145" t="str">
        <f>VLOOKUP($A129,PLAN!$B:$AC,22,0)</f>
        <v>M8</v>
      </c>
      <c r="L129" s="1"/>
      <c r="M129" s="1"/>
      <c r="N129" s="1"/>
      <c r="O129" s="221" t="s">
        <v>79</v>
      </c>
      <c r="P129" s="220"/>
      <c r="Q129" s="18">
        <f>VLOOKUP(A129,PLAN!B:R,17,0)</f>
        <v>46234</v>
      </c>
    </row>
    <row r="130" spans="1:17" ht="19.8" hidden="1" customHeight="1">
      <c r="A130" s="329" t="s">
        <v>1971</v>
      </c>
      <c r="B130" s="14">
        <f>VLOOKUP($A130,PLAN!$B:$AC,3,0)</f>
        <v>11131258</v>
      </c>
      <c r="C130" s="14" t="str">
        <f>VLOOKUP($A130,PLAN!$B:$AC,4,0)</f>
        <v>1941001-D-A</v>
      </c>
      <c r="D130" s="14" t="str">
        <f>VLOOKUP($A130,PLAN!$B:$AC,5,0)</f>
        <v>CSR135-26PR JP</v>
      </c>
      <c r="E130" s="14" t="str">
        <f>VLOOKUP($A130,PLAN!$B:$AC,2,0)</f>
        <v>1001928745</v>
      </c>
      <c r="F130" s="15">
        <f>VLOOKUP($A130,PLAN!$B:$AC,7,0)</f>
        <v>46242</v>
      </c>
      <c r="G130" s="16" t="str">
        <f>VLOOKUP($A130,PLAN!$B:$AC,8,0)</f>
        <v>0103577684</v>
      </c>
      <c r="H130" s="16" t="str">
        <f>VLOOKUP($A130,PLAN!$B:$AC,9,0)</f>
        <v>260727K17A</v>
      </c>
      <c r="I130" s="16">
        <f>VLOOKUP($A130,PLAN!$B:$AC,10,0)</f>
        <v>86</v>
      </c>
      <c r="J130" s="17">
        <f>VLOOKUP($A130,PLAN!$B:$AC,21,0)</f>
        <v>46235</v>
      </c>
      <c r="K130" s="145" t="str">
        <f>VLOOKUP($A130,PLAN!$B:$AC,22,0)</f>
        <v>M8</v>
      </c>
      <c r="L130" s="1"/>
      <c r="M130" s="1"/>
      <c r="N130" s="1"/>
      <c r="O130" s="221" t="s">
        <v>79</v>
      </c>
      <c r="P130" s="220"/>
      <c r="Q130" s="18">
        <f>VLOOKUP(A130,PLAN!B:R,17,0)</f>
        <v>46234</v>
      </c>
    </row>
    <row r="131" spans="1:17" ht="19.8" hidden="1" customHeight="1">
      <c r="A131" s="329" t="s">
        <v>1972</v>
      </c>
      <c r="B131" s="14">
        <f>VLOOKUP($A131,PLAN!$B:$AC,3,0)</f>
        <v>11127835</v>
      </c>
      <c r="C131" s="14" t="str">
        <f>VLOOKUP($A131,PLAN!$B:$AC,4,0)</f>
        <v>1941079-D-A</v>
      </c>
      <c r="D131" s="14" t="str">
        <f>VLOOKUP($A131,PLAN!$B:$AC,5,0)</f>
        <v>CSRP135-26NR JP</v>
      </c>
      <c r="E131" s="14" t="str">
        <f>VLOOKUP($A131,PLAN!$B:$AC,2,0)</f>
        <v>1001928746</v>
      </c>
      <c r="F131" s="15">
        <f>VLOOKUP($A131,PLAN!$B:$AC,7,0)</f>
        <v>46242</v>
      </c>
      <c r="G131" s="16" t="str">
        <f>VLOOKUP($A131,PLAN!$B:$AC,8,0)</f>
        <v>0103577685</v>
      </c>
      <c r="H131" s="16" t="str">
        <f>VLOOKUP($A131,PLAN!$B:$AC,9,0)</f>
        <v>260727K18A</v>
      </c>
      <c r="I131" s="16">
        <f>VLOOKUP($A131,PLAN!$B:$AC,10,0)</f>
        <v>71</v>
      </c>
      <c r="J131" s="17">
        <f>VLOOKUP($A131,PLAN!$B:$AC,21,0)</f>
        <v>46235</v>
      </c>
      <c r="K131" s="145" t="str">
        <f>VLOOKUP($A131,PLAN!$B:$AC,22,0)</f>
        <v>M8</v>
      </c>
      <c r="L131" s="1"/>
      <c r="M131" s="1"/>
      <c r="N131" s="1"/>
      <c r="O131" s="221" t="s">
        <v>79</v>
      </c>
      <c r="P131" s="220"/>
      <c r="Q131" s="18">
        <f>VLOOKUP(A131,PLAN!B:R,17,0)</f>
        <v>46234</v>
      </c>
    </row>
    <row r="132" spans="1:17" ht="19.8" hidden="1" customHeight="1">
      <c r="A132" s="329" t="s">
        <v>1973</v>
      </c>
      <c r="B132" s="14">
        <f>VLOOKUP($A132,PLAN!$B:$AC,3,0)</f>
        <v>11122087</v>
      </c>
      <c r="C132" s="14" t="str">
        <f>VLOOKUP($A132,PLAN!$B:$AC,4,0)</f>
        <v>2341003-B-A</v>
      </c>
      <c r="D132" s="14" t="str">
        <f>VLOOKUP($A132,PLAN!$B:$AC,5,0)</f>
        <v>CRV135-19P CE3</v>
      </c>
      <c r="E132" s="14" t="str">
        <f>VLOOKUP($A132,PLAN!$B:$AC,2,0)</f>
        <v>1001928747</v>
      </c>
      <c r="F132" s="15">
        <f>VLOOKUP($A132,PLAN!$B:$AC,7,0)</f>
        <v>46242</v>
      </c>
      <c r="G132" s="16" t="str">
        <f>VLOOKUP($A132,PLAN!$B:$AC,8,0)</f>
        <v>0103577687</v>
      </c>
      <c r="H132" s="16" t="str">
        <f>VLOOKUP($A132,PLAN!$B:$AC,9,0)</f>
        <v>260727K19A</v>
      </c>
      <c r="I132" s="16">
        <f>VLOOKUP($A132,PLAN!$B:$AC,10,0)</f>
        <v>301</v>
      </c>
      <c r="J132" s="17">
        <f>VLOOKUP($A132,PLAN!$B:$AC,21,0)</f>
        <v>46235</v>
      </c>
      <c r="K132" s="145" t="str">
        <f>VLOOKUP($A132,PLAN!$B:$AC,22,0)</f>
        <v>M8</v>
      </c>
      <c r="L132" s="1"/>
      <c r="M132" s="1"/>
      <c r="N132" s="1"/>
      <c r="O132" s="221" t="s">
        <v>79</v>
      </c>
      <c r="P132" s="220"/>
      <c r="Q132" s="18">
        <f>VLOOKUP(A132,PLAN!B:R,17,0)</f>
        <v>46234</v>
      </c>
    </row>
    <row r="133" spans="1:17" ht="19.8" hidden="1" customHeight="1">
      <c r="A133" s="329" t="s">
        <v>1974</v>
      </c>
      <c r="B133" s="14">
        <f>VLOOKUP($A133,PLAN!$B:$AC,3,0)</f>
        <v>11122087</v>
      </c>
      <c r="C133" s="14" t="str">
        <f>VLOOKUP($A133,PLAN!$B:$AC,4,0)</f>
        <v>2341003-B-A</v>
      </c>
      <c r="D133" s="14" t="str">
        <f>VLOOKUP($A133,PLAN!$B:$AC,5,0)</f>
        <v>CRV135-19P CE3</v>
      </c>
      <c r="E133" s="14" t="str">
        <f>VLOOKUP($A133,PLAN!$B:$AC,2,0)</f>
        <v>1001928748</v>
      </c>
      <c r="F133" s="15">
        <f>VLOOKUP($A133,PLAN!$B:$AC,7,0)</f>
        <v>46242</v>
      </c>
      <c r="G133" s="16" t="str">
        <f>VLOOKUP($A133,PLAN!$B:$AC,8,0)</f>
        <v>0103577688</v>
      </c>
      <c r="H133" s="16" t="str">
        <f>VLOOKUP($A133,PLAN!$B:$AC,9,0)</f>
        <v>260727K20A</v>
      </c>
      <c r="I133" s="16">
        <f>VLOOKUP($A133,PLAN!$B:$AC,10,0)</f>
        <v>220</v>
      </c>
      <c r="J133" s="17">
        <f>VLOOKUP($A133,PLAN!$B:$AC,21,0)</f>
        <v>46235</v>
      </c>
      <c r="K133" s="145" t="str">
        <f>VLOOKUP($A133,PLAN!$B:$AC,22,0)</f>
        <v>M8</v>
      </c>
      <c r="L133" s="1"/>
      <c r="M133" s="1"/>
      <c r="N133" s="1"/>
      <c r="O133" s="221" t="s">
        <v>79</v>
      </c>
      <c r="P133" s="220"/>
      <c r="Q133" s="18">
        <f>VLOOKUP(A133,PLAN!B:R,17,0)</f>
        <v>46234</v>
      </c>
    </row>
    <row r="134" spans="1:17" ht="19.8" hidden="1" customHeight="1">
      <c r="A134" s="329" t="s">
        <v>1975</v>
      </c>
      <c r="B134" s="14">
        <f>VLOOKUP($A134,PLAN!$B:$AC,3,0)</f>
        <v>11122087</v>
      </c>
      <c r="C134" s="14" t="str">
        <f>VLOOKUP($A134,PLAN!$B:$AC,4,0)</f>
        <v>2341003-B-A</v>
      </c>
      <c r="D134" s="14" t="str">
        <f>VLOOKUP($A134,PLAN!$B:$AC,5,0)</f>
        <v>CRV135-19P CE3</v>
      </c>
      <c r="E134" s="14" t="str">
        <f>VLOOKUP($A134,PLAN!$B:$AC,2,0)</f>
        <v>1001928749</v>
      </c>
      <c r="F134" s="15">
        <f>VLOOKUP($A134,PLAN!$B:$AC,7,0)</f>
        <v>46242</v>
      </c>
      <c r="G134" s="16" t="str">
        <f>VLOOKUP($A134,PLAN!$B:$AC,8,0)</f>
        <v>0103577689</v>
      </c>
      <c r="H134" s="16" t="str">
        <f>VLOOKUP($A134,PLAN!$B:$AC,9,0)</f>
        <v>260727K21A</v>
      </c>
      <c r="I134" s="16">
        <f>VLOOKUP($A134,PLAN!$B:$AC,10,0)</f>
        <v>590</v>
      </c>
      <c r="J134" s="17">
        <f>VLOOKUP($A134,PLAN!$B:$AC,21,0)</f>
        <v>46235</v>
      </c>
      <c r="K134" s="145" t="str">
        <f>VLOOKUP($A134,PLAN!$B:$AC,22,0)</f>
        <v>M8</v>
      </c>
      <c r="L134" s="1"/>
      <c r="M134" s="1"/>
      <c r="N134" s="1"/>
      <c r="O134" s="221" t="s">
        <v>79</v>
      </c>
      <c r="P134" s="220"/>
      <c r="Q134" s="18">
        <f>VLOOKUP(A134,PLAN!B:R,17,0)</f>
        <v>46234</v>
      </c>
    </row>
    <row r="135" spans="1:17" ht="19.8" hidden="1" customHeight="1">
      <c r="A135" s="329" t="s">
        <v>1976</v>
      </c>
      <c r="B135" s="14">
        <f>VLOOKUP($A135,PLAN!$B:$AC,3,0)</f>
        <v>11122088</v>
      </c>
      <c r="C135" s="14" t="str">
        <f>VLOOKUP($A135,PLAN!$B:$AC,4,0)</f>
        <v>2341004-B-A</v>
      </c>
      <c r="D135" s="14" t="str">
        <f>VLOOKUP($A135,PLAN!$B:$AC,5,0)</f>
        <v>CRV150-19P CE3</v>
      </c>
      <c r="E135" s="14" t="str">
        <f>VLOOKUP($A135,PLAN!$B:$AC,2,0)</f>
        <v>1001928750</v>
      </c>
      <c r="F135" s="15">
        <f>VLOOKUP($A135,PLAN!$B:$AC,7,0)</f>
        <v>46242</v>
      </c>
      <c r="G135" s="16" t="str">
        <f>VLOOKUP($A135,PLAN!$B:$AC,8,0)</f>
        <v>0103577690</v>
      </c>
      <c r="H135" s="16" t="str">
        <f>VLOOKUP($A135,PLAN!$B:$AC,9,0)</f>
        <v>260727K22A</v>
      </c>
      <c r="I135" s="16">
        <f>VLOOKUP($A135,PLAN!$B:$AC,10,0)</f>
        <v>172</v>
      </c>
      <c r="J135" s="17">
        <f>VLOOKUP($A135,PLAN!$B:$AC,21,0)</f>
        <v>46235</v>
      </c>
      <c r="K135" s="145" t="str">
        <f>VLOOKUP($A135,PLAN!$B:$AC,22,0)</f>
        <v>M8</v>
      </c>
      <c r="L135" s="1"/>
      <c r="M135" s="1"/>
      <c r="N135" s="1"/>
      <c r="O135" s="221" t="s">
        <v>79</v>
      </c>
      <c r="P135" s="220"/>
      <c r="Q135" s="18">
        <f>VLOOKUP(A135,PLAN!B:R,17,0)</f>
        <v>46234</v>
      </c>
    </row>
    <row r="136" spans="1:17" ht="19.8" hidden="1" customHeight="1">
      <c r="A136" s="329" t="s">
        <v>1977</v>
      </c>
      <c r="B136" s="14">
        <f>VLOOKUP($A136,PLAN!$B:$AC,3,0)</f>
        <v>11122088</v>
      </c>
      <c r="C136" s="14" t="str">
        <f>VLOOKUP($A136,PLAN!$B:$AC,4,0)</f>
        <v>2341004-B-A</v>
      </c>
      <c r="D136" s="14" t="str">
        <f>VLOOKUP($A136,PLAN!$B:$AC,5,0)</f>
        <v>CRV150-19P CE3</v>
      </c>
      <c r="E136" s="14" t="str">
        <f>VLOOKUP($A136,PLAN!$B:$AC,2,0)</f>
        <v>1001928751</v>
      </c>
      <c r="F136" s="15">
        <f>VLOOKUP($A136,PLAN!$B:$AC,7,0)</f>
        <v>46242</v>
      </c>
      <c r="G136" s="16" t="str">
        <f>VLOOKUP($A136,PLAN!$B:$AC,8,0)</f>
        <v>0103577691</v>
      </c>
      <c r="H136" s="16" t="str">
        <f>VLOOKUP($A136,PLAN!$B:$AC,9,0)</f>
        <v>260727K23A</v>
      </c>
      <c r="I136" s="16">
        <f>VLOOKUP($A136,PLAN!$B:$AC,10,0)</f>
        <v>130</v>
      </c>
      <c r="J136" s="17">
        <f>VLOOKUP($A136,PLAN!$B:$AC,21,0)</f>
        <v>46235</v>
      </c>
      <c r="K136" s="145" t="str">
        <f>VLOOKUP($A136,PLAN!$B:$AC,22,0)</f>
        <v>M8</v>
      </c>
      <c r="L136" s="1"/>
      <c r="M136" s="1"/>
      <c r="N136" s="1"/>
      <c r="O136" s="221" t="s">
        <v>79</v>
      </c>
      <c r="P136" s="220"/>
      <c r="Q136" s="18">
        <f>VLOOKUP(A136,PLAN!B:R,17,0)</f>
        <v>46234</v>
      </c>
    </row>
    <row r="137" spans="1:17" ht="19.8" hidden="1" customHeight="1">
      <c r="A137" s="329" t="s">
        <v>1978</v>
      </c>
      <c r="B137" s="14">
        <f>VLOOKUP($A137,PLAN!$B:$AC,3,0)</f>
        <v>11134258</v>
      </c>
      <c r="C137" s="14" t="str">
        <f>VLOOKUP($A137,PLAN!$B:$AC,4,0)</f>
        <v>1911095-E-A</v>
      </c>
      <c r="D137" s="14" t="str">
        <f>VLOOKUP($A137,PLAN!$B:$AC,5,0)</f>
        <v>HJ60SP320P10000 JP</v>
      </c>
      <c r="E137" s="14" t="str">
        <f>VLOOKUP($A137,PLAN!$B:$AC,2,0)</f>
        <v>1001928752</v>
      </c>
      <c r="F137" s="15">
        <f>VLOOKUP($A137,PLAN!$B:$AC,7,0)</f>
        <v>46242</v>
      </c>
      <c r="G137" s="16" t="str">
        <f>VLOOKUP($A137,PLAN!$B:$AC,8,0)</f>
        <v>0103577692</v>
      </c>
      <c r="H137" s="16" t="str">
        <f>VLOOKUP($A137,PLAN!$B:$AC,9,0)</f>
        <v>260727C01A</v>
      </c>
      <c r="I137" s="16">
        <f>VLOOKUP($A137,PLAN!$B:$AC,10,0)</f>
        <v>4</v>
      </c>
      <c r="J137" s="17">
        <f>VLOOKUP($A137,PLAN!$B:$AC,21,0)</f>
        <v>46235</v>
      </c>
      <c r="K137" s="145" t="str">
        <f>VLOOKUP($A137,PLAN!$B:$AC,22,0)</f>
        <v>M9</v>
      </c>
      <c r="L137" s="1"/>
      <c r="M137" s="1"/>
      <c r="N137" s="1"/>
      <c r="O137" s="221" t="s">
        <v>79</v>
      </c>
      <c r="P137" s="220"/>
      <c r="Q137" s="18">
        <f>VLOOKUP(A137,PLAN!B:R,17,0)</f>
        <v>46234</v>
      </c>
    </row>
    <row r="138" spans="1:17" ht="19.8" hidden="1" customHeight="1">
      <c r="A138" s="329" t="s">
        <v>1979</v>
      </c>
      <c r="B138" s="14">
        <f>VLOOKUP($A138,PLAN!$B:$AC,3,0)</f>
        <v>11131304</v>
      </c>
      <c r="C138" s="14" t="str">
        <f>VLOOKUP($A138,PLAN!$B:$AC,4,0)</f>
        <v>2211221-E-A</v>
      </c>
      <c r="D138" s="14" t="str">
        <f>VLOOKUP($A138,PLAN!$B:$AC,5,0)</f>
        <v>HW70SP370P10000 NOCE</v>
      </c>
      <c r="E138" s="14" t="str">
        <f>VLOOKUP($A138,PLAN!$B:$AC,2,0)</f>
        <v>1001928753</v>
      </c>
      <c r="F138" s="15">
        <f>VLOOKUP($A138,PLAN!$B:$AC,7,0)</f>
        <v>46242</v>
      </c>
      <c r="G138" s="16" t="str">
        <f>VLOOKUP($A138,PLAN!$B:$AC,8,0)</f>
        <v>0103577693</v>
      </c>
      <c r="H138" s="16" t="str">
        <f>VLOOKUP($A138,PLAN!$B:$AC,9,0)</f>
        <v>260727C02A</v>
      </c>
      <c r="I138" s="16">
        <f>VLOOKUP($A138,PLAN!$B:$AC,10,0)</f>
        <v>2</v>
      </c>
      <c r="J138" s="17">
        <f>VLOOKUP($A138,PLAN!$B:$AC,21,0)</f>
        <v>46235</v>
      </c>
      <c r="K138" s="145" t="str">
        <f>VLOOKUP($A138,PLAN!$B:$AC,22,0)</f>
        <v>M9</v>
      </c>
      <c r="L138" s="1"/>
      <c r="M138" s="1"/>
      <c r="N138" s="1"/>
      <c r="O138" s="221" t="s">
        <v>79</v>
      </c>
      <c r="P138" s="220"/>
      <c r="Q138" s="18">
        <f>VLOOKUP(A138,PLAN!B:R,17,0)</f>
        <v>46234</v>
      </c>
    </row>
    <row r="139" spans="1:17" ht="19.8" hidden="1" customHeight="1">
      <c r="A139" s="329" t="s">
        <v>1980</v>
      </c>
      <c r="B139" s="14">
        <f>VLOOKUP($A139,PLAN!$B:$AC,3,0)</f>
        <v>11131307</v>
      </c>
      <c r="C139" s="14" t="str">
        <f>VLOOKUP($A139,PLAN!$B:$AC,4,0)</f>
        <v>2211224-D-A</v>
      </c>
      <c r="D139" s="14" t="str">
        <f>VLOOKUP($A139,PLAN!$B:$AC,5,0)</f>
        <v>HW70SP350P09000 NOCE</v>
      </c>
      <c r="E139" s="14" t="str">
        <f>VLOOKUP($A139,PLAN!$B:$AC,2,0)</f>
        <v>1001928754</v>
      </c>
      <c r="F139" s="15">
        <f>VLOOKUP($A139,PLAN!$B:$AC,7,0)</f>
        <v>46242</v>
      </c>
      <c r="G139" s="16" t="str">
        <f>VLOOKUP($A139,PLAN!$B:$AC,8,0)</f>
        <v>0103577694</v>
      </c>
      <c r="H139" s="16" t="str">
        <f>VLOOKUP($A139,PLAN!$B:$AC,9,0)</f>
        <v>260727C03A</v>
      </c>
      <c r="I139" s="16">
        <f>VLOOKUP($A139,PLAN!$B:$AC,10,0)</f>
        <v>4</v>
      </c>
      <c r="J139" s="17">
        <f>VLOOKUP($A139,PLAN!$B:$AC,21,0)</f>
        <v>46235</v>
      </c>
      <c r="K139" s="145" t="str">
        <f>VLOOKUP($A139,PLAN!$B:$AC,22,0)</f>
        <v>M9</v>
      </c>
      <c r="L139" s="1"/>
      <c r="M139" s="1"/>
      <c r="N139" s="1"/>
      <c r="O139" s="221" t="s">
        <v>79</v>
      </c>
      <c r="P139" s="220"/>
      <c r="Q139" s="18">
        <f>VLOOKUP(A139,PLAN!B:R,17,0)</f>
        <v>46234</v>
      </c>
    </row>
    <row r="140" spans="1:17" ht="19.8" hidden="1" customHeight="1">
      <c r="A140" s="329" t="s">
        <v>1981</v>
      </c>
      <c r="B140" s="14">
        <f>VLOOKUP($A140,PLAN!$B:$AC,3,0)</f>
        <v>11132714</v>
      </c>
      <c r="C140" s="14" t="str">
        <f>VLOOKUP($A140,PLAN!$B:$AC,4,0)</f>
        <v>2211029-D-A</v>
      </c>
      <c r="D140" s="14" t="str">
        <f>VLOOKUP($A140,PLAN!$B:$AC,5,0)</f>
        <v>HW60PB300P10000 NOCE</v>
      </c>
      <c r="E140" s="14" t="str">
        <f>VLOOKUP($A140,PLAN!$B:$AC,2,0)</f>
        <v>1001928755</v>
      </c>
      <c r="F140" s="15">
        <f>VLOOKUP($A140,PLAN!$B:$AC,7,0)</f>
        <v>46242</v>
      </c>
      <c r="G140" s="16" t="str">
        <f>VLOOKUP($A140,PLAN!$B:$AC,8,0)</f>
        <v>0103577695</v>
      </c>
      <c r="H140" s="16" t="str">
        <f>VLOOKUP($A140,PLAN!$B:$AC,9,0)</f>
        <v>260727C04A</v>
      </c>
      <c r="I140" s="16">
        <f>VLOOKUP($A140,PLAN!$B:$AC,10,0)</f>
        <v>10</v>
      </c>
      <c r="J140" s="17">
        <f>VLOOKUP($A140,PLAN!$B:$AC,21,0)</f>
        <v>46235</v>
      </c>
      <c r="K140" s="145" t="str">
        <f>VLOOKUP($A140,PLAN!$B:$AC,22,0)</f>
        <v>M9</v>
      </c>
      <c r="L140" s="1"/>
      <c r="M140" s="1"/>
      <c r="N140" s="1"/>
      <c r="O140" s="221" t="s">
        <v>79</v>
      </c>
      <c r="P140" s="220"/>
      <c r="Q140" s="18">
        <f>VLOOKUP(A140,PLAN!B:R,17,0)</f>
        <v>46234</v>
      </c>
    </row>
    <row r="141" spans="1:17" ht="19.8" hidden="1" customHeight="1">
      <c r="A141" s="329" t="s">
        <v>1982</v>
      </c>
      <c r="B141" s="14">
        <f>VLOOKUP($A141,PLAN!$B:$AC,3,0)</f>
        <v>11132715</v>
      </c>
      <c r="C141" s="14" t="str">
        <f>VLOOKUP($A141,PLAN!$B:$AC,4,0)</f>
        <v>2211030-D-A</v>
      </c>
      <c r="D141" s="14" t="str">
        <f>VLOOKUP($A141,PLAN!$B:$AC,5,0)</f>
        <v>HW60PB350P10000 NOCE</v>
      </c>
      <c r="E141" s="14" t="str">
        <f>VLOOKUP($A141,PLAN!$B:$AC,2,0)</f>
        <v>1001928756</v>
      </c>
      <c r="F141" s="15">
        <f>VLOOKUP($A141,PLAN!$B:$AC,7,0)</f>
        <v>46242</v>
      </c>
      <c r="G141" s="16" t="str">
        <f>VLOOKUP($A141,PLAN!$B:$AC,8,0)</f>
        <v>0103577696</v>
      </c>
      <c r="H141" s="16" t="str">
        <f>VLOOKUP($A141,PLAN!$B:$AC,9,0)</f>
        <v>260727C05A</v>
      </c>
      <c r="I141" s="16">
        <f>VLOOKUP($A141,PLAN!$B:$AC,10,0)</f>
        <v>15</v>
      </c>
      <c r="J141" s="17">
        <f>VLOOKUP($A141,PLAN!$B:$AC,21,0)</f>
        <v>46235</v>
      </c>
      <c r="K141" s="145" t="str">
        <f>VLOOKUP($A141,PLAN!$B:$AC,22,0)</f>
        <v>M9</v>
      </c>
      <c r="L141" s="1"/>
      <c r="M141" s="1"/>
      <c r="N141" s="1"/>
      <c r="O141" s="221" t="s">
        <v>79</v>
      </c>
      <c r="P141" s="220"/>
      <c r="Q141" s="18">
        <f>VLOOKUP(A141,PLAN!B:R,17,0)</f>
        <v>46234</v>
      </c>
    </row>
    <row r="142" spans="1:17" ht="19.8" hidden="1" customHeight="1">
      <c r="A142" s="329" t="s">
        <v>1983</v>
      </c>
      <c r="B142" s="14">
        <f>VLOOKUP($A142,PLAN!$B:$AC,3,0)</f>
        <v>11132727</v>
      </c>
      <c r="C142" s="14" t="str">
        <f>VLOOKUP($A142,PLAN!$B:$AC,4,0)</f>
        <v>2211158-D-A</v>
      </c>
      <c r="D142" s="14" t="str">
        <f>VLOOKUP($A142,PLAN!$B:$AC,5,0)</f>
        <v>HW70PB350P10000 NOCE</v>
      </c>
      <c r="E142" s="14" t="str">
        <f>VLOOKUP($A142,PLAN!$B:$AC,2,0)</f>
        <v>1001928757</v>
      </c>
      <c r="F142" s="15">
        <f>VLOOKUP($A142,PLAN!$B:$AC,7,0)</f>
        <v>46242</v>
      </c>
      <c r="G142" s="16" t="str">
        <f>VLOOKUP($A142,PLAN!$B:$AC,8,0)</f>
        <v>0103577697</v>
      </c>
      <c r="H142" s="16" t="str">
        <f>VLOOKUP($A142,PLAN!$B:$AC,9,0)</f>
        <v>260727C06A</v>
      </c>
      <c r="I142" s="16">
        <f>VLOOKUP($A142,PLAN!$B:$AC,10,0)</f>
        <v>15</v>
      </c>
      <c r="J142" s="17">
        <f>VLOOKUP($A142,PLAN!$B:$AC,21,0)</f>
        <v>46235</v>
      </c>
      <c r="K142" s="145" t="str">
        <f>VLOOKUP($A142,PLAN!$B:$AC,22,0)</f>
        <v>M9</v>
      </c>
      <c r="L142" s="1"/>
      <c r="M142" s="1"/>
      <c r="N142" s="1"/>
      <c r="O142" s="221" t="s">
        <v>79</v>
      </c>
      <c r="P142" s="220"/>
      <c r="Q142" s="18">
        <f>VLOOKUP(A142,PLAN!B:R,17,0)</f>
        <v>46234</v>
      </c>
    </row>
    <row r="143" spans="1:17" ht="19.8" hidden="1" customHeight="1">
      <c r="A143" s="329" t="s">
        <v>1984</v>
      </c>
      <c r="B143" s="14">
        <f>VLOOKUP($A143,PLAN!$B:$AC,3,0)</f>
        <v>11131289</v>
      </c>
      <c r="C143" s="14" t="str">
        <f>VLOOKUP($A143,PLAN!$B:$AC,4,0)</f>
        <v>2211092-E-A</v>
      </c>
      <c r="D143" s="14" t="str">
        <f>VLOOKUP($A143,PLAN!$B:$AC,5,0)</f>
        <v>HW60SP350P10000 NOCE</v>
      </c>
      <c r="E143" s="14" t="str">
        <f>VLOOKUP($A143,PLAN!$B:$AC,2,0)</f>
        <v>1001928758</v>
      </c>
      <c r="F143" s="15">
        <f>VLOOKUP($A143,PLAN!$B:$AC,7,0)</f>
        <v>46242</v>
      </c>
      <c r="G143" s="16" t="str">
        <f>VLOOKUP($A143,PLAN!$B:$AC,8,0)</f>
        <v>0103577698</v>
      </c>
      <c r="H143" s="16" t="str">
        <f>VLOOKUP($A143,PLAN!$B:$AC,9,0)</f>
        <v>260727C07A</v>
      </c>
      <c r="I143" s="16">
        <f>VLOOKUP($A143,PLAN!$B:$AC,10,0)</f>
        <v>65</v>
      </c>
      <c r="J143" s="17">
        <f>VLOOKUP($A143,PLAN!$B:$AC,21,0)</f>
        <v>46235</v>
      </c>
      <c r="K143" s="145" t="str">
        <f>VLOOKUP($A143,PLAN!$B:$AC,22,0)</f>
        <v>M9</v>
      </c>
      <c r="L143" s="1"/>
      <c r="M143" s="1"/>
      <c r="N143" s="1"/>
      <c r="O143" s="221" t="s">
        <v>79</v>
      </c>
      <c r="P143" s="220"/>
      <c r="Q143" s="18">
        <f>VLOOKUP(A143,PLAN!B:R,17,0)</f>
        <v>46234</v>
      </c>
    </row>
    <row r="144" spans="1:17" ht="19.8" hidden="1" customHeight="1">
      <c r="A144" s="329" t="s">
        <v>1985</v>
      </c>
      <c r="B144" s="14">
        <f>VLOOKUP($A144,PLAN!$B:$AC,3,0)</f>
        <v>11131305</v>
      </c>
      <c r="C144" s="14" t="str">
        <f>VLOOKUP($A144,PLAN!$B:$AC,4,0)</f>
        <v>2211222-E-A</v>
      </c>
      <c r="D144" s="14" t="str">
        <f>VLOOKUP($A144,PLAN!$B:$AC,5,0)</f>
        <v>HW70SP400P10000 NOCE</v>
      </c>
      <c r="E144" s="14" t="str">
        <f>VLOOKUP($A144,PLAN!$B:$AC,2,0)</f>
        <v>1001928759</v>
      </c>
      <c r="F144" s="15">
        <f>VLOOKUP($A144,PLAN!$B:$AC,7,0)</f>
        <v>46242</v>
      </c>
      <c r="G144" s="16" t="str">
        <f>VLOOKUP($A144,PLAN!$B:$AC,8,0)</f>
        <v>0103577699</v>
      </c>
      <c r="H144" s="16" t="str">
        <f>VLOOKUP($A144,PLAN!$B:$AC,9,0)</f>
        <v>260727C08A</v>
      </c>
      <c r="I144" s="16">
        <f>VLOOKUP($A144,PLAN!$B:$AC,10,0)</f>
        <v>2</v>
      </c>
      <c r="J144" s="17">
        <f>VLOOKUP($A144,PLAN!$B:$AC,21,0)</f>
        <v>46235</v>
      </c>
      <c r="K144" s="145" t="str">
        <f>VLOOKUP($A144,PLAN!$B:$AC,22,0)</f>
        <v>M9</v>
      </c>
      <c r="L144" s="1"/>
      <c r="M144" s="1"/>
      <c r="N144" s="1"/>
      <c r="O144" s="221" t="s">
        <v>79</v>
      </c>
      <c r="P144" s="220"/>
      <c r="Q144" s="18">
        <f>VLOOKUP(A144,PLAN!B:R,17,0)</f>
        <v>46234</v>
      </c>
    </row>
    <row r="145" spans="1:17" ht="19.8" hidden="1" customHeight="1">
      <c r="A145" s="329" t="s">
        <v>1986</v>
      </c>
      <c r="B145" s="14">
        <f>VLOOKUP($A145,PLAN!$B:$AC,3,0)</f>
        <v>11131304</v>
      </c>
      <c r="C145" s="14" t="str">
        <f>VLOOKUP($A145,PLAN!$B:$AC,4,0)</f>
        <v>2211221-E-A</v>
      </c>
      <c r="D145" s="14" t="str">
        <f>VLOOKUP($A145,PLAN!$B:$AC,5,0)</f>
        <v>HW70SP370P10000 NOCE</v>
      </c>
      <c r="E145" s="14" t="str">
        <f>VLOOKUP($A145,PLAN!$B:$AC,2,0)</f>
        <v>1001928760</v>
      </c>
      <c r="F145" s="15">
        <f>VLOOKUP($A145,PLAN!$B:$AC,7,0)</f>
        <v>46242</v>
      </c>
      <c r="G145" s="16" t="str">
        <f>VLOOKUP($A145,PLAN!$B:$AC,8,0)</f>
        <v>0103577700</v>
      </c>
      <c r="H145" s="16" t="str">
        <f>VLOOKUP($A145,PLAN!$B:$AC,9,0)</f>
        <v>260727C09A</v>
      </c>
      <c r="I145" s="16">
        <f>VLOOKUP($A145,PLAN!$B:$AC,10,0)</f>
        <v>5</v>
      </c>
      <c r="J145" s="17">
        <f>VLOOKUP($A145,PLAN!$B:$AC,21,0)</f>
        <v>46235</v>
      </c>
      <c r="K145" s="145" t="str">
        <f>VLOOKUP($A145,PLAN!$B:$AC,22,0)</f>
        <v>M9</v>
      </c>
      <c r="L145" s="1"/>
      <c r="M145" s="1"/>
      <c r="N145" s="1"/>
      <c r="O145" s="221" t="s">
        <v>79</v>
      </c>
      <c r="P145" s="220"/>
      <c r="Q145" s="18">
        <f>VLOOKUP(A145,PLAN!B:R,17,0)</f>
        <v>46234</v>
      </c>
    </row>
    <row r="146" spans="1:17" ht="19.8" hidden="1" customHeight="1">
      <c r="A146" s="329" t="s">
        <v>1987</v>
      </c>
      <c r="B146" s="14">
        <f>VLOOKUP($A146,PLAN!$B:$AC,3,0)</f>
        <v>11131289</v>
      </c>
      <c r="C146" s="14" t="str">
        <f>VLOOKUP($A146,PLAN!$B:$AC,4,0)</f>
        <v>2211092-E-A</v>
      </c>
      <c r="D146" s="14" t="str">
        <f>VLOOKUP($A146,PLAN!$B:$AC,5,0)</f>
        <v>HW60SP350P10000 NOCE</v>
      </c>
      <c r="E146" s="14" t="str">
        <f>VLOOKUP($A146,PLAN!$B:$AC,2,0)</f>
        <v>1001928761</v>
      </c>
      <c r="F146" s="15">
        <f>VLOOKUP($A146,PLAN!$B:$AC,7,0)</f>
        <v>46242</v>
      </c>
      <c r="G146" s="16" t="str">
        <f>VLOOKUP($A146,PLAN!$B:$AC,8,0)</f>
        <v>0103577702</v>
      </c>
      <c r="H146" s="16" t="str">
        <f>VLOOKUP($A146,PLAN!$B:$AC,9,0)</f>
        <v>260727C10A</v>
      </c>
      <c r="I146" s="16">
        <f>VLOOKUP($A146,PLAN!$B:$AC,10,0)</f>
        <v>17</v>
      </c>
      <c r="J146" s="17">
        <f>VLOOKUP($A146,PLAN!$B:$AC,21,0)</f>
        <v>46235</v>
      </c>
      <c r="K146" s="145" t="str">
        <f>VLOOKUP($A146,PLAN!$B:$AC,22,0)</f>
        <v>M9</v>
      </c>
      <c r="L146" s="1"/>
      <c r="M146" s="1"/>
      <c r="N146" s="1"/>
      <c r="O146" s="221" t="s">
        <v>79</v>
      </c>
      <c r="P146" s="220"/>
      <c r="Q146" s="18">
        <f>VLOOKUP(A146,PLAN!B:R,17,0)</f>
        <v>46234</v>
      </c>
    </row>
    <row r="147" spans="1:17" ht="19.8" hidden="1" customHeight="1">
      <c r="A147" s="329" t="s">
        <v>2147</v>
      </c>
      <c r="B147" s="14">
        <f>VLOOKUP($A147,PLAN!$B:$AC,3,0)</f>
        <v>11132715</v>
      </c>
      <c r="C147" s="14" t="str">
        <f>VLOOKUP($A147,PLAN!$B:$AC,4,0)</f>
        <v>2211030-D-A</v>
      </c>
      <c r="D147" s="14" t="str">
        <f>VLOOKUP($A147,PLAN!$B:$AC,5,0)</f>
        <v>HW60PB350P10000 NOCE</v>
      </c>
      <c r="E147" s="14" t="str">
        <f>VLOOKUP($A147,PLAN!$B:$AC,2,0)</f>
        <v>1001928762</v>
      </c>
      <c r="F147" s="15">
        <f>VLOOKUP($A147,PLAN!$B:$AC,7,0)</f>
        <v>46242</v>
      </c>
      <c r="G147" s="16" t="str">
        <f>VLOOKUP($A147,PLAN!$B:$AC,8,0)</f>
        <v>0103577703</v>
      </c>
      <c r="H147" s="16" t="str">
        <f>VLOOKUP($A147,PLAN!$B:$AC,9,0)</f>
        <v>260727C11A</v>
      </c>
      <c r="I147" s="16">
        <f>VLOOKUP($A147,PLAN!$B:$AC,10,0)</f>
        <v>50</v>
      </c>
      <c r="J147" s="17">
        <f>VLOOKUP($A147,PLAN!$B:$AC,21,0)</f>
        <v>46235</v>
      </c>
      <c r="K147" s="145" t="str">
        <f>VLOOKUP($A147,PLAN!$B:$AC,22,0)</f>
        <v>M9</v>
      </c>
      <c r="L147" s="1"/>
      <c r="M147" s="1"/>
      <c r="N147" s="1"/>
      <c r="O147" s="221" t="s">
        <v>79</v>
      </c>
      <c r="P147" s="220"/>
      <c r="Q147" s="18">
        <f>VLOOKUP(A147,PLAN!B:R,17,0)</f>
        <v>46234</v>
      </c>
    </row>
    <row r="148" spans="1:17" ht="19.8" hidden="1" customHeight="1">
      <c r="A148" s="329" t="s">
        <v>2148</v>
      </c>
      <c r="B148" s="14">
        <f>VLOOKUP($A148,PLAN!$B:$AC,3,0)</f>
        <v>11132714</v>
      </c>
      <c r="C148" s="14" t="str">
        <f>VLOOKUP($A148,PLAN!$B:$AC,4,0)</f>
        <v>2211029-D-A</v>
      </c>
      <c r="D148" s="14" t="str">
        <f>VLOOKUP($A148,PLAN!$B:$AC,5,0)</f>
        <v>HW60PB300P10000 NOCE</v>
      </c>
      <c r="E148" s="14" t="str">
        <f>VLOOKUP($A148,PLAN!$B:$AC,2,0)</f>
        <v>1001928763</v>
      </c>
      <c r="F148" s="15">
        <f>VLOOKUP($A148,PLAN!$B:$AC,7,0)</f>
        <v>46242</v>
      </c>
      <c r="G148" s="16" t="str">
        <f>VLOOKUP($A148,PLAN!$B:$AC,8,0)</f>
        <v>0103577704</v>
      </c>
      <c r="H148" s="16" t="str">
        <f>VLOOKUP($A148,PLAN!$B:$AC,9,0)</f>
        <v>260727C12A</v>
      </c>
      <c r="I148" s="16">
        <f>VLOOKUP($A148,PLAN!$B:$AC,10,0)</f>
        <v>110</v>
      </c>
      <c r="J148" s="17">
        <f>VLOOKUP($A148,PLAN!$B:$AC,21,0)</f>
        <v>46235</v>
      </c>
      <c r="K148" s="145" t="str">
        <f>VLOOKUP($A148,PLAN!$B:$AC,22,0)</f>
        <v>M9</v>
      </c>
      <c r="L148" s="1"/>
      <c r="M148" s="1"/>
      <c r="N148" s="1"/>
      <c r="O148" s="221" t="s">
        <v>79</v>
      </c>
      <c r="P148" s="220"/>
      <c r="Q148" s="18">
        <f>VLOOKUP(A148,PLAN!B:R,17,0)</f>
        <v>46234</v>
      </c>
    </row>
    <row r="149" spans="1:17" ht="19.8" hidden="1" customHeight="1">
      <c r="A149" s="329" t="s">
        <v>2149</v>
      </c>
      <c r="B149" s="14">
        <f>VLOOKUP($A149,PLAN!$B:$AC,3,0)</f>
        <v>11130535</v>
      </c>
      <c r="C149" s="14" t="str">
        <f>VLOOKUP($A149,PLAN!$B:$AC,4,0)</f>
        <v>2211007-C-A</v>
      </c>
      <c r="D149" s="14" t="str">
        <f>VLOOKUP($A149,PLAN!$B:$AC,5,0)</f>
        <v>HW60AR100P10000 NOCE</v>
      </c>
      <c r="E149" s="14" t="str">
        <f>VLOOKUP($A149,PLAN!$B:$AC,2,0)</f>
        <v>1001928764</v>
      </c>
      <c r="F149" s="15">
        <f>VLOOKUP($A149,PLAN!$B:$AC,7,0)</f>
        <v>46242</v>
      </c>
      <c r="G149" s="16" t="str">
        <f>VLOOKUP($A149,PLAN!$B:$AC,8,0)</f>
        <v>0103577706</v>
      </c>
      <c r="H149" s="16" t="str">
        <f>VLOOKUP($A149,PLAN!$B:$AC,9,0)</f>
        <v>260727C13A</v>
      </c>
      <c r="I149" s="16">
        <f>VLOOKUP($A149,PLAN!$B:$AC,10,0)</f>
        <v>1</v>
      </c>
      <c r="J149" s="17">
        <f>VLOOKUP($A149,PLAN!$B:$AC,21,0)</f>
        <v>46235</v>
      </c>
      <c r="K149" s="145" t="str">
        <f>VLOOKUP($A149,PLAN!$B:$AC,22,0)</f>
        <v>M9</v>
      </c>
      <c r="L149" s="1"/>
      <c r="M149" s="1"/>
      <c r="N149" s="1"/>
      <c r="O149" s="221" t="s">
        <v>79</v>
      </c>
      <c r="P149" s="220"/>
      <c r="Q149" s="18">
        <f>VLOOKUP(A149,PLAN!B:R,17,0)</f>
        <v>46234</v>
      </c>
    </row>
    <row r="150" spans="1:17" ht="19.8" hidden="1" customHeight="1">
      <c r="A150" s="329" t="s">
        <v>2150</v>
      </c>
      <c r="B150" s="14">
        <f>VLOOKUP($A150,PLAN!$B:$AC,3,0)</f>
        <v>11130566</v>
      </c>
      <c r="C150" s="14" t="str">
        <f>VLOOKUP($A150,PLAN!$B:$AC,4,0)</f>
        <v>2211038-C-A</v>
      </c>
      <c r="D150" s="14" t="str">
        <f>VLOOKUP($A150,PLAN!$B:$AC,5,0)</f>
        <v>HW60AL100P10000 NOCE</v>
      </c>
      <c r="E150" s="14" t="str">
        <f>VLOOKUP($A150,PLAN!$B:$AC,2,0)</f>
        <v>1001928765</v>
      </c>
      <c r="F150" s="15">
        <f>VLOOKUP($A150,PLAN!$B:$AC,7,0)</f>
        <v>46242</v>
      </c>
      <c r="G150" s="16" t="str">
        <f>VLOOKUP($A150,PLAN!$B:$AC,8,0)</f>
        <v>0103577707</v>
      </c>
      <c r="H150" s="16" t="str">
        <f>VLOOKUP($A150,PLAN!$B:$AC,9,0)</f>
        <v>260727C14A</v>
      </c>
      <c r="I150" s="16">
        <f>VLOOKUP($A150,PLAN!$B:$AC,10,0)</f>
        <v>2</v>
      </c>
      <c r="J150" s="17">
        <f>VLOOKUP($A150,PLAN!$B:$AC,21,0)</f>
        <v>46235</v>
      </c>
      <c r="K150" s="145" t="str">
        <f>VLOOKUP($A150,PLAN!$B:$AC,22,0)</f>
        <v>M9</v>
      </c>
      <c r="L150" s="1"/>
      <c r="M150" s="1"/>
      <c r="N150" s="1"/>
      <c r="O150" s="221" t="s">
        <v>79</v>
      </c>
      <c r="P150" s="220"/>
      <c r="Q150" s="18">
        <f>VLOOKUP(A150,PLAN!B:R,17,0)</f>
        <v>46234</v>
      </c>
    </row>
    <row r="151" spans="1:17" ht="19.8" hidden="1" customHeight="1">
      <c r="A151" s="329" t="s">
        <v>2151</v>
      </c>
      <c r="B151" s="14">
        <f>VLOOKUP($A151,PLAN!$B:$AC,3,0)</f>
        <v>11130822</v>
      </c>
      <c r="C151" s="14" t="str">
        <f>VLOOKUP($A151,PLAN!$B:$AC,4,0)</f>
        <v>2211294-C-A</v>
      </c>
      <c r="D151" s="14" t="str">
        <f>VLOOKUP($A151,PLAN!$B:$AC,5,0)</f>
        <v>HW80AL100P10000 NOCE</v>
      </c>
      <c r="E151" s="14" t="str">
        <f>VLOOKUP($A151,PLAN!$B:$AC,2,0)</f>
        <v>1001928766</v>
      </c>
      <c r="F151" s="15">
        <f>VLOOKUP($A151,PLAN!$B:$AC,7,0)</f>
        <v>46242</v>
      </c>
      <c r="G151" s="16" t="str">
        <f>VLOOKUP($A151,PLAN!$B:$AC,8,0)</f>
        <v>0103577708</v>
      </c>
      <c r="H151" s="16" t="str">
        <f>VLOOKUP($A151,PLAN!$B:$AC,9,0)</f>
        <v>260727C15A</v>
      </c>
      <c r="I151" s="16">
        <f>VLOOKUP($A151,PLAN!$B:$AC,10,0)</f>
        <v>2</v>
      </c>
      <c r="J151" s="17">
        <f>VLOOKUP($A151,PLAN!$B:$AC,21,0)</f>
        <v>46235</v>
      </c>
      <c r="K151" s="145" t="str">
        <f>VLOOKUP($A151,PLAN!$B:$AC,22,0)</f>
        <v>M9</v>
      </c>
      <c r="L151" s="1"/>
      <c r="M151" s="1"/>
      <c r="N151" s="1"/>
      <c r="O151" s="221" t="s">
        <v>79</v>
      </c>
      <c r="P151" s="220"/>
      <c r="Q151" s="18">
        <f>VLOOKUP(A151,PLAN!B:R,17,0)</f>
        <v>46234</v>
      </c>
    </row>
    <row r="152" spans="1:17" ht="19.8" hidden="1" customHeight="1">
      <c r="A152" s="329" t="s">
        <v>2152</v>
      </c>
      <c r="B152" s="14">
        <f>VLOOKUP($A152,PLAN!$B:$AC,3,0)</f>
        <v>11130628</v>
      </c>
      <c r="C152" s="14" t="str">
        <f>VLOOKUP($A152,PLAN!$B:$AC,4,0)</f>
        <v>2211100-C-A</v>
      </c>
      <c r="D152" s="14" t="str">
        <f>VLOOKUP($A152,PLAN!$B:$AC,5,0)</f>
        <v>HW60IM000P10000 NOCE</v>
      </c>
      <c r="E152" s="14" t="str">
        <f>VLOOKUP($A152,PLAN!$B:$AC,2,0)</f>
        <v>1001928767</v>
      </c>
      <c r="F152" s="15">
        <f>VLOOKUP($A152,PLAN!$B:$AC,7,0)</f>
        <v>46242</v>
      </c>
      <c r="G152" s="16" t="str">
        <f>VLOOKUP($A152,PLAN!$B:$AC,8,0)</f>
        <v>0103577709</v>
      </c>
      <c r="H152" s="16" t="str">
        <f>VLOOKUP($A152,PLAN!$B:$AC,9,0)</f>
        <v>260727C16A</v>
      </c>
      <c r="I152" s="16">
        <f>VLOOKUP($A152,PLAN!$B:$AC,10,0)</f>
        <v>5</v>
      </c>
      <c r="J152" s="17">
        <f>VLOOKUP($A152,PLAN!$B:$AC,21,0)</f>
        <v>46235</v>
      </c>
      <c r="K152" s="145" t="str">
        <f>VLOOKUP($A152,PLAN!$B:$AC,22,0)</f>
        <v>M9</v>
      </c>
      <c r="L152" s="1"/>
      <c r="M152" s="1"/>
      <c r="N152" s="1"/>
      <c r="O152" s="221" t="s">
        <v>79</v>
      </c>
      <c r="P152" s="220"/>
      <c r="Q152" s="18">
        <f>VLOOKUP(A152,PLAN!B:R,17,0)</f>
        <v>46234</v>
      </c>
    </row>
    <row r="153" spans="1:17" ht="19.8" hidden="1" customHeight="1">
      <c r="A153" s="329" t="s">
        <v>2153</v>
      </c>
      <c r="B153" s="14">
        <f>VLOOKUP($A153,PLAN!$B:$AC,3,0)</f>
        <v>11130658</v>
      </c>
      <c r="C153" s="14" t="str">
        <f>VLOOKUP($A153,PLAN!$B:$AC,4,0)</f>
        <v>2211130-C-A</v>
      </c>
      <c r="D153" s="14" t="str">
        <f>VLOOKUP($A153,PLAN!$B:$AC,5,0)</f>
        <v>HW70JR400P10000 NOCE</v>
      </c>
      <c r="E153" s="14" t="str">
        <f>VLOOKUP($A153,PLAN!$B:$AC,2,0)</f>
        <v>1001928768</v>
      </c>
      <c r="F153" s="15">
        <f>VLOOKUP($A153,PLAN!$B:$AC,7,0)</f>
        <v>46242</v>
      </c>
      <c r="G153" s="16" t="str">
        <f>VLOOKUP($A153,PLAN!$B:$AC,8,0)</f>
        <v>0103577710</v>
      </c>
      <c r="H153" s="16" t="str">
        <f>VLOOKUP($A153,PLAN!$B:$AC,9,0)</f>
        <v>260727C17A</v>
      </c>
      <c r="I153" s="16">
        <f>VLOOKUP($A153,PLAN!$B:$AC,10,0)</f>
        <v>6</v>
      </c>
      <c r="J153" s="17">
        <f>VLOOKUP($A153,PLAN!$B:$AC,21,0)</f>
        <v>46235</v>
      </c>
      <c r="K153" s="145" t="str">
        <f>VLOOKUP($A153,PLAN!$B:$AC,22,0)</f>
        <v>M9</v>
      </c>
      <c r="L153" s="1"/>
      <c r="M153" s="1"/>
      <c r="N153" s="1"/>
      <c r="O153" s="221" t="s">
        <v>79</v>
      </c>
      <c r="P153" s="220"/>
      <c r="Q153" s="18">
        <f>VLOOKUP(A153,PLAN!B:R,17,0)</f>
        <v>46234</v>
      </c>
    </row>
    <row r="154" spans="1:17" ht="19.8" hidden="1" customHeight="1">
      <c r="A154" s="329" t="s">
        <v>2154</v>
      </c>
      <c r="B154" s="14">
        <f>VLOOKUP($A154,PLAN!$B:$AC,3,0)</f>
        <v>11130565</v>
      </c>
      <c r="C154" s="14" t="str">
        <f>VLOOKUP($A154,PLAN!$B:$AC,4,0)</f>
        <v>2211037-C-A</v>
      </c>
      <c r="D154" s="14" t="str">
        <f>VLOOKUP($A154,PLAN!$B:$AC,5,0)</f>
        <v>HW60AL070P10000 NOCE</v>
      </c>
      <c r="E154" s="14" t="str">
        <f>VLOOKUP($A154,PLAN!$B:$AC,2,0)</f>
        <v>1001928769</v>
      </c>
      <c r="F154" s="15">
        <f>VLOOKUP($A154,PLAN!$B:$AC,7,0)</f>
        <v>46242</v>
      </c>
      <c r="G154" s="16" t="str">
        <f>VLOOKUP($A154,PLAN!$B:$AC,8,0)</f>
        <v>0103577711</v>
      </c>
      <c r="H154" s="16" t="str">
        <f>VLOOKUP($A154,PLAN!$B:$AC,9,0)</f>
        <v>260727C18A</v>
      </c>
      <c r="I154" s="16">
        <f>VLOOKUP($A154,PLAN!$B:$AC,10,0)</f>
        <v>17</v>
      </c>
      <c r="J154" s="17">
        <f>VLOOKUP($A154,PLAN!$B:$AC,21,0)</f>
        <v>46235</v>
      </c>
      <c r="K154" s="145" t="str">
        <f>VLOOKUP($A154,PLAN!$B:$AC,22,0)</f>
        <v>M9</v>
      </c>
      <c r="L154" s="1"/>
      <c r="M154" s="1"/>
      <c r="N154" s="1"/>
      <c r="O154" s="221" t="s">
        <v>79</v>
      </c>
      <c r="P154" s="220"/>
      <c r="Q154" s="18">
        <f>VLOOKUP(A154,PLAN!B:R,17,0)</f>
        <v>46234</v>
      </c>
    </row>
    <row r="155" spans="1:17" ht="19.8" hidden="1" customHeight="1">
      <c r="A155" s="329" t="s">
        <v>2155</v>
      </c>
      <c r="B155" s="14">
        <f>VLOOKUP($A155,PLAN!$B:$AC,3,0)</f>
        <v>11130530</v>
      </c>
      <c r="C155" s="14" t="str">
        <f>VLOOKUP($A155,PLAN!$B:$AC,4,0)</f>
        <v>2211002-C-A</v>
      </c>
      <c r="D155" s="14" t="str">
        <f>VLOOKUP($A155,PLAN!$B:$AC,5,0)</f>
        <v>HW60JR400P10000 NOCE</v>
      </c>
      <c r="E155" s="14" t="str">
        <f>VLOOKUP($A155,PLAN!$B:$AC,2,0)</f>
        <v>1001928770</v>
      </c>
      <c r="F155" s="15">
        <f>VLOOKUP($A155,PLAN!$B:$AC,7,0)</f>
        <v>46242</v>
      </c>
      <c r="G155" s="16" t="str">
        <f>VLOOKUP($A155,PLAN!$B:$AC,8,0)</f>
        <v>0103577712</v>
      </c>
      <c r="H155" s="16" t="str">
        <f>VLOOKUP($A155,PLAN!$B:$AC,9,0)</f>
        <v>260727C19A</v>
      </c>
      <c r="I155" s="16">
        <f>VLOOKUP($A155,PLAN!$B:$AC,10,0)</f>
        <v>28</v>
      </c>
      <c r="J155" s="17">
        <f>VLOOKUP($A155,PLAN!$B:$AC,21,0)</f>
        <v>46235</v>
      </c>
      <c r="K155" s="145" t="str">
        <f>VLOOKUP($A155,PLAN!$B:$AC,22,0)</f>
        <v>M9</v>
      </c>
      <c r="L155" s="1"/>
      <c r="M155" s="1"/>
      <c r="N155" s="1"/>
      <c r="O155" s="221" t="s">
        <v>79</v>
      </c>
      <c r="P155" s="220"/>
      <c r="Q155" s="18">
        <f>VLOOKUP(A155,PLAN!B:R,17,0)</f>
        <v>46234</v>
      </c>
    </row>
    <row r="156" spans="1:17" ht="19.8" hidden="1" customHeight="1">
      <c r="A156" s="329" t="s">
        <v>2156</v>
      </c>
      <c r="B156" s="14">
        <f>VLOOKUP($A156,PLAN!$B:$AC,3,0)</f>
        <v>11130566</v>
      </c>
      <c r="C156" s="14" t="str">
        <f>VLOOKUP($A156,PLAN!$B:$AC,4,0)</f>
        <v>2211038-C-A</v>
      </c>
      <c r="D156" s="14" t="str">
        <f>VLOOKUP($A156,PLAN!$B:$AC,5,0)</f>
        <v>HW60AL100P10000 NOCE</v>
      </c>
      <c r="E156" s="14" t="str">
        <f>VLOOKUP($A156,PLAN!$B:$AC,2,0)</f>
        <v>1001928771</v>
      </c>
      <c r="F156" s="15">
        <f>VLOOKUP($A156,PLAN!$B:$AC,7,0)</f>
        <v>46242</v>
      </c>
      <c r="G156" s="16" t="str">
        <f>VLOOKUP($A156,PLAN!$B:$AC,8,0)</f>
        <v>0103577713</v>
      </c>
      <c r="H156" s="16" t="str">
        <f>VLOOKUP($A156,PLAN!$B:$AC,9,0)</f>
        <v>260727C20A</v>
      </c>
      <c r="I156" s="16">
        <f>VLOOKUP($A156,PLAN!$B:$AC,10,0)</f>
        <v>4</v>
      </c>
      <c r="J156" s="17">
        <f>VLOOKUP($A156,PLAN!$B:$AC,21,0)</f>
        <v>46235</v>
      </c>
      <c r="K156" s="145" t="str">
        <f>VLOOKUP($A156,PLAN!$B:$AC,22,0)</f>
        <v>M9</v>
      </c>
      <c r="L156" s="1"/>
      <c r="M156" s="1"/>
      <c r="N156" s="1"/>
      <c r="O156" s="221" t="s">
        <v>79</v>
      </c>
      <c r="P156" s="220"/>
      <c r="Q156" s="18">
        <f>VLOOKUP(A156,PLAN!B:R,17,0)</f>
        <v>46234</v>
      </c>
    </row>
    <row r="157" spans="1:17" ht="19.8" hidden="1" customHeight="1">
      <c r="A157" s="329" t="s">
        <v>2157</v>
      </c>
      <c r="B157" s="14">
        <f>VLOOKUP($A157,PLAN!$B:$AC,3,0)</f>
        <v>11130696</v>
      </c>
      <c r="C157" s="14" t="str">
        <f>VLOOKUP($A157,PLAN!$B:$AC,4,0)</f>
        <v>2211168-C-A</v>
      </c>
      <c r="D157" s="14" t="str">
        <f>VLOOKUP($A157,PLAN!$B:$AC,5,0)</f>
        <v>HW70AL100P09000 NOCE</v>
      </c>
      <c r="E157" s="14" t="str">
        <f>VLOOKUP($A157,PLAN!$B:$AC,2,0)</f>
        <v>1001928772</v>
      </c>
      <c r="F157" s="15">
        <f>VLOOKUP($A157,PLAN!$B:$AC,7,0)</f>
        <v>46242</v>
      </c>
      <c r="G157" s="16" t="str">
        <f>VLOOKUP($A157,PLAN!$B:$AC,8,0)</f>
        <v>0103577714</v>
      </c>
      <c r="H157" s="16" t="str">
        <f>VLOOKUP($A157,PLAN!$B:$AC,9,0)</f>
        <v>260727C21A</v>
      </c>
      <c r="I157" s="16">
        <f>VLOOKUP($A157,PLAN!$B:$AC,10,0)</f>
        <v>3</v>
      </c>
      <c r="J157" s="17">
        <f>VLOOKUP($A157,PLAN!$B:$AC,21,0)</f>
        <v>46235</v>
      </c>
      <c r="K157" s="145" t="str">
        <f>VLOOKUP($A157,PLAN!$B:$AC,22,0)</f>
        <v>M9</v>
      </c>
      <c r="L157" s="1"/>
      <c r="M157" s="1"/>
      <c r="N157" s="1"/>
      <c r="O157" s="221" t="s">
        <v>79</v>
      </c>
      <c r="P157" s="220"/>
      <c r="Q157" s="18">
        <f>VLOOKUP(A157,PLAN!B:R,17,0)</f>
        <v>46234</v>
      </c>
    </row>
    <row r="158" spans="1:17" ht="19.8" hidden="1" customHeight="1">
      <c r="A158" s="329" t="s">
        <v>2158</v>
      </c>
      <c r="B158" s="14">
        <f>VLOOKUP($A158,PLAN!$B:$AC,3,0)</f>
        <v>11130546</v>
      </c>
      <c r="C158" s="14" t="str">
        <f>VLOOKUP($A158,PLAN!$B:$AC,4,0)</f>
        <v>2211018-C-A</v>
      </c>
      <c r="D158" s="14" t="str">
        <f>VLOOKUP($A158,PLAN!$B:$AC,5,0)</f>
        <v>HW60JL350P10000 NOCE</v>
      </c>
      <c r="E158" s="14" t="str">
        <f>VLOOKUP($A158,PLAN!$B:$AC,2,0)</f>
        <v>1001928773</v>
      </c>
      <c r="F158" s="15">
        <f>VLOOKUP($A158,PLAN!$B:$AC,7,0)</f>
        <v>46242</v>
      </c>
      <c r="G158" s="16" t="str">
        <f>VLOOKUP($A158,PLAN!$B:$AC,8,0)</f>
        <v>0103577715</v>
      </c>
      <c r="H158" s="16" t="str">
        <f>VLOOKUP($A158,PLAN!$B:$AC,9,0)</f>
        <v>260727C22A</v>
      </c>
      <c r="I158" s="16">
        <f>VLOOKUP($A158,PLAN!$B:$AC,10,0)</f>
        <v>5</v>
      </c>
      <c r="J158" s="17">
        <f>VLOOKUP($A158,PLAN!$B:$AC,21,0)</f>
        <v>46235</v>
      </c>
      <c r="K158" s="145" t="str">
        <f>VLOOKUP($A158,PLAN!$B:$AC,22,0)</f>
        <v>M9</v>
      </c>
      <c r="L158" s="1"/>
      <c r="M158" s="1"/>
      <c r="N158" s="1"/>
      <c r="O158" s="221" t="s">
        <v>79</v>
      </c>
      <c r="P158" s="220"/>
      <c r="Q158" s="18">
        <f>VLOOKUP(A158,PLAN!B:R,17,0)</f>
        <v>46234</v>
      </c>
    </row>
    <row r="159" spans="1:17" ht="19.8" hidden="1" customHeight="1">
      <c r="A159" s="329" t="s">
        <v>2159</v>
      </c>
      <c r="B159" s="14">
        <f>VLOOKUP($A159,PLAN!$B:$AC,3,0)</f>
        <v>11130658</v>
      </c>
      <c r="C159" s="14" t="str">
        <f>VLOOKUP($A159,PLAN!$B:$AC,4,0)</f>
        <v>2211130-C-A</v>
      </c>
      <c r="D159" s="14" t="str">
        <f>VLOOKUP($A159,PLAN!$B:$AC,5,0)</f>
        <v>HW70JR400P10000 NOCE</v>
      </c>
      <c r="E159" s="14" t="str">
        <f>VLOOKUP($A159,PLAN!$B:$AC,2,0)</f>
        <v>1001928774</v>
      </c>
      <c r="F159" s="15">
        <f>VLOOKUP($A159,PLAN!$B:$AC,7,0)</f>
        <v>46242</v>
      </c>
      <c r="G159" s="16" t="str">
        <f>VLOOKUP($A159,PLAN!$B:$AC,8,0)</f>
        <v>0103577716</v>
      </c>
      <c r="H159" s="16" t="str">
        <f>VLOOKUP($A159,PLAN!$B:$AC,9,0)</f>
        <v>260727C23A</v>
      </c>
      <c r="I159" s="16">
        <f>VLOOKUP($A159,PLAN!$B:$AC,10,0)</f>
        <v>7</v>
      </c>
      <c r="J159" s="17">
        <f>VLOOKUP($A159,PLAN!$B:$AC,21,0)</f>
        <v>46235</v>
      </c>
      <c r="K159" s="145" t="str">
        <f>VLOOKUP($A159,PLAN!$B:$AC,22,0)</f>
        <v>M9</v>
      </c>
      <c r="L159" s="1"/>
      <c r="M159" s="1"/>
      <c r="N159" s="1"/>
      <c r="O159" s="221" t="s">
        <v>79</v>
      </c>
      <c r="P159" s="220"/>
      <c r="Q159" s="18">
        <f>VLOOKUP(A159,PLAN!B:R,17,0)</f>
        <v>46234</v>
      </c>
    </row>
    <row r="160" spans="1:17" ht="19.8" hidden="1" customHeight="1">
      <c r="A160" s="329" t="s">
        <v>2160</v>
      </c>
      <c r="B160" s="14">
        <f>VLOOKUP($A160,PLAN!$B:$AC,3,0)</f>
        <v>11130530</v>
      </c>
      <c r="C160" s="14" t="str">
        <f>VLOOKUP($A160,PLAN!$B:$AC,4,0)</f>
        <v>2211002-C-A</v>
      </c>
      <c r="D160" s="14" t="str">
        <f>VLOOKUP($A160,PLAN!$B:$AC,5,0)</f>
        <v>HW60JR400P10000 NOCE</v>
      </c>
      <c r="E160" s="14" t="str">
        <f>VLOOKUP($A160,PLAN!$B:$AC,2,0)</f>
        <v>1001928775</v>
      </c>
      <c r="F160" s="15">
        <f>VLOOKUP($A160,PLAN!$B:$AC,7,0)</f>
        <v>46242</v>
      </c>
      <c r="G160" s="16" t="str">
        <f>VLOOKUP($A160,PLAN!$B:$AC,8,0)</f>
        <v>0103577717</v>
      </c>
      <c r="H160" s="16" t="str">
        <f>VLOOKUP($A160,PLAN!$B:$AC,9,0)</f>
        <v>260727C24A</v>
      </c>
      <c r="I160" s="16">
        <f>VLOOKUP($A160,PLAN!$B:$AC,10,0)</f>
        <v>25</v>
      </c>
      <c r="J160" s="17">
        <f>VLOOKUP($A160,PLAN!$B:$AC,21,0)</f>
        <v>46235</v>
      </c>
      <c r="K160" s="145" t="str">
        <f>VLOOKUP($A160,PLAN!$B:$AC,22,0)</f>
        <v>M9</v>
      </c>
      <c r="L160" s="1"/>
      <c r="M160" s="1"/>
      <c r="N160" s="1"/>
      <c r="O160" s="221" t="s">
        <v>79</v>
      </c>
      <c r="P160" s="220"/>
      <c r="Q160" s="18">
        <f>VLOOKUP(A160,PLAN!B:R,17,0)</f>
        <v>46234</v>
      </c>
    </row>
    <row r="161" spans="1:17" ht="19.8" hidden="1" customHeight="1">
      <c r="A161" s="329" t="s">
        <v>2161</v>
      </c>
      <c r="B161" s="14">
        <f>VLOOKUP($A161,PLAN!$B:$AC,3,0)</f>
        <v>11119457</v>
      </c>
      <c r="C161" s="14" t="str">
        <f>VLOOKUP($A161,PLAN!$B:$AC,4,0)</f>
        <v>1911123-D-A</v>
      </c>
      <c r="D161" s="14" t="str">
        <f>VLOOKUP($A161,PLAN!$B:$AC,5,0)</f>
        <v>HJ70CP150P10020 JP</v>
      </c>
      <c r="E161" s="14" t="str">
        <f>VLOOKUP($A161,PLAN!$B:$AC,2,0)</f>
        <v>1001928776</v>
      </c>
      <c r="F161" s="15">
        <f>VLOOKUP($A161,PLAN!$B:$AC,7,0)</f>
        <v>46242</v>
      </c>
      <c r="G161" s="16" t="str">
        <f>VLOOKUP($A161,PLAN!$B:$AC,8,0)</f>
        <v>0103577719</v>
      </c>
      <c r="H161" s="16" t="str">
        <f>VLOOKUP($A161,PLAN!$B:$AC,9,0)</f>
        <v>260727C25A</v>
      </c>
      <c r="I161" s="16">
        <f>VLOOKUP($A161,PLAN!$B:$AC,10,0)</f>
        <v>1</v>
      </c>
      <c r="J161" s="17">
        <f>VLOOKUP($A161,PLAN!$B:$AC,21,0)</f>
        <v>46235</v>
      </c>
      <c r="K161" s="145" t="str">
        <f>VLOOKUP($A161,PLAN!$B:$AC,22,0)</f>
        <v>M9</v>
      </c>
      <c r="L161" s="1"/>
      <c r="M161" s="1"/>
      <c r="N161" s="1"/>
      <c r="O161" s="221" t="s">
        <v>79</v>
      </c>
      <c r="P161" s="220"/>
      <c r="Q161" s="18">
        <f>VLOOKUP(A161,PLAN!B:R,17,0)</f>
        <v>46234</v>
      </c>
    </row>
    <row r="162" spans="1:17" ht="19.8" hidden="1" customHeight="1">
      <c r="A162" s="329" t="s">
        <v>2162</v>
      </c>
      <c r="B162" s="14">
        <f>VLOOKUP($A162,PLAN!$B:$AC,3,0)</f>
        <v>11119345</v>
      </c>
      <c r="C162" s="14" t="str">
        <f>VLOOKUP($A162,PLAN!$B:$AC,4,0)</f>
        <v>1911013-D-A</v>
      </c>
      <c r="D162" s="14" t="str">
        <f>VLOOKUP($A162,PLAN!$B:$AC,5,0)</f>
        <v>HJ60AL150P10021 JP</v>
      </c>
      <c r="E162" s="14" t="str">
        <f>VLOOKUP($A162,PLAN!$B:$AC,2,0)</f>
        <v>1001928777</v>
      </c>
      <c r="F162" s="15">
        <f>VLOOKUP($A162,PLAN!$B:$AC,7,0)</f>
        <v>46242</v>
      </c>
      <c r="G162" s="16" t="str">
        <f>VLOOKUP($A162,PLAN!$B:$AC,8,0)</f>
        <v>0103577720</v>
      </c>
      <c r="H162" s="16" t="str">
        <f>VLOOKUP($A162,PLAN!$B:$AC,9,0)</f>
        <v>260727C26A</v>
      </c>
      <c r="I162" s="16">
        <f>VLOOKUP($A162,PLAN!$B:$AC,10,0)</f>
        <v>2</v>
      </c>
      <c r="J162" s="17">
        <f>VLOOKUP($A162,PLAN!$B:$AC,21,0)</f>
        <v>46235</v>
      </c>
      <c r="K162" s="145" t="str">
        <f>VLOOKUP($A162,PLAN!$B:$AC,22,0)</f>
        <v>M9</v>
      </c>
      <c r="L162" s="1"/>
      <c r="M162" s="1"/>
      <c r="N162" s="1"/>
      <c r="O162" s="221" t="s">
        <v>79</v>
      </c>
      <c r="P162" s="220"/>
      <c r="Q162" s="18">
        <f>VLOOKUP(A162,PLAN!B:R,17,0)</f>
        <v>46234</v>
      </c>
    </row>
    <row r="163" spans="1:17" ht="19.8" hidden="1" customHeight="1">
      <c r="A163" s="329" t="s">
        <v>2163</v>
      </c>
      <c r="B163" s="14">
        <f>VLOOKUP($A163,PLAN!$B:$AC,3,0)</f>
        <v>11119376</v>
      </c>
      <c r="C163" s="14" t="str">
        <f>VLOOKUP($A163,PLAN!$B:$AC,4,0)</f>
        <v>1911044-D-A</v>
      </c>
      <c r="D163" s="14" t="str">
        <f>VLOOKUP($A163,PLAN!$B:$AC,5,0)</f>
        <v>HJ60JL400P09000 JP</v>
      </c>
      <c r="E163" s="14" t="str">
        <f>VLOOKUP($A163,PLAN!$B:$AC,2,0)</f>
        <v>1001928778</v>
      </c>
      <c r="F163" s="15">
        <f>VLOOKUP($A163,PLAN!$B:$AC,7,0)</f>
        <v>46242</v>
      </c>
      <c r="G163" s="16" t="str">
        <f>VLOOKUP($A163,PLAN!$B:$AC,8,0)</f>
        <v>0103577721</v>
      </c>
      <c r="H163" s="16" t="str">
        <f>VLOOKUP($A163,PLAN!$B:$AC,9,0)</f>
        <v>260727C27A</v>
      </c>
      <c r="I163" s="16">
        <f>VLOOKUP($A163,PLAN!$B:$AC,10,0)</f>
        <v>2</v>
      </c>
      <c r="J163" s="17">
        <f>VLOOKUP($A163,PLAN!$B:$AC,21,0)</f>
        <v>46235</v>
      </c>
      <c r="K163" s="145" t="str">
        <f>VLOOKUP($A163,PLAN!$B:$AC,22,0)</f>
        <v>M9</v>
      </c>
      <c r="L163" s="1"/>
      <c r="M163" s="1"/>
      <c r="N163" s="1"/>
      <c r="O163" s="221" t="s">
        <v>79</v>
      </c>
      <c r="P163" s="220"/>
      <c r="Q163" s="18">
        <f>VLOOKUP(A163,PLAN!B:R,17,0)</f>
        <v>46234</v>
      </c>
    </row>
    <row r="164" spans="1:17" ht="19.8" hidden="1" customHeight="1">
      <c r="A164" s="329" t="s">
        <v>2164</v>
      </c>
      <c r="B164" s="14">
        <f>VLOOKUP($A164,PLAN!$B:$AC,3,0)</f>
        <v>11119378</v>
      </c>
      <c r="C164" s="14" t="str">
        <f>VLOOKUP($A164,PLAN!$B:$AC,4,0)</f>
        <v>1911046-D-A</v>
      </c>
      <c r="D164" s="14" t="str">
        <f>VLOOKUP($A164,PLAN!$B:$AC,5,0)</f>
        <v>HJ60JL402P09020 JP</v>
      </c>
      <c r="E164" s="14" t="str">
        <f>VLOOKUP($A164,PLAN!$B:$AC,2,0)</f>
        <v>1001928779</v>
      </c>
      <c r="F164" s="15">
        <f>VLOOKUP($A164,PLAN!$B:$AC,7,0)</f>
        <v>46242</v>
      </c>
      <c r="G164" s="16" t="str">
        <f>VLOOKUP($A164,PLAN!$B:$AC,8,0)</f>
        <v>0103577723</v>
      </c>
      <c r="H164" s="16" t="str">
        <f>VLOOKUP($A164,PLAN!$B:$AC,9,0)</f>
        <v>260727C28A</v>
      </c>
      <c r="I164" s="16">
        <f>VLOOKUP($A164,PLAN!$B:$AC,10,0)</f>
        <v>2</v>
      </c>
      <c r="J164" s="17">
        <f>VLOOKUP($A164,PLAN!$B:$AC,21,0)</f>
        <v>46235</v>
      </c>
      <c r="K164" s="145" t="str">
        <f>VLOOKUP($A164,PLAN!$B:$AC,22,0)</f>
        <v>M9</v>
      </c>
      <c r="L164" s="1"/>
      <c r="M164" s="1"/>
      <c r="N164" s="1"/>
      <c r="O164" s="221" t="s">
        <v>79</v>
      </c>
      <c r="P164" s="220"/>
      <c r="Q164" s="18">
        <f>VLOOKUP(A164,PLAN!B:R,17,0)</f>
        <v>46234</v>
      </c>
    </row>
    <row r="165" spans="1:17" ht="19.8" hidden="1" customHeight="1">
      <c r="A165" s="329" t="s">
        <v>2165</v>
      </c>
      <c r="B165" s="14">
        <f>VLOOKUP($A165,PLAN!$B:$AC,3,0)</f>
        <v>11119418</v>
      </c>
      <c r="C165" s="14" t="str">
        <f>VLOOKUP($A165,PLAN!$B:$AC,4,0)</f>
        <v>1911086-D-A</v>
      </c>
      <c r="D165" s="14" t="str">
        <f>VLOOKUP($A165,PLAN!$B:$AC,5,0)</f>
        <v>HJ60AL152P10022 JP</v>
      </c>
      <c r="E165" s="14" t="str">
        <f>VLOOKUP($A165,PLAN!$B:$AC,2,0)</f>
        <v>1001928780</v>
      </c>
      <c r="F165" s="15">
        <f>VLOOKUP($A165,PLAN!$B:$AC,7,0)</f>
        <v>46242</v>
      </c>
      <c r="G165" s="16" t="str">
        <f>VLOOKUP($A165,PLAN!$B:$AC,8,0)</f>
        <v>0103577724</v>
      </c>
      <c r="H165" s="16" t="str">
        <f>VLOOKUP($A165,PLAN!$B:$AC,9,0)</f>
        <v>260727C29A</v>
      </c>
      <c r="I165" s="16">
        <f>VLOOKUP($A165,PLAN!$B:$AC,10,0)</f>
        <v>4</v>
      </c>
      <c r="J165" s="17">
        <f>VLOOKUP($A165,PLAN!$B:$AC,21,0)</f>
        <v>46235</v>
      </c>
      <c r="K165" s="145" t="str">
        <f>VLOOKUP($A165,PLAN!$B:$AC,22,0)</f>
        <v>M9</v>
      </c>
      <c r="L165" s="1"/>
      <c r="M165" s="1"/>
      <c r="N165" s="1"/>
      <c r="O165" s="221" t="s">
        <v>79</v>
      </c>
      <c r="P165" s="220"/>
      <c r="Q165" s="18">
        <f>VLOOKUP(A165,PLAN!B:R,17,0)</f>
        <v>46234</v>
      </c>
    </row>
    <row r="166" spans="1:17" ht="19.8" hidden="1" customHeight="1">
      <c r="A166" s="329" t="s">
        <v>2166</v>
      </c>
      <c r="B166" s="14">
        <f>VLOOKUP($A166,PLAN!$B:$AC,3,0)</f>
        <v>11119503</v>
      </c>
      <c r="C166" s="14" t="str">
        <f>VLOOKUP($A166,PLAN!$B:$AC,4,0)</f>
        <v>1911169-D-A</v>
      </c>
      <c r="D166" s="14" t="str">
        <f>VLOOKUP($A166,PLAN!$B:$AC,5,0)</f>
        <v>HJ70JR350P10020 JP</v>
      </c>
      <c r="E166" s="14" t="str">
        <f>VLOOKUP($A166,PLAN!$B:$AC,2,0)</f>
        <v>1001928781</v>
      </c>
      <c r="F166" s="15">
        <f>VLOOKUP($A166,PLAN!$B:$AC,7,0)</f>
        <v>46242</v>
      </c>
      <c r="G166" s="16" t="str">
        <f>VLOOKUP($A166,PLAN!$B:$AC,8,0)</f>
        <v>0103577726</v>
      </c>
      <c r="H166" s="16" t="str">
        <f>VLOOKUP($A166,PLAN!$B:$AC,9,0)</f>
        <v>260727C30A</v>
      </c>
      <c r="I166" s="16">
        <f>VLOOKUP($A166,PLAN!$B:$AC,10,0)</f>
        <v>6</v>
      </c>
      <c r="J166" s="17">
        <f>VLOOKUP($A166,PLAN!$B:$AC,21,0)</f>
        <v>46235</v>
      </c>
      <c r="K166" s="145" t="str">
        <f>VLOOKUP($A166,PLAN!$B:$AC,22,0)</f>
        <v>M9</v>
      </c>
      <c r="L166" s="1"/>
      <c r="M166" s="1"/>
      <c r="N166" s="1"/>
      <c r="O166" s="221" t="s">
        <v>79</v>
      </c>
      <c r="P166" s="220"/>
      <c r="Q166" s="18">
        <f>VLOOKUP(A166,PLAN!B:R,17,0)</f>
        <v>46234</v>
      </c>
    </row>
    <row r="167" spans="1:17" ht="19.8" hidden="1" customHeight="1">
      <c r="A167" s="329" t="s">
        <v>2167</v>
      </c>
      <c r="B167" s="14">
        <f>VLOOKUP($A167,PLAN!$B:$AC,3,0)</f>
        <v>11119499</v>
      </c>
      <c r="C167" s="14" t="str">
        <f>VLOOKUP($A167,PLAN!$B:$AC,4,0)</f>
        <v>1911165-D-A</v>
      </c>
      <c r="D167" s="14" t="str">
        <f>VLOOKUP($A167,PLAN!$B:$AC,5,0)</f>
        <v>HJ70JL500P10000 JP</v>
      </c>
      <c r="E167" s="14" t="str">
        <f>VLOOKUP($A167,PLAN!$B:$AC,2,0)</f>
        <v>1001928782</v>
      </c>
      <c r="F167" s="15">
        <f>VLOOKUP($A167,PLAN!$B:$AC,7,0)</f>
        <v>46242</v>
      </c>
      <c r="G167" s="16" t="str">
        <f>VLOOKUP($A167,PLAN!$B:$AC,8,0)</f>
        <v>0103577727</v>
      </c>
      <c r="H167" s="16" t="str">
        <f>VLOOKUP($A167,PLAN!$B:$AC,9,0)</f>
        <v>260727C31A</v>
      </c>
      <c r="I167" s="16">
        <f>VLOOKUP($A167,PLAN!$B:$AC,10,0)</f>
        <v>8</v>
      </c>
      <c r="J167" s="17">
        <f>VLOOKUP($A167,PLAN!$B:$AC,21,0)</f>
        <v>46235</v>
      </c>
      <c r="K167" s="145" t="str">
        <f>VLOOKUP($A167,PLAN!$B:$AC,22,0)</f>
        <v>M9</v>
      </c>
      <c r="L167" s="1"/>
      <c r="M167" s="1"/>
      <c r="N167" s="1"/>
      <c r="O167" s="221" t="s">
        <v>79</v>
      </c>
      <c r="P167" s="220"/>
      <c r="Q167" s="18">
        <f>VLOOKUP(A167,PLAN!B:R,17,0)</f>
        <v>46234</v>
      </c>
    </row>
    <row r="168" spans="1:17" ht="19.8" hidden="1" customHeight="1">
      <c r="A168" s="329" t="s">
        <v>2168</v>
      </c>
      <c r="B168" s="14">
        <f>VLOOKUP($A168,PLAN!$B:$AC,3,0)</f>
        <v>11119339</v>
      </c>
      <c r="C168" s="14" t="str">
        <f>VLOOKUP($A168,PLAN!$B:$AC,4,0)</f>
        <v>1911007-D-A</v>
      </c>
      <c r="D168" s="14" t="str">
        <f>VLOOKUP($A168,PLAN!$B:$AC,5,0)</f>
        <v>HJ60AL102P10020 JP</v>
      </c>
      <c r="E168" s="14" t="str">
        <f>VLOOKUP($A168,PLAN!$B:$AC,2,0)</f>
        <v>1001928783</v>
      </c>
      <c r="F168" s="15">
        <f>VLOOKUP($A168,PLAN!$B:$AC,7,0)</f>
        <v>46242</v>
      </c>
      <c r="G168" s="16" t="str">
        <f>VLOOKUP($A168,PLAN!$B:$AC,8,0)</f>
        <v>0103577728</v>
      </c>
      <c r="H168" s="16" t="str">
        <f>VLOOKUP($A168,PLAN!$B:$AC,9,0)</f>
        <v>260727C32A</v>
      </c>
      <c r="I168" s="16">
        <f>VLOOKUP($A168,PLAN!$B:$AC,10,0)</f>
        <v>16</v>
      </c>
      <c r="J168" s="17">
        <f>VLOOKUP($A168,PLAN!$B:$AC,21,0)</f>
        <v>46235</v>
      </c>
      <c r="K168" s="145" t="str">
        <f>VLOOKUP($A168,PLAN!$B:$AC,22,0)</f>
        <v>M9</v>
      </c>
      <c r="L168" s="1"/>
      <c r="M168" s="1"/>
      <c r="N168" s="1"/>
      <c r="O168" s="221" t="s">
        <v>79</v>
      </c>
      <c r="P168" s="220"/>
      <c r="Q168" s="18">
        <f>VLOOKUP(A168,PLAN!B:R,17,0)</f>
        <v>46234</v>
      </c>
    </row>
    <row r="169" spans="1:17" ht="19.8" hidden="1" customHeight="1">
      <c r="A169" s="329" t="s">
        <v>2169</v>
      </c>
      <c r="B169" s="14">
        <f>VLOOKUP($A169,PLAN!$B:$AC,3,0)</f>
        <v>11119363</v>
      </c>
      <c r="C169" s="14" t="str">
        <f>VLOOKUP($A169,PLAN!$B:$AC,4,0)</f>
        <v>1911031-D-A</v>
      </c>
      <c r="D169" s="14" t="str">
        <f>VLOOKUP($A169,PLAN!$B:$AC,5,0)</f>
        <v>HJ60IL350P10000 JP</v>
      </c>
      <c r="E169" s="14" t="str">
        <f>VLOOKUP($A169,PLAN!$B:$AC,2,0)</f>
        <v>1001928784</v>
      </c>
      <c r="F169" s="15">
        <f>VLOOKUP($A169,PLAN!$B:$AC,7,0)</f>
        <v>46242</v>
      </c>
      <c r="G169" s="16" t="str">
        <f>VLOOKUP($A169,PLAN!$B:$AC,8,0)</f>
        <v>0103577729</v>
      </c>
      <c r="H169" s="16" t="str">
        <f>VLOOKUP($A169,PLAN!$B:$AC,9,0)</f>
        <v>260727C33A</v>
      </c>
      <c r="I169" s="16">
        <f>VLOOKUP($A169,PLAN!$B:$AC,10,0)</f>
        <v>17</v>
      </c>
      <c r="J169" s="17">
        <f>VLOOKUP($A169,PLAN!$B:$AC,21,0)</f>
        <v>46235</v>
      </c>
      <c r="K169" s="145" t="str">
        <f>VLOOKUP($A169,PLAN!$B:$AC,22,0)</f>
        <v>M9</v>
      </c>
      <c r="L169" s="1"/>
      <c r="M169" s="1"/>
      <c r="N169" s="1"/>
      <c r="O169" s="221" t="s">
        <v>79</v>
      </c>
      <c r="P169" s="220"/>
      <c r="Q169" s="18">
        <f>VLOOKUP(A169,PLAN!B:R,17,0)</f>
        <v>46234</v>
      </c>
    </row>
    <row r="170" spans="1:17" ht="19.8" hidden="1" customHeight="1">
      <c r="A170" s="329" t="s">
        <v>2466</v>
      </c>
      <c r="B170" s="14">
        <f>VLOOKUP($A170,PLAN!$B:$AC,3,0)</f>
        <v>11119346</v>
      </c>
      <c r="C170" s="14" t="str">
        <f>VLOOKUP($A170,PLAN!$B:$AC,4,0)</f>
        <v>1911014-D-A</v>
      </c>
      <c r="D170" s="14" t="str">
        <f>VLOOKUP($A170,PLAN!$B:$AC,5,0)</f>
        <v>HJ60AL152P10021 JP</v>
      </c>
      <c r="E170" s="14" t="str">
        <f>VLOOKUP($A170,PLAN!$B:$AC,2,0)</f>
        <v>1001929526</v>
      </c>
      <c r="F170" s="15">
        <f>VLOOKUP($A170,PLAN!$B:$AC,7,0)</f>
        <v>46247</v>
      </c>
      <c r="G170" s="16" t="str">
        <f>VLOOKUP($A170,PLAN!$B:$AC,8,0)</f>
        <v>0103578955</v>
      </c>
      <c r="H170" s="16" t="str">
        <f>VLOOKUP($A170,PLAN!$B:$AC,9,0)</f>
        <v>260727C34A</v>
      </c>
      <c r="I170" s="16">
        <f>VLOOKUP($A170,PLAN!$B:$AC,10,0)</f>
        <v>1</v>
      </c>
      <c r="J170" s="17">
        <f>VLOOKUP($A170,PLAN!$B:$AC,21,0)</f>
        <v>46237</v>
      </c>
      <c r="K170" s="145" t="str">
        <f>VLOOKUP($A170,PLAN!$B:$AC,22,0)</f>
        <v>M9</v>
      </c>
      <c r="L170" s="1"/>
      <c r="M170" s="1"/>
      <c r="N170" s="1"/>
      <c r="O170" s="221" t="s">
        <v>79</v>
      </c>
      <c r="P170" s="220"/>
      <c r="Q170" s="18">
        <f>VLOOKUP(A170,PLAN!B:R,17,0)</f>
        <v>46235</v>
      </c>
    </row>
    <row r="171" spans="1:17" ht="19.8" hidden="1" customHeight="1">
      <c r="A171" s="329" t="s">
        <v>2467</v>
      </c>
      <c r="B171" s="14">
        <f>VLOOKUP($A171,PLAN!$B:$AC,3,0)</f>
        <v>11119350</v>
      </c>
      <c r="C171" s="14" t="str">
        <f>VLOOKUP($A171,PLAN!$B:$AC,4,0)</f>
        <v>1911018-D-A</v>
      </c>
      <c r="D171" s="14" t="str">
        <f>VLOOKUP($A171,PLAN!$B:$AC,5,0)</f>
        <v>HJ60CP150P10020 JP</v>
      </c>
      <c r="E171" s="14" t="str">
        <f>VLOOKUP($A171,PLAN!$B:$AC,2,0)</f>
        <v>1001929527</v>
      </c>
      <c r="F171" s="15">
        <f>VLOOKUP($A171,PLAN!$B:$AC,7,0)</f>
        <v>46247</v>
      </c>
      <c r="G171" s="16" t="str">
        <f>VLOOKUP($A171,PLAN!$B:$AC,8,0)</f>
        <v>0103578956</v>
      </c>
      <c r="H171" s="16" t="str">
        <f>VLOOKUP($A171,PLAN!$B:$AC,9,0)</f>
        <v>260727C35A</v>
      </c>
      <c r="I171" s="16">
        <f>VLOOKUP($A171,PLAN!$B:$AC,10,0)</f>
        <v>1</v>
      </c>
      <c r="J171" s="17">
        <f>VLOOKUP($A171,PLAN!$B:$AC,21,0)</f>
        <v>46237</v>
      </c>
      <c r="K171" s="145" t="str">
        <f>VLOOKUP($A171,PLAN!$B:$AC,22,0)</f>
        <v>M9</v>
      </c>
      <c r="L171" s="1"/>
      <c r="M171" s="1"/>
      <c r="N171" s="1"/>
      <c r="O171" s="221" t="s">
        <v>79</v>
      </c>
      <c r="P171" s="220"/>
      <c r="Q171" s="18">
        <f>VLOOKUP(A171,PLAN!B:R,17,0)</f>
        <v>46235</v>
      </c>
    </row>
    <row r="172" spans="1:17" ht="19.8" hidden="1" customHeight="1">
      <c r="A172" s="329" t="s">
        <v>2468</v>
      </c>
      <c r="B172" s="14">
        <f>VLOOKUP($A172,PLAN!$B:$AC,3,0)</f>
        <v>11119369</v>
      </c>
      <c r="C172" s="14" t="str">
        <f>VLOOKUP($A172,PLAN!$B:$AC,4,0)</f>
        <v>1911037-D-A</v>
      </c>
      <c r="D172" s="14" t="str">
        <f>VLOOKUP($A172,PLAN!$B:$AC,5,0)</f>
        <v>HJ60IM002P10030 JP</v>
      </c>
      <c r="E172" s="14" t="str">
        <f>VLOOKUP($A172,PLAN!$B:$AC,2,0)</f>
        <v>1001929528</v>
      </c>
      <c r="F172" s="15">
        <f>VLOOKUP($A172,PLAN!$B:$AC,7,0)</f>
        <v>46247</v>
      </c>
      <c r="G172" s="16" t="str">
        <f>VLOOKUP($A172,PLAN!$B:$AC,8,0)</f>
        <v>0103578957</v>
      </c>
      <c r="H172" s="16" t="str">
        <f>VLOOKUP($A172,PLAN!$B:$AC,9,0)</f>
        <v>260727C36A</v>
      </c>
      <c r="I172" s="16">
        <f>VLOOKUP($A172,PLAN!$B:$AC,10,0)</f>
        <v>1</v>
      </c>
      <c r="J172" s="17">
        <f>VLOOKUP($A172,PLAN!$B:$AC,21,0)</f>
        <v>46237</v>
      </c>
      <c r="K172" s="145" t="str">
        <f>VLOOKUP($A172,PLAN!$B:$AC,22,0)</f>
        <v>M9</v>
      </c>
      <c r="L172" s="1"/>
      <c r="M172" s="1"/>
      <c r="N172" s="1"/>
      <c r="O172" s="221" t="s">
        <v>79</v>
      </c>
      <c r="P172" s="220"/>
      <c r="Q172" s="18">
        <f>VLOOKUP(A172,PLAN!B:R,17,0)</f>
        <v>46235</v>
      </c>
    </row>
    <row r="173" spans="1:17" ht="19.8" hidden="1" customHeight="1">
      <c r="A173" s="329" t="s">
        <v>2469</v>
      </c>
      <c r="B173" s="14">
        <f>VLOOKUP($A173,PLAN!$B:$AC,3,0)</f>
        <v>11119405</v>
      </c>
      <c r="C173" s="14" t="str">
        <f>VLOOKUP($A173,PLAN!$B:$AC,4,0)</f>
        <v>1911073-D-A</v>
      </c>
      <c r="D173" s="14" t="str">
        <f>VLOOKUP($A173,PLAN!$B:$AC,5,0)</f>
        <v>HJ60RB070P10020 JP</v>
      </c>
      <c r="E173" s="14" t="str">
        <f>VLOOKUP($A173,PLAN!$B:$AC,2,0)</f>
        <v>1001929531</v>
      </c>
      <c r="F173" s="15">
        <f>VLOOKUP($A173,PLAN!$B:$AC,7,0)</f>
        <v>46247</v>
      </c>
      <c r="G173" s="16" t="str">
        <f>VLOOKUP($A173,PLAN!$B:$AC,8,0)</f>
        <v>0103578958</v>
      </c>
      <c r="H173" s="16" t="str">
        <f>VLOOKUP($A173,PLAN!$B:$AC,9,0)</f>
        <v>260727C37A</v>
      </c>
      <c r="I173" s="16">
        <f>VLOOKUP($A173,PLAN!$B:$AC,10,0)</f>
        <v>1</v>
      </c>
      <c r="J173" s="17">
        <f>VLOOKUP($A173,PLAN!$B:$AC,21,0)</f>
        <v>46237</v>
      </c>
      <c r="K173" s="145" t="str">
        <f>VLOOKUP($A173,PLAN!$B:$AC,22,0)</f>
        <v>M9</v>
      </c>
      <c r="L173" s="1"/>
      <c r="M173" s="1"/>
      <c r="N173" s="1"/>
      <c r="O173" s="221" t="s">
        <v>79</v>
      </c>
      <c r="P173" s="220"/>
      <c r="Q173" s="18">
        <f>VLOOKUP(A173,PLAN!B:R,17,0)</f>
        <v>46235</v>
      </c>
    </row>
    <row r="174" spans="1:17" ht="19.8" hidden="1" customHeight="1">
      <c r="A174" s="329" t="s">
        <v>2470</v>
      </c>
      <c r="B174" s="14">
        <f>VLOOKUP($A174,PLAN!$B:$AC,3,0)</f>
        <v>11119422</v>
      </c>
      <c r="C174" s="14" t="str">
        <f>VLOOKUP($A174,PLAN!$B:$AC,4,0)</f>
        <v>1911090-D-A</v>
      </c>
      <c r="D174" s="14" t="str">
        <f>VLOOKUP($A174,PLAN!$B:$AC,5,0)</f>
        <v>HJ60SC352P10020 JP</v>
      </c>
      <c r="E174" s="14" t="str">
        <f>VLOOKUP($A174,PLAN!$B:$AC,2,0)</f>
        <v>1001929533</v>
      </c>
      <c r="F174" s="15">
        <f>VLOOKUP($A174,PLAN!$B:$AC,7,0)</f>
        <v>46247</v>
      </c>
      <c r="G174" s="16" t="str">
        <f>VLOOKUP($A174,PLAN!$B:$AC,8,0)</f>
        <v>0103578960</v>
      </c>
      <c r="H174" s="16" t="str">
        <f>VLOOKUP($A174,PLAN!$B:$AC,9,0)</f>
        <v>260727C38A</v>
      </c>
      <c r="I174" s="16">
        <f>VLOOKUP($A174,PLAN!$B:$AC,10,0)</f>
        <v>1</v>
      </c>
      <c r="J174" s="17">
        <f>VLOOKUP($A174,PLAN!$B:$AC,21,0)</f>
        <v>46237</v>
      </c>
      <c r="K174" s="145" t="str">
        <f>VLOOKUP($A174,PLAN!$B:$AC,22,0)</f>
        <v>M9</v>
      </c>
      <c r="L174" s="1"/>
      <c r="M174" s="1"/>
      <c r="N174" s="1"/>
      <c r="O174" s="221" t="s">
        <v>79</v>
      </c>
      <c r="P174" s="220"/>
      <c r="Q174" s="18">
        <f>VLOOKUP(A174,PLAN!B:R,17,0)</f>
        <v>46235</v>
      </c>
    </row>
    <row r="175" spans="1:17" ht="19.8" hidden="1" customHeight="1">
      <c r="A175" s="329" t="s">
        <v>2471</v>
      </c>
      <c r="B175" s="14">
        <f>VLOOKUP($A175,PLAN!$B:$AC,3,0)</f>
        <v>11119452</v>
      </c>
      <c r="C175" s="14" t="str">
        <f>VLOOKUP($A175,PLAN!$B:$AC,4,0)</f>
        <v>1911118-D-A</v>
      </c>
      <c r="D175" s="14" t="str">
        <f>VLOOKUP($A175,PLAN!$B:$AC,5,0)</f>
        <v>HJ70AL150P10021 JP</v>
      </c>
      <c r="E175" s="14" t="str">
        <f>VLOOKUP($A175,PLAN!$B:$AC,2,0)</f>
        <v>1001929535</v>
      </c>
      <c r="F175" s="15">
        <f>VLOOKUP($A175,PLAN!$B:$AC,7,0)</f>
        <v>46247</v>
      </c>
      <c r="G175" s="16" t="str">
        <f>VLOOKUP($A175,PLAN!$B:$AC,8,0)</f>
        <v>0103578963</v>
      </c>
      <c r="H175" s="16" t="str">
        <f>VLOOKUP($A175,PLAN!$B:$AC,9,0)</f>
        <v>260727C39A</v>
      </c>
      <c r="I175" s="16">
        <f>VLOOKUP($A175,PLAN!$B:$AC,10,0)</f>
        <v>1</v>
      </c>
      <c r="J175" s="17">
        <f>VLOOKUP($A175,PLAN!$B:$AC,21,0)</f>
        <v>46237</v>
      </c>
      <c r="K175" s="145" t="str">
        <f>VLOOKUP($A175,PLAN!$B:$AC,22,0)</f>
        <v>M9</v>
      </c>
      <c r="L175" s="1"/>
      <c r="M175" s="1"/>
      <c r="N175" s="1"/>
      <c r="O175" s="221" t="s">
        <v>79</v>
      </c>
      <c r="P175" s="220"/>
      <c r="Q175" s="18">
        <f>VLOOKUP(A175,PLAN!B:R,17,0)</f>
        <v>46235</v>
      </c>
    </row>
    <row r="176" spans="1:17" ht="19.8" hidden="1" customHeight="1">
      <c r="A176" s="329" t="s">
        <v>2472</v>
      </c>
      <c r="B176" s="14">
        <f>VLOOKUP($A176,PLAN!$B:$AC,3,0)</f>
        <v>11119461</v>
      </c>
      <c r="C176" s="14" t="str">
        <f>VLOOKUP($A176,PLAN!$B:$AC,4,0)</f>
        <v>1911127-D-A</v>
      </c>
      <c r="D176" s="14" t="str">
        <f>VLOOKUP($A176,PLAN!$B:$AC,5,0)</f>
        <v>HJ70CP250P10020 JP</v>
      </c>
      <c r="E176" s="14" t="str">
        <f>VLOOKUP($A176,PLAN!$B:$AC,2,0)</f>
        <v>1001929537</v>
      </c>
      <c r="F176" s="15">
        <f>VLOOKUP($A176,PLAN!$B:$AC,7,0)</f>
        <v>46247</v>
      </c>
      <c r="G176" s="16" t="str">
        <f>VLOOKUP($A176,PLAN!$B:$AC,8,0)</f>
        <v>0103578965</v>
      </c>
      <c r="H176" s="16" t="str">
        <f>VLOOKUP($A176,PLAN!$B:$AC,9,0)</f>
        <v>260727C40A</v>
      </c>
      <c r="I176" s="16">
        <f>VLOOKUP($A176,PLAN!$B:$AC,10,0)</f>
        <v>1</v>
      </c>
      <c r="J176" s="17">
        <f>VLOOKUP($A176,PLAN!$B:$AC,21,0)</f>
        <v>46237</v>
      </c>
      <c r="K176" s="145" t="str">
        <f>VLOOKUP($A176,PLAN!$B:$AC,22,0)</f>
        <v>M9</v>
      </c>
      <c r="L176" s="1"/>
      <c r="M176" s="1"/>
      <c r="N176" s="1"/>
      <c r="O176" s="221" t="s">
        <v>79</v>
      </c>
      <c r="P176" s="220"/>
      <c r="Q176" s="18">
        <f>VLOOKUP(A176,PLAN!B:R,17,0)</f>
        <v>46235</v>
      </c>
    </row>
    <row r="177" spans="1:17" ht="19.8" hidden="1" customHeight="1">
      <c r="A177" s="329" t="s">
        <v>2473</v>
      </c>
      <c r="B177" s="14">
        <f>VLOOKUP($A177,PLAN!$B:$AC,3,0)</f>
        <v>11119495</v>
      </c>
      <c r="C177" s="14" t="str">
        <f>VLOOKUP($A177,PLAN!$B:$AC,4,0)</f>
        <v>1911161-D-A</v>
      </c>
      <c r="D177" s="14" t="str">
        <f>VLOOKUP($A177,PLAN!$B:$AC,5,0)</f>
        <v>HJ70JL450P10000 JP</v>
      </c>
      <c r="E177" s="14" t="str">
        <f>VLOOKUP($A177,PLAN!$B:$AC,2,0)</f>
        <v>1001929539</v>
      </c>
      <c r="F177" s="15">
        <f>VLOOKUP($A177,PLAN!$B:$AC,7,0)</f>
        <v>46247</v>
      </c>
      <c r="G177" s="16" t="str">
        <f>VLOOKUP($A177,PLAN!$B:$AC,8,0)</f>
        <v>0103578967</v>
      </c>
      <c r="H177" s="16" t="str">
        <f>VLOOKUP($A177,PLAN!$B:$AC,9,0)</f>
        <v>260727C41A</v>
      </c>
      <c r="I177" s="16">
        <f>VLOOKUP($A177,PLAN!$B:$AC,10,0)</f>
        <v>1</v>
      </c>
      <c r="J177" s="17">
        <f>VLOOKUP($A177,PLAN!$B:$AC,21,0)</f>
        <v>46237</v>
      </c>
      <c r="K177" s="145" t="str">
        <f>VLOOKUP($A177,PLAN!$B:$AC,22,0)</f>
        <v>M9</v>
      </c>
      <c r="L177" s="1"/>
      <c r="M177" s="1"/>
      <c r="N177" s="1"/>
      <c r="O177" s="221" t="s">
        <v>79</v>
      </c>
      <c r="P177" s="220"/>
      <c r="Q177" s="18">
        <f>VLOOKUP(A177,PLAN!B:R,17,0)</f>
        <v>46235</v>
      </c>
    </row>
    <row r="178" spans="1:17" ht="19.8" hidden="1" customHeight="1">
      <c r="A178" s="329" t="s">
        <v>2474</v>
      </c>
      <c r="B178" s="14">
        <f>VLOOKUP($A178,PLAN!$B:$AC,3,0)</f>
        <v>11119497</v>
      </c>
      <c r="C178" s="14" t="str">
        <f>VLOOKUP($A178,PLAN!$B:$AC,4,0)</f>
        <v>1911163-D-A</v>
      </c>
      <c r="D178" s="14" t="str">
        <f>VLOOKUP($A178,PLAN!$B:$AC,5,0)</f>
        <v>HJ70JL450P10001 JP</v>
      </c>
      <c r="E178" s="14" t="str">
        <f>VLOOKUP($A178,PLAN!$B:$AC,2,0)</f>
        <v>1001929541</v>
      </c>
      <c r="F178" s="15">
        <f>VLOOKUP($A178,PLAN!$B:$AC,7,0)</f>
        <v>46247</v>
      </c>
      <c r="G178" s="16" t="str">
        <f>VLOOKUP($A178,PLAN!$B:$AC,8,0)</f>
        <v>0103578969</v>
      </c>
      <c r="H178" s="16" t="str">
        <f>VLOOKUP($A178,PLAN!$B:$AC,9,0)</f>
        <v>260727C42A</v>
      </c>
      <c r="I178" s="16">
        <f>VLOOKUP($A178,PLAN!$B:$AC,10,0)</f>
        <v>1</v>
      </c>
      <c r="J178" s="17">
        <f>VLOOKUP($A178,PLAN!$B:$AC,21,0)</f>
        <v>46237</v>
      </c>
      <c r="K178" s="145" t="str">
        <f>VLOOKUP($A178,PLAN!$B:$AC,22,0)</f>
        <v>M9</v>
      </c>
      <c r="L178" s="1"/>
      <c r="M178" s="1"/>
      <c r="N178" s="1"/>
      <c r="O178" s="221" t="s">
        <v>79</v>
      </c>
      <c r="P178" s="220"/>
      <c r="Q178" s="18">
        <f>VLOOKUP(A178,PLAN!B:R,17,0)</f>
        <v>46235</v>
      </c>
    </row>
    <row r="179" spans="1:17" ht="19.8" hidden="1" customHeight="1">
      <c r="A179" s="329" t="s">
        <v>2475</v>
      </c>
      <c r="B179" s="14">
        <f>VLOOKUP($A179,PLAN!$B:$AC,3,0)</f>
        <v>11119500</v>
      </c>
      <c r="C179" s="14" t="str">
        <f>VLOOKUP($A179,PLAN!$B:$AC,4,0)</f>
        <v>1911166-D-A</v>
      </c>
      <c r="D179" s="14" t="str">
        <f>VLOOKUP($A179,PLAN!$B:$AC,5,0)</f>
        <v>HJ70JL502P10020 JP</v>
      </c>
      <c r="E179" s="14" t="str">
        <f>VLOOKUP($A179,PLAN!$B:$AC,2,0)</f>
        <v>1001929543</v>
      </c>
      <c r="F179" s="15">
        <f>VLOOKUP($A179,PLAN!$B:$AC,7,0)</f>
        <v>46247</v>
      </c>
      <c r="G179" s="16" t="str">
        <f>VLOOKUP($A179,PLAN!$B:$AC,8,0)</f>
        <v>0103578971</v>
      </c>
      <c r="H179" s="16" t="str">
        <f>VLOOKUP($A179,PLAN!$B:$AC,9,0)</f>
        <v>260727C43A</v>
      </c>
      <c r="I179" s="16">
        <f>VLOOKUP($A179,PLAN!$B:$AC,10,0)</f>
        <v>1</v>
      </c>
      <c r="J179" s="17">
        <f>VLOOKUP($A179,PLAN!$B:$AC,21,0)</f>
        <v>46237</v>
      </c>
      <c r="K179" s="145" t="str">
        <f>VLOOKUP($A179,PLAN!$B:$AC,22,0)</f>
        <v>M9</v>
      </c>
      <c r="L179" s="1"/>
      <c r="M179" s="1"/>
      <c r="N179" s="1"/>
      <c r="O179" s="221" t="s">
        <v>79</v>
      </c>
      <c r="P179" s="220"/>
      <c r="Q179" s="18">
        <f>VLOOKUP(A179,PLAN!B:R,17,0)</f>
        <v>46235</v>
      </c>
    </row>
    <row r="180" spans="1:17" ht="19.8" hidden="1" customHeight="1">
      <c r="A180" s="329" t="s">
        <v>2476</v>
      </c>
      <c r="B180" s="14">
        <f>VLOOKUP($A180,PLAN!$B:$AC,3,0)</f>
        <v>11119662</v>
      </c>
      <c r="C180" s="14" t="str">
        <f>VLOOKUP($A180,PLAN!$B:$AC,4,0)</f>
        <v>1911328-D-A</v>
      </c>
      <c r="D180" s="14" t="str">
        <f>VLOOKUP($A180,PLAN!$B:$AC,5,0)</f>
        <v>HJ80AL100P09002 JP</v>
      </c>
      <c r="E180" s="14" t="str">
        <f>VLOOKUP($A180,PLAN!$B:$AC,2,0)</f>
        <v>1001929545</v>
      </c>
      <c r="F180" s="15">
        <f>VLOOKUP($A180,PLAN!$B:$AC,7,0)</f>
        <v>46247</v>
      </c>
      <c r="G180" s="16" t="str">
        <f>VLOOKUP($A180,PLAN!$B:$AC,8,0)</f>
        <v>0103578973</v>
      </c>
      <c r="H180" s="16" t="str">
        <f>VLOOKUP($A180,PLAN!$B:$AC,9,0)</f>
        <v>260727C44A</v>
      </c>
      <c r="I180" s="16">
        <f>VLOOKUP($A180,PLAN!$B:$AC,10,0)</f>
        <v>1</v>
      </c>
      <c r="J180" s="17">
        <f>VLOOKUP($A180,PLAN!$B:$AC,21,0)</f>
        <v>46237</v>
      </c>
      <c r="K180" s="145" t="str">
        <f>VLOOKUP($A180,PLAN!$B:$AC,22,0)</f>
        <v>M9</v>
      </c>
      <c r="L180" s="1"/>
      <c r="M180" s="1"/>
      <c r="N180" s="1"/>
      <c r="O180" s="221" t="s">
        <v>79</v>
      </c>
      <c r="P180" s="220"/>
      <c r="Q180" s="18">
        <f>VLOOKUP(A180,PLAN!B:R,17,0)</f>
        <v>46235</v>
      </c>
    </row>
    <row r="181" spans="1:17" ht="19.8" hidden="1" customHeight="1">
      <c r="A181" s="329" t="s">
        <v>2477</v>
      </c>
      <c r="B181" s="14">
        <f>VLOOKUP($A181,PLAN!$B:$AC,3,0)</f>
        <v>11119665</v>
      </c>
      <c r="C181" s="14" t="str">
        <f>VLOOKUP($A181,PLAN!$B:$AC,4,0)</f>
        <v>1911331-D-A</v>
      </c>
      <c r="D181" s="14" t="str">
        <f>VLOOKUP($A181,PLAN!$B:$AC,5,0)</f>
        <v>HJ80AL150P10002 JP</v>
      </c>
      <c r="E181" s="14" t="str">
        <f>VLOOKUP($A181,PLAN!$B:$AC,2,0)</f>
        <v>1001929547</v>
      </c>
      <c r="F181" s="15">
        <f>VLOOKUP($A181,PLAN!$B:$AC,7,0)</f>
        <v>46247</v>
      </c>
      <c r="G181" s="16" t="str">
        <f>VLOOKUP($A181,PLAN!$B:$AC,8,0)</f>
        <v>0103578975</v>
      </c>
      <c r="H181" s="16" t="str">
        <f>VLOOKUP($A181,PLAN!$B:$AC,9,0)</f>
        <v>260727C45A</v>
      </c>
      <c r="I181" s="16">
        <f>VLOOKUP($A181,PLAN!$B:$AC,10,0)</f>
        <v>1</v>
      </c>
      <c r="J181" s="17">
        <f>VLOOKUP($A181,PLAN!$B:$AC,21,0)</f>
        <v>46237</v>
      </c>
      <c r="K181" s="145" t="str">
        <f>VLOOKUP($A181,PLAN!$B:$AC,22,0)</f>
        <v>M9</v>
      </c>
      <c r="L181" s="1"/>
      <c r="M181" s="1"/>
      <c r="N181" s="1"/>
      <c r="O181" s="221" t="s">
        <v>79</v>
      </c>
      <c r="P181" s="220"/>
      <c r="Q181" s="18">
        <f>VLOOKUP(A181,PLAN!B:R,17,0)</f>
        <v>46235</v>
      </c>
    </row>
    <row r="182" spans="1:17" ht="19.8" hidden="1" customHeight="1">
      <c r="A182" s="329" t="s">
        <v>2478</v>
      </c>
      <c r="B182" s="14">
        <f>VLOOKUP($A182,PLAN!$B:$AC,3,0)</f>
        <v>11119610</v>
      </c>
      <c r="C182" s="14" t="str">
        <f>VLOOKUP($A182,PLAN!$B:$AC,4,0)</f>
        <v>1911276-D-A</v>
      </c>
      <c r="D182" s="14" t="str">
        <f>VLOOKUP($A182,PLAN!$B:$AC,5,0)</f>
        <v>HJ80JL400P10000 JP</v>
      </c>
      <c r="E182" s="14" t="str">
        <f>VLOOKUP($A182,PLAN!$B:$AC,2,0)</f>
        <v>1001929549</v>
      </c>
      <c r="F182" s="15">
        <f>VLOOKUP($A182,PLAN!$B:$AC,7,0)</f>
        <v>46247</v>
      </c>
      <c r="G182" s="16" t="str">
        <f>VLOOKUP($A182,PLAN!$B:$AC,8,0)</f>
        <v>0103578977</v>
      </c>
      <c r="H182" s="16" t="str">
        <f>VLOOKUP($A182,PLAN!$B:$AC,9,0)</f>
        <v>260727C46A</v>
      </c>
      <c r="I182" s="16">
        <f>VLOOKUP($A182,PLAN!$B:$AC,10,0)</f>
        <v>1</v>
      </c>
      <c r="J182" s="17">
        <f>VLOOKUP($A182,PLAN!$B:$AC,21,0)</f>
        <v>46237</v>
      </c>
      <c r="K182" s="145" t="str">
        <f>VLOOKUP($A182,PLAN!$B:$AC,22,0)</f>
        <v>M9</v>
      </c>
      <c r="L182" s="1"/>
      <c r="M182" s="1"/>
      <c r="N182" s="1"/>
      <c r="O182" s="221" t="s">
        <v>79</v>
      </c>
      <c r="P182" s="220"/>
      <c r="Q182" s="18">
        <f>VLOOKUP(A182,PLAN!B:R,17,0)</f>
        <v>46235</v>
      </c>
    </row>
    <row r="183" spans="1:17" ht="19.8" hidden="1" customHeight="1">
      <c r="A183" s="329" t="s">
        <v>2479</v>
      </c>
      <c r="B183" s="14">
        <f>VLOOKUP($A183,PLAN!$B:$AC,3,0)</f>
        <v>11119340</v>
      </c>
      <c r="C183" s="14" t="str">
        <f>VLOOKUP($A183,PLAN!$B:$AC,4,0)</f>
        <v>1911008-D-A</v>
      </c>
      <c r="D183" s="14" t="str">
        <f>VLOOKUP($A183,PLAN!$B:$AC,5,0)</f>
        <v>HJ60AL102P09020 JP</v>
      </c>
      <c r="E183" s="14" t="str">
        <f>VLOOKUP($A183,PLAN!$B:$AC,2,0)</f>
        <v>1001929551</v>
      </c>
      <c r="F183" s="15">
        <f>VLOOKUP($A183,PLAN!$B:$AC,7,0)</f>
        <v>46247</v>
      </c>
      <c r="G183" s="16" t="str">
        <f>VLOOKUP($A183,PLAN!$B:$AC,8,0)</f>
        <v>0103578979</v>
      </c>
      <c r="H183" s="16" t="str">
        <f>VLOOKUP($A183,PLAN!$B:$AC,9,0)</f>
        <v>260727C47A</v>
      </c>
      <c r="I183" s="16">
        <f>VLOOKUP($A183,PLAN!$B:$AC,10,0)</f>
        <v>2</v>
      </c>
      <c r="J183" s="17">
        <f>VLOOKUP($A183,PLAN!$B:$AC,21,0)</f>
        <v>46237</v>
      </c>
      <c r="K183" s="145" t="str">
        <f>VLOOKUP($A183,PLAN!$B:$AC,22,0)</f>
        <v>M9</v>
      </c>
      <c r="L183" s="1"/>
      <c r="M183" s="1"/>
      <c r="N183" s="1"/>
      <c r="O183" s="221" t="s">
        <v>79</v>
      </c>
      <c r="P183" s="220"/>
      <c r="Q183" s="18">
        <f>VLOOKUP(A183,PLAN!B:R,17,0)</f>
        <v>46235</v>
      </c>
    </row>
    <row r="184" spans="1:17" ht="19.8" hidden="1" customHeight="1">
      <c r="A184" s="329" t="s">
        <v>2480</v>
      </c>
      <c r="B184" s="14">
        <f>VLOOKUP($A184,PLAN!$B:$AC,3,0)</f>
        <v>11119366</v>
      </c>
      <c r="C184" s="14" t="str">
        <f>VLOOKUP($A184,PLAN!$B:$AC,4,0)</f>
        <v>1911034-D-A</v>
      </c>
      <c r="D184" s="14" t="str">
        <f>VLOOKUP($A184,PLAN!$B:$AC,5,0)</f>
        <v>HJ60IL402P10020 JP</v>
      </c>
      <c r="E184" s="14" t="str">
        <f>VLOOKUP($A184,PLAN!$B:$AC,2,0)</f>
        <v>1001929552</v>
      </c>
      <c r="F184" s="15">
        <f>VLOOKUP($A184,PLAN!$B:$AC,7,0)</f>
        <v>46247</v>
      </c>
      <c r="G184" s="16" t="str">
        <f>VLOOKUP($A184,PLAN!$B:$AC,8,0)</f>
        <v>0103578980</v>
      </c>
      <c r="H184" s="16" t="str">
        <f>VLOOKUP($A184,PLAN!$B:$AC,9,0)</f>
        <v>260727C48A</v>
      </c>
      <c r="I184" s="16">
        <f>VLOOKUP($A184,PLAN!$B:$AC,10,0)</f>
        <v>2</v>
      </c>
      <c r="J184" s="17">
        <f>VLOOKUP($A184,PLAN!$B:$AC,21,0)</f>
        <v>46237</v>
      </c>
      <c r="K184" s="145" t="str">
        <f>VLOOKUP($A184,PLAN!$B:$AC,22,0)</f>
        <v>M9</v>
      </c>
      <c r="L184" s="1"/>
      <c r="M184" s="1"/>
      <c r="N184" s="1"/>
      <c r="O184" s="221" t="s">
        <v>79</v>
      </c>
      <c r="P184" s="220"/>
      <c r="Q184" s="18">
        <f>VLOOKUP(A184,PLAN!B:R,17,0)</f>
        <v>46235</v>
      </c>
    </row>
    <row r="185" spans="1:17" ht="19.8" hidden="1" customHeight="1">
      <c r="A185" s="329" t="s">
        <v>2481</v>
      </c>
      <c r="B185" s="14">
        <f>VLOOKUP($A185,PLAN!$B:$AC,3,0)</f>
        <v>11119382</v>
      </c>
      <c r="C185" s="14" t="str">
        <f>VLOOKUP($A185,PLAN!$B:$AC,4,0)</f>
        <v>1911050-D-A</v>
      </c>
      <c r="D185" s="14" t="str">
        <f>VLOOKUP($A185,PLAN!$B:$AC,5,0)</f>
        <v>HJ60JL452P10020 JP</v>
      </c>
      <c r="E185" s="14" t="str">
        <f>VLOOKUP($A185,PLAN!$B:$AC,2,0)</f>
        <v>1001929553</v>
      </c>
      <c r="F185" s="15">
        <f>VLOOKUP($A185,PLAN!$B:$AC,7,0)</f>
        <v>46247</v>
      </c>
      <c r="G185" s="16" t="str">
        <f>VLOOKUP($A185,PLAN!$B:$AC,8,0)</f>
        <v>0103578981</v>
      </c>
      <c r="H185" s="16" t="str">
        <f>VLOOKUP($A185,PLAN!$B:$AC,9,0)</f>
        <v>260727C49A</v>
      </c>
      <c r="I185" s="16">
        <f>VLOOKUP($A185,PLAN!$B:$AC,10,0)</f>
        <v>2</v>
      </c>
      <c r="J185" s="17">
        <f>VLOOKUP($A185,PLAN!$B:$AC,21,0)</f>
        <v>46237</v>
      </c>
      <c r="K185" s="145" t="str">
        <f>VLOOKUP($A185,PLAN!$B:$AC,22,0)</f>
        <v>M9</v>
      </c>
      <c r="L185" s="1"/>
      <c r="M185" s="1"/>
      <c r="N185" s="1"/>
      <c r="O185" s="221" t="s">
        <v>79</v>
      </c>
      <c r="P185" s="220"/>
      <c r="Q185" s="18">
        <f>VLOOKUP(A185,PLAN!B:R,17,0)</f>
        <v>46235</v>
      </c>
    </row>
    <row r="186" spans="1:17" ht="19.8" hidden="1" customHeight="1">
      <c r="A186" s="329" t="s">
        <v>2482</v>
      </c>
      <c r="B186" s="14">
        <f>VLOOKUP($A186,PLAN!$B:$AC,3,0)</f>
        <v>11119394</v>
      </c>
      <c r="C186" s="14" t="str">
        <f>VLOOKUP($A186,PLAN!$B:$AC,4,0)</f>
        <v>1911062-D-A</v>
      </c>
      <c r="D186" s="14" t="str">
        <f>VLOOKUP($A186,PLAN!$B:$AC,5,0)</f>
        <v>HJ60JR402P09020 JP</v>
      </c>
      <c r="E186" s="14" t="str">
        <f>VLOOKUP($A186,PLAN!$B:$AC,2,0)</f>
        <v>1001929554</v>
      </c>
      <c r="F186" s="15">
        <f>VLOOKUP($A186,PLAN!$B:$AC,7,0)</f>
        <v>46247</v>
      </c>
      <c r="G186" s="16" t="str">
        <f>VLOOKUP($A186,PLAN!$B:$AC,8,0)</f>
        <v>0103578983</v>
      </c>
      <c r="H186" s="16" t="str">
        <f>VLOOKUP($A186,PLAN!$B:$AC,9,0)</f>
        <v>260727C50A</v>
      </c>
      <c r="I186" s="16">
        <f>VLOOKUP($A186,PLAN!$B:$AC,10,0)</f>
        <v>2</v>
      </c>
      <c r="J186" s="17">
        <f>VLOOKUP($A186,PLAN!$B:$AC,21,0)</f>
        <v>46237</v>
      </c>
      <c r="K186" s="145" t="str">
        <f>VLOOKUP($A186,PLAN!$B:$AC,22,0)</f>
        <v>M9</v>
      </c>
      <c r="L186" s="1"/>
      <c r="M186" s="1"/>
      <c r="N186" s="1"/>
      <c r="O186" s="221" t="s">
        <v>79</v>
      </c>
      <c r="P186" s="220"/>
      <c r="Q186" s="18">
        <f>VLOOKUP(A186,PLAN!B:R,17,0)</f>
        <v>46235</v>
      </c>
    </row>
    <row r="187" spans="1:17" ht="19.8" hidden="1" customHeight="1">
      <c r="A187" s="329" t="s">
        <v>2483</v>
      </c>
      <c r="B187" s="14">
        <f>VLOOKUP($A187,PLAN!$B:$AC,3,0)</f>
        <v>11119511</v>
      </c>
      <c r="C187" s="14" t="str">
        <f>VLOOKUP($A187,PLAN!$B:$AC,4,0)</f>
        <v>1911177-D-A</v>
      </c>
      <c r="D187" s="14" t="str">
        <f>VLOOKUP($A187,PLAN!$B:$AC,5,0)</f>
        <v>HJ70JR450P10020 JP</v>
      </c>
      <c r="E187" s="14" t="str">
        <f>VLOOKUP($A187,PLAN!$B:$AC,2,0)</f>
        <v>1001929555</v>
      </c>
      <c r="F187" s="15">
        <f>VLOOKUP($A187,PLAN!$B:$AC,7,0)</f>
        <v>46247</v>
      </c>
      <c r="G187" s="16" t="str">
        <f>VLOOKUP($A187,PLAN!$B:$AC,8,0)</f>
        <v>0103578984</v>
      </c>
      <c r="H187" s="16" t="str">
        <f>VLOOKUP($A187,PLAN!$B:$AC,9,0)</f>
        <v>260727C51A</v>
      </c>
      <c r="I187" s="16">
        <f>VLOOKUP($A187,PLAN!$B:$AC,10,0)</f>
        <v>2</v>
      </c>
      <c r="J187" s="17">
        <f>VLOOKUP($A187,PLAN!$B:$AC,21,0)</f>
        <v>46237</v>
      </c>
      <c r="K187" s="145" t="str">
        <f>VLOOKUP($A187,PLAN!$B:$AC,22,0)</f>
        <v>M9</v>
      </c>
      <c r="L187" s="1"/>
      <c r="M187" s="1"/>
      <c r="N187" s="1"/>
      <c r="O187" s="221" t="s">
        <v>79</v>
      </c>
      <c r="P187" s="220"/>
      <c r="Q187" s="18">
        <f>VLOOKUP(A187,PLAN!B:R,17,0)</f>
        <v>46235</v>
      </c>
    </row>
    <row r="188" spans="1:17" ht="19.8" hidden="1" customHeight="1">
      <c r="A188" s="329" t="s">
        <v>2484</v>
      </c>
      <c r="B188" s="14">
        <f>VLOOKUP($A188,PLAN!$B:$AC,3,0)</f>
        <v>11119601</v>
      </c>
      <c r="C188" s="14" t="str">
        <f>VLOOKUP($A188,PLAN!$B:$AC,4,0)</f>
        <v>1911267-D-A</v>
      </c>
      <c r="D188" s="14" t="str">
        <f>VLOOKUP($A188,PLAN!$B:$AC,5,0)</f>
        <v>HJ80IM000P10010 JP</v>
      </c>
      <c r="E188" s="14" t="str">
        <f>VLOOKUP($A188,PLAN!$B:$AC,2,0)</f>
        <v>1001929556</v>
      </c>
      <c r="F188" s="15">
        <f>VLOOKUP($A188,PLAN!$B:$AC,7,0)</f>
        <v>46247</v>
      </c>
      <c r="G188" s="16" t="str">
        <f>VLOOKUP($A188,PLAN!$B:$AC,8,0)</f>
        <v>0103578985</v>
      </c>
      <c r="H188" s="16" t="str">
        <f>VLOOKUP($A188,PLAN!$B:$AC,9,0)</f>
        <v>260727C52A</v>
      </c>
      <c r="I188" s="16">
        <f>VLOOKUP($A188,PLAN!$B:$AC,10,0)</f>
        <v>2</v>
      </c>
      <c r="J188" s="17">
        <f>VLOOKUP($A188,PLAN!$B:$AC,21,0)</f>
        <v>46237</v>
      </c>
      <c r="K188" s="145" t="str">
        <f>VLOOKUP($A188,PLAN!$B:$AC,22,0)</f>
        <v>M9</v>
      </c>
      <c r="L188" s="1"/>
      <c r="M188" s="1"/>
      <c r="N188" s="1"/>
      <c r="O188" s="221" t="s">
        <v>79</v>
      </c>
      <c r="P188" s="220"/>
      <c r="Q188" s="18">
        <f>VLOOKUP(A188,PLAN!B:R,17,0)</f>
        <v>46235</v>
      </c>
    </row>
    <row r="189" spans="1:17" ht="19.8" hidden="1" customHeight="1">
      <c r="A189" s="329" t="s">
        <v>2485</v>
      </c>
      <c r="B189" s="14">
        <f>VLOOKUP($A189,PLAN!$B:$AC,3,0)</f>
        <v>11119398</v>
      </c>
      <c r="C189" s="14" t="str">
        <f>VLOOKUP($A189,PLAN!$B:$AC,4,0)</f>
        <v>1911066-D-A</v>
      </c>
      <c r="D189" s="14" t="str">
        <f>VLOOKUP($A189,PLAN!$B:$AC,5,0)</f>
        <v>HJ60JR502P10020 JP</v>
      </c>
      <c r="E189" s="14" t="str">
        <f>VLOOKUP($A189,PLAN!$B:$AC,2,0)</f>
        <v>1001929557</v>
      </c>
      <c r="F189" s="15">
        <f>VLOOKUP($A189,PLAN!$B:$AC,7,0)</f>
        <v>46247</v>
      </c>
      <c r="G189" s="16" t="str">
        <f>VLOOKUP($A189,PLAN!$B:$AC,8,0)</f>
        <v>0103578986</v>
      </c>
      <c r="H189" s="16" t="str">
        <f>VLOOKUP($A189,PLAN!$B:$AC,9,0)</f>
        <v>260727C53A</v>
      </c>
      <c r="I189" s="16">
        <f>VLOOKUP($A189,PLAN!$B:$AC,10,0)</f>
        <v>3</v>
      </c>
      <c r="J189" s="17">
        <f>VLOOKUP($A189,PLAN!$B:$AC,21,0)</f>
        <v>46237</v>
      </c>
      <c r="K189" s="145" t="str">
        <f>VLOOKUP($A189,PLAN!$B:$AC,22,0)</f>
        <v>M9</v>
      </c>
      <c r="L189" s="1"/>
      <c r="M189" s="1"/>
      <c r="N189" s="1"/>
      <c r="O189" s="221" t="s">
        <v>79</v>
      </c>
      <c r="P189" s="220"/>
      <c r="Q189" s="18">
        <f>VLOOKUP(A189,PLAN!B:R,17,0)</f>
        <v>46235</v>
      </c>
    </row>
    <row r="190" spans="1:17" ht="19.8" hidden="1" customHeight="1">
      <c r="A190" s="329" t="s">
        <v>2486</v>
      </c>
      <c r="B190" s="14">
        <f>VLOOKUP($A190,PLAN!$B:$AC,3,0)</f>
        <v>11119436</v>
      </c>
      <c r="C190" s="14" t="str">
        <f>VLOOKUP($A190,PLAN!$B:$AC,4,0)</f>
        <v>2111063-D-A</v>
      </c>
      <c r="D190" s="14" t="str">
        <f>VLOOKUP($A190,PLAN!$B:$AC,5,0)</f>
        <v>HJ60SL102P10000 JP</v>
      </c>
      <c r="E190" s="14" t="str">
        <f>VLOOKUP($A190,PLAN!$B:$AC,2,0)</f>
        <v>1001929558</v>
      </c>
      <c r="F190" s="15">
        <f>VLOOKUP($A190,PLAN!$B:$AC,7,0)</f>
        <v>46247</v>
      </c>
      <c r="G190" s="16" t="str">
        <f>VLOOKUP($A190,PLAN!$B:$AC,8,0)</f>
        <v>0103578987</v>
      </c>
      <c r="H190" s="16" t="str">
        <f>VLOOKUP($A190,PLAN!$B:$AC,9,0)</f>
        <v>260727C54A</v>
      </c>
      <c r="I190" s="16">
        <f>VLOOKUP($A190,PLAN!$B:$AC,10,0)</f>
        <v>3</v>
      </c>
      <c r="J190" s="17">
        <f>VLOOKUP($A190,PLAN!$B:$AC,21,0)</f>
        <v>46237</v>
      </c>
      <c r="K190" s="145" t="str">
        <f>VLOOKUP($A190,PLAN!$B:$AC,22,0)</f>
        <v>M9</v>
      </c>
      <c r="L190" s="1"/>
      <c r="M190" s="1"/>
      <c r="N190" s="1"/>
      <c r="O190" s="221" t="s">
        <v>79</v>
      </c>
      <c r="P190" s="220"/>
      <c r="Q190" s="18">
        <f>VLOOKUP(A190,PLAN!B:R,17,0)</f>
        <v>46235</v>
      </c>
    </row>
    <row r="191" spans="1:17" ht="19.8" hidden="1" customHeight="1">
      <c r="A191" s="329" t="s">
        <v>2487</v>
      </c>
      <c r="B191" s="14">
        <f>VLOOKUP($A191,PLAN!$B:$AC,3,0)</f>
        <v>11119544</v>
      </c>
      <c r="C191" s="14" t="str">
        <f>VLOOKUP($A191,PLAN!$B:$AC,4,0)</f>
        <v>1911210-D-A</v>
      </c>
      <c r="D191" s="14" t="str">
        <f>VLOOKUP($A191,PLAN!$B:$AC,5,0)</f>
        <v>HJ70AL150P09022 JP</v>
      </c>
      <c r="E191" s="14" t="str">
        <f>VLOOKUP($A191,PLAN!$B:$AC,2,0)</f>
        <v>1001929559</v>
      </c>
      <c r="F191" s="15">
        <f>VLOOKUP($A191,PLAN!$B:$AC,7,0)</f>
        <v>46247</v>
      </c>
      <c r="G191" s="16" t="str">
        <f>VLOOKUP($A191,PLAN!$B:$AC,8,0)</f>
        <v>0103578988</v>
      </c>
      <c r="H191" s="16" t="str">
        <f>VLOOKUP($A191,PLAN!$B:$AC,9,0)</f>
        <v>260727C55A</v>
      </c>
      <c r="I191" s="16">
        <f>VLOOKUP($A191,PLAN!$B:$AC,10,0)</f>
        <v>3</v>
      </c>
      <c r="J191" s="17">
        <f>VLOOKUP($A191,PLAN!$B:$AC,21,0)</f>
        <v>46237</v>
      </c>
      <c r="K191" s="145" t="str">
        <f>VLOOKUP($A191,PLAN!$B:$AC,22,0)</f>
        <v>M9</v>
      </c>
      <c r="L191" s="1"/>
      <c r="M191" s="1"/>
      <c r="N191" s="1"/>
      <c r="O191" s="221" t="s">
        <v>79</v>
      </c>
      <c r="P191" s="220"/>
      <c r="Q191" s="18">
        <f>VLOOKUP(A191,PLAN!B:R,17,0)</f>
        <v>46235</v>
      </c>
    </row>
    <row r="192" spans="1:17" ht="19.8" hidden="1" customHeight="1">
      <c r="A192" s="329" t="s">
        <v>2488</v>
      </c>
      <c r="B192" s="14">
        <f>VLOOKUP($A192,PLAN!$B:$AC,3,0)</f>
        <v>11119498</v>
      </c>
      <c r="C192" s="14" t="str">
        <f>VLOOKUP($A192,PLAN!$B:$AC,4,0)</f>
        <v>1911164-D-A</v>
      </c>
      <c r="D192" s="14" t="str">
        <f>VLOOKUP($A192,PLAN!$B:$AC,5,0)</f>
        <v>HJ70JL452P10021 JP</v>
      </c>
      <c r="E192" s="14" t="str">
        <f>VLOOKUP($A192,PLAN!$B:$AC,2,0)</f>
        <v>1001929560</v>
      </c>
      <c r="F192" s="15">
        <f>VLOOKUP($A192,PLAN!$B:$AC,7,0)</f>
        <v>46247</v>
      </c>
      <c r="G192" s="16" t="str">
        <f>VLOOKUP($A192,PLAN!$B:$AC,8,0)</f>
        <v>0103578989</v>
      </c>
      <c r="H192" s="16" t="str">
        <f>VLOOKUP($A192,PLAN!$B:$AC,9,0)</f>
        <v>260727C56A</v>
      </c>
      <c r="I192" s="16">
        <f>VLOOKUP($A192,PLAN!$B:$AC,10,0)</f>
        <v>3</v>
      </c>
      <c r="J192" s="17">
        <f>VLOOKUP($A192,PLAN!$B:$AC,21,0)</f>
        <v>46237</v>
      </c>
      <c r="K192" s="145" t="str">
        <f>VLOOKUP($A192,PLAN!$B:$AC,22,0)</f>
        <v>M9</v>
      </c>
      <c r="L192" s="1"/>
      <c r="M192" s="1"/>
      <c r="N192" s="1"/>
      <c r="O192" s="221" t="s">
        <v>79</v>
      </c>
      <c r="P192" s="220"/>
      <c r="Q192" s="18">
        <f>VLOOKUP(A192,PLAN!B:R,17,0)</f>
        <v>46235</v>
      </c>
    </row>
    <row r="193" spans="1:17" ht="19.8" hidden="1" customHeight="1">
      <c r="A193" s="329" t="s">
        <v>2489</v>
      </c>
      <c r="B193" s="14">
        <f>VLOOKUP($A193,PLAN!$B:$AC,3,0)</f>
        <v>11119529</v>
      </c>
      <c r="C193" s="14" t="str">
        <f>VLOOKUP($A193,PLAN!$B:$AC,4,0)</f>
        <v>1911195-D-A</v>
      </c>
      <c r="D193" s="14" t="str">
        <f>VLOOKUP($A193,PLAN!$B:$AC,5,0)</f>
        <v>HJ70RB100P10020 JP</v>
      </c>
      <c r="E193" s="14" t="str">
        <f>VLOOKUP($A193,PLAN!$B:$AC,2,0)</f>
        <v>1001929562</v>
      </c>
      <c r="F193" s="15">
        <f>VLOOKUP($A193,PLAN!$B:$AC,7,0)</f>
        <v>46247</v>
      </c>
      <c r="G193" s="16" t="str">
        <f>VLOOKUP($A193,PLAN!$B:$AC,8,0)</f>
        <v>0103578990</v>
      </c>
      <c r="H193" s="16" t="str">
        <f>VLOOKUP($A193,PLAN!$B:$AC,9,0)</f>
        <v>260727C57A</v>
      </c>
      <c r="I193" s="16">
        <f>VLOOKUP($A193,PLAN!$B:$AC,10,0)</f>
        <v>3</v>
      </c>
      <c r="J193" s="17">
        <f>VLOOKUP($A193,PLAN!$B:$AC,21,0)</f>
        <v>46237</v>
      </c>
      <c r="K193" s="145" t="str">
        <f>VLOOKUP($A193,PLAN!$B:$AC,22,0)</f>
        <v>M9</v>
      </c>
      <c r="L193" s="1"/>
      <c r="M193" s="1"/>
      <c r="N193" s="1"/>
      <c r="O193" s="221" t="s">
        <v>79</v>
      </c>
      <c r="P193" s="220"/>
      <c r="Q193" s="18">
        <f>VLOOKUP(A193,PLAN!B:R,17,0)</f>
        <v>46235</v>
      </c>
    </row>
    <row r="194" spans="1:17" ht="19.8" hidden="1" customHeight="1">
      <c r="A194" s="329" t="s">
        <v>2490</v>
      </c>
      <c r="B194" s="14">
        <f>VLOOKUP($A194,PLAN!$B:$AC,3,0)</f>
        <v>11119669</v>
      </c>
      <c r="C194" s="14" t="str">
        <f>VLOOKUP($A194,PLAN!$B:$AC,4,0)</f>
        <v>1911335-D-A</v>
      </c>
      <c r="D194" s="14" t="str">
        <f>VLOOKUP($A194,PLAN!$B:$AC,5,0)</f>
        <v>HJ80AL200P10002 JP</v>
      </c>
      <c r="E194" s="14" t="str">
        <f>VLOOKUP($A194,PLAN!$B:$AC,2,0)</f>
        <v>1001929563</v>
      </c>
      <c r="F194" s="15">
        <f>VLOOKUP($A194,PLAN!$B:$AC,7,0)</f>
        <v>46247</v>
      </c>
      <c r="G194" s="16" t="str">
        <f>VLOOKUP($A194,PLAN!$B:$AC,8,0)</f>
        <v>0103578991</v>
      </c>
      <c r="H194" s="16" t="str">
        <f>VLOOKUP($A194,PLAN!$B:$AC,9,0)</f>
        <v>260727C58A</v>
      </c>
      <c r="I194" s="16">
        <f>VLOOKUP($A194,PLAN!$B:$AC,10,0)</f>
        <v>3</v>
      </c>
      <c r="J194" s="17">
        <f>VLOOKUP($A194,PLAN!$B:$AC,21,0)</f>
        <v>46237</v>
      </c>
      <c r="K194" s="145" t="str">
        <f>VLOOKUP($A194,PLAN!$B:$AC,22,0)</f>
        <v>M9</v>
      </c>
      <c r="L194" s="1"/>
      <c r="M194" s="1"/>
      <c r="N194" s="1"/>
      <c r="O194" s="221" t="s">
        <v>79</v>
      </c>
      <c r="P194" s="220"/>
      <c r="Q194" s="18">
        <f>VLOOKUP(A194,PLAN!B:R,17,0)</f>
        <v>46235</v>
      </c>
    </row>
    <row r="195" spans="1:17" ht="19.8" hidden="1" customHeight="1">
      <c r="A195" s="329" t="s">
        <v>2491</v>
      </c>
      <c r="B195" s="14">
        <f>VLOOKUP($A195,PLAN!$B:$AC,3,0)</f>
        <v>11119671</v>
      </c>
      <c r="C195" s="14" t="str">
        <f>VLOOKUP($A195,PLAN!$B:$AC,4,0)</f>
        <v>1911337-D-A</v>
      </c>
      <c r="D195" s="14" t="str">
        <f>VLOOKUP($A195,PLAN!$B:$AC,5,0)</f>
        <v>HJ80AL202P10002 JP</v>
      </c>
      <c r="E195" s="14" t="str">
        <f>VLOOKUP($A195,PLAN!$B:$AC,2,0)</f>
        <v>1001929564</v>
      </c>
      <c r="F195" s="15">
        <f>VLOOKUP($A195,PLAN!$B:$AC,7,0)</f>
        <v>46247</v>
      </c>
      <c r="G195" s="16" t="str">
        <f>VLOOKUP($A195,PLAN!$B:$AC,8,0)</f>
        <v>0103578992</v>
      </c>
      <c r="H195" s="16" t="str">
        <f>VLOOKUP($A195,PLAN!$B:$AC,9,0)</f>
        <v>260727C59A</v>
      </c>
      <c r="I195" s="16">
        <f>VLOOKUP($A195,PLAN!$B:$AC,10,0)</f>
        <v>3</v>
      </c>
      <c r="J195" s="17">
        <f>VLOOKUP($A195,PLAN!$B:$AC,21,0)</f>
        <v>46237</v>
      </c>
      <c r="K195" s="145" t="str">
        <f>VLOOKUP($A195,PLAN!$B:$AC,22,0)</f>
        <v>M9</v>
      </c>
      <c r="L195" s="1"/>
      <c r="M195" s="1"/>
      <c r="N195" s="1"/>
      <c r="O195" s="221" t="s">
        <v>79</v>
      </c>
      <c r="P195" s="220"/>
      <c r="Q195" s="18">
        <f>VLOOKUP(A195,PLAN!B:R,17,0)</f>
        <v>46235</v>
      </c>
    </row>
    <row r="196" spans="1:17" ht="19.8" hidden="1" customHeight="1">
      <c r="A196" s="329" t="s">
        <v>2492</v>
      </c>
      <c r="B196" s="14">
        <f>VLOOKUP($A196,PLAN!$B:$AC,3,0)</f>
        <v>11119335</v>
      </c>
      <c r="C196" s="14" t="str">
        <f>VLOOKUP($A196,PLAN!$B:$AC,4,0)</f>
        <v>1911003-D-A</v>
      </c>
      <c r="D196" s="14" t="str">
        <f>VLOOKUP($A196,PLAN!$B:$AC,5,0)</f>
        <v>HJ60AL070P10021 JP</v>
      </c>
      <c r="E196" s="14" t="str">
        <f>VLOOKUP($A196,PLAN!$B:$AC,2,0)</f>
        <v>1001929565</v>
      </c>
      <c r="F196" s="15">
        <f>VLOOKUP($A196,PLAN!$B:$AC,7,0)</f>
        <v>46247</v>
      </c>
      <c r="G196" s="16" t="str">
        <f>VLOOKUP($A196,PLAN!$B:$AC,8,0)</f>
        <v>0103578993</v>
      </c>
      <c r="H196" s="16" t="str">
        <f>VLOOKUP($A196,PLAN!$B:$AC,9,0)</f>
        <v>260727C60A</v>
      </c>
      <c r="I196" s="16">
        <f>VLOOKUP($A196,PLAN!$B:$AC,10,0)</f>
        <v>4</v>
      </c>
      <c r="J196" s="17">
        <f>VLOOKUP($A196,PLAN!$B:$AC,21,0)</f>
        <v>46237</v>
      </c>
      <c r="K196" s="145" t="str">
        <f>VLOOKUP($A196,PLAN!$B:$AC,22,0)</f>
        <v>M9</v>
      </c>
      <c r="L196" s="1"/>
      <c r="M196" s="1"/>
      <c r="N196" s="1"/>
      <c r="O196" s="221" t="s">
        <v>79</v>
      </c>
      <c r="P196" s="220"/>
      <c r="Q196" s="18">
        <f>VLOOKUP(A196,PLAN!B:R,17,0)</f>
        <v>46235</v>
      </c>
    </row>
    <row r="197" spans="1:17" ht="19.8" hidden="1" customHeight="1">
      <c r="A197" s="329" t="s">
        <v>2493</v>
      </c>
      <c r="B197" s="14">
        <f>VLOOKUP($A197,PLAN!$B:$AC,3,0)</f>
        <v>11119396</v>
      </c>
      <c r="C197" s="14" t="str">
        <f>VLOOKUP($A197,PLAN!$B:$AC,4,0)</f>
        <v>1911064-D-A</v>
      </c>
      <c r="D197" s="14" t="str">
        <f>VLOOKUP($A197,PLAN!$B:$AC,5,0)</f>
        <v>HJ60JR452P10020 JP</v>
      </c>
      <c r="E197" s="14" t="str">
        <f>VLOOKUP($A197,PLAN!$B:$AC,2,0)</f>
        <v>1001929566</v>
      </c>
      <c r="F197" s="15">
        <f>VLOOKUP($A197,PLAN!$B:$AC,7,0)</f>
        <v>46247</v>
      </c>
      <c r="G197" s="16" t="str">
        <f>VLOOKUP($A197,PLAN!$B:$AC,8,0)</f>
        <v>0103578994</v>
      </c>
      <c r="H197" s="16" t="str">
        <f>VLOOKUP($A197,PLAN!$B:$AC,9,0)</f>
        <v>260727C61A</v>
      </c>
      <c r="I197" s="16">
        <f>VLOOKUP($A197,PLAN!$B:$AC,10,0)</f>
        <v>4</v>
      </c>
      <c r="J197" s="17">
        <f>VLOOKUP($A197,PLAN!$B:$AC,21,0)</f>
        <v>46237</v>
      </c>
      <c r="K197" s="145" t="str">
        <f>VLOOKUP($A197,PLAN!$B:$AC,22,0)</f>
        <v>M9</v>
      </c>
      <c r="L197" s="1"/>
      <c r="M197" s="1"/>
      <c r="N197" s="1"/>
      <c r="O197" s="221" t="s">
        <v>79</v>
      </c>
      <c r="P197" s="220"/>
      <c r="Q197" s="18">
        <f>VLOOKUP(A197,PLAN!B:R,17,0)</f>
        <v>46235</v>
      </c>
    </row>
    <row r="198" spans="1:17" ht="19.8" hidden="1" customHeight="1">
      <c r="A198" s="329" t="s">
        <v>2494</v>
      </c>
      <c r="B198" s="14">
        <f>VLOOKUP($A198,PLAN!$B:$AC,3,0)</f>
        <v>11119482</v>
      </c>
      <c r="C198" s="14" t="str">
        <f>VLOOKUP($A198,PLAN!$B:$AC,4,0)</f>
        <v>1911148-D-A</v>
      </c>
      <c r="D198" s="14" t="str">
        <f>VLOOKUP($A198,PLAN!$B:$AC,5,0)</f>
        <v>HJ70JL350P09000 JP</v>
      </c>
      <c r="E198" s="14" t="str">
        <f>VLOOKUP($A198,PLAN!$B:$AC,2,0)</f>
        <v>1001929567</v>
      </c>
      <c r="F198" s="15">
        <f>VLOOKUP($A198,PLAN!$B:$AC,7,0)</f>
        <v>46247</v>
      </c>
      <c r="G198" s="16" t="str">
        <f>VLOOKUP($A198,PLAN!$B:$AC,8,0)</f>
        <v>0103578995</v>
      </c>
      <c r="H198" s="16" t="str">
        <f>VLOOKUP($A198,PLAN!$B:$AC,9,0)</f>
        <v>260727C62A</v>
      </c>
      <c r="I198" s="16">
        <f>VLOOKUP($A198,PLAN!$B:$AC,10,0)</f>
        <v>4</v>
      </c>
      <c r="J198" s="17">
        <f>VLOOKUP($A198,PLAN!$B:$AC,21,0)</f>
        <v>46237</v>
      </c>
      <c r="K198" s="145" t="str">
        <f>VLOOKUP($A198,PLAN!$B:$AC,22,0)</f>
        <v>M9</v>
      </c>
      <c r="L198" s="1"/>
      <c r="M198" s="1"/>
      <c r="N198" s="1"/>
      <c r="O198" s="221" t="s">
        <v>79</v>
      </c>
      <c r="P198" s="220"/>
      <c r="Q198" s="18">
        <f>VLOOKUP(A198,PLAN!B:R,17,0)</f>
        <v>46235</v>
      </c>
    </row>
    <row r="199" spans="1:17" ht="19.8" hidden="1" customHeight="1">
      <c r="A199" s="329" t="s">
        <v>2495</v>
      </c>
      <c r="B199" s="14">
        <f>VLOOKUP($A199,PLAN!$B:$AC,3,0)</f>
        <v>11119605</v>
      </c>
      <c r="C199" s="14" t="str">
        <f>VLOOKUP($A199,PLAN!$B:$AC,4,0)</f>
        <v>1911271-D-A</v>
      </c>
      <c r="D199" s="14" t="str">
        <f>VLOOKUP($A199,PLAN!$B:$AC,5,0)</f>
        <v>HJ80JL352P10000 JP</v>
      </c>
      <c r="E199" s="14" t="str">
        <f>VLOOKUP($A199,PLAN!$B:$AC,2,0)</f>
        <v>1001929568</v>
      </c>
      <c r="F199" s="15">
        <f>VLOOKUP($A199,PLAN!$B:$AC,7,0)</f>
        <v>46247</v>
      </c>
      <c r="G199" s="16" t="str">
        <f>VLOOKUP($A199,PLAN!$B:$AC,8,0)</f>
        <v>0103578996</v>
      </c>
      <c r="H199" s="16" t="str">
        <f>VLOOKUP($A199,PLAN!$B:$AC,9,0)</f>
        <v>260727C63A</v>
      </c>
      <c r="I199" s="16">
        <f>VLOOKUP($A199,PLAN!$B:$AC,10,0)</f>
        <v>4</v>
      </c>
      <c r="J199" s="17">
        <f>VLOOKUP($A199,PLAN!$B:$AC,21,0)</f>
        <v>46237</v>
      </c>
      <c r="K199" s="145" t="str">
        <f>VLOOKUP($A199,PLAN!$B:$AC,22,0)</f>
        <v>M9</v>
      </c>
      <c r="L199" s="1"/>
      <c r="M199" s="1"/>
      <c r="N199" s="1"/>
      <c r="O199" s="221" t="s">
        <v>79</v>
      </c>
      <c r="P199" s="220"/>
      <c r="Q199" s="18">
        <f>VLOOKUP(A199,PLAN!B:R,17,0)</f>
        <v>46235</v>
      </c>
    </row>
    <row r="200" spans="1:17" ht="19.8" hidden="1" customHeight="1">
      <c r="A200" s="329" t="s">
        <v>2496</v>
      </c>
      <c r="B200" s="14">
        <f>VLOOKUP($A200,PLAN!$B:$AC,3,0)</f>
        <v>11119417</v>
      </c>
      <c r="C200" s="14" t="str">
        <f>VLOOKUP($A200,PLAN!$B:$AC,4,0)</f>
        <v>1911085-D-A</v>
      </c>
      <c r="D200" s="14" t="str">
        <f>VLOOKUP($A200,PLAN!$B:$AC,5,0)</f>
        <v>HJ60AL150P10022 JP</v>
      </c>
      <c r="E200" s="14" t="str">
        <f>VLOOKUP($A200,PLAN!$B:$AC,2,0)</f>
        <v>1001929569</v>
      </c>
      <c r="F200" s="15">
        <f>VLOOKUP($A200,PLAN!$B:$AC,7,0)</f>
        <v>46247</v>
      </c>
      <c r="G200" s="16" t="str">
        <f>VLOOKUP($A200,PLAN!$B:$AC,8,0)</f>
        <v>0103578997</v>
      </c>
      <c r="H200" s="16" t="str">
        <f>VLOOKUP($A200,PLAN!$B:$AC,9,0)</f>
        <v>260727C64A</v>
      </c>
      <c r="I200" s="16">
        <f>VLOOKUP($A200,PLAN!$B:$AC,10,0)</f>
        <v>5</v>
      </c>
      <c r="J200" s="17">
        <f>VLOOKUP($A200,PLAN!$B:$AC,21,0)</f>
        <v>46237</v>
      </c>
      <c r="K200" s="145" t="str">
        <f>VLOOKUP($A200,PLAN!$B:$AC,22,0)</f>
        <v>M9</v>
      </c>
      <c r="L200" s="1"/>
      <c r="M200" s="1"/>
      <c r="N200" s="1"/>
      <c r="O200" s="221" t="s">
        <v>79</v>
      </c>
      <c r="P200" s="220"/>
      <c r="Q200" s="18">
        <f>VLOOKUP(A200,PLAN!B:R,17,0)</f>
        <v>46235</v>
      </c>
    </row>
    <row r="201" spans="1:17" ht="19.8" hidden="1" customHeight="1">
      <c r="A201" s="329" t="s">
        <v>2497</v>
      </c>
      <c r="B201" s="14">
        <f>VLOOKUP($A201,PLAN!$B:$AC,3,0)</f>
        <v>11119342</v>
      </c>
      <c r="C201" s="14" t="str">
        <f>VLOOKUP($A201,PLAN!$B:$AC,4,0)</f>
        <v>1911010-D-A</v>
      </c>
      <c r="D201" s="14" t="str">
        <f>VLOOKUP($A201,PLAN!$B:$AC,5,0)</f>
        <v>HJ60AL102P10021 JP</v>
      </c>
      <c r="E201" s="14" t="str">
        <f>VLOOKUP($A201,PLAN!$B:$AC,2,0)</f>
        <v>1001929570</v>
      </c>
      <c r="F201" s="15">
        <f>VLOOKUP($A201,PLAN!$B:$AC,7,0)</f>
        <v>46247</v>
      </c>
      <c r="G201" s="16" t="str">
        <f>VLOOKUP($A201,PLAN!$B:$AC,8,0)</f>
        <v>0103578998</v>
      </c>
      <c r="H201" s="16" t="str">
        <f>VLOOKUP($A201,PLAN!$B:$AC,9,0)</f>
        <v>260727C65A</v>
      </c>
      <c r="I201" s="16">
        <f>VLOOKUP($A201,PLAN!$B:$AC,10,0)</f>
        <v>6</v>
      </c>
      <c r="J201" s="17">
        <f>VLOOKUP($A201,PLAN!$B:$AC,21,0)</f>
        <v>46237</v>
      </c>
      <c r="K201" s="145" t="str">
        <f>VLOOKUP($A201,PLAN!$B:$AC,22,0)</f>
        <v>M9</v>
      </c>
      <c r="L201" s="1"/>
      <c r="M201" s="1"/>
      <c r="N201" s="1"/>
      <c r="O201" s="221" t="s">
        <v>79</v>
      </c>
      <c r="P201" s="220"/>
      <c r="Q201" s="18">
        <f>VLOOKUP(A201,PLAN!B:R,17,0)</f>
        <v>46235</v>
      </c>
    </row>
    <row r="202" spans="1:17" ht="19.8" hidden="1" customHeight="1">
      <c r="A202" s="329" t="s">
        <v>2498</v>
      </c>
      <c r="B202" s="14">
        <f>VLOOKUP($A202,PLAN!$B:$AC,3,0)</f>
        <v>11119408</v>
      </c>
      <c r="C202" s="14" t="str">
        <f>VLOOKUP($A202,PLAN!$B:$AC,4,0)</f>
        <v>1911076-D-A</v>
      </c>
      <c r="D202" s="14" t="str">
        <f>VLOOKUP($A202,PLAN!$B:$AC,5,0)</f>
        <v>HJ60RB102P10020 JP</v>
      </c>
      <c r="E202" s="14" t="str">
        <f>VLOOKUP($A202,PLAN!$B:$AC,2,0)</f>
        <v>1001929571</v>
      </c>
      <c r="F202" s="15">
        <f>VLOOKUP($A202,PLAN!$B:$AC,7,0)</f>
        <v>46247</v>
      </c>
      <c r="G202" s="16" t="str">
        <f>VLOOKUP($A202,PLAN!$B:$AC,8,0)</f>
        <v>0103578999</v>
      </c>
      <c r="H202" s="16" t="str">
        <f>VLOOKUP($A202,PLAN!$B:$AC,9,0)</f>
        <v>260727C66A</v>
      </c>
      <c r="I202" s="16">
        <f>VLOOKUP($A202,PLAN!$B:$AC,10,0)</f>
        <v>6</v>
      </c>
      <c r="J202" s="17">
        <f>VLOOKUP($A202,PLAN!$B:$AC,21,0)</f>
        <v>46237</v>
      </c>
      <c r="K202" s="145" t="str">
        <f>VLOOKUP($A202,PLAN!$B:$AC,22,0)</f>
        <v>M9</v>
      </c>
      <c r="L202" s="1"/>
      <c r="M202" s="1"/>
      <c r="N202" s="1"/>
      <c r="O202" s="221" t="s">
        <v>79</v>
      </c>
      <c r="P202" s="220"/>
      <c r="Q202" s="18">
        <f>VLOOKUP(A202,PLAN!B:R,17,0)</f>
        <v>46235</v>
      </c>
    </row>
    <row r="203" spans="1:17" ht="19.8" hidden="1" customHeight="1">
      <c r="A203" s="329" t="s">
        <v>2499</v>
      </c>
      <c r="B203" s="14">
        <f>VLOOKUP($A203,PLAN!$B:$AC,3,0)</f>
        <v>11119657</v>
      </c>
      <c r="C203" s="14" t="str">
        <f>VLOOKUP($A203,PLAN!$B:$AC,4,0)</f>
        <v>1911323-D-A</v>
      </c>
      <c r="D203" s="14" t="str">
        <f>VLOOKUP($A203,PLAN!$B:$AC,5,0)</f>
        <v>HJ80AL070P10002 JP</v>
      </c>
      <c r="E203" s="14" t="str">
        <f>VLOOKUP($A203,PLAN!$B:$AC,2,0)</f>
        <v>1001929572</v>
      </c>
      <c r="F203" s="15">
        <f>VLOOKUP($A203,PLAN!$B:$AC,7,0)</f>
        <v>46247</v>
      </c>
      <c r="G203" s="16" t="str">
        <f>VLOOKUP($A203,PLAN!$B:$AC,8,0)</f>
        <v>0103579000</v>
      </c>
      <c r="H203" s="16" t="str">
        <f>VLOOKUP($A203,PLAN!$B:$AC,9,0)</f>
        <v>260727C67A</v>
      </c>
      <c r="I203" s="16">
        <f>VLOOKUP($A203,PLAN!$B:$AC,10,0)</f>
        <v>6</v>
      </c>
      <c r="J203" s="17">
        <f>VLOOKUP($A203,PLAN!$B:$AC,21,0)</f>
        <v>46237</v>
      </c>
      <c r="K203" s="145" t="str">
        <f>VLOOKUP($A203,PLAN!$B:$AC,22,0)</f>
        <v>M9</v>
      </c>
      <c r="L203" s="1"/>
      <c r="M203" s="1"/>
      <c r="N203" s="1"/>
      <c r="O203" s="221" t="s">
        <v>79</v>
      </c>
      <c r="P203" s="220"/>
      <c r="Q203" s="18">
        <f>VLOOKUP(A203,PLAN!B:R,17,0)</f>
        <v>46235</v>
      </c>
    </row>
    <row r="204" spans="1:17" ht="19.8" hidden="1" customHeight="1">
      <c r="A204" s="329" t="s">
        <v>2500</v>
      </c>
      <c r="B204" s="14">
        <f>VLOOKUP($A204,PLAN!$B:$AC,3,0)</f>
        <v>11119420</v>
      </c>
      <c r="C204" s="14" t="str">
        <f>VLOOKUP($A204,PLAN!$B:$AC,4,0)</f>
        <v>1911088-D-A</v>
      </c>
      <c r="D204" s="14" t="str">
        <f>VLOOKUP($A204,PLAN!$B:$AC,5,0)</f>
        <v>HJ60AL202P10022 JP</v>
      </c>
      <c r="E204" s="14" t="str">
        <f>VLOOKUP($A204,PLAN!$B:$AC,2,0)</f>
        <v>1001929573</v>
      </c>
      <c r="F204" s="15">
        <f>VLOOKUP($A204,PLAN!$B:$AC,7,0)</f>
        <v>46247</v>
      </c>
      <c r="G204" s="16" t="str">
        <f>VLOOKUP($A204,PLAN!$B:$AC,8,0)</f>
        <v>0103579001</v>
      </c>
      <c r="H204" s="16" t="str">
        <f>VLOOKUP($A204,PLAN!$B:$AC,9,0)</f>
        <v>260727C68A</v>
      </c>
      <c r="I204" s="16">
        <f>VLOOKUP($A204,PLAN!$B:$AC,10,0)</f>
        <v>7</v>
      </c>
      <c r="J204" s="17">
        <f>VLOOKUP($A204,PLAN!$B:$AC,21,0)</f>
        <v>46237</v>
      </c>
      <c r="K204" s="145" t="str">
        <f>VLOOKUP($A204,PLAN!$B:$AC,22,0)</f>
        <v>M9</v>
      </c>
      <c r="L204" s="1"/>
      <c r="M204" s="1"/>
      <c r="N204" s="1"/>
      <c r="O204" s="221" t="s">
        <v>79</v>
      </c>
      <c r="P204" s="220"/>
      <c r="Q204" s="18">
        <f>VLOOKUP(A204,PLAN!B:R,17,0)</f>
        <v>46235</v>
      </c>
    </row>
    <row r="205" spans="1:17" ht="19.8" hidden="1" customHeight="1">
      <c r="A205" s="329" t="s">
        <v>2501</v>
      </c>
      <c r="B205" s="14">
        <f>VLOOKUP($A205,PLAN!$B:$AC,3,0)</f>
        <v>11119615</v>
      </c>
      <c r="C205" s="14" t="str">
        <f>VLOOKUP($A205,PLAN!$B:$AC,4,0)</f>
        <v>1911281-D-A</v>
      </c>
      <c r="D205" s="14" t="str">
        <f>VLOOKUP($A205,PLAN!$B:$AC,5,0)</f>
        <v>HJ80JL402P10001 JP</v>
      </c>
      <c r="E205" s="14" t="str">
        <f>VLOOKUP($A205,PLAN!$B:$AC,2,0)</f>
        <v>1001929574</v>
      </c>
      <c r="F205" s="15">
        <f>VLOOKUP($A205,PLAN!$B:$AC,7,0)</f>
        <v>46247</v>
      </c>
      <c r="G205" s="16" t="str">
        <f>VLOOKUP($A205,PLAN!$B:$AC,8,0)</f>
        <v>0103579002</v>
      </c>
      <c r="H205" s="16" t="str">
        <f>VLOOKUP($A205,PLAN!$B:$AC,9,0)</f>
        <v>260727C69A</v>
      </c>
      <c r="I205" s="16">
        <f>VLOOKUP($A205,PLAN!$B:$AC,10,0)</f>
        <v>7</v>
      </c>
      <c r="J205" s="17">
        <f>VLOOKUP($A205,PLAN!$B:$AC,21,0)</f>
        <v>46237</v>
      </c>
      <c r="K205" s="145" t="str">
        <f>VLOOKUP($A205,PLAN!$B:$AC,22,0)</f>
        <v>M9</v>
      </c>
      <c r="L205" s="1"/>
      <c r="M205" s="1"/>
      <c r="N205" s="1"/>
      <c r="O205" s="221" t="s">
        <v>79</v>
      </c>
      <c r="P205" s="220"/>
      <c r="Q205" s="18">
        <f>VLOOKUP(A205,PLAN!B:R,17,0)</f>
        <v>46235</v>
      </c>
    </row>
    <row r="206" spans="1:17" ht="19.8" hidden="1" customHeight="1">
      <c r="A206" s="329" t="s">
        <v>2502</v>
      </c>
      <c r="B206" s="14">
        <f>VLOOKUP($A206,PLAN!$B:$AC,3,0)</f>
        <v>11119386</v>
      </c>
      <c r="C206" s="14" t="str">
        <f>VLOOKUP($A206,PLAN!$B:$AC,4,0)</f>
        <v>1911054-D-A</v>
      </c>
      <c r="D206" s="14" t="str">
        <f>VLOOKUP($A206,PLAN!$B:$AC,5,0)</f>
        <v>HJ60JL502P10020 JP</v>
      </c>
      <c r="E206" s="14" t="str">
        <f>VLOOKUP($A206,PLAN!$B:$AC,2,0)</f>
        <v>1001929575</v>
      </c>
      <c r="F206" s="15">
        <f>VLOOKUP($A206,PLAN!$B:$AC,7,0)</f>
        <v>46247</v>
      </c>
      <c r="G206" s="16" t="str">
        <f>VLOOKUP($A206,PLAN!$B:$AC,8,0)</f>
        <v>0103579003</v>
      </c>
      <c r="H206" s="16" t="str">
        <f>VLOOKUP($A206,PLAN!$B:$AC,9,0)</f>
        <v>260727C70A</v>
      </c>
      <c r="I206" s="16">
        <f>VLOOKUP($A206,PLAN!$B:$AC,10,0)</f>
        <v>8</v>
      </c>
      <c r="J206" s="17">
        <f>VLOOKUP($A206,PLAN!$B:$AC,21,0)</f>
        <v>46237</v>
      </c>
      <c r="K206" s="145" t="str">
        <f>VLOOKUP($A206,PLAN!$B:$AC,22,0)</f>
        <v>M9</v>
      </c>
      <c r="L206" s="1"/>
      <c r="M206" s="1"/>
      <c r="N206" s="1"/>
      <c r="O206" s="221" t="s">
        <v>79</v>
      </c>
      <c r="P206" s="220"/>
      <c r="Q206" s="18">
        <f>VLOOKUP(A206,PLAN!B:R,17,0)</f>
        <v>46235</v>
      </c>
    </row>
    <row r="207" spans="1:17" ht="19.8" hidden="1" customHeight="1">
      <c r="A207" s="329" t="s">
        <v>2503</v>
      </c>
      <c r="B207" s="14">
        <f>VLOOKUP($A207,PLAN!$B:$AC,3,0)</f>
        <v>11119336</v>
      </c>
      <c r="C207" s="14" t="str">
        <f>VLOOKUP($A207,PLAN!$B:$AC,4,0)</f>
        <v>1911004-D-A</v>
      </c>
      <c r="D207" s="14" t="str">
        <f>VLOOKUP($A207,PLAN!$B:$AC,5,0)</f>
        <v>HJ60AL072P10021 JP</v>
      </c>
      <c r="E207" s="14" t="str">
        <f>VLOOKUP($A207,PLAN!$B:$AC,2,0)</f>
        <v>1001929576</v>
      </c>
      <c r="F207" s="15">
        <f>VLOOKUP($A207,PLAN!$B:$AC,7,0)</f>
        <v>46247</v>
      </c>
      <c r="G207" s="16" t="str">
        <f>VLOOKUP($A207,PLAN!$B:$AC,8,0)</f>
        <v>0103579004</v>
      </c>
      <c r="H207" s="16" t="str">
        <f>VLOOKUP($A207,PLAN!$B:$AC,9,0)</f>
        <v>260727C71A</v>
      </c>
      <c r="I207" s="16">
        <f>VLOOKUP($A207,PLAN!$B:$AC,10,0)</f>
        <v>9</v>
      </c>
      <c r="J207" s="17">
        <f>VLOOKUP($A207,PLAN!$B:$AC,21,0)</f>
        <v>46237</v>
      </c>
      <c r="K207" s="145" t="str">
        <f>VLOOKUP($A207,PLAN!$B:$AC,22,0)</f>
        <v>M9</v>
      </c>
      <c r="L207" s="1"/>
      <c r="M207" s="1"/>
      <c r="N207" s="1"/>
      <c r="O207" s="221" t="s">
        <v>79</v>
      </c>
      <c r="P207" s="220"/>
      <c r="Q207" s="18">
        <f>VLOOKUP(A207,PLAN!B:R,17,0)</f>
        <v>46235</v>
      </c>
    </row>
    <row r="208" spans="1:17" ht="19.8" hidden="1" customHeight="1">
      <c r="A208" s="329" t="s">
        <v>2504</v>
      </c>
      <c r="B208" s="14">
        <f>VLOOKUP($A208,PLAN!$B:$AC,3,0)</f>
        <v>11119347</v>
      </c>
      <c r="C208" s="14" t="str">
        <f>VLOOKUP($A208,PLAN!$B:$AC,4,0)</f>
        <v>1911015-D-A</v>
      </c>
      <c r="D208" s="14" t="str">
        <f>VLOOKUP($A208,PLAN!$B:$AC,5,0)</f>
        <v>HJ60AL200P10020 JP</v>
      </c>
      <c r="E208" s="14" t="str">
        <f>VLOOKUP($A208,PLAN!$B:$AC,2,0)</f>
        <v>1001929577</v>
      </c>
      <c r="F208" s="15">
        <f>VLOOKUP($A208,PLAN!$B:$AC,7,0)</f>
        <v>46247</v>
      </c>
      <c r="G208" s="16" t="str">
        <f>VLOOKUP($A208,PLAN!$B:$AC,8,0)</f>
        <v>0103579005</v>
      </c>
      <c r="H208" s="16" t="str">
        <f>VLOOKUP($A208,PLAN!$B:$AC,9,0)</f>
        <v>260727C72A</v>
      </c>
      <c r="I208" s="16">
        <f>VLOOKUP($A208,PLAN!$B:$AC,10,0)</f>
        <v>9</v>
      </c>
      <c r="J208" s="17">
        <f>VLOOKUP($A208,PLAN!$B:$AC,21,0)</f>
        <v>46237</v>
      </c>
      <c r="K208" s="145" t="str">
        <f>VLOOKUP($A208,PLAN!$B:$AC,22,0)</f>
        <v>M9</v>
      </c>
      <c r="L208" s="1"/>
      <c r="M208" s="1"/>
      <c r="N208" s="1"/>
      <c r="O208" s="221" t="s">
        <v>79</v>
      </c>
      <c r="P208" s="220"/>
      <c r="Q208" s="18">
        <f>VLOOKUP(A208,PLAN!B:R,17,0)</f>
        <v>46235</v>
      </c>
    </row>
    <row r="209" spans="1:17" ht="19.8" hidden="1" customHeight="1">
      <c r="A209" s="329" t="s">
        <v>2505</v>
      </c>
      <c r="B209" s="14">
        <f>VLOOKUP($A209,PLAN!$B:$AC,3,0)</f>
        <v>11119364</v>
      </c>
      <c r="C209" s="14" t="str">
        <f>VLOOKUP($A209,PLAN!$B:$AC,4,0)</f>
        <v>1911032-D-A</v>
      </c>
      <c r="D209" s="14" t="str">
        <f>VLOOKUP($A209,PLAN!$B:$AC,5,0)</f>
        <v>HJ60IL352P10020 JP</v>
      </c>
      <c r="E209" s="14" t="str">
        <f>VLOOKUP($A209,PLAN!$B:$AC,2,0)</f>
        <v>1001929578</v>
      </c>
      <c r="F209" s="15">
        <f>VLOOKUP($A209,PLAN!$B:$AC,7,0)</f>
        <v>46247</v>
      </c>
      <c r="G209" s="16" t="str">
        <f>VLOOKUP($A209,PLAN!$B:$AC,8,0)</f>
        <v>0103579006</v>
      </c>
      <c r="H209" s="16" t="str">
        <f>VLOOKUP($A209,PLAN!$B:$AC,9,0)</f>
        <v>260727C73A</v>
      </c>
      <c r="I209" s="16">
        <f>VLOOKUP($A209,PLAN!$B:$AC,10,0)</f>
        <v>9</v>
      </c>
      <c r="J209" s="17">
        <f>VLOOKUP($A209,PLAN!$B:$AC,21,0)</f>
        <v>46237</v>
      </c>
      <c r="K209" s="145" t="str">
        <f>VLOOKUP($A209,PLAN!$B:$AC,22,0)</f>
        <v>M9</v>
      </c>
      <c r="L209" s="1"/>
      <c r="M209" s="1"/>
      <c r="N209" s="1"/>
      <c r="O209" s="221" t="s">
        <v>79</v>
      </c>
      <c r="P209" s="220"/>
      <c r="Q209" s="18">
        <f>VLOOKUP(A209,PLAN!B:R,17,0)</f>
        <v>46235</v>
      </c>
    </row>
    <row r="210" spans="1:17" ht="19.8" hidden="1" customHeight="1">
      <c r="A210" s="329" t="s">
        <v>2506</v>
      </c>
      <c r="B210" s="14">
        <f>VLOOKUP($A210,PLAN!$B:$AC,3,0)</f>
        <v>11119374</v>
      </c>
      <c r="C210" s="14" t="str">
        <f>VLOOKUP($A210,PLAN!$B:$AC,4,0)</f>
        <v>1911042-D-A</v>
      </c>
      <c r="D210" s="14" t="str">
        <f>VLOOKUP($A210,PLAN!$B:$AC,5,0)</f>
        <v>HJ60JL352P10021 JP</v>
      </c>
      <c r="E210" s="14" t="str">
        <f>VLOOKUP($A210,PLAN!$B:$AC,2,0)</f>
        <v>1001929579</v>
      </c>
      <c r="F210" s="15">
        <f>VLOOKUP($A210,PLAN!$B:$AC,7,0)</f>
        <v>46247</v>
      </c>
      <c r="G210" s="16" t="str">
        <f>VLOOKUP($A210,PLAN!$B:$AC,8,0)</f>
        <v>0103579007</v>
      </c>
      <c r="H210" s="16" t="str">
        <f>VLOOKUP($A210,PLAN!$B:$AC,9,0)</f>
        <v>260727C74A</v>
      </c>
      <c r="I210" s="16">
        <f>VLOOKUP($A210,PLAN!$B:$AC,10,0)</f>
        <v>9</v>
      </c>
      <c r="J210" s="17">
        <f>VLOOKUP($A210,PLAN!$B:$AC,21,0)</f>
        <v>46237</v>
      </c>
      <c r="K210" s="145" t="str">
        <f>VLOOKUP($A210,PLAN!$B:$AC,22,0)</f>
        <v>M9</v>
      </c>
      <c r="L210" s="1"/>
      <c r="M210" s="1"/>
      <c r="N210" s="1"/>
      <c r="O210" s="221" t="s">
        <v>79</v>
      </c>
      <c r="P210" s="220"/>
      <c r="Q210" s="18">
        <f>VLOOKUP(A210,PLAN!B:R,17,0)</f>
        <v>46235</v>
      </c>
    </row>
    <row r="211" spans="1:17" ht="19.8" hidden="1" customHeight="1">
      <c r="A211" s="329" t="s">
        <v>2507</v>
      </c>
      <c r="B211" s="14">
        <f>VLOOKUP($A211,PLAN!$B:$AC,3,0)</f>
        <v>11119629</v>
      </c>
      <c r="C211" s="14" t="str">
        <f>VLOOKUP($A211,PLAN!$B:$AC,4,0)</f>
        <v>1911295-D-A</v>
      </c>
      <c r="D211" s="14" t="str">
        <f>VLOOKUP($A211,PLAN!$B:$AC,5,0)</f>
        <v>HJ80JR400P10000 JP</v>
      </c>
      <c r="E211" s="14" t="str">
        <f>VLOOKUP($A211,PLAN!$B:$AC,2,0)</f>
        <v>1001929580</v>
      </c>
      <c r="F211" s="15">
        <f>VLOOKUP($A211,PLAN!$B:$AC,7,0)</f>
        <v>46247</v>
      </c>
      <c r="G211" s="16" t="str">
        <f>VLOOKUP($A211,PLAN!$B:$AC,8,0)</f>
        <v>0103579008</v>
      </c>
      <c r="H211" s="16" t="str">
        <f>VLOOKUP($A211,PLAN!$B:$AC,9,0)</f>
        <v>260727C75A</v>
      </c>
      <c r="I211" s="16">
        <f>VLOOKUP($A211,PLAN!$B:$AC,10,0)</f>
        <v>9</v>
      </c>
      <c r="J211" s="17">
        <f>VLOOKUP($A211,PLAN!$B:$AC,21,0)</f>
        <v>46237</v>
      </c>
      <c r="K211" s="145" t="str">
        <f>VLOOKUP($A211,PLAN!$B:$AC,22,0)</f>
        <v>M9</v>
      </c>
      <c r="L211" s="1"/>
      <c r="M211" s="1"/>
      <c r="N211" s="1"/>
      <c r="O211" s="221" t="s">
        <v>79</v>
      </c>
      <c r="P211" s="220"/>
      <c r="Q211" s="18">
        <f>VLOOKUP(A211,PLAN!B:R,17,0)</f>
        <v>46235</v>
      </c>
    </row>
    <row r="212" spans="1:17" ht="19.8" hidden="1" customHeight="1">
      <c r="A212" s="329" t="s">
        <v>2508</v>
      </c>
      <c r="B212" s="14">
        <f>VLOOKUP($A212,PLAN!$B:$AC,3,0)</f>
        <v>11119505</v>
      </c>
      <c r="C212" s="14" t="str">
        <f>VLOOKUP($A212,PLAN!$B:$AC,4,0)</f>
        <v>1911171-D-A</v>
      </c>
      <c r="D212" s="14" t="str">
        <f>VLOOKUP($A212,PLAN!$B:$AC,5,0)</f>
        <v>HJ70JR352P10020 JP</v>
      </c>
      <c r="E212" s="14" t="str">
        <f>VLOOKUP($A212,PLAN!$B:$AC,2,0)</f>
        <v>1001929581</v>
      </c>
      <c r="F212" s="15">
        <f>VLOOKUP($A212,PLAN!$B:$AC,7,0)</f>
        <v>46247</v>
      </c>
      <c r="G212" s="16" t="str">
        <f>VLOOKUP($A212,PLAN!$B:$AC,8,0)</f>
        <v>0103579009</v>
      </c>
      <c r="H212" s="16" t="str">
        <f>VLOOKUP($A212,PLAN!$B:$AC,9,0)</f>
        <v>260727C76A</v>
      </c>
      <c r="I212" s="16">
        <f>VLOOKUP($A212,PLAN!$B:$AC,10,0)</f>
        <v>10</v>
      </c>
      <c r="J212" s="17">
        <f>VLOOKUP($A212,PLAN!$B:$AC,21,0)</f>
        <v>46237</v>
      </c>
      <c r="K212" s="145" t="str">
        <f>VLOOKUP($A212,PLAN!$B:$AC,22,0)</f>
        <v>M9</v>
      </c>
      <c r="L212" s="1"/>
      <c r="M212" s="1"/>
      <c r="N212" s="1"/>
      <c r="O212" s="221" t="s">
        <v>79</v>
      </c>
      <c r="P212" s="220"/>
      <c r="Q212" s="18">
        <f>VLOOKUP(A212,PLAN!B:R,17,0)</f>
        <v>46235</v>
      </c>
    </row>
    <row r="213" spans="1:17" ht="19.8" hidden="1" customHeight="1">
      <c r="A213" s="329" t="s">
        <v>2509</v>
      </c>
      <c r="B213" s="14">
        <f>VLOOKUP($A213,PLAN!$B:$AC,3,0)</f>
        <v>11119667</v>
      </c>
      <c r="C213" s="14" t="str">
        <f>VLOOKUP($A213,PLAN!$B:$AC,4,0)</f>
        <v>1911333-D-A</v>
      </c>
      <c r="D213" s="14" t="str">
        <f>VLOOKUP($A213,PLAN!$B:$AC,5,0)</f>
        <v>HJ80AL152P10002 JP</v>
      </c>
      <c r="E213" s="14" t="str">
        <f>VLOOKUP($A213,PLAN!$B:$AC,2,0)</f>
        <v>1001929582</v>
      </c>
      <c r="F213" s="15">
        <f>VLOOKUP($A213,PLAN!$B:$AC,7,0)</f>
        <v>46247</v>
      </c>
      <c r="G213" s="16" t="str">
        <f>VLOOKUP($A213,PLAN!$B:$AC,8,0)</f>
        <v>0103579010</v>
      </c>
      <c r="H213" s="16" t="str">
        <f>VLOOKUP($A213,PLAN!$B:$AC,9,0)</f>
        <v>260727C77A</v>
      </c>
      <c r="I213" s="16">
        <f>VLOOKUP($A213,PLAN!$B:$AC,10,0)</f>
        <v>11</v>
      </c>
      <c r="J213" s="17">
        <f>VLOOKUP($A213,PLAN!$B:$AC,21,0)</f>
        <v>46237</v>
      </c>
      <c r="K213" s="145" t="str">
        <f>VLOOKUP($A213,PLAN!$B:$AC,22,0)</f>
        <v>M9</v>
      </c>
      <c r="L213" s="1"/>
      <c r="M213" s="1"/>
      <c r="N213" s="1"/>
      <c r="O213" s="221" t="s">
        <v>79</v>
      </c>
      <c r="P213" s="220"/>
      <c r="Q213" s="18">
        <f>VLOOKUP(A213,PLAN!B:R,17,0)</f>
        <v>46235</v>
      </c>
    </row>
    <row r="214" spans="1:17" ht="19.8" hidden="1" customHeight="1">
      <c r="A214" s="329" t="s">
        <v>2510</v>
      </c>
      <c r="B214" s="14">
        <f>VLOOKUP($A214,PLAN!$B:$AC,3,0)</f>
        <v>11119587</v>
      </c>
      <c r="C214" s="14" t="str">
        <f>VLOOKUP($A214,PLAN!$B:$AC,4,0)</f>
        <v>1911253-D-A</v>
      </c>
      <c r="D214" s="14" t="str">
        <f>VLOOKUP($A214,PLAN!$B:$AC,5,0)</f>
        <v>HJ80AL202P10000 JP</v>
      </c>
      <c r="E214" s="14" t="str">
        <f>VLOOKUP($A214,PLAN!$B:$AC,2,0)</f>
        <v>1001929583</v>
      </c>
      <c r="F214" s="15">
        <f>VLOOKUP($A214,PLAN!$B:$AC,7,0)</f>
        <v>46247</v>
      </c>
      <c r="G214" s="16" t="str">
        <f>VLOOKUP($A214,PLAN!$B:$AC,8,0)</f>
        <v>0103579011</v>
      </c>
      <c r="H214" s="16" t="str">
        <f>VLOOKUP($A214,PLAN!$B:$AC,9,0)</f>
        <v>260727C78A</v>
      </c>
      <c r="I214" s="16">
        <f>VLOOKUP($A214,PLAN!$B:$AC,10,0)</f>
        <v>15</v>
      </c>
      <c r="J214" s="17">
        <f>VLOOKUP($A214,PLAN!$B:$AC,21,0)</f>
        <v>46237</v>
      </c>
      <c r="K214" s="145" t="str">
        <f>VLOOKUP($A214,PLAN!$B:$AC,22,0)</f>
        <v>M9</v>
      </c>
      <c r="L214" s="1"/>
      <c r="M214" s="1"/>
      <c r="N214" s="1"/>
      <c r="O214" s="221" t="s">
        <v>79</v>
      </c>
      <c r="P214" s="220"/>
      <c r="Q214" s="18">
        <f>VLOOKUP(A214,PLAN!B:R,17,0)</f>
        <v>46235</v>
      </c>
    </row>
    <row r="215" spans="1:17" ht="19.8" hidden="1" customHeight="1">
      <c r="A215" s="329" t="s">
        <v>2511</v>
      </c>
      <c r="B215" s="14">
        <f>VLOOKUP($A215,PLAN!$B:$AC,3,0)</f>
        <v>11119659</v>
      </c>
      <c r="C215" s="14" t="str">
        <f>VLOOKUP($A215,PLAN!$B:$AC,4,0)</f>
        <v>1911325-D-A</v>
      </c>
      <c r="D215" s="14" t="str">
        <f>VLOOKUP($A215,PLAN!$B:$AC,5,0)</f>
        <v>HJ80AL072P10002 JP</v>
      </c>
      <c r="E215" s="14" t="str">
        <f>VLOOKUP($A215,PLAN!$B:$AC,2,0)</f>
        <v>1001929584</v>
      </c>
      <c r="F215" s="15">
        <f>VLOOKUP($A215,PLAN!$B:$AC,7,0)</f>
        <v>46247</v>
      </c>
      <c r="G215" s="16" t="str">
        <f>VLOOKUP($A215,PLAN!$B:$AC,8,0)</f>
        <v>0103579012</v>
      </c>
      <c r="H215" s="16" t="str">
        <f>VLOOKUP($A215,PLAN!$B:$AC,9,0)</f>
        <v>260727C79A</v>
      </c>
      <c r="I215" s="16">
        <f>VLOOKUP($A215,PLAN!$B:$AC,10,0)</f>
        <v>16</v>
      </c>
      <c r="J215" s="17">
        <f>VLOOKUP($A215,PLAN!$B:$AC,21,0)</f>
        <v>46237</v>
      </c>
      <c r="K215" s="145" t="str">
        <f>VLOOKUP($A215,PLAN!$B:$AC,22,0)</f>
        <v>M9</v>
      </c>
      <c r="L215" s="1"/>
      <c r="M215" s="1"/>
      <c r="N215" s="1"/>
      <c r="O215" s="221" t="s">
        <v>79</v>
      </c>
      <c r="P215" s="220"/>
      <c r="Q215" s="18">
        <f>VLOOKUP(A215,PLAN!B:R,17,0)</f>
        <v>46235</v>
      </c>
    </row>
    <row r="216" spans="1:17" ht="19.8" hidden="1" customHeight="1">
      <c r="A216" s="329" t="s">
        <v>2512</v>
      </c>
      <c r="B216" s="14">
        <f>VLOOKUP($A216,PLAN!$B:$AC,3,0)</f>
        <v>11119365</v>
      </c>
      <c r="C216" s="14" t="str">
        <f>VLOOKUP($A216,PLAN!$B:$AC,4,0)</f>
        <v>1911033-D-A</v>
      </c>
      <c r="D216" s="14" t="str">
        <f>VLOOKUP($A216,PLAN!$B:$AC,5,0)</f>
        <v>HJ60IL400P10000 JP</v>
      </c>
      <c r="E216" s="14" t="str">
        <f>VLOOKUP($A216,PLAN!$B:$AC,2,0)</f>
        <v>1001929585</v>
      </c>
      <c r="F216" s="15">
        <f>VLOOKUP($A216,PLAN!$B:$AC,7,0)</f>
        <v>46247</v>
      </c>
      <c r="G216" s="16" t="str">
        <f>VLOOKUP($A216,PLAN!$B:$AC,8,0)</f>
        <v>0103579013</v>
      </c>
      <c r="H216" s="16" t="str">
        <f>VLOOKUP($A216,PLAN!$B:$AC,9,0)</f>
        <v>260727C80A</v>
      </c>
      <c r="I216" s="16">
        <f>VLOOKUP($A216,PLAN!$B:$AC,10,0)</f>
        <v>20</v>
      </c>
      <c r="J216" s="17">
        <f>VLOOKUP($A216,PLAN!$B:$AC,21,0)</f>
        <v>46237</v>
      </c>
      <c r="K216" s="145" t="str">
        <f>VLOOKUP($A216,PLAN!$B:$AC,22,0)</f>
        <v>M9</v>
      </c>
      <c r="L216" s="1"/>
      <c r="M216" s="1"/>
      <c r="N216" s="1"/>
      <c r="O216" s="221" t="s">
        <v>79</v>
      </c>
      <c r="P216" s="220"/>
      <c r="Q216" s="18">
        <f>VLOOKUP(A216,PLAN!B:R,17,0)</f>
        <v>46235</v>
      </c>
    </row>
    <row r="217" spans="1:17" ht="19.8" hidden="1" customHeight="1">
      <c r="A217" s="329" t="s">
        <v>2513</v>
      </c>
      <c r="B217" s="14">
        <f>VLOOKUP($A217,PLAN!$B:$AC,3,0)</f>
        <v>11119570</v>
      </c>
      <c r="C217" s="14" t="str">
        <f>VLOOKUP($A217,PLAN!$B:$AC,4,0)</f>
        <v>1911236-D-A</v>
      </c>
      <c r="D217" s="14" t="str">
        <f>VLOOKUP($A217,PLAN!$B:$AC,5,0)</f>
        <v>HJ80AL072P10000 JP</v>
      </c>
      <c r="E217" s="14" t="str">
        <f>VLOOKUP($A217,PLAN!$B:$AC,2,0)</f>
        <v>1001929586</v>
      </c>
      <c r="F217" s="15">
        <f>VLOOKUP($A217,PLAN!$B:$AC,7,0)</f>
        <v>46247</v>
      </c>
      <c r="G217" s="16" t="str">
        <f>VLOOKUP($A217,PLAN!$B:$AC,8,0)</f>
        <v>0103579014</v>
      </c>
      <c r="H217" s="16" t="str">
        <f>VLOOKUP($A217,PLAN!$B:$AC,9,0)</f>
        <v>260727C81A</v>
      </c>
      <c r="I217" s="16">
        <f>VLOOKUP($A217,PLAN!$B:$AC,10,0)</f>
        <v>24</v>
      </c>
      <c r="J217" s="17">
        <f>VLOOKUP($A217,PLAN!$B:$AC,21,0)</f>
        <v>46237</v>
      </c>
      <c r="K217" s="145" t="str">
        <f>VLOOKUP($A217,PLAN!$B:$AC,22,0)</f>
        <v>M9</v>
      </c>
      <c r="L217" s="1"/>
      <c r="M217" s="1"/>
      <c r="N217" s="1"/>
      <c r="O217" s="221" t="s">
        <v>79</v>
      </c>
      <c r="P217" s="220"/>
      <c r="Q217" s="18">
        <f>VLOOKUP(A217,PLAN!B:R,17,0)</f>
        <v>46235</v>
      </c>
    </row>
    <row r="218" spans="1:17" ht="19.8" hidden="1" customHeight="1">
      <c r="A218" s="329" t="s">
        <v>2514</v>
      </c>
      <c r="B218" s="14">
        <f>VLOOKUP($A218,PLAN!$B:$AC,3,0)</f>
        <v>11119582</v>
      </c>
      <c r="C218" s="14" t="str">
        <f>VLOOKUP($A218,PLAN!$B:$AC,4,0)</f>
        <v>1911248-D-A</v>
      </c>
      <c r="D218" s="14" t="str">
        <f>VLOOKUP($A218,PLAN!$B:$AC,5,0)</f>
        <v>HJ80AL152P10000 JP</v>
      </c>
      <c r="E218" s="14" t="str">
        <f>VLOOKUP($A218,PLAN!$B:$AC,2,0)</f>
        <v>1001929587</v>
      </c>
      <c r="F218" s="15">
        <f>VLOOKUP($A218,PLAN!$B:$AC,7,0)</f>
        <v>46247</v>
      </c>
      <c r="G218" s="16" t="str">
        <f>VLOOKUP($A218,PLAN!$B:$AC,8,0)</f>
        <v>0103579015</v>
      </c>
      <c r="H218" s="16" t="str">
        <f>VLOOKUP($A218,PLAN!$B:$AC,9,0)</f>
        <v>260727C82A</v>
      </c>
      <c r="I218" s="16">
        <f>VLOOKUP($A218,PLAN!$B:$AC,10,0)</f>
        <v>26</v>
      </c>
      <c r="J218" s="17">
        <f>VLOOKUP($A218,PLAN!$B:$AC,21,0)</f>
        <v>46237</v>
      </c>
      <c r="K218" s="145" t="str">
        <f>VLOOKUP($A218,PLAN!$B:$AC,22,0)</f>
        <v>M9</v>
      </c>
      <c r="L218" s="1"/>
      <c r="M218" s="1"/>
      <c r="N218" s="1"/>
      <c r="O218" s="221" t="s">
        <v>79</v>
      </c>
      <c r="P218" s="220"/>
      <c r="Q218" s="18">
        <f>VLOOKUP(A218,PLAN!B:R,17,0)</f>
        <v>46235</v>
      </c>
    </row>
    <row r="219" spans="1:17" ht="19.8" hidden="1" customHeight="1">
      <c r="A219" s="329" t="s">
        <v>2515</v>
      </c>
      <c r="B219" s="14">
        <f>VLOOKUP($A219,PLAN!$B:$AC,3,0)</f>
        <v>11119344</v>
      </c>
      <c r="C219" s="14" t="str">
        <f>VLOOKUP($A219,PLAN!$B:$AC,4,0)</f>
        <v>1911012-D-A</v>
      </c>
      <c r="D219" s="14" t="str">
        <f>VLOOKUP($A219,PLAN!$B:$AC,5,0)</f>
        <v>HJ60AL152P10020 JP</v>
      </c>
      <c r="E219" s="14" t="str">
        <f>VLOOKUP($A219,PLAN!$B:$AC,2,0)</f>
        <v>1001929588</v>
      </c>
      <c r="F219" s="15">
        <f>VLOOKUP($A219,PLAN!$B:$AC,7,0)</f>
        <v>46247</v>
      </c>
      <c r="G219" s="16" t="str">
        <f>VLOOKUP($A219,PLAN!$B:$AC,8,0)</f>
        <v>0103579017</v>
      </c>
      <c r="H219" s="16" t="str">
        <f>VLOOKUP($A219,PLAN!$B:$AC,9,0)</f>
        <v>260727C83A</v>
      </c>
      <c r="I219" s="16">
        <f>VLOOKUP($A219,PLAN!$B:$AC,10,0)</f>
        <v>35</v>
      </c>
      <c r="J219" s="17">
        <f>VLOOKUP($A219,PLAN!$B:$AC,21,0)</f>
        <v>46237</v>
      </c>
      <c r="K219" s="145" t="str">
        <f>VLOOKUP($A219,PLAN!$B:$AC,22,0)</f>
        <v>M9</v>
      </c>
      <c r="L219" s="1"/>
      <c r="M219" s="1"/>
      <c r="N219" s="1"/>
      <c r="O219" s="221" t="s">
        <v>79</v>
      </c>
      <c r="P219" s="220"/>
      <c r="Q219" s="18">
        <f>VLOOKUP(A219,PLAN!B:R,17,0)</f>
        <v>46235</v>
      </c>
    </row>
    <row r="220" spans="1:17" ht="19.8" hidden="1" customHeight="1">
      <c r="A220" s="329" t="s">
        <v>2516</v>
      </c>
      <c r="B220" s="14">
        <f>VLOOKUP($A220,PLAN!$B:$AC,3,0)</f>
        <v>11134130</v>
      </c>
      <c r="C220" s="14" t="str">
        <f>VLOOKUP($A220,PLAN!$B:$AC,4,0)</f>
        <v>1811862-G-A</v>
      </c>
      <c r="D220" s="14" t="str">
        <f>VLOOKUP($A220,PLAN!$B:$AC,5,0)</f>
        <v>HW60AL072P10000 CN</v>
      </c>
      <c r="E220" s="14" t="str">
        <f>VLOOKUP($A220,PLAN!$B:$AC,2,0)</f>
        <v>1001929589</v>
      </c>
      <c r="F220" s="15">
        <f>VLOOKUP($A220,PLAN!$B:$AC,7,0)</f>
        <v>46253</v>
      </c>
      <c r="G220" s="16" t="str">
        <f>VLOOKUP($A220,PLAN!$B:$AC,8,0)</f>
        <v>0103579018</v>
      </c>
      <c r="H220" s="16" t="str">
        <f>VLOOKUP($A220,PLAN!$B:$AC,9,0)</f>
        <v>260727C84A</v>
      </c>
      <c r="I220" s="16">
        <f>VLOOKUP($A220,PLAN!$B:$AC,10,0)</f>
        <v>2</v>
      </c>
      <c r="J220" s="17">
        <f>VLOOKUP($A220,PLAN!$B:$AC,21,0)</f>
        <v>46237</v>
      </c>
      <c r="K220" s="145" t="str">
        <f>VLOOKUP($A220,PLAN!$B:$AC,22,0)</f>
        <v>M9</v>
      </c>
      <c r="L220" s="1"/>
      <c r="M220" s="1"/>
      <c r="N220" s="1"/>
      <c r="O220" s="221" t="s">
        <v>79</v>
      </c>
      <c r="P220" s="220"/>
      <c r="Q220" s="18">
        <f>VLOOKUP(A220,PLAN!B:R,17,0)</f>
        <v>46235</v>
      </c>
    </row>
    <row r="221" spans="1:17" ht="19.8" hidden="1" customHeight="1">
      <c r="A221" s="329" t="s">
        <v>2517</v>
      </c>
      <c r="B221" s="14">
        <f>VLOOKUP($A221,PLAN!$B:$AC,3,0)</f>
        <v>11134139</v>
      </c>
      <c r="C221" s="14" t="str">
        <f>VLOOKUP($A221,PLAN!$B:$AC,4,0)</f>
        <v>1811877-J-A</v>
      </c>
      <c r="D221" s="14" t="str">
        <f>VLOOKUP($A221,PLAN!$B:$AC,5,0)</f>
        <v>HW60AL100P10002 CN</v>
      </c>
      <c r="E221" s="14" t="str">
        <f>VLOOKUP($A221,PLAN!$B:$AC,2,0)</f>
        <v>1001929590</v>
      </c>
      <c r="F221" s="15">
        <f>VLOOKUP($A221,PLAN!$B:$AC,7,0)</f>
        <v>46253</v>
      </c>
      <c r="G221" s="16" t="str">
        <f>VLOOKUP($A221,PLAN!$B:$AC,8,0)</f>
        <v>0103579019</v>
      </c>
      <c r="H221" s="16" t="str">
        <f>VLOOKUP($A221,PLAN!$B:$AC,9,0)</f>
        <v>260727C85A</v>
      </c>
      <c r="I221" s="16">
        <f>VLOOKUP($A221,PLAN!$B:$AC,10,0)</f>
        <v>134</v>
      </c>
      <c r="J221" s="17">
        <f>VLOOKUP($A221,PLAN!$B:$AC,21,0)</f>
        <v>46237</v>
      </c>
      <c r="K221" s="145" t="str">
        <f>VLOOKUP($A221,PLAN!$B:$AC,22,0)</f>
        <v>M9</v>
      </c>
      <c r="L221" s="1"/>
      <c r="M221" s="1"/>
      <c r="N221" s="1"/>
      <c r="O221" s="221" t="s">
        <v>79</v>
      </c>
      <c r="P221" s="220"/>
      <c r="Q221" s="18">
        <f>VLOOKUP(A221,PLAN!B:R,17,0)</f>
        <v>46235</v>
      </c>
    </row>
    <row r="222" spans="1:17" ht="19.8" hidden="1" customHeight="1">
      <c r="A222" s="329" t="s">
        <v>2518</v>
      </c>
      <c r="B222" s="14">
        <f>VLOOKUP($A222,PLAN!$B:$AC,3,0)</f>
        <v>11134203</v>
      </c>
      <c r="C222" s="14" t="str">
        <f>VLOOKUP($A222,PLAN!$B:$AC,4,0)</f>
        <v>2211671-D-A</v>
      </c>
      <c r="D222" s="14" t="str">
        <f>VLOOKUP($A222,PLAN!$B:$AC,5,0)</f>
        <v>HW80AL102P10000 CN</v>
      </c>
      <c r="E222" s="14" t="str">
        <f>VLOOKUP($A222,PLAN!$B:$AC,2,0)</f>
        <v>1001929591</v>
      </c>
      <c r="F222" s="15">
        <f>VLOOKUP($A222,PLAN!$B:$AC,7,0)</f>
        <v>46253</v>
      </c>
      <c r="G222" s="16" t="str">
        <f>VLOOKUP($A222,PLAN!$B:$AC,8,0)</f>
        <v>0103579020</v>
      </c>
      <c r="H222" s="16" t="str">
        <f>VLOOKUP($A222,PLAN!$B:$AC,9,0)</f>
        <v>260727C86A</v>
      </c>
      <c r="I222" s="16">
        <f>VLOOKUP($A222,PLAN!$B:$AC,10,0)</f>
        <v>10</v>
      </c>
      <c r="J222" s="17">
        <f>VLOOKUP($A222,PLAN!$B:$AC,21,0)</f>
        <v>46237</v>
      </c>
      <c r="K222" s="145" t="str">
        <f>VLOOKUP($A222,PLAN!$B:$AC,22,0)</f>
        <v>M9</v>
      </c>
      <c r="L222" s="1"/>
      <c r="M222" s="1"/>
      <c r="N222" s="1"/>
      <c r="O222" s="221" t="s">
        <v>79</v>
      </c>
      <c r="P222" s="220"/>
      <c r="Q222" s="18">
        <f>VLOOKUP(A222,PLAN!B:R,17,0)</f>
        <v>46235</v>
      </c>
    </row>
    <row r="223" spans="1:17" ht="19.8" hidden="1" customHeight="1">
      <c r="A223" s="329" t="s">
        <v>2519</v>
      </c>
      <c r="B223" s="14">
        <f>VLOOKUP($A223,PLAN!$B:$AC,3,0)</f>
        <v>11134207</v>
      </c>
      <c r="C223" s="14" t="str">
        <f>VLOOKUP($A223,PLAN!$B:$AC,4,0)</f>
        <v>2211685-D-A</v>
      </c>
      <c r="D223" s="14" t="str">
        <f>VLOOKUP($A223,PLAN!$B:$AC,5,0)</f>
        <v>HW80AL102P10002 CN</v>
      </c>
      <c r="E223" s="14" t="str">
        <f>VLOOKUP($A223,PLAN!$B:$AC,2,0)</f>
        <v>1001929592</v>
      </c>
      <c r="F223" s="15">
        <f>VLOOKUP($A223,PLAN!$B:$AC,7,0)</f>
        <v>46253</v>
      </c>
      <c r="G223" s="16" t="str">
        <f>VLOOKUP($A223,PLAN!$B:$AC,8,0)</f>
        <v>0103579021</v>
      </c>
      <c r="H223" s="16" t="str">
        <f>VLOOKUP($A223,PLAN!$B:$AC,9,0)</f>
        <v>260727C87A</v>
      </c>
      <c r="I223" s="16">
        <f>VLOOKUP($A223,PLAN!$B:$AC,10,0)</f>
        <v>20</v>
      </c>
      <c r="J223" s="17">
        <f>VLOOKUP($A223,PLAN!$B:$AC,21,0)</f>
        <v>46237</v>
      </c>
      <c r="K223" s="145" t="str">
        <f>VLOOKUP($A223,PLAN!$B:$AC,22,0)</f>
        <v>M9</v>
      </c>
      <c r="L223" s="1"/>
      <c r="M223" s="1"/>
      <c r="N223" s="1"/>
      <c r="O223" s="221" t="s">
        <v>79</v>
      </c>
      <c r="P223" s="220"/>
      <c r="Q223" s="18">
        <f>VLOOKUP(A223,PLAN!B:R,17,0)</f>
        <v>46235</v>
      </c>
    </row>
    <row r="224" spans="1:17" ht="19.8" hidden="1" customHeight="1">
      <c r="A224" s="329" t="s">
        <v>2520</v>
      </c>
      <c r="B224" s="14">
        <f>VLOOKUP($A224,PLAN!$B:$AC,3,0)</f>
        <v>11134186</v>
      </c>
      <c r="C224" s="14" t="str">
        <f>VLOOKUP($A224,PLAN!$B:$AC,4,0)</f>
        <v>1861036-H-A</v>
      </c>
      <c r="D224" s="14" t="str">
        <f>VLOOKUP($A224,PLAN!$B:$AC,5,0)</f>
        <v>HW70SP300P10000 CN</v>
      </c>
      <c r="E224" s="14" t="str">
        <f>VLOOKUP($A224,PLAN!$B:$AC,2,0)</f>
        <v>1001929593</v>
      </c>
      <c r="F224" s="15">
        <f>VLOOKUP($A224,PLAN!$B:$AC,7,0)</f>
        <v>46253</v>
      </c>
      <c r="G224" s="16" t="str">
        <f>VLOOKUP($A224,PLAN!$B:$AC,8,0)</f>
        <v>0103579022</v>
      </c>
      <c r="H224" s="16" t="str">
        <f>VLOOKUP($A224,PLAN!$B:$AC,9,0)</f>
        <v>260727C88A</v>
      </c>
      <c r="I224" s="16">
        <f>VLOOKUP($A224,PLAN!$B:$AC,10,0)</f>
        <v>77</v>
      </c>
      <c r="J224" s="17">
        <f>VLOOKUP($A224,PLAN!$B:$AC,21,0)</f>
        <v>46237</v>
      </c>
      <c r="K224" s="145" t="str">
        <f>VLOOKUP($A224,PLAN!$B:$AC,22,0)</f>
        <v>M9</v>
      </c>
      <c r="L224" s="1"/>
      <c r="M224" s="1"/>
      <c r="N224" s="1"/>
      <c r="O224" s="221" t="s">
        <v>79</v>
      </c>
      <c r="P224" s="220"/>
      <c r="Q224" s="18">
        <f>VLOOKUP(A224,PLAN!B:R,17,0)</f>
        <v>46235</v>
      </c>
    </row>
    <row r="225" spans="1:17" ht="19.8" hidden="1" customHeight="1">
      <c r="A225" s="329" t="s">
        <v>2521</v>
      </c>
      <c r="B225" s="14">
        <f>VLOOKUP($A225,PLAN!$B:$AC,3,0)</f>
        <v>11134187</v>
      </c>
      <c r="C225" s="14" t="str">
        <f>VLOOKUP($A225,PLAN!$B:$AC,4,0)</f>
        <v>1861038-L-A</v>
      </c>
      <c r="D225" s="14" t="str">
        <f>VLOOKUP($A225,PLAN!$B:$AC,5,0)</f>
        <v>HW70SP350P10000 CN</v>
      </c>
      <c r="E225" s="14" t="str">
        <f>VLOOKUP($A225,PLAN!$B:$AC,2,0)</f>
        <v>1001929595</v>
      </c>
      <c r="F225" s="15">
        <f>VLOOKUP($A225,PLAN!$B:$AC,7,0)</f>
        <v>46253</v>
      </c>
      <c r="G225" s="16" t="str">
        <f>VLOOKUP($A225,PLAN!$B:$AC,8,0)</f>
        <v>0103579023</v>
      </c>
      <c r="H225" s="16" t="str">
        <f>VLOOKUP($A225,PLAN!$B:$AC,9,0)</f>
        <v>260727C89A</v>
      </c>
      <c r="I225" s="16">
        <f>VLOOKUP($A225,PLAN!$B:$AC,10,0)</f>
        <v>269</v>
      </c>
      <c r="J225" s="17">
        <f>VLOOKUP($A225,PLAN!$B:$AC,21,0)</f>
        <v>46237</v>
      </c>
      <c r="K225" s="145" t="str">
        <f>VLOOKUP($A225,PLAN!$B:$AC,22,0)</f>
        <v>M9</v>
      </c>
      <c r="L225" s="1"/>
      <c r="M225" s="1"/>
      <c r="N225" s="1"/>
      <c r="O225" s="221" t="s">
        <v>79</v>
      </c>
      <c r="P225" s="220"/>
      <c r="Q225" s="18">
        <f>VLOOKUP(A225,PLAN!B:R,17,0)</f>
        <v>46235</v>
      </c>
    </row>
    <row r="226" spans="1:17" ht="19.8" hidden="1" customHeight="1">
      <c r="A226" s="329" t="s">
        <v>2522</v>
      </c>
      <c r="B226" s="14">
        <f>VLOOKUP($A226,PLAN!$B:$AC,3,0)</f>
        <v>11134209</v>
      </c>
      <c r="C226" s="14" t="str">
        <f>VLOOKUP($A226,PLAN!$B:$AC,4,0)</f>
        <v>2211704-E-A</v>
      </c>
      <c r="D226" s="14" t="str">
        <f>VLOOKUP($A226,PLAN!$B:$AC,5,0)</f>
        <v>HW80SP352P10000 CN</v>
      </c>
      <c r="E226" s="14" t="str">
        <f>VLOOKUP($A226,PLAN!$B:$AC,2,0)</f>
        <v>1001929596</v>
      </c>
      <c r="F226" s="15">
        <f>VLOOKUP($A226,PLAN!$B:$AC,7,0)</f>
        <v>46253</v>
      </c>
      <c r="G226" s="16" t="str">
        <f>VLOOKUP($A226,PLAN!$B:$AC,8,0)</f>
        <v>0103579024</v>
      </c>
      <c r="H226" s="16" t="str">
        <f>VLOOKUP($A226,PLAN!$B:$AC,9,0)</f>
        <v>260727C90A</v>
      </c>
      <c r="I226" s="16">
        <f>VLOOKUP($A226,PLAN!$B:$AC,10,0)</f>
        <v>60</v>
      </c>
      <c r="J226" s="17">
        <f>VLOOKUP($A226,PLAN!$B:$AC,21,0)</f>
        <v>46237</v>
      </c>
      <c r="K226" s="145" t="str">
        <f>VLOOKUP($A226,PLAN!$B:$AC,22,0)</f>
        <v>M9</v>
      </c>
      <c r="L226" s="1"/>
      <c r="M226" s="1"/>
      <c r="N226" s="1"/>
      <c r="O226" s="221" t="s">
        <v>79</v>
      </c>
      <c r="P226" s="220"/>
      <c r="Q226" s="18">
        <f>VLOOKUP(A226,PLAN!B:R,17,0)</f>
        <v>46235</v>
      </c>
    </row>
    <row r="227" spans="1:17" ht="19.8" hidden="1" customHeight="1">
      <c r="A227" s="329" t="s">
        <v>2523</v>
      </c>
      <c r="B227" s="14">
        <f>VLOOKUP($A227,PLAN!$B:$AC,3,0)</f>
        <v>11134211</v>
      </c>
      <c r="C227" s="14" t="str">
        <f>VLOOKUP($A227,PLAN!$B:$AC,4,0)</f>
        <v>2211706-E-A</v>
      </c>
      <c r="D227" s="14" t="str">
        <f>VLOOKUP($A227,PLAN!$B:$AC,5,0)</f>
        <v>HW80SP372P10000 CN</v>
      </c>
      <c r="E227" s="14" t="str">
        <f>VLOOKUP($A227,PLAN!$B:$AC,2,0)</f>
        <v>1001929597</v>
      </c>
      <c r="F227" s="15">
        <f>VLOOKUP($A227,PLAN!$B:$AC,7,0)</f>
        <v>46253</v>
      </c>
      <c r="G227" s="16" t="str">
        <f>VLOOKUP($A227,PLAN!$B:$AC,8,0)</f>
        <v>0103579025</v>
      </c>
      <c r="H227" s="16" t="str">
        <f>VLOOKUP($A227,PLAN!$B:$AC,9,0)</f>
        <v>260727C91A</v>
      </c>
      <c r="I227" s="16">
        <f>VLOOKUP($A227,PLAN!$B:$AC,10,0)</f>
        <v>10</v>
      </c>
      <c r="J227" s="17">
        <f>VLOOKUP($A227,PLAN!$B:$AC,21,0)</f>
        <v>46237</v>
      </c>
      <c r="K227" s="145" t="str">
        <f>VLOOKUP($A227,PLAN!$B:$AC,22,0)</f>
        <v>M9</v>
      </c>
      <c r="L227" s="1"/>
      <c r="M227" s="1"/>
      <c r="N227" s="1"/>
      <c r="O227" s="221" t="s">
        <v>79</v>
      </c>
      <c r="P227" s="220"/>
      <c r="Q227" s="18">
        <f>VLOOKUP(A227,PLAN!B:R,17,0)</f>
        <v>46235</v>
      </c>
    </row>
    <row r="228" spans="1:17" ht="21.6" hidden="1" customHeight="1">
      <c r="A228" s="329" t="s">
        <v>2916</v>
      </c>
      <c r="B228" s="14">
        <f>VLOOKUP($A228,PLAN!$B:$AC,3,0)</f>
        <v>11134246</v>
      </c>
      <c r="C228" s="14" t="str">
        <f>VLOOKUP($A228,PLAN!$B:$AC,4,0)</f>
        <v>2141049-D-A</v>
      </c>
      <c r="D228" s="14" t="str">
        <f>VLOOKUP($A228,PLAN!$B:$AC,5,0)</f>
        <v>CRV135-19P CN</v>
      </c>
      <c r="E228" s="14" t="str">
        <f>VLOOKUP($A228,PLAN!$B:$AC,2,0)</f>
        <v>1001930977</v>
      </c>
      <c r="F228" s="15">
        <f>VLOOKUP($A228,PLAN!$B:$AC,7,0)</f>
        <v>46254</v>
      </c>
      <c r="G228" s="16" t="str">
        <f>VLOOKUP($A228,PLAN!$B:$AC,8,0)</f>
        <v>0103582497</v>
      </c>
      <c r="H228" s="16" t="str">
        <f>VLOOKUP($A228,PLAN!$B:$AC,9,0)</f>
        <v>260729K01A</v>
      </c>
      <c r="I228" s="16">
        <f>VLOOKUP($A228,PLAN!$B:$AC,10,0)</f>
        <v>166</v>
      </c>
      <c r="J228" s="17">
        <f>VLOOKUP($A228,PLAN!$B:$AC,21,0)</f>
        <v>46239</v>
      </c>
      <c r="K228" s="145" t="str">
        <f>VLOOKUP($A228,PLAN!$B:$AC,22,0)</f>
        <v>M8</v>
      </c>
      <c r="L228" s="1"/>
      <c r="M228" s="1"/>
      <c r="N228" s="1"/>
      <c r="O228" s="221" t="s">
        <v>79</v>
      </c>
      <c r="P228" s="220"/>
      <c r="Q228" s="18">
        <f>VLOOKUP(A228,PLAN!B:R,17,0)</f>
        <v>46238</v>
      </c>
    </row>
    <row r="229" spans="1:17" ht="21.6" hidden="1" customHeight="1">
      <c r="A229" s="329" t="s">
        <v>2917</v>
      </c>
      <c r="B229" s="14">
        <f>VLOOKUP($A229,PLAN!$B:$AC,3,0)</f>
        <v>11134247</v>
      </c>
      <c r="C229" s="14" t="str">
        <f>VLOOKUP($A229,PLAN!$B:$AC,4,0)</f>
        <v>2141050-D-A</v>
      </c>
      <c r="D229" s="14" t="str">
        <f>VLOOKUP($A229,PLAN!$B:$AC,5,0)</f>
        <v>CRV150-19P CN</v>
      </c>
      <c r="E229" s="14" t="str">
        <f>VLOOKUP($A229,PLAN!$B:$AC,2,0)</f>
        <v>1001930978</v>
      </c>
      <c r="F229" s="15">
        <f>VLOOKUP($A229,PLAN!$B:$AC,7,0)</f>
        <v>46254</v>
      </c>
      <c r="G229" s="16" t="str">
        <f>VLOOKUP($A229,PLAN!$B:$AC,8,0)</f>
        <v>0103582498</v>
      </c>
      <c r="H229" s="16" t="str">
        <f>VLOOKUP($A229,PLAN!$B:$AC,9,0)</f>
        <v>260729K02A</v>
      </c>
      <c r="I229" s="16">
        <f>VLOOKUP($A229,PLAN!$B:$AC,10,0)</f>
        <v>183</v>
      </c>
      <c r="J229" s="17">
        <f>VLOOKUP($A229,PLAN!$B:$AC,21,0)</f>
        <v>46239</v>
      </c>
      <c r="K229" s="145" t="str">
        <f>VLOOKUP($A229,PLAN!$B:$AC,22,0)</f>
        <v>M8</v>
      </c>
      <c r="L229" s="1"/>
      <c r="M229" s="1"/>
      <c r="N229" s="1"/>
      <c r="O229" s="221" t="s">
        <v>79</v>
      </c>
      <c r="P229" s="220"/>
      <c r="Q229" s="18">
        <f>VLOOKUP(A229,PLAN!B:R,17,0)</f>
        <v>46238</v>
      </c>
    </row>
    <row r="230" spans="1:17" ht="21.6" hidden="1" customHeight="1">
      <c r="A230" s="329" t="s">
        <v>2918</v>
      </c>
      <c r="B230" s="14">
        <f>VLOOKUP($A230,PLAN!$B:$AC,3,0)</f>
        <v>11134562</v>
      </c>
      <c r="C230" s="14" t="str">
        <f>VLOOKUP($A230,PLAN!$B:$AC,4,0)</f>
        <v>2041303-C-A</v>
      </c>
      <c r="D230" s="14" t="str">
        <f>VLOOKUP($A230,PLAN!$B:$AC,5,0)</f>
        <v>MST125-27HFR CN</v>
      </c>
      <c r="E230" s="14" t="str">
        <f>VLOOKUP($A230,PLAN!$B:$AC,2,0)</f>
        <v>1001930979</v>
      </c>
      <c r="F230" s="15">
        <f>VLOOKUP($A230,PLAN!$B:$AC,7,0)</f>
        <v>46254</v>
      </c>
      <c r="G230" s="16" t="str">
        <f>VLOOKUP($A230,PLAN!$B:$AC,8,0)</f>
        <v>0103582499</v>
      </c>
      <c r="H230" s="16" t="str">
        <f>VLOOKUP($A230,PLAN!$B:$AC,9,0)</f>
        <v>260729K03A</v>
      </c>
      <c r="I230" s="16">
        <f>VLOOKUP($A230,PLAN!$B:$AC,10,0)</f>
        <v>1033</v>
      </c>
      <c r="J230" s="17">
        <f>VLOOKUP($A230,PLAN!$B:$AC,21,0)</f>
        <v>46239</v>
      </c>
      <c r="K230" s="145" t="str">
        <f>VLOOKUP($A230,PLAN!$B:$AC,22,0)</f>
        <v>M8</v>
      </c>
      <c r="L230" s="1"/>
      <c r="M230" s="1"/>
      <c r="N230" s="1"/>
      <c r="O230" s="221" t="s">
        <v>79</v>
      </c>
      <c r="P230" s="220"/>
      <c r="Q230" s="18">
        <f>VLOOKUP(A230,PLAN!B:R,17,0)</f>
        <v>46238</v>
      </c>
    </row>
    <row r="231" spans="1:17" ht="21.6" hidden="1" customHeight="1">
      <c r="A231" s="329" t="s">
        <v>2865</v>
      </c>
      <c r="B231" s="14">
        <f>VLOOKUP($A231,PLAN!$B:$AC,3,0)</f>
        <v>11122087</v>
      </c>
      <c r="C231" s="14" t="str">
        <f>VLOOKUP($A231,PLAN!$B:$AC,4,0)</f>
        <v>2341003-B-A</v>
      </c>
      <c r="D231" s="14" t="str">
        <f>VLOOKUP($A231,PLAN!$B:$AC,5,0)</f>
        <v>CRV135-19P CE3</v>
      </c>
      <c r="E231" s="14" t="str">
        <f>VLOOKUP($A231,PLAN!$B:$AC,2,0)</f>
        <v>1001930980</v>
      </c>
      <c r="F231" s="15">
        <f>VLOOKUP($A231,PLAN!$B:$AC,7,0)</f>
        <v>46248</v>
      </c>
      <c r="G231" s="16" t="str">
        <f>VLOOKUP($A231,PLAN!$B:$AC,8,0)</f>
        <v>0103582500</v>
      </c>
      <c r="H231" s="16" t="str">
        <f>VLOOKUP($A231,PLAN!$B:$AC,9,0)</f>
        <v>260729K04A</v>
      </c>
      <c r="I231" s="16">
        <f>VLOOKUP($A231,PLAN!$B:$AC,10,0)</f>
        <v>189</v>
      </c>
      <c r="J231" s="17">
        <f>VLOOKUP($A231,PLAN!$B:$AC,21,0)</f>
        <v>46239</v>
      </c>
      <c r="K231" s="145" t="str">
        <f>VLOOKUP($A231,PLAN!$B:$AC,22,0)</f>
        <v>M8</v>
      </c>
      <c r="L231" s="1"/>
      <c r="M231" s="1"/>
      <c r="N231" s="1"/>
      <c r="O231" s="221" t="s">
        <v>79</v>
      </c>
      <c r="P231" s="220"/>
      <c r="Q231" s="18">
        <f>VLOOKUP(A231,PLAN!B:R,17,0)</f>
        <v>46238</v>
      </c>
    </row>
    <row r="232" spans="1:17" ht="21.6" hidden="1" customHeight="1">
      <c r="A232" s="329" t="s">
        <v>2866</v>
      </c>
      <c r="B232" s="14">
        <f>VLOOKUP($A232,PLAN!$B:$AC,3,0)</f>
        <v>11122088</v>
      </c>
      <c r="C232" s="14" t="str">
        <f>VLOOKUP($A232,PLAN!$B:$AC,4,0)</f>
        <v>2341004-B-A</v>
      </c>
      <c r="D232" s="14" t="str">
        <f>VLOOKUP($A232,PLAN!$B:$AC,5,0)</f>
        <v>CRV150-19P CE3</v>
      </c>
      <c r="E232" s="14" t="str">
        <f>VLOOKUP($A232,PLAN!$B:$AC,2,0)</f>
        <v>1001930981</v>
      </c>
      <c r="F232" s="15">
        <f>VLOOKUP($A232,PLAN!$B:$AC,7,0)</f>
        <v>46248</v>
      </c>
      <c r="G232" s="16" t="str">
        <f>VLOOKUP($A232,PLAN!$B:$AC,8,0)</f>
        <v>0103582501</v>
      </c>
      <c r="H232" s="16" t="str">
        <f>VLOOKUP($A232,PLAN!$B:$AC,9,0)</f>
        <v>260729K05A</v>
      </c>
      <c r="I232" s="16">
        <f>VLOOKUP($A232,PLAN!$B:$AC,10,0)</f>
        <v>70</v>
      </c>
      <c r="J232" s="17">
        <f>VLOOKUP($A232,PLAN!$B:$AC,21,0)</f>
        <v>46239</v>
      </c>
      <c r="K232" s="145" t="str">
        <f>VLOOKUP($A232,PLAN!$B:$AC,22,0)</f>
        <v>M8</v>
      </c>
      <c r="L232" s="1"/>
      <c r="M232" s="1"/>
      <c r="N232" s="1"/>
      <c r="O232" s="221" t="s">
        <v>79</v>
      </c>
      <c r="P232" s="220"/>
      <c r="Q232" s="18">
        <f>VLOOKUP(A232,PLAN!B:R,17,0)</f>
        <v>46238</v>
      </c>
    </row>
    <row r="233" spans="1:17" ht="21.6" hidden="1" customHeight="1">
      <c r="A233" s="329" t="s">
        <v>2867</v>
      </c>
      <c r="B233" s="14">
        <f>VLOOKUP($A233,PLAN!$B:$AC,3,0)</f>
        <v>11131259</v>
      </c>
      <c r="C233" s="14" t="str">
        <f>VLOOKUP($A233,PLAN!$B:$AC,4,0)</f>
        <v>1941002-D-A</v>
      </c>
      <c r="D233" s="14" t="str">
        <f>VLOOKUP($A233,PLAN!$B:$AC,5,0)</f>
        <v>CSR150-26PR JP</v>
      </c>
      <c r="E233" s="14" t="str">
        <f>VLOOKUP($A233,PLAN!$B:$AC,2,0)</f>
        <v>1001930982</v>
      </c>
      <c r="F233" s="15">
        <f>VLOOKUP($A233,PLAN!$B:$AC,7,0)</f>
        <v>46248</v>
      </c>
      <c r="G233" s="16" t="str">
        <f>VLOOKUP($A233,PLAN!$B:$AC,8,0)</f>
        <v>0103582502</v>
      </c>
      <c r="H233" s="16" t="str">
        <f>VLOOKUP($A233,PLAN!$B:$AC,9,0)</f>
        <v>260729K06A</v>
      </c>
      <c r="I233" s="16">
        <f>VLOOKUP($A233,PLAN!$B:$AC,10,0)</f>
        <v>37</v>
      </c>
      <c r="J233" s="17">
        <f>VLOOKUP($A233,PLAN!$B:$AC,21,0)</f>
        <v>46239</v>
      </c>
      <c r="K233" s="145" t="str">
        <f>VLOOKUP($A233,PLAN!$B:$AC,22,0)</f>
        <v>M8</v>
      </c>
      <c r="L233" s="1"/>
      <c r="M233" s="1"/>
      <c r="N233" s="1"/>
      <c r="O233" s="221" t="s">
        <v>79</v>
      </c>
      <c r="P233" s="220"/>
      <c r="Q233" s="18">
        <f>VLOOKUP(A233,PLAN!B:R,17,0)</f>
        <v>46238</v>
      </c>
    </row>
    <row r="234" spans="1:17" ht="21.6" hidden="1" customHeight="1">
      <c r="A234" s="329" t="s">
        <v>2868</v>
      </c>
      <c r="B234" s="14">
        <f>VLOOKUP($A234,PLAN!$B:$AC,3,0)</f>
        <v>11126311</v>
      </c>
      <c r="C234" s="14" t="str">
        <f>VLOOKUP($A234,PLAN!$B:$AC,4,0)</f>
        <v>1941011-E-A</v>
      </c>
      <c r="D234" s="14" t="str">
        <f>VLOOKUP($A234,PLAN!$B:$AC,5,0)</f>
        <v>MST150-18PWSFR JP</v>
      </c>
      <c r="E234" s="14" t="str">
        <f>VLOOKUP($A234,PLAN!$B:$AC,2,0)</f>
        <v>1001930983</v>
      </c>
      <c r="F234" s="15">
        <f>VLOOKUP($A234,PLAN!$B:$AC,7,0)</f>
        <v>46248</v>
      </c>
      <c r="G234" s="16" t="str">
        <f>VLOOKUP($A234,PLAN!$B:$AC,8,0)</f>
        <v>0103582503</v>
      </c>
      <c r="H234" s="16" t="str">
        <f>VLOOKUP($A234,PLAN!$B:$AC,9,0)</f>
        <v>260729K07A</v>
      </c>
      <c r="I234" s="16">
        <f>VLOOKUP($A234,PLAN!$B:$AC,10,0)</f>
        <v>1</v>
      </c>
      <c r="J234" s="17">
        <f>VLOOKUP($A234,PLAN!$B:$AC,21,0)</f>
        <v>46239</v>
      </c>
      <c r="K234" s="145" t="str">
        <f>VLOOKUP($A234,PLAN!$B:$AC,22,0)</f>
        <v>M8</v>
      </c>
      <c r="L234" s="1"/>
      <c r="M234" s="1"/>
      <c r="N234" s="1"/>
      <c r="O234" s="221" t="s">
        <v>79</v>
      </c>
      <c r="P234" s="220"/>
      <c r="Q234" s="18">
        <f>VLOOKUP(A234,PLAN!B:R,17,0)</f>
        <v>46238</v>
      </c>
    </row>
    <row r="235" spans="1:17" ht="21.6" hidden="1" customHeight="1">
      <c r="A235" s="329" t="s">
        <v>2869</v>
      </c>
      <c r="B235" s="14">
        <f>VLOOKUP($A235,PLAN!$B:$AC,3,0)</f>
        <v>11131954</v>
      </c>
      <c r="C235" s="14" t="str">
        <f>VLOOKUP($A235,PLAN!$B:$AC,4,0)</f>
        <v>1941013-F-A</v>
      </c>
      <c r="D235" s="14" t="str">
        <f>VLOOKUP($A235,PLAN!$B:$AC,5,0)</f>
        <v>MST45A-18PWSFR JP</v>
      </c>
      <c r="E235" s="14" t="str">
        <f>VLOOKUP($A235,PLAN!$B:$AC,2,0)</f>
        <v>1001930984</v>
      </c>
      <c r="F235" s="15">
        <f>VLOOKUP($A235,PLAN!$B:$AC,7,0)</f>
        <v>46248</v>
      </c>
      <c r="G235" s="16" t="str">
        <f>VLOOKUP($A235,PLAN!$B:$AC,8,0)</f>
        <v>0103582504</v>
      </c>
      <c r="H235" s="16" t="str">
        <f>VLOOKUP($A235,PLAN!$B:$AC,9,0)</f>
        <v>260729K08A</v>
      </c>
      <c r="I235" s="16">
        <f>VLOOKUP($A235,PLAN!$B:$AC,10,0)</f>
        <v>3</v>
      </c>
      <c r="J235" s="17">
        <f>VLOOKUP($A235,PLAN!$B:$AC,21,0)</f>
        <v>46239</v>
      </c>
      <c r="K235" s="145" t="str">
        <f>VLOOKUP($A235,PLAN!$B:$AC,22,0)</f>
        <v>M8</v>
      </c>
      <c r="L235" s="1"/>
      <c r="M235" s="1"/>
      <c r="N235" s="1"/>
      <c r="O235" s="221" t="s">
        <v>79</v>
      </c>
      <c r="P235" s="220"/>
      <c r="Q235" s="18">
        <f>VLOOKUP(A235,PLAN!B:R,17,0)</f>
        <v>46238</v>
      </c>
    </row>
    <row r="236" spans="1:17" ht="21.6" hidden="1" customHeight="1">
      <c r="A236" s="329" t="s">
        <v>2870</v>
      </c>
      <c r="B236" s="14">
        <f>VLOOKUP($A236,PLAN!$B:$AC,3,0)</f>
        <v>11132001</v>
      </c>
      <c r="C236" s="14" t="str">
        <f>VLOOKUP($A236,PLAN!$B:$AC,4,0)</f>
        <v>1941063-D-A</v>
      </c>
      <c r="D236" s="14" t="str">
        <f>VLOOKUP($A236,PLAN!$B:$AC,5,0)</f>
        <v>TLS105-16YR JP</v>
      </c>
      <c r="E236" s="14" t="str">
        <f>VLOOKUP($A236,PLAN!$B:$AC,2,0)</f>
        <v>1001930985</v>
      </c>
      <c r="F236" s="15">
        <f>VLOOKUP($A236,PLAN!$B:$AC,7,0)</f>
        <v>46248</v>
      </c>
      <c r="G236" s="16" t="str">
        <f>VLOOKUP($A236,PLAN!$B:$AC,8,0)</f>
        <v>0103582505</v>
      </c>
      <c r="H236" s="16" t="str">
        <f>VLOOKUP($A236,PLAN!$B:$AC,9,0)</f>
        <v>260729K09A</v>
      </c>
      <c r="I236" s="16">
        <f>VLOOKUP($A236,PLAN!$B:$AC,10,0)</f>
        <v>13</v>
      </c>
      <c r="J236" s="17">
        <f>VLOOKUP($A236,PLAN!$B:$AC,21,0)</f>
        <v>46239</v>
      </c>
      <c r="K236" s="145" t="str">
        <f>VLOOKUP($A236,PLAN!$B:$AC,22,0)</f>
        <v>M8</v>
      </c>
      <c r="L236" s="1"/>
      <c r="M236" s="1"/>
      <c r="N236" s="1"/>
      <c r="O236" s="221" t="s">
        <v>79</v>
      </c>
      <c r="P236" s="220"/>
      <c r="Q236" s="18">
        <f>VLOOKUP(A236,PLAN!B:R,17,0)</f>
        <v>46238</v>
      </c>
    </row>
    <row r="237" spans="1:17" ht="21.6" hidden="1" customHeight="1">
      <c r="A237" s="329" t="s">
        <v>2871</v>
      </c>
      <c r="B237" s="14">
        <f>VLOOKUP($A237,PLAN!$B:$AC,3,0)</f>
        <v>11134361</v>
      </c>
      <c r="C237" s="14" t="str">
        <f>VLOOKUP($A237,PLAN!$B:$AC,4,0)</f>
        <v>1941057-F-A</v>
      </c>
      <c r="D237" s="14" t="str">
        <f>VLOOKUP($A237,PLAN!$B:$AC,5,0)</f>
        <v>TLS125-16SR JP</v>
      </c>
      <c r="E237" s="14" t="str">
        <f>VLOOKUP($A237,PLAN!$B:$AC,2,0)</f>
        <v>1001930986</v>
      </c>
      <c r="F237" s="15">
        <f>VLOOKUP($A237,PLAN!$B:$AC,7,0)</f>
        <v>46248</v>
      </c>
      <c r="G237" s="16" t="str">
        <f>VLOOKUP($A237,PLAN!$B:$AC,8,0)</f>
        <v>0103582506</v>
      </c>
      <c r="H237" s="16" t="str">
        <f>VLOOKUP($A237,PLAN!$B:$AC,9,0)</f>
        <v>260729K10A</v>
      </c>
      <c r="I237" s="16">
        <f>VLOOKUP($A237,PLAN!$B:$AC,10,0)</f>
        <v>5</v>
      </c>
      <c r="J237" s="17">
        <f>VLOOKUP($A237,PLAN!$B:$AC,21,0)</f>
        <v>46239</v>
      </c>
      <c r="K237" s="145" t="str">
        <f>VLOOKUP($A237,PLAN!$B:$AC,22,0)</f>
        <v>M8</v>
      </c>
      <c r="L237" s="1"/>
      <c r="M237" s="1"/>
      <c r="N237" s="1"/>
      <c r="O237" s="221" t="s">
        <v>79</v>
      </c>
      <c r="P237" s="220"/>
      <c r="Q237" s="18">
        <f>VLOOKUP(A237,PLAN!B:R,17,0)</f>
        <v>46238</v>
      </c>
    </row>
    <row r="238" spans="1:17" ht="21.6" hidden="1" customHeight="1">
      <c r="A238" s="329" t="s">
        <v>2872</v>
      </c>
      <c r="B238" s="14">
        <f>VLOOKUP($A238,PLAN!$B:$AC,3,0)</f>
        <v>11132002</v>
      </c>
      <c r="C238" s="14" t="str">
        <f>VLOOKUP($A238,PLAN!$B:$AC,4,0)</f>
        <v>1941064-D-A</v>
      </c>
      <c r="D238" s="14" t="str">
        <f>VLOOKUP($A238,PLAN!$B:$AC,5,0)</f>
        <v>TLS125-16YR JP</v>
      </c>
      <c r="E238" s="14" t="str">
        <f>VLOOKUP($A238,PLAN!$B:$AC,2,0)</f>
        <v>1001930987</v>
      </c>
      <c r="F238" s="15">
        <f>VLOOKUP($A238,PLAN!$B:$AC,7,0)</f>
        <v>46248</v>
      </c>
      <c r="G238" s="16" t="str">
        <f>VLOOKUP($A238,PLAN!$B:$AC,8,0)</f>
        <v>0103582507</v>
      </c>
      <c r="H238" s="16" t="str">
        <f>VLOOKUP($A238,PLAN!$B:$AC,9,0)</f>
        <v>260729K11A</v>
      </c>
      <c r="I238" s="16">
        <f>VLOOKUP($A238,PLAN!$B:$AC,10,0)</f>
        <v>4</v>
      </c>
      <c r="J238" s="17">
        <f>VLOOKUP($A238,PLAN!$B:$AC,21,0)</f>
        <v>46239</v>
      </c>
      <c r="K238" s="145" t="str">
        <f>VLOOKUP($A238,PLAN!$B:$AC,22,0)</f>
        <v>M8</v>
      </c>
      <c r="L238" s="1"/>
      <c r="M238" s="1"/>
      <c r="N238" s="1"/>
      <c r="O238" s="221" t="s">
        <v>79</v>
      </c>
      <c r="P238" s="220"/>
      <c r="Q238" s="18">
        <f>VLOOKUP(A238,PLAN!B:R,17,0)</f>
        <v>46238</v>
      </c>
    </row>
    <row r="239" spans="1:17" ht="21.6" hidden="1" customHeight="1">
      <c r="A239" s="329" t="s">
        <v>2873</v>
      </c>
      <c r="B239" s="14">
        <f>VLOOKUP($A239,PLAN!$B:$AC,3,0)</f>
        <v>11134362</v>
      </c>
      <c r="C239" s="14" t="str">
        <f>VLOOKUP($A239,PLAN!$B:$AC,4,0)</f>
        <v>1941058-F-A</v>
      </c>
      <c r="D239" s="14" t="str">
        <f>VLOOKUP($A239,PLAN!$B:$AC,5,0)</f>
        <v>TLS150-16SR JP</v>
      </c>
      <c r="E239" s="14" t="str">
        <f>VLOOKUP($A239,PLAN!$B:$AC,2,0)</f>
        <v>1001930988</v>
      </c>
      <c r="F239" s="15">
        <f>VLOOKUP($A239,PLAN!$B:$AC,7,0)</f>
        <v>46248</v>
      </c>
      <c r="G239" s="16" t="str">
        <f>VLOOKUP($A239,PLAN!$B:$AC,8,0)</f>
        <v>0103582508</v>
      </c>
      <c r="H239" s="16" t="str">
        <f>VLOOKUP($A239,PLAN!$B:$AC,9,0)</f>
        <v>260729K12A</v>
      </c>
      <c r="I239" s="16">
        <f>VLOOKUP($A239,PLAN!$B:$AC,10,0)</f>
        <v>11</v>
      </c>
      <c r="J239" s="17">
        <f>VLOOKUP($A239,PLAN!$B:$AC,21,0)</f>
        <v>46239</v>
      </c>
      <c r="K239" s="145" t="str">
        <f>VLOOKUP($A239,PLAN!$B:$AC,22,0)</f>
        <v>M8</v>
      </c>
      <c r="L239" s="1"/>
      <c r="M239" s="1"/>
      <c r="N239" s="1"/>
      <c r="O239" s="221" t="s">
        <v>79</v>
      </c>
      <c r="P239" s="220"/>
      <c r="Q239" s="18">
        <f>VLOOKUP(A239,PLAN!B:R,17,0)</f>
        <v>46238</v>
      </c>
    </row>
    <row r="240" spans="1:17" ht="21.6" hidden="1" customHeight="1">
      <c r="A240" s="329" t="s">
        <v>2874</v>
      </c>
      <c r="B240" s="14">
        <f>VLOOKUP($A240,PLAN!$B:$AC,3,0)</f>
        <v>11134344</v>
      </c>
      <c r="C240" s="14" t="str">
        <f>VLOOKUP($A240,PLAN!$B:$AC,4,0)</f>
        <v>1941030-F-A</v>
      </c>
      <c r="D240" s="14" t="str">
        <f>VLOOKUP($A240,PLAN!$B:$AC,5,0)</f>
        <v>VEL125-16SR JP</v>
      </c>
      <c r="E240" s="14" t="str">
        <f>VLOOKUP($A240,PLAN!$B:$AC,2,0)</f>
        <v>1001930989</v>
      </c>
      <c r="F240" s="15">
        <f>VLOOKUP($A240,PLAN!$B:$AC,7,0)</f>
        <v>46248</v>
      </c>
      <c r="G240" s="16" t="str">
        <f>VLOOKUP($A240,PLAN!$B:$AC,8,0)</f>
        <v>0103582509</v>
      </c>
      <c r="H240" s="16" t="str">
        <f>VLOOKUP($A240,PLAN!$B:$AC,9,0)</f>
        <v>260729K13A</v>
      </c>
      <c r="I240" s="16">
        <f>VLOOKUP($A240,PLAN!$B:$AC,10,0)</f>
        <v>9</v>
      </c>
      <c r="J240" s="17">
        <f>VLOOKUP($A240,PLAN!$B:$AC,21,0)</f>
        <v>46239</v>
      </c>
      <c r="K240" s="145" t="str">
        <f>VLOOKUP($A240,PLAN!$B:$AC,22,0)</f>
        <v>M8</v>
      </c>
      <c r="L240" s="1"/>
      <c r="M240" s="1"/>
      <c r="N240" s="1"/>
      <c r="O240" s="221" t="s">
        <v>79</v>
      </c>
      <c r="P240" s="220"/>
      <c r="Q240" s="18">
        <f>VLOOKUP(A240,PLAN!B:R,17,0)</f>
        <v>46238</v>
      </c>
    </row>
    <row r="241" spans="1:17" ht="21.6" hidden="1" customHeight="1">
      <c r="A241" s="329" t="s">
        <v>2875</v>
      </c>
      <c r="B241" s="14">
        <f>VLOOKUP($A241,PLAN!$B:$AC,3,0)</f>
        <v>11112481</v>
      </c>
      <c r="C241" s="14" t="str">
        <f>VLOOKUP($A241,PLAN!$B:$AC,4,0)</f>
        <v>PSC35135A-E-A</v>
      </c>
      <c r="D241" s="14" t="str">
        <f>VLOOKUP($A241,PLAN!$B:$AC,5,0)</f>
        <v>PSC35135A US</v>
      </c>
      <c r="E241" s="14" t="str">
        <f>VLOOKUP($A241,PLAN!$B:$AC,2,0)</f>
        <v>1001930990</v>
      </c>
      <c r="F241" s="15">
        <f>VLOOKUP($A241,PLAN!$B:$AC,7,0)</f>
        <v>46248</v>
      </c>
      <c r="G241" s="16" t="str">
        <f>VLOOKUP($A241,PLAN!$B:$AC,8,0)</f>
        <v>0103582510</v>
      </c>
      <c r="H241" s="16" t="str">
        <f>VLOOKUP($A241,PLAN!$B:$AC,9,0)</f>
        <v>260729K14A</v>
      </c>
      <c r="I241" s="16">
        <f>VLOOKUP($A241,PLAN!$B:$AC,10,0)</f>
        <v>7</v>
      </c>
      <c r="J241" s="17">
        <f>VLOOKUP($A241,PLAN!$B:$AC,21,0)</f>
        <v>46239</v>
      </c>
      <c r="K241" s="145" t="str">
        <f>VLOOKUP($A241,PLAN!$B:$AC,22,0)</f>
        <v>M8</v>
      </c>
      <c r="L241" s="1"/>
      <c r="M241" s="1"/>
      <c r="N241" s="1"/>
      <c r="O241" s="221" t="s">
        <v>79</v>
      </c>
      <c r="P241" s="220"/>
      <c r="Q241" s="18">
        <f>VLOOKUP(A241,PLAN!B:R,17,0)</f>
        <v>46238</v>
      </c>
    </row>
    <row r="242" spans="1:17" ht="21.6" hidden="1" customHeight="1">
      <c r="A242" s="329" t="s">
        <v>2876</v>
      </c>
      <c r="B242" s="14">
        <f>VLOOKUP($A242,PLAN!$B:$AC,3,0)</f>
        <v>11119387</v>
      </c>
      <c r="C242" s="14" t="str">
        <f>VLOOKUP($A242,PLAN!$B:$AC,4,0)</f>
        <v>1911055-D-A</v>
      </c>
      <c r="D242" s="14" t="str">
        <f>VLOOKUP($A242,PLAN!$B:$AC,5,0)</f>
        <v>HJ60JL500P10001 JP</v>
      </c>
      <c r="E242" s="14" t="str">
        <f>VLOOKUP($A242,PLAN!$B:$AC,2,0)</f>
        <v>1001930991</v>
      </c>
      <c r="F242" s="15">
        <f>VLOOKUP($A242,PLAN!$B:$AC,7,0)</f>
        <v>46248</v>
      </c>
      <c r="G242" s="16" t="str">
        <f>VLOOKUP($A242,PLAN!$B:$AC,8,0)</f>
        <v>0103582511</v>
      </c>
      <c r="H242" s="16" t="str">
        <f>VLOOKUP($A242,PLAN!$B:$AC,9,0)</f>
        <v>260729C01A</v>
      </c>
      <c r="I242" s="16">
        <f>VLOOKUP($A242,PLAN!$B:$AC,10,0)</f>
        <v>1</v>
      </c>
      <c r="J242" s="17">
        <f>VLOOKUP($A242,PLAN!$B:$AC,21,0)</f>
        <v>46239</v>
      </c>
      <c r="K242" s="145" t="str">
        <f>VLOOKUP($A242,PLAN!$B:$AC,22,0)</f>
        <v>M9</v>
      </c>
      <c r="L242" s="1"/>
      <c r="M242" s="1"/>
      <c r="N242" s="1"/>
      <c r="O242" s="221" t="s">
        <v>79</v>
      </c>
      <c r="P242" s="220"/>
      <c r="Q242" s="18">
        <f>VLOOKUP(A242,PLAN!B:R,17,0)</f>
        <v>46238</v>
      </c>
    </row>
    <row r="243" spans="1:17" ht="21.6" hidden="1" customHeight="1">
      <c r="A243" s="329" t="s">
        <v>2877</v>
      </c>
      <c r="B243" s="14">
        <f>VLOOKUP($A243,PLAN!$B:$AC,3,0)</f>
        <v>11119542</v>
      </c>
      <c r="C243" s="14" t="str">
        <f>VLOOKUP($A243,PLAN!$B:$AC,4,0)</f>
        <v>1911208-D-A</v>
      </c>
      <c r="D243" s="14" t="str">
        <f>VLOOKUP($A243,PLAN!$B:$AC,5,0)</f>
        <v>HJ70AL102P09022 JP</v>
      </c>
      <c r="E243" s="14" t="str">
        <f>VLOOKUP($A243,PLAN!$B:$AC,2,0)</f>
        <v>1001930992</v>
      </c>
      <c r="F243" s="15">
        <f>VLOOKUP($A243,PLAN!$B:$AC,7,0)</f>
        <v>46248</v>
      </c>
      <c r="G243" s="16" t="str">
        <f>VLOOKUP($A243,PLAN!$B:$AC,8,0)</f>
        <v>0103582512</v>
      </c>
      <c r="H243" s="16" t="str">
        <f>VLOOKUP($A243,PLAN!$B:$AC,9,0)</f>
        <v>260729C02A</v>
      </c>
      <c r="I243" s="16">
        <f>VLOOKUP($A243,PLAN!$B:$AC,10,0)</f>
        <v>1</v>
      </c>
      <c r="J243" s="17">
        <f>VLOOKUP($A243,PLAN!$B:$AC,21,0)</f>
        <v>46239</v>
      </c>
      <c r="K243" s="145" t="str">
        <f>VLOOKUP($A243,PLAN!$B:$AC,22,0)</f>
        <v>M9</v>
      </c>
      <c r="L243" s="1"/>
      <c r="M243" s="1"/>
      <c r="N243" s="1"/>
      <c r="O243" s="221" t="s">
        <v>79</v>
      </c>
      <c r="P243" s="220"/>
      <c r="Q243" s="18">
        <f>VLOOKUP(A243,PLAN!B:R,17,0)</f>
        <v>46238</v>
      </c>
    </row>
    <row r="244" spans="1:17" ht="21.6" hidden="1" customHeight="1">
      <c r="A244" s="329" t="s">
        <v>2878</v>
      </c>
      <c r="B244" s="14">
        <f>VLOOKUP($A244,PLAN!$B:$AC,3,0)</f>
        <v>11119447</v>
      </c>
      <c r="C244" s="14" t="str">
        <f>VLOOKUP($A244,PLAN!$B:$AC,4,0)</f>
        <v>1911113-D-A</v>
      </c>
      <c r="D244" s="14" t="str">
        <f>VLOOKUP($A244,PLAN!$B:$AC,5,0)</f>
        <v>HJ70AL102P10021 JP</v>
      </c>
      <c r="E244" s="14" t="str">
        <f>VLOOKUP($A244,PLAN!$B:$AC,2,0)</f>
        <v>1001930993</v>
      </c>
      <c r="F244" s="15">
        <f>VLOOKUP($A244,PLAN!$B:$AC,7,0)</f>
        <v>46248</v>
      </c>
      <c r="G244" s="16" t="str">
        <f>VLOOKUP($A244,PLAN!$B:$AC,8,0)</f>
        <v>0103582513</v>
      </c>
      <c r="H244" s="16" t="str">
        <f>VLOOKUP($A244,PLAN!$B:$AC,9,0)</f>
        <v>260729C03A</v>
      </c>
      <c r="I244" s="16">
        <f>VLOOKUP($A244,PLAN!$B:$AC,10,0)</f>
        <v>1</v>
      </c>
      <c r="J244" s="17">
        <f>VLOOKUP($A244,PLAN!$B:$AC,21,0)</f>
        <v>46239</v>
      </c>
      <c r="K244" s="145" t="str">
        <f>VLOOKUP($A244,PLAN!$B:$AC,22,0)</f>
        <v>M9</v>
      </c>
      <c r="L244" s="1"/>
      <c r="M244" s="1"/>
      <c r="N244" s="1"/>
      <c r="O244" s="221" t="s">
        <v>79</v>
      </c>
      <c r="P244" s="220"/>
      <c r="Q244" s="18">
        <f>VLOOKUP(A244,PLAN!B:R,17,0)</f>
        <v>46238</v>
      </c>
    </row>
    <row r="245" spans="1:17" ht="21.6" hidden="1" customHeight="1">
      <c r="A245" s="329" t="s">
        <v>2879</v>
      </c>
      <c r="B245" s="14">
        <f>VLOOKUP($A245,PLAN!$B:$AC,3,0)</f>
        <v>11119453</v>
      </c>
      <c r="C245" s="14" t="str">
        <f>VLOOKUP($A245,PLAN!$B:$AC,4,0)</f>
        <v>1911119-D-A</v>
      </c>
      <c r="D245" s="14" t="str">
        <f>VLOOKUP($A245,PLAN!$B:$AC,5,0)</f>
        <v>HJ70AL152P10021 JP</v>
      </c>
      <c r="E245" s="14" t="str">
        <f>VLOOKUP($A245,PLAN!$B:$AC,2,0)</f>
        <v>1001930994</v>
      </c>
      <c r="F245" s="15">
        <f>VLOOKUP($A245,PLAN!$B:$AC,7,0)</f>
        <v>46248</v>
      </c>
      <c r="G245" s="16" t="str">
        <f>VLOOKUP($A245,PLAN!$B:$AC,8,0)</f>
        <v>0103582514</v>
      </c>
      <c r="H245" s="16" t="str">
        <f>VLOOKUP($A245,PLAN!$B:$AC,9,0)</f>
        <v>260729C04A</v>
      </c>
      <c r="I245" s="16">
        <f>VLOOKUP($A245,PLAN!$B:$AC,10,0)</f>
        <v>1</v>
      </c>
      <c r="J245" s="17">
        <f>VLOOKUP($A245,PLAN!$B:$AC,21,0)</f>
        <v>46239</v>
      </c>
      <c r="K245" s="145" t="str">
        <f>VLOOKUP($A245,PLAN!$B:$AC,22,0)</f>
        <v>M9</v>
      </c>
      <c r="L245" s="1"/>
      <c r="M245" s="1"/>
      <c r="N245" s="1"/>
      <c r="O245" s="221" t="s">
        <v>79</v>
      </c>
      <c r="P245" s="220"/>
      <c r="Q245" s="18">
        <f>VLOOKUP(A245,PLAN!B:R,17,0)</f>
        <v>46238</v>
      </c>
    </row>
    <row r="246" spans="1:17" ht="21.6" hidden="1" customHeight="1">
      <c r="A246" s="329" t="s">
        <v>2880</v>
      </c>
      <c r="B246" s="14">
        <f>VLOOKUP($A246,PLAN!$B:$AC,3,0)</f>
        <v>11119460</v>
      </c>
      <c r="C246" s="14" t="str">
        <f>VLOOKUP($A246,PLAN!$B:$AC,4,0)</f>
        <v>1911126-D-A</v>
      </c>
      <c r="D246" s="14" t="str">
        <f>VLOOKUP($A246,PLAN!$B:$AC,5,0)</f>
        <v>HJ70CP202P10020 JP</v>
      </c>
      <c r="E246" s="14" t="str">
        <f>VLOOKUP($A246,PLAN!$B:$AC,2,0)</f>
        <v>1001930995</v>
      </c>
      <c r="F246" s="15">
        <f>VLOOKUP($A246,PLAN!$B:$AC,7,0)</f>
        <v>46248</v>
      </c>
      <c r="G246" s="16" t="str">
        <f>VLOOKUP($A246,PLAN!$B:$AC,8,0)</f>
        <v>0103582515</v>
      </c>
      <c r="H246" s="16" t="str">
        <f>VLOOKUP($A246,PLAN!$B:$AC,9,0)</f>
        <v>260729C05A</v>
      </c>
      <c r="I246" s="16">
        <f>VLOOKUP($A246,PLAN!$B:$AC,10,0)</f>
        <v>1</v>
      </c>
      <c r="J246" s="17">
        <f>VLOOKUP($A246,PLAN!$B:$AC,21,0)</f>
        <v>46239</v>
      </c>
      <c r="K246" s="145" t="str">
        <f>VLOOKUP($A246,PLAN!$B:$AC,22,0)</f>
        <v>M9</v>
      </c>
      <c r="L246" s="1"/>
      <c r="M246" s="1"/>
      <c r="N246" s="1"/>
      <c r="O246" s="221" t="s">
        <v>79</v>
      </c>
      <c r="P246" s="220"/>
      <c r="Q246" s="18">
        <f>VLOOKUP(A246,PLAN!B:R,17,0)</f>
        <v>46238</v>
      </c>
    </row>
    <row r="247" spans="1:17" ht="21.6" hidden="1" customHeight="1">
      <c r="A247" s="329" t="s">
        <v>2881</v>
      </c>
      <c r="B247" s="14">
        <f>VLOOKUP($A247,PLAN!$B:$AC,3,0)</f>
        <v>11119480</v>
      </c>
      <c r="C247" s="14" t="str">
        <f>VLOOKUP($A247,PLAN!$B:$AC,4,0)</f>
        <v>1911146-D-A</v>
      </c>
      <c r="D247" s="14" t="str">
        <f>VLOOKUP($A247,PLAN!$B:$AC,5,0)</f>
        <v>HJ70IM002P10020 JP</v>
      </c>
      <c r="E247" s="14" t="str">
        <f>VLOOKUP($A247,PLAN!$B:$AC,2,0)</f>
        <v>1001930996</v>
      </c>
      <c r="F247" s="15">
        <f>VLOOKUP($A247,PLAN!$B:$AC,7,0)</f>
        <v>46248</v>
      </c>
      <c r="G247" s="16" t="str">
        <f>VLOOKUP($A247,PLAN!$B:$AC,8,0)</f>
        <v>0103582516</v>
      </c>
      <c r="H247" s="16" t="str">
        <f>VLOOKUP($A247,PLAN!$B:$AC,9,0)</f>
        <v>260729C06A</v>
      </c>
      <c r="I247" s="16">
        <f>VLOOKUP($A247,PLAN!$B:$AC,10,0)</f>
        <v>2</v>
      </c>
      <c r="J247" s="17">
        <f>VLOOKUP($A247,PLAN!$B:$AC,21,0)</f>
        <v>46239</v>
      </c>
      <c r="K247" s="145" t="str">
        <f>VLOOKUP($A247,PLAN!$B:$AC,22,0)</f>
        <v>M9</v>
      </c>
      <c r="L247" s="1"/>
      <c r="M247" s="1"/>
      <c r="N247" s="1"/>
      <c r="O247" s="221" t="s">
        <v>79</v>
      </c>
      <c r="P247" s="220"/>
      <c r="Q247" s="18">
        <f>VLOOKUP(A247,PLAN!B:R,17,0)</f>
        <v>46238</v>
      </c>
    </row>
    <row r="248" spans="1:17" ht="21.6" hidden="1" customHeight="1">
      <c r="A248" s="329" t="s">
        <v>2882</v>
      </c>
      <c r="B248" s="14">
        <f>VLOOKUP($A248,PLAN!$B:$AC,3,0)</f>
        <v>11119494</v>
      </c>
      <c r="C248" s="14" t="str">
        <f>VLOOKUP($A248,PLAN!$B:$AC,4,0)</f>
        <v>1911160-D-A</v>
      </c>
      <c r="D248" s="14" t="str">
        <f>VLOOKUP($A248,PLAN!$B:$AC,5,0)</f>
        <v>HJ70JL402P09021 JP</v>
      </c>
      <c r="E248" s="14" t="str">
        <f>VLOOKUP($A248,PLAN!$B:$AC,2,0)</f>
        <v>1001930997</v>
      </c>
      <c r="F248" s="15">
        <f>VLOOKUP($A248,PLAN!$B:$AC,7,0)</f>
        <v>46248</v>
      </c>
      <c r="G248" s="16" t="str">
        <f>VLOOKUP($A248,PLAN!$B:$AC,8,0)</f>
        <v>0103582517</v>
      </c>
      <c r="H248" s="16" t="str">
        <f>VLOOKUP($A248,PLAN!$B:$AC,9,0)</f>
        <v>260729C07A</v>
      </c>
      <c r="I248" s="16">
        <f>VLOOKUP($A248,PLAN!$B:$AC,10,0)</f>
        <v>2</v>
      </c>
      <c r="J248" s="17">
        <f>VLOOKUP($A248,PLAN!$B:$AC,21,0)</f>
        <v>46239</v>
      </c>
      <c r="K248" s="145" t="str">
        <f>VLOOKUP($A248,PLAN!$B:$AC,22,0)</f>
        <v>M9</v>
      </c>
      <c r="L248" s="1"/>
      <c r="M248" s="1"/>
      <c r="N248" s="1"/>
      <c r="O248" s="221" t="s">
        <v>79</v>
      </c>
      <c r="P248" s="220"/>
      <c r="Q248" s="18">
        <f>VLOOKUP(A248,PLAN!B:R,17,0)</f>
        <v>46238</v>
      </c>
    </row>
    <row r="249" spans="1:17" ht="21.6" hidden="1" customHeight="1">
      <c r="A249" s="329" t="s">
        <v>2883</v>
      </c>
      <c r="B249" s="14">
        <f>VLOOKUP($A249,PLAN!$B:$AC,3,0)</f>
        <v>11119506</v>
      </c>
      <c r="C249" s="14" t="str">
        <f>VLOOKUP($A249,PLAN!$B:$AC,4,0)</f>
        <v>1911172-D-A</v>
      </c>
      <c r="D249" s="14" t="str">
        <f>VLOOKUP($A249,PLAN!$B:$AC,5,0)</f>
        <v>HJ70JR352P09020 JP</v>
      </c>
      <c r="E249" s="14" t="str">
        <f>VLOOKUP($A249,PLAN!$B:$AC,2,0)</f>
        <v>1001930998</v>
      </c>
      <c r="F249" s="15">
        <f>VLOOKUP($A249,PLAN!$B:$AC,7,0)</f>
        <v>46248</v>
      </c>
      <c r="G249" s="16" t="str">
        <f>VLOOKUP($A249,PLAN!$B:$AC,8,0)</f>
        <v>0103582519</v>
      </c>
      <c r="H249" s="16" t="str">
        <f>VLOOKUP($A249,PLAN!$B:$AC,9,0)</f>
        <v>260729C08A</v>
      </c>
      <c r="I249" s="16">
        <f>VLOOKUP($A249,PLAN!$B:$AC,10,0)</f>
        <v>2</v>
      </c>
      <c r="J249" s="17">
        <f>VLOOKUP($A249,PLAN!$B:$AC,21,0)</f>
        <v>46239</v>
      </c>
      <c r="K249" s="145" t="str">
        <f>VLOOKUP($A249,PLAN!$B:$AC,22,0)</f>
        <v>M9</v>
      </c>
      <c r="L249" s="1"/>
      <c r="M249" s="1"/>
      <c r="N249" s="1"/>
      <c r="O249" s="221" t="s">
        <v>79</v>
      </c>
      <c r="P249" s="220"/>
      <c r="Q249" s="18">
        <f>VLOOKUP(A249,PLAN!B:R,17,0)</f>
        <v>46238</v>
      </c>
    </row>
    <row r="250" spans="1:17" ht="21.6" hidden="1" customHeight="1">
      <c r="A250" s="329" t="s">
        <v>2884</v>
      </c>
      <c r="B250" s="14">
        <f>VLOOKUP($A250,PLAN!$B:$AC,3,0)</f>
        <v>11119553</v>
      </c>
      <c r="C250" s="14" t="str">
        <f>VLOOKUP($A250,PLAN!$B:$AC,4,0)</f>
        <v>1911219-D-A</v>
      </c>
      <c r="D250" s="14" t="str">
        <f>VLOOKUP($A250,PLAN!$B:$AC,5,0)</f>
        <v>HJ70SC400P10000 JP</v>
      </c>
      <c r="E250" s="14" t="str">
        <f>VLOOKUP($A250,PLAN!$B:$AC,2,0)</f>
        <v>1001931000</v>
      </c>
      <c r="F250" s="15">
        <f>VLOOKUP($A250,PLAN!$B:$AC,7,0)</f>
        <v>46248</v>
      </c>
      <c r="G250" s="16" t="str">
        <f>VLOOKUP($A250,PLAN!$B:$AC,8,0)</f>
        <v>0103582520</v>
      </c>
      <c r="H250" s="16" t="str">
        <f>VLOOKUP($A250,PLAN!$B:$AC,9,0)</f>
        <v>260729C09A</v>
      </c>
      <c r="I250" s="16">
        <f>VLOOKUP($A250,PLAN!$B:$AC,10,0)</f>
        <v>2</v>
      </c>
      <c r="J250" s="17">
        <f>VLOOKUP($A250,PLAN!$B:$AC,21,0)</f>
        <v>46239</v>
      </c>
      <c r="K250" s="145" t="str">
        <f>VLOOKUP($A250,PLAN!$B:$AC,22,0)</f>
        <v>M9</v>
      </c>
      <c r="L250" s="1"/>
      <c r="M250" s="1"/>
      <c r="N250" s="1"/>
      <c r="O250" s="221" t="s">
        <v>79</v>
      </c>
      <c r="P250" s="220"/>
      <c r="Q250" s="18">
        <f>VLOOKUP(A250,PLAN!B:R,17,0)</f>
        <v>46238</v>
      </c>
    </row>
    <row r="251" spans="1:17" ht="21.6" hidden="1" customHeight="1">
      <c r="A251" s="329" t="s">
        <v>2885</v>
      </c>
      <c r="B251" s="14">
        <f>VLOOKUP($A251,PLAN!$B:$AC,3,0)</f>
        <v>11119383</v>
      </c>
      <c r="C251" s="14" t="str">
        <f>VLOOKUP($A251,PLAN!$B:$AC,4,0)</f>
        <v>1911051-D-A</v>
      </c>
      <c r="D251" s="14" t="str">
        <f>VLOOKUP($A251,PLAN!$B:$AC,5,0)</f>
        <v>HJ60JL450P10001 JP</v>
      </c>
      <c r="E251" s="14" t="str">
        <f>VLOOKUP($A251,PLAN!$B:$AC,2,0)</f>
        <v>1001931001</v>
      </c>
      <c r="F251" s="15">
        <f>VLOOKUP($A251,PLAN!$B:$AC,7,0)</f>
        <v>46248</v>
      </c>
      <c r="G251" s="16" t="str">
        <f>VLOOKUP($A251,PLAN!$B:$AC,8,0)</f>
        <v>0103582521</v>
      </c>
      <c r="H251" s="16" t="str">
        <f>VLOOKUP($A251,PLAN!$B:$AC,9,0)</f>
        <v>260729C10A</v>
      </c>
      <c r="I251" s="16">
        <f>VLOOKUP($A251,PLAN!$B:$AC,10,0)</f>
        <v>3</v>
      </c>
      <c r="J251" s="17">
        <f>VLOOKUP($A251,PLAN!$B:$AC,21,0)</f>
        <v>46239</v>
      </c>
      <c r="K251" s="145" t="str">
        <f>VLOOKUP($A251,PLAN!$B:$AC,22,0)</f>
        <v>M9</v>
      </c>
      <c r="L251" s="1"/>
      <c r="M251" s="1"/>
      <c r="N251" s="1"/>
      <c r="O251" s="221" t="s">
        <v>79</v>
      </c>
      <c r="P251" s="220"/>
      <c r="Q251" s="18">
        <f>VLOOKUP(A251,PLAN!B:R,17,0)</f>
        <v>46238</v>
      </c>
    </row>
    <row r="252" spans="1:17" ht="21.6" hidden="1" customHeight="1">
      <c r="A252" s="329" t="s">
        <v>2886</v>
      </c>
      <c r="B252" s="14">
        <f>VLOOKUP($A252,PLAN!$B:$AC,3,0)</f>
        <v>11119395</v>
      </c>
      <c r="C252" s="14" t="str">
        <f>VLOOKUP($A252,PLAN!$B:$AC,4,0)</f>
        <v>1911063-D-A</v>
      </c>
      <c r="D252" s="14" t="str">
        <f>VLOOKUP($A252,PLAN!$B:$AC,5,0)</f>
        <v>HJ60JR450P10020 JP</v>
      </c>
      <c r="E252" s="14" t="str">
        <f>VLOOKUP($A252,PLAN!$B:$AC,2,0)</f>
        <v>1001931002</v>
      </c>
      <c r="F252" s="15">
        <f>VLOOKUP($A252,PLAN!$B:$AC,7,0)</f>
        <v>46248</v>
      </c>
      <c r="G252" s="16" t="str">
        <f>VLOOKUP($A252,PLAN!$B:$AC,8,0)</f>
        <v>0103582522</v>
      </c>
      <c r="H252" s="16" t="str">
        <f>VLOOKUP($A252,PLAN!$B:$AC,9,0)</f>
        <v>260729C11A</v>
      </c>
      <c r="I252" s="16">
        <f>VLOOKUP($A252,PLAN!$B:$AC,10,0)</f>
        <v>3</v>
      </c>
      <c r="J252" s="17">
        <f>VLOOKUP($A252,PLAN!$B:$AC,21,0)</f>
        <v>46239</v>
      </c>
      <c r="K252" s="145" t="str">
        <f>VLOOKUP($A252,PLAN!$B:$AC,22,0)</f>
        <v>M9</v>
      </c>
      <c r="L252" s="1"/>
      <c r="M252" s="1"/>
      <c r="N252" s="1"/>
      <c r="O252" s="221" t="s">
        <v>79</v>
      </c>
      <c r="P252" s="220"/>
      <c r="Q252" s="18">
        <f>VLOOKUP(A252,PLAN!B:R,17,0)</f>
        <v>46238</v>
      </c>
    </row>
    <row r="253" spans="1:17" ht="21.6" hidden="1" customHeight="1">
      <c r="A253" s="329" t="s">
        <v>2887</v>
      </c>
      <c r="B253" s="14">
        <f>VLOOKUP($A253,PLAN!$B:$AC,3,0)</f>
        <v>11119513</v>
      </c>
      <c r="C253" s="14" t="str">
        <f>VLOOKUP($A253,PLAN!$B:$AC,4,0)</f>
        <v>1911179-D-A</v>
      </c>
      <c r="D253" s="14" t="str">
        <f>VLOOKUP($A253,PLAN!$B:$AC,5,0)</f>
        <v>HJ70JR500P10020 JP</v>
      </c>
      <c r="E253" s="14" t="str">
        <f>VLOOKUP($A253,PLAN!$B:$AC,2,0)</f>
        <v>1001931003</v>
      </c>
      <c r="F253" s="15">
        <f>VLOOKUP($A253,PLAN!$B:$AC,7,0)</f>
        <v>46248</v>
      </c>
      <c r="G253" s="16" t="str">
        <f>VLOOKUP($A253,PLAN!$B:$AC,8,0)</f>
        <v>0103582523</v>
      </c>
      <c r="H253" s="16" t="str">
        <f>VLOOKUP($A253,PLAN!$B:$AC,9,0)</f>
        <v>260729C12A</v>
      </c>
      <c r="I253" s="16">
        <f>VLOOKUP($A253,PLAN!$B:$AC,10,0)</f>
        <v>3</v>
      </c>
      <c r="J253" s="17">
        <f>VLOOKUP($A253,PLAN!$B:$AC,21,0)</f>
        <v>46239</v>
      </c>
      <c r="K253" s="145" t="str">
        <f>VLOOKUP($A253,PLAN!$B:$AC,22,0)</f>
        <v>M9</v>
      </c>
      <c r="L253" s="1"/>
      <c r="M253" s="1"/>
      <c r="N253" s="1"/>
      <c r="O253" s="221" t="s">
        <v>79</v>
      </c>
      <c r="P253" s="220"/>
      <c r="Q253" s="18">
        <f>VLOOKUP(A253,PLAN!B:R,17,0)</f>
        <v>46238</v>
      </c>
    </row>
    <row r="254" spans="1:17" ht="21.6" hidden="1" customHeight="1">
      <c r="A254" s="329" t="s">
        <v>2888</v>
      </c>
      <c r="B254" s="14">
        <f>VLOOKUP($A254,PLAN!$B:$AC,3,0)</f>
        <v>11119514</v>
      </c>
      <c r="C254" s="14" t="str">
        <f>VLOOKUP($A254,PLAN!$B:$AC,4,0)</f>
        <v>1911180-D-A</v>
      </c>
      <c r="D254" s="14" t="str">
        <f>VLOOKUP($A254,PLAN!$B:$AC,5,0)</f>
        <v>HJ70JR502P10020 JP</v>
      </c>
      <c r="E254" s="14" t="str">
        <f>VLOOKUP($A254,PLAN!$B:$AC,2,0)</f>
        <v>1001931004</v>
      </c>
      <c r="F254" s="15">
        <f>VLOOKUP($A254,PLAN!$B:$AC,7,0)</f>
        <v>46248</v>
      </c>
      <c r="G254" s="16" t="str">
        <f>VLOOKUP($A254,PLAN!$B:$AC,8,0)</f>
        <v>0103582524</v>
      </c>
      <c r="H254" s="16" t="str">
        <f>VLOOKUP($A254,PLAN!$B:$AC,9,0)</f>
        <v>260729C13A</v>
      </c>
      <c r="I254" s="16">
        <f>VLOOKUP($A254,PLAN!$B:$AC,10,0)</f>
        <v>3</v>
      </c>
      <c r="J254" s="17">
        <f>VLOOKUP($A254,PLAN!$B:$AC,21,0)</f>
        <v>46239</v>
      </c>
      <c r="K254" s="145" t="str">
        <f>VLOOKUP($A254,PLAN!$B:$AC,22,0)</f>
        <v>M9</v>
      </c>
      <c r="L254" s="1"/>
      <c r="M254" s="1"/>
      <c r="N254" s="1"/>
      <c r="O254" s="221" t="s">
        <v>79</v>
      </c>
      <c r="P254" s="220"/>
      <c r="Q254" s="18">
        <f>VLOOKUP(A254,PLAN!B:R,17,0)</f>
        <v>46238</v>
      </c>
    </row>
    <row r="255" spans="1:17" ht="21.6" hidden="1" customHeight="1">
      <c r="A255" s="329" t="s">
        <v>2889</v>
      </c>
      <c r="B255" s="14">
        <f>VLOOKUP($A255,PLAN!$B:$AC,3,0)</f>
        <v>11119392</v>
      </c>
      <c r="C255" s="14" t="str">
        <f>VLOOKUP($A255,PLAN!$B:$AC,4,0)</f>
        <v>1911060-D-A</v>
      </c>
      <c r="D255" s="14" t="str">
        <f>VLOOKUP($A255,PLAN!$B:$AC,5,0)</f>
        <v>HJ60JR400P09020 JP</v>
      </c>
      <c r="E255" s="14" t="str">
        <f>VLOOKUP($A255,PLAN!$B:$AC,2,0)</f>
        <v>1001931005</v>
      </c>
      <c r="F255" s="15">
        <f>VLOOKUP($A255,PLAN!$B:$AC,7,0)</f>
        <v>46248</v>
      </c>
      <c r="G255" s="16" t="str">
        <f>VLOOKUP($A255,PLAN!$B:$AC,8,0)</f>
        <v>0103582525</v>
      </c>
      <c r="H255" s="16" t="str">
        <f>VLOOKUP($A255,PLAN!$B:$AC,9,0)</f>
        <v>260729C14A</v>
      </c>
      <c r="I255" s="16">
        <f>VLOOKUP($A255,PLAN!$B:$AC,10,0)</f>
        <v>4</v>
      </c>
      <c r="J255" s="17">
        <f>VLOOKUP($A255,PLAN!$B:$AC,21,0)</f>
        <v>46239</v>
      </c>
      <c r="K255" s="145" t="str">
        <f>VLOOKUP($A255,PLAN!$B:$AC,22,0)</f>
        <v>M9</v>
      </c>
      <c r="L255" s="1"/>
      <c r="M255" s="1"/>
      <c r="N255" s="1"/>
      <c r="O255" s="221" t="s">
        <v>79</v>
      </c>
      <c r="P255" s="220"/>
      <c r="Q255" s="18">
        <f>VLOOKUP(A255,PLAN!B:R,17,0)</f>
        <v>46238</v>
      </c>
    </row>
    <row r="256" spans="1:17" ht="21.6" hidden="1" customHeight="1">
      <c r="A256" s="329" t="s">
        <v>2890</v>
      </c>
      <c r="B256" s="14">
        <f>VLOOKUP($A256,PLAN!$B:$AC,3,0)</f>
        <v>11119445</v>
      </c>
      <c r="C256" s="14" t="str">
        <f>VLOOKUP($A256,PLAN!$B:$AC,4,0)</f>
        <v>1911111-D-A</v>
      </c>
      <c r="D256" s="14" t="str">
        <f>VLOOKUP($A256,PLAN!$B:$AC,5,0)</f>
        <v>HJ70AL102P09020 JP</v>
      </c>
      <c r="E256" s="14" t="str">
        <f>VLOOKUP($A256,PLAN!$B:$AC,2,0)</f>
        <v>1001931006</v>
      </c>
      <c r="F256" s="15">
        <f>VLOOKUP($A256,PLAN!$B:$AC,7,0)</f>
        <v>46248</v>
      </c>
      <c r="G256" s="16" t="str">
        <f>VLOOKUP($A256,PLAN!$B:$AC,8,0)</f>
        <v>0103582526</v>
      </c>
      <c r="H256" s="16" t="str">
        <f>VLOOKUP($A256,PLAN!$B:$AC,9,0)</f>
        <v>260729C15A</v>
      </c>
      <c r="I256" s="16">
        <f>VLOOKUP($A256,PLAN!$B:$AC,10,0)</f>
        <v>4</v>
      </c>
      <c r="J256" s="17">
        <f>VLOOKUP($A256,PLAN!$B:$AC,21,0)</f>
        <v>46239</v>
      </c>
      <c r="K256" s="145" t="str">
        <f>VLOOKUP($A256,PLAN!$B:$AC,22,0)</f>
        <v>M9</v>
      </c>
      <c r="L256" s="1"/>
      <c r="M256" s="1"/>
      <c r="N256" s="1"/>
      <c r="O256" s="221" t="s">
        <v>79</v>
      </c>
      <c r="P256" s="220"/>
      <c r="Q256" s="18">
        <f>VLOOKUP(A256,PLAN!B:R,17,0)</f>
        <v>46238</v>
      </c>
    </row>
    <row r="257" spans="1:17" ht="21.6" hidden="1" customHeight="1">
      <c r="A257" s="329" t="s">
        <v>2891</v>
      </c>
      <c r="B257" s="14">
        <f>VLOOKUP($A257,PLAN!$B:$AC,3,0)</f>
        <v>11119421</v>
      </c>
      <c r="C257" s="14" t="str">
        <f>VLOOKUP($A257,PLAN!$B:$AC,4,0)</f>
        <v>1911089-D-A</v>
      </c>
      <c r="D257" s="14" t="str">
        <f>VLOOKUP($A257,PLAN!$B:$AC,5,0)</f>
        <v>HJ60SC350P10000 JP</v>
      </c>
      <c r="E257" s="14" t="str">
        <f>VLOOKUP($A257,PLAN!$B:$AC,2,0)</f>
        <v>1001931007</v>
      </c>
      <c r="F257" s="15">
        <f>VLOOKUP($A257,PLAN!$B:$AC,7,0)</f>
        <v>46248</v>
      </c>
      <c r="G257" s="16" t="str">
        <f>VLOOKUP($A257,PLAN!$B:$AC,8,0)</f>
        <v>0103582527</v>
      </c>
      <c r="H257" s="16" t="str">
        <f>VLOOKUP($A257,PLAN!$B:$AC,9,0)</f>
        <v>260729C16A</v>
      </c>
      <c r="I257" s="16">
        <f>VLOOKUP($A257,PLAN!$B:$AC,10,0)</f>
        <v>5</v>
      </c>
      <c r="J257" s="17">
        <f>VLOOKUP($A257,PLAN!$B:$AC,21,0)</f>
        <v>46239</v>
      </c>
      <c r="K257" s="145" t="str">
        <f>VLOOKUP($A257,PLAN!$B:$AC,22,0)</f>
        <v>M9</v>
      </c>
      <c r="L257" s="1"/>
      <c r="M257" s="1"/>
      <c r="N257" s="1"/>
      <c r="O257" s="221" t="s">
        <v>79</v>
      </c>
      <c r="P257" s="220"/>
      <c r="Q257" s="18">
        <f>VLOOKUP(A257,PLAN!B:R,17,0)</f>
        <v>46238</v>
      </c>
    </row>
    <row r="258" spans="1:17" ht="21.6" hidden="1" customHeight="1">
      <c r="A258" s="329" t="s">
        <v>2892</v>
      </c>
      <c r="B258" s="14">
        <f>VLOOKUP($A258,PLAN!$B:$AC,3,0)</f>
        <v>11119535</v>
      </c>
      <c r="C258" s="14" t="str">
        <f>VLOOKUP($A258,PLAN!$B:$AC,4,0)</f>
        <v>1911201-D-A</v>
      </c>
      <c r="D258" s="14" t="str">
        <f>VLOOKUP($A258,PLAN!$B:$AC,5,0)</f>
        <v>HJ70AL070P10022 JP</v>
      </c>
      <c r="E258" s="14" t="str">
        <f>VLOOKUP($A258,PLAN!$B:$AC,2,0)</f>
        <v>1001931008</v>
      </c>
      <c r="F258" s="15">
        <f>VLOOKUP($A258,PLAN!$B:$AC,7,0)</f>
        <v>46248</v>
      </c>
      <c r="G258" s="16" t="str">
        <f>VLOOKUP($A258,PLAN!$B:$AC,8,0)</f>
        <v>0103582528</v>
      </c>
      <c r="H258" s="16" t="str">
        <f>VLOOKUP($A258,PLAN!$B:$AC,9,0)</f>
        <v>260729C17A</v>
      </c>
      <c r="I258" s="16">
        <f>VLOOKUP($A258,PLAN!$B:$AC,10,0)</f>
        <v>5</v>
      </c>
      <c r="J258" s="17">
        <f>VLOOKUP($A258,PLAN!$B:$AC,21,0)</f>
        <v>46239</v>
      </c>
      <c r="K258" s="145" t="str">
        <f>VLOOKUP($A258,PLAN!$B:$AC,22,0)</f>
        <v>M9</v>
      </c>
      <c r="L258" s="1"/>
      <c r="M258" s="1"/>
      <c r="N258" s="1"/>
      <c r="O258" s="221" t="s">
        <v>79</v>
      </c>
      <c r="P258" s="220"/>
      <c r="Q258" s="18">
        <f>VLOOKUP(A258,PLAN!B:R,17,0)</f>
        <v>46238</v>
      </c>
    </row>
    <row r="259" spans="1:17" ht="21.6" hidden="1" customHeight="1">
      <c r="A259" s="329" t="s">
        <v>2893</v>
      </c>
      <c r="B259" s="14">
        <f>VLOOKUP($A259,PLAN!$B:$AC,3,0)</f>
        <v>11119454</v>
      </c>
      <c r="C259" s="14" t="str">
        <f>VLOOKUP($A259,PLAN!$B:$AC,4,0)</f>
        <v>1911120-D-A</v>
      </c>
      <c r="D259" s="14" t="str">
        <f>VLOOKUP($A259,PLAN!$B:$AC,5,0)</f>
        <v>HJ70AL200P10020 JP</v>
      </c>
      <c r="E259" s="14" t="str">
        <f>VLOOKUP($A259,PLAN!$B:$AC,2,0)</f>
        <v>1001931009</v>
      </c>
      <c r="F259" s="15">
        <f>VLOOKUP($A259,PLAN!$B:$AC,7,0)</f>
        <v>46248</v>
      </c>
      <c r="G259" s="16" t="str">
        <f>VLOOKUP($A259,PLAN!$B:$AC,8,0)</f>
        <v>0103582529</v>
      </c>
      <c r="H259" s="16" t="str">
        <f>VLOOKUP($A259,PLAN!$B:$AC,9,0)</f>
        <v>260729C18A</v>
      </c>
      <c r="I259" s="16">
        <f>VLOOKUP($A259,PLAN!$B:$AC,10,0)</f>
        <v>5</v>
      </c>
      <c r="J259" s="17">
        <f>VLOOKUP($A259,PLAN!$B:$AC,21,0)</f>
        <v>46239</v>
      </c>
      <c r="K259" s="145" t="str">
        <f>VLOOKUP($A259,PLAN!$B:$AC,22,0)</f>
        <v>M9</v>
      </c>
      <c r="L259" s="1"/>
      <c r="M259" s="1"/>
      <c r="N259" s="1"/>
      <c r="O259" s="221" t="s">
        <v>79</v>
      </c>
      <c r="P259" s="220"/>
      <c r="Q259" s="18">
        <f>VLOOKUP(A259,PLAN!B:R,17,0)</f>
        <v>46238</v>
      </c>
    </row>
    <row r="260" spans="1:17" ht="21.6" hidden="1" customHeight="1">
      <c r="A260" s="329" t="s">
        <v>2894</v>
      </c>
      <c r="B260" s="14">
        <f>VLOOKUP($A260,PLAN!$B:$AC,3,0)</f>
        <v>11119512</v>
      </c>
      <c r="C260" s="14" t="str">
        <f>VLOOKUP($A260,PLAN!$B:$AC,4,0)</f>
        <v>1911178-D-A</v>
      </c>
      <c r="D260" s="14" t="str">
        <f>VLOOKUP($A260,PLAN!$B:$AC,5,0)</f>
        <v>HJ70JR452P10020 JP</v>
      </c>
      <c r="E260" s="14" t="str">
        <f>VLOOKUP($A260,PLAN!$B:$AC,2,0)</f>
        <v>1001931010</v>
      </c>
      <c r="F260" s="15">
        <f>VLOOKUP($A260,PLAN!$B:$AC,7,0)</f>
        <v>46248</v>
      </c>
      <c r="G260" s="16" t="str">
        <f>VLOOKUP($A260,PLAN!$B:$AC,8,0)</f>
        <v>0103582530</v>
      </c>
      <c r="H260" s="16" t="str">
        <f>VLOOKUP($A260,PLAN!$B:$AC,9,0)</f>
        <v>260729C19A</v>
      </c>
      <c r="I260" s="16">
        <f>VLOOKUP($A260,PLAN!$B:$AC,10,0)</f>
        <v>5</v>
      </c>
      <c r="J260" s="17">
        <f>VLOOKUP($A260,PLAN!$B:$AC,21,0)</f>
        <v>46239</v>
      </c>
      <c r="K260" s="145" t="str">
        <f>VLOOKUP($A260,PLAN!$B:$AC,22,0)</f>
        <v>M9</v>
      </c>
      <c r="L260" s="1"/>
      <c r="M260" s="1"/>
      <c r="N260" s="1"/>
      <c r="O260" s="221" t="s">
        <v>79</v>
      </c>
      <c r="P260" s="220"/>
      <c r="Q260" s="18">
        <f>VLOOKUP(A260,PLAN!B:R,17,0)</f>
        <v>46238</v>
      </c>
    </row>
    <row r="261" spans="1:17" ht="21.6" hidden="1" customHeight="1">
      <c r="A261" s="329" t="s">
        <v>2895</v>
      </c>
      <c r="B261" s="14">
        <f>VLOOKUP($A261,PLAN!$B:$AC,3,0)</f>
        <v>11119554</v>
      </c>
      <c r="C261" s="14" t="str">
        <f>VLOOKUP($A261,PLAN!$B:$AC,4,0)</f>
        <v>1911220-D-A</v>
      </c>
      <c r="D261" s="14" t="str">
        <f>VLOOKUP($A261,PLAN!$B:$AC,5,0)</f>
        <v>HJ70SC402P10020 JP</v>
      </c>
      <c r="E261" s="14" t="str">
        <f>VLOOKUP($A261,PLAN!$B:$AC,2,0)</f>
        <v>1001931011</v>
      </c>
      <c r="F261" s="15">
        <f>VLOOKUP($A261,PLAN!$B:$AC,7,0)</f>
        <v>46248</v>
      </c>
      <c r="G261" s="16" t="str">
        <f>VLOOKUP($A261,PLAN!$B:$AC,8,0)</f>
        <v>0103582531</v>
      </c>
      <c r="H261" s="16" t="str">
        <f>VLOOKUP($A261,PLAN!$B:$AC,9,0)</f>
        <v>260729C20A</v>
      </c>
      <c r="I261" s="16">
        <f>VLOOKUP($A261,PLAN!$B:$AC,10,0)</f>
        <v>5</v>
      </c>
      <c r="J261" s="17">
        <f>VLOOKUP($A261,PLAN!$B:$AC,21,0)</f>
        <v>46239</v>
      </c>
      <c r="K261" s="145" t="str">
        <f>VLOOKUP($A261,PLAN!$B:$AC,22,0)</f>
        <v>M9</v>
      </c>
      <c r="L261" s="1"/>
      <c r="M261" s="1"/>
      <c r="N261" s="1"/>
      <c r="O261" s="221" t="s">
        <v>79</v>
      </c>
      <c r="P261" s="220"/>
      <c r="Q261" s="18">
        <f>VLOOKUP(A261,PLAN!B:R,17,0)</f>
        <v>46238</v>
      </c>
    </row>
    <row r="262" spans="1:17" ht="21.6" hidden="1" customHeight="1">
      <c r="A262" s="329" t="s">
        <v>2896</v>
      </c>
      <c r="B262" s="14">
        <f>VLOOKUP($A262,PLAN!$B:$AC,3,0)</f>
        <v>11119385</v>
      </c>
      <c r="C262" s="14" t="str">
        <f>VLOOKUP($A262,PLAN!$B:$AC,4,0)</f>
        <v>1911053-D-A</v>
      </c>
      <c r="D262" s="14" t="str">
        <f>VLOOKUP($A262,PLAN!$B:$AC,5,0)</f>
        <v>HJ60JL500P10000 JP</v>
      </c>
      <c r="E262" s="14" t="str">
        <f>VLOOKUP($A262,PLAN!$B:$AC,2,0)</f>
        <v>1001931012</v>
      </c>
      <c r="F262" s="15">
        <f>VLOOKUP($A262,PLAN!$B:$AC,7,0)</f>
        <v>46248</v>
      </c>
      <c r="G262" s="16" t="str">
        <f>VLOOKUP($A262,PLAN!$B:$AC,8,0)</f>
        <v>0103582532</v>
      </c>
      <c r="H262" s="16" t="str">
        <f>VLOOKUP($A262,PLAN!$B:$AC,9,0)</f>
        <v>260729C21A</v>
      </c>
      <c r="I262" s="16">
        <f>VLOOKUP($A262,PLAN!$B:$AC,10,0)</f>
        <v>6</v>
      </c>
      <c r="J262" s="17">
        <f>VLOOKUP($A262,PLAN!$B:$AC,21,0)</f>
        <v>46239</v>
      </c>
      <c r="K262" s="145" t="str">
        <f>VLOOKUP($A262,PLAN!$B:$AC,22,0)</f>
        <v>M9</v>
      </c>
      <c r="L262" s="1"/>
      <c r="M262" s="1"/>
      <c r="N262" s="1"/>
      <c r="O262" s="221" t="s">
        <v>79</v>
      </c>
      <c r="P262" s="220"/>
      <c r="Q262" s="18">
        <f>VLOOKUP(A262,PLAN!B:R,17,0)</f>
        <v>46238</v>
      </c>
    </row>
    <row r="263" spans="1:17" ht="21.6" hidden="1" customHeight="1">
      <c r="A263" s="329" t="s">
        <v>2897</v>
      </c>
      <c r="B263" s="14">
        <f>VLOOKUP($A263,PLAN!$B:$AC,3,0)</f>
        <v>11119540</v>
      </c>
      <c r="C263" s="14" t="str">
        <f>VLOOKUP($A263,PLAN!$B:$AC,4,0)</f>
        <v>1911206-D-A</v>
      </c>
      <c r="D263" s="14" t="str">
        <f>VLOOKUP($A263,PLAN!$B:$AC,5,0)</f>
        <v>HJ70AL100P09022 JP</v>
      </c>
      <c r="E263" s="14" t="str">
        <f>VLOOKUP($A263,PLAN!$B:$AC,2,0)</f>
        <v>1001931013</v>
      </c>
      <c r="F263" s="15">
        <f>VLOOKUP($A263,PLAN!$B:$AC,7,0)</f>
        <v>46248</v>
      </c>
      <c r="G263" s="16" t="str">
        <f>VLOOKUP($A263,PLAN!$B:$AC,8,0)</f>
        <v>0103582533</v>
      </c>
      <c r="H263" s="16" t="str">
        <f>VLOOKUP($A263,PLAN!$B:$AC,9,0)</f>
        <v>260729C22A</v>
      </c>
      <c r="I263" s="16">
        <f>VLOOKUP($A263,PLAN!$B:$AC,10,0)</f>
        <v>6</v>
      </c>
      <c r="J263" s="17">
        <f>VLOOKUP($A263,PLAN!$B:$AC,21,0)</f>
        <v>46239</v>
      </c>
      <c r="K263" s="145" t="str">
        <f>VLOOKUP($A263,PLAN!$B:$AC,22,0)</f>
        <v>M9</v>
      </c>
      <c r="L263" s="1"/>
      <c r="M263" s="1"/>
      <c r="N263" s="1"/>
      <c r="O263" s="221" t="s">
        <v>79</v>
      </c>
      <c r="P263" s="220"/>
      <c r="Q263" s="18">
        <f>VLOOKUP(A263,PLAN!B:R,17,0)</f>
        <v>46238</v>
      </c>
    </row>
    <row r="264" spans="1:17" ht="21.6" hidden="1" customHeight="1">
      <c r="A264" s="329" t="s">
        <v>2898</v>
      </c>
      <c r="B264" s="14">
        <f>VLOOKUP($A264,PLAN!$B:$AC,3,0)</f>
        <v>11119448</v>
      </c>
      <c r="C264" s="14" t="str">
        <f>VLOOKUP($A264,PLAN!$B:$AC,4,0)</f>
        <v>1911114-D-A</v>
      </c>
      <c r="D264" s="14" t="str">
        <f>VLOOKUP($A264,PLAN!$B:$AC,5,0)</f>
        <v>HJ70AL150P10020 JP</v>
      </c>
      <c r="E264" s="14" t="str">
        <f>VLOOKUP($A264,PLAN!$B:$AC,2,0)</f>
        <v>1001931014</v>
      </c>
      <c r="F264" s="15">
        <f>VLOOKUP($A264,PLAN!$B:$AC,7,0)</f>
        <v>46248</v>
      </c>
      <c r="G264" s="16" t="str">
        <f>VLOOKUP($A264,PLAN!$B:$AC,8,0)</f>
        <v>0103582534</v>
      </c>
      <c r="H264" s="16" t="str">
        <f>VLOOKUP($A264,PLAN!$B:$AC,9,0)</f>
        <v>260729C23A</v>
      </c>
      <c r="I264" s="16">
        <f>VLOOKUP($A264,PLAN!$B:$AC,10,0)</f>
        <v>8</v>
      </c>
      <c r="J264" s="17">
        <f>VLOOKUP($A264,PLAN!$B:$AC,21,0)</f>
        <v>46239</v>
      </c>
      <c r="K264" s="145" t="str">
        <f>VLOOKUP($A264,PLAN!$B:$AC,22,0)</f>
        <v>M9</v>
      </c>
      <c r="L264" s="1"/>
      <c r="M264" s="1"/>
      <c r="N264" s="1"/>
      <c r="O264" s="221" t="s">
        <v>79</v>
      </c>
      <c r="P264" s="220"/>
      <c r="Q264" s="18">
        <f>VLOOKUP(A264,PLAN!B:R,17,0)</f>
        <v>46238</v>
      </c>
    </row>
    <row r="265" spans="1:17" ht="21.6" hidden="1" customHeight="1">
      <c r="A265" s="329" t="s">
        <v>2899</v>
      </c>
      <c r="B265" s="14">
        <f>VLOOKUP($A265,PLAN!$B:$AC,3,0)</f>
        <v>11119333</v>
      </c>
      <c r="C265" s="14" t="str">
        <f>VLOOKUP($A265,PLAN!$B:$AC,4,0)</f>
        <v>1911001-D-A</v>
      </c>
      <c r="D265" s="14" t="str">
        <f>VLOOKUP($A265,PLAN!$B:$AC,5,0)</f>
        <v>HJ60AL070P10020 JP</v>
      </c>
      <c r="E265" s="14" t="str">
        <f>VLOOKUP($A265,PLAN!$B:$AC,2,0)</f>
        <v>1001931015</v>
      </c>
      <c r="F265" s="15">
        <f>VLOOKUP($A265,PLAN!$B:$AC,7,0)</f>
        <v>46248</v>
      </c>
      <c r="G265" s="16" t="str">
        <f>VLOOKUP($A265,PLAN!$B:$AC,8,0)</f>
        <v>0103582535</v>
      </c>
      <c r="H265" s="16" t="str">
        <f>VLOOKUP($A265,PLAN!$B:$AC,9,0)</f>
        <v>260729C24A</v>
      </c>
      <c r="I265" s="16">
        <f>VLOOKUP($A265,PLAN!$B:$AC,10,0)</f>
        <v>11</v>
      </c>
      <c r="J265" s="17">
        <f>VLOOKUP($A265,PLAN!$B:$AC,21,0)</f>
        <v>46239</v>
      </c>
      <c r="K265" s="145" t="str">
        <f>VLOOKUP($A265,PLAN!$B:$AC,22,0)</f>
        <v>M9</v>
      </c>
      <c r="L265" s="1"/>
      <c r="M265" s="1"/>
      <c r="N265" s="1"/>
      <c r="O265" s="221" t="s">
        <v>79</v>
      </c>
      <c r="P265" s="220"/>
      <c r="Q265" s="18">
        <f>VLOOKUP(A265,PLAN!B:R,17,0)</f>
        <v>46238</v>
      </c>
    </row>
    <row r="266" spans="1:17" ht="21.6" hidden="1" customHeight="1">
      <c r="A266" s="329" t="s">
        <v>2900</v>
      </c>
      <c r="B266" s="14">
        <f>VLOOKUP($A266,PLAN!$B:$AC,3,0)</f>
        <v>11119631</v>
      </c>
      <c r="C266" s="14" t="str">
        <f>VLOOKUP($A266,PLAN!$B:$AC,4,0)</f>
        <v>1911297-D-A</v>
      </c>
      <c r="D266" s="14" t="str">
        <f>VLOOKUP($A266,PLAN!$B:$AC,5,0)</f>
        <v>HJ80JR402P10000 JP</v>
      </c>
      <c r="E266" s="14" t="str">
        <f>VLOOKUP($A266,PLAN!$B:$AC,2,0)</f>
        <v>1001931016</v>
      </c>
      <c r="F266" s="15">
        <f>VLOOKUP($A266,PLAN!$B:$AC,7,0)</f>
        <v>46248</v>
      </c>
      <c r="G266" s="16" t="str">
        <f>VLOOKUP($A266,PLAN!$B:$AC,8,0)</f>
        <v>0103582536</v>
      </c>
      <c r="H266" s="16" t="str">
        <f>VLOOKUP($A266,PLAN!$B:$AC,9,0)</f>
        <v>260729C25A</v>
      </c>
      <c r="I266" s="16">
        <f>VLOOKUP($A266,PLAN!$B:$AC,10,0)</f>
        <v>11</v>
      </c>
      <c r="J266" s="17">
        <f>VLOOKUP($A266,PLAN!$B:$AC,21,0)</f>
        <v>46239</v>
      </c>
      <c r="K266" s="145" t="str">
        <f>VLOOKUP($A266,PLAN!$B:$AC,22,0)</f>
        <v>M9</v>
      </c>
      <c r="L266" s="1"/>
      <c r="M266" s="1"/>
      <c r="N266" s="1"/>
      <c r="O266" s="221" t="s">
        <v>79</v>
      </c>
      <c r="P266" s="220"/>
      <c r="Q266" s="18">
        <f>VLOOKUP(A266,PLAN!B:R,17,0)</f>
        <v>46238</v>
      </c>
    </row>
    <row r="267" spans="1:17" ht="21.6" hidden="1" customHeight="1">
      <c r="A267" s="329" t="s">
        <v>2901</v>
      </c>
      <c r="B267" s="14">
        <f>VLOOKUP($A267,PLAN!$B:$AC,3,0)</f>
        <v>11119627</v>
      </c>
      <c r="C267" s="14" t="str">
        <f>VLOOKUP($A267,PLAN!$B:$AC,4,0)</f>
        <v>1911293-D-A</v>
      </c>
      <c r="D267" s="14" t="str">
        <f>VLOOKUP($A267,PLAN!$B:$AC,5,0)</f>
        <v>HJ80JR352P10000 JP</v>
      </c>
      <c r="E267" s="14" t="str">
        <f>VLOOKUP($A267,PLAN!$B:$AC,2,0)</f>
        <v>1001931017</v>
      </c>
      <c r="F267" s="15">
        <f>VLOOKUP($A267,PLAN!$B:$AC,7,0)</f>
        <v>46248</v>
      </c>
      <c r="G267" s="16" t="str">
        <f>VLOOKUP($A267,PLAN!$B:$AC,8,0)</f>
        <v>0103582537</v>
      </c>
      <c r="H267" s="16" t="str">
        <f>VLOOKUP($A267,PLAN!$B:$AC,9,0)</f>
        <v>260729C26A</v>
      </c>
      <c r="I267" s="16">
        <f>VLOOKUP($A267,PLAN!$B:$AC,10,0)</f>
        <v>14</v>
      </c>
      <c r="J267" s="17">
        <f>VLOOKUP($A267,PLAN!$B:$AC,21,0)</f>
        <v>46239</v>
      </c>
      <c r="K267" s="145" t="str">
        <f>VLOOKUP($A267,PLAN!$B:$AC,22,0)</f>
        <v>M9</v>
      </c>
      <c r="L267" s="1"/>
      <c r="M267" s="1"/>
      <c r="N267" s="1"/>
      <c r="O267" s="221" t="s">
        <v>79</v>
      </c>
      <c r="P267" s="220"/>
      <c r="Q267" s="18">
        <f>VLOOKUP(A267,PLAN!B:R,17,0)</f>
        <v>46238</v>
      </c>
    </row>
    <row r="268" spans="1:17" ht="21.6" hidden="1" customHeight="1">
      <c r="A268" s="329" t="s">
        <v>2902</v>
      </c>
      <c r="B268" s="14">
        <f>VLOOKUP($A268,PLAN!$B:$AC,3,0)</f>
        <v>11119545</v>
      </c>
      <c r="C268" s="14" t="str">
        <f>VLOOKUP($A268,PLAN!$B:$AC,4,0)</f>
        <v>1911211-D-A</v>
      </c>
      <c r="D268" s="14" t="str">
        <f>VLOOKUP($A268,PLAN!$B:$AC,5,0)</f>
        <v>HJ70AL152P10022 JP</v>
      </c>
      <c r="E268" s="14" t="str">
        <f>VLOOKUP($A268,PLAN!$B:$AC,2,0)</f>
        <v>1001931018</v>
      </c>
      <c r="F268" s="15">
        <f>VLOOKUP($A268,PLAN!$B:$AC,7,0)</f>
        <v>46248</v>
      </c>
      <c r="G268" s="16" t="str">
        <f>VLOOKUP($A268,PLAN!$B:$AC,8,0)</f>
        <v>0103582538</v>
      </c>
      <c r="H268" s="16" t="str">
        <f>VLOOKUP($A268,PLAN!$B:$AC,9,0)</f>
        <v>260729C27A</v>
      </c>
      <c r="I268" s="16">
        <f>VLOOKUP($A268,PLAN!$B:$AC,10,0)</f>
        <v>16</v>
      </c>
      <c r="J268" s="17">
        <f>VLOOKUP($A268,PLAN!$B:$AC,21,0)</f>
        <v>46239</v>
      </c>
      <c r="K268" s="145" t="str">
        <f>VLOOKUP($A268,PLAN!$B:$AC,22,0)</f>
        <v>M9</v>
      </c>
      <c r="L268" s="1"/>
      <c r="M268" s="1"/>
      <c r="N268" s="1"/>
      <c r="O268" s="221" t="s">
        <v>79</v>
      </c>
      <c r="P268" s="220"/>
      <c r="Q268" s="18">
        <f>VLOOKUP(A268,PLAN!B:R,17,0)</f>
        <v>46238</v>
      </c>
    </row>
    <row r="269" spans="1:17" ht="21.6" hidden="1" customHeight="1">
      <c r="A269" s="329" t="s">
        <v>2903</v>
      </c>
      <c r="B269" s="14">
        <f>VLOOKUP($A269,PLAN!$B:$AC,3,0)</f>
        <v>11119437</v>
      </c>
      <c r="C269" s="14" t="str">
        <f>VLOOKUP($A269,PLAN!$B:$AC,4,0)</f>
        <v>1911103-D-A</v>
      </c>
      <c r="D269" s="14" t="str">
        <f>VLOOKUP($A269,PLAN!$B:$AC,5,0)</f>
        <v>HJ70AL070P10020 JP</v>
      </c>
      <c r="E269" s="14" t="str">
        <f>VLOOKUP($A269,PLAN!$B:$AC,2,0)</f>
        <v>1001931019</v>
      </c>
      <c r="F269" s="15">
        <f>VLOOKUP($A269,PLAN!$B:$AC,7,0)</f>
        <v>46248</v>
      </c>
      <c r="G269" s="16" t="str">
        <f>VLOOKUP($A269,PLAN!$B:$AC,8,0)</f>
        <v>0103582539</v>
      </c>
      <c r="H269" s="16" t="str">
        <f>VLOOKUP($A269,PLAN!$B:$AC,9,0)</f>
        <v>260729C28A</v>
      </c>
      <c r="I269" s="16">
        <f>VLOOKUP($A269,PLAN!$B:$AC,10,0)</f>
        <v>21</v>
      </c>
      <c r="J269" s="17">
        <f>VLOOKUP($A269,PLAN!$B:$AC,21,0)</f>
        <v>46239</v>
      </c>
      <c r="K269" s="145" t="str">
        <f>VLOOKUP($A269,PLAN!$B:$AC,22,0)</f>
        <v>M9</v>
      </c>
      <c r="L269" s="1"/>
      <c r="M269" s="1"/>
      <c r="N269" s="1"/>
      <c r="O269" s="221" t="s">
        <v>79</v>
      </c>
      <c r="P269" s="220"/>
      <c r="Q269" s="18">
        <f>VLOOKUP(A269,PLAN!B:R,17,0)</f>
        <v>46238</v>
      </c>
    </row>
    <row r="270" spans="1:17" ht="21.6" hidden="1" customHeight="1">
      <c r="A270" s="329" t="s">
        <v>2904</v>
      </c>
      <c r="B270" s="14">
        <f>VLOOKUP($A270,PLAN!$B:$AC,3,0)</f>
        <v>11134274</v>
      </c>
      <c r="C270" s="14" t="str">
        <f>VLOOKUP($A270,PLAN!$B:$AC,4,0)</f>
        <v>1911189-E-A</v>
      </c>
      <c r="D270" s="14" t="str">
        <f>VLOOKUP($A270,PLAN!$B:$AC,5,0)</f>
        <v>HJ70PB400P10000 JP</v>
      </c>
      <c r="E270" s="14" t="str">
        <f>VLOOKUP($A270,PLAN!$B:$AC,2,0)</f>
        <v>1001931020</v>
      </c>
      <c r="F270" s="15">
        <f>VLOOKUP($A270,PLAN!$B:$AC,7,0)</f>
        <v>46248</v>
      </c>
      <c r="G270" s="16" t="str">
        <f>VLOOKUP($A270,PLAN!$B:$AC,8,0)</f>
        <v>0103582540</v>
      </c>
      <c r="H270" s="16" t="str">
        <f>VLOOKUP($A270,PLAN!$B:$AC,9,0)</f>
        <v>260729C29A</v>
      </c>
      <c r="I270" s="16">
        <f>VLOOKUP($A270,PLAN!$B:$AC,10,0)</f>
        <v>5</v>
      </c>
      <c r="J270" s="17">
        <f>VLOOKUP($A270,PLAN!$B:$AC,21,0)</f>
        <v>46239</v>
      </c>
      <c r="K270" s="145" t="str">
        <f>VLOOKUP($A270,PLAN!$B:$AC,22,0)</f>
        <v>M9</v>
      </c>
      <c r="L270" s="1"/>
      <c r="M270" s="1"/>
      <c r="N270" s="1"/>
      <c r="O270" s="221" t="s">
        <v>79</v>
      </c>
      <c r="P270" s="220"/>
      <c r="Q270" s="18">
        <f>VLOOKUP(A270,PLAN!B:R,17,0)</f>
        <v>46238</v>
      </c>
    </row>
    <row r="271" spans="1:17" ht="21.6" hidden="1" customHeight="1">
      <c r="A271" s="329" t="s">
        <v>2905</v>
      </c>
      <c r="B271" s="14">
        <f>VLOOKUP($A271,PLAN!$B:$AC,3,0)</f>
        <v>11134309</v>
      </c>
      <c r="C271" s="14" t="str">
        <f>VLOOKUP($A271,PLAN!$B:$AC,4,0)</f>
        <v>1911348-E-A</v>
      </c>
      <c r="D271" s="14" t="str">
        <f>VLOOKUP($A271,PLAN!$B:$AC,5,0)</f>
        <v>HJ80SP352P09000 JP</v>
      </c>
      <c r="E271" s="14" t="str">
        <f>VLOOKUP($A271,PLAN!$B:$AC,2,0)</f>
        <v>1001931021</v>
      </c>
      <c r="F271" s="15">
        <f>VLOOKUP($A271,PLAN!$B:$AC,7,0)</f>
        <v>46248</v>
      </c>
      <c r="G271" s="16" t="str">
        <f>VLOOKUP($A271,PLAN!$B:$AC,8,0)</f>
        <v>0103582541</v>
      </c>
      <c r="H271" s="16" t="str">
        <f>VLOOKUP($A271,PLAN!$B:$AC,9,0)</f>
        <v>260729C30A</v>
      </c>
      <c r="I271" s="16">
        <f>VLOOKUP($A271,PLAN!$B:$AC,10,0)</f>
        <v>3</v>
      </c>
      <c r="J271" s="17">
        <f>VLOOKUP($A271,PLAN!$B:$AC,21,0)</f>
        <v>46239</v>
      </c>
      <c r="K271" s="145" t="str">
        <f>VLOOKUP($A271,PLAN!$B:$AC,22,0)</f>
        <v>M9</v>
      </c>
      <c r="L271" s="1"/>
      <c r="M271" s="1"/>
      <c r="N271" s="1"/>
      <c r="O271" s="221" t="s">
        <v>79</v>
      </c>
      <c r="P271" s="220"/>
      <c r="Q271" s="18">
        <f>VLOOKUP(A271,PLAN!B:R,17,0)</f>
        <v>46238</v>
      </c>
    </row>
    <row r="272" spans="1:17" ht="21.6" hidden="1" customHeight="1">
      <c r="A272" s="329" t="s">
        <v>2906</v>
      </c>
      <c r="B272" s="14">
        <f>VLOOKUP($A272,PLAN!$B:$AC,3,0)</f>
        <v>11134286</v>
      </c>
      <c r="C272" s="14" t="str">
        <f>VLOOKUP($A272,PLAN!$B:$AC,4,0)</f>
        <v>1911229-E-A</v>
      </c>
      <c r="D272" s="14" t="str">
        <f>VLOOKUP($A272,PLAN!$B:$AC,5,0)</f>
        <v>HJ70SP372P09020 JP</v>
      </c>
      <c r="E272" s="14" t="str">
        <f>VLOOKUP($A272,PLAN!$B:$AC,2,0)</f>
        <v>1001931022</v>
      </c>
      <c r="F272" s="15">
        <f>VLOOKUP($A272,PLAN!$B:$AC,7,0)</f>
        <v>46248</v>
      </c>
      <c r="G272" s="16" t="str">
        <f>VLOOKUP($A272,PLAN!$B:$AC,8,0)</f>
        <v>0103582542</v>
      </c>
      <c r="H272" s="16" t="str">
        <f>VLOOKUP($A272,PLAN!$B:$AC,9,0)</f>
        <v>260729C31A</v>
      </c>
      <c r="I272" s="16">
        <f>VLOOKUP($A272,PLAN!$B:$AC,10,0)</f>
        <v>5</v>
      </c>
      <c r="J272" s="17">
        <f>VLOOKUP($A272,PLAN!$B:$AC,21,0)</f>
        <v>46239</v>
      </c>
      <c r="K272" s="145" t="str">
        <f>VLOOKUP($A272,PLAN!$B:$AC,22,0)</f>
        <v>M9</v>
      </c>
      <c r="L272" s="1"/>
      <c r="M272" s="1"/>
      <c r="N272" s="1"/>
      <c r="O272" s="221" t="s">
        <v>79</v>
      </c>
      <c r="P272" s="220"/>
      <c r="Q272" s="18">
        <f>VLOOKUP(A272,PLAN!B:R,17,0)</f>
        <v>46238</v>
      </c>
    </row>
    <row r="273" spans="1:17" ht="21.6" hidden="1" customHeight="1">
      <c r="A273" s="329" t="s">
        <v>2907</v>
      </c>
      <c r="B273" s="14">
        <f>VLOOKUP($A273,PLAN!$B:$AC,3,0)</f>
        <v>11134314</v>
      </c>
      <c r="C273" s="14" t="str">
        <f>VLOOKUP($A273,PLAN!$B:$AC,4,0)</f>
        <v>1911353-E-A</v>
      </c>
      <c r="D273" s="14" t="str">
        <f>VLOOKUP($A273,PLAN!$B:$AC,5,0)</f>
        <v>HJ80SP402P10000 JP</v>
      </c>
      <c r="E273" s="14" t="str">
        <f>VLOOKUP($A273,PLAN!$B:$AC,2,0)</f>
        <v>1001931023</v>
      </c>
      <c r="F273" s="15">
        <f>VLOOKUP($A273,PLAN!$B:$AC,7,0)</f>
        <v>46248</v>
      </c>
      <c r="G273" s="16" t="str">
        <f>VLOOKUP($A273,PLAN!$B:$AC,8,0)</f>
        <v>0103582543</v>
      </c>
      <c r="H273" s="16" t="str">
        <f>VLOOKUP($A273,PLAN!$B:$AC,9,0)</f>
        <v>260729C32A</v>
      </c>
      <c r="I273" s="16">
        <f>VLOOKUP($A273,PLAN!$B:$AC,10,0)</f>
        <v>5</v>
      </c>
      <c r="J273" s="17">
        <f>VLOOKUP($A273,PLAN!$B:$AC,21,0)</f>
        <v>46239</v>
      </c>
      <c r="K273" s="145" t="str">
        <f>VLOOKUP($A273,PLAN!$B:$AC,22,0)</f>
        <v>M9</v>
      </c>
      <c r="L273" s="1"/>
      <c r="M273" s="1"/>
      <c r="N273" s="1"/>
      <c r="O273" s="221" t="s">
        <v>79</v>
      </c>
      <c r="P273" s="220"/>
      <c r="Q273" s="18">
        <f>VLOOKUP(A273,PLAN!B:R,17,0)</f>
        <v>46238</v>
      </c>
    </row>
    <row r="274" spans="1:17" ht="21.6" hidden="1" customHeight="1">
      <c r="A274" s="329" t="s">
        <v>2908</v>
      </c>
      <c r="B274" s="14">
        <f>VLOOKUP($A274,PLAN!$B:$AC,3,0)</f>
        <v>11134305</v>
      </c>
      <c r="C274" s="14" t="str">
        <f>VLOOKUP($A274,PLAN!$B:$AC,4,0)</f>
        <v>1911344-E-A</v>
      </c>
      <c r="D274" s="14" t="str">
        <f>VLOOKUP($A274,PLAN!$B:$AC,5,0)</f>
        <v>HJ80SP302P10000 JP</v>
      </c>
      <c r="E274" s="14" t="str">
        <f>VLOOKUP($A274,PLAN!$B:$AC,2,0)</f>
        <v>1001931024</v>
      </c>
      <c r="F274" s="15">
        <f>VLOOKUP($A274,PLAN!$B:$AC,7,0)</f>
        <v>46248</v>
      </c>
      <c r="G274" s="16" t="str">
        <f>VLOOKUP($A274,PLAN!$B:$AC,8,0)</f>
        <v>0103582544</v>
      </c>
      <c r="H274" s="16" t="str">
        <f>VLOOKUP($A274,PLAN!$B:$AC,9,0)</f>
        <v>260729C33A</v>
      </c>
      <c r="I274" s="16">
        <f>VLOOKUP($A274,PLAN!$B:$AC,10,0)</f>
        <v>20</v>
      </c>
      <c r="J274" s="17">
        <f>VLOOKUP($A274,PLAN!$B:$AC,21,0)</f>
        <v>46239</v>
      </c>
      <c r="K274" s="145" t="str">
        <f>VLOOKUP($A274,PLAN!$B:$AC,22,0)</f>
        <v>M9</v>
      </c>
      <c r="L274" s="1"/>
      <c r="M274" s="1"/>
      <c r="N274" s="1"/>
      <c r="O274" s="221" t="s">
        <v>79</v>
      </c>
      <c r="P274" s="220"/>
      <c r="Q274" s="18">
        <f>VLOOKUP(A274,PLAN!B:R,17,0)</f>
        <v>46238</v>
      </c>
    </row>
    <row r="275" spans="1:17" ht="21.6" hidden="1" customHeight="1">
      <c r="A275" s="329" t="s">
        <v>2909</v>
      </c>
      <c r="B275" s="14">
        <f>VLOOKUP($A275,PLAN!$B:$AC,3,0)</f>
        <v>11131303</v>
      </c>
      <c r="C275" s="14" t="str">
        <f>VLOOKUP($A275,PLAN!$B:$AC,4,0)</f>
        <v>2211220-E-A</v>
      </c>
      <c r="D275" s="14" t="str">
        <f>VLOOKUP($A275,PLAN!$B:$AC,5,0)</f>
        <v>HW70SP350P10000 NOCE</v>
      </c>
      <c r="E275" s="14" t="str">
        <f>VLOOKUP($A275,PLAN!$B:$AC,2,0)</f>
        <v>1001931025</v>
      </c>
      <c r="F275" s="15">
        <f>VLOOKUP($A275,PLAN!$B:$AC,7,0)</f>
        <v>46248</v>
      </c>
      <c r="G275" s="16" t="str">
        <f>VLOOKUP($A275,PLAN!$B:$AC,8,0)</f>
        <v>0103582545</v>
      </c>
      <c r="H275" s="16" t="str">
        <f>VLOOKUP($A275,PLAN!$B:$AC,9,0)</f>
        <v>260729C34A</v>
      </c>
      <c r="I275" s="16">
        <f>VLOOKUP($A275,PLAN!$B:$AC,10,0)</f>
        <v>5</v>
      </c>
      <c r="J275" s="17">
        <f>VLOOKUP($A275,PLAN!$B:$AC,21,0)</f>
        <v>46239</v>
      </c>
      <c r="K275" s="145" t="str">
        <f>VLOOKUP($A275,PLAN!$B:$AC,22,0)</f>
        <v>M9</v>
      </c>
      <c r="L275" s="1"/>
      <c r="M275" s="1"/>
      <c r="N275" s="1"/>
      <c r="O275" s="221" t="s">
        <v>79</v>
      </c>
      <c r="P275" s="220"/>
      <c r="Q275" s="18">
        <f>VLOOKUP(A275,PLAN!B:R,17,0)</f>
        <v>46238</v>
      </c>
    </row>
    <row r="276" spans="1:17" ht="21.6" hidden="1" customHeight="1">
      <c r="A276" s="329" t="s">
        <v>2910</v>
      </c>
      <c r="B276" s="14">
        <f>VLOOKUP($A276,PLAN!$B:$AC,3,0)</f>
        <v>11131288</v>
      </c>
      <c r="C276" s="14" t="str">
        <f>VLOOKUP($A276,PLAN!$B:$AC,4,0)</f>
        <v>2211091-E-A</v>
      </c>
      <c r="D276" s="14" t="str">
        <f>VLOOKUP($A276,PLAN!$B:$AC,5,0)</f>
        <v>HW60SP300P10000 NOCE</v>
      </c>
      <c r="E276" s="14" t="str">
        <f>VLOOKUP($A276,PLAN!$B:$AC,2,0)</f>
        <v>1001931026</v>
      </c>
      <c r="F276" s="15">
        <f>VLOOKUP($A276,PLAN!$B:$AC,7,0)</f>
        <v>46248</v>
      </c>
      <c r="G276" s="16" t="str">
        <f>VLOOKUP($A276,PLAN!$B:$AC,8,0)</f>
        <v>0103582547</v>
      </c>
      <c r="H276" s="16" t="str">
        <f>VLOOKUP($A276,PLAN!$B:$AC,9,0)</f>
        <v>260729C35A</v>
      </c>
      <c r="I276" s="16">
        <f>VLOOKUP($A276,PLAN!$B:$AC,10,0)</f>
        <v>10</v>
      </c>
      <c r="J276" s="17">
        <f>VLOOKUP($A276,PLAN!$B:$AC,21,0)</f>
        <v>46239</v>
      </c>
      <c r="K276" s="145" t="str">
        <f>VLOOKUP($A276,PLAN!$B:$AC,22,0)</f>
        <v>M9</v>
      </c>
      <c r="L276" s="1"/>
      <c r="M276" s="1"/>
      <c r="N276" s="1"/>
      <c r="O276" s="221" t="s">
        <v>79</v>
      </c>
      <c r="P276" s="220"/>
      <c r="Q276" s="18">
        <f>VLOOKUP(A276,PLAN!B:R,17,0)</f>
        <v>46238</v>
      </c>
    </row>
    <row r="277" spans="1:17" ht="21.6" hidden="1" customHeight="1">
      <c r="A277" s="329" t="s">
        <v>2911</v>
      </c>
      <c r="B277" s="14">
        <f>VLOOKUP($A277,PLAN!$B:$AC,3,0)</f>
        <v>11131289</v>
      </c>
      <c r="C277" s="14" t="str">
        <f>VLOOKUP($A277,PLAN!$B:$AC,4,0)</f>
        <v>2211092-E-A</v>
      </c>
      <c r="D277" s="14" t="str">
        <f>VLOOKUP($A277,PLAN!$B:$AC,5,0)</f>
        <v>HW60SP350P10000 NOCE</v>
      </c>
      <c r="E277" s="14" t="str">
        <f>VLOOKUP($A277,PLAN!$B:$AC,2,0)</f>
        <v>1001931028</v>
      </c>
      <c r="F277" s="15">
        <f>VLOOKUP($A277,PLAN!$B:$AC,7,0)</f>
        <v>46248</v>
      </c>
      <c r="G277" s="16" t="str">
        <f>VLOOKUP($A277,PLAN!$B:$AC,8,0)</f>
        <v>0103582548</v>
      </c>
      <c r="H277" s="16" t="str">
        <f>VLOOKUP($A277,PLAN!$B:$AC,9,0)</f>
        <v>260729C36A</v>
      </c>
      <c r="I277" s="16">
        <f>VLOOKUP($A277,PLAN!$B:$AC,10,0)</f>
        <v>10</v>
      </c>
      <c r="J277" s="17">
        <f>VLOOKUP($A277,PLAN!$B:$AC,21,0)</f>
        <v>46239</v>
      </c>
      <c r="K277" s="145" t="str">
        <f>VLOOKUP($A277,PLAN!$B:$AC,22,0)</f>
        <v>M9</v>
      </c>
      <c r="L277" s="1"/>
      <c r="M277" s="1"/>
      <c r="N277" s="1"/>
      <c r="O277" s="221" t="s">
        <v>79</v>
      </c>
      <c r="P277" s="220"/>
      <c r="Q277" s="18">
        <f>VLOOKUP(A277,PLAN!B:R,17,0)</f>
        <v>46238</v>
      </c>
    </row>
    <row r="278" spans="1:17" ht="21.6" hidden="1" customHeight="1">
      <c r="A278" s="329" t="s">
        <v>2912</v>
      </c>
      <c r="B278" s="14">
        <f>VLOOKUP($A278,PLAN!$B:$AC,3,0)</f>
        <v>11131288</v>
      </c>
      <c r="C278" s="14" t="str">
        <f>VLOOKUP($A278,PLAN!$B:$AC,4,0)</f>
        <v>2211091-E-A</v>
      </c>
      <c r="D278" s="14" t="str">
        <f>VLOOKUP($A278,PLAN!$B:$AC,5,0)</f>
        <v>HW60SP300P10000 NOCE</v>
      </c>
      <c r="E278" s="14" t="str">
        <f>VLOOKUP($A278,PLAN!$B:$AC,2,0)</f>
        <v>1001931029</v>
      </c>
      <c r="F278" s="15">
        <f>VLOOKUP($A278,PLAN!$B:$AC,7,0)</f>
        <v>46248</v>
      </c>
      <c r="G278" s="16" t="str">
        <f>VLOOKUP($A278,PLAN!$B:$AC,8,0)</f>
        <v>0103582549</v>
      </c>
      <c r="H278" s="16" t="str">
        <f>VLOOKUP($A278,PLAN!$B:$AC,9,0)</f>
        <v>260729C37A</v>
      </c>
      <c r="I278" s="16">
        <f>VLOOKUP($A278,PLAN!$B:$AC,10,0)</f>
        <v>10</v>
      </c>
      <c r="J278" s="17">
        <f>VLOOKUP($A278,PLAN!$B:$AC,21,0)</f>
        <v>46239</v>
      </c>
      <c r="K278" s="145" t="str">
        <f>VLOOKUP($A278,PLAN!$B:$AC,22,0)</f>
        <v>M9</v>
      </c>
      <c r="L278" s="1"/>
      <c r="M278" s="1"/>
      <c r="N278" s="1"/>
      <c r="O278" s="221" t="s">
        <v>79</v>
      </c>
      <c r="P278" s="220"/>
      <c r="Q278" s="18">
        <f>VLOOKUP(A278,PLAN!B:R,17,0)</f>
        <v>46238</v>
      </c>
    </row>
    <row r="279" spans="1:17" ht="21.6" hidden="1" customHeight="1">
      <c r="A279" s="329" t="s">
        <v>2913</v>
      </c>
      <c r="B279" s="14">
        <f>VLOOKUP($A279,PLAN!$B:$AC,3,0)</f>
        <v>11131289</v>
      </c>
      <c r="C279" s="14" t="str">
        <f>VLOOKUP($A279,PLAN!$B:$AC,4,0)</f>
        <v>2211092-E-A</v>
      </c>
      <c r="D279" s="14" t="str">
        <f>VLOOKUP($A279,PLAN!$B:$AC,5,0)</f>
        <v>HW60SP350P10000 NOCE</v>
      </c>
      <c r="E279" s="14" t="str">
        <f>VLOOKUP($A279,PLAN!$B:$AC,2,0)</f>
        <v>1001931030</v>
      </c>
      <c r="F279" s="15">
        <f>VLOOKUP($A279,PLAN!$B:$AC,7,0)</f>
        <v>46248</v>
      </c>
      <c r="G279" s="16" t="str">
        <f>VLOOKUP($A279,PLAN!$B:$AC,8,0)</f>
        <v>0103582550</v>
      </c>
      <c r="H279" s="16" t="str">
        <f>VLOOKUP($A279,PLAN!$B:$AC,9,0)</f>
        <v>260729C38A</v>
      </c>
      <c r="I279" s="16">
        <f>VLOOKUP($A279,PLAN!$B:$AC,10,0)</f>
        <v>16</v>
      </c>
      <c r="J279" s="17">
        <f>VLOOKUP($A279,PLAN!$B:$AC,21,0)</f>
        <v>46239</v>
      </c>
      <c r="K279" s="145" t="str">
        <f>VLOOKUP($A279,PLAN!$B:$AC,22,0)</f>
        <v>M9</v>
      </c>
      <c r="L279" s="1"/>
      <c r="M279" s="1"/>
      <c r="N279" s="1"/>
      <c r="O279" s="221" t="s">
        <v>79</v>
      </c>
      <c r="P279" s="220"/>
      <c r="Q279" s="18">
        <f>VLOOKUP(A279,PLAN!B:R,17,0)</f>
        <v>46238</v>
      </c>
    </row>
    <row r="280" spans="1:17" ht="21.6" hidden="1" customHeight="1">
      <c r="A280" s="329" t="s">
        <v>2914</v>
      </c>
      <c r="B280" s="14">
        <f>VLOOKUP($A280,PLAN!$B:$AC,3,0)</f>
        <v>11134251</v>
      </c>
      <c r="C280" s="14" t="str">
        <f>VLOOKUP($A280,PLAN!$B:$AC,4,0)</f>
        <v>1911068-E-A</v>
      </c>
      <c r="D280" s="14" t="str">
        <f>VLOOKUP($A280,PLAN!$B:$AC,5,0)</f>
        <v>HJ60PB302P10020 JP</v>
      </c>
      <c r="E280" s="14" t="str">
        <f>VLOOKUP($A280,PLAN!$B:$AC,2,0)</f>
        <v>1001931041</v>
      </c>
      <c r="F280" s="15">
        <f>VLOOKUP($A280,PLAN!$B:$AC,7,0)</f>
        <v>46248</v>
      </c>
      <c r="G280" s="16" t="str">
        <f>VLOOKUP($A280,PLAN!$B:$AC,8,0)</f>
        <v>0103582593</v>
      </c>
      <c r="H280" s="16" t="str">
        <f>VLOOKUP($A280,PLAN!$B:$AC,9,0)</f>
        <v>260729C39A</v>
      </c>
      <c r="I280" s="16">
        <f>VLOOKUP($A280,PLAN!$B:$AC,10,0)</f>
        <v>1</v>
      </c>
      <c r="J280" s="17">
        <f>VLOOKUP($A280,PLAN!$B:$AC,21,0)</f>
        <v>46239</v>
      </c>
      <c r="K280" s="145" t="str">
        <f>VLOOKUP($A280,PLAN!$B:$AC,22,0)</f>
        <v>M9</v>
      </c>
      <c r="L280" s="1"/>
      <c r="M280" s="1"/>
      <c r="N280" s="1"/>
      <c r="O280" s="221" t="s">
        <v>79</v>
      </c>
      <c r="P280" s="220"/>
      <c r="Q280" s="18">
        <f>VLOOKUP(A280,PLAN!B:R,17,0)</f>
        <v>46238</v>
      </c>
    </row>
    <row r="281" spans="1:17" ht="21.6" hidden="1" customHeight="1">
      <c r="A281" s="329" t="s">
        <v>2915</v>
      </c>
      <c r="B281" s="14">
        <f>VLOOKUP($A281,PLAN!$B:$AC,3,0)</f>
        <v>11134259</v>
      </c>
      <c r="C281" s="14" t="str">
        <f>VLOOKUP($A281,PLAN!$B:$AC,4,0)</f>
        <v>1911096-E-A</v>
      </c>
      <c r="D281" s="14" t="str">
        <f>VLOOKUP($A281,PLAN!$B:$AC,5,0)</f>
        <v>HJ60SP322P10020 JP</v>
      </c>
      <c r="E281" s="14" t="str">
        <f>VLOOKUP($A281,PLAN!$B:$AC,2,0)</f>
        <v>1001931042</v>
      </c>
      <c r="F281" s="15">
        <f>VLOOKUP($A281,PLAN!$B:$AC,7,0)</f>
        <v>46248</v>
      </c>
      <c r="G281" s="16" t="str">
        <f>VLOOKUP($A281,PLAN!$B:$AC,8,0)</f>
        <v>0103582594</v>
      </c>
      <c r="H281" s="16" t="str">
        <f>VLOOKUP($A281,PLAN!$B:$AC,9,0)</f>
        <v>260729C40A</v>
      </c>
      <c r="I281" s="16">
        <f>VLOOKUP($A281,PLAN!$B:$AC,10,0)</f>
        <v>7</v>
      </c>
      <c r="J281" s="17">
        <f>VLOOKUP($A281,PLAN!$B:$AC,21,0)</f>
        <v>46239</v>
      </c>
      <c r="K281" s="145" t="str">
        <f>VLOOKUP($A281,PLAN!$B:$AC,22,0)</f>
        <v>M9</v>
      </c>
      <c r="L281" s="1"/>
      <c r="M281" s="1"/>
      <c r="N281" s="1"/>
      <c r="O281" s="221" t="s">
        <v>79</v>
      </c>
      <c r="P281" s="220"/>
      <c r="Q281" s="18">
        <f>VLOOKUP(A281,PLAN!B:R,17,0)</f>
        <v>46238</v>
      </c>
    </row>
    <row r="282" spans="1:17" ht="19.8" hidden="1" customHeight="1">
      <c r="A282" s="329" t="s">
        <v>3017</v>
      </c>
      <c r="B282" s="14">
        <f>VLOOKUP($A282,PLAN!$B:$AC,3,0)</f>
        <v>11107911</v>
      </c>
      <c r="C282" s="14" t="str">
        <f>VLOOKUP($A282,PLAN!$B:$AC,4,0)</f>
        <v>2511509-001</v>
      </c>
      <c r="D282" s="14" t="str">
        <f>VLOOKUP($A282,PLAN!$B:$AC,5,0)</f>
        <v>CROSSRIDGE 6Fr 100cm_Kit</v>
      </c>
      <c r="E282" s="14">
        <f>VLOOKUP($A282,PLAN!$B:$AC,2,0)</f>
        <v>2000128236</v>
      </c>
      <c r="F282" s="15">
        <f>VLOOKUP($A282,PLAN!$B:$AC,7,0)</f>
        <v>46234</v>
      </c>
      <c r="G282" s="16" t="str">
        <f>VLOOKUP($A282,PLAN!$B:$AC,8,0)</f>
        <v>0103584147</v>
      </c>
      <c r="H282" s="16" t="str">
        <f>VLOOKUP($A282,PLAN!$B:$AC,9,0)</f>
        <v>260730Y01A</v>
      </c>
      <c r="I282" s="16">
        <f>VLOOKUP($A282,PLAN!$B:$AC,10,0)</f>
        <v>10</v>
      </c>
      <c r="J282" s="17">
        <f>VLOOKUP($A282,PLAN!$B:$AC,21,0)</f>
        <v>46234</v>
      </c>
      <c r="K282" s="145" t="str">
        <f>VLOOKUP($A282,PLAN!$B:$AC,22,0)</f>
        <v>M9</v>
      </c>
      <c r="L282" s="1"/>
      <c r="M282" s="1"/>
      <c r="N282" s="1"/>
      <c r="O282" s="221" t="s">
        <v>79</v>
      </c>
      <c r="P282" s="220"/>
      <c r="Q282" s="18" t="s">
        <v>3019</v>
      </c>
    </row>
    <row r="283" spans="1:17" ht="19.8" hidden="1" customHeight="1">
      <c r="A283" s="329" t="s">
        <v>3018</v>
      </c>
      <c r="B283" s="14">
        <f>VLOOKUP($A283,PLAN!$B:$AC,3,0)</f>
        <v>11107911</v>
      </c>
      <c r="C283" s="14" t="str">
        <f>VLOOKUP($A283,PLAN!$B:$AC,4,0)</f>
        <v>2511509-001</v>
      </c>
      <c r="D283" s="14" t="str">
        <f>VLOOKUP($A283,PLAN!$B:$AC,5,0)</f>
        <v>CROSSRIDGE 6Fr 100cm_Kit</v>
      </c>
      <c r="E283" s="14">
        <f>VLOOKUP($A283,PLAN!$B:$AC,2,0)</f>
        <v>2000128237</v>
      </c>
      <c r="F283" s="15">
        <f>VLOOKUP($A283,PLAN!$B:$AC,7,0)</f>
        <v>46234</v>
      </c>
      <c r="G283" s="16" t="str">
        <f>VLOOKUP($A283,PLAN!$B:$AC,8,0)</f>
        <v>0103584149</v>
      </c>
      <c r="H283" s="16" t="str">
        <f>VLOOKUP($A283,PLAN!$B:$AC,9,0)</f>
        <v>260730Y02A</v>
      </c>
      <c r="I283" s="16">
        <f>VLOOKUP($A283,PLAN!$B:$AC,10,0)</f>
        <v>16</v>
      </c>
      <c r="J283" s="17">
        <f>VLOOKUP($A283,PLAN!$B:$AC,21,0)</f>
        <v>46234</v>
      </c>
      <c r="K283" s="145" t="str">
        <f>VLOOKUP($A283,PLAN!$B:$AC,22,0)</f>
        <v>M9</v>
      </c>
      <c r="L283" s="1"/>
      <c r="M283" s="1"/>
      <c r="N283" s="1"/>
      <c r="O283" s="221" t="s">
        <v>79</v>
      </c>
      <c r="P283" s="220"/>
      <c r="Q283" s="18" t="s">
        <v>3019</v>
      </c>
    </row>
    <row r="284" spans="1:17" ht="19.8" hidden="1" customHeight="1">
      <c r="A284" s="329" t="s">
        <v>1820</v>
      </c>
      <c r="B284" s="14">
        <f>VLOOKUP($A284,PLAN!$B:$AC,3,0)</f>
        <v>11116930</v>
      </c>
      <c r="C284" s="14" t="str">
        <f>VLOOKUP($A284,PLAN!$B:$AC,4,0)</f>
        <v>1521544-M-A</v>
      </c>
      <c r="D284" s="14" t="str">
        <f>VLOOKUP($A284,PLAN!$B:$AC,5,0)</f>
        <v>MS3552H26-PIG110J</v>
      </c>
      <c r="E284" s="14" t="str">
        <f>VLOOKUP($A284,PLAN!$B:$AC,2,0)</f>
        <v>1001925390</v>
      </c>
      <c r="F284" s="15">
        <f>VLOOKUP($A284,PLAN!$B:$AC,7,0)</f>
        <v>46242</v>
      </c>
      <c r="G284" s="16" t="str">
        <f>VLOOKUP($A284,PLAN!$B:$AC,8,0)</f>
        <v>0103570649</v>
      </c>
      <c r="H284" s="16" t="str">
        <f>VLOOKUP($A284,PLAN!$B:$AC,9,0)</f>
        <v>260723H04A</v>
      </c>
      <c r="I284" s="16">
        <f>VLOOKUP($A284,PLAN!$B:$AC,10,0)</f>
        <v>181</v>
      </c>
      <c r="J284" s="17">
        <f>VLOOKUP($A284,PLAN!$B:$AC,21,0)</f>
        <v>46241</v>
      </c>
      <c r="K284" s="145" t="str">
        <f>VLOOKUP($A284,PLAN!$B:$AC,22,0)</f>
        <v>M9</v>
      </c>
      <c r="L284" s="1"/>
      <c r="M284" s="1"/>
      <c r="N284" s="1"/>
      <c r="O284" s="221" t="s">
        <v>79</v>
      </c>
      <c r="P284" s="220"/>
      <c r="Q284" s="18">
        <f>VLOOKUP(A284,PLAN!B:R,17,0)</f>
        <v>46240</v>
      </c>
    </row>
    <row r="285" spans="1:17" ht="19.8" hidden="1" customHeight="1">
      <c r="A285" s="329" t="s">
        <v>3048</v>
      </c>
      <c r="B285" s="14">
        <f>VLOOKUP($A285,PLAN!$B:$AC,3,0)</f>
        <v>11134137</v>
      </c>
      <c r="C285" s="14" t="str">
        <f>VLOOKUP($A285,PLAN!$B:$AC,4,0)</f>
        <v>1811875-J-A</v>
      </c>
      <c r="D285" s="14" t="str">
        <f>VLOOKUP($A285,PLAN!$B:$AC,5,0)</f>
        <v>HW60AL070P10002 CN</v>
      </c>
      <c r="E285" s="14" t="str">
        <f>VLOOKUP($A285,PLAN!$B:$AC,2,0)</f>
        <v>1001936155</v>
      </c>
      <c r="F285" s="15">
        <f>VLOOKUP($A285,PLAN!$B:$AC,7,0)</f>
        <v>46255</v>
      </c>
      <c r="G285" s="16" t="str">
        <f>VLOOKUP($A285,PLAN!$B:$AC,8,0)</f>
        <v>0103591605</v>
      </c>
      <c r="H285" s="16" t="str">
        <f>VLOOKUP($A285,PLAN!$B:$AC,9,0)</f>
        <v>260803C01A</v>
      </c>
      <c r="I285" s="16">
        <f>VLOOKUP($A285,PLAN!$B:$AC,10,0)</f>
        <v>555</v>
      </c>
      <c r="J285" s="17">
        <f>VLOOKUP($A285,PLAN!$B:$AC,21,0)</f>
        <v>46241</v>
      </c>
      <c r="K285" s="145" t="str">
        <f>VLOOKUP($A285,PLAN!$B:$AC,22,0)</f>
        <v>M9</v>
      </c>
      <c r="L285" s="1"/>
      <c r="M285" s="1"/>
      <c r="N285" s="1"/>
      <c r="O285" s="221" t="s">
        <v>79</v>
      </c>
      <c r="P285" s="220"/>
      <c r="Q285" s="18">
        <f>VLOOKUP(A285,PLAN!B:R,17,0)</f>
        <v>46240</v>
      </c>
    </row>
    <row r="286" spans="1:17" ht="19.8" hidden="1" customHeight="1">
      <c r="A286" s="329" t="s">
        <v>3049</v>
      </c>
      <c r="B286" s="14">
        <f>VLOOKUP($A286,PLAN!$B:$AC,3,0)</f>
        <v>11134139</v>
      </c>
      <c r="C286" s="14" t="str">
        <f>VLOOKUP($A286,PLAN!$B:$AC,4,0)</f>
        <v>1811877-J-A</v>
      </c>
      <c r="D286" s="14" t="str">
        <f>VLOOKUP($A286,PLAN!$B:$AC,5,0)</f>
        <v>HW60AL100P10002 CN</v>
      </c>
      <c r="E286" s="14" t="str">
        <f>VLOOKUP($A286,PLAN!$B:$AC,2,0)</f>
        <v>1001936156</v>
      </c>
      <c r="F286" s="15">
        <f>VLOOKUP($A286,PLAN!$B:$AC,7,0)</f>
        <v>46255</v>
      </c>
      <c r="G286" s="16" t="str">
        <f>VLOOKUP($A286,PLAN!$B:$AC,8,0)</f>
        <v>0103591606</v>
      </c>
      <c r="H286" s="16" t="str">
        <f>VLOOKUP($A286,PLAN!$B:$AC,9,0)</f>
        <v>260803C02A</v>
      </c>
      <c r="I286" s="16">
        <f>VLOOKUP($A286,PLAN!$B:$AC,10,0)</f>
        <v>40</v>
      </c>
      <c r="J286" s="17">
        <f>VLOOKUP($A286,PLAN!$B:$AC,21,0)</f>
        <v>46241</v>
      </c>
      <c r="K286" s="145" t="str">
        <f>VLOOKUP($A286,PLAN!$B:$AC,22,0)</f>
        <v>M9</v>
      </c>
      <c r="L286" s="1"/>
      <c r="M286" s="1"/>
      <c r="N286" s="1"/>
      <c r="O286" s="221" t="s">
        <v>79</v>
      </c>
      <c r="P286" s="220"/>
      <c r="Q286" s="18">
        <f>VLOOKUP(A286,PLAN!B:R,17,0)</f>
        <v>46240</v>
      </c>
    </row>
    <row r="287" spans="1:17" ht="19.8" hidden="1" customHeight="1">
      <c r="A287" s="329" t="s">
        <v>3050</v>
      </c>
      <c r="B287" s="14">
        <f>VLOOKUP($A287,PLAN!$B:$AC,3,0)</f>
        <v>11134117</v>
      </c>
      <c r="C287" s="14" t="str">
        <f>VLOOKUP($A287,PLAN!$B:$AC,4,0)</f>
        <v>1811827-J-A</v>
      </c>
      <c r="D287" s="14" t="str">
        <f>VLOOKUP($A287,PLAN!$B:$AC,5,0)</f>
        <v>HW60JL350P10000 CN</v>
      </c>
      <c r="E287" s="14" t="str">
        <f>VLOOKUP($A287,PLAN!$B:$AC,2,0)</f>
        <v>1001936157</v>
      </c>
      <c r="F287" s="15">
        <f>VLOOKUP($A287,PLAN!$B:$AC,7,0)</f>
        <v>46255</v>
      </c>
      <c r="G287" s="16" t="str">
        <f>VLOOKUP($A287,PLAN!$B:$AC,8,0)</f>
        <v>0103591607</v>
      </c>
      <c r="H287" s="16" t="str">
        <f>VLOOKUP($A287,PLAN!$B:$AC,9,0)</f>
        <v>260803C03A</v>
      </c>
      <c r="I287" s="16">
        <f>VLOOKUP($A287,PLAN!$B:$AC,10,0)</f>
        <v>400</v>
      </c>
      <c r="J287" s="17">
        <f>VLOOKUP($A287,PLAN!$B:$AC,21,0)</f>
        <v>46241</v>
      </c>
      <c r="K287" s="145" t="str">
        <f>VLOOKUP($A287,PLAN!$B:$AC,22,0)</f>
        <v>M9</v>
      </c>
      <c r="L287" s="1"/>
      <c r="M287" s="1"/>
      <c r="N287" s="1"/>
      <c r="O287" s="221" t="s">
        <v>79</v>
      </c>
      <c r="P287" s="220"/>
      <c r="Q287" s="18">
        <f>VLOOKUP(A287,PLAN!B:R,17,0)</f>
        <v>46240</v>
      </c>
    </row>
    <row r="288" spans="1:17" ht="19.8" hidden="1" customHeight="1">
      <c r="A288" s="329" t="s">
        <v>3051</v>
      </c>
      <c r="B288" s="14">
        <f>VLOOKUP($A288,PLAN!$B:$AC,3,0)</f>
        <v>11134125</v>
      </c>
      <c r="C288" s="14" t="str">
        <f>VLOOKUP($A288,PLAN!$B:$AC,4,0)</f>
        <v>1811851-J-A</v>
      </c>
      <c r="D288" s="14" t="str">
        <f>VLOOKUP($A288,PLAN!$B:$AC,5,0)</f>
        <v>HW60JR400P10000 CN</v>
      </c>
      <c r="E288" s="14" t="str">
        <f>VLOOKUP($A288,PLAN!$B:$AC,2,0)</f>
        <v>1001936159</v>
      </c>
      <c r="F288" s="15">
        <f>VLOOKUP($A288,PLAN!$B:$AC,7,0)</f>
        <v>46255</v>
      </c>
      <c r="G288" s="16" t="str">
        <f>VLOOKUP($A288,PLAN!$B:$AC,8,0)</f>
        <v>0103591608</v>
      </c>
      <c r="H288" s="16" t="str">
        <f>VLOOKUP($A288,PLAN!$B:$AC,9,0)</f>
        <v>260803C04A</v>
      </c>
      <c r="I288" s="16">
        <f>VLOOKUP($A288,PLAN!$B:$AC,10,0)</f>
        <v>160</v>
      </c>
      <c r="J288" s="17">
        <f>VLOOKUP($A288,PLAN!$B:$AC,21,0)</f>
        <v>46241</v>
      </c>
      <c r="K288" s="145" t="str">
        <f>VLOOKUP($A288,PLAN!$B:$AC,22,0)</f>
        <v>M9</v>
      </c>
      <c r="L288" s="1"/>
      <c r="M288" s="1"/>
      <c r="N288" s="1"/>
      <c r="O288" s="221" t="s">
        <v>79</v>
      </c>
      <c r="P288" s="220"/>
      <c r="Q288" s="18">
        <f>VLOOKUP(A288,PLAN!B:R,17,0)</f>
        <v>46240</v>
      </c>
    </row>
    <row r="289" spans="1:17" ht="19.8" hidden="1" customHeight="1">
      <c r="A289" s="329" t="s">
        <v>3052</v>
      </c>
      <c r="B289" s="14">
        <f>VLOOKUP($A289,PLAN!$B:$AC,3,0)</f>
        <v>11134148</v>
      </c>
      <c r="C289" s="14" t="str">
        <f>VLOOKUP($A289,PLAN!$B:$AC,4,0)</f>
        <v>1811909-L-A</v>
      </c>
      <c r="D289" s="14" t="str">
        <f>VLOOKUP($A289,PLAN!$B:$AC,5,0)</f>
        <v>HW60SP350P10000 CN</v>
      </c>
      <c r="E289" s="14" t="str">
        <f>VLOOKUP($A289,PLAN!$B:$AC,2,0)</f>
        <v>1001936161</v>
      </c>
      <c r="F289" s="15">
        <f>VLOOKUP($A289,PLAN!$B:$AC,7,0)</f>
        <v>46255</v>
      </c>
      <c r="G289" s="16" t="str">
        <f>VLOOKUP($A289,PLAN!$B:$AC,8,0)</f>
        <v>0103591610</v>
      </c>
      <c r="H289" s="16" t="str">
        <f>VLOOKUP($A289,PLAN!$B:$AC,9,0)</f>
        <v>260803C05A</v>
      </c>
      <c r="I289" s="16">
        <f>VLOOKUP($A289,PLAN!$B:$AC,10,0)</f>
        <v>266</v>
      </c>
      <c r="J289" s="17">
        <f>VLOOKUP($A289,PLAN!$B:$AC,21,0)</f>
        <v>46241</v>
      </c>
      <c r="K289" s="145" t="str">
        <f>VLOOKUP($A289,PLAN!$B:$AC,22,0)</f>
        <v>M10</v>
      </c>
      <c r="L289" s="1"/>
      <c r="M289" s="1"/>
      <c r="N289" s="1"/>
      <c r="O289" s="221" t="s">
        <v>79</v>
      </c>
      <c r="P289" s="220"/>
      <c r="Q289" s="18">
        <f>VLOOKUP(A289,PLAN!B:R,17,0)</f>
        <v>46240</v>
      </c>
    </row>
    <row r="290" spans="1:17" ht="19.8" hidden="1" customHeight="1">
      <c r="A290" s="329" t="s">
        <v>3053</v>
      </c>
      <c r="B290" s="14">
        <f>VLOOKUP($A290,PLAN!$B:$AC,3,0)</f>
        <v>11134146</v>
      </c>
      <c r="C290" s="14" t="str">
        <f>VLOOKUP($A290,PLAN!$B:$AC,4,0)</f>
        <v>1811907-L-A</v>
      </c>
      <c r="D290" s="14" t="str">
        <f>VLOOKUP($A290,PLAN!$B:$AC,5,0)</f>
        <v>HW60SP300P10000 CN</v>
      </c>
      <c r="E290" s="14" t="str">
        <f>VLOOKUP($A290,PLAN!$B:$AC,2,0)</f>
        <v>1001936162</v>
      </c>
      <c r="F290" s="15">
        <f>VLOOKUP($A290,PLAN!$B:$AC,7,0)</f>
        <v>46255</v>
      </c>
      <c r="G290" s="16" t="str">
        <f>VLOOKUP($A290,PLAN!$B:$AC,8,0)</f>
        <v>0103591611</v>
      </c>
      <c r="H290" s="16" t="str">
        <f>VLOOKUP($A290,PLAN!$B:$AC,9,0)</f>
        <v>260803C06A</v>
      </c>
      <c r="I290" s="16">
        <f>VLOOKUP($A290,PLAN!$B:$AC,10,0)</f>
        <v>460</v>
      </c>
      <c r="J290" s="17">
        <f>VLOOKUP($A290,PLAN!$B:$AC,21,0)</f>
        <v>46241</v>
      </c>
      <c r="K290" s="145" t="str">
        <f>VLOOKUP($A290,PLAN!$B:$AC,22,0)</f>
        <v>M10</v>
      </c>
      <c r="L290" s="1"/>
      <c r="M290" s="1"/>
      <c r="N290" s="1"/>
      <c r="O290" s="221" t="s">
        <v>79</v>
      </c>
      <c r="P290" s="220"/>
      <c r="Q290" s="18">
        <f>VLOOKUP(A290,PLAN!B:R,17,0)</f>
        <v>46240</v>
      </c>
    </row>
    <row r="291" spans="1:17" ht="18" hidden="1" customHeight="1">
      <c r="A291" s="329" t="s">
        <v>3117</v>
      </c>
      <c r="B291" s="14">
        <f>VLOOKUP($A291,PLAN!$B:$AC,3,0)</f>
        <v>11134249</v>
      </c>
      <c r="C291" s="14" t="str">
        <f>VLOOKUP($A291,PLAN!$B:$AC,4,0)</f>
        <v>2041190-D-A</v>
      </c>
      <c r="D291" s="14" t="str">
        <f>VLOOKUP($A291,PLAN!$B:$AC,5,0)</f>
        <v>CSR150-26P CN</v>
      </c>
      <c r="E291" s="14" t="str">
        <f>VLOOKUP($A291,PLAN!$B:$AC,2,0)</f>
        <v>1001936553</v>
      </c>
      <c r="F291" s="15">
        <f>VLOOKUP($A291,PLAN!$B:$AC,7,0)</f>
        <v>46258</v>
      </c>
      <c r="G291" s="16" t="str">
        <f>VLOOKUP($A291,PLAN!$B:$AC,8,0)</f>
        <v>0103592377</v>
      </c>
      <c r="H291" s="16" t="str">
        <f>VLOOKUP($A291,PLAN!$B:$AC,9,0)</f>
        <v>260803K01A</v>
      </c>
      <c r="I291" s="16">
        <f>VLOOKUP($A291,PLAN!$B:$AC,10,0)</f>
        <v>231</v>
      </c>
      <c r="J291" s="17">
        <f>VLOOKUP($A291,PLAN!$B:$AC,21,0)</f>
        <v>46242</v>
      </c>
      <c r="K291" s="145" t="str">
        <f>VLOOKUP($A291,PLAN!$B:$AC,22,0)</f>
        <v>M8</v>
      </c>
      <c r="L291" s="1"/>
      <c r="M291" s="1"/>
      <c r="N291" s="1"/>
      <c r="O291" s="221" t="s">
        <v>79</v>
      </c>
      <c r="P291" s="220"/>
      <c r="Q291" s="18">
        <f>VLOOKUP(A291,PLAN!B:R,17,0)</f>
        <v>46241</v>
      </c>
    </row>
    <row r="292" spans="1:17" ht="18" hidden="1" customHeight="1">
      <c r="A292" s="329" t="s">
        <v>3119</v>
      </c>
      <c r="B292" s="14">
        <f>VLOOKUP($A292,PLAN!$B:$AC,3,0)</f>
        <v>11134248</v>
      </c>
      <c r="C292" s="14" t="str">
        <f>VLOOKUP($A292,PLAN!$B:$AC,4,0)</f>
        <v>2041189-D-A</v>
      </c>
      <c r="D292" s="14" t="str">
        <f>VLOOKUP($A292,PLAN!$B:$AC,5,0)</f>
        <v>CSR135-26P CN</v>
      </c>
      <c r="E292" s="14" t="str">
        <f>VLOOKUP($A292,PLAN!$B:$AC,2,0)</f>
        <v>1001936554</v>
      </c>
      <c r="F292" s="15">
        <f>VLOOKUP($A292,PLAN!$B:$AC,7,0)</f>
        <v>46258</v>
      </c>
      <c r="G292" s="16" t="str">
        <f>VLOOKUP($A292,PLAN!$B:$AC,8,0)</f>
        <v>0103592378</v>
      </c>
      <c r="H292" s="16" t="str">
        <f>VLOOKUP($A292,PLAN!$B:$AC,9,0)</f>
        <v>260803K02A</v>
      </c>
      <c r="I292" s="16">
        <f>VLOOKUP($A292,PLAN!$B:$AC,10,0)</f>
        <v>2158</v>
      </c>
      <c r="J292" s="17">
        <f>VLOOKUP($A292,PLAN!$B:$AC,21,0)</f>
        <v>46242</v>
      </c>
      <c r="K292" s="145" t="str">
        <f>VLOOKUP($A292,PLAN!$B:$AC,22,0)</f>
        <v>M8</v>
      </c>
      <c r="L292" s="1"/>
      <c r="M292" s="1"/>
      <c r="N292" s="1"/>
      <c r="O292" s="221" t="s">
        <v>79</v>
      </c>
      <c r="P292" s="220"/>
      <c r="Q292" s="18">
        <f>VLOOKUP(A292,PLAN!B:R,17,0)</f>
        <v>46241</v>
      </c>
    </row>
    <row r="293" spans="1:17" ht="18" hidden="1" customHeight="1">
      <c r="A293" s="329" t="s">
        <v>3120</v>
      </c>
      <c r="B293" s="14">
        <f>VLOOKUP($A293,PLAN!$B:$AC,3,0)</f>
        <v>11134120</v>
      </c>
      <c r="C293" s="14" t="str">
        <f>VLOOKUP($A293,PLAN!$B:$AC,4,0)</f>
        <v>1811831-J-A</v>
      </c>
      <c r="D293" s="14" t="str">
        <f>VLOOKUP($A293,PLAN!$B:$AC,5,0)</f>
        <v>HW60JL400P10000 CN</v>
      </c>
      <c r="E293" s="14" t="str">
        <f>VLOOKUP($A293,PLAN!$B:$AC,2,0)</f>
        <v>1001936547</v>
      </c>
      <c r="F293" s="15">
        <f>VLOOKUP($A293,PLAN!$B:$AC,7,0)</f>
        <v>46258</v>
      </c>
      <c r="G293" s="16" t="str">
        <f>VLOOKUP($A293,PLAN!$B:$AC,8,0)</f>
        <v>0103592371</v>
      </c>
      <c r="H293" s="16" t="str">
        <f>VLOOKUP($A293,PLAN!$B:$AC,9,0)</f>
        <v>260803C07A</v>
      </c>
      <c r="I293" s="16">
        <f>VLOOKUP($A293,PLAN!$B:$AC,10,0)</f>
        <v>55</v>
      </c>
      <c r="J293" s="17">
        <f>VLOOKUP($A293,PLAN!$B:$AC,21,0)</f>
        <v>46242</v>
      </c>
      <c r="K293" s="145" t="str">
        <f>VLOOKUP($A293,PLAN!$B:$AC,22,0)</f>
        <v>M9</v>
      </c>
      <c r="L293" s="1"/>
      <c r="M293" s="1"/>
      <c r="N293" s="1"/>
      <c r="O293" s="221" t="s">
        <v>79</v>
      </c>
      <c r="P293" s="220"/>
      <c r="Q293" s="18">
        <f>VLOOKUP(A293,PLAN!B:R,17,0)</f>
        <v>46241</v>
      </c>
    </row>
    <row r="294" spans="1:17" ht="18" hidden="1" customHeight="1">
      <c r="A294" s="329" t="s">
        <v>3121</v>
      </c>
      <c r="B294" s="14">
        <f>VLOOKUP($A294,PLAN!$B:$AC,3,0)</f>
        <v>11134123</v>
      </c>
      <c r="C294" s="14" t="str">
        <f>VLOOKUP($A294,PLAN!$B:$AC,4,0)</f>
        <v>1811849-J-A</v>
      </c>
      <c r="D294" s="14" t="str">
        <f>VLOOKUP($A294,PLAN!$B:$AC,5,0)</f>
        <v>HW60JR350P10000 CN</v>
      </c>
      <c r="E294" s="14" t="str">
        <f>VLOOKUP($A294,PLAN!$B:$AC,2,0)</f>
        <v>1001936548</v>
      </c>
      <c r="F294" s="15">
        <f>VLOOKUP($A294,PLAN!$B:$AC,7,0)</f>
        <v>46258</v>
      </c>
      <c r="G294" s="16" t="str">
        <f>VLOOKUP($A294,PLAN!$B:$AC,8,0)</f>
        <v>0103592372</v>
      </c>
      <c r="H294" s="16" t="str">
        <f>VLOOKUP($A294,PLAN!$B:$AC,9,0)</f>
        <v>260803C08A</v>
      </c>
      <c r="I294" s="16">
        <f>VLOOKUP($A294,PLAN!$B:$AC,10,0)</f>
        <v>480</v>
      </c>
      <c r="J294" s="17">
        <f>VLOOKUP($A294,PLAN!$B:$AC,21,0)</f>
        <v>46242</v>
      </c>
      <c r="K294" s="145" t="str">
        <f>VLOOKUP($A294,PLAN!$B:$AC,22,0)</f>
        <v>M9</v>
      </c>
      <c r="L294" s="1"/>
      <c r="M294" s="1"/>
      <c r="N294" s="1"/>
      <c r="O294" s="221" t="s">
        <v>79</v>
      </c>
      <c r="P294" s="220"/>
      <c r="Q294" s="18">
        <f>VLOOKUP(A294,PLAN!B:R,17,0)</f>
        <v>46241</v>
      </c>
    </row>
    <row r="295" spans="1:17" ht="18" hidden="1" customHeight="1">
      <c r="A295" s="329" t="s">
        <v>3122</v>
      </c>
      <c r="B295" s="14">
        <f>VLOOKUP($A295,PLAN!$B:$AC,3,0)</f>
        <v>11134125</v>
      </c>
      <c r="C295" s="14" t="str">
        <f>VLOOKUP($A295,PLAN!$B:$AC,4,0)</f>
        <v>1811851-J-A</v>
      </c>
      <c r="D295" s="14" t="str">
        <f>VLOOKUP($A295,PLAN!$B:$AC,5,0)</f>
        <v>HW60JR400P10000 CN</v>
      </c>
      <c r="E295" s="14" t="str">
        <f>VLOOKUP($A295,PLAN!$B:$AC,2,0)</f>
        <v>1001936549</v>
      </c>
      <c r="F295" s="15">
        <f>VLOOKUP($A295,PLAN!$B:$AC,7,0)</f>
        <v>46258</v>
      </c>
      <c r="G295" s="16" t="str">
        <f>VLOOKUP($A295,PLAN!$B:$AC,8,0)</f>
        <v>0103592373</v>
      </c>
      <c r="H295" s="16" t="str">
        <f>VLOOKUP($A295,PLAN!$B:$AC,9,0)</f>
        <v>260803C09A</v>
      </c>
      <c r="I295" s="16">
        <f>VLOOKUP($A295,PLAN!$B:$AC,10,0)</f>
        <v>649</v>
      </c>
      <c r="J295" s="17">
        <f>VLOOKUP($A295,PLAN!$B:$AC,21,0)</f>
        <v>46242</v>
      </c>
      <c r="K295" s="145" t="str">
        <f>VLOOKUP($A295,PLAN!$B:$AC,22,0)</f>
        <v>M9</v>
      </c>
      <c r="L295" s="1"/>
      <c r="M295" s="1"/>
      <c r="N295" s="1"/>
      <c r="O295" s="221" t="s">
        <v>79</v>
      </c>
      <c r="P295" s="220"/>
      <c r="Q295" s="18">
        <f>VLOOKUP(A295,PLAN!B:R,17,0)</f>
        <v>46241</v>
      </c>
    </row>
    <row r="296" spans="1:17" ht="18" hidden="1" customHeight="1">
      <c r="A296" s="329" t="s">
        <v>3123</v>
      </c>
      <c r="B296" s="14">
        <f>VLOOKUP($A296,PLAN!$B:$AC,3,0)</f>
        <v>11134180</v>
      </c>
      <c r="C296" s="14" t="str">
        <f>VLOOKUP($A296,PLAN!$B:$AC,4,0)</f>
        <v>1861006-G-A</v>
      </c>
      <c r="D296" s="14" t="str">
        <f>VLOOKUP($A296,PLAN!$B:$AC,5,0)</f>
        <v>HW70AL100P10002 CN</v>
      </c>
      <c r="E296" s="14" t="str">
        <f>VLOOKUP($A296,PLAN!$B:$AC,2,0)</f>
        <v>1001936550</v>
      </c>
      <c r="F296" s="15">
        <f>VLOOKUP($A296,PLAN!$B:$AC,7,0)</f>
        <v>46258</v>
      </c>
      <c r="G296" s="16" t="str">
        <f>VLOOKUP($A296,PLAN!$B:$AC,8,0)</f>
        <v>0103592374</v>
      </c>
      <c r="H296" s="16" t="str">
        <f>VLOOKUP($A296,PLAN!$B:$AC,9,0)</f>
        <v>260803C10A</v>
      </c>
      <c r="I296" s="16">
        <f>VLOOKUP($A296,PLAN!$B:$AC,10,0)</f>
        <v>40</v>
      </c>
      <c r="J296" s="17">
        <f>VLOOKUP($A296,PLAN!$B:$AC,21,0)</f>
        <v>46242</v>
      </c>
      <c r="K296" s="145" t="str">
        <f>VLOOKUP($A296,PLAN!$B:$AC,22,0)</f>
        <v>M9</v>
      </c>
      <c r="L296" s="1"/>
      <c r="M296" s="1"/>
      <c r="N296" s="1"/>
      <c r="O296" s="221" t="s">
        <v>79</v>
      </c>
      <c r="P296" s="220"/>
      <c r="Q296" s="18">
        <f>VLOOKUP(A296,PLAN!B:R,17,0)</f>
        <v>46241</v>
      </c>
    </row>
    <row r="297" spans="1:17" ht="18" hidden="1" customHeight="1">
      <c r="A297" s="329" t="s">
        <v>3118</v>
      </c>
      <c r="B297" s="14">
        <f>VLOOKUP($A297,PLAN!$B:$AC,3,0)</f>
        <v>11134562</v>
      </c>
      <c r="C297" s="14" t="str">
        <f>VLOOKUP($A297,PLAN!$B:$AC,4,0)</f>
        <v>2041303-C-A</v>
      </c>
      <c r="D297" s="14" t="str">
        <f>VLOOKUP($A297,PLAN!$B:$AC,5,0)</f>
        <v>MST125-27HFR CN</v>
      </c>
      <c r="E297" s="14" t="str">
        <f>VLOOKUP($A297,PLAN!$B:$AC,2,0)</f>
        <v>1001936555</v>
      </c>
      <c r="F297" s="15">
        <f>VLOOKUP($A297,PLAN!$B:$AC,7,0)</f>
        <v>46261</v>
      </c>
      <c r="G297" s="16" t="str">
        <f>VLOOKUP($A297,PLAN!$B:$AC,8,0)</f>
        <v>0103592379</v>
      </c>
      <c r="H297" s="16" t="str">
        <f>VLOOKUP($A297,PLAN!$B:$AC,9,0)</f>
        <v>260803K03A</v>
      </c>
      <c r="I297" s="16">
        <f>VLOOKUP($A297,PLAN!$B:$AC,10,0)</f>
        <v>2392</v>
      </c>
      <c r="J297" s="17">
        <f>VLOOKUP($A297,PLAN!$B:$AC,21,0)</f>
        <v>46247</v>
      </c>
      <c r="K297" s="145" t="str">
        <f>VLOOKUP($A297,PLAN!$B:$AC,22,0)</f>
        <v>M8</v>
      </c>
      <c r="L297" s="1"/>
      <c r="M297" s="1"/>
      <c r="N297" s="1"/>
      <c r="O297" s="221" t="s">
        <v>79</v>
      </c>
      <c r="P297" s="220"/>
      <c r="Q297" s="18">
        <f>VLOOKUP(A297,PLAN!B:R,17,0)</f>
        <v>46242</v>
      </c>
    </row>
    <row r="298" spans="1:17" ht="18" hidden="1" customHeight="1">
      <c r="A298" s="329" t="s">
        <v>3124</v>
      </c>
      <c r="B298" s="14">
        <f>VLOOKUP($A298,PLAN!$B:$AC,3,0)</f>
        <v>11134148</v>
      </c>
      <c r="C298" s="14" t="str">
        <f>VLOOKUP($A298,PLAN!$B:$AC,4,0)</f>
        <v>1811909-L-A</v>
      </c>
      <c r="D298" s="14" t="str">
        <f>VLOOKUP($A298,PLAN!$B:$AC,5,0)</f>
        <v>HW60SP350P10000 CN</v>
      </c>
      <c r="E298" s="14" t="str">
        <f>VLOOKUP($A298,PLAN!$B:$AC,2,0)</f>
        <v>1001936551</v>
      </c>
      <c r="F298" s="15">
        <f>VLOOKUP($A298,PLAN!$B:$AC,7,0)</f>
        <v>46258</v>
      </c>
      <c r="G298" s="16" t="str">
        <f>VLOOKUP($A298,PLAN!$B:$AC,8,0)</f>
        <v>0103592375</v>
      </c>
      <c r="H298" s="16" t="str">
        <f>VLOOKUP($A298,PLAN!$B:$AC,9,0)</f>
        <v>260803C11A</v>
      </c>
      <c r="I298" s="16">
        <f>VLOOKUP($A298,PLAN!$B:$AC,10,0)</f>
        <v>12</v>
      </c>
      <c r="J298" s="17">
        <f>VLOOKUP($A298,PLAN!$B:$AC,21,0)</f>
        <v>46247</v>
      </c>
      <c r="K298" s="145" t="str">
        <f>VLOOKUP($A298,PLAN!$B:$AC,22,0)</f>
        <v>M9</v>
      </c>
      <c r="L298" s="1"/>
      <c r="M298" s="1"/>
      <c r="N298" s="1"/>
      <c r="O298" s="221" t="s">
        <v>79</v>
      </c>
      <c r="P298" s="220"/>
      <c r="Q298" s="18">
        <f>VLOOKUP(A298,PLAN!B:R,17,0)</f>
        <v>46242</v>
      </c>
    </row>
    <row r="299" spans="1:17" ht="18" hidden="1" customHeight="1">
      <c r="A299" s="329" t="s">
        <v>3125</v>
      </c>
      <c r="B299" s="14">
        <f>VLOOKUP($A299,PLAN!$B:$AC,3,0)</f>
        <v>11134146</v>
      </c>
      <c r="C299" s="14" t="str">
        <f>VLOOKUP($A299,PLAN!$B:$AC,4,0)</f>
        <v>1811907-L-A</v>
      </c>
      <c r="D299" s="14" t="str">
        <f>VLOOKUP($A299,PLAN!$B:$AC,5,0)</f>
        <v>HW60SP300P10000 CN</v>
      </c>
      <c r="E299" s="14" t="str">
        <f>VLOOKUP($A299,PLAN!$B:$AC,2,0)</f>
        <v>1001936552</v>
      </c>
      <c r="F299" s="15">
        <f>VLOOKUP($A299,PLAN!$B:$AC,7,0)</f>
        <v>46258</v>
      </c>
      <c r="G299" s="16" t="str">
        <f>VLOOKUP($A299,PLAN!$B:$AC,8,0)</f>
        <v>0103592376</v>
      </c>
      <c r="H299" s="16" t="str">
        <f>VLOOKUP($A299,PLAN!$B:$AC,9,0)</f>
        <v>260803C12A</v>
      </c>
      <c r="I299" s="16">
        <f>VLOOKUP($A299,PLAN!$B:$AC,10,0)</f>
        <v>474</v>
      </c>
      <c r="J299" s="17">
        <f>VLOOKUP($A299,PLAN!$B:$AC,21,0)</f>
        <v>46247</v>
      </c>
      <c r="K299" s="145" t="str">
        <f>VLOOKUP($A299,PLAN!$B:$AC,22,0)</f>
        <v>M9</v>
      </c>
      <c r="L299" s="1"/>
      <c r="M299" s="1"/>
      <c r="N299" s="1"/>
      <c r="O299" s="221" t="s">
        <v>79</v>
      </c>
      <c r="P299" s="220"/>
      <c r="Q299" s="18">
        <f>VLOOKUP(A299,PLAN!B:R,17,0)</f>
        <v>46242</v>
      </c>
    </row>
    <row r="300" spans="1:17" ht="18" hidden="1" customHeight="1">
      <c r="A300" s="329" t="s">
        <v>3207</v>
      </c>
      <c r="B300" s="14">
        <f>VLOOKUP($A300,PLAN!$B:$AC,3,0)</f>
        <v>11134252</v>
      </c>
      <c r="C300" s="14" t="str">
        <f>VLOOKUP($A300,PLAN!$B:$AC,4,0)</f>
        <v>1911069-F-A</v>
      </c>
      <c r="D300" s="14" t="str">
        <f>VLOOKUP($A300,PLAN!$B:$AC,5,0)</f>
        <v>HJ60PB350P10000 JP</v>
      </c>
      <c r="E300" s="14" t="str">
        <f>VLOOKUP($A300,PLAN!$B:$AC,2,0)</f>
        <v>1001938824</v>
      </c>
      <c r="F300" s="15">
        <f>VLOOKUP($A300,PLAN!$B:$AC,7,0)</f>
        <v>46255</v>
      </c>
      <c r="G300" s="16" t="str">
        <f>VLOOKUP($A300,PLAN!$B:$AC,8,0)</f>
        <v>0103596318</v>
      </c>
      <c r="H300" s="16" t="str">
        <f>VLOOKUP($A300,PLAN!$B:$AC,9,0)</f>
        <v>260805C01A</v>
      </c>
      <c r="I300" s="16">
        <f>VLOOKUP($A300,PLAN!$B:$AC,10,0)</f>
        <v>156</v>
      </c>
      <c r="J300" s="17">
        <f>VLOOKUP($A300,PLAN!$B:$AC,21,0)</f>
        <v>46247</v>
      </c>
      <c r="K300" s="145" t="str">
        <f>VLOOKUP($A300,PLAN!$B:$AC,22,0)</f>
        <v>M10</v>
      </c>
      <c r="L300" s="1"/>
      <c r="M300" s="1"/>
      <c r="N300" s="1"/>
      <c r="O300" s="221" t="s">
        <v>79</v>
      </c>
      <c r="P300" s="220"/>
      <c r="Q300" s="18">
        <f>VLOOKUP(A300,PLAN!B:R,17,0)</f>
        <v>46242</v>
      </c>
    </row>
    <row r="301" spans="1:17" ht="18" hidden="1" customHeight="1">
      <c r="A301" s="329" t="s">
        <v>3208</v>
      </c>
      <c r="B301" s="14">
        <f>VLOOKUP($A301,PLAN!$B:$AC,3,0)</f>
        <v>11134256</v>
      </c>
      <c r="C301" s="14" t="str">
        <f>VLOOKUP($A301,PLAN!$B:$AC,4,0)</f>
        <v>1911093-F-A</v>
      </c>
      <c r="D301" s="14" t="str">
        <f>VLOOKUP($A301,PLAN!$B:$AC,5,0)</f>
        <v>HJ60SP300P10000 JP</v>
      </c>
      <c r="E301" s="14" t="str">
        <f>VLOOKUP($A301,PLAN!$B:$AC,2,0)</f>
        <v>1001938825</v>
      </c>
      <c r="F301" s="15">
        <f>VLOOKUP($A301,PLAN!$B:$AC,7,0)</f>
        <v>46255</v>
      </c>
      <c r="G301" s="16" t="str">
        <f>VLOOKUP($A301,PLAN!$B:$AC,8,0)</f>
        <v>0103596319</v>
      </c>
      <c r="H301" s="16" t="str">
        <f>VLOOKUP($A301,PLAN!$B:$AC,9,0)</f>
        <v>260805C02A</v>
      </c>
      <c r="I301" s="16">
        <f>VLOOKUP($A301,PLAN!$B:$AC,10,0)</f>
        <v>131</v>
      </c>
      <c r="J301" s="17">
        <f>VLOOKUP($A301,PLAN!$B:$AC,21,0)</f>
        <v>46247</v>
      </c>
      <c r="K301" s="145" t="str">
        <f>VLOOKUP($A301,PLAN!$B:$AC,22,0)</f>
        <v>M10</v>
      </c>
      <c r="L301" s="1"/>
      <c r="M301" s="1"/>
      <c r="N301" s="1"/>
      <c r="O301" s="221" t="s">
        <v>79</v>
      </c>
      <c r="P301" s="220"/>
      <c r="Q301" s="18">
        <f>VLOOKUP(A301,PLAN!B:R,17,0)</f>
        <v>46242</v>
      </c>
    </row>
    <row r="302" spans="1:17" ht="18" hidden="1" customHeight="1">
      <c r="A302" s="329" t="s">
        <v>3209</v>
      </c>
      <c r="B302" s="14">
        <f>VLOOKUP($A302,PLAN!$B:$AC,3,0)</f>
        <v>11134261</v>
      </c>
      <c r="C302" s="14" t="str">
        <f>VLOOKUP($A302,PLAN!$B:$AC,4,0)</f>
        <v>1911098-F-A</v>
      </c>
      <c r="D302" s="14" t="str">
        <f>VLOOKUP($A302,PLAN!$B:$AC,5,0)</f>
        <v>HJ60SP352P10020 JP</v>
      </c>
      <c r="E302" s="14" t="str">
        <f>VLOOKUP($A302,PLAN!$B:$AC,2,0)</f>
        <v>1001938826</v>
      </c>
      <c r="F302" s="15">
        <f>VLOOKUP($A302,PLAN!$B:$AC,7,0)</f>
        <v>46255</v>
      </c>
      <c r="G302" s="16" t="str">
        <f>VLOOKUP($A302,PLAN!$B:$AC,8,0)</f>
        <v>0103596320</v>
      </c>
      <c r="H302" s="16" t="str">
        <f>VLOOKUP($A302,PLAN!$B:$AC,9,0)</f>
        <v>260805C03A</v>
      </c>
      <c r="I302" s="16">
        <f>VLOOKUP($A302,PLAN!$B:$AC,10,0)</f>
        <v>220</v>
      </c>
      <c r="J302" s="17">
        <f>VLOOKUP($A302,PLAN!$B:$AC,21,0)</f>
        <v>46247</v>
      </c>
      <c r="K302" s="145" t="str">
        <f>VLOOKUP($A302,PLAN!$B:$AC,22,0)</f>
        <v>M10</v>
      </c>
      <c r="L302" s="1"/>
      <c r="M302" s="1"/>
      <c r="N302" s="1"/>
      <c r="O302" s="221" t="s">
        <v>79</v>
      </c>
      <c r="P302" s="220"/>
      <c r="Q302" s="18">
        <f>VLOOKUP(A302,PLAN!B:R,17,0)</f>
        <v>46242</v>
      </c>
    </row>
    <row r="303" spans="1:17" ht="18" hidden="1" customHeight="1">
      <c r="A303" s="329" t="s">
        <v>3210</v>
      </c>
      <c r="B303" s="14">
        <f>VLOOKUP($A303,PLAN!$B:$AC,3,0)</f>
        <v>11134260</v>
      </c>
      <c r="C303" s="14" t="str">
        <f>VLOOKUP($A303,PLAN!$B:$AC,4,0)</f>
        <v>1911097-F-A</v>
      </c>
      <c r="D303" s="14" t="str">
        <f>VLOOKUP($A303,PLAN!$B:$AC,5,0)</f>
        <v>HJ60SP350P10000 JP</v>
      </c>
      <c r="E303" s="14" t="str">
        <f>VLOOKUP($A303,PLAN!$B:$AC,2,0)</f>
        <v>1001938827</v>
      </c>
      <c r="F303" s="15">
        <f>VLOOKUP($A303,PLAN!$B:$AC,7,0)</f>
        <v>46255</v>
      </c>
      <c r="G303" s="16" t="str">
        <f>VLOOKUP($A303,PLAN!$B:$AC,8,0)</f>
        <v>0103596321</v>
      </c>
      <c r="H303" s="16" t="str">
        <f>VLOOKUP($A303,PLAN!$B:$AC,9,0)</f>
        <v>260805C04A</v>
      </c>
      <c r="I303" s="16">
        <f>VLOOKUP($A303,PLAN!$B:$AC,10,0)</f>
        <v>213</v>
      </c>
      <c r="J303" s="17">
        <f>VLOOKUP($A303,PLAN!$B:$AC,21,0)</f>
        <v>46247</v>
      </c>
      <c r="K303" s="145" t="str">
        <f>VLOOKUP($A303,PLAN!$B:$AC,22,0)</f>
        <v>M10</v>
      </c>
      <c r="L303" s="1"/>
      <c r="M303" s="1"/>
      <c r="N303" s="1"/>
      <c r="O303" s="221" t="s">
        <v>79</v>
      </c>
      <c r="P303" s="220"/>
      <c r="Q303" s="18">
        <f>VLOOKUP(A303,PLAN!B:R,17,0)</f>
        <v>46242</v>
      </c>
    </row>
    <row r="304" spans="1:17" ht="18" hidden="1" customHeight="1">
      <c r="A304" s="329" t="s">
        <v>3332</v>
      </c>
      <c r="B304" s="14">
        <f>VLOOKUP($A304,PLAN!$B:$AC,3,0)</f>
        <v>11135418</v>
      </c>
      <c r="C304" s="14" t="str">
        <f>VLOOKUP($A304,PLAN!$B:$AC,4,0)</f>
        <v>2141056-D-A</v>
      </c>
      <c r="D304" s="14" t="str">
        <f>VLOOKUP($A304,PLAN!$B:$AC,5,0)</f>
        <v>CRV135-19P KR</v>
      </c>
      <c r="E304" s="14" t="str">
        <f>VLOOKUP($A304,PLAN!$B:$AC,2,0)</f>
        <v>1001938867</v>
      </c>
      <c r="F304" s="15">
        <f>VLOOKUP($A304,PLAN!$B:$AC,7,0)</f>
        <v>46258</v>
      </c>
      <c r="G304" s="16" t="str">
        <f>VLOOKUP($A304,PLAN!$B:$AC,8,0)</f>
        <v>0103596400</v>
      </c>
      <c r="H304" s="16" t="str">
        <f>VLOOKUP($A304,PLAN!$B:$AC,9,0)</f>
        <v>260805K01A</v>
      </c>
      <c r="I304" s="16">
        <f>VLOOKUP($A304,PLAN!$B:$AC,10,0)</f>
        <v>131</v>
      </c>
      <c r="J304" s="17">
        <f>VLOOKUP($A304,PLAN!$B:$AC,21,0)</f>
        <v>46248</v>
      </c>
      <c r="K304" s="145" t="str">
        <f>VLOOKUP($A304,PLAN!$B:$AC,22,0)</f>
        <v>M8</v>
      </c>
      <c r="L304" s="1"/>
      <c r="M304" s="1"/>
      <c r="N304" s="1"/>
      <c r="O304" s="221" t="s">
        <v>79</v>
      </c>
      <c r="P304" s="220"/>
      <c r="Q304" s="18">
        <f>VLOOKUP(A304,PLAN!B:R,17,0)</f>
        <v>46247</v>
      </c>
    </row>
    <row r="305" spans="1:17" ht="18" hidden="1" customHeight="1">
      <c r="A305" s="329" t="s">
        <v>3333</v>
      </c>
      <c r="B305" s="14">
        <f>VLOOKUP($A305,PLAN!$B:$AC,3,0)</f>
        <v>11131256</v>
      </c>
      <c r="C305" s="14" t="str">
        <f>VLOOKUP($A305,PLAN!$B:$AC,4,0)</f>
        <v>1841033-E-A</v>
      </c>
      <c r="D305" s="14" t="str">
        <f>VLOOKUP($A305,PLAN!$B:$AC,5,0)</f>
        <v>CRV135-19M JP</v>
      </c>
      <c r="E305" s="14" t="str">
        <f>VLOOKUP($A305,PLAN!$B:$AC,2,0)</f>
        <v>1001938868</v>
      </c>
      <c r="F305" s="15">
        <f>VLOOKUP($A305,PLAN!$B:$AC,7,0)</f>
        <v>46258</v>
      </c>
      <c r="G305" s="16" t="str">
        <f>VLOOKUP($A305,PLAN!$B:$AC,8,0)</f>
        <v>0103596401</v>
      </c>
      <c r="H305" s="16" t="str">
        <f>VLOOKUP($A305,PLAN!$B:$AC,9,0)</f>
        <v>260805K02A</v>
      </c>
      <c r="I305" s="16">
        <f>VLOOKUP($A305,PLAN!$B:$AC,10,0)</f>
        <v>2200</v>
      </c>
      <c r="J305" s="17">
        <f>VLOOKUP($A305,PLAN!$B:$AC,21,0)</f>
        <v>46248</v>
      </c>
      <c r="K305" s="145" t="str">
        <f>VLOOKUP($A305,PLAN!$B:$AC,22,0)</f>
        <v>M8</v>
      </c>
      <c r="L305" s="1"/>
      <c r="M305" s="1"/>
      <c r="N305" s="1"/>
      <c r="O305" s="221" t="s">
        <v>79</v>
      </c>
      <c r="P305" s="220"/>
      <c r="Q305" s="18">
        <f>VLOOKUP(A305,PLAN!B:R,17,0)</f>
        <v>46247</v>
      </c>
    </row>
    <row r="306" spans="1:17" ht="18" hidden="1" customHeight="1">
      <c r="A306" s="329" t="s">
        <v>3334</v>
      </c>
      <c r="B306" s="14">
        <f>VLOOKUP($A306,PLAN!$B:$AC,3,0)</f>
        <v>11134288</v>
      </c>
      <c r="C306" s="14" t="str">
        <f>VLOOKUP($A306,PLAN!$B:$AC,4,0)</f>
        <v>1911231-F-A</v>
      </c>
      <c r="D306" s="14" t="str">
        <f>VLOOKUP($A306,PLAN!$B:$AC,5,0)</f>
        <v>HJ70SP402P10020 JP</v>
      </c>
      <c r="E306" s="14" t="str">
        <f>VLOOKUP($A306,PLAN!$B:$AC,2,0)</f>
        <v>1001938853</v>
      </c>
      <c r="F306" s="15">
        <f>VLOOKUP($A306,PLAN!$B:$AC,7,0)</f>
        <v>46258</v>
      </c>
      <c r="G306" s="16" t="str">
        <f>VLOOKUP($A306,PLAN!$B:$AC,8,0)</f>
        <v>0103596386</v>
      </c>
      <c r="H306" s="16" t="str">
        <f>VLOOKUP($A306,PLAN!$B:$AC,9,0)</f>
        <v>260805C05A</v>
      </c>
      <c r="I306" s="16">
        <f>VLOOKUP($A306,PLAN!$B:$AC,10,0)</f>
        <v>7</v>
      </c>
      <c r="J306" s="17">
        <f>VLOOKUP($A306,PLAN!$B:$AC,21,0)</f>
        <v>46248</v>
      </c>
      <c r="K306" s="145" t="str">
        <f>VLOOKUP($A306,PLAN!$B:$AC,22,0)</f>
        <v>M9</v>
      </c>
      <c r="L306" s="1"/>
      <c r="M306" s="1"/>
      <c r="N306" s="1"/>
      <c r="O306" s="221" t="s">
        <v>79</v>
      </c>
      <c r="P306" s="220"/>
      <c r="Q306" s="18">
        <f>VLOOKUP(A306,PLAN!B:R,17,0)</f>
        <v>46247</v>
      </c>
    </row>
    <row r="307" spans="1:17" ht="18" hidden="1" customHeight="1">
      <c r="A307" s="329" t="s">
        <v>3335</v>
      </c>
      <c r="B307" s="14">
        <f>VLOOKUP($A307,PLAN!$B:$AC,3,0)</f>
        <v>11134260</v>
      </c>
      <c r="C307" s="14" t="str">
        <f>VLOOKUP($A307,PLAN!$B:$AC,4,0)</f>
        <v>1911097-F-A</v>
      </c>
      <c r="D307" s="14" t="str">
        <f>VLOOKUP($A307,PLAN!$B:$AC,5,0)</f>
        <v>HJ60SP350P10000 JP</v>
      </c>
      <c r="E307" s="14" t="str">
        <f>VLOOKUP($A307,PLAN!$B:$AC,2,0)</f>
        <v>1001938854</v>
      </c>
      <c r="F307" s="15">
        <f>VLOOKUP($A307,PLAN!$B:$AC,7,0)</f>
        <v>46258</v>
      </c>
      <c r="G307" s="16" t="str">
        <f>VLOOKUP($A307,PLAN!$B:$AC,8,0)</f>
        <v>0103596387</v>
      </c>
      <c r="H307" s="16" t="str">
        <f>VLOOKUP($A307,PLAN!$B:$AC,9,0)</f>
        <v>260805C06A</v>
      </c>
      <c r="I307" s="16">
        <f>VLOOKUP($A307,PLAN!$B:$AC,10,0)</f>
        <v>36</v>
      </c>
      <c r="J307" s="17">
        <f>VLOOKUP($A307,PLAN!$B:$AC,21,0)</f>
        <v>46248</v>
      </c>
      <c r="K307" s="145" t="str">
        <f>VLOOKUP($A307,PLAN!$B:$AC,22,0)</f>
        <v>M9</v>
      </c>
      <c r="L307" s="1"/>
      <c r="M307" s="1"/>
      <c r="N307" s="1"/>
      <c r="O307" s="221" t="s">
        <v>79</v>
      </c>
      <c r="P307" s="220"/>
      <c r="Q307" s="18">
        <f>VLOOKUP(A307,PLAN!B:R,17,0)</f>
        <v>46247</v>
      </c>
    </row>
    <row r="308" spans="1:17" ht="18" hidden="1" customHeight="1">
      <c r="A308" s="329" t="s">
        <v>3336</v>
      </c>
      <c r="B308" s="14">
        <f>VLOOKUP($A308,PLAN!$B:$AC,3,0)</f>
        <v>11134285</v>
      </c>
      <c r="C308" s="14" t="str">
        <f>VLOOKUP($A308,PLAN!$B:$AC,4,0)</f>
        <v>1911228-F-A</v>
      </c>
      <c r="D308" s="14" t="str">
        <f>VLOOKUP($A308,PLAN!$B:$AC,5,0)</f>
        <v>HJ70SP372P10020 JP</v>
      </c>
      <c r="E308" s="14" t="str">
        <f>VLOOKUP($A308,PLAN!$B:$AC,2,0)</f>
        <v>1001938855</v>
      </c>
      <c r="F308" s="15">
        <f>VLOOKUP($A308,PLAN!$B:$AC,7,0)</f>
        <v>46258</v>
      </c>
      <c r="G308" s="16" t="str">
        <f>VLOOKUP($A308,PLAN!$B:$AC,8,0)</f>
        <v>0103596388</v>
      </c>
      <c r="H308" s="16" t="str">
        <f>VLOOKUP($A308,PLAN!$B:$AC,9,0)</f>
        <v>260805C07A</v>
      </c>
      <c r="I308" s="16">
        <f>VLOOKUP($A308,PLAN!$B:$AC,10,0)</f>
        <v>171</v>
      </c>
      <c r="J308" s="17">
        <f>VLOOKUP($A308,PLAN!$B:$AC,21,0)</f>
        <v>46248</v>
      </c>
      <c r="K308" s="145" t="str">
        <f>VLOOKUP($A308,PLAN!$B:$AC,22,0)</f>
        <v>M9</v>
      </c>
      <c r="L308" s="1"/>
      <c r="M308" s="1"/>
      <c r="N308" s="1"/>
      <c r="O308" s="221" t="s">
        <v>79</v>
      </c>
      <c r="P308" s="220"/>
      <c r="Q308" s="18">
        <f>VLOOKUP(A308,PLAN!B:R,17,0)</f>
        <v>46247</v>
      </c>
    </row>
    <row r="309" spans="1:17" ht="18" hidden="1" customHeight="1">
      <c r="A309" s="329" t="s">
        <v>3337</v>
      </c>
      <c r="B309" s="14">
        <f>VLOOKUP($A309,PLAN!$B:$AC,3,0)</f>
        <v>11134282</v>
      </c>
      <c r="C309" s="14" t="str">
        <f>VLOOKUP($A309,PLAN!$B:$AC,4,0)</f>
        <v>1911225-F-A</v>
      </c>
      <c r="D309" s="14" t="str">
        <f>VLOOKUP($A309,PLAN!$B:$AC,5,0)</f>
        <v>HJ70SP352P10020 JP</v>
      </c>
      <c r="E309" s="14" t="str">
        <f>VLOOKUP($A309,PLAN!$B:$AC,2,0)</f>
        <v>1001938856</v>
      </c>
      <c r="F309" s="15">
        <f>VLOOKUP($A309,PLAN!$B:$AC,7,0)</f>
        <v>46258</v>
      </c>
      <c r="G309" s="16" t="str">
        <f>VLOOKUP($A309,PLAN!$B:$AC,8,0)</f>
        <v>0103596389</v>
      </c>
      <c r="H309" s="16" t="str">
        <f>VLOOKUP($A309,PLAN!$B:$AC,9,0)</f>
        <v>260805C08A</v>
      </c>
      <c r="I309" s="16">
        <f>VLOOKUP($A309,PLAN!$B:$AC,10,0)</f>
        <v>506</v>
      </c>
      <c r="J309" s="17">
        <f>VLOOKUP($A309,PLAN!$B:$AC,21,0)</f>
        <v>46248</v>
      </c>
      <c r="K309" s="145" t="str">
        <f>VLOOKUP($A309,PLAN!$B:$AC,22,0)</f>
        <v>M9</v>
      </c>
      <c r="L309" s="1"/>
      <c r="M309" s="1"/>
      <c r="N309" s="1"/>
      <c r="O309" s="221" t="s">
        <v>79</v>
      </c>
      <c r="P309" s="220"/>
      <c r="Q309" s="18">
        <f>VLOOKUP(A309,PLAN!B:R,17,0)</f>
        <v>46247</v>
      </c>
    </row>
    <row r="310" spans="1:17" ht="18" hidden="1" customHeight="1">
      <c r="A310" s="329" t="s">
        <v>3338</v>
      </c>
      <c r="B310" s="14">
        <f>VLOOKUP($A310,PLAN!$B:$AC,3,0)</f>
        <v>11119371</v>
      </c>
      <c r="C310" s="14" t="str">
        <f>VLOOKUP($A310,PLAN!$B:$AC,4,0)</f>
        <v>1911039-E-A</v>
      </c>
      <c r="D310" s="14" t="str">
        <f>VLOOKUP($A310,PLAN!$B:$AC,5,0)</f>
        <v>HJ60JL350P10000 JP</v>
      </c>
      <c r="E310" s="14" t="str">
        <f>VLOOKUP($A310,PLAN!$B:$AC,2,0)</f>
        <v>1001938857</v>
      </c>
      <c r="F310" s="15">
        <f>VLOOKUP($A310,PLAN!$B:$AC,7,0)</f>
        <v>46258</v>
      </c>
      <c r="G310" s="16" t="str">
        <f>VLOOKUP($A310,PLAN!$B:$AC,8,0)</f>
        <v>0103596390</v>
      </c>
      <c r="H310" s="16" t="str">
        <f>VLOOKUP($A310,PLAN!$B:$AC,9,0)</f>
        <v>260805C09A</v>
      </c>
      <c r="I310" s="16">
        <f>VLOOKUP($A310,PLAN!$B:$AC,10,0)</f>
        <v>57</v>
      </c>
      <c r="J310" s="17">
        <f>VLOOKUP($A310,PLAN!$B:$AC,21,0)</f>
        <v>46248</v>
      </c>
      <c r="K310" s="145" t="str">
        <f>VLOOKUP($A310,PLAN!$B:$AC,22,0)</f>
        <v>M10</v>
      </c>
      <c r="L310" s="1"/>
      <c r="M310" s="1"/>
      <c r="N310" s="1"/>
      <c r="O310" s="221" t="s">
        <v>79</v>
      </c>
      <c r="P310" s="220"/>
      <c r="Q310" s="18">
        <f>VLOOKUP(A310,PLAN!B:R,17,0)</f>
        <v>46247</v>
      </c>
    </row>
    <row r="311" spans="1:17" ht="18" hidden="1" customHeight="1">
      <c r="A311" s="329" t="s">
        <v>3339</v>
      </c>
      <c r="B311" s="14">
        <f>VLOOKUP($A311,PLAN!$B:$AC,3,0)</f>
        <v>11119373</v>
      </c>
      <c r="C311" s="14" t="str">
        <f>VLOOKUP($A311,PLAN!$B:$AC,4,0)</f>
        <v>1911041-D-A</v>
      </c>
      <c r="D311" s="14" t="str">
        <f>VLOOKUP($A311,PLAN!$B:$AC,5,0)</f>
        <v>HJ60JL350P10001 JP</v>
      </c>
      <c r="E311" s="14" t="str">
        <f>VLOOKUP($A311,PLAN!$B:$AC,2,0)</f>
        <v>1001938858</v>
      </c>
      <c r="F311" s="15">
        <f>VLOOKUP($A311,PLAN!$B:$AC,7,0)</f>
        <v>46258</v>
      </c>
      <c r="G311" s="16" t="str">
        <f>VLOOKUP($A311,PLAN!$B:$AC,8,0)</f>
        <v>0103596391</v>
      </c>
      <c r="H311" s="16" t="str">
        <f>VLOOKUP($A311,PLAN!$B:$AC,9,0)</f>
        <v>260805C10A</v>
      </c>
      <c r="I311" s="16">
        <f>VLOOKUP($A311,PLAN!$B:$AC,10,0)</f>
        <v>72</v>
      </c>
      <c r="J311" s="17">
        <f>VLOOKUP($A311,PLAN!$B:$AC,21,0)</f>
        <v>46248</v>
      </c>
      <c r="K311" s="145" t="str">
        <f>VLOOKUP($A311,PLAN!$B:$AC,22,0)</f>
        <v>M10</v>
      </c>
      <c r="L311" s="1"/>
      <c r="M311" s="1"/>
      <c r="N311" s="1"/>
      <c r="O311" s="221" t="s">
        <v>79</v>
      </c>
      <c r="P311" s="220"/>
      <c r="Q311" s="18">
        <f>VLOOKUP(A311,PLAN!B:R,17,0)</f>
        <v>46247</v>
      </c>
    </row>
    <row r="312" spans="1:17" ht="18" hidden="1" customHeight="1">
      <c r="A312" s="329" t="s">
        <v>3341</v>
      </c>
      <c r="B312" s="14">
        <f>VLOOKUP($A312,PLAN!$B:$AC,3,0)</f>
        <v>11119416</v>
      </c>
      <c r="C312" s="14" t="str">
        <f>VLOOKUP($A312,PLAN!$B:$AC,4,0)</f>
        <v>1911084-E-A</v>
      </c>
      <c r="D312" s="14" t="str">
        <f>VLOOKUP($A312,PLAN!$B:$AC,5,0)</f>
        <v>HJ60AL102P10022 JP</v>
      </c>
      <c r="E312" s="14" t="str">
        <f>VLOOKUP($A312,PLAN!$B:$AC,2,0)</f>
        <v>1001938860</v>
      </c>
      <c r="F312" s="15">
        <f>VLOOKUP($A312,PLAN!$B:$AC,7,0)</f>
        <v>46258</v>
      </c>
      <c r="G312" s="16" t="str">
        <f>VLOOKUP($A312,PLAN!$B:$AC,8,0)</f>
        <v>0103596393</v>
      </c>
      <c r="H312" s="16" t="str">
        <f>VLOOKUP($A312,PLAN!$B:$AC,9,0)</f>
        <v>260805C12A</v>
      </c>
      <c r="I312" s="16">
        <f>VLOOKUP($A312,PLAN!$B:$AC,10,0)</f>
        <v>177</v>
      </c>
      <c r="J312" s="17">
        <f>VLOOKUP($A312,PLAN!$B:$AC,21,0)</f>
        <v>46248</v>
      </c>
      <c r="K312" s="145" t="str">
        <f>VLOOKUP($A312,PLAN!$B:$AC,22,0)</f>
        <v>M10</v>
      </c>
      <c r="L312" s="1"/>
      <c r="M312" s="1"/>
      <c r="N312" s="1"/>
      <c r="O312" s="221" t="s">
        <v>79</v>
      </c>
      <c r="P312" s="220"/>
      <c r="Q312" s="18">
        <f>VLOOKUP(A312,PLAN!B:R,17,0)</f>
        <v>46247</v>
      </c>
    </row>
    <row r="313" spans="1:17" ht="18" hidden="1" customHeight="1">
      <c r="A313" s="329" t="s">
        <v>3342</v>
      </c>
      <c r="B313" s="14">
        <f>VLOOKUP($A313,PLAN!$B:$AC,3,0)</f>
        <v>11119415</v>
      </c>
      <c r="C313" s="14" t="str">
        <f>VLOOKUP($A313,PLAN!$B:$AC,4,0)</f>
        <v>1911083-D-A</v>
      </c>
      <c r="D313" s="14" t="str">
        <f>VLOOKUP($A313,PLAN!$B:$AC,5,0)</f>
        <v>HJ60AL100P10022 JP</v>
      </c>
      <c r="E313" s="14" t="str">
        <f>VLOOKUP($A313,PLAN!$B:$AC,2,0)</f>
        <v>1001938861</v>
      </c>
      <c r="F313" s="15">
        <f>VLOOKUP($A313,PLAN!$B:$AC,7,0)</f>
        <v>46258</v>
      </c>
      <c r="G313" s="16" t="str">
        <f>VLOOKUP($A313,PLAN!$B:$AC,8,0)</f>
        <v>0103596394</v>
      </c>
      <c r="H313" s="16" t="str">
        <f>VLOOKUP($A313,PLAN!$B:$AC,9,0)</f>
        <v>260805C13A</v>
      </c>
      <c r="I313" s="16">
        <f>VLOOKUP($A313,PLAN!$B:$AC,10,0)</f>
        <v>435</v>
      </c>
      <c r="J313" s="17">
        <f>VLOOKUP($A313,PLAN!$B:$AC,21,0)</f>
        <v>46248</v>
      </c>
      <c r="K313" s="145" t="str">
        <f>VLOOKUP($A313,PLAN!$B:$AC,22,0)</f>
        <v>M10</v>
      </c>
      <c r="L313" s="1"/>
      <c r="M313" s="1"/>
      <c r="N313" s="1"/>
      <c r="O313" s="221" t="s">
        <v>79</v>
      </c>
      <c r="P313" s="220"/>
      <c r="Q313" s="18">
        <f>VLOOKUP(A313,PLAN!B:R,17,0)</f>
        <v>46247</v>
      </c>
    </row>
    <row r="314" spans="1:17" ht="18" hidden="1" customHeight="1">
      <c r="A314" s="329" t="s">
        <v>3356</v>
      </c>
      <c r="B314" s="14">
        <f>VLOOKUP($A314,PLAN!$B:$AC,3,0)</f>
        <v>12012480</v>
      </c>
      <c r="C314" s="14" t="str">
        <f>VLOOKUP($A314,PLAN!$B:$AC,4,0)</f>
        <v>PR1944001-0-A</v>
      </c>
      <c r="D314" s="14" t="str">
        <f>VLOOKUP($A314,PLAN!$B:$AC,5,0)</f>
        <v>2009007 MASTERS HF</v>
      </c>
      <c r="E314" s="14" t="str">
        <f>VLOOKUP($A314,PLAN!$B:$AC,2,0)</f>
        <v>1001939134</v>
      </c>
      <c r="F314" s="15">
        <f>VLOOKUP($A314,PLAN!$B:$AC,7,0)</f>
        <v>46258</v>
      </c>
      <c r="G314" s="16" t="str">
        <f>VLOOKUP($A314,PLAN!$B:$AC,8,0)</f>
        <v>0103596796</v>
      </c>
      <c r="H314" s="16" t="str">
        <f>VLOOKUP($A314,PLAN!$B:$AC,9,0)</f>
        <v>260805K06A</v>
      </c>
      <c r="I314" s="16">
        <f>VLOOKUP($A314,PLAN!$B:$AC,10,0)</f>
        <v>123</v>
      </c>
      <c r="J314" s="17">
        <f>VLOOKUP($A314,PLAN!$B:$AC,21,0)</f>
        <v>46248</v>
      </c>
      <c r="K314" s="145" t="str">
        <f>VLOOKUP($A314,PLAN!$B:$AC,22,0)</f>
        <v>M10</v>
      </c>
      <c r="L314" s="1"/>
      <c r="M314" s="1"/>
      <c r="N314" s="1"/>
      <c r="O314" s="221" t="s">
        <v>79</v>
      </c>
      <c r="P314" s="220"/>
      <c r="Q314" s="18">
        <f>VLOOKUP(A314,PLAN!B:R,17,0)</f>
        <v>46247</v>
      </c>
    </row>
    <row r="315" spans="1:17" ht="18" hidden="1" customHeight="1">
      <c r="A315" s="329" t="s">
        <v>3343</v>
      </c>
      <c r="B315" s="14">
        <f>VLOOKUP($A315,PLAN!$B:$AC,3,0)</f>
        <v>11131256</v>
      </c>
      <c r="C315" s="14" t="str">
        <f>VLOOKUP($A315,PLAN!$B:$AC,4,0)</f>
        <v>1841033-E-A</v>
      </c>
      <c r="D315" s="14" t="str">
        <f>VLOOKUP($A315,PLAN!$B:$AC,5,0)</f>
        <v>CRV135-19M JP</v>
      </c>
      <c r="E315" s="14" t="str">
        <f>VLOOKUP($A315,PLAN!$B:$AC,2,0)</f>
        <v>1001938869</v>
      </c>
      <c r="F315" s="15">
        <f>VLOOKUP($A315,PLAN!$B:$AC,7,0)</f>
        <v>46259</v>
      </c>
      <c r="G315" s="16" t="str">
        <f>VLOOKUP($A315,PLAN!$B:$AC,8,0)</f>
        <v>0103596402</v>
      </c>
      <c r="H315" s="16" t="str">
        <f>VLOOKUP($A315,PLAN!$B:$AC,9,0)</f>
        <v>260805K03A</v>
      </c>
      <c r="I315" s="16">
        <f>VLOOKUP($A315,PLAN!$B:$AC,10,0)</f>
        <v>1202</v>
      </c>
      <c r="J315" s="17">
        <f>VLOOKUP($A315,PLAN!$B:$AC,21,0)</f>
        <v>46249</v>
      </c>
      <c r="K315" s="145" t="str">
        <f>VLOOKUP($A315,PLAN!$B:$AC,22,0)</f>
        <v>M8</v>
      </c>
      <c r="L315" s="1"/>
      <c r="M315" s="1"/>
      <c r="N315" s="1"/>
      <c r="O315" s="221" t="s">
        <v>79</v>
      </c>
      <c r="P315" s="220"/>
      <c r="Q315" s="18">
        <f>VLOOKUP(A315,PLAN!B:R,17,0)</f>
        <v>46248</v>
      </c>
    </row>
    <row r="316" spans="1:17" ht="18" hidden="1" customHeight="1">
      <c r="A316" s="329" t="s">
        <v>3344</v>
      </c>
      <c r="B316" s="14">
        <f>VLOOKUP($A316,PLAN!$B:$AC,3,0)</f>
        <v>11127836</v>
      </c>
      <c r="C316" s="14" t="str">
        <f>VLOOKUP($A316,PLAN!$B:$AC,4,0)</f>
        <v>1941080-D-A</v>
      </c>
      <c r="D316" s="14" t="str">
        <f>VLOOKUP($A316,PLAN!$B:$AC,5,0)</f>
        <v>CSRP150-26NR JP</v>
      </c>
      <c r="E316" s="14" t="str">
        <f>VLOOKUP($A316,PLAN!$B:$AC,2,0)</f>
        <v>1001938870</v>
      </c>
      <c r="F316" s="15">
        <f>VLOOKUP($A316,PLAN!$B:$AC,7,0)</f>
        <v>46259</v>
      </c>
      <c r="G316" s="16" t="str">
        <f>VLOOKUP($A316,PLAN!$B:$AC,8,0)</f>
        <v>0103596403</v>
      </c>
      <c r="H316" s="16" t="str">
        <f>VLOOKUP($A316,PLAN!$B:$AC,9,0)</f>
        <v>260805K04A</v>
      </c>
      <c r="I316" s="16">
        <f>VLOOKUP($A316,PLAN!$B:$AC,10,0)</f>
        <v>78</v>
      </c>
      <c r="J316" s="17">
        <f>VLOOKUP($A316,PLAN!$B:$AC,21,0)</f>
        <v>46249</v>
      </c>
      <c r="K316" s="145" t="str">
        <f>VLOOKUP($A316,PLAN!$B:$AC,22,0)</f>
        <v>M5</v>
      </c>
      <c r="L316" s="1"/>
      <c r="M316" s="1"/>
      <c r="N316" s="1"/>
      <c r="O316" s="221" t="s">
        <v>79</v>
      </c>
      <c r="P316" s="220"/>
      <c r="Q316" s="18">
        <f>VLOOKUP(A316,PLAN!B:R,17,0)</f>
        <v>46248</v>
      </c>
    </row>
    <row r="317" spans="1:17" ht="18" hidden="1" customHeight="1">
      <c r="A317" s="329" t="s">
        <v>3345</v>
      </c>
      <c r="B317" s="14">
        <f>VLOOKUP($A317,PLAN!$B:$AC,3,0)</f>
        <v>11131258</v>
      </c>
      <c r="C317" s="14" t="str">
        <f>VLOOKUP($A317,PLAN!$B:$AC,4,0)</f>
        <v>1941001-D-A</v>
      </c>
      <c r="D317" s="14" t="str">
        <f>VLOOKUP($A317,PLAN!$B:$AC,5,0)</f>
        <v>CSR135-26PR JP</v>
      </c>
      <c r="E317" s="14" t="str">
        <f>VLOOKUP($A317,PLAN!$B:$AC,2,0)</f>
        <v>1001938871</v>
      </c>
      <c r="F317" s="15">
        <f>VLOOKUP($A317,PLAN!$B:$AC,7,0)</f>
        <v>46259</v>
      </c>
      <c r="G317" s="16" t="str">
        <f>VLOOKUP($A317,PLAN!$B:$AC,8,0)</f>
        <v>0103596404</v>
      </c>
      <c r="H317" s="16" t="str">
        <f>VLOOKUP($A317,PLAN!$B:$AC,9,0)</f>
        <v>260805K05A</v>
      </c>
      <c r="I317" s="16">
        <f>VLOOKUP($A317,PLAN!$B:$AC,10,0)</f>
        <v>1100</v>
      </c>
      <c r="J317" s="17">
        <f>VLOOKUP($A317,PLAN!$B:$AC,21,0)</f>
        <v>46249</v>
      </c>
      <c r="K317" s="145" t="str">
        <f>VLOOKUP($A317,PLAN!$B:$AC,22,0)</f>
        <v>M8</v>
      </c>
      <c r="L317" s="1"/>
      <c r="M317" s="1"/>
      <c r="N317" s="1"/>
      <c r="O317" s="221" t="s">
        <v>79</v>
      </c>
      <c r="P317" s="220"/>
      <c r="Q317" s="18">
        <f>VLOOKUP(A317,PLAN!B:R,17,0)</f>
        <v>46248</v>
      </c>
    </row>
    <row r="318" spans="1:17" ht="18" hidden="1" customHeight="1">
      <c r="A318" s="329" t="s">
        <v>3346</v>
      </c>
      <c r="B318" s="14">
        <f>VLOOKUP($A318,PLAN!$B:$AC,3,0)</f>
        <v>11134260</v>
      </c>
      <c r="C318" s="14" t="str">
        <f>VLOOKUP($A318,PLAN!$B:$AC,4,0)</f>
        <v>1911097-F-A</v>
      </c>
      <c r="D318" s="14" t="str">
        <f>VLOOKUP($A318,PLAN!$B:$AC,5,0)</f>
        <v>HJ60SP350P10000 JP</v>
      </c>
      <c r="E318" s="14" t="str">
        <f>VLOOKUP($A318,PLAN!$B:$AC,2,0)</f>
        <v>1001938862</v>
      </c>
      <c r="F318" s="15">
        <f>VLOOKUP($A318,PLAN!$B:$AC,7,0)</f>
        <v>46259</v>
      </c>
      <c r="G318" s="16" t="str">
        <f>VLOOKUP($A318,PLAN!$B:$AC,8,0)</f>
        <v>0103596395</v>
      </c>
      <c r="H318" s="16" t="str">
        <f>VLOOKUP($A318,PLAN!$B:$AC,9,0)</f>
        <v>260805C14A</v>
      </c>
      <c r="I318" s="16">
        <f>VLOOKUP($A318,PLAN!$B:$AC,10,0)</f>
        <v>720</v>
      </c>
      <c r="J318" s="17">
        <f>VLOOKUP($A318,PLAN!$B:$AC,21,0)</f>
        <v>46249</v>
      </c>
      <c r="K318" s="145" t="str">
        <f>VLOOKUP($A318,PLAN!$B:$AC,22,0)</f>
        <v>M9</v>
      </c>
      <c r="L318" s="1"/>
      <c r="M318" s="1"/>
      <c r="N318" s="1"/>
      <c r="O318" s="221" t="s">
        <v>79</v>
      </c>
      <c r="P318" s="220"/>
      <c r="Q318" s="18">
        <f>VLOOKUP(A318,PLAN!B:R,17,0)</f>
        <v>46248</v>
      </c>
    </row>
    <row r="319" spans="1:17" ht="18" hidden="1" customHeight="1">
      <c r="A319" s="329" t="s">
        <v>3347</v>
      </c>
      <c r="B319" s="14">
        <f>VLOOKUP($A319,PLAN!$B:$AC,3,0)</f>
        <v>11119391</v>
      </c>
      <c r="C319" s="14" t="str">
        <f>VLOOKUP($A319,PLAN!$B:$AC,4,0)</f>
        <v>1911059-D-A</v>
      </c>
      <c r="D319" s="14" t="str">
        <f>VLOOKUP($A319,PLAN!$B:$AC,5,0)</f>
        <v>HJ60JR400P10020 JP</v>
      </c>
      <c r="E319" s="14" t="str">
        <f>VLOOKUP($A319,PLAN!$B:$AC,2,0)</f>
        <v>1001938863</v>
      </c>
      <c r="F319" s="15">
        <f>VLOOKUP($A319,PLAN!$B:$AC,7,0)</f>
        <v>46259</v>
      </c>
      <c r="G319" s="16" t="str">
        <f>VLOOKUP($A319,PLAN!$B:$AC,8,0)</f>
        <v>0103596396</v>
      </c>
      <c r="H319" s="16" t="str">
        <f>VLOOKUP($A319,PLAN!$B:$AC,9,0)</f>
        <v>260805C15A</v>
      </c>
      <c r="I319" s="16">
        <f>VLOOKUP($A319,PLAN!$B:$AC,10,0)</f>
        <v>24</v>
      </c>
      <c r="J319" s="17">
        <f>VLOOKUP($A319,PLAN!$B:$AC,21,0)</f>
        <v>46249</v>
      </c>
      <c r="K319" s="145" t="str">
        <f>VLOOKUP($A319,PLAN!$B:$AC,22,0)</f>
        <v>M10</v>
      </c>
      <c r="L319" s="1"/>
      <c r="M319" s="1"/>
      <c r="N319" s="1"/>
      <c r="O319" s="221" t="s">
        <v>79</v>
      </c>
      <c r="P319" s="220"/>
      <c r="Q319" s="18">
        <f>VLOOKUP(A319,PLAN!B:R,17,0)</f>
        <v>46248</v>
      </c>
    </row>
    <row r="320" spans="1:17" ht="18" hidden="1" customHeight="1">
      <c r="A320" s="329" t="s">
        <v>3348</v>
      </c>
      <c r="B320" s="14">
        <f>VLOOKUP($A320,PLAN!$B:$AC,3,0)</f>
        <v>11119488</v>
      </c>
      <c r="C320" s="14" t="str">
        <f>VLOOKUP($A320,PLAN!$B:$AC,4,0)</f>
        <v>1911154-D-A</v>
      </c>
      <c r="D320" s="14" t="str">
        <f>VLOOKUP($A320,PLAN!$B:$AC,5,0)</f>
        <v>HJ70JL400P10000 JP</v>
      </c>
      <c r="E320" s="14" t="str">
        <f>VLOOKUP($A320,PLAN!$B:$AC,2,0)</f>
        <v>1001938864</v>
      </c>
      <c r="F320" s="15">
        <f>VLOOKUP($A320,PLAN!$B:$AC,7,0)</f>
        <v>46259</v>
      </c>
      <c r="G320" s="16" t="str">
        <f>VLOOKUP($A320,PLAN!$B:$AC,8,0)</f>
        <v>0103596397</v>
      </c>
      <c r="H320" s="16" t="str">
        <f>VLOOKUP($A320,PLAN!$B:$AC,9,0)</f>
        <v>260805C16A</v>
      </c>
      <c r="I320" s="16">
        <f>VLOOKUP($A320,PLAN!$B:$AC,10,0)</f>
        <v>131</v>
      </c>
      <c r="J320" s="17">
        <f>VLOOKUP($A320,PLAN!$B:$AC,21,0)</f>
        <v>46249</v>
      </c>
      <c r="K320" s="145" t="str">
        <f>VLOOKUP($A320,PLAN!$B:$AC,22,0)</f>
        <v>M10</v>
      </c>
      <c r="L320" s="1"/>
      <c r="M320" s="1"/>
      <c r="N320" s="1"/>
      <c r="O320" s="221" t="s">
        <v>79</v>
      </c>
      <c r="P320" s="220"/>
      <c r="Q320" s="18">
        <f>VLOOKUP(A320,PLAN!B:R,17,0)</f>
        <v>46248</v>
      </c>
    </row>
    <row r="321" spans="1:17" ht="18" hidden="1" customHeight="1">
      <c r="A321" s="329" t="s">
        <v>3349</v>
      </c>
      <c r="B321" s="14">
        <f>VLOOKUP($A321,PLAN!$B:$AC,3,0)</f>
        <v>11119541</v>
      </c>
      <c r="C321" s="14" t="str">
        <f>VLOOKUP($A321,PLAN!$B:$AC,4,0)</f>
        <v>1911207-D-A</v>
      </c>
      <c r="D321" s="14" t="str">
        <f>VLOOKUP($A321,PLAN!$B:$AC,5,0)</f>
        <v>HJ70AL102P10022 JP</v>
      </c>
      <c r="E321" s="14" t="str">
        <f>VLOOKUP($A321,PLAN!$B:$AC,2,0)</f>
        <v>1001938865</v>
      </c>
      <c r="F321" s="15">
        <f>VLOOKUP($A321,PLAN!$B:$AC,7,0)</f>
        <v>46259</v>
      </c>
      <c r="G321" s="16" t="str">
        <f>VLOOKUP($A321,PLAN!$B:$AC,8,0)</f>
        <v>0103596398</v>
      </c>
      <c r="H321" s="16" t="str">
        <f>VLOOKUP($A321,PLAN!$B:$AC,9,0)</f>
        <v>260805C17A</v>
      </c>
      <c r="I321" s="16">
        <f>VLOOKUP($A321,PLAN!$B:$AC,10,0)</f>
        <v>237</v>
      </c>
      <c r="J321" s="17">
        <f>VLOOKUP($A321,PLAN!$B:$AC,21,0)</f>
        <v>46249</v>
      </c>
      <c r="K321" s="145" t="str">
        <f>VLOOKUP($A321,PLAN!$B:$AC,22,0)</f>
        <v>M10</v>
      </c>
      <c r="L321" s="1"/>
      <c r="M321" s="1"/>
      <c r="N321" s="1"/>
      <c r="O321" s="221" t="s">
        <v>79</v>
      </c>
      <c r="P321" s="220"/>
      <c r="Q321" s="18">
        <f>VLOOKUP(A321,PLAN!B:R,17,0)</f>
        <v>46248</v>
      </c>
    </row>
    <row r="322" spans="1:17" ht="18" hidden="1" customHeight="1">
      <c r="A322" s="329" t="s">
        <v>3350</v>
      </c>
      <c r="B322" s="14">
        <f>VLOOKUP($A322,PLAN!$B:$AC,3,0)</f>
        <v>11119371</v>
      </c>
      <c r="C322" s="14" t="str">
        <f>VLOOKUP($A322,PLAN!$B:$AC,4,0)</f>
        <v>1911039-E-A</v>
      </c>
      <c r="D322" s="14" t="str">
        <f>VLOOKUP($A322,PLAN!$B:$AC,5,0)</f>
        <v>HJ60JL350P10000 JP</v>
      </c>
      <c r="E322" s="14" t="str">
        <f>VLOOKUP($A322,PLAN!$B:$AC,2,0)</f>
        <v>1001938866</v>
      </c>
      <c r="F322" s="15">
        <f>VLOOKUP($A322,PLAN!$B:$AC,7,0)</f>
        <v>46259</v>
      </c>
      <c r="G322" s="16" t="str">
        <f>VLOOKUP($A322,PLAN!$B:$AC,8,0)</f>
        <v>0103596399</v>
      </c>
      <c r="H322" s="16" t="str">
        <f>VLOOKUP($A322,PLAN!$B:$AC,9,0)</f>
        <v>260805C18A</v>
      </c>
      <c r="I322" s="16">
        <f>VLOOKUP($A322,PLAN!$B:$AC,10,0)</f>
        <v>448</v>
      </c>
      <c r="J322" s="17">
        <f>VLOOKUP($A322,PLAN!$B:$AC,21,0)</f>
        <v>46249</v>
      </c>
      <c r="K322" s="145" t="str">
        <f>VLOOKUP($A322,PLAN!$B:$AC,22,0)</f>
        <v>M10</v>
      </c>
      <c r="L322" s="1"/>
      <c r="M322" s="1"/>
      <c r="N322" s="1"/>
      <c r="O322" s="221" t="s">
        <v>79</v>
      </c>
      <c r="P322" s="220"/>
      <c r="Q322" s="18">
        <f>VLOOKUP(A322,PLAN!B:R,17,0)</f>
        <v>46248</v>
      </c>
    </row>
    <row r="323" spans="1:17" ht="18" hidden="1" customHeight="1">
      <c r="A323" s="329" t="s">
        <v>3673</v>
      </c>
      <c r="B323" s="14">
        <f>VLOOKUP($A323,PLAN!$B:$AC,3,0)</f>
        <v>11112487</v>
      </c>
      <c r="C323" s="14" t="str">
        <f>VLOOKUP($A323,PLAN!$B:$AC,4,0)</f>
        <v>PSC35150S-E-A</v>
      </c>
      <c r="D323" s="14" t="str">
        <f>VLOOKUP($A323,PLAN!$B:$AC,5,0)</f>
        <v>PSC35150S US</v>
      </c>
      <c r="E323" s="14" t="str">
        <f>VLOOKUP($A323,PLAN!$B:$AC,2,0)</f>
        <v>1001940457</v>
      </c>
      <c r="F323" s="15">
        <f>VLOOKUP($A323,PLAN!$B:$AC,7,0)</f>
        <v>46260</v>
      </c>
      <c r="G323" s="16" t="str">
        <f>VLOOKUP($A323,PLAN!$B:$AC,8,0)</f>
        <v>0103599590</v>
      </c>
      <c r="H323" s="16" t="str">
        <f>VLOOKUP($A323,PLAN!$B:$AC,9,0)</f>
        <v>260807K01A</v>
      </c>
      <c r="I323" s="16">
        <f>VLOOKUP($A323,PLAN!$B:$AC,10,0)</f>
        <v>10</v>
      </c>
      <c r="J323" s="17">
        <f>VLOOKUP($A323,PLAN!$B:$AC,21,0)</f>
        <v>46251</v>
      </c>
      <c r="K323" s="145" t="str">
        <f>VLOOKUP($A323,PLAN!$B:$AC,22,0)</f>
        <v>M8</v>
      </c>
      <c r="L323" s="1"/>
      <c r="M323" s="1"/>
      <c r="N323" s="1"/>
      <c r="O323" s="221" t="s">
        <v>79</v>
      </c>
      <c r="P323" s="220"/>
      <c r="Q323" s="18">
        <f>VLOOKUP(A323,PLAN!B:R,17,0)</f>
        <v>46249</v>
      </c>
    </row>
    <row r="324" spans="1:17" ht="18" hidden="1" customHeight="1">
      <c r="A324" s="329" t="s">
        <v>3674</v>
      </c>
      <c r="B324" s="14">
        <f>VLOOKUP($A324,PLAN!$B:$AC,3,0)</f>
        <v>11112481</v>
      </c>
      <c r="C324" s="14" t="str">
        <f>VLOOKUP($A324,PLAN!$B:$AC,4,0)</f>
        <v>PSC35135A-E-A</v>
      </c>
      <c r="D324" s="14" t="str">
        <f>VLOOKUP($A324,PLAN!$B:$AC,5,0)</f>
        <v>PSC35135A US</v>
      </c>
      <c r="E324" s="14" t="str">
        <f>VLOOKUP($A324,PLAN!$B:$AC,2,0)</f>
        <v>1001940458</v>
      </c>
      <c r="F324" s="15">
        <f>VLOOKUP($A324,PLAN!$B:$AC,7,0)</f>
        <v>46260</v>
      </c>
      <c r="G324" s="16" t="str">
        <f>VLOOKUP($A324,PLAN!$B:$AC,8,0)</f>
        <v>0103599591</v>
      </c>
      <c r="H324" s="16" t="str">
        <f>VLOOKUP($A324,PLAN!$B:$AC,9,0)</f>
        <v>260807K02A</v>
      </c>
      <c r="I324" s="16">
        <f>VLOOKUP($A324,PLAN!$B:$AC,10,0)</f>
        <v>55</v>
      </c>
      <c r="J324" s="17">
        <f>VLOOKUP($A324,PLAN!$B:$AC,21,0)</f>
        <v>46251</v>
      </c>
      <c r="K324" s="145" t="str">
        <f>VLOOKUP($A324,PLAN!$B:$AC,22,0)</f>
        <v>M8</v>
      </c>
      <c r="L324" s="1"/>
      <c r="M324" s="1"/>
      <c r="N324" s="1"/>
      <c r="O324" s="221" t="s">
        <v>79</v>
      </c>
      <c r="P324" s="220"/>
      <c r="Q324" s="18">
        <f>VLOOKUP(A324,PLAN!B:R,17,0)</f>
        <v>46249</v>
      </c>
    </row>
    <row r="325" spans="1:17" ht="18" hidden="1" customHeight="1">
      <c r="A325" s="329" t="s">
        <v>3675</v>
      </c>
      <c r="B325" s="14">
        <f>VLOOKUP($A325,PLAN!$B:$AC,3,0)</f>
        <v>11112514</v>
      </c>
      <c r="C325" s="14" t="str">
        <f>VLOOKUP($A325,PLAN!$B:$AC,4,0)</f>
        <v>PSC14150S-E-A</v>
      </c>
      <c r="D325" s="14" t="str">
        <f>VLOOKUP($A325,PLAN!$B:$AC,5,0)</f>
        <v>PSC14150S US</v>
      </c>
      <c r="E325" s="14" t="str">
        <f>VLOOKUP($A325,PLAN!$B:$AC,2,0)</f>
        <v>1001940459</v>
      </c>
      <c r="F325" s="15">
        <f>VLOOKUP($A325,PLAN!$B:$AC,7,0)</f>
        <v>46260</v>
      </c>
      <c r="G325" s="16" t="str">
        <f>VLOOKUP($A325,PLAN!$B:$AC,8,0)</f>
        <v>0103599592</v>
      </c>
      <c r="H325" s="16" t="str">
        <f>VLOOKUP($A325,PLAN!$B:$AC,9,0)</f>
        <v>260807K03A</v>
      </c>
      <c r="I325" s="16">
        <f>VLOOKUP($A325,PLAN!$B:$AC,10,0)</f>
        <v>65</v>
      </c>
      <c r="J325" s="17">
        <f>VLOOKUP($A325,PLAN!$B:$AC,21,0)</f>
        <v>46251</v>
      </c>
      <c r="K325" s="145" t="str">
        <f>VLOOKUP($A325,PLAN!$B:$AC,22,0)</f>
        <v>M8</v>
      </c>
      <c r="L325" s="1"/>
      <c r="M325" s="1"/>
      <c r="N325" s="1"/>
      <c r="O325" s="221" t="s">
        <v>79</v>
      </c>
      <c r="P325" s="220"/>
      <c r="Q325" s="18">
        <f>VLOOKUP(A325,PLAN!B:R,17,0)</f>
        <v>46249</v>
      </c>
    </row>
    <row r="326" spans="1:17" ht="18" hidden="1" customHeight="1">
      <c r="A326" s="329" t="s">
        <v>3676</v>
      </c>
      <c r="B326" s="14">
        <f>VLOOKUP($A326,PLAN!$B:$AC,3,0)</f>
        <v>11112524</v>
      </c>
      <c r="C326" s="14" t="str">
        <f>VLOOKUP($A326,PLAN!$B:$AC,4,0)</f>
        <v>PSC18150S-E-A</v>
      </c>
      <c r="D326" s="14" t="str">
        <f>VLOOKUP($A326,PLAN!$B:$AC,5,0)</f>
        <v>PSC18150S US</v>
      </c>
      <c r="E326" s="14" t="str">
        <f>VLOOKUP($A326,PLAN!$B:$AC,2,0)</f>
        <v>1001940460</v>
      </c>
      <c r="F326" s="15">
        <f>VLOOKUP($A326,PLAN!$B:$AC,7,0)</f>
        <v>46260</v>
      </c>
      <c r="G326" s="16" t="str">
        <f>VLOOKUP($A326,PLAN!$B:$AC,8,0)</f>
        <v>0103599593</v>
      </c>
      <c r="H326" s="16" t="str">
        <f>VLOOKUP($A326,PLAN!$B:$AC,9,0)</f>
        <v>260807K04A</v>
      </c>
      <c r="I326" s="16">
        <f>VLOOKUP($A326,PLAN!$B:$AC,10,0)</f>
        <v>80</v>
      </c>
      <c r="J326" s="17">
        <f>VLOOKUP($A326,PLAN!$B:$AC,21,0)</f>
        <v>46251</v>
      </c>
      <c r="K326" s="145" t="str">
        <f>VLOOKUP($A326,PLAN!$B:$AC,22,0)</f>
        <v>M8</v>
      </c>
      <c r="L326" s="1"/>
      <c r="M326" s="1"/>
      <c r="N326" s="1"/>
      <c r="O326" s="221" t="s">
        <v>79</v>
      </c>
      <c r="P326" s="220"/>
      <c r="Q326" s="18">
        <f>VLOOKUP(A326,PLAN!B:R,17,0)</f>
        <v>46249</v>
      </c>
    </row>
    <row r="327" spans="1:17" ht="18" hidden="1" customHeight="1">
      <c r="A327" s="329" t="s">
        <v>3677</v>
      </c>
      <c r="B327" s="14">
        <f>VLOOKUP($A327,PLAN!$B:$AC,3,0)</f>
        <v>11121773</v>
      </c>
      <c r="C327" s="14" t="str">
        <f>VLOOKUP($A327,PLAN!$B:$AC,4,0)</f>
        <v>1941097-B-A</v>
      </c>
      <c r="D327" s="14" t="str">
        <f>VLOOKUP($A327,PLAN!$B:$AC,5,0)</f>
        <v>CSR150-26P US</v>
      </c>
      <c r="E327" s="14" t="str">
        <f>VLOOKUP($A327,PLAN!$B:$AC,2,0)</f>
        <v>1001940461</v>
      </c>
      <c r="F327" s="15">
        <f>VLOOKUP($A327,PLAN!$B:$AC,7,0)</f>
        <v>46260</v>
      </c>
      <c r="G327" s="16" t="str">
        <f>VLOOKUP($A327,PLAN!$B:$AC,8,0)</f>
        <v>0103599594</v>
      </c>
      <c r="H327" s="16" t="str">
        <f>VLOOKUP($A327,PLAN!$B:$AC,9,0)</f>
        <v>260807K05A</v>
      </c>
      <c r="I327" s="16">
        <f>VLOOKUP($A327,PLAN!$B:$AC,10,0)</f>
        <v>174</v>
      </c>
      <c r="J327" s="17">
        <f>VLOOKUP($A327,PLAN!$B:$AC,21,0)</f>
        <v>46251</v>
      </c>
      <c r="K327" s="145" t="str">
        <f>VLOOKUP($A327,PLAN!$B:$AC,22,0)</f>
        <v>M8</v>
      </c>
      <c r="L327" s="1"/>
      <c r="M327" s="1"/>
      <c r="N327" s="1"/>
      <c r="O327" s="221" t="s">
        <v>79</v>
      </c>
      <c r="P327" s="220"/>
      <c r="Q327" s="18">
        <f>VLOOKUP(A327,PLAN!B:R,17,0)</f>
        <v>46249</v>
      </c>
    </row>
    <row r="328" spans="1:17" ht="18" hidden="1" customHeight="1">
      <c r="A328" s="329" t="s">
        <v>3678</v>
      </c>
      <c r="B328" s="14">
        <f>VLOOKUP($A328,PLAN!$B:$AC,3,0)</f>
        <v>11121772</v>
      </c>
      <c r="C328" s="14" t="str">
        <f>VLOOKUP($A328,PLAN!$B:$AC,4,0)</f>
        <v>1941096-B-A</v>
      </c>
      <c r="D328" s="14" t="str">
        <f>VLOOKUP($A328,PLAN!$B:$AC,5,0)</f>
        <v>CSR135-26P US</v>
      </c>
      <c r="E328" s="14" t="str">
        <f>VLOOKUP($A328,PLAN!$B:$AC,2,0)</f>
        <v>1001940462</v>
      </c>
      <c r="F328" s="15">
        <f>VLOOKUP($A328,PLAN!$B:$AC,7,0)</f>
        <v>46260</v>
      </c>
      <c r="G328" s="16" t="str">
        <f>VLOOKUP($A328,PLAN!$B:$AC,8,0)</f>
        <v>0103599595</v>
      </c>
      <c r="H328" s="16" t="str">
        <f>VLOOKUP($A328,PLAN!$B:$AC,9,0)</f>
        <v>260807K06A</v>
      </c>
      <c r="I328" s="16">
        <f>VLOOKUP($A328,PLAN!$B:$AC,10,0)</f>
        <v>1543</v>
      </c>
      <c r="J328" s="17">
        <f>VLOOKUP($A328,PLAN!$B:$AC,21,0)</f>
        <v>46251</v>
      </c>
      <c r="K328" s="145" t="str">
        <f>VLOOKUP($A328,PLAN!$B:$AC,22,0)</f>
        <v>M8</v>
      </c>
      <c r="L328" s="1"/>
      <c r="M328" s="1"/>
      <c r="N328" s="1"/>
      <c r="O328" s="221" t="s">
        <v>79</v>
      </c>
      <c r="P328" s="220"/>
      <c r="Q328" s="18">
        <f>VLOOKUP(A328,PLAN!B:R,17,0)</f>
        <v>46249</v>
      </c>
    </row>
    <row r="329" spans="1:17" ht="18" hidden="1" customHeight="1">
      <c r="A329" s="329" t="s">
        <v>3679</v>
      </c>
      <c r="B329" s="14">
        <f>VLOOKUP($A329,PLAN!$B:$AC,3,0)</f>
        <v>11131258</v>
      </c>
      <c r="C329" s="14" t="str">
        <f>VLOOKUP($A329,PLAN!$B:$AC,4,0)</f>
        <v>1941001-D-A</v>
      </c>
      <c r="D329" s="14" t="str">
        <f>VLOOKUP($A329,PLAN!$B:$AC,5,0)</f>
        <v>CSR135-26PR JP</v>
      </c>
      <c r="E329" s="14" t="str">
        <f>VLOOKUP($A329,PLAN!$B:$AC,2,0)</f>
        <v>1001940463</v>
      </c>
      <c r="F329" s="15">
        <f>VLOOKUP($A329,PLAN!$B:$AC,7,0)</f>
        <v>46260</v>
      </c>
      <c r="G329" s="16" t="str">
        <f>VLOOKUP($A329,PLAN!$B:$AC,8,0)</f>
        <v>0103599596</v>
      </c>
      <c r="H329" s="16" t="str">
        <f>VLOOKUP($A329,PLAN!$B:$AC,9,0)</f>
        <v>260807K07A</v>
      </c>
      <c r="I329" s="16">
        <f>VLOOKUP($A329,PLAN!$B:$AC,10,0)</f>
        <v>164</v>
      </c>
      <c r="J329" s="17">
        <f>VLOOKUP($A329,PLAN!$B:$AC,21,0)</f>
        <v>46251</v>
      </c>
      <c r="K329" s="145" t="str">
        <f>VLOOKUP($A329,PLAN!$B:$AC,22,0)</f>
        <v>M8</v>
      </c>
      <c r="L329" s="1"/>
      <c r="M329" s="1"/>
      <c r="N329" s="1"/>
      <c r="O329" s="221" t="s">
        <v>79</v>
      </c>
      <c r="P329" s="220"/>
      <c r="Q329" s="18">
        <f>VLOOKUP(A329,PLAN!B:R,17,0)</f>
        <v>46249</v>
      </c>
    </row>
    <row r="330" spans="1:17" ht="18" hidden="1" customHeight="1">
      <c r="A330" s="329" t="s">
        <v>3340</v>
      </c>
      <c r="B330" s="14">
        <f>VLOOKUP($A330,PLAN!$B:$AC,3,0)</f>
        <v>11119483</v>
      </c>
      <c r="C330" s="14" t="str">
        <f>VLOOKUP($A330,PLAN!$B:$AC,4,0)</f>
        <v>1911149-D-A</v>
      </c>
      <c r="D330" s="14" t="str">
        <f>VLOOKUP($A330,PLAN!$B:$AC,5,0)</f>
        <v>HJ70JL352P10020 JP</v>
      </c>
      <c r="E330" s="14" t="str">
        <f>VLOOKUP($A330,PLAN!$B:$AC,2,0)</f>
        <v>1001938859</v>
      </c>
      <c r="F330" s="15">
        <f>VLOOKUP($A330,PLAN!$B:$AC,7,0)</f>
        <v>46258</v>
      </c>
      <c r="G330" s="16" t="str">
        <f>VLOOKUP($A330,PLAN!$B:$AC,8,0)</f>
        <v>0103596392</v>
      </c>
      <c r="H330" s="16" t="str">
        <f>VLOOKUP($A330,PLAN!$B:$AC,9,0)</f>
        <v>260805C11A</v>
      </c>
      <c r="I330" s="16">
        <f>VLOOKUP($A330,PLAN!$B:$AC,10,0)</f>
        <v>99</v>
      </c>
      <c r="J330" s="17">
        <f>VLOOKUP($A330,PLAN!$B:$AC,21,0)</f>
        <v>46251</v>
      </c>
      <c r="K330" s="145" t="str">
        <f>VLOOKUP($A330,PLAN!$B:$AC,22,0)</f>
        <v>M9</v>
      </c>
      <c r="L330" s="1"/>
      <c r="M330" s="1"/>
      <c r="N330" s="1"/>
      <c r="O330" s="221" t="s">
        <v>79</v>
      </c>
      <c r="P330" s="220"/>
      <c r="Q330" s="18">
        <f>VLOOKUP(A330,PLAN!B:R,17,0)</f>
        <v>46249</v>
      </c>
    </row>
    <row r="331" spans="1:17" ht="18" hidden="1" customHeight="1">
      <c r="A331" s="329" t="s">
        <v>3680</v>
      </c>
      <c r="B331" s="14">
        <f>VLOOKUP($A331,PLAN!$B:$AC,3,0)</f>
        <v>11135423</v>
      </c>
      <c r="C331" s="14" t="str">
        <f>VLOOKUP($A331,PLAN!$B:$AC,4,0)</f>
        <v>2211774-E-A</v>
      </c>
      <c r="D331" s="14" t="str">
        <f>VLOOKUP($A331,PLAN!$B:$AC,5,0)</f>
        <v>HW60AL070P10002 KR</v>
      </c>
      <c r="E331" s="14" t="str">
        <f>VLOOKUP($A331,PLAN!$B:$AC,2,0)</f>
        <v>1001940470</v>
      </c>
      <c r="F331" s="15">
        <f>VLOOKUP($A331,PLAN!$B:$AC,7,0)</f>
        <v>46260</v>
      </c>
      <c r="G331" s="16" t="str">
        <f>VLOOKUP($A331,PLAN!$B:$AC,8,0)</f>
        <v>0103599603</v>
      </c>
      <c r="H331" s="16" t="str">
        <f>VLOOKUP($A331,PLAN!$B:$AC,9,0)</f>
        <v>260807C01A</v>
      </c>
      <c r="I331" s="16">
        <f>VLOOKUP($A331,PLAN!$B:$AC,10,0)</f>
        <v>1</v>
      </c>
      <c r="J331" s="17">
        <f>VLOOKUP($A331,PLAN!$B:$AC,21,0)</f>
        <v>46251</v>
      </c>
      <c r="K331" s="145" t="str">
        <f>VLOOKUP($A331,PLAN!$B:$AC,22,0)</f>
        <v>M9</v>
      </c>
      <c r="L331" s="1"/>
      <c r="M331" s="1"/>
      <c r="N331" s="1"/>
      <c r="O331" s="221" t="s">
        <v>79</v>
      </c>
      <c r="P331" s="220"/>
      <c r="Q331" s="18">
        <f>VLOOKUP(A331,PLAN!B:R,17,0)</f>
        <v>46249</v>
      </c>
    </row>
    <row r="332" spans="1:17" ht="18" hidden="1" customHeight="1">
      <c r="A332" s="329" t="s">
        <v>3681</v>
      </c>
      <c r="B332" s="14">
        <f>VLOOKUP($A332,PLAN!$B:$AC,3,0)</f>
        <v>11135559</v>
      </c>
      <c r="C332" s="14" t="str">
        <f>VLOOKUP($A332,PLAN!$B:$AC,4,0)</f>
        <v>2211910-E-A</v>
      </c>
      <c r="D332" s="14" t="str">
        <f>VLOOKUP($A332,PLAN!$B:$AC,5,0)</f>
        <v>HW70AL100P10002 KR</v>
      </c>
      <c r="E332" s="14" t="str">
        <f>VLOOKUP($A332,PLAN!$B:$AC,2,0)</f>
        <v>1001940471</v>
      </c>
      <c r="F332" s="15">
        <f>VLOOKUP($A332,PLAN!$B:$AC,7,0)</f>
        <v>46260</v>
      </c>
      <c r="G332" s="16" t="str">
        <f>VLOOKUP($A332,PLAN!$B:$AC,8,0)</f>
        <v>0103599604</v>
      </c>
      <c r="H332" s="16" t="str">
        <f>VLOOKUP($A332,PLAN!$B:$AC,9,0)</f>
        <v>260807C02A</v>
      </c>
      <c r="I332" s="16">
        <f>VLOOKUP($A332,PLAN!$B:$AC,10,0)</f>
        <v>1</v>
      </c>
      <c r="J332" s="17">
        <f>VLOOKUP($A332,PLAN!$B:$AC,21,0)</f>
        <v>46251</v>
      </c>
      <c r="K332" s="145" t="str">
        <f>VLOOKUP($A332,PLAN!$B:$AC,22,0)</f>
        <v>M9</v>
      </c>
      <c r="L332" s="1"/>
      <c r="M332" s="1"/>
      <c r="N332" s="1"/>
      <c r="O332" s="221" t="s">
        <v>79</v>
      </c>
      <c r="P332" s="220"/>
      <c r="Q332" s="18">
        <f>VLOOKUP(A332,PLAN!B:R,17,0)</f>
        <v>46249</v>
      </c>
    </row>
    <row r="333" spans="1:17" ht="18" hidden="1" customHeight="1">
      <c r="A333" s="329" t="s">
        <v>3682</v>
      </c>
      <c r="B333" s="14">
        <f>VLOOKUP($A333,PLAN!$B:$AC,3,0)</f>
        <v>11135627</v>
      </c>
      <c r="C333" s="14" t="str">
        <f>VLOOKUP($A333,PLAN!$B:$AC,4,0)</f>
        <v>2211978-E-A</v>
      </c>
      <c r="D333" s="14" t="str">
        <f>VLOOKUP($A333,PLAN!$B:$AC,5,0)</f>
        <v>HW70JR400P10000 KR</v>
      </c>
      <c r="E333" s="14" t="str">
        <f>VLOOKUP($A333,PLAN!$B:$AC,2,0)</f>
        <v>1001940472</v>
      </c>
      <c r="F333" s="15">
        <f>VLOOKUP($A333,PLAN!$B:$AC,7,0)</f>
        <v>46260</v>
      </c>
      <c r="G333" s="16" t="str">
        <f>VLOOKUP($A333,PLAN!$B:$AC,8,0)</f>
        <v>0103599605</v>
      </c>
      <c r="H333" s="16" t="str">
        <f>VLOOKUP($A333,PLAN!$B:$AC,9,0)</f>
        <v>260807C03A</v>
      </c>
      <c r="I333" s="16">
        <f>VLOOKUP($A333,PLAN!$B:$AC,10,0)</f>
        <v>2</v>
      </c>
      <c r="J333" s="17">
        <f>VLOOKUP($A333,PLAN!$B:$AC,21,0)</f>
        <v>46251</v>
      </c>
      <c r="K333" s="145" t="str">
        <f>VLOOKUP($A333,PLAN!$B:$AC,22,0)</f>
        <v>M9</v>
      </c>
      <c r="L333" s="1"/>
      <c r="M333" s="1"/>
      <c r="N333" s="1"/>
      <c r="O333" s="221" t="s">
        <v>79</v>
      </c>
      <c r="P333" s="220"/>
      <c r="Q333" s="18">
        <f>VLOOKUP(A333,PLAN!B:R,17,0)</f>
        <v>46249</v>
      </c>
    </row>
    <row r="334" spans="1:17" ht="18" hidden="1" customHeight="1">
      <c r="A334" s="329" t="s">
        <v>3683</v>
      </c>
      <c r="B334" s="14">
        <f>VLOOKUP($A334,PLAN!$B:$AC,3,0)</f>
        <v>11135499</v>
      </c>
      <c r="C334" s="14" t="str">
        <f>VLOOKUP($A334,PLAN!$B:$AC,4,0)</f>
        <v>2211850-E-A</v>
      </c>
      <c r="D334" s="14" t="str">
        <f>VLOOKUP($A334,PLAN!$B:$AC,5,0)</f>
        <v>HW60JR400P10000 KR</v>
      </c>
      <c r="E334" s="14" t="str">
        <f>VLOOKUP($A334,PLAN!$B:$AC,2,0)</f>
        <v>1001940473</v>
      </c>
      <c r="F334" s="15">
        <f>VLOOKUP($A334,PLAN!$B:$AC,7,0)</f>
        <v>46260</v>
      </c>
      <c r="G334" s="16" t="str">
        <f>VLOOKUP($A334,PLAN!$B:$AC,8,0)</f>
        <v>0103599606</v>
      </c>
      <c r="H334" s="16" t="str">
        <f>VLOOKUP($A334,PLAN!$B:$AC,9,0)</f>
        <v>260807C04A</v>
      </c>
      <c r="I334" s="16">
        <f>VLOOKUP($A334,PLAN!$B:$AC,10,0)</f>
        <v>3</v>
      </c>
      <c r="J334" s="17">
        <f>VLOOKUP($A334,PLAN!$B:$AC,21,0)</f>
        <v>46251</v>
      </c>
      <c r="K334" s="145" t="str">
        <f>VLOOKUP($A334,PLAN!$B:$AC,22,0)</f>
        <v>M9</v>
      </c>
      <c r="L334" s="1"/>
      <c r="M334" s="1"/>
      <c r="N334" s="1"/>
      <c r="O334" s="221" t="s">
        <v>79</v>
      </c>
      <c r="P334" s="220"/>
      <c r="Q334" s="18">
        <f>VLOOKUP(A334,PLAN!B:R,17,0)</f>
        <v>46249</v>
      </c>
    </row>
    <row r="335" spans="1:17" ht="18" hidden="1" customHeight="1">
      <c r="A335" s="329" t="s">
        <v>3684</v>
      </c>
      <c r="B335" s="14">
        <f>VLOOKUP($A335,PLAN!$B:$AC,3,0)</f>
        <v>11135473</v>
      </c>
      <c r="C335" s="14" t="str">
        <f>VLOOKUP($A335,PLAN!$B:$AC,4,0)</f>
        <v>2211824-E-A</v>
      </c>
      <c r="D335" s="14" t="str">
        <f>VLOOKUP($A335,PLAN!$B:$AC,5,0)</f>
        <v>HW60JL350P10000 KR</v>
      </c>
      <c r="E335" s="14" t="str">
        <f>VLOOKUP($A335,PLAN!$B:$AC,2,0)</f>
        <v>1001940474</v>
      </c>
      <c r="F335" s="15">
        <f>VLOOKUP($A335,PLAN!$B:$AC,7,0)</f>
        <v>46260</v>
      </c>
      <c r="G335" s="16" t="str">
        <f>VLOOKUP($A335,PLAN!$B:$AC,8,0)</f>
        <v>0103599607</v>
      </c>
      <c r="H335" s="16" t="str">
        <f>VLOOKUP($A335,PLAN!$B:$AC,9,0)</f>
        <v>260807C05A</v>
      </c>
      <c r="I335" s="16">
        <f>VLOOKUP($A335,PLAN!$B:$AC,10,0)</f>
        <v>8</v>
      </c>
      <c r="J335" s="17">
        <f>VLOOKUP($A335,PLAN!$B:$AC,21,0)</f>
        <v>46251</v>
      </c>
      <c r="K335" s="145" t="str">
        <f>VLOOKUP($A335,PLAN!$B:$AC,22,0)</f>
        <v>M9</v>
      </c>
      <c r="L335" s="1"/>
      <c r="M335" s="1"/>
      <c r="N335" s="1"/>
      <c r="O335" s="221" t="s">
        <v>79</v>
      </c>
      <c r="P335" s="220"/>
      <c r="Q335" s="18">
        <f>VLOOKUP(A335,PLAN!B:R,17,0)</f>
        <v>46249</v>
      </c>
    </row>
    <row r="336" spans="1:17" ht="18" hidden="1" customHeight="1">
      <c r="A336" s="329" t="s">
        <v>3685</v>
      </c>
      <c r="B336" s="14">
        <f>VLOOKUP($A336,PLAN!$B:$AC,3,0)</f>
        <v>11135473</v>
      </c>
      <c r="C336" s="14" t="str">
        <f>VLOOKUP($A336,PLAN!$B:$AC,4,0)</f>
        <v>2211824-E-A</v>
      </c>
      <c r="D336" s="14" t="str">
        <f>VLOOKUP($A336,PLAN!$B:$AC,5,0)</f>
        <v>HW60JL350P10000 KR</v>
      </c>
      <c r="E336" s="14" t="str">
        <f>VLOOKUP($A336,PLAN!$B:$AC,2,0)</f>
        <v>1001940475</v>
      </c>
      <c r="F336" s="15">
        <f>VLOOKUP($A336,PLAN!$B:$AC,7,0)</f>
        <v>46260</v>
      </c>
      <c r="G336" s="16" t="str">
        <f>VLOOKUP($A336,PLAN!$B:$AC,8,0)</f>
        <v>0103599608</v>
      </c>
      <c r="H336" s="16" t="str">
        <f>VLOOKUP($A336,PLAN!$B:$AC,9,0)</f>
        <v>260807C06A</v>
      </c>
      <c r="I336" s="16">
        <f>VLOOKUP($A336,PLAN!$B:$AC,10,0)</f>
        <v>9</v>
      </c>
      <c r="J336" s="17">
        <f>VLOOKUP($A336,PLAN!$B:$AC,21,0)</f>
        <v>46251</v>
      </c>
      <c r="K336" s="145" t="str">
        <f>VLOOKUP($A336,PLAN!$B:$AC,22,0)</f>
        <v>M9</v>
      </c>
      <c r="L336" s="1"/>
      <c r="M336" s="1"/>
      <c r="N336" s="1"/>
      <c r="O336" s="221" t="s">
        <v>79</v>
      </c>
      <c r="P336" s="220"/>
      <c r="Q336" s="18">
        <f>VLOOKUP(A336,PLAN!B:R,17,0)</f>
        <v>46249</v>
      </c>
    </row>
    <row r="337" spans="1:17" ht="18" hidden="1" customHeight="1">
      <c r="A337" s="329" t="s">
        <v>3686</v>
      </c>
      <c r="B337" s="14">
        <f>VLOOKUP($A337,PLAN!$B:$AC,3,0)</f>
        <v>11135605</v>
      </c>
      <c r="C337" s="14" t="str">
        <f>VLOOKUP($A337,PLAN!$B:$AC,4,0)</f>
        <v>2211956-E-A</v>
      </c>
      <c r="D337" s="14" t="str">
        <f>VLOOKUP($A337,PLAN!$B:$AC,5,0)</f>
        <v>HW70JL352P10000 KR</v>
      </c>
      <c r="E337" s="14" t="str">
        <f>VLOOKUP($A337,PLAN!$B:$AC,2,0)</f>
        <v>1001940476</v>
      </c>
      <c r="F337" s="15">
        <f>VLOOKUP($A337,PLAN!$B:$AC,7,0)</f>
        <v>46260</v>
      </c>
      <c r="G337" s="16" t="str">
        <f>VLOOKUP($A337,PLAN!$B:$AC,8,0)</f>
        <v>0103599609</v>
      </c>
      <c r="H337" s="16" t="str">
        <f>VLOOKUP($A337,PLAN!$B:$AC,9,0)</f>
        <v>260807C07A</v>
      </c>
      <c r="I337" s="16">
        <f>VLOOKUP($A337,PLAN!$B:$AC,10,0)</f>
        <v>10</v>
      </c>
      <c r="J337" s="17">
        <f>VLOOKUP($A337,PLAN!$B:$AC,21,0)</f>
        <v>46251</v>
      </c>
      <c r="K337" s="145" t="str">
        <f>VLOOKUP($A337,PLAN!$B:$AC,22,0)</f>
        <v>M9</v>
      </c>
      <c r="L337" s="1"/>
      <c r="M337" s="1"/>
      <c r="N337" s="1"/>
      <c r="O337" s="221" t="s">
        <v>79</v>
      </c>
      <c r="P337" s="220"/>
      <c r="Q337" s="18">
        <f>VLOOKUP(A337,PLAN!B:R,17,0)</f>
        <v>46249</v>
      </c>
    </row>
    <row r="338" spans="1:17" ht="18" hidden="1" customHeight="1">
      <c r="A338" s="329" t="s">
        <v>3687</v>
      </c>
      <c r="B338" s="14">
        <f>VLOOKUP($A338,PLAN!$B:$AC,3,0)</f>
        <v>11135601</v>
      </c>
      <c r="C338" s="14" t="str">
        <f>VLOOKUP($A338,PLAN!$B:$AC,4,0)</f>
        <v>2211952-E-A</v>
      </c>
      <c r="D338" s="14" t="str">
        <f>VLOOKUP($A338,PLAN!$B:$AC,5,0)</f>
        <v>HW70JL350P10000 KR</v>
      </c>
      <c r="E338" s="14" t="str">
        <f>VLOOKUP($A338,PLAN!$B:$AC,2,0)</f>
        <v>1001940477</v>
      </c>
      <c r="F338" s="15">
        <f>VLOOKUP($A338,PLAN!$B:$AC,7,0)</f>
        <v>46260</v>
      </c>
      <c r="G338" s="16" t="str">
        <f>VLOOKUP($A338,PLAN!$B:$AC,8,0)</f>
        <v>0103599610</v>
      </c>
      <c r="H338" s="16" t="str">
        <f>VLOOKUP($A338,PLAN!$B:$AC,9,0)</f>
        <v>260807C08A</v>
      </c>
      <c r="I338" s="16">
        <f>VLOOKUP($A338,PLAN!$B:$AC,10,0)</f>
        <v>12</v>
      </c>
      <c r="J338" s="17">
        <f>VLOOKUP($A338,PLAN!$B:$AC,21,0)</f>
        <v>46251</v>
      </c>
      <c r="K338" s="145" t="str">
        <f>VLOOKUP($A338,PLAN!$B:$AC,22,0)</f>
        <v>M9</v>
      </c>
      <c r="L338" s="1"/>
      <c r="M338" s="1"/>
      <c r="N338" s="1"/>
      <c r="O338" s="221" t="s">
        <v>79</v>
      </c>
      <c r="P338" s="220"/>
      <c r="Q338" s="18">
        <f>VLOOKUP(A338,PLAN!B:R,17,0)</f>
        <v>46249</v>
      </c>
    </row>
    <row r="339" spans="1:17" ht="18" hidden="1" customHeight="1">
      <c r="A339" s="329" t="s">
        <v>3688</v>
      </c>
      <c r="B339" s="14">
        <f>VLOOKUP($A339,PLAN!$B:$AC,3,0)</f>
        <v>11135477</v>
      </c>
      <c r="C339" s="14" t="str">
        <f>VLOOKUP($A339,PLAN!$B:$AC,4,0)</f>
        <v>2211828-E-A</v>
      </c>
      <c r="D339" s="14" t="str">
        <f>VLOOKUP($A339,PLAN!$B:$AC,5,0)</f>
        <v>HW60JL352P10000 KR</v>
      </c>
      <c r="E339" s="14" t="str">
        <f>VLOOKUP($A339,PLAN!$B:$AC,2,0)</f>
        <v>1001940478</v>
      </c>
      <c r="F339" s="15">
        <f>VLOOKUP($A339,PLAN!$B:$AC,7,0)</f>
        <v>46260</v>
      </c>
      <c r="G339" s="16" t="str">
        <f>VLOOKUP($A339,PLAN!$B:$AC,8,0)</f>
        <v>0103599611</v>
      </c>
      <c r="H339" s="16" t="str">
        <f>VLOOKUP($A339,PLAN!$B:$AC,9,0)</f>
        <v>260807C09A</v>
      </c>
      <c r="I339" s="16">
        <f>VLOOKUP($A339,PLAN!$B:$AC,10,0)</f>
        <v>14</v>
      </c>
      <c r="J339" s="17">
        <f>VLOOKUP($A339,PLAN!$B:$AC,21,0)</f>
        <v>46251</v>
      </c>
      <c r="K339" s="145" t="str">
        <f>VLOOKUP($A339,PLAN!$B:$AC,22,0)</f>
        <v>M9</v>
      </c>
      <c r="L339" s="1"/>
      <c r="M339" s="1"/>
      <c r="N339" s="1"/>
      <c r="O339" s="221" t="s">
        <v>79</v>
      </c>
      <c r="P339" s="220"/>
      <c r="Q339" s="18">
        <f>VLOOKUP(A339,PLAN!B:R,17,0)</f>
        <v>46249</v>
      </c>
    </row>
    <row r="340" spans="1:17" ht="18" hidden="1" customHeight="1">
      <c r="A340" s="329" t="s">
        <v>3689</v>
      </c>
      <c r="B340" s="14">
        <f>VLOOKUP($A340,PLAN!$B:$AC,3,0)</f>
        <v>11135434</v>
      </c>
      <c r="C340" s="14" t="str">
        <f>VLOOKUP($A340,PLAN!$B:$AC,4,0)</f>
        <v>2211785-E-A</v>
      </c>
      <c r="D340" s="14" t="str">
        <f>VLOOKUP($A340,PLAN!$B:$AC,5,0)</f>
        <v>HW60AL102P10000 KR</v>
      </c>
      <c r="E340" s="14" t="str">
        <f>VLOOKUP($A340,PLAN!$B:$AC,2,0)</f>
        <v>1001940479</v>
      </c>
      <c r="F340" s="15">
        <f>VLOOKUP($A340,PLAN!$B:$AC,7,0)</f>
        <v>46260</v>
      </c>
      <c r="G340" s="16" t="str">
        <f>VLOOKUP($A340,PLAN!$B:$AC,8,0)</f>
        <v>0103599612</v>
      </c>
      <c r="H340" s="16" t="str">
        <f>VLOOKUP($A340,PLAN!$B:$AC,9,0)</f>
        <v>260807C10A</v>
      </c>
      <c r="I340" s="16">
        <f>VLOOKUP($A340,PLAN!$B:$AC,10,0)</f>
        <v>17</v>
      </c>
      <c r="J340" s="17">
        <f>VLOOKUP($A340,PLAN!$B:$AC,21,0)</f>
        <v>46251</v>
      </c>
      <c r="K340" s="145" t="str">
        <f>VLOOKUP($A340,PLAN!$B:$AC,22,0)</f>
        <v>M9</v>
      </c>
      <c r="L340" s="1"/>
      <c r="M340" s="1"/>
      <c r="N340" s="1"/>
      <c r="O340" s="221" t="s">
        <v>79</v>
      </c>
      <c r="P340" s="220"/>
      <c r="Q340" s="18">
        <f>VLOOKUP(A340,PLAN!B:R,17,0)</f>
        <v>46249</v>
      </c>
    </row>
    <row r="341" spans="1:17" ht="18" hidden="1" customHeight="1">
      <c r="A341" s="329" t="s">
        <v>3690</v>
      </c>
      <c r="B341" s="14">
        <f>VLOOKUP($A341,PLAN!$B:$AC,3,0)</f>
        <v>11135601</v>
      </c>
      <c r="C341" s="14" t="str">
        <f>VLOOKUP($A341,PLAN!$B:$AC,4,0)</f>
        <v>2211952-E-A</v>
      </c>
      <c r="D341" s="14" t="str">
        <f>VLOOKUP($A341,PLAN!$B:$AC,5,0)</f>
        <v>HW70JL350P10000 KR</v>
      </c>
      <c r="E341" s="14" t="str">
        <f>VLOOKUP($A341,PLAN!$B:$AC,2,0)</f>
        <v>1001940480</v>
      </c>
      <c r="F341" s="15">
        <f>VLOOKUP($A341,PLAN!$B:$AC,7,0)</f>
        <v>46260</v>
      </c>
      <c r="G341" s="16" t="str">
        <f>VLOOKUP($A341,PLAN!$B:$AC,8,0)</f>
        <v>0103599613</v>
      </c>
      <c r="H341" s="16" t="str">
        <f>VLOOKUP($A341,PLAN!$B:$AC,9,0)</f>
        <v>260807C11A</v>
      </c>
      <c r="I341" s="16">
        <f>VLOOKUP($A341,PLAN!$B:$AC,10,0)</f>
        <v>21</v>
      </c>
      <c r="J341" s="17">
        <f>VLOOKUP($A341,PLAN!$B:$AC,21,0)</f>
        <v>46251</v>
      </c>
      <c r="K341" s="145" t="str">
        <f>VLOOKUP($A341,PLAN!$B:$AC,22,0)</f>
        <v>M9</v>
      </c>
      <c r="L341" s="1"/>
      <c r="M341" s="1"/>
      <c r="N341" s="1"/>
      <c r="O341" s="221" t="s">
        <v>79</v>
      </c>
      <c r="P341" s="220"/>
      <c r="Q341" s="18">
        <f>VLOOKUP(A341,PLAN!B:R,17,0)</f>
        <v>46249</v>
      </c>
    </row>
    <row r="342" spans="1:17" ht="18" hidden="1" customHeight="1">
      <c r="A342" s="329" t="s">
        <v>3691</v>
      </c>
      <c r="B342" s="14">
        <f>VLOOKUP($A342,PLAN!$B:$AC,3,0)</f>
        <v>11135563</v>
      </c>
      <c r="C342" s="14" t="str">
        <f>VLOOKUP($A342,PLAN!$B:$AC,4,0)</f>
        <v>2211914-E-A</v>
      </c>
      <c r="D342" s="14" t="str">
        <f>VLOOKUP($A342,PLAN!$B:$AC,5,0)</f>
        <v>HW70AL102P10002 KR</v>
      </c>
      <c r="E342" s="14" t="str">
        <f>VLOOKUP($A342,PLAN!$B:$AC,2,0)</f>
        <v>1001940481</v>
      </c>
      <c r="F342" s="15">
        <f>VLOOKUP($A342,PLAN!$B:$AC,7,0)</f>
        <v>46260</v>
      </c>
      <c r="G342" s="16" t="str">
        <f>VLOOKUP($A342,PLAN!$B:$AC,8,0)</f>
        <v>0103599614</v>
      </c>
      <c r="H342" s="16" t="str">
        <f>VLOOKUP($A342,PLAN!$B:$AC,9,0)</f>
        <v>260807C12A</v>
      </c>
      <c r="I342" s="16">
        <f>VLOOKUP($A342,PLAN!$B:$AC,10,0)</f>
        <v>27</v>
      </c>
      <c r="J342" s="17">
        <f>VLOOKUP($A342,PLAN!$B:$AC,21,0)</f>
        <v>46251</v>
      </c>
      <c r="K342" s="145" t="str">
        <f>VLOOKUP($A342,PLAN!$B:$AC,22,0)</f>
        <v>M9</v>
      </c>
      <c r="L342" s="1"/>
      <c r="M342" s="1"/>
      <c r="N342" s="1"/>
      <c r="O342" s="221" t="s">
        <v>79</v>
      </c>
      <c r="P342" s="220"/>
      <c r="Q342" s="18">
        <f>VLOOKUP(A342,PLAN!B:R,17,0)</f>
        <v>46249</v>
      </c>
    </row>
    <row r="343" spans="1:17" ht="18" hidden="1" customHeight="1">
      <c r="A343" s="329" t="s">
        <v>3692</v>
      </c>
      <c r="B343" s="14">
        <f>VLOOKUP($A343,PLAN!$B:$AC,3,0)</f>
        <v>11135563</v>
      </c>
      <c r="C343" s="14" t="str">
        <f>VLOOKUP($A343,PLAN!$B:$AC,4,0)</f>
        <v>2211914-E-A</v>
      </c>
      <c r="D343" s="14" t="str">
        <f>VLOOKUP($A343,PLAN!$B:$AC,5,0)</f>
        <v>HW70AL102P10002 KR</v>
      </c>
      <c r="E343" s="14" t="str">
        <f>VLOOKUP($A343,PLAN!$B:$AC,2,0)</f>
        <v>1001940482</v>
      </c>
      <c r="F343" s="15">
        <f>VLOOKUP($A343,PLAN!$B:$AC,7,0)</f>
        <v>46260</v>
      </c>
      <c r="G343" s="16" t="str">
        <f>VLOOKUP($A343,PLAN!$B:$AC,8,0)</f>
        <v>0103599615</v>
      </c>
      <c r="H343" s="16" t="str">
        <f>VLOOKUP($A343,PLAN!$B:$AC,9,0)</f>
        <v>260807C13A</v>
      </c>
      <c r="I343" s="16">
        <f>VLOOKUP($A343,PLAN!$B:$AC,10,0)</f>
        <v>39</v>
      </c>
      <c r="J343" s="17">
        <f>VLOOKUP($A343,PLAN!$B:$AC,21,0)</f>
        <v>46251</v>
      </c>
      <c r="K343" s="145" t="str">
        <f>VLOOKUP($A343,PLAN!$B:$AC,22,0)</f>
        <v>M9</v>
      </c>
      <c r="L343" s="1"/>
      <c r="M343" s="1"/>
      <c r="N343" s="1"/>
      <c r="O343" s="221" t="s">
        <v>79</v>
      </c>
      <c r="P343" s="220"/>
      <c r="Q343" s="18">
        <f>VLOOKUP(A343,PLAN!B:R,17,0)</f>
        <v>46249</v>
      </c>
    </row>
    <row r="344" spans="1:17" ht="18" hidden="1" customHeight="1">
      <c r="A344" s="329" t="s">
        <v>3693</v>
      </c>
      <c r="B344" s="14">
        <f>VLOOKUP($A344,PLAN!$B:$AC,3,0)</f>
        <v>11135435</v>
      </c>
      <c r="C344" s="14" t="str">
        <f>VLOOKUP($A344,PLAN!$B:$AC,4,0)</f>
        <v>2211786-E-A</v>
      </c>
      <c r="D344" s="14" t="str">
        <f>VLOOKUP($A344,PLAN!$B:$AC,5,0)</f>
        <v>HW60AL102P10002 KR</v>
      </c>
      <c r="E344" s="14" t="str">
        <f>VLOOKUP($A344,PLAN!$B:$AC,2,0)</f>
        <v>1001940483</v>
      </c>
      <c r="F344" s="15">
        <f>VLOOKUP($A344,PLAN!$B:$AC,7,0)</f>
        <v>46260</v>
      </c>
      <c r="G344" s="16" t="str">
        <f>VLOOKUP($A344,PLAN!$B:$AC,8,0)</f>
        <v>0103599616</v>
      </c>
      <c r="H344" s="16" t="str">
        <f>VLOOKUP($A344,PLAN!$B:$AC,9,0)</f>
        <v>260807C14A</v>
      </c>
      <c r="I344" s="16">
        <f>VLOOKUP($A344,PLAN!$B:$AC,10,0)</f>
        <v>61</v>
      </c>
      <c r="J344" s="17">
        <f>VLOOKUP($A344,PLAN!$B:$AC,21,0)</f>
        <v>46251</v>
      </c>
      <c r="K344" s="145" t="str">
        <f>VLOOKUP($A344,PLAN!$B:$AC,22,0)</f>
        <v>M9</v>
      </c>
      <c r="L344" s="1"/>
      <c r="M344" s="1"/>
      <c r="N344" s="1"/>
      <c r="O344" s="221" t="s">
        <v>79</v>
      </c>
      <c r="P344" s="220"/>
      <c r="Q344" s="18">
        <f>VLOOKUP(A344,PLAN!B:R,17,0)</f>
        <v>46249</v>
      </c>
    </row>
    <row r="345" spans="1:17" ht="18" hidden="1" customHeight="1">
      <c r="A345" s="329" t="s">
        <v>3694</v>
      </c>
      <c r="B345" s="14">
        <f>VLOOKUP($A345,PLAN!$B:$AC,3,0)</f>
        <v>11130546</v>
      </c>
      <c r="C345" s="14" t="str">
        <f>VLOOKUP($A345,PLAN!$B:$AC,4,0)</f>
        <v>2211018-C-A</v>
      </c>
      <c r="D345" s="14" t="str">
        <f>VLOOKUP($A345,PLAN!$B:$AC,5,0)</f>
        <v>HW60JL350P10000 NOCE</v>
      </c>
      <c r="E345" s="14" t="str">
        <f>VLOOKUP($A345,PLAN!$B:$AC,2,0)</f>
        <v>1001940484</v>
      </c>
      <c r="F345" s="15">
        <f>VLOOKUP($A345,PLAN!$B:$AC,7,0)</f>
        <v>46260</v>
      </c>
      <c r="G345" s="16" t="str">
        <f>VLOOKUP($A345,PLAN!$B:$AC,8,0)</f>
        <v>0103599617</v>
      </c>
      <c r="H345" s="16" t="str">
        <f>VLOOKUP($A345,PLAN!$B:$AC,9,0)</f>
        <v>260807C15A</v>
      </c>
      <c r="I345" s="16">
        <f>VLOOKUP($A345,PLAN!$B:$AC,10,0)</f>
        <v>10</v>
      </c>
      <c r="J345" s="17">
        <f>VLOOKUP($A345,PLAN!$B:$AC,21,0)</f>
        <v>46251</v>
      </c>
      <c r="K345" s="145" t="str">
        <f>VLOOKUP($A345,PLAN!$B:$AC,22,0)</f>
        <v>M9</v>
      </c>
      <c r="L345" s="1"/>
      <c r="M345" s="1"/>
      <c r="N345" s="1"/>
      <c r="O345" s="221" t="s">
        <v>79</v>
      </c>
      <c r="P345" s="220"/>
      <c r="Q345" s="18">
        <f>VLOOKUP(A345,PLAN!B:R,17,0)</f>
        <v>46249</v>
      </c>
    </row>
    <row r="346" spans="1:17" ht="18" hidden="1" customHeight="1">
      <c r="A346" s="329" t="s">
        <v>3695</v>
      </c>
      <c r="B346" s="14">
        <f>VLOOKUP($A346,PLAN!$B:$AC,3,0)</f>
        <v>11130546</v>
      </c>
      <c r="C346" s="14" t="str">
        <f>VLOOKUP($A346,PLAN!$B:$AC,4,0)</f>
        <v>2211018-C-A</v>
      </c>
      <c r="D346" s="14" t="str">
        <f>VLOOKUP($A346,PLAN!$B:$AC,5,0)</f>
        <v>HW60JL350P10000 NOCE</v>
      </c>
      <c r="E346" s="14" t="str">
        <f>VLOOKUP($A346,PLAN!$B:$AC,2,0)</f>
        <v>1001940485</v>
      </c>
      <c r="F346" s="15">
        <f>VLOOKUP($A346,PLAN!$B:$AC,7,0)</f>
        <v>46260</v>
      </c>
      <c r="G346" s="16" t="str">
        <f>VLOOKUP($A346,PLAN!$B:$AC,8,0)</f>
        <v>0103599618</v>
      </c>
      <c r="H346" s="16" t="str">
        <f>VLOOKUP($A346,PLAN!$B:$AC,9,0)</f>
        <v>260807C16A</v>
      </c>
      <c r="I346" s="16">
        <f>VLOOKUP($A346,PLAN!$B:$AC,10,0)</f>
        <v>15</v>
      </c>
      <c r="J346" s="17">
        <f>VLOOKUP($A346,PLAN!$B:$AC,21,0)</f>
        <v>46251</v>
      </c>
      <c r="K346" s="145" t="str">
        <f>VLOOKUP($A346,PLAN!$B:$AC,22,0)</f>
        <v>M9</v>
      </c>
      <c r="L346" s="1"/>
      <c r="M346" s="1"/>
      <c r="N346" s="1"/>
      <c r="O346" s="221" t="s">
        <v>79</v>
      </c>
      <c r="P346" s="220"/>
      <c r="Q346" s="18">
        <f>VLOOKUP(A346,PLAN!B:R,17,0)</f>
        <v>46249</v>
      </c>
    </row>
    <row r="347" spans="1:17" ht="18" hidden="1" customHeight="1">
      <c r="A347" s="329" t="s">
        <v>3696</v>
      </c>
      <c r="B347" s="14">
        <f>VLOOKUP($A347,PLAN!$B:$AC,3,0)</f>
        <v>11130530</v>
      </c>
      <c r="C347" s="14" t="str">
        <f>VLOOKUP($A347,PLAN!$B:$AC,4,0)</f>
        <v>2211002-C-A</v>
      </c>
      <c r="D347" s="14" t="str">
        <f>VLOOKUP($A347,PLAN!$B:$AC,5,0)</f>
        <v>HW60JR400P10000 NOCE</v>
      </c>
      <c r="E347" s="14" t="str">
        <f>VLOOKUP($A347,PLAN!$B:$AC,2,0)</f>
        <v>1001940486</v>
      </c>
      <c r="F347" s="15">
        <f>VLOOKUP($A347,PLAN!$B:$AC,7,0)</f>
        <v>46260</v>
      </c>
      <c r="G347" s="16" t="str">
        <f>VLOOKUP($A347,PLAN!$B:$AC,8,0)</f>
        <v>0103599619</v>
      </c>
      <c r="H347" s="16" t="str">
        <f>VLOOKUP($A347,PLAN!$B:$AC,9,0)</f>
        <v>260807C17A</v>
      </c>
      <c r="I347" s="16">
        <f>VLOOKUP($A347,PLAN!$B:$AC,10,0)</f>
        <v>30</v>
      </c>
      <c r="J347" s="17">
        <f>VLOOKUP($A347,PLAN!$B:$AC,21,0)</f>
        <v>46251</v>
      </c>
      <c r="K347" s="145" t="str">
        <f>VLOOKUP($A347,PLAN!$B:$AC,22,0)</f>
        <v>M9</v>
      </c>
      <c r="L347" s="1"/>
      <c r="M347" s="1"/>
      <c r="N347" s="1"/>
      <c r="O347" s="221" t="s">
        <v>79</v>
      </c>
      <c r="P347" s="220"/>
      <c r="Q347" s="18">
        <f>VLOOKUP(A347,PLAN!B:R,17,0)</f>
        <v>46249</v>
      </c>
    </row>
    <row r="348" spans="1:17" ht="18" hidden="1" customHeight="1">
      <c r="A348" s="329" t="s">
        <v>3697</v>
      </c>
      <c r="B348" s="14">
        <f>VLOOKUP($A348,PLAN!$B:$AC,3,0)</f>
        <v>11130547</v>
      </c>
      <c r="C348" s="14" t="str">
        <f>VLOOKUP($A348,PLAN!$B:$AC,4,0)</f>
        <v>2211019-C-A</v>
      </c>
      <c r="D348" s="14" t="str">
        <f>VLOOKUP($A348,PLAN!$B:$AC,5,0)</f>
        <v>HW60JL400P10000 NOCE</v>
      </c>
      <c r="E348" s="14" t="str">
        <f>VLOOKUP($A348,PLAN!$B:$AC,2,0)</f>
        <v>1001940487</v>
      </c>
      <c r="F348" s="15">
        <f>VLOOKUP($A348,PLAN!$B:$AC,7,0)</f>
        <v>46260</v>
      </c>
      <c r="G348" s="16" t="str">
        <f>VLOOKUP($A348,PLAN!$B:$AC,8,0)</f>
        <v>0103599620</v>
      </c>
      <c r="H348" s="16" t="str">
        <f>VLOOKUP($A348,PLAN!$B:$AC,9,0)</f>
        <v>260807C18A</v>
      </c>
      <c r="I348" s="16">
        <f>VLOOKUP($A348,PLAN!$B:$AC,10,0)</f>
        <v>5</v>
      </c>
      <c r="J348" s="17">
        <f>VLOOKUP($A348,PLAN!$B:$AC,21,0)</f>
        <v>46251</v>
      </c>
      <c r="K348" s="145" t="str">
        <f>VLOOKUP($A348,PLAN!$B:$AC,22,0)</f>
        <v>M9</v>
      </c>
      <c r="L348" s="1"/>
      <c r="M348" s="1"/>
      <c r="N348" s="1"/>
      <c r="O348" s="221" t="s">
        <v>79</v>
      </c>
      <c r="P348" s="220"/>
      <c r="Q348" s="18">
        <f>VLOOKUP(A348,PLAN!B:R,17,0)</f>
        <v>46249</v>
      </c>
    </row>
    <row r="349" spans="1:17" ht="18" hidden="1" customHeight="1">
      <c r="A349" s="329" t="s">
        <v>3698</v>
      </c>
      <c r="B349" s="14">
        <f>VLOOKUP($A349,PLAN!$B:$AC,3,0)</f>
        <v>11119391</v>
      </c>
      <c r="C349" s="14" t="str">
        <f>VLOOKUP($A349,PLAN!$B:$AC,4,0)</f>
        <v>1911059-D-A</v>
      </c>
      <c r="D349" s="14" t="str">
        <f>VLOOKUP($A349,PLAN!$B:$AC,5,0)</f>
        <v>HJ60JR400P10020 JP</v>
      </c>
      <c r="E349" s="14" t="str">
        <f>VLOOKUP($A349,PLAN!$B:$AC,2,0)</f>
        <v>1001940488</v>
      </c>
      <c r="F349" s="15">
        <f>VLOOKUP($A349,PLAN!$B:$AC,7,0)</f>
        <v>46260</v>
      </c>
      <c r="G349" s="16" t="str">
        <f>VLOOKUP($A349,PLAN!$B:$AC,8,0)</f>
        <v>0103599621</v>
      </c>
      <c r="H349" s="16" t="str">
        <f>VLOOKUP($A349,PLAN!$B:$AC,9,0)</f>
        <v>260807C19A</v>
      </c>
      <c r="I349" s="16">
        <f>VLOOKUP($A349,PLAN!$B:$AC,10,0)</f>
        <v>541</v>
      </c>
      <c r="J349" s="17">
        <f>VLOOKUP($A349,PLAN!$B:$AC,21,0)</f>
        <v>46251</v>
      </c>
      <c r="K349" s="145" t="str">
        <f>VLOOKUP($A349,PLAN!$B:$AC,22,0)</f>
        <v>M9</v>
      </c>
      <c r="L349" s="1"/>
      <c r="M349" s="1"/>
      <c r="N349" s="1"/>
      <c r="O349" s="221" t="s">
        <v>79</v>
      </c>
      <c r="P349" s="220"/>
      <c r="Q349" s="18">
        <f>VLOOKUP(A349,PLAN!B:R,17,0)</f>
        <v>46249</v>
      </c>
    </row>
    <row r="350" spans="1:17" ht="18" hidden="1" customHeight="1">
      <c r="A350" s="329" t="s">
        <v>3700</v>
      </c>
      <c r="B350" s="14">
        <f>VLOOKUP($A350,PLAN!$B:$AC,3,0)</f>
        <v>11119509</v>
      </c>
      <c r="C350" s="14" t="str">
        <f>VLOOKUP($A350,PLAN!$B:$AC,4,0)</f>
        <v>1911175-D-A</v>
      </c>
      <c r="D350" s="14" t="str">
        <f>VLOOKUP($A350,PLAN!$B:$AC,5,0)</f>
        <v>HJ70JR402P10020 JP</v>
      </c>
      <c r="E350" s="14" t="str">
        <f>VLOOKUP($A350,PLAN!$B:$AC,2,0)</f>
        <v>1001940490</v>
      </c>
      <c r="F350" s="15">
        <f>VLOOKUP($A350,PLAN!$B:$AC,7,0)</f>
        <v>46260</v>
      </c>
      <c r="G350" s="16" t="str">
        <f>VLOOKUP($A350,PLAN!$B:$AC,8,0)</f>
        <v>0103599623</v>
      </c>
      <c r="H350" s="16" t="str">
        <f>VLOOKUP($A350,PLAN!$B:$AC,9,0)</f>
        <v>260807C21A</v>
      </c>
      <c r="I350" s="16">
        <f>VLOOKUP($A350,PLAN!$B:$AC,10,0)</f>
        <v>92</v>
      </c>
      <c r="J350" s="17">
        <f>VLOOKUP($A350,PLAN!$B:$AC,21,0)</f>
        <v>46251</v>
      </c>
      <c r="K350" s="145" t="str">
        <f>VLOOKUP($A350,PLAN!$B:$AC,22,0)</f>
        <v>M9</v>
      </c>
      <c r="L350" s="1"/>
      <c r="M350" s="1"/>
      <c r="N350" s="1"/>
      <c r="O350" s="221" t="s">
        <v>79</v>
      </c>
      <c r="P350" s="220"/>
      <c r="Q350" s="18">
        <f>VLOOKUP(A350,PLAN!B:R,17,0)</f>
        <v>46249</v>
      </c>
    </row>
    <row r="351" spans="1:17" ht="18" hidden="1" customHeight="1">
      <c r="A351" s="329" t="s">
        <v>3701</v>
      </c>
      <c r="B351" s="14">
        <f>VLOOKUP($A351,PLAN!$B:$AC,3,0)</f>
        <v>11134260</v>
      </c>
      <c r="C351" s="14" t="str">
        <f>VLOOKUP($A351,PLAN!$B:$AC,4,0)</f>
        <v>1911097-F-A</v>
      </c>
      <c r="D351" s="14" t="str">
        <f>VLOOKUP($A351,PLAN!$B:$AC,5,0)</f>
        <v>HJ60SP350P10000 JP</v>
      </c>
      <c r="E351" s="14" t="str">
        <f>VLOOKUP($A351,PLAN!$B:$AC,2,0)</f>
        <v>1001940491</v>
      </c>
      <c r="F351" s="15">
        <f>VLOOKUP($A351,PLAN!$B:$AC,7,0)</f>
        <v>46260</v>
      </c>
      <c r="G351" s="16" t="str">
        <f>VLOOKUP($A351,PLAN!$B:$AC,8,0)</f>
        <v>0103599624</v>
      </c>
      <c r="H351" s="16" t="str">
        <f>VLOOKUP($A351,PLAN!$B:$AC,9,0)</f>
        <v>260807C22A</v>
      </c>
      <c r="I351" s="16">
        <f>VLOOKUP($A351,PLAN!$B:$AC,10,0)</f>
        <v>141</v>
      </c>
      <c r="J351" s="17">
        <f>VLOOKUP($A351,PLAN!$B:$AC,21,0)</f>
        <v>46251</v>
      </c>
      <c r="K351" s="145" t="str">
        <f>VLOOKUP($A351,PLAN!$B:$AC,22,0)</f>
        <v>M10</v>
      </c>
      <c r="L351" s="1"/>
      <c r="M351" s="1"/>
      <c r="N351" s="1"/>
      <c r="O351" s="221" t="s">
        <v>79</v>
      </c>
      <c r="P351" s="220"/>
      <c r="Q351" s="18">
        <f>VLOOKUP(A351,PLAN!B:R,17,0)</f>
        <v>46249</v>
      </c>
    </row>
    <row r="352" spans="1:17" ht="18" hidden="1" customHeight="1">
      <c r="A352" s="329" t="s">
        <v>3702</v>
      </c>
      <c r="B352" s="14">
        <f>VLOOKUP($A352,PLAN!$B:$AC,3,0)</f>
        <v>11134262</v>
      </c>
      <c r="C352" s="14" t="str">
        <f>VLOOKUP($A352,PLAN!$B:$AC,4,0)</f>
        <v>1911099-F-A</v>
      </c>
      <c r="D352" s="14" t="str">
        <f>VLOOKUP($A352,PLAN!$B:$AC,5,0)</f>
        <v>HJ60SP370P10000 JP</v>
      </c>
      <c r="E352" s="14" t="str">
        <f>VLOOKUP($A352,PLAN!$B:$AC,2,0)</f>
        <v>1001940492</v>
      </c>
      <c r="F352" s="15">
        <f>VLOOKUP($A352,PLAN!$B:$AC,7,0)</f>
        <v>46260</v>
      </c>
      <c r="G352" s="16" t="str">
        <f>VLOOKUP($A352,PLAN!$B:$AC,8,0)</f>
        <v>0103599625</v>
      </c>
      <c r="H352" s="16" t="str">
        <f>VLOOKUP($A352,PLAN!$B:$AC,9,0)</f>
        <v>260807C23A</v>
      </c>
      <c r="I352" s="16">
        <f>VLOOKUP($A352,PLAN!$B:$AC,10,0)</f>
        <v>230</v>
      </c>
      <c r="J352" s="17">
        <f>VLOOKUP($A352,PLAN!$B:$AC,21,0)</f>
        <v>46251</v>
      </c>
      <c r="K352" s="145" t="str">
        <f>VLOOKUP($A352,PLAN!$B:$AC,22,0)</f>
        <v>M10</v>
      </c>
      <c r="L352" s="1"/>
      <c r="M352" s="1"/>
      <c r="N352" s="1"/>
      <c r="O352" s="221" t="s">
        <v>79</v>
      </c>
      <c r="P352" s="220"/>
      <c r="Q352" s="18">
        <f>VLOOKUP(A352,PLAN!B:R,17,0)</f>
        <v>46249</v>
      </c>
    </row>
    <row r="353" spans="1:17" ht="18" hidden="1" customHeight="1">
      <c r="A353" s="329" t="s">
        <v>3703</v>
      </c>
      <c r="B353" s="14">
        <f>VLOOKUP($A353,PLAN!$B:$AC,3,0)</f>
        <v>11134281</v>
      </c>
      <c r="C353" s="14" t="str">
        <f>VLOOKUP($A353,PLAN!$B:$AC,4,0)</f>
        <v>1911224-F-A</v>
      </c>
      <c r="D353" s="14" t="str">
        <f>VLOOKUP($A353,PLAN!$B:$AC,5,0)</f>
        <v>HJ70SP350P10000 JP</v>
      </c>
      <c r="E353" s="14" t="str">
        <f>VLOOKUP($A353,PLAN!$B:$AC,2,0)</f>
        <v>1001940493</v>
      </c>
      <c r="F353" s="15">
        <f>VLOOKUP($A353,PLAN!$B:$AC,7,0)</f>
        <v>46260</v>
      </c>
      <c r="G353" s="16" t="str">
        <f>VLOOKUP($A353,PLAN!$B:$AC,8,0)</f>
        <v>0103599626</v>
      </c>
      <c r="H353" s="16" t="str">
        <f>VLOOKUP($A353,PLAN!$B:$AC,9,0)</f>
        <v>260807C24A</v>
      </c>
      <c r="I353" s="16">
        <f>VLOOKUP($A353,PLAN!$B:$AC,10,0)</f>
        <v>302</v>
      </c>
      <c r="J353" s="17">
        <f>VLOOKUP($A353,PLAN!$B:$AC,21,0)</f>
        <v>46251</v>
      </c>
      <c r="K353" s="145" t="str">
        <f>VLOOKUP($A353,PLAN!$B:$AC,22,0)</f>
        <v>M10</v>
      </c>
      <c r="L353" s="1"/>
      <c r="M353" s="1"/>
      <c r="N353" s="1"/>
      <c r="O353" s="221" t="s">
        <v>79</v>
      </c>
      <c r="P353" s="220"/>
      <c r="Q353" s="18">
        <f>VLOOKUP(A353,PLAN!B:R,17,0)</f>
        <v>46249</v>
      </c>
    </row>
    <row r="354" spans="1:17" ht="17.25" hidden="1" customHeight="1">
      <c r="A354" s="378" t="s">
        <v>3810</v>
      </c>
      <c r="B354" s="14">
        <f>VLOOKUP($A354,PLAN!$B:$AC,3,0)</f>
        <v>12127738</v>
      </c>
      <c r="C354" s="14" t="str">
        <f>VLOOKUP($A354,PLAN!$B:$AC,4,0)</f>
        <v>PR1944007-0-A</v>
      </c>
      <c r="D354" s="14" t="str">
        <f>VLOOKUP($A354,PLAN!$B:$AC,5,0)</f>
        <v>2009015 Tellus</v>
      </c>
      <c r="E354" s="14" t="str">
        <f>VLOOKUP($A354,PLAN!$B:$AC,2,0)</f>
        <v>1001941083</v>
      </c>
      <c r="F354" s="15">
        <f>VLOOKUP($A354,PLAN!$B:$AC,7,0)</f>
        <v>46260</v>
      </c>
      <c r="G354" s="16" t="str">
        <f>VLOOKUP($A354,PLAN!$B:$AC,8,0)</f>
        <v>0103600407</v>
      </c>
      <c r="H354" s="16" t="str">
        <f>VLOOKUP($A354,PLAN!$B:$AC,9,0)</f>
        <v>260807K14A</v>
      </c>
      <c r="I354" s="16">
        <f>VLOOKUP($A354,PLAN!$B:$AC,10,0)</f>
        <v>123</v>
      </c>
      <c r="J354" s="17">
        <f>VLOOKUP($A354,PLAN!$B:$AC,21,0)</f>
        <v>46251</v>
      </c>
      <c r="K354" s="145" t="str">
        <f>VLOOKUP($A354,PLAN!$B:$AC,22,0)</f>
        <v>M10</v>
      </c>
      <c r="L354" s="1"/>
      <c r="M354" s="1"/>
      <c r="N354" s="1"/>
      <c r="O354" s="221" t="s">
        <v>79</v>
      </c>
      <c r="P354" s="220"/>
      <c r="Q354" s="18">
        <f>VLOOKUP(A354,PLAN!B:R,17,0)</f>
        <v>46249</v>
      </c>
    </row>
    <row r="355" spans="1:17" ht="17.25" hidden="1" customHeight="1">
      <c r="A355" s="378" t="s">
        <v>3734</v>
      </c>
      <c r="B355" s="14">
        <f>VLOOKUP($A355,PLAN!$B:$AC,3,0)</f>
        <v>11134401</v>
      </c>
      <c r="C355" s="14" t="str">
        <f>VLOOKUP($A355,PLAN!$B:$AC,4,0)</f>
        <v>1941102-C-A</v>
      </c>
      <c r="D355" s="14" t="str">
        <f>VLOOKUP($A355,PLAN!$B:$AC,5,0)</f>
        <v>CRV135-19P US2</v>
      </c>
      <c r="E355" s="14" t="str">
        <f>VLOOKUP($A355,PLAN!$B:$AC,2,0)</f>
        <v>1001940464</v>
      </c>
      <c r="F355" s="15">
        <f>VLOOKUP($A355,PLAN!$B:$AC,7,0)</f>
        <v>46261</v>
      </c>
      <c r="G355" s="16" t="str">
        <f>VLOOKUP($A355,PLAN!$B:$AC,8,0)</f>
        <v>0103599597</v>
      </c>
      <c r="H355" s="16" t="str">
        <f>VLOOKUP($A355,PLAN!$B:$AC,9,0)</f>
        <v>260807K08A</v>
      </c>
      <c r="I355" s="16">
        <f>VLOOKUP($A355,PLAN!$B:$AC,10,0)</f>
        <v>1075</v>
      </c>
      <c r="J355" s="17">
        <f>VLOOKUP($A355,PLAN!$B:$AC,21,0)</f>
        <v>46252</v>
      </c>
      <c r="K355" s="145" t="str">
        <f>VLOOKUP($A355,PLAN!$B:$AC,22,0)</f>
        <v>M8</v>
      </c>
      <c r="L355" s="1"/>
      <c r="M355" s="1"/>
      <c r="N355" s="1"/>
      <c r="O355" s="221" t="s">
        <v>79</v>
      </c>
      <c r="P355" s="220"/>
      <c r="Q355" s="18">
        <f>VLOOKUP(A355,PLAN!B:R,17,0)</f>
        <v>46251</v>
      </c>
    </row>
    <row r="356" spans="1:17" ht="17.25" hidden="1" customHeight="1">
      <c r="A356" s="378" t="s">
        <v>3735</v>
      </c>
      <c r="B356" s="14">
        <f>VLOOKUP($A356,PLAN!$B:$AC,3,0)</f>
        <v>11135418</v>
      </c>
      <c r="C356" s="14" t="str">
        <f>VLOOKUP($A356,PLAN!$B:$AC,4,0)</f>
        <v>2141056-D-A</v>
      </c>
      <c r="D356" s="14" t="str">
        <f>VLOOKUP($A356,PLAN!$B:$AC,5,0)</f>
        <v>CRV135-19P KR</v>
      </c>
      <c r="E356" s="14" t="str">
        <f>VLOOKUP($A356,PLAN!$B:$AC,2,0)</f>
        <v>1001940465</v>
      </c>
      <c r="F356" s="15">
        <f>VLOOKUP($A356,PLAN!$B:$AC,7,0)</f>
        <v>46261</v>
      </c>
      <c r="G356" s="16" t="str">
        <f>VLOOKUP($A356,PLAN!$B:$AC,8,0)</f>
        <v>0103599598</v>
      </c>
      <c r="H356" s="16" t="str">
        <f>VLOOKUP($A356,PLAN!$B:$AC,9,0)</f>
        <v>260807K09A</v>
      </c>
      <c r="I356" s="16">
        <f>VLOOKUP($A356,PLAN!$B:$AC,10,0)</f>
        <v>64</v>
      </c>
      <c r="J356" s="17">
        <f>VLOOKUP($A356,PLAN!$B:$AC,21,0)</f>
        <v>46252</v>
      </c>
      <c r="K356" s="145" t="str">
        <f>VLOOKUP($A356,PLAN!$B:$AC,22,0)</f>
        <v>M8</v>
      </c>
      <c r="L356" s="1"/>
      <c r="M356" s="1"/>
      <c r="N356" s="1"/>
      <c r="O356" s="221" t="s">
        <v>79</v>
      </c>
      <c r="P356" s="220"/>
      <c r="Q356" s="18">
        <f>VLOOKUP(A356,PLAN!B:R,17,0)</f>
        <v>46251</v>
      </c>
    </row>
    <row r="357" spans="1:17" ht="17.25" hidden="1" customHeight="1">
      <c r="A357" s="378" t="s">
        <v>3736</v>
      </c>
      <c r="B357" s="14">
        <f>VLOOKUP($A357,PLAN!$B:$AC,3,0)</f>
        <v>11135419</v>
      </c>
      <c r="C357" s="14" t="str">
        <f>VLOOKUP($A357,PLAN!$B:$AC,4,0)</f>
        <v>2141057-D-A</v>
      </c>
      <c r="D357" s="14" t="str">
        <f>VLOOKUP($A357,PLAN!$B:$AC,5,0)</f>
        <v>CRV150-19P KR</v>
      </c>
      <c r="E357" s="14" t="str">
        <f>VLOOKUP($A357,PLAN!$B:$AC,2,0)</f>
        <v>1001940466</v>
      </c>
      <c r="F357" s="15">
        <f>VLOOKUP($A357,PLAN!$B:$AC,7,0)</f>
        <v>46261</v>
      </c>
      <c r="G357" s="16" t="str">
        <f>VLOOKUP($A357,PLAN!$B:$AC,8,0)</f>
        <v>0103599599</v>
      </c>
      <c r="H357" s="16" t="str">
        <f>VLOOKUP($A357,PLAN!$B:$AC,9,0)</f>
        <v>260807K10A</v>
      </c>
      <c r="I357" s="16">
        <f>VLOOKUP($A357,PLAN!$B:$AC,10,0)</f>
        <v>48</v>
      </c>
      <c r="J357" s="17">
        <f>VLOOKUP($A357,PLAN!$B:$AC,21,0)</f>
        <v>46252</v>
      </c>
      <c r="K357" s="145" t="str">
        <f>VLOOKUP($A357,PLAN!$B:$AC,22,0)</f>
        <v>M8</v>
      </c>
      <c r="L357" s="1"/>
      <c r="M357" s="1"/>
      <c r="N357" s="1"/>
      <c r="O357" s="221" t="s">
        <v>79</v>
      </c>
      <c r="P357" s="220"/>
      <c r="Q357" s="18">
        <f>VLOOKUP(A357,PLAN!B:R,17,0)</f>
        <v>46251</v>
      </c>
    </row>
    <row r="358" spans="1:17" ht="17.25" hidden="1" customHeight="1">
      <c r="A358" s="378" t="s">
        <v>3737</v>
      </c>
      <c r="B358" s="14">
        <f>VLOOKUP($A358,PLAN!$B:$AC,3,0)</f>
        <v>11122087</v>
      </c>
      <c r="C358" s="14" t="str">
        <f>VLOOKUP($A358,PLAN!$B:$AC,4,0)</f>
        <v>2341003-B-A</v>
      </c>
      <c r="D358" s="14" t="str">
        <f>VLOOKUP($A358,PLAN!$B:$AC,5,0)</f>
        <v>CRV135-19P CE3</v>
      </c>
      <c r="E358" s="14" t="str">
        <f>VLOOKUP($A358,PLAN!$B:$AC,2,0)</f>
        <v>1001940467</v>
      </c>
      <c r="F358" s="15">
        <f>VLOOKUP($A358,PLAN!$B:$AC,7,0)</f>
        <v>46261</v>
      </c>
      <c r="G358" s="16" t="str">
        <f>VLOOKUP($A358,PLAN!$B:$AC,8,0)</f>
        <v>0103599600</v>
      </c>
      <c r="H358" s="16" t="str">
        <f>VLOOKUP($A358,PLAN!$B:$AC,9,0)</f>
        <v>260807K11A</v>
      </c>
      <c r="I358" s="16">
        <f>VLOOKUP($A358,PLAN!$B:$AC,10,0)</f>
        <v>799</v>
      </c>
      <c r="J358" s="17">
        <f>VLOOKUP($A358,PLAN!$B:$AC,21,0)</f>
        <v>46252</v>
      </c>
      <c r="K358" s="145" t="str">
        <f>VLOOKUP($A358,PLAN!$B:$AC,22,0)</f>
        <v>M8</v>
      </c>
      <c r="L358" s="1"/>
      <c r="M358" s="1"/>
      <c r="N358" s="1"/>
      <c r="O358" s="221" t="s">
        <v>79</v>
      </c>
      <c r="P358" s="220"/>
      <c r="Q358" s="18">
        <f>VLOOKUP(A358,PLAN!B:R,17,0)</f>
        <v>46251</v>
      </c>
    </row>
    <row r="359" spans="1:17" ht="17.25" hidden="1" customHeight="1">
      <c r="A359" s="378" t="s">
        <v>3738</v>
      </c>
      <c r="B359" s="14">
        <f>VLOOKUP($A359,PLAN!$B:$AC,3,0)</f>
        <v>11122088</v>
      </c>
      <c r="C359" s="14" t="str">
        <f>VLOOKUP($A359,PLAN!$B:$AC,4,0)</f>
        <v>2341004-B-A</v>
      </c>
      <c r="D359" s="14" t="str">
        <f>VLOOKUP($A359,PLAN!$B:$AC,5,0)</f>
        <v>CRV150-19P CE3</v>
      </c>
      <c r="E359" s="14" t="str">
        <f>VLOOKUP($A359,PLAN!$B:$AC,2,0)</f>
        <v>1001940468</v>
      </c>
      <c r="F359" s="15">
        <f>VLOOKUP($A359,PLAN!$B:$AC,7,0)</f>
        <v>46261</v>
      </c>
      <c r="G359" s="16" t="str">
        <f>VLOOKUP($A359,PLAN!$B:$AC,8,0)</f>
        <v>0103599601</v>
      </c>
      <c r="H359" s="16" t="str">
        <f>VLOOKUP($A359,PLAN!$B:$AC,9,0)</f>
        <v>260807K12A</v>
      </c>
      <c r="I359" s="16">
        <f>VLOOKUP($A359,PLAN!$B:$AC,10,0)</f>
        <v>160</v>
      </c>
      <c r="J359" s="17">
        <f>VLOOKUP($A359,PLAN!$B:$AC,21,0)</f>
        <v>46252</v>
      </c>
      <c r="K359" s="145" t="str">
        <f>VLOOKUP($A359,PLAN!$B:$AC,22,0)</f>
        <v>M8</v>
      </c>
      <c r="L359" s="1"/>
      <c r="M359" s="1"/>
      <c r="N359" s="1"/>
      <c r="O359" s="221" t="s">
        <v>79</v>
      </c>
      <c r="P359" s="220"/>
      <c r="Q359" s="18">
        <f>VLOOKUP(A359,PLAN!B:R,17,0)</f>
        <v>46251</v>
      </c>
    </row>
    <row r="360" spans="1:17" ht="17.25" hidden="1" customHeight="1">
      <c r="A360" s="378" t="s">
        <v>3739</v>
      </c>
      <c r="B360" s="14">
        <f>VLOOKUP($A360,PLAN!$B:$AC,3,0)</f>
        <v>11125154</v>
      </c>
      <c r="C360" s="14" t="str">
        <f>VLOOKUP($A360,PLAN!$B:$AC,4,0)</f>
        <v>1941023-F-A</v>
      </c>
      <c r="D360" s="14" t="str">
        <f>VLOOKUP($A360,PLAN!$B:$AC,5,0)</f>
        <v>MST125-27HFR JP</v>
      </c>
      <c r="E360" s="14" t="str">
        <f>VLOOKUP($A360,PLAN!$B:$AC,2,0)</f>
        <v>1001940469</v>
      </c>
      <c r="F360" s="15">
        <f>VLOOKUP($A360,PLAN!$B:$AC,7,0)</f>
        <v>46261</v>
      </c>
      <c r="G360" s="16" t="str">
        <f>VLOOKUP($A360,PLAN!$B:$AC,8,0)</f>
        <v>0103599602</v>
      </c>
      <c r="H360" s="16" t="str">
        <f>VLOOKUP($A360,PLAN!$B:$AC,9,0)</f>
        <v>260807K13A</v>
      </c>
      <c r="I360" s="16">
        <f>VLOOKUP($A360,PLAN!$B:$AC,10,0)</f>
        <v>196</v>
      </c>
      <c r="J360" s="17">
        <f>VLOOKUP($A360,PLAN!$B:$AC,21,0)</f>
        <v>46252</v>
      </c>
      <c r="K360" s="145" t="str">
        <f>VLOOKUP($A360,PLAN!$B:$AC,22,0)</f>
        <v>M8</v>
      </c>
      <c r="L360" s="1"/>
      <c r="M360" s="1"/>
      <c r="N360" s="1"/>
      <c r="O360" s="221" t="s">
        <v>79</v>
      </c>
      <c r="P360" s="220"/>
      <c r="Q360" s="18">
        <f>VLOOKUP(A360,PLAN!B:R,17,0)</f>
        <v>46251</v>
      </c>
    </row>
    <row r="361" spans="1:17" ht="17.25" hidden="1" customHeight="1">
      <c r="A361" s="378" t="s">
        <v>3699</v>
      </c>
      <c r="B361" s="14">
        <f>VLOOKUP($A361,PLAN!$B:$AC,3,0)</f>
        <v>11119507</v>
      </c>
      <c r="C361" s="14" t="str">
        <f>VLOOKUP($A361,PLAN!$B:$AC,4,0)</f>
        <v>1911173-D-A</v>
      </c>
      <c r="D361" s="14" t="str">
        <f>VLOOKUP($A361,PLAN!$B:$AC,5,0)</f>
        <v>HJ70JR400P10020 JP</v>
      </c>
      <c r="E361" s="14" t="str">
        <f>VLOOKUP($A361,PLAN!$B:$AC,2,0)</f>
        <v>1001940489</v>
      </c>
      <c r="F361" s="15">
        <f>VLOOKUP($A361,PLAN!$B:$AC,7,0)</f>
        <v>46260</v>
      </c>
      <c r="G361" s="16" t="str">
        <f>VLOOKUP($A361,PLAN!$B:$AC,8,0)</f>
        <v>0103599622</v>
      </c>
      <c r="H361" s="16" t="str">
        <f>VLOOKUP($A361,PLAN!$B:$AC,9,0)</f>
        <v>260807C20A</v>
      </c>
      <c r="I361" s="16">
        <f>VLOOKUP($A361,PLAN!$B:$AC,10,0)</f>
        <v>99</v>
      </c>
      <c r="J361" s="17">
        <f>VLOOKUP($A361,PLAN!$B:$AC,21,0)</f>
        <v>46252</v>
      </c>
      <c r="K361" s="145" t="str">
        <f>VLOOKUP($A361,PLAN!$B:$AC,22,0)</f>
        <v>M9</v>
      </c>
      <c r="L361" s="1"/>
      <c r="M361" s="1"/>
      <c r="N361" s="1"/>
      <c r="O361" s="221" t="s">
        <v>79</v>
      </c>
      <c r="P361" s="220"/>
      <c r="Q361" s="18">
        <f>VLOOKUP(A361,PLAN!B:R,17,0)</f>
        <v>46251</v>
      </c>
    </row>
    <row r="362" spans="1:17" ht="17.25" hidden="1" customHeight="1">
      <c r="A362" s="329" t="s">
        <v>3740</v>
      </c>
      <c r="B362" s="14">
        <f>VLOOKUP($A362,PLAN!$B:$AC,3,0)</f>
        <v>11119351</v>
      </c>
      <c r="C362" s="14" t="str">
        <f>VLOOKUP($A362,PLAN!$B:$AC,4,0)</f>
        <v>1911019-D-A</v>
      </c>
      <c r="D362" s="14" t="str">
        <f>VLOOKUP($A362,PLAN!$B:$AC,5,0)</f>
        <v>HJ60CP152P10020 JP</v>
      </c>
      <c r="E362" s="14" t="str">
        <f>VLOOKUP($A362,PLAN!$B:$AC,2,0)</f>
        <v>1001941061</v>
      </c>
      <c r="F362" s="15">
        <f>VLOOKUP($A362,PLAN!$B:$AC,7,0)</f>
        <v>46261</v>
      </c>
      <c r="G362" s="16" t="str">
        <f>VLOOKUP($A362,PLAN!$B:$AC,8,0)</f>
        <v>0103600385</v>
      </c>
      <c r="H362" s="16" t="str">
        <f>VLOOKUP($A362,PLAN!$B:$AC,9,0)</f>
        <v>260807C29A</v>
      </c>
      <c r="I362" s="16">
        <f>VLOOKUP($A362,PLAN!$B:$AC,10,0)</f>
        <v>1</v>
      </c>
      <c r="J362" s="17">
        <f>VLOOKUP($A362,PLAN!$B:$AC,21,0)</f>
        <v>46252</v>
      </c>
      <c r="K362" s="145" t="str">
        <f>VLOOKUP($A362,PLAN!$B:$AC,22,0)</f>
        <v>M9</v>
      </c>
      <c r="L362" s="1"/>
      <c r="M362" s="1"/>
      <c r="N362" s="1"/>
      <c r="O362" s="221" t="s">
        <v>79</v>
      </c>
      <c r="P362" s="220"/>
      <c r="Q362" s="18">
        <f>VLOOKUP(A362,PLAN!B:R,17,0)</f>
        <v>46251</v>
      </c>
    </row>
    <row r="363" spans="1:17" ht="17.25" hidden="1" customHeight="1">
      <c r="A363" s="329" t="s">
        <v>3926</v>
      </c>
      <c r="B363" s="14">
        <f>VLOOKUP($A363,PLAN!$B:$AC,3,0)</f>
        <v>11119503</v>
      </c>
      <c r="C363" s="14" t="str">
        <f>VLOOKUP($A363,PLAN!$B:$AC,4,0)</f>
        <v>1911169-D-A</v>
      </c>
      <c r="D363" s="14" t="str">
        <f>VLOOKUP($A363,PLAN!$B:$AC,5,0)</f>
        <v>HJ70JR350P10020 JP</v>
      </c>
      <c r="E363" s="14" t="str">
        <f>VLOOKUP($A363,PLAN!$B:$AC,2,0)</f>
        <v>1001941062</v>
      </c>
      <c r="F363" s="15">
        <f>VLOOKUP($A363,PLAN!$B:$AC,7,0)</f>
        <v>46261</v>
      </c>
      <c r="G363" s="16" t="str">
        <f>VLOOKUP($A363,PLAN!$B:$AC,8,0)</f>
        <v>0103600386</v>
      </c>
      <c r="H363" s="16" t="str">
        <f>VLOOKUP($A363,PLAN!$B:$AC,9,0)</f>
        <v>260807C30A</v>
      </c>
      <c r="I363" s="16">
        <f>VLOOKUP($A363,PLAN!$B:$AC,10,0)</f>
        <v>4</v>
      </c>
      <c r="J363" s="17">
        <f>VLOOKUP($A363,PLAN!$B:$AC,21,0)</f>
        <v>46252</v>
      </c>
      <c r="K363" s="145" t="str">
        <f>VLOOKUP($A363,PLAN!$B:$AC,22,0)</f>
        <v>M9</v>
      </c>
      <c r="L363" s="1"/>
      <c r="M363" s="1"/>
      <c r="N363" s="1"/>
      <c r="O363" s="221" t="s">
        <v>79</v>
      </c>
      <c r="P363" s="220"/>
      <c r="Q363" s="18">
        <f>VLOOKUP(A363,PLAN!B:R,17,0)</f>
        <v>46251</v>
      </c>
    </row>
    <row r="364" spans="1:17" ht="17.25" hidden="1" customHeight="1">
      <c r="A364" s="329" t="s">
        <v>3927</v>
      </c>
      <c r="B364" s="14">
        <f>VLOOKUP($A364,PLAN!$B:$AC,3,0)</f>
        <v>11119378</v>
      </c>
      <c r="C364" s="14" t="str">
        <f>VLOOKUP($A364,PLAN!$B:$AC,4,0)</f>
        <v>1911046-D-A</v>
      </c>
      <c r="D364" s="14" t="str">
        <f>VLOOKUP($A364,PLAN!$B:$AC,5,0)</f>
        <v>HJ60JL402P09020 JP</v>
      </c>
      <c r="E364" s="14" t="str">
        <f>VLOOKUP($A364,PLAN!$B:$AC,2,0)</f>
        <v>1001941063</v>
      </c>
      <c r="F364" s="15">
        <f>VLOOKUP($A364,PLAN!$B:$AC,7,0)</f>
        <v>46261</v>
      </c>
      <c r="G364" s="16" t="str">
        <f>VLOOKUP($A364,PLAN!$B:$AC,8,0)</f>
        <v>0103600387</v>
      </c>
      <c r="H364" s="16" t="str">
        <f>VLOOKUP($A364,PLAN!$B:$AC,9,0)</f>
        <v>260807C31A</v>
      </c>
      <c r="I364" s="16">
        <f>VLOOKUP($A364,PLAN!$B:$AC,10,0)</f>
        <v>4</v>
      </c>
      <c r="J364" s="17">
        <f>VLOOKUP($A364,PLAN!$B:$AC,21,0)</f>
        <v>46252</v>
      </c>
      <c r="K364" s="145" t="str">
        <f>VLOOKUP($A364,PLAN!$B:$AC,22,0)</f>
        <v>M9</v>
      </c>
      <c r="L364" s="1"/>
      <c r="M364" s="1"/>
      <c r="N364" s="1"/>
      <c r="O364" s="221" t="s">
        <v>79</v>
      </c>
      <c r="P364" s="220"/>
      <c r="Q364" s="18">
        <f>VLOOKUP(A364,PLAN!B:R,17,0)</f>
        <v>46251</v>
      </c>
    </row>
    <row r="365" spans="1:17" ht="17.25" hidden="1" customHeight="1">
      <c r="A365" s="329" t="s">
        <v>3928</v>
      </c>
      <c r="B365" s="14">
        <f>VLOOKUP($A365,PLAN!$B:$AC,3,0)</f>
        <v>11119337</v>
      </c>
      <c r="C365" s="14" t="str">
        <f>VLOOKUP($A365,PLAN!$B:$AC,4,0)</f>
        <v>1911005-E-A</v>
      </c>
      <c r="D365" s="14" t="str">
        <f>VLOOKUP($A365,PLAN!$B:$AC,5,0)</f>
        <v>HJ60AL100P10020 JP</v>
      </c>
      <c r="E365" s="14" t="str">
        <f>VLOOKUP($A365,PLAN!$B:$AC,2,0)</f>
        <v>1001941064</v>
      </c>
      <c r="F365" s="15">
        <f>VLOOKUP($A365,PLAN!$B:$AC,7,0)</f>
        <v>46261</v>
      </c>
      <c r="G365" s="16" t="str">
        <f>VLOOKUP($A365,PLAN!$B:$AC,8,0)</f>
        <v>0103600388</v>
      </c>
      <c r="H365" s="16" t="str">
        <f>VLOOKUP($A365,PLAN!$B:$AC,9,0)</f>
        <v>260807C32A</v>
      </c>
      <c r="I365" s="16">
        <f>VLOOKUP($A365,PLAN!$B:$AC,10,0)</f>
        <v>39</v>
      </c>
      <c r="J365" s="17">
        <f>VLOOKUP($A365,PLAN!$B:$AC,21,0)</f>
        <v>46252</v>
      </c>
      <c r="K365" s="145" t="str">
        <f>VLOOKUP($A365,PLAN!$B:$AC,22,0)</f>
        <v>M9</v>
      </c>
      <c r="L365" s="1"/>
      <c r="M365" s="1"/>
      <c r="N365" s="1"/>
      <c r="O365" s="221" t="s">
        <v>79</v>
      </c>
      <c r="P365" s="220"/>
      <c r="Q365" s="18">
        <f>VLOOKUP(A365,PLAN!B:R,17,0)</f>
        <v>46251</v>
      </c>
    </row>
    <row r="366" spans="1:17" ht="17.25" hidden="1" customHeight="1">
      <c r="A366" s="329" t="s">
        <v>3929</v>
      </c>
      <c r="B366" s="14">
        <f>VLOOKUP($A366,PLAN!$B:$AC,3,0)</f>
        <v>11119393</v>
      </c>
      <c r="C366" s="14" t="str">
        <f>VLOOKUP($A366,PLAN!$B:$AC,4,0)</f>
        <v>1911061-D-A</v>
      </c>
      <c r="D366" s="14" t="str">
        <f>VLOOKUP($A366,PLAN!$B:$AC,5,0)</f>
        <v>HJ60JR402P10020 JP</v>
      </c>
      <c r="E366" s="14" t="str">
        <f>VLOOKUP($A366,PLAN!$B:$AC,2,0)</f>
        <v>1001941065</v>
      </c>
      <c r="F366" s="15">
        <f>VLOOKUP($A366,PLAN!$B:$AC,7,0)</f>
        <v>46261</v>
      </c>
      <c r="G366" s="16" t="str">
        <f>VLOOKUP($A366,PLAN!$B:$AC,8,0)</f>
        <v>0103600389</v>
      </c>
      <c r="H366" s="16" t="str">
        <f>VLOOKUP($A366,PLAN!$B:$AC,9,0)</f>
        <v>260807C33A</v>
      </c>
      <c r="I366" s="16">
        <f>VLOOKUP($A366,PLAN!$B:$AC,10,0)</f>
        <v>166</v>
      </c>
      <c r="J366" s="17">
        <f>VLOOKUP($A366,PLAN!$B:$AC,21,0)</f>
        <v>46252</v>
      </c>
      <c r="K366" s="145" t="str">
        <f>VLOOKUP($A366,PLAN!$B:$AC,22,0)</f>
        <v>M9</v>
      </c>
      <c r="L366" s="1"/>
      <c r="M366" s="1"/>
      <c r="N366" s="1"/>
      <c r="O366" s="221" t="s">
        <v>79</v>
      </c>
      <c r="P366" s="220"/>
      <c r="Q366" s="18">
        <f>VLOOKUP(A366,PLAN!B:R,17,0)</f>
        <v>46251</v>
      </c>
    </row>
    <row r="367" spans="1:17" ht="17.25" hidden="1" customHeight="1">
      <c r="A367" s="329" t="s">
        <v>3930</v>
      </c>
      <c r="B367" s="14">
        <f>VLOOKUP($A367,PLAN!$B:$AC,3,0)</f>
        <v>11119375</v>
      </c>
      <c r="C367" s="14" t="str">
        <f>VLOOKUP($A367,PLAN!$B:$AC,4,0)</f>
        <v>1911043-E-A</v>
      </c>
      <c r="D367" s="14" t="str">
        <f>VLOOKUP($A367,PLAN!$B:$AC,5,0)</f>
        <v>HJ60JL400P10000 JP</v>
      </c>
      <c r="E367" s="14" t="str">
        <f>VLOOKUP($A367,PLAN!$B:$AC,2,0)</f>
        <v>1001941066</v>
      </c>
      <c r="F367" s="15">
        <f>VLOOKUP($A367,PLAN!$B:$AC,7,0)</f>
        <v>46261</v>
      </c>
      <c r="G367" s="16" t="str">
        <f>VLOOKUP($A367,PLAN!$B:$AC,8,0)</f>
        <v>0103600390</v>
      </c>
      <c r="H367" s="16" t="str">
        <f>VLOOKUP($A367,PLAN!$B:$AC,9,0)</f>
        <v>260807C34A</v>
      </c>
      <c r="I367" s="16">
        <f>VLOOKUP($A367,PLAN!$B:$AC,10,0)</f>
        <v>527</v>
      </c>
      <c r="J367" s="17">
        <f>VLOOKUP($A367,PLAN!$B:$AC,21,0)</f>
        <v>46252</v>
      </c>
      <c r="K367" s="145" t="str">
        <f>VLOOKUP($A367,PLAN!$B:$AC,22,0)</f>
        <v>M9</v>
      </c>
      <c r="L367" s="1"/>
      <c r="M367" s="1"/>
      <c r="N367" s="1"/>
      <c r="O367" s="221" t="s">
        <v>79</v>
      </c>
      <c r="P367" s="220"/>
      <c r="Q367" s="18">
        <f>VLOOKUP(A367,PLAN!B:R,17,0)</f>
        <v>46251</v>
      </c>
    </row>
    <row r="368" spans="1:17" ht="17.25" hidden="1" customHeight="1">
      <c r="A368" s="329" t="s">
        <v>3704</v>
      </c>
      <c r="B368" s="14">
        <f>VLOOKUP($A368,PLAN!$B:$AC,3,0)</f>
        <v>11135535</v>
      </c>
      <c r="C368" s="14" t="str">
        <f>VLOOKUP($A368,PLAN!$B:$AC,4,0)</f>
        <v>2211886-D-A</v>
      </c>
      <c r="D368" s="14" t="str">
        <f>VLOOKUP($A368,PLAN!$B:$AC,5,0)</f>
        <v>HW60SP300P10000 KR</v>
      </c>
      <c r="E368" s="14" t="str">
        <f>VLOOKUP($A368,PLAN!$B:$AC,2,0)</f>
        <v>1001940494</v>
      </c>
      <c r="F368" s="15">
        <f>VLOOKUP($A368,PLAN!$B:$AC,7,0)</f>
        <v>46260</v>
      </c>
      <c r="G368" s="16" t="str">
        <f>VLOOKUP($A368,PLAN!$B:$AC,8,0)</f>
        <v>0103599627</v>
      </c>
      <c r="H368" s="16" t="str">
        <f>VLOOKUP($A368,PLAN!$B:$AC,9,0)</f>
        <v>260807C25A</v>
      </c>
      <c r="I368" s="16">
        <f>VLOOKUP($A368,PLAN!$B:$AC,10,0)</f>
        <v>24</v>
      </c>
      <c r="J368" s="17">
        <f>VLOOKUP($A368,PLAN!$B:$AC,21,0)</f>
        <v>46252</v>
      </c>
      <c r="K368" s="145" t="str">
        <f>VLOOKUP($A368,PLAN!$B:$AC,22,0)</f>
        <v>M10</v>
      </c>
      <c r="L368" s="1"/>
      <c r="M368" s="1"/>
      <c r="N368" s="1"/>
      <c r="O368" s="221" t="s">
        <v>79</v>
      </c>
      <c r="P368" s="220"/>
      <c r="Q368" s="18">
        <f>VLOOKUP(A368,PLAN!B:R,17,0)</f>
        <v>46251</v>
      </c>
    </row>
    <row r="369" spans="1:17" ht="17.25" hidden="1" customHeight="1">
      <c r="A369" s="329" t="s">
        <v>3705</v>
      </c>
      <c r="B369" s="14">
        <f>VLOOKUP($A369,PLAN!$B:$AC,3,0)</f>
        <v>11135539</v>
      </c>
      <c r="C369" s="14" t="str">
        <f>VLOOKUP($A369,PLAN!$B:$AC,4,0)</f>
        <v>2211890-D-A</v>
      </c>
      <c r="D369" s="14" t="str">
        <f>VLOOKUP($A369,PLAN!$B:$AC,5,0)</f>
        <v>HW60SP350P10000 KR</v>
      </c>
      <c r="E369" s="14" t="str">
        <f>VLOOKUP($A369,PLAN!$B:$AC,2,0)</f>
        <v>1001940495</v>
      </c>
      <c r="F369" s="15">
        <f>VLOOKUP($A369,PLAN!$B:$AC,7,0)</f>
        <v>46260</v>
      </c>
      <c r="G369" s="16" t="str">
        <f>VLOOKUP($A369,PLAN!$B:$AC,8,0)</f>
        <v>0103599628</v>
      </c>
      <c r="H369" s="16" t="str">
        <f>VLOOKUP($A369,PLAN!$B:$AC,9,0)</f>
        <v>260807C26A</v>
      </c>
      <c r="I369" s="16">
        <f>VLOOKUP($A369,PLAN!$B:$AC,10,0)</f>
        <v>20</v>
      </c>
      <c r="J369" s="17">
        <f>VLOOKUP($A369,PLAN!$B:$AC,21,0)</f>
        <v>46252</v>
      </c>
      <c r="K369" s="145" t="str">
        <f>VLOOKUP($A369,PLAN!$B:$AC,22,0)</f>
        <v>M10</v>
      </c>
      <c r="L369" s="1"/>
      <c r="M369" s="1"/>
      <c r="N369" s="1"/>
      <c r="O369" s="221" t="s">
        <v>79</v>
      </c>
      <c r="P369" s="220"/>
      <c r="Q369" s="18">
        <f>VLOOKUP(A369,PLAN!B:R,17,0)</f>
        <v>46251</v>
      </c>
    </row>
    <row r="370" spans="1:17" ht="17.25" hidden="1" customHeight="1">
      <c r="A370" s="329" t="s">
        <v>3706</v>
      </c>
      <c r="B370" s="14">
        <f>VLOOKUP($A370,PLAN!$B:$AC,3,0)</f>
        <v>11135542</v>
      </c>
      <c r="C370" s="14" t="str">
        <f>VLOOKUP($A370,PLAN!$B:$AC,4,0)</f>
        <v>2211893-D-A</v>
      </c>
      <c r="D370" s="14" t="str">
        <f>VLOOKUP($A370,PLAN!$B:$AC,5,0)</f>
        <v>HW60SP370P10000 KR</v>
      </c>
      <c r="E370" s="14" t="str">
        <f>VLOOKUP($A370,PLAN!$B:$AC,2,0)</f>
        <v>1001940496</v>
      </c>
      <c r="F370" s="15">
        <f>VLOOKUP($A370,PLAN!$B:$AC,7,0)</f>
        <v>46260</v>
      </c>
      <c r="G370" s="16" t="str">
        <f>VLOOKUP($A370,PLAN!$B:$AC,8,0)</f>
        <v>0103599629</v>
      </c>
      <c r="H370" s="16" t="str">
        <f>VLOOKUP($A370,PLAN!$B:$AC,9,0)</f>
        <v>260807C27A</v>
      </c>
      <c r="I370" s="16">
        <f>VLOOKUP($A370,PLAN!$B:$AC,10,0)</f>
        <v>2</v>
      </c>
      <c r="J370" s="17">
        <f>VLOOKUP($A370,PLAN!$B:$AC,21,0)</f>
        <v>46252</v>
      </c>
      <c r="K370" s="145" t="str">
        <f>VLOOKUP($A370,PLAN!$B:$AC,22,0)</f>
        <v>M10</v>
      </c>
      <c r="L370" s="1"/>
      <c r="M370" s="1"/>
      <c r="N370" s="1"/>
      <c r="O370" s="221" t="s">
        <v>79</v>
      </c>
      <c r="P370" s="220"/>
      <c r="Q370" s="18">
        <f>VLOOKUP(A370,PLAN!B:R,17,0)</f>
        <v>46251</v>
      </c>
    </row>
    <row r="371" spans="1:17" ht="17.25" hidden="1" customHeight="1">
      <c r="A371" s="329" t="s">
        <v>3707</v>
      </c>
      <c r="B371" s="14">
        <f>VLOOKUP($A371,PLAN!$B:$AC,3,0)</f>
        <v>11135545</v>
      </c>
      <c r="C371" s="14" t="str">
        <f>VLOOKUP($A371,PLAN!$B:$AC,4,0)</f>
        <v>2211896-D-A</v>
      </c>
      <c r="D371" s="14" t="str">
        <f>VLOOKUP($A371,PLAN!$B:$AC,5,0)</f>
        <v>HW60SP400P10000 KR</v>
      </c>
      <c r="E371" s="14" t="str">
        <f>VLOOKUP($A371,PLAN!$B:$AC,2,0)</f>
        <v>1001940497</v>
      </c>
      <c r="F371" s="15">
        <f>VLOOKUP($A371,PLAN!$B:$AC,7,0)</f>
        <v>46260</v>
      </c>
      <c r="G371" s="16" t="str">
        <f>VLOOKUP($A371,PLAN!$B:$AC,8,0)</f>
        <v>0103599630</v>
      </c>
      <c r="H371" s="16" t="str">
        <f>VLOOKUP($A371,PLAN!$B:$AC,9,0)</f>
        <v>260807C28A</v>
      </c>
      <c r="I371" s="16">
        <f>VLOOKUP($A371,PLAN!$B:$AC,10,0)</f>
        <v>1</v>
      </c>
      <c r="J371" s="17">
        <f>VLOOKUP($A371,PLAN!$B:$AC,21,0)</f>
        <v>46252</v>
      </c>
      <c r="K371" s="145" t="str">
        <f>VLOOKUP($A371,PLAN!$B:$AC,22,0)</f>
        <v>M10</v>
      </c>
      <c r="L371" s="1"/>
      <c r="M371" s="1"/>
      <c r="N371" s="1"/>
      <c r="O371" s="221" t="s">
        <v>79</v>
      </c>
      <c r="P371" s="220"/>
      <c r="Q371" s="18">
        <f>VLOOKUP(A371,PLAN!B:R,17,0)</f>
        <v>46251</v>
      </c>
    </row>
    <row r="372" spans="1:17" ht="17.25" hidden="1" customHeight="1">
      <c r="A372" s="329" t="s">
        <v>3931</v>
      </c>
      <c r="B372" s="14">
        <f>VLOOKUP($A372,PLAN!$B:$AC,3,0)</f>
        <v>11134312</v>
      </c>
      <c r="C372" s="14" t="str">
        <f>VLOOKUP($A372,PLAN!$B:$AC,4,0)</f>
        <v>1911351-E-A</v>
      </c>
      <c r="D372" s="14" t="str">
        <f>VLOOKUP($A372,PLAN!$B:$AC,5,0)</f>
        <v>HJ80SP372P09000 JP</v>
      </c>
      <c r="E372" s="14" t="str">
        <f>VLOOKUP($A372,PLAN!$B:$AC,2,0)</f>
        <v>1001941067</v>
      </c>
      <c r="F372" s="15">
        <f>VLOOKUP($A372,PLAN!$B:$AC,7,0)</f>
        <v>46261</v>
      </c>
      <c r="G372" s="16" t="str">
        <f>VLOOKUP($A372,PLAN!$B:$AC,8,0)</f>
        <v>0103600391</v>
      </c>
      <c r="H372" s="16" t="str">
        <f>VLOOKUP($A372,PLAN!$B:$AC,9,0)</f>
        <v>260807C35A</v>
      </c>
      <c r="I372" s="16">
        <f>VLOOKUP($A372,PLAN!$B:$AC,10,0)</f>
        <v>2</v>
      </c>
      <c r="J372" s="17">
        <f>VLOOKUP($A372,PLAN!$B:$AC,21,0)</f>
        <v>46252</v>
      </c>
      <c r="K372" s="145" t="str">
        <f>VLOOKUP($A372,PLAN!$B:$AC,22,0)</f>
        <v>M10</v>
      </c>
      <c r="L372" s="1"/>
      <c r="M372" s="1"/>
      <c r="N372" s="1"/>
      <c r="O372" s="221" t="s">
        <v>79</v>
      </c>
      <c r="P372" s="220"/>
      <c r="Q372" s="18">
        <f>VLOOKUP(A372,PLAN!B:R,17,0)</f>
        <v>46251</v>
      </c>
    </row>
    <row r="373" spans="1:17" ht="17.25" hidden="1" customHeight="1">
      <c r="A373" s="329" t="s">
        <v>3932</v>
      </c>
      <c r="B373" s="14">
        <f>VLOOKUP($A373,PLAN!$B:$AC,3,0)</f>
        <v>11134274</v>
      </c>
      <c r="C373" s="14" t="str">
        <f>VLOOKUP($A373,PLAN!$B:$AC,4,0)</f>
        <v>1911189-E-A</v>
      </c>
      <c r="D373" s="14" t="str">
        <f>VLOOKUP($A373,PLAN!$B:$AC,5,0)</f>
        <v>HJ70PB400P10000 JP</v>
      </c>
      <c r="E373" s="14" t="str">
        <f>VLOOKUP($A373,PLAN!$B:$AC,2,0)</f>
        <v>1001941068</v>
      </c>
      <c r="F373" s="15">
        <f>VLOOKUP($A373,PLAN!$B:$AC,7,0)</f>
        <v>46261</v>
      </c>
      <c r="G373" s="16" t="str">
        <f>VLOOKUP($A373,PLAN!$B:$AC,8,0)</f>
        <v>0103600392</v>
      </c>
      <c r="H373" s="16" t="str">
        <f>VLOOKUP($A373,PLAN!$B:$AC,9,0)</f>
        <v>260807C36A</v>
      </c>
      <c r="I373" s="16">
        <f>VLOOKUP($A373,PLAN!$B:$AC,10,0)</f>
        <v>4</v>
      </c>
      <c r="J373" s="17">
        <f>VLOOKUP($A373,PLAN!$B:$AC,21,0)</f>
        <v>46252</v>
      </c>
      <c r="K373" s="145" t="str">
        <f>VLOOKUP($A373,PLAN!$B:$AC,22,0)</f>
        <v>M10</v>
      </c>
      <c r="L373" s="1"/>
      <c r="M373" s="1"/>
      <c r="N373" s="1"/>
      <c r="O373" s="221" t="s">
        <v>79</v>
      </c>
      <c r="P373" s="220"/>
      <c r="Q373" s="18">
        <f>VLOOKUP(A373,PLAN!B:R,17,0)</f>
        <v>46251</v>
      </c>
    </row>
    <row r="374" spans="1:17" ht="17.25" hidden="1" customHeight="1">
      <c r="A374" s="329" t="s">
        <v>3933</v>
      </c>
      <c r="B374" s="14">
        <f>VLOOKUP($A374,PLAN!$B:$AC,3,0)</f>
        <v>11134258</v>
      </c>
      <c r="C374" s="14" t="str">
        <f>VLOOKUP($A374,PLAN!$B:$AC,4,0)</f>
        <v>1911095-E-A</v>
      </c>
      <c r="D374" s="14" t="str">
        <f>VLOOKUP($A374,PLAN!$B:$AC,5,0)</f>
        <v>HJ60SP320P10000 JP</v>
      </c>
      <c r="E374" s="14" t="str">
        <f>VLOOKUP($A374,PLAN!$B:$AC,2,0)</f>
        <v>1001941069</v>
      </c>
      <c r="F374" s="15">
        <f>VLOOKUP($A374,PLAN!$B:$AC,7,0)</f>
        <v>46261</v>
      </c>
      <c r="G374" s="16" t="str">
        <f>VLOOKUP($A374,PLAN!$B:$AC,8,0)</f>
        <v>0103600394</v>
      </c>
      <c r="H374" s="16" t="str">
        <f>VLOOKUP($A374,PLAN!$B:$AC,9,0)</f>
        <v>260807C37A</v>
      </c>
      <c r="I374" s="16">
        <f>VLOOKUP($A374,PLAN!$B:$AC,10,0)</f>
        <v>10</v>
      </c>
      <c r="J374" s="17">
        <f>VLOOKUP($A374,PLAN!$B:$AC,21,0)</f>
        <v>46252</v>
      </c>
      <c r="K374" s="145" t="str">
        <f>VLOOKUP($A374,PLAN!$B:$AC,22,0)</f>
        <v>M10</v>
      </c>
      <c r="L374" s="1"/>
      <c r="M374" s="1"/>
      <c r="N374" s="1"/>
      <c r="O374" s="221" t="s">
        <v>79</v>
      </c>
      <c r="P374" s="220"/>
      <c r="Q374" s="18">
        <f>VLOOKUP(A374,PLAN!B:R,17,0)</f>
        <v>46251</v>
      </c>
    </row>
    <row r="375" spans="1:17" ht="17.25" hidden="1" customHeight="1">
      <c r="A375" s="329" t="s">
        <v>3934</v>
      </c>
      <c r="B375" s="14">
        <f>VLOOKUP($A375,PLAN!$B:$AC,3,0)</f>
        <v>11134257</v>
      </c>
      <c r="C375" s="14" t="str">
        <f>VLOOKUP($A375,PLAN!$B:$AC,4,0)</f>
        <v>1911094-E-A</v>
      </c>
      <c r="D375" s="14" t="str">
        <f>VLOOKUP($A375,PLAN!$B:$AC,5,0)</f>
        <v>HJ60SP302P10020 JP</v>
      </c>
      <c r="E375" s="14" t="str">
        <f>VLOOKUP($A375,PLAN!$B:$AC,2,0)</f>
        <v>1001941071</v>
      </c>
      <c r="F375" s="15">
        <f>VLOOKUP($A375,PLAN!$B:$AC,7,0)</f>
        <v>46261</v>
      </c>
      <c r="G375" s="16" t="str">
        <f>VLOOKUP($A375,PLAN!$B:$AC,8,0)</f>
        <v>0103600395</v>
      </c>
      <c r="H375" s="16" t="str">
        <f>VLOOKUP($A375,PLAN!$B:$AC,9,0)</f>
        <v>260807C38A</v>
      </c>
      <c r="I375" s="16">
        <f>VLOOKUP($A375,PLAN!$B:$AC,10,0)</f>
        <v>15</v>
      </c>
      <c r="J375" s="17">
        <f>VLOOKUP($A375,PLAN!$B:$AC,21,0)</f>
        <v>46252</v>
      </c>
      <c r="K375" s="145" t="str">
        <f>VLOOKUP($A375,PLAN!$B:$AC,22,0)</f>
        <v>M10</v>
      </c>
      <c r="L375" s="1"/>
      <c r="M375" s="1"/>
      <c r="N375" s="1"/>
      <c r="O375" s="221" t="s">
        <v>79</v>
      </c>
      <c r="P375" s="220"/>
      <c r="Q375" s="18">
        <f>VLOOKUP(A375,PLAN!B:R,17,0)</f>
        <v>46251</v>
      </c>
    </row>
    <row r="376" spans="1:17" ht="17.25" hidden="1" customHeight="1">
      <c r="A376" s="329" t="s">
        <v>3935</v>
      </c>
      <c r="B376" s="14">
        <f>VLOOKUP($A376,PLAN!$B:$AC,3,0)</f>
        <v>11134250</v>
      </c>
      <c r="C376" s="14" t="str">
        <f>VLOOKUP($A376,PLAN!$B:$AC,4,0)</f>
        <v>1911067-E-A</v>
      </c>
      <c r="D376" s="14" t="str">
        <f>VLOOKUP($A376,PLAN!$B:$AC,5,0)</f>
        <v>HJ60PB300P10000 JP</v>
      </c>
      <c r="E376" s="14" t="str">
        <f>VLOOKUP($A376,PLAN!$B:$AC,2,0)</f>
        <v>1001941072</v>
      </c>
      <c r="F376" s="15">
        <f>VLOOKUP($A376,PLAN!$B:$AC,7,0)</f>
        <v>46261</v>
      </c>
      <c r="G376" s="16" t="str">
        <f>VLOOKUP($A376,PLAN!$B:$AC,8,0)</f>
        <v>0103600396</v>
      </c>
      <c r="H376" s="16" t="str">
        <f>VLOOKUP($A376,PLAN!$B:$AC,9,0)</f>
        <v>260807C39A</v>
      </c>
      <c r="I376" s="16">
        <f>VLOOKUP($A376,PLAN!$B:$AC,10,0)</f>
        <v>20</v>
      </c>
      <c r="J376" s="17">
        <f>VLOOKUP($A376,PLAN!$B:$AC,21,0)</f>
        <v>46252</v>
      </c>
      <c r="K376" s="145" t="str">
        <f>VLOOKUP($A376,PLAN!$B:$AC,22,0)</f>
        <v>M10</v>
      </c>
      <c r="L376" s="1"/>
      <c r="M376" s="1"/>
      <c r="N376" s="1"/>
      <c r="O376" s="221" t="s">
        <v>79</v>
      </c>
      <c r="P376" s="220"/>
      <c r="Q376" s="18">
        <f>VLOOKUP(A376,PLAN!B:R,17,0)</f>
        <v>46251</v>
      </c>
    </row>
    <row r="377" spans="1:17" ht="17.25" hidden="1" customHeight="1">
      <c r="A377" s="329" t="s">
        <v>3936</v>
      </c>
      <c r="B377" s="14">
        <f>VLOOKUP($A377,PLAN!$B:$AC,3,0)</f>
        <v>11134265</v>
      </c>
      <c r="C377" s="14" t="str">
        <f>VLOOKUP($A377,PLAN!$B:$AC,4,0)</f>
        <v>1911102-E-A</v>
      </c>
      <c r="D377" s="14" t="str">
        <f>VLOOKUP($A377,PLAN!$B:$AC,5,0)</f>
        <v>HJ60SP402P10020 JP</v>
      </c>
      <c r="E377" s="14" t="str">
        <f>VLOOKUP($A377,PLAN!$B:$AC,2,0)</f>
        <v>1001941073</v>
      </c>
      <c r="F377" s="15">
        <f>VLOOKUP($A377,PLAN!$B:$AC,7,0)</f>
        <v>46261</v>
      </c>
      <c r="G377" s="16" t="str">
        <f>VLOOKUP($A377,PLAN!$B:$AC,8,0)</f>
        <v>0103600397</v>
      </c>
      <c r="H377" s="16" t="str">
        <f>VLOOKUP($A377,PLAN!$B:$AC,9,0)</f>
        <v>260807C40A</v>
      </c>
      <c r="I377" s="16">
        <f>VLOOKUP($A377,PLAN!$B:$AC,10,0)</f>
        <v>22</v>
      </c>
      <c r="J377" s="17">
        <f>VLOOKUP($A377,PLAN!$B:$AC,21,0)</f>
        <v>46252</v>
      </c>
      <c r="K377" s="145" t="str">
        <f>VLOOKUP($A377,PLAN!$B:$AC,22,0)</f>
        <v>M10</v>
      </c>
      <c r="L377" s="1"/>
      <c r="M377" s="1"/>
      <c r="N377" s="1"/>
      <c r="O377" s="221" t="s">
        <v>79</v>
      </c>
      <c r="P377" s="220"/>
      <c r="Q377" s="18">
        <f>VLOOKUP(A377,PLAN!B:R,17,0)</f>
        <v>46251</v>
      </c>
    </row>
    <row r="378" spans="1:17" ht="17.25" hidden="1" customHeight="1">
      <c r="A378" s="329" t="s">
        <v>3937</v>
      </c>
      <c r="B378" s="14">
        <f>VLOOKUP($A378,PLAN!$B:$AC,3,0)</f>
        <v>11134250</v>
      </c>
      <c r="C378" s="14" t="str">
        <f>VLOOKUP($A378,PLAN!$B:$AC,4,0)</f>
        <v>1911067-E-A</v>
      </c>
      <c r="D378" s="14" t="str">
        <f>VLOOKUP($A378,PLAN!$B:$AC,5,0)</f>
        <v>HJ60PB300P10000 JP</v>
      </c>
      <c r="E378" s="14" t="str">
        <f>VLOOKUP($A378,PLAN!$B:$AC,2,0)</f>
        <v>1001941128</v>
      </c>
      <c r="F378" s="15">
        <f>VLOOKUP($A378,PLAN!$B:$AC,7,0)</f>
        <v>46261</v>
      </c>
      <c r="G378" s="16" t="str">
        <f>VLOOKUP($A378,PLAN!$B:$AC,8,0)</f>
        <v>0103600442</v>
      </c>
      <c r="H378" s="16" t="str">
        <f>VLOOKUP($A378,PLAN!$B:$AC,9,0)</f>
        <v>260807C41A</v>
      </c>
      <c r="I378" s="16">
        <f>VLOOKUP($A378,PLAN!$B:$AC,10,0)</f>
        <v>2</v>
      </c>
      <c r="J378" s="17">
        <f>VLOOKUP($A378,PLAN!$B:$AC,21,0)</f>
        <v>46252</v>
      </c>
      <c r="K378" s="145" t="str">
        <f>VLOOKUP($A378,PLAN!$B:$AC,22,0)</f>
        <v>M10</v>
      </c>
      <c r="L378" s="1"/>
      <c r="M378" s="1"/>
      <c r="N378" s="1"/>
      <c r="O378" s="221" t="s">
        <v>79</v>
      </c>
      <c r="P378" s="220"/>
      <c r="Q378" s="18">
        <f>VLOOKUP(A378,PLAN!B:R,17,0)</f>
        <v>46251</v>
      </c>
    </row>
    <row r="379" spans="1:17" ht="17.25" hidden="1" customHeight="1">
      <c r="A379" s="329" t="s">
        <v>3938</v>
      </c>
      <c r="B379" s="14">
        <f>VLOOKUP($A379,PLAN!$B:$AC,3,0)</f>
        <v>11134279</v>
      </c>
      <c r="C379" s="14" t="str">
        <f>VLOOKUP($A379,PLAN!$B:$AC,4,0)</f>
        <v>1911222-E-A</v>
      </c>
      <c r="D379" s="14" t="str">
        <f>VLOOKUP($A379,PLAN!$B:$AC,5,0)</f>
        <v>HJ70SP302P10020 JP</v>
      </c>
      <c r="E379" s="14" t="str">
        <f>VLOOKUP($A379,PLAN!$B:$AC,2,0)</f>
        <v>1001941075</v>
      </c>
      <c r="F379" s="15">
        <f>VLOOKUP($A379,PLAN!$B:$AC,7,0)</f>
        <v>46261</v>
      </c>
      <c r="G379" s="16" t="str">
        <f>VLOOKUP($A379,PLAN!$B:$AC,8,0)</f>
        <v>0103600399</v>
      </c>
      <c r="H379" s="16" t="str">
        <f>VLOOKUP($A379,PLAN!$B:$AC,9,0)</f>
        <v>260807C42A</v>
      </c>
      <c r="I379" s="16">
        <f>VLOOKUP($A379,PLAN!$B:$AC,10,0)</f>
        <v>26</v>
      </c>
      <c r="J379" s="17">
        <f>VLOOKUP($A379,PLAN!$B:$AC,21,0)</f>
        <v>46252</v>
      </c>
      <c r="K379" s="145" t="str">
        <f>VLOOKUP($A379,PLAN!$B:$AC,22,0)</f>
        <v>M10</v>
      </c>
      <c r="L379" s="1"/>
      <c r="M379" s="1"/>
      <c r="N379" s="1"/>
      <c r="O379" s="221" t="s">
        <v>79</v>
      </c>
      <c r="P379" s="220"/>
      <c r="Q379" s="18">
        <f>VLOOKUP(A379,PLAN!B:R,17,0)</f>
        <v>46251</v>
      </c>
    </row>
    <row r="380" spans="1:17" ht="17.25" hidden="1" customHeight="1">
      <c r="A380" s="329" t="s">
        <v>3939</v>
      </c>
      <c r="B380" s="14">
        <f>VLOOKUP($A380,PLAN!$B:$AC,3,0)</f>
        <v>11134264</v>
      </c>
      <c r="C380" s="14" t="str">
        <f>VLOOKUP($A380,PLAN!$B:$AC,4,0)</f>
        <v>1911101-F-A</v>
      </c>
      <c r="D380" s="14" t="str">
        <f>VLOOKUP($A380,PLAN!$B:$AC,5,0)</f>
        <v>HJ60SP400P10000 JP</v>
      </c>
      <c r="E380" s="14" t="str">
        <f>VLOOKUP($A380,PLAN!$B:$AC,2,0)</f>
        <v>1001941076</v>
      </c>
      <c r="F380" s="15">
        <f>VLOOKUP($A380,PLAN!$B:$AC,7,0)</f>
        <v>46261</v>
      </c>
      <c r="G380" s="16" t="str">
        <f>VLOOKUP($A380,PLAN!$B:$AC,8,0)</f>
        <v>0103600400</v>
      </c>
      <c r="H380" s="16" t="str">
        <f>VLOOKUP($A380,PLAN!$B:$AC,9,0)</f>
        <v>260807C43A</v>
      </c>
      <c r="I380" s="16">
        <f>VLOOKUP($A380,PLAN!$B:$AC,10,0)</f>
        <v>47</v>
      </c>
      <c r="J380" s="17">
        <f>VLOOKUP($A380,PLAN!$B:$AC,21,0)</f>
        <v>46252</v>
      </c>
      <c r="K380" s="145" t="str">
        <f>VLOOKUP($A380,PLAN!$B:$AC,22,0)</f>
        <v>M10</v>
      </c>
      <c r="L380" s="1"/>
      <c r="M380" s="1"/>
      <c r="N380" s="1"/>
      <c r="O380" s="221" t="s">
        <v>79</v>
      </c>
      <c r="P380" s="220"/>
      <c r="Q380" s="18">
        <f>VLOOKUP(A380,PLAN!B:R,17,0)</f>
        <v>46251</v>
      </c>
    </row>
    <row r="381" spans="1:17" ht="17.25" hidden="1" customHeight="1">
      <c r="A381" s="329" t="s">
        <v>3940</v>
      </c>
      <c r="B381" s="14">
        <f>VLOOKUP($A381,PLAN!$B:$AC,3,0)</f>
        <v>11134263</v>
      </c>
      <c r="C381" s="14" t="str">
        <f>VLOOKUP($A381,PLAN!$B:$AC,4,0)</f>
        <v>1911100-F-A</v>
      </c>
      <c r="D381" s="14" t="str">
        <f>VLOOKUP($A381,PLAN!$B:$AC,5,0)</f>
        <v>HJ60SP372P10020 JP</v>
      </c>
      <c r="E381" s="14" t="str">
        <f>VLOOKUP($A381,PLAN!$B:$AC,2,0)</f>
        <v>1001941077</v>
      </c>
      <c r="F381" s="15">
        <f>VLOOKUP($A381,PLAN!$B:$AC,7,0)</f>
        <v>46261</v>
      </c>
      <c r="G381" s="16" t="str">
        <f>VLOOKUP($A381,PLAN!$B:$AC,8,0)</f>
        <v>0103600401</v>
      </c>
      <c r="H381" s="16" t="str">
        <f>VLOOKUP($A381,PLAN!$B:$AC,9,0)</f>
        <v>260807C44A</v>
      </c>
      <c r="I381" s="16">
        <f>VLOOKUP($A381,PLAN!$B:$AC,10,0)</f>
        <v>57</v>
      </c>
      <c r="J381" s="17">
        <f>VLOOKUP($A381,PLAN!$B:$AC,21,0)</f>
        <v>46252</v>
      </c>
      <c r="K381" s="145" t="str">
        <f>VLOOKUP($A381,PLAN!$B:$AC,22,0)</f>
        <v>M10</v>
      </c>
      <c r="L381" s="1"/>
      <c r="M381" s="1"/>
      <c r="N381" s="1"/>
      <c r="O381" s="221" t="s">
        <v>79</v>
      </c>
      <c r="P381" s="220"/>
      <c r="Q381" s="18">
        <f>VLOOKUP(A381,PLAN!B:R,17,0)</f>
        <v>46251</v>
      </c>
    </row>
    <row r="382" spans="1:17" ht="17.25" hidden="1" customHeight="1">
      <c r="A382" s="329" t="s">
        <v>3941</v>
      </c>
      <c r="B382" s="14">
        <f>VLOOKUP($A382,PLAN!$B:$AC,3,0)</f>
        <v>11134281</v>
      </c>
      <c r="C382" s="14" t="str">
        <f>VLOOKUP($A382,PLAN!$B:$AC,4,0)</f>
        <v>1911224-F-A</v>
      </c>
      <c r="D382" s="14" t="str">
        <f>VLOOKUP($A382,PLAN!$B:$AC,5,0)</f>
        <v>HJ70SP350P10000 JP</v>
      </c>
      <c r="E382" s="14" t="str">
        <f>VLOOKUP($A382,PLAN!$B:$AC,2,0)</f>
        <v>1001941078</v>
      </c>
      <c r="F382" s="15">
        <f>VLOOKUP($A382,PLAN!$B:$AC,7,0)</f>
        <v>46261</v>
      </c>
      <c r="G382" s="16" t="str">
        <f>VLOOKUP($A382,PLAN!$B:$AC,8,0)</f>
        <v>0103600402</v>
      </c>
      <c r="H382" s="16" t="str">
        <f>VLOOKUP($A382,PLAN!$B:$AC,9,0)</f>
        <v>260807C45A</v>
      </c>
      <c r="I382" s="16">
        <f>VLOOKUP($A382,PLAN!$B:$AC,10,0)</f>
        <v>334</v>
      </c>
      <c r="J382" s="17">
        <f>VLOOKUP($A382,PLAN!$B:$AC,21,0)</f>
        <v>46252</v>
      </c>
      <c r="K382" s="145" t="str">
        <f>VLOOKUP($A382,PLAN!$B:$AC,22,0)</f>
        <v>M10</v>
      </c>
      <c r="L382" s="1"/>
      <c r="M382" s="1"/>
      <c r="N382" s="1"/>
      <c r="O382" s="221" t="s">
        <v>79</v>
      </c>
      <c r="P382" s="220"/>
      <c r="Q382" s="18">
        <f>VLOOKUP(A382,PLAN!B:R,17,0)</f>
        <v>46251</v>
      </c>
    </row>
    <row r="383" spans="1:17" ht="17.25" hidden="1" customHeight="1">
      <c r="A383" s="329" t="s">
        <v>3942</v>
      </c>
      <c r="B383" s="14">
        <f>VLOOKUP($A383,PLAN!$B:$AC,3,0)</f>
        <v>11135542</v>
      </c>
      <c r="C383" s="14" t="str">
        <f>VLOOKUP($A383,PLAN!$B:$AC,4,0)</f>
        <v>2211893-D-A</v>
      </c>
      <c r="D383" s="14" t="str">
        <f>VLOOKUP($A383,PLAN!$B:$AC,5,0)</f>
        <v>HW60SP370P10000 KR</v>
      </c>
      <c r="E383" s="14" t="str">
        <f>VLOOKUP($A383,PLAN!$B:$AC,2,0)</f>
        <v>1001941079</v>
      </c>
      <c r="F383" s="15">
        <f>VLOOKUP($A383,PLAN!$B:$AC,7,0)</f>
        <v>46261</v>
      </c>
      <c r="G383" s="16" t="str">
        <f>VLOOKUP($A383,PLAN!$B:$AC,8,0)</f>
        <v>0103600403</v>
      </c>
      <c r="H383" s="16" t="str">
        <f>VLOOKUP($A383,PLAN!$B:$AC,9,0)</f>
        <v>260807C46A</v>
      </c>
      <c r="I383" s="16">
        <f>VLOOKUP($A383,PLAN!$B:$AC,10,0)</f>
        <v>12</v>
      </c>
      <c r="J383" s="17">
        <f>VLOOKUP($A383,PLAN!$B:$AC,21,0)</f>
        <v>46252</v>
      </c>
      <c r="K383" s="145" t="str">
        <f>VLOOKUP($A383,PLAN!$B:$AC,22,0)</f>
        <v>M10</v>
      </c>
      <c r="L383" s="1"/>
      <c r="M383" s="1"/>
      <c r="N383" s="1"/>
      <c r="O383" s="221" t="s">
        <v>79</v>
      </c>
      <c r="P383" s="220"/>
      <c r="Q383" s="18">
        <f>VLOOKUP(A383,PLAN!B:R,17,0)</f>
        <v>46251</v>
      </c>
    </row>
    <row r="384" spans="1:17" ht="17.25" hidden="1" customHeight="1">
      <c r="A384" s="329" t="s">
        <v>3943</v>
      </c>
      <c r="B384" s="14">
        <f>VLOOKUP($A384,PLAN!$B:$AC,3,0)</f>
        <v>11135539</v>
      </c>
      <c r="C384" s="14" t="str">
        <f>VLOOKUP($A384,PLAN!$B:$AC,4,0)</f>
        <v>2211890-D-A</v>
      </c>
      <c r="D384" s="14" t="str">
        <f>VLOOKUP($A384,PLAN!$B:$AC,5,0)</f>
        <v>HW60SP350P10000 KR</v>
      </c>
      <c r="E384" s="14" t="str">
        <f>VLOOKUP($A384,PLAN!$B:$AC,2,0)</f>
        <v>1001941080</v>
      </c>
      <c r="F384" s="15">
        <f>VLOOKUP($A384,PLAN!$B:$AC,7,0)</f>
        <v>46261</v>
      </c>
      <c r="G384" s="16" t="str">
        <f>VLOOKUP($A384,PLAN!$B:$AC,8,0)</f>
        <v>0103600404</v>
      </c>
      <c r="H384" s="16" t="str">
        <f>VLOOKUP($A384,PLAN!$B:$AC,9,0)</f>
        <v>260807C47A</v>
      </c>
      <c r="I384" s="16">
        <f>VLOOKUP($A384,PLAN!$B:$AC,10,0)</f>
        <v>13</v>
      </c>
      <c r="J384" s="17">
        <f>VLOOKUP($A384,PLAN!$B:$AC,21,0)</f>
        <v>46252</v>
      </c>
      <c r="K384" s="145" t="str">
        <f>VLOOKUP($A384,PLAN!$B:$AC,22,0)</f>
        <v>M10</v>
      </c>
      <c r="L384" s="1"/>
      <c r="M384" s="1"/>
      <c r="N384" s="1"/>
      <c r="O384" s="221" t="s">
        <v>79</v>
      </c>
      <c r="P384" s="220"/>
      <c r="Q384" s="18">
        <f>VLOOKUP(A384,PLAN!B:R,17,0)</f>
        <v>46251</v>
      </c>
    </row>
    <row r="385" spans="1:17" ht="17.25" hidden="1" customHeight="1">
      <c r="A385" s="329" t="s">
        <v>3944</v>
      </c>
      <c r="B385" s="14">
        <f>VLOOKUP($A385,PLAN!$B:$AC,3,0)</f>
        <v>11135667</v>
      </c>
      <c r="C385" s="14" t="str">
        <f>VLOOKUP($A385,PLAN!$B:$AC,4,0)</f>
        <v>2311161-D-A</v>
      </c>
      <c r="D385" s="14" t="str">
        <f>VLOOKUP($A385,PLAN!$B:$AC,5,0)</f>
        <v>HW70SP350P10000 KR</v>
      </c>
      <c r="E385" s="14" t="str">
        <f>VLOOKUP($A385,PLAN!$B:$AC,2,0)</f>
        <v>1001941081</v>
      </c>
      <c r="F385" s="15">
        <f>VLOOKUP($A385,PLAN!$B:$AC,7,0)</f>
        <v>46261</v>
      </c>
      <c r="G385" s="16" t="str">
        <f>VLOOKUP($A385,PLAN!$B:$AC,8,0)</f>
        <v>0103600405</v>
      </c>
      <c r="H385" s="16" t="str">
        <f>VLOOKUP($A385,PLAN!$B:$AC,9,0)</f>
        <v>260807C48A</v>
      </c>
      <c r="I385" s="16">
        <f>VLOOKUP($A385,PLAN!$B:$AC,10,0)</f>
        <v>17</v>
      </c>
      <c r="J385" s="17">
        <f>VLOOKUP($A385,PLAN!$B:$AC,21,0)</f>
        <v>46252</v>
      </c>
      <c r="K385" s="145" t="str">
        <f>VLOOKUP($A385,PLAN!$B:$AC,22,0)</f>
        <v>M10</v>
      </c>
      <c r="L385" s="1"/>
      <c r="M385" s="1"/>
      <c r="N385" s="1"/>
      <c r="O385" s="221" t="s">
        <v>79</v>
      </c>
      <c r="P385" s="220"/>
      <c r="Q385" s="18">
        <f>VLOOKUP(A385,PLAN!B:R,17,0)</f>
        <v>46251</v>
      </c>
    </row>
    <row r="386" spans="1:17" ht="17.25" hidden="1" customHeight="1">
      <c r="A386" s="329" t="s">
        <v>3945</v>
      </c>
      <c r="B386" s="14">
        <f>VLOOKUP($A386,PLAN!$B:$AC,3,0)</f>
        <v>11135535</v>
      </c>
      <c r="C386" s="14" t="str">
        <f>VLOOKUP($A386,PLAN!$B:$AC,4,0)</f>
        <v>2211886-D-A</v>
      </c>
      <c r="D386" s="14" t="str">
        <f>VLOOKUP($A386,PLAN!$B:$AC,5,0)</f>
        <v>HW60SP300P10000 KR</v>
      </c>
      <c r="E386" s="14" t="str">
        <f>VLOOKUP($A386,PLAN!$B:$AC,2,0)</f>
        <v>1001941082</v>
      </c>
      <c r="F386" s="15">
        <f>VLOOKUP($A386,PLAN!$B:$AC,7,0)</f>
        <v>46261</v>
      </c>
      <c r="G386" s="16" t="str">
        <f>VLOOKUP($A386,PLAN!$B:$AC,8,0)</f>
        <v>0103600406</v>
      </c>
      <c r="H386" s="16" t="str">
        <f>VLOOKUP($A386,PLAN!$B:$AC,9,0)</f>
        <v>260807C49A</v>
      </c>
      <c r="I386" s="16">
        <f>VLOOKUP($A386,PLAN!$B:$AC,10,0)</f>
        <v>69</v>
      </c>
      <c r="J386" s="17">
        <f>VLOOKUP($A386,PLAN!$B:$AC,21,0)</f>
        <v>46252</v>
      </c>
      <c r="K386" s="145" t="str">
        <f>VLOOKUP($A386,PLAN!$B:$AC,22,0)</f>
        <v>M10</v>
      </c>
      <c r="L386" s="1"/>
      <c r="M386" s="1"/>
      <c r="N386" s="1"/>
      <c r="O386" s="221" t="s">
        <v>79</v>
      </c>
      <c r="P386" s="220"/>
      <c r="Q386" s="18">
        <f>VLOOKUP(A386,PLAN!B:R,17,0)</f>
        <v>46251</v>
      </c>
    </row>
    <row r="387" spans="1:17" ht="17.25" hidden="1" customHeight="1">
      <c r="A387" s="329" t="s">
        <v>3995</v>
      </c>
      <c r="B387" s="14">
        <f>VLOOKUP($A387,PLAN!$B:$AC,3,0)</f>
        <v>11134283</v>
      </c>
      <c r="C387" s="14" t="str">
        <f>VLOOKUP($A387,PLAN!$B:$AC,4,0)</f>
        <v>1911226-E-A</v>
      </c>
      <c r="D387" s="14" t="str">
        <f>VLOOKUP($A387,PLAN!$B:$AC,5,0)</f>
        <v>HJ70SP352P09020 JP</v>
      </c>
      <c r="E387" s="14" t="str">
        <f>VLOOKUP($A387,PLAN!$B:$AC,2,0)</f>
        <v>1001941129</v>
      </c>
      <c r="F387" s="15">
        <f>VLOOKUP($A387,PLAN!$B:$AC,7,0)</f>
        <v>46261</v>
      </c>
      <c r="G387" s="16" t="str">
        <f>VLOOKUP($A387,PLAN!$B:$AC,8,0)</f>
        <v>0103600443</v>
      </c>
      <c r="H387" s="16" t="str">
        <f>VLOOKUP($A387,PLAN!$B:$AC,9,0)</f>
        <v>260807C50A</v>
      </c>
      <c r="I387" s="16">
        <f>VLOOKUP($A387,PLAN!$B:$AC,10,0)</f>
        <v>7</v>
      </c>
      <c r="J387" s="17">
        <f>VLOOKUP($A387,PLAN!$B:$AC,21,0)</f>
        <v>46252</v>
      </c>
      <c r="K387" s="145" t="str">
        <f>VLOOKUP($A387,PLAN!$B:$AC,22,0)</f>
        <v>M10</v>
      </c>
      <c r="L387" s="1"/>
      <c r="M387" s="1"/>
      <c r="N387" s="1"/>
      <c r="O387" s="221" t="s">
        <v>79</v>
      </c>
      <c r="P387" s="220"/>
      <c r="Q387" s="18">
        <f>VLOOKUP(A387,PLAN!B:R,17,0)</f>
        <v>46251</v>
      </c>
    </row>
    <row r="388" spans="1:17" ht="17.25" hidden="1" customHeight="1">
      <c r="A388" s="329" t="s">
        <v>4229</v>
      </c>
      <c r="B388" s="14">
        <f>VLOOKUP($A388,PLAN!$B:$AC,3,0)</f>
        <v>11131257</v>
      </c>
      <c r="C388" s="14" t="str">
        <f>VLOOKUP($A388,PLAN!$B:$AC,4,0)</f>
        <v>1841034-D-A</v>
      </c>
      <c r="D388" s="14" t="str">
        <f>VLOOKUP($A388,PLAN!$B:$AC,5,0)</f>
        <v>CRV150-19M JP</v>
      </c>
      <c r="E388" s="14" t="str">
        <f>VLOOKUP($A388,PLAN!$B:$AC,2,0)</f>
        <v>1001942984</v>
      </c>
      <c r="F388" s="15">
        <f>VLOOKUP($A388,PLAN!$B:$AC,7,0)</f>
        <v>46262</v>
      </c>
      <c r="G388" s="16" t="str">
        <f>VLOOKUP($A388,PLAN!$B:$AC,8,0)</f>
        <v>0103603903</v>
      </c>
      <c r="H388" s="16" t="str">
        <f>VLOOKUP($A388,PLAN!$B:$AC,9,0)</f>
        <v>260813K01A</v>
      </c>
      <c r="I388" s="16">
        <f>VLOOKUP($A388,PLAN!$B:$AC,10,0)</f>
        <v>105</v>
      </c>
      <c r="J388" s="17">
        <f>VLOOKUP($A388,PLAN!$B:$AC,21,0)</f>
        <v>46253</v>
      </c>
      <c r="K388" s="145" t="str">
        <f>VLOOKUP($A388,PLAN!$B:$AC,22,0)</f>
        <v>M8</v>
      </c>
      <c r="L388" s="1"/>
      <c r="M388" s="1"/>
      <c r="N388" s="1"/>
      <c r="O388" s="221" t="s">
        <v>79</v>
      </c>
      <c r="P388" s="220"/>
      <c r="Q388" s="18">
        <f>VLOOKUP(A388,PLAN!B:R,17,0)</f>
        <v>46252</v>
      </c>
    </row>
    <row r="389" spans="1:17" ht="17.25" hidden="1" customHeight="1">
      <c r="A389" s="329" t="s">
        <v>4232</v>
      </c>
      <c r="B389" s="14">
        <f>VLOOKUP($A389,PLAN!$B:$AC,3,0)</f>
        <v>11134401</v>
      </c>
      <c r="C389" s="14" t="str">
        <f>VLOOKUP($A389,PLAN!$B:$AC,4,0)</f>
        <v>1941102-C-A</v>
      </c>
      <c r="D389" s="14" t="str">
        <f>VLOOKUP($A389,PLAN!$B:$AC,5,0)</f>
        <v>CRV135-19P US2</v>
      </c>
      <c r="E389" s="14" t="str">
        <f>VLOOKUP($A389,PLAN!$B:$AC,2,0)</f>
        <v>1001942985</v>
      </c>
      <c r="F389" s="15">
        <f>VLOOKUP($A389,PLAN!$B:$AC,7,0)</f>
        <v>46262</v>
      </c>
      <c r="G389" s="16" t="str">
        <f>VLOOKUP($A389,PLAN!$B:$AC,8,0)</f>
        <v>0103603904</v>
      </c>
      <c r="H389" s="16" t="str">
        <f>VLOOKUP($A389,PLAN!$B:$AC,9,0)</f>
        <v>260813K02A</v>
      </c>
      <c r="I389" s="16">
        <f>VLOOKUP($A389,PLAN!$B:$AC,10,0)</f>
        <v>139</v>
      </c>
      <c r="J389" s="17">
        <f>VLOOKUP($A389,PLAN!$B:$AC,21,0)</f>
        <v>46253</v>
      </c>
      <c r="K389" s="145" t="str">
        <f>VLOOKUP($A389,PLAN!$B:$AC,22,0)</f>
        <v>M8</v>
      </c>
      <c r="L389" s="1"/>
      <c r="M389" s="1"/>
      <c r="N389" s="1"/>
      <c r="O389" s="221" t="s">
        <v>79</v>
      </c>
      <c r="P389" s="220"/>
      <c r="Q389" s="18">
        <f>VLOOKUP(A389,PLAN!B:R,17,0)</f>
        <v>46252</v>
      </c>
    </row>
    <row r="390" spans="1:17" ht="17.25" hidden="1" customHeight="1">
      <c r="A390" s="329" t="s">
        <v>4231</v>
      </c>
      <c r="B390" s="14">
        <f>VLOOKUP($A390,PLAN!$B:$AC,3,0)</f>
        <v>11134223</v>
      </c>
      <c r="C390" s="14" t="str">
        <f>VLOOKUP($A390,PLAN!$B:$AC,4,0)</f>
        <v>2341002-0-A</v>
      </c>
      <c r="D390" s="14" t="str">
        <f>VLOOKUP($A390,PLAN!$B:$AC,5,0)</f>
        <v>CRV150-19S MDR</v>
      </c>
      <c r="E390" s="14" t="str">
        <f>VLOOKUP($A390,PLAN!$B:$AC,2,0)</f>
        <v>1001942986</v>
      </c>
      <c r="F390" s="15">
        <f>VLOOKUP($A390,PLAN!$B:$AC,7,0)</f>
        <v>46262</v>
      </c>
      <c r="G390" s="16" t="str">
        <f>VLOOKUP($A390,PLAN!$B:$AC,8,0)</f>
        <v>0103603905</v>
      </c>
      <c r="H390" s="16" t="str">
        <f>VLOOKUP($A390,PLAN!$B:$AC,9,0)</f>
        <v>260813K03A</v>
      </c>
      <c r="I390" s="16">
        <f>VLOOKUP($A390,PLAN!$B:$AC,10,0)</f>
        <v>19</v>
      </c>
      <c r="J390" s="17">
        <f>VLOOKUP($A390,PLAN!$B:$AC,21,0)</f>
        <v>46253</v>
      </c>
      <c r="K390" s="145" t="str">
        <f>VLOOKUP($A390,PLAN!$B:$AC,22,0)</f>
        <v>M8</v>
      </c>
      <c r="L390" s="1"/>
      <c r="M390" s="1"/>
      <c r="N390" s="1"/>
      <c r="O390" s="221" t="s">
        <v>79</v>
      </c>
      <c r="P390" s="220"/>
      <c r="Q390" s="18">
        <f>VLOOKUP(A390,PLAN!B:R,17,0)</f>
        <v>46252</v>
      </c>
    </row>
    <row r="391" spans="1:17" ht="17.25" hidden="1" customHeight="1">
      <c r="A391" s="329" t="s">
        <v>4230</v>
      </c>
      <c r="B391" s="14">
        <f>VLOOKUP($A391,PLAN!$B:$AC,3,0)</f>
        <v>11134222</v>
      </c>
      <c r="C391" s="14" t="str">
        <f>VLOOKUP($A391,PLAN!$B:$AC,4,0)</f>
        <v>2341001-0-A</v>
      </c>
      <c r="D391" s="14" t="str">
        <f>VLOOKUP($A391,PLAN!$B:$AC,5,0)</f>
        <v>CRV135-19S MDR</v>
      </c>
      <c r="E391" s="14" t="str">
        <f>VLOOKUP($A391,PLAN!$B:$AC,2,0)</f>
        <v>1001942987</v>
      </c>
      <c r="F391" s="15">
        <f>VLOOKUP($A391,PLAN!$B:$AC,7,0)</f>
        <v>46262</v>
      </c>
      <c r="G391" s="16" t="str">
        <f>VLOOKUP($A391,PLAN!$B:$AC,8,0)</f>
        <v>0103603906</v>
      </c>
      <c r="H391" s="16" t="str">
        <f>VLOOKUP($A391,PLAN!$B:$AC,9,0)</f>
        <v>260813K04A</v>
      </c>
      <c r="I391" s="16">
        <f>VLOOKUP($A391,PLAN!$B:$AC,10,0)</f>
        <v>21</v>
      </c>
      <c r="J391" s="17">
        <f>VLOOKUP($A391,PLAN!$B:$AC,21,0)</f>
        <v>46253</v>
      </c>
      <c r="K391" s="145" t="str">
        <f>VLOOKUP($A391,PLAN!$B:$AC,22,0)</f>
        <v>M8</v>
      </c>
      <c r="L391" s="1"/>
      <c r="M391" s="1"/>
      <c r="N391" s="1"/>
      <c r="O391" s="221" t="s">
        <v>79</v>
      </c>
      <c r="P391" s="220"/>
      <c r="Q391" s="18">
        <f>VLOOKUP(A391,PLAN!B:R,17,0)</f>
        <v>46252</v>
      </c>
    </row>
    <row r="392" spans="1:17" ht="17.25" hidden="1" customHeight="1">
      <c r="A392" s="329" t="s">
        <v>4233</v>
      </c>
      <c r="B392" s="14">
        <f>VLOOKUP($A392,PLAN!$B:$AC,3,0)</f>
        <v>11122087</v>
      </c>
      <c r="C392" s="14" t="str">
        <f>VLOOKUP($A392,PLAN!$B:$AC,4,0)</f>
        <v>2341003-B-A</v>
      </c>
      <c r="D392" s="14" t="str">
        <f>VLOOKUP($A392,PLAN!$B:$AC,5,0)</f>
        <v>CRV135-19P CE3</v>
      </c>
      <c r="E392" s="14" t="str">
        <f>VLOOKUP($A392,PLAN!$B:$AC,2,0)</f>
        <v>1001942988</v>
      </c>
      <c r="F392" s="15">
        <f>VLOOKUP($A392,PLAN!$B:$AC,7,0)</f>
        <v>46262</v>
      </c>
      <c r="G392" s="16" t="str">
        <f>VLOOKUP($A392,PLAN!$B:$AC,8,0)</f>
        <v>0103603907</v>
      </c>
      <c r="H392" s="16" t="str">
        <f>VLOOKUP($A392,PLAN!$B:$AC,9,0)</f>
        <v>260813K05A</v>
      </c>
      <c r="I392" s="16">
        <f>VLOOKUP($A392,PLAN!$B:$AC,10,0)</f>
        <v>40</v>
      </c>
      <c r="J392" s="17">
        <f>VLOOKUP($A392,PLAN!$B:$AC,21,0)</f>
        <v>46253</v>
      </c>
      <c r="K392" s="145" t="str">
        <f>VLOOKUP($A392,PLAN!$B:$AC,22,0)</f>
        <v>M8</v>
      </c>
      <c r="L392" s="1"/>
      <c r="M392" s="1"/>
      <c r="N392" s="1"/>
      <c r="O392" s="221" t="s">
        <v>79</v>
      </c>
      <c r="P392" s="220"/>
      <c r="Q392" s="18">
        <f>VLOOKUP(A392,PLAN!B:R,17,0)</f>
        <v>46252</v>
      </c>
    </row>
    <row r="393" spans="1:17" ht="17.25" hidden="1" customHeight="1">
      <c r="A393" s="329" t="s">
        <v>4235</v>
      </c>
      <c r="B393" s="14">
        <f>VLOOKUP($A393,PLAN!$B:$AC,3,0)</f>
        <v>11126311</v>
      </c>
      <c r="C393" s="14" t="str">
        <f>VLOOKUP($A393,PLAN!$B:$AC,4,0)</f>
        <v>1941011-E-A</v>
      </c>
      <c r="D393" s="14" t="str">
        <f>VLOOKUP($A393,PLAN!$B:$AC,5,0)</f>
        <v>MST150-18PWSFR JP</v>
      </c>
      <c r="E393" s="14" t="str">
        <f>VLOOKUP($A393,PLAN!$B:$AC,2,0)</f>
        <v>1001942990</v>
      </c>
      <c r="F393" s="15">
        <f>VLOOKUP($A393,PLAN!$B:$AC,7,0)</f>
        <v>46262</v>
      </c>
      <c r="G393" s="16" t="str">
        <f>VLOOKUP($A393,PLAN!$B:$AC,8,0)</f>
        <v>0103603909</v>
      </c>
      <c r="H393" s="16" t="str">
        <f>VLOOKUP($A393,PLAN!$B:$AC,9,0)</f>
        <v>260813K07A</v>
      </c>
      <c r="I393" s="16">
        <f>VLOOKUP($A393,PLAN!$B:$AC,10,0)</f>
        <v>7</v>
      </c>
      <c r="J393" s="17">
        <f>VLOOKUP($A393,PLAN!$B:$AC,21,0)</f>
        <v>46253</v>
      </c>
      <c r="K393" s="145" t="str">
        <f>VLOOKUP($A393,PLAN!$B:$AC,22,0)</f>
        <v>M8</v>
      </c>
      <c r="L393" s="1"/>
      <c r="M393" s="1"/>
      <c r="N393" s="1"/>
      <c r="O393" s="221" t="s">
        <v>79</v>
      </c>
      <c r="P393" s="220"/>
      <c r="Q393" s="18">
        <f>VLOOKUP(A393,PLAN!B:R,17,0)</f>
        <v>46252</v>
      </c>
    </row>
    <row r="394" spans="1:17" ht="17.25" hidden="1" customHeight="1">
      <c r="A394" s="329" t="s">
        <v>4236</v>
      </c>
      <c r="B394" s="14">
        <f>VLOOKUP($A394,PLAN!$B:$AC,3,0)</f>
        <v>11125155</v>
      </c>
      <c r="C394" s="14" t="str">
        <f>VLOOKUP($A394,PLAN!$B:$AC,4,0)</f>
        <v>1941024-F-A</v>
      </c>
      <c r="D394" s="14" t="str">
        <f>VLOOKUP($A394,PLAN!$B:$AC,5,0)</f>
        <v>MST150-27HFR JP</v>
      </c>
      <c r="E394" s="14" t="str">
        <f>VLOOKUP($A394,PLAN!$B:$AC,2,0)</f>
        <v>1001942991</v>
      </c>
      <c r="F394" s="15">
        <f>VLOOKUP($A394,PLAN!$B:$AC,7,0)</f>
        <v>46262</v>
      </c>
      <c r="G394" s="16" t="str">
        <f>VLOOKUP($A394,PLAN!$B:$AC,8,0)</f>
        <v>0103603910</v>
      </c>
      <c r="H394" s="16" t="str">
        <f>VLOOKUP($A394,PLAN!$B:$AC,9,0)</f>
        <v>260813K08A</v>
      </c>
      <c r="I394" s="16">
        <f>VLOOKUP($A394,PLAN!$B:$AC,10,0)</f>
        <v>11</v>
      </c>
      <c r="J394" s="17">
        <f>VLOOKUP($A394,PLAN!$B:$AC,21,0)</f>
        <v>46253</v>
      </c>
      <c r="K394" s="145" t="str">
        <f>VLOOKUP($A394,PLAN!$B:$AC,22,0)</f>
        <v>M8</v>
      </c>
      <c r="L394" s="1"/>
      <c r="M394" s="1"/>
      <c r="N394" s="1"/>
      <c r="O394" s="221" t="s">
        <v>79</v>
      </c>
      <c r="P394" s="220"/>
      <c r="Q394" s="18">
        <f>VLOOKUP(A394,PLAN!B:R,17,0)</f>
        <v>46252</v>
      </c>
    </row>
    <row r="395" spans="1:17" ht="17.25" hidden="1" customHeight="1">
      <c r="A395" s="329" t="s">
        <v>4237</v>
      </c>
      <c r="B395" s="14">
        <f>VLOOKUP($A395,PLAN!$B:$AC,3,0)</f>
        <v>11125141</v>
      </c>
      <c r="C395" s="14" t="str">
        <f>VLOOKUP($A395,PLAN!$B:$AC,4,0)</f>
        <v>1941010-D-A</v>
      </c>
      <c r="D395" s="14" t="str">
        <f>VLOOKUP($A395,PLAN!$B:$AC,5,0)</f>
        <v>MST125-18PWSFR JP</v>
      </c>
      <c r="E395" s="14" t="str">
        <f>VLOOKUP($A395,PLAN!$B:$AC,2,0)</f>
        <v>1001942992</v>
      </c>
      <c r="F395" s="15">
        <f>VLOOKUP($A395,PLAN!$B:$AC,7,0)</f>
        <v>46262</v>
      </c>
      <c r="G395" s="16" t="str">
        <f>VLOOKUP($A395,PLAN!$B:$AC,8,0)</f>
        <v>0103603911</v>
      </c>
      <c r="H395" s="16" t="str">
        <f>VLOOKUP($A395,PLAN!$B:$AC,9,0)</f>
        <v>260813K09A</v>
      </c>
      <c r="I395" s="16">
        <f>VLOOKUP($A395,PLAN!$B:$AC,10,0)</f>
        <v>23</v>
      </c>
      <c r="J395" s="17">
        <f>VLOOKUP($A395,PLAN!$B:$AC,21,0)</f>
        <v>46253</v>
      </c>
      <c r="K395" s="145" t="str">
        <f>VLOOKUP($A395,PLAN!$B:$AC,22,0)</f>
        <v>M8</v>
      </c>
      <c r="L395" s="1"/>
      <c r="M395" s="1"/>
      <c r="N395" s="1"/>
      <c r="O395" s="221" t="s">
        <v>79</v>
      </c>
      <c r="P395" s="220"/>
      <c r="Q395" s="18">
        <f>VLOOKUP(A395,PLAN!B:R,17,0)</f>
        <v>46252</v>
      </c>
    </row>
    <row r="396" spans="1:17" ht="17.25" hidden="1" customHeight="1">
      <c r="A396" s="329" t="s">
        <v>4238</v>
      </c>
      <c r="B396" s="14">
        <f>VLOOKUP($A396,PLAN!$B:$AC,3,0)</f>
        <v>11134366</v>
      </c>
      <c r="C396" s="14" t="str">
        <f>VLOOKUP($A396,PLAN!$B:$AC,4,0)</f>
        <v>1941062-G-A</v>
      </c>
      <c r="D396" s="14" t="str">
        <f>VLOOKUP($A396,PLAN!$B:$AC,5,0)</f>
        <v>TLS125-16SSLR JP</v>
      </c>
      <c r="E396" s="14" t="str">
        <f>VLOOKUP($A396,PLAN!$B:$AC,2,0)</f>
        <v>1001942993</v>
      </c>
      <c r="F396" s="15">
        <f>VLOOKUP($A396,PLAN!$B:$AC,7,0)</f>
        <v>46262</v>
      </c>
      <c r="G396" s="16" t="str">
        <f>VLOOKUP($A396,PLAN!$B:$AC,8,0)</f>
        <v>0103603912</v>
      </c>
      <c r="H396" s="16" t="str">
        <f>VLOOKUP($A396,PLAN!$B:$AC,9,0)</f>
        <v>260813K10A</v>
      </c>
      <c r="I396" s="16">
        <f>VLOOKUP($A396,PLAN!$B:$AC,10,0)</f>
        <v>5</v>
      </c>
      <c r="J396" s="17">
        <f>VLOOKUP($A396,PLAN!$B:$AC,21,0)</f>
        <v>46253</v>
      </c>
      <c r="K396" s="145" t="str">
        <f>VLOOKUP($A396,PLAN!$B:$AC,22,0)</f>
        <v>M8</v>
      </c>
      <c r="L396" s="1"/>
      <c r="M396" s="1"/>
      <c r="N396" s="1"/>
      <c r="O396" s="221" t="s">
        <v>79</v>
      </c>
      <c r="P396" s="220"/>
      <c r="Q396" s="18">
        <f>VLOOKUP(A396,PLAN!B:R,17,0)</f>
        <v>46252</v>
      </c>
    </row>
    <row r="397" spans="1:17" ht="17.25" hidden="1" customHeight="1">
      <c r="A397" s="329" t="s">
        <v>4239</v>
      </c>
      <c r="B397" s="14">
        <f>VLOOKUP($A397,PLAN!$B:$AC,3,0)</f>
        <v>11132001</v>
      </c>
      <c r="C397" s="14" t="str">
        <f>VLOOKUP($A397,PLAN!$B:$AC,4,0)</f>
        <v>1941063-D-A</v>
      </c>
      <c r="D397" s="14" t="str">
        <f>VLOOKUP($A397,PLAN!$B:$AC,5,0)</f>
        <v>TLS105-16YR JP</v>
      </c>
      <c r="E397" s="14" t="str">
        <f>VLOOKUP($A397,PLAN!$B:$AC,2,0)</f>
        <v>1001942994</v>
      </c>
      <c r="F397" s="15">
        <f>VLOOKUP($A397,PLAN!$B:$AC,7,0)</f>
        <v>46262</v>
      </c>
      <c r="G397" s="16" t="str">
        <f>VLOOKUP($A397,PLAN!$B:$AC,8,0)</f>
        <v>0103603913</v>
      </c>
      <c r="H397" s="16" t="str">
        <f>VLOOKUP($A397,PLAN!$B:$AC,9,0)</f>
        <v>260813K11A</v>
      </c>
      <c r="I397" s="16">
        <f>VLOOKUP($A397,PLAN!$B:$AC,10,0)</f>
        <v>8</v>
      </c>
      <c r="J397" s="17">
        <f>VLOOKUP($A397,PLAN!$B:$AC,21,0)</f>
        <v>46253</v>
      </c>
      <c r="K397" s="145" t="str">
        <f>VLOOKUP($A397,PLAN!$B:$AC,22,0)</f>
        <v>M8</v>
      </c>
      <c r="L397" s="1"/>
      <c r="M397" s="1"/>
      <c r="N397" s="1"/>
      <c r="O397" s="221" t="s">
        <v>79</v>
      </c>
      <c r="P397" s="220"/>
      <c r="Q397" s="18">
        <f>VLOOKUP(A397,PLAN!B:R,17,0)</f>
        <v>46252</v>
      </c>
    </row>
    <row r="398" spans="1:17" ht="17.25" hidden="1" customHeight="1">
      <c r="A398" s="329" t="s">
        <v>4240</v>
      </c>
      <c r="B398" s="14">
        <f>VLOOKUP($A398,PLAN!$B:$AC,3,0)</f>
        <v>11134360</v>
      </c>
      <c r="C398" s="14" t="str">
        <f>VLOOKUP($A398,PLAN!$B:$AC,4,0)</f>
        <v>1941056-F-A</v>
      </c>
      <c r="D398" s="14" t="str">
        <f>VLOOKUP($A398,PLAN!$B:$AC,5,0)</f>
        <v>TLS105-16SR JP</v>
      </c>
      <c r="E398" s="14" t="str">
        <f>VLOOKUP($A398,PLAN!$B:$AC,2,0)</f>
        <v>1001942995</v>
      </c>
      <c r="F398" s="15">
        <f>VLOOKUP($A398,PLAN!$B:$AC,7,0)</f>
        <v>46262</v>
      </c>
      <c r="G398" s="16" t="str">
        <f>VLOOKUP($A398,PLAN!$B:$AC,8,0)</f>
        <v>0103603914</v>
      </c>
      <c r="H398" s="16" t="str">
        <f>VLOOKUP($A398,PLAN!$B:$AC,9,0)</f>
        <v>260813K12A</v>
      </c>
      <c r="I398" s="16">
        <f>VLOOKUP($A398,PLAN!$B:$AC,10,0)</f>
        <v>17</v>
      </c>
      <c r="J398" s="17">
        <f>VLOOKUP($A398,PLAN!$B:$AC,21,0)</f>
        <v>46253</v>
      </c>
      <c r="K398" s="145" t="str">
        <f>VLOOKUP($A398,PLAN!$B:$AC,22,0)</f>
        <v>M8</v>
      </c>
      <c r="L398" s="1"/>
      <c r="M398" s="1"/>
      <c r="N398" s="1"/>
      <c r="O398" s="221" t="s">
        <v>79</v>
      </c>
      <c r="P398" s="220"/>
      <c r="Q398" s="18">
        <f>VLOOKUP(A398,PLAN!B:R,17,0)</f>
        <v>46252</v>
      </c>
    </row>
    <row r="399" spans="1:17" ht="17.25" hidden="1" customHeight="1">
      <c r="A399" s="329" t="s">
        <v>4241</v>
      </c>
      <c r="B399" s="14">
        <f>VLOOKUP($A399,PLAN!$B:$AC,3,0)</f>
        <v>11132002</v>
      </c>
      <c r="C399" s="14" t="str">
        <f>VLOOKUP($A399,PLAN!$B:$AC,4,0)</f>
        <v>1941064-D-A</v>
      </c>
      <c r="D399" s="14" t="str">
        <f>VLOOKUP($A399,PLAN!$B:$AC,5,0)</f>
        <v>TLS125-16YR JP</v>
      </c>
      <c r="E399" s="14" t="str">
        <f>VLOOKUP($A399,PLAN!$B:$AC,2,0)</f>
        <v>1001942996</v>
      </c>
      <c r="F399" s="15">
        <f>VLOOKUP($A399,PLAN!$B:$AC,7,0)</f>
        <v>46262</v>
      </c>
      <c r="G399" s="16" t="str">
        <f>VLOOKUP($A399,PLAN!$B:$AC,8,0)</f>
        <v>0103603915</v>
      </c>
      <c r="H399" s="16" t="str">
        <f>VLOOKUP($A399,PLAN!$B:$AC,9,0)</f>
        <v>260813K13A</v>
      </c>
      <c r="I399" s="16">
        <f>VLOOKUP($A399,PLAN!$B:$AC,10,0)</f>
        <v>26</v>
      </c>
      <c r="J399" s="17">
        <f>VLOOKUP($A399,PLAN!$B:$AC,21,0)</f>
        <v>46253</v>
      </c>
      <c r="K399" s="145" t="str">
        <f>VLOOKUP($A399,PLAN!$B:$AC,22,0)</f>
        <v>M8</v>
      </c>
      <c r="L399" s="1"/>
      <c r="M399" s="1"/>
      <c r="N399" s="1"/>
      <c r="O399" s="221" t="s">
        <v>79</v>
      </c>
      <c r="P399" s="220"/>
      <c r="Q399" s="18">
        <f>VLOOKUP(A399,PLAN!B:R,17,0)</f>
        <v>46252</v>
      </c>
    </row>
    <row r="400" spans="1:17" ht="17.25" hidden="1" customHeight="1">
      <c r="A400" s="329" t="s">
        <v>4242</v>
      </c>
      <c r="B400" s="14">
        <f>VLOOKUP($A400,PLAN!$B:$AC,3,0)</f>
        <v>11134361</v>
      </c>
      <c r="C400" s="14" t="str">
        <f>VLOOKUP($A400,PLAN!$B:$AC,4,0)</f>
        <v>1941057-F-A</v>
      </c>
      <c r="D400" s="14" t="str">
        <f>VLOOKUP($A400,PLAN!$B:$AC,5,0)</f>
        <v>TLS125-16SR JP</v>
      </c>
      <c r="E400" s="14" t="str">
        <f>VLOOKUP($A400,PLAN!$B:$AC,2,0)</f>
        <v>1001942997</v>
      </c>
      <c r="F400" s="15">
        <f>VLOOKUP($A400,PLAN!$B:$AC,7,0)</f>
        <v>46262</v>
      </c>
      <c r="G400" s="16" t="str">
        <f>VLOOKUP($A400,PLAN!$B:$AC,8,0)</f>
        <v>0103603916</v>
      </c>
      <c r="H400" s="16" t="str">
        <f>VLOOKUP($A400,PLAN!$B:$AC,9,0)</f>
        <v>260813K14A</v>
      </c>
      <c r="I400" s="16">
        <f>VLOOKUP($A400,PLAN!$B:$AC,10,0)</f>
        <v>53</v>
      </c>
      <c r="J400" s="17">
        <f>VLOOKUP($A400,PLAN!$B:$AC,21,0)</f>
        <v>46253</v>
      </c>
      <c r="K400" s="145" t="str">
        <f>VLOOKUP($A400,PLAN!$B:$AC,22,0)</f>
        <v>M8</v>
      </c>
      <c r="L400" s="1"/>
      <c r="M400" s="1"/>
      <c r="N400" s="1"/>
      <c r="O400" s="221" t="s">
        <v>79</v>
      </c>
      <c r="P400" s="220"/>
      <c r="Q400" s="18">
        <f>VLOOKUP(A400,PLAN!B:R,17,0)</f>
        <v>46252</v>
      </c>
    </row>
    <row r="401" spans="1:17" ht="17.25" hidden="1" customHeight="1">
      <c r="A401" s="329" t="s">
        <v>4243</v>
      </c>
      <c r="B401" s="14">
        <f>VLOOKUP($A401,PLAN!$B:$AC,3,0)</f>
        <v>11134343</v>
      </c>
      <c r="C401" s="14" t="str">
        <f>VLOOKUP($A401,PLAN!$B:$AC,4,0)</f>
        <v>1941029-F-A</v>
      </c>
      <c r="D401" s="14" t="str">
        <f>VLOOKUP($A401,PLAN!$B:$AC,5,0)</f>
        <v>VEL105-16SR JP</v>
      </c>
      <c r="E401" s="14" t="str">
        <f>VLOOKUP($A401,PLAN!$B:$AC,2,0)</f>
        <v>1001942998</v>
      </c>
      <c r="F401" s="15">
        <f>VLOOKUP($A401,PLAN!$B:$AC,7,0)</f>
        <v>46262</v>
      </c>
      <c r="G401" s="16" t="str">
        <f>VLOOKUP($A401,PLAN!$B:$AC,8,0)</f>
        <v>0103603917</v>
      </c>
      <c r="H401" s="16" t="str">
        <f>VLOOKUP($A401,PLAN!$B:$AC,9,0)</f>
        <v>260813K15A</v>
      </c>
      <c r="I401" s="16">
        <f>VLOOKUP($A401,PLAN!$B:$AC,10,0)</f>
        <v>8</v>
      </c>
      <c r="J401" s="17">
        <f>VLOOKUP($A401,PLAN!$B:$AC,21,0)</f>
        <v>46253</v>
      </c>
      <c r="K401" s="145" t="str">
        <f>VLOOKUP($A401,PLAN!$B:$AC,22,0)</f>
        <v>M8</v>
      </c>
      <c r="L401" s="1"/>
      <c r="M401" s="1"/>
      <c r="N401" s="1"/>
      <c r="O401" s="221" t="s">
        <v>79</v>
      </c>
      <c r="P401" s="220"/>
      <c r="Q401" s="18">
        <f>VLOOKUP(A401,PLAN!B:R,17,0)</f>
        <v>46252</v>
      </c>
    </row>
    <row r="402" spans="1:17" ht="17.25" hidden="1" customHeight="1">
      <c r="A402" s="329" t="s">
        <v>4244</v>
      </c>
      <c r="B402" s="14">
        <f>VLOOKUP($A402,PLAN!$B:$AC,3,0)</f>
        <v>11134345</v>
      </c>
      <c r="C402" s="14" t="str">
        <f>VLOOKUP($A402,PLAN!$B:$AC,4,0)</f>
        <v>1941031-F-A</v>
      </c>
      <c r="D402" s="14" t="str">
        <f>VLOOKUP($A402,PLAN!$B:$AC,5,0)</f>
        <v>VEL150-16SR JP</v>
      </c>
      <c r="E402" s="14" t="str">
        <f>VLOOKUP($A402,PLAN!$B:$AC,2,0)</f>
        <v>1001942999</v>
      </c>
      <c r="F402" s="15">
        <f>VLOOKUP($A402,PLAN!$B:$AC,7,0)</f>
        <v>46262</v>
      </c>
      <c r="G402" s="16" t="str">
        <f>VLOOKUP($A402,PLAN!$B:$AC,8,0)</f>
        <v>0103603918</v>
      </c>
      <c r="H402" s="16" t="str">
        <f>VLOOKUP($A402,PLAN!$B:$AC,9,0)</f>
        <v>260813K16A</v>
      </c>
      <c r="I402" s="16">
        <f>VLOOKUP($A402,PLAN!$B:$AC,10,0)</f>
        <v>10</v>
      </c>
      <c r="J402" s="17">
        <f>VLOOKUP($A402,PLAN!$B:$AC,21,0)</f>
        <v>46253</v>
      </c>
      <c r="K402" s="145" t="str">
        <f>VLOOKUP($A402,PLAN!$B:$AC,22,0)</f>
        <v>M8</v>
      </c>
      <c r="L402" s="1"/>
      <c r="M402" s="1"/>
      <c r="N402" s="1"/>
      <c r="O402" s="221" t="s">
        <v>79</v>
      </c>
      <c r="P402" s="220"/>
      <c r="Q402" s="18">
        <f>VLOOKUP(A402,PLAN!B:R,17,0)</f>
        <v>46252</v>
      </c>
    </row>
    <row r="403" spans="1:17" ht="17.25" hidden="1" customHeight="1">
      <c r="A403" s="329" t="s">
        <v>4245</v>
      </c>
      <c r="B403" s="14">
        <f>VLOOKUP($A403,PLAN!$B:$AC,3,0)</f>
        <v>11134344</v>
      </c>
      <c r="C403" s="14" t="str">
        <f>VLOOKUP($A403,PLAN!$B:$AC,4,0)</f>
        <v>1941030-F-A</v>
      </c>
      <c r="D403" s="14" t="str">
        <f>VLOOKUP($A403,PLAN!$B:$AC,5,0)</f>
        <v>VEL125-16SR JP</v>
      </c>
      <c r="E403" s="14" t="str">
        <f>VLOOKUP($A403,PLAN!$B:$AC,2,0)</f>
        <v>1001943000</v>
      </c>
      <c r="F403" s="15">
        <f>VLOOKUP($A403,PLAN!$B:$AC,7,0)</f>
        <v>46262</v>
      </c>
      <c r="G403" s="16" t="str">
        <f>VLOOKUP($A403,PLAN!$B:$AC,8,0)</f>
        <v>0103603919</v>
      </c>
      <c r="H403" s="16" t="str">
        <f>VLOOKUP($A403,PLAN!$B:$AC,9,0)</f>
        <v>260813K17A</v>
      </c>
      <c r="I403" s="16">
        <f>VLOOKUP($A403,PLAN!$B:$AC,10,0)</f>
        <v>84</v>
      </c>
      <c r="J403" s="17">
        <f>VLOOKUP($A403,PLAN!$B:$AC,21,0)</f>
        <v>46253</v>
      </c>
      <c r="K403" s="145" t="str">
        <f>VLOOKUP($A403,PLAN!$B:$AC,22,0)</f>
        <v>M8</v>
      </c>
      <c r="L403" s="1"/>
      <c r="M403" s="1"/>
      <c r="N403" s="1"/>
      <c r="O403" s="221" t="s">
        <v>79</v>
      </c>
      <c r="P403" s="220"/>
      <c r="Q403" s="18">
        <f>VLOOKUP(A403,PLAN!B:R,17,0)</f>
        <v>46252</v>
      </c>
    </row>
    <row r="404" spans="1:17" ht="17.25" hidden="1" customHeight="1">
      <c r="A404" s="329" t="s">
        <v>4246</v>
      </c>
      <c r="B404" s="14">
        <f>VLOOKUP($A404,PLAN!$B:$AC,3,0)</f>
        <v>11127835</v>
      </c>
      <c r="C404" s="14" t="str">
        <f>VLOOKUP($A404,PLAN!$B:$AC,4,0)</f>
        <v>1941079-D-A</v>
      </c>
      <c r="D404" s="14" t="str">
        <f>VLOOKUP($A404,PLAN!$B:$AC,5,0)</f>
        <v>CSRP135-26NR JP</v>
      </c>
      <c r="E404" s="14" t="str">
        <f>VLOOKUP($A404,PLAN!$B:$AC,2,0)</f>
        <v>1001943001</v>
      </c>
      <c r="F404" s="15">
        <f>VLOOKUP($A404,PLAN!$B:$AC,7,0)</f>
        <v>46262</v>
      </c>
      <c r="G404" s="16" t="str">
        <f>VLOOKUP($A404,PLAN!$B:$AC,8,0)</f>
        <v>0103603920</v>
      </c>
      <c r="H404" s="16" t="str">
        <f>VLOOKUP($A404,PLAN!$B:$AC,9,0)</f>
        <v>260813K18A</v>
      </c>
      <c r="I404" s="16">
        <f>VLOOKUP($A404,PLAN!$B:$AC,10,0)</f>
        <v>335</v>
      </c>
      <c r="J404" s="17">
        <f>VLOOKUP($A404,PLAN!$B:$AC,21,0)</f>
        <v>46253</v>
      </c>
      <c r="K404" s="145" t="str">
        <f>VLOOKUP($A404,PLAN!$B:$AC,22,0)</f>
        <v>M8</v>
      </c>
      <c r="L404" s="1"/>
      <c r="M404" s="1"/>
      <c r="N404" s="1"/>
      <c r="O404" s="221" t="s">
        <v>79</v>
      </c>
      <c r="P404" s="220"/>
      <c r="Q404" s="18">
        <f>VLOOKUP(A404,PLAN!B:R,17,0)</f>
        <v>46252</v>
      </c>
    </row>
    <row r="405" spans="1:17" ht="17.25" hidden="1" customHeight="1">
      <c r="A405" s="329" t="s">
        <v>4247</v>
      </c>
      <c r="B405" s="14">
        <f>VLOOKUP($A405,PLAN!$B:$AC,3,0)</f>
        <v>11131259</v>
      </c>
      <c r="C405" s="14" t="str">
        <f>VLOOKUP($A405,PLAN!$B:$AC,4,0)</f>
        <v>1941002-D-A</v>
      </c>
      <c r="D405" s="14" t="str">
        <f>VLOOKUP($A405,PLAN!$B:$AC,5,0)</f>
        <v>CSR150-26PR JP</v>
      </c>
      <c r="E405" s="14" t="str">
        <f>VLOOKUP($A405,PLAN!$B:$AC,2,0)</f>
        <v>1001943002</v>
      </c>
      <c r="F405" s="15">
        <f>VLOOKUP($A405,PLAN!$B:$AC,7,0)</f>
        <v>46262</v>
      </c>
      <c r="G405" s="16" t="str">
        <f>VLOOKUP($A405,PLAN!$B:$AC,8,0)</f>
        <v>0103603921</v>
      </c>
      <c r="H405" s="16" t="str">
        <f>VLOOKUP($A405,PLAN!$B:$AC,9,0)</f>
        <v>260813K19A</v>
      </c>
      <c r="I405" s="16">
        <f>VLOOKUP($A405,PLAN!$B:$AC,10,0)</f>
        <v>12</v>
      </c>
      <c r="J405" s="17">
        <f>VLOOKUP($A405,PLAN!$B:$AC,21,0)</f>
        <v>46253</v>
      </c>
      <c r="K405" s="145" t="str">
        <f>VLOOKUP($A405,PLAN!$B:$AC,22,0)</f>
        <v>M8</v>
      </c>
      <c r="L405" s="1"/>
      <c r="M405" s="1"/>
      <c r="N405" s="1"/>
      <c r="O405" s="221" t="s">
        <v>79</v>
      </c>
      <c r="P405" s="220"/>
      <c r="Q405" s="18">
        <f>VLOOKUP(A405,PLAN!B:R,17,0)</f>
        <v>46252</v>
      </c>
    </row>
    <row r="406" spans="1:17" ht="17.25" hidden="1" customHeight="1">
      <c r="A406" s="329" t="s">
        <v>4248</v>
      </c>
      <c r="B406" s="14">
        <f>VLOOKUP($A406,PLAN!$B:$AC,3,0)</f>
        <v>11121772</v>
      </c>
      <c r="C406" s="14" t="str">
        <f>VLOOKUP($A406,PLAN!$B:$AC,4,0)</f>
        <v>1941096-B-A</v>
      </c>
      <c r="D406" s="14" t="str">
        <f>VLOOKUP($A406,PLAN!$B:$AC,5,0)</f>
        <v>CSR135-26P US</v>
      </c>
      <c r="E406" s="14" t="str">
        <f>VLOOKUP($A406,PLAN!$B:$AC,2,0)</f>
        <v>1001943003</v>
      </c>
      <c r="F406" s="15">
        <f>VLOOKUP($A406,PLAN!$B:$AC,7,0)</f>
        <v>46262</v>
      </c>
      <c r="G406" s="16" t="str">
        <f>VLOOKUP($A406,PLAN!$B:$AC,8,0)</f>
        <v>0103603922</v>
      </c>
      <c r="H406" s="16" t="str">
        <f>VLOOKUP($A406,PLAN!$B:$AC,9,0)</f>
        <v>260813K20A</v>
      </c>
      <c r="I406" s="16">
        <f>VLOOKUP($A406,PLAN!$B:$AC,10,0)</f>
        <v>90</v>
      </c>
      <c r="J406" s="17">
        <f>VLOOKUP($A406,PLAN!$B:$AC,21,0)</f>
        <v>46253</v>
      </c>
      <c r="K406" s="145" t="str">
        <f>VLOOKUP($A406,PLAN!$B:$AC,22,0)</f>
        <v>M8</v>
      </c>
      <c r="L406" s="1"/>
      <c r="M406" s="1"/>
      <c r="N406" s="1"/>
      <c r="O406" s="221" t="s">
        <v>79</v>
      </c>
      <c r="P406" s="220"/>
      <c r="Q406" s="18">
        <f>VLOOKUP(A406,PLAN!B:R,17,0)</f>
        <v>46252</v>
      </c>
    </row>
    <row r="407" spans="1:17" ht="17.25" hidden="1" customHeight="1">
      <c r="A407" s="329" t="s">
        <v>4249</v>
      </c>
      <c r="B407" s="14">
        <f>VLOOKUP($A407,PLAN!$B:$AC,3,0)</f>
        <v>11112479</v>
      </c>
      <c r="C407" s="14" t="str">
        <f>VLOOKUP($A407,PLAN!$B:$AC,4,0)</f>
        <v>PSC35090A-E-A</v>
      </c>
      <c r="D407" s="14" t="str">
        <f>VLOOKUP($A407,PLAN!$B:$AC,5,0)</f>
        <v>PSC35090A US</v>
      </c>
      <c r="E407" s="14" t="str">
        <f>VLOOKUP($A407,PLAN!$B:$AC,2,0)</f>
        <v>1001943004</v>
      </c>
      <c r="F407" s="15">
        <f>VLOOKUP($A407,PLAN!$B:$AC,7,0)</f>
        <v>46262</v>
      </c>
      <c r="G407" s="16" t="str">
        <f>VLOOKUP($A407,PLAN!$B:$AC,8,0)</f>
        <v>0103603924</v>
      </c>
      <c r="H407" s="16" t="str">
        <f>VLOOKUP($A407,PLAN!$B:$AC,9,0)</f>
        <v>260813K21A</v>
      </c>
      <c r="I407" s="16">
        <f>VLOOKUP($A407,PLAN!$B:$AC,10,0)</f>
        <v>20</v>
      </c>
      <c r="J407" s="17">
        <f>VLOOKUP($A407,PLAN!$B:$AC,21,0)</f>
        <v>46253</v>
      </c>
      <c r="K407" s="145" t="str">
        <f>VLOOKUP($A407,PLAN!$B:$AC,22,0)</f>
        <v>M8</v>
      </c>
      <c r="L407" s="1"/>
      <c r="M407" s="1"/>
      <c r="N407" s="1"/>
      <c r="O407" s="221" t="s">
        <v>79</v>
      </c>
      <c r="P407" s="220"/>
      <c r="Q407" s="18">
        <f>VLOOKUP(A407,PLAN!B:R,17,0)</f>
        <v>46252</v>
      </c>
    </row>
    <row r="408" spans="1:17" ht="17.25" hidden="1" customHeight="1">
      <c r="A408" s="329" t="s">
        <v>4250</v>
      </c>
      <c r="B408" s="14">
        <f>VLOOKUP($A408,PLAN!$B:$AC,3,0)</f>
        <v>11112486</v>
      </c>
      <c r="C408" s="14" t="str">
        <f>VLOOKUP($A408,PLAN!$B:$AC,4,0)</f>
        <v>PSC35135S-E-A</v>
      </c>
      <c r="D408" s="14" t="str">
        <f>VLOOKUP($A408,PLAN!$B:$AC,5,0)</f>
        <v>PSC35135S US</v>
      </c>
      <c r="E408" s="14" t="str">
        <f>VLOOKUP($A408,PLAN!$B:$AC,2,0)</f>
        <v>1001943005</v>
      </c>
      <c r="F408" s="15">
        <f>VLOOKUP($A408,PLAN!$B:$AC,7,0)</f>
        <v>46262</v>
      </c>
      <c r="G408" s="16" t="str">
        <f>VLOOKUP($A408,PLAN!$B:$AC,8,0)</f>
        <v>0103603925</v>
      </c>
      <c r="H408" s="16" t="str">
        <f>VLOOKUP($A408,PLAN!$B:$AC,9,0)</f>
        <v>260813K22A</v>
      </c>
      <c r="I408" s="16">
        <f>VLOOKUP($A408,PLAN!$B:$AC,10,0)</f>
        <v>35</v>
      </c>
      <c r="J408" s="17">
        <f>VLOOKUP($A408,PLAN!$B:$AC,21,0)</f>
        <v>46253</v>
      </c>
      <c r="K408" s="145" t="str">
        <f>VLOOKUP($A408,PLAN!$B:$AC,22,0)</f>
        <v>M8</v>
      </c>
      <c r="L408" s="1"/>
      <c r="M408" s="1"/>
      <c r="N408" s="1"/>
      <c r="O408" s="221" t="s">
        <v>79</v>
      </c>
      <c r="P408" s="220"/>
      <c r="Q408" s="18">
        <f>VLOOKUP(A408,PLAN!B:R,17,0)</f>
        <v>46252</v>
      </c>
    </row>
    <row r="409" spans="1:17" ht="17.25" hidden="1" customHeight="1">
      <c r="A409" s="329" t="s">
        <v>4251</v>
      </c>
      <c r="B409" s="14">
        <f>VLOOKUP($A409,PLAN!$B:$AC,3,0)</f>
        <v>11112475</v>
      </c>
      <c r="C409" s="14" t="str">
        <f>VLOOKUP($A409,PLAN!$B:$AC,4,0)</f>
        <v>PSC18110S-D-A</v>
      </c>
      <c r="D409" s="14" t="str">
        <f>VLOOKUP($A409,PLAN!$B:$AC,5,0)</f>
        <v>PSC18110S US</v>
      </c>
      <c r="E409" s="14" t="str">
        <f>VLOOKUP($A409,PLAN!$B:$AC,2,0)</f>
        <v>1001943006</v>
      </c>
      <c r="F409" s="15">
        <f>VLOOKUP($A409,PLAN!$B:$AC,7,0)</f>
        <v>46262</v>
      </c>
      <c r="G409" s="16" t="str">
        <f>VLOOKUP($A409,PLAN!$B:$AC,8,0)</f>
        <v>0103603926</v>
      </c>
      <c r="H409" s="16" t="str">
        <f>VLOOKUP($A409,PLAN!$B:$AC,9,0)</f>
        <v>260813K23A</v>
      </c>
      <c r="I409" s="16">
        <f>VLOOKUP($A409,PLAN!$B:$AC,10,0)</f>
        <v>10</v>
      </c>
      <c r="J409" s="17">
        <f>VLOOKUP($A409,PLAN!$B:$AC,21,0)</f>
        <v>46253</v>
      </c>
      <c r="K409" s="145" t="str">
        <f>VLOOKUP($A409,PLAN!$B:$AC,22,0)</f>
        <v>M8</v>
      </c>
      <c r="L409" s="1"/>
      <c r="M409" s="1"/>
      <c r="N409" s="1"/>
      <c r="O409" s="221" t="s">
        <v>79</v>
      </c>
      <c r="P409" s="220"/>
      <c r="Q409" s="18">
        <f>VLOOKUP(A409,PLAN!B:R,17,0)</f>
        <v>46252</v>
      </c>
    </row>
    <row r="410" spans="1:17" ht="17.25" hidden="1" customHeight="1">
      <c r="A410" s="329" t="s">
        <v>4274</v>
      </c>
      <c r="B410" s="14">
        <f>VLOOKUP($A410,PLAN!$B:$AC,3,0)</f>
        <v>11134248</v>
      </c>
      <c r="C410" s="14" t="str">
        <f>VLOOKUP($A410,PLAN!$B:$AC,4,0)</f>
        <v>2041189-D-A</v>
      </c>
      <c r="D410" s="14" t="str">
        <f>VLOOKUP($A410,PLAN!$B:$AC,5,0)</f>
        <v>CSR135-26P CN</v>
      </c>
      <c r="E410" s="14" t="str">
        <f>VLOOKUP($A410,PLAN!$B:$AC,2,0)</f>
        <v>1001943007</v>
      </c>
      <c r="F410" s="15">
        <f>VLOOKUP($A410,PLAN!$B:$AC,7,0)</f>
        <v>46272</v>
      </c>
      <c r="G410" s="16" t="str">
        <f>VLOOKUP($A410,PLAN!$B:$AC,8,0)</f>
        <v>0103603927</v>
      </c>
      <c r="H410" s="16" t="str">
        <f>VLOOKUP($A410,PLAN!$B:$AC,9,0)</f>
        <v>260813K24A</v>
      </c>
      <c r="I410" s="16">
        <f>VLOOKUP($A410,PLAN!$B:$AC,10,0)</f>
        <v>503</v>
      </c>
      <c r="J410" s="17">
        <f>VLOOKUP($A410,PLAN!$B:$AC,21,0)</f>
        <v>46253</v>
      </c>
      <c r="K410" s="145" t="str">
        <f>VLOOKUP($A410,PLAN!$B:$AC,22,0)</f>
        <v>M8</v>
      </c>
      <c r="L410" s="1"/>
      <c r="M410" s="1"/>
      <c r="N410" s="1"/>
      <c r="O410" s="221" t="s">
        <v>79</v>
      </c>
      <c r="P410" s="220"/>
      <c r="Q410" s="18">
        <f>VLOOKUP(A410,PLAN!B:R,17,0)</f>
        <v>46252</v>
      </c>
    </row>
    <row r="411" spans="1:17" ht="17.25" hidden="1" customHeight="1">
      <c r="A411" s="329" t="s">
        <v>4275</v>
      </c>
      <c r="B411" s="14">
        <f>VLOOKUP($A411,PLAN!$B:$AC,3,0)</f>
        <v>11134562</v>
      </c>
      <c r="C411" s="14" t="str">
        <f>VLOOKUP($A411,PLAN!$B:$AC,4,0)</f>
        <v>2041303-C-A</v>
      </c>
      <c r="D411" s="14" t="str">
        <f>VLOOKUP($A411,PLAN!$B:$AC,5,0)</f>
        <v>MST125-27HFR CN</v>
      </c>
      <c r="E411" s="14" t="str">
        <f>VLOOKUP($A411,PLAN!$B:$AC,2,0)</f>
        <v>1001943008</v>
      </c>
      <c r="F411" s="15">
        <f>VLOOKUP($A411,PLAN!$B:$AC,7,0)</f>
        <v>46272</v>
      </c>
      <c r="G411" s="16" t="str">
        <f>VLOOKUP($A411,PLAN!$B:$AC,8,0)</f>
        <v>0103603928</v>
      </c>
      <c r="H411" s="16" t="str">
        <f>VLOOKUP($A411,PLAN!$B:$AC,9,0)</f>
        <v>260813K25A</v>
      </c>
      <c r="I411" s="16">
        <f>VLOOKUP($A411,PLAN!$B:$AC,10,0)</f>
        <v>620</v>
      </c>
      <c r="J411" s="17">
        <f>VLOOKUP($A411,PLAN!$B:$AC,21,0)</f>
        <v>46253</v>
      </c>
      <c r="K411" s="145" t="str">
        <f>VLOOKUP($A411,PLAN!$B:$AC,22,0)</f>
        <v>M8</v>
      </c>
      <c r="L411" s="1"/>
      <c r="M411" s="1"/>
      <c r="N411" s="1"/>
      <c r="O411" s="221" t="s">
        <v>79</v>
      </c>
      <c r="P411" s="220"/>
      <c r="Q411" s="18">
        <f>VLOOKUP(A411,PLAN!B:R,17,0)</f>
        <v>46252</v>
      </c>
    </row>
    <row r="412" spans="1:17" ht="17.25" hidden="1" customHeight="1">
      <c r="A412" s="329" t="s">
        <v>4252</v>
      </c>
      <c r="B412" s="14">
        <f>VLOOKUP($A412,PLAN!$B:$AC,3,0)</f>
        <v>11131303</v>
      </c>
      <c r="C412" s="14" t="str">
        <f>VLOOKUP($A412,PLAN!$B:$AC,4,0)</f>
        <v>2211220-E-A</v>
      </c>
      <c r="D412" s="14" t="str">
        <f>VLOOKUP($A412,PLAN!$B:$AC,5,0)</f>
        <v>HW70SP350P10000 NOCE</v>
      </c>
      <c r="E412" s="14" t="str">
        <f>VLOOKUP($A412,PLAN!$B:$AC,2,0)</f>
        <v>1001943009</v>
      </c>
      <c r="F412" s="15">
        <f>VLOOKUP($A412,PLAN!$B:$AC,7,0)</f>
        <v>46262</v>
      </c>
      <c r="G412" s="16" t="str">
        <f>VLOOKUP($A412,PLAN!$B:$AC,8,0)</f>
        <v>0103603929</v>
      </c>
      <c r="H412" s="16" t="str">
        <f>VLOOKUP($A412,PLAN!$B:$AC,9,0)</f>
        <v>260813C01A</v>
      </c>
      <c r="I412" s="16">
        <f>VLOOKUP($A412,PLAN!$B:$AC,10,0)</f>
        <v>9</v>
      </c>
      <c r="J412" s="17">
        <f>VLOOKUP($A412,PLAN!$B:$AC,21,0)</f>
        <v>46253</v>
      </c>
      <c r="K412" s="145" t="str">
        <f>VLOOKUP($A412,PLAN!$B:$AC,22,0)</f>
        <v>M9</v>
      </c>
      <c r="L412" s="1"/>
      <c r="M412" s="1"/>
      <c r="N412" s="1"/>
      <c r="O412" s="221" t="s">
        <v>79</v>
      </c>
      <c r="P412" s="220"/>
      <c r="Q412" s="18">
        <f>VLOOKUP(A412,PLAN!B:R,17,0)</f>
        <v>46252</v>
      </c>
    </row>
    <row r="413" spans="1:17" ht="17.25" hidden="1" customHeight="1">
      <c r="A413" s="329" t="s">
        <v>4253</v>
      </c>
      <c r="B413" s="14">
        <f>VLOOKUP($A413,PLAN!$B:$AC,3,0)</f>
        <v>11131304</v>
      </c>
      <c r="C413" s="14" t="str">
        <f>VLOOKUP($A413,PLAN!$B:$AC,4,0)</f>
        <v>2211221-E-A</v>
      </c>
      <c r="D413" s="14" t="str">
        <f>VLOOKUP($A413,PLAN!$B:$AC,5,0)</f>
        <v>HW70SP370P10000 NOCE</v>
      </c>
      <c r="E413" s="14" t="str">
        <f>VLOOKUP($A413,PLAN!$B:$AC,2,0)</f>
        <v>1001943010</v>
      </c>
      <c r="F413" s="15">
        <f>VLOOKUP($A413,PLAN!$B:$AC,7,0)</f>
        <v>46262</v>
      </c>
      <c r="G413" s="16" t="str">
        <f>VLOOKUP($A413,PLAN!$B:$AC,8,0)</f>
        <v>0103603930</v>
      </c>
      <c r="H413" s="16" t="str">
        <f>VLOOKUP($A413,PLAN!$B:$AC,9,0)</f>
        <v>260813C02A</v>
      </c>
      <c r="I413" s="16">
        <f>VLOOKUP($A413,PLAN!$B:$AC,10,0)</f>
        <v>10</v>
      </c>
      <c r="J413" s="17">
        <f>VLOOKUP($A413,PLAN!$B:$AC,21,0)</f>
        <v>46253</v>
      </c>
      <c r="K413" s="145" t="str">
        <f>VLOOKUP($A413,PLAN!$B:$AC,22,0)</f>
        <v>M9</v>
      </c>
      <c r="L413" s="1"/>
      <c r="M413" s="1"/>
      <c r="N413" s="1"/>
      <c r="O413" s="221" t="s">
        <v>79</v>
      </c>
      <c r="P413" s="220"/>
      <c r="Q413" s="18">
        <f>VLOOKUP(A413,PLAN!B:R,17,0)</f>
        <v>46252</v>
      </c>
    </row>
    <row r="414" spans="1:17" ht="17.25" hidden="1" customHeight="1">
      <c r="A414" s="329" t="s">
        <v>4254</v>
      </c>
      <c r="B414" s="14">
        <f>VLOOKUP($A414,PLAN!$B:$AC,3,0)</f>
        <v>11131307</v>
      </c>
      <c r="C414" s="14" t="str">
        <f>VLOOKUP($A414,PLAN!$B:$AC,4,0)</f>
        <v>2211224-D-A</v>
      </c>
      <c r="D414" s="14" t="str">
        <f>VLOOKUP($A414,PLAN!$B:$AC,5,0)</f>
        <v>HW70SP350P09000 NOCE</v>
      </c>
      <c r="E414" s="14" t="str">
        <f>VLOOKUP($A414,PLAN!$B:$AC,2,0)</f>
        <v>1001943011</v>
      </c>
      <c r="F414" s="15">
        <f>VLOOKUP($A414,PLAN!$B:$AC,7,0)</f>
        <v>46262</v>
      </c>
      <c r="G414" s="16" t="str">
        <f>VLOOKUP($A414,PLAN!$B:$AC,8,0)</f>
        <v>0103603931</v>
      </c>
      <c r="H414" s="16" t="str">
        <f>VLOOKUP($A414,PLAN!$B:$AC,9,0)</f>
        <v>260813C03A</v>
      </c>
      <c r="I414" s="16">
        <f>VLOOKUP($A414,PLAN!$B:$AC,10,0)</f>
        <v>4</v>
      </c>
      <c r="J414" s="17">
        <f>VLOOKUP($A414,PLAN!$B:$AC,21,0)</f>
        <v>46253</v>
      </c>
      <c r="K414" s="145" t="str">
        <f>VLOOKUP($A414,PLAN!$B:$AC,22,0)</f>
        <v>M9</v>
      </c>
      <c r="L414" s="1"/>
      <c r="M414" s="1"/>
      <c r="N414" s="1"/>
      <c r="O414" s="221" t="s">
        <v>79</v>
      </c>
      <c r="P414" s="220"/>
      <c r="Q414" s="18">
        <f>VLOOKUP(A414,PLAN!B:R,17,0)</f>
        <v>46252</v>
      </c>
    </row>
    <row r="415" spans="1:17" ht="17.25" hidden="1" customHeight="1">
      <c r="A415" s="329" t="s">
        <v>4255</v>
      </c>
      <c r="B415" s="14">
        <f>VLOOKUP($A415,PLAN!$B:$AC,3,0)</f>
        <v>11131289</v>
      </c>
      <c r="C415" s="14" t="str">
        <f>VLOOKUP($A415,PLAN!$B:$AC,4,0)</f>
        <v>2211092-E-A</v>
      </c>
      <c r="D415" s="14" t="str">
        <f>VLOOKUP($A415,PLAN!$B:$AC,5,0)</f>
        <v>HW60SP350P10000 NOCE</v>
      </c>
      <c r="E415" s="14" t="str">
        <f>VLOOKUP($A415,PLAN!$B:$AC,2,0)</f>
        <v>1001943012</v>
      </c>
      <c r="F415" s="15">
        <f>VLOOKUP($A415,PLAN!$B:$AC,7,0)</f>
        <v>46262</v>
      </c>
      <c r="G415" s="16" t="str">
        <f>VLOOKUP($A415,PLAN!$B:$AC,8,0)</f>
        <v>0103603932</v>
      </c>
      <c r="H415" s="16" t="str">
        <f>VLOOKUP($A415,PLAN!$B:$AC,9,0)</f>
        <v>260813C04A</v>
      </c>
      <c r="I415" s="16">
        <f>VLOOKUP($A415,PLAN!$B:$AC,10,0)</f>
        <v>25</v>
      </c>
      <c r="J415" s="17">
        <f>VLOOKUP($A415,PLAN!$B:$AC,21,0)</f>
        <v>46253</v>
      </c>
      <c r="K415" s="145" t="str">
        <f>VLOOKUP($A415,PLAN!$B:$AC,22,0)</f>
        <v>M9</v>
      </c>
      <c r="L415" s="1"/>
      <c r="M415" s="1"/>
      <c r="N415" s="1"/>
      <c r="O415" s="221" t="s">
        <v>79</v>
      </c>
      <c r="P415" s="220"/>
      <c r="Q415" s="18">
        <f>VLOOKUP(A415,PLAN!B:R,17,0)</f>
        <v>46252</v>
      </c>
    </row>
    <row r="416" spans="1:17" ht="17.25" hidden="1" customHeight="1">
      <c r="A416" s="329" t="s">
        <v>4256</v>
      </c>
      <c r="B416" s="14">
        <f>VLOOKUP($A416,PLAN!$B:$AC,3,0)</f>
        <v>11132714</v>
      </c>
      <c r="C416" s="14" t="str">
        <f>VLOOKUP($A416,PLAN!$B:$AC,4,0)</f>
        <v>2211029-D-A</v>
      </c>
      <c r="D416" s="14" t="str">
        <f>VLOOKUP($A416,PLAN!$B:$AC,5,0)</f>
        <v>HW60PB300P10000 NOCE</v>
      </c>
      <c r="E416" s="14" t="str">
        <f>VLOOKUP($A416,PLAN!$B:$AC,2,0)</f>
        <v>1001943013</v>
      </c>
      <c r="F416" s="15">
        <f>VLOOKUP($A416,PLAN!$B:$AC,7,0)</f>
        <v>46262</v>
      </c>
      <c r="G416" s="16" t="str">
        <f>VLOOKUP($A416,PLAN!$B:$AC,8,0)</f>
        <v>0103603933</v>
      </c>
      <c r="H416" s="16" t="str">
        <f>VLOOKUP($A416,PLAN!$B:$AC,9,0)</f>
        <v>260813C05A</v>
      </c>
      <c r="I416" s="16">
        <f>VLOOKUP($A416,PLAN!$B:$AC,10,0)</f>
        <v>30</v>
      </c>
      <c r="J416" s="17">
        <f>VLOOKUP($A416,PLAN!$B:$AC,21,0)</f>
        <v>46253</v>
      </c>
      <c r="K416" s="145" t="str">
        <f>VLOOKUP($A416,PLAN!$B:$AC,22,0)</f>
        <v>M9</v>
      </c>
      <c r="L416" s="1"/>
      <c r="M416" s="1"/>
      <c r="N416" s="1"/>
      <c r="O416" s="221" t="s">
        <v>79</v>
      </c>
      <c r="P416" s="220"/>
      <c r="Q416" s="18">
        <f>VLOOKUP(A416,PLAN!B:R,17,0)</f>
        <v>46252</v>
      </c>
    </row>
    <row r="417" spans="1:17" ht="17.25" hidden="1" customHeight="1">
      <c r="A417" s="329" t="s">
        <v>4257</v>
      </c>
      <c r="B417" s="14">
        <f>VLOOKUP($A417,PLAN!$B:$AC,3,0)</f>
        <v>11132715</v>
      </c>
      <c r="C417" s="14" t="str">
        <f>VLOOKUP($A417,PLAN!$B:$AC,4,0)</f>
        <v>2211030-D-A</v>
      </c>
      <c r="D417" s="14" t="str">
        <f>VLOOKUP($A417,PLAN!$B:$AC,5,0)</f>
        <v>HW60PB350P10000 NOCE</v>
      </c>
      <c r="E417" s="14" t="str">
        <f>VLOOKUP($A417,PLAN!$B:$AC,2,0)</f>
        <v>1001943014</v>
      </c>
      <c r="F417" s="15">
        <f>VLOOKUP($A417,PLAN!$B:$AC,7,0)</f>
        <v>46262</v>
      </c>
      <c r="G417" s="16" t="str">
        <f>VLOOKUP($A417,PLAN!$B:$AC,8,0)</f>
        <v>0103603934</v>
      </c>
      <c r="H417" s="16" t="str">
        <f>VLOOKUP($A417,PLAN!$B:$AC,9,0)</f>
        <v>260813C06A</v>
      </c>
      <c r="I417" s="16">
        <f>VLOOKUP($A417,PLAN!$B:$AC,10,0)</f>
        <v>30</v>
      </c>
      <c r="J417" s="17">
        <f>VLOOKUP($A417,PLAN!$B:$AC,21,0)</f>
        <v>46253</v>
      </c>
      <c r="K417" s="145" t="str">
        <f>VLOOKUP($A417,PLAN!$B:$AC,22,0)</f>
        <v>M9</v>
      </c>
      <c r="L417" s="1"/>
      <c r="M417" s="1"/>
      <c r="N417" s="1"/>
      <c r="O417" s="221" t="s">
        <v>79</v>
      </c>
      <c r="P417" s="220"/>
      <c r="Q417" s="18">
        <f>VLOOKUP(A417,PLAN!B:R,17,0)</f>
        <v>46252</v>
      </c>
    </row>
    <row r="418" spans="1:17" ht="17.25" hidden="1" customHeight="1">
      <c r="A418" s="329" t="s">
        <v>4258</v>
      </c>
      <c r="B418" s="14">
        <f>VLOOKUP($A418,PLAN!$B:$AC,3,0)</f>
        <v>11135517</v>
      </c>
      <c r="C418" s="14" t="str">
        <f>VLOOKUP($A418,PLAN!$B:$AC,4,0)</f>
        <v>2211868-F-A</v>
      </c>
      <c r="D418" s="14" t="str">
        <f>VLOOKUP($A418,PLAN!$B:$AC,5,0)</f>
        <v>HW60PB352P10000 KR</v>
      </c>
      <c r="E418" s="14" t="str">
        <f>VLOOKUP($A418,PLAN!$B:$AC,2,0)</f>
        <v>1001943015</v>
      </c>
      <c r="F418" s="15">
        <f>VLOOKUP($A418,PLAN!$B:$AC,7,0)</f>
        <v>46262</v>
      </c>
      <c r="G418" s="16" t="str">
        <f>VLOOKUP($A418,PLAN!$B:$AC,8,0)</f>
        <v>0103603935</v>
      </c>
      <c r="H418" s="16" t="str">
        <f>VLOOKUP($A418,PLAN!$B:$AC,9,0)</f>
        <v>260813C07A</v>
      </c>
      <c r="I418" s="16">
        <f>VLOOKUP($A418,PLAN!$B:$AC,10,0)</f>
        <v>2</v>
      </c>
      <c r="J418" s="17">
        <f>VLOOKUP($A418,PLAN!$B:$AC,21,0)</f>
        <v>46253</v>
      </c>
      <c r="K418" s="145" t="str">
        <f>VLOOKUP($A418,PLAN!$B:$AC,22,0)</f>
        <v>M9</v>
      </c>
      <c r="L418" s="1"/>
      <c r="M418" s="1"/>
      <c r="N418" s="1"/>
      <c r="O418" s="221" t="s">
        <v>79</v>
      </c>
      <c r="P418" s="220"/>
      <c r="Q418" s="18">
        <f>VLOOKUP(A418,PLAN!B:R,17,0)</f>
        <v>46252</v>
      </c>
    </row>
    <row r="419" spans="1:17" ht="17.25" hidden="1" customHeight="1">
      <c r="A419" s="329" t="s">
        <v>4260</v>
      </c>
      <c r="B419" s="14">
        <f>VLOOKUP($A419,PLAN!$B:$AC,3,0)</f>
        <v>11130674</v>
      </c>
      <c r="C419" s="14" t="str">
        <f>VLOOKUP($A419,PLAN!$B:$AC,4,0)</f>
        <v>2211146-C-A</v>
      </c>
      <c r="D419" s="14" t="str">
        <f>VLOOKUP($A419,PLAN!$B:$AC,5,0)</f>
        <v>HW70JL350P10000 NOCE</v>
      </c>
      <c r="E419" s="14" t="str">
        <f>VLOOKUP($A419,PLAN!$B:$AC,2,0)</f>
        <v>1001943017</v>
      </c>
      <c r="F419" s="15">
        <f>VLOOKUP($A419,PLAN!$B:$AC,7,0)</f>
        <v>46262</v>
      </c>
      <c r="G419" s="16" t="str">
        <f>VLOOKUP($A419,PLAN!$B:$AC,8,0)</f>
        <v>0103603937</v>
      </c>
      <c r="H419" s="16" t="str">
        <f>VLOOKUP($A419,PLAN!$B:$AC,9,0)</f>
        <v>260813C09A</v>
      </c>
      <c r="I419" s="16">
        <f>VLOOKUP($A419,PLAN!$B:$AC,10,0)</f>
        <v>2</v>
      </c>
      <c r="J419" s="17">
        <f>VLOOKUP($A419,PLAN!$B:$AC,21,0)</f>
        <v>46253</v>
      </c>
      <c r="K419" s="145" t="str">
        <f>VLOOKUP($A419,PLAN!$B:$AC,22,0)</f>
        <v>M9</v>
      </c>
      <c r="L419" s="1"/>
      <c r="M419" s="1"/>
      <c r="N419" s="1"/>
      <c r="O419" s="221" t="s">
        <v>79</v>
      </c>
      <c r="P419" s="220"/>
      <c r="Q419" s="18">
        <f>VLOOKUP(A419,PLAN!B:R,17,0)</f>
        <v>46252</v>
      </c>
    </row>
    <row r="420" spans="1:17" ht="17.25" hidden="1" customHeight="1">
      <c r="A420" s="329" t="s">
        <v>4261</v>
      </c>
      <c r="B420" s="14">
        <f>VLOOKUP($A420,PLAN!$B:$AC,3,0)</f>
        <v>11130628</v>
      </c>
      <c r="C420" s="14" t="str">
        <f>VLOOKUP($A420,PLAN!$B:$AC,4,0)</f>
        <v>2211100-C-A</v>
      </c>
      <c r="D420" s="14" t="str">
        <f>VLOOKUP($A420,PLAN!$B:$AC,5,0)</f>
        <v>HW60IM000P10000 NOCE</v>
      </c>
      <c r="E420" s="14" t="str">
        <f>VLOOKUP($A420,PLAN!$B:$AC,2,0)</f>
        <v>1001943018</v>
      </c>
      <c r="F420" s="15">
        <f>VLOOKUP($A420,PLAN!$B:$AC,7,0)</f>
        <v>46262</v>
      </c>
      <c r="G420" s="16" t="str">
        <f>VLOOKUP($A420,PLAN!$B:$AC,8,0)</f>
        <v>0103603938</v>
      </c>
      <c r="H420" s="16" t="str">
        <f>VLOOKUP($A420,PLAN!$B:$AC,9,0)</f>
        <v>260813C10A</v>
      </c>
      <c r="I420" s="16">
        <f>VLOOKUP($A420,PLAN!$B:$AC,10,0)</f>
        <v>6</v>
      </c>
      <c r="J420" s="17">
        <f>VLOOKUP($A420,PLAN!$B:$AC,21,0)</f>
        <v>46253</v>
      </c>
      <c r="K420" s="145" t="str">
        <f>VLOOKUP($A420,PLAN!$B:$AC,22,0)</f>
        <v>M9</v>
      </c>
      <c r="L420" s="1"/>
      <c r="M420" s="1"/>
      <c r="N420" s="1"/>
      <c r="O420" s="221" t="s">
        <v>79</v>
      </c>
      <c r="P420" s="220"/>
      <c r="Q420" s="18">
        <f>VLOOKUP(A420,PLAN!B:R,17,0)</f>
        <v>46252</v>
      </c>
    </row>
    <row r="421" spans="1:17" ht="17.25" hidden="1" customHeight="1">
      <c r="A421" s="329" t="s">
        <v>4262</v>
      </c>
      <c r="B421" s="14">
        <f>VLOOKUP($A421,PLAN!$B:$AC,3,0)</f>
        <v>11130547</v>
      </c>
      <c r="C421" s="14" t="str">
        <f>VLOOKUP($A421,PLAN!$B:$AC,4,0)</f>
        <v>2211019-C-A</v>
      </c>
      <c r="D421" s="14" t="str">
        <f>VLOOKUP($A421,PLAN!$B:$AC,5,0)</f>
        <v>HW60JL400P10000 NOCE</v>
      </c>
      <c r="E421" s="14" t="str">
        <f>VLOOKUP($A421,PLAN!$B:$AC,2,0)</f>
        <v>1001943019</v>
      </c>
      <c r="F421" s="15">
        <f>VLOOKUP($A421,PLAN!$B:$AC,7,0)</f>
        <v>46262</v>
      </c>
      <c r="G421" s="16" t="str">
        <f>VLOOKUP($A421,PLAN!$B:$AC,8,0)</f>
        <v>0103603939</v>
      </c>
      <c r="H421" s="16" t="str">
        <f>VLOOKUP($A421,PLAN!$B:$AC,9,0)</f>
        <v>260813C11A</v>
      </c>
      <c r="I421" s="16">
        <f>VLOOKUP($A421,PLAN!$B:$AC,10,0)</f>
        <v>40</v>
      </c>
      <c r="J421" s="17">
        <f>VLOOKUP($A421,PLAN!$B:$AC,21,0)</f>
        <v>46253</v>
      </c>
      <c r="K421" s="145" t="str">
        <f>VLOOKUP($A421,PLAN!$B:$AC,22,0)</f>
        <v>M9</v>
      </c>
      <c r="L421" s="1"/>
      <c r="M421" s="1"/>
      <c r="N421" s="1"/>
      <c r="O421" s="221" t="s">
        <v>79</v>
      </c>
      <c r="P421" s="220"/>
      <c r="Q421" s="18">
        <f>VLOOKUP(A421,PLAN!B:R,17,0)</f>
        <v>46252</v>
      </c>
    </row>
    <row r="422" spans="1:17" ht="17.25" hidden="1" customHeight="1">
      <c r="A422" s="329" t="s">
        <v>4263</v>
      </c>
      <c r="B422" s="14">
        <f>VLOOKUP($A422,PLAN!$B:$AC,3,0)</f>
        <v>11130696</v>
      </c>
      <c r="C422" s="14" t="str">
        <f>VLOOKUP($A422,PLAN!$B:$AC,4,0)</f>
        <v>2211168-C-A</v>
      </c>
      <c r="D422" s="14" t="str">
        <f>VLOOKUP($A422,PLAN!$B:$AC,5,0)</f>
        <v>HW70AL100P09000 NOCE</v>
      </c>
      <c r="E422" s="14" t="str">
        <f>VLOOKUP($A422,PLAN!$B:$AC,2,0)</f>
        <v>1001943020</v>
      </c>
      <c r="F422" s="15">
        <f>VLOOKUP($A422,PLAN!$B:$AC,7,0)</f>
        <v>46262</v>
      </c>
      <c r="G422" s="16" t="str">
        <f>VLOOKUP($A422,PLAN!$B:$AC,8,0)</f>
        <v>0103603940</v>
      </c>
      <c r="H422" s="16" t="str">
        <f>VLOOKUP($A422,PLAN!$B:$AC,9,0)</f>
        <v>260813C12A</v>
      </c>
      <c r="I422" s="16">
        <f>VLOOKUP($A422,PLAN!$B:$AC,10,0)</f>
        <v>1</v>
      </c>
      <c r="J422" s="17">
        <f>VLOOKUP($A422,PLAN!$B:$AC,21,0)</f>
        <v>46253</v>
      </c>
      <c r="K422" s="145" t="str">
        <f>VLOOKUP($A422,PLAN!$B:$AC,22,0)</f>
        <v>M9</v>
      </c>
      <c r="L422" s="1"/>
      <c r="M422" s="1"/>
      <c r="N422" s="1"/>
      <c r="O422" s="221" t="s">
        <v>79</v>
      </c>
      <c r="P422" s="220"/>
      <c r="Q422" s="18">
        <f>VLOOKUP(A422,PLAN!B:R,17,0)</f>
        <v>46252</v>
      </c>
    </row>
    <row r="423" spans="1:17" ht="17.25" hidden="1" customHeight="1">
      <c r="A423" s="329" t="s">
        <v>4264</v>
      </c>
      <c r="B423" s="14">
        <f>VLOOKUP($A423,PLAN!$B:$AC,3,0)</f>
        <v>11130693</v>
      </c>
      <c r="C423" s="14" t="str">
        <f>VLOOKUP($A423,PLAN!$B:$AC,4,0)</f>
        <v>2211165-C-A</v>
      </c>
      <c r="D423" s="14" t="str">
        <f>VLOOKUP($A423,PLAN!$B:$AC,5,0)</f>
        <v>HW70AL070P10000 NOCE</v>
      </c>
      <c r="E423" s="14" t="str">
        <f>VLOOKUP($A423,PLAN!$B:$AC,2,0)</f>
        <v>1001943021</v>
      </c>
      <c r="F423" s="15">
        <f>VLOOKUP($A423,PLAN!$B:$AC,7,0)</f>
        <v>46262</v>
      </c>
      <c r="G423" s="16" t="str">
        <f>VLOOKUP($A423,PLAN!$B:$AC,8,0)</f>
        <v>0103603941</v>
      </c>
      <c r="H423" s="16" t="str">
        <f>VLOOKUP($A423,PLAN!$B:$AC,9,0)</f>
        <v>260813C13A</v>
      </c>
      <c r="I423" s="16">
        <f>VLOOKUP($A423,PLAN!$B:$AC,10,0)</f>
        <v>7</v>
      </c>
      <c r="J423" s="17">
        <f>VLOOKUP($A423,PLAN!$B:$AC,21,0)</f>
        <v>46253</v>
      </c>
      <c r="K423" s="145" t="str">
        <f>VLOOKUP($A423,PLAN!$B:$AC,22,0)</f>
        <v>M9</v>
      </c>
      <c r="L423" s="1"/>
      <c r="M423" s="1"/>
      <c r="N423" s="1"/>
      <c r="O423" s="221" t="s">
        <v>79</v>
      </c>
      <c r="P423" s="220"/>
      <c r="Q423" s="18">
        <f>VLOOKUP(A423,PLAN!B:R,17,0)</f>
        <v>46252</v>
      </c>
    </row>
    <row r="424" spans="1:17" ht="17.25" hidden="1" customHeight="1">
      <c r="A424" s="329" t="s">
        <v>4265</v>
      </c>
      <c r="B424" s="14">
        <f>VLOOKUP($A424,PLAN!$B:$AC,3,0)</f>
        <v>11119377</v>
      </c>
      <c r="C424" s="14" t="str">
        <f>VLOOKUP($A424,PLAN!$B:$AC,4,0)</f>
        <v>1911045-D-A</v>
      </c>
      <c r="D424" s="14" t="str">
        <f>VLOOKUP($A424,PLAN!$B:$AC,5,0)</f>
        <v>HJ60JL402P10020 JP</v>
      </c>
      <c r="E424" s="14" t="str">
        <f>VLOOKUP($A424,PLAN!$B:$AC,2,0)</f>
        <v>1001943022</v>
      </c>
      <c r="F424" s="15">
        <f>VLOOKUP($A424,PLAN!$B:$AC,7,0)</f>
        <v>46262</v>
      </c>
      <c r="G424" s="16" t="str">
        <f>VLOOKUP($A424,PLAN!$B:$AC,8,0)</f>
        <v>0103603942</v>
      </c>
      <c r="H424" s="16" t="str">
        <f>VLOOKUP($A424,PLAN!$B:$AC,9,0)</f>
        <v>260813C14A</v>
      </c>
      <c r="I424" s="16">
        <f>VLOOKUP($A424,PLAN!$B:$AC,10,0)</f>
        <v>2</v>
      </c>
      <c r="J424" s="17">
        <f>VLOOKUP($A424,PLAN!$B:$AC,21,0)</f>
        <v>46253</v>
      </c>
      <c r="K424" s="145" t="str">
        <f>VLOOKUP($A424,PLAN!$B:$AC,22,0)</f>
        <v>M9</v>
      </c>
      <c r="L424" s="1"/>
      <c r="M424" s="1"/>
      <c r="N424" s="1"/>
      <c r="O424" s="221" t="s">
        <v>79</v>
      </c>
      <c r="P424" s="220"/>
      <c r="Q424" s="18">
        <f>VLOOKUP(A424,PLAN!B:R,17,0)</f>
        <v>46252</v>
      </c>
    </row>
    <row r="425" spans="1:17" ht="17.25" hidden="1" customHeight="1">
      <c r="A425" s="329" t="s">
        <v>4266</v>
      </c>
      <c r="B425" s="14">
        <f>VLOOKUP($A425,PLAN!$B:$AC,3,0)</f>
        <v>11119367</v>
      </c>
      <c r="C425" s="14" t="str">
        <f>VLOOKUP($A425,PLAN!$B:$AC,4,0)</f>
        <v>1911035-D-A</v>
      </c>
      <c r="D425" s="14" t="str">
        <f>VLOOKUP($A425,PLAN!$B:$AC,5,0)</f>
        <v>HJ60IM000P10000 JP</v>
      </c>
      <c r="E425" s="14" t="str">
        <f>VLOOKUP($A425,PLAN!$B:$AC,2,0)</f>
        <v>1001943023</v>
      </c>
      <c r="F425" s="15">
        <f>VLOOKUP($A425,PLAN!$B:$AC,7,0)</f>
        <v>46262</v>
      </c>
      <c r="G425" s="16" t="str">
        <f>VLOOKUP($A425,PLAN!$B:$AC,8,0)</f>
        <v>0103603943</v>
      </c>
      <c r="H425" s="16" t="str">
        <f>VLOOKUP($A425,PLAN!$B:$AC,9,0)</f>
        <v>260813C15A</v>
      </c>
      <c r="I425" s="16">
        <f>VLOOKUP($A425,PLAN!$B:$AC,10,0)</f>
        <v>2</v>
      </c>
      <c r="J425" s="17">
        <f>VLOOKUP($A425,PLAN!$B:$AC,21,0)</f>
        <v>46253</v>
      </c>
      <c r="K425" s="145" t="str">
        <f>VLOOKUP($A425,PLAN!$B:$AC,22,0)</f>
        <v>M9</v>
      </c>
      <c r="L425" s="1"/>
      <c r="M425" s="1"/>
      <c r="N425" s="1"/>
      <c r="O425" s="221" t="s">
        <v>79</v>
      </c>
      <c r="P425" s="220"/>
      <c r="Q425" s="18">
        <f>VLOOKUP(A425,PLAN!B:R,17,0)</f>
        <v>46252</v>
      </c>
    </row>
    <row r="426" spans="1:17" ht="17.25" hidden="1" customHeight="1">
      <c r="A426" s="329" t="s">
        <v>4267</v>
      </c>
      <c r="B426" s="14">
        <f>VLOOKUP($A426,PLAN!$B:$AC,3,0)</f>
        <v>11119377</v>
      </c>
      <c r="C426" s="14" t="str">
        <f>VLOOKUP($A426,PLAN!$B:$AC,4,0)</f>
        <v>1911045-D-A</v>
      </c>
      <c r="D426" s="14" t="str">
        <f>VLOOKUP($A426,PLAN!$B:$AC,5,0)</f>
        <v>HJ60JL402P10020 JP</v>
      </c>
      <c r="E426" s="14" t="str">
        <f>VLOOKUP($A426,PLAN!$B:$AC,2,0)</f>
        <v>1001943024</v>
      </c>
      <c r="F426" s="15">
        <f>VLOOKUP($A426,PLAN!$B:$AC,7,0)</f>
        <v>46262</v>
      </c>
      <c r="G426" s="16" t="str">
        <f>VLOOKUP($A426,PLAN!$B:$AC,8,0)</f>
        <v>0103603944</v>
      </c>
      <c r="H426" s="16" t="str">
        <f>VLOOKUP($A426,PLAN!$B:$AC,9,0)</f>
        <v>260813C16A</v>
      </c>
      <c r="I426" s="16">
        <f>VLOOKUP($A426,PLAN!$B:$AC,10,0)</f>
        <v>26</v>
      </c>
      <c r="J426" s="17">
        <f>VLOOKUP($A426,PLAN!$B:$AC,21,0)</f>
        <v>46253</v>
      </c>
      <c r="K426" s="145" t="str">
        <f>VLOOKUP($A426,PLAN!$B:$AC,22,0)</f>
        <v>M9</v>
      </c>
      <c r="L426" s="1"/>
      <c r="M426" s="1"/>
      <c r="N426" s="1"/>
      <c r="O426" s="221" t="s">
        <v>79</v>
      </c>
      <c r="P426" s="220"/>
      <c r="Q426" s="18">
        <f>VLOOKUP(A426,PLAN!B:R,17,0)</f>
        <v>46252</v>
      </c>
    </row>
    <row r="427" spans="1:17" ht="17.25" hidden="1" customHeight="1">
      <c r="A427" s="329" t="s">
        <v>4268</v>
      </c>
      <c r="B427" s="14">
        <f>VLOOKUP($A427,PLAN!$B:$AC,3,0)</f>
        <v>11119490</v>
      </c>
      <c r="C427" s="14" t="str">
        <f>VLOOKUP($A427,PLAN!$B:$AC,4,0)</f>
        <v>1911156-D-A</v>
      </c>
      <c r="D427" s="14" t="str">
        <f>VLOOKUP($A427,PLAN!$B:$AC,5,0)</f>
        <v>HJ70JL402P10020 JP</v>
      </c>
      <c r="E427" s="14" t="str">
        <f>VLOOKUP($A427,PLAN!$B:$AC,2,0)</f>
        <v>1001943025</v>
      </c>
      <c r="F427" s="15">
        <f>VLOOKUP($A427,PLAN!$B:$AC,7,0)</f>
        <v>46262</v>
      </c>
      <c r="G427" s="16" t="str">
        <f>VLOOKUP($A427,PLAN!$B:$AC,8,0)</f>
        <v>0103603945</v>
      </c>
      <c r="H427" s="16" t="str">
        <f>VLOOKUP($A427,PLAN!$B:$AC,9,0)</f>
        <v>260813C17A</v>
      </c>
      <c r="I427" s="16">
        <f>VLOOKUP($A427,PLAN!$B:$AC,10,0)</f>
        <v>72</v>
      </c>
      <c r="J427" s="17">
        <f>VLOOKUP($A427,PLAN!$B:$AC,21,0)</f>
        <v>46253</v>
      </c>
      <c r="K427" s="145" t="str">
        <f>VLOOKUP($A427,PLAN!$B:$AC,22,0)</f>
        <v>M9</v>
      </c>
      <c r="L427" s="1"/>
      <c r="M427" s="1"/>
      <c r="N427" s="1"/>
      <c r="O427" s="221" t="s">
        <v>79</v>
      </c>
      <c r="P427" s="220"/>
      <c r="Q427" s="18">
        <f>VLOOKUP(A427,PLAN!B:R,17,0)</f>
        <v>46252</v>
      </c>
    </row>
    <row r="428" spans="1:17" ht="17.25" hidden="1" customHeight="1">
      <c r="A428" s="329" t="s">
        <v>4269</v>
      </c>
      <c r="B428" s="14">
        <f>VLOOKUP($A428,PLAN!$B:$AC,3,0)</f>
        <v>11119413</v>
      </c>
      <c r="C428" s="14" t="str">
        <f>VLOOKUP($A428,PLAN!$B:$AC,4,0)</f>
        <v>1911081-D-A</v>
      </c>
      <c r="D428" s="14" t="str">
        <f>VLOOKUP($A428,PLAN!$B:$AC,5,0)</f>
        <v>HJ60AL070P10022 JP</v>
      </c>
      <c r="E428" s="14" t="str">
        <f>VLOOKUP($A428,PLAN!$B:$AC,2,0)</f>
        <v>1001943026</v>
      </c>
      <c r="F428" s="15">
        <f>VLOOKUP($A428,PLAN!$B:$AC,7,0)</f>
        <v>46262</v>
      </c>
      <c r="G428" s="16" t="str">
        <f>VLOOKUP($A428,PLAN!$B:$AC,8,0)</f>
        <v>0103603946</v>
      </c>
      <c r="H428" s="16" t="str">
        <f>VLOOKUP($A428,PLAN!$B:$AC,9,0)</f>
        <v>260813C18A</v>
      </c>
      <c r="I428" s="16">
        <f>VLOOKUP($A428,PLAN!$B:$AC,10,0)</f>
        <v>93</v>
      </c>
      <c r="J428" s="17">
        <f>VLOOKUP($A428,PLAN!$B:$AC,21,0)</f>
        <v>46253</v>
      </c>
      <c r="K428" s="145" t="str">
        <f>VLOOKUP($A428,PLAN!$B:$AC,22,0)</f>
        <v>M9</v>
      </c>
      <c r="L428" s="1"/>
      <c r="M428" s="1"/>
      <c r="N428" s="1"/>
      <c r="O428" s="221" t="s">
        <v>79</v>
      </c>
      <c r="P428" s="220"/>
      <c r="Q428" s="18">
        <f>VLOOKUP(A428,PLAN!B:R,17,0)</f>
        <v>46252</v>
      </c>
    </row>
    <row r="429" spans="1:17" ht="17.25" hidden="1" customHeight="1">
      <c r="A429" s="329" t="s">
        <v>4270</v>
      </c>
      <c r="B429" s="14">
        <f>VLOOKUP($A429,PLAN!$B:$AC,3,0)</f>
        <v>11119372</v>
      </c>
      <c r="C429" s="14" t="str">
        <f>VLOOKUP($A429,PLAN!$B:$AC,4,0)</f>
        <v>1911040-D-A</v>
      </c>
      <c r="D429" s="14" t="str">
        <f>VLOOKUP($A429,PLAN!$B:$AC,5,0)</f>
        <v>HJ60JL352P10020 JP</v>
      </c>
      <c r="E429" s="14" t="str">
        <f>VLOOKUP($A429,PLAN!$B:$AC,2,0)</f>
        <v>1001943027</v>
      </c>
      <c r="F429" s="15">
        <f>VLOOKUP($A429,PLAN!$B:$AC,7,0)</f>
        <v>46262</v>
      </c>
      <c r="G429" s="16" t="str">
        <f>VLOOKUP($A429,PLAN!$B:$AC,8,0)</f>
        <v>0103603947</v>
      </c>
      <c r="H429" s="16" t="str">
        <f>VLOOKUP($A429,PLAN!$B:$AC,9,0)</f>
        <v>260813C19A</v>
      </c>
      <c r="I429" s="16">
        <f>VLOOKUP($A429,PLAN!$B:$AC,10,0)</f>
        <v>105</v>
      </c>
      <c r="J429" s="17">
        <f>VLOOKUP($A429,PLAN!$B:$AC,21,0)</f>
        <v>46253</v>
      </c>
      <c r="K429" s="145" t="str">
        <f>VLOOKUP($A429,PLAN!$B:$AC,22,0)</f>
        <v>M9</v>
      </c>
      <c r="L429" s="1"/>
      <c r="M429" s="1"/>
      <c r="N429" s="1"/>
      <c r="O429" s="221" t="s">
        <v>79</v>
      </c>
      <c r="P429" s="220"/>
      <c r="Q429" s="18">
        <f>VLOOKUP(A429,PLAN!B:R,17,0)</f>
        <v>46252</v>
      </c>
    </row>
    <row r="430" spans="1:17" ht="17.25" hidden="1" customHeight="1">
      <c r="A430" s="329" t="s">
        <v>4271</v>
      </c>
      <c r="B430" s="14">
        <f>VLOOKUP($A430,PLAN!$B:$AC,3,0)</f>
        <v>11119337</v>
      </c>
      <c r="C430" s="14" t="str">
        <f>VLOOKUP($A430,PLAN!$B:$AC,4,0)</f>
        <v>1911005-E-A</v>
      </c>
      <c r="D430" s="14" t="str">
        <f>VLOOKUP($A430,PLAN!$B:$AC,5,0)</f>
        <v>HJ60AL100P10020 JP</v>
      </c>
      <c r="E430" s="14" t="str">
        <f>VLOOKUP($A430,PLAN!$B:$AC,2,0)</f>
        <v>1001943028</v>
      </c>
      <c r="F430" s="15">
        <f>VLOOKUP($A430,PLAN!$B:$AC,7,0)</f>
        <v>46262</v>
      </c>
      <c r="G430" s="16" t="str">
        <f>VLOOKUP($A430,PLAN!$B:$AC,8,0)</f>
        <v>0103603948</v>
      </c>
      <c r="H430" s="16" t="str">
        <f>VLOOKUP($A430,PLAN!$B:$AC,9,0)</f>
        <v>260813C20A</v>
      </c>
      <c r="I430" s="16">
        <f>VLOOKUP($A430,PLAN!$B:$AC,10,0)</f>
        <v>130</v>
      </c>
      <c r="J430" s="17">
        <f>VLOOKUP($A430,PLAN!$B:$AC,21,0)</f>
        <v>46253</v>
      </c>
      <c r="K430" s="145" t="str">
        <f>VLOOKUP($A430,PLAN!$B:$AC,22,0)</f>
        <v>M9</v>
      </c>
      <c r="L430" s="1"/>
      <c r="M430" s="1"/>
      <c r="N430" s="1"/>
      <c r="O430" s="221" t="s">
        <v>79</v>
      </c>
      <c r="P430" s="220"/>
      <c r="Q430" s="18">
        <f>VLOOKUP(A430,PLAN!B:R,17,0)</f>
        <v>46252</v>
      </c>
    </row>
    <row r="431" spans="1:17" ht="17.25" hidden="1" customHeight="1">
      <c r="A431" s="329" t="s">
        <v>4272</v>
      </c>
      <c r="B431" s="14">
        <f>VLOOKUP($A431,PLAN!$B:$AC,3,0)</f>
        <v>11119444</v>
      </c>
      <c r="C431" s="14" t="str">
        <f>VLOOKUP($A431,PLAN!$B:$AC,4,0)</f>
        <v>1911110-D-A</v>
      </c>
      <c r="D431" s="14" t="str">
        <f>VLOOKUP($A431,PLAN!$B:$AC,5,0)</f>
        <v>HJ70AL102P10020 JP</v>
      </c>
      <c r="E431" s="14" t="str">
        <f>VLOOKUP($A431,PLAN!$B:$AC,2,0)</f>
        <v>1001943029</v>
      </c>
      <c r="F431" s="15">
        <f>VLOOKUP($A431,PLAN!$B:$AC,7,0)</f>
        <v>46262</v>
      </c>
      <c r="G431" s="16" t="str">
        <f>VLOOKUP($A431,PLAN!$B:$AC,8,0)</f>
        <v>0103603949</v>
      </c>
      <c r="H431" s="16" t="str">
        <f>VLOOKUP($A431,PLAN!$B:$AC,9,0)</f>
        <v>260813C21A</v>
      </c>
      <c r="I431" s="16">
        <f>VLOOKUP($A431,PLAN!$B:$AC,10,0)</f>
        <v>146</v>
      </c>
      <c r="J431" s="17">
        <f>VLOOKUP($A431,PLAN!$B:$AC,21,0)</f>
        <v>46253</v>
      </c>
      <c r="K431" s="145" t="str">
        <f>VLOOKUP($A431,PLAN!$B:$AC,22,0)</f>
        <v>M9</v>
      </c>
      <c r="L431" s="1"/>
      <c r="M431" s="1"/>
      <c r="N431" s="1"/>
      <c r="O431" s="221" t="s">
        <v>79</v>
      </c>
      <c r="P431" s="220"/>
      <c r="Q431" s="18">
        <f>VLOOKUP(A431,PLAN!B:R,17,0)</f>
        <v>46252</v>
      </c>
    </row>
    <row r="432" spans="1:17" ht="17.25" hidden="1" customHeight="1">
      <c r="A432" s="329" t="s">
        <v>4273</v>
      </c>
      <c r="B432" s="14">
        <f>VLOOKUP($A432,PLAN!$B:$AC,3,0)</f>
        <v>11131307</v>
      </c>
      <c r="C432" s="14" t="str">
        <f>VLOOKUP($A432,PLAN!$B:$AC,4,0)</f>
        <v>2211224-D-A</v>
      </c>
      <c r="D432" s="14" t="str">
        <f>VLOOKUP($A432,PLAN!$B:$AC,5,0)</f>
        <v>HW70SP350P09000 NOCE</v>
      </c>
      <c r="E432" s="14" t="str">
        <f>VLOOKUP($A432,PLAN!$B:$AC,2,0)</f>
        <v>4000017499</v>
      </c>
      <c r="F432" s="15">
        <f>VLOOKUP($A432,PLAN!$B:$AC,7,0)</f>
        <v>46262</v>
      </c>
      <c r="G432" s="16" t="str">
        <f>VLOOKUP($A432,PLAN!$B:$AC,8,0)</f>
        <v>0103603951</v>
      </c>
      <c r="H432" s="16" t="str">
        <f>VLOOKUP($A432,PLAN!$B:$AC,9,0)</f>
        <v>260312C43B</v>
      </c>
      <c r="I432" s="16">
        <f>VLOOKUP($A432,PLAN!$B:$AC,10,0)</f>
        <v>2</v>
      </c>
      <c r="J432" s="17">
        <f>VLOOKUP($A432,PLAN!$B:$AC,21,0)</f>
        <v>46253</v>
      </c>
      <c r="K432" s="145" t="str">
        <f>VLOOKUP($A432,PLAN!$B:$AC,22,0)</f>
        <v>M9</v>
      </c>
      <c r="L432" s="1"/>
      <c r="M432" s="1"/>
      <c r="N432" s="1"/>
      <c r="O432" s="221" t="s">
        <v>79</v>
      </c>
      <c r="P432" s="220"/>
      <c r="Q432" s="18">
        <f>VLOOKUP(A432,PLAN!B:R,17,0)</f>
        <v>46252</v>
      </c>
    </row>
    <row r="433" spans="1:17" ht="17.25" hidden="1" customHeight="1">
      <c r="A433" s="329" t="s">
        <v>4234</v>
      </c>
      <c r="B433" s="14">
        <f>VLOOKUP($A433,PLAN!$B:$AC,3,0)</f>
        <v>11122088</v>
      </c>
      <c r="C433" s="14" t="str">
        <f>VLOOKUP($A433,PLAN!$B:$AC,4,0)</f>
        <v>2341004-B-A</v>
      </c>
      <c r="D433" s="14" t="str">
        <f>VLOOKUP($A433,PLAN!$B:$AC,5,0)</f>
        <v>CRV150-19P CE3</v>
      </c>
      <c r="E433" s="14" t="str">
        <f>VLOOKUP($A433,PLAN!$B:$AC,2,0)</f>
        <v>1001942989</v>
      </c>
      <c r="F433" s="15">
        <f>VLOOKUP($A433,PLAN!$B:$AC,7,0)</f>
        <v>46262</v>
      </c>
      <c r="G433" s="16" t="str">
        <f>VLOOKUP($A433,PLAN!$B:$AC,8,0)</f>
        <v>0103603908</v>
      </c>
      <c r="H433" s="16" t="str">
        <f>VLOOKUP($A433,PLAN!$B:$AC,9,0)</f>
        <v>260813K06A</v>
      </c>
      <c r="I433" s="16">
        <f>VLOOKUP($A433,PLAN!$B:$AC,10,0)</f>
        <v>15</v>
      </c>
      <c r="J433" s="17">
        <f>VLOOKUP($A433,PLAN!$B:$AC,21,0)</f>
        <v>46254</v>
      </c>
      <c r="K433" s="145" t="str">
        <f>VLOOKUP($A433,PLAN!$B:$AC,22,0)</f>
        <v>M8</v>
      </c>
      <c r="L433" s="1"/>
      <c r="M433" s="1"/>
      <c r="N433" s="1"/>
      <c r="O433" s="221" t="s">
        <v>79</v>
      </c>
      <c r="P433" s="220"/>
      <c r="Q433" s="18">
        <f>VLOOKUP(A433,PLAN!B:R,17,0)</f>
        <v>46253</v>
      </c>
    </row>
    <row r="434" spans="1:17" ht="17.25" hidden="1" customHeight="1">
      <c r="A434" s="329" t="s">
        <v>4396</v>
      </c>
      <c r="B434" s="14">
        <f>VLOOKUP($A434,PLAN!$B:$AC,3,0)</f>
        <v>11122088</v>
      </c>
      <c r="C434" s="14" t="str">
        <f>VLOOKUP($A434,PLAN!$B:$AC,4,0)</f>
        <v>2341004-B-A</v>
      </c>
      <c r="D434" s="14" t="str">
        <f>VLOOKUP($A434,PLAN!$B:$AC,5,0)</f>
        <v>CRV150-19P CE3</v>
      </c>
      <c r="E434" s="14" t="str">
        <f>VLOOKUP($A434,PLAN!$B:$AC,2,0)</f>
        <v>1001943037</v>
      </c>
      <c r="F434" s="15">
        <f>VLOOKUP($A434,PLAN!$B:$AC,7,0)</f>
        <v>46263</v>
      </c>
      <c r="G434" s="16" t="str">
        <f>VLOOKUP($A434,PLAN!$B:$AC,8,0)</f>
        <v>0103604005</v>
      </c>
      <c r="H434" s="16" t="str">
        <f>VLOOKUP($A434,PLAN!$B:$AC,9,0)</f>
        <v>260813K26A</v>
      </c>
      <c r="I434" s="16">
        <f>VLOOKUP($A434,PLAN!$B:$AC,10,0)</f>
        <v>108</v>
      </c>
      <c r="J434" s="17">
        <f>VLOOKUP($A434,PLAN!$B:$AC,21,0)</f>
        <v>46254</v>
      </c>
      <c r="K434" s="145" t="str">
        <f>VLOOKUP($A434,PLAN!$B:$AC,22,0)</f>
        <v>M8</v>
      </c>
      <c r="L434" s="1"/>
      <c r="M434" s="1"/>
      <c r="N434" s="1"/>
      <c r="O434" s="221" t="s">
        <v>79</v>
      </c>
      <c r="P434" s="220"/>
      <c r="Q434" s="18">
        <f>VLOOKUP(A434,PLAN!B:R,17,0)</f>
        <v>46253</v>
      </c>
    </row>
    <row r="435" spans="1:17" ht="17.25" hidden="1" customHeight="1">
      <c r="A435" s="329" t="s">
        <v>4398</v>
      </c>
      <c r="B435" s="14">
        <f>VLOOKUP($A435,PLAN!$B:$AC,3,0)</f>
        <v>11131953</v>
      </c>
      <c r="C435" s="14" t="str">
        <f>VLOOKUP($A435,PLAN!$B:$AC,4,0)</f>
        <v>1941012-F-A</v>
      </c>
      <c r="D435" s="14" t="str">
        <f>VLOOKUP($A435,PLAN!$B:$AC,5,0)</f>
        <v>MST45A-18PWSSFR JP</v>
      </c>
      <c r="E435" s="14" t="str">
        <f>VLOOKUP($A435,PLAN!$B:$AC,2,0)</f>
        <v>1001943038</v>
      </c>
      <c r="F435" s="15">
        <f>VLOOKUP($A435,PLAN!$B:$AC,7,0)</f>
        <v>46263</v>
      </c>
      <c r="G435" s="16" t="str">
        <f>VLOOKUP($A435,PLAN!$B:$AC,8,0)</f>
        <v>0103604006</v>
      </c>
      <c r="H435" s="16" t="str">
        <f>VLOOKUP($A435,PLAN!$B:$AC,9,0)</f>
        <v>260813K27A</v>
      </c>
      <c r="I435" s="16">
        <f>VLOOKUP($A435,PLAN!$B:$AC,10,0)</f>
        <v>2</v>
      </c>
      <c r="J435" s="17">
        <f>VLOOKUP($A435,PLAN!$B:$AC,21,0)</f>
        <v>46254</v>
      </c>
      <c r="K435" s="145" t="str">
        <f>VLOOKUP($A435,PLAN!$B:$AC,22,0)</f>
        <v>M8</v>
      </c>
      <c r="L435" s="1"/>
      <c r="M435" s="1"/>
      <c r="N435" s="1"/>
      <c r="O435" s="221" t="s">
        <v>79</v>
      </c>
      <c r="P435" s="220"/>
      <c r="Q435" s="18">
        <f>VLOOKUP(A435,PLAN!B:R,17,0)</f>
        <v>46253</v>
      </c>
    </row>
    <row r="436" spans="1:17" ht="17.25" hidden="1" customHeight="1">
      <c r="A436" s="329" t="s">
        <v>4397</v>
      </c>
      <c r="B436" s="14">
        <f>VLOOKUP($A436,PLAN!$B:$AC,3,0)</f>
        <v>11125140</v>
      </c>
      <c r="C436" s="14" t="str">
        <f>VLOOKUP($A436,PLAN!$B:$AC,4,0)</f>
        <v>1941009-D-A</v>
      </c>
      <c r="D436" s="14" t="str">
        <f>VLOOKUP($A436,PLAN!$B:$AC,5,0)</f>
        <v>MST105-18PWSFR JP</v>
      </c>
      <c r="E436" s="14" t="str">
        <f>VLOOKUP($A436,PLAN!$B:$AC,2,0)</f>
        <v>1001943039</v>
      </c>
      <c r="F436" s="15">
        <f>VLOOKUP($A436,PLAN!$B:$AC,7,0)</f>
        <v>46263</v>
      </c>
      <c r="G436" s="16" t="str">
        <f>VLOOKUP($A436,PLAN!$B:$AC,8,0)</f>
        <v>0103604007</v>
      </c>
      <c r="H436" s="16" t="str">
        <f>VLOOKUP($A436,PLAN!$B:$AC,9,0)</f>
        <v>260813K28A</v>
      </c>
      <c r="I436" s="16">
        <f>VLOOKUP($A436,PLAN!$B:$AC,10,0)</f>
        <v>6</v>
      </c>
      <c r="J436" s="17">
        <f>VLOOKUP($A436,PLAN!$B:$AC,21,0)</f>
        <v>46254</v>
      </c>
      <c r="K436" s="145" t="str">
        <f>VLOOKUP($A436,PLAN!$B:$AC,22,0)</f>
        <v>M8</v>
      </c>
      <c r="L436" s="1"/>
      <c r="M436" s="1"/>
      <c r="N436" s="1"/>
      <c r="O436" s="221" t="s">
        <v>79</v>
      </c>
      <c r="P436" s="220"/>
      <c r="Q436" s="18">
        <f>VLOOKUP(A436,PLAN!B:R,17,0)</f>
        <v>46253</v>
      </c>
    </row>
    <row r="437" spans="1:17" ht="17.25" hidden="1" customHeight="1">
      <c r="A437" s="329" t="s">
        <v>4399</v>
      </c>
      <c r="B437" s="14">
        <f>VLOOKUP($A437,PLAN!$B:$AC,3,0)</f>
        <v>11131954</v>
      </c>
      <c r="C437" s="14" t="str">
        <f>VLOOKUP($A437,PLAN!$B:$AC,4,0)</f>
        <v>1941013-F-A</v>
      </c>
      <c r="D437" s="14" t="str">
        <f>VLOOKUP($A437,PLAN!$B:$AC,5,0)</f>
        <v>MST45A-18PWSFR JP</v>
      </c>
      <c r="E437" s="14" t="str">
        <f>VLOOKUP($A437,PLAN!$B:$AC,2,0)</f>
        <v>1001943040</v>
      </c>
      <c r="F437" s="15">
        <f>VLOOKUP($A437,PLAN!$B:$AC,7,0)</f>
        <v>46263</v>
      </c>
      <c r="G437" s="16" t="str">
        <f>VLOOKUP($A437,PLAN!$B:$AC,8,0)</f>
        <v>0103604008</v>
      </c>
      <c r="H437" s="16" t="str">
        <f>VLOOKUP($A437,PLAN!$B:$AC,9,0)</f>
        <v>260813K29A</v>
      </c>
      <c r="I437" s="16">
        <f>VLOOKUP($A437,PLAN!$B:$AC,10,0)</f>
        <v>20</v>
      </c>
      <c r="J437" s="17">
        <f>VLOOKUP($A437,PLAN!$B:$AC,21,0)</f>
        <v>46254</v>
      </c>
      <c r="K437" s="145" t="str">
        <f>VLOOKUP($A437,PLAN!$B:$AC,22,0)</f>
        <v>M8</v>
      </c>
      <c r="L437" s="1"/>
      <c r="M437" s="1"/>
      <c r="N437" s="1"/>
      <c r="O437" s="221" t="s">
        <v>79</v>
      </c>
      <c r="P437" s="220"/>
      <c r="Q437" s="18">
        <f>VLOOKUP(A437,PLAN!B:R,17,0)</f>
        <v>46253</v>
      </c>
    </row>
    <row r="438" spans="1:17" ht="17.25" hidden="1" customHeight="1">
      <c r="A438" s="329" t="s">
        <v>4400</v>
      </c>
      <c r="B438" s="14">
        <f>VLOOKUP($A438,PLAN!$B:$AC,3,0)</f>
        <v>11125153</v>
      </c>
      <c r="C438" s="14" t="str">
        <f>VLOOKUP($A438,PLAN!$B:$AC,4,0)</f>
        <v>1941022-F-A</v>
      </c>
      <c r="D438" s="14" t="str">
        <f>VLOOKUP($A438,PLAN!$B:$AC,5,0)</f>
        <v>MST105-27HFR JP</v>
      </c>
      <c r="E438" s="14" t="str">
        <f>VLOOKUP($A438,PLAN!$B:$AC,2,0)</f>
        <v>1001943041</v>
      </c>
      <c r="F438" s="15">
        <f>VLOOKUP($A438,PLAN!$B:$AC,7,0)</f>
        <v>46263</v>
      </c>
      <c r="G438" s="16" t="str">
        <f>VLOOKUP($A438,PLAN!$B:$AC,8,0)</f>
        <v>0103604009</v>
      </c>
      <c r="H438" s="16" t="str">
        <f>VLOOKUP($A438,PLAN!$B:$AC,9,0)</f>
        <v>260813K30A</v>
      </c>
      <c r="I438" s="16">
        <f>VLOOKUP($A438,PLAN!$B:$AC,10,0)</f>
        <v>54</v>
      </c>
      <c r="J438" s="17">
        <f>VLOOKUP($A438,PLAN!$B:$AC,21,0)</f>
        <v>46254</v>
      </c>
      <c r="K438" s="145" t="str">
        <f>VLOOKUP($A438,PLAN!$B:$AC,22,0)</f>
        <v>M8</v>
      </c>
      <c r="L438" s="1"/>
      <c r="M438" s="1"/>
      <c r="N438" s="1"/>
      <c r="O438" s="221" t="s">
        <v>79</v>
      </c>
      <c r="P438" s="220"/>
      <c r="Q438" s="18">
        <f>VLOOKUP(A438,PLAN!B:R,17,0)</f>
        <v>46253</v>
      </c>
    </row>
    <row r="439" spans="1:17" ht="17.25" hidden="1" customHeight="1">
      <c r="A439" s="329" t="s">
        <v>4401</v>
      </c>
      <c r="B439" s="14">
        <f>VLOOKUP($A439,PLAN!$B:$AC,3,0)</f>
        <v>11132003</v>
      </c>
      <c r="C439" s="14" t="str">
        <f>VLOOKUP($A439,PLAN!$B:$AC,4,0)</f>
        <v>1941065-D-A</v>
      </c>
      <c r="D439" s="14" t="str">
        <f>VLOOKUP($A439,PLAN!$B:$AC,5,0)</f>
        <v>TLS150-16YR JP</v>
      </c>
      <c r="E439" s="14" t="str">
        <f>VLOOKUP($A439,PLAN!$B:$AC,2,0)</f>
        <v>1001943042</v>
      </c>
      <c r="F439" s="15">
        <f>VLOOKUP($A439,PLAN!$B:$AC,7,0)</f>
        <v>46263</v>
      </c>
      <c r="G439" s="16" t="str">
        <f>VLOOKUP($A439,PLAN!$B:$AC,8,0)</f>
        <v>0103604010</v>
      </c>
      <c r="H439" s="16" t="str">
        <f>VLOOKUP($A439,PLAN!$B:$AC,9,0)</f>
        <v>260813K31A</v>
      </c>
      <c r="I439" s="16">
        <f>VLOOKUP($A439,PLAN!$B:$AC,10,0)</f>
        <v>5</v>
      </c>
      <c r="J439" s="17">
        <f>VLOOKUP($A439,PLAN!$B:$AC,21,0)</f>
        <v>46254</v>
      </c>
      <c r="K439" s="145" t="str">
        <f>VLOOKUP($A439,PLAN!$B:$AC,22,0)</f>
        <v>M8</v>
      </c>
      <c r="L439" s="1"/>
      <c r="M439" s="1"/>
      <c r="N439" s="1"/>
      <c r="O439" s="221" t="s">
        <v>79</v>
      </c>
      <c r="P439" s="220"/>
      <c r="Q439" s="18">
        <f>VLOOKUP(A439,PLAN!B:R,17,0)</f>
        <v>46253</v>
      </c>
    </row>
    <row r="440" spans="1:17" ht="17.25" hidden="1" customHeight="1">
      <c r="A440" s="329" t="s">
        <v>4402</v>
      </c>
      <c r="B440" s="14">
        <f>VLOOKUP($A440,PLAN!$B:$AC,3,0)</f>
        <v>11132005</v>
      </c>
      <c r="C440" s="14" t="str">
        <f>VLOOKUP($A440,PLAN!$B:$AC,4,0)</f>
        <v>1941067-E-A</v>
      </c>
      <c r="D440" s="14" t="str">
        <f>VLOOKUP($A440,PLAN!$B:$AC,5,0)</f>
        <v>TLS125-16AYR JP</v>
      </c>
      <c r="E440" s="14" t="str">
        <f>VLOOKUP($A440,PLAN!$B:$AC,2,0)</f>
        <v>1001943043</v>
      </c>
      <c r="F440" s="15">
        <f>VLOOKUP($A440,PLAN!$B:$AC,7,0)</f>
        <v>46263</v>
      </c>
      <c r="G440" s="16" t="str">
        <f>VLOOKUP($A440,PLAN!$B:$AC,8,0)</f>
        <v>0103604011</v>
      </c>
      <c r="H440" s="16" t="str">
        <f>VLOOKUP($A440,PLAN!$B:$AC,9,0)</f>
        <v>260813K32A</v>
      </c>
      <c r="I440" s="16">
        <f>VLOOKUP($A440,PLAN!$B:$AC,10,0)</f>
        <v>14</v>
      </c>
      <c r="J440" s="17">
        <f>VLOOKUP($A440,PLAN!$B:$AC,21,0)</f>
        <v>46254</v>
      </c>
      <c r="K440" s="145" t="str">
        <f>VLOOKUP($A440,PLAN!$B:$AC,22,0)</f>
        <v>M8</v>
      </c>
      <c r="L440" s="1"/>
      <c r="M440" s="1"/>
      <c r="N440" s="1"/>
      <c r="O440" s="221" t="s">
        <v>79</v>
      </c>
      <c r="P440" s="220"/>
      <c r="Q440" s="18">
        <f>VLOOKUP(A440,PLAN!B:R,17,0)</f>
        <v>46253</v>
      </c>
    </row>
    <row r="441" spans="1:17" ht="17.25" hidden="1" customHeight="1">
      <c r="A441" s="329" t="s">
        <v>4403</v>
      </c>
      <c r="B441" s="14">
        <f>VLOOKUP($A441,PLAN!$B:$AC,3,0)</f>
        <v>11134364</v>
      </c>
      <c r="C441" s="14" t="str">
        <f>VLOOKUP($A441,PLAN!$B:$AC,4,0)</f>
        <v>1941060-G-A</v>
      </c>
      <c r="D441" s="14" t="str">
        <f>VLOOKUP($A441,PLAN!$B:$AC,5,0)</f>
        <v>TLS125-16ASR JP</v>
      </c>
      <c r="E441" s="14" t="str">
        <f>VLOOKUP($A441,PLAN!$B:$AC,2,0)</f>
        <v>1001943044</v>
      </c>
      <c r="F441" s="15">
        <f>VLOOKUP($A441,PLAN!$B:$AC,7,0)</f>
        <v>46263</v>
      </c>
      <c r="G441" s="16" t="str">
        <f>VLOOKUP($A441,PLAN!$B:$AC,8,0)</f>
        <v>0103604012</v>
      </c>
      <c r="H441" s="16" t="str">
        <f>VLOOKUP($A441,PLAN!$B:$AC,9,0)</f>
        <v>260813K33A</v>
      </c>
      <c r="I441" s="16">
        <f>VLOOKUP($A441,PLAN!$B:$AC,10,0)</f>
        <v>46</v>
      </c>
      <c r="J441" s="17">
        <f>VLOOKUP($A441,PLAN!$B:$AC,21,0)</f>
        <v>46254</v>
      </c>
      <c r="K441" s="145" t="str">
        <f>VLOOKUP($A441,PLAN!$B:$AC,22,0)</f>
        <v>M8</v>
      </c>
      <c r="L441" s="1"/>
      <c r="M441" s="1"/>
      <c r="N441" s="1"/>
      <c r="O441" s="221" t="s">
        <v>79</v>
      </c>
      <c r="P441" s="220"/>
      <c r="Q441" s="18">
        <f>VLOOKUP(A441,PLAN!B:R,17,0)</f>
        <v>46253</v>
      </c>
    </row>
    <row r="442" spans="1:17" ht="17.25" hidden="1" customHeight="1">
      <c r="A442" s="329" t="s">
        <v>4404</v>
      </c>
      <c r="B442" s="14">
        <f>VLOOKUP($A442,PLAN!$B:$AC,3,0)</f>
        <v>11134346</v>
      </c>
      <c r="C442" s="14" t="str">
        <f>VLOOKUP($A442,PLAN!$B:$AC,4,0)</f>
        <v>1941032-G-A</v>
      </c>
      <c r="D442" s="14" t="str">
        <f>VLOOKUP($A442,PLAN!$B:$AC,5,0)</f>
        <v>VEL105-16ASR JP</v>
      </c>
      <c r="E442" s="14" t="str">
        <f>VLOOKUP($A442,PLAN!$B:$AC,2,0)</f>
        <v>1001943045</v>
      </c>
      <c r="F442" s="15">
        <f>VLOOKUP($A442,PLAN!$B:$AC,7,0)</f>
        <v>46263</v>
      </c>
      <c r="G442" s="16" t="str">
        <f>VLOOKUP($A442,PLAN!$B:$AC,8,0)</f>
        <v>0103604013</v>
      </c>
      <c r="H442" s="16" t="str">
        <f>VLOOKUP($A442,PLAN!$B:$AC,9,0)</f>
        <v>260813K34A</v>
      </c>
      <c r="I442" s="16">
        <f>VLOOKUP($A442,PLAN!$B:$AC,10,0)</f>
        <v>7</v>
      </c>
      <c r="J442" s="17">
        <f>VLOOKUP($A442,PLAN!$B:$AC,21,0)</f>
        <v>46254</v>
      </c>
      <c r="K442" s="145" t="str">
        <f>VLOOKUP($A442,PLAN!$B:$AC,22,0)</f>
        <v>M8</v>
      </c>
      <c r="L442" s="1"/>
      <c r="M442" s="1"/>
      <c r="N442" s="1"/>
      <c r="O442" s="221" t="s">
        <v>79</v>
      </c>
      <c r="P442" s="220"/>
      <c r="Q442" s="18">
        <f>VLOOKUP(A442,PLAN!B:R,17,0)</f>
        <v>46253</v>
      </c>
    </row>
    <row r="443" spans="1:17" ht="17.25" hidden="1" customHeight="1">
      <c r="A443" s="329" t="s">
        <v>4405</v>
      </c>
      <c r="B443" s="14">
        <f>VLOOKUP($A443,PLAN!$B:$AC,3,0)</f>
        <v>11134347</v>
      </c>
      <c r="C443" s="14" t="str">
        <f>VLOOKUP($A443,PLAN!$B:$AC,4,0)</f>
        <v>1941033-G-A</v>
      </c>
      <c r="D443" s="14" t="str">
        <f>VLOOKUP($A443,PLAN!$B:$AC,5,0)</f>
        <v>VEL125-16ASR JP</v>
      </c>
      <c r="E443" s="14" t="str">
        <f>VLOOKUP($A443,PLAN!$B:$AC,2,0)</f>
        <v>1001943046</v>
      </c>
      <c r="F443" s="15">
        <f>VLOOKUP($A443,PLAN!$B:$AC,7,0)</f>
        <v>46263</v>
      </c>
      <c r="G443" s="16" t="str">
        <f>VLOOKUP($A443,PLAN!$B:$AC,8,0)</f>
        <v>0103604014</v>
      </c>
      <c r="H443" s="16" t="str">
        <f>VLOOKUP($A443,PLAN!$B:$AC,9,0)</f>
        <v>260813K35A</v>
      </c>
      <c r="I443" s="16">
        <f>VLOOKUP($A443,PLAN!$B:$AC,10,0)</f>
        <v>110</v>
      </c>
      <c r="J443" s="17">
        <f>VLOOKUP($A443,PLAN!$B:$AC,21,0)</f>
        <v>46254</v>
      </c>
      <c r="K443" s="145" t="str">
        <f>VLOOKUP($A443,PLAN!$B:$AC,22,0)</f>
        <v>M8</v>
      </c>
      <c r="L443" s="1"/>
      <c r="M443" s="1"/>
      <c r="N443" s="1"/>
      <c r="O443" s="221" t="s">
        <v>79</v>
      </c>
      <c r="P443" s="220"/>
      <c r="Q443" s="18">
        <f>VLOOKUP(A443,PLAN!B:R,17,0)</f>
        <v>46253</v>
      </c>
    </row>
    <row r="444" spans="1:17" ht="17.25" hidden="1" customHeight="1">
      <c r="A444" s="329" t="s">
        <v>4406</v>
      </c>
      <c r="B444" s="14">
        <f>VLOOKUP($A444,PLAN!$B:$AC,3,0)</f>
        <v>11134247</v>
      </c>
      <c r="C444" s="14" t="str">
        <f>VLOOKUP($A444,PLAN!$B:$AC,4,0)</f>
        <v>2141050-D-A</v>
      </c>
      <c r="D444" s="14" t="str">
        <f>VLOOKUP($A444,PLAN!$B:$AC,5,0)</f>
        <v>CRV150-19P CN</v>
      </c>
      <c r="E444" s="14" t="str">
        <f>VLOOKUP($A444,PLAN!$B:$AC,2,0)</f>
        <v>1001943047</v>
      </c>
      <c r="F444" s="15">
        <f>VLOOKUP($A444,PLAN!$B:$AC,7,0)</f>
        <v>46273</v>
      </c>
      <c r="G444" s="16" t="str">
        <f>VLOOKUP($A444,PLAN!$B:$AC,8,0)</f>
        <v>0103604015</v>
      </c>
      <c r="H444" s="16" t="str">
        <f>VLOOKUP($A444,PLAN!$B:$AC,9,0)</f>
        <v>260813K36A</v>
      </c>
      <c r="I444" s="16">
        <f>VLOOKUP($A444,PLAN!$B:$AC,10,0)</f>
        <v>287</v>
      </c>
      <c r="J444" s="17">
        <f>VLOOKUP($A444,PLAN!$B:$AC,21,0)</f>
        <v>46254</v>
      </c>
      <c r="K444" s="145" t="str">
        <f>VLOOKUP($A444,PLAN!$B:$AC,22,0)</f>
        <v>M8</v>
      </c>
      <c r="L444" s="1"/>
      <c r="M444" s="1"/>
      <c r="N444" s="1"/>
      <c r="O444" s="221" t="s">
        <v>79</v>
      </c>
      <c r="P444" s="220"/>
      <c r="Q444" s="18">
        <f>VLOOKUP(A444,PLAN!B:R,17,0)</f>
        <v>46253</v>
      </c>
    </row>
    <row r="445" spans="1:17" ht="17.25" hidden="1" customHeight="1">
      <c r="A445" s="329" t="s">
        <v>4407</v>
      </c>
      <c r="B445" s="14">
        <f>VLOOKUP($A445,PLAN!$B:$AC,3,0)</f>
        <v>11134246</v>
      </c>
      <c r="C445" s="14" t="str">
        <f>VLOOKUP($A445,PLAN!$B:$AC,4,0)</f>
        <v>2141049-D-A</v>
      </c>
      <c r="D445" s="14" t="str">
        <f>VLOOKUP($A445,PLAN!$B:$AC,5,0)</f>
        <v>CRV135-19P CN</v>
      </c>
      <c r="E445" s="14" t="str">
        <f>VLOOKUP($A445,PLAN!$B:$AC,2,0)</f>
        <v>1001943048</v>
      </c>
      <c r="F445" s="15">
        <f>VLOOKUP($A445,PLAN!$B:$AC,7,0)</f>
        <v>46273</v>
      </c>
      <c r="G445" s="16" t="str">
        <f>VLOOKUP($A445,PLAN!$B:$AC,8,0)</f>
        <v>0103604016</v>
      </c>
      <c r="H445" s="16" t="str">
        <f>VLOOKUP($A445,PLAN!$B:$AC,9,0)</f>
        <v>260813K37A</v>
      </c>
      <c r="I445" s="16">
        <f>VLOOKUP($A445,PLAN!$B:$AC,10,0)</f>
        <v>1695</v>
      </c>
      <c r="J445" s="17">
        <f>VLOOKUP($A445,PLAN!$B:$AC,21,0)</f>
        <v>46254</v>
      </c>
      <c r="K445" s="145" t="str">
        <f>VLOOKUP($A445,PLAN!$B:$AC,22,0)</f>
        <v>M8</v>
      </c>
      <c r="L445" s="1"/>
      <c r="M445" s="1"/>
      <c r="N445" s="1"/>
      <c r="O445" s="221" t="s">
        <v>79</v>
      </c>
      <c r="P445" s="220"/>
      <c r="Q445" s="18">
        <f>VLOOKUP(A445,PLAN!B:R,17,0)</f>
        <v>46253</v>
      </c>
    </row>
    <row r="446" spans="1:17" ht="17.25" hidden="1" customHeight="1">
      <c r="A446" s="329" t="s">
        <v>4259</v>
      </c>
      <c r="B446" s="14">
        <f>VLOOKUP($A446,PLAN!$B:$AC,3,0)</f>
        <v>11134284</v>
      </c>
      <c r="C446" s="14" t="str">
        <f>VLOOKUP($A446,PLAN!$B:$AC,4,0)</f>
        <v>1911227-F-A</v>
      </c>
      <c r="D446" s="14" t="str">
        <f>VLOOKUP($A446,PLAN!$B:$AC,5,0)</f>
        <v>HJ70SP370P10000 JP</v>
      </c>
      <c r="E446" s="14" t="str">
        <f>VLOOKUP($A446,PLAN!$B:$AC,2,0)</f>
        <v>1001943016</v>
      </c>
      <c r="F446" s="15">
        <f>VLOOKUP($A446,PLAN!$B:$AC,7,0)</f>
        <v>46262</v>
      </c>
      <c r="G446" s="16" t="str">
        <f>VLOOKUP($A446,PLAN!$B:$AC,8,0)</f>
        <v>0103603936</v>
      </c>
      <c r="H446" s="16" t="str">
        <f>VLOOKUP($A446,PLAN!$B:$AC,9,0)</f>
        <v>260813C08A</v>
      </c>
      <c r="I446" s="16">
        <f>VLOOKUP($A446,PLAN!$B:$AC,10,0)</f>
        <v>8</v>
      </c>
      <c r="J446" s="17">
        <f>VLOOKUP($A446,PLAN!$B:$AC,21,0)</f>
        <v>46254</v>
      </c>
      <c r="K446" s="145" t="str">
        <f>VLOOKUP($A446,PLAN!$B:$AC,22,0)</f>
        <v>M9</v>
      </c>
      <c r="L446" s="1"/>
      <c r="M446" s="1"/>
      <c r="N446" s="1"/>
      <c r="O446" s="221" t="s">
        <v>79</v>
      </c>
      <c r="P446" s="220"/>
      <c r="Q446" s="18">
        <f>VLOOKUP(A446,PLAN!B:R,17,0)</f>
        <v>46253</v>
      </c>
    </row>
    <row r="447" spans="1:17" ht="17.25" hidden="1" customHeight="1">
      <c r="A447" s="329" t="s">
        <v>4606</v>
      </c>
      <c r="B447" s="14">
        <f>VLOOKUP($A447,PLAN!$B:$AC,3,0)</f>
        <v>11134310</v>
      </c>
      <c r="C447" s="14" t="str">
        <f>VLOOKUP($A447,PLAN!$B:$AC,4,0)</f>
        <v>1911349-E-A</v>
      </c>
      <c r="D447" s="14" t="str">
        <f>VLOOKUP($A447,PLAN!$B:$AC,5,0)</f>
        <v>HJ80SP370P10000 JP</v>
      </c>
      <c r="E447" s="14" t="str">
        <f>VLOOKUP($A447,PLAN!$B:$AC,2,0)</f>
        <v>1001943049</v>
      </c>
      <c r="F447" s="15">
        <f>VLOOKUP($A447,PLAN!$B:$AC,7,0)</f>
        <v>46263</v>
      </c>
      <c r="G447" s="16" t="str">
        <f>VLOOKUP($A447,PLAN!$B:$AC,8,0)</f>
        <v>0103604032</v>
      </c>
      <c r="H447" s="16" t="str">
        <f>VLOOKUP($A447,PLAN!$B:$AC,9,0)</f>
        <v>260813C22A</v>
      </c>
      <c r="I447" s="16">
        <f>VLOOKUP($A447,PLAN!$B:$AC,10,0)</f>
        <v>5</v>
      </c>
      <c r="J447" s="17">
        <f>VLOOKUP($A447,PLAN!$B:$AC,21,0)</f>
        <v>46254</v>
      </c>
      <c r="K447" s="145" t="str">
        <f>VLOOKUP($A447,PLAN!$B:$AC,22,0)</f>
        <v>M9</v>
      </c>
      <c r="L447" s="1"/>
      <c r="M447" s="1"/>
      <c r="N447" s="1"/>
      <c r="O447" s="221" t="s">
        <v>79</v>
      </c>
      <c r="P447" s="220"/>
      <c r="Q447" s="18">
        <f>VLOOKUP(A447,PLAN!B:R,17,0)</f>
        <v>46253</v>
      </c>
    </row>
    <row r="448" spans="1:17" ht="17.25" hidden="1" customHeight="1">
      <c r="A448" s="329" t="s">
        <v>4607</v>
      </c>
      <c r="B448" s="14">
        <f>VLOOKUP($A448,PLAN!$B:$AC,3,0)</f>
        <v>11134251</v>
      </c>
      <c r="C448" s="14" t="str">
        <f>VLOOKUP($A448,PLAN!$B:$AC,4,0)</f>
        <v>1911068-E-A</v>
      </c>
      <c r="D448" s="14" t="str">
        <f>VLOOKUP($A448,PLAN!$B:$AC,5,0)</f>
        <v>HJ60PB302P10020 JP</v>
      </c>
      <c r="E448" s="14" t="str">
        <f>VLOOKUP($A448,PLAN!$B:$AC,2,0)</f>
        <v>1001943050</v>
      </c>
      <c r="F448" s="15">
        <f>VLOOKUP($A448,PLAN!$B:$AC,7,0)</f>
        <v>46263</v>
      </c>
      <c r="G448" s="16" t="str">
        <f>VLOOKUP($A448,PLAN!$B:$AC,8,0)</f>
        <v>0103604033</v>
      </c>
      <c r="H448" s="16" t="str">
        <f>VLOOKUP($A448,PLAN!$B:$AC,9,0)</f>
        <v>260813C23A</v>
      </c>
      <c r="I448" s="16">
        <f>VLOOKUP($A448,PLAN!$B:$AC,10,0)</f>
        <v>7</v>
      </c>
      <c r="J448" s="17">
        <f>VLOOKUP($A448,PLAN!$B:$AC,21,0)</f>
        <v>46254</v>
      </c>
      <c r="K448" s="145" t="str">
        <f>VLOOKUP($A448,PLAN!$B:$AC,22,0)</f>
        <v>M9</v>
      </c>
      <c r="L448" s="1"/>
      <c r="M448" s="1"/>
      <c r="N448" s="1"/>
      <c r="O448" s="221" t="s">
        <v>79</v>
      </c>
      <c r="P448" s="220"/>
      <c r="Q448" s="18">
        <f>VLOOKUP(A448,PLAN!B:R,17,0)</f>
        <v>46253</v>
      </c>
    </row>
    <row r="449" spans="1:17" ht="17.25" hidden="1" customHeight="1">
      <c r="A449" s="329" t="s">
        <v>4608</v>
      </c>
      <c r="B449" s="14">
        <f>VLOOKUP($A449,PLAN!$B:$AC,3,0)</f>
        <v>11134305</v>
      </c>
      <c r="C449" s="14" t="str">
        <f>VLOOKUP($A449,PLAN!$B:$AC,4,0)</f>
        <v>1911344-E-A</v>
      </c>
      <c r="D449" s="14" t="str">
        <f>VLOOKUP($A449,PLAN!$B:$AC,5,0)</f>
        <v>HJ80SP302P10000 JP</v>
      </c>
      <c r="E449" s="14" t="str">
        <f>VLOOKUP($A449,PLAN!$B:$AC,2,0)</f>
        <v>1001943051</v>
      </c>
      <c r="F449" s="15">
        <f>VLOOKUP($A449,PLAN!$B:$AC,7,0)</f>
        <v>46263</v>
      </c>
      <c r="G449" s="16" t="str">
        <f>VLOOKUP($A449,PLAN!$B:$AC,8,0)</f>
        <v>0103604034</v>
      </c>
      <c r="H449" s="16" t="str">
        <f>VLOOKUP($A449,PLAN!$B:$AC,9,0)</f>
        <v>260813C24A</v>
      </c>
      <c r="I449" s="16">
        <f>VLOOKUP($A449,PLAN!$B:$AC,10,0)</f>
        <v>7</v>
      </c>
      <c r="J449" s="17">
        <f>VLOOKUP($A449,PLAN!$B:$AC,21,0)</f>
        <v>46254</v>
      </c>
      <c r="K449" s="145" t="str">
        <f>VLOOKUP($A449,PLAN!$B:$AC,22,0)</f>
        <v>M9</v>
      </c>
      <c r="L449" s="1"/>
      <c r="M449" s="1"/>
      <c r="N449" s="1"/>
      <c r="O449" s="221" t="s">
        <v>79</v>
      </c>
      <c r="P449" s="220"/>
      <c r="Q449" s="18">
        <f>VLOOKUP(A449,PLAN!B:R,17,0)</f>
        <v>46253</v>
      </c>
    </row>
    <row r="450" spans="1:17" ht="17.25" hidden="1" customHeight="1">
      <c r="A450" s="329" t="s">
        <v>4609</v>
      </c>
      <c r="B450" s="14">
        <f>VLOOKUP($A450,PLAN!$B:$AC,3,0)</f>
        <v>11134264</v>
      </c>
      <c r="C450" s="14" t="str">
        <f>VLOOKUP($A450,PLAN!$B:$AC,4,0)</f>
        <v>1911101-F-A</v>
      </c>
      <c r="D450" s="14" t="str">
        <f>VLOOKUP($A450,PLAN!$B:$AC,5,0)</f>
        <v>HJ60SP400P10000 JP</v>
      </c>
      <c r="E450" s="14" t="str">
        <f>VLOOKUP($A450,PLAN!$B:$AC,2,0)</f>
        <v>1001943052</v>
      </c>
      <c r="F450" s="15">
        <f>VLOOKUP($A450,PLAN!$B:$AC,7,0)</f>
        <v>46263</v>
      </c>
      <c r="G450" s="16" t="str">
        <f>VLOOKUP($A450,PLAN!$B:$AC,8,0)</f>
        <v>0103604035</v>
      </c>
      <c r="H450" s="16" t="str">
        <f>VLOOKUP($A450,PLAN!$B:$AC,9,0)</f>
        <v>260813C25A</v>
      </c>
      <c r="I450" s="16">
        <f>VLOOKUP($A450,PLAN!$B:$AC,10,0)</f>
        <v>10</v>
      </c>
      <c r="J450" s="17">
        <f>VLOOKUP($A450,PLAN!$B:$AC,21,0)</f>
        <v>46254</v>
      </c>
      <c r="K450" s="145" t="str">
        <f>VLOOKUP($A450,PLAN!$B:$AC,22,0)</f>
        <v>M9</v>
      </c>
      <c r="L450" s="1"/>
      <c r="M450" s="1"/>
      <c r="N450" s="1"/>
      <c r="O450" s="221" t="s">
        <v>79</v>
      </c>
      <c r="P450" s="220"/>
      <c r="Q450" s="18">
        <f>VLOOKUP(A450,PLAN!B:R,17,0)</f>
        <v>46253</v>
      </c>
    </row>
    <row r="451" spans="1:17" ht="17.25" hidden="1" customHeight="1">
      <c r="A451" s="329" t="s">
        <v>4610</v>
      </c>
      <c r="B451" s="14">
        <f>VLOOKUP($A451,PLAN!$B:$AC,3,0)</f>
        <v>11134311</v>
      </c>
      <c r="C451" s="14" t="str">
        <f>VLOOKUP($A451,PLAN!$B:$AC,4,0)</f>
        <v>1911350-E-A</v>
      </c>
      <c r="D451" s="14" t="str">
        <f>VLOOKUP($A451,PLAN!$B:$AC,5,0)</f>
        <v>HJ80SP372P10000 JP</v>
      </c>
      <c r="E451" s="14" t="str">
        <f>VLOOKUP($A451,PLAN!$B:$AC,2,0)</f>
        <v>1001943053</v>
      </c>
      <c r="F451" s="15">
        <f>VLOOKUP($A451,PLAN!$B:$AC,7,0)</f>
        <v>46263</v>
      </c>
      <c r="G451" s="16" t="str">
        <f>VLOOKUP($A451,PLAN!$B:$AC,8,0)</f>
        <v>0103604036</v>
      </c>
      <c r="H451" s="16" t="str">
        <f>VLOOKUP($A451,PLAN!$B:$AC,9,0)</f>
        <v>260813C26A</v>
      </c>
      <c r="I451" s="16">
        <f>VLOOKUP($A451,PLAN!$B:$AC,10,0)</f>
        <v>12</v>
      </c>
      <c r="J451" s="17">
        <f>VLOOKUP($A451,PLAN!$B:$AC,21,0)</f>
        <v>46254</v>
      </c>
      <c r="K451" s="145" t="str">
        <f>VLOOKUP($A451,PLAN!$B:$AC,22,0)</f>
        <v>M9</v>
      </c>
      <c r="L451" s="1"/>
      <c r="M451" s="1"/>
      <c r="N451" s="1"/>
      <c r="O451" s="221" t="s">
        <v>79</v>
      </c>
      <c r="P451" s="220"/>
      <c r="Q451" s="18">
        <f>VLOOKUP(A451,PLAN!B:R,17,0)</f>
        <v>46253</v>
      </c>
    </row>
    <row r="452" spans="1:17" ht="17.25" hidden="1" customHeight="1">
      <c r="A452" s="329" t="s">
        <v>4611</v>
      </c>
      <c r="B452" s="14">
        <f>VLOOKUP($A452,PLAN!$B:$AC,3,0)</f>
        <v>11134308</v>
      </c>
      <c r="C452" s="14" t="str">
        <f>VLOOKUP($A452,PLAN!$B:$AC,4,0)</f>
        <v>1911347-F-A</v>
      </c>
      <c r="D452" s="14" t="str">
        <f>VLOOKUP($A452,PLAN!$B:$AC,5,0)</f>
        <v>HJ80SP352P10000 JP</v>
      </c>
      <c r="E452" s="14" t="str">
        <f>VLOOKUP($A452,PLAN!$B:$AC,2,0)</f>
        <v>1001943054</v>
      </c>
      <c r="F452" s="15">
        <f>VLOOKUP($A452,PLAN!$B:$AC,7,0)</f>
        <v>46263</v>
      </c>
      <c r="G452" s="16" t="str">
        <f>VLOOKUP($A452,PLAN!$B:$AC,8,0)</f>
        <v>0103604037</v>
      </c>
      <c r="H452" s="16" t="str">
        <f>VLOOKUP($A452,PLAN!$B:$AC,9,0)</f>
        <v>260813C27A</v>
      </c>
      <c r="I452" s="16">
        <f>VLOOKUP($A452,PLAN!$B:$AC,10,0)</f>
        <v>22</v>
      </c>
      <c r="J452" s="17">
        <f>VLOOKUP($A452,PLAN!$B:$AC,21,0)</f>
        <v>46254</v>
      </c>
      <c r="K452" s="145" t="str">
        <f>VLOOKUP($A452,PLAN!$B:$AC,22,0)</f>
        <v>M9</v>
      </c>
      <c r="L452" s="1"/>
      <c r="M452" s="1"/>
      <c r="N452" s="1"/>
      <c r="O452" s="221" t="s">
        <v>79</v>
      </c>
      <c r="P452" s="220"/>
      <c r="Q452" s="18">
        <f>VLOOKUP(A452,PLAN!B:R,17,0)</f>
        <v>46253</v>
      </c>
    </row>
    <row r="453" spans="1:17" ht="17.25" hidden="1" customHeight="1">
      <c r="A453" s="329" t="s">
        <v>4612</v>
      </c>
      <c r="B453" s="14">
        <f>VLOOKUP($A453,PLAN!$B:$AC,3,0)</f>
        <v>11134314</v>
      </c>
      <c r="C453" s="14" t="str">
        <f>VLOOKUP($A453,PLAN!$B:$AC,4,0)</f>
        <v>1911353-E-A</v>
      </c>
      <c r="D453" s="14" t="str">
        <f>VLOOKUP($A453,PLAN!$B:$AC,5,0)</f>
        <v>HJ80SP402P10000 JP</v>
      </c>
      <c r="E453" s="14" t="str">
        <f>VLOOKUP($A453,PLAN!$B:$AC,2,0)</f>
        <v>1001943055</v>
      </c>
      <c r="F453" s="15">
        <f>VLOOKUP($A453,PLAN!$B:$AC,7,0)</f>
        <v>46263</v>
      </c>
      <c r="G453" s="16" t="str">
        <f>VLOOKUP($A453,PLAN!$B:$AC,8,0)</f>
        <v>0103604038</v>
      </c>
      <c r="H453" s="16" t="str">
        <f>VLOOKUP($A453,PLAN!$B:$AC,9,0)</f>
        <v>260813C28A</v>
      </c>
      <c r="I453" s="16">
        <f>VLOOKUP($A453,PLAN!$B:$AC,10,0)</f>
        <v>22</v>
      </c>
      <c r="J453" s="17">
        <f>VLOOKUP($A453,PLAN!$B:$AC,21,0)</f>
        <v>46254</v>
      </c>
      <c r="K453" s="145" t="str">
        <f>VLOOKUP($A453,PLAN!$B:$AC,22,0)</f>
        <v>M9</v>
      </c>
      <c r="L453" s="1"/>
      <c r="M453" s="1"/>
      <c r="N453" s="1"/>
      <c r="O453" s="221" t="s">
        <v>79</v>
      </c>
      <c r="P453" s="220"/>
      <c r="Q453" s="18">
        <f>VLOOKUP(A453,PLAN!B:R,17,0)</f>
        <v>46253</v>
      </c>
    </row>
    <row r="454" spans="1:17" ht="17.25" hidden="1" customHeight="1">
      <c r="A454" s="329" t="s">
        <v>4613</v>
      </c>
      <c r="B454" s="14">
        <f>VLOOKUP($A454,PLAN!$B:$AC,3,0)</f>
        <v>11134257</v>
      </c>
      <c r="C454" s="14" t="str">
        <f>VLOOKUP($A454,PLAN!$B:$AC,4,0)</f>
        <v>1911094-E-A</v>
      </c>
      <c r="D454" s="14" t="str">
        <f>VLOOKUP($A454,PLAN!$B:$AC,5,0)</f>
        <v>HJ60SP302P10020 JP</v>
      </c>
      <c r="E454" s="14" t="str">
        <f>VLOOKUP($A454,PLAN!$B:$AC,2,0)</f>
        <v>1001943056</v>
      </c>
      <c r="F454" s="15">
        <f>VLOOKUP($A454,PLAN!$B:$AC,7,0)</f>
        <v>46263</v>
      </c>
      <c r="G454" s="16" t="str">
        <f>VLOOKUP($A454,PLAN!$B:$AC,8,0)</f>
        <v>0103604039</v>
      </c>
      <c r="H454" s="16" t="str">
        <f>VLOOKUP($A454,PLAN!$B:$AC,9,0)</f>
        <v>260813C29A</v>
      </c>
      <c r="I454" s="16">
        <f>VLOOKUP($A454,PLAN!$B:$AC,10,0)</f>
        <v>27</v>
      </c>
      <c r="J454" s="17">
        <f>VLOOKUP($A454,PLAN!$B:$AC,21,0)</f>
        <v>46254</v>
      </c>
      <c r="K454" s="145" t="str">
        <f>VLOOKUP($A454,PLAN!$B:$AC,22,0)</f>
        <v>M9</v>
      </c>
      <c r="L454" s="1"/>
      <c r="M454" s="1"/>
      <c r="N454" s="1"/>
      <c r="O454" s="221" t="s">
        <v>79</v>
      </c>
      <c r="P454" s="220"/>
      <c r="Q454" s="18">
        <f>VLOOKUP(A454,PLAN!B:R,17,0)</f>
        <v>46253</v>
      </c>
    </row>
    <row r="455" spans="1:17" ht="17.25" hidden="1" customHeight="1">
      <c r="A455" s="329" t="s">
        <v>4614</v>
      </c>
      <c r="B455" s="14">
        <f>VLOOKUP($A455,PLAN!$B:$AC,3,0)</f>
        <v>11119615</v>
      </c>
      <c r="C455" s="14" t="str">
        <f>VLOOKUP($A455,PLAN!$B:$AC,4,0)</f>
        <v>1911281-D-A</v>
      </c>
      <c r="D455" s="14" t="str">
        <f>VLOOKUP($A455,PLAN!$B:$AC,5,0)</f>
        <v>HJ80JL402P10001 JP</v>
      </c>
      <c r="E455" s="14" t="str">
        <f>VLOOKUP($A455,PLAN!$B:$AC,2,0)</f>
        <v>1001943057</v>
      </c>
      <c r="F455" s="15">
        <f>VLOOKUP($A455,PLAN!$B:$AC,7,0)</f>
        <v>46263</v>
      </c>
      <c r="G455" s="16" t="str">
        <f>VLOOKUP($A455,PLAN!$B:$AC,8,0)</f>
        <v>0103604040</v>
      </c>
      <c r="H455" s="16" t="str">
        <f>VLOOKUP($A455,PLAN!$B:$AC,9,0)</f>
        <v>260813C30A</v>
      </c>
      <c r="I455" s="16">
        <f>VLOOKUP($A455,PLAN!$B:$AC,10,0)</f>
        <v>3</v>
      </c>
      <c r="J455" s="17">
        <f>VLOOKUP($A455,PLAN!$B:$AC,21,0)</f>
        <v>46254</v>
      </c>
      <c r="K455" s="145" t="str">
        <f>VLOOKUP($A455,PLAN!$B:$AC,22,0)</f>
        <v>M9</v>
      </c>
      <c r="L455" s="1"/>
      <c r="M455" s="1"/>
      <c r="N455" s="1"/>
      <c r="O455" s="221" t="s">
        <v>79</v>
      </c>
      <c r="P455" s="220"/>
      <c r="Q455" s="18">
        <f>VLOOKUP(A455,PLAN!B:R,17,0)</f>
        <v>46253</v>
      </c>
    </row>
    <row r="456" spans="1:17" ht="17.25" hidden="1" customHeight="1">
      <c r="A456" s="329" t="s">
        <v>4615</v>
      </c>
      <c r="B456" s="14">
        <f>VLOOKUP($A456,PLAN!$B:$AC,3,0)</f>
        <v>11119610</v>
      </c>
      <c r="C456" s="14" t="str">
        <f>VLOOKUP($A456,PLAN!$B:$AC,4,0)</f>
        <v>1911276-D-A</v>
      </c>
      <c r="D456" s="14" t="str">
        <f>VLOOKUP($A456,PLAN!$B:$AC,5,0)</f>
        <v>HJ80JL400P10000 JP</v>
      </c>
      <c r="E456" s="14" t="str">
        <f>VLOOKUP($A456,PLAN!$B:$AC,2,0)</f>
        <v>1001943058</v>
      </c>
      <c r="F456" s="15">
        <f>VLOOKUP($A456,PLAN!$B:$AC,7,0)</f>
        <v>46263</v>
      </c>
      <c r="G456" s="16" t="str">
        <f>VLOOKUP($A456,PLAN!$B:$AC,8,0)</f>
        <v>0103604041</v>
      </c>
      <c r="H456" s="16" t="str">
        <f>VLOOKUP($A456,PLAN!$B:$AC,9,0)</f>
        <v>260813C31A</v>
      </c>
      <c r="I456" s="16">
        <f>VLOOKUP($A456,PLAN!$B:$AC,10,0)</f>
        <v>4</v>
      </c>
      <c r="J456" s="17">
        <f>VLOOKUP($A456,PLAN!$B:$AC,21,0)</f>
        <v>46254</v>
      </c>
      <c r="K456" s="145" t="str">
        <f>VLOOKUP($A456,PLAN!$B:$AC,22,0)</f>
        <v>M9</v>
      </c>
      <c r="L456" s="1"/>
      <c r="M456" s="1"/>
      <c r="N456" s="1"/>
      <c r="O456" s="221" t="s">
        <v>79</v>
      </c>
      <c r="P456" s="220"/>
      <c r="Q456" s="18">
        <f>VLOOKUP(A456,PLAN!B:R,17,0)</f>
        <v>46253</v>
      </c>
    </row>
    <row r="457" spans="1:17" ht="17.25" hidden="1" customHeight="1">
      <c r="A457" s="329" t="s">
        <v>4616</v>
      </c>
      <c r="B457" s="14">
        <f>VLOOKUP($A457,PLAN!$B:$AC,3,0)</f>
        <v>11119587</v>
      </c>
      <c r="C457" s="14" t="str">
        <f>VLOOKUP($A457,PLAN!$B:$AC,4,0)</f>
        <v>1911253-D-A</v>
      </c>
      <c r="D457" s="14" t="str">
        <f>VLOOKUP($A457,PLAN!$B:$AC,5,0)</f>
        <v>HJ80AL202P10000 JP</v>
      </c>
      <c r="E457" s="14" t="str">
        <f>VLOOKUP($A457,PLAN!$B:$AC,2,0)</f>
        <v>1001943059</v>
      </c>
      <c r="F457" s="15">
        <f>VLOOKUP($A457,PLAN!$B:$AC,7,0)</f>
        <v>46263</v>
      </c>
      <c r="G457" s="16" t="str">
        <f>VLOOKUP($A457,PLAN!$B:$AC,8,0)</f>
        <v>0103604042</v>
      </c>
      <c r="H457" s="16" t="str">
        <f>VLOOKUP($A457,PLAN!$B:$AC,9,0)</f>
        <v>260813C32A</v>
      </c>
      <c r="I457" s="16">
        <f>VLOOKUP($A457,PLAN!$B:$AC,10,0)</f>
        <v>8</v>
      </c>
      <c r="J457" s="17">
        <f>VLOOKUP($A457,PLAN!$B:$AC,21,0)</f>
        <v>46254</v>
      </c>
      <c r="K457" s="145" t="str">
        <f>VLOOKUP($A457,PLAN!$B:$AC,22,0)</f>
        <v>M9</v>
      </c>
      <c r="L457" s="1"/>
      <c r="M457" s="1"/>
      <c r="N457" s="1"/>
      <c r="O457" s="221" t="s">
        <v>79</v>
      </c>
      <c r="P457" s="220"/>
      <c r="Q457" s="18">
        <f>VLOOKUP(A457,PLAN!B:R,17,0)</f>
        <v>46253</v>
      </c>
    </row>
    <row r="458" spans="1:17" ht="17.25" hidden="1" customHeight="1">
      <c r="A458" s="329" t="s">
        <v>4617</v>
      </c>
      <c r="B458" s="14">
        <f>VLOOKUP($A458,PLAN!$B:$AC,3,0)</f>
        <v>11119334</v>
      </c>
      <c r="C458" s="14" t="str">
        <f>VLOOKUP($A458,PLAN!$B:$AC,4,0)</f>
        <v>1911002-D-A</v>
      </c>
      <c r="D458" s="14" t="str">
        <f>VLOOKUP($A458,PLAN!$B:$AC,5,0)</f>
        <v>HJ60AL072P10020 JP</v>
      </c>
      <c r="E458" s="14" t="str">
        <f>VLOOKUP($A458,PLAN!$B:$AC,2,0)</f>
        <v>1001943060</v>
      </c>
      <c r="F458" s="15">
        <f>VLOOKUP($A458,PLAN!$B:$AC,7,0)</f>
        <v>46263</v>
      </c>
      <c r="G458" s="16" t="str">
        <f>VLOOKUP($A458,PLAN!$B:$AC,8,0)</f>
        <v>0103604043</v>
      </c>
      <c r="H458" s="16" t="str">
        <f>VLOOKUP($A458,PLAN!$B:$AC,9,0)</f>
        <v>260813C33A</v>
      </c>
      <c r="I458" s="16">
        <f>VLOOKUP($A458,PLAN!$B:$AC,10,0)</f>
        <v>10</v>
      </c>
      <c r="J458" s="17">
        <f>VLOOKUP($A458,PLAN!$B:$AC,21,0)</f>
        <v>46254</v>
      </c>
      <c r="K458" s="145" t="str">
        <f>VLOOKUP($A458,PLAN!$B:$AC,22,0)</f>
        <v>M9</v>
      </c>
      <c r="L458" s="1"/>
      <c r="M458" s="1"/>
      <c r="N458" s="1"/>
      <c r="O458" s="221" t="s">
        <v>79</v>
      </c>
      <c r="P458" s="220"/>
      <c r="Q458" s="18">
        <f>VLOOKUP(A458,PLAN!B:R,17,0)</f>
        <v>46253</v>
      </c>
    </row>
    <row r="459" spans="1:17" ht="17.25" hidden="1" customHeight="1">
      <c r="A459" s="329" t="s">
        <v>4618</v>
      </c>
      <c r="B459" s="14">
        <f>VLOOKUP($A459,PLAN!$B:$AC,3,0)</f>
        <v>11119344</v>
      </c>
      <c r="C459" s="14" t="str">
        <f>VLOOKUP($A459,PLAN!$B:$AC,4,0)</f>
        <v>1911012-D-A</v>
      </c>
      <c r="D459" s="14" t="str">
        <f>VLOOKUP($A459,PLAN!$B:$AC,5,0)</f>
        <v>HJ60AL152P10020 JP</v>
      </c>
      <c r="E459" s="14" t="str">
        <f>VLOOKUP($A459,PLAN!$B:$AC,2,0)</f>
        <v>1001943061</v>
      </c>
      <c r="F459" s="15">
        <f>VLOOKUP($A459,PLAN!$B:$AC,7,0)</f>
        <v>46263</v>
      </c>
      <c r="G459" s="16" t="str">
        <f>VLOOKUP($A459,PLAN!$B:$AC,8,0)</f>
        <v>0103604044</v>
      </c>
      <c r="H459" s="16" t="str">
        <f>VLOOKUP($A459,PLAN!$B:$AC,9,0)</f>
        <v>260813C34A</v>
      </c>
      <c r="I459" s="16">
        <f>VLOOKUP($A459,PLAN!$B:$AC,10,0)</f>
        <v>18</v>
      </c>
      <c r="J459" s="17">
        <f>VLOOKUP($A459,PLAN!$B:$AC,21,0)</f>
        <v>46254</v>
      </c>
      <c r="K459" s="145" t="str">
        <f>VLOOKUP($A459,PLAN!$B:$AC,22,0)</f>
        <v>M9</v>
      </c>
      <c r="L459" s="1"/>
      <c r="M459" s="1"/>
      <c r="N459" s="1"/>
      <c r="O459" s="221" t="s">
        <v>79</v>
      </c>
      <c r="P459" s="220"/>
      <c r="Q459" s="18">
        <f>VLOOKUP(A459,PLAN!B:R,17,0)</f>
        <v>46253</v>
      </c>
    </row>
    <row r="460" spans="1:17" ht="17.25" hidden="1" customHeight="1">
      <c r="A460" s="329" t="s">
        <v>4619</v>
      </c>
      <c r="B460" s="14">
        <f>VLOOKUP($A460,PLAN!$B:$AC,3,0)</f>
        <v>11119414</v>
      </c>
      <c r="C460" s="14" t="str">
        <f>VLOOKUP($A460,PLAN!$B:$AC,4,0)</f>
        <v>1911082-D-A</v>
      </c>
      <c r="D460" s="14" t="str">
        <f>VLOOKUP($A460,PLAN!$B:$AC,5,0)</f>
        <v>HJ60AL072P10022 JP</v>
      </c>
      <c r="E460" s="14" t="str">
        <f>VLOOKUP($A460,PLAN!$B:$AC,2,0)</f>
        <v>1001943062</v>
      </c>
      <c r="F460" s="15">
        <f>VLOOKUP($A460,PLAN!$B:$AC,7,0)</f>
        <v>46263</v>
      </c>
      <c r="G460" s="16" t="str">
        <f>VLOOKUP($A460,PLAN!$B:$AC,8,0)</f>
        <v>0103604045</v>
      </c>
      <c r="H460" s="16" t="str">
        <f>VLOOKUP($A460,PLAN!$B:$AC,9,0)</f>
        <v>260813C35A</v>
      </c>
      <c r="I460" s="16">
        <f>VLOOKUP($A460,PLAN!$B:$AC,10,0)</f>
        <v>19</v>
      </c>
      <c r="J460" s="17">
        <f>VLOOKUP($A460,PLAN!$B:$AC,21,0)</f>
        <v>46254</v>
      </c>
      <c r="K460" s="145" t="str">
        <f>VLOOKUP($A460,PLAN!$B:$AC,22,0)</f>
        <v>M9</v>
      </c>
      <c r="L460" s="1"/>
      <c r="M460" s="1"/>
      <c r="N460" s="1"/>
      <c r="O460" s="221" t="s">
        <v>79</v>
      </c>
      <c r="P460" s="220"/>
      <c r="Q460" s="18">
        <f>VLOOKUP(A460,PLAN!B:R,17,0)</f>
        <v>46253</v>
      </c>
    </row>
    <row r="461" spans="1:17" ht="17.25" hidden="1" customHeight="1">
      <c r="A461" s="329" t="s">
        <v>4620</v>
      </c>
      <c r="B461" s="14">
        <f>VLOOKUP($A461,PLAN!$B:$AC,3,0)</f>
        <v>11119493</v>
      </c>
      <c r="C461" s="14" t="str">
        <f>VLOOKUP($A461,PLAN!$B:$AC,4,0)</f>
        <v>1911159-D-A</v>
      </c>
      <c r="D461" s="14" t="str">
        <f>VLOOKUP($A461,PLAN!$B:$AC,5,0)</f>
        <v>HJ70JL402P10021 JP</v>
      </c>
      <c r="E461" s="14" t="str">
        <f>VLOOKUP($A461,PLAN!$B:$AC,2,0)</f>
        <v>1001943063</v>
      </c>
      <c r="F461" s="15">
        <f>VLOOKUP($A461,PLAN!$B:$AC,7,0)</f>
        <v>46263</v>
      </c>
      <c r="G461" s="16" t="str">
        <f>VLOOKUP($A461,PLAN!$B:$AC,8,0)</f>
        <v>0103604046</v>
      </c>
      <c r="H461" s="16" t="str">
        <f>VLOOKUP($A461,PLAN!$B:$AC,9,0)</f>
        <v>260813C36A</v>
      </c>
      <c r="I461" s="16">
        <f>VLOOKUP($A461,PLAN!$B:$AC,10,0)</f>
        <v>21</v>
      </c>
      <c r="J461" s="17">
        <f>VLOOKUP($A461,PLAN!$B:$AC,21,0)</f>
        <v>46254</v>
      </c>
      <c r="K461" s="145" t="str">
        <f>VLOOKUP($A461,PLAN!$B:$AC,22,0)</f>
        <v>M9</v>
      </c>
      <c r="L461" s="1"/>
      <c r="M461" s="1"/>
      <c r="N461" s="1"/>
      <c r="O461" s="221" t="s">
        <v>79</v>
      </c>
      <c r="P461" s="220"/>
      <c r="Q461" s="18">
        <f>VLOOKUP(A461,PLAN!B:R,17,0)</f>
        <v>46253</v>
      </c>
    </row>
    <row r="462" spans="1:17" ht="17.25" hidden="1" customHeight="1">
      <c r="A462" s="329" t="s">
        <v>4621</v>
      </c>
      <c r="B462" s="14">
        <f>VLOOKUP($A462,PLAN!$B:$AC,3,0)</f>
        <v>11119379</v>
      </c>
      <c r="C462" s="14" t="str">
        <f>VLOOKUP($A462,PLAN!$B:$AC,4,0)</f>
        <v>1911047-D-A</v>
      </c>
      <c r="D462" s="14" t="str">
        <f>VLOOKUP($A462,PLAN!$B:$AC,5,0)</f>
        <v>HJ60JL400P10001 JP</v>
      </c>
      <c r="E462" s="14" t="str">
        <f>VLOOKUP($A462,PLAN!$B:$AC,2,0)</f>
        <v>1001943064</v>
      </c>
      <c r="F462" s="15">
        <f>VLOOKUP($A462,PLAN!$B:$AC,7,0)</f>
        <v>46263</v>
      </c>
      <c r="G462" s="16" t="str">
        <f>VLOOKUP($A462,PLAN!$B:$AC,8,0)</f>
        <v>0103604047</v>
      </c>
      <c r="H462" s="16" t="str">
        <f>VLOOKUP($A462,PLAN!$B:$AC,9,0)</f>
        <v>260813C37A</v>
      </c>
      <c r="I462" s="16">
        <f>VLOOKUP($A462,PLAN!$B:$AC,10,0)</f>
        <v>42</v>
      </c>
      <c r="J462" s="17">
        <f>VLOOKUP($A462,PLAN!$B:$AC,21,0)</f>
        <v>46254</v>
      </c>
      <c r="K462" s="145" t="str">
        <f>VLOOKUP($A462,PLAN!$B:$AC,22,0)</f>
        <v>M9</v>
      </c>
      <c r="L462" s="1"/>
      <c r="M462" s="1"/>
      <c r="N462" s="1"/>
      <c r="O462" s="221" t="s">
        <v>79</v>
      </c>
      <c r="P462" s="220"/>
      <c r="Q462" s="18">
        <f>VLOOKUP(A462,PLAN!B:R,17,0)</f>
        <v>46253</v>
      </c>
    </row>
    <row r="463" spans="1:17" ht="17.25" hidden="1" customHeight="1">
      <c r="A463" s="329" t="s">
        <v>4622</v>
      </c>
      <c r="B463" s="14">
        <f>VLOOKUP($A463,PLAN!$B:$AC,3,0)</f>
        <v>11119576</v>
      </c>
      <c r="C463" s="14" t="str">
        <f>VLOOKUP($A463,PLAN!$B:$AC,4,0)</f>
        <v>1911242-D-A</v>
      </c>
      <c r="D463" s="14" t="str">
        <f>VLOOKUP($A463,PLAN!$B:$AC,5,0)</f>
        <v>HJ80AL102P10000 JP</v>
      </c>
      <c r="E463" s="14" t="str">
        <f>VLOOKUP($A463,PLAN!$B:$AC,2,0)</f>
        <v>1001943065</v>
      </c>
      <c r="F463" s="15">
        <f>VLOOKUP($A463,PLAN!$B:$AC,7,0)</f>
        <v>46263</v>
      </c>
      <c r="G463" s="16" t="str">
        <f>VLOOKUP($A463,PLAN!$B:$AC,8,0)</f>
        <v>0103604049</v>
      </c>
      <c r="H463" s="16" t="str">
        <f>VLOOKUP($A463,PLAN!$B:$AC,9,0)</f>
        <v>260813C38A</v>
      </c>
      <c r="I463" s="16">
        <f>VLOOKUP($A463,PLAN!$B:$AC,10,0)</f>
        <v>56</v>
      </c>
      <c r="J463" s="17">
        <f>VLOOKUP($A463,PLAN!$B:$AC,21,0)</f>
        <v>46254</v>
      </c>
      <c r="K463" s="145" t="str">
        <f>VLOOKUP($A463,PLAN!$B:$AC,22,0)</f>
        <v>M9</v>
      </c>
      <c r="L463" s="1"/>
      <c r="M463" s="1"/>
      <c r="N463" s="1"/>
      <c r="O463" s="221" t="s">
        <v>79</v>
      </c>
      <c r="P463" s="220"/>
      <c r="Q463" s="18">
        <f>VLOOKUP(A463,PLAN!B:R,17,0)</f>
        <v>46253</v>
      </c>
    </row>
    <row r="464" spans="1:17" ht="17.25" hidden="1" customHeight="1">
      <c r="A464" s="329" t="s">
        <v>4623</v>
      </c>
      <c r="B464" s="14">
        <f>VLOOKUP($A464,PLAN!$B:$AC,3,0)</f>
        <v>11119442</v>
      </c>
      <c r="C464" s="14" t="str">
        <f>VLOOKUP($A464,PLAN!$B:$AC,4,0)</f>
        <v>1911108-D-A</v>
      </c>
      <c r="D464" s="14" t="str">
        <f>VLOOKUP($A464,PLAN!$B:$AC,5,0)</f>
        <v>HJ70AL100P10020 JP</v>
      </c>
      <c r="E464" s="14" t="str">
        <f>VLOOKUP($A464,PLAN!$B:$AC,2,0)</f>
        <v>1001943066</v>
      </c>
      <c r="F464" s="15">
        <f>VLOOKUP($A464,PLAN!$B:$AC,7,0)</f>
        <v>46263</v>
      </c>
      <c r="G464" s="16" t="str">
        <f>VLOOKUP($A464,PLAN!$B:$AC,8,0)</f>
        <v>0103604050</v>
      </c>
      <c r="H464" s="16" t="str">
        <f>VLOOKUP($A464,PLAN!$B:$AC,9,0)</f>
        <v>260813C39A</v>
      </c>
      <c r="I464" s="16">
        <f>VLOOKUP($A464,PLAN!$B:$AC,10,0)</f>
        <v>72</v>
      </c>
      <c r="J464" s="17">
        <f>VLOOKUP($A464,PLAN!$B:$AC,21,0)</f>
        <v>46254</v>
      </c>
      <c r="K464" s="145" t="str">
        <f>VLOOKUP($A464,PLAN!$B:$AC,22,0)</f>
        <v>M9</v>
      </c>
      <c r="L464" s="1"/>
      <c r="M464" s="1"/>
      <c r="N464" s="1"/>
      <c r="O464" s="221" t="s">
        <v>79</v>
      </c>
      <c r="P464" s="220"/>
      <c r="Q464" s="18">
        <f>VLOOKUP(A464,PLAN!B:R,17,0)</f>
        <v>46253</v>
      </c>
    </row>
    <row r="465" spans="1:17" ht="17.25" hidden="1" customHeight="1">
      <c r="A465" s="329" t="s">
        <v>4624</v>
      </c>
      <c r="B465" s="14">
        <f>VLOOKUP($A465,PLAN!$B:$AC,3,0)</f>
        <v>11119389</v>
      </c>
      <c r="C465" s="14" t="str">
        <f>VLOOKUP($A465,PLAN!$B:$AC,4,0)</f>
        <v>1911057-D-A</v>
      </c>
      <c r="D465" s="14" t="str">
        <f>VLOOKUP($A465,PLAN!$B:$AC,5,0)</f>
        <v>HJ60JR350P10020 JP</v>
      </c>
      <c r="E465" s="14" t="str">
        <f>VLOOKUP($A465,PLAN!$B:$AC,2,0)</f>
        <v>1001943067</v>
      </c>
      <c r="F465" s="15">
        <f>VLOOKUP($A465,PLAN!$B:$AC,7,0)</f>
        <v>46263</v>
      </c>
      <c r="G465" s="16" t="str">
        <f>VLOOKUP($A465,PLAN!$B:$AC,8,0)</f>
        <v>0103604051</v>
      </c>
      <c r="H465" s="16" t="str">
        <f>VLOOKUP($A465,PLAN!$B:$AC,9,0)</f>
        <v>260813C40A</v>
      </c>
      <c r="I465" s="16">
        <f>VLOOKUP($A465,PLAN!$B:$AC,10,0)</f>
        <v>88</v>
      </c>
      <c r="J465" s="17">
        <f>VLOOKUP($A465,PLAN!$B:$AC,21,0)</f>
        <v>46254</v>
      </c>
      <c r="K465" s="145" t="str">
        <f>VLOOKUP($A465,PLAN!$B:$AC,22,0)</f>
        <v>M9</v>
      </c>
      <c r="L465" s="1"/>
      <c r="M465" s="1"/>
      <c r="N465" s="1"/>
      <c r="O465" s="221" t="s">
        <v>79</v>
      </c>
      <c r="P465" s="220"/>
      <c r="Q465" s="18">
        <f>VLOOKUP(A465,PLAN!B:R,17,0)</f>
        <v>46253</v>
      </c>
    </row>
    <row r="466" spans="1:17" ht="17.25" hidden="1" customHeight="1">
      <c r="A466" s="329" t="s">
        <v>4625</v>
      </c>
      <c r="B466" s="14">
        <f>VLOOKUP($A466,PLAN!$B:$AC,3,0)</f>
        <v>11119339</v>
      </c>
      <c r="C466" s="14" t="str">
        <f>VLOOKUP($A466,PLAN!$B:$AC,4,0)</f>
        <v>1911007-D-A</v>
      </c>
      <c r="D466" s="14" t="str">
        <f>VLOOKUP($A466,PLAN!$B:$AC,5,0)</f>
        <v>HJ60AL102P10020 JP</v>
      </c>
      <c r="E466" s="14" t="str">
        <f>VLOOKUP($A466,PLAN!$B:$AC,2,0)</f>
        <v>1001943068</v>
      </c>
      <c r="F466" s="15">
        <f>VLOOKUP($A466,PLAN!$B:$AC,7,0)</f>
        <v>46263</v>
      </c>
      <c r="G466" s="16" t="str">
        <f>VLOOKUP($A466,PLAN!$B:$AC,8,0)</f>
        <v>0103604052</v>
      </c>
      <c r="H466" s="16" t="str">
        <f>VLOOKUP($A466,PLAN!$B:$AC,9,0)</f>
        <v>260813C41A</v>
      </c>
      <c r="I466" s="16">
        <f>VLOOKUP($A466,PLAN!$B:$AC,10,0)</f>
        <v>121</v>
      </c>
      <c r="J466" s="17">
        <f>VLOOKUP($A466,PLAN!$B:$AC,21,0)</f>
        <v>46254</v>
      </c>
      <c r="K466" s="145" t="str">
        <f>VLOOKUP($A466,PLAN!$B:$AC,22,0)</f>
        <v>M9</v>
      </c>
      <c r="L466" s="1"/>
      <c r="M466" s="1"/>
      <c r="N466" s="1"/>
      <c r="O466" s="221" t="s">
        <v>79</v>
      </c>
      <c r="P466" s="220"/>
      <c r="Q466" s="18">
        <f>VLOOKUP(A466,PLAN!B:R,17,0)</f>
        <v>46253</v>
      </c>
    </row>
    <row r="467" spans="1:17" ht="17.25" hidden="1" customHeight="1">
      <c r="A467" s="329" t="s">
        <v>4626</v>
      </c>
      <c r="B467" s="14">
        <f>VLOOKUP($A467,PLAN!$B:$AC,3,0)</f>
        <v>11119539</v>
      </c>
      <c r="C467" s="14" t="str">
        <f>VLOOKUP($A467,PLAN!$B:$AC,4,0)</f>
        <v>1911205-D-A</v>
      </c>
      <c r="D467" s="14" t="str">
        <f>VLOOKUP($A467,PLAN!$B:$AC,5,0)</f>
        <v>HJ70AL100P10022 JP</v>
      </c>
      <c r="E467" s="14" t="str">
        <f>VLOOKUP($A467,PLAN!$B:$AC,2,0)</f>
        <v>1001943069</v>
      </c>
      <c r="F467" s="15">
        <f>VLOOKUP($A467,PLAN!$B:$AC,7,0)</f>
        <v>46263</v>
      </c>
      <c r="G467" s="16" t="str">
        <f>VLOOKUP($A467,PLAN!$B:$AC,8,0)</f>
        <v>0103604053</v>
      </c>
      <c r="H467" s="16" t="str">
        <f>VLOOKUP($A467,PLAN!$B:$AC,9,0)</f>
        <v>260813C42A</v>
      </c>
      <c r="I467" s="16">
        <f>VLOOKUP($A467,PLAN!$B:$AC,10,0)</f>
        <v>128</v>
      </c>
      <c r="J467" s="17">
        <f>VLOOKUP($A467,PLAN!$B:$AC,21,0)</f>
        <v>46254</v>
      </c>
      <c r="K467" s="145" t="str">
        <f>VLOOKUP($A467,PLAN!$B:$AC,22,0)</f>
        <v>M9</v>
      </c>
      <c r="L467" s="1"/>
      <c r="M467" s="1"/>
      <c r="N467" s="1"/>
      <c r="O467" s="221" t="s">
        <v>79</v>
      </c>
      <c r="P467" s="220"/>
      <c r="Q467" s="18">
        <f>VLOOKUP(A467,PLAN!B:R,17,0)</f>
        <v>46253</v>
      </c>
    </row>
    <row r="468" spans="1:17" ht="17.25" hidden="1" customHeight="1">
      <c r="A468" s="329" t="s">
        <v>4627</v>
      </c>
      <c r="B468" s="14">
        <f>VLOOKUP($A468,PLAN!$B:$AC,3,0)</f>
        <v>11135427</v>
      </c>
      <c r="C468" s="14" t="str">
        <f>VLOOKUP($A468,PLAN!$B:$AC,4,0)</f>
        <v>2211778-E-A</v>
      </c>
      <c r="D468" s="14" t="str">
        <f>VLOOKUP($A468,PLAN!$B:$AC,5,0)</f>
        <v>HW60AL072P10002 KR</v>
      </c>
      <c r="E468" s="14" t="str">
        <f>VLOOKUP($A468,PLAN!$B:$AC,2,0)</f>
        <v>1001943070</v>
      </c>
      <c r="F468" s="15">
        <f>VLOOKUP($A468,PLAN!$B:$AC,7,0)</f>
        <v>46263</v>
      </c>
      <c r="G468" s="16" t="str">
        <f>VLOOKUP($A468,PLAN!$B:$AC,8,0)</f>
        <v>0103604054</v>
      </c>
      <c r="H468" s="16" t="str">
        <f>VLOOKUP($A468,PLAN!$B:$AC,9,0)</f>
        <v>260813C43A</v>
      </c>
      <c r="I468" s="16">
        <f>VLOOKUP($A468,PLAN!$B:$AC,10,0)</f>
        <v>1</v>
      </c>
      <c r="J468" s="17">
        <f>VLOOKUP($A468,PLAN!$B:$AC,21,0)</f>
        <v>46254</v>
      </c>
      <c r="K468" s="145" t="str">
        <f>VLOOKUP($A468,PLAN!$B:$AC,22,0)</f>
        <v>M9</v>
      </c>
      <c r="L468" s="1"/>
      <c r="M468" s="1"/>
      <c r="N468" s="1"/>
      <c r="O468" s="221" t="s">
        <v>79</v>
      </c>
      <c r="P468" s="220"/>
      <c r="Q468" s="18">
        <f>VLOOKUP(A468,PLAN!B:R,17,0)</f>
        <v>46253</v>
      </c>
    </row>
    <row r="469" spans="1:17" ht="17.25" hidden="1" customHeight="1">
      <c r="A469" s="329" t="s">
        <v>4628</v>
      </c>
      <c r="B469" s="14">
        <f>VLOOKUP($A469,PLAN!$B:$AC,3,0)</f>
        <v>11135463</v>
      </c>
      <c r="C469" s="14" t="str">
        <f>VLOOKUP($A469,PLAN!$B:$AC,4,0)</f>
        <v>2211814-E-A</v>
      </c>
      <c r="D469" s="14" t="str">
        <f>VLOOKUP($A469,PLAN!$B:$AC,5,0)</f>
        <v>HW60HS012P10000 KR</v>
      </c>
      <c r="E469" s="14" t="str">
        <f>VLOOKUP($A469,PLAN!$B:$AC,2,0)</f>
        <v>1001943071</v>
      </c>
      <c r="F469" s="15">
        <f>VLOOKUP($A469,PLAN!$B:$AC,7,0)</f>
        <v>46263</v>
      </c>
      <c r="G469" s="16" t="str">
        <f>VLOOKUP($A469,PLAN!$B:$AC,8,0)</f>
        <v>0103604055</v>
      </c>
      <c r="H469" s="16" t="str">
        <f>VLOOKUP($A469,PLAN!$B:$AC,9,0)</f>
        <v>260813C44A</v>
      </c>
      <c r="I469" s="16">
        <f>VLOOKUP($A469,PLAN!$B:$AC,10,0)</f>
        <v>1</v>
      </c>
      <c r="J469" s="17">
        <f>VLOOKUP($A469,PLAN!$B:$AC,21,0)</f>
        <v>46254</v>
      </c>
      <c r="K469" s="145" t="str">
        <f>VLOOKUP($A469,PLAN!$B:$AC,22,0)</f>
        <v>M9</v>
      </c>
      <c r="L469" s="1"/>
      <c r="M469" s="1"/>
      <c r="N469" s="1"/>
      <c r="O469" s="221" t="s">
        <v>79</v>
      </c>
      <c r="P469" s="220"/>
      <c r="Q469" s="18">
        <f>VLOOKUP(A469,PLAN!B:R,17,0)</f>
        <v>46253</v>
      </c>
    </row>
    <row r="470" spans="1:17" ht="17.25" hidden="1" customHeight="1">
      <c r="A470" s="329" t="s">
        <v>4629</v>
      </c>
      <c r="B470" s="14">
        <f>VLOOKUP($A470,PLAN!$B:$AC,3,0)</f>
        <v>11135580</v>
      </c>
      <c r="C470" s="14" t="str">
        <f>VLOOKUP($A470,PLAN!$B:$AC,4,0)</f>
        <v>2211931-E-A</v>
      </c>
      <c r="D470" s="14" t="str">
        <f>VLOOKUP($A470,PLAN!$B:$AC,5,0)</f>
        <v>HW70AR200P10000 KR</v>
      </c>
      <c r="E470" s="14" t="str">
        <f>VLOOKUP($A470,PLAN!$B:$AC,2,0)</f>
        <v>1001943072</v>
      </c>
      <c r="F470" s="15">
        <f>VLOOKUP($A470,PLAN!$B:$AC,7,0)</f>
        <v>46263</v>
      </c>
      <c r="G470" s="16" t="str">
        <f>VLOOKUP($A470,PLAN!$B:$AC,8,0)</f>
        <v>0103604056</v>
      </c>
      <c r="H470" s="16" t="str">
        <f>VLOOKUP($A470,PLAN!$B:$AC,9,0)</f>
        <v>260813C45A</v>
      </c>
      <c r="I470" s="16">
        <f>VLOOKUP($A470,PLAN!$B:$AC,10,0)</f>
        <v>2</v>
      </c>
      <c r="J470" s="17">
        <f>VLOOKUP($A470,PLAN!$B:$AC,21,0)</f>
        <v>46254</v>
      </c>
      <c r="K470" s="145" t="str">
        <f>VLOOKUP($A470,PLAN!$B:$AC,22,0)</f>
        <v>M9</v>
      </c>
      <c r="L470" s="1"/>
      <c r="M470" s="1"/>
      <c r="N470" s="1"/>
      <c r="O470" s="221" t="s">
        <v>79</v>
      </c>
      <c r="P470" s="220"/>
      <c r="Q470" s="18">
        <f>VLOOKUP(A470,PLAN!B:R,17,0)</f>
        <v>46253</v>
      </c>
    </row>
    <row r="471" spans="1:17" ht="17.25" hidden="1" customHeight="1">
      <c r="A471" s="329" t="s">
        <v>4630</v>
      </c>
      <c r="B471" s="14">
        <f>VLOOKUP($A471,PLAN!$B:$AC,3,0)</f>
        <v>11135573</v>
      </c>
      <c r="C471" s="14" t="str">
        <f>VLOOKUP($A471,PLAN!$B:$AC,4,0)</f>
        <v>2211924-E-A</v>
      </c>
      <c r="D471" s="14" t="str">
        <f>VLOOKUP($A471,PLAN!$B:$AC,5,0)</f>
        <v>HW70AL200P10000 KR</v>
      </c>
      <c r="E471" s="14" t="str">
        <f>VLOOKUP($A471,PLAN!$B:$AC,2,0)</f>
        <v>1001943073</v>
      </c>
      <c r="F471" s="15">
        <f>VLOOKUP($A471,PLAN!$B:$AC,7,0)</f>
        <v>46263</v>
      </c>
      <c r="G471" s="16" t="str">
        <f>VLOOKUP($A471,PLAN!$B:$AC,8,0)</f>
        <v>0103604057</v>
      </c>
      <c r="H471" s="16" t="str">
        <f>VLOOKUP($A471,PLAN!$B:$AC,9,0)</f>
        <v>260813C46A</v>
      </c>
      <c r="I471" s="16">
        <f>VLOOKUP($A471,PLAN!$B:$AC,10,0)</f>
        <v>3</v>
      </c>
      <c r="J471" s="17">
        <f>VLOOKUP($A471,PLAN!$B:$AC,21,0)</f>
        <v>46254</v>
      </c>
      <c r="K471" s="145" t="str">
        <f>VLOOKUP($A471,PLAN!$B:$AC,22,0)</f>
        <v>M9</v>
      </c>
      <c r="L471" s="1"/>
      <c r="M471" s="1"/>
      <c r="N471" s="1"/>
      <c r="O471" s="221" t="s">
        <v>79</v>
      </c>
      <c r="P471" s="220"/>
      <c r="Q471" s="18">
        <f>VLOOKUP(A471,PLAN!B:R,17,0)</f>
        <v>46253</v>
      </c>
    </row>
    <row r="472" spans="1:17" ht="17.25" hidden="1" customHeight="1">
      <c r="A472" s="329" t="s">
        <v>4631</v>
      </c>
      <c r="B472" s="14">
        <f>VLOOKUP($A472,PLAN!$B:$AC,3,0)</f>
        <v>11135492</v>
      </c>
      <c r="C472" s="14" t="str">
        <f>VLOOKUP($A472,PLAN!$B:$AC,4,0)</f>
        <v>2211843-E-A</v>
      </c>
      <c r="D472" s="14" t="str">
        <f>VLOOKUP($A472,PLAN!$B:$AC,5,0)</f>
        <v>HW60JL502P10000 KR</v>
      </c>
      <c r="E472" s="14" t="str">
        <f>VLOOKUP($A472,PLAN!$B:$AC,2,0)</f>
        <v>1001943074</v>
      </c>
      <c r="F472" s="15">
        <f>VLOOKUP($A472,PLAN!$B:$AC,7,0)</f>
        <v>46263</v>
      </c>
      <c r="G472" s="16" t="str">
        <f>VLOOKUP($A472,PLAN!$B:$AC,8,0)</f>
        <v>0103604058</v>
      </c>
      <c r="H472" s="16" t="str">
        <f>VLOOKUP($A472,PLAN!$B:$AC,9,0)</f>
        <v>260813C47A</v>
      </c>
      <c r="I472" s="16">
        <f>VLOOKUP($A472,PLAN!$B:$AC,10,0)</f>
        <v>3</v>
      </c>
      <c r="J472" s="17">
        <f>VLOOKUP($A472,PLAN!$B:$AC,21,0)</f>
        <v>46254</v>
      </c>
      <c r="K472" s="145" t="str">
        <f>VLOOKUP($A472,PLAN!$B:$AC,22,0)</f>
        <v>M9</v>
      </c>
      <c r="L472" s="1"/>
      <c r="M472" s="1"/>
      <c r="N472" s="1"/>
      <c r="O472" s="221" t="s">
        <v>79</v>
      </c>
      <c r="P472" s="220"/>
      <c r="Q472" s="18">
        <f>VLOOKUP(A472,PLAN!B:R,17,0)</f>
        <v>46253</v>
      </c>
    </row>
    <row r="473" spans="1:17" ht="17.25" hidden="1" customHeight="1">
      <c r="A473" s="329" t="s">
        <v>4632</v>
      </c>
      <c r="B473" s="14">
        <f>VLOOKUP($A473,PLAN!$B:$AC,3,0)</f>
        <v>11135468</v>
      </c>
      <c r="C473" s="14" t="str">
        <f>VLOOKUP($A473,PLAN!$B:$AC,4,0)</f>
        <v>2211819-E-A</v>
      </c>
      <c r="D473" s="14" t="str">
        <f>VLOOKUP($A473,PLAN!$B:$AC,5,0)</f>
        <v>HW60JL300P10000 KR</v>
      </c>
      <c r="E473" s="14" t="str">
        <f>VLOOKUP($A473,PLAN!$B:$AC,2,0)</f>
        <v>1001943075</v>
      </c>
      <c r="F473" s="15">
        <f>VLOOKUP($A473,PLAN!$B:$AC,7,0)</f>
        <v>46263</v>
      </c>
      <c r="G473" s="16" t="str">
        <f>VLOOKUP($A473,PLAN!$B:$AC,8,0)</f>
        <v>0103604059</v>
      </c>
      <c r="H473" s="16" t="str">
        <f>VLOOKUP($A473,PLAN!$B:$AC,9,0)</f>
        <v>260813C48A</v>
      </c>
      <c r="I473" s="16">
        <f>VLOOKUP($A473,PLAN!$B:$AC,10,0)</f>
        <v>4</v>
      </c>
      <c r="J473" s="17">
        <f>VLOOKUP($A473,PLAN!$B:$AC,21,0)</f>
        <v>46254</v>
      </c>
      <c r="K473" s="145" t="str">
        <f>VLOOKUP($A473,PLAN!$B:$AC,22,0)</f>
        <v>M9</v>
      </c>
      <c r="L473" s="1"/>
      <c r="M473" s="1"/>
      <c r="N473" s="1"/>
      <c r="O473" s="221" t="s">
        <v>79</v>
      </c>
      <c r="P473" s="220"/>
      <c r="Q473" s="18">
        <f>VLOOKUP(A473,PLAN!B:R,17,0)</f>
        <v>46253</v>
      </c>
    </row>
    <row r="474" spans="1:17" ht="17.25" hidden="1" customHeight="1">
      <c r="A474" s="329" t="s">
        <v>4633</v>
      </c>
      <c r="B474" s="14">
        <f>VLOOKUP($A474,PLAN!$B:$AC,3,0)</f>
        <v>11135448</v>
      </c>
      <c r="C474" s="14" t="str">
        <f>VLOOKUP($A474,PLAN!$B:$AC,4,0)</f>
        <v>2211799-E-A</v>
      </c>
      <c r="D474" s="14" t="str">
        <f>VLOOKUP($A474,PLAN!$B:$AC,5,0)</f>
        <v>HW60AL202P10000 KR</v>
      </c>
      <c r="E474" s="14" t="str">
        <f>VLOOKUP($A474,PLAN!$B:$AC,2,0)</f>
        <v>1001943076</v>
      </c>
      <c r="F474" s="15">
        <f>VLOOKUP($A474,PLAN!$B:$AC,7,0)</f>
        <v>46263</v>
      </c>
      <c r="G474" s="16" t="str">
        <f>VLOOKUP($A474,PLAN!$B:$AC,8,0)</f>
        <v>0103604060</v>
      </c>
      <c r="H474" s="16" t="str">
        <f>VLOOKUP($A474,PLAN!$B:$AC,9,0)</f>
        <v>260813C49A</v>
      </c>
      <c r="I474" s="16">
        <f>VLOOKUP($A474,PLAN!$B:$AC,10,0)</f>
        <v>4</v>
      </c>
      <c r="J474" s="17">
        <f>VLOOKUP($A474,PLAN!$B:$AC,21,0)</f>
        <v>46254</v>
      </c>
      <c r="K474" s="145" t="str">
        <f>VLOOKUP($A474,PLAN!$B:$AC,22,0)</f>
        <v>M9</v>
      </c>
      <c r="L474" s="1"/>
      <c r="M474" s="1"/>
      <c r="N474" s="1"/>
      <c r="O474" s="221" t="s">
        <v>79</v>
      </c>
      <c r="P474" s="220"/>
      <c r="Q474" s="18">
        <f>VLOOKUP(A474,PLAN!B:R,17,0)</f>
        <v>46253</v>
      </c>
    </row>
    <row r="475" spans="1:17" ht="17.25" hidden="1" customHeight="1">
      <c r="A475" s="329" t="s">
        <v>4634</v>
      </c>
      <c r="B475" s="14">
        <f>VLOOKUP($A475,PLAN!$B:$AC,3,0)</f>
        <v>11135551</v>
      </c>
      <c r="C475" s="14" t="str">
        <f>VLOOKUP($A475,PLAN!$B:$AC,4,0)</f>
        <v>2211902-E-A</v>
      </c>
      <c r="D475" s="14" t="str">
        <f>VLOOKUP($A475,PLAN!$B:$AC,5,0)</f>
        <v>HW70AL070P10002 KR</v>
      </c>
      <c r="E475" s="14" t="str">
        <f>VLOOKUP($A475,PLAN!$B:$AC,2,0)</f>
        <v>1001943077</v>
      </c>
      <c r="F475" s="15">
        <f>VLOOKUP($A475,PLAN!$B:$AC,7,0)</f>
        <v>46263</v>
      </c>
      <c r="G475" s="16" t="str">
        <f>VLOOKUP($A475,PLAN!$B:$AC,8,0)</f>
        <v>0103604061</v>
      </c>
      <c r="H475" s="16" t="str">
        <f>VLOOKUP($A475,PLAN!$B:$AC,9,0)</f>
        <v>260813C50A</v>
      </c>
      <c r="I475" s="16">
        <f>VLOOKUP($A475,PLAN!$B:$AC,10,0)</f>
        <v>10</v>
      </c>
      <c r="J475" s="17">
        <f>VLOOKUP($A475,PLAN!$B:$AC,21,0)</f>
        <v>46254</v>
      </c>
      <c r="K475" s="145" t="str">
        <f>VLOOKUP($A475,PLAN!$B:$AC,22,0)</f>
        <v>M9</v>
      </c>
      <c r="L475" s="1"/>
      <c r="M475" s="1"/>
      <c r="N475" s="1"/>
      <c r="O475" s="221" t="s">
        <v>79</v>
      </c>
      <c r="P475" s="220"/>
      <c r="Q475" s="18">
        <f>VLOOKUP(A475,PLAN!B:R,17,0)</f>
        <v>46253</v>
      </c>
    </row>
    <row r="476" spans="1:17" ht="17.25" hidden="1" customHeight="1">
      <c r="A476" s="329" t="s">
        <v>4635</v>
      </c>
      <c r="B476" s="14">
        <f>VLOOKUP($A476,PLAN!$B:$AC,3,0)</f>
        <v>11135490</v>
      </c>
      <c r="C476" s="14" t="str">
        <f>VLOOKUP($A476,PLAN!$B:$AC,4,0)</f>
        <v>2211841-E-A</v>
      </c>
      <c r="D476" s="14" t="str">
        <f>VLOOKUP($A476,PLAN!$B:$AC,5,0)</f>
        <v>HW60JL500P10000 KR</v>
      </c>
      <c r="E476" s="14" t="str">
        <f>VLOOKUP($A476,PLAN!$B:$AC,2,0)</f>
        <v>1001943078</v>
      </c>
      <c r="F476" s="15">
        <f>VLOOKUP($A476,PLAN!$B:$AC,7,0)</f>
        <v>46263</v>
      </c>
      <c r="G476" s="16" t="str">
        <f>VLOOKUP($A476,PLAN!$B:$AC,8,0)</f>
        <v>0103604062</v>
      </c>
      <c r="H476" s="16" t="str">
        <f>VLOOKUP($A476,PLAN!$B:$AC,9,0)</f>
        <v>260813C51A</v>
      </c>
      <c r="I476" s="16">
        <f>VLOOKUP($A476,PLAN!$B:$AC,10,0)</f>
        <v>14</v>
      </c>
      <c r="J476" s="17">
        <f>VLOOKUP($A476,PLAN!$B:$AC,21,0)</f>
        <v>46254</v>
      </c>
      <c r="K476" s="145" t="str">
        <f>VLOOKUP($A476,PLAN!$B:$AC,22,0)</f>
        <v>M9</v>
      </c>
      <c r="L476" s="1"/>
      <c r="M476" s="1"/>
      <c r="N476" s="1"/>
      <c r="O476" s="221" t="s">
        <v>79</v>
      </c>
      <c r="P476" s="220"/>
      <c r="Q476" s="18">
        <f>VLOOKUP(A476,PLAN!B:R,17,0)</f>
        <v>46253</v>
      </c>
    </row>
    <row r="477" spans="1:17" ht="17.25" hidden="1" customHeight="1">
      <c r="A477" s="329" t="s">
        <v>5121</v>
      </c>
      <c r="B477" s="14">
        <f>VLOOKUP($A477,PLAN!$B:$AC,3,0)</f>
        <v>11112470</v>
      </c>
      <c r="C477" s="14" t="str">
        <f>VLOOKUP($A477,PLAN!$B:$AC,4,0)</f>
        <v>PSC18110A-D-A</v>
      </c>
      <c r="D477" s="14" t="str">
        <f>VLOOKUP($A477,PLAN!$B:$AC,5,0)</f>
        <v>PSC18110A US</v>
      </c>
      <c r="E477" s="14" t="str">
        <f>VLOOKUP($A477,PLAN!$B:$AC,2,0)</f>
        <v>1001947841</v>
      </c>
      <c r="F477" s="15">
        <f>VLOOKUP($A477,PLAN!$B:$AC,7,0)</f>
        <v>46263</v>
      </c>
      <c r="G477" s="16" t="str">
        <f>VLOOKUP($A477,PLAN!$B:$AC,8,0)</f>
        <v>0103613253</v>
      </c>
      <c r="H477" s="16" t="str">
        <f>VLOOKUP($A477,PLAN!$B:$AC,9,0)</f>
        <v>260815K01A</v>
      </c>
      <c r="I477" s="16">
        <f>VLOOKUP($A477,PLAN!$B:$AC,10,0)</f>
        <v>10</v>
      </c>
      <c r="J477" s="17">
        <f>VLOOKUP($A477,PLAN!$B:$AC,21,0)</f>
        <v>46258</v>
      </c>
      <c r="K477" s="145" t="str">
        <f>VLOOKUP($A477,PLAN!$B:$AC,22,0)</f>
        <v>M8</v>
      </c>
      <c r="L477" s="1"/>
      <c r="M477" s="1"/>
      <c r="N477" s="1"/>
      <c r="O477" s="221" t="s">
        <v>79</v>
      </c>
      <c r="P477" s="220"/>
      <c r="Q477" s="18">
        <f>VLOOKUP(A477,PLAN!B:R,17,0)</f>
        <v>46255</v>
      </c>
    </row>
    <row r="478" spans="1:17" ht="17.25" hidden="1" customHeight="1">
      <c r="A478" s="329" t="s">
        <v>5122</v>
      </c>
      <c r="B478" s="14">
        <f>VLOOKUP($A478,PLAN!$B:$AC,3,0)</f>
        <v>11112473</v>
      </c>
      <c r="C478" s="14" t="str">
        <f>VLOOKUP($A478,PLAN!$B:$AC,4,0)</f>
        <v>PSC18170A-D-A</v>
      </c>
      <c r="D478" s="14" t="str">
        <f>VLOOKUP($A478,PLAN!$B:$AC,5,0)</f>
        <v>PSC18170A US</v>
      </c>
      <c r="E478" s="14" t="str">
        <f>VLOOKUP($A478,PLAN!$B:$AC,2,0)</f>
        <v>1001947842</v>
      </c>
      <c r="F478" s="15">
        <f>VLOOKUP($A478,PLAN!$B:$AC,7,0)</f>
        <v>46263</v>
      </c>
      <c r="G478" s="16" t="str">
        <f>VLOOKUP($A478,PLAN!$B:$AC,8,0)</f>
        <v>0103613254</v>
      </c>
      <c r="H478" s="16" t="str">
        <f>VLOOKUP($A478,PLAN!$B:$AC,9,0)</f>
        <v>260815K02A</v>
      </c>
      <c r="I478" s="16">
        <f>VLOOKUP($A478,PLAN!$B:$AC,10,0)</f>
        <v>15</v>
      </c>
      <c r="J478" s="17">
        <f>VLOOKUP($A478,PLAN!$B:$AC,21,0)</f>
        <v>46258</v>
      </c>
      <c r="K478" s="145" t="str">
        <f>VLOOKUP($A478,PLAN!$B:$AC,22,0)</f>
        <v>M8</v>
      </c>
      <c r="L478" s="1"/>
      <c r="M478" s="1"/>
      <c r="N478" s="1"/>
      <c r="O478" s="221" t="s">
        <v>79</v>
      </c>
      <c r="P478" s="220"/>
      <c r="Q478" s="18">
        <f>VLOOKUP(A478,PLAN!B:R,17,0)</f>
        <v>46255</v>
      </c>
    </row>
    <row r="479" spans="1:17" ht="17.25" hidden="1" customHeight="1">
      <c r="A479" s="329" t="s">
        <v>5123</v>
      </c>
      <c r="B479" s="14">
        <f>VLOOKUP($A479,PLAN!$B:$AC,3,0)</f>
        <v>11134402</v>
      </c>
      <c r="C479" s="14" t="str">
        <f>VLOOKUP($A479,PLAN!$B:$AC,4,0)</f>
        <v>1941103-C-A</v>
      </c>
      <c r="D479" s="14" t="str">
        <f>VLOOKUP($A479,PLAN!$B:$AC,5,0)</f>
        <v>CRV150-19P US2</v>
      </c>
      <c r="E479" s="14" t="str">
        <f>VLOOKUP($A479,PLAN!$B:$AC,2,0)</f>
        <v>1001947843</v>
      </c>
      <c r="F479" s="15">
        <f>VLOOKUP($A479,PLAN!$B:$AC,7,0)</f>
        <v>46263</v>
      </c>
      <c r="G479" s="16" t="str">
        <f>VLOOKUP($A479,PLAN!$B:$AC,8,0)</f>
        <v>0103613255</v>
      </c>
      <c r="H479" s="16" t="str">
        <f>VLOOKUP($A479,PLAN!$B:$AC,9,0)</f>
        <v>260815K03A</v>
      </c>
      <c r="I479" s="16">
        <f>VLOOKUP($A479,PLAN!$B:$AC,10,0)</f>
        <v>268</v>
      </c>
      <c r="J479" s="17">
        <f>VLOOKUP($A479,PLAN!$B:$AC,21,0)</f>
        <v>46258</v>
      </c>
      <c r="K479" s="145" t="str">
        <f>VLOOKUP($A479,PLAN!$B:$AC,22,0)</f>
        <v>M8</v>
      </c>
      <c r="L479" s="1"/>
      <c r="M479" s="1"/>
      <c r="N479" s="1"/>
      <c r="O479" s="221" t="s">
        <v>79</v>
      </c>
      <c r="P479" s="220"/>
      <c r="Q479" s="18">
        <f>VLOOKUP(A479,PLAN!B:R,17,0)</f>
        <v>46255</v>
      </c>
    </row>
    <row r="480" spans="1:17" ht="17.25" hidden="1" customHeight="1">
      <c r="A480" s="329" t="s">
        <v>5124</v>
      </c>
      <c r="B480" s="14">
        <f>VLOOKUP($A480,PLAN!$B:$AC,3,0)</f>
        <v>11134402</v>
      </c>
      <c r="C480" s="14" t="str">
        <f>VLOOKUP($A480,PLAN!$B:$AC,4,0)</f>
        <v>1941103-C-A</v>
      </c>
      <c r="D480" s="14" t="str">
        <f>VLOOKUP($A480,PLAN!$B:$AC,5,0)</f>
        <v>CRV150-19P US2</v>
      </c>
      <c r="E480" s="14" t="str">
        <f>VLOOKUP($A480,PLAN!$B:$AC,2,0)</f>
        <v>1001947844</v>
      </c>
      <c r="F480" s="15">
        <f>VLOOKUP($A480,PLAN!$B:$AC,7,0)</f>
        <v>46263</v>
      </c>
      <c r="G480" s="16" t="str">
        <f>VLOOKUP($A480,PLAN!$B:$AC,8,0)</f>
        <v>0103613256</v>
      </c>
      <c r="H480" s="16" t="str">
        <f>VLOOKUP($A480,PLAN!$B:$AC,9,0)</f>
        <v>260815K04A</v>
      </c>
      <c r="I480" s="16">
        <f>VLOOKUP($A480,PLAN!$B:$AC,10,0)</f>
        <v>90</v>
      </c>
      <c r="J480" s="17">
        <f>VLOOKUP($A480,PLAN!$B:$AC,21,0)</f>
        <v>46258</v>
      </c>
      <c r="K480" s="145" t="str">
        <f>VLOOKUP($A480,PLAN!$B:$AC,22,0)</f>
        <v>M8</v>
      </c>
      <c r="L480" s="1"/>
      <c r="M480" s="1"/>
      <c r="N480" s="1"/>
      <c r="O480" s="221" t="s">
        <v>79</v>
      </c>
      <c r="P480" s="220"/>
      <c r="Q480" s="18">
        <f>VLOOKUP(A480,PLAN!B:R,17,0)</f>
        <v>46255</v>
      </c>
    </row>
    <row r="481" spans="1:17" ht="17.25" hidden="1" customHeight="1">
      <c r="A481" s="329" t="s">
        <v>5193</v>
      </c>
      <c r="B481" s="14">
        <f>VLOOKUP($A481,PLAN!$B:$AC,3,0)</f>
        <v>11122087</v>
      </c>
      <c r="C481" s="14" t="str">
        <f>VLOOKUP($A481,PLAN!$B:$AC,4,0)</f>
        <v>2341003-B-A</v>
      </c>
      <c r="D481" s="14" t="str">
        <f>VLOOKUP($A481,PLAN!$B:$AC,5,0)</f>
        <v>CRV135-19P CE3</v>
      </c>
      <c r="E481" s="14" t="str">
        <f>VLOOKUP($A481,PLAN!$B:$AC,2,0)</f>
        <v>1001947845</v>
      </c>
      <c r="F481" s="15">
        <f>VLOOKUP($A481,PLAN!$B:$AC,7,0)</f>
        <v>46269</v>
      </c>
      <c r="G481" s="16" t="str">
        <f>VLOOKUP($A481,PLAN!$B:$AC,8,0)</f>
        <v>0103613257</v>
      </c>
      <c r="H481" s="16" t="str">
        <f>VLOOKUP($A481,PLAN!$B:$AC,9,0)</f>
        <v>260815K05A</v>
      </c>
      <c r="I481" s="16">
        <f>VLOOKUP($A481,PLAN!$B:$AC,10,0)</f>
        <v>32</v>
      </c>
      <c r="J481" s="17">
        <f>VLOOKUP($A481,PLAN!$B:$AC,21,0)</f>
        <v>46258</v>
      </c>
      <c r="K481" s="145" t="str">
        <f>VLOOKUP($A481,PLAN!$B:$AC,22,0)</f>
        <v>M8</v>
      </c>
      <c r="L481" s="1"/>
      <c r="M481" s="1"/>
      <c r="N481" s="1"/>
      <c r="O481" s="221" t="s">
        <v>79</v>
      </c>
      <c r="P481" s="220"/>
      <c r="Q481" s="18">
        <f>VLOOKUP(A481,PLAN!B:R,17,0)</f>
        <v>46255</v>
      </c>
    </row>
    <row r="482" spans="1:17" ht="17.25" hidden="1" customHeight="1">
      <c r="A482" s="329" t="s">
        <v>5194</v>
      </c>
      <c r="B482" s="14">
        <f>VLOOKUP($A482,PLAN!$B:$AC,3,0)</f>
        <v>11122088</v>
      </c>
      <c r="C482" s="14" t="str">
        <f>VLOOKUP($A482,PLAN!$B:$AC,4,0)</f>
        <v>2341004-B-A</v>
      </c>
      <c r="D482" s="14" t="str">
        <f>VLOOKUP($A482,PLAN!$B:$AC,5,0)</f>
        <v>CRV150-19P CE3</v>
      </c>
      <c r="E482" s="14" t="str">
        <f>VLOOKUP($A482,PLAN!$B:$AC,2,0)</f>
        <v>1001947846</v>
      </c>
      <c r="F482" s="15">
        <f>VLOOKUP($A482,PLAN!$B:$AC,7,0)</f>
        <v>46269</v>
      </c>
      <c r="G482" s="16" t="str">
        <f>VLOOKUP($A482,PLAN!$B:$AC,8,0)</f>
        <v>0103613258</v>
      </c>
      <c r="H482" s="16" t="str">
        <f>VLOOKUP($A482,PLAN!$B:$AC,9,0)</f>
        <v>260815K06A</v>
      </c>
      <c r="I482" s="16">
        <f>VLOOKUP($A482,PLAN!$B:$AC,10,0)</f>
        <v>35</v>
      </c>
      <c r="J482" s="17">
        <f>VLOOKUP($A482,PLAN!$B:$AC,21,0)</f>
        <v>46258</v>
      </c>
      <c r="K482" s="145" t="str">
        <f>VLOOKUP($A482,PLAN!$B:$AC,22,0)</f>
        <v>M8</v>
      </c>
      <c r="L482" s="1"/>
      <c r="M482" s="1"/>
      <c r="N482" s="1"/>
      <c r="O482" s="221" t="s">
        <v>79</v>
      </c>
      <c r="P482" s="220"/>
      <c r="Q482" s="18">
        <f>VLOOKUP(A482,PLAN!B:R,17,0)</f>
        <v>46255</v>
      </c>
    </row>
    <row r="483" spans="1:17" ht="17.25" hidden="1" customHeight="1">
      <c r="A483" s="329" t="s">
        <v>5195</v>
      </c>
      <c r="B483" s="14">
        <f>VLOOKUP($A483,PLAN!$B:$AC,3,0)</f>
        <v>11122088</v>
      </c>
      <c r="C483" s="14" t="str">
        <f>VLOOKUP($A483,PLAN!$B:$AC,4,0)</f>
        <v>2341004-B-A</v>
      </c>
      <c r="D483" s="14" t="str">
        <f>VLOOKUP($A483,PLAN!$B:$AC,5,0)</f>
        <v>CRV150-19P CE3</v>
      </c>
      <c r="E483" s="14" t="str">
        <f>VLOOKUP($A483,PLAN!$B:$AC,2,0)</f>
        <v>1001947847</v>
      </c>
      <c r="F483" s="15">
        <f>VLOOKUP($A483,PLAN!$B:$AC,7,0)</f>
        <v>46269</v>
      </c>
      <c r="G483" s="16" t="str">
        <f>VLOOKUP($A483,PLAN!$B:$AC,8,0)</f>
        <v>0103613259</v>
      </c>
      <c r="H483" s="16" t="str">
        <f>VLOOKUP($A483,PLAN!$B:$AC,9,0)</f>
        <v>260815K07A</v>
      </c>
      <c r="I483" s="16">
        <f>VLOOKUP($A483,PLAN!$B:$AC,10,0)</f>
        <v>105</v>
      </c>
      <c r="J483" s="17">
        <f>VLOOKUP($A483,PLAN!$B:$AC,21,0)</f>
        <v>46258</v>
      </c>
      <c r="K483" s="145" t="str">
        <f>VLOOKUP($A483,PLAN!$B:$AC,22,0)</f>
        <v>M8</v>
      </c>
      <c r="L483" s="1"/>
      <c r="M483" s="1"/>
      <c r="N483" s="1"/>
      <c r="O483" s="221" t="s">
        <v>79</v>
      </c>
      <c r="P483" s="220"/>
      <c r="Q483" s="18">
        <f>VLOOKUP(A483,PLAN!B:R,17,0)</f>
        <v>46255</v>
      </c>
    </row>
    <row r="484" spans="1:17" ht="17.25" hidden="1" customHeight="1">
      <c r="A484" s="329" t="s">
        <v>5196</v>
      </c>
      <c r="B484" s="14">
        <f>VLOOKUP($A484,PLAN!$B:$AC,3,0)</f>
        <v>11122087</v>
      </c>
      <c r="C484" s="14" t="str">
        <f>VLOOKUP($A484,PLAN!$B:$AC,4,0)</f>
        <v>2341003-B-A</v>
      </c>
      <c r="D484" s="14" t="str">
        <f>VLOOKUP($A484,PLAN!$B:$AC,5,0)</f>
        <v>CRV135-19P CE3</v>
      </c>
      <c r="E484" s="14" t="str">
        <f>VLOOKUP($A484,PLAN!$B:$AC,2,0)</f>
        <v>1001947848</v>
      </c>
      <c r="F484" s="15">
        <f>VLOOKUP($A484,PLAN!$B:$AC,7,0)</f>
        <v>46269</v>
      </c>
      <c r="G484" s="16" t="str">
        <f>VLOOKUP($A484,PLAN!$B:$AC,8,0)</f>
        <v>0103613260</v>
      </c>
      <c r="H484" s="16" t="str">
        <f>VLOOKUP($A484,PLAN!$B:$AC,9,0)</f>
        <v>260815K08A</v>
      </c>
      <c r="I484" s="16">
        <f>VLOOKUP($A484,PLAN!$B:$AC,10,0)</f>
        <v>175</v>
      </c>
      <c r="J484" s="17">
        <f>VLOOKUP($A484,PLAN!$B:$AC,21,0)</f>
        <v>46258</v>
      </c>
      <c r="K484" s="145" t="str">
        <f>VLOOKUP($A484,PLAN!$B:$AC,22,0)</f>
        <v>M8</v>
      </c>
      <c r="L484" s="1"/>
      <c r="M484" s="1"/>
      <c r="N484" s="1"/>
      <c r="O484" s="221" t="s">
        <v>79</v>
      </c>
      <c r="P484" s="220"/>
      <c r="Q484" s="18">
        <f>VLOOKUP(A484,PLAN!B:R,17,0)</f>
        <v>46255</v>
      </c>
    </row>
    <row r="485" spans="1:17" ht="17.25" hidden="1" customHeight="1">
      <c r="A485" s="329" t="s">
        <v>5197</v>
      </c>
      <c r="B485" s="14">
        <f>VLOOKUP($A485,PLAN!$B:$AC,3,0)</f>
        <v>11134247</v>
      </c>
      <c r="C485" s="14" t="str">
        <f>VLOOKUP($A485,PLAN!$B:$AC,4,0)</f>
        <v>2141050-D-A</v>
      </c>
      <c r="D485" s="14" t="str">
        <f>VLOOKUP($A485,PLAN!$B:$AC,5,0)</f>
        <v>CRV150-19P CN</v>
      </c>
      <c r="E485" s="14" t="str">
        <f>VLOOKUP($A485,PLAN!$B:$AC,2,0)</f>
        <v>1001947849</v>
      </c>
      <c r="F485" s="15">
        <f>VLOOKUP($A485,PLAN!$B:$AC,7,0)</f>
        <v>46272</v>
      </c>
      <c r="G485" s="16" t="str">
        <f>VLOOKUP($A485,PLAN!$B:$AC,8,0)</f>
        <v>0103613261</v>
      </c>
      <c r="H485" s="16" t="str">
        <f>VLOOKUP($A485,PLAN!$B:$AC,9,0)</f>
        <v>260815K09A</v>
      </c>
      <c r="I485" s="16">
        <f>VLOOKUP($A485,PLAN!$B:$AC,10,0)</f>
        <v>15</v>
      </c>
      <c r="J485" s="17">
        <f>VLOOKUP($A485,PLAN!$B:$AC,21,0)</f>
        <v>46258</v>
      </c>
      <c r="K485" s="145" t="str">
        <f>VLOOKUP($A485,PLAN!$B:$AC,22,0)</f>
        <v>M8</v>
      </c>
      <c r="L485" s="1"/>
      <c r="M485" s="1"/>
      <c r="N485" s="1"/>
      <c r="O485" s="221" t="s">
        <v>79</v>
      </c>
      <c r="P485" s="220"/>
      <c r="Q485" s="18">
        <f>VLOOKUP(A485,PLAN!B:R,17,0)</f>
        <v>46255</v>
      </c>
    </row>
    <row r="486" spans="1:17" ht="17.25" hidden="1" customHeight="1">
      <c r="A486" s="329" t="s">
        <v>5198</v>
      </c>
      <c r="B486" s="14">
        <f>VLOOKUP($A486,PLAN!$B:$AC,3,0)</f>
        <v>11134246</v>
      </c>
      <c r="C486" s="14" t="str">
        <f>VLOOKUP($A486,PLAN!$B:$AC,4,0)</f>
        <v>2141049-D-A</v>
      </c>
      <c r="D486" s="14" t="str">
        <f>VLOOKUP($A486,PLAN!$B:$AC,5,0)</f>
        <v>CRV135-19P CN</v>
      </c>
      <c r="E486" s="14" t="str">
        <f>VLOOKUP($A486,PLAN!$B:$AC,2,0)</f>
        <v>1001947850</v>
      </c>
      <c r="F486" s="15">
        <f>VLOOKUP($A486,PLAN!$B:$AC,7,0)</f>
        <v>46272</v>
      </c>
      <c r="G486" s="16" t="str">
        <f>VLOOKUP($A486,PLAN!$B:$AC,8,0)</f>
        <v>0103613262</v>
      </c>
      <c r="H486" s="16" t="str">
        <f>VLOOKUP($A486,PLAN!$B:$AC,9,0)</f>
        <v>260815K10A</v>
      </c>
      <c r="I486" s="16">
        <f>VLOOKUP($A486,PLAN!$B:$AC,10,0)</f>
        <v>103</v>
      </c>
      <c r="J486" s="17">
        <f>VLOOKUP($A486,PLAN!$B:$AC,21,0)</f>
        <v>46258</v>
      </c>
      <c r="K486" s="145" t="str">
        <f>VLOOKUP($A486,PLAN!$B:$AC,22,0)</f>
        <v>M8</v>
      </c>
      <c r="L486" s="1"/>
      <c r="M486" s="1"/>
      <c r="N486" s="1"/>
      <c r="O486" s="221" t="s">
        <v>79</v>
      </c>
      <c r="P486" s="220"/>
      <c r="Q486" s="18">
        <f>VLOOKUP(A486,PLAN!B:R,17,0)</f>
        <v>46255</v>
      </c>
    </row>
    <row r="487" spans="1:17" ht="17.25" hidden="1" customHeight="1">
      <c r="A487" s="329" t="s">
        <v>5199</v>
      </c>
      <c r="B487" s="14">
        <f>VLOOKUP($A487,PLAN!$B:$AC,3,0)</f>
        <v>11134249</v>
      </c>
      <c r="C487" s="14" t="str">
        <f>VLOOKUP($A487,PLAN!$B:$AC,4,0)</f>
        <v>2041190-D-A</v>
      </c>
      <c r="D487" s="14" t="str">
        <f>VLOOKUP($A487,PLAN!$B:$AC,5,0)</f>
        <v>CSR150-26P CN</v>
      </c>
      <c r="E487" s="14" t="str">
        <f>VLOOKUP($A487,PLAN!$B:$AC,2,0)</f>
        <v>1001947851</v>
      </c>
      <c r="F487" s="15">
        <f>VLOOKUP($A487,PLAN!$B:$AC,7,0)</f>
        <v>46272</v>
      </c>
      <c r="G487" s="16" t="str">
        <f>VLOOKUP($A487,PLAN!$B:$AC,8,0)</f>
        <v>0103613263</v>
      </c>
      <c r="H487" s="16" t="str">
        <f>VLOOKUP($A487,PLAN!$B:$AC,9,0)</f>
        <v>260815K11A</v>
      </c>
      <c r="I487" s="16">
        <f>VLOOKUP($A487,PLAN!$B:$AC,10,0)</f>
        <v>30</v>
      </c>
      <c r="J487" s="17">
        <f>VLOOKUP($A487,PLAN!$B:$AC,21,0)</f>
        <v>46258</v>
      </c>
      <c r="K487" s="145" t="str">
        <f>VLOOKUP($A487,PLAN!$B:$AC,22,0)</f>
        <v>M8</v>
      </c>
      <c r="L487" s="1"/>
      <c r="M487" s="1"/>
      <c r="N487" s="1"/>
      <c r="O487" s="221" t="s">
        <v>79</v>
      </c>
      <c r="P487" s="220"/>
      <c r="Q487" s="18">
        <f>VLOOKUP(A487,PLAN!B:R,17,0)</f>
        <v>46255</v>
      </c>
    </row>
    <row r="488" spans="1:17" ht="17.25" hidden="1" customHeight="1">
      <c r="A488" s="329" t="s">
        <v>5200</v>
      </c>
      <c r="B488" s="14">
        <f>VLOOKUP($A488,PLAN!$B:$AC,3,0)</f>
        <v>11134248</v>
      </c>
      <c r="C488" s="14" t="str">
        <f>VLOOKUP($A488,PLAN!$B:$AC,4,0)</f>
        <v>2041189-D-A</v>
      </c>
      <c r="D488" s="14" t="str">
        <f>VLOOKUP($A488,PLAN!$B:$AC,5,0)</f>
        <v>CSR135-26P CN</v>
      </c>
      <c r="E488" s="14" t="str">
        <f>VLOOKUP($A488,PLAN!$B:$AC,2,0)</f>
        <v>1001947852</v>
      </c>
      <c r="F488" s="15">
        <f>VLOOKUP($A488,PLAN!$B:$AC,7,0)</f>
        <v>46272</v>
      </c>
      <c r="G488" s="16" t="str">
        <f>VLOOKUP($A488,PLAN!$B:$AC,8,0)</f>
        <v>0103613264</v>
      </c>
      <c r="H488" s="16" t="str">
        <f>VLOOKUP($A488,PLAN!$B:$AC,9,0)</f>
        <v>260815K12A</v>
      </c>
      <c r="I488" s="16">
        <f>VLOOKUP($A488,PLAN!$B:$AC,10,0)</f>
        <v>276</v>
      </c>
      <c r="J488" s="17">
        <f>VLOOKUP($A488,PLAN!$B:$AC,21,0)</f>
        <v>46258</v>
      </c>
      <c r="K488" s="145" t="str">
        <f>VLOOKUP($A488,PLAN!$B:$AC,22,0)</f>
        <v>M8</v>
      </c>
      <c r="L488" s="1"/>
      <c r="M488" s="1"/>
      <c r="N488" s="1"/>
      <c r="O488" s="221" t="s">
        <v>79</v>
      </c>
      <c r="P488" s="220"/>
      <c r="Q488" s="18">
        <f>VLOOKUP(A488,PLAN!B:R,17,0)</f>
        <v>46255</v>
      </c>
    </row>
    <row r="489" spans="1:17" ht="17.25" hidden="1" customHeight="1">
      <c r="A489" s="329" t="s">
        <v>5125</v>
      </c>
      <c r="B489" s="14">
        <f>VLOOKUP($A489,PLAN!$B:$AC,3,0)</f>
        <v>11131302</v>
      </c>
      <c r="C489" s="14" t="str">
        <f>VLOOKUP($A489,PLAN!$B:$AC,4,0)</f>
        <v>2211219-E-A</v>
      </c>
      <c r="D489" s="14" t="str">
        <f>VLOOKUP($A489,PLAN!$B:$AC,5,0)</f>
        <v>HW70SP300P10000 NOCE</v>
      </c>
      <c r="E489" s="14" t="str">
        <f>VLOOKUP($A489,PLAN!$B:$AC,2,0)</f>
        <v>1001947776</v>
      </c>
      <c r="F489" s="15">
        <f>VLOOKUP($A489,PLAN!$B:$AC,7,0)</f>
        <v>46263</v>
      </c>
      <c r="G489" s="16" t="str">
        <f>VLOOKUP($A489,PLAN!$B:$AC,8,0)</f>
        <v>0103613187</v>
      </c>
      <c r="H489" s="16" t="str">
        <f>VLOOKUP($A489,PLAN!$B:$AC,9,0)</f>
        <v>260815C01A</v>
      </c>
      <c r="I489" s="16">
        <f>VLOOKUP($A489,PLAN!$B:$AC,10,0)</f>
        <v>10</v>
      </c>
      <c r="J489" s="17">
        <f>VLOOKUP($A489,PLAN!$B:$AC,21,0)</f>
        <v>46258</v>
      </c>
      <c r="K489" s="145" t="str">
        <f>VLOOKUP($A489,PLAN!$B:$AC,22,0)</f>
        <v>M9</v>
      </c>
      <c r="L489" s="1"/>
      <c r="M489" s="1"/>
      <c r="N489" s="1"/>
      <c r="O489" s="221" t="s">
        <v>79</v>
      </c>
      <c r="P489" s="220"/>
      <c r="Q489" s="18">
        <f>VLOOKUP(A489,PLAN!B:R,17,0)</f>
        <v>46255</v>
      </c>
    </row>
    <row r="490" spans="1:17" ht="17.25" hidden="1" customHeight="1">
      <c r="A490" s="329" t="s">
        <v>5126</v>
      </c>
      <c r="B490" s="14">
        <f>VLOOKUP($A490,PLAN!$B:$AC,3,0)</f>
        <v>11134302</v>
      </c>
      <c r="C490" s="14" t="str">
        <f>VLOOKUP($A490,PLAN!$B:$AC,4,0)</f>
        <v>1911313-E-A</v>
      </c>
      <c r="D490" s="14" t="str">
        <f>VLOOKUP($A490,PLAN!$B:$AC,5,0)</f>
        <v>HJ80PB402P10000 JP</v>
      </c>
      <c r="E490" s="14" t="str">
        <f>VLOOKUP($A490,PLAN!$B:$AC,2,0)</f>
        <v>1001947777</v>
      </c>
      <c r="F490" s="15">
        <f>VLOOKUP($A490,PLAN!$B:$AC,7,0)</f>
        <v>46263</v>
      </c>
      <c r="G490" s="16" t="str">
        <f>VLOOKUP($A490,PLAN!$B:$AC,8,0)</f>
        <v>0103613188</v>
      </c>
      <c r="H490" s="16" t="str">
        <f>VLOOKUP($A490,PLAN!$B:$AC,9,0)</f>
        <v>260815C02A</v>
      </c>
      <c r="I490" s="16">
        <f>VLOOKUP($A490,PLAN!$B:$AC,10,0)</f>
        <v>1</v>
      </c>
      <c r="J490" s="17">
        <f>VLOOKUP($A490,PLAN!$B:$AC,21,0)</f>
        <v>46258</v>
      </c>
      <c r="K490" s="145" t="str">
        <f>VLOOKUP($A490,PLAN!$B:$AC,22,0)</f>
        <v>M9</v>
      </c>
      <c r="L490" s="1"/>
      <c r="M490" s="1"/>
      <c r="N490" s="1"/>
      <c r="O490" s="221" t="s">
        <v>79</v>
      </c>
      <c r="P490" s="220"/>
      <c r="Q490" s="18">
        <f>VLOOKUP(A490,PLAN!B:R,17,0)</f>
        <v>46255</v>
      </c>
    </row>
    <row r="491" spans="1:17" ht="17.25" hidden="1" customHeight="1">
      <c r="A491" s="329" t="s">
        <v>5127</v>
      </c>
      <c r="B491" s="14">
        <f>VLOOKUP($A491,PLAN!$B:$AC,3,0)</f>
        <v>11134304</v>
      </c>
      <c r="C491" s="14" t="str">
        <f>VLOOKUP($A491,PLAN!$B:$AC,4,0)</f>
        <v>1911343-E-A</v>
      </c>
      <c r="D491" s="14" t="str">
        <f>VLOOKUP($A491,PLAN!$B:$AC,5,0)</f>
        <v>HJ80SP300P10000 JP</v>
      </c>
      <c r="E491" s="14" t="str">
        <f>VLOOKUP($A491,PLAN!$B:$AC,2,0)</f>
        <v>1001947778</v>
      </c>
      <c r="F491" s="15">
        <f>VLOOKUP($A491,PLAN!$B:$AC,7,0)</f>
        <v>46263</v>
      </c>
      <c r="G491" s="16" t="str">
        <f>VLOOKUP($A491,PLAN!$B:$AC,8,0)</f>
        <v>0103613189</v>
      </c>
      <c r="H491" s="16" t="str">
        <f>VLOOKUP($A491,PLAN!$B:$AC,9,0)</f>
        <v>260815C03A</v>
      </c>
      <c r="I491" s="16">
        <f>VLOOKUP($A491,PLAN!$B:$AC,10,0)</f>
        <v>2</v>
      </c>
      <c r="J491" s="17">
        <f>VLOOKUP($A491,PLAN!$B:$AC,21,0)</f>
        <v>46258</v>
      </c>
      <c r="K491" s="145" t="str">
        <f>VLOOKUP($A491,PLAN!$B:$AC,22,0)</f>
        <v>M9</v>
      </c>
      <c r="L491" s="1"/>
      <c r="M491" s="1"/>
      <c r="N491" s="1"/>
      <c r="O491" s="221" t="s">
        <v>79</v>
      </c>
      <c r="P491" s="220"/>
      <c r="Q491" s="18">
        <f>VLOOKUP(A491,PLAN!B:R,17,0)</f>
        <v>46255</v>
      </c>
    </row>
    <row r="492" spans="1:17" ht="17.25" hidden="1" customHeight="1">
      <c r="A492" s="329" t="s">
        <v>5128</v>
      </c>
      <c r="B492" s="14">
        <f>VLOOKUP($A492,PLAN!$B:$AC,3,0)</f>
        <v>11134315</v>
      </c>
      <c r="C492" s="14" t="str">
        <f>VLOOKUP($A492,PLAN!$B:$AC,4,0)</f>
        <v>1911354-E-A</v>
      </c>
      <c r="D492" s="14" t="str">
        <f>VLOOKUP($A492,PLAN!$B:$AC,5,0)</f>
        <v>HJ80SP402P09000 JP</v>
      </c>
      <c r="E492" s="14" t="str">
        <f>VLOOKUP($A492,PLAN!$B:$AC,2,0)</f>
        <v>1001947779</v>
      </c>
      <c r="F492" s="15">
        <f>VLOOKUP($A492,PLAN!$B:$AC,7,0)</f>
        <v>46263</v>
      </c>
      <c r="G492" s="16" t="str">
        <f>VLOOKUP($A492,PLAN!$B:$AC,8,0)</f>
        <v>0103613190</v>
      </c>
      <c r="H492" s="16" t="str">
        <f>VLOOKUP($A492,PLAN!$B:$AC,9,0)</f>
        <v>260815C04A</v>
      </c>
      <c r="I492" s="16">
        <f>VLOOKUP($A492,PLAN!$B:$AC,10,0)</f>
        <v>2</v>
      </c>
      <c r="J492" s="17">
        <f>VLOOKUP($A492,PLAN!$B:$AC,21,0)</f>
        <v>46258</v>
      </c>
      <c r="K492" s="145" t="str">
        <f>VLOOKUP($A492,PLAN!$B:$AC,22,0)</f>
        <v>M9</v>
      </c>
      <c r="L492" s="1"/>
      <c r="M492" s="1"/>
      <c r="N492" s="1"/>
      <c r="O492" s="221" t="s">
        <v>79</v>
      </c>
      <c r="P492" s="220"/>
      <c r="Q492" s="18">
        <f>VLOOKUP(A492,PLAN!B:R,17,0)</f>
        <v>46255</v>
      </c>
    </row>
    <row r="493" spans="1:17" ht="17.25" hidden="1" customHeight="1">
      <c r="A493" s="329" t="s">
        <v>5129</v>
      </c>
      <c r="B493" s="14">
        <f>VLOOKUP($A493,PLAN!$B:$AC,3,0)</f>
        <v>11134278</v>
      </c>
      <c r="C493" s="14" t="str">
        <f>VLOOKUP($A493,PLAN!$B:$AC,4,0)</f>
        <v>1911221-E-A</v>
      </c>
      <c r="D493" s="14" t="str">
        <f>VLOOKUP($A493,PLAN!$B:$AC,5,0)</f>
        <v>HJ70SP300P10000 JP</v>
      </c>
      <c r="E493" s="14" t="str">
        <f>VLOOKUP($A493,PLAN!$B:$AC,2,0)</f>
        <v>1001947780</v>
      </c>
      <c r="F493" s="15">
        <f>VLOOKUP($A493,PLAN!$B:$AC,7,0)</f>
        <v>46263</v>
      </c>
      <c r="G493" s="16" t="str">
        <f>VLOOKUP($A493,PLAN!$B:$AC,8,0)</f>
        <v>0103613191</v>
      </c>
      <c r="H493" s="16" t="str">
        <f>VLOOKUP($A493,PLAN!$B:$AC,9,0)</f>
        <v>260815C05A</v>
      </c>
      <c r="I493" s="16">
        <f>VLOOKUP($A493,PLAN!$B:$AC,10,0)</f>
        <v>4</v>
      </c>
      <c r="J493" s="17">
        <f>VLOOKUP($A493,PLAN!$B:$AC,21,0)</f>
        <v>46258</v>
      </c>
      <c r="K493" s="145" t="str">
        <f>VLOOKUP($A493,PLAN!$B:$AC,22,0)</f>
        <v>M9</v>
      </c>
      <c r="L493" s="1"/>
      <c r="M493" s="1"/>
      <c r="N493" s="1"/>
      <c r="O493" s="221" t="s">
        <v>79</v>
      </c>
      <c r="P493" s="220"/>
      <c r="Q493" s="18">
        <f>VLOOKUP(A493,PLAN!B:R,17,0)</f>
        <v>46255</v>
      </c>
    </row>
    <row r="494" spans="1:17" ht="17.25" hidden="1" customHeight="1">
      <c r="A494" s="329" t="s">
        <v>5130</v>
      </c>
      <c r="B494" s="14">
        <f>VLOOKUP($A494,PLAN!$B:$AC,3,0)</f>
        <v>11134259</v>
      </c>
      <c r="C494" s="14" t="str">
        <f>VLOOKUP($A494,PLAN!$B:$AC,4,0)</f>
        <v>1911096-E-A</v>
      </c>
      <c r="D494" s="14" t="str">
        <f>VLOOKUP($A494,PLAN!$B:$AC,5,0)</f>
        <v>HJ60SP322P10020 JP</v>
      </c>
      <c r="E494" s="14" t="str">
        <f>VLOOKUP($A494,PLAN!$B:$AC,2,0)</f>
        <v>1001947781</v>
      </c>
      <c r="F494" s="15">
        <f>VLOOKUP($A494,PLAN!$B:$AC,7,0)</f>
        <v>46263</v>
      </c>
      <c r="G494" s="16" t="str">
        <f>VLOOKUP($A494,PLAN!$B:$AC,8,0)</f>
        <v>0103613192</v>
      </c>
      <c r="H494" s="16" t="str">
        <f>VLOOKUP($A494,PLAN!$B:$AC,9,0)</f>
        <v>260815C06A</v>
      </c>
      <c r="I494" s="16">
        <f>VLOOKUP($A494,PLAN!$B:$AC,10,0)</f>
        <v>5</v>
      </c>
      <c r="J494" s="17">
        <f>VLOOKUP($A494,PLAN!$B:$AC,21,0)</f>
        <v>46258</v>
      </c>
      <c r="K494" s="145" t="str">
        <f>VLOOKUP($A494,PLAN!$B:$AC,22,0)</f>
        <v>M9</v>
      </c>
      <c r="L494" s="1"/>
      <c r="M494" s="1"/>
      <c r="N494" s="1"/>
      <c r="O494" s="221" t="s">
        <v>79</v>
      </c>
      <c r="P494" s="220"/>
      <c r="Q494" s="18">
        <f>VLOOKUP(A494,PLAN!B:R,17,0)</f>
        <v>46255</v>
      </c>
    </row>
    <row r="495" spans="1:17" ht="17.25" hidden="1" customHeight="1">
      <c r="A495" s="329" t="s">
        <v>5131</v>
      </c>
      <c r="B495" s="14">
        <f>VLOOKUP($A495,PLAN!$B:$AC,3,0)</f>
        <v>11134313</v>
      </c>
      <c r="C495" s="14" t="str">
        <f>VLOOKUP($A495,PLAN!$B:$AC,4,0)</f>
        <v>1911352-E-A</v>
      </c>
      <c r="D495" s="14" t="str">
        <f>VLOOKUP($A495,PLAN!$B:$AC,5,0)</f>
        <v>HJ80SP400P10000 JP</v>
      </c>
      <c r="E495" s="14" t="str">
        <f>VLOOKUP($A495,PLAN!$B:$AC,2,0)</f>
        <v>1001947782</v>
      </c>
      <c r="F495" s="15">
        <f>VLOOKUP($A495,PLAN!$B:$AC,7,0)</f>
        <v>46263</v>
      </c>
      <c r="G495" s="16" t="str">
        <f>VLOOKUP($A495,PLAN!$B:$AC,8,0)</f>
        <v>0103613193</v>
      </c>
      <c r="H495" s="16" t="str">
        <f>VLOOKUP($A495,PLAN!$B:$AC,9,0)</f>
        <v>260815C07A</v>
      </c>
      <c r="I495" s="16">
        <f>VLOOKUP($A495,PLAN!$B:$AC,10,0)</f>
        <v>6</v>
      </c>
      <c r="J495" s="17">
        <f>VLOOKUP($A495,PLAN!$B:$AC,21,0)</f>
        <v>46258</v>
      </c>
      <c r="K495" s="145" t="str">
        <f>VLOOKUP($A495,PLAN!$B:$AC,22,0)</f>
        <v>M9</v>
      </c>
      <c r="L495" s="1"/>
      <c r="M495" s="1"/>
      <c r="N495" s="1"/>
      <c r="O495" s="221" t="s">
        <v>79</v>
      </c>
      <c r="P495" s="220"/>
      <c r="Q495" s="18">
        <f>VLOOKUP(A495,PLAN!B:R,17,0)</f>
        <v>46255</v>
      </c>
    </row>
    <row r="496" spans="1:17" ht="17.25" hidden="1" customHeight="1">
      <c r="A496" s="329" t="s">
        <v>5132</v>
      </c>
      <c r="B496" s="14">
        <f>VLOOKUP($A496,PLAN!$B:$AC,3,0)</f>
        <v>11134287</v>
      </c>
      <c r="C496" s="14" t="str">
        <f>VLOOKUP($A496,PLAN!$B:$AC,4,0)</f>
        <v>1911230-F-A</v>
      </c>
      <c r="D496" s="14" t="str">
        <f>VLOOKUP($A496,PLAN!$B:$AC,5,0)</f>
        <v>HJ70SP400P10000 JP</v>
      </c>
      <c r="E496" s="14" t="str">
        <f>VLOOKUP($A496,PLAN!$B:$AC,2,0)</f>
        <v>1001947783</v>
      </c>
      <c r="F496" s="15">
        <f>VLOOKUP($A496,PLAN!$B:$AC,7,0)</f>
        <v>46263</v>
      </c>
      <c r="G496" s="16" t="str">
        <f>VLOOKUP($A496,PLAN!$B:$AC,8,0)</f>
        <v>0103613194</v>
      </c>
      <c r="H496" s="16" t="str">
        <f>VLOOKUP($A496,PLAN!$B:$AC,9,0)</f>
        <v>260815C08A</v>
      </c>
      <c r="I496" s="16">
        <f>VLOOKUP($A496,PLAN!$B:$AC,10,0)</f>
        <v>9</v>
      </c>
      <c r="J496" s="17">
        <f>VLOOKUP($A496,PLAN!$B:$AC,21,0)</f>
        <v>46258</v>
      </c>
      <c r="K496" s="145" t="str">
        <f>VLOOKUP($A496,PLAN!$B:$AC,22,0)</f>
        <v>M9</v>
      </c>
      <c r="L496" s="1"/>
      <c r="M496" s="1"/>
      <c r="N496" s="1"/>
      <c r="O496" s="221" t="s">
        <v>79</v>
      </c>
      <c r="P496" s="220"/>
      <c r="Q496" s="18">
        <f>VLOOKUP(A496,PLAN!B:R,17,0)</f>
        <v>46255</v>
      </c>
    </row>
    <row r="497" spans="1:17" ht="17.25" hidden="1" customHeight="1">
      <c r="A497" s="329" t="s">
        <v>5133</v>
      </c>
      <c r="B497" s="14">
        <f>VLOOKUP($A497,PLAN!$B:$AC,3,0)</f>
        <v>11134266</v>
      </c>
      <c r="C497" s="14" t="str">
        <f>VLOOKUP($A497,PLAN!$B:$AC,4,0)</f>
        <v>1911181-E-A</v>
      </c>
      <c r="D497" s="14" t="str">
        <f>VLOOKUP($A497,PLAN!$B:$AC,5,0)</f>
        <v>HJ70PB300P10000 JP</v>
      </c>
      <c r="E497" s="14" t="str">
        <f>VLOOKUP($A497,PLAN!$B:$AC,2,0)</f>
        <v>1001947784</v>
      </c>
      <c r="F497" s="15">
        <f>VLOOKUP($A497,PLAN!$B:$AC,7,0)</f>
        <v>46263</v>
      </c>
      <c r="G497" s="16" t="str">
        <f>VLOOKUP($A497,PLAN!$B:$AC,8,0)</f>
        <v>0103613195</v>
      </c>
      <c r="H497" s="16" t="str">
        <f>VLOOKUP($A497,PLAN!$B:$AC,9,0)</f>
        <v>260815C09A</v>
      </c>
      <c r="I497" s="16">
        <f>VLOOKUP($A497,PLAN!$B:$AC,10,0)</f>
        <v>11</v>
      </c>
      <c r="J497" s="17">
        <f>VLOOKUP($A497,PLAN!$B:$AC,21,0)</f>
        <v>46258</v>
      </c>
      <c r="K497" s="145" t="str">
        <f>VLOOKUP($A497,PLAN!$B:$AC,22,0)</f>
        <v>M9</v>
      </c>
      <c r="L497" s="1"/>
      <c r="M497" s="1"/>
      <c r="N497" s="1"/>
      <c r="O497" s="221" t="s">
        <v>79</v>
      </c>
      <c r="P497" s="220"/>
      <c r="Q497" s="18">
        <f>VLOOKUP(A497,PLAN!B:R,17,0)</f>
        <v>46255</v>
      </c>
    </row>
    <row r="498" spans="1:17" ht="17.25" hidden="1" customHeight="1">
      <c r="A498" s="329" t="s">
        <v>5134</v>
      </c>
      <c r="B498" s="14">
        <f>VLOOKUP($A498,PLAN!$B:$AC,3,0)</f>
        <v>11134286</v>
      </c>
      <c r="C498" s="14" t="str">
        <f>VLOOKUP($A498,PLAN!$B:$AC,4,0)</f>
        <v>1911229-E-A</v>
      </c>
      <c r="D498" s="14" t="str">
        <f>VLOOKUP($A498,PLAN!$B:$AC,5,0)</f>
        <v>HJ70SP372P09020 JP</v>
      </c>
      <c r="E498" s="14" t="str">
        <f>VLOOKUP($A498,PLAN!$B:$AC,2,0)</f>
        <v>1001947785</v>
      </c>
      <c r="F498" s="15">
        <f>VLOOKUP($A498,PLAN!$B:$AC,7,0)</f>
        <v>46263</v>
      </c>
      <c r="G498" s="16" t="str">
        <f>VLOOKUP($A498,PLAN!$B:$AC,8,0)</f>
        <v>0103613196</v>
      </c>
      <c r="H498" s="16" t="str">
        <f>VLOOKUP($A498,PLAN!$B:$AC,9,0)</f>
        <v>260815C10A</v>
      </c>
      <c r="I498" s="16">
        <f>VLOOKUP($A498,PLAN!$B:$AC,10,0)</f>
        <v>19</v>
      </c>
      <c r="J498" s="17">
        <f>VLOOKUP($A498,PLAN!$B:$AC,21,0)</f>
        <v>46258</v>
      </c>
      <c r="K498" s="145" t="str">
        <f>VLOOKUP($A498,PLAN!$B:$AC,22,0)</f>
        <v>M9</v>
      </c>
      <c r="L498" s="1"/>
      <c r="M498" s="1"/>
      <c r="N498" s="1"/>
      <c r="O498" s="221" t="s">
        <v>79</v>
      </c>
      <c r="P498" s="220"/>
      <c r="Q498" s="18">
        <f>VLOOKUP(A498,PLAN!B:R,17,0)</f>
        <v>46255</v>
      </c>
    </row>
    <row r="499" spans="1:17" ht="17.25" hidden="1" customHeight="1">
      <c r="A499" s="329" t="s">
        <v>5135</v>
      </c>
      <c r="B499" s="14">
        <f>VLOOKUP($A499,PLAN!$B:$AC,3,0)</f>
        <v>11134253</v>
      </c>
      <c r="C499" s="14" t="str">
        <f>VLOOKUP($A499,PLAN!$B:$AC,4,0)</f>
        <v>1911070-E-A</v>
      </c>
      <c r="D499" s="14" t="str">
        <f>VLOOKUP($A499,PLAN!$B:$AC,5,0)</f>
        <v>HJ60PB352P10020 JP</v>
      </c>
      <c r="E499" s="14" t="str">
        <f>VLOOKUP($A499,PLAN!$B:$AC,2,0)</f>
        <v>1001947786</v>
      </c>
      <c r="F499" s="15">
        <f>VLOOKUP($A499,PLAN!$B:$AC,7,0)</f>
        <v>46263</v>
      </c>
      <c r="G499" s="16" t="str">
        <f>VLOOKUP($A499,PLAN!$B:$AC,8,0)</f>
        <v>0103613197</v>
      </c>
      <c r="H499" s="16" t="str">
        <f>VLOOKUP($A499,PLAN!$B:$AC,9,0)</f>
        <v>260815C11A</v>
      </c>
      <c r="I499" s="16">
        <f>VLOOKUP($A499,PLAN!$B:$AC,10,0)</f>
        <v>29</v>
      </c>
      <c r="J499" s="17">
        <f>VLOOKUP($A499,PLAN!$B:$AC,21,0)</f>
        <v>46258</v>
      </c>
      <c r="K499" s="145" t="str">
        <f>VLOOKUP($A499,PLAN!$B:$AC,22,0)</f>
        <v>M9</v>
      </c>
      <c r="L499" s="1"/>
      <c r="M499" s="1"/>
      <c r="N499" s="1"/>
      <c r="O499" s="221" t="s">
        <v>79</v>
      </c>
      <c r="P499" s="220"/>
      <c r="Q499" s="18">
        <f>VLOOKUP(A499,PLAN!B:R,17,0)</f>
        <v>46255</v>
      </c>
    </row>
    <row r="500" spans="1:17" ht="17.25" hidden="1" customHeight="1">
      <c r="A500" s="329" t="s">
        <v>5136</v>
      </c>
      <c r="B500" s="14">
        <f>VLOOKUP($A500,PLAN!$B:$AC,3,0)</f>
        <v>11134279</v>
      </c>
      <c r="C500" s="14" t="str">
        <f>VLOOKUP($A500,PLAN!$B:$AC,4,0)</f>
        <v>1911222-E-A</v>
      </c>
      <c r="D500" s="14" t="str">
        <f>VLOOKUP($A500,PLAN!$B:$AC,5,0)</f>
        <v>HJ70SP302P10020 JP</v>
      </c>
      <c r="E500" s="14" t="str">
        <f>VLOOKUP($A500,PLAN!$B:$AC,2,0)</f>
        <v>1001947787</v>
      </c>
      <c r="F500" s="15">
        <f>VLOOKUP($A500,PLAN!$B:$AC,7,0)</f>
        <v>46263</v>
      </c>
      <c r="G500" s="16" t="str">
        <f>VLOOKUP($A500,PLAN!$B:$AC,8,0)</f>
        <v>0103613198</v>
      </c>
      <c r="H500" s="16" t="str">
        <f>VLOOKUP($A500,PLAN!$B:$AC,9,0)</f>
        <v>260815C12A</v>
      </c>
      <c r="I500" s="16">
        <f>VLOOKUP($A500,PLAN!$B:$AC,10,0)</f>
        <v>32</v>
      </c>
      <c r="J500" s="17">
        <f>VLOOKUP($A500,PLAN!$B:$AC,21,0)</f>
        <v>46258</v>
      </c>
      <c r="K500" s="145" t="str">
        <f>VLOOKUP($A500,PLAN!$B:$AC,22,0)</f>
        <v>M9</v>
      </c>
      <c r="L500" s="1"/>
      <c r="M500" s="1"/>
      <c r="N500" s="1"/>
      <c r="O500" s="221" t="s">
        <v>79</v>
      </c>
      <c r="P500" s="220"/>
      <c r="Q500" s="18">
        <f>VLOOKUP(A500,PLAN!B:R,17,0)</f>
        <v>46255</v>
      </c>
    </row>
    <row r="501" spans="1:17" ht="17.25" hidden="1" customHeight="1">
      <c r="A501" s="329" t="s">
        <v>5137</v>
      </c>
      <c r="B501" s="14">
        <f>VLOOKUP($A501,PLAN!$B:$AC,3,0)</f>
        <v>11134288</v>
      </c>
      <c r="C501" s="14" t="str">
        <f>VLOOKUP($A501,PLAN!$B:$AC,4,0)</f>
        <v>1911231-F-A</v>
      </c>
      <c r="D501" s="14" t="str">
        <f>VLOOKUP($A501,PLAN!$B:$AC,5,0)</f>
        <v>HJ70SP402P10020 JP</v>
      </c>
      <c r="E501" s="14" t="str">
        <f>VLOOKUP($A501,PLAN!$B:$AC,2,0)</f>
        <v>1001947788</v>
      </c>
      <c r="F501" s="15">
        <f>VLOOKUP($A501,PLAN!$B:$AC,7,0)</f>
        <v>46263</v>
      </c>
      <c r="G501" s="16" t="str">
        <f>VLOOKUP($A501,PLAN!$B:$AC,8,0)</f>
        <v>0103613199</v>
      </c>
      <c r="H501" s="16" t="str">
        <f>VLOOKUP($A501,PLAN!$B:$AC,9,0)</f>
        <v>260815C13A</v>
      </c>
      <c r="I501" s="16">
        <f>VLOOKUP($A501,PLAN!$B:$AC,10,0)</f>
        <v>49</v>
      </c>
      <c r="J501" s="17">
        <f>VLOOKUP($A501,PLAN!$B:$AC,21,0)</f>
        <v>46258</v>
      </c>
      <c r="K501" s="145" t="str">
        <f>VLOOKUP($A501,PLAN!$B:$AC,22,0)</f>
        <v>M9</v>
      </c>
      <c r="L501" s="1"/>
      <c r="M501" s="1"/>
      <c r="N501" s="1"/>
      <c r="O501" s="221" t="s">
        <v>79</v>
      </c>
      <c r="P501" s="220"/>
      <c r="Q501" s="18">
        <f>VLOOKUP(A501,PLAN!B:R,17,0)</f>
        <v>46255</v>
      </c>
    </row>
    <row r="502" spans="1:17" ht="17.25" hidden="1" customHeight="1">
      <c r="A502" s="329" t="s">
        <v>5138</v>
      </c>
      <c r="B502" s="14">
        <f>VLOOKUP($A502,PLAN!$B:$AC,3,0)</f>
        <v>11134270</v>
      </c>
      <c r="C502" s="14" t="str">
        <f>VLOOKUP($A502,PLAN!$B:$AC,4,0)</f>
        <v>1911185-E-A</v>
      </c>
      <c r="D502" s="14" t="str">
        <f>VLOOKUP($A502,PLAN!$B:$AC,5,0)</f>
        <v>HJ70PB350P10000 JP</v>
      </c>
      <c r="E502" s="14" t="str">
        <f>VLOOKUP($A502,PLAN!$B:$AC,2,0)</f>
        <v>1001947789</v>
      </c>
      <c r="F502" s="15">
        <f>VLOOKUP($A502,PLAN!$B:$AC,7,0)</f>
        <v>46263</v>
      </c>
      <c r="G502" s="16" t="str">
        <f>VLOOKUP($A502,PLAN!$B:$AC,8,0)</f>
        <v>0103613200</v>
      </c>
      <c r="H502" s="16" t="str">
        <f>VLOOKUP($A502,PLAN!$B:$AC,9,0)</f>
        <v>260815C14A</v>
      </c>
      <c r="I502" s="16">
        <f>VLOOKUP($A502,PLAN!$B:$AC,10,0)</f>
        <v>57</v>
      </c>
      <c r="J502" s="17">
        <f>VLOOKUP($A502,PLAN!$B:$AC,21,0)</f>
        <v>46258</v>
      </c>
      <c r="K502" s="145" t="str">
        <f>VLOOKUP($A502,PLAN!$B:$AC,22,0)</f>
        <v>M9</v>
      </c>
      <c r="L502" s="1"/>
      <c r="M502" s="1"/>
      <c r="N502" s="1"/>
      <c r="O502" s="221" t="s">
        <v>79</v>
      </c>
      <c r="P502" s="220"/>
      <c r="Q502" s="18">
        <f>VLOOKUP(A502,PLAN!B:R,17,0)</f>
        <v>46255</v>
      </c>
    </row>
    <row r="503" spans="1:17" ht="17.25" hidden="1" customHeight="1">
      <c r="A503" s="329" t="s">
        <v>5139</v>
      </c>
      <c r="B503" s="14">
        <f>VLOOKUP($A503,PLAN!$B:$AC,3,0)</f>
        <v>11134278</v>
      </c>
      <c r="C503" s="14" t="str">
        <f>VLOOKUP($A503,PLAN!$B:$AC,4,0)</f>
        <v>1911221-E-A</v>
      </c>
      <c r="D503" s="14" t="str">
        <f>VLOOKUP($A503,PLAN!$B:$AC,5,0)</f>
        <v>HJ70SP300P10000 JP</v>
      </c>
      <c r="E503" s="14" t="str">
        <f>VLOOKUP($A503,PLAN!$B:$AC,2,0)</f>
        <v>1001947790</v>
      </c>
      <c r="F503" s="15">
        <f>VLOOKUP($A503,PLAN!$B:$AC,7,0)</f>
        <v>46263</v>
      </c>
      <c r="G503" s="16" t="str">
        <f>VLOOKUP($A503,PLAN!$B:$AC,8,0)</f>
        <v>0103613201</v>
      </c>
      <c r="H503" s="16" t="str">
        <f>VLOOKUP($A503,PLAN!$B:$AC,9,0)</f>
        <v>260815C15A</v>
      </c>
      <c r="I503" s="16">
        <f>VLOOKUP($A503,PLAN!$B:$AC,10,0)</f>
        <v>65</v>
      </c>
      <c r="J503" s="17">
        <f>VLOOKUP($A503,PLAN!$B:$AC,21,0)</f>
        <v>46258</v>
      </c>
      <c r="K503" s="145" t="str">
        <f>VLOOKUP($A503,PLAN!$B:$AC,22,0)</f>
        <v>M9</v>
      </c>
      <c r="L503" s="1"/>
      <c r="M503" s="1"/>
      <c r="N503" s="1"/>
      <c r="O503" s="221" t="s">
        <v>79</v>
      </c>
      <c r="P503" s="220"/>
      <c r="Q503" s="18">
        <f>VLOOKUP(A503,PLAN!B:R,17,0)</f>
        <v>46255</v>
      </c>
    </row>
    <row r="504" spans="1:17" ht="17.25" hidden="1" customHeight="1">
      <c r="A504" s="329" t="s">
        <v>5140</v>
      </c>
      <c r="B504" s="14">
        <f>VLOOKUP($A504,PLAN!$B:$AC,3,0)</f>
        <v>11134279</v>
      </c>
      <c r="C504" s="14" t="str">
        <f>VLOOKUP($A504,PLAN!$B:$AC,4,0)</f>
        <v>1911222-E-A</v>
      </c>
      <c r="D504" s="14" t="str">
        <f>VLOOKUP($A504,PLAN!$B:$AC,5,0)</f>
        <v>HJ70SP302P10020 JP</v>
      </c>
      <c r="E504" s="14" t="str">
        <f>VLOOKUP($A504,PLAN!$B:$AC,2,0)</f>
        <v>1001947791</v>
      </c>
      <c r="F504" s="15">
        <f>VLOOKUP($A504,PLAN!$B:$AC,7,0)</f>
        <v>46263</v>
      </c>
      <c r="G504" s="16" t="str">
        <f>VLOOKUP($A504,PLAN!$B:$AC,8,0)</f>
        <v>0103613202</v>
      </c>
      <c r="H504" s="16" t="str">
        <f>VLOOKUP($A504,PLAN!$B:$AC,9,0)</f>
        <v>260815C16A</v>
      </c>
      <c r="I504" s="16">
        <f>VLOOKUP($A504,PLAN!$B:$AC,10,0)</f>
        <v>41</v>
      </c>
      <c r="J504" s="17">
        <f>VLOOKUP($A504,PLAN!$B:$AC,21,0)</f>
        <v>46258</v>
      </c>
      <c r="K504" s="145" t="str">
        <f>VLOOKUP($A504,PLAN!$B:$AC,22,0)</f>
        <v>M9</v>
      </c>
      <c r="L504" s="1"/>
      <c r="M504" s="1"/>
      <c r="N504" s="1"/>
      <c r="O504" s="221" t="s">
        <v>79</v>
      </c>
      <c r="P504" s="220"/>
      <c r="Q504" s="18">
        <f>VLOOKUP(A504,PLAN!B:R,17,0)</f>
        <v>46255</v>
      </c>
    </row>
    <row r="505" spans="1:17" ht="17.25" hidden="1" customHeight="1">
      <c r="A505" s="329" t="s">
        <v>5141</v>
      </c>
      <c r="B505" s="14">
        <f>VLOOKUP($A505,PLAN!$B:$AC,3,0)</f>
        <v>11134272</v>
      </c>
      <c r="C505" s="14" t="str">
        <f>VLOOKUP($A505,PLAN!$B:$AC,4,0)</f>
        <v>1911187-E-A</v>
      </c>
      <c r="D505" s="14" t="str">
        <f>VLOOKUP($A505,PLAN!$B:$AC,5,0)</f>
        <v>HJ70PB352P10020 JP</v>
      </c>
      <c r="E505" s="14" t="str">
        <f>VLOOKUP($A505,PLAN!$B:$AC,2,0)</f>
        <v>1001947792</v>
      </c>
      <c r="F505" s="15">
        <f>VLOOKUP($A505,PLAN!$B:$AC,7,0)</f>
        <v>46263</v>
      </c>
      <c r="G505" s="16" t="str">
        <f>VLOOKUP($A505,PLAN!$B:$AC,8,0)</f>
        <v>0103613203</v>
      </c>
      <c r="H505" s="16" t="str">
        <f>VLOOKUP($A505,PLAN!$B:$AC,9,0)</f>
        <v>260815C17A</v>
      </c>
      <c r="I505" s="16">
        <f>VLOOKUP($A505,PLAN!$B:$AC,10,0)</f>
        <v>69</v>
      </c>
      <c r="J505" s="17">
        <f>VLOOKUP($A505,PLAN!$B:$AC,21,0)</f>
        <v>46258</v>
      </c>
      <c r="K505" s="145" t="str">
        <f>VLOOKUP($A505,PLAN!$B:$AC,22,0)</f>
        <v>M9</v>
      </c>
      <c r="L505" s="1"/>
      <c r="M505" s="1"/>
      <c r="N505" s="1"/>
      <c r="O505" s="221" t="s">
        <v>79</v>
      </c>
      <c r="P505" s="220"/>
      <c r="Q505" s="18">
        <f>VLOOKUP(A505,PLAN!B:R,17,0)</f>
        <v>46255</v>
      </c>
    </row>
    <row r="506" spans="1:17" ht="17.25" hidden="1" customHeight="1">
      <c r="A506" s="329" t="s">
        <v>5142</v>
      </c>
      <c r="B506" s="14">
        <f>VLOOKUP($A506,PLAN!$B:$AC,3,0)</f>
        <v>11134287</v>
      </c>
      <c r="C506" s="14" t="str">
        <f>VLOOKUP($A506,PLAN!$B:$AC,4,0)</f>
        <v>1911230-F-A</v>
      </c>
      <c r="D506" s="14" t="str">
        <f>VLOOKUP($A506,PLAN!$B:$AC,5,0)</f>
        <v>HJ70SP400P10000 JP</v>
      </c>
      <c r="E506" s="14" t="str">
        <f>VLOOKUP($A506,PLAN!$B:$AC,2,0)</f>
        <v>1001947793</v>
      </c>
      <c r="F506" s="15">
        <f>VLOOKUP($A506,PLAN!$B:$AC,7,0)</f>
        <v>46263</v>
      </c>
      <c r="G506" s="16" t="str">
        <f>VLOOKUP($A506,PLAN!$B:$AC,8,0)</f>
        <v>0103613204</v>
      </c>
      <c r="H506" s="16" t="str">
        <f>VLOOKUP($A506,PLAN!$B:$AC,9,0)</f>
        <v>260815C18A</v>
      </c>
      <c r="I506" s="16">
        <f>VLOOKUP($A506,PLAN!$B:$AC,10,0)</f>
        <v>74</v>
      </c>
      <c r="J506" s="17">
        <f>VLOOKUP($A506,PLAN!$B:$AC,21,0)</f>
        <v>46258</v>
      </c>
      <c r="K506" s="145" t="str">
        <f>VLOOKUP($A506,PLAN!$B:$AC,22,0)</f>
        <v>M9</v>
      </c>
      <c r="L506" s="1"/>
      <c r="M506" s="1"/>
      <c r="N506" s="1"/>
      <c r="O506" s="221" t="s">
        <v>79</v>
      </c>
      <c r="P506" s="220"/>
      <c r="Q506" s="18">
        <f>VLOOKUP(A506,PLAN!B:R,17,0)</f>
        <v>46255</v>
      </c>
    </row>
    <row r="507" spans="1:17" ht="17.25" hidden="1" customHeight="1">
      <c r="A507" s="329" t="s">
        <v>5143</v>
      </c>
      <c r="B507" s="14">
        <f>VLOOKUP($A507,PLAN!$B:$AC,3,0)</f>
        <v>11134284</v>
      </c>
      <c r="C507" s="14" t="str">
        <f>VLOOKUP($A507,PLAN!$B:$AC,4,0)</f>
        <v>1911227-F-A</v>
      </c>
      <c r="D507" s="14" t="str">
        <f>VLOOKUP($A507,PLAN!$B:$AC,5,0)</f>
        <v>HJ70SP370P10000 JP</v>
      </c>
      <c r="E507" s="14" t="str">
        <f>VLOOKUP($A507,PLAN!$B:$AC,2,0)</f>
        <v>1001947794</v>
      </c>
      <c r="F507" s="15">
        <f>VLOOKUP($A507,PLAN!$B:$AC,7,0)</f>
        <v>46263</v>
      </c>
      <c r="G507" s="16" t="str">
        <f>VLOOKUP($A507,PLAN!$B:$AC,8,0)</f>
        <v>0103613205</v>
      </c>
      <c r="H507" s="16" t="str">
        <f>VLOOKUP($A507,PLAN!$B:$AC,9,0)</f>
        <v>260815C19A</v>
      </c>
      <c r="I507" s="16">
        <f>VLOOKUP($A507,PLAN!$B:$AC,10,0)</f>
        <v>203</v>
      </c>
      <c r="J507" s="17">
        <f>VLOOKUP($A507,PLAN!$B:$AC,21,0)</f>
        <v>46258</v>
      </c>
      <c r="K507" s="145" t="str">
        <f>VLOOKUP($A507,PLAN!$B:$AC,22,0)</f>
        <v>M9</v>
      </c>
      <c r="L507" s="1"/>
      <c r="M507" s="1"/>
      <c r="N507" s="1"/>
      <c r="O507" s="221" t="s">
        <v>79</v>
      </c>
      <c r="P507" s="220"/>
      <c r="Q507" s="18">
        <f>VLOOKUP(A507,PLAN!B:R,17,0)</f>
        <v>46255</v>
      </c>
    </row>
    <row r="508" spans="1:17" ht="17.25" hidden="1" customHeight="1">
      <c r="A508" s="329" t="s">
        <v>5190</v>
      </c>
      <c r="B508" s="14">
        <f>VLOOKUP($A508,PLAN!$B:$AC,3,0)</f>
        <v>11134283</v>
      </c>
      <c r="C508" s="14" t="str">
        <f>VLOOKUP($A508,PLAN!$B:$AC,4,0)</f>
        <v>1911226-E-A</v>
      </c>
      <c r="D508" s="14" t="str">
        <f>VLOOKUP($A508,PLAN!$B:$AC,5,0)</f>
        <v>HJ70SP352P09020 JP</v>
      </c>
      <c r="E508" s="14" t="str">
        <f>VLOOKUP($A508,PLAN!$B:$AC,2,0)</f>
        <v>1001947863</v>
      </c>
      <c r="F508" s="15">
        <f>VLOOKUP($A508,PLAN!$B:$AC,7,0)</f>
        <v>46263</v>
      </c>
      <c r="G508" s="16" t="str">
        <f>VLOOKUP($A508,PLAN!$B:$AC,8,0)</f>
        <v>0103613282</v>
      </c>
      <c r="H508" s="16" t="str">
        <f>VLOOKUP($A508,PLAN!$B:$AC,9,0)</f>
        <v>260815C66A</v>
      </c>
      <c r="I508" s="16">
        <f>VLOOKUP($A508,PLAN!$B:$AC,10,0)</f>
        <v>7</v>
      </c>
      <c r="J508" s="17">
        <f>VLOOKUP($A508,PLAN!$B:$AC,21,0)</f>
        <v>46258</v>
      </c>
      <c r="K508" s="145" t="str">
        <f>VLOOKUP($A508,PLAN!$B:$AC,22,0)</f>
        <v>M9</v>
      </c>
      <c r="L508" s="1"/>
      <c r="M508" s="1"/>
      <c r="N508" s="1"/>
      <c r="O508" s="221" t="s">
        <v>79</v>
      </c>
      <c r="P508" s="220"/>
      <c r="Q508" s="18">
        <f>VLOOKUP(A508,PLAN!B:R,17,0)</f>
        <v>46255</v>
      </c>
    </row>
    <row r="509" spans="1:17" ht="17.25" hidden="1" customHeight="1">
      <c r="A509" s="329" t="s">
        <v>5191</v>
      </c>
      <c r="B509" s="14">
        <f>VLOOKUP($A509,PLAN!$B:$AC,3,0)</f>
        <v>11130628</v>
      </c>
      <c r="C509" s="14" t="str">
        <f>VLOOKUP($A509,PLAN!$B:$AC,4,0)</f>
        <v>2211100-C-A</v>
      </c>
      <c r="D509" s="14" t="str">
        <f>VLOOKUP($A509,PLAN!$B:$AC,5,0)</f>
        <v>HW60IM000P10000 NOCE</v>
      </c>
      <c r="E509" s="14" t="str">
        <f>VLOOKUP($A509,PLAN!$B:$AC,2,0)</f>
        <v>1001947864</v>
      </c>
      <c r="F509" s="15">
        <f>VLOOKUP($A509,PLAN!$B:$AC,7,0)</f>
        <v>46263</v>
      </c>
      <c r="G509" s="16" t="str">
        <f>VLOOKUP($A509,PLAN!$B:$AC,8,0)</f>
        <v>0103613285</v>
      </c>
      <c r="H509" s="16" t="str">
        <f>VLOOKUP($A509,PLAN!$B:$AC,9,0)</f>
        <v>260815C67A</v>
      </c>
      <c r="I509" s="16">
        <f>VLOOKUP($A509,PLAN!$B:$AC,10,0)</f>
        <v>2</v>
      </c>
      <c r="J509" s="17">
        <f>VLOOKUP($A509,PLAN!$B:$AC,21,0)</f>
        <v>46258</v>
      </c>
      <c r="K509" s="145" t="str">
        <f>VLOOKUP($A509,PLAN!$B:$AC,22,0)</f>
        <v>M9</v>
      </c>
      <c r="L509" s="1"/>
      <c r="M509" s="1"/>
      <c r="N509" s="1"/>
      <c r="O509" s="221" t="s">
        <v>79</v>
      </c>
      <c r="P509" s="220"/>
      <c r="Q509" s="18">
        <f>VLOOKUP(A509,PLAN!B:R,17,0)</f>
        <v>46255</v>
      </c>
    </row>
    <row r="510" spans="1:17" ht="17.25" hidden="1" customHeight="1">
      <c r="A510" s="329" t="s">
        <v>5192</v>
      </c>
      <c r="B510" s="14">
        <f>VLOOKUP($A510,PLAN!$B:$AC,3,0)</f>
        <v>11130545</v>
      </c>
      <c r="C510" s="14" t="str">
        <f>VLOOKUP($A510,PLAN!$B:$AC,4,0)</f>
        <v>2211017-C-A</v>
      </c>
      <c r="D510" s="14" t="str">
        <f>VLOOKUP($A510,PLAN!$B:$AC,5,0)</f>
        <v>HW60JL300P10000 NOCE</v>
      </c>
      <c r="E510" s="14" t="str">
        <f>VLOOKUP($A510,PLAN!$B:$AC,2,0)</f>
        <v>1001947866</v>
      </c>
      <c r="F510" s="15">
        <f>VLOOKUP($A510,PLAN!$B:$AC,7,0)</f>
        <v>46263</v>
      </c>
      <c r="G510" s="16" t="str">
        <f>VLOOKUP($A510,PLAN!$B:$AC,8,0)</f>
        <v>0103613286</v>
      </c>
      <c r="H510" s="16" t="str">
        <f>VLOOKUP($A510,PLAN!$B:$AC,9,0)</f>
        <v>260815C68A</v>
      </c>
      <c r="I510" s="16">
        <f>VLOOKUP($A510,PLAN!$B:$AC,10,0)</f>
        <v>10</v>
      </c>
      <c r="J510" s="17">
        <f>VLOOKUP($A510,PLAN!$B:$AC,21,0)</f>
        <v>46258</v>
      </c>
      <c r="K510" s="145" t="str">
        <f>VLOOKUP($A510,PLAN!$B:$AC,22,0)</f>
        <v>M9</v>
      </c>
      <c r="L510" s="1"/>
      <c r="M510" s="1"/>
      <c r="N510" s="1"/>
      <c r="O510" s="221" t="s">
        <v>79</v>
      </c>
      <c r="P510" s="220"/>
      <c r="Q510" s="18">
        <f>VLOOKUP(A510,PLAN!B:R,17,0)</f>
        <v>46255</v>
      </c>
    </row>
    <row r="511" spans="1:17" ht="17.25" hidden="1" customHeight="1">
      <c r="A511" s="329" t="s">
        <v>5144</v>
      </c>
      <c r="B511" s="14">
        <f>VLOOKUP($A511,PLAN!$B:$AC,3,0)</f>
        <v>11119397</v>
      </c>
      <c r="C511" s="14" t="str">
        <f>VLOOKUP($A511,PLAN!$B:$AC,4,0)</f>
        <v>1911065-D-A</v>
      </c>
      <c r="D511" s="14" t="str">
        <f>VLOOKUP($A511,PLAN!$B:$AC,5,0)</f>
        <v>HJ60JR500P10020 JP</v>
      </c>
      <c r="E511" s="14" t="str">
        <f>VLOOKUP($A511,PLAN!$B:$AC,2,0)</f>
        <v>1001947795</v>
      </c>
      <c r="F511" s="15">
        <f>VLOOKUP($A511,PLAN!$B:$AC,7,0)</f>
        <v>46263</v>
      </c>
      <c r="G511" s="16" t="str">
        <f>VLOOKUP($A511,PLAN!$B:$AC,8,0)</f>
        <v>0103613206</v>
      </c>
      <c r="H511" s="16" t="str">
        <f>VLOOKUP($A511,PLAN!$B:$AC,9,0)</f>
        <v>260815C20A</v>
      </c>
      <c r="I511" s="16">
        <f>VLOOKUP($A511,PLAN!$B:$AC,10,0)</f>
        <v>1</v>
      </c>
      <c r="J511" s="17">
        <f>VLOOKUP($A511,PLAN!$B:$AC,21,0)</f>
        <v>46258</v>
      </c>
      <c r="K511" s="145" t="str">
        <f>VLOOKUP($A511,PLAN!$B:$AC,22,0)</f>
        <v>M10</v>
      </c>
      <c r="L511" s="1"/>
      <c r="M511" s="1"/>
      <c r="N511" s="1"/>
      <c r="O511" s="221" t="s">
        <v>79</v>
      </c>
      <c r="P511" s="220"/>
      <c r="Q511" s="18">
        <f>VLOOKUP(A511,PLAN!B:R,17,0)</f>
        <v>46255</v>
      </c>
    </row>
    <row r="512" spans="1:17" ht="17.25" hidden="1" customHeight="1">
      <c r="A512" s="329" t="s">
        <v>5145</v>
      </c>
      <c r="B512" s="14">
        <f>VLOOKUP($A512,PLAN!$B:$AC,3,0)</f>
        <v>11119408</v>
      </c>
      <c r="C512" s="14" t="str">
        <f>VLOOKUP($A512,PLAN!$B:$AC,4,0)</f>
        <v>1911076-D-A</v>
      </c>
      <c r="D512" s="14" t="str">
        <f>VLOOKUP($A512,PLAN!$B:$AC,5,0)</f>
        <v>HJ60RB102P10020 JP</v>
      </c>
      <c r="E512" s="14" t="str">
        <f>VLOOKUP($A512,PLAN!$B:$AC,2,0)</f>
        <v>1001947796</v>
      </c>
      <c r="F512" s="15">
        <f>VLOOKUP($A512,PLAN!$B:$AC,7,0)</f>
        <v>46263</v>
      </c>
      <c r="G512" s="16" t="str">
        <f>VLOOKUP($A512,PLAN!$B:$AC,8,0)</f>
        <v>0103613207</v>
      </c>
      <c r="H512" s="16" t="str">
        <f>VLOOKUP($A512,PLAN!$B:$AC,9,0)</f>
        <v>260815C21A</v>
      </c>
      <c r="I512" s="16">
        <f>VLOOKUP($A512,PLAN!$B:$AC,10,0)</f>
        <v>1</v>
      </c>
      <c r="J512" s="17">
        <f>VLOOKUP($A512,PLAN!$B:$AC,21,0)</f>
        <v>46258</v>
      </c>
      <c r="K512" s="145" t="str">
        <f>VLOOKUP($A512,PLAN!$B:$AC,22,0)</f>
        <v>M10</v>
      </c>
      <c r="L512" s="1"/>
      <c r="M512" s="1"/>
      <c r="N512" s="1"/>
      <c r="O512" s="221" t="s">
        <v>79</v>
      </c>
      <c r="P512" s="220"/>
      <c r="Q512" s="18">
        <f>VLOOKUP(A512,PLAN!B:R,17,0)</f>
        <v>46255</v>
      </c>
    </row>
    <row r="513" spans="1:17" ht="17.25" hidden="1" customHeight="1">
      <c r="A513" s="329" t="s">
        <v>5146</v>
      </c>
      <c r="B513" s="14">
        <f>VLOOKUP($A513,PLAN!$B:$AC,3,0)</f>
        <v>11119436</v>
      </c>
      <c r="C513" s="14" t="str">
        <f>VLOOKUP($A513,PLAN!$B:$AC,4,0)</f>
        <v>2111063-D-A</v>
      </c>
      <c r="D513" s="14" t="str">
        <f>VLOOKUP($A513,PLAN!$B:$AC,5,0)</f>
        <v>HJ60SL102P10000 JP</v>
      </c>
      <c r="E513" s="14" t="str">
        <f>VLOOKUP($A513,PLAN!$B:$AC,2,0)</f>
        <v>1001947797</v>
      </c>
      <c r="F513" s="15">
        <f>VLOOKUP($A513,PLAN!$B:$AC,7,0)</f>
        <v>46263</v>
      </c>
      <c r="G513" s="16" t="str">
        <f>VLOOKUP($A513,PLAN!$B:$AC,8,0)</f>
        <v>0103613208</v>
      </c>
      <c r="H513" s="16" t="str">
        <f>VLOOKUP($A513,PLAN!$B:$AC,9,0)</f>
        <v>260815C22A</v>
      </c>
      <c r="I513" s="16">
        <f>VLOOKUP($A513,PLAN!$B:$AC,10,0)</f>
        <v>1</v>
      </c>
      <c r="J513" s="17">
        <f>VLOOKUP($A513,PLAN!$B:$AC,21,0)</f>
        <v>46258</v>
      </c>
      <c r="K513" s="145" t="str">
        <f>VLOOKUP($A513,PLAN!$B:$AC,22,0)</f>
        <v>M10</v>
      </c>
      <c r="L513" s="1"/>
      <c r="M513" s="1"/>
      <c r="N513" s="1"/>
      <c r="O513" s="221" t="s">
        <v>79</v>
      </c>
      <c r="P513" s="220"/>
      <c r="Q513" s="18">
        <f>VLOOKUP(A513,PLAN!B:R,17,0)</f>
        <v>46255</v>
      </c>
    </row>
    <row r="514" spans="1:17" ht="17.25" hidden="1" customHeight="1">
      <c r="A514" s="329" t="s">
        <v>5147</v>
      </c>
      <c r="B514" s="14">
        <f>VLOOKUP($A514,PLAN!$B:$AC,3,0)</f>
        <v>11119657</v>
      </c>
      <c r="C514" s="14" t="str">
        <f>VLOOKUP($A514,PLAN!$B:$AC,4,0)</f>
        <v>1911323-D-A</v>
      </c>
      <c r="D514" s="14" t="str">
        <f>VLOOKUP($A514,PLAN!$B:$AC,5,0)</f>
        <v>HJ80AL070P10002 JP</v>
      </c>
      <c r="E514" s="14" t="str">
        <f>VLOOKUP($A514,PLAN!$B:$AC,2,0)</f>
        <v>1001947798</v>
      </c>
      <c r="F514" s="15">
        <f>VLOOKUP($A514,PLAN!$B:$AC,7,0)</f>
        <v>46263</v>
      </c>
      <c r="G514" s="16" t="str">
        <f>VLOOKUP($A514,PLAN!$B:$AC,8,0)</f>
        <v>0103613209</v>
      </c>
      <c r="H514" s="16" t="str">
        <f>VLOOKUP($A514,PLAN!$B:$AC,9,0)</f>
        <v>260815C23A</v>
      </c>
      <c r="I514" s="16">
        <f>VLOOKUP($A514,PLAN!$B:$AC,10,0)</f>
        <v>1</v>
      </c>
      <c r="J514" s="17">
        <f>VLOOKUP($A514,PLAN!$B:$AC,21,0)</f>
        <v>46258</v>
      </c>
      <c r="K514" s="145" t="str">
        <f>VLOOKUP($A514,PLAN!$B:$AC,22,0)</f>
        <v>M10</v>
      </c>
      <c r="L514" s="1"/>
      <c r="M514" s="1"/>
      <c r="N514" s="1"/>
      <c r="O514" s="221" t="s">
        <v>79</v>
      </c>
      <c r="P514" s="220"/>
      <c r="Q514" s="18">
        <f>VLOOKUP(A514,PLAN!B:R,17,0)</f>
        <v>46255</v>
      </c>
    </row>
    <row r="515" spans="1:17" ht="17.25" hidden="1" customHeight="1">
      <c r="A515" s="329" t="s">
        <v>5148</v>
      </c>
      <c r="B515" s="14">
        <f>VLOOKUP($A515,PLAN!$B:$AC,3,0)</f>
        <v>11119613</v>
      </c>
      <c r="C515" s="14" t="str">
        <f>VLOOKUP($A515,PLAN!$B:$AC,4,0)</f>
        <v>1911279-D-A</v>
      </c>
      <c r="D515" s="14" t="str">
        <f>VLOOKUP($A515,PLAN!$B:$AC,5,0)</f>
        <v>HJ80JL402P09000 JP</v>
      </c>
      <c r="E515" s="14" t="str">
        <f>VLOOKUP($A515,PLAN!$B:$AC,2,0)</f>
        <v>1001947799</v>
      </c>
      <c r="F515" s="15">
        <f>VLOOKUP($A515,PLAN!$B:$AC,7,0)</f>
        <v>46263</v>
      </c>
      <c r="G515" s="16" t="str">
        <f>VLOOKUP($A515,PLAN!$B:$AC,8,0)</f>
        <v>0103613210</v>
      </c>
      <c r="H515" s="16" t="str">
        <f>VLOOKUP($A515,PLAN!$B:$AC,9,0)</f>
        <v>260815C24A</v>
      </c>
      <c r="I515" s="16">
        <f>VLOOKUP($A515,PLAN!$B:$AC,10,0)</f>
        <v>1</v>
      </c>
      <c r="J515" s="17">
        <f>VLOOKUP($A515,PLAN!$B:$AC,21,0)</f>
        <v>46258</v>
      </c>
      <c r="K515" s="145" t="str">
        <f>VLOOKUP($A515,PLAN!$B:$AC,22,0)</f>
        <v>M10</v>
      </c>
      <c r="L515" s="1"/>
      <c r="M515" s="1"/>
      <c r="N515" s="1"/>
      <c r="O515" s="221" t="s">
        <v>79</v>
      </c>
      <c r="P515" s="220"/>
      <c r="Q515" s="18">
        <f>VLOOKUP(A515,PLAN!B:R,17,0)</f>
        <v>46255</v>
      </c>
    </row>
    <row r="516" spans="1:17" ht="17.25" hidden="1" customHeight="1">
      <c r="A516" s="329" t="s">
        <v>5149</v>
      </c>
      <c r="B516" s="14">
        <f>VLOOKUP($A516,PLAN!$B:$AC,3,0)</f>
        <v>11119632</v>
      </c>
      <c r="C516" s="14" t="str">
        <f>VLOOKUP($A516,PLAN!$B:$AC,4,0)</f>
        <v>1911298-D-A</v>
      </c>
      <c r="D516" s="14" t="str">
        <f>VLOOKUP($A516,PLAN!$B:$AC,5,0)</f>
        <v>HJ80JR402P09000 JP</v>
      </c>
      <c r="E516" s="14" t="str">
        <f>VLOOKUP($A516,PLAN!$B:$AC,2,0)</f>
        <v>1001947800</v>
      </c>
      <c r="F516" s="15">
        <f>VLOOKUP($A516,PLAN!$B:$AC,7,0)</f>
        <v>46263</v>
      </c>
      <c r="G516" s="16" t="str">
        <f>VLOOKUP($A516,PLAN!$B:$AC,8,0)</f>
        <v>0103613211</v>
      </c>
      <c r="H516" s="16" t="str">
        <f>VLOOKUP($A516,PLAN!$B:$AC,9,0)</f>
        <v>260815C25A</v>
      </c>
      <c r="I516" s="16">
        <f>VLOOKUP($A516,PLAN!$B:$AC,10,0)</f>
        <v>1</v>
      </c>
      <c r="J516" s="17">
        <f>VLOOKUP($A516,PLAN!$B:$AC,21,0)</f>
        <v>46258</v>
      </c>
      <c r="K516" s="145" t="str">
        <f>VLOOKUP($A516,PLAN!$B:$AC,22,0)</f>
        <v>M10</v>
      </c>
      <c r="L516" s="1"/>
      <c r="M516" s="1"/>
      <c r="N516" s="1"/>
      <c r="O516" s="221" t="s">
        <v>79</v>
      </c>
      <c r="P516" s="220"/>
      <c r="Q516" s="18">
        <f>VLOOKUP(A516,PLAN!B:R,17,0)</f>
        <v>46255</v>
      </c>
    </row>
    <row r="517" spans="1:17" ht="17.25" hidden="1" customHeight="1">
      <c r="A517" s="329" t="s">
        <v>5150</v>
      </c>
      <c r="B517" s="14">
        <f>VLOOKUP($A517,PLAN!$B:$AC,3,0)</f>
        <v>11119341</v>
      </c>
      <c r="C517" s="14" t="str">
        <f>VLOOKUP($A517,PLAN!$B:$AC,4,0)</f>
        <v>1911009-D-A</v>
      </c>
      <c r="D517" s="14" t="str">
        <f>VLOOKUP($A517,PLAN!$B:$AC,5,0)</f>
        <v>HJ60AL100P10021 JP</v>
      </c>
      <c r="E517" s="14" t="str">
        <f>VLOOKUP($A517,PLAN!$B:$AC,2,0)</f>
        <v>1001947801</v>
      </c>
      <c r="F517" s="15">
        <f>VLOOKUP($A517,PLAN!$B:$AC,7,0)</f>
        <v>46263</v>
      </c>
      <c r="G517" s="16" t="str">
        <f>VLOOKUP($A517,PLAN!$B:$AC,8,0)</f>
        <v>0103613212</v>
      </c>
      <c r="H517" s="16" t="str">
        <f>VLOOKUP($A517,PLAN!$B:$AC,9,0)</f>
        <v>260815C26A</v>
      </c>
      <c r="I517" s="16">
        <f>VLOOKUP($A517,PLAN!$B:$AC,10,0)</f>
        <v>2</v>
      </c>
      <c r="J517" s="17">
        <f>VLOOKUP($A517,PLAN!$B:$AC,21,0)</f>
        <v>46258</v>
      </c>
      <c r="K517" s="145" t="str">
        <f>VLOOKUP($A517,PLAN!$B:$AC,22,0)</f>
        <v>M10</v>
      </c>
      <c r="L517" s="1"/>
      <c r="M517" s="1"/>
      <c r="N517" s="1"/>
      <c r="O517" s="221" t="s">
        <v>79</v>
      </c>
      <c r="P517" s="220"/>
      <c r="Q517" s="18">
        <f>VLOOKUP(A517,PLAN!B:R,17,0)</f>
        <v>46255</v>
      </c>
    </row>
    <row r="518" spans="1:17" ht="17.25" hidden="1" customHeight="1">
      <c r="A518" s="329" t="s">
        <v>5151</v>
      </c>
      <c r="B518" s="14">
        <f>VLOOKUP($A518,PLAN!$B:$AC,3,0)</f>
        <v>11119496</v>
      </c>
      <c r="C518" s="14" t="str">
        <f>VLOOKUP($A518,PLAN!$B:$AC,4,0)</f>
        <v>1911162-D-A</v>
      </c>
      <c r="D518" s="14" t="str">
        <f>VLOOKUP($A518,PLAN!$B:$AC,5,0)</f>
        <v>HJ70JL452P10020 JP</v>
      </c>
      <c r="E518" s="14" t="str">
        <f>VLOOKUP($A518,PLAN!$B:$AC,2,0)</f>
        <v>1001947802</v>
      </c>
      <c r="F518" s="15">
        <f>VLOOKUP($A518,PLAN!$B:$AC,7,0)</f>
        <v>46263</v>
      </c>
      <c r="G518" s="16" t="str">
        <f>VLOOKUP($A518,PLAN!$B:$AC,8,0)</f>
        <v>0103613213</v>
      </c>
      <c r="H518" s="16" t="str">
        <f>VLOOKUP($A518,PLAN!$B:$AC,9,0)</f>
        <v>260815C27A</v>
      </c>
      <c r="I518" s="16">
        <f>VLOOKUP($A518,PLAN!$B:$AC,10,0)</f>
        <v>2</v>
      </c>
      <c r="J518" s="17">
        <f>VLOOKUP($A518,PLAN!$B:$AC,21,0)</f>
        <v>46258</v>
      </c>
      <c r="K518" s="145" t="str">
        <f>VLOOKUP($A518,PLAN!$B:$AC,22,0)</f>
        <v>M10</v>
      </c>
      <c r="L518" s="1"/>
      <c r="M518" s="1"/>
      <c r="N518" s="1"/>
      <c r="O518" s="221" t="s">
        <v>79</v>
      </c>
      <c r="P518" s="220"/>
      <c r="Q518" s="18">
        <f>VLOOKUP(A518,PLAN!B:R,17,0)</f>
        <v>46255</v>
      </c>
    </row>
    <row r="519" spans="1:17" ht="17.25" hidden="1" customHeight="1">
      <c r="A519" s="329" t="s">
        <v>5152</v>
      </c>
      <c r="B519" s="14">
        <f>VLOOKUP($A519,PLAN!$B:$AC,3,0)</f>
        <v>11119338</v>
      </c>
      <c r="C519" s="14" t="str">
        <f>VLOOKUP($A519,PLAN!$B:$AC,4,0)</f>
        <v>1911006-D-A</v>
      </c>
      <c r="D519" s="14" t="str">
        <f>VLOOKUP($A519,PLAN!$B:$AC,5,0)</f>
        <v>HJ60AL100P09020 JP</v>
      </c>
      <c r="E519" s="14" t="str">
        <f>VLOOKUP($A519,PLAN!$B:$AC,2,0)</f>
        <v>1001947803</v>
      </c>
      <c r="F519" s="15">
        <f>VLOOKUP($A519,PLAN!$B:$AC,7,0)</f>
        <v>46263</v>
      </c>
      <c r="G519" s="16" t="str">
        <f>VLOOKUP($A519,PLAN!$B:$AC,8,0)</f>
        <v>0103613214</v>
      </c>
      <c r="H519" s="16" t="str">
        <f>VLOOKUP($A519,PLAN!$B:$AC,9,0)</f>
        <v>260815C28A</v>
      </c>
      <c r="I519" s="16">
        <f>VLOOKUP($A519,PLAN!$B:$AC,10,0)</f>
        <v>2</v>
      </c>
      <c r="J519" s="17">
        <f>VLOOKUP($A519,PLAN!$B:$AC,21,0)</f>
        <v>46258</v>
      </c>
      <c r="K519" s="145" t="str">
        <f>VLOOKUP($A519,PLAN!$B:$AC,22,0)</f>
        <v>M10</v>
      </c>
      <c r="L519" s="1"/>
      <c r="M519" s="1"/>
      <c r="N519" s="1"/>
      <c r="O519" s="221" t="s">
        <v>79</v>
      </c>
      <c r="P519" s="220"/>
      <c r="Q519" s="18">
        <f>VLOOKUP(A519,PLAN!B:R,17,0)</f>
        <v>46255</v>
      </c>
    </row>
    <row r="520" spans="1:17" ht="17.25" hidden="1" customHeight="1">
      <c r="A520" s="329" t="s">
        <v>5153</v>
      </c>
      <c r="B520" s="14">
        <f>VLOOKUP($A520,PLAN!$B:$AC,3,0)</f>
        <v>11119420</v>
      </c>
      <c r="C520" s="14" t="str">
        <f>VLOOKUP($A520,PLAN!$B:$AC,4,0)</f>
        <v>1911088-D-A</v>
      </c>
      <c r="D520" s="14" t="str">
        <f>VLOOKUP($A520,PLAN!$B:$AC,5,0)</f>
        <v>HJ60AL202P10022 JP</v>
      </c>
      <c r="E520" s="14" t="str">
        <f>VLOOKUP($A520,PLAN!$B:$AC,2,0)</f>
        <v>1001947804</v>
      </c>
      <c r="F520" s="15">
        <f>VLOOKUP($A520,PLAN!$B:$AC,7,0)</f>
        <v>46263</v>
      </c>
      <c r="G520" s="16" t="str">
        <f>VLOOKUP($A520,PLAN!$B:$AC,8,0)</f>
        <v>0103613215</v>
      </c>
      <c r="H520" s="16" t="str">
        <f>VLOOKUP($A520,PLAN!$B:$AC,9,0)</f>
        <v>260815C29A</v>
      </c>
      <c r="I520" s="16">
        <f>VLOOKUP($A520,PLAN!$B:$AC,10,0)</f>
        <v>2</v>
      </c>
      <c r="J520" s="17">
        <f>VLOOKUP($A520,PLAN!$B:$AC,21,0)</f>
        <v>46258</v>
      </c>
      <c r="K520" s="145" t="str">
        <f>VLOOKUP($A520,PLAN!$B:$AC,22,0)</f>
        <v>M10</v>
      </c>
      <c r="L520" s="1"/>
      <c r="M520" s="1"/>
      <c r="N520" s="1"/>
      <c r="O520" s="221" t="s">
        <v>79</v>
      </c>
      <c r="P520" s="220"/>
      <c r="Q520" s="18">
        <f>VLOOKUP(A520,PLAN!B:R,17,0)</f>
        <v>46255</v>
      </c>
    </row>
    <row r="521" spans="1:17" ht="17.25" hidden="1" customHeight="1">
      <c r="A521" s="329" t="s">
        <v>5154</v>
      </c>
      <c r="B521" s="14">
        <f>VLOOKUP($A521,PLAN!$B:$AC,3,0)</f>
        <v>11119394</v>
      </c>
      <c r="C521" s="14" t="str">
        <f>VLOOKUP($A521,PLAN!$B:$AC,4,0)</f>
        <v>1911062-D-A</v>
      </c>
      <c r="D521" s="14" t="str">
        <f>VLOOKUP($A521,PLAN!$B:$AC,5,0)</f>
        <v>HJ60JR402P09020 JP</v>
      </c>
      <c r="E521" s="14" t="str">
        <f>VLOOKUP($A521,PLAN!$B:$AC,2,0)</f>
        <v>1001947805</v>
      </c>
      <c r="F521" s="15">
        <f>VLOOKUP($A521,PLAN!$B:$AC,7,0)</f>
        <v>46263</v>
      </c>
      <c r="G521" s="16" t="str">
        <f>VLOOKUP($A521,PLAN!$B:$AC,8,0)</f>
        <v>0103613216</v>
      </c>
      <c r="H521" s="16" t="str">
        <f>VLOOKUP($A521,PLAN!$B:$AC,9,0)</f>
        <v>260815C30A</v>
      </c>
      <c r="I521" s="16">
        <f>VLOOKUP($A521,PLAN!$B:$AC,10,0)</f>
        <v>2</v>
      </c>
      <c r="J521" s="17">
        <f>VLOOKUP($A521,PLAN!$B:$AC,21,0)</f>
        <v>46258</v>
      </c>
      <c r="K521" s="145" t="str">
        <f>VLOOKUP($A521,PLAN!$B:$AC,22,0)</f>
        <v>M10</v>
      </c>
      <c r="L521" s="1"/>
      <c r="M521" s="1"/>
      <c r="N521" s="1"/>
      <c r="O521" s="221" t="s">
        <v>79</v>
      </c>
      <c r="P521" s="220"/>
      <c r="Q521" s="18">
        <f>VLOOKUP(A521,PLAN!B:R,17,0)</f>
        <v>46255</v>
      </c>
    </row>
    <row r="522" spans="1:17" ht="17.25" hidden="1" customHeight="1">
      <c r="A522" s="329" t="s">
        <v>5155</v>
      </c>
      <c r="B522" s="14">
        <f>VLOOKUP($A522,PLAN!$B:$AC,3,0)</f>
        <v>11119498</v>
      </c>
      <c r="C522" s="14" t="str">
        <f>VLOOKUP($A522,PLAN!$B:$AC,4,0)</f>
        <v>1911164-D-A</v>
      </c>
      <c r="D522" s="14" t="str">
        <f>VLOOKUP($A522,PLAN!$B:$AC,5,0)</f>
        <v>HJ70JL452P10021 JP</v>
      </c>
      <c r="E522" s="14" t="str">
        <f>VLOOKUP($A522,PLAN!$B:$AC,2,0)</f>
        <v>1001947806</v>
      </c>
      <c r="F522" s="15">
        <f>VLOOKUP($A522,PLAN!$B:$AC,7,0)</f>
        <v>46263</v>
      </c>
      <c r="G522" s="16" t="str">
        <f>VLOOKUP($A522,PLAN!$B:$AC,8,0)</f>
        <v>0103613217</v>
      </c>
      <c r="H522" s="16" t="str">
        <f>VLOOKUP($A522,PLAN!$B:$AC,9,0)</f>
        <v>260815C31A</v>
      </c>
      <c r="I522" s="16">
        <f>VLOOKUP($A522,PLAN!$B:$AC,10,0)</f>
        <v>2</v>
      </c>
      <c r="J522" s="17">
        <f>VLOOKUP($A522,PLAN!$B:$AC,21,0)</f>
        <v>46258</v>
      </c>
      <c r="K522" s="145" t="str">
        <f>VLOOKUP($A522,PLAN!$B:$AC,22,0)</f>
        <v>M10</v>
      </c>
      <c r="L522" s="1"/>
      <c r="M522" s="1"/>
      <c r="N522" s="1"/>
      <c r="O522" s="221" t="s">
        <v>79</v>
      </c>
      <c r="P522" s="220"/>
      <c r="Q522" s="18">
        <f>VLOOKUP(A522,PLAN!B:R,17,0)</f>
        <v>46255</v>
      </c>
    </row>
    <row r="523" spans="1:17" ht="17.25" hidden="1" customHeight="1">
      <c r="A523" s="329" t="s">
        <v>5156</v>
      </c>
      <c r="B523" s="14">
        <f>VLOOKUP($A523,PLAN!$B:$AC,3,0)</f>
        <v>11119381</v>
      </c>
      <c r="C523" s="14" t="str">
        <f>VLOOKUP($A523,PLAN!$B:$AC,4,0)</f>
        <v>1911049-D-A</v>
      </c>
      <c r="D523" s="14" t="str">
        <f>VLOOKUP($A523,PLAN!$B:$AC,5,0)</f>
        <v>HJ60JL450P10000 JP</v>
      </c>
      <c r="E523" s="14" t="str">
        <f>VLOOKUP($A523,PLAN!$B:$AC,2,0)</f>
        <v>1001947807</v>
      </c>
      <c r="F523" s="15">
        <f>VLOOKUP($A523,PLAN!$B:$AC,7,0)</f>
        <v>46263</v>
      </c>
      <c r="G523" s="16" t="str">
        <f>VLOOKUP($A523,PLAN!$B:$AC,8,0)</f>
        <v>0103613218</v>
      </c>
      <c r="H523" s="16" t="str">
        <f>VLOOKUP($A523,PLAN!$B:$AC,9,0)</f>
        <v>260815C32A</v>
      </c>
      <c r="I523" s="16">
        <f>VLOOKUP($A523,PLAN!$B:$AC,10,0)</f>
        <v>3</v>
      </c>
      <c r="J523" s="17">
        <f>VLOOKUP($A523,PLAN!$B:$AC,21,0)</f>
        <v>46258</v>
      </c>
      <c r="K523" s="145" t="str">
        <f>VLOOKUP($A523,PLAN!$B:$AC,22,0)</f>
        <v>M10</v>
      </c>
      <c r="L523" s="1"/>
      <c r="M523" s="1"/>
      <c r="N523" s="1"/>
      <c r="O523" s="221" t="s">
        <v>79</v>
      </c>
      <c r="P523" s="220"/>
      <c r="Q523" s="18">
        <f>VLOOKUP(A523,PLAN!B:R,17,0)</f>
        <v>46255</v>
      </c>
    </row>
    <row r="524" spans="1:17" ht="17.25" hidden="1" customHeight="1">
      <c r="A524" s="329" t="s">
        <v>5157</v>
      </c>
      <c r="B524" s="14">
        <f>VLOOKUP($A524,PLAN!$B:$AC,3,0)</f>
        <v>11119348</v>
      </c>
      <c r="C524" s="14" t="str">
        <f>VLOOKUP($A524,PLAN!$B:$AC,4,0)</f>
        <v>1911016-D-A</v>
      </c>
      <c r="D524" s="14" t="str">
        <f>VLOOKUP($A524,PLAN!$B:$AC,5,0)</f>
        <v>HJ60AL202P10020 JP</v>
      </c>
      <c r="E524" s="14" t="str">
        <f>VLOOKUP($A524,PLAN!$B:$AC,2,0)</f>
        <v>1001947808</v>
      </c>
      <c r="F524" s="15">
        <f>VLOOKUP($A524,PLAN!$B:$AC,7,0)</f>
        <v>46263</v>
      </c>
      <c r="G524" s="16" t="str">
        <f>VLOOKUP($A524,PLAN!$B:$AC,8,0)</f>
        <v>0103613219</v>
      </c>
      <c r="H524" s="16" t="str">
        <f>VLOOKUP($A524,PLAN!$B:$AC,9,0)</f>
        <v>260815C33A</v>
      </c>
      <c r="I524" s="16">
        <f>VLOOKUP($A524,PLAN!$B:$AC,10,0)</f>
        <v>4</v>
      </c>
      <c r="J524" s="17">
        <f>VLOOKUP($A524,PLAN!$B:$AC,21,0)</f>
        <v>46258</v>
      </c>
      <c r="K524" s="145" t="str">
        <f>VLOOKUP($A524,PLAN!$B:$AC,22,0)</f>
        <v>M10</v>
      </c>
      <c r="L524" s="1"/>
      <c r="M524" s="1"/>
      <c r="N524" s="1"/>
      <c r="O524" s="221" t="s">
        <v>79</v>
      </c>
      <c r="P524" s="220"/>
      <c r="Q524" s="18">
        <f>VLOOKUP(A524,PLAN!B:R,17,0)</f>
        <v>46255</v>
      </c>
    </row>
    <row r="525" spans="1:17" ht="17.25" hidden="1" customHeight="1">
      <c r="A525" s="329" t="s">
        <v>5158</v>
      </c>
      <c r="B525" s="14">
        <f>VLOOKUP($A525,PLAN!$B:$AC,3,0)</f>
        <v>11119342</v>
      </c>
      <c r="C525" s="14" t="str">
        <f>VLOOKUP($A525,PLAN!$B:$AC,4,0)</f>
        <v>1911010-D-A</v>
      </c>
      <c r="D525" s="14" t="str">
        <f>VLOOKUP($A525,PLAN!$B:$AC,5,0)</f>
        <v>HJ60AL102P10021 JP</v>
      </c>
      <c r="E525" s="14" t="str">
        <f>VLOOKUP($A525,PLAN!$B:$AC,2,0)</f>
        <v>1001947809</v>
      </c>
      <c r="F525" s="15">
        <f>VLOOKUP($A525,PLAN!$B:$AC,7,0)</f>
        <v>46263</v>
      </c>
      <c r="G525" s="16" t="str">
        <f>VLOOKUP($A525,PLAN!$B:$AC,8,0)</f>
        <v>0103613220</v>
      </c>
      <c r="H525" s="16" t="str">
        <f>VLOOKUP($A525,PLAN!$B:$AC,9,0)</f>
        <v>260815C34A</v>
      </c>
      <c r="I525" s="16">
        <f>VLOOKUP($A525,PLAN!$B:$AC,10,0)</f>
        <v>4</v>
      </c>
      <c r="J525" s="17">
        <f>VLOOKUP($A525,PLAN!$B:$AC,21,0)</f>
        <v>46258</v>
      </c>
      <c r="K525" s="145" t="str">
        <f>VLOOKUP($A525,PLAN!$B:$AC,22,0)</f>
        <v>M10</v>
      </c>
      <c r="L525" s="1"/>
      <c r="M525" s="1"/>
      <c r="N525" s="1"/>
      <c r="O525" s="221" t="s">
        <v>79</v>
      </c>
      <c r="P525" s="220"/>
      <c r="Q525" s="18">
        <f>VLOOKUP(A525,PLAN!B:R,17,0)</f>
        <v>46255</v>
      </c>
    </row>
    <row r="526" spans="1:17" ht="17.25" hidden="1" customHeight="1">
      <c r="A526" s="329" t="s">
        <v>5159</v>
      </c>
      <c r="B526" s="14">
        <f>VLOOKUP($A526,PLAN!$B:$AC,3,0)</f>
        <v>11119374</v>
      </c>
      <c r="C526" s="14" t="str">
        <f>VLOOKUP($A526,PLAN!$B:$AC,4,0)</f>
        <v>1911042-D-A</v>
      </c>
      <c r="D526" s="14" t="str">
        <f>VLOOKUP($A526,PLAN!$B:$AC,5,0)</f>
        <v>HJ60JL352P10021 JP</v>
      </c>
      <c r="E526" s="14" t="str">
        <f>VLOOKUP($A526,PLAN!$B:$AC,2,0)</f>
        <v>1001947810</v>
      </c>
      <c r="F526" s="15">
        <f>VLOOKUP($A526,PLAN!$B:$AC,7,0)</f>
        <v>46263</v>
      </c>
      <c r="G526" s="16" t="str">
        <f>VLOOKUP($A526,PLAN!$B:$AC,8,0)</f>
        <v>0103613221</v>
      </c>
      <c r="H526" s="16" t="str">
        <f>VLOOKUP($A526,PLAN!$B:$AC,9,0)</f>
        <v>260815C35A</v>
      </c>
      <c r="I526" s="16">
        <f>VLOOKUP($A526,PLAN!$B:$AC,10,0)</f>
        <v>4</v>
      </c>
      <c r="J526" s="17">
        <f>VLOOKUP($A526,PLAN!$B:$AC,21,0)</f>
        <v>46258</v>
      </c>
      <c r="K526" s="145" t="str">
        <f>VLOOKUP($A526,PLAN!$B:$AC,22,0)</f>
        <v>M10</v>
      </c>
      <c r="L526" s="1"/>
      <c r="M526" s="1"/>
      <c r="N526" s="1"/>
      <c r="O526" s="221" t="s">
        <v>79</v>
      </c>
      <c r="P526" s="220"/>
      <c r="Q526" s="18">
        <f>VLOOKUP(A526,PLAN!B:R,17,0)</f>
        <v>46255</v>
      </c>
    </row>
    <row r="527" spans="1:17" ht="17.25" hidden="1" customHeight="1">
      <c r="A527" s="329" t="s">
        <v>5160</v>
      </c>
      <c r="B527" s="14">
        <f>VLOOKUP($A527,PLAN!$B:$AC,3,0)</f>
        <v>11119386</v>
      </c>
      <c r="C527" s="14" t="str">
        <f>VLOOKUP($A527,PLAN!$B:$AC,4,0)</f>
        <v>1911054-D-A</v>
      </c>
      <c r="D527" s="14" t="str">
        <f>VLOOKUP($A527,PLAN!$B:$AC,5,0)</f>
        <v>HJ60JL502P10020 JP</v>
      </c>
      <c r="E527" s="14" t="str">
        <f>VLOOKUP($A527,PLAN!$B:$AC,2,0)</f>
        <v>1001947811</v>
      </c>
      <c r="F527" s="15">
        <f>VLOOKUP($A527,PLAN!$B:$AC,7,0)</f>
        <v>46263</v>
      </c>
      <c r="G527" s="16" t="str">
        <f>VLOOKUP($A527,PLAN!$B:$AC,8,0)</f>
        <v>0103613222</v>
      </c>
      <c r="H527" s="16" t="str">
        <f>VLOOKUP($A527,PLAN!$B:$AC,9,0)</f>
        <v>260815C36A</v>
      </c>
      <c r="I527" s="16">
        <f>VLOOKUP($A527,PLAN!$B:$AC,10,0)</f>
        <v>4</v>
      </c>
      <c r="J527" s="17">
        <f>VLOOKUP($A527,PLAN!$B:$AC,21,0)</f>
        <v>46258</v>
      </c>
      <c r="K527" s="145" t="str">
        <f>VLOOKUP($A527,PLAN!$B:$AC,22,0)</f>
        <v>M10</v>
      </c>
      <c r="L527" s="1"/>
      <c r="M527" s="1"/>
      <c r="N527" s="1"/>
      <c r="O527" s="221" t="s">
        <v>79</v>
      </c>
      <c r="P527" s="220"/>
      <c r="Q527" s="18">
        <f>VLOOKUP(A527,PLAN!B:R,17,0)</f>
        <v>46255</v>
      </c>
    </row>
    <row r="528" spans="1:17" ht="17.25" hidden="1" customHeight="1">
      <c r="A528" s="329" t="s">
        <v>5161</v>
      </c>
      <c r="B528" s="14">
        <f>VLOOKUP($A528,PLAN!$B:$AC,3,0)</f>
        <v>11119398</v>
      </c>
      <c r="C528" s="14" t="str">
        <f>VLOOKUP($A528,PLAN!$B:$AC,4,0)</f>
        <v>1911066-D-A</v>
      </c>
      <c r="D528" s="14" t="str">
        <f>VLOOKUP($A528,PLAN!$B:$AC,5,0)</f>
        <v>HJ60JR502P10020 JP</v>
      </c>
      <c r="E528" s="14" t="str">
        <f>VLOOKUP($A528,PLAN!$B:$AC,2,0)</f>
        <v>1001947812</v>
      </c>
      <c r="F528" s="15">
        <f>VLOOKUP($A528,PLAN!$B:$AC,7,0)</f>
        <v>46263</v>
      </c>
      <c r="G528" s="16" t="str">
        <f>VLOOKUP($A528,PLAN!$B:$AC,8,0)</f>
        <v>0103613223</v>
      </c>
      <c r="H528" s="16" t="str">
        <f>VLOOKUP($A528,PLAN!$B:$AC,9,0)</f>
        <v>260815C37A</v>
      </c>
      <c r="I528" s="16">
        <f>VLOOKUP($A528,PLAN!$B:$AC,10,0)</f>
        <v>4</v>
      </c>
      <c r="J528" s="17">
        <f>VLOOKUP($A528,PLAN!$B:$AC,21,0)</f>
        <v>46258</v>
      </c>
      <c r="K528" s="145" t="str">
        <f>VLOOKUP($A528,PLAN!$B:$AC,22,0)</f>
        <v>M10</v>
      </c>
      <c r="L528" s="1"/>
      <c r="M528" s="1"/>
      <c r="N528" s="1"/>
      <c r="O528" s="221" t="s">
        <v>79</v>
      </c>
      <c r="P528" s="220"/>
      <c r="Q528" s="18">
        <f>VLOOKUP(A528,PLAN!B:R,17,0)</f>
        <v>46255</v>
      </c>
    </row>
    <row r="529" spans="1:17" ht="17.25" hidden="1" customHeight="1">
      <c r="A529" s="329" t="s">
        <v>5162</v>
      </c>
      <c r="B529" s="14">
        <f>VLOOKUP($A529,PLAN!$B:$AC,3,0)</f>
        <v>11119570</v>
      </c>
      <c r="C529" s="14" t="str">
        <f>VLOOKUP($A529,PLAN!$B:$AC,4,0)</f>
        <v>1911236-D-A</v>
      </c>
      <c r="D529" s="14" t="str">
        <f>VLOOKUP($A529,PLAN!$B:$AC,5,0)</f>
        <v>HJ80AL072P10000 JP</v>
      </c>
      <c r="E529" s="14" t="str">
        <f>VLOOKUP($A529,PLAN!$B:$AC,2,0)</f>
        <v>1001947813</v>
      </c>
      <c r="F529" s="15">
        <f>VLOOKUP($A529,PLAN!$B:$AC,7,0)</f>
        <v>46263</v>
      </c>
      <c r="G529" s="16" t="str">
        <f>VLOOKUP($A529,PLAN!$B:$AC,8,0)</f>
        <v>0103613224</v>
      </c>
      <c r="H529" s="16" t="str">
        <f>VLOOKUP($A529,PLAN!$B:$AC,9,0)</f>
        <v>260815C38A</v>
      </c>
      <c r="I529" s="16">
        <f>VLOOKUP($A529,PLAN!$B:$AC,10,0)</f>
        <v>5</v>
      </c>
      <c r="J529" s="17">
        <f>VLOOKUP($A529,PLAN!$B:$AC,21,0)</f>
        <v>46258</v>
      </c>
      <c r="K529" s="145" t="str">
        <f>VLOOKUP($A529,PLAN!$B:$AC,22,0)</f>
        <v>M10</v>
      </c>
      <c r="L529" s="1"/>
      <c r="M529" s="1"/>
      <c r="N529" s="1"/>
      <c r="O529" s="221" t="s">
        <v>79</v>
      </c>
      <c r="P529" s="220"/>
      <c r="Q529" s="18">
        <f>VLOOKUP(A529,PLAN!B:R,17,0)</f>
        <v>46255</v>
      </c>
    </row>
    <row r="530" spans="1:17" ht="17.25" hidden="1" customHeight="1">
      <c r="A530" s="329" t="s">
        <v>5163</v>
      </c>
      <c r="B530" s="14">
        <f>VLOOKUP($A530,PLAN!$B:$AC,3,0)</f>
        <v>11119664</v>
      </c>
      <c r="C530" s="14" t="str">
        <f>VLOOKUP($A530,PLAN!$B:$AC,4,0)</f>
        <v>1911330-D-A</v>
      </c>
      <c r="D530" s="14" t="str">
        <f>VLOOKUP($A530,PLAN!$B:$AC,5,0)</f>
        <v>HJ80AL102P09002 JP</v>
      </c>
      <c r="E530" s="14" t="str">
        <f>VLOOKUP($A530,PLAN!$B:$AC,2,0)</f>
        <v>1001947814</v>
      </c>
      <c r="F530" s="15">
        <f>VLOOKUP($A530,PLAN!$B:$AC,7,0)</f>
        <v>46263</v>
      </c>
      <c r="G530" s="16" t="str">
        <f>VLOOKUP($A530,PLAN!$B:$AC,8,0)</f>
        <v>0103613225</v>
      </c>
      <c r="H530" s="16" t="str">
        <f>VLOOKUP($A530,PLAN!$B:$AC,9,0)</f>
        <v>260815C39A</v>
      </c>
      <c r="I530" s="16">
        <f>VLOOKUP($A530,PLAN!$B:$AC,10,0)</f>
        <v>5</v>
      </c>
      <c r="J530" s="17">
        <f>VLOOKUP($A530,PLAN!$B:$AC,21,0)</f>
        <v>46258</v>
      </c>
      <c r="K530" s="145" t="str">
        <f>VLOOKUP($A530,PLAN!$B:$AC,22,0)</f>
        <v>M10</v>
      </c>
      <c r="L530" s="1"/>
      <c r="M530" s="1"/>
      <c r="N530" s="1"/>
      <c r="O530" s="221" t="s">
        <v>79</v>
      </c>
      <c r="P530" s="220"/>
      <c r="Q530" s="18">
        <f>VLOOKUP(A530,PLAN!B:R,17,0)</f>
        <v>46255</v>
      </c>
    </row>
    <row r="531" spans="1:17" ht="17.25" hidden="1" customHeight="1">
      <c r="A531" s="329" t="s">
        <v>5164</v>
      </c>
      <c r="B531" s="14">
        <f>VLOOKUP($A531,PLAN!$B:$AC,3,0)</f>
        <v>11119366</v>
      </c>
      <c r="C531" s="14" t="str">
        <f>VLOOKUP($A531,PLAN!$B:$AC,4,0)</f>
        <v>1911034-D-A</v>
      </c>
      <c r="D531" s="14" t="str">
        <f>VLOOKUP($A531,PLAN!$B:$AC,5,0)</f>
        <v>HJ60IL402P10020 JP</v>
      </c>
      <c r="E531" s="14" t="str">
        <f>VLOOKUP($A531,PLAN!$B:$AC,2,0)</f>
        <v>1001947815</v>
      </c>
      <c r="F531" s="15">
        <f>VLOOKUP($A531,PLAN!$B:$AC,7,0)</f>
        <v>46263</v>
      </c>
      <c r="G531" s="16" t="str">
        <f>VLOOKUP($A531,PLAN!$B:$AC,8,0)</f>
        <v>0103613226</v>
      </c>
      <c r="H531" s="16" t="str">
        <f>VLOOKUP($A531,PLAN!$B:$AC,9,0)</f>
        <v>260815C40A</v>
      </c>
      <c r="I531" s="16">
        <f>VLOOKUP($A531,PLAN!$B:$AC,10,0)</f>
        <v>6</v>
      </c>
      <c r="J531" s="17">
        <f>VLOOKUP($A531,PLAN!$B:$AC,21,0)</f>
        <v>46258</v>
      </c>
      <c r="K531" s="145" t="str">
        <f>VLOOKUP($A531,PLAN!$B:$AC,22,0)</f>
        <v>M10</v>
      </c>
      <c r="L531" s="1"/>
      <c r="M531" s="1"/>
      <c r="N531" s="1"/>
      <c r="O531" s="221" t="s">
        <v>79</v>
      </c>
      <c r="P531" s="220"/>
      <c r="Q531" s="18">
        <f>VLOOKUP(A531,PLAN!B:R,17,0)</f>
        <v>46255</v>
      </c>
    </row>
    <row r="532" spans="1:17" ht="17.25" hidden="1" customHeight="1">
      <c r="A532" s="329" t="s">
        <v>5165</v>
      </c>
      <c r="B532" s="14">
        <f>VLOOKUP($A532,PLAN!$B:$AC,3,0)</f>
        <v>11119629</v>
      </c>
      <c r="C532" s="14" t="str">
        <f>VLOOKUP($A532,PLAN!$B:$AC,4,0)</f>
        <v>1911295-D-A</v>
      </c>
      <c r="D532" s="14" t="str">
        <f>VLOOKUP($A532,PLAN!$B:$AC,5,0)</f>
        <v>HJ80JR400P10000 JP</v>
      </c>
      <c r="E532" s="14" t="str">
        <f>VLOOKUP($A532,PLAN!$B:$AC,2,0)</f>
        <v>1001947816</v>
      </c>
      <c r="F532" s="15">
        <f>VLOOKUP($A532,PLAN!$B:$AC,7,0)</f>
        <v>46263</v>
      </c>
      <c r="G532" s="16" t="str">
        <f>VLOOKUP($A532,PLAN!$B:$AC,8,0)</f>
        <v>0103613227</v>
      </c>
      <c r="H532" s="16" t="str">
        <f>VLOOKUP($A532,PLAN!$B:$AC,9,0)</f>
        <v>260815C41A</v>
      </c>
      <c r="I532" s="16">
        <f>VLOOKUP($A532,PLAN!$B:$AC,10,0)</f>
        <v>6</v>
      </c>
      <c r="J532" s="17">
        <f>VLOOKUP($A532,PLAN!$B:$AC,21,0)</f>
        <v>46258</v>
      </c>
      <c r="K532" s="145" t="str">
        <f>VLOOKUP($A532,PLAN!$B:$AC,22,0)</f>
        <v>M10</v>
      </c>
      <c r="L532" s="1"/>
      <c r="M532" s="1"/>
      <c r="N532" s="1"/>
      <c r="O532" s="221" t="s">
        <v>79</v>
      </c>
      <c r="P532" s="220"/>
      <c r="Q532" s="18">
        <f>VLOOKUP(A532,PLAN!B:R,17,0)</f>
        <v>46255</v>
      </c>
    </row>
    <row r="533" spans="1:17" ht="17.25" hidden="1" customHeight="1">
      <c r="A533" s="329" t="s">
        <v>5166</v>
      </c>
      <c r="B533" s="14">
        <f>VLOOKUP($A533,PLAN!$B:$AC,3,0)</f>
        <v>11119340</v>
      </c>
      <c r="C533" s="14" t="str">
        <f>VLOOKUP($A533,PLAN!$B:$AC,4,0)</f>
        <v>1911008-D-A</v>
      </c>
      <c r="D533" s="14" t="str">
        <f>VLOOKUP($A533,PLAN!$B:$AC,5,0)</f>
        <v>HJ60AL102P09020 JP</v>
      </c>
      <c r="E533" s="14" t="str">
        <f>VLOOKUP($A533,PLAN!$B:$AC,2,0)</f>
        <v>1001947817</v>
      </c>
      <c r="F533" s="15">
        <f>VLOOKUP($A533,PLAN!$B:$AC,7,0)</f>
        <v>46263</v>
      </c>
      <c r="G533" s="16" t="str">
        <f>VLOOKUP($A533,PLAN!$B:$AC,8,0)</f>
        <v>0103613228</v>
      </c>
      <c r="H533" s="16" t="str">
        <f>VLOOKUP($A533,PLAN!$B:$AC,9,0)</f>
        <v>260815C42A</v>
      </c>
      <c r="I533" s="16">
        <f>VLOOKUP($A533,PLAN!$B:$AC,10,0)</f>
        <v>7</v>
      </c>
      <c r="J533" s="17">
        <f>VLOOKUP($A533,PLAN!$B:$AC,21,0)</f>
        <v>46258</v>
      </c>
      <c r="K533" s="145" t="str">
        <f>VLOOKUP($A533,PLAN!$B:$AC,22,0)</f>
        <v>M10</v>
      </c>
      <c r="L533" s="1"/>
      <c r="M533" s="1"/>
      <c r="N533" s="1"/>
      <c r="O533" s="221" t="s">
        <v>79</v>
      </c>
      <c r="P533" s="220"/>
      <c r="Q533" s="18">
        <f>VLOOKUP(A533,PLAN!B:R,17,0)</f>
        <v>46255</v>
      </c>
    </row>
    <row r="534" spans="1:17" ht="17.25" hidden="1" customHeight="1">
      <c r="A534" s="329" t="s">
        <v>5167</v>
      </c>
      <c r="B534" s="14">
        <f>VLOOKUP($A534,PLAN!$B:$AC,3,0)</f>
        <v>11119417</v>
      </c>
      <c r="C534" s="14" t="str">
        <f>VLOOKUP($A534,PLAN!$B:$AC,4,0)</f>
        <v>1911085-D-A</v>
      </c>
      <c r="D534" s="14" t="str">
        <f>VLOOKUP($A534,PLAN!$B:$AC,5,0)</f>
        <v>HJ60AL150P10022 JP</v>
      </c>
      <c r="E534" s="14" t="str">
        <f>VLOOKUP($A534,PLAN!$B:$AC,2,0)</f>
        <v>1001947818</v>
      </c>
      <c r="F534" s="15">
        <f>VLOOKUP($A534,PLAN!$B:$AC,7,0)</f>
        <v>46263</v>
      </c>
      <c r="G534" s="16" t="str">
        <f>VLOOKUP($A534,PLAN!$B:$AC,8,0)</f>
        <v>0103613229</v>
      </c>
      <c r="H534" s="16" t="str">
        <f>VLOOKUP($A534,PLAN!$B:$AC,9,0)</f>
        <v>260815C43A</v>
      </c>
      <c r="I534" s="16">
        <f>VLOOKUP($A534,PLAN!$B:$AC,10,0)</f>
        <v>8</v>
      </c>
      <c r="J534" s="17">
        <f>VLOOKUP($A534,PLAN!$B:$AC,21,0)</f>
        <v>46258</v>
      </c>
      <c r="K534" s="145" t="str">
        <f>VLOOKUP($A534,PLAN!$B:$AC,22,0)</f>
        <v>M10</v>
      </c>
      <c r="L534" s="1"/>
      <c r="M534" s="1"/>
      <c r="N534" s="1"/>
      <c r="O534" s="221" t="s">
        <v>79</v>
      </c>
      <c r="P534" s="220"/>
      <c r="Q534" s="18">
        <f>VLOOKUP(A534,PLAN!B:R,17,0)</f>
        <v>46255</v>
      </c>
    </row>
    <row r="535" spans="1:17" ht="17.25" hidden="1" customHeight="1">
      <c r="A535" s="329" t="s">
        <v>5168</v>
      </c>
      <c r="B535" s="14">
        <f>VLOOKUP($A535,PLAN!$B:$AC,3,0)</f>
        <v>11119444</v>
      </c>
      <c r="C535" s="14" t="str">
        <f>VLOOKUP($A535,PLAN!$B:$AC,4,0)</f>
        <v>1911110-D-A</v>
      </c>
      <c r="D535" s="14" t="str">
        <f>VLOOKUP($A535,PLAN!$B:$AC,5,0)</f>
        <v>HJ70AL102P10020 JP</v>
      </c>
      <c r="E535" s="14" t="str">
        <f>VLOOKUP($A535,PLAN!$B:$AC,2,0)</f>
        <v>1001947819</v>
      </c>
      <c r="F535" s="15">
        <f>VLOOKUP($A535,PLAN!$B:$AC,7,0)</f>
        <v>46263</v>
      </c>
      <c r="G535" s="16" t="str">
        <f>VLOOKUP($A535,PLAN!$B:$AC,8,0)</f>
        <v>0103613230</v>
      </c>
      <c r="H535" s="16" t="str">
        <f>VLOOKUP($A535,PLAN!$B:$AC,9,0)</f>
        <v>260815C44A</v>
      </c>
      <c r="I535" s="16">
        <f>VLOOKUP($A535,PLAN!$B:$AC,10,0)</f>
        <v>9</v>
      </c>
      <c r="J535" s="17">
        <f>VLOOKUP($A535,PLAN!$B:$AC,21,0)</f>
        <v>46258</v>
      </c>
      <c r="K535" s="145" t="str">
        <f>VLOOKUP($A535,PLAN!$B:$AC,22,0)</f>
        <v>M10</v>
      </c>
      <c r="L535" s="1"/>
      <c r="M535" s="1"/>
      <c r="N535" s="1"/>
      <c r="O535" s="221" t="s">
        <v>79</v>
      </c>
      <c r="P535" s="220"/>
      <c r="Q535" s="18">
        <f>VLOOKUP(A535,PLAN!B:R,17,0)</f>
        <v>46255</v>
      </c>
    </row>
    <row r="536" spans="1:17" ht="17.25" hidden="1" customHeight="1">
      <c r="A536" s="329" t="s">
        <v>5169</v>
      </c>
      <c r="B536" s="14">
        <f>VLOOKUP($A536,PLAN!$B:$AC,3,0)</f>
        <v>11119659</v>
      </c>
      <c r="C536" s="14" t="str">
        <f>VLOOKUP($A536,PLAN!$B:$AC,4,0)</f>
        <v>1911325-D-A</v>
      </c>
      <c r="D536" s="14" t="str">
        <f>VLOOKUP($A536,PLAN!$B:$AC,5,0)</f>
        <v>HJ80AL072P10002 JP</v>
      </c>
      <c r="E536" s="14" t="str">
        <f>VLOOKUP($A536,PLAN!$B:$AC,2,0)</f>
        <v>1001947820</v>
      </c>
      <c r="F536" s="15">
        <f>VLOOKUP($A536,PLAN!$B:$AC,7,0)</f>
        <v>46263</v>
      </c>
      <c r="G536" s="16" t="str">
        <f>VLOOKUP($A536,PLAN!$B:$AC,8,0)</f>
        <v>0103613231</v>
      </c>
      <c r="H536" s="16" t="str">
        <f>VLOOKUP($A536,PLAN!$B:$AC,9,0)</f>
        <v>260815C45A</v>
      </c>
      <c r="I536" s="16">
        <f>VLOOKUP($A536,PLAN!$B:$AC,10,0)</f>
        <v>10</v>
      </c>
      <c r="J536" s="17">
        <f>VLOOKUP($A536,PLAN!$B:$AC,21,0)</f>
        <v>46258</v>
      </c>
      <c r="K536" s="145" t="str">
        <f>VLOOKUP($A536,PLAN!$B:$AC,22,0)</f>
        <v>M10</v>
      </c>
      <c r="L536" s="1"/>
      <c r="M536" s="1"/>
      <c r="N536" s="1"/>
      <c r="O536" s="221" t="s">
        <v>79</v>
      </c>
      <c r="P536" s="220"/>
      <c r="Q536" s="18">
        <f>VLOOKUP(A536,PLAN!B:R,17,0)</f>
        <v>46255</v>
      </c>
    </row>
    <row r="537" spans="1:17" ht="17.25" hidden="1" customHeight="1">
      <c r="A537" s="329" t="s">
        <v>5170</v>
      </c>
      <c r="B537" s="14">
        <f>VLOOKUP($A537,PLAN!$B:$AC,3,0)</f>
        <v>11119347</v>
      </c>
      <c r="C537" s="14" t="str">
        <f>VLOOKUP($A537,PLAN!$B:$AC,4,0)</f>
        <v>1911015-D-A</v>
      </c>
      <c r="D537" s="14" t="str">
        <f>VLOOKUP($A537,PLAN!$B:$AC,5,0)</f>
        <v>HJ60AL200P10020 JP</v>
      </c>
      <c r="E537" s="14" t="str">
        <f>VLOOKUP($A537,PLAN!$B:$AC,2,0)</f>
        <v>1001947821</v>
      </c>
      <c r="F537" s="15">
        <f>VLOOKUP($A537,PLAN!$B:$AC,7,0)</f>
        <v>46263</v>
      </c>
      <c r="G537" s="16" t="str">
        <f>VLOOKUP($A537,PLAN!$B:$AC,8,0)</f>
        <v>0103613232</v>
      </c>
      <c r="H537" s="16" t="str">
        <f>VLOOKUP($A537,PLAN!$B:$AC,9,0)</f>
        <v>260815C46A</v>
      </c>
      <c r="I537" s="16">
        <f>VLOOKUP($A537,PLAN!$B:$AC,10,0)</f>
        <v>12</v>
      </c>
      <c r="J537" s="17">
        <f>VLOOKUP($A537,PLAN!$B:$AC,21,0)</f>
        <v>46258</v>
      </c>
      <c r="K537" s="145" t="str">
        <f>VLOOKUP($A537,PLAN!$B:$AC,22,0)</f>
        <v>M10</v>
      </c>
      <c r="L537" s="1"/>
      <c r="M537" s="1"/>
      <c r="N537" s="1"/>
      <c r="O537" s="221" t="s">
        <v>79</v>
      </c>
      <c r="P537" s="220"/>
      <c r="Q537" s="18">
        <f>VLOOKUP(A537,PLAN!B:R,17,0)</f>
        <v>46255</v>
      </c>
    </row>
    <row r="538" spans="1:17" ht="17.25" hidden="1" customHeight="1">
      <c r="A538" s="329" t="s">
        <v>5171</v>
      </c>
      <c r="B538" s="14">
        <f>VLOOKUP($A538,PLAN!$B:$AC,3,0)</f>
        <v>11119364</v>
      </c>
      <c r="C538" s="14" t="str">
        <f>VLOOKUP($A538,PLAN!$B:$AC,4,0)</f>
        <v>1911032-D-A</v>
      </c>
      <c r="D538" s="14" t="str">
        <f>VLOOKUP($A538,PLAN!$B:$AC,5,0)</f>
        <v>HJ60IL352P10020 JP</v>
      </c>
      <c r="E538" s="14" t="str">
        <f>VLOOKUP($A538,PLAN!$B:$AC,2,0)</f>
        <v>1001947822</v>
      </c>
      <c r="F538" s="15">
        <f>VLOOKUP($A538,PLAN!$B:$AC,7,0)</f>
        <v>46263</v>
      </c>
      <c r="G538" s="16" t="str">
        <f>VLOOKUP($A538,PLAN!$B:$AC,8,0)</f>
        <v>0103613233</v>
      </c>
      <c r="H538" s="16" t="str">
        <f>VLOOKUP($A538,PLAN!$B:$AC,9,0)</f>
        <v>260815C47A</v>
      </c>
      <c r="I538" s="16">
        <f>VLOOKUP($A538,PLAN!$B:$AC,10,0)</f>
        <v>12</v>
      </c>
      <c r="J538" s="17">
        <f>VLOOKUP($A538,PLAN!$B:$AC,21,0)</f>
        <v>46258</v>
      </c>
      <c r="K538" s="145" t="str">
        <f>VLOOKUP($A538,PLAN!$B:$AC,22,0)</f>
        <v>M10</v>
      </c>
      <c r="L538" s="1"/>
      <c r="M538" s="1"/>
      <c r="N538" s="1"/>
      <c r="O538" s="221" t="s">
        <v>79</v>
      </c>
      <c r="P538" s="220"/>
      <c r="Q538" s="18">
        <f>VLOOKUP(A538,PLAN!B:R,17,0)</f>
        <v>46255</v>
      </c>
    </row>
    <row r="539" spans="1:17" ht="17.25" hidden="1" customHeight="1">
      <c r="A539" s="329" t="s">
        <v>5172</v>
      </c>
      <c r="B539" s="14">
        <f>VLOOKUP($A539,PLAN!$B:$AC,3,0)</f>
        <v>11119486</v>
      </c>
      <c r="C539" s="14" t="str">
        <f>VLOOKUP($A539,PLAN!$B:$AC,4,0)</f>
        <v>1911152-D-A</v>
      </c>
      <c r="D539" s="14" t="str">
        <f>VLOOKUP($A539,PLAN!$B:$AC,5,0)</f>
        <v>HJ70JL352P10021 JP</v>
      </c>
      <c r="E539" s="14" t="str">
        <f>VLOOKUP($A539,PLAN!$B:$AC,2,0)</f>
        <v>1001947823</v>
      </c>
      <c r="F539" s="15">
        <f>VLOOKUP($A539,PLAN!$B:$AC,7,0)</f>
        <v>46263</v>
      </c>
      <c r="G539" s="16" t="str">
        <f>VLOOKUP($A539,PLAN!$B:$AC,8,0)</f>
        <v>0103613234</v>
      </c>
      <c r="H539" s="16" t="str">
        <f>VLOOKUP($A539,PLAN!$B:$AC,9,0)</f>
        <v>260815C48A</v>
      </c>
      <c r="I539" s="16">
        <f>VLOOKUP($A539,PLAN!$B:$AC,10,0)</f>
        <v>12</v>
      </c>
      <c r="J539" s="17">
        <f>VLOOKUP($A539,PLAN!$B:$AC,21,0)</f>
        <v>46258</v>
      </c>
      <c r="K539" s="145" t="str">
        <f>VLOOKUP($A539,PLAN!$B:$AC,22,0)</f>
        <v>M10</v>
      </c>
      <c r="L539" s="1"/>
      <c r="M539" s="1"/>
      <c r="N539" s="1"/>
      <c r="O539" s="221" t="s">
        <v>79</v>
      </c>
      <c r="P539" s="220"/>
      <c r="Q539" s="18">
        <f>VLOOKUP(A539,PLAN!B:R,17,0)</f>
        <v>46255</v>
      </c>
    </row>
    <row r="540" spans="1:17" ht="17.25" hidden="1" customHeight="1">
      <c r="A540" s="329" t="s">
        <v>5173</v>
      </c>
      <c r="B540" s="14">
        <f>VLOOKUP($A540,PLAN!$B:$AC,3,0)</f>
        <v>11119631</v>
      </c>
      <c r="C540" s="14" t="str">
        <f>VLOOKUP($A540,PLAN!$B:$AC,4,0)</f>
        <v>1911297-D-A</v>
      </c>
      <c r="D540" s="14" t="str">
        <f>VLOOKUP($A540,PLAN!$B:$AC,5,0)</f>
        <v>HJ80JR402P10000 JP</v>
      </c>
      <c r="E540" s="14" t="str">
        <f>VLOOKUP($A540,PLAN!$B:$AC,2,0)</f>
        <v>1001947824</v>
      </c>
      <c r="F540" s="15">
        <f>VLOOKUP($A540,PLAN!$B:$AC,7,0)</f>
        <v>46263</v>
      </c>
      <c r="G540" s="16" t="str">
        <f>VLOOKUP($A540,PLAN!$B:$AC,8,0)</f>
        <v>0103613235</v>
      </c>
      <c r="H540" s="16" t="str">
        <f>VLOOKUP($A540,PLAN!$B:$AC,9,0)</f>
        <v>260815C49A</v>
      </c>
      <c r="I540" s="16">
        <f>VLOOKUP($A540,PLAN!$B:$AC,10,0)</f>
        <v>12</v>
      </c>
      <c r="J540" s="17">
        <f>VLOOKUP($A540,PLAN!$B:$AC,21,0)</f>
        <v>46258</v>
      </c>
      <c r="K540" s="145" t="str">
        <f>VLOOKUP($A540,PLAN!$B:$AC,22,0)</f>
        <v>M10</v>
      </c>
      <c r="L540" s="1"/>
      <c r="M540" s="1"/>
      <c r="N540" s="1"/>
      <c r="O540" s="221" t="s">
        <v>79</v>
      </c>
      <c r="P540" s="220"/>
      <c r="Q540" s="18">
        <f>VLOOKUP(A540,PLAN!B:R,17,0)</f>
        <v>46255</v>
      </c>
    </row>
    <row r="541" spans="1:17" ht="17.25" hidden="1" customHeight="1">
      <c r="A541" s="329" t="s">
        <v>5174</v>
      </c>
      <c r="B541" s="14">
        <f>VLOOKUP($A541,PLAN!$B:$AC,3,0)</f>
        <v>11119418</v>
      </c>
      <c r="C541" s="14" t="str">
        <f>VLOOKUP($A541,PLAN!$B:$AC,4,0)</f>
        <v>1911086-D-A</v>
      </c>
      <c r="D541" s="14" t="str">
        <f>VLOOKUP($A541,PLAN!$B:$AC,5,0)</f>
        <v>HJ60AL152P10022 JP</v>
      </c>
      <c r="E541" s="14" t="str">
        <f>VLOOKUP($A541,PLAN!$B:$AC,2,0)</f>
        <v>1001947825</v>
      </c>
      <c r="F541" s="15">
        <f>VLOOKUP($A541,PLAN!$B:$AC,7,0)</f>
        <v>46263</v>
      </c>
      <c r="G541" s="16" t="str">
        <f>VLOOKUP($A541,PLAN!$B:$AC,8,0)</f>
        <v>0103613236</v>
      </c>
      <c r="H541" s="16" t="str">
        <f>VLOOKUP($A541,PLAN!$B:$AC,9,0)</f>
        <v>260815C50A</v>
      </c>
      <c r="I541" s="16">
        <f>VLOOKUP($A541,PLAN!$B:$AC,10,0)</f>
        <v>13</v>
      </c>
      <c r="J541" s="17">
        <f>VLOOKUP($A541,PLAN!$B:$AC,21,0)</f>
        <v>46258</v>
      </c>
      <c r="K541" s="145" t="str">
        <f>VLOOKUP($A541,PLAN!$B:$AC,22,0)</f>
        <v>M10</v>
      </c>
      <c r="L541" s="1"/>
      <c r="M541" s="1"/>
      <c r="N541" s="1"/>
      <c r="O541" s="221" t="s">
        <v>79</v>
      </c>
      <c r="P541" s="220"/>
      <c r="Q541" s="18">
        <f>VLOOKUP(A541,PLAN!B:R,17,0)</f>
        <v>46255</v>
      </c>
    </row>
    <row r="542" spans="1:17" ht="17.25" hidden="1" customHeight="1">
      <c r="A542" s="329" t="s">
        <v>5175</v>
      </c>
      <c r="B542" s="14">
        <f>VLOOKUP($A542,PLAN!$B:$AC,3,0)</f>
        <v>11119421</v>
      </c>
      <c r="C542" s="14" t="str">
        <f>VLOOKUP($A542,PLAN!$B:$AC,4,0)</f>
        <v>1911089-D-A</v>
      </c>
      <c r="D542" s="14" t="str">
        <f>VLOOKUP($A542,PLAN!$B:$AC,5,0)</f>
        <v>HJ60SC350P10000 JP</v>
      </c>
      <c r="E542" s="14" t="str">
        <f>VLOOKUP($A542,PLAN!$B:$AC,2,0)</f>
        <v>1001947826</v>
      </c>
      <c r="F542" s="15">
        <f>VLOOKUP($A542,PLAN!$B:$AC,7,0)</f>
        <v>46263</v>
      </c>
      <c r="G542" s="16" t="str">
        <f>VLOOKUP($A542,PLAN!$B:$AC,8,0)</f>
        <v>0103613237</v>
      </c>
      <c r="H542" s="16" t="str">
        <f>VLOOKUP($A542,PLAN!$B:$AC,9,0)</f>
        <v>260815C51A</v>
      </c>
      <c r="I542" s="16">
        <f>VLOOKUP($A542,PLAN!$B:$AC,10,0)</f>
        <v>15</v>
      </c>
      <c r="J542" s="17">
        <f>VLOOKUP($A542,PLAN!$B:$AC,21,0)</f>
        <v>46258</v>
      </c>
      <c r="K542" s="145" t="str">
        <f>VLOOKUP($A542,PLAN!$B:$AC,22,0)</f>
        <v>M10</v>
      </c>
      <c r="L542" s="1"/>
      <c r="M542" s="1"/>
      <c r="N542" s="1"/>
      <c r="O542" s="221" t="s">
        <v>79</v>
      </c>
      <c r="P542" s="220"/>
      <c r="Q542" s="18">
        <f>VLOOKUP(A542,PLAN!B:R,17,0)</f>
        <v>46255</v>
      </c>
    </row>
    <row r="543" spans="1:17" ht="17.25" hidden="1" customHeight="1">
      <c r="A543" s="329" t="s">
        <v>5176</v>
      </c>
      <c r="B543" s="14">
        <f>VLOOKUP($A543,PLAN!$B:$AC,3,0)</f>
        <v>11119663</v>
      </c>
      <c r="C543" s="14" t="str">
        <f>VLOOKUP($A543,PLAN!$B:$AC,4,0)</f>
        <v>1911329-D-A</v>
      </c>
      <c r="D543" s="14" t="str">
        <f>VLOOKUP($A543,PLAN!$B:$AC,5,0)</f>
        <v>HJ80AL102P10002 JP</v>
      </c>
      <c r="E543" s="14" t="str">
        <f>VLOOKUP($A543,PLAN!$B:$AC,2,0)</f>
        <v>1001947827</v>
      </c>
      <c r="F543" s="15">
        <f>VLOOKUP($A543,PLAN!$B:$AC,7,0)</f>
        <v>46263</v>
      </c>
      <c r="G543" s="16" t="str">
        <f>VLOOKUP($A543,PLAN!$B:$AC,8,0)</f>
        <v>0103613238</v>
      </c>
      <c r="H543" s="16" t="str">
        <f>VLOOKUP($A543,PLAN!$B:$AC,9,0)</f>
        <v>260815C52A</v>
      </c>
      <c r="I543" s="16">
        <f>VLOOKUP($A543,PLAN!$B:$AC,10,0)</f>
        <v>15</v>
      </c>
      <c r="J543" s="17">
        <f>VLOOKUP($A543,PLAN!$B:$AC,21,0)</f>
        <v>46258</v>
      </c>
      <c r="K543" s="145" t="str">
        <f>VLOOKUP($A543,PLAN!$B:$AC,22,0)</f>
        <v>M10</v>
      </c>
      <c r="L543" s="1"/>
      <c r="M543" s="1"/>
      <c r="N543" s="1"/>
      <c r="O543" s="221" t="s">
        <v>79</v>
      </c>
      <c r="P543" s="220"/>
      <c r="Q543" s="18">
        <f>VLOOKUP(A543,PLAN!B:R,17,0)</f>
        <v>46255</v>
      </c>
    </row>
    <row r="544" spans="1:17" ht="17.25" hidden="1" customHeight="1">
      <c r="A544" s="329" t="s">
        <v>5177</v>
      </c>
      <c r="B544" s="14">
        <f>VLOOKUP($A544,PLAN!$B:$AC,3,0)</f>
        <v>11119333</v>
      </c>
      <c r="C544" s="14" t="str">
        <f>VLOOKUP($A544,PLAN!$B:$AC,4,0)</f>
        <v>1911001-D-A</v>
      </c>
      <c r="D544" s="14" t="str">
        <f>VLOOKUP($A544,PLAN!$B:$AC,5,0)</f>
        <v>HJ60AL070P10020 JP</v>
      </c>
      <c r="E544" s="14" t="str">
        <f>VLOOKUP($A544,PLAN!$B:$AC,2,0)</f>
        <v>1001947828</v>
      </c>
      <c r="F544" s="15">
        <f>VLOOKUP($A544,PLAN!$B:$AC,7,0)</f>
        <v>46263</v>
      </c>
      <c r="G544" s="16" t="str">
        <f>VLOOKUP($A544,PLAN!$B:$AC,8,0)</f>
        <v>0103613240</v>
      </c>
      <c r="H544" s="16" t="str">
        <f>VLOOKUP($A544,PLAN!$B:$AC,9,0)</f>
        <v>260815C53A</v>
      </c>
      <c r="I544" s="16">
        <f>VLOOKUP($A544,PLAN!$B:$AC,10,0)</f>
        <v>16</v>
      </c>
      <c r="J544" s="17">
        <f>VLOOKUP($A544,PLAN!$B:$AC,21,0)</f>
        <v>46258</v>
      </c>
      <c r="K544" s="145" t="str">
        <f>VLOOKUP($A544,PLAN!$B:$AC,22,0)</f>
        <v>M10</v>
      </c>
      <c r="L544" s="1"/>
      <c r="M544" s="1"/>
      <c r="N544" s="1"/>
      <c r="O544" s="221" t="s">
        <v>79</v>
      </c>
      <c r="P544" s="220"/>
      <c r="Q544" s="18">
        <f>VLOOKUP(A544,PLAN!B:R,17,0)</f>
        <v>46255</v>
      </c>
    </row>
    <row r="545" spans="1:17" ht="17.25" hidden="1" customHeight="1">
      <c r="A545" s="329" t="s">
        <v>5178</v>
      </c>
      <c r="B545" s="14">
        <f>VLOOKUP($A545,PLAN!$B:$AC,3,0)</f>
        <v>11119582</v>
      </c>
      <c r="C545" s="14" t="str">
        <f>VLOOKUP($A545,PLAN!$B:$AC,4,0)</f>
        <v>1911248-D-A</v>
      </c>
      <c r="D545" s="14" t="str">
        <f>VLOOKUP($A545,PLAN!$B:$AC,5,0)</f>
        <v>HJ80AL152P10000 JP</v>
      </c>
      <c r="E545" s="14" t="str">
        <f>VLOOKUP($A545,PLAN!$B:$AC,2,0)</f>
        <v>1001947829</v>
      </c>
      <c r="F545" s="15">
        <f>VLOOKUP($A545,PLAN!$B:$AC,7,0)</f>
        <v>46263</v>
      </c>
      <c r="G545" s="16" t="str">
        <f>VLOOKUP($A545,PLAN!$B:$AC,8,0)</f>
        <v>0103613241</v>
      </c>
      <c r="H545" s="16" t="str">
        <f>VLOOKUP($A545,PLAN!$B:$AC,9,0)</f>
        <v>260815C54A</v>
      </c>
      <c r="I545" s="16">
        <f>VLOOKUP($A545,PLAN!$B:$AC,10,0)</f>
        <v>16</v>
      </c>
      <c r="J545" s="17">
        <f>VLOOKUP($A545,PLAN!$B:$AC,21,0)</f>
        <v>46258</v>
      </c>
      <c r="K545" s="145" t="str">
        <f>VLOOKUP($A545,PLAN!$B:$AC,22,0)</f>
        <v>M10</v>
      </c>
      <c r="L545" s="1"/>
      <c r="M545" s="1"/>
      <c r="N545" s="1"/>
      <c r="O545" s="221" t="s">
        <v>79</v>
      </c>
      <c r="P545" s="220"/>
      <c r="Q545" s="18">
        <f>VLOOKUP(A545,PLAN!B:R,17,0)</f>
        <v>46255</v>
      </c>
    </row>
    <row r="546" spans="1:17" ht="17.25" hidden="1" customHeight="1">
      <c r="A546" s="329" t="s">
        <v>5179</v>
      </c>
      <c r="B546" s="14">
        <f>VLOOKUP($A546,PLAN!$B:$AC,3,0)</f>
        <v>11119390</v>
      </c>
      <c r="C546" s="14" t="str">
        <f>VLOOKUP($A546,PLAN!$B:$AC,4,0)</f>
        <v>1911058-D-A</v>
      </c>
      <c r="D546" s="14" t="str">
        <f>VLOOKUP($A546,PLAN!$B:$AC,5,0)</f>
        <v>HJ60JR352P10020 JP</v>
      </c>
      <c r="E546" s="14" t="str">
        <f>VLOOKUP($A546,PLAN!$B:$AC,2,0)</f>
        <v>1001947830</v>
      </c>
      <c r="F546" s="15">
        <f>VLOOKUP($A546,PLAN!$B:$AC,7,0)</f>
        <v>46263</v>
      </c>
      <c r="G546" s="16" t="str">
        <f>VLOOKUP($A546,PLAN!$B:$AC,8,0)</f>
        <v>0103613242</v>
      </c>
      <c r="H546" s="16" t="str">
        <f>VLOOKUP($A546,PLAN!$B:$AC,9,0)</f>
        <v>260815C55A</v>
      </c>
      <c r="I546" s="16">
        <f>VLOOKUP($A546,PLAN!$B:$AC,10,0)</f>
        <v>20</v>
      </c>
      <c r="J546" s="17">
        <f>VLOOKUP($A546,PLAN!$B:$AC,21,0)</f>
        <v>46258</v>
      </c>
      <c r="K546" s="145" t="str">
        <f>VLOOKUP($A546,PLAN!$B:$AC,22,0)</f>
        <v>M10</v>
      </c>
      <c r="L546" s="1"/>
      <c r="M546" s="1"/>
      <c r="N546" s="1"/>
      <c r="O546" s="221" t="s">
        <v>79</v>
      </c>
      <c r="P546" s="220"/>
      <c r="Q546" s="18">
        <f>VLOOKUP(A546,PLAN!B:R,17,0)</f>
        <v>46255</v>
      </c>
    </row>
    <row r="547" spans="1:17" ht="17.25" hidden="1" customHeight="1">
      <c r="A547" s="329" t="s">
        <v>5180</v>
      </c>
      <c r="B547" s="14">
        <f>VLOOKUP($A547,PLAN!$B:$AC,3,0)</f>
        <v>11119447</v>
      </c>
      <c r="C547" s="14" t="str">
        <f>VLOOKUP($A547,PLAN!$B:$AC,4,0)</f>
        <v>1911113-D-A</v>
      </c>
      <c r="D547" s="14" t="str">
        <f>VLOOKUP($A547,PLAN!$B:$AC,5,0)</f>
        <v>HJ70AL102P10021 JP</v>
      </c>
      <c r="E547" s="14" t="str">
        <f>VLOOKUP($A547,PLAN!$B:$AC,2,0)</f>
        <v>1001947831</v>
      </c>
      <c r="F547" s="15">
        <f>VLOOKUP($A547,PLAN!$B:$AC,7,0)</f>
        <v>46263</v>
      </c>
      <c r="G547" s="16" t="str">
        <f>VLOOKUP($A547,PLAN!$B:$AC,8,0)</f>
        <v>0103613243</v>
      </c>
      <c r="H547" s="16" t="str">
        <f>VLOOKUP($A547,PLAN!$B:$AC,9,0)</f>
        <v>260815C56A</v>
      </c>
      <c r="I547" s="16">
        <f>VLOOKUP($A547,PLAN!$B:$AC,10,0)</f>
        <v>33</v>
      </c>
      <c r="J547" s="17">
        <f>VLOOKUP($A547,PLAN!$B:$AC,21,0)</f>
        <v>46258</v>
      </c>
      <c r="K547" s="145" t="str">
        <f>VLOOKUP($A547,PLAN!$B:$AC,22,0)</f>
        <v>M10</v>
      </c>
      <c r="L547" s="1"/>
      <c r="M547" s="1"/>
      <c r="N547" s="1"/>
      <c r="O547" s="221" t="s">
        <v>79</v>
      </c>
      <c r="P547" s="220"/>
      <c r="Q547" s="18">
        <f>VLOOKUP(A547,PLAN!B:R,17,0)</f>
        <v>46255</v>
      </c>
    </row>
    <row r="548" spans="1:17" ht="17.25" hidden="1" customHeight="1">
      <c r="A548" s="329" t="s">
        <v>5181</v>
      </c>
      <c r="B548" s="14">
        <f>VLOOKUP($A548,PLAN!$B:$AC,3,0)</f>
        <v>11119537</v>
      </c>
      <c r="C548" s="14" t="str">
        <f>VLOOKUP($A548,PLAN!$B:$AC,4,0)</f>
        <v>1911203-D-A</v>
      </c>
      <c r="D548" s="14" t="str">
        <f>VLOOKUP($A548,PLAN!$B:$AC,5,0)</f>
        <v>HJ70AL072P10022 JP</v>
      </c>
      <c r="E548" s="14" t="str">
        <f>VLOOKUP($A548,PLAN!$B:$AC,2,0)</f>
        <v>1001947832</v>
      </c>
      <c r="F548" s="15">
        <f>VLOOKUP($A548,PLAN!$B:$AC,7,0)</f>
        <v>46263</v>
      </c>
      <c r="G548" s="16" t="str">
        <f>VLOOKUP($A548,PLAN!$B:$AC,8,0)</f>
        <v>0103613244</v>
      </c>
      <c r="H548" s="16" t="str">
        <f>VLOOKUP($A548,PLAN!$B:$AC,9,0)</f>
        <v>260815C57A</v>
      </c>
      <c r="I548" s="16">
        <f>VLOOKUP($A548,PLAN!$B:$AC,10,0)</f>
        <v>36</v>
      </c>
      <c r="J548" s="17">
        <f>VLOOKUP($A548,PLAN!$B:$AC,21,0)</f>
        <v>46258</v>
      </c>
      <c r="K548" s="145" t="str">
        <f>VLOOKUP($A548,PLAN!$B:$AC,22,0)</f>
        <v>M10</v>
      </c>
      <c r="L548" s="1"/>
      <c r="M548" s="1"/>
      <c r="N548" s="1"/>
      <c r="O548" s="221" t="s">
        <v>79</v>
      </c>
      <c r="P548" s="220"/>
      <c r="Q548" s="18">
        <f>VLOOKUP(A548,PLAN!B:R,17,0)</f>
        <v>46255</v>
      </c>
    </row>
    <row r="549" spans="1:17" ht="17.25" hidden="1" customHeight="1">
      <c r="A549" s="329" t="s">
        <v>5182</v>
      </c>
      <c r="B549" s="14">
        <f>VLOOKUP($A549,PLAN!$B:$AC,3,0)</f>
        <v>11119438</v>
      </c>
      <c r="C549" s="14" t="str">
        <f>VLOOKUP($A549,PLAN!$B:$AC,4,0)</f>
        <v>1911104-D-A</v>
      </c>
      <c r="D549" s="14" t="str">
        <f>VLOOKUP($A549,PLAN!$B:$AC,5,0)</f>
        <v>HJ70AL072P10020 JP</v>
      </c>
      <c r="E549" s="14" t="str">
        <f>VLOOKUP($A549,PLAN!$B:$AC,2,0)</f>
        <v>1001947833</v>
      </c>
      <c r="F549" s="15">
        <f>VLOOKUP($A549,PLAN!$B:$AC,7,0)</f>
        <v>46263</v>
      </c>
      <c r="G549" s="16" t="str">
        <f>VLOOKUP($A549,PLAN!$B:$AC,8,0)</f>
        <v>0103613245</v>
      </c>
      <c r="H549" s="16" t="str">
        <f>VLOOKUP($A549,PLAN!$B:$AC,9,0)</f>
        <v>260815C58A</v>
      </c>
      <c r="I549" s="16">
        <f>VLOOKUP($A549,PLAN!$B:$AC,10,0)</f>
        <v>37</v>
      </c>
      <c r="J549" s="17">
        <f>VLOOKUP($A549,PLAN!$B:$AC,21,0)</f>
        <v>46258</v>
      </c>
      <c r="K549" s="145" t="str">
        <f>VLOOKUP($A549,PLAN!$B:$AC,22,0)</f>
        <v>M10</v>
      </c>
      <c r="L549" s="1"/>
      <c r="M549" s="1"/>
      <c r="N549" s="1"/>
      <c r="O549" s="221" t="s">
        <v>79</v>
      </c>
      <c r="P549" s="220"/>
      <c r="Q549" s="18">
        <f>VLOOKUP(A549,PLAN!B:R,17,0)</f>
        <v>46255</v>
      </c>
    </row>
    <row r="550" spans="1:17" ht="17.25" hidden="1" customHeight="1">
      <c r="A550" s="329" t="s">
        <v>5183</v>
      </c>
      <c r="B550" s="14">
        <f>VLOOKUP($A550,PLAN!$B:$AC,3,0)</f>
        <v>11119450</v>
      </c>
      <c r="C550" s="14" t="str">
        <f>VLOOKUP($A550,PLAN!$B:$AC,4,0)</f>
        <v>1911116-D-A</v>
      </c>
      <c r="D550" s="14" t="str">
        <f>VLOOKUP($A550,PLAN!$B:$AC,5,0)</f>
        <v>HJ70AL152P10020 JP</v>
      </c>
      <c r="E550" s="14" t="str">
        <f>VLOOKUP($A550,PLAN!$B:$AC,2,0)</f>
        <v>1001947834</v>
      </c>
      <c r="F550" s="15">
        <f>VLOOKUP($A550,PLAN!$B:$AC,7,0)</f>
        <v>46263</v>
      </c>
      <c r="G550" s="16" t="str">
        <f>VLOOKUP($A550,PLAN!$B:$AC,8,0)</f>
        <v>0103613246</v>
      </c>
      <c r="H550" s="16" t="str">
        <f>VLOOKUP($A550,PLAN!$B:$AC,9,0)</f>
        <v>260815C59A</v>
      </c>
      <c r="I550" s="16">
        <f>VLOOKUP($A550,PLAN!$B:$AC,10,0)</f>
        <v>38</v>
      </c>
      <c r="J550" s="17">
        <f>VLOOKUP($A550,PLAN!$B:$AC,21,0)</f>
        <v>46258</v>
      </c>
      <c r="K550" s="145" t="str">
        <f>VLOOKUP($A550,PLAN!$B:$AC,22,0)</f>
        <v>M10</v>
      </c>
      <c r="L550" s="1"/>
      <c r="M550" s="1"/>
      <c r="N550" s="1"/>
      <c r="O550" s="221" t="s">
        <v>79</v>
      </c>
      <c r="P550" s="220"/>
      <c r="Q550" s="18">
        <f>VLOOKUP(A550,PLAN!B:R,17,0)</f>
        <v>46255</v>
      </c>
    </row>
    <row r="551" spans="1:17" ht="17.25" hidden="1" customHeight="1">
      <c r="A551" s="329" t="s">
        <v>5184</v>
      </c>
      <c r="B551" s="14">
        <f>VLOOKUP($A551,PLAN!$B:$AC,3,0)</f>
        <v>11119337</v>
      </c>
      <c r="C551" s="14" t="str">
        <f>VLOOKUP($A551,PLAN!$B:$AC,4,0)</f>
        <v>1911005-E-A</v>
      </c>
      <c r="D551" s="14" t="str">
        <f>VLOOKUP($A551,PLAN!$B:$AC,5,0)</f>
        <v>HJ60AL100P10020 JP</v>
      </c>
      <c r="E551" s="14" t="str">
        <f>VLOOKUP($A551,PLAN!$B:$AC,2,0)</f>
        <v>1001947835</v>
      </c>
      <c r="F551" s="15">
        <f>VLOOKUP($A551,PLAN!$B:$AC,7,0)</f>
        <v>46263</v>
      </c>
      <c r="G551" s="16" t="str">
        <f>VLOOKUP($A551,PLAN!$B:$AC,8,0)</f>
        <v>0103613247</v>
      </c>
      <c r="H551" s="16" t="str">
        <f>VLOOKUP($A551,PLAN!$B:$AC,9,0)</f>
        <v>260815C60A</v>
      </c>
      <c r="I551" s="16">
        <f>VLOOKUP($A551,PLAN!$B:$AC,10,0)</f>
        <v>39</v>
      </c>
      <c r="J551" s="17">
        <f>VLOOKUP($A551,PLAN!$B:$AC,21,0)</f>
        <v>46258</v>
      </c>
      <c r="K551" s="145" t="str">
        <f>VLOOKUP($A551,PLAN!$B:$AC,22,0)</f>
        <v>M10</v>
      </c>
      <c r="L551" s="1"/>
      <c r="M551" s="1"/>
      <c r="N551" s="1"/>
      <c r="O551" s="221" t="s">
        <v>79</v>
      </c>
      <c r="P551" s="220"/>
      <c r="Q551" s="18">
        <f>VLOOKUP(A551,PLAN!B:R,17,0)</f>
        <v>46255</v>
      </c>
    </row>
    <row r="552" spans="1:17" ht="17.25" hidden="1" customHeight="1">
      <c r="A552" s="329" t="s">
        <v>5185</v>
      </c>
      <c r="B552" s="14">
        <f>VLOOKUP($A552,PLAN!$B:$AC,3,0)</f>
        <v>11119365</v>
      </c>
      <c r="C552" s="14" t="str">
        <f>VLOOKUP($A552,PLAN!$B:$AC,4,0)</f>
        <v>1911033-D-A</v>
      </c>
      <c r="D552" s="14" t="str">
        <f>VLOOKUP($A552,PLAN!$B:$AC,5,0)</f>
        <v>HJ60IL400P10000 JP</v>
      </c>
      <c r="E552" s="14" t="str">
        <f>VLOOKUP($A552,PLAN!$B:$AC,2,0)</f>
        <v>1001947836</v>
      </c>
      <c r="F552" s="15">
        <f>VLOOKUP($A552,PLAN!$B:$AC,7,0)</f>
        <v>46263</v>
      </c>
      <c r="G552" s="16" t="str">
        <f>VLOOKUP($A552,PLAN!$B:$AC,8,0)</f>
        <v>0103613248</v>
      </c>
      <c r="H552" s="16" t="str">
        <f>VLOOKUP($A552,PLAN!$B:$AC,9,0)</f>
        <v>260815C61A</v>
      </c>
      <c r="I552" s="16">
        <f>VLOOKUP($A552,PLAN!$B:$AC,10,0)</f>
        <v>45</v>
      </c>
      <c r="J552" s="17">
        <f>VLOOKUP($A552,PLAN!$B:$AC,21,0)</f>
        <v>46258</v>
      </c>
      <c r="K552" s="145" t="str">
        <f>VLOOKUP($A552,PLAN!$B:$AC,22,0)</f>
        <v>M10</v>
      </c>
      <c r="L552" s="1"/>
      <c r="M552" s="1"/>
      <c r="N552" s="1"/>
      <c r="O552" s="221" t="s">
        <v>79</v>
      </c>
      <c r="P552" s="220"/>
      <c r="Q552" s="18">
        <f>VLOOKUP(A552,PLAN!B:R,17,0)</f>
        <v>46255</v>
      </c>
    </row>
    <row r="553" spans="1:17" ht="17.25" hidden="1" customHeight="1">
      <c r="A553" s="329" t="s">
        <v>5186</v>
      </c>
      <c r="B553" s="14">
        <f>VLOOKUP($A553,PLAN!$B:$AC,3,0)</f>
        <v>11119492</v>
      </c>
      <c r="C553" s="14" t="str">
        <f>VLOOKUP($A553,PLAN!$B:$AC,4,0)</f>
        <v>1911158-D-A</v>
      </c>
      <c r="D553" s="14" t="str">
        <f>VLOOKUP($A553,PLAN!$B:$AC,5,0)</f>
        <v>HJ70JL400P10001 JP</v>
      </c>
      <c r="E553" s="14" t="str">
        <f>VLOOKUP($A553,PLAN!$B:$AC,2,0)</f>
        <v>1001947837</v>
      </c>
      <c r="F553" s="15">
        <f>VLOOKUP($A553,PLAN!$B:$AC,7,0)</f>
        <v>46263</v>
      </c>
      <c r="G553" s="16" t="str">
        <f>VLOOKUP($A553,PLAN!$B:$AC,8,0)</f>
        <v>0103613249</v>
      </c>
      <c r="H553" s="16" t="str">
        <f>VLOOKUP($A553,PLAN!$B:$AC,9,0)</f>
        <v>260815C62A</v>
      </c>
      <c r="I553" s="16">
        <f>VLOOKUP($A553,PLAN!$B:$AC,10,0)</f>
        <v>51</v>
      </c>
      <c r="J553" s="17">
        <f>VLOOKUP($A553,PLAN!$B:$AC,21,0)</f>
        <v>46258</v>
      </c>
      <c r="K553" s="145" t="str">
        <f>VLOOKUP($A553,PLAN!$B:$AC,22,0)</f>
        <v>M10</v>
      </c>
      <c r="L553" s="1"/>
      <c r="M553" s="1"/>
      <c r="N553" s="1"/>
      <c r="O553" s="221" t="s">
        <v>79</v>
      </c>
      <c r="P553" s="220"/>
      <c r="Q553" s="18">
        <f>VLOOKUP(A553,PLAN!B:R,17,0)</f>
        <v>46255</v>
      </c>
    </row>
    <row r="554" spans="1:17" ht="17.25" hidden="1" customHeight="1">
      <c r="A554" s="329" t="s">
        <v>5187</v>
      </c>
      <c r="B554" s="14">
        <f>VLOOKUP($A554,PLAN!$B:$AC,3,0)</f>
        <v>11119485</v>
      </c>
      <c r="C554" s="14" t="str">
        <f>VLOOKUP($A554,PLAN!$B:$AC,4,0)</f>
        <v>1911151-D-A</v>
      </c>
      <c r="D554" s="14" t="str">
        <f>VLOOKUP($A554,PLAN!$B:$AC,5,0)</f>
        <v>HJ70JL350P10001 JP</v>
      </c>
      <c r="E554" s="14" t="str">
        <f>VLOOKUP($A554,PLAN!$B:$AC,2,0)</f>
        <v>1001947838</v>
      </c>
      <c r="F554" s="15">
        <f>VLOOKUP($A554,PLAN!$B:$AC,7,0)</f>
        <v>46263</v>
      </c>
      <c r="G554" s="16" t="str">
        <f>VLOOKUP($A554,PLAN!$B:$AC,8,0)</f>
        <v>0103613250</v>
      </c>
      <c r="H554" s="16" t="str">
        <f>VLOOKUP($A554,PLAN!$B:$AC,9,0)</f>
        <v>260815C63A</v>
      </c>
      <c r="I554" s="16">
        <f>VLOOKUP($A554,PLAN!$B:$AC,10,0)</f>
        <v>59</v>
      </c>
      <c r="J554" s="17">
        <f>VLOOKUP($A554,PLAN!$B:$AC,21,0)</f>
        <v>46258</v>
      </c>
      <c r="K554" s="145" t="str">
        <f>VLOOKUP($A554,PLAN!$B:$AC,22,0)</f>
        <v>M10</v>
      </c>
      <c r="L554" s="1"/>
      <c r="M554" s="1"/>
      <c r="N554" s="1"/>
      <c r="O554" s="221" t="s">
        <v>79</v>
      </c>
      <c r="P554" s="220"/>
      <c r="Q554" s="18">
        <f>VLOOKUP(A554,PLAN!B:R,17,0)</f>
        <v>46255</v>
      </c>
    </row>
    <row r="555" spans="1:17" ht="17.25" hidden="1" customHeight="1">
      <c r="A555" s="329" t="s">
        <v>5188</v>
      </c>
      <c r="B555" s="14">
        <f>VLOOKUP($A555,PLAN!$B:$AC,3,0)</f>
        <v>11119363</v>
      </c>
      <c r="C555" s="14" t="str">
        <f>VLOOKUP($A555,PLAN!$B:$AC,4,0)</f>
        <v>1911031-D-A</v>
      </c>
      <c r="D555" s="14" t="str">
        <f>VLOOKUP($A555,PLAN!$B:$AC,5,0)</f>
        <v>HJ60IL350P10000 JP</v>
      </c>
      <c r="E555" s="14" t="str">
        <f>VLOOKUP($A555,PLAN!$B:$AC,2,0)</f>
        <v>1001947839</v>
      </c>
      <c r="F555" s="15">
        <f>VLOOKUP($A555,PLAN!$B:$AC,7,0)</f>
        <v>46263</v>
      </c>
      <c r="G555" s="16" t="str">
        <f>VLOOKUP($A555,PLAN!$B:$AC,8,0)</f>
        <v>0103613251</v>
      </c>
      <c r="H555" s="16" t="str">
        <f>VLOOKUP($A555,PLAN!$B:$AC,9,0)</f>
        <v>260815C64A</v>
      </c>
      <c r="I555" s="16">
        <f>VLOOKUP($A555,PLAN!$B:$AC,10,0)</f>
        <v>101</v>
      </c>
      <c r="J555" s="17">
        <f>VLOOKUP($A555,PLAN!$B:$AC,21,0)</f>
        <v>46258</v>
      </c>
      <c r="K555" s="145" t="str">
        <f>VLOOKUP($A555,PLAN!$B:$AC,22,0)</f>
        <v>M10</v>
      </c>
      <c r="L555" s="1"/>
      <c r="M555" s="1"/>
      <c r="N555" s="1"/>
      <c r="O555" s="221" t="s">
        <v>79</v>
      </c>
      <c r="P555" s="220"/>
      <c r="Q555" s="18">
        <f>VLOOKUP(A555,PLAN!B:R,17,0)</f>
        <v>46255</v>
      </c>
    </row>
    <row r="556" spans="1:17" ht="17.25" hidden="1" customHeight="1">
      <c r="A556" s="329" t="s">
        <v>5189</v>
      </c>
      <c r="B556" s="14">
        <f>VLOOKUP($A556,PLAN!$B:$AC,3,0)</f>
        <v>11119481</v>
      </c>
      <c r="C556" s="14" t="str">
        <f>VLOOKUP($A556,PLAN!$B:$AC,4,0)</f>
        <v>1911147-D-A</v>
      </c>
      <c r="D556" s="14" t="str">
        <f>VLOOKUP($A556,PLAN!$B:$AC,5,0)</f>
        <v>HJ70JL350P10000 JP</v>
      </c>
      <c r="E556" s="14" t="str">
        <f>VLOOKUP($A556,PLAN!$B:$AC,2,0)</f>
        <v>1001947840</v>
      </c>
      <c r="F556" s="15">
        <f>VLOOKUP($A556,PLAN!$B:$AC,7,0)</f>
        <v>46263</v>
      </c>
      <c r="G556" s="16" t="str">
        <f>VLOOKUP($A556,PLAN!$B:$AC,8,0)</f>
        <v>0103613252</v>
      </c>
      <c r="H556" s="16" t="str">
        <f>VLOOKUP($A556,PLAN!$B:$AC,9,0)</f>
        <v>260815C65A</v>
      </c>
      <c r="I556" s="16">
        <f>VLOOKUP($A556,PLAN!$B:$AC,10,0)</f>
        <v>152</v>
      </c>
      <c r="J556" s="17">
        <f>VLOOKUP($A556,PLAN!$B:$AC,21,0)</f>
        <v>46258</v>
      </c>
      <c r="K556" s="145" t="str">
        <f>VLOOKUP($A556,PLAN!$B:$AC,22,0)</f>
        <v>M10</v>
      </c>
      <c r="L556" s="1"/>
      <c r="M556" s="1"/>
      <c r="N556" s="1"/>
      <c r="O556" s="221" t="s">
        <v>79</v>
      </c>
      <c r="P556" s="220"/>
      <c r="Q556" s="18">
        <f>VLOOKUP(A556,PLAN!B:R,17,0)</f>
        <v>46255</v>
      </c>
    </row>
    <row r="557" spans="1:17" ht="17.25" hidden="1" customHeight="1">
      <c r="A557" s="329" t="s">
        <v>5769</v>
      </c>
      <c r="B557" s="14">
        <f>VLOOKUP($A557,PLAN!$B:$AC,3,0)</f>
        <v>11119494</v>
      </c>
      <c r="C557" s="14" t="str">
        <f>VLOOKUP($A557,PLAN!$B:$AC,4,0)</f>
        <v>1911160-D-A</v>
      </c>
      <c r="D557" s="14" t="str">
        <f>VLOOKUP($A557,PLAN!$B:$AC,5,0)</f>
        <v>HJ70JL402P09021 JP</v>
      </c>
      <c r="E557" s="14" t="str">
        <f>VLOOKUP($A557,PLAN!$B:$AC,2,0)</f>
        <v>1001950262</v>
      </c>
      <c r="F557" s="15">
        <f>VLOOKUP($A557,PLAN!$B:$AC,7,0)</f>
        <v>46263</v>
      </c>
      <c r="G557" s="16" t="str">
        <f>VLOOKUP($A557,PLAN!$B:$AC,8,0)</f>
        <v>0103617951</v>
      </c>
      <c r="H557" s="16" t="str">
        <f>VLOOKUP($A557,PLAN!$B:$AC,9,0)</f>
        <v>260818C01A</v>
      </c>
      <c r="I557" s="16">
        <f>VLOOKUP($A557,PLAN!$B:$AC,10,0)</f>
        <v>1</v>
      </c>
      <c r="J557" s="17">
        <f>VLOOKUP($A557,PLAN!$B:$AC,21,0)</f>
        <v>46259</v>
      </c>
      <c r="K557" s="145" t="str">
        <f>VLOOKUP($A557,PLAN!$B:$AC,22,0)</f>
        <v>M9</v>
      </c>
      <c r="L557" s="1"/>
      <c r="M557" s="1"/>
      <c r="N557" s="1"/>
      <c r="O557" s="221" t="s">
        <v>79</v>
      </c>
      <c r="P557" s="220"/>
      <c r="Q557" s="18">
        <f>VLOOKUP(A557,PLAN!B:R,17,0)</f>
        <v>46258</v>
      </c>
    </row>
    <row r="558" spans="1:17" ht="17.25" hidden="1" customHeight="1">
      <c r="A558" s="329" t="s">
        <v>5770</v>
      </c>
      <c r="B558" s="14">
        <f>VLOOKUP($A558,PLAN!$B:$AC,3,0)</f>
        <v>11119495</v>
      </c>
      <c r="C558" s="14" t="str">
        <f>VLOOKUP($A558,PLAN!$B:$AC,4,0)</f>
        <v>1911161-D-A</v>
      </c>
      <c r="D558" s="14" t="str">
        <f>VLOOKUP($A558,PLAN!$B:$AC,5,0)</f>
        <v>HJ70JL450P10000 JP</v>
      </c>
      <c r="E558" s="14" t="str">
        <f>VLOOKUP($A558,PLAN!$B:$AC,2,0)</f>
        <v>1001950263</v>
      </c>
      <c r="F558" s="15">
        <f>VLOOKUP($A558,PLAN!$B:$AC,7,0)</f>
        <v>46263</v>
      </c>
      <c r="G558" s="16" t="str">
        <f>VLOOKUP($A558,PLAN!$B:$AC,8,0)</f>
        <v>0103617952</v>
      </c>
      <c r="H558" s="16" t="str">
        <f>VLOOKUP($A558,PLAN!$B:$AC,9,0)</f>
        <v>260818C02A</v>
      </c>
      <c r="I558" s="16">
        <f>VLOOKUP($A558,PLAN!$B:$AC,10,0)</f>
        <v>1</v>
      </c>
      <c r="J558" s="17">
        <f>VLOOKUP($A558,PLAN!$B:$AC,21,0)</f>
        <v>46259</v>
      </c>
      <c r="K558" s="145" t="str">
        <f>VLOOKUP($A558,PLAN!$B:$AC,22,0)</f>
        <v>M9</v>
      </c>
      <c r="L558" s="1"/>
      <c r="M558" s="1"/>
      <c r="N558" s="1"/>
      <c r="O558" s="221" t="s">
        <v>79</v>
      </c>
      <c r="P558" s="220"/>
      <c r="Q558" s="18">
        <f>VLOOKUP(A558,PLAN!B:R,17,0)</f>
        <v>46258</v>
      </c>
    </row>
    <row r="559" spans="1:17" ht="17.25" hidden="1" customHeight="1">
      <c r="A559" s="329" t="s">
        <v>5771</v>
      </c>
      <c r="B559" s="14">
        <f>VLOOKUP($A559,PLAN!$B:$AC,3,0)</f>
        <v>11119497</v>
      </c>
      <c r="C559" s="14" t="str">
        <f>VLOOKUP($A559,PLAN!$B:$AC,4,0)</f>
        <v>1911163-D-A</v>
      </c>
      <c r="D559" s="14" t="str">
        <f>VLOOKUP($A559,PLAN!$B:$AC,5,0)</f>
        <v>HJ70JL450P10001 JP</v>
      </c>
      <c r="E559" s="14" t="str">
        <f>VLOOKUP($A559,PLAN!$B:$AC,2,0)</f>
        <v>1001950264</v>
      </c>
      <c r="F559" s="15">
        <f>VLOOKUP($A559,PLAN!$B:$AC,7,0)</f>
        <v>46263</v>
      </c>
      <c r="G559" s="16" t="str">
        <f>VLOOKUP($A559,PLAN!$B:$AC,8,0)</f>
        <v>0103617954</v>
      </c>
      <c r="H559" s="16" t="str">
        <f>VLOOKUP($A559,PLAN!$B:$AC,9,0)</f>
        <v>260818C03A</v>
      </c>
      <c r="I559" s="16">
        <f>VLOOKUP($A559,PLAN!$B:$AC,10,0)</f>
        <v>1</v>
      </c>
      <c r="J559" s="17">
        <f>VLOOKUP($A559,PLAN!$B:$AC,21,0)</f>
        <v>46259</v>
      </c>
      <c r="K559" s="145" t="str">
        <f>VLOOKUP($A559,PLAN!$B:$AC,22,0)</f>
        <v>M9</v>
      </c>
      <c r="L559" s="1"/>
      <c r="M559" s="1"/>
      <c r="N559" s="1"/>
      <c r="O559" s="221" t="s">
        <v>79</v>
      </c>
      <c r="P559" s="220"/>
      <c r="Q559" s="18">
        <f>VLOOKUP(A559,PLAN!B:R,17,0)</f>
        <v>46258</v>
      </c>
    </row>
    <row r="560" spans="1:17" ht="17.25" hidden="1" customHeight="1">
      <c r="A560" s="329" t="s">
        <v>5772</v>
      </c>
      <c r="B560" s="14">
        <f>VLOOKUP($A560,PLAN!$B:$AC,3,0)</f>
        <v>11119506</v>
      </c>
      <c r="C560" s="14" t="str">
        <f>VLOOKUP($A560,PLAN!$B:$AC,4,0)</f>
        <v>1911172-D-A</v>
      </c>
      <c r="D560" s="14" t="str">
        <f>VLOOKUP($A560,PLAN!$B:$AC,5,0)</f>
        <v>HJ70JR352P09020 JP</v>
      </c>
      <c r="E560" s="14" t="str">
        <f>VLOOKUP($A560,PLAN!$B:$AC,2,0)</f>
        <v>1001950265</v>
      </c>
      <c r="F560" s="15">
        <f>VLOOKUP($A560,PLAN!$B:$AC,7,0)</f>
        <v>46263</v>
      </c>
      <c r="G560" s="16" t="str">
        <f>VLOOKUP($A560,PLAN!$B:$AC,8,0)</f>
        <v>0103617955</v>
      </c>
      <c r="H560" s="16" t="str">
        <f>VLOOKUP($A560,PLAN!$B:$AC,9,0)</f>
        <v>260818C04A</v>
      </c>
      <c r="I560" s="16">
        <f>VLOOKUP($A560,PLAN!$B:$AC,10,0)</f>
        <v>1</v>
      </c>
      <c r="J560" s="17">
        <f>VLOOKUP($A560,PLAN!$B:$AC,21,0)</f>
        <v>46259</v>
      </c>
      <c r="K560" s="145" t="str">
        <f>VLOOKUP($A560,PLAN!$B:$AC,22,0)</f>
        <v>M9</v>
      </c>
      <c r="L560" s="1"/>
      <c r="M560" s="1"/>
      <c r="N560" s="1"/>
      <c r="O560" s="221" t="s">
        <v>79</v>
      </c>
      <c r="P560" s="220"/>
      <c r="Q560" s="18">
        <f>VLOOKUP(A560,PLAN!B:R,17,0)</f>
        <v>46258</v>
      </c>
    </row>
    <row r="561" spans="1:17" ht="17.25" hidden="1" customHeight="1">
      <c r="A561" s="329" t="s">
        <v>5773</v>
      </c>
      <c r="B561" s="14">
        <f>VLOOKUP($A561,PLAN!$B:$AC,3,0)</f>
        <v>11119512</v>
      </c>
      <c r="C561" s="14" t="str">
        <f>VLOOKUP($A561,PLAN!$B:$AC,4,0)</f>
        <v>1911178-D-A</v>
      </c>
      <c r="D561" s="14" t="str">
        <f>VLOOKUP($A561,PLAN!$B:$AC,5,0)</f>
        <v>HJ70JR452P10020 JP</v>
      </c>
      <c r="E561" s="14" t="str">
        <f>VLOOKUP($A561,PLAN!$B:$AC,2,0)</f>
        <v>1001950266</v>
      </c>
      <c r="F561" s="15">
        <f>VLOOKUP($A561,PLAN!$B:$AC,7,0)</f>
        <v>46263</v>
      </c>
      <c r="G561" s="16" t="str">
        <f>VLOOKUP($A561,PLAN!$B:$AC,8,0)</f>
        <v>0103617956</v>
      </c>
      <c r="H561" s="16" t="str">
        <f>VLOOKUP($A561,PLAN!$B:$AC,9,0)</f>
        <v>260818C05A</v>
      </c>
      <c r="I561" s="16">
        <f>VLOOKUP($A561,PLAN!$B:$AC,10,0)</f>
        <v>1</v>
      </c>
      <c r="J561" s="17">
        <f>VLOOKUP($A561,PLAN!$B:$AC,21,0)</f>
        <v>46259</v>
      </c>
      <c r="K561" s="145" t="str">
        <f>VLOOKUP($A561,PLAN!$B:$AC,22,0)</f>
        <v>M9</v>
      </c>
      <c r="L561" s="1"/>
      <c r="M561" s="1"/>
      <c r="N561" s="1"/>
      <c r="O561" s="221" t="s">
        <v>79</v>
      </c>
      <c r="P561" s="220"/>
      <c r="Q561" s="18">
        <f>VLOOKUP(A561,PLAN!B:R,17,0)</f>
        <v>46258</v>
      </c>
    </row>
    <row r="562" spans="1:17" ht="17.25" hidden="1" customHeight="1">
      <c r="A562" s="329" t="s">
        <v>5774</v>
      </c>
      <c r="B562" s="14">
        <f>VLOOKUP($A562,PLAN!$B:$AC,3,0)</f>
        <v>11119376</v>
      </c>
      <c r="C562" s="14" t="str">
        <f>VLOOKUP($A562,PLAN!$B:$AC,4,0)</f>
        <v>1911044-D-A</v>
      </c>
      <c r="D562" s="14" t="str">
        <f>VLOOKUP($A562,PLAN!$B:$AC,5,0)</f>
        <v>HJ60JL400P09000 JP</v>
      </c>
      <c r="E562" s="14" t="str">
        <f>VLOOKUP($A562,PLAN!$B:$AC,2,0)</f>
        <v>1001950267</v>
      </c>
      <c r="F562" s="15">
        <f>VLOOKUP($A562,PLAN!$B:$AC,7,0)</f>
        <v>46263</v>
      </c>
      <c r="G562" s="16" t="str">
        <f>VLOOKUP($A562,PLAN!$B:$AC,8,0)</f>
        <v>0103617957</v>
      </c>
      <c r="H562" s="16" t="str">
        <f>VLOOKUP($A562,PLAN!$B:$AC,9,0)</f>
        <v>260818C06A</v>
      </c>
      <c r="I562" s="16">
        <f>VLOOKUP($A562,PLAN!$B:$AC,10,0)</f>
        <v>1</v>
      </c>
      <c r="J562" s="17">
        <f>VLOOKUP($A562,PLAN!$B:$AC,21,0)</f>
        <v>46259</v>
      </c>
      <c r="K562" s="145" t="str">
        <f>VLOOKUP($A562,PLAN!$B:$AC,22,0)</f>
        <v>M9</v>
      </c>
      <c r="L562" s="1"/>
      <c r="M562" s="1"/>
      <c r="N562" s="1"/>
      <c r="O562" s="221" t="s">
        <v>79</v>
      </c>
      <c r="P562" s="220"/>
      <c r="Q562" s="18">
        <f>VLOOKUP(A562,PLAN!B:R,17,0)</f>
        <v>46258</v>
      </c>
    </row>
    <row r="563" spans="1:17" ht="17.25" hidden="1" customHeight="1">
      <c r="A563" s="329" t="s">
        <v>5775</v>
      </c>
      <c r="B563" s="14">
        <f>VLOOKUP($A563,PLAN!$B:$AC,3,0)</f>
        <v>11119350</v>
      </c>
      <c r="C563" s="14" t="str">
        <f>VLOOKUP($A563,PLAN!$B:$AC,4,0)</f>
        <v>1911018-D-A</v>
      </c>
      <c r="D563" s="14" t="str">
        <f>VLOOKUP($A563,PLAN!$B:$AC,5,0)</f>
        <v>HJ60CP150P10020 JP</v>
      </c>
      <c r="E563" s="14" t="str">
        <f>VLOOKUP($A563,PLAN!$B:$AC,2,0)</f>
        <v>1001950268</v>
      </c>
      <c r="F563" s="15">
        <f>VLOOKUP($A563,PLAN!$B:$AC,7,0)</f>
        <v>46263</v>
      </c>
      <c r="G563" s="16" t="str">
        <f>VLOOKUP($A563,PLAN!$B:$AC,8,0)</f>
        <v>0103617958</v>
      </c>
      <c r="H563" s="16" t="str">
        <f>VLOOKUP($A563,PLAN!$B:$AC,9,0)</f>
        <v>260818C07A</v>
      </c>
      <c r="I563" s="16">
        <f>VLOOKUP($A563,PLAN!$B:$AC,10,0)</f>
        <v>3</v>
      </c>
      <c r="J563" s="17">
        <f>VLOOKUP($A563,PLAN!$B:$AC,21,0)</f>
        <v>46259</v>
      </c>
      <c r="K563" s="145" t="str">
        <f>VLOOKUP($A563,PLAN!$B:$AC,22,0)</f>
        <v>M9</v>
      </c>
      <c r="L563" s="1"/>
      <c r="M563" s="1"/>
      <c r="N563" s="1"/>
      <c r="O563" s="221" t="s">
        <v>79</v>
      </c>
      <c r="P563" s="220"/>
      <c r="Q563" s="18">
        <f>VLOOKUP(A563,PLAN!B:R,17,0)</f>
        <v>46258</v>
      </c>
    </row>
    <row r="564" spans="1:17" ht="17.25" hidden="1" customHeight="1">
      <c r="A564" s="329" t="s">
        <v>5776</v>
      </c>
      <c r="B564" s="14">
        <f>VLOOKUP($A564,PLAN!$B:$AC,3,0)</f>
        <v>11119440</v>
      </c>
      <c r="C564" s="14" t="str">
        <f>VLOOKUP($A564,PLAN!$B:$AC,4,0)</f>
        <v>1911106-D-A</v>
      </c>
      <c r="D564" s="14" t="str">
        <f>VLOOKUP($A564,PLAN!$B:$AC,5,0)</f>
        <v>HJ70AL070P10021 JP</v>
      </c>
      <c r="E564" s="14" t="str">
        <f>VLOOKUP($A564,PLAN!$B:$AC,2,0)</f>
        <v>1001950269</v>
      </c>
      <c r="F564" s="15">
        <f>VLOOKUP($A564,PLAN!$B:$AC,7,0)</f>
        <v>46263</v>
      </c>
      <c r="G564" s="16" t="str">
        <f>VLOOKUP($A564,PLAN!$B:$AC,8,0)</f>
        <v>0103617959</v>
      </c>
      <c r="H564" s="16" t="str">
        <f>VLOOKUP($A564,PLAN!$B:$AC,9,0)</f>
        <v>260818C08A</v>
      </c>
      <c r="I564" s="16">
        <f>VLOOKUP($A564,PLAN!$B:$AC,10,0)</f>
        <v>3</v>
      </c>
      <c r="J564" s="17">
        <f>VLOOKUP($A564,PLAN!$B:$AC,21,0)</f>
        <v>46259</v>
      </c>
      <c r="K564" s="145" t="str">
        <f>VLOOKUP($A564,PLAN!$B:$AC,22,0)</f>
        <v>M9</v>
      </c>
      <c r="L564" s="1"/>
      <c r="M564" s="1"/>
      <c r="N564" s="1"/>
      <c r="O564" s="221" t="s">
        <v>79</v>
      </c>
      <c r="P564" s="220"/>
      <c r="Q564" s="18">
        <f>VLOOKUP(A564,PLAN!B:R,17,0)</f>
        <v>46258</v>
      </c>
    </row>
    <row r="565" spans="1:17" ht="17.25" hidden="1" customHeight="1">
      <c r="A565" s="329" t="s">
        <v>5777</v>
      </c>
      <c r="B565" s="14">
        <f>VLOOKUP($A565,PLAN!$B:$AC,3,0)</f>
        <v>11119484</v>
      </c>
      <c r="C565" s="14" t="str">
        <f>VLOOKUP($A565,PLAN!$B:$AC,4,0)</f>
        <v>1911150-D-A</v>
      </c>
      <c r="D565" s="14" t="str">
        <f>VLOOKUP($A565,PLAN!$B:$AC,5,0)</f>
        <v>HJ70JL352P09020 JP</v>
      </c>
      <c r="E565" s="14" t="str">
        <f>VLOOKUP($A565,PLAN!$B:$AC,2,0)</f>
        <v>1001950270</v>
      </c>
      <c r="F565" s="15">
        <f>VLOOKUP($A565,PLAN!$B:$AC,7,0)</f>
        <v>46263</v>
      </c>
      <c r="G565" s="16" t="str">
        <f>VLOOKUP($A565,PLAN!$B:$AC,8,0)</f>
        <v>0103617960</v>
      </c>
      <c r="H565" s="16" t="str">
        <f>VLOOKUP($A565,PLAN!$B:$AC,9,0)</f>
        <v>260818C09A</v>
      </c>
      <c r="I565" s="16">
        <f>VLOOKUP($A565,PLAN!$B:$AC,10,0)</f>
        <v>3</v>
      </c>
      <c r="J565" s="17">
        <f>VLOOKUP($A565,PLAN!$B:$AC,21,0)</f>
        <v>46259</v>
      </c>
      <c r="K565" s="145" t="str">
        <f>VLOOKUP($A565,PLAN!$B:$AC,22,0)</f>
        <v>M9</v>
      </c>
      <c r="L565" s="1"/>
      <c r="M565" s="1"/>
      <c r="N565" s="1"/>
      <c r="O565" s="221" t="s">
        <v>79</v>
      </c>
      <c r="P565" s="220"/>
      <c r="Q565" s="18">
        <f>VLOOKUP(A565,PLAN!B:R,17,0)</f>
        <v>46258</v>
      </c>
    </row>
    <row r="566" spans="1:17" ht="17.25" hidden="1" customHeight="1">
      <c r="A566" s="329" t="s">
        <v>5778</v>
      </c>
      <c r="B566" s="14">
        <f>VLOOKUP($A566,PLAN!$B:$AC,3,0)</f>
        <v>11119491</v>
      </c>
      <c r="C566" s="14" t="str">
        <f>VLOOKUP($A566,PLAN!$B:$AC,4,0)</f>
        <v>1911157-D-A</v>
      </c>
      <c r="D566" s="14" t="str">
        <f>VLOOKUP($A566,PLAN!$B:$AC,5,0)</f>
        <v>HJ70JL402P09020 JP</v>
      </c>
      <c r="E566" s="14" t="str">
        <f>VLOOKUP($A566,PLAN!$B:$AC,2,0)</f>
        <v>1001950271</v>
      </c>
      <c r="F566" s="15">
        <f>VLOOKUP($A566,PLAN!$B:$AC,7,0)</f>
        <v>46263</v>
      </c>
      <c r="G566" s="16" t="str">
        <f>VLOOKUP($A566,PLAN!$B:$AC,8,0)</f>
        <v>0103617961</v>
      </c>
      <c r="H566" s="16" t="str">
        <f>VLOOKUP($A566,PLAN!$B:$AC,9,0)</f>
        <v>260818C10A</v>
      </c>
      <c r="I566" s="16">
        <f>VLOOKUP($A566,PLAN!$B:$AC,10,0)</f>
        <v>3</v>
      </c>
      <c r="J566" s="17">
        <f>VLOOKUP($A566,PLAN!$B:$AC,21,0)</f>
        <v>46259</v>
      </c>
      <c r="K566" s="145" t="str">
        <f>VLOOKUP($A566,PLAN!$B:$AC,22,0)</f>
        <v>M9</v>
      </c>
      <c r="L566" s="1"/>
      <c r="M566" s="1"/>
      <c r="N566" s="1"/>
      <c r="O566" s="221" t="s">
        <v>79</v>
      </c>
      <c r="P566" s="220"/>
      <c r="Q566" s="18">
        <f>VLOOKUP(A566,PLAN!B:R,17,0)</f>
        <v>46258</v>
      </c>
    </row>
    <row r="567" spans="1:17" ht="17.25" hidden="1" customHeight="1">
      <c r="A567" s="329" t="s">
        <v>5779</v>
      </c>
      <c r="B567" s="14">
        <f>VLOOKUP($A567,PLAN!$B:$AC,3,0)</f>
        <v>11119514</v>
      </c>
      <c r="C567" s="14" t="str">
        <f>VLOOKUP($A567,PLAN!$B:$AC,4,0)</f>
        <v>1911180-D-A</v>
      </c>
      <c r="D567" s="14" t="str">
        <f>VLOOKUP($A567,PLAN!$B:$AC,5,0)</f>
        <v>HJ70JR502P10020 JP</v>
      </c>
      <c r="E567" s="14" t="str">
        <f>VLOOKUP($A567,PLAN!$B:$AC,2,0)</f>
        <v>1001950272</v>
      </c>
      <c r="F567" s="15">
        <f>VLOOKUP($A567,PLAN!$B:$AC,7,0)</f>
        <v>46263</v>
      </c>
      <c r="G567" s="16" t="str">
        <f>VLOOKUP($A567,PLAN!$B:$AC,8,0)</f>
        <v>0103617962</v>
      </c>
      <c r="H567" s="16" t="str">
        <f>VLOOKUP($A567,PLAN!$B:$AC,9,0)</f>
        <v>260818C11A</v>
      </c>
      <c r="I567" s="16">
        <f>VLOOKUP($A567,PLAN!$B:$AC,10,0)</f>
        <v>4</v>
      </c>
      <c r="J567" s="17">
        <f>VLOOKUP($A567,PLAN!$B:$AC,21,0)</f>
        <v>46259</v>
      </c>
      <c r="K567" s="145" t="str">
        <f>VLOOKUP($A567,PLAN!$B:$AC,22,0)</f>
        <v>M9</v>
      </c>
      <c r="L567" s="1"/>
      <c r="M567" s="1"/>
      <c r="N567" s="1"/>
      <c r="O567" s="221" t="s">
        <v>79</v>
      </c>
      <c r="P567" s="220"/>
      <c r="Q567" s="18">
        <f>VLOOKUP(A567,PLAN!B:R,17,0)</f>
        <v>46258</v>
      </c>
    </row>
    <row r="568" spans="1:17" ht="17.25" hidden="1" customHeight="1">
      <c r="A568" s="329" t="s">
        <v>5780</v>
      </c>
      <c r="B568" s="14">
        <f>VLOOKUP($A568,PLAN!$B:$AC,3,0)</f>
        <v>11119554</v>
      </c>
      <c r="C568" s="14" t="str">
        <f>VLOOKUP($A568,PLAN!$B:$AC,4,0)</f>
        <v>1911220-D-A</v>
      </c>
      <c r="D568" s="14" t="str">
        <f>VLOOKUP($A568,PLAN!$B:$AC,5,0)</f>
        <v>HJ70SC402P10020 JP</v>
      </c>
      <c r="E568" s="14" t="str">
        <f>VLOOKUP($A568,PLAN!$B:$AC,2,0)</f>
        <v>1001950273</v>
      </c>
      <c r="F568" s="15">
        <f>VLOOKUP($A568,PLAN!$B:$AC,7,0)</f>
        <v>46263</v>
      </c>
      <c r="G568" s="16" t="str">
        <f>VLOOKUP($A568,PLAN!$B:$AC,8,0)</f>
        <v>0103617963</v>
      </c>
      <c r="H568" s="16" t="str">
        <f>VLOOKUP($A568,PLAN!$B:$AC,9,0)</f>
        <v>260818C12A</v>
      </c>
      <c r="I568" s="16">
        <f>VLOOKUP($A568,PLAN!$B:$AC,10,0)</f>
        <v>4</v>
      </c>
      <c r="J568" s="17">
        <f>VLOOKUP($A568,PLAN!$B:$AC,21,0)</f>
        <v>46259</v>
      </c>
      <c r="K568" s="145" t="str">
        <f>VLOOKUP($A568,PLAN!$B:$AC,22,0)</f>
        <v>M9</v>
      </c>
      <c r="L568" s="1"/>
      <c r="M568" s="1"/>
      <c r="N568" s="1"/>
      <c r="O568" s="221" t="s">
        <v>79</v>
      </c>
      <c r="P568" s="220"/>
      <c r="Q568" s="18">
        <f>VLOOKUP(A568,PLAN!B:R,17,0)</f>
        <v>46258</v>
      </c>
    </row>
    <row r="569" spans="1:17" ht="17.25" hidden="1" customHeight="1">
      <c r="A569" s="329" t="s">
        <v>5781</v>
      </c>
      <c r="B569" s="14">
        <f>VLOOKUP($A569,PLAN!$B:$AC,3,0)</f>
        <v>11119421</v>
      </c>
      <c r="C569" s="14" t="str">
        <f>VLOOKUP($A569,PLAN!$B:$AC,4,0)</f>
        <v>1911089-D-A</v>
      </c>
      <c r="D569" s="14" t="str">
        <f>VLOOKUP($A569,PLAN!$B:$AC,5,0)</f>
        <v>HJ60SC350P10000 JP</v>
      </c>
      <c r="E569" s="14" t="str">
        <f>VLOOKUP($A569,PLAN!$B:$AC,2,0)</f>
        <v>1001950274</v>
      </c>
      <c r="F569" s="15">
        <f>VLOOKUP($A569,PLAN!$B:$AC,7,0)</f>
        <v>46263</v>
      </c>
      <c r="G569" s="16" t="str">
        <f>VLOOKUP($A569,PLAN!$B:$AC,8,0)</f>
        <v>0103617964</v>
      </c>
      <c r="H569" s="16" t="str">
        <f>VLOOKUP($A569,PLAN!$B:$AC,9,0)</f>
        <v>260818C13A</v>
      </c>
      <c r="I569" s="16">
        <f>VLOOKUP($A569,PLAN!$B:$AC,10,0)</f>
        <v>5</v>
      </c>
      <c r="J569" s="17">
        <f>VLOOKUP($A569,PLAN!$B:$AC,21,0)</f>
        <v>46259</v>
      </c>
      <c r="K569" s="145" t="str">
        <f>VLOOKUP($A569,PLAN!$B:$AC,22,0)</f>
        <v>M9</v>
      </c>
      <c r="L569" s="1"/>
      <c r="M569" s="1"/>
      <c r="N569" s="1"/>
      <c r="O569" s="221" t="s">
        <v>79</v>
      </c>
      <c r="P569" s="220"/>
      <c r="Q569" s="18">
        <f>VLOOKUP(A569,PLAN!B:R,17,0)</f>
        <v>46258</v>
      </c>
    </row>
    <row r="570" spans="1:17" ht="17.25" hidden="1" customHeight="1">
      <c r="A570" s="329" t="s">
        <v>5782</v>
      </c>
      <c r="B570" s="14">
        <f>VLOOKUP($A570,PLAN!$B:$AC,3,0)</f>
        <v>11119492</v>
      </c>
      <c r="C570" s="14" t="str">
        <f>VLOOKUP($A570,PLAN!$B:$AC,4,0)</f>
        <v>1911158-D-A</v>
      </c>
      <c r="D570" s="14" t="str">
        <f>VLOOKUP($A570,PLAN!$B:$AC,5,0)</f>
        <v>HJ70JL400P10001 JP</v>
      </c>
      <c r="E570" s="14" t="str">
        <f>VLOOKUP($A570,PLAN!$B:$AC,2,0)</f>
        <v>1001950275</v>
      </c>
      <c r="F570" s="15">
        <f>VLOOKUP($A570,PLAN!$B:$AC,7,0)</f>
        <v>46263</v>
      </c>
      <c r="G570" s="16" t="str">
        <f>VLOOKUP($A570,PLAN!$B:$AC,8,0)</f>
        <v>0103617965</v>
      </c>
      <c r="H570" s="16" t="str">
        <f>VLOOKUP($A570,PLAN!$B:$AC,9,0)</f>
        <v>260818C14A</v>
      </c>
      <c r="I570" s="16">
        <f>VLOOKUP($A570,PLAN!$B:$AC,10,0)</f>
        <v>5</v>
      </c>
      <c r="J570" s="17">
        <f>VLOOKUP($A570,PLAN!$B:$AC,21,0)</f>
        <v>46259</v>
      </c>
      <c r="K570" s="145" t="str">
        <f>VLOOKUP($A570,PLAN!$B:$AC,22,0)</f>
        <v>M9</v>
      </c>
      <c r="L570" s="1"/>
      <c r="M570" s="1"/>
      <c r="N570" s="1"/>
      <c r="O570" s="221" t="s">
        <v>79</v>
      </c>
      <c r="P570" s="220"/>
      <c r="Q570" s="18">
        <f>VLOOKUP(A570,PLAN!B:R,17,0)</f>
        <v>46258</v>
      </c>
    </row>
    <row r="571" spans="1:17" ht="17.25" hidden="1" customHeight="1">
      <c r="A571" s="329" t="s">
        <v>5783</v>
      </c>
      <c r="B571" s="14">
        <f>VLOOKUP($A571,PLAN!$B:$AC,3,0)</f>
        <v>11119552</v>
      </c>
      <c r="C571" s="14" t="str">
        <f>VLOOKUP($A571,PLAN!$B:$AC,4,0)</f>
        <v>1911218-D-A</v>
      </c>
      <c r="D571" s="14" t="str">
        <f>VLOOKUP($A571,PLAN!$B:$AC,5,0)</f>
        <v>HJ70SC352P10020 JP</v>
      </c>
      <c r="E571" s="14" t="str">
        <f>VLOOKUP($A571,PLAN!$B:$AC,2,0)</f>
        <v>1001950276</v>
      </c>
      <c r="F571" s="15">
        <f>VLOOKUP($A571,PLAN!$B:$AC,7,0)</f>
        <v>46263</v>
      </c>
      <c r="G571" s="16" t="str">
        <f>VLOOKUP($A571,PLAN!$B:$AC,8,0)</f>
        <v>0103617966</v>
      </c>
      <c r="H571" s="16" t="str">
        <f>VLOOKUP($A571,PLAN!$B:$AC,9,0)</f>
        <v>260818C15A</v>
      </c>
      <c r="I571" s="16">
        <f>VLOOKUP($A571,PLAN!$B:$AC,10,0)</f>
        <v>6</v>
      </c>
      <c r="J571" s="17">
        <f>VLOOKUP($A571,PLAN!$B:$AC,21,0)</f>
        <v>46259</v>
      </c>
      <c r="K571" s="145" t="str">
        <f>VLOOKUP($A571,PLAN!$B:$AC,22,0)</f>
        <v>M9</v>
      </c>
      <c r="L571" s="1"/>
      <c r="M571" s="1"/>
      <c r="N571" s="1"/>
      <c r="O571" s="221" t="s">
        <v>79</v>
      </c>
      <c r="P571" s="220"/>
      <c r="Q571" s="18">
        <f>VLOOKUP(A571,PLAN!B:R,17,0)</f>
        <v>46258</v>
      </c>
    </row>
    <row r="572" spans="1:17" ht="17.25" hidden="1" customHeight="1">
      <c r="A572" s="329" t="s">
        <v>5784</v>
      </c>
      <c r="B572" s="14">
        <f>VLOOKUP($A572,PLAN!$B:$AC,3,0)</f>
        <v>11119455</v>
      </c>
      <c r="C572" s="14" t="str">
        <f>VLOOKUP($A572,PLAN!$B:$AC,4,0)</f>
        <v>1911121-D-A</v>
      </c>
      <c r="D572" s="14" t="str">
        <f>VLOOKUP($A572,PLAN!$B:$AC,5,0)</f>
        <v>HJ70AL202P10020 JP</v>
      </c>
      <c r="E572" s="14" t="str">
        <f>VLOOKUP($A572,PLAN!$B:$AC,2,0)</f>
        <v>1001950277</v>
      </c>
      <c r="F572" s="15">
        <f>VLOOKUP($A572,PLAN!$B:$AC,7,0)</f>
        <v>46263</v>
      </c>
      <c r="G572" s="16" t="str">
        <f>VLOOKUP($A572,PLAN!$B:$AC,8,0)</f>
        <v>0103617967</v>
      </c>
      <c r="H572" s="16" t="str">
        <f>VLOOKUP($A572,PLAN!$B:$AC,9,0)</f>
        <v>260818C16A</v>
      </c>
      <c r="I572" s="16">
        <f>VLOOKUP($A572,PLAN!$B:$AC,10,0)</f>
        <v>7</v>
      </c>
      <c r="J572" s="17">
        <f>VLOOKUP($A572,PLAN!$B:$AC,21,0)</f>
        <v>46259</v>
      </c>
      <c r="K572" s="145" t="str">
        <f>VLOOKUP($A572,PLAN!$B:$AC,22,0)</f>
        <v>M9</v>
      </c>
      <c r="L572" s="1"/>
      <c r="M572" s="1"/>
      <c r="N572" s="1"/>
      <c r="O572" s="221" t="s">
        <v>79</v>
      </c>
      <c r="P572" s="220"/>
      <c r="Q572" s="18">
        <f>VLOOKUP(A572,PLAN!B:R,17,0)</f>
        <v>46258</v>
      </c>
    </row>
    <row r="573" spans="1:17" ht="17.25" hidden="1" customHeight="1">
      <c r="A573" s="329" t="s">
        <v>5785</v>
      </c>
      <c r="B573" s="14">
        <f>VLOOKUP($A573,PLAN!$B:$AC,3,0)</f>
        <v>11119510</v>
      </c>
      <c r="C573" s="14" t="str">
        <f>VLOOKUP($A573,PLAN!$B:$AC,4,0)</f>
        <v>1911176-D-A</v>
      </c>
      <c r="D573" s="14" t="str">
        <f>VLOOKUP($A573,PLAN!$B:$AC,5,0)</f>
        <v>HJ70JR402P09020 JP</v>
      </c>
      <c r="E573" s="14" t="str">
        <f>VLOOKUP($A573,PLAN!$B:$AC,2,0)</f>
        <v>1001950278</v>
      </c>
      <c r="F573" s="15">
        <f>VLOOKUP($A573,PLAN!$B:$AC,7,0)</f>
        <v>46263</v>
      </c>
      <c r="G573" s="16" t="str">
        <f>VLOOKUP($A573,PLAN!$B:$AC,8,0)</f>
        <v>0103617968</v>
      </c>
      <c r="H573" s="16" t="str">
        <f>VLOOKUP($A573,PLAN!$B:$AC,9,0)</f>
        <v>260818C17A</v>
      </c>
      <c r="I573" s="16">
        <f>VLOOKUP($A573,PLAN!$B:$AC,10,0)</f>
        <v>7</v>
      </c>
      <c r="J573" s="17">
        <f>VLOOKUP($A573,PLAN!$B:$AC,21,0)</f>
        <v>46259</v>
      </c>
      <c r="K573" s="145" t="str">
        <f>VLOOKUP($A573,PLAN!$B:$AC,22,0)</f>
        <v>M9</v>
      </c>
      <c r="L573" s="1"/>
      <c r="M573" s="1"/>
      <c r="N573" s="1"/>
      <c r="O573" s="221" t="s">
        <v>79</v>
      </c>
      <c r="P573" s="220"/>
      <c r="Q573" s="18">
        <f>VLOOKUP(A573,PLAN!B:R,17,0)</f>
        <v>46258</v>
      </c>
    </row>
    <row r="574" spans="1:17" ht="17.25" hidden="1" customHeight="1">
      <c r="A574" s="329" t="s">
        <v>5786</v>
      </c>
      <c r="B574" s="14">
        <f>VLOOKUP($A574,PLAN!$B:$AC,3,0)</f>
        <v>11119352</v>
      </c>
      <c r="C574" s="14" t="str">
        <f>VLOOKUP($A574,PLAN!$B:$AC,4,0)</f>
        <v>1911020-D-A</v>
      </c>
      <c r="D574" s="14" t="str">
        <f>VLOOKUP($A574,PLAN!$B:$AC,5,0)</f>
        <v>HJ60CP200P10020 JP</v>
      </c>
      <c r="E574" s="14" t="str">
        <f>VLOOKUP($A574,PLAN!$B:$AC,2,0)</f>
        <v>1001950279</v>
      </c>
      <c r="F574" s="15">
        <f>VLOOKUP($A574,PLAN!$B:$AC,7,0)</f>
        <v>46263</v>
      </c>
      <c r="G574" s="16" t="str">
        <f>VLOOKUP($A574,PLAN!$B:$AC,8,0)</f>
        <v>0103617969</v>
      </c>
      <c r="H574" s="16" t="str">
        <f>VLOOKUP($A574,PLAN!$B:$AC,9,0)</f>
        <v>260818C18A</v>
      </c>
      <c r="I574" s="16">
        <f>VLOOKUP($A574,PLAN!$B:$AC,10,0)</f>
        <v>8</v>
      </c>
      <c r="J574" s="17">
        <f>VLOOKUP($A574,PLAN!$B:$AC,21,0)</f>
        <v>46259</v>
      </c>
      <c r="K574" s="145" t="str">
        <f>VLOOKUP($A574,PLAN!$B:$AC,22,0)</f>
        <v>M9</v>
      </c>
      <c r="L574" s="1"/>
      <c r="M574" s="1"/>
      <c r="N574" s="1"/>
      <c r="O574" s="221" t="s">
        <v>79</v>
      </c>
      <c r="P574" s="220"/>
      <c r="Q574" s="18">
        <f>VLOOKUP(A574,PLAN!B:R,17,0)</f>
        <v>46258</v>
      </c>
    </row>
    <row r="575" spans="1:17" ht="17.25" hidden="1" customHeight="1">
      <c r="A575" s="329" t="s">
        <v>5787</v>
      </c>
      <c r="B575" s="14">
        <f>VLOOKUP($A575,PLAN!$B:$AC,3,0)</f>
        <v>11119538</v>
      </c>
      <c r="C575" s="14" t="str">
        <f>VLOOKUP($A575,PLAN!$B:$AC,4,0)</f>
        <v>1911204-D-A</v>
      </c>
      <c r="D575" s="14" t="str">
        <f>VLOOKUP($A575,PLAN!$B:$AC,5,0)</f>
        <v>HJ70AL072P09022 JP</v>
      </c>
      <c r="E575" s="14" t="str">
        <f>VLOOKUP($A575,PLAN!$B:$AC,2,0)</f>
        <v>1001950280</v>
      </c>
      <c r="F575" s="15">
        <f>VLOOKUP($A575,PLAN!$B:$AC,7,0)</f>
        <v>46263</v>
      </c>
      <c r="G575" s="16" t="str">
        <f>VLOOKUP($A575,PLAN!$B:$AC,8,0)</f>
        <v>0103617970</v>
      </c>
      <c r="H575" s="16" t="str">
        <f>VLOOKUP($A575,PLAN!$B:$AC,9,0)</f>
        <v>260818C19A</v>
      </c>
      <c r="I575" s="16">
        <f>VLOOKUP($A575,PLAN!$B:$AC,10,0)</f>
        <v>8</v>
      </c>
      <c r="J575" s="17">
        <f>VLOOKUP($A575,PLAN!$B:$AC,21,0)</f>
        <v>46259</v>
      </c>
      <c r="K575" s="145" t="str">
        <f>VLOOKUP($A575,PLAN!$B:$AC,22,0)</f>
        <v>M9</v>
      </c>
      <c r="L575" s="1"/>
      <c r="M575" s="1"/>
      <c r="N575" s="1"/>
      <c r="O575" s="221" t="s">
        <v>79</v>
      </c>
      <c r="P575" s="220"/>
      <c r="Q575" s="18">
        <f>VLOOKUP(A575,PLAN!B:R,17,0)</f>
        <v>46258</v>
      </c>
    </row>
    <row r="576" spans="1:17" ht="17.25" hidden="1" customHeight="1">
      <c r="A576" s="329" t="s">
        <v>5788</v>
      </c>
      <c r="B576" s="14">
        <f>VLOOKUP($A576,PLAN!$B:$AC,3,0)</f>
        <v>11119542</v>
      </c>
      <c r="C576" s="14" t="str">
        <f>VLOOKUP($A576,PLAN!$B:$AC,4,0)</f>
        <v>1911208-D-A</v>
      </c>
      <c r="D576" s="14" t="str">
        <f>VLOOKUP($A576,PLAN!$B:$AC,5,0)</f>
        <v>HJ70AL102P09022 JP</v>
      </c>
      <c r="E576" s="14" t="str">
        <f>VLOOKUP($A576,PLAN!$B:$AC,2,0)</f>
        <v>1001950281</v>
      </c>
      <c r="F576" s="15">
        <f>VLOOKUP($A576,PLAN!$B:$AC,7,0)</f>
        <v>46263</v>
      </c>
      <c r="G576" s="16" t="str">
        <f>VLOOKUP($A576,PLAN!$B:$AC,8,0)</f>
        <v>0103617971</v>
      </c>
      <c r="H576" s="16" t="str">
        <f>VLOOKUP($A576,PLAN!$B:$AC,9,0)</f>
        <v>260818C20A</v>
      </c>
      <c r="I576" s="16">
        <f>VLOOKUP($A576,PLAN!$B:$AC,10,0)</f>
        <v>8</v>
      </c>
      <c r="J576" s="17">
        <f>VLOOKUP($A576,PLAN!$B:$AC,21,0)</f>
        <v>46259</v>
      </c>
      <c r="K576" s="145" t="str">
        <f>VLOOKUP($A576,PLAN!$B:$AC,22,0)</f>
        <v>M9</v>
      </c>
      <c r="L576" s="1"/>
      <c r="M576" s="1"/>
      <c r="N576" s="1"/>
      <c r="O576" s="221" t="s">
        <v>79</v>
      </c>
      <c r="P576" s="220"/>
      <c r="Q576" s="18">
        <f>VLOOKUP(A576,PLAN!B:R,17,0)</f>
        <v>46258</v>
      </c>
    </row>
    <row r="577" spans="1:17" ht="17.25" hidden="1" customHeight="1">
      <c r="A577" s="329" t="s">
        <v>5789</v>
      </c>
      <c r="B577" s="14">
        <f>VLOOKUP($A577,PLAN!$B:$AC,3,0)</f>
        <v>11119545</v>
      </c>
      <c r="C577" s="14" t="str">
        <f>VLOOKUP($A577,PLAN!$B:$AC,4,0)</f>
        <v>1911211-D-A</v>
      </c>
      <c r="D577" s="14" t="str">
        <f>VLOOKUP($A577,PLAN!$B:$AC,5,0)</f>
        <v>HJ70AL152P10022 JP</v>
      </c>
      <c r="E577" s="14" t="str">
        <f>VLOOKUP($A577,PLAN!$B:$AC,2,0)</f>
        <v>1001950282</v>
      </c>
      <c r="F577" s="15">
        <f>VLOOKUP($A577,PLAN!$B:$AC,7,0)</f>
        <v>46263</v>
      </c>
      <c r="G577" s="16" t="str">
        <f>VLOOKUP($A577,PLAN!$B:$AC,8,0)</f>
        <v>0103617972</v>
      </c>
      <c r="H577" s="16" t="str">
        <f>VLOOKUP($A577,PLAN!$B:$AC,9,0)</f>
        <v>260818C21A</v>
      </c>
      <c r="I577" s="16">
        <f>VLOOKUP($A577,PLAN!$B:$AC,10,0)</f>
        <v>8</v>
      </c>
      <c r="J577" s="17">
        <f>VLOOKUP($A577,PLAN!$B:$AC,21,0)</f>
        <v>46259</v>
      </c>
      <c r="K577" s="145" t="str">
        <f>VLOOKUP($A577,PLAN!$B:$AC,22,0)</f>
        <v>M9</v>
      </c>
      <c r="L577" s="1"/>
      <c r="M577" s="1"/>
      <c r="N577" s="1"/>
      <c r="O577" s="221" t="s">
        <v>79</v>
      </c>
      <c r="P577" s="220"/>
      <c r="Q577" s="18">
        <f>VLOOKUP(A577,PLAN!B:R,17,0)</f>
        <v>46258</v>
      </c>
    </row>
    <row r="578" spans="1:17" ht="17.25" hidden="1" customHeight="1">
      <c r="A578" s="329" t="s">
        <v>5790</v>
      </c>
      <c r="B578" s="14">
        <f>VLOOKUP($A578,PLAN!$B:$AC,3,0)</f>
        <v>11119661</v>
      </c>
      <c r="C578" s="14" t="str">
        <f>VLOOKUP($A578,PLAN!$B:$AC,4,0)</f>
        <v>1911327-D-A</v>
      </c>
      <c r="D578" s="14" t="str">
        <f>VLOOKUP($A578,PLAN!$B:$AC,5,0)</f>
        <v>HJ80AL100P10002 JP</v>
      </c>
      <c r="E578" s="14" t="str">
        <f>VLOOKUP($A578,PLAN!$B:$AC,2,0)</f>
        <v>1001950283</v>
      </c>
      <c r="F578" s="15">
        <f>VLOOKUP($A578,PLAN!$B:$AC,7,0)</f>
        <v>46263</v>
      </c>
      <c r="G578" s="16" t="str">
        <f>VLOOKUP($A578,PLAN!$B:$AC,8,0)</f>
        <v>0103617973</v>
      </c>
      <c r="H578" s="16" t="str">
        <f>VLOOKUP($A578,PLAN!$B:$AC,9,0)</f>
        <v>260818C22A</v>
      </c>
      <c r="I578" s="16">
        <f>VLOOKUP($A578,PLAN!$B:$AC,10,0)</f>
        <v>8</v>
      </c>
      <c r="J578" s="17">
        <f>VLOOKUP($A578,PLAN!$B:$AC,21,0)</f>
        <v>46259</v>
      </c>
      <c r="K578" s="145" t="str">
        <f>VLOOKUP($A578,PLAN!$B:$AC,22,0)</f>
        <v>M9</v>
      </c>
      <c r="L578" s="1"/>
      <c r="M578" s="1"/>
      <c r="N578" s="1"/>
      <c r="O578" s="221" t="s">
        <v>79</v>
      </c>
      <c r="P578" s="220"/>
      <c r="Q578" s="18">
        <f>VLOOKUP(A578,PLAN!B:R,17,0)</f>
        <v>46258</v>
      </c>
    </row>
    <row r="579" spans="1:17" ht="17.25" hidden="1" customHeight="1">
      <c r="A579" s="329" t="s">
        <v>5791</v>
      </c>
      <c r="B579" s="14">
        <f>VLOOKUP($A579,PLAN!$B:$AC,3,0)</f>
        <v>11119480</v>
      </c>
      <c r="C579" s="14" t="str">
        <f>VLOOKUP($A579,PLAN!$B:$AC,4,0)</f>
        <v>1911146-D-A</v>
      </c>
      <c r="D579" s="14" t="str">
        <f>VLOOKUP($A579,PLAN!$B:$AC,5,0)</f>
        <v>HJ70IM002P10020 JP</v>
      </c>
      <c r="E579" s="14" t="str">
        <f>VLOOKUP($A579,PLAN!$B:$AC,2,0)</f>
        <v>1001950284</v>
      </c>
      <c r="F579" s="15">
        <f>VLOOKUP($A579,PLAN!$B:$AC,7,0)</f>
        <v>46263</v>
      </c>
      <c r="G579" s="16" t="str">
        <f>VLOOKUP($A579,PLAN!$B:$AC,8,0)</f>
        <v>0103617974</v>
      </c>
      <c r="H579" s="16" t="str">
        <f>VLOOKUP($A579,PLAN!$B:$AC,9,0)</f>
        <v>260818C23A</v>
      </c>
      <c r="I579" s="16">
        <f>VLOOKUP($A579,PLAN!$B:$AC,10,0)</f>
        <v>9</v>
      </c>
      <c r="J579" s="17">
        <f>VLOOKUP($A579,PLAN!$B:$AC,21,0)</f>
        <v>46259</v>
      </c>
      <c r="K579" s="145" t="str">
        <f>VLOOKUP($A579,PLAN!$B:$AC,22,0)</f>
        <v>M9</v>
      </c>
      <c r="L579" s="1"/>
      <c r="M579" s="1"/>
      <c r="N579" s="1"/>
      <c r="O579" s="221" t="s">
        <v>79</v>
      </c>
      <c r="P579" s="220"/>
      <c r="Q579" s="18">
        <f>VLOOKUP(A579,PLAN!B:R,17,0)</f>
        <v>46258</v>
      </c>
    </row>
    <row r="580" spans="1:17" ht="17.25" hidden="1" customHeight="1">
      <c r="A580" s="329" t="s">
        <v>5792</v>
      </c>
      <c r="B580" s="14">
        <f>VLOOKUP($A580,PLAN!$B:$AC,3,0)</f>
        <v>11119441</v>
      </c>
      <c r="C580" s="14" t="str">
        <f>VLOOKUP($A580,PLAN!$B:$AC,4,0)</f>
        <v>1911107-D-A</v>
      </c>
      <c r="D580" s="14" t="str">
        <f>VLOOKUP($A580,PLAN!$B:$AC,5,0)</f>
        <v>HJ70AL072P10021 JP</v>
      </c>
      <c r="E580" s="14" t="str">
        <f>VLOOKUP($A580,PLAN!$B:$AC,2,0)</f>
        <v>1001950285</v>
      </c>
      <c r="F580" s="15">
        <f>VLOOKUP($A580,PLAN!$B:$AC,7,0)</f>
        <v>46263</v>
      </c>
      <c r="G580" s="16" t="str">
        <f>VLOOKUP($A580,PLAN!$B:$AC,8,0)</f>
        <v>0103617975</v>
      </c>
      <c r="H580" s="16" t="str">
        <f>VLOOKUP($A580,PLAN!$B:$AC,9,0)</f>
        <v>260818C24A</v>
      </c>
      <c r="I580" s="16">
        <f>VLOOKUP($A580,PLAN!$B:$AC,10,0)</f>
        <v>10</v>
      </c>
      <c r="J580" s="17">
        <f>VLOOKUP($A580,PLAN!$B:$AC,21,0)</f>
        <v>46259</v>
      </c>
      <c r="K580" s="145" t="str">
        <f>VLOOKUP($A580,PLAN!$B:$AC,22,0)</f>
        <v>M9</v>
      </c>
      <c r="L580" s="1"/>
      <c r="M580" s="1"/>
      <c r="N580" s="1"/>
      <c r="O580" s="221" t="s">
        <v>79</v>
      </c>
      <c r="P580" s="220"/>
      <c r="Q580" s="18">
        <f>VLOOKUP(A580,PLAN!B:R,17,0)</f>
        <v>46258</v>
      </c>
    </row>
    <row r="581" spans="1:17" ht="17.25" hidden="1" customHeight="1">
      <c r="A581" s="329" t="s">
        <v>5793</v>
      </c>
      <c r="B581" s="14">
        <f>VLOOKUP($A581,PLAN!$B:$AC,3,0)</f>
        <v>11119450</v>
      </c>
      <c r="C581" s="14" t="str">
        <f>VLOOKUP($A581,PLAN!$B:$AC,4,0)</f>
        <v>1911116-D-A</v>
      </c>
      <c r="D581" s="14" t="str">
        <f>VLOOKUP($A581,PLAN!$B:$AC,5,0)</f>
        <v>HJ70AL152P10020 JP</v>
      </c>
      <c r="E581" s="14" t="str">
        <f>VLOOKUP($A581,PLAN!$B:$AC,2,0)</f>
        <v>1001950286</v>
      </c>
      <c r="F581" s="15">
        <f>VLOOKUP($A581,PLAN!$B:$AC,7,0)</f>
        <v>46263</v>
      </c>
      <c r="G581" s="16" t="str">
        <f>VLOOKUP($A581,PLAN!$B:$AC,8,0)</f>
        <v>0103617976</v>
      </c>
      <c r="H581" s="16" t="str">
        <f>VLOOKUP($A581,PLAN!$B:$AC,9,0)</f>
        <v>260818C25A</v>
      </c>
      <c r="I581" s="16">
        <f>VLOOKUP($A581,PLAN!$B:$AC,10,0)</f>
        <v>12</v>
      </c>
      <c r="J581" s="17">
        <f>VLOOKUP($A581,PLAN!$B:$AC,21,0)</f>
        <v>46259</v>
      </c>
      <c r="K581" s="145" t="str">
        <f>VLOOKUP($A581,PLAN!$B:$AC,22,0)</f>
        <v>M9</v>
      </c>
      <c r="L581" s="1"/>
      <c r="M581" s="1"/>
      <c r="N581" s="1"/>
      <c r="O581" s="221" t="s">
        <v>79</v>
      </c>
      <c r="P581" s="220"/>
      <c r="Q581" s="18">
        <f>VLOOKUP(A581,PLAN!B:R,17,0)</f>
        <v>46258</v>
      </c>
    </row>
    <row r="582" spans="1:17" ht="17.25" hidden="1" customHeight="1">
      <c r="A582" s="329" t="s">
        <v>5794</v>
      </c>
      <c r="B582" s="14">
        <f>VLOOKUP($A582,PLAN!$B:$AC,3,0)</f>
        <v>11119549</v>
      </c>
      <c r="C582" s="14" t="str">
        <f>VLOOKUP($A582,PLAN!$B:$AC,4,0)</f>
        <v>1911215-D-A</v>
      </c>
      <c r="D582" s="14" t="str">
        <f>VLOOKUP($A582,PLAN!$B:$AC,5,0)</f>
        <v>HJ70AL202P10022 JP</v>
      </c>
      <c r="E582" s="14" t="str">
        <f>VLOOKUP($A582,PLAN!$B:$AC,2,0)</f>
        <v>1001950287</v>
      </c>
      <c r="F582" s="15">
        <f>VLOOKUP($A582,PLAN!$B:$AC,7,0)</f>
        <v>46263</v>
      </c>
      <c r="G582" s="16" t="str">
        <f>VLOOKUP($A582,PLAN!$B:$AC,8,0)</f>
        <v>0103617977</v>
      </c>
      <c r="H582" s="16" t="str">
        <f>VLOOKUP($A582,PLAN!$B:$AC,9,0)</f>
        <v>260818C26A</v>
      </c>
      <c r="I582" s="16">
        <f>VLOOKUP($A582,PLAN!$B:$AC,10,0)</f>
        <v>12</v>
      </c>
      <c r="J582" s="17">
        <f>VLOOKUP($A582,PLAN!$B:$AC,21,0)</f>
        <v>46259</v>
      </c>
      <c r="K582" s="145" t="str">
        <f>VLOOKUP($A582,PLAN!$B:$AC,22,0)</f>
        <v>M9</v>
      </c>
      <c r="L582" s="1"/>
      <c r="M582" s="1"/>
      <c r="N582" s="1"/>
      <c r="O582" s="221" t="s">
        <v>79</v>
      </c>
      <c r="P582" s="220"/>
      <c r="Q582" s="18">
        <f>VLOOKUP(A582,PLAN!B:R,17,0)</f>
        <v>46258</v>
      </c>
    </row>
    <row r="583" spans="1:17" ht="17.25" hidden="1" customHeight="1">
      <c r="A583" s="329" t="s">
        <v>5795</v>
      </c>
      <c r="B583" s="14">
        <f>VLOOKUP($A583,PLAN!$B:$AC,3,0)</f>
        <v>11119419</v>
      </c>
      <c r="C583" s="14" t="str">
        <f>VLOOKUP($A583,PLAN!$B:$AC,4,0)</f>
        <v>1911087-D-A</v>
      </c>
      <c r="D583" s="14" t="str">
        <f>VLOOKUP($A583,PLAN!$B:$AC,5,0)</f>
        <v>HJ60AL200P10022 JP</v>
      </c>
      <c r="E583" s="14" t="str">
        <f>VLOOKUP($A583,PLAN!$B:$AC,2,0)</f>
        <v>1001950288</v>
      </c>
      <c r="F583" s="15">
        <f>VLOOKUP($A583,PLAN!$B:$AC,7,0)</f>
        <v>46263</v>
      </c>
      <c r="G583" s="16" t="str">
        <f>VLOOKUP($A583,PLAN!$B:$AC,8,0)</f>
        <v>0103617978</v>
      </c>
      <c r="H583" s="16" t="str">
        <f>VLOOKUP($A583,PLAN!$B:$AC,9,0)</f>
        <v>260818C27A</v>
      </c>
      <c r="I583" s="16">
        <f>VLOOKUP($A583,PLAN!$B:$AC,10,0)</f>
        <v>13</v>
      </c>
      <c r="J583" s="17">
        <f>VLOOKUP($A583,PLAN!$B:$AC,21,0)</f>
        <v>46259</v>
      </c>
      <c r="K583" s="145" t="str">
        <f>VLOOKUP($A583,PLAN!$B:$AC,22,0)</f>
        <v>M9</v>
      </c>
      <c r="L583" s="1"/>
      <c r="M583" s="1"/>
      <c r="N583" s="1"/>
      <c r="O583" s="221" t="s">
        <v>79</v>
      </c>
      <c r="P583" s="220"/>
      <c r="Q583" s="18">
        <f>VLOOKUP(A583,PLAN!B:R,17,0)</f>
        <v>46258</v>
      </c>
    </row>
    <row r="584" spans="1:17" ht="17.25" hidden="1" customHeight="1">
      <c r="A584" s="329" t="s">
        <v>5796</v>
      </c>
      <c r="B584" s="14">
        <f>VLOOKUP($A584,PLAN!$B:$AC,3,0)</f>
        <v>11119437</v>
      </c>
      <c r="C584" s="14" t="str">
        <f>VLOOKUP($A584,PLAN!$B:$AC,4,0)</f>
        <v>1911103-D-A</v>
      </c>
      <c r="D584" s="14" t="str">
        <f>VLOOKUP($A584,PLAN!$B:$AC,5,0)</f>
        <v>HJ70AL070P10020 JP</v>
      </c>
      <c r="E584" s="14" t="str">
        <f>VLOOKUP($A584,PLAN!$B:$AC,2,0)</f>
        <v>1001950289</v>
      </c>
      <c r="F584" s="15">
        <f>VLOOKUP($A584,PLAN!$B:$AC,7,0)</f>
        <v>46263</v>
      </c>
      <c r="G584" s="16" t="str">
        <f>VLOOKUP($A584,PLAN!$B:$AC,8,0)</f>
        <v>0103617979</v>
      </c>
      <c r="H584" s="16" t="str">
        <f>VLOOKUP($A584,PLAN!$B:$AC,9,0)</f>
        <v>260818C28A</v>
      </c>
      <c r="I584" s="16">
        <f>VLOOKUP($A584,PLAN!$B:$AC,10,0)</f>
        <v>13</v>
      </c>
      <c r="J584" s="17">
        <f>VLOOKUP($A584,PLAN!$B:$AC,21,0)</f>
        <v>46259</v>
      </c>
      <c r="K584" s="145" t="str">
        <f>VLOOKUP($A584,PLAN!$B:$AC,22,0)</f>
        <v>M9</v>
      </c>
      <c r="L584" s="1"/>
      <c r="M584" s="1"/>
      <c r="N584" s="1"/>
      <c r="O584" s="221" t="s">
        <v>79</v>
      </c>
      <c r="P584" s="220"/>
      <c r="Q584" s="18">
        <f>VLOOKUP(A584,PLAN!B:R,17,0)</f>
        <v>46258</v>
      </c>
    </row>
    <row r="585" spans="1:17" ht="17.25" hidden="1" customHeight="1">
      <c r="A585" s="329" t="s">
        <v>5797</v>
      </c>
      <c r="B585" s="14">
        <f>VLOOKUP($A585,PLAN!$B:$AC,3,0)</f>
        <v>11119453</v>
      </c>
      <c r="C585" s="14" t="str">
        <f>VLOOKUP($A585,PLAN!$B:$AC,4,0)</f>
        <v>1911119-D-A</v>
      </c>
      <c r="D585" s="14" t="str">
        <f>VLOOKUP($A585,PLAN!$B:$AC,5,0)</f>
        <v>HJ70AL152P10021 JP</v>
      </c>
      <c r="E585" s="14" t="str">
        <f>VLOOKUP($A585,PLAN!$B:$AC,2,0)</f>
        <v>1001950290</v>
      </c>
      <c r="F585" s="15">
        <f>VLOOKUP($A585,PLAN!$B:$AC,7,0)</f>
        <v>46263</v>
      </c>
      <c r="G585" s="16" t="str">
        <f>VLOOKUP($A585,PLAN!$B:$AC,8,0)</f>
        <v>0103617980</v>
      </c>
      <c r="H585" s="16" t="str">
        <f>VLOOKUP($A585,PLAN!$B:$AC,9,0)</f>
        <v>260818C29A</v>
      </c>
      <c r="I585" s="16">
        <f>VLOOKUP($A585,PLAN!$B:$AC,10,0)</f>
        <v>14</v>
      </c>
      <c r="J585" s="17">
        <f>VLOOKUP($A585,PLAN!$B:$AC,21,0)</f>
        <v>46259</v>
      </c>
      <c r="K585" s="145" t="str">
        <f>VLOOKUP($A585,PLAN!$B:$AC,22,0)</f>
        <v>M9</v>
      </c>
      <c r="L585" s="1"/>
      <c r="M585" s="1"/>
      <c r="N585" s="1"/>
      <c r="O585" s="221" t="s">
        <v>79</v>
      </c>
      <c r="P585" s="220"/>
      <c r="Q585" s="18">
        <f>VLOOKUP(A585,PLAN!B:R,17,0)</f>
        <v>46258</v>
      </c>
    </row>
    <row r="586" spans="1:17" ht="17.25" hidden="1" customHeight="1">
      <c r="A586" s="329" t="s">
        <v>5798</v>
      </c>
      <c r="B586" s="14">
        <f>VLOOKUP($A586,PLAN!$B:$AC,3,0)</f>
        <v>11119423</v>
      </c>
      <c r="C586" s="14" t="str">
        <f>VLOOKUP($A586,PLAN!$B:$AC,4,0)</f>
        <v>1911091-D-A</v>
      </c>
      <c r="D586" s="14" t="str">
        <f>VLOOKUP($A586,PLAN!$B:$AC,5,0)</f>
        <v>HJ60SC400P10000 JP</v>
      </c>
      <c r="E586" s="14" t="str">
        <f>VLOOKUP($A586,PLAN!$B:$AC,2,0)</f>
        <v>1001950291</v>
      </c>
      <c r="F586" s="15">
        <f>VLOOKUP($A586,PLAN!$B:$AC,7,0)</f>
        <v>46263</v>
      </c>
      <c r="G586" s="16" t="str">
        <f>VLOOKUP($A586,PLAN!$B:$AC,8,0)</f>
        <v>0103617981</v>
      </c>
      <c r="H586" s="16" t="str">
        <f>VLOOKUP($A586,PLAN!$B:$AC,9,0)</f>
        <v>260818C30A</v>
      </c>
      <c r="I586" s="16">
        <f>VLOOKUP($A586,PLAN!$B:$AC,10,0)</f>
        <v>15</v>
      </c>
      <c r="J586" s="17">
        <f>VLOOKUP($A586,PLAN!$B:$AC,21,0)</f>
        <v>46259</v>
      </c>
      <c r="K586" s="145" t="str">
        <f>VLOOKUP($A586,PLAN!$B:$AC,22,0)</f>
        <v>M9</v>
      </c>
      <c r="L586" s="1"/>
      <c r="M586" s="1"/>
      <c r="N586" s="1"/>
      <c r="O586" s="221" t="s">
        <v>79</v>
      </c>
      <c r="P586" s="220"/>
      <c r="Q586" s="18">
        <f>VLOOKUP(A586,PLAN!B:R,17,0)</f>
        <v>46258</v>
      </c>
    </row>
    <row r="587" spans="1:17" ht="17.25" hidden="1" customHeight="1">
      <c r="A587" s="329" t="s">
        <v>5799</v>
      </c>
      <c r="B587" s="14">
        <f>VLOOKUP($A587,PLAN!$B:$AC,3,0)</f>
        <v>11119445</v>
      </c>
      <c r="C587" s="14" t="str">
        <f>VLOOKUP($A587,PLAN!$B:$AC,4,0)</f>
        <v>1911111-D-A</v>
      </c>
      <c r="D587" s="14" t="str">
        <f>VLOOKUP($A587,PLAN!$B:$AC,5,0)</f>
        <v>HJ70AL102P09020 JP</v>
      </c>
      <c r="E587" s="14" t="str">
        <f>VLOOKUP($A587,PLAN!$B:$AC,2,0)</f>
        <v>1001950292</v>
      </c>
      <c r="F587" s="15">
        <f>VLOOKUP($A587,PLAN!$B:$AC,7,0)</f>
        <v>46263</v>
      </c>
      <c r="G587" s="16" t="str">
        <f>VLOOKUP($A587,PLAN!$B:$AC,8,0)</f>
        <v>0103617982</v>
      </c>
      <c r="H587" s="16" t="str">
        <f>VLOOKUP($A587,PLAN!$B:$AC,9,0)</f>
        <v>260818C31A</v>
      </c>
      <c r="I587" s="16">
        <f>VLOOKUP($A587,PLAN!$B:$AC,10,0)</f>
        <v>21</v>
      </c>
      <c r="J587" s="17">
        <f>VLOOKUP($A587,PLAN!$B:$AC,21,0)</f>
        <v>46259</v>
      </c>
      <c r="K587" s="145" t="str">
        <f>VLOOKUP($A587,PLAN!$B:$AC,22,0)</f>
        <v>M9</v>
      </c>
      <c r="L587" s="1"/>
      <c r="M587" s="1"/>
      <c r="N587" s="1"/>
      <c r="O587" s="221" t="s">
        <v>79</v>
      </c>
      <c r="P587" s="220"/>
      <c r="Q587" s="18">
        <f>VLOOKUP(A587,PLAN!B:R,17,0)</f>
        <v>46258</v>
      </c>
    </row>
    <row r="588" spans="1:17" ht="17.25" hidden="1" customHeight="1">
      <c r="A588" s="329" t="s">
        <v>5800</v>
      </c>
      <c r="B588" s="14">
        <f>VLOOKUP($A588,PLAN!$B:$AC,3,0)</f>
        <v>11119505</v>
      </c>
      <c r="C588" s="14" t="str">
        <f>VLOOKUP($A588,PLAN!$B:$AC,4,0)</f>
        <v>1911171-D-A</v>
      </c>
      <c r="D588" s="14" t="str">
        <f>VLOOKUP($A588,PLAN!$B:$AC,5,0)</f>
        <v>HJ70JR352P10020 JP</v>
      </c>
      <c r="E588" s="14" t="str">
        <f>VLOOKUP($A588,PLAN!$B:$AC,2,0)</f>
        <v>1001950293</v>
      </c>
      <c r="F588" s="15">
        <f>VLOOKUP($A588,PLAN!$B:$AC,7,0)</f>
        <v>46263</v>
      </c>
      <c r="G588" s="16" t="str">
        <f>VLOOKUP($A588,PLAN!$B:$AC,8,0)</f>
        <v>0103617983</v>
      </c>
      <c r="H588" s="16" t="str">
        <f>VLOOKUP($A588,PLAN!$B:$AC,9,0)</f>
        <v>260818C32A</v>
      </c>
      <c r="I588" s="16">
        <f>VLOOKUP($A588,PLAN!$B:$AC,10,0)</f>
        <v>21</v>
      </c>
      <c r="J588" s="17">
        <f>VLOOKUP($A588,PLAN!$B:$AC,21,0)</f>
        <v>46259</v>
      </c>
      <c r="K588" s="145" t="str">
        <f>VLOOKUP($A588,PLAN!$B:$AC,22,0)</f>
        <v>M9</v>
      </c>
      <c r="L588" s="1"/>
      <c r="M588" s="1"/>
      <c r="N588" s="1"/>
      <c r="O588" s="221" t="s">
        <v>79</v>
      </c>
      <c r="P588" s="220"/>
      <c r="Q588" s="18">
        <f>VLOOKUP(A588,PLAN!B:R,17,0)</f>
        <v>46258</v>
      </c>
    </row>
    <row r="589" spans="1:17" ht="17.25" hidden="1" customHeight="1">
      <c r="A589" s="329" t="s">
        <v>5801</v>
      </c>
      <c r="B589" s="14">
        <f>VLOOKUP($A589,PLAN!$B:$AC,3,0)</f>
        <v>11119377</v>
      </c>
      <c r="C589" s="14" t="str">
        <f>VLOOKUP($A589,PLAN!$B:$AC,4,0)</f>
        <v>1911045-D-A</v>
      </c>
      <c r="D589" s="14" t="str">
        <f>VLOOKUP($A589,PLAN!$B:$AC,5,0)</f>
        <v>HJ60JL402P10020 JP</v>
      </c>
      <c r="E589" s="14" t="str">
        <f>VLOOKUP($A589,PLAN!$B:$AC,2,0)</f>
        <v>1001950294</v>
      </c>
      <c r="F589" s="15">
        <f>VLOOKUP($A589,PLAN!$B:$AC,7,0)</f>
        <v>46263</v>
      </c>
      <c r="G589" s="16" t="str">
        <f>VLOOKUP($A589,PLAN!$B:$AC,8,0)</f>
        <v>0103617984</v>
      </c>
      <c r="H589" s="16" t="str">
        <f>VLOOKUP($A589,PLAN!$B:$AC,9,0)</f>
        <v>260818C33A</v>
      </c>
      <c r="I589" s="16">
        <f>VLOOKUP($A589,PLAN!$B:$AC,10,0)</f>
        <v>22</v>
      </c>
      <c r="J589" s="17">
        <f>VLOOKUP($A589,PLAN!$B:$AC,21,0)</f>
        <v>46259</v>
      </c>
      <c r="K589" s="145" t="str">
        <f>VLOOKUP($A589,PLAN!$B:$AC,22,0)</f>
        <v>M9</v>
      </c>
      <c r="L589" s="1"/>
      <c r="M589" s="1"/>
      <c r="N589" s="1"/>
      <c r="O589" s="221" t="s">
        <v>79</v>
      </c>
      <c r="P589" s="220"/>
      <c r="Q589" s="18">
        <f>VLOOKUP(A589,PLAN!B:R,17,0)</f>
        <v>46258</v>
      </c>
    </row>
    <row r="590" spans="1:17" ht="17.25" hidden="1" customHeight="1">
      <c r="A590" s="329" t="s">
        <v>5802</v>
      </c>
      <c r="B590" s="14">
        <f>VLOOKUP($A590,PLAN!$B:$AC,3,0)</f>
        <v>11119416</v>
      </c>
      <c r="C590" s="14" t="str">
        <f>VLOOKUP($A590,PLAN!$B:$AC,4,0)</f>
        <v>1911084-E-A</v>
      </c>
      <c r="D590" s="14" t="str">
        <f>VLOOKUP($A590,PLAN!$B:$AC,5,0)</f>
        <v>HJ60AL102P10022 JP</v>
      </c>
      <c r="E590" s="14" t="str">
        <f>VLOOKUP($A590,PLAN!$B:$AC,2,0)</f>
        <v>1001950295</v>
      </c>
      <c r="F590" s="15">
        <f>VLOOKUP($A590,PLAN!$B:$AC,7,0)</f>
        <v>46263</v>
      </c>
      <c r="G590" s="16" t="str">
        <f>VLOOKUP($A590,PLAN!$B:$AC,8,0)</f>
        <v>0103617985</v>
      </c>
      <c r="H590" s="16" t="str">
        <f>VLOOKUP($A590,PLAN!$B:$AC,9,0)</f>
        <v>260818C34A</v>
      </c>
      <c r="I590" s="16">
        <f>VLOOKUP($A590,PLAN!$B:$AC,10,0)</f>
        <v>29</v>
      </c>
      <c r="J590" s="17">
        <f>VLOOKUP($A590,PLAN!$B:$AC,21,0)</f>
        <v>46259</v>
      </c>
      <c r="K590" s="145" t="str">
        <f>VLOOKUP($A590,PLAN!$B:$AC,22,0)</f>
        <v>M9</v>
      </c>
      <c r="L590" s="1"/>
      <c r="M590" s="1"/>
      <c r="N590" s="1"/>
      <c r="O590" s="221" t="s">
        <v>79</v>
      </c>
      <c r="P590" s="220"/>
      <c r="Q590" s="18">
        <f>VLOOKUP(A590,PLAN!B:R,17,0)</f>
        <v>46258</v>
      </c>
    </row>
    <row r="591" spans="1:17" ht="17.25" hidden="1" customHeight="1">
      <c r="A591" s="329" t="s">
        <v>5803</v>
      </c>
      <c r="B591" s="14">
        <f>VLOOKUP($A591,PLAN!$B:$AC,3,0)</f>
        <v>11119413</v>
      </c>
      <c r="C591" s="14" t="str">
        <f>VLOOKUP($A591,PLAN!$B:$AC,4,0)</f>
        <v>1911081-D-A</v>
      </c>
      <c r="D591" s="14" t="str">
        <f>VLOOKUP($A591,PLAN!$B:$AC,5,0)</f>
        <v>HJ60AL070P10022 JP</v>
      </c>
      <c r="E591" s="14" t="str">
        <f>VLOOKUP($A591,PLAN!$B:$AC,2,0)</f>
        <v>1001950296</v>
      </c>
      <c r="F591" s="15">
        <f>VLOOKUP($A591,PLAN!$B:$AC,7,0)</f>
        <v>46263</v>
      </c>
      <c r="G591" s="16" t="str">
        <f>VLOOKUP($A591,PLAN!$B:$AC,8,0)</f>
        <v>0103617986</v>
      </c>
      <c r="H591" s="16" t="str">
        <f>VLOOKUP($A591,PLAN!$B:$AC,9,0)</f>
        <v>260818C35A</v>
      </c>
      <c r="I591" s="16">
        <f>VLOOKUP($A591,PLAN!$B:$AC,10,0)</f>
        <v>31</v>
      </c>
      <c r="J591" s="17">
        <f>VLOOKUP($A591,PLAN!$B:$AC,21,0)</f>
        <v>46259</v>
      </c>
      <c r="K591" s="145" t="str">
        <f>VLOOKUP($A591,PLAN!$B:$AC,22,0)</f>
        <v>M9</v>
      </c>
      <c r="L591" s="1"/>
      <c r="M591" s="1"/>
      <c r="N591" s="1"/>
      <c r="O591" s="221" t="s">
        <v>79</v>
      </c>
      <c r="P591" s="220"/>
      <c r="Q591" s="18">
        <f>VLOOKUP(A591,PLAN!B:R,17,0)</f>
        <v>46258</v>
      </c>
    </row>
    <row r="592" spans="1:17" ht="17.25" hidden="1" customHeight="1">
      <c r="A592" s="329" t="s">
        <v>5804</v>
      </c>
      <c r="B592" s="14">
        <f>VLOOKUP($A592,PLAN!$B:$AC,3,0)</f>
        <v>11119444</v>
      </c>
      <c r="C592" s="14" t="str">
        <f>VLOOKUP($A592,PLAN!$B:$AC,4,0)</f>
        <v>1911110-D-A</v>
      </c>
      <c r="D592" s="14" t="str">
        <f>VLOOKUP($A592,PLAN!$B:$AC,5,0)</f>
        <v>HJ70AL102P10020 JP</v>
      </c>
      <c r="E592" s="14" t="str">
        <f>VLOOKUP($A592,PLAN!$B:$AC,2,0)</f>
        <v>1001950297</v>
      </c>
      <c r="F592" s="15">
        <f>VLOOKUP($A592,PLAN!$B:$AC,7,0)</f>
        <v>46263</v>
      </c>
      <c r="G592" s="16" t="str">
        <f>VLOOKUP($A592,PLAN!$B:$AC,8,0)</f>
        <v>0103617987</v>
      </c>
      <c r="H592" s="16" t="str">
        <f>VLOOKUP($A592,PLAN!$B:$AC,9,0)</f>
        <v>260818C36A</v>
      </c>
      <c r="I592" s="16">
        <f>VLOOKUP($A592,PLAN!$B:$AC,10,0)</f>
        <v>33</v>
      </c>
      <c r="J592" s="17">
        <f>VLOOKUP($A592,PLAN!$B:$AC,21,0)</f>
        <v>46259</v>
      </c>
      <c r="K592" s="145" t="str">
        <f>VLOOKUP($A592,PLAN!$B:$AC,22,0)</f>
        <v>M9</v>
      </c>
      <c r="L592" s="1"/>
      <c r="M592" s="1"/>
      <c r="N592" s="1"/>
      <c r="O592" s="221" t="s">
        <v>79</v>
      </c>
      <c r="P592" s="220"/>
      <c r="Q592" s="18">
        <f>VLOOKUP(A592,PLAN!B:R,17,0)</f>
        <v>46258</v>
      </c>
    </row>
    <row r="593" spans="1:17" ht="17.25" hidden="1" customHeight="1">
      <c r="A593" s="329" t="s">
        <v>5805</v>
      </c>
      <c r="B593" s="14">
        <f>VLOOKUP($A593,PLAN!$B:$AC,3,0)</f>
        <v>11119393</v>
      </c>
      <c r="C593" s="14" t="str">
        <f>VLOOKUP($A593,PLAN!$B:$AC,4,0)</f>
        <v>1911061-D-A</v>
      </c>
      <c r="D593" s="14" t="str">
        <f>VLOOKUP($A593,PLAN!$B:$AC,5,0)</f>
        <v>HJ60JR402P10020 JP</v>
      </c>
      <c r="E593" s="14" t="str">
        <f>VLOOKUP($A593,PLAN!$B:$AC,2,0)</f>
        <v>1001950298</v>
      </c>
      <c r="F593" s="15">
        <f>VLOOKUP($A593,PLAN!$B:$AC,7,0)</f>
        <v>46263</v>
      </c>
      <c r="G593" s="16" t="str">
        <f>VLOOKUP($A593,PLAN!$B:$AC,8,0)</f>
        <v>0103617988</v>
      </c>
      <c r="H593" s="16" t="str">
        <f>VLOOKUP($A593,PLAN!$B:$AC,9,0)</f>
        <v>260818C37A</v>
      </c>
      <c r="I593" s="16">
        <f>VLOOKUP($A593,PLAN!$B:$AC,10,0)</f>
        <v>37</v>
      </c>
      <c r="J593" s="17">
        <f>VLOOKUP($A593,PLAN!$B:$AC,21,0)</f>
        <v>46259</v>
      </c>
      <c r="K593" s="145" t="str">
        <f>VLOOKUP($A593,PLAN!$B:$AC,22,0)</f>
        <v>M9</v>
      </c>
      <c r="L593" s="1"/>
      <c r="M593" s="1"/>
      <c r="N593" s="1"/>
      <c r="O593" s="221" t="s">
        <v>79</v>
      </c>
      <c r="P593" s="220"/>
      <c r="Q593" s="18">
        <f>VLOOKUP(A593,PLAN!B:R,17,0)</f>
        <v>46258</v>
      </c>
    </row>
    <row r="594" spans="1:17" ht="17.25" hidden="1" customHeight="1">
      <c r="A594" s="329" t="s">
        <v>5806</v>
      </c>
      <c r="B594" s="14">
        <f>VLOOKUP($A594,PLAN!$B:$AC,3,0)</f>
        <v>11119375</v>
      </c>
      <c r="C594" s="14" t="str">
        <f>VLOOKUP($A594,PLAN!$B:$AC,4,0)</f>
        <v>1911043-E-A</v>
      </c>
      <c r="D594" s="14" t="str">
        <f>VLOOKUP($A594,PLAN!$B:$AC,5,0)</f>
        <v>HJ60JL400P10000 JP</v>
      </c>
      <c r="E594" s="14" t="str">
        <f>VLOOKUP($A594,PLAN!$B:$AC,2,0)</f>
        <v>1001950299</v>
      </c>
      <c r="F594" s="15">
        <f>VLOOKUP($A594,PLAN!$B:$AC,7,0)</f>
        <v>46263</v>
      </c>
      <c r="G594" s="16" t="str">
        <f>VLOOKUP($A594,PLAN!$B:$AC,8,0)</f>
        <v>0103617989</v>
      </c>
      <c r="H594" s="16" t="str">
        <f>VLOOKUP($A594,PLAN!$B:$AC,9,0)</f>
        <v>260818C38A</v>
      </c>
      <c r="I594" s="16">
        <f>VLOOKUP($A594,PLAN!$B:$AC,10,0)</f>
        <v>42</v>
      </c>
      <c r="J594" s="17">
        <f>VLOOKUP($A594,PLAN!$B:$AC,21,0)</f>
        <v>46259</v>
      </c>
      <c r="K594" s="145" t="str">
        <f>VLOOKUP($A594,PLAN!$B:$AC,22,0)</f>
        <v>M9</v>
      </c>
      <c r="L594" s="1"/>
      <c r="M594" s="1"/>
      <c r="N594" s="1"/>
      <c r="O594" s="221" t="s">
        <v>79</v>
      </c>
      <c r="P594" s="220"/>
      <c r="Q594" s="18">
        <f>VLOOKUP(A594,PLAN!B:R,17,0)</f>
        <v>46258</v>
      </c>
    </row>
    <row r="595" spans="1:17" ht="17.25" hidden="1" customHeight="1">
      <c r="A595" s="329" t="s">
        <v>5807</v>
      </c>
      <c r="B595" s="14">
        <f>VLOOKUP($A595,PLAN!$B:$AC,3,0)</f>
        <v>11119415</v>
      </c>
      <c r="C595" s="14" t="str">
        <f>VLOOKUP($A595,PLAN!$B:$AC,4,0)</f>
        <v>1911083-D-A</v>
      </c>
      <c r="D595" s="14" t="str">
        <f>VLOOKUP($A595,PLAN!$B:$AC,5,0)</f>
        <v>HJ60AL100P10022 JP</v>
      </c>
      <c r="E595" s="14" t="str">
        <f>VLOOKUP($A595,PLAN!$B:$AC,2,0)</f>
        <v>1001950300</v>
      </c>
      <c r="F595" s="15">
        <f>VLOOKUP($A595,PLAN!$B:$AC,7,0)</f>
        <v>46263</v>
      </c>
      <c r="G595" s="16" t="str">
        <f>VLOOKUP($A595,PLAN!$B:$AC,8,0)</f>
        <v>0103617990</v>
      </c>
      <c r="H595" s="16" t="str">
        <f>VLOOKUP($A595,PLAN!$B:$AC,9,0)</f>
        <v>260818C39A</v>
      </c>
      <c r="I595" s="16">
        <f>VLOOKUP($A595,PLAN!$B:$AC,10,0)</f>
        <v>54</v>
      </c>
      <c r="J595" s="17">
        <f>VLOOKUP($A595,PLAN!$B:$AC,21,0)</f>
        <v>46259</v>
      </c>
      <c r="K595" s="145" t="str">
        <f>VLOOKUP($A595,PLAN!$B:$AC,22,0)</f>
        <v>M9</v>
      </c>
      <c r="L595" s="1"/>
      <c r="M595" s="1"/>
      <c r="N595" s="1"/>
      <c r="O595" s="221" t="s">
        <v>79</v>
      </c>
      <c r="P595" s="220"/>
      <c r="Q595" s="18">
        <f>VLOOKUP(A595,PLAN!B:R,17,0)</f>
        <v>46258</v>
      </c>
    </row>
    <row r="596" spans="1:17" ht="17.25" hidden="1" customHeight="1">
      <c r="A596" s="329" t="s">
        <v>5808</v>
      </c>
      <c r="B596" s="14">
        <f>VLOOKUP($A596,PLAN!$B:$AC,3,0)</f>
        <v>11119371</v>
      </c>
      <c r="C596" s="14" t="str">
        <f>VLOOKUP($A596,PLAN!$B:$AC,4,0)</f>
        <v>1911039-E-A</v>
      </c>
      <c r="D596" s="14" t="str">
        <f>VLOOKUP($A596,PLAN!$B:$AC,5,0)</f>
        <v>HJ60JL350P10000 JP</v>
      </c>
      <c r="E596" s="14" t="str">
        <f>VLOOKUP($A596,PLAN!$B:$AC,2,0)</f>
        <v>1001950301</v>
      </c>
      <c r="F596" s="15">
        <f>VLOOKUP($A596,PLAN!$B:$AC,7,0)</f>
        <v>46263</v>
      </c>
      <c r="G596" s="16" t="str">
        <f>VLOOKUP($A596,PLAN!$B:$AC,8,0)</f>
        <v>0103617991</v>
      </c>
      <c r="H596" s="16" t="str">
        <f>VLOOKUP($A596,PLAN!$B:$AC,9,0)</f>
        <v>260818C40A</v>
      </c>
      <c r="I596" s="16">
        <f>VLOOKUP($A596,PLAN!$B:$AC,10,0)</f>
        <v>87</v>
      </c>
      <c r="J596" s="17">
        <f>VLOOKUP($A596,PLAN!$B:$AC,21,0)</f>
        <v>46259</v>
      </c>
      <c r="K596" s="145" t="str">
        <f>VLOOKUP($A596,PLAN!$B:$AC,22,0)</f>
        <v>M9</v>
      </c>
      <c r="L596" s="1"/>
      <c r="M596" s="1"/>
      <c r="N596" s="1"/>
      <c r="O596" s="221" t="s">
        <v>79</v>
      </c>
      <c r="P596" s="220"/>
      <c r="Q596" s="18">
        <f>VLOOKUP(A596,PLAN!B:R,17,0)</f>
        <v>46258</v>
      </c>
    </row>
    <row r="597" spans="1:17" ht="17.25" hidden="1" customHeight="1">
      <c r="A597" s="329" t="s">
        <v>5809</v>
      </c>
      <c r="B597" s="14">
        <f>VLOOKUP($A597,PLAN!$B:$AC,3,0)</f>
        <v>11119541</v>
      </c>
      <c r="C597" s="14" t="str">
        <f>VLOOKUP($A597,PLAN!$B:$AC,4,0)</f>
        <v>1911207-D-A</v>
      </c>
      <c r="D597" s="14" t="str">
        <f>VLOOKUP($A597,PLAN!$B:$AC,5,0)</f>
        <v>HJ70AL102P10022 JP</v>
      </c>
      <c r="E597" s="14" t="str">
        <f>VLOOKUP($A597,PLAN!$B:$AC,2,0)</f>
        <v>1001950302</v>
      </c>
      <c r="F597" s="15">
        <f>VLOOKUP($A597,PLAN!$B:$AC,7,0)</f>
        <v>46263</v>
      </c>
      <c r="G597" s="16" t="str">
        <f>VLOOKUP($A597,PLAN!$B:$AC,8,0)</f>
        <v>0103617992</v>
      </c>
      <c r="H597" s="16" t="str">
        <f>VLOOKUP($A597,PLAN!$B:$AC,9,0)</f>
        <v>260818C41A</v>
      </c>
      <c r="I597" s="16">
        <f>VLOOKUP($A597,PLAN!$B:$AC,10,0)</f>
        <v>91</v>
      </c>
      <c r="J597" s="17">
        <f>VLOOKUP($A597,PLAN!$B:$AC,21,0)</f>
        <v>46259</v>
      </c>
      <c r="K597" s="145" t="str">
        <f>VLOOKUP($A597,PLAN!$B:$AC,22,0)</f>
        <v>M9</v>
      </c>
      <c r="L597" s="1"/>
      <c r="M597" s="1"/>
      <c r="N597" s="1"/>
      <c r="O597" s="221" t="s">
        <v>79</v>
      </c>
      <c r="P597" s="220"/>
      <c r="Q597" s="18">
        <f>VLOOKUP(A597,PLAN!B:R,17,0)</f>
        <v>46258</v>
      </c>
    </row>
    <row r="598" spans="1:17" ht="17.25" hidden="1" customHeight="1">
      <c r="A598" s="329" t="s">
        <v>5810</v>
      </c>
      <c r="B598" s="14">
        <f>VLOOKUP($A598,PLAN!$B:$AC,3,0)</f>
        <v>11119446</v>
      </c>
      <c r="C598" s="14" t="str">
        <f>VLOOKUP($A598,PLAN!$B:$AC,4,0)</f>
        <v>1911112-D-A</v>
      </c>
      <c r="D598" s="14" t="str">
        <f>VLOOKUP($A598,PLAN!$B:$AC,5,0)</f>
        <v>HJ70AL100P10021 JP</v>
      </c>
      <c r="E598" s="14" t="str">
        <f>VLOOKUP($A598,PLAN!$B:$AC,2,0)</f>
        <v>1001950303</v>
      </c>
      <c r="F598" s="15">
        <f>VLOOKUP($A598,PLAN!$B:$AC,7,0)</f>
        <v>46263</v>
      </c>
      <c r="G598" s="16" t="str">
        <f>VLOOKUP($A598,PLAN!$B:$AC,8,0)</f>
        <v>0103617993</v>
      </c>
      <c r="H598" s="16" t="str">
        <f>VLOOKUP($A598,PLAN!$B:$AC,9,0)</f>
        <v>260818C42A</v>
      </c>
      <c r="I598" s="16">
        <f>VLOOKUP($A598,PLAN!$B:$AC,10,0)</f>
        <v>1</v>
      </c>
      <c r="J598" s="17">
        <f>VLOOKUP($A598,PLAN!$B:$AC,21,0)</f>
        <v>46259</v>
      </c>
      <c r="K598" s="145" t="str">
        <f>VLOOKUP($A598,PLAN!$B:$AC,22,0)</f>
        <v>M9</v>
      </c>
      <c r="L598" s="1"/>
      <c r="M598" s="1"/>
      <c r="N598" s="1"/>
      <c r="O598" s="221" t="s">
        <v>79</v>
      </c>
      <c r="P598" s="220"/>
      <c r="Q598" s="18">
        <f>VLOOKUP(A598,PLAN!B:R,17,0)</f>
        <v>46258</v>
      </c>
    </row>
    <row r="599" spans="1:17" ht="17.25" hidden="1" customHeight="1">
      <c r="A599" s="329" t="s">
        <v>5811</v>
      </c>
      <c r="B599" s="14">
        <f>VLOOKUP($A599,PLAN!$B:$AC,3,0)</f>
        <v>11119544</v>
      </c>
      <c r="C599" s="14" t="str">
        <f>VLOOKUP($A599,PLAN!$B:$AC,4,0)</f>
        <v>1911210-D-A</v>
      </c>
      <c r="D599" s="14" t="str">
        <f>VLOOKUP($A599,PLAN!$B:$AC,5,0)</f>
        <v>HJ70AL150P09022 JP</v>
      </c>
      <c r="E599" s="14" t="str">
        <f>VLOOKUP($A599,PLAN!$B:$AC,2,0)</f>
        <v>1001950304</v>
      </c>
      <c r="F599" s="15">
        <f>VLOOKUP($A599,PLAN!$B:$AC,7,0)</f>
        <v>46263</v>
      </c>
      <c r="G599" s="16" t="str">
        <f>VLOOKUP($A599,PLAN!$B:$AC,8,0)</f>
        <v>0103617994</v>
      </c>
      <c r="H599" s="16" t="str">
        <f>VLOOKUP($A599,PLAN!$B:$AC,9,0)</f>
        <v>260818C43A</v>
      </c>
      <c r="I599" s="16">
        <f>VLOOKUP($A599,PLAN!$B:$AC,10,0)</f>
        <v>1</v>
      </c>
      <c r="J599" s="17">
        <f>VLOOKUP($A599,PLAN!$B:$AC,21,0)</f>
        <v>46259</v>
      </c>
      <c r="K599" s="145" t="str">
        <f>VLOOKUP($A599,PLAN!$B:$AC,22,0)</f>
        <v>M9</v>
      </c>
      <c r="L599" s="1"/>
      <c r="M599" s="1"/>
      <c r="N599" s="1"/>
      <c r="O599" s="221" t="s">
        <v>79</v>
      </c>
      <c r="P599" s="220"/>
      <c r="Q599" s="18">
        <f>VLOOKUP(A599,PLAN!B:R,17,0)</f>
        <v>46258</v>
      </c>
    </row>
    <row r="600" spans="1:17" ht="17.25" hidden="1" customHeight="1">
      <c r="A600" s="329" t="s">
        <v>5812</v>
      </c>
      <c r="B600" s="14">
        <f>VLOOKUP($A600,PLAN!$B:$AC,3,0)</f>
        <v>11119660</v>
      </c>
      <c r="C600" s="14" t="str">
        <f>VLOOKUP($A600,PLAN!$B:$AC,4,0)</f>
        <v>1911326-D-A</v>
      </c>
      <c r="D600" s="14" t="str">
        <f>VLOOKUP($A600,PLAN!$B:$AC,5,0)</f>
        <v>HJ80AL072P09002 JP</v>
      </c>
      <c r="E600" s="14" t="str">
        <f>VLOOKUP($A600,PLAN!$B:$AC,2,0)</f>
        <v>1001950305</v>
      </c>
      <c r="F600" s="15">
        <f>VLOOKUP($A600,PLAN!$B:$AC,7,0)</f>
        <v>46263</v>
      </c>
      <c r="G600" s="16" t="str">
        <f>VLOOKUP($A600,PLAN!$B:$AC,8,0)</f>
        <v>0103617995</v>
      </c>
      <c r="H600" s="16" t="str">
        <f>VLOOKUP($A600,PLAN!$B:$AC,9,0)</f>
        <v>260818C44A</v>
      </c>
      <c r="I600" s="16">
        <f>VLOOKUP($A600,PLAN!$B:$AC,10,0)</f>
        <v>1</v>
      </c>
      <c r="J600" s="17">
        <f>VLOOKUP($A600,PLAN!$B:$AC,21,0)</f>
        <v>46259</v>
      </c>
      <c r="K600" s="145" t="str">
        <f>VLOOKUP($A600,PLAN!$B:$AC,22,0)</f>
        <v>M9</v>
      </c>
      <c r="L600" s="1"/>
      <c r="M600" s="1"/>
      <c r="N600" s="1"/>
      <c r="O600" s="221" t="s">
        <v>79</v>
      </c>
      <c r="P600" s="220"/>
      <c r="Q600" s="18">
        <f>VLOOKUP(A600,PLAN!B:R,17,0)</f>
        <v>46258</v>
      </c>
    </row>
    <row r="601" spans="1:17" ht="17.25" hidden="1" customHeight="1">
      <c r="A601" s="329" t="s">
        <v>5813</v>
      </c>
      <c r="B601" s="14">
        <f>VLOOKUP($A601,PLAN!$B:$AC,3,0)</f>
        <v>11119573</v>
      </c>
      <c r="C601" s="14" t="str">
        <f>VLOOKUP($A601,PLAN!$B:$AC,4,0)</f>
        <v>1911239-D-A</v>
      </c>
      <c r="D601" s="14" t="str">
        <f>VLOOKUP($A601,PLAN!$B:$AC,5,0)</f>
        <v>HJ80AL072P10001 JP</v>
      </c>
      <c r="E601" s="14" t="str">
        <f>VLOOKUP($A601,PLAN!$B:$AC,2,0)</f>
        <v>1001950306</v>
      </c>
      <c r="F601" s="15">
        <f>VLOOKUP($A601,PLAN!$B:$AC,7,0)</f>
        <v>46263</v>
      </c>
      <c r="G601" s="16" t="str">
        <f>VLOOKUP($A601,PLAN!$B:$AC,8,0)</f>
        <v>0103617997</v>
      </c>
      <c r="H601" s="16" t="str">
        <f>VLOOKUP($A601,PLAN!$B:$AC,9,0)</f>
        <v>260818C45A</v>
      </c>
      <c r="I601" s="16">
        <f>VLOOKUP($A601,PLAN!$B:$AC,10,0)</f>
        <v>1</v>
      </c>
      <c r="J601" s="17">
        <f>VLOOKUP($A601,PLAN!$B:$AC,21,0)</f>
        <v>46259</v>
      </c>
      <c r="K601" s="145" t="str">
        <f>VLOOKUP($A601,PLAN!$B:$AC,22,0)</f>
        <v>M9</v>
      </c>
      <c r="L601" s="1"/>
      <c r="M601" s="1"/>
      <c r="N601" s="1"/>
      <c r="O601" s="221" t="s">
        <v>79</v>
      </c>
      <c r="P601" s="220"/>
      <c r="Q601" s="18">
        <f>VLOOKUP(A601,PLAN!B:R,17,0)</f>
        <v>46258</v>
      </c>
    </row>
    <row r="602" spans="1:17" ht="17.25" hidden="1" customHeight="1">
      <c r="A602" s="329" t="s">
        <v>5814</v>
      </c>
      <c r="B602" s="14">
        <f>VLOOKUP($A602,PLAN!$B:$AC,3,0)</f>
        <v>11119601</v>
      </c>
      <c r="C602" s="14" t="str">
        <f>VLOOKUP($A602,PLAN!$B:$AC,4,0)</f>
        <v>1911267-D-A</v>
      </c>
      <c r="D602" s="14" t="str">
        <f>VLOOKUP($A602,PLAN!$B:$AC,5,0)</f>
        <v>HJ80IM000P10010 JP</v>
      </c>
      <c r="E602" s="14" t="str">
        <f>VLOOKUP($A602,PLAN!$B:$AC,2,0)</f>
        <v>1001950307</v>
      </c>
      <c r="F602" s="15">
        <f>VLOOKUP($A602,PLAN!$B:$AC,7,0)</f>
        <v>46263</v>
      </c>
      <c r="G602" s="16" t="str">
        <f>VLOOKUP($A602,PLAN!$B:$AC,8,0)</f>
        <v>0103617998</v>
      </c>
      <c r="H602" s="16" t="str">
        <f>VLOOKUP($A602,PLAN!$B:$AC,9,0)</f>
        <v>260818C46A</v>
      </c>
      <c r="I602" s="16">
        <f>VLOOKUP($A602,PLAN!$B:$AC,10,0)</f>
        <v>1</v>
      </c>
      <c r="J602" s="17">
        <f>VLOOKUP($A602,PLAN!$B:$AC,21,0)</f>
        <v>46259</v>
      </c>
      <c r="K602" s="145" t="str">
        <f>VLOOKUP($A602,PLAN!$B:$AC,22,0)</f>
        <v>M9</v>
      </c>
      <c r="L602" s="1"/>
      <c r="M602" s="1"/>
      <c r="N602" s="1"/>
      <c r="O602" s="221" t="s">
        <v>79</v>
      </c>
      <c r="P602" s="220"/>
      <c r="Q602" s="18">
        <f>VLOOKUP(A602,PLAN!B:R,17,0)</f>
        <v>46258</v>
      </c>
    </row>
    <row r="603" spans="1:17" ht="17.25" hidden="1" customHeight="1">
      <c r="A603" s="329" t="s">
        <v>5815</v>
      </c>
      <c r="B603" s="14">
        <f>VLOOKUP($A603,PLAN!$B:$AC,3,0)</f>
        <v>11119602</v>
      </c>
      <c r="C603" s="14" t="str">
        <f>VLOOKUP($A603,PLAN!$B:$AC,4,0)</f>
        <v>1911268-D-A</v>
      </c>
      <c r="D603" s="14" t="str">
        <f>VLOOKUP($A603,PLAN!$B:$AC,5,0)</f>
        <v>HJ80IM002P10010 JP</v>
      </c>
      <c r="E603" s="14" t="str">
        <f>VLOOKUP($A603,PLAN!$B:$AC,2,0)</f>
        <v>1001950308</v>
      </c>
      <c r="F603" s="15">
        <f>VLOOKUP($A603,PLAN!$B:$AC,7,0)</f>
        <v>46263</v>
      </c>
      <c r="G603" s="16" t="str">
        <f>VLOOKUP($A603,PLAN!$B:$AC,8,0)</f>
        <v>0103617999</v>
      </c>
      <c r="H603" s="16" t="str">
        <f>VLOOKUP($A603,PLAN!$B:$AC,9,0)</f>
        <v>260818C47A</v>
      </c>
      <c r="I603" s="16">
        <f>VLOOKUP($A603,PLAN!$B:$AC,10,0)</f>
        <v>1</v>
      </c>
      <c r="J603" s="17">
        <f>VLOOKUP($A603,PLAN!$B:$AC,21,0)</f>
        <v>46259</v>
      </c>
      <c r="K603" s="145" t="str">
        <f>VLOOKUP($A603,PLAN!$B:$AC,22,0)</f>
        <v>M9</v>
      </c>
      <c r="L603" s="1"/>
      <c r="M603" s="1"/>
      <c r="N603" s="1"/>
      <c r="O603" s="221" t="s">
        <v>79</v>
      </c>
      <c r="P603" s="220"/>
      <c r="Q603" s="18">
        <f>VLOOKUP(A603,PLAN!B:R,17,0)</f>
        <v>46258</v>
      </c>
    </row>
    <row r="604" spans="1:17" ht="17.25" hidden="1" customHeight="1">
      <c r="A604" s="329" t="s">
        <v>5816</v>
      </c>
      <c r="B604" s="14">
        <f>VLOOKUP($A604,PLAN!$B:$AC,3,0)</f>
        <v>11119628</v>
      </c>
      <c r="C604" s="14" t="str">
        <f>VLOOKUP($A604,PLAN!$B:$AC,4,0)</f>
        <v>1911294-D-A</v>
      </c>
      <c r="D604" s="14" t="str">
        <f>VLOOKUP($A604,PLAN!$B:$AC,5,0)</f>
        <v>HJ80JR352P09000 JP</v>
      </c>
      <c r="E604" s="14" t="str">
        <f>VLOOKUP($A604,PLAN!$B:$AC,2,0)</f>
        <v>1001950309</v>
      </c>
      <c r="F604" s="15">
        <f>VLOOKUP($A604,PLAN!$B:$AC,7,0)</f>
        <v>46263</v>
      </c>
      <c r="G604" s="16" t="str">
        <f>VLOOKUP($A604,PLAN!$B:$AC,8,0)</f>
        <v>0103618000</v>
      </c>
      <c r="H604" s="16" t="str">
        <f>VLOOKUP($A604,PLAN!$B:$AC,9,0)</f>
        <v>260818C48A</v>
      </c>
      <c r="I604" s="16">
        <f>VLOOKUP($A604,PLAN!$B:$AC,10,0)</f>
        <v>1</v>
      </c>
      <c r="J604" s="17">
        <f>VLOOKUP($A604,PLAN!$B:$AC,21,0)</f>
        <v>46259</v>
      </c>
      <c r="K604" s="145" t="str">
        <f>VLOOKUP($A604,PLAN!$B:$AC,22,0)</f>
        <v>M9</v>
      </c>
      <c r="L604" s="1"/>
      <c r="M604" s="1"/>
      <c r="N604" s="1"/>
      <c r="O604" s="221" t="s">
        <v>79</v>
      </c>
      <c r="P604" s="220"/>
      <c r="Q604" s="18">
        <f>VLOOKUP(A604,PLAN!B:R,17,0)</f>
        <v>46258</v>
      </c>
    </row>
    <row r="605" spans="1:17" ht="17.25" hidden="1" customHeight="1">
      <c r="A605" s="329" t="s">
        <v>5817</v>
      </c>
      <c r="B605" s="14">
        <f>VLOOKUP($A605,PLAN!$B:$AC,3,0)</f>
        <v>11119513</v>
      </c>
      <c r="C605" s="14" t="str">
        <f>VLOOKUP($A605,PLAN!$B:$AC,4,0)</f>
        <v>1911179-D-A</v>
      </c>
      <c r="D605" s="14" t="str">
        <f>VLOOKUP($A605,PLAN!$B:$AC,5,0)</f>
        <v>HJ70JR500P10020 JP</v>
      </c>
      <c r="E605" s="14" t="str">
        <f>VLOOKUP($A605,PLAN!$B:$AC,2,0)</f>
        <v>1001950310</v>
      </c>
      <c r="F605" s="15">
        <f>VLOOKUP($A605,PLAN!$B:$AC,7,0)</f>
        <v>46263</v>
      </c>
      <c r="G605" s="16" t="str">
        <f>VLOOKUP($A605,PLAN!$B:$AC,8,0)</f>
        <v>0103618001</v>
      </c>
      <c r="H605" s="16" t="str">
        <f>VLOOKUP($A605,PLAN!$B:$AC,9,0)</f>
        <v>260818C49A</v>
      </c>
      <c r="I605" s="16">
        <f>VLOOKUP($A605,PLAN!$B:$AC,10,0)</f>
        <v>2</v>
      </c>
      <c r="J605" s="17">
        <f>VLOOKUP($A605,PLAN!$B:$AC,21,0)</f>
        <v>46259</v>
      </c>
      <c r="K605" s="145" t="str">
        <f>VLOOKUP($A605,PLAN!$B:$AC,22,0)</f>
        <v>M9</v>
      </c>
      <c r="L605" s="1"/>
      <c r="M605" s="1"/>
      <c r="N605" s="1"/>
      <c r="O605" s="221" t="s">
        <v>79</v>
      </c>
      <c r="P605" s="220"/>
      <c r="Q605" s="18">
        <f>VLOOKUP(A605,PLAN!B:R,17,0)</f>
        <v>46258</v>
      </c>
    </row>
    <row r="606" spans="1:17" ht="17.25" hidden="1" customHeight="1">
      <c r="A606" s="329" t="s">
        <v>5818</v>
      </c>
      <c r="B606" s="14">
        <f>VLOOKUP($A606,PLAN!$B:$AC,3,0)</f>
        <v>11119585</v>
      </c>
      <c r="C606" s="14" t="str">
        <f>VLOOKUP($A606,PLAN!$B:$AC,4,0)</f>
        <v>1911251-D-A</v>
      </c>
      <c r="D606" s="14" t="str">
        <f>VLOOKUP($A606,PLAN!$B:$AC,5,0)</f>
        <v>HJ80AL152P10001 JP</v>
      </c>
      <c r="E606" s="14" t="str">
        <f>VLOOKUP($A606,PLAN!$B:$AC,2,0)</f>
        <v>1001950311</v>
      </c>
      <c r="F606" s="15">
        <f>VLOOKUP($A606,PLAN!$B:$AC,7,0)</f>
        <v>46263</v>
      </c>
      <c r="G606" s="16" t="str">
        <f>VLOOKUP($A606,PLAN!$B:$AC,8,0)</f>
        <v>0103618002</v>
      </c>
      <c r="H606" s="16" t="str">
        <f>VLOOKUP($A606,PLAN!$B:$AC,9,0)</f>
        <v>260818C50A</v>
      </c>
      <c r="I606" s="16">
        <f>VLOOKUP($A606,PLAN!$B:$AC,10,0)</f>
        <v>2</v>
      </c>
      <c r="J606" s="17">
        <f>VLOOKUP($A606,PLAN!$B:$AC,21,0)</f>
        <v>46259</v>
      </c>
      <c r="K606" s="145" t="str">
        <f>VLOOKUP($A606,PLAN!$B:$AC,22,0)</f>
        <v>M9</v>
      </c>
      <c r="L606" s="1"/>
      <c r="M606" s="1"/>
      <c r="N606" s="1"/>
      <c r="O606" s="221" t="s">
        <v>79</v>
      </c>
      <c r="P606" s="220"/>
      <c r="Q606" s="18">
        <f>VLOOKUP(A606,PLAN!B:R,17,0)</f>
        <v>46258</v>
      </c>
    </row>
    <row r="607" spans="1:17" ht="17.25" hidden="1" customHeight="1">
      <c r="A607" s="329" t="s">
        <v>5819</v>
      </c>
      <c r="B607" s="14">
        <f>VLOOKUP($A607,PLAN!$B:$AC,3,0)</f>
        <v>11119671</v>
      </c>
      <c r="C607" s="14" t="str">
        <f>VLOOKUP($A607,PLAN!$B:$AC,4,0)</f>
        <v>1911337-D-A</v>
      </c>
      <c r="D607" s="14" t="str">
        <f>VLOOKUP($A607,PLAN!$B:$AC,5,0)</f>
        <v>HJ80AL202P10002 JP</v>
      </c>
      <c r="E607" s="14" t="str">
        <f>VLOOKUP($A607,PLAN!$B:$AC,2,0)</f>
        <v>1001950312</v>
      </c>
      <c r="F607" s="15">
        <f>VLOOKUP($A607,PLAN!$B:$AC,7,0)</f>
        <v>46263</v>
      </c>
      <c r="G607" s="16" t="str">
        <f>VLOOKUP($A607,PLAN!$B:$AC,8,0)</f>
        <v>0103618003</v>
      </c>
      <c r="H607" s="16" t="str">
        <f>VLOOKUP($A607,PLAN!$B:$AC,9,0)</f>
        <v>260818C51A</v>
      </c>
      <c r="I607" s="16">
        <f>VLOOKUP($A607,PLAN!$B:$AC,10,0)</f>
        <v>2</v>
      </c>
      <c r="J607" s="17">
        <f>VLOOKUP($A607,PLAN!$B:$AC,21,0)</f>
        <v>46259</v>
      </c>
      <c r="K607" s="145" t="str">
        <f>VLOOKUP($A607,PLAN!$B:$AC,22,0)</f>
        <v>M9</v>
      </c>
      <c r="L607" s="1"/>
      <c r="M607" s="1"/>
      <c r="N607" s="1"/>
      <c r="O607" s="221" t="s">
        <v>79</v>
      </c>
      <c r="P607" s="220"/>
      <c r="Q607" s="18">
        <f>VLOOKUP(A607,PLAN!B:R,17,0)</f>
        <v>46258</v>
      </c>
    </row>
    <row r="608" spans="1:17" ht="17.25" hidden="1" customHeight="1">
      <c r="A608" s="329" t="s">
        <v>5820</v>
      </c>
      <c r="B608" s="14">
        <f>VLOOKUP($A608,PLAN!$B:$AC,3,0)</f>
        <v>11119477</v>
      </c>
      <c r="C608" s="14" t="str">
        <f>VLOOKUP($A608,PLAN!$B:$AC,4,0)</f>
        <v>1911143-D-A</v>
      </c>
      <c r="D608" s="14" t="str">
        <f>VLOOKUP($A608,PLAN!$B:$AC,5,0)</f>
        <v>HJ70IM000P10000 JP</v>
      </c>
      <c r="E608" s="14" t="str">
        <f>VLOOKUP($A608,PLAN!$B:$AC,2,0)</f>
        <v>1001950313</v>
      </c>
      <c r="F608" s="15">
        <f>VLOOKUP($A608,PLAN!$B:$AC,7,0)</f>
        <v>46263</v>
      </c>
      <c r="G608" s="16" t="str">
        <f>VLOOKUP($A608,PLAN!$B:$AC,8,0)</f>
        <v>0103618004</v>
      </c>
      <c r="H608" s="16" t="str">
        <f>VLOOKUP($A608,PLAN!$B:$AC,9,0)</f>
        <v>260818C52A</v>
      </c>
      <c r="I608" s="16">
        <f>VLOOKUP($A608,PLAN!$B:$AC,10,0)</f>
        <v>3</v>
      </c>
      <c r="J608" s="17">
        <f>VLOOKUP($A608,PLAN!$B:$AC,21,0)</f>
        <v>46259</v>
      </c>
      <c r="K608" s="145" t="str">
        <f>VLOOKUP($A608,PLAN!$B:$AC,22,0)</f>
        <v>M9</v>
      </c>
      <c r="L608" s="1"/>
      <c r="M608" s="1"/>
      <c r="N608" s="1"/>
      <c r="O608" s="221" t="s">
        <v>79</v>
      </c>
      <c r="P608" s="220"/>
      <c r="Q608" s="18">
        <f>VLOOKUP(A608,PLAN!B:R,17,0)</f>
        <v>46258</v>
      </c>
    </row>
    <row r="609" spans="1:17" ht="17.25" hidden="1" customHeight="1">
      <c r="A609" s="329" t="s">
        <v>5821</v>
      </c>
      <c r="B609" s="14">
        <f>VLOOKUP($A609,PLAN!$B:$AC,3,0)</f>
        <v>11119551</v>
      </c>
      <c r="C609" s="14" t="str">
        <f>VLOOKUP($A609,PLAN!$B:$AC,4,0)</f>
        <v>1911217-D-A</v>
      </c>
      <c r="D609" s="14" t="str">
        <f>VLOOKUP($A609,PLAN!$B:$AC,5,0)</f>
        <v>HJ70SC350P10000 JP</v>
      </c>
      <c r="E609" s="14" t="str">
        <f>VLOOKUP($A609,PLAN!$B:$AC,2,0)</f>
        <v>1001950314</v>
      </c>
      <c r="F609" s="15">
        <f>VLOOKUP($A609,PLAN!$B:$AC,7,0)</f>
        <v>46263</v>
      </c>
      <c r="G609" s="16" t="str">
        <f>VLOOKUP($A609,PLAN!$B:$AC,8,0)</f>
        <v>0103618005</v>
      </c>
      <c r="H609" s="16" t="str">
        <f>VLOOKUP($A609,PLAN!$B:$AC,9,0)</f>
        <v>260818C53A</v>
      </c>
      <c r="I609" s="16">
        <f>VLOOKUP($A609,PLAN!$B:$AC,10,0)</f>
        <v>3</v>
      </c>
      <c r="J609" s="17">
        <f>VLOOKUP($A609,PLAN!$B:$AC,21,0)</f>
        <v>46259</v>
      </c>
      <c r="K609" s="145" t="str">
        <f>VLOOKUP($A609,PLAN!$B:$AC,22,0)</f>
        <v>M9</v>
      </c>
      <c r="L609" s="1"/>
      <c r="M609" s="1"/>
      <c r="N609" s="1"/>
      <c r="O609" s="221" t="s">
        <v>79</v>
      </c>
      <c r="P609" s="220"/>
      <c r="Q609" s="18">
        <f>VLOOKUP(A609,PLAN!B:R,17,0)</f>
        <v>46258</v>
      </c>
    </row>
    <row r="610" spans="1:17" ht="17.25" hidden="1" customHeight="1">
      <c r="A610" s="329" t="s">
        <v>5822</v>
      </c>
      <c r="B610" s="14">
        <f>VLOOKUP($A610,PLAN!$B:$AC,3,0)</f>
        <v>11119665</v>
      </c>
      <c r="C610" s="14" t="str">
        <f>VLOOKUP($A610,PLAN!$B:$AC,4,0)</f>
        <v>1911331-D-A</v>
      </c>
      <c r="D610" s="14" t="str">
        <f>VLOOKUP($A610,PLAN!$B:$AC,5,0)</f>
        <v>HJ80AL150P10002 JP</v>
      </c>
      <c r="E610" s="14" t="str">
        <f>VLOOKUP($A610,PLAN!$B:$AC,2,0)</f>
        <v>1001950315</v>
      </c>
      <c r="F610" s="15">
        <f>VLOOKUP($A610,PLAN!$B:$AC,7,0)</f>
        <v>46263</v>
      </c>
      <c r="G610" s="16" t="str">
        <f>VLOOKUP($A610,PLAN!$B:$AC,8,0)</f>
        <v>0103618006</v>
      </c>
      <c r="H610" s="16" t="str">
        <f>VLOOKUP($A610,PLAN!$B:$AC,9,0)</f>
        <v>260818C54A</v>
      </c>
      <c r="I610" s="16">
        <f>VLOOKUP($A610,PLAN!$B:$AC,10,0)</f>
        <v>4</v>
      </c>
      <c r="J610" s="17">
        <f>VLOOKUP($A610,PLAN!$B:$AC,21,0)</f>
        <v>46259</v>
      </c>
      <c r="K610" s="145" t="str">
        <f>VLOOKUP($A610,PLAN!$B:$AC,22,0)</f>
        <v>M9</v>
      </c>
      <c r="L610" s="1"/>
      <c r="M610" s="1"/>
      <c r="N610" s="1"/>
      <c r="O610" s="221" t="s">
        <v>79</v>
      </c>
      <c r="P610" s="220"/>
      <c r="Q610" s="18">
        <f>VLOOKUP(A610,PLAN!B:R,17,0)</f>
        <v>46258</v>
      </c>
    </row>
    <row r="611" spans="1:17" ht="17.25" hidden="1" customHeight="1">
      <c r="A611" s="329" t="s">
        <v>5823</v>
      </c>
      <c r="B611" s="14">
        <f>VLOOKUP($A611,PLAN!$B:$AC,3,0)</f>
        <v>11119583</v>
      </c>
      <c r="C611" s="14" t="str">
        <f>VLOOKUP($A611,PLAN!$B:$AC,4,0)</f>
        <v>1911249-D-A</v>
      </c>
      <c r="D611" s="14" t="str">
        <f>VLOOKUP($A611,PLAN!$B:$AC,5,0)</f>
        <v>HJ80AL152P09000 JP</v>
      </c>
      <c r="E611" s="14" t="str">
        <f>VLOOKUP($A611,PLAN!$B:$AC,2,0)</f>
        <v>1001950316</v>
      </c>
      <c r="F611" s="15">
        <f>VLOOKUP($A611,PLAN!$B:$AC,7,0)</f>
        <v>46263</v>
      </c>
      <c r="G611" s="16" t="str">
        <f>VLOOKUP($A611,PLAN!$B:$AC,8,0)</f>
        <v>0103618007</v>
      </c>
      <c r="H611" s="16" t="str">
        <f>VLOOKUP($A611,PLAN!$B:$AC,9,0)</f>
        <v>260818C55A</v>
      </c>
      <c r="I611" s="16">
        <f>VLOOKUP($A611,PLAN!$B:$AC,10,0)</f>
        <v>4</v>
      </c>
      <c r="J611" s="17">
        <f>VLOOKUP($A611,PLAN!$B:$AC,21,0)</f>
        <v>46259</v>
      </c>
      <c r="K611" s="145" t="str">
        <f>VLOOKUP($A611,PLAN!$B:$AC,22,0)</f>
        <v>M9</v>
      </c>
      <c r="L611" s="1"/>
      <c r="M611" s="1"/>
      <c r="N611" s="1"/>
      <c r="O611" s="221" t="s">
        <v>79</v>
      </c>
      <c r="P611" s="220"/>
      <c r="Q611" s="18">
        <f>VLOOKUP(A611,PLAN!B:R,17,0)</f>
        <v>46258</v>
      </c>
    </row>
    <row r="612" spans="1:17" ht="17.25" hidden="1" customHeight="1">
      <c r="A612" s="329" t="s">
        <v>5824</v>
      </c>
      <c r="B612" s="14">
        <f>VLOOKUP($A612,PLAN!$B:$AC,3,0)</f>
        <v>11119618</v>
      </c>
      <c r="C612" s="14" t="str">
        <f>VLOOKUP($A612,PLAN!$B:$AC,4,0)</f>
        <v>1911284-D-A</v>
      </c>
      <c r="D612" s="14" t="str">
        <f>VLOOKUP($A612,PLAN!$B:$AC,5,0)</f>
        <v>HJ80JL452P10000 JP</v>
      </c>
      <c r="E612" s="14" t="str">
        <f>VLOOKUP($A612,PLAN!$B:$AC,2,0)</f>
        <v>1001950317</v>
      </c>
      <c r="F612" s="15">
        <f>VLOOKUP($A612,PLAN!$B:$AC,7,0)</f>
        <v>46263</v>
      </c>
      <c r="G612" s="16" t="str">
        <f>VLOOKUP($A612,PLAN!$B:$AC,8,0)</f>
        <v>0103618008</v>
      </c>
      <c r="H612" s="16" t="str">
        <f>VLOOKUP($A612,PLAN!$B:$AC,9,0)</f>
        <v>260818C56A</v>
      </c>
      <c r="I612" s="16">
        <f>VLOOKUP($A612,PLAN!$B:$AC,10,0)</f>
        <v>4</v>
      </c>
      <c r="J612" s="17">
        <f>VLOOKUP($A612,PLAN!$B:$AC,21,0)</f>
        <v>46259</v>
      </c>
      <c r="K612" s="145" t="str">
        <f>VLOOKUP($A612,PLAN!$B:$AC,22,0)</f>
        <v>M9</v>
      </c>
      <c r="L612" s="1"/>
      <c r="M612" s="1"/>
      <c r="N612" s="1"/>
      <c r="O612" s="221" t="s">
        <v>79</v>
      </c>
      <c r="P612" s="220"/>
      <c r="Q612" s="18">
        <f>VLOOKUP(A612,PLAN!B:R,17,0)</f>
        <v>46258</v>
      </c>
    </row>
    <row r="613" spans="1:17" ht="17.25" hidden="1" customHeight="1">
      <c r="A613" s="329" t="s">
        <v>5825</v>
      </c>
      <c r="B613" s="14">
        <f>VLOOKUP($A613,PLAN!$B:$AC,3,0)</f>
        <v>11119553</v>
      </c>
      <c r="C613" s="14" t="str">
        <f>VLOOKUP($A613,PLAN!$B:$AC,4,0)</f>
        <v>1911219-D-A</v>
      </c>
      <c r="D613" s="14" t="str">
        <f>VLOOKUP($A613,PLAN!$B:$AC,5,0)</f>
        <v>HJ70SC400P10000 JP</v>
      </c>
      <c r="E613" s="14" t="str">
        <f>VLOOKUP($A613,PLAN!$B:$AC,2,0)</f>
        <v>1001950318</v>
      </c>
      <c r="F613" s="15">
        <f>VLOOKUP($A613,PLAN!$B:$AC,7,0)</f>
        <v>46263</v>
      </c>
      <c r="G613" s="16" t="str">
        <f>VLOOKUP($A613,PLAN!$B:$AC,8,0)</f>
        <v>0103618009</v>
      </c>
      <c r="H613" s="16" t="str">
        <f>VLOOKUP($A613,PLAN!$B:$AC,9,0)</f>
        <v>260818C57A</v>
      </c>
      <c r="I613" s="16">
        <f>VLOOKUP($A613,PLAN!$B:$AC,10,0)</f>
        <v>5</v>
      </c>
      <c r="J613" s="17">
        <f>VLOOKUP($A613,PLAN!$B:$AC,21,0)</f>
        <v>46259</v>
      </c>
      <c r="K613" s="145" t="str">
        <f>VLOOKUP($A613,PLAN!$B:$AC,22,0)</f>
        <v>M9</v>
      </c>
      <c r="L613" s="1"/>
      <c r="M613" s="1"/>
      <c r="N613" s="1"/>
      <c r="O613" s="221" t="s">
        <v>79</v>
      </c>
      <c r="P613" s="220"/>
      <c r="Q613" s="18">
        <f>VLOOKUP(A613,PLAN!B:R,17,0)</f>
        <v>46258</v>
      </c>
    </row>
    <row r="614" spans="1:17" ht="17.25" hidden="1" customHeight="1">
      <c r="A614" s="329" t="s">
        <v>5826</v>
      </c>
      <c r="B614" s="14">
        <f>VLOOKUP($A614,PLAN!$B:$AC,3,0)</f>
        <v>11119667</v>
      </c>
      <c r="C614" s="14" t="str">
        <f>VLOOKUP($A614,PLAN!$B:$AC,4,0)</f>
        <v>1911333-D-A</v>
      </c>
      <c r="D614" s="14" t="str">
        <f>VLOOKUP($A614,PLAN!$B:$AC,5,0)</f>
        <v>HJ80AL152P10002 JP</v>
      </c>
      <c r="E614" s="14" t="str">
        <f>VLOOKUP($A614,PLAN!$B:$AC,2,0)</f>
        <v>1001950319</v>
      </c>
      <c r="F614" s="15">
        <f>VLOOKUP($A614,PLAN!$B:$AC,7,0)</f>
        <v>46263</v>
      </c>
      <c r="G614" s="16" t="str">
        <f>VLOOKUP($A614,PLAN!$B:$AC,8,0)</f>
        <v>0103618010</v>
      </c>
      <c r="H614" s="16" t="str">
        <f>VLOOKUP($A614,PLAN!$B:$AC,9,0)</f>
        <v>260818C58A</v>
      </c>
      <c r="I614" s="16">
        <f>VLOOKUP($A614,PLAN!$B:$AC,10,0)</f>
        <v>5</v>
      </c>
      <c r="J614" s="17">
        <f>VLOOKUP($A614,PLAN!$B:$AC,21,0)</f>
        <v>46259</v>
      </c>
      <c r="K614" s="145" t="str">
        <f>VLOOKUP($A614,PLAN!$B:$AC,22,0)</f>
        <v>M9</v>
      </c>
      <c r="L614" s="1"/>
      <c r="M614" s="1"/>
      <c r="N614" s="1"/>
      <c r="O614" s="221" t="s">
        <v>79</v>
      </c>
      <c r="P614" s="220"/>
      <c r="Q614" s="18">
        <f>VLOOKUP(A614,PLAN!B:R,17,0)</f>
        <v>46258</v>
      </c>
    </row>
    <row r="615" spans="1:17" ht="17.25" hidden="1" customHeight="1">
      <c r="A615" s="329" t="s">
        <v>5827</v>
      </c>
      <c r="B615" s="14">
        <f>VLOOKUP($A615,PLAN!$B:$AC,3,0)</f>
        <v>11119457</v>
      </c>
      <c r="C615" s="14" t="str">
        <f>VLOOKUP($A615,PLAN!$B:$AC,4,0)</f>
        <v>1911123-D-A</v>
      </c>
      <c r="D615" s="14" t="str">
        <f>VLOOKUP($A615,PLAN!$B:$AC,5,0)</f>
        <v>HJ70CP150P10020 JP</v>
      </c>
      <c r="E615" s="14" t="str">
        <f>VLOOKUP($A615,PLAN!$B:$AC,2,0)</f>
        <v>1001950320</v>
      </c>
      <c r="F615" s="15">
        <f>VLOOKUP($A615,PLAN!$B:$AC,7,0)</f>
        <v>46263</v>
      </c>
      <c r="G615" s="16" t="str">
        <f>VLOOKUP($A615,PLAN!$B:$AC,8,0)</f>
        <v>0103618011</v>
      </c>
      <c r="H615" s="16" t="str">
        <f>VLOOKUP($A615,PLAN!$B:$AC,9,0)</f>
        <v>260818C59A</v>
      </c>
      <c r="I615" s="16">
        <f>VLOOKUP($A615,PLAN!$B:$AC,10,0)</f>
        <v>6</v>
      </c>
      <c r="J615" s="17">
        <f>VLOOKUP($A615,PLAN!$B:$AC,21,0)</f>
        <v>46259</v>
      </c>
      <c r="K615" s="145" t="str">
        <f>VLOOKUP($A615,PLAN!$B:$AC,22,0)</f>
        <v>M9</v>
      </c>
      <c r="L615" s="1"/>
      <c r="M615" s="1"/>
      <c r="N615" s="1"/>
      <c r="O615" s="221" t="s">
        <v>79</v>
      </c>
      <c r="P615" s="220"/>
      <c r="Q615" s="18">
        <f>VLOOKUP(A615,PLAN!B:R,17,0)</f>
        <v>46258</v>
      </c>
    </row>
    <row r="616" spans="1:17" ht="17.25" hidden="1" customHeight="1">
      <c r="A616" s="329" t="s">
        <v>5828</v>
      </c>
      <c r="B616" s="14">
        <f>VLOOKUP($A616,PLAN!$B:$AC,3,0)</f>
        <v>11119511</v>
      </c>
      <c r="C616" s="14" t="str">
        <f>VLOOKUP($A616,PLAN!$B:$AC,4,0)</f>
        <v>1911177-D-A</v>
      </c>
      <c r="D616" s="14" t="str">
        <f>VLOOKUP($A616,PLAN!$B:$AC,5,0)</f>
        <v>HJ70JR450P10020 JP</v>
      </c>
      <c r="E616" s="14" t="str">
        <f>VLOOKUP($A616,PLAN!$B:$AC,2,0)</f>
        <v>1001950321</v>
      </c>
      <c r="F616" s="15">
        <f>VLOOKUP($A616,PLAN!$B:$AC,7,0)</f>
        <v>46263</v>
      </c>
      <c r="G616" s="16" t="str">
        <f>VLOOKUP($A616,PLAN!$B:$AC,8,0)</f>
        <v>0103618012</v>
      </c>
      <c r="H616" s="16" t="str">
        <f>VLOOKUP($A616,PLAN!$B:$AC,9,0)</f>
        <v>260818C60A</v>
      </c>
      <c r="I616" s="16">
        <f>VLOOKUP($A616,PLAN!$B:$AC,10,0)</f>
        <v>6</v>
      </c>
      <c r="J616" s="17">
        <f>VLOOKUP($A616,PLAN!$B:$AC,21,0)</f>
        <v>46259</v>
      </c>
      <c r="K616" s="145" t="str">
        <f>VLOOKUP($A616,PLAN!$B:$AC,22,0)</f>
        <v>M9</v>
      </c>
      <c r="L616" s="1"/>
      <c r="M616" s="1"/>
      <c r="N616" s="1"/>
      <c r="O616" s="221" t="s">
        <v>79</v>
      </c>
      <c r="P616" s="220"/>
      <c r="Q616" s="18">
        <f>VLOOKUP(A616,PLAN!B:R,17,0)</f>
        <v>46258</v>
      </c>
    </row>
    <row r="617" spans="1:17" ht="17.25" hidden="1" customHeight="1">
      <c r="A617" s="329" t="s">
        <v>5829</v>
      </c>
      <c r="B617" s="14">
        <f>VLOOKUP($A617,PLAN!$B:$AC,3,0)</f>
        <v>11119625</v>
      </c>
      <c r="C617" s="14" t="str">
        <f>VLOOKUP($A617,PLAN!$B:$AC,4,0)</f>
        <v>1911291-D-A</v>
      </c>
      <c r="D617" s="14" t="str">
        <f>VLOOKUP($A617,PLAN!$B:$AC,5,0)</f>
        <v>HJ80JR350P10000 JP</v>
      </c>
      <c r="E617" s="14" t="str">
        <f>VLOOKUP($A617,PLAN!$B:$AC,2,0)</f>
        <v>1001950322</v>
      </c>
      <c r="F617" s="15">
        <f>VLOOKUP($A617,PLAN!$B:$AC,7,0)</f>
        <v>46263</v>
      </c>
      <c r="G617" s="16" t="str">
        <f>VLOOKUP($A617,PLAN!$B:$AC,8,0)</f>
        <v>0103618013</v>
      </c>
      <c r="H617" s="16" t="str">
        <f>VLOOKUP($A617,PLAN!$B:$AC,9,0)</f>
        <v>260818C61A</v>
      </c>
      <c r="I617" s="16">
        <f>VLOOKUP($A617,PLAN!$B:$AC,10,0)</f>
        <v>7</v>
      </c>
      <c r="J617" s="17">
        <f>VLOOKUP($A617,PLAN!$B:$AC,21,0)</f>
        <v>46259</v>
      </c>
      <c r="K617" s="145" t="str">
        <f>VLOOKUP($A617,PLAN!$B:$AC,22,0)</f>
        <v>M9</v>
      </c>
      <c r="L617" s="1"/>
      <c r="M617" s="1"/>
      <c r="N617" s="1"/>
      <c r="O617" s="221" t="s">
        <v>79</v>
      </c>
      <c r="P617" s="220"/>
      <c r="Q617" s="18">
        <f>VLOOKUP(A617,PLAN!B:R,17,0)</f>
        <v>46258</v>
      </c>
    </row>
    <row r="618" spans="1:17" ht="17.25" hidden="1" customHeight="1">
      <c r="A618" s="329" t="s">
        <v>5830</v>
      </c>
      <c r="B618" s="14">
        <f>VLOOKUP($A618,PLAN!$B:$AC,3,0)</f>
        <v>11119540</v>
      </c>
      <c r="C618" s="14" t="str">
        <f>VLOOKUP($A618,PLAN!$B:$AC,4,0)</f>
        <v>1911206-D-A</v>
      </c>
      <c r="D618" s="14" t="str">
        <f>VLOOKUP($A618,PLAN!$B:$AC,5,0)</f>
        <v>HJ70AL100P09022 JP</v>
      </c>
      <c r="E618" s="14" t="str">
        <f>VLOOKUP($A618,PLAN!$B:$AC,2,0)</f>
        <v>1001950323</v>
      </c>
      <c r="F618" s="15">
        <f>VLOOKUP($A618,PLAN!$B:$AC,7,0)</f>
        <v>46263</v>
      </c>
      <c r="G618" s="16" t="str">
        <f>VLOOKUP($A618,PLAN!$B:$AC,8,0)</f>
        <v>0103618014</v>
      </c>
      <c r="H618" s="16" t="str">
        <f>VLOOKUP($A618,PLAN!$B:$AC,9,0)</f>
        <v>260818C62A</v>
      </c>
      <c r="I618" s="16">
        <f>VLOOKUP($A618,PLAN!$B:$AC,10,0)</f>
        <v>10</v>
      </c>
      <c r="J618" s="17">
        <f>VLOOKUP($A618,PLAN!$B:$AC,21,0)</f>
        <v>46259</v>
      </c>
      <c r="K618" s="145" t="str">
        <f>VLOOKUP($A618,PLAN!$B:$AC,22,0)</f>
        <v>M9</v>
      </c>
      <c r="L618" s="1"/>
      <c r="M618" s="1"/>
      <c r="N618" s="1"/>
      <c r="O618" s="221" t="s">
        <v>79</v>
      </c>
      <c r="P618" s="220"/>
      <c r="Q618" s="18">
        <f>VLOOKUP(A618,PLAN!B:R,17,0)</f>
        <v>46258</v>
      </c>
    </row>
    <row r="619" spans="1:17" ht="17.25" hidden="1" customHeight="1">
      <c r="A619" s="329" t="s">
        <v>5831</v>
      </c>
      <c r="B619" s="14">
        <f>VLOOKUP($A619,PLAN!$B:$AC,3,0)</f>
        <v>11119452</v>
      </c>
      <c r="C619" s="14" t="str">
        <f>VLOOKUP($A619,PLAN!$B:$AC,4,0)</f>
        <v>1911118-D-A</v>
      </c>
      <c r="D619" s="14" t="str">
        <f>VLOOKUP($A619,PLAN!$B:$AC,5,0)</f>
        <v>HJ70AL150P10021 JP</v>
      </c>
      <c r="E619" s="14" t="str">
        <f>VLOOKUP($A619,PLAN!$B:$AC,2,0)</f>
        <v>1001950324</v>
      </c>
      <c r="F619" s="15">
        <f>VLOOKUP($A619,PLAN!$B:$AC,7,0)</f>
        <v>46263</v>
      </c>
      <c r="G619" s="16" t="str">
        <f>VLOOKUP($A619,PLAN!$B:$AC,8,0)</f>
        <v>0103618015</v>
      </c>
      <c r="H619" s="16" t="str">
        <f>VLOOKUP($A619,PLAN!$B:$AC,9,0)</f>
        <v>260818C63A</v>
      </c>
      <c r="I619" s="16">
        <f>VLOOKUP($A619,PLAN!$B:$AC,10,0)</f>
        <v>10</v>
      </c>
      <c r="J619" s="17">
        <f>VLOOKUP($A619,PLAN!$B:$AC,21,0)</f>
        <v>46259</v>
      </c>
      <c r="K619" s="145" t="str">
        <f>VLOOKUP($A619,PLAN!$B:$AC,22,0)</f>
        <v>M9</v>
      </c>
      <c r="L619" s="1"/>
      <c r="M619" s="1"/>
      <c r="N619" s="1"/>
      <c r="O619" s="221" t="s">
        <v>79</v>
      </c>
      <c r="P619" s="220"/>
      <c r="Q619" s="18">
        <f>VLOOKUP(A619,PLAN!B:R,17,0)</f>
        <v>46258</v>
      </c>
    </row>
    <row r="620" spans="1:17" ht="17.25" hidden="1" customHeight="1">
      <c r="A620" s="329" t="s">
        <v>5832</v>
      </c>
      <c r="B620" s="14">
        <f>VLOOKUP($A620,PLAN!$B:$AC,3,0)</f>
        <v>11119579</v>
      </c>
      <c r="C620" s="14" t="str">
        <f>VLOOKUP($A620,PLAN!$B:$AC,4,0)</f>
        <v>1911245-D-A</v>
      </c>
      <c r="D620" s="14" t="str">
        <f>VLOOKUP($A620,PLAN!$B:$AC,5,0)</f>
        <v>HJ80AL102P10001 JP</v>
      </c>
      <c r="E620" s="14" t="str">
        <f>VLOOKUP($A620,PLAN!$B:$AC,2,0)</f>
        <v>1001950325</v>
      </c>
      <c r="F620" s="15">
        <f>VLOOKUP($A620,PLAN!$B:$AC,7,0)</f>
        <v>46263</v>
      </c>
      <c r="G620" s="16" t="str">
        <f>VLOOKUP($A620,PLAN!$B:$AC,8,0)</f>
        <v>0103618016</v>
      </c>
      <c r="H620" s="16" t="str">
        <f>VLOOKUP($A620,PLAN!$B:$AC,9,0)</f>
        <v>260818C64A</v>
      </c>
      <c r="I620" s="16">
        <f>VLOOKUP($A620,PLAN!$B:$AC,10,0)</f>
        <v>11</v>
      </c>
      <c r="J620" s="17">
        <f>VLOOKUP($A620,PLAN!$B:$AC,21,0)</f>
        <v>46259</v>
      </c>
      <c r="K620" s="145" t="str">
        <f>VLOOKUP($A620,PLAN!$B:$AC,22,0)</f>
        <v>M9</v>
      </c>
      <c r="L620" s="1"/>
      <c r="M620" s="1"/>
      <c r="N620" s="1"/>
      <c r="O620" s="221" t="s">
        <v>79</v>
      </c>
      <c r="P620" s="220"/>
      <c r="Q620" s="18">
        <f>VLOOKUP(A620,PLAN!B:R,17,0)</f>
        <v>46258</v>
      </c>
    </row>
    <row r="621" spans="1:17" ht="17.25" hidden="1" customHeight="1">
      <c r="A621" s="329" t="s">
        <v>5833</v>
      </c>
      <c r="B621" s="14">
        <f>VLOOKUP($A621,PLAN!$B:$AC,3,0)</f>
        <v>11119547</v>
      </c>
      <c r="C621" s="14" t="str">
        <f>VLOOKUP($A621,PLAN!$B:$AC,4,0)</f>
        <v>1911213-D-A</v>
      </c>
      <c r="D621" s="14" t="str">
        <f>VLOOKUP($A621,PLAN!$B:$AC,5,0)</f>
        <v>HJ70AL200P10022 JP</v>
      </c>
      <c r="E621" s="14" t="str">
        <f>VLOOKUP($A621,PLAN!$B:$AC,2,0)</f>
        <v>1001950326</v>
      </c>
      <c r="F621" s="15">
        <f>VLOOKUP($A621,PLAN!$B:$AC,7,0)</f>
        <v>46263</v>
      </c>
      <c r="G621" s="16" t="str">
        <f>VLOOKUP($A621,PLAN!$B:$AC,8,0)</f>
        <v>0103618017</v>
      </c>
      <c r="H621" s="16" t="str">
        <f>VLOOKUP($A621,PLAN!$B:$AC,9,0)</f>
        <v>260818C65A</v>
      </c>
      <c r="I621" s="16">
        <f>VLOOKUP($A621,PLAN!$B:$AC,10,0)</f>
        <v>12</v>
      </c>
      <c r="J621" s="17">
        <f>VLOOKUP($A621,PLAN!$B:$AC,21,0)</f>
        <v>46259</v>
      </c>
      <c r="K621" s="145" t="str">
        <f>VLOOKUP($A621,PLAN!$B:$AC,22,0)</f>
        <v>M9</v>
      </c>
      <c r="L621" s="1"/>
      <c r="M621" s="1"/>
      <c r="N621" s="1"/>
      <c r="O621" s="221" t="s">
        <v>79</v>
      </c>
      <c r="P621" s="220"/>
      <c r="Q621" s="18">
        <f>VLOOKUP(A621,PLAN!B:R,17,0)</f>
        <v>46258</v>
      </c>
    </row>
    <row r="622" spans="1:17" ht="17.25" hidden="1" customHeight="1">
      <c r="A622" s="329" t="s">
        <v>5834</v>
      </c>
      <c r="B622" s="14">
        <f>VLOOKUP($A622,PLAN!$B:$AC,3,0)</f>
        <v>11119535</v>
      </c>
      <c r="C622" s="14" t="str">
        <f>VLOOKUP($A622,PLAN!$B:$AC,4,0)</f>
        <v>1911201-D-A</v>
      </c>
      <c r="D622" s="14" t="str">
        <f>VLOOKUP($A622,PLAN!$B:$AC,5,0)</f>
        <v>HJ70AL070P10022 JP</v>
      </c>
      <c r="E622" s="14" t="str">
        <f>VLOOKUP($A622,PLAN!$B:$AC,2,0)</f>
        <v>1001950327</v>
      </c>
      <c r="F622" s="15">
        <f>VLOOKUP($A622,PLAN!$B:$AC,7,0)</f>
        <v>46263</v>
      </c>
      <c r="G622" s="16" t="str">
        <f>VLOOKUP($A622,PLAN!$B:$AC,8,0)</f>
        <v>0103618018</v>
      </c>
      <c r="H622" s="16" t="str">
        <f>VLOOKUP($A622,PLAN!$B:$AC,9,0)</f>
        <v>260818C66A</v>
      </c>
      <c r="I622" s="16">
        <f>VLOOKUP($A622,PLAN!$B:$AC,10,0)</f>
        <v>15</v>
      </c>
      <c r="J622" s="17">
        <f>VLOOKUP($A622,PLAN!$B:$AC,21,0)</f>
        <v>46259</v>
      </c>
      <c r="K622" s="145" t="str">
        <f>VLOOKUP($A622,PLAN!$B:$AC,22,0)</f>
        <v>M9</v>
      </c>
      <c r="L622" s="1"/>
      <c r="M622" s="1"/>
      <c r="N622" s="1"/>
      <c r="O622" s="221" t="s">
        <v>79</v>
      </c>
      <c r="P622" s="220"/>
      <c r="Q622" s="18">
        <f>VLOOKUP(A622,PLAN!B:R,17,0)</f>
        <v>46258</v>
      </c>
    </row>
    <row r="623" spans="1:17" ht="17.25" hidden="1" customHeight="1">
      <c r="A623" s="329" t="s">
        <v>5835</v>
      </c>
      <c r="B623" s="14">
        <f>VLOOKUP($A623,PLAN!$B:$AC,3,0)</f>
        <v>11119454</v>
      </c>
      <c r="C623" s="14" t="str">
        <f>VLOOKUP($A623,PLAN!$B:$AC,4,0)</f>
        <v>1911120-D-A</v>
      </c>
      <c r="D623" s="14" t="str">
        <f>VLOOKUP($A623,PLAN!$B:$AC,5,0)</f>
        <v>HJ70AL200P10020 JP</v>
      </c>
      <c r="E623" s="14" t="str">
        <f>VLOOKUP($A623,PLAN!$B:$AC,2,0)</f>
        <v>1001950328</v>
      </c>
      <c r="F623" s="15">
        <f>VLOOKUP($A623,PLAN!$B:$AC,7,0)</f>
        <v>46263</v>
      </c>
      <c r="G623" s="16" t="str">
        <f>VLOOKUP($A623,PLAN!$B:$AC,8,0)</f>
        <v>0103618019</v>
      </c>
      <c r="H623" s="16" t="str">
        <f>VLOOKUP($A623,PLAN!$B:$AC,9,0)</f>
        <v>260818C67A</v>
      </c>
      <c r="I623" s="16">
        <f>VLOOKUP($A623,PLAN!$B:$AC,10,0)</f>
        <v>28</v>
      </c>
      <c r="J623" s="17">
        <f>VLOOKUP($A623,PLAN!$B:$AC,21,0)</f>
        <v>46259</v>
      </c>
      <c r="K623" s="145" t="str">
        <f>VLOOKUP($A623,PLAN!$B:$AC,22,0)</f>
        <v>M9</v>
      </c>
      <c r="L623" s="1"/>
      <c r="M623" s="1"/>
      <c r="N623" s="1"/>
      <c r="O623" s="221" t="s">
        <v>79</v>
      </c>
      <c r="P623" s="220"/>
      <c r="Q623" s="18">
        <f>VLOOKUP(A623,PLAN!B:R,17,0)</f>
        <v>46258</v>
      </c>
    </row>
    <row r="624" spans="1:17" ht="17.25" hidden="1" customHeight="1">
      <c r="A624" s="329" t="s">
        <v>5836</v>
      </c>
      <c r="B624" s="14">
        <f>VLOOKUP($A624,PLAN!$B:$AC,3,0)</f>
        <v>11119448</v>
      </c>
      <c r="C624" s="14" t="str">
        <f>VLOOKUP($A624,PLAN!$B:$AC,4,0)</f>
        <v>1911114-D-A</v>
      </c>
      <c r="D624" s="14" t="str">
        <f>VLOOKUP($A624,PLAN!$B:$AC,5,0)</f>
        <v>HJ70AL150P10020 JP</v>
      </c>
      <c r="E624" s="14" t="str">
        <f>VLOOKUP($A624,PLAN!$B:$AC,2,0)</f>
        <v>1001950329</v>
      </c>
      <c r="F624" s="15">
        <f>VLOOKUP($A624,PLAN!$B:$AC,7,0)</f>
        <v>46263</v>
      </c>
      <c r="G624" s="16" t="str">
        <f>VLOOKUP($A624,PLAN!$B:$AC,8,0)</f>
        <v>0103618020</v>
      </c>
      <c r="H624" s="16" t="str">
        <f>VLOOKUP($A624,PLAN!$B:$AC,9,0)</f>
        <v>260818C68A</v>
      </c>
      <c r="I624" s="16">
        <f>VLOOKUP($A624,PLAN!$B:$AC,10,0)</f>
        <v>29</v>
      </c>
      <c r="J624" s="17">
        <f>VLOOKUP($A624,PLAN!$B:$AC,21,0)</f>
        <v>46259</v>
      </c>
      <c r="K624" s="145" t="str">
        <f>VLOOKUP($A624,PLAN!$B:$AC,22,0)</f>
        <v>M9</v>
      </c>
      <c r="L624" s="1"/>
      <c r="M624" s="1"/>
      <c r="N624" s="1"/>
      <c r="O624" s="221" t="s">
        <v>79</v>
      </c>
      <c r="P624" s="220"/>
      <c r="Q624" s="18">
        <f>VLOOKUP(A624,PLAN!B:R,17,0)</f>
        <v>46258</v>
      </c>
    </row>
    <row r="625" spans="1:17" ht="17.25" hidden="1" customHeight="1">
      <c r="A625" s="329" t="s">
        <v>5837</v>
      </c>
      <c r="B625" s="14">
        <f>VLOOKUP($A625,PLAN!$B:$AC,3,0)</f>
        <v>11134312</v>
      </c>
      <c r="C625" s="14" t="str">
        <f>VLOOKUP($A625,PLAN!$B:$AC,4,0)</f>
        <v>1911351-E-A</v>
      </c>
      <c r="D625" s="14" t="str">
        <f>VLOOKUP($A625,PLAN!$B:$AC,5,0)</f>
        <v>HJ80SP372P09000 JP</v>
      </c>
      <c r="E625" s="14" t="str">
        <f>VLOOKUP($A625,PLAN!$B:$AC,2,0)</f>
        <v>1001950330</v>
      </c>
      <c r="F625" s="15">
        <f>VLOOKUP($A625,PLAN!$B:$AC,7,0)</f>
        <v>46263</v>
      </c>
      <c r="G625" s="16" t="str">
        <f>VLOOKUP($A625,PLAN!$B:$AC,8,0)</f>
        <v>0103618022</v>
      </c>
      <c r="H625" s="16" t="str">
        <f>VLOOKUP($A625,PLAN!$B:$AC,9,0)</f>
        <v>260818C69A</v>
      </c>
      <c r="I625" s="16">
        <f>VLOOKUP($A625,PLAN!$B:$AC,10,0)</f>
        <v>1</v>
      </c>
      <c r="J625" s="17">
        <f>VLOOKUP($A625,PLAN!$B:$AC,21,0)</f>
        <v>46259</v>
      </c>
      <c r="K625" s="145" t="str">
        <f>VLOOKUP($A625,PLAN!$B:$AC,22,0)</f>
        <v>M10</v>
      </c>
      <c r="L625" s="1"/>
      <c r="M625" s="1"/>
      <c r="N625" s="1"/>
      <c r="O625" s="221" t="s">
        <v>79</v>
      </c>
      <c r="P625" s="220"/>
      <c r="Q625" s="18">
        <f>VLOOKUP(A625,PLAN!B:R,17,0)</f>
        <v>46258</v>
      </c>
    </row>
    <row r="626" spans="1:17" ht="17.25" hidden="1" customHeight="1">
      <c r="A626" s="329" t="s">
        <v>5838</v>
      </c>
      <c r="B626" s="14">
        <f>VLOOKUP($A626,PLAN!$B:$AC,3,0)</f>
        <v>11134290</v>
      </c>
      <c r="C626" s="14" t="str">
        <f>VLOOKUP($A626,PLAN!$B:$AC,4,0)</f>
        <v>1911233-E-A</v>
      </c>
      <c r="D626" s="14" t="str">
        <f>VLOOKUP($A626,PLAN!$B:$AC,5,0)</f>
        <v>HJ70SP452P10020 JP</v>
      </c>
      <c r="E626" s="14" t="str">
        <f>VLOOKUP($A626,PLAN!$B:$AC,2,0)</f>
        <v>1001950331</v>
      </c>
      <c r="F626" s="15">
        <f>VLOOKUP($A626,PLAN!$B:$AC,7,0)</f>
        <v>46263</v>
      </c>
      <c r="G626" s="16" t="str">
        <f>VLOOKUP($A626,PLAN!$B:$AC,8,0)</f>
        <v>0103618023</v>
      </c>
      <c r="H626" s="16" t="str">
        <f>VLOOKUP($A626,PLAN!$B:$AC,9,0)</f>
        <v>260818C70A</v>
      </c>
      <c r="I626" s="16">
        <f>VLOOKUP($A626,PLAN!$B:$AC,10,0)</f>
        <v>7</v>
      </c>
      <c r="J626" s="17">
        <f>VLOOKUP($A626,PLAN!$B:$AC,21,0)</f>
        <v>46259</v>
      </c>
      <c r="K626" s="145" t="str">
        <f>VLOOKUP($A626,PLAN!$B:$AC,22,0)</f>
        <v>M10</v>
      </c>
      <c r="L626" s="1"/>
      <c r="M626" s="1"/>
      <c r="N626" s="1"/>
      <c r="O626" s="221" t="s">
        <v>79</v>
      </c>
      <c r="P626" s="220"/>
      <c r="Q626" s="18">
        <f>VLOOKUP(A626,PLAN!B:R,17,0)</f>
        <v>46258</v>
      </c>
    </row>
    <row r="627" spans="1:17" ht="17.25" hidden="1" customHeight="1">
      <c r="A627" s="329" t="s">
        <v>5839</v>
      </c>
      <c r="B627" s="14">
        <f>VLOOKUP($A627,PLAN!$B:$AC,3,0)</f>
        <v>11134263</v>
      </c>
      <c r="C627" s="14" t="str">
        <f>VLOOKUP($A627,PLAN!$B:$AC,4,0)</f>
        <v>1911100-F-A</v>
      </c>
      <c r="D627" s="14" t="str">
        <f>VLOOKUP($A627,PLAN!$B:$AC,5,0)</f>
        <v>HJ60SP372P10020 JP</v>
      </c>
      <c r="E627" s="14" t="str">
        <f>VLOOKUP($A627,PLAN!$B:$AC,2,0)</f>
        <v>1001950332</v>
      </c>
      <c r="F627" s="15">
        <f>VLOOKUP($A627,PLAN!$B:$AC,7,0)</f>
        <v>46270</v>
      </c>
      <c r="G627" s="16" t="str">
        <f>VLOOKUP($A627,PLAN!$B:$AC,8,0)</f>
        <v>0103618024</v>
      </c>
      <c r="H627" s="16" t="str">
        <f>VLOOKUP($A627,PLAN!$B:$AC,9,0)</f>
        <v>260818C71A</v>
      </c>
      <c r="I627" s="16">
        <f>VLOOKUP($A627,PLAN!$B:$AC,10,0)</f>
        <v>14</v>
      </c>
      <c r="J627" s="17">
        <f>VLOOKUP($A627,PLAN!$B:$AC,21,0)</f>
        <v>46259</v>
      </c>
      <c r="K627" s="145" t="str">
        <f>VLOOKUP($A627,PLAN!$B:$AC,22,0)</f>
        <v>M10</v>
      </c>
      <c r="L627" s="1"/>
      <c r="M627" s="1"/>
      <c r="N627" s="1"/>
      <c r="O627" s="221" t="s">
        <v>79</v>
      </c>
      <c r="P627" s="220"/>
      <c r="Q627" s="18">
        <f>VLOOKUP(A627,PLAN!B:R,17,0)</f>
        <v>46258</v>
      </c>
    </row>
    <row r="628" spans="1:17" ht="17.25" hidden="1" customHeight="1">
      <c r="A628" s="329" t="s">
        <v>5840</v>
      </c>
      <c r="B628" s="14">
        <f>VLOOKUP($A628,PLAN!$B:$AC,3,0)</f>
        <v>11134265</v>
      </c>
      <c r="C628" s="14" t="str">
        <f>VLOOKUP($A628,PLAN!$B:$AC,4,0)</f>
        <v>1911102-E-A</v>
      </c>
      <c r="D628" s="14" t="str">
        <f>VLOOKUP($A628,PLAN!$B:$AC,5,0)</f>
        <v>HJ60SP402P10020 JP</v>
      </c>
      <c r="E628" s="14" t="str">
        <f>VLOOKUP($A628,PLAN!$B:$AC,2,0)</f>
        <v>1001950333</v>
      </c>
      <c r="F628" s="15">
        <f>VLOOKUP($A628,PLAN!$B:$AC,7,0)</f>
        <v>46270</v>
      </c>
      <c r="G628" s="16" t="str">
        <f>VLOOKUP($A628,PLAN!$B:$AC,8,0)</f>
        <v>0103618025</v>
      </c>
      <c r="H628" s="16" t="str">
        <f>VLOOKUP($A628,PLAN!$B:$AC,9,0)</f>
        <v>260818C72A</v>
      </c>
      <c r="I628" s="16">
        <f>VLOOKUP($A628,PLAN!$B:$AC,10,0)</f>
        <v>15</v>
      </c>
      <c r="J628" s="17">
        <f>VLOOKUP($A628,PLAN!$B:$AC,21,0)</f>
        <v>46259</v>
      </c>
      <c r="K628" s="145" t="str">
        <f>VLOOKUP($A628,PLAN!$B:$AC,22,0)</f>
        <v>M10</v>
      </c>
      <c r="L628" s="1"/>
      <c r="M628" s="1"/>
      <c r="N628" s="1"/>
      <c r="O628" s="221" t="s">
        <v>79</v>
      </c>
      <c r="P628" s="220"/>
      <c r="Q628" s="18">
        <f>VLOOKUP(A628,PLAN!B:R,17,0)</f>
        <v>46258</v>
      </c>
    </row>
    <row r="629" spans="1:17" ht="17.25" hidden="1" customHeight="1">
      <c r="A629" s="329" t="s">
        <v>5841</v>
      </c>
      <c r="B629" s="14">
        <f>VLOOKUP($A629,PLAN!$B:$AC,3,0)</f>
        <v>11134258</v>
      </c>
      <c r="C629" s="14" t="str">
        <f>VLOOKUP($A629,PLAN!$B:$AC,4,0)</f>
        <v>1911095-E-A</v>
      </c>
      <c r="D629" s="14" t="str">
        <f>VLOOKUP($A629,PLAN!$B:$AC,5,0)</f>
        <v>HJ60SP320P10000 JP</v>
      </c>
      <c r="E629" s="14" t="str">
        <f>VLOOKUP($A629,PLAN!$B:$AC,2,0)</f>
        <v>1001950334</v>
      </c>
      <c r="F629" s="15">
        <f>VLOOKUP($A629,PLAN!$B:$AC,7,0)</f>
        <v>46270</v>
      </c>
      <c r="G629" s="16" t="str">
        <f>VLOOKUP($A629,PLAN!$B:$AC,8,0)</f>
        <v>0103618026</v>
      </c>
      <c r="H629" s="16" t="str">
        <f>VLOOKUP($A629,PLAN!$B:$AC,9,0)</f>
        <v>260818C73A</v>
      </c>
      <c r="I629" s="16">
        <f>VLOOKUP($A629,PLAN!$B:$AC,10,0)</f>
        <v>24</v>
      </c>
      <c r="J629" s="17">
        <f>VLOOKUP($A629,PLAN!$B:$AC,21,0)</f>
        <v>46259</v>
      </c>
      <c r="K629" s="145" t="str">
        <f>VLOOKUP($A629,PLAN!$B:$AC,22,0)</f>
        <v>M10</v>
      </c>
      <c r="L629" s="1"/>
      <c r="M629" s="1"/>
      <c r="N629" s="1"/>
      <c r="O629" s="221" t="s">
        <v>79</v>
      </c>
      <c r="P629" s="220"/>
      <c r="Q629" s="18">
        <f>VLOOKUP(A629,PLAN!B:R,17,0)</f>
        <v>46258</v>
      </c>
    </row>
    <row r="630" spans="1:17" ht="17.25" hidden="1" customHeight="1">
      <c r="A630" s="329" t="s">
        <v>5842</v>
      </c>
      <c r="B630" s="14">
        <f>VLOOKUP($A630,PLAN!$B:$AC,3,0)</f>
        <v>11134250</v>
      </c>
      <c r="C630" s="14" t="str">
        <f>VLOOKUP($A630,PLAN!$B:$AC,4,0)</f>
        <v>1911067-E-A</v>
      </c>
      <c r="D630" s="14" t="str">
        <f>VLOOKUP($A630,PLAN!$B:$AC,5,0)</f>
        <v>HJ60PB300P10000 JP</v>
      </c>
      <c r="E630" s="14" t="str">
        <f>VLOOKUP($A630,PLAN!$B:$AC,2,0)</f>
        <v>1001950335</v>
      </c>
      <c r="F630" s="15">
        <f>VLOOKUP($A630,PLAN!$B:$AC,7,0)</f>
        <v>46270</v>
      </c>
      <c r="G630" s="16" t="str">
        <f>VLOOKUP($A630,PLAN!$B:$AC,8,0)</f>
        <v>0103618027</v>
      </c>
      <c r="H630" s="16" t="str">
        <f>VLOOKUP($A630,PLAN!$B:$AC,9,0)</f>
        <v>260818C74A</v>
      </c>
      <c r="I630" s="16">
        <f>VLOOKUP($A630,PLAN!$B:$AC,10,0)</f>
        <v>25</v>
      </c>
      <c r="J630" s="17">
        <f>VLOOKUP($A630,PLAN!$B:$AC,21,0)</f>
        <v>46259</v>
      </c>
      <c r="K630" s="145" t="str">
        <f>VLOOKUP($A630,PLAN!$B:$AC,22,0)</f>
        <v>M10</v>
      </c>
      <c r="L630" s="1"/>
      <c r="M630" s="1"/>
      <c r="N630" s="1"/>
      <c r="O630" s="221" t="s">
        <v>79</v>
      </c>
      <c r="P630" s="220"/>
      <c r="Q630" s="18">
        <f>VLOOKUP(A630,PLAN!B:R,17,0)</f>
        <v>46258</v>
      </c>
    </row>
    <row r="631" spans="1:17" ht="17.25" hidden="1" customHeight="1">
      <c r="A631" s="329" t="s">
        <v>5843</v>
      </c>
      <c r="B631" s="14">
        <f>VLOOKUP($A631,PLAN!$B:$AC,3,0)</f>
        <v>11134252</v>
      </c>
      <c r="C631" s="14" t="str">
        <f>VLOOKUP($A631,PLAN!$B:$AC,4,0)</f>
        <v>1911069-F-A</v>
      </c>
      <c r="D631" s="14" t="str">
        <f>VLOOKUP($A631,PLAN!$B:$AC,5,0)</f>
        <v>HJ60PB350P10000 JP</v>
      </c>
      <c r="E631" s="14" t="str">
        <f>VLOOKUP($A631,PLAN!$B:$AC,2,0)</f>
        <v>1001950336</v>
      </c>
      <c r="F631" s="15">
        <f>VLOOKUP($A631,PLAN!$B:$AC,7,0)</f>
        <v>46270</v>
      </c>
      <c r="G631" s="16" t="str">
        <f>VLOOKUP($A631,PLAN!$B:$AC,8,0)</f>
        <v>0103618028</v>
      </c>
      <c r="H631" s="16" t="str">
        <f>VLOOKUP($A631,PLAN!$B:$AC,9,0)</f>
        <v>260818C75A</v>
      </c>
      <c r="I631" s="16">
        <f>VLOOKUP($A631,PLAN!$B:$AC,10,0)</f>
        <v>32</v>
      </c>
      <c r="J631" s="17">
        <f>VLOOKUP($A631,PLAN!$B:$AC,21,0)</f>
        <v>46259</v>
      </c>
      <c r="K631" s="145" t="str">
        <f>VLOOKUP($A631,PLAN!$B:$AC,22,0)</f>
        <v>M10</v>
      </c>
      <c r="L631" s="1"/>
      <c r="M631" s="1"/>
      <c r="N631" s="1"/>
      <c r="O631" s="221" t="s">
        <v>79</v>
      </c>
      <c r="P631" s="220"/>
      <c r="Q631" s="18">
        <f>VLOOKUP(A631,PLAN!B:R,17,0)</f>
        <v>46258</v>
      </c>
    </row>
    <row r="632" spans="1:17" ht="17.25" hidden="1" customHeight="1">
      <c r="A632" s="329" t="s">
        <v>5844</v>
      </c>
      <c r="B632" s="14">
        <f>VLOOKUP($A632,PLAN!$B:$AC,3,0)</f>
        <v>11134282</v>
      </c>
      <c r="C632" s="14" t="str">
        <f>VLOOKUP($A632,PLAN!$B:$AC,4,0)</f>
        <v>1911225-F-A</v>
      </c>
      <c r="D632" s="14" t="str">
        <f>VLOOKUP($A632,PLAN!$B:$AC,5,0)</f>
        <v>HJ70SP352P10020 JP</v>
      </c>
      <c r="E632" s="14" t="str">
        <f>VLOOKUP($A632,PLAN!$B:$AC,2,0)</f>
        <v>1001950337</v>
      </c>
      <c r="F632" s="15">
        <f>VLOOKUP($A632,PLAN!$B:$AC,7,0)</f>
        <v>46270</v>
      </c>
      <c r="G632" s="16" t="str">
        <f>VLOOKUP($A632,PLAN!$B:$AC,8,0)</f>
        <v>0103618029</v>
      </c>
      <c r="H632" s="16" t="str">
        <f>VLOOKUP($A632,PLAN!$B:$AC,9,0)</f>
        <v>260818C76A</v>
      </c>
      <c r="I632" s="16">
        <f>VLOOKUP($A632,PLAN!$B:$AC,10,0)</f>
        <v>32</v>
      </c>
      <c r="J632" s="17">
        <f>VLOOKUP($A632,PLAN!$B:$AC,21,0)</f>
        <v>46259</v>
      </c>
      <c r="K632" s="145" t="str">
        <f>VLOOKUP($A632,PLAN!$B:$AC,22,0)</f>
        <v>M10</v>
      </c>
      <c r="L632" s="1"/>
      <c r="M632" s="1"/>
      <c r="N632" s="1"/>
      <c r="O632" s="221" t="s">
        <v>79</v>
      </c>
      <c r="P632" s="220"/>
      <c r="Q632" s="18">
        <f>VLOOKUP(A632,PLAN!B:R,17,0)</f>
        <v>46258</v>
      </c>
    </row>
    <row r="633" spans="1:17" ht="17.25" hidden="1" customHeight="1">
      <c r="A633" s="329" t="s">
        <v>5845</v>
      </c>
      <c r="B633" s="14">
        <f>VLOOKUP($A633,PLAN!$B:$AC,3,0)</f>
        <v>11134262</v>
      </c>
      <c r="C633" s="14" t="str">
        <f>VLOOKUP($A633,PLAN!$B:$AC,4,0)</f>
        <v>1911099-F-A</v>
      </c>
      <c r="D633" s="14" t="str">
        <f>VLOOKUP($A633,PLAN!$B:$AC,5,0)</f>
        <v>HJ60SP370P10000 JP</v>
      </c>
      <c r="E633" s="14" t="str">
        <f>VLOOKUP($A633,PLAN!$B:$AC,2,0)</f>
        <v>1001950338</v>
      </c>
      <c r="F633" s="15">
        <f>VLOOKUP($A633,PLAN!$B:$AC,7,0)</f>
        <v>46270</v>
      </c>
      <c r="G633" s="16" t="str">
        <f>VLOOKUP($A633,PLAN!$B:$AC,8,0)</f>
        <v>0103618030</v>
      </c>
      <c r="H633" s="16" t="str">
        <f>VLOOKUP($A633,PLAN!$B:$AC,9,0)</f>
        <v>260818C77A</v>
      </c>
      <c r="I633" s="16">
        <f>VLOOKUP($A633,PLAN!$B:$AC,10,0)</f>
        <v>41</v>
      </c>
      <c r="J633" s="17">
        <f>VLOOKUP($A633,PLAN!$B:$AC,21,0)</f>
        <v>46259</v>
      </c>
      <c r="K633" s="145" t="str">
        <f>VLOOKUP($A633,PLAN!$B:$AC,22,0)</f>
        <v>M10</v>
      </c>
      <c r="L633" s="1"/>
      <c r="M633" s="1"/>
      <c r="N633" s="1"/>
      <c r="O633" s="221" t="s">
        <v>79</v>
      </c>
      <c r="P633" s="220"/>
      <c r="Q633" s="18">
        <f>VLOOKUP(A633,PLAN!B:R,17,0)</f>
        <v>46258</v>
      </c>
    </row>
    <row r="634" spans="1:17" ht="17.25" hidden="1" customHeight="1">
      <c r="A634" s="329" t="s">
        <v>5846</v>
      </c>
      <c r="B634" s="14">
        <f>VLOOKUP($A634,PLAN!$B:$AC,3,0)</f>
        <v>11134261</v>
      </c>
      <c r="C634" s="14" t="str">
        <f>VLOOKUP($A634,PLAN!$B:$AC,4,0)</f>
        <v>1911098-F-A</v>
      </c>
      <c r="D634" s="14" t="str">
        <f>VLOOKUP($A634,PLAN!$B:$AC,5,0)</f>
        <v>HJ60SP352P10020 JP</v>
      </c>
      <c r="E634" s="14" t="str">
        <f>VLOOKUP($A634,PLAN!$B:$AC,2,0)</f>
        <v>1001950339</v>
      </c>
      <c r="F634" s="15">
        <f>VLOOKUP($A634,PLAN!$B:$AC,7,0)</f>
        <v>46270</v>
      </c>
      <c r="G634" s="16" t="str">
        <f>VLOOKUP($A634,PLAN!$B:$AC,8,0)</f>
        <v>0103618031</v>
      </c>
      <c r="H634" s="16" t="str">
        <f>VLOOKUP($A634,PLAN!$B:$AC,9,0)</f>
        <v>260818C78A</v>
      </c>
      <c r="I634" s="16">
        <f>VLOOKUP($A634,PLAN!$B:$AC,10,0)</f>
        <v>74</v>
      </c>
      <c r="J634" s="17">
        <f>VLOOKUP($A634,PLAN!$B:$AC,21,0)</f>
        <v>46259</v>
      </c>
      <c r="K634" s="145" t="str">
        <f>VLOOKUP($A634,PLAN!$B:$AC,22,0)</f>
        <v>M10</v>
      </c>
      <c r="L634" s="1"/>
      <c r="M634" s="1"/>
      <c r="N634" s="1"/>
      <c r="O634" s="221" t="s">
        <v>79</v>
      </c>
      <c r="P634" s="220"/>
      <c r="Q634" s="18">
        <f>VLOOKUP(A634,PLAN!B:R,17,0)</f>
        <v>46258</v>
      </c>
    </row>
    <row r="635" spans="1:17" ht="17.25" hidden="1" customHeight="1">
      <c r="A635" s="329" t="s">
        <v>5847</v>
      </c>
      <c r="B635" s="14">
        <f>VLOOKUP($A635,PLAN!$B:$AC,3,0)</f>
        <v>11134260</v>
      </c>
      <c r="C635" s="14" t="str">
        <f>VLOOKUP($A635,PLAN!$B:$AC,4,0)</f>
        <v>1911097-F-A</v>
      </c>
      <c r="D635" s="14" t="str">
        <f>VLOOKUP($A635,PLAN!$B:$AC,5,0)</f>
        <v>HJ60SP350P10000 JP</v>
      </c>
      <c r="E635" s="14" t="str">
        <f>VLOOKUP($A635,PLAN!$B:$AC,2,0)</f>
        <v>1001950340</v>
      </c>
      <c r="F635" s="15">
        <f>VLOOKUP($A635,PLAN!$B:$AC,7,0)</f>
        <v>46270</v>
      </c>
      <c r="G635" s="16" t="str">
        <f>VLOOKUP($A635,PLAN!$B:$AC,8,0)</f>
        <v>0103618032</v>
      </c>
      <c r="H635" s="16" t="str">
        <f>VLOOKUP($A635,PLAN!$B:$AC,9,0)</f>
        <v>260818C79A</v>
      </c>
      <c r="I635" s="16">
        <f>VLOOKUP($A635,PLAN!$B:$AC,10,0)</f>
        <v>217</v>
      </c>
      <c r="J635" s="17">
        <f>VLOOKUP($A635,PLAN!$B:$AC,21,0)</f>
        <v>46259</v>
      </c>
      <c r="K635" s="145" t="str">
        <f>VLOOKUP($A635,PLAN!$B:$AC,22,0)</f>
        <v>M10</v>
      </c>
      <c r="L635" s="1"/>
      <c r="M635" s="1"/>
      <c r="N635" s="1"/>
      <c r="O635" s="221" t="s">
        <v>79</v>
      </c>
      <c r="P635" s="220"/>
      <c r="Q635" s="18">
        <f>VLOOKUP(A635,PLAN!B:R,17,0)</f>
        <v>46258</v>
      </c>
    </row>
    <row r="636" spans="1:17" ht="17.25" hidden="1" customHeight="1">
      <c r="A636" s="329" t="s">
        <v>5848</v>
      </c>
      <c r="B636" s="14">
        <f>VLOOKUP($A636,PLAN!$B:$AC,3,0)</f>
        <v>11134281</v>
      </c>
      <c r="C636" s="14" t="str">
        <f>VLOOKUP($A636,PLAN!$B:$AC,4,0)</f>
        <v>1911224-F-A</v>
      </c>
      <c r="D636" s="14" t="str">
        <f>VLOOKUP($A636,PLAN!$B:$AC,5,0)</f>
        <v>HJ70SP350P10000 JP</v>
      </c>
      <c r="E636" s="14" t="str">
        <f>VLOOKUP($A636,PLAN!$B:$AC,2,0)</f>
        <v>1001950341</v>
      </c>
      <c r="F636" s="15">
        <f>VLOOKUP($A636,PLAN!$B:$AC,7,0)</f>
        <v>46270</v>
      </c>
      <c r="G636" s="16" t="str">
        <f>VLOOKUP($A636,PLAN!$B:$AC,8,0)</f>
        <v>0103618033</v>
      </c>
      <c r="H636" s="16" t="str">
        <f>VLOOKUP($A636,PLAN!$B:$AC,9,0)</f>
        <v>260818C80A</v>
      </c>
      <c r="I636" s="16">
        <f>VLOOKUP($A636,PLAN!$B:$AC,10,0)</f>
        <v>238</v>
      </c>
      <c r="J636" s="17">
        <f>VLOOKUP($A636,PLAN!$B:$AC,21,0)</f>
        <v>46259</v>
      </c>
      <c r="K636" s="145" t="str">
        <f>VLOOKUP($A636,PLAN!$B:$AC,22,0)</f>
        <v>M10</v>
      </c>
      <c r="L636" s="1"/>
      <c r="M636" s="1"/>
      <c r="N636" s="1"/>
      <c r="O636" s="221" t="s">
        <v>79</v>
      </c>
      <c r="P636" s="220"/>
      <c r="Q636" s="18">
        <f>VLOOKUP(A636,PLAN!B:R,17,0)</f>
        <v>46258</v>
      </c>
    </row>
    <row r="637" spans="1:17" ht="17.25" customHeight="1">
      <c r="A637" s="329" t="s">
        <v>6022</v>
      </c>
      <c r="B637" s="14">
        <f>VLOOKUP($A637,PLAN!$B:$AC,3,0)</f>
        <v>11134285</v>
      </c>
      <c r="C637" s="14" t="str">
        <f>VLOOKUP($A637,PLAN!$B:$AC,4,0)</f>
        <v>1911228-F-A</v>
      </c>
      <c r="D637" s="14" t="str">
        <f>VLOOKUP($A637,PLAN!$B:$AC,5,0)</f>
        <v>HJ70SP372P10020 JP</v>
      </c>
      <c r="E637" s="14" t="str">
        <f>VLOOKUP($A637,PLAN!$B:$AC,2,0)</f>
        <v>1001950533</v>
      </c>
      <c r="F637" s="15">
        <f>VLOOKUP($A637,PLAN!$B:$AC,7,0)</f>
        <v>46270</v>
      </c>
      <c r="G637" s="16" t="str">
        <f>VLOOKUP($A637,PLAN!$B:$AC,8,0)</f>
        <v>0103618360</v>
      </c>
      <c r="H637" s="16" t="str">
        <f>VLOOKUP($A637,PLAN!$B:$AC,9,0)</f>
        <v>260818C81A</v>
      </c>
      <c r="I637" s="16">
        <f>VLOOKUP($A637,PLAN!$B:$AC,10,0)</f>
        <v>83</v>
      </c>
      <c r="J637" s="17">
        <f>VLOOKUP($A637,PLAN!$B:$AC,21,0)</f>
        <v>46260</v>
      </c>
      <c r="K637" s="145" t="str">
        <f>VLOOKUP($A637,PLAN!$B:$AC,22,0)</f>
        <v>M9</v>
      </c>
      <c r="L637" s="1"/>
      <c r="M637" s="1"/>
      <c r="N637" s="1"/>
      <c r="O637" s="221" t="s">
        <v>79</v>
      </c>
      <c r="P637" s="220"/>
      <c r="Q637" s="18">
        <f>VLOOKUP(A637,PLAN!B:R,17,0)</f>
        <v>46259</v>
      </c>
    </row>
    <row r="638" spans="1:17" ht="17.25" customHeight="1">
      <c r="A638" s="329" t="s">
        <v>6023</v>
      </c>
      <c r="B638" s="14">
        <f>VLOOKUP($A638,PLAN!$B:$AC,3,0)</f>
        <v>11134282</v>
      </c>
      <c r="C638" s="14" t="str">
        <f>VLOOKUP($A638,PLAN!$B:$AC,4,0)</f>
        <v>1911225-F-A</v>
      </c>
      <c r="D638" s="14" t="str">
        <f>VLOOKUP($A638,PLAN!$B:$AC,5,0)</f>
        <v>HJ70SP352P10020 JP</v>
      </c>
      <c r="E638" s="14" t="str">
        <f>VLOOKUP($A638,PLAN!$B:$AC,2,0)</f>
        <v>1001950535</v>
      </c>
      <c r="F638" s="15">
        <f>VLOOKUP($A638,PLAN!$B:$AC,7,0)</f>
        <v>46270</v>
      </c>
      <c r="G638" s="16" t="str">
        <f>VLOOKUP($A638,PLAN!$B:$AC,8,0)</f>
        <v>0103618362</v>
      </c>
      <c r="H638" s="16" t="str">
        <f>VLOOKUP($A638,PLAN!$B:$AC,9,0)</f>
        <v>260818C82A</v>
      </c>
      <c r="I638" s="16">
        <f>VLOOKUP($A638,PLAN!$B:$AC,10,0)</f>
        <v>161</v>
      </c>
      <c r="J638" s="17">
        <f>VLOOKUP($A638,PLAN!$B:$AC,21,0)</f>
        <v>46260</v>
      </c>
      <c r="K638" s="145" t="str">
        <f>VLOOKUP($A638,PLAN!$B:$AC,22,0)</f>
        <v>M9</v>
      </c>
      <c r="L638" s="1"/>
      <c r="M638" s="1"/>
      <c r="N638" s="1"/>
      <c r="O638" s="221" t="s">
        <v>79</v>
      </c>
      <c r="P638" s="220"/>
      <c r="Q638" s="18">
        <f>VLOOKUP(A638,PLAN!B:R,17,0)</f>
        <v>46259</v>
      </c>
    </row>
    <row r="639" spans="1:17" ht="17.25" customHeight="1">
      <c r="A639" s="329" t="s">
        <v>6024</v>
      </c>
      <c r="B639" s="14">
        <f>VLOOKUP($A639,PLAN!$B:$AC,3,0)</f>
        <v>11119503</v>
      </c>
      <c r="C639" s="14" t="str">
        <f>VLOOKUP($A639,PLAN!$B:$AC,4,0)</f>
        <v>1911169-D-A</v>
      </c>
      <c r="D639" s="14" t="str">
        <f>VLOOKUP($A639,PLAN!$B:$AC,5,0)</f>
        <v>HJ70JR350P10020 JP</v>
      </c>
      <c r="E639" s="14" t="str">
        <f>VLOOKUP($A639,PLAN!$B:$AC,2,0)</f>
        <v>1001950537</v>
      </c>
      <c r="F639" s="15">
        <f>VLOOKUP($A639,PLAN!$B:$AC,7,0)</f>
        <v>46270</v>
      </c>
      <c r="G639" s="16" t="str">
        <f>VLOOKUP($A639,PLAN!$B:$AC,8,0)</f>
        <v>0103618364</v>
      </c>
      <c r="H639" s="16" t="str">
        <f>VLOOKUP($A639,PLAN!$B:$AC,9,0)</f>
        <v>260818C83A</v>
      </c>
      <c r="I639" s="16">
        <f>VLOOKUP($A639,PLAN!$B:$AC,10,0)</f>
        <v>13</v>
      </c>
      <c r="J639" s="17">
        <f>VLOOKUP($A639,PLAN!$B:$AC,21,0)</f>
        <v>46260</v>
      </c>
      <c r="K639" s="145" t="str">
        <f>VLOOKUP($A639,PLAN!$B:$AC,22,0)</f>
        <v>M9</v>
      </c>
      <c r="L639" s="1"/>
      <c r="M639" s="1"/>
      <c r="N639" s="1"/>
      <c r="O639" s="221" t="s">
        <v>79</v>
      </c>
      <c r="P639" s="220"/>
      <c r="Q639" s="18">
        <f>VLOOKUP(A639,PLAN!B:R,17,0)</f>
        <v>46259</v>
      </c>
    </row>
    <row r="640" spans="1:17" ht="17.25" customHeight="1">
      <c r="A640" s="329" t="s">
        <v>6025</v>
      </c>
      <c r="B640" s="14">
        <f>VLOOKUP($A640,PLAN!$B:$AC,3,0)</f>
        <v>11119490</v>
      </c>
      <c r="C640" s="14" t="str">
        <f>VLOOKUP($A640,PLAN!$B:$AC,4,0)</f>
        <v>1911156-D-A</v>
      </c>
      <c r="D640" s="14" t="str">
        <f>VLOOKUP($A640,PLAN!$B:$AC,5,0)</f>
        <v>HJ70JL402P10020 JP</v>
      </c>
      <c r="E640" s="14" t="str">
        <f>VLOOKUP($A640,PLAN!$B:$AC,2,0)</f>
        <v>1001950540</v>
      </c>
      <c r="F640" s="15">
        <f>VLOOKUP($A640,PLAN!$B:$AC,7,0)</f>
        <v>46270</v>
      </c>
      <c r="G640" s="16" t="str">
        <f>VLOOKUP($A640,PLAN!$B:$AC,8,0)</f>
        <v>0103618367</v>
      </c>
      <c r="H640" s="16" t="str">
        <f>VLOOKUP($A640,PLAN!$B:$AC,9,0)</f>
        <v>260818C84A</v>
      </c>
      <c r="I640" s="16">
        <f>VLOOKUP($A640,PLAN!$B:$AC,10,0)</f>
        <v>34</v>
      </c>
      <c r="J640" s="17">
        <f>VLOOKUP($A640,PLAN!$B:$AC,21,0)</f>
        <v>46260</v>
      </c>
      <c r="K640" s="145" t="str">
        <f>VLOOKUP($A640,PLAN!$B:$AC,22,0)</f>
        <v>M9</v>
      </c>
      <c r="L640" s="1"/>
      <c r="M640" s="1"/>
      <c r="N640" s="1"/>
      <c r="O640" s="221" t="s">
        <v>79</v>
      </c>
      <c r="P640" s="220"/>
      <c r="Q640" s="18">
        <f>VLOOKUP(A640,PLAN!B:R,17,0)</f>
        <v>46259</v>
      </c>
    </row>
    <row r="641" spans="1:17" ht="17.25" customHeight="1">
      <c r="A641" s="329" t="s">
        <v>6026</v>
      </c>
      <c r="B641" s="14">
        <f>VLOOKUP($A641,PLAN!$B:$AC,3,0)</f>
        <v>11119507</v>
      </c>
      <c r="C641" s="14" t="str">
        <f>VLOOKUP($A641,PLAN!$B:$AC,4,0)</f>
        <v>1911173-D-A</v>
      </c>
      <c r="D641" s="14" t="str">
        <f>VLOOKUP($A641,PLAN!$B:$AC,5,0)</f>
        <v>HJ70JR400P10020 JP</v>
      </c>
      <c r="E641" s="14" t="str">
        <f>VLOOKUP($A641,PLAN!$B:$AC,2,0)</f>
        <v>1001950542</v>
      </c>
      <c r="F641" s="15">
        <f>VLOOKUP($A641,PLAN!$B:$AC,7,0)</f>
        <v>46270</v>
      </c>
      <c r="G641" s="16" t="str">
        <f>VLOOKUP($A641,PLAN!$B:$AC,8,0)</f>
        <v>0103618369</v>
      </c>
      <c r="H641" s="16" t="str">
        <f>VLOOKUP($A641,PLAN!$B:$AC,9,0)</f>
        <v>260818C85A</v>
      </c>
      <c r="I641" s="16">
        <f>VLOOKUP($A641,PLAN!$B:$AC,10,0)</f>
        <v>57</v>
      </c>
      <c r="J641" s="17">
        <f>VLOOKUP($A641,PLAN!$B:$AC,21,0)</f>
        <v>46260</v>
      </c>
      <c r="K641" s="145" t="str">
        <f>VLOOKUP($A641,PLAN!$B:$AC,22,0)</f>
        <v>M9</v>
      </c>
      <c r="L641" s="1"/>
      <c r="M641" s="1"/>
      <c r="N641" s="1"/>
      <c r="O641" s="221" t="s">
        <v>79</v>
      </c>
      <c r="P641" s="220"/>
      <c r="Q641" s="18">
        <f>VLOOKUP(A641,PLAN!B:R,17,0)</f>
        <v>46259</v>
      </c>
    </row>
    <row r="642" spans="1:17" ht="17.25" customHeight="1">
      <c r="A642" s="329" t="s">
        <v>6027</v>
      </c>
      <c r="B642" s="14">
        <f>VLOOKUP($A642,PLAN!$B:$AC,3,0)</f>
        <v>11116931</v>
      </c>
      <c r="C642" s="14" t="str">
        <f>VLOOKUP($A642,PLAN!$B:$AC,4,0)</f>
        <v>1521545-M-A</v>
      </c>
      <c r="D642" s="14" t="str">
        <f>VLOOKUP($A642,PLAN!$B:$AC,5,0)</f>
        <v>MS3552H21-ANG100M</v>
      </c>
      <c r="E642" s="14" t="str">
        <f>VLOOKUP($A642,PLAN!$B:$AC,2,0)</f>
        <v>1001950544</v>
      </c>
      <c r="F642" s="15">
        <f>VLOOKUP($A642,PLAN!$B:$AC,7,0)</f>
        <v>46270</v>
      </c>
      <c r="G642" s="16" t="str">
        <f>VLOOKUP($A642,PLAN!$B:$AC,8,0)</f>
        <v>0103618371</v>
      </c>
      <c r="H642" s="16" t="str">
        <f>VLOOKUP($A642,PLAN!$B:$AC,9,0)</f>
        <v>260818H01A</v>
      </c>
      <c r="I642" s="16">
        <f>VLOOKUP($A642,PLAN!$B:$AC,10,0)</f>
        <v>101</v>
      </c>
      <c r="J642" s="17">
        <f>VLOOKUP($A642,PLAN!$B:$AC,21,0)</f>
        <v>46260</v>
      </c>
      <c r="K642" s="145" t="str">
        <f>VLOOKUP($A642,PLAN!$B:$AC,22,0)</f>
        <v>M9</v>
      </c>
      <c r="L642" s="1"/>
      <c r="M642" s="1"/>
      <c r="N642" s="1"/>
      <c r="O642" s="221" t="s">
        <v>79</v>
      </c>
      <c r="P642" s="220"/>
      <c r="Q642" s="18">
        <f>VLOOKUP(A642,PLAN!B:R,17,0)</f>
        <v>46259</v>
      </c>
    </row>
    <row r="643" spans="1:17" ht="17.25" customHeight="1">
      <c r="A643" s="329" t="s">
        <v>6028</v>
      </c>
      <c r="B643" s="14">
        <f>VLOOKUP($A643,PLAN!$B:$AC,3,0)</f>
        <v>11116929</v>
      </c>
      <c r="C643" s="14" t="str">
        <f>VLOOKUP($A643,PLAN!$B:$AC,4,0)</f>
        <v>1521543-K-A</v>
      </c>
      <c r="D643" s="14" t="str">
        <f>VLOOKUP($A643,PLAN!$B:$AC,5,0)</f>
        <v>MS3552H21-ANG70G</v>
      </c>
      <c r="E643" s="14" t="str">
        <f>VLOOKUP($A643,PLAN!$B:$AC,2,0)</f>
        <v>1001950546</v>
      </c>
      <c r="F643" s="15">
        <f>VLOOKUP($A643,PLAN!$B:$AC,7,0)</f>
        <v>46270</v>
      </c>
      <c r="G643" s="16" t="str">
        <f>VLOOKUP($A643,PLAN!$B:$AC,8,0)</f>
        <v>0103618373</v>
      </c>
      <c r="H643" s="16" t="str">
        <f>VLOOKUP($A643,PLAN!$B:$AC,9,0)</f>
        <v>260818H02A</v>
      </c>
      <c r="I643" s="16">
        <f>VLOOKUP($A643,PLAN!$B:$AC,10,0)</f>
        <v>64</v>
      </c>
      <c r="J643" s="17">
        <f>VLOOKUP($A643,PLAN!$B:$AC,21,0)</f>
        <v>46260</v>
      </c>
      <c r="K643" s="145" t="str">
        <f>VLOOKUP($A643,PLAN!$B:$AC,22,0)</f>
        <v>M9</v>
      </c>
      <c r="L643" s="1"/>
      <c r="M643" s="1"/>
      <c r="N643" s="1"/>
      <c r="O643" s="221" t="s">
        <v>79</v>
      </c>
      <c r="P643" s="220"/>
      <c r="Q643" s="18">
        <f>VLOOKUP(A643,PLAN!B:R,17,0)</f>
        <v>46259</v>
      </c>
    </row>
    <row r="644" spans="1:17" ht="17.25" customHeight="1">
      <c r="A644" s="329" t="s">
        <v>6029</v>
      </c>
      <c r="B644" s="14">
        <f>VLOOKUP($A644,PLAN!$B:$AC,3,0)</f>
        <v>11116932</v>
      </c>
      <c r="C644" s="14" t="str">
        <f>VLOOKUP($A644,PLAN!$B:$AC,4,0)</f>
        <v>1521546-M-A</v>
      </c>
      <c r="D644" s="14" t="str">
        <f>VLOOKUP($A644,PLAN!$B:$AC,5,0)</f>
        <v>MS3552H21-PIG100N</v>
      </c>
      <c r="E644" s="14" t="str">
        <f>VLOOKUP($A644,PLAN!$B:$AC,2,0)</f>
        <v>1001950548</v>
      </c>
      <c r="F644" s="15">
        <f>VLOOKUP($A644,PLAN!$B:$AC,7,0)</f>
        <v>46270</v>
      </c>
      <c r="G644" s="16" t="str">
        <f>VLOOKUP($A644,PLAN!$B:$AC,8,0)</f>
        <v>0103618375</v>
      </c>
      <c r="H644" s="16" t="str">
        <f>VLOOKUP($A644,PLAN!$B:$AC,9,0)</f>
        <v>260818H03A</v>
      </c>
      <c r="I644" s="16">
        <f>VLOOKUP($A644,PLAN!$B:$AC,10,0)</f>
        <v>251</v>
      </c>
      <c r="J644" s="17">
        <f>VLOOKUP($A644,PLAN!$B:$AC,21,0)</f>
        <v>46260</v>
      </c>
      <c r="K644" s="145" t="str">
        <f>VLOOKUP($A644,PLAN!$B:$AC,22,0)</f>
        <v>M9</v>
      </c>
      <c r="L644" s="1"/>
      <c r="M644" s="1"/>
      <c r="N644" s="1"/>
      <c r="O644" s="221" t="s">
        <v>79</v>
      </c>
      <c r="P644" s="220"/>
      <c r="Q644" s="18">
        <f>VLOOKUP(A644,PLAN!B:R,17,0)</f>
        <v>46259</v>
      </c>
    </row>
    <row r="645" spans="1:17" ht="17.25" customHeight="1">
      <c r="A645" s="329" t="s">
        <v>6030</v>
      </c>
      <c r="B645" s="14">
        <f>VLOOKUP($A645,PLAN!$B:$AC,3,0)</f>
        <v>11116930</v>
      </c>
      <c r="C645" s="14" t="str">
        <f>VLOOKUP($A645,PLAN!$B:$AC,4,0)</f>
        <v>1521544-M-A</v>
      </c>
      <c r="D645" s="14" t="str">
        <f>VLOOKUP($A645,PLAN!$B:$AC,5,0)</f>
        <v>MS3552H26-PIG110J</v>
      </c>
      <c r="E645" s="14" t="str">
        <f>VLOOKUP($A645,PLAN!$B:$AC,2,0)</f>
        <v>1001950551</v>
      </c>
      <c r="F645" s="15">
        <f>VLOOKUP($A645,PLAN!$B:$AC,7,0)</f>
        <v>46270</v>
      </c>
      <c r="G645" s="16" t="str">
        <f>VLOOKUP($A645,PLAN!$B:$AC,8,0)</f>
        <v>0103618378</v>
      </c>
      <c r="H645" s="16" t="str">
        <f>VLOOKUP($A645,PLAN!$B:$AC,9,0)</f>
        <v>260818H04A</v>
      </c>
      <c r="I645" s="16">
        <f>VLOOKUP($A645,PLAN!$B:$AC,10,0)</f>
        <v>231</v>
      </c>
      <c r="J645" s="17">
        <f>VLOOKUP($A645,PLAN!$B:$AC,21,0)</f>
        <v>46260</v>
      </c>
      <c r="K645" s="145" t="str">
        <f>VLOOKUP($A645,PLAN!$B:$AC,22,0)</f>
        <v>M9</v>
      </c>
      <c r="L645" s="1"/>
      <c r="M645" s="1"/>
      <c r="N645" s="1"/>
      <c r="O645" s="221" t="s">
        <v>79</v>
      </c>
      <c r="P645" s="220"/>
      <c r="Q645" s="18">
        <f>VLOOKUP(A645,PLAN!B:R,17,0)</f>
        <v>46259</v>
      </c>
    </row>
    <row r="646" spans="1:17" ht="17.25" hidden="1" customHeight="1">
      <c r="A646" s="329"/>
      <c r="B646" s="14" t="e">
        <f>VLOOKUP($A646,PLAN!$B:$AC,3,0)</f>
        <v>#N/A</v>
      </c>
      <c r="C646" s="14" t="e">
        <f>VLOOKUP($A646,PLAN!$B:$AC,4,0)</f>
        <v>#N/A</v>
      </c>
      <c r="D646" s="14" t="e">
        <f>VLOOKUP($A646,PLAN!$B:$AC,5,0)</f>
        <v>#N/A</v>
      </c>
      <c r="E646" s="14" t="e">
        <f>VLOOKUP($A646,PLAN!$B:$AC,2,0)</f>
        <v>#N/A</v>
      </c>
      <c r="F646" s="15" t="e">
        <f>VLOOKUP($A646,PLAN!$B:$AC,7,0)</f>
        <v>#N/A</v>
      </c>
      <c r="G646" s="16" t="e">
        <f>VLOOKUP($A646,PLAN!$B:$AC,8,0)</f>
        <v>#N/A</v>
      </c>
      <c r="H646" s="16" t="e">
        <f>VLOOKUP($A646,PLAN!$B:$AC,9,0)</f>
        <v>#N/A</v>
      </c>
      <c r="I646" s="16" t="e">
        <f>VLOOKUP($A646,PLAN!$B:$AC,10,0)</f>
        <v>#N/A</v>
      </c>
      <c r="J646" s="17" t="e">
        <f>VLOOKUP($A646,PLAN!$B:$AC,21,0)</f>
        <v>#N/A</v>
      </c>
      <c r="K646" s="145" t="e">
        <f>VLOOKUP($A646,PLAN!$B:$AC,22,0)</f>
        <v>#N/A</v>
      </c>
      <c r="L646" s="1"/>
      <c r="M646" s="1"/>
      <c r="N646" s="1"/>
      <c r="O646" s="221" t="s">
        <v>79</v>
      </c>
      <c r="P646" s="220"/>
      <c r="Q646" s="18" t="e">
        <f>VLOOKUP(A646,PLAN!B:R,17,0)</f>
        <v>#N/A</v>
      </c>
    </row>
    <row r="647" spans="1:17" ht="17.25" hidden="1" customHeight="1">
      <c r="A647" s="329"/>
      <c r="B647" s="14" t="e">
        <f>VLOOKUP($A647,PLAN!$B:$AC,3,0)</f>
        <v>#N/A</v>
      </c>
      <c r="C647" s="14" t="e">
        <f>VLOOKUP($A647,PLAN!$B:$AC,4,0)</f>
        <v>#N/A</v>
      </c>
      <c r="D647" s="14" t="e">
        <f>VLOOKUP($A647,PLAN!$B:$AC,5,0)</f>
        <v>#N/A</v>
      </c>
      <c r="E647" s="14" t="e">
        <f>VLOOKUP($A647,PLAN!$B:$AC,2,0)</f>
        <v>#N/A</v>
      </c>
      <c r="F647" s="15" t="e">
        <f>VLOOKUP($A647,PLAN!$B:$AC,7,0)</f>
        <v>#N/A</v>
      </c>
      <c r="G647" s="16" t="e">
        <f>VLOOKUP($A647,PLAN!$B:$AC,8,0)</f>
        <v>#N/A</v>
      </c>
      <c r="H647" s="16" t="e">
        <f>VLOOKUP($A647,PLAN!$B:$AC,9,0)</f>
        <v>#N/A</v>
      </c>
      <c r="I647" s="16" t="e">
        <f>VLOOKUP($A647,PLAN!$B:$AC,10,0)</f>
        <v>#N/A</v>
      </c>
      <c r="J647" s="17" t="e">
        <f>VLOOKUP($A647,PLAN!$B:$AC,21,0)</f>
        <v>#N/A</v>
      </c>
      <c r="K647" s="145" t="e">
        <f>VLOOKUP($A647,PLAN!$B:$AC,22,0)</f>
        <v>#N/A</v>
      </c>
      <c r="L647" s="1"/>
      <c r="M647" s="1"/>
      <c r="N647" s="1"/>
      <c r="O647" s="221" t="s">
        <v>79</v>
      </c>
      <c r="P647" s="220"/>
      <c r="Q647" s="18" t="e">
        <f>VLOOKUP(A647,PLAN!B:R,17,0)</f>
        <v>#N/A</v>
      </c>
    </row>
    <row r="648" spans="1:17" ht="17.25" hidden="1" customHeight="1">
      <c r="A648" s="329"/>
      <c r="B648" s="14" t="e">
        <f>VLOOKUP($A648,PLAN!$B:$AC,3,0)</f>
        <v>#N/A</v>
      </c>
      <c r="C648" s="14" t="e">
        <f>VLOOKUP($A648,PLAN!$B:$AC,4,0)</f>
        <v>#N/A</v>
      </c>
      <c r="D648" s="14" t="e">
        <f>VLOOKUP($A648,PLAN!$B:$AC,5,0)</f>
        <v>#N/A</v>
      </c>
      <c r="E648" s="14" t="e">
        <f>VLOOKUP($A648,PLAN!$B:$AC,2,0)</f>
        <v>#N/A</v>
      </c>
      <c r="F648" s="15" t="e">
        <f>VLOOKUP($A648,PLAN!$B:$AC,7,0)</f>
        <v>#N/A</v>
      </c>
      <c r="G648" s="16" t="e">
        <f>VLOOKUP($A648,PLAN!$B:$AC,8,0)</f>
        <v>#N/A</v>
      </c>
      <c r="H648" s="16" t="e">
        <f>VLOOKUP($A648,PLAN!$B:$AC,9,0)</f>
        <v>#N/A</v>
      </c>
      <c r="I648" s="16" t="e">
        <f>VLOOKUP($A648,PLAN!$B:$AC,10,0)</f>
        <v>#N/A</v>
      </c>
      <c r="J648" s="17" t="e">
        <f>VLOOKUP($A648,PLAN!$B:$AC,21,0)</f>
        <v>#N/A</v>
      </c>
      <c r="K648" s="145" t="e">
        <f>VLOOKUP($A648,PLAN!$B:$AC,22,0)</f>
        <v>#N/A</v>
      </c>
      <c r="L648" s="1"/>
      <c r="M648" s="1"/>
      <c r="N648" s="1"/>
      <c r="O648" s="221" t="s">
        <v>79</v>
      </c>
      <c r="P648" s="220"/>
      <c r="Q648" s="18" t="e">
        <f>VLOOKUP(A648,PLAN!B:R,17,0)</f>
        <v>#N/A</v>
      </c>
    </row>
    <row r="649" spans="1:17" ht="17.25" hidden="1" customHeight="1">
      <c r="A649" s="329"/>
      <c r="B649" s="14" t="e">
        <f>VLOOKUP($A649,PLAN!$B:$AC,3,0)</f>
        <v>#N/A</v>
      </c>
      <c r="C649" s="14" t="e">
        <f>VLOOKUP($A649,PLAN!$B:$AC,4,0)</f>
        <v>#N/A</v>
      </c>
      <c r="D649" s="14" t="e">
        <f>VLOOKUP($A649,PLAN!$B:$AC,5,0)</f>
        <v>#N/A</v>
      </c>
      <c r="E649" s="14" t="e">
        <f>VLOOKUP($A649,PLAN!$B:$AC,2,0)</f>
        <v>#N/A</v>
      </c>
      <c r="F649" s="15" t="e">
        <f>VLOOKUP($A649,PLAN!$B:$AC,7,0)</f>
        <v>#N/A</v>
      </c>
      <c r="G649" s="16" t="e">
        <f>VLOOKUP($A649,PLAN!$B:$AC,8,0)</f>
        <v>#N/A</v>
      </c>
      <c r="H649" s="16" t="e">
        <f>VLOOKUP($A649,PLAN!$B:$AC,9,0)</f>
        <v>#N/A</v>
      </c>
      <c r="I649" s="16" t="e">
        <f>VLOOKUP($A649,PLAN!$B:$AC,10,0)</f>
        <v>#N/A</v>
      </c>
      <c r="J649" s="17" t="e">
        <f>VLOOKUP($A649,PLAN!$B:$AC,21,0)</f>
        <v>#N/A</v>
      </c>
      <c r="K649" s="145" t="e">
        <f>VLOOKUP($A649,PLAN!$B:$AC,22,0)</f>
        <v>#N/A</v>
      </c>
      <c r="L649" s="1"/>
      <c r="M649" s="1"/>
      <c r="N649" s="1"/>
      <c r="O649" s="221" t="s">
        <v>79</v>
      </c>
      <c r="P649" s="220"/>
      <c r="Q649" s="18" t="e">
        <f>VLOOKUP(A649,PLAN!B:R,17,0)</f>
        <v>#N/A</v>
      </c>
    </row>
    <row r="650" spans="1:17" ht="17.25" hidden="1" customHeight="1">
      <c r="A650" s="329"/>
      <c r="B650" s="14" t="e">
        <f>VLOOKUP($A650,PLAN!$B:$AC,3,0)</f>
        <v>#N/A</v>
      </c>
      <c r="C650" s="14" t="e">
        <f>VLOOKUP($A650,PLAN!$B:$AC,4,0)</f>
        <v>#N/A</v>
      </c>
      <c r="D650" s="14" t="e">
        <f>VLOOKUP($A650,PLAN!$B:$AC,5,0)</f>
        <v>#N/A</v>
      </c>
      <c r="E650" s="14" t="e">
        <f>VLOOKUP($A650,PLAN!$B:$AC,2,0)</f>
        <v>#N/A</v>
      </c>
      <c r="F650" s="15" t="e">
        <f>VLOOKUP($A650,PLAN!$B:$AC,7,0)</f>
        <v>#N/A</v>
      </c>
      <c r="G650" s="16" t="e">
        <f>VLOOKUP($A650,PLAN!$B:$AC,8,0)</f>
        <v>#N/A</v>
      </c>
      <c r="H650" s="16" t="e">
        <f>VLOOKUP($A650,PLAN!$B:$AC,9,0)</f>
        <v>#N/A</v>
      </c>
      <c r="I650" s="16" t="e">
        <f>VLOOKUP($A650,PLAN!$B:$AC,10,0)</f>
        <v>#N/A</v>
      </c>
      <c r="J650" s="17" t="e">
        <f>VLOOKUP($A650,PLAN!$B:$AC,21,0)</f>
        <v>#N/A</v>
      </c>
      <c r="K650" s="145" t="e">
        <f>VLOOKUP($A650,PLAN!$B:$AC,22,0)</f>
        <v>#N/A</v>
      </c>
      <c r="L650" s="1"/>
      <c r="M650" s="1"/>
      <c r="N650" s="1"/>
      <c r="O650" s="221" t="s">
        <v>79</v>
      </c>
      <c r="P650" s="220"/>
      <c r="Q650" s="18" t="e">
        <f>VLOOKUP(A650,PLAN!B:R,17,0)</f>
        <v>#N/A</v>
      </c>
    </row>
    <row r="651" spans="1:17" ht="17.25" hidden="1" customHeight="1">
      <c r="A651" s="329"/>
      <c r="B651" s="14" t="e">
        <f>VLOOKUP($A651,PLAN!$B:$AC,3,0)</f>
        <v>#N/A</v>
      </c>
      <c r="C651" s="14" t="e">
        <f>VLOOKUP($A651,PLAN!$B:$AC,4,0)</f>
        <v>#N/A</v>
      </c>
      <c r="D651" s="14" t="e">
        <f>VLOOKUP($A651,PLAN!$B:$AC,5,0)</f>
        <v>#N/A</v>
      </c>
      <c r="E651" s="14" t="e">
        <f>VLOOKUP($A651,PLAN!$B:$AC,2,0)</f>
        <v>#N/A</v>
      </c>
      <c r="F651" s="15" t="e">
        <f>VLOOKUP($A651,PLAN!$B:$AC,7,0)</f>
        <v>#N/A</v>
      </c>
      <c r="G651" s="16" t="e">
        <f>VLOOKUP($A651,PLAN!$B:$AC,8,0)</f>
        <v>#N/A</v>
      </c>
      <c r="H651" s="16" t="e">
        <f>VLOOKUP($A651,PLAN!$B:$AC,9,0)</f>
        <v>#N/A</v>
      </c>
      <c r="I651" s="16" t="e">
        <f>VLOOKUP($A651,PLAN!$B:$AC,10,0)</f>
        <v>#N/A</v>
      </c>
      <c r="J651" s="17" t="e">
        <f>VLOOKUP($A651,PLAN!$B:$AC,21,0)</f>
        <v>#N/A</v>
      </c>
      <c r="K651" s="145" t="e">
        <f>VLOOKUP($A651,PLAN!$B:$AC,22,0)</f>
        <v>#N/A</v>
      </c>
      <c r="L651" s="1"/>
      <c r="M651" s="1"/>
      <c r="N651" s="1"/>
      <c r="O651" s="221" t="s">
        <v>79</v>
      </c>
      <c r="P651" s="220"/>
      <c r="Q651" s="18" t="e">
        <f>VLOOKUP(A651,PLAN!B:R,17,0)</f>
        <v>#N/A</v>
      </c>
    </row>
    <row r="652" spans="1:17" ht="17.25" hidden="1" customHeight="1">
      <c r="A652" s="329"/>
      <c r="B652" s="14" t="e">
        <f>VLOOKUP($A652,PLAN!$B:$AC,3,0)</f>
        <v>#N/A</v>
      </c>
      <c r="C652" s="14" t="e">
        <f>VLOOKUP($A652,PLAN!$B:$AC,4,0)</f>
        <v>#N/A</v>
      </c>
      <c r="D652" s="14" t="e">
        <f>VLOOKUP($A652,PLAN!$B:$AC,5,0)</f>
        <v>#N/A</v>
      </c>
      <c r="E652" s="14" t="e">
        <f>VLOOKUP($A652,PLAN!$B:$AC,2,0)</f>
        <v>#N/A</v>
      </c>
      <c r="F652" s="15" t="e">
        <f>VLOOKUP($A652,PLAN!$B:$AC,7,0)</f>
        <v>#N/A</v>
      </c>
      <c r="G652" s="16" t="e">
        <f>VLOOKUP($A652,PLAN!$B:$AC,8,0)</f>
        <v>#N/A</v>
      </c>
      <c r="H652" s="16" t="e">
        <f>VLOOKUP($A652,PLAN!$B:$AC,9,0)</f>
        <v>#N/A</v>
      </c>
      <c r="I652" s="16" t="e">
        <f>VLOOKUP($A652,PLAN!$B:$AC,10,0)</f>
        <v>#N/A</v>
      </c>
      <c r="J652" s="17" t="e">
        <f>VLOOKUP($A652,PLAN!$B:$AC,21,0)</f>
        <v>#N/A</v>
      </c>
      <c r="K652" s="145" t="e">
        <f>VLOOKUP($A652,PLAN!$B:$AC,22,0)</f>
        <v>#N/A</v>
      </c>
      <c r="L652" s="1"/>
      <c r="M652" s="1"/>
      <c r="N652" s="1"/>
      <c r="O652" s="221" t="s">
        <v>79</v>
      </c>
      <c r="P652" s="220"/>
      <c r="Q652" s="18" t="e">
        <f>VLOOKUP(A652,PLAN!B:R,17,0)</f>
        <v>#N/A</v>
      </c>
    </row>
    <row r="653" spans="1:17" ht="17.25" hidden="1" customHeight="1">
      <c r="A653" s="329"/>
      <c r="B653" s="14" t="e">
        <f>VLOOKUP($A653,PLAN!$B:$AC,3,0)</f>
        <v>#N/A</v>
      </c>
      <c r="C653" s="14" t="e">
        <f>VLOOKUP($A653,PLAN!$B:$AC,4,0)</f>
        <v>#N/A</v>
      </c>
      <c r="D653" s="14" t="e">
        <f>VLOOKUP($A653,PLAN!$B:$AC,5,0)</f>
        <v>#N/A</v>
      </c>
      <c r="E653" s="14" t="e">
        <f>VLOOKUP($A653,PLAN!$B:$AC,2,0)</f>
        <v>#N/A</v>
      </c>
      <c r="F653" s="15" t="e">
        <f>VLOOKUP($A653,PLAN!$B:$AC,7,0)</f>
        <v>#N/A</v>
      </c>
      <c r="G653" s="16" t="e">
        <f>VLOOKUP($A653,PLAN!$B:$AC,8,0)</f>
        <v>#N/A</v>
      </c>
      <c r="H653" s="16" t="e">
        <f>VLOOKUP($A653,PLAN!$B:$AC,9,0)</f>
        <v>#N/A</v>
      </c>
      <c r="I653" s="16" t="e">
        <f>VLOOKUP($A653,PLAN!$B:$AC,10,0)</f>
        <v>#N/A</v>
      </c>
      <c r="J653" s="17" t="e">
        <f>VLOOKUP($A653,PLAN!$B:$AC,21,0)</f>
        <v>#N/A</v>
      </c>
      <c r="K653" s="145" t="e">
        <f>VLOOKUP($A653,PLAN!$B:$AC,22,0)</f>
        <v>#N/A</v>
      </c>
      <c r="L653" s="1"/>
      <c r="M653" s="1"/>
      <c r="N653" s="1"/>
      <c r="O653" s="221" t="s">
        <v>79</v>
      </c>
      <c r="P653" s="220"/>
      <c r="Q653" s="18" t="e">
        <f>VLOOKUP(A653,PLAN!B:R,17,0)</f>
        <v>#N/A</v>
      </c>
    </row>
    <row r="654" spans="1:17" ht="17.25" hidden="1" customHeight="1">
      <c r="A654" s="329"/>
      <c r="B654" s="14" t="e">
        <f>VLOOKUP($A654,PLAN!$B:$AC,3,0)</f>
        <v>#N/A</v>
      </c>
      <c r="C654" s="14" t="e">
        <f>VLOOKUP($A654,PLAN!$B:$AC,4,0)</f>
        <v>#N/A</v>
      </c>
      <c r="D654" s="14" t="e">
        <f>VLOOKUP($A654,PLAN!$B:$AC,5,0)</f>
        <v>#N/A</v>
      </c>
      <c r="E654" s="14" t="e">
        <f>VLOOKUP($A654,PLAN!$B:$AC,2,0)</f>
        <v>#N/A</v>
      </c>
      <c r="F654" s="15" t="e">
        <f>VLOOKUP($A654,PLAN!$B:$AC,7,0)</f>
        <v>#N/A</v>
      </c>
      <c r="G654" s="16" t="e">
        <f>VLOOKUP($A654,PLAN!$B:$AC,8,0)</f>
        <v>#N/A</v>
      </c>
      <c r="H654" s="16" t="e">
        <f>VLOOKUP($A654,PLAN!$B:$AC,9,0)</f>
        <v>#N/A</v>
      </c>
      <c r="I654" s="16" t="e">
        <f>VLOOKUP($A654,PLAN!$B:$AC,10,0)</f>
        <v>#N/A</v>
      </c>
      <c r="J654" s="17" t="e">
        <f>VLOOKUP($A654,PLAN!$B:$AC,21,0)</f>
        <v>#N/A</v>
      </c>
      <c r="K654" s="145" t="e">
        <f>VLOOKUP($A654,PLAN!$B:$AC,22,0)</f>
        <v>#N/A</v>
      </c>
      <c r="L654" s="1"/>
      <c r="M654" s="1"/>
      <c r="N654" s="1"/>
      <c r="O654" s="221" t="s">
        <v>79</v>
      </c>
      <c r="P654" s="220"/>
      <c r="Q654" s="18" t="e">
        <f>VLOOKUP(A654,PLAN!B:R,17,0)</f>
        <v>#N/A</v>
      </c>
    </row>
    <row r="655" spans="1:17" ht="17.25" hidden="1" customHeight="1">
      <c r="A655" s="329"/>
      <c r="B655" s="14" t="e">
        <f>VLOOKUP($A655,PLAN!$B:$AC,3,0)</f>
        <v>#N/A</v>
      </c>
      <c r="C655" s="14" t="e">
        <f>VLOOKUP($A655,PLAN!$B:$AC,4,0)</f>
        <v>#N/A</v>
      </c>
      <c r="D655" s="14" t="e">
        <f>VLOOKUP($A655,PLAN!$B:$AC,5,0)</f>
        <v>#N/A</v>
      </c>
      <c r="E655" s="14" t="e">
        <f>VLOOKUP($A655,PLAN!$B:$AC,2,0)</f>
        <v>#N/A</v>
      </c>
      <c r="F655" s="15" t="e">
        <f>VLOOKUP($A655,PLAN!$B:$AC,7,0)</f>
        <v>#N/A</v>
      </c>
      <c r="G655" s="16" t="e">
        <f>VLOOKUP($A655,PLAN!$B:$AC,8,0)</f>
        <v>#N/A</v>
      </c>
      <c r="H655" s="16" t="e">
        <f>VLOOKUP($A655,PLAN!$B:$AC,9,0)</f>
        <v>#N/A</v>
      </c>
      <c r="I655" s="16" t="e">
        <f>VLOOKUP($A655,PLAN!$B:$AC,10,0)</f>
        <v>#N/A</v>
      </c>
      <c r="J655" s="17" t="e">
        <f>VLOOKUP($A655,PLAN!$B:$AC,21,0)</f>
        <v>#N/A</v>
      </c>
      <c r="K655" s="145" t="e">
        <f>VLOOKUP($A655,PLAN!$B:$AC,22,0)</f>
        <v>#N/A</v>
      </c>
      <c r="L655" s="1"/>
      <c r="M655" s="1"/>
      <c r="N655" s="1"/>
      <c r="O655" s="221" t="s">
        <v>79</v>
      </c>
      <c r="P655" s="220"/>
      <c r="Q655" s="18" t="e">
        <f>VLOOKUP(A655,PLAN!B:R,17,0)</f>
        <v>#N/A</v>
      </c>
    </row>
    <row r="656" spans="1:17" ht="17.25" hidden="1" customHeight="1">
      <c r="A656" s="329"/>
      <c r="B656" s="14" t="e">
        <f>VLOOKUP($A656,PLAN!$B:$AC,3,0)</f>
        <v>#N/A</v>
      </c>
      <c r="C656" s="14" t="e">
        <f>VLOOKUP($A656,PLAN!$B:$AC,4,0)</f>
        <v>#N/A</v>
      </c>
      <c r="D656" s="14" t="e">
        <f>VLOOKUP($A656,PLAN!$B:$AC,5,0)</f>
        <v>#N/A</v>
      </c>
      <c r="E656" s="14" t="e">
        <f>VLOOKUP($A656,PLAN!$B:$AC,2,0)</f>
        <v>#N/A</v>
      </c>
      <c r="F656" s="15" t="e">
        <f>VLOOKUP($A656,PLAN!$B:$AC,7,0)</f>
        <v>#N/A</v>
      </c>
      <c r="G656" s="16" t="e">
        <f>VLOOKUP($A656,PLAN!$B:$AC,8,0)</f>
        <v>#N/A</v>
      </c>
      <c r="H656" s="16" t="e">
        <f>VLOOKUP($A656,PLAN!$B:$AC,9,0)</f>
        <v>#N/A</v>
      </c>
      <c r="I656" s="16" t="e">
        <f>VLOOKUP($A656,PLAN!$B:$AC,10,0)</f>
        <v>#N/A</v>
      </c>
      <c r="J656" s="17" t="e">
        <f>VLOOKUP($A656,PLAN!$B:$AC,21,0)</f>
        <v>#N/A</v>
      </c>
      <c r="K656" s="145" t="e">
        <f>VLOOKUP($A656,PLAN!$B:$AC,22,0)</f>
        <v>#N/A</v>
      </c>
      <c r="L656" s="1"/>
      <c r="M656" s="1"/>
      <c r="N656" s="1"/>
      <c r="O656" s="221" t="s">
        <v>79</v>
      </c>
      <c r="P656" s="220"/>
      <c r="Q656" s="18" t="e">
        <f>VLOOKUP(A656,PLAN!B:R,17,0)</f>
        <v>#N/A</v>
      </c>
    </row>
    <row r="657" spans="1:17" ht="17.25" hidden="1" customHeight="1">
      <c r="A657" s="329"/>
      <c r="B657" s="14" t="e">
        <f>VLOOKUP($A657,PLAN!$B:$AC,3,0)</f>
        <v>#N/A</v>
      </c>
      <c r="C657" s="14" t="e">
        <f>VLOOKUP($A657,PLAN!$B:$AC,4,0)</f>
        <v>#N/A</v>
      </c>
      <c r="D657" s="14" t="e">
        <f>VLOOKUP($A657,PLAN!$B:$AC,5,0)</f>
        <v>#N/A</v>
      </c>
      <c r="E657" s="14" t="e">
        <f>VLOOKUP($A657,PLAN!$B:$AC,2,0)</f>
        <v>#N/A</v>
      </c>
      <c r="F657" s="15" t="e">
        <f>VLOOKUP($A657,PLAN!$B:$AC,7,0)</f>
        <v>#N/A</v>
      </c>
      <c r="G657" s="16" t="e">
        <f>VLOOKUP($A657,PLAN!$B:$AC,8,0)</f>
        <v>#N/A</v>
      </c>
      <c r="H657" s="16" t="e">
        <f>VLOOKUP($A657,PLAN!$B:$AC,9,0)</f>
        <v>#N/A</v>
      </c>
      <c r="I657" s="16" t="e">
        <f>VLOOKUP($A657,PLAN!$B:$AC,10,0)</f>
        <v>#N/A</v>
      </c>
      <c r="J657" s="17" t="e">
        <f>VLOOKUP($A657,PLAN!$B:$AC,21,0)</f>
        <v>#N/A</v>
      </c>
      <c r="K657" s="145" t="e">
        <f>VLOOKUP($A657,PLAN!$B:$AC,22,0)</f>
        <v>#N/A</v>
      </c>
      <c r="L657" s="1"/>
      <c r="M657" s="1"/>
      <c r="N657" s="1"/>
      <c r="O657" s="221" t="s">
        <v>79</v>
      </c>
      <c r="P657" s="220"/>
      <c r="Q657" s="18" t="e">
        <f>VLOOKUP(A657,PLAN!B:R,17,0)</f>
        <v>#N/A</v>
      </c>
    </row>
    <row r="658" spans="1:17" ht="14.4" customHeight="1">
      <c r="A658" s="329"/>
      <c r="B658" s="296"/>
      <c r="C658" s="296"/>
      <c r="D658" s="313"/>
      <c r="E658" s="296"/>
      <c r="F658" s="295"/>
      <c r="G658" s="295"/>
      <c r="H658" s="294"/>
      <c r="I658" s="294"/>
      <c r="J658" s="293"/>
      <c r="K658" s="292"/>
      <c r="L658" s="291"/>
      <c r="M658" s="291"/>
      <c r="N658" s="291"/>
      <c r="O658" s="322"/>
      <c r="P658" s="320"/>
      <c r="Q658" s="309" t="s">
        <v>34</v>
      </c>
    </row>
    <row r="659" spans="1:17" ht="14.4" customHeight="1">
      <c r="A659" s="329"/>
      <c r="B659" s="296"/>
      <c r="C659" s="296"/>
      <c r="D659" s="313"/>
      <c r="E659" s="296"/>
      <c r="F659" s="295"/>
      <c r="G659" s="295"/>
      <c r="H659" s="294"/>
      <c r="I659" s="294"/>
      <c r="J659" s="293"/>
      <c r="K659" s="292"/>
      <c r="L659" s="291"/>
      <c r="M659" s="291"/>
      <c r="N659" s="291"/>
      <c r="O659" s="322"/>
      <c r="P659" s="320"/>
      <c r="Q659" s="309" t="s">
        <v>34</v>
      </c>
    </row>
    <row r="660" spans="1:17" ht="14.4" customHeight="1">
      <c r="A660" s="330"/>
      <c r="B660" s="289"/>
      <c r="C660" s="289"/>
      <c r="D660" s="290"/>
      <c r="E660" s="289"/>
      <c r="F660" s="289"/>
      <c r="G660" s="289"/>
      <c r="H660" s="289"/>
      <c r="I660" s="289"/>
      <c r="J660" s="288"/>
      <c r="K660" s="287"/>
      <c r="L660" s="287"/>
      <c r="M660" s="287"/>
      <c r="N660" s="287"/>
      <c r="O660" s="323"/>
      <c r="P660" s="321"/>
      <c r="Q660" s="309" t="s">
        <v>34</v>
      </c>
    </row>
    <row r="661" spans="1:17" ht="15.6" customHeight="1">
      <c r="A661" s="331"/>
      <c r="B661" s="284"/>
      <c r="C661" s="284"/>
      <c r="D661" s="314"/>
      <c r="E661" s="284"/>
      <c r="F661" s="284"/>
      <c r="G661" s="284"/>
      <c r="H661" s="284"/>
      <c r="I661" s="324">
        <f>SUBTOTAL(9,I7:I660)</f>
        <v>995</v>
      </c>
      <c r="J661" s="285"/>
      <c r="K661" s="285"/>
      <c r="L661" s="284"/>
      <c r="M661" s="284"/>
      <c r="N661" s="284"/>
      <c r="O661" s="284"/>
      <c r="P661" s="284"/>
      <c r="Q661" s="309" t="s">
        <v>34</v>
      </c>
    </row>
    <row r="662" spans="1:17" s="58" customFormat="1" ht="13.8">
      <c r="A662" s="332"/>
      <c r="B662" s="286"/>
      <c r="C662" s="286"/>
      <c r="D662" s="315"/>
      <c r="E662" s="286"/>
      <c r="F662" s="286"/>
      <c r="G662" s="286"/>
      <c r="H662" s="286"/>
      <c r="I662" s="286"/>
      <c r="J662" s="88"/>
      <c r="K662" s="88"/>
      <c r="L662" s="286"/>
      <c r="M662" s="286"/>
      <c r="N662" s="286"/>
      <c r="O662" s="286"/>
      <c r="P662" s="286"/>
      <c r="Q662" s="310" t="s">
        <v>34</v>
      </c>
    </row>
    <row r="663" spans="1:17" s="58" customFormat="1" ht="13.8">
      <c r="A663" s="332"/>
      <c r="B663" s="286"/>
      <c r="C663" s="286"/>
      <c r="D663" s="315"/>
      <c r="E663" s="286"/>
      <c r="F663" s="286"/>
      <c r="G663" s="286"/>
      <c r="H663" s="286"/>
      <c r="I663" s="286"/>
      <c r="J663" s="88"/>
      <c r="K663" s="88"/>
      <c r="L663" s="286"/>
      <c r="M663" s="286"/>
      <c r="N663" s="286"/>
      <c r="O663" s="286"/>
      <c r="P663" s="286"/>
      <c r="Q663" s="310" t="s">
        <v>34</v>
      </c>
    </row>
    <row r="664" spans="1:17" s="58" customFormat="1">
      <c r="A664" s="407" t="s">
        <v>208</v>
      </c>
      <c r="B664" s="408"/>
      <c r="C664" s="286"/>
      <c r="D664" s="315"/>
      <c r="E664" s="286"/>
      <c r="F664" s="286"/>
      <c r="G664" s="286"/>
      <c r="H664" s="286"/>
      <c r="I664" s="286"/>
      <c r="J664" s="88"/>
      <c r="K664" s="88"/>
      <c r="L664" s="286"/>
      <c r="M664" s="286"/>
      <c r="N664" s="286"/>
      <c r="O664" s="286"/>
      <c r="P664" s="286"/>
      <c r="Q664" s="310" t="s">
        <v>34</v>
      </c>
    </row>
    <row r="665" spans="1:17">
      <c r="A665" s="336" t="s">
        <v>207</v>
      </c>
      <c r="B665" s="286"/>
      <c r="C665" s="286" t="s">
        <v>206</v>
      </c>
      <c r="D665" s="315"/>
      <c r="E665" s="286"/>
      <c r="F665" s="284"/>
      <c r="G665" s="284"/>
      <c r="H665" s="284"/>
      <c r="I665" s="284"/>
      <c r="J665" s="285"/>
      <c r="K665" s="285"/>
      <c r="L665" s="284"/>
      <c r="M665" s="284"/>
      <c r="N665" s="284"/>
      <c r="O665" s="284"/>
      <c r="P665" s="284"/>
      <c r="Q665" s="309" t="s">
        <v>34</v>
      </c>
    </row>
    <row r="666" spans="1:17">
      <c r="A666" s="331"/>
      <c r="B666" s="284"/>
      <c r="C666" s="284"/>
      <c r="D666" s="314"/>
      <c r="E666" s="284"/>
      <c r="F666" s="284"/>
      <c r="G666" s="284"/>
      <c r="H666" s="284"/>
      <c r="I666" s="284"/>
      <c r="J666" s="285"/>
      <c r="K666" s="285"/>
      <c r="L666" s="284"/>
      <c r="M666" s="284"/>
      <c r="N666" s="284"/>
      <c r="O666" s="284"/>
      <c r="P666" s="284"/>
      <c r="Q666" s="309" t="s">
        <v>34</v>
      </c>
    </row>
    <row r="667" spans="1:17">
      <c r="A667" s="331"/>
      <c r="B667" s="284"/>
      <c r="C667" s="284"/>
      <c r="D667" s="314"/>
      <c r="E667" s="284"/>
      <c r="F667" s="284"/>
      <c r="G667" s="284"/>
      <c r="H667" s="284"/>
      <c r="I667" s="284"/>
      <c r="J667" s="285"/>
      <c r="K667" s="285"/>
      <c r="L667" s="284"/>
      <c r="M667" s="284"/>
      <c r="N667" s="284"/>
      <c r="O667" s="284"/>
      <c r="P667" s="284"/>
      <c r="Q667" s="309"/>
    </row>
    <row r="668" spans="1:17">
      <c r="A668" s="331"/>
      <c r="B668" s="284"/>
      <c r="C668" s="284"/>
      <c r="D668" s="314"/>
      <c r="E668" s="284"/>
      <c r="F668" s="284"/>
      <c r="G668" s="284"/>
      <c r="H668" s="284"/>
      <c r="I668" s="284"/>
      <c r="J668" s="285"/>
      <c r="K668" s="285"/>
      <c r="L668" s="284"/>
      <c r="M668" s="284"/>
      <c r="N668" s="284"/>
      <c r="O668" s="284"/>
      <c r="P668" s="284"/>
      <c r="Q668" s="309"/>
    </row>
    <row r="669" spans="1:17">
      <c r="A669" s="337" t="s">
        <v>205</v>
      </c>
      <c r="B669" s="284"/>
      <c r="C669" s="284"/>
      <c r="D669" s="314"/>
      <c r="E669" s="284"/>
      <c r="F669" s="284"/>
      <c r="G669" s="284"/>
      <c r="H669" s="106" t="s">
        <v>204</v>
      </c>
      <c r="I669" s="284"/>
      <c r="J669" s="285"/>
      <c r="K669" s="285"/>
      <c r="L669" s="284"/>
      <c r="M669" s="284"/>
      <c r="N669" s="284"/>
      <c r="O669" s="284"/>
      <c r="P669" s="284"/>
      <c r="Q669" s="309" t="s">
        <v>34</v>
      </c>
    </row>
    <row r="671" spans="1:17" ht="3" customHeight="1">
      <c r="A671" s="333"/>
      <c r="B671" s="283"/>
      <c r="C671" s="283"/>
      <c r="D671" s="317"/>
      <c r="E671" s="283"/>
      <c r="F671" s="283"/>
      <c r="G671" s="283"/>
      <c r="H671" s="283"/>
      <c r="I671" s="281"/>
      <c r="J671" s="282"/>
      <c r="K671" s="281"/>
      <c r="L671" s="281"/>
      <c r="M671" s="281"/>
      <c r="N671" s="281"/>
      <c r="O671" s="281"/>
      <c r="P671" s="281"/>
      <c r="Q671" s="309" t="s">
        <v>203</v>
      </c>
    </row>
    <row r="672" spans="1:17" ht="9.75" customHeight="1">
      <c r="A672" s="334"/>
      <c r="B672" s="58"/>
      <c r="C672" s="58"/>
      <c r="D672" s="318"/>
      <c r="E672" s="58"/>
      <c r="F672" s="58"/>
      <c r="G672" s="58"/>
      <c r="H672" s="58"/>
      <c r="I672" s="58"/>
      <c r="J672" s="106"/>
      <c r="K672" s="106"/>
      <c r="L672" s="58"/>
      <c r="M672" s="58"/>
      <c r="N672" s="58"/>
      <c r="O672" s="58"/>
      <c r="P672" s="281"/>
      <c r="Q672" s="309"/>
    </row>
    <row r="673" ht="15.75" customHeight="1"/>
  </sheetData>
  <autoFilter ref="A6:Q666">
    <filterColumn colId="14" showButton="0"/>
    <filterColumn colId="16">
      <filters>
        <filter val="A"/>
        <dateGroupItem year="2026" month="8" day="25" dateTimeGrouping="day"/>
      </filters>
    </filterColumn>
  </autoFilter>
  <mergeCells count="18">
    <mergeCell ref="A664:B664"/>
    <mergeCell ref="N1:P1"/>
    <mergeCell ref="N2:P2"/>
    <mergeCell ref="C1:M2"/>
    <mergeCell ref="O5:P6"/>
    <mergeCell ref="F5:F6"/>
    <mergeCell ref="G5:G6"/>
    <mergeCell ref="H5:H6"/>
    <mergeCell ref="I5:I6"/>
    <mergeCell ref="J5:K5"/>
    <mergeCell ref="L5:L6"/>
    <mergeCell ref="C5:C6"/>
    <mergeCell ref="D5:D6"/>
    <mergeCell ref="E5:E6"/>
    <mergeCell ref="M5:N5"/>
    <mergeCell ref="A1:B1"/>
    <mergeCell ref="A2:B2"/>
    <mergeCell ref="A4:B4"/>
  </mergeCells>
  <conditionalFormatting sqref="A356:A1048576 A1:A6">
    <cfRule type="duplicateValues" dxfId="12762" priority="35"/>
  </conditionalFormatting>
  <conditionalFormatting sqref="A356:A1048576">
    <cfRule type="duplicateValues" dxfId="12761" priority="32"/>
  </conditionalFormatting>
  <conditionalFormatting sqref="A29:A1048576 A1:A7">
    <cfRule type="duplicateValues" dxfId="12760" priority="3"/>
  </conditionalFormatting>
  <conditionalFormatting sqref="A8:A28">
    <cfRule type="duplicateValues" dxfId="12759" priority="254646"/>
  </conditionalFormatting>
  <conditionalFormatting sqref="A29:A355 A7">
    <cfRule type="duplicateValues" dxfId="12758" priority="254824"/>
  </conditionalFormatting>
  <pageMargins left="0.39" right="0.28000000000000003" top="0.34" bottom="0.23" header="0.16" footer="0.16"/>
  <pageSetup paperSize="9" scale="85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  <pageSetUpPr fitToPage="1"/>
  </sheetPr>
  <dimension ref="A1:AC1049"/>
  <sheetViews>
    <sheetView view="pageBreakPreview" topLeftCell="C1" zoomScale="70" zoomScaleNormal="60" zoomScaleSheetLayoutView="70" zoomScalePageLayoutView="55" workbookViewId="0">
      <pane xSplit="24" ySplit="6" topLeftCell="AA994" activePane="bottomRight" state="frozen"/>
      <selection activeCell="C1" sqref="C1"/>
      <selection pane="topRight" activeCell="AA1" sqref="AA1"/>
      <selection pane="bottomLeft" activeCell="C7" sqref="C7"/>
      <selection pane="bottomRight" activeCell="J1009" sqref="J1009"/>
    </sheetView>
  </sheetViews>
  <sheetFormatPr defaultColWidth="9.21875" defaultRowHeight="14.4"/>
  <cols>
    <col min="1" max="2" width="9.21875" hidden="1" customWidth="1"/>
    <col min="3" max="3" width="8.77734375" style="257" customWidth="1"/>
    <col min="4" max="4" width="10.5546875" customWidth="1"/>
    <col min="5" max="5" width="14.44140625" customWidth="1"/>
    <col min="6" max="6" width="18.21875" customWidth="1"/>
    <col min="7" max="7" width="18.5546875" customWidth="1"/>
    <col min="8" max="8" width="11.77734375" customWidth="1"/>
    <col min="9" max="9" width="12.5546875" customWidth="1"/>
    <col min="10" max="10" width="12" customWidth="1"/>
    <col min="11" max="11" width="7" customWidth="1"/>
    <col min="12" max="12" width="11.21875" customWidth="1"/>
    <col min="13" max="14" width="6.77734375" customWidth="1"/>
    <col min="15" max="15" width="13.5546875" customWidth="1"/>
    <col min="16" max="16" width="10.77734375" customWidth="1"/>
    <col min="17" max="17" width="13.21875" customWidth="1"/>
    <col min="18" max="18" width="15.44140625" customWidth="1"/>
    <col min="19" max="19" width="7.21875" customWidth="1"/>
    <col min="20" max="20" width="5.77734375" customWidth="1"/>
    <col min="21" max="21" width="7.21875" customWidth="1"/>
    <col min="22" max="22" width="4.33203125" customWidth="1"/>
    <col min="23" max="24" width="9.21875" style="240" customWidth="1"/>
    <col min="25" max="25" width="7.6640625" style="23" customWidth="1"/>
    <col min="26" max="26" width="10.33203125" customWidth="1"/>
    <col min="27" max="27" width="10.21875" customWidth="1"/>
    <col min="28" max="28" width="9.44140625" customWidth="1"/>
  </cols>
  <sheetData>
    <row r="1" spans="3:29" ht="21.75" customHeight="1">
      <c r="C1" s="435" t="s">
        <v>6</v>
      </c>
      <c r="D1" s="436"/>
      <c r="E1" s="437" t="s">
        <v>18</v>
      </c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9"/>
      <c r="T1" s="438"/>
      <c r="U1" s="438"/>
      <c r="V1" s="440"/>
      <c r="W1" s="447" t="s">
        <v>82</v>
      </c>
      <c r="X1" s="448"/>
      <c r="Y1" s="449"/>
      <c r="Z1" s="450"/>
      <c r="AA1" s="208"/>
      <c r="AB1" s="163"/>
      <c r="AC1" s="58"/>
    </row>
    <row r="2" spans="3:29" ht="21.75" customHeight="1" thickBot="1">
      <c r="C2" s="451" t="s">
        <v>8</v>
      </c>
      <c r="D2" s="452"/>
      <c r="E2" s="441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3"/>
      <c r="T2" s="442"/>
      <c r="U2" s="442"/>
      <c r="V2" s="444"/>
      <c r="W2" s="453" t="s">
        <v>5359</v>
      </c>
      <c r="X2" s="454"/>
      <c r="Y2" s="455"/>
      <c r="Z2" s="456"/>
      <c r="AA2" s="208"/>
      <c r="AB2" s="163"/>
      <c r="AC2" s="58"/>
    </row>
    <row r="3" spans="3:29" ht="3.75" customHeight="1" thickBot="1">
      <c r="C3" s="250"/>
      <c r="D3" s="59"/>
      <c r="E3" s="59"/>
      <c r="F3" s="59"/>
      <c r="G3" s="59"/>
      <c r="H3" s="111"/>
      <c r="I3" s="59"/>
      <c r="J3" s="59"/>
      <c r="K3" s="59"/>
      <c r="L3" s="60"/>
      <c r="M3" s="59"/>
      <c r="N3" s="59"/>
      <c r="O3" s="59"/>
      <c r="P3" s="59"/>
      <c r="Q3" s="136"/>
      <c r="R3" s="151"/>
      <c r="S3" s="210"/>
      <c r="T3" s="61"/>
      <c r="U3" s="120"/>
      <c r="V3" s="59"/>
      <c r="W3" s="228"/>
      <c r="X3" s="229"/>
      <c r="Y3" s="211"/>
      <c r="Z3" s="209"/>
      <c r="AA3" s="208"/>
      <c r="AB3" s="163"/>
      <c r="AC3" s="58"/>
    </row>
    <row r="4" spans="3:29" ht="21" customHeight="1">
      <c r="C4" s="251" t="s">
        <v>19</v>
      </c>
      <c r="D4" s="62"/>
      <c r="E4" s="457">
        <v>46258</v>
      </c>
      <c r="F4" s="458"/>
      <c r="G4" s="63"/>
      <c r="H4" s="112"/>
      <c r="I4" s="64"/>
      <c r="J4" s="65"/>
      <c r="K4" s="66"/>
      <c r="L4" s="67"/>
      <c r="M4" s="66"/>
      <c r="N4" s="66"/>
      <c r="O4" s="66"/>
      <c r="P4" s="66"/>
      <c r="Q4" s="137"/>
      <c r="R4" s="152"/>
      <c r="S4" s="207"/>
      <c r="T4" s="68"/>
      <c r="U4" s="69"/>
      <c r="V4" s="66"/>
      <c r="W4" s="66"/>
      <c r="X4" s="66"/>
      <c r="Y4" s="152"/>
      <c r="Z4" s="66"/>
      <c r="AA4" s="206"/>
      <c r="AB4" s="163"/>
      <c r="AC4" s="58"/>
    </row>
    <row r="5" spans="3:29" s="70" customFormat="1" ht="33.6" customHeight="1">
      <c r="C5" s="463" t="s">
        <v>0</v>
      </c>
      <c r="D5" s="465" t="s">
        <v>38</v>
      </c>
      <c r="E5" s="467" t="s">
        <v>48</v>
      </c>
      <c r="F5" s="469" t="s">
        <v>44</v>
      </c>
      <c r="G5" s="469" t="s">
        <v>39</v>
      </c>
      <c r="H5" s="471" t="s">
        <v>52</v>
      </c>
      <c r="I5" s="487" t="s">
        <v>41</v>
      </c>
      <c r="J5" s="489" t="s">
        <v>45</v>
      </c>
      <c r="K5" s="469" t="s">
        <v>20</v>
      </c>
      <c r="L5" s="491" t="s">
        <v>1</v>
      </c>
      <c r="M5" s="459" t="s">
        <v>33</v>
      </c>
      <c r="N5" s="493" t="s">
        <v>81</v>
      </c>
      <c r="O5" s="461" t="s">
        <v>21</v>
      </c>
      <c r="P5" s="462"/>
      <c r="Q5" s="462"/>
      <c r="R5" s="462"/>
      <c r="S5" s="462"/>
      <c r="T5" s="462"/>
      <c r="U5" s="483" t="s">
        <v>4</v>
      </c>
      <c r="V5" s="484"/>
      <c r="W5" s="445" t="s">
        <v>78</v>
      </c>
      <c r="X5" s="446"/>
      <c r="Y5" s="473" t="s">
        <v>13</v>
      </c>
      <c r="Z5" s="474"/>
      <c r="AA5" s="205"/>
      <c r="AB5" s="204"/>
    </row>
    <row r="6" spans="3:29" s="76" customFormat="1" ht="63" customHeight="1">
      <c r="C6" s="464"/>
      <c r="D6" s="466"/>
      <c r="E6" s="468"/>
      <c r="F6" s="470"/>
      <c r="G6" s="470"/>
      <c r="H6" s="472"/>
      <c r="I6" s="488"/>
      <c r="J6" s="490"/>
      <c r="K6" s="470"/>
      <c r="L6" s="492"/>
      <c r="M6" s="460"/>
      <c r="N6" s="494"/>
      <c r="O6" s="71" t="s">
        <v>46</v>
      </c>
      <c r="P6" s="72" t="s">
        <v>47</v>
      </c>
      <c r="Q6" s="203" t="s">
        <v>41</v>
      </c>
      <c r="R6" s="71" t="s">
        <v>35</v>
      </c>
      <c r="S6" s="202" t="s">
        <v>22</v>
      </c>
      <c r="T6" s="73" t="s">
        <v>23</v>
      </c>
      <c r="U6" s="74" t="s">
        <v>14</v>
      </c>
      <c r="V6" s="75" t="s">
        <v>0</v>
      </c>
      <c r="W6" s="230" t="s">
        <v>14</v>
      </c>
      <c r="X6" s="231" t="s">
        <v>77</v>
      </c>
      <c r="Y6" s="475"/>
      <c r="Z6" s="476"/>
      <c r="AA6" s="201"/>
      <c r="AB6" s="200"/>
    </row>
    <row r="7" spans="3:29" s="79" customFormat="1" ht="21.6" customHeight="1">
      <c r="C7" s="249" t="str">
        <f t="shared" ref="C7:C10" si="0">AA7</f>
        <v>Aug15-01</v>
      </c>
      <c r="D7" s="77">
        <f>IFERROR(VLOOKUP($AA7,PLAN!$B:$AA,3,0),"")</f>
        <v>12129248</v>
      </c>
      <c r="E7" s="77" t="str">
        <f>IFERROR(VLOOKUP($AA7,PLAN!$B:$AA,4,0),"")</f>
        <v>PR2145021-0-A</v>
      </c>
      <c r="F7" s="77" t="str">
        <f>IFERROR(VLOOKUP($AA7,PLAN!$B:$AA,5,0),"")</f>
        <v>2009051 Masters HF CN</v>
      </c>
      <c r="G7" s="77" t="str">
        <f>IFERROR(VLOOKUP($AA7,PLAN!$B:$AA,2,0),"")</f>
        <v>1001897397</v>
      </c>
      <c r="H7" s="113">
        <f>IFERROR(VLOOKUP($AA7,PLAN!$B:$AA,7,0),"")</f>
        <v>46249</v>
      </c>
      <c r="I7" s="77" t="str">
        <f>IFERROR(VLOOKUP($AA7,PLAN!$B:$AA,8,0),"")</f>
        <v>0103516476</v>
      </c>
      <c r="J7" s="77" t="str">
        <f>IFERROR(VLOOKUP($AA7,PLAN!$B:$AA,9,0),"")</f>
        <v>260625K01A</v>
      </c>
      <c r="K7" s="77">
        <f>IFERROR(VLOOKUP($AA7,PLAN!$B:$AA,10,0),"")</f>
        <v>3306</v>
      </c>
      <c r="L7" s="77" t="str">
        <f>IFERROR(VLOOKUP($AA7,PLAN!$B:$AA,15,0),"")</f>
        <v>CHINA</v>
      </c>
      <c r="M7" s="77">
        <f>IFERROR(VLOOKUP($AA7,PLAN!$B:$AA,18,0),"")</f>
        <v>3</v>
      </c>
      <c r="N7" s="227">
        <f>IFERROR(VLOOKUP($AA7,PLAN!$B:$AA,19,0),"")</f>
        <v>0</v>
      </c>
      <c r="O7" s="77" t="str">
        <f>IFERROR(VLOOKUP($AA7,PLAN!$B:$AA,12,0),"")</f>
        <v>PR19SR002-0-D</v>
      </c>
      <c r="P7" s="77">
        <f>IFERROR(VLOOKUP($AA7,PLAN!$B:$AA,11,0),"")</f>
        <v>12003986</v>
      </c>
      <c r="Q7" s="277" t="s">
        <v>376</v>
      </c>
      <c r="R7" s="149" t="s">
        <v>377</v>
      </c>
      <c r="S7" s="223">
        <v>318</v>
      </c>
      <c r="T7" s="131"/>
      <c r="U7" s="78">
        <f>IFERROR(VLOOKUP($AA7,PLAN!$B:$AA,21,0),"")</f>
        <v>46206</v>
      </c>
      <c r="V7" s="78" t="str">
        <f>IFERROR(VLOOKUP($AA7,PLAN!$B:$AA,22,0),"")</f>
        <v>M8</v>
      </c>
      <c r="W7" s="232"/>
      <c r="X7" s="233"/>
      <c r="Y7" s="212"/>
      <c r="Z7" s="347"/>
      <c r="AA7" s="195" t="s">
        <v>451</v>
      </c>
      <c r="AB7" s="132">
        <f>VLOOKUP(AA7,PLAN!B:V,20,0)</f>
        <v>46206</v>
      </c>
      <c r="AC7" s="132"/>
    </row>
    <row r="8" spans="3:29" s="79" customFormat="1" ht="21.6" customHeight="1">
      <c r="C8" s="249">
        <f t="shared" si="0"/>
        <v>0</v>
      </c>
      <c r="D8" s="77" t="str">
        <f>IFERROR(VLOOKUP($AA8,PLAN!$B:$AA,3,0),"")</f>
        <v/>
      </c>
      <c r="E8" s="77" t="str">
        <f>IFERROR(VLOOKUP($AA8,PLAN!$B:$AA,4,0),"")</f>
        <v/>
      </c>
      <c r="F8" s="77" t="str">
        <f>IFERROR(VLOOKUP($AA8,PLAN!$B:$AA,5,0),"")</f>
        <v/>
      </c>
      <c r="G8" s="77" t="str">
        <f>IFERROR(VLOOKUP($AA8,PLAN!$B:$AA,2,0),"")</f>
        <v/>
      </c>
      <c r="H8" s="113" t="str">
        <f>IFERROR(VLOOKUP($AA8,PLAN!$B:$AA,7,0),"")</f>
        <v/>
      </c>
      <c r="I8" s="77" t="str">
        <f>IFERROR(VLOOKUP($AA8,PLAN!$B:$AA,8,0),"")</f>
        <v/>
      </c>
      <c r="J8" s="77" t="str">
        <f>IFERROR(VLOOKUP($AA8,PLAN!$B:$AA,9,0),"")</f>
        <v/>
      </c>
      <c r="K8" s="77" t="str">
        <f>IFERROR(VLOOKUP($AA8,PLAN!$B:$AA,10,0),"")</f>
        <v/>
      </c>
      <c r="L8" s="77" t="str">
        <f>IFERROR(VLOOKUP($AA8,PLAN!$B:$AA,15,0),"")</f>
        <v/>
      </c>
      <c r="M8" s="77" t="str">
        <f>IFERROR(VLOOKUP($AA8,PLAN!$B:$AA,18,0),"")</f>
        <v/>
      </c>
      <c r="N8" s="227" t="str">
        <f>IFERROR(VLOOKUP($AA8,PLAN!$B:$AA,19,0),"")</f>
        <v/>
      </c>
      <c r="O8" s="77" t="str">
        <f>IFERROR(VLOOKUP($AA8,PLAN!$B:$AA,12,0),"")</f>
        <v/>
      </c>
      <c r="P8" s="77" t="str">
        <f>IFERROR(VLOOKUP($AA8,PLAN!$B:$AA,11,0),"")</f>
        <v/>
      </c>
      <c r="Q8" s="277" t="s">
        <v>452</v>
      </c>
      <c r="R8" s="149" t="s">
        <v>453</v>
      </c>
      <c r="S8" s="223">
        <v>1000</v>
      </c>
      <c r="T8" s="131"/>
      <c r="U8" s="78" t="str">
        <f>IFERROR(VLOOKUP($AA8,PLAN!$B:$AA,21,0),"")</f>
        <v/>
      </c>
      <c r="V8" s="78" t="str">
        <f>IFERROR(VLOOKUP($AA8,PLAN!$B:$AA,22,0),"")</f>
        <v/>
      </c>
      <c r="W8" s="232"/>
      <c r="X8" s="233"/>
      <c r="Y8" s="212"/>
      <c r="Z8" s="347"/>
      <c r="AA8" s="195"/>
      <c r="AB8" s="132">
        <v>46206</v>
      </c>
      <c r="AC8" s="132"/>
    </row>
    <row r="9" spans="3:29" s="79" customFormat="1" ht="21.6" customHeight="1">
      <c r="C9" s="249">
        <f t="shared" si="0"/>
        <v>0</v>
      </c>
      <c r="D9" s="77" t="str">
        <f>IFERROR(VLOOKUP($AA9,PLAN!$B:$AA,3,0),"")</f>
        <v/>
      </c>
      <c r="E9" s="77" t="str">
        <f>IFERROR(VLOOKUP($AA9,PLAN!$B:$AA,4,0),"")</f>
        <v/>
      </c>
      <c r="F9" s="77" t="str">
        <f>IFERROR(VLOOKUP($AA9,PLAN!$B:$AA,5,0),"")</f>
        <v/>
      </c>
      <c r="G9" s="77" t="str">
        <f>IFERROR(VLOOKUP($AA9,PLAN!$B:$AA,2,0),"")</f>
        <v/>
      </c>
      <c r="H9" s="113" t="str">
        <f>IFERROR(VLOOKUP($AA9,PLAN!$B:$AA,7,0),"")</f>
        <v/>
      </c>
      <c r="I9" s="77" t="str">
        <f>IFERROR(VLOOKUP($AA9,PLAN!$B:$AA,8,0),"")</f>
        <v/>
      </c>
      <c r="J9" s="77" t="str">
        <f>IFERROR(VLOOKUP($AA9,PLAN!$B:$AA,9,0),"")</f>
        <v/>
      </c>
      <c r="K9" s="77" t="str">
        <f>IFERROR(VLOOKUP($AA9,PLAN!$B:$AA,10,0),"")</f>
        <v/>
      </c>
      <c r="L9" s="77" t="str">
        <f>IFERROR(VLOOKUP($AA9,PLAN!$B:$AA,15,0),"")</f>
        <v/>
      </c>
      <c r="M9" s="77" t="str">
        <f>IFERROR(VLOOKUP($AA9,PLAN!$B:$AA,18,0),"")</f>
        <v/>
      </c>
      <c r="N9" s="227" t="str">
        <f>IFERROR(VLOOKUP($AA9,PLAN!$B:$AA,19,0),"")</f>
        <v/>
      </c>
      <c r="O9" s="77" t="str">
        <f>IFERROR(VLOOKUP($AA9,PLAN!$B:$AA,12,0),"")</f>
        <v/>
      </c>
      <c r="P9" s="77" t="str">
        <f>IFERROR(VLOOKUP($AA9,PLAN!$B:$AA,11,0),"")</f>
        <v/>
      </c>
      <c r="Q9" s="148" t="s">
        <v>454</v>
      </c>
      <c r="R9" s="222" t="s">
        <v>455</v>
      </c>
      <c r="S9" s="223">
        <v>1000</v>
      </c>
      <c r="T9" s="131"/>
      <c r="U9" s="78" t="str">
        <f>IFERROR(VLOOKUP($AA9,PLAN!$B:$AA,21,0),"")</f>
        <v/>
      </c>
      <c r="V9" s="78" t="str">
        <f>IFERROR(VLOOKUP($AA9,PLAN!$B:$AA,22,0),"")</f>
        <v/>
      </c>
      <c r="W9" s="232"/>
      <c r="X9" s="233"/>
      <c r="Y9" s="212"/>
      <c r="Z9" s="347"/>
      <c r="AA9" s="195"/>
      <c r="AB9" s="132">
        <v>46206</v>
      </c>
      <c r="AC9" s="132"/>
    </row>
    <row r="10" spans="3:29" s="79" customFormat="1" ht="21.6" customHeight="1">
      <c r="C10" s="249">
        <f t="shared" si="0"/>
        <v>0</v>
      </c>
      <c r="D10" s="77" t="str">
        <f>IFERROR(VLOOKUP($AA10,PLAN!$B:$AA,3,0),"")</f>
        <v/>
      </c>
      <c r="E10" s="77" t="str">
        <f>IFERROR(VLOOKUP($AA10,PLAN!$B:$AA,4,0),"")</f>
        <v/>
      </c>
      <c r="F10" s="77" t="str">
        <f>IFERROR(VLOOKUP($AA10,PLAN!$B:$AA,5,0),"")</f>
        <v/>
      </c>
      <c r="G10" s="77" t="str">
        <f>IFERROR(VLOOKUP($AA10,PLAN!$B:$AA,2,0),"")</f>
        <v/>
      </c>
      <c r="H10" s="113" t="str">
        <f>IFERROR(VLOOKUP($AA10,PLAN!$B:$AA,7,0),"")</f>
        <v/>
      </c>
      <c r="I10" s="77" t="str">
        <f>IFERROR(VLOOKUP($AA10,PLAN!$B:$AA,8,0),"")</f>
        <v/>
      </c>
      <c r="J10" s="77" t="str">
        <f>IFERROR(VLOOKUP($AA10,PLAN!$B:$AA,9,0),"")</f>
        <v/>
      </c>
      <c r="K10" s="77" t="str">
        <f>IFERROR(VLOOKUP($AA10,PLAN!$B:$AA,10,0),"")</f>
        <v/>
      </c>
      <c r="L10" s="77" t="str">
        <f>IFERROR(VLOOKUP($AA10,PLAN!$B:$AA,15,0),"")</f>
        <v/>
      </c>
      <c r="M10" s="77" t="str">
        <f>IFERROR(VLOOKUP($AA10,PLAN!$B:$AA,18,0),"")</f>
        <v/>
      </c>
      <c r="N10" s="227" t="str">
        <f>IFERROR(VLOOKUP($AA10,PLAN!$B:$AA,19,0),"")</f>
        <v/>
      </c>
      <c r="O10" s="77" t="str">
        <f>IFERROR(VLOOKUP($AA10,PLAN!$B:$AA,12,0),"")</f>
        <v/>
      </c>
      <c r="P10" s="77" t="str">
        <f>IFERROR(VLOOKUP($AA10,PLAN!$B:$AA,11,0),"")</f>
        <v/>
      </c>
      <c r="Q10" s="148" t="s">
        <v>456</v>
      </c>
      <c r="R10" s="222" t="s">
        <v>457</v>
      </c>
      <c r="S10" s="223">
        <f>K7-S7-S8-S9</f>
        <v>988</v>
      </c>
      <c r="T10" s="131"/>
      <c r="U10" s="78" t="str">
        <f>IFERROR(VLOOKUP($AA10,PLAN!$B:$AA,21,0),"")</f>
        <v/>
      </c>
      <c r="V10" s="78" t="str">
        <f>IFERROR(VLOOKUP($AA10,PLAN!$B:$AA,22,0),"")</f>
        <v/>
      </c>
      <c r="W10" s="232"/>
      <c r="X10" s="233"/>
      <c r="Y10" s="212"/>
      <c r="Z10" s="347"/>
      <c r="AA10" s="195"/>
      <c r="AB10" s="132">
        <v>46206</v>
      </c>
      <c r="AC10" s="132"/>
    </row>
    <row r="11" spans="3:29" s="79" customFormat="1" ht="27" customHeight="1">
      <c r="C11" s="249" t="str">
        <f t="shared" ref="C11" si="1">AA11</f>
        <v>Jul29-02</v>
      </c>
      <c r="D11" s="77">
        <f>IFERROR(VLOOKUP($AA11,PLAN!$B:$AA,3,0),"")</f>
        <v>11134248</v>
      </c>
      <c r="E11" s="77" t="str">
        <f>IFERROR(VLOOKUP($AA11,PLAN!$B:$AA,4,0),"")</f>
        <v>2041189-D-A</v>
      </c>
      <c r="F11" s="77" t="str">
        <f>IFERROR(VLOOKUP($AA11,PLAN!$B:$AA,5,0),"")</f>
        <v>CSR135-26P CN</v>
      </c>
      <c r="G11" s="77" t="str">
        <f>IFERROR(VLOOKUP($AA11,PLAN!$B:$AA,2,0),"")</f>
        <v>1001910173</v>
      </c>
      <c r="H11" s="113">
        <f>IFERROR(VLOOKUP($AA11,PLAN!$B:$AA,7,0),"")</f>
        <v>46232</v>
      </c>
      <c r="I11" s="77" t="str">
        <f>IFERROR(VLOOKUP($AA11,PLAN!$B:$AA,8,0),"")</f>
        <v>0103541259</v>
      </c>
      <c r="J11" s="77" t="str">
        <f>IFERROR(VLOOKUP($AA11,PLAN!$B:$AA,9,0),"")</f>
        <v>260709K24A</v>
      </c>
      <c r="K11" s="77">
        <f>IFERROR(VLOOKUP($AA11,PLAN!$B:$AA,10,0),"")</f>
        <v>626</v>
      </c>
      <c r="L11" s="77" t="str">
        <f>IFERROR(VLOOKUP($AA11,PLAN!$B:$AA,15,0),"")</f>
        <v>CHINA</v>
      </c>
      <c r="M11" s="77">
        <f>IFERROR(VLOOKUP($AA11,PLAN!$B:$AA,18,0),"")</f>
        <v>3</v>
      </c>
      <c r="N11" s="227">
        <f>IFERROR(VLOOKUP($AA11,PLAN!$B:$AA,19,0),"")</f>
        <v>3</v>
      </c>
      <c r="O11" s="77" t="str">
        <f>IFERROR(VLOOKUP($AA11,PLAN!$B:$AA,12,0),"")</f>
        <v>2342019-A-C-CN</v>
      </c>
      <c r="P11" s="77">
        <f>IFERROR(VLOOKUP($AA11,PLAN!$B:$AA,11,0),"")</f>
        <v>12139931</v>
      </c>
      <c r="Q11" s="277" t="s">
        <v>465</v>
      </c>
      <c r="R11" s="149" t="s">
        <v>466</v>
      </c>
      <c r="S11" s="223">
        <v>90</v>
      </c>
      <c r="T11" s="131"/>
      <c r="U11" s="78">
        <f>IFERROR(VLOOKUP($AA11,PLAN!$B:$AA,21,0),"")</f>
        <v>46218</v>
      </c>
      <c r="V11" s="78" t="str">
        <f>IFERROR(VLOOKUP($AA11,PLAN!$B:$AA,22,0),"")</f>
        <v>M8</v>
      </c>
      <c r="W11" s="232"/>
      <c r="X11" s="233"/>
      <c r="Y11" s="212"/>
      <c r="Z11" s="350"/>
      <c r="AA11" s="195" t="s">
        <v>800</v>
      </c>
      <c r="AB11" s="132">
        <f>VLOOKUP(AA11,PLAN!B:V,20,0)</f>
        <v>46218</v>
      </c>
      <c r="AC11" s="132"/>
    </row>
    <row r="12" spans="3:29" s="79" customFormat="1" ht="27" customHeight="1">
      <c r="C12" s="249"/>
      <c r="D12" s="77"/>
      <c r="E12" s="77"/>
      <c r="F12" s="77"/>
      <c r="G12" s="77"/>
      <c r="H12" s="113"/>
      <c r="I12" s="77"/>
      <c r="J12" s="77"/>
      <c r="K12" s="77"/>
      <c r="L12" s="77"/>
      <c r="M12" s="77"/>
      <c r="N12" s="227"/>
      <c r="O12" s="77"/>
      <c r="P12" s="77"/>
      <c r="Q12" s="277" t="s">
        <v>833</v>
      </c>
      <c r="R12" s="149" t="s">
        <v>834</v>
      </c>
      <c r="S12" s="223">
        <v>306</v>
      </c>
      <c r="T12" s="131"/>
      <c r="U12" s="78"/>
      <c r="V12" s="78"/>
      <c r="W12" s="232"/>
      <c r="X12" s="233"/>
      <c r="Y12" s="212"/>
      <c r="Z12" s="350"/>
      <c r="AA12" s="195"/>
      <c r="AB12" s="132">
        <v>46218</v>
      </c>
      <c r="AC12" s="132"/>
    </row>
    <row r="13" spans="3:29" s="79" customFormat="1" ht="27" customHeight="1">
      <c r="C13" s="249"/>
      <c r="D13" s="77"/>
      <c r="E13" s="77"/>
      <c r="F13" s="77"/>
      <c r="G13" s="77"/>
      <c r="H13" s="113"/>
      <c r="I13" s="77"/>
      <c r="J13" s="77"/>
      <c r="K13" s="77"/>
      <c r="L13" s="77"/>
      <c r="M13" s="77"/>
      <c r="N13" s="227"/>
      <c r="O13" s="77"/>
      <c r="P13" s="77"/>
      <c r="Q13" s="277" t="s">
        <v>835</v>
      </c>
      <c r="R13" s="149" t="s">
        <v>836</v>
      </c>
      <c r="S13" s="223">
        <f>K11-S11-S12</f>
        <v>230</v>
      </c>
      <c r="T13" s="131"/>
      <c r="U13" s="78"/>
      <c r="V13" s="78"/>
      <c r="W13" s="232"/>
      <c r="X13" s="233"/>
      <c r="Y13" s="212"/>
      <c r="Z13" s="350"/>
      <c r="AA13" s="195"/>
      <c r="AB13" s="132">
        <v>46218</v>
      </c>
      <c r="AC13" s="132"/>
    </row>
    <row r="14" spans="3:29" s="79" customFormat="1" ht="29.4" customHeight="1">
      <c r="C14" s="249" t="str">
        <f t="shared" ref="C14:C17" si="2">AA14</f>
        <v>Jul30-01</v>
      </c>
      <c r="D14" s="77">
        <f>IFERROR(VLOOKUP($AA14,PLAN!$B:$AA,3,0),"")</f>
        <v>11134249</v>
      </c>
      <c r="E14" s="77" t="str">
        <f>IFERROR(VLOOKUP($AA14,PLAN!$B:$AA,4,0),"")</f>
        <v>2041190-D-A</v>
      </c>
      <c r="F14" s="77" t="str">
        <f>IFERROR(VLOOKUP($AA14,PLAN!$B:$AA,5,0),"")</f>
        <v>CSR150-26P CN</v>
      </c>
      <c r="G14" s="77" t="str">
        <f>IFERROR(VLOOKUP($AA14,PLAN!$B:$AA,2,0),"")</f>
        <v>1001910722</v>
      </c>
      <c r="H14" s="113">
        <f>IFERROR(VLOOKUP($AA14,PLAN!$B:$AA,7,0),"")</f>
        <v>46233</v>
      </c>
      <c r="I14" s="77" t="str">
        <f>IFERROR(VLOOKUP($AA14,PLAN!$B:$AA,8,0),"")</f>
        <v>0103542125</v>
      </c>
      <c r="J14" s="77" t="str">
        <f>IFERROR(VLOOKUP($AA14,PLAN!$B:$AA,9,0),"")</f>
        <v>260709K25A</v>
      </c>
      <c r="K14" s="77">
        <f>IFERROR(VLOOKUP($AA14,PLAN!$B:$AA,10,0),"")</f>
        <v>36</v>
      </c>
      <c r="L14" s="77" t="str">
        <f>IFERROR(VLOOKUP($AA14,PLAN!$B:$AA,15,0),"")</f>
        <v>CHINA</v>
      </c>
      <c r="M14" s="77">
        <f>IFERROR(VLOOKUP($AA14,PLAN!$B:$AA,18,0),"")</f>
        <v>3</v>
      </c>
      <c r="N14" s="227">
        <f>IFERROR(VLOOKUP($AA14,PLAN!$B:$AA,19,0),"")</f>
        <v>3</v>
      </c>
      <c r="O14" s="77" t="str">
        <f>IFERROR(VLOOKUP($AA14,PLAN!$B:$AA,12,0),"")</f>
        <v>2342020-A-C-CN</v>
      </c>
      <c r="P14" s="77">
        <f>IFERROR(VLOOKUP($AA14,PLAN!$B:$AA,11,0),"")</f>
        <v>12139932</v>
      </c>
      <c r="Q14" s="277" t="s">
        <v>431</v>
      </c>
      <c r="R14" s="149" t="s">
        <v>432</v>
      </c>
      <c r="S14" s="149">
        <f t="shared" ref="S14" si="3">K14</f>
        <v>36</v>
      </c>
      <c r="T14" s="131"/>
      <c r="U14" s="78">
        <f>IFERROR(VLOOKUP($AA14,PLAN!$B:$AA,21,0),"")</f>
        <v>46219</v>
      </c>
      <c r="V14" s="78" t="str">
        <f>IFERROR(VLOOKUP($AA14,PLAN!$B:$AA,22,0),"")</f>
        <v>M8</v>
      </c>
      <c r="W14" s="232"/>
      <c r="X14" s="233"/>
      <c r="Y14" s="212"/>
      <c r="Z14" s="350"/>
      <c r="AA14" s="195" t="s">
        <v>902</v>
      </c>
      <c r="AB14" s="132">
        <f>VLOOKUP(AA14,PLAN!B:V,20,0)</f>
        <v>46219</v>
      </c>
      <c r="AC14" s="132"/>
    </row>
    <row r="15" spans="3:29" s="79" customFormat="1" ht="29.4" customHeight="1">
      <c r="C15" s="249" t="str">
        <f t="shared" si="2"/>
        <v>Jul30-02</v>
      </c>
      <c r="D15" s="77">
        <f>IFERROR(VLOOKUP($AA15,PLAN!$B:$AA,3,0),"")</f>
        <v>11134248</v>
      </c>
      <c r="E15" s="77" t="str">
        <f>IFERROR(VLOOKUP($AA15,PLAN!$B:$AA,4,0),"")</f>
        <v>2041189-D-A</v>
      </c>
      <c r="F15" s="77" t="str">
        <f>IFERROR(VLOOKUP($AA15,PLAN!$B:$AA,5,0),"")</f>
        <v>CSR135-26P CN</v>
      </c>
      <c r="G15" s="77" t="str">
        <f>IFERROR(VLOOKUP($AA15,PLAN!$B:$AA,2,0),"")</f>
        <v>1001910723</v>
      </c>
      <c r="H15" s="113">
        <f>IFERROR(VLOOKUP($AA15,PLAN!$B:$AA,7,0),"")</f>
        <v>46233</v>
      </c>
      <c r="I15" s="77" t="str">
        <f>IFERROR(VLOOKUP($AA15,PLAN!$B:$AA,8,0),"")</f>
        <v>0103542126</v>
      </c>
      <c r="J15" s="77" t="str">
        <f>IFERROR(VLOOKUP($AA15,PLAN!$B:$AA,9,0),"")</f>
        <v>260709K26A</v>
      </c>
      <c r="K15" s="77">
        <f>IFERROR(VLOOKUP($AA15,PLAN!$B:$AA,10,0),"")</f>
        <v>270</v>
      </c>
      <c r="L15" s="77" t="str">
        <f>IFERROR(VLOOKUP($AA15,PLAN!$B:$AA,15,0),"")</f>
        <v>CHINA</v>
      </c>
      <c r="M15" s="77">
        <f>IFERROR(VLOOKUP($AA15,PLAN!$B:$AA,18,0),"")</f>
        <v>0</v>
      </c>
      <c r="N15" s="227">
        <f>IFERROR(VLOOKUP($AA15,PLAN!$B:$AA,19,0),"")</f>
        <v>0</v>
      </c>
      <c r="O15" s="77" t="str">
        <f>IFERROR(VLOOKUP($AA15,PLAN!$B:$AA,12,0),"")</f>
        <v>2342019-A-C-CN</v>
      </c>
      <c r="P15" s="77">
        <f>IFERROR(VLOOKUP($AA15,PLAN!$B:$AA,11,0),"")</f>
        <v>12139931</v>
      </c>
      <c r="Q15" s="277" t="s">
        <v>835</v>
      </c>
      <c r="R15" s="149" t="s">
        <v>836</v>
      </c>
      <c r="S15" s="348">
        <v>76</v>
      </c>
      <c r="T15" s="131"/>
      <c r="U15" s="78">
        <f>IFERROR(VLOOKUP($AA15,PLAN!$B:$AA,21,0),"")</f>
        <v>46219</v>
      </c>
      <c r="V15" s="78" t="str">
        <f>IFERROR(VLOOKUP($AA15,PLAN!$B:$AA,22,0),"")</f>
        <v>M8</v>
      </c>
      <c r="W15" s="232"/>
      <c r="X15" s="233"/>
      <c r="Y15" s="212"/>
      <c r="Z15" s="350"/>
      <c r="AA15" s="195" t="s">
        <v>903</v>
      </c>
      <c r="AB15" s="132">
        <f>VLOOKUP(AA15,PLAN!B:V,20,0)</f>
        <v>46219</v>
      </c>
      <c r="AC15" s="132"/>
    </row>
    <row r="16" spans="3:29" s="79" customFormat="1" ht="29.4" customHeight="1">
      <c r="C16" s="249"/>
      <c r="D16" s="77"/>
      <c r="E16" s="77"/>
      <c r="F16" s="77"/>
      <c r="G16" s="77"/>
      <c r="H16" s="113"/>
      <c r="I16" s="77"/>
      <c r="J16" s="77"/>
      <c r="K16" s="77"/>
      <c r="L16" s="77"/>
      <c r="M16" s="77"/>
      <c r="N16" s="227"/>
      <c r="O16" s="77"/>
      <c r="P16" s="77"/>
      <c r="Q16" s="277" t="s">
        <v>905</v>
      </c>
      <c r="R16" s="222" t="s">
        <v>906</v>
      </c>
      <c r="S16" s="348">
        <f>K15-S15</f>
        <v>194</v>
      </c>
      <c r="T16" s="131"/>
      <c r="U16" s="78"/>
      <c r="V16" s="78"/>
      <c r="W16" s="232"/>
      <c r="X16" s="233"/>
      <c r="Y16" s="212"/>
      <c r="Z16" s="350"/>
      <c r="AA16" s="195"/>
      <c r="AB16" s="132">
        <v>46219</v>
      </c>
      <c r="AC16" s="132"/>
    </row>
    <row r="17" spans="3:29" s="79" customFormat="1" ht="29.4" customHeight="1">
      <c r="C17" s="249" t="str">
        <f t="shared" si="2"/>
        <v>Jul30-03</v>
      </c>
      <c r="D17" s="77">
        <f>IFERROR(VLOOKUP($AA17,PLAN!$B:$AA,3,0),"")</f>
        <v>11134248</v>
      </c>
      <c r="E17" s="77" t="str">
        <f>IFERROR(VLOOKUP($AA17,PLAN!$B:$AA,4,0),"")</f>
        <v>2041189-D-A</v>
      </c>
      <c r="F17" s="77" t="str">
        <f>IFERROR(VLOOKUP($AA17,PLAN!$B:$AA,5,0),"")</f>
        <v>CSR135-26P CN</v>
      </c>
      <c r="G17" s="77" t="str">
        <f>IFERROR(VLOOKUP($AA17,PLAN!$B:$AA,2,0),"")</f>
        <v>1001910724</v>
      </c>
      <c r="H17" s="113">
        <f>IFERROR(VLOOKUP($AA17,PLAN!$B:$AA,7,0),"")</f>
        <v>46233</v>
      </c>
      <c r="I17" s="77" t="str">
        <f>IFERROR(VLOOKUP($AA17,PLAN!$B:$AA,8,0),"")</f>
        <v>0103542127</v>
      </c>
      <c r="J17" s="77" t="str">
        <f>IFERROR(VLOOKUP($AA17,PLAN!$B:$AA,9,0),"")</f>
        <v>260709K27A</v>
      </c>
      <c r="K17" s="77">
        <f>IFERROR(VLOOKUP($AA17,PLAN!$B:$AA,10,0),"")</f>
        <v>2050</v>
      </c>
      <c r="L17" s="77" t="str">
        <f>IFERROR(VLOOKUP($AA17,PLAN!$B:$AA,15,0),"")</f>
        <v>CHINA</v>
      </c>
      <c r="M17" s="77">
        <f>IFERROR(VLOOKUP($AA17,PLAN!$B:$AA,18,0),"")</f>
        <v>0</v>
      </c>
      <c r="N17" s="227">
        <f>IFERROR(VLOOKUP($AA17,PLAN!$B:$AA,19,0),"")</f>
        <v>0</v>
      </c>
      <c r="O17" s="77" t="str">
        <f>IFERROR(VLOOKUP($AA17,PLAN!$B:$AA,12,0),"")</f>
        <v>2342019-A-C-CN</v>
      </c>
      <c r="P17" s="77">
        <f>IFERROR(VLOOKUP($AA17,PLAN!$B:$AA,11,0),"")</f>
        <v>12139931</v>
      </c>
      <c r="Q17" s="277" t="s">
        <v>905</v>
      </c>
      <c r="R17" s="222" t="s">
        <v>906</v>
      </c>
      <c r="S17" s="348">
        <v>112</v>
      </c>
      <c r="T17" s="131"/>
      <c r="U17" s="78">
        <f>IFERROR(VLOOKUP($AA17,PLAN!$B:$AA,21,0),"")</f>
        <v>46219</v>
      </c>
      <c r="V17" s="78" t="str">
        <f>IFERROR(VLOOKUP($AA17,PLAN!$B:$AA,22,0),"")</f>
        <v>M8</v>
      </c>
      <c r="W17" s="232"/>
      <c r="X17" s="233"/>
      <c r="Y17" s="212"/>
      <c r="Z17" s="350"/>
      <c r="AA17" s="195" t="s">
        <v>904</v>
      </c>
      <c r="AB17" s="132">
        <f>VLOOKUP(AA17,PLAN!B:V,20,0)</f>
        <v>46219</v>
      </c>
      <c r="AC17" s="132"/>
    </row>
    <row r="18" spans="3:29" s="79" customFormat="1" ht="29.4" customHeight="1">
      <c r="C18" s="249"/>
      <c r="D18" s="77"/>
      <c r="E18" s="77"/>
      <c r="F18" s="77"/>
      <c r="G18" s="77"/>
      <c r="H18" s="113"/>
      <c r="I18" s="77"/>
      <c r="J18" s="77"/>
      <c r="K18" s="77"/>
      <c r="L18" s="77"/>
      <c r="M18" s="77"/>
      <c r="N18" s="227"/>
      <c r="O18" s="77"/>
      <c r="P18" s="77"/>
      <c r="Q18" s="277" t="s">
        <v>907</v>
      </c>
      <c r="R18" s="222" t="s">
        <v>908</v>
      </c>
      <c r="S18" s="348">
        <v>305</v>
      </c>
      <c r="T18" s="131"/>
      <c r="U18" s="78"/>
      <c r="V18" s="78"/>
      <c r="W18" s="232"/>
      <c r="X18" s="233"/>
      <c r="Y18" s="212"/>
      <c r="Z18" s="350"/>
      <c r="AA18" s="195"/>
      <c r="AB18" s="132">
        <v>46219</v>
      </c>
      <c r="AC18" s="132"/>
    </row>
    <row r="19" spans="3:29" s="79" customFormat="1" ht="29.4" customHeight="1">
      <c r="C19" s="249"/>
      <c r="D19" s="77"/>
      <c r="E19" s="77"/>
      <c r="F19" s="77"/>
      <c r="G19" s="77"/>
      <c r="H19" s="113"/>
      <c r="I19" s="77"/>
      <c r="J19" s="77"/>
      <c r="K19" s="77"/>
      <c r="L19" s="77"/>
      <c r="M19" s="77"/>
      <c r="N19" s="227"/>
      <c r="O19" s="77"/>
      <c r="P19" s="77"/>
      <c r="Q19" s="349" t="s">
        <v>909</v>
      </c>
      <c r="R19" s="158" t="s">
        <v>910</v>
      </c>
      <c r="S19" s="348">
        <v>306</v>
      </c>
      <c r="T19" s="131"/>
      <c r="U19" s="78"/>
      <c r="V19" s="78"/>
      <c r="W19" s="232"/>
      <c r="X19" s="233"/>
      <c r="Y19" s="212"/>
      <c r="Z19" s="350"/>
      <c r="AA19" s="195"/>
      <c r="AB19" s="132">
        <v>46219</v>
      </c>
      <c r="AC19" s="132"/>
    </row>
    <row r="20" spans="3:29" s="79" customFormat="1" ht="29.4" customHeight="1">
      <c r="C20" s="249"/>
      <c r="D20" s="77"/>
      <c r="E20" s="77"/>
      <c r="F20" s="77"/>
      <c r="G20" s="77"/>
      <c r="H20" s="113"/>
      <c r="I20" s="77"/>
      <c r="J20" s="77"/>
      <c r="K20" s="77"/>
      <c r="L20" s="77"/>
      <c r="M20" s="77"/>
      <c r="N20" s="227"/>
      <c r="O20" s="77"/>
      <c r="P20" s="77"/>
      <c r="Q20" s="349" t="s">
        <v>911</v>
      </c>
      <c r="R20" s="158" t="s">
        <v>912</v>
      </c>
      <c r="S20" s="348">
        <v>306</v>
      </c>
      <c r="T20" s="131"/>
      <c r="U20" s="78"/>
      <c r="V20" s="78"/>
      <c r="W20" s="232"/>
      <c r="X20" s="233"/>
      <c r="Y20" s="212"/>
      <c r="Z20" s="350"/>
      <c r="AA20" s="195"/>
      <c r="AB20" s="132">
        <v>46219</v>
      </c>
      <c r="AC20" s="132"/>
    </row>
    <row r="21" spans="3:29" s="79" customFormat="1" ht="29.4" customHeight="1">
      <c r="C21" s="249"/>
      <c r="D21" s="77"/>
      <c r="E21" s="77"/>
      <c r="F21" s="77"/>
      <c r="G21" s="77"/>
      <c r="H21" s="113"/>
      <c r="I21" s="77"/>
      <c r="J21" s="77"/>
      <c r="K21" s="77"/>
      <c r="L21" s="77"/>
      <c r="M21" s="77"/>
      <c r="N21" s="227"/>
      <c r="O21" s="77"/>
      <c r="P21" s="77"/>
      <c r="Q21" s="349" t="s">
        <v>913</v>
      </c>
      <c r="R21" s="158" t="s">
        <v>914</v>
      </c>
      <c r="S21" s="348">
        <v>306</v>
      </c>
      <c r="T21" s="131"/>
      <c r="U21" s="78"/>
      <c r="V21" s="78"/>
      <c r="W21" s="232"/>
      <c r="X21" s="233"/>
      <c r="Y21" s="212"/>
      <c r="Z21" s="350"/>
      <c r="AA21" s="195"/>
      <c r="AB21" s="132">
        <v>46219</v>
      </c>
      <c r="AC21" s="132"/>
    </row>
    <row r="22" spans="3:29" s="79" customFormat="1" ht="29.4" customHeight="1">
      <c r="C22" s="249"/>
      <c r="D22" s="77"/>
      <c r="E22" s="77"/>
      <c r="F22" s="77"/>
      <c r="G22" s="77"/>
      <c r="H22" s="113"/>
      <c r="I22" s="77"/>
      <c r="J22" s="77"/>
      <c r="K22" s="77"/>
      <c r="L22" s="77"/>
      <c r="M22" s="77"/>
      <c r="N22" s="227"/>
      <c r="O22" s="77"/>
      <c r="P22" s="77"/>
      <c r="Q22" s="349" t="s">
        <v>915</v>
      </c>
      <c r="R22" s="158" t="s">
        <v>916</v>
      </c>
      <c r="S22" s="348">
        <v>306</v>
      </c>
      <c r="T22" s="131"/>
      <c r="U22" s="78"/>
      <c r="V22" s="78"/>
      <c r="W22" s="232"/>
      <c r="X22" s="233"/>
      <c r="Y22" s="212"/>
      <c r="Z22" s="350"/>
      <c r="AA22" s="195"/>
      <c r="AB22" s="132">
        <v>46219</v>
      </c>
      <c r="AC22" s="132"/>
    </row>
    <row r="23" spans="3:29" s="79" customFormat="1" ht="29.4" customHeight="1">
      <c r="C23" s="249"/>
      <c r="D23" s="77"/>
      <c r="E23" s="77"/>
      <c r="F23" s="77"/>
      <c r="G23" s="77"/>
      <c r="H23" s="113"/>
      <c r="I23" s="77"/>
      <c r="J23" s="77"/>
      <c r="K23" s="77"/>
      <c r="L23" s="77"/>
      <c r="M23" s="77"/>
      <c r="N23" s="227"/>
      <c r="O23" s="77"/>
      <c r="P23" s="77"/>
      <c r="Q23" s="349" t="s">
        <v>917</v>
      </c>
      <c r="R23" s="158" t="s">
        <v>918</v>
      </c>
      <c r="S23" s="348">
        <v>306</v>
      </c>
      <c r="T23" s="131"/>
      <c r="U23" s="78"/>
      <c r="V23" s="78"/>
      <c r="W23" s="232"/>
      <c r="X23" s="233"/>
      <c r="Y23" s="212"/>
      <c r="Z23" s="350"/>
      <c r="AA23" s="195"/>
      <c r="AB23" s="132">
        <v>46219</v>
      </c>
      <c r="AC23" s="132"/>
    </row>
    <row r="24" spans="3:29" s="79" customFormat="1" ht="29.4" customHeight="1">
      <c r="C24" s="249"/>
      <c r="D24" s="77"/>
      <c r="E24" s="77"/>
      <c r="F24" s="77"/>
      <c r="G24" s="77"/>
      <c r="H24" s="113"/>
      <c r="I24" s="77"/>
      <c r="J24" s="77"/>
      <c r="K24" s="77"/>
      <c r="L24" s="77"/>
      <c r="M24" s="77"/>
      <c r="N24" s="227"/>
      <c r="O24" s="77"/>
      <c r="P24" s="77"/>
      <c r="Q24" s="349" t="s">
        <v>919</v>
      </c>
      <c r="R24" s="158" t="s">
        <v>920</v>
      </c>
      <c r="S24" s="223">
        <f>K17-S17-S18-S19-S20-S21-S22-S23</f>
        <v>103</v>
      </c>
      <c r="T24" s="131"/>
      <c r="U24" s="78"/>
      <c r="V24" s="78"/>
      <c r="W24" s="232"/>
      <c r="X24" s="233"/>
      <c r="Y24" s="212"/>
      <c r="Z24" s="350"/>
      <c r="AA24" s="195"/>
      <c r="AB24" s="132">
        <v>46219</v>
      </c>
      <c r="AC24" s="132"/>
    </row>
    <row r="25" spans="3:29" s="79" customFormat="1" ht="25.2" customHeight="1">
      <c r="C25" s="249" t="str">
        <f t="shared" ref="C25:C46" si="4">AA25</f>
        <v>QC-5</v>
      </c>
      <c r="D25" s="77">
        <f>IFERROR(VLOOKUP($AA25,PLAN!$B:$AA,3,0),"")</f>
        <v>11125142</v>
      </c>
      <c r="E25" s="77" t="str">
        <f>IFERROR(VLOOKUP($AA25,PLAN!$B:$AA,4,0),"")</f>
        <v>1941011-D-A</v>
      </c>
      <c r="F25" s="77" t="str">
        <f>IFERROR(VLOOKUP($AA25,PLAN!$B:$AA,5,0),"")</f>
        <v>Masters PARKWAY SOFT 150cm Straight</v>
      </c>
      <c r="G25" s="77" t="str">
        <f>IFERROR(VLOOKUP($AA25,PLAN!$B:$AA,2,0),"")</f>
        <v>2000126703</v>
      </c>
      <c r="H25" s="113">
        <f>IFERROR(VLOOKUP($AA25,PLAN!$B:$AA,7,0),"")</f>
        <v>46234</v>
      </c>
      <c r="I25" s="77" t="str">
        <f>IFERROR(VLOOKUP($AA25,PLAN!$B:$AA,8,0),"")</f>
        <v>0103539406</v>
      </c>
      <c r="J25" s="77" t="str">
        <f>IFERROR(VLOOKUP($AA25,PLAN!$B:$AA,9,0),"")</f>
        <v>260707Y17A</v>
      </c>
      <c r="K25" s="77">
        <f>IFERROR(VLOOKUP($AA25,PLAN!$B:$AA,10,0),"")</f>
        <v>3</v>
      </c>
      <c r="L25" s="77" t="str">
        <f>IFERROR(VLOOKUP($AA25,PLAN!$B:$AA,15,0),"")</f>
        <v>TEST</v>
      </c>
      <c r="M25" s="77">
        <f>IFERROR(VLOOKUP($AA25,PLAN!$B:$AA,18,0),"")</f>
        <v>0</v>
      </c>
      <c r="N25" s="227">
        <f>IFERROR(VLOOKUP($AA25,PLAN!$B:$AA,19,0),"")</f>
        <v>0</v>
      </c>
      <c r="O25" s="77" t="str">
        <f>IFERROR(VLOOKUP($AA25,PLAN!$B:$AA,12,0),"")</f>
        <v xml:space="preserve"> 1942042-A-C</v>
      </c>
      <c r="P25" s="77">
        <f>IFERROR(VLOOKUP($AA25,PLAN!$B:$AA,11,0),"")</f>
        <v>12120564</v>
      </c>
      <c r="Q25" s="148" t="s">
        <v>938</v>
      </c>
      <c r="R25" s="149" t="s">
        <v>939</v>
      </c>
      <c r="S25" s="149">
        <f t="shared" ref="S25:S46" si="5">K25</f>
        <v>3</v>
      </c>
      <c r="T25" s="131"/>
      <c r="U25" s="78" t="str">
        <f>IFERROR(VLOOKUP($AA25,PLAN!$B:$AA,21,0),"")</f>
        <v>N/A</v>
      </c>
      <c r="V25" s="78" t="str">
        <f>IFERROR(VLOOKUP($AA25,PLAN!$B:$AA,22,0),"")</f>
        <v>TEST</v>
      </c>
      <c r="W25" s="232"/>
      <c r="X25" s="233"/>
      <c r="Y25" s="212"/>
      <c r="Z25" s="350"/>
      <c r="AA25" s="195" t="s">
        <v>719</v>
      </c>
      <c r="AB25" s="18" t="s">
        <v>937</v>
      </c>
      <c r="AC25" s="132"/>
    </row>
    <row r="26" spans="3:29" s="79" customFormat="1" ht="25.2" customHeight="1">
      <c r="C26" s="249" t="str">
        <f t="shared" si="4"/>
        <v>QC-6</v>
      </c>
      <c r="D26" s="77">
        <f>IFERROR(VLOOKUP($AA26,PLAN!$B:$AA,3,0),"")</f>
        <v>11125142</v>
      </c>
      <c r="E26" s="77" t="str">
        <f>IFERROR(VLOOKUP($AA26,PLAN!$B:$AA,4,0),"")</f>
        <v>1941011-D-A</v>
      </c>
      <c r="F26" s="77" t="str">
        <f>IFERROR(VLOOKUP($AA26,PLAN!$B:$AA,5,0),"")</f>
        <v>Masters PARKWAY SOFT 150cm Straight</v>
      </c>
      <c r="G26" s="77" t="str">
        <f>IFERROR(VLOOKUP($AA26,PLAN!$B:$AA,2,0),"")</f>
        <v>2000126704</v>
      </c>
      <c r="H26" s="113">
        <f>IFERROR(VLOOKUP($AA26,PLAN!$B:$AA,7,0),"")</f>
        <v>46234</v>
      </c>
      <c r="I26" s="77" t="str">
        <f>IFERROR(VLOOKUP($AA26,PLAN!$B:$AA,8,0),"")</f>
        <v>0103539408</v>
      </c>
      <c r="J26" s="77" t="str">
        <f>IFERROR(VLOOKUP($AA26,PLAN!$B:$AA,9,0),"")</f>
        <v>260707Y17D</v>
      </c>
      <c r="K26" s="77">
        <f>IFERROR(VLOOKUP($AA26,PLAN!$B:$AA,10,0),"")</f>
        <v>9</v>
      </c>
      <c r="L26" s="77" t="str">
        <f>IFERROR(VLOOKUP($AA26,PLAN!$B:$AA,15,0),"")</f>
        <v>TEST</v>
      </c>
      <c r="M26" s="77">
        <f>IFERROR(VLOOKUP($AA26,PLAN!$B:$AA,18,0),"")</f>
        <v>0</v>
      </c>
      <c r="N26" s="227">
        <f>IFERROR(VLOOKUP($AA26,PLAN!$B:$AA,19,0),"")</f>
        <v>0</v>
      </c>
      <c r="O26" s="77" t="str">
        <f>IFERROR(VLOOKUP($AA26,PLAN!$B:$AA,12,0),"")</f>
        <v xml:space="preserve"> 1942042-A-C</v>
      </c>
      <c r="P26" s="77">
        <f>IFERROR(VLOOKUP($AA26,PLAN!$B:$AA,11,0),"")</f>
        <v>12120564</v>
      </c>
      <c r="Q26" s="148" t="s">
        <v>938</v>
      </c>
      <c r="R26" s="149" t="s">
        <v>939</v>
      </c>
      <c r="S26" s="149">
        <f t="shared" si="5"/>
        <v>9</v>
      </c>
      <c r="T26" s="131"/>
      <c r="U26" s="78">
        <f>IFERROR(VLOOKUP($AA26,PLAN!$B:$AA,21,0),"")</f>
        <v>46230</v>
      </c>
      <c r="V26" s="78" t="str">
        <f>IFERROR(VLOOKUP($AA26,PLAN!$B:$AA,22,0),"")</f>
        <v>TEST</v>
      </c>
      <c r="W26" s="232"/>
      <c r="X26" s="233"/>
      <c r="Y26" s="212"/>
      <c r="Z26" s="350"/>
      <c r="AA26" s="195" t="s">
        <v>720</v>
      </c>
      <c r="AB26" s="18" t="s">
        <v>937</v>
      </c>
      <c r="AC26" s="132"/>
    </row>
    <row r="27" spans="3:29" s="79" customFormat="1" ht="25.2" customHeight="1">
      <c r="C27" s="249" t="str">
        <f t="shared" si="4"/>
        <v>QC-7</v>
      </c>
      <c r="D27" s="77">
        <f>IFERROR(VLOOKUP($AA27,PLAN!$B:$AA,3,0),"")</f>
        <v>11112488</v>
      </c>
      <c r="E27" s="77" t="str">
        <f>IFERROR(VLOOKUP($AA27,PLAN!$B:$AA,4,0),"")</f>
        <v>PSC35170S-E-A</v>
      </c>
      <c r="F27" s="77" t="str">
        <f>IFERROR(VLOOKUP($AA27,PLAN!$B:$AA,5,0),"")</f>
        <v>CROSSWALK 035 170cm Straight</v>
      </c>
      <c r="G27" s="77" t="str">
        <f>IFERROR(VLOOKUP($AA27,PLAN!$B:$AA,2,0),"")</f>
        <v>2000126705</v>
      </c>
      <c r="H27" s="113">
        <f>IFERROR(VLOOKUP($AA27,PLAN!$B:$AA,7,0),"")</f>
        <v>46234</v>
      </c>
      <c r="I27" s="77" t="str">
        <f>IFERROR(VLOOKUP($AA27,PLAN!$B:$AA,8,0),"")</f>
        <v>0103539409</v>
      </c>
      <c r="J27" s="77" t="str">
        <f>IFERROR(VLOOKUP($AA27,PLAN!$B:$AA,9,0),"")</f>
        <v>260707Y18A</v>
      </c>
      <c r="K27" s="77">
        <f>IFERROR(VLOOKUP($AA27,PLAN!$B:$AA,10,0),"")</f>
        <v>3</v>
      </c>
      <c r="L27" s="77" t="str">
        <f>IFERROR(VLOOKUP($AA27,PLAN!$B:$AA,15,0),"")</f>
        <v>TEST</v>
      </c>
      <c r="M27" s="77">
        <f>IFERROR(VLOOKUP($AA27,PLAN!$B:$AA,18,0),"")</f>
        <v>0</v>
      </c>
      <c r="N27" s="227">
        <f>IFERROR(VLOOKUP($AA27,PLAN!$B:$AA,19,0),"")</f>
        <v>0</v>
      </c>
      <c r="O27" s="77" t="str">
        <f>IFERROR(VLOOKUP($AA27,PLAN!$B:$AA,12,0),"")</f>
        <v>PSC35170S-E-C</v>
      </c>
      <c r="P27" s="77">
        <f>IFERROR(VLOOKUP($AA27,PLAN!$B:$AA,11,0),"")</f>
        <v>12115911</v>
      </c>
      <c r="Q27" s="148" t="s">
        <v>438</v>
      </c>
      <c r="R27" s="149" t="s">
        <v>439</v>
      </c>
      <c r="S27" s="149">
        <f t="shared" si="5"/>
        <v>3</v>
      </c>
      <c r="T27" s="131"/>
      <c r="U27" s="78" t="str">
        <f>IFERROR(VLOOKUP($AA27,PLAN!$B:$AA,21,0),"")</f>
        <v>N/A</v>
      </c>
      <c r="V27" s="78" t="str">
        <f>IFERROR(VLOOKUP($AA27,PLAN!$B:$AA,22,0),"")</f>
        <v>TEST</v>
      </c>
      <c r="W27" s="232"/>
      <c r="X27" s="233"/>
      <c r="Y27" s="212"/>
      <c r="Z27" s="350"/>
      <c r="AA27" s="195" t="s">
        <v>721</v>
      </c>
      <c r="AB27" s="18" t="s">
        <v>937</v>
      </c>
      <c r="AC27" s="132"/>
    </row>
    <row r="28" spans="3:29" s="79" customFormat="1" ht="25.2" customHeight="1">
      <c r="C28" s="249" t="str">
        <f t="shared" si="4"/>
        <v>QC-8</v>
      </c>
      <c r="D28" s="77">
        <f>IFERROR(VLOOKUP($AA28,PLAN!$B:$AA,3,0),"")</f>
        <v>11112488</v>
      </c>
      <c r="E28" s="77" t="str">
        <f>IFERROR(VLOOKUP($AA28,PLAN!$B:$AA,4,0),"")</f>
        <v>PSC35170S-E-A</v>
      </c>
      <c r="F28" s="77" t="str">
        <f>IFERROR(VLOOKUP($AA28,PLAN!$B:$AA,5,0),"")</f>
        <v>CROSSWALK 035 170cm Straight</v>
      </c>
      <c r="G28" s="77" t="str">
        <f>IFERROR(VLOOKUP($AA28,PLAN!$B:$AA,2,0),"")</f>
        <v>2000126706</v>
      </c>
      <c r="H28" s="113">
        <f>IFERROR(VLOOKUP($AA28,PLAN!$B:$AA,7,0),"")</f>
        <v>46234</v>
      </c>
      <c r="I28" s="77" t="str">
        <f>IFERROR(VLOOKUP($AA28,PLAN!$B:$AA,8,0),"")</f>
        <v>0103539410</v>
      </c>
      <c r="J28" s="77" t="str">
        <f>IFERROR(VLOOKUP($AA28,PLAN!$B:$AA,9,0),"")</f>
        <v>260707Y18D</v>
      </c>
      <c r="K28" s="77">
        <f>IFERROR(VLOOKUP($AA28,PLAN!$B:$AA,10,0),"")</f>
        <v>9</v>
      </c>
      <c r="L28" s="77" t="str">
        <f>IFERROR(VLOOKUP($AA28,PLAN!$B:$AA,15,0),"")</f>
        <v>TEST</v>
      </c>
      <c r="M28" s="77">
        <f>IFERROR(VLOOKUP($AA28,PLAN!$B:$AA,18,0),"")</f>
        <v>0</v>
      </c>
      <c r="N28" s="227">
        <f>IFERROR(VLOOKUP($AA28,PLAN!$B:$AA,19,0),"")</f>
        <v>0</v>
      </c>
      <c r="O28" s="77" t="str">
        <f>IFERROR(VLOOKUP($AA28,PLAN!$B:$AA,12,0),"")</f>
        <v>PSC35170S-E-C</v>
      </c>
      <c r="P28" s="77">
        <f>IFERROR(VLOOKUP($AA28,PLAN!$B:$AA,11,0),"")</f>
        <v>12115911</v>
      </c>
      <c r="Q28" s="148" t="s">
        <v>440</v>
      </c>
      <c r="R28" s="149" t="s">
        <v>441</v>
      </c>
      <c r="S28" s="149">
        <f t="shared" si="5"/>
        <v>9</v>
      </c>
      <c r="T28" s="131"/>
      <c r="U28" s="78">
        <f>IFERROR(VLOOKUP($AA28,PLAN!$B:$AA,21,0),"")</f>
        <v>46230</v>
      </c>
      <c r="V28" s="78" t="str">
        <f>IFERROR(VLOOKUP($AA28,PLAN!$B:$AA,22,0),"")</f>
        <v>TEST</v>
      </c>
      <c r="W28" s="232"/>
      <c r="X28" s="233"/>
      <c r="Y28" s="212"/>
      <c r="Z28" s="350"/>
      <c r="AA28" s="195" t="s">
        <v>722</v>
      </c>
      <c r="AB28" s="18" t="s">
        <v>937</v>
      </c>
      <c r="AC28" s="132"/>
    </row>
    <row r="29" spans="3:29" s="79" customFormat="1" ht="25.2" customHeight="1">
      <c r="C29" s="249" t="str">
        <f t="shared" si="4"/>
        <v>QC-9</v>
      </c>
      <c r="D29" s="77">
        <f>IFERROR(VLOOKUP($AA29,PLAN!$B:$AA,3,0),"")</f>
        <v>12012480</v>
      </c>
      <c r="E29" s="77" t="str">
        <f>IFERROR(VLOOKUP($AA29,PLAN!$B:$AA,4,0),"")</f>
        <v>PR1944001-0-A</v>
      </c>
      <c r="F29" s="77" t="str">
        <f>IFERROR(VLOOKUP($AA29,PLAN!$B:$AA,5,0),"")</f>
        <v>Accessories for Masters Parkway HF</v>
      </c>
      <c r="G29" s="77" t="str">
        <f>IFERROR(VLOOKUP($AA29,PLAN!$B:$AA,2,0),"")</f>
        <v>2000126709</v>
      </c>
      <c r="H29" s="113">
        <f>IFERROR(VLOOKUP($AA29,PLAN!$B:$AA,7,0),"")</f>
        <v>46234</v>
      </c>
      <c r="I29" s="77" t="str">
        <f>IFERROR(VLOOKUP($AA29,PLAN!$B:$AA,8,0),"")</f>
        <v>0103539413</v>
      </c>
      <c r="J29" s="77" t="str">
        <f>IFERROR(VLOOKUP($AA29,PLAN!$B:$AA,9,0),"")</f>
        <v>260707Y20A</v>
      </c>
      <c r="K29" s="77">
        <f>IFERROR(VLOOKUP($AA29,PLAN!$B:$AA,10,0),"")</f>
        <v>3</v>
      </c>
      <c r="L29" s="77" t="str">
        <f>IFERROR(VLOOKUP($AA29,PLAN!$B:$AA,15,0),"")</f>
        <v>TEST</v>
      </c>
      <c r="M29" s="77">
        <f>IFERROR(VLOOKUP($AA29,PLAN!$B:$AA,18,0),"")</f>
        <v>0</v>
      </c>
      <c r="N29" s="227">
        <f>IFERROR(VLOOKUP($AA29,PLAN!$B:$AA,19,0),"")</f>
        <v>0</v>
      </c>
      <c r="O29" s="77" t="str">
        <f>IFERROR(VLOOKUP($AA29,PLAN!$B:$AA,12,0),"")</f>
        <v>PR19SR002-0-D</v>
      </c>
      <c r="P29" s="77">
        <f>IFERROR(VLOOKUP($AA29,PLAN!$B:$AA,11,0),"")</f>
        <v>12003986</v>
      </c>
      <c r="Q29" s="148" t="s">
        <v>458</v>
      </c>
      <c r="R29" s="149" t="s">
        <v>459</v>
      </c>
      <c r="S29" s="149">
        <f t="shared" si="5"/>
        <v>3</v>
      </c>
      <c r="T29" s="131"/>
      <c r="U29" s="78" t="str">
        <f>IFERROR(VLOOKUP($AA29,PLAN!$B:$AA,21,0),"")</f>
        <v>N/A</v>
      </c>
      <c r="V29" s="78" t="str">
        <f>IFERROR(VLOOKUP($AA29,PLAN!$B:$AA,22,0),"")</f>
        <v>TEST</v>
      </c>
      <c r="W29" s="232"/>
      <c r="X29" s="233"/>
      <c r="Y29" s="212"/>
      <c r="Z29" s="350"/>
      <c r="AA29" s="195" t="s">
        <v>723</v>
      </c>
      <c r="AB29" s="18" t="s">
        <v>937</v>
      </c>
      <c r="AC29" s="132"/>
    </row>
    <row r="30" spans="3:29" s="79" customFormat="1" ht="25.2" customHeight="1">
      <c r="C30" s="249" t="str">
        <f t="shared" si="4"/>
        <v>QC-10</v>
      </c>
      <c r="D30" s="77">
        <f>IFERROR(VLOOKUP($AA30,PLAN!$B:$AA,3,0),"")</f>
        <v>12012480</v>
      </c>
      <c r="E30" s="77" t="str">
        <f>IFERROR(VLOOKUP($AA30,PLAN!$B:$AA,4,0),"")</f>
        <v>PR1944001-0-A</v>
      </c>
      <c r="F30" s="77" t="str">
        <f>IFERROR(VLOOKUP($AA30,PLAN!$B:$AA,5,0),"")</f>
        <v>Accessories for Masters Parkway HF</v>
      </c>
      <c r="G30" s="77" t="str">
        <f>IFERROR(VLOOKUP($AA30,PLAN!$B:$AA,2,0),"")</f>
        <v>2000126710</v>
      </c>
      <c r="H30" s="113">
        <f>IFERROR(VLOOKUP($AA30,PLAN!$B:$AA,7,0),"")</f>
        <v>46234</v>
      </c>
      <c r="I30" s="77" t="str">
        <f>IFERROR(VLOOKUP($AA30,PLAN!$B:$AA,8,0),"")</f>
        <v>0103539414</v>
      </c>
      <c r="J30" s="77" t="str">
        <f>IFERROR(VLOOKUP($AA30,PLAN!$B:$AA,9,0),"")</f>
        <v>260707Y20D</v>
      </c>
      <c r="K30" s="77">
        <f>IFERROR(VLOOKUP($AA30,PLAN!$B:$AA,10,0),"")</f>
        <v>9</v>
      </c>
      <c r="L30" s="77" t="str">
        <f>IFERROR(VLOOKUP($AA30,PLAN!$B:$AA,15,0),"")</f>
        <v>TEST</v>
      </c>
      <c r="M30" s="77">
        <f>IFERROR(VLOOKUP($AA30,PLAN!$B:$AA,18,0),"")</f>
        <v>0</v>
      </c>
      <c r="N30" s="227">
        <f>IFERROR(VLOOKUP($AA30,PLAN!$B:$AA,19,0),"")</f>
        <v>0</v>
      </c>
      <c r="O30" s="77" t="str">
        <f>IFERROR(VLOOKUP($AA30,PLAN!$B:$AA,12,0),"")</f>
        <v>PR19SR002-0-D</v>
      </c>
      <c r="P30" s="77">
        <f>IFERROR(VLOOKUP($AA30,PLAN!$B:$AA,11,0),"")</f>
        <v>12003986</v>
      </c>
      <c r="Q30" s="148" t="s">
        <v>458</v>
      </c>
      <c r="R30" s="149" t="s">
        <v>459</v>
      </c>
      <c r="S30" s="149">
        <f t="shared" si="5"/>
        <v>9</v>
      </c>
      <c r="T30" s="131"/>
      <c r="U30" s="78">
        <f>IFERROR(VLOOKUP($AA30,PLAN!$B:$AA,21,0),"")</f>
        <v>46230</v>
      </c>
      <c r="V30" s="78" t="str">
        <f>IFERROR(VLOOKUP($AA30,PLAN!$B:$AA,22,0),"")</f>
        <v>TEST</v>
      </c>
      <c r="W30" s="232"/>
      <c r="X30" s="233"/>
      <c r="Y30" s="212"/>
      <c r="Z30" s="350"/>
      <c r="AA30" s="195" t="s">
        <v>724</v>
      </c>
      <c r="AB30" s="18" t="s">
        <v>937</v>
      </c>
      <c r="AC30" s="132"/>
    </row>
    <row r="31" spans="3:29" s="79" customFormat="1" ht="25.2" customHeight="1">
      <c r="C31" s="249" t="str">
        <f t="shared" si="4"/>
        <v>QC-11</v>
      </c>
      <c r="D31" s="77">
        <f>IFERROR(VLOOKUP($AA31,PLAN!$B:$AA,3,0),"")</f>
        <v>12143523</v>
      </c>
      <c r="E31" s="77" t="str">
        <f>IFERROR(VLOOKUP($AA31,PLAN!$B:$AA,4,0),"")</f>
        <v>PR2545028-0-A</v>
      </c>
      <c r="F31" s="77" t="str">
        <f>IFERROR(VLOOKUP($AA31,PLAN!$B:$AA,5,0),"")</f>
        <v>2009009 Veloute</v>
      </c>
      <c r="G31" s="77" t="str">
        <f>IFERROR(VLOOKUP($AA31,PLAN!$B:$AA,2,0),"")</f>
        <v>2000127274</v>
      </c>
      <c r="H31" s="113">
        <f>IFERROR(VLOOKUP($AA31,PLAN!$B:$AA,7,0),"")</f>
        <v>46234</v>
      </c>
      <c r="I31" s="77" t="str">
        <f>IFERROR(VLOOKUP($AA31,PLAN!$B:$AA,8,0),"")</f>
        <v>0103553325</v>
      </c>
      <c r="J31" s="77" t="str">
        <f>IFERROR(VLOOKUP($AA31,PLAN!$B:$AA,9,0),"")</f>
        <v>260707Y21A</v>
      </c>
      <c r="K31" s="77">
        <f>IFERROR(VLOOKUP($AA31,PLAN!$B:$AA,10,0),"")</f>
        <v>3</v>
      </c>
      <c r="L31" s="77" t="str">
        <f>IFERROR(VLOOKUP($AA31,PLAN!$B:$AA,15,0),"")</f>
        <v>TEST</v>
      </c>
      <c r="M31" s="77">
        <f>IFERROR(VLOOKUP($AA31,PLAN!$B:$AA,18,0),"")</f>
        <v>0</v>
      </c>
      <c r="N31" s="227">
        <f>IFERROR(VLOOKUP($AA31,PLAN!$B:$AA,19,0),"")</f>
        <v>0</v>
      </c>
      <c r="O31" s="77" t="str">
        <f>IFERROR(VLOOKUP($AA31,PLAN!$B:$AA,12,0),"")</f>
        <v xml:space="preserve"> PR19SR003-0-D</v>
      </c>
      <c r="P31" s="77">
        <f>IFERROR(VLOOKUP($AA31,PLAN!$B:$AA,11,0),"")</f>
        <v>12001113</v>
      </c>
      <c r="Q31" s="148" t="s">
        <v>517</v>
      </c>
      <c r="R31" s="149" t="s">
        <v>518</v>
      </c>
      <c r="S31" s="149">
        <f t="shared" si="5"/>
        <v>3</v>
      </c>
      <c r="T31" s="131"/>
      <c r="U31" s="78" t="str">
        <f>IFERROR(VLOOKUP($AA31,PLAN!$B:$AA,21,0),"")</f>
        <v>N/A</v>
      </c>
      <c r="V31" s="78" t="str">
        <f>IFERROR(VLOOKUP($AA31,PLAN!$B:$AA,22,0),"")</f>
        <v>TEST</v>
      </c>
      <c r="W31" s="232"/>
      <c r="X31" s="233"/>
      <c r="Y31" s="212"/>
      <c r="Z31" s="350"/>
      <c r="AA31" s="195" t="s">
        <v>725</v>
      </c>
      <c r="AB31" s="18" t="s">
        <v>937</v>
      </c>
      <c r="AC31" s="132"/>
    </row>
    <row r="32" spans="3:29" s="79" customFormat="1" ht="25.2" customHeight="1">
      <c r="C32" s="249" t="str">
        <f t="shared" si="4"/>
        <v>QC-12</v>
      </c>
      <c r="D32" s="77">
        <f>IFERROR(VLOOKUP($AA32,PLAN!$B:$AA,3,0),"")</f>
        <v>12143523</v>
      </c>
      <c r="E32" s="77" t="str">
        <f>IFERROR(VLOOKUP($AA32,PLAN!$B:$AA,4,0),"")</f>
        <v>PR2545028-0-A</v>
      </c>
      <c r="F32" s="77" t="str">
        <f>IFERROR(VLOOKUP($AA32,PLAN!$B:$AA,5,0),"")</f>
        <v>2009009 Veloute</v>
      </c>
      <c r="G32" s="77" t="str">
        <f>IFERROR(VLOOKUP($AA32,PLAN!$B:$AA,2,0),"")</f>
        <v xml:space="preserve"> 2000127275</v>
      </c>
      <c r="H32" s="113">
        <f>IFERROR(VLOOKUP($AA32,PLAN!$B:$AA,7,0),"")</f>
        <v>46234</v>
      </c>
      <c r="I32" s="77" t="str">
        <f>IFERROR(VLOOKUP($AA32,PLAN!$B:$AA,8,0),"")</f>
        <v>0103553326</v>
      </c>
      <c r="J32" s="77" t="str">
        <f>IFERROR(VLOOKUP($AA32,PLAN!$B:$AA,9,0),"")</f>
        <v>260707Y21D</v>
      </c>
      <c r="K32" s="77">
        <f>IFERROR(VLOOKUP($AA32,PLAN!$B:$AA,10,0),"")</f>
        <v>9</v>
      </c>
      <c r="L32" s="77" t="str">
        <f>IFERROR(VLOOKUP($AA32,PLAN!$B:$AA,15,0),"")</f>
        <v>TEST</v>
      </c>
      <c r="M32" s="77">
        <f>IFERROR(VLOOKUP($AA32,PLAN!$B:$AA,18,0),"")</f>
        <v>0</v>
      </c>
      <c r="N32" s="227">
        <f>IFERROR(VLOOKUP($AA32,PLAN!$B:$AA,19,0),"")</f>
        <v>0</v>
      </c>
      <c r="O32" s="77" t="str">
        <f>IFERROR(VLOOKUP($AA32,PLAN!$B:$AA,12,0),"")</f>
        <v xml:space="preserve"> PR19SR003-0-D</v>
      </c>
      <c r="P32" s="77">
        <f>IFERROR(VLOOKUP($AA32,PLAN!$B:$AA,11,0),"")</f>
        <v>12001113</v>
      </c>
      <c r="Q32" s="148" t="s">
        <v>517</v>
      </c>
      <c r="R32" s="149" t="s">
        <v>518</v>
      </c>
      <c r="S32" s="149">
        <f t="shared" si="5"/>
        <v>9</v>
      </c>
      <c r="T32" s="131"/>
      <c r="U32" s="78">
        <f>IFERROR(VLOOKUP($AA32,PLAN!$B:$AA,21,0),"")</f>
        <v>46230</v>
      </c>
      <c r="V32" s="78" t="str">
        <f>IFERROR(VLOOKUP($AA32,PLAN!$B:$AA,22,0),"")</f>
        <v>TEST</v>
      </c>
      <c r="W32" s="232"/>
      <c r="X32" s="233"/>
      <c r="Y32" s="212"/>
      <c r="Z32" s="350"/>
      <c r="AA32" s="195" t="s">
        <v>726</v>
      </c>
      <c r="AB32" s="18" t="s">
        <v>937</v>
      </c>
      <c r="AC32" s="132"/>
    </row>
    <row r="33" spans="3:29" s="79" customFormat="1" ht="25.2" customHeight="1">
      <c r="C33" s="249" t="str">
        <f t="shared" si="4"/>
        <v>QC-13</v>
      </c>
      <c r="D33" s="77">
        <f>IFERROR(VLOOKUP($AA33,PLAN!$B:$AA,3,0),"")</f>
        <v>11134563</v>
      </c>
      <c r="E33" s="77" t="str">
        <f>IFERROR(VLOOKUP($AA33,PLAN!$B:$AA,4,0),"")</f>
        <v>2041304-C-A</v>
      </c>
      <c r="F33" s="77" t="str">
        <f>IFERROR(VLOOKUP($AA33,PLAN!$B:$AA,5,0),"")</f>
        <v>ASAHI Masters PARKWAY HF 150cm Straight</v>
      </c>
      <c r="G33" s="77" t="str">
        <f>IFERROR(VLOOKUP($AA33,PLAN!$B:$AA,2,0),"")</f>
        <v>2000126731</v>
      </c>
      <c r="H33" s="113">
        <f>IFERROR(VLOOKUP($AA33,PLAN!$B:$AA,7,0),"")</f>
        <v>46234</v>
      </c>
      <c r="I33" s="77" t="str">
        <f>IFERROR(VLOOKUP($AA33,PLAN!$B:$AA,8,0),"")</f>
        <v>0103539435</v>
      </c>
      <c r="J33" s="77" t="str">
        <f>IFERROR(VLOOKUP($AA33,PLAN!$B:$AA,9,0),"")</f>
        <v>260707Y30A</v>
      </c>
      <c r="K33" s="77">
        <f>IFERROR(VLOOKUP($AA33,PLAN!$B:$AA,10,0),"")</f>
        <v>3</v>
      </c>
      <c r="L33" s="77" t="str">
        <f>IFERROR(VLOOKUP($AA33,PLAN!$B:$AA,15,0),"")</f>
        <v>TEST</v>
      </c>
      <c r="M33" s="77">
        <f>IFERROR(VLOOKUP($AA33,PLAN!$B:$AA,18,0),"")</f>
        <v>0</v>
      </c>
      <c r="N33" s="227">
        <f>IFERROR(VLOOKUP($AA33,PLAN!$B:$AA,19,0),"")</f>
        <v>0</v>
      </c>
      <c r="O33" s="77" t="str">
        <f>IFERROR(VLOOKUP($AA33,PLAN!$B:$AA,12,0),"")</f>
        <v>2042141-B-C</v>
      </c>
      <c r="P33" s="77">
        <f>IFERROR(VLOOKUP($AA33,PLAN!$B:$AA,11,0),"")</f>
        <v>12131598</v>
      </c>
      <c r="Q33" s="148" t="s">
        <v>940</v>
      </c>
      <c r="R33" s="149" t="s">
        <v>941</v>
      </c>
      <c r="S33" s="149">
        <f t="shared" si="5"/>
        <v>3</v>
      </c>
      <c r="T33" s="131"/>
      <c r="U33" s="78" t="str">
        <f>IFERROR(VLOOKUP($AA33,PLAN!$B:$AA,21,0),"")</f>
        <v>N/A</v>
      </c>
      <c r="V33" s="78" t="str">
        <f>IFERROR(VLOOKUP($AA33,PLAN!$B:$AA,22,0),"")</f>
        <v>TEST</v>
      </c>
      <c r="W33" s="232"/>
      <c r="X33" s="233"/>
      <c r="Y33" s="212"/>
      <c r="Z33" s="350"/>
      <c r="AA33" s="195" t="s">
        <v>727</v>
      </c>
      <c r="AB33" s="18" t="s">
        <v>937</v>
      </c>
      <c r="AC33" s="132"/>
    </row>
    <row r="34" spans="3:29" s="79" customFormat="1" ht="25.2" customHeight="1">
      <c r="C34" s="249" t="str">
        <f t="shared" si="4"/>
        <v>QC-14</v>
      </c>
      <c r="D34" s="77">
        <f>IFERROR(VLOOKUP($AA34,PLAN!$B:$AA,3,0),"")</f>
        <v>11134563</v>
      </c>
      <c r="E34" s="77" t="str">
        <f>IFERROR(VLOOKUP($AA34,PLAN!$B:$AA,4,0),"")</f>
        <v>2041304-C-A</v>
      </c>
      <c r="F34" s="77" t="str">
        <f>IFERROR(VLOOKUP($AA34,PLAN!$B:$AA,5,0),"")</f>
        <v>ASAHI Masters PARKWAY HF 150cm Straight</v>
      </c>
      <c r="G34" s="77" t="str">
        <f>IFERROR(VLOOKUP($AA34,PLAN!$B:$AA,2,0),"")</f>
        <v>2000126732</v>
      </c>
      <c r="H34" s="113">
        <f>IFERROR(VLOOKUP($AA34,PLAN!$B:$AA,7,0),"")</f>
        <v>46234</v>
      </c>
      <c r="I34" s="77" t="str">
        <f>IFERROR(VLOOKUP($AA34,PLAN!$B:$AA,8,0),"")</f>
        <v>0103539437</v>
      </c>
      <c r="J34" s="77" t="str">
        <f>IFERROR(VLOOKUP($AA34,PLAN!$B:$AA,9,0),"")</f>
        <v>260707Y30B</v>
      </c>
      <c r="K34" s="77">
        <f>IFERROR(VLOOKUP($AA34,PLAN!$B:$AA,10,0),"")</f>
        <v>9</v>
      </c>
      <c r="L34" s="77" t="str">
        <f>IFERROR(VLOOKUP($AA34,PLAN!$B:$AA,15,0),"")</f>
        <v>TEST</v>
      </c>
      <c r="M34" s="77">
        <f>IFERROR(VLOOKUP($AA34,PLAN!$B:$AA,18,0),"")</f>
        <v>0</v>
      </c>
      <c r="N34" s="227">
        <f>IFERROR(VLOOKUP($AA34,PLAN!$B:$AA,19,0),"")</f>
        <v>0</v>
      </c>
      <c r="O34" s="77" t="str">
        <f>IFERROR(VLOOKUP($AA34,PLAN!$B:$AA,12,0),"")</f>
        <v>2042141-B-C</v>
      </c>
      <c r="P34" s="77">
        <f>IFERROR(VLOOKUP($AA34,PLAN!$B:$AA,11,0),"")</f>
        <v>12131598</v>
      </c>
      <c r="Q34" s="148" t="s">
        <v>940</v>
      </c>
      <c r="R34" s="149" t="s">
        <v>941</v>
      </c>
      <c r="S34" s="149">
        <f t="shared" si="5"/>
        <v>9</v>
      </c>
      <c r="T34" s="131"/>
      <c r="U34" s="78">
        <f>IFERROR(VLOOKUP($AA34,PLAN!$B:$AA,21,0),"")</f>
        <v>46230</v>
      </c>
      <c r="V34" s="78" t="str">
        <f>IFERROR(VLOOKUP($AA34,PLAN!$B:$AA,22,0),"")</f>
        <v>TEST</v>
      </c>
      <c r="W34" s="232"/>
      <c r="X34" s="233"/>
      <c r="Y34" s="212"/>
      <c r="Z34" s="350"/>
      <c r="AA34" s="195" t="s">
        <v>728</v>
      </c>
      <c r="AB34" s="18" t="s">
        <v>937</v>
      </c>
      <c r="AC34" s="132"/>
    </row>
    <row r="35" spans="3:29" s="79" customFormat="1" ht="25.2" customHeight="1">
      <c r="C35" s="249" t="str">
        <f t="shared" si="4"/>
        <v>QC-15</v>
      </c>
      <c r="D35" s="77">
        <f>IFERROR(VLOOKUP($AA35,PLAN!$B:$AA,3,0),"")</f>
        <v>11134563</v>
      </c>
      <c r="E35" s="77" t="str">
        <f>IFERROR(VLOOKUP($AA35,PLAN!$B:$AA,4,0),"")</f>
        <v>2041304-C-A</v>
      </c>
      <c r="F35" s="77" t="str">
        <f>IFERROR(VLOOKUP($AA35,PLAN!$B:$AA,5,0),"")</f>
        <v>ASAHI Masters PARKWAY HF 150cm Straight</v>
      </c>
      <c r="G35" s="77" t="str">
        <f>IFERROR(VLOOKUP($AA35,PLAN!$B:$AA,2,0),"")</f>
        <v>2000126733</v>
      </c>
      <c r="H35" s="113">
        <f>IFERROR(VLOOKUP($AA35,PLAN!$B:$AA,7,0),"")</f>
        <v>46234</v>
      </c>
      <c r="I35" s="77" t="str">
        <f>IFERROR(VLOOKUP($AA35,PLAN!$B:$AA,8,0),"")</f>
        <v>0103539438</v>
      </c>
      <c r="J35" s="77" t="str">
        <f>IFERROR(VLOOKUP($AA35,PLAN!$B:$AA,9,0),"")</f>
        <v>260707Y30D</v>
      </c>
      <c r="K35" s="77">
        <f>IFERROR(VLOOKUP($AA35,PLAN!$B:$AA,10,0),"")</f>
        <v>9</v>
      </c>
      <c r="L35" s="77" t="str">
        <f>IFERROR(VLOOKUP($AA35,PLAN!$B:$AA,15,0),"")</f>
        <v>TEST</v>
      </c>
      <c r="M35" s="77">
        <f>IFERROR(VLOOKUP($AA35,PLAN!$B:$AA,18,0),"")</f>
        <v>0</v>
      </c>
      <c r="N35" s="227">
        <f>IFERROR(VLOOKUP($AA35,PLAN!$B:$AA,19,0),"")</f>
        <v>0</v>
      </c>
      <c r="O35" s="77" t="str">
        <f>IFERROR(VLOOKUP($AA35,PLAN!$B:$AA,12,0),"")</f>
        <v>2042141-B-C</v>
      </c>
      <c r="P35" s="77">
        <f>IFERROR(VLOOKUP($AA35,PLAN!$B:$AA,11,0),"")</f>
        <v>12131598</v>
      </c>
      <c r="Q35" s="148" t="s">
        <v>940</v>
      </c>
      <c r="R35" s="149" t="s">
        <v>941</v>
      </c>
      <c r="S35" s="149">
        <v>2</v>
      </c>
      <c r="T35" s="131"/>
      <c r="U35" s="78">
        <f>IFERROR(VLOOKUP($AA35,PLAN!$B:$AA,21,0),"")</f>
        <v>46230</v>
      </c>
      <c r="V35" s="78" t="str">
        <f>IFERROR(VLOOKUP($AA35,PLAN!$B:$AA,22,0),"")</f>
        <v>TEST</v>
      </c>
      <c r="W35" s="232"/>
      <c r="X35" s="233"/>
      <c r="Y35" s="212"/>
      <c r="Z35" s="350"/>
      <c r="AA35" s="195" t="s">
        <v>729</v>
      </c>
      <c r="AB35" s="18" t="s">
        <v>937</v>
      </c>
      <c r="AC35" s="132"/>
    </row>
    <row r="36" spans="3:29" s="79" customFormat="1" ht="25.2" customHeight="1">
      <c r="C36" s="249"/>
      <c r="D36" s="77"/>
      <c r="E36" s="77"/>
      <c r="F36" s="77"/>
      <c r="G36" s="77"/>
      <c r="H36" s="113"/>
      <c r="I36" s="77"/>
      <c r="J36" s="77"/>
      <c r="K36" s="77"/>
      <c r="L36" s="77"/>
      <c r="M36" s="77"/>
      <c r="N36" s="227"/>
      <c r="O36" s="77"/>
      <c r="P36" s="77"/>
      <c r="Q36" s="277" t="s">
        <v>558</v>
      </c>
      <c r="R36" s="149" t="s">
        <v>559</v>
      </c>
      <c r="S36" s="149">
        <v>7</v>
      </c>
      <c r="T36" s="131"/>
      <c r="U36" s="78"/>
      <c r="V36" s="78"/>
      <c r="W36" s="232"/>
      <c r="X36" s="233"/>
      <c r="Y36" s="212"/>
      <c r="Z36" s="350"/>
      <c r="AA36" s="195"/>
      <c r="AB36" s="18" t="s">
        <v>937</v>
      </c>
      <c r="AC36" s="132"/>
    </row>
    <row r="37" spans="3:29" s="79" customFormat="1" ht="25.2" customHeight="1">
      <c r="C37" s="249" t="str">
        <f t="shared" si="4"/>
        <v>QC-16</v>
      </c>
      <c r="D37" s="77">
        <f>IFERROR(VLOOKUP($AA37,PLAN!$B:$AA,3,0),"")</f>
        <v>11134247</v>
      </c>
      <c r="E37" s="77" t="str">
        <f>IFERROR(VLOOKUP($AA37,PLAN!$B:$AA,4,0),"")</f>
        <v>2141050-D-A</v>
      </c>
      <c r="F37" s="77" t="str">
        <f>IFERROR(VLOOKUP($AA37,PLAN!$B:$AA,5,0),"")</f>
        <v>ASAHI Caravel 150cm</v>
      </c>
      <c r="G37" s="77" t="str">
        <f>IFERROR(VLOOKUP($AA37,PLAN!$B:$AA,2,0),"")</f>
        <v>2000126734</v>
      </c>
      <c r="H37" s="113">
        <f>IFERROR(VLOOKUP($AA37,PLAN!$B:$AA,7,0),"")</f>
        <v>46234</v>
      </c>
      <c r="I37" s="77" t="str">
        <f>IFERROR(VLOOKUP($AA37,PLAN!$B:$AA,8,0),"")</f>
        <v>0103539439</v>
      </c>
      <c r="J37" s="77" t="str">
        <f>IFERROR(VLOOKUP($AA37,PLAN!$B:$AA,9,0),"")</f>
        <v>260707Y31A</v>
      </c>
      <c r="K37" s="77">
        <f>IFERROR(VLOOKUP($AA37,PLAN!$B:$AA,10,0),"")</f>
        <v>3</v>
      </c>
      <c r="L37" s="77" t="str">
        <f>IFERROR(VLOOKUP($AA37,PLAN!$B:$AA,15,0),"")</f>
        <v>TEST</v>
      </c>
      <c r="M37" s="77">
        <f>IFERROR(VLOOKUP($AA37,PLAN!$B:$AA,18,0),"")</f>
        <v>0</v>
      </c>
      <c r="N37" s="227">
        <f>IFERROR(VLOOKUP($AA37,PLAN!$B:$AA,19,0),"")</f>
        <v>0</v>
      </c>
      <c r="O37" s="77" t="str">
        <f>IFERROR(VLOOKUP($AA37,PLAN!$B:$AA,12,0),"")</f>
        <v xml:space="preserve"> 1842015-B-C</v>
      </c>
      <c r="P37" s="77">
        <f>IFERROR(VLOOKUP($AA37,PLAN!$B:$AA,11,0),"")</f>
        <v>12129253</v>
      </c>
      <c r="Q37" s="148" t="s">
        <v>378</v>
      </c>
      <c r="R37" s="149" t="s">
        <v>379</v>
      </c>
      <c r="S37" s="149">
        <f t="shared" si="5"/>
        <v>3</v>
      </c>
      <c r="T37" s="131"/>
      <c r="U37" s="78" t="str">
        <f>IFERROR(VLOOKUP($AA37,PLAN!$B:$AA,21,0),"")</f>
        <v>N/A</v>
      </c>
      <c r="V37" s="78" t="str">
        <f>IFERROR(VLOOKUP($AA37,PLAN!$B:$AA,22,0),"")</f>
        <v>TEST</v>
      </c>
      <c r="W37" s="232"/>
      <c r="X37" s="233"/>
      <c r="Y37" s="212"/>
      <c r="Z37" s="350"/>
      <c r="AA37" s="195" t="s">
        <v>730</v>
      </c>
      <c r="AB37" s="18" t="s">
        <v>937</v>
      </c>
      <c r="AC37" s="132"/>
    </row>
    <row r="38" spans="3:29" s="79" customFormat="1" ht="25.2" customHeight="1">
      <c r="C38" s="249" t="str">
        <f t="shared" si="4"/>
        <v>QC-17</v>
      </c>
      <c r="D38" s="77">
        <f>IFERROR(VLOOKUP($AA38,PLAN!$B:$AA,3,0),"")</f>
        <v>11134247</v>
      </c>
      <c r="E38" s="77" t="str">
        <f>IFERROR(VLOOKUP($AA38,PLAN!$B:$AA,4,0),"")</f>
        <v>2141050-D-A</v>
      </c>
      <c r="F38" s="77" t="str">
        <f>IFERROR(VLOOKUP($AA38,PLAN!$B:$AA,5,0),"")</f>
        <v>ASAHI Caravel 150cm</v>
      </c>
      <c r="G38" s="77" t="str">
        <f>IFERROR(VLOOKUP($AA38,PLAN!$B:$AA,2,0),"")</f>
        <v>2000126735</v>
      </c>
      <c r="H38" s="113">
        <f>IFERROR(VLOOKUP($AA38,PLAN!$B:$AA,7,0),"")</f>
        <v>46234</v>
      </c>
      <c r="I38" s="77" t="str">
        <f>IFERROR(VLOOKUP($AA38,PLAN!$B:$AA,8,0),"")</f>
        <v>0103539440</v>
      </c>
      <c r="J38" s="77" t="str">
        <f>IFERROR(VLOOKUP($AA38,PLAN!$B:$AA,9,0),"")</f>
        <v>260707Y31B</v>
      </c>
      <c r="K38" s="77">
        <f>IFERROR(VLOOKUP($AA38,PLAN!$B:$AA,10,0),"")</f>
        <v>9</v>
      </c>
      <c r="L38" s="77" t="str">
        <f>IFERROR(VLOOKUP($AA38,PLAN!$B:$AA,15,0),"")</f>
        <v>TEST</v>
      </c>
      <c r="M38" s="77">
        <f>IFERROR(VLOOKUP($AA38,PLAN!$B:$AA,18,0),"")</f>
        <v>0</v>
      </c>
      <c r="N38" s="227">
        <f>IFERROR(VLOOKUP($AA38,PLAN!$B:$AA,19,0),"")</f>
        <v>0</v>
      </c>
      <c r="O38" s="77" t="str">
        <f>IFERROR(VLOOKUP($AA38,PLAN!$B:$AA,12,0),"")</f>
        <v xml:space="preserve"> 1842015-B-C</v>
      </c>
      <c r="P38" s="77">
        <f>IFERROR(VLOOKUP($AA38,PLAN!$B:$AA,11,0),"")</f>
        <v>12129253</v>
      </c>
      <c r="Q38" s="148" t="s">
        <v>378</v>
      </c>
      <c r="R38" s="149" t="s">
        <v>379</v>
      </c>
      <c r="S38" s="149">
        <f t="shared" si="5"/>
        <v>9</v>
      </c>
      <c r="T38" s="131"/>
      <c r="U38" s="78">
        <f>IFERROR(VLOOKUP($AA38,PLAN!$B:$AA,21,0),"")</f>
        <v>46230</v>
      </c>
      <c r="V38" s="78" t="str">
        <f>IFERROR(VLOOKUP($AA38,PLAN!$B:$AA,22,0),"")</f>
        <v>TEST</v>
      </c>
      <c r="W38" s="232"/>
      <c r="X38" s="233"/>
      <c r="Y38" s="212"/>
      <c r="Z38" s="350"/>
      <c r="AA38" s="195" t="s">
        <v>731</v>
      </c>
      <c r="AB38" s="18" t="s">
        <v>937</v>
      </c>
      <c r="AC38" s="132"/>
    </row>
    <row r="39" spans="3:29" s="79" customFormat="1" ht="25.2" customHeight="1">
      <c r="C39" s="249" t="str">
        <f t="shared" si="4"/>
        <v>QC-18</v>
      </c>
      <c r="D39" s="77">
        <f>IFERROR(VLOOKUP($AA39,PLAN!$B:$AA,3,0),"")</f>
        <v>11134247</v>
      </c>
      <c r="E39" s="77" t="str">
        <f>IFERROR(VLOOKUP($AA39,PLAN!$B:$AA,4,0),"")</f>
        <v>2141050-D-A</v>
      </c>
      <c r="F39" s="77" t="str">
        <f>IFERROR(VLOOKUP($AA39,PLAN!$B:$AA,5,0),"")</f>
        <v>ASAHI Caravel 150cm</v>
      </c>
      <c r="G39" s="77" t="str">
        <f>IFERROR(VLOOKUP($AA39,PLAN!$B:$AA,2,0),"")</f>
        <v>2000126736</v>
      </c>
      <c r="H39" s="113">
        <f>IFERROR(VLOOKUP($AA39,PLAN!$B:$AA,7,0),"")</f>
        <v>46234</v>
      </c>
      <c r="I39" s="77" t="str">
        <f>IFERROR(VLOOKUP($AA39,PLAN!$B:$AA,8,0),"")</f>
        <v>0103539441</v>
      </c>
      <c r="J39" s="77" t="str">
        <f>IFERROR(VLOOKUP($AA39,PLAN!$B:$AA,9,0),"")</f>
        <v>260707Y31D</v>
      </c>
      <c r="K39" s="77">
        <f>IFERROR(VLOOKUP($AA39,PLAN!$B:$AA,10,0),"")</f>
        <v>9</v>
      </c>
      <c r="L39" s="77" t="str">
        <f>IFERROR(VLOOKUP($AA39,PLAN!$B:$AA,15,0),"")</f>
        <v>TEST</v>
      </c>
      <c r="M39" s="77">
        <f>IFERROR(VLOOKUP($AA39,PLAN!$B:$AA,18,0),"")</f>
        <v>0</v>
      </c>
      <c r="N39" s="227">
        <f>IFERROR(VLOOKUP($AA39,PLAN!$B:$AA,19,0),"")</f>
        <v>0</v>
      </c>
      <c r="O39" s="77" t="str">
        <f>IFERROR(VLOOKUP($AA39,PLAN!$B:$AA,12,0),"")</f>
        <v xml:space="preserve"> 1842015-B-C</v>
      </c>
      <c r="P39" s="77">
        <f>IFERROR(VLOOKUP($AA39,PLAN!$B:$AA,11,0),"")</f>
        <v>12129253</v>
      </c>
      <c r="Q39" s="148" t="s">
        <v>378</v>
      </c>
      <c r="R39" s="149" t="s">
        <v>379</v>
      </c>
      <c r="S39" s="149">
        <f t="shared" si="5"/>
        <v>9</v>
      </c>
      <c r="T39" s="131"/>
      <c r="U39" s="78">
        <f>IFERROR(VLOOKUP($AA39,PLAN!$B:$AA,21,0),"")</f>
        <v>46230</v>
      </c>
      <c r="V39" s="78" t="str">
        <f>IFERROR(VLOOKUP($AA39,PLAN!$B:$AA,22,0),"")</f>
        <v>TEST</v>
      </c>
      <c r="W39" s="232"/>
      <c r="X39" s="233"/>
      <c r="Y39" s="212"/>
      <c r="Z39" s="350"/>
      <c r="AA39" s="195" t="s">
        <v>732</v>
      </c>
      <c r="AB39" s="18" t="s">
        <v>937</v>
      </c>
      <c r="AC39" s="132"/>
    </row>
    <row r="40" spans="3:29" s="79" customFormat="1" ht="25.2" customHeight="1">
      <c r="C40" s="249" t="str">
        <f t="shared" si="4"/>
        <v>QC-19</v>
      </c>
      <c r="D40" s="77">
        <f>IFERROR(VLOOKUP($AA40,PLAN!$B:$AA,3,0),"")</f>
        <v>11134249</v>
      </c>
      <c r="E40" s="77" t="str">
        <f>IFERROR(VLOOKUP($AA40,PLAN!$B:$AA,4,0),"")</f>
        <v>2041190-D-A</v>
      </c>
      <c r="F40" s="77" t="str">
        <f>IFERROR(VLOOKUP($AA40,PLAN!$B:$AA,5,0),"")</f>
        <v>ASAHI Corsair Pro 150㎝</v>
      </c>
      <c r="G40" s="77" t="str">
        <f>IFERROR(VLOOKUP($AA40,PLAN!$B:$AA,2,0),"")</f>
        <v>2000126737</v>
      </c>
      <c r="H40" s="113">
        <f>IFERROR(VLOOKUP($AA40,PLAN!$B:$AA,7,0),"")</f>
        <v>46234</v>
      </c>
      <c r="I40" s="77" t="str">
        <f>IFERROR(VLOOKUP($AA40,PLAN!$B:$AA,8,0),"")</f>
        <v>0103539442</v>
      </c>
      <c r="J40" s="77" t="str">
        <f>IFERROR(VLOOKUP($AA40,PLAN!$B:$AA,9,0),"")</f>
        <v>260707Y32A</v>
      </c>
      <c r="K40" s="77">
        <f>IFERROR(VLOOKUP($AA40,PLAN!$B:$AA,10,0),"")</f>
        <v>3</v>
      </c>
      <c r="L40" s="77" t="str">
        <f>IFERROR(VLOOKUP($AA40,PLAN!$B:$AA,15,0),"")</f>
        <v>TEST</v>
      </c>
      <c r="M40" s="77">
        <f>IFERROR(VLOOKUP($AA40,PLAN!$B:$AA,18,0),"")</f>
        <v>0</v>
      </c>
      <c r="N40" s="227">
        <f>IFERROR(VLOOKUP($AA40,PLAN!$B:$AA,19,0),"")</f>
        <v>0</v>
      </c>
      <c r="O40" s="77" t="str">
        <f>IFERROR(VLOOKUP($AA40,PLAN!$B:$AA,12,0),"")</f>
        <v xml:space="preserve">2342020-A-C-CN </v>
      </c>
      <c r="P40" s="77">
        <f>IFERROR(VLOOKUP($AA40,PLAN!$B:$AA,11,0),"")</f>
        <v>12139932</v>
      </c>
      <c r="Q40" s="148" t="s">
        <v>431</v>
      </c>
      <c r="R40" s="149" t="s">
        <v>432</v>
      </c>
      <c r="S40" s="149">
        <f t="shared" si="5"/>
        <v>3</v>
      </c>
      <c r="T40" s="131"/>
      <c r="U40" s="78" t="str">
        <f>IFERROR(VLOOKUP($AA40,PLAN!$B:$AA,21,0),"")</f>
        <v>N/A</v>
      </c>
      <c r="V40" s="78" t="str">
        <f>IFERROR(VLOOKUP($AA40,PLAN!$B:$AA,22,0),"")</f>
        <v>TEST</v>
      </c>
      <c r="W40" s="232"/>
      <c r="X40" s="233"/>
      <c r="Y40" s="212"/>
      <c r="Z40" s="350"/>
      <c r="AA40" s="195" t="s">
        <v>733</v>
      </c>
      <c r="AB40" s="18" t="s">
        <v>937</v>
      </c>
      <c r="AC40" s="132"/>
    </row>
    <row r="41" spans="3:29" s="79" customFormat="1" ht="25.2" customHeight="1">
      <c r="C41" s="249" t="str">
        <f t="shared" si="4"/>
        <v>QC-20</v>
      </c>
      <c r="D41" s="77">
        <f>IFERROR(VLOOKUP($AA41,PLAN!$B:$AA,3,0),"")</f>
        <v>11134249</v>
      </c>
      <c r="E41" s="77" t="str">
        <f>IFERROR(VLOOKUP($AA41,PLAN!$B:$AA,4,0),"")</f>
        <v>2041190-D-A</v>
      </c>
      <c r="F41" s="77" t="str">
        <f>IFERROR(VLOOKUP($AA41,PLAN!$B:$AA,5,0),"")</f>
        <v>ASAHI Corsair Pro 150㎝</v>
      </c>
      <c r="G41" s="77" t="str">
        <f>IFERROR(VLOOKUP($AA41,PLAN!$B:$AA,2,0),"")</f>
        <v>2000126738</v>
      </c>
      <c r="H41" s="113">
        <f>IFERROR(VLOOKUP($AA41,PLAN!$B:$AA,7,0),"")</f>
        <v>46234</v>
      </c>
      <c r="I41" s="77" t="str">
        <f>IFERROR(VLOOKUP($AA41,PLAN!$B:$AA,8,0),"")</f>
        <v>0103539443</v>
      </c>
      <c r="J41" s="77" t="str">
        <f>IFERROR(VLOOKUP($AA41,PLAN!$B:$AA,9,0),"")</f>
        <v>260707Y32D</v>
      </c>
      <c r="K41" s="77">
        <f>IFERROR(VLOOKUP($AA41,PLAN!$B:$AA,10,0),"")</f>
        <v>9</v>
      </c>
      <c r="L41" s="77" t="str">
        <f>IFERROR(VLOOKUP($AA41,PLAN!$B:$AA,15,0),"")</f>
        <v>TEST</v>
      </c>
      <c r="M41" s="77">
        <f>IFERROR(VLOOKUP($AA41,PLAN!$B:$AA,18,0),"")</f>
        <v>0</v>
      </c>
      <c r="N41" s="227">
        <f>IFERROR(VLOOKUP($AA41,PLAN!$B:$AA,19,0),"")</f>
        <v>0</v>
      </c>
      <c r="O41" s="77" t="str">
        <f>IFERROR(VLOOKUP($AA41,PLAN!$B:$AA,12,0),"")</f>
        <v xml:space="preserve">2342020-A-C-CN </v>
      </c>
      <c r="P41" s="77">
        <f>IFERROR(VLOOKUP($AA41,PLAN!$B:$AA,11,0),"")</f>
        <v>12139932</v>
      </c>
      <c r="Q41" s="148" t="s">
        <v>431</v>
      </c>
      <c r="R41" s="149" t="s">
        <v>432</v>
      </c>
      <c r="S41" s="149">
        <f t="shared" si="5"/>
        <v>9</v>
      </c>
      <c r="T41" s="131"/>
      <c r="U41" s="78">
        <f>IFERROR(VLOOKUP($AA41,PLAN!$B:$AA,21,0),"")</f>
        <v>46230</v>
      </c>
      <c r="V41" s="78" t="str">
        <f>IFERROR(VLOOKUP($AA41,PLAN!$B:$AA,22,0),"")</f>
        <v>TEST</v>
      </c>
      <c r="W41" s="232"/>
      <c r="X41" s="233"/>
      <c r="Y41" s="212"/>
      <c r="Z41" s="350"/>
      <c r="AA41" s="195" t="s">
        <v>734</v>
      </c>
      <c r="AB41" s="18" t="s">
        <v>937</v>
      </c>
      <c r="AC41" s="132"/>
    </row>
    <row r="42" spans="3:29" s="79" customFormat="1" ht="25.2" customHeight="1">
      <c r="C42" s="249" t="str">
        <f t="shared" si="4"/>
        <v>QC-21</v>
      </c>
      <c r="D42" s="77">
        <f>IFERROR(VLOOKUP($AA42,PLAN!$B:$AA,3,0),"")</f>
        <v>11119663</v>
      </c>
      <c r="E42" s="77" t="str">
        <f>IFERROR(VLOOKUP($AA42,PLAN!$B:$AA,4,0),"")</f>
        <v>1911329-D-A</v>
      </c>
      <c r="F42" s="77" t="str">
        <f>IFERROR(VLOOKUP($AA42,PLAN!$B:$AA,5,0),"")</f>
        <v>HJ80AL102P10002 JP</v>
      </c>
      <c r="G42" s="77" t="str">
        <f>IFERROR(VLOOKUP($AA42,PLAN!$B:$AA,2,0),"")</f>
        <v>2000126739</v>
      </c>
      <c r="H42" s="113">
        <f>IFERROR(VLOOKUP($AA42,PLAN!$B:$AA,7,0),"")</f>
        <v>46234</v>
      </c>
      <c r="I42" s="77" t="str">
        <f>IFERROR(VLOOKUP($AA42,PLAN!$B:$AA,8,0),"")</f>
        <v>0103539445</v>
      </c>
      <c r="J42" s="352" t="str">
        <f>IFERROR(VLOOKUP($AA42,PLAN!$B:$AA,9,0),"")</f>
        <v>260707Y33A</v>
      </c>
      <c r="K42" s="77">
        <f>IFERROR(VLOOKUP($AA42,PLAN!$B:$AA,10,0),"")</f>
        <v>3</v>
      </c>
      <c r="L42" s="77" t="str">
        <f>IFERROR(VLOOKUP($AA42,PLAN!$B:$AA,15,0),"")</f>
        <v>TEST</v>
      </c>
      <c r="M42" s="77">
        <f>IFERROR(VLOOKUP($AA42,PLAN!$B:$AA,18,0),"")</f>
        <v>0</v>
      </c>
      <c r="N42" s="227">
        <f>IFERROR(VLOOKUP($AA42,PLAN!$B:$AA,19,0),"")</f>
        <v>0</v>
      </c>
      <c r="O42" s="77" t="str">
        <f>IFERROR(VLOOKUP($AA42,PLAN!$B:$AA,12,0),"")</f>
        <v>2112331-0-C</v>
      </c>
      <c r="P42" s="77">
        <f>IFERROR(VLOOKUP($AA42,PLAN!$B:$AA,11,0),"")</f>
        <v>12116298</v>
      </c>
      <c r="Q42" s="349" t="s">
        <v>889</v>
      </c>
      <c r="R42" s="158" t="s">
        <v>890</v>
      </c>
      <c r="S42" s="149">
        <f t="shared" si="5"/>
        <v>3</v>
      </c>
      <c r="T42" s="131"/>
      <c r="U42" s="78" t="str">
        <f>IFERROR(VLOOKUP($AA42,PLAN!$B:$AA,21,0),"")</f>
        <v>N/A</v>
      </c>
      <c r="V42" s="78" t="str">
        <f>IFERROR(VLOOKUP($AA42,PLAN!$B:$AA,22,0),"")</f>
        <v>TEST</v>
      </c>
      <c r="W42" s="232"/>
      <c r="X42" s="233"/>
      <c r="Y42" s="212"/>
      <c r="Z42" s="350"/>
      <c r="AA42" s="195" t="s">
        <v>735</v>
      </c>
      <c r="AB42" s="18" t="s">
        <v>937</v>
      </c>
      <c r="AC42" s="132"/>
    </row>
    <row r="43" spans="3:29" s="79" customFormat="1" ht="25.2" customHeight="1">
      <c r="C43" s="249" t="str">
        <f t="shared" si="4"/>
        <v>QC-22</v>
      </c>
      <c r="D43" s="77">
        <f>IFERROR(VLOOKUP($AA43,PLAN!$B:$AA,3,0),"")</f>
        <v>11119663</v>
      </c>
      <c r="E43" s="77" t="str">
        <f>IFERROR(VLOOKUP($AA43,PLAN!$B:$AA,4,0),"")</f>
        <v>1911329-D-A</v>
      </c>
      <c r="F43" s="77" t="str">
        <f>IFERROR(VLOOKUP($AA43,PLAN!$B:$AA,5,0),"")</f>
        <v>HJ80AL102P10002 JP</v>
      </c>
      <c r="G43" s="77" t="str">
        <f>IFERROR(VLOOKUP($AA43,PLAN!$B:$AA,2,0),"")</f>
        <v>2000126740</v>
      </c>
      <c r="H43" s="113">
        <f>IFERROR(VLOOKUP($AA43,PLAN!$B:$AA,7,0),"")</f>
        <v>46234</v>
      </c>
      <c r="I43" s="77" t="str">
        <f>IFERROR(VLOOKUP($AA43,PLAN!$B:$AA,8,0),"")</f>
        <v>0103539446</v>
      </c>
      <c r="J43" s="77" t="str">
        <f>IFERROR(VLOOKUP($AA43,PLAN!$B:$AA,9,0),"")</f>
        <v>260707Y33B</v>
      </c>
      <c r="K43" s="77">
        <f>IFERROR(VLOOKUP($AA43,PLAN!$B:$AA,10,0),"")</f>
        <v>6</v>
      </c>
      <c r="L43" s="77" t="str">
        <f>IFERROR(VLOOKUP($AA43,PLAN!$B:$AA,15,0),"")</f>
        <v>TEST</v>
      </c>
      <c r="M43" s="77">
        <f>IFERROR(VLOOKUP($AA43,PLAN!$B:$AA,18,0),"")</f>
        <v>0</v>
      </c>
      <c r="N43" s="227">
        <f>IFERROR(VLOOKUP($AA43,PLAN!$B:$AA,19,0),"")</f>
        <v>0</v>
      </c>
      <c r="O43" s="77" t="str">
        <f>IFERROR(VLOOKUP($AA43,PLAN!$B:$AA,12,0),"")</f>
        <v>2112331-0-C</v>
      </c>
      <c r="P43" s="77">
        <f>IFERROR(VLOOKUP($AA43,PLAN!$B:$AA,11,0),"")</f>
        <v>12116298</v>
      </c>
      <c r="Q43" s="349" t="s">
        <v>889</v>
      </c>
      <c r="R43" s="158" t="s">
        <v>890</v>
      </c>
      <c r="S43" s="149">
        <f t="shared" si="5"/>
        <v>6</v>
      </c>
      <c r="T43" s="131"/>
      <c r="U43" s="78">
        <f>IFERROR(VLOOKUP($AA43,PLAN!$B:$AA,21,0),"")</f>
        <v>46230</v>
      </c>
      <c r="V43" s="78" t="str">
        <f>IFERROR(VLOOKUP($AA43,PLAN!$B:$AA,22,0),"")</f>
        <v>TEST</v>
      </c>
      <c r="W43" s="232"/>
      <c r="X43" s="233"/>
      <c r="Y43" s="212"/>
      <c r="Z43" s="350"/>
      <c r="AA43" s="195" t="s">
        <v>736</v>
      </c>
      <c r="AB43" s="18" t="s">
        <v>937</v>
      </c>
      <c r="AC43" s="132"/>
    </row>
    <row r="44" spans="3:29" s="79" customFormat="1" ht="25.2" customHeight="1">
      <c r="C44" s="249" t="str">
        <f t="shared" si="4"/>
        <v>QC-23</v>
      </c>
      <c r="D44" s="77">
        <f>IFERROR(VLOOKUP($AA44,PLAN!$B:$AA,3,0),"")</f>
        <v>11134203</v>
      </c>
      <c r="E44" s="77" t="str">
        <f>IFERROR(VLOOKUP($AA44,PLAN!$B:$AA,4,0),"")</f>
        <v>2211671-D-A</v>
      </c>
      <c r="F44" s="77" t="str">
        <f>IFERROR(VLOOKUP($AA44,PLAN!$B:$AA,5,0),"")</f>
        <v>HW80AL102P10000 CN</v>
      </c>
      <c r="G44" s="77" t="str">
        <f>IFERROR(VLOOKUP($AA44,PLAN!$B:$AA,2,0),"")</f>
        <v>2000127121</v>
      </c>
      <c r="H44" s="113">
        <f>IFERROR(VLOOKUP($AA44,PLAN!$B:$AA,7,0),"")</f>
        <v>46234</v>
      </c>
      <c r="I44" s="77" t="str">
        <f>IFERROR(VLOOKUP($AA44,PLAN!$B:$AA,8,0),"")</f>
        <v>0103548965</v>
      </c>
      <c r="J44" s="352" t="str">
        <f>IFERROR(VLOOKUP($AA44,PLAN!$B:$AA,9,0),"")</f>
        <v>260713Y01A</v>
      </c>
      <c r="K44" s="77">
        <f>IFERROR(VLOOKUP($AA44,PLAN!$B:$AA,10,0),"")</f>
        <v>3</v>
      </c>
      <c r="L44" s="77" t="str">
        <f>IFERROR(VLOOKUP($AA44,PLAN!$B:$AA,15,0),"")</f>
        <v>TEST</v>
      </c>
      <c r="M44" s="77">
        <f>IFERROR(VLOOKUP($AA44,PLAN!$B:$AA,18,0),"")</f>
        <v>0</v>
      </c>
      <c r="N44" s="227">
        <f>IFERROR(VLOOKUP($AA44,PLAN!$B:$AA,19,0),"")</f>
        <v>0</v>
      </c>
      <c r="O44" s="77" t="str">
        <f>IFERROR(VLOOKUP($AA44,PLAN!$B:$AA,12,0),"")</f>
        <v>2112244-0-C-CN</v>
      </c>
      <c r="P44" s="77">
        <f>IFERROR(VLOOKUP($AA44,PLAN!$B:$AA,11,0),"")</f>
        <v>12130255</v>
      </c>
      <c r="Q44" s="349" t="s">
        <v>1191</v>
      </c>
      <c r="R44" s="158" t="s">
        <v>1192</v>
      </c>
      <c r="S44" s="149">
        <f>K44</f>
        <v>3</v>
      </c>
      <c r="T44" s="131"/>
      <c r="U44" s="78" t="str">
        <f>IFERROR(VLOOKUP($AA44,PLAN!$B:$AA,21,0),"")</f>
        <v>N/A</v>
      </c>
      <c r="V44" s="78" t="str">
        <f>IFERROR(VLOOKUP($AA44,PLAN!$B:$AA,22,0),"")</f>
        <v>TEST</v>
      </c>
      <c r="W44" s="232"/>
      <c r="X44" s="233"/>
      <c r="Y44" s="212"/>
      <c r="Z44" s="350"/>
      <c r="AA44" s="195" t="s">
        <v>737</v>
      </c>
      <c r="AB44" s="18" t="s">
        <v>937</v>
      </c>
      <c r="AC44" s="132"/>
    </row>
    <row r="45" spans="3:29" s="79" customFormat="1" ht="25.2" customHeight="1">
      <c r="C45" s="249" t="str">
        <f t="shared" ref="C45" si="6">AA45</f>
        <v>QC-26</v>
      </c>
      <c r="D45" s="77">
        <f>IFERROR(VLOOKUP($AA45,PLAN!$B:$AA,3,0),"")</f>
        <v>11134203</v>
      </c>
      <c r="E45" s="77" t="str">
        <f>IFERROR(VLOOKUP($AA45,PLAN!$B:$AA,4,0),"")</f>
        <v>2211671-D-A</v>
      </c>
      <c r="F45" s="77" t="str">
        <f>IFERROR(VLOOKUP($AA45,PLAN!$B:$AA,5,0),"")</f>
        <v>HW80AL102P10000 CN</v>
      </c>
      <c r="G45" s="77" t="str">
        <f>IFERROR(VLOOKUP($AA45,PLAN!$B:$AA,2,0),"")</f>
        <v>2000127122</v>
      </c>
      <c r="H45" s="113">
        <f>IFERROR(VLOOKUP($AA45,PLAN!$B:$AA,7,0),"")</f>
        <v>46234</v>
      </c>
      <c r="I45" s="77" t="str">
        <f>IFERROR(VLOOKUP($AA45,PLAN!$B:$AA,8,0),"")</f>
        <v>0103548970</v>
      </c>
      <c r="J45" s="352" t="str">
        <f>IFERROR(VLOOKUP($AA45,PLAN!$B:$AA,9,0),"")</f>
        <v>260713Y01D</v>
      </c>
      <c r="K45" s="77">
        <f>IFERROR(VLOOKUP($AA45,PLAN!$B:$AA,10,0),"")</f>
        <v>9</v>
      </c>
      <c r="L45" s="77" t="str">
        <f>IFERROR(VLOOKUP($AA45,PLAN!$B:$AA,15,0),"")</f>
        <v>TEST</v>
      </c>
      <c r="M45" s="77">
        <f>IFERROR(VLOOKUP($AA45,PLAN!$B:$AA,18,0),"")</f>
        <v>0</v>
      </c>
      <c r="N45" s="227">
        <f>IFERROR(VLOOKUP($AA45,PLAN!$B:$AA,19,0),"")</f>
        <v>0</v>
      </c>
      <c r="O45" s="77" t="str">
        <f>IFERROR(VLOOKUP($AA45,PLAN!$B:$AA,12,0),"")</f>
        <v>2112244-0-C-CN</v>
      </c>
      <c r="P45" s="77">
        <f>IFERROR(VLOOKUP($AA45,PLAN!$B:$AA,11,0),"")</f>
        <v>12130255</v>
      </c>
      <c r="Q45" s="349" t="s">
        <v>1191</v>
      </c>
      <c r="R45" s="158" t="s">
        <v>1192</v>
      </c>
      <c r="S45" s="149">
        <f>K45</f>
        <v>9</v>
      </c>
      <c r="T45" s="131"/>
      <c r="U45" s="78">
        <f>IFERROR(VLOOKUP($AA45,PLAN!$B:$AA,21,0),"")</f>
        <v>46230</v>
      </c>
      <c r="V45" s="78" t="str">
        <f>IFERROR(VLOOKUP($AA45,PLAN!$B:$AA,22,0),"")</f>
        <v>TEST</v>
      </c>
      <c r="W45" s="232"/>
      <c r="X45" s="233"/>
      <c r="Y45" s="212"/>
      <c r="Z45" s="350"/>
      <c r="AA45" s="195" t="s">
        <v>1193</v>
      </c>
      <c r="AB45" s="18" t="s">
        <v>937</v>
      </c>
      <c r="AC45" s="132"/>
    </row>
    <row r="46" spans="3:29" s="79" customFormat="1" ht="25.2" customHeight="1">
      <c r="C46" s="249" t="str">
        <f t="shared" si="4"/>
        <v>QC-24</v>
      </c>
      <c r="D46" s="77">
        <f>IFERROR(VLOOKUP($AA46,PLAN!$B:$AA,3,0),"")</f>
        <v>12129248</v>
      </c>
      <c r="E46" s="77" t="str">
        <f>IFERROR(VLOOKUP($AA46,PLAN!$B:$AA,4,0),"")</f>
        <v>PR2145021-0-A</v>
      </c>
      <c r="F46" s="77" t="str">
        <f>IFERROR(VLOOKUP($AA46,PLAN!$B:$AA,5,0),"")</f>
        <v>Accessories for Masters Parkway HF</v>
      </c>
      <c r="G46" s="77" t="str">
        <f>IFERROR(VLOOKUP($AA46,PLAN!$B:$AA,2,0),"")</f>
        <v>2000126742</v>
      </c>
      <c r="H46" s="113">
        <f>IFERROR(VLOOKUP($AA46,PLAN!$B:$AA,7,0),"")</f>
        <v>46234</v>
      </c>
      <c r="I46" s="77" t="str">
        <f>IFERROR(VLOOKUP($AA46,PLAN!$B:$AA,8,0),"")</f>
        <v>0103539448</v>
      </c>
      <c r="J46" s="77" t="str">
        <f>IFERROR(VLOOKUP($AA46,PLAN!$B:$AA,9,0),"")</f>
        <v>260707Y34A</v>
      </c>
      <c r="K46" s="77">
        <f>IFERROR(VLOOKUP($AA46,PLAN!$B:$AA,10,0),"")</f>
        <v>3</v>
      </c>
      <c r="L46" s="77" t="str">
        <f>IFERROR(VLOOKUP($AA46,PLAN!$B:$AA,15,0),"")</f>
        <v>TEST</v>
      </c>
      <c r="M46" s="77">
        <f>IFERROR(VLOOKUP($AA46,PLAN!$B:$AA,18,0),"")</f>
        <v>0</v>
      </c>
      <c r="N46" s="227">
        <f>IFERROR(VLOOKUP($AA46,PLAN!$B:$AA,19,0),"")</f>
        <v>0</v>
      </c>
      <c r="O46" s="77" t="str">
        <f>IFERROR(VLOOKUP($AA46,PLAN!$B:$AA,12,0),"")</f>
        <v xml:space="preserve"> PR19SR002-0-D</v>
      </c>
      <c r="P46" s="77">
        <f>IFERROR(VLOOKUP($AA46,PLAN!$B:$AA,11,0),"")</f>
        <v>12003986</v>
      </c>
      <c r="Q46" s="148" t="s">
        <v>458</v>
      </c>
      <c r="R46" s="149" t="s">
        <v>459</v>
      </c>
      <c r="S46" s="149">
        <f t="shared" si="5"/>
        <v>3</v>
      </c>
      <c r="T46" s="131"/>
      <c r="U46" s="78" t="str">
        <f>IFERROR(VLOOKUP($AA46,PLAN!$B:$AA,21,0),"")</f>
        <v>N/A</v>
      </c>
      <c r="V46" s="78" t="str">
        <f>IFERROR(VLOOKUP($AA46,PLAN!$B:$AA,22,0),"")</f>
        <v>TEST</v>
      </c>
      <c r="W46" s="232"/>
      <c r="X46" s="233"/>
      <c r="Y46" s="212"/>
      <c r="Z46" s="350"/>
      <c r="AA46" s="195" t="s">
        <v>738</v>
      </c>
      <c r="AB46" s="18" t="s">
        <v>937</v>
      </c>
      <c r="AC46" s="132"/>
    </row>
    <row r="47" spans="3:29" s="79" customFormat="1" ht="25.2" customHeight="1">
      <c r="C47" s="249" t="str">
        <f t="shared" ref="C47:C120" si="7">AA47</f>
        <v>QC-25</v>
      </c>
      <c r="D47" s="77">
        <f>IFERROR(VLOOKUP($AA47,PLAN!$B:$AA,3,0),"")</f>
        <v>12129248</v>
      </c>
      <c r="E47" s="77" t="str">
        <f>IFERROR(VLOOKUP($AA47,PLAN!$B:$AA,4,0),"")</f>
        <v>PR2145021-0-A</v>
      </c>
      <c r="F47" s="77" t="str">
        <f>IFERROR(VLOOKUP($AA47,PLAN!$B:$AA,5,0),"")</f>
        <v>Accessories for Masters Parkway HF</v>
      </c>
      <c r="G47" s="77" t="str">
        <f>IFERROR(VLOOKUP($AA47,PLAN!$B:$AA,2,0),"")</f>
        <v>2000126743</v>
      </c>
      <c r="H47" s="113">
        <f>IFERROR(VLOOKUP($AA47,PLAN!$B:$AA,7,0),"")</f>
        <v>46234</v>
      </c>
      <c r="I47" s="77" t="str">
        <f>IFERROR(VLOOKUP($AA47,PLAN!$B:$AA,8,0),"")</f>
        <v>0103539449</v>
      </c>
      <c r="J47" s="77" t="str">
        <f>IFERROR(VLOOKUP($AA47,PLAN!$B:$AA,9,0),"")</f>
        <v>260707Y34D</v>
      </c>
      <c r="K47" s="77">
        <f>IFERROR(VLOOKUP($AA47,PLAN!$B:$AA,10,0),"")</f>
        <v>9</v>
      </c>
      <c r="L47" s="77" t="str">
        <f>IFERROR(VLOOKUP($AA47,PLAN!$B:$AA,15,0),"")</f>
        <v>TEST</v>
      </c>
      <c r="M47" s="77">
        <f>IFERROR(VLOOKUP($AA47,PLAN!$B:$AA,18,0),"")</f>
        <v>0</v>
      </c>
      <c r="N47" s="227">
        <f>IFERROR(VLOOKUP($AA47,PLAN!$B:$AA,19,0),"")</f>
        <v>0</v>
      </c>
      <c r="O47" s="77" t="str">
        <f>IFERROR(VLOOKUP($AA47,PLAN!$B:$AA,12,0),"")</f>
        <v xml:space="preserve"> PR19SR002-0-D</v>
      </c>
      <c r="P47" s="77">
        <f>IFERROR(VLOOKUP($AA47,PLAN!$B:$AA,11,0),"")</f>
        <v>12003986</v>
      </c>
      <c r="Q47" s="148" t="s">
        <v>458</v>
      </c>
      <c r="R47" s="149" t="s">
        <v>459</v>
      </c>
      <c r="S47" s="149">
        <f t="shared" ref="S47:S80" si="8">K47</f>
        <v>9</v>
      </c>
      <c r="T47" s="131"/>
      <c r="U47" s="78">
        <f>IFERROR(VLOOKUP($AA47,PLAN!$B:$AA,21,0),"")</f>
        <v>46230</v>
      </c>
      <c r="V47" s="78" t="str">
        <f>IFERROR(VLOOKUP($AA47,PLAN!$B:$AA,22,0),"")</f>
        <v>TEST</v>
      </c>
      <c r="W47" s="232"/>
      <c r="X47" s="233"/>
      <c r="Y47" s="212"/>
      <c r="Z47" s="350"/>
      <c r="AA47" s="195" t="s">
        <v>739</v>
      </c>
      <c r="AB47" s="18" t="s">
        <v>937</v>
      </c>
      <c r="AC47" s="132"/>
    </row>
    <row r="48" spans="3:29" s="79" customFormat="1" ht="25.2" customHeight="1">
      <c r="C48" s="249" t="str">
        <f t="shared" ref="C48:C64" si="9">AA48</f>
        <v>Jul30-04</v>
      </c>
      <c r="D48" s="77">
        <f>IFERROR(VLOOKUP($AA48,PLAN!$B:$AA,3,0),"")</f>
        <v>11134152</v>
      </c>
      <c r="E48" s="77" t="str">
        <f>IFERROR(VLOOKUP($AA48,PLAN!$B:$AA,4,0),"")</f>
        <v>1811913-L-A</v>
      </c>
      <c r="F48" s="77" t="str">
        <f>IFERROR(VLOOKUP($AA48,PLAN!$B:$AA,5,0),"")</f>
        <v>HW60SP400P10000 CN</v>
      </c>
      <c r="G48" s="77" t="str">
        <f>IFERROR(VLOOKUP($AA48,PLAN!$B:$AA,2,0),"")</f>
        <v>1001913378</v>
      </c>
      <c r="H48" s="113">
        <f>IFERROR(VLOOKUP($AA48,PLAN!$B:$AA,7,0),"")</f>
        <v>46233</v>
      </c>
      <c r="I48" s="77" t="str">
        <f>IFERROR(VLOOKUP($AA48,PLAN!$B:$AA,8,0),"")</f>
        <v>0103547088</v>
      </c>
      <c r="J48" s="77" t="str">
        <f>IFERROR(VLOOKUP($AA48,PLAN!$B:$AA,9,0),"")</f>
        <v>260713C01A</v>
      </c>
      <c r="K48" s="77">
        <f>IFERROR(VLOOKUP($AA48,PLAN!$B:$AA,10,0),"")</f>
        <v>3</v>
      </c>
      <c r="L48" s="77" t="str">
        <f>IFERROR(VLOOKUP($AA48,PLAN!$B:$AA,15,0),"")</f>
        <v>CHINA</v>
      </c>
      <c r="M48" s="77">
        <f>IFERROR(VLOOKUP($AA48,PLAN!$B:$AA,18,0),"")</f>
        <v>0</v>
      </c>
      <c r="N48" s="227">
        <f>IFERROR(VLOOKUP($AA48,PLAN!$B:$AA,19,0),"")</f>
        <v>0</v>
      </c>
      <c r="O48" s="77" t="str">
        <f>IFERROR(VLOOKUP($AA48,PLAN!$B:$AA,12,0),"")</f>
        <v>2112103-0-C-CN</v>
      </c>
      <c r="P48" s="77">
        <f>IFERROR(VLOOKUP($AA48,PLAN!$B:$AA,11,0),"")</f>
        <v>12130016</v>
      </c>
      <c r="Q48" s="349" t="s">
        <v>1057</v>
      </c>
      <c r="R48" s="158" t="s">
        <v>1058</v>
      </c>
      <c r="S48" s="149">
        <f t="shared" ref="S48:S57" si="10">K48</f>
        <v>3</v>
      </c>
      <c r="T48" s="131"/>
      <c r="U48" s="78">
        <f>IFERROR(VLOOKUP($AA48,PLAN!$B:$AA,21,0),"")</f>
        <v>46220</v>
      </c>
      <c r="V48" s="78" t="str">
        <f>IFERROR(VLOOKUP($AA48,PLAN!$B:$AA,22,0),"")</f>
        <v>M9</v>
      </c>
      <c r="W48" s="232"/>
      <c r="X48" s="233"/>
      <c r="Y48" s="212"/>
      <c r="Z48" s="350"/>
      <c r="AA48" s="195" t="s">
        <v>1038</v>
      </c>
      <c r="AB48" s="132">
        <f>VLOOKUP(AA48,PLAN!B:V,20,0)</f>
        <v>46220</v>
      </c>
      <c r="AC48" s="132"/>
    </row>
    <row r="49" spans="3:29" s="79" customFormat="1" ht="25.2" customHeight="1">
      <c r="C49" s="249" t="str">
        <f t="shared" si="9"/>
        <v>Jul30-05</v>
      </c>
      <c r="D49" s="77">
        <f>IFERROR(VLOOKUP($AA49,PLAN!$B:$AA,3,0),"")</f>
        <v>11134149</v>
      </c>
      <c r="E49" s="77" t="str">
        <f>IFERROR(VLOOKUP($AA49,PLAN!$B:$AA,4,0),"")</f>
        <v>1811910-L-A</v>
      </c>
      <c r="F49" s="77" t="str">
        <f>IFERROR(VLOOKUP($AA49,PLAN!$B:$AA,5,0),"")</f>
        <v>HW60SP352P10000 CN</v>
      </c>
      <c r="G49" s="77" t="str">
        <f>IFERROR(VLOOKUP($AA49,PLAN!$B:$AA,2,0),"")</f>
        <v>1001913379</v>
      </c>
      <c r="H49" s="113">
        <f>IFERROR(VLOOKUP($AA49,PLAN!$B:$AA,7,0),"")</f>
        <v>46233</v>
      </c>
      <c r="I49" s="77" t="str">
        <f>IFERROR(VLOOKUP($AA49,PLAN!$B:$AA,8,0),"")</f>
        <v>0103547089</v>
      </c>
      <c r="J49" s="77" t="str">
        <f>IFERROR(VLOOKUP($AA49,PLAN!$B:$AA,9,0),"")</f>
        <v>260713C02A</v>
      </c>
      <c r="K49" s="77">
        <f>IFERROR(VLOOKUP($AA49,PLAN!$B:$AA,10,0),"")</f>
        <v>10</v>
      </c>
      <c r="L49" s="77" t="str">
        <f>IFERROR(VLOOKUP($AA49,PLAN!$B:$AA,15,0),"")</f>
        <v>CHINA</v>
      </c>
      <c r="M49" s="77">
        <f>IFERROR(VLOOKUP($AA49,PLAN!$B:$AA,18,0),"")</f>
        <v>0</v>
      </c>
      <c r="N49" s="227">
        <f>IFERROR(VLOOKUP($AA49,PLAN!$B:$AA,19,0),"")</f>
        <v>0</v>
      </c>
      <c r="O49" s="77" t="str">
        <f>IFERROR(VLOOKUP($AA49,PLAN!$B:$AA,12,0),"")</f>
        <v>2112100-0-C-CN</v>
      </c>
      <c r="P49" s="77">
        <f>IFERROR(VLOOKUP($AA49,PLAN!$B:$AA,11,0),"")</f>
        <v>12129996</v>
      </c>
      <c r="Q49" s="349" t="s">
        <v>1059</v>
      </c>
      <c r="R49" s="158" t="s">
        <v>1060</v>
      </c>
      <c r="S49" s="149">
        <f t="shared" si="10"/>
        <v>10</v>
      </c>
      <c r="T49" s="131"/>
      <c r="U49" s="78">
        <f>IFERROR(VLOOKUP($AA49,PLAN!$B:$AA,21,0),"")</f>
        <v>46220</v>
      </c>
      <c r="V49" s="78" t="str">
        <f>IFERROR(VLOOKUP($AA49,PLAN!$B:$AA,22,0),"")</f>
        <v>M9</v>
      </c>
      <c r="W49" s="232"/>
      <c r="X49" s="233"/>
      <c r="Y49" s="212"/>
      <c r="Z49" s="350"/>
      <c r="AA49" s="195" t="s">
        <v>1039</v>
      </c>
      <c r="AB49" s="132">
        <f>VLOOKUP(AA49,PLAN!B:V,20,0)</f>
        <v>46220</v>
      </c>
      <c r="AC49" s="132"/>
    </row>
    <row r="50" spans="3:29" s="79" customFormat="1" ht="25.2" customHeight="1">
      <c r="C50" s="249" t="str">
        <f t="shared" si="9"/>
        <v>Jul30-06</v>
      </c>
      <c r="D50" s="77">
        <f>IFERROR(VLOOKUP($AA50,PLAN!$B:$AA,3,0),"")</f>
        <v>11134146</v>
      </c>
      <c r="E50" s="77" t="str">
        <f>IFERROR(VLOOKUP($AA50,PLAN!$B:$AA,4,0),"")</f>
        <v>1811907-L-A</v>
      </c>
      <c r="F50" s="77" t="str">
        <f>IFERROR(VLOOKUP($AA50,PLAN!$B:$AA,5,0),"")</f>
        <v>HW60SP300P10000 CN</v>
      </c>
      <c r="G50" s="77" t="str">
        <f>IFERROR(VLOOKUP($AA50,PLAN!$B:$AA,2,0),"")</f>
        <v>1001913380</v>
      </c>
      <c r="H50" s="113">
        <f>IFERROR(VLOOKUP($AA50,PLAN!$B:$AA,7,0),"")</f>
        <v>46233</v>
      </c>
      <c r="I50" s="77" t="str">
        <f>IFERROR(VLOOKUP($AA50,PLAN!$B:$AA,8,0),"")</f>
        <v>0103547090</v>
      </c>
      <c r="J50" s="77" t="str">
        <f>IFERROR(VLOOKUP($AA50,PLAN!$B:$AA,9,0),"")</f>
        <v>260713C03A</v>
      </c>
      <c r="K50" s="77">
        <f>IFERROR(VLOOKUP($AA50,PLAN!$B:$AA,10,0),"")</f>
        <v>21</v>
      </c>
      <c r="L50" s="77" t="str">
        <f>IFERROR(VLOOKUP($AA50,PLAN!$B:$AA,15,0),"")</f>
        <v>CHINA</v>
      </c>
      <c r="M50" s="77">
        <f>IFERROR(VLOOKUP($AA50,PLAN!$B:$AA,18,0),"")</f>
        <v>3</v>
      </c>
      <c r="N50" s="227">
        <f>IFERROR(VLOOKUP($AA50,PLAN!$B:$AA,19,0),"")</f>
        <v>3</v>
      </c>
      <c r="O50" s="77" t="str">
        <f>IFERROR(VLOOKUP($AA50,PLAN!$B:$AA,12,0),"")</f>
        <v>2112095-0-C-CN</v>
      </c>
      <c r="P50" s="77">
        <f>IFERROR(VLOOKUP($AA50,PLAN!$B:$AA,11,0),"")</f>
        <v>12129994</v>
      </c>
      <c r="Q50" s="277" t="s">
        <v>408</v>
      </c>
      <c r="R50" s="149" t="s">
        <v>409</v>
      </c>
      <c r="S50" s="149">
        <f t="shared" si="10"/>
        <v>21</v>
      </c>
      <c r="T50" s="131"/>
      <c r="U50" s="78">
        <f>IFERROR(VLOOKUP($AA50,PLAN!$B:$AA,21,0),"")</f>
        <v>46220</v>
      </c>
      <c r="V50" s="78" t="str">
        <f>IFERROR(VLOOKUP($AA50,PLAN!$B:$AA,22,0),"")</f>
        <v>M9</v>
      </c>
      <c r="W50" s="232"/>
      <c r="X50" s="233"/>
      <c r="Y50" s="212"/>
      <c r="Z50" s="350"/>
      <c r="AA50" s="195" t="s">
        <v>1040</v>
      </c>
      <c r="AB50" s="132">
        <f>VLOOKUP(AA50,PLAN!B:V,20,0)</f>
        <v>46220</v>
      </c>
      <c r="AC50" s="132"/>
    </row>
    <row r="51" spans="3:29" s="79" customFormat="1" ht="25.2" customHeight="1">
      <c r="C51" s="249" t="str">
        <f t="shared" si="9"/>
        <v>Jul30-07</v>
      </c>
      <c r="D51" s="77">
        <f>IFERROR(VLOOKUP($AA51,PLAN!$B:$AA,3,0),"")</f>
        <v>11134150</v>
      </c>
      <c r="E51" s="77" t="str">
        <f>IFERROR(VLOOKUP($AA51,PLAN!$B:$AA,4,0),"")</f>
        <v>1811911-L-A</v>
      </c>
      <c r="F51" s="77" t="str">
        <f>IFERROR(VLOOKUP($AA51,PLAN!$B:$AA,5,0),"")</f>
        <v>HW60SP370P10000 CN</v>
      </c>
      <c r="G51" s="77" t="str">
        <f>IFERROR(VLOOKUP($AA51,PLAN!$B:$AA,2,0),"")</f>
        <v>1001913381</v>
      </c>
      <c r="H51" s="113">
        <f>IFERROR(VLOOKUP($AA51,PLAN!$B:$AA,7,0),"")</f>
        <v>46233</v>
      </c>
      <c r="I51" s="77" t="str">
        <f>IFERROR(VLOOKUP($AA51,PLAN!$B:$AA,8,0),"")</f>
        <v>0103547091</v>
      </c>
      <c r="J51" s="77" t="str">
        <f>IFERROR(VLOOKUP($AA51,PLAN!$B:$AA,9,0),"")</f>
        <v>260713C04A</v>
      </c>
      <c r="K51" s="77">
        <f>IFERROR(VLOOKUP($AA51,PLAN!$B:$AA,10,0),"")</f>
        <v>290</v>
      </c>
      <c r="L51" s="77" t="str">
        <f>IFERROR(VLOOKUP($AA51,PLAN!$B:$AA,15,0),"")</f>
        <v>CHINA</v>
      </c>
      <c r="M51" s="77">
        <f>IFERROR(VLOOKUP($AA51,PLAN!$B:$AA,18,0),"")</f>
        <v>0</v>
      </c>
      <c r="N51" s="227">
        <f>IFERROR(VLOOKUP($AA51,PLAN!$B:$AA,19,0),"")</f>
        <v>0</v>
      </c>
      <c r="O51" s="77" t="str">
        <f>IFERROR(VLOOKUP($AA51,PLAN!$B:$AA,12,0),"")</f>
        <v>2112101-0-C-CN</v>
      </c>
      <c r="P51" s="77">
        <f>IFERROR(VLOOKUP($AA51,PLAN!$B:$AA,11,0),"")</f>
        <v>12129997</v>
      </c>
      <c r="Q51" s="277" t="s">
        <v>1061</v>
      </c>
      <c r="R51" s="149" t="s">
        <v>1062</v>
      </c>
      <c r="S51" s="223">
        <v>150</v>
      </c>
      <c r="T51" s="131"/>
      <c r="U51" s="78">
        <f>IFERROR(VLOOKUP($AA51,PLAN!$B:$AA,21,0),"")</f>
        <v>46220</v>
      </c>
      <c r="V51" s="78" t="str">
        <f>IFERROR(VLOOKUP($AA51,PLAN!$B:$AA,22,0),"")</f>
        <v>M9</v>
      </c>
      <c r="W51" s="232"/>
      <c r="X51" s="233"/>
      <c r="Y51" s="212"/>
      <c r="Z51" s="350"/>
      <c r="AA51" s="195" t="s">
        <v>1041</v>
      </c>
      <c r="AB51" s="132">
        <f>VLOOKUP(AA51,PLAN!B:V,20,0)</f>
        <v>46220</v>
      </c>
      <c r="AC51" s="132"/>
    </row>
    <row r="52" spans="3:29" s="79" customFormat="1" ht="25.2" customHeight="1">
      <c r="C52" s="249"/>
      <c r="D52" s="77"/>
      <c r="E52" s="77"/>
      <c r="F52" s="77"/>
      <c r="G52" s="77"/>
      <c r="H52" s="113"/>
      <c r="I52" s="77"/>
      <c r="J52" s="77"/>
      <c r="K52" s="77"/>
      <c r="L52" s="77"/>
      <c r="M52" s="77"/>
      <c r="N52" s="227"/>
      <c r="O52" s="77"/>
      <c r="P52" s="77"/>
      <c r="Q52" s="349" t="s">
        <v>1063</v>
      </c>
      <c r="R52" s="222" t="s">
        <v>1064</v>
      </c>
      <c r="S52" s="223">
        <v>140</v>
      </c>
      <c r="T52" s="131"/>
      <c r="U52" s="78"/>
      <c r="V52" s="78"/>
      <c r="W52" s="232"/>
      <c r="X52" s="233"/>
      <c r="Y52" s="212"/>
      <c r="Z52" s="350"/>
      <c r="AA52" s="195"/>
      <c r="AB52" s="132">
        <v>46220</v>
      </c>
      <c r="AC52" s="132"/>
    </row>
    <row r="53" spans="3:29" s="79" customFormat="1" ht="25.2" customHeight="1">
      <c r="C53" s="249" t="str">
        <f t="shared" si="9"/>
        <v>Jul30-08</v>
      </c>
      <c r="D53" s="77">
        <f>IFERROR(VLOOKUP($AA53,PLAN!$B:$AA,3,0),"")</f>
        <v>11134148</v>
      </c>
      <c r="E53" s="77" t="str">
        <f>IFERROR(VLOOKUP($AA53,PLAN!$B:$AA,4,0),"")</f>
        <v>1811909-L-A</v>
      </c>
      <c r="F53" s="77" t="str">
        <f>IFERROR(VLOOKUP($AA53,PLAN!$B:$AA,5,0),"")</f>
        <v>HW60SP350P10000 CN</v>
      </c>
      <c r="G53" s="77" t="str">
        <f>IFERROR(VLOOKUP($AA53,PLAN!$B:$AA,2,0),"")</f>
        <v>1001913382</v>
      </c>
      <c r="H53" s="113">
        <f>IFERROR(VLOOKUP($AA53,PLAN!$B:$AA,7,0),"")</f>
        <v>46233</v>
      </c>
      <c r="I53" s="77" t="str">
        <f>IFERROR(VLOOKUP($AA53,PLAN!$B:$AA,8,0),"")</f>
        <v>0103547092</v>
      </c>
      <c r="J53" s="77" t="str">
        <f>IFERROR(VLOOKUP($AA53,PLAN!$B:$AA,9,0),"")</f>
        <v>260713C05A</v>
      </c>
      <c r="K53" s="77">
        <f>IFERROR(VLOOKUP($AA53,PLAN!$B:$AA,10,0),"")</f>
        <v>400</v>
      </c>
      <c r="L53" s="77" t="str">
        <f>IFERROR(VLOOKUP($AA53,PLAN!$B:$AA,15,0),"")</f>
        <v>CHINA</v>
      </c>
      <c r="M53" s="77">
        <f>IFERROR(VLOOKUP($AA53,PLAN!$B:$AA,18,0),"")</f>
        <v>0</v>
      </c>
      <c r="N53" s="227">
        <f>IFERROR(VLOOKUP($AA53,PLAN!$B:$AA,19,0),"")</f>
        <v>0</v>
      </c>
      <c r="O53" s="77" t="str">
        <f>IFERROR(VLOOKUP($AA53,PLAN!$B:$AA,12,0),"")</f>
        <v>2112099-0-C-CN</v>
      </c>
      <c r="P53" s="77">
        <f>IFERROR(VLOOKUP($AA53,PLAN!$B:$AA,11,0),"")</f>
        <v>12129995</v>
      </c>
      <c r="Q53" s="277" t="s">
        <v>643</v>
      </c>
      <c r="R53" s="149" t="s">
        <v>644</v>
      </c>
      <c r="S53" s="223">
        <v>85</v>
      </c>
      <c r="T53" s="131"/>
      <c r="U53" s="78">
        <f>IFERROR(VLOOKUP($AA53,PLAN!$B:$AA,21,0),"")</f>
        <v>46220</v>
      </c>
      <c r="V53" s="78" t="str">
        <f>IFERROR(VLOOKUP($AA53,PLAN!$B:$AA,22,0),"")</f>
        <v>M9</v>
      </c>
      <c r="W53" s="232"/>
      <c r="X53" s="233"/>
      <c r="Y53" s="212"/>
      <c r="Z53" s="350"/>
      <c r="AA53" s="195" t="s">
        <v>1042</v>
      </c>
      <c r="AB53" s="132">
        <f>VLOOKUP(AA53,PLAN!B:V,20,0)</f>
        <v>46220</v>
      </c>
      <c r="AC53" s="132"/>
    </row>
    <row r="54" spans="3:29" s="79" customFormat="1" ht="25.2" customHeight="1">
      <c r="C54" s="249"/>
      <c r="D54" s="77"/>
      <c r="E54" s="77"/>
      <c r="F54" s="77"/>
      <c r="G54" s="77"/>
      <c r="H54" s="113"/>
      <c r="I54" s="77"/>
      <c r="J54" s="77"/>
      <c r="K54" s="77"/>
      <c r="L54" s="77"/>
      <c r="M54" s="77"/>
      <c r="N54" s="227"/>
      <c r="O54" s="77"/>
      <c r="P54" s="77"/>
      <c r="Q54" s="277" t="s">
        <v>1065</v>
      </c>
      <c r="R54" s="149" t="s">
        <v>1066</v>
      </c>
      <c r="S54" s="223">
        <v>150</v>
      </c>
      <c r="T54" s="131"/>
      <c r="U54" s="78"/>
      <c r="V54" s="78"/>
      <c r="W54" s="232"/>
      <c r="X54" s="233"/>
      <c r="Y54" s="212"/>
      <c r="Z54" s="350"/>
      <c r="AA54" s="195"/>
      <c r="AB54" s="132">
        <v>46220</v>
      </c>
      <c r="AC54" s="132"/>
    </row>
    <row r="55" spans="3:29" s="79" customFormat="1" ht="25.2" customHeight="1">
      <c r="C55" s="249"/>
      <c r="D55" s="77"/>
      <c r="E55" s="77"/>
      <c r="F55" s="77"/>
      <c r="G55" s="77"/>
      <c r="H55" s="113"/>
      <c r="I55" s="77"/>
      <c r="J55" s="77"/>
      <c r="K55" s="77"/>
      <c r="L55" s="77"/>
      <c r="M55" s="77"/>
      <c r="N55" s="227"/>
      <c r="O55" s="77"/>
      <c r="P55" s="77"/>
      <c r="Q55" s="277" t="s">
        <v>1067</v>
      </c>
      <c r="R55" s="149" t="s">
        <v>1068</v>
      </c>
      <c r="S55" s="223">
        <v>150</v>
      </c>
      <c r="T55" s="131"/>
      <c r="U55" s="78"/>
      <c r="V55" s="78"/>
      <c r="W55" s="232"/>
      <c r="X55" s="233"/>
      <c r="Y55" s="212"/>
      <c r="Z55" s="350"/>
      <c r="AA55" s="195"/>
      <c r="AB55" s="132">
        <v>46220</v>
      </c>
      <c r="AC55" s="132"/>
    </row>
    <row r="56" spans="3:29" s="79" customFormat="1" ht="25.2" customHeight="1">
      <c r="C56" s="249"/>
      <c r="D56" s="77"/>
      <c r="E56" s="77"/>
      <c r="F56" s="77"/>
      <c r="G56" s="77"/>
      <c r="H56" s="113"/>
      <c r="I56" s="77"/>
      <c r="J56" s="77"/>
      <c r="K56" s="77"/>
      <c r="L56" s="77"/>
      <c r="M56" s="77"/>
      <c r="N56" s="227"/>
      <c r="O56" s="77"/>
      <c r="P56" s="77"/>
      <c r="Q56" s="277" t="s">
        <v>1069</v>
      </c>
      <c r="R56" s="149" t="s">
        <v>1070</v>
      </c>
      <c r="S56" s="223">
        <f>K53-S53-S54-S55</f>
        <v>15</v>
      </c>
      <c r="T56" s="131"/>
      <c r="U56" s="78"/>
      <c r="V56" s="78"/>
      <c r="W56" s="232"/>
      <c r="X56" s="233"/>
      <c r="Y56" s="212"/>
      <c r="Z56" s="350"/>
      <c r="AA56" s="195"/>
      <c r="AB56" s="132">
        <v>46220</v>
      </c>
      <c r="AC56" s="132"/>
    </row>
    <row r="57" spans="3:29" s="79" customFormat="1" ht="25.2" customHeight="1">
      <c r="C57" s="249" t="str">
        <f t="shared" si="9"/>
        <v>Jul30-09</v>
      </c>
      <c r="D57" s="77">
        <f>IFERROR(VLOOKUP($AA57,PLAN!$B:$AA,3,0),"")</f>
        <v>11134129</v>
      </c>
      <c r="E57" s="77" t="str">
        <f>IFERROR(VLOOKUP($AA57,PLAN!$B:$AA,4,0),"")</f>
        <v>1811861-J-A</v>
      </c>
      <c r="F57" s="77" t="str">
        <f>IFERROR(VLOOKUP($AA57,PLAN!$B:$AA,5,0),"")</f>
        <v>HW60AL070P10000 CN</v>
      </c>
      <c r="G57" s="77" t="str">
        <f>IFERROR(VLOOKUP($AA57,PLAN!$B:$AA,2,0),"")</f>
        <v>1001913383</v>
      </c>
      <c r="H57" s="113">
        <f>IFERROR(VLOOKUP($AA57,PLAN!$B:$AA,7,0),"")</f>
        <v>46233</v>
      </c>
      <c r="I57" s="77" t="str">
        <f>IFERROR(VLOOKUP($AA57,PLAN!$B:$AA,8,0),"")</f>
        <v>0103547093</v>
      </c>
      <c r="J57" s="77" t="str">
        <f>IFERROR(VLOOKUP($AA57,PLAN!$B:$AA,9,0),"")</f>
        <v>260713C06A</v>
      </c>
      <c r="K57" s="77">
        <f>IFERROR(VLOOKUP($AA57,PLAN!$B:$AA,10,0),"")</f>
        <v>40</v>
      </c>
      <c r="L57" s="77" t="str">
        <f>IFERROR(VLOOKUP($AA57,PLAN!$B:$AA,15,0),"")</f>
        <v>CHINA</v>
      </c>
      <c r="M57" s="77">
        <f>IFERROR(VLOOKUP($AA57,PLAN!$B:$AA,18,0),"")</f>
        <v>0</v>
      </c>
      <c r="N57" s="227">
        <f>IFERROR(VLOOKUP($AA57,PLAN!$B:$AA,19,0),"")</f>
        <v>0</v>
      </c>
      <c r="O57" s="77" t="str">
        <f>IFERROR(VLOOKUP($AA57,PLAN!$B:$AA,12,0),"")</f>
        <v>2112003-0-C-CN</v>
      </c>
      <c r="P57" s="77">
        <f>IFERROR(VLOOKUP($AA57,PLAN!$B:$AA,11,0),"")</f>
        <v>12129985</v>
      </c>
      <c r="Q57" s="277" t="s">
        <v>418</v>
      </c>
      <c r="R57" s="149" t="s">
        <v>419</v>
      </c>
      <c r="S57" s="149">
        <f t="shared" si="10"/>
        <v>40</v>
      </c>
      <c r="T57" s="131"/>
      <c r="U57" s="78">
        <f>IFERROR(VLOOKUP($AA57,PLAN!$B:$AA,21,0),"")</f>
        <v>46220</v>
      </c>
      <c r="V57" s="78" t="str">
        <f>IFERROR(VLOOKUP($AA57,PLAN!$B:$AA,22,0),"")</f>
        <v>M10</v>
      </c>
      <c r="W57" s="232"/>
      <c r="X57" s="233"/>
      <c r="Y57" s="212"/>
      <c r="Z57" s="350"/>
      <c r="AA57" s="195" t="s">
        <v>1043</v>
      </c>
      <c r="AB57" s="132">
        <f>VLOOKUP(AA57,PLAN!B:V,20,0)</f>
        <v>46220</v>
      </c>
      <c r="AC57" s="132"/>
    </row>
    <row r="58" spans="3:29" s="79" customFormat="1" ht="25.2" customHeight="1">
      <c r="C58" s="249" t="str">
        <f t="shared" si="9"/>
        <v>Jul30-10</v>
      </c>
      <c r="D58" s="77">
        <f>IFERROR(VLOOKUP($AA58,PLAN!$B:$AA,3,0),"")</f>
        <v>11134131</v>
      </c>
      <c r="E58" s="77" t="str">
        <f>IFERROR(VLOOKUP($AA58,PLAN!$B:$AA,4,0),"")</f>
        <v>1811863-J-A</v>
      </c>
      <c r="F58" s="77" t="str">
        <f>IFERROR(VLOOKUP($AA58,PLAN!$B:$AA,5,0),"")</f>
        <v>HW60AL100P10000 CN</v>
      </c>
      <c r="G58" s="77" t="str">
        <f>IFERROR(VLOOKUP($AA58,PLAN!$B:$AA,2,0),"")</f>
        <v>1001913384</v>
      </c>
      <c r="H58" s="113">
        <f>IFERROR(VLOOKUP($AA58,PLAN!$B:$AA,7,0),"")</f>
        <v>46233</v>
      </c>
      <c r="I58" s="77" t="str">
        <f>IFERROR(VLOOKUP($AA58,PLAN!$B:$AA,8,0),"")</f>
        <v>0103547094</v>
      </c>
      <c r="J58" s="77" t="str">
        <f>IFERROR(VLOOKUP($AA58,PLAN!$B:$AA,9,0),"")</f>
        <v>260713C07A</v>
      </c>
      <c r="K58" s="77">
        <f>IFERROR(VLOOKUP($AA58,PLAN!$B:$AA,10,0),"")</f>
        <v>96</v>
      </c>
      <c r="L58" s="77" t="str">
        <f>IFERROR(VLOOKUP($AA58,PLAN!$B:$AA,15,0),"")</f>
        <v>CHINA</v>
      </c>
      <c r="M58" s="77">
        <f>IFERROR(VLOOKUP($AA58,PLAN!$B:$AA,18,0),"")</f>
        <v>0</v>
      </c>
      <c r="N58" s="227">
        <f>IFERROR(VLOOKUP($AA58,PLAN!$B:$AA,19,0),"")</f>
        <v>0</v>
      </c>
      <c r="O58" s="77" t="str">
        <f>IFERROR(VLOOKUP($AA58,PLAN!$B:$AA,12,0),"")</f>
        <v>2112007-0-C-CN</v>
      </c>
      <c r="P58" s="77">
        <f>IFERROR(VLOOKUP($AA58,PLAN!$B:$AA,11,0),"")</f>
        <v>12129987</v>
      </c>
      <c r="Q58" s="277" t="s">
        <v>420</v>
      </c>
      <c r="R58" s="149" t="s">
        <v>421</v>
      </c>
      <c r="S58" s="223">
        <v>35</v>
      </c>
      <c r="T58" s="131"/>
      <c r="U58" s="78">
        <f>IFERROR(VLOOKUP($AA58,PLAN!$B:$AA,21,0),"")</f>
        <v>46220</v>
      </c>
      <c r="V58" s="78" t="str">
        <f>IFERROR(VLOOKUP($AA58,PLAN!$B:$AA,22,0),"")</f>
        <v>M10</v>
      </c>
      <c r="W58" s="232"/>
      <c r="X58" s="233"/>
      <c r="Y58" s="212"/>
      <c r="Z58" s="350"/>
      <c r="AA58" s="195" t="s">
        <v>1044</v>
      </c>
      <c r="AB58" s="132">
        <f>VLOOKUP(AA58,PLAN!B:V,20,0)</f>
        <v>46220</v>
      </c>
      <c r="AC58" s="132"/>
    </row>
    <row r="59" spans="3:29" s="79" customFormat="1" ht="25.2" customHeight="1">
      <c r="C59" s="249"/>
      <c r="D59" s="77"/>
      <c r="E59" s="77"/>
      <c r="F59" s="77"/>
      <c r="G59" s="77"/>
      <c r="H59" s="113"/>
      <c r="I59" s="77"/>
      <c r="J59" s="77"/>
      <c r="K59" s="77"/>
      <c r="L59" s="77"/>
      <c r="M59" s="77"/>
      <c r="N59" s="227"/>
      <c r="O59" s="77"/>
      <c r="P59" s="77"/>
      <c r="Q59" s="349" t="s">
        <v>1071</v>
      </c>
      <c r="R59" s="158" t="s">
        <v>1072</v>
      </c>
      <c r="S59" s="223">
        <v>61</v>
      </c>
      <c r="T59" s="131"/>
      <c r="U59" s="78"/>
      <c r="V59" s="78"/>
      <c r="W59" s="232"/>
      <c r="X59" s="233"/>
      <c r="Y59" s="212"/>
      <c r="Z59" s="350"/>
      <c r="AA59" s="195"/>
      <c r="AB59" s="132">
        <v>46220</v>
      </c>
      <c r="AC59" s="132"/>
    </row>
    <row r="60" spans="3:29" s="79" customFormat="1" ht="25.2" customHeight="1">
      <c r="C60" s="249" t="str">
        <f t="shared" si="9"/>
        <v>Jul30-11</v>
      </c>
      <c r="D60" s="77">
        <f>IFERROR(VLOOKUP($AA60,PLAN!$B:$AA,3,0),"")</f>
        <v>11134120</v>
      </c>
      <c r="E60" s="77" t="str">
        <f>IFERROR(VLOOKUP($AA60,PLAN!$B:$AA,4,0),"")</f>
        <v>1811831-J-A</v>
      </c>
      <c r="F60" s="77" t="str">
        <f>IFERROR(VLOOKUP($AA60,PLAN!$B:$AA,5,0),"")</f>
        <v>HW60JL400P10000 CN</v>
      </c>
      <c r="G60" s="77" t="str">
        <f>IFERROR(VLOOKUP($AA60,PLAN!$B:$AA,2,0),"")</f>
        <v>1001913385</v>
      </c>
      <c r="H60" s="113">
        <f>IFERROR(VLOOKUP($AA60,PLAN!$B:$AA,7,0),"")</f>
        <v>46233</v>
      </c>
      <c r="I60" s="77" t="str">
        <f>IFERROR(VLOOKUP($AA60,PLAN!$B:$AA,8,0),"")</f>
        <v>0103547095</v>
      </c>
      <c r="J60" s="77" t="str">
        <f>IFERROR(VLOOKUP($AA60,PLAN!$B:$AA,9,0),"")</f>
        <v>260713C08A</v>
      </c>
      <c r="K60" s="77">
        <f>IFERROR(VLOOKUP($AA60,PLAN!$B:$AA,10,0),"")</f>
        <v>380</v>
      </c>
      <c r="L60" s="77" t="str">
        <f>IFERROR(VLOOKUP($AA60,PLAN!$B:$AA,15,0),"")</f>
        <v>CHINA</v>
      </c>
      <c r="M60" s="77">
        <f>IFERROR(VLOOKUP($AA60,PLAN!$B:$AA,18,0),"")</f>
        <v>0</v>
      </c>
      <c r="N60" s="227">
        <f>IFERROR(VLOOKUP($AA60,PLAN!$B:$AA,19,0),"")</f>
        <v>0</v>
      </c>
      <c r="O60" s="77" t="str">
        <f>IFERROR(VLOOKUP($AA60,PLAN!$B:$AA,12,0),"")</f>
        <v>2112045-0-C-CN</v>
      </c>
      <c r="P60" s="77">
        <f>IFERROR(VLOOKUP($AA60,PLAN!$B:$AA,11,0),"")</f>
        <v>12129990</v>
      </c>
      <c r="Q60" s="277" t="s">
        <v>391</v>
      </c>
      <c r="R60" s="149" t="s">
        <v>392</v>
      </c>
      <c r="S60" s="223">
        <v>5</v>
      </c>
      <c r="T60" s="131"/>
      <c r="U60" s="78">
        <f>IFERROR(VLOOKUP($AA60,PLAN!$B:$AA,21,0),"")</f>
        <v>46220</v>
      </c>
      <c r="V60" s="78" t="str">
        <f>IFERROR(VLOOKUP($AA60,PLAN!$B:$AA,22,0),"")</f>
        <v>M10</v>
      </c>
      <c r="W60" s="232"/>
      <c r="X60" s="233"/>
      <c r="Y60" s="212"/>
      <c r="Z60" s="350"/>
      <c r="AA60" s="195" t="s">
        <v>1045</v>
      </c>
      <c r="AB60" s="132">
        <f>VLOOKUP(AA60,PLAN!B:V,20,0)</f>
        <v>46220</v>
      </c>
      <c r="AC60" s="132"/>
    </row>
    <row r="61" spans="3:29" s="79" customFormat="1" ht="25.2" customHeight="1">
      <c r="C61" s="249"/>
      <c r="D61" s="77"/>
      <c r="E61" s="77"/>
      <c r="F61" s="77"/>
      <c r="G61" s="77"/>
      <c r="H61" s="113"/>
      <c r="I61" s="77"/>
      <c r="J61" s="77"/>
      <c r="K61" s="77"/>
      <c r="L61" s="77"/>
      <c r="M61" s="77"/>
      <c r="N61" s="227"/>
      <c r="O61" s="77"/>
      <c r="P61" s="77"/>
      <c r="Q61" s="277" t="s">
        <v>1073</v>
      </c>
      <c r="R61" s="149" t="s">
        <v>1074</v>
      </c>
      <c r="S61" s="223">
        <v>102</v>
      </c>
      <c r="T61" s="131"/>
      <c r="U61" s="78"/>
      <c r="V61" s="78"/>
      <c r="W61" s="232"/>
      <c r="X61" s="233"/>
      <c r="Y61" s="212"/>
      <c r="Z61" s="350"/>
      <c r="AA61" s="195"/>
      <c r="AB61" s="132">
        <v>46220</v>
      </c>
      <c r="AC61" s="132"/>
    </row>
    <row r="62" spans="3:29" s="79" customFormat="1" ht="25.2" customHeight="1">
      <c r="C62" s="249"/>
      <c r="D62" s="77"/>
      <c r="E62" s="77"/>
      <c r="F62" s="77"/>
      <c r="G62" s="77"/>
      <c r="H62" s="113"/>
      <c r="I62" s="77"/>
      <c r="J62" s="77"/>
      <c r="K62" s="77"/>
      <c r="L62" s="77"/>
      <c r="M62" s="77"/>
      <c r="N62" s="227"/>
      <c r="O62" s="77"/>
      <c r="P62" s="77"/>
      <c r="Q62" s="277" t="s">
        <v>1075</v>
      </c>
      <c r="R62" s="149" t="s">
        <v>1076</v>
      </c>
      <c r="S62" s="223">
        <v>150</v>
      </c>
      <c r="T62" s="131"/>
      <c r="U62" s="78"/>
      <c r="V62" s="78"/>
      <c r="W62" s="232"/>
      <c r="X62" s="233"/>
      <c r="Y62" s="212"/>
      <c r="Z62" s="350"/>
      <c r="AA62" s="195"/>
      <c r="AB62" s="132">
        <v>46220</v>
      </c>
      <c r="AC62" s="132"/>
    </row>
    <row r="63" spans="3:29" s="79" customFormat="1" ht="25.2" customHeight="1">
      <c r="C63" s="249"/>
      <c r="D63" s="77"/>
      <c r="E63" s="77"/>
      <c r="F63" s="77"/>
      <c r="G63" s="77"/>
      <c r="H63" s="113"/>
      <c r="I63" s="77"/>
      <c r="J63" s="77"/>
      <c r="K63" s="77"/>
      <c r="L63" s="77"/>
      <c r="M63" s="77"/>
      <c r="N63" s="227"/>
      <c r="O63" s="77"/>
      <c r="P63" s="77"/>
      <c r="Q63" s="277" t="s">
        <v>1077</v>
      </c>
      <c r="R63" s="149" t="s">
        <v>1078</v>
      </c>
      <c r="S63" s="223">
        <f>K60-S60-S61-S62</f>
        <v>123</v>
      </c>
      <c r="T63" s="131"/>
      <c r="U63" s="78"/>
      <c r="V63" s="78"/>
      <c r="W63" s="232"/>
      <c r="X63" s="233"/>
      <c r="Y63" s="212"/>
      <c r="Z63" s="350"/>
      <c r="AA63" s="195"/>
      <c r="AB63" s="132">
        <v>46220</v>
      </c>
      <c r="AC63" s="132"/>
    </row>
    <row r="64" spans="3:29" s="79" customFormat="1" ht="25.2" customHeight="1">
      <c r="C64" s="249" t="str">
        <f t="shared" si="9"/>
        <v>Jul30-12</v>
      </c>
      <c r="D64" s="77">
        <f>IFERROR(VLOOKUP($AA64,PLAN!$B:$AA,3,0),"")</f>
        <v>11134117</v>
      </c>
      <c r="E64" s="77" t="str">
        <f>IFERROR(VLOOKUP($AA64,PLAN!$B:$AA,4,0),"")</f>
        <v>1811827-J-A</v>
      </c>
      <c r="F64" s="77" t="str">
        <f>IFERROR(VLOOKUP($AA64,PLAN!$B:$AA,5,0),"")</f>
        <v>HW60JL350P10000 CN</v>
      </c>
      <c r="G64" s="77" t="str">
        <f>IFERROR(VLOOKUP($AA64,PLAN!$B:$AA,2,0),"")</f>
        <v>1001913386</v>
      </c>
      <c r="H64" s="113">
        <f>IFERROR(VLOOKUP($AA64,PLAN!$B:$AA,7,0),"")</f>
        <v>46233</v>
      </c>
      <c r="I64" s="77" t="str">
        <f>IFERROR(VLOOKUP($AA64,PLAN!$B:$AA,8,0),"")</f>
        <v>0103547096</v>
      </c>
      <c r="J64" s="77" t="str">
        <f>IFERROR(VLOOKUP($AA64,PLAN!$B:$AA,9,0),"")</f>
        <v>260713C09A</v>
      </c>
      <c r="K64" s="77">
        <f>IFERROR(VLOOKUP($AA64,PLAN!$B:$AA,10,0),"")</f>
        <v>324</v>
      </c>
      <c r="L64" s="77" t="str">
        <f>IFERROR(VLOOKUP($AA64,PLAN!$B:$AA,15,0),"")</f>
        <v>CHINA</v>
      </c>
      <c r="M64" s="77">
        <f>IFERROR(VLOOKUP($AA64,PLAN!$B:$AA,18,0),"")</f>
        <v>0</v>
      </c>
      <c r="N64" s="227">
        <f>IFERROR(VLOOKUP($AA64,PLAN!$B:$AA,19,0),"")</f>
        <v>0</v>
      </c>
      <c r="O64" s="77" t="str">
        <f>IFERROR(VLOOKUP($AA64,PLAN!$B:$AA,12,0),"")</f>
        <v>2112041-0-C-CN</v>
      </c>
      <c r="P64" s="77">
        <f>IFERROR(VLOOKUP($AA64,PLAN!$B:$AA,11,0),"")</f>
        <v>12129989</v>
      </c>
      <c r="Q64" s="277" t="s">
        <v>406</v>
      </c>
      <c r="R64" s="149" t="s">
        <v>407</v>
      </c>
      <c r="S64" s="223">
        <v>97</v>
      </c>
      <c r="T64" s="131"/>
      <c r="U64" s="78">
        <f>IFERROR(VLOOKUP($AA64,PLAN!$B:$AA,21,0),"")</f>
        <v>46220</v>
      </c>
      <c r="V64" s="78" t="str">
        <f>IFERROR(VLOOKUP($AA64,PLAN!$B:$AA,22,0),"")</f>
        <v>M10</v>
      </c>
      <c r="W64" s="232"/>
      <c r="X64" s="233"/>
      <c r="Y64" s="212"/>
      <c r="Z64" s="350"/>
      <c r="AA64" s="195" t="s">
        <v>1046</v>
      </c>
      <c r="AB64" s="132">
        <f>VLOOKUP(AA64,PLAN!B:V,20,0)</f>
        <v>46220</v>
      </c>
      <c r="AC64" s="132"/>
    </row>
    <row r="65" spans="3:29" s="79" customFormat="1" ht="25.2" customHeight="1">
      <c r="C65" s="249"/>
      <c r="D65" s="77"/>
      <c r="E65" s="77"/>
      <c r="F65" s="77"/>
      <c r="G65" s="77"/>
      <c r="H65" s="113"/>
      <c r="I65" s="77"/>
      <c r="J65" s="77"/>
      <c r="K65" s="77"/>
      <c r="L65" s="77"/>
      <c r="M65" s="77"/>
      <c r="N65" s="227"/>
      <c r="O65" s="77"/>
      <c r="P65" s="77"/>
      <c r="Q65" s="277" t="s">
        <v>1079</v>
      </c>
      <c r="R65" s="149" t="s">
        <v>1080</v>
      </c>
      <c r="S65" s="223">
        <v>110</v>
      </c>
      <c r="T65" s="131"/>
      <c r="U65" s="78"/>
      <c r="V65" s="78"/>
      <c r="W65" s="232"/>
      <c r="X65" s="233"/>
      <c r="Y65" s="212"/>
      <c r="Z65" s="350"/>
      <c r="AA65" s="195"/>
      <c r="AB65" s="132">
        <v>46220</v>
      </c>
      <c r="AC65" s="132"/>
    </row>
    <row r="66" spans="3:29" s="79" customFormat="1" ht="25.2" customHeight="1">
      <c r="C66" s="249"/>
      <c r="D66" s="77"/>
      <c r="E66" s="77"/>
      <c r="F66" s="77"/>
      <c r="G66" s="77"/>
      <c r="H66" s="113"/>
      <c r="I66" s="77"/>
      <c r="J66" s="77"/>
      <c r="K66" s="77"/>
      <c r="L66" s="77"/>
      <c r="M66" s="77"/>
      <c r="N66" s="227"/>
      <c r="O66" s="77"/>
      <c r="P66" s="77"/>
      <c r="Q66" s="277" t="s">
        <v>1081</v>
      </c>
      <c r="R66" s="149" t="s">
        <v>1082</v>
      </c>
      <c r="S66" s="223">
        <v>100</v>
      </c>
      <c r="T66" s="131"/>
      <c r="U66" s="78"/>
      <c r="V66" s="78"/>
      <c r="W66" s="232"/>
      <c r="X66" s="233"/>
      <c r="Y66" s="212"/>
      <c r="Z66" s="350"/>
      <c r="AA66" s="195"/>
      <c r="AB66" s="132">
        <v>46220</v>
      </c>
      <c r="AC66" s="132"/>
    </row>
    <row r="67" spans="3:29" s="79" customFormat="1" ht="25.2" customHeight="1">
      <c r="C67" s="249"/>
      <c r="D67" s="77"/>
      <c r="E67" s="77"/>
      <c r="F67" s="77"/>
      <c r="G67" s="77"/>
      <c r="H67" s="113"/>
      <c r="I67" s="77"/>
      <c r="J67" s="77"/>
      <c r="K67" s="77"/>
      <c r="L67" s="77"/>
      <c r="M67" s="77"/>
      <c r="N67" s="227"/>
      <c r="O67" s="77"/>
      <c r="P67" s="77"/>
      <c r="Q67" s="277" t="s">
        <v>1083</v>
      </c>
      <c r="R67" s="149" t="s">
        <v>1084</v>
      </c>
      <c r="S67" s="223">
        <f>K64-S64-S65-S66</f>
        <v>17</v>
      </c>
      <c r="T67" s="131"/>
      <c r="U67" s="78"/>
      <c r="V67" s="78"/>
      <c r="W67" s="232"/>
      <c r="X67" s="233"/>
      <c r="Y67" s="212"/>
      <c r="Z67" s="350"/>
      <c r="AA67" s="195"/>
      <c r="AB67" s="132">
        <v>46220</v>
      </c>
      <c r="AC67" s="132"/>
    </row>
    <row r="68" spans="3:29" s="79" customFormat="1" ht="28.8" customHeight="1">
      <c r="C68" s="249" t="str">
        <f t="shared" si="7"/>
        <v>Jul31-01</v>
      </c>
      <c r="D68" s="77">
        <f>IFERROR(VLOOKUP($AA68,PLAN!$B:$AA,3,0),"")</f>
        <v>11134148</v>
      </c>
      <c r="E68" s="77" t="str">
        <f>IFERROR(VLOOKUP($AA68,PLAN!$B:$AA,4,0),"")</f>
        <v>1811909-L-A</v>
      </c>
      <c r="F68" s="77" t="str">
        <f>IFERROR(VLOOKUP($AA68,PLAN!$B:$AA,5,0),"")</f>
        <v>HW60SP350P10000 CN</v>
      </c>
      <c r="G68" s="77" t="str">
        <f>IFERROR(VLOOKUP($AA68,PLAN!$B:$AA,2,0),"")</f>
        <v>1001913433</v>
      </c>
      <c r="H68" s="113">
        <f>IFERROR(VLOOKUP($AA68,PLAN!$B:$AA,7,0),"")</f>
        <v>46234</v>
      </c>
      <c r="I68" s="77" t="str">
        <f>IFERROR(VLOOKUP($AA68,PLAN!$B:$AA,8,0),"")</f>
        <v>0103547143</v>
      </c>
      <c r="J68" s="77" t="str">
        <f>IFERROR(VLOOKUP($AA68,PLAN!$B:$AA,9,0),"")</f>
        <v>260713C56A</v>
      </c>
      <c r="K68" s="77">
        <f>IFERROR(VLOOKUP($AA68,PLAN!$B:$AA,10,0),"")</f>
        <v>486</v>
      </c>
      <c r="L68" s="77" t="str">
        <f>IFERROR(VLOOKUP($AA68,PLAN!$B:$AA,15,0),"")</f>
        <v>CHINA</v>
      </c>
      <c r="M68" s="77">
        <f>IFERROR(VLOOKUP($AA68,PLAN!$B:$AA,18,0),"")</f>
        <v>3</v>
      </c>
      <c r="N68" s="227">
        <f>IFERROR(VLOOKUP($AA68,PLAN!$B:$AA,19,0),"")</f>
        <v>3</v>
      </c>
      <c r="O68" s="77" t="str">
        <f>IFERROR(VLOOKUP($AA68,PLAN!$B:$AA,12,0),"")</f>
        <v>2112099-0-C-CN</v>
      </c>
      <c r="P68" s="77">
        <f>IFERROR(VLOOKUP($AA68,PLAN!$B:$AA,11,0),"")</f>
        <v>12129995</v>
      </c>
      <c r="Q68" s="277" t="s">
        <v>1069</v>
      </c>
      <c r="R68" s="149" t="s">
        <v>1070</v>
      </c>
      <c r="S68" s="223">
        <v>135</v>
      </c>
      <c r="T68" s="131"/>
      <c r="U68" s="78">
        <f>IFERROR(VLOOKUP($AA68,PLAN!$B:$AA,21,0),"")</f>
        <v>46221</v>
      </c>
      <c r="V68" s="78" t="str">
        <f>IFERROR(VLOOKUP($AA68,PLAN!$B:$AA,22,0),"")</f>
        <v>M10</v>
      </c>
      <c r="W68" s="232"/>
      <c r="X68" s="233"/>
      <c r="Y68" s="212"/>
      <c r="Z68" s="350"/>
      <c r="AA68" s="195" t="s">
        <v>1047</v>
      </c>
      <c r="AB68" s="132">
        <f>VLOOKUP(AA68,PLAN!B:V,20,0)</f>
        <v>46221</v>
      </c>
      <c r="AC68" s="132"/>
    </row>
    <row r="69" spans="3:29" s="79" customFormat="1" ht="28.8" customHeight="1">
      <c r="C69" s="249">
        <f t="shared" si="7"/>
        <v>0</v>
      </c>
      <c r="D69" s="77" t="str">
        <f>IFERROR(VLOOKUP($AA69,PLAN!$B:$AA,3,0),"")</f>
        <v/>
      </c>
      <c r="E69" s="77" t="str">
        <f>IFERROR(VLOOKUP($AA69,PLAN!$B:$AA,4,0),"")</f>
        <v/>
      </c>
      <c r="F69" s="77" t="str">
        <f>IFERROR(VLOOKUP($AA69,PLAN!$B:$AA,5,0),"")</f>
        <v/>
      </c>
      <c r="G69" s="77" t="str">
        <f>IFERROR(VLOOKUP($AA69,PLAN!$B:$AA,2,0),"")</f>
        <v/>
      </c>
      <c r="H69" s="113" t="str">
        <f>IFERROR(VLOOKUP($AA69,PLAN!$B:$AA,7,0),"")</f>
        <v/>
      </c>
      <c r="I69" s="77" t="str">
        <f>IFERROR(VLOOKUP($AA69,PLAN!$B:$AA,8,0),"")</f>
        <v/>
      </c>
      <c r="J69" s="77" t="str">
        <f>IFERROR(VLOOKUP($AA69,PLAN!$B:$AA,9,0),"")</f>
        <v/>
      </c>
      <c r="K69" s="77" t="str">
        <f>IFERROR(VLOOKUP($AA69,PLAN!$B:$AA,10,0),"")</f>
        <v/>
      </c>
      <c r="L69" s="77" t="str">
        <f>IFERROR(VLOOKUP($AA69,PLAN!$B:$AA,15,0),"")</f>
        <v/>
      </c>
      <c r="M69" s="77" t="str">
        <f>IFERROR(VLOOKUP($AA69,PLAN!$B:$AA,18,0),"")</f>
        <v/>
      </c>
      <c r="N69" s="227" t="str">
        <f>IFERROR(VLOOKUP($AA69,PLAN!$B:$AA,19,0),"")</f>
        <v/>
      </c>
      <c r="O69" s="77" t="str">
        <f>IFERROR(VLOOKUP($AA69,PLAN!$B:$AA,12,0),"")</f>
        <v/>
      </c>
      <c r="P69" s="77" t="str">
        <f>IFERROR(VLOOKUP($AA69,PLAN!$B:$AA,11,0),"")</f>
        <v/>
      </c>
      <c r="Q69" s="277" t="s">
        <v>1085</v>
      </c>
      <c r="R69" s="149" t="s">
        <v>1086</v>
      </c>
      <c r="S69" s="223">
        <v>150</v>
      </c>
      <c r="T69" s="131"/>
      <c r="U69" s="78" t="str">
        <f>IFERROR(VLOOKUP($AA69,PLAN!$B:$AA,21,0),"")</f>
        <v/>
      </c>
      <c r="V69" s="78" t="str">
        <f>IFERROR(VLOOKUP($AA69,PLAN!$B:$AA,22,0),"")</f>
        <v/>
      </c>
      <c r="W69" s="232"/>
      <c r="X69" s="233"/>
      <c r="Y69" s="212"/>
      <c r="Z69" s="350"/>
      <c r="AA69" s="195"/>
      <c r="AB69" s="132">
        <v>46221</v>
      </c>
      <c r="AC69" s="132"/>
    </row>
    <row r="70" spans="3:29" s="79" customFormat="1" ht="28.8" customHeight="1">
      <c r="C70" s="249">
        <f t="shared" si="7"/>
        <v>0</v>
      </c>
      <c r="D70" s="77" t="str">
        <f>IFERROR(VLOOKUP($AA70,PLAN!$B:$AA,3,0),"")</f>
        <v/>
      </c>
      <c r="E70" s="77" t="str">
        <f>IFERROR(VLOOKUP($AA70,PLAN!$B:$AA,4,0),"")</f>
        <v/>
      </c>
      <c r="F70" s="77" t="str">
        <f>IFERROR(VLOOKUP($AA70,PLAN!$B:$AA,5,0),"")</f>
        <v/>
      </c>
      <c r="G70" s="77" t="str">
        <f>IFERROR(VLOOKUP($AA70,PLAN!$B:$AA,2,0),"")</f>
        <v/>
      </c>
      <c r="H70" s="113" t="str">
        <f>IFERROR(VLOOKUP($AA70,PLAN!$B:$AA,7,0),"")</f>
        <v/>
      </c>
      <c r="I70" s="77" t="str">
        <f>IFERROR(VLOOKUP($AA70,PLAN!$B:$AA,8,0),"")</f>
        <v/>
      </c>
      <c r="J70" s="77" t="str">
        <f>IFERROR(VLOOKUP($AA70,PLAN!$B:$AA,9,0),"")</f>
        <v/>
      </c>
      <c r="K70" s="77" t="str">
        <f>IFERROR(VLOOKUP($AA70,PLAN!$B:$AA,10,0),"")</f>
        <v/>
      </c>
      <c r="L70" s="77" t="str">
        <f>IFERROR(VLOOKUP($AA70,PLAN!$B:$AA,15,0),"")</f>
        <v/>
      </c>
      <c r="M70" s="77" t="str">
        <f>IFERROR(VLOOKUP($AA70,PLAN!$B:$AA,18,0),"")</f>
        <v/>
      </c>
      <c r="N70" s="227" t="str">
        <f>IFERROR(VLOOKUP($AA70,PLAN!$B:$AA,19,0),"")</f>
        <v/>
      </c>
      <c r="O70" s="77" t="str">
        <f>IFERROR(VLOOKUP($AA70,PLAN!$B:$AA,12,0),"")</f>
        <v/>
      </c>
      <c r="P70" s="77" t="str">
        <f>IFERROR(VLOOKUP($AA70,PLAN!$B:$AA,11,0),"")</f>
        <v/>
      </c>
      <c r="Q70" s="277" t="s">
        <v>1087</v>
      </c>
      <c r="R70" s="149" t="s">
        <v>1088</v>
      </c>
      <c r="S70" s="223">
        <v>150</v>
      </c>
      <c r="T70" s="131"/>
      <c r="U70" s="78" t="str">
        <f>IFERROR(VLOOKUP($AA70,PLAN!$B:$AA,21,0),"")</f>
        <v/>
      </c>
      <c r="V70" s="78" t="str">
        <f>IFERROR(VLOOKUP($AA70,PLAN!$B:$AA,22,0),"")</f>
        <v/>
      </c>
      <c r="W70" s="232"/>
      <c r="X70" s="233"/>
      <c r="Y70" s="212"/>
      <c r="Z70" s="350"/>
      <c r="AA70" s="195"/>
      <c r="AB70" s="132">
        <v>46221</v>
      </c>
      <c r="AC70" s="132"/>
    </row>
    <row r="71" spans="3:29" s="79" customFormat="1" ht="28.8" customHeight="1">
      <c r="C71" s="249">
        <f t="shared" si="7"/>
        <v>0</v>
      </c>
      <c r="D71" s="77" t="str">
        <f>IFERROR(VLOOKUP($AA71,PLAN!$B:$AA,3,0),"")</f>
        <v/>
      </c>
      <c r="E71" s="77" t="str">
        <f>IFERROR(VLOOKUP($AA71,PLAN!$B:$AA,4,0),"")</f>
        <v/>
      </c>
      <c r="F71" s="77" t="str">
        <f>IFERROR(VLOOKUP($AA71,PLAN!$B:$AA,5,0),"")</f>
        <v/>
      </c>
      <c r="G71" s="77" t="str">
        <f>IFERROR(VLOOKUP($AA71,PLAN!$B:$AA,2,0),"")</f>
        <v/>
      </c>
      <c r="H71" s="113" t="str">
        <f>IFERROR(VLOOKUP($AA71,PLAN!$B:$AA,7,0),"")</f>
        <v/>
      </c>
      <c r="I71" s="77" t="str">
        <f>IFERROR(VLOOKUP($AA71,PLAN!$B:$AA,8,0),"")</f>
        <v/>
      </c>
      <c r="J71" s="77" t="str">
        <f>IFERROR(VLOOKUP($AA71,PLAN!$B:$AA,9,0),"")</f>
        <v/>
      </c>
      <c r="K71" s="77" t="str">
        <f>IFERROR(VLOOKUP($AA71,PLAN!$B:$AA,10,0),"")</f>
        <v/>
      </c>
      <c r="L71" s="77" t="str">
        <f>IFERROR(VLOOKUP($AA71,PLAN!$B:$AA,15,0),"")</f>
        <v/>
      </c>
      <c r="M71" s="77" t="str">
        <f>IFERROR(VLOOKUP($AA71,PLAN!$B:$AA,18,0),"")</f>
        <v/>
      </c>
      <c r="N71" s="227" t="str">
        <f>IFERROR(VLOOKUP($AA71,PLAN!$B:$AA,19,0),"")</f>
        <v/>
      </c>
      <c r="O71" s="77" t="str">
        <f>IFERROR(VLOOKUP($AA71,PLAN!$B:$AA,12,0),"")</f>
        <v/>
      </c>
      <c r="P71" s="77" t="str">
        <f>IFERROR(VLOOKUP($AA71,PLAN!$B:$AA,11,0),"")</f>
        <v/>
      </c>
      <c r="Q71" s="277" t="s">
        <v>1089</v>
      </c>
      <c r="R71" s="149" t="s">
        <v>1090</v>
      </c>
      <c r="S71" s="223">
        <f>K68-S68-S69-S70</f>
        <v>51</v>
      </c>
      <c r="T71" s="131"/>
      <c r="U71" s="78" t="str">
        <f>IFERROR(VLOOKUP($AA71,PLAN!$B:$AA,21,0),"")</f>
        <v/>
      </c>
      <c r="V71" s="78" t="str">
        <f>IFERROR(VLOOKUP($AA71,PLAN!$B:$AA,22,0),"")</f>
        <v/>
      </c>
      <c r="W71" s="232"/>
      <c r="X71" s="233"/>
      <c r="Y71" s="212"/>
      <c r="Z71" s="350"/>
      <c r="AA71" s="195"/>
      <c r="AB71" s="132">
        <v>46221</v>
      </c>
      <c r="AC71" s="132"/>
    </row>
    <row r="72" spans="3:29" s="79" customFormat="1" ht="28.8" customHeight="1">
      <c r="C72" s="249" t="str">
        <f t="shared" si="7"/>
        <v>Jul31-02</v>
      </c>
      <c r="D72" s="77">
        <f>IFERROR(VLOOKUP($AA72,PLAN!$B:$AA,3,0),"")</f>
        <v>11134148</v>
      </c>
      <c r="E72" s="77" t="str">
        <f>IFERROR(VLOOKUP($AA72,PLAN!$B:$AA,4,0),"")</f>
        <v>1811909-L-A</v>
      </c>
      <c r="F72" s="77" t="str">
        <f>IFERROR(VLOOKUP($AA72,PLAN!$B:$AA,5,0),"")</f>
        <v>HW60SP350P10000 CN</v>
      </c>
      <c r="G72" s="77" t="str">
        <f>IFERROR(VLOOKUP($AA72,PLAN!$B:$AA,2,0),"")</f>
        <v>1001914294</v>
      </c>
      <c r="H72" s="113">
        <f>IFERROR(VLOOKUP($AA72,PLAN!$B:$AA,7,0),"")</f>
        <v>46234</v>
      </c>
      <c r="I72" s="77" t="str">
        <f>IFERROR(VLOOKUP($AA72,PLAN!$B:$AA,8,0),"")</f>
        <v>0103548549</v>
      </c>
      <c r="J72" s="77" t="str">
        <f>IFERROR(VLOOKUP($AA72,PLAN!$B:$AA,9,0),"")</f>
        <v>260616C17B</v>
      </c>
      <c r="K72" s="77">
        <f>IFERROR(VLOOKUP($AA72,PLAN!$B:$AA,10,0),"")</f>
        <v>1</v>
      </c>
      <c r="L72" s="77" t="str">
        <f>IFERROR(VLOOKUP($AA72,PLAN!$B:$AA,15,0),"")</f>
        <v>CHINA</v>
      </c>
      <c r="M72" s="77">
        <f>IFERROR(VLOOKUP($AA72,PLAN!$B:$AA,18,0),"")</f>
        <v>0</v>
      </c>
      <c r="N72" s="227">
        <f>IFERROR(VLOOKUP($AA72,PLAN!$B:$AA,19,0),"")</f>
        <v>0</v>
      </c>
      <c r="O72" s="77" t="str">
        <f>IFERROR(VLOOKUP($AA72,PLAN!$B:$AA,12,0),"")</f>
        <v>2112099-0-C-CN</v>
      </c>
      <c r="P72" s="77">
        <f>IFERROR(VLOOKUP($AA72,PLAN!$B:$AA,11,0),"")</f>
        <v>12129995</v>
      </c>
      <c r="Q72" s="277" t="s">
        <v>416</v>
      </c>
      <c r="R72" s="149" t="s">
        <v>417</v>
      </c>
      <c r="S72" s="149">
        <f t="shared" si="8"/>
        <v>1</v>
      </c>
      <c r="T72" s="131"/>
      <c r="U72" s="78">
        <f>IFERROR(VLOOKUP($AA72,PLAN!$B:$AA,21,0),"")</f>
        <v>46221</v>
      </c>
      <c r="V72" s="78" t="str">
        <f>IFERROR(VLOOKUP($AA72,PLAN!$B:$AA,22,0),"")</f>
        <v>M10</v>
      </c>
      <c r="W72" s="232"/>
      <c r="X72" s="233"/>
      <c r="Y72" s="212"/>
      <c r="Z72" s="350"/>
      <c r="AA72" s="195" t="s">
        <v>1096</v>
      </c>
      <c r="AB72" s="132">
        <f>VLOOKUP(AA72,PLAN!B:V,20,0)</f>
        <v>46221</v>
      </c>
      <c r="AC72" s="132"/>
    </row>
    <row r="73" spans="3:29" s="79" customFormat="1" ht="28.8" customHeight="1">
      <c r="C73" s="249" t="str">
        <f t="shared" si="7"/>
        <v>Aug03-01</v>
      </c>
      <c r="D73" s="77">
        <f>IFERROR(VLOOKUP($AA73,PLAN!$B:$AA,3,0),"")</f>
        <v>11134146</v>
      </c>
      <c r="E73" s="77" t="str">
        <f>IFERROR(VLOOKUP($AA73,PLAN!$B:$AA,4,0),"")</f>
        <v>1811907-L-A</v>
      </c>
      <c r="F73" s="77" t="str">
        <f>IFERROR(VLOOKUP($AA73,PLAN!$B:$AA,5,0),"")</f>
        <v>HW60SP300P10000 CN</v>
      </c>
      <c r="G73" s="77" t="str">
        <f>IFERROR(VLOOKUP($AA73,PLAN!$B:$AA,2,0),"")</f>
        <v>1001916295</v>
      </c>
      <c r="H73" s="113">
        <f>IFERROR(VLOOKUP($AA73,PLAN!$B:$AA,7,0),"")</f>
        <v>46237</v>
      </c>
      <c r="I73" s="77" t="str">
        <f>IFERROR(VLOOKUP($AA73,PLAN!$B:$AA,8,0),"")</f>
        <v>0103552270</v>
      </c>
      <c r="J73" s="77" t="str">
        <f>IFERROR(VLOOKUP($AA73,PLAN!$B:$AA,9,0),"")</f>
        <v>260715C44A</v>
      </c>
      <c r="K73" s="77">
        <f>IFERROR(VLOOKUP($AA73,PLAN!$B:$AA,10,0),"")</f>
        <v>720</v>
      </c>
      <c r="L73" s="77" t="str">
        <f>IFERROR(VLOOKUP($AA73,PLAN!$B:$AA,15,0),"")</f>
        <v>CHINA</v>
      </c>
      <c r="M73" s="77">
        <f>IFERROR(VLOOKUP($AA73,PLAN!$B:$AA,18,0),"")</f>
        <v>0</v>
      </c>
      <c r="N73" s="227">
        <f>IFERROR(VLOOKUP($AA73,PLAN!$B:$AA,19,0),"")</f>
        <v>0</v>
      </c>
      <c r="O73" s="77" t="str">
        <f>IFERROR(VLOOKUP($AA73,PLAN!$B:$AA,12,0),"")</f>
        <v>2112095-0-C-CN</v>
      </c>
      <c r="P73" s="77">
        <f>IFERROR(VLOOKUP($AA73,PLAN!$B:$AA,11,0),"")</f>
        <v>12129994</v>
      </c>
      <c r="Q73" s="277" t="s">
        <v>408</v>
      </c>
      <c r="R73" s="149" t="s">
        <v>409</v>
      </c>
      <c r="S73" s="223">
        <v>36</v>
      </c>
      <c r="T73" s="131"/>
      <c r="U73" s="78">
        <f>IFERROR(VLOOKUP($AA73,PLAN!$B:$AA,21,0),"")</f>
        <v>46223</v>
      </c>
      <c r="V73" s="78" t="str">
        <f>IFERROR(VLOOKUP($AA73,PLAN!$B:$AA,22,0),"")</f>
        <v>M10</v>
      </c>
      <c r="W73" s="232"/>
      <c r="X73" s="233"/>
      <c r="Y73" s="212"/>
      <c r="Z73" s="350"/>
      <c r="AA73" s="195" t="s">
        <v>1186</v>
      </c>
      <c r="AB73" s="132">
        <f>VLOOKUP(AA73,PLAN!B:V,20,0)</f>
        <v>46223</v>
      </c>
      <c r="AC73" s="132"/>
    </row>
    <row r="74" spans="3:29" s="79" customFormat="1" ht="28.8" customHeight="1">
      <c r="C74" s="249"/>
      <c r="D74" s="77"/>
      <c r="E74" s="77"/>
      <c r="F74" s="77"/>
      <c r="G74" s="77"/>
      <c r="H74" s="113"/>
      <c r="I74" s="77"/>
      <c r="J74" s="77"/>
      <c r="K74" s="77"/>
      <c r="L74" s="77"/>
      <c r="M74" s="77"/>
      <c r="N74" s="227"/>
      <c r="O74" s="77"/>
      <c r="P74" s="77"/>
      <c r="Q74" s="277" t="s">
        <v>1198</v>
      </c>
      <c r="R74" s="149" t="s">
        <v>1199</v>
      </c>
      <c r="S74" s="223">
        <v>110</v>
      </c>
      <c r="T74" s="131"/>
      <c r="U74" s="78"/>
      <c r="V74" s="78"/>
      <c r="W74" s="232"/>
      <c r="X74" s="233"/>
      <c r="Y74" s="212"/>
      <c r="Z74" s="350"/>
      <c r="AA74" s="195"/>
      <c r="AB74" s="132">
        <v>46223</v>
      </c>
      <c r="AC74" s="132"/>
    </row>
    <row r="75" spans="3:29" s="79" customFormat="1" ht="28.8" customHeight="1">
      <c r="C75" s="249"/>
      <c r="D75" s="77"/>
      <c r="E75" s="77"/>
      <c r="F75" s="77"/>
      <c r="G75" s="77"/>
      <c r="H75" s="113"/>
      <c r="I75" s="77"/>
      <c r="J75" s="77"/>
      <c r="K75" s="77"/>
      <c r="L75" s="77"/>
      <c r="M75" s="77"/>
      <c r="N75" s="227"/>
      <c r="O75" s="77"/>
      <c r="P75" s="77"/>
      <c r="Q75" s="277" t="s">
        <v>1200</v>
      </c>
      <c r="R75" s="149" t="s">
        <v>1201</v>
      </c>
      <c r="S75" s="223">
        <v>58</v>
      </c>
      <c r="T75" s="131"/>
      <c r="U75" s="78"/>
      <c r="V75" s="78"/>
      <c r="W75" s="232"/>
      <c r="X75" s="233"/>
      <c r="Y75" s="212"/>
      <c r="Z75" s="350"/>
      <c r="AA75" s="195"/>
      <c r="AB75" s="132">
        <v>46223</v>
      </c>
      <c r="AC75" s="132"/>
    </row>
    <row r="76" spans="3:29" s="79" customFormat="1" ht="28.8" customHeight="1">
      <c r="C76" s="249"/>
      <c r="D76" s="77"/>
      <c r="E76" s="77"/>
      <c r="F76" s="77"/>
      <c r="G76" s="77"/>
      <c r="H76" s="113"/>
      <c r="I76" s="77"/>
      <c r="J76" s="77"/>
      <c r="K76" s="77"/>
      <c r="L76" s="77"/>
      <c r="M76" s="77"/>
      <c r="N76" s="227"/>
      <c r="O76" s="77"/>
      <c r="P76" s="77"/>
      <c r="Q76" s="277" t="s">
        <v>1202</v>
      </c>
      <c r="R76" s="149" t="s">
        <v>1203</v>
      </c>
      <c r="S76" s="223">
        <v>120</v>
      </c>
      <c r="T76" s="131"/>
      <c r="U76" s="78"/>
      <c r="V76" s="78"/>
      <c r="W76" s="232"/>
      <c r="X76" s="233"/>
      <c r="Y76" s="212"/>
      <c r="Z76" s="350"/>
      <c r="AA76" s="195"/>
      <c r="AB76" s="132">
        <v>46223</v>
      </c>
      <c r="AC76" s="132"/>
    </row>
    <row r="77" spans="3:29" s="79" customFormat="1" ht="28.8" customHeight="1">
      <c r="C77" s="249"/>
      <c r="D77" s="77"/>
      <c r="E77" s="77"/>
      <c r="F77" s="77"/>
      <c r="G77" s="77"/>
      <c r="H77" s="113"/>
      <c r="I77" s="77"/>
      <c r="J77" s="77"/>
      <c r="K77" s="77"/>
      <c r="L77" s="77"/>
      <c r="M77" s="77"/>
      <c r="N77" s="227"/>
      <c r="O77" s="77"/>
      <c r="P77" s="77"/>
      <c r="Q77" s="277" t="s">
        <v>1204</v>
      </c>
      <c r="R77" s="149" t="s">
        <v>1205</v>
      </c>
      <c r="S77" s="223">
        <v>150</v>
      </c>
      <c r="T77" s="131"/>
      <c r="U77" s="78"/>
      <c r="V77" s="78"/>
      <c r="W77" s="232"/>
      <c r="X77" s="233"/>
      <c r="Y77" s="212"/>
      <c r="Z77" s="350"/>
      <c r="AA77" s="195"/>
      <c r="AB77" s="132">
        <v>46223</v>
      </c>
      <c r="AC77" s="132"/>
    </row>
    <row r="78" spans="3:29" s="79" customFormat="1" ht="28.8" customHeight="1">
      <c r="C78" s="249"/>
      <c r="D78" s="77"/>
      <c r="E78" s="77"/>
      <c r="F78" s="77"/>
      <c r="G78" s="77"/>
      <c r="H78" s="113"/>
      <c r="I78" s="77"/>
      <c r="J78" s="77"/>
      <c r="K78" s="77"/>
      <c r="L78" s="77"/>
      <c r="M78" s="77"/>
      <c r="N78" s="227"/>
      <c r="O78" s="77"/>
      <c r="P78" s="77"/>
      <c r="Q78" s="277" t="s">
        <v>1206</v>
      </c>
      <c r="R78" s="149" t="s">
        <v>1207</v>
      </c>
      <c r="S78" s="223">
        <v>120</v>
      </c>
      <c r="T78" s="131"/>
      <c r="U78" s="78"/>
      <c r="V78" s="78"/>
      <c r="W78" s="232"/>
      <c r="X78" s="233"/>
      <c r="Y78" s="212"/>
      <c r="Z78" s="350"/>
      <c r="AA78" s="195"/>
      <c r="AB78" s="132">
        <v>46223</v>
      </c>
      <c r="AC78" s="132"/>
    </row>
    <row r="79" spans="3:29" s="79" customFormat="1" ht="28.8" customHeight="1">
      <c r="C79" s="249"/>
      <c r="D79" s="77"/>
      <c r="E79" s="77"/>
      <c r="F79" s="77"/>
      <c r="G79" s="77"/>
      <c r="H79" s="113"/>
      <c r="I79" s="77"/>
      <c r="J79" s="77"/>
      <c r="K79" s="77"/>
      <c r="L79" s="77"/>
      <c r="M79" s="77"/>
      <c r="N79" s="227"/>
      <c r="O79" s="77"/>
      <c r="P79" s="77"/>
      <c r="Q79" s="277" t="s">
        <v>1208</v>
      </c>
      <c r="R79" s="149" t="s">
        <v>1209</v>
      </c>
      <c r="S79" s="343">
        <f>K73-S73-S74-S75-S76-S77-S78</f>
        <v>126</v>
      </c>
      <c r="T79" s="131"/>
      <c r="U79" s="78"/>
      <c r="V79" s="78"/>
      <c r="W79" s="232"/>
      <c r="X79" s="233"/>
      <c r="Y79" s="212"/>
      <c r="Z79" s="350"/>
      <c r="AA79" s="195"/>
      <c r="AB79" s="132">
        <v>46223</v>
      </c>
      <c r="AC79" s="132"/>
    </row>
    <row r="80" spans="3:29" s="79" customFormat="1" ht="28.8" customHeight="1">
      <c r="C80" s="249" t="str">
        <f t="shared" si="7"/>
        <v>Aug04-03</v>
      </c>
      <c r="D80" s="77">
        <f>IFERROR(VLOOKUP($AA80,PLAN!$B:$AA,3,0),"")</f>
        <v>11134247</v>
      </c>
      <c r="E80" s="77" t="str">
        <f>IFERROR(VLOOKUP($AA80,PLAN!$B:$AA,4,0),"")</f>
        <v>2141050-D-A</v>
      </c>
      <c r="F80" s="77" t="str">
        <f>IFERROR(VLOOKUP($AA80,PLAN!$B:$AA,5,0),"")</f>
        <v>CRV150-19P CN</v>
      </c>
      <c r="G80" s="77" t="str">
        <f>IFERROR(VLOOKUP($AA80,PLAN!$B:$AA,2,0),"")</f>
        <v>1001916337</v>
      </c>
      <c r="H80" s="113">
        <f>IFERROR(VLOOKUP($AA80,PLAN!$B:$AA,7,0),"")</f>
        <v>46238</v>
      </c>
      <c r="I80" s="77" t="str">
        <f>IFERROR(VLOOKUP($AA80,PLAN!$B:$AA,8,0),"")</f>
        <v>0103552318</v>
      </c>
      <c r="J80" s="77" t="str">
        <f>IFERROR(VLOOKUP($AA80,PLAN!$B:$AA,9,0),"")</f>
        <v>260715K15A</v>
      </c>
      <c r="K80" s="77">
        <f>IFERROR(VLOOKUP($AA80,PLAN!$B:$AA,10,0),"")</f>
        <v>20</v>
      </c>
      <c r="L80" s="77" t="str">
        <f>IFERROR(VLOOKUP($AA80,PLAN!$B:$AA,15,0),"")</f>
        <v>CHINA</v>
      </c>
      <c r="M80" s="77">
        <f>IFERROR(VLOOKUP($AA80,PLAN!$B:$AA,18,0),"")</f>
        <v>0</v>
      </c>
      <c r="N80" s="227">
        <f>IFERROR(VLOOKUP($AA80,PLAN!$B:$AA,19,0),"")</f>
        <v>0</v>
      </c>
      <c r="O80" s="77" t="str">
        <f>IFERROR(VLOOKUP($AA80,PLAN!$B:$AA,12,0),"")</f>
        <v>1842015-B-C-CN</v>
      </c>
      <c r="P80" s="77">
        <f>IFERROR(VLOOKUP($AA80,PLAN!$B:$AA,11,0),"")</f>
        <v>12129253</v>
      </c>
      <c r="Q80" s="277" t="s">
        <v>1216</v>
      </c>
      <c r="R80" s="222" t="s">
        <v>1217</v>
      </c>
      <c r="S80" s="149">
        <f t="shared" si="8"/>
        <v>20</v>
      </c>
      <c r="T80" s="131"/>
      <c r="U80" s="78">
        <f>IFERROR(VLOOKUP($AA80,PLAN!$B:$AA,21,0),"")</f>
        <v>46224</v>
      </c>
      <c r="V80" s="78" t="str">
        <f>IFERROR(VLOOKUP($AA80,PLAN!$B:$AA,22,0),"")</f>
        <v>M8</v>
      </c>
      <c r="W80" s="232"/>
      <c r="X80" s="233"/>
      <c r="Y80" s="212"/>
      <c r="Z80" s="350"/>
      <c r="AA80" s="195" t="s">
        <v>1189</v>
      </c>
      <c r="AB80" s="132">
        <f>VLOOKUP(AA80,PLAN!B:V,20,0)</f>
        <v>46224</v>
      </c>
      <c r="AC80" s="132"/>
    </row>
    <row r="81" spans="3:29" s="79" customFormat="1" ht="28.8" customHeight="1">
      <c r="C81" s="249" t="str">
        <f t="shared" si="7"/>
        <v>Aug04-04</v>
      </c>
      <c r="D81" s="77">
        <f>IFERROR(VLOOKUP($AA81,PLAN!$B:$AA,3,0),"")</f>
        <v>11134246</v>
      </c>
      <c r="E81" s="77" t="str">
        <f>IFERROR(VLOOKUP($AA81,PLAN!$B:$AA,4,0),"")</f>
        <v>2141049-D-A</v>
      </c>
      <c r="F81" s="77" t="str">
        <f>IFERROR(VLOOKUP($AA81,PLAN!$B:$AA,5,0),"")</f>
        <v>CRV135-19P CN</v>
      </c>
      <c r="G81" s="77" t="str">
        <f>IFERROR(VLOOKUP($AA81,PLAN!$B:$AA,2,0),"")</f>
        <v>1001916338</v>
      </c>
      <c r="H81" s="113">
        <f>IFERROR(VLOOKUP($AA81,PLAN!$B:$AA,7,0),"")</f>
        <v>46238</v>
      </c>
      <c r="I81" s="77" t="str">
        <f>IFERROR(VLOOKUP($AA81,PLAN!$B:$AA,8,0),"")</f>
        <v>0103552319</v>
      </c>
      <c r="J81" s="77" t="str">
        <f>IFERROR(VLOOKUP($AA81,PLAN!$B:$AA,9,0),"")</f>
        <v>260715K16A</v>
      </c>
      <c r="K81" s="77">
        <f>IFERROR(VLOOKUP($AA81,PLAN!$B:$AA,10,0),"")</f>
        <v>1497</v>
      </c>
      <c r="L81" s="77" t="str">
        <f>IFERROR(VLOOKUP($AA81,PLAN!$B:$AA,15,0),"")</f>
        <v>CHINA</v>
      </c>
      <c r="M81" s="77">
        <f>IFERROR(VLOOKUP($AA81,PLAN!$B:$AA,18,0),"")</f>
        <v>3</v>
      </c>
      <c r="N81" s="227">
        <f>IFERROR(VLOOKUP($AA81,PLAN!$B:$AA,19,0),"")</f>
        <v>3</v>
      </c>
      <c r="O81" s="77" t="str">
        <f>IFERROR(VLOOKUP($AA81,PLAN!$B:$AA,12,0),"")</f>
        <v>1842014-C-C-CN</v>
      </c>
      <c r="P81" s="77">
        <f>IFERROR(VLOOKUP($AA81,PLAN!$B:$AA,11,0),"")</f>
        <v>12129252</v>
      </c>
      <c r="Q81" s="277" t="s">
        <v>380</v>
      </c>
      <c r="R81" s="149" t="s">
        <v>381</v>
      </c>
      <c r="S81" s="223">
        <v>100</v>
      </c>
      <c r="T81" s="131"/>
      <c r="U81" s="78">
        <f>IFERROR(VLOOKUP($AA81,PLAN!$B:$AA,21,0),"")</f>
        <v>46224</v>
      </c>
      <c r="V81" s="78" t="str">
        <f>IFERROR(VLOOKUP($AA81,PLAN!$B:$AA,22,0),"")</f>
        <v>M8</v>
      </c>
      <c r="W81" s="232"/>
      <c r="X81" s="233"/>
      <c r="Y81" s="212"/>
      <c r="Z81" s="350"/>
      <c r="AA81" s="195" t="s">
        <v>1190</v>
      </c>
      <c r="AB81" s="132">
        <f>VLOOKUP(AA81,PLAN!B:V,20,0)</f>
        <v>46224</v>
      </c>
      <c r="AC81" s="132"/>
    </row>
    <row r="82" spans="3:29" s="79" customFormat="1" ht="28.8" customHeight="1">
      <c r="C82" s="249"/>
      <c r="D82" s="77"/>
      <c r="E82" s="77"/>
      <c r="F82" s="77"/>
      <c r="G82" s="77"/>
      <c r="H82" s="113"/>
      <c r="I82" s="77"/>
      <c r="J82" s="77"/>
      <c r="K82" s="77"/>
      <c r="L82" s="77"/>
      <c r="M82" s="77"/>
      <c r="N82" s="227"/>
      <c r="O82" s="77"/>
      <c r="P82" s="77"/>
      <c r="Q82" s="277" t="s">
        <v>1218</v>
      </c>
      <c r="R82" s="222" t="s">
        <v>1219</v>
      </c>
      <c r="S82" s="223">
        <v>305</v>
      </c>
      <c r="T82" s="131"/>
      <c r="U82" s="78"/>
      <c r="V82" s="78"/>
      <c r="W82" s="232"/>
      <c r="X82" s="233"/>
      <c r="Y82" s="212"/>
      <c r="Z82" s="350"/>
      <c r="AA82" s="195"/>
      <c r="AB82" s="132">
        <v>46224</v>
      </c>
      <c r="AC82" s="132"/>
    </row>
    <row r="83" spans="3:29" s="79" customFormat="1" ht="28.8" customHeight="1">
      <c r="C83" s="249"/>
      <c r="D83" s="77"/>
      <c r="E83" s="77"/>
      <c r="F83" s="77"/>
      <c r="G83" s="77"/>
      <c r="H83" s="113"/>
      <c r="I83" s="77"/>
      <c r="J83" s="77"/>
      <c r="K83" s="77"/>
      <c r="L83" s="77"/>
      <c r="M83" s="77"/>
      <c r="N83" s="227"/>
      <c r="O83" s="77"/>
      <c r="P83" s="77"/>
      <c r="Q83" s="277" t="s">
        <v>1220</v>
      </c>
      <c r="R83" s="222" t="s">
        <v>1221</v>
      </c>
      <c r="S83" s="223">
        <v>306</v>
      </c>
      <c r="T83" s="131"/>
      <c r="U83" s="78"/>
      <c r="V83" s="78"/>
      <c r="W83" s="232"/>
      <c r="X83" s="233"/>
      <c r="Y83" s="212"/>
      <c r="Z83" s="350"/>
      <c r="AA83" s="195"/>
      <c r="AB83" s="132">
        <v>46224</v>
      </c>
      <c r="AC83" s="132"/>
    </row>
    <row r="84" spans="3:29" s="79" customFormat="1" ht="28.8" customHeight="1">
      <c r="C84" s="249"/>
      <c r="D84" s="77"/>
      <c r="E84" s="77"/>
      <c r="F84" s="77"/>
      <c r="G84" s="77"/>
      <c r="H84" s="113"/>
      <c r="I84" s="77"/>
      <c r="J84" s="77"/>
      <c r="K84" s="77"/>
      <c r="L84" s="77"/>
      <c r="M84" s="77"/>
      <c r="N84" s="227"/>
      <c r="O84" s="77"/>
      <c r="P84" s="77"/>
      <c r="Q84" s="277" t="s">
        <v>1222</v>
      </c>
      <c r="R84" s="222" t="s">
        <v>1223</v>
      </c>
      <c r="S84" s="223">
        <v>305</v>
      </c>
      <c r="T84" s="131"/>
      <c r="U84" s="78"/>
      <c r="V84" s="78"/>
      <c r="W84" s="232"/>
      <c r="X84" s="233"/>
      <c r="Y84" s="212"/>
      <c r="Z84" s="350"/>
      <c r="AA84" s="195"/>
      <c r="AB84" s="132">
        <v>46224</v>
      </c>
      <c r="AC84" s="132"/>
    </row>
    <row r="85" spans="3:29" s="79" customFormat="1" ht="28.8" customHeight="1">
      <c r="C85" s="249"/>
      <c r="D85" s="77"/>
      <c r="E85" s="77"/>
      <c r="F85" s="77"/>
      <c r="G85" s="77"/>
      <c r="H85" s="113"/>
      <c r="I85" s="77"/>
      <c r="J85" s="77"/>
      <c r="K85" s="77"/>
      <c r="L85" s="77"/>
      <c r="M85" s="77"/>
      <c r="N85" s="227"/>
      <c r="O85" s="77"/>
      <c r="P85" s="77"/>
      <c r="Q85" s="277" t="s">
        <v>1224</v>
      </c>
      <c r="R85" s="222" t="s">
        <v>1225</v>
      </c>
      <c r="S85" s="223">
        <v>306</v>
      </c>
      <c r="T85" s="131"/>
      <c r="U85" s="78"/>
      <c r="V85" s="78"/>
      <c r="W85" s="232"/>
      <c r="X85" s="233"/>
      <c r="Y85" s="212"/>
      <c r="Z85" s="350"/>
      <c r="AA85" s="195"/>
      <c r="AB85" s="132">
        <v>46224</v>
      </c>
      <c r="AC85" s="132"/>
    </row>
    <row r="86" spans="3:29" s="79" customFormat="1" ht="28.8" customHeight="1">
      <c r="C86" s="249"/>
      <c r="D86" s="77"/>
      <c r="E86" s="77"/>
      <c r="F86" s="77"/>
      <c r="G86" s="77"/>
      <c r="H86" s="113"/>
      <c r="I86" s="77"/>
      <c r="J86" s="77"/>
      <c r="K86" s="77"/>
      <c r="L86" s="77"/>
      <c r="M86" s="77"/>
      <c r="N86" s="227"/>
      <c r="O86" s="77"/>
      <c r="P86" s="77"/>
      <c r="Q86" s="277" t="s">
        <v>1226</v>
      </c>
      <c r="R86" s="222" t="s">
        <v>1227</v>
      </c>
      <c r="S86" s="223">
        <f>K81-S81-S82-S83-S84-S85</f>
        <v>175</v>
      </c>
      <c r="T86" s="131"/>
      <c r="U86" s="78"/>
      <c r="V86" s="78"/>
      <c r="W86" s="232"/>
      <c r="X86" s="233"/>
      <c r="Y86" s="212"/>
      <c r="Z86" s="350"/>
      <c r="AA86" s="195"/>
      <c r="AB86" s="132">
        <v>46224</v>
      </c>
      <c r="AC86" s="132"/>
    </row>
    <row r="87" spans="3:29" s="79" customFormat="1" ht="28.8" customHeight="1">
      <c r="C87" s="249" t="str">
        <f t="shared" si="7"/>
        <v>Aug04-01</v>
      </c>
      <c r="D87" s="77">
        <f>IFERROR(VLOOKUP($AA87,PLAN!$B:$AA,3,0),"")</f>
        <v>11134125</v>
      </c>
      <c r="E87" s="77" t="str">
        <f>IFERROR(VLOOKUP($AA87,PLAN!$B:$AA,4,0),"")</f>
        <v>1811851-J-A</v>
      </c>
      <c r="F87" s="77" t="str">
        <f>IFERROR(VLOOKUP($AA87,PLAN!$B:$AA,5,0),"")</f>
        <v>HW60JR400P10000 CN</v>
      </c>
      <c r="G87" s="77" t="str">
        <f>IFERROR(VLOOKUP($AA87,PLAN!$B:$AA,2,0),"")</f>
        <v>1001916320</v>
      </c>
      <c r="H87" s="113">
        <f>IFERROR(VLOOKUP($AA87,PLAN!$B:$AA,7,0),"")</f>
        <v>46238</v>
      </c>
      <c r="I87" s="77" t="str">
        <f>IFERROR(VLOOKUP($AA87,PLAN!$B:$AA,8,0),"")</f>
        <v>0103552300</v>
      </c>
      <c r="J87" s="77" t="str">
        <f>IFERROR(VLOOKUP($AA87,PLAN!$B:$AA,9,0),"")</f>
        <v>260715C69A</v>
      </c>
      <c r="K87" s="77">
        <f>IFERROR(VLOOKUP($AA87,PLAN!$B:$AA,10,0),"")</f>
        <v>420</v>
      </c>
      <c r="L87" s="77" t="str">
        <f>IFERROR(VLOOKUP($AA87,PLAN!$B:$AA,15,0),"")</f>
        <v>CHINA</v>
      </c>
      <c r="M87" s="77">
        <f>IFERROR(VLOOKUP($AA87,PLAN!$B:$AA,18,0),"")</f>
        <v>0</v>
      </c>
      <c r="N87" s="227">
        <f>IFERROR(VLOOKUP($AA87,PLAN!$B:$AA,19,0),"")</f>
        <v>0</v>
      </c>
      <c r="O87" s="77" t="str">
        <f>IFERROR(VLOOKUP($AA87,PLAN!$B:$AA,12,0),"")</f>
        <v>2112061-0-C-CN</v>
      </c>
      <c r="P87" s="77">
        <f>IFERROR(VLOOKUP($AA87,PLAN!$B:$AA,11,0),"")</f>
        <v>12129992</v>
      </c>
      <c r="Q87" s="277" t="s">
        <v>554</v>
      </c>
      <c r="R87" s="149" t="s">
        <v>555</v>
      </c>
      <c r="S87" s="223">
        <v>48</v>
      </c>
      <c r="T87" s="131"/>
      <c r="U87" s="78">
        <f>IFERROR(VLOOKUP($AA87,PLAN!$B:$AA,21,0),"")</f>
        <v>46224</v>
      </c>
      <c r="V87" s="78" t="str">
        <f>IFERROR(VLOOKUP($AA87,PLAN!$B:$AA,22,0),"")</f>
        <v>M9</v>
      </c>
      <c r="W87" s="232"/>
      <c r="X87" s="233"/>
      <c r="Y87" s="212"/>
      <c r="Z87" s="350"/>
      <c r="AA87" s="195" t="s">
        <v>1187</v>
      </c>
      <c r="AB87" s="132">
        <v>46224</v>
      </c>
      <c r="AC87" s="132"/>
    </row>
    <row r="88" spans="3:29" s="79" customFormat="1" ht="28.8" customHeight="1">
      <c r="C88" s="249"/>
      <c r="D88" s="77"/>
      <c r="E88" s="77"/>
      <c r="F88" s="77"/>
      <c r="G88" s="77"/>
      <c r="H88" s="113"/>
      <c r="I88" s="77"/>
      <c r="J88" s="77"/>
      <c r="K88" s="77"/>
      <c r="L88" s="77"/>
      <c r="M88" s="77"/>
      <c r="N88" s="227"/>
      <c r="O88" s="77"/>
      <c r="P88" s="77"/>
      <c r="Q88" s="277" t="s">
        <v>1228</v>
      </c>
      <c r="R88" s="149" t="s">
        <v>1229</v>
      </c>
      <c r="S88" s="223">
        <v>110</v>
      </c>
      <c r="T88" s="131"/>
      <c r="U88" s="78"/>
      <c r="V88" s="78"/>
      <c r="W88" s="232"/>
      <c r="X88" s="233"/>
      <c r="Y88" s="212"/>
      <c r="Z88" s="350"/>
      <c r="AA88" s="195"/>
      <c r="AB88" s="132">
        <v>46224</v>
      </c>
      <c r="AC88" s="132"/>
    </row>
    <row r="89" spans="3:29" s="79" customFormat="1" ht="28.8" customHeight="1">
      <c r="C89" s="249"/>
      <c r="D89" s="77"/>
      <c r="E89" s="77"/>
      <c r="F89" s="77"/>
      <c r="G89" s="77"/>
      <c r="H89" s="113"/>
      <c r="I89" s="77"/>
      <c r="J89" s="77"/>
      <c r="K89" s="77"/>
      <c r="L89" s="77"/>
      <c r="M89" s="77"/>
      <c r="N89" s="227"/>
      <c r="O89" s="77"/>
      <c r="P89" s="77"/>
      <c r="Q89" s="277" t="s">
        <v>1230</v>
      </c>
      <c r="R89" s="149" t="s">
        <v>1231</v>
      </c>
      <c r="S89" s="223">
        <v>150</v>
      </c>
      <c r="T89" s="131"/>
      <c r="U89" s="78"/>
      <c r="V89" s="78"/>
      <c r="W89" s="232"/>
      <c r="X89" s="233"/>
      <c r="Y89" s="212"/>
      <c r="Z89" s="350"/>
      <c r="AA89" s="195"/>
      <c r="AB89" s="132">
        <v>46224</v>
      </c>
      <c r="AC89" s="132"/>
    </row>
    <row r="90" spans="3:29" s="79" customFormat="1" ht="28.8" customHeight="1">
      <c r="C90" s="249"/>
      <c r="D90" s="77"/>
      <c r="E90" s="77"/>
      <c r="F90" s="77"/>
      <c r="G90" s="77"/>
      <c r="H90" s="113"/>
      <c r="I90" s="77"/>
      <c r="J90" s="77"/>
      <c r="K90" s="77"/>
      <c r="L90" s="77"/>
      <c r="M90" s="77"/>
      <c r="N90" s="227"/>
      <c r="O90" s="77"/>
      <c r="P90" s="77"/>
      <c r="Q90" s="277" t="s">
        <v>1232</v>
      </c>
      <c r="R90" s="149" t="s">
        <v>1233</v>
      </c>
      <c r="S90" s="223">
        <f>K87-S87-S88-S89</f>
        <v>112</v>
      </c>
      <c r="T90" s="131"/>
      <c r="U90" s="78"/>
      <c r="V90" s="78"/>
      <c r="W90" s="232"/>
      <c r="X90" s="233"/>
      <c r="Y90" s="212"/>
      <c r="Z90" s="350"/>
      <c r="AA90" s="195"/>
      <c r="AB90" s="132">
        <v>46224</v>
      </c>
      <c r="AC90" s="132"/>
    </row>
    <row r="91" spans="3:29" s="79" customFormat="1" ht="28.8" customHeight="1">
      <c r="C91" s="249" t="str">
        <f t="shared" si="7"/>
        <v>Aug04-02</v>
      </c>
      <c r="D91" s="77">
        <f>IFERROR(VLOOKUP($AA91,PLAN!$B:$AA,3,0),"")</f>
        <v>11134148</v>
      </c>
      <c r="E91" s="77" t="str">
        <f>IFERROR(VLOOKUP($AA91,PLAN!$B:$AA,4,0),"")</f>
        <v>1811909-L-A</v>
      </c>
      <c r="F91" s="77" t="str">
        <f>IFERROR(VLOOKUP($AA91,PLAN!$B:$AA,5,0),"")</f>
        <v>HW60SP350P10000 CN</v>
      </c>
      <c r="G91" s="77" t="str">
        <f>IFERROR(VLOOKUP($AA91,PLAN!$B:$AA,2,0),"")</f>
        <v>1001916321</v>
      </c>
      <c r="H91" s="113">
        <f>IFERROR(VLOOKUP($AA91,PLAN!$B:$AA,7,0),"")</f>
        <v>46238</v>
      </c>
      <c r="I91" s="77" t="str">
        <f>IFERROR(VLOOKUP($AA91,PLAN!$B:$AA,8,0),"")</f>
        <v>0103552301</v>
      </c>
      <c r="J91" s="77" t="str">
        <f>IFERROR(VLOOKUP($AA91,PLAN!$B:$AA,9,0),"")</f>
        <v>260715C70A</v>
      </c>
      <c r="K91" s="77">
        <f>IFERROR(VLOOKUP($AA91,PLAN!$B:$AA,10,0),"")</f>
        <v>726</v>
      </c>
      <c r="L91" s="77" t="str">
        <f>IFERROR(VLOOKUP($AA91,PLAN!$B:$AA,15,0),"")</f>
        <v>CHINA</v>
      </c>
      <c r="M91" s="77">
        <f>IFERROR(VLOOKUP($AA91,PLAN!$B:$AA,18,0),"")</f>
        <v>3</v>
      </c>
      <c r="N91" s="227">
        <f>IFERROR(VLOOKUP($AA91,PLAN!$B:$AA,19,0),"")</f>
        <v>3</v>
      </c>
      <c r="O91" s="77" t="str">
        <f>IFERROR(VLOOKUP($AA91,PLAN!$B:$AA,12,0),"")</f>
        <v>2112099-0-C-CN</v>
      </c>
      <c r="P91" s="77">
        <f>IFERROR(VLOOKUP($AA91,PLAN!$B:$AA,11,0),"")</f>
        <v>12129995</v>
      </c>
      <c r="Q91" s="277" t="s">
        <v>1089</v>
      </c>
      <c r="R91" s="149" t="s">
        <v>1090</v>
      </c>
      <c r="S91" s="223">
        <v>99</v>
      </c>
      <c r="T91" s="131"/>
      <c r="U91" s="78">
        <f>IFERROR(VLOOKUP($AA91,PLAN!$B:$AA,21,0),"")</f>
        <v>46224</v>
      </c>
      <c r="V91" s="78" t="str">
        <f>IFERROR(VLOOKUP($AA91,PLAN!$B:$AA,22,0),"")</f>
        <v>M10</v>
      </c>
      <c r="W91" s="232"/>
      <c r="X91" s="233"/>
      <c r="Y91" s="212"/>
      <c r="Z91" s="350"/>
      <c r="AA91" s="195" t="s">
        <v>1188</v>
      </c>
      <c r="AB91" s="132">
        <f>VLOOKUP(AA91,PLAN!B:V,20,0)</f>
        <v>46224</v>
      </c>
      <c r="AC91" s="132"/>
    </row>
    <row r="92" spans="3:29" s="79" customFormat="1" ht="28.8" customHeight="1">
      <c r="C92" s="249">
        <f t="shared" ref="C92:C104" si="11">AA92</f>
        <v>0</v>
      </c>
      <c r="D92" s="77" t="str">
        <f>IFERROR(VLOOKUP($AA92,PLAN!$B:$AA,3,0),"")</f>
        <v/>
      </c>
      <c r="E92" s="77" t="str">
        <f>IFERROR(VLOOKUP($AA92,PLAN!$B:$AA,4,0),"")</f>
        <v/>
      </c>
      <c r="F92" s="77" t="str">
        <f>IFERROR(VLOOKUP($AA92,PLAN!$B:$AA,5,0),"")</f>
        <v/>
      </c>
      <c r="G92" s="77" t="str">
        <f>IFERROR(VLOOKUP($AA92,PLAN!$B:$AA,2,0),"")</f>
        <v/>
      </c>
      <c r="H92" s="113" t="str">
        <f>IFERROR(VLOOKUP($AA92,PLAN!$B:$AA,7,0),"")</f>
        <v/>
      </c>
      <c r="I92" s="77" t="str">
        <f>IFERROR(VLOOKUP($AA92,PLAN!$B:$AA,8,0),"")</f>
        <v/>
      </c>
      <c r="J92" s="77" t="str">
        <f>IFERROR(VLOOKUP($AA92,PLAN!$B:$AA,9,0),"")</f>
        <v/>
      </c>
      <c r="K92" s="77" t="str">
        <f>IFERROR(VLOOKUP($AA92,PLAN!$B:$AA,10,0),"")</f>
        <v/>
      </c>
      <c r="L92" s="77" t="str">
        <f>IFERROR(VLOOKUP($AA92,PLAN!$B:$AA,15,0),"")</f>
        <v/>
      </c>
      <c r="M92" s="77" t="str">
        <f>IFERROR(VLOOKUP($AA92,PLAN!$B:$AA,18,0),"")</f>
        <v/>
      </c>
      <c r="N92" s="227" t="str">
        <f>IFERROR(VLOOKUP($AA92,PLAN!$B:$AA,19,0),"")</f>
        <v/>
      </c>
      <c r="O92" s="77" t="str">
        <f>IFERROR(VLOOKUP($AA92,PLAN!$B:$AA,12,0),"")</f>
        <v/>
      </c>
      <c r="P92" s="77" t="str">
        <f>IFERROR(VLOOKUP($AA92,PLAN!$B:$AA,11,0),"")</f>
        <v/>
      </c>
      <c r="Q92" s="277" t="s">
        <v>1234</v>
      </c>
      <c r="R92" s="149" t="s">
        <v>1235</v>
      </c>
      <c r="S92" s="223">
        <v>150</v>
      </c>
      <c r="T92" s="131"/>
      <c r="U92" s="78" t="str">
        <f>IFERROR(VLOOKUP($AA92,PLAN!$B:$AA,21,0),"")</f>
        <v/>
      </c>
      <c r="V92" s="78" t="str">
        <f>IFERROR(VLOOKUP($AA92,PLAN!$B:$AA,22,0),"")</f>
        <v/>
      </c>
      <c r="W92" s="232"/>
      <c r="X92" s="233"/>
      <c r="Y92" s="212"/>
      <c r="Z92" s="350"/>
      <c r="AA92" s="195"/>
      <c r="AB92" s="132">
        <v>46224</v>
      </c>
      <c r="AC92" s="132"/>
    </row>
    <row r="93" spans="3:29" s="79" customFormat="1" ht="28.8" customHeight="1">
      <c r="C93" s="249">
        <f t="shared" si="11"/>
        <v>0</v>
      </c>
      <c r="D93" s="77" t="str">
        <f>IFERROR(VLOOKUP($AA93,PLAN!$B:$AA,3,0),"")</f>
        <v/>
      </c>
      <c r="E93" s="77" t="str">
        <f>IFERROR(VLOOKUP($AA93,PLAN!$B:$AA,4,0),"")</f>
        <v/>
      </c>
      <c r="F93" s="77" t="str">
        <f>IFERROR(VLOOKUP($AA93,PLAN!$B:$AA,5,0),"")</f>
        <v/>
      </c>
      <c r="G93" s="77" t="str">
        <f>IFERROR(VLOOKUP($AA93,PLAN!$B:$AA,2,0),"")</f>
        <v/>
      </c>
      <c r="H93" s="113" t="str">
        <f>IFERROR(VLOOKUP($AA93,PLAN!$B:$AA,7,0),"")</f>
        <v/>
      </c>
      <c r="I93" s="77" t="str">
        <f>IFERROR(VLOOKUP($AA93,PLAN!$B:$AA,8,0),"")</f>
        <v/>
      </c>
      <c r="J93" s="77" t="str">
        <f>IFERROR(VLOOKUP($AA93,PLAN!$B:$AA,9,0),"")</f>
        <v/>
      </c>
      <c r="K93" s="77" t="str">
        <f>IFERROR(VLOOKUP($AA93,PLAN!$B:$AA,10,0),"")</f>
        <v/>
      </c>
      <c r="L93" s="77" t="str">
        <f>IFERROR(VLOOKUP($AA93,PLAN!$B:$AA,15,0),"")</f>
        <v/>
      </c>
      <c r="M93" s="77" t="str">
        <f>IFERROR(VLOOKUP($AA93,PLAN!$B:$AA,18,0),"")</f>
        <v/>
      </c>
      <c r="N93" s="227" t="str">
        <f>IFERROR(VLOOKUP($AA93,PLAN!$B:$AA,19,0),"")</f>
        <v/>
      </c>
      <c r="O93" s="77" t="str">
        <f>IFERROR(VLOOKUP($AA93,PLAN!$B:$AA,12,0),"")</f>
        <v/>
      </c>
      <c r="P93" s="77" t="str">
        <f>IFERROR(VLOOKUP($AA93,PLAN!$B:$AA,11,0),"")</f>
        <v/>
      </c>
      <c r="Q93" s="277" t="s">
        <v>1236</v>
      </c>
      <c r="R93" s="149" t="s">
        <v>1237</v>
      </c>
      <c r="S93" s="223">
        <v>150</v>
      </c>
      <c r="T93" s="131"/>
      <c r="U93" s="78" t="str">
        <f>IFERROR(VLOOKUP($AA93,PLAN!$B:$AA,21,0),"")</f>
        <v/>
      </c>
      <c r="V93" s="78" t="str">
        <f>IFERROR(VLOOKUP($AA93,PLAN!$B:$AA,22,0),"")</f>
        <v/>
      </c>
      <c r="W93" s="232"/>
      <c r="X93" s="233"/>
      <c r="Y93" s="212"/>
      <c r="Z93" s="350"/>
      <c r="AA93" s="195"/>
      <c r="AB93" s="132">
        <v>46224</v>
      </c>
      <c r="AC93" s="132"/>
    </row>
    <row r="94" spans="3:29" s="79" customFormat="1" ht="28.8" customHeight="1">
      <c r="C94" s="249">
        <f t="shared" si="11"/>
        <v>0</v>
      </c>
      <c r="D94" s="77" t="str">
        <f>IFERROR(VLOOKUP($AA94,PLAN!$B:$AA,3,0),"")</f>
        <v/>
      </c>
      <c r="E94" s="77" t="str">
        <f>IFERROR(VLOOKUP($AA94,PLAN!$B:$AA,4,0),"")</f>
        <v/>
      </c>
      <c r="F94" s="77" t="str">
        <f>IFERROR(VLOOKUP($AA94,PLAN!$B:$AA,5,0),"")</f>
        <v/>
      </c>
      <c r="G94" s="77" t="str">
        <f>IFERROR(VLOOKUP($AA94,PLAN!$B:$AA,2,0),"")</f>
        <v/>
      </c>
      <c r="H94" s="113" t="str">
        <f>IFERROR(VLOOKUP($AA94,PLAN!$B:$AA,7,0),"")</f>
        <v/>
      </c>
      <c r="I94" s="77" t="str">
        <f>IFERROR(VLOOKUP($AA94,PLAN!$B:$AA,8,0),"")</f>
        <v/>
      </c>
      <c r="J94" s="77" t="str">
        <f>IFERROR(VLOOKUP($AA94,PLAN!$B:$AA,9,0),"")</f>
        <v/>
      </c>
      <c r="K94" s="77" t="str">
        <f>IFERROR(VLOOKUP($AA94,PLAN!$B:$AA,10,0),"")</f>
        <v/>
      </c>
      <c r="L94" s="77" t="str">
        <f>IFERROR(VLOOKUP($AA94,PLAN!$B:$AA,15,0),"")</f>
        <v/>
      </c>
      <c r="M94" s="77" t="str">
        <f>IFERROR(VLOOKUP($AA94,PLAN!$B:$AA,18,0),"")</f>
        <v/>
      </c>
      <c r="N94" s="227" t="str">
        <f>IFERROR(VLOOKUP($AA94,PLAN!$B:$AA,19,0),"")</f>
        <v/>
      </c>
      <c r="O94" s="77" t="str">
        <f>IFERROR(VLOOKUP($AA94,PLAN!$B:$AA,12,0),"")</f>
        <v/>
      </c>
      <c r="P94" s="77" t="str">
        <f>IFERROR(VLOOKUP($AA94,PLAN!$B:$AA,11,0),"")</f>
        <v/>
      </c>
      <c r="Q94" s="277" t="s">
        <v>1238</v>
      </c>
      <c r="R94" s="149" t="s">
        <v>1239</v>
      </c>
      <c r="S94" s="223">
        <v>150</v>
      </c>
      <c r="T94" s="131"/>
      <c r="U94" s="78" t="str">
        <f>IFERROR(VLOOKUP($AA94,PLAN!$B:$AA,21,0),"")</f>
        <v/>
      </c>
      <c r="V94" s="78" t="str">
        <f>IFERROR(VLOOKUP($AA94,PLAN!$B:$AA,22,0),"")</f>
        <v/>
      </c>
      <c r="W94" s="232"/>
      <c r="X94" s="233"/>
      <c r="Y94" s="212"/>
      <c r="Z94" s="350"/>
      <c r="AA94" s="195"/>
      <c r="AB94" s="132">
        <v>46224</v>
      </c>
      <c r="AC94" s="132"/>
    </row>
    <row r="95" spans="3:29" s="79" customFormat="1" ht="28.8" customHeight="1">
      <c r="C95" s="249">
        <f t="shared" si="11"/>
        <v>0</v>
      </c>
      <c r="D95" s="77" t="str">
        <f>IFERROR(VLOOKUP($AA95,PLAN!$B:$AA,3,0),"")</f>
        <v/>
      </c>
      <c r="E95" s="77" t="str">
        <f>IFERROR(VLOOKUP($AA95,PLAN!$B:$AA,4,0),"")</f>
        <v/>
      </c>
      <c r="F95" s="77" t="str">
        <f>IFERROR(VLOOKUP($AA95,PLAN!$B:$AA,5,0),"")</f>
        <v/>
      </c>
      <c r="G95" s="77" t="str">
        <f>IFERROR(VLOOKUP($AA95,PLAN!$B:$AA,2,0),"")</f>
        <v/>
      </c>
      <c r="H95" s="113" t="str">
        <f>IFERROR(VLOOKUP($AA95,PLAN!$B:$AA,7,0),"")</f>
        <v/>
      </c>
      <c r="I95" s="77" t="str">
        <f>IFERROR(VLOOKUP($AA95,PLAN!$B:$AA,8,0),"")</f>
        <v/>
      </c>
      <c r="J95" s="77" t="str">
        <f>IFERROR(VLOOKUP($AA95,PLAN!$B:$AA,9,0),"")</f>
        <v/>
      </c>
      <c r="K95" s="77" t="str">
        <f>IFERROR(VLOOKUP($AA95,PLAN!$B:$AA,10,0),"")</f>
        <v/>
      </c>
      <c r="L95" s="77" t="str">
        <f>IFERROR(VLOOKUP($AA95,PLAN!$B:$AA,15,0),"")</f>
        <v/>
      </c>
      <c r="M95" s="77" t="str">
        <f>IFERROR(VLOOKUP($AA95,PLAN!$B:$AA,18,0),"")</f>
        <v/>
      </c>
      <c r="N95" s="227" t="str">
        <f>IFERROR(VLOOKUP($AA95,PLAN!$B:$AA,19,0),"")</f>
        <v/>
      </c>
      <c r="O95" s="77" t="str">
        <f>IFERROR(VLOOKUP($AA95,PLAN!$B:$AA,12,0),"")</f>
        <v/>
      </c>
      <c r="P95" s="77" t="str">
        <f>IFERROR(VLOOKUP($AA95,PLAN!$B:$AA,11,0),"")</f>
        <v/>
      </c>
      <c r="Q95" s="277" t="s">
        <v>1240</v>
      </c>
      <c r="R95" s="149" t="s">
        <v>1241</v>
      </c>
      <c r="S95" s="223">
        <v>100</v>
      </c>
      <c r="T95" s="131"/>
      <c r="U95" s="78" t="str">
        <f>IFERROR(VLOOKUP($AA95,PLAN!$B:$AA,21,0),"")</f>
        <v/>
      </c>
      <c r="V95" s="78" t="str">
        <f>IFERROR(VLOOKUP($AA95,PLAN!$B:$AA,22,0),"")</f>
        <v/>
      </c>
      <c r="W95" s="232"/>
      <c r="X95" s="233"/>
      <c r="Y95" s="212"/>
      <c r="Z95" s="350"/>
      <c r="AA95" s="195"/>
      <c r="AB95" s="132">
        <v>46224</v>
      </c>
      <c r="AC95" s="132"/>
    </row>
    <row r="96" spans="3:29" s="79" customFormat="1" ht="28.8" customHeight="1">
      <c r="C96" s="249">
        <f t="shared" si="11"/>
        <v>0</v>
      </c>
      <c r="D96" s="77" t="str">
        <f>IFERROR(VLOOKUP($AA96,PLAN!$B:$AA,3,0),"")</f>
        <v/>
      </c>
      <c r="E96" s="77" t="str">
        <f>IFERROR(VLOOKUP($AA96,PLAN!$B:$AA,4,0),"")</f>
        <v/>
      </c>
      <c r="F96" s="77" t="str">
        <f>IFERROR(VLOOKUP($AA96,PLAN!$B:$AA,5,0),"")</f>
        <v/>
      </c>
      <c r="G96" s="77" t="str">
        <f>IFERROR(VLOOKUP($AA96,PLAN!$B:$AA,2,0),"")</f>
        <v/>
      </c>
      <c r="H96" s="113" t="str">
        <f>IFERROR(VLOOKUP($AA96,PLAN!$B:$AA,7,0),"")</f>
        <v/>
      </c>
      <c r="I96" s="77" t="str">
        <f>IFERROR(VLOOKUP($AA96,PLAN!$B:$AA,8,0),"")</f>
        <v/>
      </c>
      <c r="J96" s="77" t="str">
        <f>IFERROR(VLOOKUP($AA96,PLAN!$B:$AA,9,0),"")</f>
        <v/>
      </c>
      <c r="K96" s="77" t="str">
        <f>IFERROR(VLOOKUP($AA96,PLAN!$B:$AA,10,0),"")</f>
        <v/>
      </c>
      <c r="L96" s="77" t="str">
        <f>IFERROR(VLOOKUP($AA96,PLAN!$B:$AA,15,0),"")</f>
        <v/>
      </c>
      <c r="M96" s="77" t="str">
        <f>IFERROR(VLOOKUP($AA96,PLAN!$B:$AA,18,0),"")</f>
        <v/>
      </c>
      <c r="N96" s="227" t="str">
        <f>IFERROR(VLOOKUP($AA96,PLAN!$B:$AA,19,0),"")</f>
        <v/>
      </c>
      <c r="O96" s="77" t="str">
        <f>IFERROR(VLOOKUP($AA96,PLAN!$B:$AA,12,0),"")</f>
        <v/>
      </c>
      <c r="P96" s="77" t="str">
        <f>IFERROR(VLOOKUP($AA96,PLAN!$B:$AA,11,0),"")</f>
        <v/>
      </c>
      <c r="Q96" s="277" t="s">
        <v>1242</v>
      </c>
      <c r="R96" s="149" t="s">
        <v>1243</v>
      </c>
      <c r="S96" s="223">
        <f>K91-S91-S92-S93-S94-S95</f>
        <v>77</v>
      </c>
      <c r="T96" s="131"/>
      <c r="U96" s="78" t="str">
        <f>IFERROR(VLOOKUP($AA96,PLAN!$B:$AA,21,0),"")</f>
        <v/>
      </c>
      <c r="V96" s="78" t="str">
        <f>IFERROR(VLOOKUP($AA96,PLAN!$B:$AA,22,0),"")</f>
        <v/>
      </c>
      <c r="W96" s="232"/>
      <c r="X96" s="233"/>
      <c r="Y96" s="212"/>
      <c r="Z96" s="350"/>
      <c r="AA96" s="195"/>
      <c r="AB96" s="132">
        <v>46224</v>
      </c>
      <c r="AC96" s="132"/>
    </row>
    <row r="97" spans="3:29" s="79" customFormat="1" ht="28.8" customHeight="1">
      <c r="C97" s="249" t="str">
        <f t="shared" si="11"/>
        <v>Aug05-01</v>
      </c>
      <c r="D97" s="77">
        <f>IFERROR(VLOOKUP($AA97,PLAN!$B:$AA,3,0),"")</f>
        <v>11134148</v>
      </c>
      <c r="E97" s="77" t="str">
        <f>IFERROR(VLOOKUP($AA97,PLAN!$B:$AA,4,0),"")</f>
        <v>1811909-L-A</v>
      </c>
      <c r="F97" s="77" t="str">
        <f>IFERROR(VLOOKUP($AA97,PLAN!$B:$AA,5,0),"")</f>
        <v>HW60SP350P10000 CN</v>
      </c>
      <c r="G97" s="77" t="str">
        <f>IFERROR(VLOOKUP($AA97,PLAN!$B:$AA,2,0),"")</f>
        <v>1001919161</v>
      </c>
      <c r="H97" s="113">
        <f>IFERROR(VLOOKUP($AA97,PLAN!$B:$AA,7,0),"")</f>
        <v>46239</v>
      </c>
      <c r="I97" s="77" t="str">
        <f>IFERROR(VLOOKUP($AA97,PLAN!$B:$AA,8,0),"")</f>
        <v>0103558155</v>
      </c>
      <c r="J97" s="77" t="str">
        <f>IFERROR(VLOOKUP($AA97,PLAN!$B:$AA,9,0),"")</f>
        <v>260716C01A</v>
      </c>
      <c r="K97" s="77">
        <f>IFERROR(VLOOKUP($AA97,PLAN!$B:$AA,10,0),"")</f>
        <v>726</v>
      </c>
      <c r="L97" s="77" t="str">
        <f>IFERROR(VLOOKUP($AA97,PLAN!$B:$AA,15,0),"")</f>
        <v>CHINA</v>
      </c>
      <c r="M97" s="77">
        <f>IFERROR(VLOOKUP($AA97,PLAN!$B:$AA,18,0),"")</f>
        <v>3</v>
      </c>
      <c r="N97" s="227">
        <f>IFERROR(VLOOKUP($AA97,PLAN!$B:$AA,19,0),"")</f>
        <v>3</v>
      </c>
      <c r="O97" s="77" t="str">
        <f>IFERROR(VLOOKUP($AA97,PLAN!$B:$AA,12,0),"")</f>
        <v>2112099-0-C-CN</v>
      </c>
      <c r="P97" s="77">
        <f>IFERROR(VLOOKUP($AA97,PLAN!$B:$AA,11,0),"")</f>
        <v>12129995</v>
      </c>
      <c r="Q97" s="277" t="s">
        <v>1242</v>
      </c>
      <c r="R97" s="149" t="s">
        <v>1243</v>
      </c>
      <c r="S97" s="223">
        <v>17</v>
      </c>
      <c r="T97" s="131"/>
      <c r="U97" s="78">
        <f>IFERROR(VLOOKUP($AA97,PLAN!$B:$AA,21,0),"")</f>
        <v>46225</v>
      </c>
      <c r="V97" s="78" t="str">
        <f>IFERROR(VLOOKUP($AA97,PLAN!$B:$AA,22,0),"")</f>
        <v>M9</v>
      </c>
      <c r="W97" s="232"/>
      <c r="X97" s="233"/>
      <c r="Y97" s="212"/>
      <c r="Z97" s="350"/>
      <c r="AA97" s="195" t="s">
        <v>1287</v>
      </c>
      <c r="AB97" s="132">
        <f>VLOOKUP(AA97,PLAN!B:V,20,0)</f>
        <v>46225</v>
      </c>
      <c r="AC97" s="132"/>
    </row>
    <row r="98" spans="3:29" s="79" customFormat="1" ht="28.8" customHeight="1">
      <c r="C98" s="249"/>
      <c r="D98" s="77"/>
      <c r="E98" s="77"/>
      <c r="F98" s="77"/>
      <c r="G98" s="77"/>
      <c r="H98" s="113"/>
      <c r="I98" s="77"/>
      <c r="J98" s="77"/>
      <c r="K98" s="77"/>
      <c r="L98" s="77"/>
      <c r="M98" s="77"/>
      <c r="N98" s="227"/>
      <c r="O98" s="77"/>
      <c r="P98" s="77"/>
      <c r="Q98" s="277" t="s">
        <v>1290</v>
      </c>
      <c r="R98" s="149" t="s">
        <v>1291</v>
      </c>
      <c r="S98" s="223">
        <v>90</v>
      </c>
      <c r="T98" s="131"/>
      <c r="U98" s="78"/>
      <c r="V98" s="78"/>
      <c r="W98" s="232"/>
      <c r="X98" s="233"/>
      <c r="Y98" s="212"/>
      <c r="Z98" s="350"/>
      <c r="AA98" s="195"/>
      <c r="AB98" s="132">
        <v>46225</v>
      </c>
      <c r="AC98" s="132"/>
    </row>
    <row r="99" spans="3:29" s="79" customFormat="1" ht="28.8" customHeight="1">
      <c r="C99" s="249"/>
      <c r="D99" s="77"/>
      <c r="E99" s="77"/>
      <c r="F99" s="77"/>
      <c r="G99" s="77"/>
      <c r="H99" s="113"/>
      <c r="I99" s="77"/>
      <c r="J99" s="77"/>
      <c r="K99" s="77"/>
      <c r="L99" s="77"/>
      <c r="M99" s="77"/>
      <c r="N99" s="227"/>
      <c r="O99" s="77"/>
      <c r="P99" s="77"/>
      <c r="Q99" s="277" t="s">
        <v>1292</v>
      </c>
      <c r="R99" s="149" t="s">
        <v>1293</v>
      </c>
      <c r="S99" s="223">
        <v>90</v>
      </c>
      <c r="T99" s="131"/>
      <c r="U99" s="78"/>
      <c r="V99" s="78"/>
      <c r="W99" s="232"/>
      <c r="X99" s="233"/>
      <c r="Y99" s="212"/>
      <c r="Z99" s="350"/>
      <c r="AA99" s="195"/>
      <c r="AB99" s="132">
        <v>46225</v>
      </c>
      <c r="AC99" s="132"/>
    </row>
    <row r="100" spans="3:29" s="79" customFormat="1" ht="28.8" customHeight="1">
      <c r="C100" s="249"/>
      <c r="D100" s="77"/>
      <c r="E100" s="77"/>
      <c r="F100" s="77"/>
      <c r="G100" s="77"/>
      <c r="H100" s="113"/>
      <c r="I100" s="77"/>
      <c r="J100" s="77"/>
      <c r="K100" s="77"/>
      <c r="L100" s="77"/>
      <c r="M100" s="77"/>
      <c r="N100" s="227"/>
      <c r="O100" s="77"/>
      <c r="P100" s="77"/>
      <c r="Q100" s="277" t="s">
        <v>1294</v>
      </c>
      <c r="R100" s="149" t="s">
        <v>1295</v>
      </c>
      <c r="S100" s="223">
        <v>139</v>
      </c>
      <c r="T100" s="131"/>
      <c r="U100" s="78"/>
      <c r="V100" s="78"/>
      <c r="W100" s="232"/>
      <c r="X100" s="233"/>
      <c r="Y100" s="212"/>
      <c r="Z100" s="350"/>
      <c r="AA100" s="195"/>
      <c r="AB100" s="132">
        <v>46225</v>
      </c>
      <c r="AC100" s="132"/>
    </row>
    <row r="101" spans="3:29" s="79" customFormat="1" ht="28.8" customHeight="1">
      <c r="C101" s="249"/>
      <c r="D101" s="77"/>
      <c r="E101" s="77"/>
      <c r="F101" s="77"/>
      <c r="G101" s="77"/>
      <c r="H101" s="113"/>
      <c r="I101" s="77"/>
      <c r="J101" s="77"/>
      <c r="K101" s="77"/>
      <c r="L101" s="77"/>
      <c r="M101" s="77"/>
      <c r="N101" s="227"/>
      <c r="O101" s="77"/>
      <c r="P101" s="77"/>
      <c r="Q101" s="277" t="s">
        <v>1296</v>
      </c>
      <c r="R101" s="149" t="s">
        <v>1297</v>
      </c>
      <c r="S101" s="223">
        <v>110</v>
      </c>
      <c r="T101" s="131"/>
      <c r="U101" s="78"/>
      <c r="V101" s="78"/>
      <c r="W101" s="232"/>
      <c r="X101" s="233"/>
      <c r="Y101" s="212"/>
      <c r="Z101" s="350"/>
      <c r="AA101" s="195"/>
      <c r="AB101" s="132">
        <v>46225</v>
      </c>
      <c r="AC101" s="132"/>
    </row>
    <row r="102" spans="3:29" s="79" customFormat="1" ht="28.8" customHeight="1">
      <c r="C102" s="249"/>
      <c r="D102" s="77"/>
      <c r="E102" s="77"/>
      <c r="F102" s="77"/>
      <c r="G102" s="77"/>
      <c r="H102" s="113"/>
      <c r="I102" s="77"/>
      <c r="J102" s="77"/>
      <c r="K102" s="77"/>
      <c r="L102" s="77"/>
      <c r="M102" s="77"/>
      <c r="N102" s="227"/>
      <c r="O102" s="77"/>
      <c r="P102" s="77"/>
      <c r="Q102" s="277" t="s">
        <v>1298</v>
      </c>
      <c r="R102" s="149" t="s">
        <v>1299</v>
      </c>
      <c r="S102" s="223">
        <v>110</v>
      </c>
      <c r="T102" s="131"/>
      <c r="U102" s="78"/>
      <c r="V102" s="78"/>
      <c r="W102" s="232"/>
      <c r="X102" s="233"/>
      <c r="Y102" s="212"/>
      <c r="Z102" s="350"/>
      <c r="AA102" s="195"/>
      <c r="AB102" s="132">
        <v>46225</v>
      </c>
      <c r="AC102" s="132"/>
    </row>
    <row r="103" spans="3:29" s="79" customFormat="1" ht="28.8" customHeight="1">
      <c r="C103" s="249"/>
      <c r="D103" s="77"/>
      <c r="E103" s="77"/>
      <c r="F103" s="77"/>
      <c r="G103" s="77"/>
      <c r="H103" s="113"/>
      <c r="I103" s="77"/>
      <c r="J103" s="77"/>
      <c r="K103" s="77"/>
      <c r="L103" s="77"/>
      <c r="M103" s="77"/>
      <c r="N103" s="227"/>
      <c r="O103" s="77"/>
      <c r="P103" s="77"/>
      <c r="Q103" s="277" t="s">
        <v>1300</v>
      </c>
      <c r="R103" s="149" t="s">
        <v>1301</v>
      </c>
      <c r="S103" s="223">
        <v>108</v>
      </c>
      <c r="T103" s="131"/>
      <c r="U103" s="78"/>
      <c r="V103" s="78"/>
      <c r="W103" s="232"/>
      <c r="X103" s="233"/>
      <c r="Y103" s="212"/>
      <c r="Z103" s="350"/>
      <c r="AA103" s="195"/>
      <c r="AB103" s="132">
        <v>46225</v>
      </c>
      <c r="AC103" s="132"/>
    </row>
    <row r="104" spans="3:29" s="79" customFormat="1" ht="28.8" customHeight="1">
      <c r="C104" s="249">
        <f t="shared" si="11"/>
        <v>0</v>
      </c>
      <c r="D104" s="77" t="str">
        <f>IFERROR(VLOOKUP($AA104,PLAN!$B:$AA,3,0),"")</f>
        <v/>
      </c>
      <c r="E104" s="77" t="str">
        <f>IFERROR(VLOOKUP($AA104,PLAN!$B:$AA,4,0),"")</f>
        <v/>
      </c>
      <c r="F104" s="77" t="str">
        <f>IFERROR(VLOOKUP($AA104,PLAN!$B:$AA,5,0),"")</f>
        <v/>
      </c>
      <c r="G104" s="77" t="str">
        <f>IFERROR(VLOOKUP($AA104,PLAN!$B:$AA,2,0),"")</f>
        <v/>
      </c>
      <c r="H104" s="113" t="str">
        <f>IFERROR(VLOOKUP($AA104,PLAN!$B:$AA,7,0),"")</f>
        <v/>
      </c>
      <c r="I104" s="77" t="str">
        <f>IFERROR(VLOOKUP($AA104,PLAN!$B:$AA,8,0),"")</f>
        <v/>
      </c>
      <c r="J104" s="77" t="str">
        <f>IFERROR(VLOOKUP($AA104,PLAN!$B:$AA,9,0),"")</f>
        <v/>
      </c>
      <c r="K104" s="77" t="str">
        <f>IFERROR(VLOOKUP($AA104,PLAN!$B:$AA,10,0),"")</f>
        <v/>
      </c>
      <c r="L104" s="77" t="str">
        <f>IFERROR(VLOOKUP($AA104,PLAN!$B:$AA,15,0),"")</f>
        <v/>
      </c>
      <c r="M104" s="77" t="str">
        <f>IFERROR(VLOOKUP($AA104,PLAN!$B:$AA,18,0),"")</f>
        <v/>
      </c>
      <c r="N104" s="227" t="str">
        <f>IFERROR(VLOOKUP($AA104,PLAN!$B:$AA,19,0),"")</f>
        <v/>
      </c>
      <c r="O104" s="77" t="str">
        <f>IFERROR(VLOOKUP($AA104,PLAN!$B:$AA,12,0),"")</f>
        <v/>
      </c>
      <c r="P104" s="77" t="str">
        <f>IFERROR(VLOOKUP($AA104,PLAN!$B:$AA,11,0),"")</f>
        <v/>
      </c>
      <c r="Q104" s="277" t="s">
        <v>1302</v>
      </c>
      <c r="R104" s="149" t="s">
        <v>1303</v>
      </c>
      <c r="S104" s="223">
        <f>K97-S97-S98-S99-S100-S101-S102-S103</f>
        <v>62</v>
      </c>
      <c r="T104" s="131"/>
      <c r="U104" s="78" t="str">
        <f>IFERROR(VLOOKUP($AA104,PLAN!$B:$AA,21,0),"")</f>
        <v/>
      </c>
      <c r="V104" s="78" t="str">
        <f>IFERROR(VLOOKUP($AA104,PLAN!$B:$AA,22,0),"")</f>
        <v/>
      </c>
      <c r="W104" s="232"/>
      <c r="X104" s="233"/>
      <c r="Y104" s="212"/>
      <c r="Z104" s="350"/>
      <c r="AA104" s="195"/>
      <c r="AB104" s="132">
        <v>46225</v>
      </c>
      <c r="AC104" s="132"/>
    </row>
    <row r="105" spans="3:29" s="79" customFormat="1" ht="25.2" customHeight="1">
      <c r="C105" s="249" t="str">
        <f t="shared" si="7"/>
        <v>Aug06-01</v>
      </c>
      <c r="D105" s="77">
        <f>IFERROR(VLOOKUP($AA105,PLAN!$B:$AA,3,0),"")</f>
        <v>11134146</v>
      </c>
      <c r="E105" s="77" t="str">
        <f>IFERROR(VLOOKUP($AA105,PLAN!$B:$AA,4,0),"")</f>
        <v>1811907-L-A</v>
      </c>
      <c r="F105" s="77" t="str">
        <f>IFERROR(VLOOKUP($AA105,PLAN!$B:$AA,5,0),"")</f>
        <v>HW60SP300P10000 CN</v>
      </c>
      <c r="G105" s="77" t="str">
        <f>IFERROR(VLOOKUP($AA105,PLAN!$B:$AA,2,0),"")</f>
        <v>1001919195</v>
      </c>
      <c r="H105" s="113">
        <f>IFERROR(VLOOKUP($AA105,PLAN!$B:$AA,7,0),"")</f>
        <v>46240</v>
      </c>
      <c r="I105" s="77" t="str">
        <f>IFERROR(VLOOKUP($AA105,PLAN!$B:$AA,8,0),"")</f>
        <v>0103558188</v>
      </c>
      <c r="J105" s="77" t="str">
        <f>IFERROR(VLOOKUP($AA105,PLAN!$B:$AA,9,0),"")</f>
        <v>260716C33A</v>
      </c>
      <c r="K105" s="77">
        <f>IFERROR(VLOOKUP($AA105,PLAN!$B:$AA,10,0),"")</f>
        <v>126</v>
      </c>
      <c r="L105" s="77" t="str">
        <f>IFERROR(VLOOKUP($AA105,PLAN!$B:$AA,15,0),"")</f>
        <v>CHINA</v>
      </c>
      <c r="M105" s="77">
        <f>IFERROR(VLOOKUP($AA105,PLAN!$B:$AA,18,0),"")</f>
        <v>3</v>
      </c>
      <c r="N105" s="227">
        <f>IFERROR(VLOOKUP($AA105,PLAN!$B:$AA,19,0),"")</f>
        <v>3</v>
      </c>
      <c r="O105" s="77" t="str">
        <f>IFERROR(VLOOKUP($AA105,PLAN!$B:$AA,12,0),"")</f>
        <v>2112095-0-C-CN</v>
      </c>
      <c r="P105" s="77">
        <f>IFERROR(VLOOKUP($AA105,PLAN!$B:$AA,11,0),"")</f>
        <v>12129994</v>
      </c>
      <c r="Q105" s="277" t="s">
        <v>1208</v>
      </c>
      <c r="R105" s="149" t="s">
        <v>1209</v>
      </c>
      <c r="S105" s="223">
        <v>18</v>
      </c>
      <c r="T105" s="131"/>
      <c r="U105" s="78">
        <f>IFERROR(VLOOKUP($AA105,PLAN!$B:$AA,21,0),"")</f>
        <v>46226</v>
      </c>
      <c r="V105" s="78" t="str">
        <f>IFERROR(VLOOKUP($AA105,PLAN!$B:$AA,22,0),"")</f>
        <v>M9</v>
      </c>
      <c r="W105" s="232"/>
      <c r="X105" s="233"/>
      <c r="Y105" s="212"/>
      <c r="Z105" s="350"/>
      <c r="AA105" s="195" t="s">
        <v>1288</v>
      </c>
      <c r="AB105" s="132">
        <f>VLOOKUP(AA105,PLAN!B:V,20,0)</f>
        <v>46226</v>
      </c>
      <c r="AC105" s="132"/>
    </row>
    <row r="106" spans="3:29" s="79" customFormat="1" ht="25.2" customHeight="1">
      <c r="C106" s="249"/>
      <c r="D106" s="77"/>
      <c r="E106" s="77"/>
      <c r="F106" s="77"/>
      <c r="G106" s="77"/>
      <c r="H106" s="113"/>
      <c r="I106" s="77"/>
      <c r="J106" s="77"/>
      <c r="K106" s="77"/>
      <c r="L106" s="77"/>
      <c r="M106" s="77"/>
      <c r="N106" s="227"/>
      <c r="O106" s="77"/>
      <c r="P106" s="77"/>
      <c r="Q106" s="277" t="s">
        <v>1306</v>
      </c>
      <c r="R106" s="222" t="s">
        <v>1307</v>
      </c>
      <c r="S106" s="223">
        <f>K105-S105</f>
        <v>108</v>
      </c>
      <c r="T106" s="131"/>
      <c r="U106" s="78"/>
      <c r="V106" s="78"/>
      <c r="W106" s="232"/>
      <c r="X106" s="233"/>
      <c r="Y106" s="212"/>
      <c r="Z106" s="350"/>
      <c r="AA106" s="195"/>
      <c r="AB106" s="132">
        <v>46226</v>
      </c>
      <c r="AC106" s="132"/>
    </row>
    <row r="107" spans="3:29" s="79" customFormat="1" ht="25.2" customHeight="1">
      <c r="C107" s="249" t="str">
        <f t="shared" si="7"/>
        <v>Aug06-02</v>
      </c>
      <c r="D107" s="77">
        <f>IFERROR(VLOOKUP($AA107,PLAN!$B:$AA,3,0),"")</f>
        <v>11134146</v>
      </c>
      <c r="E107" s="77" t="str">
        <f>IFERROR(VLOOKUP($AA107,PLAN!$B:$AA,4,0),"")</f>
        <v>1811907-L-A</v>
      </c>
      <c r="F107" s="77" t="str">
        <f>IFERROR(VLOOKUP($AA107,PLAN!$B:$AA,5,0),"")</f>
        <v>HW60SP300P10000 CN</v>
      </c>
      <c r="G107" s="77" t="str">
        <f>IFERROR(VLOOKUP($AA107,PLAN!$B:$AA,2,0),"")</f>
        <v>1001919196</v>
      </c>
      <c r="H107" s="113">
        <f>IFERROR(VLOOKUP($AA107,PLAN!$B:$AA,7,0),"")</f>
        <v>46240</v>
      </c>
      <c r="I107" s="77" t="str">
        <f>IFERROR(VLOOKUP($AA107,PLAN!$B:$AA,8,0),"")</f>
        <v>0103558189</v>
      </c>
      <c r="J107" s="77" t="str">
        <f>IFERROR(VLOOKUP($AA107,PLAN!$B:$AA,9,0),"")</f>
        <v>260716C34A</v>
      </c>
      <c r="K107" s="77">
        <f>IFERROR(VLOOKUP($AA107,PLAN!$B:$AA,10,0),"")</f>
        <v>720</v>
      </c>
      <c r="L107" s="77" t="str">
        <f>IFERROR(VLOOKUP($AA107,PLAN!$B:$AA,15,0),"")</f>
        <v>CHINA</v>
      </c>
      <c r="M107" s="77">
        <f>IFERROR(VLOOKUP($AA107,PLAN!$B:$AA,18,0),"")</f>
        <v>0</v>
      </c>
      <c r="N107" s="227">
        <f>IFERROR(VLOOKUP($AA107,PLAN!$B:$AA,19,0),"")</f>
        <v>0</v>
      </c>
      <c r="O107" s="77" t="str">
        <f>IFERROR(VLOOKUP($AA107,PLAN!$B:$AA,12,0),"")</f>
        <v>2112095-0-C-CN</v>
      </c>
      <c r="P107" s="77">
        <f>IFERROR(VLOOKUP($AA107,PLAN!$B:$AA,11,0),"")</f>
        <v>12129994</v>
      </c>
      <c r="Q107" s="277" t="s">
        <v>1306</v>
      </c>
      <c r="R107" s="222" t="s">
        <v>1307</v>
      </c>
      <c r="S107" s="223">
        <v>42</v>
      </c>
      <c r="T107" s="131"/>
      <c r="U107" s="78">
        <f>IFERROR(VLOOKUP($AA107,PLAN!$B:$AA,21,0),"")</f>
        <v>46226</v>
      </c>
      <c r="V107" s="78" t="str">
        <f>IFERROR(VLOOKUP($AA107,PLAN!$B:$AA,22,0),"")</f>
        <v>M10</v>
      </c>
      <c r="W107" s="232"/>
      <c r="X107" s="233"/>
      <c r="Y107" s="212"/>
      <c r="Z107" s="350"/>
      <c r="AA107" s="195" t="s">
        <v>1289</v>
      </c>
      <c r="AB107" s="132">
        <f>VLOOKUP(AA107,PLAN!B:V,20,0)</f>
        <v>46226</v>
      </c>
      <c r="AC107" s="132"/>
    </row>
    <row r="108" spans="3:29" s="79" customFormat="1" ht="25.2" customHeight="1">
      <c r="C108" s="249"/>
      <c r="D108" s="77"/>
      <c r="E108" s="77"/>
      <c r="F108" s="77"/>
      <c r="G108" s="77"/>
      <c r="H108" s="113"/>
      <c r="I108" s="77"/>
      <c r="J108" s="77"/>
      <c r="K108" s="77"/>
      <c r="L108" s="77"/>
      <c r="M108" s="77"/>
      <c r="N108" s="227"/>
      <c r="O108" s="77"/>
      <c r="P108" s="77"/>
      <c r="Q108" s="277" t="s">
        <v>1308</v>
      </c>
      <c r="R108" s="149" t="s">
        <v>1309</v>
      </c>
      <c r="S108" s="223">
        <v>150</v>
      </c>
      <c r="T108" s="131"/>
      <c r="U108" s="78"/>
      <c r="V108" s="78"/>
      <c r="W108" s="232"/>
      <c r="X108" s="233"/>
      <c r="Y108" s="212"/>
      <c r="Z108" s="350"/>
      <c r="AA108" s="195"/>
      <c r="AB108" s="132">
        <v>46226</v>
      </c>
      <c r="AC108" s="132"/>
    </row>
    <row r="109" spans="3:29" s="79" customFormat="1" ht="25.2" customHeight="1">
      <c r="C109" s="249"/>
      <c r="D109" s="77"/>
      <c r="E109" s="77"/>
      <c r="F109" s="77"/>
      <c r="G109" s="77"/>
      <c r="H109" s="113"/>
      <c r="I109" s="77"/>
      <c r="J109" s="77"/>
      <c r="K109" s="77"/>
      <c r="L109" s="77"/>
      <c r="M109" s="77"/>
      <c r="N109" s="227"/>
      <c r="O109" s="77"/>
      <c r="P109" s="77"/>
      <c r="Q109" s="277" t="s">
        <v>1310</v>
      </c>
      <c r="R109" s="149" t="s">
        <v>1311</v>
      </c>
      <c r="S109" s="223">
        <v>150</v>
      </c>
      <c r="T109" s="131"/>
      <c r="U109" s="78"/>
      <c r="V109" s="78"/>
      <c r="W109" s="232"/>
      <c r="X109" s="233"/>
      <c r="Y109" s="212"/>
      <c r="Z109" s="350"/>
      <c r="AA109" s="195"/>
      <c r="AB109" s="132">
        <v>46226</v>
      </c>
      <c r="AC109" s="132"/>
    </row>
    <row r="110" spans="3:29" s="79" customFormat="1" ht="25.2" customHeight="1">
      <c r="C110" s="249"/>
      <c r="D110" s="77"/>
      <c r="E110" s="77"/>
      <c r="F110" s="77"/>
      <c r="G110" s="77"/>
      <c r="H110" s="113"/>
      <c r="I110" s="77"/>
      <c r="J110" s="77"/>
      <c r="K110" s="77"/>
      <c r="L110" s="77"/>
      <c r="M110" s="77"/>
      <c r="N110" s="227"/>
      <c r="O110" s="77"/>
      <c r="P110" s="77"/>
      <c r="Q110" s="277" t="s">
        <v>1312</v>
      </c>
      <c r="R110" s="149" t="s">
        <v>1313</v>
      </c>
      <c r="S110" s="223">
        <v>150</v>
      </c>
      <c r="T110" s="131"/>
      <c r="U110" s="78"/>
      <c r="V110" s="78"/>
      <c r="W110" s="232"/>
      <c r="X110" s="233"/>
      <c r="Y110" s="212"/>
      <c r="Z110" s="350"/>
      <c r="AA110" s="195"/>
      <c r="AB110" s="132">
        <v>46226</v>
      </c>
      <c r="AC110" s="132"/>
    </row>
    <row r="111" spans="3:29" s="79" customFormat="1" ht="25.2" customHeight="1">
      <c r="C111" s="249"/>
      <c r="D111" s="77"/>
      <c r="E111" s="77"/>
      <c r="F111" s="77"/>
      <c r="G111" s="77"/>
      <c r="H111" s="113"/>
      <c r="I111" s="77"/>
      <c r="J111" s="77"/>
      <c r="K111" s="77"/>
      <c r="L111" s="77"/>
      <c r="M111" s="77"/>
      <c r="N111" s="227"/>
      <c r="O111" s="77"/>
      <c r="P111" s="77"/>
      <c r="Q111" s="277" t="s">
        <v>1314</v>
      </c>
      <c r="R111" s="149" t="s">
        <v>1315</v>
      </c>
      <c r="S111" s="223">
        <v>150</v>
      </c>
      <c r="T111" s="131"/>
      <c r="U111" s="78"/>
      <c r="V111" s="78"/>
      <c r="W111" s="232"/>
      <c r="X111" s="233"/>
      <c r="Y111" s="212"/>
      <c r="Z111" s="350"/>
      <c r="AA111" s="195"/>
      <c r="AB111" s="132">
        <v>46226</v>
      </c>
      <c r="AC111" s="132"/>
    </row>
    <row r="112" spans="3:29" s="79" customFormat="1" ht="25.2" customHeight="1">
      <c r="C112" s="249"/>
      <c r="D112" s="77"/>
      <c r="E112" s="77"/>
      <c r="F112" s="77"/>
      <c r="G112" s="77"/>
      <c r="H112" s="113"/>
      <c r="I112" s="77"/>
      <c r="J112" s="77"/>
      <c r="K112" s="77"/>
      <c r="L112" s="77"/>
      <c r="M112" s="77"/>
      <c r="N112" s="227"/>
      <c r="O112" s="77"/>
      <c r="P112" s="77"/>
      <c r="Q112" s="277" t="s">
        <v>1316</v>
      </c>
      <c r="R112" s="149" t="s">
        <v>1317</v>
      </c>
      <c r="S112" s="223">
        <f>K107-S107-S108-S109-S110-S111</f>
        <v>78</v>
      </c>
      <c r="T112" s="131"/>
      <c r="U112" s="78"/>
      <c r="V112" s="78"/>
      <c r="W112" s="232"/>
      <c r="X112" s="233"/>
      <c r="Y112" s="212"/>
      <c r="Z112" s="350"/>
      <c r="AA112" s="195"/>
      <c r="AB112" s="132">
        <v>46226</v>
      </c>
      <c r="AC112" s="132"/>
    </row>
    <row r="113" spans="3:29" s="79" customFormat="1" ht="30.6" customHeight="1">
      <c r="C113" s="249" t="str">
        <f t="shared" si="7"/>
        <v>Aug07-01</v>
      </c>
      <c r="D113" s="77">
        <f>IFERROR(VLOOKUP($AA113,PLAN!$B:$AA,3,0),"")</f>
        <v>11134249</v>
      </c>
      <c r="E113" s="77" t="str">
        <f>IFERROR(VLOOKUP($AA113,PLAN!$B:$AA,4,0),"")</f>
        <v>2041190-D-A</v>
      </c>
      <c r="F113" s="77" t="str">
        <f>IFERROR(VLOOKUP($AA113,PLAN!$B:$AA,5,0),"")</f>
        <v>CSR150-26P CN</v>
      </c>
      <c r="G113" s="77" t="str">
        <f>IFERROR(VLOOKUP($AA113,PLAN!$B:$AA,2,0),"")</f>
        <v>1001919159</v>
      </c>
      <c r="H113" s="113">
        <f>IFERROR(VLOOKUP($AA113,PLAN!$B:$AA,7,0),"")</f>
        <v>46241</v>
      </c>
      <c r="I113" s="77" t="str">
        <f>IFERROR(VLOOKUP($AA113,PLAN!$B:$AA,8,0),"")</f>
        <v>0103558153</v>
      </c>
      <c r="J113" s="77" t="str">
        <f>IFERROR(VLOOKUP($AA113,PLAN!$B:$AA,9,0),"")</f>
        <v>260716K09A</v>
      </c>
      <c r="K113" s="77">
        <f>IFERROR(VLOOKUP($AA113,PLAN!$B:$AA,10,0),"")</f>
        <v>454</v>
      </c>
      <c r="L113" s="77" t="str">
        <f>IFERROR(VLOOKUP($AA113,PLAN!$B:$AA,15,0),"")</f>
        <v>CHINA</v>
      </c>
      <c r="M113" s="77">
        <f>IFERROR(VLOOKUP($AA113,PLAN!$B:$AA,18,0),"")</f>
        <v>3</v>
      </c>
      <c r="N113" s="227">
        <f>IFERROR(VLOOKUP($AA113,PLAN!$B:$AA,19,0),"")</f>
        <v>3</v>
      </c>
      <c r="O113" s="77" t="str">
        <f>IFERROR(VLOOKUP($AA113,PLAN!$B:$AA,12,0),"")</f>
        <v>2342020-A-C-CN</v>
      </c>
      <c r="P113" s="77">
        <f>IFERROR(VLOOKUP($AA113,PLAN!$B:$AA,11,0),"")</f>
        <v>12139932</v>
      </c>
      <c r="Q113" s="277" t="s">
        <v>1320</v>
      </c>
      <c r="R113" s="149" t="s">
        <v>1321</v>
      </c>
      <c r="S113" s="223">
        <v>180</v>
      </c>
      <c r="T113" s="131"/>
      <c r="U113" s="78">
        <f>IFERROR(VLOOKUP($AA113,PLAN!$B:$AA,21,0),"")</f>
        <v>46227</v>
      </c>
      <c r="V113" s="78" t="str">
        <f>IFERROR(VLOOKUP($AA113,PLAN!$B:$AA,22,0),"")</f>
        <v>M8</v>
      </c>
      <c r="W113" s="232"/>
      <c r="X113" s="233"/>
      <c r="Y113" s="212"/>
      <c r="Z113" s="350"/>
      <c r="AA113" s="195" t="s">
        <v>1285</v>
      </c>
      <c r="AB113" s="132">
        <f>VLOOKUP(AA113,PLAN!B:V,20,0)</f>
        <v>46227</v>
      </c>
      <c r="AC113" s="132"/>
    </row>
    <row r="114" spans="3:29" s="79" customFormat="1" ht="30.6" customHeight="1">
      <c r="C114" s="249">
        <f t="shared" si="7"/>
        <v>0</v>
      </c>
      <c r="D114" s="77" t="str">
        <f>IFERROR(VLOOKUP($AA114,PLAN!$B:$AA,3,0),"")</f>
        <v/>
      </c>
      <c r="E114" s="77" t="str">
        <f>IFERROR(VLOOKUP($AA114,PLAN!$B:$AA,4,0),"")</f>
        <v/>
      </c>
      <c r="F114" s="77" t="str">
        <f>IFERROR(VLOOKUP($AA114,PLAN!$B:$AA,5,0),"")</f>
        <v/>
      </c>
      <c r="G114" s="77" t="str">
        <f>IFERROR(VLOOKUP($AA114,PLAN!$B:$AA,2,0),"")</f>
        <v/>
      </c>
      <c r="H114" s="113" t="str">
        <f>IFERROR(VLOOKUP($AA114,PLAN!$B:$AA,7,0),"")</f>
        <v/>
      </c>
      <c r="I114" s="77" t="str">
        <f>IFERROR(VLOOKUP($AA114,PLAN!$B:$AA,8,0),"")</f>
        <v/>
      </c>
      <c r="J114" s="77" t="str">
        <f>IFERROR(VLOOKUP($AA114,PLAN!$B:$AA,9,0),"")</f>
        <v/>
      </c>
      <c r="K114" s="77" t="str">
        <f>IFERROR(VLOOKUP($AA114,PLAN!$B:$AA,10,0),"")</f>
        <v/>
      </c>
      <c r="L114" s="77" t="str">
        <f>IFERROR(VLOOKUP($AA114,PLAN!$B:$AA,15,0),"")</f>
        <v/>
      </c>
      <c r="M114" s="77" t="str">
        <f>IFERROR(VLOOKUP($AA114,PLAN!$B:$AA,18,0),"")</f>
        <v/>
      </c>
      <c r="N114" s="227" t="str">
        <f>IFERROR(VLOOKUP($AA114,PLAN!$B:$AA,19,0),"")</f>
        <v/>
      </c>
      <c r="O114" s="77" t="str">
        <f>IFERROR(VLOOKUP($AA114,PLAN!$B:$AA,12,0),"")</f>
        <v/>
      </c>
      <c r="P114" s="77" t="str">
        <f>IFERROR(VLOOKUP($AA114,PLAN!$B:$AA,11,0),"")</f>
        <v/>
      </c>
      <c r="Q114" s="349" t="s">
        <v>1322</v>
      </c>
      <c r="R114" s="158" t="s">
        <v>1323</v>
      </c>
      <c r="S114" s="223">
        <f>K113-S113</f>
        <v>274</v>
      </c>
      <c r="T114" s="131"/>
      <c r="U114" s="78" t="str">
        <f>IFERROR(VLOOKUP($AA114,PLAN!$B:$AA,21,0),"")</f>
        <v/>
      </c>
      <c r="V114" s="78" t="str">
        <f>IFERROR(VLOOKUP($AA114,PLAN!$B:$AA,22,0),"")</f>
        <v/>
      </c>
      <c r="W114" s="232"/>
      <c r="X114" s="233"/>
      <c r="Y114" s="212"/>
      <c r="Z114" s="350"/>
      <c r="AA114" s="195"/>
      <c r="AB114" s="132">
        <v>46227</v>
      </c>
      <c r="AC114" s="132"/>
    </row>
    <row r="115" spans="3:29" s="79" customFormat="1" ht="30.6" customHeight="1">
      <c r="C115" s="249" t="str">
        <f t="shared" si="7"/>
        <v>Aug07-02</v>
      </c>
      <c r="D115" s="77">
        <f>IFERROR(VLOOKUP($AA115,PLAN!$B:$AA,3,0),"")</f>
        <v>11134248</v>
      </c>
      <c r="E115" s="77" t="str">
        <f>IFERROR(VLOOKUP($AA115,PLAN!$B:$AA,4,0),"")</f>
        <v>2041189-D-A</v>
      </c>
      <c r="F115" s="77" t="str">
        <f>IFERROR(VLOOKUP($AA115,PLAN!$B:$AA,5,0),"")</f>
        <v>CSR135-26P CN</v>
      </c>
      <c r="G115" s="77" t="str">
        <f>IFERROR(VLOOKUP($AA115,PLAN!$B:$AA,2,0),"")</f>
        <v>1001919160</v>
      </c>
      <c r="H115" s="113">
        <f>IFERROR(VLOOKUP($AA115,PLAN!$B:$AA,7,0),"")</f>
        <v>46241</v>
      </c>
      <c r="I115" s="77" t="str">
        <f>IFERROR(VLOOKUP($AA115,PLAN!$B:$AA,8,0),"")</f>
        <v>0103558154</v>
      </c>
      <c r="J115" s="77" t="str">
        <f>IFERROR(VLOOKUP($AA115,PLAN!$B:$AA,9,0),"")</f>
        <v>260716K10A</v>
      </c>
      <c r="K115" s="77">
        <f>IFERROR(VLOOKUP($AA115,PLAN!$B:$AA,10,0),"")</f>
        <v>1472</v>
      </c>
      <c r="L115" s="77" t="str">
        <f>IFERROR(VLOOKUP($AA115,PLAN!$B:$AA,15,0),"")</f>
        <v>CHINA</v>
      </c>
      <c r="M115" s="77">
        <f>IFERROR(VLOOKUP($AA115,PLAN!$B:$AA,18,0),"")</f>
        <v>0</v>
      </c>
      <c r="N115" s="227">
        <f>IFERROR(VLOOKUP($AA115,PLAN!$B:$AA,19,0),"")</f>
        <v>0</v>
      </c>
      <c r="O115" s="77" t="str">
        <f>IFERROR(VLOOKUP($AA115,PLAN!$B:$AA,12,0),"")</f>
        <v>2342019-A-C-CN</v>
      </c>
      <c r="P115" s="77">
        <f>IFERROR(VLOOKUP($AA115,PLAN!$B:$AA,11,0),"")</f>
        <v>12139931</v>
      </c>
      <c r="Q115" s="349" t="s">
        <v>919</v>
      </c>
      <c r="R115" s="149" t="s">
        <v>920</v>
      </c>
      <c r="S115" s="223">
        <v>202</v>
      </c>
      <c r="T115" s="131"/>
      <c r="U115" s="78">
        <f>IFERROR(VLOOKUP($AA115,PLAN!$B:$AA,21,0),"")</f>
        <v>46227</v>
      </c>
      <c r="V115" s="78" t="str">
        <f>IFERROR(VLOOKUP($AA115,PLAN!$B:$AA,22,0),"")</f>
        <v>M8</v>
      </c>
      <c r="W115" s="232"/>
      <c r="X115" s="233"/>
      <c r="Y115" s="212"/>
      <c r="Z115" s="350"/>
      <c r="AA115" s="195" t="s">
        <v>1286</v>
      </c>
      <c r="AB115" s="132">
        <f>VLOOKUP(AA115,PLAN!B:V,20,0)</f>
        <v>46227</v>
      </c>
      <c r="AC115" s="132"/>
    </row>
    <row r="116" spans="3:29" s="79" customFormat="1" ht="30.6" customHeight="1">
      <c r="C116" s="249">
        <f t="shared" si="7"/>
        <v>0</v>
      </c>
      <c r="D116" s="77" t="str">
        <f>IFERROR(VLOOKUP($AA116,PLAN!$B:$AA,3,0),"")</f>
        <v/>
      </c>
      <c r="E116" s="77" t="str">
        <f>IFERROR(VLOOKUP($AA116,PLAN!$B:$AA,4,0),"")</f>
        <v/>
      </c>
      <c r="F116" s="77" t="str">
        <f>IFERROR(VLOOKUP($AA116,PLAN!$B:$AA,5,0),"")</f>
        <v/>
      </c>
      <c r="G116" s="77" t="str">
        <f>IFERROR(VLOOKUP($AA116,PLAN!$B:$AA,2,0),"")</f>
        <v/>
      </c>
      <c r="H116" s="113" t="str">
        <f>IFERROR(VLOOKUP($AA116,PLAN!$B:$AA,7,0),"")</f>
        <v/>
      </c>
      <c r="I116" s="77" t="str">
        <f>IFERROR(VLOOKUP($AA116,PLAN!$B:$AA,8,0),"")</f>
        <v/>
      </c>
      <c r="J116" s="77" t="str">
        <f>IFERROR(VLOOKUP($AA116,PLAN!$B:$AA,9,0),"")</f>
        <v/>
      </c>
      <c r="K116" s="77" t="str">
        <f>IFERROR(VLOOKUP($AA116,PLAN!$B:$AA,10,0),"")</f>
        <v/>
      </c>
      <c r="L116" s="77" t="str">
        <f>IFERROR(VLOOKUP($AA116,PLAN!$B:$AA,15,0),"")</f>
        <v/>
      </c>
      <c r="M116" s="77" t="str">
        <f>IFERROR(VLOOKUP($AA116,PLAN!$B:$AA,18,0),"")</f>
        <v/>
      </c>
      <c r="N116" s="227" t="str">
        <f>IFERROR(VLOOKUP($AA116,PLAN!$B:$AA,19,0),"")</f>
        <v/>
      </c>
      <c r="O116" s="77" t="str">
        <f>IFERROR(VLOOKUP($AA116,PLAN!$B:$AA,12,0),"")</f>
        <v/>
      </c>
      <c r="P116" s="77" t="str">
        <f>IFERROR(VLOOKUP($AA116,PLAN!$B:$AA,11,0),"")</f>
        <v/>
      </c>
      <c r="Q116" s="349" t="s">
        <v>1324</v>
      </c>
      <c r="R116" s="149" t="s">
        <v>1325</v>
      </c>
      <c r="S116" s="223">
        <v>306</v>
      </c>
      <c r="T116" s="131"/>
      <c r="U116" s="78" t="str">
        <f>IFERROR(VLOOKUP($AA116,PLAN!$B:$AA,21,0),"")</f>
        <v/>
      </c>
      <c r="V116" s="78" t="str">
        <f>IFERROR(VLOOKUP($AA116,PLAN!$B:$AA,22,0),"")</f>
        <v/>
      </c>
      <c r="W116" s="232"/>
      <c r="X116" s="233"/>
      <c r="Y116" s="212"/>
      <c r="Z116" s="350"/>
      <c r="AA116" s="195"/>
      <c r="AB116" s="132">
        <v>46227</v>
      </c>
      <c r="AC116" s="132"/>
    </row>
    <row r="117" spans="3:29" s="79" customFormat="1" ht="30.6" customHeight="1">
      <c r="C117" s="249">
        <f t="shared" si="7"/>
        <v>0</v>
      </c>
      <c r="D117" s="77" t="str">
        <f>IFERROR(VLOOKUP($AA117,PLAN!$B:$AA,3,0),"")</f>
        <v/>
      </c>
      <c r="E117" s="77" t="str">
        <f>IFERROR(VLOOKUP($AA117,PLAN!$B:$AA,4,0),"")</f>
        <v/>
      </c>
      <c r="F117" s="77" t="str">
        <f>IFERROR(VLOOKUP($AA117,PLAN!$B:$AA,5,0),"")</f>
        <v/>
      </c>
      <c r="G117" s="77" t="str">
        <f>IFERROR(VLOOKUP($AA117,PLAN!$B:$AA,2,0),"")</f>
        <v/>
      </c>
      <c r="H117" s="113" t="str">
        <f>IFERROR(VLOOKUP($AA117,PLAN!$B:$AA,7,0),"")</f>
        <v/>
      </c>
      <c r="I117" s="77" t="str">
        <f>IFERROR(VLOOKUP($AA117,PLAN!$B:$AA,8,0),"")</f>
        <v/>
      </c>
      <c r="J117" s="77" t="str">
        <f>IFERROR(VLOOKUP($AA117,PLAN!$B:$AA,9,0),"")</f>
        <v/>
      </c>
      <c r="K117" s="77" t="str">
        <f>IFERROR(VLOOKUP($AA117,PLAN!$B:$AA,10,0),"")</f>
        <v/>
      </c>
      <c r="L117" s="77" t="str">
        <f>IFERROR(VLOOKUP($AA117,PLAN!$B:$AA,15,0),"")</f>
        <v/>
      </c>
      <c r="M117" s="77" t="str">
        <f>IFERROR(VLOOKUP($AA117,PLAN!$B:$AA,18,0),"")</f>
        <v/>
      </c>
      <c r="N117" s="227" t="str">
        <f>IFERROR(VLOOKUP($AA117,PLAN!$B:$AA,19,0),"")</f>
        <v/>
      </c>
      <c r="O117" s="77" t="str">
        <f>IFERROR(VLOOKUP($AA117,PLAN!$B:$AA,12,0),"")</f>
        <v/>
      </c>
      <c r="P117" s="77" t="str">
        <f>IFERROR(VLOOKUP($AA117,PLAN!$B:$AA,11,0),"")</f>
        <v/>
      </c>
      <c r="Q117" s="349" t="s">
        <v>1326</v>
      </c>
      <c r="R117" s="149" t="s">
        <v>1327</v>
      </c>
      <c r="S117" s="223">
        <v>306</v>
      </c>
      <c r="T117" s="131"/>
      <c r="U117" s="78" t="str">
        <f>IFERROR(VLOOKUP($AA117,PLAN!$B:$AA,21,0),"")</f>
        <v/>
      </c>
      <c r="V117" s="78" t="str">
        <f>IFERROR(VLOOKUP($AA117,PLAN!$B:$AA,22,0),"")</f>
        <v/>
      </c>
      <c r="W117" s="232"/>
      <c r="X117" s="233"/>
      <c r="Y117" s="212"/>
      <c r="Z117" s="350"/>
      <c r="AA117" s="195"/>
      <c r="AB117" s="132">
        <v>46227</v>
      </c>
      <c r="AC117" s="132"/>
    </row>
    <row r="118" spans="3:29" s="79" customFormat="1" ht="30.6" customHeight="1">
      <c r="C118" s="249">
        <f t="shared" si="7"/>
        <v>0</v>
      </c>
      <c r="D118" s="77" t="str">
        <f>IFERROR(VLOOKUP($AA118,PLAN!$B:$AA,3,0),"")</f>
        <v/>
      </c>
      <c r="E118" s="77" t="str">
        <f>IFERROR(VLOOKUP($AA118,PLAN!$B:$AA,4,0),"")</f>
        <v/>
      </c>
      <c r="F118" s="77" t="str">
        <f>IFERROR(VLOOKUP($AA118,PLAN!$B:$AA,5,0),"")</f>
        <v/>
      </c>
      <c r="G118" s="77" t="str">
        <f>IFERROR(VLOOKUP($AA118,PLAN!$B:$AA,2,0),"")</f>
        <v/>
      </c>
      <c r="H118" s="113" t="str">
        <f>IFERROR(VLOOKUP($AA118,PLAN!$B:$AA,7,0),"")</f>
        <v/>
      </c>
      <c r="I118" s="77" t="str">
        <f>IFERROR(VLOOKUP($AA118,PLAN!$B:$AA,8,0),"")</f>
        <v/>
      </c>
      <c r="J118" s="77" t="str">
        <f>IFERROR(VLOOKUP($AA118,PLAN!$B:$AA,9,0),"")</f>
        <v/>
      </c>
      <c r="K118" s="77" t="str">
        <f>IFERROR(VLOOKUP($AA118,PLAN!$B:$AA,10,0),"")</f>
        <v/>
      </c>
      <c r="L118" s="77" t="str">
        <f>IFERROR(VLOOKUP($AA118,PLAN!$B:$AA,15,0),"")</f>
        <v/>
      </c>
      <c r="M118" s="77" t="str">
        <f>IFERROR(VLOOKUP($AA118,PLAN!$B:$AA,18,0),"")</f>
        <v/>
      </c>
      <c r="N118" s="227" t="str">
        <f>IFERROR(VLOOKUP($AA118,PLAN!$B:$AA,19,0),"")</f>
        <v/>
      </c>
      <c r="O118" s="77" t="str">
        <f>IFERROR(VLOOKUP($AA118,PLAN!$B:$AA,12,0),"")</f>
        <v/>
      </c>
      <c r="P118" s="77" t="str">
        <f>IFERROR(VLOOKUP($AA118,PLAN!$B:$AA,11,0),"")</f>
        <v/>
      </c>
      <c r="Q118" s="349" t="s">
        <v>1328</v>
      </c>
      <c r="R118" s="158" t="s">
        <v>1329</v>
      </c>
      <c r="S118" s="223">
        <v>306</v>
      </c>
      <c r="T118" s="131"/>
      <c r="U118" s="78" t="str">
        <f>IFERROR(VLOOKUP($AA118,PLAN!$B:$AA,21,0),"")</f>
        <v/>
      </c>
      <c r="V118" s="78" t="str">
        <f>IFERROR(VLOOKUP($AA118,PLAN!$B:$AA,22,0),"")</f>
        <v/>
      </c>
      <c r="W118" s="232"/>
      <c r="X118" s="233"/>
      <c r="Y118" s="212"/>
      <c r="Z118" s="350"/>
      <c r="AA118" s="195"/>
      <c r="AB118" s="132">
        <v>46227</v>
      </c>
      <c r="AC118" s="132"/>
    </row>
    <row r="119" spans="3:29" s="79" customFormat="1" ht="30.6" customHeight="1">
      <c r="C119" s="249">
        <f t="shared" si="7"/>
        <v>0</v>
      </c>
      <c r="D119" s="77" t="str">
        <f>IFERROR(VLOOKUP($AA119,PLAN!$B:$AA,3,0),"")</f>
        <v/>
      </c>
      <c r="E119" s="77" t="str">
        <f>IFERROR(VLOOKUP($AA119,PLAN!$B:$AA,4,0),"")</f>
        <v/>
      </c>
      <c r="F119" s="77" t="str">
        <f>IFERROR(VLOOKUP($AA119,PLAN!$B:$AA,5,0),"")</f>
        <v/>
      </c>
      <c r="G119" s="77" t="str">
        <f>IFERROR(VLOOKUP($AA119,PLAN!$B:$AA,2,0),"")</f>
        <v/>
      </c>
      <c r="H119" s="113" t="str">
        <f>IFERROR(VLOOKUP($AA119,PLAN!$B:$AA,7,0),"")</f>
        <v/>
      </c>
      <c r="I119" s="77" t="str">
        <f>IFERROR(VLOOKUP($AA119,PLAN!$B:$AA,8,0),"")</f>
        <v/>
      </c>
      <c r="J119" s="77" t="str">
        <f>IFERROR(VLOOKUP($AA119,PLAN!$B:$AA,9,0),"")</f>
        <v/>
      </c>
      <c r="K119" s="77" t="str">
        <f>IFERROR(VLOOKUP($AA119,PLAN!$B:$AA,10,0),"")</f>
        <v/>
      </c>
      <c r="L119" s="77" t="str">
        <f>IFERROR(VLOOKUP($AA119,PLAN!$B:$AA,15,0),"")</f>
        <v/>
      </c>
      <c r="M119" s="77" t="str">
        <f>IFERROR(VLOOKUP($AA119,PLAN!$B:$AA,18,0),"")</f>
        <v/>
      </c>
      <c r="N119" s="227" t="str">
        <f>IFERROR(VLOOKUP($AA119,PLAN!$B:$AA,19,0),"")</f>
        <v/>
      </c>
      <c r="O119" s="77" t="str">
        <f>IFERROR(VLOOKUP($AA119,PLAN!$B:$AA,12,0),"")</f>
        <v/>
      </c>
      <c r="P119" s="77" t="str">
        <f>IFERROR(VLOOKUP($AA119,PLAN!$B:$AA,11,0),"")</f>
        <v/>
      </c>
      <c r="Q119" s="349" t="s">
        <v>1330</v>
      </c>
      <c r="R119" s="158" t="s">
        <v>1331</v>
      </c>
      <c r="S119" s="223">
        <v>305</v>
      </c>
      <c r="T119" s="131"/>
      <c r="U119" s="78" t="str">
        <f>IFERROR(VLOOKUP($AA119,PLAN!$B:$AA,21,0),"")</f>
        <v/>
      </c>
      <c r="V119" s="78" t="str">
        <f>IFERROR(VLOOKUP($AA119,PLAN!$B:$AA,22,0),"")</f>
        <v/>
      </c>
      <c r="W119" s="232"/>
      <c r="X119" s="233"/>
      <c r="Y119" s="212"/>
      <c r="Z119" s="350"/>
      <c r="AA119" s="195"/>
      <c r="AB119" s="132">
        <v>46227</v>
      </c>
      <c r="AC119" s="132"/>
    </row>
    <row r="120" spans="3:29" s="79" customFormat="1" ht="30.6" customHeight="1">
      <c r="C120" s="249">
        <f t="shared" si="7"/>
        <v>0</v>
      </c>
      <c r="D120" s="77" t="str">
        <f>IFERROR(VLOOKUP($AA120,PLAN!$B:$AA,3,0),"")</f>
        <v/>
      </c>
      <c r="E120" s="77" t="str">
        <f>IFERROR(VLOOKUP($AA120,PLAN!$B:$AA,4,0),"")</f>
        <v/>
      </c>
      <c r="F120" s="77" t="str">
        <f>IFERROR(VLOOKUP($AA120,PLAN!$B:$AA,5,0),"")</f>
        <v/>
      </c>
      <c r="G120" s="77" t="str">
        <f>IFERROR(VLOOKUP($AA120,PLAN!$B:$AA,2,0),"")</f>
        <v/>
      </c>
      <c r="H120" s="113" t="str">
        <f>IFERROR(VLOOKUP($AA120,PLAN!$B:$AA,7,0),"")</f>
        <v/>
      </c>
      <c r="I120" s="77" t="str">
        <f>IFERROR(VLOOKUP($AA120,PLAN!$B:$AA,8,0),"")</f>
        <v/>
      </c>
      <c r="J120" s="77" t="str">
        <f>IFERROR(VLOOKUP($AA120,PLAN!$B:$AA,9,0),"")</f>
        <v/>
      </c>
      <c r="K120" s="77" t="str">
        <f>IFERROR(VLOOKUP($AA120,PLAN!$B:$AA,10,0),"")</f>
        <v/>
      </c>
      <c r="L120" s="77" t="str">
        <f>IFERROR(VLOOKUP($AA120,PLAN!$B:$AA,15,0),"")</f>
        <v/>
      </c>
      <c r="M120" s="77" t="str">
        <f>IFERROR(VLOOKUP($AA120,PLAN!$B:$AA,18,0),"")</f>
        <v/>
      </c>
      <c r="N120" s="227" t="str">
        <f>IFERROR(VLOOKUP($AA120,PLAN!$B:$AA,19,0),"")</f>
        <v/>
      </c>
      <c r="O120" s="77" t="str">
        <f>IFERROR(VLOOKUP($AA120,PLAN!$B:$AA,12,0),"")</f>
        <v/>
      </c>
      <c r="P120" s="77" t="str">
        <f>IFERROR(VLOOKUP($AA120,PLAN!$B:$AA,11,0),"")</f>
        <v/>
      </c>
      <c r="Q120" s="349" t="s">
        <v>1332</v>
      </c>
      <c r="R120" s="158" t="s">
        <v>1333</v>
      </c>
      <c r="S120" s="223">
        <f>K115-S115-S116-S117-S118-S119</f>
        <v>47</v>
      </c>
      <c r="T120" s="131"/>
      <c r="U120" s="78" t="str">
        <f>IFERROR(VLOOKUP($AA120,PLAN!$B:$AA,21,0),"")</f>
        <v/>
      </c>
      <c r="V120" s="78" t="str">
        <f>IFERROR(VLOOKUP($AA120,PLAN!$B:$AA,22,0),"")</f>
        <v/>
      </c>
      <c r="W120" s="232"/>
      <c r="X120" s="233"/>
      <c r="Y120" s="212"/>
      <c r="Z120" s="350"/>
      <c r="AA120" s="195"/>
      <c r="AB120" s="132">
        <v>46227</v>
      </c>
      <c r="AC120" s="132"/>
    </row>
    <row r="121" spans="3:29" s="79" customFormat="1" ht="30.6" customHeight="1">
      <c r="C121" s="249" t="str">
        <f t="shared" ref="C121:C209" si="12">AA121</f>
        <v>Aug07-03</v>
      </c>
      <c r="D121" s="77">
        <f>IFERROR(VLOOKUP($AA121,PLAN!$B:$AA,3,0),"")</f>
        <v>11134148</v>
      </c>
      <c r="E121" s="77" t="str">
        <f>IFERROR(VLOOKUP($AA121,PLAN!$B:$AA,4,0),"")</f>
        <v>1811909-L-A</v>
      </c>
      <c r="F121" s="77" t="str">
        <f>IFERROR(VLOOKUP($AA121,PLAN!$B:$AA,5,0),"")</f>
        <v>HW60SP350P10000 CN</v>
      </c>
      <c r="G121" s="77" t="str">
        <f>IFERROR(VLOOKUP($AA121,PLAN!$B:$AA,2,0),"")</f>
        <v>1001921212</v>
      </c>
      <c r="H121" s="113">
        <f>IFERROR(VLOOKUP($AA121,PLAN!$B:$AA,7,0),"")</f>
        <v>46241</v>
      </c>
      <c r="I121" s="77" t="str">
        <f>IFERROR(VLOOKUP($AA121,PLAN!$B:$AA,8,0),"")</f>
        <v>0103562310</v>
      </c>
      <c r="J121" s="77" t="str">
        <f>IFERROR(VLOOKUP($AA121,PLAN!$B:$AA,9,0),"")</f>
        <v>260720C31A</v>
      </c>
      <c r="K121" s="77">
        <f>IFERROR(VLOOKUP($AA121,PLAN!$B:$AA,10,0),"")</f>
        <v>426</v>
      </c>
      <c r="L121" s="77" t="str">
        <f>IFERROR(VLOOKUP($AA121,PLAN!$B:$AA,15,0),"")</f>
        <v>CHINA</v>
      </c>
      <c r="M121" s="77">
        <f>IFERROR(VLOOKUP($AA121,PLAN!$B:$AA,18,0),"")</f>
        <v>3</v>
      </c>
      <c r="N121" s="227">
        <f>IFERROR(VLOOKUP($AA121,PLAN!$B:$AA,19,0),"")</f>
        <v>3</v>
      </c>
      <c r="O121" s="77" t="str">
        <f>IFERROR(VLOOKUP($AA121,PLAN!$B:$AA,12,0),"")</f>
        <v>2112099-0-C-CN</v>
      </c>
      <c r="P121" s="77">
        <f>IFERROR(VLOOKUP($AA121,PLAN!$B:$AA,11,0),"")</f>
        <v>12129995</v>
      </c>
      <c r="Q121" s="277" t="s">
        <v>1302</v>
      </c>
      <c r="R121" s="149" t="s">
        <v>1303</v>
      </c>
      <c r="S121" s="223">
        <v>88</v>
      </c>
      <c r="T121" s="131"/>
      <c r="U121" s="78">
        <f>IFERROR(VLOOKUP($AA121,PLAN!$B:$AA,21,0),"")</f>
        <v>46227</v>
      </c>
      <c r="V121" s="78" t="str">
        <f>IFERROR(VLOOKUP($AA121,PLAN!$B:$AA,22,0),"")</f>
        <v>M9</v>
      </c>
      <c r="W121" s="232"/>
      <c r="X121" s="233"/>
      <c r="Y121" s="212"/>
      <c r="Z121" s="350"/>
      <c r="AA121" s="195" t="s">
        <v>1515</v>
      </c>
      <c r="AB121" s="132">
        <f>VLOOKUP(AA121,PLAN!B:V,20,0)</f>
        <v>46227</v>
      </c>
      <c r="AC121" s="132"/>
    </row>
    <row r="122" spans="3:29" s="79" customFormat="1" ht="30.6" customHeight="1">
      <c r="C122" s="249"/>
      <c r="D122" s="77"/>
      <c r="E122" s="77"/>
      <c r="F122" s="77"/>
      <c r="G122" s="77"/>
      <c r="H122" s="113"/>
      <c r="I122" s="77"/>
      <c r="J122" s="77"/>
      <c r="K122" s="77"/>
      <c r="L122" s="77"/>
      <c r="M122" s="77"/>
      <c r="N122" s="227"/>
      <c r="O122" s="77"/>
      <c r="P122" s="77"/>
      <c r="Q122" s="277" t="s">
        <v>1527</v>
      </c>
      <c r="R122" s="149" t="s">
        <v>1528</v>
      </c>
      <c r="S122" s="223">
        <v>150</v>
      </c>
      <c r="T122" s="131"/>
      <c r="U122" s="78"/>
      <c r="V122" s="78"/>
      <c r="W122" s="232"/>
      <c r="X122" s="233"/>
      <c r="Y122" s="212"/>
      <c r="Z122" s="350"/>
      <c r="AA122" s="195"/>
      <c r="AB122" s="132">
        <v>46227</v>
      </c>
      <c r="AC122" s="132"/>
    </row>
    <row r="123" spans="3:29" s="79" customFormat="1" ht="30.6" customHeight="1">
      <c r="C123" s="249"/>
      <c r="D123" s="77"/>
      <c r="E123" s="77"/>
      <c r="F123" s="77"/>
      <c r="G123" s="77"/>
      <c r="H123" s="113"/>
      <c r="I123" s="77"/>
      <c r="J123" s="77"/>
      <c r="K123" s="77"/>
      <c r="L123" s="77"/>
      <c r="M123" s="77"/>
      <c r="N123" s="227"/>
      <c r="O123" s="77"/>
      <c r="P123" s="77"/>
      <c r="Q123" s="277" t="s">
        <v>1529</v>
      </c>
      <c r="R123" s="149" t="s">
        <v>1530</v>
      </c>
      <c r="S123" s="223">
        <v>150</v>
      </c>
      <c r="T123" s="131"/>
      <c r="U123" s="78"/>
      <c r="V123" s="78"/>
      <c r="W123" s="232"/>
      <c r="X123" s="233"/>
      <c r="Y123" s="212"/>
      <c r="Z123" s="350"/>
      <c r="AA123" s="195"/>
      <c r="AB123" s="132">
        <v>46227</v>
      </c>
      <c r="AC123" s="132"/>
    </row>
    <row r="124" spans="3:29" s="79" customFormat="1" ht="30.6" customHeight="1">
      <c r="C124" s="249"/>
      <c r="D124" s="77"/>
      <c r="E124" s="77"/>
      <c r="F124" s="77"/>
      <c r="G124" s="77"/>
      <c r="H124" s="113"/>
      <c r="I124" s="77"/>
      <c r="J124" s="77"/>
      <c r="K124" s="77"/>
      <c r="L124" s="77"/>
      <c r="M124" s="77"/>
      <c r="N124" s="227"/>
      <c r="O124" s="77"/>
      <c r="P124" s="77"/>
      <c r="Q124" s="277" t="s">
        <v>1531</v>
      </c>
      <c r="R124" s="149" t="s">
        <v>1532</v>
      </c>
      <c r="S124" s="223">
        <f>K121-S121-S122-S123</f>
        <v>38</v>
      </c>
      <c r="T124" s="131"/>
      <c r="U124" s="78"/>
      <c r="V124" s="78"/>
      <c r="W124" s="232"/>
      <c r="X124" s="233"/>
      <c r="Y124" s="212"/>
      <c r="Z124" s="350"/>
      <c r="AA124" s="195"/>
      <c r="AB124" s="132">
        <v>46227</v>
      </c>
      <c r="AC124" s="132"/>
    </row>
    <row r="125" spans="3:29" s="79" customFormat="1" ht="30.6" customHeight="1">
      <c r="C125" s="249" t="str">
        <f t="shared" si="12"/>
        <v>Aug07-04</v>
      </c>
      <c r="D125" s="77">
        <f>IFERROR(VLOOKUP($AA125,PLAN!$B:$AA,3,0),"")</f>
        <v>11134148</v>
      </c>
      <c r="E125" s="77" t="str">
        <f>IFERROR(VLOOKUP($AA125,PLAN!$B:$AA,4,0),"")</f>
        <v>1811909-L-A</v>
      </c>
      <c r="F125" s="77" t="str">
        <f>IFERROR(VLOOKUP($AA125,PLAN!$B:$AA,5,0),"")</f>
        <v>HW60SP350P10000 CN</v>
      </c>
      <c r="G125" s="77" t="str">
        <f>IFERROR(VLOOKUP($AA125,PLAN!$B:$AA,2,0),"")</f>
        <v>1001921213</v>
      </c>
      <c r="H125" s="113">
        <f>IFERROR(VLOOKUP($AA125,PLAN!$B:$AA,7,0),"")</f>
        <v>46241</v>
      </c>
      <c r="I125" s="77" t="str">
        <f>IFERROR(VLOOKUP($AA125,PLAN!$B:$AA,8,0),"")</f>
        <v>0103562311</v>
      </c>
      <c r="J125" s="77" t="str">
        <f>IFERROR(VLOOKUP($AA125,PLAN!$B:$AA,9,0),"")</f>
        <v>260720C32A</v>
      </c>
      <c r="K125" s="77">
        <f>IFERROR(VLOOKUP($AA125,PLAN!$B:$AA,10,0),"")</f>
        <v>720</v>
      </c>
      <c r="L125" s="77" t="str">
        <f>IFERROR(VLOOKUP($AA125,PLAN!$B:$AA,15,0),"")</f>
        <v>CHINA</v>
      </c>
      <c r="M125" s="77">
        <f>IFERROR(VLOOKUP($AA125,PLAN!$B:$AA,18,0),"")</f>
        <v>0</v>
      </c>
      <c r="N125" s="227">
        <f>IFERROR(VLOOKUP($AA125,PLAN!$B:$AA,19,0),"")</f>
        <v>0</v>
      </c>
      <c r="O125" s="77" t="str">
        <f>IFERROR(VLOOKUP($AA125,PLAN!$B:$AA,12,0),"")</f>
        <v>2112099-0-C-CN</v>
      </c>
      <c r="P125" s="77">
        <f>IFERROR(VLOOKUP($AA125,PLAN!$B:$AA,11,0),"")</f>
        <v>12129995</v>
      </c>
      <c r="Q125" s="277" t="s">
        <v>1531</v>
      </c>
      <c r="R125" s="149" t="s">
        <v>1532</v>
      </c>
      <c r="S125" s="223">
        <v>112</v>
      </c>
      <c r="T125" s="131"/>
      <c r="U125" s="78">
        <f>IFERROR(VLOOKUP($AA125,PLAN!$B:$AA,21,0),"")</f>
        <v>46227</v>
      </c>
      <c r="V125" s="78" t="str">
        <f>IFERROR(VLOOKUP($AA125,PLAN!$B:$AA,22,0),"")</f>
        <v>M10</v>
      </c>
      <c r="W125" s="232"/>
      <c r="X125" s="233"/>
      <c r="Y125" s="212"/>
      <c r="Z125" s="350"/>
      <c r="AA125" s="195" t="s">
        <v>1516</v>
      </c>
      <c r="AB125" s="132">
        <f>VLOOKUP(AA125,PLAN!B:V,20,0)</f>
        <v>46227</v>
      </c>
      <c r="AC125" s="132"/>
    </row>
    <row r="126" spans="3:29" s="79" customFormat="1" ht="30.6" customHeight="1">
      <c r="C126" s="249"/>
      <c r="D126" s="77"/>
      <c r="E126" s="77"/>
      <c r="F126" s="77"/>
      <c r="G126" s="77"/>
      <c r="H126" s="113"/>
      <c r="I126" s="77"/>
      <c r="J126" s="77"/>
      <c r="K126" s="77"/>
      <c r="L126" s="77"/>
      <c r="M126" s="77"/>
      <c r="N126" s="227"/>
      <c r="O126" s="77"/>
      <c r="P126" s="77"/>
      <c r="Q126" s="277" t="s">
        <v>1533</v>
      </c>
      <c r="R126" s="149" t="s">
        <v>1534</v>
      </c>
      <c r="S126" s="223">
        <v>150</v>
      </c>
      <c r="T126" s="131"/>
      <c r="U126" s="78"/>
      <c r="V126" s="78"/>
      <c r="W126" s="232"/>
      <c r="X126" s="233"/>
      <c r="Y126" s="212"/>
      <c r="Z126" s="350"/>
      <c r="AA126" s="195"/>
      <c r="AB126" s="132">
        <v>46227</v>
      </c>
      <c r="AC126" s="132"/>
    </row>
    <row r="127" spans="3:29" s="79" customFormat="1" ht="30.6" customHeight="1">
      <c r="C127" s="249"/>
      <c r="D127" s="77"/>
      <c r="E127" s="77"/>
      <c r="F127" s="77"/>
      <c r="G127" s="77"/>
      <c r="H127" s="113"/>
      <c r="I127" s="77"/>
      <c r="J127" s="77"/>
      <c r="K127" s="77"/>
      <c r="L127" s="77"/>
      <c r="M127" s="77"/>
      <c r="N127" s="227"/>
      <c r="O127" s="77"/>
      <c r="P127" s="77"/>
      <c r="Q127" s="277" t="s">
        <v>1535</v>
      </c>
      <c r="R127" s="149" t="s">
        <v>1536</v>
      </c>
      <c r="S127" s="223">
        <v>150</v>
      </c>
      <c r="T127" s="131"/>
      <c r="U127" s="78"/>
      <c r="V127" s="78"/>
      <c r="W127" s="232"/>
      <c r="X127" s="233"/>
      <c r="Y127" s="212"/>
      <c r="Z127" s="350"/>
      <c r="AA127" s="195"/>
      <c r="AB127" s="132">
        <v>46227</v>
      </c>
      <c r="AC127" s="132"/>
    </row>
    <row r="128" spans="3:29" s="79" customFormat="1" ht="30.6" customHeight="1">
      <c r="C128" s="249"/>
      <c r="D128" s="77"/>
      <c r="E128" s="77"/>
      <c r="F128" s="77"/>
      <c r="G128" s="77"/>
      <c r="H128" s="113"/>
      <c r="I128" s="77"/>
      <c r="J128" s="77"/>
      <c r="K128" s="77"/>
      <c r="L128" s="77"/>
      <c r="M128" s="77"/>
      <c r="N128" s="227"/>
      <c r="O128" s="77"/>
      <c r="P128" s="77"/>
      <c r="Q128" s="277" t="s">
        <v>1537</v>
      </c>
      <c r="R128" s="149" t="s">
        <v>1538</v>
      </c>
      <c r="S128" s="223">
        <v>150</v>
      </c>
      <c r="T128" s="131"/>
      <c r="U128" s="78"/>
      <c r="V128" s="78"/>
      <c r="W128" s="232"/>
      <c r="X128" s="233"/>
      <c r="Y128" s="212"/>
      <c r="Z128" s="350"/>
      <c r="AA128" s="195"/>
      <c r="AB128" s="132">
        <v>46227</v>
      </c>
      <c r="AC128" s="132"/>
    </row>
    <row r="129" spans="3:29" s="79" customFormat="1" ht="30.6" customHeight="1">
      <c r="C129" s="249"/>
      <c r="D129" s="77"/>
      <c r="E129" s="77"/>
      <c r="F129" s="77"/>
      <c r="G129" s="77"/>
      <c r="H129" s="113"/>
      <c r="I129" s="77"/>
      <c r="J129" s="77"/>
      <c r="K129" s="77"/>
      <c r="L129" s="77"/>
      <c r="M129" s="77"/>
      <c r="N129" s="227"/>
      <c r="O129" s="77"/>
      <c r="P129" s="77"/>
      <c r="Q129" s="277" t="s">
        <v>1539</v>
      </c>
      <c r="R129" s="149" t="s">
        <v>1540</v>
      </c>
      <c r="S129" s="223">
        <v>150</v>
      </c>
      <c r="T129" s="131"/>
      <c r="U129" s="78"/>
      <c r="V129" s="78"/>
      <c r="W129" s="232"/>
      <c r="X129" s="233"/>
      <c r="Y129" s="212"/>
      <c r="Z129" s="350"/>
      <c r="AA129" s="195"/>
      <c r="AB129" s="132">
        <v>46227</v>
      </c>
      <c r="AC129" s="132"/>
    </row>
    <row r="130" spans="3:29" s="79" customFormat="1" ht="30.6" customHeight="1">
      <c r="C130" s="249"/>
      <c r="D130" s="77"/>
      <c r="E130" s="77"/>
      <c r="F130" s="77"/>
      <c r="G130" s="77"/>
      <c r="H130" s="113"/>
      <c r="I130" s="77"/>
      <c r="J130" s="77"/>
      <c r="K130" s="77"/>
      <c r="L130" s="77"/>
      <c r="M130" s="77"/>
      <c r="N130" s="227"/>
      <c r="O130" s="77"/>
      <c r="P130" s="77"/>
      <c r="Q130" s="277" t="s">
        <v>1541</v>
      </c>
      <c r="R130" s="149" t="s">
        <v>1542</v>
      </c>
      <c r="S130" s="223">
        <f>K125-S125-S126-S127-S128-S129</f>
        <v>8</v>
      </c>
      <c r="T130" s="131"/>
      <c r="U130" s="78"/>
      <c r="V130" s="78"/>
      <c r="W130" s="232"/>
      <c r="X130" s="233"/>
      <c r="Y130" s="212"/>
      <c r="Z130" s="350"/>
      <c r="AA130" s="195"/>
      <c r="AB130" s="132">
        <v>46227</v>
      </c>
      <c r="AC130" s="132"/>
    </row>
    <row r="131" spans="3:29" s="79" customFormat="1" ht="25.2" customHeight="1">
      <c r="C131" s="249" t="str">
        <f t="shared" ref="C131:C185" si="13">AA131</f>
        <v>Aug01-01</v>
      </c>
      <c r="D131" s="77">
        <f>IFERROR(VLOOKUP($AA131,PLAN!$B:$AA,3,0),"")</f>
        <v>11132727</v>
      </c>
      <c r="E131" s="77" t="str">
        <f>IFERROR(VLOOKUP($AA131,PLAN!$B:$AA,4,0),"")</f>
        <v>2211158-D-A</v>
      </c>
      <c r="F131" s="77" t="str">
        <f>IFERROR(VLOOKUP($AA131,PLAN!$B:$AA,5,0),"")</f>
        <v>HW70PB350P10000 NOCE</v>
      </c>
      <c r="G131" s="77" t="str">
        <f>IFERROR(VLOOKUP($AA131,PLAN!$B:$AA,2,0),"")</f>
        <v>1001921214</v>
      </c>
      <c r="H131" s="113">
        <f>IFERROR(VLOOKUP($AA131,PLAN!$B:$AA,7,0),"")</f>
        <v>46235</v>
      </c>
      <c r="I131" s="77" t="str">
        <f>IFERROR(VLOOKUP($AA131,PLAN!$B:$AA,8,0),"")</f>
        <v>0103562312</v>
      </c>
      <c r="J131" s="77" t="str">
        <f>IFERROR(VLOOKUP($AA131,PLAN!$B:$AA,9,0),"")</f>
        <v>260720C33A</v>
      </c>
      <c r="K131" s="77">
        <f>IFERROR(VLOOKUP($AA131,PLAN!$B:$AA,10,0),"")</f>
        <v>2</v>
      </c>
      <c r="L131" s="77" t="str">
        <f>IFERROR(VLOOKUP($AA131,PLAN!$B:$AA,15,0),"")</f>
        <v>Oversea</v>
      </c>
      <c r="M131" s="77">
        <f>IFERROR(VLOOKUP($AA131,PLAN!$B:$AA,18,0),"")</f>
        <v>0</v>
      </c>
      <c r="N131" s="227">
        <f>IFERROR(VLOOKUP($AA131,PLAN!$B:$AA,19,0),"")</f>
        <v>0</v>
      </c>
      <c r="O131" s="77" t="str">
        <f>IFERROR(VLOOKUP($AA131,PLAN!$B:$AA,12,0),"")</f>
        <v>2112187-0-C</v>
      </c>
      <c r="P131" s="77">
        <f>IFERROR(VLOOKUP($AA131,PLAN!$B:$AA,11,0),"")</f>
        <v>12116154</v>
      </c>
      <c r="Q131" s="349" t="s">
        <v>1304</v>
      </c>
      <c r="R131" s="158" t="s">
        <v>1305</v>
      </c>
      <c r="S131" s="149">
        <f t="shared" ref="S131:S185" si="14">K131</f>
        <v>2</v>
      </c>
      <c r="T131" s="131"/>
      <c r="U131" s="78">
        <f>IFERROR(VLOOKUP($AA131,PLAN!$B:$AA,21,0),"")</f>
        <v>46230</v>
      </c>
      <c r="V131" s="78" t="str">
        <f>IFERROR(VLOOKUP($AA131,PLAN!$B:$AA,22,0),"")</f>
        <v>M9</v>
      </c>
      <c r="W131" s="232"/>
      <c r="X131" s="233"/>
      <c r="Y131" s="212"/>
      <c r="Z131" s="350"/>
      <c r="AA131" s="195" t="s">
        <v>1495</v>
      </c>
      <c r="AB131" s="132">
        <f>VLOOKUP(AA131,PLAN!B:V,20,0)</f>
        <v>46230</v>
      </c>
      <c r="AC131" s="132"/>
    </row>
    <row r="132" spans="3:29" s="79" customFormat="1" ht="25.2" customHeight="1">
      <c r="C132" s="249" t="str">
        <f t="shared" si="13"/>
        <v>Aug01-02</v>
      </c>
      <c r="D132" s="77">
        <f>IFERROR(VLOOKUP($AA132,PLAN!$B:$AA,3,0),"")</f>
        <v>11134274</v>
      </c>
      <c r="E132" s="77" t="str">
        <f>IFERROR(VLOOKUP($AA132,PLAN!$B:$AA,4,0),"")</f>
        <v>1911189-E-A</v>
      </c>
      <c r="F132" s="77" t="str">
        <f>IFERROR(VLOOKUP($AA132,PLAN!$B:$AA,5,0),"")</f>
        <v>HJ70PB400P10000 JP</v>
      </c>
      <c r="G132" s="77" t="str">
        <f>IFERROR(VLOOKUP($AA132,PLAN!$B:$AA,2,0),"")</f>
        <v>1001921216</v>
      </c>
      <c r="H132" s="113">
        <f>IFERROR(VLOOKUP($AA132,PLAN!$B:$AA,7,0),"")</f>
        <v>46235</v>
      </c>
      <c r="I132" s="77" t="str">
        <f>IFERROR(VLOOKUP($AA132,PLAN!$B:$AA,8,0),"")</f>
        <v>0103562313</v>
      </c>
      <c r="J132" s="77" t="str">
        <f>IFERROR(VLOOKUP($AA132,PLAN!$B:$AA,9,0),"")</f>
        <v>260720C34A</v>
      </c>
      <c r="K132" s="77">
        <f>IFERROR(VLOOKUP($AA132,PLAN!$B:$AA,10,0),"")</f>
        <v>1</v>
      </c>
      <c r="L132" s="77" t="str">
        <f>IFERROR(VLOOKUP($AA132,PLAN!$B:$AA,15,0),"")</f>
        <v>JAPAN</v>
      </c>
      <c r="M132" s="77">
        <f>IFERROR(VLOOKUP($AA132,PLAN!$B:$AA,18,0),"")</f>
        <v>0</v>
      </c>
      <c r="N132" s="227">
        <f>IFERROR(VLOOKUP($AA132,PLAN!$B:$AA,19,0),"")</f>
        <v>0</v>
      </c>
      <c r="O132" s="77" t="str">
        <f>IFERROR(VLOOKUP($AA132,PLAN!$B:$AA,12,0),"")</f>
        <v>2112191-0-C</v>
      </c>
      <c r="P132" s="77">
        <f>IFERROR(VLOOKUP($AA132,PLAN!$B:$AA,11,0),"")</f>
        <v>12116158</v>
      </c>
      <c r="Q132" s="349" t="s">
        <v>1543</v>
      </c>
      <c r="R132" s="158" t="s">
        <v>1544</v>
      </c>
      <c r="S132" s="149">
        <f t="shared" si="14"/>
        <v>1</v>
      </c>
      <c r="T132" s="131"/>
      <c r="U132" s="78">
        <f>IFERROR(VLOOKUP($AA132,PLAN!$B:$AA,21,0),"")</f>
        <v>46230</v>
      </c>
      <c r="V132" s="78" t="str">
        <f>IFERROR(VLOOKUP($AA132,PLAN!$B:$AA,22,0),"")</f>
        <v>M9</v>
      </c>
      <c r="W132" s="232"/>
      <c r="X132" s="233"/>
      <c r="Y132" s="212"/>
      <c r="Z132" s="350"/>
      <c r="AA132" s="195" t="s">
        <v>1496</v>
      </c>
      <c r="AB132" s="132">
        <f>VLOOKUP(AA132,PLAN!B:V,20,0)</f>
        <v>46230</v>
      </c>
      <c r="AC132" s="132"/>
    </row>
    <row r="133" spans="3:29" s="79" customFormat="1" ht="25.2" customHeight="1">
      <c r="C133" s="249" t="str">
        <f t="shared" si="13"/>
        <v>Aug01-03</v>
      </c>
      <c r="D133" s="77">
        <f>IFERROR(VLOOKUP($AA133,PLAN!$B:$AA,3,0),"")</f>
        <v>11134295</v>
      </c>
      <c r="E133" s="77" t="str">
        <f>IFERROR(VLOOKUP($AA133,PLAN!$B:$AA,4,0),"")</f>
        <v>1911306-E-A</v>
      </c>
      <c r="F133" s="77" t="str">
        <f>IFERROR(VLOOKUP($AA133,PLAN!$B:$AA,5,0),"")</f>
        <v>HJ80PB302P09000 JP</v>
      </c>
      <c r="G133" s="77" t="str">
        <f>IFERROR(VLOOKUP($AA133,PLAN!$B:$AA,2,0),"")</f>
        <v>1001921217</v>
      </c>
      <c r="H133" s="113">
        <f>IFERROR(VLOOKUP($AA133,PLAN!$B:$AA,7,0),"")</f>
        <v>46235</v>
      </c>
      <c r="I133" s="77" t="str">
        <f>IFERROR(VLOOKUP($AA133,PLAN!$B:$AA,8,0),"")</f>
        <v>0103562314</v>
      </c>
      <c r="J133" s="77" t="str">
        <f>IFERROR(VLOOKUP($AA133,PLAN!$B:$AA,9,0),"")</f>
        <v>260720C35A</v>
      </c>
      <c r="K133" s="77">
        <f>IFERROR(VLOOKUP($AA133,PLAN!$B:$AA,10,0),"")</f>
        <v>1</v>
      </c>
      <c r="L133" s="77" t="str">
        <f>IFERROR(VLOOKUP($AA133,PLAN!$B:$AA,15,0),"")</f>
        <v>JAPAN</v>
      </c>
      <c r="M133" s="77">
        <f>IFERROR(VLOOKUP($AA133,PLAN!$B:$AA,18,0),"")</f>
        <v>0</v>
      </c>
      <c r="N133" s="227">
        <f>IFERROR(VLOOKUP($AA133,PLAN!$B:$AA,19,0),"")</f>
        <v>0</v>
      </c>
      <c r="O133" s="77" t="str">
        <f>IFERROR(VLOOKUP($AA133,PLAN!$B:$AA,12,0),"")</f>
        <v>2112308-0-C</v>
      </c>
      <c r="P133" s="77">
        <f>IFERROR(VLOOKUP($AA133,PLAN!$B:$AA,11,0),"")</f>
        <v>12116275</v>
      </c>
      <c r="Q133" s="349" t="s">
        <v>1545</v>
      </c>
      <c r="R133" s="158" t="s">
        <v>1546</v>
      </c>
      <c r="S133" s="149">
        <f t="shared" si="14"/>
        <v>1</v>
      </c>
      <c r="T133" s="131"/>
      <c r="U133" s="78">
        <f>IFERROR(VLOOKUP($AA133,PLAN!$B:$AA,21,0),"")</f>
        <v>46230</v>
      </c>
      <c r="V133" s="78" t="str">
        <f>IFERROR(VLOOKUP($AA133,PLAN!$B:$AA,22,0),"")</f>
        <v>M9</v>
      </c>
      <c r="W133" s="232"/>
      <c r="X133" s="233"/>
      <c r="Y133" s="212"/>
      <c r="Z133" s="350"/>
      <c r="AA133" s="195" t="s">
        <v>1497</v>
      </c>
      <c r="AB133" s="132">
        <f>VLOOKUP(AA133,PLAN!B:V,20,0)</f>
        <v>46230</v>
      </c>
      <c r="AC133" s="132"/>
    </row>
    <row r="134" spans="3:29" s="79" customFormat="1" ht="25.2" customHeight="1">
      <c r="C134" s="249" t="str">
        <f t="shared" si="13"/>
        <v>Aug01-04</v>
      </c>
      <c r="D134" s="77">
        <f>IFERROR(VLOOKUP($AA134,PLAN!$B:$AA,3,0),"")</f>
        <v>11134304</v>
      </c>
      <c r="E134" s="77" t="str">
        <f>IFERROR(VLOOKUP($AA134,PLAN!$B:$AA,4,0),"")</f>
        <v>1911343-E-A</v>
      </c>
      <c r="F134" s="77" t="str">
        <f>IFERROR(VLOOKUP($AA134,PLAN!$B:$AA,5,0),"")</f>
        <v>HJ80SP300P10000 JP</v>
      </c>
      <c r="G134" s="77" t="str">
        <f>IFERROR(VLOOKUP($AA134,PLAN!$B:$AA,2,0),"")</f>
        <v>1001921218</v>
      </c>
      <c r="H134" s="113">
        <f>IFERROR(VLOOKUP($AA134,PLAN!$B:$AA,7,0),"")</f>
        <v>46235</v>
      </c>
      <c r="I134" s="77" t="str">
        <f>IFERROR(VLOOKUP($AA134,PLAN!$B:$AA,8,0),"")</f>
        <v>0103562316</v>
      </c>
      <c r="J134" s="77" t="str">
        <f>IFERROR(VLOOKUP($AA134,PLAN!$B:$AA,9,0),"")</f>
        <v>260720C36A</v>
      </c>
      <c r="K134" s="77">
        <f>IFERROR(VLOOKUP($AA134,PLAN!$B:$AA,10,0),"")</f>
        <v>1</v>
      </c>
      <c r="L134" s="77" t="str">
        <f>IFERROR(VLOOKUP($AA134,PLAN!$B:$AA,15,0),"")</f>
        <v>JAPAN</v>
      </c>
      <c r="M134" s="77">
        <f>IFERROR(VLOOKUP($AA134,PLAN!$B:$AA,18,0),"")</f>
        <v>0</v>
      </c>
      <c r="N134" s="227">
        <f>IFERROR(VLOOKUP($AA134,PLAN!$B:$AA,19,0),"")</f>
        <v>0</v>
      </c>
      <c r="O134" s="77" t="str">
        <f>IFERROR(VLOOKUP($AA134,PLAN!$B:$AA,12,0),"")</f>
        <v>2112345-0-C</v>
      </c>
      <c r="P134" s="77">
        <f>IFERROR(VLOOKUP($AA134,PLAN!$B:$AA,11,0),"")</f>
        <v>12116312</v>
      </c>
      <c r="Q134" s="349" t="s">
        <v>1547</v>
      </c>
      <c r="R134" s="158" t="s">
        <v>1548</v>
      </c>
      <c r="S134" s="149">
        <f t="shared" si="14"/>
        <v>1</v>
      </c>
      <c r="T134" s="131"/>
      <c r="U134" s="78">
        <f>IFERROR(VLOOKUP($AA134,PLAN!$B:$AA,21,0),"")</f>
        <v>46230</v>
      </c>
      <c r="V134" s="78" t="str">
        <f>IFERROR(VLOOKUP($AA134,PLAN!$B:$AA,22,0),"")</f>
        <v>M9</v>
      </c>
      <c r="W134" s="232"/>
      <c r="X134" s="233"/>
      <c r="Y134" s="212"/>
      <c r="Z134" s="350"/>
      <c r="AA134" s="195" t="s">
        <v>1498</v>
      </c>
      <c r="AB134" s="132">
        <f>VLOOKUP(AA134,PLAN!B:V,20,0)</f>
        <v>46230</v>
      </c>
      <c r="AC134" s="132"/>
    </row>
    <row r="135" spans="3:29" s="79" customFormat="1" ht="25.2" customHeight="1">
      <c r="C135" s="249" t="str">
        <f t="shared" si="13"/>
        <v>Aug01-05</v>
      </c>
      <c r="D135" s="77">
        <f>IFERROR(VLOOKUP($AA135,PLAN!$B:$AA,3,0),"")</f>
        <v>11134294</v>
      </c>
      <c r="E135" s="77" t="str">
        <f>IFERROR(VLOOKUP($AA135,PLAN!$B:$AA,4,0),"")</f>
        <v>1911305-E-A</v>
      </c>
      <c r="F135" s="77" t="str">
        <f>IFERROR(VLOOKUP($AA135,PLAN!$B:$AA,5,0),"")</f>
        <v>HJ80PB302P10000 JP</v>
      </c>
      <c r="G135" s="77" t="str">
        <f>IFERROR(VLOOKUP($AA135,PLAN!$B:$AA,2,0),"")</f>
        <v>1001921219</v>
      </c>
      <c r="H135" s="113">
        <f>IFERROR(VLOOKUP($AA135,PLAN!$B:$AA,7,0),"")</f>
        <v>46235</v>
      </c>
      <c r="I135" s="77" t="str">
        <f>IFERROR(VLOOKUP($AA135,PLAN!$B:$AA,8,0),"")</f>
        <v>0103562317</v>
      </c>
      <c r="J135" s="77" t="str">
        <f>IFERROR(VLOOKUP($AA135,PLAN!$B:$AA,9,0),"")</f>
        <v>260720C37A</v>
      </c>
      <c r="K135" s="77">
        <f>IFERROR(VLOOKUP($AA135,PLAN!$B:$AA,10,0),"")</f>
        <v>2</v>
      </c>
      <c r="L135" s="77" t="str">
        <f>IFERROR(VLOOKUP($AA135,PLAN!$B:$AA,15,0),"")</f>
        <v>JAPAN</v>
      </c>
      <c r="M135" s="77">
        <f>IFERROR(VLOOKUP($AA135,PLAN!$B:$AA,18,0),"")</f>
        <v>0</v>
      </c>
      <c r="N135" s="227">
        <f>IFERROR(VLOOKUP($AA135,PLAN!$B:$AA,19,0),"")</f>
        <v>0</v>
      </c>
      <c r="O135" s="77" t="str">
        <f>IFERROR(VLOOKUP($AA135,PLAN!$B:$AA,12,0),"")</f>
        <v>2112307-0-C</v>
      </c>
      <c r="P135" s="77">
        <f>IFERROR(VLOOKUP($AA135,PLAN!$B:$AA,11,0),"")</f>
        <v>12116274</v>
      </c>
      <c r="Q135" s="349" t="s">
        <v>1549</v>
      </c>
      <c r="R135" s="158" t="s">
        <v>1550</v>
      </c>
      <c r="S135" s="149">
        <f t="shared" si="14"/>
        <v>2</v>
      </c>
      <c r="T135" s="131"/>
      <c r="U135" s="78">
        <f>IFERROR(VLOOKUP($AA135,PLAN!$B:$AA,21,0),"")</f>
        <v>46230</v>
      </c>
      <c r="V135" s="78" t="str">
        <f>IFERROR(VLOOKUP($AA135,PLAN!$B:$AA,22,0),"")</f>
        <v>M9</v>
      </c>
      <c r="W135" s="232"/>
      <c r="X135" s="233"/>
      <c r="Y135" s="212"/>
      <c r="Z135" s="350"/>
      <c r="AA135" s="195" t="s">
        <v>1499</v>
      </c>
      <c r="AB135" s="132">
        <f>VLOOKUP(AA135,PLAN!B:V,20,0)</f>
        <v>46230</v>
      </c>
      <c r="AC135" s="132"/>
    </row>
    <row r="136" spans="3:29" s="79" customFormat="1" ht="25.2" customHeight="1">
      <c r="C136" s="249" t="str">
        <f t="shared" si="13"/>
        <v>Aug01-06</v>
      </c>
      <c r="D136" s="77">
        <f>IFERROR(VLOOKUP($AA136,PLAN!$B:$AA,3,0),"")</f>
        <v>11134290</v>
      </c>
      <c r="E136" s="77" t="str">
        <f>IFERROR(VLOOKUP($AA136,PLAN!$B:$AA,4,0),"")</f>
        <v>1911233-E-A</v>
      </c>
      <c r="F136" s="77" t="str">
        <f>IFERROR(VLOOKUP($AA136,PLAN!$B:$AA,5,0),"")</f>
        <v>HJ70SP452P10020 JP</v>
      </c>
      <c r="G136" s="77" t="str">
        <f>IFERROR(VLOOKUP($AA136,PLAN!$B:$AA,2,0),"")</f>
        <v>1001921220</v>
      </c>
      <c r="H136" s="113">
        <f>IFERROR(VLOOKUP($AA136,PLAN!$B:$AA,7,0),"")</f>
        <v>46235</v>
      </c>
      <c r="I136" s="77" t="str">
        <f>IFERROR(VLOOKUP($AA136,PLAN!$B:$AA,8,0),"")</f>
        <v>0103562318</v>
      </c>
      <c r="J136" s="77" t="str">
        <f>IFERROR(VLOOKUP($AA136,PLAN!$B:$AA,9,0),"")</f>
        <v>260720C38A</v>
      </c>
      <c r="K136" s="77">
        <f>IFERROR(VLOOKUP($AA136,PLAN!$B:$AA,10,0),"")</f>
        <v>4</v>
      </c>
      <c r="L136" s="77" t="str">
        <f>IFERROR(VLOOKUP($AA136,PLAN!$B:$AA,15,0),"")</f>
        <v>JAPAN</v>
      </c>
      <c r="M136" s="77">
        <f>IFERROR(VLOOKUP($AA136,PLAN!$B:$AA,18,0),"")</f>
        <v>0</v>
      </c>
      <c r="N136" s="227">
        <f>IFERROR(VLOOKUP($AA136,PLAN!$B:$AA,19,0),"")</f>
        <v>0</v>
      </c>
      <c r="O136" s="77" t="str">
        <f>IFERROR(VLOOKUP($AA136,PLAN!$B:$AA,12,0),"")</f>
        <v>2112235-0-C</v>
      </c>
      <c r="P136" s="77">
        <f>IFERROR(VLOOKUP($AA136,PLAN!$B:$AA,11,0),"")</f>
        <v>12116202</v>
      </c>
      <c r="Q136" s="349" t="s">
        <v>1551</v>
      </c>
      <c r="R136" s="158" t="s">
        <v>1552</v>
      </c>
      <c r="S136" s="149">
        <f t="shared" si="14"/>
        <v>4</v>
      </c>
      <c r="T136" s="131"/>
      <c r="U136" s="78">
        <f>IFERROR(VLOOKUP($AA136,PLAN!$B:$AA,21,0),"")</f>
        <v>46230</v>
      </c>
      <c r="V136" s="78" t="str">
        <f>IFERROR(VLOOKUP($AA136,PLAN!$B:$AA,22,0),"")</f>
        <v>M9</v>
      </c>
      <c r="W136" s="232"/>
      <c r="X136" s="233"/>
      <c r="Y136" s="212"/>
      <c r="Z136" s="350"/>
      <c r="AA136" s="195" t="s">
        <v>1500</v>
      </c>
      <c r="AB136" s="132">
        <f>VLOOKUP(AA136,PLAN!B:V,20,0)</f>
        <v>46230</v>
      </c>
      <c r="AC136" s="132"/>
    </row>
    <row r="137" spans="3:29" s="79" customFormat="1" ht="25.2" customHeight="1">
      <c r="C137" s="249" t="str">
        <f t="shared" si="13"/>
        <v>Aug01-07</v>
      </c>
      <c r="D137" s="77">
        <f>IFERROR(VLOOKUP($AA137,PLAN!$B:$AA,3,0),"")</f>
        <v>11119669</v>
      </c>
      <c r="E137" s="77" t="str">
        <f>IFERROR(VLOOKUP($AA137,PLAN!$B:$AA,4,0),"")</f>
        <v>1911335-D-A</v>
      </c>
      <c r="F137" s="77" t="str">
        <f>IFERROR(VLOOKUP($AA137,PLAN!$B:$AA,5,0),"")</f>
        <v>HJ80AL200P10002 JP</v>
      </c>
      <c r="G137" s="77" t="str">
        <f>IFERROR(VLOOKUP($AA137,PLAN!$B:$AA,2,0),"")</f>
        <v>1001921221</v>
      </c>
      <c r="H137" s="113">
        <f>IFERROR(VLOOKUP($AA137,PLAN!$B:$AA,7,0),"")</f>
        <v>46235</v>
      </c>
      <c r="I137" s="77" t="str">
        <f>IFERROR(VLOOKUP($AA137,PLAN!$B:$AA,8,0),"")</f>
        <v>0103562319</v>
      </c>
      <c r="J137" s="77" t="str">
        <f>IFERROR(VLOOKUP($AA137,PLAN!$B:$AA,9,0),"")</f>
        <v>260720C39A</v>
      </c>
      <c r="K137" s="77">
        <f>IFERROR(VLOOKUP($AA137,PLAN!$B:$AA,10,0),"")</f>
        <v>1</v>
      </c>
      <c r="L137" s="77" t="str">
        <f>IFERROR(VLOOKUP($AA137,PLAN!$B:$AA,15,0),"")</f>
        <v>JAPAN</v>
      </c>
      <c r="M137" s="77">
        <f>IFERROR(VLOOKUP($AA137,PLAN!$B:$AA,18,0),"")</f>
        <v>0</v>
      </c>
      <c r="N137" s="227">
        <f>IFERROR(VLOOKUP($AA137,PLAN!$B:$AA,19,0),"")</f>
        <v>0</v>
      </c>
      <c r="O137" s="77" t="str">
        <f>IFERROR(VLOOKUP($AA137,PLAN!$B:$AA,12,0),"")</f>
        <v>2112337-0-C</v>
      </c>
      <c r="P137" s="77">
        <f>IFERROR(VLOOKUP($AA137,PLAN!$B:$AA,11,0),"")</f>
        <v>12116304</v>
      </c>
      <c r="Q137" s="349" t="s">
        <v>1553</v>
      </c>
      <c r="R137" s="158" t="s">
        <v>1554</v>
      </c>
      <c r="S137" s="149">
        <f t="shared" si="14"/>
        <v>1</v>
      </c>
      <c r="T137" s="131"/>
      <c r="U137" s="78">
        <f>IFERROR(VLOOKUP($AA137,PLAN!$B:$AA,21,0),"")</f>
        <v>46230</v>
      </c>
      <c r="V137" s="78" t="str">
        <f>IFERROR(VLOOKUP($AA137,PLAN!$B:$AA,22,0),"")</f>
        <v>M9</v>
      </c>
      <c r="W137" s="232"/>
      <c r="X137" s="233"/>
      <c r="Y137" s="212"/>
      <c r="Z137" s="350"/>
      <c r="AA137" s="195" t="s">
        <v>1501</v>
      </c>
      <c r="AB137" s="132">
        <f>VLOOKUP(AA137,PLAN!B:V,20,0)</f>
        <v>46230</v>
      </c>
      <c r="AC137" s="132"/>
    </row>
    <row r="138" spans="3:29" s="79" customFormat="1" ht="25.2" customHeight="1">
      <c r="C138" s="249" t="str">
        <f t="shared" si="13"/>
        <v>Aug01-08</v>
      </c>
      <c r="D138" s="77">
        <f>IFERROR(VLOOKUP($AA138,PLAN!$B:$AA,3,0),"")</f>
        <v>11119610</v>
      </c>
      <c r="E138" s="77" t="str">
        <f>IFERROR(VLOOKUP($AA138,PLAN!$B:$AA,4,0),"")</f>
        <v>1911276-D-A</v>
      </c>
      <c r="F138" s="77" t="str">
        <f>IFERROR(VLOOKUP($AA138,PLAN!$B:$AA,5,0),"")</f>
        <v>HJ80JL400P10000 JP</v>
      </c>
      <c r="G138" s="77" t="str">
        <f>IFERROR(VLOOKUP($AA138,PLAN!$B:$AA,2,0),"")</f>
        <v>1001921222</v>
      </c>
      <c r="H138" s="113">
        <f>IFERROR(VLOOKUP($AA138,PLAN!$B:$AA,7,0),"")</f>
        <v>46235</v>
      </c>
      <c r="I138" s="77" t="str">
        <f>IFERROR(VLOOKUP($AA138,PLAN!$B:$AA,8,0),"")</f>
        <v>0103562320</v>
      </c>
      <c r="J138" s="77" t="str">
        <f>IFERROR(VLOOKUP($AA138,PLAN!$B:$AA,9,0),"")</f>
        <v>260720C40A</v>
      </c>
      <c r="K138" s="77">
        <f>IFERROR(VLOOKUP($AA138,PLAN!$B:$AA,10,0),"")</f>
        <v>1</v>
      </c>
      <c r="L138" s="77" t="str">
        <f>IFERROR(VLOOKUP($AA138,PLAN!$B:$AA,15,0),"")</f>
        <v>JAPAN</v>
      </c>
      <c r="M138" s="77">
        <f>IFERROR(VLOOKUP($AA138,PLAN!$B:$AA,18,0),"")</f>
        <v>0</v>
      </c>
      <c r="N138" s="227">
        <f>IFERROR(VLOOKUP($AA138,PLAN!$B:$AA,19,0),"")</f>
        <v>0</v>
      </c>
      <c r="O138" s="77" t="str">
        <f>IFERROR(VLOOKUP($AA138,PLAN!$B:$AA,12,0),"")</f>
        <v>2112278-0-C</v>
      </c>
      <c r="P138" s="77">
        <f>IFERROR(VLOOKUP($AA138,PLAN!$B:$AA,11,0),"")</f>
        <v>12116245</v>
      </c>
      <c r="Q138" s="349" t="s">
        <v>1555</v>
      </c>
      <c r="R138" s="158" t="s">
        <v>1556</v>
      </c>
      <c r="S138" s="149">
        <f t="shared" si="14"/>
        <v>1</v>
      </c>
      <c r="T138" s="131"/>
      <c r="U138" s="78">
        <f>IFERROR(VLOOKUP($AA138,PLAN!$B:$AA,21,0),"")</f>
        <v>46230</v>
      </c>
      <c r="V138" s="78" t="str">
        <f>IFERROR(VLOOKUP($AA138,PLAN!$B:$AA,22,0),"")</f>
        <v>M9</v>
      </c>
      <c r="W138" s="232"/>
      <c r="X138" s="233"/>
      <c r="Y138" s="212"/>
      <c r="Z138" s="350"/>
      <c r="AA138" s="195" t="s">
        <v>1502</v>
      </c>
      <c r="AB138" s="132">
        <f>VLOOKUP(AA138,PLAN!B:V,20,0)</f>
        <v>46230</v>
      </c>
      <c r="AC138" s="132"/>
    </row>
    <row r="139" spans="3:29" s="79" customFormat="1" ht="25.2" customHeight="1">
      <c r="C139" s="249" t="str">
        <f t="shared" si="13"/>
        <v>Aug01-09</v>
      </c>
      <c r="D139" s="77">
        <f>IFERROR(VLOOKUP($AA139,PLAN!$B:$AA,3,0),"")</f>
        <v>11119461</v>
      </c>
      <c r="E139" s="77" t="str">
        <f>IFERROR(VLOOKUP($AA139,PLAN!$B:$AA,4,0),"")</f>
        <v>1911127-D-A</v>
      </c>
      <c r="F139" s="77" t="str">
        <f>IFERROR(VLOOKUP($AA139,PLAN!$B:$AA,5,0),"")</f>
        <v>HJ70CP250P10020 JP</v>
      </c>
      <c r="G139" s="77" t="str">
        <f>IFERROR(VLOOKUP($AA139,PLAN!$B:$AA,2,0),"")</f>
        <v>1001921223</v>
      </c>
      <c r="H139" s="113">
        <f>IFERROR(VLOOKUP($AA139,PLAN!$B:$AA,7,0),"")</f>
        <v>46235</v>
      </c>
      <c r="I139" s="77" t="str">
        <f>IFERROR(VLOOKUP($AA139,PLAN!$B:$AA,8,0),"")</f>
        <v>0103562322</v>
      </c>
      <c r="J139" s="77" t="str">
        <f>IFERROR(VLOOKUP($AA139,PLAN!$B:$AA,9,0),"")</f>
        <v>260720C41A</v>
      </c>
      <c r="K139" s="77">
        <f>IFERROR(VLOOKUP($AA139,PLAN!$B:$AA,10,0),"")</f>
        <v>2</v>
      </c>
      <c r="L139" s="77" t="str">
        <f>IFERROR(VLOOKUP($AA139,PLAN!$B:$AA,15,0),"")</f>
        <v>JAPAN</v>
      </c>
      <c r="M139" s="77">
        <f>IFERROR(VLOOKUP($AA139,PLAN!$B:$AA,18,0),"")</f>
        <v>0</v>
      </c>
      <c r="N139" s="227">
        <f>IFERROR(VLOOKUP($AA139,PLAN!$B:$AA,19,0),"")</f>
        <v>0</v>
      </c>
      <c r="O139" s="77" t="str">
        <f>IFERROR(VLOOKUP($AA139,PLAN!$B:$AA,12,0),"")</f>
        <v>2112129-0-C</v>
      </c>
      <c r="P139" s="77">
        <f>IFERROR(VLOOKUP($AA139,PLAN!$B:$AA,11,0),"")</f>
        <v>12116096</v>
      </c>
      <c r="Q139" s="349" t="s">
        <v>1557</v>
      </c>
      <c r="R139" s="158" t="s">
        <v>1558</v>
      </c>
      <c r="S139" s="149">
        <f t="shared" si="14"/>
        <v>2</v>
      </c>
      <c r="T139" s="131"/>
      <c r="U139" s="78">
        <f>IFERROR(VLOOKUP($AA139,PLAN!$B:$AA,21,0),"")</f>
        <v>46230</v>
      </c>
      <c r="V139" s="78" t="str">
        <f>IFERROR(VLOOKUP($AA139,PLAN!$B:$AA,22,0),"")</f>
        <v>M9</v>
      </c>
      <c r="W139" s="232"/>
      <c r="X139" s="233"/>
      <c r="Y139" s="212"/>
      <c r="Z139" s="350"/>
      <c r="AA139" s="195" t="s">
        <v>1503</v>
      </c>
      <c r="AB139" s="132">
        <f>VLOOKUP(AA139,PLAN!B:V,20,0)</f>
        <v>46230</v>
      </c>
      <c r="AC139" s="132"/>
    </row>
    <row r="140" spans="3:29" s="79" customFormat="1" ht="25.2" customHeight="1">
      <c r="C140" s="249" t="str">
        <f t="shared" si="13"/>
        <v>Aug01-10</v>
      </c>
      <c r="D140" s="77">
        <f>IFERROR(VLOOKUP($AA140,PLAN!$B:$AA,3,0),"")</f>
        <v>11119588</v>
      </c>
      <c r="E140" s="77" t="str">
        <f>IFERROR(VLOOKUP($AA140,PLAN!$B:$AA,4,0),"")</f>
        <v>1911254-D-A</v>
      </c>
      <c r="F140" s="77" t="str">
        <f>IFERROR(VLOOKUP($AA140,PLAN!$B:$AA,5,0),"")</f>
        <v>HJ80CP152P10000 JP</v>
      </c>
      <c r="G140" s="77" t="str">
        <f>IFERROR(VLOOKUP($AA140,PLAN!$B:$AA,2,0),"")</f>
        <v>1001921224</v>
      </c>
      <c r="H140" s="113">
        <f>IFERROR(VLOOKUP($AA140,PLAN!$B:$AA,7,0),"")</f>
        <v>46235</v>
      </c>
      <c r="I140" s="77" t="str">
        <f>IFERROR(VLOOKUP($AA140,PLAN!$B:$AA,8,0),"")</f>
        <v>0103562324</v>
      </c>
      <c r="J140" s="77" t="str">
        <f>IFERROR(VLOOKUP($AA140,PLAN!$B:$AA,9,0),"")</f>
        <v>260720C42A</v>
      </c>
      <c r="K140" s="77">
        <f>IFERROR(VLOOKUP($AA140,PLAN!$B:$AA,10,0),"")</f>
        <v>2</v>
      </c>
      <c r="L140" s="77" t="str">
        <f>IFERROR(VLOOKUP($AA140,PLAN!$B:$AA,15,0),"")</f>
        <v>JAPAN</v>
      </c>
      <c r="M140" s="77">
        <f>IFERROR(VLOOKUP($AA140,PLAN!$B:$AA,18,0),"")</f>
        <v>0</v>
      </c>
      <c r="N140" s="227">
        <f>IFERROR(VLOOKUP($AA140,PLAN!$B:$AA,19,0),"")</f>
        <v>0</v>
      </c>
      <c r="O140" s="77" t="str">
        <f>IFERROR(VLOOKUP($AA140,PLAN!$B:$AA,12,0),"")</f>
        <v>2112256-0-C</v>
      </c>
      <c r="P140" s="77">
        <f>IFERROR(VLOOKUP($AA140,PLAN!$B:$AA,11,0),"")</f>
        <v>12116223</v>
      </c>
      <c r="Q140" s="349" t="s">
        <v>1559</v>
      </c>
      <c r="R140" s="158" t="s">
        <v>1560</v>
      </c>
      <c r="S140" s="149">
        <f t="shared" si="14"/>
        <v>2</v>
      </c>
      <c r="T140" s="131"/>
      <c r="U140" s="78">
        <f>IFERROR(VLOOKUP($AA140,PLAN!$B:$AA,21,0),"")</f>
        <v>46230</v>
      </c>
      <c r="V140" s="78" t="str">
        <f>IFERROR(VLOOKUP($AA140,PLAN!$B:$AA,22,0),"")</f>
        <v>M9</v>
      </c>
      <c r="W140" s="232"/>
      <c r="X140" s="233"/>
      <c r="Y140" s="212"/>
      <c r="Z140" s="350"/>
      <c r="AA140" s="195" t="s">
        <v>1504</v>
      </c>
      <c r="AB140" s="132">
        <f>VLOOKUP(AA140,PLAN!B:V,20,0)</f>
        <v>46230</v>
      </c>
      <c r="AC140" s="132"/>
    </row>
    <row r="141" spans="3:29" s="79" customFormat="1" ht="25.2" customHeight="1">
      <c r="C141" s="249" t="str">
        <f t="shared" si="13"/>
        <v>Aug01-11</v>
      </c>
      <c r="D141" s="77">
        <f>IFERROR(VLOOKUP($AA141,PLAN!$B:$AA,3,0),"")</f>
        <v>11119618</v>
      </c>
      <c r="E141" s="77" t="str">
        <f>IFERROR(VLOOKUP($AA141,PLAN!$B:$AA,4,0),"")</f>
        <v>1911284-D-A</v>
      </c>
      <c r="F141" s="77" t="str">
        <f>IFERROR(VLOOKUP($AA141,PLAN!$B:$AA,5,0),"")</f>
        <v>HJ80JL452P10000 JP</v>
      </c>
      <c r="G141" s="77" t="str">
        <f>IFERROR(VLOOKUP($AA141,PLAN!$B:$AA,2,0),"")</f>
        <v>1001921225</v>
      </c>
      <c r="H141" s="113">
        <f>IFERROR(VLOOKUP($AA141,PLAN!$B:$AA,7,0),"")</f>
        <v>46235</v>
      </c>
      <c r="I141" s="77" t="str">
        <f>IFERROR(VLOOKUP($AA141,PLAN!$B:$AA,8,0),"")</f>
        <v>0103562325</v>
      </c>
      <c r="J141" s="77" t="str">
        <f>IFERROR(VLOOKUP($AA141,PLAN!$B:$AA,9,0),"")</f>
        <v>260720C43A</v>
      </c>
      <c r="K141" s="77">
        <f>IFERROR(VLOOKUP($AA141,PLAN!$B:$AA,10,0),"")</f>
        <v>2</v>
      </c>
      <c r="L141" s="77" t="str">
        <f>IFERROR(VLOOKUP($AA141,PLAN!$B:$AA,15,0),"")</f>
        <v>JAPAN</v>
      </c>
      <c r="M141" s="77">
        <f>IFERROR(VLOOKUP($AA141,PLAN!$B:$AA,18,0),"")</f>
        <v>0</v>
      </c>
      <c r="N141" s="227">
        <f>IFERROR(VLOOKUP($AA141,PLAN!$B:$AA,19,0),"")</f>
        <v>0</v>
      </c>
      <c r="O141" s="77" t="str">
        <f>IFERROR(VLOOKUP($AA141,PLAN!$B:$AA,12,0),"")</f>
        <v>2112286-0-C</v>
      </c>
      <c r="P141" s="77">
        <f>IFERROR(VLOOKUP($AA141,PLAN!$B:$AA,11,0),"")</f>
        <v>12116253</v>
      </c>
      <c r="Q141" s="349" t="s">
        <v>1561</v>
      </c>
      <c r="R141" s="158" t="s">
        <v>1562</v>
      </c>
      <c r="S141" s="149">
        <f t="shared" si="14"/>
        <v>2</v>
      </c>
      <c r="T141" s="131"/>
      <c r="U141" s="78">
        <f>IFERROR(VLOOKUP($AA141,PLAN!$B:$AA,21,0),"")</f>
        <v>46230</v>
      </c>
      <c r="V141" s="78" t="str">
        <f>IFERROR(VLOOKUP($AA141,PLAN!$B:$AA,22,0),"")</f>
        <v>M9</v>
      </c>
      <c r="W141" s="232"/>
      <c r="X141" s="233"/>
      <c r="Y141" s="212"/>
      <c r="Z141" s="350"/>
      <c r="AA141" s="195" t="s">
        <v>1505</v>
      </c>
      <c r="AB141" s="132">
        <f>VLOOKUP(AA141,PLAN!B:V,20,0)</f>
        <v>46230</v>
      </c>
      <c r="AC141" s="132"/>
    </row>
    <row r="142" spans="3:29" s="79" customFormat="1" ht="25.2" customHeight="1">
      <c r="C142" s="249" t="str">
        <f t="shared" si="13"/>
        <v>Aug01-12</v>
      </c>
      <c r="D142" s="77">
        <f>IFERROR(VLOOKUP($AA142,PLAN!$B:$AA,3,0),"")</f>
        <v>11119625</v>
      </c>
      <c r="E142" s="77" t="str">
        <f>IFERROR(VLOOKUP($AA142,PLAN!$B:$AA,4,0),"")</f>
        <v>1911291-D-A</v>
      </c>
      <c r="F142" s="77" t="str">
        <f>IFERROR(VLOOKUP($AA142,PLAN!$B:$AA,5,0),"")</f>
        <v>HJ80JR350P10000 JP</v>
      </c>
      <c r="G142" s="77" t="str">
        <f>IFERROR(VLOOKUP($AA142,PLAN!$B:$AA,2,0),"")</f>
        <v>1001921226</v>
      </c>
      <c r="H142" s="113">
        <f>IFERROR(VLOOKUP($AA142,PLAN!$B:$AA,7,0),"")</f>
        <v>46235</v>
      </c>
      <c r="I142" s="77" t="str">
        <f>IFERROR(VLOOKUP($AA142,PLAN!$B:$AA,8,0),"")</f>
        <v>0103562326</v>
      </c>
      <c r="J142" s="77" t="str">
        <f>IFERROR(VLOOKUP($AA142,PLAN!$B:$AA,9,0),"")</f>
        <v>260720C44A</v>
      </c>
      <c r="K142" s="77">
        <f>IFERROR(VLOOKUP($AA142,PLAN!$B:$AA,10,0),"")</f>
        <v>2</v>
      </c>
      <c r="L142" s="77" t="str">
        <f>IFERROR(VLOOKUP($AA142,PLAN!$B:$AA,15,0),"")</f>
        <v>JAPAN</v>
      </c>
      <c r="M142" s="77">
        <f>IFERROR(VLOOKUP($AA142,PLAN!$B:$AA,18,0),"")</f>
        <v>0</v>
      </c>
      <c r="N142" s="227">
        <f>IFERROR(VLOOKUP($AA142,PLAN!$B:$AA,19,0),"")</f>
        <v>0</v>
      </c>
      <c r="O142" s="77" t="str">
        <f>IFERROR(VLOOKUP($AA142,PLAN!$B:$AA,12,0),"")</f>
        <v>2112293-0-C</v>
      </c>
      <c r="P142" s="77">
        <f>IFERROR(VLOOKUP($AA142,PLAN!$B:$AA,11,0),"")</f>
        <v>12116260</v>
      </c>
      <c r="Q142" s="349" t="s">
        <v>1563</v>
      </c>
      <c r="R142" s="158" t="s">
        <v>1564</v>
      </c>
      <c r="S142" s="149">
        <f t="shared" si="14"/>
        <v>2</v>
      </c>
      <c r="T142" s="131"/>
      <c r="U142" s="78">
        <f>IFERROR(VLOOKUP($AA142,PLAN!$B:$AA,21,0),"")</f>
        <v>46230</v>
      </c>
      <c r="V142" s="78" t="str">
        <f>IFERROR(VLOOKUP($AA142,PLAN!$B:$AA,22,0),"")</f>
        <v>M9</v>
      </c>
      <c r="W142" s="232"/>
      <c r="X142" s="233"/>
      <c r="Y142" s="212"/>
      <c r="Z142" s="350"/>
      <c r="AA142" s="195" t="s">
        <v>1506</v>
      </c>
      <c r="AB142" s="132">
        <f>VLOOKUP(AA142,PLAN!B:V,20,0)</f>
        <v>46230</v>
      </c>
      <c r="AC142" s="132"/>
    </row>
    <row r="143" spans="3:29" s="79" customFormat="1" ht="25.2" customHeight="1">
      <c r="C143" s="249" t="str">
        <f t="shared" si="13"/>
        <v>Aug01-13</v>
      </c>
      <c r="D143" s="77">
        <f>IFERROR(VLOOKUP($AA143,PLAN!$B:$AA,3,0),"")</f>
        <v>11119628</v>
      </c>
      <c r="E143" s="77" t="str">
        <f>IFERROR(VLOOKUP($AA143,PLAN!$B:$AA,4,0),"")</f>
        <v>1911294-D-A</v>
      </c>
      <c r="F143" s="77" t="str">
        <f>IFERROR(VLOOKUP($AA143,PLAN!$B:$AA,5,0),"")</f>
        <v>HJ80JR352P09000 JP</v>
      </c>
      <c r="G143" s="77" t="str">
        <f>IFERROR(VLOOKUP($AA143,PLAN!$B:$AA,2,0),"")</f>
        <v>1001921228</v>
      </c>
      <c r="H143" s="113">
        <f>IFERROR(VLOOKUP($AA143,PLAN!$B:$AA,7,0),"")</f>
        <v>46235</v>
      </c>
      <c r="I143" s="77" t="str">
        <f>IFERROR(VLOOKUP($AA143,PLAN!$B:$AA,8,0),"")</f>
        <v>0103562328</v>
      </c>
      <c r="J143" s="77" t="str">
        <f>IFERROR(VLOOKUP($AA143,PLAN!$B:$AA,9,0),"")</f>
        <v>260720C45A</v>
      </c>
      <c r="K143" s="77">
        <f>IFERROR(VLOOKUP($AA143,PLAN!$B:$AA,10,0),"")</f>
        <v>2</v>
      </c>
      <c r="L143" s="77" t="str">
        <f>IFERROR(VLOOKUP($AA143,PLAN!$B:$AA,15,0),"")</f>
        <v>JAPAN</v>
      </c>
      <c r="M143" s="77">
        <f>IFERROR(VLOOKUP($AA143,PLAN!$B:$AA,18,0),"")</f>
        <v>0</v>
      </c>
      <c r="N143" s="227">
        <f>IFERROR(VLOOKUP($AA143,PLAN!$B:$AA,19,0),"")</f>
        <v>0</v>
      </c>
      <c r="O143" s="77" t="str">
        <f>IFERROR(VLOOKUP($AA143,PLAN!$B:$AA,12,0),"")</f>
        <v>2112296-0-C</v>
      </c>
      <c r="P143" s="77">
        <f>IFERROR(VLOOKUP($AA143,PLAN!$B:$AA,11,0),"")</f>
        <v>12116263</v>
      </c>
      <c r="Q143" s="349" t="s">
        <v>1565</v>
      </c>
      <c r="R143" s="158" t="s">
        <v>1566</v>
      </c>
      <c r="S143" s="149">
        <f t="shared" si="14"/>
        <v>2</v>
      </c>
      <c r="T143" s="131"/>
      <c r="U143" s="78">
        <f>IFERROR(VLOOKUP($AA143,PLAN!$B:$AA,21,0),"")</f>
        <v>46230</v>
      </c>
      <c r="V143" s="78" t="str">
        <f>IFERROR(VLOOKUP($AA143,PLAN!$B:$AA,22,0),"")</f>
        <v>M9</v>
      </c>
      <c r="W143" s="232"/>
      <c r="X143" s="233"/>
      <c r="Y143" s="212"/>
      <c r="Z143" s="350"/>
      <c r="AA143" s="195" t="s">
        <v>1507</v>
      </c>
      <c r="AB143" s="132">
        <f>VLOOKUP(AA143,PLAN!B:V,20,0)</f>
        <v>46230</v>
      </c>
      <c r="AC143" s="132"/>
    </row>
    <row r="144" spans="3:29" s="79" customFormat="1" ht="25.2" customHeight="1">
      <c r="C144" s="249" t="str">
        <f t="shared" si="13"/>
        <v>Aug01-14</v>
      </c>
      <c r="D144" s="77">
        <f>IFERROR(VLOOKUP($AA144,PLAN!$B:$AA,3,0),"")</f>
        <v>11118595</v>
      </c>
      <c r="E144" s="77" t="str">
        <f>IFERROR(VLOOKUP($AA144,PLAN!$B:$AA,4,0),"")</f>
        <v>1911339-D-A</v>
      </c>
      <c r="F144" s="77" t="str">
        <f>IFERROR(VLOOKUP($AA144,PLAN!$B:$AA,5,0),"")</f>
        <v>HJ80SC350P10000 JP</v>
      </c>
      <c r="G144" s="77" t="str">
        <f>IFERROR(VLOOKUP($AA144,PLAN!$B:$AA,2,0),"")</f>
        <v>1001921229</v>
      </c>
      <c r="H144" s="113">
        <f>IFERROR(VLOOKUP($AA144,PLAN!$B:$AA,7,0),"")</f>
        <v>46235</v>
      </c>
      <c r="I144" s="77" t="str">
        <f>IFERROR(VLOOKUP($AA144,PLAN!$B:$AA,8,0),"")</f>
        <v>0103562329</v>
      </c>
      <c r="J144" s="77" t="str">
        <f>IFERROR(VLOOKUP($AA144,PLAN!$B:$AA,9,0),"")</f>
        <v>260720C46A</v>
      </c>
      <c r="K144" s="77">
        <f>IFERROR(VLOOKUP($AA144,PLAN!$B:$AA,10,0),"")</f>
        <v>2</v>
      </c>
      <c r="L144" s="77" t="str">
        <f>IFERROR(VLOOKUP($AA144,PLAN!$B:$AA,15,0),"")</f>
        <v>JAPAN</v>
      </c>
      <c r="M144" s="77">
        <f>IFERROR(VLOOKUP($AA144,PLAN!$B:$AA,18,0),"")</f>
        <v>0</v>
      </c>
      <c r="N144" s="227">
        <f>IFERROR(VLOOKUP($AA144,PLAN!$B:$AA,19,0),"")</f>
        <v>0</v>
      </c>
      <c r="O144" s="77" t="str">
        <f>IFERROR(VLOOKUP($AA144,PLAN!$B:$AA,12,0),"")</f>
        <v>2112341-0-C</v>
      </c>
      <c r="P144" s="77">
        <f>IFERROR(VLOOKUP($AA144,PLAN!$B:$AA,11,0),"")</f>
        <v>12116308</v>
      </c>
      <c r="Q144" s="349" t="s">
        <v>1567</v>
      </c>
      <c r="R144" s="158" t="s">
        <v>1568</v>
      </c>
      <c r="S144" s="149">
        <f t="shared" si="14"/>
        <v>2</v>
      </c>
      <c r="T144" s="131"/>
      <c r="U144" s="78">
        <f>IFERROR(VLOOKUP($AA144,PLAN!$B:$AA,21,0),"")</f>
        <v>46230</v>
      </c>
      <c r="V144" s="78" t="str">
        <f>IFERROR(VLOOKUP($AA144,PLAN!$B:$AA,22,0),"")</f>
        <v>M9</v>
      </c>
      <c r="W144" s="232"/>
      <c r="X144" s="233"/>
      <c r="Y144" s="212"/>
      <c r="Z144" s="350"/>
      <c r="AA144" s="195" t="s">
        <v>1508</v>
      </c>
      <c r="AB144" s="132">
        <f>VLOOKUP(AA144,PLAN!B:V,20,0)</f>
        <v>46230</v>
      </c>
      <c r="AC144" s="132"/>
    </row>
    <row r="145" spans="3:29" s="79" customFormat="1" ht="25.2" customHeight="1">
      <c r="C145" s="249" t="str">
        <f t="shared" si="13"/>
        <v>Aug01-15</v>
      </c>
      <c r="D145" s="77">
        <f>IFERROR(VLOOKUP($AA145,PLAN!$B:$AA,3,0),"")</f>
        <v>11119512</v>
      </c>
      <c r="E145" s="77" t="str">
        <f>IFERROR(VLOOKUP($AA145,PLAN!$B:$AA,4,0),"")</f>
        <v>1911178-D-A</v>
      </c>
      <c r="F145" s="77" t="str">
        <f>IFERROR(VLOOKUP($AA145,PLAN!$B:$AA,5,0),"")</f>
        <v>HJ70JR452P10020 JP</v>
      </c>
      <c r="G145" s="77" t="str">
        <f>IFERROR(VLOOKUP($AA145,PLAN!$B:$AA,2,0),"")</f>
        <v>1001921230</v>
      </c>
      <c r="H145" s="113">
        <f>IFERROR(VLOOKUP($AA145,PLAN!$B:$AA,7,0),"")</f>
        <v>46235</v>
      </c>
      <c r="I145" s="77" t="str">
        <f>IFERROR(VLOOKUP($AA145,PLAN!$B:$AA,8,0),"")</f>
        <v>0103562330</v>
      </c>
      <c r="J145" s="77" t="str">
        <f>IFERROR(VLOOKUP($AA145,PLAN!$B:$AA,9,0),"")</f>
        <v>260720C47A</v>
      </c>
      <c r="K145" s="77">
        <f>IFERROR(VLOOKUP($AA145,PLAN!$B:$AA,10,0),"")</f>
        <v>3</v>
      </c>
      <c r="L145" s="77" t="str">
        <f>IFERROR(VLOOKUP($AA145,PLAN!$B:$AA,15,0),"")</f>
        <v>JAPAN</v>
      </c>
      <c r="M145" s="77">
        <f>IFERROR(VLOOKUP($AA145,PLAN!$B:$AA,18,0),"")</f>
        <v>0</v>
      </c>
      <c r="N145" s="227">
        <f>IFERROR(VLOOKUP($AA145,PLAN!$B:$AA,19,0),"")</f>
        <v>0</v>
      </c>
      <c r="O145" s="77" t="str">
        <f>IFERROR(VLOOKUP($AA145,PLAN!$B:$AA,12,0),"")</f>
        <v>2112180-0-C</v>
      </c>
      <c r="P145" s="77">
        <f>IFERROR(VLOOKUP($AA145,PLAN!$B:$AA,11,0),"")</f>
        <v>12116147</v>
      </c>
      <c r="Q145" s="349" t="s">
        <v>1569</v>
      </c>
      <c r="R145" s="158" t="s">
        <v>1570</v>
      </c>
      <c r="S145" s="149">
        <f t="shared" si="14"/>
        <v>3</v>
      </c>
      <c r="T145" s="131"/>
      <c r="U145" s="78">
        <f>IFERROR(VLOOKUP($AA145,PLAN!$B:$AA,21,0),"")</f>
        <v>46230</v>
      </c>
      <c r="V145" s="78" t="str">
        <f>IFERROR(VLOOKUP($AA145,PLAN!$B:$AA,22,0),"")</f>
        <v>M9</v>
      </c>
      <c r="W145" s="232"/>
      <c r="X145" s="233"/>
      <c r="Y145" s="212"/>
      <c r="Z145" s="350"/>
      <c r="AA145" s="195" t="s">
        <v>1509</v>
      </c>
      <c r="AB145" s="132">
        <f>VLOOKUP(AA145,PLAN!B:V,20,0)</f>
        <v>46230</v>
      </c>
      <c r="AC145" s="132"/>
    </row>
    <row r="146" spans="3:29" s="79" customFormat="1" ht="25.2" customHeight="1">
      <c r="C146" s="249" t="str">
        <f t="shared" si="13"/>
        <v>Aug01-16</v>
      </c>
      <c r="D146" s="77">
        <f>IFERROR(VLOOKUP($AA146,PLAN!$B:$AA,3,0),"")</f>
        <v>11119528</v>
      </c>
      <c r="E146" s="77" t="str">
        <f>IFERROR(VLOOKUP($AA146,PLAN!$B:$AA,4,0),"")</f>
        <v>1911194-D-A</v>
      </c>
      <c r="F146" s="77" t="str">
        <f>IFERROR(VLOOKUP($AA146,PLAN!$B:$AA,5,0),"")</f>
        <v>HJ70RB072P10020 JP</v>
      </c>
      <c r="G146" s="77" t="str">
        <f>IFERROR(VLOOKUP($AA146,PLAN!$B:$AA,2,0),"")</f>
        <v>1001921231</v>
      </c>
      <c r="H146" s="113">
        <f>IFERROR(VLOOKUP($AA146,PLAN!$B:$AA,7,0),"")</f>
        <v>46235</v>
      </c>
      <c r="I146" s="77" t="str">
        <f>IFERROR(VLOOKUP($AA146,PLAN!$B:$AA,8,0),"")</f>
        <v>0103562331</v>
      </c>
      <c r="J146" s="77" t="str">
        <f>IFERROR(VLOOKUP($AA146,PLAN!$B:$AA,9,0),"")</f>
        <v>260720C48A</v>
      </c>
      <c r="K146" s="77">
        <f>IFERROR(VLOOKUP($AA146,PLAN!$B:$AA,10,0),"")</f>
        <v>3</v>
      </c>
      <c r="L146" s="77" t="str">
        <f>IFERROR(VLOOKUP($AA146,PLAN!$B:$AA,15,0),"")</f>
        <v>JAPAN</v>
      </c>
      <c r="M146" s="77">
        <f>IFERROR(VLOOKUP($AA146,PLAN!$B:$AA,18,0),"")</f>
        <v>0</v>
      </c>
      <c r="N146" s="227">
        <f>IFERROR(VLOOKUP($AA146,PLAN!$B:$AA,19,0),"")</f>
        <v>0</v>
      </c>
      <c r="O146" s="77" t="str">
        <f>IFERROR(VLOOKUP($AA146,PLAN!$B:$AA,12,0),"")</f>
        <v>2112196-0-C</v>
      </c>
      <c r="P146" s="77">
        <f>IFERROR(VLOOKUP($AA146,PLAN!$B:$AA,11,0),"")</f>
        <v>12116163</v>
      </c>
      <c r="Q146" s="349" t="s">
        <v>1571</v>
      </c>
      <c r="R146" s="158" t="s">
        <v>1572</v>
      </c>
      <c r="S146" s="149">
        <f t="shared" si="14"/>
        <v>3</v>
      </c>
      <c r="T146" s="131"/>
      <c r="U146" s="78">
        <f>IFERROR(VLOOKUP($AA146,PLAN!$B:$AA,21,0),"")</f>
        <v>46230</v>
      </c>
      <c r="V146" s="78" t="str">
        <f>IFERROR(VLOOKUP($AA146,PLAN!$B:$AA,22,0),"")</f>
        <v>M9</v>
      </c>
      <c r="W146" s="232"/>
      <c r="X146" s="233"/>
      <c r="Y146" s="212"/>
      <c r="Z146" s="350"/>
      <c r="AA146" s="195" t="s">
        <v>1510</v>
      </c>
      <c r="AB146" s="132">
        <f>VLOOKUP(AA146,PLAN!B:V,20,0)</f>
        <v>46230</v>
      </c>
      <c r="AC146" s="132"/>
    </row>
    <row r="147" spans="3:29" s="79" customFormat="1" ht="25.2" customHeight="1">
      <c r="C147" s="249" t="str">
        <f t="shared" si="13"/>
        <v>Aug01-17</v>
      </c>
      <c r="D147" s="77">
        <f>IFERROR(VLOOKUP($AA147,PLAN!$B:$AA,3,0),"")</f>
        <v>11119530</v>
      </c>
      <c r="E147" s="77" t="str">
        <f>IFERROR(VLOOKUP($AA147,PLAN!$B:$AA,4,0),"")</f>
        <v>1911196-D-A</v>
      </c>
      <c r="F147" s="77" t="str">
        <f>IFERROR(VLOOKUP($AA147,PLAN!$B:$AA,5,0),"")</f>
        <v>HJ70RB102P10020 JP</v>
      </c>
      <c r="G147" s="77" t="str">
        <f>IFERROR(VLOOKUP($AA147,PLAN!$B:$AA,2,0),"")</f>
        <v>1001921232</v>
      </c>
      <c r="H147" s="113">
        <f>IFERROR(VLOOKUP($AA147,PLAN!$B:$AA,7,0),"")</f>
        <v>46235</v>
      </c>
      <c r="I147" s="77" t="str">
        <f>IFERROR(VLOOKUP($AA147,PLAN!$B:$AA,8,0),"")</f>
        <v>0103562333</v>
      </c>
      <c r="J147" s="77" t="str">
        <f>IFERROR(VLOOKUP($AA147,PLAN!$B:$AA,9,0),"")</f>
        <v>260720C49A</v>
      </c>
      <c r="K147" s="77">
        <f>IFERROR(VLOOKUP($AA147,PLAN!$B:$AA,10,0),"")</f>
        <v>3</v>
      </c>
      <c r="L147" s="77" t="str">
        <f>IFERROR(VLOOKUP($AA147,PLAN!$B:$AA,15,0),"")</f>
        <v>JAPAN</v>
      </c>
      <c r="M147" s="77">
        <f>IFERROR(VLOOKUP($AA147,PLAN!$B:$AA,18,0),"")</f>
        <v>0</v>
      </c>
      <c r="N147" s="227">
        <f>IFERROR(VLOOKUP($AA147,PLAN!$B:$AA,19,0),"")</f>
        <v>0</v>
      </c>
      <c r="O147" s="77" t="str">
        <f>IFERROR(VLOOKUP($AA147,PLAN!$B:$AA,12,0),"")</f>
        <v>2112198-0-C</v>
      </c>
      <c r="P147" s="77">
        <f>IFERROR(VLOOKUP($AA147,PLAN!$B:$AA,11,0),"")</f>
        <v>12116165</v>
      </c>
      <c r="Q147" s="349" t="s">
        <v>1573</v>
      </c>
      <c r="R147" s="158" t="s">
        <v>1574</v>
      </c>
      <c r="S147" s="149">
        <f t="shared" si="14"/>
        <v>3</v>
      </c>
      <c r="T147" s="131"/>
      <c r="U147" s="78">
        <f>IFERROR(VLOOKUP($AA147,PLAN!$B:$AA,21,0),"")</f>
        <v>46230</v>
      </c>
      <c r="V147" s="78" t="str">
        <f>IFERROR(VLOOKUP($AA147,PLAN!$B:$AA,22,0),"")</f>
        <v>M9</v>
      </c>
      <c r="W147" s="232"/>
      <c r="X147" s="233"/>
      <c r="Y147" s="212"/>
      <c r="Z147" s="350"/>
      <c r="AA147" s="195" t="s">
        <v>1511</v>
      </c>
      <c r="AB147" s="132">
        <f>VLOOKUP(AA147,PLAN!B:V,20,0)</f>
        <v>46230</v>
      </c>
      <c r="AC147" s="132"/>
    </row>
    <row r="148" spans="3:29" s="79" customFormat="1" ht="25.2" customHeight="1">
      <c r="C148" s="249" t="str">
        <f t="shared" si="13"/>
        <v>Aug01-18</v>
      </c>
      <c r="D148" s="77">
        <f>IFERROR(VLOOKUP($AA148,PLAN!$B:$AA,3,0),"")</f>
        <v>11119667</v>
      </c>
      <c r="E148" s="77" t="str">
        <f>IFERROR(VLOOKUP($AA148,PLAN!$B:$AA,4,0),"")</f>
        <v>1911333-D-A</v>
      </c>
      <c r="F148" s="77" t="str">
        <f>IFERROR(VLOOKUP($AA148,PLAN!$B:$AA,5,0),"")</f>
        <v>HJ80AL152P10002 JP</v>
      </c>
      <c r="G148" s="77" t="str">
        <f>IFERROR(VLOOKUP($AA148,PLAN!$B:$AA,2,0),"")</f>
        <v>1001921233</v>
      </c>
      <c r="H148" s="113">
        <f>IFERROR(VLOOKUP($AA148,PLAN!$B:$AA,7,0),"")</f>
        <v>46235</v>
      </c>
      <c r="I148" s="77" t="str">
        <f>IFERROR(VLOOKUP($AA148,PLAN!$B:$AA,8,0),"")</f>
        <v>0103562334</v>
      </c>
      <c r="J148" s="77" t="str">
        <f>IFERROR(VLOOKUP($AA148,PLAN!$B:$AA,9,0),"")</f>
        <v>260720C50A</v>
      </c>
      <c r="K148" s="77">
        <f>IFERROR(VLOOKUP($AA148,PLAN!$B:$AA,10,0),"")</f>
        <v>3</v>
      </c>
      <c r="L148" s="77" t="str">
        <f>IFERROR(VLOOKUP($AA148,PLAN!$B:$AA,15,0),"")</f>
        <v>JAPAN</v>
      </c>
      <c r="M148" s="77">
        <f>IFERROR(VLOOKUP($AA148,PLAN!$B:$AA,18,0),"")</f>
        <v>0</v>
      </c>
      <c r="N148" s="227">
        <f>IFERROR(VLOOKUP($AA148,PLAN!$B:$AA,19,0),"")</f>
        <v>0</v>
      </c>
      <c r="O148" s="77" t="str">
        <f>IFERROR(VLOOKUP($AA148,PLAN!$B:$AA,12,0),"")</f>
        <v>2112335-0-C</v>
      </c>
      <c r="P148" s="77">
        <f>IFERROR(VLOOKUP($AA148,PLAN!$B:$AA,11,0),"")</f>
        <v>12116302</v>
      </c>
      <c r="Q148" s="349" t="s">
        <v>1575</v>
      </c>
      <c r="R148" s="158" t="s">
        <v>1576</v>
      </c>
      <c r="S148" s="149">
        <f t="shared" si="14"/>
        <v>3</v>
      </c>
      <c r="T148" s="131"/>
      <c r="U148" s="78">
        <f>IFERROR(VLOOKUP($AA148,PLAN!$B:$AA,21,0),"")</f>
        <v>46230</v>
      </c>
      <c r="V148" s="78" t="str">
        <f>IFERROR(VLOOKUP($AA148,PLAN!$B:$AA,22,0),"")</f>
        <v>M9</v>
      </c>
      <c r="W148" s="232"/>
      <c r="X148" s="233"/>
      <c r="Y148" s="212"/>
      <c r="Z148" s="350"/>
      <c r="AA148" s="195" t="s">
        <v>1512</v>
      </c>
      <c r="AB148" s="132">
        <f>VLOOKUP(AA148,PLAN!B:V,20,0)</f>
        <v>46230</v>
      </c>
      <c r="AC148" s="132"/>
    </row>
    <row r="149" spans="3:29" s="79" customFormat="1" ht="25.2" customHeight="1">
      <c r="C149" s="249" t="str">
        <f t="shared" si="13"/>
        <v>Aug01-19</v>
      </c>
      <c r="D149" s="77">
        <f>IFERROR(VLOOKUP($AA149,PLAN!$B:$AA,3,0),"")</f>
        <v>11119598</v>
      </c>
      <c r="E149" s="77" t="str">
        <f>IFERROR(VLOOKUP($AA149,PLAN!$B:$AA,4,0),"")</f>
        <v>1911264-D-A</v>
      </c>
      <c r="F149" s="77" t="str">
        <f>IFERROR(VLOOKUP($AA149,PLAN!$B:$AA,5,0),"")</f>
        <v>HJ80HS012P10000 JP</v>
      </c>
      <c r="G149" s="77" t="str">
        <f>IFERROR(VLOOKUP($AA149,PLAN!$B:$AA,2,0),"")</f>
        <v>1001921234</v>
      </c>
      <c r="H149" s="113">
        <f>IFERROR(VLOOKUP($AA149,PLAN!$B:$AA,7,0),"")</f>
        <v>46235</v>
      </c>
      <c r="I149" s="77" t="str">
        <f>IFERROR(VLOOKUP($AA149,PLAN!$B:$AA,8,0),"")</f>
        <v>0103562335</v>
      </c>
      <c r="J149" s="77" t="str">
        <f>IFERROR(VLOOKUP($AA149,PLAN!$B:$AA,9,0),"")</f>
        <v>260720C51A</v>
      </c>
      <c r="K149" s="77">
        <f>IFERROR(VLOOKUP($AA149,PLAN!$B:$AA,10,0),"")</f>
        <v>3</v>
      </c>
      <c r="L149" s="77" t="str">
        <f>IFERROR(VLOOKUP($AA149,PLAN!$B:$AA,15,0),"")</f>
        <v>JAPAN</v>
      </c>
      <c r="M149" s="77">
        <f>IFERROR(VLOOKUP($AA149,PLAN!$B:$AA,18,0),"")</f>
        <v>0</v>
      </c>
      <c r="N149" s="227">
        <f>IFERROR(VLOOKUP($AA149,PLAN!$B:$AA,19,0),"")</f>
        <v>0</v>
      </c>
      <c r="O149" s="77" t="str">
        <f>IFERROR(VLOOKUP($AA149,PLAN!$B:$AA,12,0),"")</f>
        <v>2112266-0-C</v>
      </c>
      <c r="P149" s="77">
        <f>IFERROR(VLOOKUP($AA149,PLAN!$B:$AA,11,0),"")</f>
        <v>12116233</v>
      </c>
      <c r="Q149" s="349" t="s">
        <v>1577</v>
      </c>
      <c r="R149" s="158" t="s">
        <v>1578</v>
      </c>
      <c r="S149" s="149">
        <f t="shared" si="14"/>
        <v>3</v>
      </c>
      <c r="T149" s="131"/>
      <c r="U149" s="78">
        <f>IFERROR(VLOOKUP($AA149,PLAN!$B:$AA,21,0),"")</f>
        <v>46230</v>
      </c>
      <c r="V149" s="78" t="str">
        <f>IFERROR(VLOOKUP($AA149,PLAN!$B:$AA,22,0),"")</f>
        <v>M9</v>
      </c>
      <c r="W149" s="232"/>
      <c r="X149" s="233"/>
      <c r="Y149" s="212"/>
      <c r="Z149" s="350"/>
      <c r="AA149" s="195" t="s">
        <v>1513</v>
      </c>
      <c r="AB149" s="132">
        <f>VLOOKUP(AA149,PLAN!B:V,20,0)</f>
        <v>46230</v>
      </c>
      <c r="AC149" s="132"/>
    </row>
    <row r="150" spans="3:29" s="79" customFormat="1" ht="25.2" customHeight="1">
      <c r="C150" s="249" t="str">
        <f t="shared" si="13"/>
        <v>Aug01-20</v>
      </c>
      <c r="D150" s="77">
        <f>IFERROR(VLOOKUP($AA150,PLAN!$B:$AA,3,0),"")</f>
        <v>11119613</v>
      </c>
      <c r="E150" s="77" t="str">
        <f>IFERROR(VLOOKUP($AA150,PLAN!$B:$AA,4,0),"")</f>
        <v>1911279-D-A</v>
      </c>
      <c r="F150" s="77" t="str">
        <f>IFERROR(VLOOKUP($AA150,PLAN!$B:$AA,5,0),"")</f>
        <v>HJ80JL402P09000 JP</v>
      </c>
      <c r="G150" s="77" t="str">
        <f>IFERROR(VLOOKUP($AA150,PLAN!$B:$AA,2,0),"")</f>
        <v>1001921235</v>
      </c>
      <c r="H150" s="113">
        <f>IFERROR(VLOOKUP($AA150,PLAN!$B:$AA,7,0),"")</f>
        <v>46235</v>
      </c>
      <c r="I150" s="77" t="str">
        <f>IFERROR(VLOOKUP($AA150,PLAN!$B:$AA,8,0),"")</f>
        <v>0103562336</v>
      </c>
      <c r="J150" s="77" t="str">
        <f>IFERROR(VLOOKUP($AA150,PLAN!$B:$AA,9,0),"")</f>
        <v>260720C52A</v>
      </c>
      <c r="K150" s="77">
        <f>IFERROR(VLOOKUP($AA150,PLAN!$B:$AA,10,0),"")</f>
        <v>3</v>
      </c>
      <c r="L150" s="77" t="str">
        <f>IFERROR(VLOOKUP($AA150,PLAN!$B:$AA,15,0),"")</f>
        <v>JAPAN</v>
      </c>
      <c r="M150" s="77">
        <f>IFERROR(VLOOKUP($AA150,PLAN!$B:$AA,18,0),"")</f>
        <v>0</v>
      </c>
      <c r="N150" s="227">
        <f>IFERROR(VLOOKUP($AA150,PLAN!$B:$AA,19,0),"")</f>
        <v>0</v>
      </c>
      <c r="O150" s="77" t="str">
        <f>IFERROR(VLOOKUP($AA150,PLAN!$B:$AA,12,0),"")</f>
        <v>2112281-0-C</v>
      </c>
      <c r="P150" s="77">
        <f>IFERROR(VLOOKUP($AA150,PLAN!$B:$AA,11,0),"")</f>
        <v>12116248</v>
      </c>
      <c r="Q150" s="349" t="s">
        <v>1579</v>
      </c>
      <c r="R150" s="158" t="s">
        <v>1580</v>
      </c>
      <c r="S150" s="149">
        <f t="shared" si="14"/>
        <v>3</v>
      </c>
      <c r="T150" s="131"/>
      <c r="U150" s="78">
        <f>IFERROR(VLOOKUP($AA150,PLAN!$B:$AA,21,0),"")</f>
        <v>46230</v>
      </c>
      <c r="V150" s="78" t="str">
        <f>IFERROR(VLOOKUP($AA150,PLAN!$B:$AA,22,0),"")</f>
        <v>M9</v>
      </c>
      <c r="W150" s="232"/>
      <c r="X150" s="233"/>
      <c r="Y150" s="212"/>
      <c r="Z150" s="350"/>
      <c r="AA150" s="195" t="s">
        <v>1514</v>
      </c>
      <c r="AB150" s="132">
        <f>VLOOKUP(AA150,PLAN!B:V,20,0)</f>
        <v>46230</v>
      </c>
      <c r="AC150" s="132"/>
    </row>
    <row r="151" spans="3:29" s="79" customFormat="1" ht="25.2" customHeight="1">
      <c r="C151" s="249" t="str">
        <f t="shared" si="13"/>
        <v>Aug13-01</v>
      </c>
      <c r="D151" s="77">
        <f>IFERROR(VLOOKUP($AA151,PLAN!$B:$AA,3,0),"")</f>
        <v>11134137</v>
      </c>
      <c r="E151" s="77" t="str">
        <f>IFERROR(VLOOKUP($AA151,PLAN!$B:$AA,4,0),"")</f>
        <v>1811875-J-A</v>
      </c>
      <c r="F151" s="77" t="str">
        <f>IFERROR(VLOOKUP($AA151,PLAN!$B:$AA,5,0),"")</f>
        <v>HW60AL070P10002 CN</v>
      </c>
      <c r="G151" s="77" t="str">
        <f>IFERROR(VLOOKUP($AA151,PLAN!$B:$AA,2,0),"")</f>
        <v>1001921245</v>
      </c>
      <c r="H151" s="113">
        <f>IFERROR(VLOOKUP($AA151,PLAN!$B:$AA,7,0),"")</f>
        <v>46247</v>
      </c>
      <c r="I151" s="77" t="str">
        <f>IFERROR(VLOOKUP($AA151,PLAN!$B:$AA,8,0),"")</f>
        <v>0103562349</v>
      </c>
      <c r="J151" s="77" t="str">
        <f>IFERROR(VLOOKUP($AA151,PLAN!$B:$AA,9,0),"")</f>
        <v>260720C61A</v>
      </c>
      <c r="K151" s="77">
        <f>IFERROR(VLOOKUP($AA151,PLAN!$B:$AA,10,0),"")</f>
        <v>230</v>
      </c>
      <c r="L151" s="77" t="str">
        <f>IFERROR(VLOOKUP($AA151,PLAN!$B:$AA,15,0),"")</f>
        <v>CHINA</v>
      </c>
      <c r="M151" s="77">
        <f>IFERROR(VLOOKUP($AA151,PLAN!$B:$AA,18,0),"")</f>
        <v>0</v>
      </c>
      <c r="N151" s="227">
        <f>IFERROR(VLOOKUP($AA151,PLAN!$B:$AA,19,0),"")</f>
        <v>0</v>
      </c>
      <c r="O151" s="77" t="str">
        <f>IFERROR(VLOOKUP($AA151,PLAN!$B:$AA,12,0),"")</f>
        <v>2112083-0-C-CN</v>
      </c>
      <c r="P151" s="77">
        <f>IFERROR(VLOOKUP($AA151,PLAN!$B:$AA,11,0),"")</f>
        <v>12129986</v>
      </c>
      <c r="Q151" s="277" t="s">
        <v>562</v>
      </c>
      <c r="R151" s="149" t="s">
        <v>563</v>
      </c>
      <c r="S151" s="223">
        <v>52</v>
      </c>
      <c r="T151" s="131"/>
      <c r="U151" s="78">
        <f>IFERROR(VLOOKUP($AA151,PLAN!$B:$AA,21,0),"")</f>
        <v>46230</v>
      </c>
      <c r="V151" s="78" t="str">
        <f>IFERROR(VLOOKUP($AA151,PLAN!$B:$AA,22,0),"")</f>
        <v>M9</v>
      </c>
      <c r="W151" s="232"/>
      <c r="X151" s="233"/>
      <c r="Y151" s="212"/>
      <c r="Z151" s="350"/>
      <c r="AA151" s="195" t="s">
        <v>1517</v>
      </c>
      <c r="AB151" s="132">
        <f>VLOOKUP(AA151,PLAN!B:V,20,0)</f>
        <v>46230</v>
      </c>
      <c r="AC151" s="132"/>
    </row>
    <row r="152" spans="3:29" s="79" customFormat="1" ht="25.2" customHeight="1">
      <c r="C152" s="249"/>
      <c r="D152" s="77"/>
      <c r="E152" s="77"/>
      <c r="F152" s="77"/>
      <c r="G152" s="77"/>
      <c r="H152" s="113"/>
      <c r="I152" s="77"/>
      <c r="J152" s="77"/>
      <c r="K152" s="77"/>
      <c r="L152" s="77"/>
      <c r="M152" s="77"/>
      <c r="N152" s="227"/>
      <c r="O152" s="77"/>
      <c r="P152" s="77"/>
      <c r="Q152" s="277" t="s">
        <v>1583</v>
      </c>
      <c r="R152" s="149" t="s">
        <v>1584</v>
      </c>
      <c r="S152" s="223">
        <v>100</v>
      </c>
      <c r="T152" s="131"/>
      <c r="U152" s="78"/>
      <c r="V152" s="78"/>
      <c r="W152" s="232"/>
      <c r="X152" s="233"/>
      <c r="Y152" s="212"/>
      <c r="Z152" s="350"/>
      <c r="AA152" s="195"/>
      <c r="AB152" s="132">
        <v>46230</v>
      </c>
      <c r="AC152" s="132"/>
    </row>
    <row r="153" spans="3:29" s="79" customFormat="1" ht="25.2" customHeight="1">
      <c r="C153" s="249"/>
      <c r="D153" s="77"/>
      <c r="E153" s="77"/>
      <c r="F153" s="77"/>
      <c r="G153" s="77"/>
      <c r="H153" s="113"/>
      <c r="I153" s="77"/>
      <c r="J153" s="77"/>
      <c r="K153" s="77"/>
      <c r="L153" s="77"/>
      <c r="M153" s="77"/>
      <c r="N153" s="227"/>
      <c r="O153" s="77"/>
      <c r="P153" s="77"/>
      <c r="Q153" s="277" t="s">
        <v>1585</v>
      </c>
      <c r="R153" s="149" t="s">
        <v>1586</v>
      </c>
      <c r="S153" s="223">
        <f>K151-S151-S152</f>
        <v>78</v>
      </c>
      <c r="T153" s="131"/>
      <c r="U153" s="78"/>
      <c r="V153" s="78"/>
      <c r="W153" s="232"/>
      <c r="X153" s="233"/>
      <c r="Y153" s="212"/>
      <c r="Z153" s="350"/>
      <c r="AA153" s="195"/>
      <c r="AB153" s="132">
        <v>46230</v>
      </c>
      <c r="AC153" s="132"/>
    </row>
    <row r="154" spans="3:29" s="79" customFormat="1" ht="25.2" customHeight="1">
      <c r="C154" s="249" t="str">
        <f t="shared" si="13"/>
        <v>Aug13-02</v>
      </c>
      <c r="D154" s="77">
        <f>IFERROR(VLOOKUP($AA154,PLAN!$B:$AA,3,0),"")</f>
        <v>11134148</v>
      </c>
      <c r="E154" s="77" t="str">
        <f>IFERROR(VLOOKUP($AA154,PLAN!$B:$AA,4,0),"")</f>
        <v>1811909-L-A</v>
      </c>
      <c r="F154" s="77" t="str">
        <f>IFERROR(VLOOKUP($AA154,PLAN!$B:$AA,5,0),"")</f>
        <v>HW60SP350P10000 CN</v>
      </c>
      <c r="G154" s="77" t="str">
        <f>IFERROR(VLOOKUP($AA154,PLAN!$B:$AA,2,0),"")</f>
        <v>1001921246</v>
      </c>
      <c r="H154" s="113">
        <f>IFERROR(VLOOKUP($AA154,PLAN!$B:$AA,7,0),"")</f>
        <v>46247</v>
      </c>
      <c r="I154" s="77" t="str">
        <f>IFERROR(VLOOKUP($AA154,PLAN!$B:$AA,8,0),"")</f>
        <v>0103562350</v>
      </c>
      <c r="J154" s="77" t="str">
        <f>IFERROR(VLOOKUP($AA154,PLAN!$B:$AA,9,0),"")</f>
        <v>260720C62A</v>
      </c>
      <c r="K154" s="77">
        <f>IFERROR(VLOOKUP($AA154,PLAN!$B:$AA,10,0),"")</f>
        <v>13</v>
      </c>
      <c r="L154" s="77" t="str">
        <f>IFERROR(VLOOKUP($AA154,PLAN!$B:$AA,15,0),"")</f>
        <v>CHINA</v>
      </c>
      <c r="M154" s="77">
        <f>IFERROR(VLOOKUP($AA154,PLAN!$B:$AA,18,0),"")</f>
        <v>3</v>
      </c>
      <c r="N154" s="227">
        <f>IFERROR(VLOOKUP($AA154,PLAN!$B:$AA,19,0),"")</f>
        <v>3</v>
      </c>
      <c r="O154" s="77" t="str">
        <f>IFERROR(VLOOKUP($AA154,PLAN!$B:$AA,12,0),"")</f>
        <v>2112099-0-C-CN</v>
      </c>
      <c r="P154" s="77">
        <f>IFERROR(VLOOKUP($AA154,PLAN!$B:$AA,11,0),"")</f>
        <v>12129995</v>
      </c>
      <c r="Q154" s="277" t="s">
        <v>1541</v>
      </c>
      <c r="R154" s="149" t="s">
        <v>1542</v>
      </c>
      <c r="S154" s="149">
        <f t="shared" si="14"/>
        <v>13</v>
      </c>
      <c r="T154" s="131"/>
      <c r="U154" s="78">
        <f>IFERROR(VLOOKUP($AA154,PLAN!$B:$AA,21,0),"")</f>
        <v>46230</v>
      </c>
      <c r="V154" s="78" t="str">
        <f>IFERROR(VLOOKUP($AA154,PLAN!$B:$AA,22,0),"")</f>
        <v>M9</v>
      </c>
      <c r="W154" s="232"/>
      <c r="X154" s="233"/>
      <c r="Y154" s="212"/>
      <c r="Z154" s="350"/>
      <c r="AA154" s="195" t="s">
        <v>1518</v>
      </c>
      <c r="AB154" s="132">
        <f>VLOOKUP(AA154,PLAN!B:V,20,0)</f>
        <v>46230</v>
      </c>
      <c r="AC154" s="132"/>
    </row>
    <row r="155" spans="3:29" s="79" customFormat="1" ht="25.2" customHeight="1">
      <c r="C155" s="249" t="str">
        <f t="shared" si="13"/>
        <v>Aug13-03</v>
      </c>
      <c r="D155" s="77">
        <f>IFERROR(VLOOKUP($AA155,PLAN!$B:$AA,3,0),"")</f>
        <v>11134146</v>
      </c>
      <c r="E155" s="77" t="str">
        <f>IFERROR(VLOOKUP($AA155,PLAN!$B:$AA,4,0),"")</f>
        <v>1811907-L-A</v>
      </c>
      <c r="F155" s="77" t="str">
        <f>IFERROR(VLOOKUP($AA155,PLAN!$B:$AA,5,0),"")</f>
        <v>HW60SP300P10000 CN</v>
      </c>
      <c r="G155" s="77" t="str">
        <f>IFERROR(VLOOKUP($AA155,PLAN!$B:$AA,2,0),"")</f>
        <v>1001921247</v>
      </c>
      <c r="H155" s="113">
        <f>IFERROR(VLOOKUP($AA155,PLAN!$B:$AA,7,0),"")</f>
        <v>46247</v>
      </c>
      <c r="I155" s="77" t="str">
        <f>IFERROR(VLOOKUP($AA155,PLAN!$B:$AA,8,0),"")</f>
        <v>0103562351</v>
      </c>
      <c r="J155" s="77" t="str">
        <f>IFERROR(VLOOKUP($AA155,PLAN!$B:$AA,9,0),"")</f>
        <v>260720C63A</v>
      </c>
      <c r="K155" s="77">
        <f>IFERROR(VLOOKUP($AA155,PLAN!$B:$AA,10,0),"")</f>
        <v>226</v>
      </c>
      <c r="L155" s="77" t="str">
        <f>IFERROR(VLOOKUP($AA155,PLAN!$B:$AA,15,0),"")</f>
        <v>CHINA</v>
      </c>
      <c r="M155" s="77">
        <f>IFERROR(VLOOKUP($AA155,PLAN!$B:$AA,18,0),"")</f>
        <v>0</v>
      </c>
      <c r="N155" s="227">
        <f>IFERROR(VLOOKUP($AA155,PLAN!$B:$AA,19,0),"")</f>
        <v>0</v>
      </c>
      <c r="O155" s="77" t="str">
        <f>IFERROR(VLOOKUP($AA155,PLAN!$B:$AA,12,0),"")</f>
        <v>2112095-0-C-CN</v>
      </c>
      <c r="P155" s="77">
        <f>IFERROR(VLOOKUP($AA155,PLAN!$B:$AA,11,0),"")</f>
        <v>12129994</v>
      </c>
      <c r="Q155" s="277" t="s">
        <v>1208</v>
      </c>
      <c r="R155" s="149" t="s">
        <v>1209</v>
      </c>
      <c r="S155" s="223">
        <v>6</v>
      </c>
      <c r="T155" s="131"/>
      <c r="U155" s="78">
        <f>IFERROR(VLOOKUP($AA155,PLAN!$B:$AA,21,0),"")</f>
        <v>46230</v>
      </c>
      <c r="V155" s="78" t="str">
        <f>IFERROR(VLOOKUP($AA155,PLAN!$B:$AA,22,0),"")</f>
        <v>M9</v>
      </c>
      <c r="W155" s="232"/>
      <c r="X155" s="233"/>
      <c r="Y155" s="212"/>
      <c r="Z155" s="350"/>
      <c r="AA155" s="195" t="s">
        <v>1519</v>
      </c>
      <c r="AB155" s="132">
        <f>VLOOKUP(AA155,PLAN!B:V,20,0)</f>
        <v>46230</v>
      </c>
      <c r="AC155" s="132"/>
    </row>
    <row r="156" spans="3:29" s="79" customFormat="1" ht="25.2" customHeight="1">
      <c r="C156" s="249"/>
      <c r="D156" s="77"/>
      <c r="E156" s="77"/>
      <c r="F156" s="77"/>
      <c r="G156" s="77"/>
      <c r="H156" s="113"/>
      <c r="I156" s="77"/>
      <c r="J156" s="77"/>
      <c r="K156" s="77"/>
      <c r="L156" s="77"/>
      <c r="M156" s="77"/>
      <c r="N156" s="227"/>
      <c r="O156" s="77"/>
      <c r="P156" s="77"/>
      <c r="Q156" s="277" t="s">
        <v>1316</v>
      </c>
      <c r="R156" s="149" t="s">
        <v>1317</v>
      </c>
      <c r="S156" s="223">
        <v>72</v>
      </c>
      <c r="T156" s="131"/>
      <c r="U156" s="78"/>
      <c r="V156" s="78"/>
      <c r="W156" s="232"/>
      <c r="X156" s="233"/>
      <c r="Y156" s="212"/>
      <c r="Z156" s="350"/>
      <c r="AA156" s="195"/>
      <c r="AB156" s="132">
        <v>46230</v>
      </c>
      <c r="AC156" s="132"/>
    </row>
    <row r="157" spans="3:29" s="79" customFormat="1" ht="25.2" customHeight="1">
      <c r="C157" s="249"/>
      <c r="D157" s="77"/>
      <c r="E157" s="77"/>
      <c r="F157" s="77"/>
      <c r="G157" s="77"/>
      <c r="H157" s="113"/>
      <c r="I157" s="77"/>
      <c r="J157" s="77"/>
      <c r="K157" s="77"/>
      <c r="L157" s="77"/>
      <c r="M157" s="77"/>
      <c r="N157" s="227"/>
      <c r="O157" s="77"/>
      <c r="P157" s="77"/>
      <c r="Q157" s="277" t="s">
        <v>1587</v>
      </c>
      <c r="R157" s="149" t="s">
        <v>1588</v>
      </c>
      <c r="S157" s="223">
        <v>100</v>
      </c>
      <c r="T157" s="131"/>
      <c r="U157" s="78"/>
      <c r="V157" s="78"/>
      <c r="W157" s="232"/>
      <c r="X157" s="233"/>
      <c r="Y157" s="212"/>
      <c r="Z157" s="350"/>
      <c r="AA157" s="195"/>
      <c r="AB157" s="132">
        <v>46230</v>
      </c>
      <c r="AC157" s="132"/>
    </row>
    <row r="158" spans="3:29" s="79" customFormat="1" ht="25.2" customHeight="1">
      <c r="C158" s="249">
        <f t="shared" si="13"/>
        <v>0</v>
      </c>
      <c r="D158" s="77" t="str">
        <f>IFERROR(VLOOKUP($AA158,PLAN!$B:$AA,3,0),"")</f>
        <v/>
      </c>
      <c r="E158" s="77" t="str">
        <f>IFERROR(VLOOKUP($AA158,PLAN!$B:$AA,4,0),"")</f>
        <v/>
      </c>
      <c r="F158" s="77" t="str">
        <f>IFERROR(VLOOKUP($AA158,PLAN!$B:$AA,5,0),"")</f>
        <v/>
      </c>
      <c r="G158" s="77" t="str">
        <f>IFERROR(VLOOKUP($AA158,PLAN!$B:$AA,2,0),"")</f>
        <v/>
      </c>
      <c r="H158" s="113" t="str">
        <f>IFERROR(VLOOKUP($AA158,PLAN!$B:$AA,7,0),"")</f>
        <v/>
      </c>
      <c r="I158" s="77" t="str">
        <f>IFERROR(VLOOKUP($AA158,PLAN!$B:$AA,8,0),"")</f>
        <v/>
      </c>
      <c r="J158" s="77" t="str">
        <f>IFERROR(VLOOKUP($AA158,PLAN!$B:$AA,9,0),"")</f>
        <v/>
      </c>
      <c r="K158" s="77" t="str">
        <f>IFERROR(VLOOKUP($AA158,PLAN!$B:$AA,10,0),"")</f>
        <v/>
      </c>
      <c r="L158" s="77" t="str">
        <f>IFERROR(VLOOKUP($AA158,PLAN!$B:$AA,15,0),"")</f>
        <v/>
      </c>
      <c r="M158" s="77" t="str">
        <f>IFERROR(VLOOKUP($AA158,PLAN!$B:$AA,18,0),"")</f>
        <v/>
      </c>
      <c r="N158" s="227" t="str">
        <f>IFERROR(VLOOKUP($AA158,PLAN!$B:$AA,19,0),"")</f>
        <v/>
      </c>
      <c r="O158" s="77" t="str">
        <f>IFERROR(VLOOKUP($AA158,PLAN!$B:$AA,12,0),"")</f>
        <v/>
      </c>
      <c r="P158" s="77" t="str">
        <f>IFERROR(VLOOKUP($AA158,PLAN!$B:$AA,11,0),"")</f>
        <v/>
      </c>
      <c r="Q158" s="277" t="s">
        <v>1589</v>
      </c>
      <c r="R158" s="149" t="s">
        <v>1590</v>
      </c>
      <c r="S158" s="223">
        <f>K155-S155-S156-S157</f>
        <v>48</v>
      </c>
      <c r="T158" s="131"/>
      <c r="U158" s="78" t="str">
        <f>IFERROR(VLOOKUP($AA158,PLAN!$B:$AA,21,0),"")</f>
        <v/>
      </c>
      <c r="V158" s="78" t="str">
        <f>IFERROR(VLOOKUP($AA158,PLAN!$B:$AA,22,0),"")</f>
        <v/>
      </c>
      <c r="W158" s="232"/>
      <c r="X158" s="233"/>
      <c r="Y158" s="212"/>
      <c r="Z158" s="350"/>
      <c r="AA158" s="195"/>
      <c r="AB158" s="132">
        <v>46230</v>
      </c>
      <c r="AC158" s="132"/>
    </row>
    <row r="159" spans="3:29" s="79" customFormat="1" ht="25.2" customHeight="1">
      <c r="C159" s="249" t="str">
        <f t="shared" si="13"/>
        <v>Aug13-04</v>
      </c>
      <c r="D159" s="77">
        <f>IFERROR(VLOOKUP($AA159,PLAN!$B:$AA,3,0),"")</f>
        <v>11134146</v>
      </c>
      <c r="E159" s="77" t="str">
        <f>IFERROR(VLOOKUP($AA159,PLAN!$B:$AA,4,0),"")</f>
        <v>1811907-L-A</v>
      </c>
      <c r="F159" s="77" t="str">
        <f>IFERROR(VLOOKUP($AA159,PLAN!$B:$AA,5,0),"")</f>
        <v>HW60SP300P10000 CN</v>
      </c>
      <c r="G159" s="77" t="str">
        <f>IFERROR(VLOOKUP($AA159,PLAN!$B:$AA,2,0),"")</f>
        <v>1001921248</v>
      </c>
      <c r="H159" s="113">
        <f>IFERROR(VLOOKUP($AA159,PLAN!$B:$AA,7,0),"")</f>
        <v>46247</v>
      </c>
      <c r="I159" s="77" t="str">
        <f>IFERROR(VLOOKUP($AA159,PLAN!$B:$AA,8,0),"")</f>
        <v>0103562352</v>
      </c>
      <c r="J159" s="77" t="str">
        <f>IFERROR(VLOOKUP($AA159,PLAN!$B:$AA,9,0),"")</f>
        <v>260720C64A</v>
      </c>
      <c r="K159" s="77">
        <f>IFERROR(VLOOKUP($AA159,PLAN!$B:$AA,10,0),"")</f>
        <v>720</v>
      </c>
      <c r="L159" s="77" t="str">
        <f>IFERROR(VLOOKUP($AA159,PLAN!$B:$AA,15,0),"")</f>
        <v>CHINA</v>
      </c>
      <c r="M159" s="77">
        <f>IFERROR(VLOOKUP($AA159,PLAN!$B:$AA,18,0),"")</f>
        <v>0</v>
      </c>
      <c r="N159" s="227">
        <f>IFERROR(VLOOKUP($AA159,PLAN!$B:$AA,19,0),"")</f>
        <v>0</v>
      </c>
      <c r="O159" s="77" t="str">
        <f>IFERROR(VLOOKUP($AA159,PLAN!$B:$AA,12,0),"")</f>
        <v>2112095-0-C-CN</v>
      </c>
      <c r="P159" s="77">
        <f>IFERROR(VLOOKUP($AA159,PLAN!$B:$AA,11,0),"")</f>
        <v>12129994</v>
      </c>
      <c r="Q159" s="277" t="s">
        <v>1589</v>
      </c>
      <c r="R159" s="149" t="s">
        <v>1590</v>
      </c>
      <c r="S159" s="223">
        <v>52</v>
      </c>
      <c r="T159" s="131"/>
      <c r="U159" s="78">
        <f>IFERROR(VLOOKUP($AA159,PLAN!$B:$AA,21,0),"")</f>
        <v>46230</v>
      </c>
      <c r="V159" s="78" t="str">
        <f>IFERROR(VLOOKUP($AA159,PLAN!$B:$AA,22,0),"")</f>
        <v>M10</v>
      </c>
      <c r="W159" s="232"/>
      <c r="X159" s="233"/>
      <c r="Y159" s="212"/>
      <c r="Z159" s="350"/>
      <c r="AA159" s="195" t="s">
        <v>1520</v>
      </c>
      <c r="AB159" s="132">
        <f>VLOOKUP(AA159,PLAN!B:V,20,0)</f>
        <v>46230</v>
      </c>
      <c r="AC159" s="132"/>
    </row>
    <row r="160" spans="3:29" s="79" customFormat="1" ht="25.2" customHeight="1">
      <c r="C160" s="249">
        <f t="shared" si="13"/>
        <v>0</v>
      </c>
      <c r="D160" s="77" t="str">
        <f>IFERROR(VLOOKUP($AA160,PLAN!$B:$AA,3,0),"")</f>
        <v/>
      </c>
      <c r="E160" s="77" t="str">
        <f>IFERROR(VLOOKUP($AA160,PLAN!$B:$AA,4,0),"")</f>
        <v/>
      </c>
      <c r="F160" s="77" t="str">
        <f>IFERROR(VLOOKUP($AA160,PLAN!$B:$AA,5,0),"")</f>
        <v/>
      </c>
      <c r="G160" s="77" t="str">
        <f>IFERROR(VLOOKUP($AA160,PLAN!$B:$AA,2,0),"")</f>
        <v/>
      </c>
      <c r="H160" s="113" t="str">
        <f>IFERROR(VLOOKUP($AA160,PLAN!$B:$AA,7,0),"")</f>
        <v/>
      </c>
      <c r="I160" s="77" t="str">
        <f>IFERROR(VLOOKUP($AA160,PLAN!$B:$AA,8,0),"")</f>
        <v/>
      </c>
      <c r="J160" s="77" t="str">
        <f>IFERROR(VLOOKUP($AA160,PLAN!$B:$AA,9,0),"")</f>
        <v/>
      </c>
      <c r="K160" s="77" t="str">
        <f>IFERROR(VLOOKUP($AA160,PLAN!$B:$AA,10,0),"")</f>
        <v/>
      </c>
      <c r="L160" s="77" t="str">
        <f>IFERROR(VLOOKUP($AA160,PLAN!$B:$AA,15,0),"")</f>
        <v/>
      </c>
      <c r="M160" s="77" t="str">
        <f>IFERROR(VLOOKUP($AA160,PLAN!$B:$AA,18,0),"")</f>
        <v/>
      </c>
      <c r="N160" s="227" t="str">
        <f>IFERROR(VLOOKUP($AA160,PLAN!$B:$AA,19,0),"")</f>
        <v/>
      </c>
      <c r="O160" s="77" t="str">
        <f>IFERROR(VLOOKUP($AA160,PLAN!$B:$AA,12,0),"")</f>
        <v/>
      </c>
      <c r="P160" s="77" t="str">
        <f>IFERROR(VLOOKUP($AA160,PLAN!$B:$AA,11,0),"")</f>
        <v/>
      </c>
      <c r="Q160" s="277" t="s">
        <v>1591</v>
      </c>
      <c r="R160" s="149" t="s">
        <v>1592</v>
      </c>
      <c r="S160" s="223">
        <v>100</v>
      </c>
      <c r="T160" s="131"/>
      <c r="U160" s="78" t="str">
        <f>IFERROR(VLOOKUP($AA160,PLAN!$B:$AA,21,0),"")</f>
        <v/>
      </c>
      <c r="V160" s="78" t="str">
        <f>IFERROR(VLOOKUP($AA160,PLAN!$B:$AA,22,0),"")</f>
        <v/>
      </c>
      <c r="W160" s="232"/>
      <c r="X160" s="233"/>
      <c r="Y160" s="212"/>
      <c r="Z160" s="350"/>
      <c r="AA160" s="195"/>
      <c r="AB160" s="132">
        <v>46230</v>
      </c>
      <c r="AC160" s="132"/>
    </row>
    <row r="161" spans="3:29" s="79" customFormat="1" ht="25.2" customHeight="1">
      <c r="C161" s="249">
        <f t="shared" si="13"/>
        <v>0</v>
      </c>
      <c r="D161" s="77" t="str">
        <f>IFERROR(VLOOKUP($AA161,PLAN!$B:$AA,3,0),"")</f>
        <v/>
      </c>
      <c r="E161" s="77" t="str">
        <f>IFERROR(VLOOKUP($AA161,PLAN!$B:$AA,4,0),"")</f>
        <v/>
      </c>
      <c r="F161" s="77" t="str">
        <f>IFERROR(VLOOKUP($AA161,PLAN!$B:$AA,5,0),"")</f>
        <v/>
      </c>
      <c r="G161" s="77" t="str">
        <f>IFERROR(VLOOKUP($AA161,PLAN!$B:$AA,2,0),"")</f>
        <v/>
      </c>
      <c r="H161" s="113" t="str">
        <f>IFERROR(VLOOKUP($AA161,PLAN!$B:$AA,7,0),"")</f>
        <v/>
      </c>
      <c r="I161" s="77" t="str">
        <f>IFERROR(VLOOKUP($AA161,PLAN!$B:$AA,8,0),"")</f>
        <v/>
      </c>
      <c r="J161" s="77" t="str">
        <f>IFERROR(VLOOKUP($AA161,PLAN!$B:$AA,9,0),"")</f>
        <v/>
      </c>
      <c r="K161" s="77" t="str">
        <f>IFERROR(VLOOKUP($AA161,PLAN!$B:$AA,10,0),"")</f>
        <v/>
      </c>
      <c r="L161" s="77" t="str">
        <f>IFERROR(VLOOKUP($AA161,PLAN!$B:$AA,15,0),"")</f>
        <v/>
      </c>
      <c r="M161" s="77" t="str">
        <f>IFERROR(VLOOKUP($AA161,PLAN!$B:$AA,18,0),"")</f>
        <v/>
      </c>
      <c r="N161" s="227" t="str">
        <f>IFERROR(VLOOKUP($AA161,PLAN!$B:$AA,19,0),"")</f>
        <v/>
      </c>
      <c r="O161" s="77" t="str">
        <f>IFERROR(VLOOKUP($AA161,PLAN!$B:$AA,12,0),"")</f>
        <v/>
      </c>
      <c r="P161" s="77" t="str">
        <f>IFERROR(VLOOKUP($AA161,PLAN!$B:$AA,11,0),"")</f>
        <v/>
      </c>
      <c r="Q161" s="277" t="s">
        <v>1593</v>
      </c>
      <c r="R161" s="149" t="s">
        <v>1594</v>
      </c>
      <c r="S161" s="223">
        <v>100</v>
      </c>
      <c r="T161" s="131"/>
      <c r="U161" s="78" t="str">
        <f>IFERROR(VLOOKUP($AA161,PLAN!$B:$AA,21,0),"")</f>
        <v/>
      </c>
      <c r="V161" s="78" t="str">
        <f>IFERROR(VLOOKUP($AA161,PLAN!$B:$AA,22,0),"")</f>
        <v/>
      </c>
      <c r="W161" s="232"/>
      <c r="X161" s="233"/>
      <c r="Y161" s="212"/>
      <c r="Z161" s="350"/>
      <c r="AA161" s="195"/>
      <c r="AB161" s="132">
        <v>46230</v>
      </c>
      <c r="AC161" s="132"/>
    </row>
    <row r="162" spans="3:29" s="79" customFormat="1" ht="25.2" customHeight="1">
      <c r="C162" s="249">
        <f t="shared" si="13"/>
        <v>0</v>
      </c>
      <c r="D162" s="77" t="str">
        <f>IFERROR(VLOOKUP($AA162,PLAN!$B:$AA,3,0),"")</f>
        <v/>
      </c>
      <c r="E162" s="77" t="str">
        <f>IFERROR(VLOOKUP($AA162,PLAN!$B:$AA,4,0),"")</f>
        <v/>
      </c>
      <c r="F162" s="77" t="str">
        <f>IFERROR(VLOOKUP($AA162,PLAN!$B:$AA,5,0),"")</f>
        <v/>
      </c>
      <c r="G162" s="77" t="str">
        <f>IFERROR(VLOOKUP($AA162,PLAN!$B:$AA,2,0),"")</f>
        <v/>
      </c>
      <c r="H162" s="113" t="str">
        <f>IFERROR(VLOOKUP($AA162,PLAN!$B:$AA,7,0),"")</f>
        <v/>
      </c>
      <c r="I162" s="77" t="str">
        <f>IFERROR(VLOOKUP($AA162,PLAN!$B:$AA,8,0),"")</f>
        <v/>
      </c>
      <c r="J162" s="77" t="str">
        <f>IFERROR(VLOOKUP($AA162,PLAN!$B:$AA,9,0),"")</f>
        <v/>
      </c>
      <c r="K162" s="77" t="str">
        <f>IFERROR(VLOOKUP($AA162,PLAN!$B:$AA,10,0),"")</f>
        <v/>
      </c>
      <c r="L162" s="77" t="str">
        <f>IFERROR(VLOOKUP($AA162,PLAN!$B:$AA,15,0),"")</f>
        <v/>
      </c>
      <c r="M162" s="77" t="str">
        <f>IFERROR(VLOOKUP($AA162,PLAN!$B:$AA,18,0),"")</f>
        <v/>
      </c>
      <c r="N162" s="227" t="str">
        <f>IFERROR(VLOOKUP($AA162,PLAN!$B:$AA,19,0),"")</f>
        <v/>
      </c>
      <c r="O162" s="77" t="str">
        <f>IFERROR(VLOOKUP($AA162,PLAN!$B:$AA,12,0),"")</f>
        <v/>
      </c>
      <c r="P162" s="77" t="str">
        <f>IFERROR(VLOOKUP($AA162,PLAN!$B:$AA,11,0),"")</f>
        <v/>
      </c>
      <c r="Q162" s="277" t="s">
        <v>1595</v>
      </c>
      <c r="R162" s="149" t="s">
        <v>1596</v>
      </c>
      <c r="S162" s="223">
        <v>150</v>
      </c>
      <c r="T162" s="131"/>
      <c r="U162" s="78" t="str">
        <f>IFERROR(VLOOKUP($AA162,PLAN!$B:$AA,21,0),"")</f>
        <v/>
      </c>
      <c r="V162" s="78" t="str">
        <f>IFERROR(VLOOKUP($AA162,PLAN!$B:$AA,22,0),"")</f>
        <v/>
      </c>
      <c r="W162" s="232"/>
      <c r="X162" s="233"/>
      <c r="Y162" s="212"/>
      <c r="Z162" s="350"/>
      <c r="AA162" s="195"/>
      <c r="AB162" s="132">
        <v>46230</v>
      </c>
      <c r="AC162" s="132"/>
    </row>
    <row r="163" spans="3:29" s="79" customFormat="1" ht="25.2" customHeight="1">
      <c r="C163" s="249">
        <f t="shared" si="13"/>
        <v>0</v>
      </c>
      <c r="D163" s="77" t="str">
        <f>IFERROR(VLOOKUP($AA163,PLAN!$B:$AA,3,0),"")</f>
        <v/>
      </c>
      <c r="E163" s="77" t="str">
        <f>IFERROR(VLOOKUP($AA163,PLAN!$B:$AA,4,0),"")</f>
        <v/>
      </c>
      <c r="F163" s="77" t="str">
        <f>IFERROR(VLOOKUP($AA163,PLAN!$B:$AA,5,0),"")</f>
        <v/>
      </c>
      <c r="G163" s="77" t="str">
        <f>IFERROR(VLOOKUP($AA163,PLAN!$B:$AA,2,0),"")</f>
        <v/>
      </c>
      <c r="H163" s="113" t="str">
        <f>IFERROR(VLOOKUP($AA163,PLAN!$B:$AA,7,0),"")</f>
        <v/>
      </c>
      <c r="I163" s="77" t="str">
        <f>IFERROR(VLOOKUP($AA163,PLAN!$B:$AA,8,0),"")</f>
        <v/>
      </c>
      <c r="J163" s="77" t="str">
        <f>IFERROR(VLOOKUP($AA163,PLAN!$B:$AA,9,0),"")</f>
        <v/>
      </c>
      <c r="K163" s="77" t="str">
        <f>IFERROR(VLOOKUP($AA163,PLAN!$B:$AA,10,0),"")</f>
        <v/>
      </c>
      <c r="L163" s="77" t="str">
        <f>IFERROR(VLOOKUP($AA163,PLAN!$B:$AA,15,0),"")</f>
        <v/>
      </c>
      <c r="M163" s="77" t="str">
        <f>IFERROR(VLOOKUP($AA163,PLAN!$B:$AA,18,0),"")</f>
        <v/>
      </c>
      <c r="N163" s="227" t="str">
        <f>IFERROR(VLOOKUP($AA163,PLAN!$B:$AA,19,0),"")</f>
        <v/>
      </c>
      <c r="O163" s="77" t="str">
        <f>IFERROR(VLOOKUP($AA163,PLAN!$B:$AA,12,0),"")</f>
        <v/>
      </c>
      <c r="P163" s="77" t="str">
        <f>IFERROR(VLOOKUP($AA163,PLAN!$B:$AA,11,0),"")</f>
        <v/>
      </c>
      <c r="Q163" s="277" t="s">
        <v>1597</v>
      </c>
      <c r="R163" s="149" t="s">
        <v>1598</v>
      </c>
      <c r="S163" s="223">
        <v>140</v>
      </c>
      <c r="T163" s="131"/>
      <c r="U163" s="78" t="str">
        <f>IFERROR(VLOOKUP($AA163,PLAN!$B:$AA,21,0),"")</f>
        <v/>
      </c>
      <c r="V163" s="78" t="str">
        <f>IFERROR(VLOOKUP($AA163,PLAN!$B:$AA,22,0),"")</f>
        <v/>
      </c>
      <c r="W163" s="232"/>
      <c r="X163" s="233"/>
      <c r="Y163" s="212"/>
      <c r="Z163" s="350"/>
      <c r="AA163" s="195"/>
      <c r="AB163" s="132">
        <v>46230</v>
      </c>
      <c r="AC163" s="132"/>
    </row>
    <row r="164" spans="3:29" s="79" customFormat="1" ht="25.2" customHeight="1">
      <c r="C164" s="249">
        <f t="shared" si="13"/>
        <v>0</v>
      </c>
      <c r="D164" s="77" t="str">
        <f>IFERROR(VLOOKUP($AA164,PLAN!$B:$AA,3,0),"")</f>
        <v/>
      </c>
      <c r="E164" s="77" t="str">
        <f>IFERROR(VLOOKUP($AA164,PLAN!$B:$AA,4,0),"")</f>
        <v/>
      </c>
      <c r="F164" s="77" t="str">
        <f>IFERROR(VLOOKUP($AA164,PLAN!$B:$AA,5,0),"")</f>
        <v/>
      </c>
      <c r="G164" s="77" t="str">
        <f>IFERROR(VLOOKUP($AA164,PLAN!$B:$AA,2,0),"")</f>
        <v/>
      </c>
      <c r="H164" s="113" t="str">
        <f>IFERROR(VLOOKUP($AA164,PLAN!$B:$AA,7,0),"")</f>
        <v/>
      </c>
      <c r="I164" s="77" t="str">
        <f>IFERROR(VLOOKUP($AA164,PLAN!$B:$AA,8,0),"")</f>
        <v/>
      </c>
      <c r="J164" s="77" t="str">
        <f>IFERROR(VLOOKUP($AA164,PLAN!$B:$AA,9,0),"")</f>
        <v/>
      </c>
      <c r="K164" s="77" t="str">
        <f>IFERROR(VLOOKUP($AA164,PLAN!$B:$AA,10,0),"")</f>
        <v/>
      </c>
      <c r="L164" s="77" t="str">
        <f>IFERROR(VLOOKUP($AA164,PLAN!$B:$AA,15,0),"")</f>
        <v/>
      </c>
      <c r="M164" s="77" t="str">
        <f>IFERROR(VLOOKUP($AA164,PLAN!$B:$AA,18,0),"")</f>
        <v/>
      </c>
      <c r="N164" s="227" t="str">
        <f>IFERROR(VLOOKUP($AA164,PLAN!$B:$AA,19,0),"")</f>
        <v/>
      </c>
      <c r="O164" s="77" t="str">
        <f>IFERROR(VLOOKUP($AA164,PLAN!$B:$AA,12,0),"")</f>
        <v/>
      </c>
      <c r="P164" s="77" t="str">
        <f>IFERROR(VLOOKUP($AA164,PLAN!$B:$AA,11,0),"")</f>
        <v/>
      </c>
      <c r="Q164" s="277" t="s">
        <v>1599</v>
      </c>
      <c r="R164" s="149" t="s">
        <v>1600</v>
      </c>
      <c r="S164" s="223">
        <v>150</v>
      </c>
      <c r="T164" s="131"/>
      <c r="U164" s="78" t="str">
        <f>IFERROR(VLOOKUP($AA164,PLAN!$B:$AA,21,0),"")</f>
        <v/>
      </c>
      <c r="V164" s="78" t="str">
        <f>IFERROR(VLOOKUP($AA164,PLAN!$B:$AA,22,0),"")</f>
        <v/>
      </c>
      <c r="W164" s="232"/>
      <c r="X164" s="233"/>
      <c r="Y164" s="212"/>
      <c r="Z164" s="350"/>
      <c r="AA164" s="195"/>
      <c r="AB164" s="132">
        <v>46230</v>
      </c>
      <c r="AC164" s="132"/>
    </row>
    <row r="165" spans="3:29" s="79" customFormat="1" ht="25.2" customHeight="1">
      <c r="C165" s="249">
        <f t="shared" si="13"/>
        <v>0</v>
      </c>
      <c r="D165" s="77" t="str">
        <f>IFERROR(VLOOKUP($AA165,PLAN!$B:$AA,3,0),"")</f>
        <v/>
      </c>
      <c r="E165" s="77" t="str">
        <f>IFERROR(VLOOKUP($AA165,PLAN!$B:$AA,4,0),"")</f>
        <v/>
      </c>
      <c r="F165" s="77" t="str">
        <f>IFERROR(VLOOKUP($AA165,PLAN!$B:$AA,5,0),"")</f>
        <v/>
      </c>
      <c r="G165" s="77" t="str">
        <f>IFERROR(VLOOKUP($AA165,PLAN!$B:$AA,2,0),"")</f>
        <v/>
      </c>
      <c r="H165" s="113" t="str">
        <f>IFERROR(VLOOKUP($AA165,PLAN!$B:$AA,7,0),"")</f>
        <v/>
      </c>
      <c r="I165" s="77" t="str">
        <f>IFERROR(VLOOKUP($AA165,PLAN!$B:$AA,8,0),"")</f>
        <v/>
      </c>
      <c r="J165" s="77" t="str">
        <f>IFERROR(VLOOKUP($AA165,PLAN!$B:$AA,9,0),"")</f>
        <v/>
      </c>
      <c r="K165" s="77" t="str">
        <f>IFERROR(VLOOKUP($AA165,PLAN!$B:$AA,10,0),"")</f>
        <v/>
      </c>
      <c r="L165" s="77" t="str">
        <f>IFERROR(VLOOKUP($AA165,PLAN!$B:$AA,15,0),"")</f>
        <v/>
      </c>
      <c r="M165" s="77" t="str">
        <f>IFERROR(VLOOKUP($AA165,PLAN!$B:$AA,18,0),"")</f>
        <v/>
      </c>
      <c r="N165" s="227" t="str">
        <f>IFERROR(VLOOKUP($AA165,PLAN!$B:$AA,19,0),"")</f>
        <v/>
      </c>
      <c r="O165" s="77" t="str">
        <f>IFERROR(VLOOKUP($AA165,PLAN!$B:$AA,12,0),"")</f>
        <v/>
      </c>
      <c r="P165" s="77" t="str">
        <f>IFERROR(VLOOKUP($AA165,PLAN!$B:$AA,11,0),"")</f>
        <v/>
      </c>
      <c r="Q165" s="277" t="s">
        <v>1601</v>
      </c>
      <c r="R165" s="149" t="s">
        <v>1602</v>
      </c>
      <c r="S165" s="223">
        <f>K159-S159-S160-S161-S162-S163-S164</f>
        <v>28</v>
      </c>
      <c r="T165" s="131"/>
      <c r="U165" s="78" t="str">
        <f>IFERROR(VLOOKUP($AA165,PLAN!$B:$AA,21,0),"")</f>
        <v/>
      </c>
      <c r="V165" s="78" t="str">
        <f>IFERROR(VLOOKUP($AA165,PLAN!$B:$AA,22,0),"")</f>
        <v/>
      </c>
      <c r="W165" s="232"/>
      <c r="X165" s="233"/>
      <c r="Y165" s="212"/>
      <c r="Z165" s="350"/>
      <c r="AA165" s="195"/>
      <c r="AB165" s="132">
        <v>46230</v>
      </c>
      <c r="AC165" s="132"/>
    </row>
    <row r="166" spans="3:29" s="79" customFormat="1" ht="22.8" customHeight="1">
      <c r="C166" s="249" t="str">
        <f t="shared" si="13"/>
        <v>Bio-1</v>
      </c>
      <c r="D166" s="77">
        <f>IFERROR(VLOOKUP($AA166,PLAN!$B:$AA,3,0),"")</f>
        <v>11107911</v>
      </c>
      <c r="E166" s="77" t="str">
        <f>IFERROR(VLOOKUP($AA166,PLAN!$B:$AA,4,0),"")</f>
        <v>2511509-001</v>
      </c>
      <c r="F166" s="77" t="str">
        <f>IFERROR(VLOOKUP($AA166,PLAN!$B:$AA,5,0),"")</f>
        <v>CROSSRIDGE 6Fr 100cm_Kit</v>
      </c>
      <c r="G166" s="77" t="str">
        <f>IFERROR(VLOOKUP($AA166,PLAN!$B:$AA,2,0),"")</f>
        <v>2000127633</v>
      </c>
      <c r="H166" s="113">
        <f>IFERROR(VLOOKUP($AA166,PLAN!$B:$AA,7,0),"")</f>
        <v>46234</v>
      </c>
      <c r="I166" s="77" t="str">
        <f>IFERROR(VLOOKUP($AA166,PLAN!$B:$AA,8,0),"")</f>
        <v>0103565388</v>
      </c>
      <c r="J166" s="77" t="str">
        <f>IFERROR(VLOOKUP($AA166,PLAN!$B:$AA,9,0),"")</f>
        <v>260720Y01A</v>
      </c>
      <c r="K166" s="77">
        <f>IFERROR(VLOOKUP($AA166,PLAN!$B:$AA,10,0),"")</f>
        <v>20</v>
      </c>
      <c r="L166" s="77" t="str">
        <f>IFERROR(VLOOKUP($AA166,PLAN!$B:$AA,15,0),"")</f>
        <v>TEST</v>
      </c>
      <c r="M166" s="77">
        <f>IFERROR(VLOOKUP($AA166,PLAN!$B:$AA,18,0),"")</f>
        <v>0</v>
      </c>
      <c r="N166" s="227">
        <f>IFERROR(VLOOKUP($AA166,PLAN!$B:$AA,19,0),"")</f>
        <v>0</v>
      </c>
      <c r="O166" s="77" t="str">
        <f>IFERROR(VLOOKUP($AA166,PLAN!$B:$AA,12,0),"")</f>
        <v>2512222-001-C</v>
      </c>
      <c r="P166" s="77">
        <f>IFERROR(VLOOKUP($AA166,PLAN!$B:$AA,11,0),"")</f>
        <v>12142011</v>
      </c>
      <c r="Q166" s="148" t="s">
        <v>215</v>
      </c>
      <c r="R166" s="149" t="s">
        <v>1641</v>
      </c>
      <c r="S166" s="149">
        <f t="shared" si="14"/>
        <v>20</v>
      </c>
      <c r="T166" s="131"/>
      <c r="U166" s="78">
        <f>IFERROR(VLOOKUP($AA166,PLAN!$B:$AA,21,0),"")</f>
        <v>46228</v>
      </c>
      <c r="V166" s="78" t="str">
        <f>IFERROR(VLOOKUP($AA166,PLAN!$B:$AA,22,0),"")</f>
        <v>TEST</v>
      </c>
      <c r="W166" s="232"/>
      <c r="X166" s="233"/>
      <c r="Y166" s="212"/>
      <c r="Z166" s="350"/>
      <c r="AA166" s="195" t="s">
        <v>1633</v>
      </c>
      <c r="AB166" s="132" t="s">
        <v>1633</v>
      </c>
      <c r="AC166" s="132"/>
    </row>
    <row r="167" spans="3:29" s="79" customFormat="1" ht="22.8" customHeight="1">
      <c r="C167" s="367">
        <f t="shared" si="13"/>
        <v>0</v>
      </c>
      <c r="D167" s="368" t="str">
        <f>IFERROR(VLOOKUP($AA167,PLAN!$B:$AA,3,0),"")</f>
        <v/>
      </c>
      <c r="E167" s="368" t="str">
        <f>IFERROR(VLOOKUP($AA167,PLAN!$B:$AA,4,0),"")</f>
        <v/>
      </c>
      <c r="F167" s="368" t="str">
        <f>IFERROR(VLOOKUP($AA167,PLAN!$B:$AA,5,0),"")</f>
        <v/>
      </c>
      <c r="G167" s="368" t="str">
        <f>IFERROR(VLOOKUP($AA167,PLAN!$B:$AA,2,0),"")</f>
        <v/>
      </c>
      <c r="H167" s="369" t="str">
        <f>IFERROR(VLOOKUP($AA167,PLAN!$B:$AA,7,0),"")</f>
        <v/>
      </c>
      <c r="I167" s="368" t="str">
        <f>IFERROR(VLOOKUP($AA167,PLAN!$B:$AA,8,0),"")</f>
        <v/>
      </c>
      <c r="J167" s="368" t="str">
        <f>IFERROR(VLOOKUP($AA167,PLAN!$B:$AA,9,0),"")</f>
        <v/>
      </c>
      <c r="K167" s="368" t="str">
        <f>IFERROR(VLOOKUP($AA167,PLAN!$B:$AA,10,0),"")</f>
        <v/>
      </c>
      <c r="L167" s="77" t="str">
        <f>IFERROR(VLOOKUP($AA167,PLAN!$B:$AA,15,0),"")</f>
        <v/>
      </c>
      <c r="M167" s="77" t="str">
        <f>IFERROR(VLOOKUP($AA167,PLAN!$B:$AA,18,0),"")</f>
        <v/>
      </c>
      <c r="N167" s="227" t="str">
        <f>IFERROR(VLOOKUP($AA167,PLAN!$B:$AA,19,0),"")</f>
        <v/>
      </c>
      <c r="O167" s="77" t="s">
        <v>1365</v>
      </c>
      <c r="P167" s="77">
        <v>12138665</v>
      </c>
      <c r="Q167" s="148" t="s">
        <v>215</v>
      </c>
      <c r="R167" s="149" t="s">
        <v>1642</v>
      </c>
      <c r="S167" s="149">
        <v>20</v>
      </c>
      <c r="T167" s="131"/>
      <c r="U167" s="78" t="str">
        <f>IFERROR(VLOOKUP($AA167,PLAN!$B:$AA,21,0),"")</f>
        <v/>
      </c>
      <c r="V167" s="78" t="str">
        <f>IFERROR(VLOOKUP($AA167,PLAN!$B:$AA,22,0),"")</f>
        <v/>
      </c>
      <c r="W167" s="232"/>
      <c r="X167" s="233"/>
      <c r="Y167" s="212"/>
      <c r="Z167" s="350"/>
      <c r="AA167" s="195"/>
      <c r="AB167" s="132" t="s">
        <v>1633</v>
      </c>
      <c r="AC167" s="132"/>
    </row>
    <row r="168" spans="3:29" s="79" customFormat="1" ht="22.8" customHeight="1">
      <c r="C168" s="367">
        <f t="shared" si="13"/>
        <v>0</v>
      </c>
      <c r="D168" s="368" t="str">
        <f>IFERROR(VLOOKUP($AA168,PLAN!$B:$AA,3,0),"")</f>
        <v/>
      </c>
      <c r="E168" s="368" t="str">
        <f>IFERROR(VLOOKUP($AA168,PLAN!$B:$AA,4,0),"")</f>
        <v/>
      </c>
      <c r="F168" s="368" t="str">
        <f>IFERROR(VLOOKUP($AA168,PLAN!$B:$AA,5,0),"")</f>
        <v/>
      </c>
      <c r="G168" s="368" t="str">
        <f>IFERROR(VLOOKUP($AA168,PLAN!$B:$AA,2,0),"")</f>
        <v/>
      </c>
      <c r="H168" s="369" t="str">
        <f>IFERROR(VLOOKUP($AA168,PLAN!$B:$AA,7,0),"")</f>
        <v/>
      </c>
      <c r="I168" s="368" t="str">
        <f>IFERROR(VLOOKUP($AA168,PLAN!$B:$AA,8,0),"")</f>
        <v/>
      </c>
      <c r="J168" s="368" t="str">
        <f>IFERROR(VLOOKUP($AA168,PLAN!$B:$AA,9,0),"")</f>
        <v/>
      </c>
      <c r="K168" s="368" t="str">
        <f>IFERROR(VLOOKUP($AA168,PLAN!$B:$AA,10,0),"")</f>
        <v/>
      </c>
      <c r="L168" s="77" t="str">
        <f>IFERROR(VLOOKUP($AA168,PLAN!$B:$AA,15,0),"")</f>
        <v/>
      </c>
      <c r="M168" s="77" t="str">
        <f>IFERROR(VLOOKUP($AA168,PLAN!$B:$AA,18,0),"")</f>
        <v/>
      </c>
      <c r="N168" s="227" t="str">
        <f>IFERROR(VLOOKUP($AA168,PLAN!$B:$AA,19,0),"")</f>
        <v/>
      </c>
      <c r="O168" s="77" t="s">
        <v>1366</v>
      </c>
      <c r="P168" s="77">
        <v>12138672</v>
      </c>
      <c r="Q168" s="345" t="s">
        <v>1643</v>
      </c>
      <c r="R168" s="149" t="s">
        <v>1644</v>
      </c>
      <c r="S168" s="149">
        <v>20</v>
      </c>
      <c r="T168" s="131"/>
      <c r="U168" s="78" t="str">
        <f>IFERROR(VLOOKUP($AA168,PLAN!$B:$AA,21,0),"")</f>
        <v/>
      </c>
      <c r="V168" s="78" t="str">
        <f>IFERROR(VLOOKUP($AA168,PLAN!$B:$AA,22,0),"")</f>
        <v/>
      </c>
      <c r="W168" s="232"/>
      <c r="X168" s="233"/>
      <c r="Y168" s="212"/>
      <c r="Z168" s="350"/>
      <c r="AA168" s="195"/>
      <c r="AB168" s="132" t="s">
        <v>1633</v>
      </c>
      <c r="AC168" s="132"/>
    </row>
    <row r="169" spans="3:29" s="79" customFormat="1" ht="22.8" customHeight="1">
      <c r="C169" s="249" t="str">
        <f t="shared" si="13"/>
        <v>Bio-2</v>
      </c>
      <c r="D169" s="77">
        <f>IFERROR(VLOOKUP($AA169,PLAN!$B:$AA,3,0),"")</f>
        <v>11107911</v>
      </c>
      <c r="E169" s="77" t="str">
        <f>IFERROR(VLOOKUP($AA169,PLAN!$B:$AA,4,0),"")</f>
        <v>2511509-001</v>
      </c>
      <c r="F169" s="77" t="str">
        <f>IFERROR(VLOOKUP($AA169,PLAN!$B:$AA,5,0),"")</f>
        <v>CROSSRIDGE 6Fr 100cm_Kit</v>
      </c>
      <c r="G169" s="77" t="str">
        <f>IFERROR(VLOOKUP($AA169,PLAN!$B:$AA,2,0),"")</f>
        <v>2000127634</v>
      </c>
      <c r="H169" s="113">
        <f>IFERROR(VLOOKUP($AA169,PLAN!$B:$AA,7,0),"")</f>
        <v>46234</v>
      </c>
      <c r="I169" s="77" t="str">
        <f>IFERROR(VLOOKUP($AA169,PLAN!$B:$AA,8,0),"")</f>
        <v>0103565391</v>
      </c>
      <c r="J169" s="77" t="str">
        <f>IFERROR(VLOOKUP($AA169,PLAN!$B:$AA,9,0),"")</f>
        <v>260720Y02A</v>
      </c>
      <c r="K169" s="77">
        <f>IFERROR(VLOOKUP($AA169,PLAN!$B:$AA,10,0),"")</f>
        <v>3</v>
      </c>
      <c r="L169" s="77" t="str">
        <f>IFERROR(VLOOKUP($AA169,PLAN!$B:$AA,15,0),"")</f>
        <v>TEST</v>
      </c>
      <c r="M169" s="77">
        <f>IFERROR(VLOOKUP($AA169,PLAN!$B:$AA,18,0),"")</f>
        <v>0</v>
      </c>
      <c r="N169" s="227">
        <f>IFERROR(VLOOKUP($AA169,PLAN!$B:$AA,19,0),"")</f>
        <v>0</v>
      </c>
      <c r="O169" s="77" t="str">
        <f>IFERROR(VLOOKUP($AA169,PLAN!$B:$AA,12,0),"")</f>
        <v>2512222-001-C</v>
      </c>
      <c r="P169" s="77">
        <f>IFERROR(VLOOKUP($AA169,PLAN!$B:$AA,11,0),"")</f>
        <v>12142011</v>
      </c>
      <c r="Q169" s="148" t="s">
        <v>215</v>
      </c>
      <c r="R169" s="149" t="s">
        <v>1641</v>
      </c>
      <c r="S169" s="149">
        <f t="shared" si="14"/>
        <v>3</v>
      </c>
      <c r="T169" s="131"/>
      <c r="U169" s="78" t="str">
        <f>IFERROR(VLOOKUP($AA169,PLAN!$B:$AA,21,0),"")</f>
        <v>N/A</v>
      </c>
      <c r="V169" s="78" t="str">
        <f>IFERROR(VLOOKUP($AA169,PLAN!$B:$AA,22,0),"")</f>
        <v>TEST</v>
      </c>
      <c r="W169" s="232"/>
      <c r="X169" s="233"/>
      <c r="Y169" s="212"/>
      <c r="Z169" s="350"/>
      <c r="AA169" s="195" t="s">
        <v>1634</v>
      </c>
      <c r="AB169" s="132" t="s">
        <v>1633</v>
      </c>
      <c r="AC169" s="132"/>
    </row>
    <row r="170" spans="3:29" s="79" customFormat="1" ht="22.8" customHeight="1">
      <c r="C170" s="249">
        <f t="shared" si="13"/>
        <v>0</v>
      </c>
      <c r="D170" s="77" t="str">
        <f>IFERROR(VLOOKUP($AA170,PLAN!$B:$AA,3,0),"")</f>
        <v/>
      </c>
      <c r="E170" s="77" t="str">
        <f>IFERROR(VLOOKUP($AA170,PLAN!$B:$AA,4,0),"")</f>
        <v/>
      </c>
      <c r="F170" s="77" t="str">
        <f>IFERROR(VLOOKUP($AA170,PLAN!$B:$AA,5,0),"")</f>
        <v/>
      </c>
      <c r="G170" s="77" t="str">
        <f>IFERROR(VLOOKUP($AA170,PLAN!$B:$AA,2,0),"")</f>
        <v/>
      </c>
      <c r="H170" s="113" t="str">
        <f>IFERROR(VLOOKUP($AA170,PLAN!$B:$AA,7,0),"")</f>
        <v/>
      </c>
      <c r="I170" s="77" t="str">
        <f>IFERROR(VLOOKUP($AA170,PLAN!$B:$AA,8,0),"")</f>
        <v/>
      </c>
      <c r="J170" s="77" t="str">
        <f>IFERROR(VLOOKUP($AA170,PLAN!$B:$AA,9,0),"")</f>
        <v/>
      </c>
      <c r="K170" s="77" t="str">
        <f>IFERROR(VLOOKUP($AA170,PLAN!$B:$AA,10,0),"")</f>
        <v/>
      </c>
      <c r="L170" s="77" t="str">
        <f>IFERROR(VLOOKUP($AA170,PLAN!$B:$AA,15,0),"")</f>
        <v/>
      </c>
      <c r="M170" s="77" t="str">
        <f>IFERROR(VLOOKUP($AA170,PLAN!$B:$AA,18,0),"")</f>
        <v/>
      </c>
      <c r="N170" s="227" t="str">
        <f>IFERROR(VLOOKUP($AA170,PLAN!$B:$AA,19,0),"")</f>
        <v/>
      </c>
      <c r="O170" s="77" t="s">
        <v>1365</v>
      </c>
      <c r="P170" s="77">
        <v>12138665</v>
      </c>
      <c r="Q170" s="148" t="s">
        <v>215</v>
      </c>
      <c r="R170" s="149" t="s">
        <v>1642</v>
      </c>
      <c r="S170" s="149">
        <v>3</v>
      </c>
      <c r="T170" s="131"/>
      <c r="U170" s="78" t="str">
        <f>IFERROR(VLOOKUP($AA170,PLAN!$B:$AA,21,0),"")</f>
        <v/>
      </c>
      <c r="V170" s="78" t="str">
        <f>IFERROR(VLOOKUP($AA170,PLAN!$B:$AA,22,0),"")</f>
        <v/>
      </c>
      <c r="W170" s="232"/>
      <c r="X170" s="233"/>
      <c r="Y170" s="212"/>
      <c r="Z170" s="350"/>
      <c r="AA170" s="195"/>
      <c r="AB170" s="132" t="s">
        <v>1633</v>
      </c>
      <c r="AC170" s="132"/>
    </row>
    <row r="171" spans="3:29" s="79" customFormat="1" ht="22.8" customHeight="1">
      <c r="C171" s="249">
        <f t="shared" si="13"/>
        <v>0</v>
      </c>
      <c r="D171" s="77" t="str">
        <f>IFERROR(VLOOKUP($AA171,PLAN!$B:$AA,3,0),"")</f>
        <v/>
      </c>
      <c r="E171" s="77" t="str">
        <f>IFERROR(VLOOKUP($AA171,PLAN!$B:$AA,4,0),"")</f>
        <v/>
      </c>
      <c r="F171" s="77" t="str">
        <f>IFERROR(VLOOKUP($AA171,PLAN!$B:$AA,5,0),"")</f>
        <v/>
      </c>
      <c r="G171" s="77" t="str">
        <f>IFERROR(VLOOKUP($AA171,PLAN!$B:$AA,2,0),"")</f>
        <v/>
      </c>
      <c r="H171" s="113" t="str">
        <f>IFERROR(VLOOKUP($AA171,PLAN!$B:$AA,7,0),"")</f>
        <v/>
      </c>
      <c r="I171" s="77" t="str">
        <f>IFERROR(VLOOKUP($AA171,PLAN!$B:$AA,8,0),"")</f>
        <v/>
      </c>
      <c r="J171" s="77" t="str">
        <f>IFERROR(VLOOKUP($AA171,PLAN!$B:$AA,9,0),"")</f>
        <v/>
      </c>
      <c r="K171" s="77" t="str">
        <f>IFERROR(VLOOKUP($AA171,PLAN!$B:$AA,10,0),"")</f>
        <v/>
      </c>
      <c r="L171" s="77" t="str">
        <f>IFERROR(VLOOKUP($AA171,PLAN!$B:$AA,15,0),"")</f>
        <v/>
      </c>
      <c r="M171" s="77" t="str">
        <f>IFERROR(VLOOKUP($AA171,PLAN!$B:$AA,18,0),"")</f>
        <v/>
      </c>
      <c r="N171" s="227" t="str">
        <f>IFERROR(VLOOKUP($AA171,PLAN!$B:$AA,19,0),"")</f>
        <v/>
      </c>
      <c r="O171" s="77" t="s">
        <v>1366</v>
      </c>
      <c r="P171" s="77">
        <v>12138672</v>
      </c>
      <c r="Q171" s="345" t="s">
        <v>1643</v>
      </c>
      <c r="R171" s="149" t="s">
        <v>1644</v>
      </c>
      <c r="S171" s="149">
        <v>3</v>
      </c>
      <c r="T171" s="131"/>
      <c r="U171" s="78" t="str">
        <f>IFERROR(VLOOKUP($AA171,PLAN!$B:$AA,21,0),"")</f>
        <v/>
      </c>
      <c r="V171" s="78" t="str">
        <f>IFERROR(VLOOKUP($AA171,PLAN!$B:$AA,22,0),"")</f>
        <v/>
      </c>
      <c r="W171" s="232"/>
      <c r="X171" s="233"/>
      <c r="Y171" s="212"/>
      <c r="Z171" s="350"/>
      <c r="AA171" s="195"/>
      <c r="AB171" s="132" t="s">
        <v>1633</v>
      </c>
      <c r="AC171" s="132"/>
    </row>
    <row r="172" spans="3:29" s="79" customFormat="1" ht="22.8" customHeight="1">
      <c r="C172" s="249" t="str">
        <f t="shared" si="13"/>
        <v>Bio-3</v>
      </c>
      <c r="D172" s="77">
        <f>IFERROR(VLOOKUP($AA172,PLAN!$B:$AA,3,0),"")</f>
        <v>11107911</v>
      </c>
      <c r="E172" s="77" t="str">
        <f>IFERROR(VLOOKUP($AA172,PLAN!$B:$AA,4,0),"")</f>
        <v>2511509-001</v>
      </c>
      <c r="F172" s="77" t="str">
        <f>IFERROR(VLOOKUP($AA172,PLAN!$B:$AA,5,0),"")</f>
        <v>CROSSRIDGE 6Fr 100cm_Kit</v>
      </c>
      <c r="G172" s="77" t="str">
        <f>IFERROR(VLOOKUP($AA172,PLAN!$B:$AA,2,0),"")</f>
        <v>2000127635</v>
      </c>
      <c r="H172" s="113">
        <f>IFERROR(VLOOKUP($AA172,PLAN!$B:$AA,7,0),"")</f>
        <v>46234</v>
      </c>
      <c r="I172" s="77" t="str">
        <f>IFERROR(VLOOKUP($AA172,PLAN!$B:$AA,8,0),"")</f>
        <v>0103565392</v>
      </c>
      <c r="J172" s="77" t="str">
        <f>IFERROR(VLOOKUP($AA172,PLAN!$B:$AA,9,0),"")</f>
        <v>260720Y03A</v>
      </c>
      <c r="K172" s="77">
        <f>IFERROR(VLOOKUP($AA172,PLAN!$B:$AA,10,0),"")</f>
        <v>5</v>
      </c>
      <c r="L172" s="77" t="str">
        <f>IFERROR(VLOOKUP($AA172,PLAN!$B:$AA,15,0),"")</f>
        <v>TEST</v>
      </c>
      <c r="M172" s="77">
        <f>IFERROR(VLOOKUP($AA172,PLAN!$B:$AA,18,0),"")</f>
        <v>0</v>
      </c>
      <c r="N172" s="227">
        <f>IFERROR(VLOOKUP($AA172,PLAN!$B:$AA,19,0),"")</f>
        <v>0</v>
      </c>
      <c r="O172" s="77" t="str">
        <f>IFERROR(VLOOKUP($AA172,PLAN!$B:$AA,12,0),"")</f>
        <v>2512222-001-C</v>
      </c>
      <c r="P172" s="77">
        <f>IFERROR(VLOOKUP($AA172,PLAN!$B:$AA,11,0),"")</f>
        <v>12142011</v>
      </c>
      <c r="Q172" s="148" t="s">
        <v>215</v>
      </c>
      <c r="R172" s="149" t="s">
        <v>1641</v>
      </c>
      <c r="S172" s="149">
        <f t="shared" si="14"/>
        <v>5</v>
      </c>
      <c r="T172" s="131"/>
      <c r="U172" s="78">
        <f>IFERROR(VLOOKUP($AA172,PLAN!$B:$AA,21,0),"")</f>
        <v>46228</v>
      </c>
      <c r="V172" s="78" t="str">
        <f>IFERROR(VLOOKUP($AA172,PLAN!$B:$AA,22,0),"")</f>
        <v>TEST</v>
      </c>
      <c r="W172" s="232"/>
      <c r="X172" s="233"/>
      <c r="Y172" s="212"/>
      <c r="Z172" s="350"/>
      <c r="AA172" s="195" t="s">
        <v>1635</v>
      </c>
      <c r="AB172" s="132" t="s">
        <v>1633</v>
      </c>
      <c r="AC172" s="132"/>
    </row>
    <row r="173" spans="3:29" s="79" customFormat="1" ht="22.8" customHeight="1">
      <c r="C173" s="249">
        <f t="shared" si="13"/>
        <v>0</v>
      </c>
      <c r="D173" s="77" t="str">
        <f>IFERROR(VLOOKUP($AA173,PLAN!$B:$AA,3,0),"")</f>
        <v/>
      </c>
      <c r="E173" s="77" t="str">
        <f>IFERROR(VLOOKUP($AA173,PLAN!$B:$AA,4,0),"")</f>
        <v/>
      </c>
      <c r="F173" s="77" t="str">
        <f>IFERROR(VLOOKUP($AA173,PLAN!$B:$AA,5,0),"")</f>
        <v/>
      </c>
      <c r="G173" s="77" t="str">
        <f>IFERROR(VLOOKUP($AA173,PLAN!$B:$AA,2,0),"")</f>
        <v/>
      </c>
      <c r="H173" s="113" t="str">
        <f>IFERROR(VLOOKUP($AA173,PLAN!$B:$AA,7,0),"")</f>
        <v/>
      </c>
      <c r="I173" s="77" t="str">
        <f>IFERROR(VLOOKUP($AA173,PLAN!$B:$AA,8,0),"")</f>
        <v/>
      </c>
      <c r="J173" s="77" t="str">
        <f>IFERROR(VLOOKUP($AA173,PLAN!$B:$AA,9,0),"")</f>
        <v/>
      </c>
      <c r="K173" s="77" t="str">
        <f>IFERROR(VLOOKUP($AA173,PLAN!$B:$AA,10,0),"")</f>
        <v/>
      </c>
      <c r="L173" s="77" t="str">
        <f>IFERROR(VLOOKUP($AA173,PLAN!$B:$AA,15,0),"")</f>
        <v/>
      </c>
      <c r="M173" s="77" t="str">
        <f>IFERROR(VLOOKUP($AA173,PLAN!$B:$AA,18,0),"")</f>
        <v/>
      </c>
      <c r="N173" s="227" t="str">
        <f>IFERROR(VLOOKUP($AA173,PLAN!$B:$AA,19,0),"")</f>
        <v/>
      </c>
      <c r="O173" s="77" t="s">
        <v>1365</v>
      </c>
      <c r="P173" s="77">
        <v>12138665</v>
      </c>
      <c r="Q173" s="148" t="s">
        <v>215</v>
      </c>
      <c r="R173" s="149" t="s">
        <v>1642</v>
      </c>
      <c r="S173" s="149">
        <v>5</v>
      </c>
      <c r="T173" s="131"/>
      <c r="U173" s="78" t="str">
        <f>IFERROR(VLOOKUP($AA173,PLAN!$B:$AA,21,0),"")</f>
        <v/>
      </c>
      <c r="V173" s="78" t="str">
        <f>IFERROR(VLOOKUP($AA173,PLAN!$B:$AA,22,0),"")</f>
        <v/>
      </c>
      <c r="W173" s="232"/>
      <c r="X173" s="233"/>
      <c r="Y173" s="212"/>
      <c r="Z173" s="350"/>
      <c r="AA173" s="195"/>
      <c r="AB173" s="132" t="s">
        <v>1633</v>
      </c>
      <c r="AC173" s="132"/>
    </row>
    <row r="174" spans="3:29" s="79" customFormat="1" ht="22.8" customHeight="1">
      <c r="C174" s="249">
        <f t="shared" si="13"/>
        <v>0</v>
      </c>
      <c r="D174" s="77" t="str">
        <f>IFERROR(VLOOKUP($AA174,PLAN!$B:$AA,3,0),"")</f>
        <v/>
      </c>
      <c r="E174" s="77" t="str">
        <f>IFERROR(VLOOKUP($AA174,PLAN!$B:$AA,4,0),"")</f>
        <v/>
      </c>
      <c r="F174" s="77" t="str">
        <f>IFERROR(VLOOKUP($AA174,PLAN!$B:$AA,5,0),"")</f>
        <v/>
      </c>
      <c r="G174" s="77" t="str">
        <f>IFERROR(VLOOKUP($AA174,PLAN!$B:$AA,2,0),"")</f>
        <v/>
      </c>
      <c r="H174" s="113" t="str">
        <f>IFERROR(VLOOKUP($AA174,PLAN!$B:$AA,7,0),"")</f>
        <v/>
      </c>
      <c r="I174" s="77" t="str">
        <f>IFERROR(VLOOKUP($AA174,PLAN!$B:$AA,8,0),"")</f>
        <v/>
      </c>
      <c r="J174" s="77" t="str">
        <f>IFERROR(VLOOKUP($AA174,PLAN!$B:$AA,9,0),"")</f>
        <v/>
      </c>
      <c r="K174" s="77" t="str">
        <f>IFERROR(VLOOKUP($AA174,PLAN!$B:$AA,10,0),"")</f>
        <v/>
      </c>
      <c r="L174" s="77" t="str">
        <f>IFERROR(VLOOKUP($AA174,PLAN!$B:$AA,15,0),"")</f>
        <v/>
      </c>
      <c r="M174" s="77" t="str">
        <f>IFERROR(VLOOKUP($AA174,PLAN!$B:$AA,18,0),"")</f>
        <v/>
      </c>
      <c r="N174" s="227" t="str">
        <f>IFERROR(VLOOKUP($AA174,PLAN!$B:$AA,19,0),"")</f>
        <v/>
      </c>
      <c r="O174" s="77" t="s">
        <v>1366</v>
      </c>
      <c r="P174" s="77">
        <v>12138672</v>
      </c>
      <c r="Q174" s="345" t="s">
        <v>1643</v>
      </c>
      <c r="R174" s="149" t="s">
        <v>1644</v>
      </c>
      <c r="S174" s="149">
        <v>5</v>
      </c>
      <c r="T174" s="131"/>
      <c r="U174" s="78" t="str">
        <f>IFERROR(VLOOKUP($AA174,PLAN!$B:$AA,21,0),"")</f>
        <v/>
      </c>
      <c r="V174" s="78" t="str">
        <f>IFERROR(VLOOKUP($AA174,PLAN!$B:$AA,22,0),"")</f>
        <v/>
      </c>
      <c r="W174" s="232"/>
      <c r="X174" s="233"/>
      <c r="Y174" s="212"/>
      <c r="Z174" s="350"/>
      <c r="AA174" s="195"/>
      <c r="AB174" s="132" t="s">
        <v>1633</v>
      </c>
      <c r="AC174" s="132"/>
    </row>
    <row r="175" spans="3:29" s="79" customFormat="1" ht="22.8" customHeight="1">
      <c r="C175" s="249" t="str">
        <f t="shared" si="13"/>
        <v>Bio-4</v>
      </c>
      <c r="D175" s="77">
        <f>IFERROR(VLOOKUP($AA175,PLAN!$B:$AA,3,0),"")</f>
        <v>11107911</v>
      </c>
      <c r="E175" s="77" t="str">
        <f>IFERROR(VLOOKUP($AA175,PLAN!$B:$AA,4,0),"")</f>
        <v>2511509-001</v>
      </c>
      <c r="F175" s="77" t="str">
        <f>IFERROR(VLOOKUP($AA175,PLAN!$B:$AA,5,0),"")</f>
        <v>CROSSRIDGE 6Fr 100cm_Kit</v>
      </c>
      <c r="G175" s="77" t="str">
        <f>IFERROR(VLOOKUP($AA175,PLAN!$B:$AA,2,0),"")</f>
        <v>2000127636</v>
      </c>
      <c r="H175" s="113">
        <f>IFERROR(VLOOKUP($AA175,PLAN!$B:$AA,7,0),"")</f>
        <v>46234</v>
      </c>
      <c r="I175" s="77" t="str">
        <f>IFERROR(VLOOKUP($AA175,PLAN!$B:$AA,8,0),"")</f>
        <v>0103565394</v>
      </c>
      <c r="J175" s="77" t="str">
        <f>IFERROR(VLOOKUP($AA175,PLAN!$B:$AA,9,0),"")</f>
        <v>260720Y04A</v>
      </c>
      <c r="K175" s="77">
        <f>IFERROR(VLOOKUP($AA175,PLAN!$B:$AA,10,0),"")</f>
        <v>5</v>
      </c>
      <c r="L175" s="77" t="str">
        <f>IFERROR(VLOOKUP($AA175,PLAN!$B:$AA,15,0),"")</f>
        <v>TEST</v>
      </c>
      <c r="M175" s="77">
        <f>IFERROR(VLOOKUP($AA175,PLAN!$B:$AA,18,0),"")</f>
        <v>0</v>
      </c>
      <c r="N175" s="227">
        <f>IFERROR(VLOOKUP($AA175,PLAN!$B:$AA,19,0),"")</f>
        <v>0</v>
      </c>
      <c r="O175" s="77" t="str">
        <f>IFERROR(VLOOKUP($AA175,PLAN!$B:$AA,12,0),"")</f>
        <v>2512222-001-C</v>
      </c>
      <c r="P175" s="77">
        <f>IFERROR(VLOOKUP($AA175,PLAN!$B:$AA,11,0),"")</f>
        <v>12142011</v>
      </c>
      <c r="Q175" s="148" t="s">
        <v>215</v>
      </c>
      <c r="R175" s="149" t="s">
        <v>1641</v>
      </c>
      <c r="S175" s="149">
        <f t="shared" si="14"/>
        <v>5</v>
      </c>
      <c r="T175" s="131"/>
      <c r="U175" s="78">
        <f>IFERROR(VLOOKUP($AA175,PLAN!$B:$AA,21,0),"")</f>
        <v>46228</v>
      </c>
      <c r="V175" s="78" t="str">
        <f>IFERROR(VLOOKUP($AA175,PLAN!$B:$AA,22,0),"")</f>
        <v>TEST</v>
      </c>
      <c r="W175" s="232"/>
      <c r="X175" s="233"/>
      <c r="Y175" s="212"/>
      <c r="Z175" s="350"/>
      <c r="AA175" s="195" t="s">
        <v>1636</v>
      </c>
      <c r="AB175" s="132" t="s">
        <v>1633</v>
      </c>
      <c r="AC175" s="132"/>
    </row>
    <row r="176" spans="3:29" s="79" customFormat="1" ht="22.8" customHeight="1">
      <c r="C176" s="249">
        <f t="shared" si="13"/>
        <v>0</v>
      </c>
      <c r="D176" s="77" t="str">
        <f>IFERROR(VLOOKUP($AA176,PLAN!$B:$AA,3,0),"")</f>
        <v/>
      </c>
      <c r="E176" s="77" t="str">
        <f>IFERROR(VLOOKUP($AA176,PLAN!$B:$AA,4,0),"")</f>
        <v/>
      </c>
      <c r="F176" s="77" t="str">
        <f>IFERROR(VLOOKUP($AA176,PLAN!$B:$AA,5,0),"")</f>
        <v/>
      </c>
      <c r="G176" s="77" t="str">
        <f>IFERROR(VLOOKUP($AA176,PLAN!$B:$AA,2,0),"")</f>
        <v/>
      </c>
      <c r="H176" s="113" t="str">
        <f>IFERROR(VLOOKUP($AA176,PLAN!$B:$AA,7,0),"")</f>
        <v/>
      </c>
      <c r="I176" s="77" t="str">
        <f>IFERROR(VLOOKUP($AA176,PLAN!$B:$AA,8,0),"")</f>
        <v/>
      </c>
      <c r="J176" s="77" t="str">
        <f>IFERROR(VLOOKUP($AA176,PLAN!$B:$AA,9,0),"")</f>
        <v/>
      </c>
      <c r="K176" s="77" t="str">
        <f>IFERROR(VLOOKUP($AA176,PLAN!$B:$AA,10,0),"")</f>
        <v/>
      </c>
      <c r="L176" s="77" t="str">
        <f>IFERROR(VLOOKUP($AA176,PLAN!$B:$AA,15,0),"")</f>
        <v/>
      </c>
      <c r="M176" s="77" t="str">
        <f>IFERROR(VLOOKUP($AA176,PLAN!$B:$AA,18,0),"")</f>
        <v/>
      </c>
      <c r="N176" s="227" t="str">
        <f>IFERROR(VLOOKUP($AA176,PLAN!$B:$AA,19,0),"")</f>
        <v/>
      </c>
      <c r="O176" s="77" t="s">
        <v>1365</v>
      </c>
      <c r="P176" s="77">
        <v>12138665</v>
      </c>
      <c r="Q176" s="148" t="s">
        <v>215</v>
      </c>
      <c r="R176" s="149" t="s">
        <v>1642</v>
      </c>
      <c r="S176" s="149">
        <v>5</v>
      </c>
      <c r="T176" s="131"/>
      <c r="U176" s="78" t="str">
        <f>IFERROR(VLOOKUP($AA176,PLAN!$B:$AA,21,0),"")</f>
        <v/>
      </c>
      <c r="V176" s="78" t="str">
        <f>IFERROR(VLOOKUP($AA176,PLAN!$B:$AA,22,0),"")</f>
        <v/>
      </c>
      <c r="W176" s="232"/>
      <c r="X176" s="233"/>
      <c r="Y176" s="212"/>
      <c r="Z176" s="350"/>
      <c r="AA176" s="195"/>
      <c r="AB176" s="132" t="s">
        <v>1633</v>
      </c>
      <c r="AC176" s="132"/>
    </row>
    <row r="177" spans="3:29" s="79" customFormat="1" ht="22.8" customHeight="1">
      <c r="C177" s="249">
        <f t="shared" si="13"/>
        <v>0</v>
      </c>
      <c r="D177" s="77" t="str">
        <f>IFERROR(VLOOKUP($AA177,PLAN!$B:$AA,3,0),"")</f>
        <v/>
      </c>
      <c r="E177" s="77" t="str">
        <f>IFERROR(VLOOKUP($AA177,PLAN!$B:$AA,4,0),"")</f>
        <v/>
      </c>
      <c r="F177" s="77" t="str">
        <f>IFERROR(VLOOKUP($AA177,PLAN!$B:$AA,5,0),"")</f>
        <v/>
      </c>
      <c r="G177" s="77" t="str">
        <f>IFERROR(VLOOKUP($AA177,PLAN!$B:$AA,2,0),"")</f>
        <v/>
      </c>
      <c r="H177" s="113" t="str">
        <f>IFERROR(VLOOKUP($AA177,PLAN!$B:$AA,7,0),"")</f>
        <v/>
      </c>
      <c r="I177" s="77" t="str">
        <f>IFERROR(VLOOKUP($AA177,PLAN!$B:$AA,8,0),"")</f>
        <v/>
      </c>
      <c r="J177" s="77" t="str">
        <f>IFERROR(VLOOKUP($AA177,PLAN!$B:$AA,9,0),"")</f>
        <v/>
      </c>
      <c r="K177" s="77" t="str">
        <f>IFERROR(VLOOKUP($AA177,PLAN!$B:$AA,10,0),"")</f>
        <v/>
      </c>
      <c r="L177" s="77" t="str">
        <f>IFERROR(VLOOKUP($AA177,PLAN!$B:$AA,15,0),"")</f>
        <v/>
      </c>
      <c r="M177" s="77" t="str">
        <f>IFERROR(VLOOKUP($AA177,PLAN!$B:$AA,18,0),"")</f>
        <v/>
      </c>
      <c r="N177" s="227" t="str">
        <f>IFERROR(VLOOKUP($AA177,PLAN!$B:$AA,19,0),"")</f>
        <v/>
      </c>
      <c r="O177" s="77" t="s">
        <v>1366</v>
      </c>
      <c r="P177" s="77">
        <v>12138672</v>
      </c>
      <c r="Q177" s="345" t="s">
        <v>1643</v>
      </c>
      <c r="R177" s="149" t="s">
        <v>1644</v>
      </c>
      <c r="S177" s="149">
        <v>5</v>
      </c>
      <c r="T177" s="131"/>
      <c r="U177" s="78" t="str">
        <f>IFERROR(VLOOKUP($AA177,PLAN!$B:$AA,21,0),"")</f>
        <v/>
      </c>
      <c r="V177" s="78" t="str">
        <f>IFERROR(VLOOKUP($AA177,PLAN!$B:$AA,22,0),"")</f>
        <v/>
      </c>
      <c r="W177" s="232"/>
      <c r="X177" s="233"/>
      <c r="Y177" s="212"/>
      <c r="Z177" s="350"/>
      <c r="AA177" s="195"/>
      <c r="AB177" s="132" t="s">
        <v>1633</v>
      </c>
      <c r="AC177" s="132"/>
    </row>
    <row r="178" spans="3:29" s="79" customFormat="1" ht="22.8" customHeight="1">
      <c r="C178" s="249" t="str">
        <f t="shared" si="13"/>
        <v>Bio-5</v>
      </c>
      <c r="D178" s="77">
        <f>IFERROR(VLOOKUP($AA178,PLAN!$B:$AA,3,0),"")</f>
        <v>11107911</v>
      </c>
      <c r="E178" s="77" t="str">
        <f>IFERROR(VLOOKUP($AA178,PLAN!$B:$AA,4,0),"")</f>
        <v>2511509-001</v>
      </c>
      <c r="F178" s="77" t="str">
        <f>IFERROR(VLOOKUP($AA178,PLAN!$B:$AA,5,0),"")</f>
        <v>CROSSRIDGE 6Fr 100cm_Kit</v>
      </c>
      <c r="G178" s="77" t="str">
        <f>IFERROR(VLOOKUP($AA178,PLAN!$B:$AA,2,0),"")</f>
        <v>2000127637</v>
      </c>
      <c r="H178" s="113">
        <f>IFERROR(VLOOKUP($AA178,PLAN!$B:$AA,7,0),"")</f>
        <v>46234</v>
      </c>
      <c r="I178" s="77" t="str">
        <f>IFERROR(VLOOKUP($AA178,PLAN!$B:$AA,8,0),"")</f>
        <v>0103565396</v>
      </c>
      <c r="J178" s="77" t="str">
        <f>IFERROR(VLOOKUP($AA178,PLAN!$B:$AA,9,0),"")</f>
        <v>260720Y05A</v>
      </c>
      <c r="K178" s="77">
        <f>IFERROR(VLOOKUP($AA178,PLAN!$B:$AA,10,0),"")</f>
        <v>5</v>
      </c>
      <c r="L178" s="77" t="str">
        <f>IFERROR(VLOOKUP($AA178,PLAN!$B:$AA,15,0),"")</f>
        <v>TEST</v>
      </c>
      <c r="M178" s="77">
        <f>IFERROR(VLOOKUP($AA178,PLAN!$B:$AA,18,0),"")</f>
        <v>0</v>
      </c>
      <c r="N178" s="227">
        <f>IFERROR(VLOOKUP($AA178,PLAN!$B:$AA,19,0),"")</f>
        <v>0</v>
      </c>
      <c r="O178" s="77" t="str">
        <f>IFERROR(VLOOKUP($AA178,PLAN!$B:$AA,12,0),"")</f>
        <v>2512222-001-C</v>
      </c>
      <c r="P178" s="77">
        <f>IFERROR(VLOOKUP($AA178,PLAN!$B:$AA,11,0),"")</f>
        <v>12142011</v>
      </c>
      <c r="Q178" s="148" t="s">
        <v>215</v>
      </c>
      <c r="R178" s="149" t="s">
        <v>1641</v>
      </c>
      <c r="S178" s="149">
        <f t="shared" si="14"/>
        <v>5</v>
      </c>
      <c r="T178" s="131"/>
      <c r="U178" s="78">
        <f>IFERROR(VLOOKUP($AA178,PLAN!$B:$AA,21,0),"")</f>
        <v>46228</v>
      </c>
      <c r="V178" s="78" t="str">
        <f>IFERROR(VLOOKUP($AA178,PLAN!$B:$AA,22,0),"")</f>
        <v>TEST</v>
      </c>
      <c r="W178" s="232"/>
      <c r="X178" s="233"/>
      <c r="Y178" s="212"/>
      <c r="Z178" s="350"/>
      <c r="AA178" s="195" t="s">
        <v>1637</v>
      </c>
      <c r="AB178" s="132" t="s">
        <v>1633</v>
      </c>
      <c r="AC178" s="132"/>
    </row>
    <row r="179" spans="3:29" s="79" customFormat="1" ht="22.8" customHeight="1">
      <c r="C179" s="249">
        <f t="shared" si="13"/>
        <v>0</v>
      </c>
      <c r="D179" s="77" t="str">
        <f>IFERROR(VLOOKUP($AA179,PLAN!$B:$AA,3,0),"")</f>
        <v/>
      </c>
      <c r="E179" s="77" t="str">
        <f>IFERROR(VLOOKUP($AA179,PLAN!$B:$AA,4,0),"")</f>
        <v/>
      </c>
      <c r="F179" s="77" t="str">
        <f>IFERROR(VLOOKUP($AA179,PLAN!$B:$AA,5,0),"")</f>
        <v/>
      </c>
      <c r="G179" s="77" t="str">
        <f>IFERROR(VLOOKUP($AA179,PLAN!$B:$AA,2,0),"")</f>
        <v/>
      </c>
      <c r="H179" s="113" t="str">
        <f>IFERROR(VLOOKUP($AA179,PLAN!$B:$AA,7,0),"")</f>
        <v/>
      </c>
      <c r="I179" s="77" t="str">
        <f>IFERROR(VLOOKUP($AA179,PLAN!$B:$AA,8,0),"")</f>
        <v/>
      </c>
      <c r="J179" s="77" t="str">
        <f>IFERROR(VLOOKUP($AA179,PLAN!$B:$AA,9,0),"")</f>
        <v/>
      </c>
      <c r="K179" s="77" t="str">
        <f>IFERROR(VLOOKUP($AA179,PLAN!$B:$AA,10,0),"")</f>
        <v/>
      </c>
      <c r="L179" s="77" t="str">
        <f>IFERROR(VLOOKUP($AA179,PLAN!$B:$AA,15,0),"")</f>
        <v/>
      </c>
      <c r="M179" s="77" t="str">
        <f>IFERROR(VLOOKUP($AA179,PLAN!$B:$AA,18,0),"")</f>
        <v/>
      </c>
      <c r="N179" s="227" t="str">
        <f>IFERROR(VLOOKUP($AA179,PLAN!$B:$AA,19,0),"")</f>
        <v/>
      </c>
      <c r="O179" s="77" t="s">
        <v>1365</v>
      </c>
      <c r="P179" s="77">
        <v>12138665</v>
      </c>
      <c r="Q179" s="148" t="s">
        <v>215</v>
      </c>
      <c r="R179" s="149" t="s">
        <v>1642</v>
      </c>
      <c r="S179" s="149">
        <v>5</v>
      </c>
      <c r="T179" s="131"/>
      <c r="U179" s="78" t="str">
        <f>IFERROR(VLOOKUP($AA179,PLAN!$B:$AA,21,0),"")</f>
        <v/>
      </c>
      <c r="V179" s="78" t="str">
        <f>IFERROR(VLOOKUP($AA179,PLAN!$B:$AA,22,0),"")</f>
        <v/>
      </c>
      <c r="W179" s="232"/>
      <c r="X179" s="233"/>
      <c r="Y179" s="212"/>
      <c r="Z179" s="350"/>
      <c r="AA179" s="195"/>
      <c r="AB179" s="132" t="s">
        <v>1633</v>
      </c>
      <c r="AC179" s="132"/>
    </row>
    <row r="180" spans="3:29" s="79" customFormat="1" ht="22.8" customHeight="1">
      <c r="C180" s="249">
        <f t="shared" si="13"/>
        <v>0</v>
      </c>
      <c r="D180" s="77" t="str">
        <f>IFERROR(VLOOKUP($AA180,PLAN!$B:$AA,3,0),"")</f>
        <v/>
      </c>
      <c r="E180" s="77" t="str">
        <f>IFERROR(VLOOKUP($AA180,PLAN!$B:$AA,4,0),"")</f>
        <v/>
      </c>
      <c r="F180" s="77" t="str">
        <f>IFERROR(VLOOKUP($AA180,PLAN!$B:$AA,5,0),"")</f>
        <v/>
      </c>
      <c r="G180" s="77" t="str">
        <f>IFERROR(VLOOKUP($AA180,PLAN!$B:$AA,2,0),"")</f>
        <v/>
      </c>
      <c r="H180" s="113" t="str">
        <f>IFERROR(VLOOKUP($AA180,PLAN!$B:$AA,7,0),"")</f>
        <v/>
      </c>
      <c r="I180" s="77" t="str">
        <f>IFERROR(VLOOKUP($AA180,PLAN!$B:$AA,8,0),"")</f>
        <v/>
      </c>
      <c r="J180" s="77" t="str">
        <f>IFERROR(VLOOKUP($AA180,PLAN!$B:$AA,9,0),"")</f>
        <v/>
      </c>
      <c r="K180" s="77" t="str">
        <f>IFERROR(VLOOKUP($AA180,PLAN!$B:$AA,10,0),"")</f>
        <v/>
      </c>
      <c r="L180" s="77" t="str">
        <f>IFERROR(VLOOKUP($AA180,PLAN!$B:$AA,15,0),"")</f>
        <v/>
      </c>
      <c r="M180" s="77" t="str">
        <f>IFERROR(VLOOKUP($AA180,PLAN!$B:$AA,18,0),"")</f>
        <v/>
      </c>
      <c r="N180" s="227" t="str">
        <f>IFERROR(VLOOKUP($AA180,PLAN!$B:$AA,19,0),"")</f>
        <v/>
      </c>
      <c r="O180" s="77" t="s">
        <v>1366</v>
      </c>
      <c r="P180" s="77">
        <v>12138672</v>
      </c>
      <c r="Q180" s="345" t="s">
        <v>1643</v>
      </c>
      <c r="R180" s="149" t="s">
        <v>1644</v>
      </c>
      <c r="S180" s="149">
        <v>1</v>
      </c>
      <c r="T180" s="131"/>
      <c r="U180" s="78" t="str">
        <f>IFERROR(VLOOKUP($AA180,PLAN!$B:$AA,21,0),"")</f>
        <v/>
      </c>
      <c r="V180" s="78" t="str">
        <f>IFERROR(VLOOKUP($AA180,PLAN!$B:$AA,22,0),"")</f>
        <v/>
      </c>
      <c r="W180" s="232"/>
      <c r="X180" s="233"/>
      <c r="Y180" s="212"/>
      <c r="Z180" s="350"/>
      <c r="AA180" s="195"/>
      <c r="AB180" s="132" t="s">
        <v>1633</v>
      </c>
      <c r="AC180" s="132"/>
    </row>
    <row r="181" spans="3:29" s="79" customFormat="1" ht="22.8" customHeight="1">
      <c r="C181" s="249"/>
      <c r="D181" s="77"/>
      <c r="E181" s="77"/>
      <c r="F181" s="77"/>
      <c r="G181" s="77"/>
      <c r="H181" s="113"/>
      <c r="I181" s="77"/>
      <c r="J181" s="77"/>
      <c r="K181" s="77"/>
      <c r="L181" s="77"/>
      <c r="M181" s="77"/>
      <c r="N181" s="227"/>
      <c r="O181" s="77"/>
      <c r="P181" s="77"/>
      <c r="Q181" s="345" t="s">
        <v>1645</v>
      </c>
      <c r="R181" s="149" t="s">
        <v>1646</v>
      </c>
      <c r="S181" s="149">
        <v>4</v>
      </c>
      <c r="T181" s="131"/>
      <c r="U181" s="78"/>
      <c r="V181" s="78"/>
      <c r="W181" s="232"/>
      <c r="X181" s="233"/>
      <c r="Y181" s="212"/>
      <c r="Z181" s="350"/>
      <c r="AA181" s="195"/>
      <c r="AB181" s="132" t="s">
        <v>1633</v>
      </c>
      <c r="AC181" s="132"/>
    </row>
    <row r="182" spans="3:29" s="79" customFormat="1" ht="22.8" customHeight="1">
      <c r="C182" s="249" t="str">
        <f t="shared" si="13"/>
        <v>Bio-6</v>
      </c>
      <c r="D182" s="77">
        <f>IFERROR(VLOOKUP($AA182,PLAN!$B:$AA,3,0),"")</f>
        <v>11107911</v>
      </c>
      <c r="E182" s="77" t="str">
        <f>IFERROR(VLOOKUP($AA182,PLAN!$B:$AA,4,0),"")</f>
        <v>2511509-001</v>
      </c>
      <c r="F182" s="77" t="str">
        <f>IFERROR(VLOOKUP($AA182,PLAN!$B:$AA,5,0),"")</f>
        <v>CROSSRIDGE 6Fr 100cm_Kit</v>
      </c>
      <c r="G182" s="77" t="str">
        <f>IFERROR(VLOOKUP($AA182,PLAN!$B:$AA,2,0),"")</f>
        <v>2000127638</v>
      </c>
      <c r="H182" s="113">
        <f>IFERROR(VLOOKUP($AA182,PLAN!$B:$AA,7,0),"")</f>
        <v>46234</v>
      </c>
      <c r="I182" s="77" t="str">
        <f>IFERROR(VLOOKUP($AA182,PLAN!$B:$AA,8,0),"")</f>
        <v>0103565398</v>
      </c>
      <c r="J182" s="77" t="str">
        <f>IFERROR(VLOOKUP($AA182,PLAN!$B:$AA,9,0),"")</f>
        <v>260720Y06A</v>
      </c>
      <c r="K182" s="77">
        <f>IFERROR(VLOOKUP($AA182,PLAN!$B:$AA,10,0),"")</f>
        <v>5</v>
      </c>
      <c r="L182" s="77" t="str">
        <f>IFERROR(VLOOKUP($AA182,PLAN!$B:$AA,15,0),"")</f>
        <v>TEST</v>
      </c>
      <c r="M182" s="77">
        <f>IFERROR(VLOOKUP($AA182,PLAN!$B:$AA,18,0),"")</f>
        <v>0</v>
      </c>
      <c r="N182" s="227">
        <f>IFERROR(VLOOKUP($AA182,PLAN!$B:$AA,19,0),"")</f>
        <v>0</v>
      </c>
      <c r="O182" s="77" t="str">
        <f>IFERROR(VLOOKUP($AA182,PLAN!$B:$AA,12,0),"")</f>
        <v>2512222-001-C</v>
      </c>
      <c r="P182" s="77">
        <f>IFERROR(VLOOKUP($AA182,PLAN!$B:$AA,11,0),"")</f>
        <v>12142011</v>
      </c>
      <c r="Q182" s="148" t="s">
        <v>215</v>
      </c>
      <c r="R182" s="149" t="s">
        <v>1641</v>
      </c>
      <c r="S182" s="149">
        <f t="shared" si="14"/>
        <v>5</v>
      </c>
      <c r="T182" s="131"/>
      <c r="U182" s="78">
        <f>IFERROR(VLOOKUP($AA182,PLAN!$B:$AA,21,0),"")</f>
        <v>46228</v>
      </c>
      <c r="V182" s="78" t="str">
        <f>IFERROR(VLOOKUP($AA182,PLAN!$B:$AA,22,0),"")</f>
        <v>TEST</v>
      </c>
      <c r="W182" s="232"/>
      <c r="X182" s="233"/>
      <c r="Y182" s="212"/>
      <c r="Z182" s="350"/>
      <c r="AA182" s="195" t="s">
        <v>1638</v>
      </c>
      <c r="AB182" s="132" t="s">
        <v>1633</v>
      </c>
      <c r="AC182" s="132"/>
    </row>
    <row r="183" spans="3:29" s="79" customFormat="1" ht="22.8" customHeight="1">
      <c r="C183" s="249">
        <f t="shared" si="13"/>
        <v>0</v>
      </c>
      <c r="D183" s="77" t="str">
        <f>IFERROR(VLOOKUP($AA183,PLAN!$B:$AA,3,0),"")</f>
        <v/>
      </c>
      <c r="E183" s="77" t="str">
        <f>IFERROR(VLOOKUP($AA183,PLAN!$B:$AA,4,0),"")</f>
        <v/>
      </c>
      <c r="F183" s="77" t="str">
        <f>IFERROR(VLOOKUP($AA183,PLAN!$B:$AA,5,0),"")</f>
        <v/>
      </c>
      <c r="G183" s="77" t="str">
        <f>IFERROR(VLOOKUP($AA183,PLAN!$B:$AA,2,0),"")</f>
        <v/>
      </c>
      <c r="H183" s="113" t="str">
        <f>IFERROR(VLOOKUP($AA183,PLAN!$B:$AA,7,0),"")</f>
        <v/>
      </c>
      <c r="I183" s="77" t="str">
        <f>IFERROR(VLOOKUP($AA183,PLAN!$B:$AA,8,0),"")</f>
        <v/>
      </c>
      <c r="J183" s="77" t="str">
        <f>IFERROR(VLOOKUP($AA183,PLAN!$B:$AA,9,0),"")</f>
        <v/>
      </c>
      <c r="K183" s="77" t="str">
        <f>IFERROR(VLOOKUP($AA183,PLAN!$B:$AA,10,0),"")</f>
        <v/>
      </c>
      <c r="L183" s="77" t="str">
        <f>IFERROR(VLOOKUP($AA183,PLAN!$B:$AA,15,0),"")</f>
        <v/>
      </c>
      <c r="M183" s="77" t="str">
        <f>IFERROR(VLOOKUP($AA183,PLAN!$B:$AA,18,0),"")</f>
        <v/>
      </c>
      <c r="N183" s="227" t="str">
        <f>IFERROR(VLOOKUP($AA183,PLAN!$B:$AA,19,0),"")</f>
        <v/>
      </c>
      <c r="O183" s="77" t="s">
        <v>1365</v>
      </c>
      <c r="P183" s="77">
        <v>12138665</v>
      </c>
      <c r="Q183" s="148" t="s">
        <v>215</v>
      </c>
      <c r="R183" s="149" t="s">
        <v>1642</v>
      </c>
      <c r="S183" s="149">
        <v>5</v>
      </c>
      <c r="T183" s="131"/>
      <c r="U183" s="78" t="str">
        <f>IFERROR(VLOOKUP($AA183,PLAN!$B:$AA,21,0),"")</f>
        <v/>
      </c>
      <c r="V183" s="78" t="str">
        <f>IFERROR(VLOOKUP($AA183,PLAN!$B:$AA,22,0),"")</f>
        <v/>
      </c>
      <c r="W183" s="232"/>
      <c r="X183" s="233"/>
      <c r="Y183" s="212"/>
      <c r="Z183" s="350"/>
      <c r="AA183" s="195"/>
      <c r="AB183" s="132" t="s">
        <v>1633</v>
      </c>
      <c r="AC183" s="132"/>
    </row>
    <row r="184" spans="3:29" s="79" customFormat="1" ht="22.8" customHeight="1">
      <c r="C184" s="249">
        <f t="shared" si="13"/>
        <v>0</v>
      </c>
      <c r="D184" s="77" t="str">
        <f>IFERROR(VLOOKUP($AA184,PLAN!$B:$AA,3,0),"")</f>
        <v/>
      </c>
      <c r="E184" s="77" t="str">
        <f>IFERROR(VLOOKUP($AA184,PLAN!$B:$AA,4,0),"")</f>
        <v/>
      </c>
      <c r="F184" s="77" t="str">
        <f>IFERROR(VLOOKUP($AA184,PLAN!$B:$AA,5,0),"")</f>
        <v/>
      </c>
      <c r="G184" s="77" t="str">
        <f>IFERROR(VLOOKUP($AA184,PLAN!$B:$AA,2,0),"")</f>
        <v/>
      </c>
      <c r="H184" s="113" t="str">
        <f>IFERROR(VLOOKUP($AA184,PLAN!$B:$AA,7,0),"")</f>
        <v/>
      </c>
      <c r="I184" s="77" t="str">
        <f>IFERROR(VLOOKUP($AA184,PLAN!$B:$AA,8,0),"")</f>
        <v/>
      </c>
      <c r="J184" s="77" t="str">
        <f>IFERROR(VLOOKUP($AA184,PLAN!$B:$AA,9,0),"")</f>
        <v/>
      </c>
      <c r="K184" s="77" t="str">
        <f>IFERROR(VLOOKUP($AA184,PLAN!$B:$AA,10,0),"")</f>
        <v/>
      </c>
      <c r="L184" s="77" t="str">
        <f>IFERROR(VLOOKUP($AA184,PLAN!$B:$AA,15,0),"")</f>
        <v/>
      </c>
      <c r="M184" s="77" t="str">
        <f>IFERROR(VLOOKUP($AA184,PLAN!$B:$AA,18,0),"")</f>
        <v/>
      </c>
      <c r="N184" s="227" t="str">
        <f>IFERROR(VLOOKUP($AA184,PLAN!$B:$AA,19,0),"")</f>
        <v/>
      </c>
      <c r="O184" s="77" t="s">
        <v>1366</v>
      </c>
      <c r="P184" s="77">
        <v>12138672</v>
      </c>
      <c r="Q184" s="345" t="s">
        <v>1645</v>
      </c>
      <c r="R184" s="149" t="s">
        <v>1646</v>
      </c>
      <c r="S184" s="149">
        <v>5</v>
      </c>
      <c r="T184" s="131"/>
      <c r="U184" s="78" t="str">
        <f>IFERROR(VLOOKUP($AA184,PLAN!$B:$AA,21,0),"")</f>
        <v/>
      </c>
      <c r="V184" s="78" t="str">
        <f>IFERROR(VLOOKUP($AA184,PLAN!$B:$AA,22,0),"")</f>
        <v/>
      </c>
      <c r="W184" s="232"/>
      <c r="X184" s="233"/>
      <c r="Y184" s="212"/>
      <c r="Z184" s="350"/>
      <c r="AA184" s="195"/>
      <c r="AB184" s="132" t="s">
        <v>1633</v>
      </c>
      <c r="AC184" s="132"/>
    </row>
    <row r="185" spans="3:29" s="79" customFormat="1" ht="22.8" customHeight="1">
      <c r="C185" s="249" t="str">
        <f t="shared" si="13"/>
        <v>Bio-7</v>
      </c>
      <c r="D185" s="77">
        <f>IFERROR(VLOOKUP($AA185,PLAN!$B:$AA,3,0),"")</f>
        <v>11107911</v>
      </c>
      <c r="E185" s="77" t="str">
        <f>IFERROR(VLOOKUP($AA185,PLAN!$B:$AA,4,0),"")</f>
        <v>2511509-001</v>
      </c>
      <c r="F185" s="77" t="str">
        <f>IFERROR(VLOOKUP($AA185,PLAN!$B:$AA,5,0),"")</f>
        <v>CROSSRIDGE 6Fr 100cm_Kit</v>
      </c>
      <c r="G185" s="77" t="str">
        <f>IFERROR(VLOOKUP($AA185,PLAN!$B:$AA,2,0),"")</f>
        <v>2000127639</v>
      </c>
      <c r="H185" s="113">
        <f>IFERROR(VLOOKUP($AA185,PLAN!$B:$AA,7,0),"")</f>
        <v>46234</v>
      </c>
      <c r="I185" s="77" t="str">
        <f>IFERROR(VLOOKUP($AA185,PLAN!$B:$AA,8,0),"")</f>
        <v>0103565400</v>
      </c>
      <c r="J185" s="77" t="str">
        <f>IFERROR(VLOOKUP($AA185,PLAN!$B:$AA,9,0),"")</f>
        <v>260720Y07A</v>
      </c>
      <c r="K185" s="77">
        <f>IFERROR(VLOOKUP($AA185,PLAN!$B:$AA,10,0),"")</f>
        <v>3</v>
      </c>
      <c r="L185" s="77" t="str">
        <f>IFERROR(VLOOKUP($AA185,PLAN!$B:$AA,15,0),"")</f>
        <v>TEST</v>
      </c>
      <c r="M185" s="77">
        <f>IFERROR(VLOOKUP($AA185,PLAN!$B:$AA,18,0),"")</f>
        <v>0</v>
      </c>
      <c r="N185" s="227">
        <f>IFERROR(VLOOKUP($AA185,PLAN!$B:$AA,19,0),"")</f>
        <v>0</v>
      </c>
      <c r="O185" s="77" t="str">
        <f>IFERROR(VLOOKUP($AA185,PLAN!$B:$AA,12,0),"")</f>
        <v>2512222-001-C</v>
      </c>
      <c r="P185" s="77">
        <f>IFERROR(VLOOKUP($AA185,PLAN!$B:$AA,11,0),"")</f>
        <v>12142011</v>
      </c>
      <c r="Q185" s="148" t="s">
        <v>215</v>
      </c>
      <c r="R185" s="149" t="s">
        <v>1641</v>
      </c>
      <c r="S185" s="149">
        <f t="shared" si="14"/>
        <v>3</v>
      </c>
      <c r="T185" s="131"/>
      <c r="U185" s="78" t="str">
        <f>IFERROR(VLOOKUP($AA185,PLAN!$B:$AA,21,0),"")</f>
        <v>N/A</v>
      </c>
      <c r="V185" s="78" t="str">
        <f>IFERROR(VLOOKUP($AA185,PLAN!$B:$AA,22,0),"")</f>
        <v>TEST</v>
      </c>
      <c r="W185" s="232"/>
      <c r="X185" s="233"/>
      <c r="Y185" s="212"/>
      <c r="Z185" s="350"/>
      <c r="AA185" s="195" t="s">
        <v>1639</v>
      </c>
      <c r="AB185" s="132" t="s">
        <v>1633</v>
      </c>
      <c r="AC185" s="132"/>
    </row>
    <row r="186" spans="3:29" s="79" customFormat="1" ht="22.8" customHeight="1">
      <c r="C186" s="249">
        <f t="shared" si="12"/>
        <v>0</v>
      </c>
      <c r="D186" s="77" t="str">
        <f>IFERROR(VLOOKUP($AA186,PLAN!$B:$AA,3,0),"")</f>
        <v/>
      </c>
      <c r="E186" s="77" t="str">
        <f>IFERROR(VLOOKUP($AA186,PLAN!$B:$AA,4,0),"")</f>
        <v/>
      </c>
      <c r="F186" s="77" t="str">
        <f>IFERROR(VLOOKUP($AA186,PLAN!$B:$AA,5,0),"")</f>
        <v/>
      </c>
      <c r="G186" s="77" t="str">
        <f>IFERROR(VLOOKUP($AA186,PLAN!$B:$AA,2,0),"")</f>
        <v/>
      </c>
      <c r="H186" s="113" t="str">
        <f>IFERROR(VLOOKUP($AA186,PLAN!$B:$AA,7,0),"")</f>
        <v/>
      </c>
      <c r="I186" s="77" t="str">
        <f>IFERROR(VLOOKUP($AA186,PLAN!$B:$AA,8,0),"")</f>
        <v/>
      </c>
      <c r="J186" s="77" t="str">
        <f>IFERROR(VLOOKUP($AA186,PLAN!$B:$AA,9,0),"")</f>
        <v/>
      </c>
      <c r="K186" s="77" t="str">
        <f>IFERROR(VLOOKUP($AA186,PLAN!$B:$AA,10,0),"")</f>
        <v/>
      </c>
      <c r="L186" s="77" t="str">
        <f>IFERROR(VLOOKUP($AA186,PLAN!$B:$AA,15,0),"")</f>
        <v/>
      </c>
      <c r="M186" s="77" t="str">
        <f>IFERROR(VLOOKUP($AA186,PLAN!$B:$AA,18,0),"")</f>
        <v/>
      </c>
      <c r="N186" s="227" t="str">
        <f>IFERROR(VLOOKUP($AA186,PLAN!$B:$AA,19,0),"")</f>
        <v/>
      </c>
      <c r="O186" s="77" t="s">
        <v>1365</v>
      </c>
      <c r="P186" s="77">
        <v>12138665</v>
      </c>
      <c r="Q186" s="148" t="s">
        <v>215</v>
      </c>
      <c r="R186" s="149" t="s">
        <v>1642</v>
      </c>
      <c r="S186" s="149">
        <v>3</v>
      </c>
      <c r="T186" s="131"/>
      <c r="U186" s="78" t="str">
        <f>IFERROR(VLOOKUP($AA186,PLAN!$B:$AA,21,0),"")</f>
        <v/>
      </c>
      <c r="V186" s="78" t="str">
        <f>IFERROR(VLOOKUP($AA186,PLAN!$B:$AA,22,0),"")</f>
        <v/>
      </c>
      <c r="W186" s="232"/>
      <c r="X186" s="233"/>
      <c r="Y186" s="212"/>
      <c r="Z186" s="350"/>
      <c r="AA186" s="195"/>
      <c r="AB186" s="132" t="s">
        <v>1633</v>
      </c>
      <c r="AC186" s="132"/>
    </row>
    <row r="187" spans="3:29" s="79" customFormat="1" ht="22.8" customHeight="1">
      <c r="C187" s="249">
        <f t="shared" si="12"/>
        <v>0</v>
      </c>
      <c r="D187" s="77" t="str">
        <f>IFERROR(VLOOKUP($AA187,PLAN!$B:$AA,3,0),"")</f>
        <v/>
      </c>
      <c r="E187" s="77" t="str">
        <f>IFERROR(VLOOKUP($AA187,PLAN!$B:$AA,4,0),"")</f>
        <v/>
      </c>
      <c r="F187" s="77" t="str">
        <f>IFERROR(VLOOKUP($AA187,PLAN!$B:$AA,5,0),"")</f>
        <v/>
      </c>
      <c r="G187" s="77" t="str">
        <f>IFERROR(VLOOKUP($AA187,PLAN!$B:$AA,2,0),"")</f>
        <v/>
      </c>
      <c r="H187" s="113" t="str">
        <f>IFERROR(VLOOKUP($AA187,PLAN!$B:$AA,7,0),"")</f>
        <v/>
      </c>
      <c r="I187" s="77" t="str">
        <f>IFERROR(VLOOKUP($AA187,PLAN!$B:$AA,8,0),"")</f>
        <v/>
      </c>
      <c r="J187" s="77" t="str">
        <f>IFERROR(VLOOKUP($AA187,PLAN!$B:$AA,9,0),"")</f>
        <v/>
      </c>
      <c r="K187" s="77" t="str">
        <f>IFERROR(VLOOKUP($AA187,PLAN!$B:$AA,10,0),"")</f>
        <v/>
      </c>
      <c r="L187" s="77" t="str">
        <f>IFERROR(VLOOKUP($AA187,PLAN!$B:$AA,15,0),"")</f>
        <v/>
      </c>
      <c r="M187" s="77" t="str">
        <f>IFERROR(VLOOKUP($AA187,PLAN!$B:$AA,18,0),"")</f>
        <v/>
      </c>
      <c r="N187" s="227" t="str">
        <f>IFERROR(VLOOKUP($AA187,PLAN!$B:$AA,19,0),"")</f>
        <v/>
      </c>
      <c r="O187" s="77" t="s">
        <v>1366</v>
      </c>
      <c r="P187" s="77">
        <v>12138672</v>
      </c>
      <c r="Q187" s="345" t="s">
        <v>1645</v>
      </c>
      <c r="R187" s="149" t="s">
        <v>1646</v>
      </c>
      <c r="S187" s="149">
        <v>3</v>
      </c>
      <c r="T187" s="131"/>
      <c r="U187" s="78" t="str">
        <f>IFERROR(VLOOKUP($AA187,PLAN!$B:$AA,21,0),"")</f>
        <v/>
      </c>
      <c r="V187" s="78" t="str">
        <f>IFERROR(VLOOKUP($AA187,PLAN!$B:$AA,22,0),"")</f>
        <v/>
      </c>
      <c r="W187" s="232"/>
      <c r="X187" s="233"/>
      <c r="Y187" s="212"/>
      <c r="Z187" s="350"/>
      <c r="AA187" s="195"/>
      <c r="AB187" s="132" t="s">
        <v>1633</v>
      </c>
      <c r="AC187" s="132"/>
    </row>
    <row r="188" spans="3:29" s="79" customFormat="1" ht="22.8" customHeight="1">
      <c r="C188" s="249" t="str">
        <f t="shared" si="12"/>
        <v>Bio-8</v>
      </c>
      <c r="D188" s="77">
        <f>IFERROR(VLOOKUP($AA188,PLAN!$B:$AA,3,0),"")</f>
        <v>11107911</v>
      </c>
      <c r="E188" s="77" t="str">
        <f>IFERROR(VLOOKUP($AA188,PLAN!$B:$AA,4,0),"")</f>
        <v>2511509-001</v>
      </c>
      <c r="F188" s="77" t="str">
        <f>IFERROR(VLOOKUP($AA188,PLAN!$B:$AA,5,0),"")</f>
        <v>CROSSRIDGE 6Fr 100cm_Kit</v>
      </c>
      <c r="G188" s="77" t="str">
        <f>IFERROR(VLOOKUP($AA188,PLAN!$B:$AA,2,0),"")</f>
        <v>2000127640</v>
      </c>
      <c r="H188" s="113">
        <f>IFERROR(VLOOKUP($AA188,PLAN!$B:$AA,7,0),"")</f>
        <v>46234</v>
      </c>
      <c r="I188" s="77" t="str">
        <f>IFERROR(VLOOKUP($AA188,PLAN!$B:$AA,8,0),"")</f>
        <v>0103565402</v>
      </c>
      <c r="J188" s="77" t="str">
        <f>IFERROR(VLOOKUP($AA188,PLAN!$B:$AA,9,0),"")</f>
        <v>260720Y07D</v>
      </c>
      <c r="K188" s="77">
        <f>IFERROR(VLOOKUP($AA188,PLAN!$B:$AA,10,0),"")</f>
        <v>9</v>
      </c>
      <c r="L188" s="77" t="str">
        <f>IFERROR(VLOOKUP($AA188,PLAN!$B:$AA,15,0),"")</f>
        <v>TEST</v>
      </c>
      <c r="M188" s="77">
        <f>IFERROR(VLOOKUP($AA188,PLAN!$B:$AA,18,0),"")</f>
        <v>0</v>
      </c>
      <c r="N188" s="227">
        <f>IFERROR(VLOOKUP($AA188,PLAN!$B:$AA,19,0),"")</f>
        <v>0</v>
      </c>
      <c r="O188" s="77" t="str">
        <f>IFERROR(VLOOKUP($AA188,PLAN!$B:$AA,12,0),"")</f>
        <v>2512222-001-C</v>
      </c>
      <c r="P188" s="77">
        <f>IFERROR(VLOOKUP($AA188,PLAN!$B:$AA,11,0),"")</f>
        <v>12142011</v>
      </c>
      <c r="Q188" s="148" t="s">
        <v>215</v>
      </c>
      <c r="R188" s="149" t="s">
        <v>1641</v>
      </c>
      <c r="S188" s="149">
        <f t="shared" ref="S188:S198" si="15">K188</f>
        <v>9</v>
      </c>
      <c r="T188" s="131"/>
      <c r="U188" s="78">
        <f>IFERROR(VLOOKUP($AA188,PLAN!$B:$AA,21,0),"")</f>
        <v>46228</v>
      </c>
      <c r="V188" s="78" t="str">
        <f>IFERROR(VLOOKUP($AA188,PLAN!$B:$AA,22,0),"")</f>
        <v>TEST</v>
      </c>
      <c r="W188" s="232"/>
      <c r="X188" s="233"/>
      <c r="Y188" s="212"/>
      <c r="Z188" s="350"/>
      <c r="AA188" s="195" t="s">
        <v>1640</v>
      </c>
      <c r="AB188" s="132" t="s">
        <v>1633</v>
      </c>
      <c r="AC188" s="132"/>
    </row>
    <row r="189" spans="3:29" s="79" customFormat="1" ht="22.8" customHeight="1">
      <c r="C189" s="249">
        <f t="shared" si="12"/>
        <v>0</v>
      </c>
      <c r="D189" s="77" t="str">
        <f>IFERROR(VLOOKUP($AA189,PLAN!$B:$AA,3,0),"")</f>
        <v/>
      </c>
      <c r="E189" s="77" t="str">
        <f>IFERROR(VLOOKUP($AA189,PLAN!$B:$AA,4,0),"")</f>
        <v/>
      </c>
      <c r="F189" s="77" t="str">
        <f>IFERROR(VLOOKUP($AA189,PLAN!$B:$AA,5,0),"")</f>
        <v/>
      </c>
      <c r="G189" s="77" t="str">
        <f>IFERROR(VLOOKUP($AA189,PLAN!$B:$AA,2,0),"")</f>
        <v/>
      </c>
      <c r="H189" s="113" t="str">
        <f>IFERROR(VLOOKUP($AA189,PLAN!$B:$AA,7,0),"")</f>
        <v/>
      </c>
      <c r="I189" s="77" t="str">
        <f>IFERROR(VLOOKUP($AA189,PLAN!$B:$AA,8,0),"")</f>
        <v/>
      </c>
      <c r="J189" s="77" t="str">
        <f>IFERROR(VLOOKUP($AA189,PLAN!$B:$AA,9,0),"")</f>
        <v/>
      </c>
      <c r="K189" s="77" t="str">
        <f>IFERROR(VLOOKUP($AA189,PLAN!$B:$AA,10,0),"")</f>
        <v/>
      </c>
      <c r="L189" s="77" t="str">
        <f>IFERROR(VLOOKUP($AA189,PLAN!$B:$AA,15,0),"")</f>
        <v/>
      </c>
      <c r="M189" s="77" t="str">
        <f>IFERROR(VLOOKUP($AA189,PLAN!$B:$AA,18,0),"")</f>
        <v/>
      </c>
      <c r="N189" s="227" t="str">
        <f>IFERROR(VLOOKUP($AA189,PLAN!$B:$AA,19,0),"")</f>
        <v/>
      </c>
      <c r="O189" s="77" t="s">
        <v>1365</v>
      </c>
      <c r="P189" s="77">
        <v>12138665</v>
      </c>
      <c r="Q189" s="148" t="s">
        <v>215</v>
      </c>
      <c r="R189" s="149" t="s">
        <v>1642</v>
      </c>
      <c r="S189" s="149">
        <v>9</v>
      </c>
      <c r="T189" s="131"/>
      <c r="U189" s="78" t="str">
        <f>IFERROR(VLOOKUP($AA189,PLAN!$B:$AA,21,0),"")</f>
        <v/>
      </c>
      <c r="V189" s="78" t="str">
        <f>IFERROR(VLOOKUP($AA189,PLAN!$B:$AA,22,0),"")</f>
        <v/>
      </c>
      <c r="W189" s="232"/>
      <c r="X189" s="233"/>
      <c r="Y189" s="212"/>
      <c r="Z189" s="350"/>
      <c r="AA189" s="195"/>
      <c r="AB189" s="132" t="s">
        <v>1633</v>
      </c>
      <c r="AC189" s="132"/>
    </row>
    <row r="190" spans="3:29" s="79" customFormat="1" ht="22.8" customHeight="1">
      <c r="C190" s="249">
        <f t="shared" si="12"/>
        <v>0</v>
      </c>
      <c r="D190" s="77" t="str">
        <f>IFERROR(VLOOKUP($AA190,PLAN!$B:$AA,3,0),"")</f>
        <v/>
      </c>
      <c r="E190" s="77" t="str">
        <f>IFERROR(VLOOKUP($AA190,PLAN!$B:$AA,4,0),"")</f>
        <v/>
      </c>
      <c r="F190" s="77" t="str">
        <f>IFERROR(VLOOKUP($AA190,PLAN!$B:$AA,5,0),"")</f>
        <v/>
      </c>
      <c r="G190" s="77" t="str">
        <f>IFERROR(VLOOKUP($AA190,PLAN!$B:$AA,2,0),"")</f>
        <v/>
      </c>
      <c r="H190" s="113" t="str">
        <f>IFERROR(VLOOKUP($AA190,PLAN!$B:$AA,7,0),"")</f>
        <v/>
      </c>
      <c r="I190" s="77" t="str">
        <f>IFERROR(VLOOKUP($AA190,PLAN!$B:$AA,8,0),"")</f>
        <v/>
      </c>
      <c r="J190" s="77" t="str">
        <f>IFERROR(VLOOKUP($AA190,PLAN!$B:$AA,9,0),"")</f>
        <v/>
      </c>
      <c r="K190" s="77" t="str">
        <f>IFERROR(VLOOKUP($AA190,PLAN!$B:$AA,10,0),"")</f>
        <v/>
      </c>
      <c r="L190" s="77" t="str">
        <f>IFERROR(VLOOKUP($AA190,PLAN!$B:$AA,15,0),"")</f>
        <v/>
      </c>
      <c r="M190" s="77" t="str">
        <f>IFERROR(VLOOKUP($AA190,PLAN!$B:$AA,18,0),"")</f>
        <v/>
      </c>
      <c r="N190" s="227" t="str">
        <f>IFERROR(VLOOKUP($AA190,PLAN!$B:$AA,19,0),"")</f>
        <v/>
      </c>
      <c r="O190" s="77" t="s">
        <v>1366</v>
      </c>
      <c r="P190" s="77">
        <v>12138672</v>
      </c>
      <c r="Q190" s="345" t="s">
        <v>1645</v>
      </c>
      <c r="R190" s="149" t="s">
        <v>1646</v>
      </c>
      <c r="S190" s="149">
        <v>9</v>
      </c>
      <c r="T190" s="131"/>
      <c r="U190" s="78" t="str">
        <f>IFERROR(VLOOKUP($AA190,PLAN!$B:$AA,21,0),"")</f>
        <v/>
      </c>
      <c r="V190" s="78" t="str">
        <f>IFERROR(VLOOKUP($AA190,PLAN!$B:$AA,22,0),"")</f>
        <v/>
      </c>
      <c r="W190" s="232"/>
      <c r="X190" s="233"/>
      <c r="Y190" s="212"/>
      <c r="Z190" s="350"/>
      <c r="AA190" s="195"/>
      <c r="AB190" s="132" t="s">
        <v>1633</v>
      </c>
      <c r="AC190" s="132"/>
    </row>
    <row r="191" spans="3:29" s="79" customFormat="1" ht="25.2" customHeight="1">
      <c r="C191" s="249" t="str">
        <f t="shared" si="12"/>
        <v>Aug14-01</v>
      </c>
      <c r="D191" s="77">
        <f>IFERROR(VLOOKUP($AA191,PLAN!$B:$AA,3,0),"")</f>
        <v>11134170</v>
      </c>
      <c r="E191" s="77" t="str">
        <f>IFERROR(VLOOKUP($AA191,PLAN!$B:$AA,4,0),"")</f>
        <v>1811989-G-A</v>
      </c>
      <c r="F191" s="77" t="str">
        <f>IFERROR(VLOOKUP($AA191,PLAN!$B:$AA,5,0),"")</f>
        <v>HW70AL070P10000 CN</v>
      </c>
      <c r="G191" s="77" t="str">
        <f>IFERROR(VLOOKUP($AA191,PLAN!$B:$AA,2,0),"")</f>
        <v>1001923411</v>
      </c>
      <c r="H191" s="113">
        <f>IFERROR(VLOOKUP($AA191,PLAN!$B:$AA,7,0),"")</f>
        <v>46248</v>
      </c>
      <c r="I191" s="77" t="str">
        <f>IFERROR(VLOOKUP($AA191,PLAN!$B:$AA,8,0),"")</f>
        <v>0103566724</v>
      </c>
      <c r="J191" s="77" t="str">
        <f>IFERROR(VLOOKUP($AA191,PLAN!$B:$AA,9,0),"")</f>
        <v>260721C01A</v>
      </c>
      <c r="K191" s="77">
        <f>IFERROR(VLOOKUP($AA191,PLAN!$B:$AA,10,0),"")</f>
        <v>41</v>
      </c>
      <c r="L191" s="77" t="str">
        <f>IFERROR(VLOOKUP($AA191,PLAN!$B:$AA,15,0),"")</f>
        <v>CHINA</v>
      </c>
      <c r="M191" s="77">
        <f>IFERROR(VLOOKUP($AA191,PLAN!$B:$AA,18,0),"")</f>
        <v>0</v>
      </c>
      <c r="N191" s="227">
        <f>IFERROR(VLOOKUP($AA191,PLAN!$B:$AA,19,0),"")</f>
        <v>0</v>
      </c>
      <c r="O191" s="77" t="str">
        <f>IFERROR(VLOOKUP($AA191,PLAN!$B:$AA,12,0),"")</f>
        <v>2112105-0-C-CN</v>
      </c>
      <c r="P191" s="77">
        <f>IFERROR(VLOOKUP($AA191,PLAN!$B:$AA,11,0),"")</f>
        <v>12130006</v>
      </c>
      <c r="Q191" s="349" t="s">
        <v>1703</v>
      </c>
      <c r="R191" s="149" t="s">
        <v>1704</v>
      </c>
      <c r="S191" s="149">
        <f t="shared" si="15"/>
        <v>41</v>
      </c>
      <c r="T191" s="131"/>
      <c r="U191" s="78">
        <f>IFERROR(VLOOKUP($AA191,PLAN!$B:$AA,21,0),"")</f>
        <v>46231</v>
      </c>
      <c r="V191" s="78" t="str">
        <f>IFERROR(VLOOKUP($AA191,PLAN!$B:$AA,22,0),"")</f>
        <v>M9</v>
      </c>
      <c r="W191" s="232"/>
      <c r="X191" s="233"/>
      <c r="Y191" s="212"/>
      <c r="Z191" s="350"/>
      <c r="AA191" s="195" t="s">
        <v>1689</v>
      </c>
      <c r="AB191" s="132">
        <f>VLOOKUP(AA191,PLAN!B:V,20,0)</f>
        <v>46231</v>
      </c>
      <c r="AC191" s="132"/>
    </row>
    <row r="192" spans="3:29" s="79" customFormat="1" ht="25.2" customHeight="1">
      <c r="C192" s="249" t="str">
        <f t="shared" si="12"/>
        <v>Aug14-02</v>
      </c>
      <c r="D192" s="77">
        <f>IFERROR(VLOOKUP($AA192,PLAN!$B:$AA,3,0),"")</f>
        <v>11134178</v>
      </c>
      <c r="E192" s="77" t="str">
        <f>IFERROR(VLOOKUP($AA192,PLAN!$B:$AA,4,0),"")</f>
        <v>1861004-G-A</v>
      </c>
      <c r="F192" s="77" t="str">
        <f>IFERROR(VLOOKUP($AA192,PLAN!$B:$AA,5,0),"")</f>
        <v>HW70AL070P10002 CN</v>
      </c>
      <c r="G192" s="77" t="str">
        <f>IFERROR(VLOOKUP($AA192,PLAN!$B:$AA,2,0),"")</f>
        <v>1001923412</v>
      </c>
      <c r="H192" s="113">
        <f>IFERROR(VLOOKUP($AA192,PLAN!$B:$AA,7,0),"")</f>
        <v>46248</v>
      </c>
      <c r="I192" s="77" t="str">
        <f>IFERROR(VLOOKUP($AA192,PLAN!$B:$AA,8,0),"")</f>
        <v>0103566726</v>
      </c>
      <c r="J192" s="77" t="str">
        <f>IFERROR(VLOOKUP($AA192,PLAN!$B:$AA,9,0),"")</f>
        <v>260721C02A</v>
      </c>
      <c r="K192" s="77">
        <f>IFERROR(VLOOKUP($AA192,PLAN!$B:$AA,10,0),"")</f>
        <v>50</v>
      </c>
      <c r="L192" s="77" t="str">
        <f>IFERROR(VLOOKUP($AA192,PLAN!$B:$AA,15,0),"")</f>
        <v>CHINA</v>
      </c>
      <c r="M192" s="77">
        <f>IFERROR(VLOOKUP($AA192,PLAN!$B:$AA,18,0),"")</f>
        <v>0</v>
      </c>
      <c r="N192" s="227">
        <f>IFERROR(VLOOKUP($AA192,PLAN!$B:$AA,19,0),"")</f>
        <v>0</v>
      </c>
      <c r="O192" s="77" t="str">
        <f>IFERROR(VLOOKUP($AA192,PLAN!$B:$AA,12,0),"")</f>
        <v>2112203-0-C-CN</v>
      </c>
      <c r="P192" s="77">
        <f>IFERROR(VLOOKUP($AA192,PLAN!$B:$AA,11,0),"")</f>
        <v>12130007</v>
      </c>
      <c r="Q192" s="349" t="s">
        <v>1705</v>
      </c>
      <c r="R192" s="149" t="s">
        <v>1706</v>
      </c>
      <c r="S192" s="149">
        <f t="shared" si="15"/>
        <v>50</v>
      </c>
      <c r="T192" s="131"/>
      <c r="U192" s="78">
        <f>IFERROR(VLOOKUP($AA192,PLAN!$B:$AA,21,0),"")</f>
        <v>46231</v>
      </c>
      <c r="V192" s="78" t="str">
        <f>IFERROR(VLOOKUP($AA192,PLAN!$B:$AA,22,0),"")</f>
        <v>M9</v>
      </c>
      <c r="W192" s="232"/>
      <c r="X192" s="233"/>
      <c r="Y192" s="212"/>
      <c r="Z192" s="350"/>
      <c r="AA192" s="195" t="s">
        <v>1690</v>
      </c>
      <c r="AB192" s="132">
        <f>VLOOKUP(AA192,PLAN!B:V,20,0)</f>
        <v>46231</v>
      </c>
      <c r="AC192" s="132"/>
    </row>
    <row r="193" spans="3:29" s="79" customFormat="1" ht="25.2" customHeight="1">
      <c r="C193" s="249" t="str">
        <f t="shared" si="12"/>
        <v>Aug14-03</v>
      </c>
      <c r="D193" s="77">
        <f>IFERROR(VLOOKUP($AA193,PLAN!$B:$AA,3,0),"")</f>
        <v>11134172</v>
      </c>
      <c r="E193" s="77" t="str">
        <f>IFERROR(VLOOKUP($AA193,PLAN!$B:$AA,4,0),"")</f>
        <v>1811991-G-A</v>
      </c>
      <c r="F193" s="77" t="str">
        <f>IFERROR(VLOOKUP($AA193,PLAN!$B:$AA,5,0),"")</f>
        <v>HW70AL100P10000 CN</v>
      </c>
      <c r="G193" s="77" t="str">
        <f>IFERROR(VLOOKUP($AA193,PLAN!$B:$AA,2,0),"")</f>
        <v>1001923413</v>
      </c>
      <c r="H193" s="113">
        <f>IFERROR(VLOOKUP($AA193,PLAN!$B:$AA,7,0),"")</f>
        <v>46248</v>
      </c>
      <c r="I193" s="77" t="str">
        <f>IFERROR(VLOOKUP($AA193,PLAN!$B:$AA,8,0),"")</f>
        <v>0103566727</v>
      </c>
      <c r="J193" s="77" t="str">
        <f>IFERROR(VLOOKUP($AA193,PLAN!$B:$AA,9,0),"")</f>
        <v>260721C03A</v>
      </c>
      <c r="K193" s="77">
        <f>IFERROR(VLOOKUP($AA193,PLAN!$B:$AA,10,0),"")</f>
        <v>6</v>
      </c>
      <c r="L193" s="77" t="str">
        <f>IFERROR(VLOOKUP($AA193,PLAN!$B:$AA,15,0),"")</f>
        <v>CHINA</v>
      </c>
      <c r="M193" s="77">
        <f>IFERROR(VLOOKUP($AA193,PLAN!$B:$AA,18,0),"")</f>
        <v>0</v>
      </c>
      <c r="N193" s="227">
        <f>IFERROR(VLOOKUP($AA193,PLAN!$B:$AA,19,0),"")</f>
        <v>0</v>
      </c>
      <c r="O193" s="77" t="str">
        <f>IFERROR(VLOOKUP($AA193,PLAN!$B:$AA,12,0),"")</f>
        <v>2112110-0-C-CN</v>
      </c>
      <c r="P193" s="77">
        <f>IFERROR(VLOOKUP($AA193,PLAN!$B:$AA,11,0),"")</f>
        <v>12130009</v>
      </c>
      <c r="Q193" s="148" t="s">
        <v>422</v>
      </c>
      <c r="R193" s="222" t="s">
        <v>423</v>
      </c>
      <c r="S193" s="149">
        <f t="shared" si="15"/>
        <v>6</v>
      </c>
      <c r="T193" s="131"/>
      <c r="U193" s="78">
        <f>IFERROR(VLOOKUP($AA193,PLAN!$B:$AA,21,0),"")</f>
        <v>46231</v>
      </c>
      <c r="V193" s="78" t="str">
        <f>IFERROR(VLOOKUP($AA193,PLAN!$B:$AA,22,0),"")</f>
        <v>M9</v>
      </c>
      <c r="W193" s="232"/>
      <c r="X193" s="233"/>
      <c r="Y193" s="212"/>
      <c r="Z193" s="350"/>
      <c r="AA193" s="195" t="s">
        <v>1691</v>
      </c>
      <c r="AB193" s="132">
        <f>VLOOKUP(AA193,PLAN!B:V,20,0)</f>
        <v>46231</v>
      </c>
      <c r="AC193" s="132"/>
    </row>
    <row r="194" spans="3:29" s="79" customFormat="1" ht="25.2" customHeight="1">
      <c r="C194" s="249" t="str">
        <f t="shared" si="12"/>
        <v>Aug14-04</v>
      </c>
      <c r="D194" s="77">
        <f>IFERROR(VLOOKUP($AA194,PLAN!$B:$AA,3,0),"")</f>
        <v>11134180</v>
      </c>
      <c r="E194" s="77" t="str">
        <f>IFERROR(VLOOKUP($AA194,PLAN!$B:$AA,4,0),"")</f>
        <v>1861006-G-A</v>
      </c>
      <c r="F194" s="77" t="str">
        <f>IFERROR(VLOOKUP($AA194,PLAN!$B:$AA,5,0),"")</f>
        <v>HW70AL100P10002 CN</v>
      </c>
      <c r="G194" s="77" t="str">
        <f>IFERROR(VLOOKUP($AA194,PLAN!$B:$AA,2,0),"")</f>
        <v>1001923414</v>
      </c>
      <c r="H194" s="113">
        <f>IFERROR(VLOOKUP($AA194,PLAN!$B:$AA,7,0),"")</f>
        <v>46248</v>
      </c>
      <c r="I194" s="77" t="str">
        <f>IFERROR(VLOOKUP($AA194,PLAN!$B:$AA,8,0),"")</f>
        <v>0103566728</v>
      </c>
      <c r="J194" s="77" t="str">
        <f>IFERROR(VLOOKUP($AA194,PLAN!$B:$AA,9,0),"")</f>
        <v>260721C04A</v>
      </c>
      <c r="K194" s="77">
        <f>IFERROR(VLOOKUP($AA194,PLAN!$B:$AA,10,0),"")</f>
        <v>7</v>
      </c>
      <c r="L194" s="77" t="str">
        <f>IFERROR(VLOOKUP($AA194,PLAN!$B:$AA,15,0),"")</f>
        <v>CHINA</v>
      </c>
      <c r="M194" s="77">
        <f>IFERROR(VLOOKUP($AA194,PLAN!$B:$AA,18,0),"")</f>
        <v>0</v>
      </c>
      <c r="N194" s="227">
        <f>IFERROR(VLOOKUP($AA194,PLAN!$B:$AA,19,0),"")</f>
        <v>0</v>
      </c>
      <c r="O194" s="77" t="str">
        <f>IFERROR(VLOOKUP($AA194,PLAN!$B:$AA,12,0),"")</f>
        <v>2112207-0-C-CN</v>
      </c>
      <c r="P194" s="77">
        <f>IFERROR(VLOOKUP($AA194,PLAN!$B:$AA,11,0),"")</f>
        <v>12130010</v>
      </c>
      <c r="Q194" s="148" t="s">
        <v>1707</v>
      </c>
      <c r="R194" s="222" t="s">
        <v>1708</v>
      </c>
      <c r="S194" s="149">
        <f t="shared" si="15"/>
        <v>7</v>
      </c>
      <c r="T194" s="131"/>
      <c r="U194" s="78">
        <f>IFERROR(VLOOKUP($AA194,PLAN!$B:$AA,21,0),"")</f>
        <v>46231</v>
      </c>
      <c r="V194" s="78" t="str">
        <f>IFERROR(VLOOKUP($AA194,PLAN!$B:$AA,22,0),"")</f>
        <v>M9</v>
      </c>
      <c r="W194" s="232"/>
      <c r="X194" s="233"/>
      <c r="Y194" s="212"/>
      <c r="Z194" s="350"/>
      <c r="AA194" s="195" t="s">
        <v>1692</v>
      </c>
      <c r="AB194" s="132">
        <f>VLOOKUP(AA194,PLAN!B:V,20,0)</f>
        <v>46231</v>
      </c>
      <c r="AC194" s="132"/>
    </row>
    <row r="195" spans="3:29" s="79" customFormat="1" ht="25.2" customHeight="1">
      <c r="C195" s="249" t="str">
        <f t="shared" si="12"/>
        <v>Aug14-05</v>
      </c>
      <c r="D195" s="77">
        <f>IFERROR(VLOOKUP($AA195,PLAN!$B:$AA,3,0),"")</f>
        <v>11134160</v>
      </c>
      <c r="E195" s="77" t="str">
        <f>IFERROR(VLOOKUP($AA195,PLAN!$B:$AA,4,0),"")</f>
        <v>1811955-G-A</v>
      </c>
      <c r="F195" s="77" t="str">
        <f>IFERROR(VLOOKUP($AA195,PLAN!$B:$AA,5,0),"")</f>
        <v>HW70JL350P10000 CN</v>
      </c>
      <c r="G195" s="77" t="str">
        <f>IFERROR(VLOOKUP($AA195,PLAN!$B:$AA,2,0),"")</f>
        <v>1001923415</v>
      </c>
      <c r="H195" s="113">
        <f>IFERROR(VLOOKUP($AA195,PLAN!$B:$AA,7,0),"")</f>
        <v>46248</v>
      </c>
      <c r="I195" s="77" t="str">
        <f>IFERROR(VLOOKUP($AA195,PLAN!$B:$AA,8,0),"")</f>
        <v>0103566729</v>
      </c>
      <c r="J195" s="77" t="str">
        <f>IFERROR(VLOOKUP($AA195,PLAN!$B:$AA,9,0),"")</f>
        <v>260721C05A</v>
      </c>
      <c r="K195" s="77">
        <f>IFERROR(VLOOKUP($AA195,PLAN!$B:$AA,10,0),"")</f>
        <v>10</v>
      </c>
      <c r="L195" s="77" t="str">
        <f>IFERROR(VLOOKUP($AA195,PLAN!$B:$AA,15,0),"")</f>
        <v>CHINA</v>
      </c>
      <c r="M195" s="77">
        <f>IFERROR(VLOOKUP($AA195,PLAN!$B:$AA,18,0),"")</f>
        <v>0</v>
      </c>
      <c r="N195" s="227">
        <f>IFERROR(VLOOKUP($AA195,PLAN!$B:$AA,19,0),"")</f>
        <v>0</v>
      </c>
      <c r="O195" s="77" t="str">
        <f>IFERROR(VLOOKUP($AA195,PLAN!$B:$AA,12,0),"")</f>
        <v>2112149-0-C-CN</v>
      </c>
      <c r="P195" s="77">
        <f>IFERROR(VLOOKUP($AA195,PLAN!$B:$AA,11,0),"")</f>
        <v>12130012</v>
      </c>
      <c r="Q195" s="349" t="s">
        <v>1709</v>
      </c>
      <c r="R195" s="149" t="s">
        <v>1710</v>
      </c>
      <c r="S195" s="149">
        <f t="shared" si="15"/>
        <v>10</v>
      </c>
      <c r="T195" s="131"/>
      <c r="U195" s="78">
        <f>IFERROR(VLOOKUP($AA195,PLAN!$B:$AA,21,0),"")</f>
        <v>46231</v>
      </c>
      <c r="V195" s="78" t="str">
        <f>IFERROR(VLOOKUP($AA195,PLAN!$B:$AA,22,0),"")</f>
        <v>M9</v>
      </c>
      <c r="W195" s="232"/>
      <c r="X195" s="233"/>
      <c r="Y195" s="212"/>
      <c r="Z195" s="350"/>
      <c r="AA195" s="195" t="s">
        <v>1693</v>
      </c>
      <c r="AB195" s="132">
        <f>VLOOKUP(AA195,PLAN!B:V,20,0)</f>
        <v>46231</v>
      </c>
      <c r="AC195" s="132"/>
    </row>
    <row r="196" spans="3:29" s="79" customFormat="1" ht="25.2" customHeight="1">
      <c r="C196" s="249" t="str">
        <f t="shared" si="12"/>
        <v>Aug14-06</v>
      </c>
      <c r="D196" s="77">
        <f>IFERROR(VLOOKUP($AA196,PLAN!$B:$AA,3,0),"")</f>
        <v>11134163</v>
      </c>
      <c r="E196" s="77" t="str">
        <f>IFERROR(VLOOKUP($AA196,PLAN!$B:$AA,4,0),"")</f>
        <v>1811959-G-A</v>
      </c>
      <c r="F196" s="77" t="str">
        <f>IFERROR(VLOOKUP($AA196,PLAN!$B:$AA,5,0),"")</f>
        <v>HW70JL400P10000 CN</v>
      </c>
      <c r="G196" s="77" t="str">
        <f>IFERROR(VLOOKUP($AA196,PLAN!$B:$AA,2,0),"")</f>
        <v>1001923417</v>
      </c>
      <c r="H196" s="113">
        <f>IFERROR(VLOOKUP($AA196,PLAN!$B:$AA,7,0),"")</f>
        <v>46248</v>
      </c>
      <c r="I196" s="77" t="str">
        <f>IFERROR(VLOOKUP($AA196,PLAN!$B:$AA,8,0),"")</f>
        <v>0103566730</v>
      </c>
      <c r="J196" s="77" t="str">
        <f>IFERROR(VLOOKUP($AA196,PLAN!$B:$AA,9,0),"")</f>
        <v>260721C06A</v>
      </c>
      <c r="K196" s="77">
        <f>IFERROR(VLOOKUP($AA196,PLAN!$B:$AA,10,0),"")</f>
        <v>20</v>
      </c>
      <c r="L196" s="77" t="str">
        <f>IFERROR(VLOOKUP($AA196,PLAN!$B:$AA,15,0),"")</f>
        <v>CHINA</v>
      </c>
      <c r="M196" s="77">
        <f>IFERROR(VLOOKUP($AA196,PLAN!$B:$AA,18,0),"")</f>
        <v>0</v>
      </c>
      <c r="N196" s="227">
        <f>IFERROR(VLOOKUP($AA196,PLAN!$B:$AA,19,0),"")</f>
        <v>0</v>
      </c>
      <c r="O196" s="77" t="str">
        <f>IFERROR(VLOOKUP($AA196,PLAN!$B:$AA,12,0),"")</f>
        <v>2112156-0-C-CN</v>
      </c>
      <c r="P196" s="77">
        <f>IFERROR(VLOOKUP($AA196,PLAN!$B:$AA,11,0),"")</f>
        <v>12130013</v>
      </c>
      <c r="Q196" s="349" t="s">
        <v>1711</v>
      </c>
      <c r="R196" s="149" t="s">
        <v>1712</v>
      </c>
      <c r="S196" s="149">
        <f t="shared" si="15"/>
        <v>20</v>
      </c>
      <c r="T196" s="131"/>
      <c r="U196" s="78">
        <f>IFERROR(VLOOKUP($AA196,PLAN!$B:$AA,21,0),"")</f>
        <v>46231</v>
      </c>
      <c r="V196" s="78" t="str">
        <f>IFERROR(VLOOKUP($AA196,PLAN!$B:$AA,22,0),"")</f>
        <v>M9</v>
      </c>
      <c r="W196" s="232"/>
      <c r="X196" s="233"/>
      <c r="Y196" s="212"/>
      <c r="Z196" s="350"/>
      <c r="AA196" s="195" t="s">
        <v>1694</v>
      </c>
      <c r="AB196" s="132">
        <f>VLOOKUP(AA196,PLAN!B:V,20,0)</f>
        <v>46231</v>
      </c>
      <c r="AC196" s="132"/>
    </row>
    <row r="197" spans="3:29" s="79" customFormat="1" ht="25.2" customHeight="1">
      <c r="C197" s="249" t="str">
        <f t="shared" si="12"/>
        <v>Aug14-07</v>
      </c>
      <c r="D197" s="77">
        <f>IFERROR(VLOOKUP($AA197,PLAN!$B:$AA,3,0),"")</f>
        <v>11134166</v>
      </c>
      <c r="E197" s="77" t="str">
        <f>IFERROR(VLOOKUP($AA197,PLAN!$B:$AA,4,0),"")</f>
        <v>1811977-G-A</v>
      </c>
      <c r="F197" s="77" t="str">
        <f>IFERROR(VLOOKUP($AA197,PLAN!$B:$AA,5,0),"")</f>
        <v>HW70JR350P10000 CN</v>
      </c>
      <c r="G197" s="77" t="str">
        <f>IFERROR(VLOOKUP($AA197,PLAN!$B:$AA,2,0),"")</f>
        <v>1001923418</v>
      </c>
      <c r="H197" s="113">
        <f>IFERROR(VLOOKUP($AA197,PLAN!$B:$AA,7,0),"")</f>
        <v>46248</v>
      </c>
      <c r="I197" s="77" t="str">
        <f>IFERROR(VLOOKUP($AA197,PLAN!$B:$AA,8,0),"")</f>
        <v>0103566731</v>
      </c>
      <c r="J197" s="77" t="str">
        <f>IFERROR(VLOOKUP($AA197,PLAN!$B:$AA,9,0),"")</f>
        <v>260721C07A</v>
      </c>
      <c r="K197" s="77">
        <f>IFERROR(VLOOKUP($AA197,PLAN!$B:$AA,10,0),"")</f>
        <v>10</v>
      </c>
      <c r="L197" s="77" t="str">
        <f>IFERROR(VLOOKUP($AA197,PLAN!$B:$AA,15,0),"")</f>
        <v>CHINA</v>
      </c>
      <c r="M197" s="77">
        <f>IFERROR(VLOOKUP($AA197,PLAN!$B:$AA,18,0),"")</f>
        <v>0</v>
      </c>
      <c r="N197" s="227">
        <f>IFERROR(VLOOKUP($AA197,PLAN!$B:$AA,19,0),"")</f>
        <v>0</v>
      </c>
      <c r="O197" s="77" t="str">
        <f>IFERROR(VLOOKUP($AA197,PLAN!$B:$AA,12,0),"")</f>
        <v>2112171-0-C-CN</v>
      </c>
      <c r="P197" s="77">
        <f>IFERROR(VLOOKUP($AA197,PLAN!$B:$AA,11,0),"")</f>
        <v>12130014</v>
      </c>
      <c r="Q197" s="349" t="s">
        <v>1713</v>
      </c>
      <c r="R197" s="149" t="s">
        <v>1714</v>
      </c>
      <c r="S197" s="149">
        <f t="shared" si="15"/>
        <v>10</v>
      </c>
      <c r="T197" s="131"/>
      <c r="U197" s="78">
        <f>IFERROR(VLOOKUP($AA197,PLAN!$B:$AA,21,0),"")</f>
        <v>46231</v>
      </c>
      <c r="V197" s="78" t="str">
        <f>IFERROR(VLOOKUP($AA197,PLAN!$B:$AA,22,0),"")</f>
        <v>M9</v>
      </c>
      <c r="W197" s="232"/>
      <c r="X197" s="233"/>
      <c r="Y197" s="212"/>
      <c r="Z197" s="350"/>
      <c r="AA197" s="195" t="s">
        <v>1695</v>
      </c>
      <c r="AB197" s="132">
        <f>VLOOKUP(AA197,PLAN!B:V,20,0)</f>
        <v>46231</v>
      </c>
      <c r="AC197" s="132"/>
    </row>
    <row r="198" spans="3:29" s="79" customFormat="1" ht="25.2" customHeight="1">
      <c r="C198" s="249" t="str">
        <f t="shared" si="12"/>
        <v>Aug14-08</v>
      </c>
      <c r="D198" s="77">
        <f>IFERROR(VLOOKUP($AA198,PLAN!$B:$AA,3,0),"")</f>
        <v>11134168</v>
      </c>
      <c r="E198" s="77" t="str">
        <f>IFERROR(VLOOKUP($AA198,PLAN!$B:$AA,4,0),"")</f>
        <v>1811979-G-A</v>
      </c>
      <c r="F198" s="77" t="str">
        <f>IFERROR(VLOOKUP($AA198,PLAN!$B:$AA,5,0),"")</f>
        <v>HW70JR400P10000 CN</v>
      </c>
      <c r="G198" s="77" t="str">
        <f>IFERROR(VLOOKUP($AA198,PLAN!$B:$AA,2,0),"")</f>
        <v>1001923419</v>
      </c>
      <c r="H198" s="113">
        <f>IFERROR(VLOOKUP($AA198,PLAN!$B:$AA,7,0),"")</f>
        <v>46248</v>
      </c>
      <c r="I198" s="77" t="str">
        <f>IFERROR(VLOOKUP($AA198,PLAN!$B:$AA,8,0),"")</f>
        <v>0103566732</v>
      </c>
      <c r="J198" s="77" t="str">
        <f>IFERROR(VLOOKUP($AA198,PLAN!$B:$AA,9,0),"")</f>
        <v>260721C08A</v>
      </c>
      <c r="K198" s="77">
        <f>IFERROR(VLOOKUP($AA198,PLAN!$B:$AA,10,0),"")</f>
        <v>26</v>
      </c>
      <c r="L198" s="77" t="str">
        <f>IFERROR(VLOOKUP($AA198,PLAN!$B:$AA,15,0),"")</f>
        <v>CHINA</v>
      </c>
      <c r="M198" s="77">
        <f>IFERROR(VLOOKUP($AA198,PLAN!$B:$AA,18,0),"")</f>
        <v>0</v>
      </c>
      <c r="N198" s="227">
        <f>IFERROR(VLOOKUP($AA198,PLAN!$B:$AA,19,0),"")</f>
        <v>0</v>
      </c>
      <c r="O198" s="77" t="str">
        <f>IFERROR(VLOOKUP($AA198,PLAN!$B:$AA,12,0),"")</f>
        <v>2112175-0-C-CN</v>
      </c>
      <c r="P198" s="77">
        <f>IFERROR(VLOOKUP($AA198,PLAN!$B:$AA,11,0),"")</f>
        <v>12130015</v>
      </c>
      <c r="Q198" s="349" t="s">
        <v>1715</v>
      </c>
      <c r="R198" s="149" t="s">
        <v>1716</v>
      </c>
      <c r="S198" s="149">
        <f t="shared" si="15"/>
        <v>26</v>
      </c>
      <c r="T198" s="131"/>
      <c r="U198" s="78">
        <f>IFERROR(VLOOKUP($AA198,PLAN!$B:$AA,21,0),"")</f>
        <v>46231</v>
      </c>
      <c r="V198" s="78" t="str">
        <f>IFERROR(VLOOKUP($AA198,PLAN!$B:$AA,22,0),"")</f>
        <v>M9</v>
      </c>
      <c r="W198" s="232"/>
      <c r="X198" s="233"/>
      <c r="Y198" s="212"/>
      <c r="Z198" s="350"/>
      <c r="AA198" s="195" t="s">
        <v>1696</v>
      </c>
      <c r="AB198" s="132">
        <f>VLOOKUP(AA198,PLAN!B:V,20,0)</f>
        <v>46231</v>
      </c>
      <c r="AC198" s="132"/>
    </row>
    <row r="199" spans="3:29" s="79" customFormat="1" ht="25.2" customHeight="1">
      <c r="C199" s="249" t="str">
        <f t="shared" si="12"/>
        <v>Aug14-09</v>
      </c>
      <c r="D199" s="77">
        <f>IFERROR(VLOOKUP($AA199,PLAN!$B:$AA,3,0),"")</f>
        <v>11134137</v>
      </c>
      <c r="E199" s="77" t="str">
        <f>IFERROR(VLOOKUP($AA199,PLAN!$B:$AA,4,0),"")</f>
        <v>1811875-J-A</v>
      </c>
      <c r="F199" s="77" t="str">
        <f>IFERROR(VLOOKUP($AA199,PLAN!$B:$AA,5,0),"")</f>
        <v>HW60AL070P10002 CN</v>
      </c>
      <c r="G199" s="77" t="str">
        <f>IFERROR(VLOOKUP($AA199,PLAN!$B:$AA,2,0),"")</f>
        <v>1001923420</v>
      </c>
      <c r="H199" s="113">
        <f>IFERROR(VLOOKUP($AA199,PLAN!$B:$AA,7,0),"")</f>
        <v>46248</v>
      </c>
      <c r="I199" s="77" t="str">
        <f>IFERROR(VLOOKUP($AA199,PLAN!$B:$AA,8,0),"")</f>
        <v>0103566733</v>
      </c>
      <c r="J199" s="77" t="str">
        <f>IFERROR(VLOOKUP($AA199,PLAN!$B:$AA,9,0),"")</f>
        <v>260721C09A</v>
      </c>
      <c r="K199" s="77">
        <f>IFERROR(VLOOKUP($AA199,PLAN!$B:$AA,10,0),"")</f>
        <v>132</v>
      </c>
      <c r="L199" s="77" t="str">
        <f>IFERROR(VLOOKUP($AA199,PLAN!$B:$AA,15,0),"")</f>
        <v>CHINA</v>
      </c>
      <c r="M199" s="77">
        <f>IFERROR(VLOOKUP($AA199,PLAN!$B:$AA,18,0),"")</f>
        <v>0</v>
      </c>
      <c r="N199" s="227">
        <f>IFERROR(VLOOKUP($AA199,PLAN!$B:$AA,19,0),"")</f>
        <v>0</v>
      </c>
      <c r="O199" s="77" t="str">
        <f>IFERROR(VLOOKUP($AA199,PLAN!$B:$AA,12,0),"")</f>
        <v>2112083-0-C-CN</v>
      </c>
      <c r="P199" s="77">
        <f>IFERROR(VLOOKUP($AA199,PLAN!$B:$AA,11,0),"")</f>
        <v>12129986</v>
      </c>
      <c r="Q199" s="277" t="s">
        <v>1585</v>
      </c>
      <c r="R199" s="149" t="s">
        <v>1586</v>
      </c>
      <c r="S199" s="348">
        <v>32</v>
      </c>
      <c r="T199" s="131"/>
      <c r="U199" s="78">
        <f>IFERROR(VLOOKUP($AA199,PLAN!$B:$AA,21,0),"")</f>
        <v>46231</v>
      </c>
      <c r="V199" s="78" t="str">
        <f>IFERROR(VLOOKUP($AA199,PLAN!$B:$AA,22,0),"")</f>
        <v>M9</v>
      </c>
      <c r="W199" s="232"/>
      <c r="X199" s="233"/>
      <c r="Y199" s="212"/>
      <c r="Z199" s="350"/>
      <c r="AA199" s="195" t="s">
        <v>1697</v>
      </c>
      <c r="AB199" s="132">
        <f>VLOOKUP(AA199,PLAN!B:V,20,0)</f>
        <v>46231</v>
      </c>
      <c r="AC199" s="132"/>
    </row>
    <row r="200" spans="3:29" s="79" customFormat="1" ht="25.2" customHeight="1">
      <c r="C200" s="249"/>
      <c r="D200" s="77"/>
      <c r="E200" s="77"/>
      <c r="F200" s="77"/>
      <c r="G200" s="77"/>
      <c r="H200" s="113"/>
      <c r="I200" s="77"/>
      <c r="J200" s="77"/>
      <c r="K200" s="77"/>
      <c r="L200" s="77"/>
      <c r="M200" s="77"/>
      <c r="N200" s="227"/>
      <c r="O200" s="77"/>
      <c r="P200" s="77"/>
      <c r="Q200" s="277" t="s">
        <v>1717</v>
      </c>
      <c r="R200" s="149" t="s">
        <v>1718</v>
      </c>
      <c r="S200" s="348">
        <v>100</v>
      </c>
      <c r="T200" s="131"/>
      <c r="U200" s="78"/>
      <c r="V200" s="78"/>
      <c r="W200" s="232"/>
      <c r="X200" s="233"/>
      <c r="Y200" s="212"/>
      <c r="Z200" s="350"/>
      <c r="AA200" s="195"/>
      <c r="AB200" s="132">
        <v>46231</v>
      </c>
      <c r="AC200" s="132"/>
    </row>
    <row r="201" spans="3:29" s="79" customFormat="1" ht="25.2" customHeight="1">
      <c r="C201" s="249" t="str">
        <f t="shared" si="12"/>
        <v>Aug14-10</v>
      </c>
      <c r="D201" s="77">
        <f>IFERROR(VLOOKUP($AA201,PLAN!$B:$AA,3,0),"")</f>
        <v>11134137</v>
      </c>
      <c r="E201" s="77" t="str">
        <f>IFERROR(VLOOKUP($AA201,PLAN!$B:$AA,4,0),"")</f>
        <v>1811875-J-A</v>
      </c>
      <c r="F201" s="77" t="str">
        <f>IFERROR(VLOOKUP($AA201,PLAN!$B:$AA,5,0),"")</f>
        <v>HW60AL070P10002 CN</v>
      </c>
      <c r="G201" s="77" t="str">
        <f>IFERROR(VLOOKUP($AA201,PLAN!$B:$AA,2,0),"")</f>
        <v>1001923421</v>
      </c>
      <c r="H201" s="113">
        <f>IFERROR(VLOOKUP($AA201,PLAN!$B:$AA,7,0),"")</f>
        <v>46248</v>
      </c>
      <c r="I201" s="77" t="str">
        <f>IFERROR(VLOOKUP($AA201,PLAN!$B:$AA,8,0),"")</f>
        <v>0103566734</v>
      </c>
      <c r="J201" s="77" t="str">
        <f>IFERROR(VLOOKUP($AA201,PLAN!$B:$AA,9,0),"")</f>
        <v>260721C10A</v>
      </c>
      <c r="K201" s="77">
        <f>IFERROR(VLOOKUP($AA201,PLAN!$B:$AA,10,0),"")</f>
        <v>765</v>
      </c>
      <c r="L201" s="77" t="str">
        <f>IFERROR(VLOOKUP($AA201,PLAN!$B:$AA,15,0),"")</f>
        <v>CHINA</v>
      </c>
      <c r="M201" s="77">
        <f>IFERROR(VLOOKUP($AA201,PLAN!$B:$AA,18,0),"")</f>
        <v>0</v>
      </c>
      <c r="N201" s="227">
        <f>IFERROR(VLOOKUP($AA201,PLAN!$B:$AA,19,0),"")</f>
        <v>0</v>
      </c>
      <c r="O201" s="77" t="str">
        <f>IFERROR(VLOOKUP($AA201,PLAN!$B:$AA,12,0),"")</f>
        <v>2112083-0-C-CN</v>
      </c>
      <c r="P201" s="77">
        <f>IFERROR(VLOOKUP($AA201,PLAN!$B:$AA,11,0),"")</f>
        <v>12129986</v>
      </c>
      <c r="Q201" s="277" t="s">
        <v>1719</v>
      </c>
      <c r="R201" s="222" t="s">
        <v>1720</v>
      </c>
      <c r="S201" s="223">
        <v>110</v>
      </c>
      <c r="T201" s="131"/>
      <c r="U201" s="78">
        <f>IFERROR(VLOOKUP($AA201,PLAN!$B:$AA,21,0),"")</f>
        <v>46231</v>
      </c>
      <c r="V201" s="78" t="str">
        <f>IFERROR(VLOOKUP($AA201,PLAN!$B:$AA,22,0),"")</f>
        <v>M9</v>
      </c>
      <c r="W201" s="232"/>
      <c r="X201" s="233"/>
      <c r="Y201" s="212"/>
      <c r="Z201" s="350"/>
      <c r="AA201" s="195" t="s">
        <v>1698</v>
      </c>
      <c r="AB201" s="132">
        <f>VLOOKUP(AA201,PLAN!B:V,20,0)</f>
        <v>46231</v>
      </c>
      <c r="AC201" s="132"/>
    </row>
    <row r="202" spans="3:29" s="79" customFormat="1" ht="25.2" customHeight="1">
      <c r="C202" s="249"/>
      <c r="D202" s="77"/>
      <c r="E202" s="77"/>
      <c r="F202" s="77"/>
      <c r="G202" s="77"/>
      <c r="H202" s="113"/>
      <c r="I202" s="77"/>
      <c r="J202" s="77"/>
      <c r="K202" s="77"/>
      <c r="L202" s="77"/>
      <c r="M202" s="77"/>
      <c r="N202" s="227"/>
      <c r="O202" s="77"/>
      <c r="P202" s="77"/>
      <c r="Q202" s="277" t="s">
        <v>1721</v>
      </c>
      <c r="R202" s="149" t="s">
        <v>1722</v>
      </c>
      <c r="S202" s="223">
        <v>100</v>
      </c>
      <c r="T202" s="131"/>
      <c r="U202" s="78"/>
      <c r="V202" s="78"/>
      <c r="W202" s="232"/>
      <c r="X202" s="233"/>
      <c r="Y202" s="212"/>
      <c r="Z202" s="350"/>
      <c r="AA202" s="195"/>
      <c r="AB202" s="132">
        <v>46231</v>
      </c>
      <c r="AC202" s="132"/>
    </row>
    <row r="203" spans="3:29" s="79" customFormat="1" ht="25.2" customHeight="1">
      <c r="C203" s="249"/>
      <c r="D203" s="77"/>
      <c r="E203" s="77"/>
      <c r="F203" s="77"/>
      <c r="G203" s="77"/>
      <c r="H203" s="113"/>
      <c r="I203" s="77"/>
      <c r="J203" s="77"/>
      <c r="K203" s="77"/>
      <c r="L203" s="77"/>
      <c r="M203" s="77"/>
      <c r="N203" s="227"/>
      <c r="O203" s="77"/>
      <c r="P203" s="77"/>
      <c r="Q203" s="277" t="s">
        <v>1723</v>
      </c>
      <c r="R203" s="222" t="s">
        <v>1724</v>
      </c>
      <c r="S203" s="223">
        <v>110</v>
      </c>
      <c r="T203" s="131"/>
      <c r="U203" s="78"/>
      <c r="V203" s="78"/>
      <c r="W203" s="232"/>
      <c r="X203" s="233"/>
      <c r="Y203" s="212"/>
      <c r="Z203" s="350"/>
      <c r="AA203" s="195"/>
      <c r="AB203" s="132">
        <v>46231</v>
      </c>
      <c r="AC203" s="132"/>
    </row>
    <row r="204" spans="3:29" s="79" customFormat="1" ht="25.2" customHeight="1">
      <c r="C204" s="249"/>
      <c r="D204" s="77"/>
      <c r="E204" s="77"/>
      <c r="F204" s="77"/>
      <c r="G204" s="77"/>
      <c r="H204" s="113"/>
      <c r="I204" s="77"/>
      <c r="J204" s="77"/>
      <c r="K204" s="77"/>
      <c r="L204" s="77"/>
      <c r="M204" s="77"/>
      <c r="N204" s="227"/>
      <c r="O204" s="77"/>
      <c r="P204" s="77"/>
      <c r="Q204" s="277" t="s">
        <v>1725</v>
      </c>
      <c r="R204" s="149" t="s">
        <v>1726</v>
      </c>
      <c r="S204" s="223">
        <v>100</v>
      </c>
      <c r="T204" s="131"/>
      <c r="U204" s="78"/>
      <c r="V204" s="78"/>
      <c r="W204" s="232"/>
      <c r="X204" s="233"/>
      <c r="Y204" s="212"/>
      <c r="Z204" s="350"/>
      <c r="AA204" s="195"/>
      <c r="AB204" s="132">
        <v>46231</v>
      </c>
      <c r="AC204" s="132"/>
    </row>
    <row r="205" spans="3:29" s="79" customFormat="1" ht="25.2" customHeight="1">
      <c r="C205" s="249"/>
      <c r="D205" s="77"/>
      <c r="E205" s="77"/>
      <c r="F205" s="77"/>
      <c r="G205" s="77"/>
      <c r="H205" s="113"/>
      <c r="I205" s="77"/>
      <c r="J205" s="77"/>
      <c r="K205" s="77"/>
      <c r="L205" s="77"/>
      <c r="M205" s="77"/>
      <c r="N205" s="227"/>
      <c r="O205" s="77"/>
      <c r="P205" s="77"/>
      <c r="Q205" s="277" t="s">
        <v>1727</v>
      </c>
      <c r="R205" s="149" t="s">
        <v>1728</v>
      </c>
      <c r="S205" s="223">
        <v>110</v>
      </c>
      <c r="T205" s="131"/>
      <c r="U205" s="78"/>
      <c r="V205" s="78"/>
      <c r="W205" s="232"/>
      <c r="X205" s="233"/>
      <c r="Y205" s="212"/>
      <c r="Z205" s="350"/>
      <c r="AA205" s="195"/>
      <c r="AB205" s="132">
        <v>46231</v>
      </c>
      <c r="AC205" s="132"/>
    </row>
    <row r="206" spans="3:29" s="79" customFormat="1" ht="25.2" customHeight="1">
      <c r="C206" s="249"/>
      <c r="D206" s="77"/>
      <c r="E206" s="77"/>
      <c r="F206" s="77"/>
      <c r="G206" s="77"/>
      <c r="H206" s="113"/>
      <c r="I206" s="77"/>
      <c r="J206" s="77"/>
      <c r="K206" s="77"/>
      <c r="L206" s="77"/>
      <c r="M206" s="77"/>
      <c r="N206" s="227"/>
      <c r="O206" s="77"/>
      <c r="P206" s="77"/>
      <c r="Q206" s="277" t="s">
        <v>1729</v>
      </c>
      <c r="R206" s="149" t="s">
        <v>1730</v>
      </c>
      <c r="S206" s="223">
        <v>100</v>
      </c>
      <c r="T206" s="131"/>
      <c r="U206" s="78"/>
      <c r="V206" s="78"/>
      <c r="W206" s="232"/>
      <c r="X206" s="233"/>
      <c r="Y206" s="212"/>
      <c r="Z206" s="350"/>
      <c r="AA206" s="195"/>
      <c r="AB206" s="132">
        <v>46231</v>
      </c>
      <c r="AC206" s="132"/>
    </row>
    <row r="207" spans="3:29" s="79" customFormat="1" ht="25.2" customHeight="1">
      <c r="C207" s="249"/>
      <c r="D207" s="77"/>
      <c r="E207" s="77"/>
      <c r="F207" s="77"/>
      <c r="G207" s="77"/>
      <c r="H207" s="113"/>
      <c r="I207" s="77"/>
      <c r="J207" s="77"/>
      <c r="K207" s="77"/>
      <c r="L207" s="77"/>
      <c r="M207" s="77"/>
      <c r="N207" s="227"/>
      <c r="O207" s="77"/>
      <c r="P207" s="77"/>
      <c r="Q207" s="277" t="s">
        <v>1731</v>
      </c>
      <c r="R207" s="149" t="s">
        <v>1732</v>
      </c>
      <c r="S207" s="223">
        <v>110</v>
      </c>
      <c r="T207" s="131"/>
      <c r="U207" s="78"/>
      <c r="V207" s="78"/>
      <c r="W207" s="232"/>
      <c r="X207" s="233"/>
      <c r="Y207" s="212"/>
      <c r="Z207" s="350"/>
      <c r="AA207" s="195"/>
      <c r="AB207" s="132">
        <v>46231</v>
      </c>
      <c r="AC207" s="132"/>
    </row>
    <row r="208" spans="3:29" s="79" customFormat="1" ht="25.2" customHeight="1">
      <c r="C208" s="249">
        <f t="shared" si="12"/>
        <v>0</v>
      </c>
      <c r="D208" s="77" t="str">
        <f>IFERROR(VLOOKUP($AA208,PLAN!$B:$AA,3,0),"")</f>
        <v/>
      </c>
      <c r="E208" s="77" t="str">
        <f>IFERROR(VLOOKUP($AA208,PLAN!$B:$AA,4,0),"")</f>
        <v/>
      </c>
      <c r="F208" s="77" t="str">
        <f>IFERROR(VLOOKUP($AA208,PLAN!$B:$AA,5,0),"")</f>
        <v/>
      </c>
      <c r="G208" s="77" t="str">
        <f>IFERROR(VLOOKUP($AA208,PLAN!$B:$AA,2,0),"")</f>
        <v/>
      </c>
      <c r="H208" s="113" t="str">
        <f>IFERROR(VLOOKUP($AA208,PLAN!$B:$AA,7,0),"")</f>
        <v/>
      </c>
      <c r="I208" s="77" t="str">
        <f>IFERROR(VLOOKUP($AA208,PLAN!$B:$AA,8,0),"")</f>
        <v/>
      </c>
      <c r="J208" s="77" t="str">
        <f>IFERROR(VLOOKUP($AA208,PLAN!$B:$AA,9,0),"")</f>
        <v/>
      </c>
      <c r="K208" s="77" t="str">
        <f>IFERROR(VLOOKUP($AA208,PLAN!$B:$AA,10,0),"")</f>
        <v/>
      </c>
      <c r="L208" s="77" t="str">
        <f>IFERROR(VLOOKUP($AA208,PLAN!$B:$AA,15,0),"")</f>
        <v/>
      </c>
      <c r="M208" s="77" t="str">
        <f>IFERROR(VLOOKUP($AA208,PLAN!$B:$AA,18,0),"")</f>
        <v/>
      </c>
      <c r="N208" s="227" t="str">
        <f>IFERROR(VLOOKUP($AA208,PLAN!$B:$AA,19,0),"")</f>
        <v/>
      </c>
      <c r="O208" s="77" t="str">
        <f>IFERROR(VLOOKUP($AA208,PLAN!$B:$AA,12,0),"")</f>
        <v/>
      </c>
      <c r="P208" s="77" t="str">
        <f>IFERROR(VLOOKUP($AA208,PLAN!$B:$AA,11,0),"")</f>
        <v/>
      </c>
      <c r="Q208" s="277" t="s">
        <v>1733</v>
      </c>
      <c r="R208" s="149" t="s">
        <v>1734</v>
      </c>
      <c r="S208" s="223">
        <f>K201-S201-S202-S203-S204-S205-S206-S207</f>
        <v>25</v>
      </c>
      <c r="T208" s="131"/>
      <c r="U208" s="78" t="str">
        <f>IFERROR(VLOOKUP($AA208,PLAN!$B:$AA,21,0),"")</f>
        <v/>
      </c>
      <c r="V208" s="78" t="str">
        <f>IFERROR(VLOOKUP($AA208,PLAN!$B:$AA,22,0),"")</f>
        <v/>
      </c>
      <c r="W208" s="232"/>
      <c r="X208" s="233"/>
      <c r="Y208" s="212"/>
      <c r="Z208" s="350"/>
      <c r="AA208" s="195"/>
      <c r="AB208" s="132">
        <v>46231</v>
      </c>
      <c r="AC208" s="132"/>
    </row>
    <row r="209" spans="3:29" s="79" customFormat="1" ht="25.2" customHeight="1">
      <c r="C209" s="249" t="str">
        <f t="shared" si="12"/>
        <v>Aug14-11</v>
      </c>
      <c r="D209" s="77">
        <f>IFERROR(VLOOKUP($AA209,PLAN!$B:$AA,3,0),"")</f>
        <v>11134125</v>
      </c>
      <c r="E209" s="77" t="str">
        <f>IFERROR(VLOOKUP($AA209,PLAN!$B:$AA,4,0),"")</f>
        <v>1811851-J-A</v>
      </c>
      <c r="F209" s="77" t="str">
        <f>IFERROR(VLOOKUP($AA209,PLAN!$B:$AA,5,0),"")</f>
        <v>HW60JR400P10000 CN</v>
      </c>
      <c r="G209" s="77" t="str">
        <f>IFERROR(VLOOKUP($AA209,PLAN!$B:$AA,2,0),"")</f>
        <v>1001923423</v>
      </c>
      <c r="H209" s="113">
        <f>IFERROR(VLOOKUP($AA209,PLAN!$B:$AA,7,0),"")</f>
        <v>46248</v>
      </c>
      <c r="I209" s="77" t="str">
        <f>IFERROR(VLOOKUP($AA209,PLAN!$B:$AA,8,0),"")</f>
        <v>0103566736</v>
      </c>
      <c r="J209" s="77" t="str">
        <f>IFERROR(VLOOKUP($AA209,PLAN!$B:$AA,9,0),"")</f>
        <v>260721C11A</v>
      </c>
      <c r="K209" s="77">
        <f>IFERROR(VLOOKUP($AA209,PLAN!$B:$AA,10,0),"")</f>
        <v>183</v>
      </c>
      <c r="L209" s="77" t="str">
        <f>IFERROR(VLOOKUP($AA209,PLAN!$B:$AA,15,0),"")</f>
        <v>CHINA</v>
      </c>
      <c r="M209" s="77">
        <f>IFERROR(VLOOKUP($AA209,PLAN!$B:$AA,18,0),"")</f>
        <v>3</v>
      </c>
      <c r="N209" s="227">
        <f>IFERROR(VLOOKUP($AA209,PLAN!$B:$AA,19,0),"")</f>
        <v>3</v>
      </c>
      <c r="O209" s="77" t="str">
        <f>IFERROR(VLOOKUP($AA209,PLAN!$B:$AA,12,0),"")</f>
        <v>2112061-0-C-CN</v>
      </c>
      <c r="P209" s="77">
        <f>IFERROR(VLOOKUP($AA209,PLAN!$B:$AA,11,0),"")</f>
        <v>12129992</v>
      </c>
      <c r="Q209" s="277" t="s">
        <v>1232</v>
      </c>
      <c r="R209" s="149" t="s">
        <v>1233</v>
      </c>
      <c r="S209" s="223">
        <v>38</v>
      </c>
      <c r="T209" s="131"/>
      <c r="U209" s="78">
        <f>IFERROR(VLOOKUP($AA209,PLAN!$B:$AA,21,0),"")</f>
        <v>46231</v>
      </c>
      <c r="V209" s="78" t="str">
        <f>IFERROR(VLOOKUP($AA209,PLAN!$B:$AA,22,0),"")</f>
        <v>M9</v>
      </c>
      <c r="W209" s="232"/>
      <c r="X209" s="233"/>
      <c r="Y209" s="212"/>
      <c r="Z209" s="350"/>
      <c r="AA209" s="195" t="s">
        <v>1699</v>
      </c>
      <c r="AB209" s="132">
        <f>VLOOKUP(AA209,PLAN!B:V,20,0)</f>
        <v>46231</v>
      </c>
      <c r="AC209" s="132"/>
    </row>
    <row r="210" spans="3:29" s="79" customFormat="1" ht="25.2" customHeight="1">
      <c r="C210" s="249"/>
      <c r="D210" s="77"/>
      <c r="E210" s="77"/>
      <c r="F210" s="77"/>
      <c r="G210" s="77"/>
      <c r="H210" s="113"/>
      <c r="I210" s="77"/>
      <c r="J210" s="77"/>
      <c r="K210" s="77"/>
      <c r="L210" s="77"/>
      <c r="M210" s="77"/>
      <c r="N210" s="227"/>
      <c r="O210" s="77"/>
      <c r="P210" s="77"/>
      <c r="Q210" s="277" t="s">
        <v>1735</v>
      </c>
      <c r="R210" s="149" t="s">
        <v>1736</v>
      </c>
      <c r="S210" s="223">
        <f>K209-S209</f>
        <v>145</v>
      </c>
      <c r="T210" s="131"/>
      <c r="U210" s="78"/>
      <c r="V210" s="78"/>
      <c r="W210" s="232"/>
      <c r="X210" s="233"/>
      <c r="Y210" s="212"/>
      <c r="Z210" s="350"/>
      <c r="AA210" s="195"/>
      <c r="AB210" s="132">
        <v>46231</v>
      </c>
      <c r="AC210" s="132"/>
    </row>
    <row r="211" spans="3:29" s="79" customFormat="1" ht="25.2" customHeight="1">
      <c r="C211" s="249" t="str">
        <f t="shared" ref="C211" si="16">AA211</f>
        <v>Aug15-02</v>
      </c>
      <c r="D211" s="77">
        <f>IFERROR(VLOOKUP($AA211,PLAN!$B:$AA,3,0),"")</f>
        <v>11134125</v>
      </c>
      <c r="E211" s="77" t="str">
        <f>IFERROR(VLOOKUP($AA211,PLAN!$B:$AA,4,0),"")</f>
        <v>1811851-J-A</v>
      </c>
      <c r="F211" s="77" t="str">
        <f>IFERROR(VLOOKUP($AA211,PLAN!$B:$AA,5,0),"")</f>
        <v>HW60JR400P10000 CN</v>
      </c>
      <c r="G211" s="77" t="str">
        <f>IFERROR(VLOOKUP($AA211,PLAN!$B:$AA,2,0),"")</f>
        <v>1001923424</v>
      </c>
      <c r="H211" s="113">
        <f>IFERROR(VLOOKUP($AA211,PLAN!$B:$AA,7,0),"")</f>
        <v>46249</v>
      </c>
      <c r="I211" s="77" t="str">
        <f>IFERROR(VLOOKUP($AA211,PLAN!$B:$AA,8,0),"")</f>
        <v>0103566737</v>
      </c>
      <c r="J211" s="77" t="str">
        <f>IFERROR(VLOOKUP($AA211,PLAN!$B:$AA,9,0),"")</f>
        <v>260721C12A</v>
      </c>
      <c r="K211" s="77">
        <f>IFERROR(VLOOKUP($AA211,PLAN!$B:$AA,10,0),"")</f>
        <v>905</v>
      </c>
      <c r="L211" s="77" t="str">
        <f>IFERROR(VLOOKUP($AA211,PLAN!$B:$AA,15,0),"")</f>
        <v>CHINA</v>
      </c>
      <c r="M211" s="77">
        <f>IFERROR(VLOOKUP($AA211,PLAN!$B:$AA,18,0),"")</f>
        <v>0</v>
      </c>
      <c r="N211" s="227">
        <f>IFERROR(VLOOKUP($AA211,PLAN!$B:$AA,19,0),"")</f>
        <v>0</v>
      </c>
      <c r="O211" s="77" t="str">
        <f>IFERROR(VLOOKUP($AA211,PLAN!$B:$AA,12,0),"")</f>
        <v>2112061-0-C-CN</v>
      </c>
      <c r="P211" s="77">
        <f>IFERROR(VLOOKUP($AA211,PLAN!$B:$AA,11,0),"")</f>
        <v>12129992</v>
      </c>
      <c r="Q211" s="277" t="s">
        <v>1735</v>
      </c>
      <c r="R211" s="149" t="s">
        <v>1736</v>
      </c>
      <c r="S211" s="223">
        <v>5</v>
      </c>
      <c r="T211" s="131"/>
      <c r="U211" s="78">
        <f>IFERROR(VLOOKUP($AA211,PLAN!$B:$AA,21,0),"")</f>
        <v>46232</v>
      </c>
      <c r="V211" s="78" t="str">
        <f>IFERROR(VLOOKUP($AA211,PLAN!$B:$AA,22,0),"")</f>
        <v>M9</v>
      </c>
      <c r="W211" s="232"/>
      <c r="X211" s="233"/>
      <c r="Y211" s="212"/>
      <c r="Z211" s="350"/>
      <c r="AA211" s="195" t="s">
        <v>1700</v>
      </c>
      <c r="AB211" s="132">
        <f>VLOOKUP(AA211,PLAN!B:V,20,0)</f>
        <v>46232</v>
      </c>
      <c r="AC211" s="132"/>
    </row>
    <row r="212" spans="3:29" s="79" customFormat="1" ht="25.2" customHeight="1">
      <c r="C212" s="249"/>
      <c r="D212" s="77"/>
      <c r="E212" s="77"/>
      <c r="F212" s="77"/>
      <c r="G212" s="77"/>
      <c r="H212" s="113"/>
      <c r="I212" s="77"/>
      <c r="J212" s="77"/>
      <c r="K212" s="77"/>
      <c r="L212" s="77"/>
      <c r="M212" s="77"/>
      <c r="N212" s="227"/>
      <c r="O212" s="77"/>
      <c r="P212" s="77"/>
      <c r="Q212" s="277" t="s">
        <v>1737</v>
      </c>
      <c r="R212" s="149" t="s">
        <v>1738</v>
      </c>
      <c r="S212" s="223">
        <v>80</v>
      </c>
      <c r="T212" s="131"/>
      <c r="U212" s="78"/>
      <c r="V212" s="78"/>
      <c r="W212" s="232"/>
      <c r="X212" s="233"/>
      <c r="Y212" s="212"/>
      <c r="Z212" s="350"/>
      <c r="AA212" s="195"/>
      <c r="AB212" s="132">
        <v>46232</v>
      </c>
      <c r="AC212" s="132"/>
    </row>
    <row r="213" spans="3:29" s="79" customFormat="1" ht="25.2" customHeight="1">
      <c r="C213" s="249"/>
      <c r="D213" s="77"/>
      <c r="E213" s="77"/>
      <c r="F213" s="77"/>
      <c r="G213" s="77"/>
      <c r="H213" s="113"/>
      <c r="I213" s="77"/>
      <c r="J213" s="77"/>
      <c r="K213" s="77"/>
      <c r="L213" s="77"/>
      <c r="M213" s="77"/>
      <c r="N213" s="227"/>
      <c r="O213" s="77"/>
      <c r="P213" s="77"/>
      <c r="Q213" s="277" t="s">
        <v>1739</v>
      </c>
      <c r="R213" s="149" t="s">
        <v>1740</v>
      </c>
      <c r="S213" s="223">
        <v>150</v>
      </c>
      <c r="T213" s="131"/>
      <c r="U213" s="78"/>
      <c r="V213" s="78"/>
      <c r="W213" s="232"/>
      <c r="X213" s="233"/>
      <c r="Y213" s="212"/>
      <c r="Z213" s="350"/>
      <c r="AA213" s="195"/>
      <c r="AB213" s="132">
        <v>46232</v>
      </c>
      <c r="AC213" s="132"/>
    </row>
    <row r="214" spans="3:29" s="79" customFormat="1" ht="25.2" customHeight="1">
      <c r="C214" s="249"/>
      <c r="D214" s="77"/>
      <c r="E214" s="77"/>
      <c r="F214" s="77"/>
      <c r="G214" s="77"/>
      <c r="H214" s="113"/>
      <c r="I214" s="77"/>
      <c r="J214" s="77"/>
      <c r="K214" s="77"/>
      <c r="L214" s="77"/>
      <c r="M214" s="77"/>
      <c r="N214" s="227"/>
      <c r="O214" s="77"/>
      <c r="P214" s="77"/>
      <c r="Q214" s="277" t="s">
        <v>1741</v>
      </c>
      <c r="R214" s="149" t="s">
        <v>1742</v>
      </c>
      <c r="S214" s="223">
        <v>150</v>
      </c>
      <c r="T214" s="131"/>
      <c r="U214" s="78"/>
      <c r="V214" s="78"/>
      <c r="W214" s="232"/>
      <c r="X214" s="233"/>
      <c r="Y214" s="212"/>
      <c r="Z214" s="350"/>
      <c r="AA214" s="195"/>
      <c r="AB214" s="132">
        <v>46232</v>
      </c>
      <c r="AC214" s="132"/>
    </row>
    <row r="215" spans="3:29" s="79" customFormat="1" ht="25.2" customHeight="1">
      <c r="C215" s="249"/>
      <c r="D215" s="77"/>
      <c r="E215" s="77"/>
      <c r="F215" s="77"/>
      <c r="G215" s="77"/>
      <c r="H215" s="113"/>
      <c r="I215" s="77"/>
      <c r="J215" s="77"/>
      <c r="K215" s="77"/>
      <c r="L215" s="77"/>
      <c r="M215" s="77"/>
      <c r="N215" s="227"/>
      <c r="O215" s="77"/>
      <c r="P215" s="77"/>
      <c r="Q215" s="277" t="s">
        <v>1743</v>
      </c>
      <c r="R215" s="149" t="s">
        <v>1744</v>
      </c>
      <c r="S215" s="223">
        <v>120</v>
      </c>
      <c r="T215" s="131"/>
      <c r="U215" s="78"/>
      <c r="V215" s="78"/>
      <c r="W215" s="232"/>
      <c r="X215" s="233"/>
      <c r="Y215" s="212"/>
      <c r="Z215" s="350"/>
      <c r="AA215" s="195"/>
      <c r="AB215" s="132">
        <v>46232</v>
      </c>
      <c r="AC215" s="132"/>
    </row>
    <row r="216" spans="3:29" s="79" customFormat="1" ht="25.2" customHeight="1">
      <c r="C216" s="249"/>
      <c r="D216" s="77"/>
      <c r="E216" s="77"/>
      <c r="F216" s="77"/>
      <c r="G216" s="77"/>
      <c r="H216" s="113"/>
      <c r="I216" s="77"/>
      <c r="J216" s="77"/>
      <c r="K216" s="77"/>
      <c r="L216" s="77"/>
      <c r="M216" s="77"/>
      <c r="N216" s="227"/>
      <c r="O216" s="77"/>
      <c r="P216" s="77"/>
      <c r="Q216" s="277" t="s">
        <v>1745</v>
      </c>
      <c r="R216" s="149" t="s">
        <v>1746</v>
      </c>
      <c r="S216" s="223">
        <v>100</v>
      </c>
      <c r="T216" s="131"/>
      <c r="U216" s="78"/>
      <c r="V216" s="78"/>
      <c r="W216" s="232"/>
      <c r="X216" s="233"/>
      <c r="Y216" s="212"/>
      <c r="Z216" s="350"/>
      <c r="AA216" s="195"/>
      <c r="AB216" s="132">
        <v>46232</v>
      </c>
      <c r="AC216" s="132"/>
    </row>
    <row r="217" spans="3:29" s="79" customFormat="1" ht="25.2" customHeight="1">
      <c r="C217" s="249"/>
      <c r="D217" s="77"/>
      <c r="E217" s="77"/>
      <c r="F217" s="77"/>
      <c r="G217" s="77"/>
      <c r="H217" s="113"/>
      <c r="I217" s="77"/>
      <c r="J217" s="77"/>
      <c r="K217" s="77"/>
      <c r="L217" s="77"/>
      <c r="M217" s="77"/>
      <c r="N217" s="227"/>
      <c r="O217" s="77"/>
      <c r="P217" s="77"/>
      <c r="Q217" s="277" t="s">
        <v>1747</v>
      </c>
      <c r="R217" s="222" t="s">
        <v>1748</v>
      </c>
      <c r="S217" s="223">
        <v>150</v>
      </c>
      <c r="T217" s="131"/>
      <c r="U217" s="78"/>
      <c r="V217" s="78"/>
      <c r="W217" s="232"/>
      <c r="X217" s="233"/>
      <c r="Y217" s="212"/>
      <c r="Z217" s="350"/>
      <c r="AA217" s="195"/>
      <c r="AB217" s="132">
        <v>46232</v>
      </c>
      <c r="AC217" s="132"/>
    </row>
    <row r="218" spans="3:29" s="79" customFormat="1" ht="25.2" customHeight="1">
      <c r="C218" s="249"/>
      <c r="D218" s="77"/>
      <c r="E218" s="77"/>
      <c r="F218" s="77"/>
      <c r="G218" s="77"/>
      <c r="H218" s="113"/>
      <c r="I218" s="77"/>
      <c r="J218" s="77"/>
      <c r="K218" s="77"/>
      <c r="L218" s="77"/>
      <c r="M218" s="77"/>
      <c r="N218" s="227"/>
      <c r="O218" s="77"/>
      <c r="P218" s="77"/>
      <c r="Q218" s="277" t="s">
        <v>1749</v>
      </c>
      <c r="R218" s="222" t="s">
        <v>1750</v>
      </c>
      <c r="S218" s="223">
        <v>150</v>
      </c>
      <c r="T218" s="131"/>
      <c r="U218" s="78"/>
      <c r="V218" s="78"/>
      <c r="W218" s="232"/>
      <c r="X218" s="233"/>
      <c r="Y218" s="212"/>
      <c r="Z218" s="350"/>
      <c r="AA218" s="195"/>
      <c r="AB218" s="132">
        <v>46232</v>
      </c>
      <c r="AC218" s="132"/>
    </row>
    <row r="219" spans="3:29" s="79" customFormat="1" ht="25.2" customHeight="1">
      <c r="C219" s="249" t="str">
        <f t="shared" ref="C219:C226" si="17">AA219</f>
        <v>Aug15-03</v>
      </c>
      <c r="D219" s="77">
        <f>IFERROR(VLOOKUP($AA219,PLAN!$B:$AA,3,0),"")</f>
        <v>11134125</v>
      </c>
      <c r="E219" s="77" t="str">
        <f>IFERROR(VLOOKUP($AA219,PLAN!$B:$AA,4,0),"")</f>
        <v>1811851-J-A</v>
      </c>
      <c r="F219" s="77" t="str">
        <f>IFERROR(VLOOKUP($AA219,PLAN!$B:$AA,5,0),"")</f>
        <v>HW60JR400P10000 CN</v>
      </c>
      <c r="G219" s="77" t="str">
        <f>IFERROR(VLOOKUP($AA219,PLAN!$B:$AA,2,0),"")</f>
        <v>1001923425</v>
      </c>
      <c r="H219" s="113">
        <f>IFERROR(VLOOKUP($AA219,PLAN!$B:$AA,7,0),"")</f>
        <v>46249</v>
      </c>
      <c r="I219" s="77" t="str">
        <f>IFERROR(VLOOKUP($AA219,PLAN!$B:$AA,8,0),"")</f>
        <v>0103566738</v>
      </c>
      <c r="J219" s="77" t="str">
        <f>IFERROR(VLOOKUP($AA219,PLAN!$B:$AA,9,0),"")</f>
        <v>260721C13A</v>
      </c>
      <c r="K219" s="77">
        <f>IFERROR(VLOOKUP($AA219,PLAN!$B:$AA,10,0),"")</f>
        <v>21</v>
      </c>
      <c r="L219" s="77" t="str">
        <f>IFERROR(VLOOKUP($AA219,PLAN!$B:$AA,15,0),"")</f>
        <v>CHINA</v>
      </c>
      <c r="M219" s="77">
        <f>IFERROR(VLOOKUP($AA219,PLAN!$B:$AA,18,0),"")</f>
        <v>3</v>
      </c>
      <c r="N219" s="227">
        <f>IFERROR(VLOOKUP($AA219,PLAN!$B:$AA,19,0),"")</f>
        <v>3</v>
      </c>
      <c r="O219" s="77" t="str">
        <f>IFERROR(VLOOKUP($AA219,PLAN!$B:$AA,12,0),"")</f>
        <v>2112061-0-C-CN</v>
      </c>
      <c r="P219" s="77">
        <f>IFERROR(VLOOKUP($AA219,PLAN!$B:$AA,11,0),"")</f>
        <v>12129992</v>
      </c>
      <c r="Q219" s="277" t="s">
        <v>1751</v>
      </c>
      <c r="R219" s="149" t="s">
        <v>1752</v>
      </c>
      <c r="S219" s="149">
        <f t="shared" ref="S219" si="18">K219</f>
        <v>21</v>
      </c>
      <c r="T219" s="131"/>
      <c r="U219" s="78">
        <f>IFERROR(VLOOKUP($AA219,PLAN!$B:$AA,21,0),"")</f>
        <v>46232</v>
      </c>
      <c r="V219" s="78" t="str">
        <f>IFERROR(VLOOKUP($AA219,PLAN!$B:$AA,22,0),"")</f>
        <v>M9</v>
      </c>
      <c r="W219" s="232"/>
      <c r="X219" s="233"/>
      <c r="Y219" s="212"/>
      <c r="Z219" s="350"/>
      <c r="AA219" s="195" t="s">
        <v>1701</v>
      </c>
      <c r="AB219" s="132">
        <f>VLOOKUP(AA219,PLAN!B:V,20,0)</f>
        <v>46232</v>
      </c>
      <c r="AC219" s="132"/>
    </row>
    <row r="220" spans="3:29" s="79" customFormat="1" ht="25.2" customHeight="1">
      <c r="C220" s="249" t="str">
        <f t="shared" si="17"/>
        <v>Aug15-04</v>
      </c>
      <c r="D220" s="77">
        <f>IFERROR(VLOOKUP($AA220,PLAN!$B:$AA,3,0),"")</f>
        <v>11134117</v>
      </c>
      <c r="E220" s="77" t="str">
        <f>IFERROR(VLOOKUP($AA220,PLAN!$B:$AA,4,0),"")</f>
        <v>1811827-J-A</v>
      </c>
      <c r="F220" s="77" t="str">
        <f>IFERROR(VLOOKUP($AA220,PLAN!$B:$AA,5,0),"")</f>
        <v>HW60JL350P10000 CN</v>
      </c>
      <c r="G220" s="77" t="str">
        <f>IFERROR(VLOOKUP($AA220,PLAN!$B:$AA,2,0),"")</f>
        <v>1001923426</v>
      </c>
      <c r="H220" s="113">
        <f>IFERROR(VLOOKUP($AA220,PLAN!$B:$AA,7,0),"")</f>
        <v>46249</v>
      </c>
      <c r="I220" s="77" t="str">
        <f>IFERROR(VLOOKUP($AA220,PLAN!$B:$AA,8,0),"")</f>
        <v>0103566739</v>
      </c>
      <c r="J220" s="77" t="str">
        <f>IFERROR(VLOOKUP($AA220,PLAN!$B:$AA,9,0),"")</f>
        <v>260721C14A</v>
      </c>
      <c r="K220" s="77">
        <f>IFERROR(VLOOKUP($AA220,PLAN!$B:$AA,10,0),"")</f>
        <v>324</v>
      </c>
      <c r="L220" s="77" t="str">
        <f>IFERROR(VLOOKUP($AA220,PLAN!$B:$AA,15,0),"")</f>
        <v>CHINA</v>
      </c>
      <c r="M220" s="77">
        <f>IFERROR(VLOOKUP($AA220,PLAN!$B:$AA,18,0),"")</f>
        <v>0</v>
      </c>
      <c r="N220" s="227">
        <f>IFERROR(VLOOKUP($AA220,PLAN!$B:$AA,19,0),"")</f>
        <v>0</v>
      </c>
      <c r="O220" s="77" t="str">
        <f>IFERROR(VLOOKUP($AA220,PLAN!$B:$AA,12,0),"")</f>
        <v>2112041-0-C-CN</v>
      </c>
      <c r="P220" s="77">
        <f>IFERROR(VLOOKUP($AA220,PLAN!$B:$AA,11,0),"")</f>
        <v>12129989</v>
      </c>
      <c r="Q220" s="277" t="s">
        <v>1083</v>
      </c>
      <c r="R220" s="149" t="s">
        <v>1084</v>
      </c>
      <c r="S220" s="223">
        <v>93</v>
      </c>
      <c r="T220" s="131"/>
      <c r="U220" s="78">
        <f>IFERROR(VLOOKUP($AA220,PLAN!$B:$AA,21,0),"")</f>
        <v>46232</v>
      </c>
      <c r="V220" s="78" t="str">
        <f>IFERROR(VLOOKUP($AA220,PLAN!$B:$AA,22,0),"")</f>
        <v>M9</v>
      </c>
      <c r="W220" s="232"/>
      <c r="X220" s="233"/>
      <c r="Y220" s="212"/>
      <c r="Z220" s="350"/>
      <c r="AA220" s="195" t="s">
        <v>1702</v>
      </c>
      <c r="AB220" s="132">
        <f>VLOOKUP(AA220,PLAN!B:V,20,0)</f>
        <v>46232</v>
      </c>
      <c r="AC220" s="132"/>
    </row>
    <row r="221" spans="3:29" s="79" customFormat="1" ht="21.6" customHeight="1">
      <c r="C221" s="249">
        <f t="shared" si="17"/>
        <v>0</v>
      </c>
      <c r="D221" s="77" t="str">
        <f>IFERROR(VLOOKUP($AA221,PLAN!$B:$AA,3,0),"")</f>
        <v/>
      </c>
      <c r="E221" s="77" t="str">
        <f>IFERROR(VLOOKUP($AA221,PLAN!$B:$AA,4,0),"")</f>
        <v/>
      </c>
      <c r="F221" s="77" t="str">
        <f>IFERROR(VLOOKUP($AA221,PLAN!$B:$AA,5,0),"")</f>
        <v/>
      </c>
      <c r="G221" s="77" t="str">
        <f>IFERROR(VLOOKUP($AA221,PLAN!$B:$AA,2,0),"")</f>
        <v/>
      </c>
      <c r="H221" s="113" t="str">
        <f>IFERROR(VLOOKUP($AA221,PLAN!$B:$AA,7,0),"")</f>
        <v/>
      </c>
      <c r="I221" s="77" t="str">
        <f>IFERROR(VLOOKUP($AA221,PLAN!$B:$AA,8,0),"")</f>
        <v/>
      </c>
      <c r="J221" s="77" t="str">
        <f>IFERROR(VLOOKUP($AA221,PLAN!$B:$AA,9,0),"")</f>
        <v/>
      </c>
      <c r="K221" s="77" t="str">
        <f>IFERROR(VLOOKUP($AA221,PLAN!$B:$AA,10,0),"")</f>
        <v/>
      </c>
      <c r="L221" s="77" t="str">
        <f>IFERROR(VLOOKUP($AA221,PLAN!$B:$AA,15,0),"")</f>
        <v/>
      </c>
      <c r="M221" s="77" t="str">
        <f>IFERROR(VLOOKUP($AA221,PLAN!$B:$AA,18,0),"")</f>
        <v/>
      </c>
      <c r="N221" s="227" t="str">
        <f>IFERROR(VLOOKUP($AA221,PLAN!$B:$AA,19,0),"")</f>
        <v/>
      </c>
      <c r="O221" s="77" t="str">
        <f>IFERROR(VLOOKUP($AA221,PLAN!$B:$AA,12,0),"")</f>
        <v/>
      </c>
      <c r="P221" s="77" t="str">
        <f>IFERROR(VLOOKUP($AA221,PLAN!$B:$AA,11,0),"")</f>
        <v/>
      </c>
      <c r="Q221" s="277" t="s">
        <v>1753</v>
      </c>
      <c r="R221" s="149" t="s">
        <v>1754</v>
      </c>
      <c r="S221" s="223">
        <v>100</v>
      </c>
      <c r="T221" s="131"/>
      <c r="U221" s="78" t="str">
        <f>IFERROR(VLOOKUP($AA221,PLAN!$B:$AA,21,0),"")</f>
        <v/>
      </c>
      <c r="V221" s="78" t="str">
        <f>IFERROR(VLOOKUP($AA221,PLAN!$B:$AA,22,0),"")</f>
        <v/>
      </c>
      <c r="W221" s="232"/>
      <c r="X221" s="233"/>
      <c r="Y221" s="212"/>
      <c r="Z221" s="347"/>
      <c r="AA221" s="195"/>
      <c r="AB221" s="132">
        <v>46232</v>
      </c>
      <c r="AC221" s="132"/>
    </row>
    <row r="222" spans="3:29" s="79" customFormat="1" ht="21.6" customHeight="1">
      <c r="C222" s="249">
        <f t="shared" si="17"/>
        <v>0</v>
      </c>
      <c r="D222" s="77" t="str">
        <f>IFERROR(VLOOKUP($AA222,PLAN!$B:$AA,3,0),"")</f>
        <v/>
      </c>
      <c r="E222" s="77" t="str">
        <f>IFERROR(VLOOKUP($AA222,PLAN!$B:$AA,4,0),"")</f>
        <v/>
      </c>
      <c r="F222" s="77" t="str">
        <f>IFERROR(VLOOKUP($AA222,PLAN!$B:$AA,5,0),"")</f>
        <v/>
      </c>
      <c r="G222" s="77" t="str">
        <f>IFERROR(VLOOKUP($AA222,PLAN!$B:$AA,2,0),"")</f>
        <v/>
      </c>
      <c r="H222" s="113" t="str">
        <f>IFERROR(VLOOKUP($AA222,PLAN!$B:$AA,7,0),"")</f>
        <v/>
      </c>
      <c r="I222" s="77" t="str">
        <f>IFERROR(VLOOKUP($AA222,PLAN!$B:$AA,8,0),"")</f>
        <v/>
      </c>
      <c r="J222" s="77" t="str">
        <f>IFERROR(VLOOKUP($AA222,PLAN!$B:$AA,9,0),"")</f>
        <v/>
      </c>
      <c r="K222" s="77" t="str">
        <f>IFERROR(VLOOKUP($AA222,PLAN!$B:$AA,10,0),"")</f>
        <v/>
      </c>
      <c r="L222" s="77" t="str">
        <f>IFERROR(VLOOKUP($AA222,PLAN!$B:$AA,15,0),"")</f>
        <v/>
      </c>
      <c r="M222" s="77" t="str">
        <f>IFERROR(VLOOKUP($AA222,PLAN!$B:$AA,18,0),"")</f>
        <v/>
      </c>
      <c r="N222" s="227" t="str">
        <f>IFERROR(VLOOKUP($AA222,PLAN!$B:$AA,19,0),"")</f>
        <v/>
      </c>
      <c r="O222" s="77" t="str">
        <f>IFERROR(VLOOKUP($AA222,PLAN!$B:$AA,12,0),"")</f>
        <v/>
      </c>
      <c r="P222" s="77" t="str">
        <f>IFERROR(VLOOKUP($AA222,PLAN!$B:$AA,11,0),"")</f>
        <v/>
      </c>
      <c r="Q222" s="277" t="s">
        <v>1755</v>
      </c>
      <c r="R222" s="149" t="s">
        <v>1756</v>
      </c>
      <c r="S222" s="223">
        <v>110</v>
      </c>
      <c r="T222" s="131"/>
      <c r="U222" s="78" t="str">
        <f>IFERROR(VLOOKUP($AA222,PLAN!$B:$AA,21,0),"")</f>
        <v/>
      </c>
      <c r="V222" s="78" t="str">
        <f>IFERROR(VLOOKUP($AA222,PLAN!$B:$AA,22,0),"")</f>
        <v/>
      </c>
      <c r="W222" s="232"/>
      <c r="X222" s="233"/>
      <c r="Y222" s="212"/>
      <c r="Z222" s="350"/>
      <c r="AA222" s="195"/>
      <c r="AB222" s="132">
        <v>46232</v>
      </c>
      <c r="AC222" s="132"/>
    </row>
    <row r="223" spans="3:29" s="79" customFormat="1" ht="21.6" customHeight="1">
      <c r="C223" s="249">
        <f t="shared" si="17"/>
        <v>0</v>
      </c>
      <c r="D223" s="77" t="str">
        <f>IFERROR(VLOOKUP($AA223,PLAN!$B:$AA,3,0),"")</f>
        <v/>
      </c>
      <c r="E223" s="77" t="str">
        <f>IFERROR(VLOOKUP($AA223,PLAN!$B:$AA,4,0),"")</f>
        <v/>
      </c>
      <c r="F223" s="77" t="str">
        <f>IFERROR(VLOOKUP($AA223,PLAN!$B:$AA,5,0),"")</f>
        <v/>
      </c>
      <c r="G223" s="77" t="str">
        <f>IFERROR(VLOOKUP($AA223,PLAN!$B:$AA,2,0),"")</f>
        <v/>
      </c>
      <c r="H223" s="113" t="str">
        <f>IFERROR(VLOOKUP($AA223,PLAN!$B:$AA,7,0),"")</f>
        <v/>
      </c>
      <c r="I223" s="77" t="str">
        <f>IFERROR(VLOOKUP($AA223,PLAN!$B:$AA,8,0),"")</f>
        <v/>
      </c>
      <c r="J223" s="77" t="str">
        <f>IFERROR(VLOOKUP($AA223,PLAN!$B:$AA,9,0),"")</f>
        <v/>
      </c>
      <c r="K223" s="77" t="str">
        <f>IFERROR(VLOOKUP($AA223,PLAN!$B:$AA,10,0),"")</f>
        <v/>
      </c>
      <c r="L223" s="77" t="str">
        <f>IFERROR(VLOOKUP($AA223,PLAN!$B:$AA,15,0),"")</f>
        <v/>
      </c>
      <c r="M223" s="77" t="str">
        <f>IFERROR(VLOOKUP($AA223,PLAN!$B:$AA,18,0),"")</f>
        <v/>
      </c>
      <c r="N223" s="227" t="str">
        <f>IFERROR(VLOOKUP($AA223,PLAN!$B:$AA,19,0),"")</f>
        <v/>
      </c>
      <c r="O223" s="77" t="str">
        <f>IFERROR(VLOOKUP($AA223,PLAN!$B:$AA,12,0),"")</f>
        <v/>
      </c>
      <c r="P223" s="77" t="str">
        <f>IFERROR(VLOOKUP($AA223,PLAN!$B:$AA,11,0),"")</f>
        <v/>
      </c>
      <c r="Q223" s="277" t="s">
        <v>1757</v>
      </c>
      <c r="R223" s="149" t="s">
        <v>1758</v>
      </c>
      <c r="S223" s="223">
        <f>K220-S220-S221-S222</f>
        <v>21</v>
      </c>
      <c r="T223" s="131"/>
      <c r="U223" s="78" t="str">
        <f>IFERROR(VLOOKUP($AA223,PLAN!$B:$AA,21,0),"")</f>
        <v/>
      </c>
      <c r="V223" s="78" t="str">
        <f>IFERROR(VLOOKUP($AA223,PLAN!$B:$AA,22,0),"")</f>
        <v/>
      </c>
      <c r="W223" s="232"/>
      <c r="X223" s="233"/>
      <c r="Y223" s="212"/>
      <c r="Z223" s="350"/>
      <c r="AA223" s="195"/>
      <c r="AB223" s="132">
        <v>46232</v>
      </c>
      <c r="AC223" s="132"/>
    </row>
    <row r="224" spans="3:29" s="79" customFormat="1" ht="21.6" customHeight="1">
      <c r="C224" s="249" t="str">
        <f t="shared" si="17"/>
        <v>Aug07-05</v>
      </c>
      <c r="D224" s="77">
        <f>IFERROR(VLOOKUP($AA224,PLAN!$B:$AA,3,0),"")</f>
        <v>11130573</v>
      </c>
      <c r="E224" s="77" t="str">
        <f>IFERROR(VLOOKUP($AA224,PLAN!$B:$AA,4,0),"")</f>
        <v>2211045-C-A</v>
      </c>
      <c r="F224" s="77" t="str">
        <f>IFERROR(VLOOKUP($AA224,PLAN!$B:$AA,5,0),"")</f>
        <v>HW60HS010P10000 NOCE</v>
      </c>
      <c r="G224" s="77" t="str">
        <f>IFERROR(VLOOKUP($AA224,PLAN!$B:$AA,2,0),"")</f>
        <v>1001925380</v>
      </c>
      <c r="H224" s="113">
        <f>IFERROR(VLOOKUP($AA224,PLAN!$B:$AA,7,0),"")</f>
        <v>46241</v>
      </c>
      <c r="I224" s="77" t="str">
        <f>IFERROR(VLOOKUP($AA224,PLAN!$B:$AA,8,0),"")</f>
        <v>0103570637</v>
      </c>
      <c r="J224" s="77" t="str">
        <f>IFERROR(VLOOKUP($AA224,PLAN!$B:$AA,9,0),"")</f>
        <v>260723C01A</v>
      </c>
      <c r="K224" s="77">
        <f>IFERROR(VLOOKUP($AA224,PLAN!$B:$AA,10,0),"")</f>
        <v>5</v>
      </c>
      <c r="L224" s="77" t="str">
        <f>IFERROR(VLOOKUP($AA224,PLAN!$B:$AA,15,0),"")</f>
        <v>Oversea</v>
      </c>
      <c r="M224" s="77">
        <f>IFERROR(VLOOKUP($AA224,PLAN!$B:$AA,18,0),"")</f>
        <v>0</v>
      </c>
      <c r="N224" s="227">
        <f>IFERROR(VLOOKUP($AA224,PLAN!$B:$AA,19,0),"")</f>
        <v>0</v>
      </c>
      <c r="O224" s="77" t="str">
        <f>IFERROR(VLOOKUP($AA224,PLAN!$B:$AA,12,0),"")</f>
        <v>2112029-0-C</v>
      </c>
      <c r="P224" s="77">
        <f>IFERROR(VLOOKUP($AA224,PLAN!$B:$AA,11,0),"")</f>
        <v>12115994</v>
      </c>
      <c r="Q224" s="349" t="s">
        <v>1828</v>
      </c>
      <c r="R224" s="158" t="s">
        <v>1829</v>
      </c>
      <c r="S224" s="149">
        <f t="shared" ref="S224:S316" si="19">K224</f>
        <v>5</v>
      </c>
      <c r="T224" s="131"/>
      <c r="U224" s="78">
        <f>IFERROR(VLOOKUP($AA224,PLAN!$B:$AA,21,0),"")</f>
        <v>46233</v>
      </c>
      <c r="V224" s="78" t="str">
        <f>IFERROR(VLOOKUP($AA224,PLAN!$B:$AA,22,0),"")</f>
        <v>M9</v>
      </c>
      <c r="W224" s="232"/>
      <c r="X224" s="233"/>
      <c r="Y224" s="212"/>
      <c r="Z224" s="350"/>
      <c r="AA224" s="195" t="s">
        <v>1818</v>
      </c>
      <c r="AB224" s="132">
        <f>VLOOKUP(AA224,PLAN!B:V,20,0)</f>
        <v>46233</v>
      </c>
      <c r="AC224" s="132"/>
    </row>
    <row r="225" spans="3:29" s="79" customFormat="1" ht="21.6" customHeight="1">
      <c r="C225" s="249" t="str">
        <f t="shared" si="17"/>
        <v>Aug07-06</v>
      </c>
      <c r="D225" s="77">
        <f>IFERROR(VLOOKUP($AA225,PLAN!$B:$AA,3,0),"")</f>
        <v>11130583</v>
      </c>
      <c r="E225" s="77" t="str">
        <f>IFERROR(VLOOKUP($AA225,PLAN!$B:$AA,4,0),"")</f>
        <v>2211055-C-A</v>
      </c>
      <c r="F225" s="77" t="str">
        <f>IFERROR(VLOOKUP($AA225,PLAN!$B:$AA,5,0),"")</f>
        <v>HW60MP010P10000 NOCE</v>
      </c>
      <c r="G225" s="77" t="str">
        <f>IFERROR(VLOOKUP($AA225,PLAN!$B:$AA,2,0),"")</f>
        <v>1001925381</v>
      </c>
      <c r="H225" s="113">
        <f>IFERROR(VLOOKUP($AA225,PLAN!$B:$AA,7,0),"")</f>
        <v>46241</v>
      </c>
      <c r="I225" s="77" t="str">
        <f>IFERROR(VLOOKUP($AA225,PLAN!$B:$AA,8,0),"")</f>
        <v>0103570638</v>
      </c>
      <c r="J225" s="77" t="str">
        <f>IFERROR(VLOOKUP($AA225,PLAN!$B:$AA,9,0),"")</f>
        <v>260723C02A</v>
      </c>
      <c r="K225" s="77">
        <f>IFERROR(VLOOKUP($AA225,PLAN!$B:$AA,10,0),"")</f>
        <v>20</v>
      </c>
      <c r="L225" s="77" t="str">
        <f>IFERROR(VLOOKUP($AA225,PLAN!$B:$AA,15,0),"")</f>
        <v>Oversea</v>
      </c>
      <c r="M225" s="77">
        <f>IFERROR(VLOOKUP($AA225,PLAN!$B:$AA,18,0),"")</f>
        <v>0</v>
      </c>
      <c r="N225" s="227">
        <f>IFERROR(VLOOKUP($AA225,PLAN!$B:$AA,19,0),"")</f>
        <v>0</v>
      </c>
      <c r="O225" s="77" t="str">
        <f>IFERROR(VLOOKUP($AA225,PLAN!$B:$AA,12,0),"")</f>
        <v>2212051-0-C</v>
      </c>
      <c r="P225" s="77">
        <f>IFERROR(VLOOKUP($AA225,PLAN!$B:$AA,11,0),"")</f>
        <v>12124602</v>
      </c>
      <c r="Q225" s="349" t="s">
        <v>1830</v>
      </c>
      <c r="R225" s="158" t="s">
        <v>1831</v>
      </c>
      <c r="S225" s="149">
        <f t="shared" si="19"/>
        <v>20</v>
      </c>
      <c r="T225" s="131"/>
      <c r="U225" s="78">
        <f>IFERROR(VLOOKUP($AA225,PLAN!$B:$AA,21,0),"")</f>
        <v>46233</v>
      </c>
      <c r="V225" s="78" t="str">
        <f>IFERROR(VLOOKUP($AA225,PLAN!$B:$AA,22,0),"")</f>
        <v>M9</v>
      </c>
      <c r="W225" s="232"/>
      <c r="X225" s="233"/>
      <c r="Y225" s="212"/>
      <c r="Z225" s="350"/>
      <c r="AA225" s="195" t="s">
        <v>1821</v>
      </c>
      <c r="AB225" s="132">
        <f>VLOOKUP(AA225,PLAN!B:V,20,0)</f>
        <v>46233</v>
      </c>
      <c r="AC225" s="132"/>
    </row>
    <row r="226" spans="3:29" s="79" customFormat="1" ht="21.6" customHeight="1">
      <c r="C226" s="249" t="str">
        <f t="shared" si="17"/>
        <v>Aug07-07</v>
      </c>
      <c r="D226" s="77">
        <f>IFERROR(VLOOKUP($AA226,PLAN!$B:$AA,3,0),"")</f>
        <v>11130535</v>
      </c>
      <c r="E226" s="77" t="str">
        <f>IFERROR(VLOOKUP($AA226,PLAN!$B:$AA,4,0),"")</f>
        <v>2211007-C-A</v>
      </c>
      <c r="F226" s="77" t="str">
        <f>IFERROR(VLOOKUP($AA226,PLAN!$B:$AA,5,0),"")</f>
        <v>HW60AR100P10000 NOCE</v>
      </c>
      <c r="G226" s="77" t="str">
        <f>IFERROR(VLOOKUP($AA226,PLAN!$B:$AA,2,0),"")</f>
        <v>1001925382</v>
      </c>
      <c r="H226" s="113">
        <f>IFERROR(VLOOKUP($AA226,PLAN!$B:$AA,7,0),"")</f>
        <v>46241</v>
      </c>
      <c r="I226" s="77" t="str">
        <f>IFERROR(VLOOKUP($AA226,PLAN!$B:$AA,8,0),"")</f>
        <v>0103570640</v>
      </c>
      <c r="J226" s="77" t="str">
        <f>IFERROR(VLOOKUP($AA226,PLAN!$B:$AA,9,0),"")</f>
        <v>260723C03A</v>
      </c>
      <c r="K226" s="77">
        <f>IFERROR(VLOOKUP($AA226,PLAN!$B:$AA,10,0),"")</f>
        <v>100</v>
      </c>
      <c r="L226" s="77" t="str">
        <f>IFERROR(VLOOKUP($AA226,PLAN!$B:$AA,15,0),"")</f>
        <v>Oversea</v>
      </c>
      <c r="M226" s="77">
        <f>IFERROR(VLOOKUP($AA226,PLAN!$B:$AA,18,0),"")</f>
        <v>0</v>
      </c>
      <c r="N226" s="227">
        <f>IFERROR(VLOOKUP($AA226,PLAN!$B:$AA,19,0),"")</f>
        <v>0</v>
      </c>
      <c r="O226" s="77" t="str">
        <f>IFERROR(VLOOKUP($AA226,PLAN!$B:$AA,12,0),"")</f>
        <v>2212035-0-C</v>
      </c>
      <c r="P226" s="77">
        <f>IFERROR(VLOOKUP($AA226,PLAN!$B:$AA,11,0),"")</f>
        <v>12122136</v>
      </c>
      <c r="Q226" s="277" t="s">
        <v>366</v>
      </c>
      <c r="R226" s="149" t="s">
        <v>367</v>
      </c>
      <c r="S226" s="223">
        <v>1</v>
      </c>
      <c r="T226" s="131"/>
      <c r="U226" s="78">
        <f>IFERROR(VLOOKUP($AA226,PLAN!$B:$AA,21,0),"")</f>
        <v>46233</v>
      </c>
      <c r="V226" s="78" t="str">
        <f>IFERROR(VLOOKUP($AA226,PLAN!$B:$AA,22,0),"")</f>
        <v>M9</v>
      </c>
      <c r="W226" s="232"/>
      <c r="X226" s="233"/>
      <c r="Y226" s="212"/>
      <c r="Z226" s="350"/>
      <c r="AA226" s="195" t="s">
        <v>1819</v>
      </c>
      <c r="AB226" s="132">
        <f>VLOOKUP(AA226,PLAN!B:V,20,0)</f>
        <v>46233</v>
      </c>
      <c r="AC226" s="132"/>
    </row>
    <row r="227" spans="3:29" s="79" customFormat="1" ht="21.6" customHeight="1">
      <c r="C227" s="249">
        <f t="shared" ref="C227:C316" si="20">AA227</f>
        <v>0</v>
      </c>
      <c r="D227" s="77" t="str">
        <f>IFERROR(VLOOKUP($AA227,PLAN!$B:$AA,3,0),"")</f>
        <v/>
      </c>
      <c r="E227" s="77" t="str">
        <f>IFERROR(VLOOKUP($AA227,PLAN!$B:$AA,4,0),"")</f>
        <v/>
      </c>
      <c r="F227" s="77" t="str">
        <f>IFERROR(VLOOKUP($AA227,PLAN!$B:$AA,5,0),"")</f>
        <v/>
      </c>
      <c r="G227" s="77" t="str">
        <f>IFERROR(VLOOKUP($AA227,PLAN!$B:$AA,2,0),"")</f>
        <v/>
      </c>
      <c r="H227" s="113" t="str">
        <f>IFERROR(VLOOKUP($AA227,PLAN!$B:$AA,7,0),"")</f>
        <v/>
      </c>
      <c r="I227" s="77" t="str">
        <f>IFERROR(VLOOKUP($AA227,PLAN!$B:$AA,8,0),"")</f>
        <v/>
      </c>
      <c r="J227" s="77" t="str">
        <f>IFERROR(VLOOKUP($AA227,PLAN!$B:$AA,9,0),"")</f>
        <v/>
      </c>
      <c r="K227" s="77" t="str">
        <f>IFERROR(VLOOKUP($AA227,PLAN!$B:$AA,10,0),"")</f>
        <v/>
      </c>
      <c r="L227" s="77" t="str">
        <f>IFERROR(VLOOKUP($AA227,PLAN!$B:$AA,15,0),"")</f>
        <v/>
      </c>
      <c r="M227" s="77" t="str">
        <f>IFERROR(VLOOKUP($AA227,PLAN!$B:$AA,18,0),"")</f>
        <v/>
      </c>
      <c r="N227" s="227" t="str">
        <f>IFERROR(VLOOKUP($AA227,PLAN!$B:$AA,19,0),"")</f>
        <v/>
      </c>
      <c r="O227" s="77" t="str">
        <f>IFERROR(VLOOKUP($AA227,PLAN!$B:$AA,12,0),"")</f>
        <v/>
      </c>
      <c r="P227" s="77" t="str">
        <f>IFERROR(VLOOKUP($AA227,PLAN!$B:$AA,11,0),"")</f>
        <v/>
      </c>
      <c r="Q227" s="349" t="s">
        <v>1832</v>
      </c>
      <c r="R227" s="158" t="s">
        <v>1833</v>
      </c>
      <c r="S227" s="223">
        <f>K226-S226</f>
        <v>99</v>
      </c>
      <c r="T227" s="131"/>
      <c r="U227" s="78" t="str">
        <f>IFERROR(VLOOKUP($AA227,PLAN!$B:$AA,21,0),"")</f>
        <v/>
      </c>
      <c r="V227" s="78" t="str">
        <f>IFERROR(VLOOKUP($AA227,PLAN!$B:$AA,22,0),"")</f>
        <v/>
      </c>
      <c r="W227" s="232"/>
      <c r="X227" s="233"/>
      <c r="Y227" s="212"/>
      <c r="Z227" s="350"/>
      <c r="AA227" s="195"/>
      <c r="AB227" s="132">
        <v>46233</v>
      </c>
      <c r="AC227" s="132"/>
    </row>
    <row r="228" spans="3:29" s="79" customFormat="1" ht="21.6" customHeight="1">
      <c r="C228" s="249" t="str">
        <f t="shared" si="20"/>
        <v>Aug17-01</v>
      </c>
      <c r="D228" s="77">
        <f>IFERROR(VLOOKUP($AA228,PLAN!$B:$AA,3,0),"")</f>
        <v>11134117</v>
      </c>
      <c r="E228" s="77" t="str">
        <f>IFERROR(VLOOKUP($AA228,PLAN!$B:$AA,4,0),"")</f>
        <v>1811827-J-A</v>
      </c>
      <c r="F228" s="77" t="str">
        <f>IFERROR(VLOOKUP($AA228,PLAN!$B:$AA,5,0),"")</f>
        <v>HW60JL350P10000 CN</v>
      </c>
      <c r="G228" s="77" t="str">
        <f>IFERROR(VLOOKUP($AA228,PLAN!$B:$AA,2,0),"")</f>
        <v>1001925383</v>
      </c>
      <c r="H228" s="113">
        <f>IFERROR(VLOOKUP($AA228,PLAN!$B:$AA,7,0),"")</f>
        <v>46251</v>
      </c>
      <c r="I228" s="77" t="str">
        <f>IFERROR(VLOOKUP($AA228,PLAN!$B:$AA,8,0),"")</f>
        <v>0103570641</v>
      </c>
      <c r="J228" s="77" t="str">
        <f>IFERROR(VLOOKUP($AA228,PLAN!$B:$AA,9,0),"")</f>
        <v>260723C04A</v>
      </c>
      <c r="K228" s="77">
        <f>IFERROR(VLOOKUP($AA228,PLAN!$B:$AA,10,0),"")</f>
        <v>449</v>
      </c>
      <c r="L228" s="77" t="str">
        <f>IFERROR(VLOOKUP($AA228,PLAN!$B:$AA,15,0),"")</f>
        <v>CHINA</v>
      </c>
      <c r="M228" s="77">
        <f>IFERROR(VLOOKUP($AA228,PLAN!$B:$AA,18,0),"")</f>
        <v>3</v>
      </c>
      <c r="N228" s="227">
        <f>IFERROR(VLOOKUP($AA228,PLAN!$B:$AA,19,0),"")</f>
        <v>3</v>
      </c>
      <c r="O228" s="77" t="str">
        <f>IFERROR(VLOOKUP($AA228,PLAN!$B:$AA,12,0),"")</f>
        <v>2112041-0-C-CN</v>
      </c>
      <c r="P228" s="77">
        <f>IFERROR(VLOOKUP($AA228,PLAN!$B:$AA,11,0),"")</f>
        <v>12129989</v>
      </c>
      <c r="Q228" s="277" t="s">
        <v>1757</v>
      </c>
      <c r="R228" s="149" t="s">
        <v>1758</v>
      </c>
      <c r="S228" s="223">
        <v>79</v>
      </c>
      <c r="T228" s="131"/>
      <c r="U228" s="78">
        <f>IFERROR(VLOOKUP($AA228,PLAN!$B:$AA,21,0),"")</f>
        <v>46233</v>
      </c>
      <c r="V228" s="78" t="str">
        <f>IFERROR(VLOOKUP($AA228,PLAN!$B:$AA,22,0),"")</f>
        <v>M9</v>
      </c>
      <c r="W228" s="232"/>
      <c r="X228" s="233"/>
      <c r="Y228" s="212"/>
      <c r="Z228" s="350"/>
      <c r="AA228" s="195" t="s">
        <v>1824</v>
      </c>
      <c r="AB228" s="132">
        <f>VLOOKUP(AA228,PLAN!B:V,20,0)</f>
        <v>46233</v>
      </c>
      <c r="AC228" s="132"/>
    </row>
    <row r="229" spans="3:29" s="79" customFormat="1" ht="21.6" customHeight="1">
      <c r="C229" s="249"/>
      <c r="D229" s="77"/>
      <c r="E229" s="77"/>
      <c r="F229" s="77"/>
      <c r="G229" s="77"/>
      <c r="H229" s="113"/>
      <c r="I229" s="77"/>
      <c r="J229" s="77"/>
      <c r="K229" s="77"/>
      <c r="L229" s="77"/>
      <c r="M229" s="77"/>
      <c r="N229" s="227"/>
      <c r="O229" s="77"/>
      <c r="P229" s="77"/>
      <c r="Q229" s="277" t="s">
        <v>1834</v>
      </c>
      <c r="R229" s="149" t="s">
        <v>1835</v>
      </c>
      <c r="S229" s="223">
        <v>110</v>
      </c>
      <c r="T229" s="131"/>
      <c r="U229" s="78"/>
      <c r="V229" s="78"/>
      <c r="W229" s="232"/>
      <c r="X229" s="233"/>
      <c r="Y229" s="212"/>
      <c r="Z229" s="350"/>
      <c r="AA229" s="195"/>
      <c r="AB229" s="132">
        <v>46233</v>
      </c>
      <c r="AC229" s="132"/>
    </row>
    <row r="230" spans="3:29" s="79" customFormat="1" ht="21.6" customHeight="1">
      <c r="C230" s="249"/>
      <c r="D230" s="77"/>
      <c r="E230" s="77"/>
      <c r="F230" s="77"/>
      <c r="G230" s="77"/>
      <c r="H230" s="113"/>
      <c r="I230" s="77"/>
      <c r="J230" s="77"/>
      <c r="K230" s="77"/>
      <c r="L230" s="77"/>
      <c r="M230" s="77"/>
      <c r="N230" s="227"/>
      <c r="O230" s="77"/>
      <c r="P230" s="77"/>
      <c r="Q230" s="277" t="s">
        <v>1836</v>
      </c>
      <c r="R230" s="149" t="s">
        <v>1837</v>
      </c>
      <c r="S230" s="223">
        <v>100</v>
      </c>
      <c r="T230" s="131"/>
      <c r="U230" s="78"/>
      <c r="V230" s="78"/>
      <c r="W230" s="232"/>
      <c r="X230" s="233"/>
      <c r="Y230" s="212"/>
      <c r="Z230" s="350"/>
      <c r="AA230" s="195"/>
      <c r="AB230" s="132">
        <v>46233</v>
      </c>
      <c r="AC230" s="132"/>
    </row>
    <row r="231" spans="3:29" s="79" customFormat="1" ht="21.6" customHeight="1">
      <c r="C231" s="249"/>
      <c r="D231" s="77"/>
      <c r="E231" s="77"/>
      <c r="F231" s="77"/>
      <c r="G231" s="77"/>
      <c r="H231" s="113"/>
      <c r="I231" s="77"/>
      <c r="J231" s="77"/>
      <c r="K231" s="77"/>
      <c r="L231" s="77"/>
      <c r="M231" s="77"/>
      <c r="N231" s="227"/>
      <c r="O231" s="77"/>
      <c r="P231" s="77"/>
      <c r="Q231" s="277" t="s">
        <v>1838</v>
      </c>
      <c r="R231" s="149" t="s">
        <v>1839</v>
      </c>
      <c r="S231" s="223">
        <v>110</v>
      </c>
      <c r="T231" s="131"/>
      <c r="U231" s="78"/>
      <c r="V231" s="78"/>
      <c r="W231" s="232"/>
      <c r="X231" s="233"/>
      <c r="Y231" s="212"/>
      <c r="Z231" s="350"/>
      <c r="AA231" s="195"/>
      <c r="AB231" s="132">
        <v>46233</v>
      </c>
      <c r="AC231" s="132"/>
    </row>
    <row r="232" spans="3:29" s="79" customFormat="1" ht="21.6" customHeight="1">
      <c r="C232" s="249"/>
      <c r="D232" s="77"/>
      <c r="E232" s="77"/>
      <c r="F232" s="77"/>
      <c r="G232" s="77"/>
      <c r="H232" s="113"/>
      <c r="I232" s="77"/>
      <c r="J232" s="77"/>
      <c r="K232" s="77"/>
      <c r="L232" s="77"/>
      <c r="M232" s="77"/>
      <c r="N232" s="227"/>
      <c r="O232" s="77"/>
      <c r="P232" s="77"/>
      <c r="Q232" s="277" t="s">
        <v>1840</v>
      </c>
      <c r="R232" s="149" t="s">
        <v>1841</v>
      </c>
      <c r="S232" s="223">
        <f>K228-S228-S229-S230-S231</f>
        <v>50</v>
      </c>
      <c r="T232" s="131"/>
      <c r="U232" s="78"/>
      <c r="V232" s="78"/>
      <c r="W232" s="232"/>
      <c r="X232" s="233"/>
      <c r="Y232" s="212"/>
      <c r="Z232" s="350"/>
      <c r="AA232" s="195"/>
      <c r="AB232" s="132">
        <v>46233</v>
      </c>
      <c r="AC232" s="132"/>
    </row>
    <row r="233" spans="3:29" s="79" customFormat="1" ht="21.6" customHeight="1">
      <c r="C233" s="249" t="str">
        <f t="shared" si="20"/>
        <v>Aug17-02</v>
      </c>
      <c r="D233" s="77">
        <f>IFERROR(VLOOKUP($AA233,PLAN!$B:$AA,3,0),"")</f>
        <v>11134123</v>
      </c>
      <c r="E233" s="77" t="str">
        <f>IFERROR(VLOOKUP($AA233,PLAN!$B:$AA,4,0),"")</f>
        <v>1811849-J-A</v>
      </c>
      <c r="F233" s="77" t="str">
        <f>IFERROR(VLOOKUP($AA233,PLAN!$B:$AA,5,0),"")</f>
        <v>HW60JR350P10000 CN</v>
      </c>
      <c r="G233" s="77" t="str">
        <f>IFERROR(VLOOKUP($AA233,PLAN!$B:$AA,2,0),"")</f>
        <v>1001925384</v>
      </c>
      <c r="H233" s="113">
        <f>IFERROR(VLOOKUP($AA233,PLAN!$B:$AA,7,0),"")</f>
        <v>46251</v>
      </c>
      <c r="I233" s="77" t="str">
        <f>IFERROR(VLOOKUP($AA233,PLAN!$B:$AA,8,0),"")</f>
        <v>0103570642</v>
      </c>
      <c r="J233" s="77" t="str">
        <f>IFERROR(VLOOKUP($AA233,PLAN!$B:$AA,9,0),"")</f>
        <v>260723C05A</v>
      </c>
      <c r="K233" s="77">
        <f>IFERROR(VLOOKUP($AA233,PLAN!$B:$AA,10,0),"")</f>
        <v>706</v>
      </c>
      <c r="L233" s="77" t="str">
        <f>IFERROR(VLOOKUP($AA233,PLAN!$B:$AA,15,0),"")</f>
        <v>CHINA</v>
      </c>
      <c r="M233" s="77">
        <f>IFERROR(VLOOKUP($AA233,PLAN!$B:$AA,18,0),"")</f>
        <v>0</v>
      </c>
      <c r="N233" s="227">
        <f>IFERROR(VLOOKUP($AA233,PLAN!$B:$AA,19,0),"")</f>
        <v>0</v>
      </c>
      <c r="O233" s="77" t="str">
        <f>IFERROR(VLOOKUP($AA233,PLAN!$B:$AA,12,0),"")</f>
        <v>2112059-0-C-CN</v>
      </c>
      <c r="P233" s="77">
        <f>IFERROR(VLOOKUP($AA233,PLAN!$B:$AA,11,0),"")</f>
        <v>12129991</v>
      </c>
      <c r="Q233" s="277" t="s">
        <v>389</v>
      </c>
      <c r="R233" s="149" t="s">
        <v>390</v>
      </c>
      <c r="S233" s="223">
        <v>119</v>
      </c>
      <c r="T233" s="131"/>
      <c r="U233" s="78">
        <f>IFERROR(VLOOKUP($AA233,PLAN!$B:$AA,21,0),"")</f>
        <v>46233</v>
      </c>
      <c r="V233" s="78" t="str">
        <f>IFERROR(VLOOKUP($AA233,PLAN!$B:$AA,22,0),"")</f>
        <v>M9</v>
      </c>
      <c r="W233" s="232"/>
      <c r="X233" s="233"/>
      <c r="Y233" s="212"/>
      <c r="Z233" s="350"/>
      <c r="AA233" s="195" t="s">
        <v>1825</v>
      </c>
      <c r="AB233" s="132">
        <f>VLOOKUP(AA233,PLAN!B:V,20,0)</f>
        <v>46233</v>
      </c>
      <c r="AC233" s="132"/>
    </row>
    <row r="234" spans="3:29" s="79" customFormat="1" ht="21.6" customHeight="1">
      <c r="C234" s="249"/>
      <c r="D234" s="77"/>
      <c r="E234" s="77"/>
      <c r="F234" s="77"/>
      <c r="G234" s="77"/>
      <c r="H234" s="113"/>
      <c r="I234" s="77"/>
      <c r="J234" s="77"/>
      <c r="K234" s="77"/>
      <c r="L234" s="77"/>
      <c r="M234" s="77"/>
      <c r="N234" s="227"/>
      <c r="O234" s="77"/>
      <c r="P234" s="77"/>
      <c r="Q234" s="277" t="s">
        <v>1842</v>
      </c>
      <c r="R234" s="149" t="s">
        <v>1843</v>
      </c>
      <c r="S234" s="223">
        <v>150</v>
      </c>
      <c r="T234" s="131"/>
      <c r="U234" s="78"/>
      <c r="V234" s="78"/>
      <c r="W234" s="232"/>
      <c r="X234" s="233"/>
      <c r="Y234" s="212"/>
      <c r="Z234" s="350"/>
      <c r="AA234" s="195"/>
      <c r="AB234" s="132">
        <v>46233</v>
      </c>
      <c r="AC234" s="132"/>
    </row>
    <row r="235" spans="3:29" s="79" customFormat="1" ht="21.6" customHeight="1">
      <c r="C235" s="249"/>
      <c r="D235" s="77"/>
      <c r="E235" s="77"/>
      <c r="F235" s="77"/>
      <c r="G235" s="77"/>
      <c r="H235" s="113"/>
      <c r="I235" s="77"/>
      <c r="J235" s="77"/>
      <c r="K235" s="77"/>
      <c r="L235" s="77"/>
      <c r="M235" s="77"/>
      <c r="N235" s="227"/>
      <c r="O235" s="77"/>
      <c r="P235" s="77"/>
      <c r="Q235" s="277" t="s">
        <v>1844</v>
      </c>
      <c r="R235" s="149" t="s">
        <v>1845</v>
      </c>
      <c r="S235" s="223">
        <v>150</v>
      </c>
      <c r="T235" s="131"/>
      <c r="U235" s="78"/>
      <c r="V235" s="78"/>
      <c r="W235" s="232"/>
      <c r="X235" s="233"/>
      <c r="Y235" s="212"/>
      <c r="Z235" s="350"/>
      <c r="AA235" s="195"/>
      <c r="AB235" s="132">
        <v>46233</v>
      </c>
      <c r="AC235" s="132"/>
    </row>
    <row r="236" spans="3:29" s="79" customFormat="1" ht="21.6" customHeight="1">
      <c r="C236" s="249"/>
      <c r="D236" s="77"/>
      <c r="E236" s="77"/>
      <c r="F236" s="77"/>
      <c r="G236" s="77"/>
      <c r="H236" s="113"/>
      <c r="I236" s="77"/>
      <c r="J236" s="77"/>
      <c r="K236" s="77"/>
      <c r="L236" s="77"/>
      <c r="M236" s="77"/>
      <c r="N236" s="227"/>
      <c r="O236" s="77"/>
      <c r="P236" s="77"/>
      <c r="Q236" s="277" t="s">
        <v>1846</v>
      </c>
      <c r="R236" s="149" t="s">
        <v>1847</v>
      </c>
      <c r="S236" s="223">
        <v>90</v>
      </c>
      <c r="T236" s="131"/>
      <c r="U236" s="78"/>
      <c r="V236" s="78"/>
      <c r="W236" s="232"/>
      <c r="X236" s="233"/>
      <c r="Y236" s="212"/>
      <c r="Z236" s="350"/>
      <c r="AA236" s="195"/>
      <c r="AB236" s="132">
        <v>46233</v>
      </c>
      <c r="AC236" s="132"/>
    </row>
    <row r="237" spans="3:29" s="79" customFormat="1" ht="21.6" customHeight="1">
      <c r="C237" s="249"/>
      <c r="D237" s="77"/>
      <c r="E237" s="77"/>
      <c r="F237" s="77"/>
      <c r="G237" s="77"/>
      <c r="H237" s="113"/>
      <c r="I237" s="77"/>
      <c r="J237" s="77"/>
      <c r="K237" s="77"/>
      <c r="L237" s="77"/>
      <c r="M237" s="77"/>
      <c r="N237" s="227"/>
      <c r="O237" s="77"/>
      <c r="P237" s="77"/>
      <c r="Q237" s="277" t="s">
        <v>1848</v>
      </c>
      <c r="R237" s="149" t="s">
        <v>1849</v>
      </c>
      <c r="S237" s="223">
        <v>144</v>
      </c>
      <c r="T237" s="131"/>
      <c r="U237" s="78"/>
      <c r="V237" s="78"/>
      <c r="W237" s="232"/>
      <c r="X237" s="233"/>
      <c r="Y237" s="212"/>
      <c r="Z237" s="350"/>
      <c r="AA237" s="195"/>
      <c r="AB237" s="132">
        <v>46233</v>
      </c>
      <c r="AC237" s="132"/>
    </row>
    <row r="238" spans="3:29" s="79" customFormat="1" ht="21.6" customHeight="1">
      <c r="C238" s="249"/>
      <c r="D238" s="77"/>
      <c r="E238" s="77"/>
      <c r="F238" s="77"/>
      <c r="G238" s="77"/>
      <c r="H238" s="113"/>
      <c r="I238" s="77"/>
      <c r="J238" s="77"/>
      <c r="K238" s="77"/>
      <c r="L238" s="77"/>
      <c r="M238" s="77"/>
      <c r="N238" s="227"/>
      <c r="O238" s="77"/>
      <c r="P238" s="77"/>
      <c r="Q238" s="277" t="s">
        <v>1850</v>
      </c>
      <c r="R238" s="149" t="s">
        <v>1851</v>
      </c>
      <c r="S238" s="223">
        <f>K233-S233-S234-S235-S236-S237</f>
        <v>53</v>
      </c>
      <c r="T238" s="131"/>
      <c r="U238" s="78"/>
      <c r="V238" s="78"/>
      <c r="W238" s="232"/>
      <c r="X238" s="233"/>
      <c r="Y238" s="212"/>
      <c r="Z238" s="350"/>
      <c r="AA238" s="195"/>
      <c r="AB238" s="132">
        <v>46233</v>
      </c>
      <c r="AC238" s="132"/>
    </row>
    <row r="239" spans="3:29" s="79" customFormat="1" ht="21.6" customHeight="1">
      <c r="C239" s="249" t="str">
        <f t="shared" si="20"/>
        <v>Aug17-03</v>
      </c>
      <c r="D239" s="77">
        <f>IFERROR(VLOOKUP($AA239,PLAN!$B:$AA,3,0),"")</f>
        <v>11134123</v>
      </c>
      <c r="E239" s="77" t="str">
        <f>IFERROR(VLOOKUP($AA239,PLAN!$B:$AA,4,0),"")</f>
        <v>1811849-J-A</v>
      </c>
      <c r="F239" s="77" t="str">
        <f>IFERROR(VLOOKUP($AA239,PLAN!$B:$AA,5,0),"")</f>
        <v>HW60JR350P10000 CN</v>
      </c>
      <c r="G239" s="77" t="str">
        <f>IFERROR(VLOOKUP($AA239,PLAN!$B:$AA,2,0),"")</f>
        <v>1001925385</v>
      </c>
      <c r="H239" s="113">
        <f>IFERROR(VLOOKUP($AA239,PLAN!$B:$AA,7,0),"")</f>
        <v>46252</v>
      </c>
      <c r="I239" s="77" t="str">
        <f>IFERROR(VLOOKUP($AA239,PLAN!$B:$AA,8,0),"")</f>
        <v>0103570643</v>
      </c>
      <c r="J239" s="77" t="str">
        <f>IFERROR(VLOOKUP($AA239,PLAN!$B:$AA,9,0),"")</f>
        <v>260723C06A</v>
      </c>
      <c r="K239" s="77">
        <f>IFERROR(VLOOKUP($AA239,PLAN!$B:$AA,10,0),"")</f>
        <v>58</v>
      </c>
      <c r="L239" s="77" t="str">
        <f>IFERROR(VLOOKUP($AA239,PLAN!$B:$AA,15,0),"")</f>
        <v>CHINA</v>
      </c>
      <c r="M239" s="77">
        <f>IFERROR(VLOOKUP($AA239,PLAN!$B:$AA,18,0),"")</f>
        <v>0</v>
      </c>
      <c r="N239" s="227">
        <f>IFERROR(VLOOKUP($AA239,PLAN!$B:$AA,19,0),"")</f>
        <v>0</v>
      </c>
      <c r="O239" s="77" t="str">
        <f>IFERROR(VLOOKUP($AA239,PLAN!$B:$AA,12,0),"")</f>
        <v>2112059-0-C-CN</v>
      </c>
      <c r="P239" s="77">
        <f>IFERROR(VLOOKUP($AA239,PLAN!$B:$AA,11,0),"")</f>
        <v>12129991</v>
      </c>
      <c r="Q239" s="277" t="s">
        <v>1850</v>
      </c>
      <c r="R239" s="149" t="s">
        <v>1851</v>
      </c>
      <c r="S239" s="223">
        <v>48</v>
      </c>
      <c r="T239" s="131"/>
      <c r="U239" s="78">
        <f>IFERROR(VLOOKUP($AA239,PLAN!$B:$AA,21,0),"")</f>
        <v>46234</v>
      </c>
      <c r="V239" s="78" t="str">
        <f>IFERROR(VLOOKUP($AA239,PLAN!$B:$AA,22,0),"")</f>
        <v>M9</v>
      </c>
      <c r="W239" s="232"/>
      <c r="X239" s="233"/>
      <c r="Y239" s="212"/>
      <c r="Z239" s="350"/>
      <c r="AA239" s="195" t="s">
        <v>1826</v>
      </c>
      <c r="AB239" s="132">
        <f>VLOOKUP(AA239,PLAN!B:V,20,0)</f>
        <v>46234</v>
      </c>
      <c r="AC239" s="132"/>
    </row>
    <row r="240" spans="3:29" s="79" customFormat="1" ht="21.6" customHeight="1">
      <c r="C240" s="249"/>
      <c r="D240" s="77"/>
      <c r="E240" s="77"/>
      <c r="F240" s="77"/>
      <c r="G240" s="77"/>
      <c r="H240" s="113"/>
      <c r="I240" s="77"/>
      <c r="J240" s="77"/>
      <c r="K240" s="77"/>
      <c r="L240" s="77"/>
      <c r="M240" s="77"/>
      <c r="N240" s="227"/>
      <c r="O240" s="77"/>
      <c r="P240" s="77"/>
      <c r="Q240" s="277" t="s">
        <v>1852</v>
      </c>
      <c r="R240" s="149" t="s">
        <v>1853</v>
      </c>
      <c r="S240" s="223">
        <f>K239-S239</f>
        <v>10</v>
      </c>
      <c r="T240" s="131"/>
      <c r="U240" s="78"/>
      <c r="V240" s="78"/>
      <c r="W240" s="232"/>
      <c r="X240" s="233"/>
      <c r="Y240" s="212"/>
      <c r="Z240" s="350"/>
      <c r="AA240" s="195"/>
      <c r="AB240" s="132">
        <v>46234</v>
      </c>
      <c r="AC240" s="132"/>
    </row>
    <row r="241" spans="3:29" s="79" customFormat="1" ht="21.6" customHeight="1">
      <c r="C241" s="249" t="str">
        <f t="shared" si="20"/>
        <v>Aug17-04</v>
      </c>
      <c r="D241" s="77">
        <f>IFERROR(VLOOKUP($AA241,PLAN!$B:$AA,3,0),"")</f>
        <v>11134139</v>
      </c>
      <c r="E241" s="77" t="str">
        <f>IFERROR(VLOOKUP($AA241,PLAN!$B:$AA,4,0),"")</f>
        <v>1811877-J-A</v>
      </c>
      <c r="F241" s="77" t="str">
        <f>IFERROR(VLOOKUP($AA241,PLAN!$B:$AA,5,0),"")</f>
        <v>HW60AL100P10002 CN</v>
      </c>
      <c r="G241" s="77" t="str">
        <f>IFERROR(VLOOKUP($AA241,PLAN!$B:$AA,2,0),"")</f>
        <v>1001925386</v>
      </c>
      <c r="H241" s="113">
        <f>IFERROR(VLOOKUP($AA241,PLAN!$B:$AA,7,0),"")</f>
        <v>46252</v>
      </c>
      <c r="I241" s="77" t="str">
        <f>IFERROR(VLOOKUP($AA241,PLAN!$B:$AA,8,0),"")</f>
        <v>0103570644</v>
      </c>
      <c r="J241" s="77" t="str">
        <f>IFERROR(VLOOKUP($AA241,PLAN!$B:$AA,9,0),"")</f>
        <v>260723C07A</v>
      </c>
      <c r="K241" s="77">
        <f>IFERROR(VLOOKUP($AA241,PLAN!$B:$AA,10,0),"")</f>
        <v>566</v>
      </c>
      <c r="L241" s="77" t="str">
        <f>IFERROR(VLOOKUP($AA241,PLAN!$B:$AA,15,0),"")</f>
        <v>CHINA</v>
      </c>
      <c r="M241" s="77">
        <f>IFERROR(VLOOKUP($AA241,PLAN!$B:$AA,18,0),"")</f>
        <v>3</v>
      </c>
      <c r="N241" s="227">
        <f>IFERROR(VLOOKUP($AA241,PLAN!$B:$AA,19,0),"")</f>
        <v>3</v>
      </c>
      <c r="O241" s="77" t="str">
        <f>IFERROR(VLOOKUP($AA241,PLAN!$B:$AA,12,0),"")</f>
        <v>2112085-0-C-CN</v>
      </c>
      <c r="P241" s="77">
        <f>IFERROR(VLOOKUP($AA241,PLAN!$B:$AA,11,0),"")</f>
        <v>12129988</v>
      </c>
      <c r="Q241" s="277" t="s">
        <v>429</v>
      </c>
      <c r="R241" s="149" t="s">
        <v>430</v>
      </c>
      <c r="S241" s="223">
        <v>127</v>
      </c>
      <c r="T241" s="131"/>
      <c r="U241" s="78">
        <f>IFERROR(VLOOKUP($AA241,PLAN!$B:$AA,21,0),"")</f>
        <v>46234</v>
      </c>
      <c r="V241" s="78" t="str">
        <f>IFERROR(VLOOKUP($AA241,PLAN!$B:$AA,22,0),"")</f>
        <v>M9</v>
      </c>
      <c r="W241" s="232"/>
      <c r="X241" s="233"/>
      <c r="Y241" s="212"/>
      <c r="Z241" s="350"/>
      <c r="AA241" s="195" t="s">
        <v>1827</v>
      </c>
      <c r="AB241" s="132">
        <f>VLOOKUP(AA241,PLAN!B:V,20,0)</f>
        <v>46234</v>
      </c>
      <c r="AC241" s="132"/>
    </row>
    <row r="242" spans="3:29" s="79" customFormat="1" ht="21.6" customHeight="1">
      <c r="C242" s="249"/>
      <c r="D242" s="77"/>
      <c r="E242" s="77"/>
      <c r="F242" s="77"/>
      <c r="G242" s="77"/>
      <c r="H242" s="113"/>
      <c r="I242" s="77"/>
      <c r="J242" s="77"/>
      <c r="K242" s="77"/>
      <c r="L242" s="77"/>
      <c r="M242" s="77"/>
      <c r="N242" s="227"/>
      <c r="O242" s="77"/>
      <c r="P242" s="77"/>
      <c r="Q242" s="277" t="s">
        <v>1854</v>
      </c>
      <c r="R242" s="149" t="s">
        <v>1855</v>
      </c>
      <c r="S242" s="223">
        <v>90</v>
      </c>
      <c r="T242" s="131"/>
      <c r="U242" s="78"/>
      <c r="V242" s="78"/>
      <c r="W242" s="232"/>
      <c r="X242" s="233"/>
      <c r="Y242" s="212"/>
      <c r="Z242" s="350"/>
      <c r="AA242" s="195"/>
      <c r="AB242" s="132">
        <v>46234</v>
      </c>
      <c r="AC242" s="132"/>
    </row>
    <row r="243" spans="3:29" s="79" customFormat="1" ht="21.6" customHeight="1">
      <c r="C243" s="249"/>
      <c r="D243" s="77"/>
      <c r="E243" s="77"/>
      <c r="F243" s="77"/>
      <c r="G243" s="77"/>
      <c r="H243" s="113"/>
      <c r="I243" s="77"/>
      <c r="J243" s="77"/>
      <c r="K243" s="77"/>
      <c r="L243" s="77"/>
      <c r="M243" s="77"/>
      <c r="N243" s="227"/>
      <c r="O243" s="77"/>
      <c r="P243" s="77"/>
      <c r="Q243" s="277" t="s">
        <v>1856</v>
      </c>
      <c r="R243" s="149" t="s">
        <v>1857</v>
      </c>
      <c r="S243" s="223">
        <v>150</v>
      </c>
      <c r="T243" s="131"/>
      <c r="U243" s="78"/>
      <c r="V243" s="78"/>
      <c r="W243" s="232"/>
      <c r="X243" s="233"/>
      <c r="Y243" s="212"/>
      <c r="Z243" s="350"/>
      <c r="AA243" s="195"/>
      <c r="AB243" s="132">
        <v>46234</v>
      </c>
      <c r="AC243" s="132"/>
    </row>
    <row r="244" spans="3:29" s="79" customFormat="1" ht="21.6" customHeight="1">
      <c r="C244" s="249"/>
      <c r="D244" s="77"/>
      <c r="E244" s="77"/>
      <c r="F244" s="77"/>
      <c r="G244" s="77"/>
      <c r="H244" s="113"/>
      <c r="I244" s="77"/>
      <c r="J244" s="77"/>
      <c r="K244" s="77"/>
      <c r="L244" s="77"/>
      <c r="M244" s="77"/>
      <c r="N244" s="227"/>
      <c r="O244" s="77"/>
      <c r="P244" s="77"/>
      <c r="Q244" s="277" t="s">
        <v>1858</v>
      </c>
      <c r="R244" s="149" t="s">
        <v>1859</v>
      </c>
      <c r="S244" s="223">
        <v>150</v>
      </c>
      <c r="T244" s="131"/>
      <c r="U244" s="78"/>
      <c r="V244" s="78"/>
      <c r="W244" s="232"/>
      <c r="X244" s="233"/>
      <c r="Y244" s="212"/>
      <c r="Z244" s="350"/>
      <c r="AA244" s="195"/>
      <c r="AB244" s="132">
        <v>46234</v>
      </c>
      <c r="AC244" s="132"/>
    </row>
    <row r="245" spans="3:29" s="79" customFormat="1" ht="21.6" customHeight="1">
      <c r="C245" s="249"/>
      <c r="D245" s="77"/>
      <c r="E245" s="77"/>
      <c r="F245" s="77"/>
      <c r="G245" s="77"/>
      <c r="H245" s="113"/>
      <c r="I245" s="77"/>
      <c r="J245" s="77"/>
      <c r="K245" s="77"/>
      <c r="L245" s="77"/>
      <c r="M245" s="77"/>
      <c r="N245" s="227"/>
      <c r="O245" s="77"/>
      <c r="P245" s="77"/>
      <c r="Q245" s="277" t="s">
        <v>1860</v>
      </c>
      <c r="R245" s="149" t="s">
        <v>1861</v>
      </c>
      <c r="S245" s="223">
        <f>K241-S241-S242-S243-S244</f>
        <v>49</v>
      </c>
      <c r="T245" s="131"/>
      <c r="U245" s="78"/>
      <c r="V245" s="78"/>
      <c r="W245" s="232"/>
      <c r="X245" s="233"/>
      <c r="Y245" s="212"/>
      <c r="Z245" s="350"/>
      <c r="AA245" s="195"/>
      <c r="AB245" s="132">
        <v>46234</v>
      </c>
      <c r="AC245" s="132"/>
    </row>
    <row r="246" spans="3:29" s="79" customFormat="1" ht="21.6" customHeight="1">
      <c r="C246" s="249" t="str">
        <f t="shared" si="20"/>
        <v>Aug08-01</v>
      </c>
      <c r="D246" s="77">
        <f>IFERROR(VLOOKUP($AA246,PLAN!$B:$AA,3,0),"")</f>
        <v>11116931</v>
      </c>
      <c r="E246" s="77" t="str">
        <f>IFERROR(VLOOKUP($AA246,PLAN!$B:$AA,4,0),"")</f>
        <v>1521545-M-A</v>
      </c>
      <c r="F246" s="77" t="str">
        <f>IFERROR(VLOOKUP($AA246,PLAN!$B:$AA,5,0),"")</f>
        <v>MS3552H21-ANG100M</v>
      </c>
      <c r="G246" s="77" t="str">
        <f>IFERROR(VLOOKUP($AA246,PLAN!$B:$AA,2,0),"")</f>
        <v>1001925387</v>
      </c>
      <c r="H246" s="113">
        <f>IFERROR(VLOOKUP($AA246,PLAN!$B:$AA,7,0),"")</f>
        <v>46242</v>
      </c>
      <c r="I246" s="77" t="str">
        <f>IFERROR(VLOOKUP($AA246,PLAN!$B:$AA,8,0),"")</f>
        <v>0103570645</v>
      </c>
      <c r="J246" s="77" t="str">
        <f>IFERROR(VLOOKUP($AA246,PLAN!$B:$AA,9,0),"")</f>
        <v>260723H01A</v>
      </c>
      <c r="K246" s="77">
        <f>IFERROR(VLOOKUP($AA246,PLAN!$B:$AA,10,0),"")</f>
        <v>74</v>
      </c>
      <c r="L246" s="77" t="str">
        <f>IFERROR(VLOOKUP($AA246,PLAN!$B:$AA,15,0),"")</f>
        <v>FILMECC</v>
      </c>
      <c r="M246" s="77">
        <f>IFERROR(VLOOKUP($AA246,PLAN!$B:$AA,18,0),"")</f>
        <v>0</v>
      </c>
      <c r="N246" s="227">
        <f>IFERROR(VLOOKUP($AA246,PLAN!$B:$AA,19,0),"")</f>
        <v>0</v>
      </c>
      <c r="O246" s="77" t="str">
        <f>IFERROR(VLOOKUP($AA246,PLAN!$B:$AA,12,0),"")</f>
        <v>2042100-A-C</v>
      </c>
      <c r="P246" s="77">
        <f>IFERROR(VLOOKUP($AA246,PLAN!$B:$AA,11,0),"")</f>
        <v>12115880</v>
      </c>
      <c r="Q246" s="349" t="s">
        <v>1862</v>
      </c>
      <c r="R246" s="149" t="s">
        <v>1863</v>
      </c>
      <c r="S246" s="149">
        <f t="shared" si="19"/>
        <v>74</v>
      </c>
      <c r="T246" s="131"/>
      <c r="U246" s="78">
        <f>IFERROR(VLOOKUP($AA246,PLAN!$B:$AA,21,0),"")</f>
        <v>46234</v>
      </c>
      <c r="V246" s="78" t="str">
        <f>IFERROR(VLOOKUP($AA246,PLAN!$B:$AA,22,0),"")</f>
        <v>M9</v>
      </c>
      <c r="W246" s="232"/>
      <c r="X246" s="233"/>
      <c r="Y246" s="212"/>
      <c r="Z246" s="350"/>
      <c r="AA246" s="195" t="s">
        <v>1817</v>
      </c>
      <c r="AB246" s="132">
        <f>VLOOKUP(AA246,PLAN!B:V,20,0)</f>
        <v>46234</v>
      </c>
      <c r="AC246" s="132"/>
    </row>
    <row r="247" spans="3:29" s="79" customFormat="1" ht="21.6" customHeight="1">
      <c r="C247" s="249" t="str">
        <f t="shared" si="20"/>
        <v>Aug08-02</v>
      </c>
      <c r="D247" s="77">
        <f>IFERROR(VLOOKUP($AA247,PLAN!$B:$AA,3,0),"")</f>
        <v>11116929</v>
      </c>
      <c r="E247" s="77" t="str">
        <f>IFERROR(VLOOKUP($AA247,PLAN!$B:$AA,4,0),"")</f>
        <v>1521543-K-A</v>
      </c>
      <c r="F247" s="77" t="str">
        <f>IFERROR(VLOOKUP($AA247,PLAN!$B:$AA,5,0),"")</f>
        <v>MS3552H21-ANG70G</v>
      </c>
      <c r="G247" s="77" t="str">
        <f>IFERROR(VLOOKUP($AA247,PLAN!$B:$AA,2,0),"")</f>
        <v>1001925388</v>
      </c>
      <c r="H247" s="113">
        <f>IFERROR(VLOOKUP($AA247,PLAN!$B:$AA,7,0),"")</f>
        <v>46242</v>
      </c>
      <c r="I247" s="77" t="str">
        <f>IFERROR(VLOOKUP($AA247,PLAN!$B:$AA,8,0),"")</f>
        <v>0103570646</v>
      </c>
      <c r="J247" s="77" t="str">
        <f>IFERROR(VLOOKUP($AA247,PLAN!$B:$AA,9,0),"")</f>
        <v>260723H02A</v>
      </c>
      <c r="K247" s="77">
        <f>IFERROR(VLOOKUP($AA247,PLAN!$B:$AA,10,0),"")</f>
        <v>31</v>
      </c>
      <c r="L247" s="77" t="str">
        <f>IFERROR(VLOOKUP($AA247,PLAN!$B:$AA,15,0),"")</f>
        <v>FILMECC</v>
      </c>
      <c r="M247" s="77">
        <f>IFERROR(VLOOKUP($AA247,PLAN!$B:$AA,18,0),"")</f>
        <v>0</v>
      </c>
      <c r="N247" s="227">
        <f>IFERROR(VLOOKUP($AA247,PLAN!$B:$AA,19,0),"")</f>
        <v>0</v>
      </c>
      <c r="O247" s="77" t="str">
        <f>IFERROR(VLOOKUP($AA247,PLAN!$B:$AA,12,0),"")</f>
        <v>2042098-A-C</v>
      </c>
      <c r="P247" s="77">
        <f>IFERROR(VLOOKUP($AA247,PLAN!$B:$AA,11,0),"")</f>
        <v>12115878</v>
      </c>
      <c r="Q247" s="349" t="s">
        <v>1864</v>
      </c>
      <c r="R247" s="149" t="s">
        <v>1865</v>
      </c>
      <c r="S247" s="149">
        <f t="shared" si="19"/>
        <v>31</v>
      </c>
      <c r="T247" s="131"/>
      <c r="U247" s="78">
        <f>IFERROR(VLOOKUP($AA247,PLAN!$B:$AA,21,0),"")</f>
        <v>46234</v>
      </c>
      <c r="V247" s="78" t="str">
        <f>IFERROR(VLOOKUP($AA247,PLAN!$B:$AA,22,0),"")</f>
        <v>M9</v>
      </c>
      <c r="W247" s="232"/>
      <c r="X247" s="233"/>
      <c r="Y247" s="212"/>
      <c r="Z247" s="350"/>
      <c r="AA247" s="195" t="s">
        <v>1822</v>
      </c>
      <c r="AB247" s="132">
        <f>VLOOKUP(AA247,PLAN!B:V,20,0)</f>
        <v>46234</v>
      </c>
      <c r="AC247" s="132"/>
    </row>
    <row r="248" spans="3:29" s="79" customFormat="1" ht="21.6" customHeight="1">
      <c r="C248" s="249" t="str">
        <f t="shared" si="20"/>
        <v>Aug08-03</v>
      </c>
      <c r="D248" s="77">
        <f>IFERROR(VLOOKUP($AA248,PLAN!$B:$AA,3,0),"")</f>
        <v>11116932</v>
      </c>
      <c r="E248" s="77" t="str">
        <f>IFERROR(VLOOKUP($AA248,PLAN!$B:$AA,4,0),"")</f>
        <v>1521546-M-A</v>
      </c>
      <c r="F248" s="77" t="str">
        <f>IFERROR(VLOOKUP($AA248,PLAN!$B:$AA,5,0),"")</f>
        <v>MS3552H21-PIG100N</v>
      </c>
      <c r="G248" s="77" t="str">
        <f>IFERROR(VLOOKUP($AA248,PLAN!$B:$AA,2,0),"")</f>
        <v>1001925389</v>
      </c>
      <c r="H248" s="113">
        <f>IFERROR(VLOOKUP($AA248,PLAN!$B:$AA,7,0),"")</f>
        <v>46242</v>
      </c>
      <c r="I248" s="77" t="str">
        <f>IFERROR(VLOOKUP($AA248,PLAN!$B:$AA,8,0),"")</f>
        <v>0103570648</v>
      </c>
      <c r="J248" s="77" t="str">
        <f>IFERROR(VLOOKUP($AA248,PLAN!$B:$AA,9,0),"")</f>
        <v>260723H03A</v>
      </c>
      <c r="K248" s="77">
        <f>IFERROR(VLOOKUP($AA248,PLAN!$B:$AA,10,0),"")</f>
        <v>201</v>
      </c>
      <c r="L248" s="77" t="str">
        <f>IFERROR(VLOOKUP($AA248,PLAN!$B:$AA,15,0),"")</f>
        <v>FILMECC</v>
      </c>
      <c r="M248" s="77">
        <f>IFERROR(VLOOKUP($AA248,PLAN!$B:$AA,18,0),"")</f>
        <v>0</v>
      </c>
      <c r="N248" s="227">
        <f>IFERROR(VLOOKUP($AA248,PLAN!$B:$AA,19,0),"")</f>
        <v>0</v>
      </c>
      <c r="O248" s="77" t="str">
        <f>IFERROR(VLOOKUP($AA248,PLAN!$B:$AA,12,0),"")</f>
        <v>2042101-A-C</v>
      </c>
      <c r="P248" s="77">
        <f>IFERROR(VLOOKUP($AA248,PLAN!$B:$AA,11,0),"")</f>
        <v>12115881</v>
      </c>
      <c r="Q248" s="349" t="s">
        <v>1866</v>
      </c>
      <c r="R248" s="149" t="s">
        <v>1867</v>
      </c>
      <c r="S248" s="149">
        <f t="shared" si="19"/>
        <v>201</v>
      </c>
      <c r="T248" s="131"/>
      <c r="U248" s="78">
        <f>IFERROR(VLOOKUP($AA248,PLAN!$B:$AA,21,0),"")</f>
        <v>46234</v>
      </c>
      <c r="V248" s="78" t="str">
        <f>IFERROR(VLOOKUP($AA248,PLAN!$B:$AA,22,0),"")</f>
        <v>M9</v>
      </c>
      <c r="W248" s="232"/>
      <c r="X248" s="233"/>
      <c r="Y248" s="212"/>
      <c r="Z248" s="350"/>
      <c r="AA248" s="195" t="s">
        <v>1823</v>
      </c>
      <c r="AB248" s="132">
        <f>VLOOKUP(AA248,PLAN!B:V,20,0)</f>
        <v>46234</v>
      </c>
      <c r="AC248" s="132"/>
    </row>
    <row r="249" spans="3:29" s="79" customFormat="1" ht="21.6" customHeight="1">
      <c r="C249" s="249" t="str">
        <f t="shared" si="20"/>
        <v>Tan-01</v>
      </c>
      <c r="D249" s="77">
        <f>IFERROR(VLOOKUP($AA249,PLAN!$B:$AA,3,0),"")</f>
        <v>11112487</v>
      </c>
      <c r="E249" s="77" t="str">
        <f>IFERROR(VLOOKUP($AA249,PLAN!$B:$AA,4,0),"")</f>
        <v>PSC35150S-E-A</v>
      </c>
      <c r="F249" s="77" t="str">
        <f>IFERROR(VLOOKUP($AA249,PLAN!$B:$AA,5,0),"")</f>
        <v>PSC35150S US</v>
      </c>
      <c r="G249" s="77" t="str">
        <f>IFERROR(VLOOKUP($AA249,PLAN!$B:$AA,2,0),"")</f>
        <v>2000127842</v>
      </c>
      <c r="H249" s="113">
        <f>IFERROR(VLOOKUP($AA249,PLAN!$B:$AA,7,0),"")</f>
        <v>46240</v>
      </c>
      <c r="I249" s="77" t="str">
        <f>IFERROR(VLOOKUP($AA249,PLAN!$B:$AA,8,0),"")</f>
        <v>0103569851</v>
      </c>
      <c r="J249" s="77" t="str">
        <f>IFERROR(VLOOKUP($AA249,PLAN!$B:$AA,9,0),"")</f>
        <v>260722Z01A</v>
      </c>
      <c r="K249" s="77">
        <f>IFERROR(VLOOKUP($AA249,PLAN!$B:$AA,10,0),"")</f>
        <v>65</v>
      </c>
      <c r="L249" s="77" t="str">
        <f>IFERROR(VLOOKUP($AA249,PLAN!$B:$AA,15,0),"")</f>
        <v>TEST</v>
      </c>
      <c r="M249" s="77">
        <f>IFERROR(VLOOKUP($AA249,PLAN!$B:$AA,18,0),"")</f>
        <v>0</v>
      </c>
      <c r="N249" s="227">
        <f>IFERROR(VLOOKUP($AA249,PLAN!$B:$AA,19,0),"")</f>
        <v>0</v>
      </c>
      <c r="O249" s="77" t="str">
        <f>IFERROR(VLOOKUP($AA249,PLAN!$B:$AA,12,0),"")</f>
        <v>N/A</v>
      </c>
      <c r="P249" s="77" t="str">
        <f>IFERROR(VLOOKUP($AA249,PLAN!$B:$AA,11,0),"")</f>
        <v>N/A</v>
      </c>
      <c r="Q249" s="77" t="str">
        <f>IFERROR(VLOOKUP($AA249,PLAN!$B:$AA,11,0),"")</f>
        <v>N/A</v>
      </c>
      <c r="R249" s="149"/>
      <c r="S249" s="149">
        <f>K249</f>
        <v>65</v>
      </c>
      <c r="T249" s="131"/>
      <c r="U249" s="78">
        <f>IFERROR(VLOOKUP($AA249,PLAN!$B:$AA,21,0),"")</f>
        <v>46233</v>
      </c>
      <c r="V249" s="78" t="str">
        <f>IFERROR(VLOOKUP($AA249,PLAN!$B:$AA,22,0),"")</f>
        <v>M8</v>
      </c>
      <c r="W249" s="232"/>
      <c r="X249" s="233"/>
      <c r="Y249" s="212"/>
      <c r="Z249" s="350"/>
      <c r="AA249" s="195" t="s">
        <v>1873</v>
      </c>
      <c r="AB249" s="132" t="s">
        <v>1988</v>
      </c>
      <c r="AC249" s="132"/>
    </row>
    <row r="250" spans="3:29" s="79" customFormat="1" ht="21.6" customHeight="1">
      <c r="C250" s="249" t="str">
        <f t="shared" si="20"/>
        <v>Aug08-05</v>
      </c>
      <c r="D250" s="77">
        <f>IFERROR(VLOOKUP($AA250,PLAN!$B:$AA,3,0),"")</f>
        <v>11134401</v>
      </c>
      <c r="E250" s="77" t="str">
        <f>IFERROR(VLOOKUP($AA250,PLAN!$B:$AA,4,0),"")</f>
        <v>1941102-C-A</v>
      </c>
      <c r="F250" s="77" t="str">
        <f>IFERROR(VLOOKUP($AA250,PLAN!$B:$AA,5,0),"")</f>
        <v>CRV135-19P US2</v>
      </c>
      <c r="G250" s="77" t="str">
        <f>IFERROR(VLOOKUP($AA250,PLAN!$B:$AA,2,0),"")</f>
        <v>1001928729</v>
      </c>
      <c r="H250" s="113">
        <f>IFERROR(VLOOKUP($AA250,PLAN!$B:$AA,7,0),"")</f>
        <v>46242</v>
      </c>
      <c r="I250" s="77" t="str">
        <f>IFERROR(VLOOKUP($AA250,PLAN!$B:$AA,8,0),"")</f>
        <v>0103577664</v>
      </c>
      <c r="J250" s="77" t="str">
        <f>IFERROR(VLOOKUP($AA250,PLAN!$B:$AA,9,0),"")</f>
        <v>260727K01A</v>
      </c>
      <c r="K250" s="77">
        <f>IFERROR(VLOOKUP($AA250,PLAN!$B:$AA,10,0),"")</f>
        <v>87</v>
      </c>
      <c r="L250" s="77" t="str">
        <f>IFERROR(VLOOKUP($AA250,PLAN!$B:$AA,15,0),"")</f>
        <v>USA</v>
      </c>
      <c r="M250" s="77">
        <f>IFERROR(VLOOKUP($AA250,PLAN!$B:$AA,18,0),"")</f>
        <v>3</v>
      </c>
      <c r="N250" s="227">
        <f>IFERROR(VLOOKUP($AA250,PLAN!$B:$AA,19,0),"")</f>
        <v>0</v>
      </c>
      <c r="O250" s="77" t="str">
        <f>IFERROR(VLOOKUP($AA250,PLAN!$B:$AA,12,0),"")</f>
        <v>1942140-B-C</v>
      </c>
      <c r="P250" s="77">
        <f>IFERROR(VLOOKUP($AA250,PLAN!$B:$AA,11,0),"")</f>
        <v>12129626</v>
      </c>
      <c r="Q250" s="148" t="s">
        <v>1214</v>
      </c>
      <c r="R250" s="149" t="s">
        <v>1215</v>
      </c>
      <c r="S250" s="149">
        <f t="shared" si="19"/>
        <v>87</v>
      </c>
      <c r="T250" s="131"/>
      <c r="U250" s="78">
        <f>IFERROR(VLOOKUP($AA250,PLAN!$B:$AA,21,0),"")</f>
        <v>46235</v>
      </c>
      <c r="V250" s="78" t="str">
        <f>IFERROR(VLOOKUP($AA250,PLAN!$B:$AA,22,0),"")</f>
        <v>M8</v>
      </c>
      <c r="W250" s="232"/>
      <c r="X250" s="233"/>
      <c r="Y250" s="212"/>
      <c r="Z250" s="350"/>
      <c r="AA250" s="195" t="s">
        <v>1955</v>
      </c>
      <c r="AB250" s="132">
        <f>VLOOKUP(AA250,PLAN!B:V,20,0)</f>
        <v>46235</v>
      </c>
      <c r="AC250" s="132"/>
    </row>
    <row r="251" spans="3:29" s="79" customFormat="1" ht="21.6" customHeight="1">
      <c r="C251" s="249" t="str">
        <f t="shared" si="20"/>
        <v>Aug08-06</v>
      </c>
      <c r="D251" s="77">
        <f>IFERROR(VLOOKUP($AA251,PLAN!$B:$AA,3,0),"")</f>
        <v>11131257</v>
      </c>
      <c r="E251" s="77" t="str">
        <f>IFERROR(VLOOKUP($AA251,PLAN!$B:$AA,4,0),"")</f>
        <v>1841034-D-A</v>
      </c>
      <c r="F251" s="77" t="str">
        <f>IFERROR(VLOOKUP($AA251,PLAN!$B:$AA,5,0),"")</f>
        <v>CRV150-19M JP</v>
      </c>
      <c r="G251" s="77" t="str">
        <f>IFERROR(VLOOKUP($AA251,PLAN!$B:$AA,2,0),"")</f>
        <v>1001928730</v>
      </c>
      <c r="H251" s="113">
        <f>IFERROR(VLOOKUP($AA251,PLAN!$B:$AA,7,0),"")</f>
        <v>46242</v>
      </c>
      <c r="I251" s="77" t="str">
        <f>IFERROR(VLOOKUP($AA251,PLAN!$B:$AA,8,0),"")</f>
        <v>0103577665</v>
      </c>
      <c r="J251" s="77" t="str">
        <f>IFERROR(VLOOKUP($AA251,PLAN!$B:$AA,9,0),"")</f>
        <v>260727K02A</v>
      </c>
      <c r="K251" s="77">
        <f>IFERROR(VLOOKUP($AA251,PLAN!$B:$AA,10,0),"")</f>
        <v>38</v>
      </c>
      <c r="L251" s="77" t="str">
        <f>IFERROR(VLOOKUP($AA251,PLAN!$B:$AA,15,0),"")</f>
        <v>JAPAN</v>
      </c>
      <c r="M251" s="77">
        <f>IFERROR(VLOOKUP($AA251,PLAN!$B:$AA,18,0),"")</f>
        <v>0</v>
      </c>
      <c r="N251" s="227">
        <f>IFERROR(VLOOKUP($AA251,PLAN!$B:$AA,19,0),"")</f>
        <v>0</v>
      </c>
      <c r="O251" s="77" t="str">
        <f>IFERROR(VLOOKUP($AA251,PLAN!$B:$AA,12,0),"")</f>
        <v>1842015-B-C</v>
      </c>
      <c r="P251" s="77">
        <f>IFERROR(VLOOKUP($AA251,PLAN!$B:$AA,11,0),"")</f>
        <v>12121044</v>
      </c>
      <c r="Q251" s="277" t="s">
        <v>492</v>
      </c>
      <c r="R251" s="149" t="s">
        <v>493</v>
      </c>
      <c r="S251" s="149">
        <f t="shared" si="19"/>
        <v>38</v>
      </c>
      <c r="T251" s="131"/>
      <c r="U251" s="78">
        <f>IFERROR(VLOOKUP($AA251,PLAN!$B:$AA,21,0),"")</f>
        <v>46235</v>
      </c>
      <c r="V251" s="78" t="str">
        <f>IFERROR(VLOOKUP($AA251,PLAN!$B:$AA,22,0),"")</f>
        <v>M8</v>
      </c>
      <c r="W251" s="232"/>
      <c r="X251" s="233"/>
      <c r="Y251" s="212"/>
      <c r="Z251" s="350"/>
      <c r="AA251" s="195" t="s">
        <v>1956</v>
      </c>
      <c r="AB251" s="132">
        <f>VLOOKUP(AA251,PLAN!B:V,20,0)</f>
        <v>46235</v>
      </c>
      <c r="AC251" s="132"/>
    </row>
    <row r="252" spans="3:29" s="79" customFormat="1" ht="21.6" customHeight="1">
      <c r="C252" s="249" t="str">
        <f t="shared" si="20"/>
        <v>Aug08-07</v>
      </c>
      <c r="D252" s="77">
        <f>IFERROR(VLOOKUP($AA252,PLAN!$B:$AA,3,0),"")</f>
        <v>11131256</v>
      </c>
      <c r="E252" s="77" t="str">
        <f>IFERROR(VLOOKUP($AA252,PLAN!$B:$AA,4,0),"")</f>
        <v>1841033-E-A</v>
      </c>
      <c r="F252" s="77" t="str">
        <f>IFERROR(VLOOKUP($AA252,PLAN!$B:$AA,5,0),"")</f>
        <v>CRV135-19M JP</v>
      </c>
      <c r="G252" s="77" t="str">
        <f>IFERROR(VLOOKUP($AA252,PLAN!$B:$AA,2,0),"")</f>
        <v>1001928731</v>
      </c>
      <c r="H252" s="113">
        <f>IFERROR(VLOOKUP($AA252,PLAN!$B:$AA,7,0),"")</f>
        <v>46242</v>
      </c>
      <c r="I252" s="77" t="str">
        <f>IFERROR(VLOOKUP($AA252,PLAN!$B:$AA,8,0),"")</f>
        <v>0103577666</v>
      </c>
      <c r="J252" s="77" t="str">
        <f>IFERROR(VLOOKUP($AA252,PLAN!$B:$AA,9,0),"")</f>
        <v>260727K03A</v>
      </c>
      <c r="K252" s="77">
        <f>IFERROR(VLOOKUP($AA252,PLAN!$B:$AA,10,0),"")</f>
        <v>477</v>
      </c>
      <c r="L252" s="77" t="str">
        <f>IFERROR(VLOOKUP($AA252,PLAN!$B:$AA,15,0),"")</f>
        <v>JAPAN</v>
      </c>
      <c r="M252" s="77">
        <f>IFERROR(VLOOKUP($AA252,PLAN!$B:$AA,18,0),"")</f>
        <v>0</v>
      </c>
      <c r="N252" s="227">
        <f>IFERROR(VLOOKUP($AA252,PLAN!$B:$AA,19,0),"")</f>
        <v>0</v>
      </c>
      <c r="O252" s="77" t="str">
        <f>IFERROR(VLOOKUP($AA252,PLAN!$B:$AA,12,0),"")</f>
        <v>1842014-C-C</v>
      </c>
      <c r="P252" s="77">
        <f>IFERROR(VLOOKUP($AA252,PLAN!$B:$AA,11,0),"")</f>
        <v>12121043</v>
      </c>
      <c r="Q252" s="277" t="s">
        <v>2170</v>
      </c>
      <c r="R252" s="149" t="s">
        <v>2171</v>
      </c>
      <c r="S252" s="223">
        <v>309</v>
      </c>
      <c r="T252" s="131"/>
      <c r="U252" s="78">
        <f>IFERROR(VLOOKUP($AA252,PLAN!$B:$AA,21,0),"")</f>
        <v>46235</v>
      </c>
      <c r="V252" s="78" t="str">
        <f>IFERROR(VLOOKUP($AA252,PLAN!$B:$AA,22,0),"")</f>
        <v>M8</v>
      </c>
      <c r="W252" s="232"/>
      <c r="X252" s="233"/>
      <c r="Y252" s="212"/>
      <c r="Z252" s="350"/>
      <c r="AA252" s="195" t="s">
        <v>1957</v>
      </c>
      <c r="AB252" s="132">
        <f>VLOOKUP(AA252,PLAN!B:V,20,0)</f>
        <v>46235</v>
      </c>
      <c r="AC252" s="132"/>
    </row>
    <row r="253" spans="3:29" s="79" customFormat="1" ht="21.6" customHeight="1">
      <c r="C253" s="249"/>
      <c r="D253" s="77"/>
      <c r="E253" s="77"/>
      <c r="F253" s="77"/>
      <c r="G253" s="77"/>
      <c r="H253" s="113"/>
      <c r="I253" s="77"/>
      <c r="J253" s="77"/>
      <c r="K253" s="77"/>
      <c r="L253" s="77"/>
      <c r="M253" s="77"/>
      <c r="N253" s="227"/>
      <c r="O253" s="77"/>
      <c r="P253" s="77"/>
      <c r="Q253" s="277" t="s">
        <v>511</v>
      </c>
      <c r="R253" s="149" t="s">
        <v>512</v>
      </c>
      <c r="S253" s="223">
        <v>40</v>
      </c>
      <c r="T253" s="131"/>
      <c r="U253" s="78"/>
      <c r="V253" s="78"/>
      <c r="W253" s="232"/>
      <c r="X253" s="233"/>
      <c r="Y253" s="212"/>
      <c r="Z253" s="350"/>
      <c r="AA253" s="195"/>
      <c r="AB253" s="132">
        <v>46235</v>
      </c>
      <c r="AC253" s="132"/>
    </row>
    <row r="254" spans="3:29" s="79" customFormat="1" ht="21.6" customHeight="1">
      <c r="C254" s="249"/>
      <c r="D254" s="77"/>
      <c r="E254" s="77"/>
      <c r="F254" s="77"/>
      <c r="G254" s="77"/>
      <c r="H254" s="113"/>
      <c r="I254" s="77"/>
      <c r="J254" s="77"/>
      <c r="K254" s="77"/>
      <c r="L254" s="77"/>
      <c r="M254" s="77"/>
      <c r="N254" s="227"/>
      <c r="O254" s="77"/>
      <c r="P254" s="77"/>
      <c r="Q254" s="277" t="s">
        <v>2172</v>
      </c>
      <c r="R254" s="149" t="s">
        <v>2173</v>
      </c>
      <c r="S254" s="223">
        <f>K252-S252-S253</f>
        <v>128</v>
      </c>
      <c r="T254" s="131"/>
      <c r="U254" s="78"/>
      <c r="V254" s="78"/>
      <c r="W254" s="232"/>
      <c r="X254" s="233"/>
      <c r="Y254" s="212"/>
      <c r="Z254" s="350"/>
      <c r="AA254" s="195"/>
      <c r="AB254" s="132">
        <v>46235</v>
      </c>
      <c r="AC254" s="132"/>
    </row>
    <row r="255" spans="3:29" s="79" customFormat="1" ht="21.6" customHeight="1">
      <c r="C255" s="249" t="str">
        <f t="shared" si="20"/>
        <v>Aug08-08</v>
      </c>
      <c r="D255" s="77">
        <f>IFERROR(VLOOKUP($AA255,PLAN!$B:$AA,3,0),"")</f>
        <v>11134343</v>
      </c>
      <c r="E255" s="77" t="str">
        <f>IFERROR(VLOOKUP($AA255,PLAN!$B:$AA,4,0),"")</f>
        <v>1941029-F-A</v>
      </c>
      <c r="F255" s="77" t="str">
        <f>IFERROR(VLOOKUP($AA255,PLAN!$B:$AA,5,0),"")</f>
        <v>VEL105-16SR JP</v>
      </c>
      <c r="G255" s="77" t="str">
        <f>IFERROR(VLOOKUP($AA255,PLAN!$B:$AA,2,0),"")</f>
        <v>1001928732</v>
      </c>
      <c r="H255" s="113">
        <f>IFERROR(VLOOKUP($AA255,PLAN!$B:$AA,7,0),"")</f>
        <v>46242</v>
      </c>
      <c r="I255" s="77" t="str">
        <f>IFERROR(VLOOKUP($AA255,PLAN!$B:$AA,8,0),"")</f>
        <v>0103577667</v>
      </c>
      <c r="J255" s="77" t="str">
        <f>IFERROR(VLOOKUP($AA255,PLAN!$B:$AA,9,0),"")</f>
        <v>260727K04A</v>
      </c>
      <c r="K255" s="77">
        <f>IFERROR(VLOOKUP($AA255,PLAN!$B:$AA,10,0),"")</f>
        <v>3</v>
      </c>
      <c r="L255" s="77" t="str">
        <f>IFERROR(VLOOKUP($AA255,PLAN!$B:$AA,15,0),"")</f>
        <v>JAPAN</v>
      </c>
      <c r="M255" s="77">
        <f>IFERROR(VLOOKUP($AA255,PLAN!$B:$AA,18,0),"")</f>
        <v>0</v>
      </c>
      <c r="N255" s="227">
        <f>IFERROR(VLOOKUP($AA255,PLAN!$B:$AA,19,0),"")</f>
        <v>0</v>
      </c>
      <c r="O255" s="77" t="str">
        <f>IFERROR(VLOOKUP($AA255,PLAN!$B:$AA,12,0),"")</f>
        <v>1942060-A-C</v>
      </c>
      <c r="P255" s="77">
        <f>IFERROR(VLOOKUP($AA255,PLAN!$B:$AA,11,0),"")</f>
        <v>12120504</v>
      </c>
      <c r="Q255" s="349" t="s">
        <v>831</v>
      </c>
      <c r="R255" s="149" t="s">
        <v>832</v>
      </c>
      <c r="S255" s="149">
        <f t="shared" si="19"/>
        <v>3</v>
      </c>
      <c r="T255" s="131"/>
      <c r="U255" s="78">
        <f>IFERROR(VLOOKUP($AA255,PLAN!$B:$AA,21,0),"")</f>
        <v>46235</v>
      </c>
      <c r="V255" s="78" t="str">
        <f>IFERROR(VLOOKUP($AA255,PLAN!$B:$AA,22,0),"")</f>
        <v>M8</v>
      </c>
      <c r="W255" s="232"/>
      <c r="X255" s="233"/>
      <c r="Y255" s="212"/>
      <c r="Z255" s="350"/>
      <c r="AA255" s="195" t="s">
        <v>1958</v>
      </c>
      <c r="AB255" s="132">
        <f>VLOOKUP(AA255,PLAN!B:V,20,0)</f>
        <v>46235</v>
      </c>
      <c r="AC255" s="132"/>
    </row>
    <row r="256" spans="3:29" s="79" customFormat="1" ht="21.6" customHeight="1">
      <c r="C256" s="249" t="str">
        <f t="shared" si="20"/>
        <v>Aug08-09</v>
      </c>
      <c r="D256" s="77">
        <f>IFERROR(VLOOKUP($AA256,PLAN!$B:$AA,3,0),"")</f>
        <v>11134346</v>
      </c>
      <c r="E256" s="77" t="str">
        <f>IFERROR(VLOOKUP($AA256,PLAN!$B:$AA,4,0),"")</f>
        <v>1941032-G-A</v>
      </c>
      <c r="F256" s="77" t="str">
        <f>IFERROR(VLOOKUP($AA256,PLAN!$B:$AA,5,0),"")</f>
        <v>VEL105-16ASR JP</v>
      </c>
      <c r="G256" s="77" t="str">
        <f>IFERROR(VLOOKUP($AA256,PLAN!$B:$AA,2,0),"")</f>
        <v>1001928733</v>
      </c>
      <c r="H256" s="113">
        <f>IFERROR(VLOOKUP($AA256,PLAN!$B:$AA,7,0),"")</f>
        <v>46242</v>
      </c>
      <c r="I256" s="77" t="str">
        <f>IFERROR(VLOOKUP($AA256,PLAN!$B:$AA,8,0),"")</f>
        <v>0103577668</v>
      </c>
      <c r="J256" s="77" t="str">
        <f>IFERROR(VLOOKUP($AA256,PLAN!$B:$AA,9,0),"")</f>
        <v>260727K05A</v>
      </c>
      <c r="K256" s="77">
        <f>IFERROR(VLOOKUP($AA256,PLAN!$B:$AA,10,0),"")</f>
        <v>17</v>
      </c>
      <c r="L256" s="77" t="str">
        <f>IFERROR(VLOOKUP($AA256,PLAN!$B:$AA,15,0),"")</f>
        <v>JAPAN</v>
      </c>
      <c r="M256" s="77">
        <f>IFERROR(VLOOKUP($AA256,PLAN!$B:$AA,18,0),"")</f>
        <v>0</v>
      </c>
      <c r="N256" s="227">
        <f>IFERROR(VLOOKUP($AA256,PLAN!$B:$AA,19,0),"")</f>
        <v>0</v>
      </c>
      <c r="O256" s="77" t="str">
        <f>IFERROR(VLOOKUP($AA256,PLAN!$B:$AA,12,0),"")</f>
        <v>1942063-B-C</v>
      </c>
      <c r="P256" s="77">
        <f>IFERROR(VLOOKUP($AA256,PLAN!$B:$AA,11,0),"")</f>
        <v>12120507</v>
      </c>
      <c r="Q256" s="349" t="s">
        <v>827</v>
      </c>
      <c r="R256" s="149" t="s">
        <v>828</v>
      </c>
      <c r="S256" s="149">
        <f t="shared" si="19"/>
        <v>17</v>
      </c>
      <c r="T256" s="131"/>
      <c r="U256" s="78">
        <f>IFERROR(VLOOKUP($AA256,PLAN!$B:$AA,21,0),"")</f>
        <v>46235</v>
      </c>
      <c r="V256" s="78" t="str">
        <f>IFERROR(VLOOKUP($AA256,PLAN!$B:$AA,22,0),"")</f>
        <v>M8</v>
      </c>
      <c r="W256" s="232"/>
      <c r="X256" s="233"/>
      <c r="Y256" s="212"/>
      <c r="Z256" s="350"/>
      <c r="AA256" s="195" t="s">
        <v>1959</v>
      </c>
      <c r="AB256" s="132">
        <f>VLOOKUP(AA256,PLAN!B:V,20,0)</f>
        <v>46235</v>
      </c>
      <c r="AC256" s="132"/>
    </row>
    <row r="257" spans="3:29" s="79" customFormat="1" ht="21.6" customHeight="1">
      <c r="C257" s="249" t="str">
        <f t="shared" si="20"/>
        <v>Aug08-10</v>
      </c>
      <c r="D257" s="77">
        <f>IFERROR(VLOOKUP($AA257,PLAN!$B:$AA,3,0),"")</f>
        <v>11134347</v>
      </c>
      <c r="E257" s="77" t="str">
        <f>IFERROR(VLOOKUP($AA257,PLAN!$B:$AA,4,0),"")</f>
        <v>1941033-G-A</v>
      </c>
      <c r="F257" s="77" t="str">
        <f>IFERROR(VLOOKUP($AA257,PLAN!$B:$AA,5,0),"")</f>
        <v>VEL125-16ASR JP</v>
      </c>
      <c r="G257" s="77" t="str">
        <f>IFERROR(VLOOKUP($AA257,PLAN!$B:$AA,2,0),"")</f>
        <v>1001928734</v>
      </c>
      <c r="H257" s="113">
        <f>IFERROR(VLOOKUP($AA257,PLAN!$B:$AA,7,0),"")</f>
        <v>46242</v>
      </c>
      <c r="I257" s="77" t="str">
        <f>IFERROR(VLOOKUP($AA257,PLAN!$B:$AA,8,0),"")</f>
        <v>0103577670</v>
      </c>
      <c r="J257" s="77" t="str">
        <f>IFERROR(VLOOKUP($AA257,PLAN!$B:$AA,9,0),"")</f>
        <v>260727K06A</v>
      </c>
      <c r="K257" s="77">
        <f>IFERROR(VLOOKUP($AA257,PLAN!$B:$AA,10,0),"")</f>
        <v>24</v>
      </c>
      <c r="L257" s="77" t="str">
        <f>IFERROR(VLOOKUP($AA257,PLAN!$B:$AA,15,0),"")</f>
        <v>JAPAN</v>
      </c>
      <c r="M257" s="77">
        <f>IFERROR(VLOOKUP($AA257,PLAN!$B:$AA,18,0),"")</f>
        <v>0</v>
      </c>
      <c r="N257" s="227">
        <f>IFERROR(VLOOKUP($AA257,PLAN!$B:$AA,19,0),"")</f>
        <v>0</v>
      </c>
      <c r="O257" s="77" t="str">
        <f>IFERROR(VLOOKUP($AA257,PLAN!$B:$AA,12,0),"")</f>
        <v>1942064-B-C</v>
      </c>
      <c r="P257" s="77">
        <f>IFERROR(VLOOKUP($AA257,PLAN!$B:$AA,11,0),"")</f>
        <v>12120508</v>
      </c>
      <c r="Q257" s="277" t="s">
        <v>546</v>
      </c>
      <c r="R257" s="149" t="s">
        <v>547</v>
      </c>
      <c r="S257" s="149">
        <f t="shared" si="19"/>
        <v>24</v>
      </c>
      <c r="T257" s="131"/>
      <c r="U257" s="78">
        <f>IFERROR(VLOOKUP($AA257,PLAN!$B:$AA,21,0),"")</f>
        <v>46235</v>
      </c>
      <c r="V257" s="78" t="str">
        <f>IFERROR(VLOOKUP($AA257,PLAN!$B:$AA,22,0),"")</f>
        <v>M8</v>
      </c>
      <c r="W257" s="232"/>
      <c r="X257" s="233"/>
      <c r="Y257" s="212"/>
      <c r="Z257" s="350"/>
      <c r="AA257" s="195" t="s">
        <v>1960</v>
      </c>
      <c r="AB257" s="132">
        <f>VLOOKUP(AA257,PLAN!B:V,20,0)</f>
        <v>46235</v>
      </c>
      <c r="AC257" s="132"/>
    </row>
    <row r="258" spans="3:29" s="79" customFormat="1" ht="21.6" customHeight="1">
      <c r="C258" s="249" t="str">
        <f t="shared" si="20"/>
        <v>Aug08-11</v>
      </c>
      <c r="D258" s="77">
        <f>IFERROR(VLOOKUP($AA258,PLAN!$B:$AA,3,0),"")</f>
        <v>11134365</v>
      </c>
      <c r="E258" s="77" t="str">
        <f>IFERROR(VLOOKUP($AA258,PLAN!$B:$AA,4,0),"")</f>
        <v>1941061-G-A</v>
      </c>
      <c r="F258" s="77" t="str">
        <f>IFERROR(VLOOKUP($AA258,PLAN!$B:$AA,5,0),"")</f>
        <v>TLS125-16SSRR JP</v>
      </c>
      <c r="G258" s="77" t="str">
        <f>IFERROR(VLOOKUP($AA258,PLAN!$B:$AA,2,0),"")</f>
        <v>1001928735</v>
      </c>
      <c r="H258" s="113">
        <f>IFERROR(VLOOKUP($AA258,PLAN!$B:$AA,7,0),"")</f>
        <v>46242</v>
      </c>
      <c r="I258" s="77" t="str">
        <f>IFERROR(VLOOKUP($AA258,PLAN!$B:$AA,8,0),"")</f>
        <v>0103577671</v>
      </c>
      <c r="J258" s="77" t="str">
        <f>IFERROR(VLOOKUP($AA258,PLAN!$B:$AA,9,0),"")</f>
        <v>260727K07A</v>
      </c>
      <c r="K258" s="77">
        <f>IFERROR(VLOOKUP($AA258,PLAN!$B:$AA,10,0),"")</f>
        <v>1</v>
      </c>
      <c r="L258" s="77" t="str">
        <f>IFERROR(VLOOKUP($AA258,PLAN!$B:$AA,15,0),"")</f>
        <v>J-sales</v>
      </c>
      <c r="M258" s="77">
        <f>IFERROR(VLOOKUP($AA258,PLAN!$B:$AA,18,0),"")</f>
        <v>0</v>
      </c>
      <c r="N258" s="227">
        <f>IFERROR(VLOOKUP($AA258,PLAN!$B:$AA,19,0),"")</f>
        <v>0</v>
      </c>
      <c r="O258" s="77" t="str">
        <f>IFERROR(VLOOKUP($AA258,PLAN!$B:$AA,12,0),"")</f>
        <v>1942084-B-C</v>
      </c>
      <c r="P258" s="77">
        <f>IFERROR(VLOOKUP($AA258,PLAN!$B:$AA,11,0),"")</f>
        <v>12120528</v>
      </c>
      <c r="Q258" s="349" t="s">
        <v>1318</v>
      </c>
      <c r="R258" s="149" t="s">
        <v>1319</v>
      </c>
      <c r="S258" s="149">
        <f t="shared" si="19"/>
        <v>1</v>
      </c>
      <c r="T258" s="131"/>
      <c r="U258" s="78">
        <f>IFERROR(VLOOKUP($AA258,PLAN!$B:$AA,21,0),"")</f>
        <v>46235</v>
      </c>
      <c r="V258" s="78" t="str">
        <f>IFERROR(VLOOKUP($AA258,PLAN!$B:$AA,22,0),"")</f>
        <v>M8</v>
      </c>
      <c r="W258" s="232"/>
      <c r="X258" s="233"/>
      <c r="Y258" s="212"/>
      <c r="Z258" s="350"/>
      <c r="AA258" s="195" t="s">
        <v>1961</v>
      </c>
      <c r="AB258" s="132">
        <f>VLOOKUP(AA258,PLAN!B:V,20,0)</f>
        <v>46235</v>
      </c>
      <c r="AC258" s="132"/>
    </row>
    <row r="259" spans="3:29" s="79" customFormat="1" ht="21.6" customHeight="1">
      <c r="C259" s="249" t="str">
        <f t="shared" si="20"/>
        <v>Aug08-12</v>
      </c>
      <c r="D259" s="77">
        <f>IFERROR(VLOOKUP($AA259,PLAN!$B:$AA,3,0),"")</f>
        <v>11132003</v>
      </c>
      <c r="E259" s="77" t="str">
        <f>IFERROR(VLOOKUP($AA259,PLAN!$B:$AA,4,0),"")</f>
        <v>1941065-D-A</v>
      </c>
      <c r="F259" s="77" t="str">
        <f>IFERROR(VLOOKUP($AA259,PLAN!$B:$AA,5,0),"")</f>
        <v>TLS150-16YR JP</v>
      </c>
      <c r="G259" s="77" t="str">
        <f>IFERROR(VLOOKUP($AA259,PLAN!$B:$AA,2,0),"")</f>
        <v>1001928736</v>
      </c>
      <c r="H259" s="113">
        <f>IFERROR(VLOOKUP($AA259,PLAN!$B:$AA,7,0),"")</f>
        <v>46242</v>
      </c>
      <c r="I259" s="77" t="str">
        <f>IFERROR(VLOOKUP($AA259,PLAN!$B:$AA,8,0),"")</f>
        <v>0103577672</v>
      </c>
      <c r="J259" s="77" t="str">
        <f>IFERROR(VLOOKUP($AA259,PLAN!$B:$AA,9,0),"")</f>
        <v>260727K08A</v>
      </c>
      <c r="K259" s="77">
        <f>IFERROR(VLOOKUP($AA259,PLAN!$B:$AA,10,0),"")</f>
        <v>1</v>
      </c>
      <c r="L259" s="77" t="str">
        <f>IFERROR(VLOOKUP($AA259,PLAN!$B:$AA,15,0),"")</f>
        <v>J-sales</v>
      </c>
      <c r="M259" s="77">
        <f>IFERROR(VLOOKUP($AA259,PLAN!$B:$AA,18,0),"")</f>
        <v>0</v>
      </c>
      <c r="N259" s="227">
        <f>IFERROR(VLOOKUP($AA259,PLAN!$B:$AA,19,0),"")</f>
        <v>0</v>
      </c>
      <c r="O259" s="77" t="str">
        <f>IFERROR(VLOOKUP($AA259,PLAN!$B:$AA,12,0),"")</f>
        <v>1942080-A-C</v>
      </c>
      <c r="P259" s="77">
        <f>IFERROR(VLOOKUP($AA259,PLAN!$B:$AA,11,0),"")</f>
        <v>12120524</v>
      </c>
      <c r="Q259" s="349" t="s">
        <v>825</v>
      </c>
      <c r="R259" s="149" t="s">
        <v>826</v>
      </c>
      <c r="S259" s="149">
        <f t="shared" si="19"/>
        <v>1</v>
      </c>
      <c r="T259" s="131"/>
      <c r="U259" s="78">
        <f>IFERROR(VLOOKUP($AA259,PLAN!$B:$AA,21,0),"")</f>
        <v>46235</v>
      </c>
      <c r="V259" s="78" t="str">
        <f>IFERROR(VLOOKUP($AA259,PLAN!$B:$AA,22,0),"")</f>
        <v>M8</v>
      </c>
      <c r="W259" s="232"/>
      <c r="X259" s="233"/>
      <c r="Y259" s="212"/>
      <c r="Z259" s="350"/>
      <c r="AA259" s="195" t="s">
        <v>1962</v>
      </c>
      <c r="AB259" s="132">
        <f>VLOOKUP(AA259,PLAN!B:V,20,0)</f>
        <v>46235</v>
      </c>
      <c r="AC259" s="132"/>
    </row>
    <row r="260" spans="3:29" s="79" customFormat="1" ht="21.6" customHeight="1">
      <c r="C260" s="249" t="str">
        <f t="shared" si="20"/>
        <v>Aug08-13</v>
      </c>
      <c r="D260" s="77">
        <f>IFERROR(VLOOKUP($AA260,PLAN!$B:$AA,3,0),"")</f>
        <v>11134366</v>
      </c>
      <c r="E260" s="77" t="str">
        <f>IFERROR(VLOOKUP($AA260,PLAN!$B:$AA,4,0),"")</f>
        <v>1941062-G-A</v>
      </c>
      <c r="F260" s="77" t="str">
        <f>IFERROR(VLOOKUP($AA260,PLAN!$B:$AA,5,0),"")</f>
        <v>TLS125-16SSLR JP</v>
      </c>
      <c r="G260" s="77" t="str">
        <f>IFERROR(VLOOKUP($AA260,PLAN!$B:$AA,2,0),"")</f>
        <v>1001928737</v>
      </c>
      <c r="H260" s="113">
        <f>IFERROR(VLOOKUP($AA260,PLAN!$B:$AA,7,0),"")</f>
        <v>46242</v>
      </c>
      <c r="I260" s="77" t="str">
        <f>IFERROR(VLOOKUP($AA260,PLAN!$B:$AA,8,0),"")</f>
        <v>0103577673</v>
      </c>
      <c r="J260" s="77" t="str">
        <f>IFERROR(VLOOKUP($AA260,PLAN!$B:$AA,9,0),"")</f>
        <v>260727K09A</v>
      </c>
      <c r="K260" s="77">
        <f>IFERROR(VLOOKUP($AA260,PLAN!$B:$AA,10,0),"")</f>
        <v>2</v>
      </c>
      <c r="L260" s="77" t="str">
        <f>IFERROR(VLOOKUP($AA260,PLAN!$B:$AA,15,0),"")</f>
        <v>J-sales</v>
      </c>
      <c r="M260" s="77">
        <f>IFERROR(VLOOKUP($AA260,PLAN!$B:$AA,18,0),"")</f>
        <v>0</v>
      </c>
      <c r="N260" s="227">
        <f>IFERROR(VLOOKUP($AA260,PLAN!$B:$AA,19,0),"")</f>
        <v>0</v>
      </c>
      <c r="O260" s="77" t="str">
        <f>IFERROR(VLOOKUP($AA260,PLAN!$B:$AA,12,0),"")</f>
        <v>1942085-B-C</v>
      </c>
      <c r="P260" s="77">
        <f>IFERROR(VLOOKUP($AA260,PLAN!$B:$AA,11,0),"")</f>
        <v>12120529</v>
      </c>
      <c r="Q260" s="148" t="s">
        <v>544</v>
      </c>
      <c r="R260" s="222" t="s">
        <v>545</v>
      </c>
      <c r="S260" s="149">
        <f t="shared" si="19"/>
        <v>2</v>
      </c>
      <c r="T260" s="131"/>
      <c r="U260" s="78">
        <f>IFERROR(VLOOKUP($AA260,PLAN!$B:$AA,21,0),"")</f>
        <v>46235</v>
      </c>
      <c r="V260" s="78" t="str">
        <f>IFERROR(VLOOKUP($AA260,PLAN!$B:$AA,22,0),"")</f>
        <v>M8</v>
      </c>
      <c r="W260" s="232"/>
      <c r="X260" s="233"/>
      <c r="Y260" s="212"/>
      <c r="Z260" s="350"/>
      <c r="AA260" s="195" t="s">
        <v>1963</v>
      </c>
      <c r="AB260" s="132">
        <f>VLOOKUP(AA260,PLAN!B:V,20,0)</f>
        <v>46235</v>
      </c>
      <c r="AC260" s="132"/>
    </row>
    <row r="261" spans="3:29" s="79" customFormat="1" ht="21.6" customHeight="1">
      <c r="C261" s="249" t="str">
        <f t="shared" si="20"/>
        <v>Aug08-14</v>
      </c>
      <c r="D261" s="77">
        <f>IFERROR(VLOOKUP($AA261,PLAN!$B:$AA,3,0),"")</f>
        <v>11134364</v>
      </c>
      <c r="E261" s="77" t="str">
        <f>IFERROR(VLOOKUP($AA261,PLAN!$B:$AA,4,0),"")</f>
        <v>1941060-G-A</v>
      </c>
      <c r="F261" s="77" t="str">
        <f>IFERROR(VLOOKUP($AA261,PLAN!$B:$AA,5,0),"")</f>
        <v>TLS125-16ASR JP</v>
      </c>
      <c r="G261" s="77" t="str">
        <f>IFERROR(VLOOKUP($AA261,PLAN!$B:$AA,2,0),"")</f>
        <v>1001928738</v>
      </c>
      <c r="H261" s="113">
        <f>IFERROR(VLOOKUP($AA261,PLAN!$B:$AA,7,0),"")</f>
        <v>46242</v>
      </c>
      <c r="I261" s="77" t="str">
        <f>IFERROR(VLOOKUP($AA261,PLAN!$B:$AA,8,0),"")</f>
        <v>0103577675</v>
      </c>
      <c r="J261" s="77" t="str">
        <f>IFERROR(VLOOKUP($AA261,PLAN!$B:$AA,9,0),"")</f>
        <v>260727K10A</v>
      </c>
      <c r="K261" s="77">
        <f>IFERROR(VLOOKUP($AA261,PLAN!$B:$AA,10,0),"")</f>
        <v>3</v>
      </c>
      <c r="L261" s="77" t="str">
        <f>IFERROR(VLOOKUP($AA261,PLAN!$B:$AA,15,0),"")</f>
        <v>J-sales</v>
      </c>
      <c r="M261" s="77">
        <f>IFERROR(VLOOKUP($AA261,PLAN!$B:$AA,18,0),"")</f>
        <v>0</v>
      </c>
      <c r="N261" s="227">
        <f>IFERROR(VLOOKUP($AA261,PLAN!$B:$AA,19,0),"")</f>
        <v>0</v>
      </c>
      <c r="O261" s="77" t="str">
        <f>IFERROR(VLOOKUP($AA261,PLAN!$B:$AA,12,0),"")</f>
        <v>1942082-B-C</v>
      </c>
      <c r="P261" s="77">
        <f>IFERROR(VLOOKUP($AA261,PLAN!$B:$AA,11,0),"")</f>
        <v>12120526</v>
      </c>
      <c r="Q261" s="277" t="s">
        <v>540</v>
      </c>
      <c r="R261" s="149" t="s">
        <v>541</v>
      </c>
      <c r="S261" s="149">
        <f t="shared" si="19"/>
        <v>3</v>
      </c>
      <c r="T261" s="131"/>
      <c r="U261" s="78">
        <f>IFERROR(VLOOKUP($AA261,PLAN!$B:$AA,21,0),"")</f>
        <v>46235</v>
      </c>
      <c r="V261" s="78" t="str">
        <f>IFERROR(VLOOKUP($AA261,PLAN!$B:$AA,22,0),"")</f>
        <v>M8</v>
      </c>
      <c r="W261" s="232"/>
      <c r="X261" s="233"/>
      <c r="Y261" s="212"/>
      <c r="Z261" s="350"/>
      <c r="AA261" s="195" t="s">
        <v>1964</v>
      </c>
      <c r="AB261" s="132">
        <f>VLOOKUP(AA261,PLAN!B:V,20,0)</f>
        <v>46235</v>
      </c>
      <c r="AC261" s="132"/>
    </row>
    <row r="262" spans="3:29" s="79" customFormat="1" ht="21.6" customHeight="1">
      <c r="C262" s="249" t="str">
        <f t="shared" si="20"/>
        <v>Aug08-15</v>
      </c>
      <c r="D262" s="77">
        <f>IFERROR(VLOOKUP($AA262,PLAN!$B:$AA,3,0),"")</f>
        <v>11134360</v>
      </c>
      <c r="E262" s="77" t="str">
        <f>IFERROR(VLOOKUP($AA262,PLAN!$B:$AA,4,0),"")</f>
        <v>1941056-F-A</v>
      </c>
      <c r="F262" s="77" t="str">
        <f>IFERROR(VLOOKUP($AA262,PLAN!$B:$AA,5,0),"")</f>
        <v>TLS105-16SR JP</v>
      </c>
      <c r="G262" s="77" t="str">
        <f>IFERROR(VLOOKUP($AA262,PLAN!$B:$AA,2,0),"")</f>
        <v>1001928739</v>
      </c>
      <c r="H262" s="113">
        <f>IFERROR(VLOOKUP($AA262,PLAN!$B:$AA,7,0),"")</f>
        <v>46242</v>
      </c>
      <c r="I262" s="77" t="str">
        <f>IFERROR(VLOOKUP($AA262,PLAN!$B:$AA,8,0),"")</f>
        <v>0103577677</v>
      </c>
      <c r="J262" s="77" t="str">
        <f>IFERROR(VLOOKUP($AA262,PLAN!$B:$AA,9,0),"")</f>
        <v>260727K11A</v>
      </c>
      <c r="K262" s="77">
        <f>IFERROR(VLOOKUP($AA262,PLAN!$B:$AA,10,0),"")</f>
        <v>18</v>
      </c>
      <c r="L262" s="77" t="str">
        <f>IFERROR(VLOOKUP($AA262,PLAN!$B:$AA,15,0),"")</f>
        <v>J-sales</v>
      </c>
      <c r="M262" s="77">
        <f>IFERROR(VLOOKUP($AA262,PLAN!$B:$AA,18,0),"")</f>
        <v>0</v>
      </c>
      <c r="N262" s="227">
        <f>IFERROR(VLOOKUP($AA262,PLAN!$B:$AA,19,0),"")</f>
        <v>0</v>
      </c>
      <c r="O262" s="77" t="str">
        <f>IFERROR(VLOOKUP($AA262,PLAN!$B:$AA,12,0),"")</f>
        <v>1942078-A-C</v>
      </c>
      <c r="P262" s="77">
        <f>IFERROR(VLOOKUP($AA262,PLAN!$B:$AA,11,0),"")</f>
        <v>12120522</v>
      </c>
      <c r="Q262" s="349" t="s">
        <v>823</v>
      </c>
      <c r="R262" s="149" t="s">
        <v>824</v>
      </c>
      <c r="S262" s="149">
        <f t="shared" si="19"/>
        <v>18</v>
      </c>
      <c r="T262" s="131"/>
      <c r="U262" s="78">
        <f>IFERROR(VLOOKUP($AA262,PLAN!$B:$AA,21,0),"")</f>
        <v>46235</v>
      </c>
      <c r="V262" s="78" t="str">
        <f>IFERROR(VLOOKUP($AA262,PLAN!$B:$AA,22,0),"")</f>
        <v>M8</v>
      </c>
      <c r="W262" s="232"/>
      <c r="X262" s="233"/>
      <c r="Y262" s="212"/>
      <c r="Z262" s="350"/>
      <c r="AA262" s="195" t="s">
        <v>1965</v>
      </c>
      <c r="AB262" s="132">
        <f>VLOOKUP(AA262,PLAN!B:V,20,0)</f>
        <v>46235</v>
      </c>
      <c r="AC262" s="132"/>
    </row>
    <row r="263" spans="3:29" s="79" customFormat="1" ht="21.6" customHeight="1">
      <c r="C263" s="249" t="str">
        <f t="shared" si="20"/>
        <v>Aug08-16</v>
      </c>
      <c r="D263" s="77">
        <f>IFERROR(VLOOKUP($AA263,PLAN!$B:$AA,3,0),"")</f>
        <v>11125143</v>
      </c>
      <c r="E263" s="77" t="str">
        <f>IFERROR(VLOOKUP($AA263,PLAN!$B:$AA,4,0),"")</f>
        <v>1941012-E-A</v>
      </c>
      <c r="F263" s="77" t="str">
        <f>IFERROR(VLOOKUP($AA263,PLAN!$B:$AA,5,0),"")</f>
        <v>MST45A-18PWSSFR JP</v>
      </c>
      <c r="G263" s="77" t="str">
        <f>IFERROR(VLOOKUP($AA263,PLAN!$B:$AA,2,0),"")</f>
        <v>1001928740</v>
      </c>
      <c r="H263" s="113">
        <f>IFERROR(VLOOKUP($AA263,PLAN!$B:$AA,7,0),"")</f>
        <v>46242</v>
      </c>
      <c r="I263" s="77" t="str">
        <f>IFERROR(VLOOKUP($AA263,PLAN!$B:$AA,8,0),"")</f>
        <v>0103577678</v>
      </c>
      <c r="J263" s="77" t="str">
        <f>IFERROR(VLOOKUP($AA263,PLAN!$B:$AA,9,0),"")</f>
        <v>260727K12A</v>
      </c>
      <c r="K263" s="77">
        <f>IFERROR(VLOOKUP($AA263,PLAN!$B:$AA,10,0),"")</f>
        <v>2</v>
      </c>
      <c r="L263" s="77" t="str">
        <f>IFERROR(VLOOKUP($AA263,PLAN!$B:$AA,15,0),"")</f>
        <v>JAPAN</v>
      </c>
      <c r="M263" s="77">
        <f>IFERROR(VLOOKUP($AA263,PLAN!$B:$AA,18,0),"")</f>
        <v>0</v>
      </c>
      <c r="N263" s="227">
        <f>IFERROR(VLOOKUP($AA263,PLAN!$B:$AA,19,0),"")</f>
        <v>0</v>
      </c>
      <c r="O263" s="77" t="str">
        <f>IFERROR(VLOOKUP($AA263,PLAN!$B:$AA,12,0),"")</f>
        <v>1942043-B-C</v>
      </c>
      <c r="P263" s="77">
        <f>IFERROR(VLOOKUP($AA263,PLAN!$B:$AA,11,0),"")</f>
        <v>12120565</v>
      </c>
      <c r="Q263" s="349" t="s">
        <v>821</v>
      </c>
      <c r="R263" s="149" t="s">
        <v>822</v>
      </c>
      <c r="S263" s="149">
        <f t="shared" si="19"/>
        <v>2</v>
      </c>
      <c r="T263" s="131"/>
      <c r="U263" s="78">
        <f>IFERROR(VLOOKUP($AA263,PLAN!$B:$AA,21,0),"")</f>
        <v>46235</v>
      </c>
      <c r="V263" s="78" t="str">
        <f>IFERROR(VLOOKUP($AA263,PLAN!$B:$AA,22,0),"")</f>
        <v>M8</v>
      </c>
      <c r="W263" s="232"/>
      <c r="X263" s="233"/>
      <c r="Y263" s="212"/>
      <c r="Z263" s="350"/>
      <c r="AA263" s="195" t="s">
        <v>1966</v>
      </c>
      <c r="AB263" s="132">
        <f>VLOOKUP(AA263,PLAN!B:V,20,0)</f>
        <v>46235</v>
      </c>
      <c r="AC263" s="132"/>
    </row>
    <row r="264" spans="3:29" s="79" customFormat="1" ht="21.6" customHeight="1">
      <c r="C264" s="249" t="str">
        <f t="shared" si="20"/>
        <v>Aug08-17</v>
      </c>
      <c r="D264" s="77">
        <f>IFERROR(VLOOKUP($AA264,PLAN!$B:$AA,3,0),"")</f>
        <v>11125153</v>
      </c>
      <c r="E264" s="77" t="str">
        <f>IFERROR(VLOOKUP($AA264,PLAN!$B:$AA,4,0),"")</f>
        <v>1941022-F-A</v>
      </c>
      <c r="F264" s="77" t="str">
        <f>IFERROR(VLOOKUP($AA264,PLAN!$B:$AA,5,0),"")</f>
        <v>MST105-27HFR JP</v>
      </c>
      <c r="G264" s="77" t="str">
        <f>IFERROR(VLOOKUP($AA264,PLAN!$B:$AA,2,0),"")</f>
        <v>1001928741</v>
      </c>
      <c r="H264" s="113">
        <f>IFERROR(VLOOKUP($AA264,PLAN!$B:$AA,7,0),"")</f>
        <v>46242</v>
      </c>
      <c r="I264" s="77" t="str">
        <f>IFERROR(VLOOKUP($AA264,PLAN!$B:$AA,8,0),"")</f>
        <v>0103577680</v>
      </c>
      <c r="J264" s="77" t="str">
        <f>IFERROR(VLOOKUP($AA264,PLAN!$B:$AA,9,0),"")</f>
        <v>260727K13A</v>
      </c>
      <c r="K264" s="77">
        <f>IFERROR(VLOOKUP($AA264,PLAN!$B:$AA,10,0),"")</f>
        <v>8</v>
      </c>
      <c r="L264" s="77" t="str">
        <f>IFERROR(VLOOKUP($AA264,PLAN!$B:$AA,15,0),"")</f>
        <v>JAPAN</v>
      </c>
      <c r="M264" s="77">
        <f>IFERROR(VLOOKUP($AA264,PLAN!$B:$AA,18,0),"")</f>
        <v>0</v>
      </c>
      <c r="N264" s="227">
        <f>IFERROR(VLOOKUP($AA264,PLAN!$B:$AA,19,0),"")</f>
        <v>0</v>
      </c>
      <c r="O264" s="77" t="str">
        <f>IFERROR(VLOOKUP($AA264,PLAN!$B:$AA,12,0),"")</f>
        <v>2042139-B-C</v>
      </c>
      <c r="P264" s="77">
        <f>IFERROR(VLOOKUP($AA264,PLAN!$B:$AA,11,0),"")</f>
        <v>12120612</v>
      </c>
      <c r="Q264" s="277" t="s">
        <v>536</v>
      </c>
      <c r="R264" s="149" t="s">
        <v>537</v>
      </c>
      <c r="S264" s="149">
        <f t="shared" si="19"/>
        <v>8</v>
      </c>
      <c r="T264" s="131"/>
      <c r="U264" s="78">
        <f>IFERROR(VLOOKUP($AA264,PLAN!$B:$AA,21,0),"")</f>
        <v>46235</v>
      </c>
      <c r="V264" s="78" t="str">
        <f>IFERROR(VLOOKUP($AA264,PLAN!$B:$AA,22,0),"")</f>
        <v>M8</v>
      </c>
      <c r="W264" s="232"/>
      <c r="X264" s="233"/>
      <c r="Y264" s="212"/>
      <c r="Z264" s="350"/>
      <c r="AA264" s="195" t="s">
        <v>1967</v>
      </c>
      <c r="AB264" s="132">
        <f>VLOOKUP(AA264,PLAN!B:V,20,0)</f>
        <v>46235</v>
      </c>
      <c r="AC264" s="132"/>
    </row>
    <row r="265" spans="3:29" s="79" customFormat="1" ht="21.6" customHeight="1">
      <c r="C265" s="249" t="str">
        <f t="shared" si="20"/>
        <v>Aug08-18</v>
      </c>
      <c r="D265" s="77">
        <f>IFERROR(VLOOKUP($AA265,PLAN!$B:$AA,3,0),"")</f>
        <v>11125141</v>
      </c>
      <c r="E265" s="77" t="str">
        <f>IFERROR(VLOOKUP($AA265,PLAN!$B:$AA,4,0),"")</f>
        <v>1941010-D-A</v>
      </c>
      <c r="F265" s="77" t="str">
        <f>IFERROR(VLOOKUP($AA265,PLAN!$B:$AA,5,0),"")</f>
        <v>MST125-18PWSFR JP</v>
      </c>
      <c r="G265" s="77" t="str">
        <f>IFERROR(VLOOKUP($AA265,PLAN!$B:$AA,2,0),"")</f>
        <v>1001928742</v>
      </c>
      <c r="H265" s="113">
        <f>IFERROR(VLOOKUP($AA265,PLAN!$B:$AA,7,0),"")</f>
        <v>46242</v>
      </c>
      <c r="I265" s="77" t="str">
        <f>IFERROR(VLOOKUP($AA265,PLAN!$B:$AA,8,0),"")</f>
        <v>0103577681</v>
      </c>
      <c r="J265" s="77" t="str">
        <f>IFERROR(VLOOKUP($AA265,PLAN!$B:$AA,9,0),"")</f>
        <v>260727K14A</v>
      </c>
      <c r="K265" s="77">
        <f>IFERROR(VLOOKUP($AA265,PLAN!$B:$AA,10,0),"")</f>
        <v>10</v>
      </c>
      <c r="L265" s="77" t="str">
        <f>IFERROR(VLOOKUP($AA265,PLAN!$B:$AA,15,0),"")</f>
        <v>JAPAN</v>
      </c>
      <c r="M265" s="77">
        <f>IFERROR(VLOOKUP($AA265,PLAN!$B:$AA,18,0),"")</f>
        <v>0</v>
      </c>
      <c r="N265" s="227">
        <f>IFERROR(VLOOKUP($AA265,PLAN!$B:$AA,19,0),"")</f>
        <v>0</v>
      </c>
      <c r="O265" s="77" t="str">
        <f>IFERROR(VLOOKUP($AA265,PLAN!$B:$AA,12,0),"")</f>
        <v>1942041-A-C</v>
      </c>
      <c r="P265" s="77">
        <f>IFERROR(VLOOKUP($AA265,PLAN!$B:$AA,11,0),"")</f>
        <v>12120563</v>
      </c>
      <c r="Q265" s="349" t="s">
        <v>817</v>
      </c>
      <c r="R265" s="149" t="s">
        <v>818</v>
      </c>
      <c r="S265" s="149">
        <f t="shared" si="19"/>
        <v>10</v>
      </c>
      <c r="T265" s="131"/>
      <c r="U265" s="78">
        <f>IFERROR(VLOOKUP($AA265,PLAN!$B:$AA,21,0),"")</f>
        <v>46235</v>
      </c>
      <c r="V265" s="78" t="str">
        <f>IFERROR(VLOOKUP($AA265,PLAN!$B:$AA,22,0),"")</f>
        <v>M8</v>
      </c>
      <c r="W265" s="232"/>
      <c r="X265" s="233"/>
      <c r="Y265" s="212"/>
      <c r="Z265" s="350"/>
      <c r="AA265" s="195" t="s">
        <v>1968</v>
      </c>
      <c r="AB265" s="132">
        <f>VLOOKUP(AA265,PLAN!B:V,20,0)</f>
        <v>46235</v>
      </c>
      <c r="AC265" s="132"/>
    </row>
    <row r="266" spans="3:29" s="79" customFormat="1" ht="21.6" customHeight="1">
      <c r="C266" s="249" t="str">
        <f t="shared" si="20"/>
        <v>Aug08-19</v>
      </c>
      <c r="D266" s="77">
        <f>IFERROR(VLOOKUP($AA266,PLAN!$B:$AA,3,0),"")</f>
        <v>11125144</v>
      </c>
      <c r="E266" s="77" t="str">
        <f>IFERROR(VLOOKUP($AA266,PLAN!$B:$AA,4,0),"")</f>
        <v>1941013-E-A</v>
      </c>
      <c r="F266" s="77" t="str">
        <f>IFERROR(VLOOKUP($AA266,PLAN!$B:$AA,5,0),"")</f>
        <v>MST45A-18PWSFR JP</v>
      </c>
      <c r="G266" s="77" t="str">
        <f>IFERROR(VLOOKUP($AA266,PLAN!$B:$AA,2,0),"")</f>
        <v>1001928743</v>
      </c>
      <c r="H266" s="113">
        <f>IFERROR(VLOOKUP($AA266,PLAN!$B:$AA,7,0),"")</f>
        <v>46242</v>
      </c>
      <c r="I266" s="77" t="str">
        <f>IFERROR(VLOOKUP($AA266,PLAN!$B:$AA,8,0),"")</f>
        <v>0103577682</v>
      </c>
      <c r="J266" s="77" t="str">
        <f>IFERROR(VLOOKUP($AA266,PLAN!$B:$AA,9,0),"")</f>
        <v>260727K15A</v>
      </c>
      <c r="K266" s="77">
        <f>IFERROR(VLOOKUP($AA266,PLAN!$B:$AA,10,0),"")</f>
        <v>11</v>
      </c>
      <c r="L266" s="77" t="str">
        <f>IFERROR(VLOOKUP($AA266,PLAN!$B:$AA,15,0),"")</f>
        <v>JAPAN</v>
      </c>
      <c r="M266" s="77">
        <f>IFERROR(VLOOKUP($AA266,PLAN!$B:$AA,18,0),"")</f>
        <v>0</v>
      </c>
      <c r="N266" s="227">
        <f>IFERROR(VLOOKUP($AA266,PLAN!$B:$AA,19,0),"")</f>
        <v>0</v>
      </c>
      <c r="O266" s="77" t="str">
        <f>IFERROR(VLOOKUP($AA266,PLAN!$B:$AA,12,0),"")</f>
        <v>1942044-B-C</v>
      </c>
      <c r="P266" s="77">
        <f>IFERROR(VLOOKUP($AA266,PLAN!$B:$AA,11,0),"")</f>
        <v>12120566</v>
      </c>
      <c r="Q266" s="277" t="s">
        <v>538</v>
      </c>
      <c r="R266" s="149" t="s">
        <v>539</v>
      </c>
      <c r="S266" s="149">
        <f t="shared" si="19"/>
        <v>11</v>
      </c>
      <c r="T266" s="131"/>
      <c r="U266" s="78">
        <f>IFERROR(VLOOKUP($AA266,PLAN!$B:$AA,21,0),"")</f>
        <v>46235</v>
      </c>
      <c r="V266" s="78" t="str">
        <f>IFERROR(VLOOKUP($AA266,PLAN!$B:$AA,22,0),"")</f>
        <v>M8</v>
      </c>
      <c r="W266" s="232"/>
      <c r="X266" s="233"/>
      <c r="Y266" s="212"/>
      <c r="Z266" s="350"/>
      <c r="AA266" s="195" t="s">
        <v>1969</v>
      </c>
      <c r="AB266" s="132">
        <f>VLOOKUP(AA266,PLAN!B:V,20,0)</f>
        <v>46235</v>
      </c>
      <c r="AC266" s="132"/>
    </row>
    <row r="267" spans="3:29" s="79" customFormat="1" ht="21.6" customHeight="1">
      <c r="C267" s="249" t="str">
        <f t="shared" si="20"/>
        <v>Aug08-20</v>
      </c>
      <c r="D267" s="77">
        <f>IFERROR(VLOOKUP($AA267,PLAN!$B:$AA,3,0),"")</f>
        <v>11125142</v>
      </c>
      <c r="E267" s="77" t="str">
        <f>IFERROR(VLOOKUP($AA267,PLAN!$B:$AA,4,0),"")</f>
        <v>1941011-D-A</v>
      </c>
      <c r="F267" s="77" t="str">
        <f>IFERROR(VLOOKUP($AA267,PLAN!$B:$AA,5,0),"")</f>
        <v>MST150-18PWSFR JP</v>
      </c>
      <c r="G267" s="77" t="str">
        <f>IFERROR(VLOOKUP($AA267,PLAN!$B:$AA,2,0),"")</f>
        <v>1001928744</v>
      </c>
      <c r="H267" s="113">
        <f>IFERROR(VLOOKUP($AA267,PLAN!$B:$AA,7,0),"")</f>
        <v>46242</v>
      </c>
      <c r="I267" s="77" t="str">
        <f>IFERROR(VLOOKUP($AA267,PLAN!$B:$AA,8,0),"")</f>
        <v>0103577683</v>
      </c>
      <c r="J267" s="77" t="str">
        <f>IFERROR(VLOOKUP($AA267,PLAN!$B:$AA,9,0),"")</f>
        <v>260727K16A</v>
      </c>
      <c r="K267" s="77">
        <f>IFERROR(VLOOKUP($AA267,PLAN!$B:$AA,10,0),"")</f>
        <v>14</v>
      </c>
      <c r="L267" s="77" t="str">
        <f>IFERROR(VLOOKUP($AA267,PLAN!$B:$AA,15,0),"")</f>
        <v>JAPAN</v>
      </c>
      <c r="M267" s="77">
        <f>IFERROR(VLOOKUP($AA267,PLAN!$B:$AA,18,0),"")</f>
        <v>0</v>
      </c>
      <c r="N267" s="227">
        <f>IFERROR(VLOOKUP($AA267,PLAN!$B:$AA,19,0),"")</f>
        <v>0</v>
      </c>
      <c r="O267" s="77" t="str">
        <f>IFERROR(VLOOKUP($AA267,PLAN!$B:$AA,12,0),"")</f>
        <v>1942042-A-C</v>
      </c>
      <c r="P267" s="77">
        <f>IFERROR(VLOOKUP($AA267,PLAN!$B:$AA,11,0),"")</f>
        <v>12120564</v>
      </c>
      <c r="Q267" s="349" t="s">
        <v>819</v>
      </c>
      <c r="R267" s="149" t="s">
        <v>820</v>
      </c>
      <c r="S267" s="149">
        <f t="shared" si="19"/>
        <v>14</v>
      </c>
      <c r="T267" s="131"/>
      <c r="U267" s="78">
        <f>IFERROR(VLOOKUP($AA267,PLAN!$B:$AA,21,0),"")</f>
        <v>46235</v>
      </c>
      <c r="V267" s="78" t="str">
        <f>IFERROR(VLOOKUP($AA267,PLAN!$B:$AA,22,0),"")</f>
        <v>M8</v>
      </c>
      <c r="W267" s="232"/>
      <c r="X267" s="233"/>
      <c r="Y267" s="212"/>
      <c r="Z267" s="350"/>
      <c r="AA267" s="195" t="s">
        <v>1970</v>
      </c>
      <c r="AB267" s="132">
        <f>VLOOKUP(AA267,PLAN!B:V,20,0)</f>
        <v>46235</v>
      </c>
      <c r="AC267" s="132"/>
    </row>
    <row r="268" spans="3:29" s="79" customFormat="1" ht="21.6" customHeight="1">
      <c r="C268" s="249" t="str">
        <f t="shared" si="20"/>
        <v>Aug08-21</v>
      </c>
      <c r="D268" s="77">
        <f>IFERROR(VLOOKUP($AA268,PLAN!$B:$AA,3,0),"")</f>
        <v>11131258</v>
      </c>
      <c r="E268" s="77" t="str">
        <f>IFERROR(VLOOKUP($AA268,PLAN!$B:$AA,4,0),"")</f>
        <v>1941001-D-A</v>
      </c>
      <c r="F268" s="77" t="str">
        <f>IFERROR(VLOOKUP($AA268,PLAN!$B:$AA,5,0),"")</f>
        <v>CSR135-26PR JP</v>
      </c>
      <c r="G268" s="77" t="str">
        <f>IFERROR(VLOOKUP($AA268,PLAN!$B:$AA,2,0),"")</f>
        <v>1001928745</v>
      </c>
      <c r="H268" s="113">
        <f>IFERROR(VLOOKUP($AA268,PLAN!$B:$AA,7,0),"")</f>
        <v>46242</v>
      </c>
      <c r="I268" s="77" t="str">
        <f>IFERROR(VLOOKUP($AA268,PLAN!$B:$AA,8,0),"")</f>
        <v>0103577684</v>
      </c>
      <c r="J268" s="77" t="str">
        <f>IFERROR(VLOOKUP($AA268,PLAN!$B:$AA,9,0),"")</f>
        <v>260727K17A</v>
      </c>
      <c r="K268" s="77">
        <f>IFERROR(VLOOKUP($AA268,PLAN!$B:$AA,10,0),"")</f>
        <v>86</v>
      </c>
      <c r="L268" s="77" t="str">
        <f>IFERROR(VLOOKUP($AA268,PLAN!$B:$AA,15,0),"")</f>
        <v>JAPAN</v>
      </c>
      <c r="M268" s="77">
        <f>IFERROR(VLOOKUP($AA268,PLAN!$B:$AA,18,0),"")</f>
        <v>0</v>
      </c>
      <c r="N268" s="227">
        <f>IFERROR(VLOOKUP($AA268,PLAN!$B:$AA,19,0),"")</f>
        <v>0</v>
      </c>
      <c r="O268" s="77" t="str">
        <f>IFERROR(VLOOKUP($AA268,PLAN!$B:$AA,12,0),"")</f>
        <v>2342019-A-C</v>
      </c>
      <c r="P268" s="77">
        <f>IFERROR(VLOOKUP($AA268,PLAN!$B:$AA,11,0),"")</f>
        <v>12120624</v>
      </c>
      <c r="Q268" s="277" t="s">
        <v>1210</v>
      </c>
      <c r="R268" s="149" t="s">
        <v>1211</v>
      </c>
      <c r="S268" s="149">
        <f t="shared" si="19"/>
        <v>86</v>
      </c>
      <c r="T268" s="131"/>
      <c r="U268" s="78">
        <f>IFERROR(VLOOKUP($AA268,PLAN!$B:$AA,21,0),"")</f>
        <v>46235</v>
      </c>
      <c r="V268" s="78" t="str">
        <f>IFERROR(VLOOKUP($AA268,PLAN!$B:$AA,22,0),"")</f>
        <v>M8</v>
      </c>
      <c r="W268" s="232"/>
      <c r="X268" s="233"/>
      <c r="Y268" s="212"/>
      <c r="Z268" s="350"/>
      <c r="AA268" s="195" t="s">
        <v>1971</v>
      </c>
      <c r="AB268" s="132">
        <f>VLOOKUP(AA268,PLAN!B:V,20,0)</f>
        <v>46235</v>
      </c>
      <c r="AC268" s="132"/>
    </row>
    <row r="269" spans="3:29" s="79" customFormat="1" ht="21.6" customHeight="1">
      <c r="C269" s="249" t="str">
        <f t="shared" si="20"/>
        <v>Aug08-22</v>
      </c>
      <c r="D269" s="77">
        <f>IFERROR(VLOOKUP($AA269,PLAN!$B:$AA,3,0),"")</f>
        <v>11127835</v>
      </c>
      <c r="E269" s="77" t="str">
        <f>IFERROR(VLOOKUP($AA269,PLAN!$B:$AA,4,0),"")</f>
        <v>1941079-D-A</v>
      </c>
      <c r="F269" s="77" t="str">
        <f>IFERROR(VLOOKUP($AA269,PLAN!$B:$AA,5,0),"")</f>
        <v>CSRP135-26NR JP</v>
      </c>
      <c r="G269" s="77" t="str">
        <f>IFERROR(VLOOKUP($AA269,PLAN!$B:$AA,2,0),"")</f>
        <v>1001928746</v>
      </c>
      <c r="H269" s="113">
        <f>IFERROR(VLOOKUP($AA269,PLAN!$B:$AA,7,0),"")</f>
        <v>46242</v>
      </c>
      <c r="I269" s="77" t="str">
        <f>IFERROR(VLOOKUP($AA269,PLAN!$B:$AA,8,0),"")</f>
        <v>0103577685</v>
      </c>
      <c r="J269" s="77" t="str">
        <f>IFERROR(VLOOKUP($AA269,PLAN!$B:$AA,9,0),"")</f>
        <v>260727K18A</v>
      </c>
      <c r="K269" s="77">
        <f>IFERROR(VLOOKUP($AA269,PLAN!$B:$AA,10,0),"")</f>
        <v>71</v>
      </c>
      <c r="L269" s="77" t="str">
        <f>IFERROR(VLOOKUP($AA269,PLAN!$B:$AA,15,0),"")</f>
        <v>JAPAN</v>
      </c>
      <c r="M269" s="77">
        <f>IFERROR(VLOOKUP($AA269,PLAN!$B:$AA,18,0),"")</f>
        <v>0</v>
      </c>
      <c r="N269" s="227">
        <f>IFERROR(VLOOKUP($AA269,PLAN!$B:$AA,19,0),"")</f>
        <v>0</v>
      </c>
      <c r="O269" s="77" t="str">
        <f>IFERROR(VLOOKUP($AA269,PLAN!$B:$AA,12,0),"")</f>
        <v>1942114-B-C</v>
      </c>
      <c r="P269" s="77">
        <f>IFERROR(VLOOKUP($AA269,PLAN!$B:$AA,11,0),"")</f>
        <v>12120581</v>
      </c>
      <c r="Q269" s="277" t="s">
        <v>515</v>
      </c>
      <c r="R269" s="149" t="s">
        <v>516</v>
      </c>
      <c r="S269" s="149">
        <f t="shared" si="19"/>
        <v>71</v>
      </c>
      <c r="T269" s="131"/>
      <c r="U269" s="78">
        <f>IFERROR(VLOOKUP($AA269,PLAN!$B:$AA,21,0),"")</f>
        <v>46235</v>
      </c>
      <c r="V269" s="78" t="str">
        <f>IFERROR(VLOOKUP($AA269,PLAN!$B:$AA,22,0),"")</f>
        <v>M8</v>
      </c>
      <c r="W269" s="232"/>
      <c r="X269" s="233"/>
      <c r="Y269" s="212"/>
      <c r="Z269" s="350"/>
      <c r="AA269" s="195" t="s">
        <v>1972</v>
      </c>
      <c r="AB269" s="132">
        <f>VLOOKUP(AA269,PLAN!B:V,20,0)</f>
        <v>46235</v>
      </c>
      <c r="AC269" s="132"/>
    </row>
    <row r="270" spans="3:29" s="79" customFormat="1" ht="21.6" customHeight="1">
      <c r="C270" s="249" t="str">
        <f t="shared" si="20"/>
        <v>Aug08-23</v>
      </c>
      <c r="D270" s="77">
        <f>IFERROR(VLOOKUP($AA270,PLAN!$B:$AA,3,0),"")</f>
        <v>11122087</v>
      </c>
      <c r="E270" s="77" t="str">
        <f>IFERROR(VLOOKUP($AA270,PLAN!$B:$AA,4,0),"")</f>
        <v>2341003-B-A</v>
      </c>
      <c r="F270" s="77" t="str">
        <f>IFERROR(VLOOKUP($AA270,PLAN!$B:$AA,5,0),"")</f>
        <v>CRV135-19P CE3</v>
      </c>
      <c r="G270" s="77" t="str">
        <f>IFERROR(VLOOKUP($AA270,PLAN!$B:$AA,2,0),"")</f>
        <v>1001928747</v>
      </c>
      <c r="H270" s="113">
        <f>IFERROR(VLOOKUP($AA270,PLAN!$B:$AA,7,0),"")</f>
        <v>46242</v>
      </c>
      <c r="I270" s="77" t="str">
        <f>IFERROR(VLOOKUP($AA270,PLAN!$B:$AA,8,0),"")</f>
        <v>0103577687</v>
      </c>
      <c r="J270" s="77" t="str">
        <f>IFERROR(VLOOKUP($AA270,PLAN!$B:$AA,9,0),"")</f>
        <v>260727K19A</v>
      </c>
      <c r="K270" s="77">
        <f>IFERROR(VLOOKUP($AA270,PLAN!$B:$AA,10,0),"")</f>
        <v>301</v>
      </c>
      <c r="L270" s="77" t="str">
        <f>IFERROR(VLOOKUP($AA270,PLAN!$B:$AA,15,0),"")</f>
        <v>Oversea</v>
      </c>
      <c r="M270" s="77">
        <f>IFERROR(VLOOKUP($AA270,PLAN!$B:$AA,18,0),"")</f>
        <v>0</v>
      </c>
      <c r="N270" s="227">
        <f>IFERROR(VLOOKUP($AA270,PLAN!$B:$AA,19,0),"")</f>
        <v>0</v>
      </c>
      <c r="O270" s="77" t="str">
        <f>IFERROR(VLOOKUP($AA270,PLAN!$B:$AA,12,0),"")</f>
        <v>1942140-B-C</v>
      </c>
      <c r="P270" s="77">
        <f>IFERROR(VLOOKUP($AA270,PLAN!$B:$AA,11,0),"")</f>
        <v>12129626</v>
      </c>
      <c r="Q270" s="277" t="s">
        <v>1214</v>
      </c>
      <c r="R270" s="149" t="s">
        <v>1215</v>
      </c>
      <c r="S270" s="223">
        <v>164</v>
      </c>
      <c r="T270" s="131"/>
      <c r="U270" s="78">
        <f>IFERROR(VLOOKUP($AA270,PLAN!$B:$AA,21,0),"")</f>
        <v>46235</v>
      </c>
      <c r="V270" s="78" t="str">
        <f>IFERROR(VLOOKUP($AA270,PLAN!$B:$AA,22,0),"")</f>
        <v>M8</v>
      </c>
      <c r="W270" s="232"/>
      <c r="X270" s="233"/>
      <c r="Y270" s="212"/>
      <c r="Z270" s="350"/>
      <c r="AA270" s="195" t="s">
        <v>1973</v>
      </c>
      <c r="AB270" s="132">
        <f>VLOOKUP(AA270,PLAN!B:V,20,0)</f>
        <v>46235</v>
      </c>
      <c r="AC270" s="132"/>
    </row>
    <row r="271" spans="3:29" s="79" customFormat="1" ht="21.6" customHeight="1">
      <c r="C271" s="249"/>
      <c r="D271" s="77"/>
      <c r="E271" s="77"/>
      <c r="F271" s="77"/>
      <c r="G271" s="77"/>
      <c r="H271" s="113"/>
      <c r="I271" s="77"/>
      <c r="J271" s="77"/>
      <c r="K271" s="77"/>
      <c r="L271" s="77"/>
      <c r="M271" s="77"/>
      <c r="N271" s="227"/>
      <c r="O271" s="77"/>
      <c r="P271" s="77"/>
      <c r="Q271" s="277" t="s">
        <v>2174</v>
      </c>
      <c r="R271" s="149" t="s">
        <v>2175</v>
      </c>
      <c r="S271" s="223">
        <f>K270-S270</f>
        <v>137</v>
      </c>
      <c r="T271" s="131"/>
      <c r="U271" s="78"/>
      <c r="V271" s="78"/>
      <c r="W271" s="232"/>
      <c r="X271" s="233"/>
      <c r="Y271" s="212"/>
      <c r="Z271" s="350"/>
      <c r="AA271" s="195"/>
      <c r="AB271" s="132">
        <v>46235</v>
      </c>
      <c r="AC271" s="132"/>
    </row>
    <row r="272" spans="3:29" s="79" customFormat="1" ht="21.6" customHeight="1">
      <c r="C272" s="249" t="str">
        <f t="shared" si="20"/>
        <v>Aug08-24</v>
      </c>
      <c r="D272" s="77">
        <f>IFERROR(VLOOKUP($AA272,PLAN!$B:$AA,3,0),"")</f>
        <v>11122087</v>
      </c>
      <c r="E272" s="77" t="str">
        <f>IFERROR(VLOOKUP($AA272,PLAN!$B:$AA,4,0),"")</f>
        <v>2341003-B-A</v>
      </c>
      <c r="F272" s="77" t="str">
        <f>IFERROR(VLOOKUP($AA272,PLAN!$B:$AA,5,0),"")</f>
        <v>CRV135-19P CE3</v>
      </c>
      <c r="G272" s="77" t="str">
        <f>IFERROR(VLOOKUP($AA272,PLAN!$B:$AA,2,0),"")</f>
        <v>1001928748</v>
      </c>
      <c r="H272" s="113">
        <f>IFERROR(VLOOKUP($AA272,PLAN!$B:$AA,7,0),"")</f>
        <v>46242</v>
      </c>
      <c r="I272" s="77" t="str">
        <f>IFERROR(VLOOKUP($AA272,PLAN!$B:$AA,8,0),"")</f>
        <v>0103577688</v>
      </c>
      <c r="J272" s="77" t="str">
        <f>IFERROR(VLOOKUP($AA272,PLAN!$B:$AA,9,0),"")</f>
        <v>260727K20A</v>
      </c>
      <c r="K272" s="77">
        <f>IFERROR(VLOOKUP($AA272,PLAN!$B:$AA,10,0),"")</f>
        <v>220</v>
      </c>
      <c r="L272" s="77" t="str">
        <f>IFERROR(VLOOKUP($AA272,PLAN!$B:$AA,15,0),"")</f>
        <v>Oversea</v>
      </c>
      <c r="M272" s="77">
        <f>IFERROR(VLOOKUP($AA272,PLAN!$B:$AA,18,0),"")</f>
        <v>0</v>
      </c>
      <c r="N272" s="227">
        <f>IFERROR(VLOOKUP($AA272,PLAN!$B:$AA,19,0),"")</f>
        <v>0</v>
      </c>
      <c r="O272" s="77" t="str">
        <f>IFERROR(VLOOKUP($AA272,PLAN!$B:$AA,12,0),"")</f>
        <v>1942140-B-C</v>
      </c>
      <c r="P272" s="77">
        <f>IFERROR(VLOOKUP($AA272,PLAN!$B:$AA,11,0),"")</f>
        <v>12129626</v>
      </c>
      <c r="Q272" s="277" t="s">
        <v>2174</v>
      </c>
      <c r="R272" s="149" t="s">
        <v>2175</v>
      </c>
      <c r="S272" s="223">
        <v>173</v>
      </c>
      <c r="T272" s="131"/>
      <c r="U272" s="78">
        <f>IFERROR(VLOOKUP($AA272,PLAN!$B:$AA,21,0),"")</f>
        <v>46235</v>
      </c>
      <c r="V272" s="78" t="str">
        <f>IFERROR(VLOOKUP($AA272,PLAN!$B:$AA,22,0),"")</f>
        <v>M8</v>
      </c>
      <c r="W272" s="232"/>
      <c r="X272" s="233"/>
      <c r="Y272" s="212"/>
      <c r="Z272" s="350"/>
      <c r="AA272" s="195" t="s">
        <v>1974</v>
      </c>
      <c r="AB272" s="132">
        <f>VLOOKUP(AA272,PLAN!B:V,20,0)</f>
        <v>46235</v>
      </c>
      <c r="AC272" s="132"/>
    </row>
    <row r="273" spans="3:29" s="79" customFormat="1" ht="21.6" customHeight="1">
      <c r="C273" s="249"/>
      <c r="D273" s="77"/>
      <c r="E273" s="77"/>
      <c r="F273" s="77"/>
      <c r="G273" s="77"/>
      <c r="H273" s="113"/>
      <c r="I273" s="77"/>
      <c r="J273" s="77"/>
      <c r="K273" s="77"/>
      <c r="L273" s="77"/>
      <c r="M273" s="77"/>
      <c r="N273" s="227"/>
      <c r="O273" s="77"/>
      <c r="P273" s="77"/>
      <c r="Q273" s="277" t="s">
        <v>2176</v>
      </c>
      <c r="R273" s="149" t="s">
        <v>2177</v>
      </c>
      <c r="S273" s="223">
        <f>K272-S272</f>
        <v>47</v>
      </c>
      <c r="T273" s="131"/>
      <c r="U273" s="78"/>
      <c r="V273" s="78"/>
      <c r="W273" s="232"/>
      <c r="X273" s="233"/>
      <c r="Y273" s="212"/>
      <c r="Z273" s="350"/>
      <c r="AA273" s="195"/>
      <c r="AB273" s="132">
        <v>46235</v>
      </c>
      <c r="AC273" s="132"/>
    </row>
    <row r="274" spans="3:29" s="79" customFormat="1" ht="21.6" customHeight="1">
      <c r="C274" s="249" t="str">
        <f t="shared" si="20"/>
        <v>Aug08-25</v>
      </c>
      <c r="D274" s="77">
        <f>IFERROR(VLOOKUP($AA274,PLAN!$B:$AA,3,0),"")</f>
        <v>11122087</v>
      </c>
      <c r="E274" s="77" t="str">
        <f>IFERROR(VLOOKUP($AA274,PLAN!$B:$AA,4,0),"")</f>
        <v>2341003-B-A</v>
      </c>
      <c r="F274" s="77" t="str">
        <f>IFERROR(VLOOKUP($AA274,PLAN!$B:$AA,5,0),"")</f>
        <v>CRV135-19P CE3</v>
      </c>
      <c r="G274" s="77" t="str">
        <f>IFERROR(VLOOKUP($AA274,PLAN!$B:$AA,2,0),"")</f>
        <v>1001928749</v>
      </c>
      <c r="H274" s="113">
        <f>IFERROR(VLOOKUP($AA274,PLAN!$B:$AA,7,0),"")</f>
        <v>46242</v>
      </c>
      <c r="I274" s="77" t="str">
        <f>IFERROR(VLOOKUP($AA274,PLAN!$B:$AA,8,0),"")</f>
        <v>0103577689</v>
      </c>
      <c r="J274" s="77" t="str">
        <f>IFERROR(VLOOKUP($AA274,PLAN!$B:$AA,9,0),"")</f>
        <v>260727K21A</v>
      </c>
      <c r="K274" s="77">
        <f>IFERROR(VLOOKUP($AA274,PLAN!$B:$AA,10,0),"")</f>
        <v>590</v>
      </c>
      <c r="L274" s="77" t="str">
        <f>IFERROR(VLOOKUP($AA274,PLAN!$B:$AA,15,0),"")</f>
        <v>Oversea</v>
      </c>
      <c r="M274" s="77">
        <f>IFERROR(VLOOKUP($AA274,PLAN!$B:$AA,18,0),"")</f>
        <v>0</v>
      </c>
      <c r="N274" s="227">
        <f>IFERROR(VLOOKUP($AA274,PLAN!$B:$AA,19,0),"")</f>
        <v>0</v>
      </c>
      <c r="O274" s="77" t="str">
        <f>IFERROR(VLOOKUP($AA274,PLAN!$B:$AA,12,0),"")</f>
        <v>1942140-B-C</v>
      </c>
      <c r="P274" s="77">
        <f>IFERROR(VLOOKUP($AA274,PLAN!$B:$AA,11,0),"")</f>
        <v>12129626</v>
      </c>
      <c r="Q274" s="277" t="s">
        <v>2176</v>
      </c>
      <c r="R274" s="149" t="s">
        <v>2177</v>
      </c>
      <c r="S274" s="223">
        <v>263</v>
      </c>
      <c r="T274" s="131"/>
      <c r="U274" s="78">
        <f>IFERROR(VLOOKUP($AA274,PLAN!$B:$AA,21,0),"")</f>
        <v>46235</v>
      </c>
      <c r="V274" s="78" t="str">
        <f>IFERROR(VLOOKUP($AA274,PLAN!$B:$AA,22,0),"")</f>
        <v>M8</v>
      </c>
      <c r="W274" s="232"/>
      <c r="X274" s="233"/>
      <c r="Y274" s="212"/>
      <c r="Z274" s="350"/>
      <c r="AA274" s="195" t="s">
        <v>1975</v>
      </c>
      <c r="AB274" s="132">
        <f>VLOOKUP(AA274,PLAN!B:V,20,0)</f>
        <v>46235</v>
      </c>
      <c r="AC274" s="132"/>
    </row>
    <row r="275" spans="3:29" s="79" customFormat="1" ht="21.6" customHeight="1">
      <c r="C275" s="249"/>
      <c r="D275" s="77"/>
      <c r="E275" s="77"/>
      <c r="F275" s="77"/>
      <c r="G275" s="77"/>
      <c r="H275" s="113"/>
      <c r="I275" s="77"/>
      <c r="J275" s="77"/>
      <c r="K275" s="77"/>
      <c r="L275" s="77"/>
      <c r="M275" s="77"/>
      <c r="N275" s="227"/>
      <c r="O275" s="77"/>
      <c r="P275" s="77"/>
      <c r="Q275" s="277" t="s">
        <v>2178</v>
      </c>
      <c r="R275" s="149" t="s">
        <v>2179</v>
      </c>
      <c r="S275" s="223">
        <v>309</v>
      </c>
      <c r="T275" s="131"/>
      <c r="U275" s="78"/>
      <c r="V275" s="78"/>
      <c r="W275" s="232"/>
      <c r="X275" s="233"/>
      <c r="Y275" s="212"/>
      <c r="Z275" s="350"/>
      <c r="AA275" s="195"/>
      <c r="AB275" s="132">
        <v>46235</v>
      </c>
      <c r="AC275" s="132"/>
    </row>
    <row r="276" spans="3:29" s="79" customFormat="1" ht="21.6" customHeight="1">
      <c r="C276" s="249"/>
      <c r="D276" s="77"/>
      <c r="E276" s="77"/>
      <c r="F276" s="77"/>
      <c r="G276" s="77"/>
      <c r="H276" s="113"/>
      <c r="I276" s="77"/>
      <c r="J276" s="77"/>
      <c r="K276" s="77"/>
      <c r="L276" s="77"/>
      <c r="M276" s="77"/>
      <c r="N276" s="227"/>
      <c r="O276" s="77"/>
      <c r="P276" s="77"/>
      <c r="Q276" s="277" t="s">
        <v>2180</v>
      </c>
      <c r="R276" s="222" t="s">
        <v>2181</v>
      </c>
      <c r="S276" s="223">
        <f>K274-S274-S275</f>
        <v>18</v>
      </c>
      <c r="T276" s="131"/>
      <c r="U276" s="78"/>
      <c r="V276" s="78"/>
      <c r="W276" s="232"/>
      <c r="X276" s="233"/>
      <c r="Y276" s="212"/>
      <c r="Z276" s="350"/>
      <c r="AA276" s="195"/>
      <c r="AB276" s="132">
        <v>46235</v>
      </c>
      <c r="AC276" s="132"/>
    </row>
    <row r="277" spans="3:29" s="79" customFormat="1" ht="21.6" customHeight="1">
      <c r="C277" s="249" t="str">
        <f t="shared" si="20"/>
        <v>Aug08-26</v>
      </c>
      <c r="D277" s="77">
        <f>IFERROR(VLOOKUP($AA277,PLAN!$B:$AA,3,0),"")</f>
        <v>11122088</v>
      </c>
      <c r="E277" s="77" t="str">
        <f>IFERROR(VLOOKUP($AA277,PLAN!$B:$AA,4,0),"")</f>
        <v>2341004-B-A</v>
      </c>
      <c r="F277" s="77" t="str">
        <f>IFERROR(VLOOKUP($AA277,PLAN!$B:$AA,5,0),"")</f>
        <v>CRV150-19P CE3</v>
      </c>
      <c r="G277" s="77" t="str">
        <f>IFERROR(VLOOKUP($AA277,PLAN!$B:$AA,2,0),"")</f>
        <v>1001928750</v>
      </c>
      <c r="H277" s="113">
        <f>IFERROR(VLOOKUP($AA277,PLAN!$B:$AA,7,0),"")</f>
        <v>46242</v>
      </c>
      <c r="I277" s="77" t="str">
        <f>IFERROR(VLOOKUP($AA277,PLAN!$B:$AA,8,0),"")</f>
        <v>0103577690</v>
      </c>
      <c r="J277" s="77" t="str">
        <f>IFERROR(VLOOKUP($AA277,PLAN!$B:$AA,9,0),"")</f>
        <v>260727K22A</v>
      </c>
      <c r="K277" s="77">
        <f>IFERROR(VLOOKUP($AA277,PLAN!$B:$AA,10,0),"")</f>
        <v>172</v>
      </c>
      <c r="L277" s="77" t="str">
        <f>IFERROR(VLOOKUP($AA277,PLAN!$B:$AA,15,0),"")</f>
        <v>Oversea</v>
      </c>
      <c r="M277" s="77">
        <f>IFERROR(VLOOKUP($AA277,PLAN!$B:$AA,18,0),"")</f>
        <v>0</v>
      </c>
      <c r="N277" s="227">
        <f>IFERROR(VLOOKUP($AA277,PLAN!$B:$AA,19,0),"")</f>
        <v>0</v>
      </c>
      <c r="O277" s="77" t="str">
        <f>IFERROR(VLOOKUP($AA277,PLAN!$B:$AA,12,0),"")</f>
        <v>1942141-B-C</v>
      </c>
      <c r="P277" s="77">
        <f>IFERROR(VLOOKUP($AA277,PLAN!$B:$AA,11,0),"")</f>
        <v>12129627</v>
      </c>
      <c r="Q277" s="277" t="s">
        <v>1212</v>
      </c>
      <c r="R277" s="149" t="s">
        <v>1213</v>
      </c>
      <c r="S277" s="149">
        <f t="shared" si="19"/>
        <v>172</v>
      </c>
      <c r="T277" s="131"/>
      <c r="U277" s="78">
        <f>IFERROR(VLOOKUP($AA277,PLAN!$B:$AA,21,0),"")</f>
        <v>46235</v>
      </c>
      <c r="V277" s="78" t="str">
        <f>IFERROR(VLOOKUP($AA277,PLAN!$B:$AA,22,0),"")</f>
        <v>M8</v>
      </c>
      <c r="W277" s="232"/>
      <c r="X277" s="233"/>
      <c r="Y277" s="212"/>
      <c r="Z277" s="350"/>
      <c r="AA277" s="195" t="s">
        <v>1976</v>
      </c>
      <c r="AB277" s="132">
        <f>VLOOKUP(AA277,PLAN!B:V,20,0)</f>
        <v>46235</v>
      </c>
      <c r="AC277" s="132"/>
    </row>
    <row r="278" spans="3:29" s="79" customFormat="1" ht="21.6" customHeight="1">
      <c r="C278" s="249" t="str">
        <f t="shared" si="20"/>
        <v>Aug08-27</v>
      </c>
      <c r="D278" s="77">
        <f>IFERROR(VLOOKUP($AA278,PLAN!$B:$AA,3,0),"")</f>
        <v>11122088</v>
      </c>
      <c r="E278" s="77" t="str">
        <f>IFERROR(VLOOKUP($AA278,PLAN!$B:$AA,4,0),"")</f>
        <v>2341004-B-A</v>
      </c>
      <c r="F278" s="77" t="str">
        <f>IFERROR(VLOOKUP($AA278,PLAN!$B:$AA,5,0),"")</f>
        <v>CRV150-19P CE3</v>
      </c>
      <c r="G278" s="77" t="str">
        <f>IFERROR(VLOOKUP($AA278,PLAN!$B:$AA,2,0),"")</f>
        <v>1001928751</v>
      </c>
      <c r="H278" s="113">
        <f>IFERROR(VLOOKUP($AA278,PLAN!$B:$AA,7,0),"")</f>
        <v>46242</v>
      </c>
      <c r="I278" s="77" t="str">
        <f>IFERROR(VLOOKUP($AA278,PLAN!$B:$AA,8,0),"")</f>
        <v>0103577691</v>
      </c>
      <c r="J278" s="77" t="str">
        <f>IFERROR(VLOOKUP($AA278,PLAN!$B:$AA,9,0),"")</f>
        <v>260727K23A</v>
      </c>
      <c r="K278" s="77">
        <f>IFERROR(VLOOKUP($AA278,PLAN!$B:$AA,10,0),"")</f>
        <v>130</v>
      </c>
      <c r="L278" s="77" t="str">
        <f>IFERROR(VLOOKUP($AA278,PLAN!$B:$AA,15,0),"")</f>
        <v>Oversea</v>
      </c>
      <c r="M278" s="77">
        <f>IFERROR(VLOOKUP($AA278,PLAN!$B:$AA,18,0),"")</f>
        <v>0</v>
      </c>
      <c r="N278" s="227">
        <f>IFERROR(VLOOKUP($AA278,PLAN!$B:$AA,19,0),"")</f>
        <v>0</v>
      </c>
      <c r="O278" s="77" t="str">
        <f>IFERROR(VLOOKUP($AA278,PLAN!$B:$AA,12,0),"")</f>
        <v>1942141-B-C</v>
      </c>
      <c r="P278" s="77">
        <f>IFERROR(VLOOKUP($AA278,PLAN!$B:$AA,11,0),"")</f>
        <v>12129627</v>
      </c>
      <c r="Q278" s="277" t="s">
        <v>1212</v>
      </c>
      <c r="R278" s="149" t="s">
        <v>1213</v>
      </c>
      <c r="S278" s="223">
        <v>99</v>
      </c>
      <c r="T278" s="131"/>
      <c r="U278" s="78">
        <f>IFERROR(VLOOKUP($AA278,PLAN!$B:$AA,21,0),"")</f>
        <v>46235</v>
      </c>
      <c r="V278" s="78" t="str">
        <f>IFERROR(VLOOKUP($AA278,PLAN!$B:$AA,22,0),"")</f>
        <v>M8</v>
      </c>
      <c r="W278" s="232"/>
      <c r="X278" s="233"/>
      <c r="Y278" s="212"/>
      <c r="Z278" s="350"/>
      <c r="AA278" s="195" t="s">
        <v>1977</v>
      </c>
      <c r="AB278" s="132">
        <f>VLOOKUP(AA278,PLAN!B:V,20,0)</f>
        <v>46235</v>
      </c>
      <c r="AC278" s="132"/>
    </row>
    <row r="279" spans="3:29" s="79" customFormat="1" ht="21.6" customHeight="1">
      <c r="C279" s="249"/>
      <c r="D279" s="77"/>
      <c r="E279" s="77"/>
      <c r="F279" s="77"/>
      <c r="G279" s="77"/>
      <c r="H279" s="113"/>
      <c r="I279" s="77"/>
      <c r="J279" s="77"/>
      <c r="K279" s="77"/>
      <c r="L279" s="77"/>
      <c r="M279" s="77"/>
      <c r="N279" s="227"/>
      <c r="O279" s="77"/>
      <c r="P279" s="77"/>
      <c r="Q279" s="349" t="s">
        <v>2182</v>
      </c>
      <c r="R279" s="149" t="s">
        <v>2183</v>
      </c>
      <c r="S279" s="223">
        <f>K278-S278</f>
        <v>31</v>
      </c>
      <c r="T279" s="131"/>
      <c r="U279" s="78"/>
      <c r="V279" s="78"/>
      <c r="W279" s="232"/>
      <c r="X279" s="233"/>
      <c r="Y279" s="212"/>
      <c r="Z279" s="350"/>
      <c r="AA279" s="195"/>
      <c r="AB279" s="132">
        <v>46235</v>
      </c>
      <c r="AC279" s="132"/>
    </row>
    <row r="280" spans="3:29" s="79" customFormat="1" ht="21.6" customHeight="1">
      <c r="C280" s="249" t="str">
        <f t="shared" si="20"/>
        <v>Aug08-28</v>
      </c>
      <c r="D280" s="77">
        <f>IFERROR(VLOOKUP($AA280,PLAN!$B:$AA,3,0),"")</f>
        <v>11134258</v>
      </c>
      <c r="E280" s="77" t="str">
        <f>IFERROR(VLOOKUP($AA280,PLAN!$B:$AA,4,0),"")</f>
        <v>1911095-E-A</v>
      </c>
      <c r="F280" s="77" t="str">
        <f>IFERROR(VLOOKUP($AA280,PLAN!$B:$AA,5,0),"")</f>
        <v>HJ60SP320P10000 JP</v>
      </c>
      <c r="G280" s="77" t="str">
        <f>IFERROR(VLOOKUP($AA280,PLAN!$B:$AA,2,0),"")</f>
        <v>1001928752</v>
      </c>
      <c r="H280" s="113">
        <f>IFERROR(VLOOKUP($AA280,PLAN!$B:$AA,7,0),"")</f>
        <v>46242</v>
      </c>
      <c r="I280" s="77" t="str">
        <f>IFERROR(VLOOKUP($AA280,PLAN!$B:$AA,8,0),"")</f>
        <v>0103577692</v>
      </c>
      <c r="J280" s="77" t="str">
        <f>IFERROR(VLOOKUP($AA280,PLAN!$B:$AA,9,0),"")</f>
        <v>260727C01A</v>
      </c>
      <c r="K280" s="77">
        <f>IFERROR(VLOOKUP($AA280,PLAN!$B:$AA,10,0),"")</f>
        <v>4</v>
      </c>
      <c r="L280" s="77" t="str">
        <f>IFERROR(VLOOKUP($AA280,PLAN!$B:$AA,15,0),"")</f>
        <v>JAPAN</v>
      </c>
      <c r="M280" s="77">
        <f>IFERROR(VLOOKUP($AA280,PLAN!$B:$AA,18,0),"")</f>
        <v>0</v>
      </c>
      <c r="N280" s="227">
        <f>IFERROR(VLOOKUP($AA280,PLAN!$B:$AA,19,0),"")</f>
        <v>0</v>
      </c>
      <c r="O280" s="77" t="str">
        <f>IFERROR(VLOOKUP($AA280,PLAN!$B:$AA,12,0),"")</f>
        <v>2112097-0-C</v>
      </c>
      <c r="P280" s="77">
        <f>IFERROR(VLOOKUP($AA280,PLAN!$B:$AA,11,0),"")</f>
        <v>12116062</v>
      </c>
      <c r="Q280" s="148" t="s">
        <v>494</v>
      </c>
      <c r="R280" s="222" t="s">
        <v>495</v>
      </c>
      <c r="S280" s="149">
        <f t="shared" si="19"/>
        <v>4</v>
      </c>
      <c r="T280" s="131"/>
      <c r="U280" s="78">
        <f>IFERROR(VLOOKUP($AA280,PLAN!$B:$AA,21,0),"")</f>
        <v>46235</v>
      </c>
      <c r="V280" s="78" t="str">
        <f>IFERROR(VLOOKUP($AA280,PLAN!$B:$AA,22,0),"")</f>
        <v>M9</v>
      </c>
      <c r="W280" s="232"/>
      <c r="X280" s="233"/>
      <c r="Y280" s="212"/>
      <c r="Z280" s="350"/>
      <c r="AA280" s="195" t="s">
        <v>1978</v>
      </c>
      <c r="AB280" s="132">
        <f>VLOOKUP(AA280,PLAN!B:V,20,0)</f>
        <v>46235</v>
      </c>
      <c r="AC280" s="132"/>
    </row>
    <row r="281" spans="3:29" s="79" customFormat="1" ht="21.6" customHeight="1">
      <c r="C281" s="249" t="str">
        <f t="shared" si="20"/>
        <v>Aug08-29</v>
      </c>
      <c r="D281" s="77">
        <f>IFERROR(VLOOKUP($AA281,PLAN!$B:$AA,3,0),"")</f>
        <v>11131304</v>
      </c>
      <c r="E281" s="77" t="str">
        <f>IFERROR(VLOOKUP($AA281,PLAN!$B:$AA,4,0),"")</f>
        <v>2211221-E-A</v>
      </c>
      <c r="F281" s="77" t="str">
        <f>IFERROR(VLOOKUP($AA281,PLAN!$B:$AA,5,0),"")</f>
        <v>HW70SP370P10000 NOCE</v>
      </c>
      <c r="G281" s="77" t="str">
        <f>IFERROR(VLOOKUP($AA281,PLAN!$B:$AA,2,0),"")</f>
        <v>1001928753</v>
      </c>
      <c r="H281" s="113">
        <f>IFERROR(VLOOKUP($AA281,PLAN!$B:$AA,7,0),"")</f>
        <v>46242</v>
      </c>
      <c r="I281" s="77" t="str">
        <f>IFERROR(VLOOKUP($AA281,PLAN!$B:$AA,8,0),"")</f>
        <v>0103577693</v>
      </c>
      <c r="J281" s="77" t="str">
        <f>IFERROR(VLOOKUP($AA281,PLAN!$B:$AA,9,0),"")</f>
        <v>260727C02A</v>
      </c>
      <c r="K281" s="77">
        <f>IFERROR(VLOOKUP($AA281,PLAN!$B:$AA,10,0),"")</f>
        <v>2</v>
      </c>
      <c r="L281" s="77" t="str">
        <f>IFERROR(VLOOKUP($AA281,PLAN!$B:$AA,15,0),"")</f>
        <v>Oversea</v>
      </c>
      <c r="M281" s="77">
        <f>IFERROR(VLOOKUP($AA281,PLAN!$B:$AA,18,0),"")</f>
        <v>0</v>
      </c>
      <c r="N281" s="227">
        <f>IFERROR(VLOOKUP($AA281,PLAN!$B:$AA,19,0),"")</f>
        <v>0</v>
      </c>
      <c r="O281" s="77" t="str">
        <f>IFERROR(VLOOKUP($AA281,PLAN!$B:$AA,12,0),"")</f>
        <v>2112229-0-C</v>
      </c>
      <c r="P281" s="77">
        <f>IFERROR(VLOOKUP($AA281,PLAN!$B:$AA,11,0),"")</f>
        <v>12116196</v>
      </c>
      <c r="Q281" s="349" t="s">
        <v>639</v>
      </c>
      <c r="R281" s="149" t="s">
        <v>640</v>
      </c>
      <c r="S281" s="149">
        <f t="shared" si="19"/>
        <v>2</v>
      </c>
      <c r="T281" s="131"/>
      <c r="U281" s="78">
        <f>IFERROR(VLOOKUP($AA281,PLAN!$B:$AA,21,0),"")</f>
        <v>46235</v>
      </c>
      <c r="V281" s="78" t="str">
        <f>IFERROR(VLOOKUP($AA281,PLAN!$B:$AA,22,0),"")</f>
        <v>M9</v>
      </c>
      <c r="W281" s="232"/>
      <c r="X281" s="233"/>
      <c r="Y281" s="212"/>
      <c r="Z281" s="350"/>
      <c r="AA281" s="195" t="s">
        <v>1979</v>
      </c>
      <c r="AB281" s="132">
        <f>VLOOKUP(AA281,PLAN!B:V,20,0)</f>
        <v>46235</v>
      </c>
      <c r="AC281" s="132"/>
    </row>
    <row r="282" spans="3:29" s="79" customFormat="1" ht="21.6" customHeight="1">
      <c r="C282" s="249" t="str">
        <f t="shared" si="20"/>
        <v>Aug08-30</v>
      </c>
      <c r="D282" s="77">
        <f>IFERROR(VLOOKUP($AA282,PLAN!$B:$AA,3,0),"")</f>
        <v>11131307</v>
      </c>
      <c r="E282" s="77" t="str">
        <f>IFERROR(VLOOKUP($AA282,PLAN!$B:$AA,4,0),"")</f>
        <v>2211224-D-A</v>
      </c>
      <c r="F282" s="77" t="str">
        <f>IFERROR(VLOOKUP($AA282,PLAN!$B:$AA,5,0),"")</f>
        <v>HW70SP350P09000 NOCE</v>
      </c>
      <c r="G282" s="77" t="str">
        <f>IFERROR(VLOOKUP($AA282,PLAN!$B:$AA,2,0),"")</f>
        <v>1001928754</v>
      </c>
      <c r="H282" s="113">
        <f>IFERROR(VLOOKUP($AA282,PLAN!$B:$AA,7,0),"")</f>
        <v>46242</v>
      </c>
      <c r="I282" s="77" t="str">
        <f>IFERROR(VLOOKUP($AA282,PLAN!$B:$AA,8,0),"")</f>
        <v>0103577694</v>
      </c>
      <c r="J282" s="77" t="str">
        <f>IFERROR(VLOOKUP($AA282,PLAN!$B:$AA,9,0),"")</f>
        <v>260727C03A</v>
      </c>
      <c r="K282" s="77">
        <f>IFERROR(VLOOKUP($AA282,PLAN!$B:$AA,10,0),"")</f>
        <v>4</v>
      </c>
      <c r="L282" s="77" t="str">
        <f>IFERROR(VLOOKUP($AA282,PLAN!$B:$AA,15,0),"")</f>
        <v>Oversea</v>
      </c>
      <c r="M282" s="77">
        <f>IFERROR(VLOOKUP($AA282,PLAN!$B:$AA,18,0),"")</f>
        <v>0</v>
      </c>
      <c r="N282" s="227">
        <f>IFERROR(VLOOKUP($AA282,PLAN!$B:$AA,19,0),"")</f>
        <v>0</v>
      </c>
      <c r="O282" s="77" t="str">
        <f>IFERROR(VLOOKUP($AA282,PLAN!$B:$AA,12,0),"")</f>
        <v>2212065-0-C</v>
      </c>
      <c r="P282" s="77">
        <f>IFERROR(VLOOKUP($AA282,PLAN!$B:$AA,11,0),"")</f>
        <v>12124616</v>
      </c>
      <c r="Q282" s="373" t="s">
        <v>2184</v>
      </c>
      <c r="R282" s="374" t="s">
        <v>2185</v>
      </c>
      <c r="S282" s="374">
        <f t="shared" si="19"/>
        <v>4</v>
      </c>
      <c r="T282" s="131"/>
      <c r="U282" s="78">
        <f>IFERROR(VLOOKUP($AA282,PLAN!$B:$AA,21,0),"")</f>
        <v>46235</v>
      </c>
      <c r="V282" s="78" t="str">
        <f>IFERROR(VLOOKUP($AA282,PLAN!$B:$AA,22,0),"")</f>
        <v>M9</v>
      </c>
      <c r="W282" s="232"/>
      <c r="X282" s="233"/>
      <c r="Y282" s="212"/>
      <c r="Z282" s="350"/>
      <c r="AA282" s="195" t="s">
        <v>1980</v>
      </c>
      <c r="AB282" s="132">
        <f>VLOOKUP(AA282,PLAN!B:V,20,0)</f>
        <v>46235</v>
      </c>
      <c r="AC282" s="132"/>
    </row>
    <row r="283" spans="3:29" s="79" customFormat="1" ht="21.6" customHeight="1">
      <c r="C283" s="249" t="str">
        <f t="shared" si="20"/>
        <v>Aug08-31</v>
      </c>
      <c r="D283" s="77">
        <f>IFERROR(VLOOKUP($AA283,PLAN!$B:$AA,3,0),"")</f>
        <v>11132714</v>
      </c>
      <c r="E283" s="77" t="str">
        <f>IFERROR(VLOOKUP($AA283,PLAN!$B:$AA,4,0),"")</f>
        <v>2211029-D-A</v>
      </c>
      <c r="F283" s="77" t="str">
        <f>IFERROR(VLOOKUP($AA283,PLAN!$B:$AA,5,0),"")</f>
        <v>HW60PB300P10000 NOCE</v>
      </c>
      <c r="G283" s="77" t="str">
        <f>IFERROR(VLOOKUP($AA283,PLAN!$B:$AA,2,0),"")</f>
        <v>1001928755</v>
      </c>
      <c r="H283" s="113">
        <f>IFERROR(VLOOKUP($AA283,PLAN!$B:$AA,7,0),"")</f>
        <v>46242</v>
      </c>
      <c r="I283" s="77" t="str">
        <f>IFERROR(VLOOKUP($AA283,PLAN!$B:$AA,8,0),"")</f>
        <v>0103577695</v>
      </c>
      <c r="J283" s="77" t="str">
        <f>IFERROR(VLOOKUP($AA283,PLAN!$B:$AA,9,0),"")</f>
        <v>260727C04A</v>
      </c>
      <c r="K283" s="77">
        <f>IFERROR(VLOOKUP($AA283,PLAN!$B:$AA,10,0),"")</f>
        <v>10</v>
      </c>
      <c r="L283" s="77" t="str">
        <f>IFERROR(VLOOKUP($AA283,PLAN!$B:$AA,15,0),"")</f>
        <v>Oversea</v>
      </c>
      <c r="M283" s="77">
        <f>IFERROR(VLOOKUP($AA283,PLAN!$B:$AA,18,0),"")</f>
        <v>0</v>
      </c>
      <c r="N283" s="227">
        <f>IFERROR(VLOOKUP($AA283,PLAN!$B:$AA,19,0),"")</f>
        <v>0</v>
      </c>
      <c r="O283" s="77" t="str">
        <f>IFERROR(VLOOKUP($AA283,PLAN!$B:$AA,12,0),"")</f>
        <v>2112069-0-C</v>
      </c>
      <c r="P283" s="77">
        <f>IFERROR(VLOOKUP($AA283,PLAN!$B:$AA,11,0),"")</f>
        <v>12116034</v>
      </c>
      <c r="Q283" s="349" t="s">
        <v>883</v>
      </c>
      <c r="R283" s="149" t="s">
        <v>884</v>
      </c>
      <c r="S283" s="149">
        <f t="shared" si="19"/>
        <v>10</v>
      </c>
      <c r="T283" s="131"/>
      <c r="U283" s="78">
        <f>IFERROR(VLOOKUP($AA283,PLAN!$B:$AA,21,0),"")</f>
        <v>46235</v>
      </c>
      <c r="V283" s="78" t="str">
        <f>IFERROR(VLOOKUP($AA283,PLAN!$B:$AA,22,0),"")</f>
        <v>M9</v>
      </c>
      <c r="W283" s="232"/>
      <c r="X283" s="233"/>
      <c r="Y283" s="212"/>
      <c r="Z283" s="350"/>
      <c r="AA283" s="195" t="s">
        <v>1981</v>
      </c>
      <c r="AB283" s="132">
        <f>VLOOKUP(AA283,PLAN!B:V,20,0)</f>
        <v>46235</v>
      </c>
      <c r="AC283" s="132"/>
    </row>
    <row r="284" spans="3:29" s="79" customFormat="1" ht="21.6" customHeight="1">
      <c r="C284" s="249" t="str">
        <f t="shared" si="20"/>
        <v>Aug08-32</v>
      </c>
      <c r="D284" s="77">
        <f>IFERROR(VLOOKUP($AA284,PLAN!$B:$AA,3,0),"")</f>
        <v>11132715</v>
      </c>
      <c r="E284" s="77" t="str">
        <f>IFERROR(VLOOKUP($AA284,PLAN!$B:$AA,4,0),"")</f>
        <v>2211030-D-A</v>
      </c>
      <c r="F284" s="77" t="str">
        <f>IFERROR(VLOOKUP($AA284,PLAN!$B:$AA,5,0),"")</f>
        <v>HW60PB350P10000 NOCE</v>
      </c>
      <c r="G284" s="77" t="str">
        <f>IFERROR(VLOOKUP($AA284,PLAN!$B:$AA,2,0),"")</f>
        <v>1001928756</v>
      </c>
      <c r="H284" s="113">
        <f>IFERROR(VLOOKUP($AA284,PLAN!$B:$AA,7,0),"")</f>
        <v>46242</v>
      </c>
      <c r="I284" s="77" t="str">
        <f>IFERROR(VLOOKUP($AA284,PLAN!$B:$AA,8,0),"")</f>
        <v>0103577696</v>
      </c>
      <c r="J284" s="77" t="str">
        <f>IFERROR(VLOOKUP($AA284,PLAN!$B:$AA,9,0),"")</f>
        <v>260727C05A</v>
      </c>
      <c r="K284" s="77">
        <f>IFERROR(VLOOKUP($AA284,PLAN!$B:$AA,10,0),"")</f>
        <v>15</v>
      </c>
      <c r="L284" s="77" t="str">
        <f>IFERROR(VLOOKUP($AA284,PLAN!$B:$AA,15,0),"")</f>
        <v>Oversea</v>
      </c>
      <c r="M284" s="77">
        <f>IFERROR(VLOOKUP($AA284,PLAN!$B:$AA,18,0),"")</f>
        <v>0</v>
      </c>
      <c r="N284" s="227">
        <f>IFERROR(VLOOKUP($AA284,PLAN!$B:$AA,19,0),"")</f>
        <v>0</v>
      </c>
      <c r="O284" s="77" t="str">
        <f>IFERROR(VLOOKUP($AA284,PLAN!$B:$AA,12,0),"")</f>
        <v>2112071-0-C</v>
      </c>
      <c r="P284" s="77">
        <f>IFERROR(VLOOKUP($AA284,PLAN!$B:$AA,11,0),"")</f>
        <v>12116036</v>
      </c>
      <c r="Q284" s="277" t="s">
        <v>496</v>
      </c>
      <c r="R284" s="149" t="s">
        <v>497</v>
      </c>
      <c r="S284" s="223">
        <v>3</v>
      </c>
      <c r="T284" s="131"/>
      <c r="U284" s="78">
        <f>IFERROR(VLOOKUP($AA284,PLAN!$B:$AA,21,0),"")</f>
        <v>46235</v>
      </c>
      <c r="V284" s="78" t="str">
        <f>IFERROR(VLOOKUP($AA284,PLAN!$B:$AA,22,0),"")</f>
        <v>M9</v>
      </c>
      <c r="W284" s="232"/>
      <c r="X284" s="233"/>
      <c r="Y284" s="212"/>
      <c r="Z284" s="350"/>
      <c r="AA284" s="195" t="s">
        <v>1982</v>
      </c>
      <c r="AB284" s="132">
        <f>VLOOKUP(AA284,PLAN!B:V,20,0)</f>
        <v>46235</v>
      </c>
      <c r="AC284" s="132"/>
    </row>
    <row r="285" spans="3:29" s="79" customFormat="1" ht="21.6" customHeight="1">
      <c r="C285" s="249"/>
      <c r="D285" s="77"/>
      <c r="E285" s="77"/>
      <c r="F285" s="77"/>
      <c r="G285" s="77"/>
      <c r="H285" s="113"/>
      <c r="I285" s="77"/>
      <c r="J285" s="77"/>
      <c r="K285" s="77"/>
      <c r="L285" s="77"/>
      <c r="M285" s="77"/>
      <c r="N285" s="227"/>
      <c r="O285" s="77"/>
      <c r="P285" s="77"/>
      <c r="Q285" s="349" t="s">
        <v>2186</v>
      </c>
      <c r="R285" s="149" t="s">
        <v>2187</v>
      </c>
      <c r="S285" s="223">
        <f>K284-S284</f>
        <v>12</v>
      </c>
      <c r="T285" s="131"/>
      <c r="U285" s="78"/>
      <c r="V285" s="78"/>
      <c r="W285" s="232"/>
      <c r="X285" s="233"/>
      <c r="Y285" s="212"/>
      <c r="Z285" s="350"/>
      <c r="AA285" s="195"/>
      <c r="AB285" s="132">
        <v>46235</v>
      </c>
      <c r="AC285" s="132"/>
    </row>
    <row r="286" spans="3:29" s="79" customFormat="1" ht="21.6" customHeight="1">
      <c r="C286" s="249" t="str">
        <f t="shared" si="20"/>
        <v>Aug08-33</v>
      </c>
      <c r="D286" s="77">
        <f>IFERROR(VLOOKUP($AA286,PLAN!$B:$AA,3,0),"")</f>
        <v>11132727</v>
      </c>
      <c r="E286" s="77" t="str">
        <f>IFERROR(VLOOKUP($AA286,PLAN!$B:$AA,4,0),"")</f>
        <v>2211158-D-A</v>
      </c>
      <c r="F286" s="77" t="str">
        <f>IFERROR(VLOOKUP($AA286,PLAN!$B:$AA,5,0),"")</f>
        <v>HW70PB350P10000 NOCE</v>
      </c>
      <c r="G286" s="77" t="str">
        <f>IFERROR(VLOOKUP($AA286,PLAN!$B:$AA,2,0),"")</f>
        <v>1001928757</v>
      </c>
      <c r="H286" s="113">
        <f>IFERROR(VLOOKUP($AA286,PLAN!$B:$AA,7,0),"")</f>
        <v>46242</v>
      </c>
      <c r="I286" s="77" t="str">
        <f>IFERROR(VLOOKUP($AA286,PLAN!$B:$AA,8,0),"")</f>
        <v>0103577697</v>
      </c>
      <c r="J286" s="77" t="str">
        <f>IFERROR(VLOOKUP($AA286,PLAN!$B:$AA,9,0),"")</f>
        <v>260727C06A</v>
      </c>
      <c r="K286" s="77">
        <f>IFERROR(VLOOKUP($AA286,PLAN!$B:$AA,10,0),"")</f>
        <v>15</v>
      </c>
      <c r="L286" s="77" t="str">
        <f>IFERROR(VLOOKUP($AA286,PLAN!$B:$AA,15,0),"")</f>
        <v>Oversea</v>
      </c>
      <c r="M286" s="77">
        <f>IFERROR(VLOOKUP($AA286,PLAN!$B:$AA,18,0),"")</f>
        <v>0</v>
      </c>
      <c r="N286" s="227">
        <f>IFERROR(VLOOKUP($AA286,PLAN!$B:$AA,19,0),"")</f>
        <v>0</v>
      </c>
      <c r="O286" s="77" t="str">
        <f>IFERROR(VLOOKUP($AA286,PLAN!$B:$AA,12,0),"")</f>
        <v>2112187-0-C</v>
      </c>
      <c r="P286" s="77">
        <f>IFERROR(VLOOKUP($AA286,PLAN!$B:$AA,11,0),"")</f>
        <v>12116154</v>
      </c>
      <c r="Q286" s="349" t="s">
        <v>2188</v>
      </c>
      <c r="R286" s="149" t="s">
        <v>2189</v>
      </c>
      <c r="S286" s="223">
        <v>2</v>
      </c>
      <c r="T286" s="131"/>
      <c r="U286" s="78">
        <f>IFERROR(VLOOKUP($AA286,PLAN!$B:$AA,21,0),"")</f>
        <v>46235</v>
      </c>
      <c r="V286" s="78" t="str">
        <f>IFERROR(VLOOKUP($AA286,PLAN!$B:$AA,22,0),"")</f>
        <v>M9</v>
      </c>
      <c r="W286" s="232"/>
      <c r="X286" s="233"/>
      <c r="Y286" s="212"/>
      <c r="Z286" s="350"/>
      <c r="AA286" s="195" t="s">
        <v>1983</v>
      </c>
      <c r="AB286" s="132">
        <f>VLOOKUP(AA286,PLAN!B:V,20,0)</f>
        <v>46235</v>
      </c>
      <c r="AC286" s="132"/>
    </row>
    <row r="287" spans="3:29" s="79" customFormat="1" ht="21.6" customHeight="1">
      <c r="C287" s="249"/>
      <c r="D287" s="77"/>
      <c r="E287" s="77"/>
      <c r="F287" s="77"/>
      <c r="G287" s="77"/>
      <c r="H287" s="113"/>
      <c r="I287" s="77"/>
      <c r="J287" s="77"/>
      <c r="K287" s="77"/>
      <c r="L287" s="77"/>
      <c r="M287" s="77"/>
      <c r="N287" s="227"/>
      <c r="O287" s="77"/>
      <c r="P287" s="77"/>
      <c r="Q287" s="349" t="s">
        <v>1304</v>
      </c>
      <c r="R287" s="149" t="s">
        <v>1305</v>
      </c>
      <c r="S287" s="223">
        <v>13</v>
      </c>
      <c r="T287" s="131"/>
      <c r="U287" s="78"/>
      <c r="V287" s="78"/>
      <c r="W287" s="232"/>
      <c r="X287" s="233"/>
      <c r="Y287" s="212"/>
      <c r="Z287" s="350"/>
      <c r="AA287" s="195"/>
      <c r="AB287" s="132">
        <v>46235</v>
      </c>
      <c r="AC287" s="132"/>
    </row>
    <row r="288" spans="3:29" s="79" customFormat="1" ht="21.6" customHeight="1">
      <c r="C288" s="249" t="str">
        <f t="shared" si="20"/>
        <v>Aug08-34</v>
      </c>
      <c r="D288" s="77">
        <f>IFERROR(VLOOKUP($AA288,PLAN!$B:$AA,3,0),"")</f>
        <v>11131289</v>
      </c>
      <c r="E288" s="77" t="str">
        <f>IFERROR(VLOOKUP($AA288,PLAN!$B:$AA,4,0),"")</f>
        <v>2211092-E-A</v>
      </c>
      <c r="F288" s="77" t="str">
        <f>IFERROR(VLOOKUP($AA288,PLAN!$B:$AA,5,0),"")</f>
        <v>HW60SP350P10000 NOCE</v>
      </c>
      <c r="G288" s="77" t="str">
        <f>IFERROR(VLOOKUP($AA288,PLAN!$B:$AA,2,0),"")</f>
        <v>1001928758</v>
      </c>
      <c r="H288" s="113">
        <f>IFERROR(VLOOKUP($AA288,PLAN!$B:$AA,7,0),"")</f>
        <v>46242</v>
      </c>
      <c r="I288" s="77" t="str">
        <f>IFERROR(VLOOKUP($AA288,PLAN!$B:$AA,8,0),"")</f>
        <v>0103577698</v>
      </c>
      <c r="J288" s="77" t="str">
        <f>IFERROR(VLOOKUP($AA288,PLAN!$B:$AA,9,0),"")</f>
        <v>260727C07A</v>
      </c>
      <c r="K288" s="77">
        <f>IFERROR(VLOOKUP($AA288,PLAN!$B:$AA,10,0),"")</f>
        <v>65</v>
      </c>
      <c r="L288" s="77" t="str">
        <f>IFERROR(VLOOKUP($AA288,PLAN!$B:$AA,15,0),"")</f>
        <v>Oversea</v>
      </c>
      <c r="M288" s="77">
        <f>IFERROR(VLOOKUP($AA288,PLAN!$B:$AA,18,0),"")</f>
        <v>0</v>
      </c>
      <c r="N288" s="227">
        <f>IFERROR(VLOOKUP($AA288,PLAN!$B:$AA,19,0),"")</f>
        <v>0</v>
      </c>
      <c r="O288" s="77" t="str">
        <f>IFERROR(VLOOKUP($AA288,PLAN!$B:$AA,12,0),"")</f>
        <v>2112099-0-C</v>
      </c>
      <c r="P288" s="77">
        <f>IFERROR(VLOOKUP($AA288,PLAN!$B:$AA,11,0),"")</f>
        <v>12116064</v>
      </c>
      <c r="Q288" s="277" t="s">
        <v>801</v>
      </c>
      <c r="R288" s="149" t="s">
        <v>802</v>
      </c>
      <c r="S288" s="223">
        <v>43</v>
      </c>
      <c r="T288" s="131"/>
      <c r="U288" s="78">
        <f>IFERROR(VLOOKUP($AA288,PLAN!$B:$AA,21,0),"")</f>
        <v>46235</v>
      </c>
      <c r="V288" s="78" t="str">
        <f>IFERROR(VLOOKUP($AA288,PLAN!$B:$AA,22,0),"")</f>
        <v>M9</v>
      </c>
      <c r="W288" s="232"/>
      <c r="X288" s="233"/>
      <c r="Y288" s="212"/>
      <c r="Z288" s="350"/>
      <c r="AA288" s="195" t="s">
        <v>1984</v>
      </c>
      <c r="AB288" s="132">
        <f>VLOOKUP(AA288,PLAN!B:V,20,0)</f>
        <v>46235</v>
      </c>
      <c r="AC288" s="132"/>
    </row>
    <row r="289" spans="3:29" s="79" customFormat="1" ht="21.6" customHeight="1">
      <c r="C289" s="249"/>
      <c r="D289" s="77"/>
      <c r="E289" s="77"/>
      <c r="F289" s="77"/>
      <c r="G289" s="77"/>
      <c r="H289" s="113"/>
      <c r="I289" s="77"/>
      <c r="J289" s="77"/>
      <c r="K289" s="77"/>
      <c r="L289" s="77"/>
      <c r="M289" s="77"/>
      <c r="N289" s="227"/>
      <c r="O289" s="77"/>
      <c r="P289" s="77"/>
      <c r="Q289" s="277" t="s">
        <v>2190</v>
      </c>
      <c r="R289" s="149" t="s">
        <v>2191</v>
      </c>
      <c r="S289" s="223">
        <f>K288-S288</f>
        <v>22</v>
      </c>
      <c r="T289" s="131"/>
      <c r="U289" s="78"/>
      <c r="V289" s="78"/>
      <c r="W289" s="232"/>
      <c r="X289" s="233"/>
      <c r="Y289" s="212"/>
      <c r="Z289" s="350"/>
      <c r="AA289" s="195"/>
      <c r="AB289" s="132">
        <v>46235</v>
      </c>
      <c r="AC289" s="132"/>
    </row>
    <row r="290" spans="3:29" s="79" customFormat="1" ht="21.6" customHeight="1">
      <c r="C290" s="249" t="str">
        <f t="shared" si="20"/>
        <v>Aug08-35</v>
      </c>
      <c r="D290" s="77">
        <f>IFERROR(VLOOKUP($AA290,PLAN!$B:$AA,3,0),"")</f>
        <v>11131305</v>
      </c>
      <c r="E290" s="77" t="str">
        <f>IFERROR(VLOOKUP($AA290,PLAN!$B:$AA,4,0),"")</f>
        <v>2211222-E-A</v>
      </c>
      <c r="F290" s="77" t="str">
        <f>IFERROR(VLOOKUP($AA290,PLAN!$B:$AA,5,0),"")</f>
        <v>HW70SP400P10000 NOCE</v>
      </c>
      <c r="G290" s="77" t="str">
        <f>IFERROR(VLOOKUP($AA290,PLAN!$B:$AA,2,0),"")</f>
        <v>1001928759</v>
      </c>
      <c r="H290" s="113">
        <f>IFERROR(VLOOKUP($AA290,PLAN!$B:$AA,7,0),"")</f>
        <v>46242</v>
      </c>
      <c r="I290" s="77" t="str">
        <f>IFERROR(VLOOKUP($AA290,PLAN!$B:$AA,8,0),"")</f>
        <v>0103577699</v>
      </c>
      <c r="J290" s="77" t="str">
        <f>IFERROR(VLOOKUP($AA290,PLAN!$B:$AA,9,0),"")</f>
        <v>260727C08A</v>
      </c>
      <c r="K290" s="77">
        <f>IFERROR(VLOOKUP($AA290,PLAN!$B:$AA,10,0),"")</f>
        <v>2</v>
      </c>
      <c r="L290" s="77" t="str">
        <f>IFERROR(VLOOKUP($AA290,PLAN!$B:$AA,15,0),"")</f>
        <v>Australia</v>
      </c>
      <c r="M290" s="77">
        <f>IFERROR(VLOOKUP($AA290,PLAN!$B:$AA,18,0),"")</f>
        <v>0</v>
      </c>
      <c r="N290" s="227">
        <f>IFERROR(VLOOKUP($AA290,PLAN!$B:$AA,19,0),"")</f>
        <v>0</v>
      </c>
      <c r="O290" s="77" t="str">
        <f>IFERROR(VLOOKUP($AA290,PLAN!$B:$AA,12,0),"")</f>
        <v>2112232-0-C</v>
      </c>
      <c r="P290" s="77">
        <f>IFERROR(VLOOKUP($AA290,PLAN!$B:$AA,11,0),"")</f>
        <v>12116199</v>
      </c>
      <c r="Q290" s="277" t="s">
        <v>637</v>
      </c>
      <c r="R290" s="149" t="s">
        <v>638</v>
      </c>
      <c r="S290" s="223">
        <v>1</v>
      </c>
      <c r="T290" s="131"/>
      <c r="U290" s="78">
        <f>IFERROR(VLOOKUP($AA290,PLAN!$B:$AA,21,0),"")</f>
        <v>46235</v>
      </c>
      <c r="V290" s="78" t="str">
        <f>IFERROR(VLOOKUP($AA290,PLAN!$B:$AA,22,0),"")</f>
        <v>M9</v>
      </c>
      <c r="W290" s="232"/>
      <c r="X290" s="233"/>
      <c r="Y290" s="212"/>
      <c r="Z290" s="350"/>
      <c r="AA290" s="195" t="s">
        <v>1985</v>
      </c>
      <c r="AB290" s="132">
        <f>VLOOKUP(AA290,PLAN!B:V,20,0)</f>
        <v>46235</v>
      </c>
      <c r="AC290" s="132"/>
    </row>
    <row r="291" spans="3:29" s="79" customFormat="1" ht="21.6" customHeight="1">
      <c r="C291" s="249"/>
      <c r="D291" s="77"/>
      <c r="E291" s="77"/>
      <c r="F291" s="77"/>
      <c r="G291" s="77"/>
      <c r="H291" s="113"/>
      <c r="I291" s="77"/>
      <c r="J291" s="77"/>
      <c r="K291" s="77"/>
      <c r="L291" s="77"/>
      <c r="M291" s="77"/>
      <c r="N291" s="227"/>
      <c r="O291" s="77"/>
      <c r="P291" s="77"/>
      <c r="Q291" s="349" t="s">
        <v>2192</v>
      </c>
      <c r="R291" s="149" t="s">
        <v>2193</v>
      </c>
      <c r="S291" s="223">
        <v>1</v>
      </c>
      <c r="T291" s="131"/>
      <c r="U291" s="78"/>
      <c r="V291" s="78"/>
      <c r="W291" s="232"/>
      <c r="X291" s="233"/>
      <c r="Y291" s="212"/>
      <c r="Z291" s="350"/>
      <c r="AA291" s="195"/>
      <c r="AB291" s="132">
        <v>46235</v>
      </c>
      <c r="AC291" s="132"/>
    </row>
    <row r="292" spans="3:29" s="79" customFormat="1" ht="21.6" customHeight="1">
      <c r="C292" s="249" t="str">
        <f t="shared" si="20"/>
        <v>Aug08-36</v>
      </c>
      <c r="D292" s="77">
        <f>IFERROR(VLOOKUP($AA292,PLAN!$B:$AA,3,0),"")</f>
        <v>11131304</v>
      </c>
      <c r="E292" s="77" t="str">
        <f>IFERROR(VLOOKUP($AA292,PLAN!$B:$AA,4,0),"")</f>
        <v>2211221-E-A</v>
      </c>
      <c r="F292" s="77" t="str">
        <f>IFERROR(VLOOKUP($AA292,PLAN!$B:$AA,5,0),"")</f>
        <v>HW70SP370P10000 NOCE</v>
      </c>
      <c r="G292" s="77" t="str">
        <f>IFERROR(VLOOKUP($AA292,PLAN!$B:$AA,2,0),"")</f>
        <v>1001928760</v>
      </c>
      <c r="H292" s="113">
        <f>IFERROR(VLOOKUP($AA292,PLAN!$B:$AA,7,0),"")</f>
        <v>46242</v>
      </c>
      <c r="I292" s="77" t="str">
        <f>IFERROR(VLOOKUP($AA292,PLAN!$B:$AA,8,0),"")</f>
        <v>0103577700</v>
      </c>
      <c r="J292" s="77" t="str">
        <f>IFERROR(VLOOKUP($AA292,PLAN!$B:$AA,9,0),"")</f>
        <v>260727C09A</v>
      </c>
      <c r="K292" s="77">
        <f>IFERROR(VLOOKUP($AA292,PLAN!$B:$AA,10,0),"")</f>
        <v>5</v>
      </c>
      <c r="L292" s="77" t="str">
        <f>IFERROR(VLOOKUP($AA292,PLAN!$B:$AA,15,0),"")</f>
        <v>Australia</v>
      </c>
      <c r="M292" s="77">
        <f>IFERROR(VLOOKUP($AA292,PLAN!$B:$AA,18,0),"")</f>
        <v>0</v>
      </c>
      <c r="N292" s="227">
        <f>IFERROR(VLOOKUP($AA292,PLAN!$B:$AA,19,0),"")</f>
        <v>0</v>
      </c>
      <c r="O292" s="77" t="str">
        <f>IFERROR(VLOOKUP($AA292,PLAN!$B:$AA,12,0),"")</f>
        <v>2112229-0-C</v>
      </c>
      <c r="P292" s="77">
        <f>IFERROR(VLOOKUP($AA292,PLAN!$B:$AA,11,0),"")</f>
        <v>12116196</v>
      </c>
      <c r="Q292" s="349" t="s">
        <v>639</v>
      </c>
      <c r="R292" s="149" t="s">
        <v>640</v>
      </c>
      <c r="S292" s="223">
        <v>4</v>
      </c>
      <c r="T292" s="131"/>
      <c r="U292" s="78">
        <f>IFERROR(VLOOKUP($AA292,PLAN!$B:$AA,21,0),"")</f>
        <v>46235</v>
      </c>
      <c r="V292" s="78" t="str">
        <f>IFERROR(VLOOKUP($AA292,PLAN!$B:$AA,22,0),"")</f>
        <v>M9</v>
      </c>
      <c r="W292" s="232"/>
      <c r="X292" s="233"/>
      <c r="Y292" s="212"/>
      <c r="Z292" s="350"/>
      <c r="AA292" s="195" t="s">
        <v>1986</v>
      </c>
      <c r="AB292" s="132">
        <f>VLOOKUP(AA292,PLAN!B:V,20,0)</f>
        <v>46235</v>
      </c>
      <c r="AC292" s="132"/>
    </row>
    <row r="293" spans="3:29" s="79" customFormat="1" ht="21.6" customHeight="1">
      <c r="C293" s="249"/>
      <c r="D293" s="77"/>
      <c r="E293" s="77"/>
      <c r="F293" s="77"/>
      <c r="G293" s="77"/>
      <c r="H293" s="113"/>
      <c r="I293" s="77"/>
      <c r="J293" s="77"/>
      <c r="K293" s="77"/>
      <c r="L293" s="77"/>
      <c r="M293" s="77"/>
      <c r="N293" s="227"/>
      <c r="O293" s="77"/>
      <c r="P293" s="77"/>
      <c r="Q293" s="349" t="s">
        <v>2194</v>
      </c>
      <c r="R293" s="149" t="s">
        <v>2195</v>
      </c>
      <c r="S293" s="223">
        <v>1</v>
      </c>
      <c r="T293" s="131"/>
      <c r="U293" s="78"/>
      <c r="V293" s="78"/>
      <c r="W293" s="232"/>
      <c r="X293" s="233"/>
      <c r="Y293" s="212"/>
      <c r="Z293" s="350"/>
      <c r="AA293" s="195"/>
      <c r="AB293" s="132">
        <v>46235</v>
      </c>
      <c r="AC293" s="132"/>
    </row>
    <row r="294" spans="3:29" s="79" customFormat="1" ht="21.6" customHeight="1">
      <c r="C294" s="249" t="str">
        <f t="shared" si="20"/>
        <v>Aug08-37</v>
      </c>
      <c r="D294" s="77">
        <f>IFERROR(VLOOKUP($AA294,PLAN!$B:$AA,3,0),"")</f>
        <v>11131289</v>
      </c>
      <c r="E294" s="77" t="str">
        <f>IFERROR(VLOOKUP($AA294,PLAN!$B:$AA,4,0),"")</f>
        <v>2211092-E-A</v>
      </c>
      <c r="F294" s="77" t="str">
        <f>IFERROR(VLOOKUP($AA294,PLAN!$B:$AA,5,0),"")</f>
        <v>HW60SP350P10000 NOCE</v>
      </c>
      <c r="G294" s="77" t="str">
        <f>IFERROR(VLOOKUP($AA294,PLAN!$B:$AA,2,0),"")</f>
        <v>1001928761</v>
      </c>
      <c r="H294" s="113">
        <f>IFERROR(VLOOKUP($AA294,PLAN!$B:$AA,7,0),"")</f>
        <v>46242</v>
      </c>
      <c r="I294" s="77" t="str">
        <f>IFERROR(VLOOKUP($AA294,PLAN!$B:$AA,8,0),"")</f>
        <v>0103577702</v>
      </c>
      <c r="J294" s="77" t="str">
        <f>IFERROR(VLOOKUP($AA294,PLAN!$B:$AA,9,0),"")</f>
        <v>260727C10A</v>
      </c>
      <c r="K294" s="77">
        <f>IFERROR(VLOOKUP($AA294,PLAN!$B:$AA,10,0),"")</f>
        <v>17</v>
      </c>
      <c r="L294" s="77" t="str">
        <f>IFERROR(VLOOKUP($AA294,PLAN!$B:$AA,15,0),"")</f>
        <v>Australia</v>
      </c>
      <c r="M294" s="77">
        <f>IFERROR(VLOOKUP($AA294,PLAN!$B:$AA,18,0),"")</f>
        <v>9</v>
      </c>
      <c r="N294" s="227">
        <f>IFERROR(VLOOKUP($AA294,PLAN!$B:$AA,19,0),"")</f>
        <v>0</v>
      </c>
      <c r="O294" s="77" t="str">
        <f>IFERROR(VLOOKUP($AA294,PLAN!$B:$AA,12,0),"")</f>
        <v>2112099-0-C</v>
      </c>
      <c r="P294" s="77">
        <f>IFERROR(VLOOKUP($AA294,PLAN!$B:$AA,11,0),"")</f>
        <v>12116064</v>
      </c>
      <c r="Q294" s="277" t="s">
        <v>2190</v>
      </c>
      <c r="R294" s="149" t="s">
        <v>2191</v>
      </c>
      <c r="S294" s="149">
        <f t="shared" si="19"/>
        <v>17</v>
      </c>
      <c r="T294" s="131"/>
      <c r="U294" s="78">
        <f>IFERROR(VLOOKUP($AA294,PLAN!$B:$AA,21,0),"")</f>
        <v>46235</v>
      </c>
      <c r="V294" s="78" t="str">
        <f>IFERROR(VLOOKUP($AA294,PLAN!$B:$AA,22,0),"")</f>
        <v>M9</v>
      </c>
      <c r="W294" s="232"/>
      <c r="X294" s="233"/>
      <c r="Y294" s="212"/>
      <c r="Z294" s="350"/>
      <c r="AA294" s="195" t="s">
        <v>1987</v>
      </c>
      <c r="AB294" s="132">
        <f>VLOOKUP(AA294,PLAN!B:V,20,0)</f>
        <v>46235</v>
      </c>
      <c r="AC294" s="132"/>
    </row>
    <row r="295" spans="3:29" s="79" customFormat="1" ht="21.6" customHeight="1">
      <c r="C295" s="249" t="str">
        <f t="shared" si="20"/>
        <v>Aug08-38</v>
      </c>
      <c r="D295" s="77">
        <f>IFERROR(VLOOKUP($AA295,PLAN!$B:$AA,3,0),"")</f>
        <v>11132715</v>
      </c>
      <c r="E295" s="77" t="str">
        <f>IFERROR(VLOOKUP($AA295,PLAN!$B:$AA,4,0),"")</f>
        <v>2211030-D-A</v>
      </c>
      <c r="F295" s="77" t="str">
        <f>IFERROR(VLOOKUP($AA295,PLAN!$B:$AA,5,0),"")</f>
        <v>HW60PB350P10000 NOCE</v>
      </c>
      <c r="G295" s="77" t="str">
        <f>IFERROR(VLOOKUP($AA295,PLAN!$B:$AA,2,0),"")</f>
        <v>1001928762</v>
      </c>
      <c r="H295" s="113">
        <f>IFERROR(VLOOKUP($AA295,PLAN!$B:$AA,7,0),"")</f>
        <v>46242</v>
      </c>
      <c r="I295" s="77" t="str">
        <f>IFERROR(VLOOKUP($AA295,PLAN!$B:$AA,8,0),"")</f>
        <v>0103577703</v>
      </c>
      <c r="J295" s="77" t="str">
        <f>IFERROR(VLOOKUP($AA295,PLAN!$B:$AA,9,0),"")</f>
        <v>260727C11A</v>
      </c>
      <c r="K295" s="77">
        <f>IFERROR(VLOOKUP($AA295,PLAN!$B:$AA,10,0),"")</f>
        <v>50</v>
      </c>
      <c r="L295" s="77" t="str">
        <f>IFERROR(VLOOKUP($AA295,PLAN!$B:$AA,15,0),"")</f>
        <v>Australia</v>
      </c>
      <c r="M295" s="77">
        <f>IFERROR(VLOOKUP($AA295,PLAN!$B:$AA,18,0),"")</f>
        <v>0</v>
      </c>
      <c r="N295" s="227">
        <f>IFERROR(VLOOKUP($AA295,PLAN!$B:$AA,19,0),"")</f>
        <v>0</v>
      </c>
      <c r="O295" s="77" t="str">
        <f>IFERROR(VLOOKUP($AA295,PLAN!$B:$AA,12,0),"")</f>
        <v>2112071-0-C</v>
      </c>
      <c r="P295" s="77">
        <f>IFERROR(VLOOKUP($AA295,PLAN!$B:$AA,11,0),"")</f>
        <v>12116036</v>
      </c>
      <c r="Q295" s="349" t="s">
        <v>2196</v>
      </c>
      <c r="R295" s="158" t="s">
        <v>2197</v>
      </c>
      <c r="S295" s="223">
        <f>K295-S296</f>
        <v>17</v>
      </c>
      <c r="T295" s="131"/>
      <c r="U295" s="78">
        <f>IFERROR(VLOOKUP($AA295,PLAN!$B:$AA,21,0),"")</f>
        <v>46235</v>
      </c>
      <c r="V295" s="78" t="str">
        <f>IFERROR(VLOOKUP($AA295,PLAN!$B:$AA,22,0),"")</f>
        <v>M9</v>
      </c>
      <c r="W295" s="232"/>
      <c r="X295" s="233"/>
      <c r="Y295" s="212"/>
      <c r="Z295" s="350"/>
      <c r="AA295" s="195" t="s">
        <v>2147</v>
      </c>
      <c r="AB295" s="132">
        <f>VLOOKUP(AA295,PLAN!B:V,20,0)</f>
        <v>46235</v>
      </c>
      <c r="AC295" s="132"/>
    </row>
    <row r="296" spans="3:29" s="79" customFormat="1" ht="21.6" customHeight="1">
      <c r="C296" s="249"/>
      <c r="D296" s="77"/>
      <c r="E296" s="77"/>
      <c r="F296" s="77"/>
      <c r="G296" s="77"/>
      <c r="H296" s="113"/>
      <c r="I296" s="77"/>
      <c r="J296" s="77"/>
      <c r="K296" s="77"/>
      <c r="L296" s="77"/>
      <c r="M296" s="77"/>
      <c r="N296" s="227"/>
      <c r="O296" s="77"/>
      <c r="P296" s="77"/>
      <c r="Q296" s="349" t="s">
        <v>2186</v>
      </c>
      <c r="R296" s="149" t="s">
        <v>2187</v>
      </c>
      <c r="S296" s="223">
        <v>33</v>
      </c>
      <c r="T296" s="131"/>
      <c r="U296" s="78"/>
      <c r="V296" s="78"/>
      <c r="W296" s="232"/>
      <c r="X296" s="233"/>
      <c r="Y296" s="212"/>
      <c r="Z296" s="350"/>
      <c r="AA296" s="195"/>
      <c r="AB296" s="132">
        <v>46235</v>
      </c>
      <c r="AC296" s="132"/>
    </row>
    <row r="297" spans="3:29" s="79" customFormat="1" ht="21.6" customHeight="1">
      <c r="C297" s="249" t="str">
        <f t="shared" si="20"/>
        <v>Aug08-39</v>
      </c>
      <c r="D297" s="77">
        <f>IFERROR(VLOOKUP($AA297,PLAN!$B:$AA,3,0),"")</f>
        <v>11132714</v>
      </c>
      <c r="E297" s="77" t="str">
        <f>IFERROR(VLOOKUP($AA297,PLAN!$B:$AA,4,0),"")</f>
        <v>2211029-D-A</v>
      </c>
      <c r="F297" s="77" t="str">
        <f>IFERROR(VLOOKUP($AA297,PLAN!$B:$AA,5,0),"")</f>
        <v>HW60PB300P10000 NOCE</v>
      </c>
      <c r="G297" s="77" t="str">
        <f>IFERROR(VLOOKUP($AA297,PLAN!$B:$AA,2,0),"")</f>
        <v>1001928763</v>
      </c>
      <c r="H297" s="113">
        <f>IFERROR(VLOOKUP($AA297,PLAN!$B:$AA,7,0),"")</f>
        <v>46242</v>
      </c>
      <c r="I297" s="77" t="str">
        <f>IFERROR(VLOOKUP($AA297,PLAN!$B:$AA,8,0),"")</f>
        <v>0103577704</v>
      </c>
      <c r="J297" s="77" t="str">
        <f>IFERROR(VLOOKUP($AA297,PLAN!$B:$AA,9,0),"")</f>
        <v>260727C12A</v>
      </c>
      <c r="K297" s="77">
        <f>IFERROR(VLOOKUP($AA297,PLAN!$B:$AA,10,0),"")</f>
        <v>110</v>
      </c>
      <c r="L297" s="77" t="str">
        <f>IFERROR(VLOOKUP($AA297,PLAN!$B:$AA,15,0),"")</f>
        <v>Australia</v>
      </c>
      <c r="M297" s="77">
        <f>IFERROR(VLOOKUP($AA297,PLAN!$B:$AA,18,0),"")</f>
        <v>0</v>
      </c>
      <c r="N297" s="227">
        <f>IFERROR(VLOOKUP($AA297,PLAN!$B:$AA,19,0),"")</f>
        <v>0</v>
      </c>
      <c r="O297" s="77" t="str">
        <f>IFERROR(VLOOKUP($AA297,PLAN!$B:$AA,12,0),"")</f>
        <v>2112069-0-C</v>
      </c>
      <c r="P297" s="77">
        <f>IFERROR(VLOOKUP($AA297,PLAN!$B:$AA,11,0),"")</f>
        <v>12116034</v>
      </c>
      <c r="Q297" s="349" t="s">
        <v>883</v>
      </c>
      <c r="R297" s="149" t="s">
        <v>884</v>
      </c>
      <c r="S297" s="223">
        <v>1</v>
      </c>
      <c r="T297" s="131"/>
      <c r="U297" s="78">
        <f>IFERROR(VLOOKUP($AA297,PLAN!$B:$AA,21,0),"")</f>
        <v>46235</v>
      </c>
      <c r="V297" s="78" t="str">
        <f>IFERROR(VLOOKUP($AA297,PLAN!$B:$AA,22,0),"")</f>
        <v>M9</v>
      </c>
      <c r="W297" s="232"/>
      <c r="X297" s="233"/>
      <c r="Y297" s="212"/>
      <c r="Z297" s="350"/>
      <c r="AA297" s="195" t="s">
        <v>2148</v>
      </c>
      <c r="AB297" s="132">
        <f>VLOOKUP(AA297,PLAN!B:V,20,0)</f>
        <v>46235</v>
      </c>
      <c r="AC297" s="132"/>
    </row>
    <row r="298" spans="3:29" s="79" customFormat="1" ht="21.6" customHeight="1">
      <c r="C298" s="249"/>
      <c r="D298" s="77"/>
      <c r="E298" s="77"/>
      <c r="F298" s="77"/>
      <c r="G298" s="77"/>
      <c r="H298" s="113"/>
      <c r="I298" s="77"/>
      <c r="J298" s="77"/>
      <c r="K298" s="77"/>
      <c r="L298" s="77"/>
      <c r="M298" s="77"/>
      <c r="N298" s="227"/>
      <c r="O298" s="77"/>
      <c r="P298" s="77"/>
      <c r="Q298" s="349" t="s">
        <v>2198</v>
      </c>
      <c r="R298" s="149" t="s">
        <v>2199</v>
      </c>
      <c r="S298" s="223">
        <v>60</v>
      </c>
      <c r="T298" s="131"/>
      <c r="U298" s="78"/>
      <c r="V298" s="78"/>
      <c r="W298" s="232"/>
      <c r="X298" s="233"/>
      <c r="Y298" s="212"/>
      <c r="Z298" s="350"/>
      <c r="AA298" s="195"/>
      <c r="AB298" s="132">
        <v>46235</v>
      </c>
      <c r="AC298" s="132"/>
    </row>
    <row r="299" spans="3:29" s="79" customFormat="1" ht="21.6" customHeight="1">
      <c r="C299" s="249"/>
      <c r="D299" s="77"/>
      <c r="E299" s="77"/>
      <c r="F299" s="77"/>
      <c r="G299" s="77"/>
      <c r="H299" s="113"/>
      <c r="I299" s="77"/>
      <c r="J299" s="77"/>
      <c r="K299" s="77"/>
      <c r="L299" s="77"/>
      <c r="M299" s="77"/>
      <c r="N299" s="227"/>
      <c r="O299" s="77"/>
      <c r="P299" s="77"/>
      <c r="Q299" s="349" t="s">
        <v>2200</v>
      </c>
      <c r="R299" s="158" t="s">
        <v>2201</v>
      </c>
      <c r="S299" s="223">
        <v>49</v>
      </c>
      <c r="T299" s="131"/>
      <c r="U299" s="78"/>
      <c r="V299" s="78"/>
      <c r="W299" s="232"/>
      <c r="X299" s="233"/>
      <c r="Y299" s="212"/>
      <c r="Z299" s="350"/>
      <c r="AA299" s="195"/>
      <c r="AB299" s="132">
        <v>46235</v>
      </c>
      <c r="AC299" s="132"/>
    </row>
    <row r="300" spans="3:29" s="79" customFormat="1" ht="21.6" customHeight="1">
      <c r="C300" s="249" t="str">
        <f t="shared" si="20"/>
        <v>Aug08-40</v>
      </c>
      <c r="D300" s="77">
        <f>IFERROR(VLOOKUP($AA300,PLAN!$B:$AA,3,0),"")</f>
        <v>11130535</v>
      </c>
      <c r="E300" s="77" t="str">
        <f>IFERROR(VLOOKUP($AA300,PLAN!$B:$AA,4,0),"")</f>
        <v>2211007-C-A</v>
      </c>
      <c r="F300" s="77" t="str">
        <f>IFERROR(VLOOKUP($AA300,PLAN!$B:$AA,5,0),"")</f>
        <v>HW60AR100P10000 NOCE</v>
      </c>
      <c r="G300" s="77" t="str">
        <f>IFERROR(VLOOKUP($AA300,PLAN!$B:$AA,2,0),"")</f>
        <v>1001928764</v>
      </c>
      <c r="H300" s="113">
        <f>IFERROR(VLOOKUP($AA300,PLAN!$B:$AA,7,0),"")</f>
        <v>46242</v>
      </c>
      <c r="I300" s="77" t="str">
        <f>IFERROR(VLOOKUP($AA300,PLAN!$B:$AA,8,0),"")</f>
        <v>0103577706</v>
      </c>
      <c r="J300" s="77" t="str">
        <f>IFERROR(VLOOKUP($AA300,PLAN!$B:$AA,9,0),"")</f>
        <v>260727C13A</v>
      </c>
      <c r="K300" s="77">
        <f>IFERROR(VLOOKUP($AA300,PLAN!$B:$AA,10,0),"")</f>
        <v>1</v>
      </c>
      <c r="L300" s="77" t="str">
        <f>IFERROR(VLOOKUP($AA300,PLAN!$B:$AA,15,0),"")</f>
        <v>Australia</v>
      </c>
      <c r="M300" s="77">
        <f>IFERROR(VLOOKUP($AA300,PLAN!$B:$AA,18,0),"")</f>
        <v>0</v>
      </c>
      <c r="N300" s="227">
        <f>IFERROR(VLOOKUP($AA300,PLAN!$B:$AA,19,0),"")</f>
        <v>0</v>
      </c>
      <c r="O300" s="77" t="str">
        <f>IFERROR(VLOOKUP($AA300,PLAN!$B:$AA,12,0),"")</f>
        <v>2212035-0-C</v>
      </c>
      <c r="P300" s="77">
        <f>IFERROR(VLOOKUP($AA300,PLAN!$B:$AA,11,0),"")</f>
        <v>12122136</v>
      </c>
      <c r="Q300" s="349" t="s">
        <v>1832</v>
      </c>
      <c r="R300" s="158" t="s">
        <v>1833</v>
      </c>
      <c r="S300" s="149">
        <f t="shared" si="19"/>
        <v>1</v>
      </c>
      <c r="T300" s="131"/>
      <c r="U300" s="78">
        <f>IFERROR(VLOOKUP($AA300,PLAN!$B:$AA,21,0),"")</f>
        <v>46235</v>
      </c>
      <c r="V300" s="78" t="str">
        <f>IFERROR(VLOOKUP($AA300,PLAN!$B:$AA,22,0),"")</f>
        <v>M9</v>
      </c>
      <c r="W300" s="232"/>
      <c r="X300" s="233"/>
      <c r="Y300" s="212"/>
      <c r="Z300" s="350"/>
      <c r="AA300" s="195" t="s">
        <v>2149</v>
      </c>
      <c r="AB300" s="132">
        <f>VLOOKUP(AA300,PLAN!B:V,20,0)</f>
        <v>46235</v>
      </c>
      <c r="AC300" s="132"/>
    </row>
    <row r="301" spans="3:29" s="79" customFormat="1" ht="21.6" customHeight="1">
      <c r="C301" s="249" t="str">
        <f t="shared" si="20"/>
        <v>Aug08-41</v>
      </c>
      <c r="D301" s="77">
        <f>IFERROR(VLOOKUP($AA301,PLAN!$B:$AA,3,0),"")</f>
        <v>11130566</v>
      </c>
      <c r="E301" s="77" t="str">
        <f>IFERROR(VLOOKUP($AA301,PLAN!$B:$AA,4,0),"")</f>
        <v>2211038-C-A</v>
      </c>
      <c r="F301" s="77" t="str">
        <f>IFERROR(VLOOKUP($AA301,PLAN!$B:$AA,5,0),"")</f>
        <v>HW60AL100P10000 NOCE</v>
      </c>
      <c r="G301" s="77" t="str">
        <f>IFERROR(VLOOKUP($AA301,PLAN!$B:$AA,2,0),"")</f>
        <v>1001928765</v>
      </c>
      <c r="H301" s="113">
        <f>IFERROR(VLOOKUP($AA301,PLAN!$B:$AA,7,0),"")</f>
        <v>46242</v>
      </c>
      <c r="I301" s="77" t="str">
        <f>IFERROR(VLOOKUP($AA301,PLAN!$B:$AA,8,0),"")</f>
        <v>0103577707</v>
      </c>
      <c r="J301" s="77" t="str">
        <f>IFERROR(VLOOKUP($AA301,PLAN!$B:$AA,9,0),"")</f>
        <v>260727C14A</v>
      </c>
      <c r="K301" s="77">
        <f>IFERROR(VLOOKUP($AA301,PLAN!$B:$AA,10,0),"")</f>
        <v>2</v>
      </c>
      <c r="L301" s="77" t="str">
        <f>IFERROR(VLOOKUP($AA301,PLAN!$B:$AA,15,0),"")</f>
        <v>Australia</v>
      </c>
      <c r="M301" s="77">
        <f>IFERROR(VLOOKUP($AA301,PLAN!$B:$AA,18,0),"")</f>
        <v>0</v>
      </c>
      <c r="N301" s="227">
        <f>IFERROR(VLOOKUP($AA301,PLAN!$B:$AA,19,0),"")</f>
        <v>0</v>
      </c>
      <c r="O301" s="77" t="str">
        <f>IFERROR(VLOOKUP($AA301,PLAN!$B:$AA,12,0),"")</f>
        <v>2112007-0-C</v>
      </c>
      <c r="P301" s="77">
        <f>IFERROR(VLOOKUP($AA301,PLAN!$B:$AA,11,0),"")</f>
        <v>12115972</v>
      </c>
      <c r="Q301" s="277" t="s">
        <v>490</v>
      </c>
      <c r="R301" s="149" t="s">
        <v>491</v>
      </c>
      <c r="S301" s="149">
        <f t="shared" si="19"/>
        <v>2</v>
      </c>
      <c r="T301" s="131"/>
      <c r="U301" s="78">
        <f>IFERROR(VLOOKUP($AA301,PLAN!$B:$AA,21,0),"")</f>
        <v>46235</v>
      </c>
      <c r="V301" s="78" t="str">
        <f>IFERROR(VLOOKUP($AA301,PLAN!$B:$AA,22,0),"")</f>
        <v>M9</v>
      </c>
      <c r="W301" s="232"/>
      <c r="X301" s="233"/>
      <c r="Y301" s="212"/>
      <c r="Z301" s="350"/>
      <c r="AA301" s="195" t="s">
        <v>2150</v>
      </c>
      <c r="AB301" s="132">
        <f>VLOOKUP(AA301,PLAN!B:V,20,0)</f>
        <v>46235</v>
      </c>
      <c r="AC301" s="132"/>
    </row>
    <row r="302" spans="3:29" s="79" customFormat="1" ht="21.6" customHeight="1">
      <c r="C302" s="249" t="str">
        <f t="shared" si="20"/>
        <v>Aug08-42</v>
      </c>
      <c r="D302" s="77">
        <f>IFERROR(VLOOKUP($AA302,PLAN!$B:$AA,3,0),"")</f>
        <v>11130822</v>
      </c>
      <c r="E302" s="77" t="str">
        <f>IFERROR(VLOOKUP($AA302,PLAN!$B:$AA,4,0),"")</f>
        <v>2211294-C-A</v>
      </c>
      <c r="F302" s="77" t="str">
        <f>IFERROR(VLOOKUP($AA302,PLAN!$B:$AA,5,0),"")</f>
        <v>HW80AL100P10000 NOCE</v>
      </c>
      <c r="G302" s="77" t="str">
        <f>IFERROR(VLOOKUP($AA302,PLAN!$B:$AA,2,0),"")</f>
        <v>1001928766</v>
      </c>
      <c r="H302" s="113">
        <f>IFERROR(VLOOKUP($AA302,PLAN!$B:$AA,7,0),"")</f>
        <v>46242</v>
      </c>
      <c r="I302" s="77" t="str">
        <f>IFERROR(VLOOKUP($AA302,PLAN!$B:$AA,8,0),"")</f>
        <v>0103577708</v>
      </c>
      <c r="J302" s="77" t="str">
        <f>IFERROR(VLOOKUP($AA302,PLAN!$B:$AA,9,0),"")</f>
        <v>260727C15A</v>
      </c>
      <c r="K302" s="77">
        <f>IFERROR(VLOOKUP($AA302,PLAN!$B:$AA,10,0),"")</f>
        <v>2</v>
      </c>
      <c r="L302" s="77" t="str">
        <f>IFERROR(VLOOKUP($AA302,PLAN!$B:$AA,15,0),"")</f>
        <v>Australia</v>
      </c>
      <c r="M302" s="77">
        <f>IFERROR(VLOOKUP($AA302,PLAN!$B:$AA,18,0),"")</f>
        <v>0</v>
      </c>
      <c r="N302" s="227">
        <f>IFERROR(VLOOKUP($AA302,PLAN!$B:$AA,19,0),"")</f>
        <v>0</v>
      </c>
      <c r="O302" s="77" t="str">
        <f>IFERROR(VLOOKUP($AA302,PLAN!$B:$AA,12,0),"")</f>
        <v>2112242-0-C</v>
      </c>
      <c r="P302" s="77">
        <f>IFERROR(VLOOKUP($AA302,PLAN!$B:$AA,11,0),"")</f>
        <v>12116209</v>
      </c>
      <c r="Q302" s="349" t="s">
        <v>2202</v>
      </c>
      <c r="R302" s="149" t="s">
        <v>2203</v>
      </c>
      <c r="S302" s="149">
        <f t="shared" si="19"/>
        <v>2</v>
      </c>
      <c r="T302" s="131"/>
      <c r="U302" s="78">
        <f>IFERROR(VLOOKUP($AA302,PLAN!$B:$AA,21,0),"")</f>
        <v>46235</v>
      </c>
      <c r="V302" s="78" t="str">
        <f>IFERROR(VLOOKUP($AA302,PLAN!$B:$AA,22,0),"")</f>
        <v>M9</v>
      </c>
      <c r="W302" s="232"/>
      <c r="X302" s="233"/>
      <c r="Y302" s="212"/>
      <c r="Z302" s="350"/>
      <c r="AA302" s="195" t="s">
        <v>2151</v>
      </c>
      <c r="AB302" s="132">
        <f>VLOOKUP(AA302,PLAN!B:V,20,0)</f>
        <v>46235</v>
      </c>
      <c r="AC302" s="132"/>
    </row>
    <row r="303" spans="3:29" s="79" customFormat="1" ht="21.6" customHeight="1">
      <c r="C303" s="249" t="str">
        <f t="shared" si="20"/>
        <v>Aug08-43</v>
      </c>
      <c r="D303" s="77">
        <f>IFERROR(VLOOKUP($AA303,PLAN!$B:$AA,3,0),"")</f>
        <v>11130628</v>
      </c>
      <c r="E303" s="77" t="str">
        <f>IFERROR(VLOOKUP($AA303,PLAN!$B:$AA,4,0),"")</f>
        <v>2211100-C-A</v>
      </c>
      <c r="F303" s="77" t="str">
        <f>IFERROR(VLOOKUP($AA303,PLAN!$B:$AA,5,0),"")</f>
        <v>HW60IM000P10000 NOCE</v>
      </c>
      <c r="G303" s="77" t="str">
        <f>IFERROR(VLOOKUP($AA303,PLAN!$B:$AA,2,0),"")</f>
        <v>1001928767</v>
      </c>
      <c r="H303" s="113">
        <f>IFERROR(VLOOKUP($AA303,PLAN!$B:$AA,7,0),"")</f>
        <v>46242</v>
      </c>
      <c r="I303" s="77" t="str">
        <f>IFERROR(VLOOKUP($AA303,PLAN!$B:$AA,8,0),"")</f>
        <v>0103577709</v>
      </c>
      <c r="J303" s="77" t="str">
        <f>IFERROR(VLOOKUP($AA303,PLAN!$B:$AA,9,0),"")</f>
        <v>260727C16A</v>
      </c>
      <c r="K303" s="77">
        <f>IFERROR(VLOOKUP($AA303,PLAN!$B:$AA,10,0),"")</f>
        <v>5</v>
      </c>
      <c r="L303" s="77" t="str">
        <f>IFERROR(VLOOKUP($AA303,PLAN!$B:$AA,15,0),"")</f>
        <v>Australia</v>
      </c>
      <c r="M303" s="77">
        <f>IFERROR(VLOOKUP($AA303,PLAN!$B:$AA,18,0),"")</f>
        <v>0</v>
      </c>
      <c r="N303" s="227">
        <f>IFERROR(VLOOKUP($AA303,PLAN!$B:$AA,19,0),"")</f>
        <v>0</v>
      </c>
      <c r="O303" s="77" t="str">
        <f>IFERROR(VLOOKUP($AA303,PLAN!$B:$AA,12,0),"")</f>
        <v>2112037-0-C</v>
      </c>
      <c r="P303" s="77">
        <f>IFERROR(VLOOKUP($AA303,PLAN!$B:$AA,11,0),"")</f>
        <v>12116002</v>
      </c>
      <c r="Q303" s="349" t="s">
        <v>1091</v>
      </c>
      <c r="R303" s="149" t="s">
        <v>1092</v>
      </c>
      <c r="S303" s="149">
        <f t="shared" si="19"/>
        <v>5</v>
      </c>
      <c r="T303" s="131"/>
      <c r="U303" s="78">
        <f>IFERROR(VLOOKUP($AA303,PLAN!$B:$AA,21,0),"")</f>
        <v>46235</v>
      </c>
      <c r="V303" s="78" t="str">
        <f>IFERROR(VLOOKUP($AA303,PLAN!$B:$AA,22,0),"")</f>
        <v>M9</v>
      </c>
      <c r="W303" s="232"/>
      <c r="X303" s="233"/>
      <c r="Y303" s="212"/>
      <c r="Z303" s="350"/>
      <c r="AA303" s="195" t="s">
        <v>2152</v>
      </c>
      <c r="AB303" s="132">
        <f>VLOOKUP(AA303,PLAN!B:V,20,0)</f>
        <v>46235</v>
      </c>
      <c r="AC303" s="132"/>
    </row>
    <row r="304" spans="3:29" s="79" customFormat="1" ht="21.6" customHeight="1">
      <c r="C304" s="249" t="str">
        <f t="shared" si="20"/>
        <v>Aug08-44</v>
      </c>
      <c r="D304" s="77">
        <f>IFERROR(VLOOKUP($AA304,PLAN!$B:$AA,3,0),"")</f>
        <v>11130658</v>
      </c>
      <c r="E304" s="77" t="str">
        <f>IFERROR(VLOOKUP($AA304,PLAN!$B:$AA,4,0),"")</f>
        <v>2211130-C-A</v>
      </c>
      <c r="F304" s="77" t="str">
        <f>IFERROR(VLOOKUP($AA304,PLAN!$B:$AA,5,0),"")</f>
        <v>HW70JR400P10000 NOCE</v>
      </c>
      <c r="G304" s="77" t="str">
        <f>IFERROR(VLOOKUP($AA304,PLAN!$B:$AA,2,0),"")</f>
        <v>1001928768</v>
      </c>
      <c r="H304" s="113">
        <f>IFERROR(VLOOKUP($AA304,PLAN!$B:$AA,7,0),"")</f>
        <v>46242</v>
      </c>
      <c r="I304" s="77" t="str">
        <f>IFERROR(VLOOKUP($AA304,PLAN!$B:$AA,8,0),"")</f>
        <v>0103577710</v>
      </c>
      <c r="J304" s="77" t="str">
        <f>IFERROR(VLOOKUP($AA304,PLAN!$B:$AA,9,0),"")</f>
        <v>260727C17A</v>
      </c>
      <c r="K304" s="77">
        <f>IFERROR(VLOOKUP($AA304,PLAN!$B:$AA,10,0),"")</f>
        <v>6</v>
      </c>
      <c r="L304" s="77" t="str">
        <f>IFERROR(VLOOKUP($AA304,PLAN!$B:$AA,15,0),"")</f>
        <v>Australia</v>
      </c>
      <c r="M304" s="77">
        <f>IFERROR(VLOOKUP($AA304,PLAN!$B:$AA,18,0),"")</f>
        <v>0</v>
      </c>
      <c r="N304" s="227">
        <f>IFERROR(VLOOKUP($AA304,PLAN!$B:$AA,19,0),"")</f>
        <v>0</v>
      </c>
      <c r="O304" s="77" t="str">
        <f>IFERROR(VLOOKUP($AA304,PLAN!$B:$AA,12,0),"")</f>
        <v>2112175-0-C</v>
      </c>
      <c r="P304" s="77">
        <f>IFERROR(VLOOKUP($AA304,PLAN!$B:$AA,11,0),"")</f>
        <v>12116142</v>
      </c>
      <c r="Q304" s="349" t="s">
        <v>641</v>
      </c>
      <c r="R304" s="149" t="s">
        <v>642</v>
      </c>
      <c r="S304" s="223">
        <v>5</v>
      </c>
      <c r="T304" s="131"/>
      <c r="U304" s="78">
        <f>IFERROR(VLOOKUP($AA304,PLAN!$B:$AA,21,0),"")</f>
        <v>46235</v>
      </c>
      <c r="V304" s="78" t="str">
        <f>IFERROR(VLOOKUP($AA304,PLAN!$B:$AA,22,0),"")</f>
        <v>M9</v>
      </c>
      <c r="W304" s="232"/>
      <c r="X304" s="233"/>
      <c r="Y304" s="212"/>
      <c r="Z304" s="350"/>
      <c r="AA304" s="195" t="s">
        <v>2153</v>
      </c>
      <c r="AB304" s="132">
        <f>VLOOKUP(AA304,PLAN!B:V,20,0)</f>
        <v>46235</v>
      </c>
      <c r="AC304" s="132"/>
    </row>
    <row r="305" spans="3:29" s="79" customFormat="1" ht="21.6" customHeight="1">
      <c r="C305" s="249"/>
      <c r="D305" s="77"/>
      <c r="E305" s="77"/>
      <c r="F305" s="77"/>
      <c r="G305" s="77"/>
      <c r="H305" s="113"/>
      <c r="I305" s="77"/>
      <c r="J305" s="77"/>
      <c r="K305" s="77"/>
      <c r="L305" s="77"/>
      <c r="M305" s="77"/>
      <c r="N305" s="227"/>
      <c r="O305" s="77"/>
      <c r="P305" s="77"/>
      <c r="Q305" s="349" t="s">
        <v>2204</v>
      </c>
      <c r="R305" s="149" t="s">
        <v>2205</v>
      </c>
      <c r="S305" s="223">
        <f>K304-S304</f>
        <v>1</v>
      </c>
      <c r="T305" s="131"/>
      <c r="U305" s="78"/>
      <c r="V305" s="78"/>
      <c r="W305" s="232"/>
      <c r="X305" s="233"/>
      <c r="Y305" s="212"/>
      <c r="Z305" s="350"/>
      <c r="AA305" s="195"/>
      <c r="AB305" s="132">
        <v>46235</v>
      </c>
      <c r="AC305" s="132"/>
    </row>
    <row r="306" spans="3:29" s="79" customFormat="1" ht="21.6" customHeight="1">
      <c r="C306" s="249" t="str">
        <f t="shared" si="20"/>
        <v>Aug08-45</v>
      </c>
      <c r="D306" s="77">
        <f>IFERROR(VLOOKUP($AA306,PLAN!$B:$AA,3,0),"")</f>
        <v>11130565</v>
      </c>
      <c r="E306" s="77" t="str">
        <f>IFERROR(VLOOKUP($AA306,PLAN!$B:$AA,4,0),"")</f>
        <v>2211037-C-A</v>
      </c>
      <c r="F306" s="77" t="str">
        <f>IFERROR(VLOOKUP($AA306,PLAN!$B:$AA,5,0),"")</f>
        <v>HW60AL070P10000 NOCE</v>
      </c>
      <c r="G306" s="77" t="str">
        <f>IFERROR(VLOOKUP($AA306,PLAN!$B:$AA,2,0),"")</f>
        <v>1001928769</v>
      </c>
      <c r="H306" s="113">
        <f>IFERROR(VLOOKUP($AA306,PLAN!$B:$AA,7,0),"")</f>
        <v>46242</v>
      </c>
      <c r="I306" s="77" t="str">
        <f>IFERROR(VLOOKUP($AA306,PLAN!$B:$AA,8,0),"")</f>
        <v>0103577711</v>
      </c>
      <c r="J306" s="77" t="str">
        <f>IFERROR(VLOOKUP($AA306,PLAN!$B:$AA,9,0),"")</f>
        <v>260727C18A</v>
      </c>
      <c r="K306" s="77">
        <f>IFERROR(VLOOKUP($AA306,PLAN!$B:$AA,10,0),"")</f>
        <v>17</v>
      </c>
      <c r="L306" s="77" t="str">
        <f>IFERROR(VLOOKUP($AA306,PLAN!$B:$AA,15,0),"")</f>
        <v>Australia</v>
      </c>
      <c r="M306" s="77">
        <f>IFERROR(VLOOKUP($AA306,PLAN!$B:$AA,18,0),"")</f>
        <v>0</v>
      </c>
      <c r="N306" s="227">
        <f>IFERROR(VLOOKUP($AA306,PLAN!$B:$AA,19,0),"")</f>
        <v>0</v>
      </c>
      <c r="O306" s="77" t="str">
        <f>IFERROR(VLOOKUP($AA306,PLAN!$B:$AA,12,0),"")</f>
        <v>2112003-0-C</v>
      </c>
      <c r="P306" s="77">
        <f>IFERROR(VLOOKUP($AA306,PLAN!$B:$AA,11,0),"")</f>
        <v>12115968</v>
      </c>
      <c r="Q306" s="349" t="s">
        <v>1581</v>
      </c>
      <c r="R306" s="149" t="s">
        <v>1582</v>
      </c>
      <c r="S306" s="149">
        <f t="shared" si="19"/>
        <v>17</v>
      </c>
      <c r="T306" s="131"/>
      <c r="U306" s="78">
        <f>IFERROR(VLOOKUP($AA306,PLAN!$B:$AA,21,0),"")</f>
        <v>46235</v>
      </c>
      <c r="V306" s="78" t="str">
        <f>IFERROR(VLOOKUP($AA306,PLAN!$B:$AA,22,0),"")</f>
        <v>M9</v>
      </c>
      <c r="W306" s="232"/>
      <c r="X306" s="233"/>
      <c r="Y306" s="212"/>
      <c r="Z306" s="350"/>
      <c r="AA306" s="195" t="s">
        <v>2154</v>
      </c>
      <c r="AB306" s="132">
        <f>VLOOKUP(AA306,PLAN!B:V,20,0)</f>
        <v>46235</v>
      </c>
      <c r="AC306" s="132"/>
    </row>
    <row r="307" spans="3:29" s="79" customFormat="1" ht="21.6" customHeight="1">
      <c r="C307" s="249" t="str">
        <f t="shared" si="20"/>
        <v>Aug08-46</v>
      </c>
      <c r="D307" s="77">
        <f>IFERROR(VLOOKUP($AA307,PLAN!$B:$AA,3,0),"")</f>
        <v>11130530</v>
      </c>
      <c r="E307" s="77" t="str">
        <f>IFERROR(VLOOKUP($AA307,PLAN!$B:$AA,4,0),"")</f>
        <v>2211002-C-A</v>
      </c>
      <c r="F307" s="77" t="str">
        <f>IFERROR(VLOOKUP($AA307,PLAN!$B:$AA,5,0),"")</f>
        <v>HW60JR400P10000 NOCE</v>
      </c>
      <c r="G307" s="77" t="str">
        <f>IFERROR(VLOOKUP($AA307,PLAN!$B:$AA,2,0),"")</f>
        <v>1001928770</v>
      </c>
      <c r="H307" s="113">
        <f>IFERROR(VLOOKUP($AA307,PLAN!$B:$AA,7,0),"")</f>
        <v>46242</v>
      </c>
      <c r="I307" s="77" t="str">
        <f>IFERROR(VLOOKUP($AA307,PLAN!$B:$AA,8,0),"")</f>
        <v>0103577712</v>
      </c>
      <c r="J307" s="77" t="str">
        <f>IFERROR(VLOOKUP($AA307,PLAN!$B:$AA,9,0),"")</f>
        <v>260727C19A</v>
      </c>
      <c r="K307" s="77">
        <f>IFERROR(VLOOKUP($AA307,PLAN!$B:$AA,10,0),"")</f>
        <v>28</v>
      </c>
      <c r="L307" s="77" t="str">
        <f>IFERROR(VLOOKUP($AA307,PLAN!$B:$AA,15,0),"")</f>
        <v>Australia</v>
      </c>
      <c r="M307" s="77">
        <f>IFERROR(VLOOKUP($AA307,PLAN!$B:$AA,18,0),"")</f>
        <v>0</v>
      </c>
      <c r="N307" s="227">
        <f>IFERROR(VLOOKUP($AA307,PLAN!$B:$AA,19,0),"")</f>
        <v>0</v>
      </c>
      <c r="O307" s="77" t="str">
        <f>IFERROR(VLOOKUP($AA307,PLAN!$B:$AA,12,0),"")</f>
        <v>2112061-0-C</v>
      </c>
      <c r="P307" s="77">
        <f>IFERROR(VLOOKUP($AA307,PLAN!$B:$AA,11,0),"")</f>
        <v>12116026</v>
      </c>
      <c r="Q307" s="277" t="s">
        <v>813</v>
      </c>
      <c r="R307" s="149" t="s">
        <v>814</v>
      </c>
      <c r="S307" s="149">
        <f t="shared" si="19"/>
        <v>28</v>
      </c>
      <c r="T307" s="131"/>
      <c r="U307" s="78">
        <f>IFERROR(VLOOKUP($AA307,PLAN!$B:$AA,21,0),"")</f>
        <v>46235</v>
      </c>
      <c r="V307" s="78" t="str">
        <f>IFERROR(VLOOKUP($AA307,PLAN!$B:$AA,22,0),"")</f>
        <v>M9</v>
      </c>
      <c r="W307" s="232"/>
      <c r="X307" s="233"/>
      <c r="Y307" s="212"/>
      <c r="Z307" s="350"/>
      <c r="AA307" s="195" t="s">
        <v>2155</v>
      </c>
      <c r="AB307" s="132">
        <f>VLOOKUP(AA307,PLAN!B:V,20,0)</f>
        <v>46235</v>
      </c>
      <c r="AC307" s="132"/>
    </row>
    <row r="308" spans="3:29" s="79" customFormat="1" ht="21.6" customHeight="1">
      <c r="C308" s="249" t="str">
        <f t="shared" si="20"/>
        <v>Aug08-47</v>
      </c>
      <c r="D308" s="77">
        <f>IFERROR(VLOOKUP($AA308,PLAN!$B:$AA,3,0),"")</f>
        <v>11130566</v>
      </c>
      <c r="E308" s="77" t="str">
        <f>IFERROR(VLOOKUP($AA308,PLAN!$B:$AA,4,0),"")</f>
        <v>2211038-C-A</v>
      </c>
      <c r="F308" s="77" t="str">
        <f>IFERROR(VLOOKUP($AA308,PLAN!$B:$AA,5,0),"")</f>
        <v>HW60AL100P10000 NOCE</v>
      </c>
      <c r="G308" s="77" t="str">
        <f>IFERROR(VLOOKUP($AA308,PLAN!$B:$AA,2,0),"")</f>
        <v>1001928771</v>
      </c>
      <c r="H308" s="113">
        <f>IFERROR(VLOOKUP($AA308,PLAN!$B:$AA,7,0),"")</f>
        <v>46242</v>
      </c>
      <c r="I308" s="77" t="str">
        <f>IFERROR(VLOOKUP($AA308,PLAN!$B:$AA,8,0),"")</f>
        <v>0103577713</v>
      </c>
      <c r="J308" s="77" t="str">
        <f>IFERROR(VLOOKUP($AA308,PLAN!$B:$AA,9,0),"")</f>
        <v>260727C20A</v>
      </c>
      <c r="K308" s="77">
        <f>IFERROR(VLOOKUP($AA308,PLAN!$B:$AA,10,0),"")</f>
        <v>4</v>
      </c>
      <c r="L308" s="77" t="str">
        <f>IFERROR(VLOOKUP($AA308,PLAN!$B:$AA,15,0),"")</f>
        <v>Oversea</v>
      </c>
      <c r="M308" s="77">
        <f>IFERROR(VLOOKUP($AA308,PLAN!$B:$AA,18,0),"")</f>
        <v>0</v>
      </c>
      <c r="N308" s="227">
        <f>IFERROR(VLOOKUP($AA308,PLAN!$B:$AA,19,0),"")</f>
        <v>0</v>
      </c>
      <c r="O308" s="77" t="str">
        <f>IFERROR(VLOOKUP($AA308,PLAN!$B:$AA,12,0),"")</f>
        <v>2112007-0-C</v>
      </c>
      <c r="P308" s="77">
        <f>IFERROR(VLOOKUP($AA308,PLAN!$B:$AA,11,0),"")</f>
        <v>12115972</v>
      </c>
      <c r="Q308" s="277" t="s">
        <v>490</v>
      </c>
      <c r="R308" s="149" t="s">
        <v>491</v>
      </c>
      <c r="S308" s="223">
        <v>1</v>
      </c>
      <c r="T308" s="131"/>
      <c r="U308" s="78">
        <f>IFERROR(VLOOKUP($AA308,PLAN!$B:$AA,21,0),"")</f>
        <v>46235</v>
      </c>
      <c r="V308" s="78" t="str">
        <f>IFERROR(VLOOKUP($AA308,PLAN!$B:$AA,22,0),"")</f>
        <v>M9</v>
      </c>
      <c r="W308" s="232"/>
      <c r="X308" s="233"/>
      <c r="Y308" s="212"/>
      <c r="Z308" s="350"/>
      <c r="AA308" s="195" t="s">
        <v>2156</v>
      </c>
      <c r="AB308" s="132">
        <f>VLOOKUP(AA308,PLAN!B:V,20,0)</f>
        <v>46235</v>
      </c>
      <c r="AC308" s="132"/>
    </row>
    <row r="309" spans="3:29" s="79" customFormat="1" ht="21.6" customHeight="1">
      <c r="C309" s="249"/>
      <c r="D309" s="77"/>
      <c r="E309" s="77"/>
      <c r="F309" s="77"/>
      <c r="G309" s="77"/>
      <c r="H309" s="113"/>
      <c r="I309" s="77"/>
      <c r="J309" s="77"/>
      <c r="K309" s="77"/>
      <c r="L309" s="77"/>
      <c r="M309" s="77"/>
      <c r="N309" s="227"/>
      <c r="O309" s="77"/>
      <c r="P309" s="77"/>
      <c r="Q309" s="349" t="s">
        <v>2206</v>
      </c>
      <c r="R309" s="149" t="s">
        <v>2207</v>
      </c>
      <c r="S309" s="223">
        <f>K308-S308</f>
        <v>3</v>
      </c>
      <c r="T309" s="131"/>
      <c r="U309" s="78"/>
      <c r="V309" s="78"/>
      <c r="W309" s="232"/>
      <c r="X309" s="233"/>
      <c r="Y309" s="212"/>
      <c r="Z309" s="350"/>
      <c r="AA309" s="195"/>
      <c r="AB309" s="132">
        <v>46235</v>
      </c>
      <c r="AC309" s="132"/>
    </row>
    <row r="310" spans="3:29" s="79" customFormat="1" ht="21.6" customHeight="1">
      <c r="C310" s="249" t="str">
        <f t="shared" si="20"/>
        <v>Aug08-48</v>
      </c>
      <c r="D310" s="77">
        <f>IFERROR(VLOOKUP($AA310,PLAN!$B:$AA,3,0),"")</f>
        <v>11130696</v>
      </c>
      <c r="E310" s="77" t="str">
        <f>IFERROR(VLOOKUP($AA310,PLAN!$B:$AA,4,0),"")</f>
        <v>2211168-C-A</v>
      </c>
      <c r="F310" s="77" t="str">
        <f>IFERROR(VLOOKUP($AA310,PLAN!$B:$AA,5,0),"")</f>
        <v>HW70AL100P09000 NOCE</v>
      </c>
      <c r="G310" s="77" t="str">
        <f>IFERROR(VLOOKUP($AA310,PLAN!$B:$AA,2,0),"")</f>
        <v>1001928772</v>
      </c>
      <c r="H310" s="113">
        <f>IFERROR(VLOOKUP($AA310,PLAN!$B:$AA,7,0),"")</f>
        <v>46242</v>
      </c>
      <c r="I310" s="77" t="str">
        <f>IFERROR(VLOOKUP($AA310,PLAN!$B:$AA,8,0),"")</f>
        <v>0103577714</v>
      </c>
      <c r="J310" s="77" t="str">
        <f>IFERROR(VLOOKUP($AA310,PLAN!$B:$AA,9,0),"")</f>
        <v>260727C21A</v>
      </c>
      <c r="K310" s="77">
        <f>IFERROR(VLOOKUP($AA310,PLAN!$B:$AA,10,0),"")</f>
        <v>3</v>
      </c>
      <c r="L310" s="77" t="str">
        <f>IFERROR(VLOOKUP($AA310,PLAN!$B:$AA,15,0),"")</f>
        <v>Oversea</v>
      </c>
      <c r="M310" s="77">
        <f>IFERROR(VLOOKUP($AA310,PLAN!$B:$AA,18,0),"")</f>
        <v>0</v>
      </c>
      <c r="N310" s="227">
        <f>IFERROR(VLOOKUP($AA310,PLAN!$B:$AA,19,0),"")</f>
        <v>0</v>
      </c>
      <c r="O310" s="77" t="str">
        <f>IFERROR(VLOOKUP($AA310,PLAN!$B:$AA,12,0),"")</f>
        <v>2112111-0-C</v>
      </c>
      <c r="P310" s="77">
        <f>IFERROR(VLOOKUP($AA310,PLAN!$B:$AA,11,0),"")</f>
        <v>12116078</v>
      </c>
      <c r="Q310" s="277" t="s">
        <v>2208</v>
      </c>
      <c r="R310" s="222" t="s">
        <v>2209</v>
      </c>
      <c r="S310" s="223">
        <v>1</v>
      </c>
      <c r="T310" s="131"/>
      <c r="U310" s="78">
        <f>IFERROR(VLOOKUP($AA310,PLAN!$B:$AA,21,0),"")</f>
        <v>46235</v>
      </c>
      <c r="V310" s="78" t="str">
        <f>IFERROR(VLOOKUP($AA310,PLAN!$B:$AA,22,0),"")</f>
        <v>M9</v>
      </c>
      <c r="W310" s="232"/>
      <c r="X310" s="233"/>
      <c r="Y310" s="212"/>
      <c r="Z310" s="350"/>
      <c r="AA310" s="195" t="s">
        <v>2157</v>
      </c>
      <c r="AB310" s="132">
        <f>VLOOKUP(AA310,PLAN!B:V,20,0)</f>
        <v>46235</v>
      </c>
      <c r="AC310" s="132"/>
    </row>
    <row r="311" spans="3:29" s="79" customFormat="1" ht="21.6" customHeight="1">
      <c r="C311" s="249"/>
      <c r="D311" s="77"/>
      <c r="E311" s="77"/>
      <c r="F311" s="77"/>
      <c r="G311" s="77"/>
      <c r="H311" s="113"/>
      <c r="I311" s="77"/>
      <c r="J311" s="77"/>
      <c r="K311" s="77"/>
      <c r="L311" s="77"/>
      <c r="M311" s="77"/>
      <c r="N311" s="227"/>
      <c r="O311" s="77"/>
      <c r="P311" s="77"/>
      <c r="Q311" s="349" t="s">
        <v>2210</v>
      </c>
      <c r="R311" s="149" t="s">
        <v>2211</v>
      </c>
      <c r="S311" s="223">
        <v>2</v>
      </c>
      <c r="T311" s="131"/>
      <c r="U311" s="78"/>
      <c r="V311" s="78"/>
      <c r="W311" s="232"/>
      <c r="X311" s="233"/>
      <c r="Y311" s="212"/>
      <c r="Z311" s="350"/>
      <c r="AA311" s="195"/>
      <c r="AB311" s="132">
        <v>46235</v>
      </c>
      <c r="AC311" s="132"/>
    </row>
    <row r="312" spans="3:29" s="79" customFormat="1" ht="21.6" customHeight="1">
      <c r="C312" s="249" t="str">
        <f t="shared" si="20"/>
        <v>Aug08-49</v>
      </c>
      <c r="D312" s="77">
        <f>IFERROR(VLOOKUP($AA312,PLAN!$B:$AA,3,0),"")</f>
        <v>11130546</v>
      </c>
      <c r="E312" s="77" t="str">
        <f>IFERROR(VLOOKUP($AA312,PLAN!$B:$AA,4,0),"")</f>
        <v>2211018-C-A</v>
      </c>
      <c r="F312" s="77" t="str">
        <f>IFERROR(VLOOKUP($AA312,PLAN!$B:$AA,5,0),"")</f>
        <v>HW60JL350P10000 NOCE</v>
      </c>
      <c r="G312" s="77" t="str">
        <f>IFERROR(VLOOKUP($AA312,PLAN!$B:$AA,2,0),"")</f>
        <v>1001928773</v>
      </c>
      <c r="H312" s="113">
        <f>IFERROR(VLOOKUP($AA312,PLAN!$B:$AA,7,0),"")</f>
        <v>46242</v>
      </c>
      <c r="I312" s="77" t="str">
        <f>IFERROR(VLOOKUP($AA312,PLAN!$B:$AA,8,0),"")</f>
        <v>0103577715</v>
      </c>
      <c r="J312" s="77" t="str">
        <f>IFERROR(VLOOKUP($AA312,PLAN!$B:$AA,9,0),"")</f>
        <v>260727C22A</v>
      </c>
      <c r="K312" s="77">
        <f>IFERROR(VLOOKUP($AA312,PLAN!$B:$AA,10,0),"")</f>
        <v>5</v>
      </c>
      <c r="L312" s="77" t="str">
        <f>IFERROR(VLOOKUP($AA312,PLAN!$B:$AA,15,0),"")</f>
        <v>Oversea</v>
      </c>
      <c r="M312" s="77">
        <f>IFERROR(VLOOKUP($AA312,PLAN!$B:$AA,18,0),"")</f>
        <v>0</v>
      </c>
      <c r="N312" s="227">
        <f>IFERROR(VLOOKUP($AA312,PLAN!$B:$AA,19,0),"")</f>
        <v>0</v>
      </c>
      <c r="O312" s="77" t="str">
        <f>IFERROR(VLOOKUP($AA312,PLAN!$B:$AA,12,0),"")</f>
        <v>2112041-0-C</v>
      </c>
      <c r="P312" s="77">
        <f>IFERROR(VLOOKUP($AA312,PLAN!$B:$AA,11,0),"")</f>
        <v>12116006</v>
      </c>
      <c r="Q312" s="277" t="s">
        <v>803</v>
      </c>
      <c r="R312" s="149" t="s">
        <v>804</v>
      </c>
      <c r="S312" s="149">
        <f t="shared" si="19"/>
        <v>5</v>
      </c>
      <c r="T312" s="131"/>
      <c r="U312" s="78">
        <f>IFERROR(VLOOKUP($AA312,PLAN!$B:$AA,21,0),"")</f>
        <v>46235</v>
      </c>
      <c r="V312" s="78" t="str">
        <f>IFERROR(VLOOKUP($AA312,PLAN!$B:$AA,22,0),"")</f>
        <v>M9</v>
      </c>
      <c r="W312" s="232"/>
      <c r="X312" s="233"/>
      <c r="Y312" s="212"/>
      <c r="Z312" s="350"/>
      <c r="AA312" s="195" t="s">
        <v>2158</v>
      </c>
      <c r="AB312" s="132">
        <f>VLOOKUP(AA312,PLAN!B:V,20,0)</f>
        <v>46235</v>
      </c>
      <c r="AC312" s="132"/>
    </row>
    <row r="313" spans="3:29" s="79" customFormat="1" ht="21.6" customHeight="1">
      <c r="C313" s="249" t="str">
        <f t="shared" si="20"/>
        <v>Aug08-50</v>
      </c>
      <c r="D313" s="77">
        <f>IFERROR(VLOOKUP($AA313,PLAN!$B:$AA,3,0),"")</f>
        <v>11130658</v>
      </c>
      <c r="E313" s="77" t="str">
        <f>IFERROR(VLOOKUP($AA313,PLAN!$B:$AA,4,0),"")</f>
        <v>2211130-C-A</v>
      </c>
      <c r="F313" s="77" t="str">
        <f>IFERROR(VLOOKUP($AA313,PLAN!$B:$AA,5,0),"")</f>
        <v>HW70JR400P10000 NOCE</v>
      </c>
      <c r="G313" s="77" t="str">
        <f>IFERROR(VLOOKUP($AA313,PLAN!$B:$AA,2,0),"")</f>
        <v>1001928774</v>
      </c>
      <c r="H313" s="113">
        <f>IFERROR(VLOOKUP($AA313,PLAN!$B:$AA,7,0),"")</f>
        <v>46242</v>
      </c>
      <c r="I313" s="77" t="str">
        <f>IFERROR(VLOOKUP($AA313,PLAN!$B:$AA,8,0),"")</f>
        <v>0103577716</v>
      </c>
      <c r="J313" s="77" t="str">
        <f>IFERROR(VLOOKUP($AA313,PLAN!$B:$AA,9,0),"")</f>
        <v>260727C23A</v>
      </c>
      <c r="K313" s="77">
        <f>IFERROR(VLOOKUP($AA313,PLAN!$B:$AA,10,0),"")</f>
        <v>7</v>
      </c>
      <c r="L313" s="77" t="str">
        <f>IFERROR(VLOOKUP($AA313,PLAN!$B:$AA,15,0),"")</f>
        <v>Oversea</v>
      </c>
      <c r="M313" s="77">
        <f>IFERROR(VLOOKUP($AA313,PLAN!$B:$AA,18,0),"")</f>
        <v>0</v>
      </c>
      <c r="N313" s="227">
        <f>IFERROR(VLOOKUP($AA313,PLAN!$B:$AA,19,0),"")</f>
        <v>0</v>
      </c>
      <c r="O313" s="77" t="str">
        <f>IFERROR(VLOOKUP($AA313,PLAN!$B:$AA,12,0),"")</f>
        <v>2112175-0-C</v>
      </c>
      <c r="P313" s="77">
        <f>IFERROR(VLOOKUP($AA313,PLAN!$B:$AA,11,0),"")</f>
        <v>12116142</v>
      </c>
      <c r="Q313" s="349" t="s">
        <v>2204</v>
      </c>
      <c r="R313" s="149" t="s">
        <v>2205</v>
      </c>
      <c r="S313" s="223">
        <v>2</v>
      </c>
      <c r="T313" s="131"/>
      <c r="U313" s="78">
        <f>IFERROR(VLOOKUP($AA313,PLAN!$B:$AA,21,0),"")</f>
        <v>46235</v>
      </c>
      <c r="V313" s="78" t="str">
        <f>IFERROR(VLOOKUP($AA313,PLAN!$B:$AA,22,0),"")</f>
        <v>M9</v>
      </c>
      <c r="W313" s="232"/>
      <c r="X313" s="233"/>
      <c r="Y313" s="212"/>
      <c r="Z313" s="350"/>
      <c r="AA313" s="195" t="s">
        <v>2159</v>
      </c>
      <c r="AB313" s="132">
        <f>VLOOKUP(AA313,PLAN!B:V,20,0)</f>
        <v>46235</v>
      </c>
      <c r="AC313" s="132"/>
    </row>
    <row r="314" spans="3:29" s="79" customFormat="1" ht="21.6" customHeight="1">
      <c r="C314" s="249"/>
      <c r="D314" s="77"/>
      <c r="E314" s="77"/>
      <c r="F314" s="77"/>
      <c r="G314" s="77"/>
      <c r="H314" s="113"/>
      <c r="I314" s="77"/>
      <c r="J314" s="77"/>
      <c r="K314" s="77"/>
      <c r="L314" s="77"/>
      <c r="M314" s="77"/>
      <c r="N314" s="227"/>
      <c r="O314" s="77"/>
      <c r="P314" s="77"/>
      <c r="Q314" s="349" t="s">
        <v>2212</v>
      </c>
      <c r="R314" s="149" t="s">
        <v>2213</v>
      </c>
      <c r="S314" s="223">
        <f>K313-S313</f>
        <v>5</v>
      </c>
      <c r="T314" s="131"/>
      <c r="U314" s="78"/>
      <c r="V314" s="78"/>
      <c r="W314" s="232"/>
      <c r="X314" s="233"/>
      <c r="Y314" s="212"/>
      <c r="Z314" s="350"/>
      <c r="AA314" s="195"/>
      <c r="AB314" s="132">
        <v>46235</v>
      </c>
      <c r="AC314" s="132"/>
    </row>
    <row r="315" spans="3:29" s="79" customFormat="1" ht="21.6" customHeight="1">
      <c r="C315" s="249" t="str">
        <f t="shared" si="20"/>
        <v>Aug08-51</v>
      </c>
      <c r="D315" s="77">
        <f>IFERROR(VLOOKUP($AA315,PLAN!$B:$AA,3,0),"")</f>
        <v>11130530</v>
      </c>
      <c r="E315" s="77" t="str">
        <f>IFERROR(VLOOKUP($AA315,PLAN!$B:$AA,4,0),"")</f>
        <v>2211002-C-A</v>
      </c>
      <c r="F315" s="77" t="str">
        <f>IFERROR(VLOOKUP($AA315,PLAN!$B:$AA,5,0),"")</f>
        <v>HW60JR400P10000 NOCE</v>
      </c>
      <c r="G315" s="77" t="str">
        <f>IFERROR(VLOOKUP($AA315,PLAN!$B:$AA,2,0),"")</f>
        <v>1001928775</v>
      </c>
      <c r="H315" s="113">
        <f>IFERROR(VLOOKUP($AA315,PLAN!$B:$AA,7,0),"")</f>
        <v>46242</v>
      </c>
      <c r="I315" s="77" t="str">
        <f>IFERROR(VLOOKUP($AA315,PLAN!$B:$AA,8,0),"")</f>
        <v>0103577717</v>
      </c>
      <c r="J315" s="77" t="str">
        <f>IFERROR(VLOOKUP($AA315,PLAN!$B:$AA,9,0),"")</f>
        <v>260727C24A</v>
      </c>
      <c r="K315" s="77">
        <f>IFERROR(VLOOKUP($AA315,PLAN!$B:$AA,10,0),"")</f>
        <v>25</v>
      </c>
      <c r="L315" s="77" t="str">
        <f>IFERROR(VLOOKUP($AA315,PLAN!$B:$AA,15,0),"")</f>
        <v>Oversea</v>
      </c>
      <c r="M315" s="77">
        <f>IFERROR(VLOOKUP($AA315,PLAN!$B:$AA,18,0),"")</f>
        <v>0</v>
      </c>
      <c r="N315" s="227">
        <f>IFERROR(VLOOKUP($AA315,PLAN!$B:$AA,19,0),"")</f>
        <v>0</v>
      </c>
      <c r="O315" s="77" t="str">
        <f>IFERROR(VLOOKUP($AA315,PLAN!$B:$AA,12,0),"")</f>
        <v>2112061-0-C</v>
      </c>
      <c r="P315" s="77">
        <f>IFERROR(VLOOKUP($AA315,PLAN!$B:$AA,11,0),"")</f>
        <v>12116026</v>
      </c>
      <c r="Q315" s="277" t="s">
        <v>813</v>
      </c>
      <c r="R315" s="149" t="s">
        <v>814</v>
      </c>
      <c r="S315" s="149">
        <f t="shared" si="19"/>
        <v>25</v>
      </c>
      <c r="T315" s="131"/>
      <c r="U315" s="78">
        <f>IFERROR(VLOOKUP($AA315,PLAN!$B:$AA,21,0),"")</f>
        <v>46235</v>
      </c>
      <c r="V315" s="78" t="str">
        <f>IFERROR(VLOOKUP($AA315,PLAN!$B:$AA,22,0),"")</f>
        <v>M9</v>
      </c>
      <c r="W315" s="232"/>
      <c r="X315" s="233"/>
      <c r="Y315" s="212"/>
      <c r="Z315" s="350"/>
      <c r="AA315" s="195" t="s">
        <v>2160</v>
      </c>
      <c r="AB315" s="132">
        <f>VLOOKUP(AA315,PLAN!B:V,20,0)</f>
        <v>46235</v>
      </c>
      <c r="AC315" s="132"/>
    </row>
    <row r="316" spans="3:29" s="79" customFormat="1" ht="21.6" customHeight="1">
      <c r="C316" s="249" t="str">
        <f t="shared" si="20"/>
        <v>Aug08-52</v>
      </c>
      <c r="D316" s="77">
        <f>IFERROR(VLOOKUP($AA316,PLAN!$B:$AA,3,0),"")</f>
        <v>11119457</v>
      </c>
      <c r="E316" s="77" t="str">
        <f>IFERROR(VLOOKUP($AA316,PLAN!$B:$AA,4,0),"")</f>
        <v>1911123-D-A</v>
      </c>
      <c r="F316" s="77" t="str">
        <f>IFERROR(VLOOKUP($AA316,PLAN!$B:$AA,5,0),"")</f>
        <v>HJ70CP150P10020 JP</v>
      </c>
      <c r="G316" s="77" t="str">
        <f>IFERROR(VLOOKUP($AA316,PLAN!$B:$AA,2,0),"")</f>
        <v>1001928776</v>
      </c>
      <c r="H316" s="113">
        <f>IFERROR(VLOOKUP($AA316,PLAN!$B:$AA,7,0),"")</f>
        <v>46242</v>
      </c>
      <c r="I316" s="77" t="str">
        <f>IFERROR(VLOOKUP($AA316,PLAN!$B:$AA,8,0),"")</f>
        <v>0103577719</v>
      </c>
      <c r="J316" s="77" t="str">
        <f>IFERROR(VLOOKUP($AA316,PLAN!$B:$AA,9,0),"")</f>
        <v>260727C25A</v>
      </c>
      <c r="K316" s="77">
        <f>IFERROR(VLOOKUP($AA316,PLAN!$B:$AA,10,0),"")</f>
        <v>1</v>
      </c>
      <c r="L316" s="77" t="str">
        <f>IFERROR(VLOOKUP($AA316,PLAN!$B:$AA,15,0),"")</f>
        <v>JAPAN</v>
      </c>
      <c r="M316" s="77">
        <f>IFERROR(VLOOKUP($AA316,PLAN!$B:$AA,18,0),"")</f>
        <v>0</v>
      </c>
      <c r="N316" s="227">
        <f>IFERROR(VLOOKUP($AA316,PLAN!$B:$AA,19,0),"")</f>
        <v>0</v>
      </c>
      <c r="O316" s="77" t="str">
        <f>IFERROR(VLOOKUP($AA316,PLAN!$B:$AA,12,0),"")</f>
        <v>2112125-0-C</v>
      </c>
      <c r="P316" s="77">
        <f>IFERROR(VLOOKUP($AA316,PLAN!$B:$AA,11,0),"")</f>
        <v>12116092</v>
      </c>
      <c r="Q316" s="375" t="s">
        <v>3021</v>
      </c>
      <c r="R316" s="376" t="s">
        <v>3022</v>
      </c>
      <c r="S316" s="149">
        <f t="shared" si="19"/>
        <v>1</v>
      </c>
      <c r="T316" s="131"/>
      <c r="U316" s="78">
        <f>IFERROR(VLOOKUP($AA316,PLAN!$B:$AA,21,0),"")</f>
        <v>46235</v>
      </c>
      <c r="V316" s="78" t="str">
        <f>IFERROR(VLOOKUP($AA316,PLAN!$B:$AA,22,0),"")</f>
        <v>M9</v>
      </c>
      <c r="W316" s="232"/>
      <c r="X316" s="233"/>
      <c r="Y316" s="212"/>
      <c r="Z316" s="350"/>
      <c r="AA316" s="195" t="s">
        <v>2161</v>
      </c>
      <c r="AB316" s="132">
        <f>VLOOKUP(AA316,PLAN!B:V,20,0)</f>
        <v>46235</v>
      </c>
      <c r="AC316" s="132"/>
    </row>
    <row r="317" spans="3:29" s="79" customFormat="1" ht="21.6" customHeight="1">
      <c r="C317" s="249" t="str">
        <f t="shared" ref="C317:C1000" si="21">AA317</f>
        <v>Aug08-53</v>
      </c>
      <c r="D317" s="77">
        <f>IFERROR(VLOOKUP($AA317,PLAN!$B:$AA,3,0),"")</f>
        <v>11119345</v>
      </c>
      <c r="E317" s="77" t="str">
        <f>IFERROR(VLOOKUP($AA317,PLAN!$B:$AA,4,0),"")</f>
        <v>1911013-D-A</v>
      </c>
      <c r="F317" s="77" t="str">
        <f>IFERROR(VLOOKUP($AA317,PLAN!$B:$AA,5,0),"")</f>
        <v>HJ60AL150P10021 JP</v>
      </c>
      <c r="G317" s="77" t="str">
        <f>IFERROR(VLOOKUP($AA317,PLAN!$B:$AA,2,0),"")</f>
        <v>1001928777</v>
      </c>
      <c r="H317" s="113">
        <f>IFERROR(VLOOKUP($AA317,PLAN!$B:$AA,7,0),"")</f>
        <v>46242</v>
      </c>
      <c r="I317" s="77" t="str">
        <f>IFERROR(VLOOKUP($AA317,PLAN!$B:$AA,8,0),"")</f>
        <v>0103577720</v>
      </c>
      <c r="J317" s="77" t="str">
        <f>IFERROR(VLOOKUP($AA317,PLAN!$B:$AA,9,0),"")</f>
        <v>260727C26A</v>
      </c>
      <c r="K317" s="77">
        <f>IFERROR(VLOOKUP($AA317,PLAN!$B:$AA,10,0),"")</f>
        <v>2</v>
      </c>
      <c r="L317" s="77" t="str">
        <f>IFERROR(VLOOKUP($AA317,PLAN!$B:$AA,15,0),"")</f>
        <v>JAPAN</v>
      </c>
      <c r="M317" s="77">
        <f>IFERROR(VLOOKUP($AA317,PLAN!$B:$AA,18,0),"")</f>
        <v>0</v>
      </c>
      <c r="N317" s="227">
        <f>IFERROR(VLOOKUP($AA317,PLAN!$B:$AA,19,0),"")</f>
        <v>0</v>
      </c>
      <c r="O317" s="77" t="str">
        <f>IFERROR(VLOOKUP($AA317,PLAN!$B:$AA,12,0),"")</f>
        <v>2112015-0-C</v>
      </c>
      <c r="P317" s="77">
        <f>IFERROR(VLOOKUP($AA317,PLAN!$B:$AA,11,0),"")</f>
        <v>12115980</v>
      </c>
      <c r="Q317" s="148" t="s">
        <v>488</v>
      </c>
      <c r="R317" s="222" t="s">
        <v>489</v>
      </c>
      <c r="S317" s="149">
        <f t="shared" ref="S317:S1000" si="22">K317</f>
        <v>2</v>
      </c>
      <c r="T317" s="131"/>
      <c r="U317" s="78">
        <f>IFERROR(VLOOKUP($AA317,PLAN!$B:$AA,21,0),"")</f>
        <v>46235</v>
      </c>
      <c r="V317" s="78" t="str">
        <f>IFERROR(VLOOKUP($AA317,PLAN!$B:$AA,22,0),"")</f>
        <v>M9</v>
      </c>
      <c r="W317" s="232"/>
      <c r="X317" s="233"/>
      <c r="Y317" s="212"/>
      <c r="Z317" s="350"/>
      <c r="AA317" s="195" t="s">
        <v>2162</v>
      </c>
      <c r="AB317" s="132">
        <f>VLOOKUP(AA317,PLAN!B:V,20,0)</f>
        <v>46235</v>
      </c>
      <c r="AC317" s="132"/>
    </row>
    <row r="318" spans="3:29" s="79" customFormat="1" ht="21.6" customHeight="1">
      <c r="C318" s="249" t="str">
        <f t="shared" si="21"/>
        <v>Aug08-54</v>
      </c>
      <c r="D318" s="77">
        <f>IFERROR(VLOOKUP($AA318,PLAN!$B:$AA,3,0),"")</f>
        <v>11119376</v>
      </c>
      <c r="E318" s="77" t="str">
        <f>IFERROR(VLOOKUP($AA318,PLAN!$B:$AA,4,0),"")</f>
        <v>1911044-D-A</v>
      </c>
      <c r="F318" s="77" t="str">
        <f>IFERROR(VLOOKUP($AA318,PLAN!$B:$AA,5,0),"")</f>
        <v>HJ60JL400P09000 JP</v>
      </c>
      <c r="G318" s="77" t="str">
        <f>IFERROR(VLOOKUP($AA318,PLAN!$B:$AA,2,0),"")</f>
        <v>1001928778</v>
      </c>
      <c r="H318" s="113">
        <f>IFERROR(VLOOKUP($AA318,PLAN!$B:$AA,7,0),"")</f>
        <v>46242</v>
      </c>
      <c r="I318" s="77" t="str">
        <f>IFERROR(VLOOKUP($AA318,PLAN!$B:$AA,8,0),"")</f>
        <v>0103577721</v>
      </c>
      <c r="J318" s="77" t="str">
        <f>IFERROR(VLOOKUP($AA318,PLAN!$B:$AA,9,0),"")</f>
        <v>260727C27A</v>
      </c>
      <c r="K318" s="77">
        <f>IFERROR(VLOOKUP($AA318,PLAN!$B:$AA,10,0),"")</f>
        <v>2</v>
      </c>
      <c r="L318" s="77" t="str">
        <f>IFERROR(VLOOKUP($AA318,PLAN!$B:$AA,15,0),"")</f>
        <v>JAPAN</v>
      </c>
      <c r="M318" s="77">
        <f>IFERROR(VLOOKUP($AA318,PLAN!$B:$AA,18,0),"")</f>
        <v>0</v>
      </c>
      <c r="N318" s="227">
        <f>IFERROR(VLOOKUP($AA318,PLAN!$B:$AA,19,0),"")</f>
        <v>0</v>
      </c>
      <c r="O318" s="77" t="str">
        <f>IFERROR(VLOOKUP($AA318,PLAN!$B:$AA,12,0),"")</f>
        <v>2112046-0-C</v>
      </c>
      <c r="P318" s="77">
        <f>IFERROR(VLOOKUP($AA318,PLAN!$B:$AA,11,0),"")</f>
        <v>12116011</v>
      </c>
      <c r="Q318" s="148" t="s">
        <v>486</v>
      </c>
      <c r="R318" s="222" t="s">
        <v>487</v>
      </c>
      <c r="S318" s="149">
        <f t="shared" si="22"/>
        <v>2</v>
      </c>
      <c r="T318" s="131"/>
      <c r="U318" s="78">
        <f>IFERROR(VLOOKUP($AA318,PLAN!$B:$AA,21,0),"")</f>
        <v>46235</v>
      </c>
      <c r="V318" s="78" t="str">
        <f>IFERROR(VLOOKUP($AA318,PLAN!$B:$AA,22,0),"")</f>
        <v>M9</v>
      </c>
      <c r="W318" s="232"/>
      <c r="X318" s="233"/>
      <c r="Y318" s="212"/>
      <c r="Z318" s="350"/>
      <c r="AA318" s="195" t="s">
        <v>2163</v>
      </c>
      <c r="AB318" s="132">
        <f>VLOOKUP(AA318,PLAN!B:V,20,0)</f>
        <v>46235</v>
      </c>
      <c r="AC318" s="132"/>
    </row>
    <row r="319" spans="3:29" s="79" customFormat="1" ht="21.6" customHeight="1">
      <c r="C319" s="249" t="str">
        <f t="shared" si="21"/>
        <v>Aug08-55</v>
      </c>
      <c r="D319" s="77">
        <f>IFERROR(VLOOKUP($AA319,PLAN!$B:$AA,3,0),"")</f>
        <v>11119378</v>
      </c>
      <c r="E319" s="77" t="str">
        <f>IFERROR(VLOOKUP($AA319,PLAN!$B:$AA,4,0),"")</f>
        <v>1911046-D-A</v>
      </c>
      <c r="F319" s="77" t="str">
        <f>IFERROR(VLOOKUP($AA319,PLAN!$B:$AA,5,0),"")</f>
        <v>HJ60JL402P09020 JP</v>
      </c>
      <c r="G319" s="77" t="str">
        <f>IFERROR(VLOOKUP($AA319,PLAN!$B:$AA,2,0),"")</f>
        <v>1001928779</v>
      </c>
      <c r="H319" s="113">
        <f>IFERROR(VLOOKUP($AA319,PLAN!$B:$AA,7,0),"")</f>
        <v>46242</v>
      </c>
      <c r="I319" s="77" t="str">
        <f>IFERROR(VLOOKUP($AA319,PLAN!$B:$AA,8,0),"")</f>
        <v>0103577723</v>
      </c>
      <c r="J319" s="77" t="str">
        <f>IFERROR(VLOOKUP($AA319,PLAN!$B:$AA,9,0),"")</f>
        <v>260727C28A</v>
      </c>
      <c r="K319" s="77">
        <f>IFERROR(VLOOKUP($AA319,PLAN!$B:$AA,10,0),"")</f>
        <v>2</v>
      </c>
      <c r="L319" s="77" t="str">
        <f>IFERROR(VLOOKUP($AA319,PLAN!$B:$AA,15,0),"")</f>
        <v>JAPAN</v>
      </c>
      <c r="M319" s="77">
        <f>IFERROR(VLOOKUP($AA319,PLAN!$B:$AA,18,0),"")</f>
        <v>0</v>
      </c>
      <c r="N319" s="227">
        <f>IFERROR(VLOOKUP($AA319,PLAN!$B:$AA,19,0),"")</f>
        <v>0</v>
      </c>
      <c r="O319" s="77" t="str">
        <f>IFERROR(VLOOKUP($AA319,PLAN!$B:$AA,12,0),"")</f>
        <v>2112048-0-C</v>
      </c>
      <c r="P319" s="77">
        <f>IFERROR(VLOOKUP($AA319,PLAN!$B:$AA,11,0),"")</f>
        <v>12116013</v>
      </c>
      <c r="Q319" s="148" t="s">
        <v>1196</v>
      </c>
      <c r="R319" s="222" t="s">
        <v>1197</v>
      </c>
      <c r="S319" s="149">
        <f t="shared" si="22"/>
        <v>2</v>
      </c>
      <c r="T319" s="131"/>
      <c r="U319" s="78">
        <f>IFERROR(VLOOKUP($AA319,PLAN!$B:$AA,21,0),"")</f>
        <v>46235</v>
      </c>
      <c r="V319" s="78" t="str">
        <f>IFERROR(VLOOKUP($AA319,PLAN!$B:$AA,22,0),"")</f>
        <v>M9</v>
      </c>
      <c r="W319" s="232"/>
      <c r="X319" s="233"/>
      <c r="Y319" s="212"/>
      <c r="Z319" s="350"/>
      <c r="AA319" s="195" t="s">
        <v>2164</v>
      </c>
      <c r="AB319" s="132">
        <f>VLOOKUP(AA319,PLAN!B:V,20,0)</f>
        <v>46235</v>
      </c>
      <c r="AC319" s="132"/>
    </row>
    <row r="320" spans="3:29" s="79" customFormat="1" ht="21.6" customHeight="1">
      <c r="C320" s="249" t="str">
        <f t="shared" si="21"/>
        <v>Aug08-56</v>
      </c>
      <c r="D320" s="77">
        <f>IFERROR(VLOOKUP($AA320,PLAN!$B:$AA,3,0),"")</f>
        <v>11119418</v>
      </c>
      <c r="E320" s="77" t="str">
        <f>IFERROR(VLOOKUP($AA320,PLAN!$B:$AA,4,0),"")</f>
        <v>1911086-D-A</v>
      </c>
      <c r="F320" s="77" t="str">
        <f>IFERROR(VLOOKUP($AA320,PLAN!$B:$AA,5,0),"")</f>
        <v>HJ60AL152P10022 JP</v>
      </c>
      <c r="G320" s="77" t="str">
        <f>IFERROR(VLOOKUP($AA320,PLAN!$B:$AA,2,0),"")</f>
        <v>1001928780</v>
      </c>
      <c r="H320" s="113">
        <f>IFERROR(VLOOKUP($AA320,PLAN!$B:$AA,7,0),"")</f>
        <v>46242</v>
      </c>
      <c r="I320" s="77" t="str">
        <f>IFERROR(VLOOKUP($AA320,PLAN!$B:$AA,8,0),"")</f>
        <v>0103577724</v>
      </c>
      <c r="J320" s="77" t="str">
        <f>IFERROR(VLOOKUP($AA320,PLAN!$B:$AA,9,0),"")</f>
        <v>260727C29A</v>
      </c>
      <c r="K320" s="77">
        <f>IFERROR(VLOOKUP($AA320,PLAN!$B:$AA,10,0),"")</f>
        <v>4</v>
      </c>
      <c r="L320" s="77" t="str">
        <f>IFERROR(VLOOKUP($AA320,PLAN!$B:$AA,15,0),"")</f>
        <v>JAPAN</v>
      </c>
      <c r="M320" s="77">
        <f>IFERROR(VLOOKUP($AA320,PLAN!$B:$AA,18,0),"")</f>
        <v>0</v>
      </c>
      <c r="N320" s="227">
        <f>IFERROR(VLOOKUP($AA320,PLAN!$B:$AA,19,0),"")</f>
        <v>0</v>
      </c>
      <c r="O320" s="77" t="str">
        <f>IFERROR(VLOOKUP($AA320,PLAN!$B:$AA,12,0),"")</f>
        <v>2112088-0-C</v>
      </c>
      <c r="P320" s="77">
        <f>IFERROR(VLOOKUP($AA320,PLAN!$B:$AA,11,0),"")</f>
        <v>12116053</v>
      </c>
      <c r="Q320" s="349" t="s">
        <v>807</v>
      </c>
      <c r="R320" s="149" t="s">
        <v>808</v>
      </c>
      <c r="S320" s="149">
        <f t="shared" si="22"/>
        <v>4</v>
      </c>
      <c r="T320" s="131"/>
      <c r="U320" s="78">
        <f>IFERROR(VLOOKUP($AA320,PLAN!$B:$AA,21,0),"")</f>
        <v>46235</v>
      </c>
      <c r="V320" s="78" t="str">
        <f>IFERROR(VLOOKUP($AA320,PLAN!$B:$AA,22,0),"")</f>
        <v>M9</v>
      </c>
      <c r="W320" s="232"/>
      <c r="X320" s="233"/>
      <c r="Y320" s="212"/>
      <c r="Z320" s="350"/>
      <c r="AA320" s="195" t="s">
        <v>2165</v>
      </c>
      <c r="AB320" s="132">
        <f>VLOOKUP(AA320,PLAN!B:V,20,0)</f>
        <v>46235</v>
      </c>
      <c r="AC320" s="132"/>
    </row>
    <row r="321" spans="3:29" s="79" customFormat="1" ht="21.6" customHeight="1">
      <c r="C321" s="249" t="str">
        <f t="shared" si="21"/>
        <v>Aug08-57</v>
      </c>
      <c r="D321" s="77">
        <f>IFERROR(VLOOKUP($AA321,PLAN!$B:$AA,3,0),"")</f>
        <v>11119503</v>
      </c>
      <c r="E321" s="77" t="str">
        <f>IFERROR(VLOOKUP($AA321,PLAN!$B:$AA,4,0),"")</f>
        <v>1911169-D-A</v>
      </c>
      <c r="F321" s="77" t="str">
        <f>IFERROR(VLOOKUP($AA321,PLAN!$B:$AA,5,0),"")</f>
        <v>HJ70JR350P10020 JP</v>
      </c>
      <c r="G321" s="77" t="str">
        <f>IFERROR(VLOOKUP($AA321,PLAN!$B:$AA,2,0),"")</f>
        <v>1001928781</v>
      </c>
      <c r="H321" s="113">
        <f>IFERROR(VLOOKUP($AA321,PLAN!$B:$AA,7,0),"")</f>
        <v>46242</v>
      </c>
      <c r="I321" s="77" t="str">
        <f>IFERROR(VLOOKUP($AA321,PLAN!$B:$AA,8,0),"")</f>
        <v>0103577726</v>
      </c>
      <c r="J321" s="77" t="str">
        <f>IFERROR(VLOOKUP($AA321,PLAN!$B:$AA,9,0),"")</f>
        <v>260727C30A</v>
      </c>
      <c r="K321" s="77">
        <f>IFERROR(VLOOKUP($AA321,PLAN!$B:$AA,10,0),"")</f>
        <v>6</v>
      </c>
      <c r="L321" s="77" t="str">
        <f>IFERROR(VLOOKUP($AA321,PLAN!$B:$AA,15,0),"")</f>
        <v>JAPAN</v>
      </c>
      <c r="M321" s="77">
        <f>IFERROR(VLOOKUP($AA321,PLAN!$B:$AA,18,0),"")</f>
        <v>0</v>
      </c>
      <c r="N321" s="227">
        <f>IFERROR(VLOOKUP($AA321,PLAN!$B:$AA,19,0),"")</f>
        <v>0</v>
      </c>
      <c r="O321" s="77" t="str">
        <f>IFERROR(VLOOKUP($AA321,PLAN!$B:$AA,12,0),"")</f>
        <v>2112171-0-C</v>
      </c>
      <c r="P321" s="77">
        <f>IFERROR(VLOOKUP($AA321,PLAN!$B:$AA,11,0),"")</f>
        <v>12116138</v>
      </c>
      <c r="Q321" s="148" t="s">
        <v>811</v>
      </c>
      <c r="R321" s="222" t="s">
        <v>812</v>
      </c>
      <c r="S321" s="149">
        <f t="shared" si="22"/>
        <v>6</v>
      </c>
      <c r="T321" s="131"/>
      <c r="U321" s="78">
        <f>IFERROR(VLOOKUP($AA321,PLAN!$B:$AA,21,0),"")</f>
        <v>46235</v>
      </c>
      <c r="V321" s="78" t="str">
        <f>IFERROR(VLOOKUP($AA321,PLAN!$B:$AA,22,0),"")</f>
        <v>M9</v>
      </c>
      <c r="W321" s="232"/>
      <c r="X321" s="233"/>
      <c r="Y321" s="212"/>
      <c r="Z321" s="350"/>
      <c r="AA321" s="195" t="s">
        <v>2166</v>
      </c>
      <c r="AB321" s="132">
        <f>VLOOKUP(AA321,PLAN!B:V,20,0)</f>
        <v>46235</v>
      </c>
      <c r="AC321" s="132"/>
    </row>
    <row r="322" spans="3:29" s="79" customFormat="1" ht="21.6" customHeight="1">
      <c r="C322" s="249" t="str">
        <f t="shared" si="21"/>
        <v>Aug08-58</v>
      </c>
      <c r="D322" s="77">
        <f>IFERROR(VLOOKUP($AA322,PLAN!$B:$AA,3,0),"")</f>
        <v>11119499</v>
      </c>
      <c r="E322" s="77" t="str">
        <f>IFERROR(VLOOKUP($AA322,PLAN!$B:$AA,4,0),"")</f>
        <v>1911165-D-A</v>
      </c>
      <c r="F322" s="77" t="str">
        <f>IFERROR(VLOOKUP($AA322,PLAN!$B:$AA,5,0),"")</f>
        <v>HJ70JL500P10000 JP</v>
      </c>
      <c r="G322" s="77" t="str">
        <f>IFERROR(VLOOKUP($AA322,PLAN!$B:$AA,2,0),"")</f>
        <v>1001928782</v>
      </c>
      <c r="H322" s="113">
        <f>IFERROR(VLOOKUP($AA322,PLAN!$B:$AA,7,0),"")</f>
        <v>46242</v>
      </c>
      <c r="I322" s="77" t="str">
        <f>IFERROR(VLOOKUP($AA322,PLAN!$B:$AA,8,0),"")</f>
        <v>0103577727</v>
      </c>
      <c r="J322" s="77" t="str">
        <f>IFERROR(VLOOKUP($AA322,PLAN!$B:$AA,9,0),"")</f>
        <v>260727C31A</v>
      </c>
      <c r="K322" s="77">
        <f>IFERROR(VLOOKUP($AA322,PLAN!$B:$AA,10,0),"")</f>
        <v>8</v>
      </c>
      <c r="L322" s="77" t="str">
        <f>IFERROR(VLOOKUP($AA322,PLAN!$B:$AA,15,0),"")</f>
        <v>JAPAN</v>
      </c>
      <c r="M322" s="77">
        <f>IFERROR(VLOOKUP($AA322,PLAN!$B:$AA,18,0),"")</f>
        <v>0</v>
      </c>
      <c r="N322" s="227">
        <f>IFERROR(VLOOKUP($AA322,PLAN!$B:$AA,19,0),"")</f>
        <v>0</v>
      </c>
      <c r="O322" s="77" t="str">
        <f>IFERROR(VLOOKUP($AA322,PLAN!$B:$AA,12,0),"")</f>
        <v>2112167-0-C</v>
      </c>
      <c r="P322" s="77">
        <f>IFERROR(VLOOKUP($AA322,PLAN!$B:$AA,11,0),"")</f>
        <v>12116134</v>
      </c>
      <c r="Q322" s="148" t="s">
        <v>1194</v>
      </c>
      <c r="R322" s="222" t="s">
        <v>1195</v>
      </c>
      <c r="S322" s="149">
        <f t="shared" si="22"/>
        <v>8</v>
      </c>
      <c r="T322" s="131"/>
      <c r="U322" s="78">
        <f>IFERROR(VLOOKUP($AA322,PLAN!$B:$AA,21,0),"")</f>
        <v>46235</v>
      </c>
      <c r="V322" s="78" t="str">
        <f>IFERROR(VLOOKUP($AA322,PLAN!$B:$AA,22,0),"")</f>
        <v>M9</v>
      </c>
      <c r="W322" s="232"/>
      <c r="X322" s="233"/>
      <c r="Y322" s="212"/>
      <c r="Z322" s="350"/>
      <c r="AA322" s="195" t="s">
        <v>2167</v>
      </c>
      <c r="AB322" s="132">
        <f>VLOOKUP(AA322,PLAN!B:V,20,0)</f>
        <v>46235</v>
      </c>
      <c r="AC322" s="132"/>
    </row>
    <row r="323" spans="3:29" s="79" customFormat="1" ht="21.6" customHeight="1">
      <c r="C323" s="249" t="str">
        <f t="shared" si="21"/>
        <v>Aug08-59</v>
      </c>
      <c r="D323" s="77">
        <f>IFERROR(VLOOKUP($AA323,PLAN!$B:$AA,3,0),"")</f>
        <v>11119339</v>
      </c>
      <c r="E323" s="77" t="str">
        <f>IFERROR(VLOOKUP($AA323,PLAN!$B:$AA,4,0),"")</f>
        <v>1911007-D-A</v>
      </c>
      <c r="F323" s="77" t="str">
        <f>IFERROR(VLOOKUP($AA323,PLAN!$B:$AA,5,0),"")</f>
        <v>HJ60AL102P10020 JP</v>
      </c>
      <c r="G323" s="77" t="str">
        <f>IFERROR(VLOOKUP($AA323,PLAN!$B:$AA,2,0),"")</f>
        <v>1001928783</v>
      </c>
      <c r="H323" s="113">
        <f>IFERROR(VLOOKUP($AA323,PLAN!$B:$AA,7,0),"")</f>
        <v>46242</v>
      </c>
      <c r="I323" s="77" t="str">
        <f>IFERROR(VLOOKUP($AA323,PLAN!$B:$AA,8,0),"")</f>
        <v>0103577728</v>
      </c>
      <c r="J323" s="77" t="str">
        <f>IFERROR(VLOOKUP($AA323,PLAN!$B:$AA,9,0),"")</f>
        <v>260727C32A</v>
      </c>
      <c r="K323" s="77">
        <f>IFERROR(VLOOKUP($AA323,PLAN!$B:$AA,10,0),"")</f>
        <v>16</v>
      </c>
      <c r="L323" s="77" t="str">
        <f>IFERROR(VLOOKUP($AA323,PLAN!$B:$AA,15,0),"")</f>
        <v>JAPAN</v>
      </c>
      <c r="M323" s="77">
        <f>IFERROR(VLOOKUP($AA323,PLAN!$B:$AA,18,0),"")</f>
        <v>0</v>
      </c>
      <c r="N323" s="227">
        <f>IFERROR(VLOOKUP($AA323,PLAN!$B:$AA,19,0),"")</f>
        <v>0</v>
      </c>
      <c r="O323" s="77" t="str">
        <f>IFERROR(VLOOKUP($AA323,PLAN!$B:$AA,12,0),"")</f>
        <v>2112009-0-C</v>
      </c>
      <c r="P323" s="77">
        <f>IFERROR(VLOOKUP($AA323,PLAN!$B:$AA,11,0),"")</f>
        <v>12115974</v>
      </c>
      <c r="Q323" s="349" t="s">
        <v>635</v>
      </c>
      <c r="R323" s="149" t="s">
        <v>636</v>
      </c>
      <c r="S323" s="149">
        <f t="shared" si="22"/>
        <v>16</v>
      </c>
      <c r="T323" s="131"/>
      <c r="U323" s="78">
        <f>IFERROR(VLOOKUP($AA323,PLAN!$B:$AA,21,0),"")</f>
        <v>46235</v>
      </c>
      <c r="V323" s="78" t="str">
        <f>IFERROR(VLOOKUP($AA323,PLAN!$B:$AA,22,0),"")</f>
        <v>M9</v>
      </c>
      <c r="W323" s="232"/>
      <c r="X323" s="233"/>
      <c r="Y323" s="212"/>
      <c r="Z323" s="350"/>
      <c r="AA323" s="195" t="s">
        <v>2168</v>
      </c>
      <c r="AB323" s="132">
        <f>VLOOKUP(AA323,PLAN!B:V,20,0)</f>
        <v>46235</v>
      </c>
      <c r="AC323" s="132"/>
    </row>
    <row r="324" spans="3:29" s="79" customFormat="1" ht="21.6" customHeight="1">
      <c r="C324" s="249" t="str">
        <f t="shared" si="21"/>
        <v>Aug08-60</v>
      </c>
      <c r="D324" s="77">
        <f>IFERROR(VLOOKUP($AA324,PLAN!$B:$AA,3,0),"")</f>
        <v>11119363</v>
      </c>
      <c r="E324" s="77" t="str">
        <f>IFERROR(VLOOKUP($AA324,PLAN!$B:$AA,4,0),"")</f>
        <v>1911031-D-A</v>
      </c>
      <c r="F324" s="77" t="str">
        <f>IFERROR(VLOOKUP($AA324,PLAN!$B:$AA,5,0),"")</f>
        <v>HJ60IL350P10000 JP</v>
      </c>
      <c r="G324" s="77" t="str">
        <f>IFERROR(VLOOKUP($AA324,PLAN!$B:$AA,2,0),"")</f>
        <v>1001928784</v>
      </c>
      <c r="H324" s="113">
        <f>IFERROR(VLOOKUP($AA324,PLAN!$B:$AA,7,0),"")</f>
        <v>46242</v>
      </c>
      <c r="I324" s="77" t="str">
        <f>IFERROR(VLOOKUP($AA324,PLAN!$B:$AA,8,0),"")</f>
        <v>0103577729</v>
      </c>
      <c r="J324" s="77" t="str">
        <f>IFERROR(VLOOKUP($AA324,PLAN!$B:$AA,9,0),"")</f>
        <v>260727C33A</v>
      </c>
      <c r="K324" s="77">
        <f>IFERROR(VLOOKUP($AA324,PLAN!$B:$AA,10,0),"")</f>
        <v>17</v>
      </c>
      <c r="L324" s="77" t="str">
        <f>IFERROR(VLOOKUP($AA324,PLAN!$B:$AA,15,0),"")</f>
        <v>JAPAN</v>
      </c>
      <c r="M324" s="77">
        <f>IFERROR(VLOOKUP($AA324,PLAN!$B:$AA,18,0),"")</f>
        <v>0</v>
      </c>
      <c r="N324" s="227">
        <f>IFERROR(VLOOKUP($AA324,PLAN!$B:$AA,19,0),"")</f>
        <v>0</v>
      </c>
      <c r="O324" s="77" t="str">
        <f>IFERROR(VLOOKUP($AA324,PLAN!$B:$AA,12,0),"")</f>
        <v>2112033-0-C</v>
      </c>
      <c r="P324" s="77">
        <f>IFERROR(VLOOKUP($AA324,PLAN!$B:$AA,11,0),"")</f>
        <v>12115998</v>
      </c>
      <c r="Q324" s="349" t="s">
        <v>887</v>
      </c>
      <c r="R324" s="149" t="s">
        <v>888</v>
      </c>
      <c r="S324" s="149">
        <f t="shared" si="22"/>
        <v>17</v>
      </c>
      <c r="T324" s="131"/>
      <c r="U324" s="78">
        <f>IFERROR(VLOOKUP($AA324,PLAN!$B:$AA,21,0),"")</f>
        <v>46235</v>
      </c>
      <c r="V324" s="78" t="str">
        <f>IFERROR(VLOOKUP($AA324,PLAN!$B:$AA,22,0),"")</f>
        <v>M9</v>
      </c>
      <c r="W324" s="232"/>
      <c r="X324" s="233"/>
      <c r="Y324" s="212"/>
      <c r="Z324" s="350"/>
      <c r="AA324" s="195" t="s">
        <v>2169</v>
      </c>
      <c r="AB324" s="132">
        <f>VLOOKUP(AA324,PLAN!B:V,20,0)</f>
        <v>46235</v>
      </c>
      <c r="AC324" s="132"/>
    </row>
    <row r="325" spans="3:29" s="79" customFormat="1" ht="21.6" customHeight="1">
      <c r="C325" s="249" t="str">
        <f t="shared" ref="C325:C391" si="23">AA325</f>
        <v>Aug13-05</v>
      </c>
      <c r="D325" s="77">
        <f>IFERROR(VLOOKUP($AA325,PLAN!$B:$AA,3,0),"")</f>
        <v>11119346</v>
      </c>
      <c r="E325" s="77" t="str">
        <f>IFERROR(VLOOKUP($AA325,PLAN!$B:$AA,4,0),"")</f>
        <v>1911014-D-A</v>
      </c>
      <c r="F325" s="77" t="str">
        <f>IFERROR(VLOOKUP($AA325,PLAN!$B:$AA,5,0),"")</f>
        <v>HJ60AL152P10021 JP</v>
      </c>
      <c r="G325" s="77" t="str">
        <f>IFERROR(VLOOKUP($AA325,PLAN!$B:$AA,2,0),"")</f>
        <v>1001929526</v>
      </c>
      <c r="H325" s="113">
        <f>IFERROR(VLOOKUP($AA325,PLAN!$B:$AA,7,0),"")</f>
        <v>46247</v>
      </c>
      <c r="I325" s="77" t="str">
        <f>IFERROR(VLOOKUP($AA325,PLAN!$B:$AA,8,0),"")</f>
        <v>0103578955</v>
      </c>
      <c r="J325" s="77" t="str">
        <f>IFERROR(VLOOKUP($AA325,PLAN!$B:$AA,9,0),"")</f>
        <v>260727C34A</v>
      </c>
      <c r="K325" s="77">
        <f>IFERROR(VLOOKUP($AA325,PLAN!$B:$AA,10,0),"")</f>
        <v>1</v>
      </c>
      <c r="L325" s="77" t="str">
        <f>IFERROR(VLOOKUP($AA325,PLAN!$B:$AA,15,0),"")</f>
        <v>JAPAN</v>
      </c>
      <c r="M325" s="77">
        <f>IFERROR(VLOOKUP($AA325,PLAN!$B:$AA,18,0),"")</f>
        <v>0</v>
      </c>
      <c r="N325" s="227">
        <f>IFERROR(VLOOKUP($AA325,PLAN!$B:$AA,19,0),"")</f>
        <v>0</v>
      </c>
      <c r="O325" s="77" t="str">
        <f>IFERROR(VLOOKUP($AA325,PLAN!$B:$AA,12,0),"")</f>
        <v>2112016-0-C</v>
      </c>
      <c r="P325" s="77">
        <f>IFERROR(VLOOKUP($AA325,PLAN!$B:$AA,11,0),"")</f>
        <v>12115981</v>
      </c>
      <c r="Q325" s="349" t="s">
        <v>2524</v>
      </c>
      <c r="R325" s="158" t="s">
        <v>2525</v>
      </c>
      <c r="S325" s="149">
        <f t="shared" ref="S325:S390" si="24">K325</f>
        <v>1</v>
      </c>
      <c r="T325" s="131"/>
      <c r="U325" s="78">
        <f>IFERROR(VLOOKUP($AA325,PLAN!$B:$AA,21,0),"")</f>
        <v>46237</v>
      </c>
      <c r="V325" s="78" t="str">
        <f>IFERROR(VLOOKUP($AA325,PLAN!$B:$AA,22,0),"")</f>
        <v>M9</v>
      </c>
      <c r="W325" s="232"/>
      <c r="X325" s="233"/>
      <c r="Y325" s="212"/>
      <c r="Z325" s="350"/>
      <c r="AA325" s="195" t="s">
        <v>2466</v>
      </c>
      <c r="AB325" s="132">
        <f>VLOOKUP(AA325,PLAN!B:V,20,0)</f>
        <v>46237</v>
      </c>
      <c r="AC325" s="132"/>
    </row>
    <row r="326" spans="3:29" s="79" customFormat="1" ht="21.6" customHeight="1">
      <c r="C326" s="249" t="str">
        <f t="shared" si="23"/>
        <v>Aug13-06</v>
      </c>
      <c r="D326" s="77">
        <f>IFERROR(VLOOKUP($AA326,PLAN!$B:$AA,3,0),"")</f>
        <v>11119350</v>
      </c>
      <c r="E326" s="77" t="str">
        <f>IFERROR(VLOOKUP($AA326,PLAN!$B:$AA,4,0),"")</f>
        <v>1911018-D-A</v>
      </c>
      <c r="F326" s="77" t="str">
        <f>IFERROR(VLOOKUP($AA326,PLAN!$B:$AA,5,0),"")</f>
        <v>HJ60CP150P10020 JP</v>
      </c>
      <c r="G326" s="77" t="str">
        <f>IFERROR(VLOOKUP($AA326,PLAN!$B:$AA,2,0),"")</f>
        <v>1001929527</v>
      </c>
      <c r="H326" s="113">
        <f>IFERROR(VLOOKUP($AA326,PLAN!$B:$AA,7,0),"")</f>
        <v>46247</v>
      </c>
      <c r="I326" s="77" t="str">
        <f>IFERROR(VLOOKUP($AA326,PLAN!$B:$AA,8,0),"")</f>
        <v>0103578956</v>
      </c>
      <c r="J326" s="77" t="str">
        <f>IFERROR(VLOOKUP($AA326,PLAN!$B:$AA,9,0),"")</f>
        <v>260727C35A</v>
      </c>
      <c r="K326" s="77">
        <f>IFERROR(VLOOKUP($AA326,PLAN!$B:$AA,10,0),"")</f>
        <v>1</v>
      </c>
      <c r="L326" s="77" t="str">
        <f>IFERROR(VLOOKUP($AA326,PLAN!$B:$AA,15,0),"")</f>
        <v>JAPAN</v>
      </c>
      <c r="M326" s="77">
        <f>IFERROR(VLOOKUP($AA326,PLAN!$B:$AA,18,0),"")</f>
        <v>0</v>
      </c>
      <c r="N326" s="227">
        <f>IFERROR(VLOOKUP($AA326,PLAN!$B:$AA,19,0),"")</f>
        <v>0</v>
      </c>
      <c r="O326" s="77" t="str">
        <f>IFERROR(VLOOKUP($AA326,PLAN!$B:$AA,12,0),"")</f>
        <v>2112020-0-C</v>
      </c>
      <c r="P326" s="77">
        <f>IFERROR(VLOOKUP($AA326,PLAN!$B:$AA,11,0),"")</f>
        <v>12115985</v>
      </c>
      <c r="Q326" s="349" t="s">
        <v>2526</v>
      </c>
      <c r="R326" s="158" t="s">
        <v>2527</v>
      </c>
      <c r="S326" s="149">
        <f t="shared" si="24"/>
        <v>1</v>
      </c>
      <c r="T326" s="131"/>
      <c r="U326" s="78">
        <f>IFERROR(VLOOKUP($AA326,PLAN!$B:$AA,21,0),"")</f>
        <v>46237</v>
      </c>
      <c r="V326" s="78" t="str">
        <f>IFERROR(VLOOKUP($AA326,PLAN!$B:$AA,22,0),"")</f>
        <v>M9</v>
      </c>
      <c r="W326" s="232"/>
      <c r="X326" s="233"/>
      <c r="Y326" s="212"/>
      <c r="Z326" s="350"/>
      <c r="AA326" s="195" t="s">
        <v>2467</v>
      </c>
      <c r="AB326" s="132">
        <f>VLOOKUP(AA326,PLAN!B:V,20,0)</f>
        <v>46237</v>
      </c>
      <c r="AC326" s="132"/>
    </row>
    <row r="327" spans="3:29" s="79" customFormat="1" ht="21.6" customHeight="1">
      <c r="C327" s="249" t="str">
        <f t="shared" si="23"/>
        <v>Aug13-07</v>
      </c>
      <c r="D327" s="77">
        <f>IFERROR(VLOOKUP($AA327,PLAN!$B:$AA,3,0),"")</f>
        <v>11119369</v>
      </c>
      <c r="E327" s="77" t="str">
        <f>IFERROR(VLOOKUP($AA327,PLAN!$B:$AA,4,0),"")</f>
        <v>1911037-D-A</v>
      </c>
      <c r="F327" s="77" t="str">
        <f>IFERROR(VLOOKUP($AA327,PLAN!$B:$AA,5,0),"")</f>
        <v>HJ60IM002P10030 JP</v>
      </c>
      <c r="G327" s="77" t="str">
        <f>IFERROR(VLOOKUP($AA327,PLAN!$B:$AA,2,0),"")</f>
        <v>1001929528</v>
      </c>
      <c r="H327" s="113">
        <f>IFERROR(VLOOKUP($AA327,PLAN!$B:$AA,7,0),"")</f>
        <v>46247</v>
      </c>
      <c r="I327" s="77" t="str">
        <f>IFERROR(VLOOKUP($AA327,PLAN!$B:$AA,8,0),"")</f>
        <v>0103578957</v>
      </c>
      <c r="J327" s="77" t="str">
        <f>IFERROR(VLOOKUP($AA327,PLAN!$B:$AA,9,0),"")</f>
        <v>260727C36A</v>
      </c>
      <c r="K327" s="77">
        <f>IFERROR(VLOOKUP($AA327,PLAN!$B:$AA,10,0),"")</f>
        <v>1</v>
      </c>
      <c r="L327" s="77" t="str">
        <f>IFERROR(VLOOKUP($AA327,PLAN!$B:$AA,15,0),"")</f>
        <v>JAPAN</v>
      </c>
      <c r="M327" s="77">
        <f>IFERROR(VLOOKUP($AA327,PLAN!$B:$AA,18,0),"")</f>
        <v>0</v>
      </c>
      <c r="N327" s="227">
        <f>IFERROR(VLOOKUP($AA327,PLAN!$B:$AA,19,0),"")</f>
        <v>0</v>
      </c>
      <c r="O327" s="77" t="str">
        <f>IFERROR(VLOOKUP($AA327,PLAN!$B:$AA,12,0),"")</f>
        <v>2112039-0-C</v>
      </c>
      <c r="P327" s="77">
        <f>IFERROR(VLOOKUP($AA327,PLAN!$B:$AA,11,0),"")</f>
        <v>12116004</v>
      </c>
      <c r="Q327" s="349" t="s">
        <v>2528</v>
      </c>
      <c r="R327" s="158" t="s">
        <v>2529</v>
      </c>
      <c r="S327" s="149">
        <f t="shared" si="24"/>
        <v>1</v>
      </c>
      <c r="T327" s="131"/>
      <c r="U327" s="78">
        <f>IFERROR(VLOOKUP($AA327,PLAN!$B:$AA,21,0),"")</f>
        <v>46237</v>
      </c>
      <c r="V327" s="78" t="str">
        <f>IFERROR(VLOOKUP($AA327,PLAN!$B:$AA,22,0),"")</f>
        <v>M9</v>
      </c>
      <c r="W327" s="232"/>
      <c r="X327" s="233"/>
      <c r="Y327" s="212"/>
      <c r="Z327" s="350"/>
      <c r="AA327" s="195" t="s">
        <v>2468</v>
      </c>
      <c r="AB327" s="132">
        <f>VLOOKUP(AA327,PLAN!B:V,20,0)</f>
        <v>46237</v>
      </c>
      <c r="AC327" s="132"/>
    </row>
    <row r="328" spans="3:29" s="79" customFormat="1" ht="21.6" customHeight="1">
      <c r="C328" s="249" t="str">
        <f t="shared" si="23"/>
        <v>Aug13-08</v>
      </c>
      <c r="D328" s="77">
        <f>IFERROR(VLOOKUP($AA328,PLAN!$B:$AA,3,0),"")</f>
        <v>11119405</v>
      </c>
      <c r="E328" s="77" t="str">
        <f>IFERROR(VLOOKUP($AA328,PLAN!$B:$AA,4,0),"")</f>
        <v>1911073-D-A</v>
      </c>
      <c r="F328" s="77" t="str">
        <f>IFERROR(VLOOKUP($AA328,PLAN!$B:$AA,5,0),"")</f>
        <v>HJ60RB070P10020 JP</v>
      </c>
      <c r="G328" s="77" t="str">
        <f>IFERROR(VLOOKUP($AA328,PLAN!$B:$AA,2,0),"")</f>
        <v>1001929531</v>
      </c>
      <c r="H328" s="113">
        <f>IFERROR(VLOOKUP($AA328,PLAN!$B:$AA,7,0),"")</f>
        <v>46247</v>
      </c>
      <c r="I328" s="77" t="str">
        <f>IFERROR(VLOOKUP($AA328,PLAN!$B:$AA,8,0),"")</f>
        <v>0103578958</v>
      </c>
      <c r="J328" s="77" t="str">
        <f>IFERROR(VLOOKUP($AA328,PLAN!$B:$AA,9,0),"")</f>
        <v>260727C37A</v>
      </c>
      <c r="K328" s="77">
        <f>IFERROR(VLOOKUP($AA328,PLAN!$B:$AA,10,0),"")</f>
        <v>1</v>
      </c>
      <c r="L328" s="77" t="str">
        <f>IFERROR(VLOOKUP($AA328,PLAN!$B:$AA,15,0),"")</f>
        <v>JAPAN</v>
      </c>
      <c r="M328" s="77">
        <f>IFERROR(VLOOKUP($AA328,PLAN!$B:$AA,18,0),"")</f>
        <v>0</v>
      </c>
      <c r="N328" s="227">
        <f>IFERROR(VLOOKUP($AA328,PLAN!$B:$AA,19,0),"")</f>
        <v>0</v>
      </c>
      <c r="O328" s="77" t="str">
        <f>IFERROR(VLOOKUP($AA328,PLAN!$B:$AA,12,0),"")</f>
        <v>2112075-0-C</v>
      </c>
      <c r="P328" s="77">
        <f>IFERROR(VLOOKUP($AA328,PLAN!$B:$AA,11,0),"")</f>
        <v>12116040</v>
      </c>
      <c r="Q328" s="349" t="s">
        <v>2530</v>
      </c>
      <c r="R328" s="158" t="s">
        <v>2531</v>
      </c>
      <c r="S328" s="149">
        <f t="shared" si="24"/>
        <v>1</v>
      </c>
      <c r="T328" s="131"/>
      <c r="U328" s="78">
        <f>IFERROR(VLOOKUP($AA328,PLAN!$B:$AA,21,0),"")</f>
        <v>46237</v>
      </c>
      <c r="V328" s="78" t="str">
        <f>IFERROR(VLOOKUP($AA328,PLAN!$B:$AA,22,0),"")</f>
        <v>M9</v>
      </c>
      <c r="W328" s="232"/>
      <c r="X328" s="233"/>
      <c r="Y328" s="212"/>
      <c r="Z328" s="350"/>
      <c r="AA328" s="195" t="s">
        <v>2469</v>
      </c>
      <c r="AB328" s="132">
        <f>VLOOKUP(AA328,PLAN!B:V,20,0)</f>
        <v>46237</v>
      </c>
      <c r="AC328" s="132"/>
    </row>
    <row r="329" spans="3:29" s="79" customFormat="1" ht="21.6" customHeight="1">
      <c r="C329" s="249" t="str">
        <f t="shared" si="23"/>
        <v>Aug13-09</v>
      </c>
      <c r="D329" s="77">
        <f>IFERROR(VLOOKUP($AA329,PLAN!$B:$AA,3,0),"")</f>
        <v>11119422</v>
      </c>
      <c r="E329" s="77" t="str">
        <f>IFERROR(VLOOKUP($AA329,PLAN!$B:$AA,4,0),"")</f>
        <v>1911090-D-A</v>
      </c>
      <c r="F329" s="77" t="str">
        <f>IFERROR(VLOOKUP($AA329,PLAN!$B:$AA,5,0),"")</f>
        <v>HJ60SC352P10020 JP</v>
      </c>
      <c r="G329" s="77" t="str">
        <f>IFERROR(VLOOKUP($AA329,PLAN!$B:$AA,2,0),"")</f>
        <v>1001929533</v>
      </c>
      <c r="H329" s="113">
        <f>IFERROR(VLOOKUP($AA329,PLAN!$B:$AA,7,0),"")</f>
        <v>46247</v>
      </c>
      <c r="I329" s="77" t="str">
        <f>IFERROR(VLOOKUP($AA329,PLAN!$B:$AA,8,0),"")</f>
        <v>0103578960</v>
      </c>
      <c r="J329" s="77" t="str">
        <f>IFERROR(VLOOKUP($AA329,PLAN!$B:$AA,9,0),"")</f>
        <v>260727C38A</v>
      </c>
      <c r="K329" s="77">
        <f>IFERROR(VLOOKUP($AA329,PLAN!$B:$AA,10,0),"")</f>
        <v>1</v>
      </c>
      <c r="L329" s="77" t="str">
        <f>IFERROR(VLOOKUP($AA329,PLAN!$B:$AA,15,0),"")</f>
        <v>JAPAN</v>
      </c>
      <c r="M329" s="77">
        <f>IFERROR(VLOOKUP($AA329,PLAN!$B:$AA,18,0),"")</f>
        <v>0</v>
      </c>
      <c r="N329" s="227">
        <f>IFERROR(VLOOKUP($AA329,PLAN!$B:$AA,19,0),"")</f>
        <v>0</v>
      </c>
      <c r="O329" s="77" t="str">
        <f>IFERROR(VLOOKUP($AA329,PLAN!$B:$AA,12,0),"")</f>
        <v>2112092-0-C</v>
      </c>
      <c r="P329" s="77">
        <f>IFERROR(VLOOKUP($AA329,PLAN!$B:$AA,11,0),"")</f>
        <v>12116057</v>
      </c>
      <c r="Q329" s="349" t="s">
        <v>2532</v>
      </c>
      <c r="R329" s="158" t="s">
        <v>2533</v>
      </c>
      <c r="S329" s="149">
        <f t="shared" si="24"/>
        <v>1</v>
      </c>
      <c r="T329" s="131"/>
      <c r="U329" s="78">
        <f>IFERROR(VLOOKUP($AA329,PLAN!$B:$AA,21,0),"")</f>
        <v>46237</v>
      </c>
      <c r="V329" s="78" t="str">
        <f>IFERROR(VLOOKUP($AA329,PLAN!$B:$AA,22,0),"")</f>
        <v>M9</v>
      </c>
      <c r="W329" s="232"/>
      <c r="X329" s="233"/>
      <c r="Y329" s="212"/>
      <c r="Z329" s="350"/>
      <c r="AA329" s="195" t="s">
        <v>2470</v>
      </c>
      <c r="AB329" s="132">
        <f>VLOOKUP(AA329,PLAN!B:V,20,0)</f>
        <v>46237</v>
      </c>
      <c r="AC329" s="132"/>
    </row>
    <row r="330" spans="3:29" s="79" customFormat="1" ht="21.6" customHeight="1">
      <c r="C330" s="249" t="str">
        <f t="shared" si="23"/>
        <v>Aug13-10</v>
      </c>
      <c r="D330" s="77">
        <f>IFERROR(VLOOKUP($AA330,PLAN!$B:$AA,3,0),"")</f>
        <v>11119452</v>
      </c>
      <c r="E330" s="77" t="str">
        <f>IFERROR(VLOOKUP($AA330,PLAN!$B:$AA,4,0),"")</f>
        <v>1911118-D-A</v>
      </c>
      <c r="F330" s="77" t="str">
        <f>IFERROR(VLOOKUP($AA330,PLAN!$B:$AA,5,0),"")</f>
        <v>HJ70AL150P10021 JP</v>
      </c>
      <c r="G330" s="77" t="str">
        <f>IFERROR(VLOOKUP($AA330,PLAN!$B:$AA,2,0),"")</f>
        <v>1001929535</v>
      </c>
      <c r="H330" s="113">
        <f>IFERROR(VLOOKUP($AA330,PLAN!$B:$AA,7,0),"")</f>
        <v>46247</v>
      </c>
      <c r="I330" s="77" t="str">
        <f>IFERROR(VLOOKUP($AA330,PLAN!$B:$AA,8,0),"")</f>
        <v>0103578963</v>
      </c>
      <c r="J330" s="77" t="str">
        <f>IFERROR(VLOOKUP($AA330,PLAN!$B:$AA,9,0),"")</f>
        <v>260727C39A</v>
      </c>
      <c r="K330" s="77">
        <f>IFERROR(VLOOKUP($AA330,PLAN!$B:$AA,10,0),"")</f>
        <v>1</v>
      </c>
      <c r="L330" s="77" t="str">
        <f>IFERROR(VLOOKUP($AA330,PLAN!$B:$AA,15,0),"")</f>
        <v>JAPAN</v>
      </c>
      <c r="M330" s="77">
        <f>IFERROR(VLOOKUP($AA330,PLAN!$B:$AA,18,0),"")</f>
        <v>0</v>
      </c>
      <c r="N330" s="227">
        <f>IFERROR(VLOOKUP($AA330,PLAN!$B:$AA,19,0),"")</f>
        <v>0</v>
      </c>
      <c r="O330" s="77" t="str">
        <f>IFERROR(VLOOKUP($AA330,PLAN!$B:$AA,12,0),"")</f>
        <v>2112120-0-C</v>
      </c>
      <c r="P330" s="77">
        <f>IFERROR(VLOOKUP($AA330,PLAN!$B:$AA,11,0),"")</f>
        <v>12116087</v>
      </c>
      <c r="Q330" s="349" t="s">
        <v>2534</v>
      </c>
      <c r="R330" s="158" t="s">
        <v>2535</v>
      </c>
      <c r="S330" s="149">
        <f t="shared" si="24"/>
        <v>1</v>
      </c>
      <c r="T330" s="131"/>
      <c r="U330" s="78">
        <f>IFERROR(VLOOKUP($AA330,PLAN!$B:$AA,21,0),"")</f>
        <v>46237</v>
      </c>
      <c r="V330" s="78" t="str">
        <f>IFERROR(VLOOKUP($AA330,PLAN!$B:$AA,22,0),"")</f>
        <v>M9</v>
      </c>
      <c r="W330" s="232"/>
      <c r="X330" s="233"/>
      <c r="Y330" s="212"/>
      <c r="Z330" s="350"/>
      <c r="AA330" s="195" t="s">
        <v>2471</v>
      </c>
      <c r="AB330" s="132">
        <f>VLOOKUP(AA330,PLAN!B:V,20,0)</f>
        <v>46237</v>
      </c>
      <c r="AC330" s="132"/>
    </row>
    <row r="331" spans="3:29" s="79" customFormat="1" ht="21.6" customHeight="1">
      <c r="C331" s="249" t="str">
        <f t="shared" si="23"/>
        <v>Aug13-11</v>
      </c>
      <c r="D331" s="77">
        <f>IFERROR(VLOOKUP($AA331,PLAN!$B:$AA,3,0),"")</f>
        <v>11119461</v>
      </c>
      <c r="E331" s="77" t="str">
        <f>IFERROR(VLOOKUP($AA331,PLAN!$B:$AA,4,0),"")</f>
        <v>1911127-D-A</v>
      </c>
      <c r="F331" s="77" t="str">
        <f>IFERROR(VLOOKUP($AA331,PLAN!$B:$AA,5,0),"")</f>
        <v>HJ70CP250P10020 JP</v>
      </c>
      <c r="G331" s="77" t="str">
        <f>IFERROR(VLOOKUP($AA331,PLAN!$B:$AA,2,0),"")</f>
        <v>1001929537</v>
      </c>
      <c r="H331" s="113">
        <f>IFERROR(VLOOKUP($AA331,PLAN!$B:$AA,7,0),"")</f>
        <v>46247</v>
      </c>
      <c r="I331" s="77" t="str">
        <f>IFERROR(VLOOKUP($AA331,PLAN!$B:$AA,8,0),"")</f>
        <v>0103578965</v>
      </c>
      <c r="J331" s="77" t="str">
        <f>IFERROR(VLOOKUP($AA331,PLAN!$B:$AA,9,0),"")</f>
        <v>260727C40A</v>
      </c>
      <c r="K331" s="77">
        <f>IFERROR(VLOOKUP($AA331,PLAN!$B:$AA,10,0),"")</f>
        <v>1</v>
      </c>
      <c r="L331" s="77" t="str">
        <f>IFERROR(VLOOKUP($AA331,PLAN!$B:$AA,15,0),"")</f>
        <v>JAPAN</v>
      </c>
      <c r="M331" s="77">
        <f>IFERROR(VLOOKUP($AA331,PLAN!$B:$AA,18,0),"")</f>
        <v>0</v>
      </c>
      <c r="N331" s="227">
        <f>IFERROR(VLOOKUP($AA331,PLAN!$B:$AA,19,0),"")</f>
        <v>0</v>
      </c>
      <c r="O331" s="77" t="str">
        <f>IFERROR(VLOOKUP($AA331,PLAN!$B:$AA,12,0),"")</f>
        <v>2112129-0-C</v>
      </c>
      <c r="P331" s="77">
        <f>IFERROR(VLOOKUP($AA331,PLAN!$B:$AA,11,0),"")</f>
        <v>12116096</v>
      </c>
      <c r="Q331" s="349" t="s">
        <v>2536</v>
      </c>
      <c r="R331" s="158" t="s">
        <v>2537</v>
      </c>
      <c r="S331" s="149">
        <f t="shared" si="24"/>
        <v>1</v>
      </c>
      <c r="T331" s="131"/>
      <c r="U331" s="78">
        <f>IFERROR(VLOOKUP($AA331,PLAN!$B:$AA,21,0),"")</f>
        <v>46237</v>
      </c>
      <c r="V331" s="78" t="str">
        <f>IFERROR(VLOOKUP($AA331,PLAN!$B:$AA,22,0),"")</f>
        <v>M9</v>
      </c>
      <c r="W331" s="232"/>
      <c r="X331" s="233"/>
      <c r="Y331" s="212"/>
      <c r="Z331" s="350"/>
      <c r="AA331" s="195" t="s">
        <v>2472</v>
      </c>
      <c r="AB331" s="132">
        <f>VLOOKUP(AA331,PLAN!B:V,20,0)</f>
        <v>46237</v>
      </c>
      <c r="AC331" s="132"/>
    </row>
    <row r="332" spans="3:29" s="79" customFormat="1" ht="21.6" customHeight="1">
      <c r="C332" s="249" t="str">
        <f t="shared" si="23"/>
        <v>Aug13-12</v>
      </c>
      <c r="D332" s="77">
        <f>IFERROR(VLOOKUP($AA332,PLAN!$B:$AA,3,0),"")</f>
        <v>11119495</v>
      </c>
      <c r="E332" s="77" t="str">
        <f>IFERROR(VLOOKUP($AA332,PLAN!$B:$AA,4,0),"")</f>
        <v>1911161-D-A</v>
      </c>
      <c r="F332" s="77" t="str">
        <f>IFERROR(VLOOKUP($AA332,PLAN!$B:$AA,5,0),"")</f>
        <v>HJ70JL450P10000 JP</v>
      </c>
      <c r="G332" s="77" t="str">
        <f>IFERROR(VLOOKUP($AA332,PLAN!$B:$AA,2,0),"")</f>
        <v>1001929539</v>
      </c>
      <c r="H332" s="113">
        <f>IFERROR(VLOOKUP($AA332,PLAN!$B:$AA,7,0),"")</f>
        <v>46247</v>
      </c>
      <c r="I332" s="77" t="str">
        <f>IFERROR(VLOOKUP($AA332,PLAN!$B:$AA,8,0),"")</f>
        <v>0103578967</v>
      </c>
      <c r="J332" s="77" t="str">
        <f>IFERROR(VLOOKUP($AA332,PLAN!$B:$AA,9,0),"")</f>
        <v>260727C41A</v>
      </c>
      <c r="K332" s="77">
        <f>IFERROR(VLOOKUP($AA332,PLAN!$B:$AA,10,0),"")</f>
        <v>1</v>
      </c>
      <c r="L332" s="77" t="str">
        <f>IFERROR(VLOOKUP($AA332,PLAN!$B:$AA,15,0),"")</f>
        <v>JAPAN</v>
      </c>
      <c r="M332" s="77">
        <f>IFERROR(VLOOKUP($AA332,PLAN!$B:$AA,18,0),"")</f>
        <v>0</v>
      </c>
      <c r="N332" s="227">
        <f>IFERROR(VLOOKUP($AA332,PLAN!$B:$AA,19,0),"")</f>
        <v>0</v>
      </c>
      <c r="O332" s="77" t="str">
        <f>IFERROR(VLOOKUP($AA332,PLAN!$B:$AA,12,0),"")</f>
        <v>2112163-0-C</v>
      </c>
      <c r="P332" s="77">
        <f>IFERROR(VLOOKUP($AA332,PLAN!$B:$AA,11,0),"")</f>
        <v>12116130</v>
      </c>
      <c r="Q332" s="349" t="s">
        <v>2538</v>
      </c>
      <c r="R332" s="158" t="s">
        <v>2539</v>
      </c>
      <c r="S332" s="149">
        <f t="shared" si="24"/>
        <v>1</v>
      </c>
      <c r="T332" s="131"/>
      <c r="U332" s="78">
        <f>IFERROR(VLOOKUP($AA332,PLAN!$B:$AA,21,0),"")</f>
        <v>46237</v>
      </c>
      <c r="V332" s="78" t="str">
        <f>IFERROR(VLOOKUP($AA332,PLAN!$B:$AA,22,0),"")</f>
        <v>M9</v>
      </c>
      <c r="W332" s="232"/>
      <c r="X332" s="233"/>
      <c r="Y332" s="212"/>
      <c r="Z332" s="350"/>
      <c r="AA332" s="195" t="s">
        <v>2473</v>
      </c>
      <c r="AB332" s="132">
        <f>VLOOKUP(AA332,PLAN!B:V,20,0)</f>
        <v>46237</v>
      </c>
      <c r="AC332" s="132"/>
    </row>
    <row r="333" spans="3:29" s="79" customFormat="1" ht="21.6" customHeight="1">
      <c r="C333" s="249" t="str">
        <f t="shared" si="23"/>
        <v>Aug13-13</v>
      </c>
      <c r="D333" s="77">
        <f>IFERROR(VLOOKUP($AA333,PLAN!$B:$AA,3,0),"")</f>
        <v>11119497</v>
      </c>
      <c r="E333" s="77" t="str">
        <f>IFERROR(VLOOKUP($AA333,PLAN!$B:$AA,4,0),"")</f>
        <v>1911163-D-A</v>
      </c>
      <c r="F333" s="77" t="str">
        <f>IFERROR(VLOOKUP($AA333,PLAN!$B:$AA,5,0),"")</f>
        <v>HJ70JL450P10001 JP</v>
      </c>
      <c r="G333" s="77" t="str">
        <f>IFERROR(VLOOKUP($AA333,PLAN!$B:$AA,2,0),"")</f>
        <v>1001929541</v>
      </c>
      <c r="H333" s="113">
        <f>IFERROR(VLOOKUP($AA333,PLAN!$B:$AA,7,0),"")</f>
        <v>46247</v>
      </c>
      <c r="I333" s="77" t="str">
        <f>IFERROR(VLOOKUP($AA333,PLAN!$B:$AA,8,0),"")</f>
        <v>0103578969</v>
      </c>
      <c r="J333" s="77" t="str">
        <f>IFERROR(VLOOKUP($AA333,PLAN!$B:$AA,9,0),"")</f>
        <v>260727C42A</v>
      </c>
      <c r="K333" s="77">
        <f>IFERROR(VLOOKUP($AA333,PLAN!$B:$AA,10,0),"")</f>
        <v>1</v>
      </c>
      <c r="L333" s="77" t="str">
        <f>IFERROR(VLOOKUP($AA333,PLAN!$B:$AA,15,0),"")</f>
        <v>JAPAN</v>
      </c>
      <c r="M333" s="77">
        <f>IFERROR(VLOOKUP($AA333,PLAN!$B:$AA,18,0),"")</f>
        <v>0</v>
      </c>
      <c r="N333" s="227">
        <f>IFERROR(VLOOKUP($AA333,PLAN!$B:$AA,19,0),"")</f>
        <v>0</v>
      </c>
      <c r="O333" s="77" t="str">
        <f>IFERROR(VLOOKUP($AA333,PLAN!$B:$AA,12,0),"")</f>
        <v>2112165-0-C</v>
      </c>
      <c r="P333" s="77">
        <f>IFERROR(VLOOKUP($AA333,PLAN!$B:$AA,11,0),"")</f>
        <v>12116132</v>
      </c>
      <c r="Q333" s="349" t="s">
        <v>2540</v>
      </c>
      <c r="R333" s="158" t="s">
        <v>2541</v>
      </c>
      <c r="S333" s="149">
        <f t="shared" si="24"/>
        <v>1</v>
      </c>
      <c r="T333" s="131"/>
      <c r="U333" s="78">
        <f>IFERROR(VLOOKUP($AA333,PLAN!$B:$AA,21,0),"")</f>
        <v>46237</v>
      </c>
      <c r="V333" s="78" t="str">
        <f>IFERROR(VLOOKUP($AA333,PLAN!$B:$AA,22,0),"")</f>
        <v>M9</v>
      </c>
      <c r="W333" s="232"/>
      <c r="X333" s="233"/>
      <c r="Y333" s="212"/>
      <c r="Z333" s="350"/>
      <c r="AA333" s="195" t="s">
        <v>2474</v>
      </c>
      <c r="AB333" s="132">
        <f>VLOOKUP(AA333,PLAN!B:V,20,0)</f>
        <v>46237</v>
      </c>
      <c r="AC333" s="132"/>
    </row>
    <row r="334" spans="3:29" s="79" customFormat="1" ht="21.6" customHeight="1">
      <c r="C334" s="249" t="str">
        <f t="shared" si="23"/>
        <v>Aug13-14</v>
      </c>
      <c r="D334" s="77">
        <f>IFERROR(VLOOKUP($AA334,PLAN!$B:$AA,3,0),"")</f>
        <v>11119500</v>
      </c>
      <c r="E334" s="77" t="str">
        <f>IFERROR(VLOOKUP($AA334,PLAN!$B:$AA,4,0),"")</f>
        <v>1911166-D-A</v>
      </c>
      <c r="F334" s="77" t="str">
        <f>IFERROR(VLOOKUP($AA334,PLAN!$B:$AA,5,0),"")</f>
        <v>HJ70JL502P10020 JP</v>
      </c>
      <c r="G334" s="77" t="str">
        <f>IFERROR(VLOOKUP($AA334,PLAN!$B:$AA,2,0),"")</f>
        <v>1001929543</v>
      </c>
      <c r="H334" s="113">
        <f>IFERROR(VLOOKUP($AA334,PLAN!$B:$AA,7,0),"")</f>
        <v>46247</v>
      </c>
      <c r="I334" s="77" t="str">
        <f>IFERROR(VLOOKUP($AA334,PLAN!$B:$AA,8,0),"")</f>
        <v>0103578971</v>
      </c>
      <c r="J334" s="77" t="str">
        <f>IFERROR(VLOOKUP($AA334,PLAN!$B:$AA,9,0),"")</f>
        <v>260727C43A</v>
      </c>
      <c r="K334" s="77">
        <f>IFERROR(VLOOKUP($AA334,PLAN!$B:$AA,10,0),"")</f>
        <v>1</v>
      </c>
      <c r="L334" s="77" t="str">
        <f>IFERROR(VLOOKUP($AA334,PLAN!$B:$AA,15,0),"")</f>
        <v>JAPAN</v>
      </c>
      <c r="M334" s="77">
        <f>IFERROR(VLOOKUP($AA334,PLAN!$B:$AA,18,0),"")</f>
        <v>0</v>
      </c>
      <c r="N334" s="227">
        <f>IFERROR(VLOOKUP($AA334,PLAN!$B:$AA,19,0),"")</f>
        <v>0</v>
      </c>
      <c r="O334" s="77" t="str">
        <f>IFERROR(VLOOKUP($AA334,PLAN!$B:$AA,12,0),"")</f>
        <v>2112168-0-C</v>
      </c>
      <c r="P334" s="77">
        <f>IFERROR(VLOOKUP($AA334,PLAN!$B:$AA,11,0),"")</f>
        <v>12116135</v>
      </c>
      <c r="Q334" s="349" t="s">
        <v>2542</v>
      </c>
      <c r="R334" s="158" t="s">
        <v>2543</v>
      </c>
      <c r="S334" s="149">
        <f t="shared" si="24"/>
        <v>1</v>
      </c>
      <c r="T334" s="131"/>
      <c r="U334" s="78">
        <f>IFERROR(VLOOKUP($AA334,PLAN!$B:$AA,21,0),"")</f>
        <v>46237</v>
      </c>
      <c r="V334" s="78" t="str">
        <f>IFERROR(VLOOKUP($AA334,PLAN!$B:$AA,22,0),"")</f>
        <v>M9</v>
      </c>
      <c r="W334" s="232"/>
      <c r="X334" s="233"/>
      <c r="Y334" s="212"/>
      <c r="Z334" s="350"/>
      <c r="AA334" s="195" t="s">
        <v>2475</v>
      </c>
      <c r="AB334" s="132">
        <f>VLOOKUP(AA334,PLAN!B:V,20,0)</f>
        <v>46237</v>
      </c>
      <c r="AC334" s="132"/>
    </row>
    <row r="335" spans="3:29" s="79" customFormat="1" ht="21.6" customHeight="1">
      <c r="C335" s="249" t="str">
        <f t="shared" si="23"/>
        <v>Aug13-15</v>
      </c>
      <c r="D335" s="77">
        <f>IFERROR(VLOOKUP($AA335,PLAN!$B:$AA,3,0),"")</f>
        <v>11119662</v>
      </c>
      <c r="E335" s="77" t="str">
        <f>IFERROR(VLOOKUP($AA335,PLAN!$B:$AA,4,0),"")</f>
        <v>1911328-D-A</v>
      </c>
      <c r="F335" s="77" t="str">
        <f>IFERROR(VLOOKUP($AA335,PLAN!$B:$AA,5,0),"")</f>
        <v>HJ80AL100P09002 JP</v>
      </c>
      <c r="G335" s="77" t="str">
        <f>IFERROR(VLOOKUP($AA335,PLAN!$B:$AA,2,0),"")</f>
        <v>1001929545</v>
      </c>
      <c r="H335" s="113">
        <f>IFERROR(VLOOKUP($AA335,PLAN!$B:$AA,7,0),"")</f>
        <v>46247</v>
      </c>
      <c r="I335" s="77" t="str">
        <f>IFERROR(VLOOKUP($AA335,PLAN!$B:$AA,8,0),"")</f>
        <v>0103578973</v>
      </c>
      <c r="J335" s="77" t="str">
        <f>IFERROR(VLOOKUP($AA335,PLAN!$B:$AA,9,0),"")</f>
        <v>260727C44A</v>
      </c>
      <c r="K335" s="77">
        <f>IFERROR(VLOOKUP($AA335,PLAN!$B:$AA,10,0),"")</f>
        <v>1</v>
      </c>
      <c r="L335" s="77" t="str">
        <f>IFERROR(VLOOKUP($AA335,PLAN!$B:$AA,15,0),"")</f>
        <v>JAPAN</v>
      </c>
      <c r="M335" s="77">
        <f>IFERROR(VLOOKUP($AA335,PLAN!$B:$AA,18,0),"")</f>
        <v>0</v>
      </c>
      <c r="N335" s="227">
        <f>IFERROR(VLOOKUP($AA335,PLAN!$B:$AA,19,0),"")</f>
        <v>0</v>
      </c>
      <c r="O335" s="77" t="str">
        <f>IFERROR(VLOOKUP($AA335,PLAN!$B:$AA,12,0),"")</f>
        <v>2112330-0-C</v>
      </c>
      <c r="P335" s="77">
        <f>IFERROR(VLOOKUP($AA335,PLAN!$B:$AA,11,0),"")</f>
        <v>12116297</v>
      </c>
      <c r="Q335" s="349" t="s">
        <v>2544</v>
      </c>
      <c r="R335" s="158" t="s">
        <v>2545</v>
      </c>
      <c r="S335" s="149">
        <f t="shared" si="24"/>
        <v>1</v>
      </c>
      <c r="T335" s="131"/>
      <c r="U335" s="78">
        <f>IFERROR(VLOOKUP($AA335,PLAN!$B:$AA,21,0),"")</f>
        <v>46237</v>
      </c>
      <c r="V335" s="78" t="str">
        <f>IFERROR(VLOOKUP($AA335,PLAN!$B:$AA,22,0),"")</f>
        <v>M9</v>
      </c>
      <c r="W335" s="232"/>
      <c r="X335" s="233"/>
      <c r="Y335" s="212"/>
      <c r="Z335" s="350"/>
      <c r="AA335" s="195" t="s">
        <v>2476</v>
      </c>
      <c r="AB335" s="132">
        <f>VLOOKUP(AA335,PLAN!B:V,20,0)</f>
        <v>46237</v>
      </c>
      <c r="AC335" s="132"/>
    </row>
    <row r="336" spans="3:29" s="79" customFormat="1" ht="21.6" customHeight="1">
      <c r="C336" s="249" t="str">
        <f t="shared" si="23"/>
        <v>Aug13-16</v>
      </c>
      <c r="D336" s="77">
        <f>IFERROR(VLOOKUP($AA336,PLAN!$B:$AA,3,0),"")</f>
        <v>11119665</v>
      </c>
      <c r="E336" s="77" t="str">
        <f>IFERROR(VLOOKUP($AA336,PLAN!$B:$AA,4,0),"")</f>
        <v>1911331-D-A</v>
      </c>
      <c r="F336" s="77" t="str">
        <f>IFERROR(VLOOKUP($AA336,PLAN!$B:$AA,5,0),"")</f>
        <v>HJ80AL150P10002 JP</v>
      </c>
      <c r="G336" s="77" t="str">
        <f>IFERROR(VLOOKUP($AA336,PLAN!$B:$AA,2,0),"")</f>
        <v>1001929547</v>
      </c>
      <c r="H336" s="113">
        <f>IFERROR(VLOOKUP($AA336,PLAN!$B:$AA,7,0),"")</f>
        <v>46247</v>
      </c>
      <c r="I336" s="77" t="str">
        <f>IFERROR(VLOOKUP($AA336,PLAN!$B:$AA,8,0),"")</f>
        <v>0103578975</v>
      </c>
      <c r="J336" s="77" t="str">
        <f>IFERROR(VLOOKUP($AA336,PLAN!$B:$AA,9,0),"")</f>
        <v>260727C45A</v>
      </c>
      <c r="K336" s="77">
        <f>IFERROR(VLOOKUP($AA336,PLAN!$B:$AA,10,0),"")</f>
        <v>1</v>
      </c>
      <c r="L336" s="77" t="str">
        <f>IFERROR(VLOOKUP($AA336,PLAN!$B:$AA,15,0),"")</f>
        <v>JAPAN</v>
      </c>
      <c r="M336" s="77">
        <f>IFERROR(VLOOKUP($AA336,PLAN!$B:$AA,18,0),"")</f>
        <v>0</v>
      </c>
      <c r="N336" s="227">
        <f>IFERROR(VLOOKUP($AA336,PLAN!$B:$AA,19,0),"")</f>
        <v>0</v>
      </c>
      <c r="O336" s="77" t="str">
        <f>IFERROR(VLOOKUP($AA336,PLAN!$B:$AA,12,0),"")</f>
        <v>2112333-0-C</v>
      </c>
      <c r="P336" s="77">
        <f>IFERROR(VLOOKUP($AA336,PLAN!$B:$AA,11,0),"")</f>
        <v>12116300</v>
      </c>
      <c r="Q336" s="349" t="s">
        <v>2546</v>
      </c>
      <c r="R336" s="158" t="s">
        <v>2547</v>
      </c>
      <c r="S336" s="149">
        <f t="shared" si="24"/>
        <v>1</v>
      </c>
      <c r="T336" s="131"/>
      <c r="U336" s="78">
        <f>IFERROR(VLOOKUP($AA336,PLAN!$B:$AA,21,0),"")</f>
        <v>46237</v>
      </c>
      <c r="V336" s="78" t="str">
        <f>IFERROR(VLOOKUP($AA336,PLAN!$B:$AA,22,0),"")</f>
        <v>M9</v>
      </c>
      <c r="W336" s="232"/>
      <c r="X336" s="233"/>
      <c r="Y336" s="212"/>
      <c r="Z336" s="350"/>
      <c r="AA336" s="195" t="s">
        <v>2477</v>
      </c>
      <c r="AB336" s="132">
        <f>VLOOKUP(AA336,PLAN!B:V,20,0)</f>
        <v>46237</v>
      </c>
      <c r="AC336" s="132"/>
    </row>
    <row r="337" spans="3:29" s="79" customFormat="1" ht="21.6" customHeight="1">
      <c r="C337" s="249" t="str">
        <f t="shared" si="23"/>
        <v>Aug13-17</v>
      </c>
      <c r="D337" s="77">
        <f>IFERROR(VLOOKUP($AA337,PLAN!$B:$AA,3,0),"")</f>
        <v>11119610</v>
      </c>
      <c r="E337" s="77" t="str">
        <f>IFERROR(VLOOKUP($AA337,PLAN!$B:$AA,4,0),"")</f>
        <v>1911276-D-A</v>
      </c>
      <c r="F337" s="77" t="str">
        <f>IFERROR(VLOOKUP($AA337,PLAN!$B:$AA,5,0),"")</f>
        <v>HJ80JL400P10000 JP</v>
      </c>
      <c r="G337" s="77" t="str">
        <f>IFERROR(VLOOKUP($AA337,PLAN!$B:$AA,2,0),"")</f>
        <v>1001929549</v>
      </c>
      <c r="H337" s="113">
        <f>IFERROR(VLOOKUP($AA337,PLAN!$B:$AA,7,0),"")</f>
        <v>46247</v>
      </c>
      <c r="I337" s="77" t="str">
        <f>IFERROR(VLOOKUP($AA337,PLAN!$B:$AA,8,0),"")</f>
        <v>0103578977</v>
      </c>
      <c r="J337" s="77" t="str">
        <f>IFERROR(VLOOKUP($AA337,PLAN!$B:$AA,9,0),"")</f>
        <v>260727C46A</v>
      </c>
      <c r="K337" s="77">
        <f>IFERROR(VLOOKUP($AA337,PLAN!$B:$AA,10,0),"")</f>
        <v>1</v>
      </c>
      <c r="L337" s="77" t="str">
        <f>IFERROR(VLOOKUP($AA337,PLAN!$B:$AA,15,0),"")</f>
        <v>JAPAN</v>
      </c>
      <c r="M337" s="77">
        <f>IFERROR(VLOOKUP($AA337,PLAN!$B:$AA,18,0),"")</f>
        <v>0</v>
      </c>
      <c r="N337" s="227">
        <f>IFERROR(VLOOKUP($AA337,PLAN!$B:$AA,19,0),"")</f>
        <v>0</v>
      </c>
      <c r="O337" s="77" t="str">
        <f>IFERROR(VLOOKUP($AA337,PLAN!$B:$AA,12,0),"")</f>
        <v>2112278-0-C</v>
      </c>
      <c r="P337" s="77">
        <f>IFERROR(VLOOKUP($AA337,PLAN!$B:$AA,11,0),"")</f>
        <v>12116245</v>
      </c>
      <c r="Q337" s="349" t="s">
        <v>2548</v>
      </c>
      <c r="R337" s="158" t="s">
        <v>2549</v>
      </c>
      <c r="S337" s="149">
        <f t="shared" si="24"/>
        <v>1</v>
      </c>
      <c r="T337" s="131"/>
      <c r="U337" s="78">
        <f>IFERROR(VLOOKUP($AA337,PLAN!$B:$AA,21,0),"")</f>
        <v>46237</v>
      </c>
      <c r="V337" s="78" t="str">
        <f>IFERROR(VLOOKUP($AA337,PLAN!$B:$AA,22,0),"")</f>
        <v>M9</v>
      </c>
      <c r="W337" s="232"/>
      <c r="X337" s="233"/>
      <c r="Y337" s="212"/>
      <c r="Z337" s="350"/>
      <c r="AA337" s="195" t="s">
        <v>2478</v>
      </c>
      <c r="AB337" s="132">
        <f>VLOOKUP(AA337,PLAN!B:V,20,0)</f>
        <v>46237</v>
      </c>
      <c r="AC337" s="132"/>
    </row>
    <row r="338" spans="3:29" s="79" customFormat="1" ht="21.6" customHeight="1">
      <c r="C338" s="249" t="str">
        <f t="shared" si="23"/>
        <v>Aug13-18</v>
      </c>
      <c r="D338" s="77">
        <f>IFERROR(VLOOKUP($AA338,PLAN!$B:$AA,3,0),"")</f>
        <v>11119340</v>
      </c>
      <c r="E338" s="77" t="str">
        <f>IFERROR(VLOOKUP($AA338,PLAN!$B:$AA,4,0),"")</f>
        <v>1911008-D-A</v>
      </c>
      <c r="F338" s="77" t="str">
        <f>IFERROR(VLOOKUP($AA338,PLAN!$B:$AA,5,0),"")</f>
        <v>HJ60AL102P09020 JP</v>
      </c>
      <c r="G338" s="77" t="str">
        <f>IFERROR(VLOOKUP($AA338,PLAN!$B:$AA,2,0),"")</f>
        <v>1001929551</v>
      </c>
      <c r="H338" s="113">
        <f>IFERROR(VLOOKUP($AA338,PLAN!$B:$AA,7,0),"")</f>
        <v>46247</v>
      </c>
      <c r="I338" s="77" t="str">
        <f>IFERROR(VLOOKUP($AA338,PLAN!$B:$AA,8,0),"")</f>
        <v>0103578979</v>
      </c>
      <c r="J338" s="77" t="str">
        <f>IFERROR(VLOOKUP($AA338,PLAN!$B:$AA,9,0),"")</f>
        <v>260727C47A</v>
      </c>
      <c r="K338" s="77">
        <f>IFERROR(VLOOKUP($AA338,PLAN!$B:$AA,10,0),"")</f>
        <v>2</v>
      </c>
      <c r="L338" s="77" t="str">
        <f>IFERROR(VLOOKUP($AA338,PLAN!$B:$AA,15,0),"")</f>
        <v>JAPAN</v>
      </c>
      <c r="M338" s="77">
        <f>IFERROR(VLOOKUP($AA338,PLAN!$B:$AA,18,0),"")</f>
        <v>0</v>
      </c>
      <c r="N338" s="227">
        <f>IFERROR(VLOOKUP($AA338,PLAN!$B:$AA,19,0),"")</f>
        <v>0</v>
      </c>
      <c r="O338" s="77" t="str">
        <f>IFERROR(VLOOKUP($AA338,PLAN!$B:$AA,12,0),"")</f>
        <v>2112010-0-C</v>
      </c>
      <c r="P338" s="77">
        <f>IFERROR(VLOOKUP($AA338,PLAN!$B:$AA,11,0),"")</f>
        <v>12115975</v>
      </c>
      <c r="Q338" s="349" t="s">
        <v>2550</v>
      </c>
      <c r="R338" s="158" t="s">
        <v>2551</v>
      </c>
      <c r="S338" s="149">
        <f t="shared" si="24"/>
        <v>2</v>
      </c>
      <c r="T338" s="131"/>
      <c r="U338" s="78">
        <f>IFERROR(VLOOKUP($AA338,PLAN!$B:$AA,21,0),"")</f>
        <v>46237</v>
      </c>
      <c r="V338" s="78" t="str">
        <f>IFERROR(VLOOKUP($AA338,PLAN!$B:$AA,22,0),"")</f>
        <v>M9</v>
      </c>
      <c r="W338" s="232"/>
      <c r="X338" s="233"/>
      <c r="Y338" s="212"/>
      <c r="Z338" s="350"/>
      <c r="AA338" s="195" t="s">
        <v>2479</v>
      </c>
      <c r="AB338" s="132">
        <f>VLOOKUP(AA338,PLAN!B:V,20,0)</f>
        <v>46237</v>
      </c>
      <c r="AC338" s="132"/>
    </row>
    <row r="339" spans="3:29" s="79" customFormat="1" ht="21.6" customHeight="1">
      <c r="C339" s="249" t="str">
        <f t="shared" si="23"/>
        <v>Aug13-19</v>
      </c>
      <c r="D339" s="77">
        <f>IFERROR(VLOOKUP($AA339,PLAN!$B:$AA,3,0),"")</f>
        <v>11119366</v>
      </c>
      <c r="E339" s="77" t="str">
        <f>IFERROR(VLOOKUP($AA339,PLAN!$B:$AA,4,0),"")</f>
        <v>1911034-D-A</v>
      </c>
      <c r="F339" s="77" t="str">
        <f>IFERROR(VLOOKUP($AA339,PLAN!$B:$AA,5,0),"")</f>
        <v>HJ60IL402P10020 JP</v>
      </c>
      <c r="G339" s="77" t="str">
        <f>IFERROR(VLOOKUP($AA339,PLAN!$B:$AA,2,0),"")</f>
        <v>1001929552</v>
      </c>
      <c r="H339" s="113">
        <f>IFERROR(VLOOKUP($AA339,PLAN!$B:$AA,7,0),"")</f>
        <v>46247</v>
      </c>
      <c r="I339" s="77" t="str">
        <f>IFERROR(VLOOKUP($AA339,PLAN!$B:$AA,8,0),"")</f>
        <v>0103578980</v>
      </c>
      <c r="J339" s="77" t="str">
        <f>IFERROR(VLOOKUP($AA339,PLAN!$B:$AA,9,0),"")</f>
        <v>260727C48A</v>
      </c>
      <c r="K339" s="77">
        <f>IFERROR(VLOOKUP($AA339,PLAN!$B:$AA,10,0),"")</f>
        <v>2</v>
      </c>
      <c r="L339" s="77" t="str">
        <f>IFERROR(VLOOKUP($AA339,PLAN!$B:$AA,15,0),"")</f>
        <v>JAPAN</v>
      </c>
      <c r="M339" s="77">
        <f>IFERROR(VLOOKUP($AA339,PLAN!$B:$AA,18,0),"")</f>
        <v>0</v>
      </c>
      <c r="N339" s="227">
        <f>IFERROR(VLOOKUP($AA339,PLAN!$B:$AA,19,0),"")</f>
        <v>0</v>
      </c>
      <c r="O339" s="77" t="str">
        <f>IFERROR(VLOOKUP($AA339,PLAN!$B:$AA,12,0),"")</f>
        <v>2112036-0-C</v>
      </c>
      <c r="P339" s="77">
        <f>IFERROR(VLOOKUP($AA339,PLAN!$B:$AA,11,0),"")</f>
        <v>12116001</v>
      </c>
      <c r="Q339" s="349" t="s">
        <v>2552</v>
      </c>
      <c r="R339" s="158" t="s">
        <v>2553</v>
      </c>
      <c r="S339" s="149">
        <f t="shared" si="24"/>
        <v>2</v>
      </c>
      <c r="T339" s="131"/>
      <c r="U339" s="78">
        <f>IFERROR(VLOOKUP($AA339,PLAN!$B:$AA,21,0),"")</f>
        <v>46237</v>
      </c>
      <c r="V339" s="78" t="str">
        <f>IFERROR(VLOOKUP($AA339,PLAN!$B:$AA,22,0),"")</f>
        <v>M9</v>
      </c>
      <c r="W339" s="232"/>
      <c r="X339" s="233"/>
      <c r="Y339" s="212"/>
      <c r="Z339" s="350"/>
      <c r="AA339" s="195" t="s">
        <v>2480</v>
      </c>
      <c r="AB339" s="132">
        <f>VLOOKUP(AA339,PLAN!B:V,20,0)</f>
        <v>46237</v>
      </c>
      <c r="AC339" s="132"/>
    </row>
    <row r="340" spans="3:29" s="79" customFormat="1" ht="21.6" customHeight="1">
      <c r="C340" s="249" t="str">
        <f t="shared" si="23"/>
        <v>Aug13-20</v>
      </c>
      <c r="D340" s="77">
        <f>IFERROR(VLOOKUP($AA340,PLAN!$B:$AA,3,0),"")</f>
        <v>11119382</v>
      </c>
      <c r="E340" s="77" t="str">
        <f>IFERROR(VLOOKUP($AA340,PLAN!$B:$AA,4,0),"")</f>
        <v>1911050-D-A</v>
      </c>
      <c r="F340" s="77" t="str">
        <f>IFERROR(VLOOKUP($AA340,PLAN!$B:$AA,5,0),"")</f>
        <v>HJ60JL452P10020 JP</v>
      </c>
      <c r="G340" s="77" t="str">
        <f>IFERROR(VLOOKUP($AA340,PLAN!$B:$AA,2,0),"")</f>
        <v>1001929553</v>
      </c>
      <c r="H340" s="113">
        <f>IFERROR(VLOOKUP($AA340,PLAN!$B:$AA,7,0),"")</f>
        <v>46247</v>
      </c>
      <c r="I340" s="77" t="str">
        <f>IFERROR(VLOOKUP($AA340,PLAN!$B:$AA,8,0),"")</f>
        <v>0103578981</v>
      </c>
      <c r="J340" s="77" t="str">
        <f>IFERROR(VLOOKUP($AA340,PLAN!$B:$AA,9,0),"")</f>
        <v>260727C49A</v>
      </c>
      <c r="K340" s="77">
        <f>IFERROR(VLOOKUP($AA340,PLAN!$B:$AA,10,0),"")</f>
        <v>2</v>
      </c>
      <c r="L340" s="77" t="str">
        <f>IFERROR(VLOOKUP($AA340,PLAN!$B:$AA,15,0),"")</f>
        <v>JAPAN</v>
      </c>
      <c r="M340" s="77">
        <f>IFERROR(VLOOKUP($AA340,PLAN!$B:$AA,18,0),"")</f>
        <v>0</v>
      </c>
      <c r="N340" s="227">
        <f>IFERROR(VLOOKUP($AA340,PLAN!$B:$AA,19,0),"")</f>
        <v>0</v>
      </c>
      <c r="O340" s="77" t="str">
        <f>IFERROR(VLOOKUP($AA340,PLAN!$B:$AA,12,0),"")</f>
        <v>2112052-0-C</v>
      </c>
      <c r="P340" s="77">
        <f>IFERROR(VLOOKUP($AA340,PLAN!$B:$AA,11,0),"")</f>
        <v>12116017</v>
      </c>
      <c r="Q340" s="349" t="s">
        <v>2554</v>
      </c>
      <c r="R340" s="158" t="s">
        <v>2555</v>
      </c>
      <c r="S340" s="149">
        <f t="shared" si="24"/>
        <v>2</v>
      </c>
      <c r="T340" s="131"/>
      <c r="U340" s="78">
        <f>IFERROR(VLOOKUP($AA340,PLAN!$B:$AA,21,0),"")</f>
        <v>46237</v>
      </c>
      <c r="V340" s="78" t="str">
        <f>IFERROR(VLOOKUP($AA340,PLAN!$B:$AA,22,0),"")</f>
        <v>M9</v>
      </c>
      <c r="W340" s="232"/>
      <c r="X340" s="233"/>
      <c r="Y340" s="212"/>
      <c r="Z340" s="350"/>
      <c r="AA340" s="195" t="s">
        <v>2481</v>
      </c>
      <c r="AB340" s="132">
        <f>VLOOKUP(AA340,PLAN!B:V,20,0)</f>
        <v>46237</v>
      </c>
      <c r="AC340" s="132"/>
    </row>
    <row r="341" spans="3:29" s="79" customFormat="1" ht="21.6" customHeight="1">
      <c r="C341" s="249" t="str">
        <f t="shared" si="23"/>
        <v>Aug13-21</v>
      </c>
      <c r="D341" s="77">
        <f>IFERROR(VLOOKUP($AA341,PLAN!$B:$AA,3,0),"")</f>
        <v>11119394</v>
      </c>
      <c r="E341" s="77" t="str">
        <f>IFERROR(VLOOKUP($AA341,PLAN!$B:$AA,4,0),"")</f>
        <v>1911062-D-A</v>
      </c>
      <c r="F341" s="77" t="str">
        <f>IFERROR(VLOOKUP($AA341,PLAN!$B:$AA,5,0),"")</f>
        <v>HJ60JR402P09020 JP</v>
      </c>
      <c r="G341" s="77" t="str">
        <f>IFERROR(VLOOKUP($AA341,PLAN!$B:$AA,2,0),"")</f>
        <v>1001929554</v>
      </c>
      <c r="H341" s="113">
        <f>IFERROR(VLOOKUP($AA341,PLAN!$B:$AA,7,0),"")</f>
        <v>46247</v>
      </c>
      <c r="I341" s="77" t="str">
        <f>IFERROR(VLOOKUP($AA341,PLAN!$B:$AA,8,0),"")</f>
        <v>0103578983</v>
      </c>
      <c r="J341" s="77" t="str">
        <f>IFERROR(VLOOKUP($AA341,PLAN!$B:$AA,9,0),"")</f>
        <v>260727C50A</v>
      </c>
      <c r="K341" s="77">
        <f>IFERROR(VLOOKUP($AA341,PLAN!$B:$AA,10,0),"")</f>
        <v>2</v>
      </c>
      <c r="L341" s="77" t="str">
        <f>IFERROR(VLOOKUP($AA341,PLAN!$B:$AA,15,0),"")</f>
        <v>JAPAN</v>
      </c>
      <c r="M341" s="77">
        <f>IFERROR(VLOOKUP($AA341,PLAN!$B:$AA,18,0),"")</f>
        <v>0</v>
      </c>
      <c r="N341" s="227">
        <f>IFERROR(VLOOKUP($AA341,PLAN!$B:$AA,19,0),"")</f>
        <v>0</v>
      </c>
      <c r="O341" s="77" t="str">
        <f>IFERROR(VLOOKUP($AA341,PLAN!$B:$AA,12,0),"")</f>
        <v>2112064-0-C</v>
      </c>
      <c r="P341" s="77">
        <f>IFERROR(VLOOKUP($AA341,PLAN!$B:$AA,11,0),"")</f>
        <v>12116029</v>
      </c>
      <c r="Q341" s="349" t="s">
        <v>2556</v>
      </c>
      <c r="R341" s="158" t="s">
        <v>2557</v>
      </c>
      <c r="S341" s="149">
        <f t="shared" si="24"/>
        <v>2</v>
      </c>
      <c r="T341" s="131"/>
      <c r="U341" s="78">
        <f>IFERROR(VLOOKUP($AA341,PLAN!$B:$AA,21,0),"")</f>
        <v>46237</v>
      </c>
      <c r="V341" s="78" t="str">
        <f>IFERROR(VLOOKUP($AA341,PLAN!$B:$AA,22,0),"")</f>
        <v>M9</v>
      </c>
      <c r="W341" s="232"/>
      <c r="X341" s="233"/>
      <c r="Y341" s="212"/>
      <c r="Z341" s="350"/>
      <c r="AA341" s="195" t="s">
        <v>2482</v>
      </c>
      <c r="AB341" s="132">
        <f>VLOOKUP(AA341,PLAN!B:V,20,0)</f>
        <v>46237</v>
      </c>
      <c r="AC341" s="132"/>
    </row>
    <row r="342" spans="3:29" s="79" customFormat="1" ht="21.6" customHeight="1">
      <c r="C342" s="249" t="str">
        <f t="shared" si="23"/>
        <v>Aug13-22</v>
      </c>
      <c r="D342" s="77">
        <f>IFERROR(VLOOKUP($AA342,PLAN!$B:$AA,3,0),"")</f>
        <v>11119511</v>
      </c>
      <c r="E342" s="77" t="str">
        <f>IFERROR(VLOOKUP($AA342,PLAN!$B:$AA,4,0),"")</f>
        <v>1911177-D-A</v>
      </c>
      <c r="F342" s="77" t="str">
        <f>IFERROR(VLOOKUP($AA342,PLAN!$B:$AA,5,0),"")</f>
        <v>HJ70JR450P10020 JP</v>
      </c>
      <c r="G342" s="77" t="str">
        <f>IFERROR(VLOOKUP($AA342,PLAN!$B:$AA,2,0),"")</f>
        <v>1001929555</v>
      </c>
      <c r="H342" s="113">
        <f>IFERROR(VLOOKUP($AA342,PLAN!$B:$AA,7,0),"")</f>
        <v>46247</v>
      </c>
      <c r="I342" s="77" t="str">
        <f>IFERROR(VLOOKUP($AA342,PLAN!$B:$AA,8,0),"")</f>
        <v>0103578984</v>
      </c>
      <c r="J342" s="77" t="str">
        <f>IFERROR(VLOOKUP($AA342,PLAN!$B:$AA,9,0),"")</f>
        <v>260727C51A</v>
      </c>
      <c r="K342" s="77">
        <f>IFERROR(VLOOKUP($AA342,PLAN!$B:$AA,10,0),"")</f>
        <v>2</v>
      </c>
      <c r="L342" s="77" t="str">
        <f>IFERROR(VLOOKUP($AA342,PLAN!$B:$AA,15,0),"")</f>
        <v>JAPAN</v>
      </c>
      <c r="M342" s="77">
        <f>IFERROR(VLOOKUP($AA342,PLAN!$B:$AA,18,0),"")</f>
        <v>0</v>
      </c>
      <c r="N342" s="227">
        <f>IFERROR(VLOOKUP($AA342,PLAN!$B:$AA,19,0),"")</f>
        <v>0</v>
      </c>
      <c r="O342" s="77" t="str">
        <f>IFERROR(VLOOKUP($AA342,PLAN!$B:$AA,12,0),"")</f>
        <v>2112179-0-C</v>
      </c>
      <c r="P342" s="77">
        <f>IFERROR(VLOOKUP($AA342,PLAN!$B:$AA,11,0),"")</f>
        <v>12116146</v>
      </c>
      <c r="Q342" s="349" t="s">
        <v>2558</v>
      </c>
      <c r="R342" s="158" t="s">
        <v>2559</v>
      </c>
      <c r="S342" s="149">
        <f t="shared" si="24"/>
        <v>2</v>
      </c>
      <c r="T342" s="131"/>
      <c r="U342" s="78">
        <f>IFERROR(VLOOKUP($AA342,PLAN!$B:$AA,21,0),"")</f>
        <v>46237</v>
      </c>
      <c r="V342" s="78" t="str">
        <f>IFERROR(VLOOKUP($AA342,PLAN!$B:$AA,22,0),"")</f>
        <v>M9</v>
      </c>
      <c r="W342" s="232"/>
      <c r="X342" s="233"/>
      <c r="Y342" s="212"/>
      <c r="Z342" s="350"/>
      <c r="AA342" s="195" t="s">
        <v>2483</v>
      </c>
      <c r="AB342" s="132">
        <f>VLOOKUP(AA342,PLAN!B:V,20,0)</f>
        <v>46237</v>
      </c>
      <c r="AC342" s="132"/>
    </row>
    <row r="343" spans="3:29" s="79" customFormat="1" ht="21.6" customHeight="1">
      <c r="C343" s="249" t="str">
        <f t="shared" si="23"/>
        <v>Aug13-23</v>
      </c>
      <c r="D343" s="77">
        <f>IFERROR(VLOOKUP($AA343,PLAN!$B:$AA,3,0),"")</f>
        <v>11119601</v>
      </c>
      <c r="E343" s="77" t="str">
        <f>IFERROR(VLOOKUP($AA343,PLAN!$B:$AA,4,0),"")</f>
        <v>1911267-D-A</v>
      </c>
      <c r="F343" s="77" t="str">
        <f>IFERROR(VLOOKUP($AA343,PLAN!$B:$AA,5,0),"")</f>
        <v>HJ80IM000P10010 JP</v>
      </c>
      <c r="G343" s="77" t="str">
        <f>IFERROR(VLOOKUP($AA343,PLAN!$B:$AA,2,0),"")</f>
        <v>1001929556</v>
      </c>
      <c r="H343" s="113">
        <f>IFERROR(VLOOKUP($AA343,PLAN!$B:$AA,7,0),"")</f>
        <v>46247</v>
      </c>
      <c r="I343" s="77" t="str">
        <f>IFERROR(VLOOKUP($AA343,PLAN!$B:$AA,8,0),"")</f>
        <v>0103578985</v>
      </c>
      <c r="J343" s="77" t="str">
        <f>IFERROR(VLOOKUP($AA343,PLAN!$B:$AA,9,0),"")</f>
        <v>260727C52A</v>
      </c>
      <c r="K343" s="77">
        <f>IFERROR(VLOOKUP($AA343,PLAN!$B:$AA,10,0),"")</f>
        <v>2</v>
      </c>
      <c r="L343" s="77" t="str">
        <f>IFERROR(VLOOKUP($AA343,PLAN!$B:$AA,15,0),"")</f>
        <v>JAPAN</v>
      </c>
      <c r="M343" s="77">
        <f>IFERROR(VLOOKUP($AA343,PLAN!$B:$AA,18,0),"")</f>
        <v>0</v>
      </c>
      <c r="N343" s="227">
        <f>IFERROR(VLOOKUP($AA343,PLAN!$B:$AA,19,0),"")</f>
        <v>0</v>
      </c>
      <c r="O343" s="77" t="str">
        <f>IFERROR(VLOOKUP($AA343,PLAN!$B:$AA,12,0),"")</f>
        <v>2112269-0-C</v>
      </c>
      <c r="P343" s="77">
        <f>IFERROR(VLOOKUP($AA343,PLAN!$B:$AA,11,0),"")</f>
        <v>12116236</v>
      </c>
      <c r="Q343" s="349" t="s">
        <v>2560</v>
      </c>
      <c r="R343" s="158" t="s">
        <v>2561</v>
      </c>
      <c r="S343" s="149">
        <f t="shared" si="24"/>
        <v>2</v>
      </c>
      <c r="T343" s="131"/>
      <c r="U343" s="78">
        <f>IFERROR(VLOOKUP($AA343,PLAN!$B:$AA,21,0),"")</f>
        <v>46237</v>
      </c>
      <c r="V343" s="78" t="str">
        <f>IFERROR(VLOOKUP($AA343,PLAN!$B:$AA,22,0),"")</f>
        <v>M9</v>
      </c>
      <c r="W343" s="232"/>
      <c r="X343" s="233"/>
      <c r="Y343" s="212"/>
      <c r="Z343" s="350"/>
      <c r="AA343" s="195" t="s">
        <v>2484</v>
      </c>
      <c r="AB343" s="132">
        <f>VLOOKUP(AA343,PLAN!B:V,20,0)</f>
        <v>46237</v>
      </c>
      <c r="AC343" s="132"/>
    </row>
    <row r="344" spans="3:29" s="79" customFormat="1" ht="21.6" customHeight="1">
      <c r="C344" s="249" t="str">
        <f t="shared" si="23"/>
        <v>Aug13-24</v>
      </c>
      <c r="D344" s="77">
        <f>IFERROR(VLOOKUP($AA344,PLAN!$B:$AA,3,0),"")</f>
        <v>11119398</v>
      </c>
      <c r="E344" s="77" t="str">
        <f>IFERROR(VLOOKUP($AA344,PLAN!$B:$AA,4,0),"")</f>
        <v>1911066-D-A</v>
      </c>
      <c r="F344" s="77" t="str">
        <f>IFERROR(VLOOKUP($AA344,PLAN!$B:$AA,5,0),"")</f>
        <v>HJ60JR502P10020 JP</v>
      </c>
      <c r="G344" s="77" t="str">
        <f>IFERROR(VLOOKUP($AA344,PLAN!$B:$AA,2,0),"")</f>
        <v>1001929557</v>
      </c>
      <c r="H344" s="113">
        <f>IFERROR(VLOOKUP($AA344,PLAN!$B:$AA,7,0),"")</f>
        <v>46247</v>
      </c>
      <c r="I344" s="77" t="str">
        <f>IFERROR(VLOOKUP($AA344,PLAN!$B:$AA,8,0),"")</f>
        <v>0103578986</v>
      </c>
      <c r="J344" s="77" t="str">
        <f>IFERROR(VLOOKUP($AA344,PLAN!$B:$AA,9,0),"")</f>
        <v>260727C53A</v>
      </c>
      <c r="K344" s="77">
        <f>IFERROR(VLOOKUP($AA344,PLAN!$B:$AA,10,0),"")</f>
        <v>3</v>
      </c>
      <c r="L344" s="77" t="str">
        <f>IFERROR(VLOOKUP($AA344,PLAN!$B:$AA,15,0),"")</f>
        <v>JAPAN</v>
      </c>
      <c r="M344" s="77">
        <f>IFERROR(VLOOKUP($AA344,PLAN!$B:$AA,18,0),"")</f>
        <v>0</v>
      </c>
      <c r="N344" s="227">
        <f>IFERROR(VLOOKUP($AA344,PLAN!$B:$AA,19,0),"")</f>
        <v>0</v>
      </c>
      <c r="O344" s="77" t="str">
        <f>IFERROR(VLOOKUP($AA344,PLAN!$B:$AA,12,0),"")</f>
        <v>2112068-0-C</v>
      </c>
      <c r="P344" s="77">
        <f>IFERROR(VLOOKUP($AA344,PLAN!$B:$AA,11,0),"")</f>
        <v>12116033</v>
      </c>
      <c r="Q344" s="349" t="s">
        <v>2562</v>
      </c>
      <c r="R344" s="158" t="s">
        <v>2563</v>
      </c>
      <c r="S344" s="149">
        <f t="shared" si="24"/>
        <v>3</v>
      </c>
      <c r="T344" s="131"/>
      <c r="U344" s="78">
        <f>IFERROR(VLOOKUP($AA344,PLAN!$B:$AA,21,0),"")</f>
        <v>46237</v>
      </c>
      <c r="V344" s="78" t="str">
        <f>IFERROR(VLOOKUP($AA344,PLAN!$B:$AA,22,0),"")</f>
        <v>M9</v>
      </c>
      <c r="W344" s="232"/>
      <c r="X344" s="233"/>
      <c r="Y344" s="212"/>
      <c r="Z344" s="350"/>
      <c r="AA344" s="195" t="s">
        <v>2485</v>
      </c>
      <c r="AB344" s="132">
        <f>VLOOKUP(AA344,PLAN!B:V,20,0)</f>
        <v>46237</v>
      </c>
      <c r="AC344" s="132"/>
    </row>
    <row r="345" spans="3:29" s="79" customFormat="1" ht="21.6" customHeight="1">
      <c r="C345" s="249" t="str">
        <f t="shared" si="23"/>
        <v>Aug13-25</v>
      </c>
      <c r="D345" s="77">
        <f>IFERROR(VLOOKUP($AA345,PLAN!$B:$AA,3,0),"")</f>
        <v>11119436</v>
      </c>
      <c r="E345" s="77" t="str">
        <f>IFERROR(VLOOKUP($AA345,PLAN!$B:$AA,4,0),"")</f>
        <v>2111063-D-A</v>
      </c>
      <c r="F345" s="77" t="str">
        <f>IFERROR(VLOOKUP($AA345,PLAN!$B:$AA,5,0),"")</f>
        <v>HJ60SL102P10000 JP</v>
      </c>
      <c r="G345" s="77" t="str">
        <f>IFERROR(VLOOKUP($AA345,PLAN!$B:$AA,2,0),"")</f>
        <v>1001929558</v>
      </c>
      <c r="H345" s="113">
        <f>IFERROR(VLOOKUP($AA345,PLAN!$B:$AA,7,0),"")</f>
        <v>46247</v>
      </c>
      <c r="I345" s="77" t="str">
        <f>IFERROR(VLOOKUP($AA345,PLAN!$B:$AA,8,0),"")</f>
        <v>0103578987</v>
      </c>
      <c r="J345" s="77" t="str">
        <f>IFERROR(VLOOKUP($AA345,PLAN!$B:$AA,9,0),"")</f>
        <v>260727C54A</v>
      </c>
      <c r="K345" s="77">
        <f>IFERROR(VLOOKUP($AA345,PLAN!$B:$AA,10,0),"")</f>
        <v>3</v>
      </c>
      <c r="L345" s="77" t="str">
        <f>IFERROR(VLOOKUP($AA345,PLAN!$B:$AA,15,0),"")</f>
        <v>JAPAN</v>
      </c>
      <c r="M345" s="77">
        <f>IFERROR(VLOOKUP($AA345,PLAN!$B:$AA,18,0),"")</f>
        <v>0</v>
      </c>
      <c r="N345" s="227">
        <f>IFERROR(VLOOKUP($AA345,PLAN!$B:$AA,19,0),"")</f>
        <v>0</v>
      </c>
      <c r="O345" s="77" t="str">
        <f>IFERROR(VLOOKUP($AA345,PLAN!$B:$AA,12,0),"")</f>
        <v>2112002-A-C</v>
      </c>
      <c r="P345" s="77">
        <f>IFERROR(VLOOKUP($AA345,PLAN!$B:$AA,11,0),"")</f>
        <v>12116071</v>
      </c>
      <c r="Q345" s="349" t="s">
        <v>2564</v>
      </c>
      <c r="R345" s="158" t="s">
        <v>2565</v>
      </c>
      <c r="S345" s="149">
        <f t="shared" si="24"/>
        <v>3</v>
      </c>
      <c r="T345" s="131"/>
      <c r="U345" s="78">
        <f>IFERROR(VLOOKUP($AA345,PLAN!$B:$AA,21,0),"")</f>
        <v>46237</v>
      </c>
      <c r="V345" s="78" t="str">
        <f>IFERROR(VLOOKUP($AA345,PLAN!$B:$AA,22,0),"")</f>
        <v>M9</v>
      </c>
      <c r="W345" s="232"/>
      <c r="X345" s="233"/>
      <c r="Y345" s="212"/>
      <c r="Z345" s="350"/>
      <c r="AA345" s="195" t="s">
        <v>2486</v>
      </c>
      <c r="AB345" s="132">
        <f>VLOOKUP(AA345,PLAN!B:V,20,0)</f>
        <v>46237</v>
      </c>
      <c r="AC345" s="132"/>
    </row>
    <row r="346" spans="3:29" s="79" customFormat="1" ht="21.6" customHeight="1">
      <c r="C346" s="249" t="str">
        <f t="shared" si="23"/>
        <v>Aug13-26</v>
      </c>
      <c r="D346" s="77">
        <f>IFERROR(VLOOKUP($AA346,PLAN!$B:$AA,3,0),"")</f>
        <v>11119544</v>
      </c>
      <c r="E346" s="77" t="str">
        <f>IFERROR(VLOOKUP($AA346,PLAN!$B:$AA,4,0),"")</f>
        <v>1911210-D-A</v>
      </c>
      <c r="F346" s="77" t="str">
        <f>IFERROR(VLOOKUP($AA346,PLAN!$B:$AA,5,0),"")</f>
        <v>HJ70AL150P09022 JP</v>
      </c>
      <c r="G346" s="77" t="str">
        <f>IFERROR(VLOOKUP($AA346,PLAN!$B:$AA,2,0),"")</f>
        <v>1001929559</v>
      </c>
      <c r="H346" s="113">
        <f>IFERROR(VLOOKUP($AA346,PLAN!$B:$AA,7,0),"")</f>
        <v>46247</v>
      </c>
      <c r="I346" s="77" t="str">
        <f>IFERROR(VLOOKUP($AA346,PLAN!$B:$AA,8,0),"")</f>
        <v>0103578988</v>
      </c>
      <c r="J346" s="77" t="str">
        <f>IFERROR(VLOOKUP($AA346,PLAN!$B:$AA,9,0),"")</f>
        <v>260727C55A</v>
      </c>
      <c r="K346" s="77">
        <f>IFERROR(VLOOKUP($AA346,PLAN!$B:$AA,10,0),"")</f>
        <v>3</v>
      </c>
      <c r="L346" s="77" t="str">
        <f>IFERROR(VLOOKUP($AA346,PLAN!$B:$AA,15,0),"")</f>
        <v>JAPAN</v>
      </c>
      <c r="M346" s="77">
        <f>IFERROR(VLOOKUP($AA346,PLAN!$B:$AA,18,0),"")</f>
        <v>0</v>
      </c>
      <c r="N346" s="227">
        <f>IFERROR(VLOOKUP($AA346,PLAN!$B:$AA,19,0),"")</f>
        <v>0</v>
      </c>
      <c r="O346" s="77" t="str">
        <f>IFERROR(VLOOKUP($AA346,PLAN!$B:$AA,12,0),"")</f>
        <v>2112212-0-C</v>
      </c>
      <c r="P346" s="77">
        <f>IFERROR(VLOOKUP($AA346,PLAN!$B:$AA,11,0),"")</f>
        <v>12116179</v>
      </c>
      <c r="Q346" s="349" t="s">
        <v>2566</v>
      </c>
      <c r="R346" s="158" t="s">
        <v>2567</v>
      </c>
      <c r="S346" s="149">
        <f t="shared" si="24"/>
        <v>3</v>
      </c>
      <c r="T346" s="131"/>
      <c r="U346" s="78">
        <f>IFERROR(VLOOKUP($AA346,PLAN!$B:$AA,21,0),"")</f>
        <v>46237</v>
      </c>
      <c r="V346" s="78" t="str">
        <f>IFERROR(VLOOKUP($AA346,PLAN!$B:$AA,22,0),"")</f>
        <v>M9</v>
      </c>
      <c r="W346" s="232"/>
      <c r="X346" s="233"/>
      <c r="Y346" s="212"/>
      <c r="Z346" s="350"/>
      <c r="AA346" s="195" t="s">
        <v>2487</v>
      </c>
      <c r="AB346" s="132">
        <f>VLOOKUP(AA346,PLAN!B:V,20,0)</f>
        <v>46237</v>
      </c>
      <c r="AC346" s="132"/>
    </row>
    <row r="347" spans="3:29" s="79" customFormat="1" ht="21.6" customHeight="1">
      <c r="C347" s="249" t="str">
        <f t="shared" si="23"/>
        <v>Aug13-27</v>
      </c>
      <c r="D347" s="77">
        <f>IFERROR(VLOOKUP($AA347,PLAN!$B:$AA,3,0),"")</f>
        <v>11119498</v>
      </c>
      <c r="E347" s="77" t="str">
        <f>IFERROR(VLOOKUP($AA347,PLAN!$B:$AA,4,0),"")</f>
        <v>1911164-D-A</v>
      </c>
      <c r="F347" s="77" t="str">
        <f>IFERROR(VLOOKUP($AA347,PLAN!$B:$AA,5,0),"")</f>
        <v>HJ70JL452P10021 JP</v>
      </c>
      <c r="G347" s="77" t="str">
        <f>IFERROR(VLOOKUP($AA347,PLAN!$B:$AA,2,0),"")</f>
        <v>1001929560</v>
      </c>
      <c r="H347" s="113">
        <f>IFERROR(VLOOKUP($AA347,PLAN!$B:$AA,7,0),"")</f>
        <v>46247</v>
      </c>
      <c r="I347" s="77" t="str">
        <f>IFERROR(VLOOKUP($AA347,PLAN!$B:$AA,8,0),"")</f>
        <v>0103578989</v>
      </c>
      <c r="J347" s="77" t="str">
        <f>IFERROR(VLOOKUP($AA347,PLAN!$B:$AA,9,0),"")</f>
        <v>260727C56A</v>
      </c>
      <c r="K347" s="77">
        <f>IFERROR(VLOOKUP($AA347,PLAN!$B:$AA,10,0),"")</f>
        <v>3</v>
      </c>
      <c r="L347" s="77" t="str">
        <f>IFERROR(VLOOKUP($AA347,PLAN!$B:$AA,15,0),"")</f>
        <v>JAPAN</v>
      </c>
      <c r="M347" s="77">
        <f>IFERROR(VLOOKUP($AA347,PLAN!$B:$AA,18,0),"")</f>
        <v>0</v>
      </c>
      <c r="N347" s="227">
        <f>IFERROR(VLOOKUP($AA347,PLAN!$B:$AA,19,0),"")</f>
        <v>0</v>
      </c>
      <c r="O347" s="77" t="str">
        <f>IFERROR(VLOOKUP($AA347,PLAN!$B:$AA,12,0),"")</f>
        <v>2112166-0-C</v>
      </c>
      <c r="P347" s="77">
        <f>IFERROR(VLOOKUP($AA347,PLAN!$B:$AA,11,0),"")</f>
        <v>12116133</v>
      </c>
      <c r="Q347" s="349" t="s">
        <v>2568</v>
      </c>
      <c r="R347" s="158" t="s">
        <v>2569</v>
      </c>
      <c r="S347" s="149">
        <f t="shared" si="24"/>
        <v>3</v>
      </c>
      <c r="T347" s="131"/>
      <c r="U347" s="78">
        <f>IFERROR(VLOOKUP($AA347,PLAN!$B:$AA,21,0),"")</f>
        <v>46237</v>
      </c>
      <c r="V347" s="78" t="str">
        <f>IFERROR(VLOOKUP($AA347,PLAN!$B:$AA,22,0),"")</f>
        <v>M9</v>
      </c>
      <c r="W347" s="232"/>
      <c r="X347" s="233"/>
      <c r="Y347" s="212"/>
      <c r="Z347" s="350"/>
      <c r="AA347" s="195" t="s">
        <v>2488</v>
      </c>
      <c r="AB347" s="132">
        <f>VLOOKUP(AA347,PLAN!B:V,20,0)</f>
        <v>46237</v>
      </c>
      <c r="AC347" s="132"/>
    </row>
    <row r="348" spans="3:29" s="79" customFormat="1" ht="21.6" customHeight="1">
      <c r="C348" s="249" t="str">
        <f t="shared" si="23"/>
        <v>Aug13-28</v>
      </c>
      <c r="D348" s="77">
        <f>IFERROR(VLOOKUP($AA348,PLAN!$B:$AA,3,0),"")</f>
        <v>11119529</v>
      </c>
      <c r="E348" s="77" t="str">
        <f>IFERROR(VLOOKUP($AA348,PLAN!$B:$AA,4,0),"")</f>
        <v>1911195-D-A</v>
      </c>
      <c r="F348" s="77" t="str">
        <f>IFERROR(VLOOKUP($AA348,PLAN!$B:$AA,5,0),"")</f>
        <v>HJ70RB100P10020 JP</v>
      </c>
      <c r="G348" s="77" t="str">
        <f>IFERROR(VLOOKUP($AA348,PLAN!$B:$AA,2,0),"")</f>
        <v>1001929562</v>
      </c>
      <c r="H348" s="113">
        <f>IFERROR(VLOOKUP($AA348,PLAN!$B:$AA,7,0),"")</f>
        <v>46247</v>
      </c>
      <c r="I348" s="77" t="str">
        <f>IFERROR(VLOOKUP($AA348,PLAN!$B:$AA,8,0),"")</f>
        <v>0103578990</v>
      </c>
      <c r="J348" s="77" t="str">
        <f>IFERROR(VLOOKUP($AA348,PLAN!$B:$AA,9,0),"")</f>
        <v>260727C57A</v>
      </c>
      <c r="K348" s="77">
        <f>IFERROR(VLOOKUP($AA348,PLAN!$B:$AA,10,0),"")</f>
        <v>3</v>
      </c>
      <c r="L348" s="77" t="str">
        <f>IFERROR(VLOOKUP($AA348,PLAN!$B:$AA,15,0),"")</f>
        <v>JAPAN</v>
      </c>
      <c r="M348" s="77">
        <f>IFERROR(VLOOKUP($AA348,PLAN!$B:$AA,18,0),"")</f>
        <v>0</v>
      </c>
      <c r="N348" s="227">
        <f>IFERROR(VLOOKUP($AA348,PLAN!$B:$AA,19,0),"")</f>
        <v>0</v>
      </c>
      <c r="O348" s="77" t="str">
        <f>IFERROR(VLOOKUP($AA348,PLAN!$B:$AA,12,0),"")</f>
        <v>2112197-0-C</v>
      </c>
      <c r="P348" s="77">
        <f>IFERROR(VLOOKUP($AA348,PLAN!$B:$AA,11,0),"")</f>
        <v>12116164</v>
      </c>
      <c r="Q348" s="349" t="s">
        <v>2570</v>
      </c>
      <c r="R348" s="158" t="s">
        <v>2571</v>
      </c>
      <c r="S348" s="149">
        <f t="shared" si="24"/>
        <v>3</v>
      </c>
      <c r="T348" s="131"/>
      <c r="U348" s="78">
        <f>IFERROR(VLOOKUP($AA348,PLAN!$B:$AA,21,0),"")</f>
        <v>46237</v>
      </c>
      <c r="V348" s="78" t="str">
        <f>IFERROR(VLOOKUP($AA348,PLAN!$B:$AA,22,0),"")</f>
        <v>M9</v>
      </c>
      <c r="W348" s="232"/>
      <c r="X348" s="233"/>
      <c r="Y348" s="212"/>
      <c r="Z348" s="350"/>
      <c r="AA348" s="195" t="s">
        <v>2489</v>
      </c>
      <c r="AB348" s="132">
        <f>VLOOKUP(AA348,PLAN!B:V,20,0)</f>
        <v>46237</v>
      </c>
      <c r="AC348" s="132"/>
    </row>
    <row r="349" spans="3:29" s="79" customFormat="1" ht="21.6" customHeight="1">
      <c r="C349" s="249" t="str">
        <f t="shared" si="23"/>
        <v>Aug13-29</v>
      </c>
      <c r="D349" s="77">
        <f>IFERROR(VLOOKUP($AA349,PLAN!$B:$AA,3,0),"")</f>
        <v>11119669</v>
      </c>
      <c r="E349" s="77" t="str">
        <f>IFERROR(VLOOKUP($AA349,PLAN!$B:$AA,4,0),"")</f>
        <v>1911335-D-A</v>
      </c>
      <c r="F349" s="77" t="str">
        <f>IFERROR(VLOOKUP($AA349,PLAN!$B:$AA,5,0),"")</f>
        <v>HJ80AL200P10002 JP</v>
      </c>
      <c r="G349" s="77" t="str">
        <f>IFERROR(VLOOKUP($AA349,PLAN!$B:$AA,2,0),"")</f>
        <v>1001929563</v>
      </c>
      <c r="H349" s="113">
        <f>IFERROR(VLOOKUP($AA349,PLAN!$B:$AA,7,0),"")</f>
        <v>46247</v>
      </c>
      <c r="I349" s="77" t="str">
        <f>IFERROR(VLOOKUP($AA349,PLAN!$B:$AA,8,0),"")</f>
        <v>0103578991</v>
      </c>
      <c r="J349" s="77" t="str">
        <f>IFERROR(VLOOKUP($AA349,PLAN!$B:$AA,9,0),"")</f>
        <v>260727C58A</v>
      </c>
      <c r="K349" s="77">
        <f>IFERROR(VLOOKUP($AA349,PLAN!$B:$AA,10,0),"")</f>
        <v>3</v>
      </c>
      <c r="L349" s="77" t="str">
        <f>IFERROR(VLOOKUP($AA349,PLAN!$B:$AA,15,0),"")</f>
        <v>JAPAN</v>
      </c>
      <c r="M349" s="77">
        <f>IFERROR(VLOOKUP($AA349,PLAN!$B:$AA,18,0),"")</f>
        <v>0</v>
      </c>
      <c r="N349" s="227">
        <f>IFERROR(VLOOKUP($AA349,PLAN!$B:$AA,19,0),"")</f>
        <v>0</v>
      </c>
      <c r="O349" s="77" t="str">
        <f>IFERROR(VLOOKUP($AA349,PLAN!$B:$AA,12,0),"")</f>
        <v>2112337-0-C</v>
      </c>
      <c r="P349" s="77">
        <f>IFERROR(VLOOKUP($AA349,PLAN!$B:$AA,11,0),"")</f>
        <v>12116304</v>
      </c>
      <c r="Q349" s="349" t="s">
        <v>2572</v>
      </c>
      <c r="R349" s="158" t="s">
        <v>2573</v>
      </c>
      <c r="S349" s="149">
        <f t="shared" si="24"/>
        <v>3</v>
      </c>
      <c r="T349" s="131"/>
      <c r="U349" s="78">
        <f>IFERROR(VLOOKUP($AA349,PLAN!$B:$AA,21,0),"")</f>
        <v>46237</v>
      </c>
      <c r="V349" s="78" t="str">
        <f>IFERROR(VLOOKUP($AA349,PLAN!$B:$AA,22,0),"")</f>
        <v>M9</v>
      </c>
      <c r="W349" s="232"/>
      <c r="X349" s="233"/>
      <c r="Y349" s="212"/>
      <c r="Z349" s="350"/>
      <c r="AA349" s="195" t="s">
        <v>2490</v>
      </c>
      <c r="AB349" s="132">
        <f>VLOOKUP(AA349,PLAN!B:V,20,0)</f>
        <v>46237</v>
      </c>
      <c r="AC349" s="132"/>
    </row>
    <row r="350" spans="3:29" s="79" customFormat="1" ht="21.6" customHeight="1">
      <c r="C350" s="249" t="str">
        <f t="shared" si="23"/>
        <v>Aug13-30</v>
      </c>
      <c r="D350" s="77">
        <f>IFERROR(VLOOKUP($AA350,PLAN!$B:$AA,3,0),"")</f>
        <v>11119671</v>
      </c>
      <c r="E350" s="77" t="str">
        <f>IFERROR(VLOOKUP($AA350,PLAN!$B:$AA,4,0),"")</f>
        <v>1911337-D-A</v>
      </c>
      <c r="F350" s="77" t="str">
        <f>IFERROR(VLOOKUP($AA350,PLAN!$B:$AA,5,0),"")</f>
        <v>HJ80AL202P10002 JP</v>
      </c>
      <c r="G350" s="77" t="str">
        <f>IFERROR(VLOOKUP($AA350,PLAN!$B:$AA,2,0),"")</f>
        <v>1001929564</v>
      </c>
      <c r="H350" s="113">
        <f>IFERROR(VLOOKUP($AA350,PLAN!$B:$AA,7,0),"")</f>
        <v>46247</v>
      </c>
      <c r="I350" s="77" t="str">
        <f>IFERROR(VLOOKUP($AA350,PLAN!$B:$AA,8,0),"")</f>
        <v>0103578992</v>
      </c>
      <c r="J350" s="77" t="str">
        <f>IFERROR(VLOOKUP($AA350,PLAN!$B:$AA,9,0),"")</f>
        <v>260727C59A</v>
      </c>
      <c r="K350" s="77">
        <f>IFERROR(VLOOKUP($AA350,PLAN!$B:$AA,10,0),"")</f>
        <v>3</v>
      </c>
      <c r="L350" s="77" t="str">
        <f>IFERROR(VLOOKUP($AA350,PLAN!$B:$AA,15,0),"")</f>
        <v>JAPAN</v>
      </c>
      <c r="M350" s="77">
        <f>IFERROR(VLOOKUP($AA350,PLAN!$B:$AA,18,0),"")</f>
        <v>0</v>
      </c>
      <c r="N350" s="227">
        <f>IFERROR(VLOOKUP($AA350,PLAN!$B:$AA,19,0),"")</f>
        <v>0</v>
      </c>
      <c r="O350" s="77" t="str">
        <f>IFERROR(VLOOKUP($AA350,PLAN!$B:$AA,12,0),"")</f>
        <v>2112339-0-C</v>
      </c>
      <c r="P350" s="77">
        <f>IFERROR(VLOOKUP($AA350,PLAN!$B:$AA,11,0),"")</f>
        <v>12116306</v>
      </c>
      <c r="Q350" s="349" t="s">
        <v>2574</v>
      </c>
      <c r="R350" s="158" t="s">
        <v>2575</v>
      </c>
      <c r="S350" s="149">
        <f t="shared" si="24"/>
        <v>3</v>
      </c>
      <c r="T350" s="131"/>
      <c r="U350" s="78">
        <f>IFERROR(VLOOKUP($AA350,PLAN!$B:$AA,21,0),"")</f>
        <v>46237</v>
      </c>
      <c r="V350" s="78" t="str">
        <f>IFERROR(VLOOKUP($AA350,PLAN!$B:$AA,22,0),"")</f>
        <v>M9</v>
      </c>
      <c r="W350" s="232"/>
      <c r="X350" s="233"/>
      <c r="Y350" s="212"/>
      <c r="Z350" s="350"/>
      <c r="AA350" s="195" t="s">
        <v>2491</v>
      </c>
      <c r="AB350" s="132">
        <f>VLOOKUP(AA350,PLAN!B:V,20,0)</f>
        <v>46237</v>
      </c>
      <c r="AC350" s="132"/>
    </row>
    <row r="351" spans="3:29" s="79" customFormat="1" ht="21.6" customHeight="1">
      <c r="C351" s="249" t="str">
        <f t="shared" si="23"/>
        <v>Aug13-31</v>
      </c>
      <c r="D351" s="77">
        <f>IFERROR(VLOOKUP($AA351,PLAN!$B:$AA,3,0),"")</f>
        <v>11119335</v>
      </c>
      <c r="E351" s="77" t="str">
        <f>IFERROR(VLOOKUP($AA351,PLAN!$B:$AA,4,0),"")</f>
        <v>1911003-D-A</v>
      </c>
      <c r="F351" s="77" t="str">
        <f>IFERROR(VLOOKUP($AA351,PLAN!$B:$AA,5,0),"")</f>
        <v>HJ60AL070P10021 JP</v>
      </c>
      <c r="G351" s="77" t="str">
        <f>IFERROR(VLOOKUP($AA351,PLAN!$B:$AA,2,0),"")</f>
        <v>1001929565</v>
      </c>
      <c r="H351" s="113">
        <f>IFERROR(VLOOKUP($AA351,PLAN!$B:$AA,7,0),"")</f>
        <v>46247</v>
      </c>
      <c r="I351" s="77" t="str">
        <f>IFERROR(VLOOKUP($AA351,PLAN!$B:$AA,8,0),"")</f>
        <v>0103578993</v>
      </c>
      <c r="J351" s="77" t="str">
        <f>IFERROR(VLOOKUP($AA351,PLAN!$B:$AA,9,0),"")</f>
        <v>260727C60A</v>
      </c>
      <c r="K351" s="77">
        <f>IFERROR(VLOOKUP($AA351,PLAN!$B:$AA,10,0),"")</f>
        <v>4</v>
      </c>
      <c r="L351" s="77" t="str">
        <f>IFERROR(VLOOKUP($AA351,PLAN!$B:$AA,15,0),"")</f>
        <v>JAPAN</v>
      </c>
      <c r="M351" s="77">
        <f>IFERROR(VLOOKUP($AA351,PLAN!$B:$AA,18,0),"")</f>
        <v>0</v>
      </c>
      <c r="N351" s="227">
        <f>IFERROR(VLOOKUP($AA351,PLAN!$B:$AA,19,0),"")</f>
        <v>0</v>
      </c>
      <c r="O351" s="77" t="str">
        <f>IFERROR(VLOOKUP($AA351,PLAN!$B:$AA,12,0),"")</f>
        <v>2112005-0-C</v>
      </c>
      <c r="P351" s="77">
        <f>IFERROR(VLOOKUP($AA351,PLAN!$B:$AA,11,0),"")</f>
        <v>12115970</v>
      </c>
      <c r="Q351" s="349" t="s">
        <v>2576</v>
      </c>
      <c r="R351" s="158" t="s">
        <v>2577</v>
      </c>
      <c r="S351" s="149">
        <f t="shared" si="24"/>
        <v>4</v>
      </c>
      <c r="T351" s="131"/>
      <c r="U351" s="78">
        <f>IFERROR(VLOOKUP($AA351,PLAN!$B:$AA,21,0),"")</f>
        <v>46237</v>
      </c>
      <c r="V351" s="78" t="str">
        <f>IFERROR(VLOOKUP($AA351,PLAN!$B:$AA,22,0),"")</f>
        <v>M9</v>
      </c>
      <c r="W351" s="232"/>
      <c r="X351" s="233"/>
      <c r="Y351" s="212"/>
      <c r="Z351" s="350"/>
      <c r="AA351" s="195" t="s">
        <v>2492</v>
      </c>
      <c r="AB351" s="132">
        <f>VLOOKUP(AA351,PLAN!B:V,20,0)</f>
        <v>46237</v>
      </c>
      <c r="AC351" s="132"/>
    </row>
    <row r="352" spans="3:29" s="79" customFormat="1" ht="21.6" customHeight="1">
      <c r="C352" s="249" t="str">
        <f t="shared" si="23"/>
        <v>Aug13-32</v>
      </c>
      <c r="D352" s="77">
        <f>IFERROR(VLOOKUP($AA352,PLAN!$B:$AA,3,0),"")</f>
        <v>11119396</v>
      </c>
      <c r="E352" s="77" t="str">
        <f>IFERROR(VLOOKUP($AA352,PLAN!$B:$AA,4,0),"")</f>
        <v>1911064-D-A</v>
      </c>
      <c r="F352" s="77" t="str">
        <f>IFERROR(VLOOKUP($AA352,PLAN!$B:$AA,5,0),"")</f>
        <v>HJ60JR452P10020 JP</v>
      </c>
      <c r="G352" s="77" t="str">
        <f>IFERROR(VLOOKUP($AA352,PLAN!$B:$AA,2,0),"")</f>
        <v>1001929566</v>
      </c>
      <c r="H352" s="113">
        <f>IFERROR(VLOOKUP($AA352,PLAN!$B:$AA,7,0),"")</f>
        <v>46247</v>
      </c>
      <c r="I352" s="77" t="str">
        <f>IFERROR(VLOOKUP($AA352,PLAN!$B:$AA,8,0),"")</f>
        <v>0103578994</v>
      </c>
      <c r="J352" s="77" t="str">
        <f>IFERROR(VLOOKUP($AA352,PLAN!$B:$AA,9,0),"")</f>
        <v>260727C61A</v>
      </c>
      <c r="K352" s="77">
        <f>IFERROR(VLOOKUP($AA352,PLAN!$B:$AA,10,0),"")</f>
        <v>4</v>
      </c>
      <c r="L352" s="77" t="str">
        <f>IFERROR(VLOOKUP($AA352,PLAN!$B:$AA,15,0),"")</f>
        <v>JAPAN</v>
      </c>
      <c r="M352" s="77">
        <f>IFERROR(VLOOKUP($AA352,PLAN!$B:$AA,18,0),"")</f>
        <v>0</v>
      </c>
      <c r="N352" s="227">
        <f>IFERROR(VLOOKUP($AA352,PLAN!$B:$AA,19,0),"")</f>
        <v>0</v>
      </c>
      <c r="O352" s="77" t="str">
        <f>IFERROR(VLOOKUP($AA352,PLAN!$B:$AA,12,0),"")</f>
        <v>2112066-0-C</v>
      </c>
      <c r="P352" s="77">
        <f>IFERROR(VLOOKUP($AA352,PLAN!$B:$AA,11,0),"")</f>
        <v>12116031</v>
      </c>
      <c r="Q352" s="349" t="s">
        <v>2578</v>
      </c>
      <c r="R352" s="158" t="s">
        <v>2579</v>
      </c>
      <c r="S352" s="149">
        <f t="shared" si="24"/>
        <v>4</v>
      </c>
      <c r="T352" s="131"/>
      <c r="U352" s="78">
        <f>IFERROR(VLOOKUP($AA352,PLAN!$B:$AA,21,0),"")</f>
        <v>46237</v>
      </c>
      <c r="V352" s="78" t="str">
        <f>IFERROR(VLOOKUP($AA352,PLAN!$B:$AA,22,0),"")</f>
        <v>M9</v>
      </c>
      <c r="W352" s="232"/>
      <c r="X352" s="233"/>
      <c r="Y352" s="212"/>
      <c r="Z352" s="350"/>
      <c r="AA352" s="195" t="s">
        <v>2493</v>
      </c>
      <c r="AB352" s="132">
        <f>VLOOKUP(AA352,PLAN!B:V,20,0)</f>
        <v>46237</v>
      </c>
      <c r="AC352" s="132"/>
    </row>
    <row r="353" spans="3:29" s="79" customFormat="1" ht="21.6" customHeight="1">
      <c r="C353" s="249" t="str">
        <f t="shared" si="23"/>
        <v>Aug13-33</v>
      </c>
      <c r="D353" s="77">
        <f>IFERROR(VLOOKUP($AA353,PLAN!$B:$AA,3,0),"")</f>
        <v>11119482</v>
      </c>
      <c r="E353" s="77" t="str">
        <f>IFERROR(VLOOKUP($AA353,PLAN!$B:$AA,4,0),"")</f>
        <v>1911148-D-A</v>
      </c>
      <c r="F353" s="77" t="str">
        <f>IFERROR(VLOOKUP($AA353,PLAN!$B:$AA,5,0),"")</f>
        <v>HJ70JL350P09000 JP</v>
      </c>
      <c r="G353" s="77" t="str">
        <f>IFERROR(VLOOKUP($AA353,PLAN!$B:$AA,2,0),"")</f>
        <v>1001929567</v>
      </c>
      <c r="H353" s="113">
        <f>IFERROR(VLOOKUP($AA353,PLAN!$B:$AA,7,0),"")</f>
        <v>46247</v>
      </c>
      <c r="I353" s="77" t="str">
        <f>IFERROR(VLOOKUP($AA353,PLAN!$B:$AA,8,0),"")</f>
        <v>0103578995</v>
      </c>
      <c r="J353" s="77" t="str">
        <f>IFERROR(VLOOKUP($AA353,PLAN!$B:$AA,9,0),"")</f>
        <v>260727C62A</v>
      </c>
      <c r="K353" s="77">
        <f>IFERROR(VLOOKUP($AA353,PLAN!$B:$AA,10,0),"")</f>
        <v>4</v>
      </c>
      <c r="L353" s="77" t="str">
        <f>IFERROR(VLOOKUP($AA353,PLAN!$B:$AA,15,0),"")</f>
        <v>JAPAN</v>
      </c>
      <c r="M353" s="77">
        <f>IFERROR(VLOOKUP($AA353,PLAN!$B:$AA,18,0),"")</f>
        <v>0</v>
      </c>
      <c r="N353" s="227">
        <f>IFERROR(VLOOKUP($AA353,PLAN!$B:$AA,19,0),"")</f>
        <v>0</v>
      </c>
      <c r="O353" s="77" t="str">
        <f>IFERROR(VLOOKUP($AA353,PLAN!$B:$AA,12,0),"")</f>
        <v>2112150-0-C</v>
      </c>
      <c r="P353" s="77">
        <f>IFERROR(VLOOKUP($AA353,PLAN!$B:$AA,11,0),"")</f>
        <v>12116117</v>
      </c>
      <c r="Q353" s="349" t="s">
        <v>2580</v>
      </c>
      <c r="R353" s="158" t="s">
        <v>2581</v>
      </c>
      <c r="S353" s="149">
        <f t="shared" si="24"/>
        <v>4</v>
      </c>
      <c r="T353" s="131"/>
      <c r="U353" s="78">
        <f>IFERROR(VLOOKUP($AA353,PLAN!$B:$AA,21,0),"")</f>
        <v>46237</v>
      </c>
      <c r="V353" s="78" t="str">
        <f>IFERROR(VLOOKUP($AA353,PLAN!$B:$AA,22,0),"")</f>
        <v>M9</v>
      </c>
      <c r="W353" s="232"/>
      <c r="X353" s="233"/>
      <c r="Y353" s="212"/>
      <c r="Z353" s="350"/>
      <c r="AA353" s="195" t="s">
        <v>2494</v>
      </c>
      <c r="AB353" s="132">
        <f>VLOOKUP(AA353,PLAN!B:V,20,0)</f>
        <v>46237</v>
      </c>
      <c r="AC353" s="132"/>
    </row>
    <row r="354" spans="3:29" s="79" customFormat="1" ht="21.6" customHeight="1">
      <c r="C354" s="249" t="str">
        <f t="shared" si="23"/>
        <v>Aug13-34</v>
      </c>
      <c r="D354" s="77">
        <f>IFERROR(VLOOKUP($AA354,PLAN!$B:$AA,3,0),"")</f>
        <v>11119605</v>
      </c>
      <c r="E354" s="77" t="str">
        <f>IFERROR(VLOOKUP($AA354,PLAN!$B:$AA,4,0),"")</f>
        <v>1911271-D-A</v>
      </c>
      <c r="F354" s="77" t="str">
        <f>IFERROR(VLOOKUP($AA354,PLAN!$B:$AA,5,0),"")</f>
        <v>HJ80JL352P10000 JP</v>
      </c>
      <c r="G354" s="77" t="str">
        <f>IFERROR(VLOOKUP($AA354,PLAN!$B:$AA,2,0),"")</f>
        <v>1001929568</v>
      </c>
      <c r="H354" s="113">
        <f>IFERROR(VLOOKUP($AA354,PLAN!$B:$AA,7,0),"")</f>
        <v>46247</v>
      </c>
      <c r="I354" s="77" t="str">
        <f>IFERROR(VLOOKUP($AA354,PLAN!$B:$AA,8,0),"")</f>
        <v>0103578996</v>
      </c>
      <c r="J354" s="77" t="str">
        <f>IFERROR(VLOOKUP($AA354,PLAN!$B:$AA,9,0),"")</f>
        <v>260727C63A</v>
      </c>
      <c r="K354" s="77">
        <f>IFERROR(VLOOKUP($AA354,PLAN!$B:$AA,10,0),"")</f>
        <v>4</v>
      </c>
      <c r="L354" s="77" t="str">
        <f>IFERROR(VLOOKUP($AA354,PLAN!$B:$AA,15,0),"")</f>
        <v>JAPAN</v>
      </c>
      <c r="M354" s="77">
        <f>IFERROR(VLOOKUP($AA354,PLAN!$B:$AA,18,0),"")</f>
        <v>0</v>
      </c>
      <c r="N354" s="227">
        <f>IFERROR(VLOOKUP($AA354,PLAN!$B:$AA,19,0),"")</f>
        <v>0</v>
      </c>
      <c r="O354" s="77" t="str">
        <f>IFERROR(VLOOKUP($AA354,PLAN!$B:$AA,12,0),"")</f>
        <v>2112273-0-C</v>
      </c>
      <c r="P354" s="77">
        <f>IFERROR(VLOOKUP($AA354,PLAN!$B:$AA,11,0),"")</f>
        <v>12116240</v>
      </c>
      <c r="Q354" s="349" t="s">
        <v>2582</v>
      </c>
      <c r="R354" s="158" t="s">
        <v>2583</v>
      </c>
      <c r="S354" s="149">
        <f t="shared" si="24"/>
        <v>4</v>
      </c>
      <c r="T354" s="131"/>
      <c r="U354" s="78">
        <f>IFERROR(VLOOKUP($AA354,PLAN!$B:$AA,21,0),"")</f>
        <v>46237</v>
      </c>
      <c r="V354" s="78" t="str">
        <f>IFERROR(VLOOKUP($AA354,PLAN!$B:$AA,22,0),"")</f>
        <v>M9</v>
      </c>
      <c r="W354" s="232"/>
      <c r="X354" s="233"/>
      <c r="Y354" s="212"/>
      <c r="Z354" s="350"/>
      <c r="AA354" s="195" t="s">
        <v>2495</v>
      </c>
      <c r="AB354" s="132">
        <f>VLOOKUP(AA354,PLAN!B:V,20,0)</f>
        <v>46237</v>
      </c>
      <c r="AC354" s="132"/>
    </row>
    <row r="355" spans="3:29" s="79" customFormat="1" ht="21.6" customHeight="1">
      <c r="C355" s="249" t="str">
        <f t="shared" si="23"/>
        <v>Aug13-35</v>
      </c>
      <c r="D355" s="77">
        <f>IFERROR(VLOOKUP($AA355,PLAN!$B:$AA,3,0),"")</f>
        <v>11119417</v>
      </c>
      <c r="E355" s="77" t="str">
        <f>IFERROR(VLOOKUP($AA355,PLAN!$B:$AA,4,0),"")</f>
        <v>1911085-D-A</v>
      </c>
      <c r="F355" s="77" t="str">
        <f>IFERROR(VLOOKUP($AA355,PLAN!$B:$AA,5,0),"")</f>
        <v>HJ60AL150P10022 JP</v>
      </c>
      <c r="G355" s="77" t="str">
        <f>IFERROR(VLOOKUP($AA355,PLAN!$B:$AA,2,0),"")</f>
        <v>1001929569</v>
      </c>
      <c r="H355" s="113">
        <f>IFERROR(VLOOKUP($AA355,PLAN!$B:$AA,7,0),"")</f>
        <v>46247</v>
      </c>
      <c r="I355" s="77" t="str">
        <f>IFERROR(VLOOKUP($AA355,PLAN!$B:$AA,8,0),"")</f>
        <v>0103578997</v>
      </c>
      <c r="J355" s="77" t="str">
        <f>IFERROR(VLOOKUP($AA355,PLAN!$B:$AA,9,0),"")</f>
        <v>260727C64A</v>
      </c>
      <c r="K355" s="77">
        <f>IFERROR(VLOOKUP($AA355,PLAN!$B:$AA,10,0),"")</f>
        <v>5</v>
      </c>
      <c r="L355" s="77" t="str">
        <f>IFERROR(VLOOKUP($AA355,PLAN!$B:$AA,15,0),"")</f>
        <v>JAPAN</v>
      </c>
      <c r="M355" s="77">
        <f>IFERROR(VLOOKUP($AA355,PLAN!$B:$AA,18,0),"")</f>
        <v>0</v>
      </c>
      <c r="N355" s="227">
        <f>IFERROR(VLOOKUP($AA355,PLAN!$B:$AA,19,0),"")</f>
        <v>0</v>
      </c>
      <c r="O355" s="77" t="str">
        <f>IFERROR(VLOOKUP($AA355,PLAN!$B:$AA,12,0),"")</f>
        <v>2112087-0-C</v>
      </c>
      <c r="P355" s="77">
        <f>IFERROR(VLOOKUP($AA355,PLAN!$B:$AA,11,0),"")</f>
        <v>12116052</v>
      </c>
      <c r="Q355" s="349" t="s">
        <v>2584</v>
      </c>
      <c r="R355" s="158" t="s">
        <v>2585</v>
      </c>
      <c r="S355" s="149">
        <f t="shared" si="24"/>
        <v>5</v>
      </c>
      <c r="T355" s="131"/>
      <c r="U355" s="78">
        <f>IFERROR(VLOOKUP($AA355,PLAN!$B:$AA,21,0),"")</f>
        <v>46237</v>
      </c>
      <c r="V355" s="78" t="str">
        <f>IFERROR(VLOOKUP($AA355,PLAN!$B:$AA,22,0),"")</f>
        <v>M9</v>
      </c>
      <c r="W355" s="232"/>
      <c r="X355" s="233"/>
      <c r="Y355" s="212"/>
      <c r="Z355" s="350"/>
      <c r="AA355" s="195" t="s">
        <v>2496</v>
      </c>
      <c r="AB355" s="132">
        <f>VLOOKUP(AA355,PLAN!B:V,20,0)</f>
        <v>46237</v>
      </c>
      <c r="AC355" s="132"/>
    </row>
    <row r="356" spans="3:29" s="79" customFormat="1" ht="21.6" customHeight="1">
      <c r="C356" s="249" t="str">
        <f t="shared" si="23"/>
        <v>Aug13-36</v>
      </c>
      <c r="D356" s="77">
        <f>IFERROR(VLOOKUP($AA356,PLAN!$B:$AA,3,0),"")</f>
        <v>11119342</v>
      </c>
      <c r="E356" s="77" t="str">
        <f>IFERROR(VLOOKUP($AA356,PLAN!$B:$AA,4,0),"")</f>
        <v>1911010-D-A</v>
      </c>
      <c r="F356" s="77" t="str">
        <f>IFERROR(VLOOKUP($AA356,PLAN!$B:$AA,5,0),"")</f>
        <v>HJ60AL102P10021 JP</v>
      </c>
      <c r="G356" s="77" t="str">
        <f>IFERROR(VLOOKUP($AA356,PLAN!$B:$AA,2,0),"")</f>
        <v>1001929570</v>
      </c>
      <c r="H356" s="113">
        <f>IFERROR(VLOOKUP($AA356,PLAN!$B:$AA,7,0),"")</f>
        <v>46247</v>
      </c>
      <c r="I356" s="77" t="str">
        <f>IFERROR(VLOOKUP($AA356,PLAN!$B:$AA,8,0),"")</f>
        <v>0103578998</v>
      </c>
      <c r="J356" s="77" t="str">
        <f>IFERROR(VLOOKUP($AA356,PLAN!$B:$AA,9,0),"")</f>
        <v>260727C65A</v>
      </c>
      <c r="K356" s="77">
        <f>IFERROR(VLOOKUP($AA356,PLAN!$B:$AA,10,0),"")</f>
        <v>6</v>
      </c>
      <c r="L356" s="77" t="str">
        <f>IFERROR(VLOOKUP($AA356,PLAN!$B:$AA,15,0),"")</f>
        <v>JAPAN</v>
      </c>
      <c r="M356" s="77">
        <f>IFERROR(VLOOKUP($AA356,PLAN!$B:$AA,18,0),"")</f>
        <v>0</v>
      </c>
      <c r="N356" s="227">
        <f>IFERROR(VLOOKUP($AA356,PLAN!$B:$AA,19,0),"")</f>
        <v>0</v>
      </c>
      <c r="O356" s="77" t="str">
        <f>IFERROR(VLOOKUP($AA356,PLAN!$B:$AA,12,0),"")</f>
        <v>2112012-0-C</v>
      </c>
      <c r="P356" s="77">
        <f>IFERROR(VLOOKUP($AA356,PLAN!$B:$AA,11,0),"")</f>
        <v>12115977</v>
      </c>
      <c r="Q356" s="349" t="s">
        <v>2586</v>
      </c>
      <c r="R356" s="158" t="s">
        <v>2587</v>
      </c>
      <c r="S356" s="149">
        <f t="shared" si="24"/>
        <v>6</v>
      </c>
      <c r="T356" s="131"/>
      <c r="U356" s="78">
        <f>IFERROR(VLOOKUP($AA356,PLAN!$B:$AA,21,0),"")</f>
        <v>46237</v>
      </c>
      <c r="V356" s="78" t="str">
        <f>IFERROR(VLOOKUP($AA356,PLAN!$B:$AA,22,0),"")</f>
        <v>M9</v>
      </c>
      <c r="W356" s="232"/>
      <c r="X356" s="233"/>
      <c r="Y356" s="212"/>
      <c r="Z356" s="350"/>
      <c r="AA356" s="195" t="s">
        <v>2497</v>
      </c>
      <c r="AB356" s="132">
        <f>VLOOKUP(AA356,PLAN!B:V,20,0)</f>
        <v>46237</v>
      </c>
      <c r="AC356" s="132"/>
    </row>
    <row r="357" spans="3:29" s="79" customFormat="1" ht="21.6" customHeight="1">
      <c r="C357" s="249" t="str">
        <f t="shared" si="23"/>
        <v>Aug13-37</v>
      </c>
      <c r="D357" s="77">
        <f>IFERROR(VLOOKUP($AA357,PLAN!$B:$AA,3,0),"")</f>
        <v>11119408</v>
      </c>
      <c r="E357" s="77" t="str">
        <f>IFERROR(VLOOKUP($AA357,PLAN!$B:$AA,4,0),"")</f>
        <v>1911076-D-A</v>
      </c>
      <c r="F357" s="77" t="str">
        <f>IFERROR(VLOOKUP($AA357,PLAN!$B:$AA,5,0),"")</f>
        <v>HJ60RB102P10020 JP</v>
      </c>
      <c r="G357" s="77" t="str">
        <f>IFERROR(VLOOKUP($AA357,PLAN!$B:$AA,2,0),"")</f>
        <v>1001929571</v>
      </c>
      <c r="H357" s="113">
        <f>IFERROR(VLOOKUP($AA357,PLAN!$B:$AA,7,0),"")</f>
        <v>46247</v>
      </c>
      <c r="I357" s="77" t="str">
        <f>IFERROR(VLOOKUP($AA357,PLAN!$B:$AA,8,0),"")</f>
        <v>0103578999</v>
      </c>
      <c r="J357" s="77" t="str">
        <f>IFERROR(VLOOKUP($AA357,PLAN!$B:$AA,9,0),"")</f>
        <v>260727C66A</v>
      </c>
      <c r="K357" s="77">
        <f>IFERROR(VLOOKUP($AA357,PLAN!$B:$AA,10,0),"")</f>
        <v>6</v>
      </c>
      <c r="L357" s="77" t="str">
        <f>IFERROR(VLOOKUP($AA357,PLAN!$B:$AA,15,0),"")</f>
        <v>JAPAN</v>
      </c>
      <c r="M357" s="77">
        <f>IFERROR(VLOOKUP($AA357,PLAN!$B:$AA,18,0),"")</f>
        <v>0</v>
      </c>
      <c r="N357" s="227">
        <f>IFERROR(VLOOKUP($AA357,PLAN!$B:$AA,19,0),"")</f>
        <v>0</v>
      </c>
      <c r="O357" s="77" t="str">
        <f>IFERROR(VLOOKUP($AA357,PLAN!$B:$AA,12,0),"")</f>
        <v>2112078-0-C</v>
      </c>
      <c r="P357" s="77">
        <f>IFERROR(VLOOKUP($AA357,PLAN!$B:$AA,11,0),"")</f>
        <v>12116043</v>
      </c>
      <c r="Q357" s="349" t="s">
        <v>805</v>
      </c>
      <c r="R357" s="149" t="s">
        <v>806</v>
      </c>
      <c r="S357" s="223">
        <v>1</v>
      </c>
      <c r="T357" s="131"/>
      <c r="U357" s="78">
        <f>IFERROR(VLOOKUP($AA357,PLAN!$B:$AA,21,0),"")</f>
        <v>46237</v>
      </c>
      <c r="V357" s="78" t="str">
        <f>IFERROR(VLOOKUP($AA357,PLAN!$B:$AA,22,0),"")</f>
        <v>M9</v>
      </c>
      <c r="W357" s="232"/>
      <c r="X357" s="233"/>
      <c r="Y357" s="212"/>
      <c r="Z357" s="350"/>
      <c r="AA357" s="195" t="s">
        <v>2498</v>
      </c>
      <c r="AB357" s="132">
        <f>VLOOKUP(AA357,PLAN!B:V,20,0)</f>
        <v>46237</v>
      </c>
      <c r="AC357" s="132"/>
    </row>
    <row r="358" spans="3:29" s="79" customFormat="1" ht="21.6" customHeight="1">
      <c r="C358" s="249"/>
      <c r="D358" s="77"/>
      <c r="E358" s="77"/>
      <c r="F358" s="77"/>
      <c r="G358" s="77"/>
      <c r="H358" s="113"/>
      <c r="I358" s="77"/>
      <c r="J358" s="77"/>
      <c r="K358" s="77"/>
      <c r="L358" s="77"/>
      <c r="M358" s="77"/>
      <c r="N358" s="227"/>
      <c r="O358" s="77"/>
      <c r="P358" s="77"/>
      <c r="Q358" s="349" t="s">
        <v>2588</v>
      </c>
      <c r="R358" s="158" t="s">
        <v>2589</v>
      </c>
      <c r="S358" s="223">
        <v>5</v>
      </c>
      <c r="T358" s="131"/>
      <c r="U358" s="78"/>
      <c r="V358" s="78"/>
      <c r="W358" s="232"/>
      <c r="X358" s="233"/>
      <c r="Y358" s="212"/>
      <c r="Z358" s="350"/>
      <c r="AA358" s="195"/>
      <c r="AB358" s="132">
        <v>46237</v>
      </c>
      <c r="AC358" s="132"/>
    </row>
    <row r="359" spans="3:29" s="79" customFormat="1" ht="21.6" customHeight="1">
      <c r="C359" s="249" t="str">
        <f t="shared" si="23"/>
        <v>Aug13-38</v>
      </c>
      <c r="D359" s="77">
        <f>IFERROR(VLOOKUP($AA359,PLAN!$B:$AA,3,0),"")</f>
        <v>11119657</v>
      </c>
      <c r="E359" s="77" t="str">
        <f>IFERROR(VLOOKUP($AA359,PLAN!$B:$AA,4,0),"")</f>
        <v>1911323-D-A</v>
      </c>
      <c r="F359" s="77" t="str">
        <f>IFERROR(VLOOKUP($AA359,PLAN!$B:$AA,5,0),"")</f>
        <v>HJ80AL070P10002 JP</v>
      </c>
      <c r="G359" s="77" t="str">
        <f>IFERROR(VLOOKUP($AA359,PLAN!$B:$AA,2,0),"")</f>
        <v>1001929572</v>
      </c>
      <c r="H359" s="113">
        <f>IFERROR(VLOOKUP($AA359,PLAN!$B:$AA,7,0),"")</f>
        <v>46247</v>
      </c>
      <c r="I359" s="77" t="str">
        <f>IFERROR(VLOOKUP($AA359,PLAN!$B:$AA,8,0),"")</f>
        <v>0103579000</v>
      </c>
      <c r="J359" s="77" t="str">
        <f>IFERROR(VLOOKUP($AA359,PLAN!$B:$AA,9,0),"")</f>
        <v>260727C67A</v>
      </c>
      <c r="K359" s="77">
        <f>IFERROR(VLOOKUP($AA359,PLAN!$B:$AA,10,0),"")</f>
        <v>6</v>
      </c>
      <c r="L359" s="77" t="str">
        <f>IFERROR(VLOOKUP($AA359,PLAN!$B:$AA,15,0),"")</f>
        <v>JAPAN</v>
      </c>
      <c r="M359" s="77">
        <f>IFERROR(VLOOKUP($AA359,PLAN!$B:$AA,18,0),"")</f>
        <v>0</v>
      </c>
      <c r="N359" s="227">
        <f>IFERROR(VLOOKUP($AA359,PLAN!$B:$AA,19,0),"")</f>
        <v>0</v>
      </c>
      <c r="O359" s="77" t="str">
        <f>IFERROR(VLOOKUP($AA359,PLAN!$B:$AA,12,0),"")</f>
        <v>2112325-0-C</v>
      </c>
      <c r="P359" s="77">
        <f>IFERROR(VLOOKUP($AA359,PLAN!$B:$AA,11,0),"")</f>
        <v>12116292</v>
      </c>
      <c r="Q359" s="349" t="s">
        <v>2590</v>
      </c>
      <c r="R359" s="158" t="s">
        <v>2591</v>
      </c>
      <c r="S359" s="149">
        <f t="shared" si="24"/>
        <v>6</v>
      </c>
      <c r="T359" s="131"/>
      <c r="U359" s="78">
        <f>IFERROR(VLOOKUP($AA359,PLAN!$B:$AA,21,0),"")</f>
        <v>46237</v>
      </c>
      <c r="V359" s="78" t="str">
        <f>IFERROR(VLOOKUP($AA359,PLAN!$B:$AA,22,0),"")</f>
        <v>M9</v>
      </c>
      <c r="W359" s="232"/>
      <c r="X359" s="233"/>
      <c r="Y359" s="212"/>
      <c r="Z359" s="350"/>
      <c r="AA359" s="195" t="s">
        <v>2499</v>
      </c>
      <c r="AB359" s="132">
        <f>VLOOKUP(AA359,PLAN!B:V,20,0)</f>
        <v>46237</v>
      </c>
      <c r="AC359" s="132"/>
    </row>
    <row r="360" spans="3:29" s="79" customFormat="1" ht="21.6" customHeight="1">
      <c r="C360" s="249" t="str">
        <f t="shared" si="23"/>
        <v>Aug13-39</v>
      </c>
      <c r="D360" s="77">
        <f>IFERROR(VLOOKUP($AA360,PLAN!$B:$AA,3,0),"")</f>
        <v>11119420</v>
      </c>
      <c r="E360" s="77" t="str">
        <f>IFERROR(VLOOKUP($AA360,PLAN!$B:$AA,4,0),"")</f>
        <v>1911088-D-A</v>
      </c>
      <c r="F360" s="77" t="str">
        <f>IFERROR(VLOOKUP($AA360,PLAN!$B:$AA,5,0),"")</f>
        <v>HJ60AL202P10022 JP</v>
      </c>
      <c r="G360" s="77" t="str">
        <f>IFERROR(VLOOKUP($AA360,PLAN!$B:$AA,2,0),"")</f>
        <v>1001929573</v>
      </c>
      <c r="H360" s="113">
        <f>IFERROR(VLOOKUP($AA360,PLAN!$B:$AA,7,0),"")</f>
        <v>46247</v>
      </c>
      <c r="I360" s="77" t="str">
        <f>IFERROR(VLOOKUP($AA360,PLAN!$B:$AA,8,0),"")</f>
        <v>0103579001</v>
      </c>
      <c r="J360" s="77" t="str">
        <f>IFERROR(VLOOKUP($AA360,PLAN!$B:$AA,9,0),"")</f>
        <v>260727C68A</v>
      </c>
      <c r="K360" s="77">
        <f>IFERROR(VLOOKUP($AA360,PLAN!$B:$AA,10,0),"")</f>
        <v>7</v>
      </c>
      <c r="L360" s="77" t="str">
        <f>IFERROR(VLOOKUP($AA360,PLAN!$B:$AA,15,0),"")</f>
        <v>JAPAN</v>
      </c>
      <c r="M360" s="77">
        <f>IFERROR(VLOOKUP($AA360,PLAN!$B:$AA,18,0),"")</f>
        <v>0</v>
      </c>
      <c r="N360" s="227">
        <f>IFERROR(VLOOKUP($AA360,PLAN!$B:$AA,19,0),"")</f>
        <v>0</v>
      </c>
      <c r="O360" s="77" t="str">
        <f>IFERROR(VLOOKUP($AA360,PLAN!$B:$AA,12,0),"")</f>
        <v>2112090-0-C</v>
      </c>
      <c r="P360" s="77">
        <f>IFERROR(VLOOKUP($AA360,PLAN!$B:$AA,11,0),"")</f>
        <v>12116055</v>
      </c>
      <c r="Q360" s="349" t="s">
        <v>2592</v>
      </c>
      <c r="R360" s="158" t="s">
        <v>2593</v>
      </c>
      <c r="S360" s="149">
        <f t="shared" si="24"/>
        <v>7</v>
      </c>
      <c r="T360" s="131"/>
      <c r="U360" s="78">
        <f>IFERROR(VLOOKUP($AA360,PLAN!$B:$AA,21,0),"")</f>
        <v>46237</v>
      </c>
      <c r="V360" s="78" t="str">
        <f>IFERROR(VLOOKUP($AA360,PLAN!$B:$AA,22,0),"")</f>
        <v>M9</v>
      </c>
      <c r="W360" s="232"/>
      <c r="X360" s="233"/>
      <c r="Y360" s="212"/>
      <c r="Z360" s="350"/>
      <c r="AA360" s="195" t="s">
        <v>2500</v>
      </c>
      <c r="AB360" s="132">
        <f>VLOOKUP(AA360,PLAN!B:V,20,0)</f>
        <v>46237</v>
      </c>
      <c r="AC360" s="132"/>
    </row>
    <row r="361" spans="3:29" s="79" customFormat="1" ht="21.6" customHeight="1">
      <c r="C361" s="249" t="str">
        <f t="shared" si="23"/>
        <v>Aug13-40</v>
      </c>
      <c r="D361" s="77">
        <f>IFERROR(VLOOKUP($AA361,PLAN!$B:$AA,3,0),"")</f>
        <v>11119615</v>
      </c>
      <c r="E361" s="77" t="str">
        <f>IFERROR(VLOOKUP($AA361,PLAN!$B:$AA,4,0),"")</f>
        <v>1911281-D-A</v>
      </c>
      <c r="F361" s="77" t="str">
        <f>IFERROR(VLOOKUP($AA361,PLAN!$B:$AA,5,0),"")</f>
        <v>HJ80JL402P10001 JP</v>
      </c>
      <c r="G361" s="77" t="str">
        <f>IFERROR(VLOOKUP($AA361,PLAN!$B:$AA,2,0),"")</f>
        <v>1001929574</v>
      </c>
      <c r="H361" s="113">
        <f>IFERROR(VLOOKUP($AA361,PLAN!$B:$AA,7,0),"")</f>
        <v>46247</v>
      </c>
      <c r="I361" s="77" t="str">
        <f>IFERROR(VLOOKUP($AA361,PLAN!$B:$AA,8,0),"")</f>
        <v>0103579002</v>
      </c>
      <c r="J361" s="77" t="str">
        <f>IFERROR(VLOOKUP($AA361,PLAN!$B:$AA,9,0),"")</f>
        <v>260727C69A</v>
      </c>
      <c r="K361" s="77">
        <f>IFERROR(VLOOKUP($AA361,PLAN!$B:$AA,10,0),"")</f>
        <v>7</v>
      </c>
      <c r="L361" s="77" t="str">
        <f>IFERROR(VLOOKUP($AA361,PLAN!$B:$AA,15,0),"")</f>
        <v>JAPAN</v>
      </c>
      <c r="M361" s="77">
        <f>IFERROR(VLOOKUP($AA361,PLAN!$B:$AA,18,0),"")</f>
        <v>0</v>
      </c>
      <c r="N361" s="227">
        <f>IFERROR(VLOOKUP($AA361,PLAN!$B:$AA,19,0),"")</f>
        <v>0</v>
      </c>
      <c r="O361" s="77" t="str">
        <f>IFERROR(VLOOKUP($AA361,PLAN!$B:$AA,12,0),"")</f>
        <v>2112283-0-C</v>
      </c>
      <c r="P361" s="77">
        <f>IFERROR(VLOOKUP($AA361,PLAN!$B:$AA,11,0),"")</f>
        <v>12116250</v>
      </c>
      <c r="Q361" s="349" t="s">
        <v>2594</v>
      </c>
      <c r="R361" s="158" t="s">
        <v>2595</v>
      </c>
      <c r="S361" s="149">
        <f t="shared" si="24"/>
        <v>7</v>
      </c>
      <c r="T361" s="131"/>
      <c r="U361" s="78">
        <f>IFERROR(VLOOKUP($AA361,PLAN!$B:$AA,21,0),"")</f>
        <v>46237</v>
      </c>
      <c r="V361" s="78" t="str">
        <f>IFERROR(VLOOKUP($AA361,PLAN!$B:$AA,22,0),"")</f>
        <v>M9</v>
      </c>
      <c r="W361" s="232"/>
      <c r="X361" s="233"/>
      <c r="Y361" s="212"/>
      <c r="Z361" s="350"/>
      <c r="AA361" s="195" t="s">
        <v>2501</v>
      </c>
      <c r="AB361" s="132">
        <f>VLOOKUP(AA361,PLAN!B:V,20,0)</f>
        <v>46237</v>
      </c>
      <c r="AC361" s="132"/>
    </row>
    <row r="362" spans="3:29" s="79" customFormat="1" ht="21.6" customHeight="1">
      <c r="C362" s="249" t="str">
        <f t="shared" si="23"/>
        <v>Aug13-41</v>
      </c>
      <c r="D362" s="77">
        <f>IFERROR(VLOOKUP($AA362,PLAN!$B:$AA,3,0),"")</f>
        <v>11119386</v>
      </c>
      <c r="E362" s="77" t="str">
        <f>IFERROR(VLOOKUP($AA362,PLAN!$B:$AA,4,0),"")</f>
        <v>1911054-D-A</v>
      </c>
      <c r="F362" s="77" t="str">
        <f>IFERROR(VLOOKUP($AA362,PLAN!$B:$AA,5,0),"")</f>
        <v>HJ60JL502P10020 JP</v>
      </c>
      <c r="G362" s="77" t="str">
        <f>IFERROR(VLOOKUP($AA362,PLAN!$B:$AA,2,0),"")</f>
        <v>1001929575</v>
      </c>
      <c r="H362" s="113">
        <f>IFERROR(VLOOKUP($AA362,PLAN!$B:$AA,7,0),"")</f>
        <v>46247</v>
      </c>
      <c r="I362" s="77" t="str">
        <f>IFERROR(VLOOKUP($AA362,PLAN!$B:$AA,8,0),"")</f>
        <v>0103579003</v>
      </c>
      <c r="J362" s="77" t="str">
        <f>IFERROR(VLOOKUP($AA362,PLAN!$B:$AA,9,0),"")</f>
        <v>260727C70A</v>
      </c>
      <c r="K362" s="77">
        <f>IFERROR(VLOOKUP($AA362,PLAN!$B:$AA,10,0),"")</f>
        <v>8</v>
      </c>
      <c r="L362" s="77" t="str">
        <f>IFERROR(VLOOKUP($AA362,PLAN!$B:$AA,15,0),"")</f>
        <v>JAPAN</v>
      </c>
      <c r="M362" s="77">
        <f>IFERROR(VLOOKUP($AA362,PLAN!$B:$AA,18,0),"")</f>
        <v>0</v>
      </c>
      <c r="N362" s="227">
        <f>IFERROR(VLOOKUP($AA362,PLAN!$B:$AA,19,0),"")</f>
        <v>0</v>
      </c>
      <c r="O362" s="77" t="str">
        <f>IFERROR(VLOOKUP($AA362,PLAN!$B:$AA,12,0),"")</f>
        <v>2112056-0-C</v>
      </c>
      <c r="P362" s="77">
        <f>IFERROR(VLOOKUP($AA362,PLAN!$B:$AA,11,0),"")</f>
        <v>12116021</v>
      </c>
      <c r="Q362" s="349" t="s">
        <v>2596</v>
      </c>
      <c r="R362" s="158" t="s">
        <v>2597</v>
      </c>
      <c r="S362" s="149">
        <f t="shared" si="24"/>
        <v>8</v>
      </c>
      <c r="T362" s="131"/>
      <c r="U362" s="78">
        <f>IFERROR(VLOOKUP($AA362,PLAN!$B:$AA,21,0),"")</f>
        <v>46237</v>
      </c>
      <c r="V362" s="78" t="str">
        <f>IFERROR(VLOOKUP($AA362,PLAN!$B:$AA,22,0),"")</f>
        <v>M9</v>
      </c>
      <c r="W362" s="232"/>
      <c r="X362" s="233"/>
      <c r="Y362" s="212"/>
      <c r="Z362" s="350"/>
      <c r="AA362" s="195" t="s">
        <v>2502</v>
      </c>
      <c r="AB362" s="132">
        <f>VLOOKUP(AA362,PLAN!B:V,20,0)</f>
        <v>46237</v>
      </c>
      <c r="AC362" s="132"/>
    </row>
    <row r="363" spans="3:29" s="79" customFormat="1" ht="21.6" customHeight="1">
      <c r="C363" s="249" t="str">
        <f t="shared" si="23"/>
        <v>Aug13-42</v>
      </c>
      <c r="D363" s="77">
        <f>IFERROR(VLOOKUP($AA363,PLAN!$B:$AA,3,0),"")</f>
        <v>11119336</v>
      </c>
      <c r="E363" s="77" t="str">
        <f>IFERROR(VLOOKUP($AA363,PLAN!$B:$AA,4,0),"")</f>
        <v>1911004-D-A</v>
      </c>
      <c r="F363" s="77" t="str">
        <f>IFERROR(VLOOKUP($AA363,PLAN!$B:$AA,5,0),"")</f>
        <v>HJ60AL072P10021 JP</v>
      </c>
      <c r="G363" s="77" t="str">
        <f>IFERROR(VLOOKUP($AA363,PLAN!$B:$AA,2,0),"")</f>
        <v>1001929576</v>
      </c>
      <c r="H363" s="113">
        <f>IFERROR(VLOOKUP($AA363,PLAN!$B:$AA,7,0),"")</f>
        <v>46247</v>
      </c>
      <c r="I363" s="77" t="str">
        <f>IFERROR(VLOOKUP($AA363,PLAN!$B:$AA,8,0),"")</f>
        <v>0103579004</v>
      </c>
      <c r="J363" s="77" t="str">
        <f>IFERROR(VLOOKUP($AA363,PLAN!$B:$AA,9,0),"")</f>
        <v>260727C71A</v>
      </c>
      <c r="K363" s="77">
        <f>IFERROR(VLOOKUP($AA363,PLAN!$B:$AA,10,0),"")</f>
        <v>9</v>
      </c>
      <c r="L363" s="77" t="str">
        <f>IFERROR(VLOOKUP($AA363,PLAN!$B:$AA,15,0),"")</f>
        <v>JAPAN</v>
      </c>
      <c r="M363" s="77">
        <f>IFERROR(VLOOKUP($AA363,PLAN!$B:$AA,18,0),"")</f>
        <v>0</v>
      </c>
      <c r="N363" s="227">
        <f>IFERROR(VLOOKUP($AA363,PLAN!$B:$AA,19,0),"")</f>
        <v>0</v>
      </c>
      <c r="O363" s="77" t="str">
        <f>IFERROR(VLOOKUP($AA363,PLAN!$B:$AA,12,0),"")</f>
        <v>2112006-0-C</v>
      </c>
      <c r="P363" s="77">
        <f>IFERROR(VLOOKUP($AA363,PLAN!$B:$AA,11,0),"")</f>
        <v>12115971</v>
      </c>
      <c r="Q363" s="349" t="s">
        <v>2598</v>
      </c>
      <c r="R363" s="158" t="s">
        <v>2599</v>
      </c>
      <c r="S363" s="149">
        <f t="shared" si="24"/>
        <v>9</v>
      </c>
      <c r="T363" s="131"/>
      <c r="U363" s="78">
        <f>IFERROR(VLOOKUP($AA363,PLAN!$B:$AA,21,0),"")</f>
        <v>46237</v>
      </c>
      <c r="V363" s="78" t="str">
        <f>IFERROR(VLOOKUP($AA363,PLAN!$B:$AA,22,0),"")</f>
        <v>M9</v>
      </c>
      <c r="W363" s="232"/>
      <c r="X363" s="233"/>
      <c r="Y363" s="212"/>
      <c r="Z363" s="350"/>
      <c r="AA363" s="195" t="s">
        <v>2503</v>
      </c>
      <c r="AB363" s="132">
        <f>VLOOKUP(AA363,PLAN!B:V,20,0)</f>
        <v>46237</v>
      </c>
      <c r="AC363" s="132"/>
    </row>
    <row r="364" spans="3:29" s="79" customFormat="1" ht="21.6" customHeight="1">
      <c r="C364" s="249" t="str">
        <f t="shared" si="23"/>
        <v>Aug13-43</v>
      </c>
      <c r="D364" s="77">
        <f>IFERROR(VLOOKUP($AA364,PLAN!$B:$AA,3,0),"")</f>
        <v>11119347</v>
      </c>
      <c r="E364" s="77" t="str">
        <f>IFERROR(VLOOKUP($AA364,PLAN!$B:$AA,4,0),"")</f>
        <v>1911015-D-A</v>
      </c>
      <c r="F364" s="77" t="str">
        <f>IFERROR(VLOOKUP($AA364,PLAN!$B:$AA,5,0),"")</f>
        <v>HJ60AL200P10020 JP</v>
      </c>
      <c r="G364" s="77" t="str">
        <f>IFERROR(VLOOKUP($AA364,PLAN!$B:$AA,2,0),"")</f>
        <v>1001929577</v>
      </c>
      <c r="H364" s="113">
        <f>IFERROR(VLOOKUP($AA364,PLAN!$B:$AA,7,0),"")</f>
        <v>46247</v>
      </c>
      <c r="I364" s="77" t="str">
        <f>IFERROR(VLOOKUP($AA364,PLAN!$B:$AA,8,0),"")</f>
        <v>0103579005</v>
      </c>
      <c r="J364" s="77" t="str">
        <f>IFERROR(VLOOKUP($AA364,PLAN!$B:$AA,9,0),"")</f>
        <v>260727C72A</v>
      </c>
      <c r="K364" s="77">
        <f>IFERROR(VLOOKUP($AA364,PLAN!$B:$AA,10,0),"")</f>
        <v>9</v>
      </c>
      <c r="L364" s="77" t="str">
        <f>IFERROR(VLOOKUP($AA364,PLAN!$B:$AA,15,0),"")</f>
        <v>JAPAN</v>
      </c>
      <c r="M364" s="77">
        <f>IFERROR(VLOOKUP($AA364,PLAN!$B:$AA,18,0),"")</f>
        <v>0</v>
      </c>
      <c r="N364" s="227">
        <f>IFERROR(VLOOKUP($AA364,PLAN!$B:$AA,19,0),"")</f>
        <v>0</v>
      </c>
      <c r="O364" s="77" t="str">
        <f>IFERROR(VLOOKUP($AA364,PLAN!$B:$AA,12,0),"")</f>
        <v>2112017-0-C</v>
      </c>
      <c r="P364" s="77">
        <f>IFERROR(VLOOKUP($AA364,PLAN!$B:$AA,11,0),"")</f>
        <v>12115982</v>
      </c>
      <c r="Q364" s="349" t="s">
        <v>2600</v>
      </c>
      <c r="R364" s="158" t="s">
        <v>2601</v>
      </c>
      <c r="S364" s="149">
        <f t="shared" si="24"/>
        <v>9</v>
      </c>
      <c r="T364" s="131"/>
      <c r="U364" s="78">
        <f>IFERROR(VLOOKUP($AA364,PLAN!$B:$AA,21,0),"")</f>
        <v>46237</v>
      </c>
      <c r="V364" s="78" t="str">
        <f>IFERROR(VLOOKUP($AA364,PLAN!$B:$AA,22,0),"")</f>
        <v>M9</v>
      </c>
      <c r="W364" s="232"/>
      <c r="X364" s="233"/>
      <c r="Y364" s="212"/>
      <c r="Z364" s="350"/>
      <c r="AA364" s="195" t="s">
        <v>2504</v>
      </c>
      <c r="AB364" s="132">
        <f>VLOOKUP(AA364,PLAN!B:V,20,0)</f>
        <v>46237</v>
      </c>
      <c r="AC364" s="132"/>
    </row>
    <row r="365" spans="3:29" s="79" customFormat="1" ht="21.6" customHeight="1">
      <c r="C365" s="249" t="str">
        <f t="shared" si="23"/>
        <v>Aug13-44</v>
      </c>
      <c r="D365" s="77">
        <f>IFERROR(VLOOKUP($AA365,PLAN!$B:$AA,3,0),"")</f>
        <v>11119364</v>
      </c>
      <c r="E365" s="77" t="str">
        <f>IFERROR(VLOOKUP($AA365,PLAN!$B:$AA,4,0),"")</f>
        <v>1911032-D-A</v>
      </c>
      <c r="F365" s="77" t="str">
        <f>IFERROR(VLOOKUP($AA365,PLAN!$B:$AA,5,0),"")</f>
        <v>HJ60IL352P10020 JP</v>
      </c>
      <c r="G365" s="77" t="str">
        <f>IFERROR(VLOOKUP($AA365,PLAN!$B:$AA,2,0),"")</f>
        <v>1001929578</v>
      </c>
      <c r="H365" s="113">
        <f>IFERROR(VLOOKUP($AA365,PLAN!$B:$AA,7,0),"")</f>
        <v>46247</v>
      </c>
      <c r="I365" s="77" t="str">
        <f>IFERROR(VLOOKUP($AA365,PLAN!$B:$AA,8,0),"")</f>
        <v>0103579006</v>
      </c>
      <c r="J365" s="77" t="str">
        <f>IFERROR(VLOOKUP($AA365,PLAN!$B:$AA,9,0),"")</f>
        <v>260727C73A</v>
      </c>
      <c r="K365" s="77">
        <f>IFERROR(VLOOKUP($AA365,PLAN!$B:$AA,10,0),"")</f>
        <v>9</v>
      </c>
      <c r="L365" s="77" t="str">
        <f>IFERROR(VLOOKUP($AA365,PLAN!$B:$AA,15,0),"")</f>
        <v>JAPAN</v>
      </c>
      <c r="M365" s="77">
        <f>IFERROR(VLOOKUP($AA365,PLAN!$B:$AA,18,0),"")</f>
        <v>0</v>
      </c>
      <c r="N365" s="227">
        <f>IFERROR(VLOOKUP($AA365,PLAN!$B:$AA,19,0),"")</f>
        <v>0</v>
      </c>
      <c r="O365" s="77" t="str">
        <f>IFERROR(VLOOKUP($AA365,PLAN!$B:$AA,12,0),"")</f>
        <v>2112034-0-C</v>
      </c>
      <c r="P365" s="77">
        <f>IFERROR(VLOOKUP($AA365,PLAN!$B:$AA,11,0),"")</f>
        <v>12115999</v>
      </c>
      <c r="Q365" s="349" t="s">
        <v>2602</v>
      </c>
      <c r="R365" s="158" t="s">
        <v>2603</v>
      </c>
      <c r="S365" s="149">
        <f t="shared" si="24"/>
        <v>9</v>
      </c>
      <c r="T365" s="131"/>
      <c r="U365" s="78">
        <f>IFERROR(VLOOKUP($AA365,PLAN!$B:$AA,21,0),"")</f>
        <v>46237</v>
      </c>
      <c r="V365" s="78" t="str">
        <f>IFERROR(VLOOKUP($AA365,PLAN!$B:$AA,22,0),"")</f>
        <v>M9</v>
      </c>
      <c r="W365" s="232"/>
      <c r="X365" s="233"/>
      <c r="Y365" s="212"/>
      <c r="Z365" s="350"/>
      <c r="AA365" s="195" t="s">
        <v>2505</v>
      </c>
      <c r="AB365" s="132">
        <f>VLOOKUP(AA365,PLAN!B:V,20,0)</f>
        <v>46237</v>
      </c>
      <c r="AC365" s="132"/>
    </row>
    <row r="366" spans="3:29" s="79" customFormat="1" ht="21.6" customHeight="1">
      <c r="C366" s="249" t="str">
        <f t="shared" si="23"/>
        <v>Aug13-45</v>
      </c>
      <c r="D366" s="77">
        <f>IFERROR(VLOOKUP($AA366,PLAN!$B:$AA,3,0),"")</f>
        <v>11119374</v>
      </c>
      <c r="E366" s="77" t="str">
        <f>IFERROR(VLOOKUP($AA366,PLAN!$B:$AA,4,0),"")</f>
        <v>1911042-D-A</v>
      </c>
      <c r="F366" s="77" t="str">
        <f>IFERROR(VLOOKUP($AA366,PLAN!$B:$AA,5,0),"")</f>
        <v>HJ60JL352P10021 JP</v>
      </c>
      <c r="G366" s="77" t="str">
        <f>IFERROR(VLOOKUP($AA366,PLAN!$B:$AA,2,0),"")</f>
        <v>1001929579</v>
      </c>
      <c r="H366" s="113">
        <f>IFERROR(VLOOKUP($AA366,PLAN!$B:$AA,7,0),"")</f>
        <v>46247</v>
      </c>
      <c r="I366" s="77" t="str">
        <f>IFERROR(VLOOKUP($AA366,PLAN!$B:$AA,8,0),"")</f>
        <v>0103579007</v>
      </c>
      <c r="J366" s="77" t="str">
        <f>IFERROR(VLOOKUP($AA366,PLAN!$B:$AA,9,0),"")</f>
        <v>260727C74A</v>
      </c>
      <c r="K366" s="77">
        <f>IFERROR(VLOOKUP($AA366,PLAN!$B:$AA,10,0),"")</f>
        <v>9</v>
      </c>
      <c r="L366" s="77" t="str">
        <f>IFERROR(VLOOKUP($AA366,PLAN!$B:$AA,15,0),"")</f>
        <v>JAPAN</v>
      </c>
      <c r="M366" s="77">
        <f>IFERROR(VLOOKUP($AA366,PLAN!$B:$AA,18,0),"")</f>
        <v>0</v>
      </c>
      <c r="N366" s="227">
        <f>IFERROR(VLOOKUP($AA366,PLAN!$B:$AA,19,0),"")</f>
        <v>0</v>
      </c>
      <c r="O366" s="77" t="str">
        <f>IFERROR(VLOOKUP($AA366,PLAN!$B:$AA,12,0),"")</f>
        <v>2112044-0-C</v>
      </c>
      <c r="P366" s="77">
        <f>IFERROR(VLOOKUP($AA366,PLAN!$B:$AA,11,0),"")</f>
        <v>12116009</v>
      </c>
      <c r="Q366" s="349" t="s">
        <v>2604</v>
      </c>
      <c r="R366" s="158" t="s">
        <v>2605</v>
      </c>
      <c r="S366" s="149">
        <f t="shared" si="24"/>
        <v>9</v>
      </c>
      <c r="T366" s="131"/>
      <c r="U366" s="78">
        <f>IFERROR(VLOOKUP($AA366,PLAN!$B:$AA,21,0),"")</f>
        <v>46237</v>
      </c>
      <c r="V366" s="78" t="str">
        <f>IFERROR(VLOOKUP($AA366,PLAN!$B:$AA,22,0),"")</f>
        <v>M9</v>
      </c>
      <c r="W366" s="232"/>
      <c r="X366" s="233"/>
      <c r="Y366" s="212"/>
      <c r="Z366" s="350"/>
      <c r="AA366" s="195" t="s">
        <v>2506</v>
      </c>
      <c r="AB366" s="132">
        <f>VLOOKUP(AA366,PLAN!B:V,20,0)</f>
        <v>46237</v>
      </c>
      <c r="AC366" s="132"/>
    </row>
    <row r="367" spans="3:29" s="79" customFormat="1" ht="21.6" customHeight="1">
      <c r="C367" s="249" t="str">
        <f t="shared" si="23"/>
        <v>Aug13-46</v>
      </c>
      <c r="D367" s="77">
        <f>IFERROR(VLOOKUP($AA367,PLAN!$B:$AA,3,0),"")</f>
        <v>11119629</v>
      </c>
      <c r="E367" s="77" t="str">
        <f>IFERROR(VLOOKUP($AA367,PLAN!$B:$AA,4,0),"")</f>
        <v>1911295-D-A</v>
      </c>
      <c r="F367" s="77" t="str">
        <f>IFERROR(VLOOKUP($AA367,PLAN!$B:$AA,5,0),"")</f>
        <v>HJ80JR400P10000 JP</v>
      </c>
      <c r="G367" s="77" t="str">
        <f>IFERROR(VLOOKUP($AA367,PLAN!$B:$AA,2,0),"")</f>
        <v>1001929580</v>
      </c>
      <c r="H367" s="113">
        <f>IFERROR(VLOOKUP($AA367,PLAN!$B:$AA,7,0),"")</f>
        <v>46247</v>
      </c>
      <c r="I367" s="77" t="str">
        <f>IFERROR(VLOOKUP($AA367,PLAN!$B:$AA,8,0),"")</f>
        <v>0103579008</v>
      </c>
      <c r="J367" s="77" t="str">
        <f>IFERROR(VLOOKUP($AA367,PLAN!$B:$AA,9,0),"")</f>
        <v>260727C75A</v>
      </c>
      <c r="K367" s="77">
        <f>IFERROR(VLOOKUP($AA367,PLAN!$B:$AA,10,0),"")</f>
        <v>9</v>
      </c>
      <c r="L367" s="77" t="str">
        <f>IFERROR(VLOOKUP($AA367,PLAN!$B:$AA,15,0),"")</f>
        <v>JAPAN</v>
      </c>
      <c r="M367" s="77">
        <f>IFERROR(VLOOKUP($AA367,PLAN!$B:$AA,18,0),"")</f>
        <v>0</v>
      </c>
      <c r="N367" s="227">
        <f>IFERROR(VLOOKUP($AA367,PLAN!$B:$AA,19,0),"")</f>
        <v>0</v>
      </c>
      <c r="O367" s="77" t="str">
        <f>IFERROR(VLOOKUP($AA367,PLAN!$B:$AA,12,0),"")</f>
        <v>2112297-0-C</v>
      </c>
      <c r="P367" s="77">
        <f>IFERROR(VLOOKUP($AA367,PLAN!$B:$AA,11,0),"")</f>
        <v>12116264</v>
      </c>
      <c r="Q367" s="349" t="s">
        <v>2606</v>
      </c>
      <c r="R367" s="158" t="s">
        <v>2607</v>
      </c>
      <c r="S367" s="149">
        <f t="shared" si="24"/>
        <v>9</v>
      </c>
      <c r="T367" s="131"/>
      <c r="U367" s="78">
        <f>IFERROR(VLOOKUP($AA367,PLAN!$B:$AA,21,0),"")</f>
        <v>46237</v>
      </c>
      <c r="V367" s="78" t="str">
        <f>IFERROR(VLOOKUP($AA367,PLAN!$B:$AA,22,0),"")</f>
        <v>M9</v>
      </c>
      <c r="W367" s="232"/>
      <c r="X367" s="233"/>
      <c r="Y367" s="212"/>
      <c r="Z367" s="350"/>
      <c r="AA367" s="195" t="s">
        <v>2507</v>
      </c>
      <c r="AB367" s="132">
        <f>VLOOKUP(AA367,PLAN!B:V,20,0)</f>
        <v>46237</v>
      </c>
      <c r="AC367" s="132"/>
    </row>
    <row r="368" spans="3:29" s="79" customFormat="1" ht="21.6" customHeight="1">
      <c r="C368" s="249" t="str">
        <f t="shared" si="23"/>
        <v>Aug13-47</v>
      </c>
      <c r="D368" s="77">
        <f>IFERROR(VLOOKUP($AA368,PLAN!$B:$AA,3,0),"")</f>
        <v>11119505</v>
      </c>
      <c r="E368" s="77" t="str">
        <f>IFERROR(VLOOKUP($AA368,PLAN!$B:$AA,4,0),"")</f>
        <v>1911171-D-A</v>
      </c>
      <c r="F368" s="77" t="str">
        <f>IFERROR(VLOOKUP($AA368,PLAN!$B:$AA,5,0),"")</f>
        <v>HJ70JR352P10020 JP</v>
      </c>
      <c r="G368" s="77" t="str">
        <f>IFERROR(VLOOKUP($AA368,PLAN!$B:$AA,2,0),"")</f>
        <v>1001929581</v>
      </c>
      <c r="H368" s="113">
        <f>IFERROR(VLOOKUP($AA368,PLAN!$B:$AA,7,0),"")</f>
        <v>46247</v>
      </c>
      <c r="I368" s="77" t="str">
        <f>IFERROR(VLOOKUP($AA368,PLAN!$B:$AA,8,0),"")</f>
        <v>0103579009</v>
      </c>
      <c r="J368" s="77" t="str">
        <f>IFERROR(VLOOKUP($AA368,PLAN!$B:$AA,9,0),"")</f>
        <v>260727C76A</v>
      </c>
      <c r="K368" s="77">
        <f>IFERROR(VLOOKUP($AA368,PLAN!$B:$AA,10,0),"")</f>
        <v>10</v>
      </c>
      <c r="L368" s="77" t="str">
        <f>IFERROR(VLOOKUP($AA368,PLAN!$B:$AA,15,0),"")</f>
        <v>JAPAN</v>
      </c>
      <c r="M368" s="77">
        <f>IFERROR(VLOOKUP($AA368,PLAN!$B:$AA,18,0),"")</f>
        <v>0</v>
      </c>
      <c r="N368" s="227">
        <f>IFERROR(VLOOKUP($AA368,PLAN!$B:$AA,19,0),"")</f>
        <v>0</v>
      </c>
      <c r="O368" s="77" t="str">
        <f>IFERROR(VLOOKUP($AA368,PLAN!$B:$AA,12,0),"")</f>
        <v>2112173-0-C</v>
      </c>
      <c r="P368" s="77">
        <f>IFERROR(VLOOKUP($AA368,PLAN!$B:$AA,11,0),"")</f>
        <v>12116140</v>
      </c>
      <c r="Q368" s="349" t="s">
        <v>2608</v>
      </c>
      <c r="R368" s="158" t="s">
        <v>2609</v>
      </c>
      <c r="S368" s="149">
        <f t="shared" si="24"/>
        <v>10</v>
      </c>
      <c r="T368" s="131"/>
      <c r="U368" s="78">
        <f>IFERROR(VLOOKUP($AA368,PLAN!$B:$AA,21,0),"")</f>
        <v>46237</v>
      </c>
      <c r="V368" s="78" t="str">
        <f>IFERROR(VLOOKUP($AA368,PLAN!$B:$AA,22,0),"")</f>
        <v>M9</v>
      </c>
      <c r="W368" s="232"/>
      <c r="X368" s="233"/>
      <c r="Y368" s="212"/>
      <c r="Z368" s="350"/>
      <c r="AA368" s="195" t="s">
        <v>2508</v>
      </c>
      <c r="AB368" s="132">
        <f>VLOOKUP(AA368,PLAN!B:V,20,0)</f>
        <v>46237</v>
      </c>
      <c r="AC368" s="132"/>
    </row>
    <row r="369" spans="3:29" s="79" customFormat="1" ht="21.6" customHeight="1">
      <c r="C369" s="249" t="str">
        <f t="shared" si="23"/>
        <v>Aug13-48</v>
      </c>
      <c r="D369" s="77">
        <f>IFERROR(VLOOKUP($AA369,PLAN!$B:$AA,3,0),"")</f>
        <v>11119667</v>
      </c>
      <c r="E369" s="77" t="str">
        <f>IFERROR(VLOOKUP($AA369,PLAN!$B:$AA,4,0),"")</f>
        <v>1911333-D-A</v>
      </c>
      <c r="F369" s="77" t="str">
        <f>IFERROR(VLOOKUP($AA369,PLAN!$B:$AA,5,0),"")</f>
        <v>HJ80AL152P10002 JP</v>
      </c>
      <c r="G369" s="77" t="str">
        <f>IFERROR(VLOOKUP($AA369,PLAN!$B:$AA,2,0),"")</f>
        <v>1001929582</v>
      </c>
      <c r="H369" s="113">
        <f>IFERROR(VLOOKUP($AA369,PLAN!$B:$AA,7,0),"")</f>
        <v>46247</v>
      </c>
      <c r="I369" s="77" t="str">
        <f>IFERROR(VLOOKUP($AA369,PLAN!$B:$AA,8,0),"")</f>
        <v>0103579010</v>
      </c>
      <c r="J369" s="77" t="str">
        <f>IFERROR(VLOOKUP($AA369,PLAN!$B:$AA,9,0),"")</f>
        <v>260727C77A</v>
      </c>
      <c r="K369" s="77">
        <f>IFERROR(VLOOKUP($AA369,PLAN!$B:$AA,10,0),"")</f>
        <v>11</v>
      </c>
      <c r="L369" s="77" t="str">
        <f>IFERROR(VLOOKUP($AA369,PLAN!$B:$AA,15,0),"")</f>
        <v>JAPAN</v>
      </c>
      <c r="M369" s="77">
        <f>IFERROR(VLOOKUP($AA369,PLAN!$B:$AA,18,0),"")</f>
        <v>0</v>
      </c>
      <c r="N369" s="227">
        <f>IFERROR(VLOOKUP($AA369,PLAN!$B:$AA,19,0),"")</f>
        <v>0</v>
      </c>
      <c r="O369" s="77" t="str">
        <f>IFERROR(VLOOKUP($AA369,PLAN!$B:$AA,12,0),"")</f>
        <v>2112335-0-C</v>
      </c>
      <c r="P369" s="77">
        <f>IFERROR(VLOOKUP($AA369,PLAN!$B:$AA,11,0),"")</f>
        <v>12116302</v>
      </c>
      <c r="Q369" s="349" t="s">
        <v>2610</v>
      </c>
      <c r="R369" s="158" t="s">
        <v>2611</v>
      </c>
      <c r="S369" s="149">
        <f t="shared" si="24"/>
        <v>11</v>
      </c>
      <c r="T369" s="131"/>
      <c r="U369" s="78">
        <f>IFERROR(VLOOKUP($AA369,PLAN!$B:$AA,21,0),"")</f>
        <v>46237</v>
      </c>
      <c r="V369" s="78" t="str">
        <f>IFERROR(VLOOKUP($AA369,PLAN!$B:$AA,22,0),"")</f>
        <v>M9</v>
      </c>
      <c r="W369" s="232"/>
      <c r="X369" s="233"/>
      <c r="Y369" s="212"/>
      <c r="Z369" s="350"/>
      <c r="AA369" s="195" t="s">
        <v>2509</v>
      </c>
      <c r="AB369" s="132">
        <f>VLOOKUP(AA369,PLAN!B:V,20,0)</f>
        <v>46237</v>
      </c>
      <c r="AC369" s="132"/>
    </row>
    <row r="370" spans="3:29" s="79" customFormat="1" ht="21.6" customHeight="1">
      <c r="C370" s="249" t="str">
        <f t="shared" ref="C370:C371" si="25">AA370</f>
        <v>Aug13-49</v>
      </c>
      <c r="D370" s="77">
        <f>IFERROR(VLOOKUP($AA370,PLAN!$B:$AA,3,0),"")</f>
        <v>11119587</v>
      </c>
      <c r="E370" s="77" t="str">
        <f>IFERROR(VLOOKUP($AA370,PLAN!$B:$AA,4,0),"")</f>
        <v>1911253-D-A</v>
      </c>
      <c r="F370" s="77" t="str">
        <f>IFERROR(VLOOKUP($AA370,PLAN!$B:$AA,5,0),"")</f>
        <v>HJ80AL202P10000 JP</v>
      </c>
      <c r="G370" s="77" t="str">
        <f>IFERROR(VLOOKUP($AA370,PLAN!$B:$AA,2,0),"")</f>
        <v>1001929583</v>
      </c>
      <c r="H370" s="113">
        <f>IFERROR(VLOOKUP($AA370,PLAN!$B:$AA,7,0),"")</f>
        <v>46247</v>
      </c>
      <c r="I370" s="77" t="str">
        <f>IFERROR(VLOOKUP($AA370,PLAN!$B:$AA,8,0),"")</f>
        <v>0103579011</v>
      </c>
      <c r="J370" s="77" t="str">
        <f>IFERROR(VLOOKUP($AA370,PLAN!$B:$AA,9,0),"")</f>
        <v>260727C78A</v>
      </c>
      <c r="K370" s="77">
        <f>IFERROR(VLOOKUP($AA370,PLAN!$B:$AA,10,0),"")</f>
        <v>15</v>
      </c>
      <c r="L370" s="77" t="str">
        <f>IFERROR(VLOOKUP($AA370,PLAN!$B:$AA,15,0),"")</f>
        <v>JAPAN</v>
      </c>
      <c r="M370" s="77">
        <f>IFERROR(VLOOKUP($AA370,PLAN!$B:$AA,18,0),"")</f>
        <v>0</v>
      </c>
      <c r="N370" s="227">
        <f>IFERROR(VLOOKUP($AA370,PLAN!$B:$AA,19,0),"")</f>
        <v>0</v>
      </c>
      <c r="O370" s="77" t="str">
        <f>IFERROR(VLOOKUP($AA370,PLAN!$B:$AA,12,0),"")</f>
        <v>2112255-0-C</v>
      </c>
      <c r="P370" s="77">
        <f>IFERROR(VLOOKUP($AA370,PLAN!$B:$AA,11,0),"")</f>
        <v>12116222</v>
      </c>
      <c r="Q370" s="349" t="s">
        <v>2612</v>
      </c>
      <c r="R370" s="158" t="s">
        <v>2613</v>
      </c>
      <c r="S370" s="149">
        <f t="shared" ref="S370:S371" si="26">K370</f>
        <v>15</v>
      </c>
      <c r="T370" s="131"/>
      <c r="U370" s="78">
        <f>IFERROR(VLOOKUP($AA370,PLAN!$B:$AA,21,0),"")</f>
        <v>46237</v>
      </c>
      <c r="V370" s="78" t="str">
        <f>IFERROR(VLOOKUP($AA370,PLAN!$B:$AA,22,0),"")</f>
        <v>M9</v>
      </c>
      <c r="W370" s="232"/>
      <c r="X370" s="233"/>
      <c r="Y370" s="212"/>
      <c r="Z370" s="350"/>
      <c r="AA370" s="195" t="s">
        <v>2510</v>
      </c>
      <c r="AB370" s="132">
        <f>VLOOKUP(AA370,PLAN!B:V,20,0)</f>
        <v>46237</v>
      </c>
      <c r="AC370" s="132"/>
    </row>
    <row r="371" spans="3:29" s="79" customFormat="1" ht="21.6" customHeight="1">
      <c r="C371" s="249" t="str">
        <f t="shared" si="25"/>
        <v>Aug13-50</v>
      </c>
      <c r="D371" s="77">
        <f>IFERROR(VLOOKUP($AA371,PLAN!$B:$AA,3,0),"")</f>
        <v>11119659</v>
      </c>
      <c r="E371" s="77" t="str">
        <f>IFERROR(VLOOKUP($AA371,PLAN!$B:$AA,4,0),"")</f>
        <v>1911325-D-A</v>
      </c>
      <c r="F371" s="77" t="str">
        <f>IFERROR(VLOOKUP($AA371,PLAN!$B:$AA,5,0),"")</f>
        <v>HJ80AL072P10002 JP</v>
      </c>
      <c r="G371" s="77" t="str">
        <f>IFERROR(VLOOKUP($AA371,PLAN!$B:$AA,2,0),"")</f>
        <v>1001929584</v>
      </c>
      <c r="H371" s="113">
        <f>IFERROR(VLOOKUP($AA371,PLAN!$B:$AA,7,0),"")</f>
        <v>46247</v>
      </c>
      <c r="I371" s="77" t="str">
        <f>IFERROR(VLOOKUP($AA371,PLAN!$B:$AA,8,0),"")</f>
        <v>0103579012</v>
      </c>
      <c r="J371" s="77" t="str">
        <f>IFERROR(VLOOKUP($AA371,PLAN!$B:$AA,9,0),"")</f>
        <v>260727C79A</v>
      </c>
      <c r="K371" s="77">
        <f>IFERROR(VLOOKUP($AA371,PLAN!$B:$AA,10,0),"")</f>
        <v>16</v>
      </c>
      <c r="L371" s="77" t="str">
        <f>IFERROR(VLOOKUP($AA371,PLAN!$B:$AA,15,0),"")</f>
        <v>JAPAN</v>
      </c>
      <c r="M371" s="77">
        <f>IFERROR(VLOOKUP($AA371,PLAN!$B:$AA,18,0),"")</f>
        <v>0</v>
      </c>
      <c r="N371" s="227">
        <f>IFERROR(VLOOKUP($AA371,PLAN!$B:$AA,19,0),"")</f>
        <v>0</v>
      </c>
      <c r="O371" s="77" t="str">
        <f>IFERROR(VLOOKUP($AA371,PLAN!$B:$AA,12,0),"")</f>
        <v>2112327-0-C</v>
      </c>
      <c r="P371" s="77">
        <f>IFERROR(VLOOKUP($AA371,PLAN!$B:$AA,11,0),"")</f>
        <v>12116294</v>
      </c>
      <c r="Q371" s="349" t="s">
        <v>2614</v>
      </c>
      <c r="R371" s="158" t="s">
        <v>2615</v>
      </c>
      <c r="S371" s="149">
        <f t="shared" si="26"/>
        <v>16</v>
      </c>
      <c r="T371" s="131"/>
      <c r="U371" s="78">
        <f>IFERROR(VLOOKUP($AA371,PLAN!$B:$AA,21,0),"")</f>
        <v>46237</v>
      </c>
      <c r="V371" s="78" t="str">
        <f>IFERROR(VLOOKUP($AA371,PLAN!$B:$AA,22,0),"")</f>
        <v>M9</v>
      </c>
      <c r="W371" s="232"/>
      <c r="X371" s="233"/>
      <c r="Y371" s="212"/>
      <c r="Z371" s="350"/>
      <c r="AA371" s="195" t="s">
        <v>2511</v>
      </c>
      <c r="AB371" s="132">
        <f>VLOOKUP(AA371,PLAN!B:V,20,0)</f>
        <v>46237</v>
      </c>
      <c r="AC371" s="132"/>
    </row>
    <row r="372" spans="3:29" s="79" customFormat="1" ht="21.6" customHeight="1">
      <c r="C372" s="249" t="str">
        <f t="shared" si="23"/>
        <v>Aug13-51</v>
      </c>
      <c r="D372" s="77">
        <f>IFERROR(VLOOKUP($AA372,PLAN!$B:$AA,3,0),"")</f>
        <v>11119365</v>
      </c>
      <c r="E372" s="77" t="str">
        <f>IFERROR(VLOOKUP($AA372,PLAN!$B:$AA,4,0),"")</f>
        <v>1911033-D-A</v>
      </c>
      <c r="F372" s="77" t="str">
        <f>IFERROR(VLOOKUP($AA372,PLAN!$B:$AA,5,0),"")</f>
        <v>HJ60IL400P10000 JP</v>
      </c>
      <c r="G372" s="77" t="str">
        <f>IFERROR(VLOOKUP($AA372,PLAN!$B:$AA,2,0),"")</f>
        <v>1001929585</v>
      </c>
      <c r="H372" s="113">
        <f>IFERROR(VLOOKUP($AA372,PLAN!$B:$AA,7,0),"")</f>
        <v>46247</v>
      </c>
      <c r="I372" s="77" t="str">
        <f>IFERROR(VLOOKUP($AA372,PLAN!$B:$AA,8,0),"")</f>
        <v>0103579013</v>
      </c>
      <c r="J372" s="77" t="str">
        <f>IFERROR(VLOOKUP($AA372,PLAN!$B:$AA,9,0),"")</f>
        <v>260727C80A</v>
      </c>
      <c r="K372" s="77">
        <f>IFERROR(VLOOKUP($AA372,PLAN!$B:$AA,10,0),"")</f>
        <v>20</v>
      </c>
      <c r="L372" s="77" t="str">
        <f>IFERROR(VLOOKUP($AA372,PLAN!$B:$AA,15,0),"")</f>
        <v>JAPAN</v>
      </c>
      <c r="M372" s="77">
        <f>IFERROR(VLOOKUP($AA372,PLAN!$B:$AA,18,0),"")</f>
        <v>0</v>
      </c>
      <c r="N372" s="227">
        <f>IFERROR(VLOOKUP($AA372,PLAN!$B:$AA,19,0),"")</f>
        <v>0</v>
      </c>
      <c r="O372" s="77" t="str">
        <f>IFERROR(VLOOKUP($AA372,PLAN!$B:$AA,12,0),"")</f>
        <v>2112035-0-C</v>
      </c>
      <c r="P372" s="77">
        <f>IFERROR(VLOOKUP($AA372,PLAN!$B:$AA,11,0),"")</f>
        <v>12116000</v>
      </c>
      <c r="Q372" s="349" t="s">
        <v>2616</v>
      </c>
      <c r="R372" s="158" t="s">
        <v>2617</v>
      </c>
      <c r="S372" s="149">
        <f t="shared" si="24"/>
        <v>20</v>
      </c>
      <c r="T372" s="131"/>
      <c r="U372" s="78">
        <f>IFERROR(VLOOKUP($AA372,PLAN!$B:$AA,21,0),"")</f>
        <v>46237</v>
      </c>
      <c r="V372" s="78" t="str">
        <f>IFERROR(VLOOKUP($AA372,PLAN!$B:$AA,22,0),"")</f>
        <v>M9</v>
      </c>
      <c r="W372" s="232"/>
      <c r="X372" s="233"/>
      <c r="Y372" s="212"/>
      <c r="Z372" s="350"/>
      <c r="AA372" s="195" t="s">
        <v>2512</v>
      </c>
      <c r="AB372" s="132">
        <f>VLOOKUP(AA372,PLAN!B:V,20,0)</f>
        <v>46237</v>
      </c>
      <c r="AC372" s="132"/>
    </row>
    <row r="373" spans="3:29" s="79" customFormat="1" ht="21.6" customHeight="1">
      <c r="C373" s="249" t="str">
        <f t="shared" si="23"/>
        <v>Aug13-52</v>
      </c>
      <c r="D373" s="77">
        <f>IFERROR(VLOOKUP($AA373,PLAN!$B:$AA,3,0),"")</f>
        <v>11119570</v>
      </c>
      <c r="E373" s="77" t="str">
        <f>IFERROR(VLOOKUP($AA373,PLAN!$B:$AA,4,0),"")</f>
        <v>1911236-D-A</v>
      </c>
      <c r="F373" s="77" t="str">
        <f>IFERROR(VLOOKUP($AA373,PLAN!$B:$AA,5,0),"")</f>
        <v>HJ80AL072P10000 JP</v>
      </c>
      <c r="G373" s="77" t="str">
        <f>IFERROR(VLOOKUP($AA373,PLAN!$B:$AA,2,0),"")</f>
        <v>1001929586</v>
      </c>
      <c r="H373" s="113">
        <f>IFERROR(VLOOKUP($AA373,PLAN!$B:$AA,7,0),"")</f>
        <v>46247</v>
      </c>
      <c r="I373" s="77" t="str">
        <f>IFERROR(VLOOKUP($AA373,PLAN!$B:$AA,8,0),"")</f>
        <v>0103579014</v>
      </c>
      <c r="J373" s="77" t="str">
        <f>IFERROR(VLOOKUP($AA373,PLAN!$B:$AA,9,0),"")</f>
        <v>260727C81A</v>
      </c>
      <c r="K373" s="77">
        <f>IFERROR(VLOOKUP($AA373,PLAN!$B:$AA,10,0),"")</f>
        <v>24</v>
      </c>
      <c r="L373" s="77" t="str">
        <f>IFERROR(VLOOKUP($AA373,PLAN!$B:$AA,15,0),"")</f>
        <v>JAPAN</v>
      </c>
      <c r="M373" s="77">
        <f>IFERROR(VLOOKUP($AA373,PLAN!$B:$AA,18,0),"")</f>
        <v>0</v>
      </c>
      <c r="N373" s="227">
        <f>IFERROR(VLOOKUP($AA373,PLAN!$B:$AA,19,0),"")</f>
        <v>0</v>
      </c>
      <c r="O373" s="77" t="str">
        <f>IFERROR(VLOOKUP($AA373,PLAN!$B:$AA,12,0),"")</f>
        <v>2112238-0-C</v>
      </c>
      <c r="P373" s="77">
        <f>IFERROR(VLOOKUP($AA373,PLAN!$B:$AA,11,0),"")</f>
        <v>12116205</v>
      </c>
      <c r="Q373" s="349" t="s">
        <v>2618</v>
      </c>
      <c r="R373" s="158" t="s">
        <v>2619</v>
      </c>
      <c r="S373" s="149">
        <f t="shared" si="24"/>
        <v>24</v>
      </c>
      <c r="T373" s="131"/>
      <c r="U373" s="78">
        <f>IFERROR(VLOOKUP($AA373,PLAN!$B:$AA,21,0),"")</f>
        <v>46237</v>
      </c>
      <c r="V373" s="78" t="str">
        <f>IFERROR(VLOOKUP($AA373,PLAN!$B:$AA,22,0),"")</f>
        <v>M9</v>
      </c>
      <c r="W373" s="232"/>
      <c r="X373" s="233"/>
      <c r="Y373" s="212"/>
      <c r="Z373" s="350"/>
      <c r="AA373" s="195" t="s">
        <v>2513</v>
      </c>
      <c r="AB373" s="132">
        <f>VLOOKUP(AA373,PLAN!B:V,20,0)</f>
        <v>46237</v>
      </c>
      <c r="AC373" s="132"/>
    </row>
    <row r="374" spans="3:29" s="79" customFormat="1" ht="21.6" customHeight="1">
      <c r="C374" s="249" t="str">
        <f t="shared" si="23"/>
        <v>Aug13-53</v>
      </c>
      <c r="D374" s="77">
        <f>IFERROR(VLOOKUP($AA374,PLAN!$B:$AA,3,0),"")</f>
        <v>11119582</v>
      </c>
      <c r="E374" s="77" t="str">
        <f>IFERROR(VLOOKUP($AA374,PLAN!$B:$AA,4,0),"")</f>
        <v>1911248-D-A</v>
      </c>
      <c r="F374" s="77" t="str">
        <f>IFERROR(VLOOKUP($AA374,PLAN!$B:$AA,5,0),"")</f>
        <v>HJ80AL152P10000 JP</v>
      </c>
      <c r="G374" s="77" t="str">
        <f>IFERROR(VLOOKUP($AA374,PLAN!$B:$AA,2,0),"")</f>
        <v>1001929587</v>
      </c>
      <c r="H374" s="113">
        <f>IFERROR(VLOOKUP($AA374,PLAN!$B:$AA,7,0),"")</f>
        <v>46247</v>
      </c>
      <c r="I374" s="77" t="str">
        <f>IFERROR(VLOOKUP($AA374,PLAN!$B:$AA,8,0),"")</f>
        <v>0103579015</v>
      </c>
      <c r="J374" s="77" t="str">
        <f>IFERROR(VLOOKUP($AA374,PLAN!$B:$AA,9,0),"")</f>
        <v>260727C82A</v>
      </c>
      <c r="K374" s="77">
        <f>IFERROR(VLOOKUP($AA374,PLAN!$B:$AA,10,0),"")</f>
        <v>26</v>
      </c>
      <c r="L374" s="77" t="str">
        <f>IFERROR(VLOOKUP($AA374,PLAN!$B:$AA,15,0),"")</f>
        <v>JAPAN</v>
      </c>
      <c r="M374" s="77">
        <f>IFERROR(VLOOKUP($AA374,PLAN!$B:$AA,18,0),"")</f>
        <v>0</v>
      </c>
      <c r="N374" s="227">
        <f>IFERROR(VLOOKUP($AA374,PLAN!$B:$AA,19,0),"")</f>
        <v>0</v>
      </c>
      <c r="O374" s="77" t="str">
        <f>IFERROR(VLOOKUP($AA374,PLAN!$B:$AA,12,0),"")</f>
        <v>2112250-0-C</v>
      </c>
      <c r="P374" s="77">
        <f>IFERROR(VLOOKUP($AA374,PLAN!$B:$AA,11,0),"")</f>
        <v>12116217</v>
      </c>
      <c r="Q374" s="349" t="s">
        <v>2620</v>
      </c>
      <c r="R374" s="158" t="s">
        <v>2621</v>
      </c>
      <c r="S374" s="149">
        <f t="shared" si="24"/>
        <v>26</v>
      </c>
      <c r="T374" s="131"/>
      <c r="U374" s="78">
        <f>IFERROR(VLOOKUP($AA374,PLAN!$B:$AA,21,0),"")</f>
        <v>46237</v>
      </c>
      <c r="V374" s="78" t="str">
        <f>IFERROR(VLOOKUP($AA374,PLAN!$B:$AA,22,0),"")</f>
        <v>M9</v>
      </c>
      <c r="W374" s="232"/>
      <c r="X374" s="233"/>
      <c r="Y374" s="212"/>
      <c r="Z374" s="350"/>
      <c r="AA374" s="195" t="s">
        <v>2514</v>
      </c>
      <c r="AB374" s="132">
        <f>VLOOKUP(AA374,PLAN!B:V,20,0)</f>
        <v>46237</v>
      </c>
      <c r="AC374" s="132"/>
    </row>
    <row r="375" spans="3:29" s="79" customFormat="1" ht="21.6" customHeight="1">
      <c r="C375" s="249" t="str">
        <f t="shared" si="23"/>
        <v>Aug13-54</v>
      </c>
      <c r="D375" s="77">
        <f>IFERROR(VLOOKUP($AA375,PLAN!$B:$AA,3,0),"")</f>
        <v>11119344</v>
      </c>
      <c r="E375" s="77" t="str">
        <f>IFERROR(VLOOKUP($AA375,PLAN!$B:$AA,4,0),"")</f>
        <v>1911012-D-A</v>
      </c>
      <c r="F375" s="77" t="str">
        <f>IFERROR(VLOOKUP($AA375,PLAN!$B:$AA,5,0),"")</f>
        <v>HJ60AL152P10020 JP</v>
      </c>
      <c r="G375" s="77" t="str">
        <f>IFERROR(VLOOKUP($AA375,PLAN!$B:$AA,2,0),"")</f>
        <v>1001929588</v>
      </c>
      <c r="H375" s="113">
        <f>IFERROR(VLOOKUP($AA375,PLAN!$B:$AA,7,0),"")</f>
        <v>46247</v>
      </c>
      <c r="I375" s="77" t="str">
        <f>IFERROR(VLOOKUP($AA375,PLAN!$B:$AA,8,0),"")</f>
        <v>0103579017</v>
      </c>
      <c r="J375" s="77" t="str">
        <f>IFERROR(VLOOKUP($AA375,PLAN!$B:$AA,9,0),"")</f>
        <v>260727C83A</v>
      </c>
      <c r="K375" s="77">
        <f>IFERROR(VLOOKUP($AA375,PLAN!$B:$AA,10,0),"")</f>
        <v>35</v>
      </c>
      <c r="L375" s="77" t="str">
        <f>IFERROR(VLOOKUP($AA375,PLAN!$B:$AA,15,0),"")</f>
        <v>JAPAN</v>
      </c>
      <c r="M375" s="77">
        <f>IFERROR(VLOOKUP($AA375,PLAN!$B:$AA,18,0),"")</f>
        <v>0</v>
      </c>
      <c r="N375" s="227">
        <f>IFERROR(VLOOKUP($AA375,PLAN!$B:$AA,19,0),"")</f>
        <v>0</v>
      </c>
      <c r="O375" s="77" t="str">
        <f>IFERROR(VLOOKUP($AA375,PLAN!$B:$AA,12,0),"")</f>
        <v>2112014-0-C</v>
      </c>
      <c r="P375" s="77">
        <f>IFERROR(VLOOKUP($AA375,PLAN!$B:$AA,11,0),"")</f>
        <v>12115979</v>
      </c>
      <c r="Q375" s="349" t="s">
        <v>809</v>
      </c>
      <c r="R375" s="149" t="s">
        <v>810</v>
      </c>
      <c r="S375" s="223">
        <v>1</v>
      </c>
      <c r="T375" s="131"/>
      <c r="U375" s="78">
        <f>IFERROR(VLOOKUP($AA375,PLAN!$B:$AA,21,0),"")</f>
        <v>46237</v>
      </c>
      <c r="V375" s="78" t="str">
        <f>IFERROR(VLOOKUP($AA375,PLAN!$B:$AA,22,0),"")</f>
        <v>M9</v>
      </c>
      <c r="W375" s="232"/>
      <c r="X375" s="233"/>
      <c r="Y375" s="212"/>
      <c r="Z375" s="350"/>
      <c r="AA375" s="195" t="s">
        <v>2515</v>
      </c>
      <c r="AB375" s="132">
        <f>VLOOKUP(AA375,PLAN!B:V,20,0)</f>
        <v>46237</v>
      </c>
      <c r="AC375" s="132"/>
    </row>
    <row r="376" spans="3:29" s="79" customFormat="1" ht="21.6" customHeight="1">
      <c r="C376" s="249">
        <f>AA376</f>
        <v>0</v>
      </c>
      <c r="D376" s="77" t="str">
        <f>IFERROR(VLOOKUP($AA376,PLAN!$B:$AA,3,0),"")</f>
        <v/>
      </c>
      <c r="E376" s="77" t="str">
        <f>IFERROR(VLOOKUP($AA376,PLAN!$B:$AA,4,0),"")</f>
        <v/>
      </c>
      <c r="F376" s="77" t="str">
        <f>IFERROR(VLOOKUP($AA376,PLAN!$B:$AA,5,0),"")</f>
        <v/>
      </c>
      <c r="G376" s="77" t="str">
        <f>IFERROR(VLOOKUP($AA376,PLAN!$B:$AA,2,0),"")</f>
        <v/>
      </c>
      <c r="H376" s="113" t="str">
        <f>IFERROR(VLOOKUP($AA376,PLAN!$B:$AA,7,0),"")</f>
        <v/>
      </c>
      <c r="I376" s="77" t="str">
        <f>IFERROR(VLOOKUP($AA376,PLAN!$B:$AA,8,0),"")</f>
        <v/>
      </c>
      <c r="J376" s="77" t="str">
        <f>IFERROR(VLOOKUP($AA376,PLAN!$B:$AA,9,0),"")</f>
        <v/>
      </c>
      <c r="K376" s="77" t="str">
        <f>IFERROR(VLOOKUP($AA376,PLAN!$B:$AA,10,0),"")</f>
        <v/>
      </c>
      <c r="L376" s="77" t="str">
        <f>IFERROR(VLOOKUP($AA376,PLAN!$B:$AA,15,0),"")</f>
        <v/>
      </c>
      <c r="M376" s="77" t="str">
        <f>IFERROR(VLOOKUP($AA376,PLAN!$B:$AA,18,0),"")</f>
        <v/>
      </c>
      <c r="N376" s="227" t="str">
        <f>IFERROR(VLOOKUP($AA376,PLAN!$B:$AA,19,0),"")</f>
        <v/>
      </c>
      <c r="O376" s="77" t="str">
        <f>IFERROR(VLOOKUP($AA376,PLAN!$B:$AA,12,0),"")</f>
        <v/>
      </c>
      <c r="P376" s="77" t="str">
        <f>IFERROR(VLOOKUP($AA376,PLAN!$B:$AA,11,0),"")</f>
        <v/>
      </c>
      <c r="Q376" s="349" t="s">
        <v>2622</v>
      </c>
      <c r="R376" s="158" t="s">
        <v>2623</v>
      </c>
      <c r="S376" s="223">
        <v>34</v>
      </c>
      <c r="T376" s="131"/>
      <c r="U376" s="78" t="str">
        <f>IFERROR(VLOOKUP($AA376,PLAN!$B:$AA,21,0),"")</f>
        <v/>
      </c>
      <c r="V376" s="78" t="str">
        <f>IFERROR(VLOOKUP($AA376,PLAN!$B:$AA,22,0),"")</f>
        <v/>
      </c>
      <c r="W376" s="232"/>
      <c r="X376" s="233"/>
      <c r="Y376" s="212"/>
      <c r="Z376" s="350"/>
      <c r="AA376" s="195"/>
      <c r="AB376" s="132">
        <v>46237</v>
      </c>
      <c r="AC376" s="132"/>
    </row>
    <row r="377" spans="3:29" s="79" customFormat="1" ht="21.6" customHeight="1">
      <c r="C377" s="249" t="str">
        <f t="shared" si="23"/>
        <v>Aug19-01</v>
      </c>
      <c r="D377" s="77">
        <f>IFERROR(VLOOKUP($AA377,PLAN!$B:$AA,3,0),"")</f>
        <v>11134130</v>
      </c>
      <c r="E377" s="77" t="str">
        <f>IFERROR(VLOOKUP($AA377,PLAN!$B:$AA,4,0),"")</f>
        <v>1811862-G-A</v>
      </c>
      <c r="F377" s="77" t="str">
        <f>IFERROR(VLOOKUP($AA377,PLAN!$B:$AA,5,0),"")</f>
        <v>HW60AL072P10000 CN</v>
      </c>
      <c r="G377" s="77" t="str">
        <f>IFERROR(VLOOKUP($AA377,PLAN!$B:$AA,2,0),"")</f>
        <v>1001929589</v>
      </c>
      <c r="H377" s="113">
        <f>IFERROR(VLOOKUP($AA377,PLAN!$B:$AA,7,0),"")</f>
        <v>46253</v>
      </c>
      <c r="I377" s="77" t="str">
        <f>IFERROR(VLOOKUP($AA377,PLAN!$B:$AA,8,0),"")</f>
        <v>0103579018</v>
      </c>
      <c r="J377" s="77" t="str">
        <f>IFERROR(VLOOKUP($AA377,PLAN!$B:$AA,9,0),"")</f>
        <v>260727C84A</v>
      </c>
      <c r="K377" s="77">
        <f>IFERROR(VLOOKUP($AA377,PLAN!$B:$AA,10,0),"")</f>
        <v>2</v>
      </c>
      <c r="L377" s="77" t="str">
        <f>IFERROR(VLOOKUP($AA377,PLAN!$B:$AA,15,0),"")</f>
        <v>CHINA</v>
      </c>
      <c r="M377" s="77">
        <f>IFERROR(VLOOKUP($AA377,PLAN!$B:$AA,18,0),"")</f>
        <v>0</v>
      </c>
      <c r="N377" s="227">
        <f>IFERROR(VLOOKUP($AA377,PLAN!$B:$AA,19,0),"")</f>
        <v>0</v>
      </c>
      <c r="O377" s="77" t="str">
        <f>IFERROR(VLOOKUP($AA377,PLAN!$B:$AA,12,0),"")</f>
        <v>2112004-0-C-CN</v>
      </c>
      <c r="P377" s="77">
        <f>IFERROR(VLOOKUP($AA377,PLAN!$B:$AA,11,0),"")</f>
        <v>12130092</v>
      </c>
      <c r="Q377" s="148" t="s">
        <v>387</v>
      </c>
      <c r="R377" s="222" t="s">
        <v>388</v>
      </c>
      <c r="S377" s="149">
        <f t="shared" si="24"/>
        <v>2</v>
      </c>
      <c r="T377" s="131"/>
      <c r="U377" s="78">
        <f>IFERROR(VLOOKUP($AA377,PLAN!$B:$AA,21,0),"")</f>
        <v>46237</v>
      </c>
      <c r="V377" s="78" t="str">
        <f>IFERROR(VLOOKUP($AA377,PLAN!$B:$AA,22,0),"")</f>
        <v>M9</v>
      </c>
      <c r="W377" s="232"/>
      <c r="X377" s="233"/>
      <c r="Y377" s="212"/>
      <c r="Z377" s="350"/>
      <c r="AA377" s="195" t="s">
        <v>2516</v>
      </c>
      <c r="AB377" s="132">
        <f>VLOOKUP(AA377,PLAN!B:V,20,0)</f>
        <v>46237</v>
      </c>
      <c r="AC377" s="132"/>
    </row>
    <row r="378" spans="3:29" s="79" customFormat="1" ht="21.6" customHeight="1">
      <c r="C378" s="249" t="str">
        <f t="shared" si="23"/>
        <v>Aug19-02</v>
      </c>
      <c r="D378" s="77">
        <f>IFERROR(VLOOKUP($AA378,PLAN!$B:$AA,3,0),"")</f>
        <v>11134139</v>
      </c>
      <c r="E378" s="77" t="str">
        <f>IFERROR(VLOOKUP($AA378,PLAN!$B:$AA,4,0),"")</f>
        <v>1811877-J-A</v>
      </c>
      <c r="F378" s="77" t="str">
        <f>IFERROR(VLOOKUP($AA378,PLAN!$B:$AA,5,0),"")</f>
        <v>HW60AL100P10002 CN</v>
      </c>
      <c r="G378" s="77" t="str">
        <f>IFERROR(VLOOKUP($AA378,PLAN!$B:$AA,2,0),"")</f>
        <v>1001929590</v>
      </c>
      <c r="H378" s="113">
        <f>IFERROR(VLOOKUP($AA378,PLAN!$B:$AA,7,0),"")</f>
        <v>46253</v>
      </c>
      <c r="I378" s="77" t="str">
        <f>IFERROR(VLOOKUP($AA378,PLAN!$B:$AA,8,0),"")</f>
        <v>0103579019</v>
      </c>
      <c r="J378" s="77" t="str">
        <f>IFERROR(VLOOKUP($AA378,PLAN!$B:$AA,9,0),"")</f>
        <v>260727C85A</v>
      </c>
      <c r="K378" s="77">
        <f>IFERROR(VLOOKUP($AA378,PLAN!$B:$AA,10,0),"")</f>
        <v>134</v>
      </c>
      <c r="L378" s="77" t="str">
        <f>IFERROR(VLOOKUP($AA378,PLAN!$B:$AA,15,0),"")</f>
        <v>CHINA</v>
      </c>
      <c r="M378" s="77">
        <f>IFERROR(VLOOKUP($AA378,PLAN!$B:$AA,18,0),"")</f>
        <v>3</v>
      </c>
      <c r="N378" s="227">
        <f>IFERROR(VLOOKUP($AA378,PLAN!$B:$AA,19,0),"")</f>
        <v>3</v>
      </c>
      <c r="O378" s="77" t="str">
        <f>IFERROR(VLOOKUP($AA378,PLAN!$B:$AA,12,0),"")</f>
        <v>2112085-0-C-CN</v>
      </c>
      <c r="P378" s="77">
        <f>IFERROR(VLOOKUP($AA378,PLAN!$B:$AA,11,0),"")</f>
        <v>12129988</v>
      </c>
      <c r="Q378" s="277" t="s">
        <v>1860</v>
      </c>
      <c r="R378" s="149" t="s">
        <v>1861</v>
      </c>
      <c r="S378" s="223">
        <v>101</v>
      </c>
      <c r="T378" s="131"/>
      <c r="U378" s="78">
        <f>IFERROR(VLOOKUP($AA378,PLAN!$B:$AA,21,0),"")</f>
        <v>46237</v>
      </c>
      <c r="V378" s="78" t="str">
        <f>IFERROR(VLOOKUP($AA378,PLAN!$B:$AA,22,0),"")</f>
        <v>M9</v>
      </c>
      <c r="W378" s="232"/>
      <c r="X378" s="233"/>
      <c r="Y378" s="212"/>
      <c r="Z378" s="350"/>
      <c r="AA378" s="195" t="s">
        <v>2517</v>
      </c>
      <c r="AB378" s="132">
        <f>VLOOKUP(AA378,PLAN!B:V,20,0)</f>
        <v>46237</v>
      </c>
      <c r="AC378" s="132"/>
    </row>
    <row r="379" spans="3:29" s="79" customFormat="1" ht="21.6" customHeight="1">
      <c r="C379" s="249">
        <f t="shared" si="23"/>
        <v>0</v>
      </c>
      <c r="D379" s="77" t="str">
        <f>IFERROR(VLOOKUP($AA379,PLAN!$B:$AA,3,0),"")</f>
        <v/>
      </c>
      <c r="E379" s="77" t="str">
        <f>IFERROR(VLOOKUP($AA379,PLAN!$B:$AA,4,0),"")</f>
        <v/>
      </c>
      <c r="F379" s="77" t="str">
        <f>IFERROR(VLOOKUP($AA379,PLAN!$B:$AA,5,0),"")</f>
        <v/>
      </c>
      <c r="G379" s="77" t="str">
        <f>IFERROR(VLOOKUP($AA379,PLAN!$B:$AA,2,0),"")</f>
        <v/>
      </c>
      <c r="H379" s="113" t="str">
        <f>IFERROR(VLOOKUP($AA379,PLAN!$B:$AA,7,0),"")</f>
        <v/>
      </c>
      <c r="I379" s="77" t="str">
        <f>IFERROR(VLOOKUP($AA379,PLAN!$B:$AA,8,0),"")</f>
        <v/>
      </c>
      <c r="J379" s="77" t="str">
        <f>IFERROR(VLOOKUP($AA379,PLAN!$B:$AA,9,0),"")</f>
        <v/>
      </c>
      <c r="K379" s="77" t="str">
        <f>IFERROR(VLOOKUP($AA379,PLAN!$B:$AA,10,0),"")</f>
        <v/>
      </c>
      <c r="L379" s="77" t="str">
        <f>IFERROR(VLOOKUP($AA379,PLAN!$B:$AA,15,0),"")</f>
        <v/>
      </c>
      <c r="M379" s="77" t="str">
        <f>IFERROR(VLOOKUP($AA379,PLAN!$B:$AA,18,0),"")</f>
        <v/>
      </c>
      <c r="N379" s="227" t="str">
        <f>IFERROR(VLOOKUP($AA379,PLAN!$B:$AA,19,0),"")</f>
        <v/>
      </c>
      <c r="O379" s="77" t="str">
        <f>IFERROR(VLOOKUP($AA379,PLAN!$B:$AA,12,0),"")</f>
        <v/>
      </c>
      <c r="P379" s="77" t="str">
        <f>IFERROR(VLOOKUP($AA379,PLAN!$B:$AA,11,0),"")</f>
        <v/>
      </c>
      <c r="Q379" s="349" t="s">
        <v>2624</v>
      </c>
      <c r="R379" s="149" t="s">
        <v>2625</v>
      </c>
      <c r="S379" s="223">
        <f>K378-S378</f>
        <v>33</v>
      </c>
      <c r="T379" s="131"/>
      <c r="U379" s="78" t="str">
        <f>IFERROR(VLOOKUP($AA379,PLAN!$B:$AA,21,0),"")</f>
        <v/>
      </c>
      <c r="V379" s="78" t="str">
        <f>IFERROR(VLOOKUP($AA379,PLAN!$B:$AA,22,0),"")</f>
        <v/>
      </c>
      <c r="W379" s="232"/>
      <c r="X379" s="233"/>
      <c r="Y379" s="212"/>
      <c r="Z379" s="350"/>
      <c r="AA379" s="195"/>
      <c r="AB379" s="132">
        <v>46237</v>
      </c>
      <c r="AC379" s="132"/>
    </row>
    <row r="380" spans="3:29" s="79" customFormat="1" ht="21.6" customHeight="1">
      <c r="C380" s="249" t="str">
        <f t="shared" si="23"/>
        <v>Aug19-03</v>
      </c>
      <c r="D380" s="77">
        <f>IFERROR(VLOOKUP($AA380,PLAN!$B:$AA,3,0),"")</f>
        <v>11134203</v>
      </c>
      <c r="E380" s="77" t="str">
        <f>IFERROR(VLOOKUP($AA380,PLAN!$B:$AA,4,0),"")</f>
        <v>2211671-D-A</v>
      </c>
      <c r="F380" s="77" t="str">
        <f>IFERROR(VLOOKUP($AA380,PLAN!$B:$AA,5,0),"")</f>
        <v>HW80AL102P10000 CN</v>
      </c>
      <c r="G380" s="77" t="str">
        <f>IFERROR(VLOOKUP($AA380,PLAN!$B:$AA,2,0),"")</f>
        <v>1001929591</v>
      </c>
      <c r="H380" s="113">
        <f>IFERROR(VLOOKUP($AA380,PLAN!$B:$AA,7,0),"")</f>
        <v>46253</v>
      </c>
      <c r="I380" s="77" t="str">
        <f>IFERROR(VLOOKUP($AA380,PLAN!$B:$AA,8,0),"")</f>
        <v>0103579020</v>
      </c>
      <c r="J380" s="77" t="str">
        <f>IFERROR(VLOOKUP($AA380,PLAN!$B:$AA,9,0),"")</f>
        <v>260727C86A</v>
      </c>
      <c r="K380" s="77">
        <f>IFERROR(VLOOKUP($AA380,PLAN!$B:$AA,10,0),"")</f>
        <v>10</v>
      </c>
      <c r="L380" s="77" t="str">
        <f>IFERROR(VLOOKUP($AA380,PLAN!$B:$AA,15,0),"")</f>
        <v>CHINA</v>
      </c>
      <c r="M380" s="77">
        <f>IFERROR(VLOOKUP($AA380,PLAN!$B:$AA,18,0),"")</f>
        <v>0</v>
      </c>
      <c r="N380" s="227">
        <f>IFERROR(VLOOKUP($AA380,PLAN!$B:$AA,19,0),"")</f>
        <v>0</v>
      </c>
      <c r="O380" s="77" t="str">
        <f>IFERROR(VLOOKUP($AA380,PLAN!$B:$AA,12,0),"")</f>
        <v>2112244-0-C-CN</v>
      </c>
      <c r="P380" s="77">
        <f>IFERROR(VLOOKUP($AA380,PLAN!$B:$AA,11,0),"")</f>
        <v>12130255</v>
      </c>
      <c r="Q380" s="349" t="s">
        <v>1191</v>
      </c>
      <c r="R380" s="149" t="s">
        <v>1192</v>
      </c>
      <c r="S380" s="149">
        <f t="shared" si="24"/>
        <v>10</v>
      </c>
      <c r="T380" s="131"/>
      <c r="U380" s="78">
        <f>IFERROR(VLOOKUP($AA380,PLAN!$B:$AA,21,0),"")</f>
        <v>46237</v>
      </c>
      <c r="V380" s="78" t="str">
        <f>IFERROR(VLOOKUP($AA380,PLAN!$B:$AA,22,0),"")</f>
        <v>M9</v>
      </c>
      <c r="W380" s="232"/>
      <c r="X380" s="233"/>
      <c r="Y380" s="212"/>
      <c r="Z380" s="350"/>
      <c r="AA380" s="195" t="s">
        <v>2518</v>
      </c>
      <c r="AB380" s="132">
        <f>VLOOKUP(AA380,PLAN!B:V,20,0)</f>
        <v>46237</v>
      </c>
      <c r="AC380" s="132"/>
    </row>
    <row r="381" spans="3:29" s="79" customFormat="1" ht="21.6" customHeight="1">
      <c r="C381" s="249" t="str">
        <f t="shared" si="23"/>
        <v>Aug19-04</v>
      </c>
      <c r="D381" s="77">
        <f>IFERROR(VLOOKUP($AA381,PLAN!$B:$AA,3,0),"")</f>
        <v>11134207</v>
      </c>
      <c r="E381" s="77" t="str">
        <f>IFERROR(VLOOKUP($AA381,PLAN!$B:$AA,4,0),"")</f>
        <v>2211685-D-A</v>
      </c>
      <c r="F381" s="77" t="str">
        <f>IFERROR(VLOOKUP($AA381,PLAN!$B:$AA,5,0),"")</f>
        <v>HW80AL102P10002 CN</v>
      </c>
      <c r="G381" s="77" t="str">
        <f>IFERROR(VLOOKUP($AA381,PLAN!$B:$AA,2,0),"")</f>
        <v>1001929592</v>
      </c>
      <c r="H381" s="113">
        <f>IFERROR(VLOOKUP($AA381,PLAN!$B:$AA,7,0),"")</f>
        <v>46253</v>
      </c>
      <c r="I381" s="77" t="str">
        <f>IFERROR(VLOOKUP($AA381,PLAN!$B:$AA,8,0),"")</f>
        <v>0103579021</v>
      </c>
      <c r="J381" s="77" t="str">
        <f>IFERROR(VLOOKUP($AA381,PLAN!$B:$AA,9,0),"")</f>
        <v>260727C87A</v>
      </c>
      <c r="K381" s="77">
        <f>IFERROR(VLOOKUP($AA381,PLAN!$B:$AA,10,0),"")</f>
        <v>20</v>
      </c>
      <c r="L381" s="77" t="str">
        <f>IFERROR(VLOOKUP($AA381,PLAN!$B:$AA,15,0),"")</f>
        <v>CHINA</v>
      </c>
      <c r="M381" s="77">
        <f>IFERROR(VLOOKUP($AA381,PLAN!$B:$AA,18,0),"")</f>
        <v>0</v>
      </c>
      <c r="N381" s="227">
        <f>IFERROR(VLOOKUP($AA381,PLAN!$B:$AA,19,0),"")</f>
        <v>0</v>
      </c>
      <c r="O381" s="77" t="str">
        <f>IFERROR(VLOOKUP($AA381,PLAN!$B:$AA,12,0),"")</f>
        <v>2112331-0-C-CN</v>
      </c>
      <c r="P381" s="77">
        <f>IFERROR(VLOOKUP($AA381,PLAN!$B:$AA,11,0),"")</f>
        <v>12130256</v>
      </c>
      <c r="Q381" s="349" t="s">
        <v>2626</v>
      </c>
      <c r="R381" s="158" t="s">
        <v>2627</v>
      </c>
      <c r="S381" s="149">
        <f t="shared" si="24"/>
        <v>20</v>
      </c>
      <c r="T381" s="131"/>
      <c r="U381" s="78">
        <f>IFERROR(VLOOKUP($AA381,PLAN!$B:$AA,21,0),"")</f>
        <v>46237</v>
      </c>
      <c r="V381" s="78" t="str">
        <f>IFERROR(VLOOKUP($AA381,PLAN!$B:$AA,22,0),"")</f>
        <v>M9</v>
      </c>
      <c r="W381" s="232"/>
      <c r="X381" s="233"/>
      <c r="Y381" s="212"/>
      <c r="Z381" s="350"/>
      <c r="AA381" s="195" t="s">
        <v>2519</v>
      </c>
      <c r="AB381" s="132">
        <f>VLOOKUP(AA381,PLAN!B:V,20,0)</f>
        <v>46237</v>
      </c>
      <c r="AC381" s="132"/>
    </row>
    <row r="382" spans="3:29" s="79" customFormat="1" ht="21.6" customHeight="1">
      <c r="C382" s="249" t="str">
        <f t="shared" si="23"/>
        <v>Aug19-05</v>
      </c>
      <c r="D382" s="77">
        <f>IFERROR(VLOOKUP($AA382,PLAN!$B:$AA,3,0),"")</f>
        <v>11134186</v>
      </c>
      <c r="E382" s="77" t="str">
        <f>IFERROR(VLOOKUP($AA382,PLAN!$B:$AA,4,0),"")</f>
        <v>1861036-H-A</v>
      </c>
      <c r="F382" s="77" t="str">
        <f>IFERROR(VLOOKUP($AA382,PLAN!$B:$AA,5,0),"")</f>
        <v>HW70SP300P10000 CN</v>
      </c>
      <c r="G382" s="77" t="str">
        <f>IFERROR(VLOOKUP($AA382,PLAN!$B:$AA,2,0),"")</f>
        <v>1001929593</v>
      </c>
      <c r="H382" s="113">
        <f>IFERROR(VLOOKUP($AA382,PLAN!$B:$AA,7,0),"")</f>
        <v>46253</v>
      </c>
      <c r="I382" s="77" t="str">
        <f>IFERROR(VLOOKUP($AA382,PLAN!$B:$AA,8,0),"")</f>
        <v>0103579022</v>
      </c>
      <c r="J382" s="77" t="str">
        <f>IFERROR(VLOOKUP($AA382,PLAN!$B:$AA,9,0),"")</f>
        <v>260727C88A</v>
      </c>
      <c r="K382" s="77">
        <f>IFERROR(VLOOKUP($AA382,PLAN!$B:$AA,10,0),"")</f>
        <v>77</v>
      </c>
      <c r="L382" s="77" t="str">
        <f>IFERROR(VLOOKUP($AA382,PLAN!$B:$AA,15,0),"")</f>
        <v>CHINA</v>
      </c>
      <c r="M382" s="77">
        <f>IFERROR(VLOOKUP($AA382,PLAN!$B:$AA,18,0),"")</f>
        <v>0</v>
      </c>
      <c r="N382" s="227">
        <f>IFERROR(VLOOKUP($AA382,PLAN!$B:$AA,19,0),"")</f>
        <v>0</v>
      </c>
      <c r="O382" s="77" t="str">
        <f>IFERROR(VLOOKUP($AA382,PLAN!$B:$AA,12,0),"")</f>
        <v>2112223-0-C-CN</v>
      </c>
      <c r="P382" s="77">
        <f>IFERROR(VLOOKUP($AA382,PLAN!$B:$AA,11,0),"")</f>
        <v>12130003</v>
      </c>
      <c r="Q382" s="349" t="s">
        <v>2628</v>
      </c>
      <c r="R382" s="158" t="s">
        <v>2629</v>
      </c>
      <c r="S382" s="149">
        <f t="shared" si="24"/>
        <v>77</v>
      </c>
      <c r="T382" s="131"/>
      <c r="U382" s="78">
        <f>IFERROR(VLOOKUP($AA382,PLAN!$B:$AA,21,0),"")</f>
        <v>46237</v>
      </c>
      <c r="V382" s="78" t="str">
        <f>IFERROR(VLOOKUP($AA382,PLAN!$B:$AA,22,0),"")</f>
        <v>M9</v>
      </c>
      <c r="W382" s="232"/>
      <c r="X382" s="233"/>
      <c r="Y382" s="212"/>
      <c r="Z382" s="350"/>
      <c r="AA382" s="195" t="s">
        <v>2520</v>
      </c>
      <c r="AB382" s="132">
        <f>VLOOKUP(AA382,PLAN!B:V,20,0)</f>
        <v>46237</v>
      </c>
      <c r="AC382" s="132"/>
    </row>
    <row r="383" spans="3:29" s="79" customFormat="1" ht="21.6" customHeight="1">
      <c r="C383" s="249" t="str">
        <f t="shared" si="23"/>
        <v>Aug19-06</v>
      </c>
      <c r="D383" s="77">
        <f>IFERROR(VLOOKUP($AA383,PLAN!$B:$AA,3,0),"")</f>
        <v>11134187</v>
      </c>
      <c r="E383" s="77" t="str">
        <f>IFERROR(VLOOKUP($AA383,PLAN!$B:$AA,4,0),"")</f>
        <v>1861038-L-A</v>
      </c>
      <c r="F383" s="77" t="str">
        <f>IFERROR(VLOOKUP($AA383,PLAN!$B:$AA,5,0),"")</f>
        <v>HW70SP350P10000 CN</v>
      </c>
      <c r="G383" s="77" t="str">
        <f>IFERROR(VLOOKUP($AA383,PLAN!$B:$AA,2,0),"")</f>
        <v>1001929595</v>
      </c>
      <c r="H383" s="113">
        <f>IFERROR(VLOOKUP($AA383,PLAN!$B:$AA,7,0),"")</f>
        <v>46253</v>
      </c>
      <c r="I383" s="77" t="str">
        <f>IFERROR(VLOOKUP($AA383,PLAN!$B:$AA,8,0),"")</f>
        <v>0103579023</v>
      </c>
      <c r="J383" s="77" t="str">
        <f>IFERROR(VLOOKUP($AA383,PLAN!$B:$AA,9,0),"")</f>
        <v>260727C89A</v>
      </c>
      <c r="K383" s="77">
        <f>IFERROR(VLOOKUP($AA383,PLAN!$B:$AA,10,0),"")</f>
        <v>269</v>
      </c>
      <c r="L383" s="77" t="str">
        <f>IFERROR(VLOOKUP($AA383,PLAN!$B:$AA,15,0),"")</f>
        <v>CHINA</v>
      </c>
      <c r="M383" s="77">
        <f>IFERROR(VLOOKUP($AA383,PLAN!$B:$AA,18,0),"")</f>
        <v>0</v>
      </c>
      <c r="N383" s="227">
        <f>IFERROR(VLOOKUP($AA383,PLAN!$B:$AA,19,0),"")</f>
        <v>0</v>
      </c>
      <c r="O383" s="77" t="str">
        <f>IFERROR(VLOOKUP($AA383,PLAN!$B:$AA,12,0),"")</f>
        <v>2112226-0-C-CN</v>
      </c>
      <c r="P383" s="77">
        <f>IFERROR(VLOOKUP($AA383,PLAN!$B:$AA,11,0),"")</f>
        <v>12129998</v>
      </c>
      <c r="Q383" s="277" t="s">
        <v>433</v>
      </c>
      <c r="R383" s="149" t="s">
        <v>434</v>
      </c>
      <c r="S383" s="223">
        <v>97</v>
      </c>
      <c r="T383" s="131"/>
      <c r="U383" s="78">
        <f>IFERROR(VLOOKUP($AA383,PLAN!$B:$AA,21,0),"")</f>
        <v>46237</v>
      </c>
      <c r="V383" s="78" t="str">
        <f>IFERROR(VLOOKUP($AA383,PLAN!$B:$AA,22,0),"")</f>
        <v>M9</v>
      </c>
      <c r="W383" s="232"/>
      <c r="X383" s="233"/>
      <c r="Y383" s="212"/>
      <c r="Z383" s="350"/>
      <c r="AA383" s="195" t="s">
        <v>2521</v>
      </c>
      <c r="AB383" s="132">
        <f>VLOOKUP(AA383,PLAN!B:V,20,0)</f>
        <v>46237</v>
      </c>
      <c r="AC383" s="132"/>
    </row>
    <row r="384" spans="3:29" s="79" customFormat="1" ht="21.6" customHeight="1">
      <c r="C384" s="249">
        <f t="shared" si="23"/>
        <v>0</v>
      </c>
      <c r="D384" s="77" t="str">
        <f>IFERROR(VLOOKUP($AA384,PLAN!$B:$AA,3,0),"")</f>
        <v/>
      </c>
      <c r="E384" s="77" t="str">
        <f>IFERROR(VLOOKUP($AA384,PLAN!$B:$AA,4,0),"")</f>
        <v/>
      </c>
      <c r="F384" s="77" t="str">
        <f>IFERROR(VLOOKUP($AA384,PLAN!$B:$AA,5,0),"")</f>
        <v/>
      </c>
      <c r="G384" s="77" t="str">
        <f>IFERROR(VLOOKUP($AA384,PLAN!$B:$AA,2,0),"")</f>
        <v/>
      </c>
      <c r="H384" s="113" t="str">
        <f>IFERROR(VLOOKUP($AA384,PLAN!$B:$AA,7,0),"")</f>
        <v/>
      </c>
      <c r="I384" s="77" t="str">
        <f>IFERROR(VLOOKUP($AA384,PLAN!$B:$AA,8,0),"")</f>
        <v/>
      </c>
      <c r="J384" s="77" t="str">
        <f>IFERROR(VLOOKUP($AA384,PLAN!$B:$AA,9,0),"")</f>
        <v/>
      </c>
      <c r="K384" s="77" t="str">
        <f>IFERROR(VLOOKUP($AA384,PLAN!$B:$AA,10,0),"")</f>
        <v/>
      </c>
      <c r="L384" s="77" t="str">
        <f>IFERROR(VLOOKUP($AA384,PLAN!$B:$AA,15,0),"")</f>
        <v/>
      </c>
      <c r="M384" s="77" t="str">
        <f>IFERROR(VLOOKUP($AA384,PLAN!$B:$AA,18,0),"")</f>
        <v/>
      </c>
      <c r="N384" s="227" t="str">
        <f>IFERROR(VLOOKUP($AA384,PLAN!$B:$AA,19,0),"")</f>
        <v/>
      </c>
      <c r="O384" s="77" t="str">
        <f>IFERROR(VLOOKUP($AA384,PLAN!$B:$AA,12,0),"")</f>
        <v/>
      </c>
      <c r="P384" s="77" t="str">
        <f>IFERROR(VLOOKUP($AA384,PLAN!$B:$AA,11,0),"")</f>
        <v/>
      </c>
      <c r="Q384" s="349" t="s">
        <v>2630</v>
      </c>
      <c r="R384" s="158" t="s">
        <v>2631</v>
      </c>
      <c r="S384" s="223">
        <v>150</v>
      </c>
      <c r="T384" s="131"/>
      <c r="U384" s="78" t="str">
        <f>IFERROR(VLOOKUP($AA384,PLAN!$B:$AA,21,0),"")</f>
        <v/>
      </c>
      <c r="V384" s="78" t="str">
        <f>IFERROR(VLOOKUP($AA384,PLAN!$B:$AA,22,0),"")</f>
        <v/>
      </c>
      <c r="W384" s="232"/>
      <c r="X384" s="233"/>
      <c r="Y384" s="212"/>
      <c r="Z384" s="350"/>
      <c r="AA384" s="195"/>
      <c r="AB384" s="132">
        <v>46237</v>
      </c>
      <c r="AC384" s="132"/>
    </row>
    <row r="385" spans="3:29" s="79" customFormat="1" ht="21.6" customHeight="1">
      <c r="C385" s="249">
        <f t="shared" si="23"/>
        <v>0</v>
      </c>
      <c r="D385" s="77" t="str">
        <f>IFERROR(VLOOKUP($AA385,PLAN!$B:$AA,3,0),"")</f>
        <v/>
      </c>
      <c r="E385" s="77" t="str">
        <f>IFERROR(VLOOKUP($AA385,PLAN!$B:$AA,4,0),"")</f>
        <v/>
      </c>
      <c r="F385" s="77" t="str">
        <f>IFERROR(VLOOKUP($AA385,PLAN!$B:$AA,5,0),"")</f>
        <v/>
      </c>
      <c r="G385" s="77" t="str">
        <f>IFERROR(VLOOKUP($AA385,PLAN!$B:$AA,2,0),"")</f>
        <v/>
      </c>
      <c r="H385" s="113" t="str">
        <f>IFERROR(VLOOKUP($AA385,PLAN!$B:$AA,7,0),"")</f>
        <v/>
      </c>
      <c r="I385" s="77" t="str">
        <f>IFERROR(VLOOKUP($AA385,PLAN!$B:$AA,8,0),"")</f>
        <v/>
      </c>
      <c r="J385" s="77" t="str">
        <f>IFERROR(VLOOKUP($AA385,PLAN!$B:$AA,9,0),"")</f>
        <v/>
      </c>
      <c r="K385" s="77" t="str">
        <f>IFERROR(VLOOKUP($AA385,PLAN!$B:$AA,10,0),"")</f>
        <v/>
      </c>
      <c r="L385" s="77" t="str">
        <f>IFERROR(VLOOKUP($AA385,PLAN!$B:$AA,15,0),"")</f>
        <v/>
      </c>
      <c r="M385" s="77" t="str">
        <f>IFERROR(VLOOKUP($AA385,PLAN!$B:$AA,18,0),"")</f>
        <v/>
      </c>
      <c r="N385" s="227" t="str">
        <f>IFERROR(VLOOKUP($AA385,PLAN!$B:$AA,19,0),"")</f>
        <v/>
      </c>
      <c r="O385" s="77" t="str">
        <f>IFERROR(VLOOKUP($AA385,PLAN!$B:$AA,12,0),"")</f>
        <v/>
      </c>
      <c r="P385" s="77" t="str">
        <f>IFERROR(VLOOKUP($AA385,PLAN!$B:$AA,11,0),"")</f>
        <v/>
      </c>
      <c r="Q385" s="349" t="s">
        <v>2632</v>
      </c>
      <c r="R385" s="158" t="s">
        <v>2633</v>
      </c>
      <c r="S385" s="223">
        <f>K383-S383-S384</f>
        <v>22</v>
      </c>
      <c r="T385" s="131"/>
      <c r="U385" s="78" t="str">
        <f>IFERROR(VLOOKUP($AA385,PLAN!$B:$AA,21,0),"")</f>
        <v/>
      </c>
      <c r="V385" s="78" t="str">
        <f>IFERROR(VLOOKUP($AA385,PLAN!$B:$AA,22,0),"")</f>
        <v/>
      </c>
      <c r="W385" s="232"/>
      <c r="X385" s="233"/>
      <c r="Y385" s="212"/>
      <c r="Z385" s="350"/>
      <c r="AA385" s="195"/>
      <c r="AB385" s="132">
        <v>46237</v>
      </c>
      <c r="AC385" s="132"/>
    </row>
    <row r="386" spans="3:29" s="79" customFormat="1" ht="21.6" customHeight="1">
      <c r="C386" s="249" t="str">
        <f t="shared" si="23"/>
        <v>Aug19-07</v>
      </c>
      <c r="D386" s="77">
        <f>IFERROR(VLOOKUP($AA386,PLAN!$B:$AA,3,0),"")</f>
        <v>11134209</v>
      </c>
      <c r="E386" s="77" t="str">
        <f>IFERROR(VLOOKUP($AA386,PLAN!$B:$AA,4,0),"")</f>
        <v>2211704-E-A</v>
      </c>
      <c r="F386" s="77" t="str">
        <f>IFERROR(VLOOKUP($AA386,PLAN!$B:$AA,5,0),"")</f>
        <v>HW80SP352P10000 CN</v>
      </c>
      <c r="G386" s="77" t="str">
        <f>IFERROR(VLOOKUP($AA386,PLAN!$B:$AA,2,0),"")</f>
        <v>1001929596</v>
      </c>
      <c r="H386" s="113">
        <f>IFERROR(VLOOKUP($AA386,PLAN!$B:$AA,7,0),"")</f>
        <v>46253</v>
      </c>
      <c r="I386" s="77" t="str">
        <f>IFERROR(VLOOKUP($AA386,PLAN!$B:$AA,8,0),"")</f>
        <v>0103579024</v>
      </c>
      <c r="J386" s="77" t="str">
        <f>IFERROR(VLOOKUP($AA386,PLAN!$B:$AA,9,0),"")</f>
        <v>260727C90A</v>
      </c>
      <c r="K386" s="77">
        <f>IFERROR(VLOOKUP($AA386,PLAN!$B:$AA,10,0),"")</f>
        <v>60</v>
      </c>
      <c r="L386" s="77" t="str">
        <f>IFERROR(VLOOKUP($AA386,PLAN!$B:$AA,15,0),"")</f>
        <v>CHINA</v>
      </c>
      <c r="M386" s="77">
        <f>IFERROR(VLOOKUP($AA386,PLAN!$B:$AA,18,0),"")</f>
        <v>0</v>
      </c>
      <c r="N386" s="227">
        <f>IFERROR(VLOOKUP($AA386,PLAN!$B:$AA,19,0),"")</f>
        <v>0</v>
      </c>
      <c r="O386" s="77" t="str">
        <f>IFERROR(VLOOKUP($AA386,PLAN!$B:$AA,12,0),"")</f>
        <v>2112349-0-C-CN</v>
      </c>
      <c r="P386" s="77">
        <f>IFERROR(VLOOKUP($AA386,PLAN!$B:$AA,11,0),"")</f>
        <v>12130362</v>
      </c>
      <c r="Q386" s="349" t="s">
        <v>2634</v>
      </c>
      <c r="R386" s="158" t="s">
        <v>2635</v>
      </c>
      <c r="S386" s="149">
        <f t="shared" si="24"/>
        <v>60</v>
      </c>
      <c r="T386" s="131"/>
      <c r="U386" s="78">
        <f>IFERROR(VLOOKUP($AA386,PLAN!$B:$AA,21,0),"")</f>
        <v>46237</v>
      </c>
      <c r="V386" s="78" t="str">
        <f>IFERROR(VLOOKUP($AA386,PLAN!$B:$AA,22,0),"")</f>
        <v>M9</v>
      </c>
      <c r="W386" s="232"/>
      <c r="X386" s="233"/>
      <c r="Y386" s="212"/>
      <c r="Z386" s="350"/>
      <c r="AA386" s="195" t="s">
        <v>2522</v>
      </c>
      <c r="AB386" s="132">
        <f>VLOOKUP(AA386,PLAN!B:V,20,0)</f>
        <v>46237</v>
      </c>
      <c r="AC386" s="132"/>
    </row>
    <row r="387" spans="3:29" s="79" customFormat="1" ht="21.6" customHeight="1">
      <c r="C387" s="249" t="str">
        <f t="shared" si="23"/>
        <v>Aug19-08</v>
      </c>
      <c r="D387" s="77">
        <f>IFERROR(VLOOKUP($AA387,PLAN!$B:$AA,3,0),"")</f>
        <v>11134211</v>
      </c>
      <c r="E387" s="77" t="str">
        <f>IFERROR(VLOOKUP($AA387,PLAN!$B:$AA,4,0),"")</f>
        <v>2211706-E-A</v>
      </c>
      <c r="F387" s="77" t="str">
        <f>IFERROR(VLOOKUP($AA387,PLAN!$B:$AA,5,0),"")</f>
        <v>HW80SP372P10000 CN</v>
      </c>
      <c r="G387" s="77" t="str">
        <f>IFERROR(VLOOKUP($AA387,PLAN!$B:$AA,2,0),"")</f>
        <v>1001929597</v>
      </c>
      <c r="H387" s="113">
        <f>IFERROR(VLOOKUP($AA387,PLAN!$B:$AA,7,0),"")</f>
        <v>46253</v>
      </c>
      <c r="I387" s="77" t="str">
        <f>IFERROR(VLOOKUP($AA387,PLAN!$B:$AA,8,0),"")</f>
        <v>0103579025</v>
      </c>
      <c r="J387" s="77" t="str">
        <f>IFERROR(VLOOKUP($AA387,PLAN!$B:$AA,9,0),"")</f>
        <v>260727C91A</v>
      </c>
      <c r="K387" s="77">
        <f>IFERROR(VLOOKUP($AA387,PLAN!$B:$AA,10,0),"")</f>
        <v>10</v>
      </c>
      <c r="L387" s="77" t="str">
        <f>IFERROR(VLOOKUP($AA387,PLAN!$B:$AA,15,0),"")</f>
        <v>CHINA</v>
      </c>
      <c r="M387" s="77">
        <f>IFERROR(VLOOKUP($AA387,PLAN!$B:$AA,18,0),"")</f>
        <v>0</v>
      </c>
      <c r="N387" s="227">
        <f>IFERROR(VLOOKUP($AA387,PLAN!$B:$AA,19,0),"")</f>
        <v>0</v>
      </c>
      <c r="O387" s="77" t="str">
        <f>IFERROR(VLOOKUP($AA387,PLAN!$B:$AA,12,0),"")</f>
        <v>2112352-0-C-CN</v>
      </c>
      <c r="P387" s="77">
        <f>IFERROR(VLOOKUP($AA387,PLAN!$B:$AA,11,0),"")</f>
        <v>12130364</v>
      </c>
      <c r="Q387" s="349" t="s">
        <v>2636</v>
      </c>
      <c r="R387" s="158" t="s">
        <v>2637</v>
      </c>
      <c r="S387" s="149">
        <f t="shared" si="24"/>
        <v>10</v>
      </c>
      <c r="T387" s="131"/>
      <c r="U387" s="78">
        <f>IFERROR(VLOOKUP($AA387,PLAN!$B:$AA,21,0),"")</f>
        <v>46237</v>
      </c>
      <c r="V387" s="78" t="str">
        <f>IFERROR(VLOOKUP($AA387,PLAN!$B:$AA,22,0),"")</f>
        <v>M9</v>
      </c>
      <c r="W387" s="232"/>
      <c r="X387" s="233"/>
      <c r="Y387" s="212"/>
      <c r="Z387" s="350"/>
      <c r="AA387" s="195" t="s">
        <v>2523</v>
      </c>
      <c r="AB387" s="132">
        <f>VLOOKUP(AA387,PLAN!B:V,20,0)</f>
        <v>46237</v>
      </c>
      <c r="AC387" s="132"/>
    </row>
    <row r="388" spans="3:29" s="79" customFormat="1" ht="21.6" customHeight="1">
      <c r="C388" s="249" t="str">
        <f t="shared" si="23"/>
        <v>Aug20-01</v>
      </c>
      <c r="D388" s="77">
        <f>IFERROR(VLOOKUP($AA388,PLAN!$B:$AA,3,0),"")</f>
        <v>11134246</v>
      </c>
      <c r="E388" s="77" t="str">
        <f>IFERROR(VLOOKUP($AA388,PLAN!$B:$AA,4,0),"")</f>
        <v>2141049-D-A</v>
      </c>
      <c r="F388" s="77" t="str">
        <f>IFERROR(VLOOKUP($AA388,PLAN!$B:$AA,5,0),"")</f>
        <v>CRV135-19P CN</v>
      </c>
      <c r="G388" s="77" t="str">
        <f>IFERROR(VLOOKUP($AA388,PLAN!$B:$AA,2,0),"")</f>
        <v>1001930977</v>
      </c>
      <c r="H388" s="113">
        <f>IFERROR(VLOOKUP($AA388,PLAN!$B:$AA,7,0),"")</f>
        <v>46254</v>
      </c>
      <c r="I388" s="77" t="str">
        <f>IFERROR(VLOOKUP($AA388,PLAN!$B:$AA,8,0),"")</f>
        <v>0103582497</v>
      </c>
      <c r="J388" s="77" t="str">
        <f>IFERROR(VLOOKUP($AA388,PLAN!$B:$AA,9,0),"")</f>
        <v>260729K01A</v>
      </c>
      <c r="K388" s="77">
        <f>IFERROR(VLOOKUP($AA388,PLAN!$B:$AA,10,0),"")</f>
        <v>166</v>
      </c>
      <c r="L388" s="77" t="str">
        <f>IFERROR(VLOOKUP($AA388,PLAN!$B:$AA,15,0),"")</f>
        <v>CHINA</v>
      </c>
      <c r="M388" s="77">
        <f>IFERROR(VLOOKUP($AA388,PLAN!$B:$AA,18,0),"")</f>
        <v>3</v>
      </c>
      <c r="N388" s="227">
        <f>IFERROR(VLOOKUP($AA388,PLAN!$B:$AA,19,0),"")</f>
        <v>3</v>
      </c>
      <c r="O388" s="77" t="str">
        <f>IFERROR(VLOOKUP($AA388,PLAN!$B:$AA,12,0),"")</f>
        <v>1842014-C-C-CN</v>
      </c>
      <c r="P388" s="77">
        <f>IFERROR(VLOOKUP($AA388,PLAN!$B:$AA,11,0),"")</f>
        <v>12129252</v>
      </c>
      <c r="Q388" s="277" t="s">
        <v>1226</v>
      </c>
      <c r="R388" s="222" t="s">
        <v>1227</v>
      </c>
      <c r="S388" s="223">
        <v>131</v>
      </c>
      <c r="T388" s="131"/>
      <c r="U388" s="78">
        <f>IFERROR(VLOOKUP($AA388,PLAN!$B:$AA,21,0),"")</f>
        <v>46239</v>
      </c>
      <c r="V388" s="78" t="str">
        <f>IFERROR(VLOOKUP($AA388,PLAN!$B:$AA,22,0),"")</f>
        <v>M8</v>
      </c>
      <c r="W388" s="232"/>
      <c r="X388" s="233"/>
      <c r="Y388" s="212"/>
      <c r="Z388" s="350"/>
      <c r="AA388" s="195" t="s">
        <v>2916</v>
      </c>
      <c r="AB388" s="132">
        <f>VLOOKUP(AA388,PLAN!B:V,20,0)</f>
        <v>46239</v>
      </c>
      <c r="AC388" s="132"/>
    </row>
    <row r="389" spans="3:29" s="79" customFormat="1" ht="21.6" customHeight="1">
      <c r="C389" s="249"/>
      <c r="D389" s="77"/>
      <c r="E389" s="77"/>
      <c r="F389" s="77"/>
      <c r="G389" s="77"/>
      <c r="H389" s="113"/>
      <c r="I389" s="77"/>
      <c r="J389" s="77"/>
      <c r="K389" s="77"/>
      <c r="L389" s="77"/>
      <c r="M389" s="77"/>
      <c r="N389" s="227"/>
      <c r="O389" s="77"/>
      <c r="P389" s="77"/>
      <c r="Q389" s="277" t="s">
        <v>2919</v>
      </c>
      <c r="R389" s="149" t="s">
        <v>2920</v>
      </c>
      <c r="S389" s="223">
        <f>K388-S388</f>
        <v>35</v>
      </c>
      <c r="T389" s="131"/>
      <c r="U389" s="78"/>
      <c r="V389" s="78"/>
      <c r="W389" s="232"/>
      <c r="X389" s="233"/>
      <c r="Y389" s="212"/>
      <c r="Z389" s="350"/>
      <c r="AA389" s="195"/>
      <c r="AB389" s="132">
        <v>46239</v>
      </c>
      <c r="AC389" s="132"/>
    </row>
    <row r="390" spans="3:29" s="79" customFormat="1" ht="21.6" customHeight="1">
      <c r="C390" s="249" t="str">
        <f t="shared" si="23"/>
        <v>Aug20-02</v>
      </c>
      <c r="D390" s="77">
        <f>IFERROR(VLOOKUP($AA390,PLAN!$B:$AA,3,0),"")</f>
        <v>11134247</v>
      </c>
      <c r="E390" s="77" t="str">
        <f>IFERROR(VLOOKUP($AA390,PLAN!$B:$AA,4,0),"")</f>
        <v>2141050-D-A</v>
      </c>
      <c r="F390" s="77" t="str">
        <f>IFERROR(VLOOKUP($AA390,PLAN!$B:$AA,5,0),"")</f>
        <v>CRV150-19P CN</v>
      </c>
      <c r="G390" s="77" t="str">
        <f>IFERROR(VLOOKUP($AA390,PLAN!$B:$AA,2,0),"")</f>
        <v>1001930978</v>
      </c>
      <c r="H390" s="113">
        <f>IFERROR(VLOOKUP($AA390,PLAN!$B:$AA,7,0),"")</f>
        <v>46254</v>
      </c>
      <c r="I390" s="77" t="str">
        <f>IFERROR(VLOOKUP($AA390,PLAN!$B:$AA,8,0),"")</f>
        <v>0103582498</v>
      </c>
      <c r="J390" s="77" t="str">
        <f>IFERROR(VLOOKUP($AA390,PLAN!$B:$AA,9,0),"")</f>
        <v>260729K02A</v>
      </c>
      <c r="K390" s="77">
        <f>IFERROR(VLOOKUP($AA390,PLAN!$B:$AA,10,0),"")</f>
        <v>183</v>
      </c>
      <c r="L390" s="77" t="str">
        <f>IFERROR(VLOOKUP($AA390,PLAN!$B:$AA,15,0),"")</f>
        <v>CHINA</v>
      </c>
      <c r="M390" s="77">
        <f>IFERROR(VLOOKUP($AA390,PLAN!$B:$AA,18,0),"")</f>
        <v>0</v>
      </c>
      <c r="N390" s="227">
        <f>IFERROR(VLOOKUP($AA390,PLAN!$B:$AA,19,0),"")</f>
        <v>0</v>
      </c>
      <c r="O390" s="77" t="str">
        <f>IFERROR(VLOOKUP($AA390,PLAN!$B:$AA,12,0),"")</f>
        <v>1842015-B-C-CN</v>
      </c>
      <c r="P390" s="77">
        <f>IFERROR(VLOOKUP($AA390,PLAN!$B:$AA,11,0),"")</f>
        <v>12129253</v>
      </c>
      <c r="Q390" s="277" t="s">
        <v>1216</v>
      </c>
      <c r="R390" s="222" t="s">
        <v>1217</v>
      </c>
      <c r="S390" s="149">
        <f t="shared" si="24"/>
        <v>183</v>
      </c>
      <c r="T390" s="131"/>
      <c r="U390" s="78">
        <f>IFERROR(VLOOKUP($AA390,PLAN!$B:$AA,21,0),"")</f>
        <v>46239</v>
      </c>
      <c r="V390" s="78" t="str">
        <f>IFERROR(VLOOKUP($AA390,PLAN!$B:$AA,22,0),"")</f>
        <v>M8</v>
      </c>
      <c r="W390" s="232"/>
      <c r="X390" s="233"/>
      <c r="Y390" s="212"/>
      <c r="Z390" s="350"/>
      <c r="AA390" s="195" t="s">
        <v>2917</v>
      </c>
      <c r="AB390" s="132">
        <f>VLOOKUP(AA390,PLAN!B:V,20,0)</f>
        <v>46239</v>
      </c>
      <c r="AC390" s="132"/>
    </row>
    <row r="391" spans="3:29" s="79" customFormat="1" ht="21.6" customHeight="1">
      <c r="C391" s="249" t="str">
        <f t="shared" si="23"/>
        <v>Aug20-03</v>
      </c>
      <c r="D391" s="77">
        <f>IFERROR(VLOOKUP($AA391,PLAN!$B:$AA,3,0),"")</f>
        <v>11134562</v>
      </c>
      <c r="E391" s="77" t="str">
        <f>IFERROR(VLOOKUP($AA391,PLAN!$B:$AA,4,0),"")</f>
        <v>2041303-C-A</v>
      </c>
      <c r="F391" s="77" t="str">
        <f>IFERROR(VLOOKUP($AA391,PLAN!$B:$AA,5,0),"")</f>
        <v>MST125-27HFR CN</v>
      </c>
      <c r="G391" s="77" t="str">
        <f>IFERROR(VLOOKUP($AA391,PLAN!$B:$AA,2,0),"")</f>
        <v>1001930979</v>
      </c>
      <c r="H391" s="113">
        <f>IFERROR(VLOOKUP($AA391,PLAN!$B:$AA,7,0),"")</f>
        <v>46254</v>
      </c>
      <c r="I391" s="77" t="str">
        <f>IFERROR(VLOOKUP($AA391,PLAN!$B:$AA,8,0),"")</f>
        <v>0103582499</v>
      </c>
      <c r="J391" s="77" t="str">
        <f>IFERROR(VLOOKUP($AA391,PLAN!$B:$AA,9,0),"")</f>
        <v>260729K03A</v>
      </c>
      <c r="K391" s="77">
        <f>IFERROR(VLOOKUP($AA391,PLAN!$B:$AA,10,0),"")</f>
        <v>1033</v>
      </c>
      <c r="L391" s="77" t="str">
        <f>IFERROR(VLOOKUP($AA391,PLAN!$B:$AA,15,0),"")</f>
        <v>CHINA</v>
      </c>
      <c r="M391" s="77">
        <f>IFERROR(VLOOKUP($AA391,PLAN!$B:$AA,18,0),"")</f>
        <v>0</v>
      </c>
      <c r="N391" s="227">
        <f>IFERROR(VLOOKUP($AA391,PLAN!$B:$AA,19,0),"")</f>
        <v>3</v>
      </c>
      <c r="O391" s="77" t="str">
        <f>IFERROR(VLOOKUP($AA391,PLAN!$B:$AA,12,0),"")</f>
        <v>2042140-B-C-CN</v>
      </c>
      <c r="P391" s="77">
        <f>IFERROR(VLOOKUP($AA391,PLAN!$B:$AA,11,0),"")</f>
        <v>12129258</v>
      </c>
      <c r="Q391" s="277" t="s">
        <v>556</v>
      </c>
      <c r="R391" s="149" t="s">
        <v>557</v>
      </c>
      <c r="S391" s="223">
        <v>93</v>
      </c>
      <c r="T391" s="131"/>
      <c r="U391" s="78">
        <f>IFERROR(VLOOKUP($AA391,PLAN!$B:$AA,21,0),"")</f>
        <v>46239</v>
      </c>
      <c r="V391" s="78" t="str">
        <f>IFERROR(VLOOKUP($AA391,PLAN!$B:$AA,22,0),"")</f>
        <v>M8</v>
      </c>
      <c r="W391" s="232"/>
      <c r="X391" s="233"/>
      <c r="Y391" s="212"/>
      <c r="Z391" s="350"/>
      <c r="AA391" s="195" t="s">
        <v>2918</v>
      </c>
      <c r="AB391" s="132">
        <f>VLOOKUP(AA391,PLAN!B:V,20,0)</f>
        <v>46239</v>
      </c>
      <c r="AC391" s="132"/>
    </row>
    <row r="392" spans="3:29" s="79" customFormat="1" ht="21.6" customHeight="1">
      <c r="C392" s="249"/>
      <c r="D392" s="77"/>
      <c r="E392" s="77"/>
      <c r="F392" s="77"/>
      <c r="G392" s="77"/>
      <c r="H392" s="113"/>
      <c r="I392" s="77"/>
      <c r="J392" s="77"/>
      <c r="K392" s="77"/>
      <c r="L392" s="77"/>
      <c r="M392" s="77"/>
      <c r="N392" s="227"/>
      <c r="O392" s="77"/>
      <c r="P392" s="77"/>
      <c r="Q392" s="277" t="s">
        <v>2921</v>
      </c>
      <c r="R392" s="149" t="s">
        <v>2922</v>
      </c>
      <c r="S392" s="223">
        <v>304</v>
      </c>
      <c r="T392" s="131"/>
      <c r="U392" s="78"/>
      <c r="V392" s="78"/>
      <c r="W392" s="232"/>
      <c r="X392" s="233"/>
      <c r="Y392" s="212"/>
      <c r="Z392" s="350"/>
      <c r="AA392" s="195"/>
      <c r="AB392" s="132">
        <v>46239</v>
      </c>
      <c r="AC392" s="132"/>
    </row>
    <row r="393" spans="3:29" s="79" customFormat="1" ht="21.6" customHeight="1">
      <c r="C393" s="249"/>
      <c r="D393" s="77"/>
      <c r="E393" s="77"/>
      <c r="F393" s="77"/>
      <c r="G393" s="77"/>
      <c r="H393" s="113"/>
      <c r="I393" s="77"/>
      <c r="J393" s="77"/>
      <c r="K393" s="77"/>
      <c r="L393" s="77"/>
      <c r="M393" s="77"/>
      <c r="N393" s="227"/>
      <c r="O393" s="77"/>
      <c r="P393" s="77"/>
      <c r="Q393" s="277" t="s">
        <v>2923</v>
      </c>
      <c r="R393" s="149" t="s">
        <v>2924</v>
      </c>
      <c r="S393" s="223">
        <v>303</v>
      </c>
      <c r="T393" s="131"/>
      <c r="U393" s="78"/>
      <c r="V393" s="78"/>
      <c r="W393" s="232"/>
      <c r="X393" s="233"/>
      <c r="Y393" s="212"/>
      <c r="Z393" s="350"/>
      <c r="AA393" s="195"/>
      <c r="AB393" s="132">
        <v>46239</v>
      </c>
      <c r="AC393" s="132"/>
    </row>
    <row r="394" spans="3:29" s="79" customFormat="1" ht="21.6" customHeight="1">
      <c r="C394" s="249"/>
      <c r="D394" s="77"/>
      <c r="E394" s="77"/>
      <c r="F394" s="77"/>
      <c r="G394" s="77"/>
      <c r="H394" s="113"/>
      <c r="I394" s="77"/>
      <c r="J394" s="77"/>
      <c r="K394" s="77"/>
      <c r="L394" s="77"/>
      <c r="M394" s="77"/>
      <c r="N394" s="227"/>
      <c r="O394" s="77"/>
      <c r="P394" s="77"/>
      <c r="Q394" s="277" t="s">
        <v>2925</v>
      </c>
      <c r="R394" s="149" t="s">
        <v>2926</v>
      </c>
      <c r="S394" s="223">
        <v>304</v>
      </c>
      <c r="T394" s="131"/>
      <c r="U394" s="78"/>
      <c r="V394" s="78"/>
      <c r="W394" s="232"/>
      <c r="X394" s="233"/>
      <c r="Y394" s="212"/>
      <c r="Z394" s="350"/>
      <c r="AA394" s="195"/>
      <c r="AB394" s="132">
        <v>46239</v>
      </c>
      <c r="AC394" s="132"/>
    </row>
    <row r="395" spans="3:29" s="79" customFormat="1" ht="21.6" customHeight="1">
      <c r="C395" s="249"/>
      <c r="D395" s="77"/>
      <c r="E395" s="77"/>
      <c r="F395" s="77"/>
      <c r="G395" s="77"/>
      <c r="H395" s="113"/>
      <c r="I395" s="77"/>
      <c r="J395" s="77"/>
      <c r="K395" s="77"/>
      <c r="L395" s="77"/>
      <c r="M395" s="77"/>
      <c r="N395" s="227"/>
      <c r="O395" s="77"/>
      <c r="P395" s="77"/>
      <c r="Q395" s="277" t="s">
        <v>2927</v>
      </c>
      <c r="R395" s="222" t="s">
        <v>2928</v>
      </c>
      <c r="S395" s="223">
        <f>K391-S391-S392-S393-S394</f>
        <v>29</v>
      </c>
      <c r="T395" s="131"/>
      <c r="U395" s="78"/>
      <c r="V395" s="78"/>
      <c r="W395" s="232"/>
      <c r="X395" s="233"/>
      <c r="Y395" s="212"/>
      <c r="Z395" s="350"/>
      <c r="AA395" s="195"/>
      <c r="AB395" s="132">
        <v>46239</v>
      </c>
      <c r="AC395" s="132"/>
    </row>
    <row r="396" spans="3:29" s="79" customFormat="1" ht="21.6" customHeight="1">
      <c r="C396" s="249" t="str">
        <f t="shared" ref="C396:C472" si="27">AA396</f>
        <v>Aug14-12</v>
      </c>
      <c r="D396" s="77">
        <f>IFERROR(VLOOKUP($AA396,PLAN!$B:$AA,3,0),"")</f>
        <v>11122087</v>
      </c>
      <c r="E396" s="77" t="str">
        <f>IFERROR(VLOOKUP($AA396,PLAN!$B:$AA,4,0),"")</f>
        <v>2341003-B-A</v>
      </c>
      <c r="F396" s="77" t="str">
        <f>IFERROR(VLOOKUP($AA396,PLAN!$B:$AA,5,0),"")</f>
        <v>CRV135-19P CE3</v>
      </c>
      <c r="G396" s="77" t="str">
        <f>IFERROR(VLOOKUP($AA396,PLAN!$B:$AA,2,0),"")</f>
        <v>1001930980</v>
      </c>
      <c r="H396" s="113">
        <f>IFERROR(VLOOKUP($AA396,PLAN!$B:$AA,7,0),"")</f>
        <v>46248</v>
      </c>
      <c r="I396" s="77" t="str">
        <f>IFERROR(VLOOKUP($AA396,PLAN!$B:$AA,8,0),"")</f>
        <v>0103582500</v>
      </c>
      <c r="J396" s="77" t="str">
        <f>IFERROR(VLOOKUP($AA396,PLAN!$B:$AA,9,0),"")</f>
        <v>260729K04A</v>
      </c>
      <c r="K396" s="77">
        <f>IFERROR(VLOOKUP($AA396,PLAN!$B:$AA,10,0),"")</f>
        <v>189</v>
      </c>
      <c r="L396" s="77" t="str">
        <f>IFERROR(VLOOKUP($AA396,PLAN!$B:$AA,15,0),"")</f>
        <v>Oversea</v>
      </c>
      <c r="M396" s="77">
        <f>IFERROR(VLOOKUP($AA396,PLAN!$B:$AA,18,0),"")</f>
        <v>0</v>
      </c>
      <c r="N396" s="227">
        <f>IFERROR(VLOOKUP($AA396,PLAN!$B:$AA,19,0),"")</f>
        <v>0</v>
      </c>
      <c r="O396" s="77" t="str">
        <f>IFERROR(VLOOKUP($AA396,PLAN!$B:$AA,12,0),"")</f>
        <v>1942140-B-C</v>
      </c>
      <c r="P396" s="77">
        <f>IFERROR(VLOOKUP($AA396,PLAN!$B:$AA,11,0),"")</f>
        <v>12129626</v>
      </c>
      <c r="Q396" s="277" t="s">
        <v>2180</v>
      </c>
      <c r="R396" s="222" t="s">
        <v>2181</v>
      </c>
      <c r="S396" s="149">
        <f t="shared" ref="S396:S464" si="28">K396</f>
        <v>189</v>
      </c>
      <c r="T396" s="131"/>
      <c r="U396" s="78">
        <f>IFERROR(VLOOKUP($AA396,PLAN!$B:$AA,21,0),"")</f>
        <v>46239</v>
      </c>
      <c r="V396" s="78" t="str">
        <f>IFERROR(VLOOKUP($AA396,PLAN!$B:$AA,22,0),"")</f>
        <v>M8</v>
      </c>
      <c r="W396" s="232"/>
      <c r="X396" s="233"/>
      <c r="Y396" s="212"/>
      <c r="Z396" s="350"/>
      <c r="AA396" s="195" t="s">
        <v>2865</v>
      </c>
      <c r="AB396" s="132">
        <f>VLOOKUP(AA396,PLAN!B:V,20,0)</f>
        <v>46239</v>
      </c>
      <c r="AC396" s="132"/>
    </row>
    <row r="397" spans="3:29" s="79" customFormat="1" ht="21.6" customHeight="1">
      <c r="C397" s="249" t="str">
        <f t="shared" si="27"/>
        <v>Aug14-13</v>
      </c>
      <c r="D397" s="77">
        <f>IFERROR(VLOOKUP($AA397,PLAN!$B:$AA,3,0),"")</f>
        <v>11122088</v>
      </c>
      <c r="E397" s="77" t="str">
        <f>IFERROR(VLOOKUP($AA397,PLAN!$B:$AA,4,0),"")</f>
        <v>2341004-B-A</v>
      </c>
      <c r="F397" s="77" t="str">
        <f>IFERROR(VLOOKUP($AA397,PLAN!$B:$AA,5,0),"")</f>
        <v>CRV150-19P CE3</v>
      </c>
      <c r="G397" s="77" t="str">
        <f>IFERROR(VLOOKUP($AA397,PLAN!$B:$AA,2,0),"")</f>
        <v>1001930981</v>
      </c>
      <c r="H397" s="113">
        <f>IFERROR(VLOOKUP($AA397,PLAN!$B:$AA,7,0),"")</f>
        <v>46248</v>
      </c>
      <c r="I397" s="77" t="str">
        <f>IFERROR(VLOOKUP($AA397,PLAN!$B:$AA,8,0),"")</f>
        <v>0103582501</v>
      </c>
      <c r="J397" s="77" t="str">
        <f>IFERROR(VLOOKUP($AA397,PLAN!$B:$AA,9,0),"")</f>
        <v>260729K05A</v>
      </c>
      <c r="K397" s="77">
        <f>IFERROR(VLOOKUP($AA397,PLAN!$B:$AA,10,0),"")</f>
        <v>70</v>
      </c>
      <c r="L397" s="77" t="str">
        <f>IFERROR(VLOOKUP($AA397,PLAN!$B:$AA,15,0),"")</f>
        <v>Oversea</v>
      </c>
      <c r="M397" s="77">
        <f>IFERROR(VLOOKUP($AA397,PLAN!$B:$AA,18,0),"")</f>
        <v>0</v>
      </c>
      <c r="N397" s="227">
        <f>IFERROR(VLOOKUP($AA397,PLAN!$B:$AA,19,0),"")</f>
        <v>0</v>
      </c>
      <c r="O397" s="77" t="str">
        <f>IFERROR(VLOOKUP($AA397,PLAN!$B:$AA,12,0),"")</f>
        <v>1942141-B-C</v>
      </c>
      <c r="P397" s="77">
        <f>IFERROR(VLOOKUP($AA397,PLAN!$B:$AA,11,0),"")</f>
        <v>12129627</v>
      </c>
      <c r="Q397" s="349" t="s">
        <v>2182</v>
      </c>
      <c r="R397" s="149" t="s">
        <v>2183</v>
      </c>
      <c r="S397" s="149">
        <f t="shared" si="28"/>
        <v>70</v>
      </c>
      <c r="T397" s="131"/>
      <c r="U397" s="78">
        <f>IFERROR(VLOOKUP($AA397,PLAN!$B:$AA,21,0),"")</f>
        <v>46239</v>
      </c>
      <c r="V397" s="78" t="str">
        <f>IFERROR(VLOOKUP($AA397,PLAN!$B:$AA,22,0),"")</f>
        <v>M8</v>
      </c>
      <c r="W397" s="232"/>
      <c r="X397" s="233"/>
      <c r="Y397" s="212"/>
      <c r="Z397" s="350"/>
      <c r="AA397" s="195" t="s">
        <v>2866</v>
      </c>
      <c r="AB397" s="132">
        <f>VLOOKUP(AA397,PLAN!B:V,20,0)</f>
        <v>46239</v>
      </c>
      <c r="AC397" s="132"/>
    </row>
    <row r="398" spans="3:29" s="79" customFormat="1" ht="21.6" customHeight="1">
      <c r="C398" s="249" t="str">
        <f t="shared" si="27"/>
        <v>Aug14-14</v>
      </c>
      <c r="D398" s="77">
        <f>IFERROR(VLOOKUP($AA398,PLAN!$B:$AA,3,0),"")</f>
        <v>11131259</v>
      </c>
      <c r="E398" s="77" t="str">
        <f>IFERROR(VLOOKUP($AA398,PLAN!$B:$AA,4,0),"")</f>
        <v>1941002-D-A</v>
      </c>
      <c r="F398" s="77" t="str">
        <f>IFERROR(VLOOKUP($AA398,PLAN!$B:$AA,5,0),"")</f>
        <v>CSR150-26PR JP</v>
      </c>
      <c r="G398" s="77" t="str">
        <f>IFERROR(VLOOKUP($AA398,PLAN!$B:$AA,2,0),"")</f>
        <v>1001930982</v>
      </c>
      <c r="H398" s="113">
        <f>IFERROR(VLOOKUP($AA398,PLAN!$B:$AA,7,0),"")</f>
        <v>46248</v>
      </c>
      <c r="I398" s="77" t="str">
        <f>IFERROR(VLOOKUP($AA398,PLAN!$B:$AA,8,0),"")</f>
        <v>0103582502</v>
      </c>
      <c r="J398" s="77" t="str">
        <f>IFERROR(VLOOKUP($AA398,PLAN!$B:$AA,9,0),"")</f>
        <v>260729K06A</v>
      </c>
      <c r="K398" s="77">
        <f>IFERROR(VLOOKUP($AA398,PLAN!$B:$AA,10,0),"")</f>
        <v>37</v>
      </c>
      <c r="L398" s="77" t="str">
        <f>IFERROR(VLOOKUP($AA398,PLAN!$B:$AA,15,0),"")</f>
        <v>JAPAN</v>
      </c>
      <c r="M398" s="77">
        <f>IFERROR(VLOOKUP($AA398,PLAN!$B:$AA,18,0),"")</f>
        <v>0</v>
      </c>
      <c r="N398" s="227">
        <f>IFERROR(VLOOKUP($AA398,PLAN!$B:$AA,19,0),"")</f>
        <v>0</v>
      </c>
      <c r="O398" s="77" t="str">
        <f>IFERROR(VLOOKUP($AA398,PLAN!$B:$AA,12,0),"")</f>
        <v>2342020-A-C</v>
      </c>
      <c r="P398" s="77">
        <f>IFERROR(VLOOKUP($AA398,PLAN!$B:$AA,11,0),"")</f>
        <v>12120625</v>
      </c>
      <c r="Q398" s="277" t="s">
        <v>513</v>
      </c>
      <c r="R398" s="149" t="s">
        <v>514</v>
      </c>
      <c r="S398" s="223">
        <v>9</v>
      </c>
      <c r="T398" s="131"/>
      <c r="U398" s="78">
        <f>IFERROR(VLOOKUP($AA398,PLAN!$B:$AA,21,0),"")</f>
        <v>46239</v>
      </c>
      <c r="V398" s="78" t="str">
        <f>IFERROR(VLOOKUP($AA398,PLAN!$B:$AA,22,0),"")</f>
        <v>M8</v>
      </c>
      <c r="W398" s="232"/>
      <c r="X398" s="233"/>
      <c r="Y398" s="212"/>
      <c r="Z398" s="350"/>
      <c r="AA398" s="195" t="s">
        <v>2867</v>
      </c>
      <c r="AB398" s="132">
        <f>VLOOKUP(AA398,PLAN!B:V,20,0)</f>
        <v>46239</v>
      </c>
      <c r="AC398" s="132"/>
    </row>
    <row r="399" spans="3:29" s="79" customFormat="1" ht="21.6" customHeight="1">
      <c r="C399" s="249"/>
      <c r="D399" s="77"/>
      <c r="E399" s="77"/>
      <c r="F399" s="77"/>
      <c r="G399" s="77"/>
      <c r="H399" s="113"/>
      <c r="I399" s="77"/>
      <c r="J399" s="77"/>
      <c r="K399" s="77"/>
      <c r="L399" s="77"/>
      <c r="M399" s="77"/>
      <c r="N399" s="227"/>
      <c r="O399" s="77"/>
      <c r="P399" s="77"/>
      <c r="Q399" s="372" t="s">
        <v>2929</v>
      </c>
      <c r="R399" s="158" t="s">
        <v>2930</v>
      </c>
      <c r="S399" s="223">
        <f>K398-S398</f>
        <v>28</v>
      </c>
      <c r="T399" s="131"/>
      <c r="U399" s="78"/>
      <c r="V399" s="78"/>
      <c r="W399" s="232"/>
      <c r="X399" s="233"/>
      <c r="Y399" s="212"/>
      <c r="Z399" s="350"/>
      <c r="AA399" s="195"/>
      <c r="AB399" s="132">
        <v>46239</v>
      </c>
      <c r="AC399" s="132"/>
    </row>
    <row r="400" spans="3:29" s="79" customFormat="1" ht="21.6" customHeight="1">
      <c r="C400" s="249" t="str">
        <f t="shared" si="27"/>
        <v>Aug14-15</v>
      </c>
      <c r="D400" s="77">
        <f>IFERROR(VLOOKUP($AA400,PLAN!$B:$AA,3,0),"")</f>
        <v>11126311</v>
      </c>
      <c r="E400" s="77" t="str">
        <f>IFERROR(VLOOKUP($AA400,PLAN!$B:$AA,4,0),"")</f>
        <v>1941011-E-A</v>
      </c>
      <c r="F400" s="77" t="str">
        <f>IFERROR(VLOOKUP($AA400,PLAN!$B:$AA,5,0),"")</f>
        <v>MST150-18PWSFR JP</v>
      </c>
      <c r="G400" s="77" t="str">
        <f>IFERROR(VLOOKUP($AA400,PLAN!$B:$AA,2,0),"")</f>
        <v>1001930983</v>
      </c>
      <c r="H400" s="113">
        <f>IFERROR(VLOOKUP($AA400,PLAN!$B:$AA,7,0),"")</f>
        <v>46248</v>
      </c>
      <c r="I400" s="77" t="str">
        <f>IFERROR(VLOOKUP($AA400,PLAN!$B:$AA,8,0),"")</f>
        <v>0103582503</v>
      </c>
      <c r="J400" s="77" t="str">
        <f>IFERROR(VLOOKUP($AA400,PLAN!$B:$AA,9,0),"")</f>
        <v>260729K07A</v>
      </c>
      <c r="K400" s="77">
        <f>IFERROR(VLOOKUP($AA400,PLAN!$B:$AA,10,0),"")</f>
        <v>1</v>
      </c>
      <c r="L400" s="77" t="str">
        <f>IFERROR(VLOOKUP($AA400,PLAN!$B:$AA,15,0),"")</f>
        <v>JAPAN</v>
      </c>
      <c r="M400" s="77">
        <f>IFERROR(VLOOKUP($AA400,PLAN!$B:$AA,18,0),"")</f>
        <v>0</v>
      </c>
      <c r="N400" s="227">
        <f>IFERROR(VLOOKUP($AA400,PLAN!$B:$AA,19,0),"")</f>
        <v>0</v>
      </c>
      <c r="O400" s="77" t="str">
        <f>IFERROR(VLOOKUP($AA400,PLAN!$B:$AA,12,0),"")</f>
        <v>2442035-0-C</v>
      </c>
      <c r="P400" s="77">
        <f>IFERROR(VLOOKUP($AA400,PLAN!$B:$AA,11,0),"")</f>
        <v>12132457</v>
      </c>
      <c r="Q400" s="349" t="s">
        <v>2931</v>
      </c>
      <c r="R400" s="158" t="s">
        <v>2932</v>
      </c>
      <c r="S400" s="149">
        <f t="shared" si="28"/>
        <v>1</v>
      </c>
      <c r="T400" s="131"/>
      <c r="U400" s="78">
        <f>IFERROR(VLOOKUP($AA400,PLAN!$B:$AA,21,0),"")</f>
        <v>46239</v>
      </c>
      <c r="V400" s="78" t="str">
        <f>IFERROR(VLOOKUP($AA400,PLAN!$B:$AA,22,0),"")</f>
        <v>M8</v>
      </c>
      <c r="W400" s="232"/>
      <c r="X400" s="233"/>
      <c r="Y400" s="212"/>
      <c r="Z400" s="350"/>
      <c r="AA400" s="195" t="s">
        <v>2868</v>
      </c>
      <c r="AB400" s="132">
        <f>VLOOKUP(AA400,PLAN!B:V,20,0)</f>
        <v>46239</v>
      </c>
      <c r="AC400" s="132"/>
    </row>
    <row r="401" spans="3:29" s="79" customFormat="1" ht="21.6" customHeight="1">
      <c r="C401" s="249" t="str">
        <f t="shared" si="27"/>
        <v>Aug14-16</v>
      </c>
      <c r="D401" s="77">
        <f>IFERROR(VLOOKUP($AA401,PLAN!$B:$AA,3,0),"")</f>
        <v>11131954</v>
      </c>
      <c r="E401" s="77" t="str">
        <f>IFERROR(VLOOKUP($AA401,PLAN!$B:$AA,4,0),"")</f>
        <v>1941013-F-A</v>
      </c>
      <c r="F401" s="77" t="str">
        <f>IFERROR(VLOOKUP($AA401,PLAN!$B:$AA,5,0),"")</f>
        <v>MST45A-18PWSFR JP</v>
      </c>
      <c r="G401" s="77" t="str">
        <f>IFERROR(VLOOKUP($AA401,PLAN!$B:$AA,2,0),"")</f>
        <v>1001930984</v>
      </c>
      <c r="H401" s="113">
        <f>IFERROR(VLOOKUP($AA401,PLAN!$B:$AA,7,0),"")</f>
        <v>46248</v>
      </c>
      <c r="I401" s="77" t="str">
        <f>IFERROR(VLOOKUP($AA401,PLAN!$B:$AA,8,0),"")</f>
        <v>0103582504</v>
      </c>
      <c r="J401" s="77" t="str">
        <f>IFERROR(VLOOKUP($AA401,PLAN!$B:$AA,9,0),"")</f>
        <v>260729K08A</v>
      </c>
      <c r="K401" s="77">
        <f>IFERROR(VLOOKUP($AA401,PLAN!$B:$AA,10,0),"")</f>
        <v>3</v>
      </c>
      <c r="L401" s="77" t="str">
        <f>IFERROR(VLOOKUP($AA401,PLAN!$B:$AA,15,0),"")</f>
        <v>JAPAN</v>
      </c>
      <c r="M401" s="77">
        <f>IFERROR(VLOOKUP($AA401,PLAN!$B:$AA,18,0),"")</f>
        <v>0</v>
      </c>
      <c r="N401" s="227">
        <f>IFERROR(VLOOKUP($AA401,PLAN!$B:$AA,19,0),"")</f>
        <v>0</v>
      </c>
      <c r="O401" s="77" t="str">
        <f>IFERROR(VLOOKUP($AA401,PLAN!$B:$AA,12,0),"")</f>
        <v>2442057-0-C</v>
      </c>
      <c r="P401" s="77">
        <f>IFERROR(VLOOKUP($AA401,PLAN!$B:$AA,11,0),"")</f>
        <v>12132619</v>
      </c>
      <c r="Q401" s="349" t="s">
        <v>2933</v>
      </c>
      <c r="R401" s="158" t="s">
        <v>2934</v>
      </c>
      <c r="S401" s="149">
        <f t="shared" si="28"/>
        <v>3</v>
      </c>
      <c r="T401" s="131"/>
      <c r="U401" s="78">
        <f>IFERROR(VLOOKUP($AA401,PLAN!$B:$AA,21,0),"")</f>
        <v>46239</v>
      </c>
      <c r="V401" s="78" t="str">
        <f>IFERROR(VLOOKUP($AA401,PLAN!$B:$AA,22,0),"")</f>
        <v>M8</v>
      </c>
      <c r="W401" s="232"/>
      <c r="X401" s="233"/>
      <c r="Y401" s="212"/>
      <c r="Z401" s="350"/>
      <c r="AA401" s="195" t="s">
        <v>2869</v>
      </c>
      <c r="AB401" s="132">
        <f>VLOOKUP(AA401,PLAN!B:V,20,0)</f>
        <v>46239</v>
      </c>
      <c r="AC401" s="132"/>
    </row>
    <row r="402" spans="3:29" s="79" customFormat="1" ht="21.6" customHeight="1">
      <c r="C402" s="249" t="str">
        <f t="shared" si="27"/>
        <v>Aug14-17</v>
      </c>
      <c r="D402" s="77">
        <f>IFERROR(VLOOKUP($AA402,PLAN!$B:$AA,3,0),"")</f>
        <v>11132001</v>
      </c>
      <c r="E402" s="77" t="str">
        <f>IFERROR(VLOOKUP($AA402,PLAN!$B:$AA,4,0),"")</f>
        <v>1941063-D-A</v>
      </c>
      <c r="F402" s="77" t="str">
        <f>IFERROR(VLOOKUP($AA402,PLAN!$B:$AA,5,0),"")</f>
        <v>TLS105-16YR JP</v>
      </c>
      <c r="G402" s="77" t="str">
        <f>IFERROR(VLOOKUP($AA402,PLAN!$B:$AA,2,0),"")</f>
        <v>1001930985</v>
      </c>
      <c r="H402" s="113">
        <f>IFERROR(VLOOKUP($AA402,PLAN!$B:$AA,7,0),"")</f>
        <v>46248</v>
      </c>
      <c r="I402" s="77" t="str">
        <f>IFERROR(VLOOKUP($AA402,PLAN!$B:$AA,8,0),"")</f>
        <v>0103582505</v>
      </c>
      <c r="J402" s="77" t="str">
        <f>IFERROR(VLOOKUP($AA402,PLAN!$B:$AA,9,0),"")</f>
        <v>260729K09A</v>
      </c>
      <c r="K402" s="77">
        <f>IFERROR(VLOOKUP($AA402,PLAN!$B:$AA,10,0),"")</f>
        <v>13</v>
      </c>
      <c r="L402" s="77" t="str">
        <f>IFERROR(VLOOKUP($AA402,PLAN!$B:$AA,15,0),"")</f>
        <v>J-sales</v>
      </c>
      <c r="M402" s="77">
        <f>IFERROR(VLOOKUP($AA402,PLAN!$B:$AA,18,0),"")</f>
        <v>0</v>
      </c>
      <c r="N402" s="227">
        <f>IFERROR(VLOOKUP($AA402,PLAN!$B:$AA,19,0),"")</f>
        <v>0</v>
      </c>
      <c r="O402" s="77" t="str">
        <f>IFERROR(VLOOKUP($AA402,PLAN!$B:$AA,12,0),"")</f>
        <v>1942078-A-C</v>
      </c>
      <c r="P402" s="77">
        <f>IFERROR(VLOOKUP($AA402,PLAN!$B:$AA,11,0),"")</f>
        <v>12120522</v>
      </c>
      <c r="Q402" s="349" t="s">
        <v>2935</v>
      </c>
      <c r="R402" s="158" t="s">
        <v>2936</v>
      </c>
      <c r="S402" s="149">
        <f t="shared" si="28"/>
        <v>13</v>
      </c>
      <c r="T402" s="131"/>
      <c r="U402" s="78">
        <f>IFERROR(VLOOKUP($AA402,PLAN!$B:$AA,21,0),"")</f>
        <v>46239</v>
      </c>
      <c r="V402" s="78" t="str">
        <f>IFERROR(VLOOKUP($AA402,PLAN!$B:$AA,22,0),"")</f>
        <v>M8</v>
      </c>
      <c r="W402" s="232"/>
      <c r="X402" s="233"/>
      <c r="Y402" s="212"/>
      <c r="Z402" s="350"/>
      <c r="AA402" s="195" t="s">
        <v>2870</v>
      </c>
      <c r="AB402" s="132">
        <f>VLOOKUP(AA402,PLAN!B:V,20,0)</f>
        <v>46239</v>
      </c>
      <c r="AC402" s="132"/>
    </row>
    <row r="403" spans="3:29" s="79" customFormat="1" ht="21.6" customHeight="1">
      <c r="C403" s="249" t="str">
        <f t="shared" si="27"/>
        <v>Aug14-18</v>
      </c>
      <c r="D403" s="77">
        <f>IFERROR(VLOOKUP($AA403,PLAN!$B:$AA,3,0),"")</f>
        <v>11134361</v>
      </c>
      <c r="E403" s="77" t="str">
        <f>IFERROR(VLOOKUP($AA403,PLAN!$B:$AA,4,0),"")</f>
        <v>1941057-F-A</v>
      </c>
      <c r="F403" s="77" t="str">
        <f>IFERROR(VLOOKUP($AA403,PLAN!$B:$AA,5,0),"")</f>
        <v>TLS125-16SR JP</v>
      </c>
      <c r="G403" s="77" t="str">
        <f>IFERROR(VLOOKUP($AA403,PLAN!$B:$AA,2,0),"")</f>
        <v>1001930986</v>
      </c>
      <c r="H403" s="113">
        <f>IFERROR(VLOOKUP($AA403,PLAN!$B:$AA,7,0),"")</f>
        <v>46248</v>
      </c>
      <c r="I403" s="77" t="str">
        <f>IFERROR(VLOOKUP($AA403,PLAN!$B:$AA,8,0),"")</f>
        <v>0103582506</v>
      </c>
      <c r="J403" s="77" t="str">
        <f>IFERROR(VLOOKUP($AA403,PLAN!$B:$AA,9,0),"")</f>
        <v>260729K10A</v>
      </c>
      <c r="K403" s="77">
        <f>IFERROR(VLOOKUP($AA403,PLAN!$B:$AA,10,0),"")</f>
        <v>5</v>
      </c>
      <c r="L403" s="77" t="str">
        <f>IFERROR(VLOOKUP($AA403,PLAN!$B:$AA,15,0),"")</f>
        <v>J-sales</v>
      </c>
      <c r="M403" s="77">
        <f>IFERROR(VLOOKUP($AA403,PLAN!$B:$AA,18,0),"")</f>
        <v>0</v>
      </c>
      <c r="N403" s="227">
        <f>IFERROR(VLOOKUP($AA403,PLAN!$B:$AA,19,0),"")</f>
        <v>0</v>
      </c>
      <c r="O403" s="77" t="str">
        <f>IFERROR(VLOOKUP($AA403,PLAN!$B:$AA,12,0),"")</f>
        <v>1942079-A-C</v>
      </c>
      <c r="P403" s="77">
        <f>IFERROR(VLOOKUP($AA403,PLAN!$B:$AA,11,0),"")</f>
        <v>12120523</v>
      </c>
      <c r="Q403" s="277" t="s">
        <v>542</v>
      </c>
      <c r="R403" s="149" t="s">
        <v>543</v>
      </c>
      <c r="S403" s="223">
        <v>2</v>
      </c>
      <c r="T403" s="131"/>
      <c r="U403" s="78">
        <f>IFERROR(VLOOKUP($AA403,PLAN!$B:$AA,21,0),"")</f>
        <v>46239</v>
      </c>
      <c r="V403" s="78" t="str">
        <f>IFERROR(VLOOKUP($AA403,PLAN!$B:$AA,22,0),"")</f>
        <v>M8</v>
      </c>
      <c r="W403" s="232"/>
      <c r="X403" s="233"/>
      <c r="Y403" s="212"/>
      <c r="Z403" s="350"/>
      <c r="AA403" s="195" t="s">
        <v>2871</v>
      </c>
      <c r="AB403" s="132">
        <f>VLOOKUP(AA403,PLAN!B:V,20,0)</f>
        <v>46239</v>
      </c>
      <c r="AC403" s="132"/>
    </row>
    <row r="404" spans="3:29" s="79" customFormat="1" ht="21.6" customHeight="1">
      <c r="C404" s="249"/>
      <c r="D404" s="77"/>
      <c r="E404" s="77"/>
      <c r="F404" s="77"/>
      <c r="G404" s="77"/>
      <c r="H404" s="113"/>
      <c r="I404" s="77"/>
      <c r="J404" s="77"/>
      <c r="K404" s="77"/>
      <c r="L404" s="77"/>
      <c r="M404" s="77"/>
      <c r="N404" s="227"/>
      <c r="O404" s="77"/>
      <c r="P404" s="77"/>
      <c r="Q404" s="349" t="s">
        <v>2937</v>
      </c>
      <c r="R404" s="158" t="s">
        <v>2938</v>
      </c>
      <c r="S404" s="223">
        <f>K403-S403</f>
        <v>3</v>
      </c>
      <c r="T404" s="131"/>
      <c r="U404" s="78"/>
      <c r="V404" s="78"/>
      <c r="W404" s="232"/>
      <c r="X404" s="233"/>
      <c r="Y404" s="212"/>
      <c r="Z404" s="350"/>
      <c r="AA404" s="195"/>
      <c r="AB404" s="132">
        <v>46239</v>
      </c>
      <c r="AC404" s="132"/>
    </row>
    <row r="405" spans="3:29" s="79" customFormat="1" ht="21.6" customHeight="1">
      <c r="C405" s="249" t="str">
        <f t="shared" si="27"/>
        <v>Aug14-19</v>
      </c>
      <c r="D405" s="77">
        <f>IFERROR(VLOOKUP($AA405,PLAN!$B:$AA,3,0),"")</f>
        <v>11132002</v>
      </c>
      <c r="E405" s="77" t="str">
        <f>IFERROR(VLOOKUP($AA405,PLAN!$B:$AA,4,0),"")</f>
        <v>1941064-D-A</v>
      </c>
      <c r="F405" s="77" t="str">
        <f>IFERROR(VLOOKUP($AA405,PLAN!$B:$AA,5,0),"")</f>
        <v>TLS125-16YR JP</v>
      </c>
      <c r="G405" s="77" t="str">
        <f>IFERROR(VLOOKUP($AA405,PLAN!$B:$AA,2,0),"")</f>
        <v>1001930987</v>
      </c>
      <c r="H405" s="113">
        <f>IFERROR(VLOOKUP($AA405,PLAN!$B:$AA,7,0),"")</f>
        <v>46248</v>
      </c>
      <c r="I405" s="77" t="str">
        <f>IFERROR(VLOOKUP($AA405,PLAN!$B:$AA,8,0),"")</f>
        <v>0103582507</v>
      </c>
      <c r="J405" s="77" t="str">
        <f>IFERROR(VLOOKUP($AA405,PLAN!$B:$AA,9,0),"")</f>
        <v>260729K11A</v>
      </c>
      <c r="K405" s="77">
        <f>IFERROR(VLOOKUP($AA405,PLAN!$B:$AA,10,0),"")</f>
        <v>4</v>
      </c>
      <c r="L405" s="77" t="str">
        <f>IFERROR(VLOOKUP($AA405,PLAN!$B:$AA,15,0),"")</f>
        <v>J-sales</v>
      </c>
      <c r="M405" s="77">
        <f>IFERROR(VLOOKUP($AA405,PLAN!$B:$AA,18,0),"")</f>
        <v>0</v>
      </c>
      <c r="N405" s="227">
        <f>IFERROR(VLOOKUP($AA405,PLAN!$B:$AA,19,0),"")</f>
        <v>0</v>
      </c>
      <c r="O405" s="77" t="str">
        <f>IFERROR(VLOOKUP($AA405,PLAN!$B:$AA,12,0),"")</f>
        <v>1942079-A-C</v>
      </c>
      <c r="P405" s="77">
        <f>IFERROR(VLOOKUP($AA405,PLAN!$B:$AA,11,0),"")</f>
        <v>12120523</v>
      </c>
      <c r="Q405" s="349" t="s">
        <v>2937</v>
      </c>
      <c r="R405" s="158" t="s">
        <v>2938</v>
      </c>
      <c r="S405" s="149">
        <f t="shared" si="28"/>
        <v>4</v>
      </c>
      <c r="T405" s="131"/>
      <c r="U405" s="78">
        <f>IFERROR(VLOOKUP($AA405,PLAN!$B:$AA,21,0),"")</f>
        <v>46239</v>
      </c>
      <c r="V405" s="78" t="str">
        <f>IFERROR(VLOOKUP($AA405,PLAN!$B:$AA,22,0),"")</f>
        <v>M8</v>
      </c>
      <c r="W405" s="232"/>
      <c r="X405" s="233"/>
      <c r="Y405" s="212"/>
      <c r="Z405" s="350"/>
      <c r="AA405" s="195" t="s">
        <v>2872</v>
      </c>
      <c r="AB405" s="132">
        <f>VLOOKUP(AA405,PLAN!B:V,20,0)</f>
        <v>46239</v>
      </c>
      <c r="AC405" s="132"/>
    </row>
    <row r="406" spans="3:29" s="79" customFormat="1" ht="21.6" customHeight="1">
      <c r="C406" s="249" t="str">
        <f t="shared" si="27"/>
        <v>Aug14-20</v>
      </c>
      <c r="D406" s="77">
        <f>IFERROR(VLOOKUP($AA406,PLAN!$B:$AA,3,0),"")</f>
        <v>11134362</v>
      </c>
      <c r="E406" s="77" t="str">
        <f>IFERROR(VLOOKUP($AA406,PLAN!$B:$AA,4,0),"")</f>
        <v>1941058-F-A</v>
      </c>
      <c r="F406" s="77" t="str">
        <f>IFERROR(VLOOKUP($AA406,PLAN!$B:$AA,5,0),"")</f>
        <v>TLS150-16SR JP</v>
      </c>
      <c r="G406" s="77" t="str">
        <f>IFERROR(VLOOKUP($AA406,PLAN!$B:$AA,2,0),"")</f>
        <v>1001930988</v>
      </c>
      <c r="H406" s="113">
        <f>IFERROR(VLOOKUP($AA406,PLAN!$B:$AA,7,0),"")</f>
        <v>46248</v>
      </c>
      <c r="I406" s="77" t="str">
        <f>IFERROR(VLOOKUP($AA406,PLAN!$B:$AA,8,0),"")</f>
        <v>0103582508</v>
      </c>
      <c r="J406" s="77" t="str">
        <f>IFERROR(VLOOKUP($AA406,PLAN!$B:$AA,9,0),"")</f>
        <v>260729K12A</v>
      </c>
      <c r="K406" s="77">
        <f>IFERROR(VLOOKUP($AA406,PLAN!$B:$AA,10,0),"")</f>
        <v>11</v>
      </c>
      <c r="L406" s="77" t="str">
        <f>IFERROR(VLOOKUP($AA406,PLAN!$B:$AA,15,0),"")</f>
        <v>J-sales</v>
      </c>
      <c r="M406" s="77">
        <f>IFERROR(VLOOKUP($AA406,PLAN!$B:$AA,18,0),"")</f>
        <v>0</v>
      </c>
      <c r="N406" s="227">
        <f>IFERROR(VLOOKUP($AA406,PLAN!$B:$AA,19,0),"")</f>
        <v>0</v>
      </c>
      <c r="O406" s="77" t="str">
        <f>IFERROR(VLOOKUP($AA406,PLAN!$B:$AA,12,0),"")</f>
        <v>1942080-A-C</v>
      </c>
      <c r="P406" s="77">
        <f>IFERROR(VLOOKUP($AA406,PLAN!$B:$AA,11,0),"")</f>
        <v>12120524</v>
      </c>
      <c r="Q406" s="349" t="s">
        <v>2939</v>
      </c>
      <c r="R406" s="158" t="s">
        <v>2940</v>
      </c>
      <c r="S406" s="149">
        <f t="shared" si="28"/>
        <v>11</v>
      </c>
      <c r="T406" s="131"/>
      <c r="U406" s="78">
        <f>IFERROR(VLOOKUP($AA406,PLAN!$B:$AA,21,0),"")</f>
        <v>46239</v>
      </c>
      <c r="V406" s="78" t="str">
        <f>IFERROR(VLOOKUP($AA406,PLAN!$B:$AA,22,0),"")</f>
        <v>M8</v>
      </c>
      <c r="W406" s="232"/>
      <c r="X406" s="233"/>
      <c r="Y406" s="212"/>
      <c r="Z406" s="350"/>
      <c r="AA406" s="195" t="s">
        <v>2873</v>
      </c>
      <c r="AB406" s="132">
        <f>VLOOKUP(AA406,PLAN!B:V,20,0)</f>
        <v>46239</v>
      </c>
      <c r="AC406" s="132"/>
    </row>
    <row r="407" spans="3:29" s="79" customFormat="1" ht="21.6" customHeight="1">
      <c r="C407" s="249" t="str">
        <f t="shared" si="27"/>
        <v>Aug14-21</v>
      </c>
      <c r="D407" s="77">
        <f>IFERROR(VLOOKUP($AA407,PLAN!$B:$AA,3,0),"")</f>
        <v>11134344</v>
      </c>
      <c r="E407" s="77" t="str">
        <f>IFERROR(VLOOKUP($AA407,PLAN!$B:$AA,4,0),"")</f>
        <v>1941030-F-A</v>
      </c>
      <c r="F407" s="77" t="str">
        <f>IFERROR(VLOOKUP($AA407,PLAN!$B:$AA,5,0),"")</f>
        <v>VEL125-16SR JP</v>
      </c>
      <c r="G407" s="77" t="str">
        <f>IFERROR(VLOOKUP($AA407,PLAN!$B:$AA,2,0),"")</f>
        <v>1001930989</v>
      </c>
      <c r="H407" s="113">
        <f>IFERROR(VLOOKUP($AA407,PLAN!$B:$AA,7,0),"")</f>
        <v>46248</v>
      </c>
      <c r="I407" s="77" t="str">
        <f>IFERROR(VLOOKUP($AA407,PLAN!$B:$AA,8,0),"")</f>
        <v>0103582509</v>
      </c>
      <c r="J407" s="77" t="str">
        <f>IFERROR(VLOOKUP($AA407,PLAN!$B:$AA,9,0),"")</f>
        <v>260729K13A</v>
      </c>
      <c r="K407" s="77">
        <f>IFERROR(VLOOKUP($AA407,PLAN!$B:$AA,10,0),"")</f>
        <v>9</v>
      </c>
      <c r="L407" s="77" t="str">
        <f>IFERROR(VLOOKUP($AA407,PLAN!$B:$AA,15,0),"")</f>
        <v>JAPAN</v>
      </c>
      <c r="M407" s="77">
        <f>IFERROR(VLOOKUP($AA407,PLAN!$B:$AA,18,0),"")</f>
        <v>0</v>
      </c>
      <c r="N407" s="227">
        <f>IFERROR(VLOOKUP($AA407,PLAN!$B:$AA,19,0),"")</f>
        <v>0</v>
      </c>
      <c r="O407" s="77" t="str">
        <f>IFERROR(VLOOKUP($AA407,PLAN!$B:$AA,12,0),"")</f>
        <v>1942061-A-C</v>
      </c>
      <c r="P407" s="77">
        <f>IFERROR(VLOOKUP($AA407,PLAN!$B:$AA,11,0),"")</f>
        <v>12120505</v>
      </c>
      <c r="Q407" s="277" t="s">
        <v>829</v>
      </c>
      <c r="R407" s="149" t="s">
        <v>830</v>
      </c>
      <c r="S407" s="223">
        <v>3</v>
      </c>
      <c r="T407" s="131"/>
      <c r="U407" s="78">
        <f>IFERROR(VLOOKUP($AA407,PLAN!$B:$AA,21,0),"")</f>
        <v>46239</v>
      </c>
      <c r="V407" s="78" t="str">
        <f>IFERROR(VLOOKUP($AA407,PLAN!$B:$AA,22,0),"")</f>
        <v>M8</v>
      </c>
      <c r="W407" s="232"/>
      <c r="X407" s="233"/>
      <c r="Y407" s="212"/>
      <c r="Z407" s="350"/>
      <c r="AA407" s="195" t="s">
        <v>2874</v>
      </c>
      <c r="AB407" s="132">
        <f>VLOOKUP(AA407,PLAN!B:V,20,0)</f>
        <v>46239</v>
      </c>
      <c r="AC407" s="132"/>
    </row>
    <row r="408" spans="3:29" s="79" customFormat="1" ht="21.6" customHeight="1">
      <c r="C408" s="249"/>
      <c r="D408" s="77"/>
      <c r="E408" s="77"/>
      <c r="F408" s="77"/>
      <c r="G408" s="77"/>
      <c r="H408" s="113"/>
      <c r="I408" s="77"/>
      <c r="J408" s="77"/>
      <c r="K408" s="77"/>
      <c r="L408" s="77"/>
      <c r="M408" s="77"/>
      <c r="N408" s="227"/>
      <c r="O408" s="77"/>
      <c r="P408" s="77"/>
      <c r="Q408" s="349" t="s">
        <v>2941</v>
      </c>
      <c r="R408" s="158" t="s">
        <v>2942</v>
      </c>
      <c r="S408" s="223">
        <f>K407-S407</f>
        <v>6</v>
      </c>
      <c r="T408" s="131"/>
      <c r="U408" s="78"/>
      <c r="V408" s="78"/>
      <c r="W408" s="232"/>
      <c r="X408" s="233"/>
      <c r="Y408" s="212"/>
      <c r="Z408" s="350"/>
      <c r="AA408" s="195"/>
      <c r="AB408" s="132">
        <v>46239</v>
      </c>
      <c r="AC408" s="132"/>
    </row>
    <row r="409" spans="3:29" s="79" customFormat="1" ht="21.6" customHeight="1">
      <c r="C409" s="249" t="str">
        <f t="shared" si="27"/>
        <v>Aug14-22</v>
      </c>
      <c r="D409" s="77">
        <f>IFERROR(VLOOKUP($AA409,PLAN!$B:$AA,3,0),"")</f>
        <v>11112481</v>
      </c>
      <c r="E409" s="77" t="str">
        <f>IFERROR(VLOOKUP($AA409,PLAN!$B:$AA,4,0),"")</f>
        <v>PSC35135A-E-A</v>
      </c>
      <c r="F409" s="77" t="str">
        <f>IFERROR(VLOOKUP($AA409,PLAN!$B:$AA,5,0),"")</f>
        <v>PSC35135A US</v>
      </c>
      <c r="G409" s="77" t="str">
        <f>IFERROR(VLOOKUP($AA409,PLAN!$B:$AA,2,0),"")</f>
        <v>1001930990</v>
      </c>
      <c r="H409" s="113">
        <f>IFERROR(VLOOKUP($AA409,PLAN!$B:$AA,7,0),"")</f>
        <v>46248</v>
      </c>
      <c r="I409" s="77" t="str">
        <f>IFERROR(VLOOKUP($AA409,PLAN!$B:$AA,8,0),"")</f>
        <v>0103582510</v>
      </c>
      <c r="J409" s="77" t="str">
        <f>IFERROR(VLOOKUP($AA409,PLAN!$B:$AA,9,0),"")</f>
        <v>260729K14A</v>
      </c>
      <c r="K409" s="77">
        <f>IFERROR(VLOOKUP($AA409,PLAN!$B:$AA,10,0),"")</f>
        <v>7</v>
      </c>
      <c r="L409" s="77" t="str">
        <f>IFERROR(VLOOKUP($AA409,PLAN!$B:$AA,15,0),"")</f>
        <v>USA</v>
      </c>
      <c r="M409" s="77">
        <f>IFERROR(VLOOKUP($AA409,PLAN!$B:$AA,18,0),"")</f>
        <v>2</v>
      </c>
      <c r="N409" s="227">
        <f>IFERROR(VLOOKUP($AA409,PLAN!$B:$AA,19,0),"")</f>
        <v>0</v>
      </c>
      <c r="O409" s="77" t="str">
        <f>IFERROR(VLOOKUP($AA409,PLAN!$B:$AA,12,0),"")</f>
        <v>PSC35135A-E-C</v>
      </c>
      <c r="P409" s="77">
        <f>IFERROR(VLOOKUP($AA409,PLAN!$B:$AA,11,0),"")</f>
        <v>12115904</v>
      </c>
      <c r="Q409" s="349" t="s">
        <v>815</v>
      </c>
      <c r="R409" s="222" t="s">
        <v>816</v>
      </c>
      <c r="S409" s="149">
        <f t="shared" si="28"/>
        <v>7</v>
      </c>
      <c r="T409" s="131"/>
      <c r="U409" s="78">
        <f>IFERROR(VLOOKUP($AA409,PLAN!$B:$AA,21,0),"")</f>
        <v>46239</v>
      </c>
      <c r="V409" s="78" t="str">
        <f>IFERROR(VLOOKUP($AA409,PLAN!$B:$AA,22,0),"")</f>
        <v>M8</v>
      </c>
      <c r="W409" s="232"/>
      <c r="X409" s="233"/>
      <c r="Y409" s="212"/>
      <c r="Z409" s="350"/>
      <c r="AA409" s="195" t="s">
        <v>2875</v>
      </c>
      <c r="AB409" s="132">
        <f>VLOOKUP(AA409,PLAN!B:V,20,0)</f>
        <v>46239</v>
      </c>
      <c r="AC409" s="132"/>
    </row>
    <row r="410" spans="3:29" s="79" customFormat="1" ht="21.6" customHeight="1">
      <c r="C410" s="249" t="str">
        <f t="shared" si="27"/>
        <v>Aug14-23</v>
      </c>
      <c r="D410" s="77">
        <f>IFERROR(VLOOKUP($AA410,PLAN!$B:$AA,3,0),"")</f>
        <v>11119387</v>
      </c>
      <c r="E410" s="77" t="str">
        <f>IFERROR(VLOOKUP($AA410,PLAN!$B:$AA,4,0),"")</f>
        <v>1911055-D-A</v>
      </c>
      <c r="F410" s="77" t="str">
        <f>IFERROR(VLOOKUP($AA410,PLAN!$B:$AA,5,0),"")</f>
        <v>HJ60JL500P10001 JP</v>
      </c>
      <c r="G410" s="77" t="str">
        <f>IFERROR(VLOOKUP($AA410,PLAN!$B:$AA,2,0),"")</f>
        <v>1001930991</v>
      </c>
      <c r="H410" s="113">
        <f>IFERROR(VLOOKUP($AA410,PLAN!$B:$AA,7,0),"")</f>
        <v>46248</v>
      </c>
      <c r="I410" s="77" t="str">
        <f>IFERROR(VLOOKUP($AA410,PLAN!$B:$AA,8,0),"")</f>
        <v>0103582511</v>
      </c>
      <c r="J410" s="77" t="str">
        <f>IFERROR(VLOOKUP($AA410,PLAN!$B:$AA,9,0),"")</f>
        <v>260729C01A</v>
      </c>
      <c r="K410" s="77">
        <f>IFERROR(VLOOKUP($AA410,PLAN!$B:$AA,10,0),"")</f>
        <v>1</v>
      </c>
      <c r="L410" s="77" t="str">
        <f>IFERROR(VLOOKUP($AA410,PLAN!$B:$AA,15,0),"")</f>
        <v>JAPAN</v>
      </c>
      <c r="M410" s="77">
        <f>IFERROR(VLOOKUP($AA410,PLAN!$B:$AA,18,0),"")</f>
        <v>0</v>
      </c>
      <c r="N410" s="227">
        <f>IFERROR(VLOOKUP($AA410,PLAN!$B:$AA,19,0),"")</f>
        <v>0</v>
      </c>
      <c r="O410" s="77" t="str">
        <f>IFERROR(VLOOKUP($AA410,PLAN!$B:$AA,12,0),"")</f>
        <v>2112057-0-C</v>
      </c>
      <c r="P410" s="77">
        <f>IFERROR(VLOOKUP($AA410,PLAN!$B:$AA,11,0),"")</f>
        <v>12116022</v>
      </c>
      <c r="Q410" s="349" t="s">
        <v>2943</v>
      </c>
      <c r="R410" s="158" t="s">
        <v>2944</v>
      </c>
      <c r="S410" s="149">
        <f t="shared" si="28"/>
        <v>1</v>
      </c>
      <c r="T410" s="131"/>
      <c r="U410" s="78">
        <f>IFERROR(VLOOKUP($AA410,PLAN!$B:$AA,21,0),"")</f>
        <v>46239</v>
      </c>
      <c r="V410" s="78" t="str">
        <f>IFERROR(VLOOKUP($AA410,PLAN!$B:$AA,22,0),"")</f>
        <v>M9</v>
      </c>
      <c r="W410" s="232"/>
      <c r="X410" s="233"/>
      <c r="Y410" s="212"/>
      <c r="Z410" s="350"/>
      <c r="AA410" s="195" t="s">
        <v>2876</v>
      </c>
      <c r="AB410" s="132">
        <f>VLOOKUP(AA410,PLAN!B:V,20,0)</f>
        <v>46239</v>
      </c>
      <c r="AC410" s="132"/>
    </row>
    <row r="411" spans="3:29" s="79" customFormat="1" ht="21.6" customHeight="1">
      <c r="C411" s="249" t="str">
        <f t="shared" si="27"/>
        <v>Aug14-24</v>
      </c>
      <c r="D411" s="77">
        <f>IFERROR(VLOOKUP($AA411,PLAN!$B:$AA,3,0),"")</f>
        <v>11119542</v>
      </c>
      <c r="E411" s="77" t="str">
        <f>IFERROR(VLOOKUP($AA411,PLAN!$B:$AA,4,0),"")</f>
        <v>1911208-D-A</v>
      </c>
      <c r="F411" s="77" t="str">
        <f>IFERROR(VLOOKUP($AA411,PLAN!$B:$AA,5,0),"")</f>
        <v>HJ70AL102P09022 JP</v>
      </c>
      <c r="G411" s="77" t="str">
        <f>IFERROR(VLOOKUP($AA411,PLAN!$B:$AA,2,0),"")</f>
        <v>1001930992</v>
      </c>
      <c r="H411" s="113">
        <f>IFERROR(VLOOKUP($AA411,PLAN!$B:$AA,7,0),"")</f>
        <v>46248</v>
      </c>
      <c r="I411" s="77" t="str">
        <f>IFERROR(VLOOKUP($AA411,PLAN!$B:$AA,8,0),"")</f>
        <v>0103582512</v>
      </c>
      <c r="J411" s="77" t="str">
        <f>IFERROR(VLOOKUP($AA411,PLAN!$B:$AA,9,0),"")</f>
        <v>260729C02A</v>
      </c>
      <c r="K411" s="77">
        <f>IFERROR(VLOOKUP($AA411,PLAN!$B:$AA,10,0),"")</f>
        <v>1</v>
      </c>
      <c r="L411" s="77" t="str">
        <f>IFERROR(VLOOKUP($AA411,PLAN!$B:$AA,15,0),"")</f>
        <v>JAPAN</v>
      </c>
      <c r="M411" s="77">
        <f>IFERROR(VLOOKUP($AA411,PLAN!$B:$AA,18,0),"")</f>
        <v>0</v>
      </c>
      <c r="N411" s="227">
        <f>IFERROR(VLOOKUP($AA411,PLAN!$B:$AA,19,0),"")</f>
        <v>0</v>
      </c>
      <c r="O411" s="77" t="str">
        <f>IFERROR(VLOOKUP($AA411,PLAN!$B:$AA,12,0),"")</f>
        <v>2112210-0-C</v>
      </c>
      <c r="P411" s="77">
        <f>IFERROR(VLOOKUP($AA411,PLAN!$B:$AA,11,0),"")</f>
        <v>12116177</v>
      </c>
      <c r="Q411" s="349" t="s">
        <v>2945</v>
      </c>
      <c r="R411" s="158" t="s">
        <v>2946</v>
      </c>
      <c r="S411" s="149">
        <f t="shared" si="28"/>
        <v>1</v>
      </c>
      <c r="T411" s="131"/>
      <c r="U411" s="78">
        <f>IFERROR(VLOOKUP($AA411,PLAN!$B:$AA,21,0),"")</f>
        <v>46239</v>
      </c>
      <c r="V411" s="78" t="str">
        <f>IFERROR(VLOOKUP($AA411,PLAN!$B:$AA,22,0),"")</f>
        <v>M9</v>
      </c>
      <c r="W411" s="232"/>
      <c r="X411" s="233"/>
      <c r="Y411" s="212"/>
      <c r="Z411" s="350"/>
      <c r="AA411" s="195" t="s">
        <v>2877</v>
      </c>
      <c r="AB411" s="132">
        <f>VLOOKUP(AA411,PLAN!B:V,20,0)</f>
        <v>46239</v>
      </c>
      <c r="AC411" s="132"/>
    </row>
    <row r="412" spans="3:29" s="79" customFormat="1" ht="21.6" customHeight="1">
      <c r="C412" s="249" t="str">
        <f t="shared" si="27"/>
        <v>Aug14-25</v>
      </c>
      <c r="D412" s="77">
        <f>IFERROR(VLOOKUP($AA412,PLAN!$B:$AA,3,0),"")</f>
        <v>11119447</v>
      </c>
      <c r="E412" s="77" t="str">
        <f>IFERROR(VLOOKUP($AA412,PLAN!$B:$AA,4,0),"")</f>
        <v>1911113-D-A</v>
      </c>
      <c r="F412" s="77" t="str">
        <f>IFERROR(VLOOKUP($AA412,PLAN!$B:$AA,5,0),"")</f>
        <v>HJ70AL102P10021 JP</v>
      </c>
      <c r="G412" s="77" t="str">
        <f>IFERROR(VLOOKUP($AA412,PLAN!$B:$AA,2,0),"")</f>
        <v>1001930993</v>
      </c>
      <c r="H412" s="113">
        <f>IFERROR(VLOOKUP($AA412,PLAN!$B:$AA,7,0),"")</f>
        <v>46248</v>
      </c>
      <c r="I412" s="77" t="str">
        <f>IFERROR(VLOOKUP($AA412,PLAN!$B:$AA,8,0),"")</f>
        <v>0103582513</v>
      </c>
      <c r="J412" s="77" t="str">
        <f>IFERROR(VLOOKUP($AA412,PLAN!$B:$AA,9,0),"")</f>
        <v>260729C03A</v>
      </c>
      <c r="K412" s="77">
        <f>IFERROR(VLOOKUP($AA412,PLAN!$B:$AA,10,0),"")</f>
        <v>1</v>
      </c>
      <c r="L412" s="77" t="str">
        <f>IFERROR(VLOOKUP($AA412,PLAN!$B:$AA,15,0),"")</f>
        <v>JAPAN</v>
      </c>
      <c r="M412" s="77">
        <f>IFERROR(VLOOKUP($AA412,PLAN!$B:$AA,18,0),"")</f>
        <v>0</v>
      </c>
      <c r="N412" s="227">
        <f>IFERROR(VLOOKUP($AA412,PLAN!$B:$AA,19,0),"")</f>
        <v>0</v>
      </c>
      <c r="O412" s="77" t="str">
        <f>IFERROR(VLOOKUP($AA412,PLAN!$B:$AA,12,0),"")</f>
        <v>2112115-0-C</v>
      </c>
      <c r="P412" s="77">
        <f>IFERROR(VLOOKUP($AA412,PLAN!$B:$AA,11,0),"")</f>
        <v>12116082</v>
      </c>
      <c r="Q412" s="349" t="s">
        <v>2947</v>
      </c>
      <c r="R412" s="158" t="s">
        <v>2948</v>
      </c>
      <c r="S412" s="149">
        <f t="shared" si="28"/>
        <v>1</v>
      </c>
      <c r="T412" s="131"/>
      <c r="U412" s="78">
        <f>IFERROR(VLOOKUP($AA412,PLAN!$B:$AA,21,0),"")</f>
        <v>46239</v>
      </c>
      <c r="V412" s="78" t="str">
        <f>IFERROR(VLOOKUP($AA412,PLAN!$B:$AA,22,0),"")</f>
        <v>M9</v>
      </c>
      <c r="W412" s="232"/>
      <c r="X412" s="233"/>
      <c r="Y412" s="212"/>
      <c r="Z412" s="350"/>
      <c r="AA412" s="195" t="s">
        <v>2878</v>
      </c>
      <c r="AB412" s="132">
        <f>VLOOKUP(AA412,PLAN!B:V,20,0)</f>
        <v>46239</v>
      </c>
      <c r="AC412" s="132"/>
    </row>
    <row r="413" spans="3:29" s="79" customFormat="1" ht="21.6" customHeight="1">
      <c r="C413" s="249" t="str">
        <f t="shared" si="27"/>
        <v>Aug14-26</v>
      </c>
      <c r="D413" s="77">
        <f>IFERROR(VLOOKUP($AA413,PLAN!$B:$AA,3,0),"")</f>
        <v>11119453</v>
      </c>
      <c r="E413" s="77" t="str">
        <f>IFERROR(VLOOKUP($AA413,PLAN!$B:$AA,4,0),"")</f>
        <v>1911119-D-A</v>
      </c>
      <c r="F413" s="77" t="str">
        <f>IFERROR(VLOOKUP($AA413,PLAN!$B:$AA,5,0),"")</f>
        <v>HJ70AL152P10021 JP</v>
      </c>
      <c r="G413" s="77" t="str">
        <f>IFERROR(VLOOKUP($AA413,PLAN!$B:$AA,2,0),"")</f>
        <v>1001930994</v>
      </c>
      <c r="H413" s="113">
        <f>IFERROR(VLOOKUP($AA413,PLAN!$B:$AA,7,0),"")</f>
        <v>46248</v>
      </c>
      <c r="I413" s="77" t="str">
        <f>IFERROR(VLOOKUP($AA413,PLAN!$B:$AA,8,0),"")</f>
        <v>0103582514</v>
      </c>
      <c r="J413" s="77" t="str">
        <f>IFERROR(VLOOKUP($AA413,PLAN!$B:$AA,9,0),"")</f>
        <v>260729C04A</v>
      </c>
      <c r="K413" s="77">
        <f>IFERROR(VLOOKUP($AA413,PLAN!$B:$AA,10,0),"")</f>
        <v>1</v>
      </c>
      <c r="L413" s="77" t="str">
        <f>IFERROR(VLOOKUP($AA413,PLAN!$B:$AA,15,0),"")</f>
        <v>JAPAN</v>
      </c>
      <c r="M413" s="77">
        <f>IFERROR(VLOOKUP($AA413,PLAN!$B:$AA,18,0),"")</f>
        <v>0</v>
      </c>
      <c r="N413" s="227">
        <f>IFERROR(VLOOKUP($AA413,PLAN!$B:$AA,19,0),"")</f>
        <v>0</v>
      </c>
      <c r="O413" s="77" t="str">
        <f>IFERROR(VLOOKUP($AA413,PLAN!$B:$AA,12,0),"")</f>
        <v>2112121-0-C</v>
      </c>
      <c r="P413" s="77">
        <f>IFERROR(VLOOKUP($AA413,PLAN!$B:$AA,11,0),"")</f>
        <v>12116088</v>
      </c>
      <c r="Q413" s="349" t="s">
        <v>2949</v>
      </c>
      <c r="R413" s="158" t="s">
        <v>2950</v>
      </c>
      <c r="S413" s="149">
        <f t="shared" si="28"/>
        <v>1</v>
      </c>
      <c r="T413" s="131"/>
      <c r="U413" s="78">
        <f>IFERROR(VLOOKUP($AA413,PLAN!$B:$AA,21,0),"")</f>
        <v>46239</v>
      </c>
      <c r="V413" s="78" t="str">
        <f>IFERROR(VLOOKUP($AA413,PLAN!$B:$AA,22,0),"")</f>
        <v>M9</v>
      </c>
      <c r="W413" s="232"/>
      <c r="X413" s="233"/>
      <c r="Y413" s="212"/>
      <c r="Z413" s="350"/>
      <c r="AA413" s="195" t="s">
        <v>2879</v>
      </c>
      <c r="AB413" s="132">
        <f>VLOOKUP(AA413,PLAN!B:V,20,0)</f>
        <v>46239</v>
      </c>
      <c r="AC413" s="132"/>
    </row>
    <row r="414" spans="3:29" s="79" customFormat="1" ht="21.6" customHeight="1">
      <c r="C414" s="249" t="str">
        <f t="shared" si="27"/>
        <v>Aug14-27</v>
      </c>
      <c r="D414" s="77">
        <f>IFERROR(VLOOKUP($AA414,PLAN!$B:$AA,3,0),"")</f>
        <v>11119460</v>
      </c>
      <c r="E414" s="77" t="str">
        <f>IFERROR(VLOOKUP($AA414,PLAN!$B:$AA,4,0),"")</f>
        <v>1911126-D-A</v>
      </c>
      <c r="F414" s="77" t="str">
        <f>IFERROR(VLOOKUP($AA414,PLAN!$B:$AA,5,0),"")</f>
        <v>HJ70CP202P10020 JP</v>
      </c>
      <c r="G414" s="77" t="str">
        <f>IFERROR(VLOOKUP($AA414,PLAN!$B:$AA,2,0),"")</f>
        <v>1001930995</v>
      </c>
      <c r="H414" s="113">
        <f>IFERROR(VLOOKUP($AA414,PLAN!$B:$AA,7,0),"")</f>
        <v>46248</v>
      </c>
      <c r="I414" s="77" t="str">
        <f>IFERROR(VLOOKUP($AA414,PLAN!$B:$AA,8,0),"")</f>
        <v>0103582515</v>
      </c>
      <c r="J414" s="77" t="str">
        <f>IFERROR(VLOOKUP($AA414,PLAN!$B:$AA,9,0),"")</f>
        <v>260729C05A</v>
      </c>
      <c r="K414" s="77">
        <f>IFERROR(VLOOKUP($AA414,PLAN!$B:$AA,10,0),"")</f>
        <v>1</v>
      </c>
      <c r="L414" s="77" t="str">
        <f>IFERROR(VLOOKUP($AA414,PLAN!$B:$AA,15,0),"")</f>
        <v>JAPAN</v>
      </c>
      <c r="M414" s="77">
        <f>IFERROR(VLOOKUP($AA414,PLAN!$B:$AA,18,0),"")</f>
        <v>0</v>
      </c>
      <c r="N414" s="227">
        <f>IFERROR(VLOOKUP($AA414,PLAN!$B:$AA,19,0),"")</f>
        <v>0</v>
      </c>
      <c r="O414" s="77" t="str">
        <f>IFERROR(VLOOKUP($AA414,PLAN!$B:$AA,12,0),"")</f>
        <v>2112128-0-C</v>
      </c>
      <c r="P414" s="77">
        <f>IFERROR(VLOOKUP($AA414,PLAN!$B:$AA,11,0),"")</f>
        <v>12116095</v>
      </c>
      <c r="Q414" s="349" t="s">
        <v>2951</v>
      </c>
      <c r="R414" s="158" t="s">
        <v>2952</v>
      </c>
      <c r="S414" s="149">
        <f t="shared" si="28"/>
        <v>1</v>
      </c>
      <c r="T414" s="131"/>
      <c r="U414" s="78">
        <f>IFERROR(VLOOKUP($AA414,PLAN!$B:$AA,21,0),"")</f>
        <v>46239</v>
      </c>
      <c r="V414" s="78" t="str">
        <f>IFERROR(VLOOKUP($AA414,PLAN!$B:$AA,22,0),"")</f>
        <v>M9</v>
      </c>
      <c r="W414" s="232"/>
      <c r="X414" s="233"/>
      <c r="Y414" s="212"/>
      <c r="Z414" s="350"/>
      <c r="AA414" s="195" t="s">
        <v>2880</v>
      </c>
      <c r="AB414" s="132">
        <f>VLOOKUP(AA414,PLAN!B:V,20,0)</f>
        <v>46239</v>
      </c>
      <c r="AC414" s="132"/>
    </row>
    <row r="415" spans="3:29" s="79" customFormat="1" ht="21.6" customHeight="1">
      <c r="C415" s="249" t="str">
        <f t="shared" si="27"/>
        <v>Aug14-28</v>
      </c>
      <c r="D415" s="77">
        <f>IFERROR(VLOOKUP($AA415,PLAN!$B:$AA,3,0),"")</f>
        <v>11119480</v>
      </c>
      <c r="E415" s="77" t="str">
        <f>IFERROR(VLOOKUP($AA415,PLAN!$B:$AA,4,0),"")</f>
        <v>1911146-D-A</v>
      </c>
      <c r="F415" s="77" t="str">
        <f>IFERROR(VLOOKUP($AA415,PLAN!$B:$AA,5,0),"")</f>
        <v>HJ70IM002P10020 JP</v>
      </c>
      <c r="G415" s="77" t="str">
        <f>IFERROR(VLOOKUP($AA415,PLAN!$B:$AA,2,0),"")</f>
        <v>1001930996</v>
      </c>
      <c r="H415" s="113">
        <f>IFERROR(VLOOKUP($AA415,PLAN!$B:$AA,7,0),"")</f>
        <v>46248</v>
      </c>
      <c r="I415" s="77" t="str">
        <f>IFERROR(VLOOKUP($AA415,PLAN!$B:$AA,8,0),"")</f>
        <v>0103582516</v>
      </c>
      <c r="J415" s="77" t="str">
        <f>IFERROR(VLOOKUP($AA415,PLAN!$B:$AA,9,0),"")</f>
        <v>260729C06A</v>
      </c>
      <c r="K415" s="77">
        <f>IFERROR(VLOOKUP($AA415,PLAN!$B:$AA,10,0),"")</f>
        <v>2</v>
      </c>
      <c r="L415" s="77" t="str">
        <f>IFERROR(VLOOKUP($AA415,PLAN!$B:$AA,15,0),"")</f>
        <v>JAPAN</v>
      </c>
      <c r="M415" s="77">
        <f>IFERROR(VLOOKUP($AA415,PLAN!$B:$AA,18,0),"")</f>
        <v>0</v>
      </c>
      <c r="N415" s="227">
        <f>IFERROR(VLOOKUP($AA415,PLAN!$B:$AA,19,0),"")</f>
        <v>0</v>
      </c>
      <c r="O415" s="77" t="str">
        <f>IFERROR(VLOOKUP($AA415,PLAN!$B:$AA,12,0),"")</f>
        <v>2112148-0-C</v>
      </c>
      <c r="P415" s="77">
        <f>IFERROR(VLOOKUP($AA415,PLAN!$B:$AA,11,0),"")</f>
        <v>12116115</v>
      </c>
      <c r="Q415" s="349" t="s">
        <v>2953</v>
      </c>
      <c r="R415" s="158" t="s">
        <v>2954</v>
      </c>
      <c r="S415" s="149">
        <f t="shared" si="28"/>
        <v>2</v>
      </c>
      <c r="T415" s="131"/>
      <c r="U415" s="78">
        <f>IFERROR(VLOOKUP($AA415,PLAN!$B:$AA,21,0),"")</f>
        <v>46239</v>
      </c>
      <c r="V415" s="78" t="str">
        <f>IFERROR(VLOOKUP($AA415,PLAN!$B:$AA,22,0),"")</f>
        <v>M9</v>
      </c>
      <c r="W415" s="232"/>
      <c r="X415" s="233"/>
      <c r="Y415" s="212"/>
      <c r="Z415" s="350"/>
      <c r="AA415" s="195" t="s">
        <v>2881</v>
      </c>
      <c r="AB415" s="132">
        <f>VLOOKUP(AA415,PLAN!B:V,20,0)</f>
        <v>46239</v>
      </c>
      <c r="AC415" s="132"/>
    </row>
    <row r="416" spans="3:29" s="79" customFormat="1" ht="21.6" customHeight="1">
      <c r="C416" s="249" t="str">
        <f t="shared" si="27"/>
        <v>Aug14-29</v>
      </c>
      <c r="D416" s="77">
        <f>IFERROR(VLOOKUP($AA416,PLAN!$B:$AA,3,0),"")</f>
        <v>11119494</v>
      </c>
      <c r="E416" s="77" t="str">
        <f>IFERROR(VLOOKUP($AA416,PLAN!$B:$AA,4,0),"")</f>
        <v>1911160-D-A</v>
      </c>
      <c r="F416" s="77" t="str">
        <f>IFERROR(VLOOKUP($AA416,PLAN!$B:$AA,5,0),"")</f>
        <v>HJ70JL402P09021 JP</v>
      </c>
      <c r="G416" s="77" t="str">
        <f>IFERROR(VLOOKUP($AA416,PLAN!$B:$AA,2,0),"")</f>
        <v>1001930997</v>
      </c>
      <c r="H416" s="113">
        <f>IFERROR(VLOOKUP($AA416,PLAN!$B:$AA,7,0),"")</f>
        <v>46248</v>
      </c>
      <c r="I416" s="77" t="str">
        <f>IFERROR(VLOOKUP($AA416,PLAN!$B:$AA,8,0),"")</f>
        <v>0103582517</v>
      </c>
      <c r="J416" s="77" t="str">
        <f>IFERROR(VLOOKUP($AA416,PLAN!$B:$AA,9,0),"")</f>
        <v>260729C07A</v>
      </c>
      <c r="K416" s="77">
        <f>IFERROR(VLOOKUP($AA416,PLAN!$B:$AA,10,0),"")</f>
        <v>2</v>
      </c>
      <c r="L416" s="77" t="str">
        <f>IFERROR(VLOOKUP($AA416,PLAN!$B:$AA,15,0),"")</f>
        <v>JAPAN</v>
      </c>
      <c r="M416" s="77">
        <f>IFERROR(VLOOKUP($AA416,PLAN!$B:$AA,18,0),"")</f>
        <v>0</v>
      </c>
      <c r="N416" s="227">
        <f>IFERROR(VLOOKUP($AA416,PLAN!$B:$AA,19,0),"")</f>
        <v>0</v>
      </c>
      <c r="O416" s="77" t="str">
        <f>IFERROR(VLOOKUP($AA416,PLAN!$B:$AA,12,0),"")</f>
        <v>2112162-0-C</v>
      </c>
      <c r="P416" s="77">
        <f>IFERROR(VLOOKUP($AA416,PLAN!$B:$AA,11,0),"")</f>
        <v>12116129</v>
      </c>
      <c r="Q416" s="349" t="s">
        <v>2955</v>
      </c>
      <c r="R416" s="158" t="s">
        <v>2956</v>
      </c>
      <c r="S416" s="149">
        <f t="shared" si="28"/>
        <v>2</v>
      </c>
      <c r="T416" s="131"/>
      <c r="U416" s="78">
        <f>IFERROR(VLOOKUP($AA416,PLAN!$B:$AA,21,0),"")</f>
        <v>46239</v>
      </c>
      <c r="V416" s="78" t="str">
        <f>IFERROR(VLOOKUP($AA416,PLAN!$B:$AA,22,0),"")</f>
        <v>M9</v>
      </c>
      <c r="W416" s="232"/>
      <c r="X416" s="233"/>
      <c r="Y416" s="212"/>
      <c r="Z416" s="350"/>
      <c r="AA416" s="195" t="s">
        <v>2882</v>
      </c>
      <c r="AB416" s="132">
        <f>VLOOKUP(AA416,PLAN!B:V,20,0)</f>
        <v>46239</v>
      </c>
      <c r="AC416" s="132"/>
    </row>
    <row r="417" spans="3:29" s="79" customFormat="1" ht="21.6" customHeight="1">
      <c r="C417" s="249" t="str">
        <f t="shared" si="27"/>
        <v>Aug14-30</v>
      </c>
      <c r="D417" s="77">
        <f>IFERROR(VLOOKUP($AA417,PLAN!$B:$AA,3,0),"")</f>
        <v>11119506</v>
      </c>
      <c r="E417" s="77" t="str">
        <f>IFERROR(VLOOKUP($AA417,PLAN!$B:$AA,4,0),"")</f>
        <v>1911172-D-A</v>
      </c>
      <c r="F417" s="77" t="str">
        <f>IFERROR(VLOOKUP($AA417,PLAN!$B:$AA,5,0),"")</f>
        <v>HJ70JR352P09020 JP</v>
      </c>
      <c r="G417" s="77" t="str">
        <f>IFERROR(VLOOKUP($AA417,PLAN!$B:$AA,2,0),"")</f>
        <v>1001930998</v>
      </c>
      <c r="H417" s="113">
        <f>IFERROR(VLOOKUP($AA417,PLAN!$B:$AA,7,0),"")</f>
        <v>46248</v>
      </c>
      <c r="I417" s="77" t="str">
        <f>IFERROR(VLOOKUP($AA417,PLAN!$B:$AA,8,0),"")</f>
        <v>0103582519</v>
      </c>
      <c r="J417" s="77" t="str">
        <f>IFERROR(VLOOKUP($AA417,PLAN!$B:$AA,9,0),"")</f>
        <v>260729C08A</v>
      </c>
      <c r="K417" s="77">
        <f>IFERROR(VLOOKUP($AA417,PLAN!$B:$AA,10,0),"")</f>
        <v>2</v>
      </c>
      <c r="L417" s="77" t="str">
        <f>IFERROR(VLOOKUP($AA417,PLAN!$B:$AA,15,0),"")</f>
        <v>JAPAN</v>
      </c>
      <c r="M417" s="77">
        <f>IFERROR(VLOOKUP($AA417,PLAN!$B:$AA,18,0),"")</f>
        <v>0</v>
      </c>
      <c r="N417" s="227">
        <f>IFERROR(VLOOKUP($AA417,PLAN!$B:$AA,19,0),"")</f>
        <v>0</v>
      </c>
      <c r="O417" s="77" t="str">
        <f>IFERROR(VLOOKUP($AA417,PLAN!$B:$AA,12,0),"")</f>
        <v>2112174-0-C</v>
      </c>
      <c r="P417" s="77">
        <f>IFERROR(VLOOKUP($AA417,PLAN!$B:$AA,11,0),"")</f>
        <v>12116141</v>
      </c>
      <c r="Q417" s="349" t="s">
        <v>2957</v>
      </c>
      <c r="R417" s="158" t="s">
        <v>2958</v>
      </c>
      <c r="S417" s="149">
        <f t="shared" si="28"/>
        <v>2</v>
      </c>
      <c r="T417" s="131"/>
      <c r="U417" s="78">
        <f>IFERROR(VLOOKUP($AA417,PLAN!$B:$AA,21,0),"")</f>
        <v>46239</v>
      </c>
      <c r="V417" s="78" t="str">
        <f>IFERROR(VLOOKUP($AA417,PLAN!$B:$AA,22,0),"")</f>
        <v>M9</v>
      </c>
      <c r="W417" s="232"/>
      <c r="X417" s="233"/>
      <c r="Y417" s="212"/>
      <c r="Z417" s="350"/>
      <c r="AA417" s="195" t="s">
        <v>2883</v>
      </c>
      <c r="AB417" s="132">
        <f>VLOOKUP(AA417,PLAN!B:V,20,0)</f>
        <v>46239</v>
      </c>
      <c r="AC417" s="132"/>
    </row>
    <row r="418" spans="3:29" s="79" customFormat="1" ht="21.6" customHeight="1">
      <c r="C418" s="249" t="str">
        <f t="shared" si="27"/>
        <v>Aug14-31</v>
      </c>
      <c r="D418" s="77">
        <f>IFERROR(VLOOKUP($AA418,PLAN!$B:$AA,3,0),"")</f>
        <v>11119553</v>
      </c>
      <c r="E418" s="77" t="str">
        <f>IFERROR(VLOOKUP($AA418,PLAN!$B:$AA,4,0),"")</f>
        <v>1911219-D-A</v>
      </c>
      <c r="F418" s="77" t="str">
        <f>IFERROR(VLOOKUP($AA418,PLAN!$B:$AA,5,0),"")</f>
        <v>HJ70SC400P10000 JP</v>
      </c>
      <c r="G418" s="77" t="str">
        <f>IFERROR(VLOOKUP($AA418,PLAN!$B:$AA,2,0),"")</f>
        <v>1001931000</v>
      </c>
      <c r="H418" s="113">
        <f>IFERROR(VLOOKUP($AA418,PLAN!$B:$AA,7,0),"")</f>
        <v>46248</v>
      </c>
      <c r="I418" s="77" t="str">
        <f>IFERROR(VLOOKUP($AA418,PLAN!$B:$AA,8,0),"")</f>
        <v>0103582520</v>
      </c>
      <c r="J418" s="77" t="str">
        <f>IFERROR(VLOOKUP($AA418,PLAN!$B:$AA,9,0),"")</f>
        <v>260729C09A</v>
      </c>
      <c r="K418" s="77">
        <f>IFERROR(VLOOKUP($AA418,PLAN!$B:$AA,10,0),"")</f>
        <v>2</v>
      </c>
      <c r="L418" s="77" t="str">
        <f>IFERROR(VLOOKUP($AA418,PLAN!$B:$AA,15,0),"")</f>
        <v>JAPAN</v>
      </c>
      <c r="M418" s="77">
        <f>IFERROR(VLOOKUP($AA418,PLAN!$B:$AA,18,0),"")</f>
        <v>0</v>
      </c>
      <c r="N418" s="227">
        <f>IFERROR(VLOOKUP($AA418,PLAN!$B:$AA,19,0),"")</f>
        <v>0</v>
      </c>
      <c r="O418" s="77" t="str">
        <f>IFERROR(VLOOKUP($AA418,PLAN!$B:$AA,12,0),"")</f>
        <v>2112221-0-C</v>
      </c>
      <c r="P418" s="77">
        <f>IFERROR(VLOOKUP($AA418,PLAN!$B:$AA,11,0),"")</f>
        <v>12116188</v>
      </c>
      <c r="Q418" s="349" t="s">
        <v>2959</v>
      </c>
      <c r="R418" s="158" t="s">
        <v>2960</v>
      </c>
      <c r="S418" s="149">
        <f t="shared" si="28"/>
        <v>2</v>
      </c>
      <c r="T418" s="131"/>
      <c r="U418" s="78">
        <f>IFERROR(VLOOKUP($AA418,PLAN!$B:$AA,21,0),"")</f>
        <v>46239</v>
      </c>
      <c r="V418" s="78" t="str">
        <f>IFERROR(VLOOKUP($AA418,PLAN!$B:$AA,22,0),"")</f>
        <v>M9</v>
      </c>
      <c r="W418" s="232"/>
      <c r="X418" s="233"/>
      <c r="Y418" s="212"/>
      <c r="Z418" s="350"/>
      <c r="AA418" s="195" t="s">
        <v>2884</v>
      </c>
      <c r="AB418" s="132">
        <f>VLOOKUP(AA418,PLAN!B:V,20,0)</f>
        <v>46239</v>
      </c>
      <c r="AC418" s="132"/>
    </row>
    <row r="419" spans="3:29" s="79" customFormat="1" ht="21.6" customHeight="1">
      <c r="C419" s="249" t="str">
        <f t="shared" si="27"/>
        <v>Aug14-32</v>
      </c>
      <c r="D419" s="77">
        <f>IFERROR(VLOOKUP($AA419,PLAN!$B:$AA,3,0),"")</f>
        <v>11119383</v>
      </c>
      <c r="E419" s="77" t="str">
        <f>IFERROR(VLOOKUP($AA419,PLAN!$B:$AA,4,0),"")</f>
        <v>1911051-D-A</v>
      </c>
      <c r="F419" s="77" t="str">
        <f>IFERROR(VLOOKUP($AA419,PLAN!$B:$AA,5,0),"")</f>
        <v>HJ60JL450P10001 JP</v>
      </c>
      <c r="G419" s="77" t="str">
        <f>IFERROR(VLOOKUP($AA419,PLAN!$B:$AA,2,0),"")</f>
        <v>1001931001</v>
      </c>
      <c r="H419" s="113">
        <f>IFERROR(VLOOKUP($AA419,PLAN!$B:$AA,7,0),"")</f>
        <v>46248</v>
      </c>
      <c r="I419" s="77" t="str">
        <f>IFERROR(VLOOKUP($AA419,PLAN!$B:$AA,8,0),"")</f>
        <v>0103582521</v>
      </c>
      <c r="J419" s="77" t="str">
        <f>IFERROR(VLOOKUP($AA419,PLAN!$B:$AA,9,0),"")</f>
        <v>260729C10A</v>
      </c>
      <c r="K419" s="77">
        <f>IFERROR(VLOOKUP($AA419,PLAN!$B:$AA,10,0),"")</f>
        <v>3</v>
      </c>
      <c r="L419" s="77" t="str">
        <f>IFERROR(VLOOKUP($AA419,PLAN!$B:$AA,15,0),"")</f>
        <v>JAPAN</v>
      </c>
      <c r="M419" s="77">
        <f>IFERROR(VLOOKUP($AA419,PLAN!$B:$AA,18,0),"")</f>
        <v>0</v>
      </c>
      <c r="N419" s="227">
        <f>IFERROR(VLOOKUP($AA419,PLAN!$B:$AA,19,0),"")</f>
        <v>0</v>
      </c>
      <c r="O419" s="77" t="str">
        <f>IFERROR(VLOOKUP($AA419,PLAN!$B:$AA,12,0),"")</f>
        <v>2112053-0-C</v>
      </c>
      <c r="P419" s="77">
        <f>IFERROR(VLOOKUP($AA419,PLAN!$B:$AA,11,0),"")</f>
        <v>12116018</v>
      </c>
      <c r="Q419" s="349" t="s">
        <v>2961</v>
      </c>
      <c r="R419" s="158" t="s">
        <v>2962</v>
      </c>
      <c r="S419" s="149">
        <f t="shared" si="28"/>
        <v>3</v>
      </c>
      <c r="T419" s="131"/>
      <c r="U419" s="78">
        <f>IFERROR(VLOOKUP($AA419,PLAN!$B:$AA,21,0),"")</f>
        <v>46239</v>
      </c>
      <c r="V419" s="78" t="str">
        <f>IFERROR(VLOOKUP($AA419,PLAN!$B:$AA,22,0),"")</f>
        <v>M9</v>
      </c>
      <c r="W419" s="232"/>
      <c r="X419" s="233"/>
      <c r="Y419" s="212"/>
      <c r="Z419" s="350"/>
      <c r="AA419" s="195" t="s">
        <v>2885</v>
      </c>
      <c r="AB419" s="132">
        <f>VLOOKUP(AA419,PLAN!B:V,20,0)</f>
        <v>46239</v>
      </c>
      <c r="AC419" s="132"/>
    </row>
    <row r="420" spans="3:29" s="79" customFormat="1" ht="21.6" customHeight="1">
      <c r="C420" s="249" t="str">
        <f t="shared" si="27"/>
        <v>Aug14-33</v>
      </c>
      <c r="D420" s="77">
        <f>IFERROR(VLOOKUP($AA420,PLAN!$B:$AA,3,0),"")</f>
        <v>11119395</v>
      </c>
      <c r="E420" s="77" t="str">
        <f>IFERROR(VLOOKUP($AA420,PLAN!$B:$AA,4,0),"")</f>
        <v>1911063-D-A</v>
      </c>
      <c r="F420" s="77" t="str">
        <f>IFERROR(VLOOKUP($AA420,PLAN!$B:$AA,5,0),"")</f>
        <v>HJ60JR450P10020 JP</v>
      </c>
      <c r="G420" s="77" t="str">
        <f>IFERROR(VLOOKUP($AA420,PLAN!$B:$AA,2,0),"")</f>
        <v>1001931002</v>
      </c>
      <c r="H420" s="113">
        <f>IFERROR(VLOOKUP($AA420,PLAN!$B:$AA,7,0),"")</f>
        <v>46248</v>
      </c>
      <c r="I420" s="77" t="str">
        <f>IFERROR(VLOOKUP($AA420,PLAN!$B:$AA,8,0),"")</f>
        <v>0103582522</v>
      </c>
      <c r="J420" s="77" t="str">
        <f>IFERROR(VLOOKUP($AA420,PLAN!$B:$AA,9,0),"")</f>
        <v>260729C11A</v>
      </c>
      <c r="K420" s="77">
        <f>IFERROR(VLOOKUP($AA420,PLAN!$B:$AA,10,0),"")</f>
        <v>3</v>
      </c>
      <c r="L420" s="77" t="str">
        <f>IFERROR(VLOOKUP($AA420,PLAN!$B:$AA,15,0),"")</f>
        <v>JAPAN</v>
      </c>
      <c r="M420" s="77">
        <f>IFERROR(VLOOKUP($AA420,PLAN!$B:$AA,18,0),"")</f>
        <v>0</v>
      </c>
      <c r="N420" s="227">
        <f>IFERROR(VLOOKUP($AA420,PLAN!$B:$AA,19,0),"")</f>
        <v>0</v>
      </c>
      <c r="O420" s="77" t="str">
        <f>IFERROR(VLOOKUP($AA420,PLAN!$B:$AA,12,0),"")</f>
        <v>2112065-0-C</v>
      </c>
      <c r="P420" s="77">
        <f>IFERROR(VLOOKUP($AA420,PLAN!$B:$AA,11,0),"")</f>
        <v>12116030</v>
      </c>
      <c r="Q420" s="349" t="s">
        <v>2963</v>
      </c>
      <c r="R420" s="158" t="s">
        <v>2964</v>
      </c>
      <c r="S420" s="149">
        <f t="shared" si="28"/>
        <v>3</v>
      </c>
      <c r="T420" s="131"/>
      <c r="U420" s="78">
        <f>IFERROR(VLOOKUP($AA420,PLAN!$B:$AA,21,0),"")</f>
        <v>46239</v>
      </c>
      <c r="V420" s="78" t="str">
        <f>IFERROR(VLOOKUP($AA420,PLAN!$B:$AA,22,0),"")</f>
        <v>M9</v>
      </c>
      <c r="W420" s="232"/>
      <c r="X420" s="233"/>
      <c r="Y420" s="212"/>
      <c r="Z420" s="350"/>
      <c r="AA420" s="195" t="s">
        <v>2886</v>
      </c>
      <c r="AB420" s="132">
        <f>VLOOKUP(AA420,PLAN!B:V,20,0)</f>
        <v>46239</v>
      </c>
      <c r="AC420" s="132"/>
    </row>
    <row r="421" spans="3:29" s="79" customFormat="1" ht="21.6" customHeight="1">
      <c r="C421" s="249" t="str">
        <f t="shared" si="27"/>
        <v>Aug14-34</v>
      </c>
      <c r="D421" s="77">
        <f>IFERROR(VLOOKUP($AA421,PLAN!$B:$AA,3,0),"")</f>
        <v>11119513</v>
      </c>
      <c r="E421" s="77" t="str">
        <f>IFERROR(VLOOKUP($AA421,PLAN!$B:$AA,4,0),"")</f>
        <v>1911179-D-A</v>
      </c>
      <c r="F421" s="77" t="str">
        <f>IFERROR(VLOOKUP($AA421,PLAN!$B:$AA,5,0),"")</f>
        <v>HJ70JR500P10020 JP</v>
      </c>
      <c r="G421" s="77" t="str">
        <f>IFERROR(VLOOKUP($AA421,PLAN!$B:$AA,2,0),"")</f>
        <v>1001931003</v>
      </c>
      <c r="H421" s="113">
        <f>IFERROR(VLOOKUP($AA421,PLAN!$B:$AA,7,0),"")</f>
        <v>46248</v>
      </c>
      <c r="I421" s="77" t="str">
        <f>IFERROR(VLOOKUP($AA421,PLAN!$B:$AA,8,0),"")</f>
        <v>0103582523</v>
      </c>
      <c r="J421" s="77" t="str">
        <f>IFERROR(VLOOKUP($AA421,PLAN!$B:$AA,9,0),"")</f>
        <v>260729C12A</v>
      </c>
      <c r="K421" s="77">
        <f>IFERROR(VLOOKUP($AA421,PLAN!$B:$AA,10,0),"")</f>
        <v>3</v>
      </c>
      <c r="L421" s="77" t="str">
        <f>IFERROR(VLOOKUP($AA421,PLAN!$B:$AA,15,0),"")</f>
        <v>JAPAN</v>
      </c>
      <c r="M421" s="77">
        <f>IFERROR(VLOOKUP($AA421,PLAN!$B:$AA,18,0),"")</f>
        <v>0</v>
      </c>
      <c r="N421" s="227">
        <f>IFERROR(VLOOKUP($AA421,PLAN!$B:$AA,19,0),"")</f>
        <v>0</v>
      </c>
      <c r="O421" s="77" t="str">
        <f>IFERROR(VLOOKUP($AA421,PLAN!$B:$AA,12,0),"")</f>
        <v>2112181-0-C</v>
      </c>
      <c r="P421" s="77">
        <f>IFERROR(VLOOKUP($AA421,PLAN!$B:$AA,11,0),"")</f>
        <v>12116148</v>
      </c>
      <c r="Q421" s="349" t="s">
        <v>2965</v>
      </c>
      <c r="R421" s="158" t="s">
        <v>2966</v>
      </c>
      <c r="S421" s="149">
        <f t="shared" si="28"/>
        <v>3</v>
      </c>
      <c r="T421" s="131"/>
      <c r="U421" s="78">
        <f>IFERROR(VLOOKUP($AA421,PLAN!$B:$AA,21,0),"")</f>
        <v>46239</v>
      </c>
      <c r="V421" s="78" t="str">
        <f>IFERROR(VLOOKUP($AA421,PLAN!$B:$AA,22,0),"")</f>
        <v>M9</v>
      </c>
      <c r="W421" s="232"/>
      <c r="X421" s="233"/>
      <c r="Y421" s="212"/>
      <c r="Z421" s="350"/>
      <c r="AA421" s="195" t="s">
        <v>2887</v>
      </c>
      <c r="AB421" s="132">
        <f>VLOOKUP(AA421,PLAN!B:V,20,0)</f>
        <v>46239</v>
      </c>
      <c r="AC421" s="132"/>
    </row>
    <row r="422" spans="3:29" s="79" customFormat="1" ht="21.6" customHeight="1">
      <c r="C422" s="249" t="str">
        <f t="shared" si="27"/>
        <v>Aug14-35</v>
      </c>
      <c r="D422" s="77">
        <f>IFERROR(VLOOKUP($AA422,PLAN!$B:$AA,3,0),"")</f>
        <v>11119514</v>
      </c>
      <c r="E422" s="77" t="str">
        <f>IFERROR(VLOOKUP($AA422,PLAN!$B:$AA,4,0),"")</f>
        <v>1911180-D-A</v>
      </c>
      <c r="F422" s="77" t="str">
        <f>IFERROR(VLOOKUP($AA422,PLAN!$B:$AA,5,0),"")</f>
        <v>HJ70JR502P10020 JP</v>
      </c>
      <c r="G422" s="77" t="str">
        <f>IFERROR(VLOOKUP($AA422,PLAN!$B:$AA,2,0),"")</f>
        <v>1001931004</v>
      </c>
      <c r="H422" s="113">
        <f>IFERROR(VLOOKUP($AA422,PLAN!$B:$AA,7,0),"")</f>
        <v>46248</v>
      </c>
      <c r="I422" s="77" t="str">
        <f>IFERROR(VLOOKUP($AA422,PLAN!$B:$AA,8,0),"")</f>
        <v>0103582524</v>
      </c>
      <c r="J422" s="77" t="str">
        <f>IFERROR(VLOOKUP($AA422,PLAN!$B:$AA,9,0),"")</f>
        <v>260729C13A</v>
      </c>
      <c r="K422" s="77">
        <f>IFERROR(VLOOKUP($AA422,PLAN!$B:$AA,10,0),"")</f>
        <v>3</v>
      </c>
      <c r="L422" s="77" t="str">
        <f>IFERROR(VLOOKUP($AA422,PLAN!$B:$AA,15,0),"")</f>
        <v>JAPAN</v>
      </c>
      <c r="M422" s="77">
        <f>IFERROR(VLOOKUP($AA422,PLAN!$B:$AA,18,0),"")</f>
        <v>0</v>
      </c>
      <c r="N422" s="227">
        <f>IFERROR(VLOOKUP($AA422,PLAN!$B:$AA,19,0),"")</f>
        <v>0</v>
      </c>
      <c r="O422" s="77" t="str">
        <f>IFERROR(VLOOKUP($AA422,PLAN!$B:$AA,12,0),"")</f>
        <v>2112182-0-C</v>
      </c>
      <c r="P422" s="77">
        <f>IFERROR(VLOOKUP($AA422,PLAN!$B:$AA,11,0),"")</f>
        <v>12116149</v>
      </c>
      <c r="Q422" s="349" t="s">
        <v>2967</v>
      </c>
      <c r="R422" s="158" t="s">
        <v>2968</v>
      </c>
      <c r="S422" s="149">
        <f t="shared" si="28"/>
        <v>3</v>
      </c>
      <c r="T422" s="131"/>
      <c r="U422" s="78">
        <f>IFERROR(VLOOKUP($AA422,PLAN!$B:$AA,21,0),"")</f>
        <v>46239</v>
      </c>
      <c r="V422" s="78" t="str">
        <f>IFERROR(VLOOKUP($AA422,PLAN!$B:$AA,22,0),"")</f>
        <v>M9</v>
      </c>
      <c r="W422" s="232"/>
      <c r="X422" s="233"/>
      <c r="Y422" s="212"/>
      <c r="Z422" s="350"/>
      <c r="AA422" s="195" t="s">
        <v>2888</v>
      </c>
      <c r="AB422" s="132">
        <f>VLOOKUP(AA422,PLAN!B:V,20,0)</f>
        <v>46239</v>
      </c>
      <c r="AC422" s="132"/>
    </row>
    <row r="423" spans="3:29" s="79" customFormat="1" ht="21.6" customHeight="1">
      <c r="C423" s="249" t="str">
        <f t="shared" si="27"/>
        <v>Aug14-36</v>
      </c>
      <c r="D423" s="77">
        <f>IFERROR(VLOOKUP($AA423,PLAN!$B:$AA,3,0),"")</f>
        <v>11119392</v>
      </c>
      <c r="E423" s="77" t="str">
        <f>IFERROR(VLOOKUP($AA423,PLAN!$B:$AA,4,0),"")</f>
        <v>1911060-D-A</v>
      </c>
      <c r="F423" s="77" t="str">
        <f>IFERROR(VLOOKUP($AA423,PLAN!$B:$AA,5,0),"")</f>
        <v>HJ60JR400P09020 JP</v>
      </c>
      <c r="G423" s="77" t="str">
        <f>IFERROR(VLOOKUP($AA423,PLAN!$B:$AA,2,0),"")</f>
        <v>1001931005</v>
      </c>
      <c r="H423" s="113">
        <f>IFERROR(VLOOKUP($AA423,PLAN!$B:$AA,7,0),"")</f>
        <v>46248</v>
      </c>
      <c r="I423" s="77" t="str">
        <f>IFERROR(VLOOKUP($AA423,PLAN!$B:$AA,8,0),"")</f>
        <v>0103582525</v>
      </c>
      <c r="J423" s="77" t="str">
        <f>IFERROR(VLOOKUP($AA423,PLAN!$B:$AA,9,0),"")</f>
        <v>260729C14A</v>
      </c>
      <c r="K423" s="77">
        <f>IFERROR(VLOOKUP($AA423,PLAN!$B:$AA,10,0),"")</f>
        <v>4</v>
      </c>
      <c r="L423" s="77" t="str">
        <f>IFERROR(VLOOKUP($AA423,PLAN!$B:$AA,15,0),"")</f>
        <v>JAPAN</v>
      </c>
      <c r="M423" s="77">
        <f>IFERROR(VLOOKUP($AA423,PLAN!$B:$AA,18,0),"")</f>
        <v>0</v>
      </c>
      <c r="N423" s="227">
        <f>IFERROR(VLOOKUP($AA423,PLAN!$B:$AA,19,0),"")</f>
        <v>0</v>
      </c>
      <c r="O423" s="77" t="str">
        <f>IFERROR(VLOOKUP($AA423,PLAN!$B:$AA,12,0),"")</f>
        <v>2112062-0-C</v>
      </c>
      <c r="P423" s="77">
        <f>IFERROR(VLOOKUP($AA423,PLAN!$B:$AA,11,0),"")</f>
        <v>12116027</v>
      </c>
      <c r="Q423" s="349" t="s">
        <v>2969</v>
      </c>
      <c r="R423" s="158" t="s">
        <v>2970</v>
      </c>
      <c r="S423" s="149">
        <f t="shared" si="28"/>
        <v>4</v>
      </c>
      <c r="T423" s="131"/>
      <c r="U423" s="78">
        <f>IFERROR(VLOOKUP($AA423,PLAN!$B:$AA,21,0),"")</f>
        <v>46239</v>
      </c>
      <c r="V423" s="78" t="str">
        <f>IFERROR(VLOOKUP($AA423,PLAN!$B:$AA,22,0),"")</f>
        <v>M9</v>
      </c>
      <c r="W423" s="232"/>
      <c r="X423" s="233"/>
      <c r="Y423" s="212"/>
      <c r="Z423" s="350"/>
      <c r="AA423" s="195" t="s">
        <v>2889</v>
      </c>
      <c r="AB423" s="132">
        <f>VLOOKUP(AA423,PLAN!B:V,20,0)</f>
        <v>46239</v>
      </c>
      <c r="AC423" s="132"/>
    </row>
    <row r="424" spans="3:29" s="79" customFormat="1" ht="21.6" customHeight="1">
      <c r="C424" s="249" t="str">
        <f t="shared" si="27"/>
        <v>Aug14-37</v>
      </c>
      <c r="D424" s="77">
        <f>IFERROR(VLOOKUP($AA424,PLAN!$B:$AA,3,0),"")</f>
        <v>11119445</v>
      </c>
      <c r="E424" s="77" t="str">
        <f>IFERROR(VLOOKUP($AA424,PLAN!$B:$AA,4,0),"")</f>
        <v>1911111-D-A</v>
      </c>
      <c r="F424" s="77" t="str">
        <f>IFERROR(VLOOKUP($AA424,PLAN!$B:$AA,5,0),"")</f>
        <v>HJ70AL102P09020 JP</v>
      </c>
      <c r="G424" s="77" t="str">
        <f>IFERROR(VLOOKUP($AA424,PLAN!$B:$AA,2,0),"")</f>
        <v>1001931006</v>
      </c>
      <c r="H424" s="113">
        <f>IFERROR(VLOOKUP($AA424,PLAN!$B:$AA,7,0),"")</f>
        <v>46248</v>
      </c>
      <c r="I424" s="77" t="str">
        <f>IFERROR(VLOOKUP($AA424,PLAN!$B:$AA,8,0),"")</f>
        <v>0103582526</v>
      </c>
      <c r="J424" s="77" t="str">
        <f>IFERROR(VLOOKUP($AA424,PLAN!$B:$AA,9,0),"")</f>
        <v>260729C15A</v>
      </c>
      <c r="K424" s="77">
        <f>IFERROR(VLOOKUP($AA424,PLAN!$B:$AA,10,0),"")</f>
        <v>4</v>
      </c>
      <c r="L424" s="77" t="str">
        <f>IFERROR(VLOOKUP($AA424,PLAN!$B:$AA,15,0),"")</f>
        <v>JAPAN</v>
      </c>
      <c r="M424" s="77">
        <f>IFERROR(VLOOKUP($AA424,PLAN!$B:$AA,18,0),"")</f>
        <v>0</v>
      </c>
      <c r="N424" s="227">
        <f>IFERROR(VLOOKUP($AA424,PLAN!$B:$AA,19,0),"")</f>
        <v>0</v>
      </c>
      <c r="O424" s="77" t="str">
        <f>IFERROR(VLOOKUP($AA424,PLAN!$B:$AA,12,0),"")</f>
        <v>2112113-0-C</v>
      </c>
      <c r="P424" s="77">
        <f>IFERROR(VLOOKUP($AA424,PLAN!$B:$AA,11,0),"")</f>
        <v>12116080</v>
      </c>
      <c r="Q424" s="349" t="s">
        <v>2971</v>
      </c>
      <c r="R424" s="158" t="s">
        <v>2972</v>
      </c>
      <c r="S424" s="149">
        <f t="shared" si="28"/>
        <v>4</v>
      </c>
      <c r="T424" s="131"/>
      <c r="U424" s="78">
        <f>IFERROR(VLOOKUP($AA424,PLAN!$B:$AA,21,0),"")</f>
        <v>46239</v>
      </c>
      <c r="V424" s="78" t="str">
        <f>IFERROR(VLOOKUP($AA424,PLAN!$B:$AA,22,0),"")</f>
        <v>M9</v>
      </c>
      <c r="W424" s="232"/>
      <c r="X424" s="233"/>
      <c r="Y424" s="212"/>
      <c r="Z424" s="350"/>
      <c r="AA424" s="195" t="s">
        <v>2890</v>
      </c>
      <c r="AB424" s="132">
        <f>VLOOKUP(AA424,PLAN!B:V,20,0)</f>
        <v>46239</v>
      </c>
      <c r="AC424" s="132"/>
    </row>
    <row r="425" spans="3:29" s="79" customFormat="1" ht="21.6" customHeight="1">
      <c r="C425" s="249" t="str">
        <f t="shared" si="27"/>
        <v>Aug14-38</v>
      </c>
      <c r="D425" s="77">
        <f>IFERROR(VLOOKUP($AA425,PLAN!$B:$AA,3,0),"")</f>
        <v>11119421</v>
      </c>
      <c r="E425" s="77" t="str">
        <f>IFERROR(VLOOKUP($AA425,PLAN!$B:$AA,4,0),"")</f>
        <v>1911089-D-A</v>
      </c>
      <c r="F425" s="77" t="str">
        <f>IFERROR(VLOOKUP($AA425,PLAN!$B:$AA,5,0),"")</f>
        <v>HJ60SC350P10000 JP</v>
      </c>
      <c r="G425" s="77" t="str">
        <f>IFERROR(VLOOKUP($AA425,PLAN!$B:$AA,2,0),"")</f>
        <v>1001931007</v>
      </c>
      <c r="H425" s="113">
        <f>IFERROR(VLOOKUP($AA425,PLAN!$B:$AA,7,0),"")</f>
        <v>46248</v>
      </c>
      <c r="I425" s="77" t="str">
        <f>IFERROR(VLOOKUP($AA425,PLAN!$B:$AA,8,0),"")</f>
        <v>0103582527</v>
      </c>
      <c r="J425" s="77" t="str">
        <f>IFERROR(VLOOKUP($AA425,PLAN!$B:$AA,9,0),"")</f>
        <v>260729C16A</v>
      </c>
      <c r="K425" s="77">
        <f>IFERROR(VLOOKUP($AA425,PLAN!$B:$AA,10,0),"")</f>
        <v>5</v>
      </c>
      <c r="L425" s="77" t="str">
        <f>IFERROR(VLOOKUP($AA425,PLAN!$B:$AA,15,0),"")</f>
        <v>JAPAN</v>
      </c>
      <c r="M425" s="77">
        <f>IFERROR(VLOOKUP($AA425,PLAN!$B:$AA,18,0),"")</f>
        <v>0</v>
      </c>
      <c r="N425" s="227">
        <f>IFERROR(VLOOKUP($AA425,PLAN!$B:$AA,19,0),"")</f>
        <v>0</v>
      </c>
      <c r="O425" s="77" t="str">
        <f>IFERROR(VLOOKUP($AA425,PLAN!$B:$AA,12,0),"")</f>
        <v>2112091-0-C</v>
      </c>
      <c r="P425" s="77">
        <f>IFERROR(VLOOKUP($AA425,PLAN!$B:$AA,11,0),"")</f>
        <v>12116056</v>
      </c>
      <c r="Q425" s="349" t="s">
        <v>2973</v>
      </c>
      <c r="R425" s="158" t="s">
        <v>2974</v>
      </c>
      <c r="S425" s="149">
        <f t="shared" si="28"/>
        <v>5</v>
      </c>
      <c r="T425" s="131"/>
      <c r="U425" s="78">
        <f>IFERROR(VLOOKUP($AA425,PLAN!$B:$AA,21,0),"")</f>
        <v>46239</v>
      </c>
      <c r="V425" s="78" t="str">
        <f>IFERROR(VLOOKUP($AA425,PLAN!$B:$AA,22,0),"")</f>
        <v>M9</v>
      </c>
      <c r="W425" s="232"/>
      <c r="X425" s="233"/>
      <c r="Y425" s="212"/>
      <c r="Z425" s="350"/>
      <c r="AA425" s="195" t="s">
        <v>2891</v>
      </c>
      <c r="AB425" s="132">
        <f>VLOOKUP(AA425,PLAN!B:V,20,0)</f>
        <v>46239</v>
      </c>
      <c r="AC425" s="132"/>
    </row>
    <row r="426" spans="3:29" s="79" customFormat="1" ht="21.6" customHeight="1">
      <c r="C426" s="249" t="str">
        <f t="shared" si="27"/>
        <v>Aug14-39</v>
      </c>
      <c r="D426" s="77">
        <f>IFERROR(VLOOKUP($AA426,PLAN!$B:$AA,3,0),"")</f>
        <v>11119535</v>
      </c>
      <c r="E426" s="77" t="str">
        <f>IFERROR(VLOOKUP($AA426,PLAN!$B:$AA,4,0),"")</f>
        <v>1911201-D-A</v>
      </c>
      <c r="F426" s="77" t="str">
        <f>IFERROR(VLOOKUP($AA426,PLAN!$B:$AA,5,0),"")</f>
        <v>HJ70AL070P10022 JP</v>
      </c>
      <c r="G426" s="77" t="str">
        <f>IFERROR(VLOOKUP($AA426,PLAN!$B:$AA,2,0),"")</f>
        <v>1001931008</v>
      </c>
      <c r="H426" s="113">
        <f>IFERROR(VLOOKUP($AA426,PLAN!$B:$AA,7,0),"")</f>
        <v>46248</v>
      </c>
      <c r="I426" s="77" t="str">
        <f>IFERROR(VLOOKUP($AA426,PLAN!$B:$AA,8,0),"")</f>
        <v>0103582528</v>
      </c>
      <c r="J426" s="77" t="str">
        <f>IFERROR(VLOOKUP($AA426,PLAN!$B:$AA,9,0),"")</f>
        <v>260729C17A</v>
      </c>
      <c r="K426" s="77">
        <f>IFERROR(VLOOKUP($AA426,PLAN!$B:$AA,10,0),"")</f>
        <v>5</v>
      </c>
      <c r="L426" s="77" t="str">
        <f>IFERROR(VLOOKUP($AA426,PLAN!$B:$AA,15,0),"")</f>
        <v>JAPAN</v>
      </c>
      <c r="M426" s="77">
        <f>IFERROR(VLOOKUP($AA426,PLAN!$B:$AA,18,0),"")</f>
        <v>0</v>
      </c>
      <c r="N426" s="227">
        <f>IFERROR(VLOOKUP($AA426,PLAN!$B:$AA,19,0),"")</f>
        <v>0</v>
      </c>
      <c r="O426" s="77" t="str">
        <f>IFERROR(VLOOKUP($AA426,PLAN!$B:$AA,12,0),"")</f>
        <v>2112203-0-C</v>
      </c>
      <c r="P426" s="77">
        <f>IFERROR(VLOOKUP($AA426,PLAN!$B:$AA,11,0),"")</f>
        <v>12116170</v>
      </c>
      <c r="Q426" s="349" t="s">
        <v>2975</v>
      </c>
      <c r="R426" s="158" t="s">
        <v>2976</v>
      </c>
      <c r="S426" s="149">
        <f t="shared" si="28"/>
        <v>5</v>
      </c>
      <c r="T426" s="131"/>
      <c r="U426" s="78">
        <f>IFERROR(VLOOKUP($AA426,PLAN!$B:$AA,21,0),"")</f>
        <v>46239</v>
      </c>
      <c r="V426" s="78" t="str">
        <f>IFERROR(VLOOKUP($AA426,PLAN!$B:$AA,22,0),"")</f>
        <v>M9</v>
      </c>
      <c r="W426" s="232"/>
      <c r="X426" s="233"/>
      <c r="Y426" s="212"/>
      <c r="Z426" s="350"/>
      <c r="AA426" s="195" t="s">
        <v>2892</v>
      </c>
      <c r="AB426" s="132">
        <f>VLOOKUP(AA426,PLAN!B:V,20,0)</f>
        <v>46239</v>
      </c>
      <c r="AC426" s="132"/>
    </row>
    <row r="427" spans="3:29" s="79" customFormat="1" ht="21.6" customHeight="1">
      <c r="C427" s="249" t="str">
        <f t="shared" si="27"/>
        <v>Aug14-40</v>
      </c>
      <c r="D427" s="77">
        <f>IFERROR(VLOOKUP($AA427,PLAN!$B:$AA,3,0),"")</f>
        <v>11119454</v>
      </c>
      <c r="E427" s="77" t="str">
        <f>IFERROR(VLOOKUP($AA427,PLAN!$B:$AA,4,0),"")</f>
        <v>1911120-D-A</v>
      </c>
      <c r="F427" s="77" t="str">
        <f>IFERROR(VLOOKUP($AA427,PLAN!$B:$AA,5,0),"")</f>
        <v>HJ70AL200P10020 JP</v>
      </c>
      <c r="G427" s="77" t="str">
        <f>IFERROR(VLOOKUP($AA427,PLAN!$B:$AA,2,0),"")</f>
        <v>1001931009</v>
      </c>
      <c r="H427" s="113">
        <f>IFERROR(VLOOKUP($AA427,PLAN!$B:$AA,7,0),"")</f>
        <v>46248</v>
      </c>
      <c r="I427" s="77" t="str">
        <f>IFERROR(VLOOKUP($AA427,PLAN!$B:$AA,8,0),"")</f>
        <v>0103582529</v>
      </c>
      <c r="J427" s="77" t="str">
        <f>IFERROR(VLOOKUP($AA427,PLAN!$B:$AA,9,0),"")</f>
        <v>260729C18A</v>
      </c>
      <c r="K427" s="77">
        <f>IFERROR(VLOOKUP($AA427,PLAN!$B:$AA,10,0),"")</f>
        <v>5</v>
      </c>
      <c r="L427" s="77" t="str">
        <f>IFERROR(VLOOKUP($AA427,PLAN!$B:$AA,15,0),"")</f>
        <v>JAPAN</v>
      </c>
      <c r="M427" s="77">
        <f>IFERROR(VLOOKUP($AA427,PLAN!$B:$AA,18,0),"")</f>
        <v>0</v>
      </c>
      <c r="N427" s="227">
        <f>IFERROR(VLOOKUP($AA427,PLAN!$B:$AA,19,0),"")</f>
        <v>0</v>
      </c>
      <c r="O427" s="77" t="str">
        <f>IFERROR(VLOOKUP($AA427,PLAN!$B:$AA,12,0),"")</f>
        <v>2112122-0-C</v>
      </c>
      <c r="P427" s="77">
        <f>IFERROR(VLOOKUP($AA427,PLAN!$B:$AA,11,0),"")</f>
        <v>12116089</v>
      </c>
      <c r="Q427" s="349" t="s">
        <v>2977</v>
      </c>
      <c r="R427" s="158" t="s">
        <v>2978</v>
      </c>
      <c r="S427" s="149">
        <f t="shared" si="28"/>
        <v>5</v>
      </c>
      <c r="T427" s="131"/>
      <c r="U427" s="78">
        <f>IFERROR(VLOOKUP($AA427,PLAN!$B:$AA,21,0),"")</f>
        <v>46239</v>
      </c>
      <c r="V427" s="78" t="str">
        <f>IFERROR(VLOOKUP($AA427,PLAN!$B:$AA,22,0),"")</f>
        <v>M9</v>
      </c>
      <c r="W427" s="232"/>
      <c r="X427" s="233"/>
      <c r="Y427" s="212"/>
      <c r="Z427" s="350"/>
      <c r="AA427" s="195" t="s">
        <v>2893</v>
      </c>
      <c r="AB427" s="132">
        <f>VLOOKUP(AA427,PLAN!B:V,20,0)</f>
        <v>46239</v>
      </c>
      <c r="AC427" s="132"/>
    </row>
    <row r="428" spans="3:29" s="79" customFormat="1" ht="21.6" customHeight="1">
      <c r="C428" s="249" t="str">
        <f t="shared" si="27"/>
        <v>Aug14-41</v>
      </c>
      <c r="D428" s="77">
        <f>IFERROR(VLOOKUP($AA428,PLAN!$B:$AA,3,0),"")</f>
        <v>11119512</v>
      </c>
      <c r="E428" s="77" t="str">
        <f>IFERROR(VLOOKUP($AA428,PLAN!$B:$AA,4,0),"")</f>
        <v>1911178-D-A</v>
      </c>
      <c r="F428" s="77" t="str">
        <f>IFERROR(VLOOKUP($AA428,PLAN!$B:$AA,5,0),"")</f>
        <v>HJ70JR452P10020 JP</v>
      </c>
      <c r="G428" s="77" t="str">
        <f>IFERROR(VLOOKUP($AA428,PLAN!$B:$AA,2,0),"")</f>
        <v>1001931010</v>
      </c>
      <c r="H428" s="113">
        <f>IFERROR(VLOOKUP($AA428,PLAN!$B:$AA,7,0),"")</f>
        <v>46248</v>
      </c>
      <c r="I428" s="77" t="str">
        <f>IFERROR(VLOOKUP($AA428,PLAN!$B:$AA,8,0),"")</f>
        <v>0103582530</v>
      </c>
      <c r="J428" s="77" t="str">
        <f>IFERROR(VLOOKUP($AA428,PLAN!$B:$AA,9,0),"")</f>
        <v>260729C19A</v>
      </c>
      <c r="K428" s="77">
        <f>IFERROR(VLOOKUP($AA428,PLAN!$B:$AA,10,0),"")</f>
        <v>5</v>
      </c>
      <c r="L428" s="77" t="str">
        <f>IFERROR(VLOOKUP($AA428,PLAN!$B:$AA,15,0),"")</f>
        <v>JAPAN</v>
      </c>
      <c r="M428" s="77">
        <f>IFERROR(VLOOKUP($AA428,PLAN!$B:$AA,18,0),"")</f>
        <v>0</v>
      </c>
      <c r="N428" s="227">
        <f>IFERROR(VLOOKUP($AA428,PLAN!$B:$AA,19,0),"")</f>
        <v>0</v>
      </c>
      <c r="O428" s="77" t="str">
        <f>IFERROR(VLOOKUP($AA428,PLAN!$B:$AA,12,0),"")</f>
        <v>2112180-0-C</v>
      </c>
      <c r="P428" s="77">
        <f>IFERROR(VLOOKUP($AA428,PLAN!$B:$AA,11,0),"")</f>
        <v>12116147</v>
      </c>
      <c r="Q428" s="349" t="s">
        <v>2979</v>
      </c>
      <c r="R428" s="158" t="s">
        <v>2980</v>
      </c>
      <c r="S428" s="149">
        <f t="shared" si="28"/>
        <v>5</v>
      </c>
      <c r="T428" s="131"/>
      <c r="U428" s="78">
        <f>IFERROR(VLOOKUP($AA428,PLAN!$B:$AA,21,0),"")</f>
        <v>46239</v>
      </c>
      <c r="V428" s="78" t="str">
        <f>IFERROR(VLOOKUP($AA428,PLAN!$B:$AA,22,0),"")</f>
        <v>M9</v>
      </c>
      <c r="W428" s="232"/>
      <c r="X428" s="233"/>
      <c r="Y428" s="212"/>
      <c r="Z428" s="350"/>
      <c r="AA428" s="195" t="s">
        <v>2894</v>
      </c>
      <c r="AB428" s="132">
        <f>VLOOKUP(AA428,PLAN!B:V,20,0)</f>
        <v>46239</v>
      </c>
      <c r="AC428" s="132"/>
    </row>
    <row r="429" spans="3:29" s="79" customFormat="1" ht="21.6" customHeight="1">
      <c r="C429" s="249" t="str">
        <f t="shared" si="27"/>
        <v>Aug14-42</v>
      </c>
      <c r="D429" s="77">
        <f>IFERROR(VLOOKUP($AA429,PLAN!$B:$AA,3,0),"")</f>
        <v>11119554</v>
      </c>
      <c r="E429" s="77" t="str">
        <f>IFERROR(VLOOKUP($AA429,PLAN!$B:$AA,4,0),"")</f>
        <v>1911220-D-A</v>
      </c>
      <c r="F429" s="77" t="str">
        <f>IFERROR(VLOOKUP($AA429,PLAN!$B:$AA,5,0),"")</f>
        <v>HJ70SC402P10020 JP</v>
      </c>
      <c r="G429" s="77" t="str">
        <f>IFERROR(VLOOKUP($AA429,PLAN!$B:$AA,2,0),"")</f>
        <v>1001931011</v>
      </c>
      <c r="H429" s="113">
        <f>IFERROR(VLOOKUP($AA429,PLAN!$B:$AA,7,0),"")</f>
        <v>46248</v>
      </c>
      <c r="I429" s="77" t="str">
        <f>IFERROR(VLOOKUP($AA429,PLAN!$B:$AA,8,0),"")</f>
        <v>0103582531</v>
      </c>
      <c r="J429" s="77" t="str">
        <f>IFERROR(VLOOKUP($AA429,PLAN!$B:$AA,9,0),"")</f>
        <v>260729C20A</v>
      </c>
      <c r="K429" s="77">
        <f>IFERROR(VLOOKUP($AA429,PLAN!$B:$AA,10,0),"")</f>
        <v>5</v>
      </c>
      <c r="L429" s="77" t="str">
        <f>IFERROR(VLOOKUP($AA429,PLAN!$B:$AA,15,0),"")</f>
        <v>JAPAN</v>
      </c>
      <c r="M429" s="77">
        <f>IFERROR(VLOOKUP($AA429,PLAN!$B:$AA,18,0),"")</f>
        <v>0</v>
      </c>
      <c r="N429" s="227">
        <f>IFERROR(VLOOKUP($AA429,PLAN!$B:$AA,19,0),"")</f>
        <v>0</v>
      </c>
      <c r="O429" s="77" t="str">
        <f>IFERROR(VLOOKUP($AA429,PLAN!$B:$AA,12,0),"")</f>
        <v>2112222-0-C</v>
      </c>
      <c r="P429" s="77">
        <f>IFERROR(VLOOKUP($AA429,PLAN!$B:$AA,11,0),"")</f>
        <v>12116189</v>
      </c>
      <c r="Q429" s="349" t="s">
        <v>2981</v>
      </c>
      <c r="R429" s="158" t="s">
        <v>2982</v>
      </c>
      <c r="S429" s="149">
        <f t="shared" si="28"/>
        <v>5</v>
      </c>
      <c r="T429" s="131"/>
      <c r="U429" s="78">
        <f>IFERROR(VLOOKUP($AA429,PLAN!$B:$AA,21,0),"")</f>
        <v>46239</v>
      </c>
      <c r="V429" s="78" t="str">
        <f>IFERROR(VLOOKUP($AA429,PLAN!$B:$AA,22,0),"")</f>
        <v>M9</v>
      </c>
      <c r="W429" s="232"/>
      <c r="X429" s="233"/>
      <c r="Y429" s="212"/>
      <c r="Z429" s="350"/>
      <c r="AA429" s="195" t="s">
        <v>2895</v>
      </c>
      <c r="AB429" s="132">
        <f>VLOOKUP(AA429,PLAN!B:V,20,0)</f>
        <v>46239</v>
      </c>
      <c r="AC429" s="132"/>
    </row>
    <row r="430" spans="3:29" s="79" customFormat="1" ht="21.6" customHeight="1">
      <c r="C430" s="249" t="str">
        <f t="shared" si="27"/>
        <v>Aug14-43</v>
      </c>
      <c r="D430" s="77">
        <f>IFERROR(VLOOKUP($AA430,PLAN!$B:$AA,3,0),"")</f>
        <v>11119385</v>
      </c>
      <c r="E430" s="77" t="str">
        <f>IFERROR(VLOOKUP($AA430,PLAN!$B:$AA,4,0),"")</f>
        <v>1911053-D-A</v>
      </c>
      <c r="F430" s="77" t="str">
        <f>IFERROR(VLOOKUP($AA430,PLAN!$B:$AA,5,0),"")</f>
        <v>HJ60JL500P10000 JP</v>
      </c>
      <c r="G430" s="77" t="str">
        <f>IFERROR(VLOOKUP($AA430,PLAN!$B:$AA,2,0),"")</f>
        <v>1001931012</v>
      </c>
      <c r="H430" s="113">
        <f>IFERROR(VLOOKUP($AA430,PLAN!$B:$AA,7,0),"")</f>
        <v>46248</v>
      </c>
      <c r="I430" s="77" t="str">
        <f>IFERROR(VLOOKUP($AA430,PLAN!$B:$AA,8,0),"")</f>
        <v>0103582532</v>
      </c>
      <c r="J430" s="77" t="str">
        <f>IFERROR(VLOOKUP($AA430,PLAN!$B:$AA,9,0),"")</f>
        <v>260729C21A</v>
      </c>
      <c r="K430" s="77">
        <f>IFERROR(VLOOKUP($AA430,PLAN!$B:$AA,10,0),"")</f>
        <v>6</v>
      </c>
      <c r="L430" s="77" t="str">
        <f>IFERROR(VLOOKUP($AA430,PLAN!$B:$AA,15,0),"")</f>
        <v>JAPAN</v>
      </c>
      <c r="M430" s="77">
        <f>IFERROR(VLOOKUP($AA430,PLAN!$B:$AA,18,0),"")</f>
        <v>0</v>
      </c>
      <c r="N430" s="227">
        <f>IFERROR(VLOOKUP($AA430,PLAN!$B:$AA,19,0),"")</f>
        <v>0</v>
      </c>
      <c r="O430" s="77" t="str">
        <f>IFERROR(VLOOKUP($AA430,PLAN!$B:$AA,12,0),"")</f>
        <v>2112055-0-C</v>
      </c>
      <c r="P430" s="77">
        <f>IFERROR(VLOOKUP($AA430,PLAN!$B:$AA,11,0),"")</f>
        <v>12116020</v>
      </c>
      <c r="Q430" s="349" t="s">
        <v>2983</v>
      </c>
      <c r="R430" s="158" t="s">
        <v>2984</v>
      </c>
      <c r="S430" s="149">
        <f t="shared" si="28"/>
        <v>6</v>
      </c>
      <c r="T430" s="131"/>
      <c r="U430" s="78">
        <f>IFERROR(VLOOKUP($AA430,PLAN!$B:$AA,21,0),"")</f>
        <v>46239</v>
      </c>
      <c r="V430" s="78" t="str">
        <f>IFERROR(VLOOKUP($AA430,PLAN!$B:$AA,22,0),"")</f>
        <v>M9</v>
      </c>
      <c r="W430" s="232"/>
      <c r="X430" s="233"/>
      <c r="Y430" s="212"/>
      <c r="Z430" s="350"/>
      <c r="AA430" s="195" t="s">
        <v>2896</v>
      </c>
      <c r="AB430" s="132">
        <f>VLOOKUP(AA430,PLAN!B:V,20,0)</f>
        <v>46239</v>
      </c>
      <c r="AC430" s="132"/>
    </row>
    <row r="431" spans="3:29" s="79" customFormat="1" ht="21.6" customHeight="1">
      <c r="C431" s="249" t="str">
        <f t="shared" si="27"/>
        <v>Aug14-44</v>
      </c>
      <c r="D431" s="77">
        <f>IFERROR(VLOOKUP($AA431,PLAN!$B:$AA,3,0),"")</f>
        <v>11119540</v>
      </c>
      <c r="E431" s="77" t="str">
        <f>IFERROR(VLOOKUP($AA431,PLAN!$B:$AA,4,0),"")</f>
        <v>1911206-D-A</v>
      </c>
      <c r="F431" s="77" t="str">
        <f>IFERROR(VLOOKUP($AA431,PLAN!$B:$AA,5,0),"")</f>
        <v>HJ70AL100P09022 JP</v>
      </c>
      <c r="G431" s="77" t="str">
        <f>IFERROR(VLOOKUP($AA431,PLAN!$B:$AA,2,0),"")</f>
        <v>1001931013</v>
      </c>
      <c r="H431" s="113">
        <f>IFERROR(VLOOKUP($AA431,PLAN!$B:$AA,7,0),"")</f>
        <v>46248</v>
      </c>
      <c r="I431" s="77" t="str">
        <f>IFERROR(VLOOKUP($AA431,PLAN!$B:$AA,8,0),"")</f>
        <v>0103582533</v>
      </c>
      <c r="J431" s="77" t="str">
        <f>IFERROR(VLOOKUP($AA431,PLAN!$B:$AA,9,0),"")</f>
        <v>260729C22A</v>
      </c>
      <c r="K431" s="77">
        <f>IFERROR(VLOOKUP($AA431,PLAN!$B:$AA,10,0),"")</f>
        <v>6</v>
      </c>
      <c r="L431" s="77" t="str">
        <f>IFERROR(VLOOKUP($AA431,PLAN!$B:$AA,15,0),"")</f>
        <v>JAPAN</v>
      </c>
      <c r="M431" s="77">
        <f>IFERROR(VLOOKUP($AA431,PLAN!$B:$AA,18,0),"")</f>
        <v>0</v>
      </c>
      <c r="N431" s="227">
        <f>IFERROR(VLOOKUP($AA431,PLAN!$B:$AA,19,0),"")</f>
        <v>0</v>
      </c>
      <c r="O431" s="77" t="str">
        <f>IFERROR(VLOOKUP($AA431,PLAN!$B:$AA,12,0),"")</f>
        <v>2112208-0-C</v>
      </c>
      <c r="P431" s="77">
        <f>IFERROR(VLOOKUP($AA431,PLAN!$B:$AA,11,0),"")</f>
        <v>12116175</v>
      </c>
      <c r="Q431" s="349" t="s">
        <v>2985</v>
      </c>
      <c r="R431" s="158" t="s">
        <v>2986</v>
      </c>
      <c r="S431" s="149">
        <f t="shared" si="28"/>
        <v>6</v>
      </c>
      <c r="T431" s="131"/>
      <c r="U431" s="78">
        <f>IFERROR(VLOOKUP($AA431,PLAN!$B:$AA,21,0),"")</f>
        <v>46239</v>
      </c>
      <c r="V431" s="78" t="str">
        <f>IFERROR(VLOOKUP($AA431,PLAN!$B:$AA,22,0),"")</f>
        <v>M9</v>
      </c>
      <c r="W431" s="232"/>
      <c r="X431" s="233"/>
      <c r="Y431" s="212"/>
      <c r="Z431" s="350"/>
      <c r="AA431" s="195" t="s">
        <v>2897</v>
      </c>
      <c r="AB431" s="132">
        <f>VLOOKUP(AA431,PLAN!B:V,20,0)</f>
        <v>46239</v>
      </c>
      <c r="AC431" s="132"/>
    </row>
    <row r="432" spans="3:29" s="79" customFormat="1" ht="21.6" customHeight="1">
      <c r="C432" s="249" t="str">
        <f t="shared" si="27"/>
        <v>Aug14-45</v>
      </c>
      <c r="D432" s="77">
        <f>IFERROR(VLOOKUP($AA432,PLAN!$B:$AA,3,0),"")</f>
        <v>11119448</v>
      </c>
      <c r="E432" s="77" t="str">
        <f>IFERROR(VLOOKUP($AA432,PLAN!$B:$AA,4,0),"")</f>
        <v>1911114-D-A</v>
      </c>
      <c r="F432" s="77" t="str">
        <f>IFERROR(VLOOKUP($AA432,PLAN!$B:$AA,5,0),"")</f>
        <v>HJ70AL150P10020 JP</v>
      </c>
      <c r="G432" s="77" t="str">
        <f>IFERROR(VLOOKUP($AA432,PLAN!$B:$AA,2,0),"")</f>
        <v>1001931014</v>
      </c>
      <c r="H432" s="113">
        <f>IFERROR(VLOOKUP($AA432,PLAN!$B:$AA,7,0),"")</f>
        <v>46248</v>
      </c>
      <c r="I432" s="77" t="str">
        <f>IFERROR(VLOOKUP($AA432,PLAN!$B:$AA,8,0),"")</f>
        <v>0103582534</v>
      </c>
      <c r="J432" s="77" t="str">
        <f>IFERROR(VLOOKUP($AA432,PLAN!$B:$AA,9,0),"")</f>
        <v>260729C23A</v>
      </c>
      <c r="K432" s="77">
        <f>IFERROR(VLOOKUP($AA432,PLAN!$B:$AA,10,0),"")</f>
        <v>8</v>
      </c>
      <c r="L432" s="77" t="str">
        <f>IFERROR(VLOOKUP($AA432,PLAN!$B:$AA,15,0),"")</f>
        <v>JAPAN</v>
      </c>
      <c r="M432" s="77">
        <f>IFERROR(VLOOKUP($AA432,PLAN!$B:$AA,18,0),"")</f>
        <v>0</v>
      </c>
      <c r="N432" s="227">
        <f>IFERROR(VLOOKUP($AA432,PLAN!$B:$AA,19,0),"")</f>
        <v>0</v>
      </c>
      <c r="O432" s="77" t="str">
        <f>IFERROR(VLOOKUP($AA432,PLAN!$B:$AA,12,0),"")</f>
        <v>2112116-0-C</v>
      </c>
      <c r="P432" s="77">
        <f>IFERROR(VLOOKUP($AA432,PLAN!$B:$AA,11,0),"")</f>
        <v>12116083</v>
      </c>
      <c r="Q432" s="349" t="s">
        <v>2987</v>
      </c>
      <c r="R432" s="158" t="s">
        <v>2988</v>
      </c>
      <c r="S432" s="149">
        <f t="shared" si="28"/>
        <v>8</v>
      </c>
      <c r="T432" s="131"/>
      <c r="U432" s="78">
        <f>IFERROR(VLOOKUP($AA432,PLAN!$B:$AA,21,0),"")</f>
        <v>46239</v>
      </c>
      <c r="V432" s="78" t="str">
        <f>IFERROR(VLOOKUP($AA432,PLAN!$B:$AA,22,0),"")</f>
        <v>M9</v>
      </c>
      <c r="W432" s="232"/>
      <c r="X432" s="233"/>
      <c r="Y432" s="212"/>
      <c r="Z432" s="350"/>
      <c r="AA432" s="195" t="s">
        <v>2898</v>
      </c>
      <c r="AB432" s="132">
        <f>VLOOKUP(AA432,PLAN!B:V,20,0)</f>
        <v>46239</v>
      </c>
      <c r="AC432" s="132"/>
    </row>
    <row r="433" spans="3:29" s="79" customFormat="1" ht="21.6" customHeight="1">
      <c r="C433" s="249" t="str">
        <f t="shared" si="27"/>
        <v>Aug14-46</v>
      </c>
      <c r="D433" s="77">
        <f>IFERROR(VLOOKUP($AA433,PLAN!$B:$AA,3,0),"")</f>
        <v>11119333</v>
      </c>
      <c r="E433" s="77" t="str">
        <f>IFERROR(VLOOKUP($AA433,PLAN!$B:$AA,4,0),"")</f>
        <v>1911001-D-A</v>
      </c>
      <c r="F433" s="77" t="str">
        <f>IFERROR(VLOOKUP($AA433,PLAN!$B:$AA,5,0),"")</f>
        <v>HJ60AL070P10020 JP</v>
      </c>
      <c r="G433" s="77" t="str">
        <f>IFERROR(VLOOKUP($AA433,PLAN!$B:$AA,2,0),"")</f>
        <v>1001931015</v>
      </c>
      <c r="H433" s="113">
        <f>IFERROR(VLOOKUP($AA433,PLAN!$B:$AA,7,0),"")</f>
        <v>46248</v>
      </c>
      <c r="I433" s="77" t="str">
        <f>IFERROR(VLOOKUP($AA433,PLAN!$B:$AA,8,0),"")</f>
        <v>0103582535</v>
      </c>
      <c r="J433" s="77" t="str">
        <f>IFERROR(VLOOKUP($AA433,PLAN!$B:$AA,9,0),"")</f>
        <v>260729C24A</v>
      </c>
      <c r="K433" s="77">
        <f>IFERROR(VLOOKUP($AA433,PLAN!$B:$AA,10,0),"")</f>
        <v>11</v>
      </c>
      <c r="L433" s="77" t="str">
        <f>IFERROR(VLOOKUP($AA433,PLAN!$B:$AA,15,0),"")</f>
        <v>JAPAN</v>
      </c>
      <c r="M433" s="77">
        <f>IFERROR(VLOOKUP($AA433,PLAN!$B:$AA,18,0),"")</f>
        <v>0</v>
      </c>
      <c r="N433" s="227">
        <f>IFERROR(VLOOKUP($AA433,PLAN!$B:$AA,19,0),"")</f>
        <v>0</v>
      </c>
      <c r="O433" s="77" t="str">
        <f>IFERROR(VLOOKUP($AA433,PLAN!$B:$AA,12,0),"")</f>
        <v>2112003-0-C</v>
      </c>
      <c r="P433" s="77">
        <f>IFERROR(VLOOKUP($AA433,PLAN!$B:$AA,11,0),"")</f>
        <v>12115968</v>
      </c>
      <c r="Q433" s="349" t="s">
        <v>2989</v>
      </c>
      <c r="R433" s="158" t="s">
        <v>2990</v>
      </c>
      <c r="S433" s="149">
        <f t="shared" si="28"/>
        <v>11</v>
      </c>
      <c r="T433" s="131"/>
      <c r="U433" s="78">
        <f>IFERROR(VLOOKUP($AA433,PLAN!$B:$AA,21,0),"")</f>
        <v>46239</v>
      </c>
      <c r="V433" s="78" t="str">
        <f>IFERROR(VLOOKUP($AA433,PLAN!$B:$AA,22,0),"")</f>
        <v>M9</v>
      </c>
      <c r="W433" s="232"/>
      <c r="X433" s="233"/>
      <c r="Y433" s="212"/>
      <c r="Z433" s="350"/>
      <c r="AA433" s="195" t="s">
        <v>2899</v>
      </c>
      <c r="AB433" s="132">
        <f>VLOOKUP(AA433,PLAN!B:V,20,0)</f>
        <v>46239</v>
      </c>
      <c r="AC433" s="132"/>
    </row>
    <row r="434" spans="3:29" s="79" customFormat="1" ht="21.6" customHeight="1">
      <c r="C434" s="249" t="str">
        <f t="shared" si="27"/>
        <v>Aug14-47</v>
      </c>
      <c r="D434" s="77">
        <f>IFERROR(VLOOKUP($AA434,PLAN!$B:$AA,3,0),"")</f>
        <v>11119631</v>
      </c>
      <c r="E434" s="77" t="str">
        <f>IFERROR(VLOOKUP($AA434,PLAN!$B:$AA,4,0),"")</f>
        <v>1911297-D-A</v>
      </c>
      <c r="F434" s="77" t="str">
        <f>IFERROR(VLOOKUP($AA434,PLAN!$B:$AA,5,0),"")</f>
        <v>HJ80JR402P10000 JP</v>
      </c>
      <c r="G434" s="77" t="str">
        <f>IFERROR(VLOOKUP($AA434,PLAN!$B:$AA,2,0),"")</f>
        <v>1001931016</v>
      </c>
      <c r="H434" s="113">
        <f>IFERROR(VLOOKUP($AA434,PLAN!$B:$AA,7,0),"")</f>
        <v>46248</v>
      </c>
      <c r="I434" s="77" t="str">
        <f>IFERROR(VLOOKUP($AA434,PLAN!$B:$AA,8,0),"")</f>
        <v>0103582536</v>
      </c>
      <c r="J434" s="77" t="str">
        <f>IFERROR(VLOOKUP($AA434,PLAN!$B:$AA,9,0),"")</f>
        <v>260729C25A</v>
      </c>
      <c r="K434" s="77">
        <f>IFERROR(VLOOKUP($AA434,PLAN!$B:$AA,10,0),"")</f>
        <v>11</v>
      </c>
      <c r="L434" s="77" t="str">
        <f>IFERROR(VLOOKUP($AA434,PLAN!$B:$AA,15,0),"")</f>
        <v>JAPAN</v>
      </c>
      <c r="M434" s="77">
        <f>IFERROR(VLOOKUP($AA434,PLAN!$B:$AA,18,0),"")</f>
        <v>0</v>
      </c>
      <c r="N434" s="227">
        <f>IFERROR(VLOOKUP($AA434,PLAN!$B:$AA,19,0),"")</f>
        <v>0</v>
      </c>
      <c r="O434" s="77" t="str">
        <f>IFERROR(VLOOKUP($AA434,PLAN!$B:$AA,12,0),"")</f>
        <v>2112299-0-C</v>
      </c>
      <c r="P434" s="77">
        <f>IFERROR(VLOOKUP($AA434,PLAN!$B:$AA,11,0),"")</f>
        <v>12116266</v>
      </c>
      <c r="Q434" s="349" t="s">
        <v>2991</v>
      </c>
      <c r="R434" s="158" t="s">
        <v>2992</v>
      </c>
      <c r="S434" s="149">
        <f t="shared" si="28"/>
        <v>11</v>
      </c>
      <c r="T434" s="131"/>
      <c r="U434" s="78">
        <f>IFERROR(VLOOKUP($AA434,PLAN!$B:$AA,21,0),"")</f>
        <v>46239</v>
      </c>
      <c r="V434" s="78" t="str">
        <f>IFERROR(VLOOKUP($AA434,PLAN!$B:$AA,22,0),"")</f>
        <v>M9</v>
      </c>
      <c r="W434" s="232"/>
      <c r="X434" s="233"/>
      <c r="Y434" s="212"/>
      <c r="Z434" s="350"/>
      <c r="AA434" s="195" t="s">
        <v>2900</v>
      </c>
      <c r="AB434" s="132">
        <f>VLOOKUP(AA434,PLAN!B:V,20,0)</f>
        <v>46239</v>
      </c>
      <c r="AC434" s="132"/>
    </row>
    <row r="435" spans="3:29" s="79" customFormat="1" ht="21.6" customHeight="1">
      <c r="C435" s="249" t="str">
        <f t="shared" si="27"/>
        <v>Aug14-48</v>
      </c>
      <c r="D435" s="77">
        <f>IFERROR(VLOOKUP($AA435,PLAN!$B:$AA,3,0),"")</f>
        <v>11119627</v>
      </c>
      <c r="E435" s="77" t="str">
        <f>IFERROR(VLOOKUP($AA435,PLAN!$B:$AA,4,0),"")</f>
        <v>1911293-D-A</v>
      </c>
      <c r="F435" s="77" t="str">
        <f>IFERROR(VLOOKUP($AA435,PLAN!$B:$AA,5,0),"")</f>
        <v>HJ80JR352P10000 JP</v>
      </c>
      <c r="G435" s="77" t="str">
        <f>IFERROR(VLOOKUP($AA435,PLAN!$B:$AA,2,0),"")</f>
        <v>1001931017</v>
      </c>
      <c r="H435" s="113">
        <f>IFERROR(VLOOKUP($AA435,PLAN!$B:$AA,7,0),"")</f>
        <v>46248</v>
      </c>
      <c r="I435" s="77" t="str">
        <f>IFERROR(VLOOKUP($AA435,PLAN!$B:$AA,8,0),"")</f>
        <v>0103582537</v>
      </c>
      <c r="J435" s="77" t="str">
        <f>IFERROR(VLOOKUP($AA435,PLAN!$B:$AA,9,0),"")</f>
        <v>260729C26A</v>
      </c>
      <c r="K435" s="77">
        <f>IFERROR(VLOOKUP($AA435,PLAN!$B:$AA,10,0),"")</f>
        <v>14</v>
      </c>
      <c r="L435" s="77" t="str">
        <f>IFERROR(VLOOKUP($AA435,PLAN!$B:$AA,15,0),"")</f>
        <v>JAPAN</v>
      </c>
      <c r="M435" s="77">
        <f>IFERROR(VLOOKUP($AA435,PLAN!$B:$AA,18,0),"")</f>
        <v>0</v>
      </c>
      <c r="N435" s="227">
        <f>IFERROR(VLOOKUP($AA435,PLAN!$B:$AA,19,0),"")</f>
        <v>0</v>
      </c>
      <c r="O435" s="77" t="str">
        <f>IFERROR(VLOOKUP($AA435,PLAN!$B:$AA,12,0),"")</f>
        <v>2112295-0-C</v>
      </c>
      <c r="P435" s="77">
        <f>IFERROR(VLOOKUP($AA435,PLAN!$B:$AA,11,0),"")</f>
        <v>12116262</v>
      </c>
      <c r="Q435" s="349" t="s">
        <v>2993</v>
      </c>
      <c r="R435" s="158" t="s">
        <v>2994</v>
      </c>
      <c r="S435" s="149">
        <f t="shared" si="28"/>
        <v>14</v>
      </c>
      <c r="T435" s="131"/>
      <c r="U435" s="78">
        <f>IFERROR(VLOOKUP($AA435,PLAN!$B:$AA,21,0),"")</f>
        <v>46239</v>
      </c>
      <c r="V435" s="78" t="str">
        <f>IFERROR(VLOOKUP($AA435,PLAN!$B:$AA,22,0),"")</f>
        <v>M9</v>
      </c>
      <c r="W435" s="232"/>
      <c r="X435" s="233"/>
      <c r="Y435" s="212"/>
      <c r="Z435" s="350"/>
      <c r="AA435" s="195" t="s">
        <v>2901</v>
      </c>
      <c r="AB435" s="132">
        <f>VLOOKUP(AA435,PLAN!B:V,20,0)</f>
        <v>46239</v>
      </c>
      <c r="AC435" s="132"/>
    </row>
    <row r="436" spans="3:29" s="79" customFormat="1" ht="21.6" customHeight="1">
      <c r="C436" s="249" t="str">
        <f t="shared" si="27"/>
        <v>Aug14-49</v>
      </c>
      <c r="D436" s="77">
        <f>IFERROR(VLOOKUP($AA436,PLAN!$B:$AA,3,0),"")</f>
        <v>11119545</v>
      </c>
      <c r="E436" s="77" t="str">
        <f>IFERROR(VLOOKUP($AA436,PLAN!$B:$AA,4,0),"")</f>
        <v>1911211-D-A</v>
      </c>
      <c r="F436" s="77" t="str">
        <f>IFERROR(VLOOKUP($AA436,PLAN!$B:$AA,5,0),"")</f>
        <v>HJ70AL152P10022 JP</v>
      </c>
      <c r="G436" s="77" t="str">
        <f>IFERROR(VLOOKUP($AA436,PLAN!$B:$AA,2,0),"")</f>
        <v>1001931018</v>
      </c>
      <c r="H436" s="113">
        <f>IFERROR(VLOOKUP($AA436,PLAN!$B:$AA,7,0),"")</f>
        <v>46248</v>
      </c>
      <c r="I436" s="77" t="str">
        <f>IFERROR(VLOOKUP($AA436,PLAN!$B:$AA,8,0),"")</f>
        <v>0103582538</v>
      </c>
      <c r="J436" s="77" t="str">
        <f>IFERROR(VLOOKUP($AA436,PLAN!$B:$AA,9,0),"")</f>
        <v>260729C27A</v>
      </c>
      <c r="K436" s="77">
        <f>IFERROR(VLOOKUP($AA436,PLAN!$B:$AA,10,0),"")</f>
        <v>16</v>
      </c>
      <c r="L436" s="77" t="str">
        <f>IFERROR(VLOOKUP($AA436,PLAN!$B:$AA,15,0),"")</f>
        <v>JAPAN</v>
      </c>
      <c r="M436" s="77">
        <f>IFERROR(VLOOKUP($AA436,PLAN!$B:$AA,18,0),"")</f>
        <v>0</v>
      </c>
      <c r="N436" s="227">
        <f>IFERROR(VLOOKUP($AA436,PLAN!$B:$AA,19,0),"")</f>
        <v>0</v>
      </c>
      <c r="O436" s="77" t="str">
        <f>IFERROR(VLOOKUP($AA436,PLAN!$B:$AA,12,0),"")</f>
        <v>2112213-0-C</v>
      </c>
      <c r="P436" s="77">
        <f>IFERROR(VLOOKUP($AA436,PLAN!$B:$AA,11,0),"")</f>
        <v>12116180</v>
      </c>
      <c r="Q436" s="349" t="s">
        <v>2995</v>
      </c>
      <c r="R436" s="158" t="s">
        <v>2996</v>
      </c>
      <c r="S436" s="149">
        <f t="shared" si="28"/>
        <v>16</v>
      </c>
      <c r="T436" s="131"/>
      <c r="U436" s="78">
        <f>IFERROR(VLOOKUP($AA436,PLAN!$B:$AA,21,0),"")</f>
        <v>46239</v>
      </c>
      <c r="V436" s="78" t="str">
        <f>IFERROR(VLOOKUP($AA436,PLAN!$B:$AA,22,0),"")</f>
        <v>M9</v>
      </c>
      <c r="W436" s="232"/>
      <c r="X436" s="233"/>
      <c r="Y436" s="212"/>
      <c r="Z436" s="350"/>
      <c r="AA436" s="195" t="s">
        <v>2902</v>
      </c>
      <c r="AB436" s="132">
        <f>VLOOKUP(AA436,PLAN!B:V,20,0)</f>
        <v>46239</v>
      </c>
      <c r="AC436" s="132"/>
    </row>
    <row r="437" spans="3:29" s="79" customFormat="1" ht="21.6" customHeight="1">
      <c r="C437" s="249" t="str">
        <f t="shared" si="27"/>
        <v>Aug14-50</v>
      </c>
      <c r="D437" s="77">
        <f>IFERROR(VLOOKUP($AA437,PLAN!$B:$AA,3,0),"")</f>
        <v>11119437</v>
      </c>
      <c r="E437" s="77" t="str">
        <f>IFERROR(VLOOKUP($AA437,PLAN!$B:$AA,4,0),"")</f>
        <v>1911103-D-A</v>
      </c>
      <c r="F437" s="77" t="str">
        <f>IFERROR(VLOOKUP($AA437,PLAN!$B:$AA,5,0),"")</f>
        <v>HJ70AL070P10020 JP</v>
      </c>
      <c r="G437" s="77" t="str">
        <f>IFERROR(VLOOKUP($AA437,PLAN!$B:$AA,2,0),"")</f>
        <v>1001931019</v>
      </c>
      <c r="H437" s="113">
        <f>IFERROR(VLOOKUP($AA437,PLAN!$B:$AA,7,0),"")</f>
        <v>46248</v>
      </c>
      <c r="I437" s="77" t="str">
        <f>IFERROR(VLOOKUP($AA437,PLAN!$B:$AA,8,0),"")</f>
        <v>0103582539</v>
      </c>
      <c r="J437" s="77" t="str">
        <f>IFERROR(VLOOKUP($AA437,PLAN!$B:$AA,9,0),"")</f>
        <v>260729C28A</v>
      </c>
      <c r="K437" s="77">
        <f>IFERROR(VLOOKUP($AA437,PLAN!$B:$AA,10,0),"")</f>
        <v>21</v>
      </c>
      <c r="L437" s="77" t="str">
        <f>IFERROR(VLOOKUP($AA437,PLAN!$B:$AA,15,0),"")</f>
        <v>JAPAN</v>
      </c>
      <c r="M437" s="77">
        <f>IFERROR(VLOOKUP($AA437,PLAN!$B:$AA,18,0),"")</f>
        <v>0</v>
      </c>
      <c r="N437" s="227">
        <f>IFERROR(VLOOKUP($AA437,PLAN!$B:$AA,19,0),"")</f>
        <v>0</v>
      </c>
      <c r="O437" s="77" t="str">
        <f>IFERROR(VLOOKUP($AA437,PLAN!$B:$AA,12,0),"")</f>
        <v>2112105-0-C</v>
      </c>
      <c r="P437" s="77">
        <f>IFERROR(VLOOKUP($AA437,PLAN!$B:$AA,11,0),"")</f>
        <v>12116072</v>
      </c>
      <c r="Q437" s="349" t="s">
        <v>2997</v>
      </c>
      <c r="R437" s="158" t="s">
        <v>2998</v>
      </c>
      <c r="S437" s="149">
        <f t="shared" si="28"/>
        <v>21</v>
      </c>
      <c r="T437" s="131"/>
      <c r="U437" s="78">
        <f>IFERROR(VLOOKUP($AA437,PLAN!$B:$AA,21,0),"")</f>
        <v>46239</v>
      </c>
      <c r="V437" s="78" t="str">
        <f>IFERROR(VLOOKUP($AA437,PLAN!$B:$AA,22,0),"")</f>
        <v>M9</v>
      </c>
      <c r="W437" s="232"/>
      <c r="X437" s="233"/>
      <c r="Y437" s="212"/>
      <c r="Z437" s="350"/>
      <c r="AA437" s="195" t="s">
        <v>2903</v>
      </c>
      <c r="AB437" s="132">
        <f>VLOOKUP(AA437,PLAN!B:V,20,0)</f>
        <v>46239</v>
      </c>
      <c r="AC437" s="132"/>
    </row>
    <row r="438" spans="3:29" s="79" customFormat="1" ht="21.6" customHeight="1">
      <c r="C438" s="249" t="str">
        <f t="shared" si="27"/>
        <v>Aug14-51</v>
      </c>
      <c r="D438" s="77">
        <f>IFERROR(VLOOKUP($AA438,PLAN!$B:$AA,3,0),"")</f>
        <v>11134274</v>
      </c>
      <c r="E438" s="77" t="str">
        <f>IFERROR(VLOOKUP($AA438,PLAN!$B:$AA,4,0),"")</f>
        <v>1911189-E-A</v>
      </c>
      <c r="F438" s="77" t="str">
        <f>IFERROR(VLOOKUP($AA438,PLAN!$B:$AA,5,0),"")</f>
        <v>HJ70PB400P10000 JP</v>
      </c>
      <c r="G438" s="77" t="str">
        <f>IFERROR(VLOOKUP($AA438,PLAN!$B:$AA,2,0),"")</f>
        <v>1001931020</v>
      </c>
      <c r="H438" s="113">
        <f>IFERROR(VLOOKUP($AA438,PLAN!$B:$AA,7,0),"")</f>
        <v>46248</v>
      </c>
      <c r="I438" s="77" t="str">
        <f>IFERROR(VLOOKUP($AA438,PLAN!$B:$AA,8,0),"")</f>
        <v>0103582540</v>
      </c>
      <c r="J438" s="77" t="str">
        <f>IFERROR(VLOOKUP($AA438,PLAN!$B:$AA,9,0),"")</f>
        <v>260729C29A</v>
      </c>
      <c r="K438" s="77">
        <f>IFERROR(VLOOKUP($AA438,PLAN!$B:$AA,10,0),"")</f>
        <v>5</v>
      </c>
      <c r="L438" s="77" t="str">
        <f>IFERROR(VLOOKUP($AA438,PLAN!$B:$AA,15,0),"")</f>
        <v>JAPAN</v>
      </c>
      <c r="M438" s="77">
        <f>IFERROR(VLOOKUP($AA438,PLAN!$B:$AA,18,0),"")</f>
        <v>0</v>
      </c>
      <c r="N438" s="227">
        <f>IFERROR(VLOOKUP($AA438,PLAN!$B:$AA,19,0),"")</f>
        <v>0</v>
      </c>
      <c r="O438" s="77" t="str">
        <f>IFERROR(VLOOKUP($AA438,PLAN!$B:$AA,12,0),"")</f>
        <v>2112191-0-C</v>
      </c>
      <c r="P438" s="77">
        <f>IFERROR(VLOOKUP($AA438,PLAN!$B:$AA,11,0),"")</f>
        <v>12116158</v>
      </c>
      <c r="Q438" s="349" t="s">
        <v>2999</v>
      </c>
      <c r="R438" s="158" t="s">
        <v>3000</v>
      </c>
      <c r="S438" s="149">
        <f t="shared" si="28"/>
        <v>5</v>
      </c>
      <c r="T438" s="131"/>
      <c r="U438" s="78">
        <f>IFERROR(VLOOKUP($AA438,PLAN!$B:$AA,21,0),"")</f>
        <v>46239</v>
      </c>
      <c r="V438" s="78" t="str">
        <f>IFERROR(VLOOKUP($AA438,PLAN!$B:$AA,22,0),"")</f>
        <v>M9</v>
      </c>
      <c r="W438" s="232"/>
      <c r="X438" s="233"/>
      <c r="Y438" s="212"/>
      <c r="Z438" s="350"/>
      <c r="AA438" s="195" t="s">
        <v>2904</v>
      </c>
      <c r="AB438" s="132">
        <f>VLOOKUP(AA438,PLAN!B:V,20,0)</f>
        <v>46239</v>
      </c>
      <c r="AC438" s="132"/>
    </row>
    <row r="439" spans="3:29" s="79" customFormat="1" ht="21.6" customHeight="1">
      <c r="C439" s="249" t="str">
        <f t="shared" si="27"/>
        <v>Aug14-52</v>
      </c>
      <c r="D439" s="77">
        <f>IFERROR(VLOOKUP($AA439,PLAN!$B:$AA,3,0),"")</f>
        <v>11134309</v>
      </c>
      <c r="E439" s="77" t="str">
        <f>IFERROR(VLOOKUP($AA439,PLAN!$B:$AA,4,0),"")</f>
        <v>1911348-E-A</v>
      </c>
      <c r="F439" s="77" t="str">
        <f>IFERROR(VLOOKUP($AA439,PLAN!$B:$AA,5,0),"")</f>
        <v>HJ80SP352P09000 JP</v>
      </c>
      <c r="G439" s="77" t="str">
        <f>IFERROR(VLOOKUP($AA439,PLAN!$B:$AA,2,0),"")</f>
        <v>1001931021</v>
      </c>
      <c r="H439" s="113">
        <f>IFERROR(VLOOKUP($AA439,PLAN!$B:$AA,7,0),"")</f>
        <v>46248</v>
      </c>
      <c r="I439" s="77" t="str">
        <f>IFERROR(VLOOKUP($AA439,PLAN!$B:$AA,8,0),"")</f>
        <v>0103582541</v>
      </c>
      <c r="J439" s="77" t="str">
        <f>IFERROR(VLOOKUP($AA439,PLAN!$B:$AA,9,0),"")</f>
        <v>260729C30A</v>
      </c>
      <c r="K439" s="77">
        <f>IFERROR(VLOOKUP($AA439,PLAN!$B:$AA,10,0),"")</f>
        <v>3</v>
      </c>
      <c r="L439" s="77" t="str">
        <f>IFERROR(VLOOKUP($AA439,PLAN!$B:$AA,15,0),"")</f>
        <v>JAPAN</v>
      </c>
      <c r="M439" s="77">
        <f>IFERROR(VLOOKUP($AA439,PLAN!$B:$AA,18,0),"")</f>
        <v>0</v>
      </c>
      <c r="N439" s="227">
        <f>IFERROR(VLOOKUP($AA439,PLAN!$B:$AA,19,0),"")</f>
        <v>0</v>
      </c>
      <c r="O439" s="77" t="str">
        <f>IFERROR(VLOOKUP($AA439,PLAN!$B:$AA,12,0),"")</f>
        <v>2112350-0-C</v>
      </c>
      <c r="P439" s="77">
        <f>IFERROR(VLOOKUP($AA439,PLAN!$B:$AA,11,0),"")</f>
        <v>12116317</v>
      </c>
      <c r="Q439" s="349" t="s">
        <v>3001</v>
      </c>
      <c r="R439" s="158" t="s">
        <v>3002</v>
      </c>
      <c r="S439" s="149">
        <f t="shared" si="28"/>
        <v>3</v>
      </c>
      <c r="T439" s="131"/>
      <c r="U439" s="78">
        <f>IFERROR(VLOOKUP($AA439,PLAN!$B:$AA,21,0),"")</f>
        <v>46239</v>
      </c>
      <c r="V439" s="78" t="str">
        <f>IFERROR(VLOOKUP($AA439,PLAN!$B:$AA,22,0),"")</f>
        <v>M9</v>
      </c>
      <c r="W439" s="232"/>
      <c r="X439" s="233"/>
      <c r="Y439" s="212"/>
      <c r="Z439" s="350"/>
      <c r="AA439" s="195" t="s">
        <v>2905</v>
      </c>
      <c r="AB439" s="132">
        <f>VLOOKUP(AA439,PLAN!B:V,20,0)</f>
        <v>46239</v>
      </c>
      <c r="AC439" s="132"/>
    </row>
    <row r="440" spans="3:29" s="79" customFormat="1" ht="21.6" customHeight="1">
      <c r="C440" s="249" t="str">
        <f t="shared" si="27"/>
        <v>Aug14-53</v>
      </c>
      <c r="D440" s="77">
        <f>IFERROR(VLOOKUP($AA440,PLAN!$B:$AA,3,0),"")</f>
        <v>11134286</v>
      </c>
      <c r="E440" s="77" t="str">
        <f>IFERROR(VLOOKUP($AA440,PLAN!$B:$AA,4,0),"")</f>
        <v>1911229-E-A</v>
      </c>
      <c r="F440" s="77" t="str">
        <f>IFERROR(VLOOKUP($AA440,PLAN!$B:$AA,5,0),"")</f>
        <v>HJ70SP372P09020 JP</v>
      </c>
      <c r="G440" s="77" t="str">
        <f>IFERROR(VLOOKUP($AA440,PLAN!$B:$AA,2,0),"")</f>
        <v>1001931022</v>
      </c>
      <c r="H440" s="113">
        <f>IFERROR(VLOOKUP($AA440,PLAN!$B:$AA,7,0),"")</f>
        <v>46248</v>
      </c>
      <c r="I440" s="77" t="str">
        <f>IFERROR(VLOOKUP($AA440,PLAN!$B:$AA,8,0),"")</f>
        <v>0103582542</v>
      </c>
      <c r="J440" s="77" t="str">
        <f>IFERROR(VLOOKUP($AA440,PLAN!$B:$AA,9,0),"")</f>
        <v>260729C31A</v>
      </c>
      <c r="K440" s="77">
        <f>IFERROR(VLOOKUP($AA440,PLAN!$B:$AA,10,0),"")</f>
        <v>5</v>
      </c>
      <c r="L440" s="77" t="str">
        <f>IFERROR(VLOOKUP($AA440,PLAN!$B:$AA,15,0),"")</f>
        <v>JAPAN</v>
      </c>
      <c r="M440" s="77">
        <f>IFERROR(VLOOKUP($AA440,PLAN!$B:$AA,18,0),"")</f>
        <v>0</v>
      </c>
      <c r="N440" s="227">
        <f>IFERROR(VLOOKUP($AA440,PLAN!$B:$AA,19,0),"")</f>
        <v>0</v>
      </c>
      <c r="O440" s="77" t="str">
        <f>IFERROR(VLOOKUP($AA440,PLAN!$B:$AA,12,0),"")</f>
        <v>2112231-0-C</v>
      </c>
      <c r="P440" s="77">
        <f>IFERROR(VLOOKUP($AA440,PLAN!$B:$AA,11,0),"")</f>
        <v>12116198</v>
      </c>
      <c r="Q440" s="349" t="s">
        <v>881</v>
      </c>
      <c r="R440" s="149" t="s">
        <v>882</v>
      </c>
      <c r="S440" s="223">
        <v>2</v>
      </c>
      <c r="T440" s="131"/>
      <c r="U440" s="78">
        <f>IFERROR(VLOOKUP($AA440,PLAN!$B:$AA,21,0),"")</f>
        <v>46239</v>
      </c>
      <c r="V440" s="78" t="str">
        <f>IFERROR(VLOOKUP($AA440,PLAN!$B:$AA,22,0),"")</f>
        <v>M9</v>
      </c>
      <c r="W440" s="232"/>
      <c r="X440" s="233"/>
      <c r="Y440" s="212"/>
      <c r="Z440" s="350"/>
      <c r="AA440" s="195" t="s">
        <v>2906</v>
      </c>
      <c r="AB440" s="132">
        <f>VLOOKUP(AA440,PLAN!B:V,20,0)</f>
        <v>46239</v>
      </c>
      <c r="AC440" s="132"/>
    </row>
    <row r="441" spans="3:29" s="79" customFormat="1" ht="21.6" customHeight="1">
      <c r="C441" s="249"/>
      <c r="D441" s="77"/>
      <c r="E441" s="77"/>
      <c r="F441" s="77"/>
      <c r="G441" s="77"/>
      <c r="H441" s="113"/>
      <c r="I441" s="77"/>
      <c r="J441" s="77"/>
      <c r="K441" s="77"/>
      <c r="L441" s="77"/>
      <c r="M441" s="77"/>
      <c r="N441" s="227"/>
      <c r="O441" s="77"/>
      <c r="P441" s="77"/>
      <c r="Q441" s="349" t="s">
        <v>3003</v>
      </c>
      <c r="R441" s="158" t="s">
        <v>3004</v>
      </c>
      <c r="S441" s="223">
        <v>3</v>
      </c>
      <c r="T441" s="131"/>
      <c r="U441" s="78"/>
      <c r="V441" s="78"/>
      <c r="W441" s="232"/>
      <c r="X441" s="233"/>
      <c r="Y441" s="212"/>
      <c r="Z441" s="350"/>
      <c r="AA441" s="195"/>
      <c r="AB441" s="132">
        <v>46239</v>
      </c>
      <c r="AC441" s="132"/>
    </row>
    <row r="442" spans="3:29" s="79" customFormat="1" ht="21.6" customHeight="1">
      <c r="C442" s="249" t="str">
        <f t="shared" si="27"/>
        <v>Aug14-54</v>
      </c>
      <c r="D442" s="77">
        <f>IFERROR(VLOOKUP($AA442,PLAN!$B:$AA,3,0),"")</f>
        <v>11134314</v>
      </c>
      <c r="E442" s="77" t="str">
        <f>IFERROR(VLOOKUP($AA442,PLAN!$B:$AA,4,0),"")</f>
        <v>1911353-E-A</v>
      </c>
      <c r="F442" s="77" t="str">
        <f>IFERROR(VLOOKUP($AA442,PLAN!$B:$AA,5,0),"")</f>
        <v>HJ80SP402P10000 JP</v>
      </c>
      <c r="G442" s="77" t="str">
        <f>IFERROR(VLOOKUP($AA442,PLAN!$B:$AA,2,0),"")</f>
        <v>1001931023</v>
      </c>
      <c r="H442" s="113">
        <f>IFERROR(VLOOKUP($AA442,PLAN!$B:$AA,7,0),"")</f>
        <v>46248</v>
      </c>
      <c r="I442" s="77" t="str">
        <f>IFERROR(VLOOKUP($AA442,PLAN!$B:$AA,8,0),"")</f>
        <v>0103582543</v>
      </c>
      <c r="J442" s="77" t="str">
        <f>IFERROR(VLOOKUP($AA442,PLAN!$B:$AA,9,0),"")</f>
        <v>260729C32A</v>
      </c>
      <c r="K442" s="77">
        <f>IFERROR(VLOOKUP($AA442,PLAN!$B:$AA,10,0),"")</f>
        <v>5</v>
      </c>
      <c r="L442" s="77" t="str">
        <f>IFERROR(VLOOKUP($AA442,PLAN!$B:$AA,15,0),"")</f>
        <v>JAPAN</v>
      </c>
      <c r="M442" s="77">
        <f>IFERROR(VLOOKUP($AA442,PLAN!$B:$AA,18,0),"")</f>
        <v>0</v>
      </c>
      <c r="N442" s="227">
        <f>IFERROR(VLOOKUP($AA442,PLAN!$B:$AA,19,0),"")</f>
        <v>0</v>
      </c>
      <c r="O442" s="77" t="str">
        <f>IFERROR(VLOOKUP($AA442,PLAN!$B:$AA,12,0),"")</f>
        <v>2112355-0-C</v>
      </c>
      <c r="P442" s="77">
        <f>IFERROR(VLOOKUP($AA442,PLAN!$B:$AA,11,0),"")</f>
        <v>12116322</v>
      </c>
      <c r="Q442" s="349" t="s">
        <v>3005</v>
      </c>
      <c r="R442" s="158" t="s">
        <v>3006</v>
      </c>
      <c r="S442" s="149">
        <f t="shared" si="28"/>
        <v>5</v>
      </c>
      <c r="T442" s="131"/>
      <c r="U442" s="78">
        <f>IFERROR(VLOOKUP($AA442,PLAN!$B:$AA,21,0),"")</f>
        <v>46239</v>
      </c>
      <c r="V442" s="78" t="str">
        <f>IFERROR(VLOOKUP($AA442,PLAN!$B:$AA,22,0),"")</f>
        <v>M9</v>
      </c>
      <c r="W442" s="232"/>
      <c r="X442" s="233"/>
      <c r="Y442" s="212"/>
      <c r="Z442" s="350"/>
      <c r="AA442" s="195" t="s">
        <v>2907</v>
      </c>
      <c r="AB442" s="132">
        <f>VLOOKUP(AA442,PLAN!B:V,20,0)</f>
        <v>46239</v>
      </c>
      <c r="AC442" s="132"/>
    </row>
    <row r="443" spans="3:29" s="79" customFormat="1" ht="21.6" customHeight="1">
      <c r="C443" s="249" t="str">
        <f t="shared" si="27"/>
        <v>Aug14-55</v>
      </c>
      <c r="D443" s="77">
        <f>IFERROR(VLOOKUP($AA443,PLAN!$B:$AA,3,0),"")</f>
        <v>11134305</v>
      </c>
      <c r="E443" s="77" t="str">
        <f>IFERROR(VLOOKUP($AA443,PLAN!$B:$AA,4,0),"")</f>
        <v>1911344-E-A</v>
      </c>
      <c r="F443" s="77" t="str">
        <f>IFERROR(VLOOKUP($AA443,PLAN!$B:$AA,5,0),"")</f>
        <v>HJ80SP302P10000 JP</v>
      </c>
      <c r="G443" s="77" t="str">
        <f>IFERROR(VLOOKUP($AA443,PLAN!$B:$AA,2,0),"")</f>
        <v>1001931024</v>
      </c>
      <c r="H443" s="113">
        <f>IFERROR(VLOOKUP($AA443,PLAN!$B:$AA,7,0),"")</f>
        <v>46248</v>
      </c>
      <c r="I443" s="77" t="str">
        <f>IFERROR(VLOOKUP($AA443,PLAN!$B:$AA,8,0),"")</f>
        <v>0103582544</v>
      </c>
      <c r="J443" s="77" t="str">
        <f>IFERROR(VLOOKUP($AA443,PLAN!$B:$AA,9,0),"")</f>
        <v>260729C33A</v>
      </c>
      <c r="K443" s="77">
        <f>IFERROR(VLOOKUP($AA443,PLAN!$B:$AA,10,0),"")</f>
        <v>20</v>
      </c>
      <c r="L443" s="77" t="str">
        <f>IFERROR(VLOOKUP($AA443,PLAN!$B:$AA,15,0),"")</f>
        <v>JAPAN</v>
      </c>
      <c r="M443" s="77">
        <f>IFERROR(VLOOKUP($AA443,PLAN!$B:$AA,18,0),"")</f>
        <v>0</v>
      </c>
      <c r="N443" s="227">
        <f>IFERROR(VLOOKUP($AA443,PLAN!$B:$AA,19,0),"")</f>
        <v>0</v>
      </c>
      <c r="O443" s="77" t="str">
        <f>IFERROR(VLOOKUP($AA443,PLAN!$B:$AA,12,0),"")</f>
        <v>2112346-0-C</v>
      </c>
      <c r="P443" s="77">
        <f>IFERROR(VLOOKUP($AA443,PLAN!$B:$AA,11,0),"")</f>
        <v>12116313</v>
      </c>
      <c r="Q443" s="349" t="s">
        <v>3007</v>
      </c>
      <c r="R443" s="158" t="s">
        <v>3008</v>
      </c>
      <c r="S443" s="149">
        <f t="shared" si="28"/>
        <v>20</v>
      </c>
      <c r="T443" s="131"/>
      <c r="U443" s="78">
        <f>IFERROR(VLOOKUP($AA443,PLAN!$B:$AA,21,0),"")</f>
        <v>46239</v>
      </c>
      <c r="V443" s="78" t="str">
        <f>IFERROR(VLOOKUP($AA443,PLAN!$B:$AA,22,0),"")</f>
        <v>M9</v>
      </c>
      <c r="W443" s="232"/>
      <c r="X443" s="233"/>
      <c r="Y443" s="212"/>
      <c r="Z443" s="350"/>
      <c r="AA443" s="195" t="s">
        <v>2908</v>
      </c>
      <c r="AB443" s="132">
        <f>VLOOKUP(AA443,PLAN!B:V,20,0)</f>
        <v>46239</v>
      </c>
      <c r="AC443" s="132"/>
    </row>
    <row r="444" spans="3:29" s="79" customFormat="1" ht="21.6" customHeight="1">
      <c r="C444" s="249" t="str">
        <f t="shared" si="27"/>
        <v>Aug14-56</v>
      </c>
      <c r="D444" s="77">
        <f>IFERROR(VLOOKUP($AA444,PLAN!$B:$AA,3,0),"")</f>
        <v>11131303</v>
      </c>
      <c r="E444" s="77" t="str">
        <f>IFERROR(VLOOKUP($AA444,PLAN!$B:$AA,4,0),"")</f>
        <v>2211220-E-A</v>
      </c>
      <c r="F444" s="77" t="str">
        <f>IFERROR(VLOOKUP($AA444,PLAN!$B:$AA,5,0),"")</f>
        <v>HW70SP350P10000 NOCE</v>
      </c>
      <c r="G444" s="77" t="str">
        <f>IFERROR(VLOOKUP($AA444,PLAN!$B:$AA,2,0),"")</f>
        <v>1001931025</v>
      </c>
      <c r="H444" s="113">
        <f>IFERROR(VLOOKUP($AA444,PLAN!$B:$AA,7,0),"")</f>
        <v>46248</v>
      </c>
      <c r="I444" s="77" t="str">
        <f>IFERROR(VLOOKUP($AA444,PLAN!$B:$AA,8,0),"")</f>
        <v>0103582545</v>
      </c>
      <c r="J444" s="77" t="str">
        <f>IFERROR(VLOOKUP($AA444,PLAN!$B:$AA,9,0),"")</f>
        <v>260729C34A</v>
      </c>
      <c r="K444" s="77">
        <f>IFERROR(VLOOKUP($AA444,PLAN!$B:$AA,10,0),"")</f>
        <v>5</v>
      </c>
      <c r="L444" s="77" t="str">
        <f>IFERROR(VLOOKUP($AA444,PLAN!$B:$AA,15,0),"")</f>
        <v>Oversea</v>
      </c>
      <c r="M444" s="77">
        <f>IFERROR(VLOOKUP($AA444,PLAN!$B:$AA,18,0),"")</f>
        <v>0</v>
      </c>
      <c r="N444" s="227">
        <f>IFERROR(VLOOKUP($AA444,PLAN!$B:$AA,19,0),"")</f>
        <v>0</v>
      </c>
      <c r="O444" s="77" t="str">
        <f>IFERROR(VLOOKUP($AA444,PLAN!$B:$AA,12,0),"")</f>
        <v>2112226-0-C</v>
      </c>
      <c r="P444" s="77">
        <f>IFERROR(VLOOKUP($AA444,PLAN!$B:$AA,11,0),"")</f>
        <v>12116193</v>
      </c>
      <c r="Q444" s="277" t="s">
        <v>560</v>
      </c>
      <c r="R444" s="222" t="s">
        <v>561</v>
      </c>
      <c r="S444" s="149">
        <f t="shared" si="28"/>
        <v>5</v>
      </c>
      <c r="T444" s="131"/>
      <c r="U444" s="78">
        <f>IFERROR(VLOOKUP($AA444,PLAN!$B:$AA,21,0),"")</f>
        <v>46239</v>
      </c>
      <c r="V444" s="78" t="str">
        <f>IFERROR(VLOOKUP($AA444,PLAN!$B:$AA,22,0),"")</f>
        <v>M9</v>
      </c>
      <c r="W444" s="232"/>
      <c r="X444" s="233"/>
      <c r="Y444" s="212"/>
      <c r="Z444" s="350"/>
      <c r="AA444" s="195" t="s">
        <v>2909</v>
      </c>
      <c r="AB444" s="132">
        <f>VLOOKUP(AA444,PLAN!B:V,20,0)</f>
        <v>46239</v>
      </c>
      <c r="AC444" s="132"/>
    </row>
    <row r="445" spans="3:29" s="79" customFormat="1" ht="21.6" customHeight="1">
      <c r="C445" s="249" t="str">
        <f t="shared" si="27"/>
        <v>Aug14-57</v>
      </c>
      <c r="D445" s="77">
        <f>IFERROR(VLOOKUP($AA445,PLAN!$B:$AA,3,0),"")</f>
        <v>11131288</v>
      </c>
      <c r="E445" s="77" t="str">
        <f>IFERROR(VLOOKUP($AA445,PLAN!$B:$AA,4,0),"")</f>
        <v>2211091-E-A</v>
      </c>
      <c r="F445" s="77" t="str">
        <f>IFERROR(VLOOKUP($AA445,PLAN!$B:$AA,5,0),"")</f>
        <v>HW60SP300P10000 NOCE</v>
      </c>
      <c r="G445" s="77" t="str">
        <f>IFERROR(VLOOKUP($AA445,PLAN!$B:$AA,2,0),"")</f>
        <v>1001931026</v>
      </c>
      <c r="H445" s="113">
        <f>IFERROR(VLOOKUP($AA445,PLAN!$B:$AA,7,0),"")</f>
        <v>46248</v>
      </c>
      <c r="I445" s="77" t="str">
        <f>IFERROR(VLOOKUP($AA445,PLAN!$B:$AA,8,0),"")</f>
        <v>0103582547</v>
      </c>
      <c r="J445" s="77" t="str">
        <f>IFERROR(VLOOKUP($AA445,PLAN!$B:$AA,9,0),"")</f>
        <v>260729C35A</v>
      </c>
      <c r="K445" s="77">
        <f>IFERROR(VLOOKUP($AA445,PLAN!$B:$AA,10,0),"")</f>
        <v>10</v>
      </c>
      <c r="L445" s="77" t="str">
        <f>IFERROR(VLOOKUP($AA445,PLAN!$B:$AA,15,0),"")</f>
        <v>Oversea</v>
      </c>
      <c r="M445" s="77">
        <f>IFERROR(VLOOKUP($AA445,PLAN!$B:$AA,18,0),"")</f>
        <v>0</v>
      </c>
      <c r="N445" s="227">
        <f>IFERROR(VLOOKUP($AA445,PLAN!$B:$AA,19,0),"")</f>
        <v>0</v>
      </c>
      <c r="O445" s="77" t="str">
        <f>IFERROR(VLOOKUP($AA445,PLAN!$B:$AA,12,0),"")</f>
        <v>2112095-0-C</v>
      </c>
      <c r="P445" s="77">
        <f>IFERROR(VLOOKUP($AA445,PLAN!$B:$AA,11,0),"")</f>
        <v>12116060</v>
      </c>
      <c r="Q445" s="349" t="s">
        <v>885</v>
      </c>
      <c r="R445" s="149" t="s">
        <v>886</v>
      </c>
      <c r="S445" s="149">
        <f t="shared" si="28"/>
        <v>10</v>
      </c>
      <c r="T445" s="131"/>
      <c r="U445" s="78">
        <f>IFERROR(VLOOKUP($AA445,PLAN!$B:$AA,21,0),"")</f>
        <v>46239</v>
      </c>
      <c r="V445" s="78" t="str">
        <f>IFERROR(VLOOKUP($AA445,PLAN!$B:$AA,22,0),"")</f>
        <v>M9</v>
      </c>
      <c r="W445" s="232"/>
      <c r="X445" s="233"/>
      <c r="Y445" s="212"/>
      <c r="Z445" s="350"/>
      <c r="AA445" s="195" t="s">
        <v>2910</v>
      </c>
      <c r="AB445" s="132">
        <f>VLOOKUP(AA445,PLAN!B:V,20,0)</f>
        <v>46239</v>
      </c>
      <c r="AC445" s="132"/>
    </row>
    <row r="446" spans="3:29" s="79" customFormat="1" ht="21.6" customHeight="1">
      <c r="C446" s="249" t="str">
        <f t="shared" si="27"/>
        <v>Aug14-58</v>
      </c>
      <c r="D446" s="77">
        <f>IFERROR(VLOOKUP($AA446,PLAN!$B:$AA,3,0),"")</f>
        <v>11131289</v>
      </c>
      <c r="E446" s="77" t="str">
        <f>IFERROR(VLOOKUP($AA446,PLAN!$B:$AA,4,0),"")</f>
        <v>2211092-E-A</v>
      </c>
      <c r="F446" s="77" t="str">
        <f>IFERROR(VLOOKUP($AA446,PLAN!$B:$AA,5,0),"")</f>
        <v>HW60SP350P10000 NOCE</v>
      </c>
      <c r="G446" s="77" t="str">
        <f>IFERROR(VLOOKUP($AA446,PLAN!$B:$AA,2,0),"")</f>
        <v>1001931028</v>
      </c>
      <c r="H446" s="113">
        <f>IFERROR(VLOOKUP($AA446,PLAN!$B:$AA,7,0),"")</f>
        <v>46248</v>
      </c>
      <c r="I446" s="77" t="str">
        <f>IFERROR(VLOOKUP($AA446,PLAN!$B:$AA,8,0),"")</f>
        <v>0103582548</v>
      </c>
      <c r="J446" s="77" t="str">
        <f>IFERROR(VLOOKUP($AA446,PLAN!$B:$AA,9,0),"")</f>
        <v>260729C36A</v>
      </c>
      <c r="K446" s="77">
        <f>IFERROR(VLOOKUP($AA446,PLAN!$B:$AA,10,0),"")</f>
        <v>10</v>
      </c>
      <c r="L446" s="77" t="str">
        <f>IFERROR(VLOOKUP($AA446,PLAN!$B:$AA,15,0),"")</f>
        <v>Oversea</v>
      </c>
      <c r="M446" s="77">
        <f>IFERROR(VLOOKUP($AA446,PLAN!$B:$AA,18,0),"")</f>
        <v>0</v>
      </c>
      <c r="N446" s="227">
        <f>IFERROR(VLOOKUP($AA446,PLAN!$B:$AA,19,0),"")</f>
        <v>0</v>
      </c>
      <c r="O446" s="77" t="str">
        <f>IFERROR(VLOOKUP($AA446,PLAN!$B:$AA,12,0),"")</f>
        <v>2112099-0-C</v>
      </c>
      <c r="P446" s="77">
        <f>IFERROR(VLOOKUP($AA446,PLAN!$B:$AA,11,0),"")</f>
        <v>12116064</v>
      </c>
      <c r="Q446" s="277" t="s">
        <v>2190</v>
      </c>
      <c r="R446" s="149" t="s">
        <v>2191</v>
      </c>
      <c r="S446" s="149">
        <f t="shared" si="28"/>
        <v>10</v>
      </c>
      <c r="T446" s="131"/>
      <c r="U446" s="78">
        <f>IFERROR(VLOOKUP($AA446,PLAN!$B:$AA,21,0),"")</f>
        <v>46239</v>
      </c>
      <c r="V446" s="78" t="str">
        <f>IFERROR(VLOOKUP($AA446,PLAN!$B:$AA,22,0),"")</f>
        <v>M9</v>
      </c>
      <c r="W446" s="232"/>
      <c r="X446" s="233"/>
      <c r="Y446" s="212"/>
      <c r="Z446" s="350"/>
      <c r="AA446" s="195" t="s">
        <v>2911</v>
      </c>
      <c r="AB446" s="132">
        <f>VLOOKUP(AA446,PLAN!B:V,20,0)</f>
        <v>46239</v>
      </c>
      <c r="AC446" s="132"/>
    </row>
    <row r="447" spans="3:29" s="79" customFormat="1" ht="21.6" customHeight="1">
      <c r="C447" s="249" t="str">
        <f t="shared" si="27"/>
        <v>Aug14-59</v>
      </c>
      <c r="D447" s="77">
        <f>IFERROR(VLOOKUP($AA447,PLAN!$B:$AA,3,0),"")</f>
        <v>11131288</v>
      </c>
      <c r="E447" s="77" t="str">
        <f>IFERROR(VLOOKUP($AA447,PLAN!$B:$AA,4,0),"")</f>
        <v>2211091-E-A</v>
      </c>
      <c r="F447" s="77" t="str">
        <f>IFERROR(VLOOKUP($AA447,PLAN!$B:$AA,5,0),"")</f>
        <v>HW60SP300P10000 NOCE</v>
      </c>
      <c r="G447" s="77" t="str">
        <f>IFERROR(VLOOKUP($AA447,PLAN!$B:$AA,2,0),"")</f>
        <v>1001931029</v>
      </c>
      <c r="H447" s="113">
        <f>IFERROR(VLOOKUP($AA447,PLAN!$B:$AA,7,0),"")</f>
        <v>46248</v>
      </c>
      <c r="I447" s="77" t="str">
        <f>IFERROR(VLOOKUP($AA447,PLAN!$B:$AA,8,0),"")</f>
        <v>0103582549</v>
      </c>
      <c r="J447" s="77" t="str">
        <f>IFERROR(VLOOKUP($AA447,PLAN!$B:$AA,9,0),"")</f>
        <v>260729C37A</v>
      </c>
      <c r="K447" s="77">
        <f>IFERROR(VLOOKUP($AA447,PLAN!$B:$AA,10,0),"")</f>
        <v>10</v>
      </c>
      <c r="L447" s="77" t="str">
        <f>IFERROR(VLOOKUP($AA447,PLAN!$B:$AA,15,0),"")</f>
        <v>Oversea</v>
      </c>
      <c r="M447" s="77">
        <f>IFERROR(VLOOKUP($AA447,PLAN!$B:$AA,18,0),"")</f>
        <v>0</v>
      </c>
      <c r="N447" s="227">
        <f>IFERROR(VLOOKUP($AA447,PLAN!$B:$AA,19,0),"")</f>
        <v>0</v>
      </c>
      <c r="O447" s="77" t="str">
        <f>IFERROR(VLOOKUP($AA447,PLAN!$B:$AA,12,0),"")</f>
        <v>2112095-0-C</v>
      </c>
      <c r="P447" s="77">
        <f>IFERROR(VLOOKUP($AA447,PLAN!$B:$AA,11,0),"")</f>
        <v>12116060</v>
      </c>
      <c r="Q447" s="349" t="s">
        <v>885</v>
      </c>
      <c r="R447" s="149" t="s">
        <v>886</v>
      </c>
      <c r="S447" s="149">
        <f t="shared" si="28"/>
        <v>10</v>
      </c>
      <c r="T447" s="131"/>
      <c r="U447" s="78">
        <f>IFERROR(VLOOKUP($AA447,PLAN!$B:$AA,21,0),"")</f>
        <v>46239</v>
      </c>
      <c r="V447" s="78" t="str">
        <f>IFERROR(VLOOKUP($AA447,PLAN!$B:$AA,22,0),"")</f>
        <v>M9</v>
      </c>
      <c r="W447" s="232"/>
      <c r="X447" s="233"/>
      <c r="Y447" s="212"/>
      <c r="Z447" s="350"/>
      <c r="AA447" s="195" t="s">
        <v>2912</v>
      </c>
      <c r="AB447" s="132">
        <f>VLOOKUP(AA447,PLAN!B:V,20,0)</f>
        <v>46239</v>
      </c>
      <c r="AC447" s="132"/>
    </row>
    <row r="448" spans="3:29" s="79" customFormat="1" ht="21.6" customHeight="1">
      <c r="C448" s="249" t="str">
        <f t="shared" si="27"/>
        <v>Aug14-60</v>
      </c>
      <c r="D448" s="77">
        <f>IFERROR(VLOOKUP($AA448,PLAN!$B:$AA,3,0),"")</f>
        <v>11131289</v>
      </c>
      <c r="E448" s="77" t="str">
        <f>IFERROR(VLOOKUP($AA448,PLAN!$B:$AA,4,0),"")</f>
        <v>2211092-E-A</v>
      </c>
      <c r="F448" s="77" t="str">
        <f>IFERROR(VLOOKUP($AA448,PLAN!$B:$AA,5,0),"")</f>
        <v>HW60SP350P10000 NOCE</v>
      </c>
      <c r="G448" s="77" t="str">
        <f>IFERROR(VLOOKUP($AA448,PLAN!$B:$AA,2,0),"")</f>
        <v>1001931030</v>
      </c>
      <c r="H448" s="113">
        <f>IFERROR(VLOOKUP($AA448,PLAN!$B:$AA,7,0),"")</f>
        <v>46248</v>
      </c>
      <c r="I448" s="77" t="str">
        <f>IFERROR(VLOOKUP($AA448,PLAN!$B:$AA,8,0),"")</f>
        <v>0103582550</v>
      </c>
      <c r="J448" s="77" t="str">
        <f>IFERROR(VLOOKUP($AA448,PLAN!$B:$AA,9,0),"")</f>
        <v>260729C38A</v>
      </c>
      <c r="K448" s="77">
        <f>IFERROR(VLOOKUP($AA448,PLAN!$B:$AA,10,0),"")</f>
        <v>16</v>
      </c>
      <c r="L448" s="77" t="str">
        <f>IFERROR(VLOOKUP($AA448,PLAN!$B:$AA,15,0),"")</f>
        <v>Oversea</v>
      </c>
      <c r="M448" s="77">
        <f>IFERROR(VLOOKUP($AA448,PLAN!$B:$AA,18,0),"")</f>
        <v>0</v>
      </c>
      <c r="N448" s="227">
        <f>IFERROR(VLOOKUP($AA448,PLAN!$B:$AA,19,0),"")</f>
        <v>0</v>
      </c>
      <c r="O448" s="77" t="str">
        <f>IFERROR(VLOOKUP($AA448,PLAN!$B:$AA,12,0),"")</f>
        <v>2112099-0-C</v>
      </c>
      <c r="P448" s="77">
        <f>IFERROR(VLOOKUP($AA448,PLAN!$B:$AA,11,0),"")</f>
        <v>12116064</v>
      </c>
      <c r="Q448" s="277" t="s">
        <v>2190</v>
      </c>
      <c r="R448" s="149" t="s">
        <v>2191</v>
      </c>
      <c r="S448" s="149">
        <f t="shared" si="28"/>
        <v>16</v>
      </c>
      <c r="T448" s="131"/>
      <c r="U448" s="78">
        <f>IFERROR(VLOOKUP($AA448,PLAN!$B:$AA,21,0),"")</f>
        <v>46239</v>
      </c>
      <c r="V448" s="78" t="str">
        <f>IFERROR(VLOOKUP($AA448,PLAN!$B:$AA,22,0),"")</f>
        <v>M9</v>
      </c>
      <c r="W448" s="232"/>
      <c r="X448" s="233"/>
      <c r="Y448" s="212"/>
      <c r="Z448" s="350"/>
      <c r="AA448" s="195" t="s">
        <v>2913</v>
      </c>
      <c r="AB448" s="132">
        <f>VLOOKUP(AA448,PLAN!B:V,20,0)</f>
        <v>46239</v>
      </c>
      <c r="AC448" s="132"/>
    </row>
    <row r="449" spans="3:29" s="79" customFormat="1" ht="21.6" customHeight="1">
      <c r="C449" s="249" t="str">
        <f t="shared" si="27"/>
        <v>Aug14-61</v>
      </c>
      <c r="D449" s="77">
        <f>IFERROR(VLOOKUP($AA449,PLAN!$B:$AA,3,0),"")</f>
        <v>11134251</v>
      </c>
      <c r="E449" s="77" t="str">
        <f>IFERROR(VLOOKUP($AA449,PLAN!$B:$AA,4,0),"")</f>
        <v>1911068-E-A</v>
      </c>
      <c r="F449" s="77" t="str">
        <f>IFERROR(VLOOKUP($AA449,PLAN!$B:$AA,5,0),"")</f>
        <v>HJ60PB302P10020 JP</v>
      </c>
      <c r="G449" s="77" t="str">
        <f>IFERROR(VLOOKUP($AA449,PLAN!$B:$AA,2,0),"")</f>
        <v>1001931041</v>
      </c>
      <c r="H449" s="113">
        <f>IFERROR(VLOOKUP($AA449,PLAN!$B:$AA,7,0),"")</f>
        <v>46248</v>
      </c>
      <c r="I449" s="77" t="str">
        <f>IFERROR(VLOOKUP($AA449,PLAN!$B:$AA,8,0),"")</f>
        <v>0103582593</v>
      </c>
      <c r="J449" s="77" t="str">
        <f>IFERROR(VLOOKUP($AA449,PLAN!$B:$AA,9,0),"")</f>
        <v>260729C39A</v>
      </c>
      <c r="K449" s="77">
        <f>IFERROR(VLOOKUP($AA449,PLAN!$B:$AA,10,0),"")</f>
        <v>1</v>
      </c>
      <c r="L449" s="77" t="str">
        <f>IFERROR(VLOOKUP($AA449,PLAN!$B:$AA,15,0),"")</f>
        <v>JAPAN</v>
      </c>
      <c r="M449" s="77">
        <f>IFERROR(VLOOKUP($AA449,PLAN!$B:$AA,18,0),"")</f>
        <v>0</v>
      </c>
      <c r="N449" s="227">
        <f>IFERROR(VLOOKUP($AA449,PLAN!$B:$AA,19,0),"")</f>
        <v>0</v>
      </c>
      <c r="O449" s="77" t="str">
        <f>IFERROR(VLOOKUP($AA449,PLAN!$B:$AA,12,0),"")</f>
        <v>2112070-0-C</v>
      </c>
      <c r="P449" s="77">
        <f>IFERROR(VLOOKUP($AA449,PLAN!$B:$AA,11,0),"")</f>
        <v>12116035</v>
      </c>
      <c r="Q449" s="349" t="s">
        <v>3009</v>
      </c>
      <c r="R449" s="158" t="s">
        <v>3010</v>
      </c>
      <c r="S449" s="149">
        <f t="shared" si="28"/>
        <v>1</v>
      </c>
      <c r="T449" s="131"/>
      <c r="U449" s="78">
        <f>IFERROR(VLOOKUP($AA449,PLAN!$B:$AA,21,0),"")</f>
        <v>46239</v>
      </c>
      <c r="V449" s="78" t="str">
        <f>IFERROR(VLOOKUP($AA449,PLAN!$B:$AA,22,0),"")</f>
        <v>M9</v>
      </c>
      <c r="W449" s="232"/>
      <c r="X449" s="233"/>
      <c r="Y449" s="212"/>
      <c r="Z449" s="350"/>
      <c r="AA449" s="195" t="s">
        <v>2914</v>
      </c>
      <c r="AB449" s="132">
        <f>VLOOKUP(AA449,PLAN!B:V,20,0)</f>
        <v>46239</v>
      </c>
      <c r="AC449" s="132"/>
    </row>
    <row r="450" spans="3:29" s="79" customFormat="1" ht="21.6" customHeight="1">
      <c r="C450" s="249" t="str">
        <f t="shared" si="27"/>
        <v>Aug14-62</v>
      </c>
      <c r="D450" s="77">
        <f>IFERROR(VLOOKUP($AA450,PLAN!$B:$AA,3,0),"")</f>
        <v>11134259</v>
      </c>
      <c r="E450" s="77" t="str">
        <f>IFERROR(VLOOKUP($AA450,PLAN!$B:$AA,4,0),"")</f>
        <v>1911096-E-A</v>
      </c>
      <c r="F450" s="77" t="str">
        <f>IFERROR(VLOOKUP($AA450,PLAN!$B:$AA,5,0),"")</f>
        <v>HJ60SP322P10020 JP</v>
      </c>
      <c r="G450" s="77" t="str">
        <f>IFERROR(VLOOKUP($AA450,PLAN!$B:$AA,2,0),"")</f>
        <v>1001931042</v>
      </c>
      <c r="H450" s="113">
        <f>IFERROR(VLOOKUP($AA450,PLAN!$B:$AA,7,0),"")</f>
        <v>46248</v>
      </c>
      <c r="I450" s="77" t="str">
        <f>IFERROR(VLOOKUP($AA450,PLAN!$B:$AA,8,0),"")</f>
        <v>0103582594</v>
      </c>
      <c r="J450" s="77" t="str">
        <f>IFERROR(VLOOKUP($AA450,PLAN!$B:$AA,9,0),"")</f>
        <v>260729C40A</v>
      </c>
      <c r="K450" s="77">
        <f>IFERROR(VLOOKUP($AA450,PLAN!$B:$AA,10,0),"")</f>
        <v>7</v>
      </c>
      <c r="L450" s="77" t="str">
        <f>IFERROR(VLOOKUP($AA450,PLAN!$B:$AA,15,0),"")</f>
        <v>JAPAN</v>
      </c>
      <c r="M450" s="77">
        <f>IFERROR(VLOOKUP($AA450,PLAN!$B:$AA,18,0),"")</f>
        <v>0</v>
      </c>
      <c r="N450" s="227">
        <f>IFERROR(VLOOKUP($AA450,PLAN!$B:$AA,19,0),"")</f>
        <v>0</v>
      </c>
      <c r="O450" s="77" t="str">
        <f>IFERROR(VLOOKUP($AA450,PLAN!$B:$AA,12,0),"")</f>
        <v>2112098-0-C</v>
      </c>
      <c r="P450" s="77">
        <f>IFERROR(VLOOKUP($AA450,PLAN!$B:$AA,11,0),"")</f>
        <v>12116063</v>
      </c>
      <c r="Q450" s="349" t="s">
        <v>3011</v>
      </c>
      <c r="R450" s="158" t="s">
        <v>3012</v>
      </c>
      <c r="S450" s="149">
        <f t="shared" si="28"/>
        <v>7</v>
      </c>
      <c r="T450" s="131"/>
      <c r="U450" s="78">
        <f>IFERROR(VLOOKUP($AA450,PLAN!$B:$AA,21,0),"")</f>
        <v>46239</v>
      </c>
      <c r="V450" s="78" t="str">
        <f>IFERROR(VLOOKUP($AA450,PLAN!$B:$AA,22,0),"")</f>
        <v>M9</v>
      </c>
      <c r="W450" s="232"/>
      <c r="X450" s="233"/>
      <c r="Y450" s="212"/>
      <c r="Z450" s="350"/>
      <c r="AA450" s="195" t="s">
        <v>2915</v>
      </c>
      <c r="AB450" s="132">
        <f>VLOOKUP(AA450,PLAN!B:V,20,0)</f>
        <v>46239</v>
      </c>
      <c r="AC450" s="132"/>
    </row>
    <row r="451" spans="3:29" s="79" customFormat="1" ht="21.6" customHeight="1">
      <c r="C451" s="249" t="str">
        <f t="shared" si="27"/>
        <v>Bio-9</v>
      </c>
      <c r="D451" s="77">
        <f>IFERROR(VLOOKUP($AA451,PLAN!$B:$AA,3,0),"")</f>
        <v>11107911</v>
      </c>
      <c r="E451" s="77" t="str">
        <f>IFERROR(VLOOKUP($AA451,PLAN!$B:$AA,4,0),"")</f>
        <v>2511509-001</v>
      </c>
      <c r="F451" s="77" t="str">
        <f>IFERROR(VLOOKUP($AA451,PLAN!$B:$AA,5,0),"")</f>
        <v>CROSSRIDGE 6Fr 100cm_Kit</v>
      </c>
      <c r="G451" s="77">
        <f>IFERROR(VLOOKUP($AA451,PLAN!$B:$AA,2,0),"")</f>
        <v>2000128236</v>
      </c>
      <c r="H451" s="113">
        <f>IFERROR(VLOOKUP($AA451,PLAN!$B:$AA,7,0),"")</f>
        <v>46234</v>
      </c>
      <c r="I451" s="77" t="str">
        <f>IFERROR(VLOOKUP($AA451,PLAN!$B:$AA,8,0),"")</f>
        <v>0103584147</v>
      </c>
      <c r="J451" s="77" t="str">
        <f>IFERROR(VLOOKUP($AA451,PLAN!$B:$AA,9,0),"")</f>
        <v>260730Y01A</v>
      </c>
      <c r="K451" s="77">
        <f>IFERROR(VLOOKUP($AA451,PLAN!$B:$AA,10,0),"")</f>
        <v>10</v>
      </c>
      <c r="L451" s="77" t="str">
        <f>IFERROR(VLOOKUP($AA451,PLAN!$B:$AA,15,0),"")</f>
        <v>TEST</v>
      </c>
      <c r="M451" s="77">
        <f>IFERROR(VLOOKUP($AA451,PLAN!$B:$AA,18,0),"")</f>
        <v>0</v>
      </c>
      <c r="N451" s="227">
        <f>IFERROR(VLOOKUP($AA451,PLAN!$B:$AA,19,0),"")</f>
        <v>0</v>
      </c>
      <c r="O451" s="77" t="s">
        <v>1364</v>
      </c>
      <c r="P451" s="77">
        <v>12142011</v>
      </c>
      <c r="Q451" s="148"/>
      <c r="R451" s="149" t="s">
        <v>1641</v>
      </c>
      <c r="S451" s="149">
        <f t="shared" si="28"/>
        <v>10</v>
      </c>
      <c r="T451" s="131"/>
      <c r="U451" s="78">
        <f>IFERROR(VLOOKUP($AA451,PLAN!$B:$AA,21,0),"")</f>
        <v>46234</v>
      </c>
      <c r="V451" s="78" t="str">
        <f>IFERROR(VLOOKUP($AA451,PLAN!$B:$AA,22,0),"")</f>
        <v>M9</v>
      </c>
      <c r="W451" s="232"/>
      <c r="X451" s="233"/>
      <c r="Y451" s="212"/>
      <c r="Z451" s="350"/>
      <c r="AA451" s="195" t="s">
        <v>3017</v>
      </c>
      <c r="AB451" s="132">
        <f>VLOOKUP(AA451,PLAN!B:V,20,0)</f>
        <v>46234</v>
      </c>
      <c r="AC451" s="132"/>
    </row>
    <row r="452" spans="3:29" s="79" customFormat="1" ht="21.6" customHeight="1">
      <c r="C452" s="249">
        <f t="shared" si="27"/>
        <v>0</v>
      </c>
      <c r="D452" s="77" t="str">
        <f>IFERROR(VLOOKUP($AA452,PLAN!$B:$AA,3,0),"")</f>
        <v/>
      </c>
      <c r="E452" s="77" t="str">
        <f>IFERROR(VLOOKUP($AA452,PLAN!$B:$AA,4,0),"")</f>
        <v/>
      </c>
      <c r="F452" s="77" t="str">
        <f>IFERROR(VLOOKUP($AA452,PLAN!$B:$AA,5,0),"")</f>
        <v/>
      </c>
      <c r="G452" s="77" t="str">
        <f>IFERROR(VLOOKUP($AA452,PLAN!$B:$AA,2,0),"")</f>
        <v/>
      </c>
      <c r="H452" s="113" t="str">
        <f>IFERROR(VLOOKUP($AA452,PLAN!$B:$AA,7,0),"")</f>
        <v/>
      </c>
      <c r="I452" s="77" t="str">
        <f>IFERROR(VLOOKUP($AA452,PLAN!$B:$AA,8,0),"")</f>
        <v/>
      </c>
      <c r="J452" s="77" t="str">
        <f>IFERROR(VLOOKUP($AA452,PLAN!$B:$AA,9,0),"")</f>
        <v/>
      </c>
      <c r="K452" s="77" t="str">
        <f>IFERROR(VLOOKUP($AA452,PLAN!$B:$AA,10,0),"")</f>
        <v/>
      </c>
      <c r="L452" s="77" t="str">
        <f>IFERROR(VLOOKUP($AA452,PLAN!$B:$AA,15,0),"")</f>
        <v/>
      </c>
      <c r="M452" s="77" t="str">
        <f>IFERROR(VLOOKUP($AA452,PLAN!$B:$AA,18,0),"")</f>
        <v/>
      </c>
      <c r="N452" s="227" t="str">
        <f>IFERROR(VLOOKUP($AA452,PLAN!$B:$AA,19,0),"")</f>
        <v/>
      </c>
      <c r="O452" s="77" t="s">
        <v>1365</v>
      </c>
      <c r="P452" s="77">
        <v>12138665</v>
      </c>
      <c r="Q452" s="148"/>
      <c r="R452" s="149" t="s">
        <v>3020</v>
      </c>
      <c r="S452" s="149" t="str">
        <f t="shared" si="28"/>
        <v/>
      </c>
      <c r="T452" s="131"/>
      <c r="U452" s="78" t="str">
        <f>IFERROR(VLOOKUP($AA452,PLAN!$B:$AA,21,0),"")</f>
        <v/>
      </c>
      <c r="V452" s="78" t="str">
        <f>IFERROR(VLOOKUP($AA452,PLAN!$B:$AA,22,0),"")</f>
        <v/>
      </c>
      <c r="W452" s="232"/>
      <c r="X452" s="233"/>
      <c r="Y452" s="212"/>
      <c r="Z452" s="350"/>
      <c r="AA452" s="195"/>
      <c r="AB452" s="132" t="e">
        <f>VLOOKUP(AA452,PLAN!B:V,20,0)</f>
        <v>#N/A</v>
      </c>
      <c r="AC452" s="132"/>
    </row>
    <row r="453" spans="3:29" s="79" customFormat="1" ht="21.6" customHeight="1">
      <c r="C453" s="249">
        <f t="shared" si="27"/>
        <v>0</v>
      </c>
      <c r="D453" s="77" t="str">
        <f>IFERROR(VLOOKUP($AA453,PLAN!$B:$AA,3,0),"")</f>
        <v/>
      </c>
      <c r="E453" s="77" t="str">
        <f>IFERROR(VLOOKUP($AA453,PLAN!$B:$AA,4,0),"")</f>
        <v/>
      </c>
      <c r="F453" s="77" t="str">
        <f>IFERROR(VLOOKUP($AA453,PLAN!$B:$AA,5,0),"")</f>
        <v/>
      </c>
      <c r="G453" s="77" t="str">
        <f>IFERROR(VLOOKUP($AA453,PLAN!$B:$AA,2,0),"")</f>
        <v/>
      </c>
      <c r="H453" s="113" t="str">
        <f>IFERROR(VLOOKUP($AA453,PLAN!$B:$AA,7,0),"")</f>
        <v/>
      </c>
      <c r="I453" s="77" t="str">
        <f>IFERROR(VLOOKUP($AA453,PLAN!$B:$AA,8,0),"")</f>
        <v/>
      </c>
      <c r="J453" s="77" t="str">
        <f>IFERROR(VLOOKUP($AA453,PLAN!$B:$AA,9,0),"")</f>
        <v/>
      </c>
      <c r="K453" s="77" t="str">
        <f>IFERROR(VLOOKUP($AA453,PLAN!$B:$AA,10,0),"")</f>
        <v/>
      </c>
      <c r="L453" s="77" t="str">
        <f>IFERROR(VLOOKUP($AA453,PLAN!$B:$AA,15,0),"")</f>
        <v/>
      </c>
      <c r="M453" s="77" t="str">
        <f>IFERROR(VLOOKUP($AA453,PLAN!$B:$AA,18,0),"")</f>
        <v/>
      </c>
      <c r="N453" s="227" t="str">
        <f>IFERROR(VLOOKUP($AA453,PLAN!$B:$AA,19,0),"")</f>
        <v/>
      </c>
      <c r="O453" s="77" t="s">
        <v>1366</v>
      </c>
      <c r="P453" s="77">
        <v>12138672</v>
      </c>
      <c r="Q453" s="148"/>
      <c r="R453" s="149"/>
      <c r="S453" s="149" t="str">
        <f t="shared" si="28"/>
        <v/>
      </c>
      <c r="T453" s="131"/>
      <c r="U453" s="78" t="str">
        <f>IFERROR(VLOOKUP($AA453,PLAN!$B:$AA,21,0),"")</f>
        <v/>
      </c>
      <c r="V453" s="78" t="str">
        <f>IFERROR(VLOOKUP($AA453,PLAN!$B:$AA,22,0),"")</f>
        <v/>
      </c>
      <c r="W453" s="232"/>
      <c r="X453" s="233"/>
      <c r="Y453" s="212"/>
      <c r="Z453" s="350"/>
      <c r="AA453" s="195"/>
      <c r="AB453" s="132" t="e">
        <f>VLOOKUP(AA453,PLAN!B:V,20,0)</f>
        <v>#N/A</v>
      </c>
      <c r="AC453" s="132"/>
    </row>
    <row r="454" spans="3:29" s="79" customFormat="1" ht="21.6" customHeight="1">
      <c r="C454" s="249" t="str">
        <f t="shared" si="27"/>
        <v>Bio-10</v>
      </c>
      <c r="D454" s="77">
        <f>IFERROR(VLOOKUP($AA454,PLAN!$B:$AA,3,0),"")</f>
        <v>11107911</v>
      </c>
      <c r="E454" s="77" t="str">
        <f>IFERROR(VLOOKUP($AA454,PLAN!$B:$AA,4,0),"")</f>
        <v>2511509-001</v>
      </c>
      <c r="F454" s="77" t="str">
        <f>IFERROR(VLOOKUP($AA454,PLAN!$B:$AA,5,0),"")</f>
        <v>CROSSRIDGE 6Fr 100cm_Kit</v>
      </c>
      <c r="G454" s="77">
        <f>IFERROR(VLOOKUP($AA454,PLAN!$B:$AA,2,0),"")</f>
        <v>2000128237</v>
      </c>
      <c r="H454" s="113">
        <f>IFERROR(VLOOKUP($AA454,PLAN!$B:$AA,7,0),"")</f>
        <v>46234</v>
      </c>
      <c r="I454" s="77" t="str">
        <f>IFERROR(VLOOKUP($AA454,PLAN!$B:$AA,8,0),"")</f>
        <v>0103584149</v>
      </c>
      <c r="J454" s="77" t="str">
        <f>IFERROR(VLOOKUP($AA454,PLAN!$B:$AA,9,0),"")</f>
        <v>260730Y02A</v>
      </c>
      <c r="K454" s="77">
        <f>IFERROR(VLOOKUP($AA454,PLAN!$B:$AA,10,0),"")</f>
        <v>16</v>
      </c>
      <c r="L454" s="77" t="str">
        <f>IFERROR(VLOOKUP($AA454,PLAN!$B:$AA,15,0),"")</f>
        <v>TEST</v>
      </c>
      <c r="M454" s="77">
        <f>IFERROR(VLOOKUP($AA454,PLAN!$B:$AA,18,0),"")</f>
        <v>0</v>
      </c>
      <c r="N454" s="227">
        <f>IFERROR(VLOOKUP($AA454,PLAN!$B:$AA,19,0),"")</f>
        <v>0</v>
      </c>
      <c r="O454" s="77" t="s">
        <v>1364</v>
      </c>
      <c r="P454" s="77">
        <v>12142011</v>
      </c>
      <c r="Q454" s="148"/>
      <c r="R454" s="149"/>
      <c r="S454" s="149">
        <f t="shared" si="28"/>
        <v>16</v>
      </c>
      <c r="T454" s="131"/>
      <c r="U454" s="78">
        <f>IFERROR(VLOOKUP($AA454,PLAN!$B:$AA,21,0),"")</f>
        <v>46234</v>
      </c>
      <c r="V454" s="78" t="str">
        <f>IFERROR(VLOOKUP($AA454,PLAN!$B:$AA,22,0),"")</f>
        <v>M9</v>
      </c>
      <c r="W454" s="232"/>
      <c r="X454" s="233"/>
      <c r="Y454" s="212"/>
      <c r="Z454" s="350"/>
      <c r="AA454" s="195" t="s">
        <v>3018</v>
      </c>
      <c r="AB454" s="132">
        <f>VLOOKUP(AA454,PLAN!B:V,20,0)</f>
        <v>46234</v>
      </c>
      <c r="AC454" s="132"/>
    </row>
    <row r="455" spans="3:29" s="79" customFormat="1" ht="21.6" customHeight="1">
      <c r="C455" s="249">
        <f t="shared" si="27"/>
        <v>0</v>
      </c>
      <c r="D455" s="77" t="str">
        <f>IFERROR(VLOOKUP($AA455,PLAN!$B:$AA,3,0),"")</f>
        <v/>
      </c>
      <c r="E455" s="77" t="str">
        <f>IFERROR(VLOOKUP($AA455,PLAN!$B:$AA,4,0),"")</f>
        <v/>
      </c>
      <c r="F455" s="77" t="str">
        <f>IFERROR(VLOOKUP($AA455,PLAN!$B:$AA,5,0),"")</f>
        <v/>
      </c>
      <c r="G455" s="77" t="str">
        <f>IFERROR(VLOOKUP($AA455,PLAN!$B:$AA,2,0),"")</f>
        <v/>
      </c>
      <c r="H455" s="113" t="str">
        <f>IFERROR(VLOOKUP($AA455,PLAN!$B:$AA,7,0),"")</f>
        <v/>
      </c>
      <c r="I455" s="77" t="str">
        <f>IFERROR(VLOOKUP($AA455,PLAN!$B:$AA,8,0),"")</f>
        <v/>
      </c>
      <c r="J455" s="77" t="str">
        <f>IFERROR(VLOOKUP($AA455,PLAN!$B:$AA,9,0),"")</f>
        <v/>
      </c>
      <c r="K455" s="77" t="str">
        <f>IFERROR(VLOOKUP($AA455,PLAN!$B:$AA,10,0),"")</f>
        <v/>
      </c>
      <c r="L455" s="77" t="str">
        <f>IFERROR(VLOOKUP($AA455,PLAN!$B:$AA,15,0),"")</f>
        <v/>
      </c>
      <c r="M455" s="77" t="str">
        <f>IFERROR(VLOOKUP($AA455,PLAN!$B:$AA,18,0),"")</f>
        <v/>
      </c>
      <c r="N455" s="227" t="str">
        <f>IFERROR(VLOOKUP($AA455,PLAN!$B:$AA,19,0),"")</f>
        <v/>
      </c>
      <c r="O455" s="77" t="s">
        <v>1365</v>
      </c>
      <c r="P455" s="77">
        <v>12138665</v>
      </c>
      <c r="Q455" s="148"/>
      <c r="R455" s="149"/>
      <c r="S455" s="149" t="str">
        <f t="shared" si="28"/>
        <v/>
      </c>
      <c r="T455" s="131"/>
      <c r="U455" s="78" t="str">
        <f>IFERROR(VLOOKUP($AA455,PLAN!$B:$AA,21,0),"")</f>
        <v/>
      </c>
      <c r="V455" s="78" t="str">
        <f>IFERROR(VLOOKUP($AA455,PLAN!$B:$AA,22,0),"")</f>
        <v/>
      </c>
      <c r="W455" s="232"/>
      <c r="X455" s="233"/>
      <c r="Y455" s="212"/>
      <c r="Z455" s="350"/>
      <c r="AA455" s="195"/>
      <c r="AB455" s="132" t="e">
        <f>VLOOKUP(AA455,PLAN!B:V,20,0)</f>
        <v>#N/A</v>
      </c>
      <c r="AC455" s="132"/>
    </row>
    <row r="456" spans="3:29" s="79" customFormat="1" ht="21.6" customHeight="1">
      <c r="C456" s="249">
        <f t="shared" si="27"/>
        <v>0</v>
      </c>
      <c r="D456" s="77" t="str">
        <f>IFERROR(VLOOKUP($AA456,PLAN!$B:$AA,3,0),"")</f>
        <v/>
      </c>
      <c r="E456" s="77" t="str">
        <f>IFERROR(VLOOKUP($AA456,PLAN!$B:$AA,4,0),"")</f>
        <v/>
      </c>
      <c r="F456" s="77" t="str">
        <f>IFERROR(VLOOKUP($AA456,PLAN!$B:$AA,5,0),"")</f>
        <v/>
      </c>
      <c r="G456" s="77" t="str">
        <f>IFERROR(VLOOKUP($AA456,PLAN!$B:$AA,2,0),"")</f>
        <v/>
      </c>
      <c r="H456" s="113" t="str">
        <f>IFERROR(VLOOKUP($AA456,PLAN!$B:$AA,7,0),"")</f>
        <v/>
      </c>
      <c r="I456" s="77" t="str">
        <f>IFERROR(VLOOKUP($AA456,PLAN!$B:$AA,8,0),"")</f>
        <v/>
      </c>
      <c r="J456" s="77" t="str">
        <f>IFERROR(VLOOKUP($AA456,PLAN!$B:$AA,9,0),"")</f>
        <v/>
      </c>
      <c r="K456" s="77" t="str">
        <f>IFERROR(VLOOKUP($AA456,PLAN!$B:$AA,10,0),"")</f>
        <v/>
      </c>
      <c r="L456" s="77" t="str">
        <f>IFERROR(VLOOKUP($AA456,PLAN!$B:$AA,15,0),"")</f>
        <v/>
      </c>
      <c r="M456" s="77" t="str">
        <f>IFERROR(VLOOKUP($AA456,PLAN!$B:$AA,18,0),"")</f>
        <v/>
      </c>
      <c r="N456" s="227" t="str">
        <f>IFERROR(VLOOKUP($AA456,PLAN!$B:$AA,19,0),"")</f>
        <v/>
      </c>
      <c r="O456" s="77" t="s">
        <v>1366</v>
      </c>
      <c r="P456" s="77">
        <v>12138672</v>
      </c>
      <c r="Q456" s="148"/>
      <c r="R456" s="149"/>
      <c r="S456" s="149" t="str">
        <f t="shared" si="28"/>
        <v/>
      </c>
      <c r="T456" s="131"/>
      <c r="U456" s="78" t="str">
        <f>IFERROR(VLOOKUP($AA456,PLAN!$B:$AA,21,0),"")</f>
        <v/>
      </c>
      <c r="V456" s="78" t="str">
        <f>IFERROR(VLOOKUP($AA456,PLAN!$B:$AA,22,0),"")</f>
        <v/>
      </c>
      <c r="W456" s="232"/>
      <c r="X456" s="233"/>
      <c r="Y456" s="212"/>
      <c r="Z456" s="350"/>
      <c r="AA456" s="195"/>
      <c r="AB456" s="132" t="e">
        <f>VLOOKUP(AA456,PLAN!B:V,20,0)</f>
        <v>#N/A</v>
      </c>
      <c r="AC456" s="132"/>
    </row>
    <row r="457" spans="3:29" s="79" customFormat="1" ht="21.6" customHeight="1">
      <c r="C457" s="249" t="str">
        <f t="shared" si="27"/>
        <v>Aug08-04</v>
      </c>
      <c r="D457" s="77">
        <f>IFERROR(VLOOKUP($AA457,PLAN!$B:$AA,3,0),"")</f>
        <v>11116930</v>
      </c>
      <c r="E457" s="77" t="str">
        <f>IFERROR(VLOOKUP($AA457,PLAN!$B:$AA,4,0),"")</f>
        <v>1521544-M-A</v>
      </c>
      <c r="F457" s="77" t="str">
        <f>IFERROR(VLOOKUP($AA457,PLAN!$B:$AA,5,0),"")</f>
        <v>MS3552H26-PIG110J</v>
      </c>
      <c r="G457" s="77" t="str">
        <f>IFERROR(VLOOKUP($AA457,PLAN!$B:$AA,2,0),"")</f>
        <v>1001925390</v>
      </c>
      <c r="H457" s="113">
        <f>IFERROR(VLOOKUP($AA457,PLAN!$B:$AA,7,0),"")</f>
        <v>46242</v>
      </c>
      <c r="I457" s="77" t="str">
        <f>IFERROR(VLOOKUP($AA457,PLAN!$B:$AA,8,0),"")</f>
        <v>0103570649</v>
      </c>
      <c r="J457" s="77" t="str">
        <f>IFERROR(VLOOKUP($AA457,PLAN!$B:$AA,9,0),"")</f>
        <v>260723H04A</v>
      </c>
      <c r="K457" s="77">
        <f>IFERROR(VLOOKUP($AA457,PLAN!$B:$AA,10,0),"")</f>
        <v>181</v>
      </c>
      <c r="L457" s="77" t="str">
        <f>IFERROR(VLOOKUP($AA457,PLAN!$B:$AA,15,0),"")</f>
        <v>FILMECC</v>
      </c>
      <c r="M457" s="77">
        <f>IFERROR(VLOOKUP($AA457,PLAN!$B:$AA,18,0),"")</f>
        <v>0</v>
      </c>
      <c r="N457" s="227">
        <f>IFERROR(VLOOKUP($AA457,PLAN!$B:$AA,19,0),"")</f>
        <v>0</v>
      </c>
      <c r="O457" s="77" t="str">
        <f>IFERROR(VLOOKUP($AA457,PLAN!$B:$AA,12,0),"")</f>
        <v>2042099-A-C</v>
      </c>
      <c r="P457" s="77">
        <f>IFERROR(VLOOKUP($AA457,PLAN!$B:$AA,11,0),"")</f>
        <v>12115879</v>
      </c>
      <c r="Q457" s="349" t="s">
        <v>3054</v>
      </c>
      <c r="R457" s="158" t="s">
        <v>3055</v>
      </c>
      <c r="S457" s="149">
        <f t="shared" si="28"/>
        <v>181</v>
      </c>
      <c r="T457" s="131"/>
      <c r="U457" s="78">
        <f>IFERROR(VLOOKUP($AA457,PLAN!$B:$AA,21,0),"")</f>
        <v>46241</v>
      </c>
      <c r="V457" s="78" t="str">
        <f>IFERROR(VLOOKUP($AA457,PLAN!$B:$AA,22,0),"")</f>
        <v>M9</v>
      </c>
      <c r="W457" s="232"/>
      <c r="X457" s="233"/>
      <c r="Y457" s="212"/>
      <c r="Z457" s="350"/>
      <c r="AA457" s="195" t="s">
        <v>1820</v>
      </c>
      <c r="AB457" s="132">
        <f>VLOOKUP(AA457,PLAN!B:V,20,0)</f>
        <v>46241</v>
      </c>
      <c r="AC457" s="132"/>
    </row>
    <row r="458" spans="3:29" s="79" customFormat="1" ht="21.6" customHeight="1">
      <c r="C458" s="249" t="str">
        <f t="shared" si="27"/>
        <v>Aug21-01</v>
      </c>
      <c r="D458" s="77">
        <f>IFERROR(VLOOKUP($AA458,PLAN!$B:$AA,3,0),"")</f>
        <v>11134137</v>
      </c>
      <c r="E458" s="77" t="str">
        <f>IFERROR(VLOOKUP($AA458,PLAN!$B:$AA,4,0),"")</f>
        <v>1811875-J-A</v>
      </c>
      <c r="F458" s="77" t="str">
        <f>IFERROR(VLOOKUP($AA458,PLAN!$B:$AA,5,0),"")</f>
        <v>HW60AL070P10002 CN</v>
      </c>
      <c r="G458" s="77" t="str">
        <f>IFERROR(VLOOKUP($AA458,PLAN!$B:$AA,2,0),"")</f>
        <v>1001936155</v>
      </c>
      <c r="H458" s="113">
        <f>IFERROR(VLOOKUP($AA458,PLAN!$B:$AA,7,0),"")</f>
        <v>46255</v>
      </c>
      <c r="I458" s="77" t="str">
        <f>IFERROR(VLOOKUP($AA458,PLAN!$B:$AA,8,0),"")</f>
        <v>0103591605</v>
      </c>
      <c r="J458" s="77" t="str">
        <f>IFERROR(VLOOKUP($AA458,PLAN!$B:$AA,9,0),"")</f>
        <v>260803C01A</v>
      </c>
      <c r="K458" s="77">
        <f>IFERROR(VLOOKUP($AA458,PLAN!$B:$AA,10,0),"")</f>
        <v>555</v>
      </c>
      <c r="L458" s="77" t="str">
        <f>IFERROR(VLOOKUP($AA458,PLAN!$B:$AA,15,0),"")</f>
        <v>CHINA</v>
      </c>
      <c r="M458" s="77">
        <f>IFERROR(VLOOKUP($AA458,PLAN!$B:$AA,18,0),"")</f>
        <v>0</v>
      </c>
      <c r="N458" s="227">
        <f>IFERROR(VLOOKUP($AA458,PLAN!$B:$AA,19,0),"")</f>
        <v>0</v>
      </c>
      <c r="O458" s="77" t="str">
        <f>IFERROR(VLOOKUP($AA458,PLAN!$B:$AA,12,0),"")</f>
        <v>2112083-0-C-CN</v>
      </c>
      <c r="P458" s="77">
        <f>IFERROR(VLOOKUP($AA458,PLAN!$B:$AA,11,0),"")</f>
        <v>12129986</v>
      </c>
      <c r="Q458" s="277" t="s">
        <v>1733</v>
      </c>
      <c r="R458" s="149" t="s">
        <v>1734</v>
      </c>
      <c r="S458" s="223">
        <v>75</v>
      </c>
      <c r="T458" s="131"/>
      <c r="U458" s="78">
        <f>IFERROR(VLOOKUP($AA458,PLAN!$B:$AA,21,0),"")</f>
        <v>46241</v>
      </c>
      <c r="V458" s="78" t="str">
        <f>IFERROR(VLOOKUP($AA458,PLAN!$B:$AA,22,0),"")</f>
        <v>M9</v>
      </c>
      <c r="W458" s="232"/>
      <c r="X458" s="233"/>
      <c r="Y458" s="212"/>
      <c r="Z458" s="350"/>
      <c r="AA458" s="195" t="s">
        <v>3048</v>
      </c>
      <c r="AB458" s="132">
        <f>VLOOKUP(AA458,PLAN!B:V,20,0)</f>
        <v>46241</v>
      </c>
      <c r="AC458" s="132"/>
    </row>
    <row r="459" spans="3:29" s="79" customFormat="1" ht="21.6" customHeight="1">
      <c r="C459" s="249"/>
      <c r="D459" s="77"/>
      <c r="E459" s="77"/>
      <c r="F459" s="77"/>
      <c r="G459" s="77"/>
      <c r="H459" s="113"/>
      <c r="I459" s="77"/>
      <c r="J459" s="77"/>
      <c r="K459" s="77"/>
      <c r="L459" s="77"/>
      <c r="M459" s="77"/>
      <c r="N459" s="227"/>
      <c r="O459" s="77"/>
      <c r="P459" s="77"/>
      <c r="Q459" s="277" t="s">
        <v>3056</v>
      </c>
      <c r="R459" s="149" t="s">
        <v>3057</v>
      </c>
      <c r="S459" s="223">
        <v>110</v>
      </c>
      <c r="T459" s="131"/>
      <c r="U459" s="78"/>
      <c r="V459" s="78"/>
      <c r="W459" s="232"/>
      <c r="X459" s="233"/>
      <c r="Y459" s="212"/>
      <c r="Z459" s="350"/>
      <c r="AA459" s="195"/>
      <c r="AB459" s="132">
        <v>46241</v>
      </c>
      <c r="AC459" s="132"/>
    </row>
    <row r="460" spans="3:29" s="79" customFormat="1" ht="21.6" customHeight="1">
      <c r="C460" s="249"/>
      <c r="D460" s="77"/>
      <c r="E460" s="77"/>
      <c r="F460" s="77"/>
      <c r="G460" s="77"/>
      <c r="H460" s="113"/>
      <c r="I460" s="77"/>
      <c r="J460" s="77"/>
      <c r="K460" s="77"/>
      <c r="L460" s="77"/>
      <c r="M460" s="77"/>
      <c r="N460" s="227"/>
      <c r="O460" s="77"/>
      <c r="P460" s="77"/>
      <c r="Q460" s="277" t="s">
        <v>3058</v>
      </c>
      <c r="R460" s="149" t="s">
        <v>3059</v>
      </c>
      <c r="S460" s="223">
        <v>100</v>
      </c>
      <c r="T460" s="131"/>
      <c r="U460" s="78"/>
      <c r="V460" s="78"/>
      <c r="W460" s="232"/>
      <c r="X460" s="233"/>
      <c r="Y460" s="212"/>
      <c r="Z460" s="350"/>
      <c r="AA460" s="195"/>
      <c r="AB460" s="132">
        <v>46241</v>
      </c>
      <c r="AC460" s="132"/>
    </row>
    <row r="461" spans="3:29" s="79" customFormat="1" ht="21.6" customHeight="1">
      <c r="C461" s="249"/>
      <c r="D461" s="77"/>
      <c r="E461" s="77"/>
      <c r="F461" s="77"/>
      <c r="G461" s="77"/>
      <c r="H461" s="113"/>
      <c r="I461" s="77"/>
      <c r="J461" s="77"/>
      <c r="K461" s="77"/>
      <c r="L461" s="77"/>
      <c r="M461" s="77"/>
      <c r="N461" s="227"/>
      <c r="O461" s="77"/>
      <c r="P461" s="77"/>
      <c r="Q461" s="277" t="s">
        <v>3060</v>
      </c>
      <c r="R461" s="149" t="s">
        <v>3061</v>
      </c>
      <c r="S461" s="223">
        <v>110</v>
      </c>
      <c r="T461" s="131"/>
      <c r="U461" s="78"/>
      <c r="V461" s="78"/>
      <c r="W461" s="232"/>
      <c r="X461" s="233"/>
      <c r="Y461" s="212"/>
      <c r="Z461" s="350"/>
      <c r="AA461" s="195"/>
      <c r="AB461" s="132">
        <v>46241</v>
      </c>
      <c r="AC461" s="132"/>
    </row>
    <row r="462" spans="3:29" s="79" customFormat="1" ht="21.6" customHeight="1">
      <c r="C462" s="249"/>
      <c r="D462" s="77"/>
      <c r="E462" s="77"/>
      <c r="F462" s="77"/>
      <c r="G462" s="77"/>
      <c r="H462" s="113"/>
      <c r="I462" s="77"/>
      <c r="J462" s="77"/>
      <c r="K462" s="77"/>
      <c r="L462" s="77"/>
      <c r="M462" s="77"/>
      <c r="N462" s="227"/>
      <c r="O462" s="77"/>
      <c r="P462" s="77"/>
      <c r="Q462" s="277" t="s">
        <v>3062</v>
      </c>
      <c r="R462" s="222" t="s">
        <v>3063</v>
      </c>
      <c r="S462" s="223">
        <v>100</v>
      </c>
      <c r="T462" s="131"/>
      <c r="U462" s="78"/>
      <c r="V462" s="78"/>
      <c r="W462" s="232"/>
      <c r="X462" s="233"/>
      <c r="Y462" s="212"/>
      <c r="Z462" s="350"/>
      <c r="AA462" s="195"/>
      <c r="AB462" s="132">
        <v>46241</v>
      </c>
      <c r="AC462" s="132"/>
    </row>
    <row r="463" spans="3:29" s="79" customFormat="1" ht="21.6" customHeight="1">
      <c r="C463" s="249"/>
      <c r="D463" s="77"/>
      <c r="E463" s="77"/>
      <c r="F463" s="77"/>
      <c r="G463" s="77"/>
      <c r="H463" s="113"/>
      <c r="I463" s="77"/>
      <c r="J463" s="77"/>
      <c r="K463" s="77"/>
      <c r="L463" s="77"/>
      <c r="M463" s="77"/>
      <c r="N463" s="227"/>
      <c r="O463" s="77"/>
      <c r="P463" s="77"/>
      <c r="Q463" s="277" t="s">
        <v>3064</v>
      </c>
      <c r="R463" s="149" t="s">
        <v>3065</v>
      </c>
      <c r="S463" s="223">
        <f>K458-S458-S459-S460-S461-S462</f>
        <v>60</v>
      </c>
      <c r="T463" s="131"/>
      <c r="U463" s="78"/>
      <c r="V463" s="78"/>
      <c r="W463" s="232"/>
      <c r="X463" s="233"/>
      <c r="Y463" s="212"/>
      <c r="Z463" s="350"/>
      <c r="AA463" s="195"/>
      <c r="AB463" s="132">
        <v>46241</v>
      </c>
      <c r="AC463" s="132"/>
    </row>
    <row r="464" spans="3:29" s="79" customFormat="1" ht="21.6" customHeight="1">
      <c r="C464" s="249" t="str">
        <f t="shared" si="27"/>
        <v>Aug21-02</v>
      </c>
      <c r="D464" s="77">
        <f>IFERROR(VLOOKUP($AA464,PLAN!$B:$AA,3,0),"")</f>
        <v>11134139</v>
      </c>
      <c r="E464" s="77" t="str">
        <f>IFERROR(VLOOKUP($AA464,PLAN!$B:$AA,4,0),"")</f>
        <v>1811877-J-A</v>
      </c>
      <c r="F464" s="77" t="str">
        <f>IFERROR(VLOOKUP($AA464,PLAN!$B:$AA,5,0),"")</f>
        <v>HW60AL100P10002 CN</v>
      </c>
      <c r="G464" s="77" t="str">
        <f>IFERROR(VLOOKUP($AA464,PLAN!$B:$AA,2,0),"")</f>
        <v>1001936156</v>
      </c>
      <c r="H464" s="113">
        <f>IFERROR(VLOOKUP($AA464,PLAN!$B:$AA,7,0),"")</f>
        <v>46255</v>
      </c>
      <c r="I464" s="77" t="str">
        <f>IFERROR(VLOOKUP($AA464,PLAN!$B:$AA,8,0),"")</f>
        <v>0103591606</v>
      </c>
      <c r="J464" s="77" t="str">
        <f>IFERROR(VLOOKUP($AA464,PLAN!$B:$AA,9,0),"")</f>
        <v>260803C02A</v>
      </c>
      <c r="K464" s="77">
        <f>IFERROR(VLOOKUP($AA464,PLAN!$B:$AA,10,0),"")</f>
        <v>40</v>
      </c>
      <c r="L464" s="77" t="str">
        <f>IFERROR(VLOOKUP($AA464,PLAN!$B:$AA,15,0),"")</f>
        <v>CHINA</v>
      </c>
      <c r="M464" s="77">
        <f>IFERROR(VLOOKUP($AA464,PLAN!$B:$AA,18,0),"")</f>
        <v>0</v>
      </c>
      <c r="N464" s="227">
        <f>IFERROR(VLOOKUP($AA464,PLAN!$B:$AA,19,0),"")</f>
        <v>0</v>
      </c>
      <c r="O464" s="77" t="str">
        <f>IFERROR(VLOOKUP($AA464,PLAN!$B:$AA,12,0),"")</f>
        <v>2112085-0-C-CN</v>
      </c>
      <c r="P464" s="77">
        <f>IFERROR(VLOOKUP($AA464,PLAN!$B:$AA,11,0),"")</f>
        <v>12129988</v>
      </c>
      <c r="Q464" s="349" t="s">
        <v>2624</v>
      </c>
      <c r="R464" s="149" t="s">
        <v>2625</v>
      </c>
      <c r="S464" s="149">
        <f t="shared" si="28"/>
        <v>40</v>
      </c>
      <c r="T464" s="131"/>
      <c r="U464" s="78">
        <f>IFERROR(VLOOKUP($AA464,PLAN!$B:$AA,21,0),"")</f>
        <v>46241</v>
      </c>
      <c r="V464" s="78" t="str">
        <f>IFERROR(VLOOKUP($AA464,PLAN!$B:$AA,22,0),"")</f>
        <v>M9</v>
      </c>
      <c r="W464" s="232"/>
      <c r="X464" s="233"/>
      <c r="Y464" s="212"/>
      <c r="Z464" s="350"/>
      <c r="AA464" s="195" t="s">
        <v>3049</v>
      </c>
      <c r="AB464" s="132">
        <f>VLOOKUP(AA464,PLAN!B:V,20,0)</f>
        <v>46241</v>
      </c>
      <c r="AC464" s="132"/>
    </row>
    <row r="465" spans="3:29" s="79" customFormat="1" ht="21.6" customHeight="1">
      <c r="C465" s="249" t="str">
        <f t="shared" si="27"/>
        <v>Aug21-03</v>
      </c>
      <c r="D465" s="77">
        <f>IFERROR(VLOOKUP($AA465,PLAN!$B:$AA,3,0),"")</f>
        <v>11134117</v>
      </c>
      <c r="E465" s="77" t="str">
        <f>IFERROR(VLOOKUP($AA465,PLAN!$B:$AA,4,0),"")</f>
        <v>1811827-J-A</v>
      </c>
      <c r="F465" s="77" t="str">
        <f>IFERROR(VLOOKUP($AA465,PLAN!$B:$AA,5,0),"")</f>
        <v>HW60JL350P10000 CN</v>
      </c>
      <c r="G465" s="77" t="str">
        <f>IFERROR(VLOOKUP($AA465,PLAN!$B:$AA,2,0),"")</f>
        <v>1001936157</v>
      </c>
      <c r="H465" s="113">
        <f>IFERROR(VLOOKUP($AA465,PLAN!$B:$AA,7,0),"")</f>
        <v>46255</v>
      </c>
      <c r="I465" s="77" t="str">
        <f>IFERROR(VLOOKUP($AA465,PLAN!$B:$AA,8,0),"")</f>
        <v>0103591607</v>
      </c>
      <c r="J465" s="77" t="str">
        <f>IFERROR(VLOOKUP($AA465,PLAN!$B:$AA,9,0),"")</f>
        <v>260803C03A</v>
      </c>
      <c r="K465" s="77">
        <f>IFERROR(VLOOKUP($AA465,PLAN!$B:$AA,10,0),"")</f>
        <v>400</v>
      </c>
      <c r="L465" s="77" t="str">
        <f>IFERROR(VLOOKUP($AA465,PLAN!$B:$AA,15,0),"")</f>
        <v>CHINA</v>
      </c>
      <c r="M465" s="77">
        <f>IFERROR(VLOOKUP($AA465,PLAN!$B:$AA,18,0),"")</f>
        <v>0</v>
      </c>
      <c r="N465" s="227">
        <f>IFERROR(VLOOKUP($AA465,PLAN!$B:$AA,19,0),"")</f>
        <v>0</v>
      </c>
      <c r="O465" s="77" t="str">
        <f>IFERROR(VLOOKUP($AA465,PLAN!$B:$AA,12,0),"")</f>
        <v>2112041-0-C-CN</v>
      </c>
      <c r="P465" s="77">
        <f>IFERROR(VLOOKUP($AA465,PLAN!$B:$AA,11,0),"")</f>
        <v>12129989</v>
      </c>
      <c r="Q465" s="277" t="s">
        <v>1840</v>
      </c>
      <c r="R465" s="149" t="s">
        <v>1841</v>
      </c>
      <c r="S465" s="223">
        <v>50</v>
      </c>
      <c r="T465" s="131"/>
      <c r="U465" s="78">
        <f>IFERROR(VLOOKUP($AA465,PLAN!$B:$AA,21,0),"")</f>
        <v>46241</v>
      </c>
      <c r="V465" s="78" t="str">
        <f>IFERROR(VLOOKUP($AA465,PLAN!$B:$AA,22,0),"")</f>
        <v>M9</v>
      </c>
      <c r="W465" s="232"/>
      <c r="X465" s="233"/>
      <c r="Y465" s="212"/>
      <c r="Z465" s="350"/>
      <c r="AA465" s="195" t="s">
        <v>3050</v>
      </c>
      <c r="AB465" s="132">
        <f>VLOOKUP(AA465,PLAN!B:V,20,0)</f>
        <v>46241</v>
      </c>
      <c r="AC465" s="132"/>
    </row>
    <row r="466" spans="3:29" s="79" customFormat="1" ht="21.6" customHeight="1">
      <c r="C466" s="249"/>
      <c r="D466" s="77"/>
      <c r="E466" s="77"/>
      <c r="F466" s="77"/>
      <c r="G466" s="77"/>
      <c r="H466" s="113"/>
      <c r="I466" s="77"/>
      <c r="J466" s="77"/>
      <c r="K466" s="77"/>
      <c r="L466" s="77"/>
      <c r="M466" s="77"/>
      <c r="N466" s="227"/>
      <c r="O466" s="77"/>
      <c r="P466" s="77"/>
      <c r="Q466" s="277" t="s">
        <v>3066</v>
      </c>
      <c r="R466" s="149" t="s">
        <v>3067</v>
      </c>
      <c r="S466" s="223">
        <v>110</v>
      </c>
      <c r="T466" s="131"/>
      <c r="U466" s="78"/>
      <c r="V466" s="78"/>
      <c r="W466" s="232"/>
      <c r="X466" s="233"/>
      <c r="Y466" s="212"/>
      <c r="Z466" s="350"/>
      <c r="AA466" s="195"/>
      <c r="AB466" s="132">
        <v>46241</v>
      </c>
      <c r="AC466" s="132"/>
    </row>
    <row r="467" spans="3:29" s="79" customFormat="1" ht="21.6" customHeight="1">
      <c r="C467" s="249"/>
      <c r="D467" s="77"/>
      <c r="E467" s="77"/>
      <c r="F467" s="77"/>
      <c r="G467" s="77"/>
      <c r="H467" s="113"/>
      <c r="I467" s="77"/>
      <c r="J467" s="77"/>
      <c r="K467" s="77"/>
      <c r="L467" s="77"/>
      <c r="M467" s="77"/>
      <c r="N467" s="227"/>
      <c r="O467" s="77"/>
      <c r="P467" s="77"/>
      <c r="Q467" s="277" t="s">
        <v>3068</v>
      </c>
      <c r="R467" s="149" t="s">
        <v>3069</v>
      </c>
      <c r="S467" s="223">
        <v>100</v>
      </c>
      <c r="T467" s="131"/>
      <c r="U467" s="78"/>
      <c r="V467" s="78"/>
      <c r="W467" s="232"/>
      <c r="X467" s="233"/>
      <c r="Y467" s="212"/>
      <c r="Z467" s="350"/>
      <c r="AA467" s="195"/>
      <c r="AB467" s="132">
        <v>46241</v>
      </c>
      <c r="AC467" s="132"/>
    </row>
    <row r="468" spans="3:29" s="79" customFormat="1" ht="21.6" customHeight="1">
      <c r="C468" s="249"/>
      <c r="D468" s="77"/>
      <c r="E468" s="77"/>
      <c r="F468" s="77"/>
      <c r="G468" s="77"/>
      <c r="H468" s="113"/>
      <c r="I468" s="77"/>
      <c r="J468" s="77"/>
      <c r="K468" s="77"/>
      <c r="L468" s="77"/>
      <c r="M468" s="77"/>
      <c r="N468" s="227"/>
      <c r="O468" s="77"/>
      <c r="P468" s="77"/>
      <c r="Q468" s="277" t="s">
        <v>3070</v>
      </c>
      <c r="R468" s="149" t="s">
        <v>3071</v>
      </c>
      <c r="S468" s="223">
        <v>110</v>
      </c>
      <c r="T468" s="131"/>
      <c r="U468" s="78"/>
      <c r="V468" s="78"/>
      <c r="W468" s="232"/>
      <c r="X468" s="233"/>
      <c r="Y468" s="212"/>
      <c r="Z468" s="350"/>
      <c r="AA468" s="195"/>
      <c r="AB468" s="132">
        <v>46241</v>
      </c>
      <c r="AC468" s="132"/>
    </row>
    <row r="469" spans="3:29" s="79" customFormat="1" ht="21.6" customHeight="1">
      <c r="C469" s="249"/>
      <c r="D469" s="77"/>
      <c r="E469" s="77"/>
      <c r="F469" s="77"/>
      <c r="G469" s="77"/>
      <c r="H469" s="113"/>
      <c r="I469" s="77"/>
      <c r="J469" s="77"/>
      <c r="K469" s="77"/>
      <c r="L469" s="77"/>
      <c r="M469" s="77"/>
      <c r="N469" s="227"/>
      <c r="O469" s="77"/>
      <c r="P469" s="77"/>
      <c r="Q469" s="277" t="s">
        <v>3072</v>
      </c>
      <c r="R469" s="149" t="s">
        <v>3073</v>
      </c>
      <c r="S469" s="223">
        <f>K465-S465-S466-S467-S468</f>
        <v>30</v>
      </c>
      <c r="T469" s="131"/>
      <c r="U469" s="78"/>
      <c r="V469" s="78"/>
      <c r="W469" s="232"/>
      <c r="X469" s="233"/>
      <c r="Y469" s="212"/>
      <c r="Z469" s="350"/>
      <c r="AA469" s="195"/>
      <c r="AB469" s="132">
        <v>46241</v>
      </c>
      <c r="AC469" s="132"/>
    </row>
    <row r="470" spans="3:29" s="79" customFormat="1" ht="21.6" customHeight="1">
      <c r="C470" s="249" t="str">
        <f t="shared" si="27"/>
        <v>Aug21-04</v>
      </c>
      <c r="D470" s="77">
        <f>IFERROR(VLOOKUP($AA470,PLAN!$B:$AA,3,0),"")</f>
        <v>11134125</v>
      </c>
      <c r="E470" s="77" t="str">
        <f>IFERROR(VLOOKUP($AA470,PLAN!$B:$AA,4,0),"")</f>
        <v>1811851-J-A</v>
      </c>
      <c r="F470" s="77" t="str">
        <f>IFERROR(VLOOKUP($AA470,PLAN!$B:$AA,5,0),"")</f>
        <v>HW60JR400P10000 CN</v>
      </c>
      <c r="G470" s="77" t="str">
        <f>IFERROR(VLOOKUP($AA470,PLAN!$B:$AA,2,0),"")</f>
        <v>1001936159</v>
      </c>
      <c r="H470" s="113">
        <f>IFERROR(VLOOKUP($AA470,PLAN!$B:$AA,7,0),"")</f>
        <v>46255</v>
      </c>
      <c r="I470" s="77" t="str">
        <f>IFERROR(VLOOKUP($AA470,PLAN!$B:$AA,8,0),"")</f>
        <v>0103591608</v>
      </c>
      <c r="J470" s="77" t="str">
        <f>IFERROR(VLOOKUP($AA470,PLAN!$B:$AA,9,0),"")</f>
        <v>260803C04A</v>
      </c>
      <c r="K470" s="77">
        <f>IFERROR(VLOOKUP($AA470,PLAN!$B:$AA,10,0),"")</f>
        <v>160</v>
      </c>
      <c r="L470" s="77" t="str">
        <f>IFERROR(VLOOKUP($AA470,PLAN!$B:$AA,15,0),"")</f>
        <v>CHINA</v>
      </c>
      <c r="M470" s="77">
        <f>IFERROR(VLOOKUP($AA470,PLAN!$B:$AA,18,0),"")</f>
        <v>0</v>
      </c>
      <c r="N470" s="227">
        <f>IFERROR(VLOOKUP($AA470,PLAN!$B:$AA,19,0),"")</f>
        <v>0</v>
      </c>
      <c r="O470" s="77" t="str">
        <f>IFERROR(VLOOKUP($AA470,PLAN!$B:$AA,12,0),"")</f>
        <v>2112061-0-C-CN</v>
      </c>
      <c r="P470" s="77">
        <f>IFERROR(VLOOKUP($AA470,PLAN!$B:$AA,11,0),"")</f>
        <v>12129992</v>
      </c>
      <c r="Q470" s="277" t="s">
        <v>1751</v>
      </c>
      <c r="R470" s="149" t="s">
        <v>1752</v>
      </c>
      <c r="S470" s="223">
        <v>49</v>
      </c>
      <c r="T470" s="131"/>
      <c r="U470" s="78">
        <f>IFERROR(VLOOKUP($AA470,PLAN!$B:$AA,21,0),"")</f>
        <v>46241</v>
      </c>
      <c r="V470" s="78" t="str">
        <f>IFERROR(VLOOKUP($AA470,PLAN!$B:$AA,22,0),"")</f>
        <v>M9</v>
      </c>
      <c r="W470" s="232"/>
      <c r="X470" s="233"/>
      <c r="Y470" s="212"/>
      <c r="Z470" s="350"/>
      <c r="AA470" s="195" t="s">
        <v>3051</v>
      </c>
      <c r="AB470" s="132">
        <f>VLOOKUP(AA470,PLAN!B:V,20,0)</f>
        <v>46241</v>
      </c>
      <c r="AC470" s="132"/>
    </row>
    <row r="471" spans="3:29" s="79" customFormat="1" ht="21.6" customHeight="1">
      <c r="C471" s="249">
        <f t="shared" si="27"/>
        <v>0</v>
      </c>
      <c r="D471" s="77" t="str">
        <f>IFERROR(VLOOKUP($AA471,PLAN!$B:$AA,3,0),"")</f>
        <v/>
      </c>
      <c r="E471" s="77" t="str">
        <f>IFERROR(VLOOKUP($AA471,PLAN!$B:$AA,4,0),"")</f>
        <v/>
      </c>
      <c r="F471" s="77" t="str">
        <f>IFERROR(VLOOKUP($AA471,PLAN!$B:$AA,5,0),"")</f>
        <v/>
      </c>
      <c r="G471" s="77" t="str">
        <f>IFERROR(VLOOKUP($AA471,PLAN!$B:$AA,2,0),"")</f>
        <v/>
      </c>
      <c r="H471" s="113" t="str">
        <f>IFERROR(VLOOKUP($AA471,PLAN!$B:$AA,7,0),"")</f>
        <v/>
      </c>
      <c r="I471" s="77" t="str">
        <f>IFERROR(VLOOKUP($AA471,PLAN!$B:$AA,8,0),"")</f>
        <v/>
      </c>
      <c r="J471" s="77" t="str">
        <f>IFERROR(VLOOKUP($AA471,PLAN!$B:$AA,9,0),"")</f>
        <v/>
      </c>
      <c r="K471" s="77" t="str">
        <f>IFERROR(VLOOKUP($AA471,PLAN!$B:$AA,10,0),"")</f>
        <v/>
      </c>
      <c r="L471" s="77" t="str">
        <f>IFERROR(VLOOKUP($AA471,PLAN!$B:$AA,15,0),"")</f>
        <v/>
      </c>
      <c r="M471" s="77" t="str">
        <f>IFERROR(VLOOKUP($AA471,PLAN!$B:$AA,18,0),"")</f>
        <v/>
      </c>
      <c r="N471" s="227" t="str">
        <f>IFERROR(VLOOKUP($AA471,PLAN!$B:$AA,19,0),"")</f>
        <v/>
      </c>
      <c r="O471" s="77" t="str">
        <f>IFERROR(VLOOKUP($AA471,PLAN!$B:$AA,12,0),"")</f>
        <v/>
      </c>
      <c r="P471" s="77" t="str">
        <f>IFERROR(VLOOKUP($AA471,PLAN!$B:$AA,11,0),"")</f>
        <v/>
      </c>
      <c r="Q471" s="277" t="s">
        <v>3074</v>
      </c>
      <c r="R471" s="222" t="s">
        <v>3075</v>
      </c>
      <c r="S471" s="223">
        <f>K470-S470</f>
        <v>111</v>
      </c>
      <c r="T471" s="131"/>
      <c r="U471" s="78" t="str">
        <f>IFERROR(VLOOKUP($AA471,PLAN!$B:$AA,21,0),"")</f>
        <v/>
      </c>
      <c r="V471" s="78" t="str">
        <f>IFERROR(VLOOKUP($AA471,PLAN!$B:$AA,22,0),"")</f>
        <v/>
      </c>
      <c r="W471" s="232"/>
      <c r="X471" s="233"/>
      <c r="Y471" s="212"/>
      <c r="Z471" s="350"/>
      <c r="AA471" s="195"/>
      <c r="AB471" s="132">
        <v>46241</v>
      </c>
      <c r="AC471" s="132"/>
    </row>
    <row r="472" spans="3:29" s="79" customFormat="1" ht="21.6" customHeight="1">
      <c r="C472" s="249" t="str">
        <f t="shared" si="27"/>
        <v>Aug21-05</v>
      </c>
      <c r="D472" s="77">
        <f>IFERROR(VLOOKUP($AA472,PLAN!$B:$AA,3,0),"")</f>
        <v>11134148</v>
      </c>
      <c r="E472" s="77" t="str">
        <f>IFERROR(VLOOKUP($AA472,PLAN!$B:$AA,4,0),"")</f>
        <v>1811909-L-A</v>
      </c>
      <c r="F472" s="77" t="str">
        <f>IFERROR(VLOOKUP($AA472,PLAN!$B:$AA,5,0),"")</f>
        <v>HW60SP350P10000 CN</v>
      </c>
      <c r="G472" s="77" t="str">
        <f>IFERROR(VLOOKUP($AA472,PLAN!$B:$AA,2,0),"")</f>
        <v>1001936161</v>
      </c>
      <c r="H472" s="113">
        <f>IFERROR(VLOOKUP($AA472,PLAN!$B:$AA,7,0),"")</f>
        <v>46255</v>
      </c>
      <c r="I472" s="77" t="str">
        <f>IFERROR(VLOOKUP($AA472,PLAN!$B:$AA,8,0),"")</f>
        <v>0103591610</v>
      </c>
      <c r="J472" s="77" t="str">
        <f>IFERROR(VLOOKUP($AA472,PLAN!$B:$AA,9,0),"")</f>
        <v>260803C05A</v>
      </c>
      <c r="K472" s="77">
        <f>IFERROR(VLOOKUP($AA472,PLAN!$B:$AA,10,0),"")</f>
        <v>266</v>
      </c>
      <c r="L472" s="77" t="str">
        <f>IFERROR(VLOOKUP($AA472,PLAN!$B:$AA,15,0),"")</f>
        <v>CHINA</v>
      </c>
      <c r="M472" s="77">
        <f>IFERROR(VLOOKUP($AA472,PLAN!$B:$AA,18,0),"")</f>
        <v>3</v>
      </c>
      <c r="N472" s="227">
        <f>IFERROR(VLOOKUP($AA472,PLAN!$B:$AA,19,0),"")</f>
        <v>3</v>
      </c>
      <c r="O472" s="77" t="str">
        <f>IFERROR(VLOOKUP($AA472,PLAN!$B:$AA,12,0),"")</f>
        <v>2112099-0-C-CN</v>
      </c>
      <c r="P472" s="77">
        <f>IFERROR(VLOOKUP($AA472,PLAN!$B:$AA,11,0),"")</f>
        <v>12129995</v>
      </c>
      <c r="Q472" s="277" t="s">
        <v>1541</v>
      </c>
      <c r="R472" s="149" t="s">
        <v>1542</v>
      </c>
      <c r="S472" s="223">
        <v>129</v>
      </c>
      <c r="T472" s="131"/>
      <c r="U472" s="78">
        <f>IFERROR(VLOOKUP($AA472,PLAN!$B:$AA,21,0),"")</f>
        <v>46241</v>
      </c>
      <c r="V472" s="78" t="str">
        <f>IFERROR(VLOOKUP($AA472,PLAN!$B:$AA,22,0),"")</f>
        <v>M10</v>
      </c>
      <c r="W472" s="232"/>
      <c r="X472" s="233"/>
      <c r="Y472" s="212"/>
      <c r="Z472" s="350"/>
      <c r="AA472" s="195" t="s">
        <v>3052</v>
      </c>
      <c r="AB472" s="132">
        <f>VLOOKUP(AA472,PLAN!B:V,20,0)</f>
        <v>46241</v>
      </c>
      <c r="AC472" s="132"/>
    </row>
    <row r="473" spans="3:29" s="79" customFormat="1" ht="21.6" customHeight="1">
      <c r="C473" s="249">
        <f t="shared" ref="C473:C591" si="29">AA473</f>
        <v>0</v>
      </c>
      <c r="D473" s="77" t="str">
        <f>IFERROR(VLOOKUP($AA473,PLAN!$B:$AA,3,0),"")</f>
        <v/>
      </c>
      <c r="E473" s="77" t="str">
        <f>IFERROR(VLOOKUP($AA473,PLAN!$B:$AA,4,0),"")</f>
        <v/>
      </c>
      <c r="F473" s="77" t="str">
        <f>IFERROR(VLOOKUP($AA473,PLAN!$B:$AA,5,0),"")</f>
        <v/>
      </c>
      <c r="G473" s="77" t="str">
        <f>IFERROR(VLOOKUP($AA473,PLAN!$B:$AA,2,0),"")</f>
        <v/>
      </c>
      <c r="H473" s="113" t="str">
        <f>IFERROR(VLOOKUP($AA473,PLAN!$B:$AA,7,0),"")</f>
        <v/>
      </c>
      <c r="I473" s="77" t="str">
        <f>IFERROR(VLOOKUP($AA473,PLAN!$B:$AA,8,0),"")</f>
        <v/>
      </c>
      <c r="J473" s="77" t="str">
        <f>IFERROR(VLOOKUP($AA473,PLAN!$B:$AA,9,0),"")</f>
        <v/>
      </c>
      <c r="K473" s="77" t="str">
        <f>IFERROR(VLOOKUP($AA473,PLAN!$B:$AA,10,0),"")</f>
        <v/>
      </c>
      <c r="L473" s="77" t="str">
        <f>IFERROR(VLOOKUP($AA473,PLAN!$B:$AA,15,0),"")</f>
        <v/>
      </c>
      <c r="M473" s="77" t="str">
        <f>IFERROR(VLOOKUP($AA473,PLAN!$B:$AA,18,0),"")</f>
        <v/>
      </c>
      <c r="N473" s="227" t="str">
        <f>IFERROR(VLOOKUP($AA473,PLAN!$B:$AA,19,0),"")</f>
        <v/>
      </c>
      <c r="O473" s="77" t="str">
        <f>IFERROR(VLOOKUP($AA473,PLAN!$B:$AA,12,0),"")</f>
        <v/>
      </c>
      <c r="P473" s="77" t="str">
        <f>IFERROR(VLOOKUP($AA473,PLAN!$B:$AA,11,0),"")</f>
        <v/>
      </c>
      <c r="Q473" s="277" t="s">
        <v>3076</v>
      </c>
      <c r="R473" s="149" t="s">
        <v>3077</v>
      </c>
      <c r="S473" s="223">
        <f>K472-S472</f>
        <v>137</v>
      </c>
      <c r="T473" s="131"/>
      <c r="U473" s="78" t="str">
        <f>IFERROR(VLOOKUP($AA473,PLAN!$B:$AA,21,0),"")</f>
        <v/>
      </c>
      <c r="V473" s="78" t="str">
        <f>IFERROR(VLOOKUP($AA473,PLAN!$B:$AA,22,0),"")</f>
        <v/>
      </c>
      <c r="W473" s="232"/>
      <c r="X473" s="233"/>
      <c r="Y473" s="212"/>
      <c r="Z473" s="350"/>
      <c r="AA473" s="195"/>
      <c r="AB473" s="132">
        <v>46241</v>
      </c>
      <c r="AC473" s="132"/>
    </row>
    <row r="474" spans="3:29" s="79" customFormat="1" ht="21.6" customHeight="1">
      <c r="C474" s="249" t="str">
        <f t="shared" si="29"/>
        <v>Aug21-06</v>
      </c>
      <c r="D474" s="77">
        <f>IFERROR(VLOOKUP($AA474,PLAN!$B:$AA,3,0),"")</f>
        <v>11134146</v>
      </c>
      <c r="E474" s="77" t="str">
        <f>IFERROR(VLOOKUP($AA474,PLAN!$B:$AA,4,0),"")</f>
        <v>1811907-L-A</v>
      </c>
      <c r="F474" s="77" t="str">
        <f>IFERROR(VLOOKUP($AA474,PLAN!$B:$AA,5,0),"")</f>
        <v>HW60SP300P10000 CN</v>
      </c>
      <c r="G474" s="77" t="str">
        <f>IFERROR(VLOOKUP($AA474,PLAN!$B:$AA,2,0),"")</f>
        <v>1001936162</v>
      </c>
      <c r="H474" s="113">
        <f>IFERROR(VLOOKUP($AA474,PLAN!$B:$AA,7,0),"")</f>
        <v>46255</v>
      </c>
      <c r="I474" s="77" t="str">
        <f>IFERROR(VLOOKUP($AA474,PLAN!$B:$AA,8,0),"")</f>
        <v>0103591611</v>
      </c>
      <c r="J474" s="77" t="str">
        <f>IFERROR(VLOOKUP($AA474,PLAN!$B:$AA,9,0),"")</f>
        <v>260803C06A</v>
      </c>
      <c r="K474" s="77">
        <f>IFERROR(VLOOKUP($AA474,PLAN!$B:$AA,10,0),"")</f>
        <v>460</v>
      </c>
      <c r="L474" s="77" t="str">
        <f>IFERROR(VLOOKUP($AA474,PLAN!$B:$AA,15,0),"")</f>
        <v>CHINA</v>
      </c>
      <c r="M474" s="77">
        <f>IFERROR(VLOOKUP($AA474,PLAN!$B:$AA,18,0),"")</f>
        <v>0</v>
      </c>
      <c r="N474" s="227">
        <f>IFERROR(VLOOKUP($AA474,PLAN!$B:$AA,19,0),"")</f>
        <v>0</v>
      </c>
      <c r="O474" s="77" t="str">
        <f>IFERROR(VLOOKUP($AA474,PLAN!$B:$AA,12,0),"")</f>
        <v>2112095-0-C-CN</v>
      </c>
      <c r="P474" s="77">
        <f>IFERROR(VLOOKUP($AA474,PLAN!$B:$AA,11,0),"")</f>
        <v>12129994</v>
      </c>
      <c r="Q474" s="277" t="s">
        <v>1601</v>
      </c>
      <c r="R474" s="149" t="s">
        <v>1602</v>
      </c>
      <c r="S474" s="223">
        <v>120</v>
      </c>
      <c r="T474" s="131"/>
      <c r="U474" s="78">
        <f>IFERROR(VLOOKUP($AA474,PLAN!$B:$AA,21,0),"")</f>
        <v>46241</v>
      </c>
      <c r="V474" s="78" t="str">
        <f>IFERROR(VLOOKUP($AA474,PLAN!$B:$AA,22,0),"")</f>
        <v>M10</v>
      </c>
      <c r="W474" s="232"/>
      <c r="X474" s="233"/>
      <c r="Y474" s="212"/>
      <c r="Z474" s="350"/>
      <c r="AA474" s="195" t="s">
        <v>3053</v>
      </c>
      <c r="AB474" s="132">
        <f>VLOOKUP(AA474,PLAN!B:V,20,0)</f>
        <v>46241</v>
      </c>
      <c r="AC474" s="132"/>
    </row>
    <row r="475" spans="3:29" s="79" customFormat="1" ht="21.6" customHeight="1">
      <c r="C475" s="249">
        <f t="shared" si="29"/>
        <v>0</v>
      </c>
      <c r="D475" s="77" t="str">
        <f>IFERROR(VLOOKUP($AA475,PLAN!$B:$AA,3,0),"")</f>
        <v/>
      </c>
      <c r="E475" s="77" t="str">
        <f>IFERROR(VLOOKUP($AA475,PLAN!$B:$AA,4,0),"")</f>
        <v/>
      </c>
      <c r="F475" s="77" t="str">
        <f>IFERROR(VLOOKUP($AA475,PLAN!$B:$AA,5,0),"")</f>
        <v/>
      </c>
      <c r="G475" s="77" t="str">
        <f>IFERROR(VLOOKUP($AA475,PLAN!$B:$AA,2,0),"")</f>
        <v/>
      </c>
      <c r="H475" s="113" t="str">
        <f>IFERROR(VLOOKUP($AA475,PLAN!$B:$AA,7,0),"")</f>
        <v/>
      </c>
      <c r="I475" s="77" t="str">
        <f>IFERROR(VLOOKUP($AA475,PLAN!$B:$AA,8,0),"")</f>
        <v/>
      </c>
      <c r="J475" s="77" t="str">
        <f>IFERROR(VLOOKUP($AA475,PLAN!$B:$AA,9,0),"")</f>
        <v/>
      </c>
      <c r="K475" s="77" t="str">
        <f>IFERROR(VLOOKUP($AA475,PLAN!$B:$AA,10,0),"")</f>
        <v/>
      </c>
      <c r="L475" s="77" t="str">
        <f>IFERROR(VLOOKUP($AA475,PLAN!$B:$AA,15,0),"")</f>
        <v/>
      </c>
      <c r="M475" s="77" t="str">
        <f>IFERROR(VLOOKUP($AA475,PLAN!$B:$AA,18,0),"")</f>
        <v/>
      </c>
      <c r="N475" s="227" t="str">
        <f>IFERROR(VLOOKUP($AA475,PLAN!$B:$AA,19,0),"")</f>
        <v/>
      </c>
      <c r="O475" s="77" t="str">
        <f>IFERROR(VLOOKUP($AA475,PLAN!$B:$AA,12,0),"")</f>
        <v/>
      </c>
      <c r="P475" s="77" t="str">
        <f>IFERROR(VLOOKUP($AA475,PLAN!$B:$AA,11,0),"")</f>
        <v/>
      </c>
      <c r="Q475" s="277" t="s">
        <v>3078</v>
      </c>
      <c r="R475" s="149" t="s">
        <v>3079</v>
      </c>
      <c r="S475" s="223">
        <v>73</v>
      </c>
      <c r="T475" s="131"/>
      <c r="U475" s="78" t="str">
        <f>IFERROR(VLOOKUP($AA475,PLAN!$B:$AA,21,0),"")</f>
        <v/>
      </c>
      <c r="V475" s="78" t="str">
        <f>IFERROR(VLOOKUP($AA475,PLAN!$B:$AA,22,0),"")</f>
        <v/>
      </c>
      <c r="W475" s="232"/>
      <c r="X475" s="233"/>
      <c r="Y475" s="212"/>
      <c r="Z475" s="350"/>
      <c r="AA475" s="195"/>
      <c r="AB475" s="132">
        <v>46241</v>
      </c>
      <c r="AC475" s="132"/>
    </row>
    <row r="476" spans="3:29" s="79" customFormat="1" ht="21.6" customHeight="1">
      <c r="C476" s="249">
        <f t="shared" si="29"/>
        <v>0</v>
      </c>
      <c r="D476" s="77" t="str">
        <f>IFERROR(VLOOKUP($AA476,PLAN!$B:$AA,3,0),"")</f>
        <v/>
      </c>
      <c r="E476" s="77" t="str">
        <f>IFERROR(VLOOKUP($AA476,PLAN!$B:$AA,4,0),"")</f>
        <v/>
      </c>
      <c r="F476" s="77" t="str">
        <f>IFERROR(VLOOKUP($AA476,PLAN!$B:$AA,5,0),"")</f>
        <v/>
      </c>
      <c r="G476" s="77" t="str">
        <f>IFERROR(VLOOKUP($AA476,PLAN!$B:$AA,2,0),"")</f>
        <v/>
      </c>
      <c r="H476" s="113" t="str">
        <f>IFERROR(VLOOKUP($AA476,PLAN!$B:$AA,7,0),"")</f>
        <v/>
      </c>
      <c r="I476" s="77" t="str">
        <f>IFERROR(VLOOKUP($AA476,PLAN!$B:$AA,8,0),"")</f>
        <v/>
      </c>
      <c r="J476" s="77" t="str">
        <f>IFERROR(VLOOKUP($AA476,PLAN!$B:$AA,9,0),"")</f>
        <v/>
      </c>
      <c r="K476" s="77" t="str">
        <f>IFERROR(VLOOKUP($AA476,PLAN!$B:$AA,10,0),"")</f>
        <v/>
      </c>
      <c r="L476" s="77" t="str">
        <f>IFERROR(VLOOKUP($AA476,PLAN!$B:$AA,15,0),"")</f>
        <v/>
      </c>
      <c r="M476" s="77" t="str">
        <f>IFERROR(VLOOKUP($AA476,PLAN!$B:$AA,18,0),"")</f>
        <v/>
      </c>
      <c r="N476" s="227" t="str">
        <f>IFERROR(VLOOKUP($AA476,PLAN!$B:$AA,19,0),"")</f>
        <v/>
      </c>
      <c r="O476" s="77" t="str">
        <f>IFERROR(VLOOKUP($AA476,PLAN!$B:$AA,12,0),"")</f>
        <v/>
      </c>
      <c r="P476" s="77" t="str">
        <f>IFERROR(VLOOKUP($AA476,PLAN!$B:$AA,11,0),"")</f>
        <v/>
      </c>
      <c r="Q476" s="277" t="s">
        <v>3080</v>
      </c>
      <c r="R476" s="149" t="s">
        <v>3081</v>
      </c>
      <c r="S476" s="223">
        <v>150</v>
      </c>
      <c r="T476" s="131"/>
      <c r="U476" s="78" t="str">
        <f>IFERROR(VLOOKUP($AA476,PLAN!$B:$AA,21,0),"")</f>
        <v/>
      </c>
      <c r="V476" s="78" t="str">
        <f>IFERROR(VLOOKUP($AA476,PLAN!$B:$AA,22,0),"")</f>
        <v/>
      </c>
      <c r="W476" s="232"/>
      <c r="X476" s="233"/>
      <c r="Y476" s="212"/>
      <c r="Z476" s="350"/>
      <c r="AA476" s="195"/>
      <c r="AB476" s="132">
        <v>46241</v>
      </c>
      <c r="AC476" s="132"/>
    </row>
    <row r="477" spans="3:29" s="79" customFormat="1" ht="21.6" customHeight="1">
      <c r="C477" s="249">
        <f t="shared" si="29"/>
        <v>0</v>
      </c>
      <c r="D477" s="77" t="str">
        <f>IFERROR(VLOOKUP($AA477,PLAN!$B:$AA,3,0),"")</f>
        <v/>
      </c>
      <c r="E477" s="77" t="str">
        <f>IFERROR(VLOOKUP($AA477,PLAN!$B:$AA,4,0),"")</f>
        <v/>
      </c>
      <c r="F477" s="77" t="str">
        <f>IFERROR(VLOOKUP($AA477,PLAN!$B:$AA,5,0),"")</f>
        <v/>
      </c>
      <c r="G477" s="77" t="str">
        <f>IFERROR(VLOOKUP($AA477,PLAN!$B:$AA,2,0),"")</f>
        <v/>
      </c>
      <c r="H477" s="113" t="str">
        <f>IFERROR(VLOOKUP($AA477,PLAN!$B:$AA,7,0),"")</f>
        <v/>
      </c>
      <c r="I477" s="77" t="str">
        <f>IFERROR(VLOOKUP($AA477,PLAN!$B:$AA,8,0),"")</f>
        <v/>
      </c>
      <c r="J477" s="77" t="str">
        <f>IFERROR(VLOOKUP($AA477,PLAN!$B:$AA,9,0),"")</f>
        <v/>
      </c>
      <c r="K477" s="77" t="str">
        <f>IFERROR(VLOOKUP($AA477,PLAN!$B:$AA,10,0),"")</f>
        <v/>
      </c>
      <c r="L477" s="77" t="str">
        <f>IFERROR(VLOOKUP($AA477,PLAN!$B:$AA,15,0),"")</f>
        <v/>
      </c>
      <c r="M477" s="77" t="str">
        <f>IFERROR(VLOOKUP($AA477,PLAN!$B:$AA,18,0),"")</f>
        <v/>
      </c>
      <c r="N477" s="227" t="str">
        <f>IFERROR(VLOOKUP($AA477,PLAN!$B:$AA,19,0),"")</f>
        <v/>
      </c>
      <c r="O477" s="77" t="str">
        <f>IFERROR(VLOOKUP($AA477,PLAN!$B:$AA,12,0),"")</f>
        <v/>
      </c>
      <c r="P477" s="77" t="str">
        <f>IFERROR(VLOOKUP($AA477,PLAN!$B:$AA,11,0),"")</f>
        <v/>
      </c>
      <c r="Q477" s="277" t="s">
        <v>3082</v>
      </c>
      <c r="R477" s="149" t="s">
        <v>3083</v>
      </c>
      <c r="S477" s="223">
        <f>K474-S474-S475-S476</f>
        <v>117</v>
      </c>
      <c r="T477" s="131"/>
      <c r="U477" s="78" t="str">
        <f>IFERROR(VLOOKUP($AA477,PLAN!$B:$AA,21,0),"")</f>
        <v/>
      </c>
      <c r="V477" s="78" t="str">
        <f>IFERROR(VLOOKUP($AA477,PLAN!$B:$AA,22,0),"")</f>
        <v/>
      </c>
      <c r="W477" s="232"/>
      <c r="X477" s="233"/>
      <c r="Y477" s="212"/>
      <c r="Z477" s="350"/>
      <c r="AA477" s="195"/>
      <c r="AB477" s="132">
        <v>46241</v>
      </c>
      <c r="AC477" s="132"/>
    </row>
    <row r="478" spans="3:29" s="79" customFormat="1" ht="21.6" customHeight="1">
      <c r="C478" s="249" t="str">
        <f t="shared" si="29"/>
        <v>Aug24-01</v>
      </c>
      <c r="D478" s="77">
        <f>IFERROR(VLOOKUP($AA478,PLAN!$B:$AA,3,0),"")</f>
        <v>11134249</v>
      </c>
      <c r="E478" s="77" t="str">
        <f>IFERROR(VLOOKUP($AA478,PLAN!$B:$AA,4,0),"")</f>
        <v>2041190-D-A</v>
      </c>
      <c r="F478" s="77" t="str">
        <f>IFERROR(VLOOKUP($AA478,PLAN!$B:$AA,5,0),"")</f>
        <v>CSR150-26P CN</v>
      </c>
      <c r="G478" s="77" t="str">
        <f>IFERROR(VLOOKUP($AA478,PLAN!$B:$AA,2,0),"")</f>
        <v>1001936553</v>
      </c>
      <c r="H478" s="113">
        <f>IFERROR(VLOOKUP($AA478,PLAN!$B:$AA,7,0),"")</f>
        <v>46258</v>
      </c>
      <c r="I478" s="77" t="str">
        <f>IFERROR(VLOOKUP($AA478,PLAN!$B:$AA,8,0),"")</f>
        <v>0103592377</v>
      </c>
      <c r="J478" s="77" t="str">
        <f>IFERROR(VLOOKUP($AA478,PLAN!$B:$AA,9,0),"")</f>
        <v>260803K01A</v>
      </c>
      <c r="K478" s="77">
        <f>IFERROR(VLOOKUP($AA478,PLAN!$B:$AA,10,0),"")</f>
        <v>231</v>
      </c>
      <c r="L478" s="77" t="str">
        <f>IFERROR(VLOOKUP($AA478,PLAN!$B:$AA,15,0),"")</f>
        <v>CHINA</v>
      </c>
      <c r="M478" s="77">
        <f>IFERROR(VLOOKUP($AA478,PLAN!$B:$AA,18,0),"")</f>
        <v>0</v>
      </c>
      <c r="N478" s="227">
        <f>IFERROR(VLOOKUP($AA478,PLAN!$B:$AA,19,0),"")</f>
        <v>0</v>
      </c>
      <c r="O478" s="77" t="str">
        <f>IFERROR(VLOOKUP($AA478,PLAN!$B:$AA,12,0),"")</f>
        <v>2342020-A-C-CN</v>
      </c>
      <c r="P478" s="77">
        <f>IFERROR(VLOOKUP($AA478,PLAN!$B:$AA,11,0),"")</f>
        <v>12139932</v>
      </c>
      <c r="Q478" s="349" t="s">
        <v>1322</v>
      </c>
      <c r="R478" s="149" t="s">
        <v>1323</v>
      </c>
      <c r="S478" s="223">
        <v>32</v>
      </c>
      <c r="T478" s="131"/>
      <c r="U478" s="78">
        <f>IFERROR(VLOOKUP($AA478,PLAN!$B:$AA,21,0),"")</f>
        <v>46242</v>
      </c>
      <c r="V478" s="78" t="str">
        <f>IFERROR(VLOOKUP($AA478,PLAN!$B:$AA,22,0),"")</f>
        <v>M8</v>
      </c>
      <c r="W478" s="232"/>
      <c r="X478" s="233"/>
      <c r="Y478" s="212"/>
      <c r="Z478" s="350"/>
      <c r="AA478" s="195" t="s">
        <v>3117</v>
      </c>
      <c r="AB478" s="132">
        <f>VLOOKUP(AA478,PLAN!B:V,20,0)</f>
        <v>46242</v>
      </c>
      <c r="AC478" s="132"/>
    </row>
    <row r="479" spans="3:29" s="79" customFormat="1" ht="21.6" customHeight="1">
      <c r="C479" s="249">
        <f t="shared" si="29"/>
        <v>0</v>
      </c>
      <c r="D479" s="77" t="str">
        <f>IFERROR(VLOOKUP($AA479,PLAN!$B:$AA,3,0),"")</f>
        <v/>
      </c>
      <c r="E479" s="77" t="str">
        <f>IFERROR(VLOOKUP($AA479,PLAN!$B:$AA,4,0),"")</f>
        <v/>
      </c>
      <c r="F479" s="77" t="str">
        <f>IFERROR(VLOOKUP($AA479,PLAN!$B:$AA,5,0),"")</f>
        <v/>
      </c>
      <c r="G479" s="77" t="str">
        <f>IFERROR(VLOOKUP($AA479,PLAN!$B:$AA,2,0),"")</f>
        <v/>
      </c>
      <c r="H479" s="113" t="str">
        <f>IFERROR(VLOOKUP($AA479,PLAN!$B:$AA,7,0),"")</f>
        <v/>
      </c>
      <c r="I479" s="77" t="str">
        <f>IFERROR(VLOOKUP($AA479,PLAN!$B:$AA,8,0),"")</f>
        <v/>
      </c>
      <c r="J479" s="77" t="str">
        <f>IFERROR(VLOOKUP($AA479,PLAN!$B:$AA,9,0),"")</f>
        <v/>
      </c>
      <c r="K479" s="77" t="str">
        <f>IFERROR(VLOOKUP($AA479,PLAN!$B:$AA,10,0),"")</f>
        <v/>
      </c>
      <c r="L479" s="77" t="str">
        <f>IFERROR(VLOOKUP($AA479,PLAN!$B:$AA,15,0),"")</f>
        <v/>
      </c>
      <c r="M479" s="77" t="str">
        <f>IFERROR(VLOOKUP($AA479,PLAN!$B:$AA,18,0),"")</f>
        <v/>
      </c>
      <c r="N479" s="227" t="str">
        <f>IFERROR(VLOOKUP($AA479,PLAN!$B:$AA,19,0),"")</f>
        <v/>
      </c>
      <c r="O479" s="77" t="str">
        <f>IFERROR(VLOOKUP($AA479,PLAN!$B:$AA,12,0),"")</f>
        <v/>
      </c>
      <c r="P479" s="77" t="str">
        <f>IFERROR(VLOOKUP($AA479,PLAN!$B:$AA,11,0),"")</f>
        <v/>
      </c>
      <c r="Q479" s="349" t="s">
        <v>3126</v>
      </c>
      <c r="R479" s="149" t="s">
        <v>3127</v>
      </c>
      <c r="S479" s="223">
        <f>K478-S478</f>
        <v>199</v>
      </c>
      <c r="T479" s="131"/>
      <c r="U479" s="78" t="str">
        <f>IFERROR(VLOOKUP($AA479,PLAN!$B:$AA,21,0),"")</f>
        <v/>
      </c>
      <c r="V479" s="78" t="str">
        <f>IFERROR(VLOOKUP($AA479,PLAN!$B:$AA,22,0),"")</f>
        <v/>
      </c>
      <c r="W479" s="232"/>
      <c r="X479" s="233"/>
      <c r="Y479" s="212"/>
      <c r="Z479" s="350"/>
      <c r="AA479" s="195"/>
      <c r="AB479" s="132">
        <v>46242</v>
      </c>
      <c r="AC479" s="132"/>
    </row>
    <row r="480" spans="3:29" s="79" customFormat="1" ht="21.6" customHeight="1">
      <c r="C480" s="249" t="str">
        <f t="shared" si="29"/>
        <v>Aug24-02</v>
      </c>
      <c r="D480" s="77">
        <f>IFERROR(VLOOKUP($AA480,PLAN!$B:$AA,3,0),"")</f>
        <v>11134248</v>
      </c>
      <c r="E480" s="77" t="str">
        <f>IFERROR(VLOOKUP($AA480,PLAN!$B:$AA,4,0),"")</f>
        <v>2041189-D-A</v>
      </c>
      <c r="F480" s="77" t="str">
        <f>IFERROR(VLOOKUP($AA480,PLAN!$B:$AA,5,0),"")</f>
        <v>CSR135-26P CN</v>
      </c>
      <c r="G480" s="77" t="str">
        <f>IFERROR(VLOOKUP($AA480,PLAN!$B:$AA,2,0),"")</f>
        <v>1001936554</v>
      </c>
      <c r="H480" s="113">
        <f>IFERROR(VLOOKUP($AA480,PLAN!$B:$AA,7,0),"")</f>
        <v>46258</v>
      </c>
      <c r="I480" s="77" t="str">
        <f>IFERROR(VLOOKUP($AA480,PLAN!$B:$AA,8,0),"")</f>
        <v>0103592378</v>
      </c>
      <c r="J480" s="77" t="str">
        <f>IFERROR(VLOOKUP($AA480,PLAN!$B:$AA,9,0),"")</f>
        <v>260803K02A</v>
      </c>
      <c r="K480" s="77">
        <f>IFERROR(VLOOKUP($AA480,PLAN!$B:$AA,10,0),"")</f>
        <v>2158</v>
      </c>
      <c r="L480" s="77" t="str">
        <f>IFERROR(VLOOKUP($AA480,PLAN!$B:$AA,15,0),"")</f>
        <v>CHINA</v>
      </c>
      <c r="M480" s="77">
        <f>IFERROR(VLOOKUP($AA480,PLAN!$B:$AA,18,0),"")</f>
        <v>3</v>
      </c>
      <c r="N480" s="227">
        <f>IFERROR(VLOOKUP($AA480,PLAN!$B:$AA,19,0),"")</f>
        <v>3</v>
      </c>
      <c r="O480" s="77" t="str">
        <f>IFERROR(VLOOKUP($AA480,PLAN!$B:$AA,12,0),"")</f>
        <v>2342019-A-C-CN</v>
      </c>
      <c r="P480" s="77">
        <f>IFERROR(VLOOKUP($AA480,PLAN!$B:$AA,11,0),"")</f>
        <v>12139931</v>
      </c>
      <c r="Q480" s="349" t="s">
        <v>1332</v>
      </c>
      <c r="R480" s="149" t="s">
        <v>1333</v>
      </c>
      <c r="S480" s="223">
        <v>239</v>
      </c>
      <c r="T480" s="131"/>
      <c r="U480" s="78">
        <f>IFERROR(VLOOKUP($AA480,PLAN!$B:$AA,21,0),"")</f>
        <v>46242</v>
      </c>
      <c r="V480" s="78" t="str">
        <f>IFERROR(VLOOKUP($AA480,PLAN!$B:$AA,22,0),"")</f>
        <v>M8</v>
      </c>
      <c r="W480" s="232"/>
      <c r="X480" s="233"/>
      <c r="Y480" s="212"/>
      <c r="Z480" s="350"/>
      <c r="AA480" s="195" t="s">
        <v>3119</v>
      </c>
      <c r="AB480" s="132">
        <f>VLOOKUP(AA480,PLAN!B:V,20,0)</f>
        <v>46242</v>
      </c>
      <c r="AC480" s="132"/>
    </row>
    <row r="481" spans="3:29" s="79" customFormat="1" ht="21.6" customHeight="1">
      <c r="C481" s="249"/>
      <c r="D481" s="77"/>
      <c r="E481" s="77"/>
      <c r="F481" s="77"/>
      <c r="G481" s="77"/>
      <c r="H481" s="113"/>
      <c r="I481" s="77"/>
      <c r="J481" s="77"/>
      <c r="K481" s="77"/>
      <c r="L481" s="77"/>
      <c r="M481" s="77"/>
      <c r="N481" s="227"/>
      <c r="O481" s="77"/>
      <c r="P481" s="77"/>
      <c r="Q481" s="349" t="s">
        <v>3128</v>
      </c>
      <c r="R481" s="149" t="s">
        <v>3129</v>
      </c>
      <c r="S481" s="223">
        <v>306</v>
      </c>
      <c r="T481" s="131"/>
      <c r="U481" s="78"/>
      <c r="V481" s="78"/>
      <c r="W481" s="232"/>
      <c r="X481" s="233"/>
      <c r="Y481" s="212"/>
      <c r="Z481" s="350"/>
      <c r="AA481" s="195"/>
      <c r="AB481" s="132">
        <v>46242</v>
      </c>
      <c r="AC481" s="132"/>
    </row>
    <row r="482" spans="3:29" s="79" customFormat="1" ht="21.6" customHeight="1">
      <c r="C482" s="249"/>
      <c r="D482" s="77"/>
      <c r="E482" s="77"/>
      <c r="F482" s="77"/>
      <c r="G482" s="77"/>
      <c r="H482" s="113"/>
      <c r="I482" s="77"/>
      <c r="J482" s="77"/>
      <c r="K482" s="77"/>
      <c r="L482" s="77"/>
      <c r="M482" s="77"/>
      <c r="N482" s="227"/>
      <c r="O482" s="77"/>
      <c r="P482" s="77"/>
      <c r="Q482" s="349" t="s">
        <v>3130</v>
      </c>
      <c r="R482" s="149" t="s">
        <v>3131</v>
      </c>
      <c r="S482" s="223">
        <v>306</v>
      </c>
      <c r="T482" s="131"/>
      <c r="U482" s="78"/>
      <c r="V482" s="78"/>
      <c r="W482" s="232"/>
      <c r="X482" s="233"/>
      <c r="Y482" s="212"/>
      <c r="Z482" s="350"/>
      <c r="AA482" s="195"/>
      <c r="AB482" s="132">
        <v>46242</v>
      </c>
      <c r="AC482" s="132"/>
    </row>
    <row r="483" spans="3:29" s="79" customFormat="1" ht="21.6" customHeight="1">
      <c r="C483" s="249"/>
      <c r="D483" s="77"/>
      <c r="E483" s="77"/>
      <c r="F483" s="77"/>
      <c r="G483" s="77"/>
      <c r="H483" s="113"/>
      <c r="I483" s="77"/>
      <c r="J483" s="77"/>
      <c r="K483" s="77"/>
      <c r="L483" s="77"/>
      <c r="M483" s="77"/>
      <c r="N483" s="227"/>
      <c r="O483" s="77"/>
      <c r="P483" s="77"/>
      <c r="Q483" s="349" t="s">
        <v>3132</v>
      </c>
      <c r="R483" s="149" t="s">
        <v>3133</v>
      </c>
      <c r="S483" s="223">
        <v>306</v>
      </c>
      <c r="T483" s="131"/>
      <c r="U483" s="78"/>
      <c r="V483" s="78"/>
      <c r="W483" s="232"/>
      <c r="X483" s="233"/>
      <c r="Y483" s="212"/>
      <c r="Z483" s="350"/>
      <c r="AA483" s="195"/>
      <c r="AB483" s="132">
        <v>46242</v>
      </c>
      <c r="AC483" s="132"/>
    </row>
    <row r="484" spans="3:29" s="79" customFormat="1" ht="21.6" customHeight="1">
      <c r="C484" s="249"/>
      <c r="D484" s="77"/>
      <c r="E484" s="77"/>
      <c r="F484" s="77"/>
      <c r="G484" s="77"/>
      <c r="H484" s="113"/>
      <c r="I484" s="77"/>
      <c r="J484" s="77"/>
      <c r="K484" s="77"/>
      <c r="L484" s="77"/>
      <c r="M484" s="77"/>
      <c r="N484" s="227"/>
      <c r="O484" s="77"/>
      <c r="P484" s="77"/>
      <c r="Q484" s="349" t="s">
        <v>3134</v>
      </c>
      <c r="R484" s="149" t="s">
        <v>3135</v>
      </c>
      <c r="S484" s="223">
        <v>306</v>
      </c>
      <c r="T484" s="131"/>
      <c r="U484" s="78"/>
      <c r="V484" s="78"/>
      <c r="W484" s="232"/>
      <c r="X484" s="233"/>
      <c r="Y484" s="212"/>
      <c r="Z484" s="350"/>
      <c r="AA484" s="195"/>
      <c r="AB484" s="132">
        <v>46242</v>
      </c>
      <c r="AC484" s="132"/>
    </row>
    <row r="485" spans="3:29" s="79" customFormat="1" ht="21.6" customHeight="1">
      <c r="C485" s="249"/>
      <c r="D485" s="77"/>
      <c r="E485" s="77"/>
      <c r="F485" s="77"/>
      <c r="G485" s="77"/>
      <c r="H485" s="113"/>
      <c r="I485" s="77"/>
      <c r="J485" s="77"/>
      <c r="K485" s="77"/>
      <c r="L485" s="77"/>
      <c r="M485" s="77"/>
      <c r="N485" s="227"/>
      <c r="O485" s="77"/>
      <c r="P485" s="77"/>
      <c r="Q485" s="349" t="s">
        <v>3136</v>
      </c>
      <c r="R485" s="149" t="s">
        <v>3137</v>
      </c>
      <c r="S485" s="223">
        <v>306</v>
      </c>
      <c r="T485" s="131"/>
      <c r="U485" s="78"/>
      <c r="V485" s="78"/>
      <c r="W485" s="232"/>
      <c r="X485" s="233"/>
      <c r="Y485" s="212"/>
      <c r="Z485" s="350"/>
      <c r="AA485" s="195"/>
      <c r="AB485" s="132">
        <v>46242</v>
      </c>
      <c r="AC485" s="132"/>
    </row>
    <row r="486" spans="3:29" s="79" customFormat="1" ht="21.6" customHeight="1">
      <c r="C486" s="249"/>
      <c r="D486" s="77"/>
      <c r="E486" s="77"/>
      <c r="F486" s="77"/>
      <c r="G486" s="77"/>
      <c r="H486" s="113"/>
      <c r="I486" s="77"/>
      <c r="J486" s="77"/>
      <c r="K486" s="77"/>
      <c r="L486" s="77"/>
      <c r="M486" s="77"/>
      <c r="N486" s="227"/>
      <c r="O486" s="77"/>
      <c r="P486" s="77"/>
      <c r="Q486" s="349" t="s">
        <v>3138</v>
      </c>
      <c r="R486" s="149" t="s">
        <v>3139</v>
      </c>
      <c r="S486" s="223">
        <v>306</v>
      </c>
      <c r="T486" s="131"/>
      <c r="U486" s="78"/>
      <c r="V486" s="78"/>
      <c r="W486" s="232"/>
      <c r="X486" s="233"/>
      <c r="Y486" s="212"/>
      <c r="Z486" s="350"/>
      <c r="AA486" s="195"/>
      <c r="AB486" s="132">
        <v>46242</v>
      </c>
      <c r="AC486" s="132"/>
    </row>
    <row r="487" spans="3:29" s="79" customFormat="1" ht="21.6" customHeight="1">
      <c r="C487" s="249"/>
      <c r="D487" s="77"/>
      <c r="E487" s="77"/>
      <c r="F487" s="77"/>
      <c r="G487" s="77"/>
      <c r="H487" s="113"/>
      <c r="I487" s="77"/>
      <c r="J487" s="77"/>
      <c r="K487" s="77"/>
      <c r="L487" s="77"/>
      <c r="M487" s="77"/>
      <c r="N487" s="227"/>
      <c r="O487" s="77"/>
      <c r="P487" s="77"/>
      <c r="Q487" s="349" t="s">
        <v>3140</v>
      </c>
      <c r="R487" s="149" t="s">
        <v>3141</v>
      </c>
      <c r="S487" s="223">
        <f>K480-S480-S481-S482-S483-S484-S485-S486</f>
        <v>83</v>
      </c>
      <c r="T487" s="131"/>
      <c r="U487" s="78"/>
      <c r="V487" s="78"/>
      <c r="W487" s="232"/>
      <c r="X487" s="233"/>
      <c r="Y487" s="212"/>
      <c r="Z487" s="350"/>
      <c r="AA487" s="195"/>
      <c r="AB487" s="132">
        <v>46242</v>
      </c>
      <c r="AC487" s="132"/>
    </row>
    <row r="488" spans="3:29" s="79" customFormat="1" ht="21.6" customHeight="1">
      <c r="C488" s="249" t="str">
        <f t="shared" si="29"/>
        <v>Aug24-03</v>
      </c>
      <c r="D488" s="77">
        <f>IFERROR(VLOOKUP($AA488,PLAN!$B:$AA,3,0),"")</f>
        <v>11134120</v>
      </c>
      <c r="E488" s="77" t="str">
        <f>IFERROR(VLOOKUP($AA488,PLAN!$B:$AA,4,0),"")</f>
        <v>1811831-J-A</v>
      </c>
      <c r="F488" s="77" t="str">
        <f>IFERROR(VLOOKUP($AA488,PLAN!$B:$AA,5,0),"")</f>
        <v>HW60JL400P10000 CN</v>
      </c>
      <c r="G488" s="77" t="str">
        <f>IFERROR(VLOOKUP($AA488,PLAN!$B:$AA,2,0),"")</f>
        <v>1001936547</v>
      </c>
      <c r="H488" s="113">
        <f>IFERROR(VLOOKUP($AA488,PLAN!$B:$AA,7,0),"")</f>
        <v>46258</v>
      </c>
      <c r="I488" s="77" t="str">
        <f>IFERROR(VLOOKUP($AA488,PLAN!$B:$AA,8,0),"")</f>
        <v>0103592371</v>
      </c>
      <c r="J488" s="77" t="str">
        <f>IFERROR(VLOOKUP($AA488,PLAN!$B:$AA,9,0),"")</f>
        <v>260803C07A</v>
      </c>
      <c r="K488" s="77">
        <f>IFERROR(VLOOKUP($AA488,PLAN!$B:$AA,10,0),"")</f>
        <v>55</v>
      </c>
      <c r="L488" s="77" t="str">
        <f>IFERROR(VLOOKUP($AA488,PLAN!$B:$AA,15,0),"")</f>
        <v>CHINA</v>
      </c>
      <c r="M488" s="77">
        <f>IFERROR(VLOOKUP($AA488,PLAN!$B:$AA,18,0),"")</f>
        <v>0</v>
      </c>
      <c r="N488" s="227">
        <f>IFERROR(VLOOKUP($AA488,PLAN!$B:$AA,19,0),"")</f>
        <v>0</v>
      </c>
      <c r="O488" s="77" t="str">
        <f>IFERROR(VLOOKUP($AA488,PLAN!$B:$AA,12,0),"")</f>
        <v>2112045-0-C-CN</v>
      </c>
      <c r="P488" s="77">
        <f>IFERROR(VLOOKUP($AA488,PLAN!$B:$AA,11,0),"")</f>
        <v>12129990</v>
      </c>
      <c r="Q488" s="277" t="s">
        <v>1077</v>
      </c>
      <c r="R488" s="149" t="s">
        <v>1078</v>
      </c>
      <c r="S488" s="223">
        <v>27</v>
      </c>
      <c r="T488" s="131"/>
      <c r="U488" s="78">
        <f>IFERROR(VLOOKUP($AA488,PLAN!$B:$AA,21,0),"")</f>
        <v>46242</v>
      </c>
      <c r="V488" s="78" t="str">
        <f>IFERROR(VLOOKUP($AA488,PLAN!$B:$AA,22,0),"")</f>
        <v>M9</v>
      </c>
      <c r="W488" s="232"/>
      <c r="X488" s="233"/>
      <c r="Y488" s="212"/>
      <c r="Z488" s="350"/>
      <c r="AA488" s="195" t="s">
        <v>3120</v>
      </c>
      <c r="AB488" s="132">
        <f>VLOOKUP(AA488,PLAN!B:V,20,0)</f>
        <v>46242</v>
      </c>
      <c r="AC488" s="132"/>
    </row>
    <row r="489" spans="3:29" s="79" customFormat="1" ht="21.6" customHeight="1">
      <c r="C489" s="249">
        <f t="shared" si="29"/>
        <v>0</v>
      </c>
      <c r="D489" s="77" t="str">
        <f>IFERROR(VLOOKUP($AA489,PLAN!$B:$AA,3,0),"")</f>
        <v/>
      </c>
      <c r="E489" s="77" t="str">
        <f>IFERROR(VLOOKUP($AA489,PLAN!$B:$AA,4,0),"")</f>
        <v/>
      </c>
      <c r="F489" s="77" t="str">
        <f>IFERROR(VLOOKUP($AA489,PLAN!$B:$AA,5,0),"")</f>
        <v/>
      </c>
      <c r="G489" s="77" t="str">
        <f>IFERROR(VLOOKUP($AA489,PLAN!$B:$AA,2,0),"")</f>
        <v/>
      </c>
      <c r="H489" s="113" t="str">
        <f>IFERROR(VLOOKUP($AA489,PLAN!$B:$AA,7,0),"")</f>
        <v/>
      </c>
      <c r="I489" s="77" t="str">
        <f>IFERROR(VLOOKUP($AA489,PLAN!$B:$AA,8,0),"")</f>
        <v/>
      </c>
      <c r="J489" s="77" t="str">
        <f>IFERROR(VLOOKUP($AA489,PLAN!$B:$AA,9,0),"")</f>
        <v/>
      </c>
      <c r="K489" s="77" t="str">
        <f>IFERROR(VLOOKUP($AA489,PLAN!$B:$AA,10,0),"")</f>
        <v/>
      </c>
      <c r="L489" s="77" t="str">
        <f>IFERROR(VLOOKUP($AA489,PLAN!$B:$AA,15,0),"")</f>
        <v/>
      </c>
      <c r="M489" s="77" t="str">
        <f>IFERROR(VLOOKUP($AA489,PLAN!$B:$AA,18,0),"")</f>
        <v/>
      </c>
      <c r="N489" s="227" t="str">
        <f>IFERROR(VLOOKUP($AA489,PLAN!$B:$AA,19,0),"")</f>
        <v/>
      </c>
      <c r="O489" s="77" t="str">
        <f>IFERROR(VLOOKUP($AA489,PLAN!$B:$AA,12,0),"")</f>
        <v/>
      </c>
      <c r="P489" s="77" t="str">
        <f>IFERROR(VLOOKUP($AA489,PLAN!$B:$AA,11,0),"")</f>
        <v/>
      </c>
      <c r="Q489" s="349" t="s">
        <v>3142</v>
      </c>
      <c r="R489" s="149" t="s">
        <v>3143</v>
      </c>
      <c r="S489" s="223">
        <f>K488-S488</f>
        <v>28</v>
      </c>
      <c r="T489" s="131"/>
      <c r="U489" s="78" t="str">
        <f>IFERROR(VLOOKUP($AA489,PLAN!$B:$AA,21,0),"")</f>
        <v/>
      </c>
      <c r="V489" s="78" t="str">
        <f>IFERROR(VLOOKUP($AA489,PLAN!$B:$AA,22,0),"")</f>
        <v/>
      </c>
      <c r="W489" s="232"/>
      <c r="X489" s="233"/>
      <c r="Y489" s="212"/>
      <c r="Z489" s="350"/>
      <c r="AA489" s="195"/>
      <c r="AB489" s="132">
        <v>46242</v>
      </c>
      <c r="AC489" s="132"/>
    </row>
    <row r="490" spans="3:29" s="79" customFormat="1" ht="21.6" customHeight="1">
      <c r="C490" s="249" t="str">
        <f t="shared" ref="C490" si="30">AA490</f>
        <v>Aug24-04</v>
      </c>
      <c r="D490" s="77">
        <f>IFERROR(VLOOKUP($AA490,PLAN!$B:$AA,3,0),"")</f>
        <v>11134123</v>
      </c>
      <c r="E490" s="77" t="str">
        <f>IFERROR(VLOOKUP($AA490,PLAN!$B:$AA,4,0),"")</f>
        <v>1811849-J-A</v>
      </c>
      <c r="F490" s="77" t="str">
        <f>IFERROR(VLOOKUP($AA490,PLAN!$B:$AA,5,0),"")</f>
        <v>HW60JR350P10000 CN</v>
      </c>
      <c r="G490" s="77" t="str">
        <f>IFERROR(VLOOKUP($AA490,PLAN!$B:$AA,2,0),"")</f>
        <v>1001936548</v>
      </c>
      <c r="H490" s="113">
        <f>IFERROR(VLOOKUP($AA490,PLAN!$B:$AA,7,0),"")</f>
        <v>46258</v>
      </c>
      <c r="I490" s="77" t="str">
        <f>IFERROR(VLOOKUP($AA490,PLAN!$B:$AA,8,0),"")</f>
        <v>0103592372</v>
      </c>
      <c r="J490" s="77" t="str">
        <f>IFERROR(VLOOKUP($AA490,PLAN!$B:$AA,9,0),"")</f>
        <v>260803C08A</v>
      </c>
      <c r="K490" s="77">
        <f>IFERROR(VLOOKUP($AA490,PLAN!$B:$AA,10,0),"")</f>
        <v>480</v>
      </c>
      <c r="L490" s="77" t="str">
        <f>IFERROR(VLOOKUP($AA490,PLAN!$B:$AA,15,0),"")</f>
        <v>CHINA</v>
      </c>
      <c r="M490" s="77">
        <f>IFERROR(VLOOKUP($AA490,PLAN!$B:$AA,18,0),"")</f>
        <v>0</v>
      </c>
      <c r="N490" s="227">
        <f>IFERROR(VLOOKUP($AA490,PLAN!$B:$AA,19,0),"")</f>
        <v>0</v>
      </c>
      <c r="O490" s="77" t="str">
        <f>IFERROR(VLOOKUP($AA490,PLAN!$B:$AA,12,0),"")</f>
        <v>2112059-0-C-CN</v>
      </c>
      <c r="P490" s="77">
        <f>IFERROR(VLOOKUP($AA490,PLAN!$B:$AA,11,0),"")</f>
        <v>12129991</v>
      </c>
      <c r="Q490" s="277" t="s">
        <v>1852</v>
      </c>
      <c r="R490" s="149" t="s">
        <v>1853</v>
      </c>
      <c r="S490" s="223">
        <v>92</v>
      </c>
      <c r="T490" s="131"/>
      <c r="U490" s="78"/>
      <c r="V490" s="78"/>
      <c r="W490" s="232"/>
      <c r="X490" s="233"/>
      <c r="Y490" s="212"/>
      <c r="Z490" s="350"/>
      <c r="AA490" s="195" t="s">
        <v>3121</v>
      </c>
      <c r="AB490" s="132">
        <f>VLOOKUP(AA490,PLAN!B:V,20,0)</f>
        <v>46242</v>
      </c>
      <c r="AC490" s="132"/>
    </row>
    <row r="491" spans="3:29" s="79" customFormat="1" ht="21.6" customHeight="1">
      <c r="C491" s="249"/>
      <c r="D491" s="77"/>
      <c r="E491" s="77"/>
      <c r="F491" s="77"/>
      <c r="G491" s="77"/>
      <c r="H491" s="113"/>
      <c r="I491" s="77"/>
      <c r="J491" s="77"/>
      <c r="K491" s="77"/>
      <c r="L491" s="77"/>
      <c r="M491" s="77"/>
      <c r="N491" s="227"/>
      <c r="O491" s="77"/>
      <c r="P491" s="77"/>
      <c r="Q491" s="277" t="s">
        <v>3144</v>
      </c>
      <c r="R491" s="149" t="s">
        <v>3145</v>
      </c>
      <c r="S491" s="223">
        <v>104</v>
      </c>
      <c r="T491" s="131"/>
      <c r="U491" s="78"/>
      <c r="V491" s="78"/>
      <c r="W491" s="232"/>
      <c r="X491" s="233"/>
      <c r="Y491" s="212"/>
      <c r="Z491" s="350"/>
      <c r="AA491" s="195"/>
      <c r="AB491" s="132">
        <v>46242</v>
      </c>
      <c r="AC491" s="132"/>
    </row>
    <row r="492" spans="3:29" s="79" customFormat="1" ht="21.6" customHeight="1">
      <c r="C492" s="249"/>
      <c r="D492" s="77"/>
      <c r="E492" s="77"/>
      <c r="F492" s="77"/>
      <c r="G492" s="77"/>
      <c r="H492" s="113"/>
      <c r="I492" s="77"/>
      <c r="J492" s="77"/>
      <c r="K492" s="77"/>
      <c r="L492" s="77"/>
      <c r="M492" s="77"/>
      <c r="N492" s="227"/>
      <c r="O492" s="77"/>
      <c r="P492" s="77"/>
      <c r="Q492" s="349" t="s">
        <v>3146</v>
      </c>
      <c r="R492" s="222" t="s">
        <v>3147</v>
      </c>
      <c r="S492" s="223">
        <v>120</v>
      </c>
      <c r="T492" s="131"/>
      <c r="U492" s="78"/>
      <c r="V492" s="78"/>
      <c r="W492" s="232"/>
      <c r="X492" s="233"/>
      <c r="Y492" s="212"/>
      <c r="Z492" s="350"/>
      <c r="AA492" s="195"/>
      <c r="AB492" s="132">
        <v>46242</v>
      </c>
      <c r="AC492" s="132"/>
    </row>
    <row r="493" spans="3:29" s="79" customFormat="1" ht="21.6" customHeight="1">
      <c r="C493" s="249"/>
      <c r="D493" s="77"/>
      <c r="E493" s="77"/>
      <c r="F493" s="77"/>
      <c r="G493" s="77"/>
      <c r="H493" s="113"/>
      <c r="I493" s="77"/>
      <c r="J493" s="77"/>
      <c r="K493" s="77"/>
      <c r="L493" s="77"/>
      <c r="M493" s="77"/>
      <c r="N493" s="227"/>
      <c r="O493" s="77"/>
      <c r="P493" s="77"/>
      <c r="Q493" s="349" t="s">
        <v>3148</v>
      </c>
      <c r="R493" s="149" t="s">
        <v>3149</v>
      </c>
      <c r="S493" s="223">
        <v>120</v>
      </c>
      <c r="T493" s="131"/>
      <c r="U493" s="78"/>
      <c r="V493" s="78"/>
      <c r="W493" s="232"/>
      <c r="X493" s="233"/>
      <c r="Y493" s="212"/>
      <c r="Z493" s="350"/>
      <c r="AA493" s="195"/>
      <c r="AB493" s="132">
        <v>46242</v>
      </c>
      <c r="AC493" s="132"/>
    </row>
    <row r="494" spans="3:29" s="79" customFormat="1" ht="21.6" customHeight="1">
      <c r="C494" s="249"/>
      <c r="D494" s="77"/>
      <c r="E494" s="77"/>
      <c r="F494" s="77"/>
      <c r="G494" s="77"/>
      <c r="H494" s="113"/>
      <c r="I494" s="77"/>
      <c r="J494" s="77"/>
      <c r="K494" s="77"/>
      <c r="L494" s="77"/>
      <c r="M494" s="77"/>
      <c r="N494" s="227"/>
      <c r="O494" s="77"/>
      <c r="P494" s="77"/>
      <c r="Q494" s="349" t="s">
        <v>3150</v>
      </c>
      <c r="R494" s="222" t="s">
        <v>3151</v>
      </c>
      <c r="S494" s="223">
        <f>K490-S490-S491-S492-S493</f>
        <v>44</v>
      </c>
      <c r="T494" s="131"/>
      <c r="U494" s="78"/>
      <c r="V494" s="78"/>
      <c r="W494" s="232"/>
      <c r="X494" s="233"/>
      <c r="Y494" s="212"/>
      <c r="Z494" s="350"/>
      <c r="AA494" s="195"/>
      <c r="AB494" s="132">
        <v>46242</v>
      </c>
      <c r="AC494" s="132"/>
    </row>
    <row r="495" spans="3:29" s="79" customFormat="1" ht="21.6" customHeight="1">
      <c r="C495" s="249" t="str">
        <f t="shared" si="29"/>
        <v>Aug24-05</v>
      </c>
      <c r="D495" s="77">
        <f>IFERROR(VLOOKUP($AA495,PLAN!$B:$AA,3,0),"")</f>
        <v>11134125</v>
      </c>
      <c r="E495" s="77" t="str">
        <f>IFERROR(VLOOKUP($AA495,PLAN!$B:$AA,4,0),"")</f>
        <v>1811851-J-A</v>
      </c>
      <c r="F495" s="77" t="str">
        <f>IFERROR(VLOOKUP($AA495,PLAN!$B:$AA,5,0),"")</f>
        <v>HW60JR400P10000 CN</v>
      </c>
      <c r="G495" s="77" t="str">
        <f>IFERROR(VLOOKUP($AA495,PLAN!$B:$AA,2,0),"")</f>
        <v>1001936549</v>
      </c>
      <c r="H495" s="113">
        <f>IFERROR(VLOOKUP($AA495,PLAN!$B:$AA,7,0),"")</f>
        <v>46258</v>
      </c>
      <c r="I495" s="77" t="str">
        <f>IFERROR(VLOOKUP($AA495,PLAN!$B:$AA,8,0),"")</f>
        <v>0103592373</v>
      </c>
      <c r="J495" s="77" t="str">
        <f>IFERROR(VLOOKUP($AA495,PLAN!$B:$AA,9,0),"")</f>
        <v>260803C09A</v>
      </c>
      <c r="K495" s="77">
        <f>IFERROR(VLOOKUP($AA495,PLAN!$B:$AA,10,0),"")</f>
        <v>649</v>
      </c>
      <c r="L495" s="77" t="str">
        <f>IFERROR(VLOOKUP($AA495,PLAN!$B:$AA,15,0),"")</f>
        <v>CHINA</v>
      </c>
      <c r="M495" s="77">
        <f>IFERROR(VLOOKUP($AA495,PLAN!$B:$AA,18,0),"")</f>
        <v>3</v>
      </c>
      <c r="N495" s="227">
        <f>IFERROR(VLOOKUP($AA495,PLAN!$B:$AA,19,0),"")</f>
        <v>3</v>
      </c>
      <c r="O495" s="77" t="str">
        <f>IFERROR(VLOOKUP($AA495,PLAN!$B:$AA,12,0),"")</f>
        <v>2112061-0-C-CN</v>
      </c>
      <c r="P495" s="77">
        <f>IFERROR(VLOOKUP($AA495,PLAN!$B:$AA,11,0),"")</f>
        <v>12129992</v>
      </c>
      <c r="Q495" s="277" t="s">
        <v>3074</v>
      </c>
      <c r="R495" s="222" t="s">
        <v>3075</v>
      </c>
      <c r="S495" s="223">
        <v>39</v>
      </c>
      <c r="T495" s="131"/>
      <c r="U495" s="78">
        <f>IFERROR(VLOOKUP($AA495,PLAN!$B:$AA,21,0),"")</f>
        <v>46242</v>
      </c>
      <c r="V495" s="78" t="str">
        <f>IFERROR(VLOOKUP($AA495,PLAN!$B:$AA,22,0),"")</f>
        <v>M9</v>
      </c>
      <c r="W495" s="232"/>
      <c r="X495" s="233"/>
      <c r="Y495" s="212"/>
      <c r="Z495" s="350"/>
      <c r="AA495" s="195" t="s">
        <v>3122</v>
      </c>
      <c r="AB495" s="132">
        <f>VLOOKUP(AA495,PLAN!B:V,20,0)</f>
        <v>46242</v>
      </c>
      <c r="AC495" s="132"/>
    </row>
    <row r="496" spans="3:29" s="79" customFormat="1" ht="21.6" customHeight="1">
      <c r="C496" s="249"/>
      <c r="D496" s="77"/>
      <c r="E496" s="77"/>
      <c r="F496" s="77"/>
      <c r="G496" s="77"/>
      <c r="H496" s="113"/>
      <c r="I496" s="77"/>
      <c r="J496" s="77"/>
      <c r="K496" s="77"/>
      <c r="L496" s="77"/>
      <c r="M496" s="77"/>
      <c r="N496" s="227"/>
      <c r="O496" s="77"/>
      <c r="P496" s="77"/>
      <c r="Q496" s="277" t="s">
        <v>3152</v>
      </c>
      <c r="R496" s="149" t="s">
        <v>3153</v>
      </c>
      <c r="S496" s="223">
        <v>150</v>
      </c>
      <c r="T496" s="131"/>
      <c r="U496" s="78"/>
      <c r="V496" s="78"/>
      <c r="W496" s="232"/>
      <c r="X496" s="233"/>
      <c r="Y496" s="212"/>
      <c r="Z496" s="350"/>
      <c r="AA496" s="195"/>
      <c r="AB496" s="132">
        <v>46242</v>
      </c>
      <c r="AC496" s="132"/>
    </row>
    <row r="497" spans="3:29" s="79" customFormat="1" ht="21.6" customHeight="1">
      <c r="C497" s="249"/>
      <c r="D497" s="77"/>
      <c r="E497" s="77"/>
      <c r="F497" s="77"/>
      <c r="G497" s="77"/>
      <c r="H497" s="113"/>
      <c r="I497" s="77"/>
      <c r="J497" s="77"/>
      <c r="K497" s="77"/>
      <c r="L497" s="77"/>
      <c r="M497" s="77"/>
      <c r="N497" s="227"/>
      <c r="O497" s="77"/>
      <c r="P497" s="77"/>
      <c r="Q497" s="277" t="s">
        <v>3154</v>
      </c>
      <c r="R497" s="149" t="s">
        <v>3155</v>
      </c>
      <c r="S497" s="223">
        <v>150</v>
      </c>
      <c r="T497" s="131"/>
      <c r="U497" s="78"/>
      <c r="V497" s="78"/>
      <c r="W497" s="232"/>
      <c r="X497" s="233"/>
      <c r="Y497" s="212"/>
      <c r="Z497" s="350"/>
      <c r="AA497" s="195"/>
      <c r="AB497" s="132">
        <v>46242</v>
      </c>
      <c r="AC497" s="132"/>
    </row>
    <row r="498" spans="3:29" s="79" customFormat="1" ht="21.6" customHeight="1">
      <c r="C498" s="249"/>
      <c r="D498" s="77"/>
      <c r="E498" s="77"/>
      <c r="F498" s="77"/>
      <c r="G498" s="77"/>
      <c r="H498" s="113"/>
      <c r="I498" s="77"/>
      <c r="J498" s="77"/>
      <c r="K498" s="77"/>
      <c r="L498" s="77"/>
      <c r="M498" s="77"/>
      <c r="N498" s="227"/>
      <c r="O498" s="77"/>
      <c r="P498" s="77"/>
      <c r="Q498" s="277" t="s">
        <v>3156</v>
      </c>
      <c r="R498" s="222" t="s">
        <v>3157</v>
      </c>
      <c r="S498" s="223">
        <v>70</v>
      </c>
      <c r="T498" s="131"/>
      <c r="U498" s="78"/>
      <c r="V498" s="78"/>
      <c r="W498" s="232"/>
      <c r="X498" s="233"/>
      <c r="Y498" s="212"/>
      <c r="Z498" s="350"/>
      <c r="AA498" s="195"/>
      <c r="AB498" s="132">
        <v>46242</v>
      </c>
      <c r="AC498" s="132"/>
    </row>
    <row r="499" spans="3:29" s="79" customFormat="1" ht="21.6" customHeight="1">
      <c r="C499" s="249"/>
      <c r="D499" s="77"/>
      <c r="E499" s="77"/>
      <c r="F499" s="77"/>
      <c r="G499" s="77"/>
      <c r="H499" s="113"/>
      <c r="I499" s="77"/>
      <c r="J499" s="77"/>
      <c r="K499" s="77"/>
      <c r="L499" s="77"/>
      <c r="M499" s="77"/>
      <c r="N499" s="227"/>
      <c r="O499" s="77"/>
      <c r="P499" s="77"/>
      <c r="Q499" s="277" t="s">
        <v>3158</v>
      </c>
      <c r="R499" s="149" t="s">
        <v>3159</v>
      </c>
      <c r="S499" s="223">
        <v>150</v>
      </c>
      <c r="T499" s="131"/>
      <c r="U499" s="78"/>
      <c r="V499" s="78"/>
      <c r="W499" s="232"/>
      <c r="X499" s="233"/>
      <c r="Y499" s="212"/>
      <c r="Z499" s="350"/>
      <c r="AA499" s="195"/>
      <c r="AB499" s="132">
        <v>46242</v>
      </c>
      <c r="AC499" s="132"/>
    </row>
    <row r="500" spans="3:29" s="79" customFormat="1" ht="21.6" customHeight="1">
      <c r="C500" s="249"/>
      <c r="D500" s="77"/>
      <c r="E500" s="77"/>
      <c r="F500" s="77"/>
      <c r="G500" s="77"/>
      <c r="H500" s="113"/>
      <c r="I500" s="77"/>
      <c r="J500" s="77"/>
      <c r="K500" s="77"/>
      <c r="L500" s="77"/>
      <c r="M500" s="77"/>
      <c r="N500" s="227"/>
      <c r="O500" s="77"/>
      <c r="P500" s="77"/>
      <c r="Q500" s="277" t="s">
        <v>3160</v>
      </c>
      <c r="R500" s="149" t="s">
        <v>3161</v>
      </c>
      <c r="S500" s="223">
        <f>K495-S495-S496-S497-S498-S499</f>
        <v>90</v>
      </c>
      <c r="T500" s="131"/>
      <c r="U500" s="78"/>
      <c r="V500" s="78"/>
      <c r="W500" s="232"/>
      <c r="X500" s="233"/>
      <c r="Y500" s="212"/>
      <c r="Z500" s="350"/>
      <c r="AA500" s="195"/>
      <c r="AB500" s="132">
        <v>46242</v>
      </c>
      <c r="AC500" s="132"/>
    </row>
    <row r="501" spans="3:29" s="79" customFormat="1" ht="21.6" customHeight="1">
      <c r="C501" s="249" t="str">
        <f t="shared" ref="C501" si="31">AA501</f>
        <v>Aug24-06</v>
      </c>
      <c r="D501" s="77">
        <f>IFERROR(VLOOKUP($AA501,PLAN!$B:$AA,3,0),"")</f>
        <v>11134180</v>
      </c>
      <c r="E501" s="77" t="str">
        <f>IFERROR(VLOOKUP($AA501,PLAN!$B:$AA,4,0),"")</f>
        <v>1861006-G-A</v>
      </c>
      <c r="F501" s="77" t="str">
        <f>IFERROR(VLOOKUP($AA501,PLAN!$B:$AA,5,0),"")</f>
        <v>HW70AL100P10002 CN</v>
      </c>
      <c r="G501" s="77" t="str">
        <f>IFERROR(VLOOKUP($AA501,PLAN!$B:$AA,2,0),"")</f>
        <v>1001936550</v>
      </c>
      <c r="H501" s="113">
        <f>IFERROR(VLOOKUP($AA501,PLAN!$B:$AA,7,0),"")</f>
        <v>46258</v>
      </c>
      <c r="I501" s="77" t="str">
        <f>IFERROR(VLOOKUP($AA501,PLAN!$B:$AA,8,0),"")</f>
        <v>0103592374</v>
      </c>
      <c r="J501" s="77" t="str">
        <f>IFERROR(VLOOKUP($AA501,PLAN!$B:$AA,9,0),"")</f>
        <v>260803C10A</v>
      </c>
      <c r="K501" s="77">
        <f>IFERROR(VLOOKUP($AA501,PLAN!$B:$AA,10,0),"")</f>
        <v>40</v>
      </c>
      <c r="L501" s="77" t="str">
        <f>IFERROR(VLOOKUP($AA501,PLAN!$B:$AA,15,0),"")</f>
        <v>CHINA</v>
      </c>
      <c r="M501" s="77">
        <f>IFERROR(VLOOKUP($AA501,PLAN!$B:$AA,18,0),"")</f>
        <v>0</v>
      </c>
      <c r="N501" s="227">
        <f>IFERROR(VLOOKUP($AA501,PLAN!$B:$AA,19,0),"")</f>
        <v>0</v>
      </c>
      <c r="O501" s="77" t="str">
        <f>IFERROR(VLOOKUP($AA501,PLAN!$B:$AA,12,0),"")</f>
        <v>2112207-0-C-CN</v>
      </c>
      <c r="P501" s="77">
        <f>IFERROR(VLOOKUP($AA501,PLAN!$B:$AA,11,0),"")</f>
        <v>12130010</v>
      </c>
      <c r="Q501" s="148" t="s">
        <v>1707</v>
      </c>
      <c r="R501" s="222" t="s">
        <v>1708</v>
      </c>
      <c r="S501" s="149">
        <f t="shared" ref="S501" si="32">K501</f>
        <v>40</v>
      </c>
      <c r="T501" s="131"/>
      <c r="U501" s="78">
        <f>IFERROR(VLOOKUP($AA501,PLAN!$B:$AA,21,0),"")</f>
        <v>46242</v>
      </c>
      <c r="V501" s="78" t="str">
        <f>IFERROR(VLOOKUP($AA501,PLAN!$B:$AA,22,0),"")</f>
        <v>M9</v>
      </c>
      <c r="W501" s="232"/>
      <c r="X501" s="233"/>
      <c r="Y501" s="212"/>
      <c r="Z501" s="350"/>
      <c r="AA501" s="195" t="s">
        <v>3123</v>
      </c>
      <c r="AB501" s="132">
        <f>VLOOKUP(AA501,PLAN!B:V,20,0)</f>
        <v>46242</v>
      </c>
      <c r="AC501" s="132"/>
    </row>
    <row r="502" spans="3:29" s="79" customFormat="1" ht="21.6" customHeight="1">
      <c r="C502" s="249" t="str">
        <f t="shared" si="29"/>
        <v>Aug27-01</v>
      </c>
      <c r="D502" s="77">
        <f>IFERROR(VLOOKUP($AA502,PLAN!$B:$AA,3,0),"")</f>
        <v>11134562</v>
      </c>
      <c r="E502" s="77" t="str">
        <f>IFERROR(VLOOKUP($AA502,PLAN!$B:$AA,4,0),"")</f>
        <v>2041303-C-A</v>
      </c>
      <c r="F502" s="77" t="str">
        <f>IFERROR(VLOOKUP($AA502,PLAN!$B:$AA,5,0),"")</f>
        <v>MST125-27HFR CN</v>
      </c>
      <c r="G502" s="77" t="str">
        <f>IFERROR(VLOOKUP($AA502,PLAN!$B:$AA,2,0),"")</f>
        <v>1001936555</v>
      </c>
      <c r="H502" s="113">
        <f>IFERROR(VLOOKUP($AA502,PLAN!$B:$AA,7,0),"")</f>
        <v>46261</v>
      </c>
      <c r="I502" s="77" t="str">
        <f>IFERROR(VLOOKUP($AA502,PLAN!$B:$AA,8,0),"")</f>
        <v>0103592379</v>
      </c>
      <c r="J502" s="77" t="str">
        <f>IFERROR(VLOOKUP($AA502,PLAN!$B:$AA,9,0),"")</f>
        <v>260803K03A</v>
      </c>
      <c r="K502" s="77">
        <f>IFERROR(VLOOKUP($AA502,PLAN!$B:$AA,10,0),"")</f>
        <v>2392</v>
      </c>
      <c r="L502" s="77" t="str">
        <f>IFERROR(VLOOKUP($AA502,PLAN!$B:$AA,15,0),"")</f>
        <v>CHINA</v>
      </c>
      <c r="M502" s="77">
        <f>IFERROR(VLOOKUP($AA502,PLAN!$B:$AA,18,0),"")</f>
        <v>3</v>
      </c>
      <c r="N502" s="227">
        <f>IFERROR(VLOOKUP($AA502,PLAN!$B:$AA,19,0),"")</f>
        <v>3</v>
      </c>
      <c r="O502" s="77" t="str">
        <f>IFERROR(VLOOKUP($AA502,PLAN!$B:$AA,12,0),"")</f>
        <v>2042140-B-C-CN</v>
      </c>
      <c r="P502" s="77">
        <f>IFERROR(VLOOKUP($AA502,PLAN!$B:$AA,11,0),"")</f>
        <v>12129258</v>
      </c>
      <c r="Q502" s="277" t="s">
        <v>2927</v>
      </c>
      <c r="R502" s="222" t="s">
        <v>2928</v>
      </c>
      <c r="S502" s="223">
        <v>275</v>
      </c>
      <c r="T502" s="131"/>
      <c r="U502" s="78">
        <f>IFERROR(VLOOKUP($AA502,PLAN!$B:$AA,21,0),"")</f>
        <v>46247</v>
      </c>
      <c r="V502" s="78" t="str">
        <f>IFERROR(VLOOKUP($AA502,PLAN!$B:$AA,22,0),"")</f>
        <v>M8</v>
      </c>
      <c r="W502" s="232"/>
      <c r="X502" s="233"/>
      <c r="Y502" s="212"/>
      <c r="Z502" s="350"/>
      <c r="AA502" s="195" t="s">
        <v>3118</v>
      </c>
      <c r="AB502" s="132">
        <f>VLOOKUP(AA502,PLAN!B:V,20,0)</f>
        <v>46247</v>
      </c>
      <c r="AC502" s="132"/>
    </row>
    <row r="503" spans="3:29" s="79" customFormat="1" ht="21.6" customHeight="1">
      <c r="C503" s="249">
        <f t="shared" si="29"/>
        <v>0</v>
      </c>
      <c r="D503" s="77" t="str">
        <f>IFERROR(VLOOKUP($AA503,PLAN!$B:$AA,3,0),"")</f>
        <v/>
      </c>
      <c r="E503" s="77" t="str">
        <f>IFERROR(VLOOKUP($AA503,PLAN!$B:$AA,4,0),"")</f>
        <v/>
      </c>
      <c r="F503" s="77" t="str">
        <f>IFERROR(VLOOKUP($AA503,PLAN!$B:$AA,5,0),"")</f>
        <v/>
      </c>
      <c r="G503" s="77" t="str">
        <f>IFERROR(VLOOKUP($AA503,PLAN!$B:$AA,2,0),"")</f>
        <v/>
      </c>
      <c r="H503" s="113" t="str">
        <f>IFERROR(VLOOKUP($AA503,PLAN!$B:$AA,7,0),"")</f>
        <v/>
      </c>
      <c r="I503" s="77" t="str">
        <f>IFERROR(VLOOKUP($AA503,PLAN!$B:$AA,8,0),"")</f>
        <v/>
      </c>
      <c r="J503" s="77" t="str">
        <f>IFERROR(VLOOKUP($AA503,PLAN!$B:$AA,9,0),"")</f>
        <v/>
      </c>
      <c r="K503" s="77" t="str">
        <f>IFERROR(VLOOKUP($AA503,PLAN!$B:$AA,10,0),"")</f>
        <v/>
      </c>
      <c r="L503" s="77" t="str">
        <f>IFERROR(VLOOKUP($AA503,PLAN!$B:$AA,15,0),"")</f>
        <v/>
      </c>
      <c r="M503" s="77" t="str">
        <f>IFERROR(VLOOKUP($AA503,PLAN!$B:$AA,18,0),"")</f>
        <v/>
      </c>
      <c r="N503" s="227" t="str">
        <f>IFERROR(VLOOKUP($AA503,PLAN!$B:$AA,19,0),"")</f>
        <v/>
      </c>
      <c r="O503" s="77" t="str">
        <f>IFERROR(VLOOKUP($AA503,PLAN!$B:$AA,12,0),"")</f>
        <v/>
      </c>
      <c r="P503" s="77" t="str">
        <f>IFERROR(VLOOKUP($AA503,PLAN!$B:$AA,11,0),"")</f>
        <v/>
      </c>
      <c r="Q503" s="277" t="s">
        <v>3168</v>
      </c>
      <c r="R503" s="149" t="s">
        <v>3169</v>
      </c>
      <c r="S503" s="223">
        <v>304</v>
      </c>
      <c r="T503" s="131"/>
      <c r="U503" s="78" t="str">
        <f>IFERROR(VLOOKUP($AA503,PLAN!$B:$AA,21,0),"")</f>
        <v/>
      </c>
      <c r="V503" s="78" t="str">
        <f>IFERROR(VLOOKUP($AA503,PLAN!$B:$AA,22,0),"")</f>
        <v/>
      </c>
      <c r="W503" s="232"/>
      <c r="X503" s="233"/>
      <c r="Y503" s="212"/>
      <c r="Z503" s="350"/>
      <c r="AA503" s="195"/>
      <c r="AB503" s="132">
        <v>46247</v>
      </c>
      <c r="AC503" s="132"/>
    </row>
    <row r="504" spans="3:29" s="79" customFormat="1" ht="21.6" customHeight="1">
      <c r="C504" s="249">
        <f t="shared" si="29"/>
        <v>0</v>
      </c>
      <c r="D504" s="77" t="str">
        <f>IFERROR(VLOOKUP($AA504,PLAN!$B:$AA,3,0),"")</f>
        <v/>
      </c>
      <c r="E504" s="77" t="str">
        <f>IFERROR(VLOOKUP($AA504,PLAN!$B:$AA,4,0),"")</f>
        <v/>
      </c>
      <c r="F504" s="77" t="str">
        <f>IFERROR(VLOOKUP($AA504,PLAN!$B:$AA,5,0),"")</f>
        <v/>
      </c>
      <c r="G504" s="77" t="str">
        <f>IFERROR(VLOOKUP($AA504,PLAN!$B:$AA,2,0),"")</f>
        <v/>
      </c>
      <c r="H504" s="113" t="str">
        <f>IFERROR(VLOOKUP($AA504,PLAN!$B:$AA,7,0),"")</f>
        <v/>
      </c>
      <c r="I504" s="77" t="str">
        <f>IFERROR(VLOOKUP($AA504,PLAN!$B:$AA,8,0),"")</f>
        <v/>
      </c>
      <c r="J504" s="77" t="str">
        <f>IFERROR(VLOOKUP($AA504,PLAN!$B:$AA,9,0),"")</f>
        <v/>
      </c>
      <c r="K504" s="77" t="str">
        <f>IFERROR(VLOOKUP($AA504,PLAN!$B:$AA,10,0),"")</f>
        <v/>
      </c>
      <c r="L504" s="77" t="str">
        <f>IFERROR(VLOOKUP($AA504,PLAN!$B:$AA,15,0),"")</f>
        <v/>
      </c>
      <c r="M504" s="77" t="str">
        <f>IFERROR(VLOOKUP($AA504,PLAN!$B:$AA,18,0),"")</f>
        <v/>
      </c>
      <c r="N504" s="227" t="str">
        <f>IFERROR(VLOOKUP($AA504,PLAN!$B:$AA,19,0),"")</f>
        <v/>
      </c>
      <c r="O504" s="77" t="str">
        <f>IFERROR(VLOOKUP($AA504,PLAN!$B:$AA,12,0),"")</f>
        <v/>
      </c>
      <c r="P504" s="77" t="str">
        <f>IFERROR(VLOOKUP($AA504,PLAN!$B:$AA,11,0),"")</f>
        <v/>
      </c>
      <c r="Q504" s="349" t="s">
        <v>3170</v>
      </c>
      <c r="R504" s="222" t="s">
        <v>3171</v>
      </c>
      <c r="S504" s="223">
        <v>304</v>
      </c>
      <c r="T504" s="131"/>
      <c r="U504" s="78" t="str">
        <f>IFERROR(VLOOKUP($AA504,PLAN!$B:$AA,21,0),"")</f>
        <v/>
      </c>
      <c r="V504" s="78" t="str">
        <f>IFERROR(VLOOKUP($AA504,PLAN!$B:$AA,22,0),"")</f>
        <v/>
      </c>
      <c r="W504" s="232"/>
      <c r="X504" s="233"/>
      <c r="Y504" s="212"/>
      <c r="Z504" s="350"/>
      <c r="AA504" s="195"/>
      <c r="AB504" s="132">
        <v>46247</v>
      </c>
      <c r="AC504" s="132"/>
    </row>
    <row r="505" spans="3:29" s="79" customFormat="1" ht="21.6" customHeight="1">
      <c r="C505" s="249">
        <f t="shared" si="29"/>
        <v>0</v>
      </c>
      <c r="D505" s="77" t="str">
        <f>IFERROR(VLOOKUP($AA505,PLAN!$B:$AA,3,0),"")</f>
        <v/>
      </c>
      <c r="E505" s="77" t="str">
        <f>IFERROR(VLOOKUP($AA505,PLAN!$B:$AA,4,0),"")</f>
        <v/>
      </c>
      <c r="F505" s="77" t="str">
        <f>IFERROR(VLOOKUP($AA505,PLAN!$B:$AA,5,0),"")</f>
        <v/>
      </c>
      <c r="G505" s="77" t="str">
        <f>IFERROR(VLOOKUP($AA505,PLAN!$B:$AA,2,0),"")</f>
        <v/>
      </c>
      <c r="H505" s="113" t="str">
        <f>IFERROR(VLOOKUP($AA505,PLAN!$B:$AA,7,0),"")</f>
        <v/>
      </c>
      <c r="I505" s="77" t="str">
        <f>IFERROR(VLOOKUP($AA505,PLAN!$B:$AA,8,0),"")</f>
        <v/>
      </c>
      <c r="J505" s="77" t="str">
        <f>IFERROR(VLOOKUP($AA505,PLAN!$B:$AA,9,0),"")</f>
        <v/>
      </c>
      <c r="K505" s="77" t="str">
        <f>IFERROR(VLOOKUP($AA505,PLAN!$B:$AA,10,0),"")</f>
        <v/>
      </c>
      <c r="L505" s="77" t="str">
        <f>IFERROR(VLOOKUP($AA505,PLAN!$B:$AA,15,0),"")</f>
        <v/>
      </c>
      <c r="M505" s="77" t="str">
        <f>IFERROR(VLOOKUP($AA505,PLAN!$B:$AA,18,0),"")</f>
        <v/>
      </c>
      <c r="N505" s="227" t="str">
        <f>IFERROR(VLOOKUP($AA505,PLAN!$B:$AA,19,0),"")</f>
        <v/>
      </c>
      <c r="O505" s="77" t="str">
        <f>IFERROR(VLOOKUP($AA505,PLAN!$B:$AA,12,0),"")</f>
        <v/>
      </c>
      <c r="P505" s="77" t="str">
        <f>IFERROR(VLOOKUP($AA505,PLAN!$B:$AA,11,0),"")</f>
        <v/>
      </c>
      <c r="Q505" s="349" t="s">
        <v>3172</v>
      </c>
      <c r="R505" s="149" t="s">
        <v>3173</v>
      </c>
      <c r="S505" s="223">
        <v>304</v>
      </c>
      <c r="T505" s="131"/>
      <c r="U505" s="78" t="str">
        <f>IFERROR(VLOOKUP($AA505,PLAN!$B:$AA,21,0),"")</f>
        <v/>
      </c>
      <c r="V505" s="78" t="str">
        <f>IFERROR(VLOOKUP($AA505,PLAN!$B:$AA,22,0),"")</f>
        <v/>
      </c>
      <c r="W505" s="232"/>
      <c r="X505" s="233"/>
      <c r="Y505" s="212"/>
      <c r="Z505" s="350"/>
      <c r="AA505" s="195"/>
      <c r="AB505" s="132">
        <v>46247</v>
      </c>
      <c r="AC505" s="132"/>
    </row>
    <row r="506" spans="3:29" s="79" customFormat="1" ht="21.6" customHeight="1">
      <c r="C506" s="249">
        <f t="shared" si="29"/>
        <v>0</v>
      </c>
      <c r="D506" s="77" t="str">
        <f>IFERROR(VLOOKUP($AA506,PLAN!$B:$AA,3,0),"")</f>
        <v/>
      </c>
      <c r="E506" s="77" t="str">
        <f>IFERROR(VLOOKUP($AA506,PLAN!$B:$AA,4,0),"")</f>
        <v/>
      </c>
      <c r="F506" s="77" t="str">
        <f>IFERROR(VLOOKUP($AA506,PLAN!$B:$AA,5,0),"")</f>
        <v/>
      </c>
      <c r="G506" s="77" t="str">
        <f>IFERROR(VLOOKUP($AA506,PLAN!$B:$AA,2,0),"")</f>
        <v/>
      </c>
      <c r="H506" s="113" t="str">
        <f>IFERROR(VLOOKUP($AA506,PLAN!$B:$AA,7,0),"")</f>
        <v/>
      </c>
      <c r="I506" s="77" t="str">
        <f>IFERROR(VLOOKUP($AA506,PLAN!$B:$AA,8,0),"")</f>
        <v/>
      </c>
      <c r="J506" s="77" t="str">
        <f>IFERROR(VLOOKUP($AA506,PLAN!$B:$AA,9,0),"")</f>
        <v/>
      </c>
      <c r="K506" s="77" t="str">
        <f>IFERROR(VLOOKUP($AA506,PLAN!$B:$AA,10,0),"")</f>
        <v/>
      </c>
      <c r="L506" s="77" t="str">
        <f>IFERROR(VLOOKUP($AA506,PLAN!$B:$AA,15,0),"")</f>
        <v/>
      </c>
      <c r="M506" s="77" t="str">
        <f>IFERROR(VLOOKUP($AA506,PLAN!$B:$AA,18,0),"")</f>
        <v/>
      </c>
      <c r="N506" s="227" t="str">
        <f>IFERROR(VLOOKUP($AA506,PLAN!$B:$AA,19,0),"")</f>
        <v/>
      </c>
      <c r="O506" s="77" t="str">
        <f>IFERROR(VLOOKUP($AA506,PLAN!$B:$AA,12,0),"")</f>
        <v/>
      </c>
      <c r="P506" s="77" t="str">
        <f>IFERROR(VLOOKUP($AA506,PLAN!$B:$AA,11,0),"")</f>
        <v/>
      </c>
      <c r="Q506" s="349" t="s">
        <v>3174</v>
      </c>
      <c r="R506" s="149" t="s">
        <v>3175</v>
      </c>
      <c r="S506" s="223">
        <v>304</v>
      </c>
      <c r="T506" s="131"/>
      <c r="U506" s="78" t="str">
        <f>IFERROR(VLOOKUP($AA506,PLAN!$B:$AA,21,0),"")</f>
        <v/>
      </c>
      <c r="V506" s="78" t="str">
        <f>IFERROR(VLOOKUP($AA506,PLAN!$B:$AA,22,0),"")</f>
        <v/>
      </c>
      <c r="W506" s="232"/>
      <c r="X506" s="233"/>
      <c r="Y506" s="212"/>
      <c r="Z506" s="350"/>
      <c r="AA506" s="195"/>
      <c r="AB506" s="132">
        <v>46247</v>
      </c>
      <c r="AC506" s="132"/>
    </row>
    <row r="507" spans="3:29" s="79" customFormat="1" ht="21.6" customHeight="1">
      <c r="C507" s="249">
        <f t="shared" si="29"/>
        <v>0</v>
      </c>
      <c r="D507" s="77" t="str">
        <f>IFERROR(VLOOKUP($AA507,PLAN!$B:$AA,3,0),"")</f>
        <v/>
      </c>
      <c r="E507" s="77" t="str">
        <f>IFERROR(VLOOKUP($AA507,PLAN!$B:$AA,4,0),"")</f>
        <v/>
      </c>
      <c r="F507" s="77" t="str">
        <f>IFERROR(VLOOKUP($AA507,PLAN!$B:$AA,5,0),"")</f>
        <v/>
      </c>
      <c r="G507" s="77" t="str">
        <f>IFERROR(VLOOKUP($AA507,PLAN!$B:$AA,2,0),"")</f>
        <v/>
      </c>
      <c r="H507" s="113" t="str">
        <f>IFERROR(VLOOKUP($AA507,PLAN!$B:$AA,7,0),"")</f>
        <v/>
      </c>
      <c r="I507" s="77" t="str">
        <f>IFERROR(VLOOKUP($AA507,PLAN!$B:$AA,8,0),"")</f>
        <v/>
      </c>
      <c r="J507" s="77" t="str">
        <f>IFERROR(VLOOKUP($AA507,PLAN!$B:$AA,9,0),"")</f>
        <v/>
      </c>
      <c r="K507" s="77" t="str">
        <f>IFERROR(VLOOKUP($AA507,PLAN!$B:$AA,10,0),"")</f>
        <v/>
      </c>
      <c r="L507" s="77" t="str">
        <f>IFERROR(VLOOKUP($AA507,PLAN!$B:$AA,15,0),"")</f>
        <v/>
      </c>
      <c r="M507" s="77" t="str">
        <f>IFERROR(VLOOKUP($AA507,PLAN!$B:$AA,18,0),"")</f>
        <v/>
      </c>
      <c r="N507" s="227" t="str">
        <f>IFERROR(VLOOKUP($AA507,PLAN!$B:$AA,19,0),"")</f>
        <v/>
      </c>
      <c r="O507" s="77" t="str">
        <f>IFERROR(VLOOKUP($AA507,PLAN!$B:$AA,12,0),"")</f>
        <v/>
      </c>
      <c r="P507" s="77" t="str">
        <f>IFERROR(VLOOKUP($AA507,PLAN!$B:$AA,11,0),"")</f>
        <v/>
      </c>
      <c r="Q507" s="349" t="s">
        <v>3176</v>
      </c>
      <c r="R507" s="149" t="s">
        <v>3177</v>
      </c>
      <c r="S507" s="223">
        <v>304</v>
      </c>
      <c r="T507" s="131"/>
      <c r="U507" s="78" t="str">
        <f>IFERROR(VLOOKUP($AA507,PLAN!$B:$AA,21,0),"")</f>
        <v/>
      </c>
      <c r="V507" s="78" t="str">
        <f>IFERROR(VLOOKUP($AA507,PLAN!$B:$AA,22,0),"")</f>
        <v/>
      </c>
      <c r="W507" s="232"/>
      <c r="X507" s="233"/>
      <c r="Y507" s="212"/>
      <c r="Z507" s="350"/>
      <c r="AA507" s="195"/>
      <c r="AB507" s="132">
        <v>46247</v>
      </c>
      <c r="AC507" s="132"/>
    </row>
    <row r="508" spans="3:29" s="79" customFormat="1" ht="21.6" customHeight="1">
      <c r="C508" s="249">
        <f t="shared" si="29"/>
        <v>0</v>
      </c>
      <c r="D508" s="77" t="str">
        <f>IFERROR(VLOOKUP($AA508,PLAN!$B:$AA,3,0),"")</f>
        <v/>
      </c>
      <c r="E508" s="77" t="str">
        <f>IFERROR(VLOOKUP($AA508,PLAN!$B:$AA,4,0),"")</f>
        <v/>
      </c>
      <c r="F508" s="77" t="str">
        <f>IFERROR(VLOOKUP($AA508,PLAN!$B:$AA,5,0),"")</f>
        <v/>
      </c>
      <c r="G508" s="77" t="str">
        <f>IFERROR(VLOOKUP($AA508,PLAN!$B:$AA,2,0),"")</f>
        <v/>
      </c>
      <c r="H508" s="113" t="str">
        <f>IFERROR(VLOOKUP($AA508,PLAN!$B:$AA,7,0),"")</f>
        <v/>
      </c>
      <c r="I508" s="77" t="str">
        <f>IFERROR(VLOOKUP($AA508,PLAN!$B:$AA,8,0),"")</f>
        <v/>
      </c>
      <c r="J508" s="77" t="str">
        <f>IFERROR(VLOOKUP($AA508,PLAN!$B:$AA,9,0),"")</f>
        <v/>
      </c>
      <c r="K508" s="77" t="str">
        <f>IFERROR(VLOOKUP($AA508,PLAN!$B:$AA,10,0),"")</f>
        <v/>
      </c>
      <c r="L508" s="77" t="str">
        <f>IFERROR(VLOOKUP($AA508,PLAN!$B:$AA,15,0),"")</f>
        <v/>
      </c>
      <c r="M508" s="77" t="str">
        <f>IFERROR(VLOOKUP($AA508,PLAN!$B:$AA,18,0),"")</f>
        <v/>
      </c>
      <c r="N508" s="227" t="str">
        <f>IFERROR(VLOOKUP($AA508,PLAN!$B:$AA,19,0),"")</f>
        <v/>
      </c>
      <c r="O508" s="77" t="str">
        <f>IFERROR(VLOOKUP($AA508,PLAN!$B:$AA,12,0),"")</f>
        <v/>
      </c>
      <c r="P508" s="77" t="str">
        <f>IFERROR(VLOOKUP($AA508,PLAN!$B:$AA,11,0),"")</f>
        <v/>
      </c>
      <c r="Q508" s="349" t="s">
        <v>3178</v>
      </c>
      <c r="R508" s="149" t="s">
        <v>3179</v>
      </c>
      <c r="S508" s="223">
        <v>303</v>
      </c>
      <c r="T508" s="131"/>
      <c r="U508" s="78" t="str">
        <f>IFERROR(VLOOKUP($AA508,PLAN!$B:$AA,21,0),"")</f>
        <v/>
      </c>
      <c r="V508" s="78" t="str">
        <f>IFERROR(VLOOKUP($AA508,PLAN!$B:$AA,22,0),"")</f>
        <v/>
      </c>
      <c r="W508" s="232"/>
      <c r="X508" s="233"/>
      <c r="Y508" s="212"/>
      <c r="Z508" s="350"/>
      <c r="AA508" s="195"/>
      <c r="AB508" s="132">
        <v>46247</v>
      </c>
      <c r="AC508" s="132"/>
    </row>
    <row r="509" spans="3:29" s="79" customFormat="1" ht="21.6" customHeight="1">
      <c r="C509" s="249">
        <f t="shared" si="29"/>
        <v>0</v>
      </c>
      <c r="D509" s="77" t="str">
        <f>IFERROR(VLOOKUP($AA509,PLAN!$B:$AA,3,0),"")</f>
        <v/>
      </c>
      <c r="E509" s="77" t="str">
        <f>IFERROR(VLOOKUP($AA509,PLAN!$B:$AA,4,0),"")</f>
        <v/>
      </c>
      <c r="F509" s="77" t="str">
        <f>IFERROR(VLOOKUP($AA509,PLAN!$B:$AA,5,0),"")</f>
        <v/>
      </c>
      <c r="G509" s="77" t="str">
        <f>IFERROR(VLOOKUP($AA509,PLAN!$B:$AA,2,0),"")</f>
        <v/>
      </c>
      <c r="H509" s="113" t="str">
        <f>IFERROR(VLOOKUP($AA509,PLAN!$B:$AA,7,0),"")</f>
        <v/>
      </c>
      <c r="I509" s="77" t="str">
        <f>IFERROR(VLOOKUP($AA509,PLAN!$B:$AA,8,0),"")</f>
        <v/>
      </c>
      <c r="J509" s="77" t="str">
        <f>IFERROR(VLOOKUP($AA509,PLAN!$B:$AA,9,0),"")</f>
        <v/>
      </c>
      <c r="K509" s="77" t="str">
        <f>IFERROR(VLOOKUP($AA509,PLAN!$B:$AA,10,0),"")</f>
        <v/>
      </c>
      <c r="L509" s="77" t="str">
        <f>IFERROR(VLOOKUP($AA509,PLAN!$B:$AA,15,0),"")</f>
        <v/>
      </c>
      <c r="M509" s="77" t="str">
        <f>IFERROR(VLOOKUP($AA509,PLAN!$B:$AA,18,0),"")</f>
        <v/>
      </c>
      <c r="N509" s="227" t="str">
        <f>IFERROR(VLOOKUP($AA509,PLAN!$B:$AA,19,0),"")</f>
        <v/>
      </c>
      <c r="O509" s="77" t="str">
        <f>IFERROR(VLOOKUP($AA509,PLAN!$B:$AA,12,0),"")</f>
        <v/>
      </c>
      <c r="P509" s="77" t="str">
        <f>IFERROR(VLOOKUP($AA509,PLAN!$B:$AA,11,0),"")</f>
        <v/>
      </c>
      <c r="Q509" s="349" t="s">
        <v>3180</v>
      </c>
      <c r="R509" s="149" t="s">
        <v>3181</v>
      </c>
      <c r="S509" s="223">
        <f>K502-S502-S503-S504-S505-S506-S507-S508</f>
        <v>294</v>
      </c>
      <c r="T509" s="131"/>
      <c r="U509" s="78" t="str">
        <f>IFERROR(VLOOKUP($AA509,PLAN!$B:$AA,21,0),"")</f>
        <v/>
      </c>
      <c r="V509" s="78" t="str">
        <f>IFERROR(VLOOKUP($AA509,PLAN!$B:$AA,22,0),"")</f>
        <v/>
      </c>
      <c r="W509" s="232"/>
      <c r="X509" s="233"/>
      <c r="Y509" s="212"/>
      <c r="Z509" s="350"/>
      <c r="AA509" s="195"/>
      <c r="AB509" s="132">
        <v>46247</v>
      </c>
      <c r="AC509" s="132"/>
    </row>
    <row r="510" spans="3:29" s="79" customFormat="1" ht="21.6" customHeight="1">
      <c r="C510" s="249" t="str">
        <f>AA510</f>
        <v>Aug24-07</v>
      </c>
      <c r="D510" s="77">
        <f>IFERROR(VLOOKUP($AA510,PLAN!$B:$AA,3,0),"")</f>
        <v>11134148</v>
      </c>
      <c r="E510" s="77" t="str">
        <f>IFERROR(VLOOKUP($AA510,PLAN!$B:$AA,4,0),"")</f>
        <v>1811909-L-A</v>
      </c>
      <c r="F510" s="77" t="str">
        <f>IFERROR(VLOOKUP($AA510,PLAN!$B:$AA,5,0),"")</f>
        <v>HW60SP350P10000 CN</v>
      </c>
      <c r="G510" s="77" t="str">
        <f>IFERROR(VLOOKUP($AA510,PLAN!$B:$AA,2,0),"")</f>
        <v>1001936551</v>
      </c>
      <c r="H510" s="113">
        <f>IFERROR(VLOOKUP($AA510,PLAN!$B:$AA,7,0),"")</f>
        <v>46258</v>
      </c>
      <c r="I510" s="77" t="str">
        <f>IFERROR(VLOOKUP($AA510,PLAN!$B:$AA,8,0),"")</f>
        <v>0103592375</v>
      </c>
      <c r="J510" s="77" t="str">
        <f>IFERROR(VLOOKUP($AA510,PLAN!$B:$AA,9,0),"")</f>
        <v>260803C11A</v>
      </c>
      <c r="K510" s="77">
        <f>IFERROR(VLOOKUP($AA510,PLAN!$B:$AA,10,0),"")</f>
        <v>12</v>
      </c>
      <c r="L510" s="77" t="str">
        <f>IFERROR(VLOOKUP($AA510,PLAN!$B:$AA,15,0),"")</f>
        <v>CHINA</v>
      </c>
      <c r="M510" s="77">
        <f>IFERROR(VLOOKUP($AA510,PLAN!$B:$AA,18,0),"")</f>
        <v>3</v>
      </c>
      <c r="N510" s="227">
        <f>IFERROR(VLOOKUP($AA510,PLAN!$B:$AA,19,0),"")</f>
        <v>3</v>
      </c>
      <c r="O510" s="77" t="str">
        <f>IFERROR(VLOOKUP($AA510,PLAN!$B:$AA,12,0),"")</f>
        <v>2112099-0-C-CN</v>
      </c>
      <c r="P510" s="77">
        <f>IFERROR(VLOOKUP($AA510,PLAN!$B:$AA,11,0),"")</f>
        <v>12129995</v>
      </c>
      <c r="Q510" s="277" t="s">
        <v>3076</v>
      </c>
      <c r="R510" s="149" t="s">
        <v>3077</v>
      </c>
      <c r="S510" s="149">
        <f>K510</f>
        <v>12</v>
      </c>
      <c r="T510" s="131"/>
      <c r="U510" s="78">
        <f>IFERROR(VLOOKUP($AA510,PLAN!$B:$AA,21,0),"")</f>
        <v>46247</v>
      </c>
      <c r="V510" s="78" t="str">
        <f>IFERROR(VLOOKUP($AA510,PLAN!$B:$AA,22,0),"")</f>
        <v>M9</v>
      </c>
      <c r="W510" s="232"/>
      <c r="X510" s="233"/>
      <c r="Y510" s="212"/>
      <c r="Z510" s="350"/>
      <c r="AA510" s="195" t="s">
        <v>3124</v>
      </c>
      <c r="AB510" s="132">
        <f>VLOOKUP(AA510,PLAN!B:V,20,0)</f>
        <v>46247</v>
      </c>
      <c r="AC510" s="132"/>
    </row>
    <row r="511" spans="3:29" s="79" customFormat="1" ht="21.6" customHeight="1">
      <c r="C511" s="249" t="str">
        <f>AA511</f>
        <v>Aug24-08</v>
      </c>
      <c r="D511" s="77">
        <f>IFERROR(VLOOKUP($AA511,PLAN!$B:$AA,3,0),"")</f>
        <v>11134146</v>
      </c>
      <c r="E511" s="77" t="str">
        <f>IFERROR(VLOOKUP($AA511,PLAN!$B:$AA,4,0),"")</f>
        <v>1811907-L-A</v>
      </c>
      <c r="F511" s="77" t="str">
        <f>IFERROR(VLOOKUP($AA511,PLAN!$B:$AA,5,0),"")</f>
        <v>HW60SP300P10000 CN</v>
      </c>
      <c r="G511" s="77" t="str">
        <f>IFERROR(VLOOKUP($AA511,PLAN!$B:$AA,2,0),"")</f>
        <v>1001936552</v>
      </c>
      <c r="H511" s="113">
        <f>IFERROR(VLOOKUP($AA511,PLAN!$B:$AA,7,0),"")</f>
        <v>46258</v>
      </c>
      <c r="I511" s="77" t="str">
        <f>IFERROR(VLOOKUP($AA511,PLAN!$B:$AA,8,0),"")</f>
        <v>0103592376</v>
      </c>
      <c r="J511" s="77" t="str">
        <f>IFERROR(VLOOKUP($AA511,PLAN!$B:$AA,9,0),"")</f>
        <v>260803C12A</v>
      </c>
      <c r="K511" s="77">
        <f>IFERROR(VLOOKUP($AA511,PLAN!$B:$AA,10,0),"")</f>
        <v>474</v>
      </c>
      <c r="L511" s="77" t="str">
        <f>IFERROR(VLOOKUP($AA511,PLAN!$B:$AA,15,0),"")</f>
        <v>CHINA</v>
      </c>
      <c r="M511" s="77">
        <f>IFERROR(VLOOKUP($AA511,PLAN!$B:$AA,18,0),"")</f>
        <v>0</v>
      </c>
      <c r="N511" s="227">
        <f>IFERROR(VLOOKUP($AA511,PLAN!$B:$AA,19,0),"")</f>
        <v>0</v>
      </c>
      <c r="O511" s="77" t="str">
        <f>IFERROR(VLOOKUP($AA511,PLAN!$B:$AA,12,0),"")</f>
        <v>2112095-0-C-CN</v>
      </c>
      <c r="P511" s="77">
        <f>IFERROR(VLOOKUP($AA511,PLAN!$B:$AA,11,0),"")</f>
        <v>12129994</v>
      </c>
      <c r="Q511" s="277" t="s">
        <v>3082</v>
      </c>
      <c r="R511" s="149" t="s">
        <v>3083</v>
      </c>
      <c r="S511" s="223">
        <v>33</v>
      </c>
      <c r="T511" s="131"/>
      <c r="U511" s="78">
        <f>IFERROR(VLOOKUP($AA511,PLAN!$B:$AA,21,0),"")</f>
        <v>46247</v>
      </c>
      <c r="V511" s="78" t="str">
        <f>IFERROR(VLOOKUP($AA511,PLAN!$B:$AA,22,0),"")</f>
        <v>M9</v>
      </c>
      <c r="W511" s="232"/>
      <c r="X511" s="233"/>
      <c r="Y511" s="212"/>
      <c r="Z511" s="350"/>
      <c r="AA511" s="195" t="s">
        <v>3125</v>
      </c>
      <c r="AB511" s="132">
        <f>VLOOKUP(AA511,PLAN!B:V,20,0)</f>
        <v>46247</v>
      </c>
      <c r="AC511" s="132"/>
    </row>
    <row r="512" spans="3:29" s="79" customFormat="1" ht="21.6" customHeight="1">
      <c r="C512" s="249">
        <f>AA512</f>
        <v>0</v>
      </c>
      <c r="D512" s="77" t="str">
        <f>IFERROR(VLOOKUP($AA512,PLAN!$B:$AA,3,0),"")</f>
        <v/>
      </c>
      <c r="E512" s="77" t="str">
        <f>IFERROR(VLOOKUP($AA512,PLAN!$B:$AA,4,0),"")</f>
        <v/>
      </c>
      <c r="F512" s="77" t="str">
        <f>IFERROR(VLOOKUP($AA512,PLAN!$B:$AA,5,0),"")</f>
        <v/>
      </c>
      <c r="G512" s="77" t="str">
        <f>IFERROR(VLOOKUP($AA512,PLAN!$B:$AA,2,0),"")</f>
        <v/>
      </c>
      <c r="H512" s="113" t="str">
        <f>IFERROR(VLOOKUP($AA512,PLAN!$B:$AA,7,0),"")</f>
        <v/>
      </c>
      <c r="I512" s="77" t="str">
        <f>IFERROR(VLOOKUP($AA512,PLAN!$B:$AA,8,0),"")</f>
        <v/>
      </c>
      <c r="J512" s="77" t="str">
        <f>IFERROR(VLOOKUP($AA512,PLAN!$B:$AA,9,0),"")</f>
        <v/>
      </c>
      <c r="K512" s="77" t="str">
        <f>IFERROR(VLOOKUP($AA512,PLAN!$B:$AA,10,0),"")</f>
        <v/>
      </c>
      <c r="L512" s="77" t="str">
        <f>IFERROR(VLOOKUP($AA512,PLAN!$B:$AA,15,0),"")</f>
        <v/>
      </c>
      <c r="M512" s="77" t="str">
        <f>IFERROR(VLOOKUP($AA512,PLAN!$B:$AA,18,0),"")</f>
        <v/>
      </c>
      <c r="N512" s="227" t="str">
        <f>IFERROR(VLOOKUP($AA512,PLAN!$B:$AA,19,0),"")</f>
        <v/>
      </c>
      <c r="O512" s="77" t="str">
        <f>IFERROR(VLOOKUP($AA512,PLAN!$B:$AA,12,0),"")</f>
        <v/>
      </c>
      <c r="P512" s="77" t="str">
        <f>IFERROR(VLOOKUP($AA512,PLAN!$B:$AA,11,0),"")</f>
        <v/>
      </c>
      <c r="Q512" s="277" t="s">
        <v>3162</v>
      </c>
      <c r="R512" s="149" t="s">
        <v>3163</v>
      </c>
      <c r="S512" s="223">
        <v>150</v>
      </c>
      <c r="T512" s="131"/>
      <c r="U512" s="78" t="str">
        <f>IFERROR(VLOOKUP($AA512,PLAN!$B:$AA,21,0),"")</f>
        <v/>
      </c>
      <c r="V512" s="78" t="str">
        <f>IFERROR(VLOOKUP($AA512,PLAN!$B:$AA,22,0),"")</f>
        <v/>
      </c>
      <c r="W512" s="232"/>
      <c r="X512" s="233"/>
      <c r="Y512" s="212"/>
      <c r="Z512" s="350"/>
      <c r="AA512" s="195"/>
      <c r="AB512" s="132">
        <v>46247</v>
      </c>
      <c r="AC512" s="132"/>
    </row>
    <row r="513" spans="3:29" s="79" customFormat="1" ht="21.6" customHeight="1">
      <c r="C513" s="249">
        <f>AA513</f>
        <v>0</v>
      </c>
      <c r="D513" s="77" t="str">
        <f>IFERROR(VLOOKUP($AA513,PLAN!$B:$AA,3,0),"")</f>
        <v/>
      </c>
      <c r="E513" s="77" t="str">
        <f>IFERROR(VLOOKUP($AA513,PLAN!$B:$AA,4,0),"")</f>
        <v/>
      </c>
      <c r="F513" s="77" t="str">
        <f>IFERROR(VLOOKUP($AA513,PLAN!$B:$AA,5,0),"")</f>
        <v/>
      </c>
      <c r="G513" s="77" t="str">
        <f>IFERROR(VLOOKUP($AA513,PLAN!$B:$AA,2,0),"")</f>
        <v/>
      </c>
      <c r="H513" s="113" t="str">
        <f>IFERROR(VLOOKUP($AA513,PLAN!$B:$AA,7,0),"")</f>
        <v/>
      </c>
      <c r="I513" s="77" t="str">
        <f>IFERROR(VLOOKUP($AA513,PLAN!$B:$AA,8,0),"")</f>
        <v/>
      </c>
      <c r="J513" s="77" t="str">
        <f>IFERROR(VLOOKUP($AA513,PLAN!$B:$AA,9,0),"")</f>
        <v/>
      </c>
      <c r="K513" s="77" t="str">
        <f>IFERROR(VLOOKUP($AA513,PLAN!$B:$AA,10,0),"")</f>
        <v/>
      </c>
      <c r="L513" s="77" t="str">
        <f>IFERROR(VLOOKUP($AA513,PLAN!$B:$AA,15,0),"")</f>
        <v/>
      </c>
      <c r="M513" s="77" t="str">
        <f>IFERROR(VLOOKUP($AA513,PLAN!$B:$AA,18,0),"")</f>
        <v/>
      </c>
      <c r="N513" s="227" t="str">
        <f>IFERROR(VLOOKUP($AA513,PLAN!$B:$AA,19,0),"")</f>
        <v/>
      </c>
      <c r="O513" s="77" t="str">
        <f>IFERROR(VLOOKUP($AA513,PLAN!$B:$AA,12,0),"")</f>
        <v/>
      </c>
      <c r="P513" s="77" t="str">
        <f>IFERROR(VLOOKUP($AA513,PLAN!$B:$AA,11,0),"")</f>
        <v/>
      </c>
      <c r="Q513" s="277" t="s">
        <v>3164</v>
      </c>
      <c r="R513" s="149" t="s">
        <v>3165</v>
      </c>
      <c r="S513" s="223">
        <v>150</v>
      </c>
      <c r="T513" s="131"/>
      <c r="U513" s="78" t="str">
        <f>IFERROR(VLOOKUP($AA513,PLAN!$B:$AA,21,0),"")</f>
        <v/>
      </c>
      <c r="V513" s="78" t="str">
        <f>IFERROR(VLOOKUP($AA513,PLAN!$B:$AA,22,0),"")</f>
        <v/>
      </c>
      <c r="W513" s="232"/>
      <c r="X513" s="233"/>
      <c r="Y513" s="212"/>
      <c r="Z513" s="350"/>
      <c r="AA513" s="195"/>
      <c r="AB513" s="132">
        <v>46247</v>
      </c>
      <c r="AC513" s="132"/>
    </row>
    <row r="514" spans="3:29" s="79" customFormat="1" ht="21.6" customHeight="1">
      <c r="C514" s="249">
        <f>AA514</f>
        <v>0</v>
      </c>
      <c r="D514" s="77" t="str">
        <f>IFERROR(VLOOKUP($AA514,PLAN!$B:$AA,3,0),"")</f>
        <v/>
      </c>
      <c r="E514" s="77" t="str">
        <f>IFERROR(VLOOKUP($AA514,PLAN!$B:$AA,4,0),"")</f>
        <v/>
      </c>
      <c r="F514" s="77" t="str">
        <f>IFERROR(VLOOKUP($AA514,PLAN!$B:$AA,5,0),"")</f>
        <v/>
      </c>
      <c r="G514" s="77" t="str">
        <f>IFERROR(VLOOKUP($AA514,PLAN!$B:$AA,2,0),"")</f>
        <v/>
      </c>
      <c r="H514" s="113" t="str">
        <f>IFERROR(VLOOKUP($AA514,PLAN!$B:$AA,7,0),"")</f>
        <v/>
      </c>
      <c r="I514" s="77" t="str">
        <f>IFERROR(VLOOKUP($AA514,PLAN!$B:$AA,8,0),"")</f>
        <v/>
      </c>
      <c r="J514" s="77" t="str">
        <f>IFERROR(VLOOKUP($AA514,PLAN!$B:$AA,9,0),"")</f>
        <v/>
      </c>
      <c r="K514" s="77" t="str">
        <f>IFERROR(VLOOKUP($AA514,PLAN!$B:$AA,10,0),"")</f>
        <v/>
      </c>
      <c r="L514" s="77" t="str">
        <f>IFERROR(VLOOKUP($AA514,PLAN!$B:$AA,15,0),"")</f>
        <v/>
      </c>
      <c r="M514" s="77" t="str">
        <f>IFERROR(VLOOKUP($AA514,PLAN!$B:$AA,18,0),"")</f>
        <v/>
      </c>
      <c r="N514" s="227" t="str">
        <f>IFERROR(VLOOKUP($AA514,PLAN!$B:$AA,19,0),"")</f>
        <v/>
      </c>
      <c r="O514" s="77" t="str">
        <f>IFERROR(VLOOKUP($AA514,PLAN!$B:$AA,12,0),"")</f>
        <v/>
      </c>
      <c r="P514" s="77" t="str">
        <f>IFERROR(VLOOKUP($AA514,PLAN!$B:$AA,11,0),"")</f>
        <v/>
      </c>
      <c r="Q514" s="277" t="s">
        <v>3166</v>
      </c>
      <c r="R514" s="149" t="s">
        <v>3167</v>
      </c>
      <c r="S514" s="223">
        <f>K511-S511-S512-S513</f>
        <v>141</v>
      </c>
      <c r="T514" s="131"/>
      <c r="U514" s="78" t="str">
        <f>IFERROR(VLOOKUP($AA514,PLAN!$B:$AA,21,0),"")</f>
        <v/>
      </c>
      <c r="V514" s="78" t="str">
        <f>IFERROR(VLOOKUP($AA514,PLAN!$B:$AA,22,0),"")</f>
        <v/>
      </c>
      <c r="W514" s="232"/>
      <c r="X514" s="233"/>
      <c r="Y514" s="212"/>
      <c r="Z514" s="350"/>
      <c r="AA514" s="195"/>
      <c r="AB514" s="132">
        <v>46247</v>
      </c>
      <c r="AC514" s="132"/>
    </row>
    <row r="515" spans="3:29" s="79" customFormat="1" ht="21.6" customHeight="1">
      <c r="C515" s="249" t="str">
        <f t="shared" si="29"/>
        <v>Aug21-07</v>
      </c>
      <c r="D515" s="77">
        <f>IFERROR(VLOOKUP($AA515,PLAN!$B:$AA,3,0),"")</f>
        <v>11134252</v>
      </c>
      <c r="E515" s="77" t="str">
        <f>IFERROR(VLOOKUP($AA515,PLAN!$B:$AA,4,0),"")</f>
        <v>1911069-F-A</v>
      </c>
      <c r="F515" s="77" t="str">
        <f>IFERROR(VLOOKUP($AA515,PLAN!$B:$AA,5,0),"")</f>
        <v>HJ60PB350P10000 JP</v>
      </c>
      <c r="G515" s="77" t="str">
        <f>IFERROR(VLOOKUP($AA515,PLAN!$B:$AA,2,0),"")</f>
        <v>1001938824</v>
      </c>
      <c r="H515" s="113">
        <f>IFERROR(VLOOKUP($AA515,PLAN!$B:$AA,7,0),"")</f>
        <v>46255</v>
      </c>
      <c r="I515" s="77" t="str">
        <f>IFERROR(VLOOKUP($AA515,PLAN!$B:$AA,8,0),"")</f>
        <v>0103596318</v>
      </c>
      <c r="J515" s="77" t="str">
        <f>IFERROR(VLOOKUP($AA515,PLAN!$B:$AA,9,0),"")</f>
        <v>260805C01A</v>
      </c>
      <c r="K515" s="77">
        <f>IFERROR(VLOOKUP($AA515,PLAN!$B:$AA,10,0),"")</f>
        <v>156</v>
      </c>
      <c r="L515" s="77" t="str">
        <f>IFERROR(VLOOKUP($AA515,PLAN!$B:$AA,15,0),"")</f>
        <v>JAPAN</v>
      </c>
      <c r="M515" s="77">
        <f>IFERROR(VLOOKUP($AA515,PLAN!$B:$AA,18,0),"")</f>
        <v>0</v>
      </c>
      <c r="N515" s="227">
        <f>IFERROR(VLOOKUP($AA515,PLAN!$B:$AA,19,0),"")</f>
        <v>0</v>
      </c>
      <c r="O515" s="77" t="str">
        <f>IFERROR(VLOOKUP($AA515,PLAN!$B:$AA,12,0),"")</f>
        <v>2112071-0-C</v>
      </c>
      <c r="P515" s="77">
        <f>IFERROR(VLOOKUP($AA515,PLAN!$B:$AA,11,0),"")</f>
        <v>12116036</v>
      </c>
      <c r="Q515" s="349" t="s">
        <v>2196</v>
      </c>
      <c r="R515" s="149" t="s">
        <v>2197</v>
      </c>
      <c r="S515" s="223">
        <v>133</v>
      </c>
      <c r="T515" s="131"/>
      <c r="U515" s="78">
        <f>IFERROR(VLOOKUP($AA515,PLAN!$B:$AA,21,0),"")</f>
        <v>46247</v>
      </c>
      <c r="V515" s="78" t="str">
        <f>IFERROR(VLOOKUP($AA515,PLAN!$B:$AA,22,0),"")</f>
        <v>M10</v>
      </c>
      <c r="W515" s="232"/>
      <c r="X515" s="233"/>
      <c r="Y515" s="212"/>
      <c r="Z515" s="350"/>
      <c r="AA515" s="195" t="s">
        <v>3207</v>
      </c>
      <c r="AB515" s="132">
        <f>VLOOKUP(AA515,PLAN!B:V,20,0)</f>
        <v>46247</v>
      </c>
      <c r="AC515" s="132"/>
    </row>
    <row r="516" spans="3:29" s="79" customFormat="1" ht="21.6" customHeight="1">
      <c r="C516" s="249">
        <f t="shared" si="29"/>
        <v>0</v>
      </c>
      <c r="D516" s="77" t="str">
        <f>IFERROR(VLOOKUP($AA516,PLAN!$B:$AA,3,0),"")</f>
        <v/>
      </c>
      <c r="E516" s="77" t="str">
        <f>IFERROR(VLOOKUP($AA516,PLAN!$B:$AA,4,0),"")</f>
        <v/>
      </c>
      <c r="F516" s="77" t="str">
        <f>IFERROR(VLOOKUP($AA516,PLAN!$B:$AA,5,0),"")</f>
        <v/>
      </c>
      <c r="G516" s="77" t="str">
        <f>IFERROR(VLOOKUP($AA516,PLAN!$B:$AA,2,0),"")</f>
        <v/>
      </c>
      <c r="H516" s="113" t="str">
        <f>IFERROR(VLOOKUP($AA516,PLAN!$B:$AA,7,0),"")</f>
        <v/>
      </c>
      <c r="I516" s="77" t="str">
        <f>IFERROR(VLOOKUP($AA516,PLAN!$B:$AA,8,0),"")</f>
        <v/>
      </c>
      <c r="J516" s="77" t="str">
        <f>IFERROR(VLOOKUP($AA516,PLAN!$B:$AA,9,0),"")</f>
        <v/>
      </c>
      <c r="K516" s="77" t="str">
        <f>IFERROR(VLOOKUP($AA516,PLAN!$B:$AA,10,0),"")</f>
        <v/>
      </c>
      <c r="L516" s="77" t="str">
        <f>IFERROR(VLOOKUP($AA516,PLAN!$B:$AA,15,0),"")</f>
        <v/>
      </c>
      <c r="M516" s="77" t="str">
        <f>IFERROR(VLOOKUP($AA516,PLAN!$B:$AA,18,0),"")</f>
        <v/>
      </c>
      <c r="N516" s="227" t="str">
        <f>IFERROR(VLOOKUP($AA516,PLAN!$B:$AA,19,0),"")</f>
        <v/>
      </c>
      <c r="O516" s="77" t="str">
        <f>IFERROR(VLOOKUP($AA516,PLAN!$B:$AA,12,0),"")</f>
        <v/>
      </c>
      <c r="P516" s="77" t="str">
        <f>IFERROR(VLOOKUP($AA516,PLAN!$B:$AA,11,0),"")</f>
        <v/>
      </c>
      <c r="Q516" s="349" t="s">
        <v>3211</v>
      </c>
      <c r="R516" s="149" t="s">
        <v>3212</v>
      </c>
      <c r="S516" s="223">
        <f>K515-S515</f>
        <v>23</v>
      </c>
      <c r="T516" s="131"/>
      <c r="U516" s="78" t="str">
        <f>IFERROR(VLOOKUP($AA516,PLAN!$B:$AA,21,0),"")</f>
        <v/>
      </c>
      <c r="V516" s="78" t="str">
        <f>IFERROR(VLOOKUP($AA516,PLAN!$B:$AA,22,0),"")</f>
        <v/>
      </c>
      <c r="W516" s="232"/>
      <c r="X516" s="233"/>
      <c r="Y516" s="212"/>
      <c r="Z516" s="350"/>
      <c r="AA516" s="195"/>
      <c r="AB516" s="132">
        <v>46247</v>
      </c>
      <c r="AC516" s="132"/>
    </row>
    <row r="517" spans="3:29" s="79" customFormat="1" ht="21.6" customHeight="1">
      <c r="C517" s="249" t="str">
        <f t="shared" si="29"/>
        <v>Aug21-08</v>
      </c>
      <c r="D517" s="77">
        <f>IFERROR(VLOOKUP($AA517,PLAN!$B:$AA,3,0),"")</f>
        <v>11134256</v>
      </c>
      <c r="E517" s="77" t="str">
        <f>IFERROR(VLOOKUP($AA517,PLAN!$B:$AA,4,0),"")</f>
        <v>1911093-F-A</v>
      </c>
      <c r="F517" s="77" t="str">
        <f>IFERROR(VLOOKUP($AA517,PLAN!$B:$AA,5,0),"")</f>
        <v>HJ60SP300P10000 JP</v>
      </c>
      <c r="G517" s="77" t="str">
        <f>IFERROR(VLOOKUP($AA517,PLAN!$B:$AA,2,0),"")</f>
        <v>1001938825</v>
      </c>
      <c r="H517" s="113">
        <f>IFERROR(VLOOKUP($AA517,PLAN!$B:$AA,7,0),"")</f>
        <v>46255</v>
      </c>
      <c r="I517" s="77" t="str">
        <f>IFERROR(VLOOKUP($AA517,PLAN!$B:$AA,8,0),"")</f>
        <v>0103596319</v>
      </c>
      <c r="J517" s="77" t="str">
        <f>IFERROR(VLOOKUP($AA517,PLAN!$B:$AA,9,0),"")</f>
        <v>260805C02A</v>
      </c>
      <c r="K517" s="77">
        <f>IFERROR(VLOOKUP($AA517,PLAN!$B:$AA,10,0),"")</f>
        <v>131</v>
      </c>
      <c r="L517" s="77" t="str">
        <f>IFERROR(VLOOKUP($AA517,PLAN!$B:$AA,15,0),"")</f>
        <v>JAPAN</v>
      </c>
      <c r="M517" s="77">
        <f>IFERROR(VLOOKUP($AA517,PLAN!$B:$AA,18,0),"")</f>
        <v>0</v>
      </c>
      <c r="N517" s="227">
        <f>IFERROR(VLOOKUP($AA517,PLAN!$B:$AA,19,0),"")</f>
        <v>0</v>
      </c>
      <c r="O517" s="77" t="str">
        <f>IFERROR(VLOOKUP($AA517,PLAN!$B:$AA,12,0),"")</f>
        <v>2112095-0-C</v>
      </c>
      <c r="P517" s="77">
        <f>IFERROR(VLOOKUP($AA517,PLAN!$B:$AA,11,0),"")</f>
        <v>12116060</v>
      </c>
      <c r="Q517" s="349" t="s">
        <v>885</v>
      </c>
      <c r="R517" s="149" t="s">
        <v>886</v>
      </c>
      <c r="S517" s="223">
        <v>52</v>
      </c>
      <c r="T517" s="131"/>
      <c r="U517" s="78">
        <f>IFERROR(VLOOKUP($AA517,PLAN!$B:$AA,21,0),"")</f>
        <v>46247</v>
      </c>
      <c r="V517" s="78" t="str">
        <f>IFERROR(VLOOKUP($AA517,PLAN!$B:$AA,22,0),"")</f>
        <v>M10</v>
      </c>
      <c r="W517" s="232"/>
      <c r="X517" s="233"/>
      <c r="Y517" s="212"/>
      <c r="Z517" s="350"/>
      <c r="AA517" s="195" t="s">
        <v>3208</v>
      </c>
      <c r="AB517" s="132">
        <f>VLOOKUP(AA517,PLAN!B:V,20,0)</f>
        <v>46247</v>
      </c>
      <c r="AC517" s="132"/>
    </row>
    <row r="518" spans="3:29" s="79" customFormat="1" ht="21.6" customHeight="1">
      <c r="C518" s="249">
        <f t="shared" si="29"/>
        <v>0</v>
      </c>
      <c r="D518" s="77" t="str">
        <f>IFERROR(VLOOKUP($AA518,PLAN!$B:$AA,3,0),"")</f>
        <v/>
      </c>
      <c r="E518" s="77" t="str">
        <f>IFERROR(VLOOKUP($AA518,PLAN!$B:$AA,4,0),"")</f>
        <v/>
      </c>
      <c r="F518" s="77" t="str">
        <f>IFERROR(VLOOKUP($AA518,PLAN!$B:$AA,5,0),"")</f>
        <v/>
      </c>
      <c r="G518" s="77" t="str">
        <f>IFERROR(VLOOKUP($AA518,PLAN!$B:$AA,2,0),"")</f>
        <v/>
      </c>
      <c r="H518" s="113" t="str">
        <f>IFERROR(VLOOKUP($AA518,PLAN!$B:$AA,7,0),"")</f>
        <v/>
      </c>
      <c r="I518" s="77" t="str">
        <f>IFERROR(VLOOKUP($AA518,PLAN!$B:$AA,8,0),"")</f>
        <v/>
      </c>
      <c r="J518" s="77" t="str">
        <f>IFERROR(VLOOKUP($AA518,PLAN!$B:$AA,9,0),"")</f>
        <v/>
      </c>
      <c r="K518" s="77" t="str">
        <f>IFERROR(VLOOKUP($AA518,PLAN!$B:$AA,10,0),"")</f>
        <v/>
      </c>
      <c r="L518" s="77" t="str">
        <f>IFERROR(VLOOKUP($AA518,PLAN!$B:$AA,15,0),"")</f>
        <v/>
      </c>
      <c r="M518" s="77" t="str">
        <f>IFERROR(VLOOKUP($AA518,PLAN!$B:$AA,18,0),"")</f>
        <v/>
      </c>
      <c r="N518" s="227" t="str">
        <f>IFERROR(VLOOKUP($AA518,PLAN!$B:$AA,19,0),"")</f>
        <v/>
      </c>
      <c r="O518" s="77" t="str">
        <f>IFERROR(VLOOKUP($AA518,PLAN!$B:$AA,12,0),"")</f>
        <v/>
      </c>
      <c r="P518" s="77" t="str">
        <f>IFERROR(VLOOKUP($AA518,PLAN!$B:$AA,11,0),"")</f>
        <v/>
      </c>
      <c r="Q518" s="349" t="s">
        <v>3213</v>
      </c>
      <c r="R518" s="158" t="s">
        <v>3214</v>
      </c>
      <c r="S518" s="223">
        <f>K517-S517</f>
        <v>79</v>
      </c>
      <c r="T518" s="131"/>
      <c r="U518" s="78" t="str">
        <f>IFERROR(VLOOKUP($AA518,PLAN!$B:$AA,21,0),"")</f>
        <v/>
      </c>
      <c r="V518" s="78" t="str">
        <f>IFERROR(VLOOKUP($AA518,PLAN!$B:$AA,22,0),"")</f>
        <v/>
      </c>
      <c r="W518" s="232"/>
      <c r="X518" s="233"/>
      <c r="Y518" s="212"/>
      <c r="Z518" s="350"/>
      <c r="AA518" s="195"/>
      <c r="AB518" s="132">
        <v>46247</v>
      </c>
      <c r="AC518" s="132"/>
    </row>
    <row r="519" spans="3:29" s="79" customFormat="1" ht="21.6" customHeight="1">
      <c r="C519" s="249" t="str">
        <f t="shared" si="29"/>
        <v>Aug21-09</v>
      </c>
      <c r="D519" s="77">
        <f>IFERROR(VLOOKUP($AA519,PLAN!$B:$AA,3,0),"")</f>
        <v>11134261</v>
      </c>
      <c r="E519" s="77" t="str">
        <f>IFERROR(VLOOKUP($AA519,PLAN!$B:$AA,4,0),"")</f>
        <v>1911098-F-A</v>
      </c>
      <c r="F519" s="77" t="str">
        <f>IFERROR(VLOOKUP($AA519,PLAN!$B:$AA,5,0),"")</f>
        <v>HJ60SP352P10020 JP</v>
      </c>
      <c r="G519" s="77" t="str">
        <f>IFERROR(VLOOKUP($AA519,PLAN!$B:$AA,2,0),"")</f>
        <v>1001938826</v>
      </c>
      <c r="H519" s="113">
        <f>IFERROR(VLOOKUP($AA519,PLAN!$B:$AA,7,0),"")</f>
        <v>46255</v>
      </c>
      <c r="I519" s="77" t="str">
        <f>IFERROR(VLOOKUP($AA519,PLAN!$B:$AA,8,0),"")</f>
        <v>0103596320</v>
      </c>
      <c r="J519" s="77" t="str">
        <f>IFERROR(VLOOKUP($AA519,PLAN!$B:$AA,9,0),"")</f>
        <v>260805C03A</v>
      </c>
      <c r="K519" s="77">
        <f>IFERROR(VLOOKUP($AA519,PLAN!$B:$AA,10,0),"")</f>
        <v>220</v>
      </c>
      <c r="L519" s="77" t="str">
        <f>IFERROR(VLOOKUP($AA519,PLAN!$B:$AA,15,0),"")</f>
        <v>JAPAN</v>
      </c>
      <c r="M519" s="77">
        <f>IFERROR(VLOOKUP($AA519,PLAN!$B:$AA,18,0),"")</f>
        <v>0</v>
      </c>
      <c r="N519" s="227">
        <f>IFERROR(VLOOKUP($AA519,PLAN!$B:$AA,19,0),"")</f>
        <v>0</v>
      </c>
      <c r="O519" s="77" t="str">
        <f>IFERROR(VLOOKUP($AA519,PLAN!$B:$AA,12,0),"")</f>
        <v>2112100-0-C</v>
      </c>
      <c r="P519" s="77">
        <f>IFERROR(VLOOKUP($AA519,PLAN!$B:$AA,11,0),"")</f>
        <v>12116065</v>
      </c>
      <c r="Q519" s="277" t="s">
        <v>3215</v>
      </c>
      <c r="R519" s="149" t="s">
        <v>3216</v>
      </c>
      <c r="S519" s="223">
        <v>81</v>
      </c>
      <c r="T519" s="131"/>
      <c r="U519" s="78">
        <f>IFERROR(VLOOKUP($AA519,PLAN!$B:$AA,21,0),"")</f>
        <v>46247</v>
      </c>
      <c r="V519" s="78" t="str">
        <f>IFERROR(VLOOKUP($AA519,PLAN!$B:$AA,22,0),"")</f>
        <v>M10</v>
      </c>
      <c r="W519" s="232"/>
      <c r="X519" s="233"/>
      <c r="Y519" s="212"/>
      <c r="Z519" s="350"/>
      <c r="AA519" s="195" t="s">
        <v>3209</v>
      </c>
      <c r="AB519" s="132">
        <f>VLOOKUP(AA519,PLAN!B:V,20,0)</f>
        <v>46247</v>
      </c>
      <c r="AC519" s="132"/>
    </row>
    <row r="520" spans="3:29" s="79" customFormat="1" ht="21.6" customHeight="1">
      <c r="C520" s="249">
        <f t="shared" si="29"/>
        <v>0</v>
      </c>
      <c r="D520" s="77" t="str">
        <f>IFERROR(VLOOKUP($AA520,PLAN!$B:$AA,3,0),"")</f>
        <v/>
      </c>
      <c r="E520" s="77" t="str">
        <f>IFERROR(VLOOKUP($AA520,PLAN!$B:$AA,4,0),"")</f>
        <v/>
      </c>
      <c r="F520" s="77" t="str">
        <f>IFERROR(VLOOKUP($AA520,PLAN!$B:$AA,5,0),"")</f>
        <v/>
      </c>
      <c r="G520" s="77" t="str">
        <f>IFERROR(VLOOKUP($AA520,PLAN!$B:$AA,2,0),"")</f>
        <v/>
      </c>
      <c r="H520" s="113" t="str">
        <f>IFERROR(VLOOKUP($AA520,PLAN!$B:$AA,7,0),"")</f>
        <v/>
      </c>
      <c r="I520" s="77" t="str">
        <f>IFERROR(VLOOKUP($AA520,PLAN!$B:$AA,8,0),"")</f>
        <v/>
      </c>
      <c r="J520" s="77" t="str">
        <f>IFERROR(VLOOKUP($AA520,PLAN!$B:$AA,9,0),"")</f>
        <v/>
      </c>
      <c r="K520" s="77" t="str">
        <f>IFERROR(VLOOKUP($AA520,PLAN!$B:$AA,10,0),"")</f>
        <v/>
      </c>
      <c r="L520" s="77" t="str">
        <f>IFERROR(VLOOKUP($AA520,PLAN!$B:$AA,15,0),"")</f>
        <v/>
      </c>
      <c r="M520" s="77" t="str">
        <f>IFERROR(VLOOKUP($AA520,PLAN!$B:$AA,18,0),"")</f>
        <v/>
      </c>
      <c r="N520" s="227" t="str">
        <f>IFERROR(VLOOKUP($AA520,PLAN!$B:$AA,19,0),"")</f>
        <v/>
      </c>
      <c r="O520" s="77" t="str">
        <f>IFERROR(VLOOKUP($AA520,PLAN!$B:$AA,12,0),"")</f>
        <v/>
      </c>
      <c r="P520" s="77" t="str">
        <f>IFERROR(VLOOKUP($AA520,PLAN!$B:$AA,11,0),"")</f>
        <v/>
      </c>
      <c r="Q520" s="349" t="s">
        <v>3217</v>
      </c>
      <c r="R520" s="149" t="s">
        <v>3218</v>
      </c>
      <c r="S520" s="223">
        <f>K519-S519</f>
        <v>139</v>
      </c>
      <c r="T520" s="131"/>
      <c r="U520" s="78" t="str">
        <f>IFERROR(VLOOKUP($AA520,PLAN!$B:$AA,21,0),"")</f>
        <v/>
      </c>
      <c r="V520" s="78" t="str">
        <f>IFERROR(VLOOKUP($AA520,PLAN!$B:$AA,22,0),"")</f>
        <v/>
      </c>
      <c r="W520" s="232"/>
      <c r="X520" s="233"/>
      <c r="Y520" s="212"/>
      <c r="Z520" s="350"/>
      <c r="AA520" s="195"/>
      <c r="AB520" s="132">
        <v>46247</v>
      </c>
      <c r="AC520" s="132"/>
    </row>
    <row r="521" spans="3:29" s="79" customFormat="1" ht="21.6" customHeight="1">
      <c r="C521" s="249" t="str">
        <f t="shared" si="29"/>
        <v>Aug21-10</v>
      </c>
      <c r="D521" s="77">
        <f>IFERROR(VLOOKUP($AA521,PLAN!$B:$AA,3,0),"")</f>
        <v>11134260</v>
      </c>
      <c r="E521" s="77" t="str">
        <f>IFERROR(VLOOKUP($AA521,PLAN!$B:$AA,4,0),"")</f>
        <v>1911097-F-A</v>
      </c>
      <c r="F521" s="77" t="str">
        <f>IFERROR(VLOOKUP($AA521,PLAN!$B:$AA,5,0),"")</f>
        <v>HJ60SP350P10000 JP</v>
      </c>
      <c r="G521" s="77" t="str">
        <f>IFERROR(VLOOKUP($AA521,PLAN!$B:$AA,2,0),"")</f>
        <v>1001938827</v>
      </c>
      <c r="H521" s="113">
        <f>IFERROR(VLOOKUP($AA521,PLAN!$B:$AA,7,0),"")</f>
        <v>46255</v>
      </c>
      <c r="I521" s="77" t="str">
        <f>IFERROR(VLOOKUP($AA521,PLAN!$B:$AA,8,0),"")</f>
        <v>0103596321</v>
      </c>
      <c r="J521" s="77" t="str">
        <f>IFERROR(VLOOKUP($AA521,PLAN!$B:$AA,9,0),"")</f>
        <v>260805C04A</v>
      </c>
      <c r="K521" s="77">
        <f>IFERROR(VLOOKUP($AA521,PLAN!$B:$AA,10,0),"")</f>
        <v>213</v>
      </c>
      <c r="L521" s="77" t="str">
        <f>IFERROR(VLOOKUP($AA521,PLAN!$B:$AA,15,0),"")</f>
        <v>JAPAN</v>
      </c>
      <c r="M521" s="77">
        <f>IFERROR(VLOOKUP($AA521,PLAN!$B:$AA,18,0),"")</f>
        <v>0</v>
      </c>
      <c r="N521" s="227">
        <f>IFERROR(VLOOKUP($AA521,PLAN!$B:$AA,19,0),"")</f>
        <v>0</v>
      </c>
      <c r="O521" s="77" t="str">
        <f>IFERROR(VLOOKUP($AA521,PLAN!$B:$AA,12,0),"")</f>
        <v>2112099-0-C</v>
      </c>
      <c r="P521" s="77">
        <f>IFERROR(VLOOKUP($AA521,PLAN!$B:$AA,11,0),"")</f>
        <v>12116064</v>
      </c>
      <c r="Q521" s="277" t="s">
        <v>2190</v>
      </c>
      <c r="R521" s="149" t="s">
        <v>2191</v>
      </c>
      <c r="S521" s="223">
        <v>85</v>
      </c>
      <c r="T521" s="131"/>
      <c r="U521" s="78">
        <f>IFERROR(VLOOKUP($AA521,PLAN!$B:$AA,21,0),"")</f>
        <v>46247</v>
      </c>
      <c r="V521" s="78" t="str">
        <f>IFERROR(VLOOKUP($AA521,PLAN!$B:$AA,22,0),"")</f>
        <v>M10</v>
      </c>
      <c r="W521" s="232"/>
      <c r="X521" s="233"/>
      <c r="Y521" s="212"/>
      <c r="Z521" s="350"/>
      <c r="AA521" s="195" t="s">
        <v>3210</v>
      </c>
      <c r="AB521" s="132">
        <f>VLOOKUP(AA521,PLAN!B:V,20,0)</f>
        <v>46247</v>
      </c>
      <c r="AC521" s="132"/>
    </row>
    <row r="522" spans="3:29" s="79" customFormat="1" ht="21.6" customHeight="1">
      <c r="C522" s="249">
        <f t="shared" si="29"/>
        <v>0</v>
      </c>
      <c r="D522" s="77" t="str">
        <f>IFERROR(VLOOKUP($AA522,PLAN!$B:$AA,3,0),"")</f>
        <v/>
      </c>
      <c r="E522" s="77" t="str">
        <f>IFERROR(VLOOKUP($AA522,PLAN!$B:$AA,4,0),"")</f>
        <v/>
      </c>
      <c r="F522" s="77" t="str">
        <f>IFERROR(VLOOKUP($AA522,PLAN!$B:$AA,5,0),"")</f>
        <v/>
      </c>
      <c r="G522" s="77" t="str">
        <f>IFERROR(VLOOKUP($AA522,PLAN!$B:$AA,2,0),"")</f>
        <v/>
      </c>
      <c r="H522" s="113" t="str">
        <f>IFERROR(VLOOKUP($AA522,PLAN!$B:$AA,7,0),"")</f>
        <v/>
      </c>
      <c r="I522" s="77" t="str">
        <f>IFERROR(VLOOKUP($AA522,PLAN!$B:$AA,8,0),"")</f>
        <v/>
      </c>
      <c r="J522" s="77" t="str">
        <f>IFERROR(VLOOKUP($AA522,PLAN!$B:$AA,9,0),"")</f>
        <v/>
      </c>
      <c r="K522" s="77" t="str">
        <f>IFERROR(VLOOKUP($AA522,PLAN!$B:$AA,10,0),"")</f>
        <v/>
      </c>
      <c r="L522" s="77" t="str">
        <f>IFERROR(VLOOKUP($AA522,PLAN!$B:$AA,15,0),"")</f>
        <v/>
      </c>
      <c r="M522" s="77" t="str">
        <f>IFERROR(VLOOKUP($AA522,PLAN!$B:$AA,18,0),"")</f>
        <v/>
      </c>
      <c r="N522" s="227" t="str">
        <f>IFERROR(VLOOKUP($AA522,PLAN!$B:$AA,19,0),"")</f>
        <v/>
      </c>
      <c r="O522" s="77" t="str">
        <f>IFERROR(VLOOKUP($AA522,PLAN!$B:$AA,12,0),"")</f>
        <v/>
      </c>
      <c r="P522" s="77" t="str">
        <f>IFERROR(VLOOKUP($AA522,PLAN!$B:$AA,11,0),"")</f>
        <v/>
      </c>
      <c r="Q522" s="277" t="s">
        <v>3219</v>
      </c>
      <c r="R522" s="149" t="s">
        <v>3220</v>
      </c>
      <c r="S522" s="223">
        <f>K521-S521</f>
        <v>128</v>
      </c>
      <c r="T522" s="131"/>
      <c r="U522" s="78" t="str">
        <f>IFERROR(VLOOKUP($AA522,PLAN!$B:$AA,21,0),"")</f>
        <v/>
      </c>
      <c r="V522" s="78" t="str">
        <f>IFERROR(VLOOKUP($AA522,PLAN!$B:$AA,22,0),"")</f>
        <v/>
      </c>
      <c r="W522" s="232"/>
      <c r="X522" s="233"/>
      <c r="Y522" s="212"/>
      <c r="Z522" s="350"/>
      <c r="AA522" s="195"/>
      <c r="AB522" s="132">
        <v>46247</v>
      </c>
      <c r="AC522" s="132"/>
    </row>
    <row r="523" spans="3:29" s="79" customFormat="1" ht="27" customHeight="1">
      <c r="C523" s="249" t="str">
        <f t="shared" si="29"/>
        <v>Aug24-09</v>
      </c>
      <c r="D523" s="77">
        <f>IFERROR(VLOOKUP($AA523,PLAN!$B:$AA,3,0),"")</f>
        <v>11135418</v>
      </c>
      <c r="E523" s="77" t="str">
        <f>IFERROR(VLOOKUP($AA523,PLAN!$B:$AA,4,0),"")</f>
        <v>2141056-D-A</v>
      </c>
      <c r="F523" s="77" t="str">
        <f>IFERROR(VLOOKUP($AA523,PLAN!$B:$AA,5,0),"")</f>
        <v>CRV135-19P KR</v>
      </c>
      <c r="G523" s="77" t="str">
        <f>IFERROR(VLOOKUP($AA523,PLAN!$B:$AA,2,0),"")</f>
        <v>1001938867</v>
      </c>
      <c r="H523" s="113">
        <f>IFERROR(VLOOKUP($AA523,PLAN!$B:$AA,7,0),"")</f>
        <v>46258</v>
      </c>
      <c r="I523" s="77" t="str">
        <f>IFERROR(VLOOKUP($AA523,PLAN!$B:$AA,8,0),"")</f>
        <v>0103596400</v>
      </c>
      <c r="J523" s="77" t="str">
        <f>IFERROR(VLOOKUP($AA523,PLAN!$B:$AA,9,0),"")</f>
        <v>260805K01A</v>
      </c>
      <c r="K523" s="77">
        <f>IFERROR(VLOOKUP($AA523,PLAN!$B:$AA,10,0),"")</f>
        <v>131</v>
      </c>
      <c r="L523" s="77" t="str">
        <f>IFERROR(VLOOKUP($AA523,PLAN!$B:$AA,15,0),"")</f>
        <v>KOREA</v>
      </c>
      <c r="M523" s="77">
        <f>IFERROR(VLOOKUP($AA523,PLAN!$B:$AA,18,0),"")</f>
        <v>0</v>
      </c>
      <c r="N523" s="227">
        <f>IFERROR(VLOOKUP($AA523,PLAN!$B:$AA,19,0),"")</f>
        <v>0</v>
      </c>
      <c r="O523" s="77" t="str">
        <f>IFERROR(VLOOKUP($AA523,PLAN!$B:$AA,12,0),"")</f>
        <v>1942140-B-C</v>
      </c>
      <c r="P523" s="77">
        <f>IFERROR(VLOOKUP($AA523,PLAN!$B:$AA,11,0),"")</f>
        <v>12129626</v>
      </c>
      <c r="Q523" s="277" t="s">
        <v>2180</v>
      </c>
      <c r="R523" s="222" t="s">
        <v>2181</v>
      </c>
      <c r="S523" s="223">
        <v>103</v>
      </c>
      <c r="T523" s="131"/>
      <c r="U523" s="78">
        <f>IFERROR(VLOOKUP($AA523,PLAN!$B:$AA,21,0),"")</f>
        <v>46248</v>
      </c>
      <c r="V523" s="78" t="str">
        <f>IFERROR(VLOOKUP($AA523,PLAN!$B:$AA,22,0),"")</f>
        <v>M8</v>
      </c>
      <c r="W523" s="232"/>
      <c r="X523" s="233"/>
      <c r="Y523" s="212"/>
      <c r="Z523" s="350"/>
      <c r="AA523" s="195" t="s">
        <v>3332</v>
      </c>
      <c r="AB523" s="132">
        <f>VLOOKUP(AA523,PLAN!B:V,20,0)</f>
        <v>46248</v>
      </c>
      <c r="AC523" s="132"/>
    </row>
    <row r="524" spans="3:29" s="79" customFormat="1" ht="27" customHeight="1">
      <c r="C524" s="249"/>
      <c r="D524" s="77"/>
      <c r="E524" s="77"/>
      <c r="F524" s="77"/>
      <c r="G524" s="77"/>
      <c r="H524" s="113"/>
      <c r="I524" s="77"/>
      <c r="J524" s="77"/>
      <c r="K524" s="77"/>
      <c r="L524" s="77"/>
      <c r="M524" s="77"/>
      <c r="N524" s="227"/>
      <c r="O524" s="77"/>
      <c r="P524" s="77"/>
      <c r="Q524" s="277" t="s">
        <v>3357</v>
      </c>
      <c r="R524" s="149" t="s">
        <v>3358</v>
      </c>
      <c r="S524" s="223">
        <f>K523-S523</f>
        <v>28</v>
      </c>
      <c r="T524" s="131"/>
      <c r="U524" s="78"/>
      <c r="V524" s="78"/>
      <c r="W524" s="232"/>
      <c r="X524" s="233"/>
      <c r="Y524" s="212"/>
      <c r="Z524" s="350"/>
      <c r="AA524" s="195"/>
      <c r="AB524" s="132">
        <v>46248</v>
      </c>
      <c r="AC524" s="132"/>
    </row>
    <row r="525" spans="3:29" s="79" customFormat="1" ht="27" customHeight="1">
      <c r="C525" s="249" t="str">
        <f t="shared" si="29"/>
        <v>Aug24-10</v>
      </c>
      <c r="D525" s="77">
        <f>IFERROR(VLOOKUP($AA525,PLAN!$B:$AA,3,0),"")</f>
        <v>11131256</v>
      </c>
      <c r="E525" s="77" t="str">
        <f>IFERROR(VLOOKUP($AA525,PLAN!$B:$AA,4,0),"")</f>
        <v>1841033-E-A</v>
      </c>
      <c r="F525" s="77" t="str">
        <f>IFERROR(VLOOKUP($AA525,PLAN!$B:$AA,5,0),"")</f>
        <v>CRV135-19M JP</v>
      </c>
      <c r="G525" s="77" t="str">
        <f>IFERROR(VLOOKUP($AA525,PLAN!$B:$AA,2,0),"")</f>
        <v>1001938868</v>
      </c>
      <c r="H525" s="113">
        <f>IFERROR(VLOOKUP($AA525,PLAN!$B:$AA,7,0),"")</f>
        <v>46258</v>
      </c>
      <c r="I525" s="77" t="str">
        <f>IFERROR(VLOOKUP($AA525,PLAN!$B:$AA,8,0),"")</f>
        <v>0103596401</v>
      </c>
      <c r="J525" s="77" t="str">
        <f>IFERROR(VLOOKUP($AA525,PLAN!$B:$AA,9,0),"")</f>
        <v>260805K02A</v>
      </c>
      <c r="K525" s="77">
        <f>IFERROR(VLOOKUP($AA525,PLAN!$B:$AA,10,0),"")</f>
        <v>2200</v>
      </c>
      <c r="L525" s="77" t="str">
        <f>IFERROR(VLOOKUP($AA525,PLAN!$B:$AA,15,0),"")</f>
        <v>JAPAN</v>
      </c>
      <c r="M525" s="77">
        <f>IFERROR(VLOOKUP($AA525,PLAN!$B:$AA,18,0),"")</f>
        <v>0</v>
      </c>
      <c r="N525" s="227">
        <f>IFERROR(VLOOKUP($AA525,PLAN!$B:$AA,19,0),"")</f>
        <v>0</v>
      </c>
      <c r="O525" s="77" t="str">
        <f>IFERROR(VLOOKUP($AA525,PLAN!$B:$AA,12,0),"")</f>
        <v>1842014-C-C</v>
      </c>
      <c r="P525" s="77">
        <f>IFERROR(VLOOKUP($AA525,PLAN!$B:$AA,11,0),"")</f>
        <v>12121043</v>
      </c>
      <c r="Q525" s="277" t="s">
        <v>2172</v>
      </c>
      <c r="R525" s="149" t="s">
        <v>2173</v>
      </c>
      <c r="S525" s="223">
        <v>182</v>
      </c>
      <c r="T525" s="131"/>
      <c r="U525" s="78">
        <f>IFERROR(VLOOKUP($AA525,PLAN!$B:$AA,21,0),"")</f>
        <v>46248</v>
      </c>
      <c r="V525" s="78" t="str">
        <f>IFERROR(VLOOKUP($AA525,PLAN!$B:$AA,22,0),"")</f>
        <v>M8</v>
      </c>
      <c r="W525" s="232"/>
      <c r="X525" s="233"/>
      <c r="Y525" s="212"/>
      <c r="Z525" s="350"/>
      <c r="AA525" s="195" t="s">
        <v>3333</v>
      </c>
      <c r="AB525" s="132">
        <f>VLOOKUP(AA525,PLAN!B:V,20,0)</f>
        <v>46248</v>
      </c>
      <c r="AC525" s="132"/>
    </row>
    <row r="526" spans="3:29" s="79" customFormat="1" ht="27" customHeight="1">
      <c r="C526" s="249"/>
      <c r="D526" s="77"/>
      <c r="E526" s="77"/>
      <c r="F526" s="77"/>
      <c r="G526" s="77"/>
      <c r="H526" s="113"/>
      <c r="I526" s="77"/>
      <c r="J526" s="77"/>
      <c r="K526" s="77"/>
      <c r="L526" s="77"/>
      <c r="M526" s="77"/>
      <c r="N526" s="227"/>
      <c r="O526" s="77"/>
      <c r="P526" s="77"/>
      <c r="Q526" s="277" t="s">
        <v>3359</v>
      </c>
      <c r="R526" s="222" t="s">
        <v>3360</v>
      </c>
      <c r="S526" s="223">
        <v>310</v>
      </c>
      <c r="T526" s="131"/>
      <c r="U526" s="78"/>
      <c r="V526" s="78"/>
      <c r="W526" s="232"/>
      <c r="X526" s="233"/>
      <c r="Y526" s="212"/>
      <c r="Z526" s="350"/>
      <c r="AA526" s="195"/>
      <c r="AB526" s="132">
        <v>46248</v>
      </c>
      <c r="AC526" s="132"/>
    </row>
    <row r="527" spans="3:29" s="79" customFormat="1" ht="27" customHeight="1">
      <c r="C527" s="249"/>
      <c r="D527" s="77"/>
      <c r="E527" s="77"/>
      <c r="F527" s="77"/>
      <c r="G527" s="77"/>
      <c r="H527" s="113"/>
      <c r="I527" s="77"/>
      <c r="J527" s="77"/>
      <c r="K527" s="77"/>
      <c r="L527" s="77"/>
      <c r="M527" s="77"/>
      <c r="N527" s="227"/>
      <c r="O527" s="77"/>
      <c r="P527" s="77"/>
      <c r="Q527" s="277" t="s">
        <v>3361</v>
      </c>
      <c r="R527" s="222" t="s">
        <v>3362</v>
      </c>
      <c r="S527" s="223">
        <v>310</v>
      </c>
      <c r="T527" s="131"/>
      <c r="U527" s="78"/>
      <c r="V527" s="78"/>
      <c r="W527" s="232"/>
      <c r="X527" s="233"/>
      <c r="Y527" s="212"/>
      <c r="Z527" s="350"/>
      <c r="AA527" s="195"/>
      <c r="AB527" s="132">
        <v>46248</v>
      </c>
      <c r="AC527" s="132"/>
    </row>
    <row r="528" spans="3:29" s="79" customFormat="1" ht="27" customHeight="1">
      <c r="C528" s="249"/>
      <c r="D528" s="77"/>
      <c r="E528" s="77"/>
      <c r="F528" s="77"/>
      <c r="G528" s="77"/>
      <c r="H528" s="113"/>
      <c r="I528" s="77"/>
      <c r="J528" s="77"/>
      <c r="K528" s="77"/>
      <c r="L528" s="77"/>
      <c r="M528" s="77"/>
      <c r="N528" s="227"/>
      <c r="O528" s="77"/>
      <c r="P528" s="77"/>
      <c r="Q528" s="349" t="s">
        <v>3363</v>
      </c>
      <c r="R528" s="149" t="s">
        <v>3364</v>
      </c>
      <c r="S528" s="223">
        <v>309</v>
      </c>
      <c r="T528" s="131"/>
      <c r="U528" s="78"/>
      <c r="V528" s="78"/>
      <c r="W528" s="232"/>
      <c r="X528" s="233"/>
      <c r="Y528" s="212"/>
      <c r="Z528" s="350"/>
      <c r="AA528" s="195"/>
      <c r="AB528" s="132">
        <v>46248</v>
      </c>
      <c r="AC528" s="132"/>
    </row>
    <row r="529" spans="3:29" s="79" customFormat="1" ht="27" customHeight="1">
      <c r="C529" s="249"/>
      <c r="D529" s="77"/>
      <c r="E529" s="77"/>
      <c r="F529" s="77"/>
      <c r="G529" s="77"/>
      <c r="H529" s="113"/>
      <c r="I529" s="77"/>
      <c r="J529" s="77"/>
      <c r="K529" s="77"/>
      <c r="L529" s="77"/>
      <c r="M529" s="77"/>
      <c r="N529" s="227"/>
      <c r="O529" s="77"/>
      <c r="P529" s="77"/>
      <c r="Q529" s="349" t="s">
        <v>3365</v>
      </c>
      <c r="R529" s="149" t="s">
        <v>3366</v>
      </c>
      <c r="S529" s="223">
        <v>310</v>
      </c>
      <c r="T529" s="131"/>
      <c r="U529" s="78"/>
      <c r="V529" s="78"/>
      <c r="W529" s="232"/>
      <c r="X529" s="233"/>
      <c r="Y529" s="212"/>
      <c r="Z529" s="350"/>
      <c r="AA529" s="195"/>
      <c r="AB529" s="132">
        <v>46248</v>
      </c>
      <c r="AC529" s="132"/>
    </row>
    <row r="530" spans="3:29" s="79" customFormat="1" ht="27" customHeight="1">
      <c r="C530" s="249"/>
      <c r="D530" s="77"/>
      <c r="E530" s="77"/>
      <c r="F530" s="77"/>
      <c r="G530" s="77"/>
      <c r="H530" s="113"/>
      <c r="I530" s="77"/>
      <c r="J530" s="77"/>
      <c r="K530" s="77"/>
      <c r="L530" s="77"/>
      <c r="M530" s="77"/>
      <c r="N530" s="227"/>
      <c r="O530" s="77"/>
      <c r="P530" s="77"/>
      <c r="Q530" s="349" t="s">
        <v>3367</v>
      </c>
      <c r="R530" s="149" t="s">
        <v>3368</v>
      </c>
      <c r="S530" s="223">
        <v>310</v>
      </c>
      <c r="T530" s="131"/>
      <c r="U530" s="78"/>
      <c r="V530" s="78"/>
      <c r="W530" s="232"/>
      <c r="X530" s="233"/>
      <c r="Y530" s="212"/>
      <c r="Z530" s="350"/>
      <c r="AA530" s="195"/>
      <c r="AB530" s="132">
        <v>46248</v>
      </c>
      <c r="AC530" s="132"/>
    </row>
    <row r="531" spans="3:29" s="79" customFormat="1" ht="27" customHeight="1">
      <c r="C531" s="249"/>
      <c r="D531" s="77"/>
      <c r="E531" s="77"/>
      <c r="F531" s="77"/>
      <c r="G531" s="77"/>
      <c r="H531" s="113"/>
      <c r="I531" s="77"/>
      <c r="J531" s="77"/>
      <c r="K531" s="77"/>
      <c r="L531" s="77"/>
      <c r="M531" s="77"/>
      <c r="N531" s="227"/>
      <c r="O531" s="77"/>
      <c r="P531" s="77"/>
      <c r="Q531" s="349" t="s">
        <v>3369</v>
      </c>
      <c r="R531" s="149" t="s">
        <v>3370</v>
      </c>
      <c r="S531" s="223">
        <v>310</v>
      </c>
      <c r="T531" s="131"/>
      <c r="U531" s="78"/>
      <c r="V531" s="78"/>
      <c r="W531" s="232"/>
      <c r="X531" s="233"/>
      <c r="Y531" s="212"/>
      <c r="Z531" s="350"/>
      <c r="AA531" s="195"/>
      <c r="AB531" s="132">
        <v>46248</v>
      </c>
      <c r="AC531" s="132"/>
    </row>
    <row r="532" spans="3:29" s="79" customFormat="1" ht="27" customHeight="1">
      <c r="C532" s="249"/>
      <c r="D532" s="77"/>
      <c r="E532" s="77"/>
      <c r="F532" s="77"/>
      <c r="G532" s="77"/>
      <c r="H532" s="113"/>
      <c r="I532" s="77"/>
      <c r="J532" s="77"/>
      <c r="K532" s="77"/>
      <c r="L532" s="77"/>
      <c r="M532" s="77"/>
      <c r="N532" s="227"/>
      <c r="O532" s="77"/>
      <c r="P532" s="77"/>
      <c r="Q532" s="349" t="s">
        <v>3371</v>
      </c>
      <c r="R532" s="149" t="s">
        <v>3372</v>
      </c>
      <c r="S532" s="223">
        <f>K525-S525-S526-S527-S528-S529-S530-S531</f>
        <v>159</v>
      </c>
      <c r="T532" s="131"/>
      <c r="U532" s="78"/>
      <c r="V532" s="78"/>
      <c r="W532" s="232"/>
      <c r="X532" s="233"/>
      <c r="Y532" s="212"/>
      <c r="Z532" s="350"/>
      <c r="AA532" s="195"/>
      <c r="AB532" s="132">
        <v>46248</v>
      </c>
      <c r="AC532" s="132"/>
    </row>
    <row r="533" spans="3:29" s="79" customFormat="1" ht="27" customHeight="1">
      <c r="C533" s="249" t="str">
        <f t="shared" ref="C533:C534" si="33">AA533</f>
        <v>Aug24-11</v>
      </c>
      <c r="D533" s="77">
        <f>IFERROR(VLOOKUP($AA533,PLAN!$B:$AA,3,0),"")</f>
        <v>11134288</v>
      </c>
      <c r="E533" s="77" t="str">
        <f>IFERROR(VLOOKUP($AA533,PLAN!$B:$AA,4,0),"")</f>
        <v>1911231-F-A</v>
      </c>
      <c r="F533" s="77" t="str">
        <f>IFERROR(VLOOKUP($AA533,PLAN!$B:$AA,5,0),"")</f>
        <v>HJ70SP402P10020 JP</v>
      </c>
      <c r="G533" s="77" t="str">
        <f>IFERROR(VLOOKUP($AA533,PLAN!$B:$AA,2,0),"")</f>
        <v>1001938853</v>
      </c>
      <c r="H533" s="113">
        <f>IFERROR(VLOOKUP($AA533,PLAN!$B:$AA,7,0),"")</f>
        <v>46258</v>
      </c>
      <c r="I533" s="77" t="str">
        <f>IFERROR(VLOOKUP($AA533,PLAN!$B:$AA,8,0),"")</f>
        <v>0103596386</v>
      </c>
      <c r="J533" s="77" t="str">
        <f>IFERROR(VLOOKUP($AA533,PLAN!$B:$AA,9,0),"")</f>
        <v>260805C05A</v>
      </c>
      <c r="K533" s="77">
        <f>IFERROR(VLOOKUP($AA533,PLAN!$B:$AA,10,0),"")</f>
        <v>7</v>
      </c>
      <c r="L533" s="77" t="str">
        <f>IFERROR(VLOOKUP($AA533,PLAN!$B:$AA,15,0),"")</f>
        <v>JAPAN</v>
      </c>
      <c r="M533" s="77">
        <f>IFERROR(VLOOKUP($AA533,PLAN!$B:$AA,18,0),"")</f>
        <v>0</v>
      </c>
      <c r="N533" s="227">
        <f>IFERROR(VLOOKUP($AA533,PLAN!$B:$AA,19,0),"")</f>
        <v>0</v>
      </c>
      <c r="O533" s="77" t="str">
        <f>IFERROR(VLOOKUP($AA533,PLAN!$B:$AA,12,0),"")</f>
        <v>2112233-0-C</v>
      </c>
      <c r="P533" s="77">
        <f>IFERROR(VLOOKUP($AA533,PLAN!$B:$AA,11,0),"")</f>
        <v>12116200</v>
      </c>
      <c r="Q533" s="349" t="s">
        <v>3373</v>
      </c>
      <c r="R533" s="149" t="s">
        <v>3374</v>
      </c>
      <c r="S533" s="149">
        <f t="shared" ref="S533" si="34">K533</f>
        <v>7</v>
      </c>
      <c r="T533" s="131"/>
      <c r="U533" s="78">
        <f>IFERROR(VLOOKUP($AA533,PLAN!$B:$AA,21,0),"")</f>
        <v>46248</v>
      </c>
      <c r="V533" s="78" t="str">
        <f>IFERROR(VLOOKUP($AA533,PLAN!$B:$AA,22,0),"")</f>
        <v>M9</v>
      </c>
      <c r="W533" s="232"/>
      <c r="X533" s="233"/>
      <c r="Y533" s="212"/>
      <c r="Z533" s="350"/>
      <c r="AA533" s="195" t="s">
        <v>3334</v>
      </c>
      <c r="AB533" s="132">
        <f>VLOOKUP(AA533,PLAN!B:V,20,0)</f>
        <v>46248</v>
      </c>
      <c r="AC533" s="132"/>
    </row>
    <row r="534" spans="3:29" s="79" customFormat="1" ht="27" customHeight="1">
      <c r="C534" s="249" t="str">
        <f t="shared" si="33"/>
        <v>Aug24-12</v>
      </c>
      <c r="D534" s="77">
        <f>IFERROR(VLOOKUP($AA534,PLAN!$B:$AA,3,0),"")</f>
        <v>11134260</v>
      </c>
      <c r="E534" s="77" t="str">
        <f>IFERROR(VLOOKUP($AA534,PLAN!$B:$AA,4,0),"")</f>
        <v>1911097-F-A</v>
      </c>
      <c r="F534" s="77" t="str">
        <f>IFERROR(VLOOKUP($AA534,PLAN!$B:$AA,5,0),"")</f>
        <v>HJ60SP350P10000 JP</v>
      </c>
      <c r="G534" s="77" t="str">
        <f>IFERROR(VLOOKUP($AA534,PLAN!$B:$AA,2,0),"")</f>
        <v>1001938854</v>
      </c>
      <c r="H534" s="113">
        <f>IFERROR(VLOOKUP($AA534,PLAN!$B:$AA,7,0),"")</f>
        <v>46258</v>
      </c>
      <c r="I534" s="77" t="str">
        <f>IFERROR(VLOOKUP($AA534,PLAN!$B:$AA,8,0),"")</f>
        <v>0103596387</v>
      </c>
      <c r="J534" s="77" t="str">
        <f>IFERROR(VLOOKUP($AA534,PLAN!$B:$AA,9,0),"")</f>
        <v>260805C06A</v>
      </c>
      <c r="K534" s="77">
        <f>IFERROR(VLOOKUP($AA534,PLAN!$B:$AA,10,0),"")</f>
        <v>36</v>
      </c>
      <c r="L534" s="77" t="str">
        <f>IFERROR(VLOOKUP($AA534,PLAN!$B:$AA,15,0),"")</f>
        <v>JAPAN</v>
      </c>
      <c r="M534" s="77">
        <f>IFERROR(VLOOKUP($AA534,PLAN!$B:$AA,18,0),"")</f>
        <v>0</v>
      </c>
      <c r="N534" s="227">
        <f>IFERROR(VLOOKUP($AA534,PLAN!$B:$AA,19,0),"")</f>
        <v>0</v>
      </c>
      <c r="O534" s="77" t="str">
        <f>IFERROR(VLOOKUP($AA534,PLAN!$B:$AA,12,0),"")</f>
        <v>2112099-0-C</v>
      </c>
      <c r="P534" s="77">
        <f>IFERROR(VLOOKUP($AA534,PLAN!$B:$AA,11,0),"")</f>
        <v>12116064</v>
      </c>
      <c r="Q534" s="277" t="s">
        <v>3219</v>
      </c>
      <c r="R534" s="149" t="s">
        <v>3220</v>
      </c>
      <c r="S534" s="223">
        <v>22</v>
      </c>
      <c r="T534" s="131"/>
      <c r="U534" s="78">
        <f>IFERROR(VLOOKUP($AA534,PLAN!$B:$AA,21,0),"")</f>
        <v>46248</v>
      </c>
      <c r="V534" s="78" t="str">
        <f>IFERROR(VLOOKUP($AA534,PLAN!$B:$AA,22,0),"")</f>
        <v>M9</v>
      </c>
      <c r="W534" s="232"/>
      <c r="X534" s="233"/>
      <c r="Y534" s="212"/>
      <c r="Z534" s="350"/>
      <c r="AA534" s="195" t="s">
        <v>3335</v>
      </c>
      <c r="AB534" s="132">
        <f>VLOOKUP(AA534,PLAN!B:V,20,0)</f>
        <v>46248</v>
      </c>
      <c r="AC534" s="132"/>
    </row>
    <row r="535" spans="3:29" s="79" customFormat="1" ht="27" customHeight="1">
      <c r="C535" s="249">
        <f t="shared" si="29"/>
        <v>0</v>
      </c>
      <c r="D535" s="77" t="str">
        <f>IFERROR(VLOOKUP($AA535,PLAN!$B:$AA,3,0),"")</f>
        <v/>
      </c>
      <c r="E535" s="77" t="str">
        <f>IFERROR(VLOOKUP($AA535,PLAN!$B:$AA,4,0),"")</f>
        <v/>
      </c>
      <c r="F535" s="77" t="str">
        <f>IFERROR(VLOOKUP($AA535,PLAN!$B:$AA,5,0),"")</f>
        <v/>
      </c>
      <c r="G535" s="77" t="str">
        <f>IFERROR(VLOOKUP($AA535,PLAN!$B:$AA,2,0),"")</f>
        <v/>
      </c>
      <c r="H535" s="113" t="str">
        <f>IFERROR(VLOOKUP($AA535,PLAN!$B:$AA,7,0),"")</f>
        <v/>
      </c>
      <c r="I535" s="77" t="str">
        <f>IFERROR(VLOOKUP($AA535,PLAN!$B:$AA,8,0),"")</f>
        <v/>
      </c>
      <c r="J535" s="77" t="str">
        <f>IFERROR(VLOOKUP($AA535,PLAN!$B:$AA,9,0),"")</f>
        <v/>
      </c>
      <c r="K535" s="77" t="str">
        <f>IFERROR(VLOOKUP($AA535,PLAN!$B:$AA,10,0),"")</f>
        <v/>
      </c>
      <c r="L535" s="77" t="str">
        <f>IFERROR(VLOOKUP($AA535,PLAN!$B:$AA,15,0),"")</f>
        <v/>
      </c>
      <c r="M535" s="77" t="str">
        <f>IFERROR(VLOOKUP($AA535,PLAN!$B:$AA,18,0),"")</f>
        <v/>
      </c>
      <c r="N535" s="227" t="str">
        <f>IFERROR(VLOOKUP($AA535,PLAN!$B:$AA,19,0),"")</f>
        <v/>
      </c>
      <c r="O535" s="77" t="str">
        <f>IFERROR(VLOOKUP($AA535,PLAN!$B:$AA,12,0),"")</f>
        <v/>
      </c>
      <c r="P535" s="77" t="str">
        <f>IFERROR(VLOOKUP($AA535,PLAN!$B:$AA,11,0),"")</f>
        <v/>
      </c>
      <c r="Q535" s="277" t="s">
        <v>3221</v>
      </c>
      <c r="R535" s="149" t="s">
        <v>3222</v>
      </c>
      <c r="S535" s="223">
        <f>K534-S534</f>
        <v>14</v>
      </c>
      <c r="T535" s="131"/>
      <c r="U535" s="78" t="str">
        <f>IFERROR(VLOOKUP($AA535,PLAN!$B:$AA,21,0),"")</f>
        <v/>
      </c>
      <c r="V535" s="78" t="str">
        <f>IFERROR(VLOOKUP($AA535,PLAN!$B:$AA,22,0),"")</f>
        <v/>
      </c>
      <c r="W535" s="232"/>
      <c r="X535" s="233"/>
      <c r="Y535" s="212"/>
      <c r="Z535" s="350"/>
      <c r="AA535" s="195"/>
      <c r="AB535" s="132">
        <v>46248</v>
      </c>
      <c r="AC535" s="132"/>
    </row>
    <row r="536" spans="3:29" s="79" customFormat="1" ht="27" customHeight="1">
      <c r="C536" s="249" t="str">
        <f t="shared" si="29"/>
        <v>Aug24-13</v>
      </c>
      <c r="D536" s="77">
        <f>IFERROR(VLOOKUP($AA536,PLAN!$B:$AA,3,0),"")</f>
        <v>11134285</v>
      </c>
      <c r="E536" s="77" t="str">
        <f>IFERROR(VLOOKUP($AA536,PLAN!$B:$AA,4,0),"")</f>
        <v>1911228-F-A</v>
      </c>
      <c r="F536" s="77" t="str">
        <f>IFERROR(VLOOKUP($AA536,PLAN!$B:$AA,5,0),"")</f>
        <v>HJ70SP372P10020 JP</v>
      </c>
      <c r="G536" s="77" t="str">
        <f>IFERROR(VLOOKUP($AA536,PLAN!$B:$AA,2,0),"")</f>
        <v>1001938855</v>
      </c>
      <c r="H536" s="113">
        <f>IFERROR(VLOOKUP($AA536,PLAN!$B:$AA,7,0),"")</f>
        <v>46258</v>
      </c>
      <c r="I536" s="77" t="str">
        <f>IFERROR(VLOOKUP($AA536,PLAN!$B:$AA,8,0),"")</f>
        <v>0103596388</v>
      </c>
      <c r="J536" s="77" t="str">
        <f>IFERROR(VLOOKUP($AA536,PLAN!$B:$AA,9,0),"")</f>
        <v>260805C07A</v>
      </c>
      <c r="K536" s="77">
        <f>IFERROR(VLOOKUP($AA536,PLAN!$B:$AA,10,0),"")</f>
        <v>171</v>
      </c>
      <c r="L536" s="77" t="str">
        <f>IFERROR(VLOOKUP($AA536,PLAN!$B:$AA,15,0),"")</f>
        <v>JAPAN</v>
      </c>
      <c r="M536" s="77">
        <f>IFERROR(VLOOKUP($AA536,PLAN!$B:$AA,18,0),"")</f>
        <v>0</v>
      </c>
      <c r="N536" s="227">
        <f>IFERROR(VLOOKUP($AA536,PLAN!$B:$AA,19,0),"")</f>
        <v>0</v>
      </c>
      <c r="O536" s="77" t="str">
        <f>IFERROR(VLOOKUP($AA536,PLAN!$B:$AA,12,0),"")</f>
        <v>2112230-0-C</v>
      </c>
      <c r="P536" s="77">
        <f>IFERROR(VLOOKUP($AA536,PLAN!$B:$AA,11,0),"")</f>
        <v>12116197</v>
      </c>
      <c r="Q536" s="277" t="s">
        <v>3375</v>
      </c>
      <c r="R536" s="149" t="s">
        <v>3376</v>
      </c>
      <c r="S536" s="223">
        <v>12</v>
      </c>
      <c r="T536" s="131"/>
      <c r="U536" s="78">
        <f>IFERROR(VLOOKUP($AA536,PLAN!$B:$AA,21,0),"")</f>
        <v>46248</v>
      </c>
      <c r="V536" s="78" t="str">
        <f>IFERROR(VLOOKUP($AA536,PLAN!$B:$AA,22,0),"")</f>
        <v>M9</v>
      </c>
      <c r="W536" s="232"/>
      <c r="X536" s="233"/>
      <c r="Y536" s="212"/>
      <c r="Z536" s="350"/>
      <c r="AA536" s="195" t="s">
        <v>3336</v>
      </c>
      <c r="AB536" s="132">
        <f>VLOOKUP(AA536,PLAN!B:V,20,0)</f>
        <v>46248</v>
      </c>
      <c r="AC536" s="132"/>
    </row>
    <row r="537" spans="3:29" s="79" customFormat="1" ht="27" customHeight="1">
      <c r="C537" s="249">
        <f t="shared" si="29"/>
        <v>0</v>
      </c>
      <c r="D537" s="77" t="str">
        <f>IFERROR(VLOOKUP($AA537,PLAN!$B:$AA,3,0),"")</f>
        <v/>
      </c>
      <c r="E537" s="77" t="str">
        <f>IFERROR(VLOOKUP($AA537,PLAN!$B:$AA,4,0),"")</f>
        <v/>
      </c>
      <c r="F537" s="77" t="str">
        <f>IFERROR(VLOOKUP($AA537,PLAN!$B:$AA,5,0),"")</f>
        <v/>
      </c>
      <c r="G537" s="77" t="str">
        <f>IFERROR(VLOOKUP($AA537,PLAN!$B:$AA,2,0),"")</f>
        <v/>
      </c>
      <c r="H537" s="113" t="str">
        <f>IFERROR(VLOOKUP($AA537,PLAN!$B:$AA,7,0),"")</f>
        <v/>
      </c>
      <c r="I537" s="77" t="str">
        <f>IFERROR(VLOOKUP($AA537,PLAN!$B:$AA,8,0),"")</f>
        <v/>
      </c>
      <c r="J537" s="77" t="str">
        <f>IFERROR(VLOOKUP($AA537,PLAN!$B:$AA,9,0),"")</f>
        <v/>
      </c>
      <c r="K537" s="77" t="str">
        <f>IFERROR(VLOOKUP($AA537,PLAN!$B:$AA,10,0),"")</f>
        <v/>
      </c>
      <c r="L537" s="77" t="str">
        <f>IFERROR(VLOOKUP($AA537,PLAN!$B:$AA,15,0),"")</f>
        <v/>
      </c>
      <c r="M537" s="77" t="str">
        <f>IFERROR(VLOOKUP($AA537,PLAN!$B:$AA,18,0),"")</f>
        <v/>
      </c>
      <c r="N537" s="227" t="str">
        <f>IFERROR(VLOOKUP($AA537,PLAN!$B:$AA,19,0),"")</f>
        <v/>
      </c>
      <c r="O537" s="77" t="str">
        <f>IFERROR(VLOOKUP($AA537,PLAN!$B:$AA,12,0),"")</f>
        <v/>
      </c>
      <c r="P537" s="77" t="str">
        <f>IFERROR(VLOOKUP($AA537,PLAN!$B:$AA,11,0),"")</f>
        <v/>
      </c>
      <c r="Q537" s="349" t="s">
        <v>3377</v>
      </c>
      <c r="R537" s="149" t="s">
        <v>3378</v>
      </c>
      <c r="S537" s="223">
        <v>100</v>
      </c>
      <c r="T537" s="131"/>
      <c r="U537" s="78" t="str">
        <f>IFERROR(VLOOKUP($AA537,PLAN!$B:$AA,21,0),"")</f>
        <v/>
      </c>
      <c r="V537" s="78" t="str">
        <f>IFERROR(VLOOKUP($AA537,PLAN!$B:$AA,22,0),"")</f>
        <v/>
      </c>
      <c r="W537" s="232"/>
      <c r="X537" s="233"/>
      <c r="Y537" s="212"/>
      <c r="Z537" s="350"/>
      <c r="AA537" s="195"/>
      <c r="AB537" s="132">
        <v>46248</v>
      </c>
      <c r="AC537" s="132"/>
    </row>
    <row r="538" spans="3:29" s="79" customFormat="1" ht="27" customHeight="1">
      <c r="C538" s="249"/>
      <c r="D538" s="77"/>
      <c r="E538" s="77"/>
      <c r="F538" s="77"/>
      <c r="G538" s="77"/>
      <c r="H538" s="113"/>
      <c r="I538" s="77"/>
      <c r="J538" s="77"/>
      <c r="K538" s="77"/>
      <c r="L538" s="77"/>
      <c r="M538" s="77"/>
      <c r="N538" s="227"/>
      <c r="O538" s="77"/>
      <c r="P538" s="77"/>
      <c r="Q538" s="349" t="s">
        <v>3379</v>
      </c>
      <c r="R538" s="149" t="s">
        <v>3380</v>
      </c>
      <c r="S538" s="223">
        <f>K536-S536-S537</f>
        <v>59</v>
      </c>
      <c r="T538" s="131"/>
      <c r="U538" s="78"/>
      <c r="V538" s="78"/>
      <c r="W538" s="232"/>
      <c r="X538" s="233"/>
      <c r="Y538" s="212"/>
      <c r="Z538" s="350"/>
      <c r="AA538" s="195"/>
      <c r="AB538" s="132">
        <v>46248</v>
      </c>
      <c r="AC538" s="132"/>
    </row>
    <row r="539" spans="3:29" s="79" customFormat="1" ht="27" customHeight="1">
      <c r="C539" s="249" t="str">
        <f t="shared" si="29"/>
        <v>Aug24-14</v>
      </c>
      <c r="D539" s="77">
        <f>IFERROR(VLOOKUP($AA539,PLAN!$B:$AA,3,0),"")</f>
        <v>11134282</v>
      </c>
      <c r="E539" s="77" t="str">
        <f>IFERROR(VLOOKUP($AA539,PLAN!$B:$AA,4,0),"")</f>
        <v>1911225-F-A</v>
      </c>
      <c r="F539" s="77" t="str">
        <f>IFERROR(VLOOKUP($AA539,PLAN!$B:$AA,5,0),"")</f>
        <v>HJ70SP352P10020 JP</v>
      </c>
      <c r="G539" s="77" t="str">
        <f>IFERROR(VLOOKUP($AA539,PLAN!$B:$AA,2,0),"")</f>
        <v>1001938856</v>
      </c>
      <c r="H539" s="113">
        <f>IFERROR(VLOOKUP($AA539,PLAN!$B:$AA,7,0),"")</f>
        <v>46258</v>
      </c>
      <c r="I539" s="77" t="str">
        <f>IFERROR(VLOOKUP($AA539,PLAN!$B:$AA,8,0),"")</f>
        <v>0103596389</v>
      </c>
      <c r="J539" s="77" t="str">
        <f>IFERROR(VLOOKUP($AA539,PLAN!$B:$AA,9,0),"")</f>
        <v>260805C08A</v>
      </c>
      <c r="K539" s="77">
        <f>IFERROR(VLOOKUP($AA539,PLAN!$B:$AA,10,0),"")</f>
        <v>506</v>
      </c>
      <c r="L539" s="77" t="str">
        <f>IFERROR(VLOOKUP($AA539,PLAN!$B:$AA,15,0),"")</f>
        <v>JAPAN</v>
      </c>
      <c r="M539" s="77">
        <f>IFERROR(VLOOKUP($AA539,PLAN!$B:$AA,18,0),"")</f>
        <v>0</v>
      </c>
      <c r="N539" s="227">
        <f>IFERROR(VLOOKUP($AA539,PLAN!$B:$AA,19,0),"")</f>
        <v>0</v>
      </c>
      <c r="O539" s="77" t="str">
        <f>IFERROR(VLOOKUP($AA539,PLAN!$B:$AA,12,0),"")</f>
        <v>2112227-0-C</v>
      </c>
      <c r="P539" s="77">
        <f>IFERROR(VLOOKUP($AA539,PLAN!$B:$AA,11,0),"")</f>
        <v>12116194</v>
      </c>
      <c r="Q539" s="349" t="s">
        <v>3381</v>
      </c>
      <c r="R539" s="149" t="s">
        <v>3382</v>
      </c>
      <c r="S539" s="223">
        <v>150</v>
      </c>
      <c r="T539" s="131"/>
      <c r="U539" s="78">
        <f>IFERROR(VLOOKUP($AA539,PLAN!$B:$AA,21,0),"")</f>
        <v>46248</v>
      </c>
      <c r="V539" s="78" t="str">
        <f>IFERROR(VLOOKUP($AA539,PLAN!$B:$AA,22,0),"")</f>
        <v>M9</v>
      </c>
      <c r="W539" s="232"/>
      <c r="X539" s="233"/>
      <c r="Y539" s="212"/>
      <c r="Z539" s="350"/>
      <c r="AA539" s="195" t="s">
        <v>3337</v>
      </c>
      <c r="AB539" s="132">
        <f>VLOOKUP(AA539,PLAN!B:V,20,0)</f>
        <v>46248</v>
      </c>
      <c r="AC539" s="132"/>
    </row>
    <row r="540" spans="3:29" s="79" customFormat="1" ht="27" customHeight="1">
      <c r="C540" s="249"/>
      <c r="D540" s="77"/>
      <c r="E540" s="77"/>
      <c r="F540" s="77"/>
      <c r="G540" s="77"/>
      <c r="H540" s="113"/>
      <c r="I540" s="77"/>
      <c r="J540" s="77"/>
      <c r="K540" s="77"/>
      <c r="L540" s="77"/>
      <c r="M540" s="77"/>
      <c r="N540" s="227"/>
      <c r="O540" s="77"/>
      <c r="P540" s="77"/>
      <c r="Q540" s="349" t="s">
        <v>3383</v>
      </c>
      <c r="R540" s="149" t="s">
        <v>3384</v>
      </c>
      <c r="S540" s="223">
        <v>150</v>
      </c>
      <c r="T540" s="131"/>
      <c r="U540" s="78"/>
      <c r="V540" s="78"/>
      <c r="W540" s="232"/>
      <c r="X540" s="233"/>
      <c r="Y540" s="212"/>
      <c r="Z540" s="350"/>
      <c r="AA540" s="195"/>
      <c r="AB540" s="132">
        <v>46248</v>
      </c>
      <c r="AC540" s="132"/>
    </row>
    <row r="541" spans="3:29" s="79" customFormat="1" ht="27" customHeight="1">
      <c r="C541" s="249"/>
      <c r="D541" s="77"/>
      <c r="E541" s="77"/>
      <c r="F541" s="77"/>
      <c r="G541" s="77"/>
      <c r="H541" s="113"/>
      <c r="I541" s="77"/>
      <c r="J541" s="77"/>
      <c r="K541" s="77"/>
      <c r="L541" s="77"/>
      <c r="M541" s="77"/>
      <c r="N541" s="227"/>
      <c r="O541" s="77"/>
      <c r="P541" s="77"/>
      <c r="Q541" s="349" t="s">
        <v>3385</v>
      </c>
      <c r="R541" s="149" t="s">
        <v>3386</v>
      </c>
      <c r="S541" s="223">
        <v>150</v>
      </c>
      <c r="T541" s="131"/>
      <c r="U541" s="78"/>
      <c r="V541" s="78"/>
      <c r="W541" s="232"/>
      <c r="X541" s="233"/>
      <c r="Y541" s="212"/>
      <c r="Z541" s="350"/>
      <c r="AA541" s="195"/>
      <c r="AB541" s="132">
        <v>46248</v>
      </c>
      <c r="AC541" s="132"/>
    </row>
    <row r="542" spans="3:29" s="79" customFormat="1" ht="27" customHeight="1">
      <c r="C542" s="249"/>
      <c r="D542" s="77"/>
      <c r="E542" s="77"/>
      <c r="F542" s="77"/>
      <c r="G542" s="77"/>
      <c r="H542" s="113"/>
      <c r="I542" s="77"/>
      <c r="J542" s="77"/>
      <c r="K542" s="77"/>
      <c r="L542" s="77"/>
      <c r="M542" s="77"/>
      <c r="N542" s="227"/>
      <c r="O542" s="77"/>
      <c r="P542" s="77"/>
      <c r="Q542" s="349" t="s">
        <v>3387</v>
      </c>
      <c r="R542" s="158" t="s">
        <v>3388</v>
      </c>
      <c r="S542" s="223">
        <f>K539-S539-S540-S541</f>
        <v>56</v>
      </c>
      <c r="T542" s="131"/>
      <c r="U542" s="78"/>
      <c r="V542" s="78"/>
      <c r="W542" s="232"/>
      <c r="X542" s="233"/>
      <c r="Y542" s="212"/>
      <c r="Z542" s="350"/>
      <c r="AA542" s="195"/>
      <c r="AB542" s="132">
        <v>46248</v>
      </c>
      <c r="AC542" s="132"/>
    </row>
    <row r="543" spans="3:29" s="79" customFormat="1" ht="27" customHeight="1">
      <c r="C543" s="249" t="str">
        <f t="shared" ref="C543" si="35">AA543</f>
        <v>Aug24-15</v>
      </c>
      <c r="D543" s="77">
        <f>IFERROR(VLOOKUP($AA543,PLAN!$B:$AA,3,0),"")</f>
        <v>11119371</v>
      </c>
      <c r="E543" s="77" t="str">
        <f>IFERROR(VLOOKUP($AA543,PLAN!$B:$AA,4,0),"")</f>
        <v>1911039-E-A</v>
      </c>
      <c r="F543" s="77" t="str">
        <f>IFERROR(VLOOKUP($AA543,PLAN!$B:$AA,5,0),"")</f>
        <v>HJ60JL350P10000 JP</v>
      </c>
      <c r="G543" s="77" t="str">
        <f>IFERROR(VLOOKUP($AA543,PLAN!$B:$AA,2,0),"")</f>
        <v>1001938857</v>
      </c>
      <c r="H543" s="113">
        <f>IFERROR(VLOOKUP($AA543,PLAN!$B:$AA,7,0),"")</f>
        <v>46258</v>
      </c>
      <c r="I543" s="77" t="str">
        <f>IFERROR(VLOOKUP($AA543,PLAN!$B:$AA,8,0),"")</f>
        <v>0103596390</v>
      </c>
      <c r="J543" s="77" t="str">
        <f>IFERROR(VLOOKUP($AA543,PLAN!$B:$AA,9,0),"")</f>
        <v>260805C09A</v>
      </c>
      <c r="K543" s="77">
        <f>IFERROR(VLOOKUP($AA543,PLAN!$B:$AA,10,0),"")</f>
        <v>57</v>
      </c>
      <c r="L543" s="77" t="str">
        <f>IFERROR(VLOOKUP($AA543,PLAN!$B:$AA,15,0),"")</f>
        <v>JAPAN</v>
      </c>
      <c r="M543" s="77">
        <f>IFERROR(VLOOKUP($AA543,PLAN!$B:$AA,18,0),"")</f>
        <v>0</v>
      </c>
      <c r="N543" s="227">
        <f>IFERROR(VLOOKUP($AA543,PLAN!$B:$AA,19,0),"")</f>
        <v>0</v>
      </c>
      <c r="O543" s="77" t="str">
        <f>IFERROR(VLOOKUP($AA543,PLAN!$B:$AA,12,0),"")</f>
        <v>2112041-0-C</v>
      </c>
      <c r="P543" s="77">
        <f>IFERROR(VLOOKUP($AA543,PLAN!$B:$AA,11,0),"")</f>
        <v>12116006</v>
      </c>
      <c r="Q543" s="277" t="s">
        <v>803</v>
      </c>
      <c r="R543" s="149" t="s">
        <v>804</v>
      </c>
      <c r="S543" s="223">
        <v>36</v>
      </c>
      <c r="T543" s="131"/>
      <c r="U543" s="78">
        <f>IFERROR(VLOOKUP($AA543,PLAN!$B:$AA,21,0),"")</f>
        <v>46248</v>
      </c>
      <c r="V543" s="78" t="str">
        <f>IFERROR(VLOOKUP($AA543,PLAN!$B:$AA,22,0),"")</f>
        <v>M10</v>
      </c>
      <c r="W543" s="232"/>
      <c r="X543" s="233"/>
      <c r="Y543" s="212"/>
      <c r="Z543" s="350"/>
      <c r="AA543" s="195" t="s">
        <v>3338</v>
      </c>
      <c r="AB543" s="132">
        <f>VLOOKUP(AA543,PLAN!B:V,20,0)</f>
        <v>46248</v>
      </c>
      <c r="AC543" s="132"/>
    </row>
    <row r="544" spans="3:29" s="79" customFormat="1" ht="27" customHeight="1">
      <c r="C544" s="249"/>
      <c r="D544" s="77"/>
      <c r="E544" s="77"/>
      <c r="F544" s="77"/>
      <c r="G544" s="77"/>
      <c r="H544" s="113"/>
      <c r="I544" s="77"/>
      <c r="J544" s="77"/>
      <c r="K544" s="77"/>
      <c r="L544" s="77"/>
      <c r="M544" s="77"/>
      <c r="N544" s="227"/>
      <c r="O544" s="77"/>
      <c r="P544" s="77"/>
      <c r="Q544" s="277" t="s">
        <v>3389</v>
      </c>
      <c r="R544" s="149" t="s">
        <v>3390</v>
      </c>
      <c r="S544" s="223">
        <f>K543-S543</f>
        <v>21</v>
      </c>
      <c r="T544" s="131"/>
      <c r="U544" s="78"/>
      <c r="V544" s="78"/>
      <c r="W544" s="232"/>
      <c r="X544" s="233"/>
      <c r="Y544" s="212"/>
      <c r="Z544" s="350"/>
      <c r="AA544" s="195"/>
      <c r="AB544" s="132">
        <v>46248</v>
      </c>
      <c r="AC544" s="132"/>
    </row>
    <row r="545" spans="3:29" s="79" customFormat="1" ht="27" customHeight="1">
      <c r="C545" s="249" t="str">
        <f t="shared" si="29"/>
        <v>Aug24-16</v>
      </c>
      <c r="D545" s="77">
        <f>IFERROR(VLOOKUP($AA545,PLAN!$B:$AA,3,0),"")</f>
        <v>11119373</v>
      </c>
      <c r="E545" s="77" t="str">
        <f>IFERROR(VLOOKUP($AA545,PLAN!$B:$AA,4,0),"")</f>
        <v>1911041-D-A</v>
      </c>
      <c r="F545" s="77" t="str">
        <f>IFERROR(VLOOKUP($AA545,PLAN!$B:$AA,5,0),"")</f>
        <v>HJ60JL350P10001 JP</v>
      </c>
      <c r="G545" s="77" t="str">
        <f>IFERROR(VLOOKUP($AA545,PLAN!$B:$AA,2,0),"")</f>
        <v>1001938858</v>
      </c>
      <c r="H545" s="113">
        <f>IFERROR(VLOOKUP($AA545,PLAN!$B:$AA,7,0),"")</f>
        <v>46258</v>
      </c>
      <c r="I545" s="77" t="str">
        <f>IFERROR(VLOOKUP($AA545,PLAN!$B:$AA,8,0),"")</f>
        <v>0103596391</v>
      </c>
      <c r="J545" s="77" t="str">
        <f>IFERROR(VLOOKUP($AA545,PLAN!$B:$AA,9,0),"")</f>
        <v>260805C10A</v>
      </c>
      <c r="K545" s="77">
        <f>IFERROR(VLOOKUP($AA545,PLAN!$B:$AA,10,0),"")</f>
        <v>72</v>
      </c>
      <c r="L545" s="77" t="str">
        <f>IFERROR(VLOOKUP($AA545,PLAN!$B:$AA,15,0),"")</f>
        <v>JAPAN</v>
      </c>
      <c r="M545" s="77">
        <f>IFERROR(VLOOKUP($AA545,PLAN!$B:$AA,18,0),"")</f>
        <v>0</v>
      </c>
      <c r="N545" s="227">
        <f>IFERROR(VLOOKUP($AA545,PLAN!$B:$AA,19,0),"")</f>
        <v>0</v>
      </c>
      <c r="O545" s="77" t="str">
        <f>IFERROR(VLOOKUP($AA545,PLAN!$B:$AA,12,0),"")</f>
        <v>2112043-0-C</v>
      </c>
      <c r="P545" s="77">
        <f>IFERROR(VLOOKUP($AA545,PLAN!$B:$AA,11,0),"")</f>
        <v>12116008</v>
      </c>
      <c r="Q545" s="277" t="s">
        <v>3391</v>
      </c>
      <c r="R545" s="149" t="s">
        <v>3392</v>
      </c>
      <c r="S545" s="223">
        <v>36</v>
      </c>
      <c r="T545" s="131"/>
      <c r="U545" s="78">
        <f>IFERROR(VLOOKUP($AA545,PLAN!$B:$AA,21,0),"")</f>
        <v>46248</v>
      </c>
      <c r="V545" s="78" t="str">
        <f>IFERROR(VLOOKUP($AA545,PLAN!$B:$AA,22,0),"")</f>
        <v>M10</v>
      </c>
      <c r="W545" s="232"/>
      <c r="X545" s="233"/>
      <c r="Y545" s="212"/>
      <c r="Z545" s="350"/>
      <c r="AA545" s="195" t="s">
        <v>3339</v>
      </c>
      <c r="AB545" s="132">
        <f>VLOOKUP(AA545,PLAN!B:V,20,0)</f>
        <v>46248</v>
      </c>
      <c r="AC545" s="132"/>
    </row>
    <row r="546" spans="3:29" s="79" customFormat="1" ht="27" customHeight="1">
      <c r="C546" s="249">
        <f t="shared" si="29"/>
        <v>0</v>
      </c>
      <c r="D546" s="77" t="str">
        <f>IFERROR(VLOOKUP($AA546,PLAN!$B:$AA,3,0),"")</f>
        <v/>
      </c>
      <c r="E546" s="77" t="str">
        <f>IFERROR(VLOOKUP($AA546,PLAN!$B:$AA,4,0),"")</f>
        <v/>
      </c>
      <c r="F546" s="77" t="str">
        <f>IFERROR(VLOOKUP($AA546,PLAN!$B:$AA,5,0),"")</f>
        <v/>
      </c>
      <c r="G546" s="77" t="str">
        <f>IFERROR(VLOOKUP($AA546,PLAN!$B:$AA,2,0),"")</f>
        <v/>
      </c>
      <c r="H546" s="113" t="str">
        <f>IFERROR(VLOOKUP($AA546,PLAN!$B:$AA,7,0),"")</f>
        <v/>
      </c>
      <c r="I546" s="77" t="str">
        <f>IFERROR(VLOOKUP($AA546,PLAN!$B:$AA,8,0),"")</f>
        <v/>
      </c>
      <c r="J546" s="77" t="str">
        <f>IFERROR(VLOOKUP($AA546,PLAN!$B:$AA,9,0),"")</f>
        <v/>
      </c>
      <c r="K546" s="77" t="str">
        <f>IFERROR(VLOOKUP($AA546,PLAN!$B:$AA,10,0),"")</f>
        <v/>
      </c>
      <c r="L546" s="77" t="str">
        <f>IFERROR(VLOOKUP($AA546,PLAN!$B:$AA,15,0),"")</f>
        <v/>
      </c>
      <c r="M546" s="77" t="str">
        <f>IFERROR(VLOOKUP($AA546,PLAN!$B:$AA,18,0),"")</f>
        <v/>
      </c>
      <c r="N546" s="227" t="str">
        <f>IFERROR(VLOOKUP($AA546,PLAN!$B:$AA,19,0),"")</f>
        <v/>
      </c>
      <c r="O546" s="77" t="str">
        <f>IFERROR(VLOOKUP($AA546,PLAN!$B:$AA,12,0),"")</f>
        <v/>
      </c>
      <c r="P546" s="77" t="str">
        <f>IFERROR(VLOOKUP($AA546,PLAN!$B:$AA,11,0),"")</f>
        <v/>
      </c>
      <c r="Q546" s="277" t="s">
        <v>3393</v>
      </c>
      <c r="R546" s="149" t="s">
        <v>3394</v>
      </c>
      <c r="S546" s="223">
        <f>K545-S545</f>
        <v>36</v>
      </c>
      <c r="T546" s="131"/>
      <c r="U546" s="78" t="str">
        <f>IFERROR(VLOOKUP($AA546,PLAN!$B:$AA,21,0),"")</f>
        <v/>
      </c>
      <c r="V546" s="78" t="str">
        <f>IFERROR(VLOOKUP($AA546,PLAN!$B:$AA,22,0),"")</f>
        <v/>
      </c>
      <c r="W546" s="232"/>
      <c r="X546" s="233"/>
      <c r="Y546" s="212"/>
      <c r="Z546" s="350"/>
      <c r="AA546" s="195"/>
      <c r="AB546" s="132">
        <v>46248</v>
      </c>
      <c r="AC546" s="132"/>
    </row>
    <row r="547" spans="3:29" s="79" customFormat="1" ht="27" customHeight="1">
      <c r="C547" s="249" t="str">
        <f t="shared" si="29"/>
        <v>Aug24-18</v>
      </c>
      <c r="D547" s="77">
        <f>IFERROR(VLOOKUP($AA547,PLAN!$B:$AA,3,0),"")</f>
        <v>11119416</v>
      </c>
      <c r="E547" s="77" t="str">
        <f>IFERROR(VLOOKUP($AA547,PLAN!$B:$AA,4,0),"")</f>
        <v>1911084-E-A</v>
      </c>
      <c r="F547" s="77" t="str">
        <f>IFERROR(VLOOKUP($AA547,PLAN!$B:$AA,5,0),"")</f>
        <v>HJ60AL102P10022 JP</v>
      </c>
      <c r="G547" s="77" t="str">
        <f>IFERROR(VLOOKUP($AA547,PLAN!$B:$AA,2,0),"")</f>
        <v>1001938860</v>
      </c>
      <c r="H547" s="113">
        <f>IFERROR(VLOOKUP($AA547,PLAN!$B:$AA,7,0),"")</f>
        <v>46258</v>
      </c>
      <c r="I547" s="77" t="str">
        <f>IFERROR(VLOOKUP($AA547,PLAN!$B:$AA,8,0),"")</f>
        <v>0103596393</v>
      </c>
      <c r="J547" s="77" t="str">
        <f>IFERROR(VLOOKUP($AA547,PLAN!$B:$AA,9,0),"")</f>
        <v>260805C12A</v>
      </c>
      <c r="K547" s="77">
        <f>IFERROR(VLOOKUP($AA547,PLAN!$B:$AA,10,0),"")</f>
        <v>177</v>
      </c>
      <c r="L547" s="77" t="str">
        <f>IFERROR(VLOOKUP($AA547,PLAN!$B:$AA,15,0),"")</f>
        <v>JAPAN</v>
      </c>
      <c r="M547" s="77">
        <f>IFERROR(VLOOKUP($AA547,PLAN!$B:$AA,18,0),"")</f>
        <v>0</v>
      </c>
      <c r="N547" s="227">
        <f>IFERROR(VLOOKUP($AA547,PLAN!$B:$AA,19,0),"")</f>
        <v>0</v>
      </c>
      <c r="O547" s="77" t="str">
        <f>IFERROR(VLOOKUP($AA547,PLAN!$B:$AA,12,0),"")</f>
        <v>2112086-0-C</v>
      </c>
      <c r="P547" s="77">
        <f>IFERROR(VLOOKUP($AA547,PLAN!$B:$AA,11,0),"")</f>
        <v>12116051</v>
      </c>
      <c r="Q547" s="277" t="s">
        <v>4710</v>
      </c>
      <c r="R547" s="149" t="s">
        <v>4711</v>
      </c>
      <c r="S547" s="343">
        <v>98</v>
      </c>
      <c r="T547" s="131"/>
      <c r="U547" s="78">
        <f>IFERROR(VLOOKUP($AA547,PLAN!$B:$AA,21,0),"")</f>
        <v>46248</v>
      </c>
      <c r="V547" s="78" t="str">
        <f>IFERROR(VLOOKUP($AA547,PLAN!$B:$AA,22,0),"")</f>
        <v>M10</v>
      </c>
      <c r="W547" s="232"/>
      <c r="X547" s="233"/>
      <c r="Y547" s="212"/>
      <c r="Z547" s="350"/>
      <c r="AA547" s="195" t="s">
        <v>3341</v>
      </c>
      <c r="AB547" s="132">
        <f>VLOOKUP(AA547,PLAN!B:V,20,0)</f>
        <v>46248</v>
      </c>
      <c r="AC547" s="132"/>
    </row>
    <row r="548" spans="3:29" s="79" customFormat="1" ht="27" customHeight="1">
      <c r="C548" s="249"/>
      <c r="D548" s="77"/>
      <c r="E548" s="77"/>
      <c r="F548" s="77"/>
      <c r="G548" s="77"/>
      <c r="H548" s="113"/>
      <c r="I548" s="77"/>
      <c r="J548" s="77"/>
      <c r="K548" s="77"/>
      <c r="L548" s="77"/>
      <c r="M548" s="77"/>
      <c r="N548" s="227"/>
      <c r="O548" s="77"/>
      <c r="P548" s="77"/>
      <c r="Q548" s="349" t="s">
        <v>3395</v>
      </c>
      <c r="R548" s="149" t="s">
        <v>3396</v>
      </c>
      <c r="S548" s="223">
        <f>K547-S547</f>
        <v>79</v>
      </c>
      <c r="T548" s="131"/>
      <c r="U548" s="78"/>
      <c r="V548" s="78"/>
      <c r="W548" s="232"/>
      <c r="X548" s="233"/>
      <c r="Y548" s="212"/>
      <c r="Z548" s="350"/>
      <c r="AA548" s="195"/>
      <c r="AB548" s="132">
        <v>46248</v>
      </c>
      <c r="AC548" s="132"/>
    </row>
    <row r="549" spans="3:29" s="79" customFormat="1" ht="27" customHeight="1">
      <c r="C549" s="249" t="str">
        <f t="shared" si="29"/>
        <v>Aug24-19</v>
      </c>
      <c r="D549" s="77">
        <f>IFERROR(VLOOKUP($AA549,PLAN!$B:$AA,3,0),"")</f>
        <v>11119415</v>
      </c>
      <c r="E549" s="77" t="str">
        <f>IFERROR(VLOOKUP($AA549,PLAN!$B:$AA,4,0),"")</f>
        <v>1911083-D-A</v>
      </c>
      <c r="F549" s="77" t="str">
        <f>IFERROR(VLOOKUP($AA549,PLAN!$B:$AA,5,0),"")</f>
        <v>HJ60AL100P10022 JP</v>
      </c>
      <c r="G549" s="77" t="str">
        <f>IFERROR(VLOOKUP($AA549,PLAN!$B:$AA,2,0),"")</f>
        <v>1001938861</v>
      </c>
      <c r="H549" s="113">
        <f>IFERROR(VLOOKUP($AA549,PLAN!$B:$AA,7,0),"")</f>
        <v>46258</v>
      </c>
      <c r="I549" s="77" t="str">
        <f>IFERROR(VLOOKUP($AA549,PLAN!$B:$AA,8,0),"")</f>
        <v>0103596394</v>
      </c>
      <c r="J549" s="77" t="str">
        <f>IFERROR(VLOOKUP($AA549,PLAN!$B:$AA,9,0),"")</f>
        <v>260805C13A</v>
      </c>
      <c r="K549" s="77">
        <f>IFERROR(VLOOKUP($AA549,PLAN!$B:$AA,10,0),"")</f>
        <v>435</v>
      </c>
      <c r="L549" s="77" t="str">
        <f>IFERROR(VLOOKUP($AA549,PLAN!$B:$AA,15,0),"")</f>
        <v>JAPAN</v>
      </c>
      <c r="M549" s="77">
        <f>IFERROR(VLOOKUP($AA549,PLAN!$B:$AA,18,0),"")</f>
        <v>0</v>
      </c>
      <c r="N549" s="227">
        <f>IFERROR(VLOOKUP($AA549,PLAN!$B:$AA,19,0),"")</f>
        <v>0</v>
      </c>
      <c r="O549" s="77" t="str">
        <f>IFERROR(VLOOKUP($AA549,PLAN!$B:$AA,12,0),"")</f>
        <v>2112085-0-C</v>
      </c>
      <c r="P549" s="77">
        <f>IFERROR(VLOOKUP($AA549,PLAN!$B:$AA,11,0),"")</f>
        <v>12116050</v>
      </c>
      <c r="Q549" s="277" t="s">
        <v>3397</v>
      </c>
      <c r="R549" s="149" t="s">
        <v>3398</v>
      </c>
      <c r="S549" s="223">
        <v>71</v>
      </c>
      <c r="T549" s="131"/>
      <c r="U549" s="78">
        <f>IFERROR(VLOOKUP($AA549,PLAN!$B:$AA,21,0),"")</f>
        <v>46248</v>
      </c>
      <c r="V549" s="78" t="str">
        <f>IFERROR(VLOOKUP($AA549,PLAN!$B:$AA,22,0),"")</f>
        <v>M10</v>
      </c>
      <c r="W549" s="232"/>
      <c r="X549" s="233"/>
      <c r="Y549" s="212"/>
      <c r="Z549" s="350"/>
      <c r="AA549" s="195" t="s">
        <v>3342</v>
      </c>
      <c r="AB549" s="132">
        <f>VLOOKUP(AA549,PLAN!B:V,20,0)</f>
        <v>46248</v>
      </c>
      <c r="AC549" s="132"/>
    </row>
    <row r="550" spans="3:29" s="79" customFormat="1" ht="27" customHeight="1">
      <c r="C550" s="249"/>
      <c r="D550" s="77"/>
      <c r="E550" s="77"/>
      <c r="F550" s="77"/>
      <c r="G550" s="77"/>
      <c r="H550" s="113"/>
      <c r="I550" s="77"/>
      <c r="J550" s="77"/>
      <c r="K550" s="77"/>
      <c r="L550" s="77"/>
      <c r="M550" s="77"/>
      <c r="N550" s="227"/>
      <c r="O550" s="77"/>
      <c r="P550" s="77"/>
      <c r="Q550" s="277" t="s">
        <v>3399</v>
      </c>
      <c r="R550" s="149" t="s">
        <v>3400</v>
      </c>
      <c r="S550" s="223">
        <v>90</v>
      </c>
      <c r="T550" s="131"/>
      <c r="U550" s="78"/>
      <c r="V550" s="78"/>
      <c r="W550" s="232"/>
      <c r="X550" s="233"/>
      <c r="Y550" s="212"/>
      <c r="Z550" s="350"/>
      <c r="AA550" s="195"/>
      <c r="AB550" s="132">
        <v>46248</v>
      </c>
      <c r="AC550" s="132"/>
    </row>
    <row r="551" spans="3:29" s="79" customFormat="1" ht="27" customHeight="1">
      <c r="C551" s="249"/>
      <c r="D551" s="77"/>
      <c r="E551" s="77"/>
      <c r="F551" s="77"/>
      <c r="G551" s="77"/>
      <c r="H551" s="113"/>
      <c r="I551" s="77"/>
      <c r="J551" s="77"/>
      <c r="K551" s="77"/>
      <c r="L551" s="77"/>
      <c r="M551" s="77"/>
      <c r="N551" s="227"/>
      <c r="O551" s="77"/>
      <c r="P551" s="77"/>
      <c r="Q551" s="349" t="s">
        <v>3401</v>
      </c>
      <c r="R551" s="149" t="s">
        <v>3402</v>
      </c>
      <c r="S551" s="223">
        <v>150</v>
      </c>
      <c r="T551" s="131"/>
      <c r="U551" s="78"/>
      <c r="V551" s="78"/>
      <c r="W551" s="232"/>
      <c r="X551" s="233"/>
      <c r="Y551" s="212"/>
      <c r="Z551" s="350"/>
      <c r="AA551" s="195"/>
      <c r="AB551" s="132">
        <v>46248</v>
      </c>
      <c r="AC551" s="132"/>
    </row>
    <row r="552" spans="3:29" s="79" customFormat="1" ht="27" customHeight="1">
      <c r="C552" s="249"/>
      <c r="D552" s="77"/>
      <c r="E552" s="77"/>
      <c r="F552" s="77"/>
      <c r="G552" s="77"/>
      <c r="H552" s="113"/>
      <c r="I552" s="77"/>
      <c r="J552" s="77"/>
      <c r="K552" s="77"/>
      <c r="L552" s="77"/>
      <c r="M552" s="77"/>
      <c r="N552" s="227"/>
      <c r="O552" s="77"/>
      <c r="P552" s="77"/>
      <c r="Q552" s="349" t="s">
        <v>3403</v>
      </c>
      <c r="R552" s="149" t="s">
        <v>3404</v>
      </c>
      <c r="S552" s="223">
        <f>K549-S549-S550-S551</f>
        <v>124</v>
      </c>
      <c r="T552" s="131"/>
      <c r="U552" s="78"/>
      <c r="V552" s="78"/>
      <c r="W552" s="232"/>
      <c r="X552" s="233"/>
      <c r="Y552" s="212"/>
      <c r="Z552" s="350"/>
      <c r="AA552" s="195"/>
      <c r="AB552" s="132">
        <v>46248</v>
      </c>
      <c r="AC552" s="132"/>
    </row>
    <row r="553" spans="3:29" s="79" customFormat="1" ht="27" customHeight="1">
      <c r="C553" s="249" t="str">
        <f t="shared" si="29"/>
        <v>Aug24-20</v>
      </c>
      <c r="D553" s="77">
        <f>IFERROR(VLOOKUP($AA553,PLAN!$B:$AA,3,0),"")</f>
        <v>12012480</v>
      </c>
      <c r="E553" s="77" t="str">
        <f>IFERROR(VLOOKUP($AA553,PLAN!$B:$AA,4,0),"")</f>
        <v>PR1944001-0-A</v>
      </c>
      <c r="F553" s="77" t="str">
        <f>IFERROR(VLOOKUP($AA553,PLAN!$B:$AA,5,0),"")</f>
        <v>2009007 MASTERS HF</v>
      </c>
      <c r="G553" s="77" t="str">
        <f>IFERROR(VLOOKUP($AA553,PLAN!$B:$AA,2,0),"")</f>
        <v>1001939134</v>
      </c>
      <c r="H553" s="113">
        <f>IFERROR(VLOOKUP($AA553,PLAN!$B:$AA,7,0),"")</f>
        <v>46258</v>
      </c>
      <c r="I553" s="77" t="str">
        <f>IFERROR(VLOOKUP($AA553,PLAN!$B:$AA,8,0),"")</f>
        <v>0103596796</v>
      </c>
      <c r="J553" s="77" t="str">
        <f>IFERROR(VLOOKUP($AA553,PLAN!$B:$AA,9,0),"")</f>
        <v>260805K06A</v>
      </c>
      <c r="K553" s="77">
        <f>IFERROR(VLOOKUP($AA553,PLAN!$B:$AA,10,0),"")</f>
        <v>123</v>
      </c>
      <c r="L553" s="77" t="str">
        <f>IFERROR(VLOOKUP($AA553,PLAN!$B:$AA,15,0),"")</f>
        <v>JAPAN</v>
      </c>
      <c r="M553" s="77">
        <f>IFERROR(VLOOKUP($AA553,PLAN!$B:$AA,18,0),"")</f>
        <v>0</v>
      </c>
      <c r="N553" s="227">
        <f>IFERROR(VLOOKUP($AA553,PLAN!$B:$AA,19,0),"")</f>
        <v>0</v>
      </c>
      <c r="O553" s="77" t="str">
        <f>IFERROR(VLOOKUP($AA553,PLAN!$B:$AA,12,0),"")</f>
        <v>PR19SR002-0-D</v>
      </c>
      <c r="P553" s="77">
        <f>IFERROR(VLOOKUP($AA553,PLAN!$B:$AA,11,0),"")</f>
        <v>12003986</v>
      </c>
      <c r="Q553" s="148" t="s">
        <v>458</v>
      </c>
      <c r="R553" s="222" t="s">
        <v>459</v>
      </c>
      <c r="S553" s="223">
        <v>78</v>
      </c>
      <c r="T553" s="131"/>
      <c r="U553" s="78">
        <f>IFERROR(VLOOKUP($AA553,PLAN!$B:$AA,21,0),"")</f>
        <v>46248</v>
      </c>
      <c r="V553" s="78" t="str">
        <f>IFERROR(VLOOKUP($AA553,PLAN!$B:$AA,22,0),"")</f>
        <v>M10</v>
      </c>
      <c r="W553" s="232"/>
      <c r="X553" s="233"/>
      <c r="Y553" s="212"/>
      <c r="Z553" s="350"/>
      <c r="AA553" s="195" t="s">
        <v>3356</v>
      </c>
      <c r="AB553" s="132">
        <f>VLOOKUP(AA553,PLAN!B:V,20,0)</f>
        <v>46248</v>
      </c>
      <c r="AC553" s="132"/>
    </row>
    <row r="554" spans="3:29" s="79" customFormat="1" ht="27" customHeight="1">
      <c r="C554" s="249">
        <f t="shared" si="29"/>
        <v>0</v>
      </c>
      <c r="D554" s="77" t="str">
        <f>IFERROR(VLOOKUP($AA554,PLAN!$B:$AA,3,0),"")</f>
        <v/>
      </c>
      <c r="E554" s="77" t="str">
        <f>IFERROR(VLOOKUP($AA554,PLAN!$B:$AA,4,0),"")</f>
        <v/>
      </c>
      <c r="F554" s="77" t="str">
        <f>IFERROR(VLOOKUP($AA554,PLAN!$B:$AA,5,0),"")</f>
        <v/>
      </c>
      <c r="G554" s="77" t="str">
        <f>IFERROR(VLOOKUP($AA554,PLAN!$B:$AA,2,0),"")</f>
        <v/>
      </c>
      <c r="H554" s="113" t="str">
        <f>IFERROR(VLOOKUP($AA554,PLAN!$B:$AA,7,0),"")</f>
        <v/>
      </c>
      <c r="I554" s="77" t="str">
        <f>IFERROR(VLOOKUP($AA554,PLAN!$B:$AA,8,0),"")</f>
        <v/>
      </c>
      <c r="J554" s="77" t="str">
        <f>IFERROR(VLOOKUP($AA554,PLAN!$B:$AA,9,0),"")</f>
        <v/>
      </c>
      <c r="K554" s="77" t="str">
        <f>IFERROR(VLOOKUP($AA554,PLAN!$B:$AA,10,0),"")</f>
        <v/>
      </c>
      <c r="L554" s="77" t="str">
        <f>IFERROR(VLOOKUP($AA554,PLAN!$B:$AA,15,0),"")</f>
        <v/>
      </c>
      <c r="M554" s="77" t="str">
        <f>IFERROR(VLOOKUP($AA554,PLAN!$B:$AA,18,0),"")</f>
        <v/>
      </c>
      <c r="N554" s="227" t="str">
        <f>IFERROR(VLOOKUP($AA554,PLAN!$B:$AA,19,0),"")</f>
        <v/>
      </c>
      <c r="O554" s="77" t="str">
        <f>IFERROR(VLOOKUP($AA554,PLAN!$B:$AA,12,0),"")</f>
        <v/>
      </c>
      <c r="P554" s="77" t="str">
        <f>IFERROR(VLOOKUP($AA554,PLAN!$B:$AA,11,0),"")</f>
        <v/>
      </c>
      <c r="Q554" s="148" t="s">
        <v>3405</v>
      </c>
      <c r="R554" s="222" t="s">
        <v>3406</v>
      </c>
      <c r="S554" s="223">
        <f>K553-S553</f>
        <v>45</v>
      </c>
      <c r="T554" s="131"/>
      <c r="U554" s="78" t="str">
        <f>IFERROR(VLOOKUP($AA554,PLAN!$B:$AA,21,0),"")</f>
        <v/>
      </c>
      <c r="V554" s="78" t="str">
        <f>IFERROR(VLOOKUP($AA554,PLAN!$B:$AA,22,0),"")</f>
        <v/>
      </c>
      <c r="W554" s="232"/>
      <c r="X554" s="233"/>
      <c r="Y554" s="212"/>
      <c r="Z554" s="350"/>
      <c r="AA554" s="195"/>
      <c r="AB554" s="132">
        <v>46248</v>
      </c>
      <c r="AC554" s="132"/>
    </row>
    <row r="555" spans="3:29" s="79" customFormat="1" ht="21.6" customHeight="1">
      <c r="C555" s="249" t="str">
        <f t="shared" si="29"/>
        <v>Aug25-01</v>
      </c>
      <c r="D555" s="77">
        <f>IFERROR(VLOOKUP($AA555,PLAN!$B:$AA,3,0),"")</f>
        <v>11131256</v>
      </c>
      <c r="E555" s="77" t="str">
        <f>IFERROR(VLOOKUP($AA555,PLAN!$B:$AA,4,0),"")</f>
        <v>1841033-E-A</v>
      </c>
      <c r="F555" s="77" t="str">
        <f>IFERROR(VLOOKUP($AA555,PLAN!$B:$AA,5,0),"")</f>
        <v>CRV135-19M JP</v>
      </c>
      <c r="G555" s="77" t="str">
        <f>IFERROR(VLOOKUP($AA555,PLAN!$B:$AA,2,0),"")</f>
        <v>1001938869</v>
      </c>
      <c r="H555" s="113">
        <f>IFERROR(VLOOKUP($AA555,PLAN!$B:$AA,7,0),"")</f>
        <v>46259</v>
      </c>
      <c r="I555" s="77" t="str">
        <f>IFERROR(VLOOKUP($AA555,PLAN!$B:$AA,8,0),"")</f>
        <v>0103596402</v>
      </c>
      <c r="J555" s="77" t="str">
        <f>IFERROR(VLOOKUP($AA555,PLAN!$B:$AA,9,0),"")</f>
        <v>260805K03A</v>
      </c>
      <c r="K555" s="77">
        <f>IFERROR(VLOOKUP($AA555,PLAN!$B:$AA,10,0),"")</f>
        <v>1202</v>
      </c>
      <c r="L555" s="77" t="str">
        <f>IFERROR(VLOOKUP($AA555,PLAN!$B:$AA,15,0),"")</f>
        <v>JAPAN</v>
      </c>
      <c r="M555" s="77">
        <f>IFERROR(VLOOKUP($AA555,PLAN!$B:$AA,18,0),"")</f>
        <v>0</v>
      </c>
      <c r="N555" s="227">
        <f>IFERROR(VLOOKUP($AA555,PLAN!$B:$AA,19,0),"")</f>
        <v>0</v>
      </c>
      <c r="O555" s="77" t="str">
        <f>IFERROR(VLOOKUP($AA555,PLAN!$B:$AA,12,0),"")</f>
        <v>1842014-C-C</v>
      </c>
      <c r="P555" s="77">
        <f>IFERROR(VLOOKUP($AA555,PLAN!$B:$AA,11,0),"")</f>
        <v>12121043</v>
      </c>
      <c r="Q555" s="349" t="s">
        <v>3371</v>
      </c>
      <c r="R555" s="149" t="s">
        <v>3372</v>
      </c>
      <c r="S555" s="223">
        <v>150</v>
      </c>
      <c r="T555" s="131"/>
      <c r="U555" s="78">
        <f>IFERROR(VLOOKUP($AA555,PLAN!$B:$AA,21,0),"")</f>
        <v>46249</v>
      </c>
      <c r="V555" s="78" t="str">
        <f>IFERROR(VLOOKUP($AA555,PLAN!$B:$AA,22,0),"")</f>
        <v>M8</v>
      </c>
      <c r="W555" s="232"/>
      <c r="X555" s="233"/>
      <c r="Y555" s="212"/>
      <c r="Z555" s="350"/>
      <c r="AA555" s="195" t="s">
        <v>3343</v>
      </c>
      <c r="AB555" s="132">
        <f>VLOOKUP(AA555,PLAN!B:V,20,0)</f>
        <v>46249</v>
      </c>
      <c r="AC555" s="132"/>
    </row>
    <row r="556" spans="3:29" s="79" customFormat="1" ht="21.6" customHeight="1">
      <c r="C556" s="249"/>
      <c r="D556" s="77"/>
      <c r="E556" s="77"/>
      <c r="F556" s="77"/>
      <c r="G556" s="77"/>
      <c r="H556" s="113"/>
      <c r="I556" s="77"/>
      <c r="J556" s="77"/>
      <c r="K556" s="77"/>
      <c r="L556" s="77"/>
      <c r="M556" s="77"/>
      <c r="N556" s="227"/>
      <c r="O556" s="77"/>
      <c r="P556" s="77"/>
      <c r="Q556" s="349" t="s">
        <v>3407</v>
      </c>
      <c r="R556" s="149" t="s">
        <v>3408</v>
      </c>
      <c r="S556" s="223">
        <v>310</v>
      </c>
      <c r="T556" s="131"/>
      <c r="U556" s="78"/>
      <c r="V556" s="78"/>
      <c r="W556" s="232"/>
      <c r="X556" s="233"/>
      <c r="Y556" s="212"/>
      <c r="Z556" s="350"/>
      <c r="AA556" s="195"/>
      <c r="AB556" s="132">
        <v>46249</v>
      </c>
      <c r="AC556" s="132"/>
    </row>
    <row r="557" spans="3:29" s="79" customFormat="1" ht="21.6" customHeight="1">
      <c r="C557" s="249"/>
      <c r="D557" s="77"/>
      <c r="E557" s="77"/>
      <c r="F557" s="77"/>
      <c r="G557" s="77"/>
      <c r="H557" s="113"/>
      <c r="I557" s="77"/>
      <c r="J557" s="77"/>
      <c r="K557" s="77"/>
      <c r="L557" s="77"/>
      <c r="M557" s="77"/>
      <c r="N557" s="227"/>
      <c r="O557" s="77"/>
      <c r="P557" s="77"/>
      <c r="Q557" s="349" t="s">
        <v>3409</v>
      </c>
      <c r="R557" s="149" t="s">
        <v>3410</v>
      </c>
      <c r="S557" s="223">
        <v>309</v>
      </c>
      <c r="T557" s="131"/>
      <c r="U557" s="78"/>
      <c r="V557" s="78"/>
      <c r="W557" s="232"/>
      <c r="X557" s="233"/>
      <c r="Y557" s="212"/>
      <c r="Z557" s="350"/>
      <c r="AA557" s="195"/>
      <c r="AB557" s="132">
        <v>46249</v>
      </c>
      <c r="AC557" s="132"/>
    </row>
    <row r="558" spans="3:29" s="79" customFormat="1" ht="21.6" customHeight="1">
      <c r="C558" s="249"/>
      <c r="D558" s="77"/>
      <c r="E558" s="77"/>
      <c r="F558" s="77"/>
      <c r="G558" s="77"/>
      <c r="H558" s="113"/>
      <c r="I558" s="77"/>
      <c r="J558" s="77"/>
      <c r="K558" s="77"/>
      <c r="L558" s="77"/>
      <c r="M558" s="77"/>
      <c r="N558" s="227"/>
      <c r="O558" s="77"/>
      <c r="P558" s="77"/>
      <c r="Q558" s="349" t="s">
        <v>3411</v>
      </c>
      <c r="R558" s="149" t="s">
        <v>3412</v>
      </c>
      <c r="S558" s="223">
        <v>310</v>
      </c>
      <c r="T558" s="131"/>
      <c r="U558" s="78"/>
      <c r="V558" s="78"/>
      <c r="W558" s="232"/>
      <c r="X558" s="233"/>
      <c r="Y558" s="212"/>
      <c r="Z558" s="350"/>
      <c r="AA558" s="195"/>
      <c r="AB558" s="132">
        <v>46249</v>
      </c>
      <c r="AC558" s="132"/>
    </row>
    <row r="559" spans="3:29" s="79" customFormat="1" ht="21.6" customHeight="1">
      <c r="C559" s="249"/>
      <c r="D559" s="77"/>
      <c r="E559" s="77"/>
      <c r="F559" s="77"/>
      <c r="G559" s="77"/>
      <c r="H559" s="113"/>
      <c r="I559" s="77"/>
      <c r="J559" s="77"/>
      <c r="K559" s="77"/>
      <c r="L559" s="77"/>
      <c r="M559" s="77"/>
      <c r="N559" s="227"/>
      <c r="O559" s="77"/>
      <c r="P559" s="77"/>
      <c r="Q559" s="349" t="s">
        <v>3413</v>
      </c>
      <c r="R559" s="149" t="s">
        <v>3414</v>
      </c>
      <c r="S559" s="223">
        <f>K555-S555-S556-S557-S558</f>
        <v>123</v>
      </c>
      <c r="T559" s="131"/>
      <c r="U559" s="78"/>
      <c r="V559" s="78"/>
      <c r="W559" s="232"/>
      <c r="X559" s="233"/>
      <c r="Y559" s="212"/>
      <c r="Z559" s="350"/>
      <c r="AA559" s="195"/>
      <c r="AB559" s="132">
        <v>46249</v>
      </c>
      <c r="AC559" s="132"/>
    </row>
    <row r="560" spans="3:29" s="79" customFormat="1" ht="21.6" customHeight="1">
      <c r="C560" s="249" t="str">
        <f t="shared" ref="C560:C561" si="36">AA560</f>
        <v>Aug25-02</v>
      </c>
      <c r="D560" s="77">
        <f>IFERROR(VLOOKUP($AA560,PLAN!$B:$AA,3,0),"")</f>
        <v>11127836</v>
      </c>
      <c r="E560" s="77" t="str">
        <f>IFERROR(VLOOKUP($AA560,PLAN!$B:$AA,4,0),"")</f>
        <v>1941080-D-A</v>
      </c>
      <c r="F560" s="77" t="str">
        <f>IFERROR(VLOOKUP($AA560,PLAN!$B:$AA,5,0),"")</f>
        <v>CSRP150-26NR JP</v>
      </c>
      <c r="G560" s="77" t="str">
        <f>IFERROR(VLOOKUP($AA560,PLAN!$B:$AA,2,0),"")</f>
        <v>1001938870</v>
      </c>
      <c r="H560" s="113">
        <f>IFERROR(VLOOKUP($AA560,PLAN!$B:$AA,7,0),"")</f>
        <v>46259</v>
      </c>
      <c r="I560" s="77" t="str">
        <f>IFERROR(VLOOKUP($AA560,PLAN!$B:$AA,8,0),"")</f>
        <v>0103596403</v>
      </c>
      <c r="J560" s="77" t="str">
        <f>IFERROR(VLOOKUP($AA560,PLAN!$B:$AA,9,0),"")</f>
        <v>260805K04A</v>
      </c>
      <c r="K560" s="77">
        <f>IFERROR(VLOOKUP($AA560,PLAN!$B:$AA,10,0),"")</f>
        <v>78</v>
      </c>
      <c r="L560" s="77" t="str">
        <f>IFERROR(VLOOKUP($AA560,PLAN!$B:$AA,15,0),"")</f>
        <v>JAPAN</v>
      </c>
      <c r="M560" s="77">
        <f>IFERROR(VLOOKUP($AA560,PLAN!$B:$AA,18,0),"")</f>
        <v>0</v>
      </c>
      <c r="N560" s="227">
        <f>IFERROR(VLOOKUP($AA560,PLAN!$B:$AA,19,0),"")</f>
        <v>0</v>
      </c>
      <c r="O560" s="77" t="str">
        <f>IFERROR(VLOOKUP($AA560,PLAN!$B:$AA,12,0),"")</f>
        <v>1942115-B-C</v>
      </c>
      <c r="P560" s="77">
        <f>IFERROR(VLOOKUP($AA560,PLAN!$B:$AA,11,0),"")</f>
        <v>12120582</v>
      </c>
      <c r="Q560" s="349" t="s">
        <v>3415</v>
      </c>
      <c r="R560" s="222" t="s">
        <v>3416</v>
      </c>
      <c r="S560" s="149">
        <f t="shared" ref="S560" si="37">K560</f>
        <v>78</v>
      </c>
      <c r="T560" s="131"/>
      <c r="U560" s="78">
        <f>IFERROR(VLOOKUP($AA560,PLAN!$B:$AA,21,0),"")</f>
        <v>46249</v>
      </c>
      <c r="V560" s="78" t="str">
        <f>IFERROR(VLOOKUP($AA560,PLAN!$B:$AA,22,0),"")</f>
        <v>M5</v>
      </c>
      <c r="W560" s="232"/>
      <c r="X560" s="233"/>
      <c r="Y560" s="212"/>
      <c r="Z560" s="350"/>
      <c r="AA560" s="195" t="s">
        <v>3344</v>
      </c>
      <c r="AB560" s="132">
        <f>VLOOKUP(AA560,PLAN!B:V,20,0)</f>
        <v>46249</v>
      </c>
      <c r="AC560" s="132"/>
    </row>
    <row r="561" spans="3:29" s="79" customFormat="1" ht="21.6" customHeight="1">
      <c r="C561" s="249" t="str">
        <f t="shared" si="36"/>
        <v>Aug25-03</v>
      </c>
      <c r="D561" s="77">
        <f>IFERROR(VLOOKUP($AA561,PLAN!$B:$AA,3,0),"")</f>
        <v>11131258</v>
      </c>
      <c r="E561" s="77" t="str">
        <f>IFERROR(VLOOKUP($AA561,PLAN!$B:$AA,4,0),"")</f>
        <v>1941001-D-A</v>
      </c>
      <c r="F561" s="77" t="str">
        <f>IFERROR(VLOOKUP($AA561,PLAN!$B:$AA,5,0),"")</f>
        <v>CSR135-26PR JP</v>
      </c>
      <c r="G561" s="77" t="str">
        <f>IFERROR(VLOOKUP($AA561,PLAN!$B:$AA,2,0),"")</f>
        <v>1001938871</v>
      </c>
      <c r="H561" s="113">
        <f>IFERROR(VLOOKUP($AA561,PLAN!$B:$AA,7,0),"")</f>
        <v>46259</v>
      </c>
      <c r="I561" s="77" t="str">
        <f>IFERROR(VLOOKUP($AA561,PLAN!$B:$AA,8,0),"")</f>
        <v>0103596404</v>
      </c>
      <c r="J561" s="77" t="str">
        <f>IFERROR(VLOOKUP($AA561,PLAN!$B:$AA,9,0),"")</f>
        <v>260805K05A</v>
      </c>
      <c r="K561" s="77">
        <f>IFERROR(VLOOKUP($AA561,PLAN!$B:$AA,10,0),"")</f>
        <v>1100</v>
      </c>
      <c r="L561" s="77" t="str">
        <f>IFERROR(VLOOKUP($AA561,PLAN!$B:$AA,15,0),"")</f>
        <v>JAPAN</v>
      </c>
      <c r="M561" s="77">
        <f>IFERROR(VLOOKUP($AA561,PLAN!$B:$AA,18,0),"")</f>
        <v>0</v>
      </c>
      <c r="N561" s="227">
        <f>IFERROR(VLOOKUP($AA561,PLAN!$B:$AA,19,0),"")</f>
        <v>0</v>
      </c>
      <c r="O561" s="77" t="str">
        <f>IFERROR(VLOOKUP($AA561,PLAN!$B:$AA,12,0),"")</f>
        <v>2342019-A-C</v>
      </c>
      <c r="P561" s="77">
        <f>IFERROR(VLOOKUP($AA561,PLAN!$B:$AA,11,0),"")</f>
        <v>12120624</v>
      </c>
      <c r="Q561" s="277" t="s">
        <v>1210</v>
      </c>
      <c r="R561" s="149" t="s">
        <v>1211</v>
      </c>
      <c r="S561" s="223">
        <v>165</v>
      </c>
      <c r="T561" s="131"/>
      <c r="U561" s="78">
        <f>IFERROR(VLOOKUP($AA561,PLAN!$B:$AA,21,0),"")</f>
        <v>46249</v>
      </c>
      <c r="V561" s="78" t="str">
        <f>IFERROR(VLOOKUP($AA561,PLAN!$B:$AA,22,0),"")</f>
        <v>M8</v>
      </c>
      <c r="W561" s="232"/>
      <c r="X561" s="233"/>
      <c r="Y561" s="212"/>
      <c r="Z561" s="350"/>
      <c r="AA561" s="195" t="s">
        <v>3345</v>
      </c>
      <c r="AB561" s="132">
        <f>VLOOKUP(AA561,PLAN!B:V,20,0)</f>
        <v>46249</v>
      </c>
      <c r="AC561" s="132"/>
    </row>
    <row r="562" spans="3:29" s="79" customFormat="1" ht="21.6" customHeight="1">
      <c r="C562" s="249">
        <f t="shared" si="29"/>
        <v>0</v>
      </c>
      <c r="D562" s="77" t="str">
        <f>IFERROR(VLOOKUP($AA562,PLAN!$B:$AA,3,0),"")</f>
        <v/>
      </c>
      <c r="E562" s="77" t="str">
        <f>IFERROR(VLOOKUP($AA562,PLAN!$B:$AA,4,0),"")</f>
        <v/>
      </c>
      <c r="F562" s="77" t="str">
        <f>IFERROR(VLOOKUP($AA562,PLAN!$B:$AA,5,0),"")</f>
        <v/>
      </c>
      <c r="G562" s="77" t="str">
        <f>IFERROR(VLOOKUP($AA562,PLAN!$B:$AA,2,0),"")</f>
        <v/>
      </c>
      <c r="H562" s="113" t="str">
        <f>IFERROR(VLOOKUP($AA562,PLAN!$B:$AA,7,0),"")</f>
        <v/>
      </c>
      <c r="I562" s="77" t="str">
        <f>IFERROR(VLOOKUP($AA562,PLAN!$B:$AA,8,0),"")</f>
        <v/>
      </c>
      <c r="J562" s="77" t="str">
        <f>IFERROR(VLOOKUP($AA562,PLAN!$B:$AA,9,0),"")</f>
        <v/>
      </c>
      <c r="K562" s="77" t="str">
        <f>IFERROR(VLOOKUP($AA562,PLAN!$B:$AA,10,0),"")</f>
        <v/>
      </c>
      <c r="L562" s="77" t="str">
        <f>IFERROR(VLOOKUP($AA562,PLAN!$B:$AA,15,0),"")</f>
        <v/>
      </c>
      <c r="M562" s="77" t="str">
        <f>IFERROR(VLOOKUP($AA562,PLAN!$B:$AA,18,0),"")</f>
        <v/>
      </c>
      <c r="N562" s="227" t="str">
        <f>IFERROR(VLOOKUP($AA562,PLAN!$B:$AA,19,0),"")</f>
        <v/>
      </c>
      <c r="O562" s="77" t="str">
        <f>IFERROR(VLOOKUP($AA562,PLAN!$B:$AA,12,0),"")</f>
        <v/>
      </c>
      <c r="P562" s="77" t="str">
        <f>IFERROR(VLOOKUP($AA562,PLAN!$B:$AA,11,0),"")</f>
        <v/>
      </c>
      <c r="Q562" s="277" t="s">
        <v>3417</v>
      </c>
      <c r="R562" s="149" t="s">
        <v>3418</v>
      </c>
      <c r="S562" s="223">
        <v>309</v>
      </c>
      <c r="T562" s="131"/>
      <c r="U562" s="78" t="str">
        <f>IFERROR(VLOOKUP($AA562,PLAN!$B:$AA,21,0),"")</f>
        <v/>
      </c>
      <c r="V562" s="78" t="str">
        <f>IFERROR(VLOOKUP($AA562,PLAN!$B:$AA,22,0),"")</f>
        <v/>
      </c>
      <c r="W562" s="232"/>
      <c r="X562" s="233"/>
      <c r="Y562" s="212"/>
      <c r="Z562" s="350"/>
      <c r="AA562" s="195"/>
      <c r="AB562" s="132">
        <v>46249</v>
      </c>
      <c r="AC562" s="132"/>
    </row>
    <row r="563" spans="3:29" s="79" customFormat="1" ht="21.6" customHeight="1">
      <c r="C563" s="249">
        <f t="shared" si="29"/>
        <v>0</v>
      </c>
      <c r="D563" s="77" t="str">
        <f>IFERROR(VLOOKUP($AA563,PLAN!$B:$AA,3,0),"")</f>
        <v/>
      </c>
      <c r="E563" s="77" t="str">
        <f>IFERROR(VLOOKUP($AA563,PLAN!$B:$AA,4,0),"")</f>
        <v/>
      </c>
      <c r="F563" s="77" t="str">
        <f>IFERROR(VLOOKUP($AA563,PLAN!$B:$AA,5,0),"")</f>
        <v/>
      </c>
      <c r="G563" s="77" t="str">
        <f>IFERROR(VLOOKUP($AA563,PLAN!$B:$AA,2,0),"")</f>
        <v/>
      </c>
      <c r="H563" s="113" t="str">
        <f>IFERROR(VLOOKUP($AA563,PLAN!$B:$AA,7,0),"")</f>
        <v/>
      </c>
      <c r="I563" s="77" t="str">
        <f>IFERROR(VLOOKUP($AA563,PLAN!$B:$AA,8,0),"")</f>
        <v/>
      </c>
      <c r="J563" s="77" t="str">
        <f>IFERROR(VLOOKUP($AA563,PLAN!$B:$AA,9,0),"")</f>
        <v/>
      </c>
      <c r="K563" s="77" t="str">
        <f>IFERROR(VLOOKUP($AA563,PLAN!$B:$AA,10,0),"")</f>
        <v/>
      </c>
      <c r="L563" s="77" t="str">
        <f>IFERROR(VLOOKUP($AA563,PLAN!$B:$AA,15,0),"")</f>
        <v/>
      </c>
      <c r="M563" s="77" t="str">
        <f>IFERROR(VLOOKUP($AA563,PLAN!$B:$AA,18,0),"")</f>
        <v/>
      </c>
      <c r="N563" s="227" t="str">
        <f>IFERROR(VLOOKUP($AA563,PLAN!$B:$AA,19,0),"")</f>
        <v/>
      </c>
      <c r="O563" s="77" t="str">
        <f>IFERROR(VLOOKUP($AA563,PLAN!$B:$AA,12,0),"")</f>
        <v/>
      </c>
      <c r="P563" s="77" t="str">
        <f>IFERROR(VLOOKUP($AA563,PLAN!$B:$AA,11,0),"")</f>
        <v/>
      </c>
      <c r="Q563" s="277" t="s">
        <v>3419</v>
      </c>
      <c r="R563" s="149" t="s">
        <v>3420</v>
      </c>
      <c r="S563" s="223">
        <v>310</v>
      </c>
      <c r="T563" s="131"/>
      <c r="U563" s="78" t="str">
        <f>IFERROR(VLOOKUP($AA563,PLAN!$B:$AA,21,0),"")</f>
        <v/>
      </c>
      <c r="V563" s="78" t="str">
        <f>IFERROR(VLOOKUP($AA563,PLAN!$B:$AA,22,0),"")</f>
        <v/>
      </c>
      <c r="W563" s="232"/>
      <c r="X563" s="233"/>
      <c r="Y563" s="212"/>
      <c r="Z563" s="350"/>
      <c r="AA563" s="195"/>
      <c r="AB563" s="132">
        <v>46249</v>
      </c>
      <c r="AC563" s="132"/>
    </row>
    <row r="564" spans="3:29" s="79" customFormat="1" ht="21.6" customHeight="1">
      <c r="C564" s="249">
        <f t="shared" si="29"/>
        <v>0</v>
      </c>
      <c r="D564" s="77" t="str">
        <f>IFERROR(VLOOKUP($AA564,PLAN!$B:$AA,3,0),"")</f>
        <v/>
      </c>
      <c r="E564" s="77" t="str">
        <f>IFERROR(VLOOKUP($AA564,PLAN!$B:$AA,4,0),"")</f>
        <v/>
      </c>
      <c r="F564" s="77" t="str">
        <f>IFERROR(VLOOKUP($AA564,PLAN!$B:$AA,5,0),"")</f>
        <v/>
      </c>
      <c r="G564" s="77" t="str">
        <f>IFERROR(VLOOKUP($AA564,PLAN!$B:$AA,2,0),"")</f>
        <v/>
      </c>
      <c r="H564" s="113" t="str">
        <f>IFERROR(VLOOKUP($AA564,PLAN!$B:$AA,7,0),"")</f>
        <v/>
      </c>
      <c r="I564" s="77" t="str">
        <f>IFERROR(VLOOKUP($AA564,PLAN!$B:$AA,8,0),"")</f>
        <v/>
      </c>
      <c r="J564" s="77" t="str">
        <f>IFERROR(VLOOKUP($AA564,PLAN!$B:$AA,9,0),"")</f>
        <v/>
      </c>
      <c r="K564" s="77" t="str">
        <f>IFERROR(VLOOKUP($AA564,PLAN!$B:$AA,10,0),"")</f>
        <v/>
      </c>
      <c r="L564" s="77" t="str">
        <f>IFERROR(VLOOKUP($AA564,PLAN!$B:$AA,15,0),"")</f>
        <v/>
      </c>
      <c r="M564" s="77" t="str">
        <f>IFERROR(VLOOKUP($AA564,PLAN!$B:$AA,18,0),"")</f>
        <v/>
      </c>
      <c r="N564" s="227" t="str">
        <f>IFERROR(VLOOKUP($AA564,PLAN!$B:$AA,19,0),"")</f>
        <v/>
      </c>
      <c r="O564" s="77" t="str">
        <f>IFERROR(VLOOKUP($AA564,PLAN!$B:$AA,12,0),"")</f>
        <v/>
      </c>
      <c r="P564" s="77" t="str">
        <f>IFERROR(VLOOKUP($AA564,PLAN!$B:$AA,11,0),"")</f>
        <v/>
      </c>
      <c r="Q564" s="277" t="s">
        <v>3421</v>
      </c>
      <c r="R564" s="149" t="s">
        <v>3422</v>
      </c>
      <c r="S564" s="223">
        <v>310</v>
      </c>
      <c r="T564" s="131"/>
      <c r="U564" s="78" t="str">
        <f>IFERROR(VLOOKUP($AA564,PLAN!$B:$AA,21,0),"")</f>
        <v/>
      </c>
      <c r="V564" s="78" t="str">
        <f>IFERROR(VLOOKUP($AA564,PLAN!$B:$AA,22,0),"")</f>
        <v/>
      </c>
      <c r="W564" s="232"/>
      <c r="X564" s="233"/>
      <c r="Y564" s="212"/>
      <c r="Z564" s="350"/>
      <c r="AA564" s="195"/>
      <c r="AB564" s="132">
        <v>46249</v>
      </c>
      <c r="AC564" s="132"/>
    </row>
    <row r="565" spans="3:29" s="79" customFormat="1" ht="21.6" customHeight="1">
      <c r="C565" s="249">
        <f t="shared" si="29"/>
        <v>0</v>
      </c>
      <c r="D565" s="77" t="str">
        <f>IFERROR(VLOOKUP($AA565,PLAN!$B:$AA,3,0),"")</f>
        <v/>
      </c>
      <c r="E565" s="77" t="str">
        <f>IFERROR(VLOOKUP($AA565,PLAN!$B:$AA,4,0),"")</f>
        <v/>
      </c>
      <c r="F565" s="77" t="str">
        <f>IFERROR(VLOOKUP($AA565,PLAN!$B:$AA,5,0),"")</f>
        <v/>
      </c>
      <c r="G565" s="77" t="str">
        <f>IFERROR(VLOOKUP($AA565,PLAN!$B:$AA,2,0),"")</f>
        <v/>
      </c>
      <c r="H565" s="113" t="str">
        <f>IFERROR(VLOOKUP($AA565,PLAN!$B:$AA,7,0),"")</f>
        <v/>
      </c>
      <c r="I565" s="77" t="str">
        <f>IFERROR(VLOOKUP($AA565,PLAN!$B:$AA,8,0),"")</f>
        <v/>
      </c>
      <c r="J565" s="77" t="str">
        <f>IFERROR(VLOOKUP($AA565,PLAN!$B:$AA,9,0),"")</f>
        <v/>
      </c>
      <c r="K565" s="77" t="str">
        <f>IFERROR(VLOOKUP($AA565,PLAN!$B:$AA,10,0),"")</f>
        <v/>
      </c>
      <c r="L565" s="77" t="str">
        <f>IFERROR(VLOOKUP($AA565,PLAN!$B:$AA,15,0),"")</f>
        <v/>
      </c>
      <c r="M565" s="77" t="str">
        <f>IFERROR(VLOOKUP($AA565,PLAN!$B:$AA,18,0),"")</f>
        <v/>
      </c>
      <c r="N565" s="227" t="str">
        <f>IFERROR(VLOOKUP($AA565,PLAN!$B:$AA,19,0),"")</f>
        <v/>
      </c>
      <c r="O565" s="77" t="str">
        <f>IFERROR(VLOOKUP($AA565,PLAN!$B:$AA,12,0),"")</f>
        <v/>
      </c>
      <c r="P565" s="77" t="str">
        <f>IFERROR(VLOOKUP($AA565,PLAN!$B:$AA,11,0),"")</f>
        <v/>
      </c>
      <c r="Q565" s="277" t="s">
        <v>3423</v>
      </c>
      <c r="R565" s="149" t="s">
        <v>3424</v>
      </c>
      <c r="S565" s="223">
        <f>K561-S561-S562-S563-S564</f>
        <v>6</v>
      </c>
      <c r="T565" s="131"/>
      <c r="U565" s="78" t="str">
        <f>IFERROR(VLOOKUP($AA565,PLAN!$B:$AA,21,0),"")</f>
        <v/>
      </c>
      <c r="V565" s="78" t="str">
        <f>IFERROR(VLOOKUP($AA565,PLAN!$B:$AA,22,0),"")</f>
        <v/>
      </c>
      <c r="W565" s="232"/>
      <c r="X565" s="233"/>
      <c r="Y565" s="212"/>
      <c r="Z565" s="350"/>
      <c r="AA565" s="195"/>
      <c r="AB565" s="132">
        <v>46249</v>
      </c>
      <c r="AC565" s="132"/>
    </row>
    <row r="566" spans="3:29" s="79" customFormat="1" ht="21.6" customHeight="1">
      <c r="C566" s="249" t="str">
        <f t="shared" si="29"/>
        <v>Aug25-04</v>
      </c>
      <c r="D566" s="77">
        <f>IFERROR(VLOOKUP($AA566,PLAN!$B:$AA,3,0),"")</f>
        <v>11134260</v>
      </c>
      <c r="E566" s="77" t="str">
        <f>IFERROR(VLOOKUP($AA566,PLAN!$B:$AA,4,0),"")</f>
        <v>1911097-F-A</v>
      </c>
      <c r="F566" s="77" t="str">
        <f>IFERROR(VLOOKUP($AA566,PLAN!$B:$AA,5,0),"")</f>
        <v>HJ60SP350P10000 JP</v>
      </c>
      <c r="G566" s="77" t="str">
        <f>IFERROR(VLOOKUP($AA566,PLAN!$B:$AA,2,0),"")</f>
        <v>1001938862</v>
      </c>
      <c r="H566" s="113">
        <f>IFERROR(VLOOKUP($AA566,PLAN!$B:$AA,7,0),"")</f>
        <v>46259</v>
      </c>
      <c r="I566" s="77" t="str">
        <f>IFERROR(VLOOKUP($AA566,PLAN!$B:$AA,8,0),"")</f>
        <v>0103596395</v>
      </c>
      <c r="J566" s="77" t="str">
        <f>IFERROR(VLOOKUP($AA566,PLAN!$B:$AA,9,0),"")</f>
        <v>260805C14A</v>
      </c>
      <c r="K566" s="77">
        <f>IFERROR(VLOOKUP($AA566,PLAN!$B:$AA,10,0),"")</f>
        <v>720</v>
      </c>
      <c r="L566" s="77" t="str">
        <f>IFERROR(VLOOKUP($AA566,PLAN!$B:$AA,15,0),"")</f>
        <v>JAPAN</v>
      </c>
      <c r="M566" s="77">
        <f>IFERROR(VLOOKUP($AA566,PLAN!$B:$AA,18,0),"")</f>
        <v>0</v>
      </c>
      <c r="N566" s="227">
        <f>IFERROR(VLOOKUP($AA566,PLAN!$B:$AA,19,0),"")</f>
        <v>0</v>
      </c>
      <c r="O566" s="77" t="str">
        <f>IFERROR(VLOOKUP($AA566,PLAN!$B:$AA,12,0),"")</f>
        <v>2112099-0-C</v>
      </c>
      <c r="P566" s="77">
        <f>IFERROR(VLOOKUP($AA566,PLAN!$B:$AA,11,0),"")</f>
        <v>12116064</v>
      </c>
      <c r="Q566" s="277" t="s">
        <v>3221</v>
      </c>
      <c r="R566" s="149" t="s">
        <v>3222</v>
      </c>
      <c r="S566" s="223">
        <v>136</v>
      </c>
      <c r="T566" s="131"/>
      <c r="U566" s="78">
        <f>IFERROR(VLOOKUP($AA566,PLAN!$B:$AA,21,0),"")</f>
        <v>46249</v>
      </c>
      <c r="V566" s="78" t="str">
        <f>IFERROR(VLOOKUP($AA566,PLAN!$B:$AA,22,0),"")</f>
        <v>M9</v>
      </c>
      <c r="W566" s="232"/>
      <c r="X566" s="233"/>
      <c r="Y566" s="212"/>
      <c r="Z566" s="350"/>
      <c r="AA566" s="195" t="s">
        <v>3346</v>
      </c>
      <c r="AB566" s="132">
        <f>VLOOKUP(AA566,PLAN!B:V,20,0)</f>
        <v>46249</v>
      </c>
      <c r="AC566" s="132"/>
    </row>
    <row r="567" spans="3:29" s="79" customFormat="1" ht="21.6" customHeight="1">
      <c r="C567" s="249"/>
      <c r="D567" s="77"/>
      <c r="E567" s="77"/>
      <c r="F567" s="77"/>
      <c r="G567" s="77"/>
      <c r="H567" s="113"/>
      <c r="I567" s="77"/>
      <c r="J567" s="77"/>
      <c r="K567" s="77"/>
      <c r="L567" s="77"/>
      <c r="M567" s="77"/>
      <c r="N567" s="227"/>
      <c r="O567" s="77"/>
      <c r="P567" s="77"/>
      <c r="Q567" s="277" t="s">
        <v>3425</v>
      </c>
      <c r="R567" s="222" t="s">
        <v>3426</v>
      </c>
      <c r="S567" s="223">
        <v>150</v>
      </c>
      <c r="T567" s="131"/>
      <c r="U567" s="78"/>
      <c r="V567" s="78"/>
      <c r="W567" s="232"/>
      <c r="X567" s="233"/>
      <c r="Y567" s="212"/>
      <c r="Z567" s="350"/>
      <c r="AA567" s="195"/>
      <c r="AB567" s="132">
        <v>46249</v>
      </c>
      <c r="AC567" s="132"/>
    </row>
    <row r="568" spans="3:29" s="79" customFormat="1" ht="21.6" customHeight="1">
      <c r="C568" s="249"/>
      <c r="D568" s="77"/>
      <c r="E568" s="77"/>
      <c r="F568" s="77"/>
      <c r="G568" s="77"/>
      <c r="H568" s="113"/>
      <c r="I568" s="77"/>
      <c r="J568" s="77"/>
      <c r="K568" s="77"/>
      <c r="L568" s="77"/>
      <c r="M568" s="77"/>
      <c r="N568" s="227"/>
      <c r="O568" s="77"/>
      <c r="P568" s="77"/>
      <c r="Q568" s="277" t="s">
        <v>3427</v>
      </c>
      <c r="R568" s="222" t="s">
        <v>3428</v>
      </c>
      <c r="S568" s="223">
        <v>150</v>
      </c>
      <c r="T568" s="131"/>
      <c r="U568" s="78"/>
      <c r="V568" s="78"/>
      <c r="W568" s="232"/>
      <c r="X568" s="233"/>
      <c r="Y568" s="212"/>
      <c r="Z568" s="350"/>
      <c r="AA568" s="195"/>
      <c r="AB568" s="132">
        <v>46249</v>
      </c>
      <c r="AC568" s="132"/>
    </row>
    <row r="569" spans="3:29" s="79" customFormat="1" ht="21.6" customHeight="1">
      <c r="C569" s="249"/>
      <c r="D569" s="77"/>
      <c r="E569" s="77"/>
      <c r="F569" s="77"/>
      <c r="G569" s="77"/>
      <c r="H569" s="113"/>
      <c r="I569" s="77"/>
      <c r="J569" s="77"/>
      <c r="K569" s="77"/>
      <c r="L569" s="77"/>
      <c r="M569" s="77"/>
      <c r="N569" s="227"/>
      <c r="O569" s="77"/>
      <c r="P569" s="77"/>
      <c r="Q569" s="277" t="s">
        <v>3429</v>
      </c>
      <c r="R569" s="149" t="s">
        <v>3430</v>
      </c>
      <c r="S569" s="223">
        <v>150</v>
      </c>
      <c r="T569" s="131"/>
      <c r="U569" s="78"/>
      <c r="V569" s="78"/>
      <c r="W569" s="232"/>
      <c r="X569" s="233"/>
      <c r="Y569" s="212"/>
      <c r="Z569" s="350"/>
      <c r="AA569" s="195"/>
      <c r="AB569" s="132">
        <v>46249</v>
      </c>
      <c r="AC569" s="132"/>
    </row>
    <row r="570" spans="3:29" s="79" customFormat="1" ht="21.6" customHeight="1">
      <c r="C570" s="249"/>
      <c r="D570" s="77"/>
      <c r="E570" s="77"/>
      <c r="F570" s="77"/>
      <c r="G570" s="77"/>
      <c r="H570" s="113"/>
      <c r="I570" s="77"/>
      <c r="J570" s="77"/>
      <c r="K570" s="77"/>
      <c r="L570" s="77"/>
      <c r="M570" s="77"/>
      <c r="N570" s="227"/>
      <c r="O570" s="77"/>
      <c r="P570" s="77"/>
      <c r="Q570" s="277" t="s">
        <v>3431</v>
      </c>
      <c r="R570" s="222" t="s">
        <v>3432</v>
      </c>
      <c r="S570" s="223">
        <f>K566-S566-S567-S568-S569</f>
        <v>134</v>
      </c>
      <c r="T570" s="131"/>
      <c r="U570" s="78"/>
      <c r="V570" s="78"/>
      <c r="W570" s="232"/>
      <c r="X570" s="233"/>
      <c r="Y570" s="212"/>
      <c r="Z570" s="350"/>
      <c r="AA570" s="195"/>
      <c r="AB570" s="132">
        <v>46249</v>
      </c>
      <c r="AC570" s="132"/>
    </row>
    <row r="571" spans="3:29" s="79" customFormat="1" ht="21.6" customHeight="1">
      <c r="C571" s="249" t="str">
        <f t="shared" si="29"/>
        <v>Aug25-05</v>
      </c>
      <c r="D571" s="77">
        <f>IFERROR(VLOOKUP($AA571,PLAN!$B:$AA,3,0),"")</f>
        <v>11119391</v>
      </c>
      <c r="E571" s="77" t="str">
        <f>IFERROR(VLOOKUP($AA571,PLAN!$B:$AA,4,0),"")</f>
        <v>1911059-D-A</v>
      </c>
      <c r="F571" s="77" t="str">
        <f>IFERROR(VLOOKUP($AA571,PLAN!$B:$AA,5,0),"")</f>
        <v>HJ60JR400P10020 JP</v>
      </c>
      <c r="G571" s="77" t="str">
        <f>IFERROR(VLOOKUP($AA571,PLAN!$B:$AA,2,0),"")</f>
        <v>1001938863</v>
      </c>
      <c r="H571" s="113">
        <f>IFERROR(VLOOKUP($AA571,PLAN!$B:$AA,7,0),"")</f>
        <v>46259</v>
      </c>
      <c r="I571" s="77" t="str">
        <f>IFERROR(VLOOKUP($AA571,PLAN!$B:$AA,8,0),"")</f>
        <v>0103596396</v>
      </c>
      <c r="J571" s="77" t="str">
        <f>IFERROR(VLOOKUP($AA571,PLAN!$B:$AA,9,0),"")</f>
        <v>260805C15A</v>
      </c>
      <c r="K571" s="77">
        <f>IFERROR(VLOOKUP($AA571,PLAN!$B:$AA,10,0),"")</f>
        <v>24</v>
      </c>
      <c r="L571" s="77" t="str">
        <f>IFERROR(VLOOKUP($AA571,PLAN!$B:$AA,15,0),"")</f>
        <v>JAPAN</v>
      </c>
      <c r="M571" s="77">
        <f>IFERROR(VLOOKUP($AA571,PLAN!$B:$AA,18,0),"")</f>
        <v>0</v>
      </c>
      <c r="N571" s="227">
        <f>IFERROR(VLOOKUP($AA571,PLAN!$B:$AA,19,0),"")</f>
        <v>0</v>
      </c>
      <c r="O571" s="77" t="str">
        <f>IFERROR(VLOOKUP($AA571,PLAN!$B:$AA,12,0),"")</f>
        <v>2112061-0-C</v>
      </c>
      <c r="P571" s="77">
        <f>IFERROR(VLOOKUP($AA571,PLAN!$B:$AA,11,0),"")</f>
        <v>12116026</v>
      </c>
      <c r="Q571" s="277" t="s">
        <v>813</v>
      </c>
      <c r="R571" s="149" t="s">
        <v>814</v>
      </c>
      <c r="S571" s="223">
        <f>K571</f>
        <v>24</v>
      </c>
      <c r="T571" s="131"/>
      <c r="U571" s="78">
        <f>IFERROR(VLOOKUP($AA571,PLAN!$B:$AA,21,0),"")</f>
        <v>46249</v>
      </c>
      <c r="V571" s="78" t="str">
        <f>IFERROR(VLOOKUP($AA571,PLAN!$B:$AA,22,0),"")</f>
        <v>M10</v>
      </c>
      <c r="W571" s="232"/>
      <c r="X571" s="233"/>
      <c r="Y571" s="212"/>
      <c r="Z571" s="350"/>
      <c r="AA571" s="195" t="s">
        <v>3347</v>
      </c>
      <c r="AB571" s="132">
        <f>VLOOKUP(AA571,PLAN!B:V,20,0)</f>
        <v>46249</v>
      </c>
      <c r="AC571" s="132"/>
    </row>
    <row r="572" spans="3:29" s="79" customFormat="1" ht="21.6" customHeight="1">
      <c r="C572" s="249" t="str">
        <f t="shared" si="29"/>
        <v>Aug25-06</v>
      </c>
      <c r="D572" s="77">
        <f>IFERROR(VLOOKUP($AA572,PLAN!$B:$AA,3,0),"")</f>
        <v>11119488</v>
      </c>
      <c r="E572" s="77" t="str">
        <f>IFERROR(VLOOKUP($AA572,PLAN!$B:$AA,4,0),"")</f>
        <v>1911154-D-A</v>
      </c>
      <c r="F572" s="77" t="str">
        <f>IFERROR(VLOOKUP($AA572,PLAN!$B:$AA,5,0),"")</f>
        <v>HJ70JL400P10000 JP</v>
      </c>
      <c r="G572" s="77" t="str">
        <f>IFERROR(VLOOKUP($AA572,PLAN!$B:$AA,2,0),"")</f>
        <v>1001938864</v>
      </c>
      <c r="H572" s="113">
        <f>IFERROR(VLOOKUP($AA572,PLAN!$B:$AA,7,0),"")</f>
        <v>46259</v>
      </c>
      <c r="I572" s="77" t="str">
        <f>IFERROR(VLOOKUP($AA572,PLAN!$B:$AA,8,0),"")</f>
        <v>0103596397</v>
      </c>
      <c r="J572" s="77" t="str">
        <f>IFERROR(VLOOKUP($AA572,PLAN!$B:$AA,9,0),"")</f>
        <v>260805C16A</v>
      </c>
      <c r="K572" s="77">
        <f>IFERROR(VLOOKUP($AA572,PLAN!$B:$AA,10,0),"")</f>
        <v>131</v>
      </c>
      <c r="L572" s="77" t="str">
        <f>IFERROR(VLOOKUP($AA572,PLAN!$B:$AA,15,0),"")</f>
        <v>JAPAN</v>
      </c>
      <c r="M572" s="77">
        <f>IFERROR(VLOOKUP($AA572,PLAN!$B:$AA,18,0),"")</f>
        <v>0</v>
      </c>
      <c r="N572" s="227">
        <f>IFERROR(VLOOKUP($AA572,PLAN!$B:$AA,19,0),"")</f>
        <v>0</v>
      </c>
      <c r="O572" s="77" t="str">
        <f>IFERROR(VLOOKUP($AA572,PLAN!$B:$AA,12,0),"")</f>
        <v>2112156-0-C</v>
      </c>
      <c r="P572" s="77">
        <f>IFERROR(VLOOKUP($AA572,PLAN!$B:$AA,11,0),"")</f>
        <v>12116123</v>
      </c>
      <c r="Q572" s="349" t="s">
        <v>3433</v>
      </c>
      <c r="R572" s="149" t="s">
        <v>3434</v>
      </c>
      <c r="S572" s="223">
        <f>K572</f>
        <v>131</v>
      </c>
      <c r="T572" s="131"/>
      <c r="U572" s="78">
        <f>IFERROR(VLOOKUP($AA572,PLAN!$B:$AA,21,0),"")</f>
        <v>46249</v>
      </c>
      <c r="V572" s="78" t="str">
        <f>IFERROR(VLOOKUP($AA572,PLAN!$B:$AA,22,0),"")</f>
        <v>M10</v>
      </c>
      <c r="W572" s="232"/>
      <c r="X572" s="233"/>
      <c r="Y572" s="212"/>
      <c r="Z572" s="350"/>
      <c r="AA572" s="195" t="s">
        <v>3348</v>
      </c>
      <c r="AB572" s="132">
        <f>VLOOKUP(AA572,PLAN!B:V,20,0)</f>
        <v>46249</v>
      </c>
      <c r="AC572" s="132"/>
    </row>
    <row r="573" spans="3:29" s="79" customFormat="1" ht="21.6" customHeight="1">
      <c r="C573" s="249" t="str">
        <f t="shared" si="29"/>
        <v>Aug25-07</v>
      </c>
      <c r="D573" s="77">
        <f>IFERROR(VLOOKUP($AA573,PLAN!$B:$AA,3,0),"")</f>
        <v>11119541</v>
      </c>
      <c r="E573" s="77" t="str">
        <f>IFERROR(VLOOKUP($AA573,PLAN!$B:$AA,4,0),"")</f>
        <v>1911207-D-A</v>
      </c>
      <c r="F573" s="77" t="str">
        <f>IFERROR(VLOOKUP($AA573,PLAN!$B:$AA,5,0),"")</f>
        <v>HJ70AL102P10022 JP</v>
      </c>
      <c r="G573" s="77" t="str">
        <f>IFERROR(VLOOKUP($AA573,PLAN!$B:$AA,2,0),"")</f>
        <v>1001938865</v>
      </c>
      <c r="H573" s="113">
        <f>IFERROR(VLOOKUP($AA573,PLAN!$B:$AA,7,0),"")</f>
        <v>46259</v>
      </c>
      <c r="I573" s="77" t="str">
        <f>IFERROR(VLOOKUP($AA573,PLAN!$B:$AA,8,0),"")</f>
        <v>0103596398</v>
      </c>
      <c r="J573" s="77" t="str">
        <f>IFERROR(VLOOKUP($AA573,PLAN!$B:$AA,9,0),"")</f>
        <v>260805C17A</v>
      </c>
      <c r="K573" s="77">
        <f>IFERROR(VLOOKUP($AA573,PLAN!$B:$AA,10,0),"")</f>
        <v>237</v>
      </c>
      <c r="L573" s="77" t="str">
        <f>IFERROR(VLOOKUP($AA573,PLAN!$B:$AA,15,0),"")</f>
        <v>JAPAN</v>
      </c>
      <c r="M573" s="77">
        <f>IFERROR(VLOOKUP($AA573,PLAN!$B:$AA,18,0),"")</f>
        <v>0</v>
      </c>
      <c r="N573" s="227">
        <f>IFERROR(VLOOKUP($AA573,PLAN!$B:$AA,19,0),"")</f>
        <v>0</v>
      </c>
      <c r="O573" s="77" t="str">
        <f>IFERROR(VLOOKUP($AA573,PLAN!$B:$AA,12,0),"")</f>
        <v>2112209-0-C</v>
      </c>
      <c r="P573" s="77">
        <f>IFERROR(VLOOKUP($AA573,PLAN!$B:$AA,11,0),"")</f>
        <v>12116176</v>
      </c>
      <c r="Q573" s="349" t="s">
        <v>3435</v>
      </c>
      <c r="R573" s="149" t="s">
        <v>3436</v>
      </c>
      <c r="S573" s="223">
        <v>5</v>
      </c>
      <c r="T573" s="131"/>
      <c r="U573" s="78">
        <f>IFERROR(VLOOKUP($AA573,PLAN!$B:$AA,21,0),"")</f>
        <v>46249</v>
      </c>
      <c r="V573" s="78" t="str">
        <f>IFERROR(VLOOKUP($AA573,PLAN!$B:$AA,22,0),"")</f>
        <v>M10</v>
      </c>
      <c r="W573" s="232"/>
      <c r="X573" s="233"/>
      <c r="Y573" s="212"/>
      <c r="Z573" s="350"/>
      <c r="AA573" s="195" t="s">
        <v>3349</v>
      </c>
      <c r="AB573" s="132">
        <f>VLOOKUP(AA573,PLAN!B:V,20,0)</f>
        <v>46249</v>
      </c>
      <c r="AC573" s="132"/>
    </row>
    <row r="574" spans="3:29" s="79" customFormat="1" ht="21.6" customHeight="1">
      <c r="C574" s="249"/>
      <c r="D574" s="77"/>
      <c r="E574" s="77"/>
      <c r="F574" s="77"/>
      <c r="G574" s="77"/>
      <c r="H574" s="113"/>
      <c r="I574" s="77"/>
      <c r="J574" s="77"/>
      <c r="K574" s="77"/>
      <c r="L574" s="77"/>
      <c r="M574" s="77"/>
      <c r="N574" s="227"/>
      <c r="O574" s="77"/>
      <c r="P574" s="77"/>
      <c r="Q574" s="349" t="s">
        <v>3437</v>
      </c>
      <c r="R574" s="149" t="s">
        <v>3438</v>
      </c>
      <c r="S574" s="223">
        <v>120</v>
      </c>
      <c r="T574" s="131"/>
      <c r="U574" s="78"/>
      <c r="V574" s="78"/>
      <c r="W574" s="232"/>
      <c r="X574" s="233"/>
      <c r="Y574" s="212"/>
      <c r="Z574" s="350"/>
      <c r="AA574" s="195"/>
      <c r="AB574" s="132">
        <v>46249</v>
      </c>
      <c r="AC574" s="132"/>
    </row>
    <row r="575" spans="3:29" s="79" customFormat="1" ht="21.6" customHeight="1">
      <c r="C575" s="249"/>
      <c r="D575" s="77"/>
      <c r="E575" s="77"/>
      <c r="F575" s="77"/>
      <c r="G575" s="77"/>
      <c r="H575" s="113"/>
      <c r="I575" s="77"/>
      <c r="J575" s="77"/>
      <c r="K575" s="77"/>
      <c r="L575" s="77"/>
      <c r="M575" s="77"/>
      <c r="N575" s="227"/>
      <c r="O575" s="77"/>
      <c r="P575" s="77"/>
      <c r="Q575" s="349" t="s">
        <v>3439</v>
      </c>
      <c r="R575" s="149" t="s">
        <v>3440</v>
      </c>
      <c r="S575" s="223">
        <f>K573-S573-S574</f>
        <v>112</v>
      </c>
      <c r="T575" s="131"/>
      <c r="U575" s="78"/>
      <c r="V575" s="78"/>
      <c r="W575" s="232"/>
      <c r="X575" s="233"/>
      <c r="Y575" s="212"/>
      <c r="Z575" s="350"/>
      <c r="AA575" s="195"/>
      <c r="AB575" s="132">
        <v>46249</v>
      </c>
      <c r="AC575" s="132"/>
    </row>
    <row r="576" spans="3:29" s="79" customFormat="1" ht="21.6" customHeight="1">
      <c r="C576" s="249" t="str">
        <f t="shared" si="29"/>
        <v>Aug25-08</v>
      </c>
      <c r="D576" s="77">
        <f>IFERROR(VLOOKUP($AA576,PLAN!$B:$AA,3,0),"")</f>
        <v>11119371</v>
      </c>
      <c r="E576" s="77" t="str">
        <f>IFERROR(VLOOKUP($AA576,PLAN!$B:$AA,4,0),"")</f>
        <v>1911039-E-A</v>
      </c>
      <c r="F576" s="77" t="str">
        <f>IFERROR(VLOOKUP($AA576,PLAN!$B:$AA,5,0),"")</f>
        <v>HJ60JL350P10000 JP</v>
      </c>
      <c r="G576" s="77" t="str">
        <f>IFERROR(VLOOKUP($AA576,PLAN!$B:$AA,2,0),"")</f>
        <v>1001938866</v>
      </c>
      <c r="H576" s="113">
        <f>IFERROR(VLOOKUP($AA576,PLAN!$B:$AA,7,0),"")</f>
        <v>46259</v>
      </c>
      <c r="I576" s="77" t="str">
        <f>IFERROR(VLOOKUP($AA576,PLAN!$B:$AA,8,0),"")</f>
        <v>0103596399</v>
      </c>
      <c r="J576" s="77" t="str">
        <f>IFERROR(VLOOKUP($AA576,PLAN!$B:$AA,9,0),"")</f>
        <v>260805C18A</v>
      </c>
      <c r="K576" s="77">
        <f>IFERROR(VLOOKUP($AA576,PLAN!$B:$AA,10,0),"")</f>
        <v>448</v>
      </c>
      <c r="L576" s="77" t="str">
        <f>IFERROR(VLOOKUP($AA576,PLAN!$B:$AA,15,0),"")</f>
        <v>JAPAN</v>
      </c>
      <c r="M576" s="77">
        <f>IFERROR(VLOOKUP($AA576,PLAN!$B:$AA,18,0),"")</f>
        <v>0</v>
      </c>
      <c r="N576" s="227">
        <f>IFERROR(VLOOKUP($AA576,PLAN!$B:$AA,19,0),"")</f>
        <v>0</v>
      </c>
      <c r="O576" s="77" t="str">
        <f>IFERROR(VLOOKUP($AA576,PLAN!$B:$AA,12,0),"")</f>
        <v>2112041-0-C</v>
      </c>
      <c r="P576" s="77">
        <f>IFERROR(VLOOKUP($AA576,PLAN!$B:$AA,11,0),"")</f>
        <v>12116006</v>
      </c>
      <c r="Q576" s="277" t="s">
        <v>3389</v>
      </c>
      <c r="R576" s="149" t="s">
        <v>3390</v>
      </c>
      <c r="S576" s="223">
        <v>79</v>
      </c>
      <c r="T576" s="131"/>
      <c r="U576" s="78">
        <f>IFERROR(VLOOKUP($AA576,PLAN!$B:$AA,21,0),"")</f>
        <v>46249</v>
      </c>
      <c r="V576" s="78" t="str">
        <f>IFERROR(VLOOKUP($AA576,PLAN!$B:$AA,22,0),"")</f>
        <v>M10</v>
      </c>
      <c r="W576" s="232"/>
      <c r="X576" s="233"/>
      <c r="Y576" s="212"/>
      <c r="Z576" s="350"/>
      <c r="AA576" s="195" t="s">
        <v>3350</v>
      </c>
      <c r="AB576" s="132">
        <f>VLOOKUP(AA576,PLAN!B:V,20,0)</f>
        <v>46249</v>
      </c>
      <c r="AC576" s="132"/>
    </row>
    <row r="577" spans="3:29" s="79" customFormat="1" ht="21.6" customHeight="1">
      <c r="C577" s="249">
        <f t="shared" si="29"/>
        <v>0</v>
      </c>
      <c r="D577" s="77" t="str">
        <f>IFERROR(VLOOKUP($AA577,PLAN!$B:$AA,3,0),"")</f>
        <v/>
      </c>
      <c r="E577" s="77" t="str">
        <f>IFERROR(VLOOKUP($AA577,PLAN!$B:$AA,4,0),"")</f>
        <v/>
      </c>
      <c r="F577" s="77" t="str">
        <f>IFERROR(VLOOKUP($AA577,PLAN!$B:$AA,5,0),"")</f>
        <v/>
      </c>
      <c r="G577" s="77" t="str">
        <f>IFERROR(VLOOKUP($AA577,PLAN!$B:$AA,2,0),"")</f>
        <v/>
      </c>
      <c r="H577" s="113" t="str">
        <f>IFERROR(VLOOKUP($AA577,PLAN!$B:$AA,7,0),"")</f>
        <v/>
      </c>
      <c r="I577" s="77" t="str">
        <f>IFERROR(VLOOKUP($AA577,PLAN!$B:$AA,8,0),"")</f>
        <v/>
      </c>
      <c r="J577" s="77" t="str">
        <f>IFERROR(VLOOKUP($AA577,PLAN!$B:$AA,9,0),"")</f>
        <v/>
      </c>
      <c r="K577" s="77" t="str">
        <f>IFERROR(VLOOKUP($AA577,PLAN!$B:$AA,10,0),"")</f>
        <v/>
      </c>
      <c r="L577" s="77" t="str">
        <f>IFERROR(VLOOKUP($AA577,PLAN!$B:$AA,15,0),"")</f>
        <v/>
      </c>
      <c r="M577" s="77" t="str">
        <f>IFERROR(VLOOKUP($AA577,PLAN!$B:$AA,18,0),"")</f>
        <v/>
      </c>
      <c r="N577" s="227" t="str">
        <f>IFERROR(VLOOKUP($AA577,PLAN!$B:$AA,19,0),"")</f>
        <v/>
      </c>
      <c r="O577" s="77" t="str">
        <f>IFERROR(VLOOKUP($AA577,PLAN!$B:$AA,12,0),"")</f>
        <v/>
      </c>
      <c r="P577" s="77" t="str">
        <f>IFERROR(VLOOKUP($AA577,PLAN!$B:$AA,11,0),"")</f>
        <v/>
      </c>
      <c r="Q577" s="277" t="s">
        <v>3441</v>
      </c>
      <c r="R577" s="222" t="s">
        <v>3442</v>
      </c>
      <c r="S577" s="223">
        <v>110</v>
      </c>
      <c r="T577" s="131"/>
      <c r="U577" s="78" t="str">
        <f>IFERROR(VLOOKUP($AA577,PLAN!$B:$AA,21,0),"")</f>
        <v/>
      </c>
      <c r="V577" s="78" t="str">
        <f>IFERROR(VLOOKUP($AA577,PLAN!$B:$AA,22,0),"")</f>
        <v/>
      </c>
      <c r="W577" s="232"/>
      <c r="X577" s="233"/>
      <c r="Y577" s="212"/>
      <c r="Z577" s="350"/>
      <c r="AA577" s="195"/>
      <c r="AB577" s="132">
        <v>46249</v>
      </c>
      <c r="AC577" s="132"/>
    </row>
    <row r="578" spans="3:29" s="79" customFormat="1" ht="21.6" customHeight="1">
      <c r="C578" s="249">
        <f t="shared" si="29"/>
        <v>0</v>
      </c>
      <c r="D578" s="77" t="str">
        <f>IFERROR(VLOOKUP($AA578,PLAN!$B:$AA,3,0),"")</f>
        <v/>
      </c>
      <c r="E578" s="77" t="str">
        <f>IFERROR(VLOOKUP($AA578,PLAN!$B:$AA,4,0),"")</f>
        <v/>
      </c>
      <c r="F578" s="77" t="str">
        <f>IFERROR(VLOOKUP($AA578,PLAN!$B:$AA,5,0),"")</f>
        <v/>
      </c>
      <c r="G578" s="77" t="str">
        <f>IFERROR(VLOOKUP($AA578,PLAN!$B:$AA,2,0),"")</f>
        <v/>
      </c>
      <c r="H578" s="113" t="str">
        <f>IFERROR(VLOOKUP($AA578,PLAN!$B:$AA,7,0),"")</f>
        <v/>
      </c>
      <c r="I578" s="77" t="str">
        <f>IFERROR(VLOOKUP($AA578,PLAN!$B:$AA,8,0),"")</f>
        <v/>
      </c>
      <c r="J578" s="77" t="str">
        <f>IFERROR(VLOOKUP($AA578,PLAN!$B:$AA,9,0),"")</f>
        <v/>
      </c>
      <c r="K578" s="77" t="str">
        <f>IFERROR(VLOOKUP($AA578,PLAN!$B:$AA,10,0),"")</f>
        <v/>
      </c>
      <c r="L578" s="77" t="str">
        <f>IFERROR(VLOOKUP($AA578,PLAN!$B:$AA,15,0),"")</f>
        <v/>
      </c>
      <c r="M578" s="77" t="str">
        <f>IFERROR(VLOOKUP($AA578,PLAN!$B:$AA,18,0),"")</f>
        <v/>
      </c>
      <c r="N578" s="227" t="str">
        <f>IFERROR(VLOOKUP($AA578,PLAN!$B:$AA,19,0),"")</f>
        <v/>
      </c>
      <c r="O578" s="77" t="str">
        <f>IFERROR(VLOOKUP($AA578,PLAN!$B:$AA,12,0),"")</f>
        <v/>
      </c>
      <c r="P578" s="77" t="str">
        <f>IFERROR(VLOOKUP($AA578,PLAN!$B:$AA,11,0),"")</f>
        <v/>
      </c>
      <c r="Q578" s="277" t="s">
        <v>3443</v>
      </c>
      <c r="R578" s="149" t="s">
        <v>3444</v>
      </c>
      <c r="S578" s="223">
        <v>100</v>
      </c>
      <c r="T578" s="131"/>
      <c r="U578" s="78" t="str">
        <f>IFERROR(VLOOKUP($AA578,PLAN!$B:$AA,21,0),"")</f>
        <v/>
      </c>
      <c r="V578" s="78" t="str">
        <f>IFERROR(VLOOKUP($AA578,PLAN!$B:$AA,22,0),"")</f>
        <v/>
      </c>
      <c r="W578" s="232"/>
      <c r="X578" s="233"/>
      <c r="Y578" s="212"/>
      <c r="Z578" s="350"/>
      <c r="AA578" s="195"/>
      <c r="AB578" s="132">
        <v>46249</v>
      </c>
      <c r="AC578" s="132"/>
    </row>
    <row r="579" spans="3:29" s="79" customFormat="1" ht="21.6" customHeight="1">
      <c r="C579" s="249">
        <f t="shared" si="29"/>
        <v>0</v>
      </c>
      <c r="D579" s="77" t="str">
        <f>IFERROR(VLOOKUP($AA579,PLAN!$B:$AA,3,0),"")</f>
        <v/>
      </c>
      <c r="E579" s="77" t="str">
        <f>IFERROR(VLOOKUP($AA579,PLAN!$B:$AA,4,0),"")</f>
        <v/>
      </c>
      <c r="F579" s="77" t="str">
        <f>IFERROR(VLOOKUP($AA579,PLAN!$B:$AA,5,0),"")</f>
        <v/>
      </c>
      <c r="G579" s="77" t="str">
        <f>IFERROR(VLOOKUP($AA579,PLAN!$B:$AA,2,0),"")</f>
        <v/>
      </c>
      <c r="H579" s="113" t="str">
        <f>IFERROR(VLOOKUP($AA579,PLAN!$B:$AA,7,0),"")</f>
        <v/>
      </c>
      <c r="I579" s="77" t="str">
        <f>IFERROR(VLOOKUP($AA579,PLAN!$B:$AA,8,0),"")</f>
        <v/>
      </c>
      <c r="J579" s="77" t="str">
        <f>IFERROR(VLOOKUP($AA579,PLAN!$B:$AA,9,0),"")</f>
        <v/>
      </c>
      <c r="K579" s="77" t="str">
        <f>IFERROR(VLOOKUP($AA579,PLAN!$B:$AA,10,0),"")</f>
        <v/>
      </c>
      <c r="L579" s="77" t="str">
        <f>IFERROR(VLOOKUP($AA579,PLAN!$B:$AA,15,0),"")</f>
        <v/>
      </c>
      <c r="M579" s="77" t="str">
        <f>IFERROR(VLOOKUP($AA579,PLAN!$B:$AA,18,0),"")</f>
        <v/>
      </c>
      <c r="N579" s="227" t="str">
        <f>IFERROR(VLOOKUP($AA579,PLAN!$B:$AA,19,0),"")</f>
        <v/>
      </c>
      <c r="O579" s="77" t="str">
        <f>IFERROR(VLOOKUP($AA579,PLAN!$B:$AA,12,0),"")</f>
        <v/>
      </c>
      <c r="P579" s="77" t="str">
        <f>IFERROR(VLOOKUP($AA579,PLAN!$B:$AA,11,0),"")</f>
        <v/>
      </c>
      <c r="Q579" s="277" t="s">
        <v>3445</v>
      </c>
      <c r="R579" s="149" t="s">
        <v>3446</v>
      </c>
      <c r="S579" s="223">
        <v>110</v>
      </c>
      <c r="T579" s="131"/>
      <c r="U579" s="78" t="str">
        <f>IFERROR(VLOOKUP($AA579,PLAN!$B:$AA,21,0),"")</f>
        <v/>
      </c>
      <c r="V579" s="78" t="str">
        <f>IFERROR(VLOOKUP($AA579,PLAN!$B:$AA,22,0),"")</f>
        <v/>
      </c>
      <c r="W579" s="232"/>
      <c r="X579" s="233"/>
      <c r="Y579" s="212"/>
      <c r="Z579" s="350"/>
      <c r="AA579" s="195"/>
      <c r="AB579" s="132">
        <v>46249</v>
      </c>
      <c r="AC579" s="132"/>
    </row>
    <row r="580" spans="3:29" s="79" customFormat="1" ht="21.6" customHeight="1">
      <c r="C580" s="249">
        <f t="shared" si="29"/>
        <v>0</v>
      </c>
      <c r="D580" s="77" t="str">
        <f>IFERROR(VLOOKUP($AA580,PLAN!$B:$AA,3,0),"")</f>
        <v/>
      </c>
      <c r="E580" s="77" t="str">
        <f>IFERROR(VLOOKUP($AA580,PLAN!$B:$AA,4,0),"")</f>
        <v/>
      </c>
      <c r="F580" s="77" t="str">
        <f>IFERROR(VLOOKUP($AA580,PLAN!$B:$AA,5,0),"")</f>
        <v/>
      </c>
      <c r="G580" s="77" t="str">
        <f>IFERROR(VLOOKUP($AA580,PLAN!$B:$AA,2,0),"")</f>
        <v/>
      </c>
      <c r="H580" s="113" t="str">
        <f>IFERROR(VLOOKUP($AA580,PLAN!$B:$AA,7,0),"")</f>
        <v/>
      </c>
      <c r="I580" s="77" t="str">
        <f>IFERROR(VLOOKUP($AA580,PLAN!$B:$AA,8,0),"")</f>
        <v/>
      </c>
      <c r="J580" s="77" t="str">
        <f>IFERROR(VLOOKUP($AA580,PLAN!$B:$AA,9,0),"")</f>
        <v/>
      </c>
      <c r="K580" s="77" t="str">
        <f>IFERROR(VLOOKUP($AA580,PLAN!$B:$AA,10,0),"")</f>
        <v/>
      </c>
      <c r="L580" s="77" t="str">
        <f>IFERROR(VLOOKUP($AA580,PLAN!$B:$AA,15,0),"")</f>
        <v/>
      </c>
      <c r="M580" s="77" t="str">
        <f>IFERROR(VLOOKUP($AA580,PLAN!$B:$AA,18,0),"")</f>
        <v/>
      </c>
      <c r="N580" s="227" t="str">
        <f>IFERROR(VLOOKUP($AA580,PLAN!$B:$AA,19,0),"")</f>
        <v/>
      </c>
      <c r="O580" s="77" t="str">
        <f>IFERROR(VLOOKUP($AA580,PLAN!$B:$AA,12,0),"")</f>
        <v/>
      </c>
      <c r="P580" s="77" t="str">
        <f>IFERROR(VLOOKUP($AA580,PLAN!$B:$AA,11,0),"")</f>
        <v/>
      </c>
      <c r="Q580" s="277" t="s">
        <v>3447</v>
      </c>
      <c r="R580" s="222" t="s">
        <v>3448</v>
      </c>
      <c r="S580" s="223">
        <f>K576-S576-S577-S578-S579</f>
        <v>49</v>
      </c>
      <c r="T580" s="131"/>
      <c r="U580" s="78" t="str">
        <f>IFERROR(VLOOKUP($AA580,PLAN!$B:$AA,21,0),"")</f>
        <v/>
      </c>
      <c r="V580" s="78" t="str">
        <f>IFERROR(VLOOKUP($AA580,PLAN!$B:$AA,22,0),"")</f>
        <v/>
      </c>
      <c r="W580" s="232"/>
      <c r="X580" s="233"/>
      <c r="Y580" s="212"/>
      <c r="Z580" s="350"/>
      <c r="AA580" s="195"/>
      <c r="AB580" s="132">
        <v>46249</v>
      </c>
      <c r="AC580" s="132"/>
    </row>
    <row r="581" spans="3:29" s="79" customFormat="1" ht="21.6" customHeight="1">
      <c r="C581" s="249" t="str">
        <f t="shared" si="29"/>
        <v>Aug26-01</v>
      </c>
      <c r="D581" s="77">
        <f>IFERROR(VLOOKUP($AA581,PLAN!$B:$AA,3,0),"")</f>
        <v>11112487</v>
      </c>
      <c r="E581" s="77" t="str">
        <f>IFERROR(VLOOKUP($AA581,PLAN!$B:$AA,4,0),"")</f>
        <v>PSC35150S-E-A</v>
      </c>
      <c r="F581" s="77" t="str">
        <f>IFERROR(VLOOKUP($AA581,PLAN!$B:$AA,5,0),"")</f>
        <v>PSC35150S US</v>
      </c>
      <c r="G581" s="77" t="str">
        <f>IFERROR(VLOOKUP($AA581,PLAN!$B:$AA,2,0),"")</f>
        <v>1001940457</v>
      </c>
      <c r="H581" s="113">
        <f>IFERROR(VLOOKUP($AA581,PLAN!$B:$AA,7,0),"")</f>
        <v>46260</v>
      </c>
      <c r="I581" s="77" t="str">
        <f>IFERROR(VLOOKUP($AA581,PLAN!$B:$AA,8,0),"")</f>
        <v>0103599590</v>
      </c>
      <c r="J581" s="77" t="str">
        <f>IFERROR(VLOOKUP($AA581,PLAN!$B:$AA,9,0),"")</f>
        <v>260807K01A</v>
      </c>
      <c r="K581" s="77">
        <f>IFERROR(VLOOKUP($AA581,PLAN!$B:$AA,10,0),"")</f>
        <v>10</v>
      </c>
      <c r="L581" s="77" t="str">
        <f>IFERROR(VLOOKUP($AA581,PLAN!$B:$AA,15,0),"")</f>
        <v>USA</v>
      </c>
      <c r="M581" s="77">
        <f>IFERROR(VLOOKUP($AA581,PLAN!$B:$AA,18,0),"")</f>
        <v>0</v>
      </c>
      <c r="N581" s="227">
        <f>IFERROR(VLOOKUP($AA581,PLAN!$B:$AA,19,0),"")</f>
        <v>0</v>
      </c>
      <c r="O581" s="77" t="str">
        <f>IFERROR(VLOOKUP($AA581,PLAN!$B:$AA,12,0),"")</f>
        <v>PSC35150S-E-C</v>
      </c>
      <c r="P581" s="77">
        <f>IFERROR(VLOOKUP($AA581,PLAN!$B:$AA,11,0),"")</f>
        <v>12115910</v>
      </c>
      <c r="Q581" s="277" t="s">
        <v>3708</v>
      </c>
      <c r="R581" s="149" t="s">
        <v>3709</v>
      </c>
      <c r="S581" s="223">
        <v>2</v>
      </c>
      <c r="T581" s="131"/>
      <c r="U581" s="78">
        <f>IFERROR(VLOOKUP($AA581,PLAN!$B:$AA,21,0),"")</f>
        <v>46251</v>
      </c>
      <c r="V581" s="78" t="str">
        <f>IFERROR(VLOOKUP($AA581,PLAN!$B:$AA,22,0),"")</f>
        <v>M8</v>
      </c>
      <c r="W581" s="232"/>
      <c r="X581" s="233"/>
      <c r="Y581" s="212"/>
      <c r="Z581" s="350"/>
      <c r="AA581" s="195" t="s">
        <v>3673</v>
      </c>
      <c r="AB581" s="132">
        <f>VLOOKUP(AA581,PLAN!B:V,20,0)</f>
        <v>46251</v>
      </c>
      <c r="AC581" s="132"/>
    </row>
    <row r="582" spans="3:29" s="79" customFormat="1" ht="21.6" customHeight="1">
      <c r="C582" s="249"/>
      <c r="D582" s="77"/>
      <c r="E582" s="77"/>
      <c r="F582" s="77"/>
      <c r="G582" s="77"/>
      <c r="H582" s="113"/>
      <c r="I582" s="77"/>
      <c r="J582" s="77"/>
      <c r="K582" s="77"/>
      <c r="L582" s="77"/>
      <c r="M582" s="77"/>
      <c r="N582" s="227"/>
      <c r="O582" s="77"/>
      <c r="P582" s="77"/>
      <c r="Q582" s="349" t="s">
        <v>3710</v>
      </c>
      <c r="R582" s="222" t="s">
        <v>3711</v>
      </c>
      <c r="S582" s="223">
        <f>K581-S581</f>
        <v>8</v>
      </c>
      <c r="T582" s="131"/>
      <c r="U582" s="78"/>
      <c r="V582" s="78"/>
      <c r="W582" s="232"/>
      <c r="X582" s="233"/>
      <c r="Y582" s="212"/>
      <c r="Z582" s="350"/>
      <c r="AA582" s="195"/>
      <c r="AB582" s="132">
        <v>46251</v>
      </c>
      <c r="AC582" s="132"/>
    </row>
    <row r="583" spans="3:29" s="79" customFormat="1" ht="21.6" customHeight="1">
      <c r="C583" s="249" t="str">
        <f t="shared" si="29"/>
        <v>Aug26-02</v>
      </c>
      <c r="D583" s="77">
        <f>IFERROR(VLOOKUP($AA583,PLAN!$B:$AA,3,0),"")</f>
        <v>11112481</v>
      </c>
      <c r="E583" s="77" t="str">
        <f>IFERROR(VLOOKUP($AA583,PLAN!$B:$AA,4,0),"")</f>
        <v>PSC35135A-E-A</v>
      </c>
      <c r="F583" s="77" t="str">
        <f>IFERROR(VLOOKUP($AA583,PLAN!$B:$AA,5,0),"")</f>
        <v>PSC35135A US</v>
      </c>
      <c r="G583" s="77" t="str">
        <f>IFERROR(VLOOKUP($AA583,PLAN!$B:$AA,2,0),"")</f>
        <v>1001940458</v>
      </c>
      <c r="H583" s="113">
        <f>IFERROR(VLOOKUP($AA583,PLAN!$B:$AA,7,0),"")</f>
        <v>46260</v>
      </c>
      <c r="I583" s="77" t="str">
        <f>IFERROR(VLOOKUP($AA583,PLAN!$B:$AA,8,0),"")</f>
        <v>0103599591</v>
      </c>
      <c r="J583" s="77" t="str">
        <f>IFERROR(VLOOKUP($AA583,PLAN!$B:$AA,9,0),"")</f>
        <v>260807K02A</v>
      </c>
      <c r="K583" s="77">
        <f>IFERROR(VLOOKUP($AA583,PLAN!$B:$AA,10,0),"")</f>
        <v>55</v>
      </c>
      <c r="L583" s="77" t="str">
        <f>IFERROR(VLOOKUP($AA583,PLAN!$B:$AA,15,0),"")</f>
        <v>USA</v>
      </c>
      <c r="M583" s="77">
        <f>IFERROR(VLOOKUP($AA583,PLAN!$B:$AA,18,0),"")</f>
        <v>0</v>
      </c>
      <c r="N583" s="227">
        <f>IFERROR(VLOOKUP($AA583,PLAN!$B:$AA,19,0),"")</f>
        <v>0</v>
      </c>
      <c r="O583" s="77" t="str">
        <f>IFERROR(VLOOKUP($AA583,PLAN!$B:$AA,12,0),"")</f>
        <v>PSC35135A-E-C</v>
      </c>
      <c r="P583" s="77">
        <f>IFERROR(VLOOKUP($AA583,PLAN!$B:$AA,11,0),"")</f>
        <v>12115904</v>
      </c>
      <c r="Q583" s="349" t="s">
        <v>3712</v>
      </c>
      <c r="R583" s="149" t="s">
        <v>3713</v>
      </c>
      <c r="S583" s="223">
        <v>22</v>
      </c>
      <c r="T583" s="131"/>
      <c r="U583" s="78">
        <f>IFERROR(VLOOKUP($AA583,PLAN!$B:$AA,21,0),"")</f>
        <v>46251</v>
      </c>
      <c r="V583" s="78" t="str">
        <f>IFERROR(VLOOKUP($AA583,PLAN!$B:$AA,22,0),"")</f>
        <v>M8</v>
      </c>
      <c r="W583" s="232"/>
      <c r="X583" s="233"/>
      <c r="Y583" s="212"/>
      <c r="Z583" s="350"/>
      <c r="AA583" s="195" t="s">
        <v>3674</v>
      </c>
      <c r="AB583" s="132">
        <f>VLOOKUP(AA583,PLAN!B:V,20,0)</f>
        <v>46251</v>
      </c>
      <c r="AC583" s="132"/>
    </row>
    <row r="584" spans="3:29" s="79" customFormat="1" ht="21.6" customHeight="1">
      <c r="C584" s="249"/>
      <c r="D584" s="77"/>
      <c r="E584" s="77"/>
      <c r="F584" s="77"/>
      <c r="G584" s="77"/>
      <c r="H584" s="113"/>
      <c r="I584" s="77"/>
      <c r="J584" s="77"/>
      <c r="K584" s="77"/>
      <c r="L584" s="77"/>
      <c r="M584" s="77"/>
      <c r="N584" s="227"/>
      <c r="O584" s="77"/>
      <c r="P584" s="77"/>
      <c r="Q584" s="349" t="s">
        <v>815</v>
      </c>
      <c r="R584" s="222" t="s">
        <v>816</v>
      </c>
      <c r="S584" s="223">
        <v>27</v>
      </c>
      <c r="T584" s="131"/>
      <c r="U584" s="78"/>
      <c r="V584" s="78"/>
      <c r="W584" s="232"/>
      <c r="X584" s="233"/>
      <c r="Y584" s="212"/>
      <c r="Z584" s="350"/>
      <c r="AA584" s="195"/>
      <c r="AB584" s="132">
        <v>46251</v>
      </c>
      <c r="AC584" s="132"/>
    </row>
    <row r="585" spans="3:29" s="79" customFormat="1" ht="21.6" customHeight="1">
      <c r="C585" s="249"/>
      <c r="D585" s="77"/>
      <c r="E585" s="77"/>
      <c r="F585" s="77"/>
      <c r="G585" s="77"/>
      <c r="H585" s="113"/>
      <c r="I585" s="77"/>
      <c r="J585" s="77"/>
      <c r="K585" s="77"/>
      <c r="L585" s="77"/>
      <c r="M585" s="77"/>
      <c r="N585" s="227"/>
      <c r="O585" s="77"/>
      <c r="P585" s="77"/>
      <c r="Q585" s="349" t="s">
        <v>3714</v>
      </c>
      <c r="R585" s="149" t="s">
        <v>3715</v>
      </c>
      <c r="S585" s="223">
        <f>K583-S583-S584</f>
        <v>6</v>
      </c>
      <c r="T585" s="131"/>
      <c r="U585" s="78"/>
      <c r="V585" s="78"/>
      <c r="W585" s="232"/>
      <c r="X585" s="233"/>
      <c r="Y585" s="212"/>
      <c r="Z585" s="350"/>
      <c r="AA585" s="195"/>
      <c r="AB585" s="132">
        <v>46251</v>
      </c>
      <c r="AC585" s="132"/>
    </row>
    <row r="586" spans="3:29" s="79" customFormat="1" ht="21.6" customHeight="1">
      <c r="C586" s="249" t="str">
        <f t="shared" si="29"/>
        <v>Aug26-03</v>
      </c>
      <c r="D586" s="77">
        <f>IFERROR(VLOOKUP($AA586,PLAN!$B:$AA,3,0),"")</f>
        <v>11112514</v>
      </c>
      <c r="E586" s="77" t="str">
        <f>IFERROR(VLOOKUP($AA586,PLAN!$B:$AA,4,0),"")</f>
        <v>PSC14150S-E-A</v>
      </c>
      <c r="F586" s="77" t="str">
        <f>IFERROR(VLOOKUP($AA586,PLAN!$B:$AA,5,0),"")</f>
        <v>PSC14150S US</v>
      </c>
      <c r="G586" s="77" t="str">
        <f>IFERROR(VLOOKUP($AA586,PLAN!$B:$AA,2,0),"")</f>
        <v>1001940459</v>
      </c>
      <c r="H586" s="113">
        <f>IFERROR(VLOOKUP($AA586,PLAN!$B:$AA,7,0),"")</f>
        <v>46260</v>
      </c>
      <c r="I586" s="77" t="str">
        <f>IFERROR(VLOOKUP($AA586,PLAN!$B:$AA,8,0),"")</f>
        <v>0103599592</v>
      </c>
      <c r="J586" s="77" t="str">
        <f>IFERROR(VLOOKUP($AA586,PLAN!$B:$AA,9,0),"")</f>
        <v>260807K03A</v>
      </c>
      <c r="K586" s="77">
        <f>IFERROR(VLOOKUP($AA586,PLAN!$B:$AA,10,0),"")</f>
        <v>65</v>
      </c>
      <c r="L586" s="77" t="str">
        <f>IFERROR(VLOOKUP($AA586,PLAN!$B:$AA,15,0),"")</f>
        <v>USA</v>
      </c>
      <c r="M586" s="77">
        <f>IFERROR(VLOOKUP($AA586,PLAN!$B:$AA,18,0),"")</f>
        <v>0</v>
      </c>
      <c r="N586" s="227">
        <f>IFERROR(VLOOKUP($AA586,PLAN!$B:$AA,19,0),"")</f>
        <v>0</v>
      </c>
      <c r="O586" s="77" t="str">
        <f>IFERROR(VLOOKUP($AA586,PLAN!$B:$AA,12,0),"")</f>
        <v>PSC14150S-F-C</v>
      </c>
      <c r="P586" s="77">
        <f>IFERROR(VLOOKUP($AA586,PLAN!$B:$AA,11,0),"")</f>
        <v>12116394</v>
      </c>
      <c r="Q586" s="349" t="s">
        <v>3716</v>
      </c>
      <c r="R586" s="222" t="s">
        <v>3717</v>
      </c>
      <c r="S586" s="223">
        <v>28</v>
      </c>
      <c r="T586" s="131"/>
      <c r="U586" s="78">
        <f>IFERROR(VLOOKUP($AA586,PLAN!$B:$AA,21,0),"")</f>
        <v>46251</v>
      </c>
      <c r="V586" s="78" t="str">
        <f>IFERROR(VLOOKUP($AA586,PLAN!$B:$AA,22,0),"")</f>
        <v>M8</v>
      </c>
      <c r="W586" s="232"/>
      <c r="X586" s="233"/>
      <c r="Y586" s="212"/>
      <c r="Z586" s="350"/>
      <c r="AA586" s="195" t="s">
        <v>3675</v>
      </c>
      <c r="AB586" s="132">
        <f>VLOOKUP(AA586,PLAN!B:V,20,0)</f>
        <v>46251</v>
      </c>
      <c r="AC586" s="132"/>
    </row>
    <row r="587" spans="3:29" s="79" customFormat="1" ht="21.6" customHeight="1">
      <c r="C587" s="249"/>
      <c r="D587" s="77"/>
      <c r="E587" s="77"/>
      <c r="F587" s="77"/>
      <c r="G587" s="77"/>
      <c r="H587" s="113"/>
      <c r="I587" s="77"/>
      <c r="J587" s="77"/>
      <c r="K587" s="77"/>
      <c r="L587" s="77"/>
      <c r="M587" s="77"/>
      <c r="N587" s="227"/>
      <c r="O587" s="77"/>
      <c r="P587" s="77"/>
      <c r="Q587" s="349" t="s">
        <v>3718</v>
      </c>
      <c r="R587" s="222" t="s">
        <v>3719</v>
      </c>
      <c r="S587" s="223">
        <f>K586-S586</f>
        <v>37</v>
      </c>
      <c r="T587" s="131"/>
      <c r="U587" s="78"/>
      <c r="V587" s="78"/>
      <c r="W587" s="232"/>
      <c r="X587" s="233"/>
      <c r="Y587" s="212"/>
      <c r="Z587" s="350"/>
      <c r="AA587" s="195"/>
      <c r="AB587" s="132">
        <v>46251</v>
      </c>
      <c r="AC587" s="132"/>
    </row>
    <row r="588" spans="3:29" s="79" customFormat="1" ht="21.6" customHeight="1">
      <c r="C588" s="249" t="str">
        <f t="shared" si="29"/>
        <v>Aug26-04</v>
      </c>
      <c r="D588" s="77">
        <f>IFERROR(VLOOKUP($AA588,PLAN!$B:$AA,3,0),"")</f>
        <v>11112524</v>
      </c>
      <c r="E588" s="77" t="str">
        <f>IFERROR(VLOOKUP($AA588,PLAN!$B:$AA,4,0),"")</f>
        <v>PSC18150S-E-A</v>
      </c>
      <c r="F588" s="77" t="str">
        <f>IFERROR(VLOOKUP($AA588,PLAN!$B:$AA,5,0),"")</f>
        <v>PSC18150S US</v>
      </c>
      <c r="G588" s="77" t="str">
        <f>IFERROR(VLOOKUP($AA588,PLAN!$B:$AA,2,0),"")</f>
        <v>1001940460</v>
      </c>
      <c r="H588" s="113">
        <f>IFERROR(VLOOKUP($AA588,PLAN!$B:$AA,7,0),"")</f>
        <v>46260</v>
      </c>
      <c r="I588" s="77" t="str">
        <f>IFERROR(VLOOKUP($AA588,PLAN!$B:$AA,8,0),"")</f>
        <v>0103599593</v>
      </c>
      <c r="J588" s="77" t="str">
        <f>IFERROR(VLOOKUP($AA588,PLAN!$B:$AA,9,0),"")</f>
        <v>260807K04A</v>
      </c>
      <c r="K588" s="77">
        <f>IFERROR(VLOOKUP($AA588,PLAN!$B:$AA,10,0),"")</f>
        <v>80</v>
      </c>
      <c r="L588" s="77" t="str">
        <f>IFERROR(VLOOKUP($AA588,PLAN!$B:$AA,15,0),"")</f>
        <v>USA</v>
      </c>
      <c r="M588" s="77">
        <f>IFERROR(VLOOKUP($AA588,PLAN!$B:$AA,18,0),"")</f>
        <v>0</v>
      </c>
      <c r="N588" s="227">
        <f>IFERROR(VLOOKUP($AA588,PLAN!$B:$AA,19,0),"")</f>
        <v>0</v>
      </c>
      <c r="O588" s="77" t="str">
        <f>IFERROR(VLOOKUP($AA588,PLAN!$B:$AA,12,0),"")</f>
        <v>PSC18150S-F-C</v>
      </c>
      <c r="P588" s="77">
        <f>IFERROR(VLOOKUP($AA588,PLAN!$B:$AA,11,0),"")</f>
        <v>12116404</v>
      </c>
      <c r="Q588" s="349" t="s">
        <v>3720</v>
      </c>
      <c r="R588" s="149" t="s">
        <v>3721</v>
      </c>
      <c r="S588" s="223">
        <v>60</v>
      </c>
      <c r="T588" s="131"/>
      <c r="U588" s="78">
        <f>IFERROR(VLOOKUP($AA588,PLAN!$B:$AA,21,0),"")</f>
        <v>46251</v>
      </c>
      <c r="V588" s="78" t="str">
        <f>IFERROR(VLOOKUP($AA588,PLAN!$B:$AA,22,0),"")</f>
        <v>M8</v>
      </c>
      <c r="W588" s="232"/>
      <c r="X588" s="233"/>
      <c r="Y588" s="212"/>
      <c r="Z588" s="350"/>
      <c r="AA588" s="195" t="s">
        <v>3676</v>
      </c>
      <c r="AB588" s="132">
        <f>VLOOKUP(AA588,PLAN!B:V,20,0)</f>
        <v>46251</v>
      </c>
      <c r="AC588" s="132"/>
    </row>
    <row r="589" spans="3:29" s="79" customFormat="1" ht="21.6" customHeight="1">
      <c r="C589" s="249"/>
      <c r="D589" s="77"/>
      <c r="E589" s="77"/>
      <c r="F589" s="77"/>
      <c r="G589" s="77"/>
      <c r="H589" s="113"/>
      <c r="I589" s="77"/>
      <c r="J589" s="77"/>
      <c r="K589" s="77"/>
      <c r="L589" s="77"/>
      <c r="M589" s="77"/>
      <c r="N589" s="227"/>
      <c r="O589" s="77"/>
      <c r="P589" s="77"/>
      <c r="Q589" s="349" t="s">
        <v>3722</v>
      </c>
      <c r="R589" s="158" t="s">
        <v>3723</v>
      </c>
      <c r="S589" s="223">
        <f>K588-S588</f>
        <v>20</v>
      </c>
      <c r="T589" s="131"/>
      <c r="U589" s="78"/>
      <c r="V589" s="78"/>
      <c r="W589" s="232"/>
      <c r="X589" s="233"/>
      <c r="Y589" s="212"/>
      <c r="Z589" s="350"/>
      <c r="AA589" s="195"/>
      <c r="AB589" s="132">
        <v>46251</v>
      </c>
      <c r="AC589" s="132"/>
    </row>
    <row r="590" spans="3:29" s="79" customFormat="1" ht="21.6" customHeight="1">
      <c r="C590" s="249" t="str">
        <f t="shared" si="29"/>
        <v>Aug26-05</v>
      </c>
      <c r="D590" s="77">
        <f>IFERROR(VLOOKUP($AA590,PLAN!$B:$AA,3,0),"")</f>
        <v>11121773</v>
      </c>
      <c r="E590" s="77" t="str">
        <f>IFERROR(VLOOKUP($AA590,PLAN!$B:$AA,4,0),"")</f>
        <v>1941097-B-A</v>
      </c>
      <c r="F590" s="77" t="str">
        <f>IFERROR(VLOOKUP($AA590,PLAN!$B:$AA,5,0),"")</f>
        <v>CSR150-26P US</v>
      </c>
      <c r="G590" s="77" t="str">
        <f>IFERROR(VLOOKUP($AA590,PLAN!$B:$AA,2,0),"")</f>
        <v>1001940461</v>
      </c>
      <c r="H590" s="113">
        <f>IFERROR(VLOOKUP($AA590,PLAN!$B:$AA,7,0),"")</f>
        <v>46260</v>
      </c>
      <c r="I590" s="77" t="str">
        <f>IFERROR(VLOOKUP($AA590,PLAN!$B:$AA,8,0),"")</f>
        <v>0103599594</v>
      </c>
      <c r="J590" s="77" t="str">
        <f>IFERROR(VLOOKUP($AA590,PLAN!$B:$AA,9,0),"")</f>
        <v>260807K05A</v>
      </c>
      <c r="K590" s="77">
        <f>IFERROR(VLOOKUP($AA590,PLAN!$B:$AA,10,0),"")</f>
        <v>174</v>
      </c>
      <c r="L590" s="77" t="str">
        <f>IFERROR(VLOOKUP($AA590,PLAN!$B:$AA,15,0),"")</f>
        <v>USA</v>
      </c>
      <c r="M590" s="77">
        <f>IFERROR(VLOOKUP($AA590,PLAN!$B:$AA,18,0),"")</f>
        <v>0</v>
      </c>
      <c r="N590" s="227">
        <f>IFERROR(VLOOKUP($AA590,PLAN!$B:$AA,19,0),"")</f>
        <v>0</v>
      </c>
      <c r="O590" s="77" t="str">
        <f>IFERROR(VLOOKUP($AA590,PLAN!$B:$AA,12,0),"")</f>
        <v>2342020-A-C</v>
      </c>
      <c r="P590" s="77">
        <f>IFERROR(VLOOKUP($AA590,PLAN!$B:$AA,11,0),"")</f>
        <v>12120625</v>
      </c>
      <c r="Q590" s="349" t="s">
        <v>2929</v>
      </c>
      <c r="R590" s="149" t="s">
        <v>2930</v>
      </c>
      <c r="S590" s="149">
        <f t="shared" ref="S590" si="38">K590</f>
        <v>174</v>
      </c>
      <c r="T590" s="131"/>
      <c r="U590" s="78">
        <f>IFERROR(VLOOKUP($AA590,PLAN!$B:$AA,21,0),"")</f>
        <v>46251</v>
      </c>
      <c r="V590" s="78" t="str">
        <f>IFERROR(VLOOKUP($AA590,PLAN!$B:$AA,22,0),"")</f>
        <v>M8</v>
      </c>
      <c r="W590" s="232"/>
      <c r="X590" s="233"/>
      <c r="Y590" s="212"/>
      <c r="Z590" s="350"/>
      <c r="AA590" s="195" t="s">
        <v>3677</v>
      </c>
      <c r="AB590" s="132">
        <f>VLOOKUP(AA590,PLAN!B:V,20,0)</f>
        <v>46251</v>
      </c>
      <c r="AC590" s="132"/>
    </row>
    <row r="591" spans="3:29" s="79" customFormat="1" ht="21.6" customHeight="1">
      <c r="C591" s="249" t="str">
        <f t="shared" si="29"/>
        <v>Aug26-06</v>
      </c>
      <c r="D591" s="77">
        <f>IFERROR(VLOOKUP($AA591,PLAN!$B:$AA,3,0),"")</f>
        <v>11121772</v>
      </c>
      <c r="E591" s="77" t="str">
        <f>IFERROR(VLOOKUP($AA591,PLAN!$B:$AA,4,0),"")</f>
        <v>1941096-B-A</v>
      </c>
      <c r="F591" s="77" t="str">
        <f>IFERROR(VLOOKUP($AA591,PLAN!$B:$AA,5,0),"")</f>
        <v>CSR135-26P US</v>
      </c>
      <c r="G591" s="77" t="str">
        <f>IFERROR(VLOOKUP($AA591,PLAN!$B:$AA,2,0),"")</f>
        <v>1001940462</v>
      </c>
      <c r="H591" s="113">
        <f>IFERROR(VLOOKUP($AA591,PLAN!$B:$AA,7,0),"")</f>
        <v>46260</v>
      </c>
      <c r="I591" s="77" t="str">
        <f>IFERROR(VLOOKUP($AA591,PLAN!$B:$AA,8,0),"")</f>
        <v>0103599595</v>
      </c>
      <c r="J591" s="77" t="str">
        <f>IFERROR(VLOOKUP($AA591,PLAN!$B:$AA,9,0),"")</f>
        <v>260807K06A</v>
      </c>
      <c r="K591" s="77">
        <f>IFERROR(VLOOKUP($AA591,PLAN!$B:$AA,10,0),"")</f>
        <v>1543</v>
      </c>
      <c r="L591" s="77" t="str">
        <f>IFERROR(VLOOKUP($AA591,PLAN!$B:$AA,15,0),"")</f>
        <v>USA</v>
      </c>
      <c r="M591" s="77">
        <f>IFERROR(VLOOKUP($AA591,PLAN!$B:$AA,18,0),"")</f>
        <v>10</v>
      </c>
      <c r="N591" s="227">
        <f>IFERROR(VLOOKUP($AA591,PLAN!$B:$AA,19,0),"")</f>
        <v>0</v>
      </c>
      <c r="O591" s="77" t="str">
        <f>IFERROR(VLOOKUP($AA591,PLAN!$B:$AA,12,0),"")</f>
        <v>2342019-A-C</v>
      </c>
      <c r="P591" s="77">
        <f>IFERROR(VLOOKUP($AA591,PLAN!$B:$AA,11,0),"")</f>
        <v>12120624</v>
      </c>
      <c r="Q591" s="277" t="s">
        <v>3423</v>
      </c>
      <c r="R591" s="149" t="s">
        <v>3424</v>
      </c>
      <c r="S591" s="223">
        <v>303</v>
      </c>
      <c r="T591" s="131"/>
      <c r="U591" s="78">
        <f>IFERROR(VLOOKUP($AA591,PLAN!$B:$AA,21,0),"")</f>
        <v>46251</v>
      </c>
      <c r="V591" s="78" t="str">
        <f>IFERROR(VLOOKUP($AA591,PLAN!$B:$AA,22,0),"")</f>
        <v>M8</v>
      </c>
      <c r="W591" s="232"/>
      <c r="X591" s="233"/>
      <c r="Y591" s="212"/>
      <c r="Z591" s="350"/>
      <c r="AA591" s="195" t="s">
        <v>3678</v>
      </c>
      <c r="AB591" s="132">
        <f>VLOOKUP(AA591,PLAN!B:V,20,0)</f>
        <v>46251</v>
      </c>
      <c r="AC591" s="132"/>
    </row>
    <row r="592" spans="3:29" s="79" customFormat="1" ht="21.6" customHeight="1">
      <c r="C592" s="249"/>
      <c r="D592" s="77"/>
      <c r="E592" s="77"/>
      <c r="F592" s="77"/>
      <c r="G592" s="77"/>
      <c r="H592" s="113"/>
      <c r="I592" s="77"/>
      <c r="J592" s="77"/>
      <c r="K592" s="77"/>
      <c r="L592" s="77"/>
      <c r="M592" s="77"/>
      <c r="N592" s="227"/>
      <c r="O592" s="77"/>
      <c r="P592" s="77"/>
      <c r="Q592" s="277" t="s">
        <v>3724</v>
      </c>
      <c r="R592" s="149" t="s">
        <v>3725</v>
      </c>
      <c r="S592" s="223">
        <v>310</v>
      </c>
      <c r="T592" s="131"/>
      <c r="U592" s="78"/>
      <c r="V592" s="78"/>
      <c r="W592" s="232"/>
      <c r="X592" s="233"/>
      <c r="Y592" s="212"/>
      <c r="Z592" s="350"/>
      <c r="AA592" s="195"/>
      <c r="AB592" s="132">
        <v>46251</v>
      </c>
      <c r="AC592" s="132"/>
    </row>
    <row r="593" spans="3:29" s="79" customFormat="1" ht="21.6" customHeight="1">
      <c r="C593" s="249"/>
      <c r="D593" s="77"/>
      <c r="E593" s="77"/>
      <c r="F593" s="77"/>
      <c r="G593" s="77"/>
      <c r="H593" s="113"/>
      <c r="I593" s="77"/>
      <c r="J593" s="77"/>
      <c r="K593" s="77"/>
      <c r="L593" s="77"/>
      <c r="M593" s="77"/>
      <c r="N593" s="227"/>
      <c r="O593" s="77"/>
      <c r="P593" s="77"/>
      <c r="Q593" s="277" t="s">
        <v>3726</v>
      </c>
      <c r="R593" s="149" t="s">
        <v>3727</v>
      </c>
      <c r="S593" s="223">
        <v>310</v>
      </c>
      <c r="T593" s="131"/>
      <c r="U593" s="78"/>
      <c r="V593" s="78"/>
      <c r="W593" s="232"/>
      <c r="X593" s="233"/>
      <c r="Y593" s="212"/>
      <c r="Z593" s="350"/>
      <c r="AA593" s="195"/>
      <c r="AB593" s="132">
        <v>46251</v>
      </c>
      <c r="AC593" s="132"/>
    </row>
    <row r="594" spans="3:29" s="79" customFormat="1" ht="21.6" customHeight="1">
      <c r="C594" s="249"/>
      <c r="D594" s="77"/>
      <c r="E594" s="77"/>
      <c r="F594" s="77"/>
      <c r="G594" s="77"/>
      <c r="H594" s="113"/>
      <c r="I594" s="77"/>
      <c r="J594" s="77"/>
      <c r="K594" s="77"/>
      <c r="L594" s="77"/>
      <c r="M594" s="77"/>
      <c r="N594" s="227"/>
      <c r="O594" s="77"/>
      <c r="P594" s="77"/>
      <c r="Q594" s="277" t="s">
        <v>3728</v>
      </c>
      <c r="R594" s="149" t="s">
        <v>3729</v>
      </c>
      <c r="S594" s="223">
        <v>310</v>
      </c>
      <c r="T594" s="131"/>
      <c r="U594" s="78"/>
      <c r="V594" s="78"/>
      <c r="W594" s="232"/>
      <c r="X594" s="233"/>
      <c r="Y594" s="212"/>
      <c r="Z594" s="350"/>
      <c r="AA594" s="195"/>
      <c r="AB594" s="132">
        <v>46251</v>
      </c>
      <c r="AC594" s="132"/>
    </row>
    <row r="595" spans="3:29" s="79" customFormat="1" ht="21.6" customHeight="1">
      <c r="C595" s="249"/>
      <c r="D595" s="77"/>
      <c r="E595" s="77"/>
      <c r="F595" s="77"/>
      <c r="G595" s="77"/>
      <c r="H595" s="113"/>
      <c r="I595" s="77"/>
      <c r="J595" s="77"/>
      <c r="K595" s="77"/>
      <c r="L595" s="77"/>
      <c r="M595" s="77"/>
      <c r="N595" s="227"/>
      <c r="O595" s="77"/>
      <c r="P595" s="77"/>
      <c r="Q595" s="277" t="s">
        <v>3730</v>
      </c>
      <c r="R595" s="149" t="s">
        <v>3731</v>
      </c>
      <c r="S595" s="223">
        <v>310</v>
      </c>
      <c r="T595" s="131"/>
      <c r="U595" s="78"/>
      <c r="V595" s="78"/>
      <c r="W595" s="232"/>
      <c r="X595" s="233"/>
      <c r="Y595" s="212"/>
      <c r="Z595" s="350"/>
      <c r="AA595" s="195"/>
      <c r="AB595" s="132">
        <v>46251</v>
      </c>
      <c r="AC595" s="132"/>
    </row>
    <row r="596" spans="3:29" s="79" customFormat="1" ht="21.6" customHeight="1">
      <c r="C596" s="249" t="str">
        <f t="shared" ref="C596" si="39">AA596</f>
        <v>Aug26-07</v>
      </c>
      <c r="D596" s="77">
        <f>IFERROR(VLOOKUP($AA596,PLAN!$B:$AA,3,0),"")</f>
        <v>11131258</v>
      </c>
      <c r="E596" s="77" t="str">
        <f>IFERROR(VLOOKUP($AA596,PLAN!$B:$AA,4,0),"")</f>
        <v>1941001-D-A</v>
      </c>
      <c r="F596" s="77" t="str">
        <f>IFERROR(VLOOKUP($AA596,PLAN!$B:$AA,5,0),"")</f>
        <v>CSR135-26PR JP</v>
      </c>
      <c r="G596" s="77" t="str">
        <f>IFERROR(VLOOKUP($AA596,PLAN!$B:$AA,2,0),"")</f>
        <v>1001940463</v>
      </c>
      <c r="H596" s="113">
        <f>IFERROR(VLOOKUP($AA596,PLAN!$B:$AA,7,0),"")</f>
        <v>46260</v>
      </c>
      <c r="I596" s="77" t="str">
        <f>IFERROR(VLOOKUP($AA596,PLAN!$B:$AA,8,0),"")</f>
        <v>0103599596</v>
      </c>
      <c r="J596" s="77" t="str">
        <f>IFERROR(VLOOKUP($AA596,PLAN!$B:$AA,9,0),"")</f>
        <v>260807K07A</v>
      </c>
      <c r="K596" s="77">
        <f>IFERROR(VLOOKUP($AA596,PLAN!$B:$AA,10,0),"")</f>
        <v>164</v>
      </c>
      <c r="L596" s="77" t="str">
        <f>IFERROR(VLOOKUP($AA596,PLAN!$B:$AA,15,0),"")</f>
        <v>JAPAN</v>
      </c>
      <c r="M596" s="77">
        <f>IFERROR(VLOOKUP($AA596,PLAN!$B:$AA,18,0),"")</f>
        <v>0</v>
      </c>
      <c r="N596" s="227">
        <f>IFERROR(VLOOKUP($AA596,PLAN!$B:$AA,19,0),"")</f>
        <v>0</v>
      </c>
      <c r="O596" s="77" t="str">
        <f>IFERROR(VLOOKUP($AA596,PLAN!$B:$AA,12,0),"")</f>
        <v>2342019-A-C</v>
      </c>
      <c r="P596" s="77">
        <f>IFERROR(VLOOKUP($AA596,PLAN!$B:$AA,11,0),"")</f>
        <v>12120624</v>
      </c>
      <c r="Q596" s="277" t="s">
        <v>3732</v>
      </c>
      <c r="R596" s="149" t="s">
        <v>3733</v>
      </c>
      <c r="S596" s="149">
        <f t="shared" ref="S596" si="40">K596</f>
        <v>164</v>
      </c>
      <c r="T596" s="131"/>
      <c r="U596" s="78">
        <f>IFERROR(VLOOKUP($AA596,PLAN!$B:$AA,21,0),"")</f>
        <v>46251</v>
      </c>
      <c r="V596" s="78" t="str">
        <f>IFERROR(VLOOKUP($AA596,PLAN!$B:$AA,22,0),"")</f>
        <v>M8</v>
      </c>
      <c r="W596" s="232"/>
      <c r="X596" s="233"/>
      <c r="Y596" s="212"/>
      <c r="Z596" s="350"/>
      <c r="AA596" s="195" t="s">
        <v>3679</v>
      </c>
      <c r="AB596" s="132">
        <f>VLOOKUP(AA596,PLAN!B:V,20,0)</f>
        <v>46251</v>
      </c>
      <c r="AC596" s="132"/>
    </row>
    <row r="597" spans="3:29" s="79" customFormat="1" ht="21.6" customHeight="1">
      <c r="C597" s="249" t="str">
        <f t="shared" ref="C597:C687" si="41">AA597</f>
        <v>Aug24-17</v>
      </c>
      <c r="D597" s="77">
        <f>IFERROR(VLOOKUP($AA597,PLAN!$B:$AA,3,0),"")</f>
        <v>11119483</v>
      </c>
      <c r="E597" s="77" t="str">
        <f>IFERROR(VLOOKUP($AA597,PLAN!$B:$AA,4,0),"")</f>
        <v>1911149-D-A</v>
      </c>
      <c r="F597" s="77" t="str">
        <f>IFERROR(VLOOKUP($AA597,PLAN!$B:$AA,5,0),"")</f>
        <v>HJ70JL352P10020 JP</v>
      </c>
      <c r="G597" s="77" t="str">
        <f>IFERROR(VLOOKUP($AA597,PLAN!$B:$AA,2,0),"")</f>
        <v>1001938859</v>
      </c>
      <c r="H597" s="113">
        <f>IFERROR(VLOOKUP($AA597,PLAN!$B:$AA,7,0),"")</f>
        <v>46258</v>
      </c>
      <c r="I597" s="77" t="str">
        <f>IFERROR(VLOOKUP($AA597,PLAN!$B:$AA,8,0),"")</f>
        <v>0103596392</v>
      </c>
      <c r="J597" s="77" t="str">
        <f>IFERROR(VLOOKUP($AA597,PLAN!$B:$AA,9,0),"")</f>
        <v>260805C11A</v>
      </c>
      <c r="K597" s="77">
        <f>IFERROR(VLOOKUP($AA597,PLAN!$B:$AA,10,0),"")</f>
        <v>99</v>
      </c>
      <c r="L597" s="77" t="str">
        <f>IFERROR(VLOOKUP($AA597,PLAN!$B:$AA,15,0),"")</f>
        <v>JAPAN</v>
      </c>
      <c r="M597" s="77">
        <f>IFERROR(VLOOKUP($AA597,PLAN!$B:$AA,18,0),"")</f>
        <v>0</v>
      </c>
      <c r="N597" s="227">
        <f>IFERROR(VLOOKUP($AA597,PLAN!$B:$AA,19,0),"")</f>
        <v>0</v>
      </c>
      <c r="O597" s="77" t="str">
        <f>IFERROR(VLOOKUP($AA597,PLAN!$B:$AA,12,0),"")</f>
        <v>2112151-0-C</v>
      </c>
      <c r="P597" s="77">
        <f>IFERROR(VLOOKUP($AA597,PLAN!$B:$AA,11,0),"")</f>
        <v>12116118</v>
      </c>
      <c r="Q597" s="277" t="s">
        <v>3741</v>
      </c>
      <c r="R597" s="149" t="s">
        <v>3742</v>
      </c>
      <c r="S597" s="223">
        <v>32</v>
      </c>
      <c r="T597" s="131"/>
      <c r="U597" s="78">
        <f>IFERROR(VLOOKUP($AA597,PLAN!$B:$AA,21,0),"")</f>
        <v>46251</v>
      </c>
      <c r="V597" s="78" t="str">
        <f>IFERROR(VLOOKUP($AA597,PLAN!$B:$AA,22,0),"")</f>
        <v>M9</v>
      </c>
      <c r="W597" s="232"/>
      <c r="X597" s="233"/>
      <c r="Y597" s="212"/>
      <c r="Z597" s="350"/>
      <c r="AA597" s="195" t="s">
        <v>3340</v>
      </c>
      <c r="AB597" s="132">
        <f>VLOOKUP(AA597,PLAN!B:V,20,0)</f>
        <v>46251</v>
      </c>
      <c r="AC597" s="132"/>
    </row>
    <row r="598" spans="3:29" s="79" customFormat="1" ht="21.6" customHeight="1">
      <c r="C598" s="249">
        <f t="shared" si="41"/>
        <v>0</v>
      </c>
      <c r="D598" s="77" t="str">
        <f>IFERROR(VLOOKUP($AA598,PLAN!$B:$AA,3,0),"")</f>
        <v/>
      </c>
      <c r="E598" s="77" t="str">
        <f>IFERROR(VLOOKUP($AA598,PLAN!$B:$AA,4,0),"")</f>
        <v/>
      </c>
      <c r="F598" s="77" t="str">
        <f>IFERROR(VLOOKUP($AA598,PLAN!$B:$AA,5,0),"")</f>
        <v/>
      </c>
      <c r="G598" s="77" t="str">
        <f>IFERROR(VLOOKUP($AA598,PLAN!$B:$AA,2,0),"")</f>
        <v/>
      </c>
      <c r="H598" s="113" t="str">
        <f>IFERROR(VLOOKUP($AA598,PLAN!$B:$AA,7,0),"")</f>
        <v/>
      </c>
      <c r="I598" s="77" t="str">
        <f>IFERROR(VLOOKUP($AA598,PLAN!$B:$AA,8,0),"")</f>
        <v/>
      </c>
      <c r="J598" s="77" t="str">
        <f>IFERROR(VLOOKUP($AA598,PLAN!$B:$AA,9,0),"")</f>
        <v/>
      </c>
      <c r="K598" s="77" t="str">
        <f>IFERROR(VLOOKUP($AA598,PLAN!$B:$AA,10,0),"")</f>
        <v/>
      </c>
      <c r="L598" s="77" t="str">
        <f>IFERROR(VLOOKUP($AA598,PLAN!$B:$AA,15,0),"")</f>
        <v/>
      </c>
      <c r="M598" s="77" t="str">
        <f>IFERROR(VLOOKUP($AA598,PLAN!$B:$AA,18,0),"")</f>
        <v/>
      </c>
      <c r="N598" s="227" t="str">
        <f>IFERROR(VLOOKUP($AA598,PLAN!$B:$AA,19,0),"")</f>
        <v/>
      </c>
      <c r="O598" s="77" t="str">
        <f>IFERROR(VLOOKUP($AA598,PLAN!$B:$AA,12,0),"")</f>
        <v/>
      </c>
      <c r="P598" s="77" t="str">
        <f>IFERROR(VLOOKUP($AA598,PLAN!$B:$AA,11,0),"")</f>
        <v/>
      </c>
      <c r="Q598" s="349" t="s">
        <v>3743</v>
      </c>
      <c r="R598" s="149" t="s">
        <v>3744</v>
      </c>
      <c r="S598" s="223">
        <f>K597-S597</f>
        <v>67</v>
      </c>
      <c r="T598" s="131"/>
      <c r="U598" s="78" t="str">
        <f>IFERROR(VLOOKUP($AA598,PLAN!$B:$AA,21,0),"")</f>
        <v/>
      </c>
      <c r="V598" s="78" t="str">
        <f>IFERROR(VLOOKUP($AA598,PLAN!$B:$AA,22,0),"")</f>
        <v/>
      </c>
      <c r="W598" s="232"/>
      <c r="X598" s="233"/>
      <c r="Y598" s="212"/>
      <c r="Z598" s="350"/>
      <c r="AA598" s="195"/>
      <c r="AB598" s="132">
        <v>46251</v>
      </c>
      <c r="AC598" s="132"/>
    </row>
    <row r="599" spans="3:29" s="79" customFormat="1" ht="21.6" customHeight="1">
      <c r="C599" s="249" t="str">
        <f t="shared" si="41"/>
        <v>Aug26-08</v>
      </c>
      <c r="D599" s="77">
        <f>IFERROR(VLOOKUP($AA599,PLAN!$B:$AA,3,0),"")</f>
        <v>11135423</v>
      </c>
      <c r="E599" s="77" t="str">
        <f>IFERROR(VLOOKUP($AA599,PLAN!$B:$AA,4,0),"")</f>
        <v>2211774-E-A</v>
      </c>
      <c r="F599" s="77" t="str">
        <f>IFERROR(VLOOKUP($AA599,PLAN!$B:$AA,5,0),"")</f>
        <v>HW60AL070P10002 KR</v>
      </c>
      <c r="G599" s="77" t="str">
        <f>IFERROR(VLOOKUP($AA599,PLAN!$B:$AA,2,0),"")</f>
        <v>1001940470</v>
      </c>
      <c r="H599" s="113">
        <f>IFERROR(VLOOKUP($AA599,PLAN!$B:$AA,7,0),"")</f>
        <v>46260</v>
      </c>
      <c r="I599" s="77" t="str">
        <f>IFERROR(VLOOKUP($AA599,PLAN!$B:$AA,8,0),"")</f>
        <v>0103599603</v>
      </c>
      <c r="J599" s="77" t="str">
        <f>IFERROR(VLOOKUP($AA599,PLAN!$B:$AA,9,0),"")</f>
        <v>260807C01A</v>
      </c>
      <c r="K599" s="77">
        <f>IFERROR(VLOOKUP($AA599,PLAN!$B:$AA,10,0),"")</f>
        <v>1</v>
      </c>
      <c r="L599" s="77" t="str">
        <f>IFERROR(VLOOKUP($AA599,PLAN!$B:$AA,15,0),"")</f>
        <v>KOREA</v>
      </c>
      <c r="M599" s="77">
        <f>IFERROR(VLOOKUP($AA599,PLAN!$B:$AA,18,0),"")</f>
        <v>0</v>
      </c>
      <c r="N599" s="227">
        <f>IFERROR(VLOOKUP($AA599,PLAN!$B:$AA,19,0),"")</f>
        <v>0</v>
      </c>
      <c r="O599" s="77" t="str">
        <f>IFERROR(VLOOKUP($AA599,PLAN!$B:$AA,12,0),"")</f>
        <v>2112083-0-C</v>
      </c>
      <c r="P599" s="77">
        <f>IFERROR(VLOOKUP($AA599,PLAN!$B:$AA,11,0),"")</f>
        <v>12116048</v>
      </c>
      <c r="Q599" s="277" t="s">
        <v>3745</v>
      </c>
      <c r="R599" s="149" t="s">
        <v>3746</v>
      </c>
      <c r="S599" s="149">
        <f t="shared" ref="S599:S687" si="42">K599</f>
        <v>1</v>
      </c>
      <c r="T599" s="131"/>
      <c r="U599" s="78">
        <f>IFERROR(VLOOKUP($AA599,PLAN!$B:$AA,21,0),"")</f>
        <v>46251</v>
      </c>
      <c r="V599" s="78" t="str">
        <f>IFERROR(VLOOKUP($AA599,PLAN!$B:$AA,22,0),"")</f>
        <v>M9</v>
      </c>
      <c r="W599" s="232"/>
      <c r="X599" s="233"/>
      <c r="Y599" s="212"/>
      <c r="Z599" s="350"/>
      <c r="AA599" s="195" t="s">
        <v>3680</v>
      </c>
      <c r="AB599" s="132">
        <f>VLOOKUP(AA599,PLAN!B:V,20,0)</f>
        <v>46251</v>
      </c>
      <c r="AC599" s="132"/>
    </row>
    <row r="600" spans="3:29" s="79" customFormat="1" ht="21.6" customHeight="1">
      <c r="C600" s="249" t="str">
        <f t="shared" si="41"/>
        <v>Aug26-10</v>
      </c>
      <c r="D600" s="77">
        <f>IFERROR(VLOOKUP($AA600,PLAN!$B:$AA,3,0),"")</f>
        <v>11135627</v>
      </c>
      <c r="E600" s="77" t="str">
        <f>IFERROR(VLOOKUP($AA600,PLAN!$B:$AA,4,0),"")</f>
        <v>2211978-E-A</v>
      </c>
      <c r="F600" s="77" t="str">
        <f>IFERROR(VLOOKUP($AA600,PLAN!$B:$AA,5,0),"")</f>
        <v>HW70JR400P10000 KR</v>
      </c>
      <c r="G600" s="77" t="str">
        <f>IFERROR(VLOOKUP($AA600,PLAN!$B:$AA,2,0),"")</f>
        <v>1001940472</v>
      </c>
      <c r="H600" s="113">
        <f>IFERROR(VLOOKUP($AA600,PLAN!$B:$AA,7,0),"")</f>
        <v>46260</v>
      </c>
      <c r="I600" s="77" t="str">
        <f>IFERROR(VLOOKUP($AA600,PLAN!$B:$AA,8,0),"")</f>
        <v>0103599605</v>
      </c>
      <c r="J600" s="77" t="str">
        <f>IFERROR(VLOOKUP($AA600,PLAN!$B:$AA,9,0),"")</f>
        <v>260807C03A</v>
      </c>
      <c r="K600" s="77">
        <f>IFERROR(VLOOKUP($AA600,PLAN!$B:$AA,10,0),"")</f>
        <v>2</v>
      </c>
      <c r="L600" s="77" t="str">
        <f>IFERROR(VLOOKUP($AA600,PLAN!$B:$AA,15,0),"")</f>
        <v>KOREA</v>
      </c>
      <c r="M600" s="77">
        <f>IFERROR(VLOOKUP($AA600,PLAN!$B:$AA,18,0),"")</f>
        <v>0</v>
      </c>
      <c r="N600" s="227">
        <f>IFERROR(VLOOKUP($AA600,PLAN!$B:$AA,19,0),"")</f>
        <v>0</v>
      </c>
      <c r="O600" s="77" t="str">
        <f>IFERROR(VLOOKUP($AA600,PLAN!$B:$AA,12,0),"")</f>
        <v>2112175-0-C</v>
      </c>
      <c r="P600" s="77">
        <f>IFERROR(VLOOKUP($AA600,PLAN!$B:$AA,11,0),"")</f>
        <v>12116142</v>
      </c>
      <c r="Q600" s="349" t="s">
        <v>2212</v>
      </c>
      <c r="R600" s="149" t="s">
        <v>2213</v>
      </c>
      <c r="S600" s="149">
        <f t="shared" si="42"/>
        <v>2</v>
      </c>
      <c r="T600" s="131"/>
      <c r="U600" s="78">
        <f>IFERROR(VLOOKUP($AA600,PLAN!$B:$AA,21,0),"")</f>
        <v>46251</v>
      </c>
      <c r="V600" s="78" t="str">
        <f>IFERROR(VLOOKUP($AA600,PLAN!$B:$AA,22,0),"")</f>
        <v>M9</v>
      </c>
      <c r="W600" s="232"/>
      <c r="X600" s="233"/>
      <c r="Y600" s="212"/>
      <c r="Z600" s="350"/>
      <c r="AA600" s="195" t="s">
        <v>3682</v>
      </c>
      <c r="AB600" s="132">
        <f>VLOOKUP(AA600,PLAN!B:V,20,0)</f>
        <v>46251</v>
      </c>
      <c r="AC600" s="132"/>
    </row>
    <row r="601" spans="3:29" s="79" customFormat="1" ht="21.6" customHeight="1">
      <c r="C601" s="249" t="str">
        <f t="shared" si="41"/>
        <v>Aug26-11</v>
      </c>
      <c r="D601" s="77">
        <f>IFERROR(VLOOKUP($AA601,PLAN!$B:$AA,3,0),"")</f>
        <v>11135499</v>
      </c>
      <c r="E601" s="77" t="str">
        <f>IFERROR(VLOOKUP($AA601,PLAN!$B:$AA,4,0),"")</f>
        <v>2211850-E-A</v>
      </c>
      <c r="F601" s="77" t="str">
        <f>IFERROR(VLOOKUP($AA601,PLAN!$B:$AA,5,0),"")</f>
        <v>HW60JR400P10000 KR</v>
      </c>
      <c r="G601" s="77" t="str">
        <f>IFERROR(VLOOKUP($AA601,PLAN!$B:$AA,2,0),"")</f>
        <v>1001940473</v>
      </c>
      <c r="H601" s="113">
        <f>IFERROR(VLOOKUP($AA601,PLAN!$B:$AA,7,0),"")</f>
        <v>46260</v>
      </c>
      <c r="I601" s="77" t="str">
        <f>IFERROR(VLOOKUP($AA601,PLAN!$B:$AA,8,0),"")</f>
        <v>0103599606</v>
      </c>
      <c r="J601" s="77" t="str">
        <f>IFERROR(VLOOKUP($AA601,PLAN!$B:$AA,9,0),"")</f>
        <v>260807C04A</v>
      </c>
      <c r="K601" s="77">
        <f>IFERROR(VLOOKUP($AA601,PLAN!$B:$AA,10,0),"")</f>
        <v>3</v>
      </c>
      <c r="L601" s="77" t="str">
        <f>IFERROR(VLOOKUP($AA601,PLAN!$B:$AA,15,0),"")</f>
        <v>KOREA</v>
      </c>
      <c r="M601" s="77">
        <f>IFERROR(VLOOKUP($AA601,PLAN!$B:$AA,18,0),"")</f>
        <v>0</v>
      </c>
      <c r="N601" s="227">
        <f>IFERROR(VLOOKUP($AA601,PLAN!$B:$AA,19,0),"")</f>
        <v>0</v>
      </c>
      <c r="O601" s="77" t="str">
        <f>IFERROR(VLOOKUP($AA601,PLAN!$B:$AA,12,0),"")</f>
        <v>2112061-0-C</v>
      </c>
      <c r="P601" s="77">
        <f>IFERROR(VLOOKUP($AA601,PLAN!$B:$AA,11,0),"")</f>
        <v>12116026</v>
      </c>
      <c r="Q601" s="277" t="s">
        <v>813</v>
      </c>
      <c r="R601" s="149" t="s">
        <v>814</v>
      </c>
      <c r="S601" s="149">
        <f t="shared" si="42"/>
        <v>3</v>
      </c>
      <c r="T601" s="131"/>
      <c r="U601" s="78">
        <f>IFERROR(VLOOKUP($AA601,PLAN!$B:$AA,21,0),"")</f>
        <v>46251</v>
      </c>
      <c r="V601" s="78" t="str">
        <f>IFERROR(VLOOKUP($AA601,PLAN!$B:$AA,22,0),"")</f>
        <v>M9</v>
      </c>
      <c r="W601" s="232"/>
      <c r="X601" s="233"/>
      <c r="Y601" s="212"/>
      <c r="Z601" s="350"/>
      <c r="AA601" s="195" t="s">
        <v>3683</v>
      </c>
      <c r="AB601" s="132">
        <f>VLOOKUP(AA601,PLAN!B:V,20,0)</f>
        <v>46251</v>
      </c>
      <c r="AC601" s="132"/>
    </row>
    <row r="602" spans="3:29" s="79" customFormat="1" ht="21.6" customHeight="1">
      <c r="C602" s="249" t="str">
        <f t="shared" si="41"/>
        <v>Aug26-12</v>
      </c>
      <c r="D602" s="77">
        <f>IFERROR(VLOOKUP($AA602,PLAN!$B:$AA,3,0),"")</f>
        <v>11135473</v>
      </c>
      <c r="E602" s="77" t="str">
        <f>IFERROR(VLOOKUP($AA602,PLAN!$B:$AA,4,0),"")</f>
        <v>2211824-E-A</v>
      </c>
      <c r="F602" s="77" t="str">
        <f>IFERROR(VLOOKUP($AA602,PLAN!$B:$AA,5,0),"")</f>
        <v>HW60JL350P10000 KR</v>
      </c>
      <c r="G602" s="77" t="str">
        <f>IFERROR(VLOOKUP($AA602,PLAN!$B:$AA,2,0),"")</f>
        <v>1001940474</v>
      </c>
      <c r="H602" s="113">
        <f>IFERROR(VLOOKUP($AA602,PLAN!$B:$AA,7,0),"")</f>
        <v>46260</v>
      </c>
      <c r="I602" s="77" t="str">
        <f>IFERROR(VLOOKUP($AA602,PLAN!$B:$AA,8,0),"")</f>
        <v>0103599607</v>
      </c>
      <c r="J602" s="77" t="str">
        <f>IFERROR(VLOOKUP($AA602,PLAN!$B:$AA,9,0),"")</f>
        <v>260807C05A</v>
      </c>
      <c r="K602" s="77">
        <f>IFERROR(VLOOKUP($AA602,PLAN!$B:$AA,10,0),"")</f>
        <v>8</v>
      </c>
      <c r="L602" s="77" t="str">
        <f>IFERROR(VLOOKUP($AA602,PLAN!$B:$AA,15,0),"")</f>
        <v>KOREA</v>
      </c>
      <c r="M602" s="77">
        <f>IFERROR(VLOOKUP($AA602,PLAN!$B:$AA,18,0),"")</f>
        <v>0</v>
      </c>
      <c r="N602" s="227">
        <f>IFERROR(VLOOKUP($AA602,PLAN!$B:$AA,19,0),"")</f>
        <v>0</v>
      </c>
      <c r="O602" s="77" t="str">
        <f>IFERROR(VLOOKUP($AA602,PLAN!$B:$AA,12,0),"")</f>
        <v>2112041-0-C</v>
      </c>
      <c r="P602" s="77">
        <f>IFERROR(VLOOKUP($AA602,PLAN!$B:$AA,11,0),"")</f>
        <v>12116006</v>
      </c>
      <c r="Q602" s="277" t="s">
        <v>3447</v>
      </c>
      <c r="R602" s="222" t="s">
        <v>3448</v>
      </c>
      <c r="S602" s="149">
        <f t="shared" si="42"/>
        <v>8</v>
      </c>
      <c r="T602" s="131"/>
      <c r="U602" s="78">
        <f>IFERROR(VLOOKUP($AA602,PLAN!$B:$AA,21,0),"")</f>
        <v>46251</v>
      </c>
      <c r="V602" s="78" t="str">
        <f>IFERROR(VLOOKUP($AA602,PLAN!$B:$AA,22,0),"")</f>
        <v>M9</v>
      </c>
      <c r="W602" s="232"/>
      <c r="X602" s="233"/>
      <c r="Y602" s="212"/>
      <c r="Z602" s="350"/>
      <c r="AA602" s="195" t="s">
        <v>3684</v>
      </c>
      <c r="AB602" s="132">
        <f>VLOOKUP(AA602,PLAN!B:V,20,0)</f>
        <v>46251</v>
      </c>
      <c r="AC602" s="132"/>
    </row>
    <row r="603" spans="3:29" s="79" customFormat="1" ht="21.6" customHeight="1">
      <c r="C603" s="249" t="str">
        <f t="shared" si="41"/>
        <v>Aug26-13</v>
      </c>
      <c r="D603" s="77">
        <f>IFERROR(VLOOKUP($AA603,PLAN!$B:$AA,3,0),"")</f>
        <v>11135473</v>
      </c>
      <c r="E603" s="77" t="str">
        <f>IFERROR(VLOOKUP($AA603,PLAN!$B:$AA,4,0),"")</f>
        <v>2211824-E-A</v>
      </c>
      <c r="F603" s="77" t="str">
        <f>IFERROR(VLOOKUP($AA603,PLAN!$B:$AA,5,0),"")</f>
        <v>HW60JL350P10000 KR</v>
      </c>
      <c r="G603" s="77" t="str">
        <f>IFERROR(VLOOKUP($AA603,PLAN!$B:$AA,2,0),"")</f>
        <v>1001940475</v>
      </c>
      <c r="H603" s="113">
        <f>IFERROR(VLOOKUP($AA603,PLAN!$B:$AA,7,0),"")</f>
        <v>46260</v>
      </c>
      <c r="I603" s="77" t="str">
        <f>IFERROR(VLOOKUP($AA603,PLAN!$B:$AA,8,0),"")</f>
        <v>0103599608</v>
      </c>
      <c r="J603" s="77" t="str">
        <f>IFERROR(VLOOKUP($AA603,PLAN!$B:$AA,9,0),"")</f>
        <v>260807C06A</v>
      </c>
      <c r="K603" s="77">
        <f>IFERROR(VLOOKUP($AA603,PLAN!$B:$AA,10,0),"")</f>
        <v>9</v>
      </c>
      <c r="L603" s="77" t="str">
        <f>IFERROR(VLOOKUP($AA603,PLAN!$B:$AA,15,0),"")</f>
        <v>KOREA</v>
      </c>
      <c r="M603" s="77">
        <f>IFERROR(VLOOKUP($AA603,PLAN!$B:$AA,18,0),"")</f>
        <v>0</v>
      </c>
      <c r="N603" s="227">
        <f>IFERROR(VLOOKUP($AA603,PLAN!$B:$AA,19,0),"")</f>
        <v>0</v>
      </c>
      <c r="O603" s="77" t="str">
        <f>IFERROR(VLOOKUP($AA603,PLAN!$B:$AA,12,0),"")</f>
        <v>2112041-0-C</v>
      </c>
      <c r="P603" s="77">
        <f>IFERROR(VLOOKUP($AA603,PLAN!$B:$AA,11,0),"")</f>
        <v>12116006</v>
      </c>
      <c r="Q603" s="277" t="s">
        <v>3447</v>
      </c>
      <c r="R603" s="222" t="s">
        <v>3448</v>
      </c>
      <c r="S603" s="149">
        <f t="shared" si="42"/>
        <v>9</v>
      </c>
      <c r="T603" s="131"/>
      <c r="U603" s="78">
        <f>IFERROR(VLOOKUP($AA603,PLAN!$B:$AA,21,0),"")</f>
        <v>46251</v>
      </c>
      <c r="V603" s="78" t="str">
        <f>IFERROR(VLOOKUP($AA603,PLAN!$B:$AA,22,0),"")</f>
        <v>M9</v>
      </c>
      <c r="W603" s="232"/>
      <c r="X603" s="233"/>
      <c r="Y603" s="212"/>
      <c r="Z603" s="350"/>
      <c r="AA603" s="195" t="s">
        <v>3685</v>
      </c>
      <c r="AB603" s="132">
        <f>VLOOKUP(AA603,PLAN!B:V,20,0)</f>
        <v>46251</v>
      </c>
      <c r="AC603" s="132"/>
    </row>
    <row r="604" spans="3:29" s="79" customFormat="1" ht="21.6" customHeight="1">
      <c r="C604" s="249" t="str">
        <f t="shared" si="41"/>
        <v>Aug26-14</v>
      </c>
      <c r="D604" s="77">
        <f>IFERROR(VLOOKUP($AA604,PLAN!$B:$AA,3,0),"")</f>
        <v>11135605</v>
      </c>
      <c r="E604" s="77" t="str">
        <f>IFERROR(VLOOKUP($AA604,PLAN!$B:$AA,4,0),"")</f>
        <v>2211956-E-A</v>
      </c>
      <c r="F604" s="77" t="str">
        <f>IFERROR(VLOOKUP($AA604,PLAN!$B:$AA,5,0),"")</f>
        <v>HW70JL352P10000 KR</v>
      </c>
      <c r="G604" s="77" t="str">
        <f>IFERROR(VLOOKUP($AA604,PLAN!$B:$AA,2,0),"")</f>
        <v>1001940476</v>
      </c>
      <c r="H604" s="113">
        <f>IFERROR(VLOOKUP($AA604,PLAN!$B:$AA,7,0),"")</f>
        <v>46260</v>
      </c>
      <c r="I604" s="77" t="str">
        <f>IFERROR(VLOOKUP($AA604,PLAN!$B:$AA,8,0),"")</f>
        <v>0103599609</v>
      </c>
      <c r="J604" s="77" t="str">
        <f>IFERROR(VLOOKUP($AA604,PLAN!$B:$AA,9,0),"")</f>
        <v>260807C07A</v>
      </c>
      <c r="K604" s="77">
        <f>IFERROR(VLOOKUP($AA604,PLAN!$B:$AA,10,0),"")</f>
        <v>10</v>
      </c>
      <c r="L604" s="77" t="str">
        <f>IFERROR(VLOOKUP($AA604,PLAN!$B:$AA,15,0),"")</f>
        <v>KOREA</v>
      </c>
      <c r="M604" s="77">
        <f>IFERROR(VLOOKUP($AA604,PLAN!$B:$AA,18,0),"")</f>
        <v>0</v>
      </c>
      <c r="N604" s="227">
        <f>IFERROR(VLOOKUP($AA604,PLAN!$B:$AA,19,0),"")</f>
        <v>0</v>
      </c>
      <c r="O604" s="77" t="str">
        <f>IFERROR(VLOOKUP($AA604,PLAN!$B:$AA,12,0),"")</f>
        <v>2112151-0-C</v>
      </c>
      <c r="P604" s="77">
        <f>IFERROR(VLOOKUP($AA604,PLAN!$B:$AA,11,0),"")</f>
        <v>12116118</v>
      </c>
      <c r="Q604" s="349" t="s">
        <v>3743</v>
      </c>
      <c r="R604" s="149" t="s">
        <v>3744</v>
      </c>
      <c r="S604" s="149">
        <f t="shared" si="42"/>
        <v>10</v>
      </c>
      <c r="T604" s="131"/>
      <c r="U604" s="78">
        <f>IFERROR(VLOOKUP($AA604,PLAN!$B:$AA,21,0),"")</f>
        <v>46251</v>
      </c>
      <c r="V604" s="78" t="str">
        <f>IFERROR(VLOOKUP($AA604,PLAN!$B:$AA,22,0),"")</f>
        <v>M9</v>
      </c>
      <c r="W604" s="232"/>
      <c r="X604" s="233"/>
      <c r="Y604" s="212"/>
      <c r="Z604" s="350"/>
      <c r="AA604" s="195" t="s">
        <v>3686</v>
      </c>
      <c r="AB604" s="132">
        <f>VLOOKUP(AA604,PLAN!B:V,20,0)</f>
        <v>46251</v>
      </c>
      <c r="AC604" s="132"/>
    </row>
    <row r="605" spans="3:29" s="79" customFormat="1" ht="21.6" customHeight="1">
      <c r="C605" s="249" t="str">
        <f t="shared" si="41"/>
        <v>Aug26-15</v>
      </c>
      <c r="D605" s="77">
        <f>IFERROR(VLOOKUP($AA605,PLAN!$B:$AA,3,0),"")</f>
        <v>11135601</v>
      </c>
      <c r="E605" s="77" t="str">
        <f>IFERROR(VLOOKUP($AA605,PLAN!$B:$AA,4,0),"")</f>
        <v>2211952-E-A</v>
      </c>
      <c r="F605" s="77" t="str">
        <f>IFERROR(VLOOKUP($AA605,PLAN!$B:$AA,5,0),"")</f>
        <v>HW70JL350P10000 KR</v>
      </c>
      <c r="G605" s="77" t="str">
        <f>IFERROR(VLOOKUP($AA605,PLAN!$B:$AA,2,0),"")</f>
        <v>1001940477</v>
      </c>
      <c r="H605" s="113">
        <f>IFERROR(VLOOKUP($AA605,PLAN!$B:$AA,7,0),"")</f>
        <v>46260</v>
      </c>
      <c r="I605" s="77" t="str">
        <f>IFERROR(VLOOKUP($AA605,PLAN!$B:$AA,8,0),"")</f>
        <v>0103599610</v>
      </c>
      <c r="J605" s="77" t="str">
        <f>IFERROR(VLOOKUP($AA605,PLAN!$B:$AA,9,0),"")</f>
        <v>260807C08A</v>
      </c>
      <c r="K605" s="77">
        <f>IFERROR(VLOOKUP($AA605,PLAN!$B:$AA,10,0),"")</f>
        <v>12</v>
      </c>
      <c r="L605" s="77" t="str">
        <f>IFERROR(VLOOKUP($AA605,PLAN!$B:$AA,15,0),"")</f>
        <v>KOREA</v>
      </c>
      <c r="M605" s="77">
        <f>IFERROR(VLOOKUP($AA605,PLAN!$B:$AA,18,0),"")</f>
        <v>0</v>
      </c>
      <c r="N605" s="227">
        <f>IFERROR(VLOOKUP($AA605,PLAN!$B:$AA,19,0),"")</f>
        <v>0</v>
      </c>
      <c r="O605" s="77" t="str">
        <f>IFERROR(VLOOKUP($AA605,PLAN!$B:$AA,12,0),"")</f>
        <v>2112149-0-C</v>
      </c>
      <c r="P605" s="77">
        <f>IFERROR(VLOOKUP($AA605,PLAN!$B:$AA,11,0),"")</f>
        <v>12116116</v>
      </c>
      <c r="Q605" s="277" t="s">
        <v>3765</v>
      </c>
      <c r="R605" s="149" t="s">
        <v>3766</v>
      </c>
      <c r="S605" s="149">
        <f t="shared" si="42"/>
        <v>12</v>
      </c>
      <c r="T605" s="131"/>
      <c r="U605" s="78">
        <f>IFERROR(VLOOKUP($AA605,PLAN!$B:$AA,21,0),"")</f>
        <v>46251</v>
      </c>
      <c r="V605" s="78" t="str">
        <f>IFERROR(VLOOKUP($AA605,PLAN!$B:$AA,22,0),"")</f>
        <v>M9</v>
      </c>
      <c r="W605" s="232"/>
      <c r="X605" s="233"/>
      <c r="Y605" s="212"/>
      <c r="Z605" s="350"/>
      <c r="AA605" s="195" t="s">
        <v>3687</v>
      </c>
      <c r="AB605" s="132">
        <f>VLOOKUP(AA605,PLAN!B:V,20,0)</f>
        <v>46251</v>
      </c>
      <c r="AC605" s="132"/>
    </row>
    <row r="606" spans="3:29" s="79" customFormat="1" ht="21.6" customHeight="1">
      <c r="C606" s="249" t="str">
        <f t="shared" si="41"/>
        <v>Aug26-16</v>
      </c>
      <c r="D606" s="77">
        <f>IFERROR(VLOOKUP($AA606,PLAN!$B:$AA,3,0),"")</f>
        <v>11135477</v>
      </c>
      <c r="E606" s="77" t="str">
        <f>IFERROR(VLOOKUP($AA606,PLAN!$B:$AA,4,0),"")</f>
        <v>2211828-E-A</v>
      </c>
      <c r="F606" s="77" t="str">
        <f>IFERROR(VLOOKUP($AA606,PLAN!$B:$AA,5,0),"")</f>
        <v>HW60JL352P10000 KR</v>
      </c>
      <c r="G606" s="77" t="str">
        <f>IFERROR(VLOOKUP($AA606,PLAN!$B:$AA,2,0),"")</f>
        <v>1001940478</v>
      </c>
      <c r="H606" s="113">
        <f>IFERROR(VLOOKUP($AA606,PLAN!$B:$AA,7,0),"")</f>
        <v>46260</v>
      </c>
      <c r="I606" s="77" t="str">
        <f>IFERROR(VLOOKUP($AA606,PLAN!$B:$AA,8,0),"")</f>
        <v>0103599611</v>
      </c>
      <c r="J606" s="77" t="str">
        <f>IFERROR(VLOOKUP($AA606,PLAN!$B:$AA,9,0),"")</f>
        <v>260807C09A</v>
      </c>
      <c r="K606" s="77">
        <f>IFERROR(VLOOKUP($AA606,PLAN!$B:$AA,10,0),"")</f>
        <v>14</v>
      </c>
      <c r="L606" s="77" t="str">
        <f>IFERROR(VLOOKUP($AA606,PLAN!$B:$AA,15,0),"")</f>
        <v>KOREA</v>
      </c>
      <c r="M606" s="77">
        <f>IFERROR(VLOOKUP($AA606,PLAN!$B:$AA,18,0),"")</f>
        <v>0</v>
      </c>
      <c r="N606" s="227">
        <f>IFERROR(VLOOKUP($AA606,PLAN!$B:$AA,19,0),"")</f>
        <v>0</v>
      </c>
      <c r="O606" s="77" t="str">
        <f>IFERROR(VLOOKUP($AA606,PLAN!$B:$AA,12,0),"")</f>
        <v>2112042-0-C</v>
      </c>
      <c r="P606" s="77">
        <f>IFERROR(VLOOKUP($AA606,PLAN!$B:$AA,11,0),"")</f>
        <v>12116007</v>
      </c>
      <c r="Q606" s="277" t="s">
        <v>3767</v>
      </c>
      <c r="R606" s="149" t="s">
        <v>3768</v>
      </c>
      <c r="S606" s="149">
        <f t="shared" si="42"/>
        <v>14</v>
      </c>
      <c r="T606" s="131"/>
      <c r="U606" s="78">
        <f>IFERROR(VLOOKUP($AA606,PLAN!$B:$AA,21,0),"")</f>
        <v>46251</v>
      </c>
      <c r="V606" s="78" t="str">
        <f>IFERROR(VLOOKUP($AA606,PLAN!$B:$AA,22,0),"")</f>
        <v>M9</v>
      </c>
      <c r="W606" s="232"/>
      <c r="X606" s="233"/>
      <c r="Y606" s="212"/>
      <c r="Z606" s="350"/>
      <c r="AA606" s="195" t="s">
        <v>3688</v>
      </c>
      <c r="AB606" s="132">
        <f>VLOOKUP(AA606,PLAN!B:V,20,0)</f>
        <v>46251</v>
      </c>
      <c r="AC606" s="132"/>
    </row>
    <row r="607" spans="3:29" s="79" customFormat="1" ht="21.6" customHeight="1">
      <c r="C607" s="249" t="str">
        <f t="shared" si="41"/>
        <v>Aug26-17</v>
      </c>
      <c r="D607" s="77">
        <f>IFERROR(VLOOKUP($AA607,PLAN!$B:$AA,3,0),"")</f>
        <v>11135434</v>
      </c>
      <c r="E607" s="77" t="str">
        <f>IFERROR(VLOOKUP($AA607,PLAN!$B:$AA,4,0),"")</f>
        <v>2211785-E-A</v>
      </c>
      <c r="F607" s="77" t="str">
        <f>IFERROR(VLOOKUP($AA607,PLAN!$B:$AA,5,0),"")</f>
        <v>HW60AL102P10000 KR</v>
      </c>
      <c r="G607" s="77" t="str">
        <f>IFERROR(VLOOKUP($AA607,PLAN!$B:$AA,2,0),"")</f>
        <v>1001940479</v>
      </c>
      <c r="H607" s="113">
        <f>IFERROR(VLOOKUP($AA607,PLAN!$B:$AA,7,0),"")</f>
        <v>46260</v>
      </c>
      <c r="I607" s="77" t="str">
        <f>IFERROR(VLOOKUP($AA607,PLAN!$B:$AA,8,0),"")</f>
        <v>0103599612</v>
      </c>
      <c r="J607" s="77" t="str">
        <f>IFERROR(VLOOKUP($AA607,PLAN!$B:$AA,9,0),"")</f>
        <v>260807C10A</v>
      </c>
      <c r="K607" s="77">
        <f>IFERROR(VLOOKUP($AA607,PLAN!$B:$AA,10,0),"")</f>
        <v>17</v>
      </c>
      <c r="L607" s="77" t="str">
        <f>IFERROR(VLOOKUP($AA607,PLAN!$B:$AA,15,0),"")</f>
        <v>KOREA</v>
      </c>
      <c r="M607" s="77">
        <f>IFERROR(VLOOKUP($AA607,PLAN!$B:$AA,18,0),"")</f>
        <v>0</v>
      </c>
      <c r="N607" s="227">
        <f>IFERROR(VLOOKUP($AA607,PLAN!$B:$AA,19,0),"")</f>
        <v>0</v>
      </c>
      <c r="O607" s="77" t="str">
        <f>IFERROR(VLOOKUP($AA607,PLAN!$B:$AA,12,0),"")</f>
        <v>2112009-0-C</v>
      </c>
      <c r="P607" s="77">
        <f>IFERROR(VLOOKUP($AA607,PLAN!$B:$AA,11,0),"")</f>
        <v>12115974</v>
      </c>
      <c r="Q607" s="349" t="s">
        <v>635</v>
      </c>
      <c r="R607" s="149" t="s">
        <v>636</v>
      </c>
      <c r="S607" s="149">
        <f t="shared" si="42"/>
        <v>17</v>
      </c>
      <c r="T607" s="131"/>
      <c r="U607" s="78">
        <f>IFERROR(VLOOKUP($AA607,PLAN!$B:$AA,21,0),"")</f>
        <v>46251</v>
      </c>
      <c r="V607" s="78" t="str">
        <f>IFERROR(VLOOKUP($AA607,PLAN!$B:$AA,22,0),"")</f>
        <v>M9</v>
      </c>
      <c r="W607" s="232"/>
      <c r="X607" s="233"/>
      <c r="Y607" s="212"/>
      <c r="Z607" s="350"/>
      <c r="AA607" s="195" t="s">
        <v>3689</v>
      </c>
      <c r="AB607" s="132">
        <f>VLOOKUP(AA607,PLAN!B:V,20,0)</f>
        <v>46251</v>
      </c>
      <c r="AC607" s="132"/>
    </row>
    <row r="608" spans="3:29" s="79" customFormat="1" ht="21.6" customHeight="1">
      <c r="C608" s="249" t="str">
        <f t="shared" si="41"/>
        <v>Aug26-18</v>
      </c>
      <c r="D608" s="77">
        <f>IFERROR(VLOOKUP($AA608,PLAN!$B:$AA,3,0),"")</f>
        <v>11135601</v>
      </c>
      <c r="E608" s="77" t="str">
        <f>IFERROR(VLOOKUP($AA608,PLAN!$B:$AA,4,0),"")</f>
        <v>2211952-E-A</v>
      </c>
      <c r="F608" s="77" t="str">
        <f>IFERROR(VLOOKUP($AA608,PLAN!$B:$AA,5,0),"")</f>
        <v>HW70JL350P10000 KR</v>
      </c>
      <c r="G608" s="77" t="str">
        <f>IFERROR(VLOOKUP($AA608,PLAN!$B:$AA,2,0),"")</f>
        <v>1001940480</v>
      </c>
      <c r="H608" s="113">
        <f>IFERROR(VLOOKUP($AA608,PLAN!$B:$AA,7,0),"")</f>
        <v>46260</v>
      </c>
      <c r="I608" s="77" t="str">
        <f>IFERROR(VLOOKUP($AA608,PLAN!$B:$AA,8,0),"")</f>
        <v>0103599613</v>
      </c>
      <c r="J608" s="77" t="str">
        <f>IFERROR(VLOOKUP($AA608,PLAN!$B:$AA,9,0),"")</f>
        <v>260807C11A</v>
      </c>
      <c r="K608" s="77">
        <f>IFERROR(VLOOKUP($AA608,PLAN!$B:$AA,10,0),"")</f>
        <v>21</v>
      </c>
      <c r="L608" s="77" t="str">
        <f>IFERROR(VLOOKUP($AA608,PLAN!$B:$AA,15,0),"")</f>
        <v>KOREA</v>
      </c>
      <c r="M608" s="77">
        <f>IFERROR(VLOOKUP($AA608,PLAN!$B:$AA,18,0),"")</f>
        <v>0</v>
      </c>
      <c r="N608" s="227">
        <f>IFERROR(VLOOKUP($AA608,PLAN!$B:$AA,19,0),"")</f>
        <v>0</v>
      </c>
      <c r="O608" s="77" t="str">
        <f>IFERROR(VLOOKUP($AA608,PLAN!$B:$AA,12,0),"")</f>
        <v>2112149-0-C</v>
      </c>
      <c r="P608" s="77">
        <f>IFERROR(VLOOKUP($AA608,PLAN!$B:$AA,11,0),"")</f>
        <v>12116116</v>
      </c>
      <c r="Q608" s="277" t="s">
        <v>3765</v>
      </c>
      <c r="R608" s="149" t="s">
        <v>3766</v>
      </c>
      <c r="S608" s="149">
        <f t="shared" si="42"/>
        <v>21</v>
      </c>
      <c r="T608" s="131"/>
      <c r="U608" s="78">
        <f>IFERROR(VLOOKUP($AA608,PLAN!$B:$AA,21,0),"")</f>
        <v>46251</v>
      </c>
      <c r="V608" s="78" t="str">
        <f>IFERROR(VLOOKUP($AA608,PLAN!$B:$AA,22,0),"")</f>
        <v>M9</v>
      </c>
      <c r="W608" s="232"/>
      <c r="X608" s="233"/>
      <c r="Y608" s="212"/>
      <c r="Z608" s="350"/>
      <c r="AA608" s="195" t="s">
        <v>3690</v>
      </c>
      <c r="AB608" s="132">
        <f>VLOOKUP(AA608,PLAN!B:V,20,0)</f>
        <v>46251</v>
      </c>
      <c r="AC608" s="132"/>
    </row>
    <row r="609" spans="3:29" s="79" customFormat="1" ht="21.6" customHeight="1">
      <c r="C609" s="249" t="str">
        <f t="shared" si="41"/>
        <v>Aug26-19</v>
      </c>
      <c r="D609" s="77">
        <f>IFERROR(VLOOKUP($AA609,PLAN!$B:$AA,3,0),"")</f>
        <v>11135563</v>
      </c>
      <c r="E609" s="77" t="str">
        <f>IFERROR(VLOOKUP($AA609,PLAN!$B:$AA,4,0),"")</f>
        <v>2211914-E-A</v>
      </c>
      <c r="F609" s="77" t="str">
        <f>IFERROR(VLOOKUP($AA609,PLAN!$B:$AA,5,0),"")</f>
        <v>HW70AL102P10002 KR</v>
      </c>
      <c r="G609" s="77" t="str">
        <f>IFERROR(VLOOKUP($AA609,PLAN!$B:$AA,2,0),"")</f>
        <v>1001940481</v>
      </c>
      <c r="H609" s="113">
        <f>IFERROR(VLOOKUP($AA609,PLAN!$B:$AA,7,0),"")</f>
        <v>46260</v>
      </c>
      <c r="I609" s="77" t="str">
        <f>IFERROR(VLOOKUP($AA609,PLAN!$B:$AA,8,0),"")</f>
        <v>0103599614</v>
      </c>
      <c r="J609" s="77" t="str">
        <f>IFERROR(VLOOKUP($AA609,PLAN!$B:$AA,9,0),"")</f>
        <v>260807C12A</v>
      </c>
      <c r="K609" s="77">
        <f>IFERROR(VLOOKUP($AA609,PLAN!$B:$AA,10,0),"")</f>
        <v>27</v>
      </c>
      <c r="L609" s="77" t="str">
        <f>IFERROR(VLOOKUP($AA609,PLAN!$B:$AA,15,0),"")</f>
        <v>KOREA</v>
      </c>
      <c r="M609" s="77">
        <f>IFERROR(VLOOKUP($AA609,PLAN!$B:$AA,18,0),"")</f>
        <v>0</v>
      </c>
      <c r="N609" s="227">
        <f>IFERROR(VLOOKUP($AA609,PLAN!$B:$AA,19,0),"")</f>
        <v>0</v>
      </c>
      <c r="O609" s="77" t="str">
        <f>IFERROR(VLOOKUP($AA609,PLAN!$B:$AA,12,0),"")</f>
        <v>2112209-0-C</v>
      </c>
      <c r="P609" s="77">
        <f>IFERROR(VLOOKUP($AA609,PLAN!$B:$AA,11,0),"")</f>
        <v>12116176</v>
      </c>
      <c r="Q609" s="349" t="s">
        <v>3439</v>
      </c>
      <c r="R609" s="149" t="s">
        <v>3440</v>
      </c>
      <c r="S609" s="149">
        <f t="shared" si="42"/>
        <v>27</v>
      </c>
      <c r="T609" s="131"/>
      <c r="U609" s="78">
        <f>IFERROR(VLOOKUP($AA609,PLAN!$B:$AA,21,0),"")</f>
        <v>46251</v>
      </c>
      <c r="V609" s="78" t="str">
        <f>IFERROR(VLOOKUP($AA609,PLAN!$B:$AA,22,0),"")</f>
        <v>M9</v>
      </c>
      <c r="W609" s="232"/>
      <c r="X609" s="233"/>
      <c r="Y609" s="212"/>
      <c r="Z609" s="350"/>
      <c r="AA609" s="195" t="s">
        <v>3691</v>
      </c>
      <c r="AB609" s="132">
        <f>VLOOKUP(AA609,PLAN!B:V,20,0)</f>
        <v>46251</v>
      </c>
      <c r="AC609" s="132"/>
    </row>
    <row r="610" spans="3:29" s="79" customFormat="1" ht="21.6" customHeight="1">
      <c r="C610" s="249" t="str">
        <f t="shared" si="41"/>
        <v>Aug26-20</v>
      </c>
      <c r="D610" s="77">
        <f>IFERROR(VLOOKUP($AA610,PLAN!$B:$AA,3,0),"")</f>
        <v>11135563</v>
      </c>
      <c r="E610" s="77" t="str">
        <f>IFERROR(VLOOKUP($AA610,PLAN!$B:$AA,4,0),"")</f>
        <v>2211914-E-A</v>
      </c>
      <c r="F610" s="77" t="str">
        <f>IFERROR(VLOOKUP($AA610,PLAN!$B:$AA,5,0),"")</f>
        <v>HW70AL102P10002 KR</v>
      </c>
      <c r="G610" s="77" t="str">
        <f>IFERROR(VLOOKUP($AA610,PLAN!$B:$AA,2,0),"")</f>
        <v>1001940482</v>
      </c>
      <c r="H610" s="113">
        <f>IFERROR(VLOOKUP($AA610,PLAN!$B:$AA,7,0),"")</f>
        <v>46260</v>
      </c>
      <c r="I610" s="77" t="str">
        <f>IFERROR(VLOOKUP($AA610,PLAN!$B:$AA,8,0),"")</f>
        <v>0103599615</v>
      </c>
      <c r="J610" s="77" t="str">
        <f>IFERROR(VLOOKUP($AA610,PLAN!$B:$AA,9,0),"")</f>
        <v>260807C13A</v>
      </c>
      <c r="K610" s="77">
        <f>IFERROR(VLOOKUP($AA610,PLAN!$B:$AA,10,0),"")</f>
        <v>39</v>
      </c>
      <c r="L610" s="77" t="str">
        <f>IFERROR(VLOOKUP($AA610,PLAN!$B:$AA,15,0),"")</f>
        <v>KOREA</v>
      </c>
      <c r="M610" s="77">
        <f>IFERROR(VLOOKUP($AA610,PLAN!$B:$AA,18,0),"")</f>
        <v>0</v>
      </c>
      <c r="N610" s="227">
        <f>IFERROR(VLOOKUP($AA610,PLAN!$B:$AA,19,0),"")</f>
        <v>0</v>
      </c>
      <c r="O610" s="77" t="str">
        <f>IFERROR(VLOOKUP($AA610,PLAN!$B:$AA,12,0),"")</f>
        <v>2112209-0-C</v>
      </c>
      <c r="P610" s="77">
        <f>IFERROR(VLOOKUP($AA610,PLAN!$B:$AA,11,0),"")</f>
        <v>12116176</v>
      </c>
      <c r="Q610" s="349" t="s">
        <v>3439</v>
      </c>
      <c r="R610" s="149" t="s">
        <v>3440</v>
      </c>
      <c r="S610" s="223">
        <v>11</v>
      </c>
      <c r="T610" s="131"/>
      <c r="U610" s="78">
        <f>IFERROR(VLOOKUP($AA610,PLAN!$B:$AA,21,0),"")</f>
        <v>46251</v>
      </c>
      <c r="V610" s="78" t="str">
        <f>IFERROR(VLOOKUP($AA610,PLAN!$B:$AA,22,0),"")</f>
        <v>M9</v>
      </c>
      <c r="W610" s="232"/>
      <c r="X610" s="233"/>
      <c r="Y610" s="212"/>
      <c r="Z610" s="350"/>
      <c r="AA610" s="195" t="s">
        <v>3692</v>
      </c>
      <c r="AB610" s="132">
        <f>VLOOKUP(AA610,PLAN!B:V,20,0)</f>
        <v>46251</v>
      </c>
      <c r="AC610" s="132"/>
    </row>
    <row r="611" spans="3:29" s="79" customFormat="1" ht="21.6" customHeight="1">
      <c r="C611" s="249"/>
      <c r="D611" s="77"/>
      <c r="E611" s="77"/>
      <c r="F611" s="77"/>
      <c r="G611" s="77"/>
      <c r="H611" s="113"/>
      <c r="I611" s="77"/>
      <c r="J611" s="77"/>
      <c r="K611" s="77"/>
      <c r="L611" s="77"/>
      <c r="M611" s="77"/>
      <c r="N611" s="227"/>
      <c r="O611" s="77"/>
      <c r="P611" s="77"/>
      <c r="Q611" s="349" t="s">
        <v>3769</v>
      </c>
      <c r="R611" s="149" t="s">
        <v>3770</v>
      </c>
      <c r="S611" s="223">
        <f>K610-S610</f>
        <v>28</v>
      </c>
      <c r="T611" s="131"/>
      <c r="U611" s="78"/>
      <c r="V611" s="78"/>
      <c r="W611" s="232"/>
      <c r="X611" s="233"/>
      <c r="Y611" s="212"/>
      <c r="Z611" s="350"/>
      <c r="AA611" s="195"/>
      <c r="AB611" s="132">
        <v>46251</v>
      </c>
      <c r="AC611" s="132"/>
    </row>
    <row r="612" spans="3:29" s="79" customFormat="1" ht="21.6" customHeight="1">
      <c r="C612" s="249" t="str">
        <f t="shared" si="41"/>
        <v>Aug26-21</v>
      </c>
      <c r="D612" s="77">
        <f>IFERROR(VLOOKUP($AA612,PLAN!$B:$AA,3,0),"")</f>
        <v>11135435</v>
      </c>
      <c r="E612" s="77" t="str">
        <f>IFERROR(VLOOKUP($AA612,PLAN!$B:$AA,4,0),"")</f>
        <v>2211786-E-A</v>
      </c>
      <c r="F612" s="77" t="str">
        <f>IFERROR(VLOOKUP($AA612,PLAN!$B:$AA,5,0),"")</f>
        <v>HW60AL102P10002 KR</v>
      </c>
      <c r="G612" s="77" t="str">
        <f>IFERROR(VLOOKUP($AA612,PLAN!$B:$AA,2,0),"")</f>
        <v>1001940483</v>
      </c>
      <c r="H612" s="113">
        <f>IFERROR(VLOOKUP($AA612,PLAN!$B:$AA,7,0),"")</f>
        <v>46260</v>
      </c>
      <c r="I612" s="77" t="str">
        <f>IFERROR(VLOOKUP($AA612,PLAN!$B:$AA,8,0),"")</f>
        <v>0103599616</v>
      </c>
      <c r="J612" s="77" t="str">
        <f>IFERROR(VLOOKUP($AA612,PLAN!$B:$AA,9,0),"")</f>
        <v>260807C14A</v>
      </c>
      <c r="K612" s="77">
        <f>IFERROR(VLOOKUP($AA612,PLAN!$B:$AA,10,0),"")</f>
        <v>61</v>
      </c>
      <c r="L612" s="77" t="str">
        <f>IFERROR(VLOOKUP($AA612,PLAN!$B:$AA,15,0),"")</f>
        <v>KOREA</v>
      </c>
      <c r="M612" s="77">
        <f>IFERROR(VLOOKUP($AA612,PLAN!$B:$AA,18,0),"")</f>
        <v>0</v>
      </c>
      <c r="N612" s="227">
        <f>IFERROR(VLOOKUP($AA612,PLAN!$B:$AA,19,0),"")</f>
        <v>0</v>
      </c>
      <c r="O612" s="77" t="str">
        <f>IFERROR(VLOOKUP($AA612,PLAN!$B:$AA,12,0),"")</f>
        <v>2112086-0-C</v>
      </c>
      <c r="P612" s="77">
        <f>IFERROR(VLOOKUP($AA612,PLAN!$B:$AA,11,0),"")</f>
        <v>12116051</v>
      </c>
      <c r="Q612" s="349" t="s">
        <v>3395</v>
      </c>
      <c r="R612" s="149" t="s">
        <v>3396</v>
      </c>
      <c r="S612" s="149">
        <f t="shared" si="42"/>
        <v>61</v>
      </c>
      <c r="T612" s="131"/>
      <c r="U612" s="78">
        <f>IFERROR(VLOOKUP($AA612,PLAN!$B:$AA,21,0),"")</f>
        <v>46251</v>
      </c>
      <c r="V612" s="78" t="str">
        <f>IFERROR(VLOOKUP($AA612,PLAN!$B:$AA,22,0),"")</f>
        <v>M9</v>
      </c>
      <c r="W612" s="232"/>
      <c r="X612" s="233"/>
      <c r="Y612" s="212"/>
      <c r="Z612" s="350"/>
      <c r="AA612" s="195" t="s">
        <v>3693</v>
      </c>
      <c r="AB612" s="132">
        <f>VLOOKUP(AA612,PLAN!B:V,20,0)</f>
        <v>46251</v>
      </c>
      <c r="AC612" s="132"/>
    </row>
    <row r="613" spans="3:29" s="79" customFormat="1" ht="21.6" customHeight="1">
      <c r="C613" s="249" t="str">
        <f t="shared" si="41"/>
        <v>Aug26-22</v>
      </c>
      <c r="D613" s="77">
        <f>IFERROR(VLOOKUP($AA613,PLAN!$B:$AA,3,0),"")</f>
        <v>11130546</v>
      </c>
      <c r="E613" s="77" t="str">
        <f>IFERROR(VLOOKUP($AA613,PLAN!$B:$AA,4,0),"")</f>
        <v>2211018-C-A</v>
      </c>
      <c r="F613" s="77" t="str">
        <f>IFERROR(VLOOKUP($AA613,PLAN!$B:$AA,5,0),"")</f>
        <v>HW60JL350P10000 NOCE</v>
      </c>
      <c r="G613" s="77" t="str">
        <f>IFERROR(VLOOKUP($AA613,PLAN!$B:$AA,2,0),"")</f>
        <v>1001940484</v>
      </c>
      <c r="H613" s="113">
        <f>IFERROR(VLOOKUP($AA613,PLAN!$B:$AA,7,0),"")</f>
        <v>46260</v>
      </c>
      <c r="I613" s="77" t="str">
        <f>IFERROR(VLOOKUP($AA613,PLAN!$B:$AA,8,0),"")</f>
        <v>0103599617</v>
      </c>
      <c r="J613" s="77" t="str">
        <f>IFERROR(VLOOKUP($AA613,PLAN!$B:$AA,9,0),"")</f>
        <v>260807C15A</v>
      </c>
      <c r="K613" s="77">
        <f>IFERROR(VLOOKUP($AA613,PLAN!$B:$AA,10,0),"")</f>
        <v>10</v>
      </c>
      <c r="L613" s="77" t="str">
        <f>IFERROR(VLOOKUP($AA613,PLAN!$B:$AA,15,0),"")</f>
        <v>Oversea</v>
      </c>
      <c r="M613" s="77">
        <f>IFERROR(VLOOKUP($AA613,PLAN!$B:$AA,18,0),"")</f>
        <v>0</v>
      </c>
      <c r="N613" s="227">
        <f>IFERROR(VLOOKUP($AA613,PLAN!$B:$AA,19,0),"")</f>
        <v>0</v>
      </c>
      <c r="O613" s="77" t="str">
        <f>IFERROR(VLOOKUP($AA613,PLAN!$B:$AA,12,0),"")</f>
        <v>2112041-0-C</v>
      </c>
      <c r="P613" s="77">
        <f>IFERROR(VLOOKUP($AA613,PLAN!$B:$AA,11,0),"")</f>
        <v>12116006</v>
      </c>
      <c r="Q613" s="277" t="s">
        <v>3447</v>
      </c>
      <c r="R613" s="222" t="s">
        <v>3448</v>
      </c>
      <c r="S613" s="149">
        <f t="shared" si="42"/>
        <v>10</v>
      </c>
      <c r="T613" s="131"/>
      <c r="U613" s="78">
        <f>IFERROR(VLOOKUP($AA613,PLAN!$B:$AA,21,0),"")</f>
        <v>46251</v>
      </c>
      <c r="V613" s="78" t="str">
        <f>IFERROR(VLOOKUP($AA613,PLAN!$B:$AA,22,0),"")</f>
        <v>M9</v>
      </c>
      <c r="W613" s="232"/>
      <c r="X613" s="233"/>
      <c r="Y613" s="212"/>
      <c r="Z613" s="350"/>
      <c r="AA613" s="195" t="s">
        <v>3694</v>
      </c>
      <c r="AB613" s="132">
        <f>VLOOKUP(AA613,PLAN!B:V,20,0)</f>
        <v>46251</v>
      </c>
      <c r="AC613" s="132"/>
    </row>
    <row r="614" spans="3:29" s="79" customFormat="1" ht="21.6" customHeight="1">
      <c r="C614" s="249" t="str">
        <f t="shared" si="41"/>
        <v>Aug26-23</v>
      </c>
      <c r="D614" s="77">
        <f>IFERROR(VLOOKUP($AA614,PLAN!$B:$AA,3,0),"")</f>
        <v>11130546</v>
      </c>
      <c r="E614" s="77" t="str">
        <f>IFERROR(VLOOKUP($AA614,PLAN!$B:$AA,4,0),"")</f>
        <v>2211018-C-A</v>
      </c>
      <c r="F614" s="77" t="str">
        <f>IFERROR(VLOOKUP($AA614,PLAN!$B:$AA,5,0),"")</f>
        <v>HW60JL350P10000 NOCE</v>
      </c>
      <c r="G614" s="77" t="str">
        <f>IFERROR(VLOOKUP($AA614,PLAN!$B:$AA,2,0),"")</f>
        <v>1001940485</v>
      </c>
      <c r="H614" s="113">
        <f>IFERROR(VLOOKUP($AA614,PLAN!$B:$AA,7,0),"")</f>
        <v>46260</v>
      </c>
      <c r="I614" s="77" t="str">
        <f>IFERROR(VLOOKUP($AA614,PLAN!$B:$AA,8,0),"")</f>
        <v>0103599618</v>
      </c>
      <c r="J614" s="77" t="str">
        <f>IFERROR(VLOOKUP($AA614,PLAN!$B:$AA,9,0),"")</f>
        <v>260807C16A</v>
      </c>
      <c r="K614" s="77">
        <f>IFERROR(VLOOKUP($AA614,PLAN!$B:$AA,10,0),"")</f>
        <v>15</v>
      </c>
      <c r="L614" s="77" t="str">
        <f>IFERROR(VLOOKUP($AA614,PLAN!$B:$AA,15,0),"")</f>
        <v>Oversea</v>
      </c>
      <c r="M614" s="77">
        <f>IFERROR(VLOOKUP($AA614,PLAN!$B:$AA,18,0),"")</f>
        <v>0</v>
      </c>
      <c r="N614" s="227">
        <f>IFERROR(VLOOKUP($AA614,PLAN!$B:$AA,19,0),"")</f>
        <v>0</v>
      </c>
      <c r="O614" s="77" t="str">
        <f>IFERROR(VLOOKUP($AA614,PLAN!$B:$AA,12,0),"")</f>
        <v>2112041-0-C</v>
      </c>
      <c r="P614" s="77">
        <f>IFERROR(VLOOKUP($AA614,PLAN!$B:$AA,11,0),"")</f>
        <v>12116006</v>
      </c>
      <c r="Q614" s="277" t="s">
        <v>3447</v>
      </c>
      <c r="R614" s="222" t="s">
        <v>3448</v>
      </c>
      <c r="S614" s="149">
        <f t="shared" si="42"/>
        <v>15</v>
      </c>
      <c r="T614" s="131"/>
      <c r="U614" s="78">
        <f>IFERROR(VLOOKUP($AA614,PLAN!$B:$AA,21,0),"")</f>
        <v>46251</v>
      </c>
      <c r="V614" s="78" t="str">
        <f>IFERROR(VLOOKUP($AA614,PLAN!$B:$AA,22,0),"")</f>
        <v>M9</v>
      </c>
      <c r="W614" s="232"/>
      <c r="X614" s="233"/>
      <c r="Y614" s="212"/>
      <c r="Z614" s="350"/>
      <c r="AA614" s="195" t="s">
        <v>3695</v>
      </c>
      <c r="AB614" s="132">
        <f>VLOOKUP(AA614,PLAN!B:V,20,0)</f>
        <v>46251</v>
      </c>
      <c r="AC614" s="132"/>
    </row>
    <row r="615" spans="3:29" s="79" customFormat="1" ht="21.6" customHeight="1">
      <c r="C615" s="249" t="str">
        <f t="shared" si="41"/>
        <v>Aug26-24</v>
      </c>
      <c r="D615" s="77">
        <f>IFERROR(VLOOKUP($AA615,PLAN!$B:$AA,3,0),"")</f>
        <v>11130530</v>
      </c>
      <c r="E615" s="77" t="str">
        <f>IFERROR(VLOOKUP($AA615,PLAN!$B:$AA,4,0),"")</f>
        <v>2211002-C-A</v>
      </c>
      <c r="F615" s="77" t="str">
        <f>IFERROR(VLOOKUP($AA615,PLAN!$B:$AA,5,0),"")</f>
        <v>HW60JR400P10000 NOCE</v>
      </c>
      <c r="G615" s="77" t="str">
        <f>IFERROR(VLOOKUP($AA615,PLAN!$B:$AA,2,0),"")</f>
        <v>1001940486</v>
      </c>
      <c r="H615" s="113">
        <f>IFERROR(VLOOKUP($AA615,PLAN!$B:$AA,7,0),"")</f>
        <v>46260</v>
      </c>
      <c r="I615" s="77" t="str">
        <f>IFERROR(VLOOKUP($AA615,PLAN!$B:$AA,8,0),"")</f>
        <v>0103599619</v>
      </c>
      <c r="J615" s="77" t="str">
        <f>IFERROR(VLOOKUP($AA615,PLAN!$B:$AA,9,0),"")</f>
        <v>260807C17A</v>
      </c>
      <c r="K615" s="77">
        <f>IFERROR(VLOOKUP($AA615,PLAN!$B:$AA,10,0),"")</f>
        <v>30</v>
      </c>
      <c r="L615" s="77" t="str">
        <f>IFERROR(VLOOKUP($AA615,PLAN!$B:$AA,15,0),"")</f>
        <v>Oversea</v>
      </c>
      <c r="M615" s="77">
        <f>IFERROR(VLOOKUP($AA615,PLAN!$B:$AA,18,0),"")</f>
        <v>0</v>
      </c>
      <c r="N615" s="227">
        <f>IFERROR(VLOOKUP($AA615,PLAN!$B:$AA,19,0),"")</f>
        <v>0</v>
      </c>
      <c r="O615" s="77" t="str">
        <f>IFERROR(VLOOKUP($AA615,PLAN!$B:$AA,12,0),"")</f>
        <v>2112061-0-C</v>
      </c>
      <c r="P615" s="77">
        <f>IFERROR(VLOOKUP($AA615,PLAN!$B:$AA,11,0),"")</f>
        <v>12116026</v>
      </c>
      <c r="Q615" s="277" t="s">
        <v>813</v>
      </c>
      <c r="R615" s="149" t="s">
        <v>814</v>
      </c>
      <c r="S615" s="223">
        <v>8</v>
      </c>
      <c r="T615" s="131"/>
      <c r="U615" s="78">
        <f>IFERROR(VLOOKUP($AA615,PLAN!$B:$AA,21,0),"")</f>
        <v>46251</v>
      </c>
      <c r="V615" s="78" t="str">
        <f>IFERROR(VLOOKUP($AA615,PLAN!$B:$AA,22,0),"")</f>
        <v>M9</v>
      </c>
      <c r="W615" s="232"/>
      <c r="X615" s="233"/>
      <c r="Y615" s="212"/>
      <c r="Z615" s="350"/>
      <c r="AA615" s="195" t="s">
        <v>3696</v>
      </c>
      <c r="AB615" s="132">
        <f>VLOOKUP(AA615,PLAN!B:V,20,0)</f>
        <v>46251</v>
      </c>
      <c r="AC615" s="132"/>
    </row>
    <row r="616" spans="3:29" s="79" customFormat="1" ht="21.6" customHeight="1">
      <c r="C616" s="249"/>
      <c r="D616" s="77"/>
      <c r="E616" s="77"/>
      <c r="F616" s="77"/>
      <c r="G616" s="77"/>
      <c r="H616" s="113"/>
      <c r="I616" s="77"/>
      <c r="J616" s="77"/>
      <c r="K616" s="77"/>
      <c r="L616" s="77"/>
      <c r="M616" s="77"/>
      <c r="N616" s="227"/>
      <c r="O616" s="77"/>
      <c r="P616" s="77"/>
      <c r="Q616" s="277" t="s">
        <v>3771</v>
      </c>
      <c r="R616" s="149" t="s">
        <v>3772</v>
      </c>
      <c r="S616" s="223">
        <f>K615-S615</f>
        <v>22</v>
      </c>
      <c r="T616" s="131"/>
      <c r="U616" s="78"/>
      <c r="V616" s="78"/>
      <c r="W616" s="232"/>
      <c r="X616" s="233"/>
      <c r="Y616" s="212"/>
      <c r="Z616" s="350"/>
      <c r="AA616" s="195"/>
      <c r="AB616" s="132">
        <v>46251</v>
      </c>
      <c r="AC616" s="132"/>
    </row>
    <row r="617" spans="3:29" s="79" customFormat="1" ht="21.6" customHeight="1">
      <c r="C617" s="249" t="str">
        <f t="shared" si="41"/>
        <v>Aug26-25</v>
      </c>
      <c r="D617" s="77">
        <f>IFERROR(VLOOKUP($AA617,PLAN!$B:$AA,3,0),"")</f>
        <v>11130547</v>
      </c>
      <c r="E617" s="77" t="str">
        <f>IFERROR(VLOOKUP($AA617,PLAN!$B:$AA,4,0),"")</f>
        <v>2211019-C-A</v>
      </c>
      <c r="F617" s="77" t="str">
        <f>IFERROR(VLOOKUP($AA617,PLAN!$B:$AA,5,0),"")</f>
        <v>HW60JL400P10000 NOCE</v>
      </c>
      <c r="G617" s="77" t="str">
        <f>IFERROR(VLOOKUP($AA617,PLAN!$B:$AA,2,0),"")</f>
        <v>1001940487</v>
      </c>
      <c r="H617" s="113">
        <f>IFERROR(VLOOKUP($AA617,PLAN!$B:$AA,7,0),"")</f>
        <v>46260</v>
      </c>
      <c r="I617" s="77" t="str">
        <f>IFERROR(VLOOKUP($AA617,PLAN!$B:$AA,8,0),"")</f>
        <v>0103599620</v>
      </c>
      <c r="J617" s="77" t="str">
        <f>IFERROR(VLOOKUP($AA617,PLAN!$B:$AA,9,0),"")</f>
        <v>260807C18A</v>
      </c>
      <c r="K617" s="77">
        <f>IFERROR(VLOOKUP($AA617,PLAN!$B:$AA,10,0),"")</f>
        <v>5</v>
      </c>
      <c r="L617" s="77" t="str">
        <f>IFERROR(VLOOKUP($AA617,PLAN!$B:$AA,15,0),"")</f>
        <v>Oversea</v>
      </c>
      <c r="M617" s="77">
        <f>IFERROR(VLOOKUP($AA617,PLAN!$B:$AA,18,0),"")</f>
        <v>0</v>
      </c>
      <c r="N617" s="227">
        <f>IFERROR(VLOOKUP($AA617,PLAN!$B:$AA,19,0),"")</f>
        <v>0</v>
      </c>
      <c r="O617" s="77" t="str">
        <f>IFERROR(VLOOKUP($AA617,PLAN!$B:$AA,12,0),"")</f>
        <v>2112045-0-C</v>
      </c>
      <c r="P617" s="77">
        <f>IFERROR(VLOOKUP($AA617,PLAN!$B:$AA,11,0),"")</f>
        <v>12116010</v>
      </c>
      <c r="Q617" s="277" t="s">
        <v>3773</v>
      </c>
      <c r="R617" s="149" t="s">
        <v>3774</v>
      </c>
      <c r="S617" s="223">
        <v>3</v>
      </c>
      <c r="T617" s="131"/>
      <c r="U617" s="78">
        <f>IFERROR(VLOOKUP($AA617,PLAN!$B:$AA,21,0),"")</f>
        <v>46251</v>
      </c>
      <c r="V617" s="78" t="str">
        <f>IFERROR(VLOOKUP($AA617,PLAN!$B:$AA,22,0),"")</f>
        <v>M9</v>
      </c>
      <c r="W617" s="232"/>
      <c r="X617" s="233"/>
      <c r="Y617" s="212"/>
      <c r="Z617" s="350"/>
      <c r="AA617" s="195" t="s">
        <v>3697</v>
      </c>
      <c r="AB617" s="132">
        <f>VLOOKUP(AA617,PLAN!B:V,20,0)</f>
        <v>46251</v>
      </c>
      <c r="AC617" s="132"/>
    </row>
    <row r="618" spans="3:29" s="79" customFormat="1" ht="21.6" customHeight="1">
      <c r="C618" s="249"/>
      <c r="D618" s="77"/>
      <c r="E618" s="77"/>
      <c r="F618" s="77"/>
      <c r="G618" s="77"/>
      <c r="H618" s="113"/>
      <c r="I618" s="77"/>
      <c r="J618" s="77"/>
      <c r="K618" s="77"/>
      <c r="L618" s="77"/>
      <c r="M618" s="77"/>
      <c r="N618" s="227"/>
      <c r="O618" s="77"/>
      <c r="P618" s="77"/>
      <c r="Q618" s="277" t="s">
        <v>3775</v>
      </c>
      <c r="R618" s="149" t="s">
        <v>3776</v>
      </c>
      <c r="S618" s="223">
        <f>K617-S617</f>
        <v>2</v>
      </c>
      <c r="T618" s="131"/>
      <c r="U618" s="78"/>
      <c r="V618" s="78"/>
      <c r="W618" s="232"/>
      <c r="X618" s="233"/>
      <c r="Y618" s="212"/>
      <c r="Z618" s="350"/>
      <c r="AA618" s="195"/>
      <c r="AB618" s="132">
        <v>46251</v>
      </c>
      <c r="AC618" s="132"/>
    </row>
    <row r="619" spans="3:29" s="79" customFormat="1" ht="21.6" customHeight="1">
      <c r="C619" s="249" t="str">
        <f t="shared" si="41"/>
        <v>Aug26-26</v>
      </c>
      <c r="D619" s="77">
        <f>IFERROR(VLOOKUP($AA619,PLAN!$B:$AA,3,0),"")</f>
        <v>11119391</v>
      </c>
      <c r="E619" s="77" t="str">
        <f>IFERROR(VLOOKUP($AA619,PLAN!$B:$AA,4,0),"")</f>
        <v>1911059-D-A</v>
      </c>
      <c r="F619" s="77" t="str">
        <f>IFERROR(VLOOKUP($AA619,PLAN!$B:$AA,5,0),"")</f>
        <v>HJ60JR400P10020 JP</v>
      </c>
      <c r="G619" s="77" t="str">
        <f>IFERROR(VLOOKUP($AA619,PLAN!$B:$AA,2,0),"")</f>
        <v>1001940488</v>
      </c>
      <c r="H619" s="113">
        <f>IFERROR(VLOOKUP($AA619,PLAN!$B:$AA,7,0),"")</f>
        <v>46260</v>
      </c>
      <c r="I619" s="77" t="str">
        <f>IFERROR(VLOOKUP($AA619,PLAN!$B:$AA,8,0),"")</f>
        <v>0103599621</v>
      </c>
      <c r="J619" s="77" t="str">
        <f>IFERROR(VLOOKUP($AA619,PLAN!$B:$AA,9,0),"")</f>
        <v>260807C19A</v>
      </c>
      <c r="K619" s="77">
        <f>IFERROR(VLOOKUP($AA619,PLAN!$B:$AA,10,0),"")</f>
        <v>541</v>
      </c>
      <c r="L619" s="77" t="str">
        <f>IFERROR(VLOOKUP($AA619,PLAN!$B:$AA,15,0),"")</f>
        <v>JAPAN</v>
      </c>
      <c r="M619" s="77">
        <f>IFERROR(VLOOKUP($AA619,PLAN!$B:$AA,18,0),"")</f>
        <v>0</v>
      </c>
      <c r="N619" s="227">
        <f>IFERROR(VLOOKUP($AA619,PLAN!$B:$AA,19,0),"")</f>
        <v>0</v>
      </c>
      <c r="O619" s="77" t="str">
        <f>IFERROR(VLOOKUP($AA619,PLAN!$B:$AA,12,0),"")</f>
        <v>2112061-0-C</v>
      </c>
      <c r="P619" s="77">
        <f>IFERROR(VLOOKUP($AA619,PLAN!$B:$AA,11,0),"")</f>
        <v>12116026</v>
      </c>
      <c r="Q619" s="277" t="s">
        <v>3771</v>
      </c>
      <c r="R619" s="149" t="s">
        <v>3772</v>
      </c>
      <c r="S619" s="223">
        <v>128</v>
      </c>
      <c r="T619" s="131"/>
      <c r="U619" s="78">
        <f>IFERROR(VLOOKUP($AA619,PLAN!$B:$AA,21,0),"")</f>
        <v>46251</v>
      </c>
      <c r="V619" s="78" t="str">
        <f>IFERROR(VLOOKUP($AA619,PLAN!$B:$AA,22,0),"")</f>
        <v>M9</v>
      </c>
      <c r="W619" s="232"/>
      <c r="X619" s="233"/>
      <c r="Y619" s="212"/>
      <c r="Z619" s="350"/>
      <c r="AA619" s="195" t="s">
        <v>3698</v>
      </c>
      <c r="AB619" s="132">
        <f>VLOOKUP(AA619,PLAN!B:V,20,0)</f>
        <v>46251</v>
      </c>
      <c r="AC619" s="132"/>
    </row>
    <row r="620" spans="3:29" s="79" customFormat="1" ht="21.6" customHeight="1">
      <c r="C620" s="249"/>
      <c r="D620" s="77"/>
      <c r="E620" s="77"/>
      <c r="F620" s="77"/>
      <c r="G620" s="77"/>
      <c r="H620" s="113"/>
      <c r="I620" s="77"/>
      <c r="J620" s="77"/>
      <c r="K620" s="77"/>
      <c r="L620" s="77"/>
      <c r="M620" s="77"/>
      <c r="N620" s="227"/>
      <c r="O620" s="77"/>
      <c r="P620" s="77"/>
      <c r="Q620" s="277" t="s">
        <v>3777</v>
      </c>
      <c r="R620" s="149" t="s">
        <v>3778</v>
      </c>
      <c r="S620" s="223">
        <v>140</v>
      </c>
      <c r="T620" s="131"/>
      <c r="U620" s="78"/>
      <c r="V620" s="78"/>
      <c r="W620" s="232"/>
      <c r="X620" s="233"/>
      <c r="Y620" s="212"/>
      <c r="Z620" s="350"/>
      <c r="AA620" s="195"/>
      <c r="AB620" s="132">
        <v>46251</v>
      </c>
      <c r="AC620" s="132"/>
    </row>
    <row r="621" spans="3:29" s="79" customFormat="1" ht="21.6" customHeight="1">
      <c r="C621" s="249"/>
      <c r="D621" s="77"/>
      <c r="E621" s="77"/>
      <c r="F621" s="77"/>
      <c r="G621" s="77"/>
      <c r="H621" s="113"/>
      <c r="I621" s="77"/>
      <c r="J621" s="77"/>
      <c r="K621" s="77"/>
      <c r="L621" s="77"/>
      <c r="M621" s="77"/>
      <c r="N621" s="227"/>
      <c r="O621" s="77"/>
      <c r="P621" s="77"/>
      <c r="Q621" s="277" t="s">
        <v>3779</v>
      </c>
      <c r="R621" s="149" t="s">
        <v>3780</v>
      </c>
      <c r="S621" s="223">
        <v>150</v>
      </c>
      <c r="T621" s="131"/>
      <c r="U621" s="78"/>
      <c r="V621" s="78"/>
      <c r="W621" s="232"/>
      <c r="X621" s="233"/>
      <c r="Y621" s="212"/>
      <c r="Z621" s="350"/>
      <c r="AA621" s="195"/>
      <c r="AB621" s="132">
        <v>46251</v>
      </c>
      <c r="AC621" s="132"/>
    </row>
    <row r="622" spans="3:29" s="79" customFormat="1" ht="21.6" customHeight="1">
      <c r="C622" s="249"/>
      <c r="D622" s="77"/>
      <c r="E622" s="77"/>
      <c r="F622" s="77"/>
      <c r="G622" s="77"/>
      <c r="H622" s="113"/>
      <c r="I622" s="77"/>
      <c r="J622" s="77"/>
      <c r="K622" s="77"/>
      <c r="L622" s="77"/>
      <c r="M622" s="77"/>
      <c r="N622" s="227"/>
      <c r="O622" s="77"/>
      <c r="P622" s="77"/>
      <c r="Q622" s="277" t="s">
        <v>3781</v>
      </c>
      <c r="R622" s="149" t="s">
        <v>3782</v>
      </c>
      <c r="S622" s="223">
        <f>K619-S619-S620-S621</f>
        <v>123</v>
      </c>
      <c r="T622" s="131"/>
      <c r="U622" s="78"/>
      <c r="V622" s="78"/>
      <c r="W622" s="232"/>
      <c r="X622" s="233"/>
      <c r="Y622" s="212"/>
      <c r="Z622" s="350"/>
      <c r="AA622" s="195"/>
      <c r="AB622" s="132">
        <v>46251</v>
      </c>
      <c r="AC622" s="132"/>
    </row>
    <row r="623" spans="3:29" s="79" customFormat="1" ht="21.6" customHeight="1">
      <c r="C623" s="249" t="str">
        <f t="shared" si="41"/>
        <v>Aug26-28</v>
      </c>
      <c r="D623" s="77">
        <f>IFERROR(VLOOKUP($AA623,PLAN!$B:$AA,3,0),"")</f>
        <v>11119509</v>
      </c>
      <c r="E623" s="77" t="str">
        <f>IFERROR(VLOOKUP($AA623,PLAN!$B:$AA,4,0),"")</f>
        <v>1911175-D-A</v>
      </c>
      <c r="F623" s="77" t="str">
        <f>IFERROR(VLOOKUP($AA623,PLAN!$B:$AA,5,0),"")</f>
        <v>HJ70JR402P10020 JP</v>
      </c>
      <c r="G623" s="77" t="str">
        <f>IFERROR(VLOOKUP($AA623,PLAN!$B:$AA,2,0),"")</f>
        <v>1001940490</v>
      </c>
      <c r="H623" s="113">
        <f>IFERROR(VLOOKUP($AA623,PLAN!$B:$AA,7,0),"")</f>
        <v>46260</v>
      </c>
      <c r="I623" s="77" t="str">
        <f>IFERROR(VLOOKUP($AA623,PLAN!$B:$AA,8,0),"")</f>
        <v>0103599623</v>
      </c>
      <c r="J623" s="77" t="str">
        <f>IFERROR(VLOOKUP($AA623,PLAN!$B:$AA,9,0),"")</f>
        <v>260807C21A</v>
      </c>
      <c r="K623" s="77">
        <f>IFERROR(VLOOKUP($AA623,PLAN!$B:$AA,10,0),"")</f>
        <v>92</v>
      </c>
      <c r="L623" s="77" t="str">
        <f>IFERROR(VLOOKUP($AA623,PLAN!$B:$AA,15,0),"")</f>
        <v>JAPAN</v>
      </c>
      <c r="M623" s="77">
        <f>IFERROR(VLOOKUP($AA623,PLAN!$B:$AA,18,0),"")</f>
        <v>0</v>
      </c>
      <c r="N623" s="227">
        <f>IFERROR(VLOOKUP($AA623,PLAN!$B:$AA,19,0),"")</f>
        <v>0</v>
      </c>
      <c r="O623" s="77" t="str">
        <f>IFERROR(VLOOKUP($AA623,PLAN!$B:$AA,12,0),"")</f>
        <v>2112177-0-C</v>
      </c>
      <c r="P623" s="77">
        <f>IFERROR(VLOOKUP($AA623,PLAN!$B:$AA,11,0),"")</f>
        <v>12116144</v>
      </c>
      <c r="Q623" s="277" t="s">
        <v>3783</v>
      </c>
      <c r="R623" s="149" t="s">
        <v>3784</v>
      </c>
      <c r="S623" s="223">
        <v>27</v>
      </c>
      <c r="T623" s="131"/>
      <c r="U623" s="78">
        <f>IFERROR(VLOOKUP($AA623,PLAN!$B:$AA,21,0),"")</f>
        <v>46251</v>
      </c>
      <c r="V623" s="78" t="str">
        <f>IFERROR(VLOOKUP($AA623,PLAN!$B:$AA,22,0),"")</f>
        <v>M9</v>
      </c>
      <c r="W623" s="232"/>
      <c r="X623" s="233"/>
      <c r="Y623" s="212"/>
      <c r="Z623" s="350"/>
      <c r="AA623" s="195" t="s">
        <v>3700</v>
      </c>
      <c r="AB623" s="132">
        <f>VLOOKUP(AA623,PLAN!B:V,20,0)</f>
        <v>46251</v>
      </c>
      <c r="AC623" s="132"/>
    </row>
    <row r="624" spans="3:29" s="79" customFormat="1" ht="21.6" customHeight="1">
      <c r="C624" s="249"/>
      <c r="D624" s="77"/>
      <c r="E624" s="77"/>
      <c r="F624" s="77"/>
      <c r="G624" s="77"/>
      <c r="H624" s="113"/>
      <c r="I624" s="77"/>
      <c r="J624" s="77"/>
      <c r="K624" s="77"/>
      <c r="L624" s="77"/>
      <c r="M624" s="77"/>
      <c r="N624" s="227"/>
      <c r="O624" s="77"/>
      <c r="P624" s="77"/>
      <c r="Q624" s="349" t="s">
        <v>3785</v>
      </c>
      <c r="R624" s="158" t="s">
        <v>3786</v>
      </c>
      <c r="S624" s="223">
        <f>K623-S623</f>
        <v>65</v>
      </c>
      <c r="T624" s="131"/>
      <c r="U624" s="78"/>
      <c r="V624" s="78"/>
      <c r="W624" s="232"/>
      <c r="X624" s="233"/>
      <c r="Y624" s="212"/>
      <c r="Z624" s="350"/>
      <c r="AA624" s="195"/>
      <c r="AB624" s="132">
        <v>46251</v>
      </c>
      <c r="AC624" s="132"/>
    </row>
    <row r="625" spans="3:29" s="79" customFormat="1" ht="21.6" customHeight="1">
      <c r="C625" s="249" t="str">
        <f t="shared" si="41"/>
        <v>Aug26-29</v>
      </c>
      <c r="D625" s="77">
        <f>IFERROR(VLOOKUP($AA625,PLAN!$B:$AA,3,0),"")</f>
        <v>11134260</v>
      </c>
      <c r="E625" s="77" t="str">
        <f>IFERROR(VLOOKUP($AA625,PLAN!$B:$AA,4,0),"")</f>
        <v>1911097-F-A</v>
      </c>
      <c r="F625" s="77" t="str">
        <f>IFERROR(VLOOKUP($AA625,PLAN!$B:$AA,5,0),"")</f>
        <v>HJ60SP350P10000 JP</v>
      </c>
      <c r="G625" s="77" t="str">
        <f>IFERROR(VLOOKUP($AA625,PLAN!$B:$AA,2,0),"")</f>
        <v>1001940491</v>
      </c>
      <c r="H625" s="113">
        <f>IFERROR(VLOOKUP($AA625,PLAN!$B:$AA,7,0),"")</f>
        <v>46260</v>
      </c>
      <c r="I625" s="77" t="str">
        <f>IFERROR(VLOOKUP($AA625,PLAN!$B:$AA,8,0),"")</f>
        <v>0103599624</v>
      </c>
      <c r="J625" s="77" t="str">
        <f>IFERROR(VLOOKUP($AA625,PLAN!$B:$AA,9,0),"")</f>
        <v>260807C22A</v>
      </c>
      <c r="K625" s="77">
        <f>IFERROR(VLOOKUP($AA625,PLAN!$B:$AA,10,0),"")</f>
        <v>141</v>
      </c>
      <c r="L625" s="77" t="str">
        <f>IFERROR(VLOOKUP($AA625,PLAN!$B:$AA,15,0),"")</f>
        <v>JAPAN</v>
      </c>
      <c r="M625" s="77">
        <f>IFERROR(VLOOKUP($AA625,PLAN!$B:$AA,18,0),"")</f>
        <v>0</v>
      </c>
      <c r="N625" s="227">
        <f>IFERROR(VLOOKUP($AA625,PLAN!$B:$AA,19,0),"")</f>
        <v>0</v>
      </c>
      <c r="O625" s="77" t="str">
        <f>IFERROR(VLOOKUP($AA625,PLAN!$B:$AA,12,0),"")</f>
        <v>2112099-0-C</v>
      </c>
      <c r="P625" s="77">
        <f>IFERROR(VLOOKUP($AA625,PLAN!$B:$AA,11,0),"")</f>
        <v>12116064</v>
      </c>
      <c r="Q625" s="277" t="s">
        <v>3431</v>
      </c>
      <c r="R625" s="222" t="s">
        <v>3432</v>
      </c>
      <c r="S625" s="223">
        <v>16</v>
      </c>
      <c r="T625" s="131"/>
      <c r="U625" s="78">
        <f>IFERROR(VLOOKUP($AA625,PLAN!$B:$AA,21,0),"")</f>
        <v>46251</v>
      </c>
      <c r="V625" s="78" t="str">
        <f>IFERROR(VLOOKUP($AA625,PLAN!$B:$AA,22,0),"")</f>
        <v>M10</v>
      </c>
      <c r="W625" s="232"/>
      <c r="X625" s="233"/>
      <c r="Y625" s="212"/>
      <c r="Z625" s="350"/>
      <c r="AA625" s="195" t="s">
        <v>3701</v>
      </c>
      <c r="AB625" s="132">
        <f>VLOOKUP(AA625,PLAN!B:V,20,0)</f>
        <v>46251</v>
      </c>
      <c r="AC625" s="132"/>
    </row>
    <row r="626" spans="3:29" s="79" customFormat="1" ht="21.6" customHeight="1">
      <c r="C626" s="249"/>
      <c r="D626" s="77"/>
      <c r="E626" s="77"/>
      <c r="F626" s="77"/>
      <c r="G626" s="77"/>
      <c r="H626" s="113"/>
      <c r="I626" s="77"/>
      <c r="J626" s="77"/>
      <c r="K626" s="77"/>
      <c r="L626" s="77"/>
      <c r="M626" s="77"/>
      <c r="N626" s="227"/>
      <c r="O626" s="77"/>
      <c r="P626" s="77"/>
      <c r="Q626" s="277" t="s">
        <v>3787</v>
      </c>
      <c r="R626" s="149" t="s">
        <v>3788</v>
      </c>
      <c r="S626" s="223">
        <f>K625-S625</f>
        <v>125</v>
      </c>
      <c r="T626" s="131"/>
      <c r="U626" s="78"/>
      <c r="V626" s="78"/>
      <c r="W626" s="232"/>
      <c r="X626" s="233"/>
      <c r="Y626" s="212"/>
      <c r="Z626" s="350"/>
      <c r="AA626" s="195"/>
      <c r="AB626" s="132">
        <v>46251</v>
      </c>
      <c r="AC626" s="132"/>
    </row>
    <row r="627" spans="3:29" s="79" customFormat="1" ht="21.6" customHeight="1">
      <c r="C627" s="249" t="str">
        <f t="shared" si="41"/>
        <v>Aug26-30</v>
      </c>
      <c r="D627" s="77">
        <f>IFERROR(VLOOKUP($AA627,PLAN!$B:$AA,3,0),"")</f>
        <v>11134262</v>
      </c>
      <c r="E627" s="77" t="str">
        <f>IFERROR(VLOOKUP($AA627,PLAN!$B:$AA,4,0),"")</f>
        <v>1911099-F-A</v>
      </c>
      <c r="F627" s="77" t="str">
        <f>IFERROR(VLOOKUP($AA627,PLAN!$B:$AA,5,0),"")</f>
        <v>HJ60SP370P10000 JP</v>
      </c>
      <c r="G627" s="77" t="str">
        <f>IFERROR(VLOOKUP($AA627,PLAN!$B:$AA,2,0),"")</f>
        <v>1001940492</v>
      </c>
      <c r="H627" s="113">
        <f>IFERROR(VLOOKUP($AA627,PLAN!$B:$AA,7,0),"")</f>
        <v>46260</v>
      </c>
      <c r="I627" s="77" t="str">
        <f>IFERROR(VLOOKUP($AA627,PLAN!$B:$AA,8,0),"")</f>
        <v>0103599625</v>
      </c>
      <c r="J627" s="77" t="str">
        <f>IFERROR(VLOOKUP($AA627,PLAN!$B:$AA,9,0),"")</f>
        <v>260807C23A</v>
      </c>
      <c r="K627" s="77">
        <f>IFERROR(VLOOKUP($AA627,PLAN!$B:$AA,10,0),"")</f>
        <v>230</v>
      </c>
      <c r="L627" s="77" t="str">
        <f>IFERROR(VLOOKUP($AA627,PLAN!$B:$AA,15,0),"")</f>
        <v>JAPAN</v>
      </c>
      <c r="M627" s="77">
        <f>IFERROR(VLOOKUP($AA627,PLAN!$B:$AA,18,0),"")</f>
        <v>0</v>
      </c>
      <c r="N627" s="227">
        <f>IFERROR(VLOOKUP($AA627,PLAN!$B:$AA,19,0),"")</f>
        <v>0</v>
      </c>
      <c r="O627" s="77" t="str">
        <f>IFERROR(VLOOKUP($AA627,PLAN!$B:$AA,12,0),"")</f>
        <v>2112101-0-C</v>
      </c>
      <c r="P627" s="77">
        <f>IFERROR(VLOOKUP($AA627,PLAN!$B:$AA,11,0),"")</f>
        <v>12116066</v>
      </c>
      <c r="Q627" s="349" t="s">
        <v>3789</v>
      </c>
      <c r="R627" s="149" t="s">
        <v>3790</v>
      </c>
      <c r="S627" s="223">
        <v>37</v>
      </c>
      <c r="T627" s="131"/>
      <c r="U627" s="78">
        <f>IFERROR(VLOOKUP($AA627,PLAN!$B:$AA,21,0),"")</f>
        <v>46251</v>
      </c>
      <c r="V627" s="78" t="str">
        <f>IFERROR(VLOOKUP($AA627,PLAN!$B:$AA,22,0),"")</f>
        <v>M10</v>
      </c>
      <c r="W627" s="232"/>
      <c r="X627" s="233"/>
      <c r="Y627" s="212"/>
      <c r="Z627" s="350"/>
      <c r="AA627" s="195" t="s">
        <v>3702</v>
      </c>
      <c r="AB627" s="132">
        <f>VLOOKUP(AA627,PLAN!B:V,20,0)</f>
        <v>46251</v>
      </c>
      <c r="AC627" s="132"/>
    </row>
    <row r="628" spans="3:29" s="79" customFormat="1" ht="21.6" customHeight="1">
      <c r="C628" s="249"/>
      <c r="D628" s="77"/>
      <c r="E628" s="77"/>
      <c r="F628" s="77"/>
      <c r="G628" s="77"/>
      <c r="H628" s="113"/>
      <c r="I628" s="77"/>
      <c r="J628" s="77"/>
      <c r="K628" s="77"/>
      <c r="L628" s="77"/>
      <c r="M628" s="77"/>
      <c r="N628" s="227"/>
      <c r="O628" s="77"/>
      <c r="P628" s="77"/>
      <c r="Q628" s="349" t="s">
        <v>3791</v>
      </c>
      <c r="R628" s="149" t="s">
        <v>3792</v>
      </c>
      <c r="S628" s="223">
        <v>150</v>
      </c>
      <c r="T628" s="131"/>
      <c r="U628" s="78"/>
      <c r="V628" s="78"/>
      <c r="W628" s="232"/>
      <c r="X628" s="233"/>
      <c r="Y628" s="212"/>
      <c r="Z628" s="350"/>
      <c r="AA628" s="195"/>
      <c r="AB628" s="132">
        <v>46251</v>
      </c>
      <c r="AC628" s="132"/>
    </row>
    <row r="629" spans="3:29" s="79" customFormat="1" ht="21.6" customHeight="1">
      <c r="C629" s="249"/>
      <c r="D629" s="77"/>
      <c r="E629" s="77"/>
      <c r="F629" s="77"/>
      <c r="G629" s="77"/>
      <c r="H629" s="113"/>
      <c r="I629" s="77"/>
      <c r="J629" s="77"/>
      <c r="K629" s="77"/>
      <c r="L629" s="77"/>
      <c r="M629" s="77"/>
      <c r="N629" s="227"/>
      <c r="O629" s="77"/>
      <c r="P629" s="77"/>
      <c r="Q629" s="349" t="s">
        <v>3793</v>
      </c>
      <c r="R629" s="149" t="s">
        <v>3794</v>
      </c>
      <c r="S629" s="223">
        <f>K627-S627-S628</f>
        <v>43</v>
      </c>
      <c r="T629" s="131"/>
      <c r="U629" s="78"/>
      <c r="V629" s="78"/>
      <c r="W629" s="232"/>
      <c r="X629" s="233"/>
      <c r="Y629" s="212"/>
      <c r="Z629" s="350"/>
      <c r="AA629" s="195"/>
      <c r="AB629" s="132">
        <v>46251</v>
      </c>
      <c r="AC629" s="132"/>
    </row>
    <row r="630" spans="3:29" s="79" customFormat="1" ht="21.6" customHeight="1">
      <c r="C630" s="249" t="str">
        <f t="shared" ref="C630" si="43">AA630</f>
        <v>Aug26-31</v>
      </c>
      <c r="D630" s="77">
        <f>IFERROR(VLOOKUP($AA630,PLAN!$B:$AA,3,0),"")</f>
        <v>11134281</v>
      </c>
      <c r="E630" s="77" t="str">
        <f>IFERROR(VLOOKUP($AA630,PLAN!$B:$AA,4,0),"")</f>
        <v>1911224-F-A</v>
      </c>
      <c r="F630" s="77" t="str">
        <f>IFERROR(VLOOKUP($AA630,PLAN!$B:$AA,5,0),"")</f>
        <v>HJ70SP350P10000 JP</v>
      </c>
      <c r="G630" s="77" t="str">
        <f>IFERROR(VLOOKUP($AA630,PLAN!$B:$AA,2,0),"")</f>
        <v>1001940493</v>
      </c>
      <c r="H630" s="113">
        <f>IFERROR(VLOOKUP($AA630,PLAN!$B:$AA,7,0),"")</f>
        <v>46260</v>
      </c>
      <c r="I630" s="77" t="str">
        <f>IFERROR(VLOOKUP($AA630,PLAN!$B:$AA,8,0),"")</f>
        <v>0103599626</v>
      </c>
      <c r="J630" s="77" t="str">
        <f>IFERROR(VLOOKUP($AA630,PLAN!$B:$AA,9,0),"")</f>
        <v>260807C24A</v>
      </c>
      <c r="K630" s="77">
        <f>IFERROR(VLOOKUP($AA630,PLAN!$B:$AA,10,0),"")</f>
        <v>302</v>
      </c>
      <c r="L630" s="77" t="str">
        <f>IFERROR(VLOOKUP($AA630,PLAN!$B:$AA,15,0),"")</f>
        <v>JAPAN</v>
      </c>
      <c r="M630" s="77">
        <f>IFERROR(VLOOKUP($AA630,PLAN!$B:$AA,18,0),"")</f>
        <v>0</v>
      </c>
      <c r="N630" s="227">
        <f>IFERROR(VLOOKUP($AA630,PLAN!$B:$AA,19,0),"")</f>
        <v>0</v>
      </c>
      <c r="O630" s="77" t="str">
        <f>IFERROR(VLOOKUP($AA630,PLAN!$B:$AA,12,0),"")</f>
        <v>2112226-0-C</v>
      </c>
      <c r="P630" s="77">
        <f>IFERROR(VLOOKUP($AA630,PLAN!$B:$AA,11,0),"")</f>
        <v>12116193</v>
      </c>
      <c r="Q630" s="277" t="s">
        <v>560</v>
      </c>
      <c r="R630" s="222" t="s">
        <v>561</v>
      </c>
      <c r="S630" s="223">
        <v>73</v>
      </c>
      <c r="T630" s="131"/>
      <c r="U630" s="78">
        <f>IFERROR(VLOOKUP($AA630,PLAN!$B:$AA,21,0),"")</f>
        <v>46251</v>
      </c>
      <c r="V630" s="78" t="str">
        <f>IFERROR(VLOOKUP($AA630,PLAN!$B:$AA,22,0),"")</f>
        <v>M10</v>
      </c>
      <c r="W630" s="232"/>
      <c r="X630" s="233"/>
      <c r="Y630" s="212"/>
      <c r="Z630" s="350"/>
      <c r="AA630" s="195" t="s">
        <v>3703</v>
      </c>
      <c r="AB630" s="132">
        <f>VLOOKUP(AA630,PLAN!B:V,20,0)</f>
        <v>46251</v>
      </c>
      <c r="AC630" s="132"/>
    </row>
    <row r="631" spans="3:29" s="79" customFormat="1" ht="21.6" customHeight="1">
      <c r="C631" s="249">
        <f t="shared" si="41"/>
        <v>0</v>
      </c>
      <c r="D631" s="77" t="str">
        <f>IFERROR(VLOOKUP($AA631,PLAN!$B:$AA,3,0),"")</f>
        <v/>
      </c>
      <c r="E631" s="77" t="str">
        <f>IFERROR(VLOOKUP($AA631,PLAN!$B:$AA,4,0),"")</f>
        <v/>
      </c>
      <c r="F631" s="77" t="str">
        <f>IFERROR(VLOOKUP($AA631,PLAN!$B:$AA,5,0),"")</f>
        <v/>
      </c>
      <c r="G631" s="77" t="str">
        <f>IFERROR(VLOOKUP($AA631,PLAN!$B:$AA,2,0),"")</f>
        <v/>
      </c>
      <c r="H631" s="113" t="str">
        <f>IFERROR(VLOOKUP($AA631,PLAN!$B:$AA,7,0),"")</f>
        <v/>
      </c>
      <c r="I631" s="77" t="str">
        <f>IFERROR(VLOOKUP($AA631,PLAN!$B:$AA,8,0),"")</f>
        <v/>
      </c>
      <c r="J631" s="77" t="str">
        <f>IFERROR(VLOOKUP($AA631,PLAN!$B:$AA,9,0),"")</f>
        <v/>
      </c>
      <c r="K631" s="77" t="str">
        <f>IFERROR(VLOOKUP($AA631,PLAN!$B:$AA,10,0),"")</f>
        <v/>
      </c>
      <c r="L631" s="77" t="str">
        <f>IFERROR(VLOOKUP($AA631,PLAN!$B:$AA,15,0),"")</f>
        <v/>
      </c>
      <c r="M631" s="77" t="str">
        <f>IFERROR(VLOOKUP($AA631,PLAN!$B:$AA,18,0),"")</f>
        <v/>
      </c>
      <c r="N631" s="227" t="str">
        <f>IFERROR(VLOOKUP($AA631,PLAN!$B:$AA,19,0),"")</f>
        <v/>
      </c>
      <c r="O631" s="77" t="str">
        <f>IFERROR(VLOOKUP($AA631,PLAN!$B:$AA,12,0),"")</f>
        <v/>
      </c>
      <c r="P631" s="77" t="str">
        <f>IFERROR(VLOOKUP($AA631,PLAN!$B:$AA,11,0),"")</f>
        <v/>
      </c>
      <c r="Q631" s="349" t="s">
        <v>3799</v>
      </c>
      <c r="R631" s="149" t="s">
        <v>3800</v>
      </c>
      <c r="S631" s="223">
        <v>150</v>
      </c>
      <c r="T631" s="131"/>
      <c r="U631" s="78" t="str">
        <f>IFERROR(VLOOKUP($AA631,PLAN!$B:$AA,21,0),"")</f>
        <v/>
      </c>
      <c r="V631" s="78" t="str">
        <f>IFERROR(VLOOKUP($AA631,PLAN!$B:$AA,22,0),"")</f>
        <v/>
      </c>
      <c r="W631" s="232"/>
      <c r="X631" s="233"/>
      <c r="Y631" s="212"/>
      <c r="Z631" s="350"/>
      <c r="AA631" s="195"/>
      <c r="AB631" s="132">
        <v>46251</v>
      </c>
      <c r="AC631" s="132"/>
    </row>
    <row r="632" spans="3:29" s="79" customFormat="1" ht="21.6" customHeight="1">
      <c r="C632" s="249"/>
      <c r="D632" s="77"/>
      <c r="E632" s="77"/>
      <c r="F632" s="77"/>
      <c r="G632" s="77"/>
      <c r="H632" s="113"/>
      <c r="I632" s="77"/>
      <c r="J632" s="77"/>
      <c r="K632" s="77"/>
      <c r="L632" s="77"/>
      <c r="M632" s="77"/>
      <c r="N632" s="227"/>
      <c r="O632" s="77"/>
      <c r="P632" s="77"/>
      <c r="Q632" s="349" t="s">
        <v>3801</v>
      </c>
      <c r="R632" s="149" t="s">
        <v>3802</v>
      </c>
      <c r="S632" s="223">
        <f>K630-S630-S631</f>
        <v>79</v>
      </c>
      <c r="T632" s="131"/>
      <c r="U632" s="78"/>
      <c r="V632" s="78"/>
      <c r="W632" s="232"/>
      <c r="X632" s="233"/>
      <c r="Y632" s="212"/>
      <c r="Z632" s="350"/>
      <c r="AA632" s="195"/>
      <c r="AB632" s="132">
        <v>46251</v>
      </c>
      <c r="AC632" s="132"/>
    </row>
    <row r="633" spans="3:29" s="79" customFormat="1" ht="21.6" customHeight="1">
      <c r="C633" s="249" t="str">
        <f>AA633</f>
        <v>Aug26-36</v>
      </c>
      <c r="D633" s="77">
        <f>IFERROR(VLOOKUP($AA633,PLAN!$B:$AA,3,0),"")</f>
        <v>12127738</v>
      </c>
      <c r="E633" s="77" t="str">
        <f>IFERROR(VLOOKUP($AA633,PLAN!$B:$AA,4,0),"")</f>
        <v>PR1944007-0-A</v>
      </c>
      <c r="F633" s="77" t="str">
        <f>IFERROR(VLOOKUP($AA633,PLAN!$B:$AA,5,0),"")</f>
        <v>2009015 Tellus</v>
      </c>
      <c r="G633" s="77" t="str">
        <f>IFERROR(VLOOKUP($AA633,PLAN!$B:$AA,2,0),"")</f>
        <v>1001941083</v>
      </c>
      <c r="H633" s="113">
        <f>IFERROR(VLOOKUP($AA633,PLAN!$B:$AA,7,0),"")</f>
        <v>46260</v>
      </c>
      <c r="I633" s="77" t="str">
        <f>IFERROR(VLOOKUP($AA633,PLAN!$B:$AA,8,0),"")</f>
        <v>0103600407</v>
      </c>
      <c r="J633" s="77" t="str">
        <f>IFERROR(VLOOKUP($AA633,PLAN!$B:$AA,9,0),"")</f>
        <v>260807K14A</v>
      </c>
      <c r="K633" s="77">
        <f>IFERROR(VLOOKUP($AA633,PLAN!$B:$AA,10,0),"")</f>
        <v>123</v>
      </c>
      <c r="L633" s="77" t="str">
        <f>IFERROR(VLOOKUP($AA633,PLAN!$B:$AA,15,0),"")</f>
        <v>JAPAN</v>
      </c>
      <c r="M633" s="77">
        <f>IFERROR(VLOOKUP($AA633,PLAN!$B:$AA,18,0),"")</f>
        <v>0</v>
      </c>
      <c r="N633" s="227">
        <f>IFERROR(VLOOKUP($AA633,PLAN!$B:$AA,19,0),"")</f>
        <v>0</v>
      </c>
      <c r="O633" s="77" t="str">
        <f>IFERROR(VLOOKUP($AA633,PLAN!$B:$AA,12,0),"")</f>
        <v>PR19SR005-0-D</v>
      </c>
      <c r="P633" s="77">
        <f>IFERROR(VLOOKUP($AA633,PLAN!$B:$AA,11,0),"")</f>
        <v>12000217</v>
      </c>
      <c r="Q633" s="148" t="s">
        <v>3811</v>
      </c>
      <c r="R633" s="222" t="s">
        <v>3812</v>
      </c>
      <c r="S633" s="223">
        <v>64</v>
      </c>
      <c r="T633" s="131"/>
      <c r="U633" s="78">
        <f>IFERROR(VLOOKUP($AA633,PLAN!$B:$AA,21,0),"")</f>
        <v>46251</v>
      </c>
      <c r="V633" s="78" t="str">
        <f>IFERROR(VLOOKUP($AA633,PLAN!$B:$AA,22,0),"")</f>
        <v>M10</v>
      </c>
      <c r="W633" s="232"/>
      <c r="X633" s="233"/>
      <c r="Y633" s="212"/>
      <c r="Z633" s="350"/>
      <c r="AA633" s="195" t="s">
        <v>3810</v>
      </c>
      <c r="AB633" s="132">
        <f>VLOOKUP(AA633,PLAN!B:V,20,0)</f>
        <v>46251</v>
      </c>
      <c r="AC633" s="132"/>
    </row>
    <row r="634" spans="3:29" s="79" customFormat="1" ht="21.6" customHeight="1">
      <c r="C634" s="249">
        <f>AA634</f>
        <v>0</v>
      </c>
      <c r="D634" s="77" t="str">
        <f>IFERROR(VLOOKUP($AA634,PLAN!$B:$AA,3,0),"")</f>
        <v/>
      </c>
      <c r="E634" s="77" t="str">
        <f>IFERROR(VLOOKUP($AA634,PLAN!$B:$AA,4,0),"")</f>
        <v/>
      </c>
      <c r="F634" s="77" t="str">
        <f>IFERROR(VLOOKUP($AA634,PLAN!$B:$AA,5,0),"")</f>
        <v/>
      </c>
      <c r="G634" s="77" t="str">
        <f>IFERROR(VLOOKUP($AA634,PLAN!$B:$AA,2,0),"")</f>
        <v/>
      </c>
      <c r="H634" s="113" t="str">
        <f>IFERROR(VLOOKUP($AA634,PLAN!$B:$AA,7,0),"")</f>
        <v/>
      </c>
      <c r="I634" s="77" t="str">
        <f>IFERROR(VLOOKUP($AA634,PLAN!$B:$AA,8,0),"")</f>
        <v/>
      </c>
      <c r="J634" s="77" t="str">
        <f>IFERROR(VLOOKUP($AA634,PLAN!$B:$AA,9,0),"")</f>
        <v/>
      </c>
      <c r="K634" s="77" t="str">
        <f>IFERROR(VLOOKUP($AA634,PLAN!$B:$AA,10,0),"")</f>
        <v/>
      </c>
      <c r="L634" s="77" t="str">
        <f>IFERROR(VLOOKUP($AA634,PLAN!$B:$AA,15,0),"")</f>
        <v/>
      </c>
      <c r="M634" s="77" t="str">
        <f>IFERROR(VLOOKUP($AA634,PLAN!$B:$AA,18,0),"")</f>
        <v/>
      </c>
      <c r="N634" s="227" t="str">
        <f>IFERROR(VLOOKUP($AA634,PLAN!$B:$AA,19,0),"")</f>
        <v/>
      </c>
      <c r="O634" s="77" t="str">
        <f>IFERROR(VLOOKUP($AA634,PLAN!$B:$AA,12,0),"")</f>
        <v/>
      </c>
      <c r="P634" s="77" t="str">
        <f>IFERROR(VLOOKUP($AA634,PLAN!$B:$AA,11,0),"")</f>
        <v/>
      </c>
      <c r="Q634" s="148" t="s">
        <v>3813</v>
      </c>
      <c r="R634" s="222" t="s">
        <v>3814</v>
      </c>
      <c r="S634" s="223">
        <v>59</v>
      </c>
      <c r="T634" s="131"/>
      <c r="U634" s="78" t="str">
        <f>IFERROR(VLOOKUP($AA634,PLAN!$B:$AA,21,0),"")</f>
        <v/>
      </c>
      <c r="V634" s="78" t="str">
        <f>IFERROR(VLOOKUP($AA634,PLAN!$B:$AA,22,0),"")</f>
        <v/>
      </c>
      <c r="W634" s="232"/>
      <c r="X634" s="233"/>
      <c r="Y634" s="212"/>
      <c r="Z634" s="350"/>
      <c r="AA634" s="195"/>
      <c r="AB634" s="132">
        <v>46251</v>
      </c>
      <c r="AC634" s="132"/>
    </row>
    <row r="635" spans="3:29" s="79" customFormat="1" ht="21.6" customHeight="1">
      <c r="C635" s="249" t="str">
        <f t="shared" si="41"/>
        <v>Aug27-02</v>
      </c>
      <c r="D635" s="77">
        <f>IFERROR(VLOOKUP($AA635,PLAN!$B:$AA,3,0),"")</f>
        <v>11134401</v>
      </c>
      <c r="E635" s="77" t="str">
        <f>IFERROR(VLOOKUP($AA635,PLAN!$B:$AA,4,0),"")</f>
        <v>1941102-C-A</v>
      </c>
      <c r="F635" s="77" t="str">
        <f>IFERROR(VLOOKUP($AA635,PLAN!$B:$AA,5,0),"")</f>
        <v>CRV135-19P US2</v>
      </c>
      <c r="G635" s="77" t="str">
        <f>IFERROR(VLOOKUP($AA635,PLAN!$B:$AA,2,0),"")</f>
        <v>1001940464</v>
      </c>
      <c r="H635" s="113">
        <f>IFERROR(VLOOKUP($AA635,PLAN!$B:$AA,7,0),"")</f>
        <v>46261</v>
      </c>
      <c r="I635" s="77" t="str">
        <f>IFERROR(VLOOKUP($AA635,PLAN!$B:$AA,8,0),"")</f>
        <v>0103599597</v>
      </c>
      <c r="J635" s="77" t="str">
        <f>IFERROR(VLOOKUP($AA635,PLAN!$B:$AA,9,0),"")</f>
        <v>260807K08A</v>
      </c>
      <c r="K635" s="77">
        <f>IFERROR(VLOOKUP($AA635,PLAN!$B:$AA,10,0),"")</f>
        <v>1075</v>
      </c>
      <c r="L635" s="77" t="str">
        <f>IFERROR(VLOOKUP($AA635,PLAN!$B:$AA,15,0),"")</f>
        <v>USA</v>
      </c>
      <c r="M635" s="77">
        <f>IFERROR(VLOOKUP($AA635,PLAN!$B:$AA,18,0),"")</f>
        <v>10</v>
      </c>
      <c r="N635" s="227">
        <f>IFERROR(VLOOKUP($AA635,PLAN!$B:$AA,19,0),"")</f>
        <v>0</v>
      </c>
      <c r="O635" s="77" t="str">
        <f>IFERROR(VLOOKUP($AA635,PLAN!$B:$AA,12,0),"")</f>
        <v>1942140-B-C</v>
      </c>
      <c r="P635" s="77">
        <f>IFERROR(VLOOKUP($AA635,PLAN!$B:$AA,11,0),"")</f>
        <v>12129626</v>
      </c>
      <c r="Q635" s="277" t="s">
        <v>3357</v>
      </c>
      <c r="R635" s="149" t="s">
        <v>3358</v>
      </c>
      <c r="S635" s="223">
        <v>282</v>
      </c>
      <c r="T635" s="131"/>
      <c r="U635" s="78">
        <f>IFERROR(VLOOKUP($AA635,PLAN!$B:$AA,21,0),"")</f>
        <v>46252</v>
      </c>
      <c r="V635" s="78" t="str">
        <f>IFERROR(VLOOKUP($AA635,PLAN!$B:$AA,22,0),"")</f>
        <v>M8</v>
      </c>
      <c r="W635" s="232"/>
      <c r="X635" s="233"/>
      <c r="Y635" s="212"/>
      <c r="Z635" s="350"/>
      <c r="AA635" s="195" t="s">
        <v>3734</v>
      </c>
      <c r="AB635" s="132">
        <f>VLOOKUP(AA635,PLAN!B:V,20,0)</f>
        <v>46252</v>
      </c>
      <c r="AC635" s="132"/>
    </row>
    <row r="636" spans="3:29" s="79" customFormat="1" ht="21.6" customHeight="1">
      <c r="C636" s="249"/>
      <c r="D636" s="77"/>
      <c r="E636" s="77"/>
      <c r="F636" s="77"/>
      <c r="G636" s="77"/>
      <c r="H636" s="113"/>
      <c r="I636" s="77"/>
      <c r="J636" s="77"/>
      <c r="K636" s="77"/>
      <c r="L636" s="77"/>
      <c r="M636" s="77"/>
      <c r="N636" s="227"/>
      <c r="O636" s="77"/>
      <c r="P636" s="77"/>
      <c r="Q636" s="277" t="s">
        <v>3749</v>
      </c>
      <c r="R636" s="149" t="s">
        <v>3750</v>
      </c>
      <c r="S636" s="223">
        <v>310</v>
      </c>
      <c r="T636" s="131"/>
      <c r="U636" s="78"/>
      <c r="V636" s="78"/>
      <c r="W636" s="232"/>
      <c r="X636" s="233"/>
      <c r="Y636" s="212"/>
      <c r="Z636" s="350"/>
      <c r="AA636" s="195"/>
      <c r="AB636" s="132">
        <v>46252</v>
      </c>
      <c r="AC636" s="132"/>
    </row>
    <row r="637" spans="3:29" s="79" customFormat="1" ht="21.6" customHeight="1">
      <c r="C637" s="249"/>
      <c r="D637" s="77"/>
      <c r="E637" s="77"/>
      <c r="F637" s="77"/>
      <c r="G637" s="77"/>
      <c r="H637" s="113"/>
      <c r="I637" s="77"/>
      <c r="J637" s="77"/>
      <c r="K637" s="77"/>
      <c r="L637" s="77"/>
      <c r="M637" s="77"/>
      <c r="N637" s="227"/>
      <c r="O637" s="77"/>
      <c r="P637" s="77"/>
      <c r="Q637" s="277" t="s">
        <v>3751</v>
      </c>
      <c r="R637" s="149" t="s">
        <v>3752</v>
      </c>
      <c r="S637" s="223">
        <v>310</v>
      </c>
      <c r="T637" s="131"/>
      <c r="U637" s="78"/>
      <c r="V637" s="78"/>
      <c r="W637" s="232"/>
      <c r="X637" s="233"/>
      <c r="Y637" s="212"/>
      <c r="Z637" s="350"/>
      <c r="AA637" s="195"/>
      <c r="AB637" s="132">
        <v>46252</v>
      </c>
      <c r="AC637" s="132"/>
    </row>
    <row r="638" spans="3:29" s="79" customFormat="1" ht="21.6" customHeight="1">
      <c r="C638" s="249"/>
      <c r="D638" s="77"/>
      <c r="E638" s="77"/>
      <c r="F638" s="77"/>
      <c r="G638" s="77"/>
      <c r="H638" s="113"/>
      <c r="I638" s="77"/>
      <c r="J638" s="77"/>
      <c r="K638" s="77"/>
      <c r="L638" s="77"/>
      <c r="M638" s="77"/>
      <c r="N638" s="227"/>
      <c r="O638" s="77"/>
      <c r="P638" s="77"/>
      <c r="Q638" s="277" t="s">
        <v>3753</v>
      </c>
      <c r="R638" s="149" t="s">
        <v>3754</v>
      </c>
      <c r="S638" s="223">
        <f>K635-S635-S636-S637</f>
        <v>173</v>
      </c>
      <c r="T638" s="131"/>
      <c r="U638" s="78"/>
      <c r="V638" s="78"/>
      <c r="W638" s="232"/>
      <c r="X638" s="233"/>
      <c r="Y638" s="212"/>
      <c r="Z638" s="350"/>
      <c r="AA638" s="195"/>
      <c r="AB638" s="132">
        <v>46252</v>
      </c>
      <c r="AC638" s="132"/>
    </row>
    <row r="639" spans="3:29" s="79" customFormat="1" ht="21.6" customHeight="1">
      <c r="C639" s="249" t="str">
        <f t="shared" si="41"/>
        <v>Aug27-03</v>
      </c>
      <c r="D639" s="77">
        <f>IFERROR(VLOOKUP($AA639,PLAN!$B:$AA,3,0),"")</f>
        <v>11135418</v>
      </c>
      <c r="E639" s="77" t="str">
        <f>IFERROR(VLOOKUP($AA639,PLAN!$B:$AA,4,0),"")</f>
        <v>2141056-D-A</v>
      </c>
      <c r="F639" s="77" t="str">
        <f>IFERROR(VLOOKUP($AA639,PLAN!$B:$AA,5,0),"")</f>
        <v>CRV135-19P KR</v>
      </c>
      <c r="G639" s="77" t="str">
        <f>IFERROR(VLOOKUP($AA639,PLAN!$B:$AA,2,0),"")</f>
        <v>1001940465</v>
      </c>
      <c r="H639" s="113">
        <f>IFERROR(VLOOKUP($AA639,PLAN!$B:$AA,7,0),"")</f>
        <v>46261</v>
      </c>
      <c r="I639" s="77" t="str">
        <f>IFERROR(VLOOKUP($AA639,PLAN!$B:$AA,8,0),"")</f>
        <v>0103599598</v>
      </c>
      <c r="J639" s="77" t="str">
        <f>IFERROR(VLOOKUP($AA639,PLAN!$B:$AA,9,0),"")</f>
        <v>260807K09A</v>
      </c>
      <c r="K639" s="77">
        <f>IFERROR(VLOOKUP($AA639,PLAN!$B:$AA,10,0),"")</f>
        <v>64</v>
      </c>
      <c r="L639" s="77" t="str">
        <f>IFERROR(VLOOKUP($AA639,PLAN!$B:$AA,15,0),"")</f>
        <v>KOREA</v>
      </c>
      <c r="M639" s="77">
        <f>IFERROR(VLOOKUP($AA639,PLAN!$B:$AA,18,0),"")</f>
        <v>0</v>
      </c>
      <c r="N639" s="227">
        <f>IFERROR(VLOOKUP($AA639,PLAN!$B:$AA,19,0),"")</f>
        <v>0</v>
      </c>
      <c r="O639" s="77" t="str">
        <f>IFERROR(VLOOKUP($AA639,PLAN!$B:$AA,12,0),"")</f>
        <v>1942140-B-C</v>
      </c>
      <c r="P639" s="77">
        <f>IFERROR(VLOOKUP($AA639,PLAN!$B:$AA,11,0),"")</f>
        <v>12129626</v>
      </c>
      <c r="Q639" s="277" t="s">
        <v>3753</v>
      </c>
      <c r="R639" s="149" t="s">
        <v>3754</v>
      </c>
      <c r="S639" s="149">
        <f t="shared" si="42"/>
        <v>64</v>
      </c>
      <c r="T639" s="131"/>
      <c r="U639" s="78">
        <f>IFERROR(VLOOKUP($AA639,PLAN!$B:$AA,21,0),"")</f>
        <v>46252</v>
      </c>
      <c r="V639" s="78" t="str">
        <f>IFERROR(VLOOKUP($AA639,PLAN!$B:$AA,22,0),"")</f>
        <v>M8</v>
      </c>
      <c r="W639" s="232"/>
      <c r="X639" s="233"/>
      <c r="Y639" s="212"/>
      <c r="Z639" s="350"/>
      <c r="AA639" s="195" t="s">
        <v>3735</v>
      </c>
      <c r="AB639" s="132">
        <f>VLOOKUP(AA639,PLAN!B:V,20,0)</f>
        <v>46252</v>
      </c>
      <c r="AC639" s="132"/>
    </row>
    <row r="640" spans="3:29" s="79" customFormat="1" ht="21.6" customHeight="1">
      <c r="C640" s="249" t="str">
        <f t="shared" si="41"/>
        <v>Aug27-04</v>
      </c>
      <c r="D640" s="77">
        <f>IFERROR(VLOOKUP($AA640,PLAN!$B:$AA,3,0),"")</f>
        <v>11135419</v>
      </c>
      <c r="E640" s="77" t="str">
        <f>IFERROR(VLOOKUP($AA640,PLAN!$B:$AA,4,0),"")</f>
        <v>2141057-D-A</v>
      </c>
      <c r="F640" s="77" t="str">
        <f>IFERROR(VLOOKUP($AA640,PLAN!$B:$AA,5,0),"")</f>
        <v>CRV150-19P KR</v>
      </c>
      <c r="G640" s="77" t="str">
        <f>IFERROR(VLOOKUP($AA640,PLAN!$B:$AA,2,0),"")</f>
        <v>1001940466</v>
      </c>
      <c r="H640" s="113">
        <f>IFERROR(VLOOKUP($AA640,PLAN!$B:$AA,7,0),"")</f>
        <v>46261</v>
      </c>
      <c r="I640" s="77" t="str">
        <f>IFERROR(VLOOKUP($AA640,PLAN!$B:$AA,8,0),"")</f>
        <v>0103599599</v>
      </c>
      <c r="J640" s="77" t="str">
        <f>IFERROR(VLOOKUP($AA640,PLAN!$B:$AA,9,0),"")</f>
        <v>260807K10A</v>
      </c>
      <c r="K640" s="77">
        <f>IFERROR(VLOOKUP($AA640,PLAN!$B:$AA,10,0),"")</f>
        <v>48</v>
      </c>
      <c r="L640" s="77" t="str">
        <f>IFERROR(VLOOKUP($AA640,PLAN!$B:$AA,15,0),"")</f>
        <v>KOREA</v>
      </c>
      <c r="M640" s="77">
        <f>IFERROR(VLOOKUP($AA640,PLAN!$B:$AA,18,0),"")</f>
        <v>0</v>
      </c>
      <c r="N640" s="227">
        <f>IFERROR(VLOOKUP($AA640,PLAN!$B:$AA,19,0),"")</f>
        <v>0</v>
      </c>
      <c r="O640" s="77" t="str">
        <f>IFERROR(VLOOKUP($AA640,PLAN!$B:$AA,12,0),"")</f>
        <v>1942141-B-C</v>
      </c>
      <c r="P640" s="77">
        <f>IFERROR(VLOOKUP($AA640,PLAN!$B:$AA,11,0),"")</f>
        <v>12129627</v>
      </c>
      <c r="Q640" s="349" t="s">
        <v>2182</v>
      </c>
      <c r="R640" s="149" t="s">
        <v>2183</v>
      </c>
      <c r="S640" s="149">
        <f t="shared" si="42"/>
        <v>48</v>
      </c>
      <c r="T640" s="131"/>
      <c r="U640" s="78">
        <f>IFERROR(VLOOKUP($AA640,PLAN!$B:$AA,21,0),"")</f>
        <v>46252</v>
      </c>
      <c r="V640" s="78" t="str">
        <f>IFERROR(VLOOKUP($AA640,PLAN!$B:$AA,22,0),"")</f>
        <v>M8</v>
      </c>
      <c r="W640" s="232"/>
      <c r="X640" s="233"/>
      <c r="Y640" s="212"/>
      <c r="Z640" s="350"/>
      <c r="AA640" s="195" t="s">
        <v>3736</v>
      </c>
      <c r="AB640" s="132">
        <f>VLOOKUP(AA640,PLAN!B:V,20,0)</f>
        <v>46252</v>
      </c>
      <c r="AC640" s="132"/>
    </row>
    <row r="641" spans="3:29" s="79" customFormat="1" ht="21.6" customHeight="1">
      <c r="C641" s="249" t="str">
        <f t="shared" si="41"/>
        <v>Aug27-05</v>
      </c>
      <c r="D641" s="77">
        <f>IFERROR(VLOOKUP($AA641,PLAN!$B:$AA,3,0),"")</f>
        <v>11122087</v>
      </c>
      <c r="E641" s="77" t="str">
        <f>IFERROR(VLOOKUP($AA641,PLAN!$B:$AA,4,0),"")</f>
        <v>2341003-B-A</v>
      </c>
      <c r="F641" s="77" t="str">
        <f>IFERROR(VLOOKUP($AA641,PLAN!$B:$AA,5,0),"")</f>
        <v>CRV135-19P CE3</v>
      </c>
      <c r="G641" s="77" t="str">
        <f>IFERROR(VLOOKUP($AA641,PLAN!$B:$AA,2,0),"")</f>
        <v>1001940467</v>
      </c>
      <c r="H641" s="113">
        <f>IFERROR(VLOOKUP($AA641,PLAN!$B:$AA,7,0),"")</f>
        <v>46261</v>
      </c>
      <c r="I641" s="77" t="str">
        <f>IFERROR(VLOOKUP($AA641,PLAN!$B:$AA,8,0),"")</f>
        <v>0103599600</v>
      </c>
      <c r="J641" s="77" t="str">
        <f>IFERROR(VLOOKUP($AA641,PLAN!$B:$AA,9,0),"")</f>
        <v>260807K11A</v>
      </c>
      <c r="K641" s="77">
        <f>IFERROR(VLOOKUP($AA641,PLAN!$B:$AA,10,0),"")</f>
        <v>799</v>
      </c>
      <c r="L641" s="77" t="str">
        <f>IFERROR(VLOOKUP($AA641,PLAN!$B:$AA,15,0),"")</f>
        <v>Oversea</v>
      </c>
      <c r="M641" s="77">
        <f>IFERROR(VLOOKUP($AA641,PLAN!$B:$AA,18,0),"")</f>
        <v>0</v>
      </c>
      <c r="N641" s="227">
        <f>IFERROR(VLOOKUP($AA641,PLAN!$B:$AA,19,0),"")</f>
        <v>0</v>
      </c>
      <c r="O641" s="77" t="str">
        <f>IFERROR(VLOOKUP($AA641,PLAN!$B:$AA,12,0),"")</f>
        <v>1942140-B-C</v>
      </c>
      <c r="P641" s="77">
        <f>IFERROR(VLOOKUP($AA641,PLAN!$B:$AA,11,0),"")</f>
        <v>12129626</v>
      </c>
      <c r="Q641" s="277" t="s">
        <v>3753</v>
      </c>
      <c r="R641" s="149" t="s">
        <v>3754</v>
      </c>
      <c r="S641" s="223">
        <v>73</v>
      </c>
      <c r="T641" s="131"/>
      <c r="U641" s="78">
        <f>IFERROR(VLOOKUP($AA641,PLAN!$B:$AA,21,0),"")</f>
        <v>46252</v>
      </c>
      <c r="V641" s="78" t="str">
        <f>IFERROR(VLOOKUP($AA641,PLAN!$B:$AA,22,0),"")</f>
        <v>M8</v>
      </c>
      <c r="W641" s="232"/>
      <c r="X641" s="233"/>
      <c r="Y641" s="212"/>
      <c r="Z641" s="350"/>
      <c r="AA641" s="195" t="s">
        <v>3737</v>
      </c>
      <c r="AB641" s="132">
        <f>VLOOKUP(AA641,PLAN!B:V,20,0)</f>
        <v>46252</v>
      </c>
      <c r="AC641" s="132"/>
    </row>
    <row r="642" spans="3:29" s="79" customFormat="1" ht="21.6" customHeight="1">
      <c r="C642" s="249"/>
      <c r="D642" s="77"/>
      <c r="E642" s="77"/>
      <c r="F642" s="77"/>
      <c r="G642" s="77"/>
      <c r="H642" s="113"/>
      <c r="I642" s="77"/>
      <c r="J642" s="77"/>
      <c r="K642" s="77"/>
      <c r="L642" s="77"/>
      <c r="M642" s="77"/>
      <c r="N642" s="227"/>
      <c r="O642" s="77"/>
      <c r="P642" s="77"/>
      <c r="Q642" s="349" t="s">
        <v>3755</v>
      </c>
      <c r="R642" s="149" t="s">
        <v>3756</v>
      </c>
      <c r="S642" s="223">
        <v>310</v>
      </c>
      <c r="T642" s="131"/>
      <c r="U642" s="78"/>
      <c r="V642" s="78"/>
      <c r="W642" s="232"/>
      <c r="X642" s="233"/>
      <c r="Y642" s="212"/>
      <c r="Z642" s="350"/>
      <c r="AA642" s="195"/>
      <c r="AB642" s="132">
        <v>46252</v>
      </c>
      <c r="AC642" s="132"/>
    </row>
    <row r="643" spans="3:29" s="79" customFormat="1" ht="21.6" customHeight="1">
      <c r="C643" s="249"/>
      <c r="D643" s="77"/>
      <c r="E643" s="77"/>
      <c r="F643" s="77"/>
      <c r="G643" s="77"/>
      <c r="H643" s="113"/>
      <c r="I643" s="77"/>
      <c r="J643" s="77"/>
      <c r="K643" s="77"/>
      <c r="L643" s="77"/>
      <c r="M643" s="77"/>
      <c r="N643" s="227"/>
      <c r="O643" s="77"/>
      <c r="P643" s="77"/>
      <c r="Q643" s="349" t="s">
        <v>3757</v>
      </c>
      <c r="R643" s="149" t="s">
        <v>3758</v>
      </c>
      <c r="S643" s="223">
        <v>310</v>
      </c>
      <c r="T643" s="131"/>
      <c r="U643" s="78"/>
      <c r="V643" s="78"/>
      <c r="W643" s="232"/>
      <c r="X643" s="233"/>
      <c r="Y643" s="212"/>
      <c r="Z643" s="350"/>
      <c r="AA643" s="195"/>
      <c r="AB643" s="132">
        <v>46252</v>
      </c>
      <c r="AC643" s="132"/>
    </row>
    <row r="644" spans="3:29" s="79" customFormat="1" ht="21.6" customHeight="1">
      <c r="C644" s="249"/>
      <c r="D644" s="77"/>
      <c r="E644" s="77"/>
      <c r="F644" s="77"/>
      <c r="G644" s="77"/>
      <c r="H644" s="113"/>
      <c r="I644" s="77"/>
      <c r="J644" s="77"/>
      <c r="K644" s="77"/>
      <c r="L644" s="77"/>
      <c r="M644" s="77"/>
      <c r="N644" s="227"/>
      <c r="O644" s="77"/>
      <c r="P644" s="77"/>
      <c r="Q644" s="349" t="s">
        <v>3759</v>
      </c>
      <c r="R644" s="149" t="s">
        <v>3760</v>
      </c>
      <c r="S644" s="223">
        <f>K641-S641-S642-S643</f>
        <v>106</v>
      </c>
      <c r="T644" s="131"/>
      <c r="U644" s="78"/>
      <c r="V644" s="78"/>
      <c r="W644" s="232"/>
      <c r="X644" s="233"/>
      <c r="Y644" s="212"/>
      <c r="Z644" s="350"/>
      <c r="AA644" s="195"/>
      <c r="AB644" s="132">
        <v>46252</v>
      </c>
      <c r="AC644" s="132"/>
    </row>
    <row r="645" spans="3:29" s="79" customFormat="1" ht="21.6" customHeight="1">
      <c r="C645" s="249" t="str">
        <f t="shared" si="41"/>
        <v>Aug27-06</v>
      </c>
      <c r="D645" s="77">
        <f>IFERROR(VLOOKUP($AA645,PLAN!$B:$AA,3,0),"")</f>
        <v>11122088</v>
      </c>
      <c r="E645" s="77" t="str">
        <f>IFERROR(VLOOKUP($AA645,PLAN!$B:$AA,4,0),"")</f>
        <v>2341004-B-A</v>
      </c>
      <c r="F645" s="77" t="str">
        <f>IFERROR(VLOOKUP($AA645,PLAN!$B:$AA,5,0),"")</f>
        <v>CRV150-19P CE3</v>
      </c>
      <c r="G645" s="77" t="str">
        <f>IFERROR(VLOOKUP($AA645,PLAN!$B:$AA,2,0),"")</f>
        <v>1001940468</v>
      </c>
      <c r="H645" s="113">
        <f>IFERROR(VLOOKUP($AA645,PLAN!$B:$AA,7,0),"")</f>
        <v>46261</v>
      </c>
      <c r="I645" s="77" t="str">
        <f>IFERROR(VLOOKUP($AA645,PLAN!$B:$AA,8,0),"")</f>
        <v>0103599601</v>
      </c>
      <c r="J645" s="77" t="str">
        <f>IFERROR(VLOOKUP($AA645,PLAN!$B:$AA,9,0),"")</f>
        <v>260807K12A</v>
      </c>
      <c r="K645" s="77">
        <f>IFERROR(VLOOKUP($AA645,PLAN!$B:$AA,10,0),"")</f>
        <v>160</v>
      </c>
      <c r="L645" s="77" t="str">
        <f>IFERROR(VLOOKUP($AA645,PLAN!$B:$AA,15,0),"")</f>
        <v>Oversea</v>
      </c>
      <c r="M645" s="77">
        <f>IFERROR(VLOOKUP($AA645,PLAN!$B:$AA,18,0),"")</f>
        <v>0</v>
      </c>
      <c r="N645" s="227">
        <f>IFERROR(VLOOKUP($AA645,PLAN!$B:$AA,19,0),"")</f>
        <v>0</v>
      </c>
      <c r="O645" s="77" t="str">
        <f>IFERROR(VLOOKUP($AA645,PLAN!$B:$AA,12,0),"")</f>
        <v>1942141-B-C</v>
      </c>
      <c r="P645" s="77">
        <f>IFERROR(VLOOKUP($AA645,PLAN!$B:$AA,11,0),"")</f>
        <v>12129627</v>
      </c>
      <c r="Q645" s="349" t="s">
        <v>2182</v>
      </c>
      <c r="R645" s="149" t="s">
        <v>2183</v>
      </c>
      <c r="S645" s="149">
        <f t="shared" si="42"/>
        <v>160</v>
      </c>
      <c r="T645" s="131"/>
      <c r="U645" s="78">
        <f>IFERROR(VLOOKUP($AA645,PLAN!$B:$AA,21,0),"")</f>
        <v>46252</v>
      </c>
      <c r="V645" s="78" t="str">
        <f>IFERROR(VLOOKUP($AA645,PLAN!$B:$AA,22,0),"")</f>
        <v>M8</v>
      </c>
      <c r="W645" s="232"/>
      <c r="X645" s="233"/>
      <c r="Y645" s="212"/>
      <c r="Z645" s="350"/>
      <c r="AA645" s="195" t="s">
        <v>3738</v>
      </c>
      <c r="AB645" s="132">
        <f>VLOOKUP(AA645,PLAN!B:V,20,0)</f>
        <v>46252</v>
      </c>
      <c r="AC645" s="132"/>
    </row>
    <row r="646" spans="3:29" s="79" customFormat="1" ht="21.6" customHeight="1">
      <c r="C646" s="249" t="str">
        <f t="shared" si="41"/>
        <v>Aug27-07</v>
      </c>
      <c r="D646" s="77">
        <f>IFERROR(VLOOKUP($AA646,PLAN!$B:$AA,3,0),"")</f>
        <v>11125154</v>
      </c>
      <c r="E646" s="77" t="str">
        <f>IFERROR(VLOOKUP($AA646,PLAN!$B:$AA,4,0),"")</f>
        <v>1941023-F-A</v>
      </c>
      <c r="F646" s="77" t="str">
        <f>IFERROR(VLOOKUP($AA646,PLAN!$B:$AA,5,0),"")</f>
        <v>MST125-27HFR JP</v>
      </c>
      <c r="G646" s="77" t="str">
        <f>IFERROR(VLOOKUP($AA646,PLAN!$B:$AA,2,0),"")</f>
        <v>1001940469</v>
      </c>
      <c r="H646" s="113">
        <f>IFERROR(VLOOKUP($AA646,PLAN!$B:$AA,7,0),"")</f>
        <v>46261</v>
      </c>
      <c r="I646" s="77" t="str">
        <f>IFERROR(VLOOKUP($AA646,PLAN!$B:$AA,8,0),"")</f>
        <v>0103599602</v>
      </c>
      <c r="J646" s="77" t="str">
        <f>IFERROR(VLOOKUP($AA646,PLAN!$B:$AA,9,0),"")</f>
        <v>260807K13A</v>
      </c>
      <c r="K646" s="77">
        <f>IFERROR(VLOOKUP($AA646,PLAN!$B:$AA,10,0),"")</f>
        <v>196</v>
      </c>
      <c r="L646" s="77" t="str">
        <f>IFERROR(VLOOKUP($AA646,PLAN!$B:$AA,15,0),"")</f>
        <v>JAPAN</v>
      </c>
      <c r="M646" s="77">
        <f>IFERROR(VLOOKUP($AA646,PLAN!$B:$AA,18,0),"")</f>
        <v>0</v>
      </c>
      <c r="N646" s="227">
        <f>IFERROR(VLOOKUP($AA646,PLAN!$B:$AA,19,0),"")</f>
        <v>0</v>
      </c>
      <c r="O646" s="77" t="str">
        <f>IFERROR(VLOOKUP($AA646,PLAN!$B:$AA,12,0),"")</f>
        <v>2042140-B-C</v>
      </c>
      <c r="P646" s="77">
        <f>IFERROR(VLOOKUP($AA646,PLAN!$B:$AA,11,0),"")</f>
        <v>12120613</v>
      </c>
      <c r="Q646" s="349" t="s">
        <v>3761</v>
      </c>
      <c r="R646" s="149" t="s">
        <v>3762</v>
      </c>
      <c r="S646" s="223">
        <v>7</v>
      </c>
      <c r="T646" s="131"/>
      <c r="U646" s="78">
        <f>IFERROR(VLOOKUP($AA646,PLAN!$B:$AA,21,0),"")</f>
        <v>46252</v>
      </c>
      <c r="V646" s="78" t="str">
        <f>IFERROR(VLOOKUP($AA646,PLAN!$B:$AA,22,0),"")</f>
        <v>M8</v>
      </c>
      <c r="W646" s="232"/>
      <c r="X646" s="233"/>
      <c r="Y646" s="212"/>
      <c r="Z646" s="350"/>
      <c r="AA646" s="195" t="s">
        <v>3739</v>
      </c>
      <c r="AB646" s="132">
        <f>VLOOKUP(AA646,PLAN!B:V,20,0)</f>
        <v>46252</v>
      </c>
      <c r="AC646" s="132"/>
    </row>
    <row r="647" spans="3:29" s="79" customFormat="1" ht="21.6" customHeight="1">
      <c r="C647" s="249">
        <f t="shared" si="41"/>
        <v>0</v>
      </c>
      <c r="D647" s="77" t="str">
        <f>IFERROR(VLOOKUP($AA647,PLAN!$B:$AA,3,0),"")</f>
        <v/>
      </c>
      <c r="E647" s="77" t="str">
        <f>IFERROR(VLOOKUP($AA647,PLAN!$B:$AA,4,0),"")</f>
        <v/>
      </c>
      <c r="F647" s="77" t="str">
        <f>IFERROR(VLOOKUP($AA647,PLAN!$B:$AA,5,0),"")</f>
        <v/>
      </c>
      <c r="G647" s="77" t="str">
        <f>IFERROR(VLOOKUP($AA647,PLAN!$B:$AA,2,0),"")</f>
        <v/>
      </c>
      <c r="H647" s="113" t="str">
        <f>IFERROR(VLOOKUP($AA647,PLAN!$B:$AA,7,0),"")</f>
        <v/>
      </c>
      <c r="I647" s="77" t="str">
        <f>IFERROR(VLOOKUP($AA647,PLAN!$B:$AA,8,0),"")</f>
        <v/>
      </c>
      <c r="J647" s="77" t="str">
        <f>IFERROR(VLOOKUP($AA647,PLAN!$B:$AA,9,0),"")</f>
        <v/>
      </c>
      <c r="K647" s="77" t="str">
        <f>IFERROR(VLOOKUP($AA647,PLAN!$B:$AA,10,0),"")</f>
        <v/>
      </c>
      <c r="L647" s="77" t="str">
        <f>IFERROR(VLOOKUP($AA647,PLAN!$B:$AA,15,0),"")</f>
        <v/>
      </c>
      <c r="M647" s="77" t="str">
        <f>IFERROR(VLOOKUP($AA647,PLAN!$B:$AA,18,0),"")</f>
        <v/>
      </c>
      <c r="N647" s="227" t="str">
        <f>IFERROR(VLOOKUP($AA647,PLAN!$B:$AA,19,0),"")</f>
        <v/>
      </c>
      <c r="O647" s="77" t="str">
        <f>IFERROR(VLOOKUP($AA647,PLAN!$B:$AA,12,0),"")</f>
        <v/>
      </c>
      <c r="P647" s="77" t="str">
        <f>IFERROR(VLOOKUP($AA647,PLAN!$B:$AA,11,0),"")</f>
        <v/>
      </c>
      <c r="Q647" s="349" t="s">
        <v>3763</v>
      </c>
      <c r="R647" s="149" t="s">
        <v>3764</v>
      </c>
      <c r="S647" s="223">
        <f>K646-S646</f>
        <v>189</v>
      </c>
      <c r="T647" s="131"/>
      <c r="U647" s="78" t="str">
        <f>IFERROR(VLOOKUP($AA647,PLAN!$B:$AA,21,0),"")</f>
        <v/>
      </c>
      <c r="V647" s="78" t="str">
        <f>IFERROR(VLOOKUP($AA647,PLAN!$B:$AA,22,0),"")</f>
        <v/>
      </c>
      <c r="W647" s="232"/>
      <c r="X647" s="233"/>
      <c r="Y647" s="212"/>
      <c r="Z647" s="350"/>
      <c r="AA647" s="195"/>
      <c r="AB647" s="132">
        <v>46252</v>
      </c>
      <c r="AC647" s="132"/>
    </row>
    <row r="648" spans="3:29" s="79" customFormat="1" ht="21.6" customHeight="1">
      <c r="C648" s="249" t="str">
        <f t="shared" ref="C648" si="44">AA648</f>
        <v>Aug26-27</v>
      </c>
      <c r="D648" s="77">
        <f>IFERROR(VLOOKUP($AA648,PLAN!$B:$AA,3,0),"")</f>
        <v>11119507</v>
      </c>
      <c r="E648" s="77" t="str">
        <f>IFERROR(VLOOKUP($AA648,PLAN!$B:$AA,4,0),"")</f>
        <v>1911173-D-A</v>
      </c>
      <c r="F648" s="77" t="str">
        <f>IFERROR(VLOOKUP($AA648,PLAN!$B:$AA,5,0),"")</f>
        <v>HJ70JR400P10020 JP</v>
      </c>
      <c r="G648" s="77" t="str">
        <f>IFERROR(VLOOKUP($AA648,PLAN!$B:$AA,2,0),"")</f>
        <v>1001940489</v>
      </c>
      <c r="H648" s="113">
        <f>IFERROR(VLOOKUP($AA648,PLAN!$B:$AA,7,0),"")</f>
        <v>46260</v>
      </c>
      <c r="I648" s="77" t="str">
        <f>IFERROR(VLOOKUP($AA648,PLAN!$B:$AA,8,0),"")</f>
        <v>0103599622</v>
      </c>
      <c r="J648" s="77" t="str">
        <f>IFERROR(VLOOKUP($AA648,PLAN!$B:$AA,9,0),"")</f>
        <v>260807C20A</v>
      </c>
      <c r="K648" s="77">
        <f>IFERROR(VLOOKUP($AA648,PLAN!$B:$AA,10,0),"")</f>
        <v>99</v>
      </c>
      <c r="L648" s="77" t="str">
        <f>IFERROR(VLOOKUP($AA648,PLAN!$B:$AA,15,0),"")</f>
        <v>JAPAN</v>
      </c>
      <c r="M648" s="77">
        <f>IFERROR(VLOOKUP($AA648,PLAN!$B:$AA,18,0),"")</f>
        <v>0</v>
      </c>
      <c r="N648" s="227">
        <f>IFERROR(VLOOKUP($AA648,PLAN!$B:$AA,19,0),"")</f>
        <v>0</v>
      </c>
      <c r="O648" s="77" t="str">
        <f>IFERROR(VLOOKUP($AA648,PLAN!$B:$AA,12,0),"")</f>
        <v>2112175-0-C</v>
      </c>
      <c r="P648" s="77">
        <f>IFERROR(VLOOKUP($AA648,PLAN!$B:$AA,11,0),"")</f>
        <v>12116142</v>
      </c>
      <c r="Q648" s="349" t="s">
        <v>2212</v>
      </c>
      <c r="R648" s="149" t="s">
        <v>2213</v>
      </c>
      <c r="S648" s="223">
        <v>93</v>
      </c>
      <c r="T648" s="131"/>
      <c r="U648" s="78">
        <f>IFERROR(VLOOKUP($AA648,PLAN!$B:$AA,21,0),"")</f>
        <v>46252</v>
      </c>
      <c r="V648" s="78" t="str">
        <f>IFERROR(VLOOKUP($AA648,PLAN!$B:$AA,22,0),"")</f>
        <v>M9</v>
      </c>
      <c r="W648" s="232"/>
      <c r="X648" s="233"/>
      <c r="Y648" s="212"/>
      <c r="Z648" s="350"/>
      <c r="AA648" s="195" t="s">
        <v>3699</v>
      </c>
      <c r="AB648" s="132">
        <f>VLOOKUP(AA648,PLAN!B:V,20,0)</f>
        <v>46252</v>
      </c>
      <c r="AC648" s="132"/>
    </row>
    <row r="649" spans="3:29" s="79" customFormat="1" ht="21.6" customHeight="1">
      <c r="C649" s="249"/>
      <c r="D649" s="77"/>
      <c r="E649" s="77"/>
      <c r="F649" s="77"/>
      <c r="G649" s="77"/>
      <c r="H649" s="113"/>
      <c r="I649" s="77"/>
      <c r="J649" s="77"/>
      <c r="K649" s="77"/>
      <c r="L649" s="77"/>
      <c r="M649" s="77"/>
      <c r="N649" s="227"/>
      <c r="O649" s="77"/>
      <c r="P649" s="77"/>
      <c r="Q649" s="349" t="s">
        <v>4005</v>
      </c>
      <c r="R649" s="158" t="s">
        <v>4006</v>
      </c>
      <c r="S649" s="223">
        <f>K648-S648</f>
        <v>6</v>
      </c>
      <c r="T649" s="131"/>
      <c r="U649" s="78"/>
      <c r="V649" s="78"/>
      <c r="W649" s="232"/>
      <c r="X649" s="233"/>
      <c r="Y649" s="212"/>
      <c r="Z649" s="350"/>
      <c r="AA649" s="195"/>
      <c r="AB649" s="132">
        <v>46252</v>
      </c>
      <c r="AC649" s="132"/>
    </row>
    <row r="650" spans="3:29" s="79" customFormat="1" ht="21.6" customHeight="1">
      <c r="C650" s="249" t="str">
        <f t="shared" si="41"/>
        <v>Aug27-08</v>
      </c>
      <c r="D650" s="77">
        <f>IFERROR(VLOOKUP($AA650,PLAN!$B:$AA,3,0),"")</f>
        <v>11119351</v>
      </c>
      <c r="E650" s="77" t="str">
        <f>IFERROR(VLOOKUP($AA650,PLAN!$B:$AA,4,0),"")</f>
        <v>1911019-D-A</v>
      </c>
      <c r="F650" s="77" t="str">
        <f>IFERROR(VLOOKUP($AA650,PLAN!$B:$AA,5,0),"")</f>
        <v>HJ60CP152P10020 JP</v>
      </c>
      <c r="G650" s="77" t="str">
        <f>IFERROR(VLOOKUP($AA650,PLAN!$B:$AA,2,0),"")</f>
        <v>1001941061</v>
      </c>
      <c r="H650" s="113">
        <f>IFERROR(VLOOKUP($AA650,PLAN!$B:$AA,7,0),"")</f>
        <v>46261</v>
      </c>
      <c r="I650" s="77" t="str">
        <f>IFERROR(VLOOKUP($AA650,PLAN!$B:$AA,8,0),"")</f>
        <v>0103600385</v>
      </c>
      <c r="J650" s="77" t="str">
        <f>IFERROR(VLOOKUP($AA650,PLAN!$B:$AA,9,0),"")</f>
        <v>260807C29A</v>
      </c>
      <c r="K650" s="77">
        <f>IFERROR(VLOOKUP($AA650,PLAN!$B:$AA,10,0),"")</f>
        <v>1</v>
      </c>
      <c r="L650" s="77" t="str">
        <f>IFERROR(VLOOKUP($AA650,PLAN!$B:$AA,15,0),"")</f>
        <v>JAPAN</v>
      </c>
      <c r="M650" s="77">
        <f>IFERROR(VLOOKUP($AA650,PLAN!$B:$AA,18,0),"")</f>
        <v>0</v>
      </c>
      <c r="N650" s="227">
        <f>IFERROR(VLOOKUP($AA650,PLAN!$B:$AA,19,0),"")</f>
        <v>0</v>
      </c>
      <c r="O650" s="77" t="str">
        <f>IFERROR(VLOOKUP($AA650,PLAN!$B:$AA,12,0),"")</f>
        <v>2112021-0-C</v>
      </c>
      <c r="P650" s="77">
        <f>IFERROR(VLOOKUP($AA650,PLAN!$B:$AA,11,0),"")</f>
        <v>12115986</v>
      </c>
      <c r="Q650" s="148" t="s">
        <v>3946</v>
      </c>
      <c r="R650" s="222" t="s">
        <v>3947</v>
      </c>
      <c r="S650" s="149">
        <f t="shared" si="42"/>
        <v>1</v>
      </c>
      <c r="T650" s="131"/>
      <c r="U650" s="78">
        <f>IFERROR(VLOOKUP($AA650,PLAN!$B:$AA,21,0),"")</f>
        <v>46252</v>
      </c>
      <c r="V650" s="78" t="str">
        <f>IFERROR(VLOOKUP($AA650,PLAN!$B:$AA,22,0),"")</f>
        <v>M9</v>
      </c>
      <c r="W650" s="232"/>
      <c r="X650" s="233"/>
      <c r="Y650" s="212"/>
      <c r="Z650" s="350"/>
      <c r="AA650" s="195" t="s">
        <v>3740</v>
      </c>
      <c r="AB650" s="132">
        <f>VLOOKUP(AA650,PLAN!B:V,20,0)</f>
        <v>46252</v>
      </c>
      <c r="AC650" s="132"/>
    </row>
    <row r="651" spans="3:29" s="79" customFormat="1" ht="21.6" customHeight="1">
      <c r="C651" s="249" t="str">
        <f t="shared" si="41"/>
        <v>Aug27-09</v>
      </c>
      <c r="D651" s="77">
        <f>IFERROR(VLOOKUP($AA651,PLAN!$B:$AA,3,0),"")</f>
        <v>11119503</v>
      </c>
      <c r="E651" s="77" t="str">
        <f>IFERROR(VLOOKUP($AA651,PLAN!$B:$AA,4,0),"")</f>
        <v>1911169-D-A</v>
      </c>
      <c r="F651" s="77" t="str">
        <f>IFERROR(VLOOKUP($AA651,PLAN!$B:$AA,5,0),"")</f>
        <v>HJ70JR350P10020 JP</v>
      </c>
      <c r="G651" s="77" t="str">
        <f>IFERROR(VLOOKUP($AA651,PLAN!$B:$AA,2,0),"")</f>
        <v>1001941062</v>
      </c>
      <c r="H651" s="113">
        <f>IFERROR(VLOOKUP($AA651,PLAN!$B:$AA,7,0),"")</f>
        <v>46261</v>
      </c>
      <c r="I651" s="77" t="str">
        <f>IFERROR(VLOOKUP($AA651,PLAN!$B:$AA,8,0),"")</f>
        <v>0103600386</v>
      </c>
      <c r="J651" s="77" t="str">
        <f>IFERROR(VLOOKUP($AA651,PLAN!$B:$AA,9,0),"")</f>
        <v>260807C30A</v>
      </c>
      <c r="K651" s="77">
        <f>IFERROR(VLOOKUP($AA651,PLAN!$B:$AA,10,0),"")</f>
        <v>4</v>
      </c>
      <c r="L651" s="77" t="str">
        <f>IFERROR(VLOOKUP($AA651,PLAN!$B:$AA,15,0),"")</f>
        <v>JAPAN</v>
      </c>
      <c r="M651" s="77">
        <f>IFERROR(VLOOKUP($AA651,PLAN!$B:$AA,18,0),"")</f>
        <v>0</v>
      </c>
      <c r="N651" s="227">
        <f>IFERROR(VLOOKUP($AA651,PLAN!$B:$AA,19,0),"")</f>
        <v>0</v>
      </c>
      <c r="O651" s="77" t="str">
        <f>IFERROR(VLOOKUP($AA651,PLAN!$B:$AA,12,0),"")</f>
        <v>2112171-0-C</v>
      </c>
      <c r="P651" s="77">
        <f>IFERROR(VLOOKUP($AA651,PLAN!$B:$AA,11,0),"")</f>
        <v>12116138</v>
      </c>
      <c r="Q651" s="148" t="s">
        <v>811</v>
      </c>
      <c r="R651" s="222" t="s">
        <v>812</v>
      </c>
      <c r="S651" s="149">
        <f t="shared" si="42"/>
        <v>4</v>
      </c>
      <c r="T651" s="131"/>
      <c r="U651" s="78">
        <f>IFERROR(VLOOKUP($AA651,PLAN!$B:$AA,21,0),"")</f>
        <v>46252</v>
      </c>
      <c r="V651" s="78" t="str">
        <f>IFERROR(VLOOKUP($AA651,PLAN!$B:$AA,22,0),"")</f>
        <v>M9</v>
      </c>
      <c r="W651" s="232"/>
      <c r="X651" s="233"/>
      <c r="Y651" s="212"/>
      <c r="Z651" s="350"/>
      <c r="AA651" s="195" t="s">
        <v>3926</v>
      </c>
      <c r="AB651" s="132">
        <f>VLOOKUP(AA651,PLAN!B:V,20,0)</f>
        <v>46252</v>
      </c>
      <c r="AC651" s="132"/>
    </row>
    <row r="652" spans="3:29" s="79" customFormat="1" ht="21.6" customHeight="1">
      <c r="C652" s="249" t="str">
        <f t="shared" si="41"/>
        <v>Aug27-10</v>
      </c>
      <c r="D652" s="77">
        <f>IFERROR(VLOOKUP($AA652,PLAN!$B:$AA,3,0),"")</f>
        <v>11119378</v>
      </c>
      <c r="E652" s="77" t="str">
        <f>IFERROR(VLOOKUP($AA652,PLAN!$B:$AA,4,0),"")</f>
        <v>1911046-D-A</v>
      </c>
      <c r="F652" s="77" t="str">
        <f>IFERROR(VLOOKUP($AA652,PLAN!$B:$AA,5,0),"")</f>
        <v>HJ60JL402P09020 JP</v>
      </c>
      <c r="G652" s="77" t="str">
        <f>IFERROR(VLOOKUP($AA652,PLAN!$B:$AA,2,0),"")</f>
        <v>1001941063</v>
      </c>
      <c r="H652" s="113">
        <f>IFERROR(VLOOKUP($AA652,PLAN!$B:$AA,7,0),"")</f>
        <v>46261</v>
      </c>
      <c r="I652" s="77" t="str">
        <f>IFERROR(VLOOKUP($AA652,PLAN!$B:$AA,8,0),"")</f>
        <v>0103600387</v>
      </c>
      <c r="J652" s="77" t="str">
        <f>IFERROR(VLOOKUP($AA652,PLAN!$B:$AA,9,0),"")</f>
        <v>260807C31A</v>
      </c>
      <c r="K652" s="77">
        <f>IFERROR(VLOOKUP($AA652,PLAN!$B:$AA,10,0),"")</f>
        <v>4</v>
      </c>
      <c r="L652" s="77" t="str">
        <f>IFERROR(VLOOKUP($AA652,PLAN!$B:$AA,15,0),"")</f>
        <v>JAPAN</v>
      </c>
      <c r="M652" s="77">
        <f>IFERROR(VLOOKUP($AA652,PLAN!$B:$AA,18,0),"")</f>
        <v>0</v>
      </c>
      <c r="N652" s="227">
        <f>IFERROR(VLOOKUP($AA652,PLAN!$B:$AA,19,0),"")</f>
        <v>0</v>
      </c>
      <c r="O652" s="77" t="str">
        <f>IFERROR(VLOOKUP($AA652,PLAN!$B:$AA,12,0),"")</f>
        <v>2112048-0-C</v>
      </c>
      <c r="P652" s="77">
        <f>IFERROR(VLOOKUP($AA652,PLAN!$B:$AA,11,0),"")</f>
        <v>12116013</v>
      </c>
      <c r="Q652" s="148" t="s">
        <v>1196</v>
      </c>
      <c r="R652" s="222" t="s">
        <v>1197</v>
      </c>
      <c r="S652" s="149">
        <f t="shared" si="42"/>
        <v>4</v>
      </c>
      <c r="T652" s="131"/>
      <c r="U652" s="78">
        <f>IFERROR(VLOOKUP($AA652,PLAN!$B:$AA,21,0),"")</f>
        <v>46252</v>
      </c>
      <c r="V652" s="78" t="str">
        <f>IFERROR(VLOOKUP($AA652,PLAN!$B:$AA,22,0),"")</f>
        <v>M9</v>
      </c>
      <c r="W652" s="232"/>
      <c r="X652" s="233"/>
      <c r="Y652" s="212"/>
      <c r="Z652" s="350"/>
      <c r="AA652" s="195" t="s">
        <v>3927</v>
      </c>
      <c r="AB652" s="132">
        <f>VLOOKUP(AA652,PLAN!B:V,20,0)</f>
        <v>46252</v>
      </c>
      <c r="AC652" s="132"/>
    </row>
    <row r="653" spans="3:29" s="79" customFormat="1" ht="21.6" customHeight="1">
      <c r="C653" s="249" t="str">
        <f t="shared" si="41"/>
        <v>Aug27-11</v>
      </c>
      <c r="D653" s="77">
        <f>IFERROR(VLOOKUP($AA653,PLAN!$B:$AA,3,0),"")</f>
        <v>11119337</v>
      </c>
      <c r="E653" s="77" t="str">
        <f>IFERROR(VLOOKUP($AA653,PLAN!$B:$AA,4,0),"")</f>
        <v>1911005-E-A</v>
      </c>
      <c r="F653" s="77" t="str">
        <f>IFERROR(VLOOKUP($AA653,PLAN!$B:$AA,5,0),"")</f>
        <v>HJ60AL100P10020 JP</v>
      </c>
      <c r="G653" s="77" t="str">
        <f>IFERROR(VLOOKUP($AA653,PLAN!$B:$AA,2,0),"")</f>
        <v>1001941064</v>
      </c>
      <c r="H653" s="113">
        <f>IFERROR(VLOOKUP($AA653,PLAN!$B:$AA,7,0),"")</f>
        <v>46261</v>
      </c>
      <c r="I653" s="77" t="str">
        <f>IFERROR(VLOOKUP($AA653,PLAN!$B:$AA,8,0),"")</f>
        <v>0103600388</v>
      </c>
      <c r="J653" s="77" t="str">
        <f>IFERROR(VLOOKUP($AA653,PLAN!$B:$AA,9,0),"")</f>
        <v>260807C32A</v>
      </c>
      <c r="K653" s="77">
        <f>IFERROR(VLOOKUP($AA653,PLAN!$B:$AA,10,0),"")</f>
        <v>39</v>
      </c>
      <c r="L653" s="77" t="str">
        <f>IFERROR(VLOOKUP($AA653,PLAN!$B:$AA,15,0),"")</f>
        <v>JAPAN</v>
      </c>
      <c r="M653" s="77">
        <f>IFERROR(VLOOKUP($AA653,PLAN!$B:$AA,18,0),"")</f>
        <v>0</v>
      </c>
      <c r="N653" s="227">
        <f>IFERROR(VLOOKUP($AA653,PLAN!$B:$AA,19,0),"")</f>
        <v>0</v>
      </c>
      <c r="O653" s="77" t="str">
        <f>IFERROR(VLOOKUP($AA653,PLAN!$B:$AA,12,0),"")</f>
        <v>2112007-0-C</v>
      </c>
      <c r="P653" s="77">
        <f>IFERROR(VLOOKUP($AA653,PLAN!$B:$AA,11,0),"")</f>
        <v>12115972</v>
      </c>
      <c r="Q653" s="349" t="s">
        <v>2206</v>
      </c>
      <c r="R653" s="149" t="s">
        <v>2207</v>
      </c>
      <c r="S653" s="223">
        <v>37</v>
      </c>
      <c r="T653" s="131"/>
      <c r="U653" s="78">
        <f>IFERROR(VLOOKUP($AA653,PLAN!$B:$AA,21,0),"")</f>
        <v>46252</v>
      </c>
      <c r="V653" s="78" t="str">
        <f>IFERROR(VLOOKUP($AA653,PLAN!$B:$AA,22,0),"")</f>
        <v>M9</v>
      </c>
      <c r="W653" s="232"/>
      <c r="X653" s="233"/>
      <c r="Y653" s="212"/>
      <c r="Z653" s="350"/>
      <c r="AA653" s="195" t="s">
        <v>3928</v>
      </c>
      <c r="AB653" s="132">
        <f>VLOOKUP(AA653,PLAN!B:V,20,0)</f>
        <v>46252</v>
      </c>
      <c r="AC653" s="132"/>
    </row>
    <row r="654" spans="3:29" s="79" customFormat="1" ht="21.6" customHeight="1">
      <c r="C654" s="249"/>
      <c r="D654" s="77"/>
      <c r="E654" s="77"/>
      <c r="F654" s="77"/>
      <c r="G654" s="77"/>
      <c r="H654" s="113"/>
      <c r="I654" s="77"/>
      <c r="J654" s="77"/>
      <c r="K654" s="77"/>
      <c r="L654" s="77"/>
      <c r="M654" s="77"/>
      <c r="N654" s="227"/>
      <c r="O654" s="77"/>
      <c r="P654" s="77"/>
      <c r="Q654" s="349" t="s">
        <v>3948</v>
      </c>
      <c r="R654" s="149" t="s">
        <v>3949</v>
      </c>
      <c r="S654" s="223">
        <f>K653-S653</f>
        <v>2</v>
      </c>
      <c r="T654" s="131"/>
      <c r="U654" s="78"/>
      <c r="V654" s="78"/>
      <c r="W654" s="232"/>
      <c r="X654" s="233"/>
      <c r="Y654" s="212"/>
      <c r="Z654" s="350"/>
      <c r="AA654" s="195"/>
      <c r="AB654" s="132">
        <v>46252</v>
      </c>
      <c r="AC654" s="132"/>
    </row>
    <row r="655" spans="3:29" s="79" customFormat="1" ht="21.6" customHeight="1">
      <c r="C655" s="249" t="str">
        <f t="shared" si="41"/>
        <v>Aug27-12</v>
      </c>
      <c r="D655" s="77">
        <f>IFERROR(VLOOKUP($AA655,PLAN!$B:$AA,3,0),"")</f>
        <v>11119393</v>
      </c>
      <c r="E655" s="77" t="str">
        <f>IFERROR(VLOOKUP($AA655,PLAN!$B:$AA,4,0),"")</f>
        <v>1911061-D-A</v>
      </c>
      <c r="F655" s="77" t="str">
        <f>IFERROR(VLOOKUP($AA655,PLAN!$B:$AA,5,0),"")</f>
        <v>HJ60JR402P10020 JP</v>
      </c>
      <c r="G655" s="77" t="str">
        <f>IFERROR(VLOOKUP($AA655,PLAN!$B:$AA,2,0),"")</f>
        <v>1001941065</v>
      </c>
      <c r="H655" s="113">
        <f>IFERROR(VLOOKUP($AA655,PLAN!$B:$AA,7,0),"")</f>
        <v>46261</v>
      </c>
      <c r="I655" s="77" t="str">
        <f>IFERROR(VLOOKUP($AA655,PLAN!$B:$AA,8,0),"")</f>
        <v>0103600389</v>
      </c>
      <c r="J655" s="77" t="str">
        <f>IFERROR(VLOOKUP($AA655,PLAN!$B:$AA,9,0),"")</f>
        <v>260807C33A</v>
      </c>
      <c r="K655" s="77">
        <f>IFERROR(VLOOKUP($AA655,PLAN!$B:$AA,10,0),"")</f>
        <v>166</v>
      </c>
      <c r="L655" s="77" t="str">
        <f>IFERROR(VLOOKUP($AA655,PLAN!$B:$AA,15,0),"")</f>
        <v>JAPAN</v>
      </c>
      <c r="M655" s="77">
        <f>IFERROR(VLOOKUP($AA655,PLAN!$B:$AA,18,0),"")</f>
        <v>0</v>
      </c>
      <c r="N655" s="227">
        <f>IFERROR(VLOOKUP($AA655,PLAN!$B:$AA,19,0),"")</f>
        <v>0</v>
      </c>
      <c r="O655" s="77" t="str">
        <f>IFERROR(VLOOKUP($AA655,PLAN!$B:$AA,12,0),"")</f>
        <v>2112063-0-C</v>
      </c>
      <c r="P655" s="77">
        <f>IFERROR(VLOOKUP($AA655,PLAN!$B:$AA,11,0),"")</f>
        <v>12116028</v>
      </c>
      <c r="Q655" s="277" t="s">
        <v>3950</v>
      </c>
      <c r="R655" s="149" t="s">
        <v>3951</v>
      </c>
      <c r="S655" s="223">
        <v>22</v>
      </c>
      <c r="T655" s="131"/>
      <c r="U655" s="78">
        <f>IFERROR(VLOOKUP($AA655,PLAN!$B:$AA,21,0),"")</f>
        <v>46252</v>
      </c>
      <c r="V655" s="78" t="str">
        <f>IFERROR(VLOOKUP($AA655,PLAN!$B:$AA,22,0),"")</f>
        <v>M9</v>
      </c>
      <c r="W655" s="232"/>
      <c r="X655" s="233"/>
      <c r="Y655" s="212"/>
      <c r="Z655" s="350"/>
      <c r="AA655" s="195" t="s">
        <v>3929</v>
      </c>
      <c r="AB655" s="132">
        <f>VLOOKUP(AA655,PLAN!B:V,20,0)</f>
        <v>46252</v>
      </c>
      <c r="AC655" s="132"/>
    </row>
    <row r="656" spans="3:29" s="79" customFormat="1" ht="21.6" customHeight="1">
      <c r="C656" s="249"/>
      <c r="D656" s="77"/>
      <c r="E656" s="77"/>
      <c r="F656" s="77"/>
      <c r="G656" s="77"/>
      <c r="H656" s="113"/>
      <c r="I656" s="77"/>
      <c r="J656" s="77"/>
      <c r="K656" s="77"/>
      <c r="L656" s="77"/>
      <c r="M656" s="77"/>
      <c r="N656" s="227"/>
      <c r="O656" s="77"/>
      <c r="P656" s="77"/>
      <c r="Q656" s="277" t="s">
        <v>3952</v>
      </c>
      <c r="R656" s="149" t="s">
        <v>3953</v>
      </c>
      <c r="S656" s="223">
        <v>100</v>
      </c>
      <c r="T656" s="131"/>
      <c r="U656" s="78"/>
      <c r="V656" s="78"/>
      <c r="W656" s="232"/>
      <c r="X656" s="233"/>
      <c r="Y656" s="212"/>
      <c r="Z656" s="350"/>
      <c r="AA656" s="195"/>
      <c r="AB656" s="132">
        <v>46252</v>
      </c>
      <c r="AC656" s="132"/>
    </row>
    <row r="657" spans="3:29" s="79" customFormat="1" ht="21.6" customHeight="1">
      <c r="C657" s="249"/>
      <c r="D657" s="77"/>
      <c r="E657" s="77"/>
      <c r="F657" s="77"/>
      <c r="G657" s="77"/>
      <c r="H657" s="113"/>
      <c r="I657" s="77"/>
      <c r="J657" s="77"/>
      <c r="K657" s="77"/>
      <c r="L657" s="77"/>
      <c r="M657" s="77"/>
      <c r="N657" s="227"/>
      <c r="O657" s="77"/>
      <c r="P657" s="77"/>
      <c r="Q657" s="349" t="s">
        <v>3954</v>
      </c>
      <c r="R657" s="149" t="s">
        <v>3955</v>
      </c>
      <c r="S657" s="223">
        <f>K655-S655-S656</f>
        <v>44</v>
      </c>
      <c r="T657" s="131"/>
      <c r="U657" s="78"/>
      <c r="V657" s="78"/>
      <c r="W657" s="232"/>
      <c r="X657" s="233"/>
      <c r="Y657" s="212"/>
      <c r="Z657" s="350"/>
      <c r="AA657" s="195"/>
      <c r="AB657" s="132">
        <v>46252</v>
      </c>
      <c r="AC657" s="132"/>
    </row>
    <row r="658" spans="3:29" s="79" customFormat="1" ht="21.6" customHeight="1">
      <c r="C658" s="249" t="str">
        <f t="shared" si="41"/>
        <v>Aug27-13</v>
      </c>
      <c r="D658" s="77">
        <f>IFERROR(VLOOKUP($AA658,PLAN!$B:$AA,3,0),"")</f>
        <v>11119375</v>
      </c>
      <c r="E658" s="77" t="str">
        <f>IFERROR(VLOOKUP($AA658,PLAN!$B:$AA,4,0),"")</f>
        <v>1911043-E-A</v>
      </c>
      <c r="F658" s="77" t="str">
        <f>IFERROR(VLOOKUP($AA658,PLAN!$B:$AA,5,0),"")</f>
        <v>HJ60JL400P10000 JP</v>
      </c>
      <c r="G658" s="77" t="str">
        <f>IFERROR(VLOOKUP($AA658,PLAN!$B:$AA,2,0),"")</f>
        <v>1001941066</v>
      </c>
      <c r="H658" s="113">
        <f>IFERROR(VLOOKUP($AA658,PLAN!$B:$AA,7,0),"")</f>
        <v>46261</v>
      </c>
      <c r="I658" s="77" t="str">
        <f>IFERROR(VLOOKUP($AA658,PLAN!$B:$AA,8,0),"")</f>
        <v>0103600390</v>
      </c>
      <c r="J658" s="77" t="str">
        <f>IFERROR(VLOOKUP($AA658,PLAN!$B:$AA,9,0),"")</f>
        <v>260807C34A</v>
      </c>
      <c r="K658" s="77">
        <f>IFERROR(VLOOKUP($AA658,PLAN!$B:$AA,10,0),"")</f>
        <v>527</v>
      </c>
      <c r="L658" s="77" t="str">
        <f>IFERROR(VLOOKUP($AA658,PLAN!$B:$AA,15,0),"")</f>
        <v>JAPAN</v>
      </c>
      <c r="M658" s="77">
        <f>IFERROR(VLOOKUP($AA658,PLAN!$B:$AA,18,0),"")</f>
        <v>0</v>
      </c>
      <c r="N658" s="227">
        <f>IFERROR(VLOOKUP($AA658,PLAN!$B:$AA,19,0),"")</f>
        <v>0</v>
      </c>
      <c r="O658" s="77" t="str">
        <f>IFERROR(VLOOKUP($AA658,PLAN!$B:$AA,12,0),"")</f>
        <v>2112045-0-C</v>
      </c>
      <c r="P658" s="77">
        <f>IFERROR(VLOOKUP($AA658,PLAN!$B:$AA,11,0),"")</f>
        <v>12116010</v>
      </c>
      <c r="Q658" s="277" t="s">
        <v>3775</v>
      </c>
      <c r="R658" s="149" t="s">
        <v>3776</v>
      </c>
      <c r="S658" s="223">
        <v>148</v>
      </c>
      <c r="T658" s="131"/>
      <c r="U658" s="78">
        <f>IFERROR(VLOOKUP($AA658,PLAN!$B:$AA,21,0),"")</f>
        <v>46252</v>
      </c>
      <c r="V658" s="78" t="str">
        <f>IFERROR(VLOOKUP($AA658,PLAN!$B:$AA,22,0),"")</f>
        <v>M9</v>
      </c>
      <c r="W658" s="232"/>
      <c r="X658" s="233"/>
      <c r="Y658" s="212"/>
      <c r="Z658" s="350"/>
      <c r="AA658" s="195" t="s">
        <v>3930</v>
      </c>
      <c r="AB658" s="132">
        <f>VLOOKUP(AA658,PLAN!B:V,20,0)</f>
        <v>46252</v>
      </c>
      <c r="AC658" s="132"/>
    </row>
    <row r="659" spans="3:29" s="79" customFormat="1" ht="21.6" customHeight="1">
      <c r="C659" s="249">
        <f t="shared" si="41"/>
        <v>0</v>
      </c>
      <c r="D659" s="77" t="str">
        <f>IFERROR(VLOOKUP($AA659,PLAN!$B:$AA,3,0),"")</f>
        <v/>
      </c>
      <c r="E659" s="77" t="str">
        <f>IFERROR(VLOOKUP($AA659,PLAN!$B:$AA,4,0),"")</f>
        <v/>
      </c>
      <c r="F659" s="77" t="str">
        <f>IFERROR(VLOOKUP($AA659,PLAN!$B:$AA,5,0),"")</f>
        <v/>
      </c>
      <c r="G659" s="77" t="str">
        <f>IFERROR(VLOOKUP($AA659,PLAN!$B:$AA,2,0),"")</f>
        <v/>
      </c>
      <c r="H659" s="113" t="str">
        <f>IFERROR(VLOOKUP($AA659,PLAN!$B:$AA,7,0),"")</f>
        <v/>
      </c>
      <c r="I659" s="77" t="str">
        <f>IFERROR(VLOOKUP($AA659,PLAN!$B:$AA,8,0),"")</f>
        <v/>
      </c>
      <c r="J659" s="77" t="str">
        <f>IFERROR(VLOOKUP($AA659,PLAN!$B:$AA,9,0),"")</f>
        <v/>
      </c>
      <c r="K659" s="77" t="str">
        <f>IFERROR(VLOOKUP($AA659,PLAN!$B:$AA,10,0),"")</f>
        <v/>
      </c>
      <c r="L659" s="77" t="str">
        <f>IFERROR(VLOOKUP($AA659,PLAN!$B:$AA,15,0),"")</f>
        <v/>
      </c>
      <c r="M659" s="77" t="str">
        <f>IFERROR(VLOOKUP($AA659,PLAN!$B:$AA,18,0),"")</f>
        <v/>
      </c>
      <c r="N659" s="227" t="str">
        <f>IFERROR(VLOOKUP($AA659,PLAN!$B:$AA,19,0),"")</f>
        <v/>
      </c>
      <c r="O659" s="77" t="str">
        <f>IFERROR(VLOOKUP($AA659,PLAN!$B:$AA,12,0),"")</f>
        <v/>
      </c>
      <c r="P659" s="77" t="str">
        <f>IFERROR(VLOOKUP($AA659,PLAN!$B:$AA,11,0),"")</f>
        <v/>
      </c>
      <c r="Q659" s="277" t="s">
        <v>3956</v>
      </c>
      <c r="R659" s="149" t="s">
        <v>3957</v>
      </c>
      <c r="S659" s="223">
        <v>114</v>
      </c>
      <c r="T659" s="131"/>
      <c r="U659" s="78" t="str">
        <f>IFERROR(VLOOKUP($AA659,PLAN!$B:$AA,21,0),"")</f>
        <v/>
      </c>
      <c r="V659" s="78" t="str">
        <f>IFERROR(VLOOKUP($AA659,PLAN!$B:$AA,22,0),"")</f>
        <v/>
      </c>
      <c r="W659" s="232"/>
      <c r="X659" s="233"/>
      <c r="Y659" s="212"/>
      <c r="Z659" s="350"/>
      <c r="AA659" s="195"/>
      <c r="AB659" s="132">
        <v>46252</v>
      </c>
      <c r="AC659" s="132"/>
    </row>
    <row r="660" spans="3:29" s="79" customFormat="1" ht="21.6" customHeight="1">
      <c r="C660" s="249">
        <f t="shared" si="41"/>
        <v>0</v>
      </c>
      <c r="D660" s="77" t="str">
        <f>IFERROR(VLOOKUP($AA660,PLAN!$B:$AA,3,0),"")</f>
        <v/>
      </c>
      <c r="E660" s="77" t="str">
        <f>IFERROR(VLOOKUP($AA660,PLAN!$B:$AA,4,0),"")</f>
        <v/>
      </c>
      <c r="F660" s="77" t="str">
        <f>IFERROR(VLOOKUP($AA660,PLAN!$B:$AA,5,0),"")</f>
        <v/>
      </c>
      <c r="G660" s="77" t="str">
        <f>IFERROR(VLOOKUP($AA660,PLAN!$B:$AA,2,0),"")</f>
        <v/>
      </c>
      <c r="H660" s="113" t="str">
        <f>IFERROR(VLOOKUP($AA660,PLAN!$B:$AA,7,0),"")</f>
        <v/>
      </c>
      <c r="I660" s="77" t="str">
        <f>IFERROR(VLOOKUP($AA660,PLAN!$B:$AA,8,0),"")</f>
        <v/>
      </c>
      <c r="J660" s="77" t="str">
        <f>IFERROR(VLOOKUP($AA660,PLAN!$B:$AA,9,0),"")</f>
        <v/>
      </c>
      <c r="K660" s="77" t="str">
        <f>IFERROR(VLOOKUP($AA660,PLAN!$B:$AA,10,0),"")</f>
        <v/>
      </c>
      <c r="L660" s="77" t="str">
        <f>IFERROR(VLOOKUP($AA660,PLAN!$B:$AA,15,0),"")</f>
        <v/>
      </c>
      <c r="M660" s="77" t="str">
        <f>IFERROR(VLOOKUP($AA660,PLAN!$B:$AA,18,0),"")</f>
        <v/>
      </c>
      <c r="N660" s="227" t="str">
        <f>IFERROR(VLOOKUP($AA660,PLAN!$B:$AA,19,0),"")</f>
        <v/>
      </c>
      <c r="O660" s="77" t="str">
        <f>IFERROR(VLOOKUP($AA660,PLAN!$B:$AA,12,0),"")</f>
        <v/>
      </c>
      <c r="P660" s="77" t="str">
        <f>IFERROR(VLOOKUP($AA660,PLAN!$B:$AA,11,0),"")</f>
        <v/>
      </c>
      <c r="Q660" s="277" t="s">
        <v>3958</v>
      </c>
      <c r="R660" s="149" t="s">
        <v>3959</v>
      </c>
      <c r="S660" s="223">
        <v>150</v>
      </c>
      <c r="T660" s="131"/>
      <c r="U660" s="78" t="str">
        <f>IFERROR(VLOOKUP($AA660,PLAN!$B:$AA,21,0),"")</f>
        <v/>
      </c>
      <c r="V660" s="78" t="str">
        <f>IFERROR(VLOOKUP($AA660,PLAN!$B:$AA,22,0),"")</f>
        <v/>
      </c>
      <c r="W660" s="232"/>
      <c r="X660" s="233"/>
      <c r="Y660" s="212"/>
      <c r="Z660" s="350"/>
      <c r="AA660" s="195"/>
      <c r="AB660" s="132">
        <v>46252</v>
      </c>
      <c r="AC660" s="132"/>
    </row>
    <row r="661" spans="3:29" s="79" customFormat="1" ht="21.6" customHeight="1">
      <c r="C661" s="249">
        <f t="shared" si="41"/>
        <v>0</v>
      </c>
      <c r="D661" s="77" t="str">
        <f>IFERROR(VLOOKUP($AA661,PLAN!$B:$AA,3,0),"")</f>
        <v/>
      </c>
      <c r="E661" s="77" t="str">
        <f>IFERROR(VLOOKUP($AA661,PLAN!$B:$AA,4,0),"")</f>
        <v/>
      </c>
      <c r="F661" s="77" t="str">
        <f>IFERROR(VLOOKUP($AA661,PLAN!$B:$AA,5,0),"")</f>
        <v/>
      </c>
      <c r="G661" s="77" t="str">
        <f>IFERROR(VLOOKUP($AA661,PLAN!$B:$AA,2,0),"")</f>
        <v/>
      </c>
      <c r="H661" s="113" t="str">
        <f>IFERROR(VLOOKUP($AA661,PLAN!$B:$AA,7,0),"")</f>
        <v/>
      </c>
      <c r="I661" s="77" t="str">
        <f>IFERROR(VLOOKUP($AA661,PLAN!$B:$AA,8,0),"")</f>
        <v/>
      </c>
      <c r="J661" s="77" t="str">
        <f>IFERROR(VLOOKUP($AA661,PLAN!$B:$AA,9,0),"")</f>
        <v/>
      </c>
      <c r="K661" s="77" t="str">
        <f>IFERROR(VLOOKUP($AA661,PLAN!$B:$AA,10,0),"")</f>
        <v/>
      </c>
      <c r="L661" s="77" t="str">
        <f>IFERROR(VLOOKUP($AA661,PLAN!$B:$AA,15,0),"")</f>
        <v/>
      </c>
      <c r="M661" s="77" t="str">
        <f>IFERROR(VLOOKUP($AA661,PLAN!$B:$AA,18,0),"")</f>
        <v/>
      </c>
      <c r="N661" s="227" t="str">
        <f>IFERROR(VLOOKUP($AA661,PLAN!$B:$AA,19,0),"")</f>
        <v/>
      </c>
      <c r="O661" s="77" t="str">
        <f>IFERROR(VLOOKUP($AA661,PLAN!$B:$AA,12,0),"")</f>
        <v/>
      </c>
      <c r="P661" s="77" t="str">
        <f>IFERROR(VLOOKUP($AA661,PLAN!$B:$AA,11,0),"")</f>
        <v/>
      </c>
      <c r="Q661" s="277" t="s">
        <v>3960</v>
      </c>
      <c r="R661" s="149" t="s">
        <v>3961</v>
      </c>
      <c r="S661" s="223">
        <f>K658-S658-S659-S660</f>
        <v>115</v>
      </c>
      <c r="T661" s="131"/>
      <c r="U661" s="78" t="str">
        <f>IFERROR(VLOOKUP($AA661,PLAN!$B:$AA,21,0),"")</f>
        <v/>
      </c>
      <c r="V661" s="78" t="str">
        <f>IFERROR(VLOOKUP($AA661,PLAN!$B:$AA,22,0),"")</f>
        <v/>
      </c>
      <c r="W661" s="232"/>
      <c r="X661" s="233"/>
      <c r="Y661" s="212"/>
      <c r="Z661" s="350"/>
      <c r="AA661" s="195"/>
      <c r="AB661" s="132">
        <v>46252</v>
      </c>
      <c r="AC661" s="132"/>
    </row>
    <row r="662" spans="3:29" s="79" customFormat="1" ht="21.6" customHeight="1">
      <c r="C662" s="249" t="str">
        <f>AA662</f>
        <v>Aug26-32</v>
      </c>
      <c r="D662" s="77">
        <f>IFERROR(VLOOKUP($AA662,PLAN!$B:$AA,3,0),"")</f>
        <v>11135535</v>
      </c>
      <c r="E662" s="77" t="str">
        <f>IFERROR(VLOOKUP($AA662,PLAN!$B:$AA,4,0),"")</f>
        <v>2211886-D-A</v>
      </c>
      <c r="F662" s="77" t="str">
        <f>IFERROR(VLOOKUP($AA662,PLAN!$B:$AA,5,0),"")</f>
        <v>HW60SP300P10000 KR</v>
      </c>
      <c r="G662" s="77" t="str">
        <f>IFERROR(VLOOKUP($AA662,PLAN!$B:$AA,2,0),"")</f>
        <v>1001940494</v>
      </c>
      <c r="H662" s="113">
        <f>IFERROR(VLOOKUP($AA662,PLAN!$B:$AA,7,0),"")</f>
        <v>46260</v>
      </c>
      <c r="I662" s="77" t="str">
        <f>IFERROR(VLOOKUP($AA662,PLAN!$B:$AA,8,0),"")</f>
        <v>0103599627</v>
      </c>
      <c r="J662" s="77" t="str">
        <f>IFERROR(VLOOKUP($AA662,PLAN!$B:$AA,9,0),"")</f>
        <v>260807C25A</v>
      </c>
      <c r="K662" s="77">
        <f>IFERROR(VLOOKUP($AA662,PLAN!$B:$AA,10,0),"")</f>
        <v>24</v>
      </c>
      <c r="L662" s="77" t="str">
        <f>IFERROR(VLOOKUP($AA662,PLAN!$B:$AA,15,0),"")</f>
        <v>KOREA</v>
      </c>
      <c r="M662" s="77">
        <f>IFERROR(VLOOKUP($AA662,PLAN!$B:$AA,18,0),"")</f>
        <v>0</v>
      </c>
      <c r="N662" s="227">
        <f>IFERROR(VLOOKUP($AA662,PLAN!$B:$AA,19,0),"")</f>
        <v>0</v>
      </c>
      <c r="O662" s="77" t="str">
        <f>IFERROR(VLOOKUP($AA662,PLAN!$B:$AA,12,0),"")</f>
        <v>2112095-0-C</v>
      </c>
      <c r="P662" s="77">
        <f>IFERROR(VLOOKUP($AA662,PLAN!$B:$AA,11,0),"")</f>
        <v>12116060</v>
      </c>
      <c r="Q662" s="349" t="s">
        <v>3213</v>
      </c>
      <c r="R662" s="149" t="s">
        <v>3214</v>
      </c>
      <c r="S662" s="223">
        <v>1</v>
      </c>
      <c r="T662" s="131"/>
      <c r="U662" s="78">
        <f>IFERROR(VLOOKUP($AA662,PLAN!$B:$AA,21,0),"")</f>
        <v>46252</v>
      </c>
      <c r="V662" s="78" t="str">
        <f>IFERROR(VLOOKUP($AA662,PLAN!$B:$AA,22,0),"")</f>
        <v>M10</v>
      </c>
      <c r="W662" s="232"/>
      <c r="X662" s="233"/>
      <c r="Y662" s="212"/>
      <c r="Z662" s="350"/>
      <c r="AA662" s="195" t="s">
        <v>3704</v>
      </c>
      <c r="AB662" s="132">
        <f>VLOOKUP(AA662,PLAN!B:V,20,0)</f>
        <v>46252</v>
      </c>
      <c r="AC662" s="132"/>
    </row>
    <row r="663" spans="3:29" s="79" customFormat="1" ht="21.6" customHeight="1">
      <c r="C663" s="249"/>
      <c r="D663" s="77"/>
      <c r="E663" s="77"/>
      <c r="F663" s="77"/>
      <c r="G663" s="77"/>
      <c r="H663" s="113"/>
      <c r="I663" s="77"/>
      <c r="J663" s="77"/>
      <c r="K663" s="77"/>
      <c r="L663" s="77"/>
      <c r="M663" s="77"/>
      <c r="N663" s="227"/>
      <c r="O663" s="77"/>
      <c r="P663" s="77"/>
      <c r="Q663" s="349" t="s">
        <v>3797</v>
      </c>
      <c r="R663" s="149" t="s">
        <v>3798</v>
      </c>
      <c r="S663" s="223">
        <f>K662-S662</f>
        <v>23</v>
      </c>
      <c r="T663" s="131"/>
      <c r="U663" s="78"/>
      <c r="V663" s="78"/>
      <c r="W663" s="232"/>
      <c r="X663" s="233"/>
      <c r="Y663" s="212"/>
      <c r="Z663" s="350"/>
      <c r="AA663" s="195"/>
      <c r="AB663" s="132">
        <v>46252</v>
      </c>
      <c r="AC663" s="132"/>
    </row>
    <row r="664" spans="3:29" s="79" customFormat="1" ht="21.6" customHeight="1">
      <c r="C664" s="249" t="str">
        <f>AA664</f>
        <v>Aug26-33</v>
      </c>
      <c r="D664" s="77">
        <f>IFERROR(VLOOKUP($AA664,PLAN!$B:$AA,3,0),"")</f>
        <v>11135539</v>
      </c>
      <c r="E664" s="77" t="str">
        <f>IFERROR(VLOOKUP($AA664,PLAN!$B:$AA,4,0),"")</f>
        <v>2211890-D-A</v>
      </c>
      <c r="F664" s="77" t="str">
        <f>IFERROR(VLOOKUP($AA664,PLAN!$B:$AA,5,0),"")</f>
        <v>HW60SP350P10000 KR</v>
      </c>
      <c r="G664" s="77" t="str">
        <f>IFERROR(VLOOKUP($AA664,PLAN!$B:$AA,2,0),"")</f>
        <v>1001940495</v>
      </c>
      <c r="H664" s="113">
        <f>IFERROR(VLOOKUP($AA664,PLAN!$B:$AA,7,0),"")</f>
        <v>46260</v>
      </c>
      <c r="I664" s="77" t="str">
        <f>IFERROR(VLOOKUP($AA664,PLAN!$B:$AA,8,0),"")</f>
        <v>0103599628</v>
      </c>
      <c r="J664" s="77" t="str">
        <f>IFERROR(VLOOKUP($AA664,PLAN!$B:$AA,9,0),"")</f>
        <v>260807C26A</v>
      </c>
      <c r="K664" s="77">
        <f>IFERROR(VLOOKUP($AA664,PLAN!$B:$AA,10,0),"")</f>
        <v>20</v>
      </c>
      <c r="L664" s="77" t="str">
        <f>IFERROR(VLOOKUP($AA664,PLAN!$B:$AA,15,0),"")</f>
        <v>KOREA</v>
      </c>
      <c r="M664" s="77">
        <f>IFERROR(VLOOKUP($AA664,PLAN!$B:$AA,18,0),"")</f>
        <v>0</v>
      </c>
      <c r="N664" s="227">
        <f>IFERROR(VLOOKUP($AA664,PLAN!$B:$AA,19,0),"")</f>
        <v>0</v>
      </c>
      <c r="O664" s="77" t="str">
        <f>IFERROR(VLOOKUP($AA664,PLAN!$B:$AA,12,0),"")</f>
        <v>2112099-0-C</v>
      </c>
      <c r="P664" s="77">
        <f>IFERROR(VLOOKUP($AA664,PLAN!$B:$AA,11,0),"")</f>
        <v>12116064</v>
      </c>
      <c r="Q664" s="277" t="s">
        <v>3787</v>
      </c>
      <c r="R664" s="149" t="s">
        <v>3788</v>
      </c>
      <c r="S664" s="149">
        <f>K664</f>
        <v>20</v>
      </c>
      <c r="T664" s="131"/>
      <c r="U664" s="78">
        <f>IFERROR(VLOOKUP($AA664,PLAN!$B:$AA,21,0),"")</f>
        <v>46252</v>
      </c>
      <c r="V664" s="78" t="str">
        <f>IFERROR(VLOOKUP($AA664,PLAN!$B:$AA,22,0),"")</f>
        <v>M10</v>
      </c>
      <c r="W664" s="232"/>
      <c r="X664" s="233"/>
      <c r="Y664" s="212"/>
      <c r="Z664" s="350"/>
      <c r="AA664" s="195" t="s">
        <v>3705</v>
      </c>
      <c r="AB664" s="132">
        <f>VLOOKUP(AA664,PLAN!B:V,20,0)</f>
        <v>46252</v>
      </c>
      <c r="AC664" s="132"/>
    </row>
    <row r="665" spans="3:29" s="79" customFormat="1" ht="21.6" customHeight="1">
      <c r="C665" s="249" t="str">
        <f>AA665</f>
        <v>Aug26-34</v>
      </c>
      <c r="D665" s="77">
        <f>IFERROR(VLOOKUP($AA665,PLAN!$B:$AA,3,0),"")</f>
        <v>11135542</v>
      </c>
      <c r="E665" s="77" t="str">
        <f>IFERROR(VLOOKUP($AA665,PLAN!$B:$AA,4,0),"")</f>
        <v>2211893-D-A</v>
      </c>
      <c r="F665" s="77" t="str">
        <f>IFERROR(VLOOKUP($AA665,PLAN!$B:$AA,5,0),"")</f>
        <v>HW60SP370P10000 KR</v>
      </c>
      <c r="G665" s="77" t="str">
        <f>IFERROR(VLOOKUP($AA665,PLAN!$B:$AA,2,0),"")</f>
        <v>1001940496</v>
      </c>
      <c r="H665" s="113">
        <f>IFERROR(VLOOKUP($AA665,PLAN!$B:$AA,7,0),"")</f>
        <v>46260</v>
      </c>
      <c r="I665" s="77" t="str">
        <f>IFERROR(VLOOKUP($AA665,PLAN!$B:$AA,8,0),"")</f>
        <v>0103599629</v>
      </c>
      <c r="J665" s="77" t="str">
        <f>IFERROR(VLOOKUP($AA665,PLAN!$B:$AA,9,0),"")</f>
        <v>260807C27A</v>
      </c>
      <c r="K665" s="77">
        <f>IFERROR(VLOOKUP($AA665,PLAN!$B:$AA,10,0),"")</f>
        <v>2</v>
      </c>
      <c r="L665" s="77" t="str">
        <f>IFERROR(VLOOKUP($AA665,PLAN!$B:$AA,15,0),"")</f>
        <v>KOREA</v>
      </c>
      <c r="M665" s="77">
        <f>IFERROR(VLOOKUP($AA665,PLAN!$B:$AA,18,0),"")</f>
        <v>0</v>
      </c>
      <c r="N665" s="227">
        <f>IFERROR(VLOOKUP($AA665,PLAN!$B:$AA,19,0),"")</f>
        <v>0</v>
      </c>
      <c r="O665" s="77" t="str">
        <f>IFERROR(VLOOKUP($AA665,PLAN!$B:$AA,12,0),"")</f>
        <v>2112101-0-C</v>
      </c>
      <c r="P665" s="77">
        <f>IFERROR(VLOOKUP($AA665,PLAN!$B:$AA,11,0),"")</f>
        <v>12116066</v>
      </c>
      <c r="Q665" s="349" t="s">
        <v>3793</v>
      </c>
      <c r="R665" s="149" t="s">
        <v>3794</v>
      </c>
      <c r="S665" s="149">
        <f>K665</f>
        <v>2</v>
      </c>
      <c r="T665" s="131"/>
      <c r="U665" s="78">
        <f>IFERROR(VLOOKUP($AA665,PLAN!$B:$AA,21,0),"")</f>
        <v>46252</v>
      </c>
      <c r="V665" s="78" t="str">
        <f>IFERROR(VLOOKUP($AA665,PLAN!$B:$AA,22,0),"")</f>
        <v>M10</v>
      </c>
      <c r="W665" s="232"/>
      <c r="X665" s="233"/>
      <c r="Y665" s="212"/>
      <c r="Z665" s="350"/>
      <c r="AA665" s="195" t="s">
        <v>3706</v>
      </c>
      <c r="AB665" s="132">
        <f>VLOOKUP(AA665,PLAN!B:V,20,0)</f>
        <v>46252</v>
      </c>
      <c r="AC665" s="132"/>
    </row>
    <row r="666" spans="3:29" s="79" customFormat="1" ht="21.6" customHeight="1">
      <c r="C666" s="249" t="str">
        <f>AA666</f>
        <v>Aug26-35</v>
      </c>
      <c r="D666" s="77">
        <f>IFERROR(VLOOKUP($AA666,PLAN!$B:$AA,3,0),"")</f>
        <v>11135545</v>
      </c>
      <c r="E666" s="77" t="str">
        <f>IFERROR(VLOOKUP($AA666,PLAN!$B:$AA,4,0),"")</f>
        <v>2211896-D-A</v>
      </c>
      <c r="F666" s="77" t="str">
        <f>IFERROR(VLOOKUP($AA666,PLAN!$B:$AA,5,0),"")</f>
        <v>HW60SP400P10000 KR</v>
      </c>
      <c r="G666" s="77" t="str">
        <f>IFERROR(VLOOKUP($AA666,PLAN!$B:$AA,2,0),"")</f>
        <v>1001940497</v>
      </c>
      <c r="H666" s="113">
        <f>IFERROR(VLOOKUP($AA666,PLAN!$B:$AA,7,0),"")</f>
        <v>46260</v>
      </c>
      <c r="I666" s="77" t="str">
        <f>IFERROR(VLOOKUP($AA666,PLAN!$B:$AA,8,0),"")</f>
        <v>0103599630</v>
      </c>
      <c r="J666" s="77" t="str">
        <f>IFERROR(VLOOKUP($AA666,PLAN!$B:$AA,9,0),"")</f>
        <v>260807C28A</v>
      </c>
      <c r="K666" s="77">
        <f>IFERROR(VLOOKUP($AA666,PLAN!$B:$AA,10,0),"")</f>
        <v>1</v>
      </c>
      <c r="L666" s="77" t="str">
        <f>IFERROR(VLOOKUP($AA666,PLAN!$B:$AA,15,0),"")</f>
        <v>KOREA</v>
      </c>
      <c r="M666" s="77">
        <f>IFERROR(VLOOKUP($AA666,PLAN!$B:$AA,18,0),"")</f>
        <v>0</v>
      </c>
      <c r="N666" s="227">
        <f>IFERROR(VLOOKUP($AA666,PLAN!$B:$AA,19,0),"")</f>
        <v>0</v>
      </c>
      <c r="O666" s="77" t="str">
        <f>IFERROR(VLOOKUP($AA666,PLAN!$B:$AA,12,0),"")</f>
        <v>2112103-0-C</v>
      </c>
      <c r="P666" s="77">
        <f>IFERROR(VLOOKUP($AA666,PLAN!$B:$AA,11,0),"")</f>
        <v>12116068</v>
      </c>
      <c r="Q666" s="349" t="s">
        <v>3795</v>
      </c>
      <c r="R666" s="222" t="s">
        <v>3796</v>
      </c>
      <c r="S666" s="149">
        <f>K666</f>
        <v>1</v>
      </c>
      <c r="T666" s="131"/>
      <c r="U666" s="78">
        <f>IFERROR(VLOOKUP($AA666,PLAN!$B:$AA,21,0),"")</f>
        <v>46252</v>
      </c>
      <c r="V666" s="78" t="str">
        <f>IFERROR(VLOOKUP($AA666,PLAN!$B:$AA,22,0),"")</f>
        <v>M10</v>
      </c>
      <c r="W666" s="232"/>
      <c r="X666" s="233"/>
      <c r="Y666" s="212"/>
      <c r="Z666" s="350"/>
      <c r="AA666" s="195" t="s">
        <v>3707</v>
      </c>
      <c r="AB666" s="132">
        <f>VLOOKUP(AA666,PLAN!B:V,20,0)</f>
        <v>46252</v>
      </c>
      <c r="AC666" s="132"/>
    </row>
    <row r="667" spans="3:29" s="79" customFormat="1" ht="21.6" customHeight="1">
      <c r="C667" s="249" t="str">
        <f t="shared" si="41"/>
        <v>Aug27-14</v>
      </c>
      <c r="D667" s="77">
        <f>IFERROR(VLOOKUP($AA667,PLAN!$B:$AA,3,0),"")</f>
        <v>11134312</v>
      </c>
      <c r="E667" s="77" t="str">
        <f>IFERROR(VLOOKUP($AA667,PLAN!$B:$AA,4,0),"")</f>
        <v>1911351-E-A</v>
      </c>
      <c r="F667" s="77" t="str">
        <f>IFERROR(VLOOKUP($AA667,PLAN!$B:$AA,5,0),"")</f>
        <v>HJ80SP372P09000 JP</v>
      </c>
      <c r="G667" s="77" t="str">
        <f>IFERROR(VLOOKUP($AA667,PLAN!$B:$AA,2,0),"")</f>
        <v>1001941067</v>
      </c>
      <c r="H667" s="113">
        <f>IFERROR(VLOOKUP($AA667,PLAN!$B:$AA,7,0),"")</f>
        <v>46261</v>
      </c>
      <c r="I667" s="77" t="str">
        <f>IFERROR(VLOOKUP($AA667,PLAN!$B:$AA,8,0),"")</f>
        <v>0103600391</v>
      </c>
      <c r="J667" s="77" t="str">
        <f>IFERROR(VLOOKUP($AA667,PLAN!$B:$AA,9,0),"")</f>
        <v>260807C35A</v>
      </c>
      <c r="K667" s="77">
        <f>IFERROR(VLOOKUP($AA667,PLAN!$B:$AA,10,0),"")</f>
        <v>2</v>
      </c>
      <c r="L667" s="77" t="str">
        <f>IFERROR(VLOOKUP($AA667,PLAN!$B:$AA,15,0),"")</f>
        <v>JAPAN</v>
      </c>
      <c r="M667" s="77">
        <f>IFERROR(VLOOKUP($AA667,PLAN!$B:$AA,18,0),"")</f>
        <v>0</v>
      </c>
      <c r="N667" s="227">
        <f>IFERROR(VLOOKUP($AA667,PLAN!$B:$AA,19,0),"")</f>
        <v>0</v>
      </c>
      <c r="O667" s="77" t="str">
        <f>IFERROR(VLOOKUP($AA667,PLAN!$B:$AA,12,0),"")</f>
        <v>2112353-0-C</v>
      </c>
      <c r="P667" s="77">
        <f>IFERROR(VLOOKUP($AA667,PLAN!$B:$AA,11,0),"")</f>
        <v>12116320</v>
      </c>
      <c r="Q667" s="148" t="s">
        <v>3962</v>
      </c>
      <c r="R667" s="222" t="s">
        <v>3963</v>
      </c>
      <c r="S667" s="223">
        <f>K667</f>
        <v>2</v>
      </c>
      <c r="T667" s="131"/>
      <c r="U667" s="78">
        <f>IFERROR(VLOOKUP($AA667,PLAN!$B:$AA,21,0),"")</f>
        <v>46252</v>
      </c>
      <c r="V667" s="78" t="str">
        <f>IFERROR(VLOOKUP($AA667,PLAN!$B:$AA,22,0),"")</f>
        <v>M10</v>
      </c>
      <c r="W667" s="232"/>
      <c r="X667" s="233"/>
      <c r="Y667" s="212"/>
      <c r="Z667" s="350"/>
      <c r="AA667" s="195" t="s">
        <v>3931</v>
      </c>
      <c r="AB667" s="132">
        <f>VLOOKUP(AA667,PLAN!B:V,20,0)</f>
        <v>46252</v>
      </c>
      <c r="AC667" s="132"/>
    </row>
    <row r="668" spans="3:29" s="79" customFormat="1" ht="21.6" customHeight="1">
      <c r="C668" s="249" t="str">
        <f t="shared" si="41"/>
        <v>Aug27-15</v>
      </c>
      <c r="D668" s="77">
        <f>IFERROR(VLOOKUP($AA668,PLAN!$B:$AA,3,0),"")</f>
        <v>11134274</v>
      </c>
      <c r="E668" s="77" t="str">
        <f>IFERROR(VLOOKUP($AA668,PLAN!$B:$AA,4,0),"")</f>
        <v>1911189-E-A</v>
      </c>
      <c r="F668" s="77" t="str">
        <f>IFERROR(VLOOKUP($AA668,PLAN!$B:$AA,5,0),"")</f>
        <v>HJ70PB400P10000 JP</v>
      </c>
      <c r="G668" s="77" t="str">
        <f>IFERROR(VLOOKUP($AA668,PLAN!$B:$AA,2,0),"")</f>
        <v>1001941068</v>
      </c>
      <c r="H668" s="113">
        <f>IFERROR(VLOOKUP($AA668,PLAN!$B:$AA,7,0),"")</f>
        <v>46261</v>
      </c>
      <c r="I668" s="77" t="str">
        <f>IFERROR(VLOOKUP($AA668,PLAN!$B:$AA,8,0),"")</f>
        <v>0103600392</v>
      </c>
      <c r="J668" s="77" t="str">
        <f>IFERROR(VLOOKUP($AA668,PLAN!$B:$AA,9,0),"")</f>
        <v>260807C36A</v>
      </c>
      <c r="K668" s="77">
        <f>IFERROR(VLOOKUP($AA668,PLAN!$B:$AA,10,0),"")</f>
        <v>4</v>
      </c>
      <c r="L668" s="77" t="str">
        <f>IFERROR(VLOOKUP($AA668,PLAN!$B:$AA,15,0),"")</f>
        <v>JAPAN</v>
      </c>
      <c r="M668" s="77">
        <f>IFERROR(VLOOKUP($AA668,PLAN!$B:$AA,18,0),"")</f>
        <v>0</v>
      </c>
      <c r="N668" s="227">
        <f>IFERROR(VLOOKUP($AA668,PLAN!$B:$AA,19,0),"")</f>
        <v>0</v>
      </c>
      <c r="O668" s="77" t="str">
        <f>IFERROR(VLOOKUP($AA668,PLAN!$B:$AA,12,0),"")</f>
        <v>2112191-0-C</v>
      </c>
      <c r="P668" s="77">
        <f>IFERROR(VLOOKUP($AA668,PLAN!$B:$AA,11,0),"")</f>
        <v>12116158</v>
      </c>
      <c r="Q668" s="349" t="s">
        <v>3964</v>
      </c>
      <c r="R668" s="158" t="s">
        <v>3965</v>
      </c>
      <c r="S668" s="149">
        <f t="shared" si="42"/>
        <v>4</v>
      </c>
      <c r="T668" s="131"/>
      <c r="U668" s="78">
        <f>IFERROR(VLOOKUP($AA668,PLAN!$B:$AA,21,0),"")</f>
        <v>46252</v>
      </c>
      <c r="V668" s="78" t="str">
        <f>IFERROR(VLOOKUP($AA668,PLAN!$B:$AA,22,0),"")</f>
        <v>M10</v>
      </c>
      <c r="W668" s="232"/>
      <c r="X668" s="233"/>
      <c r="Y668" s="212"/>
      <c r="Z668" s="350"/>
      <c r="AA668" s="195" t="s">
        <v>3932</v>
      </c>
      <c r="AB668" s="132">
        <f>VLOOKUP(AA668,PLAN!B:V,20,0)</f>
        <v>46252</v>
      </c>
      <c r="AC668" s="132"/>
    </row>
    <row r="669" spans="3:29" s="79" customFormat="1" ht="21.6" customHeight="1">
      <c r="C669" s="249" t="str">
        <f t="shared" si="41"/>
        <v>Aug27-16</v>
      </c>
      <c r="D669" s="77">
        <f>IFERROR(VLOOKUP($AA669,PLAN!$B:$AA,3,0),"")</f>
        <v>11134258</v>
      </c>
      <c r="E669" s="77" t="str">
        <f>IFERROR(VLOOKUP($AA669,PLAN!$B:$AA,4,0),"")</f>
        <v>1911095-E-A</v>
      </c>
      <c r="F669" s="77" t="str">
        <f>IFERROR(VLOOKUP($AA669,PLAN!$B:$AA,5,0),"")</f>
        <v>HJ60SP320P10000 JP</v>
      </c>
      <c r="G669" s="77" t="str">
        <f>IFERROR(VLOOKUP($AA669,PLAN!$B:$AA,2,0),"")</f>
        <v>1001941069</v>
      </c>
      <c r="H669" s="113">
        <f>IFERROR(VLOOKUP($AA669,PLAN!$B:$AA,7,0),"")</f>
        <v>46261</v>
      </c>
      <c r="I669" s="77" t="str">
        <f>IFERROR(VLOOKUP($AA669,PLAN!$B:$AA,8,0),"")</f>
        <v>0103600394</v>
      </c>
      <c r="J669" s="77" t="str">
        <f>IFERROR(VLOOKUP($AA669,PLAN!$B:$AA,9,0),"")</f>
        <v>260807C37A</v>
      </c>
      <c r="K669" s="77">
        <f>IFERROR(VLOOKUP($AA669,PLAN!$B:$AA,10,0),"")</f>
        <v>10</v>
      </c>
      <c r="L669" s="77" t="str">
        <f>IFERROR(VLOOKUP($AA669,PLAN!$B:$AA,15,0),"")</f>
        <v>JAPAN</v>
      </c>
      <c r="M669" s="77">
        <f>IFERROR(VLOOKUP($AA669,PLAN!$B:$AA,18,0),"")</f>
        <v>0</v>
      </c>
      <c r="N669" s="227">
        <f>IFERROR(VLOOKUP($AA669,PLAN!$B:$AA,19,0),"")</f>
        <v>0</v>
      </c>
      <c r="O669" s="77" t="str">
        <f>IFERROR(VLOOKUP($AA669,PLAN!$B:$AA,12,0),"")</f>
        <v>2112097-0-C</v>
      </c>
      <c r="P669" s="77">
        <f>IFERROR(VLOOKUP($AA669,PLAN!$B:$AA,11,0),"")</f>
        <v>12116062</v>
      </c>
      <c r="Q669" s="148" t="s">
        <v>494</v>
      </c>
      <c r="R669" s="222" t="s">
        <v>495</v>
      </c>
      <c r="S669" s="149">
        <f t="shared" si="42"/>
        <v>10</v>
      </c>
      <c r="T669" s="131"/>
      <c r="U669" s="78">
        <f>IFERROR(VLOOKUP($AA669,PLAN!$B:$AA,21,0),"")</f>
        <v>46252</v>
      </c>
      <c r="V669" s="78" t="str">
        <f>IFERROR(VLOOKUP($AA669,PLAN!$B:$AA,22,0),"")</f>
        <v>M10</v>
      </c>
      <c r="W669" s="232"/>
      <c r="X669" s="233"/>
      <c r="Y669" s="212"/>
      <c r="Z669" s="350"/>
      <c r="AA669" s="195" t="s">
        <v>3933</v>
      </c>
      <c r="AB669" s="132">
        <f>VLOOKUP(AA669,PLAN!B:V,20,0)</f>
        <v>46252</v>
      </c>
      <c r="AC669" s="132"/>
    </row>
    <row r="670" spans="3:29" s="79" customFormat="1" ht="21.6" customHeight="1">
      <c r="C670" s="249" t="str">
        <f t="shared" si="41"/>
        <v>Aug27-17</v>
      </c>
      <c r="D670" s="77">
        <f>IFERROR(VLOOKUP($AA670,PLAN!$B:$AA,3,0),"")</f>
        <v>11134257</v>
      </c>
      <c r="E670" s="77" t="str">
        <f>IFERROR(VLOOKUP($AA670,PLAN!$B:$AA,4,0),"")</f>
        <v>1911094-E-A</v>
      </c>
      <c r="F670" s="77" t="str">
        <f>IFERROR(VLOOKUP($AA670,PLAN!$B:$AA,5,0),"")</f>
        <v>HJ60SP302P10020 JP</v>
      </c>
      <c r="G670" s="77" t="str">
        <f>IFERROR(VLOOKUP($AA670,PLAN!$B:$AA,2,0),"")</f>
        <v>1001941071</v>
      </c>
      <c r="H670" s="113">
        <f>IFERROR(VLOOKUP($AA670,PLAN!$B:$AA,7,0),"")</f>
        <v>46261</v>
      </c>
      <c r="I670" s="77" t="str">
        <f>IFERROR(VLOOKUP($AA670,PLAN!$B:$AA,8,0),"")</f>
        <v>0103600395</v>
      </c>
      <c r="J670" s="77" t="str">
        <f>IFERROR(VLOOKUP($AA670,PLAN!$B:$AA,9,0),"")</f>
        <v>260807C38A</v>
      </c>
      <c r="K670" s="77">
        <f>IFERROR(VLOOKUP($AA670,PLAN!$B:$AA,10,0),"")</f>
        <v>15</v>
      </c>
      <c r="L670" s="77" t="str">
        <f>IFERROR(VLOOKUP($AA670,PLAN!$B:$AA,15,0),"")</f>
        <v>JAPAN</v>
      </c>
      <c r="M670" s="77">
        <f>IFERROR(VLOOKUP($AA670,PLAN!$B:$AA,18,0),"")</f>
        <v>0</v>
      </c>
      <c r="N670" s="227">
        <f>IFERROR(VLOOKUP($AA670,PLAN!$B:$AA,19,0),"")</f>
        <v>0</v>
      </c>
      <c r="O670" s="77" t="str">
        <f>IFERROR(VLOOKUP($AA670,PLAN!$B:$AA,12,0),"")</f>
        <v>2112096-0-C</v>
      </c>
      <c r="P670" s="77">
        <f>IFERROR(VLOOKUP($AA670,PLAN!$B:$AA,11,0),"")</f>
        <v>12116061</v>
      </c>
      <c r="Q670" s="277" t="s">
        <v>3966</v>
      </c>
      <c r="R670" s="149" t="s">
        <v>3967</v>
      </c>
      <c r="S670" s="149">
        <f t="shared" si="42"/>
        <v>15</v>
      </c>
      <c r="T670" s="131"/>
      <c r="U670" s="78">
        <f>IFERROR(VLOOKUP($AA670,PLAN!$B:$AA,21,0),"")</f>
        <v>46252</v>
      </c>
      <c r="V670" s="78" t="str">
        <f>IFERROR(VLOOKUP($AA670,PLAN!$B:$AA,22,0),"")</f>
        <v>M10</v>
      </c>
      <c r="W670" s="232"/>
      <c r="X670" s="233"/>
      <c r="Y670" s="212"/>
      <c r="Z670" s="350"/>
      <c r="AA670" s="195" t="s">
        <v>3934</v>
      </c>
      <c r="AB670" s="132">
        <f>VLOOKUP(AA670,PLAN!B:V,20,0)</f>
        <v>46252</v>
      </c>
      <c r="AC670" s="132"/>
    </row>
    <row r="671" spans="3:29" s="79" customFormat="1" ht="21.6" customHeight="1">
      <c r="C671" s="249" t="str">
        <f t="shared" si="41"/>
        <v>Aug27-18</v>
      </c>
      <c r="D671" s="77">
        <f>IFERROR(VLOOKUP($AA671,PLAN!$B:$AA,3,0),"")</f>
        <v>11134250</v>
      </c>
      <c r="E671" s="77" t="str">
        <f>IFERROR(VLOOKUP($AA671,PLAN!$B:$AA,4,0),"")</f>
        <v>1911067-E-A</v>
      </c>
      <c r="F671" s="77" t="str">
        <f>IFERROR(VLOOKUP($AA671,PLAN!$B:$AA,5,0),"")</f>
        <v>HJ60PB300P10000 JP</v>
      </c>
      <c r="G671" s="77" t="str">
        <f>IFERROR(VLOOKUP($AA671,PLAN!$B:$AA,2,0),"")</f>
        <v>1001941072</v>
      </c>
      <c r="H671" s="113">
        <f>IFERROR(VLOOKUP($AA671,PLAN!$B:$AA,7,0),"")</f>
        <v>46261</v>
      </c>
      <c r="I671" s="77" t="str">
        <f>IFERROR(VLOOKUP($AA671,PLAN!$B:$AA,8,0),"")</f>
        <v>0103600396</v>
      </c>
      <c r="J671" s="77" t="str">
        <f>IFERROR(VLOOKUP($AA671,PLAN!$B:$AA,9,0),"")</f>
        <v>260807C39A</v>
      </c>
      <c r="K671" s="77">
        <f>IFERROR(VLOOKUP($AA671,PLAN!$B:$AA,10,0),"")</f>
        <v>20</v>
      </c>
      <c r="L671" s="77" t="str">
        <f>IFERROR(VLOOKUP($AA671,PLAN!$B:$AA,15,0),"")</f>
        <v>JAPAN</v>
      </c>
      <c r="M671" s="77">
        <f>IFERROR(VLOOKUP($AA671,PLAN!$B:$AA,18,0),"")</f>
        <v>0</v>
      </c>
      <c r="N671" s="227">
        <f>IFERROR(VLOOKUP($AA671,PLAN!$B:$AA,19,0),"")</f>
        <v>0</v>
      </c>
      <c r="O671" s="77" t="str">
        <f>IFERROR(VLOOKUP($AA671,PLAN!$B:$AA,12,0),"")</f>
        <v>2112069-0-C</v>
      </c>
      <c r="P671" s="77">
        <f>IFERROR(VLOOKUP($AA671,PLAN!$B:$AA,11,0),"")</f>
        <v>12116034</v>
      </c>
      <c r="Q671" s="349" t="s">
        <v>3968</v>
      </c>
      <c r="R671" s="158" t="s">
        <v>3969</v>
      </c>
      <c r="S671" s="149">
        <f t="shared" si="42"/>
        <v>20</v>
      </c>
      <c r="T671" s="131"/>
      <c r="U671" s="78">
        <f>IFERROR(VLOOKUP($AA671,PLAN!$B:$AA,21,0),"")</f>
        <v>46252</v>
      </c>
      <c r="V671" s="78" t="str">
        <f>IFERROR(VLOOKUP($AA671,PLAN!$B:$AA,22,0),"")</f>
        <v>M10</v>
      </c>
      <c r="W671" s="232"/>
      <c r="X671" s="233"/>
      <c r="Y671" s="212"/>
      <c r="Z671" s="350"/>
      <c r="AA671" s="195" t="s">
        <v>3935</v>
      </c>
      <c r="AB671" s="132">
        <f>VLOOKUP(AA671,PLAN!B:V,20,0)</f>
        <v>46252</v>
      </c>
      <c r="AC671" s="132"/>
    </row>
    <row r="672" spans="3:29" s="79" customFormat="1" ht="21.6" customHeight="1">
      <c r="C672" s="249" t="str">
        <f t="shared" si="41"/>
        <v>Aug27-19</v>
      </c>
      <c r="D672" s="77">
        <f>IFERROR(VLOOKUP($AA672,PLAN!$B:$AA,3,0),"")</f>
        <v>11134265</v>
      </c>
      <c r="E672" s="77" t="str">
        <f>IFERROR(VLOOKUP($AA672,PLAN!$B:$AA,4,0),"")</f>
        <v>1911102-E-A</v>
      </c>
      <c r="F672" s="77" t="str">
        <f>IFERROR(VLOOKUP($AA672,PLAN!$B:$AA,5,0),"")</f>
        <v>HJ60SP402P10020 JP</v>
      </c>
      <c r="G672" s="77" t="str">
        <f>IFERROR(VLOOKUP($AA672,PLAN!$B:$AA,2,0),"")</f>
        <v>1001941073</v>
      </c>
      <c r="H672" s="113">
        <f>IFERROR(VLOOKUP($AA672,PLAN!$B:$AA,7,0),"")</f>
        <v>46261</v>
      </c>
      <c r="I672" s="77" t="str">
        <f>IFERROR(VLOOKUP($AA672,PLAN!$B:$AA,8,0),"")</f>
        <v>0103600397</v>
      </c>
      <c r="J672" s="77" t="str">
        <f>IFERROR(VLOOKUP($AA672,PLAN!$B:$AA,9,0),"")</f>
        <v>260807C40A</v>
      </c>
      <c r="K672" s="77">
        <f>IFERROR(VLOOKUP($AA672,PLAN!$B:$AA,10,0),"")</f>
        <v>22</v>
      </c>
      <c r="L672" s="77" t="str">
        <f>IFERROR(VLOOKUP($AA672,PLAN!$B:$AA,15,0),"")</f>
        <v>JAPAN</v>
      </c>
      <c r="M672" s="77">
        <f>IFERROR(VLOOKUP($AA672,PLAN!$B:$AA,18,0),"")</f>
        <v>0</v>
      </c>
      <c r="N672" s="227">
        <f>IFERROR(VLOOKUP($AA672,PLAN!$B:$AA,19,0),"")</f>
        <v>0</v>
      </c>
      <c r="O672" s="77" t="str">
        <f>IFERROR(VLOOKUP($AA672,PLAN!$B:$AA,12,0),"")</f>
        <v>2112104-0-C</v>
      </c>
      <c r="P672" s="77">
        <f>IFERROR(VLOOKUP($AA672,PLAN!$B:$AA,11,0),"")</f>
        <v>12116069</v>
      </c>
      <c r="Q672" s="148" t="s">
        <v>3970</v>
      </c>
      <c r="R672" s="222" t="s">
        <v>3971</v>
      </c>
      <c r="S672" s="149">
        <f t="shared" si="42"/>
        <v>22</v>
      </c>
      <c r="T672" s="131"/>
      <c r="U672" s="78">
        <f>IFERROR(VLOOKUP($AA672,PLAN!$B:$AA,21,0),"")</f>
        <v>46252</v>
      </c>
      <c r="V672" s="78" t="str">
        <f>IFERROR(VLOOKUP($AA672,PLAN!$B:$AA,22,0),"")</f>
        <v>M10</v>
      </c>
      <c r="W672" s="232"/>
      <c r="X672" s="233"/>
      <c r="Y672" s="212"/>
      <c r="Z672" s="350"/>
      <c r="AA672" s="195" t="s">
        <v>3936</v>
      </c>
      <c r="AB672" s="132">
        <f>VLOOKUP(AA672,PLAN!B:V,20,0)</f>
        <v>46252</v>
      </c>
      <c r="AC672" s="132"/>
    </row>
    <row r="673" spans="3:29" s="79" customFormat="1" ht="21.6" customHeight="1">
      <c r="C673" s="249" t="str">
        <f t="shared" si="41"/>
        <v>Aug27-20</v>
      </c>
      <c r="D673" s="77">
        <f>IFERROR(VLOOKUP($AA673,PLAN!$B:$AA,3,0),"")</f>
        <v>11134250</v>
      </c>
      <c r="E673" s="77" t="str">
        <f>IFERROR(VLOOKUP($AA673,PLAN!$B:$AA,4,0),"")</f>
        <v>1911067-E-A</v>
      </c>
      <c r="F673" s="77" t="str">
        <f>IFERROR(VLOOKUP($AA673,PLAN!$B:$AA,5,0),"")</f>
        <v>HJ60PB300P10000 JP</v>
      </c>
      <c r="G673" s="77" t="str">
        <f>IFERROR(VLOOKUP($AA673,PLAN!$B:$AA,2,0),"")</f>
        <v>1001941128</v>
      </c>
      <c r="H673" s="113">
        <f>IFERROR(VLOOKUP($AA673,PLAN!$B:$AA,7,0),"")</f>
        <v>46261</v>
      </c>
      <c r="I673" s="77" t="str">
        <f>IFERROR(VLOOKUP($AA673,PLAN!$B:$AA,8,0),"")</f>
        <v>0103600442</v>
      </c>
      <c r="J673" s="77" t="str">
        <f>IFERROR(VLOOKUP($AA673,PLAN!$B:$AA,9,0),"")</f>
        <v>260807C41A</v>
      </c>
      <c r="K673" s="77">
        <f>IFERROR(VLOOKUP($AA673,PLAN!$B:$AA,10,0),"")</f>
        <v>2</v>
      </c>
      <c r="L673" s="77" t="str">
        <f>IFERROR(VLOOKUP($AA673,PLAN!$B:$AA,15,0),"")</f>
        <v>JAPAN</v>
      </c>
      <c r="M673" s="77">
        <f>IFERROR(VLOOKUP($AA673,PLAN!$B:$AA,18,0),"")</f>
        <v>0</v>
      </c>
      <c r="N673" s="227">
        <f>IFERROR(VLOOKUP($AA673,PLAN!$B:$AA,19,0),"")</f>
        <v>0</v>
      </c>
      <c r="O673" s="77" t="str">
        <f>IFERROR(VLOOKUP($AA673,PLAN!$B:$AA,12,0),"")</f>
        <v>2112069-0-C</v>
      </c>
      <c r="P673" s="77">
        <f>IFERROR(VLOOKUP($AA673,PLAN!$B:$AA,11,0),"")</f>
        <v>12116034</v>
      </c>
      <c r="Q673" s="349" t="s">
        <v>3968</v>
      </c>
      <c r="R673" s="158" t="s">
        <v>3969</v>
      </c>
      <c r="S673" s="149">
        <f t="shared" si="42"/>
        <v>2</v>
      </c>
      <c r="T673" s="131"/>
      <c r="U673" s="78">
        <f>IFERROR(VLOOKUP($AA673,PLAN!$B:$AA,21,0),"")</f>
        <v>46252</v>
      </c>
      <c r="V673" s="78" t="str">
        <f>IFERROR(VLOOKUP($AA673,PLAN!$B:$AA,22,0),"")</f>
        <v>M10</v>
      </c>
      <c r="W673" s="232"/>
      <c r="X673" s="233"/>
      <c r="Y673" s="212"/>
      <c r="Z673" s="350"/>
      <c r="AA673" s="195" t="s">
        <v>3937</v>
      </c>
      <c r="AB673" s="132">
        <f>VLOOKUP(AA673,PLAN!B:V,20,0)</f>
        <v>46252</v>
      </c>
      <c r="AC673" s="132"/>
    </row>
    <row r="674" spans="3:29" s="79" customFormat="1" ht="21.6" customHeight="1">
      <c r="C674" s="249" t="str">
        <f t="shared" si="41"/>
        <v>Aug27-21</v>
      </c>
      <c r="D674" s="77">
        <f>IFERROR(VLOOKUP($AA674,PLAN!$B:$AA,3,0),"")</f>
        <v>11134279</v>
      </c>
      <c r="E674" s="77" t="str">
        <f>IFERROR(VLOOKUP($AA674,PLAN!$B:$AA,4,0),"")</f>
        <v>1911222-E-A</v>
      </c>
      <c r="F674" s="77" t="str">
        <f>IFERROR(VLOOKUP($AA674,PLAN!$B:$AA,5,0),"")</f>
        <v>HJ70SP302P10020 JP</v>
      </c>
      <c r="G674" s="77" t="str">
        <f>IFERROR(VLOOKUP($AA674,PLAN!$B:$AA,2,0),"")</f>
        <v>1001941075</v>
      </c>
      <c r="H674" s="113">
        <f>IFERROR(VLOOKUP($AA674,PLAN!$B:$AA,7,0),"")</f>
        <v>46261</v>
      </c>
      <c r="I674" s="77" t="str">
        <f>IFERROR(VLOOKUP($AA674,PLAN!$B:$AA,8,0),"")</f>
        <v>0103600399</v>
      </c>
      <c r="J674" s="77" t="str">
        <f>IFERROR(VLOOKUP($AA674,PLAN!$B:$AA,9,0),"")</f>
        <v>260807C42A</v>
      </c>
      <c r="K674" s="77">
        <f>IFERROR(VLOOKUP($AA674,PLAN!$B:$AA,10,0),"")</f>
        <v>26</v>
      </c>
      <c r="L674" s="77" t="str">
        <f>IFERROR(VLOOKUP($AA674,PLAN!$B:$AA,15,0),"")</f>
        <v>JAPAN</v>
      </c>
      <c r="M674" s="77">
        <f>IFERROR(VLOOKUP($AA674,PLAN!$B:$AA,18,0),"")</f>
        <v>0</v>
      </c>
      <c r="N674" s="227">
        <f>IFERROR(VLOOKUP($AA674,PLAN!$B:$AA,19,0),"")</f>
        <v>0</v>
      </c>
      <c r="O674" s="77" t="str">
        <f>IFERROR(VLOOKUP($AA674,PLAN!$B:$AA,12,0),"")</f>
        <v>2112224-0-C</v>
      </c>
      <c r="P674" s="77">
        <f>IFERROR(VLOOKUP($AA674,PLAN!$B:$AA,11,0),"")</f>
        <v>12116191</v>
      </c>
      <c r="Q674" s="349" t="s">
        <v>3972</v>
      </c>
      <c r="R674" s="149" t="s">
        <v>3973</v>
      </c>
      <c r="S674" s="149">
        <f t="shared" si="42"/>
        <v>26</v>
      </c>
      <c r="T674" s="131"/>
      <c r="U674" s="78">
        <f>IFERROR(VLOOKUP($AA674,PLAN!$B:$AA,21,0),"")</f>
        <v>46252</v>
      </c>
      <c r="V674" s="78" t="str">
        <f>IFERROR(VLOOKUP($AA674,PLAN!$B:$AA,22,0),"")</f>
        <v>M10</v>
      </c>
      <c r="W674" s="232"/>
      <c r="X674" s="233"/>
      <c r="Y674" s="212"/>
      <c r="Z674" s="350"/>
      <c r="AA674" s="195" t="s">
        <v>3938</v>
      </c>
      <c r="AB674" s="132">
        <f>VLOOKUP(AA674,PLAN!B:V,20,0)</f>
        <v>46252</v>
      </c>
      <c r="AC674" s="132"/>
    </row>
    <row r="675" spans="3:29" s="79" customFormat="1" ht="21.6" customHeight="1">
      <c r="C675" s="249" t="str">
        <f t="shared" si="41"/>
        <v>Aug27-22</v>
      </c>
      <c r="D675" s="77">
        <f>IFERROR(VLOOKUP($AA675,PLAN!$B:$AA,3,0),"")</f>
        <v>11134264</v>
      </c>
      <c r="E675" s="77" t="str">
        <f>IFERROR(VLOOKUP($AA675,PLAN!$B:$AA,4,0),"")</f>
        <v>1911101-F-A</v>
      </c>
      <c r="F675" s="77" t="str">
        <f>IFERROR(VLOOKUP($AA675,PLAN!$B:$AA,5,0),"")</f>
        <v>HJ60SP400P10000 JP</v>
      </c>
      <c r="G675" s="77" t="str">
        <f>IFERROR(VLOOKUP($AA675,PLAN!$B:$AA,2,0),"")</f>
        <v>1001941076</v>
      </c>
      <c r="H675" s="113">
        <f>IFERROR(VLOOKUP($AA675,PLAN!$B:$AA,7,0),"")</f>
        <v>46261</v>
      </c>
      <c r="I675" s="77" t="str">
        <f>IFERROR(VLOOKUP($AA675,PLAN!$B:$AA,8,0),"")</f>
        <v>0103600400</v>
      </c>
      <c r="J675" s="77" t="str">
        <f>IFERROR(VLOOKUP($AA675,PLAN!$B:$AA,9,0),"")</f>
        <v>260807C43A</v>
      </c>
      <c r="K675" s="77">
        <f>IFERROR(VLOOKUP($AA675,PLAN!$B:$AA,10,0),"")</f>
        <v>47</v>
      </c>
      <c r="L675" s="77" t="str">
        <f>IFERROR(VLOOKUP($AA675,PLAN!$B:$AA,15,0),"")</f>
        <v>JAPAN</v>
      </c>
      <c r="M675" s="77">
        <f>IFERROR(VLOOKUP($AA675,PLAN!$B:$AA,18,0),"")</f>
        <v>0</v>
      </c>
      <c r="N675" s="227">
        <f>IFERROR(VLOOKUP($AA675,PLAN!$B:$AA,19,0),"")</f>
        <v>0</v>
      </c>
      <c r="O675" s="77" t="str">
        <f>IFERROR(VLOOKUP($AA675,PLAN!$B:$AA,12,0),"")</f>
        <v>2112103-0-C</v>
      </c>
      <c r="P675" s="77">
        <f>IFERROR(VLOOKUP($AA675,PLAN!$B:$AA,11,0),"")</f>
        <v>12116068</v>
      </c>
      <c r="Q675" s="349" t="s">
        <v>3795</v>
      </c>
      <c r="R675" s="222" t="s">
        <v>3796</v>
      </c>
      <c r="S675" s="149">
        <f t="shared" si="42"/>
        <v>47</v>
      </c>
      <c r="T675" s="131"/>
      <c r="U675" s="78">
        <f>IFERROR(VLOOKUP($AA675,PLAN!$B:$AA,21,0),"")</f>
        <v>46252</v>
      </c>
      <c r="V675" s="78" t="str">
        <f>IFERROR(VLOOKUP($AA675,PLAN!$B:$AA,22,0),"")</f>
        <v>M10</v>
      </c>
      <c r="W675" s="232"/>
      <c r="X675" s="233"/>
      <c r="Y675" s="212"/>
      <c r="Z675" s="350"/>
      <c r="AA675" s="195" t="s">
        <v>3939</v>
      </c>
      <c r="AB675" s="132">
        <f>VLOOKUP(AA675,PLAN!B:V,20,0)</f>
        <v>46252</v>
      </c>
      <c r="AC675" s="132"/>
    </row>
    <row r="676" spans="3:29" s="79" customFormat="1" ht="21.6" customHeight="1">
      <c r="C676" s="249" t="str">
        <f t="shared" si="41"/>
        <v>Aug27-23</v>
      </c>
      <c r="D676" s="77">
        <f>IFERROR(VLOOKUP($AA676,PLAN!$B:$AA,3,0),"")</f>
        <v>11134263</v>
      </c>
      <c r="E676" s="77" t="str">
        <f>IFERROR(VLOOKUP($AA676,PLAN!$B:$AA,4,0),"")</f>
        <v>1911100-F-A</v>
      </c>
      <c r="F676" s="77" t="str">
        <f>IFERROR(VLOOKUP($AA676,PLAN!$B:$AA,5,0),"")</f>
        <v>HJ60SP372P10020 JP</v>
      </c>
      <c r="G676" s="77" t="str">
        <f>IFERROR(VLOOKUP($AA676,PLAN!$B:$AA,2,0),"")</f>
        <v>1001941077</v>
      </c>
      <c r="H676" s="113">
        <f>IFERROR(VLOOKUP($AA676,PLAN!$B:$AA,7,0),"")</f>
        <v>46261</v>
      </c>
      <c r="I676" s="77" t="str">
        <f>IFERROR(VLOOKUP($AA676,PLAN!$B:$AA,8,0),"")</f>
        <v>0103600401</v>
      </c>
      <c r="J676" s="77" t="str">
        <f>IFERROR(VLOOKUP($AA676,PLAN!$B:$AA,9,0),"")</f>
        <v>260807C44A</v>
      </c>
      <c r="K676" s="77">
        <f>IFERROR(VLOOKUP($AA676,PLAN!$B:$AA,10,0),"")</f>
        <v>57</v>
      </c>
      <c r="L676" s="77" t="str">
        <f>IFERROR(VLOOKUP($AA676,PLAN!$B:$AA,15,0),"")</f>
        <v>JAPAN</v>
      </c>
      <c r="M676" s="77">
        <f>IFERROR(VLOOKUP($AA676,PLAN!$B:$AA,18,0),"")</f>
        <v>0</v>
      </c>
      <c r="N676" s="227">
        <f>IFERROR(VLOOKUP($AA676,PLAN!$B:$AA,19,0),"")</f>
        <v>0</v>
      </c>
      <c r="O676" s="77" t="str">
        <f>IFERROR(VLOOKUP($AA676,PLAN!$B:$AA,12,0),"")</f>
        <v>2112102-0-C</v>
      </c>
      <c r="P676" s="77">
        <f>IFERROR(VLOOKUP($AA676,PLAN!$B:$AA,11,0),"")</f>
        <v>12116067</v>
      </c>
      <c r="Q676" s="349" t="s">
        <v>3974</v>
      </c>
      <c r="R676" s="158" t="s">
        <v>3975</v>
      </c>
      <c r="S676" s="149">
        <f t="shared" si="42"/>
        <v>57</v>
      </c>
      <c r="T676" s="131"/>
      <c r="U676" s="78">
        <f>IFERROR(VLOOKUP($AA676,PLAN!$B:$AA,21,0),"")</f>
        <v>46252</v>
      </c>
      <c r="V676" s="78" t="str">
        <f>IFERROR(VLOOKUP($AA676,PLAN!$B:$AA,22,0),"")</f>
        <v>M10</v>
      </c>
      <c r="W676" s="232"/>
      <c r="X676" s="233"/>
      <c r="Y676" s="212"/>
      <c r="Z676" s="350"/>
      <c r="AA676" s="195" t="s">
        <v>3940</v>
      </c>
      <c r="AB676" s="132">
        <f>VLOOKUP(AA676,PLAN!B:V,20,0)</f>
        <v>46252</v>
      </c>
      <c r="AC676" s="132"/>
    </row>
    <row r="677" spans="3:29" s="79" customFormat="1" ht="21.6" customHeight="1">
      <c r="C677" s="249" t="str">
        <f t="shared" si="41"/>
        <v>Aug27-24</v>
      </c>
      <c r="D677" s="77">
        <f>IFERROR(VLOOKUP($AA677,PLAN!$B:$AA,3,0),"")</f>
        <v>11134281</v>
      </c>
      <c r="E677" s="77" t="str">
        <f>IFERROR(VLOOKUP($AA677,PLAN!$B:$AA,4,0),"")</f>
        <v>1911224-F-A</v>
      </c>
      <c r="F677" s="77" t="str">
        <f>IFERROR(VLOOKUP($AA677,PLAN!$B:$AA,5,0),"")</f>
        <v>HJ70SP350P10000 JP</v>
      </c>
      <c r="G677" s="77" t="str">
        <f>IFERROR(VLOOKUP($AA677,PLAN!$B:$AA,2,0),"")</f>
        <v>1001941078</v>
      </c>
      <c r="H677" s="113">
        <f>IFERROR(VLOOKUP($AA677,PLAN!$B:$AA,7,0),"")</f>
        <v>46261</v>
      </c>
      <c r="I677" s="77" t="str">
        <f>IFERROR(VLOOKUP($AA677,PLAN!$B:$AA,8,0),"")</f>
        <v>0103600402</v>
      </c>
      <c r="J677" s="77" t="str">
        <f>IFERROR(VLOOKUP($AA677,PLAN!$B:$AA,9,0),"")</f>
        <v>260807C45A</v>
      </c>
      <c r="K677" s="77">
        <f>IFERROR(VLOOKUP($AA677,PLAN!$B:$AA,10,0),"")</f>
        <v>334</v>
      </c>
      <c r="L677" s="77" t="str">
        <f>IFERROR(VLOOKUP($AA677,PLAN!$B:$AA,15,0),"")</f>
        <v>JAPAN</v>
      </c>
      <c r="M677" s="77">
        <f>IFERROR(VLOOKUP($AA677,PLAN!$B:$AA,18,0),"")</f>
        <v>0</v>
      </c>
      <c r="N677" s="227">
        <f>IFERROR(VLOOKUP($AA677,PLAN!$B:$AA,19,0),"")</f>
        <v>0</v>
      </c>
      <c r="O677" s="77" t="str">
        <f>IFERROR(VLOOKUP($AA677,PLAN!$B:$AA,12,0),"")</f>
        <v>2112226-0-C</v>
      </c>
      <c r="P677" s="77">
        <f>IFERROR(VLOOKUP($AA677,PLAN!$B:$AA,11,0),"")</f>
        <v>12116193</v>
      </c>
      <c r="Q677" s="349" t="s">
        <v>3801</v>
      </c>
      <c r="R677" s="149" t="s">
        <v>3802</v>
      </c>
      <c r="S677" s="223">
        <v>31</v>
      </c>
      <c r="T677" s="131"/>
      <c r="U677" s="78">
        <f>IFERROR(VLOOKUP($AA677,PLAN!$B:$AA,21,0),"")</f>
        <v>46252</v>
      </c>
      <c r="V677" s="78" t="str">
        <f>IFERROR(VLOOKUP($AA677,PLAN!$B:$AA,22,0),"")</f>
        <v>M10</v>
      </c>
      <c r="W677" s="232"/>
      <c r="X677" s="233"/>
      <c r="Y677" s="212"/>
      <c r="Z677" s="350"/>
      <c r="AA677" s="195" t="s">
        <v>3941</v>
      </c>
      <c r="AB677" s="132">
        <f>VLOOKUP(AA677,PLAN!B:V,20,0)</f>
        <v>46252</v>
      </c>
      <c r="AC677" s="132"/>
    </row>
    <row r="678" spans="3:29" s="79" customFormat="1" ht="21.6" customHeight="1">
      <c r="C678" s="249"/>
      <c r="D678" s="77"/>
      <c r="E678" s="77"/>
      <c r="F678" s="77"/>
      <c r="G678" s="77"/>
      <c r="H678" s="113"/>
      <c r="I678" s="77"/>
      <c r="J678" s="77"/>
      <c r="K678" s="77"/>
      <c r="L678" s="77"/>
      <c r="M678" s="77"/>
      <c r="N678" s="227"/>
      <c r="O678" s="77"/>
      <c r="P678" s="77"/>
      <c r="Q678" s="349" t="s">
        <v>3976</v>
      </c>
      <c r="R678" s="149" t="s">
        <v>3977</v>
      </c>
      <c r="S678" s="223">
        <v>100</v>
      </c>
      <c r="T678" s="131"/>
      <c r="U678" s="78"/>
      <c r="V678" s="78"/>
      <c r="W678" s="232"/>
      <c r="X678" s="233"/>
      <c r="Y678" s="212"/>
      <c r="Z678" s="350"/>
      <c r="AA678" s="195"/>
      <c r="AB678" s="132">
        <v>46252</v>
      </c>
      <c r="AC678" s="132"/>
    </row>
    <row r="679" spans="3:29" s="79" customFormat="1" ht="21.6" customHeight="1">
      <c r="C679" s="249"/>
      <c r="D679" s="77"/>
      <c r="E679" s="77"/>
      <c r="F679" s="77"/>
      <c r="G679" s="77"/>
      <c r="H679" s="113"/>
      <c r="I679" s="77"/>
      <c r="J679" s="77"/>
      <c r="K679" s="77"/>
      <c r="L679" s="77"/>
      <c r="M679" s="77"/>
      <c r="N679" s="227"/>
      <c r="O679" s="77"/>
      <c r="P679" s="77"/>
      <c r="Q679" s="349" t="s">
        <v>3978</v>
      </c>
      <c r="R679" s="149" t="s">
        <v>3979</v>
      </c>
      <c r="S679" s="223">
        <v>110</v>
      </c>
      <c r="T679" s="131"/>
      <c r="U679" s="78"/>
      <c r="V679" s="78"/>
      <c r="W679" s="232"/>
      <c r="X679" s="233"/>
      <c r="Y679" s="212"/>
      <c r="Z679" s="350"/>
      <c r="AA679" s="195"/>
      <c r="AB679" s="132">
        <v>46252</v>
      </c>
      <c r="AC679" s="132"/>
    </row>
    <row r="680" spans="3:29" s="79" customFormat="1" ht="21.6" customHeight="1">
      <c r="C680" s="249"/>
      <c r="D680" s="77"/>
      <c r="E680" s="77"/>
      <c r="F680" s="77"/>
      <c r="G680" s="77"/>
      <c r="H680" s="113"/>
      <c r="I680" s="77"/>
      <c r="J680" s="77"/>
      <c r="K680" s="77"/>
      <c r="L680" s="77"/>
      <c r="M680" s="77"/>
      <c r="N680" s="227"/>
      <c r="O680" s="77"/>
      <c r="P680" s="77"/>
      <c r="Q680" s="349" t="s">
        <v>3980</v>
      </c>
      <c r="R680" s="149" t="s">
        <v>3981</v>
      </c>
      <c r="S680" s="223">
        <f>K677-S677-S678-S679</f>
        <v>93</v>
      </c>
      <c r="T680" s="131"/>
      <c r="U680" s="78"/>
      <c r="V680" s="78"/>
      <c r="W680" s="232"/>
      <c r="X680" s="233"/>
      <c r="Y680" s="212"/>
      <c r="Z680" s="350"/>
      <c r="AA680" s="195"/>
      <c r="AB680" s="132">
        <v>46252</v>
      </c>
      <c r="AC680" s="132"/>
    </row>
    <row r="681" spans="3:29" s="79" customFormat="1" ht="21.6" customHeight="1">
      <c r="C681" s="249" t="str">
        <f t="shared" si="41"/>
        <v>Aug27-25</v>
      </c>
      <c r="D681" s="77">
        <f>IFERROR(VLOOKUP($AA681,PLAN!$B:$AA,3,0),"")</f>
        <v>11135542</v>
      </c>
      <c r="E681" s="77" t="str">
        <f>IFERROR(VLOOKUP($AA681,PLAN!$B:$AA,4,0),"")</f>
        <v>2211893-D-A</v>
      </c>
      <c r="F681" s="77" t="str">
        <f>IFERROR(VLOOKUP($AA681,PLAN!$B:$AA,5,0),"")</f>
        <v>HW60SP370P10000 KR</v>
      </c>
      <c r="G681" s="77" t="str">
        <f>IFERROR(VLOOKUP($AA681,PLAN!$B:$AA,2,0),"")</f>
        <v>1001941079</v>
      </c>
      <c r="H681" s="113">
        <f>IFERROR(VLOOKUP($AA681,PLAN!$B:$AA,7,0),"")</f>
        <v>46261</v>
      </c>
      <c r="I681" s="77" t="str">
        <f>IFERROR(VLOOKUP($AA681,PLAN!$B:$AA,8,0),"")</f>
        <v>0103600403</v>
      </c>
      <c r="J681" s="77" t="str">
        <f>IFERROR(VLOOKUP($AA681,PLAN!$B:$AA,9,0),"")</f>
        <v>260807C46A</v>
      </c>
      <c r="K681" s="77">
        <f>IFERROR(VLOOKUP($AA681,PLAN!$B:$AA,10,0),"")</f>
        <v>12</v>
      </c>
      <c r="L681" s="77" t="str">
        <f>IFERROR(VLOOKUP($AA681,PLAN!$B:$AA,15,0),"")</f>
        <v>KOREA</v>
      </c>
      <c r="M681" s="77">
        <f>IFERROR(VLOOKUP($AA681,PLAN!$B:$AA,18,0),"")</f>
        <v>0</v>
      </c>
      <c r="N681" s="227">
        <f>IFERROR(VLOOKUP($AA681,PLAN!$B:$AA,19,0),"")</f>
        <v>0</v>
      </c>
      <c r="O681" s="77" t="str">
        <f>IFERROR(VLOOKUP($AA681,PLAN!$B:$AA,12,0),"")</f>
        <v>2112101-0-C</v>
      </c>
      <c r="P681" s="77">
        <f>IFERROR(VLOOKUP($AA681,PLAN!$B:$AA,11,0),"")</f>
        <v>12116066</v>
      </c>
      <c r="Q681" s="349" t="s">
        <v>3793</v>
      </c>
      <c r="R681" s="149" t="s">
        <v>3794</v>
      </c>
      <c r="S681" s="149">
        <f t="shared" si="42"/>
        <v>12</v>
      </c>
      <c r="T681" s="131"/>
      <c r="U681" s="78">
        <f>IFERROR(VLOOKUP($AA681,PLAN!$B:$AA,21,0),"")</f>
        <v>46252</v>
      </c>
      <c r="V681" s="78" t="str">
        <f>IFERROR(VLOOKUP($AA681,PLAN!$B:$AA,22,0),"")</f>
        <v>M10</v>
      </c>
      <c r="W681" s="232"/>
      <c r="X681" s="233"/>
      <c r="Y681" s="212"/>
      <c r="Z681" s="350"/>
      <c r="AA681" s="195" t="s">
        <v>3942</v>
      </c>
      <c r="AB681" s="132">
        <f>VLOOKUP(AA681,PLAN!B:V,20,0)</f>
        <v>46252</v>
      </c>
      <c r="AC681" s="132"/>
    </row>
    <row r="682" spans="3:29" s="79" customFormat="1" ht="21.6" customHeight="1">
      <c r="C682" s="249" t="str">
        <f t="shared" si="41"/>
        <v>Aug27-26</v>
      </c>
      <c r="D682" s="77">
        <f>IFERROR(VLOOKUP($AA682,PLAN!$B:$AA,3,0),"")</f>
        <v>11135539</v>
      </c>
      <c r="E682" s="77" t="str">
        <f>IFERROR(VLOOKUP($AA682,PLAN!$B:$AA,4,0),"")</f>
        <v>2211890-D-A</v>
      </c>
      <c r="F682" s="77" t="str">
        <f>IFERROR(VLOOKUP($AA682,PLAN!$B:$AA,5,0),"")</f>
        <v>HW60SP350P10000 KR</v>
      </c>
      <c r="G682" s="77" t="str">
        <f>IFERROR(VLOOKUP($AA682,PLAN!$B:$AA,2,0),"")</f>
        <v>1001941080</v>
      </c>
      <c r="H682" s="113">
        <f>IFERROR(VLOOKUP($AA682,PLAN!$B:$AA,7,0),"")</f>
        <v>46261</v>
      </c>
      <c r="I682" s="77" t="str">
        <f>IFERROR(VLOOKUP($AA682,PLAN!$B:$AA,8,0),"")</f>
        <v>0103600404</v>
      </c>
      <c r="J682" s="77" t="str">
        <f>IFERROR(VLOOKUP($AA682,PLAN!$B:$AA,9,0),"")</f>
        <v>260807C47A</v>
      </c>
      <c r="K682" s="77">
        <f>IFERROR(VLOOKUP($AA682,PLAN!$B:$AA,10,0),"")</f>
        <v>13</v>
      </c>
      <c r="L682" s="77" t="str">
        <f>IFERROR(VLOOKUP($AA682,PLAN!$B:$AA,15,0),"")</f>
        <v>KOREA</v>
      </c>
      <c r="M682" s="77">
        <f>IFERROR(VLOOKUP($AA682,PLAN!$B:$AA,18,0),"")</f>
        <v>0</v>
      </c>
      <c r="N682" s="227">
        <f>IFERROR(VLOOKUP($AA682,PLAN!$B:$AA,19,0),"")</f>
        <v>0</v>
      </c>
      <c r="O682" s="77" t="str">
        <f>IFERROR(VLOOKUP($AA682,PLAN!$B:$AA,12,0),"")</f>
        <v>2112099-0-C</v>
      </c>
      <c r="P682" s="77">
        <f>IFERROR(VLOOKUP($AA682,PLAN!$B:$AA,11,0),"")</f>
        <v>12116064</v>
      </c>
      <c r="Q682" s="277" t="s">
        <v>3787</v>
      </c>
      <c r="R682" s="149" t="s">
        <v>3788</v>
      </c>
      <c r="S682" s="223">
        <v>5</v>
      </c>
      <c r="T682" s="131"/>
      <c r="U682" s="78">
        <f>IFERROR(VLOOKUP($AA682,PLAN!$B:$AA,21,0),"")</f>
        <v>46252</v>
      </c>
      <c r="V682" s="78" t="str">
        <f>IFERROR(VLOOKUP($AA682,PLAN!$B:$AA,22,0),"")</f>
        <v>M10</v>
      </c>
      <c r="W682" s="232"/>
      <c r="X682" s="233"/>
      <c r="Y682" s="212"/>
      <c r="Z682" s="350"/>
      <c r="AA682" s="195" t="s">
        <v>3943</v>
      </c>
      <c r="AB682" s="132">
        <f>VLOOKUP(AA682,PLAN!B:V,20,0)</f>
        <v>46252</v>
      </c>
      <c r="AC682" s="132"/>
    </row>
    <row r="683" spans="3:29" s="79" customFormat="1" ht="21.6" customHeight="1">
      <c r="C683" s="249"/>
      <c r="D683" s="77"/>
      <c r="E683" s="77"/>
      <c r="F683" s="77"/>
      <c r="G683" s="77"/>
      <c r="H683" s="113"/>
      <c r="I683" s="77"/>
      <c r="J683" s="77"/>
      <c r="K683" s="77"/>
      <c r="L683" s="77"/>
      <c r="M683" s="77"/>
      <c r="N683" s="227"/>
      <c r="O683" s="77"/>
      <c r="P683" s="77"/>
      <c r="Q683" s="277" t="s">
        <v>3982</v>
      </c>
      <c r="R683" s="149" t="s">
        <v>3983</v>
      </c>
      <c r="S683" s="223">
        <f>K682-S682</f>
        <v>8</v>
      </c>
      <c r="T683" s="131"/>
      <c r="U683" s="78"/>
      <c r="V683" s="78"/>
      <c r="W683" s="232"/>
      <c r="X683" s="233"/>
      <c r="Y683" s="212"/>
      <c r="Z683" s="350"/>
      <c r="AA683" s="195"/>
      <c r="AB683" s="132">
        <v>46252</v>
      </c>
      <c r="AC683" s="132"/>
    </row>
    <row r="684" spans="3:29" s="79" customFormat="1" ht="21.6" customHeight="1">
      <c r="C684" s="249" t="str">
        <f t="shared" si="41"/>
        <v>Aug27-27</v>
      </c>
      <c r="D684" s="77">
        <f>IFERROR(VLOOKUP($AA684,PLAN!$B:$AA,3,0),"")</f>
        <v>11135667</v>
      </c>
      <c r="E684" s="77" t="str">
        <f>IFERROR(VLOOKUP($AA684,PLAN!$B:$AA,4,0),"")</f>
        <v>2311161-D-A</v>
      </c>
      <c r="F684" s="77" t="str">
        <f>IFERROR(VLOOKUP($AA684,PLAN!$B:$AA,5,0),"")</f>
        <v>HW70SP350P10000 KR</v>
      </c>
      <c r="G684" s="77" t="str">
        <f>IFERROR(VLOOKUP($AA684,PLAN!$B:$AA,2,0),"")</f>
        <v>1001941081</v>
      </c>
      <c r="H684" s="113">
        <f>IFERROR(VLOOKUP($AA684,PLAN!$B:$AA,7,0),"")</f>
        <v>46261</v>
      </c>
      <c r="I684" s="77" t="str">
        <f>IFERROR(VLOOKUP($AA684,PLAN!$B:$AA,8,0),"")</f>
        <v>0103600405</v>
      </c>
      <c r="J684" s="77" t="str">
        <f>IFERROR(VLOOKUP($AA684,PLAN!$B:$AA,9,0),"")</f>
        <v>260807C48A</v>
      </c>
      <c r="K684" s="77">
        <f>IFERROR(VLOOKUP($AA684,PLAN!$B:$AA,10,0),"")</f>
        <v>17</v>
      </c>
      <c r="L684" s="77" t="str">
        <f>IFERROR(VLOOKUP($AA684,PLAN!$B:$AA,15,0),"")</f>
        <v>KOREA</v>
      </c>
      <c r="M684" s="77">
        <f>IFERROR(VLOOKUP($AA684,PLAN!$B:$AA,18,0),"")</f>
        <v>0</v>
      </c>
      <c r="N684" s="227">
        <f>IFERROR(VLOOKUP($AA684,PLAN!$B:$AA,19,0),"")</f>
        <v>0</v>
      </c>
      <c r="O684" s="77" t="str">
        <f>IFERROR(VLOOKUP($AA684,PLAN!$B:$AA,12,0),"")</f>
        <v>2112226-0-C</v>
      </c>
      <c r="P684" s="77">
        <f>IFERROR(VLOOKUP($AA684,PLAN!$B:$AA,11,0),"")</f>
        <v>12116193</v>
      </c>
      <c r="Q684" s="349" t="s">
        <v>3980</v>
      </c>
      <c r="R684" s="149" t="s">
        <v>3981</v>
      </c>
      <c r="S684" s="223">
        <v>7</v>
      </c>
      <c r="T684" s="131"/>
      <c r="U684" s="78">
        <f>IFERROR(VLOOKUP($AA684,PLAN!$B:$AA,21,0),"")</f>
        <v>46252</v>
      </c>
      <c r="V684" s="78" t="str">
        <f>IFERROR(VLOOKUP($AA684,PLAN!$B:$AA,22,0),"")</f>
        <v>M10</v>
      </c>
      <c r="W684" s="232"/>
      <c r="X684" s="233"/>
      <c r="Y684" s="212"/>
      <c r="Z684" s="350"/>
      <c r="AA684" s="195" t="s">
        <v>3944</v>
      </c>
      <c r="AB684" s="132">
        <f>VLOOKUP(AA684,PLAN!B:V,20,0)</f>
        <v>46252</v>
      </c>
      <c r="AC684" s="132"/>
    </row>
    <row r="685" spans="3:29" s="79" customFormat="1" ht="21.6" customHeight="1">
      <c r="C685" s="249">
        <f t="shared" si="41"/>
        <v>0</v>
      </c>
      <c r="D685" s="77" t="str">
        <f>IFERROR(VLOOKUP($AA685,PLAN!$B:$AA,3,0),"")</f>
        <v/>
      </c>
      <c r="E685" s="77" t="str">
        <f>IFERROR(VLOOKUP($AA685,PLAN!$B:$AA,4,0),"")</f>
        <v/>
      </c>
      <c r="F685" s="77" t="str">
        <f>IFERROR(VLOOKUP($AA685,PLAN!$B:$AA,5,0),"")</f>
        <v/>
      </c>
      <c r="G685" s="77" t="str">
        <f>IFERROR(VLOOKUP($AA685,PLAN!$B:$AA,2,0),"")</f>
        <v/>
      </c>
      <c r="H685" s="113" t="str">
        <f>IFERROR(VLOOKUP($AA685,PLAN!$B:$AA,7,0),"")</f>
        <v/>
      </c>
      <c r="I685" s="77" t="str">
        <f>IFERROR(VLOOKUP($AA685,PLAN!$B:$AA,8,0),"")</f>
        <v/>
      </c>
      <c r="J685" s="77" t="str">
        <f>IFERROR(VLOOKUP($AA685,PLAN!$B:$AA,9,0),"")</f>
        <v/>
      </c>
      <c r="K685" s="77" t="str">
        <f>IFERROR(VLOOKUP($AA685,PLAN!$B:$AA,10,0),"")</f>
        <v/>
      </c>
      <c r="L685" s="77" t="str">
        <f>IFERROR(VLOOKUP($AA685,PLAN!$B:$AA,15,0),"")</f>
        <v/>
      </c>
      <c r="M685" s="77" t="str">
        <f>IFERROR(VLOOKUP($AA685,PLAN!$B:$AA,18,0),"")</f>
        <v/>
      </c>
      <c r="N685" s="227" t="str">
        <f>IFERROR(VLOOKUP($AA685,PLAN!$B:$AA,19,0),"")</f>
        <v/>
      </c>
      <c r="O685" s="77" t="str">
        <f>IFERROR(VLOOKUP($AA685,PLAN!$B:$AA,12,0),"")</f>
        <v/>
      </c>
      <c r="P685" s="77" t="str">
        <f>IFERROR(VLOOKUP($AA685,PLAN!$B:$AA,11,0),"")</f>
        <v/>
      </c>
      <c r="Q685" s="349" t="s">
        <v>3984</v>
      </c>
      <c r="R685" s="149" t="s">
        <v>3985</v>
      </c>
      <c r="S685" s="223">
        <f>K684-S684</f>
        <v>10</v>
      </c>
      <c r="T685" s="131"/>
      <c r="U685" s="78" t="str">
        <f>IFERROR(VLOOKUP($AA685,PLAN!$B:$AA,21,0),"")</f>
        <v/>
      </c>
      <c r="V685" s="78" t="str">
        <f>IFERROR(VLOOKUP($AA685,PLAN!$B:$AA,22,0),"")</f>
        <v/>
      </c>
      <c r="W685" s="232"/>
      <c r="X685" s="233"/>
      <c r="Y685" s="212"/>
      <c r="Z685" s="350"/>
      <c r="AA685" s="195"/>
      <c r="AB685" s="132">
        <v>46252</v>
      </c>
      <c r="AC685" s="132"/>
    </row>
    <row r="686" spans="3:29" s="79" customFormat="1" ht="21.6" customHeight="1">
      <c r="C686" s="249" t="str">
        <f t="shared" si="41"/>
        <v>Aug27-28</v>
      </c>
      <c r="D686" s="77">
        <f>IFERROR(VLOOKUP($AA686,PLAN!$B:$AA,3,0),"")</f>
        <v>11135535</v>
      </c>
      <c r="E686" s="77" t="str">
        <f>IFERROR(VLOOKUP($AA686,PLAN!$B:$AA,4,0),"")</f>
        <v>2211886-D-A</v>
      </c>
      <c r="F686" s="77" t="str">
        <f>IFERROR(VLOOKUP($AA686,PLAN!$B:$AA,5,0),"")</f>
        <v>HW60SP300P10000 KR</v>
      </c>
      <c r="G686" s="77" t="str">
        <f>IFERROR(VLOOKUP($AA686,PLAN!$B:$AA,2,0),"")</f>
        <v>1001941082</v>
      </c>
      <c r="H686" s="113">
        <f>IFERROR(VLOOKUP($AA686,PLAN!$B:$AA,7,0),"")</f>
        <v>46261</v>
      </c>
      <c r="I686" s="77" t="str">
        <f>IFERROR(VLOOKUP($AA686,PLAN!$B:$AA,8,0),"")</f>
        <v>0103600406</v>
      </c>
      <c r="J686" s="77" t="str">
        <f>IFERROR(VLOOKUP($AA686,PLAN!$B:$AA,9,0),"")</f>
        <v>260807C49A</v>
      </c>
      <c r="K686" s="77">
        <f>IFERROR(VLOOKUP($AA686,PLAN!$B:$AA,10,0),"")</f>
        <v>69</v>
      </c>
      <c r="L686" s="77" t="str">
        <f>IFERROR(VLOOKUP($AA686,PLAN!$B:$AA,15,0),"")</f>
        <v>KOREA</v>
      </c>
      <c r="M686" s="77">
        <f>IFERROR(VLOOKUP($AA686,PLAN!$B:$AA,18,0),"")</f>
        <v>0</v>
      </c>
      <c r="N686" s="227">
        <f>IFERROR(VLOOKUP($AA686,PLAN!$B:$AA,19,0),"")</f>
        <v>0</v>
      </c>
      <c r="O686" s="77" t="str">
        <f>IFERROR(VLOOKUP($AA686,PLAN!$B:$AA,12,0),"")</f>
        <v>2112095-0-C</v>
      </c>
      <c r="P686" s="77">
        <f>IFERROR(VLOOKUP($AA686,PLAN!$B:$AA,11,0),"")</f>
        <v>12116060</v>
      </c>
      <c r="Q686" s="349" t="s">
        <v>3797</v>
      </c>
      <c r="R686" s="149" t="s">
        <v>3798</v>
      </c>
      <c r="S686" s="149">
        <f t="shared" si="42"/>
        <v>69</v>
      </c>
      <c r="T686" s="131"/>
      <c r="U686" s="78">
        <f>IFERROR(VLOOKUP($AA686,PLAN!$B:$AA,21,0),"")</f>
        <v>46252</v>
      </c>
      <c r="V686" s="78" t="str">
        <f>IFERROR(VLOOKUP($AA686,PLAN!$B:$AA,22,0),"")</f>
        <v>M10</v>
      </c>
      <c r="W686" s="232"/>
      <c r="X686" s="233"/>
      <c r="Y686" s="212"/>
      <c r="Z686" s="350"/>
      <c r="AA686" s="195" t="s">
        <v>3945</v>
      </c>
      <c r="AB686" s="132">
        <f>VLOOKUP(AA686,PLAN!B:V,20,0)</f>
        <v>46252</v>
      </c>
      <c r="AC686" s="132"/>
    </row>
    <row r="687" spans="3:29" s="79" customFormat="1" ht="21.6" customHeight="1">
      <c r="C687" s="249" t="str">
        <f t="shared" si="41"/>
        <v>Aug27-29</v>
      </c>
      <c r="D687" s="77">
        <f>IFERROR(VLOOKUP($AA687,PLAN!$B:$AA,3,0),"")</f>
        <v>11134283</v>
      </c>
      <c r="E687" s="77" t="str">
        <f>IFERROR(VLOOKUP($AA687,PLAN!$B:$AA,4,0),"")</f>
        <v>1911226-E-A</v>
      </c>
      <c r="F687" s="77" t="str">
        <f>IFERROR(VLOOKUP($AA687,PLAN!$B:$AA,5,0),"")</f>
        <v>HJ70SP352P09020 JP</v>
      </c>
      <c r="G687" s="77" t="str">
        <f>IFERROR(VLOOKUP($AA687,PLAN!$B:$AA,2,0),"")</f>
        <v>1001941129</v>
      </c>
      <c r="H687" s="113">
        <f>IFERROR(VLOOKUP($AA687,PLAN!$B:$AA,7,0),"")</f>
        <v>46261</v>
      </c>
      <c r="I687" s="77" t="str">
        <f>IFERROR(VLOOKUP($AA687,PLAN!$B:$AA,8,0),"")</f>
        <v>0103600443</v>
      </c>
      <c r="J687" s="77" t="str">
        <f>IFERROR(VLOOKUP($AA687,PLAN!$B:$AA,9,0),"")</f>
        <v>260807C50A</v>
      </c>
      <c r="K687" s="77">
        <f>IFERROR(VLOOKUP($AA687,PLAN!$B:$AA,10,0),"")</f>
        <v>7</v>
      </c>
      <c r="L687" s="77" t="str">
        <f>IFERROR(VLOOKUP($AA687,PLAN!$B:$AA,15,0),"")</f>
        <v>JAPAN</v>
      </c>
      <c r="M687" s="77">
        <f>IFERROR(VLOOKUP($AA687,PLAN!$B:$AA,18,0),"")</f>
        <v>0</v>
      </c>
      <c r="N687" s="227">
        <f>IFERROR(VLOOKUP($AA687,PLAN!$B:$AA,19,0),"")</f>
        <v>0</v>
      </c>
      <c r="O687" s="77" t="str">
        <f>IFERROR(VLOOKUP($AA687,PLAN!$B:$AA,12,0),"")</f>
        <v>2112228-0-C</v>
      </c>
      <c r="P687" s="77">
        <f>IFERROR(VLOOKUP($AA687,PLAN!$B:$AA,11,0),"")</f>
        <v>12116195</v>
      </c>
      <c r="Q687" s="349" t="s">
        <v>3997</v>
      </c>
      <c r="R687" s="149" t="s">
        <v>3998</v>
      </c>
      <c r="S687" s="149">
        <f t="shared" si="42"/>
        <v>7</v>
      </c>
      <c r="T687" s="131"/>
      <c r="U687" s="78">
        <f>IFERROR(VLOOKUP($AA687,PLAN!$B:$AA,21,0),"")</f>
        <v>46252</v>
      </c>
      <c r="V687" s="78" t="str">
        <f>IFERROR(VLOOKUP($AA687,PLAN!$B:$AA,22,0),"")</f>
        <v>M10</v>
      </c>
      <c r="W687" s="232"/>
      <c r="X687" s="233"/>
      <c r="Y687" s="212"/>
      <c r="Z687" s="350"/>
      <c r="AA687" s="195" t="s">
        <v>3995</v>
      </c>
      <c r="AB687" s="132">
        <f>VLOOKUP(AA687,PLAN!B:V,20,0)</f>
        <v>46252</v>
      </c>
      <c r="AC687" s="132"/>
    </row>
    <row r="688" spans="3:29" s="79" customFormat="1" ht="21.6" customHeight="1">
      <c r="C688" s="249" t="str">
        <f t="shared" ref="C688:C766" si="45">AA688</f>
        <v>Aug28-01</v>
      </c>
      <c r="D688" s="77">
        <f>IFERROR(VLOOKUP($AA688,PLAN!$B:$AA,3,0),"")</f>
        <v>11131257</v>
      </c>
      <c r="E688" s="77" t="str">
        <f>IFERROR(VLOOKUP($AA688,PLAN!$B:$AA,4,0),"")</f>
        <v>1841034-D-A</v>
      </c>
      <c r="F688" s="77" t="str">
        <f>IFERROR(VLOOKUP($AA688,PLAN!$B:$AA,5,0),"")</f>
        <v>CRV150-19M JP</v>
      </c>
      <c r="G688" s="77" t="str">
        <f>IFERROR(VLOOKUP($AA688,PLAN!$B:$AA,2,0),"")</f>
        <v>1001942984</v>
      </c>
      <c r="H688" s="113">
        <f>IFERROR(VLOOKUP($AA688,PLAN!$B:$AA,7,0),"")</f>
        <v>46262</v>
      </c>
      <c r="I688" s="77" t="str">
        <f>IFERROR(VLOOKUP($AA688,PLAN!$B:$AA,8,0),"")</f>
        <v>0103603903</v>
      </c>
      <c r="J688" s="77" t="str">
        <f>IFERROR(VLOOKUP($AA688,PLAN!$B:$AA,9,0),"")</f>
        <v>260813K01A</v>
      </c>
      <c r="K688" s="77">
        <f>IFERROR(VLOOKUP($AA688,PLAN!$B:$AA,10,0),"")</f>
        <v>105</v>
      </c>
      <c r="L688" s="77" t="str">
        <f>IFERROR(VLOOKUP($AA688,PLAN!$B:$AA,15,0),"")</f>
        <v>JAPAN</v>
      </c>
      <c r="M688" s="77">
        <f>IFERROR(VLOOKUP($AA688,PLAN!$B:$AA,18,0),"")</f>
        <v>0</v>
      </c>
      <c r="N688" s="227">
        <f>IFERROR(VLOOKUP($AA688,PLAN!$B:$AA,19,0),"")</f>
        <v>0</v>
      </c>
      <c r="O688" s="77" t="str">
        <f>IFERROR(VLOOKUP($AA688,PLAN!$B:$AA,12,0),"")</f>
        <v>1842015-B-C</v>
      </c>
      <c r="P688" s="77">
        <f>IFERROR(VLOOKUP($AA688,PLAN!$B:$AA,11,0),"")</f>
        <v>12121044</v>
      </c>
      <c r="Q688" s="277" t="s">
        <v>492</v>
      </c>
      <c r="R688" s="149" t="s">
        <v>493</v>
      </c>
      <c r="S688" s="223">
        <v>20</v>
      </c>
      <c r="T688" s="131"/>
      <c r="U688" s="78">
        <f>IFERROR(VLOOKUP($AA688,PLAN!$B:$AA,21,0),"")</f>
        <v>46253</v>
      </c>
      <c r="V688" s="78" t="str">
        <f>IFERROR(VLOOKUP($AA688,PLAN!$B:$AA,22,0),"")</f>
        <v>M8</v>
      </c>
      <c r="W688" s="232"/>
      <c r="X688" s="233"/>
      <c r="Y688" s="212"/>
      <c r="Z688" s="350"/>
      <c r="AA688" s="195" t="s">
        <v>4229</v>
      </c>
      <c r="AB688" s="132">
        <f>VLOOKUP(AA688,PLAN!B:V,20,0)</f>
        <v>46253</v>
      </c>
      <c r="AC688" s="132"/>
    </row>
    <row r="689" spans="3:29" s="79" customFormat="1" ht="21.6" customHeight="1">
      <c r="C689" s="249"/>
      <c r="D689" s="77"/>
      <c r="E689" s="77"/>
      <c r="F689" s="77"/>
      <c r="G689" s="77"/>
      <c r="H689" s="113"/>
      <c r="I689" s="77"/>
      <c r="J689" s="77"/>
      <c r="K689" s="77"/>
      <c r="L689" s="77"/>
      <c r="M689" s="77"/>
      <c r="N689" s="227"/>
      <c r="O689" s="77"/>
      <c r="P689" s="77"/>
      <c r="Q689" s="277" t="s">
        <v>4276</v>
      </c>
      <c r="R689" s="149" t="s">
        <v>4277</v>
      </c>
      <c r="S689" s="223">
        <f>K688-S688</f>
        <v>85</v>
      </c>
      <c r="T689" s="131"/>
      <c r="U689" s="78"/>
      <c r="V689" s="78"/>
      <c r="W689" s="232"/>
      <c r="X689" s="233"/>
      <c r="Y689" s="212"/>
      <c r="Z689" s="350"/>
      <c r="AA689" s="195"/>
      <c r="AB689" s="132">
        <v>46253</v>
      </c>
      <c r="AC689" s="132"/>
    </row>
    <row r="690" spans="3:29" s="79" customFormat="1" ht="21.6" customHeight="1">
      <c r="C690" s="249" t="str">
        <f t="shared" si="45"/>
        <v>Aug28-02</v>
      </c>
      <c r="D690" s="77">
        <f>IFERROR(VLOOKUP($AA690,PLAN!$B:$AA,3,0),"")</f>
        <v>11134401</v>
      </c>
      <c r="E690" s="77" t="str">
        <f>IFERROR(VLOOKUP($AA690,PLAN!$B:$AA,4,0),"")</f>
        <v>1941102-C-A</v>
      </c>
      <c r="F690" s="77" t="str">
        <f>IFERROR(VLOOKUP($AA690,PLAN!$B:$AA,5,0),"")</f>
        <v>CRV135-19P US2</v>
      </c>
      <c r="G690" s="77" t="str">
        <f>IFERROR(VLOOKUP($AA690,PLAN!$B:$AA,2,0),"")</f>
        <v>1001942985</v>
      </c>
      <c r="H690" s="113">
        <f>IFERROR(VLOOKUP($AA690,PLAN!$B:$AA,7,0),"")</f>
        <v>46262</v>
      </c>
      <c r="I690" s="77" t="str">
        <f>IFERROR(VLOOKUP($AA690,PLAN!$B:$AA,8,0),"")</f>
        <v>0103603904</v>
      </c>
      <c r="J690" s="77" t="str">
        <f>IFERROR(VLOOKUP($AA690,PLAN!$B:$AA,9,0),"")</f>
        <v>260813K02A</v>
      </c>
      <c r="K690" s="77">
        <f>IFERROR(VLOOKUP($AA690,PLAN!$B:$AA,10,0),"")</f>
        <v>139</v>
      </c>
      <c r="L690" s="77" t="str">
        <f>IFERROR(VLOOKUP($AA690,PLAN!$B:$AA,15,0),"")</f>
        <v>USA</v>
      </c>
      <c r="M690" s="77">
        <f>IFERROR(VLOOKUP($AA690,PLAN!$B:$AA,18,0),"")</f>
        <v>0</v>
      </c>
      <c r="N690" s="227">
        <f>IFERROR(VLOOKUP($AA690,PLAN!$B:$AA,19,0),"")</f>
        <v>0</v>
      </c>
      <c r="O690" s="77" t="str">
        <f>IFERROR(VLOOKUP($AA690,PLAN!$B:$AA,12,0),"")</f>
        <v>1942140-B-C</v>
      </c>
      <c r="P690" s="77">
        <f>IFERROR(VLOOKUP($AA690,PLAN!$B:$AA,11,0),"")</f>
        <v>12129626</v>
      </c>
      <c r="Q690" s="349" t="s">
        <v>3759</v>
      </c>
      <c r="R690" s="149" t="s">
        <v>3760</v>
      </c>
      <c r="S690" s="149">
        <f t="shared" ref="S690:S758" si="46">K690</f>
        <v>139</v>
      </c>
      <c r="T690" s="131"/>
      <c r="U690" s="78">
        <f>IFERROR(VLOOKUP($AA690,PLAN!$B:$AA,21,0),"")</f>
        <v>46253</v>
      </c>
      <c r="V690" s="78" t="str">
        <f>IFERROR(VLOOKUP($AA690,PLAN!$B:$AA,22,0),"")</f>
        <v>M8</v>
      </c>
      <c r="W690" s="232"/>
      <c r="X690" s="233"/>
      <c r="Y690" s="212"/>
      <c r="Z690" s="350"/>
      <c r="AA690" s="195" t="s">
        <v>4232</v>
      </c>
      <c r="AB690" s="132">
        <f>VLOOKUP(AA690,PLAN!B:V,20,0)</f>
        <v>46253</v>
      </c>
      <c r="AC690" s="132"/>
    </row>
    <row r="691" spans="3:29" s="79" customFormat="1" ht="21.6" customHeight="1">
      <c r="C691" s="249" t="str">
        <f t="shared" si="45"/>
        <v>Aug28-03</v>
      </c>
      <c r="D691" s="77">
        <f>IFERROR(VLOOKUP($AA691,PLAN!$B:$AA,3,0),"")</f>
        <v>11134223</v>
      </c>
      <c r="E691" s="77" t="str">
        <f>IFERROR(VLOOKUP($AA691,PLAN!$B:$AA,4,0),"")</f>
        <v>2341002-0-A</v>
      </c>
      <c r="F691" s="77" t="str">
        <f>IFERROR(VLOOKUP($AA691,PLAN!$B:$AA,5,0),"")</f>
        <v>CRV150-19S MDR</v>
      </c>
      <c r="G691" s="77" t="str">
        <f>IFERROR(VLOOKUP($AA691,PLAN!$B:$AA,2,0),"")</f>
        <v>1001942986</v>
      </c>
      <c r="H691" s="113">
        <f>IFERROR(VLOOKUP($AA691,PLAN!$B:$AA,7,0),"")</f>
        <v>46262</v>
      </c>
      <c r="I691" s="77" t="str">
        <f>IFERROR(VLOOKUP($AA691,PLAN!$B:$AA,8,0),"")</f>
        <v>0103603905</v>
      </c>
      <c r="J691" s="77" t="str">
        <f>IFERROR(VLOOKUP($AA691,PLAN!$B:$AA,9,0),"")</f>
        <v>260813K03A</v>
      </c>
      <c r="K691" s="77">
        <f>IFERROR(VLOOKUP($AA691,PLAN!$B:$AA,10,0),"")</f>
        <v>19</v>
      </c>
      <c r="L691" s="77" t="str">
        <f>IFERROR(VLOOKUP($AA691,PLAN!$B:$AA,15,0),"")</f>
        <v>Oversea</v>
      </c>
      <c r="M691" s="77">
        <f>IFERROR(VLOOKUP($AA691,PLAN!$B:$AA,18,0),"")</f>
        <v>4</v>
      </c>
      <c r="N691" s="227">
        <f>IFERROR(VLOOKUP($AA691,PLAN!$B:$AA,19,0),"")</f>
        <v>0</v>
      </c>
      <c r="O691" s="77" t="str">
        <f>IFERROR(VLOOKUP($AA691,PLAN!$B:$AA,12,0),"")</f>
        <v>2342002-0-C</v>
      </c>
      <c r="P691" s="77">
        <f>IFERROR(VLOOKUP($AA691,PLAN!$B:$AA,11,0),"")</f>
        <v>12139045</v>
      </c>
      <c r="Q691" s="349" t="s">
        <v>4278</v>
      </c>
      <c r="R691" s="149" t="s">
        <v>4279</v>
      </c>
      <c r="S691" s="223">
        <v>2</v>
      </c>
      <c r="T691" s="131"/>
      <c r="U691" s="78">
        <f>IFERROR(VLOOKUP($AA691,PLAN!$B:$AA,21,0),"")</f>
        <v>46253</v>
      </c>
      <c r="V691" s="78" t="str">
        <f>IFERROR(VLOOKUP($AA691,PLAN!$B:$AA,22,0),"")</f>
        <v>M8</v>
      </c>
      <c r="W691" s="232"/>
      <c r="X691" s="233"/>
      <c r="Y691" s="212"/>
      <c r="Z691" s="350"/>
      <c r="AA691" s="195" t="s">
        <v>4231</v>
      </c>
      <c r="AB691" s="132">
        <f>VLOOKUP(AA691,PLAN!B:V,20,0)</f>
        <v>46253</v>
      </c>
      <c r="AC691" s="132"/>
    </row>
    <row r="692" spans="3:29" s="79" customFormat="1" ht="21.6" customHeight="1">
      <c r="C692" s="249"/>
      <c r="D692" s="77"/>
      <c r="E692" s="77"/>
      <c r="F692" s="77"/>
      <c r="G692" s="77"/>
      <c r="H692" s="113"/>
      <c r="I692" s="77"/>
      <c r="J692" s="77"/>
      <c r="K692" s="77"/>
      <c r="L692" s="77"/>
      <c r="M692" s="77"/>
      <c r="N692" s="227"/>
      <c r="O692" s="77"/>
      <c r="P692" s="77"/>
      <c r="Q692" s="349" t="s">
        <v>4280</v>
      </c>
      <c r="R692" s="158" t="s">
        <v>4281</v>
      </c>
      <c r="S692" s="223">
        <f>K691-S691</f>
        <v>17</v>
      </c>
      <c r="T692" s="131"/>
      <c r="U692" s="78"/>
      <c r="V692" s="78"/>
      <c r="W692" s="232"/>
      <c r="X692" s="233"/>
      <c r="Y692" s="212"/>
      <c r="Z692" s="350"/>
      <c r="AA692" s="195"/>
      <c r="AB692" s="132">
        <v>46253</v>
      </c>
      <c r="AC692" s="132"/>
    </row>
    <row r="693" spans="3:29" s="79" customFormat="1" ht="21.6" customHeight="1">
      <c r="C693" s="249" t="str">
        <f t="shared" si="45"/>
        <v>Aug28-04</v>
      </c>
      <c r="D693" s="77">
        <f>IFERROR(VLOOKUP($AA693,PLAN!$B:$AA,3,0),"")</f>
        <v>11134222</v>
      </c>
      <c r="E693" s="77" t="str">
        <f>IFERROR(VLOOKUP($AA693,PLAN!$B:$AA,4,0),"")</f>
        <v>2341001-0-A</v>
      </c>
      <c r="F693" s="77" t="str">
        <f>IFERROR(VLOOKUP($AA693,PLAN!$B:$AA,5,0),"")</f>
        <v>CRV135-19S MDR</v>
      </c>
      <c r="G693" s="77" t="str">
        <f>IFERROR(VLOOKUP($AA693,PLAN!$B:$AA,2,0),"")</f>
        <v>1001942987</v>
      </c>
      <c r="H693" s="113">
        <f>IFERROR(VLOOKUP($AA693,PLAN!$B:$AA,7,0),"")</f>
        <v>46262</v>
      </c>
      <c r="I693" s="77" t="str">
        <f>IFERROR(VLOOKUP($AA693,PLAN!$B:$AA,8,0),"")</f>
        <v>0103603906</v>
      </c>
      <c r="J693" s="77" t="str">
        <f>IFERROR(VLOOKUP($AA693,PLAN!$B:$AA,9,0),"")</f>
        <v>260813K04A</v>
      </c>
      <c r="K693" s="77">
        <f>IFERROR(VLOOKUP($AA693,PLAN!$B:$AA,10,0),"")</f>
        <v>21</v>
      </c>
      <c r="L693" s="77" t="str">
        <f>IFERROR(VLOOKUP($AA693,PLAN!$B:$AA,15,0),"")</f>
        <v>Oversea</v>
      </c>
      <c r="M693" s="77">
        <f>IFERROR(VLOOKUP($AA693,PLAN!$B:$AA,18,0),"")</f>
        <v>6</v>
      </c>
      <c r="N693" s="227">
        <f>IFERROR(VLOOKUP($AA693,PLAN!$B:$AA,19,0),"")</f>
        <v>0</v>
      </c>
      <c r="O693" s="77" t="str">
        <f>IFERROR(VLOOKUP($AA693,PLAN!$B:$AA,12,0),"")</f>
        <v>2342001-0-C</v>
      </c>
      <c r="P693" s="77">
        <f>IFERROR(VLOOKUP($AA693,PLAN!$B:$AA,11,0),"")</f>
        <v>12139044</v>
      </c>
      <c r="Q693" s="349" t="s">
        <v>4282</v>
      </c>
      <c r="R693" s="149" t="s">
        <v>4283</v>
      </c>
      <c r="S693" s="223">
        <v>5</v>
      </c>
      <c r="T693" s="131"/>
      <c r="U693" s="78">
        <f>IFERROR(VLOOKUP($AA693,PLAN!$B:$AA,21,0),"")</f>
        <v>46253</v>
      </c>
      <c r="V693" s="78" t="str">
        <f>IFERROR(VLOOKUP($AA693,PLAN!$B:$AA,22,0),"")</f>
        <v>M8</v>
      </c>
      <c r="W693" s="232"/>
      <c r="X693" s="233"/>
      <c r="Y693" s="212"/>
      <c r="Z693" s="350"/>
      <c r="AA693" s="195" t="s">
        <v>4230</v>
      </c>
      <c r="AB693" s="132">
        <f>VLOOKUP(AA693,PLAN!B:V,20,0)</f>
        <v>46253</v>
      </c>
      <c r="AC693" s="132"/>
    </row>
    <row r="694" spans="3:29" s="79" customFormat="1" ht="21.6" customHeight="1">
      <c r="C694" s="249"/>
      <c r="D694" s="77"/>
      <c r="E694" s="77"/>
      <c r="F694" s="77"/>
      <c r="G694" s="77"/>
      <c r="H694" s="113"/>
      <c r="I694" s="77"/>
      <c r="J694" s="77"/>
      <c r="K694" s="77"/>
      <c r="L694" s="77"/>
      <c r="M694" s="77"/>
      <c r="N694" s="227"/>
      <c r="O694" s="77"/>
      <c r="P694" s="77"/>
      <c r="Q694" s="349" t="s">
        <v>4284</v>
      </c>
      <c r="R694" s="158" t="s">
        <v>4285</v>
      </c>
      <c r="S694" s="223">
        <f>K693-S693</f>
        <v>16</v>
      </c>
      <c r="T694" s="131"/>
      <c r="U694" s="78"/>
      <c r="V694" s="78"/>
      <c r="W694" s="232"/>
      <c r="X694" s="233"/>
      <c r="Y694" s="212"/>
      <c r="Z694" s="350"/>
      <c r="AA694" s="195"/>
      <c r="AB694" s="132">
        <v>46253</v>
      </c>
      <c r="AC694" s="132"/>
    </row>
    <row r="695" spans="3:29" s="79" customFormat="1" ht="21.6" customHeight="1">
      <c r="C695" s="249" t="str">
        <f t="shared" si="45"/>
        <v>Aug28-05</v>
      </c>
      <c r="D695" s="77">
        <f>IFERROR(VLOOKUP($AA695,PLAN!$B:$AA,3,0),"")</f>
        <v>11122087</v>
      </c>
      <c r="E695" s="77" t="str">
        <f>IFERROR(VLOOKUP($AA695,PLAN!$B:$AA,4,0),"")</f>
        <v>2341003-B-A</v>
      </c>
      <c r="F695" s="77" t="str">
        <f>IFERROR(VLOOKUP($AA695,PLAN!$B:$AA,5,0),"")</f>
        <v>CRV135-19P CE3</v>
      </c>
      <c r="G695" s="77" t="str">
        <f>IFERROR(VLOOKUP($AA695,PLAN!$B:$AA,2,0),"")</f>
        <v>1001942988</v>
      </c>
      <c r="H695" s="113">
        <f>IFERROR(VLOOKUP($AA695,PLAN!$B:$AA,7,0),"")</f>
        <v>46262</v>
      </c>
      <c r="I695" s="77" t="str">
        <f>IFERROR(VLOOKUP($AA695,PLAN!$B:$AA,8,0),"")</f>
        <v>0103603907</v>
      </c>
      <c r="J695" s="77" t="str">
        <f>IFERROR(VLOOKUP($AA695,PLAN!$B:$AA,9,0),"")</f>
        <v>260813K05A</v>
      </c>
      <c r="K695" s="77">
        <f>IFERROR(VLOOKUP($AA695,PLAN!$B:$AA,10,0),"")</f>
        <v>40</v>
      </c>
      <c r="L695" s="77" t="str">
        <f>IFERROR(VLOOKUP($AA695,PLAN!$B:$AA,15,0),"")</f>
        <v>Oversea</v>
      </c>
      <c r="M695" s="77">
        <f>IFERROR(VLOOKUP($AA695,PLAN!$B:$AA,18,0),"")</f>
        <v>0</v>
      </c>
      <c r="N695" s="227">
        <f>IFERROR(VLOOKUP($AA695,PLAN!$B:$AA,19,0),"")</f>
        <v>0</v>
      </c>
      <c r="O695" s="77" t="str">
        <f>IFERROR(VLOOKUP($AA695,PLAN!$B:$AA,12,0),"")</f>
        <v>1942140-B-C</v>
      </c>
      <c r="P695" s="77">
        <f>IFERROR(VLOOKUP($AA695,PLAN!$B:$AA,11,0),"")</f>
        <v>12129626</v>
      </c>
      <c r="Q695" s="349" t="s">
        <v>3759</v>
      </c>
      <c r="R695" s="149" t="s">
        <v>3760</v>
      </c>
      <c r="S695" s="149">
        <f t="shared" si="46"/>
        <v>40</v>
      </c>
      <c r="T695" s="131"/>
      <c r="U695" s="78">
        <f>IFERROR(VLOOKUP($AA695,PLAN!$B:$AA,21,0),"")</f>
        <v>46253</v>
      </c>
      <c r="V695" s="78" t="str">
        <f>IFERROR(VLOOKUP($AA695,PLAN!$B:$AA,22,0),"")</f>
        <v>M8</v>
      </c>
      <c r="W695" s="232"/>
      <c r="X695" s="233"/>
      <c r="Y695" s="212"/>
      <c r="Z695" s="350"/>
      <c r="AA695" s="195" t="s">
        <v>4233</v>
      </c>
      <c r="AB695" s="132">
        <f>VLOOKUP(AA695,PLAN!B:V,20,0)</f>
        <v>46253</v>
      </c>
      <c r="AC695" s="132"/>
    </row>
    <row r="696" spans="3:29" s="79" customFormat="1" ht="21.6" customHeight="1">
      <c r="C696" s="249" t="str">
        <f t="shared" si="45"/>
        <v>Aug28-07</v>
      </c>
      <c r="D696" s="77">
        <f>IFERROR(VLOOKUP($AA696,PLAN!$B:$AA,3,0),"")</f>
        <v>11126311</v>
      </c>
      <c r="E696" s="77" t="str">
        <f>IFERROR(VLOOKUP($AA696,PLAN!$B:$AA,4,0),"")</f>
        <v>1941011-E-A</v>
      </c>
      <c r="F696" s="77" t="str">
        <f>IFERROR(VLOOKUP($AA696,PLAN!$B:$AA,5,0),"")</f>
        <v>MST150-18PWSFR JP</v>
      </c>
      <c r="G696" s="77" t="str">
        <f>IFERROR(VLOOKUP($AA696,PLAN!$B:$AA,2,0),"")</f>
        <v>1001942990</v>
      </c>
      <c r="H696" s="113">
        <f>IFERROR(VLOOKUP($AA696,PLAN!$B:$AA,7,0),"")</f>
        <v>46262</v>
      </c>
      <c r="I696" s="77" t="str">
        <f>IFERROR(VLOOKUP($AA696,PLAN!$B:$AA,8,0),"")</f>
        <v>0103603909</v>
      </c>
      <c r="J696" s="77" t="str">
        <f>IFERROR(VLOOKUP($AA696,PLAN!$B:$AA,9,0),"")</f>
        <v>260813K07A</v>
      </c>
      <c r="K696" s="77">
        <f>IFERROR(VLOOKUP($AA696,PLAN!$B:$AA,10,0),"")</f>
        <v>7</v>
      </c>
      <c r="L696" s="77" t="str">
        <f>IFERROR(VLOOKUP($AA696,PLAN!$B:$AA,15,0),"")</f>
        <v>JAPAN</v>
      </c>
      <c r="M696" s="77">
        <f>IFERROR(VLOOKUP($AA696,PLAN!$B:$AA,18,0),"")</f>
        <v>0</v>
      </c>
      <c r="N696" s="227">
        <f>IFERROR(VLOOKUP($AA696,PLAN!$B:$AA,19,0),"")</f>
        <v>0</v>
      </c>
      <c r="O696" s="77" t="str">
        <f>IFERROR(VLOOKUP($AA696,PLAN!$B:$AA,12,0),"")</f>
        <v>2442035-0-C</v>
      </c>
      <c r="P696" s="77">
        <f>IFERROR(VLOOKUP($AA696,PLAN!$B:$AA,11,0),"")</f>
        <v>12132457</v>
      </c>
      <c r="Q696" s="349" t="s">
        <v>2931</v>
      </c>
      <c r="R696" s="149" t="s">
        <v>2932</v>
      </c>
      <c r="S696" s="149">
        <f t="shared" si="46"/>
        <v>7</v>
      </c>
      <c r="T696" s="131"/>
      <c r="U696" s="78">
        <f>IFERROR(VLOOKUP($AA696,PLAN!$B:$AA,21,0),"")</f>
        <v>46253</v>
      </c>
      <c r="V696" s="78" t="str">
        <f>IFERROR(VLOOKUP($AA696,PLAN!$B:$AA,22,0),"")</f>
        <v>M8</v>
      </c>
      <c r="W696" s="232"/>
      <c r="X696" s="233"/>
      <c r="Y696" s="212"/>
      <c r="Z696" s="350"/>
      <c r="AA696" s="195" t="s">
        <v>4235</v>
      </c>
      <c r="AB696" s="132">
        <f>VLOOKUP(AA696,PLAN!B:V,20,0)</f>
        <v>46253</v>
      </c>
      <c r="AC696" s="132"/>
    </row>
    <row r="697" spans="3:29" s="79" customFormat="1" ht="21.6" customHeight="1">
      <c r="C697" s="249" t="str">
        <f t="shared" ref="C697" si="47">AA697</f>
        <v>Aug28-08</v>
      </c>
      <c r="D697" s="77">
        <f>IFERROR(VLOOKUP($AA697,PLAN!$B:$AA,3,0),"")</f>
        <v>11125155</v>
      </c>
      <c r="E697" s="77" t="str">
        <f>IFERROR(VLOOKUP($AA697,PLAN!$B:$AA,4,0),"")</f>
        <v>1941024-F-A</v>
      </c>
      <c r="F697" s="77" t="str">
        <f>IFERROR(VLOOKUP($AA697,PLAN!$B:$AA,5,0),"")</f>
        <v>MST150-27HFR JP</v>
      </c>
      <c r="G697" s="77" t="str">
        <f>IFERROR(VLOOKUP($AA697,PLAN!$B:$AA,2,0),"")</f>
        <v>1001942991</v>
      </c>
      <c r="H697" s="113">
        <f>IFERROR(VLOOKUP($AA697,PLAN!$B:$AA,7,0),"")</f>
        <v>46262</v>
      </c>
      <c r="I697" s="77" t="str">
        <f>IFERROR(VLOOKUP($AA697,PLAN!$B:$AA,8,0),"")</f>
        <v>0103603910</v>
      </c>
      <c r="J697" s="77" t="str">
        <f>IFERROR(VLOOKUP($AA697,PLAN!$B:$AA,9,0),"")</f>
        <v>260813K08A</v>
      </c>
      <c r="K697" s="77">
        <f>IFERROR(VLOOKUP($AA697,PLAN!$B:$AA,10,0),"")</f>
        <v>11</v>
      </c>
      <c r="L697" s="77" t="str">
        <f>IFERROR(VLOOKUP($AA697,PLAN!$B:$AA,15,0),"")</f>
        <v>JAPAN</v>
      </c>
      <c r="M697" s="77">
        <f>IFERROR(VLOOKUP($AA697,PLAN!$B:$AA,18,0),"")</f>
        <v>0</v>
      </c>
      <c r="N697" s="227">
        <f>IFERROR(VLOOKUP($AA697,PLAN!$B:$AA,19,0),"")</f>
        <v>0</v>
      </c>
      <c r="O697" s="77" t="str">
        <f>IFERROR(VLOOKUP($AA697,PLAN!$B:$AA,12,0),"")</f>
        <v>2042141-B-C</v>
      </c>
      <c r="P697" s="77">
        <f>IFERROR(VLOOKUP($AA697,PLAN!$B:$AA,11,0),"")</f>
        <v>12120614</v>
      </c>
      <c r="Q697" s="349" t="s">
        <v>4286</v>
      </c>
      <c r="R697" s="149" t="s">
        <v>4287</v>
      </c>
      <c r="S697" s="149">
        <f t="shared" ref="S697" si="48">K697</f>
        <v>11</v>
      </c>
      <c r="T697" s="131"/>
      <c r="U697" s="78">
        <f>IFERROR(VLOOKUP($AA697,PLAN!$B:$AA,21,0),"")</f>
        <v>46253</v>
      </c>
      <c r="V697" s="78" t="str">
        <f>IFERROR(VLOOKUP($AA697,PLAN!$B:$AA,22,0),"")</f>
        <v>M8</v>
      </c>
      <c r="W697" s="232"/>
      <c r="X697" s="233"/>
      <c r="Y697" s="212"/>
      <c r="Z697" s="350"/>
      <c r="AA697" s="195" t="s">
        <v>4236</v>
      </c>
      <c r="AB697" s="132">
        <f>VLOOKUP(AA697,PLAN!B:V,20,0)</f>
        <v>46253</v>
      </c>
      <c r="AC697" s="132"/>
    </row>
    <row r="698" spans="3:29" s="79" customFormat="1" ht="21.6" customHeight="1">
      <c r="C698" s="249" t="str">
        <f t="shared" si="45"/>
        <v>Aug28-09</v>
      </c>
      <c r="D698" s="77">
        <f>IFERROR(VLOOKUP($AA698,PLAN!$B:$AA,3,0),"")</f>
        <v>11125141</v>
      </c>
      <c r="E698" s="77" t="str">
        <f>IFERROR(VLOOKUP($AA698,PLAN!$B:$AA,4,0),"")</f>
        <v>1941010-D-A</v>
      </c>
      <c r="F698" s="77" t="str">
        <f>IFERROR(VLOOKUP($AA698,PLAN!$B:$AA,5,0),"")</f>
        <v>MST125-18PWSFR JP</v>
      </c>
      <c r="G698" s="77" t="str">
        <f>IFERROR(VLOOKUP($AA698,PLAN!$B:$AA,2,0),"")</f>
        <v>1001942992</v>
      </c>
      <c r="H698" s="113">
        <f>IFERROR(VLOOKUP($AA698,PLAN!$B:$AA,7,0),"")</f>
        <v>46262</v>
      </c>
      <c r="I698" s="77" t="str">
        <f>IFERROR(VLOOKUP($AA698,PLAN!$B:$AA,8,0),"")</f>
        <v>0103603911</v>
      </c>
      <c r="J698" s="77" t="str">
        <f>IFERROR(VLOOKUP($AA698,PLAN!$B:$AA,9,0),"")</f>
        <v>260813K09A</v>
      </c>
      <c r="K698" s="77">
        <f>IFERROR(VLOOKUP($AA698,PLAN!$B:$AA,10,0),"")</f>
        <v>23</v>
      </c>
      <c r="L698" s="77" t="str">
        <f>IFERROR(VLOOKUP($AA698,PLAN!$B:$AA,15,0),"")</f>
        <v>JAPAN</v>
      </c>
      <c r="M698" s="77">
        <f>IFERROR(VLOOKUP($AA698,PLAN!$B:$AA,18,0),"")</f>
        <v>0</v>
      </c>
      <c r="N698" s="227">
        <f>IFERROR(VLOOKUP($AA698,PLAN!$B:$AA,19,0),"")</f>
        <v>0</v>
      </c>
      <c r="O698" s="77" t="str">
        <f>IFERROR(VLOOKUP($AA698,PLAN!$B:$AA,12,0),"")</f>
        <v>1942041-A-C</v>
      </c>
      <c r="P698" s="77">
        <f>IFERROR(VLOOKUP($AA698,PLAN!$B:$AA,11,0),"")</f>
        <v>12120563</v>
      </c>
      <c r="Q698" s="349" t="s">
        <v>817</v>
      </c>
      <c r="R698" s="149" t="s">
        <v>818</v>
      </c>
      <c r="S698" s="149">
        <f t="shared" si="46"/>
        <v>23</v>
      </c>
      <c r="T698" s="131"/>
      <c r="U698" s="78">
        <f>IFERROR(VLOOKUP($AA698,PLAN!$B:$AA,21,0),"")</f>
        <v>46253</v>
      </c>
      <c r="V698" s="78" t="str">
        <f>IFERROR(VLOOKUP($AA698,PLAN!$B:$AA,22,0),"")</f>
        <v>M8</v>
      </c>
      <c r="W698" s="232"/>
      <c r="X698" s="233"/>
      <c r="Y698" s="212"/>
      <c r="Z698" s="350"/>
      <c r="AA698" s="195" t="s">
        <v>4237</v>
      </c>
      <c r="AB698" s="132">
        <f>VLOOKUP(AA698,PLAN!B:V,20,0)</f>
        <v>46253</v>
      </c>
      <c r="AC698" s="132"/>
    </row>
    <row r="699" spans="3:29" s="79" customFormat="1" ht="21.6" customHeight="1">
      <c r="C699" s="249" t="str">
        <f t="shared" si="45"/>
        <v>Aug28-10</v>
      </c>
      <c r="D699" s="77">
        <f>IFERROR(VLOOKUP($AA699,PLAN!$B:$AA,3,0),"")</f>
        <v>11134366</v>
      </c>
      <c r="E699" s="77" t="str">
        <f>IFERROR(VLOOKUP($AA699,PLAN!$B:$AA,4,0),"")</f>
        <v>1941062-G-A</v>
      </c>
      <c r="F699" s="77" t="str">
        <f>IFERROR(VLOOKUP($AA699,PLAN!$B:$AA,5,0),"")</f>
        <v>TLS125-16SSLR JP</v>
      </c>
      <c r="G699" s="77" t="str">
        <f>IFERROR(VLOOKUP($AA699,PLAN!$B:$AA,2,0),"")</f>
        <v>1001942993</v>
      </c>
      <c r="H699" s="113">
        <f>IFERROR(VLOOKUP($AA699,PLAN!$B:$AA,7,0),"")</f>
        <v>46262</v>
      </c>
      <c r="I699" s="77" t="str">
        <f>IFERROR(VLOOKUP($AA699,PLAN!$B:$AA,8,0),"")</f>
        <v>0103603912</v>
      </c>
      <c r="J699" s="77" t="str">
        <f>IFERROR(VLOOKUP($AA699,PLAN!$B:$AA,9,0),"")</f>
        <v>260813K10A</v>
      </c>
      <c r="K699" s="77">
        <f>IFERROR(VLOOKUP($AA699,PLAN!$B:$AA,10,0),"")</f>
        <v>5</v>
      </c>
      <c r="L699" s="77" t="str">
        <f>IFERROR(VLOOKUP($AA699,PLAN!$B:$AA,15,0),"")</f>
        <v>J-sales</v>
      </c>
      <c r="M699" s="77">
        <f>IFERROR(VLOOKUP($AA699,PLAN!$B:$AA,18,0),"")</f>
        <v>0</v>
      </c>
      <c r="N699" s="227">
        <f>IFERROR(VLOOKUP($AA699,PLAN!$B:$AA,19,0),"")</f>
        <v>0</v>
      </c>
      <c r="O699" s="77" t="str">
        <f>IFERROR(VLOOKUP($AA699,PLAN!$B:$AA,12,0),"")</f>
        <v>1942085-B-C</v>
      </c>
      <c r="P699" s="77">
        <f>IFERROR(VLOOKUP($AA699,PLAN!$B:$AA,11,0),"")</f>
        <v>12120529</v>
      </c>
      <c r="Q699" s="148" t="s">
        <v>544</v>
      </c>
      <c r="R699" s="222" t="s">
        <v>545</v>
      </c>
      <c r="S699" s="149">
        <f t="shared" si="46"/>
        <v>5</v>
      </c>
      <c r="T699" s="131"/>
      <c r="U699" s="78">
        <f>IFERROR(VLOOKUP($AA699,PLAN!$B:$AA,21,0),"")</f>
        <v>46253</v>
      </c>
      <c r="V699" s="78" t="str">
        <f>IFERROR(VLOOKUP($AA699,PLAN!$B:$AA,22,0),"")</f>
        <v>M8</v>
      </c>
      <c r="W699" s="232"/>
      <c r="X699" s="233"/>
      <c r="Y699" s="212"/>
      <c r="Z699" s="350"/>
      <c r="AA699" s="195" t="s">
        <v>4238</v>
      </c>
      <c r="AB699" s="132">
        <f>VLOOKUP(AA699,PLAN!B:V,20,0)</f>
        <v>46253</v>
      </c>
      <c r="AC699" s="132"/>
    </row>
    <row r="700" spans="3:29" s="79" customFormat="1" ht="21.6" customHeight="1">
      <c r="C700" s="249" t="str">
        <f t="shared" si="45"/>
        <v>Aug28-11</v>
      </c>
      <c r="D700" s="77">
        <f>IFERROR(VLOOKUP($AA700,PLAN!$B:$AA,3,0),"")</f>
        <v>11132001</v>
      </c>
      <c r="E700" s="77" t="str">
        <f>IFERROR(VLOOKUP($AA700,PLAN!$B:$AA,4,0),"")</f>
        <v>1941063-D-A</v>
      </c>
      <c r="F700" s="77" t="str">
        <f>IFERROR(VLOOKUP($AA700,PLAN!$B:$AA,5,0),"")</f>
        <v>TLS105-16YR JP</v>
      </c>
      <c r="G700" s="77" t="str">
        <f>IFERROR(VLOOKUP($AA700,PLAN!$B:$AA,2,0),"")</f>
        <v>1001942994</v>
      </c>
      <c r="H700" s="113">
        <f>IFERROR(VLOOKUP($AA700,PLAN!$B:$AA,7,0),"")</f>
        <v>46262</v>
      </c>
      <c r="I700" s="77" t="str">
        <f>IFERROR(VLOOKUP($AA700,PLAN!$B:$AA,8,0),"")</f>
        <v>0103603913</v>
      </c>
      <c r="J700" s="77" t="str">
        <f>IFERROR(VLOOKUP($AA700,PLAN!$B:$AA,9,0),"")</f>
        <v>260813K11A</v>
      </c>
      <c r="K700" s="77">
        <f>IFERROR(VLOOKUP($AA700,PLAN!$B:$AA,10,0),"")</f>
        <v>8</v>
      </c>
      <c r="L700" s="77" t="str">
        <f>IFERROR(VLOOKUP($AA700,PLAN!$B:$AA,15,0),"")</f>
        <v>J-sales</v>
      </c>
      <c r="M700" s="77">
        <f>IFERROR(VLOOKUP($AA700,PLAN!$B:$AA,18,0),"")</f>
        <v>0</v>
      </c>
      <c r="N700" s="227">
        <f>IFERROR(VLOOKUP($AA700,PLAN!$B:$AA,19,0),"")</f>
        <v>0</v>
      </c>
      <c r="O700" s="77" t="str">
        <f>IFERROR(VLOOKUP($AA700,PLAN!$B:$AA,12,0),"")</f>
        <v>1942078-A-C</v>
      </c>
      <c r="P700" s="77">
        <f>IFERROR(VLOOKUP($AA700,PLAN!$B:$AA,11,0),"")</f>
        <v>12120522</v>
      </c>
      <c r="Q700" s="349" t="s">
        <v>2935</v>
      </c>
      <c r="R700" s="149" t="s">
        <v>2936</v>
      </c>
      <c r="S700" s="149">
        <f t="shared" si="46"/>
        <v>8</v>
      </c>
      <c r="T700" s="131"/>
      <c r="U700" s="78">
        <f>IFERROR(VLOOKUP($AA700,PLAN!$B:$AA,21,0),"")</f>
        <v>46253</v>
      </c>
      <c r="V700" s="78" t="str">
        <f>IFERROR(VLOOKUP($AA700,PLAN!$B:$AA,22,0),"")</f>
        <v>M8</v>
      </c>
      <c r="W700" s="232"/>
      <c r="X700" s="233"/>
      <c r="Y700" s="212"/>
      <c r="Z700" s="350"/>
      <c r="AA700" s="195" t="s">
        <v>4239</v>
      </c>
      <c r="AB700" s="132">
        <f>VLOOKUP(AA700,PLAN!B:V,20,0)</f>
        <v>46253</v>
      </c>
      <c r="AC700" s="132"/>
    </row>
    <row r="701" spans="3:29" s="79" customFormat="1" ht="21.6" customHeight="1">
      <c r="C701" s="249" t="str">
        <f t="shared" si="45"/>
        <v>Aug28-12</v>
      </c>
      <c r="D701" s="77">
        <f>IFERROR(VLOOKUP($AA701,PLAN!$B:$AA,3,0),"")</f>
        <v>11134360</v>
      </c>
      <c r="E701" s="77" t="str">
        <f>IFERROR(VLOOKUP($AA701,PLAN!$B:$AA,4,0),"")</f>
        <v>1941056-F-A</v>
      </c>
      <c r="F701" s="77" t="str">
        <f>IFERROR(VLOOKUP($AA701,PLAN!$B:$AA,5,0),"")</f>
        <v>TLS105-16SR JP</v>
      </c>
      <c r="G701" s="77" t="str">
        <f>IFERROR(VLOOKUP($AA701,PLAN!$B:$AA,2,0),"")</f>
        <v>1001942995</v>
      </c>
      <c r="H701" s="113">
        <f>IFERROR(VLOOKUP($AA701,PLAN!$B:$AA,7,0),"")</f>
        <v>46262</v>
      </c>
      <c r="I701" s="77" t="str">
        <f>IFERROR(VLOOKUP($AA701,PLAN!$B:$AA,8,0),"")</f>
        <v>0103603914</v>
      </c>
      <c r="J701" s="77" t="str">
        <f>IFERROR(VLOOKUP($AA701,PLAN!$B:$AA,9,0),"")</f>
        <v>260813K12A</v>
      </c>
      <c r="K701" s="77">
        <f>IFERROR(VLOOKUP($AA701,PLAN!$B:$AA,10,0),"")</f>
        <v>17</v>
      </c>
      <c r="L701" s="77" t="str">
        <f>IFERROR(VLOOKUP($AA701,PLAN!$B:$AA,15,0),"")</f>
        <v>J-sales</v>
      </c>
      <c r="M701" s="77">
        <f>IFERROR(VLOOKUP($AA701,PLAN!$B:$AA,18,0),"")</f>
        <v>0</v>
      </c>
      <c r="N701" s="227">
        <f>IFERROR(VLOOKUP($AA701,PLAN!$B:$AA,19,0),"")</f>
        <v>0</v>
      </c>
      <c r="O701" s="77" t="str">
        <f>IFERROR(VLOOKUP($AA701,PLAN!$B:$AA,12,0),"")</f>
        <v>1942078-A-C</v>
      </c>
      <c r="P701" s="77">
        <f>IFERROR(VLOOKUP($AA701,PLAN!$B:$AA,11,0),"")</f>
        <v>12120522</v>
      </c>
      <c r="Q701" s="349" t="s">
        <v>2935</v>
      </c>
      <c r="R701" s="149" t="s">
        <v>2936</v>
      </c>
      <c r="S701" s="149">
        <f t="shared" si="46"/>
        <v>17</v>
      </c>
      <c r="T701" s="131"/>
      <c r="U701" s="78">
        <f>IFERROR(VLOOKUP($AA701,PLAN!$B:$AA,21,0),"")</f>
        <v>46253</v>
      </c>
      <c r="V701" s="78" t="str">
        <f>IFERROR(VLOOKUP($AA701,PLAN!$B:$AA,22,0),"")</f>
        <v>M8</v>
      </c>
      <c r="W701" s="232"/>
      <c r="X701" s="233"/>
      <c r="Y701" s="212"/>
      <c r="Z701" s="350"/>
      <c r="AA701" s="195" t="s">
        <v>4240</v>
      </c>
      <c r="AB701" s="132">
        <f>VLOOKUP(AA701,PLAN!B:V,20,0)</f>
        <v>46253</v>
      </c>
      <c r="AC701" s="132"/>
    </row>
    <row r="702" spans="3:29" s="79" customFormat="1" ht="21.6" customHeight="1">
      <c r="C702" s="249" t="str">
        <f t="shared" si="45"/>
        <v>Aug28-13</v>
      </c>
      <c r="D702" s="77">
        <f>IFERROR(VLOOKUP($AA702,PLAN!$B:$AA,3,0),"")</f>
        <v>11132002</v>
      </c>
      <c r="E702" s="77" t="str">
        <f>IFERROR(VLOOKUP($AA702,PLAN!$B:$AA,4,0),"")</f>
        <v>1941064-D-A</v>
      </c>
      <c r="F702" s="77" t="str">
        <f>IFERROR(VLOOKUP($AA702,PLAN!$B:$AA,5,0),"")</f>
        <v>TLS125-16YR JP</v>
      </c>
      <c r="G702" s="77" t="str">
        <f>IFERROR(VLOOKUP($AA702,PLAN!$B:$AA,2,0),"")</f>
        <v>1001942996</v>
      </c>
      <c r="H702" s="113">
        <f>IFERROR(VLOOKUP($AA702,PLAN!$B:$AA,7,0),"")</f>
        <v>46262</v>
      </c>
      <c r="I702" s="77" t="str">
        <f>IFERROR(VLOOKUP($AA702,PLAN!$B:$AA,8,0),"")</f>
        <v>0103603915</v>
      </c>
      <c r="J702" s="77" t="str">
        <f>IFERROR(VLOOKUP($AA702,PLAN!$B:$AA,9,0),"")</f>
        <v>260813K13A</v>
      </c>
      <c r="K702" s="77">
        <f>IFERROR(VLOOKUP($AA702,PLAN!$B:$AA,10,0),"")</f>
        <v>26</v>
      </c>
      <c r="L702" s="77" t="str">
        <f>IFERROR(VLOOKUP($AA702,PLAN!$B:$AA,15,0),"")</f>
        <v>J-sales</v>
      </c>
      <c r="M702" s="77">
        <f>IFERROR(VLOOKUP($AA702,PLAN!$B:$AA,18,0),"")</f>
        <v>0</v>
      </c>
      <c r="N702" s="227">
        <f>IFERROR(VLOOKUP($AA702,PLAN!$B:$AA,19,0),"")</f>
        <v>0</v>
      </c>
      <c r="O702" s="77" t="str">
        <f>IFERROR(VLOOKUP($AA702,PLAN!$B:$AA,12,0),"")</f>
        <v>1942079-A-C</v>
      </c>
      <c r="P702" s="77">
        <f>IFERROR(VLOOKUP($AA702,PLAN!$B:$AA,11,0),"")</f>
        <v>12120523</v>
      </c>
      <c r="Q702" s="349" t="s">
        <v>2937</v>
      </c>
      <c r="R702" s="149" t="s">
        <v>2938</v>
      </c>
      <c r="S702" s="149">
        <f t="shared" si="46"/>
        <v>26</v>
      </c>
      <c r="T702" s="131"/>
      <c r="U702" s="78">
        <f>IFERROR(VLOOKUP($AA702,PLAN!$B:$AA,21,0),"")</f>
        <v>46253</v>
      </c>
      <c r="V702" s="78" t="str">
        <f>IFERROR(VLOOKUP($AA702,PLAN!$B:$AA,22,0),"")</f>
        <v>M8</v>
      </c>
      <c r="W702" s="232"/>
      <c r="X702" s="233"/>
      <c r="Y702" s="212"/>
      <c r="Z702" s="350"/>
      <c r="AA702" s="195" t="s">
        <v>4241</v>
      </c>
      <c r="AB702" s="132">
        <f>VLOOKUP(AA702,PLAN!B:V,20,0)</f>
        <v>46253</v>
      </c>
      <c r="AC702" s="132"/>
    </row>
    <row r="703" spans="3:29" s="79" customFormat="1" ht="21.6" customHeight="1">
      <c r="C703" s="249" t="str">
        <f t="shared" si="45"/>
        <v>Aug28-14</v>
      </c>
      <c r="D703" s="77">
        <f>IFERROR(VLOOKUP($AA703,PLAN!$B:$AA,3,0),"")</f>
        <v>11134361</v>
      </c>
      <c r="E703" s="77" t="str">
        <f>IFERROR(VLOOKUP($AA703,PLAN!$B:$AA,4,0),"")</f>
        <v>1941057-F-A</v>
      </c>
      <c r="F703" s="77" t="str">
        <f>IFERROR(VLOOKUP($AA703,PLAN!$B:$AA,5,0),"")</f>
        <v>TLS125-16SR JP</v>
      </c>
      <c r="G703" s="77" t="str">
        <f>IFERROR(VLOOKUP($AA703,PLAN!$B:$AA,2,0),"")</f>
        <v>1001942997</v>
      </c>
      <c r="H703" s="113">
        <f>IFERROR(VLOOKUP($AA703,PLAN!$B:$AA,7,0),"")</f>
        <v>46262</v>
      </c>
      <c r="I703" s="77" t="str">
        <f>IFERROR(VLOOKUP($AA703,PLAN!$B:$AA,8,0),"")</f>
        <v>0103603916</v>
      </c>
      <c r="J703" s="77" t="str">
        <f>IFERROR(VLOOKUP($AA703,PLAN!$B:$AA,9,0),"")</f>
        <v>260813K14A</v>
      </c>
      <c r="K703" s="77">
        <f>IFERROR(VLOOKUP($AA703,PLAN!$B:$AA,10,0),"")</f>
        <v>53</v>
      </c>
      <c r="L703" s="77" t="str">
        <f>IFERROR(VLOOKUP($AA703,PLAN!$B:$AA,15,0),"")</f>
        <v>J-sales</v>
      </c>
      <c r="M703" s="77">
        <f>IFERROR(VLOOKUP($AA703,PLAN!$B:$AA,18,0),"")</f>
        <v>0</v>
      </c>
      <c r="N703" s="227">
        <f>IFERROR(VLOOKUP($AA703,PLAN!$B:$AA,19,0),"")</f>
        <v>0</v>
      </c>
      <c r="O703" s="77" t="str">
        <f>IFERROR(VLOOKUP($AA703,PLAN!$B:$AA,12,0),"")</f>
        <v>1942079-A-C</v>
      </c>
      <c r="P703" s="77">
        <f>IFERROR(VLOOKUP($AA703,PLAN!$B:$AA,11,0),"")</f>
        <v>12120523</v>
      </c>
      <c r="Q703" s="349" t="s">
        <v>2937</v>
      </c>
      <c r="R703" s="149" t="s">
        <v>2938</v>
      </c>
      <c r="S703" s="149">
        <f t="shared" si="46"/>
        <v>53</v>
      </c>
      <c r="T703" s="131"/>
      <c r="U703" s="78">
        <f>IFERROR(VLOOKUP($AA703,PLAN!$B:$AA,21,0),"")</f>
        <v>46253</v>
      </c>
      <c r="V703" s="78" t="str">
        <f>IFERROR(VLOOKUP($AA703,PLAN!$B:$AA,22,0),"")</f>
        <v>M8</v>
      </c>
      <c r="W703" s="232"/>
      <c r="X703" s="233"/>
      <c r="Y703" s="212"/>
      <c r="Z703" s="350"/>
      <c r="AA703" s="195" t="s">
        <v>4242</v>
      </c>
      <c r="AB703" s="132">
        <f>VLOOKUP(AA703,PLAN!B:V,20,0)</f>
        <v>46253</v>
      </c>
      <c r="AC703" s="132"/>
    </row>
    <row r="704" spans="3:29" s="79" customFormat="1" ht="21.6" customHeight="1">
      <c r="C704" s="249" t="str">
        <f t="shared" si="45"/>
        <v>Aug28-15</v>
      </c>
      <c r="D704" s="77">
        <f>IFERROR(VLOOKUP($AA704,PLAN!$B:$AA,3,0),"")</f>
        <v>11134343</v>
      </c>
      <c r="E704" s="77" t="str">
        <f>IFERROR(VLOOKUP($AA704,PLAN!$B:$AA,4,0),"")</f>
        <v>1941029-F-A</v>
      </c>
      <c r="F704" s="77" t="str">
        <f>IFERROR(VLOOKUP($AA704,PLAN!$B:$AA,5,0),"")</f>
        <v>VEL105-16SR JP</v>
      </c>
      <c r="G704" s="77" t="str">
        <f>IFERROR(VLOOKUP($AA704,PLAN!$B:$AA,2,0),"")</f>
        <v>1001942998</v>
      </c>
      <c r="H704" s="113">
        <f>IFERROR(VLOOKUP($AA704,PLAN!$B:$AA,7,0),"")</f>
        <v>46262</v>
      </c>
      <c r="I704" s="77" t="str">
        <f>IFERROR(VLOOKUP($AA704,PLAN!$B:$AA,8,0),"")</f>
        <v>0103603917</v>
      </c>
      <c r="J704" s="77" t="str">
        <f>IFERROR(VLOOKUP($AA704,PLAN!$B:$AA,9,0),"")</f>
        <v>260813K15A</v>
      </c>
      <c r="K704" s="77">
        <f>IFERROR(VLOOKUP($AA704,PLAN!$B:$AA,10,0),"")</f>
        <v>8</v>
      </c>
      <c r="L704" s="77" t="str">
        <f>IFERROR(VLOOKUP($AA704,PLAN!$B:$AA,15,0),"")</f>
        <v>JAPAN</v>
      </c>
      <c r="M704" s="77">
        <f>IFERROR(VLOOKUP($AA704,PLAN!$B:$AA,18,0),"")</f>
        <v>0</v>
      </c>
      <c r="N704" s="227">
        <f>IFERROR(VLOOKUP($AA704,PLAN!$B:$AA,19,0),"")</f>
        <v>0</v>
      </c>
      <c r="O704" s="77" t="str">
        <f>IFERROR(VLOOKUP($AA704,PLAN!$B:$AA,12,0),"")</f>
        <v>1942060-A-C</v>
      </c>
      <c r="P704" s="77">
        <f>IFERROR(VLOOKUP($AA704,PLAN!$B:$AA,11,0),"")</f>
        <v>12120504</v>
      </c>
      <c r="Q704" s="349" t="s">
        <v>831</v>
      </c>
      <c r="R704" s="149" t="s">
        <v>832</v>
      </c>
      <c r="S704" s="149">
        <f t="shared" si="46"/>
        <v>8</v>
      </c>
      <c r="T704" s="131"/>
      <c r="U704" s="78">
        <f>IFERROR(VLOOKUP($AA704,PLAN!$B:$AA,21,0),"")</f>
        <v>46253</v>
      </c>
      <c r="V704" s="78" t="str">
        <f>IFERROR(VLOOKUP($AA704,PLAN!$B:$AA,22,0),"")</f>
        <v>M8</v>
      </c>
      <c r="W704" s="232"/>
      <c r="X704" s="233"/>
      <c r="Y704" s="212"/>
      <c r="Z704" s="350"/>
      <c r="AA704" s="195" t="s">
        <v>4243</v>
      </c>
      <c r="AB704" s="132">
        <f>VLOOKUP(AA704,PLAN!B:V,20,0)</f>
        <v>46253</v>
      </c>
      <c r="AC704" s="132"/>
    </row>
    <row r="705" spans="3:29" s="79" customFormat="1" ht="21.6" customHeight="1">
      <c r="C705" s="249" t="str">
        <f t="shared" si="45"/>
        <v>Aug28-16</v>
      </c>
      <c r="D705" s="77">
        <f>IFERROR(VLOOKUP($AA705,PLAN!$B:$AA,3,0),"")</f>
        <v>11134345</v>
      </c>
      <c r="E705" s="77" t="str">
        <f>IFERROR(VLOOKUP($AA705,PLAN!$B:$AA,4,0),"")</f>
        <v>1941031-F-A</v>
      </c>
      <c r="F705" s="77" t="str">
        <f>IFERROR(VLOOKUP($AA705,PLAN!$B:$AA,5,0),"")</f>
        <v>VEL150-16SR JP</v>
      </c>
      <c r="G705" s="77" t="str">
        <f>IFERROR(VLOOKUP($AA705,PLAN!$B:$AA,2,0),"")</f>
        <v>1001942999</v>
      </c>
      <c r="H705" s="113">
        <f>IFERROR(VLOOKUP($AA705,PLAN!$B:$AA,7,0),"")</f>
        <v>46262</v>
      </c>
      <c r="I705" s="77" t="str">
        <f>IFERROR(VLOOKUP($AA705,PLAN!$B:$AA,8,0),"")</f>
        <v>0103603918</v>
      </c>
      <c r="J705" s="77" t="str">
        <f>IFERROR(VLOOKUP($AA705,PLAN!$B:$AA,9,0),"")</f>
        <v>260813K16A</v>
      </c>
      <c r="K705" s="77">
        <f>IFERROR(VLOOKUP($AA705,PLAN!$B:$AA,10,0),"")</f>
        <v>10</v>
      </c>
      <c r="L705" s="77" t="str">
        <f>IFERROR(VLOOKUP($AA705,PLAN!$B:$AA,15,0),"")</f>
        <v>JAPAN</v>
      </c>
      <c r="M705" s="77">
        <f>IFERROR(VLOOKUP($AA705,PLAN!$B:$AA,18,0),"")</f>
        <v>0</v>
      </c>
      <c r="N705" s="227">
        <f>IFERROR(VLOOKUP($AA705,PLAN!$B:$AA,19,0),"")</f>
        <v>0</v>
      </c>
      <c r="O705" s="77" t="str">
        <f>IFERROR(VLOOKUP($AA705,PLAN!$B:$AA,12,0),"")</f>
        <v>1942062-A-C</v>
      </c>
      <c r="P705" s="77">
        <f>IFERROR(VLOOKUP($AA705,PLAN!$B:$AA,11,0),"")</f>
        <v>12120506</v>
      </c>
      <c r="Q705" s="349" t="s">
        <v>4288</v>
      </c>
      <c r="R705" s="149" t="s">
        <v>4289</v>
      </c>
      <c r="S705" s="149">
        <f t="shared" si="46"/>
        <v>10</v>
      </c>
      <c r="T705" s="131"/>
      <c r="U705" s="78">
        <f>IFERROR(VLOOKUP($AA705,PLAN!$B:$AA,21,0),"")</f>
        <v>46253</v>
      </c>
      <c r="V705" s="78" t="str">
        <f>IFERROR(VLOOKUP($AA705,PLAN!$B:$AA,22,0),"")</f>
        <v>M8</v>
      </c>
      <c r="W705" s="232"/>
      <c r="X705" s="233"/>
      <c r="Y705" s="212"/>
      <c r="Z705" s="350"/>
      <c r="AA705" s="195" t="s">
        <v>4244</v>
      </c>
      <c r="AB705" s="132">
        <f>VLOOKUP(AA705,PLAN!B:V,20,0)</f>
        <v>46253</v>
      </c>
      <c r="AC705" s="132"/>
    </row>
    <row r="706" spans="3:29" s="79" customFormat="1" ht="21.6" customHeight="1">
      <c r="C706" s="249" t="str">
        <f t="shared" si="45"/>
        <v>Aug28-17</v>
      </c>
      <c r="D706" s="77">
        <f>IFERROR(VLOOKUP($AA706,PLAN!$B:$AA,3,0),"")</f>
        <v>11134344</v>
      </c>
      <c r="E706" s="77" t="str">
        <f>IFERROR(VLOOKUP($AA706,PLAN!$B:$AA,4,0),"")</f>
        <v>1941030-F-A</v>
      </c>
      <c r="F706" s="77" t="str">
        <f>IFERROR(VLOOKUP($AA706,PLAN!$B:$AA,5,0),"")</f>
        <v>VEL125-16SR JP</v>
      </c>
      <c r="G706" s="77" t="str">
        <f>IFERROR(VLOOKUP($AA706,PLAN!$B:$AA,2,0),"")</f>
        <v>1001943000</v>
      </c>
      <c r="H706" s="113">
        <f>IFERROR(VLOOKUP($AA706,PLAN!$B:$AA,7,0),"")</f>
        <v>46262</v>
      </c>
      <c r="I706" s="77" t="str">
        <f>IFERROR(VLOOKUP($AA706,PLAN!$B:$AA,8,0),"")</f>
        <v>0103603919</v>
      </c>
      <c r="J706" s="77" t="str">
        <f>IFERROR(VLOOKUP($AA706,PLAN!$B:$AA,9,0),"")</f>
        <v>260813K17A</v>
      </c>
      <c r="K706" s="77">
        <f>IFERROR(VLOOKUP($AA706,PLAN!$B:$AA,10,0),"")</f>
        <v>84</v>
      </c>
      <c r="L706" s="77" t="str">
        <f>IFERROR(VLOOKUP($AA706,PLAN!$B:$AA,15,0),"")</f>
        <v>JAPAN</v>
      </c>
      <c r="M706" s="77">
        <f>IFERROR(VLOOKUP($AA706,PLAN!$B:$AA,18,0),"")</f>
        <v>0</v>
      </c>
      <c r="N706" s="227">
        <f>IFERROR(VLOOKUP($AA706,PLAN!$B:$AA,19,0),"")</f>
        <v>0</v>
      </c>
      <c r="O706" s="77" t="str">
        <f>IFERROR(VLOOKUP($AA706,PLAN!$B:$AA,12,0),"")</f>
        <v>1942061-A-C</v>
      </c>
      <c r="P706" s="77">
        <f>IFERROR(VLOOKUP($AA706,PLAN!$B:$AA,11,0),"")</f>
        <v>12120505</v>
      </c>
      <c r="Q706" s="349" t="s">
        <v>2941</v>
      </c>
      <c r="R706" s="149" t="s">
        <v>2942</v>
      </c>
      <c r="S706" s="149">
        <f t="shared" si="46"/>
        <v>84</v>
      </c>
      <c r="T706" s="131"/>
      <c r="U706" s="78">
        <f>IFERROR(VLOOKUP($AA706,PLAN!$B:$AA,21,0),"")</f>
        <v>46253</v>
      </c>
      <c r="V706" s="78" t="str">
        <f>IFERROR(VLOOKUP($AA706,PLAN!$B:$AA,22,0),"")</f>
        <v>M8</v>
      </c>
      <c r="W706" s="232"/>
      <c r="X706" s="233"/>
      <c r="Y706" s="212"/>
      <c r="Z706" s="350"/>
      <c r="AA706" s="195" t="s">
        <v>4245</v>
      </c>
      <c r="AB706" s="132">
        <f>VLOOKUP(AA706,PLAN!B:V,20,0)</f>
        <v>46253</v>
      </c>
      <c r="AC706" s="132"/>
    </row>
    <row r="707" spans="3:29" s="79" customFormat="1" ht="21.6" customHeight="1">
      <c r="C707" s="249" t="str">
        <f t="shared" si="45"/>
        <v>Aug28-18</v>
      </c>
      <c r="D707" s="77">
        <f>IFERROR(VLOOKUP($AA707,PLAN!$B:$AA,3,0),"")</f>
        <v>11127835</v>
      </c>
      <c r="E707" s="77" t="str">
        <f>IFERROR(VLOOKUP($AA707,PLAN!$B:$AA,4,0),"")</f>
        <v>1941079-D-A</v>
      </c>
      <c r="F707" s="77" t="str">
        <f>IFERROR(VLOOKUP($AA707,PLAN!$B:$AA,5,0),"")</f>
        <v>CSRP135-26NR JP</v>
      </c>
      <c r="G707" s="77" t="str">
        <f>IFERROR(VLOOKUP($AA707,PLAN!$B:$AA,2,0),"")</f>
        <v>1001943001</v>
      </c>
      <c r="H707" s="113">
        <f>IFERROR(VLOOKUP($AA707,PLAN!$B:$AA,7,0),"")</f>
        <v>46262</v>
      </c>
      <c r="I707" s="77" t="str">
        <f>IFERROR(VLOOKUP($AA707,PLAN!$B:$AA,8,0),"")</f>
        <v>0103603920</v>
      </c>
      <c r="J707" s="77" t="str">
        <f>IFERROR(VLOOKUP($AA707,PLAN!$B:$AA,9,0),"")</f>
        <v>260813K18A</v>
      </c>
      <c r="K707" s="77">
        <f>IFERROR(VLOOKUP($AA707,PLAN!$B:$AA,10,0),"")</f>
        <v>335</v>
      </c>
      <c r="L707" s="77" t="str">
        <f>IFERROR(VLOOKUP($AA707,PLAN!$B:$AA,15,0),"")</f>
        <v>JAPAN</v>
      </c>
      <c r="M707" s="77">
        <f>IFERROR(VLOOKUP($AA707,PLAN!$B:$AA,18,0),"")</f>
        <v>0</v>
      </c>
      <c r="N707" s="227">
        <f>IFERROR(VLOOKUP($AA707,PLAN!$B:$AA,19,0),"")</f>
        <v>0</v>
      </c>
      <c r="O707" s="77" t="str">
        <f>IFERROR(VLOOKUP($AA707,PLAN!$B:$AA,12,0),"")</f>
        <v>1942114-B-C</v>
      </c>
      <c r="P707" s="77">
        <f>IFERROR(VLOOKUP($AA707,PLAN!$B:$AA,11,0),"")</f>
        <v>12120581</v>
      </c>
      <c r="Q707" s="277" t="s">
        <v>515</v>
      </c>
      <c r="R707" s="149" t="s">
        <v>516</v>
      </c>
      <c r="S707" s="223">
        <v>26</v>
      </c>
      <c r="T707" s="131"/>
      <c r="U707" s="78">
        <f>IFERROR(VLOOKUP($AA707,PLAN!$B:$AA,21,0),"")</f>
        <v>46253</v>
      </c>
      <c r="V707" s="78" t="str">
        <f>IFERROR(VLOOKUP($AA707,PLAN!$B:$AA,22,0),"")</f>
        <v>M8</v>
      </c>
      <c r="W707" s="232"/>
      <c r="X707" s="233"/>
      <c r="Y707" s="212"/>
      <c r="Z707" s="350"/>
      <c r="AA707" s="195" t="s">
        <v>4246</v>
      </c>
      <c r="AB707" s="132">
        <f>VLOOKUP(AA707,PLAN!B:V,20,0)</f>
        <v>46253</v>
      </c>
      <c r="AC707" s="132"/>
    </row>
    <row r="708" spans="3:29" s="79" customFormat="1" ht="21.6" customHeight="1">
      <c r="C708" s="249">
        <f t="shared" si="45"/>
        <v>0</v>
      </c>
      <c r="D708" s="77" t="str">
        <f>IFERROR(VLOOKUP($AA708,PLAN!$B:$AA,3,0),"")</f>
        <v/>
      </c>
      <c r="E708" s="77" t="str">
        <f>IFERROR(VLOOKUP($AA708,PLAN!$B:$AA,4,0),"")</f>
        <v/>
      </c>
      <c r="F708" s="77" t="str">
        <f>IFERROR(VLOOKUP($AA708,PLAN!$B:$AA,5,0),"")</f>
        <v/>
      </c>
      <c r="G708" s="77" t="str">
        <f>IFERROR(VLOOKUP($AA708,PLAN!$B:$AA,2,0),"")</f>
        <v/>
      </c>
      <c r="H708" s="113" t="str">
        <f>IFERROR(VLOOKUP($AA708,PLAN!$B:$AA,7,0),"")</f>
        <v/>
      </c>
      <c r="I708" s="77" t="str">
        <f>IFERROR(VLOOKUP($AA708,PLAN!$B:$AA,8,0),"")</f>
        <v/>
      </c>
      <c r="J708" s="77" t="str">
        <f>IFERROR(VLOOKUP($AA708,PLAN!$B:$AA,9,0),"")</f>
        <v/>
      </c>
      <c r="K708" s="77" t="str">
        <f>IFERROR(VLOOKUP($AA708,PLAN!$B:$AA,10,0),"")</f>
        <v/>
      </c>
      <c r="L708" s="77" t="str">
        <f>IFERROR(VLOOKUP($AA708,PLAN!$B:$AA,15,0),"")</f>
        <v/>
      </c>
      <c r="M708" s="77" t="str">
        <f>IFERROR(VLOOKUP($AA708,PLAN!$B:$AA,18,0),"")</f>
        <v/>
      </c>
      <c r="N708" s="227" t="str">
        <f>IFERROR(VLOOKUP($AA708,PLAN!$B:$AA,19,0),"")</f>
        <v/>
      </c>
      <c r="O708" s="77" t="str">
        <f>IFERROR(VLOOKUP($AA708,PLAN!$B:$AA,12,0),"")</f>
        <v/>
      </c>
      <c r="P708" s="77" t="str">
        <f>IFERROR(VLOOKUP($AA708,PLAN!$B:$AA,11,0),"")</f>
        <v/>
      </c>
      <c r="Q708" s="349" t="s">
        <v>4290</v>
      </c>
      <c r="R708" s="158" t="s">
        <v>4291</v>
      </c>
      <c r="S708" s="223">
        <f>K707-S707</f>
        <v>309</v>
      </c>
      <c r="T708" s="131"/>
      <c r="U708" s="78" t="str">
        <f>IFERROR(VLOOKUP($AA708,PLAN!$B:$AA,21,0),"")</f>
        <v/>
      </c>
      <c r="V708" s="78" t="str">
        <f>IFERROR(VLOOKUP($AA708,PLAN!$B:$AA,22,0),"")</f>
        <v/>
      </c>
      <c r="W708" s="232"/>
      <c r="X708" s="233"/>
      <c r="Y708" s="212"/>
      <c r="Z708" s="350"/>
      <c r="AA708" s="195"/>
      <c r="AB708" s="132">
        <v>46253</v>
      </c>
      <c r="AC708" s="132"/>
    </row>
    <row r="709" spans="3:29" s="79" customFormat="1" ht="21.6" customHeight="1">
      <c r="C709" s="249" t="str">
        <f t="shared" si="45"/>
        <v>Aug28-19</v>
      </c>
      <c r="D709" s="77">
        <f>IFERROR(VLOOKUP($AA709,PLAN!$B:$AA,3,0),"")</f>
        <v>11131259</v>
      </c>
      <c r="E709" s="77" t="str">
        <f>IFERROR(VLOOKUP($AA709,PLAN!$B:$AA,4,0),"")</f>
        <v>1941002-D-A</v>
      </c>
      <c r="F709" s="77" t="str">
        <f>IFERROR(VLOOKUP($AA709,PLAN!$B:$AA,5,0),"")</f>
        <v>CSR150-26PR JP</v>
      </c>
      <c r="G709" s="77" t="str">
        <f>IFERROR(VLOOKUP($AA709,PLAN!$B:$AA,2,0),"")</f>
        <v>1001943002</v>
      </c>
      <c r="H709" s="113">
        <f>IFERROR(VLOOKUP($AA709,PLAN!$B:$AA,7,0),"")</f>
        <v>46262</v>
      </c>
      <c r="I709" s="77" t="str">
        <f>IFERROR(VLOOKUP($AA709,PLAN!$B:$AA,8,0),"")</f>
        <v>0103603921</v>
      </c>
      <c r="J709" s="77" t="str">
        <f>IFERROR(VLOOKUP($AA709,PLAN!$B:$AA,9,0),"")</f>
        <v>260813K19A</v>
      </c>
      <c r="K709" s="77">
        <f>IFERROR(VLOOKUP($AA709,PLAN!$B:$AA,10,0),"")</f>
        <v>12</v>
      </c>
      <c r="L709" s="77" t="str">
        <f>IFERROR(VLOOKUP($AA709,PLAN!$B:$AA,15,0),"")</f>
        <v>JAPAN</v>
      </c>
      <c r="M709" s="77">
        <f>IFERROR(VLOOKUP($AA709,PLAN!$B:$AA,18,0),"")</f>
        <v>0</v>
      </c>
      <c r="N709" s="227">
        <f>IFERROR(VLOOKUP($AA709,PLAN!$B:$AA,19,0),"")</f>
        <v>0</v>
      </c>
      <c r="O709" s="77" t="str">
        <f>IFERROR(VLOOKUP($AA709,PLAN!$B:$AA,12,0),"")</f>
        <v>2342020-A-C</v>
      </c>
      <c r="P709" s="77">
        <f>IFERROR(VLOOKUP($AA709,PLAN!$B:$AA,11,0),"")</f>
        <v>12120625</v>
      </c>
      <c r="Q709" s="349" t="s">
        <v>2929</v>
      </c>
      <c r="R709" s="149" t="s">
        <v>2930</v>
      </c>
      <c r="S709" s="149">
        <f t="shared" si="46"/>
        <v>12</v>
      </c>
      <c r="T709" s="131"/>
      <c r="U709" s="78">
        <f>IFERROR(VLOOKUP($AA709,PLAN!$B:$AA,21,0),"")</f>
        <v>46253</v>
      </c>
      <c r="V709" s="78" t="str">
        <f>IFERROR(VLOOKUP($AA709,PLAN!$B:$AA,22,0),"")</f>
        <v>M8</v>
      </c>
      <c r="W709" s="232"/>
      <c r="X709" s="233"/>
      <c r="Y709" s="212"/>
      <c r="Z709" s="350"/>
      <c r="AA709" s="195" t="s">
        <v>4247</v>
      </c>
      <c r="AB709" s="132">
        <f>VLOOKUP(AA709,PLAN!B:V,20,0)</f>
        <v>46253</v>
      </c>
      <c r="AC709" s="132"/>
    </row>
    <row r="710" spans="3:29" s="79" customFormat="1" ht="21.6" customHeight="1">
      <c r="C710" s="249" t="str">
        <f t="shared" si="45"/>
        <v>Aug28-20</v>
      </c>
      <c r="D710" s="77">
        <f>IFERROR(VLOOKUP($AA710,PLAN!$B:$AA,3,0),"")</f>
        <v>11121772</v>
      </c>
      <c r="E710" s="77" t="str">
        <f>IFERROR(VLOOKUP($AA710,PLAN!$B:$AA,4,0),"")</f>
        <v>1941096-B-A</v>
      </c>
      <c r="F710" s="77" t="str">
        <f>IFERROR(VLOOKUP($AA710,PLAN!$B:$AA,5,0),"")</f>
        <v>CSR135-26P US</v>
      </c>
      <c r="G710" s="77" t="str">
        <f>IFERROR(VLOOKUP($AA710,PLAN!$B:$AA,2,0),"")</f>
        <v>1001943003</v>
      </c>
      <c r="H710" s="113">
        <f>IFERROR(VLOOKUP($AA710,PLAN!$B:$AA,7,0),"")</f>
        <v>46262</v>
      </c>
      <c r="I710" s="77" t="str">
        <f>IFERROR(VLOOKUP($AA710,PLAN!$B:$AA,8,0),"")</f>
        <v>0103603922</v>
      </c>
      <c r="J710" s="77" t="str">
        <f>IFERROR(VLOOKUP($AA710,PLAN!$B:$AA,9,0),"")</f>
        <v>260813K20A</v>
      </c>
      <c r="K710" s="77">
        <f>IFERROR(VLOOKUP($AA710,PLAN!$B:$AA,10,0),"")</f>
        <v>90</v>
      </c>
      <c r="L710" s="77" t="str">
        <f>IFERROR(VLOOKUP($AA710,PLAN!$B:$AA,15,0),"")</f>
        <v>USA</v>
      </c>
      <c r="M710" s="77">
        <f>IFERROR(VLOOKUP($AA710,PLAN!$B:$AA,18,0),"")</f>
        <v>0</v>
      </c>
      <c r="N710" s="227">
        <f>IFERROR(VLOOKUP($AA710,PLAN!$B:$AA,19,0),"")</f>
        <v>0</v>
      </c>
      <c r="O710" s="77" t="str">
        <f>IFERROR(VLOOKUP($AA710,PLAN!$B:$AA,12,0),"")</f>
        <v>2342019-A-C</v>
      </c>
      <c r="P710" s="77">
        <f>IFERROR(VLOOKUP($AA710,PLAN!$B:$AA,11,0),"")</f>
        <v>12120624</v>
      </c>
      <c r="Q710" s="277" t="s">
        <v>3732</v>
      </c>
      <c r="R710" s="149" t="s">
        <v>3733</v>
      </c>
      <c r="S710" s="149">
        <f t="shared" si="46"/>
        <v>90</v>
      </c>
      <c r="T710" s="131"/>
      <c r="U710" s="78">
        <f>IFERROR(VLOOKUP($AA710,PLAN!$B:$AA,21,0),"")</f>
        <v>46253</v>
      </c>
      <c r="V710" s="78" t="str">
        <f>IFERROR(VLOOKUP($AA710,PLAN!$B:$AA,22,0),"")</f>
        <v>M8</v>
      </c>
      <c r="W710" s="232"/>
      <c r="X710" s="233"/>
      <c r="Y710" s="212"/>
      <c r="Z710" s="350"/>
      <c r="AA710" s="195" t="s">
        <v>4248</v>
      </c>
      <c r="AB710" s="132">
        <f>VLOOKUP(AA710,PLAN!B:V,20,0)</f>
        <v>46253</v>
      </c>
      <c r="AC710" s="132"/>
    </row>
    <row r="711" spans="3:29" s="79" customFormat="1" ht="21.6" customHeight="1">
      <c r="C711" s="249" t="str">
        <f t="shared" si="45"/>
        <v>Aug28-21</v>
      </c>
      <c r="D711" s="77">
        <f>IFERROR(VLOOKUP($AA711,PLAN!$B:$AA,3,0),"")</f>
        <v>11112479</v>
      </c>
      <c r="E711" s="77" t="str">
        <f>IFERROR(VLOOKUP($AA711,PLAN!$B:$AA,4,0),"")</f>
        <v>PSC35090A-E-A</v>
      </c>
      <c r="F711" s="77" t="str">
        <f>IFERROR(VLOOKUP($AA711,PLAN!$B:$AA,5,0),"")</f>
        <v>PSC35090A US</v>
      </c>
      <c r="G711" s="77" t="str">
        <f>IFERROR(VLOOKUP($AA711,PLAN!$B:$AA,2,0),"")</f>
        <v>1001943004</v>
      </c>
      <c r="H711" s="113">
        <f>IFERROR(VLOOKUP($AA711,PLAN!$B:$AA,7,0),"")</f>
        <v>46262</v>
      </c>
      <c r="I711" s="77" t="str">
        <f>IFERROR(VLOOKUP($AA711,PLAN!$B:$AA,8,0),"")</f>
        <v>0103603924</v>
      </c>
      <c r="J711" s="77" t="str">
        <f>IFERROR(VLOOKUP($AA711,PLAN!$B:$AA,9,0),"")</f>
        <v>260813K21A</v>
      </c>
      <c r="K711" s="77">
        <f>IFERROR(VLOOKUP($AA711,PLAN!$B:$AA,10,0),"")</f>
        <v>20</v>
      </c>
      <c r="L711" s="77" t="str">
        <f>IFERROR(VLOOKUP($AA711,PLAN!$B:$AA,15,0),"")</f>
        <v>USA</v>
      </c>
      <c r="M711" s="77">
        <f>IFERROR(VLOOKUP($AA711,PLAN!$B:$AA,18,0),"")</f>
        <v>0</v>
      </c>
      <c r="N711" s="227">
        <f>IFERROR(VLOOKUP($AA711,PLAN!$B:$AA,19,0),"")</f>
        <v>0</v>
      </c>
      <c r="O711" s="77" t="str">
        <f>IFERROR(VLOOKUP($AA711,PLAN!$B:$AA,12,0),"")</f>
        <v>PSC35090A-E-C</v>
      </c>
      <c r="P711" s="77">
        <f>IFERROR(VLOOKUP($AA711,PLAN!$B:$AA,11,0),"")</f>
        <v>12115902</v>
      </c>
      <c r="Q711" s="349" t="s">
        <v>4292</v>
      </c>
      <c r="R711" s="149" t="s">
        <v>4293</v>
      </c>
      <c r="S711" s="149">
        <f t="shared" si="46"/>
        <v>20</v>
      </c>
      <c r="T711" s="131"/>
      <c r="U711" s="78">
        <f>IFERROR(VLOOKUP($AA711,PLAN!$B:$AA,21,0),"")</f>
        <v>46253</v>
      </c>
      <c r="V711" s="78" t="str">
        <f>IFERROR(VLOOKUP($AA711,PLAN!$B:$AA,22,0),"")</f>
        <v>M8</v>
      </c>
      <c r="W711" s="232"/>
      <c r="X711" s="233"/>
      <c r="Y711" s="212"/>
      <c r="Z711" s="350"/>
      <c r="AA711" s="195" t="s">
        <v>4249</v>
      </c>
      <c r="AB711" s="132">
        <f>VLOOKUP(AA711,PLAN!B:V,20,0)</f>
        <v>46253</v>
      </c>
      <c r="AC711" s="132"/>
    </row>
    <row r="712" spans="3:29" s="79" customFormat="1" ht="21.6" customHeight="1">
      <c r="C712" s="249" t="str">
        <f t="shared" si="45"/>
        <v>Aug28-22</v>
      </c>
      <c r="D712" s="77">
        <f>IFERROR(VLOOKUP($AA712,PLAN!$B:$AA,3,0),"")</f>
        <v>11112486</v>
      </c>
      <c r="E712" s="77" t="str">
        <f>IFERROR(VLOOKUP($AA712,PLAN!$B:$AA,4,0),"")</f>
        <v>PSC35135S-E-A</v>
      </c>
      <c r="F712" s="77" t="str">
        <f>IFERROR(VLOOKUP($AA712,PLAN!$B:$AA,5,0),"")</f>
        <v>PSC35135S US</v>
      </c>
      <c r="G712" s="77" t="str">
        <f>IFERROR(VLOOKUP($AA712,PLAN!$B:$AA,2,0),"")</f>
        <v>1001943005</v>
      </c>
      <c r="H712" s="113">
        <f>IFERROR(VLOOKUP($AA712,PLAN!$B:$AA,7,0),"")</f>
        <v>46262</v>
      </c>
      <c r="I712" s="77" t="str">
        <f>IFERROR(VLOOKUP($AA712,PLAN!$B:$AA,8,0),"")</f>
        <v>0103603925</v>
      </c>
      <c r="J712" s="77" t="str">
        <f>IFERROR(VLOOKUP($AA712,PLAN!$B:$AA,9,0),"")</f>
        <v>260813K22A</v>
      </c>
      <c r="K712" s="77">
        <f>IFERROR(VLOOKUP($AA712,PLAN!$B:$AA,10,0),"")</f>
        <v>35</v>
      </c>
      <c r="L712" s="77" t="str">
        <f>IFERROR(VLOOKUP($AA712,PLAN!$B:$AA,15,0),"")</f>
        <v>USA</v>
      </c>
      <c r="M712" s="77">
        <f>IFERROR(VLOOKUP($AA712,PLAN!$B:$AA,18,0),"")</f>
        <v>0</v>
      </c>
      <c r="N712" s="227">
        <f>IFERROR(VLOOKUP($AA712,PLAN!$B:$AA,19,0),"")</f>
        <v>0</v>
      </c>
      <c r="O712" s="77" t="str">
        <f>IFERROR(VLOOKUP($AA712,PLAN!$B:$AA,12,0),"")</f>
        <v>PSC35135S-E-C</v>
      </c>
      <c r="P712" s="77">
        <f>IFERROR(VLOOKUP($AA712,PLAN!$B:$AA,11,0),"")</f>
        <v>12115909</v>
      </c>
      <c r="Q712" s="277" t="s">
        <v>4294</v>
      </c>
      <c r="R712" s="149" t="s">
        <v>4295</v>
      </c>
      <c r="S712" s="223">
        <v>2</v>
      </c>
      <c r="T712" s="131"/>
      <c r="U712" s="78">
        <f>IFERROR(VLOOKUP($AA712,PLAN!$B:$AA,21,0),"")</f>
        <v>46253</v>
      </c>
      <c r="V712" s="78" t="str">
        <f>IFERROR(VLOOKUP($AA712,PLAN!$B:$AA,22,0),"")</f>
        <v>M8</v>
      </c>
      <c r="W712" s="232"/>
      <c r="X712" s="233"/>
      <c r="Y712" s="212"/>
      <c r="Z712" s="350"/>
      <c r="AA712" s="195" t="s">
        <v>4250</v>
      </c>
      <c r="AB712" s="132">
        <f>VLOOKUP(AA712,PLAN!B:V,20,0)</f>
        <v>46253</v>
      </c>
      <c r="AC712" s="132"/>
    </row>
    <row r="713" spans="3:29" s="79" customFormat="1" ht="21.6" customHeight="1">
      <c r="C713" s="249">
        <f t="shared" si="45"/>
        <v>0</v>
      </c>
      <c r="D713" s="77" t="str">
        <f>IFERROR(VLOOKUP($AA713,PLAN!$B:$AA,3,0),"")</f>
        <v/>
      </c>
      <c r="E713" s="77" t="str">
        <f>IFERROR(VLOOKUP($AA713,PLAN!$B:$AA,4,0),"")</f>
        <v/>
      </c>
      <c r="F713" s="77" t="str">
        <f>IFERROR(VLOOKUP($AA713,PLAN!$B:$AA,5,0),"")</f>
        <v/>
      </c>
      <c r="G713" s="77" t="str">
        <f>IFERROR(VLOOKUP($AA713,PLAN!$B:$AA,2,0),"")</f>
        <v/>
      </c>
      <c r="H713" s="113" t="str">
        <f>IFERROR(VLOOKUP($AA713,PLAN!$B:$AA,7,0),"")</f>
        <v/>
      </c>
      <c r="I713" s="77" t="str">
        <f>IFERROR(VLOOKUP($AA713,PLAN!$B:$AA,8,0),"")</f>
        <v/>
      </c>
      <c r="J713" s="77" t="str">
        <f>IFERROR(VLOOKUP($AA713,PLAN!$B:$AA,9,0),"")</f>
        <v/>
      </c>
      <c r="K713" s="77" t="str">
        <f>IFERROR(VLOOKUP($AA713,PLAN!$B:$AA,10,0),"")</f>
        <v/>
      </c>
      <c r="L713" s="77" t="str">
        <f>IFERROR(VLOOKUP($AA713,PLAN!$B:$AA,15,0),"")</f>
        <v/>
      </c>
      <c r="M713" s="77" t="str">
        <f>IFERROR(VLOOKUP($AA713,PLAN!$B:$AA,18,0),"")</f>
        <v/>
      </c>
      <c r="N713" s="227" t="str">
        <f>IFERROR(VLOOKUP($AA713,PLAN!$B:$AA,19,0),"")</f>
        <v/>
      </c>
      <c r="O713" s="77" t="str">
        <f>IFERROR(VLOOKUP($AA713,PLAN!$B:$AA,12,0),"")</f>
        <v/>
      </c>
      <c r="P713" s="77" t="str">
        <f>IFERROR(VLOOKUP($AA713,PLAN!$B:$AA,11,0),"")</f>
        <v/>
      </c>
      <c r="Q713" s="349" t="s">
        <v>4296</v>
      </c>
      <c r="R713" s="222" t="s">
        <v>4297</v>
      </c>
      <c r="S713" s="223">
        <f>K712-S712</f>
        <v>33</v>
      </c>
      <c r="T713" s="131"/>
      <c r="U713" s="78" t="str">
        <f>IFERROR(VLOOKUP($AA713,PLAN!$B:$AA,21,0),"")</f>
        <v/>
      </c>
      <c r="V713" s="78" t="str">
        <f>IFERROR(VLOOKUP($AA713,PLAN!$B:$AA,22,0),"")</f>
        <v/>
      </c>
      <c r="W713" s="232"/>
      <c r="X713" s="233"/>
      <c r="Y713" s="212"/>
      <c r="Z713" s="350"/>
      <c r="AA713" s="195"/>
      <c r="AB713" s="132">
        <v>46253</v>
      </c>
      <c r="AC713" s="132"/>
    </row>
    <row r="714" spans="3:29" s="79" customFormat="1" ht="21.6" customHeight="1">
      <c r="C714" s="249" t="str">
        <f t="shared" si="45"/>
        <v>Aug28-23</v>
      </c>
      <c r="D714" s="77">
        <f>IFERROR(VLOOKUP($AA714,PLAN!$B:$AA,3,0),"")</f>
        <v>11112475</v>
      </c>
      <c r="E714" s="77" t="str">
        <f>IFERROR(VLOOKUP($AA714,PLAN!$B:$AA,4,0),"")</f>
        <v>PSC18110S-D-A</v>
      </c>
      <c r="F714" s="77" t="str">
        <f>IFERROR(VLOOKUP($AA714,PLAN!$B:$AA,5,0),"")</f>
        <v>PSC18110S US</v>
      </c>
      <c r="G714" s="77" t="str">
        <f>IFERROR(VLOOKUP($AA714,PLAN!$B:$AA,2,0),"")</f>
        <v>1001943006</v>
      </c>
      <c r="H714" s="113">
        <f>IFERROR(VLOOKUP($AA714,PLAN!$B:$AA,7,0),"")</f>
        <v>46262</v>
      </c>
      <c r="I714" s="77" t="str">
        <f>IFERROR(VLOOKUP($AA714,PLAN!$B:$AA,8,0),"")</f>
        <v>0103603926</v>
      </c>
      <c r="J714" s="77" t="str">
        <f>IFERROR(VLOOKUP($AA714,PLAN!$B:$AA,9,0),"")</f>
        <v>260813K23A</v>
      </c>
      <c r="K714" s="77">
        <f>IFERROR(VLOOKUP($AA714,PLAN!$B:$AA,10,0),"")</f>
        <v>10</v>
      </c>
      <c r="L714" s="77" t="str">
        <f>IFERROR(VLOOKUP($AA714,PLAN!$B:$AA,15,0),"")</f>
        <v>USA</v>
      </c>
      <c r="M714" s="77">
        <f>IFERROR(VLOOKUP($AA714,PLAN!$B:$AA,18,0),"")</f>
        <v>0</v>
      </c>
      <c r="N714" s="227">
        <f>IFERROR(VLOOKUP($AA714,PLAN!$B:$AA,19,0),"")</f>
        <v>0</v>
      </c>
      <c r="O714" s="77" t="str">
        <f>IFERROR(VLOOKUP($AA714,PLAN!$B:$AA,12,0),"")</f>
        <v>PSC18110S-F-C</v>
      </c>
      <c r="P714" s="77">
        <f>IFERROR(VLOOKUP($AA714,PLAN!$B:$AA,11,0),"")</f>
        <v>12116402</v>
      </c>
      <c r="Q714" s="349" t="s">
        <v>4298</v>
      </c>
      <c r="R714" s="149" t="s">
        <v>4299</v>
      </c>
      <c r="S714" s="149">
        <v>2</v>
      </c>
      <c r="T714" s="131"/>
      <c r="U714" s="78">
        <f>IFERROR(VLOOKUP($AA714,PLAN!$B:$AA,21,0),"")</f>
        <v>46253</v>
      </c>
      <c r="V714" s="78" t="str">
        <f>IFERROR(VLOOKUP($AA714,PLAN!$B:$AA,22,0),"")</f>
        <v>M8</v>
      </c>
      <c r="W714" s="232"/>
      <c r="X714" s="233"/>
      <c r="Y714" s="212"/>
      <c r="Z714" s="350"/>
      <c r="AA714" s="195" t="s">
        <v>4251</v>
      </c>
      <c r="AB714" s="132">
        <f>VLOOKUP(AA714,PLAN!B:V,20,0)</f>
        <v>46253</v>
      </c>
      <c r="AC714" s="132"/>
    </row>
    <row r="715" spans="3:29" s="79" customFormat="1" ht="21.6" customHeight="1">
      <c r="C715" s="249"/>
      <c r="D715" s="77"/>
      <c r="E715" s="77"/>
      <c r="F715" s="77"/>
      <c r="G715" s="77"/>
      <c r="H715" s="113"/>
      <c r="I715" s="77"/>
      <c r="J715" s="77"/>
      <c r="K715" s="77"/>
      <c r="L715" s="77"/>
      <c r="M715" s="77"/>
      <c r="N715" s="227"/>
      <c r="O715" s="77"/>
      <c r="P715" s="77"/>
      <c r="Q715" s="349" t="s">
        <v>4300</v>
      </c>
      <c r="R715" s="158" t="s">
        <v>4301</v>
      </c>
      <c r="S715" s="149">
        <f>K714-S714</f>
        <v>8</v>
      </c>
      <c r="T715" s="131"/>
      <c r="U715" s="78"/>
      <c r="V715" s="78"/>
      <c r="W715" s="232"/>
      <c r="X715" s="233"/>
      <c r="Y715" s="212"/>
      <c r="Z715" s="350"/>
      <c r="AA715" s="195"/>
      <c r="AB715" s="132">
        <v>46253</v>
      </c>
      <c r="AC715" s="132"/>
    </row>
    <row r="716" spans="3:29" s="79" customFormat="1" ht="21.6" customHeight="1">
      <c r="C716" s="249" t="str">
        <f t="shared" si="45"/>
        <v>Sep07-01</v>
      </c>
      <c r="D716" s="77">
        <f>IFERROR(VLOOKUP($AA716,PLAN!$B:$AA,3,0),"")</f>
        <v>11134248</v>
      </c>
      <c r="E716" s="77" t="str">
        <f>IFERROR(VLOOKUP($AA716,PLAN!$B:$AA,4,0),"")</f>
        <v>2041189-D-A</v>
      </c>
      <c r="F716" s="77" t="str">
        <f>IFERROR(VLOOKUP($AA716,PLAN!$B:$AA,5,0),"")</f>
        <v>CSR135-26P CN</v>
      </c>
      <c r="G716" s="77" t="str">
        <f>IFERROR(VLOOKUP($AA716,PLAN!$B:$AA,2,0),"")</f>
        <v>1001943007</v>
      </c>
      <c r="H716" s="113">
        <f>IFERROR(VLOOKUP($AA716,PLAN!$B:$AA,7,0),"")</f>
        <v>46272</v>
      </c>
      <c r="I716" s="77" t="str">
        <f>IFERROR(VLOOKUP($AA716,PLAN!$B:$AA,8,0),"")</f>
        <v>0103603927</v>
      </c>
      <c r="J716" s="77" t="str">
        <f>IFERROR(VLOOKUP($AA716,PLAN!$B:$AA,9,0),"")</f>
        <v>260813K24A</v>
      </c>
      <c r="K716" s="77">
        <f>IFERROR(VLOOKUP($AA716,PLAN!$B:$AA,10,0),"")</f>
        <v>503</v>
      </c>
      <c r="L716" s="77" t="str">
        <f>IFERROR(VLOOKUP($AA716,PLAN!$B:$AA,15,0),"")</f>
        <v>CHINA</v>
      </c>
      <c r="M716" s="77">
        <f>IFERROR(VLOOKUP($AA716,PLAN!$B:$AA,18,0),"")</f>
        <v>0</v>
      </c>
      <c r="N716" s="227">
        <f>IFERROR(VLOOKUP($AA716,PLAN!$B:$AA,19,0),"")</f>
        <v>3</v>
      </c>
      <c r="O716" s="77" t="str">
        <f>IFERROR(VLOOKUP($AA716,PLAN!$B:$AA,12,0),"")</f>
        <v>2342019-A-C-CN</v>
      </c>
      <c r="P716" s="77">
        <f>IFERROR(VLOOKUP($AA716,PLAN!$B:$AA,11,0),"")</f>
        <v>12139931</v>
      </c>
      <c r="Q716" s="349" t="s">
        <v>3140</v>
      </c>
      <c r="R716" s="149" t="s">
        <v>3141</v>
      </c>
      <c r="S716" s="223">
        <v>223</v>
      </c>
      <c r="T716" s="131"/>
      <c r="U716" s="78">
        <f>IFERROR(VLOOKUP($AA716,PLAN!$B:$AA,21,0),"")</f>
        <v>46253</v>
      </c>
      <c r="V716" s="78" t="str">
        <f>IFERROR(VLOOKUP($AA716,PLAN!$B:$AA,22,0),"")</f>
        <v>M8</v>
      </c>
      <c r="W716" s="232"/>
      <c r="X716" s="233"/>
      <c r="Y716" s="212"/>
      <c r="Z716" s="350"/>
      <c r="AA716" s="195" t="s">
        <v>4274</v>
      </c>
      <c r="AB716" s="132">
        <f>VLOOKUP(AA716,PLAN!B:V,20,0)</f>
        <v>46253</v>
      </c>
      <c r="AC716" s="132"/>
    </row>
    <row r="717" spans="3:29" s="79" customFormat="1" ht="21.6" customHeight="1">
      <c r="C717" s="249"/>
      <c r="D717" s="77"/>
      <c r="E717" s="77"/>
      <c r="F717" s="77"/>
      <c r="G717" s="77"/>
      <c r="H717" s="113"/>
      <c r="I717" s="77"/>
      <c r="J717" s="77"/>
      <c r="K717" s="77"/>
      <c r="L717" s="77"/>
      <c r="M717" s="77"/>
      <c r="N717" s="227"/>
      <c r="O717" s="77"/>
      <c r="P717" s="77"/>
      <c r="Q717" s="349" t="s">
        <v>4302</v>
      </c>
      <c r="R717" s="149" t="s">
        <v>4303</v>
      </c>
      <c r="S717" s="223">
        <f>K716-S716</f>
        <v>280</v>
      </c>
      <c r="T717" s="131"/>
      <c r="U717" s="78"/>
      <c r="V717" s="78"/>
      <c r="W717" s="232"/>
      <c r="X717" s="233"/>
      <c r="Y717" s="212"/>
      <c r="Z717" s="350"/>
      <c r="AA717" s="195"/>
      <c r="AB717" s="132">
        <v>46253</v>
      </c>
      <c r="AC717" s="132"/>
    </row>
    <row r="718" spans="3:29" s="79" customFormat="1" ht="21.6" customHeight="1">
      <c r="C718" s="249" t="str">
        <f t="shared" si="45"/>
        <v>Sep07-02</v>
      </c>
      <c r="D718" s="77">
        <f>IFERROR(VLOOKUP($AA718,PLAN!$B:$AA,3,0),"")</f>
        <v>11134562</v>
      </c>
      <c r="E718" s="77" t="str">
        <f>IFERROR(VLOOKUP($AA718,PLAN!$B:$AA,4,0),"")</f>
        <v>2041303-C-A</v>
      </c>
      <c r="F718" s="77" t="str">
        <f>IFERROR(VLOOKUP($AA718,PLAN!$B:$AA,5,0),"")</f>
        <v>MST125-27HFR CN</v>
      </c>
      <c r="G718" s="77" t="str">
        <f>IFERROR(VLOOKUP($AA718,PLAN!$B:$AA,2,0),"")</f>
        <v>1001943008</v>
      </c>
      <c r="H718" s="113">
        <f>IFERROR(VLOOKUP($AA718,PLAN!$B:$AA,7,0),"")</f>
        <v>46272</v>
      </c>
      <c r="I718" s="77" t="str">
        <f>IFERROR(VLOOKUP($AA718,PLAN!$B:$AA,8,0),"")</f>
        <v>0103603928</v>
      </c>
      <c r="J718" s="77" t="str">
        <f>IFERROR(VLOOKUP($AA718,PLAN!$B:$AA,9,0),"")</f>
        <v>260813K25A</v>
      </c>
      <c r="K718" s="77">
        <f>IFERROR(VLOOKUP($AA718,PLAN!$B:$AA,10,0),"")</f>
        <v>620</v>
      </c>
      <c r="L718" s="77" t="str">
        <f>IFERROR(VLOOKUP($AA718,PLAN!$B:$AA,15,0),"")</f>
        <v>CHINA</v>
      </c>
      <c r="M718" s="77">
        <f>IFERROR(VLOOKUP($AA718,PLAN!$B:$AA,18,0),"")</f>
        <v>3</v>
      </c>
      <c r="N718" s="227">
        <f>IFERROR(VLOOKUP($AA718,PLAN!$B:$AA,19,0),"")</f>
        <v>3</v>
      </c>
      <c r="O718" s="77" t="str">
        <f>IFERROR(VLOOKUP($AA718,PLAN!$B:$AA,12,0),"")</f>
        <v>2042140-B-C-CN</v>
      </c>
      <c r="P718" s="77">
        <f>IFERROR(VLOOKUP($AA718,PLAN!$B:$AA,11,0),"")</f>
        <v>12129258</v>
      </c>
      <c r="Q718" s="349" t="s">
        <v>4304</v>
      </c>
      <c r="R718" s="149" t="s">
        <v>4305</v>
      </c>
      <c r="S718" s="223">
        <v>304</v>
      </c>
      <c r="T718" s="131"/>
      <c r="U718" s="78">
        <f>IFERROR(VLOOKUP($AA718,PLAN!$B:$AA,21,0),"")</f>
        <v>46253</v>
      </c>
      <c r="V718" s="78" t="str">
        <f>IFERROR(VLOOKUP($AA718,PLAN!$B:$AA,22,0),"")</f>
        <v>M8</v>
      </c>
      <c r="W718" s="232"/>
      <c r="X718" s="233"/>
      <c r="Y718" s="212"/>
      <c r="Z718" s="350"/>
      <c r="AA718" s="195" t="s">
        <v>4275</v>
      </c>
      <c r="AB718" s="132">
        <f>VLOOKUP(AA718,PLAN!B:V,20,0)</f>
        <v>46253</v>
      </c>
      <c r="AC718" s="132"/>
    </row>
    <row r="719" spans="3:29" s="79" customFormat="1" ht="21.6" customHeight="1">
      <c r="C719" s="249"/>
      <c r="D719" s="77"/>
      <c r="E719" s="77"/>
      <c r="F719" s="77"/>
      <c r="G719" s="77"/>
      <c r="H719" s="113"/>
      <c r="I719" s="77"/>
      <c r="J719" s="77"/>
      <c r="K719" s="77"/>
      <c r="L719" s="77"/>
      <c r="M719" s="77"/>
      <c r="N719" s="227"/>
      <c r="O719" s="77"/>
      <c r="P719" s="77"/>
      <c r="Q719" s="349" t="s">
        <v>4306</v>
      </c>
      <c r="R719" s="149" t="s">
        <v>4307</v>
      </c>
      <c r="S719" s="223">
        <v>304</v>
      </c>
      <c r="T719" s="131"/>
      <c r="U719" s="78"/>
      <c r="V719" s="78"/>
      <c r="W719" s="232"/>
      <c r="X719" s="233"/>
      <c r="Y719" s="212"/>
      <c r="Z719" s="350"/>
      <c r="AA719" s="195"/>
      <c r="AB719" s="132">
        <v>46253</v>
      </c>
      <c r="AC719" s="132"/>
    </row>
    <row r="720" spans="3:29" s="79" customFormat="1" ht="21.6" customHeight="1">
      <c r="C720" s="249"/>
      <c r="D720" s="77"/>
      <c r="E720" s="77"/>
      <c r="F720" s="77"/>
      <c r="G720" s="77"/>
      <c r="H720" s="113"/>
      <c r="I720" s="77"/>
      <c r="J720" s="77"/>
      <c r="K720" s="77"/>
      <c r="L720" s="77"/>
      <c r="M720" s="77"/>
      <c r="N720" s="227"/>
      <c r="O720" s="77"/>
      <c r="P720" s="77"/>
      <c r="Q720" s="349" t="s">
        <v>4308</v>
      </c>
      <c r="R720" s="149" t="s">
        <v>4309</v>
      </c>
      <c r="S720" s="223">
        <f>K718-S718-S719</f>
        <v>12</v>
      </c>
      <c r="T720" s="131"/>
      <c r="U720" s="78"/>
      <c r="V720" s="78"/>
      <c r="W720" s="232"/>
      <c r="X720" s="233"/>
      <c r="Y720" s="212"/>
      <c r="Z720" s="350"/>
      <c r="AA720" s="195"/>
      <c r="AB720" s="132">
        <v>46253</v>
      </c>
      <c r="AC720" s="132"/>
    </row>
    <row r="721" spans="3:29" s="79" customFormat="1" ht="21.6" customHeight="1">
      <c r="C721" s="249" t="str">
        <f t="shared" si="45"/>
        <v>Aug28-24</v>
      </c>
      <c r="D721" s="77">
        <f>IFERROR(VLOOKUP($AA721,PLAN!$B:$AA,3,0),"")</f>
        <v>11131303</v>
      </c>
      <c r="E721" s="77" t="str">
        <f>IFERROR(VLOOKUP($AA721,PLAN!$B:$AA,4,0),"")</f>
        <v>2211220-E-A</v>
      </c>
      <c r="F721" s="77" t="str">
        <f>IFERROR(VLOOKUP($AA721,PLAN!$B:$AA,5,0),"")</f>
        <v>HW70SP350P10000 NOCE</v>
      </c>
      <c r="G721" s="77" t="str">
        <f>IFERROR(VLOOKUP($AA721,PLAN!$B:$AA,2,0),"")</f>
        <v>1001943009</v>
      </c>
      <c r="H721" s="113">
        <f>IFERROR(VLOOKUP($AA721,PLAN!$B:$AA,7,0),"")</f>
        <v>46262</v>
      </c>
      <c r="I721" s="77" t="str">
        <f>IFERROR(VLOOKUP($AA721,PLAN!$B:$AA,8,0),"")</f>
        <v>0103603929</v>
      </c>
      <c r="J721" s="77" t="str">
        <f>IFERROR(VLOOKUP($AA721,PLAN!$B:$AA,9,0),"")</f>
        <v>260813C01A</v>
      </c>
      <c r="K721" s="77">
        <f>IFERROR(VLOOKUP($AA721,PLAN!$B:$AA,10,0),"")</f>
        <v>9</v>
      </c>
      <c r="L721" s="77" t="str">
        <f>IFERROR(VLOOKUP($AA721,PLAN!$B:$AA,15,0),"")</f>
        <v>Australia</v>
      </c>
      <c r="M721" s="77">
        <f>IFERROR(VLOOKUP($AA721,PLAN!$B:$AA,18,0),"")</f>
        <v>3</v>
      </c>
      <c r="N721" s="227">
        <f>IFERROR(VLOOKUP($AA721,PLAN!$B:$AA,19,0),"")</f>
        <v>0</v>
      </c>
      <c r="O721" s="77" t="str">
        <f>IFERROR(VLOOKUP($AA721,PLAN!$B:$AA,12,0),"")</f>
        <v>2112226-0-C</v>
      </c>
      <c r="P721" s="77">
        <f>IFERROR(VLOOKUP($AA721,PLAN!$B:$AA,11,0),"")</f>
        <v>12116193</v>
      </c>
      <c r="Q721" s="349" t="s">
        <v>3984</v>
      </c>
      <c r="R721" s="149" t="s">
        <v>3985</v>
      </c>
      <c r="S721" s="149">
        <f t="shared" si="46"/>
        <v>9</v>
      </c>
      <c r="T721" s="131"/>
      <c r="U721" s="78">
        <f>IFERROR(VLOOKUP($AA721,PLAN!$B:$AA,21,0),"")</f>
        <v>46253</v>
      </c>
      <c r="V721" s="78" t="str">
        <f>IFERROR(VLOOKUP($AA721,PLAN!$B:$AA,22,0),"")</f>
        <v>M9</v>
      </c>
      <c r="W721" s="232"/>
      <c r="X721" s="233"/>
      <c r="Y721" s="212"/>
      <c r="Z721" s="350"/>
      <c r="AA721" s="195" t="s">
        <v>4252</v>
      </c>
      <c r="AB721" s="132">
        <f>VLOOKUP(AA721,PLAN!B:V,20,0)</f>
        <v>46253</v>
      </c>
      <c r="AC721" s="132"/>
    </row>
    <row r="722" spans="3:29" s="79" customFormat="1" ht="21.6" customHeight="1">
      <c r="C722" s="249" t="str">
        <f t="shared" si="45"/>
        <v>Aug28-25</v>
      </c>
      <c r="D722" s="77">
        <f>IFERROR(VLOOKUP($AA722,PLAN!$B:$AA,3,0),"")</f>
        <v>11131304</v>
      </c>
      <c r="E722" s="77" t="str">
        <f>IFERROR(VLOOKUP($AA722,PLAN!$B:$AA,4,0),"")</f>
        <v>2211221-E-A</v>
      </c>
      <c r="F722" s="77" t="str">
        <f>IFERROR(VLOOKUP($AA722,PLAN!$B:$AA,5,0),"")</f>
        <v>HW70SP370P10000 NOCE</v>
      </c>
      <c r="G722" s="77" t="str">
        <f>IFERROR(VLOOKUP($AA722,PLAN!$B:$AA,2,0),"")</f>
        <v>1001943010</v>
      </c>
      <c r="H722" s="113">
        <f>IFERROR(VLOOKUP($AA722,PLAN!$B:$AA,7,0),"")</f>
        <v>46262</v>
      </c>
      <c r="I722" s="77" t="str">
        <f>IFERROR(VLOOKUP($AA722,PLAN!$B:$AA,8,0),"")</f>
        <v>0103603930</v>
      </c>
      <c r="J722" s="77" t="str">
        <f>IFERROR(VLOOKUP($AA722,PLAN!$B:$AA,9,0),"")</f>
        <v>260813C02A</v>
      </c>
      <c r="K722" s="77">
        <f>IFERROR(VLOOKUP($AA722,PLAN!$B:$AA,10,0),"")</f>
        <v>10</v>
      </c>
      <c r="L722" s="77" t="str">
        <f>IFERROR(VLOOKUP($AA722,PLAN!$B:$AA,15,0),"")</f>
        <v>Australia</v>
      </c>
      <c r="M722" s="77">
        <f>IFERROR(VLOOKUP($AA722,PLAN!$B:$AA,18,0),"")</f>
        <v>0</v>
      </c>
      <c r="N722" s="227">
        <f>IFERROR(VLOOKUP($AA722,PLAN!$B:$AA,19,0),"")</f>
        <v>0</v>
      </c>
      <c r="O722" s="77" t="str">
        <f>IFERROR(VLOOKUP($AA722,PLAN!$B:$AA,12,0),"")</f>
        <v>2112229-0-C</v>
      </c>
      <c r="P722" s="77">
        <f>IFERROR(VLOOKUP($AA722,PLAN!$B:$AA,11,0),"")</f>
        <v>12116196</v>
      </c>
      <c r="Q722" s="349" t="s">
        <v>4310</v>
      </c>
      <c r="R722" s="158" t="s">
        <v>4311</v>
      </c>
      <c r="S722" s="149">
        <f t="shared" si="46"/>
        <v>10</v>
      </c>
      <c r="T722" s="131"/>
      <c r="U722" s="78">
        <f>IFERROR(VLOOKUP($AA722,PLAN!$B:$AA,21,0),"")</f>
        <v>46253</v>
      </c>
      <c r="V722" s="78" t="str">
        <f>IFERROR(VLOOKUP($AA722,PLAN!$B:$AA,22,0),"")</f>
        <v>M9</v>
      </c>
      <c r="W722" s="232"/>
      <c r="X722" s="233"/>
      <c r="Y722" s="212"/>
      <c r="Z722" s="350"/>
      <c r="AA722" s="195" t="s">
        <v>4253</v>
      </c>
      <c r="AB722" s="132">
        <f>VLOOKUP(AA722,PLAN!B:V,20,0)</f>
        <v>46253</v>
      </c>
      <c r="AC722" s="132"/>
    </row>
    <row r="723" spans="3:29" s="79" customFormat="1" ht="21.6" customHeight="1">
      <c r="C723" s="249" t="str">
        <f t="shared" si="45"/>
        <v>Aug28-26</v>
      </c>
      <c r="D723" s="77">
        <f>IFERROR(VLOOKUP($AA723,PLAN!$B:$AA,3,0),"")</f>
        <v>11131307</v>
      </c>
      <c r="E723" s="77" t="str">
        <f>IFERROR(VLOOKUP($AA723,PLAN!$B:$AA,4,0),"")</f>
        <v>2211224-D-A</v>
      </c>
      <c r="F723" s="77" t="str">
        <f>IFERROR(VLOOKUP($AA723,PLAN!$B:$AA,5,0),"")</f>
        <v>HW70SP350P09000 NOCE</v>
      </c>
      <c r="G723" s="77" t="str">
        <f>IFERROR(VLOOKUP($AA723,PLAN!$B:$AA,2,0),"")</f>
        <v>1001943011</v>
      </c>
      <c r="H723" s="113">
        <f>IFERROR(VLOOKUP($AA723,PLAN!$B:$AA,7,0),"")</f>
        <v>46262</v>
      </c>
      <c r="I723" s="77" t="str">
        <f>IFERROR(VLOOKUP($AA723,PLAN!$B:$AA,8,0),"")</f>
        <v>0103603931</v>
      </c>
      <c r="J723" s="77" t="str">
        <f>IFERROR(VLOOKUP($AA723,PLAN!$B:$AA,9,0),"")</f>
        <v>260813C03A</v>
      </c>
      <c r="K723" s="77">
        <f>IFERROR(VLOOKUP($AA723,PLAN!$B:$AA,10,0),"")</f>
        <v>4</v>
      </c>
      <c r="L723" s="77" t="str">
        <f>IFERROR(VLOOKUP($AA723,PLAN!$B:$AA,15,0),"")</f>
        <v>Oversea</v>
      </c>
      <c r="M723" s="77">
        <f>IFERROR(VLOOKUP($AA723,PLAN!$B:$AA,18,0),"")</f>
        <v>0</v>
      </c>
      <c r="N723" s="227">
        <f>IFERROR(VLOOKUP($AA723,PLAN!$B:$AA,19,0),"")</f>
        <v>0</v>
      </c>
      <c r="O723" s="77" t="str">
        <f>IFERROR(VLOOKUP($AA723,PLAN!$B:$AA,12,0),"")</f>
        <v>2212065-0-C</v>
      </c>
      <c r="P723" s="77">
        <f>IFERROR(VLOOKUP($AA723,PLAN!$B:$AA,11,0),"")</f>
        <v>12124616</v>
      </c>
      <c r="Q723" s="349" t="s">
        <v>2184</v>
      </c>
      <c r="R723" s="149" t="s">
        <v>2185</v>
      </c>
      <c r="S723" s="223">
        <v>2</v>
      </c>
      <c r="T723" s="131"/>
      <c r="U723" s="78">
        <f>IFERROR(VLOOKUP($AA723,PLAN!$B:$AA,21,0),"")</f>
        <v>46253</v>
      </c>
      <c r="V723" s="78" t="str">
        <f>IFERROR(VLOOKUP($AA723,PLAN!$B:$AA,22,0),"")</f>
        <v>M9</v>
      </c>
      <c r="W723" s="232"/>
      <c r="X723" s="233"/>
      <c r="Y723" s="212"/>
      <c r="Z723" s="350"/>
      <c r="AA723" s="195" t="s">
        <v>4254</v>
      </c>
      <c r="AB723" s="132">
        <f>VLOOKUP(AA723,PLAN!B:V,20,0)</f>
        <v>46253</v>
      </c>
      <c r="AC723" s="132"/>
    </row>
    <row r="724" spans="3:29" s="79" customFormat="1" ht="21.6" customHeight="1">
      <c r="C724" s="249"/>
      <c r="D724" s="77"/>
      <c r="E724" s="77"/>
      <c r="F724" s="77"/>
      <c r="G724" s="77"/>
      <c r="H724" s="113"/>
      <c r="I724" s="77"/>
      <c r="J724" s="77"/>
      <c r="K724" s="77"/>
      <c r="L724" s="77"/>
      <c r="M724" s="77"/>
      <c r="N724" s="227"/>
      <c r="O724" s="77"/>
      <c r="P724" s="77"/>
      <c r="Q724" s="349" t="s">
        <v>4312</v>
      </c>
      <c r="R724" s="158" t="s">
        <v>4313</v>
      </c>
      <c r="S724" s="223">
        <f>K723-S723</f>
        <v>2</v>
      </c>
      <c r="T724" s="131"/>
      <c r="U724" s="78"/>
      <c r="V724" s="78"/>
      <c r="W724" s="232"/>
      <c r="X724" s="233"/>
      <c r="Y724" s="212"/>
      <c r="Z724" s="350"/>
      <c r="AA724" s="195"/>
      <c r="AB724" s="132">
        <v>46253</v>
      </c>
      <c r="AC724" s="132"/>
    </row>
    <row r="725" spans="3:29" s="79" customFormat="1" ht="21.6" customHeight="1">
      <c r="C725" s="249" t="str">
        <f t="shared" si="45"/>
        <v>Aug28-27</v>
      </c>
      <c r="D725" s="77">
        <f>IFERROR(VLOOKUP($AA725,PLAN!$B:$AA,3,0),"")</f>
        <v>11131289</v>
      </c>
      <c r="E725" s="77" t="str">
        <f>IFERROR(VLOOKUP($AA725,PLAN!$B:$AA,4,0),"")</f>
        <v>2211092-E-A</v>
      </c>
      <c r="F725" s="77" t="str">
        <f>IFERROR(VLOOKUP($AA725,PLAN!$B:$AA,5,0),"")</f>
        <v>HW60SP350P10000 NOCE</v>
      </c>
      <c r="G725" s="77" t="str">
        <f>IFERROR(VLOOKUP($AA725,PLAN!$B:$AA,2,0),"")</f>
        <v>1001943012</v>
      </c>
      <c r="H725" s="113">
        <f>IFERROR(VLOOKUP($AA725,PLAN!$B:$AA,7,0),"")</f>
        <v>46262</v>
      </c>
      <c r="I725" s="77" t="str">
        <f>IFERROR(VLOOKUP($AA725,PLAN!$B:$AA,8,0),"")</f>
        <v>0103603932</v>
      </c>
      <c r="J725" s="77" t="str">
        <f>IFERROR(VLOOKUP($AA725,PLAN!$B:$AA,9,0),"")</f>
        <v>260813C04A</v>
      </c>
      <c r="K725" s="77">
        <f>IFERROR(VLOOKUP($AA725,PLAN!$B:$AA,10,0),"")</f>
        <v>25</v>
      </c>
      <c r="L725" s="77" t="str">
        <f>IFERROR(VLOOKUP($AA725,PLAN!$B:$AA,15,0),"")</f>
        <v>Oversea</v>
      </c>
      <c r="M725" s="77">
        <f>IFERROR(VLOOKUP($AA725,PLAN!$B:$AA,18,0),"")</f>
        <v>0</v>
      </c>
      <c r="N725" s="227">
        <f>IFERROR(VLOOKUP($AA725,PLAN!$B:$AA,19,0),"")</f>
        <v>0</v>
      </c>
      <c r="O725" s="77" t="str">
        <f>IFERROR(VLOOKUP($AA725,PLAN!$B:$AA,12,0),"")</f>
        <v>2112099-0-C</v>
      </c>
      <c r="P725" s="77">
        <f>IFERROR(VLOOKUP($AA725,PLAN!$B:$AA,11,0),"")</f>
        <v>12116064</v>
      </c>
      <c r="Q725" s="277" t="s">
        <v>3982</v>
      </c>
      <c r="R725" s="149" t="s">
        <v>3983</v>
      </c>
      <c r="S725" s="149">
        <f t="shared" si="46"/>
        <v>25</v>
      </c>
      <c r="T725" s="131"/>
      <c r="U725" s="78">
        <f>IFERROR(VLOOKUP($AA725,PLAN!$B:$AA,21,0),"")</f>
        <v>46253</v>
      </c>
      <c r="V725" s="78" t="str">
        <f>IFERROR(VLOOKUP($AA725,PLAN!$B:$AA,22,0),"")</f>
        <v>M9</v>
      </c>
      <c r="W725" s="232"/>
      <c r="X725" s="233"/>
      <c r="Y725" s="212"/>
      <c r="Z725" s="350"/>
      <c r="AA725" s="195" t="s">
        <v>4255</v>
      </c>
      <c r="AB725" s="132">
        <f>VLOOKUP(AA725,PLAN!B:V,20,0)</f>
        <v>46253</v>
      </c>
      <c r="AC725" s="132"/>
    </row>
    <row r="726" spans="3:29" s="79" customFormat="1" ht="21.6" customHeight="1">
      <c r="C726" s="249" t="str">
        <f t="shared" si="45"/>
        <v>Aug28-28</v>
      </c>
      <c r="D726" s="77">
        <f>IFERROR(VLOOKUP($AA726,PLAN!$B:$AA,3,0),"")</f>
        <v>11132714</v>
      </c>
      <c r="E726" s="77" t="str">
        <f>IFERROR(VLOOKUP($AA726,PLAN!$B:$AA,4,0),"")</f>
        <v>2211029-D-A</v>
      </c>
      <c r="F726" s="77" t="str">
        <f>IFERROR(VLOOKUP($AA726,PLAN!$B:$AA,5,0),"")</f>
        <v>HW60PB300P10000 NOCE</v>
      </c>
      <c r="G726" s="77" t="str">
        <f>IFERROR(VLOOKUP($AA726,PLAN!$B:$AA,2,0),"")</f>
        <v>1001943013</v>
      </c>
      <c r="H726" s="113">
        <f>IFERROR(VLOOKUP($AA726,PLAN!$B:$AA,7,0),"")</f>
        <v>46262</v>
      </c>
      <c r="I726" s="77" t="str">
        <f>IFERROR(VLOOKUP($AA726,PLAN!$B:$AA,8,0),"")</f>
        <v>0103603933</v>
      </c>
      <c r="J726" s="77" t="str">
        <f>IFERROR(VLOOKUP($AA726,PLAN!$B:$AA,9,0),"")</f>
        <v>260813C05A</v>
      </c>
      <c r="K726" s="77">
        <f>IFERROR(VLOOKUP($AA726,PLAN!$B:$AA,10,0),"")</f>
        <v>30</v>
      </c>
      <c r="L726" s="77" t="str">
        <f>IFERROR(VLOOKUP($AA726,PLAN!$B:$AA,15,0),"")</f>
        <v>Oversea</v>
      </c>
      <c r="M726" s="77">
        <f>IFERROR(VLOOKUP($AA726,PLAN!$B:$AA,18,0),"")</f>
        <v>0</v>
      </c>
      <c r="N726" s="227">
        <f>IFERROR(VLOOKUP($AA726,PLAN!$B:$AA,19,0),"")</f>
        <v>0</v>
      </c>
      <c r="O726" s="77" t="str">
        <f>IFERROR(VLOOKUP($AA726,PLAN!$B:$AA,12,0),"")</f>
        <v>2112069-0-C</v>
      </c>
      <c r="P726" s="77">
        <f>IFERROR(VLOOKUP($AA726,PLAN!$B:$AA,11,0),"")</f>
        <v>12116034</v>
      </c>
      <c r="Q726" s="349" t="s">
        <v>3968</v>
      </c>
      <c r="R726" s="158" t="s">
        <v>3969</v>
      </c>
      <c r="S726" s="149">
        <f t="shared" si="46"/>
        <v>30</v>
      </c>
      <c r="T726" s="131"/>
      <c r="U726" s="78">
        <f>IFERROR(VLOOKUP($AA726,PLAN!$B:$AA,21,0),"")</f>
        <v>46253</v>
      </c>
      <c r="V726" s="78" t="str">
        <f>IFERROR(VLOOKUP($AA726,PLAN!$B:$AA,22,0),"")</f>
        <v>M9</v>
      </c>
      <c r="W726" s="232"/>
      <c r="X726" s="233"/>
      <c r="Y726" s="212"/>
      <c r="Z726" s="350"/>
      <c r="AA726" s="195" t="s">
        <v>4256</v>
      </c>
      <c r="AB726" s="132">
        <f>VLOOKUP(AA726,PLAN!B:V,20,0)</f>
        <v>46253</v>
      </c>
      <c r="AC726" s="132"/>
    </row>
    <row r="727" spans="3:29" s="79" customFormat="1" ht="21.6" customHeight="1">
      <c r="C727" s="249" t="str">
        <f t="shared" si="45"/>
        <v>Aug28-29</v>
      </c>
      <c r="D727" s="77">
        <f>IFERROR(VLOOKUP($AA727,PLAN!$B:$AA,3,0),"")</f>
        <v>11132715</v>
      </c>
      <c r="E727" s="77" t="str">
        <f>IFERROR(VLOOKUP($AA727,PLAN!$B:$AA,4,0),"")</f>
        <v>2211030-D-A</v>
      </c>
      <c r="F727" s="77" t="str">
        <f>IFERROR(VLOOKUP($AA727,PLAN!$B:$AA,5,0),"")</f>
        <v>HW60PB350P10000 NOCE</v>
      </c>
      <c r="G727" s="77" t="str">
        <f>IFERROR(VLOOKUP($AA727,PLAN!$B:$AA,2,0),"")</f>
        <v>1001943014</v>
      </c>
      <c r="H727" s="113">
        <f>IFERROR(VLOOKUP($AA727,PLAN!$B:$AA,7,0),"")</f>
        <v>46262</v>
      </c>
      <c r="I727" s="77" t="str">
        <f>IFERROR(VLOOKUP($AA727,PLAN!$B:$AA,8,0),"")</f>
        <v>0103603934</v>
      </c>
      <c r="J727" s="77" t="str">
        <f>IFERROR(VLOOKUP($AA727,PLAN!$B:$AA,9,0),"")</f>
        <v>260813C06A</v>
      </c>
      <c r="K727" s="77">
        <f>IFERROR(VLOOKUP($AA727,PLAN!$B:$AA,10,0),"")</f>
        <v>30</v>
      </c>
      <c r="L727" s="77" t="str">
        <f>IFERROR(VLOOKUP($AA727,PLAN!$B:$AA,15,0),"")</f>
        <v>Oversea</v>
      </c>
      <c r="M727" s="77">
        <f>IFERROR(VLOOKUP($AA727,PLAN!$B:$AA,18,0),"")</f>
        <v>0</v>
      </c>
      <c r="N727" s="227">
        <f>IFERROR(VLOOKUP($AA727,PLAN!$B:$AA,19,0),"")</f>
        <v>0</v>
      </c>
      <c r="O727" s="77" t="str">
        <f>IFERROR(VLOOKUP($AA727,PLAN!$B:$AA,12,0),"")</f>
        <v>2112071-0-C</v>
      </c>
      <c r="P727" s="77">
        <f>IFERROR(VLOOKUP($AA727,PLAN!$B:$AA,11,0),"")</f>
        <v>12116036</v>
      </c>
      <c r="Q727" s="349" t="s">
        <v>3211</v>
      </c>
      <c r="R727" s="149" t="s">
        <v>3212</v>
      </c>
      <c r="S727" s="149">
        <f t="shared" si="46"/>
        <v>30</v>
      </c>
      <c r="T727" s="131"/>
      <c r="U727" s="78">
        <f>IFERROR(VLOOKUP($AA727,PLAN!$B:$AA,21,0),"")</f>
        <v>46253</v>
      </c>
      <c r="V727" s="78" t="str">
        <f>IFERROR(VLOOKUP($AA727,PLAN!$B:$AA,22,0),"")</f>
        <v>M9</v>
      </c>
      <c r="W727" s="232"/>
      <c r="X727" s="233"/>
      <c r="Y727" s="212"/>
      <c r="Z727" s="350"/>
      <c r="AA727" s="195" t="s">
        <v>4257</v>
      </c>
      <c r="AB727" s="132">
        <f>VLOOKUP(AA727,PLAN!B:V,20,0)</f>
        <v>46253</v>
      </c>
      <c r="AC727" s="132"/>
    </row>
    <row r="728" spans="3:29" s="79" customFormat="1" ht="21.6" customHeight="1">
      <c r="C728" s="249" t="str">
        <f t="shared" si="45"/>
        <v>Aug28-30</v>
      </c>
      <c r="D728" s="77">
        <f>IFERROR(VLOOKUP($AA728,PLAN!$B:$AA,3,0),"")</f>
        <v>11135517</v>
      </c>
      <c r="E728" s="77" t="str">
        <f>IFERROR(VLOOKUP($AA728,PLAN!$B:$AA,4,0),"")</f>
        <v>2211868-F-A</v>
      </c>
      <c r="F728" s="77" t="str">
        <f>IFERROR(VLOOKUP($AA728,PLAN!$B:$AA,5,0),"")</f>
        <v>HW60PB352P10000 KR</v>
      </c>
      <c r="G728" s="77" t="str">
        <f>IFERROR(VLOOKUP($AA728,PLAN!$B:$AA,2,0),"")</f>
        <v>1001943015</v>
      </c>
      <c r="H728" s="113">
        <f>IFERROR(VLOOKUP($AA728,PLAN!$B:$AA,7,0),"")</f>
        <v>46262</v>
      </c>
      <c r="I728" s="77" t="str">
        <f>IFERROR(VLOOKUP($AA728,PLAN!$B:$AA,8,0),"")</f>
        <v>0103603935</v>
      </c>
      <c r="J728" s="77" t="str">
        <f>IFERROR(VLOOKUP($AA728,PLAN!$B:$AA,9,0),"")</f>
        <v>260813C07A</v>
      </c>
      <c r="K728" s="77">
        <f>IFERROR(VLOOKUP($AA728,PLAN!$B:$AA,10,0),"")</f>
        <v>2</v>
      </c>
      <c r="L728" s="77" t="str">
        <f>IFERROR(VLOOKUP($AA728,PLAN!$B:$AA,15,0),"")</f>
        <v>KOREA</v>
      </c>
      <c r="M728" s="77">
        <f>IFERROR(VLOOKUP($AA728,PLAN!$B:$AA,18,0),"")</f>
        <v>0</v>
      </c>
      <c r="N728" s="227">
        <f>IFERROR(VLOOKUP($AA728,PLAN!$B:$AA,19,0),"")</f>
        <v>0</v>
      </c>
      <c r="O728" s="77" t="str">
        <f>IFERROR(VLOOKUP($AA728,PLAN!$B:$AA,12,0),"")</f>
        <v>2112072-0-C</v>
      </c>
      <c r="P728" s="77">
        <f>IFERROR(VLOOKUP($AA728,PLAN!$B:$AA,11,0),"")</f>
        <v>12116037</v>
      </c>
      <c r="Q728" s="349" t="s">
        <v>4314</v>
      </c>
      <c r="R728" s="158" t="s">
        <v>4315</v>
      </c>
      <c r="S728" s="149">
        <f t="shared" si="46"/>
        <v>2</v>
      </c>
      <c r="T728" s="131"/>
      <c r="U728" s="78">
        <f>IFERROR(VLOOKUP($AA728,PLAN!$B:$AA,21,0),"")</f>
        <v>46253</v>
      </c>
      <c r="V728" s="78" t="str">
        <f>IFERROR(VLOOKUP($AA728,PLAN!$B:$AA,22,0),"")</f>
        <v>M9</v>
      </c>
      <c r="W728" s="232"/>
      <c r="X728" s="233"/>
      <c r="Y728" s="212"/>
      <c r="Z728" s="350"/>
      <c r="AA728" s="195" t="s">
        <v>4258</v>
      </c>
      <c r="AB728" s="132">
        <f>VLOOKUP(AA728,PLAN!B:V,20,0)</f>
        <v>46253</v>
      </c>
      <c r="AC728" s="132"/>
    </row>
    <row r="729" spans="3:29" s="79" customFormat="1" ht="21.6" customHeight="1">
      <c r="C729" s="249" t="str">
        <f t="shared" si="45"/>
        <v>Aug28-32</v>
      </c>
      <c r="D729" s="77">
        <f>IFERROR(VLOOKUP($AA729,PLAN!$B:$AA,3,0),"")</f>
        <v>11130674</v>
      </c>
      <c r="E729" s="77" t="str">
        <f>IFERROR(VLOOKUP($AA729,PLAN!$B:$AA,4,0),"")</f>
        <v>2211146-C-A</v>
      </c>
      <c r="F729" s="77" t="str">
        <f>IFERROR(VLOOKUP($AA729,PLAN!$B:$AA,5,0),"")</f>
        <v>HW70JL350P10000 NOCE</v>
      </c>
      <c r="G729" s="77" t="str">
        <f>IFERROR(VLOOKUP($AA729,PLAN!$B:$AA,2,0),"")</f>
        <v>1001943017</v>
      </c>
      <c r="H729" s="113">
        <f>IFERROR(VLOOKUP($AA729,PLAN!$B:$AA,7,0),"")</f>
        <v>46262</v>
      </c>
      <c r="I729" s="77" t="str">
        <f>IFERROR(VLOOKUP($AA729,PLAN!$B:$AA,8,0),"")</f>
        <v>0103603937</v>
      </c>
      <c r="J729" s="77" t="str">
        <f>IFERROR(VLOOKUP($AA729,PLAN!$B:$AA,9,0),"")</f>
        <v>260813C09A</v>
      </c>
      <c r="K729" s="77">
        <f>IFERROR(VLOOKUP($AA729,PLAN!$B:$AA,10,0),"")</f>
        <v>2</v>
      </c>
      <c r="L729" s="77" t="str">
        <f>IFERROR(VLOOKUP($AA729,PLAN!$B:$AA,15,0),"")</f>
        <v>Australia</v>
      </c>
      <c r="M729" s="77">
        <f>IFERROR(VLOOKUP($AA729,PLAN!$B:$AA,18,0),"")</f>
        <v>0</v>
      </c>
      <c r="N729" s="227">
        <f>IFERROR(VLOOKUP($AA729,PLAN!$B:$AA,19,0),"")</f>
        <v>0</v>
      </c>
      <c r="O729" s="77" t="str">
        <f>IFERROR(VLOOKUP($AA729,PLAN!$B:$AA,12,0),"")</f>
        <v>2112149-0-C</v>
      </c>
      <c r="P729" s="77">
        <f>IFERROR(VLOOKUP($AA729,PLAN!$B:$AA,11,0),"")</f>
        <v>12116116</v>
      </c>
      <c r="Q729" s="277" t="s">
        <v>3765</v>
      </c>
      <c r="R729" s="149" t="s">
        <v>3766</v>
      </c>
      <c r="S729" s="149">
        <f t="shared" si="46"/>
        <v>2</v>
      </c>
      <c r="T729" s="131"/>
      <c r="U729" s="78">
        <f>IFERROR(VLOOKUP($AA729,PLAN!$B:$AA,21,0),"")</f>
        <v>46253</v>
      </c>
      <c r="V729" s="78" t="str">
        <f>IFERROR(VLOOKUP($AA729,PLAN!$B:$AA,22,0),"")</f>
        <v>M9</v>
      </c>
      <c r="W729" s="232"/>
      <c r="X729" s="233"/>
      <c r="Y729" s="212"/>
      <c r="Z729" s="350"/>
      <c r="AA729" s="195" t="s">
        <v>4260</v>
      </c>
      <c r="AB729" s="132">
        <f>VLOOKUP(AA729,PLAN!B:V,20,0)</f>
        <v>46253</v>
      </c>
      <c r="AC729" s="132"/>
    </row>
    <row r="730" spans="3:29" s="79" customFormat="1" ht="21.6" customHeight="1">
      <c r="C730" s="249" t="str">
        <f t="shared" si="45"/>
        <v>Aug28-33</v>
      </c>
      <c r="D730" s="77">
        <f>IFERROR(VLOOKUP($AA730,PLAN!$B:$AA,3,0),"")</f>
        <v>11130628</v>
      </c>
      <c r="E730" s="77" t="str">
        <f>IFERROR(VLOOKUP($AA730,PLAN!$B:$AA,4,0),"")</f>
        <v>2211100-C-A</v>
      </c>
      <c r="F730" s="77" t="str">
        <f>IFERROR(VLOOKUP($AA730,PLAN!$B:$AA,5,0),"")</f>
        <v>HW60IM000P10000 NOCE</v>
      </c>
      <c r="G730" s="77" t="str">
        <f>IFERROR(VLOOKUP($AA730,PLAN!$B:$AA,2,0),"")</f>
        <v>1001943018</v>
      </c>
      <c r="H730" s="113">
        <f>IFERROR(VLOOKUP($AA730,PLAN!$B:$AA,7,0),"")</f>
        <v>46262</v>
      </c>
      <c r="I730" s="77" t="str">
        <f>IFERROR(VLOOKUP($AA730,PLAN!$B:$AA,8,0),"")</f>
        <v>0103603938</v>
      </c>
      <c r="J730" s="77" t="str">
        <f>IFERROR(VLOOKUP($AA730,PLAN!$B:$AA,9,0),"")</f>
        <v>260813C10A</v>
      </c>
      <c r="K730" s="77">
        <f>IFERROR(VLOOKUP($AA730,PLAN!$B:$AA,10,0),"")</f>
        <v>6</v>
      </c>
      <c r="L730" s="77" t="str">
        <f>IFERROR(VLOOKUP($AA730,PLAN!$B:$AA,15,0),"")</f>
        <v>Australia</v>
      </c>
      <c r="M730" s="77">
        <f>IFERROR(VLOOKUP($AA730,PLAN!$B:$AA,18,0),"")</f>
        <v>0</v>
      </c>
      <c r="N730" s="227">
        <f>IFERROR(VLOOKUP($AA730,PLAN!$B:$AA,19,0),"")</f>
        <v>0</v>
      </c>
      <c r="O730" s="77" t="str">
        <f>IFERROR(VLOOKUP($AA730,PLAN!$B:$AA,12,0),"")</f>
        <v>2112037-0-C</v>
      </c>
      <c r="P730" s="77">
        <f>IFERROR(VLOOKUP($AA730,PLAN!$B:$AA,11,0),"")</f>
        <v>12116002</v>
      </c>
      <c r="Q730" s="349" t="s">
        <v>4316</v>
      </c>
      <c r="R730" s="158" t="s">
        <v>4317</v>
      </c>
      <c r="S730" s="149">
        <f t="shared" si="46"/>
        <v>6</v>
      </c>
      <c r="T730" s="131"/>
      <c r="U730" s="78">
        <f>IFERROR(VLOOKUP($AA730,PLAN!$B:$AA,21,0),"")</f>
        <v>46253</v>
      </c>
      <c r="V730" s="78" t="str">
        <f>IFERROR(VLOOKUP($AA730,PLAN!$B:$AA,22,0),"")</f>
        <v>M9</v>
      </c>
      <c r="W730" s="232"/>
      <c r="X730" s="233"/>
      <c r="Y730" s="212"/>
      <c r="Z730" s="350"/>
      <c r="AA730" s="195" t="s">
        <v>4261</v>
      </c>
      <c r="AB730" s="132">
        <f>VLOOKUP(AA730,PLAN!B:V,20,0)</f>
        <v>46253</v>
      </c>
      <c r="AC730" s="132"/>
    </row>
    <row r="731" spans="3:29" s="79" customFormat="1" ht="21.6" customHeight="1">
      <c r="C731" s="249" t="str">
        <f t="shared" si="45"/>
        <v>Aug28-34</v>
      </c>
      <c r="D731" s="77">
        <f>IFERROR(VLOOKUP($AA731,PLAN!$B:$AA,3,0),"")</f>
        <v>11130547</v>
      </c>
      <c r="E731" s="77" t="str">
        <f>IFERROR(VLOOKUP($AA731,PLAN!$B:$AA,4,0),"")</f>
        <v>2211019-C-A</v>
      </c>
      <c r="F731" s="77" t="str">
        <f>IFERROR(VLOOKUP($AA731,PLAN!$B:$AA,5,0),"")</f>
        <v>HW60JL400P10000 NOCE</v>
      </c>
      <c r="G731" s="77" t="str">
        <f>IFERROR(VLOOKUP($AA731,PLAN!$B:$AA,2,0),"")</f>
        <v>1001943019</v>
      </c>
      <c r="H731" s="113">
        <f>IFERROR(VLOOKUP($AA731,PLAN!$B:$AA,7,0),"")</f>
        <v>46262</v>
      </c>
      <c r="I731" s="77" t="str">
        <f>IFERROR(VLOOKUP($AA731,PLAN!$B:$AA,8,0),"")</f>
        <v>0103603939</v>
      </c>
      <c r="J731" s="77" t="str">
        <f>IFERROR(VLOOKUP($AA731,PLAN!$B:$AA,9,0),"")</f>
        <v>260813C11A</v>
      </c>
      <c r="K731" s="77">
        <f>IFERROR(VLOOKUP($AA731,PLAN!$B:$AA,10,0),"")</f>
        <v>40</v>
      </c>
      <c r="L731" s="77" t="str">
        <f>IFERROR(VLOOKUP($AA731,PLAN!$B:$AA,15,0),"")</f>
        <v>Australia</v>
      </c>
      <c r="M731" s="77">
        <f>IFERROR(VLOOKUP($AA731,PLAN!$B:$AA,18,0),"")</f>
        <v>0</v>
      </c>
      <c r="N731" s="227">
        <f>IFERROR(VLOOKUP($AA731,PLAN!$B:$AA,19,0),"")</f>
        <v>0</v>
      </c>
      <c r="O731" s="77" t="str">
        <f>IFERROR(VLOOKUP($AA731,PLAN!$B:$AA,12,0),"")</f>
        <v>2112045-0-C</v>
      </c>
      <c r="P731" s="77">
        <f>IFERROR(VLOOKUP($AA731,PLAN!$B:$AA,11,0),"")</f>
        <v>12116010</v>
      </c>
      <c r="Q731" s="277" t="s">
        <v>3960</v>
      </c>
      <c r="R731" s="149" t="s">
        <v>3961</v>
      </c>
      <c r="S731" s="223">
        <v>35</v>
      </c>
      <c r="T731" s="131"/>
      <c r="U731" s="78">
        <f>IFERROR(VLOOKUP($AA731,PLAN!$B:$AA,21,0),"")</f>
        <v>46253</v>
      </c>
      <c r="V731" s="78" t="str">
        <f>IFERROR(VLOOKUP($AA731,PLAN!$B:$AA,22,0),"")</f>
        <v>M9</v>
      </c>
      <c r="W731" s="232"/>
      <c r="X731" s="233"/>
      <c r="Y731" s="212"/>
      <c r="Z731" s="350"/>
      <c r="AA731" s="195" t="s">
        <v>4262</v>
      </c>
      <c r="AB731" s="132">
        <f>VLOOKUP(AA731,PLAN!B:V,20,0)</f>
        <v>46253</v>
      </c>
      <c r="AC731" s="132"/>
    </row>
    <row r="732" spans="3:29" s="79" customFormat="1" ht="21.6" customHeight="1">
      <c r="C732" s="249">
        <f t="shared" si="45"/>
        <v>0</v>
      </c>
      <c r="D732" s="77" t="str">
        <f>IFERROR(VLOOKUP($AA732,PLAN!$B:$AA,3,0),"")</f>
        <v/>
      </c>
      <c r="E732" s="77" t="str">
        <f>IFERROR(VLOOKUP($AA732,PLAN!$B:$AA,4,0),"")</f>
        <v/>
      </c>
      <c r="F732" s="77" t="str">
        <f>IFERROR(VLOOKUP($AA732,PLAN!$B:$AA,5,0),"")</f>
        <v/>
      </c>
      <c r="G732" s="77" t="str">
        <f>IFERROR(VLOOKUP($AA732,PLAN!$B:$AA,2,0),"")</f>
        <v/>
      </c>
      <c r="H732" s="113" t="str">
        <f>IFERROR(VLOOKUP($AA732,PLAN!$B:$AA,7,0),"")</f>
        <v/>
      </c>
      <c r="I732" s="77" t="str">
        <f>IFERROR(VLOOKUP($AA732,PLAN!$B:$AA,8,0),"")</f>
        <v/>
      </c>
      <c r="J732" s="77" t="str">
        <f>IFERROR(VLOOKUP($AA732,PLAN!$B:$AA,9,0),"")</f>
        <v/>
      </c>
      <c r="K732" s="77" t="str">
        <f>IFERROR(VLOOKUP($AA732,PLAN!$B:$AA,10,0),"")</f>
        <v/>
      </c>
      <c r="L732" s="77" t="str">
        <f>IFERROR(VLOOKUP($AA732,PLAN!$B:$AA,15,0),"")</f>
        <v/>
      </c>
      <c r="M732" s="77" t="str">
        <f>IFERROR(VLOOKUP($AA732,PLAN!$B:$AA,18,0),"")</f>
        <v/>
      </c>
      <c r="N732" s="227" t="str">
        <f>IFERROR(VLOOKUP($AA732,PLAN!$B:$AA,19,0),"")</f>
        <v/>
      </c>
      <c r="O732" s="77" t="str">
        <f>IFERROR(VLOOKUP($AA732,PLAN!$B:$AA,12,0),"")</f>
        <v/>
      </c>
      <c r="P732" s="77" t="str">
        <f>IFERROR(VLOOKUP($AA732,PLAN!$B:$AA,11,0),"")</f>
        <v/>
      </c>
      <c r="Q732" s="277" t="s">
        <v>4318</v>
      </c>
      <c r="R732" s="149" t="s">
        <v>4319</v>
      </c>
      <c r="S732" s="223">
        <f>K731-S731</f>
        <v>5</v>
      </c>
      <c r="T732" s="131"/>
      <c r="U732" s="78" t="str">
        <f>IFERROR(VLOOKUP($AA732,PLAN!$B:$AA,21,0),"")</f>
        <v/>
      </c>
      <c r="V732" s="78" t="str">
        <f>IFERROR(VLOOKUP($AA732,PLAN!$B:$AA,22,0),"")</f>
        <v/>
      </c>
      <c r="W732" s="232"/>
      <c r="X732" s="233"/>
      <c r="Y732" s="212"/>
      <c r="Z732" s="350"/>
      <c r="AA732" s="195"/>
      <c r="AB732" s="132">
        <v>46253</v>
      </c>
      <c r="AC732" s="132"/>
    </row>
    <row r="733" spans="3:29" s="79" customFormat="1" ht="21.6" customHeight="1">
      <c r="C733" s="249" t="str">
        <f t="shared" si="45"/>
        <v>Aug28-35</v>
      </c>
      <c r="D733" s="77">
        <f>IFERROR(VLOOKUP($AA733,PLAN!$B:$AA,3,0),"")</f>
        <v>11130696</v>
      </c>
      <c r="E733" s="77" t="str">
        <f>IFERROR(VLOOKUP($AA733,PLAN!$B:$AA,4,0),"")</f>
        <v>2211168-C-A</v>
      </c>
      <c r="F733" s="77" t="str">
        <f>IFERROR(VLOOKUP($AA733,PLAN!$B:$AA,5,0),"")</f>
        <v>HW70AL100P09000 NOCE</v>
      </c>
      <c r="G733" s="77" t="str">
        <f>IFERROR(VLOOKUP($AA733,PLAN!$B:$AA,2,0),"")</f>
        <v>1001943020</v>
      </c>
      <c r="H733" s="113">
        <f>IFERROR(VLOOKUP($AA733,PLAN!$B:$AA,7,0),"")</f>
        <v>46262</v>
      </c>
      <c r="I733" s="77" t="str">
        <f>IFERROR(VLOOKUP($AA733,PLAN!$B:$AA,8,0),"")</f>
        <v>0103603940</v>
      </c>
      <c r="J733" s="77" t="str">
        <f>IFERROR(VLOOKUP($AA733,PLAN!$B:$AA,9,0),"")</f>
        <v>260813C12A</v>
      </c>
      <c r="K733" s="77">
        <f>IFERROR(VLOOKUP($AA733,PLAN!$B:$AA,10,0),"")</f>
        <v>1</v>
      </c>
      <c r="L733" s="77" t="str">
        <f>IFERROR(VLOOKUP($AA733,PLAN!$B:$AA,15,0),"")</f>
        <v>Oversea</v>
      </c>
      <c r="M733" s="77">
        <f>IFERROR(VLOOKUP($AA733,PLAN!$B:$AA,18,0),"")</f>
        <v>0</v>
      </c>
      <c r="N733" s="227">
        <f>IFERROR(VLOOKUP($AA733,PLAN!$B:$AA,19,0),"")</f>
        <v>0</v>
      </c>
      <c r="O733" s="77" t="str">
        <f>IFERROR(VLOOKUP($AA733,PLAN!$B:$AA,12,0),"")</f>
        <v>2112111-0-C</v>
      </c>
      <c r="P733" s="77">
        <f>IFERROR(VLOOKUP($AA733,PLAN!$B:$AA,11,0),"")</f>
        <v>12116078</v>
      </c>
      <c r="Q733" s="349" t="s">
        <v>4320</v>
      </c>
      <c r="R733" s="158" t="s">
        <v>4321</v>
      </c>
      <c r="S733" s="149">
        <f t="shared" si="46"/>
        <v>1</v>
      </c>
      <c r="T733" s="131"/>
      <c r="U733" s="78">
        <f>IFERROR(VLOOKUP($AA733,PLAN!$B:$AA,21,0),"")</f>
        <v>46253</v>
      </c>
      <c r="V733" s="78" t="str">
        <f>IFERROR(VLOOKUP($AA733,PLAN!$B:$AA,22,0),"")</f>
        <v>M9</v>
      </c>
      <c r="W733" s="232"/>
      <c r="X733" s="233"/>
      <c r="Y733" s="212"/>
      <c r="Z733" s="350"/>
      <c r="AA733" s="195" t="s">
        <v>4263</v>
      </c>
      <c r="AB733" s="132">
        <f>VLOOKUP(AA733,PLAN!B:V,20,0)</f>
        <v>46253</v>
      </c>
      <c r="AC733" s="132"/>
    </row>
    <row r="734" spans="3:29" s="79" customFormat="1" ht="21.6" customHeight="1">
      <c r="C734" s="249" t="str">
        <f t="shared" si="45"/>
        <v>Aug28-36</v>
      </c>
      <c r="D734" s="77">
        <f>IFERROR(VLOOKUP($AA734,PLAN!$B:$AA,3,0),"")</f>
        <v>11130693</v>
      </c>
      <c r="E734" s="77" t="str">
        <f>IFERROR(VLOOKUP($AA734,PLAN!$B:$AA,4,0),"")</f>
        <v>2211165-C-A</v>
      </c>
      <c r="F734" s="77" t="str">
        <f>IFERROR(VLOOKUP($AA734,PLAN!$B:$AA,5,0),"")</f>
        <v>HW70AL070P10000 NOCE</v>
      </c>
      <c r="G734" s="77" t="str">
        <f>IFERROR(VLOOKUP($AA734,PLAN!$B:$AA,2,0),"")</f>
        <v>1001943021</v>
      </c>
      <c r="H734" s="113">
        <f>IFERROR(VLOOKUP($AA734,PLAN!$B:$AA,7,0),"")</f>
        <v>46262</v>
      </c>
      <c r="I734" s="77" t="str">
        <f>IFERROR(VLOOKUP($AA734,PLAN!$B:$AA,8,0),"")</f>
        <v>0103603941</v>
      </c>
      <c r="J734" s="77" t="str">
        <f>IFERROR(VLOOKUP($AA734,PLAN!$B:$AA,9,0),"")</f>
        <v>260813C13A</v>
      </c>
      <c r="K734" s="77">
        <f>IFERROR(VLOOKUP($AA734,PLAN!$B:$AA,10,0),"")</f>
        <v>7</v>
      </c>
      <c r="L734" s="77" t="str">
        <f>IFERROR(VLOOKUP($AA734,PLAN!$B:$AA,15,0),"")</f>
        <v>Oversea</v>
      </c>
      <c r="M734" s="77">
        <f>IFERROR(VLOOKUP($AA734,PLAN!$B:$AA,18,0),"")</f>
        <v>0</v>
      </c>
      <c r="N734" s="227">
        <f>IFERROR(VLOOKUP($AA734,PLAN!$B:$AA,19,0),"")</f>
        <v>0</v>
      </c>
      <c r="O734" s="77" t="str">
        <f>IFERROR(VLOOKUP($AA734,PLAN!$B:$AA,12,0),"")</f>
        <v>2112105-0-C</v>
      </c>
      <c r="P734" s="77">
        <f>IFERROR(VLOOKUP($AA734,PLAN!$B:$AA,11,0),"")</f>
        <v>12116072</v>
      </c>
      <c r="Q734" s="349" t="s">
        <v>4324</v>
      </c>
      <c r="R734" s="158" t="s">
        <v>4325</v>
      </c>
      <c r="S734" s="149">
        <f t="shared" si="46"/>
        <v>7</v>
      </c>
      <c r="T734" s="131"/>
      <c r="U734" s="78">
        <f>IFERROR(VLOOKUP($AA734,PLAN!$B:$AA,21,0),"")</f>
        <v>46253</v>
      </c>
      <c r="V734" s="78" t="str">
        <f>IFERROR(VLOOKUP($AA734,PLAN!$B:$AA,22,0),"")</f>
        <v>M9</v>
      </c>
      <c r="W734" s="232"/>
      <c r="X734" s="233"/>
      <c r="Y734" s="212"/>
      <c r="Z734" s="350"/>
      <c r="AA734" s="195" t="s">
        <v>4264</v>
      </c>
      <c r="AB734" s="132">
        <f>VLOOKUP(AA734,PLAN!B:V,20,0)</f>
        <v>46253</v>
      </c>
      <c r="AC734" s="132"/>
    </row>
    <row r="735" spans="3:29" s="79" customFormat="1" ht="21.6" customHeight="1">
      <c r="C735" s="249" t="str">
        <f t="shared" si="45"/>
        <v>Aug28-37</v>
      </c>
      <c r="D735" s="77">
        <f>IFERROR(VLOOKUP($AA735,PLAN!$B:$AA,3,0),"")</f>
        <v>11119377</v>
      </c>
      <c r="E735" s="77" t="str">
        <f>IFERROR(VLOOKUP($AA735,PLAN!$B:$AA,4,0),"")</f>
        <v>1911045-D-A</v>
      </c>
      <c r="F735" s="77" t="str">
        <f>IFERROR(VLOOKUP($AA735,PLAN!$B:$AA,5,0),"")</f>
        <v>HJ60JL402P10020 JP</v>
      </c>
      <c r="G735" s="77" t="str">
        <f>IFERROR(VLOOKUP($AA735,PLAN!$B:$AA,2,0),"")</f>
        <v>1001943022</v>
      </c>
      <c r="H735" s="113">
        <f>IFERROR(VLOOKUP($AA735,PLAN!$B:$AA,7,0),"")</f>
        <v>46262</v>
      </c>
      <c r="I735" s="77" t="str">
        <f>IFERROR(VLOOKUP($AA735,PLAN!$B:$AA,8,0),"")</f>
        <v>0103603942</v>
      </c>
      <c r="J735" s="77" t="str">
        <f>IFERROR(VLOOKUP($AA735,PLAN!$B:$AA,9,0),"")</f>
        <v>260813C14A</v>
      </c>
      <c r="K735" s="77">
        <f>IFERROR(VLOOKUP($AA735,PLAN!$B:$AA,10,0),"")</f>
        <v>2</v>
      </c>
      <c r="L735" s="77" t="str">
        <f>IFERROR(VLOOKUP($AA735,PLAN!$B:$AA,15,0),"")</f>
        <v>JAPAN</v>
      </c>
      <c r="M735" s="77">
        <f>IFERROR(VLOOKUP($AA735,PLAN!$B:$AA,18,0),"")</f>
        <v>0</v>
      </c>
      <c r="N735" s="227">
        <f>IFERROR(VLOOKUP($AA735,PLAN!$B:$AA,19,0),"")</f>
        <v>0</v>
      </c>
      <c r="O735" s="77" t="str">
        <f>IFERROR(VLOOKUP($AA735,PLAN!$B:$AA,12,0),"")</f>
        <v>2112047-0-C</v>
      </c>
      <c r="P735" s="77">
        <f>IFERROR(VLOOKUP($AA735,PLAN!$B:$AA,11,0),"")</f>
        <v>12116012</v>
      </c>
      <c r="Q735" s="148" t="s">
        <v>4322</v>
      </c>
      <c r="R735" s="222" t="s">
        <v>4323</v>
      </c>
      <c r="S735" s="149">
        <f t="shared" si="46"/>
        <v>2</v>
      </c>
      <c r="T735" s="131"/>
      <c r="U735" s="78">
        <f>IFERROR(VLOOKUP($AA735,PLAN!$B:$AA,21,0),"")</f>
        <v>46253</v>
      </c>
      <c r="V735" s="78" t="str">
        <f>IFERROR(VLOOKUP($AA735,PLAN!$B:$AA,22,0),"")</f>
        <v>M9</v>
      </c>
      <c r="W735" s="232"/>
      <c r="X735" s="233"/>
      <c r="Y735" s="212"/>
      <c r="Z735" s="350"/>
      <c r="AA735" s="195" t="s">
        <v>4265</v>
      </c>
      <c r="AB735" s="132">
        <f>VLOOKUP(AA735,PLAN!B:V,20,0)</f>
        <v>46253</v>
      </c>
      <c r="AC735" s="132"/>
    </row>
    <row r="736" spans="3:29" s="79" customFormat="1" ht="21.6" customHeight="1">
      <c r="C736" s="249" t="str">
        <f t="shared" si="45"/>
        <v>Aug28-38</v>
      </c>
      <c r="D736" s="77">
        <f>IFERROR(VLOOKUP($AA736,PLAN!$B:$AA,3,0),"")</f>
        <v>11119367</v>
      </c>
      <c r="E736" s="77" t="str">
        <f>IFERROR(VLOOKUP($AA736,PLAN!$B:$AA,4,0),"")</f>
        <v>1911035-D-A</v>
      </c>
      <c r="F736" s="77" t="str">
        <f>IFERROR(VLOOKUP($AA736,PLAN!$B:$AA,5,0),"")</f>
        <v>HJ60IM000P10000 JP</v>
      </c>
      <c r="G736" s="77" t="str">
        <f>IFERROR(VLOOKUP($AA736,PLAN!$B:$AA,2,0),"")</f>
        <v>1001943023</v>
      </c>
      <c r="H736" s="113">
        <f>IFERROR(VLOOKUP($AA736,PLAN!$B:$AA,7,0),"")</f>
        <v>46262</v>
      </c>
      <c r="I736" s="77" t="str">
        <f>IFERROR(VLOOKUP($AA736,PLAN!$B:$AA,8,0),"")</f>
        <v>0103603943</v>
      </c>
      <c r="J736" s="77" t="str">
        <f>IFERROR(VLOOKUP($AA736,PLAN!$B:$AA,9,0),"")</f>
        <v>260813C15A</v>
      </c>
      <c r="K736" s="77">
        <f>IFERROR(VLOOKUP($AA736,PLAN!$B:$AA,10,0),"")</f>
        <v>2</v>
      </c>
      <c r="L736" s="77" t="str">
        <f>IFERROR(VLOOKUP($AA736,PLAN!$B:$AA,15,0),"")</f>
        <v>JAPAN</v>
      </c>
      <c r="M736" s="77">
        <f>IFERROR(VLOOKUP($AA736,PLAN!$B:$AA,18,0),"")</f>
        <v>0</v>
      </c>
      <c r="N736" s="227">
        <f>IFERROR(VLOOKUP($AA736,PLAN!$B:$AA,19,0),"")</f>
        <v>0</v>
      </c>
      <c r="O736" s="77" t="str">
        <f>IFERROR(VLOOKUP($AA736,PLAN!$B:$AA,12,0),"")</f>
        <v>2112037-0-C</v>
      </c>
      <c r="P736" s="77">
        <f>IFERROR(VLOOKUP($AA736,PLAN!$B:$AA,11,0),"")</f>
        <v>12116002</v>
      </c>
      <c r="Q736" s="349" t="s">
        <v>4316</v>
      </c>
      <c r="R736" s="158" t="s">
        <v>4317</v>
      </c>
      <c r="S736" s="149">
        <f t="shared" si="46"/>
        <v>2</v>
      </c>
      <c r="T736" s="131"/>
      <c r="U736" s="78">
        <f>IFERROR(VLOOKUP($AA736,PLAN!$B:$AA,21,0),"")</f>
        <v>46253</v>
      </c>
      <c r="V736" s="78" t="str">
        <f>IFERROR(VLOOKUP($AA736,PLAN!$B:$AA,22,0),"")</f>
        <v>M9</v>
      </c>
      <c r="W736" s="232"/>
      <c r="X736" s="233"/>
      <c r="Y736" s="212"/>
      <c r="Z736" s="350"/>
      <c r="AA736" s="195" t="s">
        <v>4266</v>
      </c>
      <c r="AB736" s="132">
        <f>VLOOKUP(AA736,PLAN!B:V,20,0)</f>
        <v>46253</v>
      </c>
      <c r="AC736" s="132"/>
    </row>
    <row r="737" spans="3:29" s="79" customFormat="1" ht="21.6" customHeight="1">
      <c r="C737" s="249" t="str">
        <f t="shared" si="45"/>
        <v>Aug28-39</v>
      </c>
      <c r="D737" s="77">
        <f>IFERROR(VLOOKUP($AA737,PLAN!$B:$AA,3,0),"")</f>
        <v>11119377</v>
      </c>
      <c r="E737" s="77" t="str">
        <f>IFERROR(VLOOKUP($AA737,PLAN!$B:$AA,4,0),"")</f>
        <v>1911045-D-A</v>
      </c>
      <c r="F737" s="77" t="str">
        <f>IFERROR(VLOOKUP($AA737,PLAN!$B:$AA,5,0),"")</f>
        <v>HJ60JL402P10020 JP</v>
      </c>
      <c r="G737" s="77" t="str">
        <f>IFERROR(VLOOKUP($AA737,PLAN!$B:$AA,2,0),"")</f>
        <v>1001943024</v>
      </c>
      <c r="H737" s="113">
        <f>IFERROR(VLOOKUP($AA737,PLAN!$B:$AA,7,0),"")</f>
        <v>46262</v>
      </c>
      <c r="I737" s="77" t="str">
        <f>IFERROR(VLOOKUP($AA737,PLAN!$B:$AA,8,0),"")</f>
        <v>0103603944</v>
      </c>
      <c r="J737" s="77" t="str">
        <f>IFERROR(VLOOKUP($AA737,PLAN!$B:$AA,9,0),"")</f>
        <v>260813C16A</v>
      </c>
      <c r="K737" s="77">
        <f>IFERROR(VLOOKUP($AA737,PLAN!$B:$AA,10,0),"")</f>
        <v>26</v>
      </c>
      <c r="L737" s="77" t="str">
        <f>IFERROR(VLOOKUP($AA737,PLAN!$B:$AA,15,0),"")</f>
        <v>JAPAN</v>
      </c>
      <c r="M737" s="77">
        <f>IFERROR(VLOOKUP($AA737,PLAN!$B:$AA,18,0),"")</f>
        <v>0</v>
      </c>
      <c r="N737" s="227">
        <f>IFERROR(VLOOKUP($AA737,PLAN!$B:$AA,19,0),"")</f>
        <v>0</v>
      </c>
      <c r="O737" s="77" t="str">
        <f>IFERROR(VLOOKUP($AA737,PLAN!$B:$AA,12,0),"")</f>
        <v>2112047-0-C</v>
      </c>
      <c r="P737" s="77">
        <f>IFERROR(VLOOKUP($AA737,PLAN!$B:$AA,11,0),"")</f>
        <v>12116012</v>
      </c>
      <c r="Q737" s="349" t="s">
        <v>4326</v>
      </c>
      <c r="R737" s="158" t="s">
        <v>4327</v>
      </c>
      <c r="S737" s="149">
        <f t="shared" si="46"/>
        <v>26</v>
      </c>
      <c r="T737" s="131"/>
      <c r="U737" s="78">
        <f>IFERROR(VLOOKUP($AA737,PLAN!$B:$AA,21,0),"")</f>
        <v>46253</v>
      </c>
      <c r="V737" s="78" t="str">
        <f>IFERROR(VLOOKUP($AA737,PLAN!$B:$AA,22,0),"")</f>
        <v>M9</v>
      </c>
      <c r="W737" s="232"/>
      <c r="X737" s="233"/>
      <c r="Y737" s="212"/>
      <c r="Z737" s="350"/>
      <c r="AA737" s="195" t="s">
        <v>4267</v>
      </c>
      <c r="AB737" s="132">
        <f>VLOOKUP(AA737,PLAN!B:V,20,0)</f>
        <v>46253</v>
      </c>
      <c r="AC737" s="132"/>
    </row>
    <row r="738" spans="3:29" s="79" customFormat="1" ht="21.6" customHeight="1">
      <c r="C738" s="249" t="str">
        <f t="shared" si="45"/>
        <v>Aug28-40</v>
      </c>
      <c r="D738" s="77">
        <f>IFERROR(VLOOKUP($AA738,PLAN!$B:$AA,3,0),"")</f>
        <v>11119490</v>
      </c>
      <c r="E738" s="77" t="str">
        <f>IFERROR(VLOOKUP($AA738,PLAN!$B:$AA,4,0),"")</f>
        <v>1911156-D-A</v>
      </c>
      <c r="F738" s="77" t="str">
        <f>IFERROR(VLOOKUP($AA738,PLAN!$B:$AA,5,0),"")</f>
        <v>HJ70JL402P10020 JP</v>
      </c>
      <c r="G738" s="77" t="str">
        <f>IFERROR(VLOOKUP($AA738,PLAN!$B:$AA,2,0),"")</f>
        <v>1001943025</v>
      </c>
      <c r="H738" s="113">
        <f>IFERROR(VLOOKUP($AA738,PLAN!$B:$AA,7,0),"")</f>
        <v>46262</v>
      </c>
      <c r="I738" s="77" t="str">
        <f>IFERROR(VLOOKUP($AA738,PLAN!$B:$AA,8,0),"")</f>
        <v>0103603945</v>
      </c>
      <c r="J738" s="77" t="str">
        <f>IFERROR(VLOOKUP($AA738,PLAN!$B:$AA,9,0),"")</f>
        <v>260813C17A</v>
      </c>
      <c r="K738" s="77">
        <f>IFERROR(VLOOKUP($AA738,PLAN!$B:$AA,10,0),"")</f>
        <v>72</v>
      </c>
      <c r="L738" s="77" t="str">
        <f>IFERROR(VLOOKUP($AA738,PLAN!$B:$AA,15,0),"")</f>
        <v>JAPAN</v>
      </c>
      <c r="M738" s="77">
        <f>IFERROR(VLOOKUP($AA738,PLAN!$B:$AA,18,0),"")</f>
        <v>0</v>
      </c>
      <c r="N738" s="227">
        <f>IFERROR(VLOOKUP($AA738,PLAN!$B:$AA,19,0),"")</f>
        <v>0</v>
      </c>
      <c r="O738" s="77" t="str">
        <f>IFERROR(VLOOKUP($AA738,PLAN!$B:$AA,12,0),"")</f>
        <v>2112158-0-C</v>
      </c>
      <c r="P738" s="77">
        <f>IFERROR(VLOOKUP($AA738,PLAN!$B:$AA,11,0),"")</f>
        <v>12116125</v>
      </c>
      <c r="Q738" s="277" t="s">
        <v>4328</v>
      </c>
      <c r="R738" s="149" t="s">
        <v>4329</v>
      </c>
      <c r="S738" s="223">
        <v>24</v>
      </c>
      <c r="T738" s="131"/>
      <c r="U738" s="78">
        <f>IFERROR(VLOOKUP($AA738,PLAN!$B:$AA,21,0),"")</f>
        <v>46253</v>
      </c>
      <c r="V738" s="78" t="str">
        <f>IFERROR(VLOOKUP($AA738,PLAN!$B:$AA,22,0),"")</f>
        <v>M9</v>
      </c>
      <c r="W738" s="232"/>
      <c r="X738" s="233"/>
      <c r="Y738" s="212"/>
      <c r="Z738" s="350"/>
      <c r="AA738" s="195" t="s">
        <v>4268</v>
      </c>
      <c r="AB738" s="132">
        <f>VLOOKUP(AA738,PLAN!B:V,20,0)</f>
        <v>46253</v>
      </c>
      <c r="AC738" s="132"/>
    </row>
    <row r="739" spans="3:29" s="79" customFormat="1" ht="21.6" customHeight="1">
      <c r="C739" s="249"/>
      <c r="D739" s="77"/>
      <c r="E739" s="77"/>
      <c r="F739" s="77"/>
      <c r="G739" s="77"/>
      <c r="H739" s="113"/>
      <c r="I739" s="77"/>
      <c r="J739" s="77"/>
      <c r="K739" s="77"/>
      <c r="L739" s="77"/>
      <c r="M739" s="77"/>
      <c r="N739" s="227"/>
      <c r="O739" s="77"/>
      <c r="P739" s="77"/>
      <c r="Q739" s="349" t="s">
        <v>4330</v>
      </c>
      <c r="R739" s="222" t="s">
        <v>4331</v>
      </c>
      <c r="S739" s="223">
        <f>K738-S738</f>
        <v>48</v>
      </c>
      <c r="T739" s="131"/>
      <c r="U739" s="78"/>
      <c r="V739" s="78"/>
      <c r="W739" s="232"/>
      <c r="X739" s="233"/>
      <c r="Y739" s="212"/>
      <c r="Z739" s="350"/>
      <c r="AA739" s="195"/>
      <c r="AB739" s="132">
        <v>46253</v>
      </c>
      <c r="AC739" s="132"/>
    </row>
    <row r="740" spans="3:29" s="79" customFormat="1" ht="21.6" customHeight="1">
      <c r="C740" s="249" t="str">
        <f t="shared" si="45"/>
        <v>Aug28-41</v>
      </c>
      <c r="D740" s="77">
        <f>IFERROR(VLOOKUP($AA740,PLAN!$B:$AA,3,0),"")</f>
        <v>11119413</v>
      </c>
      <c r="E740" s="77" t="str">
        <f>IFERROR(VLOOKUP($AA740,PLAN!$B:$AA,4,0),"")</f>
        <v>1911081-D-A</v>
      </c>
      <c r="F740" s="77" t="str">
        <f>IFERROR(VLOOKUP($AA740,PLAN!$B:$AA,5,0),"")</f>
        <v>HJ60AL070P10022 JP</v>
      </c>
      <c r="G740" s="77" t="str">
        <f>IFERROR(VLOOKUP($AA740,PLAN!$B:$AA,2,0),"")</f>
        <v>1001943026</v>
      </c>
      <c r="H740" s="113">
        <f>IFERROR(VLOOKUP($AA740,PLAN!$B:$AA,7,0),"")</f>
        <v>46262</v>
      </c>
      <c r="I740" s="77" t="str">
        <f>IFERROR(VLOOKUP($AA740,PLAN!$B:$AA,8,0),"")</f>
        <v>0103603946</v>
      </c>
      <c r="J740" s="77" t="str">
        <f>IFERROR(VLOOKUP($AA740,PLAN!$B:$AA,9,0),"")</f>
        <v>260813C18A</v>
      </c>
      <c r="K740" s="77">
        <f>IFERROR(VLOOKUP($AA740,PLAN!$B:$AA,10,0),"")</f>
        <v>93</v>
      </c>
      <c r="L740" s="77" t="str">
        <f>IFERROR(VLOOKUP($AA740,PLAN!$B:$AA,15,0),"")</f>
        <v>JAPAN</v>
      </c>
      <c r="M740" s="77">
        <f>IFERROR(VLOOKUP($AA740,PLAN!$B:$AA,18,0),"")</f>
        <v>0</v>
      </c>
      <c r="N740" s="227">
        <f>IFERROR(VLOOKUP($AA740,PLAN!$B:$AA,19,0),"")</f>
        <v>0</v>
      </c>
      <c r="O740" s="77" t="str">
        <f>IFERROR(VLOOKUP($AA740,PLAN!$B:$AA,12,0),"")</f>
        <v>2112083-0-C</v>
      </c>
      <c r="P740" s="77">
        <f>IFERROR(VLOOKUP($AA740,PLAN!$B:$AA,11,0),"")</f>
        <v>12116048</v>
      </c>
      <c r="Q740" s="277" t="s">
        <v>3745</v>
      </c>
      <c r="R740" s="149" t="s">
        <v>3746</v>
      </c>
      <c r="S740" s="223">
        <v>66</v>
      </c>
      <c r="T740" s="131"/>
      <c r="U740" s="78">
        <f>IFERROR(VLOOKUP($AA740,PLAN!$B:$AA,21,0),"")</f>
        <v>46253</v>
      </c>
      <c r="V740" s="78" t="str">
        <f>IFERROR(VLOOKUP($AA740,PLAN!$B:$AA,22,0),"")</f>
        <v>M9</v>
      </c>
      <c r="W740" s="232"/>
      <c r="X740" s="233"/>
      <c r="Y740" s="212"/>
      <c r="Z740" s="350"/>
      <c r="AA740" s="195" t="s">
        <v>4269</v>
      </c>
      <c r="AB740" s="132">
        <f>VLOOKUP(AA740,PLAN!B:V,20,0)</f>
        <v>46253</v>
      </c>
      <c r="AC740" s="132"/>
    </row>
    <row r="741" spans="3:29" s="79" customFormat="1" ht="21.6" customHeight="1">
      <c r="C741" s="249"/>
      <c r="D741" s="77"/>
      <c r="E741" s="77"/>
      <c r="F741" s="77"/>
      <c r="G741" s="77"/>
      <c r="H741" s="113"/>
      <c r="I741" s="77"/>
      <c r="J741" s="77"/>
      <c r="K741" s="77"/>
      <c r="L741" s="77"/>
      <c r="M741" s="77"/>
      <c r="N741" s="227"/>
      <c r="O741" s="77"/>
      <c r="P741" s="77"/>
      <c r="Q741" s="277" t="s">
        <v>4332</v>
      </c>
      <c r="R741" s="149" t="s">
        <v>4333</v>
      </c>
      <c r="S741" s="223">
        <f>K740-S740</f>
        <v>27</v>
      </c>
      <c r="T741" s="131"/>
      <c r="U741" s="78"/>
      <c r="V741" s="78"/>
      <c r="W741" s="232"/>
      <c r="X741" s="233"/>
      <c r="Y741" s="212"/>
      <c r="Z741" s="350"/>
      <c r="AA741" s="195"/>
      <c r="AB741" s="132">
        <v>46253</v>
      </c>
      <c r="AC741" s="132"/>
    </row>
    <row r="742" spans="3:29" s="79" customFormat="1" ht="21.6" customHeight="1">
      <c r="C742" s="249" t="str">
        <f t="shared" si="45"/>
        <v>Aug28-42</v>
      </c>
      <c r="D742" s="77">
        <f>IFERROR(VLOOKUP($AA742,PLAN!$B:$AA,3,0),"")</f>
        <v>11119372</v>
      </c>
      <c r="E742" s="77" t="str">
        <f>IFERROR(VLOOKUP($AA742,PLAN!$B:$AA,4,0),"")</f>
        <v>1911040-D-A</v>
      </c>
      <c r="F742" s="77" t="str">
        <f>IFERROR(VLOOKUP($AA742,PLAN!$B:$AA,5,0),"")</f>
        <v>HJ60JL352P10020 JP</v>
      </c>
      <c r="G742" s="77" t="str">
        <f>IFERROR(VLOOKUP($AA742,PLAN!$B:$AA,2,0),"")</f>
        <v>1001943027</v>
      </c>
      <c r="H742" s="113">
        <f>IFERROR(VLOOKUP($AA742,PLAN!$B:$AA,7,0),"")</f>
        <v>46262</v>
      </c>
      <c r="I742" s="77" t="str">
        <f>IFERROR(VLOOKUP($AA742,PLAN!$B:$AA,8,0),"")</f>
        <v>0103603947</v>
      </c>
      <c r="J742" s="77" t="str">
        <f>IFERROR(VLOOKUP($AA742,PLAN!$B:$AA,9,0),"")</f>
        <v>260813C19A</v>
      </c>
      <c r="K742" s="77">
        <f>IFERROR(VLOOKUP($AA742,PLAN!$B:$AA,10,0),"")</f>
        <v>105</v>
      </c>
      <c r="L742" s="77" t="str">
        <f>IFERROR(VLOOKUP($AA742,PLAN!$B:$AA,15,0),"")</f>
        <v>JAPAN</v>
      </c>
      <c r="M742" s="77">
        <f>IFERROR(VLOOKUP($AA742,PLAN!$B:$AA,18,0),"")</f>
        <v>0</v>
      </c>
      <c r="N742" s="227">
        <f>IFERROR(VLOOKUP($AA742,PLAN!$B:$AA,19,0),"")</f>
        <v>0</v>
      </c>
      <c r="O742" s="77" t="str">
        <f>IFERROR(VLOOKUP($AA742,PLAN!$B:$AA,12,0),"")</f>
        <v>2112042-0-C</v>
      </c>
      <c r="P742" s="77">
        <f>IFERROR(VLOOKUP($AA742,PLAN!$B:$AA,11,0),"")</f>
        <v>12116007</v>
      </c>
      <c r="Q742" s="277" t="s">
        <v>3767</v>
      </c>
      <c r="R742" s="149" t="s">
        <v>3768</v>
      </c>
      <c r="S742" s="223">
        <v>6</v>
      </c>
      <c r="T742" s="131"/>
      <c r="U742" s="78">
        <f>IFERROR(VLOOKUP($AA742,PLAN!$B:$AA,21,0),"")</f>
        <v>46253</v>
      </c>
      <c r="V742" s="78" t="str">
        <f>IFERROR(VLOOKUP($AA742,PLAN!$B:$AA,22,0),"")</f>
        <v>M9</v>
      </c>
      <c r="W742" s="232"/>
      <c r="X742" s="233"/>
      <c r="Y742" s="212"/>
      <c r="Z742" s="350"/>
      <c r="AA742" s="195" t="s">
        <v>4270</v>
      </c>
      <c r="AB742" s="132">
        <f>VLOOKUP(AA742,PLAN!B:V,20,0)</f>
        <v>46253</v>
      </c>
      <c r="AC742" s="132"/>
    </row>
    <row r="743" spans="3:29" s="79" customFormat="1" ht="21.6" customHeight="1">
      <c r="C743" s="249"/>
      <c r="D743" s="77"/>
      <c r="E743" s="77"/>
      <c r="F743" s="77"/>
      <c r="G743" s="77"/>
      <c r="H743" s="113"/>
      <c r="I743" s="77"/>
      <c r="J743" s="77"/>
      <c r="K743" s="77"/>
      <c r="L743" s="77"/>
      <c r="M743" s="77"/>
      <c r="N743" s="227"/>
      <c r="O743" s="77"/>
      <c r="P743" s="77"/>
      <c r="Q743" s="349" t="s">
        <v>4334</v>
      </c>
      <c r="R743" s="158" t="s">
        <v>4335</v>
      </c>
      <c r="S743" s="223">
        <f>K742-S742</f>
        <v>99</v>
      </c>
      <c r="T743" s="131"/>
      <c r="U743" s="78"/>
      <c r="V743" s="78"/>
      <c r="W743" s="232"/>
      <c r="X743" s="233"/>
      <c r="Y743" s="212"/>
      <c r="Z743" s="350"/>
      <c r="AA743" s="195"/>
      <c r="AB743" s="132">
        <v>46253</v>
      </c>
      <c r="AC743" s="132"/>
    </row>
    <row r="744" spans="3:29" s="79" customFormat="1" ht="21.6" customHeight="1">
      <c r="C744" s="249" t="str">
        <f t="shared" si="45"/>
        <v>Aug28-43</v>
      </c>
      <c r="D744" s="77">
        <f>IFERROR(VLOOKUP($AA744,PLAN!$B:$AA,3,0),"")</f>
        <v>11119337</v>
      </c>
      <c r="E744" s="77" t="str">
        <f>IFERROR(VLOOKUP($AA744,PLAN!$B:$AA,4,0),"")</f>
        <v>1911005-E-A</v>
      </c>
      <c r="F744" s="77" t="str">
        <f>IFERROR(VLOOKUP($AA744,PLAN!$B:$AA,5,0),"")</f>
        <v>HJ60AL100P10020 JP</v>
      </c>
      <c r="G744" s="77" t="str">
        <f>IFERROR(VLOOKUP($AA744,PLAN!$B:$AA,2,0),"")</f>
        <v>1001943028</v>
      </c>
      <c r="H744" s="113">
        <f>IFERROR(VLOOKUP($AA744,PLAN!$B:$AA,7,0),"")</f>
        <v>46262</v>
      </c>
      <c r="I744" s="77" t="str">
        <f>IFERROR(VLOOKUP($AA744,PLAN!$B:$AA,8,0),"")</f>
        <v>0103603948</v>
      </c>
      <c r="J744" s="77" t="str">
        <f>IFERROR(VLOOKUP($AA744,PLAN!$B:$AA,9,0),"")</f>
        <v>260813C20A</v>
      </c>
      <c r="K744" s="77">
        <f>IFERROR(VLOOKUP($AA744,PLAN!$B:$AA,10,0),"")</f>
        <v>130</v>
      </c>
      <c r="L744" s="77" t="str">
        <f>IFERROR(VLOOKUP($AA744,PLAN!$B:$AA,15,0),"")</f>
        <v>JAPAN</v>
      </c>
      <c r="M744" s="77">
        <f>IFERROR(VLOOKUP($AA744,PLAN!$B:$AA,18,0),"")</f>
        <v>0</v>
      </c>
      <c r="N744" s="227">
        <f>IFERROR(VLOOKUP($AA744,PLAN!$B:$AA,19,0),"")</f>
        <v>0</v>
      </c>
      <c r="O744" s="77" t="str">
        <f>IFERROR(VLOOKUP($AA744,PLAN!$B:$AA,12,0),"")</f>
        <v>2112007-0-C</v>
      </c>
      <c r="P744" s="77">
        <f>IFERROR(VLOOKUP($AA744,PLAN!$B:$AA,11,0),"")</f>
        <v>12115972</v>
      </c>
      <c r="Q744" s="349" t="s">
        <v>4336</v>
      </c>
      <c r="R744" s="149" t="s">
        <v>4337</v>
      </c>
      <c r="S744" s="223">
        <v>40</v>
      </c>
      <c r="T744" s="131"/>
      <c r="U744" s="78">
        <f>IFERROR(VLOOKUP($AA744,PLAN!$B:$AA,21,0),"")</f>
        <v>46253</v>
      </c>
      <c r="V744" s="78" t="str">
        <f>IFERROR(VLOOKUP($AA744,PLAN!$B:$AA,22,0),"")</f>
        <v>M9</v>
      </c>
      <c r="W744" s="232"/>
      <c r="X744" s="233"/>
      <c r="Y744" s="212"/>
      <c r="Z744" s="350"/>
      <c r="AA744" s="195" t="s">
        <v>4271</v>
      </c>
      <c r="AB744" s="132">
        <f>VLOOKUP(AA744,PLAN!B:V,20,0)</f>
        <v>46253</v>
      </c>
      <c r="AC744" s="132"/>
    </row>
    <row r="745" spans="3:29" s="79" customFormat="1" ht="21.6" customHeight="1">
      <c r="C745" s="249">
        <f t="shared" si="45"/>
        <v>0</v>
      </c>
      <c r="D745" s="77" t="str">
        <f>IFERROR(VLOOKUP($AA745,PLAN!$B:$AA,3,0),"")</f>
        <v/>
      </c>
      <c r="E745" s="77" t="str">
        <f>IFERROR(VLOOKUP($AA745,PLAN!$B:$AA,4,0),"")</f>
        <v/>
      </c>
      <c r="F745" s="77" t="str">
        <f>IFERROR(VLOOKUP($AA745,PLAN!$B:$AA,5,0),"")</f>
        <v/>
      </c>
      <c r="G745" s="77" t="str">
        <f>IFERROR(VLOOKUP($AA745,PLAN!$B:$AA,2,0),"")</f>
        <v/>
      </c>
      <c r="H745" s="113" t="str">
        <f>IFERROR(VLOOKUP($AA745,PLAN!$B:$AA,7,0),"")</f>
        <v/>
      </c>
      <c r="I745" s="77" t="str">
        <f>IFERROR(VLOOKUP($AA745,PLAN!$B:$AA,8,0),"")</f>
        <v/>
      </c>
      <c r="J745" s="77" t="str">
        <f>IFERROR(VLOOKUP($AA745,PLAN!$B:$AA,9,0),"")</f>
        <v/>
      </c>
      <c r="K745" s="77" t="str">
        <f>IFERROR(VLOOKUP($AA745,PLAN!$B:$AA,10,0),"")</f>
        <v/>
      </c>
      <c r="L745" s="77" t="str">
        <f>IFERROR(VLOOKUP($AA745,PLAN!$B:$AA,15,0),"")</f>
        <v/>
      </c>
      <c r="M745" s="77" t="str">
        <f>IFERROR(VLOOKUP($AA745,PLAN!$B:$AA,18,0),"")</f>
        <v/>
      </c>
      <c r="N745" s="227" t="str">
        <f>IFERROR(VLOOKUP($AA745,PLAN!$B:$AA,19,0),"")</f>
        <v/>
      </c>
      <c r="O745" s="77" t="str">
        <f>IFERROR(VLOOKUP($AA745,PLAN!$B:$AA,12,0),"")</f>
        <v/>
      </c>
      <c r="P745" s="77" t="str">
        <f>IFERROR(VLOOKUP($AA745,PLAN!$B:$AA,11,0),"")</f>
        <v/>
      </c>
      <c r="Q745" s="349" t="s">
        <v>3948</v>
      </c>
      <c r="R745" s="149" t="s">
        <v>3949</v>
      </c>
      <c r="S745" s="223">
        <f>K744-S744</f>
        <v>90</v>
      </c>
      <c r="T745" s="131"/>
      <c r="U745" s="78" t="str">
        <f>IFERROR(VLOOKUP($AA745,PLAN!$B:$AA,21,0),"")</f>
        <v/>
      </c>
      <c r="V745" s="78" t="str">
        <f>IFERROR(VLOOKUP($AA745,PLAN!$B:$AA,22,0),"")</f>
        <v/>
      </c>
      <c r="W745" s="232"/>
      <c r="X745" s="233"/>
      <c r="Y745" s="212"/>
      <c r="Z745" s="350"/>
      <c r="AA745" s="195"/>
      <c r="AB745" s="132">
        <v>46253</v>
      </c>
      <c r="AC745" s="132"/>
    </row>
    <row r="746" spans="3:29" s="79" customFormat="1" ht="21.6" customHeight="1">
      <c r="C746" s="249" t="str">
        <f t="shared" si="45"/>
        <v>Aug28-44</v>
      </c>
      <c r="D746" s="77">
        <f>IFERROR(VLOOKUP($AA746,PLAN!$B:$AA,3,0),"")</f>
        <v>11119444</v>
      </c>
      <c r="E746" s="77" t="str">
        <f>IFERROR(VLOOKUP($AA746,PLAN!$B:$AA,4,0),"")</f>
        <v>1911110-D-A</v>
      </c>
      <c r="F746" s="77" t="str">
        <f>IFERROR(VLOOKUP($AA746,PLAN!$B:$AA,5,0),"")</f>
        <v>HJ70AL102P10020 JP</v>
      </c>
      <c r="G746" s="77" t="str">
        <f>IFERROR(VLOOKUP($AA746,PLAN!$B:$AA,2,0),"")</f>
        <v>1001943029</v>
      </c>
      <c r="H746" s="113">
        <f>IFERROR(VLOOKUP($AA746,PLAN!$B:$AA,7,0),"")</f>
        <v>46262</v>
      </c>
      <c r="I746" s="77" t="str">
        <f>IFERROR(VLOOKUP($AA746,PLAN!$B:$AA,8,0),"")</f>
        <v>0103603949</v>
      </c>
      <c r="J746" s="77" t="str">
        <f>IFERROR(VLOOKUP($AA746,PLAN!$B:$AA,9,0),"")</f>
        <v>260813C21A</v>
      </c>
      <c r="K746" s="77">
        <f>IFERROR(VLOOKUP($AA746,PLAN!$B:$AA,10,0),"")</f>
        <v>146</v>
      </c>
      <c r="L746" s="77" t="str">
        <f>IFERROR(VLOOKUP($AA746,PLAN!$B:$AA,15,0),"")</f>
        <v>JAPAN</v>
      </c>
      <c r="M746" s="77">
        <f>IFERROR(VLOOKUP($AA746,PLAN!$B:$AA,18,0),"")</f>
        <v>0</v>
      </c>
      <c r="N746" s="227">
        <f>IFERROR(VLOOKUP($AA746,PLAN!$B:$AA,19,0),"")</f>
        <v>0</v>
      </c>
      <c r="O746" s="77" t="str">
        <f>IFERROR(VLOOKUP($AA746,PLAN!$B:$AA,12,0),"")</f>
        <v>2112112-0-C</v>
      </c>
      <c r="P746" s="77">
        <f>IFERROR(VLOOKUP($AA746,PLAN!$B:$AA,11,0),"")</f>
        <v>12116079</v>
      </c>
      <c r="Q746" s="277" t="s">
        <v>4338</v>
      </c>
      <c r="R746" s="149" t="s">
        <v>4339</v>
      </c>
      <c r="S746" s="223">
        <v>46</v>
      </c>
      <c r="T746" s="131"/>
      <c r="U746" s="78">
        <f>IFERROR(VLOOKUP($AA746,PLAN!$B:$AA,21,0),"")</f>
        <v>46253</v>
      </c>
      <c r="V746" s="78" t="str">
        <f>IFERROR(VLOOKUP($AA746,PLAN!$B:$AA,22,0),"")</f>
        <v>M9</v>
      </c>
      <c r="W746" s="232"/>
      <c r="X746" s="233"/>
      <c r="Y746" s="212"/>
      <c r="Z746" s="350"/>
      <c r="AA746" s="195" t="s">
        <v>4272</v>
      </c>
      <c r="AB746" s="132">
        <f>VLOOKUP(AA746,PLAN!B:V,20,0)</f>
        <v>46253</v>
      </c>
      <c r="AC746" s="132"/>
    </row>
    <row r="747" spans="3:29" s="79" customFormat="1" ht="21.6" customHeight="1">
      <c r="C747" s="249">
        <f t="shared" si="45"/>
        <v>0</v>
      </c>
      <c r="D747" s="77" t="str">
        <f>IFERROR(VLOOKUP($AA747,PLAN!$B:$AA,3,0),"")</f>
        <v/>
      </c>
      <c r="E747" s="77" t="str">
        <f>IFERROR(VLOOKUP($AA747,PLAN!$B:$AA,4,0),"")</f>
        <v/>
      </c>
      <c r="F747" s="77" t="str">
        <f>IFERROR(VLOOKUP($AA747,PLAN!$B:$AA,5,0),"")</f>
        <v/>
      </c>
      <c r="G747" s="77" t="str">
        <f>IFERROR(VLOOKUP($AA747,PLAN!$B:$AA,2,0),"")</f>
        <v/>
      </c>
      <c r="H747" s="113" t="str">
        <f>IFERROR(VLOOKUP($AA747,PLAN!$B:$AA,7,0),"")</f>
        <v/>
      </c>
      <c r="I747" s="77" t="str">
        <f>IFERROR(VLOOKUP($AA747,PLAN!$B:$AA,8,0),"")</f>
        <v/>
      </c>
      <c r="J747" s="77" t="str">
        <f>IFERROR(VLOOKUP($AA747,PLAN!$B:$AA,9,0),"")</f>
        <v/>
      </c>
      <c r="K747" s="77" t="str">
        <f>IFERROR(VLOOKUP($AA747,PLAN!$B:$AA,10,0),"")</f>
        <v/>
      </c>
      <c r="L747" s="77" t="str">
        <f>IFERROR(VLOOKUP($AA747,PLAN!$B:$AA,15,0),"")</f>
        <v/>
      </c>
      <c r="M747" s="77" t="str">
        <f>IFERROR(VLOOKUP($AA747,PLAN!$B:$AA,18,0),"")</f>
        <v/>
      </c>
      <c r="N747" s="227" t="str">
        <f>IFERROR(VLOOKUP($AA747,PLAN!$B:$AA,19,0),"")</f>
        <v/>
      </c>
      <c r="O747" s="77" t="str">
        <f>IFERROR(VLOOKUP($AA747,PLAN!$B:$AA,12,0),"")</f>
        <v/>
      </c>
      <c r="P747" s="77" t="str">
        <f>IFERROR(VLOOKUP($AA747,PLAN!$B:$AA,11,0),"")</f>
        <v/>
      </c>
      <c r="Q747" s="349" t="s">
        <v>4340</v>
      </c>
      <c r="R747" s="222" t="s">
        <v>4341</v>
      </c>
      <c r="S747" s="223">
        <v>100</v>
      </c>
      <c r="T747" s="131"/>
      <c r="U747" s="78" t="str">
        <f>IFERROR(VLOOKUP($AA747,PLAN!$B:$AA,21,0),"")</f>
        <v/>
      </c>
      <c r="V747" s="78" t="str">
        <f>IFERROR(VLOOKUP($AA747,PLAN!$B:$AA,22,0),"")</f>
        <v/>
      </c>
      <c r="W747" s="232"/>
      <c r="X747" s="233"/>
      <c r="Y747" s="212"/>
      <c r="Z747" s="350"/>
      <c r="AA747" s="195"/>
      <c r="AB747" s="132">
        <v>46253</v>
      </c>
      <c r="AC747" s="132"/>
    </row>
    <row r="748" spans="3:29" s="79" customFormat="1" ht="21.6" customHeight="1">
      <c r="C748" s="249" t="str">
        <f t="shared" si="45"/>
        <v>Aug28-45</v>
      </c>
      <c r="D748" s="77">
        <f>IFERROR(VLOOKUP($AA748,PLAN!$B:$AA,3,0),"")</f>
        <v>11131307</v>
      </c>
      <c r="E748" s="77" t="str">
        <f>IFERROR(VLOOKUP($AA748,PLAN!$B:$AA,4,0),"")</f>
        <v>2211224-D-A</v>
      </c>
      <c r="F748" s="77" t="str">
        <f>IFERROR(VLOOKUP($AA748,PLAN!$B:$AA,5,0),"")</f>
        <v>HW70SP350P09000 NOCE</v>
      </c>
      <c r="G748" s="77" t="str">
        <f>IFERROR(VLOOKUP($AA748,PLAN!$B:$AA,2,0),"")</f>
        <v>4000017499</v>
      </c>
      <c r="H748" s="113">
        <f>IFERROR(VLOOKUP($AA748,PLAN!$B:$AA,7,0),"")</f>
        <v>46262</v>
      </c>
      <c r="I748" s="77" t="str">
        <f>IFERROR(VLOOKUP($AA748,PLAN!$B:$AA,8,0),"")</f>
        <v>0103603951</v>
      </c>
      <c r="J748" s="77" t="str">
        <f>IFERROR(VLOOKUP($AA748,PLAN!$B:$AA,9,0),"")</f>
        <v>260312C43B</v>
      </c>
      <c r="K748" s="77">
        <f>IFERROR(VLOOKUP($AA748,PLAN!$B:$AA,10,0),"")</f>
        <v>2</v>
      </c>
      <c r="L748" s="77" t="str">
        <f>IFERROR(VLOOKUP($AA748,PLAN!$B:$AA,15,0),"")</f>
        <v>Oversea</v>
      </c>
      <c r="M748" s="77">
        <f>IFERROR(VLOOKUP($AA748,PLAN!$B:$AA,18,0),"")</f>
        <v>0</v>
      </c>
      <c r="N748" s="227">
        <f>IFERROR(VLOOKUP($AA748,PLAN!$B:$AA,19,0),"")</f>
        <v>0</v>
      </c>
      <c r="O748" s="77" t="str">
        <f>IFERROR(VLOOKUP($AA748,PLAN!$B:$AA,12,0),"")</f>
        <v>2311160-C-A</v>
      </c>
      <c r="P748" s="77">
        <f>IFERROR(VLOOKUP($AA748,PLAN!$B:$AA,11,0),"")</f>
        <v>11127398</v>
      </c>
      <c r="Q748" s="148" t="s">
        <v>4343</v>
      </c>
      <c r="R748" s="149" t="s">
        <v>4342</v>
      </c>
      <c r="S748" s="149">
        <f t="shared" si="46"/>
        <v>2</v>
      </c>
      <c r="T748" s="131"/>
      <c r="U748" s="78">
        <f>IFERROR(VLOOKUP($AA748,PLAN!$B:$AA,21,0),"")</f>
        <v>46253</v>
      </c>
      <c r="V748" s="78" t="str">
        <f>IFERROR(VLOOKUP($AA748,PLAN!$B:$AA,22,0),"")</f>
        <v>M9</v>
      </c>
      <c r="W748" s="232"/>
      <c r="X748" s="233"/>
      <c r="Y748" s="212"/>
      <c r="Z748" s="350"/>
      <c r="AA748" s="195" t="s">
        <v>4273</v>
      </c>
      <c r="AB748" s="132">
        <f>VLOOKUP(AA748,PLAN!B:V,20,0)</f>
        <v>46253</v>
      </c>
      <c r="AC748" s="132"/>
    </row>
    <row r="749" spans="3:29" s="79" customFormat="1" ht="21.6" customHeight="1">
      <c r="C749" s="249" t="str">
        <f t="shared" si="45"/>
        <v>Aug28-06</v>
      </c>
      <c r="D749" s="77">
        <f>IFERROR(VLOOKUP($AA749,PLAN!$B:$AA,3,0),"")</f>
        <v>11122088</v>
      </c>
      <c r="E749" s="77" t="str">
        <f>IFERROR(VLOOKUP($AA749,PLAN!$B:$AA,4,0),"")</f>
        <v>2341004-B-A</v>
      </c>
      <c r="F749" s="77" t="str">
        <f>IFERROR(VLOOKUP($AA749,PLAN!$B:$AA,5,0),"")</f>
        <v>CRV150-19P CE3</v>
      </c>
      <c r="G749" s="77" t="str">
        <f>IFERROR(VLOOKUP($AA749,PLAN!$B:$AA,2,0),"")</f>
        <v>1001942989</v>
      </c>
      <c r="H749" s="113">
        <f>IFERROR(VLOOKUP($AA749,PLAN!$B:$AA,7,0),"")</f>
        <v>46262</v>
      </c>
      <c r="I749" s="77" t="str">
        <f>IFERROR(VLOOKUP($AA749,PLAN!$B:$AA,8,0),"")</f>
        <v>0103603908</v>
      </c>
      <c r="J749" s="77" t="str">
        <f>IFERROR(VLOOKUP($AA749,PLAN!$B:$AA,9,0),"")</f>
        <v>260813K06A</v>
      </c>
      <c r="K749" s="77">
        <f>IFERROR(VLOOKUP($AA749,PLAN!$B:$AA,10,0),"")</f>
        <v>15</v>
      </c>
      <c r="L749" s="77" t="str">
        <f>IFERROR(VLOOKUP($AA749,PLAN!$B:$AA,15,0),"")</f>
        <v>Oversea</v>
      </c>
      <c r="M749" s="77">
        <f>IFERROR(VLOOKUP($AA749,PLAN!$B:$AA,18,0),"")</f>
        <v>0</v>
      </c>
      <c r="N749" s="227">
        <f>IFERROR(VLOOKUP($AA749,PLAN!$B:$AA,19,0),"")</f>
        <v>0</v>
      </c>
      <c r="O749" s="77" t="str">
        <f>IFERROR(VLOOKUP($AA749,PLAN!$B:$AA,12,0),"")</f>
        <v>1942141-B-C</v>
      </c>
      <c r="P749" s="77">
        <f>IFERROR(VLOOKUP($AA749,PLAN!$B:$AA,11,0),"")</f>
        <v>12129627</v>
      </c>
      <c r="Q749" s="349" t="s">
        <v>2182</v>
      </c>
      <c r="R749" s="149" t="s">
        <v>2183</v>
      </c>
      <c r="S749" s="223">
        <v>1</v>
      </c>
      <c r="T749" s="131"/>
      <c r="U749" s="78">
        <f>IFERROR(VLOOKUP($AA749,PLAN!$B:$AA,21,0),"")</f>
        <v>46254</v>
      </c>
      <c r="V749" s="78" t="str">
        <f>IFERROR(VLOOKUP($AA749,PLAN!$B:$AA,22,0),"")</f>
        <v>M8</v>
      </c>
      <c r="W749" s="232"/>
      <c r="X749" s="233"/>
      <c r="Y749" s="212"/>
      <c r="Z749" s="350"/>
      <c r="AA749" s="195" t="s">
        <v>4234</v>
      </c>
      <c r="AB749" s="132">
        <f>VLOOKUP(AA749,PLAN!B:V,20,0)</f>
        <v>46254</v>
      </c>
      <c r="AC749" s="132"/>
    </row>
    <row r="750" spans="3:29" s="79" customFormat="1" ht="21.6" customHeight="1">
      <c r="C750" s="249"/>
      <c r="D750" s="77"/>
      <c r="E750" s="77"/>
      <c r="F750" s="77"/>
      <c r="G750" s="77"/>
      <c r="H750" s="113"/>
      <c r="I750" s="77"/>
      <c r="J750" s="77"/>
      <c r="K750" s="77"/>
      <c r="L750" s="77"/>
      <c r="M750" s="77"/>
      <c r="N750" s="227"/>
      <c r="O750" s="77"/>
      <c r="P750" s="77"/>
      <c r="Q750" s="349" t="s">
        <v>4408</v>
      </c>
      <c r="R750" s="158" t="s">
        <v>4409</v>
      </c>
      <c r="S750" s="223">
        <f>K749-S749</f>
        <v>14</v>
      </c>
      <c r="T750" s="131"/>
      <c r="U750" s="78"/>
      <c r="V750" s="78"/>
      <c r="W750" s="232"/>
      <c r="X750" s="233"/>
      <c r="Y750" s="212"/>
      <c r="Z750" s="350"/>
      <c r="AA750" s="195"/>
      <c r="AB750" s="132">
        <v>46254</v>
      </c>
      <c r="AC750" s="132"/>
    </row>
    <row r="751" spans="3:29" s="79" customFormat="1" ht="21.6" customHeight="1">
      <c r="C751" s="249" t="str">
        <f t="shared" si="45"/>
        <v>Aug29-01</v>
      </c>
      <c r="D751" s="77">
        <f>IFERROR(VLOOKUP($AA751,PLAN!$B:$AA,3,0),"")</f>
        <v>11122088</v>
      </c>
      <c r="E751" s="77" t="str">
        <f>IFERROR(VLOOKUP($AA751,PLAN!$B:$AA,4,0),"")</f>
        <v>2341004-B-A</v>
      </c>
      <c r="F751" s="77" t="str">
        <f>IFERROR(VLOOKUP($AA751,PLAN!$B:$AA,5,0),"")</f>
        <v>CRV150-19P CE3</v>
      </c>
      <c r="G751" s="77" t="str">
        <f>IFERROR(VLOOKUP($AA751,PLAN!$B:$AA,2,0),"")</f>
        <v>1001943037</v>
      </c>
      <c r="H751" s="113">
        <f>IFERROR(VLOOKUP($AA751,PLAN!$B:$AA,7,0),"")</f>
        <v>46263</v>
      </c>
      <c r="I751" s="77" t="str">
        <f>IFERROR(VLOOKUP($AA751,PLAN!$B:$AA,8,0),"")</f>
        <v>0103604005</v>
      </c>
      <c r="J751" s="77" t="str">
        <f>IFERROR(VLOOKUP($AA751,PLAN!$B:$AA,9,0),"")</f>
        <v>260813K26A</v>
      </c>
      <c r="K751" s="77">
        <f>IFERROR(VLOOKUP($AA751,PLAN!$B:$AA,10,0),"")</f>
        <v>108</v>
      </c>
      <c r="L751" s="77" t="str">
        <f>IFERROR(VLOOKUP($AA751,PLAN!$B:$AA,15,0),"")</f>
        <v>Oversea</v>
      </c>
      <c r="M751" s="77">
        <f>IFERROR(VLOOKUP($AA751,PLAN!$B:$AA,18,0),"")</f>
        <v>0</v>
      </c>
      <c r="N751" s="227">
        <f>IFERROR(VLOOKUP($AA751,PLAN!$B:$AA,19,0),"")</f>
        <v>0</v>
      </c>
      <c r="O751" s="77" t="str">
        <f>IFERROR(VLOOKUP($AA751,PLAN!$B:$AA,12,0),"")</f>
        <v>1942141-B-C</v>
      </c>
      <c r="P751" s="77">
        <f>IFERROR(VLOOKUP($AA751,PLAN!$B:$AA,11,0),"")</f>
        <v>12129627</v>
      </c>
      <c r="Q751" s="349" t="s">
        <v>4408</v>
      </c>
      <c r="R751" s="158" t="s">
        <v>4409</v>
      </c>
      <c r="S751" s="149">
        <f t="shared" si="46"/>
        <v>108</v>
      </c>
      <c r="T751" s="131"/>
      <c r="U751" s="78">
        <f>IFERROR(VLOOKUP($AA751,PLAN!$B:$AA,21,0),"")</f>
        <v>46254</v>
      </c>
      <c r="V751" s="78" t="str">
        <f>IFERROR(VLOOKUP($AA751,PLAN!$B:$AA,22,0),"")</f>
        <v>M8</v>
      </c>
      <c r="W751" s="232"/>
      <c r="X751" s="233"/>
      <c r="Y751" s="212"/>
      <c r="Z751" s="350"/>
      <c r="AA751" s="195" t="s">
        <v>4396</v>
      </c>
      <c r="AB751" s="132">
        <f>VLOOKUP(AA751,PLAN!B:V,20,0)</f>
        <v>46254</v>
      </c>
      <c r="AC751" s="132"/>
    </row>
    <row r="752" spans="3:29" s="79" customFormat="1" ht="21.6" customHeight="1">
      <c r="C752" s="249" t="str">
        <f t="shared" si="45"/>
        <v>Aug29-02</v>
      </c>
      <c r="D752" s="77">
        <f>IFERROR(VLOOKUP($AA752,PLAN!$B:$AA,3,0),"")</f>
        <v>11131953</v>
      </c>
      <c r="E752" s="77" t="str">
        <f>IFERROR(VLOOKUP($AA752,PLAN!$B:$AA,4,0),"")</f>
        <v>1941012-F-A</v>
      </c>
      <c r="F752" s="77" t="str">
        <f>IFERROR(VLOOKUP($AA752,PLAN!$B:$AA,5,0),"")</f>
        <v>MST45A-18PWSSFR JP</v>
      </c>
      <c r="G752" s="77" t="str">
        <f>IFERROR(VLOOKUP($AA752,PLAN!$B:$AA,2,0),"")</f>
        <v>1001943038</v>
      </c>
      <c r="H752" s="113">
        <f>IFERROR(VLOOKUP($AA752,PLAN!$B:$AA,7,0),"")</f>
        <v>46263</v>
      </c>
      <c r="I752" s="77" t="str">
        <f>IFERROR(VLOOKUP($AA752,PLAN!$B:$AA,8,0),"")</f>
        <v>0103604006</v>
      </c>
      <c r="J752" s="77" t="str">
        <f>IFERROR(VLOOKUP($AA752,PLAN!$B:$AA,9,0),"")</f>
        <v>260813K27A</v>
      </c>
      <c r="K752" s="77">
        <f>IFERROR(VLOOKUP($AA752,PLAN!$B:$AA,10,0),"")</f>
        <v>2</v>
      </c>
      <c r="L752" s="77" t="str">
        <f>IFERROR(VLOOKUP($AA752,PLAN!$B:$AA,15,0),"")</f>
        <v>JAPAN</v>
      </c>
      <c r="M752" s="77">
        <f>IFERROR(VLOOKUP($AA752,PLAN!$B:$AA,18,0),"")</f>
        <v>0</v>
      </c>
      <c r="N752" s="227">
        <f>IFERROR(VLOOKUP($AA752,PLAN!$B:$AA,19,0),"")</f>
        <v>0</v>
      </c>
      <c r="O752" s="77" t="str">
        <f>IFERROR(VLOOKUP($AA752,PLAN!$B:$AA,12,0),"")</f>
        <v>2442056-0-C</v>
      </c>
      <c r="P752" s="77">
        <f>IFERROR(VLOOKUP($AA752,PLAN!$B:$AA,11,0),"")</f>
        <v>12132618</v>
      </c>
      <c r="Q752" s="349" t="s">
        <v>4410</v>
      </c>
      <c r="R752" s="158" t="s">
        <v>4411</v>
      </c>
      <c r="S752" s="149">
        <f t="shared" si="46"/>
        <v>2</v>
      </c>
      <c r="T752" s="131"/>
      <c r="U752" s="78">
        <f>IFERROR(VLOOKUP($AA752,PLAN!$B:$AA,21,0),"")</f>
        <v>46254</v>
      </c>
      <c r="V752" s="78" t="str">
        <f>IFERROR(VLOOKUP($AA752,PLAN!$B:$AA,22,0),"")</f>
        <v>M8</v>
      </c>
      <c r="W752" s="232"/>
      <c r="X752" s="233"/>
      <c r="Y752" s="212"/>
      <c r="Z752" s="350"/>
      <c r="AA752" s="195" t="s">
        <v>4398</v>
      </c>
      <c r="AB752" s="132">
        <f>VLOOKUP(AA752,PLAN!B:V,20,0)</f>
        <v>46254</v>
      </c>
      <c r="AC752" s="132"/>
    </row>
    <row r="753" spans="3:29" s="79" customFormat="1" ht="21.6" customHeight="1">
      <c r="C753" s="249" t="str">
        <f t="shared" si="45"/>
        <v>Aug29-03</v>
      </c>
      <c r="D753" s="77">
        <f>IFERROR(VLOOKUP($AA753,PLAN!$B:$AA,3,0),"")</f>
        <v>11125140</v>
      </c>
      <c r="E753" s="77" t="str">
        <f>IFERROR(VLOOKUP($AA753,PLAN!$B:$AA,4,0),"")</f>
        <v>1941009-D-A</v>
      </c>
      <c r="F753" s="77" t="str">
        <f>IFERROR(VLOOKUP($AA753,PLAN!$B:$AA,5,0),"")</f>
        <v>MST105-18PWSFR JP</v>
      </c>
      <c r="G753" s="77" t="str">
        <f>IFERROR(VLOOKUP($AA753,PLAN!$B:$AA,2,0),"")</f>
        <v>1001943039</v>
      </c>
      <c r="H753" s="113">
        <f>IFERROR(VLOOKUP($AA753,PLAN!$B:$AA,7,0),"")</f>
        <v>46263</v>
      </c>
      <c r="I753" s="77" t="str">
        <f>IFERROR(VLOOKUP($AA753,PLAN!$B:$AA,8,0),"")</f>
        <v>0103604007</v>
      </c>
      <c r="J753" s="77" t="str">
        <f>IFERROR(VLOOKUP($AA753,PLAN!$B:$AA,9,0),"")</f>
        <v>260813K28A</v>
      </c>
      <c r="K753" s="77">
        <f>IFERROR(VLOOKUP($AA753,PLAN!$B:$AA,10,0),"")</f>
        <v>6</v>
      </c>
      <c r="L753" s="77" t="str">
        <f>IFERROR(VLOOKUP($AA753,PLAN!$B:$AA,15,0),"")</f>
        <v>JAPAN</v>
      </c>
      <c r="M753" s="77">
        <f>IFERROR(VLOOKUP($AA753,PLAN!$B:$AA,18,0),"")</f>
        <v>0</v>
      </c>
      <c r="N753" s="227">
        <f>IFERROR(VLOOKUP($AA753,PLAN!$B:$AA,19,0),"")</f>
        <v>0</v>
      </c>
      <c r="O753" s="77" t="str">
        <f>IFERROR(VLOOKUP($AA753,PLAN!$B:$AA,12,0),"")</f>
        <v>1942040-A-C</v>
      </c>
      <c r="P753" s="77">
        <f>IFERROR(VLOOKUP($AA753,PLAN!$B:$AA,11,0),"")</f>
        <v>12120562</v>
      </c>
      <c r="Q753" s="349" t="s">
        <v>4412</v>
      </c>
      <c r="R753" s="149" t="s">
        <v>4413</v>
      </c>
      <c r="S753" s="149">
        <f t="shared" si="46"/>
        <v>6</v>
      </c>
      <c r="T753" s="131"/>
      <c r="U753" s="78">
        <f>IFERROR(VLOOKUP($AA753,PLAN!$B:$AA,21,0),"")</f>
        <v>46254</v>
      </c>
      <c r="V753" s="78" t="str">
        <f>IFERROR(VLOOKUP($AA753,PLAN!$B:$AA,22,0),"")</f>
        <v>M8</v>
      </c>
      <c r="W753" s="232"/>
      <c r="X753" s="233"/>
      <c r="Y753" s="212"/>
      <c r="Z753" s="350"/>
      <c r="AA753" s="195" t="s">
        <v>4397</v>
      </c>
      <c r="AB753" s="132">
        <f>VLOOKUP(AA753,PLAN!B:V,20,0)</f>
        <v>46254</v>
      </c>
      <c r="AC753" s="132"/>
    </row>
    <row r="754" spans="3:29" s="79" customFormat="1" ht="21.6" customHeight="1">
      <c r="C754" s="249" t="str">
        <f t="shared" si="45"/>
        <v>Aug29-04</v>
      </c>
      <c r="D754" s="77">
        <f>IFERROR(VLOOKUP($AA754,PLAN!$B:$AA,3,0),"")</f>
        <v>11131954</v>
      </c>
      <c r="E754" s="77" t="str">
        <f>IFERROR(VLOOKUP($AA754,PLAN!$B:$AA,4,0),"")</f>
        <v>1941013-F-A</v>
      </c>
      <c r="F754" s="77" t="str">
        <f>IFERROR(VLOOKUP($AA754,PLAN!$B:$AA,5,0),"")</f>
        <v>MST45A-18PWSFR JP</v>
      </c>
      <c r="G754" s="77" t="str">
        <f>IFERROR(VLOOKUP($AA754,PLAN!$B:$AA,2,0),"")</f>
        <v>1001943040</v>
      </c>
      <c r="H754" s="113">
        <f>IFERROR(VLOOKUP($AA754,PLAN!$B:$AA,7,0),"")</f>
        <v>46263</v>
      </c>
      <c r="I754" s="77" t="str">
        <f>IFERROR(VLOOKUP($AA754,PLAN!$B:$AA,8,0),"")</f>
        <v>0103604008</v>
      </c>
      <c r="J754" s="77" t="str">
        <f>IFERROR(VLOOKUP($AA754,PLAN!$B:$AA,9,0),"")</f>
        <v>260813K29A</v>
      </c>
      <c r="K754" s="77">
        <f>IFERROR(VLOOKUP($AA754,PLAN!$B:$AA,10,0),"")</f>
        <v>20</v>
      </c>
      <c r="L754" s="77" t="str">
        <f>IFERROR(VLOOKUP($AA754,PLAN!$B:$AA,15,0),"")</f>
        <v>JAPAN</v>
      </c>
      <c r="M754" s="77">
        <f>IFERROR(VLOOKUP($AA754,PLAN!$B:$AA,18,0),"")</f>
        <v>0</v>
      </c>
      <c r="N754" s="227">
        <f>IFERROR(VLOOKUP($AA754,PLAN!$B:$AA,19,0),"")</f>
        <v>0</v>
      </c>
      <c r="O754" s="77" t="str">
        <f>IFERROR(VLOOKUP($AA754,PLAN!$B:$AA,12,0),"")</f>
        <v>2442057-0-C</v>
      </c>
      <c r="P754" s="77">
        <f>IFERROR(VLOOKUP($AA754,PLAN!$B:$AA,11,0),"")</f>
        <v>12132619</v>
      </c>
      <c r="Q754" s="349" t="s">
        <v>2933</v>
      </c>
      <c r="R754" s="149" t="s">
        <v>2934</v>
      </c>
      <c r="S754" s="223">
        <v>17</v>
      </c>
      <c r="T754" s="131"/>
      <c r="U754" s="78">
        <f>IFERROR(VLOOKUP($AA754,PLAN!$B:$AA,21,0),"")</f>
        <v>46254</v>
      </c>
      <c r="V754" s="78" t="str">
        <f>IFERROR(VLOOKUP($AA754,PLAN!$B:$AA,22,0),"")</f>
        <v>M8</v>
      </c>
      <c r="W754" s="232"/>
      <c r="X754" s="233"/>
      <c r="Y754" s="212"/>
      <c r="Z754" s="350"/>
      <c r="AA754" s="195" t="s">
        <v>4399</v>
      </c>
      <c r="AB754" s="132">
        <f>VLOOKUP(AA754,PLAN!B:V,20,0)</f>
        <v>46254</v>
      </c>
      <c r="AC754" s="132"/>
    </row>
    <row r="755" spans="3:29" s="79" customFormat="1" ht="21.6" customHeight="1">
      <c r="C755" s="249"/>
      <c r="D755" s="77"/>
      <c r="E755" s="77"/>
      <c r="F755" s="77"/>
      <c r="G755" s="77"/>
      <c r="H755" s="113"/>
      <c r="I755" s="77"/>
      <c r="J755" s="77"/>
      <c r="K755" s="77"/>
      <c r="L755" s="77"/>
      <c r="M755" s="77"/>
      <c r="N755" s="227"/>
      <c r="O755" s="77"/>
      <c r="P755" s="77"/>
      <c r="Q755" s="349" t="s">
        <v>4414</v>
      </c>
      <c r="R755" s="158" t="s">
        <v>4415</v>
      </c>
      <c r="S755" s="223">
        <f>K754-S754</f>
        <v>3</v>
      </c>
      <c r="T755" s="131"/>
      <c r="U755" s="78"/>
      <c r="V755" s="78"/>
      <c r="W755" s="232"/>
      <c r="X755" s="233"/>
      <c r="Y755" s="212"/>
      <c r="Z755" s="350"/>
      <c r="AA755" s="195"/>
      <c r="AB755" s="132">
        <v>46254</v>
      </c>
      <c r="AC755" s="132"/>
    </row>
    <row r="756" spans="3:29" s="79" customFormat="1" ht="21.6" customHeight="1">
      <c r="C756" s="249" t="str">
        <f t="shared" si="45"/>
        <v>Aug29-05</v>
      </c>
      <c r="D756" s="77">
        <f>IFERROR(VLOOKUP($AA756,PLAN!$B:$AA,3,0),"")</f>
        <v>11125153</v>
      </c>
      <c r="E756" s="77" t="str">
        <f>IFERROR(VLOOKUP($AA756,PLAN!$B:$AA,4,0),"")</f>
        <v>1941022-F-A</v>
      </c>
      <c r="F756" s="77" t="str">
        <f>IFERROR(VLOOKUP($AA756,PLAN!$B:$AA,5,0),"")</f>
        <v>MST105-27HFR JP</v>
      </c>
      <c r="G756" s="77" t="str">
        <f>IFERROR(VLOOKUP($AA756,PLAN!$B:$AA,2,0),"")</f>
        <v>1001943041</v>
      </c>
      <c r="H756" s="113">
        <f>IFERROR(VLOOKUP($AA756,PLAN!$B:$AA,7,0),"")</f>
        <v>46263</v>
      </c>
      <c r="I756" s="77" t="str">
        <f>IFERROR(VLOOKUP($AA756,PLAN!$B:$AA,8,0),"")</f>
        <v>0103604009</v>
      </c>
      <c r="J756" s="77" t="str">
        <f>IFERROR(VLOOKUP($AA756,PLAN!$B:$AA,9,0),"")</f>
        <v>260813K30A</v>
      </c>
      <c r="K756" s="77">
        <f>IFERROR(VLOOKUP($AA756,PLAN!$B:$AA,10,0),"")</f>
        <v>54</v>
      </c>
      <c r="L756" s="77" t="str">
        <f>IFERROR(VLOOKUP($AA756,PLAN!$B:$AA,15,0),"")</f>
        <v>JAPAN</v>
      </c>
      <c r="M756" s="77">
        <f>IFERROR(VLOOKUP($AA756,PLAN!$B:$AA,18,0),"")</f>
        <v>0</v>
      </c>
      <c r="N756" s="227">
        <f>IFERROR(VLOOKUP($AA756,PLAN!$B:$AA,19,0),"")</f>
        <v>0</v>
      </c>
      <c r="O756" s="77" t="str">
        <f>IFERROR(VLOOKUP($AA756,PLAN!$B:$AA,12,0),"")</f>
        <v>2042139-B-C</v>
      </c>
      <c r="P756" s="77">
        <f>IFERROR(VLOOKUP($AA756,PLAN!$B:$AA,11,0),"")</f>
        <v>12120612</v>
      </c>
      <c r="Q756" s="277" t="s">
        <v>536</v>
      </c>
      <c r="R756" s="149" t="s">
        <v>537</v>
      </c>
      <c r="S756" s="149">
        <f>K756</f>
        <v>54</v>
      </c>
      <c r="T756" s="131"/>
      <c r="U756" s="78">
        <f>IFERROR(VLOOKUP($AA756,PLAN!$B:$AA,21,0),"")</f>
        <v>46254</v>
      </c>
      <c r="V756" s="78" t="str">
        <f>IFERROR(VLOOKUP($AA756,PLAN!$B:$AA,22,0),"")</f>
        <v>M8</v>
      </c>
      <c r="W756" s="232"/>
      <c r="X756" s="233"/>
      <c r="Y756" s="212"/>
      <c r="Z756" s="350"/>
      <c r="AA756" s="195" t="s">
        <v>4400</v>
      </c>
      <c r="AB756" s="132">
        <f>VLOOKUP(AA756,PLAN!B:V,20,0)</f>
        <v>46254</v>
      </c>
      <c r="AC756" s="132"/>
    </row>
    <row r="757" spans="3:29" s="79" customFormat="1" ht="21.6" customHeight="1">
      <c r="C757" s="249" t="str">
        <f t="shared" si="45"/>
        <v>Aug29-06</v>
      </c>
      <c r="D757" s="77">
        <f>IFERROR(VLOOKUP($AA757,PLAN!$B:$AA,3,0),"")</f>
        <v>11132003</v>
      </c>
      <c r="E757" s="77" t="str">
        <f>IFERROR(VLOOKUP($AA757,PLAN!$B:$AA,4,0),"")</f>
        <v>1941065-D-A</v>
      </c>
      <c r="F757" s="77" t="str">
        <f>IFERROR(VLOOKUP($AA757,PLAN!$B:$AA,5,0),"")</f>
        <v>TLS150-16YR JP</v>
      </c>
      <c r="G757" s="77" t="str">
        <f>IFERROR(VLOOKUP($AA757,PLAN!$B:$AA,2,0),"")</f>
        <v>1001943042</v>
      </c>
      <c r="H757" s="113">
        <f>IFERROR(VLOOKUP($AA757,PLAN!$B:$AA,7,0),"")</f>
        <v>46263</v>
      </c>
      <c r="I757" s="77" t="str">
        <f>IFERROR(VLOOKUP($AA757,PLAN!$B:$AA,8,0),"")</f>
        <v>0103604010</v>
      </c>
      <c r="J757" s="77" t="str">
        <f>IFERROR(VLOOKUP($AA757,PLAN!$B:$AA,9,0),"")</f>
        <v>260813K31A</v>
      </c>
      <c r="K757" s="77">
        <f>IFERROR(VLOOKUP($AA757,PLAN!$B:$AA,10,0),"")</f>
        <v>5</v>
      </c>
      <c r="L757" s="77" t="str">
        <f>IFERROR(VLOOKUP($AA757,PLAN!$B:$AA,15,0),"")</f>
        <v>J-sales</v>
      </c>
      <c r="M757" s="77">
        <f>IFERROR(VLOOKUP($AA757,PLAN!$B:$AA,18,0),"")</f>
        <v>0</v>
      </c>
      <c r="N757" s="227">
        <f>IFERROR(VLOOKUP($AA757,PLAN!$B:$AA,19,0),"")</f>
        <v>0</v>
      </c>
      <c r="O757" s="77" t="str">
        <f>IFERROR(VLOOKUP($AA757,PLAN!$B:$AA,12,0),"")</f>
        <v>1942080-A-C</v>
      </c>
      <c r="P757" s="77">
        <f>IFERROR(VLOOKUP($AA757,PLAN!$B:$AA,11,0),"")</f>
        <v>12120524</v>
      </c>
      <c r="Q757" s="349" t="s">
        <v>2939</v>
      </c>
      <c r="R757" s="149" t="s">
        <v>2940</v>
      </c>
      <c r="S757" s="149">
        <f t="shared" si="46"/>
        <v>5</v>
      </c>
      <c r="T757" s="131"/>
      <c r="U757" s="78">
        <f>IFERROR(VLOOKUP($AA757,PLAN!$B:$AA,21,0),"")</f>
        <v>46254</v>
      </c>
      <c r="V757" s="78" t="str">
        <f>IFERROR(VLOOKUP($AA757,PLAN!$B:$AA,22,0),"")</f>
        <v>M8</v>
      </c>
      <c r="W757" s="232"/>
      <c r="X757" s="233"/>
      <c r="Y757" s="212"/>
      <c r="Z757" s="350"/>
      <c r="AA757" s="195" t="s">
        <v>4401</v>
      </c>
      <c r="AB757" s="132">
        <f>VLOOKUP(AA757,PLAN!B:V,20,0)</f>
        <v>46254</v>
      </c>
      <c r="AC757" s="132"/>
    </row>
    <row r="758" spans="3:29" s="79" customFormat="1" ht="21.6" customHeight="1">
      <c r="C758" s="249" t="str">
        <f t="shared" si="45"/>
        <v>Aug29-07</v>
      </c>
      <c r="D758" s="77">
        <f>IFERROR(VLOOKUP($AA758,PLAN!$B:$AA,3,0),"")</f>
        <v>11132005</v>
      </c>
      <c r="E758" s="77" t="str">
        <f>IFERROR(VLOOKUP($AA758,PLAN!$B:$AA,4,0),"")</f>
        <v>1941067-E-A</v>
      </c>
      <c r="F758" s="77" t="str">
        <f>IFERROR(VLOOKUP($AA758,PLAN!$B:$AA,5,0),"")</f>
        <v>TLS125-16AYR JP</v>
      </c>
      <c r="G758" s="77" t="str">
        <f>IFERROR(VLOOKUP($AA758,PLAN!$B:$AA,2,0),"")</f>
        <v>1001943043</v>
      </c>
      <c r="H758" s="113">
        <f>IFERROR(VLOOKUP($AA758,PLAN!$B:$AA,7,0),"")</f>
        <v>46263</v>
      </c>
      <c r="I758" s="77" t="str">
        <f>IFERROR(VLOOKUP($AA758,PLAN!$B:$AA,8,0),"")</f>
        <v>0103604011</v>
      </c>
      <c r="J758" s="77" t="str">
        <f>IFERROR(VLOOKUP($AA758,PLAN!$B:$AA,9,0),"")</f>
        <v>260813K32A</v>
      </c>
      <c r="K758" s="77">
        <f>IFERROR(VLOOKUP($AA758,PLAN!$B:$AA,10,0),"")</f>
        <v>14</v>
      </c>
      <c r="L758" s="77" t="str">
        <f>IFERROR(VLOOKUP($AA758,PLAN!$B:$AA,15,0),"")</f>
        <v>J-sales</v>
      </c>
      <c r="M758" s="77">
        <f>IFERROR(VLOOKUP($AA758,PLAN!$B:$AA,18,0),"")</f>
        <v>0</v>
      </c>
      <c r="N758" s="227">
        <f>IFERROR(VLOOKUP($AA758,PLAN!$B:$AA,19,0),"")</f>
        <v>0</v>
      </c>
      <c r="O758" s="77" t="str">
        <f>IFERROR(VLOOKUP($AA758,PLAN!$B:$AA,12,0),"")</f>
        <v>1942082-B-C</v>
      </c>
      <c r="P758" s="77">
        <f>IFERROR(VLOOKUP($AA758,PLAN!$B:$AA,11,0),"")</f>
        <v>12120526</v>
      </c>
      <c r="Q758" s="277" t="s">
        <v>540</v>
      </c>
      <c r="R758" s="149" t="s">
        <v>541</v>
      </c>
      <c r="S758" s="149">
        <f t="shared" si="46"/>
        <v>14</v>
      </c>
      <c r="T758" s="131"/>
      <c r="U758" s="78">
        <f>IFERROR(VLOOKUP($AA758,PLAN!$B:$AA,21,0),"")</f>
        <v>46254</v>
      </c>
      <c r="V758" s="78" t="str">
        <f>IFERROR(VLOOKUP($AA758,PLAN!$B:$AA,22,0),"")</f>
        <v>M8</v>
      </c>
      <c r="W758" s="232"/>
      <c r="X758" s="233"/>
      <c r="Y758" s="212"/>
      <c r="Z758" s="350"/>
      <c r="AA758" s="195" t="s">
        <v>4402</v>
      </c>
      <c r="AB758" s="132">
        <f>VLOOKUP(AA758,PLAN!B:V,20,0)</f>
        <v>46254</v>
      </c>
      <c r="AC758" s="132"/>
    </row>
    <row r="759" spans="3:29" s="79" customFormat="1" ht="21.6" customHeight="1">
      <c r="C759" s="249" t="str">
        <f t="shared" si="45"/>
        <v>Aug29-08</v>
      </c>
      <c r="D759" s="77">
        <f>IFERROR(VLOOKUP($AA759,PLAN!$B:$AA,3,0),"")</f>
        <v>11134364</v>
      </c>
      <c r="E759" s="77" t="str">
        <f>IFERROR(VLOOKUP($AA759,PLAN!$B:$AA,4,0),"")</f>
        <v>1941060-G-A</v>
      </c>
      <c r="F759" s="77" t="str">
        <f>IFERROR(VLOOKUP($AA759,PLAN!$B:$AA,5,0),"")</f>
        <v>TLS125-16ASR JP</v>
      </c>
      <c r="G759" s="77" t="str">
        <f>IFERROR(VLOOKUP($AA759,PLAN!$B:$AA,2,0),"")</f>
        <v>1001943044</v>
      </c>
      <c r="H759" s="113">
        <f>IFERROR(VLOOKUP($AA759,PLAN!$B:$AA,7,0),"")</f>
        <v>46263</v>
      </c>
      <c r="I759" s="77" t="str">
        <f>IFERROR(VLOOKUP($AA759,PLAN!$B:$AA,8,0),"")</f>
        <v>0103604012</v>
      </c>
      <c r="J759" s="77" t="str">
        <f>IFERROR(VLOOKUP($AA759,PLAN!$B:$AA,9,0),"")</f>
        <v>260813K33A</v>
      </c>
      <c r="K759" s="77">
        <f>IFERROR(VLOOKUP($AA759,PLAN!$B:$AA,10,0),"")</f>
        <v>46</v>
      </c>
      <c r="L759" s="77" t="str">
        <f>IFERROR(VLOOKUP($AA759,PLAN!$B:$AA,15,0),"")</f>
        <v>J-sales</v>
      </c>
      <c r="M759" s="77">
        <f>IFERROR(VLOOKUP($AA759,PLAN!$B:$AA,18,0),"")</f>
        <v>0</v>
      </c>
      <c r="N759" s="227">
        <f>IFERROR(VLOOKUP($AA759,PLAN!$B:$AA,19,0),"")</f>
        <v>0</v>
      </c>
      <c r="O759" s="77" t="str">
        <f>IFERROR(VLOOKUP($AA759,PLAN!$B:$AA,12,0),"")</f>
        <v>1942082-B-C</v>
      </c>
      <c r="P759" s="77">
        <f>IFERROR(VLOOKUP($AA759,PLAN!$B:$AA,11,0),"")</f>
        <v>12120526</v>
      </c>
      <c r="Q759" s="277" t="s">
        <v>540</v>
      </c>
      <c r="R759" s="149" t="s">
        <v>541</v>
      </c>
      <c r="S759" s="223">
        <v>1</v>
      </c>
      <c r="T759" s="131"/>
      <c r="U759" s="78">
        <f>IFERROR(VLOOKUP($AA759,PLAN!$B:$AA,21,0),"")</f>
        <v>46254</v>
      </c>
      <c r="V759" s="78" t="str">
        <f>IFERROR(VLOOKUP($AA759,PLAN!$B:$AA,22,0),"")</f>
        <v>M8</v>
      </c>
      <c r="W759" s="232"/>
      <c r="X759" s="233"/>
      <c r="Y759" s="212"/>
      <c r="Z759" s="350"/>
      <c r="AA759" s="195" t="s">
        <v>4403</v>
      </c>
      <c r="AB759" s="132">
        <f>VLOOKUP(AA759,PLAN!B:V,20,0)</f>
        <v>46254</v>
      </c>
      <c r="AC759" s="132"/>
    </row>
    <row r="760" spans="3:29" s="79" customFormat="1" ht="21.6" customHeight="1">
      <c r="C760" s="249"/>
      <c r="D760" s="77"/>
      <c r="E760" s="77"/>
      <c r="F760" s="77"/>
      <c r="G760" s="77"/>
      <c r="H760" s="113"/>
      <c r="I760" s="77"/>
      <c r="J760" s="77"/>
      <c r="K760" s="77"/>
      <c r="L760" s="77"/>
      <c r="M760" s="77"/>
      <c r="N760" s="227"/>
      <c r="O760" s="77"/>
      <c r="P760" s="77"/>
      <c r="Q760" s="349" t="s">
        <v>4416</v>
      </c>
      <c r="R760" s="158" t="s">
        <v>4417</v>
      </c>
      <c r="S760" s="223">
        <f>K759-S759</f>
        <v>45</v>
      </c>
      <c r="T760" s="131"/>
      <c r="U760" s="78"/>
      <c r="V760" s="78"/>
      <c r="W760" s="232"/>
      <c r="X760" s="233"/>
      <c r="Y760" s="212"/>
      <c r="Z760" s="350"/>
      <c r="AA760" s="195"/>
      <c r="AB760" s="132">
        <v>46254</v>
      </c>
      <c r="AC760" s="132"/>
    </row>
    <row r="761" spans="3:29" s="79" customFormat="1" ht="21.6" customHeight="1">
      <c r="C761" s="249" t="str">
        <f t="shared" si="45"/>
        <v>Aug29-09</v>
      </c>
      <c r="D761" s="77">
        <f>IFERROR(VLOOKUP($AA761,PLAN!$B:$AA,3,0),"")</f>
        <v>11134346</v>
      </c>
      <c r="E761" s="77" t="str">
        <f>IFERROR(VLOOKUP($AA761,PLAN!$B:$AA,4,0),"")</f>
        <v>1941032-G-A</v>
      </c>
      <c r="F761" s="77" t="str">
        <f>IFERROR(VLOOKUP($AA761,PLAN!$B:$AA,5,0),"")</f>
        <v>VEL105-16ASR JP</v>
      </c>
      <c r="G761" s="77" t="str">
        <f>IFERROR(VLOOKUP($AA761,PLAN!$B:$AA,2,0),"")</f>
        <v>1001943045</v>
      </c>
      <c r="H761" s="113">
        <f>IFERROR(VLOOKUP($AA761,PLAN!$B:$AA,7,0),"")</f>
        <v>46263</v>
      </c>
      <c r="I761" s="77" t="str">
        <f>IFERROR(VLOOKUP($AA761,PLAN!$B:$AA,8,0),"")</f>
        <v>0103604013</v>
      </c>
      <c r="J761" s="77" t="str">
        <f>IFERROR(VLOOKUP($AA761,PLAN!$B:$AA,9,0),"")</f>
        <v>260813K34A</v>
      </c>
      <c r="K761" s="77">
        <f>IFERROR(VLOOKUP($AA761,PLAN!$B:$AA,10,0),"")</f>
        <v>7</v>
      </c>
      <c r="L761" s="77" t="str">
        <f>IFERROR(VLOOKUP($AA761,PLAN!$B:$AA,15,0),"")</f>
        <v>JAPAN</v>
      </c>
      <c r="M761" s="77">
        <f>IFERROR(VLOOKUP($AA761,PLAN!$B:$AA,18,0),"")</f>
        <v>0</v>
      </c>
      <c r="N761" s="227">
        <f>IFERROR(VLOOKUP($AA761,PLAN!$B:$AA,19,0),"")</f>
        <v>0</v>
      </c>
      <c r="O761" s="77" t="str">
        <f>IFERROR(VLOOKUP($AA761,PLAN!$B:$AA,12,0),"")</f>
        <v>1942063-B-C</v>
      </c>
      <c r="P761" s="77">
        <f>IFERROR(VLOOKUP($AA761,PLAN!$B:$AA,11,0),"")</f>
        <v>12120507</v>
      </c>
      <c r="Q761" s="349" t="s">
        <v>827</v>
      </c>
      <c r="R761" s="149" t="s">
        <v>828</v>
      </c>
      <c r="S761" s="223">
        <v>6</v>
      </c>
      <c r="T761" s="131"/>
      <c r="U761" s="78">
        <f>IFERROR(VLOOKUP($AA761,PLAN!$B:$AA,21,0),"")</f>
        <v>46254</v>
      </c>
      <c r="V761" s="78" t="str">
        <f>IFERROR(VLOOKUP($AA761,PLAN!$B:$AA,22,0),"")</f>
        <v>M8</v>
      </c>
      <c r="W761" s="232"/>
      <c r="X761" s="233"/>
      <c r="Y761" s="212"/>
      <c r="Z761" s="350"/>
      <c r="AA761" s="195" t="s">
        <v>4404</v>
      </c>
      <c r="AB761" s="132">
        <f>VLOOKUP(AA761,PLAN!B:V,20,0)</f>
        <v>46254</v>
      </c>
      <c r="AC761" s="132"/>
    </row>
    <row r="762" spans="3:29" s="79" customFormat="1" ht="21.6" customHeight="1">
      <c r="C762" s="249">
        <f t="shared" si="45"/>
        <v>0</v>
      </c>
      <c r="D762" s="77" t="str">
        <f>IFERROR(VLOOKUP($AA762,PLAN!$B:$AA,3,0),"")</f>
        <v/>
      </c>
      <c r="E762" s="77" t="str">
        <f>IFERROR(VLOOKUP($AA762,PLAN!$B:$AA,4,0),"")</f>
        <v/>
      </c>
      <c r="F762" s="77" t="str">
        <f>IFERROR(VLOOKUP($AA762,PLAN!$B:$AA,5,0),"")</f>
        <v/>
      </c>
      <c r="G762" s="77" t="str">
        <f>IFERROR(VLOOKUP($AA762,PLAN!$B:$AA,2,0),"")</f>
        <v/>
      </c>
      <c r="H762" s="113" t="str">
        <f>IFERROR(VLOOKUP($AA762,PLAN!$B:$AA,7,0),"")</f>
        <v/>
      </c>
      <c r="I762" s="77" t="str">
        <f>IFERROR(VLOOKUP($AA762,PLAN!$B:$AA,8,0),"")</f>
        <v/>
      </c>
      <c r="J762" s="77" t="str">
        <f>IFERROR(VLOOKUP($AA762,PLAN!$B:$AA,9,0),"")</f>
        <v/>
      </c>
      <c r="K762" s="77" t="str">
        <f>IFERROR(VLOOKUP($AA762,PLAN!$B:$AA,10,0),"")</f>
        <v/>
      </c>
      <c r="L762" s="77" t="str">
        <f>IFERROR(VLOOKUP($AA762,PLAN!$B:$AA,15,0),"")</f>
        <v/>
      </c>
      <c r="M762" s="77" t="str">
        <f>IFERROR(VLOOKUP($AA762,PLAN!$B:$AA,18,0),"")</f>
        <v/>
      </c>
      <c r="N762" s="227" t="str">
        <f>IFERROR(VLOOKUP($AA762,PLAN!$B:$AA,19,0),"")</f>
        <v/>
      </c>
      <c r="O762" s="77" t="str">
        <f>IFERROR(VLOOKUP($AA762,PLAN!$B:$AA,12,0),"")</f>
        <v/>
      </c>
      <c r="P762" s="77" t="str">
        <f>IFERROR(VLOOKUP($AA762,PLAN!$B:$AA,11,0),"")</f>
        <v/>
      </c>
      <c r="Q762" s="349" t="s">
        <v>4418</v>
      </c>
      <c r="R762" s="158" t="s">
        <v>4419</v>
      </c>
      <c r="S762" s="223">
        <f>K761-S761</f>
        <v>1</v>
      </c>
      <c r="T762" s="131"/>
      <c r="U762" s="78" t="str">
        <f>IFERROR(VLOOKUP($AA762,PLAN!$B:$AA,21,0),"")</f>
        <v/>
      </c>
      <c r="V762" s="78" t="str">
        <f>IFERROR(VLOOKUP($AA762,PLAN!$B:$AA,22,0),"")</f>
        <v/>
      </c>
      <c r="W762" s="232"/>
      <c r="X762" s="233"/>
      <c r="Y762" s="212"/>
      <c r="Z762" s="350"/>
      <c r="AA762" s="195"/>
      <c r="AB762" s="132">
        <v>46254</v>
      </c>
      <c r="AC762" s="132"/>
    </row>
    <row r="763" spans="3:29" s="79" customFormat="1" ht="21.6" customHeight="1">
      <c r="C763" s="249" t="str">
        <f t="shared" si="45"/>
        <v>Aug29-10</v>
      </c>
      <c r="D763" s="77">
        <f>IFERROR(VLOOKUP($AA763,PLAN!$B:$AA,3,0),"")</f>
        <v>11134347</v>
      </c>
      <c r="E763" s="77" t="str">
        <f>IFERROR(VLOOKUP($AA763,PLAN!$B:$AA,4,0),"")</f>
        <v>1941033-G-A</v>
      </c>
      <c r="F763" s="77" t="str">
        <f>IFERROR(VLOOKUP($AA763,PLAN!$B:$AA,5,0),"")</f>
        <v>VEL125-16ASR JP</v>
      </c>
      <c r="G763" s="77" t="str">
        <f>IFERROR(VLOOKUP($AA763,PLAN!$B:$AA,2,0),"")</f>
        <v>1001943046</v>
      </c>
      <c r="H763" s="113">
        <f>IFERROR(VLOOKUP($AA763,PLAN!$B:$AA,7,0),"")</f>
        <v>46263</v>
      </c>
      <c r="I763" s="77" t="str">
        <f>IFERROR(VLOOKUP($AA763,PLAN!$B:$AA,8,0),"")</f>
        <v>0103604014</v>
      </c>
      <c r="J763" s="77" t="str">
        <f>IFERROR(VLOOKUP($AA763,PLAN!$B:$AA,9,0),"")</f>
        <v>260813K35A</v>
      </c>
      <c r="K763" s="77">
        <f>IFERROR(VLOOKUP($AA763,PLAN!$B:$AA,10,0),"")</f>
        <v>110</v>
      </c>
      <c r="L763" s="77" t="str">
        <f>IFERROR(VLOOKUP($AA763,PLAN!$B:$AA,15,0),"")</f>
        <v>JAPAN</v>
      </c>
      <c r="M763" s="77">
        <f>IFERROR(VLOOKUP($AA763,PLAN!$B:$AA,18,0),"")</f>
        <v>0</v>
      </c>
      <c r="N763" s="227">
        <f>IFERROR(VLOOKUP($AA763,PLAN!$B:$AA,19,0),"")</f>
        <v>0</v>
      </c>
      <c r="O763" s="77" t="str">
        <f>IFERROR(VLOOKUP($AA763,PLAN!$B:$AA,12,0),"")</f>
        <v>1942064-B-C</v>
      </c>
      <c r="P763" s="77">
        <f>IFERROR(VLOOKUP($AA763,PLAN!$B:$AA,11,0),"")</f>
        <v>12120508</v>
      </c>
      <c r="Q763" s="277" t="s">
        <v>546</v>
      </c>
      <c r="R763" s="149" t="s">
        <v>547</v>
      </c>
      <c r="S763" s="223">
        <v>3</v>
      </c>
      <c r="T763" s="131"/>
      <c r="U763" s="78">
        <f>IFERROR(VLOOKUP($AA763,PLAN!$B:$AA,21,0),"")</f>
        <v>46254</v>
      </c>
      <c r="V763" s="78" t="str">
        <f>IFERROR(VLOOKUP($AA763,PLAN!$B:$AA,22,0),"")</f>
        <v>M8</v>
      </c>
      <c r="W763" s="232"/>
      <c r="X763" s="233"/>
      <c r="Y763" s="212"/>
      <c r="Z763" s="350"/>
      <c r="AA763" s="195" t="s">
        <v>4405</v>
      </c>
      <c r="AB763" s="132">
        <f>VLOOKUP(AA763,PLAN!B:V,20,0)</f>
        <v>46254</v>
      </c>
      <c r="AC763" s="132"/>
    </row>
    <row r="764" spans="3:29" s="79" customFormat="1" ht="21.6" customHeight="1">
      <c r="C764" s="249">
        <f t="shared" si="45"/>
        <v>0</v>
      </c>
      <c r="D764" s="77" t="str">
        <f>IFERROR(VLOOKUP($AA764,PLAN!$B:$AA,3,0),"")</f>
        <v/>
      </c>
      <c r="E764" s="77" t="str">
        <f>IFERROR(VLOOKUP($AA764,PLAN!$B:$AA,4,0),"")</f>
        <v/>
      </c>
      <c r="F764" s="77" t="str">
        <f>IFERROR(VLOOKUP($AA764,PLAN!$B:$AA,5,0),"")</f>
        <v/>
      </c>
      <c r="G764" s="77" t="str">
        <f>IFERROR(VLOOKUP($AA764,PLAN!$B:$AA,2,0),"")</f>
        <v/>
      </c>
      <c r="H764" s="113" t="str">
        <f>IFERROR(VLOOKUP($AA764,PLAN!$B:$AA,7,0),"")</f>
        <v/>
      </c>
      <c r="I764" s="77" t="str">
        <f>IFERROR(VLOOKUP($AA764,PLAN!$B:$AA,8,0),"")</f>
        <v/>
      </c>
      <c r="J764" s="77" t="str">
        <f>IFERROR(VLOOKUP($AA764,PLAN!$B:$AA,9,0),"")</f>
        <v/>
      </c>
      <c r="K764" s="77" t="str">
        <f>IFERROR(VLOOKUP($AA764,PLAN!$B:$AA,10,0),"")</f>
        <v/>
      </c>
      <c r="L764" s="77" t="str">
        <f>IFERROR(VLOOKUP($AA764,PLAN!$B:$AA,15,0),"")</f>
        <v/>
      </c>
      <c r="M764" s="77" t="str">
        <f>IFERROR(VLOOKUP($AA764,PLAN!$B:$AA,18,0),"")</f>
        <v/>
      </c>
      <c r="N764" s="227" t="str">
        <f>IFERROR(VLOOKUP($AA764,PLAN!$B:$AA,19,0),"")</f>
        <v/>
      </c>
      <c r="O764" s="77" t="str">
        <f>IFERROR(VLOOKUP($AA764,PLAN!$B:$AA,12,0),"")</f>
        <v/>
      </c>
      <c r="P764" s="77" t="str">
        <f>IFERROR(VLOOKUP($AA764,PLAN!$B:$AA,11,0),"")</f>
        <v/>
      </c>
      <c r="Q764" s="349" t="s">
        <v>4420</v>
      </c>
      <c r="R764" s="158" t="s">
        <v>4421</v>
      </c>
      <c r="S764" s="223">
        <f>K763-S763</f>
        <v>107</v>
      </c>
      <c r="T764" s="131"/>
      <c r="U764" s="78" t="str">
        <f>IFERROR(VLOOKUP($AA764,PLAN!$B:$AA,21,0),"")</f>
        <v/>
      </c>
      <c r="V764" s="78" t="str">
        <f>IFERROR(VLOOKUP($AA764,PLAN!$B:$AA,22,0),"")</f>
        <v/>
      </c>
      <c r="W764" s="232"/>
      <c r="X764" s="233"/>
      <c r="Y764" s="212"/>
      <c r="Z764" s="350"/>
      <c r="AA764" s="195"/>
      <c r="AB764" s="132">
        <v>46254</v>
      </c>
      <c r="AC764" s="132"/>
    </row>
    <row r="765" spans="3:29" s="79" customFormat="1" ht="21.6" customHeight="1">
      <c r="C765" s="249" t="str">
        <f t="shared" si="45"/>
        <v>Sep08-01</v>
      </c>
      <c r="D765" s="77">
        <f>IFERROR(VLOOKUP($AA765,PLAN!$B:$AA,3,0),"")</f>
        <v>11134247</v>
      </c>
      <c r="E765" s="77" t="str">
        <f>IFERROR(VLOOKUP($AA765,PLAN!$B:$AA,4,0),"")</f>
        <v>2141050-D-A</v>
      </c>
      <c r="F765" s="77" t="str">
        <f>IFERROR(VLOOKUP($AA765,PLAN!$B:$AA,5,0),"")</f>
        <v>CRV150-19P CN</v>
      </c>
      <c r="G765" s="77" t="str">
        <f>IFERROR(VLOOKUP($AA765,PLAN!$B:$AA,2,0),"")</f>
        <v>1001943047</v>
      </c>
      <c r="H765" s="113">
        <f>IFERROR(VLOOKUP($AA765,PLAN!$B:$AA,7,0),"")</f>
        <v>46273</v>
      </c>
      <c r="I765" s="77" t="str">
        <f>IFERROR(VLOOKUP($AA765,PLAN!$B:$AA,8,0),"")</f>
        <v>0103604015</v>
      </c>
      <c r="J765" s="77" t="str">
        <f>IFERROR(VLOOKUP($AA765,PLAN!$B:$AA,9,0),"")</f>
        <v>260813K36A</v>
      </c>
      <c r="K765" s="77">
        <f>IFERROR(VLOOKUP($AA765,PLAN!$B:$AA,10,0),"")</f>
        <v>287</v>
      </c>
      <c r="L765" s="77" t="str">
        <f>IFERROR(VLOOKUP($AA765,PLAN!$B:$AA,15,0),"")</f>
        <v>CHINA</v>
      </c>
      <c r="M765" s="77">
        <f>IFERROR(VLOOKUP($AA765,PLAN!$B:$AA,18,0),"")</f>
        <v>0</v>
      </c>
      <c r="N765" s="227">
        <f>IFERROR(VLOOKUP($AA765,PLAN!$B:$AA,19,0),"")</f>
        <v>0</v>
      </c>
      <c r="O765" s="77" t="str">
        <f>IFERROR(VLOOKUP($AA765,PLAN!$B:$AA,12,0),"")</f>
        <v>1842015-B-C-CN</v>
      </c>
      <c r="P765" s="77">
        <f>IFERROR(VLOOKUP($AA765,PLAN!$B:$AA,11,0),"")</f>
        <v>12129253</v>
      </c>
      <c r="Q765" s="277" t="s">
        <v>1216</v>
      </c>
      <c r="R765" s="222" t="s">
        <v>1217</v>
      </c>
      <c r="S765" s="223">
        <v>27</v>
      </c>
      <c r="T765" s="131"/>
      <c r="U765" s="78">
        <f>IFERROR(VLOOKUP($AA765,PLAN!$B:$AA,21,0),"")</f>
        <v>46254</v>
      </c>
      <c r="V765" s="78" t="str">
        <f>IFERROR(VLOOKUP($AA765,PLAN!$B:$AA,22,0),"")</f>
        <v>M8</v>
      </c>
      <c r="W765" s="232"/>
      <c r="X765" s="233"/>
      <c r="Y765" s="212"/>
      <c r="Z765" s="350"/>
      <c r="AA765" s="195" t="s">
        <v>4406</v>
      </c>
      <c r="AB765" s="132">
        <f>VLOOKUP(AA765,PLAN!B:V,20,0)</f>
        <v>46254</v>
      </c>
      <c r="AC765" s="132"/>
    </row>
    <row r="766" spans="3:29" s="79" customFormat="1" ht="21.6" customHeight="1">
      <c r="C766" s="249">
        <f t="shared" si="45"/>
        <v>0</v>
      </c>
      <c r="D766" s="77" t="str">
        <f>IFERROR(VLOOKUP($AA766,PLAN!$B:$AA,3,0),"")</f>
        <v/>
      </c>
      <c r="E766" s="77" t="str">
        <f>IFERROR(VLOOKUP($AA766,PLAN!$B:$AA,4,0),"")</f>
        <v/>
      </c>
      <c r="F766" s="77" t="str">
        <f>IFERROR(VLOOKUP($AA766,PLAN!$B:$AA,5,0),"")</f>
        <v/>
      </c>
      <c r="G766" s="77" t="str">
        <f>IFERROR(VLOOKUP($AA766,PLAN!$B:$AA,2,0),"")</f>
        <v/>
      </c>
      <c r="H766" s="113" t="str">
        <f>IFERROR(VLOOKUP($AA766,PLAN!$B:$AA,7,0),"")</f>
        <v/>
      </c>
      <c r="I766" s="77" t="str">
        <f>IFERROR(VLOOKUP($AA766,PLAN!$B:$AA,8,0),"")</f>
        <v/>
      </c>
      <c r="J766" s="77" t="str">
        <f>IFERROR(VLOOKUP($AA766,PLAN!$B:$AA,9,0),"")</f>
        <v/>
      </c>
      <c r="K766" s="77" t="str">
        <f>IFERROR(VLOOKUP($AA766,PLAN!$B:$AA,10,0),"")</f>
        <v/>
      </c>
      <c r="L766" s="77" t="str">
        <f>IFERROR(VLOOKUP($AA766,PLAN!$B:$AA,15,0),"")</f>
        <v/>
      </c>
      <c r="M766" s="77" t="str">
        <f>IFERROR(VLOOKUP($AA766,PLAN!$B:$AA,18,0),"")</f>
        <v/>
      </c>
      <c r="N766" s="227" t="str">
        <f>IFERROR(VLOOKUP($AA766,PLAN!$B:$AA,19,0),"")</f>
        <v/>
      </c>
      <c r="O766" s="77" t="str">
        <f>IFERROR(VLOOKUP($AA766,PLAN!$B:$AA,12,0),"")</f>
        <v/>
      </c>
      <c r="P766" s="77" t="str">
        <f>IFERROR(VLOOKUP($AA766,PLAN!$B:$AA,11,0),"")</f>
        <v/>
      </c>
      <c r="Q766" s="349" t="s">
        <v>4422</v>
      </c>
      <c r="R766" s="149" t="s">
        <v>4423</v>
      </c>
      <c r="S766" s="223">
        <f>K765-S765</f>
        <v>260</v>
      </c>
      <c r="T766" s="131"/>
      <c r="U766" s="78" t="str">
        <f>IFERROR(VLOOKUP($AA766,PLAN!$B:$AA,21,0),"")</f>
        <v/>
      </c>
      <c r="V766" s="78" t="str">
        <f>IFERROR(VLOOKUP($AA766,PLAN!$B:$AA,22,0),"")</f>
        <v/>
      </c>
      <c r="W766" s="232"/>
      <c r="X766" s="233"/>
      <c r="Y766" s="212"/>
      <c r="Z766" s="350"/>
      <c r="AA766" s="195"/>
      <c r="AB766" s="132">
        <v>46254</v>
      </c>
      <c r="AC766" s="132"/>
    </row>
    <row r="767" spans="3:29" s="79" customFormat="1" ht="21.6" customHeight="1">
      <c r="C767" s="249" t="str">
        <f t="shared" ref="C767:C788" si="49">AA767</f>
        <v>Sep08-02</v>
      </c>
      <c r="D767" s="77">
        <f>IFERROR(VLOOKUP($AA767,PLAN!$B:$AA,3,0),"")</f>
        <v>11134246</v>
      </c>
      <c r="E767" s="77" t="str">
        <f>IFERROR(VLOOKUP($AA767,PLAN!$B:$AA,4,0),"")</f>
        <v>2141049-D-A</v>
      </c>
      <c r="F767" s="77" t="str">
        <f>IFERROR(VLOOKUP($AA767,PLAN!$B:$AA,5,0),"")</f>
        <v>CRV135-19P CN</v>
      </c>
      <c r="G767" s="77" t="str">
        <f>IFERROR(VLOOKUP($AA767,PLAN!$B:$AA,2,0),"")</f>
        <v>1001943048</v>
      </c>
      <c r="H767" s="113">
        <f>IFERROR(VLOOKUP($AA767,PLAN!$B:$AA,7,0),"")</f>
        <v>46273</v>
      </c>
      <c r="I767" s="77" t="str">
        <f>IFERROR(VLOOKUP($AA767,PLAN!$B:$AA,8,0),"")</f>
        <v>0103604016</v>
      </c>
      <c r="J767" s="77" t="str">
        <f>IFERROR(VLOOKUP($AA767,PLAN!$B:$AA,9,0),"")</f>
        <v>260813K37A</v>
      </c>
      <c r="K767" s="77">
        <f>IFERROR(VLOOKUP($AA767,PLAN!$B:$AA,10,0),"")</f>
        <v>1695</v>
      </c>
      <c r="L767" s="77" t="str">
        <f>IFERROR(VLOOKUP($AA767,PLAN!$B:$AA,15,0),"")</f>
        <v>CHINA</v>
      </c>
      <c r="M767" s="77">
        <f>IFERROR(VLOOKUP($AA767,PLAN!$B:$AA,18,0),"")</f>
        <v>3</v>
      </c>
      <c r="N767" s="227">
        <f>IFERROR(VLOOKUP($AA767,PLAN!$B:$AA,19,0),"")</f>
        <v>3</v>
      </c>
      <c r="O767" s="77" t="str">
        <f>IFERROR(VLOOKUP($AA767,PLAN!$B:$AA,12,0),"")</f>
        <v>1842014-C-C-CN</v>
      </c>
      <c r="P767" s="77">
        <f>IFERROR(VLOOKUP($AA767,PLAN!$B:$AA,11,0),"")</f>
        <v>12129252</v>
      </c>
      <c r="Q767" s="277" t="s">
        <v>2919</v>
      </c>
      <c r="R767" s="149" t="s">
        <v>2920</v>
      </c>
      <c r="S767" s="223">
        <v>271</v>
      </c>
      <c r="T767" s="131"/>
      <c r="U767" s="78">
        <f>IFERROR(VLOOKUP($AA767,PLAN!$B:$AA,21,0),"")</f>
        <v>46254</v>
      </c>
      <c r="V767" s="78" t="str">
        <f>IFERROR(VLOOKUP($AA767,PLAN!$B:$AA,22,0),"")</f>
        <v>M8</v>
      </c>
      <c r="W767" s="232"/>
      <c r="X767" s="233"/>
      <c r="Y767" s="212"/>
      <c r="Z767" s="350"/>
      <c r="AA767" s="195" t="s">
        <v>4407</v>
      </c>
      <c r="AB767" s="132">
        <f>VLOOKUP(AA767,PLAN!B:V,20,0)</f>
        <v>46254</v>
      </c>
      <c r="AC767" s="132"/>
    </row>
    <row r="768" spans="3:29" s="79" customFormat="1" ht="21.6" customHeight="1">
      <c r="C768" s="249">
        <f t="shared" si="49"/>
        <v>0</v>
      </c>
      <c r="D768" s="77" t="str">
        <f>IFERROR(VLOOKUP($AA768,PLAN!$B:$AA,3,0),"")</f>
        <v/>
      </c>
      <c r="E768" s="77" t="str">
        <f>IFERROR(VLOOKUP($AA768,PLAN!$B:$AA,4,0),"")</f>
        <v/>
      </c>
      <c r="F768" s="77" t="str">
        <f>IFERROR(VLOOKUP($AA768,PLAN!$B:$AA,5,0),"")</f>
        <v/>
      </c>
      <c r="G768" s="77" t="str">
        <f>IFERROR(VLOOKUP($AA768,PLAN!$B:$AA,2,0),"")</f>
        <v/>
      </c>
      <c r="H768" s="113" t="str">
        <f>IFERROR(VLOOKUP($AA768,PLAN!$B:$AA,7,0),"")</f>
        <v/>
      </c>
      <c r="I768" s="77" t="str">
        <f>IFERROR(VLOOKUP($AA768,PLAN!$B:$AA,8,0),"")</f>
        <v/>
      </c>
      <c r="J768" s="77" t="str">
        <f>IFERROR(VLOOKUP($AA768,PLAN!$B:$AA,9,0),"")</f>
        <v/>
      </c>
      <c r="K768" s="77" t="str">
        <f>IFERROR(VLOOKUP($AA768,PLAN!$B:$AA,10,0),"")</f>
        <v/>
      </c>
      <c r="L768" s="77" t="str">
        <f>IFERROR(VLOOKUP($AA768,PLAN!$B:$AA,15,0),"")</f>
        <v/>
      </c>
      <c r="M768" s="77" t="str">
        <f>IFERROR(VLOOKUP($AA768,PLAN!$B:$AA,18,0),"")</f>
        <v/>
      </c>
      <c r="N768" s="227" t="str">
        <f>IFERROR(VLOOKUP($AA768,PLAN!$B:$AA,19,0),"")</f>
        <v/>
      </c>
      <c r="O768" s="77" t="str">
        <f>IFERROR(VLOOKUP($AA768,PLAN!$B:$AA,12,0),"")</f>
        <v/>
      </c>
      <c r="P768" s="77" t="str">
        <f>IFERROR(VLOOKUP($AA768,PLAN!$B:$AA,11,0),"")</f>
        <v/>
      </c>
      <c r="Q768" s="277" t="s">
        <v>4424</v>
      </c>
      <c r="R768" s="222" t="s">
        <v>4425</v>
      </c>
      <c r="S768" s="223">
        <v>306</v>
      </c>
      <c r="T768" s="131"/>
      <c r="U768" s="78" t="str">
        <f>IFERROR(VLOOKUP($AA768,PLAN!$B:$AA,21,0),"")</f>
        <v/>
      </c>
      <c r="V768" s="78" t="str">
        <f>IFERROR(VLOOKUP($AA768,PLAN!$B:$AA,22,0),"")</f>
        <v/>
      </c>
      <c r="W768" s="232"/>
      <c r="X768" s="233"/>
      <c r="Y768" s="212"/>
      <c r="Z768" s="350"/>
      <c r="AA768" s="195"/>
      <c r="AB768" s="132">
        <v>46254</v>
      </c>
      <c r="AC768" s="132"/>
    </row>
    <row r="769" spans="3:29" s="79" customFormat="1" ht="21.6" customHeight="1">
      <c r="C769" s="249">
        <f t="shared" si="49"/>
        <v>0</v>
      </c>
      <c r="D769" s="77" t="str">
        <f>IFERROR(VLOOKUP($AA769,PLAN!$B:$AA,3,0),"")</f>
        <v/>
      </c>
      <c r="E769" s="77" t="str">
        <f>IFERROR(VLOOKUP($AA769,PLAN!$B:$AA,4,0),"")</f>
        <v/>
      </c>
      <c r="F769" s="77" t="str">
        <f>IFERROR(VLOOKUP($AA769,PLAN!$B:$AA,5,0),"")</f>
        <v/>
      </c>
      <c r="G769" s="77" t="str">
        <f>IFERROR(VLOOKUP($AA769,PLAN!$B:$AA,2,0),"")</f>
        <v/>
      </c>
      <c r="H769" s="113" t="str">
        <f>IFERROR(VLOOKUP($AA769,PLAN!$B:$AA,7,0),"")</f>
        <v/>
      </c>
      <c r="I769" s="77" t="str">
        <f>IFERROR(VLOOKUP($AA769,PLAN!$B:$AA,8,0),"")</f>
        <v/>
      </c>
      <c r="J769" s="77" t="str">
        <f>IFERROR(VLOOKUP($AA769,PLAN!$B:$AA,9,0),"")</f>
        <v/>
      </c>
      <c r="K769" s="77" t="str">
        <f>IFERROR(VLOOKUP($AA769,PLAN!$B:$AA,10,0),"")</f>
        <v/>
      </c>
      <c r="L769" s="77" t="str">
        <f>IFERROR(VLOOKUP($AA769,PLAN!$B:$AA,15,0),"")</f>
        <v/>
      </c>
      <c r="M769" s="77" t="str">
        <f>IFERROR(VLOOKUP($AA769,PLAN!$B:$AA,18,0),"")</f>
        <v/>
      </c>
      <c r="N769" s="227" t="str">
        <f>IFERROR(VLOOKUP($AA769,PLAN!$B:$AA,19,0),"")</f>
        <v/>
      </c>
      <c r="O769" s="77" t="str">
        <f>IFERROR(VLOOKUP($AA769,PLAN!$B:$AA,12,0),"")</f>
        <v/>
      </c>
      <c r="P769" s="77" t="str">
        <f>IFERROR(VLOOKUP($AA769,PLAN!$B:$AA,11,0),"")</f>
        <v/>
      </c>
      <c r="Q769" s="349" t="s">
        <v>4426</v>
      </c>
      <c r="R769" s="222" t="s">
        <v>4427</v>
      </c>
      <c r="S769" s="223">
        <v>306</v>
      </c>
      <c r="T769" s="131"/>
      <c r="U769" s="78" t="str">
        <f>IFERROR(VLOOKUP($AA769,PLAN!$B:$AA,21,0),"")</f>
        <v/>
      </c>
      <c r="V769" s="78" t="str">
        <f>IFERROR(VLOOKUP($AA769,PLAN!$B:$AA,22,0),"")</f>
        <v/>
      </c>
      <c r="W769" s="232"/>
      <c r="X769" s="233"/>
      <c r="Y769" s="212"/>
      <c r="Z769" s="350"/>
      <c r="AA769" s="195"/>
      <c r="AB769" s="132">
        <v>46254</v>
      </c>
      <c r="AC769" s="132"/>
    </row>
    <row r="770" spans="3:29" s="79" customFormat="1" ht="21.6" customHeight="1">
      <c r="C770" s="249">
        <f t="shared" si="49"/>
        <v>0</v>
      </c>
      <c r="D770" s="77" t="str">
        <f>IFERROR(VLOOKUP($AA770,PLAN!$B:$AA,3,0),"")</f>
        <v/>
      </c>
      <c r="E770" s="77" t="str">
        <f>IFERROR(VLOOKUP($AA770,PLAN!$B:$AA,4,0),"")</f>
        <v/>
      </c>
      <c r="F770" s="77" t="str">
        <f>IFERROR(VLOOKUP($AA770,PLAN!$B:$AA,5,0),"")</f>
        <v/>
      </c>
      <c r="G770" s="77" t="str">
        <f>IFERROR(VLOOKUP($AA770,PLAN!$B:$AA,2,0),"")</f>
        <v/>
      </c>
      <c r="H770" s="113" t="str">
        <f>IFERROR(VLOOKUP($AA770,PLAN!$B:$AA,7,0),"")</f>
        <v/>
      </c>
      <c r="I770" s="77" t="str">
        <f>IFERROR(VLOOKUP($AA770,PLAN!$B:$AA,8,0),"")</f>
        <v/>
      </c>
      <c r="J770" s="77" t="str">
        <f>IFERROR(VLOOKUP($AA770,PLAN!$B:$AA,9,0),"")</f>
        <v/>
      </c>
      <c r="K770" s="77" t="str">
        <f>IFERROR(VLOOKUP($AA770,PLAN!$B:$AA,10,0),"")</f>
        <v/>
      </c>
      <c r="L770" s="77" t="str">
        <f>IFERROR(VLOOKUP($AA770,PLAN!$B:$AA,15,0),"")</f>
        <v/>
      </c>
      <c r="M770" s="77" t="str">
        <f>IFERROR(VLOOKUP($AA770,PLAN!$B:$AA,18,0),"")</f>
        <v/>
      </c>
      <c r="N770" s="227" t="str">
        <f>IFERROR(VLOOKUP($AA770,PLAN!$B:$AA,19,0),"")</f>
        <v/>
      </c>
      <c r="O770" s="77" t="str">
        <f>IFERROR(VLOOKUP($AA770,PLAN!$B:$AA,12,0),"")</f>
        <v/>
      </c>
      <c r="P770" s="77" t="str">
        <f>IFERROR(VLOOKUP($AA770,PLAN!$B:$AA,11,0),"")</f>
        <v/>
      </c>
      <c r="Q770" s="383" t="s">
        <v>4428</v>
      </c>
      <c r="R770" s="149" t="s">
        <v>4429</v>
      </c>
      <c r="S770" s="223">
        <v>306</v>
      </c>
      <c r="T770" s="131"/>
      <c r="U770" s="78" t="str">
        <f>IFERROR(VLOOKUP($AA770,PLAN!$B:$AA,21,0),"")</f>
        <v/>
      </c>
      <c r="V770" s="78" t="str">
        <f>IFERROR(VLOOKUP($AA770,PLAN!$B:$AA,22,0),"")</f>
        <v/>
      </c>
      <c r="W770" s="232"/>
      <c r="X770" s="233"/>
      <c r="Y770" s="212"/>
      <c r="Z770" s="350"/>
      <c r="AA770" s="195"/>
      <c r="AB770" s="132">
        <v>46254</v>
      </c>
      <c r="AC770" s="132"/>
    </row>
    <row r="771" spans="3:29" s="79" customFormat="1" ht="21.6" customHeight="1">
      <c r="C771" s="249">
        <f t="shared" si="49"/>
        <v>0</v>
      </c>
      <c r="D771" s="77" t="str">
        <f>IFERROR(VLOOKUP($AA771,PLAN!$B:$AA,3,0),"")</f>
        <v/>
      </c>
      <c r="E771" s="77" t="str">
        <f>IFERROR(VLOOKUP($AA771,PLAN!$B:$AA,4,0),"")</f>
        <v/>
      </c>
      <c r="F771" s="77" t="str">
        <f>IFERROR(VLOOKUP($AA771,PLAN!$B:$AA,5,0),"")</f>
        <v/>
      </c>
      <c r="G771" s="77" t="str">
        <f>IFERROR(VLOOKUP($AA771,PLAN!$B:$AA,2,0),"")</f>
        <v/>
      </c>
      <c r="H771" s="113" t="str">
        <f>IFERROR(VLOOKUP($AA771,PLAN!$B:$AA,7,0),"")</f>
        <v/>
      </c>
      <c r="I771" s="77" t="str">
        <f>IFERROR(VLOOKUP($AA771,PLAN!$B:$AA,8,0),"")</f>
        <v/>
      </c>
      <c r="J771" s="77" t="str">
        <f>IFERROR(VLOOKUP($AA771,PLAN!$B:$AA,9,0),"")</f>
        <v/>
      </c>
      <c r="K771" s="77" t="str">
        <f>IFERROR(VLOOKUP($AA771,PLAN!$B:$AA,10,0),"")</f>
        <v/>
      </c>
      <c r="L771" s="77" t="str">
        <f>IFERROR(VLOOKUP($AA771,PLAN!$B:$AA,15,0),"")</f>
        <v/>
      </c>
      <c r="M771" s="77" t="str">
        <f>IFERROR(VLOOKUP($AA771,PLAN!$B:$AA,18,0),"")</f>
        <v/>
      </c>
      <c r="N771" s="227" t="str">
        <f>IFERROR(VLOOKUP($AA771,PLAN!$B:$AA,19,0),"")</f>
        <v/>
      </c>
      <c r="O771" s="77" t="str">
        <f>IFERROR(VLOOKUP($AA771,PLAN!$B:$AA,12,0),"")</f>
        <v/>
      </c>
      <c r="P771" s="77" t="str">
        <f>IFERROR(VLOOKUP($AA771,PLAN!$B:$AA,11,0),"")</f>
        <v/>
      </c>
      <c r="Q771" s="349" t="s">
        <v>4430</v>
      </c>
      <c r="R771" s="149" t="s">
        <v>4431</v>
      </c>
      <c r="S771" s="223">
        <v>306</v>
      </c>
      <c r="T771" s="131"/>
      <c r="U771" s="78" t="str">
        <f>IFERROR(VLOOKUP($AA771,PLAN!$B:$AA,21,0),"")</f>
        <v/>
      </c>
      <c r="V771" s="78" t="str">
        <f>IFERROR(VLOOKUP($AA771,PLAN!$B:$AA,22,0),"")</f>
        <v/>
      </c>
      <c r="W771" s="232"/>
      <c r="X771" s="233"/>
      <c r="Y771" s="212"/>
      <c r="Z771" s="350"/>
      <c r="AA771" s="195"/>
      <c r="AB771" s="132">
        <v>46254</v>
      </c>
      <c r="AC771" s="132"/>
    </row>
    <row r="772" spans="3:29" s="79" customFormat="1" ht="21.6" customHeight="1">
      <c r="C772" s="249">
        <f t="shared" si="49"/>
        <v>0</v>
      </c>
      <c r="D772" s="77" t="str">
        <f>IFERROR(VLOOKUP($AA772,PLAN!$B:$AA,3,0),"")</f>
        <v/>
      </c>
      <c r="E772" s="77" t="str">
        <f>IFERROR(VLOOKUP($AA772,PLAN!$B:$AA,4,0),"")</f>
        <v/>
      </c>
      <c r="F772" s="77" t="str">
        <f>IFERROR(VLOOKUP($AA772,PLAN!$B:$AA,5,0),"")</f>
        <v/>
      </c>
      <c r="G772" s="77" t="str">
        <f>IFERROR(VLOOKUP($AA772,PLAN!$B:$AA,2,0),"")</f>
        <v/>
      </c>
      <c r="H772" s="113" t="str">
        <f>IFERROR(VLOOKUP($AA772,PLAN!$B:$AA,7,0),"")</f>
        <v/>
      </c>
      <c r="I772" s="77" t="str">
        <f>IFERROR(VLOOKUP($AA772,PLAN!$B:$AA,8,0),"")</f>
        <v/>
      </c>
      <c r="J772" s="77" t="str">
        <f>IFERROR(VLOOKUP($AA772,PLAN!$B:$AA,9,0),"")</f>
        <v/>
      </c>
      <c r="K772" s="77" t="str">
        <f>IFERROR(VLOOKUP($AA772,PLAN!$B:$AA,10,0),"")</f>
        <v/>
      </c>
      <c r="L772" s="77" t="str">
        <f>IFERROR(VLOOKUP($AA772,PLAN!$B:$AA,15,0),"")</f>
        <v/>
      </c>
      <c r="M772" s="77" t="str">
        <f>IFERROR(VLOOKUP($AA772,PLAN!$B:$AA,18,0),"")</f>
        <v/>
      </c>
      <c r="N772" s="227" t="str">
        <f>IFERROR(VLOOKUP($AA772,PLAN!$B:$AA,19,0),"")</f>
        <v/>
      </c>
      <c r="O772" s="77" t="str">
        <f>IFERROR(VLOOKUP($AA772,PLAN!$B:$AA,12,0),"")</f>
        <v/>
      </c>
      <c r="P772" s="77" t="str">
        <f>IFERROR(VLOOKUP($AA772,PLAN!$B:$AA,11,0),"")</f>
        <v/>
      </c>
      <c r="Q772" s="349" t="s">
        <v>4432</v>
      </c>
      <c r="R772" s="149" t="s">
        <v>4433</v>
      </c>
      <c r="S772" s="223">
        <f>K767-S767-S768-S769-S770-S771</f>
        <v>200</v>
      </c>
      <c r="T772" s="131"/>
      <c r="U772" s="78" t="str">
        <f>IFERROR(VLOOKUP($AA772,PLAN!$B:$AA,21,0),"")</f>
        <v/>
      </c>
      <c r="V772" s="78" t="str">
        <f>IFERROR(VLOOKUP($AA772,PLAN!$B:$AA,22,0),"")</f>
        <v/>
      </c>
      <c r="W772" s="232"/>
      <c r="X772" s="233"/>
      <c r="Y772" s="212"/>
      <c r="Z772" s="350"/>
      <c r="AA772" s="195"/>
      <c r="AB772" s="132">
        <v>46254</v>
      </c>
      <c r="AC772" s="132"/>
    </row>
    <row r="773" spans="3:29" s="79" customFormat="1" ht="21.6" customHeight="1">
      <c r="C773" s="249" t="str">
        <f t="shared" si="49"/>
        <v>Aug28-31</v>
      </c>
      <c r="D773" s="77">
        <f>IFERROR(VLOOKUP($AA773,PLAN!$B:$AA,3,0),"")</f>
        <v>11134284</v>
      </c>
      <c r="E773" s="77" t="str">
        <f>IFERROR(VLOOKUP($AA773,PLAN!$B:$AA,4,0),"")</f>
        <v>1911227-F-A</v>
      </c>
      <c r="F773" s="77" t="str">
        <f>IFERROR(VLOOKUP($AA773,PLAN!$B:$AA,5,0),"")</f>
        <v>HJ70SP370P10000 JP</v>
      </c>
      <c r="G773" s="77" t="str">
        <f>IFERROR(VLOOKUP($AA773,PLAN!$B:$AA,2,0),"")</f>
        <v>1001943016</v>
      </c>
      <c r="H773" s="113">
        <f>IFERROR(VLOOKUP($AA773,PLAN!$B:$AA,7,0),"")</f>
        <v>46262</v>
      </c>
      <c r="I773" s="77" t="str">
        <f>IFERROR(VLOOKUP($AA773,PLAN!$B:$AA,8,0),"")</f>
        <v>0103603936</v>
      </c>
      <c r="J773" s="77" t="str">
        <f>IFERROR(VLOOKUP($AA773,PLAN!$B:$AA,9,0),"")</f>
        <v>260813C08A</v>
      </c>
      <c r="K773" s="77">
        <f>IFERROR(VLOOKUP($AA773,PLAN!$B:$AA,10,0),"")</f>
        <v>8</v>
      </c>
      <c r="L773" s="77" t="str">
        <f>IFERROR(VLOOKUP($AA773,PLAN!$B:$AA,15,0),"")</f>
        <v>JAPAN</v>
      </c>
      <c r="M773" s="77">
        <f>IFERROR(VLOOKUP($AA773,PLAN!$B:$AA,18,0),"")</f>
        <v>0</v>
      </c>
      <c r="N773" s="227">
        <f>IFERROR(VLOOKUP($AA773,PLAN!$B:$AA,19,0),"")</f>
        <v>0</v>
      </c>
      <c r="O773" s="77" t="str">
        <f>IFERROR(VLOOKUP($AA773,PLAN!$B:$AA,12,0),"")</f>
        <v>2112229-0-C</v>
      </c>
      <c r="P773" s="77">
        <f>IFERROR(VLOOKUP($AA773,PLAN!$B:$AA,11,0),"")</f>
        <v>12116196</v>
      </c>
      <c r="Q773" s="349" t="s">
        <v>4636</v>
      </c>
      <c r="R773" s="158" t="s">
        <v>4637</v>
      </c>
      <c r="S773" s="149">
        <f t="shared" ref="S773:S788" si="50">K773</f>
        <v>8</v>
      </c>
      <c r="T773" s="131"/>
      <c r="U773" s="78">
        <f>IFERROR(VLOOKUP($AA773,PLAN!$B:$AA,21,0),"")</f>
        <v>46254</v>
      </c>
      <c r="V773" s="78" t="str">
        <f>IFERROR(VLOOKUP($AA773,PLAN!$B:$AA,22,0),"")</f>
        <v>M9</v>
      </c>
      <c r="W773" s="232"/>
      <c r="X773" s="233"/>
      <c r="Y773" s="212"/>
      <c r="Z773" s="350"/>
      <c r="AA773" s="195" t="s">
        <v>4259</v>
      </c>
      <c r="AB773" s="132">
        <f>VLOOKUP(AA773,PLAN!B:V,20,0)</f>
        <v>46254</v>
      </c>
      <c r="AC773" s="132"/>
    </row>
    <row r="774" spans="3:29" s="79" customFormat="1" ht="21.6" customHeight="1">
      <c r="C774" s="249" t="str">
        <f t="shared" si="49"/>
        <v>Aug29-11</v>
      </c>
      <c r="D774" s="77">
        <f>IFERROR(VLOOKUP($AA774,PLAN!$B:$AA,3,0),"")</f>
        <v>11134310</v>
      </c>
      <c r="E774" s="77" t="str">
        <f>IFERROR(VLOOKUP($AA774,PLAN!$B:$AA,4,0),"")</f>
        <v>1911349-E-A</v>
      </c>
      <c r="F774" s="77" t="str">
        <f>IFERROR(VLOOKUP($AA774,PLAN!$B:$AA,5,0),"")</f>
        <v>HJ80SP370P10000 JP</v>
      </c>
      <c r="G774" s="77" t="str">
        <f>IFERROR(VLOOKUP($AA774,PLAN!$B:$AA,2,0),"")</f>
        <v>1001943049</v>
      </c>
      <c r="H774" s="113">
        <f>IFERROR(VLOOKUP($AA774,PLAN!$B:$AA,7,0),"")</f>
        <v>46263</v>
      </c>
      <c r="I774" s="77" t="str">
        <f>IFERROR(VLOOKUP($AA774,PLAN!$B:$AA,8,0),"")</f>
        <v>0103604032</v>
      </c>
      <c r="J774" s="77" t="str">
        <f>IFERROR(VLOOKUP($AA774,PLAN!$B:$AA,9,0),"")</f>
        <v>260813C22A</v>
      </c>
      <c r="K774" s="77">
        <f>IFERROR(VLOOKUP($AA774,PLAN!$B:$AA,10,0),"")</f>
        <v>5</v>
      </c>
      <c r="L774" s="77" t="str">
        <f>IFERROR(VLOOKUP($AA774,PLAN!$B:$AA,15,0),"")</f>
        <v>JAPAN</v>
      </c>
      <c r="M774" s="77">
        <f>IFERROR(VLOOKUP($AA774,PLAN!$B:$AA,18,0),"")</f>
        <v>0</v>
      </c>
      <c r="N774" s="227">
        <f>IFERROR(VLOOKUP($AA774,PLAN!$B:$AA,19,0),"")</f>
        <v>0</v>
      </c>
      <c r="O774" s="77" t="str">
        <f>IFERROR(VLOOKUP($AA774,PLAN!$B:$AA,12,0),"")</f>
        <v>2112351-0-C</v>
      </c>
      <c r="P774" s="77">
        <f>IFERROR(VLOOKUP($AA774,PLAN!$B:$AA,11,0),"")</f>
        <v>12116318</v>
      </c>
      <c r="Q774" s="349" t="s">
        <v>4638</v>
      </c>
      <c r="R774" s="158" t="s">
        <v>4639</v>
      </c>
      <c r="S774" s="149">
        <f t="shared" si="50"/>
        <v>5</v>
      </c>
      <c r="T774" s="131"/>
      <c r="U774" s="78">
        <f>IFERROR(VLOOKUP($AA774,PLAN!$B:$AA,21,0),"")</f>
        <v>46254</v>
      </c>
      <c r="V774" s="78" t="str">
        <f>IFERROR(VLOOKUP($AA774,PLAN!$B:$AA,22,0),"")</f>
        <v>M9</v>
      </c>
      <c r="W774" s="232"/>
      <c r="X774" s="233"/>
      <c r="Y774" s="212"/>
      <c r="Z774" s="350"/>
      <c r="AA774" s="195" t="s">
        <v>4606</v>
      </c>
      <c r="AB774" s="132">
        <f>VLOOKUP(AA774,PLAN!B:V,20,0)</f>
        <v>46254</v>
      </c>
      <c r="AC774" s="132"/>
    </row>
    <row r="775" spans="3:29" s="79" customFormat="1" ht="21.6" customHeight="1">
      <c r="C775" s="249" t="str">
        <f t="shared" si="49"/>
        <v>Aug29-12</v>
      </c>
      <c r="D775" s="77">
        <f>IFERROR(VLOOKUP($AA775,PLAN!$B:$AA,3,0),"")</f>
        <v>11134251</v>
      </c>
      <c r="E775" s="77" t="str">
        <f>IFERROR(VLOOKUP($AA775,PLAN!$B:$AA,4,0),"")</f>
        <v>1911068-E-A</v>
      </c>
      <c r="F775" s="77" t="str">
        <f>IFERROR(VLOOKUP($AA775,PLAN!$B:$AA,5,0),"")</f>
        <v>HJ60PB302P10020 JP</v>
      </c>
      <c r="G775" s="77" t="str">
        <f>IFERROR(VLOOKUP($AA775,PLAN!$B:$AA,2,0),"")</f>
        <v>1001943050</v>
      </c>
      <c r="H775" s="113">
        <f>IFERROR(VLOOKUP($AA775,PLAN!$B:$AA,7,0),"")</f>
        <v>46263</v>
      </c>
      <c r="I775" s="77" t="str">
        <f>IFERROR(VLOOKUP($AA775,PLAN!$B:$AA,8,0),"")</f>
        <v>0103604033</v>
      </c>
      <c r="J775" s="77" t="str">
        <f>IFERROR(VLOOKUP($AA775,PLAN!$B:$AA,9,0),"")</f>
        <v>260813C23A</v>
      </c>
      <c r="K775" s="77">
        <f>IFERROR(VLOOKUP($AA775,PLAN!$B:$AA,10,0),"")</f>
        <v>7</v>
      </c>
      <c r="L775" s="77" t="str">
        <f>IFERROR(VLOOKUP($AA775,PLAN!$B:$AA,15,0),"")</f>
        <v>JAPAN</v>
      </c>
      <c r="M775" s="77">
        <f>IFERROR(VLOOKUP($AA775,PLAN!$B:$AA,18,0),"")</f>
        <v>0</v>
      </c>
      <c r="N775" s="227">
        <f>IFERROR(VLOOKUP($AA775,PLAN!$B:$AA,19,0),"")</f>
        <v>0</v>
      </c>
      <c r="O775" s="77" t="str">
        <f>IFERROR(VLOOKUP($AA775,PLAN!$B:$AA,12,0),"")</f>
        <v>2112070-0-C</v>
      </c>
      <c r="P775" s="77">
        <f>IFERROR(VLOOKUP($AA775,PLAN!$B:$AA,11,0),"")</f>
        <v>12116035</v>
      </c>
      <c r="Q775" s="349" t="s">
        <v>4640</v>
      </c>
      <c r="R775" s="158" t="s">
        <v>4641</v>
      </c>
      <c r="S775" s="149">
        <f t="shared" si="50"/>
        <v>7</v>
      </c>
      <c r="T775" s="131"/>
      <c r="U775" s="78">
        <f>IFERROR(VLOOKUP($AA775,PLAN!$B:$AA,21,0),"")</f>
        <v>46254</v>
      </c>
      <c r="V775" s="78" t="str">
        <f>IFERROR(VLOOKUP($AA775,PLAN!$B:$AA,22,0),"")</f>
        <v>M9</v>
      </c>
      <c r="W775" s="232"/>
      <c r="X775" s="233"/>
      <c r="Y775" s="212"/>
      <c r="Z775" s="350"/>
      <c r="AA775" s="195" t="s">
        <v>4607</v>
      </c>
      <c r="AB775" s="132">
        <f>VLOOKUP(AA775,PLAN!B:V,20,0)</f>
        <v>46254</v>
      </c>
      <c r="AC775" s="132"/>
    </row>
    <row r="776" spans="3:29" s="79" customFormat="1" ht="21.6" customHeight="1">
      <c r="C776" s="249" t="str">
        <f t="shared" si="49"/>
        <v>Aug29-13</v>
      </c>
      <c r="D776" s="77">
        <f>IFERROR(VLOOKUP($AA776,PLAN!$B:$AA,3,0),"")</f>
        <v>11134305</v>
      </c>
      <c r="E776" s="77" t="str">
        <f>IFERROR(VLOOKUP($AA776,PLAN!$B:$AA,4,0),"")</f>
        <v>1911344-E-A</v>
      </c>
      <c r="F776" s="77" t="str">
        <f>IFERROR(VLOOKUP($AA776,PLAN!$B:$AA,5,0),"")</f>
        <v>HJ80SP302P10000 JP</v>
      </c>
      <c r="G776" s="77" t="str">
        <f>IFERROR(VLOOKUP($AA776,PLAN!$B:$AA,2,0),"")</f>
        <v>1001943051</v>
      </c>
      <c r="H776" s="113">
        <f>IFERROR(VLOOKUP($AA776,PLAN!$B:$AA,7,0),"")</f>
        <v>46263</v>
      </c>
      <c r="I776" s="77" t="str">
        <f>IFERROR(VLOOKUP($AA776,PLAN!$B:$AA,8,0),"")</f>
        <v>0103604034</v>
      </c>
      <c r="J776" s="77" t="str">
        <f>IFERROR(VLOOKUP($AA776,PLAN!$B:$AA,9,0),"")</f>
        <v>260813C24A</v>
      </c>
      <c r="K776" s="77">
        <f>IFERROR(VLOOKUP($AA776,PLAN!$B:$AA,10,0),"")</f>
        <v>7</v>
      </c>
      <c r="L776" s="77" t="str">
        <f>IFERROR(VLOOKUP($AA776,PLAN!$B:$AA,15,0),"")</f>
        <v>JAPAN</v>
      </c>
      <c r="M776" s="77">
        <f>IFERROR(VLOOKUP($AA776,PLAN!$B:$AA,18,0),"")</f>
        <v>0</v>
      </c>
      <c r="N776" s="227">
        <f>IFERROR(VLOOKUP($AA776,PLAN!$B:$AA,19,0),"")</f>
        <v>0</v>
      </c>
      <c r="O776" s="77" t="str">
        <f>IFERROR(VLOOKUP($AA776,PLAN!$B:$AA,12,0),"")</f>
        <v>2112346-0-C</v>
      </c>
      <c r="P776" s="77">
        <f>IFERROR(VLOOKUP($AA776,PLAN!$B:$AA,11,0),"")</f>
        <v>12116313</v>
      </c>
      <c r="Q776" s="349" t="s">
        <v>4642</v>
      </c>
      <c r="R776" s="158" t="s">
        <v>4643</v>
      </c>
      <c r="S776" s="149">
        <f t="shared" si="50"/>
        <v>7</v>
      </c>
      <c r="T776" s="131"/>
      <c r="U776" s="78">
        <f>IFERROR(VLOOKUP($AA776,PLAN!$B:$AA,21,0),"")</f>
        <v>46254</v>
      </c>
      <c r="V776" s="78" t="str">
        <f>IFERROR(VLOOKUP($AA776,PLAN!$B:$AA,22,0),"")</f>
        <v>M9</v>
      </c>
      <c r="W776" s="232"/>
      <c r="X776" s="233"/>
      <c r="Y776" s="212"/>
      <c r="Z776" s="350"/>
      <c r="AA776" s="195" t="s">
        <v>4608</v>
      </c>
      <c r="AB776" s="132">
        <f>VLOOKUP(AA776,PLAN!B:V,20,0)</f>
        <v>46254</v>
      </c>
      <c r="AC776" s="132"/>
    </row>
    <row r="777" spans="3:29" s="79" customFormat="1" ht="21.6" customHeight="1">
      <c r="C777" s="249" t="str">
        <f t="shared" si="49"/>
        <v>Aug29-14</v>
      </c>
      <c r="D777" s="77">
        <f>IFERROR(VLOOKUP($AA777,PLAN!$B:$AA,3,0),"")</f>
        <v>11134264</v>
      </c>
      <c r="E777" s="77" t="str">
        <f>IFERROR(VLOOKUP($AA777,PLAN!$B:$AA,4,0),"")</f>
        <v>1911101-F-A</v>
      </c>
      <c r="F777" s="77" t="str">
        <f>IFERROR(VLOOKUP($AA777,PLAN!$B:$AA,5,0),"")</f>
        <v>HJ60SP400P10000 JP</v>
      </c>
      <c r="G777" s="77" t="str">
        <f>IFERROR(VLOOKUP($AA777,PLAN!$B:$AA,2,0),"")</f>
        <v>1001943052</v>
      </c>
      <c r="H777" s="113">
        <f>IFERROR(VLOOKUP($AA777,PLAN!$B:$AA,7,0),"")</f>
        <v>46263</v>
      </c>
      <c r="I777" s="77" t="str">
        <f>IFERROR(VLOOKUP($AA777,PLAN!$B:$AA,8,0),"")</f>
        <v>0103604035</v>
      </c>
      <c r="J777" s="77" t="str">
        <f>IFERROR(VLOOKUP($AA777,PLAN!$B:$AA,9,0),"")</f>
        <v>260813C25A</v>
      </c>
      <c r="K777" s="77">
        <f>IFERROR(VLOOKUP($AA777,PLAN!$B:$AA,10,0),"")</f>
        <v>10</v>
      </c>
      <c r="L777" s="77" t="str">
        <f>IFERROR(VLOOKUP($AA777,PLAN!$B:$AA,15,0),"")</f>
        <v>JAPAN</v>
      </c>
      <c r="M777" s="77">
        <f>IFERROR(VLOOKUP($AA777,PLAN!$B:$AA,18,0),"")</f>
        <v>0</v>
      </c>
      <c r="N777" s="227">
        <f>IFERROR(VLOOKUP($AA777,PLAN!$B:$AA,19,0),"")</f>
        <v>0</v>
      </c>
      <c r="O777" s="77" t="str">
        <f>IFERROR(VLOOKUP($AA777,PLAN!$B:$AA,12,0),"")</f>
        <v>2112103-0-C</v>
      </c>
      <c r="P777" s="77">
        <f>IFERROR(VLOOKUP($AA777,PLAN!$B:$AA,11,0),"")</f>
        <v>12116068</v>
      </c>
      <c r="Q777" s="349" t="s">
        <v>3795</v>
      </c>
      <c r="R777" s="222" t="s">
        <v>3796</v>
      </c>
      <c r="S777" s="223">
        <v>1</v>
      </c>
      <c r="T777" s="131"/>
      <c r="U777" s="78">
        <f>IFERROR(VLOOKUP($AA777,PLAN!$B:$AA,21,0),"")</f>
        <v>46254</v>
      </c>
      <c r="V777" s="78" t="str">
        <f>IFERROR(VLOOKUP($AA777,PLAN!$B:$AA,22,0),"")</f>
        <v>M9</v>
      </c>
      <c r="W777" s="232"/>
      <c r="X777" s="233"/>
      <c r="Y777" s="212"/>
      <c r="Z777" s="350"/>
      <c r="AA777" s="195" t="s">
        <v>4609</v>
      </c>
      <c r="AB777" s="132">
        <v>46254</v>
      </c>
      <c r="AC777" s="132"/>
    </row>
    <row r="778" spans="3:29" s="79" customFormat="1" ht="21.6" customHeight="1">
      <c r="C778" s="249"/>
      <c r="D778" s="77"/>
      <c r="E778" s="77"/>
      <c r="F778" s="77"/>
      <c r="G778" s="77"/>
      <c r="H778" s="113"/>
      <c r="I778" s="77"/>
      <c r="J778" s="77"/>
      <c r="K778" s="77"/>
      <c r="L778" s="77"/>
      <c r="M778" s="77"/>
      <c r="N778" s="227"/>
      <c r="O778" s="77"/>
      <c r="P778" s="77"/>
      <c r="Q778" s="349" t="s">
        <v>4644</v>
      </c>
      <c r="R778" s="158" t="s">
        <v>4645</v>
      </c>
      <c r="S778" s="223">
        <v>9</v>
      </c>
      <c r="T778" s="131"/>
      <c r="U778" s="78"/>
      <c r="V778" s="78"/>
      <c r="W778" s="232"/>
      <c r="X778" s="233"/>
      <c r="Y778" s="212"/>
      <c r="Z778" s="350"/>
      <c r="AA778" s="195"/>
      <c r="AB778" s="132">
        <v>46254</v>
      </c>
      <c r="AC778" s="132"/>
    </row>
    <row r="779" spans="3:29" s="79" customFormat="1" ht="21.6" customHeight="1">
      <c r="C779" s="249" t="str">
        <f t="shared" si="49"/>
        <v>Aug29-15</v>
      </c>
      <c r="D779" s="77">
        <f>IFERROR(VLOOKUP($AA779,PLAN!$B:$AA,3,0),"")</f>
        <v>11134311</v>
      </c>
      <c r="E779" s="77" t="str">
        <f>IFERROR(VLOOKUP($AA779,PLAN!$B:$AA,4,0),"")</f>
        <v>1911350-E-A</v>
      </c>
      <c r="F779" s="77" t="str">
        <f>IFERROR(VLOOKUP($AA779,PLAN!$B:$AA,5,0),"")</f>
        <v>HJ80SP372P10000 JP</v>
      </c>
      <c r="G779" s="77" t="str">
        <f>IFERROR(VLOOKUP($AA779,PLAN!$B:$AA,2,0),"")</f>
        <v>1001943053</v>
      </c>
      <c r="H779" s="113">
        <f>IFERROR(VLOOKUP($AA779,PLAN!$B:$AA,7,0),"")</f>
        <v>46263</v>
      </c>
      <c r="I779" s="77" t="str">
        <f>IFERROR(VLOOKUP($AA779,PLAN!$B:$AA,8,0),"")</f>
        <v>0103604036</v>
      </c>
      <c r="J779" s="77" t="str">
        <f>IFERROR(VLOOKUP($AA779,PLAN!$B:$AA,9,0),"")</f>
        <v>260813C26A</v>
      </c>
      <c r="K779" s="77">
        <f>IFERROR(VLOOKUP($AA779,PLAN!$B:$AA,10,0),"")</f>
        <v>12</v>
      </c>
      <c r="L779" s="77" t="str">
        <f>IFERROR(VLOOKUP($AA779,PLAN!$B:$AA,15,0),"")</f>
        <v>JAPAN</v>
      </c>
      <c r="M779" s="77">
        <f>IFERROR(VLOOKUP($AA779,PLAN!$B:$AA,18,0),"")</f>
        <v>0</v>
      </c>
      <c r="N779" s="227">
        <f>IFERROR(VLOOKUP($AA779,PLAN!$B:$AA,19,0),"")</f>
        <v>0</v>
      </c>
      <c r="O779" s="77" t="str">
        <f>IFERROR(VLOOKUP($AA779,PLAN!$B:$AA,12,0),"")</f>
        <v>2112352-0-C</v>
      </c>
      <c r="P779" s="77">
        <f>IFERROR(VLOOKUP($AA779,PLAN!$B:$AA,11,0),"")</f>
        <v>12116319</v>
      </c>
      <c r="Q779" s="349" t="s">
        <v>4646</v>
      </c>
      <c r="R779" s="158" t="s">
        <v>4647</v>
      </c>
      <c r="S779" s="149">
        <f t="shared" si="50"/>
        <v>12</v>
      </c>
      <c r="T779" s="131"/>
      <c r="U779" s="78">
        <f>IFERROR(VLOOKUP($AA779,PLAN!$B:$AA,21,0),"")</f>
        <v>46254</v>
      </c>
      <c r="V779" s="78" t="str">
        <f>IFERROR(VLOOKUP($AA779,PLAN!$B:$AA,22,0),"")</f>
        <v>M9</v>
      </c>
      <c r="W779" s="232"/>
      <c r="X779" s="233"/>
      <c r="Y779" s="212"/>
      <c r="Z779" s="350"/>
      <c r="AA779" s="195" t="s">
        <v>4610</v>
      </c>
      <c r="AB779" s="132">
        <f>VLOOKUP(AA779,PLAN!B:V,20,0)</f>
        <v>46254</v>
      </c>
      <c r="AC779" s="132"/>
    </row>
    <row r="780" spans="3:29" s="79" customFormat="1" ht="21.6" customHeight="1">
      <c r="C780" s="249" t="str">
        <f t="shared" si="49"/>
        <v>Aug29-16</v>
      </c>
      <c r="D780" s="77">
        <f>IFERROR(VLOOKUP($AA780,PLAN!$B:$AA,3,0),"")</f>
        <v>11134308</v>
      </c>
      <c r="E780" s="77" t="str">
        <f>IFERROR(VLOOKUP($AA780,PLAN!$B:$AA,4,0),"")</f>
        <v>1911347-F-A</v>
      </c>
      <c r="F780" s="77" t="str">
        <f>IFERROR(VLOOKUP($AA780,PLAN!$B:$AA,5,0),"")</f>
        <v>HJ80SP352P10000 JP</v>
      </c>
      <c r="G780" s="77" t="str">
        <f>IFERROR(VLOOKUP($AA780,PLAN!$B:$AA,2,0),"")</f>
        <v>1001943054</v>
      </c>
      <c r="H780" s="113">
        <f>IFERROR(VLOOKUP($AA780,PLAN!$B:$AA,7,0),"")</f>
        <v>46263</v>
      </c>
      <c r="I780" s="77" t="str">
        <f>IFERROR(VLOOKUP($AA780,PLAN!$B:$AA,8,0),"")</f>
        <v>0103604037</v>
      </c>
      <c r="J780" s="77" t="str">
        <f>IFERROR(VLOOKUP($AA780,PLAN!$B:$AA,9,0),"")</f>
        <v>260813C27A</v>
      </c>
      <c r="K780" s="77">
        <f>IFERROR(VLOOKUP($AA780,PLAN!$B:$AA,10,0),"")</f>
        <v>22</v>
      </c>
      <c r="L780" s="77" t="str">
        <f>IFERROR(VLOOKUP($AA780,PLAN!$B:$AA,15,0),"")</f>
        <v>JAPAN</v>
      </c>
      <c r="M780" s="77">
        <f>IFERROR(VLOOKUP($AA780,PLAN!$B:$AA,18,0),"")</f>
        <v>0</v>
      </c>
      <c r="N780" s="227">
        <f>IFERROR(VLOOKUP($AA780,PLAN!$B:$AA,19,0),"")</f>
        <v>0</v>
      </c>
      <c r="O780" s="77" t="str">
        <f>IFERROR(VLOOKUP($AA780,PLAN!$B:$AA,12,0),"")</f>
        <v>2112349-0-C</v>
      </c>
      <c r="P780" s="77">
        <f>IFERROR(VLOOKUP($AA780,PLAN!$B:$AA,11,0),"")</f>
        <v>12116316</v>
      </c>
      <c r="Q780" s="349" t="s">
        <v>4648</v>
      </c>
      <c r="R780" s="149" t="s">
        <v>4649</v>
      </c>
      <c r="S780" s="223">
        <v>5</v>
      </c>
      <c r="T780" s="131"/>
      <c r="U780" s="78">
        <f>IFERROR(VLOOKUP($AA780,PLAN!$B:$AA,21,0),"")</f>
        <v>46254</v>
      </c>
      <c r="V780" s="78" t="str">
        <f>IFERROR(VLOOKUP($AA780,PLAN!$B:$AA,22,0),"")</f>
        <v>M9</v>
      </c>
      <c r="W780" s="232"/>
      <c r="X780" s="233"/>
      <c r="Y780" s="212"/>
      <c r="Z780" s="350"/>
      <c r="AA780" s="195" t="s">
        <v>4611</v>
      </c>
      <c r="AB780" s="132">
        <f>VLOOKUP(AA780,PLAN!B:V,20,0)</f>
        <v>46254</v>
      </c>
      <c r="AC780" s="132"/>
    </row>
    <row r="781" spans="3:29" s="79" customFormat="1" ht="21.6" customHeight="1">
      <c r="C781" s="249"/>
      <c r="D781" s="77"/>
      <c r="E781" s="77"/>
      <c r="F781" s="77"/>
      <c r="G781" s="77"/>
      <c r="H781" s="113"/>
      <c r="I781" s="77"/>
      <c r="J781" s="77"/>
      <c r="K781" s="77"/>
      <c r="L781" s="77"/>
      <c r="M781" s="77"/>
      <c r="N781" s="227"/>
      <c r="O781" s="77"/>
      <c r="P781" s="77"/>
      <c r="Q781" s="349" t="s">
        <v>4650</v>
      </c>
      <c r="R781" s="158" t="s">
        <v>4651</v>
      </c>
      <c r="S781" s="223">
        <f>K780-S780</f>
        <v>17</v>
      </c>
      <c r="T781" s="131"/>
      <c r="U781" s="78"/>
      <c r="V781" s="78"/>
      <c r="W781" s="232"/>
      <c r="X781" s="233"/>
      <c r="Y781" s="212"/>
      <c r="Z781" s="350"/>
      <c r="AA781" s="195"/>
      <c r="AB781" s="132">
        <v>46254</v>
      </c>
      <c r="AC781" s="132"/>
    </row>
    <row r="782" spans="3:29" s="79" customFormat="1" ht="21.6" customHeight="1">
      <c r="C782" s="249" t="str">
        <f t="shared" si="49"/>
        <v>Aug29-17</v>
      </c>
      <c r="D782" s="77">
        <f>IFERROR(VLOOKUP($AA782,PLAN!$B:$AA,3,0),"")</f>
        <v>11134314</v>
      </c>
      <c r="E782" s="77" t="str">
        <f>IFERROR(VLOOKUP($AA782,PLAN!$B:$AA,4,0),"")</f>
        <v>1911353-E-A</v>
      </c>
      <c r="F782" s="77" t="str">
        <f>IFERROR(VLOOKUP($AA782,PLAN!$B:$AA,5,0),"")</f>
        <v>HJ80SP402P10000 JP</v>
      </c>
      <c r="G782" s="77" t="str">
        <f>IFERROR(VLOOKUP($AA782,PLAN!$B:$AA,2,0),"")</f>
        <v>1001943055</v>
      </c>
      <c r="H782" s="113">
        <f>IFERROR(VLOOKUP($AA782,PLAN!$B:$AA,7,0),"")</f>
        <v>46263</v>
      </c>
      <c r="I782" s="77" t="str">
        <f>IFERROR(VLOOKUP($AA782,PLAN!$B:$AA,8,0),"")</f>
        <v>0103604038</v>
      </c>
      <c r="J782" s="77" t="str">
        <f>IFERROR(VLOOKUP($AA782,PLAN!$B:$AA,9,0),"")</f>
        <v>260813C28A</v>
      </c>
      <c r="K782" s="77">
        <f>IFERROR(VLOOKUP($AA782,PLAN!$B:$AA,10,0),"")</f>
        <v>22</v>
      </c>
      <c r="L782" s="77" t="str">
        <f>IFERROR(VLOOKUP($AA782,PLAN!$B:$AA,15,0),"")</f>
        <v>JAPAN</v>
      </c>
      <c r="M782" s="77">
        <f>IFERROR(VLOOKUP($AA782,PLAN!$B:$AA,18,0),"")</f>
        <v>0</v>
      </c>
      <c r="N782" s="227">
        <f>IFERROR(VLOOKUP($AA782,PLAN!$B:$AA,19,0),"")</f>
        <v>0</v>
      </c>
      <c r="O782" s="77" t="str">
        <f>IFERROR(VLOOKUP($AA782,PLAN!$B:$AA,12,0),"")</f>
        <v>2112355-0-C</v>
      </c>
      <c r="P782" s="77">
        <f>IFERROR(VLOOKUP($AA782,PLAN!$B:$AA,11,0),"")</f>
        <v>12116322</v>
      </c>
      <c r="Q782" s="349" t="s">
        <v>4652</v>
      </c>
      <c r="R782" s="158" t="s">
        <v>4653</v>
      </c>
      <c r="S782" s="149">
        <f t="shared" si="50"/>
        <v>22</v>
      </c>
      <c r="T782" s="131"/>
      <c r="U782" s="78">
        <f>IFERROR(VLOOKUP($AA782,PLAN!$B:$AA,21,0),"")</f>
        <v>46254</v>
      </c>
      <c r="V782" s="78" t="str">
        <f>IFERROR(VLOOKUP($AA782,PLAN!$B:$AA,22,0),"")</f>
        <v>M9</v>
      </c>
      <c r="W782" s="232"/>
      <c r="X782" s="233"/>
      <c r="Y782" s="212"/>
      <c r="Z782" s="350"/>
      <c r="AA782" s="195" t="s">
        <v>4612</v>
      </c>
      <c r="AB782" s="132">
        <f>VLOOKUP(AA782,PLAN!B:V,20,0)</f>
        <v>46254</v>
      </c>
      <c r="AC782" s="132"/>
    </row>
    <row r="783" spans="3:29" s="79" customFormat="1" ht="21.6" customHeight="1">
      <c r="C783" s="249" t="str">
        <f t="shared" si="49"/>
        <v>Aug29-18</v>
      </c>
      <c r="D783" s="77">
        <f>IFERROR(VLOOKUP($AA783,PLAN!$B:$AA,3,0),"")</f>
        <v>11134257</v>
      </c>
      <c r="E783" s="77" t="str">
        <f>IFERROR(VLOOKUP($AA783,PLAN!$B:$AA,4,0),"")</f>
        <v>1911094-E-A</v>
      </c>
      <c r="F783" s="77" t="str">
        <f>IFERROR(VLOOKUP($AA783,PLAN!$B:$AA,5,0),"")</f>
        <v>HJ60SP302P10020 JP</v>
      </c>
      <c r="G783" s="77" t="str">
        <f>IFERROR(VLOOKUP($AA783,PLAN!$B:$AA,2,0),"")</f>
        <v>1001943056</v>
      </c>
      <c r="H783" s="113">
        <f>IFERROR(VLOOKUP($AA783,PLAN!$B:$AA,7,0),"")</f>
        <v>46263</v>
      </c>
      <c r="I783" s="77" t="str">
        <f>IFERROR(VLOOKUP($AA783,PLAN!$B:$AA,8,0),"")</f>
        <v>0103604039</v>
      </c>
      <c r="J783" s="77" t="str">
        <f>IFERROR(VLOOKUP($AA783,PLAN!$B:$AA,9,0),"")</f>
        <v>260813C29A</v>
      </c>
      <c r="K783" s="77">
        <f>IFERROR(VLOOKUP($AA783,PLAN!$B:$AA,10,0),"")</f>
        <v>27</v>
      </c>
      <c r="L783" s="77" t="str">
        <f>IFERROR(VLOOKUP($AA783,PLAN!$B:$AA,15,0),"")</f>
        <v>JAPAN</v>
      </c>
      <c r="M783" s="77">
        <f>IFERROR(VLOOKUP($AA783,PLAN!$B:$AA,18,0),"")</f>
        <v>0</v>
      </c>
      <c r="N783" s="227">
        <f>IFERROR(VLOOKUP($AA783,PLAN!$B:$AA,19,0),"")</f>
        <v>0</v>
      </c>
      <c r="O783" s="77" t="str">
        <f>IFERROR(VLOOKUP($AA783,PLAN!$B:$AA,12,0),"")</f>
        <v>2112096-0-C</v>
      </c>
      <c r="P783" s="77">
        <f>IFERROR(VLOOKUP($AA783,PLAN!$B:$AA,11,0),"")</f>
        <v>12116061</v>
      </c>
      <c r="Q783" s="349" t="s">
        <v>4654</v>
      </c>
      <c r="R783" s="158" t="s">
        <v>4655</v>
      </c>
      <c r="S783" s="149">
        <f t="shared" si="50"/>
        <v>27</v>
      </c>
      <c r="T783" s="131"/>
      <c r="U783" s="78">
        <f>IFERROR(VLOOKUP($AA783,PLAN!$B:$AA,21,0),"")</f>
        <v>46254</v>
      </c>
      <c r="V783" s="78" t="str">
        <f>IFERROR(VLOOKUP($AA783,PLAN!$B:$AA,22,0),"")</f>
        <v>M9</v>
      </c>
      <c r="W783" s="232"/>
      <c r="X783" s="233"/>
      <c r="Y783" s="212"/>
      <c r="Z783" s="350"/>
      <c r="AA783" s="195" t="s">
        <v>4613</v>
      </c>
      <c r="AB783" s="132">
        <f>VLOOKUP(AA783,PLAN!B:V,20,0)</f>
        <v>46254</v>
      </c>
      <c r="AC783" s="132"/>
    </row>
    <row r="784" spans="3:29" s="79" customFormat="1" ht="21.6" customHeight="1">
      <c r="C784" s="249" t="str">
        <f t="shared" si="49"/>
        <v>Aug29-19</v>
      </c>
      <c r="D784" s="77">
        <f>IFERROR(VLOOKUP($AA784,PLAN!$B:$AA,3,0),"")</f>
        <v>11119615</v>
      </c>
      <c r="E784" s="77" t="str">
        <f>IFERROR(VLOOKUP($AA784,PLAN!$B:$AA,4,0),"")</f>
        <v>1911281-D-A</v>
      </c>
      <c r="F784" s="77" t="str">
        <f>IFERROR(VLOOKUP($AA784,PLAN!$B:$AA,5,0),"")</f>
        <v>HJ80JL402P10001 JP</v>
      </c>
      <c r="G784" s="77" t="str">
        <f>IFERROR(VLOOKUP($AA784,PLAN!$B:$AA,2,0),"")</f>
        <v>1001943057</v>
      </c>
      <c r="H784" s="113">
        <f>IFERROR(VLOOKUP($AA784,PLAN!$B:$AA,7,0),"")</f>
        <v>46263</v>
      </c>
      <c r="I784" s="77" t="str">
        <f>IFERROR(VLOOKUP($AA784,PLAN!$B:$AA,8,0),"")</f>
        <v>0103604040</v>
      </c>
      <c r="J784" s="77" t="str">
        <f>IFERROR(VLOOKUP($AA784,PLAN!$B:$AA,9,0),"")</f>
        <v>260813C30A</v>
      </c>
      <c r="K784" s="77">
        <f>IFERROR(VLOOKUP($AA784,PLAN!$B:$AA,10,0),"")</f>
        <v>3</v>
      </c>
      <c r="L784" s="77" t="str">
        <f>IFERROR(VLOOKUP($AA784,PLAN!$B:$AA,15,0),"")</f>
        <v>JAPAN</v>
      </c>
      <c r="M784" s="77">
        <f>IFERROR(VLOOKUP($AA784,PLAN!$B:$AA,18,0),"")</f>
        <v>0</v>
      </c>
      <c r="N784" s="227">
        <f>IFERROR(VLOOKUP($AA784,PLAN!$B:$AA,19,0),"")</f>
        <v>0</v>
      </c>
      <c r="O784" s="77" t="str">
        <f>IFERROR(VLOOKUP($AA784,PLAN!$B:$AA,12,0),"")</f>
        <v>2112283-0-C</v>
      </c>
      <c r="P784" s="77">
        <f>IFERROR(VLOOKUP($AA784,PLAN!$B:$AA,11,0),"")</f>
        <v>12116250</v>
      </c>
      <c r="Q784" s="349" t="s">
        <v>4656</v>
      </c>
      <c r="R784" s="158" t="s">
        <v>4657</v>
      </c>
      <c r="S784" s="149">
        <f t="shared" si="50"/>
        <v>3</v>
      </c>
      <c r="T784" s="131"/>
      <c r="U784" s="78">
        <f>IFERROR(VLOOKUP($AA784,PLAN!$B:$AA,21,0),"")</f>
        <v>46254</v>
      </c>
      <c r="V784" s="78" t="str">
        <f>IFERROR(VLOOKUP($AA784,PLAN!$B:$AA,22,0),"")</f>
        <v>M9</v>
      </c>
      <c r="W784" s="232"/>
      <c r="X784" s="233"/>
      <c r="Y784" s="212"/>
      <c r="Z784" s="350"/>
      <c r="AA784" s="195" t="s">
        <v>4614</v>
      </c>
      <c r="AB784" s="132">
        <f>VLOOKUP(AA784,PLAN!B:V,20,0)</f>
        <v>46254</v>
      </c>
      <c r="AC784" s="132"/>
    </row>
    <row r="785" spans="3:29" s="79" customFormat="1" ht="21.6" customHeight="1">
      <c r="C785" s="249" t="str">
        <f t="shared" si="49"/>
        <v>Aug29-20</v>
      </c>
      <c r="D785" s="77">
        <f>IFERROR(VLOOKUP($AA785,PLAN!$B:$AA,3,0),"")</f>
        <v>11119610</v>
      </c>
      <c r="E785" s="77" t="str">
        <f>IFERROR(VLOOKUP($AA785,PLAN!$B:$AA,4,0),"")</f>
        <v>1911276-D-A</v>
      </c>
      <c r="F785" s="77" t="str">
        <f>IFERROR(VLOOKUP($AA785,PLAN!$B:$AA,5,0),"")</f>
        <v>HJ80JL400P10000 JP</v>
      </c>
      <c r="G785" s="77" t="str">
        <f>IFERROR(VLOOKUP($AA785,PLAN!$B:$AA,2,0),"")</f>
        <v>1001943058</v>
      </c>
      <c r="H785" s="113">
        <f>IFERROR(VLOOKUP($AA785,PLAN!$B:$AA,7,0),"")</f>
        <v>46263</v>
      </c>
      <c r="I785" s="77" t="str">
        <f>IFERROR(VLOOKUP($AA785,PLAN!$B:$AA,8,0),"")</f>
        <v>0103604041</v>
      </c>
      <c r="J785" s="77" t="str">
        <f>IFERROR(VLOOKUP($AA785,PLAN!$B:$AA,9,0),"")</f>
        <v>260813C31A</v>
      </c>
      <c r="K785" s="77">
        <f>IFERROR(VLOOKUP($AA785,PLAN!$B:$AA,10,0),"")</f>
        <v>4</v>
      </c>
      <c r="L785" s="77" t="str">
        <f>IFERROR(VLOOKUP($AA785,PLAN!$B:$AA,15,0),"")</f>
        <v>JAPAN</v>
      </c>
      <c r="M785" s="77">
        <f>IFERROR(VLOOKUP($AA785,PLAN!$B:$AA,18,0),"")</f>
        <v>0</v>
      </c>
      <c r="N785" s="227">
        <f>IFERROR(VLOOKUP($AA785,PLAN!$B:$AA,19,0),"")</f>
        <v>0</v>
      </c>
      <c r="O785" s="77" t="str">
        <f>IFERROR(VLOOKUP($AA785,PLAN!$B:$AA,12,0),"")</f>
        <v>2112278-0-C</v>
      </c>
      <c r="P785" s="77">
        <f>IFERROR(VLOOKUP($AA785,PLAN!$B:$AA,11,0),"")</f>
        <v>12116245</v>
      </c>
      <c r="Q785" s="349" t="s">
        <v>4658</v>
      </c>
      <c r="R785" s="158" t="s">
        <v>4659</v>
      </c>
      <c r="S785" s="149">
        <f t="shared" si="50"/>
        <v>4</v>
      </c>
      <c r="T785" s="131"/>
      <c r="U785" s="78">
        <f>IFERROR(VLOOKUP($AA785,PLAN!$B:$AA,21,0),"")</f>
        <v>46254</v>
      </c>
      <c r="V785" s="78" t="str">
        <f>IFERROR(VLOOKUP($AA785,PLAN!$B:$AA,22,0),"")</f>
        <v>M9</v>
      </c>
      <c r="W785" s="232"/>
      <c r="X785" s="233"/>
      <c r="Y785" s="212"/>
      <c r="Z785" s="350"/>
      <c r="AA785" s="195" t="s">
        <v>4615</v>
      </c>
      <c r="AB785" s="132">
        <f>VLOOKUP(AA785,PLAN!B:V,20,0)</f>
        <v>46254</v>
      </c>
      <c r="AC785" s="132"/>
    </row>
    <row r="786" spans="3:29" s="79" customFormat="1" ht="21.6" customHeight="1">
      <c r="C786" s="249" t="str">
        <f t="shared" si="49"/>
        <v>Aug29-21</v>
      </c>
      <c r="D786" s="77">
        <f>IFERROR(VLOOKUP($AA786,PLAN!$B:$AA,3,0),"")</f>
        <v>11119587</v>
      </c>
      <c r="E786" s="77" t="str">
        <f>IFERROR(VLOOKUP($AA786,PLAN!$B:$AA,4,0),"")</f>
        <v>1911253-D-A</v>
      </c>
      <c r="F786" s="77" t="str">
        <f>IFERROR(VLOOKUP($AA786,PLAN!$B:$AA,5,0),"")</f>
        <v>HJ80AL202P10000 JP</v>
      </c>
      <c r="G786" s="77" t="str">
        <f>IFERROR(VLOOKUP($AA786,PLAN!$B:$AA,2,0),"")</f>
        <v>1001943059</v>
      </c>
      <c r="H786" s="113">
        <f>IFERROR(VLOOKUP($AA786,PLAN!$B:$AA,7,0),"")</f>
        <v>46263</v>
      </c>
      <c r="I786" s="77" t="str">
        <f>IFERROR(VLOOKUP($AA786,PLAN!$B:$AA,8,0),"")</f>
        <v>0103604042</v>
      </c>
      <c r="J786" s="77" t="str">
        <f>IFERROR(VLOOKUP($AA786,PLAN!$B:$AA,9,0),"")</f>
        <v>260813C32A</v>
      </c>
      <c r="K786" s="77">
        <f>IFERROR(VLOOKUP($AA786,PLAN!$B:$AA,10,0),"")</f>
        <v>8</v>
      </c>
      <c r="L786" s="77" t="str">
        <f>IFERROR(VLOOKUP($AA786,PLAN!$B:$AA,15,0),"")</f>
        <v>JAPAN</v>
      </c>
      <c r="M786" s="77">
        <f>IFERROR(VLOOKUP($AA786,PLAN!$B:$AA,18,0),"")</f>
        <v>0</v>
      </c>
      <c r="N786" s="227">
        <f>IFERROR(VLOOKUP($AA786,PLAN!$B:$AA,19,0),"")</f>
        <v>0</v>
      </c>
      <c r="O786" s="77" t="str">
        <f>IFERROR(VLOOKUP($AA786,PLAN!$B:$AA,12,0),"")</f>
        <v>2112255-0-C</v>
      </c>
      <c r="P786" s="77">
        <f>IFERROR(VLOOKUP($AA786,PLAN!$B:$AA,11,0),"")</f>
        <v>12116222</v>
      </c>
      <c r="Q786" s="349" t="s">
        <v>4660</v>
      </c>
      <c r="R786" s="158" t="s">
        <v>4661</v>
      </c>
      <c r="S786" s="149">
        <f t="shared" si="50"/>
        <v>8</v>
      </c>
      <c r="T786" s="131"/>
      <c r="U786" s="78">
        <f>IFERROR(VLOOKUP($AA786,PLAN!$B:$AA,21,0),"")</f>
        <v>46254</v>
      </c>
      <c r="V786" s="78" t="str">
        <f>IFERROR(VLOOKUP($AA786,PLAN!$B:$AA,22,0),"")</f>
        <v>M9</v>
      </c>
      <c r="W786" s="232"/>
      <c r="X786" s="233"/>
      <c r="Y786" s="212"/>
      <c r="Z786" s="350"/>
      <c r="AA786" s="195" t="s">
        <v>4616</v>
      </c>
      <c r="AB786" s="132">
        <f>VLOOKUP(AA786,PLAN!B:V,20,0)</f>
        <v>46254</v>
      </c>
      <c r="AC786" s="132"/>
    </row>
    <row r="787" spans="3:29" s="79" customFormat="1" ht="21.6" customHeight="1">
      <c r="C787" s="249" t="str">
        <f t="shared" si="49"/>
        <v>Aug29-22</v>
      </c>
      <c r="D787" s="77">
        <f>IFERROR(VLOOKUP($AA787,PLAN!$B:$AA,3,0),"")</f>
        <v>11119334</v>
      </c>
      <c r="E787" s="77" t="str">
        <f>IFERROR(VLOOKUP($AA787,PLAN!$B:$AA,4,0),"")</f>
        <v>1911002-D-A</v>
      </c>
      <c r="F787" s="77" t="str">
        <f>IFERROR(VLOOKUP($AA787,PLAN!$B:$AA,5,0),"")</f>
        <v>HJ60AL072P10020 JP</v>
      </c>
      <c r="G787" s="77" t="str">
        <f>IFERROR(VLOOKUP($AA787,PLAN!$B:$AA,2,0),"")</f>
        <v>1001943060</v>
      </c>
      <c r="H787" s="113">
        <f>IFERROR(VLOOKUP($AA787,PLAN!$B:$AA,7,0),"")</f>
        <v>46263</v>
      </c>
      <c r="I787" s="77" t="str">
        <f>IFERROR(VLOOKUP($AA787,PLAN!$B:$AA,8,0),"")</f>
        <v>0103604043</v>
      </c>
      <c r="J787" s="77" t="str">
        <f>IFERROR(VLOOKUP($AA787,PLAN!$B:$AA,9,0),"")</f>
        <v>260813C33A</v>
      </c>
      <c r="K787" s="77">
        <f>IFERROR(VLOOKUP($AA787,PLAN!$B:$AA,10,0),"")</f>
        <v>10</v>
      </c>
      <c r="L787" s="77" t="str">
        <f>IFERROR(VLOOKUP($AA787,PLAN!$B:$AA,15,0),"")</f>
        <v>JAPAN</v>
      </c>
      <c r="M787" s="77">
        <f>IFERROR(VLOOKUP($AA787,PLAN!$B:$AA,18,0),"")</f>
        <v>0</v>
      </c>
      <c r="N787" s="227">
        <f>IFERROR(VLOOKUP($AA787,PLAN!$B:$AA,19,0),"")</f>
        <v>0</v>
      </c>
      <c r="O787" s="77" t="str">
        <f>IFERROR(VLOOKUP($AA787,PLAN!$B:$AA,12,0),"")</f>
        <v>2112004-0-C</v>
      </c>
      <c r="P787" s="77">
        <f>IFERROR(VLOOKUP($AA787,PLAN!$B:$AA,11,0),"")</f>
        <v>12115969</v>
      </c>
      <c r="Q787" s="349" t="s">
        <v>4662</v>
      </c>
      <c r="R787" s="158" t="s">
        <v>4663</v>
      </c>
      <c r="S787" s="149">
        <f t="shared" si="50"/>
        <v>10</v>
      </c>
      <c r="T787" s="131"/>
      <c r="U787" s="78">
        <f>IFERROR(VLOOKUP($AA787,PLAN!$B:$AA,21,0),"")</f>
        <v>46254</v>
      </c>
      <c r="V787" s="78" t="str">
        <f>IFERROR(VLOOKUP($AA787,PLAN!$B:$AA,22,0),"")</f>
        <v>M9</v>
      </c>
      <c r="W787" s="232"/>
      <c r="X787" s="233"/>
      <c r="Y787" s="212"/>
      <c r="Z787" s="350"/>
      <c r="AA787" s="195" t="s">
        <v>4617</v>
      </c>
      <c r="AB787" s="132">
        <f>VLOOKUP(AA787,PLAN!B:V,20,0)</f>
        <v>46254</v>
      </c>
      <c r="AC787" s="132"/>
    </row>
    <row r="788" spans="3:29" s="79" customFormat="1" ht="21.6" customHeight="1">
      <c r="C788" s="249" t="str">
        <f t="shared" si="49"/>
        <v>Aug29-23</v>
      </c>
      <c r="D788" s="77">
        <f>IFERROR(VLOOKUP($AA788,PLAN!$B:$AA,3,0),"")</f>
        <v>11119344</v>
      </c>
      <c r="E788" s="77" t="str">
        <f>IFERROR(VLOOKUP($AA788,PLAN!$B:$AA,4,0),"")</f>
        <v>1911012-D-A</v>
      </c>
      <c r="F788" s="77" t="str">
        <f>IFERROR(VLOOKUP($AA788,PLAN!$B:$AA,5,0),"")</f>
        <v>HJ60AL152P10020 JP</v>
      </c>
      <c r="G788" s="77" t="str">
        <f>IFERROR(VLOOKUP($AA788,PLAN!$B:$AA,2,0),"")</f>
        <v>1001943061</v>
      </c>
      <c r="H788" s="113">
        <f>IFERROR(VLOOKUP($AA788,PLAN!$B:$AA,7,0),"")</f>
        <v>46263</v>
      </c>
      <c r="I788" s="77" t="str">
        <f>IFERROR(VLOOKUP($AA788,PLAN!$B:$AA,8,0),"")</f>
        <v>0103604044</v>
      </c>
      <c r="J788" s="77" t="str">
        <f>IFERROR(VLOOKUP($AA788,PLAN!$B:$AA,9,0),"")</f>
        <v>260813C34A</v>
      </c>
      <c r="K788" s="77">
        <f>IFERROR(VLOOKUP($AA788,PLAN!$B:$AA,10,0),"")</f>
        <v>18</v>
      </c>
      <c r="L788" s="77" t="str">
        <f>IFERROR(VLOOKUP($AA788,PLAN!$B:$AA,15,0),"")</f>
        <v>JAPAN</v>
      </c>
      <c r="M788" s="77">
        <f>IFERROR(VLOOKUP($AA788,PLAN!$B:$AA,18,0),"")</f>
        <v>0</v>
      </c>
      <c r="N788" s="227">
        <f>IFERROR(VLOOKUP($AA788,PLAN!$B:$AA,19,0),"")</f>
        <v>0</v>
      </c>
      <c r="O788" s="77" t="str">
        <f>IFERROR(VLOOKUP($AA788,PLAN!$B:$AA,12,0),"")</f>
        <v>2112014-0-C</v>
      </c>
      <c r="P788" s="77">
        <f>IFERROR(VLOOKUP($AA788,PLAN!$B:$AA,11,0),"")</f>
        <v>12115979</v>
      </c>
      <c r="Q788" s="349" t="s">
        <v>4664</v>
      </c>
      <c r="R788" s="158" t="s">
        <v>4665</v>
      </c>
      <c r="S788" s="149">
        <f t="shared" si="50"/>
        <v>18</v>
      </c>
      <c r="T788" s="131"/>
      <c r="U788" s="78">
        <f>IFERROR(VLOOKUP($AA788,PLAN!$B:$AA,21,0),"")</f>
        <v>46254</v>
      </c>
      <c r="V788" s="78" t="str">
        <f>IFERROR(VLOOKUP($AA788,PLAN!$B:$AA,22,0),"")</f>
        <v>M9</v>
      </c>
      <c r="W788" s="232"/>
      <c r="X788" s="233"/>
      <c r="Y788" s="212"/>
      <c r="Z788" s="350"/>
      <c r="AA788" s="195" t="s">
        <v>4618</v>
      </c>
      <c r="AB788" s="132">
        <f>VLOOKUP(AA788,PLAN!B:V,20,0)</f>
        <v>46254</v>
      </c>
      <c r="AC788" s="132"/>
    </row>
    <row r="789" spans="3:29" s="79" customFormat="1" ht="21.6" customHeight="1">
      <c r="C789" s="249" t="str">
        <f t="shared" si="21"/>
        <v>Aug29-24</v>
      </c>
      <c r="D789" s="77">
        <f>IFERROR(VLOOKUP($AA789,PLAN!$B:$AA,3,0),"")</f>
        <v>11119414</v>
      </c>
      <c r="E789" s="77" t="str">
        <f>IFERROR(VLOOKUP($AA789,PLAN!$B:$AA,4,0),"")</f>
        <v>1911082-D-A</v>
      </c>
      <c r="F789" s="77" t="str">
        <f>IFERROR(VLOOKUP($AA789,PLAN!$B:$AA,5,0),"")</f>
        <v>HJ60AL072P10022 JP</v>
      </c>
      <c r="G789" s="77" t="str">
        <f>IFERROR(VLOOKUP($AA789,PLAN!$B:$AA,2,0),"")</f>
        <v>1001943062</v>
      </c>
      <c r="H789" s="113">
        <f>IFERROR(VLOOKUP($AA789,PLAN!$B:$AA,7,0),"")</f>
        <v>46263</v>
      </c>
      <c r="I789" s="77" t="str">
        <f>IFERROR(VLOOKUP($AA789,PLAN!$B:$AA,8,0),"")</f>
        <v>0103604045</v>
      </c>
      <c r="J789" s="77" t="str">
        <f>IFERROR(VLOOKUP($AA789,PLAN!$B:$AA,9,0),"")</f>
        <v>260813C35A</v>
      </c>
      <c r="K789" s="77">
        <f>IFERROR(VLOOKUP($AA789,PLAN!$B:$AA,10,0),"")</f>
        <v>19</v>
      </c>
      <c r="L789" s="77" t="str">
        <f>IFERROR(VLOOKUP($AA789,PLAN!$B:$AA,15,0),"")</f>
        <v>JAPAN</v>
      </c>
      <c r="M789" s="77">
        <f>IFERROR(VLOOKUP($AA789,PLAN!$B:$AA,18,0),"")</f>
        <v>0</v>
      </c>
      <c r="N789" s="227">
        <f>IFERROR(VLOOKUP($AA789,PLAN!$B:$AA,19,0),"")</f>
        <v>0</v>
      </c>
      <c r="O789" s="77" t="str">
        <f>IFERROR(VLOOKUP($AA789,PLAN!$B:$AA,12,0),"")</f>
        <v>2112084-0-C</v>
      </c>
      <c r="P789" s="77">
        <f>IFERROR(VLOOKUP($AA789,PLAN!$B:$AA,11,0),"")</f>
        <v>12116049</v>
      </c>
      <c r="Q789" s="349" t="s">
        <v>4666</v>
      </c>
      <c r="R789" s="158" t="s">
        <v>4667</v>
      </c>
      <c r="S789" s="149">
        <f t="shared" si="22"/>
        <v>19</v>
      </c>
      <c r="T789" s="131"/>
      <c r="U789" s="78">
        <f>IFERROR(VLOOKUP($AA789,PLAN!$B:$AA,21,0),"")</f>
        <v>46254</v>
      </c>
      <c r="V789" s="78" t="str">
        <f>IFERROR(VLOOKUP($AA789,PLAN!$B:$AA,22,0),"")</f>
        <v>M9</v>
      </c>
      <c r="W789" s="232"/>
      <c r="X789" s="233"/>
      <c r="Y789" s="212"/>
      <c r="Z789" s="350"/>
      <c r="AA789" s="195" t="s">
        <v>4619</v>
      </c>
      <c r="AB789" s="132">
        <f>VLOOKUP(AA789,PLAN!B:V,20,0)</f>
        <v>46254</v>
      </c>
      <c r="AC789" s="132"/>
    </row>
    <row r="790" spans="3:29" s="79" customFormat="1" ht="21.6" customHeight="1">
      <c r="C790" s="249" t="str">
        <f t="shared" si="21"/>
        <v>Aug29-25</v>
      </c>
      <c r="D790" s="77">
        <f>IFERROR(VLOOKUP($AA790,PLAN!$B:$AA,3,0),"")</f>
        <v>11119493</v>
      </c>
      <c r="E790" s="77" t="str">
        <f>IFERROR(VLOOKUP($AA790,PLAN!$B:$AA,4,0),"")</f>
        <v>1911159-D-A</v>
      </c>
      <c r="F790" s="77" t="str">
        <f>IFERROR(VLOOKUP($AA790,PLAN!$B:$AA,5,0),"")</f>
        <v>HJ70JL402P10021 JP</v>
      </c>
      <c r="G790" s="77" t="str">
        <f>IFERROR(VLOOKUP($AA790,PLAN!$B:$AA,2,0),"")</f>
        <v>1001943063</v>
      </c>
      <c r="H790" s="113">
        <f>IFERROR(VLOOKUP($AA790,PLAN!$B:$AA,7,0),"")</f>
        <v>46263</v>
      </c>
      <c r="I790" s="77" t="str">
        <f>IFERROR(VLOOKUP($AA790,PLAN!$B:$AA,8,0),"")</f>
        <v>0103604046</v>
      </c>
      <c r="J790" s="77" t="str">
        <f>IFERROR(VLOOKUP($AA790,PLAN!$B:$AA,9,0),"")</f>
        <v>260813C36A</v>
      </c>
      <c r="K790" s="77">
        <f>IFERROR(VLOOKUP($AA790,PLAN!$B:$AA,10,0),"")</f>
        <v>21</v>
      </c>
      <c r="L790" s="77" t="str">
        <f>IFERROR(VLOOKUP($AA790,PLAN!$B:$AA,15,0),"")</f>
        <v>JAPAN</v>
      </c>
      <c r="M790" s="77">
        <f>IFERROR(VLOOKUP($AA790,PLAN!$B:$AA,18,0),"")</f>
        <v>0</v>
      </c>
      <c r="N790" s="227">
        <f>IFERROR(VLOOKUP($AA790,PLAN!$B:$AA,19,0),"")</f>
        <v>0</v>
      </c>
      <c r="O790" s="77" t="str">
        <f>IFERROR(VLOOKUP($AA790,PLAN!$B:$AA,12,0),"")</f>
        <v>2112161-0-C</v>
      </c>
      <c r="P790" s="77">
        <f>IFERROR(VLOOKUP($AA790,PLAN!$B:$AA,11,0),"")</f>
        <v>12116128</v>
      </c>
      <c r="Q790" s="349" t="s">
        <v>4668</v>
      </c>
      <c r="R790" s="158" t="s">
        <v>4669</v>
      </c>
      <c r="S790" s="149">
        <f t="shared" si="22"/>
        <v>21</v>
      </c>
      <c r="T790" s="131"/>
      <c r="U790" s="78">
        <f>IFERROR(VLOOKUP($AA790,PLAN!$B:$AA,21,0),"")</f>
        <v>46254</v>
      </c>
      <c r="V790" s="78" t="str">
        <f>IFERROR(VLOOKUP($AA790,PLAN!$B:$AA,22,0),"")</f>
        <v>M9</v>
      </c>
      <c r="W790" s="232"/>
      <c r="X790" s="233"/>
      <c r="Y790" s="212"/>
      <c r="Z790" s="350"/>
      <c r="AA790" s="195" t="s">
        <v>4620</v>
      </c>
      <c r="AB790" s="132">
        <f>VLOOKUP(AA790,PLAN!B:V,20,0)</f>
        <v>46254</v>
      </c>
      <c r="AC790" s="132"/>
    </row>
    <row r="791" spans="3:29" s="79" customFormat="1" ht="21.6" customHeight="1">
      <c r="C791" s="249" t="str">
        <f t="shared" si="21"/>
        <v>Aug29-26</v>
      </c>
      <c r="D791" s="77">
        <f>IFERROR(VLOOKUP($AA791,PLAN!$B:$AA,3,0),"")</f>
        <v>11119379</v>
      </c>
      <c r="E791" s="77" t="str">
        <f>IFERROR(VLOOKUP($AA791,PLAN!$B:$AA,4,0),"")</f>
        <v>1911047-D-A</v>
      </c>
      <c r="F791" s="77" t="str">
        <f>IFERROR(VLOOKUP($AA791,PLAN!$B:$AA,5,0),"")</f>
        <v>HJ60JL400P10001 JP</v>
      </c>
      <c r="G791" s="77" t="str">
        <f>IFERROR(VLOOKUP($AA791,PLAN!$B:$AA,2,0),"")</f>
        <v>1001943064</v>
      </c>
      <c r="H791" s="113">
        <f>IFERROR(VLOOKUP($AA791,PLAN!$B:$AA,7,0),"")</f>
        <v>46263</v>
      </c>
      <c r="I791" s="77" t="str">
        <f>IFERROR(VLOOKUP($AA791,PLAN!$B:$AA,8,0),"")</f>
        <v>0103604047</v>
      </c>
      <c r="J791" s="77" t="str">
        <f>IFERROR(VLOOKUP($AA791,PLAN!$B:$AA,9,0),"")</f>
        <v>260813C37A</v>
      </c>
      <c r="K791" s="77">
        <f>IFERROR(VLOOKUP($AA791,PLAN!$B:$AA,10,0),"")</f>
        <v>42</v>
      </c>
      <c r="L791" s="77" t="str">
        <f>IFERROR(VLOOKUP($AA791,PLAN!$B:$AA,15,0),"")</f>
        <v>JAPAN</v>
      </c>
      <c r="M791" s="77">
        <f>IFERROR(VLOOKUP($AA791,PLAN!$B:$AA,18,0),"")</f>
        <v>0</v>
      </c>
      <c r="N791" s="227">
        <f>IFERROR(VLOOKUP($AA791,PLAN!$B:$AA,19,0),"")</f>
        <v>0</v>
      </c>
      <c r="O791" s="77" t="str">
        <f>IFERROR(VLOOKUP($AA791,PLAN!$B:$AA,12,0),"")</f>
        <v>2112049-0-C</v>
      </c>
      <c r="P791" s="77">
        <f>IFERROR(VLOOKUP($AA791,PLAN!$B:$AA,11,0),"")</f>
        <v>12116014</v>
      </c>
      <c r="Q791" s="349" t="s">
        <v>4670</v>
      </c>
      <c r="R791" s="158" t="s">
        <v>4671</v>
      </c>
      <c r="S791" s="149">
        <f t="shared" si="22"/>
        <v>42</v>
      </c>
      <c r="T791" s="131"/>
      <c r="U791" s="78">
        <f>IFERROR(VLOOKUP($AA791,PLAN!$B:$AA,21,0),"")</f>
        <v>46254</v>
      </c>
      <c r="V791" s="78" t="str">
        <f>IFERROR(VLOOKUP($AA791,PLAN!$B:$AA,22,0),"")</f>
        <v>M9</v>
      </c>
      <c r="W791" s="232"/>
      <c r="X791" s="233"/>
      <c r="Y791" s="212"/>
      <c r="Z791" s="350"/>
      <c r="AA791" s="195" t="s">
        <v>4621</v>
      </c>
      <c r="AB791" s="132">
        <f>VLOOKUP(AA791,PLAN!B:V,20,0)</f>
        <v>46254</v>
      </c>
      <c r="AC791" s="132"/>
    </row>
    <row r="792" spans="3:29" s="79" customFormat="1" ht="21.6" customHeight="1">
      <c r="C792" s="249" t="str">
        <f t="shared" si="21"/>
        <v>Aug29-27</v>
      </c>
      <c r="D792" s="77">
        <f>IFERROR(VLOOKUP($AA792,PLAN!$B:$AA,3,0),"")</f>
        <v>11119576</v>
      </c>
      <c r="E792" s="77" t="str">
        <f>IFERROR(VLOOKUP($AA792,PLAN!$B:$AA,4,0),"")</f>
        <v>1911242-D-A</v>
      </c>
      <c r="F792" s="77" t="str">
        <f>IFERROR(VLOOKUP($AA792,PLAN!$B:$AA,5,0),"")</f>
        <v>HJ80AL102P10000 JP</v>
      </c>
      <c r="G792" s="77" t="str">
        <f>IFERROR(VLOOKUP($AA792,PLAN!$B:$AA,2,0),"")</f>
        <v>1001943065</v>
      </c>
      <c r="H792" s="113">
        <f>IFERROR(VLOOKUP($AA792,PLAN!$B:$AA,7,0),"")</f>
        <v>46263</v>
      </c>
      <c r="I792" s="77" t="str">
        <f>IFERROR(VLOOKUP($AA792,PLAN!$B:$AA,8,0),"")</f>
        <v>0103604049</v>
      </c>
      <c r="J792" s="77" t="str">
        <f>IFERROR(VLOOKUP($AA792,PLAN!$B:$AA,9,0),"")</f>
        <v>260813C38A</v>
      </c>
      <c r="K792" s="77">
        <f>IFERROR(VLOOKUP($AA792,PLAN!$B:$AA,10,0),"")</f>
        <v>56</v>
      </c>
      <c r="L792" s="77" t="str">
        <f>IFERROR(VLOOKUP($AA792,PLAN!$B:$AA,15,0),"")</f>
        <v>JAPAN</v>
      </c>
      <c r="M792" s="77">
        <f>IFERROR(VLOOKUP($AA792,PLAN!$B:$AA,18,0),"")</f>
        <v>0</v>
      </c>
      <c r="N792" s="227">
        <f>IFERROR(VLOOKUP($AA792,PLAN!$B:$AA,19,0),"")</f>
        <v>0</v>
      </c>
      <c r="O792" s="77" t="str">
        <f>IFERROR(VLOOKUP($AA792,PLAN!$B:$AA,12,0),"")</f>
        <v>2112244-0-C</v>
      </c>
      <c r="P792" s="77">
        <f>IFERROR(VLOOKUP($AA792,PLAN!$B:$AA,11,0),"")</f>
        <v>12116211</v>
      </c>
      <c r="Q792" s="349" t="s">
        <v>4672</v>
      </c>
      <c r="R792" s="149" t="s">
        <v>4673</v>
      </c>
      <c r="S792" s="223">
        <v>5</v>
      </c>
      <c r="T792" s="131"/>
      <c r="U792" s="78">
        <f>IFERROR(VLOOKUP($AA792,PLAN!$B:$AA,21,0),"")</f>
        <v>46254</v>
      </c>
      <c r="V792" s="78" t="str">
        <f>IFERROR(VLOOKUP($AA792,PLAN!$B:$AA,22,0),"")</f>
        <v>M9</v>
      </c>
      <c r="W792" s="232"/>
      <c r="X792" s="233"/>
      <c r="Y792" s="212"/>
      <c r="Z792" s="350"/>
      <c r="AA792" s="195" t="s">
        <v>4622</v>
      </c>
      <c r="AB792" s="132">
        <f>VLOOKUP(AA792,PLAN!B:V,20,0)</f>
        <v>46254</v>
      </c>
      <c r="AC792" s="132"/>
    </row>
    <row r="793" spans="3:29" s="79" customFormat="1" ht="21.6" customHeight="1">
      <c r="C793" s="249"/>
      <c r="D793" s="77"/>
      <c r="E793" s="77"/>
      <c r="F793" s="77"/>
      <c r="G793" s="77"/>
      <c r="H793" s="113"/>
      <c r="I793" s="77"/>
      <c r="J793" s="77"/>
      <c r="K793" s="77"/>
      <c r="L793" s="77"/>
      <c r="M793" s="77"/>
      <c r="N793" s="227"/>
      <c r="O793" s="77"/>
      <c r="P793" s="77"/>
      <c r="Q793" s="349" t="s">
        <v>4674</v>
      </c>
      <c r="R793" s="158" t="s">
        <v>4675</v>
      </c>
      <c r="S793" s="223">
        <v>51</v>
      </c>
      <c r="T793" s="131"/>
      <c r="U793" s="78"/>
      <c r="V793" s="78"/>
      <c r="W793" s="232"/>
      <c r="X793" s="233"/>
      <c r="Y793" s="212"/>
      <c r="Z793" s="350"/>
      <c r="AA793" s="195"/>
      <c r="AB793" s="132">
        <v>46254</v>
      </c>
      <c r="AC793" s="132"/>
    </row>
    <row r="794" spans="3:29" s="79" customFormat="1" ht="21.6" customHeight="1">
      <c r="C794" s="249" t="str">
        <f t="shared" si="21"/>
        <v>Aug29-28</v>
      </c>
      <c r="D794" s="77">
        <f>IFERROR(VLOOKUP($AA794,PLAN!$B:$AA,3,0),"")</f>
        <v>11119442</v>
      </c>
      <c r="E794" s="77" t="str">
        <f>IFERROR(VLOOKUP($AA794,PLAN!$B:$AA,4,0),"")</f>
        <v>1911108-D-A</v>
      </c>
      <c r="F794" s="77" t="str">
        <f>IFERROR(VLOOKUP($AA794,PLAN!$B:$AA,5,0),"")</f>
        <v>HJ70AL100P10020 JP</v>
      </c>
      <c r="G794" s="77" t="str">
        <f>IFERROR(VLOOKUP($AA794,PLAN!$B:$AA,2,0),"")</f>
        <v>1001943066</v>
      </c>
      <c r="H794" s="113">
        <f>IFERROR(VLOOKUP($AA794,PLAN!$B:$AA,7,0),"")</f>
        <v>46263</v>
      </c>
      <c r="I794" s="77" t="str">
        <f>IFERROR(VLOOKUP($AA794,PLAN!$B:$AA,8,0),"")</f>
        <v>0103604050</v>
      </c>
      <c r="J794" s="77" t="str">
        <f>IFERROR(VLOOKUP($AA794,PLAN!$B:$AA,9,0),"")</f>
        <v>260813C39A</v>
      </c>
      <c r="K794" s="77">
        <f>IFERROR(VLOOKUP($AA794,PLAN!$B:$AA,10,0),"")</f>
        <v>72</v>
      </c>
      <c r="L794" s="77" t="str">
        <f>IFERROR(VLOOKUP($AA794,PLAN!$B:$AA,15,0),"")</f>
        <v>JAPAN</v>
      </c>
      <c r="M794" s="77">
        <f>IFERROR(VLOOKUP($AA794,PLAN!$B:$AA,18,0),"")</f>
        <v>0</v>
      </c>
      <c r="N794" s="227">
        <f>IFERROR(VLOOKUP($AA794,PLAN!$B:$AA,19,0),"")</f>
        <v>0</v>
      </c>
      <c r="O794" s="77" t="str">
        <f>IFERROR(VLOOKUP($AA794,PLAN!$B:$AA,12,0),"")</f>
        <v>2112110-0-C</v>
      </c>
      <c r="P794" s="77">
        <f>IFERROR(VLOOKUP($AA794,PLAN!$B:$AA,11,0),"")</f>
        <v>12116077</v>
      </c>
      <c r="Q794" s="349" t="s">
        <v>4676</v>
      </c>
      <c r="R794" s="158" t="s">
        <v>4677</v>
      </c>
      <c r="S794" s="149">
        <f t="shared" si="22"/>
        <v>72</v>
      </c>
      <c r="T794" s="131"/>
      <c r="U794" s="78">
        <f>IFERROR(VLOOKUP($AA794,PLAN!$B:$AA,21,0),"")</f>
        <v>46254</v>
      </c>
      <c r="V794" s="78" t="str">
        <f>IFERROR(VLOOKUP($AA794,PLAN!$B:$AA,22,0),"")</f>
        <v>M9</v>
      </c>
      <c r="W794" s="232"/>
      <c r="X794" s="233"/>
      <c r="Y794" s="212"/>
      <c r="Z794" s="350"/>
      <c r="AA794" s="195" t="s">
        <v>4623</v>
      </c>
      <c r="AB794" s="132">
        <f>VLOOKUP(AA794,PLAN!B:V,20,0)</f>
        <v>46254</v>
      </c>
      <c r="AC794" s="132"/>
    </row>
    <row r="795" spans="3:29" s="79" customFormat="1" ht="21.6" customHeight="1">
      <c r="C795" s="249" t="str">
        <f t="shared" si="21"/>
        <v>Aug29-29</v>
      </c>
      <c r="D795" s="77">
        <f>IFERROR(VLOOKUP($AA795,PLAN!$B:$AA,3,0),"")</f>
        <v>11119389</v>
      </c>
      <c r="E795" s="77" t="str">
        <f>IFERROR(VLOOKUP($AA795,PLAN!$B:$AA,4,0),"")</f>
        <v>1911057-D-A</v>
      </c>
      <c r="F795" s="77" t="str">
        <f>IFERROR(VLOOKUP($AA795,PLAN!$B:$AA,5,0),"")</f>
        <v>HJ60JR350P10020 JP</v>
      </c>
      <c r="G795" s="77" t="str">
        <f>IFERROR(VLOOKUP($AA795,PLAN!$B:$AA,2,0),"")</f>
        <v>1001943067</v>
      </c>
      <c r="H795" s="113">
        <f>IFERROR(VLOOKUP($AA795,PLAN!$B:$AA,7,0),"")</f>
        <v>46263</v>
      </c>
      <c r="I795" s="77" t="str">
        <f>IFERROR(VLOOKUP($AA795,PLAN!$B:$AA,8,0),"")</f>
        <v>0103604051</v>
      </c>
      <c r="J795" s="77" t="str">
        <f>IFERROR(VLOOKUP($AA795,PLAN!$B:$AA,9,0),"")</f>
        <v>260813C40A</v>
      </c>
      <c r="K795" s="77">
        <f>IFERROR(VLOOKUP($AA795,PLAN!$B:$AA,10,0),"")</f>
        <v>88</v>
      </c>
      <c r="L795" s="77" t="str">
        <f>IFERROR(VLOOKUP($AA795,PLAN!$B:$AA,15,0),"")</f>
        <v>JAPAN</v>
      </c>
      <c r="M795" s="77">
        <f>IFERROR(VLOOKUP($AA795,PLAN!$B:$AA,18,0),"")</f>
        <v>0</v>
      </c>
      <c r="N795" s="227">
        <f>IFERROR(VLOOKUP($AA795,PLAN!$B:$AA,19,0),"")</f>
        <v>0</v>
      </c>
      <c r="O795" s="77" t="str">
        <f>IFERROR(VLOOKUP($AA795,PLAN!$B:$AA,12,0),"")</f>
        <v>2112059-0-C</v>
      </c>
      <c r="P795" s="77">
        <f>IFERROR(VLOOKUP($AA795,PLAN!$B:$AA,11,0),"")</f>
        <v>12116024</v>
      </c>
      <c r="Q795" s="277" t="s">
        <v>4678</v>
      </c>
      <c r="R795" s="149" t="s">
        <v>4679</v>
      </c>
      <c r="S795" s="223">
        <v>13</v>
      </c>
      <c r="T795" s="131"/>
      <c r="U795" s="78">
        <f>IFERROR(VLOOKUP($AA795,PLAN!$B:$AA,21,0),"")</f>
        <v>46254</v>
      </c>
      <c r="V795" s="78" t="str">
        <f>IFERROR(VLOOKUP($AA795,PLAN!$B:$AA,22,0),"")</f>
        <v>M9</v>
      </c>
      <c r="W795" s="232"/>
      <c r="X795" s="233"/>
      <c r="Y795" s="212"/>
      <c r="Z795" s="350"/>
      <c r="AA795" s="195" t="s">
        <v>4624</v>
      </c>
      <c r="AB795" s="132">
        <f>VLOOKUP(AA795,PLAN!B:V,20,0)</f>
        <v>46254</v>
      </c>
      <c r="AC795" s="132"/>
    </row>
    <row r="796" spans="3:29" s="79" customFormat="1" ht="21.6" customHeight="1">
      <c r="C796" s="249"/>
      <c r="D796" s="77"/>
      <c r="E796" s="77"/>
      <c r="F796" s="77"/>
      <c r="G796" s="77"/>
      <c r="H796" s="113"/>
      <c r="I796" s="77"/>
      <c r="J796" s="77"/>
      <c r="K796" s="77"/>
      <c r="L796" s="77"/>
      <c r="M796" s="77"/>
      <c r="N796" s="227"/>
      <c r="O796" s="77"/>
      <c r="P796" s="77"/>
      <c r="Q796" s="349" t="s">
        <v>4680</v>
      </c>
      <c r="R796" s="158" t="s">
        <v>4681</v>
      </c>
      <c r="S796" s="223">
        <f>K795-S795</f>
        <v>75</v>
      </c>
      <c r="T796" s="131"/>
      <c r="U796" s="78"/>
      <c r="V796" s="78"/>
      <c r="W796" s="232"/>
      <c r="X796" s="233"/>
      <c r="Y796" s="212"/>
      <c r="Z796" s="350"/>
      <c r="AA796" s="195"/>
      <c r="AB796" s="132">
        <v>46254</v>
      </c>
      <c r="AC796" s="132"/>
    </row>
    <row r="797" spans="3:29" s="79" customFormat="1" ht="21.6" customHeight="1">
      <c r="C797" s="249" t="str">
        <f t="shared" si="21"/>
        <v>Aug29-30</v>
      </c>
      <c r="D797" s="77">
        <f>IFERROR(VLOOKUP($AA797,PLAN!$B:$AA,3,0),"")</f>
        <v>11119339</v>
      </c>
      <c r="E797" s="77" t="str">
        <f>IFERROR(VLOOKUP($AA797,PLAN!$B:$AA,4,0),"")</f>
        <v>1911007-D-A</v>
      </c>
      <c r="F797" s="77" t="str">
        <f>IFERROR(VLOOKUP($AA797,PLAN!$B:$AA,5,0),"")</f>
        <v>HJ60AL102P10020 JP</v>
      </c>
      <c r="G797" s="77" t="str">
        <f>IFERROR(VLOOKUP($AA797,PLAN!$B:$AA,2,0),"")</f>
        <v>1001943068</v>
      </c>
      <c r="H797" s="113">
        <f>IFERROR(VLOOKUP($AA797,PLAN!$B:$AA,7,0),"")</f>
        <v>46263</v>
      </c>
      <c r="I797" s="77" t="str">
        <f>IFERROR(VLOOKUP($AA797,PLAN!$B:$AA,8,0),"")</f>
        <v>0103604052</v>
      </c>
      <c r="J797" s="77" t="str">
        <f>IFERROR(VLOOKUP($AA797,PLAN!$B:$AA,9,0),"")</f>
        <v>260813C41A</v>
      </c>
      <c r="K797" s="77">
        <f>IFERROR(VLOOKUP($AA797,PLAN!$B:$AA,10,0),"")</f>
        <v>121</v>
      </c>
      <c r="L797" s="77" t="str">
        <f>IFERROR(VLOOKUP($AA797,PLAN!$B:$AA,15,0),"")</f>
        <v>JAPAN</v>
      </c>
      <c r="M797" s="77">
        <f>IFERROR(VLOOKUP($AA797,PLAN!$B:$AA,18,0),"")</f>
        <v>0</v>
      </c>
      <c r="N797" s="227">
        <f>IFERROR(VLOOKUP($AA797,PLAN!$B:$AA,19,0),"")</f>
        <v>0</v>
      </c>
      <c r="O797" s="77" t="str">
        <f>IFERROR(VLOOKUP($AA797,PLAN!$B:$AA,12,0),"")</f>
        <v>2112009-0-C</v>
      </c>
      <c r="P797" s="77">
        <f>IFERROR(VLOOKUP($AA797,PLAN!$B:$AA,11,0),"")</f>
        <v>12115974</v>
      </c>
      <c r="Q797" s="349" t="s">
        <v>4682</v>
      </c>
      <c r="R797" s="158" t="s">
        <v>4683</v>
      </c>
      <c r="S797" s="223">
        <v>100</v>
      </c>
      <c r="T797" s="131"/>
      <c r="U797" s="78">
        <f>IFERROR(VLOOKUP($AA797,PLAN!$B:$AA,21,0),"")</f>
        <v>46254</v>
      </c>
      <c r="V797" s="78" t="str">
        <f>IFERROR(VLOOKUP($AA797,PLAN!$B:$AA,22,0),"")</f>
        <v>M9</v>
      </c>
      <c r="W797" s="232"/>
      <c r="X797" s="233"/>
      <c r="Y797" s="212"/>
      <c r="Z797" s="350"/>
      <c r="AA797" s="195" t="s">
        <v>4625</v>
      </c>
      <c r="AB797" s="132">
        <f>VLOOKUP(AA797,PLAN!B:V,20,0)</f>
        <v>46254</v>
      </c>
      <c r="AC797" s="132"/>
    </row>
    <row r="798" spans="3:29" s="79" customFormat="1" ht="21.6" customHeight="1">
      <c r="C798" s="249"/>
      <c r="D798" s="77"/>
      <c r="E798" s="77"/>
      <c r="F798" s="77"/>
      <c r="G798" s="77"/>
      <c r="H798" s="113"/>
      <c r="I798" s="77"/>
      <c r="J798" s="77"/>
      <c r="K798" s="77"/>
      <c r="L798" s="77"/>
      <c r="M798" s="77"/>
      <c r="N798" s="227"/>
      <c r="O798" s="77"/>
      <c r="P798" s="77"/>
      <c r="Q798" s="349" t="s">
        <v>4684</v>
      </c>
      <c r="R798" s="158" t="s">
        <v>4685</v>
      </c>
      <c r="S798" s="223">
        <v>4</v>
      </c>
      <c r="T798" s="131"/>
      <c r="U798" s="78"/>
      <c r="V798" s="78"/>
      <c r="W798" s="232"/>
      <c r="X798" s="233"/>
      <c r="Y798" s="212"/>
      <c r="Z798" s="350"/>
      <c r="AA798" s="195"/>
      <c r="AB798" s="132">
        <v>46254</v>
      </c>
      <c r="AC798" s="132"/>
    </row>
    <row r="799" spans="3:29" s="79" customFormat="1" ht="21.6" customHeight="1">
      <c r="C799" s="249"/>
      <c r="D799" s="77"/>
      <c r="E799" s="77"/>
      <c r="F799" s="77"/>
      <c r="G799" s="77"/>
      <c r="H799" s="113"/>
      <c r="I799" s="77"/>
      <c r="J799" s="77"/>
      <c r="K799" s="77"/>
      <c r="L799" s="77"/>
      <c r="M799" s="77"/>
      <c r="N799" s="227"/>
      <c r="O799" s="77"/>
      <c r="P799" s="77"/>
      <c r="Q799" s="349" t="s">
        <v>4686</v>
      </c>
      <c r="R799" s="158" t="s">
        <v>4687</v>
      </c>
      <c r="S799" s="223">
        <v>17</v>
      </c>
      <c r="T799" s="131"/>
      <c r="U799" s="78"/>
      <c r="V799" s="78"/>
      <c r="W799" s="232"/>
      <c r="X799" s="233"/>
      <c r="Y799" s="212"/>
      <c r="Z799" s="350"/>
      <c r="AA799" s="195"/>
      <c r="AB799" s="132">
        <v>46254</v>
      </c>
      <c r="AC799" s="132"/>
    </row>
    <row r="800" spans="3:29" s="79" customFormat="1" ht="21.6" customHeight="1">
      <c r="C800" s="249" t="str">
        <f t="shared" si="21"/>
        <v>Aug29-31</v>
      </c>
      <c r="D800" s="77">
        <f>IFERROR(VLOOKUP($AA800,PLAN!$B:$AA,3,0),"")</f>
        <v>11119539</v>
      </c>
      <c r="E800" s="77" t="str">
        <f>IFERROR(VLOOKUP($AA800,PLAN!$B:$AA,4,0),"")</f>
        <v>1911205-D-A</v>
      </c>
      <c r="F800" s="77" t="str">
        <f>IFERROR(VLOOKUP($AA800,PLAN!$B:$AA,5,0),"")</f>
        <v>HJ70AL100P10022 JP</v>
      </c>
      <c r="G800" s="77" t="str">
        <f>IFERROR(VLOOKUP($AA800,PLAN!$B:$AA,2,0),"")</f>
        <v>1001943069</v>
      </c>
      <c r="H800" s="113">
        <f>IFERROR(VLOOKUP($AA800,PLAN!$B:$AA,7,0),"")</f>
        <v>46263</v>
      </c>
      <c r="I800" s="77" t="str">
        <f>IFERROR(VLOOKUP($AA800,PLAN!$B:$AA,8,0),"")</f>
        <v>0103604053</v>
      </c>
      <c r="J800" s="77" t="str">
        <f>IFERROR(VLOOKUP($AA800,PLAN!$B:$AA,9,0),"")</f>
        <v>260813C42A</v>
      </c>
      <c r="K800" s="77">
        <f>IFERROR(VLOOKUP($AA800,PLAN!$B:$AA,10,0),"")</f>
        <v>128</v>
      </c>
      <c r="L800" s="77" t="str">
        <f>IFERROR(VLOOKUP($AA800,PLAN!$B:$AA,15,0),"")</f>
        <v>JAPAN</v>
      </c>
      <c r="M800" s="77">
        <f>IFERROR(VLOOKUP($AA800,PLAN!$B:$AA,18,0),"")</f>
        <v>0</v>
      </c>
      <c r="N800" s="227">
        <f>IFERROR(VLOOKUP($AA800,PLAN!$B:$AA,19,0),"")</f>
        <v>0</v>
      </c>
      <c r="O800" s="77" t="str">
        <f>IFERROR(VLOOKUP($AA800,PLAN!$B:$AA,12,0),"")</f>
        <v>2112207-0-C</v>
      </c>
      <c r="P800" s="77">
        <f>IFERROR(VLOOKUP($AA800,PLAN!$B:$AA,11,0),"")</f>
        <v>12116174</v>
      </c>
      <c r="Q800" s="349" t="s">
        <v>3747</v>
      </c>
      <c r="R800" s="149" t="s">
        <v>3748</v>
      </c>
      <c r="S800" s="223">
        <v>1</v>
      </c>
      <c r="T800" s="131"/>
      <c r="U800" s="78">
        <f>IFERROR(VLOOKUP($AA800,PLAN!$B:$AA,21,0),"")</f>
        <v>46254</v>
      </c>
      <c r="V800" s="78" t="str">
        <f>IFERROR(VLOOKUP($AA800,PLAN!$B:$AA,22,0),"")</f>
        <v>M9</v>
      </c>
      <c r="W800" s="232"/>
      <c r="X800" s="233"/>
      <c r="Y800" s="212"/>
      <c r="Z800" s="350"/>
      <c r="AA800" s="195" t="s">
        <v>4626</v>
      </c>
      <c r="AB800" s="132">
        <f>VLOOKUP(AA800,PLAN!B:V,20,0)</f>
        <v>46254</v>
      </c>
      <c r="AC800" s="132"/>
    </row>
    <row r="801" spans="3:29" s="79" customFormat="1" ht="21.6" customHeight="1">
      <c r="C801" s="249"/>
      <c r="D801" s="77"/>
      <c r="E801" s="77"/>
      <c r="F801" s="77"/>
      <c r="G801" s="77"/>
      <c r="H801" s="113"/>
      <c r="I801" s="77"/>
      <c r="J801" s="77"/>
      <c r="K801" s="77"/>
      <c r="L801" s="77"/>
      <c r="M801" s="77"/>
      <c r="N801" s="227"/>
      <c r="O801" s="77"/>
      <c r="P801" s="77"/>
      <c r="Q801" s="349" t="s">
        <v>4688</v>
      </c>
      <c r="R801" s="149" t="s">
        <v>4689</v>
      </c>
      <c r="S801" s="223">
        <v>90</v>
      </c>
      <c r="T801" s="131"/>
      <c r="U801" s="78"/>
      <c r="V801" s="78"/>
      <c r="W801" s="232"/>
      <c r="X801" s="233"/>
      <c r="Y801" s="212"/>
      <c r="Z801" s="350"/>
      <c r="AA801" s="195"/>
      <c r="AB801" s="132">
        <v>46254</v>
      </c>
      <c r="AC801" s="132"/>
    </row>
    <row r="802" spans="3:29" s="79" customFormat="1" ht="21.6" customHeight="1">
      <c r="C802" s="249"/>
      <c r="D802" s="77"/>
      <c r="E802" s="77"/>
      <c r="F802" s="77"/>
      <c r="G802" s="77"/>
      <c r="H802" s="113"/>
      <c r="I802" s="77"/>
      <c r="J802" s="77"/>
      <c r="K802" s="77"/>
      <c r="L802" s="77"/>
      <c r="M802" s="77"/>
      <c r="N802" s="227"/>
      <c r="O802" s="77"/>
      <c r="P802" s="77"/>
      <c r="Q802" s="349" t="s">
        <v>4690</v>
      </c>
      <c r="R802" s="158" t="s">
        <v>4691</v>
      </c>
      <c r="S802" s="223">
        <f>K800-S800-S801</f>
        <v>37</v>
      </c>
      <c r="T802" s="131"/>
      <c r="U802" s="78"/>
      <c r="V802" s="78"/>
      <c r="W802" s="232"/>
      <c r="X802" s="233"/>
      <c r="Y802" s="212"/>
      <c r="Z802" s="350"/>
      <c r="AA802" s="195"/>
      <c r="AB802" s="132">
        <v>46254</v>
      </c>
      <c r="AC802" s="132"/>
    </row>
    <row r="803" spans="3:29" s="79" customFormat="1" ht="21.6" customHeight="1">
      <c r="C803" s="249" t="str">
        <f t="shared" si="21"/>
        <v>Aug29-32</v>
      </c>
      <c r="D803" s="77">
        <f>IFERROR(VLOOKUP($AA803,PLAN!$B:$AA,3,0),"")</f>
        <v>11135427</v>
      </c>
      <c r="E803" s="77" t="str">
        <f>IFERROR(VLOOKUP($AA803,PLAN!$B:$AA,4,0),"")</f>
        <v>2211778-E-A</v>
      </c>
      <c r="F803" s="77" t="str">
        <f>IFERROR(VLOOKUP($AA803,PLAN!$B:$AA,5,0),"")</f>
        <v>HW60AL072P10002 KR</v>
      </c>
      <c r="G803" s="77" t="str">
        <f>IFERROR(VLOOKUP($AA803,PLAN!$B:$AA,2,0),"")</f>
        <v>1001943070</v>
      </c>
      <c r="H803" s="113">
        <f>IFERROR(VLOOKUP($AA803,PLAN!$B:$AA,7,0),"")</f>
        <v>46263</v>
      </c>
      <c r="I803" s="77" t="str">
        <f>IFERROR(VLOOKUP($AA803,PLAN!$B:$AA,8,0),"")</f>
        <v>0103604054</v>
      </c>
      <c r="J803" s="77" t="str">
        <f>IFERROR(VLOOKUP($AA803,PLAN!$B:$AA,9,0),"")</f>
        <v>260813C43A</v>
      </c>
      <c r="K803" s="77">
        <f>IFERROR(VLOOKUP($AA803,PLAN!$B:$AA,10,0),"")</f>
        <v>1</v>
      </c>
      <c r="L803" s="77" t="str">
        <f>IFERROR(VLOOKUP($AA803,PLAN!$B:$AA,15,0),"")</f>
        <v>KOREA</v>
      </c>
      <c r="M803" s="77">
        <f>IFERROR(VLOOKUP($AA803,PLAN!$B:$AA,18,0),"")</f>
        <v>0</v>
      </c>
      <c r="N803" s="227">
        <f>IFERROR(VLOOKUP($AA803,PLAN!$B:$AA,19,0),"")</f>
        <v>0</v>
      </c>
      <c r="O803" s="77" t="str">
        <f>IFERROR(VLOOKUP($AA803,PLAN!$B:$AA,12,0),"")</f>
        <v>2112084-0-C</v>
      </c>
      <c r="P803" s="77">
        <f>IFERROR(VLOOKUP($AA803,PLAN!$B:$AA,11,0),"")</f>
        <v>12116049</v>
      </c>
      <c r="Q803" s="349" t="s">
        <v>4666</v>
      </c>
      <c r="R803" s="158" t="s">
        <v>4667</v>
      </c>
      <c r="S803" s="223">
        <v>1</v>
      </c>
      <c r="T803" s="131"/>
      <c r="U803" s="78">
        <f>IFERROR(VLOOKUP($AA803,PLAN!$B:$AA,21,0),"")</f>
        <v>46254</v>
      </c>
      <c r="V803" s="78" t="str">
        <f>IFERROR(VLOOKUP($AA803,PLAN!$B:$AA,22,0),"")</f>
        <v>M9</v>
      </c>
      <c r="W803" s="232"/>
      <c r="X803" s="233"/>
      <c r="Y803" s="212"/>
      <c r="Z803" s="350"/>
      <c r="AA803" s="195" t="s">
        <v>4627</v>
      </c>
      <c r="AB803" s="132">
        <f>VLOOKUP(AA803,PLAN!B:V,20,0)</f>
        <v>46254</v>
      </c>
      <c r="AC803" s="132"/>
    </row>
    <row r="804" spans="3:29" s="79" customFormat="1" ht="21.6" customHeight="1">
      <c r="C804" s="249" t="str">
        <f t="shared" si="21"/>
        <v>Aug29-33</v>
      </c>
      <c r="D804" s="77">
        <f>IFERROR(VLOOKUP($AA804,PLAN!$B:$AA,3,0),"")</f>
        <v>11135463</v>
      </c>
      <c r="E804" s="77" t="str">
        <f>IFERROR(VLOOKUP($AA804,PLAN!$B:$AA,4,0),"")</f>
        <v>2211814-E-A</v>
      </c>
      <c r="F804" s="77" t="str">
        <f>IFERROR(VLOOKUP($AA804,PLAN!$B:$AA,5,0),"")</f>
        <v>HW60HS012P10000 KR</v>
      </c>
      <c r="G804" s="77" t="str">
        <f>IFERROR(VLOOKUP($AA804,PLAN!$B:$AA,2,0),"")</f>
        <v>1001943071</v>
      </c>
      <c r="H804" s="113">
        <f>IFERROR(VLOOKUP($AA804,PLAN!$B:$AA,7,0),"")</f>
        <v>46263</v>
      </c>
      <c r="I804" s="77" t="str">
        <f>IFERROR(VLOOKUP($AA804,PLAN!$B:$AA,8,0),"")</f>
        <v>0103604055</v>
      </c>
      <c r="J804" s="77" t="str">
        <f>IFERROR(VLOOKUP($AA804,PLAN!$B:$AA,9,0),"")</f>
        <v>260813C44A</v>
      </c>
      <c r="K804" s="77">
        <f>IFERROR(VLOOKUP($AA804,PLAN!$B:$AA,10,0),"")</f>
        <v>1</v>
      </c>
      <c r="L804" s="77" t="str">
        <f>IFERROR(VLOOKUP($AA804,PLAN!$B:$AA,15,0),"")</f>
        <v>KOREA</v>
      </c>
      <c r="M804" s="77">
        <f>IFERROR(VLOOKUP($AA804,PLAN!$B:$AA,18,0),"")</f>
        <v>0</v>
      </c>
      <c r="N804" s="227">
        <f>IFERROR(VLOOKUP($AA804,PLAN!$B:$AA,19,0),"")</f>
        <v>0</v>
      </c>
      <c r="O804" s="77" t="str">
        <f>IFERROR(VLOOKUP($AA804,PLAN!$B:$AA,12,0),"")</f>
        <v>2112030-0-C</v>
      </c>
      <c r="P804" s="77">
        <f>IFERROR(VLOOKUP($AA804,PLAN!$B:$AA,11,0),"")</f>
        <v>12115995</v>
      </c>
      <c r="Q804" s="349" t="s">
        <v>4692</v>
      </c>
      <c r="R804" s="158" t="s">
        <v>4693</v>
      </c>
      <c r="S804" s="149">
        <f t="shared" si="22"/>
        <v>1</v>
      </c>
      <c r="T804" s="131"/>
      <c r="U804" s="78">
        <f>IFERROR(VLOOKUP($AA804,PLAN!$B:$AA,21,0),"")</f>
        <v>46254</v>
      </c>
      <c r="V804" s="78" t="str">
        <f>IFERROR(VLOOKUP($AA804,PLAN!$B:$AA,22,0),"")</f>
        <v>M9</v>
      </c>
      <c r="W804" s="232"/>
      <c r="X804" s="233"/>
      <c r="Y804" s="212"/>
      <c r="Z804" s="350"/>
      <c r="AA804" s="195" t="s">
        <v>4628</v>
      </c>
      <c r="AB804" s="132">
        <f>VLOOKUP(AA804,PLAN!B:V,20,0)</f>
        <v>46254</v>
      </c>
      <c r="AC804" s="132"/>
    </row>
    <row r="805" spans="3:29" s="79" customFormat="1" ht="21.6" customHeight="1">
      <c r="C805" s="249" t="str">
        <f t="shared" si="21"/>
        <v>Aug29-34</v>
      </c>
      <c r="D805" s="77">
        <f>IFERROR(VLOOKUP($AA805,PLAN!$B:$AA,3,0),"")</f>
        <v>11135580</v>
      </c>
      <c r="E805" s="77" t="str">
        <f>IFERROR(VLOOKUP($AA805,PLAN!$B:$AA,4,0),"")</f>
        <v>2211931-E-A</v>
      </c>
      <c r="F805" s="77" t="str">
        <f>IFERROR(VLOOKUP($AA805,PLAN!$B:$AA,5,0),"")</f>
        <v>HW70AR200P10000 KR</v>
      </c>
      <c r="G805" s="77" t="str">
        <f>IFERROR(VLOOKUP($AA805,PLAN!$B:$AA,2,0),"")</f>
        <v>1001943072</v>
      </c>
      <c r="H805" s="113">
        <f>IFERROR(VLOOKUP($AA805,PLAN!$B:$AA,7,0),"")</f>
        <v>46263</v>
      </c>
      <c r="I805" s="77" t="str">
        <f>IFERROR(VLOOKUP($AA805,PLAN!$B:$AA,8,0),"")</f>
        <v>0103604056</v>
      </c>
      <c r="J805" s="77" t="str">
        <f>IFERROR(VLOOKUP($AA805,PLAN!$B:$AA,9,0),"")</f>
        <v>260813C45A</v>
      </c>
      <c r="K805" s="77">
        <f>IFERROR(VLOOKUP($AA805,PLAN!$B:$AA,10,0),"")</f>
        <v>2</v>
      </c>
      <c r="L805" s="77" t="str">
        <f>IFERROR(VLOOKUP($AA805,PLAN!$B:$AA,15,0),"")</f>
        <v>KOREA</v>
      </c>
      <c r="M805" s="77">
        <f>IFERROR(VLOOKUP($AA805,PLAN!$B:$AA,18,0),"")</f>
        <v>0</v>
      </c>
      <c r="N805" s="227">
        <f>IFERROR(VLOOKUP($AA805,PLAN!$B:$AA,19,0),"")</f>
        <v>0</v>
      </c>
      <c r="O805" s="77" t="str">
        <f>IFERROR(VLOOKUP($AA805,PLAN!$B:$AA,12,0),"")</f>
        <v>2212062-0-C</v>
      </c>
      <c r="P805" s="77">
        <f>IFERROR(VLOOKUP($AA805,PLAN!$B:$AA,11,0),"")</f>
        <v>12124613</v>
      </c>
      <c r="Q805" s="349" t="s">
        <v>4694</v>
      </c>
      <c r="R805" s="158" t="s">
        <v>4695</v>
      </c>
      <c r="S805" s="149">
        <f t="shared" si="22"/>
        <v>2</v>
      </c>
      <c r="T805" s="131"/>
      <c r="U805" s="78">
        <f>IFERROR(VLOOKUP($AA805,PLAN!$B:$AA,21,0),"")</f>
        <v>46254</v>
      </c>
      <c r="V805" s="78" t="str">
        <f>IFERROR(VLOOKUP($AA805,PLAN!$B:$AA,22,0),"")</f>
        <v>M9</v>
      </c>
      <c r="W805" s="232"/>
      <c r="X805" s="233"/>
      <c r="Y805" s="212"/>
      <c r="Z805" s="350"/>
      <c r="AA805" s="195" t="s">
        <v>4629</v>
      </c>
      <c r="AB805" s="132">
        <f>VLOOKUP(AA805,PLAN!B:V,20,0)</f>
        <v>46254</v>
      </c>
      <c r="AC805" s="132"/>
    </row>
    <row r="806" spans="3:29" s="79" customFormat="1" ht="21.6" customHeight="1">
      <c r="C806" s="249" t="str">
        <f t="shared" si="21"/>
        <v>Aug29-35</v>
      </c>
      <c r="D806" s="77">
        <f>IFERROR(VLOOKUP($AA806,PLAN!$B:$AA,3,0),"")</f>
        <v>11135573</v>
      </c>
      <c r="E806" s="77" t="str">
        <f>IFERROR(VLOOKUP($AA806,PLAN!$B:$AA,4,0),"")</f>
        <v>2211924-E-A</v>
      </c>
      <c r="F806" s="77" t="str">
        <f>IFERROR(VLOOKUP($AA806,PLAN!$B:$AA,5,0),"")</f>
        <v>HW70AL200P10000 KR</v>
      </c>
      <c r="G806" s="77" t="str">
        <f>IFERROR(VLOOKUP($AA806,PLAN!$B:$AA,2,0),"")</f>
        <v>1001943073</v>
      </c>
      <c r="H806" s="113">
        <f>IFERROR(VLOOKUP($AA806,PLAN!$B:$AA,7,0),"")</f>
        <v>46263</v>
      </c>
      <c r="I806" s="77" t="str">
        <f>IFERROR(VLOOKUP($AA806,PLAN!$B:$AA,8,0),"")</f>
        <v>0103604057</v>
      </c>
      <c r="J806" s="77" t="str">
        <f>IFERROR(VLOOKUP($AA806,PLAN!$B:$AA,9,0),"")</f>
        <v>260813C46A</v>
      </c>
      <c r="K806" s="77">
        <f>IFERROR(VLOOKUP($AA806,PLAN!$B:$AA,10,0),"")</f>
        <v>3</v>
      </c>
      <c r="L806" s="77" t="str">
        <f>IFERROR(VLOOKUP($AA806,PLAN!$B:$AA,15,0),"")</f>
        <v>KOREA</v>
      </c>
      <c r="M806" s="77">
        <f>IFERROR(VLOOKUP($AA806,PLAN!$B:$AA,18,0),"")</f>
        <v>0</v>
      </c>
      <c r="N806" s="227">
        <f>IFERROR(VLOOKUP($AA806,PLAN!$B:$AA,19,0),"")</f>
        <v>0</v>
      </c>
      <c r="O806" s="77" t="str">
        <f>IFERROR(VLOOKUP($AA806,PLAN!$B:$AA,12,0),"")</f>
        <v>2112122-0-C</v>
      </c>
      <c r="P806" s="77">
        <f>IFERROR(VLOOKUP($AA806,PLAN!$B:$AA,11,0),"")</f>
        <v>12116089</v>
      </c>
      <c r="Q806" s="349" t="s">
        <v>4696</v>
      </c>
      <c r="R806" s="158" t="s">
        <v>4697</v>
      </c>
      <c r="S806" s="149">
        <f t="shared" si="22"/>
        <v>3</v>
      </c>
      <c r="T806" s="131"/>
      <c r="U806" s="78">
        <f>IFERROR(VLOOKUP($AA806,PLAN!$B:$AA,21,0),"")</f>
        <v>46254</v>
      </c>
      <c r="V806" s="78" t="str">
        <f>IFERROR(VLOOKUP($AA806,PLAN!$B:$AA,22,0),"")</f>
        <v>M9</v>
      </c>
      <c r="W806" s="232"/>
      <c r="X806" s="233"/>
      <c r="Y806" s="212"/>
      <c r="Z806" s="350"/>
      <c r="AA806" s="195" t="s">
        <v>4630</v>
      </c>
      <c r="AB806" s="132">
        <f>VLOOKUP(AA806,PLAN!B:V,20,0)</f>
        <v>46254</v>
      </c>
      <c r="AC806" s="132"/>
    </row>
    <row r="807" spans="3:29" s="79" customFormat="1" ht="21.6" customHeight="1">
      <c r="C807" s="249" t="str">
        <f t="shared" si="21"/>
        <v>Aug29-36</v>
      </c>
      <c r="D807" s="77">
        <f>IFERROR(VLOOKUP($AA807,PLAN!$B:$AA,3,0),"")</f>
        <v>11135492</v>
      </c>
      <c r="E807" s="77" t="str">
        <f>IFERROR(VLOOKUP($AA807,PLAN!$B:$AA,4,0),"")</f>
        <v>2211843-E-A</v>
      </c>
      <c r="F807" s="77" t="str">
        <f>IFERROR(VLOOKUP($AA807,PLAN!$B:$AA,5,0),"")</f>
        <v>HW60JL502P10000 KR</v>
      </c>
      <c r="G807" s="77" t="str">
        <f>IFERROR(VLOOKUP($AA807,PLAN!$B:$AA,2,0),"")</f>
        <v>1001943074</v>
      </c>
      <c r="H807" s="113">
        <f>IFERROR(VLOOKUP($AA807,PLAN!$B:$AA,7,0),"")</f>
        <v>46263</v>
      </c>
      <c r="I807" s="77" t="str">
        <f>IFERROR(VLOOKUP($AA807,PLAN!$B:$AA,8,0),"")</f>
        <v>0103604058</v>
      </c>
      <c r="J807" s="77" t="str">
        <f>IFERROR(VLOOKUP($AA807,PLAN!$B:$AA,9,0),"")</f>
        <v>260813C47A</v>
      </c>
      <c r="K807" s="77">
        <f>IFERROR(VLOOKUP($AA807,PLAN!$B:$AA,10,0),"")</f>
        <v>3</v>
      </c>
      <c r="L807" s="77" t="str">
        <f>IFERROR(VLOOKUP($AA807,PLAN!$B:$AA,15,0),"")</f>
        <v>KOREA</v>
      </c>
      <c r="M807" s="77">
        <f>IFERROR(VLOOKUP($AA807,PLAN!$B:$AA,18,0),"")</f>
        <v>0</v>
      </c>
      <c r="N807" s="227">
        <f>IFERROR(VLOOKUP($AA807,PLAN!$B:$AA,19,0),"")</f>
        <v>0</v>
      </c>
      <c r="O807" s="77" t="str">
        <f>IFERROR(VLOOKUP($AA807,PLAN!$B:$AA,12,0),"")</f>
        <v>2112056-0-C</v>
      </c>
      <c r="P807" s="77">
        <f>IFERROR(VLOOKUP($AA807,PLAN!$B:$AA,11,0),"")</f>
        <v>12116021</v>
      </c>
      <c r="Q807" s="349" t="s">
        <v>4698</v>
      </c>
      <c r="R807" s="158" t="s">
        <v>4699</v>
      </c>
      <c r="S807" s="149">
        <f t="shared" si="22"/>
        <v>3</v>
      </c>
      <c r="T807" s="131"/>
      <c r="U807" s="78">
        <f>IFERROR(VLOOKUP($AA807,PLAN!$B:$AA,21,0),"")</f>
        <v>46254</v>
      </c>
      <c r="V807" s="78" t="str">
        <f>IFERROR(VLOOKUP($AA807,PLAN!$B:$AA,22,0),"")</f>
        <v>M9</v>
      </c>
      <c r="W807" s="232"/>
      <c r="X807" s="233"/>
      <c r="Y807" s="212"/>
      <c r="Z807" s="350"/>
      <c r="AA807" s="195" t="s">
        <v>4631</v>
      </c>
      <c r="AB807" s="132">
        <f>VLOOKUP(AA807,PLAN!B:V,20,0)</f>
        <v>46254</v>
      </c>
      <c r="AC807" s="132"/>
    </row>
    <row r="808" spans="3:29" s="79" customFormat="1" ht="21.6" customHeight="1">
      <c r="C808" s="249" t="str">
        <f t="shared" si="21"/>
        <v>Aug29-37</v>
      </c>
      <c r="D808" s="77">
        <f>IFERROR(VLOOKUP($AA808,PLAN!$B:$AA,3,0),"")</f>
        <v>11135468</v>
      </c>
      <c r="E808" s="77" t="str">
        <f>IFERROR(VLOOKUP($AA808,PLAN!$B:$AA,4,0),"")</f>
        <v>2211819-E-A</v>
      </c>
      <c r="F808" s="77" t="str">
        <f>IFERROR(VLOOKUP($AA808,PLAN!$B:$AA,5,0),"")</f>
        <v>HW60JL300P10000 KR</v>
      </c>
      <c r="G808" s="77" t="str">
        <f>IFERROR(VLOOKUP($AA808,PLAN!$B:$AA,2,0),"")</f>
        <v>1001943075</v>
      </c>
      <c r="H808" s="113">
        <f>IFERROR(VLOOKUP($AA808,PLAN!$B:$AA,7,0),"")</f>
        <v>46263</v>
      </c>
      <c r="I808" s="77" t="str">
        <f>IFERROR(VLOOKUP($AA808,PLAN!$B:$AA,8,0),"")</f>
        <v>0103604059</v>
      </c>
      <c r="J808" s="77" t="str">
        <f>IFERROR(VLOOKUP($AA808,PLAN!$B:$AA,9,0),"")</f>
        <v>260813C48A</v>
      </c>
      <c r="K808" s="77">
        <f>IFERROR(VLOOKUP($AA808,PLAN!$B:$AA,10,0),"")</f>
        <v>4</v>
      </c>
      <c r="L808" s="77" t="str">
        <f>IFERROR(VLOOKUP($AA808,PLAN!$B:$AA,15,0),"")</f>
        <v>KOREA</v>
      </c>
      <c r="M808" s="77">
        <f>IFERROR(VLOOKUP($AA808,PLAN!$B:$AA,18,0),"")</f>
        <v>0</v>
      </c>
      <c r="N808" s="227">
        <f>IFERROR(VLOOKUP($AA808,PLAN!$B:$AA,19,0),"")</f>
        <v>0</v>
      </c>
      <c r="O808" s="77" t="str">
        <f>IFERROR(VLOOKUP($AA808,PLAN!$B:$AA,12,0),"")</f>
        <v>2212013-0-C</v>
      </c>
      <c r="P808" s="77">
        <f>IFERROR(VLOOKUP($AA808,PLAN!$B:$AA,11,0),"")</f>
        <v>12124565</v>
      </c>
      <c r="Q808" s="349" t="s">
        <v>4700</v>
      </c>
      <c r="R808" s="158" t="s">
        <v>4701</v>
      </c>
      <c r="S808" s="149">
        <f t="shared" si="22"/>
        <v>4</v>
      </c>
      <c r="T808" s="131"/>
      <c r="U808" s="78">
        <f>IFERROR(VLOOKUP($AA808,PLAN!$B:$AA,21,0),"")</f>
        <v>46254</v>
      </c>
      <c r="V808" s="78" t="str">
        <f>IFERROR(VLOOKUP($AA808,PLAN!$B:$AA,22,0),"")</f>
        <v>M9</v>
      </c>
      <c r="W808" s="232"/>
      <c r="X808" s="233"/>
      <c r="Y808" s="212"/>
      <c r="Z808" s="350"/>
      <c r="AA808" s="195" t="s">
        <v>4632</v>
      </c>
      <c r="AB808" s="132">
        <f>VLOOKUP(AA808,PLAN!B:V,20,0)</f>
        <v>46254</v>
      </c>
      <c r="AC808" s="132"/>
    </row>
    <row r="809" spans="3:29" s="79" customFormat="1" ht="21.6" customHeight="1">
      <c r="C809" s="249" t="str">
        <f t="shared" si="21"/>
        <v>Aug29-38</v>
      </c>
      <c r="D809" s="77">
        <f>IFERROR(VLOOKUP($AA809,PLAN!$B:$AA,3,0),"")</f>
        <v>11135448</v>
      </c>
      <c r="E809" s="77" t="str">
        <f>IFERROR(VLOOKUP($AA809,PLAN!$B:$AA,4,0),"")</f>
        <v>2211799-E-A</v>
      </c>
      <c r="F809" s="77" t="str">
        <f>IFERROR(VLOOKUP($AA809,PLAN!$B:$AA,5,0),"")</f>
        <v>HW60AL202P10000 KR</v>
      </c>
      <c r="G809" s="77" t="str">
        <f>IFERROR(VLOOKUP($AA809,PLAN!$B:$AA,2,0),"")</f>
        <v>1001943076</v>
      </c>
      <c r="H809" s="113">
        <f>IFERROR(VLOOKUP($AA809,PLAN!$B:$AA,7,0),"")</f>
        <v>46263</v>
      </c>
      <c r="I809" s="77" t="str">
        <f>IFERROR(VLOOKUP($AA809,PLAN!$B:$AA,8,0),"")</f>
        <v>0103604060</v>
      </c>
      <c r="J809" s="77" t="str">
        <f>IFERROR(VLOOKUP($AA809,PLAN!$B:$AA,9,0),"")</f>
        <v>260813C49A</v>
      </c>
      <c r="K809" s="77">
        <f>IFERROR(VLOOKUP($AA809,PLAN!$B:$AA,10,0),"")</f>
        <v>4</v>
      </c>
      <c r="L809" s="77" t="str">
        <f>IFERROR(VLOOKUP($AA809,PLAN!$B:$AA,15,0),"")</f>
        <v>KOREA</v>
      </c>
      <c r="M809" s="77">
        <f>IFERROR(VLOOKUP($AA809,PLAN!$B:$AA,18,0),"")</f>
        <v>0</v>
      </c>
      <c r="N809" s="227">
        <f>IFERROR(VLOOKUP($AA809,PLAN!$B:$AA,19,0),"")</f>
        <v>0</v>
      </c>
      <c r="O809" s="77" t="str">
        <f>IFERROR(VLOOKUP($AA809,PLAN!$B:$AA,12,0),"")</f>
        <v>2112018-0-C</v>
      </c>
      <c r="P809" s="77">
        <f>IFERROR(VLOOKUP($AA809,PLAN!$B:$AA,11,0),"")</f>
        <v>12115983</v>
      </c>
      <c r="Q809" s="349" t="s">
        <v>4702</v>
      </c>
      <c r="R809" s="149" t="s">
        <v>4703</v>
      </c>
      <c r="S809" s="223">
        <v>2</v>
      </c>
      <c r="T809" s="131"/>
      <c r="U809" s="78">
        <f>IFERROR(VLOOKUP($AA809,PLAN!$B:$AA,21,0),"")</f>
        <v>46254</v>
      </c>
      <c r="V809" s="78" t="str">
        <f>IFERROR(VLOOKUP($AA809,PLAN!$B:$AA,22,0),"")</f>
        <v>M9</v>
      </c>
      <c r="W809" s="232"/>
      <c r="X809" s="233"/>
      <c r="Y809" s="212"/>
      <c r="Z809" s="350"/>
      <c r="AA809" s="195" t="s">
        <v>4633</v>
      </c>
      <c r="AB809" s="132">
        <f>VLOOKUP(AA809,PLAN!B:V,20,0)</f>
        <v>46254</v>
      </c>
      <c r="AC809" s="132"/>
    </row>
    <row r="810" spans="3:29" s="79" customFormat="1" ht="21.6" customHeight="1">
      <c r="C810" s="249"/>
      <c r="D810" s="77"/>
      <c r="E810" s="77"/>
      <c r="F810" s="77"/>
      <c r="G810" s="77"/>
      <c r="H810" s="113"/>
      <c r="I810" s="77"/>
      <c r="J810" s="77"/>
      <c r="K810" s="77"/>
      <c r="L810" s="77"/>
      <c r="M810" s="77"/>
      <c r="N810" s="227"/>
      <c r="O810" s="77"/>
      <c r="P810" s="77"/>
      <c r="Q810" s="349" t="s">
        <v>4704</v>
      </c>
      <c r="R810" s="158" t="s">
        <v>4705</v>
      </c>
      <c r="S810" s="223">
        <v>2</v>
      </c>
      <c r="T810" s="131"/>
      <c r="U810" s="78"/>
      <c r="V810" s="78"/>
      <c r="W810" s="232"/>
      <c r="X810" s="233"/>
      <c r="Y810" s="212"/>
      <c r="Z810" s="350"/>
      <c r="AA810" s="195"/>
      <c r="AB810" s="132">
        <v>46254</v>
      </c>
      <c r="AC810" s="132"/>
    </row>
    <row r="811" spans="3:29" s="79" customFormat="1" ht="21.6" customHeight="1">
      <c r="C811" s="249" t="str">
        <f t="shared" si="21"/>
        <v>Aug29-39</v>
      </c>
      <c r="D811" s="77">
        <f>IFERROR(VLOOKUP($AA811,PLAN!$B:$AA,3,0),"")</f>
        <v>11135551</v>
      </c>
      <c r="E811" s="77" t="str">
        <f>IFERROR(VLOOKUP($AA811,PLAN!$B:$AA,4,0),"")</f>
        <v>2211902-E-A</v>
      </c>
      <c r="F811" s="77" t="str">
        <f>IFERROR(VLOOKUP($AA811,PLAN!$B:$AA,5,0),"")</f>
        <v>HW70AL070P10002 KR</v>
      </c>
      <c r="G811" s="77" t="str">
        <f>IFERROR(VLOOKUP($AA811,PLAN!$B:$AA,2,0),"")</f>
        <v>1001943077</v>
      </c>
      <c r="H811" s="113">
        <f>IFERROR(VLOOKUP($AA811,PLAN!$B:$AA,7,0),"")</f>
        <v>46263</v>
      </c>
      <c r="I811" s="77" t="str">
        <f>IFERROR(VLOOKUP($AA811,PLAN!$B:$AA,8,0),"")</f>
        <v>0103604061</v>
      </c>
      <c r="J811" s="77" t="str">
        <f>IFERROR(VLOOKUP($AA811,PLAN!$B:$AA,9,0),"")</f>
        <v>260813C50A</v>
      </c>
      <c r="K811" s="77">
        <f>IFERROR(VLOOKUP($AA811,PLAN!$B:$AA,10,0),"")</f>
        <v>10</v>
      </c>
      <c r="L811" s="77" t="str">
        <f>IFERROR(VLOOKUP($AA811,PLAN!$B:$AA,15,0),"")</f>
        <v>KOREA</v>
      </c>
      <c r="M811" s="77">
        <f>IFERROR(VLOOKUP($AA811,PLAN!$B:$AA,18,0),"")</f>
        <v>0</v>
      </c>
      <c r="N811" s="227">
        <f>IFERROR(VLOOKUP($AA811,PLAN!$B:$AA,19,0),"")</f>
        <v>0</v>
      </c>
      <c r="O811" s="77" t="str">
        <f>IFERROR(VLOOKUP($AA811,PLAN!$B:$AA,12,0),"")</f>
        <v>2112203-0-C</v>
      </c>
      <c r="P811" s="77">
        <f>IFERROR(VLOOKUP($AA811,PLAN!$B:$AA,11,0),"")</f>
        <v>12116170</v>
      </c>
      <c r="Q811" s="349" t="s">
        <v>4706</v>
      </c>
      <c r="R811" s="158" t="s">
        <v>4707</v>
      </c>
      <c r="S811" s="149">
        <f t="shared" si="22"/>
        <v>10</v>
      </c>
      <c r="T811" s="131"/>
      <c r="U811" s="78">
        <f>IFERROR(VLOOKUP($AA811,PLAN!$B:$AA,21,0),"")</f>
        <v>46254</v>
      </c>
      <c r="V811" s="78" t="str">
        <f>IFERROR(VLOOKUP($AA811,PLAN!$B:$AA,22,0),"")</f>
        <v>M9</v>
      </c>
      <c r="W811" s="232"/>
      <c r="X811" s="233"/>
      <c r="Y811" s="212"/>
      <c r="Z811" s="350"/>
      <c r="AA811" s="195" t="s">
        <v>4634</v>
      </c>
      <c r="AB811" s="132">
        <f>VLOOKUP(AA811,PLAN!B:V,20,0)</f>
        <v>46254</v>
      </c>
      <c r="AC811" s="132"/>
    </row>
    <row r="812" spans="3:29" s="79" customFormat="1" ht="21.6" customHeight="1">
      <c r="C812" s="249" t="str">
        <f t="shared" si="21"/>
        <v>Aug29-40</v>
      </c>
      <c r="D812" s="77">
        <f>IFERROR(VLOOKUP($AA812,PLAN!$B:$AA,3,0),"")</f>
        <v>11135490</v>
      </c>
      <c r="E812" s="77" t="str">
        <f>IFERROR(VLOOKUP($AA812,PLAN!$B:$AA,4,0),"")</f>
        <v>2211841-E-A</v>
      </c>
      <c r="F812" s="77" t="str">
        <f>IFERROR(VLOOKUP($AA812,PLAN!$B:$AA,5,0),"")</f>
        <v>HW60JL500P10000 KR</v>
      </c>
      <c r="G812" s="77" t="str">
        <f>IFERROR(VLOOKUP($AA812,PLAN!$B:$AA,2,0),"")</f>
        <v>1001943078</v>
      </c>
      <c r="H812" s="113">
        <f>IFERROR(VLOOKUP($AA812,PLAN!$B:$AA,7,0),"")</f>
        <v>46263</v>
      </c>
      <c r="I812" s="77" t="str">
        <f>IFERROR(VLOOKUP($AA812,PLAN!$B:$AA,8,0),"")</f>
        <v>0103604062</v>
      </c>
      <c r="J812" s="77" t="str">
        <f>IFERROR(VLOOKUP($AA812,PLAN!$B:$AA,9,0),"")</f>
        <v>260813C51A</v>
      </c>
      <c r="K812" s="77">
        <f>IFERROR(VLOOKUP($AA812,PLAN!$B:$AA,10,0),"")</f>
        <v>14</v>
      </c>
      <c r="L812" s="77" t="str">
        <f>IFERROR(VLOOKUP($AA812,PLAN!$B:$AA,15,0),"")</f>
        <v>KOREA</v>
      </c>
      <c r="M812" s="77">
        <f>IFERROR(VLOOKUP($AA812,PLAN!$B:$AA,18,0),"")</f>
        <v>0</v>
      </c>
      <c r="N812" s="227">
        <f>IFERROR(VLOOKUP($AA812,PLAN!$B:$AA,19,0),"")</f>
        <v>0</v>
      </c>
      <c r="O812" s="77" t="str">
        <f>IFERROR(VLOOKUP($AA812,PLAN!$B:$AA,12,0),"")</f>
        <v>2112055-0-C</v>
      </c>
      <c r="P812" s="77">
        <f>IFERROR(VLOOKUP($AA812,PLAN!$B:$AA,11,0),"")</f>
        <v>12116020</v>
      </c>
      <c r="Q812" s="349" t="s">
        <v>4708</v>
      </c>
      <c r="R812" s="158" t="s">
        <v>4709</v>
      </c>
      <c r="S812" s="149">
        <f t="shared" si="22"/>
        <v>14</v>
      </c>
      <c r="T812" s="131"/>
      <c r="U812" s="78">
        <f>IFERROR(VLOOKUP($AA812,PLAN!$B:$AA,21,0),"")</f>
        <v>46254</v>
      </c>
      <c r="V812" s="78" t="str">
        <f>IFERROR(VLOOKUP($AA812,PLAN!$B:$AA,22,0),"")</f>
        <v>M9</v>
      </c>
      <c r="W812" s="232"/>
      <c r="X812" s="233"/>
      <c r="Y812" s="212"/>
      <c r="Z812" s="350"/>
      <c r="AA812" s="195" t="s">
        <v>4635</v>
      </c>
      <c r="AB812" s="132">
        <f>VLOOKUP(AA812,PLAN!B:V,20,0)</f>
        <v>46254</v>
      </c>
      <c r="AC812" s="132"/>
    </row>
    <row r="813" spans="3:29" s="79" customFormat="1" ht="21.6" customHeight="1">
      <c r="C813" s="249" t="str">
        <f t="shared" ref="C813:C883" si="51">AA813</f>
        <v>Aug29-41</v>
      </c>
      <c r="D813" s="77">
        <f>IFERROR(VLOOKUP($AA813,PLAN!$B:$AA,3,0),"")</f>
        <v>11112470</v>
      </c>
      <c r="E813" s="77" t="str">
        <f>IFERROR(VLOOKUP($AA813,PLAN!$B:$AA,4,0),"")</f>
        <v>PSC18110A-D-A</v>
      </c>
      <c r="F813" s="77" t="str">
        <f>IFERROR(VLOOKUP($AA813,PLAN!$B:$AA,5,0),"")</f>
        <v>PSC18110A US</v>
      </c>
      <c r="G813" s="77" t="str">
        <f>IFERROR(VLOOKUP($AA813,PLAN!$B:$AA,2,0),"")</f>
        <v>1001947841</v>
      </c>
      <c r="H813" s="113">
        <f>IFERROR(VLOOKUP($AA813,PLAN!$B:$AA,7,0),"")</f>
        <v>46263</v>
      </c>
      <c r="I813" s="77" t="str">
        <f>IFERROR(VLOOKUP($AA813,PLAN!$B:$AA,8,0),"")</f>
        <v>0103613253</v>
      </c>
      <c r="J813" s="77" t="str">
        <f>IFERROR(VLOOKUP($AA813,PLAN!$B:$AA,9,0),"")</f>
        <v>260815K01A</v>
      </c>
      <c r="K813" s="77">
        <f>IFERROR(VLOOKUP($AA813,PLAN!$B:$AA,10,0),"")</f>
        <v>10</v>
      </c>
      <c r="L813" s="77" t="str">
        <f>IFERROR(VLOOKUP($AA813,PLAN!$B:$AA,15,0),"")</f>
        <v>USA</v>
      </c>
      <c r="M813" s="77">
        <f>IFERROR(VLOOKUP($AA813,PLAN!$B:$AA,18,0),"")</f>
        <v>0</v>
      </c>
      <c r="N813" s="227">
        <f>IFERROR(VLOOKUP($AA813,PLAN!$B:$AA,19,0),"")</f>
        <v>0</v>
      </c>
      <c r="O813" s="77" t="str">
        <f>IFERROR(VLOOKUP($AA813,PLAN!$B:$AA,12,0),"")</f>
        <v>PSC18110A-F-C</v>
      </c>
      <c r="P813" s="77">
        <f>IFERROR(VLOOKUP($AA813,PLAN!$B:$AA,11,0),"")</f>
        <v>12116397</v>
      </c>
      <c r="Q813" s="349" t="s">
        <v>5201</v>
      </c>
      <c r="R813" s="158" t="s">
        <v>5202</v>
      </c>
      <c r="S813" s="149">
        <f t="shared" ref="S813:S883" si="52">K813</f>
        <v>10</v>
      </c>
      <c r="T813" s="131"/>
      <c r="U813" s="78">
        <f>IFERROR(VLOOKUP($AA813,PLAN!$B:$AA,21,0),"")</f>
        <v>46258</v>
      </c>
      <c r="V813" s="78" t="str">
        <f>IFERROR(VLOOKUP($AA813,PLAN!$B:$AA,22,0),"")</f>
        <v>M8</v>
      </c>
      <c r="W813" s="232"/>
      <c r="X813" s="233"/>
      <c r="Y813" s="212"/>
      <c r="Z813" s="350"/>
      <c r="AA813" s="195" t="s">
        <v>5121</v>
      </c>
      <c r="AB813" s="132">
        <f>VLOOKUP(AA813,PLAN!B:V,20,0)</f>
        <v>46258</v>
      </c>
      <c r="AC813" s="132"/>
    </row>
    <row r="814" spans="3:29" s="79" customFormat="1" ht="21.6" customHeight="1">
      <c r="C814" s="249" t="str">
        <f t="shared" si="51"/>
        <v>Aug29-42</v>
      </c>
      <c r="D814" s="77">
        <f>IFERROR(VLOOKUP($AA814,PLAN!$B:$AA,3,0),"")</f>
        <v>11112473</v>
      </c>
      <c r="E814" s="77" t="str">
        <f>IFERROR(VLOOKUP($AA814,PLAN!$B:$AA,4,0),"")</f>
        <v>PSC18170A-D-A</v>
      </c>
      <c r="F814" s="77" t="str">
        <f>IFERROR(VLOOKUP($AA814,PLAN!$B:$AA,5,0),"")</f>
        <v>PSC18170A US</v>
      </c>
      <c r="G814" s="77" t="str">
        <f>IFERROR(VLOOKUP($AA814,PLAN!$B:$AA,2,0),"")</f>
        <v>1001947842</v>
      </c>
      <c r="H814" s="113">
        <f>IFERROR(VLOOKUP($AA814,PLAN!$B:$AA,7,0),"")</f>
        <v>46263</v>
      </c>
      <c r="I814" s="77" t="str">
        <f>IFERROR(VLOOKUP($AA814,PLAN!$B:$AA,8,0),"")</f>
        <v>0103613254</v>
      </c>
      <c r="J814" s="77" t="str">
        <f>IFERROR(VLOOKUP($AA814,PLAN!$B:$AA,9,0),"")</f>
        <v>260815K02A</v>
      </c>
      <c r="K814" s="77">
        <f>IFERROR(VLOOKUP($AA814,PLAN!$B:$AA,10,0),"")</f>
        <v>15</v>
      </c>
      <c r="L814" s="77" t="str">
        <f>IFERROR(VLOOKUP($AA814,PLAN!$B:$AA,15,0),"")</f>
        <v>USA</v>
      </c>
      <c r="M814" s="77">
        <f>IFERROR(VLOOKUP($AA814,PLAN!$B:$AA,18,0),"")</f>
        <v>0</v>
      </c>
      <c r="N814" s="227">
        <f>IFERROR(VLOOKUP($AA814,PLAN!$B:$AA,19,0),"")</f>
        <v>0</v>
      </c>
      <c r="O814" s="77" t="str">
        <f>IFERROR(VLOOKUP($AA814,PLAN!$B:$AA,12,0),"")</f>
        <v>PSC18170A-F-C</v>
      </c>
      <c r="P814" s="77">
        <f>IFERROR(VLOOKUP($AA814,PLAN!$B:$AA,11,0),"")</f>
        <v>12116400</v>
      </c>
      <c r="Q814" s="349" t="s">
        <v>5203</v>
      </c>
      <c r="R814" s="158" t="s">
        <v>5204</v>
      </c>
      <c r="S814" s="149">
        <f t="shared" si="52"/>
        <v>15</v>
      </c>
      <c r="T814" s="131"/>
      <c r="U814" s="78">
        <f>IFERROR(VLOOKUP($AA814,PLAN!$B:$AA,21,0),"")</f>
        <v>46258</v>
      </c>
      <c r="V814" s="78" t="str">
        <f>IFERROR(VLOOKUP($AA814,PLAN!$B:$AA,22,0),"")</f>
        <v>M8</v>
      </c>
      <c r="W814" s="232"/>
      <c r="X814" s="233"/>
      <c r="Y814" s="212"/>
      <c r="Z814" s="350"/>
      <c r="AA814" s="195" t="s">
        <v>5122</v>
      </c>
      <c r="AB814" s="132" t="s">
        <v>5358</v>
      </c>
      <c r="AC814" s="132"/>
    </row>
    <row r="815" spans="3:29" s="79" customFormat="1" ht="21.6" customHeight="1">
      <c r="C815" s="249" t="str">
        <f t="shared" si="51"/>
        <v>Aug29-43</v>
      </c>
      <c r="D815" s="77">
        <f>IFERROR(VLOOKUP($AA815,PLAN!$B:$AA,3,0),"")</f>
        <v>11134402</v>
      </c>
      <c r="E815" s="77" t="str">
        <f>IFERROR(VLOOKUP($AA815,PLAN!$B:$AA,4,0),"")</f>
        <v>1941103-C-A</v>
      </c>
      <c r="F815" s="77" t="str">
        <f>IFERROR(VLOOKUP($AA815,PLAN!$B:$AA,5,0),"")</f>
        <v>CRV150-19P US2</v>
      </c>
      <c r="G815" s="77" t="str">
        <f>IFERROR(VLOOKUP($AA815,PLAN!$B:$AA,2,0),"")</f>
        <v>1001947843</v>
      </c>
      <c r="H815" s="113">
        <f>IFERROR(VLOOKUP($AA815,PLAN!$B:$AA,7,0),"")</f>
        <v>46263</v>
      </c>
      <c r="I815" s="77" t="str">
        <f>IFERROR(VLOOKUP($AA815,PLAN!$B:$AA,8,0),"")</f>
        <v>0103613255</v>
      </c>
      <c r="J815" s="77" t="str">
        <f>IFERROR(VLOOKUP($AA815,PLAN!$B:$AA,9,0),"")</f>
        <v>260815K03A</v>
      </c>
      <c r="K815" s="77">
        <f>IFERROR(VLOOKUP($AA815,PLAN!$B:$AA,10,0),"")</f>
        <v>268</v>
      </c>
      <c r="L815" s="77" t="str">
        <f>IFERROR(VLOOKUP($AA815,PLAN!$B:$AA,15,0),"")</f>
        <v>USA</v>
      </c>
      <c r="M815" s="77">
        <f>IFERROR(VLOOKUP($AA815,PLAN!$B:$AA,18,0),"")</f>
        <v>0</v>
      </c>
      <c r="N815" s="227">
        <f>IFERROR(VLOOKUP($AA815,PLAN!$B:$AA,19,0),"")</f>
        <v>0</v>
      </c>
      <c r="O815" s="77" t="str">
        <f>IFERROR(VLOOKUP($AA815,PLAN!$B:$AA,12,0),"")</f>
        <v>1942141-B-C</v>
      </c>
      <c r="P815" s="77">
        <f>IFERROR(VLOOKUP($AA815,PLAN!$B:$AA,11,0),"")</f>
        <v>12129627</v>
      </c>
      <c r="Q815" s="349" t="s">
        <v>4408</v>
      </c>
      <c r="R815" s="158" t="s">
        <v>4409</v>
      </c>
      <c r="S815" s="223">
        <v>188</v>
      </c>
      <c r="T815" s="131"/>
      <c r="U815" s="78">
        <f>IFERROR(VLOOKUP($AA815,PLAN!$B:$AA,21,0),"")</f>
        <v>46258</v>
      </c>
      <c r="V815" s="78" t="str">
        <f>IFERROR(VLOOKUP($AA815,PLAN!$B:$AA,22,0),"")</f>
        <v>M8</v>
      </c>
      <c r="W815" s="232"/>
      <c r="X815" s="233"/>
      <c r="Y815" s="212"/>
      <c r="Z815" s="350"/>
      <c r="AA815" s="195" t="s">
        <v>5123</v>
      </c>
      <c r="AB815" s="132">
        <f>VLOOKUP(AA815,PLAN!B:V,20,0)</f>
        <v>46258</v>
      </c>
      <c r="AC815" s="132"/>
    </row>
    <row r="816" spans="3:29" s="79" customFormat="1" ht="21.6" customHeight="1">
      <c r="C816" s="249"/>
      <c r="D816" s="77"/>
      <c r="E816" s="77"/>
      <c r="F816" s="77"/>
      <c r="G816" s="77"/>
      <c r="H816" s="113"/>
      <c r="I816" s="77"/>
      <c r="J816" s="77"/>
      <c r="K816" s="77"/>
      <c r="L816" s="77"/>
      <c r="M816" s="77"/>
      <c r="N816" s="227"/>
      <c r="O816" s="77"/>
      <c r="P816" s="77"/>
      <c r="Q816" s="349" t="s">
        <v>5205</v>
      </c>
      <c r="R816" s="158" t="s">
        <v>5206</v>
      </c>
      <c r="S816" s="223">
        <f>K815-S815</f>
        <v>80</v>
      </c>
      <c r="T816" s="131"/>
      <c r="U816" s="78"/>
      <c r="V816" s="78"/>
      <c r="W816" s="232"/>
      <c r="X816" s="233"/>
      <c r="Y816" s="212"/>
      <c r="Z816" s="350"/>
      <c r="AA816" s="195"/>
      <c r="AB816" s="132">
        <v>46258</v>
      </c>
      <c r="AC816" s="132"/>
    </row>
    <row r="817" spans="3:29" s="79" customFormat="1" ht="21.6" customHeight="1">
      <c r="C817" s="249" t="str">
        <f t="shared" si="51"/>
        <v>Aug29-44</v>
      </c>
      <c r="D817" s="77">
        <f>IFERROR(VLOOKUP($AA817,PLAN!$B:$AA,3,0),"")</f>
        <v>11134402</v>
      </c>
      <c r="E817" s="77" t="str">
        <f>IFERROR(VLOOKUP($AA817,PLAN!$B:$AA,4,0),"")</f>
        <v>1941103-C-A</v>
      </c>
      <c r="F817" s="77" t="str">
        <f>IFERROR(VLOOKUP($AA817,PLAN!$B:$AA,5,0),"")</f>
        <v>CRV150-19P US2</v>
      </c>
      <c r="G817" s="77" t="str">
        <f>IFERROR(VLOOKUP($AA817,PLAN!$B:$AA,2,0),"")</f>
        <v>1001947844</v>
      </c>
      <c r="H817" s="113">
        <f>IFERROR(VLOOKUP($AA817,PLAN!$B:$AA,7,0),"")</f>
        <v>46263</v>
      </c>
      <c r="I817" s="77" t="str">
        <f>IFERROR(VLOOKUP($AA817,PLAN!$B:$AA,8,0),"")</f>
        <v>0103613256</v>
      </c>
      <c r="J817" s="77" t="str">
        <f>IFERROR(VLOOKUP($AA817,PLAN!$B:$AA,9,0),"")</f>
        <v>260815K04A</v>
      </c>
      <c r="K817" s="77">
        <f>IFERROR(VLOOKUP($AA817,PLAN!$B:$AA,10,0),"")</f>
        <v>90</v>
      </c>
      <c r="L817" s="77" t="str">
        <f>IFERROR(VLOOKUP($AA817,PLAN!$B:$AA,15,0),"")</f>
        <v>USA</v>
      </c>
      <c r="M817" s="77">
        <f>IFERROR(VLOOKUP($AA817,PLAN!$B:$AA,18,0),"")</f>
        <v>10</v>
      </c>
      <c r="N817" s="227">
        <f>IFERROR(VLOOKUP($AA817,PLAN!$B:$AA,19,0),"")</f>
        <v>0</v>
      </c>
      <c r="O817" s="77" t="str">
        <f>IFERROR(VLOOKUP($AA817,PLAN!$B:$AA,12,0),"")</f>
        <v>1942141-B-C</v>
      </c>
      <c r="P817" s="77">
        <f>IFERROR(VLOOKUP($AA817,PLAN!$B:$AA,11,0),"")</f>
        <v>12129627</v>
      </c>
      <c r="Q817" s="349" t="s">
        <v>5205</v>
      </c>
      <c r="R817" s="158" t="s">
        <v>5206</v>
      </c>
      <c r="S817" s="149">
        <f t="shared" si="52"/>
        <v>90</v>
      </c>
      <c r="T817" s="131"/>
      <c r="U817" s="78">
        <f>IFERROR(VLOOKUP($AA817,PLAN!$B:$AA,21,0),"")</f>
        <v>46258</v>
      </c>
      <c r="V817" s="78" t="str">
        <f>IFERROR(VLOOKUP($AA817,PLAN!$B:$AA,22,0),"")</f>
        <v>M8</v>
      </c>
      <c r="W817" s="232"/>
      <c r="X817" s="233"/>
      <c r="Y817" s="212"/>
      <c r="Z817" s="350"/>
      <c r="AA817" s="195" t="s">
        <v>5124</v>
      </c>
      <c r="AB817" s="132">
        <f>VLOOKUP(AA817,PLAN!B:V,20,0)</f>
        <v>46258</v>
      </c>
      <c r="AC817" s="132"/>
    </row>
    <row r="818" spans="3:29" s="79" customFormat="1" ht="21.6" customHeight="1">
      <c r="C818" s="249" t="str">
        <f t="shared" si="51"/>
        <v>Sep04-01</v>
      </c>
      <c r="D818" s="77">
        <f>IFERROR(VLOOKUP($AA818,PLAN!$B:$AA,3,0),"")</f>
        <v>11122087</v>
      </c>
      <c r="E818" s="77" t="str">
        <f>IFERROR(VLOOKUP($AA818,PLAN!$B:$AA,4,0),"")</f>
        <v>2341003-B-A</v>
      </c>
      <c r="F818" s="77" t="str">
        <f>IFERROR(VLOOKUP($AA818,PLAN!$B:$AA,5,0),"")</f>
        <v>CRV135-19P CE3</v>
      </c>
      <c r="G818" s="77" t="str">
        <f>IFERROR(VLOOKUP($AA818,PLAN!$B:$AA,2,0),"")</f>
        <v>1001947845</v>
      </c>
      <c r="H818" s="113">
        <f>IFERROR(VLOOKUP($AA818,PLAN!$B:$AA,7,0),"")</f>
        <v>46269</v>
      </c>
      <c r="I818" s="77" t="str">
        <f>IFERROR(VLOOKUP($AA818,PLAN!$B:$AA,8,0),"")</f>
        <v>0103613257</v>
      </c>
      <c r="J818" s="77" t="str">
        <f>IFERROR(VLOOKUP($AA818,PLAN!$B:$AA,9,0),"")</f>
        <v>260815K05A</v>
      </c>
      <c r="K818" s="77">
        <f>IFERROR(VLOOKUP($AA818,PLAN!$B:$AA,10,0),"")</f>
        <v>32</v>
      </c>
      <c r="L818" s="77" t="str">
        <f>IFERROR(VLOOKUP($AA818,PLAN!$B:$AA,15,0),"")</f>
        <v>Oversea</v>
      </c>
      <c r="M818" s="77">
        <f>IFERROR(VLOOKUP($AA818,PLAN!$B:$AA,18,0),"")</f>
        <v>0</v>
      </c>
      <c r="N818" s="227">
        <f>IFERROR(VLOOKUP($AA818,PLAN!$B:$AA,19,0),"")</f>
        <v>0</v>
      </c>
      <c r="O818" s="77" t="str">
        <f>IFERROR(VLOOKUP($AA818,PLAN!$B:$AA,12,0),"")</f>
        <v>1942140-B-C</v>
      </c>
      <c r="P818" s="77">
        <f>IFERROR(VLOOKUP($AA818,PLAN!$B:$AA,11,0),"")</f>
        <v>12129626</v>
      </c>
      <c r="Q818" s="349" t="s">
        <v>3759</v>
      </c>
      <c r="R818" s="149" t="s">
        <v>3760</v>
      </c>
      <c r="S818" s="223">
        <v>25</v>
      </c>
      <c r="T818" s="131"/>
      <c r="U818" s="78">
        <f>IFERROR(VLOOKUP($AA818,PLAN!$B:$AA,21,0),"")</f>
        <v>46258</v>
      </c>
      <c r="V818" s="78" t="str">
        <f>IFERROR(VLOOKUP($AA818,PLAN!$B:$AA,22,0),"")</f>
        <v>M8</v>
      </c>
      <c r="W818" s="232"/>
      <c r="X818" s="233"/>
      <c r="Y818" s="212"/>
      <c r="Z818" s="350"/>
      <c r="AA818" s="195" t="s">
        <v>5193</v>
      </c>
      <c r="AB818" s="132">
        <f>VLOOKUP(AA818,PLAN!B:V,20,0)</f>
        <v>46258</v>
      </c>
      <c r="AC818" s="132"/>
    </row>
    <row r="819" spans="3:29" s="79" customFormat="1" ht="21.6" customHeight="1">
      <c r="C819" s="249"/>
      <c r="D819" s="77"/>
      <c r="E819" s="77"/>
      <c r="F819" s="77"/>
      <c r="G819" s="77"/>
      <c r="H819" s="113"/>
      <c r="I819" s="77"/>
      <c r="J819" s="77"/>
      <c r="K819" s="77"/>
      <c r="L819" s="77"/>
      <c r="M819" s="77"/>
      <c r="N819" s="227"/>
      <c r="O819" s="77"/>
      <c r="P819" s="77"/>
      <c r="Q819" s="349" t="s">
        <v>5207</v>
      </c>
      <c r="R819" s="149" t="s">
        <v>5208</v>
      </c>
      <c r="S819" s="223">
        <f>K818-S818</f>
        <v>7</v>
      </c>
      <c r="T819" s="131"/>
      <c r="U819" s="78"/>
      <c r="V819" s="78"/>
      <c r="W819" s="232"/>
      <c r="X819" s="233"/>
      <c r="Y819" s="212"/>
      <c r="Z819" s="350"/>
      <c r="AA819" s="195"/>
      <c r="AB819" s="132">
        <v>46258</v>
      </c>
      <c r="AC819" s="132"/>
    </row>
    <row r="820" spans="3:29" s="79" customFormat="1" ht="21.6" customHeight="1">
      <c r="C820" s="249" t="str">
        <f t="shared" si="51"/>
        <v>Sep04-02</v>
      </c>
      <c r="D820" s="77">
        <f>IFERROR(VLOOKUP($AA820,PLAN!$B:$AA,3,0),"")</f>
        <v>11122088</v>
      </c>
      <c r="E820" s="77" t="str">
        <f>IFERROR(VLOOKUP($AA820,PLAN!$B:$AA,4,0),"")</f>
        <v>2341004-B-A</v>
      </c>
      <c r="F820" s="77" t="str">
        <f>IFERROR(VLOOKUP($AA820,PLAN!$B:$AA,5,0),"")</f>
        <v>CRV150-19P CE3</v>
      </c>
      <c r="G820" s="77" t="str">
        <f>IFERROR(VLOOKUP($AA820,PLAN!$B:$AA,2,0),"")</f>
        <v>1001947846</v>
      </c>
      <c r="H820" s="113">
        <f>IFERROR(VLOOKUP($AA820,PLAN!$B:$AA,7,0),"")</f>
        <v>46269</v>
      </c>
      <c r="I820" s="77" t="str">
        <f>IFERROR(VLOOKUP($AA820,PLAN!$B:$AA,8,0),"")</f>
        <v>0103613258</v>
      </c>
      <c r="J820" s="77" t="str">
        <f>IFERROR(VLOOKUP($AA820,PLAN!$B:$AA,9,0),"")</f>
        <v>260815K06A</v>
      </c>
      <c r="K820" s="77">
        <f>IFERROR(VLOOKUP($AA820,PLAN!$B:$AA,10,0),"")</f>
        <v>35</v>
      </c>
      <c r="L820" s="77" t="str">
        <f>IFERROR(VLOOKUP($AA820,PLAN!$B:$AA,15,0),"")</f>
        <v>Oversea</v>
      </c>
      <c r="M820" s="77">
        <f>IFERROR(VLOOKUP($AA820,PLAN!$B:$AA,18,0),"")</f>
        <v>0</v>
      </c>
      <c r="N820" s="227">
        <f>IFERROR(VLOOKUP($AA820,PLAN!$B:$AA,19,0),"")</f>
        <v>0</v>
      </c>
      <c r="O820" s="77" t="str">
        <f>IFERROR(VLOOKUP($AA820,PLAN!$B:$AA,12,0),"")</f>
        <v>1942141-B-C</v>
      </c>
      <c r="P820" s="77">
        <f>IFERROR(VLOOKUP($AA820,PLAN!$B:$AA,11,0),"")</f>
        <v>12129627</v>
      </c>
      <c r="Q820" s="349" t="s">
        <v>5205</v>
      </c>
      <c r="R820" s="158" t="s">
        <v>5206</v>
      </c>
      <c r="S820" s="149">
        <f t="shared" si="52"/>
        <v>35</v>
      </c>
      <c r="T820" s="131"/>
      <c r="U820" s="78">
        <f>IFERROR(VLOOKUP($AA820,PLAN!$B:$AA,21,0),"")</f>
        <v>46258</v>
      </c>
      <c r="V820" s="78" t="str">
        <f>IFERROR(VLOOKUP($AA820,PLAN!$B:$AA,22,0),"")</f>
        <v>M8</v>
      </c>
      <c r="W820" s="232"/>
      <c r="X820" s="233"/>
      <c r="Y820" s="212"/>
      <c r="Z820" s="350"/>
      <c r="AA820" s="195" t="s">
        <v>5194</v>
      </c>
      <c r="AB820" s="132">
        <f>VLOOKUP(AA820,PLAN!B:V,20,0)</f>
        <v>46258</v>
      </c>
      <c r="AC820" s="132"/>
    </row>
    <row r="821" spans="3:29" s="79" customFormat="1" ht="21.6" customHeight="1">
      <c r="C821" s="249" t="str">
        <f t="shared" si="51"/>
        <v>Sep04-03</v>
      </c>
      <c r="D821" s="77">
        <f>IFERROR(VLOOKUP($AA821,PLAN!$B:$AA,3,0),"")</f>
        <v>11122088</v>
      </c>
      <c r="E821" s="77" t="str">
        <f>IFERROR(VLOOKUP($AA821,PLAN!$B:$AA,4,0),"")</f>
        <v>2341004-B-A</v>
      </c>
      <c r="F821" s="77" t="str">
        <f>IFERROR(VLOOKUP($AA821,PLAN!$B:$AA,5,0),"")</f>
        <v>CRV150-19P CE3</v>
      </c>
      <c r="G821" s="77" t="str">
        <f>IFERROR(VLOOKUP($AA821,PLAN!$B:$AA,2,0),"")</f>
        <v>1001947847</v>
      </c>
      <c r="H821" s="113">
        <f>IFERROR(VLOOKUP($AA821,PLAN!$B:$AA,7,0),"")</f>
        <v>46269</v>
      </c>
      <c r="I821" s="77" t="str">
        <f>IFERROR(VLOOKUP($AA821,PLAN!$B:$AA,8,0),"")</f>
        <v>0103613259</v>
      </c>
      <c r="J821" s="77" t="str">
        <f>IFERROR(VLOOKUP($AA821,PLAN!$B:$AA,9,0),"")</f>
        <v>260815K07A</v>
      </c>
      <c r="K821" s="77">
        <f>IFERROR(VLOOKUP($AA821,PLAN!$B:$AA,10,0),"")</f>
        <v>105</v>
      </c>
      <c r="L821" s="77" t="str">
        <f>IFERROR(VLOOKUP($AA821,PLAN!$B:$AA,15,0),"")</f>
        <v>Oversea</v>
      </c>
      <c r="M821" s="77">
        <f>IFERROR(VLOOKUP($AA821,PLAN!$B:$AA,18,0),"")</f>
        <v>0</v>
      </c>
      <c r="N821" s="227">
        <f>IFERROR(VLOOKUP($AA821,PLAN!$B:$AA,19,0),"")</f>
        <v>0</v>
      </c>
      <c r="O821" s="77" t="str">
        <f>IFERROR(VLOOKUP($AA821,PLAN!$B:$AA,12,0),"")</f>
        <v>1942141-B-C</v>
      </c>
      <c r="P821" s="77">
        <f>IFERROR(VLOOKUP($AA821,PLAN!$B:$AA,11,0),"")</f>
        <v>12129627</v>
      </c>
      <c r="Q821" s="349" t="s">
        <v>5205</v>
      </c>
      <c r="R821" s="158" t="s">
        <v>5206</v>
      </c>
      <c r="S821" s="149">
        <f t="shared" si="52"/>
        <v>105</v>
      </c>
      <c r="T821" s="131"/>
      <c r="U821" s="78">
        <f>IFERROR(VLOOKUP($AA821,PLAN!$B:$AA,21,0),"")</f>
        <v>46258</v>
      </c>
      <c r="V821" s="78" t="str">
        <f>IFERROR(VLOOKUP($AA821,PLAN!$B:$AA,22,0),"")</f>
        <v>M8</v>
      </c>
      <c r="W821" s="232"/>
      <c r="X821" s="233"/>
      <c r="Y821" s="212"/>
      <c r="Z821" s="350"/>
      <c r="AA821" s="195" t="s">
        <v>5195</v>
      </c>
      <c r="AB821" s="132">
        <f>VLOOKUP(AA821,PLAN!B:V,20,0)</f>
        <v>46258</v>
      </c>
      <c r="AC821" s="132"/>
    </row>
    <row r="822" spans="3:29" s="79" customFormat="1" ht="21.6" customHeight="1">
      <c r="C822" s="249" t="str">
        <f t="shared" si="51"/>
        <v>Sep04-04</v>
      </c>
      <c r="D822" s="77">
        <f>IFERROR(VLOOKUP($AA822,PLAN!$B:$AA,3,0),"")</f>
        <v>11122087</v>
      </c>
      <c r="E822" s="77" t="str">
        <f>IFERROR(VLOOKUP($AA822,PLAN!$B:$AA,4,0),"")</f>
        <v>2341003-B-A</v>
      </c>
      <c r="F822" s="77" t="str">
        <f>IFERROR(VLOOKUP($AA822,PLAN!$B:$AA,5,0),"")</f>
        <v>CRV135-19P CE3</v>
      </c>
      <c r="G822" s="77" t="str">
        <f>IFERROR(VLOOKUP($AA822,PLAN!$B:$AA,2,0),"")</f>
        <v>1001947848</v>
      </c>
      <c r="H822" s="113">
        <f>IFERROR(VLOOKUP($AA822,PLAN!$B:$AA,7,0),"")</f>
        <v>46269</v>
      </c>
      <c r="I822" s="77" t="str">
        <f>IFERROR(VLOOKUP($AA822,PLAN!$B:$AA,8,0),"")</f>
        <v>0103613260</v>
      </c>
      <c r="J822" s="77" t="str">
        <f>IFERROR(VLOOKUP($AA822,PLAN!$B:$AA,9,0),"")</f>
        <v>260815K08A</v>
      </c>
      <c r="K822" s="77">
        <f>IFERROR(VLOOKUP($AA822,PLAN!$B:$AA,10,0),"")</f>
        <v>175</v>
      </c>
      <c r="L822" s="77" t="str">
        <f>IFERROR(VLOOKUP($AA822,PLAN!$B:$AA,15,0),"")</f>
        <v>Oversea</v>
      </c>
      <c r="M822" s="77">
        <f>IFERROR(VLOOKUP($AA822,PLAN!$B:$AA,18,0),"")</f>
        <v>0</v>
      </c>
      <c r="N822" s="227">
        <f>IFERROR(VLOOKUP($AA822,PLAN!$B:$AA,19,0),"")</f>
        <v>0</v>
      </c>
      <c r="O822" s="77" t="str">
        <f>IFERROR(VLOOKUP($AA822,PLAN!$B:$AA,12,0),"")</f>
        <v>1942140-B-C</v>
      </c>
      <c r="P822" s="77">
        <f>IFERROR(VLOOKUP($AA822,PLAN!$B:$AA,11,0),"")</f>
        <v>12129626</v>
      </c>
      <c r="Q822" s="349" t="s">
        <v>5207</v>
      </c>
      <c r="R822" s="149" t="s">
        <v>5208</v>
      </c>
      <c r="S822" s="149">
        <f t="shared" si="52"/>
        <v>175</v>
      </c>
      <c r="T822" s="131"/>
      <c r="U822" s="78">
        <f>IFERROR(VLOOKUP($AA822,PLAN!$B:$AA,21,0),"")</f>
        <v>46258</v>
      </c>
      <c r="V822" s="78" t="str">
        <f>IFERROR(VLOOKUP($AA822,PLAN!$B:$AA,22,0),"")</f>
        <v>M8</v>
      </c>
      <c r="W822" s="232"/>
      <c r="X822" s="233"/>
      <c r="Y822" s="212"/>
      <c r="Z822" s="350"/>
      <c r="AA822" s="195" t="s">
        <v>5196</v>
      </c>
      <c r="AB822" s="132">
        <f>VLOOKUP(AA822,PLAN!B:V,20,0)</f>
        <v>46258</v>
      </c>
      <c r="AC822" s="132"/>
    </row>
    <row r="823" spans="3:29" s="79" customFormat="1" ht="21.6" customHeight="1">
      <c r="C823" s="249" t="str">
        <f t="shared" si="51"/>
        <v>Sep07-03</v>
      </c>
      <c r="D823" s="77">
        <f>IFERROR(VLOOKUP($AA823,PLAN!$B:$AA,3,0),"")</f>
        <v>11134247</v>
      </c>
      <c r="E823" s="77" t="str">
        <f>IFERROR(VLOOKUP($AA823,PLAN!$B:$AA,4,0),"")</f>
        <v>2141050-D-A</v>
      </c>
      <c r="F823" s="77" t="str">
        <f>IFERROR(VLOOKUP($AA823,PLAN!$B:$AA,5,0),"")</f>
        <v>CRV150-19P CN</v>
      </c>
      <c r="G823" s="77" t="str">
        <f>IFERROR(VLOOKUP($AA823,PLAN!$B:$AA,2,0),"")</f>
        <v>1001947849</v>
      </c>
      <c r="H823" s="113">
        <f>IFERROR(VLOOKUP($AA823,PLAN!$B:$AA,7,0),"")</f>
        <v>46272</v>
      </c>
      <c r="I823" s="77" t="str">
        <f>IFERROR(VLOOKUP($AA823,PLAN!$B:$AA,8,0),"")</f>
        <v>0103613261</v>
      </c>
      <c r="J823" s="77" t="str">
        <f>IFERROR(VLOOKUP($AA823,PLAN!$B:$AA,9,0),"")</f>
        <v>260815K09A</v>
      </c>
      <c r="K823" s="77">
        <f>IFERROR(VLOOKUP($AA823,PLAN!$B:$AA,10,0),"")</f>
        <v>15</v>
      </c>
      <c r="L823" s="77" t="str">
        <f>IFERROR(VLOOKUP($AA823,PLAN!$B:$AA,15,0),"")</f>
        <v>CHINA</v>
      </c>
      <c r="M823" s="77">
        <f>IFERROR(VLOOKUP($AA823,PLAN!$B:$AA,18,0),"")</f>
        <v>0</v>
      </c>
      <c r="N823" s="227">
        <f>IFERROR(VLOOKUP($AA823,PLAN!$B:$AA,19,0),"")</f>
        <v>0</v>
      </c>
      <c r="O823" s="77" t="str">
        <f>IFERROR(VLOOKUP($AA823,PLAN!$B:$AA,12,0),"")</f>
        <v>1842015-B-C-CN</v>
      </c>
      <c r="P823" s="77">
        <f>IFERROR(VLOOKUP($AA823,PLAN!$B:$AA,11,0),"")</f>
        <v>12129253</v>
      </c>
      <c r="Q823" s="349" t="s">
        <v>4422</v>
      </c>
      <c r="R823" s="149" t="s">
        <v>4423</v>
      </c>
      <c r="S823" s="149">
        <f t="shared" si="52"/>
        <v>15</v>
      </c>
      <c r="T823" s="131"/>
      <c r="U823" s="78">
        <f>IFERROR(VLOOKUP($AA823,PLAN!$B:$AA,21,0),"")</f>
        <v>46258</v>
      </c>
      <c r="V823" s="78" t="str">
        <f>IFERROR(VLOOKUP($AA823,PLAN!$B:$AA,22,0),"")</f>
        <v>M8</v>
      </c>
      <c r="W823" s="232"/>
      <c r="X823" s="233"/>
      <c r="Y823" s="212"/>
      <c r="Z823" s="350"/>
      <c r="AA823" s="195" t="s">
        <v>5197</v>
      </c>
      <c r="AB823" s="132">
        <f>VLOOKUP(AA823,PLAN!B:V,20,0)</f>
        <v>46258</v>
      </c>
      <c r="AC823" s="132"/>
    </row>
    <row r="824" spans="3:29" s="79" customFormat="1" ht="21.6" customHeight="1">
      <c r="C824" s="249" t="str">
        <f t="shared" si="51"/>
        <v>Sep07-04</v>
      </c>
      <c r="D824" s="77">
        <f>IFERROR(VLOOKUP($AA824,PLAN!$B:$AA,3,0),"")</f>
        <v>11134246</v>
      </c>
      <c r="E824" s="77" t="str">
        <f>IFERROR(VLOOKUP($AA824,PLAN!$B:$AA,4,0),"")</f>
        <v>2141049-D-A</v>
      </c>
      <c r="F824" s="77" t="str">
        <f>IFERROR(VLOOKUP($AA824,PLAN!$B:$AA,5,0),"")</f>
        <v>CRV135-19P CN</v>
      </c>
      <c r="G824" s="77" t="str">
        <f>IFERROR(VLOOKUP($AA824,PLAN!$B:$AA,2,0),"")</f>
        <v>1001947850</v>
      </c>
      <c r="H824" s="113">
        <f>IFERROR(VLOOKUP($AA824,PLAN!$B:$AA,7,0),"")</f>
        <v>46272</v>
      </c>
      <c r="I824" s="77" t="str">
        <f>IFERROR(VLOOKUP($AA824,PLAN!$B:$AA,8,0),"")</f>
        <v>0103613262</v>
      </c>
      <c r="J824" s="77" t="str">
        <f>IFERROR(VLOOKUP($AA824,PLAN!$B:$AA,9,0),"")</f>
        <v>260815K10A</v>
      </c>
      <c r="K824" s="77">
        <f>IFERROR(VLOOKUP($AA824,PLAN!$B:$AA,10,0),"")</f>
        <v>103</v>
      </c>
      <c r="L824" s="77" t="str">
        <f>IFERROR(VLOOKUP($AA824,PLAN!$B:$AA,15,0),"")</f>
        <v>CHINA</v>
      </c>
      <c r="M824" s="77">
        <f>IFERROR(VLOOKUP($AA824,PLAN!$B:$AA,18,0),"")</f>
        <v>0</v>
      </c>
      <c r="N824" s="227">
        <f>IFERROR(VLOOKUP($AA824,PLAN!$B:$AA,19,0),"")</f>
        <v>3</v>
      </c>
      <c r="O824" s="77" t="str">
        <f>IFERROR(VLOOKUP($AA824,PLAN!$B:$AA,12,0),"")</f>
        <v>1842014-C-C-CN</v>
      </c>
      <c r="P824" s="77">
        <f>IFERROR(VLOOKUP($AA824,PLAN!$B:$AA,11,0),"")</f>
        <v>12129252</v>
      </c>
      <c r="Q824" s="349" t="s">
        <v>4432</v>
      </c>
      <c r="R824" s="149" t="s">
        <v>4433</v>
      </c>
      <c r="S824" s="149">
        <f t="shared" si="52"/>
        <v>103</v>
      </c>
      <c r="T824" s="131"/>
      <c r="U824" s="78">
        <f>IFERROR(VLOOKUP($AA824,PLAN!$B:$AA,21,0),"")</f>
        <v>46258</v>
      </c>
      <c r="V824" s="78" t="str">
        <f>IFERROR(VLOOKUP($AA824,PLAN!$B:$AA,22,0),"")</f>
        <v>M8</v>
      </c>
      <c r="W824" s="232"/>
      <c r="X824" s="233"/>
      <c r="Y824" s="212"/>
      <c r="Z824" s="350"/>
      <c r="AA824" s="195" t="s">
        <v>5198</v>
      </c>
      <c r="AB824" s="132">
        <f>VLOOKUP(AA824,PLAN!B:V,20,0)</f>
        <v>46258</v>
      </c>
      <c r="AC824" s="132"/>
    </row>
    <row r="825" spans="3:29" s="79" customFormat="1" ht="21.6" customHeight="1">
      <c r="C825" s="249" t="str">
        <f t="shared" si="51"/>
        <v>Sep07-05</v>
      </c>
      <c r="D825" s="77">
        <f>IFERROR(VLOOKUP($AA825,PLAN!$B:$AA,3,0),"")</f>
        <v>11134249</v>
      </c>
      <c r="E825" s="77" t="str">
        <f>IFERROR(VLOOKUP($AA825,PLAN!$B:$AA,4,0),"")</f>
        <v>2041190-D-A</v>
      </c>
      <c r="F825" s="77" t="str">
        <f>IFERROR(VLOOKUP($AA825,PLAN!$B:$AA,5,0),"")</f>
        <v>CSR150-26P CN</v>
      </c>
      <c r="G825" s="77" t="str">
        <f>IFERROR(VLOOKUP($AA825,PLAN!$B:$AA,2,0),"")</f>
        <v>1001947851</v>
      </c>
      <c r="H825" s="113">
        <f>IFERROR(VLOOKUP($AA825,PLAN!$B:$AA,7,0),"")</f>
        <v>46272</v>
      </c>
      <c r="I825" s="77" t="str">
        <f>IFERROR(VLOOKUP($AA825,PLAN!$B:$AA,8,0),"")</f>
        <v>0103613263</v>
      </c>
      <c r="J825" s="77" t="str">
        <f>IFERROR(VLOOKUP($AA825,PLAN!$B:$AA,9,0),"")</f>
        <v>260815K11A</v>
      </c>
      <c r="K825" s="77">
        <f>IFERROR(VLOOKUP($AA825,PLAN!$B:$AA,10,0),"")</f>
        <v>30</v>
      </c>
      <c r="L825" s="77" t="str">
        <f>IFERROR(VLOOKUP($AA825,PLAN!$B:$AA,15,0),"")</f>
        <v>CHINA</v>
      </c>
      <c r="M825" s="77">
        <f>IFERROR(VLOOKUP($AA825,PLAN!$B:$AA,18,0),"")</f>
        <v>0</v>
      </c>
      <c r="N825" s="227">
        <f>IFERROR(VLOOKUP($AA825,PLAN!$B:$AA,19,0),"")</f>
        <v>0</v>
      </c>
      <c r="O825" s="77" t="str">
        <f>IFERROR(VLOOKUP($AA825,PLAN!$B:$AA,12,0),"")</f>
        <v>2342020-A-C-CN</v>
      </c>
      <c r="P825" s="77">
        <f>IFERROR(VLOOKUP($AA825,PLAN!$B:$AA,11,0),"")</f>
        <v>12139932</v>
      </c>
      <c r="Q825" s="349" t="s">
        <v>3126</v>
      </c>
      <c r="R825" s="149" t="s">
        <v>3127</v>
      </c>
      <c r="S825" s="149">
        <f t="shared" si="52"/>
        <v>30</v>
      </c>
      <c r="T825" s="131"/>
      <c r="U825" s="78">
        <f>IFERROR(VLOOKUP($AA825,PLAN!$B:$AA,21,0),"")</f>
        <v>46258</v>
      </c>
      <c r="V825" s="78" t="str">
        <f>IFERROR(VLOOKUP($AA825,PLAN!$B:$AA,22,0),"")</f>
        <v>M8</v>
      </c>
      <c r="W825" s="232"/>
      <c r="X825" s="233"/>
      <c r="Y825" s="212"/>
      <c r="Z825" s="350"/>
      <c r="AA825" s="195" t="s">
        <v>5199</v>
      </c>
      <c r="AB825" s="132">
        <f>VLOOKUP(AA825,PLAN!B:V,20,0)</f>
        <v>46258</v>
      </c>
      <c r="AC825" s="132"/>
    </row>
    <row r="826" spans="3:29" s="79" customFormat="1" ht="21.6" customHeight="1">
      <c r="C826" s="249" t="str">
        <f t="shared" si="51"/>
        <v>Sep07-06</v>
      </c>
      <c r="D826" s="77">
        <f>IFERROR(VLOOKUP($AA826,PLAN!$B:$AA,3,0),"")</f>
        <v>11134248</v>
      </c>
      <c r="E826" s="77" t="str">
        <f>IFERROR(VLOOKUP($AA826,PLAN!$B:$AA,4,0),"")</f>
        <v>2041189-D-A</v>
      </c>
      <c r="F826" s="77" t="str">
        <f>IFERROR(VLOOKUP($AA826,PLAN!$B:$AA,5,0),"")</f>
        <v>CSR135-26P CN</v>
      </c>
      <c r="G826" s="77" t="str">
        <f>IFERROR(VLOOKUP($AA826,PLAN!$B:$AA,2,0),"")</f>
        <v>1001947852</v>
      </c>
      <c r="H826" s="113">
        <f>IFERROR(VLOOKUP($AA826,PLAN!$B:$AA,7,0),"")</f>
        <v>46272</v>
      </c>
      <c r="I826" s="77" t="str">
        <f>IFERROR(VLOOKUP($AA826,PLAN!$B:$AA,8,0),"")</f>
        <v>0103613264</v>
      </c>
      <c r="J826" s="77" t="str">
        <f>IFERROR(VLOOKUP($AA826,PLAN!$B:$AA,9,0),"")</f>
        <v>260815K12A</v>
      </c>
      <c r="K826" s="77">
        <f>IFERROR(VLOOKUP($AA826,PLAN!$B:$AA,10,0),"")</f>
        <v>276</v>
      </c>
      <c r="L826" s="77" t="str">
        <f>IFERROR(VLOOKUP($AA826,PLAN!$B:$AA,15,0),"")</f>
        <v>CHINA</v>
      </c>
      <c r="M826" s="77">
        <f>IFERROR(VLOOKUP($AA826,PLAN!$B:$AA,18,0),"")</f>
        <v>3</v>
      </c>
      <c r="N826" s="227">
        <f>IFERROR(VLOOKUP($AA826,PLAN!$B:$AA,19,0),"")</f>
        <v>3</v>
      </c>
      <c r="O826" s="77" t="str">
        <f>IFERROR(VLOOKUP($AA826,PLAN!$B:$AA,12,0),"")</f>
        <v>2342019-A-C-CN</v>
      </c>
      <c r="P826" s="77">
        <f>IFERROR(VLOOKUP($AA826,PLAN!$B:$AA,11,0),"")</f>
        <v>12139931</v>
      </c>
      <c r="Q826" s="349" t="s">
        <v>4302</v>
      </c>
      <c r="R826" s="149" t="s">
        <v>4303</v>
      </c>
      <c r="S826" s="223">
        <v>26</v>
      </c>
      <c r="T826" s="131"/>
      <c r="U826" s="78">
        <f>IFERROR(VLOOKUP($AA826,PLAN!$B:$AA,21,0),"")</f>
        <v>46258</v>
      </c>
      <c r="V826" s="78" t="str">
        <f>IFERROR(VLOOKUP($AA826,PLAN!$B:$AA,22,0),"")</f>
        <v>M8</v>
      </c>
      <c r="W826" s="232"/>
      <c r="X826" s="233"/>
      <c r="Y826" s="212"/>
      <c r="Z826" s="350"/>
      <c r="AA826" s="195" t="s">
        <v>5200</v>
      </c>
      <c r="AB826" s="132">
        <f>VLOOKUP(AA826,PLAN!B:V,20,0)</f>
        <v>46258</v>
      </c>
      <c r="AC826" s="132"/>
    </row>
    <row r="827" spans="3:29" s="79" customFormat="1" ht="21.6" customHeight="1">
      <c r="C827" s="249"/>
      <c r="D827" s="77"/>
      <c r="E827" s="77"/>
      <c r="F827" s="77"/>
      <c r="G827" s="77"/>
      <c r="H827" s="113"/>
      <c r="I827" s="77"/>
      <c r="J827" s="77"/>
      <c r="K827" s="77"/>
      <c r="L827" s="77"/>
      <c r="M827" s="77"/>
      <c r="N827" s="227"/>
      <c r="O827" s="77"/>
      <c r="P827" s="77"/>
      <c r="Q827" s="349" t="s">
        <v>5209</v>
      </c>
      <c r="R827" s="149" t="s">
        <v>5210</v>
      </c>
      <c r="S827" s="223">
        <f>K826-S826</f>
        <v>250</v>
      </c>
      <c r="T827" s="131"/>
      <c r="U827" s="78"/>
      <c r="V827" s="78"/>
      <c r="W827" s="232"/>
      <c r="X827" s="233"/>
      <c r="Y827" s="212"/>
      <c r="Z827" s="350"/>
      <c r="AA827" s="195"/>
      <c r="AB827" s="132">
        <v>46258</v>
      </c>
      <c r="AC827" s="132"/>
    </row>
    <row r="828" spans="3:29" s="79" customFormat="1" ht="21.6" customHeight="1">
      <c r="C828" s="249" t="str">
        <f t="shared" si="51"/>
        <v>Aug29-45</v>
      </c>
      <c r="D828" s="77">
        <f>IFERROR(VLOOKUP($AA828,PLAN!$B:$AA,3,0),"")</f>
        <v>11131302</v>
      </c>
      <c r="E828" s="77" t="str">
        <f>IFERROR(VLOOKUP($AA828,PLAN!$B:$AA,4,0),"")</f>
        <v>2211219-E-A</v>
      </c>
      <c r="F828" s="77" t="str">
        <f>IFERROR(VLOOKUP($AA828,PLAN!$B:$AA,5,0),"")</f>
        <v>HW70SP300P10000 NOCE</v>
      </c>
      <c r="G828" s="77" t="str">
        <f>IFERROR(VLOOKUP($AA828,PLAN!$B:$AA,2,0),"")</f>
        <v>1001947776</v>
      </c>
      <c r="H828" s="113">
        <f>IFERROR(VLOOKUP($AA828,PLAN!$B:$AA,7,0),"")</f>
        <v>46263</v>
      </c>
      <c r="I828" s="77" t="str">
        <f>IFERROR(VLOOKUP($AA828,PLAN!$B:$AA,8,0),"")</f>
        <v>0103613187</v>
      </c>
      <c r="J828" s="77" t="str">
        <f>IFERROR(VLOOKUP($AA828,PLAN!$B:$AA,9,0),"")</f>
        <v>260815C01A</v>
      </c>
      <c r="K828" s="77">
        <f>IFERROR(VLOOKUP($AA828,PLAN!$B:$AA,10,0),"")</f>
        <v>10</v>
      </c>
      <c r="L828" s="77" t="str">
        <f>IFERROR(VLOOKUP($AA828,PLAN!$B:$AA,15,0),"")</f>
        <v>Oversea</v>
      </c>
      <c r="M828" s="77">
        <f>IFERROR(VLOOKUP($AA828,PLAN!$B:$AA,18,0),"")</f>
        <v>0</v>
      </c>
      <c r="N828" s="227">
        <f>IFERROR(VLOOKUP($AA828,PLAN!$B:$AA,19,0),"")</f>
        <v>0</v>
      </c>
      <c r="O828" s="77" t="str">
        <f>IFERROR(VLOOKUP($AA828,PLAN!$B:$AA,12,0),"")</f>
        <v>2112223-0-C</v>
      </c>
      <c r="P828" s="77">
        <f>IFERROR(VLOOKUP($AA828,PLAN!$B:$AA,11,0),"")</f>
        <v>12116190</v>
      </c>
      <c r="Q828" s="349" t="s">
        <v>5213</v>
      </c>
      <c r="R828" s="158" t="s">
        <v>5214</v>
      </c>
      <c r="S828" s="149">
        <f t="shared" si="52"/>
        <v>10</v>
      </c>
      <c r="T828" s="131"/>
      <c r="U828" s="78">
        <f>IFERROR(VLOOKUP($AA828,PLAN!$B:$AA,21,0),"")</f>
        <v>46258</v>
      </c>
      <c r="V828" s="78" t="str">
        <f>IFERROR(VLOOKUP($AA828,PLAN!$B:$AA,22,0),"")</f>
        <v>M9</v>
      </c>
      <c r="W828" s="232"/>
      <c r="X828" s="233"/>
      <c r="Y828" s="212"/>
      <c r="Z828" s="350"/>
      <c r="AA828" s="195" t="s">
        <v>5125</v>
      </c>
      <c r="AB828" s="132">
        <f>VLOOKUP(AA828,PLAN!B:V,20,0)</f>
        <v>46258</v>
      </c>
      <c r="AC828" s="132"/>
    </row>
    <row r="829" spans="3:29" s="79" customFormat="1" ht="21.6" customHeight="1">
      <c r="C829" s="249" t="str">
        <f t="shared" si="51"/>
        <v>Aug29-46</v>
      </c>
      <c r="D829" s="77">
        <f>IFERROR(VLOOKUP($AA829,PLAN!$B:$AA,3,0),"")</f>
        <v>11134302</v>
      </c>
      <c r="E829" s="77" t="str">
        <f>IFERROR(VLOOKUP($AA829,PLAN!$B:$AA,4,0),"")</f>
        <v>1911313-E-A</v>
      </c>
      <c r="F829" s="77" t="str">
        <f>IFERROR(VLOOKUP($AA829,PLAN!$B:$AA,5,0),"")</f>
        <v>HJ80PB402P10000 JP</v>
      </c>
      <c r="G829" s="77" t="str">
        <f>IFERROR(VLOOKUP($AA829,PLAN!$B:$AA,2,0),"")</f>
        <v>1001947777</v>
      </c>
      <c r="H829" s="113">
        <f>IFERROR(VLOOKUP($AA829,PLAN!$B:$AA,7,0),"")</f>
        <v>46263</v>
      </c>
      <c r="I829" s="77" t="str">
        <f>IFERROR(VLOOKUP($AA829,PLAN!$B:$AA,8,0),"")</f>
        <v>0103613188</v>
      </c>
      <c r="J829" s="77" t="str">
        <f>IFERROR(VLOOKUP($AA829,PLAN!$B:$AA,9,0),"")</f>
        <v>260815C02A</v>
      </c>
      <c r="K829" s="77">
        <f>IFERROR(VLOOKUP($AA829,PLAN!$B:$AA,10,0),"")</f>
        <v>1</v>
      </c>
      <c r="L829" s="77" t="str">
        <f>IFERROR(VLOOKUP($AA829,PLAN!$B:$AA,15,0),"")</f>
        <v>JAPAN</v>
      </c>
      <c r="M829" s="77">
        <f>IFERROR(VLOOKUP($AA829,PLAN!$B:$AA,18,0),"")</f>
        <v>0</v>
      </c>
      <c r="N829" s="227">
        <f>IFERROR(VLOOKUP($AA829,PLAN!$B:$AA,19,0),"")</f>
        <v>0</v>
      </c>
      <c r="O829" s="77" t="str">
        <f>IFERROR(VLOOKUP($AA829,PLAN!$B:$AA,12,0),"")</f>
        <v>2112315-0-C</v>
      </c>
      <c r="P829" s="77">
        <f>IFERROR(VLOOKUP($AA829,PLAN!$B:$AA,11,0),"")</f>
        <v>12116282</v>
      </c>
      <c r="Q829" s="349" t="s">
        <v>5217</v>
      </c>
      <c r="R829" s="158" t="s">
        <v>5218</v>
      </c>
      <c r="S829" s="149">
        <f t="shared" si="52"/>
        <v>1</v>
      </c>
      <c r="T829" s="131"/>
      <c r="U829" s="78">
        <f>IFERROR(VLOOKUP($AA829,PLAN!$B:$AA,21,0),"")</f>
        <v>46258</v>
      </c>
      <c r="V829" s="78" t="str">
        <f>IFERROR(VLOOKUP($AA829,PLAN!$B:$AA,22,0),"")</f>
        <v>M9</v>
      </c>
      <c r="W829" s="232"/>
      <c r="X829" s="233"/>
      <c r="Y829" s="212"/>
      <c r="Z829" s="350"/>
      <c r="AA829" s="195" t="s">
        <v>5126</v>
      </c>
      <c r="AB829" s="132">
        <f>VLOOKUP(AA829,PLAN!B:V,20,0)</f>
        <v>46258</v>
      </c>
      <c r="AC829" s="132"/>
    </row>
    <row r="830" spans="3:29" s="79" customFormat="1" ht="21.6" customHeight="1">
      <c r="C830" s="249" t="str">
        <f t="shared" si="51"/>
        <v>Aug29-47</v>
      </c>
      <c r="D830" s="77">
        <f>IFERROR(VLOOKUP($AA830,PLAN!$B:$AA,3,0),"")</f>
        <v>11134304</v>
      </c>
      <c r="E830" s="77" t="str">
        <f>IFERROR(VLOOKUP($AA830,PLAN!$B:$AA,4,0),"")</f>
        <v>1911343-E-A</v>
      </c>
      <c r="F830" s="77" t="str">
        <f>IFERROR(VLOOKUP($AA830,PLAN!$B:$AA,5,0),"")</f>
        <v>HJ80SP300P10000 JP</v>
      </c>
      <c r="G830" s="77" t="str">
        <f>IFERROR(VLOOKUP($AA830,PLAN!$B:$AA,2,0),"")</f>
        <v>1001947778</v>
      </c>
      <c r="H830" s="113">
        <f>IFERROR(VLOOKUP($AA830,PLAN!$B:$AA,7,0),"")</f>
        <v>46263</v>
      </c>
      <c r="I830" s="77" t="str">
        <f>IFERROR(VLOOKUP($AA830,PLAN!$B:$AA,8,0),"")</f>
        <v>0103613189</v>
      </c>
      <c r="J830" s="77" t="str">
        <f>IFERROR(VLOOKUP($AA830,PLAN!$B:$AA,9,0),"")</f>
        <v>260815C03A</v>
      </c>
      <c r="K830" s="77">
        <f>IFERROR(VLOOKUP($AA830,PLAN!$B:$AA,10,0),"")</f>
        <v>2</v>
      </c>
      <c r="L830" s="77" t="str">
        <f>IFERROR(VLOOKUP($AA830,PLAN!$B:$AA,15,0),"")</f>
        <v>JAPAN</v>
      </c>
      <c r="M830" s="77">
        <f>IFERROR(VLOOKUP($AA830,PLAN!$B:$AA,18,0),"")</f>
        <v>0</v>
      </c>
      <c r="N830" s="227">
        <f>IFERROR(VLOOKUP($AA830,PLAN!$B:$AA,19,0),"")</f>
        <v>0</v>
      </c>
      <c r="O830" s="77" t="str">
        <f>IFERROR(VLOOKUP($AA830,PLAN!$B:$AA,12,0),"")</f>
        <v>2112345-0-C</v>
      </c>
      <c r="P830" s="77">
        <f>IFERROR(VLOOKUP($AA830,PLAN!$B:$AA,11,0),"")</f>
        <v>12116312</v>
      </c>
      <c r="Q830" s="349" t="s">
        <v>5219</v>
      </c>
      <c r="R830" s="158" t="s">
        <v>5220</v>
      </c>
      <c r="S830" s="149">
        <f t="shared" si="52"/>
        <v>2</v>
      </c>
      <c r="T830" s="131"/>
      <c r="U830" s="78">
        <f>IFERROR(VLOOKUP($AA830,PLAN!$B:$AA,21,0),"")</f>
        <v>46258</v>
      </c>
      <c r="V830" s="78" t="str">
        <f>IFERROR(VLOOKUP($AA830,PLAN!$B:$AA,22,0),"")</f>
        <v>M9</v>
      </c>
      <c r="W830" s="232"/>
      <c r="X830" s="233"/>
      <c r="Y830" s="212"/>
      <c r="Z830" s="350"/>
      <c r="AA830" s="195" t="s">
        <v>5127</v>
      </c>
      <c r="AB830" s="132">
        <f>VLOOKUP(AA830,PLAN!B:V,20,0)</f>
        <v>46258</v>
      </c>
      <c r="AC830" s="132"/>
    </row>
    <row r="831" spans="3:29" s="79" customFormat="1" ht="21.6" customHeight="1">
      <c r="C831" s="249" t="str">
        <f t="shared" si="51"/>
        <v>Aug29-48</v>
      </c>
      <c r="D831" s="77">
        <f>IFERROR(VLOOKUP($AA831,PLAN!$B:$AA,3,0),"")</f>
        <v>11134315</v>
      </c>
      <c r="E831" s="77" t="str">
        <f>IFERROR(VLOOKUP($AA831,PLAN!$B:$AA,4,0),"")</f>
        <v>1911354-E-A</v>
      </c>
      <c r="F831" s="77" t="str">
        <f>IFERROR(VLOOKUP($AA831,PLAN!$B:$AA,5,0),"")</f>
        <v>HJ80SP402P09000 JP</v>
      </c>
      <c r="G831" s="77" t="str">
        <f>IFERROR(VLOOKUP($AA831,PLAN!$B:$AA,2,0),"")</f>
        <v>1001947779</v>
      </c>
      <c r="H831" s="113">
        <f>IFERROR(VLOOKUP($AA831,PLAN!$B:$AA,7,0),"")</f>
        <v>46263</v>
      </c>
      <c r="I831" s="77" t="str">
        <f>IFERROR(VLOOKUP($AA831,PLAN!$B:$AA,8,0),"")</f>
        <v>0103613190</v>
      </c>
      <c r="J831" s="77" t="str">
        <f>IFERROR(VLOOKUP($AA831,PLAN!$B:$AA,9,0),"")</f>
        <v>260815C04A</v>
      </c>
      <c r="K831" s="77">
        <f>IFERROR(VLOOKUP($AA831,PLAN!$B:$AA,10,0),"")</f>
        <v>2</v>
      </c>
      <c r="L831" s="77" t="str">
        <f>IFERROR(VLOOKUP($AA831,PLAN!$B:$AA,15,0),"")</f>
        <v>JAPAN</v>
      </c>
      <c r="M831" s="77">
        <f>IFERROR(VLOOKUP($AA831,PLAN!$B:$AA,18,0),"")</f>
        <v>0</v>
      </c>
      <c r="N831" s="227">
        <f>IFERROR(VLOOKUP($AA831,PLAN!$B:$AA,19,0),"")</f>
        <v>0</v>
      </c>
      <c r="O831" s="77" t="str">
        <f>IFERROR(VLOOKUP($AA831,PLAN!$B:$AA,12,0),"")</f>
        <v>2112356-0-C</v>
      </c>
      <c r="P831" s="77">
        <f>IFERROR(VLOOKUP($AA831,PLAN!$B:$AA,11,0),"")</f>
        <v>12116323</v>
      </c>
      <c r="Q831" s="349" t="s">
        <v>5221</v>
      </c>
      <c r="R831" s="158" t="s">
        <v>5222</v>
      </c>
      <c r="S831" s="149">
        <f t="shared" si="52"/>
        <v>2</v>
      </c>
      <c r="T831" s="131"/>
      <c r="U831" s="78">
        <f>IFERROR(VLOOKUP($AA831,PLAN!$B:$AA,21,0),"")</f>
        <v>46258</v>
      </c>
      <c r="V831" s="78" t="str">
        <f>IFERROR(VLOOKUP($AA831,PLAN!$B:$AA,22,0),"")</f>
        <v>M9</v>
      </c>
      <c r="W831" s="232"/>
      <c r="X831" s="233"/>
      <c r="Y831" s="212"/>
      <c r="Z831" s="350"/>
      <c r="AA831" s="195" t="s">
        <v>5128</v>
      </c>
      <c r="AB831" s="132">
        <f>VLOOKUP(AA831,PLAN!B:V,20,0)</f>
        <v>46258</v>
      </c>
      <c r="AC831" s="132"/>
    </row>
    <row r="832" spans="3:29" s="79" customFormat="1" ht="21.6" customHeight="1">
      <c r="C832" s="249" t="str">
        <f t="shared" si="51"/>
        <v>Aug29-49</v>
      </c>
      <c r="D832" s="77">
        <f>IFERROR(VLOOKUP($AA832,PLAN!$B:$AA,3,0),"")</f>
        <v>11134278</v>
      </c>
      <c r="E832" s="77" t="str">
        <f>IFERROR(VLOOKUP($AA832,PLAN!$B:$AA,4,0),"")</f>
        <v>1911221-E-A</v>
      </c>
      <c r="F832" s="77" t="str">
        <f>IFERROR(VLOOKUP($AA832,PLAN!$B:$AA,5,0),"")</f>
        <v>HJ70SP300P10000 JP</v>
      </c>
      <c r="G832" s="77" t="str">
        <f>IFERROR(VLOOKUP($AA832,PLAN!$B:$AA,2,0),"")</f>
        <v>1001947780</v>
      </c>
      <c r="H832" s="113">
        <f>IFERROR(VLOOKUP($AA832,PLAN!$B:$AA,7,0),"")</f>
        <v>46263</v>
      </c>
      <c r="I832" s="77" t="str">
        <f>IFERROR(VLOOKUP($AA832,PLAN!$B:$AA,8,0),"")</f>
        <v>0103613191</v>
      </c>
      <c r="J832" s="77" t="str">
        <f>IFERROR(VLOOKUP($AA832,PLAN!$B:$AA,9,0),"")</f>
        <v>260815C05A</v>
      </c>
      <c r="K832" s="77">
        <f>IFERROR(VLOOKUP($AA832,PLAN!$B:$AA,10,0),"")</f>
        <v>4</v>
      </c>
      <c r="L832" s="77" t="str">
        <f>IFERROR(VLOOKUP($AA832,PLAN!$B:$AA,15,0),"")</f>
        <v>JAPAN</v>
      </c>
      <c r="M832" s="77">
        <f>IFERROR(VLOOKUP($AA832,PLAN!$B:$AA,18,0),"")</f>
        <v>0</v>
      </c>
      <c r="N832" s="227">
        <f>IFERROR(VLOOKUP($AA832,PLAN!$B:$AA,19,0),"")</f>
        <v>0</v>
      </c>
      <c r="O832" s="77" t="str">
        <f>IFERROR(VLOOKUP($AA832,PLAN!$B:$AA,12,0),"")</f>
        <v>2112223-0-C</v>
      </c>
      <c r="P832" s="77">
        <f>IFERROR(VLOOKUP($AA832,PLAN!$B:$AA,11,0),"")</f>
        <v>12116190</v>
      </c>
      <c r="Q832" s="349" t="s">
        <v>5215</v>
      </c>
      <c r="R832" s="158" t="s">
        <v>5216</v>
      </c>
      <c r="S832" s="149">
        <f t="shared" si="52"/>
        <v>4</v>
      </c>
      <c r="T832" s="131"/>
      <c r="U832" s="78">
        <f>IFERROR(VLOOKUP($AA832,PLAN!$B:$AA,21,0),"")</f>
        <v>46258</v>
      </c>
      <c r="V832" s="78" t="str">
        <f>IFERROR(VLOOKUP($AA832,PLAN!$B:$AA,22,0),"")</f>
        <v>M9</v>
      </c>
      <c r="W832" s="232"/>
      <c r="X832" s="233"/>
      <c r="Y832" s="212"/>
      <c r="Z832" s="350"/>
      <c r="AA832" s="195" t="s">
        <v>5129</v>
      </c>
      <c r="AB832" s="132">
        <f>VLOOKUP(AA832,PLAN!B:V,20,0)</f>
        <v>46258</v>
      </c>
      <c r="AC832" s="132"/>
    </row>
    <row r="833" spans="3:29" s="79" customFormat="1" ht="21.6" customHeight="1">
      <c r="C833" s="249" t="str">
        <f t="shared" si="51"/>
        <v>Aug29-50</v>
      </c>
      <c r="D833" s="77">
        <f>IFERROR(VLOOKUP($AA833,PLAN!$B:$AA,3,0),"")</f>
        <v>11134259</v>
      </c>
      <c r="E833" s="77" t="str">
        <f>IFERROR(VLOOKUP($AA833,PLAN!$B:$AA,4,0),"")</f>
        <v>1911096-E-A</v>
      </c>
      <c r="F833" s="77" t="str">
        <f>IFERROR(VLOOKUP($AA833,PLAN!$B:$AA,5,0),"")</f>
        <v>HJ60SP322P10020 JP</v>
      </c>
      <c r="G833" s="77" t="str">
        <f>IFERROR(VLOOKUP($AA833,PLAN!$B:$AA,2,0),"")</f>
        <v>1001947781</v>
      </c>
      <c r="H833" s="113">
        <f>IFERROR(VLOOKUP($AA833,PLAN!$B:$AA,7,0),"")</f>
        <v>46263</v>
      </c>
      <c r="I833" s="77" t="str">
        <f>IFERROR(VLOOKUP($AA833,PLAN!$B:$AA,8,0),"")</f>
        <v>0103613192</v>
      </c>
      <c r="J833" s="77" t="str">
        <f>IFERROR(VLOOKUP($AA833,PLAN!$B:$AA,9,0),"")</f>
        <v>260815C06A</v>
      </c>
      <c r="K833" s="77">
        <f>IFERROR(VLOOKUP($AA833,PLAN!$B:$AA,10,0),"")</f>
        <v>5</v>
      </c>
      <c r="L833" s="77" t="str">
        <f>IFERROR(VLOOKUP($AA833,PLAN!$B:$AA,15,0),"")</f>
        <v>JAPAN</v>
      </c>
      <c r="M833" s="77">
        <f>IFERROR(VLOOKUP($AA833,PLAN!$B:$AA,18,0),"")</f>
        <v>0</v>
      </c>
      <c r="N833" s="227">
        <f>IFERROR(VLOOKUP($AA833,PLAN!$B:$AA,19,0),"")</f>
        <v>0</v>
      </c>
      <c r="O833" s="77" t="str">
        <f>IFERROR(VLOOKUP($AA833,PLAN!$B:$AA,12,0),"")</f>
        <v>2112098-0-C</v>
      </c>
      <c r="P833" s="77">
        <f>IFERROR(VLOOKUP($AA833,PLAN!$B:$AA,11,0),"")</f>
        <v>12116063</v>
      </c>
      <c r="Q833" s="349" t="s">
        <v>5223</v>
      </c>
      <c r="R833" s="158" t="s">
        <v>5224</v>
      </c>
      <c r="S833" s="149">
        <f t="shared" si="52"/>
        <v>5</v>
      </c>
      <c r="T833" s="131"/>
      <c r="U833" s="78">
        <f>IFERROR(VLOOKUP($AA833,PLAN!$B:$AA,21,0),"")</f>
        <v>46258</v>
      </c>
      <c r="V833" s="78" t="str">
        <f>IFERROR(VLOOKUP($AA833,PLAN!$B:$AA,22,0),"")</f>
        <v>M9</v>
      </c>
      <c r="W833" s="232"/>
      <c r="X833" s="233"/>
      <c r="Y833" s="212"/>
      <c r="Z833" s="350"/>
      <c r="AA833" s="195" t="s">
        <v>5130</v>
      </c>
      <c r="AB833" s="132">
        <f>VLOOKUP(AA833,PLAN!B:V,20,0)</f>
        <v>46258</v>
      </c>
      <c r="AC833" s="132"/>
    </row>
    <row r="834" spans="3:29" s="79" customFormat="1" ht="21.6" customHeight="1">
      <c r="C834" s="249" t="str">
        <f t="shared" si="51"/>
        <v>Aug29-51</v>
      </c>
      <c r="D834" s="77">
        <f>IFERROR(VLOOKUP($AA834,PLAN!$B:$AA,3,0),"")</f>
        <v>11134313</v>
      </c>
      <c r="E834" s="77" t="str">
        <f>IFERROR(VLOOKUP($AA834,PLAN!$B:$AA,4,0),"")</f>
        <v>1911352-E-A</v>
      </c>
      <c r="F834" s="77" t="str">
        <f>IFERROR(VLOOKUP($AA834,PLAN!$B:$AA,5,0),"")</f>
        <v>HJ80SP400P10000 JP</v>
      </c>
      <c r="G834" s="77" t="str">
        <f>IFERROR(VLOOKUP($AA834,PLAN!$B:$AA,2,0),"")</f>
        <v>1001947782</v>
      </c>
      <c r="H834" s="113">
        <f>IFERROR(VLOOKUP($AA834,PLAN!$B:$AA,7,0),"")</f>
        <v>46263</v>
      </c>
      <c r="I834" s="77" t="str">
        <f>IFERROR(VLOOKUP($AA834,PLAN!$B:$AA,8,0),"")</f>
        <v>0103613193</v>
      </c>
      <c r="J834" s="77" t="str">
        <f>IFERROR(VLOOKUP($AA834,PLAN!$B:$AA,9,0),"")</f>
        <v>260815C07A</v>
      </c>
      <c r="K834" s="77">
        <f>IFERROR(VLOOKUP($AA834,PLAN!$B:$AA,10,0),"")</f>
        <v>6</v>
      </c>
      <c r="L834" s="77" t="str">
        <f>IFERROR(VLOOKUP($AA834,PLAN!$B:$AA,15,0),"")</f>
        <v>JAPAN</v>
      </c>
      <c r="M834" s="77">
        <f>IFERROR(VLOOKUP($AA834,PLAN!$B:$AA,18,0),"")</f>
        <v>0</v>
      </c>
      <c r="N834" s="227">
        <f>IFERROR(VLOOKUP($AA834,PLAN!$B:$AA,19,0),"")</f>
        <v>0</v>
      </c>
      <c r="O834" s="77" t="str">
        <f>IFERROR(VLOOKUP($AA834,PLAN!$B:$AA,12,0),"")</f>
        <v>2112354-0-C</v>
      </c>
      <c r="P834" s="77">
        <f>IFERROR(VLOOKUP($AA834,PLAN!$B:$AA,11,0),"")</f>
        <v>12116321</v>
      </c>
      <c r="Q834" s="349" t="s">
        <v>5225</v>
      </c>
      <c r="R834" s="158" t="s">
        <v>5226</v>
      </c>
      <c r="S834" s="149">
        <f t="shared" si="52"/>
        <v>6</v>
      </c>
      <c r="T834" s="131"/>
      <c r="U834" s="78">
        <f>IFERROR(VLOOKUP($AA834,PLAN!$B:$AA,21,0),"")</f>
        <v>46258</v>
      </c>
      <c r="V834" s="78" t="str">
        <f>IFERROR(VLOOKUP($AA834,PLAN!$B:$AA,22,0),"")</f>
        <v>M9</v>
      </c>
      <c r="W834" s="232"/>
      <c r="X834" s="233"/>
      <c r="Y834" s="212"/>
      <c r="Z834" s="350"/>
      <c r="AA834" s="195" t="s">
        <v>5131</v>
      </c>
      <c r="AB834" s="132">
        <f>VLOOKUP(AA834,PLAN!B:V,20,0)</f>
        <v>46258</v>
      </c>
      <c r="AC834" s="132"/>
    </row>
    <row r="835" spans="3:29" s="79" customFormat="1" ht="21.6" customHeight="1">
      <c r="C835" s="249" t="str">
        <f t="shared" si="51"/>
        <v>Aug29-52</v>
      </c>
      <c r="D835" s="77">
        <f>IFERROR(VLOOKUP($AA835,PLAN!$B:$AA,3,0),"")</f>
        <v>11134287</v>
      </c>
      <c r="E835" s="77" t="str">
        <f>IFERROR(VLOOKUP($AA835,PLAN!$B:$AA,4,0),"")</f>
        <v>1911230-F-A</v>
      </c>
      <c r="F835" s="77" t="str">
        <f>IFERROR(VLOOKUP($AA835,PLAN!$B:$AA,5,0),"")</f>
        <v>HJ70SP400P10000 JP</v>
      </c>
      <c r="G835" s="77" t="str">
        <f>IFERROR(VLOOKUP($AA835,PLAN!$B:$AA,2,0),"")</f>
        <v>1001947783</v>
      </c>
      <c r="H835" s="113">
        <f>IFERROR(VLOOKUP($AA835,PLAN!$B:$AA,7,0),"")</f>
        <v>46263</v>
      </c>
      <c r="I835" s="77" t="str">
        <f>IFERROR(VLOOKUP($AA835,PLAN!$B:$AA,8,0),"")</f>
        <v>0103613194</v>
      </c>
      <c r="J835" s="77" t="str">
        <f>IFERROR(VLOOKUP($AA835,PLAN!$B:$AA,9,0),"")</f>
        <v>260815C08A</v>
      </c>
      <c r="K835" s="77">
        <f>IFERROR(VLOOKUP($AA835,PLAN!$B:$AA,10,0),"")</f>
        <v>9</v>
      </c>
      <c r="L835" s="77" t="str">
        <f>IFERROR(VLOOKUP($AA835,PLAN!$B:$AA,15,0),"")</f>
        <v>JAPAN</v>
      </c>
      <c r="M835" s="77">
        <f>IFERROR(VLOOKUP($AA835,PLAN!$B:$AA,18,0),"")</f>
        <v>0</v>
      </c>
      <c r="N835" s="227">
        <f>IFERROR(VLOOKUP($AA835,PLAN!$B:$AA,19,0),"")</f>
        <v>0</v>
      </c>
      <c r="O835" s="77" t="str">
        <f>IFERROR(VLOOKUP($AA835,PLAN!$B:$AA,12,0),"")</f>
        <v>2112232-0-C</v>
      </c>
      <c r="P835" s="77">
        <f>IFERROR(VLOOKUP($AA835,PLAN!$B:$AA,11,0),"")</f>
        <v>12116199</v>
      </c>
      <c r="Q835" s="349" t="s">
        <v>5229</v>
      </c>
      <c r="R835" s="158" t="s">
        <v>5230</v>
      </c>
      <c r="S835" s="149">
        <f t="shared" si="52"/>
        <v>9</v>
      </c>
      <c r="T835" s="131"/>
      <c r="U835" s="78">
        <f>IFERROR(VLOOKUP($AA835,PLAN!$B:$AA,21,0),"")</f>
        <v>46258</v>
      </c>
      <c r="V835" s="78" t="str">
        <f>IFERROR(VLOOKUP($AA835,PLAN!$B:$AA,22,0),"")</f>
        <v>M9</v>
      </c>
      <c r="W835" s="232"/>
      <c r="X835" s="233"/>
      <c r="Y835" s="212"/>
      <c r="Z835" s="350"/>
      <c r="AA835" s="195" t="s">
        <v>5132</v>
      </c>
      <c r="AB835" s="132">
        <f>VLOOKUP(AA835,PLAN!B:V,20,0)</f>
        <v>46258</v>
      </c>
      <c r="AC835" s="132"/>
    </row>
    <row r="836" spans="3:29" s="79" customFormat="1" ht="21.6" customHeight="1">
      <c r="C836" s="249" t="str">
        <f t="shared" si="51"/>
        <v>Aug29-53</v>
      </c>
      <c r="D836" s="77">
        <f>IFERROR(VLOOKUP($AA836,PLAN!$B:$AA,3,0),"")</f>
        <v>11134266</v>
      </c>
      <c r="E836" s="77" t="str">
        <f>IFERROR(VLOOKUP($AA836,PLAN!$B:$AA,4,0),"")</f>
        <v>1911181-E-A</v>
      </c>
      <c r="F836" s="77" t="str">
        <f>IFERROR(VLOOKUP($AA836,PLAN!$B:$AA,5,0),"")</f>
        <v>HJ70PB300P10000 JP</v>
      </c>
      <c r="G836" s="77" t="str">
        <f>IFERROR(VLOOKUP($AA836,PLAN!$B:$AA,2,0),"")</f>
        <v>1001947784</v>
      </c>
      <c r="H836" s="113">
        <f>IFERROR(VLOOKUP($AA836,PLAN!$B:$AA,7,0),"")</f>
        <v>46263</v>
      </c>
      <c r="I836" s="77" t="str">
        <f>IFERROR(VLOOKUP($AA836,PLAN!$B:$AA,8,0),"")</f>
        <v>0103613195</v>
      </c>
      <c r="J836" s="77" t="str">
        <f>IFERROR(VLOOKUP($AA836,PLAN!$B:$AA,9,0),"")</f>
        <v>260815C09A</v>
      </c>
      <c r="K836" s="77">
        <f>IFERROR(VLOOKUP($AA836,PLAN!$B:$AA,10,0),"")</f>
        <v>11</v>
      </c>
      <c r="L836" s="77" t="str">
        <f>IFERROR(VLOOKUP($AA836,PLAN!$B:$AA,15,0),"")</f>
        <v>JAPAN</v>
      </c>
      <c r="M836" s="77">
        <f>IFERROR(VLOOKUP($AA836,PLAN!$B:$AA,18,0),"")</f>
        <v>0</v>
      </c>
      <c r="N836" s="227">
        <f>IFERROR(VLOOKUP($AA836,PLAN!$B:$AA,19,0),"")</f>
        <v>0</v>
      </c>
      <c r="O836" s="77" t="str">
        <f>IFERROR(VLOOKUP($AA836,PLAN!$B:$AA,12,0),"")</f>
        <v>2112183-0-C</v>
      </c>
      <c r="P836" s="77">
        <f>IFERROR(VLOOKUP($AA836,PLAN!$B:$AA,11,0),"")</f>
        <v>12116150</v>
      </c>
      <c r="Q836" s="349" t="s">
        <v>5231</v>
      </c>
      <c r="R836" s="158" t="s">
        <v>5232</v>
      </c>
      <c r="S836" s="149">
        <f t="shared" si="52"/>
        <v>11</v>
      </c>
      <c r="T836" s="131"/>
      <c r="U836" s="78">
        <f>IFERROR(VLOOKUP($AA836,PLAN!$B:$AA,21,0),"")</f>
        <v>46258</v>
      </c>
      <c r="V836" s="78" t="str">
        <f>IFERROR(VLOOKUP($AA836,PLAN!$B:$AA,22,0),"")</f>
        <v>M9</v>
      </c>
      <c r="W836" s="232"/>
      <c r="X836" s="233"/>
      <c r="Y836" s="212"/>
      <c r="Z836" s="350"/>
      <c r="AA836" s="195" t="s">
        <v>5133</v>
      </c>
      <c r="AB836" s="132">
        <f>VLOOKUP(AA836,PLAN!B:V,20,0)</f>
        <v>46258</v>
      </c>
      <c r="AC836" s="132"/>
    </row>
    <row r="837" spans="3:29" s="79" customFormat="1" ht="21.6" customHeight="1">
      <c r="C837" s="249" t="str">
        <f t="shared" si="51"/>
        <v>Aug29-54</v>
      </c>
      <c r="D837" s="77">
        <f>IFERROR(VLOOKUP($AA837,PLAN!$B:$AA,3,0),"")</f>
        <v>11134286</v>
      </c>
      <c r="E837" s="77" t="str">
        <f>IFERROR(VLOOKUP($AA837,PLAN!$B:$AA,4,0),"")</f>
        <v>1911229-E-A</v>
      </c>
      <c r="F837" s="77" t="str">
        <f>IFERROR(VLOOKUP($AA837,PLAN!$B:$AA,5,0),"")</f>
        <v>HJ70SP372P09020 JP</v>
      </c>
      <c r="G837" s="77" t="str">
        <f>IFERROR(VLOOKUP($AA837,PLAN!$B:$AA,2,0),"")</f>
        <v>1001947785</v>
      </c>
      <c r="H837" s="113">
        <f>IFERROR(VLOOKUP($AA837,PLAN!$B:$AA,7,0),"")</f>
        <v>46263</v>
      </c>
      <c r="I837" s="77" t="str">
        <f>IFERROR(VLOOKUP($AA837,PLAN!$B:$AA,8,0),"")</f>
        <v>0103613196</v>
      </c>
      <c r="J837" s="77" t="str">
        <f>IFERROR(VLOOKUP($AA837,PLAN!$B:$AA,9,0),"")</f>
        <v>260815C10A</v>
      </c>
      <c r="K837" s="77">
        <f>IFERROR(VLOOKUP($AA837,PLAN!$B:$AA,10,0),"")</f>
        <v>19</v>
      </c>
      <c r="L837" s="77" t="str">
        <f>IFERROR(VLOOKUP($AA837,PLAN!$B:$AA,15,0),"")</f>
        <v>JAPAN</v>
      </c>
      <c r="M837" s="77">
        <f>IFERROR(VLOOKUP($AA837,PLAN!$B:$AA,18,0),"")</f>
        <v>0</v>
      </c>
      <c r="N837" s="227">
        <f>IFERROR(VLOOKUP($AA837,PLAN!$B:$AA,19,0),"")</f>
        <v>0</v>
      </c>
      <c r="O837" s="77" t="str">
        <f>IFERROR(VLOOKUP($AA837,PLAN!$B:$AA,12,0),"")</f>
        <v>2112231-0-C</v>
      </c>
      <c r="P837" s="77">
        <f>IFERROR(VLOOKUP($AA837,PLAN!$B:$AA,11,0),"")</f>
        <v>12116198</v>
      </c>
      <c r="Q837" s="349" t="s">
        <v>5233</v>
      </c>
      <c r="R837" s="158" t="s">
        <v>5234</v>
      </c>
      <c r="S837" s="149">
        <f t="shared" si="52"/>
        <v>19</v>
      </c>
      <c r="T837" s="131"/>
      <c r="U837" s="78">
        <f>IFERROR(VLOOKUP($AA837,PLAN!$B:$AA,21,0),"")</f>
        <v>46258</v>
      </c>
      <c r="V837" s="78" t="str">
        <f>IFERROR(VLOOKUP($AA837,PLAN!$B:$AA,22,0),"")</f>
        <v>M9</v>
      </c>
      <c r="W837" s="232"/>
      <c r="X837" s="233"/>
      <c r="Y837" s="212"/>
      <c r="Z837" s="350"/>
      <c r="AA837" s="195" t="s">
        <v>5134</v>
      </c>
      <c r="AB837" s="132">
        <f>VLOOKUP(AA837,PLAN!B:V,20,0)</f>
        <v>46258</v>
      </c>
      <c r="AC837" s="132"/>
    </row>
    <row r="838" spans="3:29" s="79" customFormat="1" ht="21.6" customHeight="1">
      <c r="C838" s="249" t="str">
        <f t="shared" si="51"/>
        <v>Aug29-55</v>
      </c>
      <c r="D838" s="77">
        <f>IFERROR(VLOOKUP($AA838,PLAN!$B:$AA,3,0),"")</f>
        <v>11134253</v>
      </c>
      <c r="E838" s="77" t="str">
        <f>IFERROR(VLOOKUP($AA838,PLAN!$B:$AA,4,0),"")</f>
        <v>1911070-E-A</v>
      </c>
      <c r="F838" s="77" t="str">
        <f>IFERROR(VLOOKUP($AA838,PLAN!$B:$AA,5,0),"")</f>
        <v>HJ60PB352P10020 JP</v>
      </c>
      <c r="G838" s="77" t="str">
        <f>IFERROR(VLOOKUP($AA838,PLAN!$B:$AA,2,0),"")</f>
        <v>1001947786</v>
      </c>
      <c r="H838" s="113">
        <f>IFERROR(VLOOKUP($AA838,PLAN!$B:$AA,7,0),"")</f>
        <v>46263</v>
      </c>
      <c r="I838" s="77" t="str">
        <f>IFERROR(VLOOKUP($AA838,PLAN!$B:$AA,8,0),"")</f>
        <v>0103613197</v>
      </c>
      <c r="J838" s="77" t="str">
        <f>IFERROR(VLOOKUP($AA838,PLAN!$B:$AA,9,0),"")</f>
        <v>260815C11A</v>
      </c>
      <c r="K838" s="77">
        <f>IFERROR(VLOOKUP($AA838,PLAN!$B:$AA,10,0),"")</f>
        <v>29</v>
      </c>
      <c r="L838" s="77" t="str">
        <f>IFERROR(VLOOKUP($AA838,PLAN!$B:$AA,15,0),"")</f>
        <v>JAPAN</v>
      </c>
      <c r="M838" s="77">
        <f>IFERROR(VLOOKUP($AA838,PLAN!$B:$AA,18,0),"")</f>
        <v>0</v>
      </c>
      <c r="N838" s="227">
        <f>IFERROR(VLOOKUP($AA838,PLAN!$B:$AA,19,0),"")</f>
        <v>0</v>
      </c>
      <c r="O838" s="77" t="str">
        <f>IFERROR(VLOOKUP($AA838,PLAN!$B:$AA,12,0),"")</f>
        <v>2112072-0-C</v>
      </c>
      <c r="P838" s="77">
        <f>IFERROR(VLOOKUP($AA838,PLAN!$B:$AA,11,0),"")</f>
        <v>12116037</v>
      </c>
      <c r="Q838" s="349" t="s">
        <v>5235</v>
      </c>
      <c r="R838" s="158" t="s">
        <v>5236</v>
      </c>
      <c r="S838" s="149">
        <f t="shared" si="52"/>
        <v>29</v>
      </c>
      <c r="T838" s="131"/>
      <c r="U838" s="78">
        <f>IFERROR(VLOOKUP($AA838,PLAN!$B:$AA,21,0),"")</f>
        <v>46258</v>
      </c>
      <c r="V838" s="78" t="str">
        <f>IFERROR(VLOOKUP($AA838,PLAN!$B:$AA,22,0),"")</f>
        <v>M9</v>
      </c>
      <c r="W838" s="232"/>
      <c r="X838" s="233"/>
      <c r="Y838" s="212"/>
      <c r="Z838" s="350"/>
      <c r="AA838" s="195" t="s">
        <v>5135</v>
      </c>
      <c r="AB838" s="132">
        <f>VLOOKUP(AA838,PLAN!B:V,20,0)</f>
        <v>46258</v>
      </c>
      <c r="AC838" s="132"/>
    </row>
    <row r="839" spans="3:29" s="79" customFormat="1" ht="21.6" customHeight="1">
      <c r="C839" s="249" t="str">
        <f t="shared" si="51"/>
        <v>Aug29-56</v>
      </c>
      <c r="D839" s="77">
        <f>IFERROR(VLOOKUP($AA839,PLAN!$B:$AA,3,0),"")</f>
        <v>11134279</v>
      </c>
      <c r="E839" s="77" t="str">
        <f>IFERROR(VLOOKUP($AA839,PLAN!$B:$AA,4,0),"")</f>
        <v>1911222-E-A</v>
      </c>
      <c r="F839" s="77" t="str">
        <f>IFERROR(VLOOKUP($AA839,PLAN!$B:$AA,5,0),"")</f>
        <v>HJ70SP302P10020 JP</v>
      </c>
      <c r="G839" s="77" t="str">
        <f>IFERROR(VLOOKUP($AA839,PLAN!$B:$AA,2,0),"")</f>
        <v>1001947787</v>
      </c>
      <c r="H839" s="113">
        <f>IFERROR(VLOOKUP($AA839,PLAN!$B:$AA,7,0),"")</f>
        <v>46263</v>
      </c>
      <c r="I839" s="77" t="str">
        <f>IFERROR(VLOOKUP($AA839,PLAN!$B:$AA,8,0),"")</f>
        <v>0103613198</v>
      </c>
      <c r="J839" s="77" t="str">
        <f>IFERROR(VLOOKUP($AA839,PLAN!$B:$AA,9,0),"")</f>
        <v>260815C12A</v>
      </c>
      <c r="K839" s="77">
        <f>IFERROR(VLOOKUP($AA839,PLAN!$B:$AA,10,0),"")</f>
        <v>32</v>
      </c>
      <c r="L839" s="77" t="str">
        <f>IFERROR(VLOOKUP($AA839,PLAN!$B:$AA,15,0),"")</f>
        <v>JAPAN</v>
      </c>
      <c r="M839" s="77">
        <f>IFERROR(VLOOKUP($AA839,PLAN!$B:$AA,18,0),"")</f>
        <v>0</v>
      </c>
      <c r="N839" s="227">
        <f>IFERROR(VLOOKUP($AA839,PLAN!$B:$AA,19,0),"")</f>
        <v>0</v>
      </c>
      <c r="O839" s="77" t="str">
        <f>IFERROR(VLOOKUP($AA839,PLAN!$B:$AA,12,0),"")</f>
        <v>2112224-0-C</v>
      </c>
      <c r="P839" s="77">
        <f>IFERROR(VLOOKUP($AA839,PLAN!$B:$AA,11,0),"")</f>
        <v>12116191</v>
      </c>
      <c r="Q839" s="349" t="s">
        <v>5237</v>
      </c>
      <c r="R839" s="158" t="s">
        <v>5238</v>
      </c>
      <c r="S839" s="223">
        <v>6</v>
      </c>
      <c r="T839" s="131"/>
      <c r="U839" s="78">
        <f>IFERROR(VLOOKUP($AA839,PLAN!$B:$AA,21,0),"")</f>
        <v>46258</v>
      </c>
      <c r="V839" s="78" t="str">
        <f>IFERROR(VLOOKUP($AA839,PLAN!$B:$AA,22,0),"")</f>
        <v>M9</v>
      </c>
      <c r="W839" s="232"/>
      <c r="X839" s="233"/>
      <c r="Y839" s="212"/>
      <c r="Z839" s="350"/>
      <c r="AA839" s="195" t="s">
        <v>5136</v>
      </c>
      <c r="AB839" s="132">
        <f>VLOOKUP(AA839,PLAN!B:V,20,0)</f>
        <v>46258</v>
      </c>
      <c r="AC839" s="132"/>
    </row>
    <row r="840" spans="3:29" s="79" customFormat="1" ht="21.6" customHeight="1">
      <c r="C840" s="249"/>
      <c r="D840" s="77"/>
      <c r="E840" s="77"/>
      <c r="F840" s="77"/>
      <c r="G840" s="77"/>
      <c r="H840" s="113"/>
      <c r="I840" s="77"/>
      <c r="J840" s="77"/>
      <c r="K840" s="77"/>
      <c r="L840" s="77"/>
      <c r="M840" s="77"/>
      <c r="N840" s="227"/>
      <c r="O840" s="77"/>
      <c r="P840" s="77"/>
      <c r="Q840" s="349" t="s">
        <v>5239</v>
      </c>
      <c r="R840" s="158" t="s">
        <v>5240</v>
      </c>
      <c r="S840" s="223">
        <f>K839-S839</f>
        <v>26</v>
      </c>
      <c r="T840" s="131"/>
      <c r="U840" s="78"/>
      <c r="V840" s="78"/>
      <c r="W840" s="232"/>
      <c r="X840" s="233"/>
      <c r="Y840" s="212"/>
      <c r="Z840" s="350"/>
      <c r="AA840" s="195"/>
      <c r="AB840" s="132">
        <v>46258</v>
      </c>
      <c r="AC840" s="132"/>
    </row>
    <row r="841" spans="3:29" s="79" customFormat="1" ht="21.6" customHeight="1">
      <c r="C841" s="249" t="str">
        <f t="shared" si="51"/>
        <v>Aug29-57</v>
      </c>
      <c r="D841" s="77">
        <f>IFERROR(VLOOKUP($AA841,PLAN!$B:$AA,3,0),"")</f>
        <v>11134288</v>
      </c>
      <c r="E841" s="77" t="str">
        <f>IFERROR(VLOOKUP($AA841,PLAN!$B:$AA,4,0),"")</f>
        <v>1911231-F-A</v>
      </c>
      <c r="F841" s="77" t="str">
        <f>IFERROR(VLOOKUP($AA841,PLAN!$B:$AA,5,0),"")</f>
        <v>HJ70SP402P10020 JP</v>
      </c>
      <c r="G841" s="77" t="str">
        <f>IFERROR(VLOOKUP($AA841,PLAN!$B:$AA,2,0),"")</f>
        <v>1001947788</v>
      </c>
      <c r="H841" s="113">
        <f>IFERROR(VLOOKUP($AA841,PLAN!$B:$AA,7,0),"")</f>
        <v>46263</v>
      </c>
      <c r="I841" s="77" t="str">
        <f>IFERROR(VLOOKUP($AA841,PLAN!$B:$AA,8,0),"")</f>
        <v>0103613199</v>
      </c>
      <c r="J841" s="77" t="str">
        <f>IFERROR(VLOOKUP($AA841,PLAN!$B:$AA,9,0),"")</f>
        <v>260815C13A</v>
      </c>
      <c r="K841" s="77">
        <f>IFERROR(VLOOKUP($AA841,PLAN!$B:$AA,10,0),"")</f>
        <v>49</v>
      </c>
      <c r="L841" s="77" t="str">
        <f>IFERROR(VLOOKUP($AA841,PLAN!$B:$AA,15,0),"")</f>
        <v>JAPAN</v>
      </c>
      <c r="M841" s="77">
        <f>IFERROR(VLOOKUP($AA841,PLAN!$B:$AA,18,0),"")</f>
        <v>0</v>
      </c>
      <c r="N841" s="227">
        <f>IFERROR(VLOOKUP($AA841,PLAN!$B:$AA,19,0),"")</f>
        <v>0</v>
      </c>
      <c r="O841" s="77" t="str">
        <f>IFERROR(VLOOKUP($AA841,PLAN!$B:$AA,12,0),"")</f>
        <v>2112233-0-C</v>
      </c>
      <c r="P841" s="77">
        <f>IFERROR(VLOOKUP($AA841,PLAN!$B:$AA,11,0),"")</f>
        <v>12116200</v>
      </c>
      <c r="Q841" s="349" t="s">
        <v>3373</v>
      </c>
      <c r="R841" s="149" t="s">
        <v>3374</v>
      </c>
      <c r="S841" s="223">
        <v>3</v>
      </c>
      <c r="T841" s="131"/>
      <c r="U841" s="78">
        <f>IFERROR(VLOOKUP($AA841,PLAN!$B:$AA,21,0),"")</f>
        <v>46258</v>
      </c>
      <c r="V841" s="78" t="str">
        <f>IFERROR(VLOOKUP($AA841,PLAN!$B:$AA,22,0),"")</f>
        <v>M9</v>
      </c>
      <c r="W841" s="232"/>
      <c r="X841" s="233"/>
      <c r="Y841" s="212"/>
      <c r="Z841" s="350"/>
      <c r="AA841" s="195" t="s">
        <v>5137</v>
      </c>
      <c r="AB841" s="132">
        <f>VLOOKUP(AA841,PLAN!B:V,20,0)</f>
        <v>46258</v>
      </c>
      <c r="AC841" s="132"/>
    </row>
    <row r="842" spans="3:29" s="79" customFormat="1" ht="21.6" customHeight="1">
      <c r="C842" s="249"/>
      <c r="D842" s="77"/>
      <c r="E842" s="77"/>
      <c r="F842" s="77"/>
      <c r="G842" s="77"/>
      <c r="H842" s="113"/>
      <c r="I842" s="77"/>
      <c r="J842" s="77"/>
      <c r="K842" s="77"/>
      <c r="L842" s="77"/>
      <c r="M842" s="77"/>
      <c r="N842" s="227"/>
      <c r="O842" s="77"/>
      <c r="P842" s="77"/>
      <c r="Q842" s="349" t="s">
        <v>5241</v>
      </c>
      <c r="R842" s="158" t="s">
        <v>5242</v>
      </c>
      <c r="S842" s="223">
        <v>46</v>
      </c>
      <c r="T842" s="131"/>
      <c r="U842" s="78"/>
      <c r="V842" s="78"/>
      <c r="W842" s="232"/>
      <c r="X842" s="233"/>
      <c r="Y842" s="212"/>
      <c r="Z842" s="350"/>
      <c r="AA842" s="195"/>
      <c r="AB842" s="132">
        <v>46258</v>
      </c>
      <c r="AC842" s="132"/>
    </row>
    <row r="843" spans="3:29" s="79" customFormat="1" ht="21.6" customHeight="1">
      <c r="C843" s="249" t="str">
        <f t="shared" si="51"/>
        <v>Aug29-58</v>
      </c>
      <c r="D843" s="77">
        <f>IFERROR(VLOOKUP($AA843,PLAN!$B:$AA,3,0),"")</f>
        <v>11134270</v>
      </c>
      <c r="E843" s="77" t="str">
        <f>IFERROR(VLOOKUP($AA843,PLAN!$B:$AA,4,0),"")</f>
        <v>1911185-E-A</v>
      </c>
      <c r="F843" s="77" t="str">
        <f>IFERROR(VLOOKUP($AA843,PLAN!$B:$AA,5,0),"")</f>
        <v>HJ70PB350P10000 JP</v>
      </c>
      <c r="G843" s="77" t="str">
        <f>IFERROR(VLOOKUP($AA843,PLAN!$B:$AA,2,0),"")</f>
        <v>1001947789</v>
      </c>
      <c r="H843" s="113">
        <f>IFERROR(VLOOKUP($AA843,PLAN!$B:$AA,7,0),"")</f>
        <v>46263</v>
      </c>
      <c r="I843" s="77" t="str">
        <f>IFERROR(VLOOKUP($AA843,PLAN!$B:$AA,8,0),"")</f>
        <v>0103613200</v>
      </c>
      <c r="J843" s="77" t="str">
        <f>IFERROR(VLOOKUP($AA843,PLAN!$B:$AA,9,0),"")</f>
        <v>260815C14A</v>
      </c>
      <c r="K843" s="77">
        <f>IFERROR(VLOOKUP($AA843,PLAN!$B:$AA,10,0),"")</f>
        <v>57</v>
      </c>
      <c r="L843" s="77" t="str">
        <f>IFERROR(VLOOKUP($AA843,PLAN!$B:$AA,15,0),"")</f>
        <v>JAPAN</v>
      </c>
      <c r="M843" s="77">
        <f>IFERROR(VLOOKUP($AA843,PLAN!$B:$AA,18,0),"")</f>
        <v>0</v>
      </c>
      <c r="N843" s="227">
        <f>IFERROR(VLOOKUP($AA843,PLAN!$B:$AA,19,0),"")</f>
        <v>0</v>
      </c>
      <c r="O843" s="77" t="str">
        <f>IFERROR(VLOOKUP($AA843,PLAN!$B:$AA,12,0),"")</f>
        <v>2112187-0-C</v>
      </c>
      <c r="P843" s="77">
        <f>IFERROR(VLOOKUP($AA843,PLAN!$B:$AA,11,0),"")</f>
        <v>12116154</v>
      </c>
      <c r="Q843" s="349" t="s">
        <v>5245</v>
      </c>
      <c r="R843" s="158" t="s">
        <v>5246</v>
      </c>
      <c r="S843" s="223">
        <v>13</v>
      </c>
      <c r="T843" s="131"/>
      <c r="U843" s="78">
        <f>IFERROR(VLOOKUP($AA843,PLAN!$B:$AA,21,0),"")</f>
        <v>46258</v>
      </c>
      <c r="V843" s="78" t="str">
        <f>IFERROR(VLOOKUP($AA843,PLAN!$B:$AA,22,0),"")</f>
        <v>M9</v>
      </c>
      <c r="W843" s="232"/>
      <c r="X843" s="233"/>
      <c r="Y843" s="212"/>
      <c r="Z843" s="350"/>
      <c r="AA843" s="195" t="s">
        <v>5138</v>
      </c>
      <c r="AB843" s="132">
        <f>VLOOKUP(AA843,PLAN!B:V,20,0)</f>
        <v>46258</v>
      </c>
      <c r="AC843" s="132"/>
    </row>
    <row r="844" spans="3:29" s="79" customFormat="1" ht="21.6" customHeight="1">
      <c r="C844" s="249"/>
      <c r="D844" s="77"/>
      <c r="E844" s="77"/>
      <c r="F844" s="77"/>
      <c r="G844" s="77"/>
      <c r="H844" s="113"/>
      <c r="I844" s="77"/>
      <c r="J844" s="77"/>
      <c r="K844" s="77"/>
      <c r="L844" s="77"/>
      <c r="M844" s="77"/>
      <c r="N844" s="227"/>
      <c r="O844" s="77"/>
      <c r="P844" s="77"/>
      <c r="Q844" s="349" t="s">
        <v>5243</v>
      </c>
      <c r="R844" s="158" t="s">
        <v>5244</v>
      </c>
      <c r="S844" s="223">
        <f>K843-S843</f>
        <v>44</v>
      </c>
      <c r="T844" s="131"/>
      <c r="U844" s="78"/>
      <c r="V844" s="78"/>
      <c r="W844" s="232"/>
      <c r="X844" s="233"/>
      <c r="Y844" s="212"/>
      <c r="Z844" s="350"/>
      <c r="AA844" s="195"/>
      <c r="AB844" s="132">
        <v>46258</v>
      </c>
      <c r="AC844" s="132"/>
    </row>
    <row r="845" spans="3:29" s="79" customFormat="1" ht="21.6" customHeight="1">
      <c r="C845" s="249" t="str">
        <f t="shared" si="51"/>
        <v>Aug29-59</v>
      </c>
      <c r="D845" s="77">
        <f>IFERROR(VLOOKUP($AA845,PLAN!$B:$AA,3,0),"")</f>
        <v>11134278</v>
      </c>
      <c r="E845" s="77" t="str">
        <f>IFERROR(VLOOKUP($AA845,PLAN!$B:$AA,4,0),"")</f>
        <v>1911221-E-A</v>
      </c>
      <c r="F845" s="77" t="str">
        <f>IFERROR(VLOOKUP($AA845,PLAN!$B:$AA,5,0),"")</f>
        <v>HJ70SP300P10000 JP</v>
      </c>
      <c r="G845" s="77" t="str">
        <f>IFERROR(VLOOKUP($AA845,PLAN!$B:$AA,2,0),"")</f>
        <v>1001947790</v>
      </c>
      <c r="H845" s="113">
        <f>IFERROR(VLOOKUP($AA845,PLAN!$B:$AA,7,0),"")</f>
        <v>46263</v>
      </c>
      <c r="I845" s="77" t="str">
        <f>IFERROR(VLOOKUP($AA845,PLAN!$B:$AA,8,0),"")</f>
        <v>0103613201</v>
      </c>
      <c r="J845" s="77" t="str">
        <f>IFERROR(VLOOKUP($AA845,PLAN!$B:$AA,9,0),"")</f>
        <v>260815C15A</v>
      </c>
      <c r="K845" s="77">
        <f>IFERROR(VLOOKUP($AA845,PLAN!$B:$AA,10,0),"")</f>
        <v>65</v>
      </c>
      <c r="L845" s="77" t="str">
        <f>IFERROR(VLOOKUP($AA845,PLAN!$B:$AA,15,0),"")</f>
        <v>JAPAN</v>
      </c>
      <c r="M845" s="77">
        <f>IFERROR(VLOOKUP($AA845,PLAN!$B:$AA,18,0),"")</f>
        <v>0</v>
      </c>
      <c r="N845" s="227">
        <f>IFERROR(VLOOKUP($AA845,PLAN!$B:$AA,19,0),"")</f>
        <v>0</v>
      </c>
      <c r="O845" s="77" t="str">
        <f>IFERROR(VLOOKUP($AA845,PLAN!$B:$AA,12,0),"")</f>
        <v>2112223-0-C</v>
      </c>
      <c r="P845" s="77">
        <f>IFERROR(VLOOKUP($AA845,PLAN!$B:$AA,11,0),"")</f>
        <v>12116190</v>
      </c>
      <c r="Q845" s="349" t="s">
        <v>5211</v>
      </c>
      <c r="R845" s="158" t="s">
        <v>5212</v>
      </c>
      <c r="S845" s="149">
        <f t="shared" si="52"/>
        <v>65</v>
      </c>
      <c r="T845" s="131"/>
      <c r="U845" s="78">
        <f>IFERROR(VLOOKUP($AA845,PLAN!$B:$AA,21,0),"")</f>
        <v>46258</v>
      </c>
      <c r="V845" s="78" t="str">
        <f>IFERROR(VLOOKUP($AA845,PLAN!$B:$AA,22,0),"")</f>
        <v>M9</v>
      </c>
      <c r="W845" s="232"/>
      <c r="X845" s="233"/>
      <c r="Y845" s="212"/>
      <c r="Z845" s="350"/>
      <c r="AA845" s="195" t="s">
        <v>5139</v>
      </c>
      <c r="AB845" s="132">
        <f>VLOOKUP(AA845,PLAN!B:V,20,0)</f>
        <v>46258</v>
      </c>
      <c r="AC845" s="132"/>
    </row>
    <row r="846" spans="3:29" s="79" customFormat="1" ht="21.6" customHeight="1">
      <c r="C846" s="249" t="str">
        <f t="shared" si="51"/>
        <v>Aug29-60</v>
      </c>
      <c r="D846" s="77">
        <f>IFERROR(VLOOKUP($AA846,PLAN!$B:$AA,3,0),"")</f>
        <v>11134279</v>
      </c>
      <c r="E846" s="77" t="str">
        <f>IFERROR(VLOOKUP($AA846,PLAN!$B:$AA,4,0),"")</f>
        <v>1911222-E-A</v>
      </c>
      <c r="F846" s="77" t="str">
        <f>IFERROR(VLOOKUP($AA846,PLAN!$B:$AA,5,0),"")</f>
        <v>HJ70SP302P10020 JP</v>
      </c>
      <c r="G846" s="77" t="str">
        <f>IFERROR(VLOOKUP($AA846,PLAN!$B:$AA,2,0),"")</f>
        <v>1001947791</v>
      </c>
      <c r="H846" s="113">
        <f>IFERROR(VLOOKUP($AA846,PLAN!$B:$AA,7,0),"")</f>
        <v>46263</v>
      </c>
      <c r="I846" s="77" t="str">
        <f>IFERROR(VLOOKUP($AA846,PLAN!$B:$AA,8,0),"")</f>
        <v>0103613202</v>
      </c>
      <c r="J846" s="77" t="str">
        <f>IFERROR(VLOOKUP($AA846,PLAN!$B:$AA,9,0),"")</f>
        <v>260815C16A</v>
      </c>
      <c r="K846" s="77">
        <f>IFERROR(VLOOKUP($AA846,PLAN!$B:$AA,10,0),"")</f>
        <v>41</v>
      </c>
      <c r="L846" s="77" t="str">
        <f>IFERROR(VLOOKUP($AA846,PLAN!$B:$AA,15,0),"")</f>
        <v>JAPAN</v>
      </c>
      <c r="M846" s="77">
        <f>IFERROR(VLOOKUP($AA846,PLAN!$B:$AA,18,0),"")</f>
        <v>0</v>
      </c>
      <c r="N846" s="227">
        <f>IFERROR(VLOOKUP($AA846,PLAN!$B:$AA,19,0),"")</f>
        <v>0</v>
      </c>
      <c r="O846" s="77" t="str">
        <f>IFERROR(VLOOKUP($AA846,PLAN!$B:$AA,12,0),"")</f>
        <v>2112224-0-C</v>
      </c>
      <c r="P846" s="77">
        <f>IFERROR(VLOOKUP($AA846,PLAN!$B:$AA,11,0),"")</f>
        <v>12116191</v>
      </c>
      <c r="Q846" s="349" t="s">
        <v>5239</v>
      </c>
      <c r="R846" s="158" t="s">
        <v>5240</v>
      </c>
      <c r="S846" s="149">
        <f t="shared" si="52"/>
        <v>41</v>
      </c>
      <c r="T846" s="131"/>
      <c r="U846" s="78">
        <f>IFERROR(VLOOKUP($AA846,PLAN!$B:$AA,21,0),"")</f>
        <v>46258</v>
      </c>
      <c r="V846" s="78" t="str">
        <f>IFERROR(VLOOKUP($AA846,PLAN!$B:$AA,22,0),"")</f>
        <v>M9</v>
      </c>
      <c r="W846" s="232"/>
      <c r="X846" s="233"/>
      <c r="Y846" s="212"/>
      <c r="Z846" s="350"/>
      <c r="AA846" s="195" t="s">
        <v>5140</v>
      </c>
      <c r="AB846" s="132">
        <f>VLOOKUP(AA846,PLAN!B:V,20,0)</f>
        <v>46258</v>
      </c>
      <c r="AC846" s="132"/>
    </row>
    <row r="847" spans="3:29" s="79" customFormat="1" ht="21.6" customHeight="1">
      <c r="C847" s="249" t="str">
        <f t="shared" si="51"/>
        <v>Aug29-61</v>
      </c>
      <c r="D847" s="77">
        <f>IFERROR(VLOOKUP($AA847,PLAN!$B:$AA,3,0),"")</f>
        <v>11134272</v>
      </c>
      <c r="E847" s="77" t="str">
        <f>IFERROR(VLOOKUP($AA847,PLAN!$B:$AA,4,0),"")</f>
        <v>1911187-E-A</v>
      </c>
      <c r="F847" s="77" t="str">
        <f>IFERROR(VLOOKUP($AA847,PLAN!$B:$AA,5,0),"")</f>
        <v>HJ70PB352P10020 JP</v>
      </c>
      <c r="G847" s="77" t="str">
        <f>IFERROR(VLOOKUP($AA847,PLAN!$B:$AA,2,0),"")</f>
        <v>1001947792</v>
      </c>
      <c r="H847" s="113">
        <f>IFERROR(VLOOKUP($AA847,PLAN!$B:$AA,7,0),"")</f>
        <v>46263</v>
      </c>
      <c r="I847" s="77" t="str">
        <f>IFERROR(VLOOKUP($AA847,PLAN!$B:$AA,8,0),"")</f>
        <v>0103613203</v>
      </c>
      <c r="J847" s="77" t="str">
        <f>IFERROR(VLOOKUP($AA847,PLAN!$B:$AA,9,0),"")</f>
        <v>260815C17A</v>
      </c>
      <c r="K847" s="77">
        <f>IFERROR(VLOOKUP($AA847,PLAN!$B:$AA,10,0),"")</f>
        <v>69</v>
      </c>
      <c r="L847" s="77" t="str">
        <f>IFERROR(VLOOKUP($AA847,PLAN!$B:$AA,15,0),"")</f>
        <v>JAPAN</v>
      </c>
      <c r="M847" s="77">
        <f>IFERROR(VLOOKUP($AA847,PLAN!$B:$AA,18,0),"")</f>
        <v>0</v>
      </c>
      <c r="N847" s="227">
        <f>IFERROR(VLOOKUP($AA847,PLAN!$B:$AA,19,0),"")</f>
        <v>0</v>
      </c>
      <c r="O847" s="77" t="str">
        <f>IFERROR(VLOOKUP($AA847,PLAN!$B:$AA,12,0),"")</f>
        <v>2112189-0-C</v>
      </c>
      <c r="P847" s="77">
        <f>IFERROR(VLOOKUP($AA847,PLAN!$B:$AA,11,0),"")</f>
        <v>12116156</v>
      </c>
      <c r="Q847" s="349" t="s">
        <v>5247</v>
      </c>
      <c r="R847" s="158" t="s">
        <v>5248</v>
      </c>
      <c r="S847" s="149">
        <f t="shared" si="52"/>
        <v>69</v>
      </c>
      <c r="T847" s="131"/>
      <c r="U847" s="78">
        <f>IFERROR(VLOOKUP($AA847,PLAN!$B:$AA,21,0),"")</f>
        <v>46258</v>
      </c>
      <c r="V847" s="78" t="str">
        <f>IFERROR(VLOOKUP($AA847,PLAN!$B:$AA,22,0),"")</f>
        <v>M9</v>
      </c>
      <c r="W847" s="232"/>
      <c r="X847" s="233"/>
      <c r="Y847" s="212"/>
      <c r="Z847" s="350"/>
      <c r="AA847" s="195" t="s">
        <v>5141</v>
      </c>
      <c r="AB847" s="132">
        <f>VLOOKUP(AA847,PLAN!B:V,20,0)</f>
        <v>46258</v>
      </c>
      <c r="AC847" s="132"/>
    </row>
    <row r="848" spans="3:29" s="79" customFormat="1" ht="21.6" customHeight="1">
      <c r="C848" s="249" t="str">
        <f t="shared" si="51"/>
        <v>Aug29-62</v>
      </c>
      <c r="D848" s="77">
        <f>IFERROR(VLOOKUP($AA848,PLAN!$B:$AA,3,0),"")</f>
        <v>11134287</v>
      </c>
      <c r="E848" s="77" t="str">
        <f>IFERROR(VLOOKUP($AA848,PLAN!$B:$AA,4,0),"")</f>
        <v>1911230-F-A</v>
      </c>
      <c r="F848" s="77" t="str">
        <f>IFERROR(VLOOKUP($AA848,PLAN!$B:$AA,5,0),"")</f>
        <v>HJ70SP400P10000 JP</v>
      </c>
      <c r="G848" s="77" t="str">
        <f>IFERROR(VLOOKUP($AA848,PLAN!$B:$AA,2,0),"")</f>
        <v>1001947793</v>
      </c>
      <c r="H848" s="113">
        <f>IFERROR(VLOOKUP($AA848,PLAN!$B:$AA,7,0),"")</f>
        <v>46263</v>
      </c>
      <c r="I848" s="77" t="str">
        <f>IFERROR(VLOOKUP($AA848,PLAN!$B:$AA,8,0),"")</f>
        <v>0103613204</v>
      </c>
      <c r="J848" s="77" t="str">
        <f>IFERROR(VLOOKUP($AA848,PLAN!$B:$AA,9,0),"")</f>
        <v>260815C18A</v>
      </c>
      <c r="K848" s="77">
        <f>IFERROR(VLOOKUP($AA848,PLAN!$B:$AA,10,0),"")</f>
        <v>74</v>
      </c>
      <c r="L848" s="77" t="str">
        <f>IFERROR(VLOOKUP($AA848,PLAN!$B:$AA,15,0),"")</f>
        <v>JAPAN</v>
      </c>
      <c r="M848" s="77">
        <f>IFERROR(VLOOKUP($AA848,PLAN!$B:$AA,18,0),"")</f>
        <v>0</v>
      </c>
      <c r="N848" s="227">
        <f>IFERROR(VLOOKUP($AA848,PLAN!$B:$AA,19,0),"")</f>
        <v>0</v>
      </c>
      <c r="O848" s="77" t="str">
        <f>IFERROR(VLOOKUP($AA848,PLAN!$B:$AA,12,0),"")</f>
        <v>2112232-0-C</v>
      </c>
      <c r="P848" s="77">
        <f>IFERROR(VLOOKUP($AA848,PLAN!$B:$AA,11,0),"")</f>
        <v>12116199</v>
      </c>
      <c r="Q848" s="349" t="s">
        <v>5227</v>
      </c>
      <c r="R848" s="158" t="s">
        <v>5228</v>
      </c>
      <c r="S848" s="149">
        <f t="shared" si="52"/>
        <v>74</v>
      </c>
      <c r="T848" s="131"/>
      <c r="U848" s="78">
        <f>IFERROR(VLOOKUP($AA848,PLAN!$B:$AA,21,0),"")</f>
        <v>46258</v>
      </c>
      <c r="V848" s="78" t="str">
        <f>IFERROR(VLOOKUP($AA848,PLAN!$B:$AA,22,0),"")</f>
        <v>M9</v>
      </c>
      <c r="W848" s="232"/>
      <c r="X848" s="233"/>
      <c r="Y848" s="212"/>
      <c r="Z848" s="350"/>
      <c r="AA848" s="195" t="s">
        <v>5142</v>
      </c>
      <c r="AB848" s="132">
        <f>VLOOKUP(AA848,PLAN!B:V,20,0)</f>
        <v>46258</v>
      </c>
      <c r="AC848" s="132"/>
    </row>
    <row r="849" spans="3:29" s="79" customFormat="1" ht="21.6" customHeight="1">
      <c r="C849" s="249" t="str">
        <f t="shared" si="51"/>
        <v>Aug29-63</v>
      </c>
      <c r="D849" s="77">
        <f>IFERROR(VLOOKUP($AA849,PLAN!$B:$AA,3,0),"")</f>
        <v>11134284</v>
      </c>
      <c r="E849" s="77" t="str">
        <f>IFERROR(VLOOKUP($AA849,PLAN!$B:$AA,4,0),"")</f>
        <v>1911227-F-A</v>
      </c>
      <c r="F849" s="77" t="str">
        <f>IFERROR(VLOOKUP($AA849,PLAN!$B:$AA,5,0),"")</f>
        <v>HJ70SP370P10000 JP</v>
      </c>
      <c r="G849" s="77" t="str">
        <f>IFERROR(VLOOKUP($AA849,PLAN!$B:$AA,2,0),"")</f>
        <v>1001947794</v>
      </c>
      <c r="H849" s="113">
        <f>IFERROR(VLOOKUP($AA849,PLAN!$B:$AA,7,0),"")</f>
        <v>46263</v>
      </c>
      <c r="I849" s="77" t="str">
        <f>IFERROR(VLOOKUP($AA849,PLAN!$B:$AA,8,0),"")</f>
        <v>0103613205</v>
      </c>
      <c r="J849" s="77" t="str">
        <f>IFERROR(VLOOKUP($AA849,PLAN!$B:$AA,9,0),"")</f>
        <v>260815C19A</v>
      </c>
      <c r="K849" s="77">
        <f>IFERROR(VLOOKUP($AA849,PLAN!$B:$AA,10,0),"")</f>
        <v>203</v>
      </c>
      <c r="L849" s="77" t="str">
        <f>IFERROR(VLOOKUP($AA849,PLAN!$B:$AA,15,0),"")</f>
        <v>JAPAN</v>
      </c>
      <c r="M849" s="77">
        <f>IFERROR(VLOOKUP($AA849,PLAN!$B:$AA,18,0),"")</f>
        <v>0</v>
      </c>
      <c r="N849" s="227">
        <f>IFERROR(VLOOKUP($AA849,PLAN!$B:$AA,19,0),"")</f>
        <v>0</v>
      </c>
      <c r="O849" s="77" t="str">
        <f>IFERROR(VLOOKUP($AA849,PLAN!$B:$AA,12,0),"")</f>
        <v>2112229-0-C</v>
      </c>
      <c r="P849" s="77">
        <f>IFERROR(VLOOKUP($AA849,PLAN!$B:$AA,11,0),"")</f>
        <v>12116196</v>
      </c>
      <c r="Q849" s="349" t="s">
        <v>4636</v>
      </c>
      <c r="R849" s="158" t="s">
        <v>4637</v>
      </c>
      <c r="S849" s="223">
        <v>57</v>
      </c>
      <c r="T849" s="131"/>
      <c r="U849" s="78">
        <f>IFERROR(VLOOKUP($AA849,PLAN!$B:$AA,21,0),"")</f>
        <v>46258</v>
      </c>
      <c r="V849" s="78" t="str">
        <f>IFERROR(VLOOKUP($AA849,PLAN!$B:$AA,22,0),"")</f>
        <v>M9</v>
      </c>
      <c r="W849" s="232"/>
      <c r="X849" s="233"/>
      <c r="Y849" s="212"/>
      <c r="Z849" s="350"/>
      <c r="AA849" s="195" t="s">
        <v>5143</v>
      </c>
      <c r="AB849" s="132">
        <f>VLOOKUP(AA849,PLAN!B:V,20,0)</f>
        <v>46258</v>
      </c>
      <c r="AC849" s="132"/>
    </row>
    <row r="850" spans="3:29" s="79" customFormat="1" ht="21.6" customHeight="1">
      <c r="C850" s="249"/>
      <c r="D850" s="77"/>
      <c r="E850" s="77"/>
      <c r="F850" s="77"/>
      <c r="G850" s="77"/>
      <c r="H850" s="113"/>
      <c r="I850" s="77"/>
      <c r="J850" s="77"/>
      <c r="K850" s="77"/>
      <c r="L850" s="77"/>
      <c r="M850" s="77"/>
      <c r="N850" s="227"/>
      <c r="O850" s="77"/>
      <c r="P850" s="77"/>
      <c r="Q850" s="349" t="s">
        <v>5249</v>
      </c>
      <c r="R850" s="158" t="s">
        <v>5250</v>
      </c>
      <c r="S850" s="223">
        <f>K849-S849</f>
        <v>146</v>
      </c>
      <c r="T850" s="131"/>
      <c r="U850" s="78"/>
      <c r="V850" s="78"/>
      <c r="W850" s="232"/>
      <c r="X850" s="233"/>
      <c r="Y850" s="212"/>
      <c r="Z850" s="350"/>
      <c r="AA850" s="195"/>
      <c r="AB850" s="132">
        <v>46258</v>
      </c>
      <c r="AC850" s="132"/>
    </row>
    <row r="851" spans="3:29" s="79" customFormat="1" ht="21.6" customHeight="1">
      <c r="C851" s="249" t="str">
        <f t="shared" si="51"/>
        <v>Aug29-110</v>
      </c>
      <c r="D851" s="77">
        <f>IFERROR(VLOOKUP($AA851,PLAN!$B:$AA,3,0),"")</f>
        <v>11134283</v>
      </c>
      <c r="E851" s="77" t="str">
        <f>IFERROR(VLOOKUP($AA851,PLAN!$B:$AA,4,0),"")</f>
        <v>1911226-E-A</v>
      </c>
      <c r="F851" s="77" t="str">
        <f>IFERROR(VLOOKUP($AA851,PLAN!$B:$AA,5,0),"")</f>
        <v>HJ70SP352P09020 JP</v>
      </c>
      <c r="G851" s="77" t="str">
        <f>IFERROR(VLOOKUP($AA851,PLAN!$B:$AA,2,0),"")</f>
        <v>1001947863</v>
      </c>
      <c r="H851" s="113">
        <f>IFERROR(VLOOKUP($AA851,PLAN!$B:$AA,7,0),"")</f>
        <v>46263</v>
      </c>
      <c r="I851" s="77" t="str">
        <f>IFERROR(VLOOKUP($AA851,PLAN!$B:$AA,8,0),"")</f>
        <v>0103613282</v>
      </c>
      <c r="J851" s="77" t="str">
        <f>IFERROR(VLOOKUP($AA851,PLAN!$B:$AA,9,0),"")</f>
        <v>260815C66A</v>
      </c>
      <c r="K851" s="77">
        <f>IFERROR(VLOOKUP($AA851,PLAN!$B:$AA,10,0),"")</f>
        <v>7</v>
      </c>
      <c r="L851" s="77" t="str">
        <f>IFERROR(VLOOKUP($AA851,PLAN!$B:$AA,15,0),"")</f>
        <v>JAPAN</v>
      </c>
      <c r="M851" s="77">
        <f>IFERROR(VLOOKUP($AA851,PLAN!$B:$AA,18,0),"")</f>
        <v>0</v>
      </c>
      <c r="N851" s="227">
        <f>IFERROR(VLOOKUP($AA851,PLAN!$B:$AA,19,0),"")</f>
        <v>0</v>
      </c>
      <c r="O851" s="77" t="str">
        <f>IFERROR(VLOOKUP($AA851,PLAN!$B:$AA,12,0),"")</f>
        <v>2112228-0-C</v>
      </c>
      <c r="P851" s="77">
        <f>IFERROR(VLOOKUP($AA851,PLAN!$B:$AA,11,0),"")</f>
        <v>12116195</v>
      </c>
      <c r="Q851" s="349" t="s">
        <v>5251</v>
      </c>
      <c r="R851" s="158" t="s">
        <v>5252</v>
      </c>
      <c r="S851" s="149">
        <f t="shared" si="52"/>
        <v>7</v>
      </c>
      <c r="T851" s="131"/>
      <c r="U851" s="78">
        <f>IFERROR(VLOOKUP($AA851,PLAN!$B:$AA,21,0),"")</f>
        <v>46258</v>
      </c>
      <c r="V851" s="78" t="str">
        <f>IFERROR(VLOOKUP($AA851,PLAN!$B:$AA,22,0),"")</f>
        <v>M9</v>
      </c>
      <c r="W851" s="232"/>
      <c r="X851" s="233"/>
      <c r="Y851" s="212"/>
      <c r="Z851" s="350"/>
      <c r="AA851" s="195" t="s">
        <v>5190</v>
      </c>
      <c r="AB851" s="132">
        <f>VLOOKUP(AA851,PLAN!B:V,20,0)</f>
        <v>46258</v>
      </c>
      <c r="AC851" s="132"/>
    </row>
    <row r="852" spans="3:29" s="79" customFormat="1" ht="21.6" customHeight="1">
      <c r="C852" s="249" t="str">
        <f t="shared" si="51"/>
        <v>Aug29-111</v>
      </c>
      <c r="D852" s="77">
        <f>IFERROR(VLOOKUP($AA852,PLAN!$B:$AA,3,0),"")</f>
        <v>11130628</v>
      </c>
      <c r="E852" s="77" t="str">
        <f>IFERROR(VLOOKUP($AA852,PLAN!$B:$AA,4,0),"")</f>
        <v>2211100-C-A</v>
      </c>
      <c r="F852" s="77" t="str">
        <f>IFERROR(VLOOKUP($AA852,PLAN!$B:$AA,5,0),"")</f>
        <v>HW60IM000P10000 NOCE</v>
      </c>
      <c r="G852" s="77" t="str">
        <f>IFERROR(VLOOKUP($AA852,PLAN!$B:$AA,2,0),"")</f>
        <v>1001947864</v>
      </c>
      <c r="H852" s="113">
        <f>IFERROR(VLOOKUP($AA852,PLAN!$B:$AA,7,0),"")</f>
        <v>46263</v>
      </c>
      <c r="I852" s="77" t="str">
        <f>IFERROR(VLOOKUP($AA852,PLAN!$B:$AA,8,0),"")</f>
        <v>0103613285</v>
      </c>
      <c r="J852" s="77" t="str">
        <f>IFERROR(VLOOKUP($AA852,PLAN!$B:$AA,9,0),"")</f>
        <v>260815C67A</v>
      </c>
      <c r="K852" s="77">
        <f>IFERROR(VLOOKUP($AA852,PLAN!$B:$AA,10,0),"")</f>
        <v>2</v>
      </c>
      <c r="L852" s="77" t="str">
        <f>IFERROR(VLOOKUP($AA852,PLAN!$B:$AA,15,0),"")</f>
        <v>Oversea</v>
      </c>
      <c r="M852" s="77">
        <f>IFERROR(VLOOKUP($AA852,PLAN!$B:$AA,18,0),"")</f>
        <v>0</v>
      </c>
      <c r="N852" s="227">
        <f>IFERROR(VLOOKUP($AA852,PLAN!$B:$AA,19,0),"")</f>
        <v>0</v>
      </c>
      <c r="O852" s="77" t="str">
        <f>IFERROR(VLOOKUP($AA852,PLAN!$B:$AA,12,0),"")</f>
        <v>2112037-0-C</v>
      </c>
      <c r="P852" s="77">
        <f>IFERROR(VLOOKUP($AA852,PLAN!$B:$AA,11,0),"")</f>
        <v>12116002</v>
      </c>
      <c r="Q852" s="349" t="s">
        <v>5253</v>
      </c>
      <c r="R852" s="158" t="s">
        <v>5254</v>
      </c>
      <c r="S852" s="149">
        <f t="shared" si="52"/>
        <v>2</v>
      </c>
      <c r="T852" s="131"/>
      <c r="U852" s="78">
        <f>IFERROR(VLOOKUP($AA852,PLAN!$B:$AA,21,0),"")</f>
        <v>46258</v>
      </c>
      <c r="V852" s="78" t="str">
        <f>IFERROR(VLOOKUP($AA852,PLAN!$B:$AA,22,0),"")</f>
        <v>M9</v>
      </c>
      <c r="W852" s="232"/>
      <c r="X852" s="233"/>
      <c r="Y852" s="212"/>
      <c r="Z852" s="350"/>
      <c r="AA852" s="195" t="s">
        <v>5191</v>
      </c>
      <c r="AB852" s="132">
        <f>VLOOKUP(AA852,PLAN!B:V,20,0)</f>
        <v>46258</v>
      </c>
      <c r="AC852" s="132"/>
    </row>
    <row r="853" spans="3:29" s="79" customFormat="1" ht="21.6" customHeight="1">
      <c r="C853" s="249" t="str">
        <f t="shared" si="51"/>
        <v>Aug29-112</v>
      </c>
      <c r="D853" s="77">
        <f>IFERROR(VLOOKUP($AA853,PLAN!$B:$AA,3,0),"")</f>
        <v>11130545</v>
      </c>
      <c r="E853" s="77" t="str">
        <f>IFERROR(VLOOKUP($AA853,PLAN!$B:$AA,4,0),"")</f>
        <v>2211017-C-A</v>
      </c>
      <c r="F853" s="77" t="str">
        <f>IFERROR(VLOOKUP($AA853,PLAN!$B:$AA,5,0),"")</f>
        <v>HW60JL300P10000 NOCE</v>
      </c>
      <c r="G853" s="77" t="str">
        <f>IFERROR(VLOOKUP($AA853,PLAN!$B:$AA,2,0),"")</f>
        <v>1001947866</v>
      </c>
      <c r="H853" s="113">
        <f>IFERROR(VLOOKUP($AA853,PLAN!$B:$AA,7,0),"")</f>
        <v>46263</v>
      </c>
      <c r="I853" s="77" t="str">
        <f>IFERROR(VLOOKUP($AA853,PLAN!$B:$AA,8,0),"")</f>
        <v>0103613286</v>
      </c>
      <c r="J853" s="77" t="str">
        <f>IFERROR(VLOOKUP($AA853,PLAN!$B:$AA,9,0),"")</f>
        <v>260815C68A</v>
      </c>
      <c r="K853" s="77">
        <f>IFERROR(VLOOKUP($AA853,PLAN!$B:$AA,10,0),"")</f>
        <v>10</v>
      </c>
      <c r="L853" s="77" t="str">
        <f>IFERROR(VLOOKUP($AA853,PLAN!$B:$AA,15,0),"")</f>
        <v>Oversea</v>
      </c>
      <c r="M853" s="77">
        <f>IFERROR(VLOOKUP($AA853,PLAN!$B:$AA,18,0),"")</f>
        <v>0</v>
      </c>
      <c r="N853" s="227">
        <f>IFERROR(VLOOKUP($AA853,PLAN!$B:$AA,19,0),"")</f>
        <v>0</v>
      </c>
      <c r="O853" s="77" t="str">
        <f>IFERROR(VLOOKUP($AA853,PLAN!$B:$AA,12,0),"")</f>
        <v>2212013-0-C</v>
      </c>
      <c r="P853" s="77">
        <f>IFERROR(VLOOKUP($AA853,PLAN!$B:$AA,11,0),"")</f>
        <v>12124565</v>
      </c>
      <c r="Q853" s="349" t="s">
        <v>5255</v>
      </c>
      <c r="R853" s="158" t="s">
        <v>5256</v>
      </c>
      <c r="S853" s="149">
        <f t="shared" si="52"/>
        <v>10</v>
      </c>
      <c r="T853" s="131"/>
      <c r="U853" s="78">
        <f>IFERROR(VLOOKUP($AA853,PLAN!$B:$AA,21,0),"")</f>
        <v>46258</v>
      </c>
      <c r="V853" s="78" t="str">
        <f>IFERROR(VLOOKUP($AA853,PLAN!$B:$AA,22,0),"")</f>
        <v>M9</v>
      </c>
      <c r="W853" s="232"/>
      <c r="X853" s="233"/>
      <c r="Y853" s="212"/>
      <c r="Z853" s="350"/>
      <c r="AA853" s="195" t="s">
        <v>5192</v>
      </c>
      <c r="AB853" s="132">
        <f>VLOOKUP(AA853,PLAN!B:V,20,0)</f>
        <v>46258</v>
      </c>
      <c r="AC853" s="132"/>
    </row>
    <row r="854" spans="3:29" s="79" customFormat="1" ht="21.6" customHeight="1">
      <c r="C854" s="249" t="str">
        <f t="shared" si="51"/>
        <v>Aug29-64</v>
      </c>
      <c r="D854" s="77">
        <f>IFERROR(VLOOKUP($AA854,PLAN!$B:$AA,3,0),"")</f>
        <v>11119397</v>
      </c>
      <c r="E854" s="77" t="str">
        <f>IFERROR(VLOOKUP($AA854,PLAN!$B:$AA,4,0),"")</f>
        <v>1911065-D-A</v>
      </c>
      <c r="F854" s="77" t="str">
        <f>IFERROR(VLOOKUP($AA854,PLAN!$B:$AA,5,0),"")</f>
        <v>HJ60JR500P10020 JP</v>
      </c>
      <c r="G854" s="77" t="str">
        <f>IFERROR(VLOOKUP($AA854,PLAN!$B:$AA,2,0),"")</f>
        <v>1001947795</v>
      </c>
      <c r="H854" s="113">
        <f>IFERROR(VLOOKUP($AA854,PLAN!$B:$AA,7,0),"")</f>
        <v>46263</v>
      </c>
      <c r="I854" s="77" t="str">
        <f>IFERROR(VLOOKUP($AA854,PLAN!$B:$AA,8,0),"")</f>
        <v>0103613206</v>
      </c>
      <c r="J854" s="77" t="str">
        <f>IFERROR(VLOOKUP($AA854,PLAN!$B:$AA,9,0),"")</f>
        <v>260815C20A</v>
      </c>
      <c r="K854" s="77">
        <f>IFERROR(VLOOKUP($AA854,PLAN!$B:$AA,10,0),"")</f>
        <v>1</v>
      </c>
      <c r="L854" s="77" t="str">
        <f>IFERROR(VLOOKUP($AA854,PLAN!$B:$AA,15,0),"")</f>
        <v>JAPAN</v>
      </c>
      <c r="M854" s="77">
        <f>IFERROR(VLOOKUP($AA854,PLAN!$B:$AA,18,0),"")</f>
        <v>0</v>
      </c>
      <c r="N854" s="227">
        <f>IFERROR(VLOOKUP($AA854,PLAN!$B:$AA,19,0),"")</f>
        <v>0</v>
      </c>
      <c r="O854" s="77" t="str">
        <f>IFERROR(VLOOKUP($AA854,PLAN!$B:$AA,12,0),"")</f>
        <v>2112067-0-C</v>
      </c>
      <c r="P854" s="77">
        <f>IFERROR(VLOOKUP($AA854,PLAN!$B:$AA,11,0),"")</f>
        <v>12116032</v>
      </c>
      <c r="Q854" s="349" t="s">
        <v>5257</v>
      </c>
      <c r="R854" s="158" t="s">
        <v>5258</v>
      </c>
      <c r="S854" s="149">
        <f t="shared" si="52"/>
        <v>1</v>
      </c>
      <c r="T854" s="131"/>
      <c r="U854" s="78">
        <f>IFERROR(VLOOKUP($AA854,PLAN!$B:$AA,21,0),"")</f>
        <v>46258</v>
      </c>
      <c r="V854" s="78" t="str">
        <f>IFERROR(VLOOKUP($AA854,PLAN!$B:$AA,22,0),"")</f>
        <v>M10</v>
      </c>
      <c r="W854" s="232"/>
      <c r="X854" s="233"/>
      <c r="Y854" s="212"/>
      <c r="Z854" s="350"/>
      <c r="AA854" s="195" t="s">
        <v>5144</v>
      </c>
      <c r="AB854" s="132">
        <f>VLOOKUP(AA854,PLAN!B:V,20,0)</f>
        <v>46258</v>
      </c>
      <c r="AC854" s="132"/>
    </row>
    <row r="855" spans="3:29" s="79" customFormat="1" ht="21.6" customHeight="1">
      <c r="C855" s="249" t="str">
        <f t="shared" si="51"/>
        <v>Aug29-65</v>
      </c>
      <c r="D855" s="77">
        <f>IFERROR(VLOOKUP($AA855,PLAN!$B:$AA,3,0),"")</f>
        <v>11119408</v>
      </c>
      <c r="E855" s="77" t="str">
        <f>IFERROR(VLOOKUP($AA855,PLAN!$B:$AA,4,0),"")</f>
        <v>1911076-D-A</v>
      </c>
      <c r="F855" s="77" t="str">
        <f>IFERROR(VLOOKUP($AA855,PLAN!$B:$AA,5,0),"")</f>
        <v>HJ60RB102P10020 JP</v>
      </c>
      <c r="G855" s="77" t="str">
        <f>IFERROR(VLOOKUP($AA855,PLAN!$B:$AA,2,0),"")</f>
        <v>1001947796</v>
      </c>
      <c r="H855" s="113">
        <f>IFERROR(VLOOKUP($AA855,PLAN!$B:$AA,7,0),"")</f>
        <v>46263</v>
      </c>
      <c r="I855" s="77" t="str">
        <f>IFERROR(VLOOKUP($AA855,PLAN!$B:$AA,8,0),"")</f>
        <v>0103613207</v>
      </c>
      <c r="J855" s="77" t="str">
        <f>IFERROR(VLOOKUP($AA855,PLAN!$B:$AA,9,0),"")</f>
        <v>260815C21A</v>
      </c>
      <c r="K855" s="77">
        <f>IFERROR(VLOOKUP($AA855,PLAN!$B:$AA,10,0),"")</f>
        <v>1</v>
      </c>
      <c r="L855" s="77" t="str">
        <f>IFERROR(VLOOKUP($AA855,PLAN!$B:$AA,15,0),"")</f>
        <v>JAPAN</v>
      </c>
      <c r="M855" s="77">
        <f>IFERROR(VLOOKUP($AA855,PLAN!$B:$AA,18,0),"")</f>
        <v>0</v>
      </c>
      <c r="N855" s="227">
        <f>IFERROR(VLOOKUP($AA855,PLAN!$B:$AA,19,0),"")</f>
        <v>0</v>
      </c>
      <c r="O855" s="77" t="str">
        <f>IFERROR(VLOOKUP($AA855,PLAN!$B:$AA,12,0),"")</f>
        <v>2112078-0-C</v>
      </c>
      <c r="P855" s="77">
        <f>IFERROR(VLOOKUP($AA855,PLAN!$B:$AA,11,0),"")</f>
        <v>12116043</v>
      </c>
      <c r="Q855" s="349" t="s">
        <v>5259</v>
      </c>
      <c r="R855" s="158" t="s">
        <v>5260</v>
      </c>
      <c r="S855" s="149">
        <f t="shared" si="52"/>
        <v>1</v>
      </c>
      <c r="T855" s="131"/>
      <c r="U855" s="78">
        <f>IFERROR(VLOOKUP($AA855,PLAN!$B:$AA,21,0),"")</f>
        <v>46258</v>
      </c>
      <c r="V855" s="78" t="str">
        <f>IFERROR(VLOOKUP($AA855,PLAN!$B:$AA,22,0),"")</f>
        <v>M10</v>
      </c>
      <c r="W855" s="232"/>
      <c r="X855" s="233"/>
      <c r="Y855" s="212"/>
      <c r="Z855" s="350"/>
      <c r="AA855" s="195" t="s">
        <v>5145</v>
      </c>
      <c r="AB855" s="132">
        <f>VLOOKUP(AA855,PLAN!B:V,20,0)</f>
        <v>46258</v>
      </c>
      <c r="AC855" s="132"/>
    </row>
    <row r="856" spans="3:29" s="79" customFormat="1" ht="21.6" customHeight="1">
      <c r="C856" s="249" t="str">
        <f t="shared" si="51"/>
        <v>Aug29-66</v>
      </c>
      <c r="D856" s="77">
        <f>IFERROR(VLOOKUP($AA856,PLAN!$B:$AA,3,0),"")</f>
        <v>11119436</v>
      </c>
      <c r="E856" s="77" t="str">
        <f>IFERROR(VLOOKUP($AA856,PLAN!$B:$AA,4,0),"")</f>
        <v>2111063-D-A</v>
      </c>
      <c r="F856" s="77" t="str">
        <f>IFERROR(VLOOKUP($AA856,PLAN!$B:$AA,5,0),"")</f>
        <v>HJ60SL102P10000 JP</v>
      </c>
      <c r="G856" s="77" t="str">
        <f>IFERROR(VLOOKUP($AA856,PLAN!$B:$AA,2,0),"")</f>
        <v>1001947797</v>
      </c>
      <c r="H856" s="113">
        <f>IFERROR(VLOOKUP($AA856,PLAN!$B:$AA,7,0),"")</f>
        <v>46263</v>
      </c>
      <c r="I856" s="77" t="str">
        <f>IFERROR(VLOOKUP($AA856,PLAN!$B:$AA,8,0),"")</f>
        <v>0103613208</v>
      </c>
      <c r="J856" s="77" t="str">
        <f>IFERROR(VLOOKUP($AA856,PLAN!$B:$AA,9,0),"")</f>
        <v>260815C22A</v>
      </c>
      <c r="K856" s="77">
        <f>IFERROR(VLOOKUP($AA856,PLAN!$B:$AA,10,0),"")</f>
        <v>1</v>
      </c>
      <c r="L856" s="77" t="str">
        <f>IFERROR(VLOOKUP($AA856,PLAN!$B:$AA,15,0),"")</f>
        <v>JAPAN</v>
      </c>
      <c r="M856" s="77">
        <f>IFERROR(VLOOKUP($AA856,PLAN!$B:$AA,18,0),"")</f>
        <v>0</v>
      </c>
      <c r="N856" s="227">
        <f>IFERROR(VLOOKUP($AA856,PLAN!$B:$AA,19,0),"")</f>
        <v>0</v>
      </c>
      <c r="O856" s="77" t="str">
        <f>IFERROR(VLOOKUP($AA856,PLAN!$B:$AA,12,0),"")</f>
        <v>2112002-A-C</v>
      </c>
      <c r="P856" s="77">
        <f>IFERROR(VLOOKUP($AA856,PLAN!$B:$AA,11,0),"")</f>
        <v>12116071</v>
      </c>
      <c r="Q856" s="349" t="s">
        <v>5261</v>
      </c>
      <c r="R856" s="158" t="s">
        <v>5262</v>
      </c>
      <c r="S856" s="149">
        <f t="shared" si="52"/>
        <v>1</v>
      </c>
      <c r="T856" s="131"/>
      <c r="U856" s="78">
        <f>IFERROR(VLOOKUP($AA856,PLAN!$B:$AA,21,0),"")</f>
        <v>46258</v>
      </c>
      <c r="V856" s="78" t="str">
        <f>IFERROR(VLOOKUP($AA856,PLAN!$B:$AA,22,0),"")</f>
        <v>M10</v>
      </c>
      <c r="W856" s="232"/>
      <c r="X856" s="233"/>
      <c r="Y856" s="212"/>
      <c r="Z856" s="350"/>
      <c r="AA856" s="195" t="s">
        <v>5146</v>
      </c>
      <c r="AB856" s="132">
        <f>VLOOKUP(AA856,PLAN!B:V,20,0)</f>
        <v>46258</v>
      </c>
      <c r="AC856" s="132"/>
    </row>
    <row r="857" spans="3:29" s="79" customFormat="1" ht="21.6" customHeight="1">
      <c r="C857" s="249" t="str">
        <f t="shared" si="51"/>
        <v>Aug29-67</v>
      </c>
      <c r="D857" s="77">
        <f>IFERROR(VLOOKUP($AA857,PLAN!$B:$AA,3,0),"")</f>
        <v>11119657</v>
      </c>
      <c r="E857" s="77" t="str">
        <f>IFERROR(VLOOKUP($AA857,PLAN!$B:$AA,4,0),"")</f>
        <v>1911323-D-A</v>
      </c>
      <c r="F857" s="77" t="str">
        <f>IFERROR(VLOOKUP($AA857,PLAN!$B:$AA,5,0),"")</f>
        <v>HJ80AL070P10002 JP</v>
      </c>
      <c r="G857" s="77" t="str">
        <f>IFERROR(VLOOKUP($AA857,PLAN!$B:$AA,2,0),"")</f>
        <v>1001947798</v>
      </c>
      <c r="H857" s="113">
        <f>IFERROR(VLOOKUP($AA857,PLAN!$B:$AA,7,0),"")</f>
        <v>46263</v>
      </c>
      <c r="I857" s="77" t="str">
        <f>IFERROR(VLOOKUP($AA857,PLAN!$B:$AA,8,0),"")</f>
        <v>0103613209</v>
      </c>
      <c r="J857" s="77" t="str">
        <f>IFERROR(VLOOKUP($AA857,PLAN!$B:$AA,9,0),"")</f>
        <v>260815C23A</v>
      </c>
      <c r="K857" s="77">
        <f>IFERROR(VLOOKUP($AA857,PLAN!$B:$AA,10,0),"")</f>
        <v>1</v>
      </c>
      <c r="L857" s="77" t="str">
        <f>IFERROR(VLOOKUP($AA857,PLAN!$B:$AA,15,0),"")</f>
        <v>JAPAN</v>
      </c>
      <c r="M857" s="77">
        <f>IFERROR(VLOOKUP($AA857,PLAN!$B:$AA,18,0),"")</f>
        <v>0</v>
      </c>
      <c r="N857" s="227">
        <f>IFERROR(VLOOKUP($AA857,PLAN!$B:$AA,19,0),"")</f>
        <v>0</v>
      </c>
      <c r="O857" s="77" t="str">
        <f>IFERROR(VLOOKUP($AA857,PLAN!$B:$AA,12,0),"")</f>
        <v>2112325-0-C</v>
      </c>
      <c r="P857" s="77">
        <f>IFERROR(VLOOKUP($AA857,PLAN!$B:$AA,11,0),"")</f>
        <v>12116292</v>
      </c>
      <c r="Q857" s="349" t="s">
        <v>5263</v>
      </c>
      <c r="R857" s="158" t="s">
        <v>5264</v>
      </c>
      <c r="S857" s="149">
        <f t="shared" si="52"/>
        <v>1</v>
      </c>
      <c r="T857" s="131"/>
      <c r="U857" s="78">
        <f>IFERROR(VLOOKUP($AA857,PLAN!$B:$AA,21,0),"")</f>
        <v>46258</v>
      </c>
      <c r="V857" s="78" t="str">
        <f>IFERROR(VLOOKUP($AA857,PLAN!$B:$AA,22,0),"")</f>
        <v>M10</v>
      </c>
      <c r="W857" s="232"/>
      <c r="X857" s="233"/>
      <c r="Y857" s="212"/>
      <c r="Z857" s="350"/>
      <c r="AA857" s="195" t="s">
        <v>5147</v>
      </c>
      <c r="AB857" s="132">
        <f>VLOOKUP(AA857,PLAN!B:V,20,0)</f>
        <v>46258</v>
      </c>
      <c r="AC857" s="132"/>
    </row>
    <row r="858" spans="3:29" s="79" customFormat="1" ht="21.6" customHeight="1">
      <c r="C858" s="249" t="str">
        <f t="shared" si="51"/>
        <v>Aug29-68</v>
      </c>
      <c r="D858" s="77">
        <f>IFERROR(VLOOKUP($AA858,PLAN!$B:$AA,3,0),"")</f>
        <v>11119613</v>
      </c>
      <c r="E858" s="77" t="str">
        <f>IFERROR(VLOOKUP($AA858,PLAN!$B:$AA,4,0),"")</f>
        <v>1911279-D-A</v>
      </c>
      <c r="F858" s="77" t="str">
        <f>IFERROR(VLOOKUP($AA858,PLAN!$B:$AA,5,0),"")</f>
        <v>HJ80JL402P09000 JP</v>
      </c>
      <c r="G858" s="77" t="str">
        <f>IFERROR(VLOOKUP($AA858,PLAN!$B:$AA,2,0),"")</f>
        <v>1001947799</v>
      </c>
      <c r="H858" s="113">
        <f>IFERROR(VLOOKUP($AA858,PLAN!$B:$AA,7,0),"")</f>
        <v>46263</v>
      </c>
      <c r="I858" s="77" t="str">
        <f>IFERROR(VLOOKUP($AA858,PLAN!$B:$AA,8,0),"")</f>
        <v>0103613210</v>
      </c>
      <c r="J858" s="77" t="str">
        <f>IFERROR(VLOOKUP($AA858,PLAN!$B:$AA,9,0),"")</f>
        <v>260815C24A</v>
      </c>
      <c r="K858" s="77">
        <f>IFERROR(VLOOKUP($AA858,PLAN!$B:$AA,10,0),"")</f>
        <v>1</v>
      </c>
      <c r="L858" s="77" t="str">
        <f>IFERROR(VLOOKUP($AA858,PLAN!$B:$AA,15,0),"")</f>
        <v>JAPAN</v>
      </c>
      <c r="M858" s="77">
        <f>IFERROR(VLOOKUP($AA858,PLAN!$B:$AA,18,0),"")</f>
        <v>0</v>
      </c>
      <c r="N858" s="227">
        <f>IFERROR(VLOOKUP($AA858,PLAN!$B:$AA,19,0),"")</f>
        <v>0</v>
      </c>
      <c r="O858" s="77" t="str">
        <f>IFERROR(VLOOKUP($AA858,PLAN!$B:$AA,12,0),"")</f>
        <v>2112281-0-C</v>
      </c>
      <c r="P858" s="77">
        <f>IFERROR(VLOOKUP($AA858,PLAN!$B:$AA,11,0),"")</f>
        <v>12116248</v>
      </c>
      <c r="Q858" s="349" t="s">
        <v>5265</v>
      </c>
      <c r="R858" s="158" t="s">
        <v>5266</v>
      </c>
      <c r="S858" s="149">
        <f t="shared" si="52"/>
        <v>1</v>
      </c>
      <c r="T858" s="131"/>
      <c r="U858" s="78">
        <f>IFERROR(VLOOKUP($AA858,PLAN!$B:$AA,21,0),"")</f>
        <v>46258</v>
      </c>
      <c r="V858" s="78" t="str">
        <f>IFERROR(VLOOKUP($AA858,PLAN!$B:$AA,22,0),"")</f>
        <v>M10</v>
      </c>
      <c r="W858" s="232"/>
      <c r="X858" s="233"/>
      <c r="Y858" s="212"/>
      <c r="Z858" s="350"/>
      <c r="AA858" s="195" t="s">
        <v>5148</v>
      </c>
      <c r="AB858" s="132">
        <f>VLOOKUP(AA858,PLAN!B:V,20,0)</f>
        <v>46258</v>
      </c>
      <c r="AC858" s="132"/>
    </row>
    <row r="859" spans="3:29" s="79" customFormat="1" ht="21.6" customHeight="1">
      <c r="C859" s="249" t="str">
        <f t="shared" si="51"/>
        <v>Aug29-69</v>
      </c>
      <c r="D859" s="77">
        <f>IFERROR(VLOOKUP($AA859,PLAN!$B:$AA,3,0),"")</f>
        <v>11119632</v>
      </c>
      <c r="E859" s="77" t="str">
        <f>IFERROR(VLOOKUP($AA859,PLAN!$B:$AA,4,0),"")</f>
        <v>1911298-D-A</v>
      </c>
      <c r="F859" s="77" t="str">
        <f>IFERROR(VLOOKUP($AA859,PLAN!$B:$AA,5,0),"")</f>
        <v>HJ80JR402P09000 JP</v>
      </c>
      <c r="G859" s="77" t="str">
        <f>IFERROR(VLOOKUP($AA859,PLAN!$B:$AA,2,0),"")</f>
        <v>1001947800</v>
      </c>
      <c r="H859" s="113">
        <f>IFERROR(VLOOKUP($AA859,PLAN!$B:$AA,7,0),"")</f>
        <v>46263</v>
      </c>
      <c r="I859" s="77" t="str">
        <f>IFERROR(VLOOKUP($AA859,PLAN!$B:$AA,8,0),"")</f>
        <v>0103613211</v>
      </c>
      <c r="J859" s="77" t="str">
        <f>IFERROR(VLOOKUP($AA859,PLAN!$B:$AA,9,0),"")</f>
        <v>260815C25A</v>
      </c>
      <c r="K859" s="77">
        <f>IFERROR(VLOOKUP($AA859,PLAN!$B:$AA,10,0),"")</f>
        <v>1</v>
      </c>
      <c r="L859" s="77" t="str">
        <f>IFERROR(VLOOKUP($AA859,PLAN!$B:$AA,15,0),"")</f>
        <v>JAPAN</v>
      </c>
      <c r="M859" s="77">
        <f>IFERROR(VLOOKUP($AA859,PLAN!$B:$AA,18,0),"")</f>
        <v>0</v>
      </c>
      <c r="N859" s="227">
        <f>IFERROR(VLOOKUP($AA859,PLAN!$B:$AA,19,0),"")</f>
        <v>0</v>
      </c>
      <c r="O859" s="77" t="str">
        <f>IFERROR(VLOOKUP($AA859,PLAN!$B:$AA,12,0),"")</f>
        <v>2112300-0-C</v>
      </c>
      <c r="P859" s="77">
        <f>IFERROR(VLOOKUP($AA859,PLAN!$B:$AA,11,0),"")</f>
        <v>12116267</v>
      </c>
      <c r="Q859" s="349" t="s">
        <v>5267</v>
      </c>
      <c r="R859" s="158" t="s">
        <v>5268</v>
      </c>
      <c r="S859" s="149">
        <f t="shared" si="52"/>
        <v>1</v>
      </c>
      <c r="T859" s="131"/>
      <c r="U859" s="78">
        <f>IFERROR(VLOOKUP($AA859,PLAN!$B:$AA,21,0),"")</f>
        <v>46258</v>
      </c>
      <c r="V859" s="78" t="str">
        <f>IFERROR(VLOOKUP($AA859,PLAN!$B:$AA,22,0),"")</f>
        <v>M10</v>
      </c>
      <c r="W859" s="232"/>
      <c r="X859" s="233"/>
      <c r="Y859" s="212"/>
      <c r="Z859" s="350"/>
      <c r="AA859" s="195" t="s">
        <v>5149</v>
      </c>
      <c r="AB859" s="132">
        <f>VLOOKUP(AA859,PLAN!B:V,20,0)</f>
        <v>46258</v>
      </c>
      <c r="AC859" s="132"/>
    </row>
    <row r="860" spans="3:29" s="79" customFormat="1" ht="21.6" customHeight="1">
      <c r="C860" s="249" t="str">
        <f t="shared" si="51"/>
        <v>Aug29-70</v>
      </c>
      <c r="D860" s="77">
        <f>IFERROR(VLOOKUP($AA860,PLAN!$B:$AA,3,0),"")</f>
        <v>11119341</v>
      </c>
      <c r="E860" s="77" t="str">
        <f>IFERROR(VLOOKUP($AA860,PLAN!$B:$AA,4,0),"")</f>
        <v>1911009-D-A</v>
      </c>
      <c r="F860" s="77" t="str">
        <f>IFERROR(VLOOKUP($AA860,PLAN!$B:$AA,5,0),"")</f>
        <v>HJ60AL100P10021 JP</v>
      </c>
      <c r="G860" s="77" t="str">
        <f>IFERROR(VLOOKUP($AA860,PLAN!$B:$AA,2,0),"")</f>
        <v>1001947801</v>
      </c>
      <c r="H860" s="113">
        <f>IFERROR(VLOOKUP($AA860,PLAN!$B:$AA,7,0),"")</f>
        <v>46263</v>
      </c>
      <c r="I860" s="77" t="str">
        <f>IFERROR(VLOOKUP($AA860,PLAN!$B:$AA,8,0),"")</f>
        <v>0103613212</v>
      </c>
      <c r="J860" s="77" t="str">
        <f>IFERROR(VLOOKUP($AA860,PLAN!$B:$AA,9,0),"")</f>
        <v>260815C26A</v>
      </c>
      <c r="K860" s="77">
        <f>IFERROR(VLOOKUP($AA860,PLAN!$B:$AA,10,0),"")</f>
        <v>2</v>
      </c>
      <c r="L860" s="77" t="str">
        <f>IFERROR(VLOOKUP($AA860,PLAN!$B:$AA,15,0),"")</f>
        <v>JAPAN</v>
      </c>
      <c r="M860" s="77">
        <f>IFERROR(VLOOKUP($AA860,PLAN!$B:$AA,18,0),"")</f>
        <v>0</v>
      </c>
      <c r="N860" s="227">
        <f>IFERROR(VLOOKUP($AA860,PLAN!$B:$AA,19,0),"")</f>
        <v>0</v>
      </c>
      <c r="O860" s="77" t="str">
        <f>IFERROR(VLOOKUP($AA860,PLAN!$B:$AA,12,0),"")</f>
        <v>2112011-0-C</v>
      </c>
      <c r="P860" s="77">
        <f>IFERROR(VLOOKUP($AA860,PLAN!$B:$AA,11,0),"")</f>
        <v>12115976</v>
      </c>
      <c r="Q860" s="349" t="s">
        <v>5269</v>
      </c>
      <c r="R860" s="158" t="s">
        <v>5270</v>
      </c>
      <c r="S860" s="149">
        <f t="shared" si="52"/>
        <v>2</v>
      </c>
      <c r="T860" s="131"/>
      <c r="U860" s="78">
        <f>IFERROR(VLOOKUP($AA860,PLAN!$B:$AA,21,0),"")</f>
        <v>46258</v>
      </c>
      <c r="V860" s="78" t="str">
        <f>IFERROR(VLOOKUP($AA860,PLAN!$B:$AA,22,0),"")</f>
        <v>M10</v>
      </c>
      <c r="W860" s="232"/>
      <c r="X860" s="233"/>
      <c r="Y860" s="212"/>
      <c r="Z860" s="350"/>
      <c r="AA860" s="195" t="s">
        <v>5150</v>
      </c>
      <c r="AB860" s="132">
        <f>VLOOKUP(AA860,PLAN!B:V,20,0)</f>
        <v>46258</v>
      </c>
      <c r="AC860" s="132"/>
    </row>
    <row r="861" spans="3:29" s="79" customFormat="1" ht="21.6" customHeight="1">
      <c r="C861" s="249" t="str">
        <f t="shared" si="51"/>
        <v>Aug29-71</v>
      </c>
      <c r="D861" s="77">
        <f>IFERROR(VLOOKUP($AA861,PLAN!$B:$AA,3,0),"")</f>
        <v>11119496</v>
      </c>
      <c r="E861" s="77" t="str">
        <f>IFERROR(VLOOKUP($AA861,PLAN!$B:$AA,4,0),"")</f>
        <v>1911162-D-A</v>
      </c>
      <c r="F861" s="77" t="str">
        <f>IFERROR(VLOOKUP($AA861,PLAN!$B:$AA,5,0),"")</f>
        <v>HJ70JL452P10020 JP</v>
      </c>
      <c r="G861" s="77" t="str">
        <f>IFERROR(VLOOKUP($AA861,PLAN!$B:$AA,2,0),"")</f>
        <v>1001947802</v>
      </c>
      <c r="H861" s="113">
        <f>IFERROR(VLOOKUP($AA861,PLAN!$B:$AA,7,0),"")</f>
        <v>46263</v>
      </c>
      <c r="I861" s="77" t="str">
        <f>IFERROR(VLOOKUP($AA861,PLAN!$B:$AA,8,0),"")</f>
        <v>0103613213</v>
      </c>
      <c r="J861" s="77" t="str">
        <f>IFERROR(VLOOKUP($AA861,PLAN!$B:$AA,9,0),"")</f>
        <v>260815C27A</v>
      </c>
      <c r="K861" s="77">
        <f>IFERROR(VLOOKUP($AA861,PLAN!$B:$AA,10,0),"")</f>
        <v>2</v>
      </c>
      <c r="L861" s="77" t="str">
        <f>IFERROR(VLOOKUP($AA861,PLAN!$B:$AA,15,0),"")</f>
        <v>JAPAN</v>
      </c>
      <c r="M861" s="77">
        <f>IFERROR(VLOOKUP($AA861,PLAN!$B:$AA,18,0),"")</f>
        <v>0</v>
      </c>
      <c r="N861" s="227">
        <f>IFERROR(VLOOKUP($AA861,PLAN!$B:$AA,19,0),"")</f>
        <v>0</v>
      </c>
      <c r="O861" s="77" t="str">
        <f>IFERROR(VLOOKUP($AA861,PLAN!$B:$AA,12,0),"")</f>
        <v>2112164-0-C</v>
      </c>
      <c r="P861" s="77">
        <f>IFERROR(VLOOKUP($AA861,PLAN!$B:$AA,11,0),"")</f>
        <v>12116131</v>
      </c>
      <c r="Q861" s="349" t="s">
        <v>5271</v>
      </c>
      <c r="R861" s="158" t="s">
        <v>5272</v>
      </c>
      <c r="S861" s="149">
        <f t="shared" si="52"/>
        <v>2</v>
      </c>
      <c r="T861" s="131"/>
      <c r="U861" s="78">
        <f>IFERROR(VLOOKUP($AA861,PLAN!$B:$AA,21,0),"")</f>
        <v>46258</v>
      </c>
      <c r="V861" s="78" t="str">
        <f>IFERROR(VLOOKUP($AA861,PLAN!$B:$AA,22,0),"")</f>
        <v>M10</v>
      </c>
      <c r="W861" s="232"/>
      <c r="X861" s="233"/>
      <c r="Y861" s="212"/>
      <c r="Z861" s="350"/>
      <c r="AA861" s="195" t="s">
        <v>5151</v>
      </c>
      <c r="AB861" s="132">
        <f>VLOOKUP(AA861,PLAN!B:V,20,0)</f>
        <v>46258</v>
      </c>
      <c r="AC861" s="132"/>
    </row>
    <row r="862" spans="3:29" s="79" customFormat="1" ht="21.6" customHeight="1">
      <c r="C862" s="249" t="str">
        <f t="shared" si="51"/>
        <v>Aug29-72</v>
      </c>
      <c r="D862" s="77">
        <f>IFERROR(VLOOKUP($AA862,PLAN!$B:$AA,3,0),"")</f>
        <v>11119338</v>
      </c>
      <c r="E862" s="77" t="str">
        <f>IFERROR(VLOOKUP($AA862,PLAN!$B:$AA,4,0),"")</f>
        <v>1911006-D-A</v>
      </c>
      <c r="F862" s="77" t="str">
        <f>IFERROR(VLOOKUP($AA862,PLAN!$B:$AA,5,0),"")</f>
        <v>HJ60AL100P09020 JP</v>
      </c>
      <c r="G862" s="77" t="str">
        <f>IFERROR(VLOOKUP($AA862,PLAN!$B:$AA,2,0),"")</f>
        <v>1001947803</v>
      </c>
      <c r="H862" s="113">
        <f>IFERROR(VLOOKUP($AA862,PLAN!$B:$AA,7,0),"")</f>
        <v>46263</v>
      </c>
      <c r="I862" s="77" t="str">
        <f>IFERROR(VLOOKUP($AA862,PLAN!$B:$AA,8,0),"")</f>
        <v>0103613214</v>
      </c>
      <c r="J862" s="77" t="str">
        <f>IFERROR(VLOOKUP($AA862,PLAN!$B:$AA,9,0),"")</f>
        <v>260815C28A</v>
      </c>
      <c r="K862" s="77">
        <f>IFERROR(VLOOKUP($AA862,PLAN!$B:$AA,10,0),"")</f>
        <v>2</v>
      </c>
      <c r="L862" s="77" t="str">
        <f>IFERROR(VLOOKUP($AA862,PLAN!$B:$AA,15,0),"")</f>
        <v>JAPAN</v>
      </c>
      <c r="M862" s="77">
        <f>IFERROR(VLOOKUP($AA862,PLAN!$B:$AA,18,0),"")</f>
        <v>0</v>
      </c>
      <c r="N862" s="227">
        <f>IFERROR(VLOOKUP($AA862,PLAN!$B:$AA,19,0),"")</f>
        <v>0</v>
      </c>
      <c r="O862" s="77" t="str">
        <f>IFERROR(VLOOKUP($AA862,PLAN!$B:$AA,12,0),"")</f>
        <v>2112008-0-C</v>
      </c>
      <c r="P862" s="77">
        <f>IFERROR(VLOOKUP($AA862,PLAN!$B:$AA,11,0),"")</f>
        <v>12115973</v>
      </c>
      <c r="Q862" s="349" t="s">
        <v>5273</v>
      </c>
      <c r="R862" s="158" t="s">
        <v>5274</v>
      </c>
      <c r="S862" s="149">
        <f t="shared" si="52"/>
        <v>2</v>
      </c>
      <c r="T862" s="131"/>
      <c r="U862" s="78">
        <f>IFERROR(VLOOKUP($AA862,PLAN!$B:$AA,21,0),"")</f>
        <v>46258</v>
      </c>
      <c r="V862" s="78" t="str">
        <f>IFERROR(VLOOKUP($AA862,PLAN!$B:$AA,22,0),"")</f>
        <v>M10</v>
      </c>
      <c r="W862" s="232"/>
      <c r="X862" s="233"/>
      <c r="Y862" s="212"/>
      <c r="Z862" s="350"/>
      <c r="AA862" s="195" t="s">
        <v>5152</v>
      </c>
      <c r="AB862" s="132">
        <f>VLOOKUP(AA862,PLAN!B:V,20,0)</f>
        <v>46258</v>
      </c>
      <c r="AC862" s="132"/>
    </row>
    <row r="863" spans="3:29" s="79" customFormat="1" ht="21.6" customHeight="1">
      <c r="C863" s="249" t="str">
        <f t="shared" si="51"/>
        <v>Aug29-73</v>
      </c>
      <c r="D863" s="77">
        <f>IFERROR(VLOOKUP($AA863,PLAN!$B:$AA,3,0),"")</f>
        <v>11119420</v>
      </c>
      <c r="E863" s="77" t="str">
        <f>IFERROR(VLOOKUP($AA863,PLAN!$B:$AA,4,0),"")</f>
        <v>1911088-D-A</v>
      </c>
      <c r="F863" s="77" t="str">
        <f>IFERROR(VLOOKUP($AA863,PLAN!$B:$AA,5,0),"")</f>
        <v>HJ60AL202P10022 JP</v>
      </c>
      <c r="G863" s="77" t="str">
        <f>IFERROR(VLOOKUP($AA863,PLAN!$B:$AA,2,0),"")</f>
        <v>1001947804</v>
      </c>
      <c r="H863" s="113">
        <f>IFERROR(VLOOKUP($AA863,PLAN!$B:$AA,7,0),"")</f>
        <v>46263</v>
      </c>
      <c r="I863" s="77" t="str">
        <f>IFERROR(VLOOKUP($AA863,PLAN!$B:$AA,8,0),"")</f>
        <v>0103613215</v>
      </c>
      <c r="J863" s="77" t="str">
        <f>IFERROR(VLOOKUP($AA863,PLAN!$B:$AA,9,0),"")</f>
        <v>260815C29A</v>
      </c>
      <c r="K863" s="77">
        <f>IFERROR(VLOOKUP($AA863,PLAN!$B:$AA,10,0),"")</f>
        <v>2</v>
      </c>
      <c r="L863" s="77" t="str">
        <f>IFERROR(VLOOKUP($AA863,PLAN!$B:$AA,15,0),"")</f>
        <v>JAPAN</v>
      </c>
      <c r="M863" s="77">
        <f>IFERROR(VLOOKUP($AA863,PLAN!$B:$AA,18,0),"")</f>
        <v>0</v>
      </c>
      <c r="N863" s="227">
        <f>IFERROR(VLOOKUP($AA863,PLAN!$B:$AA,19,0),"")</f>
        <v>0</v>
      </c>
      <c r="O863" s="77" t="str">
        <f>IFERROR(VLOOKUP($AA863,PLAN!$B:$AA,12,0),"")</f>
        <v>2112090-0-C</v>
      </c>
      <c r="P863" s="77">
        <f>IFERROR(VLOOKUP($AA863,PLAN!$B:$AA,11,0),"")</f>
        <v>12116055</v>
      </c>
      <c r="Q863" s="349" t="s">
        <v>5275</v>
      </c>
      <c r="R863" s="158" t="s">
        <v>5276</v>
      </c>
      <c r="S863" s="149">
        <f t="shared" si="52"/>
        <v>2</v>
      </c>
      <c r="T863" s="131"/>
      <c r="U863" s="78">
        <f>IFERROR(VLOOKUP($AA863,PLAN!$B:$AA,21,0),"")</f>
        <v>46258</v>
      </c>
      <c r="V863" s="78" t="str">
        <f>IFERROR(VLOOKUP($AA863,PLAN!$B:$AA,22,0),"")</f>
        <v>M10</v>
      </c>
      <c r="W863" s="232"/>
      <c r="X863" s="233"/>
      <c r="Y863" s="212"/>
      <c r="Z863" s="350"/>
      <c r="AA863" s="195" t="s">
        <v>5153</v>
      </c>
      <c r="AB863" s="132">
        <f>VLOOKUP(AA863,PLAN!B:V,20,0)</f>
        <v>46258</v>
      </c>
      <c r="AC863" s="132"/>
    </row>
    <row r="864" spans="3:29" s="79" customFormat="1" ht="21.6" customHeight="1">
      <c r="C864" s="249" t="str">
        <f t="shared" si="51"/>
        <v>Aug29-74</v>
      </c>
      <c r="D864" s="77">
        <f>IFERROR(VLOOKUP($AA864,PLAN!$B:$AA,3,0),"")</f>
        <v>11119394</v>
      </c>
      <c r="E864" s="77" t="str">
        <f>IFERROR(VLOOKUP($AA864,PLAN!$B:$AA,4,0),"")</f>
        <v>1911062-D-A</v>
      </c>
      <c r="F864" s="77" t="str">
        <f>IFERROR(VLOOKUP($AA864,PLAN!$B:$AA,5,0),"")</f>
        <v>HJ60JR402P09020 JP</v>
      </c>
      <c r="G864" s="77" t="str">
        <f>IFERROR(VLOOKUP($AA864,PLAN!$B:$AA,2,0),"")</f>
        <v>1001947805</v>
      </c>
      <c r="H864" s="113">
        <f>IFERROR(VLOOKUP($AA864,PLAN!$B:$AA,7,0),"")</f>
        <v>46263</v>
      </c>
      <c r="I864" s="77" t="str">
        <f>IFERROR(VLOOKUP($AA864,PLAN!$B:$AA,8,0),"")</f>
        <v>0103613216</v>
      </c>
      <c r="J864" s="77" t="str">
        <f>IFERROR(VLOOKUP($AA864,PLAN!$B:$AA,9,0),"")</f>
        <v>260815C30A</v>
      </c>
      <c r="K864" s="77">
        <f>IFERROR(VLOOKUP($AA864,PLAN!$B:$AA,10,0),"")</f>
        <v>2</v>
      </c>
      <c r="L864" s="77" t="str">
        <f>IFERROR(VLOOKUP($AA864,PLAN!$B:$AA,15,0),"")</f>
        <v>JAPAN</v>
      </c>
      <c r="M864" s="77">
        <f>IFERROR(VLOOKUP($AA864,PLAN!$B:$AA,18,0),"")</f>
        <v>0</v>
      </c>
      <c r="N864" s="227">
        <f>IFERROR(VLOOKUP($AA864,PLAN!$B:$AA,19,0),"")</f>
        <v>0</v>
      </c>
      <c r="O864" s="77" t="str">
        <f>IFERROR(VLOOKUP($AA864,PLAN!$B:$AA,12,0),"")</f>
        <v>2112064-0-C</v>
      </c>
      <c r="P864" s="77">
        <f>IFERROR(VLOOKUP($AA864,PLAN!$B:$AA,11,0),"")</f>
        <v>12116029</v>
      </c>
      <c r="Q864" s="349" t="s">
        <v>5277</v>
      </c>
      <c r="R864" s="158" t="s">
        <v>5278</v>
      </c>
      <c r="S864" s="149">
        <f t="shared" si="52"/>
        <v>2</v>
      </c>
      <c r="T864" s="131"/>
      <c r="U864" s="78">
        <f>IFERROR(VLOOKUP($AA864,PLAN!$B:$AA,21,0),"")</f>
        <v>46258</v>
      </c>
      <c r="V864" s="78" t="str">
        <f>IFERROR(VLOOKUP($AA864,PLAN!$B:$AA,22,0),"")</f>
        <v>M10</v>
      </c>
      <c r="W864" s="232"/>
      <c r="X864" s="233"/>
      <c r="Y864" s="212"/>
      <c r="Z864" s="350"/>
      <c r="AA864" s="195" t="s">
        <v>5154</v>
      </c>
      <c r="AB864" s="132">
        <f>VLOOKUP(AA864,PLAN!B:V,20,0)</f>
        <v>46258</v>
      </c>
      <c r="AC864" s="132"/>
    </row>
    <row r="865" spans="3:29" s="79" customFormat="1" ht="21.6" customHeight="1">
      <c r="C865" s="249" t="str">
        <f t="shared" si="51"/>
        <v>Aug29-75</v>
      </c>
      <c r="D865" s="77">
        <f>IFERROR(VLOOKUP($AA865,PLAN!$B:$AA,3,0),"")</f>
        <v>11119498</v>
      </c>
      <c r="E865" s="77" t="str">
        <f>IFERROR(VLOOKUP($AA865,PLAN!$B:$AA,4,0),"")</f>
        <v>1911164-D-A</v>
      </c>
      <c r="F865" s="77" t="str">
        <f>IFERROR(VLOOKUP($AA865,PLAN!$B:$AA,5,0),"")</f>
        <v>HJ70JL452P10021 JP</v>
      </c>
      <c r="G865" s="77" t="str">
        <f>IFERROR(VLOOKUP($AA865,PLAN!$B:$AA,2,0),"")</f>
        <v>1001947806</v>
      </c>
      <c r="H865" s="113">
        <f>IFERROR(VLOOKUP($AA865,PLAN!$B:$AA,7,0),"")</f>
        <v>46263</v>
      </c>
      <c r="I865" s="77" t="str">
        <f>IFERROR(VLOOKUP($AA865,PLAN!$B:$AA,8,0),"")</f>
        <v>0103613217</v>
      </c>
      <c r="J865" s="77" t="str">
        <f>IFERROR(VLOOKUP($AA865,PLAN!$B:$AA,9,0),"")</f>
        <v>260815C31A</v>
      </c>
      <c r="K865" s="77">
        <f>IFERROR(VLOOKUP($AA865,PLAN!$B:$AA,10,0),"")</f>
        <v>2</v>
      </c>
      <c r="L865" s="77" t="str">
        <f>IFERROR(VLOOKUP($AA865,PLAN!$B:$AA,15,0),"")</f>
        <v>JAPAN</v>
      </c>
      <c r="M865" s="77">
        <f>IFERROR(VLOOKUP($AA865,PLAN!$B:$AA,18,0),"")</f>
        <v>0</v>
      </c>
      <c r="N865" s="227">
        <f>IFERROR(VLOOKUP($AA865,PLAN!$B:$AA,19,0),"")</f>
        <v>0</v>
      </c>
      <c r="O865" s="77" t="str">
        <f>IFERROR(VLOOKUP($AA865,PLAN!$B:$AA,12,0),"")</f>
        <v>2112166-0-C</v>
      </c>
      <c r="P865" s="77">
        <f>IFERROR(VLOOKUP($AA865,PLAN!$B:$AA,11,0),"")</f>
        <v>12116133</v>
      </c>
      <c r="Q865" s="349" t="s">
        <v>5279</v>
      </c>
      <c r="R865" s="158" t="s">
        <v>5280</v>
      </c>
      <c r="S865" s="149">
        <f t="shared" si="52"/>
        <v>2</v>
      </c>
      <c r="T865" s="131"/>
      <c r="U865" s="78">
        <f>IFERROR(VLOOKUP($AA865,PLAN!$B:$AA,21,0),"")</f>
        <v>46258</v>
      </c>
      <c r="V865" s="78" t="str">
        <f>IFERROR(VLOOKUP($AA865,PLAN!$B:$AA,22,0),"")</f>
        <v>M10</v>
      </c>
      <c r="W865" s="232"/>
      <c r="X865" s="233"/>
      <c r="Y865" s="212"/>
      <c r="Z865" s="350"/>
      <c r="AA865" s="195" t="s">
        <v>5155</v>
      </c>
      <c r="AB865" s="132">
        <f>VLOOKUP(AA865,PLAN!B:V,20,0)</f>
        <v>46258</v>
      </c>
      <c r="AC865" s="132"/>
    </row>
    <row r="866" spans="3:29" s="79" customFormat="1" ht="21.6" customHeight="1">
      <c r="C866" s="249" t="str">
        <f t="shared" si="51"/>
        <v>Aug29-76</v>
      </c>
      <c r="D866" s="77">
        <f>IFERROR(VLOOKUP($AA866,PLAN!$B:$AA,3,0),"")</f>
        <v>11119381</v>
      </c>
      <c r="E866" s="77" t="str">
        <f>IFERROR(VLOOKUP($AA866,PLAN!$B:$AA,4,0),"")</f>
        <v>1911049-D-A</v>
      </c>
      <c r="F866" s="77" t="str">
        <f>IFERROR(VLOOKUP($AA866,PLAN!$B:$AA,5,0),"")</f>
        <v>HJ60JL450P10000 JP</v>
      </c>
      <c r="G866" s="77" t="str">
        <f>IFERROR(VLOOKUP($AA866,PLAN!$B:$AA,2,0),"")</f>
        <v>1001947807</v>
      </c>
      <c r="H866" s="113">
        <f>IFERROR(VLOOKUP($AA866,PLAN!$B:$AA,7,0),"")</f>
        <v>46263</v>
      </c>
      <c r="I866" s="77" t="str">
        <f>IFERROR(VLOOKUP($AA866,PLAN!$B:$AA,8,0),"")</f>
        <v>0103613218</v>
      </c>
      <c r="J866" s="77" t="str">
        <f>IFERROR(VLOOKUP($AA866,PLAN!$B:$AA,9,0),"")</f>
        <v>260815C32A</v>
      </c>
      <c r="K866" s="77">
        <f>IFERROR(VLOOKUP($AA866,PLAN!$B:$AA,10,0),"")</f>
        <v>3</v>
      </c>
      <c r="L866" s="77" t="str">
        <f>IFERROR(VLOOKUP($AA866,PLAN!$B:$AA,15,0),"")</f>
        <v>JAPAN</v>
      </c>
      <c r="M866" s="77">
        <f>IFERROR(VLOOKUP($AA866,PLAN!$B:$AA,18,0),"")</f>
        <v>0</v>
      </c>
      <c r="N866" s="227">
        <f>IFERROR(VLOOKUP($AA866,PLAN!$B:$AA,19,0),"")</f>
        <v>0</v>
      </c>
      <c r="O866" s="77" t="str">
        <f>IFERROR(VLOOKUP($AA866,PLAN!$B:$AA,12,0),"")</f>
        <v>2112051-0-C</v>
      </c>
      <c r="P866" s="77">
        <f>IFERROR(VLOOKUP($AA866,PLAN!$B:$AA,11,0),"")</f>
        <v>12116016</v>
      </c>
      <c r="Q866" s="349" t="s">
        <v>5281</v>
      </c>
      <c r="R866" s="158" t="s">
        <v>5282</v>
      </c>
      <c r="S866" s="149">
        <f t="shared" si="52"/>
        <v>3</v>
      </c>
      <c r="T866" s="131"/>
      <c r="U866" s="78">
        <f>IFERROR(VLOOKUP($AA866,PLAN!$B:$AA,21,0),"")</f>
        <v>46258</v>
      </c>
      <c r="V866" s="78" t="str">
        <f>IFERROR(VLOOKUP($AA866,PLAN!$B:$AA,22,0),"")</f>
        <v>M10</v>
      </c>
      <c r="W866" s="232"/>
      <c r="X866" s="233"/>
      <c r="Y866" s="212"/>
      <c r="Z866" s="350"/>
      <c r="AA866" s="195" t="s">
        <v>5156</v>
      </c>
      <c r="AB866" s="132">
        <f>VLOOKUP(AA866,PLAN!B:V,20,0)</f>
        <v>46258</v>
      </c>
      <c r="AC866" s="132"/>
    </row>
    <row r="867" spans="3:29" s="79" customFormat="1" ht="21.6" customHeight="1">
      <c r="C867" s="249" t="str">
        <f t="shared" si="51"/>
        <v>Aug29-77</v>
      </c>
      <c r="D867" s="77">
        <f>IFERROR(VLOOKUP($AA867,PLAN!$B:$AA,3,0),"")</f>
        <v>11119348</v>
      </c>
      <c r="E867" s="77" t="str">
        <f>IFERROR(VLOOKUP($AA867,PLAN!$B:$AA,4,0),"")</f>
        <v>1911016-D-A</v>
      </c>
      <c r="F867" s="77" t="str">
        <f>IFERROR(VLOOKUP($AA867,PLAN!$B:$AA,5,0),"")</f>
        <v>HJ60AL202P10020 JP</v>
      </c>
      <c r="G867" s="77" t="str">
        <f>IFERROR(VLOOKUP($AA867,PLAN!$B:$AA,2,0),"")</f>
        <v>1001947808</v>
      </c>
      <c r="H867" s="113">
        <f>IFERROR(VLOOKUP($AA867,PLAN!$B:$AA,7,0),"")</f>
        <v>46263</v>
      </c>
      <c r="I867" s="77" t="str">
        <f>IFERROR(VLOOKUP($AA867,PLAN!$B:$AA,8,0),"")</f>
        <v>0103613219</v>
      </c>
      <c r="J867" s="77" t="str">
        <f>IFERROR(VLOOKUP($AA867,PLAN!$B:$AA,9,0),"")</f>
        <v>260815C33A</v>
      </c>
      <c r="K867" s="77">
        <f>IFERROR(VLOOKUP($AA867,PLAN!$B:$AA,10,0),"")</f>
        <v>4</v>
      </c>
      <c r="L867" s="77" t="str">
        <f>IFERROR(VLOOKUP($AA867,PLAN!$B:$AA,15,0),"")</f>
        <v>JAPAN</v>
      </c>
      <c r="M867" s="77">
        <f>IFERROR(VLOOKUP($AA867,PLAN!$B:$AA,18,0),"")</f>
        <v>0</v>
      </c>
      <c r="N867" s="227">
        <f>IFERROR(VLOOKUP($AA867,PLAN!$B:$AA,19,0),"")</f>
        <v>0</v>
      </c>
      <c r="O867" s="77" t="str">
        <f>IFERROR(VLOOKUP($AA867,PLAN!$B:$AA,12,0),"")</f>
        <v>2112018-0-C</v>
      </c>
      <c r="P867" s="77">
        <f>IFERROR(VLOOKUP($AA867,PLAN!$B:$AA,11,0),"")</f>
        <v>12115983</v>
      </c>
      <c r="Q867" s="349" t="s">
        <v>5283</v>
      </c>
      <c r="R867" s="158" t="s">
        <v>5284</v>
      </c>
      <c r="S867" s="149">
        <f t="shared" si="52"/>
        <v>4</v>
      </c>
      <c r="T867" s="131"/>
      <c r="U867" s="78">
        <f>IFERROR(VLOOKUP($AA867,PLAN!$B:$AA,21,0),"")</f>
        <v>46258</v>
      </c>
      <c r="V867" s="78" t="str">
        <f>IFERROR(VLOOKUP($AA867,PLAN!$B:$AA,22,0),"")</f>
        <v>M10</v>
      </c>
      <c r="W867" s="232"/>
      <c r="X867" s="233"/>
      <c r="Y867" s="212"/>
      <c r="Z867" s="350"/>
      <c r="AA867" s="195" t="s">
        <v>5157</v>
      </c>
      <c r="AB867" s="132">
        <f>VLOOKUP(AA867,PLAN!B:V,20,0)</f>
        <v>46258</v>
      </c>
      <c r="AC867" s="132"/>
    </row>
    <row r="868" spans="3:29" s="79" customFormat="1" ht="21.6" customHeight="1">
      <c r="C868" s="249" t="str">
        <f t="shared" si="51"/>
        <v>Aug29-78</v>
      </c>
      <c r="D868" s="77">
        <f>IFERROR(VLOOKUP($AA868,PLAN!$B:$AA,3,0),"")</f>
        <v>11119342</v>
      </c>
      <c r="E868" s="77" t="str">
        <f>IFERROR(VLOOKUP($AA868,PLAN!$B:$AA,4,0),"")</f>
        <v>1911010-D-A</v>
      </c>
      <c r="F868" s="77" t="str">
        <f>IFERROR(VLOOKUP($AA868,PLAN!$B:$AA,5,0),"")</f>
        <v>HJ60AL102P10021 JP</v>
      </c>
      <c r="G868" s="77" t="str">
        <f>IFERROR(VLOOKUP($AA868,PLAN!$B:$AA,2,0),"")</f>
        <v>1001947809</v>
      </c>
      <c r="H868" s="113">
        <f>IFERROR(VLOOKUP($AA868,PLAN!$B:$AA,7,0),"")</f>
        <v>46263</v>
      </c>
      <c r="I868" s="77" t="str">
        <f>IFERROR(VLOOKUP($AA868,PLAN!$B:$AA,8,0),"")</f>
        <v>0103613220</v>
      </c>
      <c r="J868" s="77" t="str">
        <f>IFERROR(VLOOKUP($AA868,PLAN!$B:$AA,9,0),"")</f>
        <v>260815C34A</v>
      </c>
      <c r="K868" s="77">
        <f>IFERROR(VLOOKUP($AA868,PLAN!$B:$AA,10,0),"")</f>
        <v>4</v>
      </c>
      <c r="L868" s="77" t="str">
        <f>IFERROR(VLOOKUP($AA868,PLAN!$B:$AA,15,0),"")</f>
        <v>JAPAN</v>
      </c>
      <c r="M868" s="77">
        <f>IFERROR(VLOOKUP($AA868,PLAN!$B:$AA,18,0),"")</f>
        <v>0</v>
      </c>
      <c r="N868" s="227">
        <f>IFERROR(VLOOKUP($AA868,PLAN!$B:$AA,19,0),"")</f>
        <v>0</v>
      </c>
      <c r="O868" s="77" t="str">
        <f>IFERROR(VLOOKUP($AA868,PLAN!$B:$AA,12,0),"")</f>
        <v>2112012-0-C</v>
      </c>
      <c r="P868" s="77">
        <f>IFERROR(VLOOKUP($AA868,PLAN!$B:$AA,11,0),"")</f>
        <v>12115977</v>
      </c>
      <c r="Q868" s="349" t="s">
        <v>5285</v>
      </c>
      <c r="R868" s="158" t="s">
        <v>5286</v>
      </c>
      <c r="S868" s="149">
        <f t="shared" si="52"/>
        <v>4</v>
      </c>
      <c r="T868" s="131"/>
      <c r="U868" s="78">
        <f>IFERROR(VLOOKUP($AA868,PLAN!$B:$AA,21,0),"")</f>
        <v>46258</v>
      </c>
      <c r="V868" s="78" t="str">
        <f>IFERROR(VLOOKUP($AA868,PLAN!$B:$AA,22,0),"")</f>
        <v>M10</v>
      </c>
      <c r="W868" s="232"/>
      <c r="X868" s="233"/>
      <c r="Y868" s="212"/>
      <c r="Z868" s="350"/>
      <c r="AA868" s="195" t="s">
        <v>5158</v>
      </c>
      <c r="AB868" s="132">
        <f>VLOOKUP(AA868,PLAN!B:V,20,0)</f>
        <v>46258</v>
      </c>
      <c r="AC868" s="132"/>
    </row>
    <row r="869" spans="3:29" s="79" customFormat="1" ht="21.6" customHeight="1">
      <c r="C869" s="249" t="str">
        <f t="shared" si="51"/>
        <v>Aug29-79</v>
      </c>
      <c r="D869" s="77">
        <f>IFERROR(VLOOKUP($AA869,PLAN!$B:$AA,3,0),"")</f>
        <v>11119374</v>
      </c>
      <c r="E869" s="77" t="str">
        <f>IFERROR(VLOOKUP($AA869,PLAN!$B:$AA,4,0),"")</f>
        <v>1911042-D-A</v>
      </c>
      <c r="F869" s="77" t="str">
        <f>IFERROR(VLOOKUP($AA869,PLAN!$B:$AA,5,0),"")</f>
        <v>HJ60JL352P10021 JP</v>
      </c>
      <c r="G869" s="77" t="str">
        <f>IFERROR(VLOOKUP($AA869,PLAN!$B:$AA,2,0),"")</f>
        <v>1001947810</v>
      </c>
      <c r="H869" s="113">
        <f>IFERROR(VLOOKUP($AA869,PLAN!$B:$AA,7,0),"")</f>
        <v>46263</v>
      </c>
      <c r="I869" s="77" t="str">
        <f>IFERROR(VLOOKUP($AA869,PLAN!$B:$AA,8,0),"")</f>
        <v>0103613221</v>
      </c>
      <c r="J869" s="77" t="str">
        <f>IFERROR(VLOOKUP($AA869,PLAN!$B:$AA,9,0),"")</f>
        <v>260815C35A</v>
      </c>
      <c r="K869" s="77">
        <f>IFERROR(VLOOKUP($AA869,PLAN!$B:$AA,10,0),"")</f>
        <v>4</v>
      </c>
      <c r="L869" s="77" t="str">
        <f>IFERROR(VLOOKUP($AA869,PLAN!$B:$AA,15,0),"")</f>
        <v>JAPAN</v>
      </c>
      <c r="M869" s="77">
        <f>IFERROR(VLOOKUP($AA869,PLAN!$B:$AA,18,0),"")</f>
        <v>0</v>
      </c>
      <c r="N869" s="227">
        <f>IFERROR(VLOOKUP($AA869,PLAN!$B:$AA,19,0),"")</f>
        <v>0</v>
      </c>
      <c r="O869" s="77" t="str">
        <f>IFERROR(VLOOKUP($AA869,PLAN!$B:$AA,12,0),"")</f>
        <v>2112044-0-C</v>
      </c>
      <c r="P869" s="77">
        <f>IFERROR(VLOOKUP($AA869,PLAN!$B:$AA,11,0),"")</f>
        <v>12116009</v>
      </c>
      <c r="Q869" s="349" t="s">
        <v>5287</v>
      </c>
      <c r="R869" s="158" t="s">
        <v>5288</v>
      </c>
      <c r="S869" s="149">
        <f t="shared" si="52"/>
        <v>4</v>
      </c>
      <c r="T869" s="131"/>
      <c r="U869" s="78">
        <f>IFERROR(VLOOKUP($AA869,PLAN!$B:$AA,21,0),"")</f>
        <v>46258</v>
      </c>
      <c r="V869" s="78" t="str">
        <f>IFERROR(VLOOKUP($AA869,PLAN!$B:$AA,22,0),"")</f>
        <v>M10</v>
      </c>
      <c r="W869" s="232"/>
      <c r="X869" s="233"/>
      <c r="Y869" s="212"/>
      <c r="Z869" s="350"/>
      <c r="AA869" s="195" t="s">
        <v>5159</v>
      </c>
      <c r="AB869" s="132">
        <f>VLOOKUP(AA869,PLAN!B:V,20,0)</f>
        <v>46258</v>
      </c>
      <c r="AC869" s="132"/>
    </row>
    <row r="870" spans="3:29" s="79" customFormat="1" ht="21.6" customHeight="1">
      <c r="C870" s="249" t="str">
        <f t="shared" si="51"/>
        <v>Aug29-80</v>
      </c>
      <c r="D870" s="77">
        <f>IFERROR(VLOOKUP($AA870,PLAN!$B:$AA,3,0),"")</f>
        <v>11119386</v>
      </c>
      <c r="E870" s="77" t="str">
        <f>IFERROR(VLOOKUP($AA870,PLAN!$B:$AA,4,0),"")</f>
        <v>1911054-D-A</v>
      </c>
      <c r="F870" s="77" t="str">
        <f>IFERROR(VLOOKUP($AA870,PLAN!$B:$AA,5,0),"")</f>
        <v>HJ60JL502P10020 JP</v>
      </c>
      <c r="G870" s="77" t="str">
        <f>IFERROR(VLOOKUP($AA870,PLAN!$B:$AA,2,0),"")</f>
        <v>1001947811</v>
      </c>
      <c r="H870" s="113">
        <f>IFERROR(VLOOKUP($AA870,PLAN!$B:$AA,7,0),"")</f>
        <v>46263</v>
      </c>
      <c r="I870" s="77" t="str">
        <f>IFERROR(VLOOKUP($AA870,PLAN!$B:$AA,8,0),"")</f>
        <v>0103613222</v>
      </c>
      <c r="J870" s="77" t="str">
        <f>IFERROR(VLOOKUP($AA870,PLAN!$B:$AA,9,0),"")</f>
        <v>260815C36A</v>
      </c>
      <c r="K870" s="77">
        <f>IFERROR(VLOOKUP($AA870,PLAN!$B:$AA,10,0),"")</f>
        <v>4</v>
      </c>
      <c r="L870" s="77" t="str">
        <f>IFERROR(VLOOKUP($AA870,PLAN!$B:$AA,15,0),"")</f>
        <v>JAPAN</v>
      </c>
      <c r="M870" s="77">
        <f>IFERROR(VLOOKUP($AA870,PLAN!$B:$AA,18,0),"")</f>
        <v>0</v>
      </c>
      <c r="N870" s="227">
        <f>IFERROR(VLOOKUP($AA870,PLAN!$B:$AA,19,0),"")</f>
        <v>0</v>
      </c>
      <c r="O870" s="77" t="str">
        <f>IFERROR(VLOOKUP($AA870,PLAN!$B:$AA,12,0),"")</f>
        <v>2112056-0-C</v>
      </c>
      <c r="P870" s="77">
        <f>IFERROR(VLOOKUP($AA870,PLAN!$B:$AA,11,0),"")</f>
        <v>12116021</v>
      </c>
      <c r="Q870" s="349" t="s">
        <v>5289</v>
      </c>
      <c r="R870" s="158" t="s">
        <v>5290</v>
      </c>
      <c r="S870" s="149">
        <f t="shared" si="52"/>
        <v>4</v>
      </c>
      <c r="T870" s="131"/>
      <c r="U870" s="78">
        <f>IFERROR(VLOOKUP($AA870,PLAN!$B:$AA,21,0),"")</f>
        <v>46258</v>
      </c>
      <c r="V870" s="78" t="str">
        <f>IFERROR(VLOOKUP($AA870,PLAN!$B:$AA,22,0),"")</f>
        <v>M10</v>
      </c>
      <c r="W870" s="232"/>
      <c r="X870" s="233"/>
      <c r="Y870" s="212"/>
      <c r="Z870" s="350"/>
      <c r="AA870" s="195" t="s">
        <v>5160</v>
      </c>
      <c r="AB870" s="132">
        <f>VLOOKUP(AA870,PLAN!B:V,20,0)</f>
        <v>46258</v>
      </c>
      <c r="AC870" s="132"/>
    </row>
    <row r="871" spans="3:29" s="79" customFormat="1" ht="21.6" customHeight="1">
      <c r="C871" s="249" t="str">
        <f t="shared" si="51"/>
        <v>Aug29-81</v>
      </c>
      <c r="D871" s="77">
        <f>IFERROR(VLOOKUP($AA871,PLAN!$B:$AA,3,0),"")</f>
        <v>11119398</v>
      </c>
      <c r="E871" s="77" t="str">
        <f>IFERROR(VLOOKUP($AA871,PLAN!$B:$AA,4,0),"")</f>
        <v>1911066-D-A</v>
      </c>
      <c r="F871" s="77" t="str">
        <f>IFERROR(VLOOKUP($AA871,PLAN!$B:$AA,5,0),"")</f>
        <v>HJ60JR502P10020 JP</v>
      </c>
      <c r="G871" s="77" t="str">
        <f>IFERROR(VLOOKUP($AA871,PLAN!$B:$AA,2,0),"")</f>
        <v>1001947812</v>
      </c>
      <c r="H871" s="113">
        <f>IFERROR(VLOOKUP($AA871,PLAN!$B:$AA,7,0),"")</f>
        <v>46263</v>
      </c>
      <c r="I871" s="77" t="str">
        <f>IFERROR(VLOOKUP($AA871,PLAN!$B:$AA,8,0),"")</f>
        <v>0103613223</v>
      </c>
      <c r="J871" s="77" t="str">
        <f>IFERROR(VLOOKUP($AA871,PLAN!$B:$AA,9,0),"")</f>
        <v>260815C37A</v>
      </c>
      <c r="K871" s="77">
        <f>IFERROR(VLOOKUP($AA871,PLAN!$B:$AA,10,0),"")</f>
        <v>4</v>
      </c>
      <c r="L871" s="77" t="str">
        <f>IFERROR(VLOOKUP($AA871,PLAN!$B:$AA,15,0),"")</f>
        <v>JAPAN</v>
      </c>
      <c r="M871" s="77">
        <f>IFERROR(VLOOKUP($AA871,PLAN!$B:$AA,18,0),"")</f>
        <v>0</v>
      </c>
      <c r="N871" s="227">
        <f>IFERROR(VLOOKUP($AA871,PLAN!$B:$AA,19,0),"")</f>
        <v>0</v>
      </c>
      <c r="O871" s="77" t="str">
        <f>IFERROR(VLOOKUP($AA871,PLAN!$B:$AA,12,0),"")</f>
        <v>2112068-0-C</v>
      </c>
      <c r="P871" s="77">
        <f>IFERROR(VLOOKUP($AA871,PLAN!$B:$AA,11,0),"")</f>
        <v>12116033</v>
      </c>
      <c r="Q871" s="349" t="s">
        <v>5291</v>
      </c>
      <c r="R871" s="158" t="s">
        <v>5292</v>
      </c>
      <c r="S871" s="149">
        <f t="shared" si="52"/>
        <v>4</v>
      </c>
      <c r="T871" s="131"/>
      <c r="U871" s="78">
        <f>IFERROR(VLOOKUP($AA871,PLAN!$B:$AA,21,0),"")</f>
        <v>46258</v>
      </c>
      <c r="V871" s="78" t="str">
        <f>IFERROR(VLOOKUP($AA871,PLAN!$B:$AA,22,0),"")</f>
        <v>M10</v>
      </c>
      <c r="W871" s="232"/>
      <c r="X871" s="233"/>
      <c r="Y871" s="212"/>
      <c r="Z871" s="350"/>
      <c r="AA871" s="195" t="s">
        <v>5161</v>
      </c>
      <c r="AB871" s="132">
        <f>VLOOKUP(AA871,PLAN!B:V,20,0)</f>
        <v>46258</v>
      </c>
      <c r="AC871" s="132"/>
    </row>
    <row r="872" spans="3:29" s="79" customFormat="1" ht="21.6" customHeight="1">
      <c r="C872" s="249" t="str">
        <f t="shared" si="51"/>
        <v>Aug29-82</v>
      </c>
      <c r="D872" s="77">
        <f>IFERROR(VLOOKUP($AA872,PLAN!$B:$AA,3,0),"")</f>
        <v>11119570</v>
      </c>
      <c r="E872" s="77" t="str">
        <f>IFERROR(VLOOKUP($AA872,PLAN!$B:$AA,4,0),"")</f>
        <v>1911236-D-A</v>
      </c>
      <c r="F872" s="77" t="str">
        <f>IFERROR(VLOOKUP($AA872,PLAN!$B:$AA,5,0),"")</f>
        <v>HJ80AL072P10000 JP</v>
      </c>
      <c r="G872" s="77" t="str">
        <f>IFERROR(VLOOKUP($AA872,PLAN!$B:$AA,2,0),"")</f>
        <v>1001947813</v>
      </c>
      <c r="H872" s="113">
        <f>IFERROR(VLOOKUP($AA872,PLAN!$B:$AA,7,0),"")</f>
        <v>46263</v>
      </c>
      <c r="I872" s="77" t="str">
        <f>IFERROR(VLOOKUP($AA872,PLAN!$B:$AA,8,0),"")</f>
        <v>0103613224</v>
      </c>
      <c r="J872" s="77" t="str">
        <f>IFERROR(VLOOKUP($AA872,PLAN!$B:$AA,9,0),"")</f>
        <v>260815C38A</v>
      </c>
      <c r="K872" s="77">
        <f>IFERROR(VLOOKUP($AA872,PLAN!$B:$AA,10,0),"")</f>
        <v>5</v>
      </c>
      <c r="L872" s="77" t="str">
        <f>IFERROR(VLOOKUP($AA872,PLAN!$B:$AA,15,0),"")</f>
        <v>JAPAN</v>
      </c>
      <c r="M872" s="77">
        <f>IFERROR(VLOOKUP($AA872,PLAN!$B:$AA,18,0),"")</f>
        <v>0</v>
      </c>
      <c r="N872" s="227">
        <f>IFERROR(VLOOKUP($AA872,PLAN!$B:$AA,19,0),"")</f>
        <v>0</v>
      </c>
      <c r="O872" s="77" t="str">
        <f>IFERROR(VLOOKUP($AA872,PLAN!$B:$AA,12,0),"")</f>
        <v>2112238-0-C</v>
      </c>
      <c r="P872" s="77">
        <f>IFERROR(VLOOKUP($AA872,PLAN!$B:$AA,11,0),"")</f>
        <v>12116205</v>
      </c>
      <c r="Q872" s="349" t="s">
        <v>5293</v>
      </c>
      <c r="R872" s="158" t="s">
        <v>5294</v>
      </c>
      <c r="S872" s="149">
        <f t="shared" si="52"/>
        <v>5</v>
      </c>
      <c r="T872" s="131"/>
      <c r="U872" s="78">
        <f>IFERROR(VLOOKUP($AA872,PLAN!$B:$AA,21,0),"")</f>
        <v>46258</v>
      </c>
      <c r="V872" s="78" t="str">
        <f>IFERROR(VLOOKUP($AA872,PLAN!$B:$AA,22,0),"")</f>
        <v>M10</v>
      </c>
      <c r="W872" s="232"/>
      <c r="X872" s="233"/>
      <c r="Y872" s="212"/>
      <c r="Z872" s="350"/>
      <c r="AA872" s="195" t="s">
        <v>5162</v>
      </c>
      <c r="AB872" s="132">
        <f>VLOOKUP(AA872,PLAN!B:V,20,0)</f>
        <v>46258</v>
      </c>
      <c r="AC872" s="132"/>
    </row>
    <row r="873" spans="3:29" s="79" customFormat="1" ht="21.6" customHeight="1">
      <c r="C873" s="249" t="str">
        <f t="shared" si="51"/>
        <v>Aug29-83</v>
      </c>
      <c r="D873" s="77">
        <f>IFERROR(VLOOKUP($AA873,PLAN!$B:$AA,3,0),"")</f>
        <v>11119664</v>
      </c>
      <c r="E873" s="77" t="str">
        <f>IFERROR(VLOOKUP($AA873,PLAN!$B:$AA,4,0),"")</f>
        <v>1911330-D-A</v>
      </c>
      <c r="F873" s="77" t="str">
        <f>IFERROR(VLOOKUP($AA873,PLAN!$B:$AA,5,0),"")</f>
        <v>HJ80AL102P09002 JP</v>
      </c>
      <c r="G873" s="77" t="str">
        <f>IFERROR(VLOOKUP($AA873,PLAN!$B:$AA,2,0),"")</f>
        <v>1001947814</v>
      </c>
      <c r="H873" s="113">
        <f>IFERROR(VLOOKUP($AA873,PLAN!$B:$AA,7,0),"")</f>
        <v>46263</v>
      </c>
      <c r="I873" s="77" t="str">
        <f>IFERROR(VLOOKUP($AA873,PLAN!$B:$AA,8,0),"")</f>
        <v>0103613225</v>
      </c>
      <c r="J873" s="77" t="str">
        <f>IFERROR(VLOOKUP($AA873,PLAN!$B:$AA,9,0),"")</f>
        <v>260815C39A</v>
      </c>
      <c r="K873" s="77">
        <f>IFERROR(VLOOKUP($AA873,PLAN!$B:$AA,10,0),"")</f>
        <v>5</v>
      </c>
      <c r="L873" s="77" t="str">
        <f>IFERROR(VLOOKUP($AA873,PLAN!$B:$AA,15,0),"")</f>
        <v>JAPAN</v>
      </c>
      <c r="M873" s="77">
        <f>IFERROR(VLOOKUP($AA873,PLAN!$B:$AA,18,0),"")</f>
        <v>0</v>
      </c>
      <c r="N873" s="227">
        <f>IFERROR(VLOOKUP($AA873,PLAN!$B:$AA,19,0),"")</f>
        <v>0</v>
      </c>
      <c r="O873" s="77" t="str">
        <f>IFERROR(VLOOKUP($AA873,PLAN!$B:$AA,12,0),"")</f>
        <v>2112332-0-C</v>
      </c>
      <c r="P873" s="77">
        <f>IFERROR(VLOOKUP($AA873,PLAN!$B:$AA,11,0),"")</f>
        <v>12116299</v>
      </c>
      <c r="Q873" s="349" t="s">
        <v>5295</v>
      </c>
      <c r="R873" s="158" t="s">
        <v>5296</v>
      </c>
      <c r="S873" s="149">
        <f t="shared" si="52"/>
        <v>5</v>
      </c>
      <c r="T873" s="131"/>
      <c r="U873" s="78">
        <f>IFERROR(VLOOKUP($AA873,PLAN!$B:$AA,21,0),"")</f>
        <v>46258</v>
      </c>
      <c r="V873" s="78" t="str">
        <f>IFERROR(VLOOKUP($AA873,PLAN!$B:$AA,22,0),"")</f>
        <v>M10</v>
      </c>
      <c r="W873" s="232"/>
      <c r="X873" s="233"/>
      <c r="Y873" s="212"/>
      <c r="Z873" s="350"/>
      <c r="AA873" s="195" t="s">
        <v>5163</v>
      </c>
      <c r="AB873" s="132">
        <f>VLOOKUP(AA873,PLAN!B:V,20,0)</f>
        <v>46258</v>
      </c>
      <c r="AC873" s="132"/>
    </row>
    <row r="874" spans="3:29" s="79" customFormat="1" ht="21.6" customHeight="1">
      <c r="C874" s="249" t="str">
        <f t="shared" si="51"/>
        <v>Aug29-84</v>
      </c>
      <c r="D874" s="77">
        <f>IFERROR(VLOOKUP($AA874,PLAN!$B:$AA,3,0),"")</f>
        <v>11119366</v>
      </c>
      <c r="E874" s="77" t="str">
        <f>IFERROR(VLOOKUP($AA874,PLAN!$B:$AA,4,0),"")</f>
        <v>1911034-D-A</v>
      </c>
      <c r="F874" s="77" t="str">
        <f>IFERROR(VLOOKUP($AA874,PLAN!$B:$AA,5,0),"")</f>
        <v>HJ60IL402P10020 JP</v>
      </c>
      <c r="G874" s="77" t="str">
        <f>IFERROR(VLOOKUP($AA874,PLAN!$B:$AA,2,0),"")</f>
        <v>1001947815</v>
      </c>
      <c r="H874" s="113">
        <f>IFERROR(VLOOKUP($AA874,PLAN!$B:$AA,7,0),"")</f>
        <v>46263</v>
      </c>
      <c r="I874" s="77" t="str">
        <f>IFERROR(VLOOKUP($AA874,PLAN!$B:$AA,8,0),"")</f>
        <v>0103613226</v>
      </c>
      <c r="J874" s="77" t="str">
        <f>IFERROR(VLOOKUP($AA874,PLAN!$B:$AA,9,0),"")</f>
        <v>260815C40A</v>
      </c>
      <c r="K874" s="77">
        <f>IFERROR(VLOOKUP($AA874,PLAN!$B:$AA,10,0),"")</f>
        <v>6</v>
      </c>
      <c r="L874" s="77" t="str">
        <f>IFERROR(VLOOKUP($AA874,PLAN!$B:$AA,15,0),"")</f>
        <v>JAPAN</v>
      </c>
      <c r="M874" s="77">
        <f>IFERROR(VLOOKUP($AA874,PLAN!$B:$AA,18,0),"")</f>
        <v>0</v>
      </c>
      <c r="N874" s="227">
        <f>IFERROR(VLOOKUP($AA874,PLAN!$B:$AA,19,0),"")</f>
        <v>0</v>
      </c>
      <c r="O874" s="77" t="str">
        <f>IFERROR(VLOOKUP($AA874,PLAN!$B:$AA,12,0),"")</f>
        <v>2112036-0-C</v>
      </c>
      <c r="P874" s="77">
        <f>IFERROR(VLOOKUP($AA874,PLAN!$B:$AA,11,0),"")</f>
        <v>12116001</v>
      </c>
      <c r="Q874" s="349" t="s">
        <v>5297</v>
      </c>
      <c r="R874" s="158" t="s">
        <v>5298</v>
      </c>
      <c r="S874" s="149">
        <f t="shared" si="52"/>
        <v>6</v>
      </c>
      <c r="T874" s="131"/>
      <c r="U874" s="78">
        <f>IFERROR(VLOOKUP($AA874,PLAN!$B:$AA,21,0),"")</f>
        <v>46258</v>
      </c>
      <c r="V874" s="78" t="str">
        <f>IFERROR(VLOOKUP($AA874,PLAN!$B:$AA,22,0),"")</f>
        <v>M10</v>
      </c>
      <c r="W874" s="232"/>
      <c r="X874" s="233"/>
      <c r="Y874" s="212"/>
      <c r="Z874" s="350"/>
      <c r="AA874" s="195" t="s">
        <v>5164</v>
      </c>
      <c r="AB874" s="132">
        <f>VLOOKUP(AA874,PLAN!B:V,20,0)</f>
        <v>46258</v>
      </c>
      <c r="AC874" s="132"/>
    </row>
    <row r="875" spans="3:29" s="79" customFormat="1" ht="21.6" customHeight="1">
      <c r="C875" s="249" t="str">
        <f t="shared" si="51"/>
        <v>Aug29-85</v>
      </c>
      <c r="D875" s="77">
        <f>IFERROR(VLOOKUP($AA875,PLAN!$B:$AA,3,0),"")</f>
        <v>11119629</v>
      </c>
      <c r="E875" s="77" t="str">
        <f>IFERROR(VLOOKUP($AA875,PLAN!$B:$AA,4,0),"")</f>
        <v>1911295-D-A</v>
      </c>
      <c r="F875" s="77" t="str">
        <f>IFERROR(VLOOKUP($AA875,PLAN!$B:$AA,5,0),"")</f>
        <v>HJ80JR400P10000 JP</v>
      </c>
      <c r="G875" s="77" t="str">
        <f>IFERROR(VLOOKUP($AA875,PLAN!$B:$AA,2,0),"")</f>
        <v>1001947816</v>
      </c>
      <c r="H875" s="113">
        <f>IFERROR(VLOOKUP($AA875,PLAN!$B:$AA,7,0),"")</f>
        <v>46263</v>
      </c>
      <c r="I875" s="77" t="str">
        <f>IFERROR(VLOOKUP($AA875,PLAN!$B:$AA,8,0),"")</f>
        <v>0103613227</v>
      </c>
      <c r="J875" s="77" t="str">
        <f>IFERROR(VLOOKUP($AA875,PLAN!$B:$AA,9,0),"")</f>
        <v>260815C41A</v>
      </c>
      <c r="K875" s="77">
        <f>IFERROR(VLOOKUP($AA875,PLAN!$B:$AA,10,0),"")</f>
        <v>6</v>
      </c>
      <c r="L875" s="77" t="str">
        <f>IFERROR(VLOOKUP($AA875,PLAN!$B:$AA,15,0),"")</f>
        <v>JAPAN</v>
      </c>
      <c r="M875" s="77">
        <f>IFERROR(VLOOKUP($AA875,PLAN!$B:$AA,18,0),"")</f>
        <v>0</v>
      </c>
      <c r="N875" s="227">
        <f>IFERROR(VLOOKUP($AA875,PLAN!$B:$AA,19,0),"")</f>
        <v>0</v>
      </c>
      <c r="O875" s="77" t="str">
        <f>IFERROR(VLOOKUP($AA875,PLAN!$B:$AA,12,0),"")</f>
        <v>2112297-0-C</v>
      </c>
      <c r="P875" s="77">
        <f>IFERROR(VLOOKUP($AA875,PLAN!$B:$AA,11,0),"")</f>
        <v>12116264</v>
      </c>
      <c r="Q875" s="349" t="s">
        <v>5299</v>
      </c>
      <c r="R875" s="158" t="s">
        <v>5300</v>
      </c>
      <c r="S875" s="149">
        <f t="shared" si="52"/>
        <v>6</v>
      </c>
      <c r="T875" s="131"/>
      <c r="U875" s="78">
        <f>IFERROR(VLOOKUP($AA875,PLAN!$B:$AA,21,0),"")</f>
        <v>46258</v>
      </c>
      <c r="V875" s="78" t="str">
        <f>IFERROR(VLOOKUP($AA875,PLAN!$B:$AA,22,0),"")</f>
        <v>M10</v>
      </c>
      <c r="W875" s="232"/>
      <c r="X875" s="233"/>
      <c r="Y875" s="212"/>
      <c r="Z875" s="350"/>
      <c r="AA875" s="195" t="s">
        <v>5165</v>
      </c>
      <c r="AB875" s="132">
        <f>VLOOKUP(AA875,PLAN!B:V,20,0)</f>
        <v>46258</v>
      </c>
      <c r="AC875" s="132"/>
    </row>
    <row r="876" spans="3:29" s="79" customFormat="1" ht="21.6" customHeight="1">
      <c r="C876" s="249" t="str">
        <f t="shared" si="51"/>
        <v>Aug29-86</v>
      </c>
      <c r="D876" s="77">
        <f>IFERROR(VLOOKUP($AA876,PLAN!$B:$AA,3,0),"")</f>
        <v>11119340</v>
      </c>
      <c r="E876" s="77" t="str">
        <f>IFERROR(VLOOKUP($AA876,PLAN!$B:$AA,4,0),"")</f>
        <v>1911008-D-A</v>
      </c>
      <c r="F876" s="77" t="str">
        <f>IFERROR(VLOOKUP($AA876,PLAN!$B:$AA,5,0),"")</f>
        <v>HJ60AL102P09020 JP</v>
      </c>
      <c r="G876" s="77" t="str">
        <f>IFERROR(VLOOKUP($AA876,PLAN!$B:$AA,2,0),"")</f>
        <v>1001947817</v>
      </c>
      <c r="H876" s="113">
        <f>IFERROR(VLOOKUP($AA876,PLAN!$B:$AA,7,0),"")</f>
        <v>46263</v>
      </c>
      <c r="I876" s="77" t="str">
        <f>IFERROR(VLOOKUP($AA876,PLAN!$B:$AA,8,0),"")</f>
        <v>0103613228</v>
      </c>
      <c r="J876" s="77" t="str">
        <f>IFERROR(VLOOKUP($AA876,PLAN!$B:$AA,9,0),"")</f>
        <v>260815C42A</v>
      </c>
      <c r="K876" s="77">
        <f>IFERROR(VLOOKUP($AA876,PLAN!$B:$AA,10,0),"")</f>
        <v>7</v>
      </c>
      <c r="L876" s="77" t="str">
        <f>IFERROR(VLOOKUP($AA876,PLAN!$B:$AA,15,0),"")</f>
        <v>JAPAN</v>
      </c>
      <c r="M876" s="77">
        <f>IFERROR(VLOOKUP($AA876,PLAN!$B:$AA,18,0),"")</f>
        <v>0</v>
      </c>
      <c r="N876" s="227">
        <f>IFERROR(VLOOKUP($AA876,PLAN!$B:$AA,19,0),"")</f>
        <v>0</v>
      </c>
      <c r="O876" s="77" t="str">
        <f>IFERROR(VLOOKUP($AA876,PLAN!$B:$AA,12,0),"")</f>
        <v>2112010-0-C</v>
      </c>
      <c r="P876" s="77">
        <f>IFERROR(VLOOKUP($AA876,PLAN!$B:$AA,11,0),"")</f>
        <v>12115975</v>
      </c>
      <c r="Q876" s="349" t="s">
        <v>5301</v>
      </c>
      <c r="R876" s="158" t="s">
        <v>5302</v>
      </c>
      <c r="S876" s="149">
        <f t="shared" si="52"/>
        <v>7</v>
      </c>
      <c r="T876" s="131"/>
      <c r="U876" s="78">
        <f>IFERROR(VLOOKUP($AA876,PLAN!$B:$AA,21,0),"")</f>
        <v>46258</v>
      </c>
      <c r="V876" s="78" t="str">
        <f>IFERROR(VLOOKUP($AA876,PLAN!$B:$AA,22,0),"")</f>
        <v>M10</v>
      </c>
      <c r="W876" s="232"/>
      <c r="X876" s="233"/>
      <c r="Y876" s="212"/>
      <c r="Z876" s="350"/>
      <c r="AA876" s="195" t="s">
        <v>5166</v>
      </c>
      <c r="AB876" s="132">
        <f>VLOOKUP(AA876,PLAN!B:V,20,0)</f>
        <v>46258</v>
      </c>
      <c r="AC876" s="132"/>
    </row>
    <row r="877" spans="3:29" s="79" customFormat="1" ht="21.6" customHeight="1">
      <c r="C877" s="249" t="str">
        <f t="shared" si="51"/>
        <v>Aug29-87</v>
      </c>
      <c r="D877" s="77">
        <f>IFERROR(VLOOKUP($AA877,PLAN!$B:$AA,3,0),"")</f>
        <v>11119417</v>
      </c>
      <c r="E877" s="77" t="str">
        <f>IFERROR(VLOOKUP($AA877,PLAN!$B:$AA,4,0),"")</f>
        <v>1911085-D-A</v>
      </c>
      <c r="F877" s="77" t="str">
        <f>IFERROR(VLOOKUP($AA877,PLAN!$B:$AA,5,0),"")</f>
        <v>HJ60AL150P10022 JP</v>
      </c>
      <c r="G877" s="77" t="str">
        <f>IFERROR(VLOOKUP($AA877,PLAN!$B:$AA,2,0),"")</f>
        <v>1001947818</v>
      </c>
      <c r="H877" s="113">
        <f>IFERROR(VLOOKUP($AA877,PLAN!$B:$AA,7,0),"")</f>
        <v>46263</v>
      </c>
      <c r="I877" s="77" t="str">
        <f>IFERROR(VLOOKUP($AA877,PLAN!$B:$AA,8,0),"")</f>
        <v>0103613229</v>
      </c>
      <c r="J877" s="77" t="str">
        <f>IFERROR(VLOOKUP($AA877,PLAN!$B:$AA,9,0),"")</f>
        <v>260815C43A</v>
      </c>
      <c r="K877" s="77">
        <f>IFERROR(VLOOKUP($AA877,PLAN!$B:$AA,10,0),"")</f>
        <v>8</v>
      </c>
      <c r="L877" s="77" t="str">
        <f>IFERROR(VLOOKUP($AA877,PLAN!$B:$AA,15,0),"")</f>
        <v>JAPAN</v>
      </c>
      <c r="M877" s="77">
        <f>IFERROR(VLOOKUP($AA877,PLAN!$B:$AA,18,0),"")</f>
        <v>0</v>
      </c>
      <c r="N877" s="227">
        <f>IFERROR(VLOOKUP($AA877,PLAN!$B:$AA,19,0),"")</f>
        <v>0</v>
      </c>
      <c r="O877" s="77" t="str">
        <f>IFERROR(VLOOKUP($AA877,PLAN!$B:$AA,12,0),"")</f>
        <v>2112087-0-C</v>
      </c>
      <c r="P877" s="77">
        <f>IFERROR(VLOOKUP($AA877,PLAN!$B:$AA,11,0),"")</f>
        <v>12116052</v>
      </c>
      <c r="Q877" s="349" t="s">
        <v>5303</v>
      </c>
      <c r="R877" s="158" t="s">
        <v>5304</v>
      </c>
      <c r="S877" s="149">
        <f t="shared" si="52"/>
        <v>8</v>
      </c>
      <c r="T877" s="131"/>
      <c r="U877" s="78">
        <f>IFERROR(VLOOKUP($AA877,PLAN!$B:$AA,21,0),"")</f>
        <v>46258</v>
      </c>
      <c r="V877" s="78" t="str">
        <f>IFERROR(VLOOKUP($AA877,PLAN!$B:$AA,22,0),"")</f>
        <v>M10</v>
      </c>
      <c r="W877" s="232"/>
      <c r="X877" s="233"/>
      <c r="Y877" s="212"/>
      <c r="Z877" s="350"/>
      <c r="AA877" s="195" t="s">
        <v>5167</v>
      </c>
      <c r="AB877" s="132">
        <f>VLOOKUP(AA877,PLAN!B:V,20,0)</f>
        <v>46258</v>
      </c>
      <c r="AC877" s="132"/>
    </row>
    <row r="878" spans="3:29" s="79" customFormat="1" ht="21.6" customHeight="1">
      <c r="C878" s="249" t="str">
        <f t="shared" si="51"/>
        <v>Aug29-88</v>
      </c>
      <c r="D878" s="77">
        <f>IFERROR(VLOOKUP($AA878,PLAN!$B:$AA,3,0),"")</f>
        <v>11119444</v>
      </c>
      <c r="E878" s="77" t="str">
        <f>IFERROR(VLOOKUP($AA878,PLAN!$B:$AA,4,0),"")</f>
        <v>1911110-D-A</v>
      </c>
      <c r="F878" s="77" t="str">
        <f>IFERROR(VLOOKUP($AA878,PLAN!$B:$AA,5,0),"")</f>
        <v>HJ70AL102P10020 JP</v>
      </c>
      <c r="G878" s="77" t="str">
        <f>IFERROR(VLOOKUP($AA878,PLAN!$B:$AA,2,0),"")</f>
        <v>1001947819</v>
      </c>
      <c r="H878" s="113">
        <f>IFERROR(VLOOKUP($AA878,PLAN!$B:$AA,7,0),"")</f>
        <v>46263</v>
      </c>
      <c r="I878" s="77" t="str">
        <f>IFERROR(VLOOKUP($AA878,PLAN!$B:$AA,8,0),"")</f>
        <v>0103613230</v>
      </c>
      <c r="J878" s="77" t="str">
        <f>IFERROR(VLOOKUP($AA878,PLAN!$B:$AA,9,0),"")</f>
        <v>260815C44A</v>
      </c>
      <c r="K878" s="77">
        <f>IFERROR(VLOOKUP($AA878,PLAN!$B:$AA,10,0),"")</f>
        <v>9</v>
      </c>
      <c r="L878" s="77" t="str">
        <f>IFERROR(VLOOKUP($AA878,PLAN!$B:$AA,15,0),"")</f>
        <v>JAPAN</v>
      </c>
      <c r="M878" s="77">
        <f>IFERROR(VLOOKUP($AA878,PLAN!$B:$AA,18,0),"")</f>
        <v>0</v>
      </c>
      <c r="N878" s="227">
        <f>IFERROR(VLOOKUP($AA878,PLAN!$B:$AA,19,0),"")</f>
        <v>0</v>
      </c>
      <c r="O878" s="77" t="str">
        <f>IFERROR(VLOOKUP($AA878,PLAN!$B:$AA,12,0),"")</f>
        <v>2112112-0-C</v>
      </c>
      <c r="P878" s="77">
        <f>IFERROR(VLOOKUP($AA878,PLAN!$B:$AA,11,0),"")</f>
        <v>12116079</v>
      </c>
      <c r="Q878" s="349" t="s">
        <v>5305</v>
      </c>
      <c r="R878" s="158" t="s">
        <v>5306</v>
      </c>
      <c r="S878" s="149">
        <f t="shared" si="52"/>
        <v>9</v>
      </c>
      <c r="T878" s="131"/>
      <c r="U878" s="78">
        <f>IFERROR(VLOOKUP($AA878,PLAN!$B:$AA,21,0),"")</f>
        <v>46258</v>
      </c>
      <c r="V878" s="78" t="str">
        <f>IFERROR(VLOOKUP($AA878,PLAN!$B:$AA,22,0),"")</f>
        <v>M10</v>
      </c>
      <c r="W878" s="232"/>
      <c r="X878" s="233"/>
      <c r="Y878" s="212"/>
      <c r="Z878" s="350"/>
      <c r="AA878" s="195" t="s">
        <v>5168</v>
      </c>
      <c r="AB878" s="132">
        <f>VLOOKUP(AA878,PLAN!B:V,20,0)</f>
        <v>46258</v>
      </c>
      <c r="AC878" s="132"/>
    </row>
    <row r="879" spans="3:29" s="79" customFormat="1" ht="21.6" customHeight="1">
      <c r="C879" s="249" t="str">
        <f t="shared" si="51"/>
        <v>Aug29-89</v>
      </c>
      <c r="D879" s="77">
        <f>IFERROR(VLOOKUP($AA879,PLAN!$B:$AA,3,0),"")</f>
        <v>11119659</v>
      </c>
      <c r="E879" s="77" t="str">
        <f>IFERROR(VLOOKUP($AA879,PLAN!$B:$AA,4,0),"")</f>
        <v>1911325-D-A</v>
      </c>
      <c r="F879" s="77" t="str">
        <f>IFERROR(VLOOKUP($AA879,PLAN!$B:$AA,5,0),"")</f>
        <v>HJ80AL072P10002 JP</v>
      </c>
      <c r="G879" s="77" t="str">
        <f>IFERROR(VLOOKUP($AA879,PLAN!$B:$AA,2,0),"")</f>
        <v>1001947820</v>
      </c>
      <c r="H879" s="113">
        <f>IFERROR(VLOOKUP($AA879,PLAN!$B:$AA,7,0),"")</f>
        <v>46263</v>
      </c>
      <c r="I879" s="77" t="str">
        <f>IFERROR(VLOOKUP($AA879,PLAN!$B:$AA,8,0),"")</f>
        <v>0103613231</v>
      </c>
      <c r="J879" s="77" t="str">
        <f>IFERROR(VLOOKUP($AA879,PLAN!$B:$AA,9,0),"")</f>
        <v>260815C45A</v>
      </c>
      <c r="K879" s="77">
        <f>IFERROR(VLOOKUP($AA879,PLAN!$B:$AA,10,0),"")</f>
        <v>10</v>
      </c>
      <c r="L879" s="77" t="str">
        <f>IFERROR(VLOOKUP($AA879,PLAN!$B:$AA,15,0),"")</f>
        <v>JAPAN</v>
      </c>
      <c r="M879" s="77">
        <f>IFERROR(VLOOKUP($AA879,PLAN!$B:$AA,18,0),"")</f>
        <v>0</v>
      </c>
      <c r="N879" s="227">
        <f>IFERROR(VLOOKUP($AA879,PLAN!$B:$AA,19,0),"")</f>
        <v>0</v>
      </c>
      <c r="O879" s="77" t="str">
        <f>IFERROR(VLOOKUP($AA879,PLAN!$B:$AA,12,0),"")</f>
        <v>2112327-0-C</v>
      </c>
      <c r="P879" s="77">
        <f>IFERROR(VLOOKUP($AA879,PLAN!$B:$AA,11,0),"")</f>
        <v>12116294</v>
      </c>
      <c r="Q879" s="349" t="s">
        <v>5307</v>
      </c>
      <c r="R879" s="158" t="s">
        <v>5308</v>
      </c>
      <c r="S879" s="149">
        <f t="shared" si="52"/>
        <v>10</v>
      </c>
      <c r="T879" s="131"/>
      <c r="U879" s="78">
        <f>IFERROR(VLOOKUP($AA879,PLAN!$B:$AA,21,0),"")</f>
        <v>46258</v>
      </c>
      <c r="V879" s="78" t="str">
        <f>IFERROR(VLOOKUP($AA879,PLAN!$B:$AA,22,0),"")</f>
        <v>M10</v>
      </c>
      <c r="W879" s="232"/>
      <c r="X879" s="233"/>
      <c r="Y879" s="212"/>
      <c r="Z879" s="350"/>
      <c r="AA879" s="195" t="s">
        <v>5169</v>
      </c>
      <c r="AB879" s="132">
        <f>VLOOKUP(AA879,PLAN!B:V,20,0)</f>
        <v>46258</v>
      </c>
      <c r="AC879" s="132"/>
    </row>
    <row r="880" spans="3:29" s="79" customFormat="1" ht="21.6" customHeight="1">
      <c r="C880" s="249" t="str">
        <f t="shared" si="51"/>
        <v>Aug29-90</v>
      </c>
      <c r="D880" s="77">
        <f>IFERROR(VLOOKUP($AA880,PLAN!$B:$AA,3,0),"")</f>
        <v>11119347</v>
      </c>
      <c r="E880" s="77" t="str">
        <f>IFERROR(VLOOKUP($AA880,PLAN!$B:$AA,4,0),"")</f>
        <v>1911015-D-A</v>
      </c>
      <c r="F880" s="77" t="str">
        <f>IFERROR(VLOOKUP($AA880,PLAN!$B:$AA,5,0),"")</f>
        <v>HJ60AL200P10020 JP</v>
      </c>
      <c r="G880" s="77" t="str">
        <f>IFERROR(VLOOKUP($AA880,PLAN!$B:$AA,2,0),"")</f>
        <v>1001947821</v>
      </c>
      <c r="H880" s="113">
        <f>IFERROR(VLOOKUP($AA880,PLAN!$B:$AA,7,0),"")</f>
        <v>46263</v>
      </c>
      <c r="I880" s="77" t="str">
        <f>IFERROR(VLOOKUP($AA880,PLAN!$B:$AA,8,0),"")</f>
        <v>0103613232</v>
      </c>
      <c r="J880" s="77" t="str">
        <f>IFERROR(VLOOKUP($AA880,PLAN!$B:$AA,9,0),"")</f>
        <v>260815C46A</v>
      </c>
      <c r="K880" s="77">
        <f>IFERROR(VLOOKUP($AA880,PLAN!$B:$AA,10,0),"")</f>
        <v>12</v>
      </c>
      <c r="L880" s="77" t="str">
        <f>IFERROR(VLOOKUP($AA880,PLAN!$B:$AA,15,0),"")</f>
        <v>JAPAN</v>
      </c>
      <c r="M880" s="77">
        <f>IFERROR(VLOOKUP($AA880,PLAN!$B:$AA,18,0),"")</f>
        <v>0</v>
      </c>
      <c r="N880" s="227">
        <f>IFERROR(VLOOKUP($AA880,PLAN!$B:$AA,19,0),"")</f>
        <v>0</v>
      </c>
      <c r="O880" s="77" t="str">
        <f>IFERROR(VLOOKUP($AA880,PLAN!$B:$AA,12,0),"")</f>
        <v>2112017-0-C</v>
      </c>
      <c r="P880" s="77">
        <f>IFERROR(VLOOKUP($AA880,PLAN!$B:$AA,11,0),"")</f>
        <v>12115982</v>
      </c>
      <c r="Q880" s="349" t="s">
        <v>5309</v>
      </c>
      <c r="R880" s="158" t="s">
        <v>5310</v>
      </c>
      <c r="S880" s="149">
        <f t="shared" si="52"/>
        <v>12</v>
      </c>
      <c r="T880" s="131"/>
      <c r="U880" s="78">
        <f>IFERROR(VLOOKUP($AA880,PLAN!$B:$AA,21,0),"")</f>
        <v>46258</v>
      </c>
      <c r="V880" s="78" t="str">
        <f>IFERROR(VLOOKUP($AA880,PLAN!$B:$AA,22,0),"")</f>
        <v>M10</v>
      </c>
      <c r="W880" s="232"/>
      <c r="X880" s="233"/>
      <c r="Y880" s="212"/>
      <c r="Z880" s="350"/>
      <c r="AA880" s="195" t="s">
        <v>5170</v>
      </c>
      <c r="AB880" s="132">
        <f>VLOOKUP(AA880,PLAN!B:V,20,0)</f>
        <v>46258</v>
      </c>
      <c r="AC880" s="132"/>
    </row>
    <row r="881" spans="3:29" s="79" customFormat="1" ht="21.6" customHeight="1">
      <c r="C881" s="249" t="str">
        <f t="shared" si="51"/>
        <v>Aug29-91</v>
      </c>
      <c r="D881" s="77">
        <f>IFERROR(VLOOKUP($AA881,PLAN!$B:$AA,3,0),"")</f>
        <v>11119364</v>
      </c>
      <c r="E881" s="77" t="str">
        <f>IFERROR(VLOOKUP($AA881,PLAN!$B:$AA,4,0),"")</f>
        <v>1911032-D-A</v>
      </c>
      <c r="F881" s="77" t="str">
        <f>IFERROR(VLOOKUP($AA881,PLAN!$B:$AA,5,0),"")</f>
        <v>HJ60IL352P10020 JP</v>
      </c>
      <c r="G881" s="77" t="str">
        <f>IFERROR(VLOOKUP($AA881,PLAN!$B:$AA,2,0),"")</f>
        <v>1001947822</v>
      </c>
      <c r="H881" s="113">
        <f>IFERROR(VLOOKUP($AA881,PLAN!$B:$AA,7,0),"")</f>
        <v>46263</v>
      </c>
      <c r="I881" s="77" t="str">
        <f>IFERROR(VLOOKUP($AA881,PLAN!$B:$AA,8,0),"")</f>
        <v>0103613233</v>
      </c>
      <c r="J881" s="77" t="str">
        <f>IFERROR(VLOOKUP($AA881,PLAN!$B:$AA,9,0),"")</f>
        <v>260815C47A</v>
      </c>
      <c r="K881" s="77">
        <f>IFERROR(VLOOKUP($AA881,PLAN!$B:$AA,10,0),"")</f>
        <v>12</v>
      </c>
      <c r="L881" s="77" t="str">
        <f>IFERROR(VLOOKUP($AA881,PLAN!$B:$AA,15,0),"")</f>
        <v>JAPAN</v>
      </c>
      <c r="M881" s="77">
        <f>IFERROR(VLOOKUP($AA881,PLAN!$B:$AA,18,0),"")</f>
        <v>0</v>
      </c>
      <c r="N881" s="227">
        <f>IFERROR(VLOOKUP($AA881,PLAN!$B:$AA,19,0),"")</f>
        <v>0</v>
      </c>
      <c r="O881" s="77" t="str">
        <f>IFERROR(VLOOKUP($AA881,PLAN!$B:$AA,12,0),"")</f>
        <v>2112034-0-C</v>
      </c>
      <c r="P881" s="77">
        <f>IFERROR(VLOOKUP($AA881,PLAN!$B:$AA,11,0),"")</f>
        <v>12115999</v>
      </c>
      <c r="Q881" s="349" t="s">
        <v>5311</v>
      </c>
      <c r="R881" s="158" t="s">
        <v>5312</v>
      </c>
      <c r="S881" s="149">
        <f t="shared" si="52"/>
        <v>12</v>
      </c>
      <c r="T881" s="131"/>
      <c r="U881" s="78">
        <f>IFERROR(VLOOKUP($AA881,PLAN!$B:$AA,21,0),"")</f>
        <v>46258</v>
      </c>
      <c r="V881" s="78" t="str">
        <f>IFERROR(VLOOKUP($AA881,PLAN!$B:$AA,22,0),"")</f>
        <v>M10</v>
      </c>
      <c r="W881" s="232"/>
      <c r="X881" s="233"/>
      <c r="Y881" s="212"/>
      <c r="Z881" s="350"/>
      <c r="AA881" s="195" t="s">
        <v>5171</v>
      </c>
      <c r="AB881" s="132">
        <f>VLOOKUP(AA881,PLAN!B:V,20,0)</f>
        <v>46258</v>
      </c>
      <c r="AC881" s="132"/>
    </row>
    <row r="882" spans="3:29" s="79" customFormat="1" ht="21.6" customHeight="1">
      <c r="C882" s="249" t="str">
        <f t="shared" si="51"/>
        <v>Aug29-92</v>
      </c>
      <c r="D882" s="77">
        <f>IFERROR(VLOOKUP($AA882,PLAN!$B:$AA,3,0),"")</f>
        <v>11119486</v>
      </c>
      <c r="E882" s="77" t="str">
        <f>IFERROR(VLOOKUP($AA882,PLAN!$B:$AA,4,0),"")</f>
        <v>1911152-D-A</v>
      </c>
      <c r="F882" s="77" t="str">
        <f>IFERROR(VLOOKUP($AA882,PLAN!$B:$AA,5,0),"")</f>
        <v>HJ70JL352P10021 JP</v>
      </c>
      <c r="G882" s="77" t="str">
        <f>IFERROR(VLOOKUP($AA882,PLAN!$B:$AA,2,0),"")</f>
        <v>1001947823</v>
      </c>
      <c r="H882" s="113">
        <f>IFERROR(VLOOKUP($AA882,PLAN!$B:$AA,7,0),"")</f>
        <v>46263</v>
      </c>
      <c r="I882" s="77" t="str">
        <f>IFERROR(VLOOKUP($AA882,PLAN!$B:$AA,8,0),"")</f>
        <v>0103613234</v>
      </c>
      <c r="J882" s="77" t="str">
        <f>IFERROR(VLOOKUP($AA882,PLAN!$B:$AA,9,0),"")</f>
        <v>260815C48A</v>
      </c>
      <c r="K882" s="77">
        <f>IFERROR(VLOOKUP($AA882,PLAN!$B:$AA,10,0),"")</f>
        <v>12</v>
      </c>
      <c r="L882" s="77" t="str">
        <f>IFERROR(VLOOKUP($AA882,PLAN!$B:$AA,15,0),"")</f>
        <v>JAPAN</v>
      </c>
      <c r="M882" s="77">
        <f>IFERROR(VLOOKUP($AA882,PLAN!$B:$AA,18,0),"")</f>
        <v>0</v>
      </c>
      <c r="N882" s="227">
        <f>IFERROR(VLOOKUP($AA882,PLAN!$B:$AA,19,0),"")</f>
        <v>0</v>
      </c>
      <c r="O882" s="77" t="str">
        <f>IFERROR(VLOOKUP($AA882,PLAN!$B:$AA,12,0),"")</f>
        <v>2112154-0-C</v>
      </c>
      <c r="P882" s="77">
        <f>IFERROR(VLOOKUP($AA882,PLAN!$B:$AA,11,0),"")</f>
        <v>12116121</v>
      </c>
      <c r="Q882" s="349" t="s">
        <v>5313</v>
      </c>
      <c r="R882" s="158" t="s">
        <v>5314</v>
      </c>
      <c r="S882" s="149">
        <f t="shared" si="52"/>
        <v>12</v>
      </c>
      <c r="T882" s="131"/>
      <c r="U882" s="78">
        <f>IFERROR(VLOOKUP($AA882,PLAN!$B:$AA,21,0),"")</f>
        <v>46258</v>
      </c>
      <c r="V882" s="78" t="str">
        <f>IFERROR(VLOOKUP($AA882,PLAN!$B:$AA,22,0),"")</f>
        <v>M10</v>
      </c>
      <c r="W882" s="232"/>
      <c r="X882" s="233"/>
      <c r="Y882" s="212"/>
      <c r="Z882" s="350"/>
      <c r="AA882" s="195" t="s">
        <v>5172</v>
      </c>
      <c r="AB882" s="132">
        <f>VLOOKUP(AA882,PLAN!B:V,20,0)</f>
        <v>46258</v>
      </c>
      <c r="AC882" s="132"/>
    </row>
    <row r="883" spans="3:29" s="79" customFormat="1" ht="21.6" customHeight="1">
      <c r="C883" s="249" t="str">
        <f t="shared" si="51"/>
        <v>Aug29-93</v>
      </c>
      <c r="D883" s="77">
        <f>IFERROR(VLOOKUP($AA883,PLAN!$B:$AA,3,0),"")</f>
        <v>11119631</v>
      </c>
      <c r="E883" s="77" t="str">
        <f>IFERROR(VLOOKUP($AA883,PLAN!$B:$AA,4,0),"")</f>
        <v>1911297-D-A</v>
      </c>
      <c r="F883" s="77" t="str">
        <f>IFERROR(VLOOKUP($AA883,PLAN!$B:$AA,5,0),"")</f>
        <v>HJ80JR402P10000 JP</v>
      </c>
      <c r="G883" s="77" t="str">
        <f>IFERROR(VLOOKUP($AA883,PLAN!$B:$AA,2,0),"")</f>
        <v>1001947824</v>
      </c>
      <c r="H883" s="113">
        <f>IFERROR(VLOOKUP($AA883,PLAN!$B:$AA,7,0),"")</f>
        <v>46263</v>
      </c>
      <c r="I883" s="77" t="str">
        <f>IFERROR(VLOOKUP($AA883,PLAN!$B:$AA,8,0),"")</f>
        <v>0103613235</v>
      </c>
      <c r="J883" s="77" t="str">
        <f>IFERROR(VLOOKUP($AA883,PLAN!$B:$AA,9,0),"")</f>
        <v>260815C49A</v>
      </c>
      <c r="K883" s="77">
        <f>IFERROR(VLOOKUP($AA883,PLAN!$B:$AA,10,0),"")</f>
        <v>12</v>
      </c>
      <c r="L883" s="77" t="str">
        <f>IFERROR(VLOOKUP($AA883,PLAN!$B:$AA,15,0),"")</f>
        <v>JAPAN</v>
      </c>
      <c r="M883" s="77">
        <f>IFERROR(VLOOKUP($AA883,PLAN!$B:$AA,18,0),"")</f>
        <v>0</v>
      </c>
      <c r="N883" s="227">
        <f>IFERROR(VLOOKUP($AA883,PLAN!$B:$AA,19,0),"")</f>
        <v>0</v>
      </c>
      <c r="O883" s="77" t="str">
        <f>IFERROR(VLOOKUP($AA883,PLAN!$B:$AA,12,0),"")</f>
        <v>2112299-0-C</v>
      </c>
      <c r="P883" s="77">
        <f>IFERROR(VLOOKUP($AA883,PLAN!$B:$AA,11,0),"")</f>
        <v>12116266</v>
      </c>
      <c r="Q883" s="349" t="s">
        <v>5315</v>
      </c>
      <c r="R883" s="158" t="s">
        <v>5316</v>
      </c>
      <c r="S883" s="149">
        <f t="shared" si="52"/>
        <v>12</v>
      </c>
      <c r="T883" s="131"/>
      <c r="U883" s="78">
        <f>IFERROR(VLOOKUP($AA883,PLAN!$B:$AA,21,0),"")</f>
        <v>46258</v>
      </c>
      <c r="V883" s="78" t="str">
        <f>IFERROR(VLOOKUP($AA883,PLAN!$B:$AA,22,0),"")</f>
        <v>M10</v>
      </c>
      <c r="W883" s="232"/>
      <c r="X883" s="233"/>
      <c r="Y883" s="212"/>
      <c r="Z883" s="350"/>
      <c r="AA883" s="195" t="s">
        <v>5173</v>
      </c>
      <c r="AB883" s="132">
        <f>VLOOKUP(AA883,PLAN!B:V,20,0)</f>
        <v>46258</v>
      </c>
      <c r="AC883" s="132"/>
    </row>
    <row r="884" spans="3:29" s="79" customFormat="1" ht="21.6" customHeight="1">
      <c r="C884" s="249" t="str">
        <f t="shared" ref="C884:C954" si="53">AA884</f>
        <v>Aug29-94</v>
      </c>
      <c r="D884" s="77">
        <f>IFERROR(VLOOKUP($AA884,PLAN!$B:$AA,3,0),"")</f>
        <v>11119418</v>
      </c>
      <c r="E884" s="77" t="str">
        <f>IFERROR(VLOOKUP($AA884,PLAN!$B:$AA,4,0),"")</f>
        <v>1911086-D-A</v>
      </c>
      <c r="F884" s="77" t="str">
        <f>IFERROR(VLOOKUP($AA884,PLAN!$B:$AA,5,0),"")</f>
        <v>HJ60AL152P10022 JP</v>
      </c>
      <c r="G884" s="77" t="str">
        <f>IFERROR(VLOOKUP($AA884,PLAN!$B:$AA,2,0),"")</f>
        <v>1001947825</v>
      </c>
      <c r="H884" s="113">
        <f>IFERROR(VLOOKUP($AA884,PLAN!$B:$AA,7,0),"")</f>
        <v>46263</v>
      </c>
      <c r="I884" s="77" t="str">
        <f>IFERROR(VLOOKUP($AA884,PLAN!$B:$AA,8,0),"")</f>
        <v>0103613236</v>
      </c>
      <c r="J884" s="77" t="str">
        <f>IFERROR(VLOOKUP($AA884,PLAN!$B:$AA,9,0),"")</f>
        <v>260815C50A</v>
      </c>
      <c r="K884" s="77">
        <f>IFERROR(VLOOKUP($AA884,PLAN!$B:$AA,10,0),"")</f>
        <v>13</v>
      </c>
      <c r="L884" s="77" t="str">
        <f>IFERROR(VLOOKUP($AA884,PLAN!$B:$AA,15,0),"")</f>
        <v>JAPAN</v>
      </c>
      <c r="M884" s="77">
        <f>IFERROR(VLOOKUP($AA884,PLAN!$B:$AA,18,0),"")</f>
        <v>0</v>
      </c>
      <c r="N884" s="227">
        <f>IFERROR(VLOOKUP($AA884,PLAN!$B:$AA,19,0),"")</f>
        <v>0</v>
      </c>
      <c r="O884" s="77" t="str">
        <f>IFERROR(VLOOKUP($AA884,PLAN!$B:$AA,12,0),"")</f>
        <v>2112088-0-C</v>
      </c>
      <c r="P884" s="77">
        <f>IFERROR(VLOOKUP($AA884,PLAN!$B:$AA,11,0),"")</f>
        <v>12116053</v>
      </c>
      <c r="Q884" s="349" t="s">
        <v>807</v>
      </c>
      <c r="R884" s="149" t="s">
        <v>808</v>
      </c>
      <c r="S884" s="223">
        <v>6</v>
      </c>
      <c r="T884" s="131"/>
      <c r="U884" s="78">
        <f>IFERROR(VLOOKUP($AA884,PLAN!$B:$AA,21,0),"")</f>
        <v>46258</v>
      </c>
      <c r="V884" s="78" t="str">
        <f>IFERROR(VLOOKUP($AA884,PLAN!$B:$AA,22,0),"")</f>
        <v>M10</v>
      </c>
      <c r="W884" s="232"/>
      <c r="X884" s="233"/>
      <c r="Y884" s="212"/>
      <c r="Z884" s="350"/>
      <c r="AA884" s="195" t="s">
        <v>5174</v>
      </c>
      <c r="AB884" s="132">
        <f>VLOOKUP(AA884,PLAN!B:V,20,0)</f>
        <v>46258</v>
      </c>
      <c r="AC884" s="132"/>
    </row>
    <row r="885" spans="3:29" s="79" customFormat="1" ht="21.6" customHeight="1">
      <c r="C885" s="249"/>
      <c r="D885" s="77"/>
      <c r="E885" s="77"/>
      <c r="F885" s="77"/>
      <c r="G885" s="77"/>
      <c r="H885" s="113"/>
      <c r="I885" s="77"/>
      <c r="J885" s="77"/>
      <c r="K885" s="77"/>
      <c r="L885" s="77"/>
      <c r="M885" s="77"/>
      <c r="N885" s="227"/>
      <c r="O885" s="77"/>
      <c r="P885" s="77"/>
      <c r="Q885" s="349" t="s">
        <v>5317</v>
      </c>
      <c r="R885" s="158" t="s">
        <v>5318</v>
      </c>
      <c r="S885" s="223">
        <v>7</v>
      </c>
      <c r="T885" s="131"/>
      <c r="U885" s="78"/>
      <c r="V885" s="78"/>
      <c r="W885" s="232"/>
      <c r="X885" s="233"/>
      <c r="Y885" s="212"/>
      <c r="Z885" s="350"/>
      <c r="AA885" s="195"/>
      <c r="AB885" s="132">
        <v>46258</v>
      </c>
      <c r="AC885" s="132"/>
    </row>
    <row r="886" spans="3:29" s="79" customFormat="1" ht="21.6" customHeight="1">
      <c r="C886" s="249" t="str">
        <f t="shared" si="53"/>
        <v>Aug29-95</v>
      </c>
      <c r="D886" s="77">
        <f>IFERROR(VLOOKUP($AA886,PLAN!$B:$AA,3,0),"")</f>
        <v>11119421</v>
      </c>
      <c r="E886" s="77" t="str">
        <f>IFERROR(VLOOKUP($AA886,PLAN!$B:$AA,4,0),"")</f>
        <v>1911089-D-A</v>
      </c>
      <c r="F886" s="77" t="str">
        <f>IFERROR(VLOOKUP($AA886,PLAN!$B:$AA,5,0),"")</f>
        <v>HJ60SC350P10000 JP</v>
      </c>
      <c r="G886" s="77" t="str">
        <f>IFERROR(VLOOKUP($AA886,PLAN!$B:$AA,2,0),"")</f>
        <v>1001947826</v>
      </c>
      <c r="H886" s="113">
        <f>IFERROR(VLOOKUP($AA886,PLAN!$B:$AA,7,0),"")</f>
        <v>46263</v>
      </c>
      <c r="I886" s="77" t="str">
        <f>IFERROR(VLOOKUP($AA886,PLAN!$B:$AA,8,0),"")</f>
        <v>0103613237</v>
      </c>
      <c r="J886" s="77" t="str">
        <f>IFERROR(VLOOKUP($AA886,PLAN!$B:$AA,9,0),"")</f>
        <v>260815C51A</v>
      </c>
      <c r="K886" s="77">
        <f>IFERROR(VLOOKUP($AA886,PLAN!$B:$AA,10,0),"")</f>
        <v>15</v>
      </c>
      <c r="L886" s="77" t="str">
        <f>IFERROR(VLOOKUP($AA886,PLAN!$B:$AA,15,0),"")</f>
        <v>JAPAN</v>
      </c>
      <c r="M886" s="77">
        <f>IFERROR(VLOOKUP($AA886,PLAN!$B:$AA,18,0),"")</f>
        <v>0</v>
      </c>
      <c r="N886" s="227">
        <f>IFERROR(VLOOKUP($AA886,PLAN!$B:$AA,19,0),"")</f>
        <v>0</v>
      </c>
      <c r="O886" s="77" t="str">
        <f>IFERROR(VLOOKUP($AA886,PLAN!$B:$AA,12,0),"")</f>
        <v>2112091-0-C</v>
      </c>
      <c r="P886" s="77">
        <f>IFERROR(VLOOKUP($AA886,PLAN!$B:$AA,11,0),"")</f>
        <v>12116056</v>
      </c>
      <c r="Q886" s="349" t="s">
        <v>5319</v>
      </c>
      <c r="R886" s="158" t="s">
        <v>5320</v>
      </c>
      <c r="S886" s="149">
        <f t="shared" ref="S886:S954" si="54">K886</f>
        <v>15</v>
      </c>
      <c r="T886" s="131"/>
      <c r="U886" s="78">
        <f>IFERROR(VLOOKUP($AA886,PLAN!$B:$AA,21,0),"")</f>
        <v>46258</v>
      </c>
      <c r="V886" s="78" t="str">
        <f>IFERROR(VLOOKUP($AA886,PLAN!$B:$AA,22,0),"")</f>
        <v>M10</v>
      </c>
      <c r="W886" s="232"/>
      <c r="X886" s="233"/>
      <c r="Y886" s="212"/>
      <c r="Z886" s="350"/>
      <c r="AA886" s="195" t="s">
        <v>5175</v>
      </c>
      <c r="AB886" s="132">
        <f>VLOOKUP(AA886,PLAN!B:V,20,0)</f>
        <v>46258</v>
      </c>
      <c r="AC886" s="132"/>
    </row>
    <row r="887" spans="3:29" s="79" customFormat="1" ht="21.6" customHeight="1">
      <c r="C887" s="249" t="str">
        <f t="shared" si="53"/>
        <v>Aug29-96</v>
      </c>
      <c r="D887" s="77">
        <f>IFERROR(VLOOKUP($AA887,PLAN!$B:$AA,3,0),"")</f>
        <v>11119663</v>
      </c>
      <c r="E887" s="77" t="str">
        <f>IFERROR(VLOOKUP($AA887,PLAN!$B:$AA,4,0),"")</f>
        <v>1911329-D-A</v>
      </c>
      <c r="F887" s="77" t="str">
        <f>IFERROR(VLOOKUP($AA887,PLAN!$B:$AA,5,0),"")</f>
        <v>HJ80AL102P10002 JP</v>
      </c>
      <c r="G887" s="77" t="str">
        <f>IFERROR(VLOOKUP($AA887,PLAN!$B:$AA,2,0),"")</f>
        <v>1001947827</v>
      </c>
      <c r="H887" s="113">
        <f>IFERROR(VLOOKUP($AA887,PLAN!$B:$AA,7,0),"")</f>
        <v>46263</v>
      </c>
      <c r="I887" s="77" t="str">
        <f>IFERROR(VLOOKUP($AA887,PLAN!$B:$AA,8,0),"")</f>
        <v>0103613238</v>
      </c>
      <c r="J887" s="77" t="str">
        <f>IFERROR(VLOOKUP($AA887,PLAN!$B:$AA,9,0),"")</f>
        <v>260815C52A</v>
      </c>
      <c r="K887" s="77">
        <f>IFERROR(VLOOKUP($AA887,PLAN!$B:$AA,10,0),"")</f>
        <v>15</v>
      </c>
      <c r="L887" s="77" t="str">
        <f>IFERROR(VLOOKUP($AA887,PLAN!$B:$AA,15,0),"")</f>
        <v>JAPAN</v>
      </c>
      <c r="M887" s="77">
        <f>IFERROR(VLOOKUP($AA887,PLAN!$B:$AA,18,0),"")</f>
        <v>0</v>
      </c>
      <c r="N887" s="227">
        <f>IFERROR(VLOOKUP($AA887,PLAN!$B:$AA,19,0),"")</f>
        <v>0</v>
      </c>
      <c r="O887" s="77" t="str">
        <f>IFERROR(VLOOKUP($AA887,PLAN!$B:$AA,12,0),"")</f>
        <v>2112331-0-C</v>
      </c>
      <c r="P887" s="77">
        <f>IFERROR(VLOOKUP($AA887,PLAN!$B:$AA,11,0),"")</f>
        <v>12116298</v>
      </c>
      <c r="Q887" s="349" t="s">
        <v>889</v>
      </c>
      <c r="R887" s="149" t="s">
        <v>890</v>
      </c>
      <c r="S887" s="223">
        <v>7</v>
      </c>
      <c r="T887" s="131"/>
      <c r="U887" s="78">
        <f>IFERROR(VLOOKUP($AA887,PLAN!$B:$AA,21,0),"")</f>
        <v>46258</v>
      </c>
      <c r="V887" s="78" t="str">
        <f>IFERROR(VLOOKUP($AA887,PLAN!$B:$AA,22,0),"")</f>
        <v>M10</v>
      </c>
      <c r="W887" s="232"/>
      <c r="X887" s="233"/>
      <c r="Y887" s="212"/>
      <c r="Z887" s="350"/>
      <c r="AA887" s="195" t="s">
        <v>5176</v>
      </c>
      <c r="AB887" s="132">
        <f>VLOOKUP(AA887,PLAN!B:V,20,0)</f>
        <v>46258</v>
      </c>
      <c r="AC887" s="132"/>
    </row>
    <row r="888" spans="3:29" s="79" customFormat="1" ht="21.6" customHeight="1">
      <c r="C888" s="249"/>
      <c r="D888" s="77"/>
      <c r="E888" s="77"/>
      <c r="F888" s="77"/>
      <c r="G888" s="77"/>
      <c r="H888" s="113"/>
      <c r="I888" s="77"/>
      <c r="J888" s="77"/>
      <c r="K888" s="77"/>
      <c r="L888" s="77"/>
      <c r="M888" s="77"/>
      <c r="N888" s="227"/>
      <c r="O888" s="77"/>
      <c r="P888" s="77"/>
      <c r="Q888" s="349" t="s">
        <v>5321</v>
      </c>
      <c r="R888" s="158" t="s">
        <v>5322</v>
      </c>
      <c r="S888" s="223">
        <v>8</v>
      </c>
      <c r="T888" s="131"/>
      <c r="U888" s="78"/>
      <c r="V888" s="78"/>
      <c r="W888" s="232"/>
      <c r="X888" s="233"/>
      <c r="Y888" s="212"/>
      <c r="Z888" s="350"/>
      <c r="AA888" s="195"/>
      <c r="AB888" s="132">
        <v>46258</v>
      </c>
      <c r="AC888" s="132"/>
    </row>
    <row r="889" spans="3:29" s="79" customFormat="1" ht="21.6" customHeight="1">
      <c r="C889" s="249" t="str">
        <f t="shared" si="53"/>
        <v>Aug29-97</v>
      </c>
      <c r="D889" s="77">
        <f>IFERROR(VLOOKUP($AA889,PLAN!$B:$AA,3,0),"")</f>
        <v>11119333</v>
      </c>
      <c r="E889" s="77" t="str">
        <f>IFERROR(VLOOKUP($AA889,PLAN!$B:$AA,4,0),"")</f>
        <v>1911001-D-A</v>
      </c>
      <c r="F889" s="77" t="str">
        <f>IFERROR(VLOOKUP($AA889,PLAN!$B:$AA,5,0),"")</f>
        <v>HJ60AL070P10020 JP</v>
      </c>
      <c r="G889" s="77" t="str">
        <f>IFERROR(VLOOKUP($AA889,PLAN!$B:$AA,2,0),"")</f>
        <v>1001947828</v>
      </c>
      <c r="H889" s="113">
        <f>IFERROR(VLOOKUP($AA889,PLAN!$B:$AA,7,0),"")</f>
        <v>46263</v>
      </c>
      <c r="I889" s="77" t="str">
        <f>IFERROR(VLOOKUP($AA889,PLAN!$B:$AA,8,0),"")</f>
        <v>0103613240</v>
      </c>
      <c r="J889" s="77" t="str">
        <f>IFERROR(VLOOKUP($AA889,PLAN!$B:$AA,9,0),"")</f>
        <v>260815C53A</v>
      </c>
      <c r="K889" s="77">
        <f>IFERROR(VLOOKUP($AA889,PLAN!$B:$AA,10,0),"")</f>
        <v>16</v>
      </c>
      <c r="L889" s="77" t="str">
        <f>IFERROR(VLOOKUP($AA889,PLAN!$B:$AA,15,0),"")</f>
        <v>JAPAN</v>
      </c>
      <c r="M889" s="77">
        <f>IFERROR(VLOOKUP($AA889,PLAN!$B:$AA,18,0),"")</f>
        <v>0</v>
      </c>
      <c r="N889" s="227">
        <f>IFERROR(VLOOKUP($AA889,PLAN!$B:$AA,19,0),"")</f>
        <v>0</v>
      </c>
      <c r="O889" s="77" t="str">
        <f>IFERROR(VLOOKUP($AA889,PLAN!$B:$AA,12,0),"")</f>
        <v>2112003-0-C</v>
      </c>
      <c r="P889" s="77">
        <f>IFERROR(VLOOKUP($AA889,PLAN!$B:$AA,11,0),"")</f>
        <v>12115968</v>
      </c>
      <c r="Q889" s="349" t="s">
        <v>5323</v>
      </c>
      <c r="R889" s="158" t="s">
        <v>5324</v>
      </c>
      <c r="S889" s="149">
        <f t="shared" si="54"/>
        <v>16</v>
      </c>
      <c r="T889" s="131"/>
      <c r="U889" s="78">
        <f>IFERROR(VLOOKUP($AA889,PLAN!$B:$AA,21,0),"")</f>
        <v>46258</v>
      </c>
      <c r="V889" s="78" t="str">
        <f>IFERROR(VLOOKUP($AA889,PLAN!$B:$AA,22,0),"")</f>
        <v>M10</v>
      </c>
      <c r="W889" s="232"/>
      <c r="X889" s="233"/>
      <c r="Y889" s="212"/>
      <c r="Z889" s="350"/>
      <c r="AA889" s="195" t="s">
        <v>5177</v>
      </c>
      <c r="AB889" s="132">
        <f>VLOOKUP(AA889,PLAN!B:V,20,0)</f>
        <v>46258</v>
      </c>
      <c r="AC889" s="132"/>
    </row>
    <row r="890" spans="3:29" s="79" customFormat="1" ht="21.6" customHeight="1">
      <c r="C890" s="249" t="str">
        <f t="shared" si="53"/>
        <v>Aug29-98</v>
      </c>
      <c r="D890" s="77">
        <f>IFERROR(VLOOKUP($AA890,PLAN!$B:$AA,3,0),"")</f>
        <v>11119582</v>
      </c>
      <c r="E890" s="77" t="str">
        <f>IFERROR(VLOOKUP($AA890,PLAN!$B:$AA,4,0),"")</f>
        <v>1911248-D-A</v>
      </c>
      <c r="F890" s="77" t="str">
        <f>IFERROR(VLOOKUP($AA890,PLAN!$B:$AA,5,0),"")</f>
        <v>HJ80AL152P10000 JP</v>
      </c>
      <c r="G890" s="77" t="str">
        <f>IFERROR(VLOOKUP($AA890,PLAN!$B:$AA,2,0),"")</f>
        <v>1001947829</v>
      </c>
      <c r="H890" s="113">
        <f>IFERROR(VLOOKUP($AA890,PLAN!$B:$AA,7,0),"")</f>
        <v>46263</v>
      </c>
      <c r="I890" s="77" t="str">
        <f>IFERROR(VLOOKUP($AA890,PLAN!$B:$AA,8,0),"")</f>
        <v>0103613241</v>
      </c>
      <c r="J890" s="77" t="str">
        <f>IFERROR(VLOOKUP($AA890,PLAN!$B:$AA,9,0),"")</f>
        <v>260815C54A</v>
      </c>
      <c r="K890" s="77">
        <f>IFERROR(VLOOKUP($AA890,PLAN!$B:$AA,10,0),"")</f>
        <v>16</v>
      </c>
      <c r="L890" s="77" t="str">
        <f>IFERROR(VLOOKUP($AA890,PLAN!$B:$AA,15,0),"")</f>
        <v>JAPAN</v>
      </c>
      <c r="M890" s="77">
        <f>IFERROR(VLOOKUP($AA890,PLAN!$B:$AA,18,0),"")</f>
        <v>0</v>
      </c>
      <c r="N890" s="227">
        <f>IFERROR(VLOOKUP($AA890,PLAN!$B:$AA,19,0),"")</f>
        <v>0</v>
      </c>
      <c r="O890" s="77" t="str">
        <f>IFERROR(VLOOKUP($AA890,PLAN!$B:$AA,12,0),"")</f>
        <v>2112250-0-C</v>
      </c>
      <c r="P890" s="77">
        <f>IFERROR(VLOOKUP($AA890,PLAN!$B:$AA,11,0),"")</f>
        <v>12116217</v>
      </c>
      <c r="Q890" s="349" t="s">
        <v>5325</v>
      </c>
      <c r="R890" s="158" t="s">
        <v>5326</v>
      </c>
      <c r="S890" s="149">
        <f t="shared" si="54"/>
        <v>16</v>
      </c>
      <c r="T890" s="131"/>
      <c r="U890" s="78">
        <f>IFERROR(VLOOKUP($AA890,PLAN!$B:$AA,21,0),"")</f>
        <v>46258</v>
      </c>
      <c r="V890" s="78" t="str">
        <f>IFERROR(VLOOKUP($AA890,PLAN!$B:$AA,22,0),"")</f>
        <v>M10</v>
      </c>
      <c r="W890" s="232"/>
      <c r="X890" s="233"/>
      <c r="Y890" s="212"/>
      <c r="Z890" s="350"/>
      <c r="AA890" s="195" t="s">
        <v>5178</v>
      </c>
      <c r="AB890" s="132">
        <f>VLOOKUP(AA890,PLAN!B:V,20,0)</f>
        <v>46258</v>
      </c>
      <c r="AC890" s="132"/>
    </row>
    <row r="891" spans="3:29" s="79" customFormat="1" ht="21.6" customHeight="1">
      <c r="C891" s="249" t="str">
        <f t="shared" si="53"/>
        <v>Aug29-99</v>
      </c>
      <c r="D891" s="77">
        <f>IFERROR(VLOOKUP($AA891,PLAN!$B:$AA,3,0),"")</f>
        <v>11119390</v>
      </c>
      <c r="E891" s="77" t="str">
        <f>IFERROR(VLOOKUP($AA891,PLAN!$B:$AA,4,0),"")</f>
        <v>1911058-D-A</v>
      </c>
      <c r="F891" s="77" t="str">
        <f>IFERROR(VLOOKUP($AA891,PLAN!$B:$AA,5,0),"")</f>
        <v>HJ60JR352P10020 JP</v>
      </c>
      <c r="G891" s="77" t="str">
        <f>IFERROR(VLOOKUP($AA891,PLAN!$B:$AA,2,0),"")</f>
        <v>1001947830</v>
      </c>
      <c r="H891" s="113">
        <f>IFERROR(VLOOKUP($AA891,PLAN!$B:$AA,7,0),"")</f>
        <v>46263</v>
      </c>
      <c r="I891" s="77" t="str">
        <f>IFERROR(VLOOKUP($AA891,PLAN!$B:$AA,8,0),"")</f>
        <v>0103613242</v>
      </c>
      <c r="J891" s="77" t="str">
        <f>IFERROR(VLOOKUP($AA891,PLAN!$B:$AA,9,0),"")</f>
        <v>260815C55A</v>
      </c>
      <c r="K891" s="77">
        <f>IFERROR(VLOOKUP($AA891,PLAN!$B:$AA,10,0),"")</f>
        <v>20</v>
      </c>
      <c r="L891" s="77" t="str">
        <f>IFERROR(VLOOKUP($AA891,PLAN!$B:$AA,15,0),"")</f>
        <v>JAPAN</v>
      </c>
      <c r="M891" s="77">
        <f>IFERROR(VLOOKUP($AA891,PLAN!$B:$AA,18,0),"")</f>
        <v>0</v>
      </c>
      <c r="N891" s="227">
        <f>IFERROR(VLOOKUP($AA891,PLAN!$B:$AA,19,0),"")</f>
        <v>0</v>
      </c>
      <c r="O891" s="77" t="str">
        <f>IFERROR(VLOOKUP($AA891,PLAN!$B:$AA,12,0),"")</f>
        <v>2112060-0-C</v>
      </c>
      <c r="P891" s="77">
        <f>IFERROR(VLOOKUP($AA891,PLAN!$B:$AA,11,0),"")</f>
        <v>12116025</v>
      </c>
      <c r="Q891" s="349" t="s">
        <v>5327</v>
      </c>
      <c r="R891" s="158" t="s">
        <v>5328</v>
      </c>
      <c r="S891" s="149">
        <f t="shared" si="54"/>
        <v>20</v>
      </c>
      <c r="T891" s="131"/>
      <c r="U891" s="78">
        <f>IFERROR(VLOOKUP($AA891,PLAN!$B:$AA,21,0),"")</f>
        <v>46258</v>
      </c>
      <c r="V891" s="78" t="str">
        <f>IFERROR(VLOOKUP($AA891,PLAN!$B:$AA,22,0),"")</f>
        <v>M10</v>
      </c>
      <c r="W891" s="232"/>
      <c r="X891" s="233"/>
      <c r="Y891" s="212"/>
      <c r="Z891" s="350"/>
      <c r="AA891" s="195" t="s">
        <v>5179</v>
      </c>
      <c r="AB891" s="132">
        <f>VLOOKUP(AA891,PLAN!B:V,20,0)</f>
        <v>46258</v>
      </c>
      <c r="AC891" s="132"/>
    </row>
    <row r="892" spans="3:29" s="79" customFormat="1" ht="21.6" customHeight="1">
      <c r="C892" s="249" t="str">
        <f t="shared" si="53"/>
        <v>Aug29-100</v>
      </c>
      <c r="D892" s="77">
        <f>IFERROR(VLOOKUP($AA892,PLAN!$B:$AA,3,0),"")</f>
        <v>11119447</v>
      </c>
      <c r="E892" s="77" t="str">
        <f>IFERROR(VLOOKUP($AA892,PLAN!$B:$AA,4,0),"")</f>
        <v>1911113-D-A</v>
      </c>
      <c r="F892" s="77" t="str">
        <f>IFERROR(VLOOKUP($AA892,PLAN!$B:$AA,5,0),"")</f>
        <v>HJ70AL102P10021 JP</v>
      </c>
      <c r="G892" s="77" t="str">
        <f>IFERROR(VLOOKUP($AA892,PLAN!$B:$AA,2,0),"")</f>
        <v>1001947831</v>
      </c>
      <c r="H892" s="113">
        <f>IFERROR(VLOOKUP($AA892,PLAN!$B:$AA,7,0),"")</f>
        <v>46263</v>
      </c>
      <c r="I892" s="77" t="str">
        <f>IFERROR(VLOOKUP($AA892,PLAN!$B:$AA,8,0),"")</f>
        <v>0103613243</v>
      </c>
      <c r="J892" s="77" t="str">
        <f>IFERROR(VLOOKUP($AA892,PLAN!$B:$AA,9,0),"")</f>
        <v>260815C56A</v>
      </c>
      <c r="K892" s="77">
        <f>IFERROR(VLOOKUP($AA892,PLAN!$B:$AA,10,0),"")</f>
        <v>33</v>
      </c>
      <c r="L892" s="77" t="str">
        <f>IFERROR(VLOOKUP($AA892,PLAN!$B:$AA,15,0),"")</f>
        <v>JAPAN</v>
      </c>
      <c r="M892" s="77">
        <f>IFERROR(VLOOKUP($AA892,PLAN!$B:$AA,18,0),"")</f>
        <v>0</v>
      </c>
      <c r="N892" s="227">
        <f>IFERROR(VLOOKUP($AA892,PLAN!$B:$AA,19,0),"")</f>
        <v>0</v>
      </c>
      <c r="O892" s="77" t="str">
        <f>IFERROR(VLOOKUP($AA892,PLAN!$B:$AA,12,0),"")</f>
        <v>2112115-0-C</v>
      </c>
      <c r="P892" s="77">
        <f>IFERROR(VLOOKUP($AA892,PLAN!$B:$AA,11,0),"")</f>
        <v>12116082</v>
      </c>
      <c r="Q892" s="349" t="s">
        <v>5329</v>
      </c>
      <c r="R892" s="158" t="s">
        <v>5330</v>
      </c>
      <c r="S892" s="149">
        <f t="shared" si="54"/>
        <v>33</v>
      </c>
      <c r="T892" s="131"/>
      <c r="U892" s="78">
        <f>IFERROR(VLOOKUP($AA892,PLAN!$B:$AA,21,0),"")</f>
        <v>46258</v>
      </c>
      <c r="V892" s="78" t="str">
        <f>IFERROR(VLOOKUP($AA892,PLAN!$B:$AA,22,0),"")</f>
        <v>M10</v>
      </c>
      <c r="W892" s="232"/>
      <c r="X892" s="233"/>
      <c r="Y892" s="212"/>
      <c r="Z892" s="350"/>
      <c r="AA892" s="195" t="s">
        <v>5180</v>
      </c>
      <c r="AB892" s="132">
        <f>VLOOKUP(AA892,PLAN!B:V,20,0)</f>
        <v>46258</v>
      </c>
      <c r="AC892" s="132"/>
    </row>
    <row r="893" spans="3:29" s="79" customFormat="1" ht="21.6" customHeight="1">
      <c r="C893" s="249" t="str">
        <f t="shared" si="53"/>
        <v>Aug29-101</v>
      </c>
      <c r="D893" s="77">
        <f>IFERROR(VLOOKUP($AA893,PLAN!$B:$AA,3,0),"")</f>
        <v>11119537</v>
      </c>
      <c r="E893" s="77" t="str">
        <f>IFERROR(VLOOKUP($AA893,PLAN!$B:$AA,4,0),"")</f>
        <v>1911203-D-A</v>
      </c>
      <c r="F893" s="77" t="str">
        <f>IFERROR(VLOOKUP($AA893,PLAN!$B:$AA,5,0),"")</f>
        <v>HJ70AL072P10022 JP</v>
      </c>
      <c r="G893" s="77" t="str">
        <f>IFERROR(VLOOKUP($AA893,PLAN!$B:$AA,2,0),"")</f>
        <v>1001947832</v>
      </c>
      <c r="H893" s="113">
        <f>IFERROR(VLOOKUP($AA893,PLAN!$B:$AA,7,0),"")</f>
        <v>46263</v>
      </c>
      <c r="I893" s="77" t="str">
        <f>IFERROR(VLOOKUP($AA893,PLAN!$B:$AA,8,0),"")</f>
        <v>0103613244</v>
      </c>
      <c r="J893" s="77" t="str">
        <f>IFERROR(VLOOKUP($AA893,PLAN!$B:$AA,9,0),"")</f>
        <v>260815C57A</v>
      </c>
      <c r="K893" s="77">
        <f>IFERROR(VLOOKUP($AA893,PLAN!$B:$AA,10,0),"")</f>
        <v>36</v>
      </c>
      <c r="L893" s="77" t="str">
        <f>IFERROR(VLOOKUP($AA893,PLAN!$B:$AA,15,0),"")</f>
        <v>JAPAN</v>
      </c>
      <c r="M893" s="77">
        <f>IFERROR(VLOOKUP($AA893,PLAN!$B:$AA,18,0),"")</f>
        <v>0</v>
      </c>
      <c r="N893" s="227">
        <f>IFERROR(VLOOKUP($AA893,PLAN!$B:$AA,19,0),"")</f>
        <v>0</v>
      </c>
      <c r="O893" s="77" t="str">
        <f>IFERROR(VLOOKUP($AA893,PLAN!$B:$AA,12,0),"")</f>
        <v>2112205-0-C</v>
      </c>
      <c r="P893" s="77">
        <f>IFERROR(VLOOKUP($AA893,PLAN!$B:$AA,11,0),"")</f>
        <v>12116172</v>
      </c>
      <c r="Q893" s="349" t="s">
        <v>5331</v>
      </c>
      <c r="R893" s="158" t="s">
        <v>5332</v>
      </c>
      <c r="S893" s="149">
        <f t="shared" si="54"/>
        <v>36</v>
      </c>
      <c r="T893" s="131"/>
      <c r="U893" s="78">
        <f>IFERROR(VLOOKUP($AA893,PLAN!$B:$AA,21,0),"")</f>
        <v>46258</v>
      </c>
      <c r="V893" s="78" t="str">
        <f>IFERROR(VLOOKUP($AA893,PLAN!$B:$AA,22,0),"")</f>
        <v>M10</v>
      </c>
      <c r="W893" s="232"/>
      <c r="X893" s="233"/>
      <c r="Y893" s="212"/>
      <c r="Z893" s="350"/>
      <c r="AA893" s="195" t="s">
        <v>5181</v>
      </c>
      <c r="AB893" s="132">
        <f>VLOOKUP(AA893,PLAN!B:V,20,0)</f>
        <v>46258</v>
      </c>
      <c r="AC893" s="132"/>
    </row>
    <row r="894" spans="3:29" s="79" customFormat="1" ht="21.6" customHeight="1">
      <c r="C894" s="249" t="str">
        <f t="shared" si="53"/>
        <v>Aug29-102</v>
      </c>
      <c r="D894" s="77">
        <f>IFERROR(VLOOKUP($AA894,PLAN!$B:$AA,3,0),"")</f>
        <v>11119438</v>
      </c>
      <c r="E894" s="77" t="str">
        <f>IFERROR(VLOOKUP($AA894,PLAN!$B:$AA,4,0),"")</f>
        <v>1911104-D-A</v>
      </c>
      <c r="F894" s="77" t="str">
        <f>IFERROR(VLOOKUP($AA894,PLAN!$B:$AA,5,0),"")</f>
        <v>HJ70AL072P10020 JP</v>
      </c>
      <c r="G894" s="77" t="str">
        <f>IFERROR(VLOOKUP($AA894,PLAN!$B:$AA,2,0),"")</f>
        <v>1001947833</v>
      </c>
      <c r="H894" s="113">
        <f>IFERROR(VLOOKUP($AA894,PLAN!$B:$AA,7,0),"")</f>
        <v>46263</v>
      </c>
      <c r="I894" s="77" t="str">
        <f>IFERROR(VLOOKUP($AA894,PLAN!$B:$AA,8,0),"")</f>
        <v>0103613245</v>
      </c>
      <c r="J894" s="77" t="str">
        <f>IFERROR(VLOOKUP($AA894,PLAN!$B:$AA,9,0),"")</f>
        <v>260815C58A</v>
      </c>
      <c r="K894" s="77">
        <f>IFERROR(VLOOKUP($AA894,PLAN!$B:$AA,10,0),"")</f>
        <v>37</v>
      </c>
      <c r="L894" s="77" t="str">
        <f>IFERROR(VLOOKUP($AA894,PLAN!$B:$AA,15,0),"")</f>
        <v>JAPAN</v>
      </c>
      <c r="M894" s="77">
        <f>IFERROR(VLOOKUP($AA894,PLAN!$B:$AA,18,0),"")</f>
        <v>0</v>
      </c>
      <c r="N894" s="227">
        <f>IFERROR(VLOOKUP($AA894,PLAN!$B:$AA,19,0),"")</f>
        <v>0</v>
      </c>
      <c r="O894" s="77" t="str">
        <f>IFERROR(VLOOKUP($AA894,PLAN!$B:$AA,12,0),"")</f>
        <v>2112106-0-C</v>
      </c>
      <c r="P894" s="77">
        <f>IFERROR(VLOOKUP($AA894,PLAN!$B:$AA,11,0),"")</f>
        <v>12116073</v>
      </c>
      <c r="Q894" s="349" t="s">
        <v>5333</v>
      </c>
      <c r="R894" s="149" t="s">
        <v>5334</v>
      </c>
      <c r="S894" s="223">
        <v>3</v>
      </c>
      <c r="T894" s="131"/>
      <c r="U894" s="78">
        <f>IFERROR(VLOOKUP($AA894,PLAN!$B:$AA,21,0),"")</f>
        <v>46258</v>
      </c>
      <c r="V894" s="78" t="str">
        <f>IFERROR(VLOOKUP($AA894,PLAN!$B:$AA,22,0),"")</f>
        <v>M10</v>
      </c>
      <c r="W894" s="232"/>
      <c r="X894" s="233"/>
      <c r="Y894" s="212"/>
      <c r="Z894" s="350"/>
      <c r="AA894" s="195" t="s">
        <v>5182</v>
      </c>
      <c r="AB894" s="132">
        <f>VLOOKUP(AA894,PLAN!B:V,20,0)</f>
        <v>46258</v>
      </c>
      <c r="AC894" s="132"/>
    </row>
    <row r="895" spans="3:29" s="79" customFormat="1" ht="21.6" customHeight="1">
      <c r="C895" s="249"/>
      <c r="D895" s="77"/>
      <c r="E895" s="77"/>
      <c r="F895" s="77"/>
      <c r="G895" s="77"/>
      <c r="H895" s="113"/>
      <c r="I895" s="77"/>
      <c r="J895" s="77"/>
      <c r="K895" s="77"/>
      <c r="L895" s="77"/>
      <c r="M895" s="77"/>
      <c r="N895" s="227"/>
      <c r="O895" s="77"/>
      <c r="P895" s="77"/>
      <c r="Q895" s="349" t="s">
        <v>5335</v>
      </c>
      <c r="R895" s="158" t="s">
        <v>5336</v>
      </c>
      <c r="S895" s="223">
        <v>34</v>
      </c>
      <c r="T895" s="131"/>
      <c r="U895" s="78"/>
      <c r="V895" s="78"/>
      <c r="W895" s="232"/>
      <c r="X895" s="233"/>
      <c r="Y895" s="212"/>
      <c r="Z895" s="350"/>
      <c r="AA895" s="195"/>
      <c r="AB895" s="132">
        <v>46258</v>
      </c>
      <c r="AC895" s="132"/>
    </row>
    <row r="896" spans="3:29" s="79" customFormat="1" ht="21.6" customHeight="1">
      <c r="C896" s="249" t="str">
        <f t="shared" si="53"/>
        <v>Aug29-103</v>
      </c>
      <c r="D896" s="77">
        <f>IFERROR(VLOOKUP($AA896,PLAN!$B:$AA,3,0),"")</f>
        <v>11119450</v>
      </c>
      <c r="E896" s="77" t="str">
        <f>IFERROR(VLOOKUP($AA896,PLAN!$B:$AA,4,0),"")</f>
        <v>1911116-D-A</v>
      </c>
      <c r="F896" s="77" t="str">
        <f>IFERROR(VLOOKUP($AA896,PLAN!$B:$AA,5,0),"")</f>
        <v>HJ70AL152P10020 JP</v>
      </c>
      <c r="G896" s="77" t="str">
        <f>IFERROR(VLOOKUP($AA896,PLAN!$B:$AA,2,0),"")</f>
        <v>1001947834</v>
      </c>
      <c r="H896" s="113">
        <f>IFERROR(VLOOKUP($AA896,PLAN!$B:$AA,7,0),"")</f>
        <v>46263</v>
      </c>
      <c r="I896" s="77" t="str">
        <f>IFERROR(VLOOKUP($AA896,PLAN!$B:$AA,8,0),"")</f>
        <v>0103613246</v>
      </c>
      <c r="J896" s="77" t="str">
        <f>IFERROR(VLOOKUP($AA896,PLAN!$B:$AA,9,0),"")</f>
        <v>260815C59A</v>
      </c>
      <c r="K896" s="77">
        <f>IFERROR(VLOOKUP($AA896,PLAN!$B:$AA,10,0),"")</f>
        <v>38</v>
      </c>
      <c r="L896" s="77" t="str">
        <f>IFERROR(VLOOKUP($AA896,PLAN!$B:$AA,15,0),"")</f>
        <v>JAPAN</v>
      </c>
      <c r="M896" s="77">
        <f>IFERROR(VLOOKUP($AA896,PLAN!$B:$AA,18,0),"")</f>
        <v>0</v>
      </c>
      <c r="N896" s="227">
        <f>IFERROR(VLOOKUP($AA896,PLAN!$B:$AA,19,0),"")</f>
        <v>0</v>
      </c>
      <c r="O896" s="77" t="str">
        <f>IFERROR(VLOOKUP($AA896,PLAN!$B:$AA,12,0),"")</f>
        <v>2112118-0-C</v>
      </c>
      <c r="P896" s="77">
        <f>IFERROR(VLOOKUP($AA896,PLAN!$B:$AA,11,0),"")</f>
        <v>12116085</v>
      </c>
      <c r="Q896" s="349" t="s">
        <v>5337</v>
      </c>
      <c r="R896" s="158" t="s">
        <v>5338</v>
      </c>
      <c r="S896" s="149">
        <f t="shared" si="54"/>
        <v>38</v>
      </c>
      <c r="T896" s="131"/>
      <c r="U896" s="78">
        <f>IFERROR(VLOOKUP($AA896,PLAN!$B:$AA,21,0),"")</f>
        <v>46258</v>
      </c>
      <c r="V896" s="78" t="str">
        <f>IFERROR(VLOOKUP($AA896,PLAN!$B:$AA,22,0),"")</f>
        <v>M10</v>
      </c>
      <c r="W896" s="232"/>
      <c r="X896" s="233"/>
      <c r="Y896" s="212"/>
      <c r="Z896" s="350"/>
      <c r="AA896" s="195" t="s">
        <v>5183</v>
      </c>
      <c r="AB896" s="132">
        <f>VLOOKUP(AA896,PLAN!B:V,20,0)</f>
        <v>46258</v>
      </c>
      <c r="AC896" s="132"/>
    </row>
    <row r="897" spans="3:29" s="79" customFormat="1" ht="21.6" customHeight="1">
      <c r="C897" s="249" t="str">
        <f t="shared" si="53"/>
        <v>Aug29-104</v>
      </c>
      <c r="D897" s="77">
        <f>IFERROR(VLOOKUP($AA897,PLAN!$B:$AA,3,0),"")</f>
        <v>11119337</v>
      </c>
      <c r="E897" s="77" t="str">
        <f>IFERROR(VLOOKUP($AA897,PLAN!$B:$AA,4,0),"")</f>
        <v>1911005-E-A</v>
      </c>
      <c r="F897" s="77" t="str">
        <f>IFERROR(VLOOKUP($AA897,PLAN!$B:$AA,5,0),"")</f>
        <v>HJ60AL100P10020 JP</v>
      </c>
      <c r="G897" s="77" t="str">
        <f>IFERROR(VLOOKUP($AA897,PLAN!$B:$AA,2,0),"")</f>
        <v>1001947835</v>
      </c>
      <c r="H897" s="113">
        <f>IFERROR(VLOOKUP($AA897,PLAN!$B:$AA,7,0),"")</f>
        <v>46263</v>
      </c>
      <c r="I897" s="77" t="str">
        <f>IFERROR(VLOOKUP($AA897,PLAN!$B:$AA,8,0),"")</f>
        <v>0103613247</v>
      </c>
      <c r="J897" s="77" t="str">
        <f>IFERROR(VLOOKUP($AA897,PLAN!$B:$AA,9,0),"")</f>
        <v>260815C60A</v>
      </c>
      <c r="K897" s="77">
        <f>IFERROR(VLOOKUP($AA897,PLAN!$B:$AA,10,0),"")</f>
        <v>39</v>
      </c>
      <c r="L897" s="77" t="str">
        <f>IFERROR(VLOOKUP($AA897,PLAN!$B:$AA,15,0),"")</f>
        <v>JAPAN</v>
      </c>
      <c r="M897" s="77">
        <f>IFERROR(VLOOKUP($AA897,PLAN!$B:$AA,18,0),"")</f>
        <v>0</v>
      </c>
      <c r="N897" s="227">
        <f>IFERROR(VLOOKUP($AA897,PLAN!$B:$AA,19,0),"")</f>
        <v>0</v>
      </c>
      <c r="O897" s="77" t="str">
        <f>IFERROR(VLOOKUP($AA897,PLAN!$B:$AA,12,0),"")</f>
        <v>2112007-0-C</v>
      </c>
      <c r="P897" s="77">
        <f>IFERROR(VLOOKUP($AA897,PLAN!$B:$AA,11,0),"")</f>
        <v>12115972</v>
      </c>
      <c r="Q897" s="349" t="s">
        <v>3948</v>
      </c>
      <c r="R897" s="149" t="s">
        <v>3949</v>
      </c>
      <c r="S897" s="223">
        <v>38</v>
      </c>
      <c r="T897" s="131"/>
      <c r="U897" s="78">
        <f>IFERROR(VLOOKUP($AA897,PLAN!$B:$AA,21,0),"")</f>
        <v>46258</v>
      </c>
      <c r="V897" s="78" t="str">
        <f>IFERROR(VLOOKUP($AA897,PLAN!$B:$AA,22,0),"")</f>
        <v>M10</v>
      </c>
      <c r="W897" s="232"/>
      <c r="X897" s="233"/>
      <c r="Y897" s="212"/>
      <c r="Z897" s="350"/>
      <c r="AA897" s="195" t="s">
        <v>5184</v>
      </c>
      <c r="AB897" s="132">
        <f>VLOOKUP(AA897,PLAN!B:V,20,0)</f>
        <v>46258</v>
      </c>
      <c r="AC897" s="132"/>
    </row>
    <row r="898" spans="3:29" s="79" customFormat="1" ht="21.6" customHeight="1">
      <c r="C898" s="249"/>
      <c r="D898" s="77"/>
      <c r="E898" s="77"/>
      <c r="F898" s="77"/>
      <c r="G898" s="77"/>
      <c r="H898" s="113"/>
      <c r="I898" s="77"/>
      <c r="J898" s="77"/>
      <c r="K898" s="77"/>
      <c r="L898" s="77"/>
      <c r="M898" s="77"/>
      <c r="N898" s="227"/>
      <c r="O898" s="77"/>
      <c r="P898" s="77"/>
      <c r="Q898" s="349" t="s">
        <v>5339</v>
      </c>
      <c r="R898" s="158" t="s">
        <v>5340</v>
      </c>
      <c r="S898" s="223">
        <v>1</v>
      </c>
      <c r="T898" s="131"/>
      <c r="U898" s="78"/>
      <c r="V898" s="78"/>
      <c r="W898" s="232"/>
      <c r="X898" s="233"/>
      <c r="Y898" s="212"/>
      <c r="Z898" s="350"/>
      <c r="AA898" s="195"/>
      <c r="AB898" s="132">
        <v>46258</v>
      </c>
      <c r="AC898" s="132"/>
    </row>
    <row r="899" spans="3:29" s="79" customFormat="1" ht="21.6" customHeight="1">
      <c r="C899" s="249" t="str">
        <f t="shared" si="53"/>
        <v>Aug29-105</v>
      </c>
      <c r="D899" s="77">
        <f>IFERROR(VLOOKUP($AA899,PLAN!$B:$AA,3,0),"")</f>
        <v>11119365</v>
      </c>
      <c r="E899" s="77" t="str">
        <f>IFERROR(VLOOKUP($AA899,PLAN!$B:$AA,4,0),"")</f>
        <v>1911033-D-A</v>
      </c>
      <c r="F899" s="77" t="str">
        <f>IFERROR(VLOOKUP($AA899,PLAN!$B:$AA,5,0),"")</f>
        <v>HJ60IL400P10000 JP</v>
      </c>
      <c r="G899" s="77" t="str">
        <f>IFERROR(VLOOKUP($AA899,PLAN!$B:$AA,2,0),"")</f>
        <v>1001947836</v>
      </c>
      <c r="H899" s="113">
        <f>IFERROR(VLOOKUP($AA899,PLAN!$B:$AA,7,0),"")</f>
        <v>46263</v>
      </c>
      <c r="I899" s="77" t="str">
        <f>IFERROR(VLOOKUP($AA899,PLAN!$B:$AA,8,0),"")</f>
        <v>0103613248</v>
      </c>
      <c r="J899" s="77" t="str">
        <f>IFERROR(VLOOKUP($AA899,PLAN!$B:$AA,9,0),"")</f>
        <v>260815C61A</v>
      </c>
      <c r="K899" s="77">
        <f>IFERROR(VLOOKUP($AA899,PLAN!$B:$AA,10,0),"")</f>
        <v>45</v>
      </c>
      <c r="L899" s="77" t="str">
        <f>IFERROR(VLOOKUP($AA899,PLAN!$B:$AA,15,0),"")</f>
        <v>JAPAN</v>
      </c>
      <c r="M899" s="77">
        <f>IFERROR(VLOOKUP($AA899,PLAN!$B:$AA,18,0),"")</f>
        <v>0</v>
      </c>
      <c r="N899" s="227">
        <f>IFERROR(VLOOKUP($AA899,PLAN!$B:$AA,19,0),"")</f>
        <v>0</v>
      </c>
      <c r="O899" s="77" t="str">
        <f>IFERROR(VLOOKUP($AA899,PLAN!$B:$AA,12,0),"")</f>
        <v>2112035-0-C</v>
      </c>
      <c r="P899" s="77">
        <f>IFERROR(VLOOKUP($AA899,PLAN!$B:$AA,11,0),"")</f>
        <v>12116000</v>
      </c>
      <c r="Q899" s="349" t="s">
        <v>5341</v>
      </c>
      <c r="R899" s="158" t="s">
        <v>5342</v>
      </c>
      <c r="S899" s="149">
        <f t="shared" si="54"/>
        <v>45</v>
      </c>
      <c r="T899" s="131"/>
      <c r="U899" s="78">
        <f>IFERROR(VLOOKUP($AA899,PLAN!$B:$AA,21,0),"")</f>
        <v>46258</v>
      </c>
      <c r="V899" s="78" t="str">
        <f>IFERROR(VLOOKUP($AA899,PLAN!$B:$AA,22,0),"")</f>
        <v>M10</v>
      </c>
      <c r="W899" s="232"/>
      <c r="X899" s="233"/>
      <c r="Y899" s="212"/>
      <c r="Z899" s="350"/>
      <c r="AA899" s="195" t="s">
        <v>5185</v>
      </c>
      <c r="AB899" s="132">
        <f>VLOOKUP(AA899,PLAN!B:V,20,0)</f>
        <v>46258</v>
      </c>
      <c r="AC899" s="132"/>
    </row>
    <row r="900" spans="3:29" s="79" customFormat="1" ht="21.6" customHeight="1">
      <c r="C900" s="249" t="str">
        <f t="shared" si="53"/>
        <v>Aug29-106</v>
      </c>
      <c r="D900" s="77">
        <f>IFERROR(VLOOKUP($AA900,PLAN!$B:$AA,3,0),"")</f>
        <v>11119492</v>
      </c>
      <c r="E900" s="77" t="str">
        <f>IFERROR(VLOOKUP($AA900,PLAN!$B:$AA,4,0),"")</f>
        <v>1911158-D-A</v>
      </c>
      <c r="F900" s="77" t="str">
        <f>IFERROR(VLOOKUP($AA900,PLAN!$B:$AA,5,0),"")</f>
        <v>HJ70JL400P10001 JP</v>
      </c>
      <c r="G900" s="77" t="str">
        <f>IFERROR(VLOOKUP($AA900,PLAN!$B:$AA,2,0),"")</f>
        <v>1001947837</v>
      </c>
      <c r="H900" s="113">
        <f>IFERROR(VLOOKUP($AA900,PLAN!$B:$AA,7,0),"")</f>
        <v>46263</v>
      </c>
      <c r="I900" s="77" t="str">
        <f>IFERROR(VLOOKUP($AA900,PLAN!$B:$AA,8,0),"")</f>
        <v>0103613249</v>
      </c>
      <c r="J900" s="77" t="str">
        <f>IFERROR(VLOOKUP($AA900,PLAN!$B:$AA,9,0),"")</f>
        <v>260815C62A</v>
      </c>
      <c r="K900" s="77">
        <f>IFERROR(VLOOKUP($AA900,PLAN!$B:$AA,10,0),"")</f>
        <v>51</v>
      </c>
      <c r="L900" s="77" t="str">
        <f>IFERROR(VLOOKUP($AA900,PLAN!$B:$AA,15,0),"")</f>
        <v>JAPAN</v>
      </c>
      <c r="M900" s="77">
        <f>IFERROR(VLOOKUP($AA900,PLAN!$B:$AA,18,0),"")</f>
        <v>0</v>
      </c>
      <c r="N900" s="227">
        <f>IFERROR(VLOOKUP($AA900,PLAN!$B:$AA,19,0),"")</f>
        <v>0</v>
      </c>
      <c r="O900" s="77" t="str">
        <f>IFERROR(VLOOKUP($AA900,PLAN!$B:$AA,12,0),"")</f>
        <v>2112160-0-C</v>
      </c>
      <c r="P900" s="77">
        <f>IFERROR(VLOOKUP($AA900,PLAN!$B:$AA,11,0),"")</f>
        <v>12116127</v>
      </c>
      <c r="Q900" s="349" t="s">
        <v>5343</v>
      </c>
      <c r="R900" s="158" t="s">
        <v>5344</v>
      </c>
      <c r="S900" s="149">
        <f t="shared" si="54"/>
        <v>51</v>
      </c>
      <c r="T900" s="131"/>
      <c r="U900" s="78">
        <f>IFERROR(VLOOKUP($AA900,PLAN!$B:$AA,21,0),"")</f>
        <v>46258</v>
      </c>
      <c r="V900" s="78" t="str">
        <f>IFERROR(VLOOKUP($AA900,PLAN!$B:$AA,22,0),"")</f>
        <v>M10</v>
      </c>
      <c r="W900" s="232"/>
      <c r="X900" s="233"/>
      <c r="Y900" s="212"/>
      <c r="Z900" s="350"/>
      <c r="AA900" s="195" t="s">
        <v>5186</v>
      </c>
      <c r="AB900" s="132">
        <f>VLOOKUP(AA900,PLAN!B:V,20,0)</f>
        <v>46258</v>
      </c>
      <c r="AC900" s="132"/>
    </row>
    <row r="901" spans="3:29" s="79" customFormat="1" ht="21.6" customHeight="1">
      <c r="C901" s="249" t="str">
        <f t="shared" si="53"/>
        <v>Aug29-107</v>
      </c>
      <c r="D901" s="77">
        <f>IFERROR(VLOOKUP($AA901,PLAN!$B:$AA,3,0),"")</f>
        <v>11119485</v>
      </c>
      <c r="E901" s="77" t="str">
        <f>IFERROR(VLOOKUP($AA901,PLAN!$B:$AA,4,0),"")</f>
        <v>1911151-D-A</v>
      </c>
      <c r="F901" s="77" t="str">
        <f>IFERROR(VLOOKUP($AA901,PLAN!$B:$AA,5,0),"")</f>
        <v>HJ70JL350P10001 JP</v>
      </c>
      <c r="G901" s="77" t="str">
        <f>IFERROR(VLOOKUP($AA901,PLAN!$B:$AA,2,0),"")</f>
        <v>1001947838</v>
      </c>
      <c r="H901" s="113">
        <f>IFERROR(VLOOKUP($AA901,PLAN!$B:$AA,7,0),"")</f>
        <v>46263</v>
      </c>
      <c r="I901" s="77" t="str">
        <f>IFERROR(VLOOKUP($AA901,PLAN!$B:$AA,8,0),"")</f>
        <v>0103613250</v>
      </c>
      <c r="J901" s="77" t="str">
        <f>IFERROR(VLOOKUP($AA901,PLAN!$B:$AA,9,0),"")</f>
        <v>260815C63A</v>
      </c>
      <c r="K901" s="77">
        <f>IFERROR(VLOOKUP($AA901,PLAN!$B:$AA,10,0),"")</f>
        <v>59</v>
      </c>
      <c r="L901" s="77" t="str">
        <f>IFERROR(VLOOKUP($AA901,PLAN!$B:$AA,15,0),"")</f>
        <v>JAPAN</v>
      </c>
      <c r="M901" s="77">
        <f>IFERROR(VLOOKUP($AA901,PLAN!$B:$AA,18,0),"")</f>
        <v>0</v>
      </c>
      <c r="N901" s="227">
        <f>IFERROR(VLOOKUP($AA901,PLAN!$B:$AA,19,0),"")</f>
        <v>0</v>
      </c>
      <c r="O901" s="77" t="str">
        <f>IFERROR(VLOOKUP($AA901,PLAN!$B:$AA,12,0),"")</f>
        <v>2112153-0-C</v>
      </c>
      <c r="P901" s="77">
        <f>IFERROR(VLOOKUP($AA901,PLAN!$B:$AA,11,0),"")</f>
        <v>12116120</v>
      </c>
      <c r="Q901" s="349" t="s">
        <v>5345</v>
      </c>
      <c r="R901" s="158" t="s">
        <v>5346</v>
      </c>
      <c r="S901" s="149">
        <f t="shared" si="54"/>
        <v>59</v>
      </c>
      <c r="T901" s="131"/>
      <c r="U901" s="78">
        <f>IFERROR(VLOOKUP($AA901,PLAN!$B:$AA,21,0),"")</f>
        <v>46258</v>
      </c>
      <c r="V901" s="78" t="str">
        <f>IFERROR(VLOOKUP($AA901,PLAN!$B:$AA,22,0),"")</f>
        <v>M10</v>
      </c>
      <c r="W901" s="232"/>
      <c r="X901" s="233"/>
      <c r="Y901" s="212"/>
      <c r="Z901" s="350"/>
      <c r="AA901" s="195" t="s">
        <v>5187</v>
      </c>
      <c r="AB901" s="132">
        <f>VLOOKUP(AA901,PLAN!B:V,20,0)</f>
        <v>46258</v>
      </c>
      <c r="AC901" s="132"/>
    </row>
    <row r="902" spans="3:29" s="79" customFormat="1" ht="21.6" customHeight="1">
      <c r="C902" s="249" t="str">
        <f t="shared" si="53"/>
        <v>Aug29-108</v>
      </c>
      <c r="D902" s="77">
        <f>IFERROR(VLOOKUP($AA902,PLAN!$B:$AA,3,0),"")</f>
        <v>11119363</v>
      </c>
      <c r="E902" s="77" t="str">
        <f>IFERROR(VLOOKUP($AA902,PLAN!$B:$AA,4,0),"")</f>
        <v>1911031-D-A</v>
      </c>
      <c r="F902" s="77" t="str">
        <f>IFERROR(VLOOKUP($AA902,PLAN!$B:$AA,5,0),"")</f>
        <v>HJ60IL350P10000 JP</v>
      </c>
      <c r="G902" s="77" t="str">
        <f>IFERROR(VLOOKUP($AA902,PLAN!$B:$AA,2,0),"")</f>
        <v>1001947839</v>
      </c>
      <c r="H902" s="113">
        <f>IFERROR(VLOOKUP($AA902,PLAN!$B:$AA,7,0),"")</f>
        <v>46263</v>
      </c>
      <c r="I902" s="77" t="str">
        <f>IFERROR(VLOOKUP($AA902,PLAN!$B:$AA,8,0),"")</f>
        <v>0103613251</v>
      </c>
      <c r="J902" s="77" t="str">
        <f>IFERROR(VLOOKUP($AA902,PLAN!$B:$AA,9,0),"")</f>
        <v>260815C64A</v>
      </c>
      <c r="K902" s="77">
        <f>IFERROR(VLOOKUP($AA902,PLAN!$B:$AA,10,0),"")</f>
        <v>101</v>
      </c>
      <c r="L902" s="77" t="str">
        <f>IFERROR(VLOOKUP($AA902,PLAN!$B:$AA,15,0),"")</f>
        <v>JAPAN</v>
      </c>
      <c r="M902" s="77">
        <f>IFERROR(VLOOKUP($AA902,PLAN!$B:$AA,18,0),"")</f>
        <v>0</v>
      </c>
      <c r="N902" s="227">
        <f>IFERROR(VLOOKUP($AA902,PLAN!$B:$AA,19,0),"")</f>
        <v>0</v>
      </c>
      <c r="O902" s="77" t="str">
        <f>IFERROR(VLOOKUP($AA902,PLAN!$B:$AA,12,0),"")</f>
        <v>2112033-0-C</v>
      </c>
      <c r="P902" s="77">
        <f>IFERROR(VLOOKUP($AA902,PLAN!$B:$AA,11,0),"")</f>
        <v>12115998</v>
      </c>
      <c r="Q902" s="349" t="s">
        <v>887</v>
      </c>
      <c r="R902" s="149" t="s">
        <v>888</v>
      </c>
      <c r="S902" s="223">
        <v>37</v>
      </c>
      <c r="T902" s="131"/>
      <c r="U902" s="78">
        <f>IFERROR(VLOOKUP($AA902,PLAN!$B:$AA,21,0),"")</f>
        <v>46258</v>
      </c>
      <c r="V902" s="78" t="str">
        <f>IFERROR(VLOOKUP($AA902,PLAN!$B:$AA,22,0),"")</f>
        <v>M10</v>
      </c>
      <c r="W902" s="232"/>
      <c r="X902" s="233"/>
      <c r="Y902" s="212"/>
      <c r="Z902" s="350"/>
      <c r="AA902" s="195" t="s">
        <v>5188</v>
      </c>
      <c r="AB902" s="132">
        <f>VLOOKUP(AA902,PLAN!B:V,20,0)</f>
        <v>46258</v>
      </c>
      <c r="AC902" s="132"/>
    </row>
    <row r="903" spans="3:29" s="79" customFormat="1" ht="21.6" customHeight="1">
      <c r="C903" s="249">
        <f t="shared" si="53"/>
        <v>0</v>
      </c>
      <c r="D903" s="77" t="str">
        <f>IFERROR(VLOOKUP($AA903,PLAN!$B:$AA,3,0),"")</f>
        <v/>
      </c>
      <c r="E903" s="77" t="str">
        <f>IFERROR(VLOOKUP($AA903,PLAN!$B:$AA,4,0),"")</f>
        <v/>
      </c>
      <c r="F903" s="77" t="str">
        <f>IFERROR(VLOOKUP($AA903,PLAN!$B:$AA,5,0),"")</f>
        <v/>
      </c>
      <c r="G903" s="77" t="str">
        <f>IFERROR(VLOOKUP($AA903,PLAN!$B:$AA,2,0),"")</f>
        <v/>
      </c>
      <c r="H903" s="113" t="str">
        <f>IFERROR(VLOOKUP($AA903,PLAN!$B:$AA,7,0),"")</f>
        <v/>
      </c>
      <c r="I903" s="77" t="str">
        <f>IFERROR(VLOOKUP($AA903,PLAN!$B:$AA,8,0),"")</f>
        <v/>
      </c>
      <c r="J903" s="77" t="str">
        <f>IFERROR(VLOOKUP($AA903,PLAN!$B:$AA,9,0),"")</f>
        <v/>
      </c>
      <c r="K903" s="77" t="str">
        <f>IFERROR(VLOOKUP($AA903,PLAN!$B:$AA,10,0),"")</f>
        <v/>
      </c>
      <c r="L903" s="77" t="str">
        <f>IFERROR(VLOOKUP($AA903,PLAN!$B:$AA,15,0),"")</f>
        <v/>
      </c>
      <c r="M903" s="77" t="str">
        <f>IFERROR(VLOOKUP($AA903,PLAN!$B:$AA,18,0),"")</f>
        <v/>
      </c>
      <c r="N903" s="227" t="str">
        <f>IFERROR(VLOOKUP($AA903,PLAN!$B:$AA,19,0),"")</f>
        <v/>
      </c>
      <c r="O903" s="77" t="str">
        <f>IFERROR(VLOOKUP($AA903,PLAN!$B:$AA,12,0),"")</f>
        <v/>
      </c>
      <c r="P903" s="77" t="str">
        <f>IFERROR(VLOOKUP($AA903,PLAN!$B:$AA,11,0),"")</f>
        <v/>
      </c>
      <c r="Q903" s="349" t="s">
        <v>5347</v>
      </c>
      <c r="R903" s="158" t="s">
        <v>5348</v>
      </c>
      <c r="S903" s="223">
        <f>K902-S902</f>
        <v>64</v>
      </c>
      <c r="T903" s="131"/>
      <c r="U903" s="78" t="str">
        <f>IFERROR(VLOOKUP($AA903,PLAN!$B:$AA,21,0),"")</f>
        <v/>
      </c>
      <c r="V903" s="78" t="str">
        <f>IFERROR(VLOOKUP($AA903,PLAN!$B:$AA,22,0),"")</f>
        <v/>
      </c>
      <c r="W903" s="232"/>
      <c r="X903" s="233"/>
      <c r="Y903" s="212"/>
      <c r="Z903" s="350"/>
      <c r="AA903" s="195"/>
      <c r="AB903" s="132">
        <v>46258</v>
      </c>
      <c r="AC903" s="132"/>
    </row>
    <row r="904" spans="3:29" s="79" customFormat="1" ht="21.6" customHeight="1">
      <c r="C904" s="249" t="str">
        <f t="shared" si="53"/>
        <v>Aug29-109</v>
      </c>
      <c r="D904" s="77">
        <f>IFERROR(VLOOKUP($AA904,PLAN!$B:$AA,3,0),"")</f>
        <v>11119481</v>
      </c>
      <c r="E904" s="77" t="str">
        <f>IFERROR(VLOOKUP($AA904,PLAN!$B:$AA,4,0),"")</f>
        <v>1911147-D-A</v>
      </c>
      <c r="F904" s="77" t="str">
        <f>IFERROR(VLOOKUP($AA904,PLAN!$B:$AA,5,0),"")</f>
        <v>HJ70JL350P10000 JP</v>
      </c>
      <c r="G904" s="77" t="str">
        <f>IFERROR(VLOOKUP($AA904,PLAN!$B:$AA,2,0),"")</f>
        <v>1001947840</v>
      </c>
      <c r="H904" s="113">
        <f>IFERROR(VLOOKUP($AA904,PLAN!$B:$AA,7,0),"")</f>
        <v>46263</v>
      </c>
      <c r="I904" s="77" t="str">
        <f>IFERROR(VLOOKUP($AA904,PLAN!$B:$AA,8,0),"")</f>
        <v>0103613252</v>
      </c>
      <c r="J904" s="77" t="str">
        <f>IFERROR(VLOOKUP($AA904,PLAN!$B:$AA,9,0),"")</f>
        <v>260815C65A</v>
      </c>
      <c r="K904" s="77">
        <f>IFERROR(VLOOKUP($AA904,PLAN!$B:$AA,10,0),"")</f>
        <v>152</v>
      </c>
      <c r="L904" s="77" t="str">
        <f>IFERROR(VLOOKUP($AA904,PLAN!$B:$AA,15,0),"")</f>
        <v>JAPAN</v>
      </c>
      <c r="M904" s="77">
        <f>IFERROR(VLOOKUP($AA904,PLAN!$B:$AA,18,0),"")</f>
        <v>0</v>
      </c>
      <c r="N904" s="227">
        <f>IFERROR(VLOOKUP($AA904,PLAN!$B:$AA,19,0),"")</f>
        <v>0</v>
      </c>
      <c r="O904" s="77" t="str">
        <f>IFERROR(VLOOKUP($AA904,PLAN!$B:$AA,12,0),"")</f>
        <v>2112149-0-C</v>
      </c>
      <c r="P904" s="77">
        <f>IFERROR(VLOOKUP($AA904,PLAN!$B:$AA,11,0),"")</f>
        <v>12116116</v>
      </c>
      <c r="Q904" s="277" t="s">
        <v>3765</v>
      </c>
      <c r="R904" s="149" t="s">
        <v>3766</v>
      </c>
      <c r="S904" s="223">
        <v>7</v>
      </c>
      <c r="T904" s="131"/>
      <c r="U904" s="78">
        <f>IFERROR(VLOOKUP($AA904,PLAN!$B:$AA,21,0),"")</f>
        <v>46258</v>
      </c>
      <c r="V904" s="78" t="str">
        <f>IFERROR(VLOOKUP($AA904,PLAN!$B:$AA,22,0),"")</f>
        <v>M10</v>
      </c>
      <c r="W904" s="232"/>
      <c r="X904" s="233"/>
      <c r="Y904" s="212"/>
      <c r="Z904" s="350"/>
      <c r="AA904" s="195" t="s">
        <v>5189</v>
      </c>
      <c r="AB904" s="132">
        <f>VLOOKUP(AA904,PLAN!B:V,20,0)</f>
        <v>46258</v>
      </c>
      <c r="AC904" s="132"/>
    </row>
    <row r="905" spans="3:29" s="79" customFormat="1" ht="21.6" customHeight="1">
      <c r="C905" s="249">
        <f t="shared" si="53"/>
        <v>0</v>
      </c>
      <c r="D905" s="77" t="str">
        <f>IFERROR(VLOOKUP($AA905,PLAN!$B:$AA,3,0),"")</f>
        <v/>
      </c>
      <c r="E905" s="77" t="str">
        <f>IFERROR(VLOOKUP($AA905,PLAN!$B:$AA,4,0),"")</f>
        <v/>
      </c>
      <c r="F905" s="77" t="str">
        <f>IFERROR(VLOOKUP($AA905,PLAN!$B:$AA,5,0),"")</f>
        <v/>
      </c>
      <c r="G905" s="77" t="str">
        <f>IFERROR(VLOOKUP($AA905,PLAN!$B:$AA,2,0),"")</f>
        <v/>
      </c>
      <c r="H905" s="113" t="str">
        <f>IFERROR(VLOOKUP($AA905,PLAN!$B:$AA,7,0),"")</f>
        <v/>
      </c>
      <c r="I905" s="77" t="str">
        <f>IFERROR(VLOOKUP($AA905,PLAN!$B:$AA,8,0),"")</f>
        <v/>
      </c>
      <c r="J905" s="77" t="str">
        <f>IFERROR(VLOOKUP($AA905,PLAN!$B:$AA,9,0),"")</f>
        <v/>
      </c>
      <c r="K905" s="77" t="str">
        <f>IFERROR(VLOOKUP($AA905,PLAN!$B:$AA,10,0),"")</f>
        <v/>
      </c>
      <c r="L905" s="77" t="str">
        <f>IFERROR(VLOOKUP($AA905,PLAN!$B:$AA,15,0),"")</f>
        <v/>
      </c>
      <c r="M905" s="77" t="str">
        <f>IFERROR(VLOOKUP($AA905,PLAN!$B:$AA,18,0),"")</f>
        <v/>
      </c>
      <c r="N905" s="227" t="str">
        <f>IFERROR(VLOOKUP($AA905,PLAN!$B:$AA,19,0),"")</f>
        <v/>
      </c>
      <c r="O905" s="77" t="str">
        <f>IFERROR(VLOOKUP($AA905,PLAN!$B:$AA,12,0),"")</f>
        <v/>
      </c>
      <c r="P905" s="77" t="str">
        <f>IFERROR(VLOOKUP($AA905,PLAN!$B:$AA,11,0),"")</f>
        <v/>
      </c>
      <c r="Q905" s="349" t="s">
        <v>5349</v>
      </c>
      <c r="R905" s="158" t="s">
        <v>5350</v>
      </c>
      <c r="S905" s="223">
        <v>145</v>
      </c>
      <c r="T905" s="131"/>
      <c r="U905" s="78" t="str">
        <f>IFERROR(VLOOKUP($AA905,PLAN!$B:$AA,21,0),"")</f>
        <v/>
      </c>
      <c r="V905" s="78" t="str">
        <f>IFERROR(VLOOKUP($AA905,PLAN!$B:$AA,22,0),"")</f>
        <v/>
      </c>
      <c r="W905" s="232"/>
      <c r="X905" s="233"/>
      <c r="Y905" s="212"/>
      <c r="Z905" s="350"/>
      <c r="AA905" s="195"/>
      <c r="AB905" s="132">
        <v>46258</v>
      </c>
      <c r="AC905" s="132"/>
    </row>
    <row r="906" spans="3:29" s="79" customFormat="1" ht="21.6" customHeight="1">
      <c r="C906" s="249" t="str">
        <f t="shared" si="53"/>
        <v>Aug29-113</v>
      </c>
      <c r="D906" s="77">
        <f>IFERROR(VLOOKUP($AA906,PLAN!$B:$AA,3,0),"")</f>
        <v>11119494</v>
      </c>
      <c r="E906" s="77" t="str">
        <f>IFERROR(VLOOKUP($AA906,PLAN!$B:$AA,4,0),"")</f>
        <v>1911160-D-A</v>
      </c>
      <c r="F906" s="77" t="str">
        <f>IFERROR(VLOOKUP($AA906,PLAN!$B:$AA,5,0),"")</f>
        <v>HJ70JL402P09021 JP</v>
      </c>
      <c r="G906" s="77" t="str">
        <f>IFERROR(VLOOKUP($AA906,PLAN!$B:$AA,2,0),"")</f>
        <v>1001950262</v>
      </c>
      <c r="H906" s="113">
        <f>IFERROR(VLOOKUP($AA906,PLAN!$B:$AA,7,0),"")</f>
        <v>46263</v>
      </c>
      <c r="I906" s="77" t="str">
        <f>IFERROR(VLOOKUP($AA906,PLAN!$B:$AA,8,0),"")</f>
        <v>0103617951</v>
      </c>
      <c r="J906" s="77" t="str">
        <f>IFERROR(VLOOKUP($AA906,PLAN!$B:$AA,9,0),"")</f>
        <v>260818C01A</v>
      </c>
      <c r="K906" s="77">
        <f>IFERROR(VLOOKUP($AA906,PLAN!$B:$AA,10,0),"")</f>
        <v>1</v>
      </c>
      <c r="L906" s="77" t="str">
        <f>IFERROR(VLOOKUP($AA906,PLAN!$B:$AA,15,0),"")</f>
        <v>JAPAN</v>
      </c>
      <c r="M906" s="77">
        <f>IFERROR(VLOOKUP($AA906,PLAN!$B:$AA,18,0),"")</f>
        <v>0</v>
      </c>
      <c r="N906" s="227">
        <f>IFERROR(VLOOKUP($AA906,PLAN!$B:$AA,19,0),"")</f>
        <v>0</v>
      </c>
      <c r="O906" s="77" t="str">
        <f>IFERROR(VLOOKUP($AA906,PLAN!$B:$AA,12,0),"")</f>
        <v>2112162-0-C</v>
      </c>
      <c r="P906" s="77">
        <f>IFERROR(VLOOKUP($AA906,PLAN!$B:$AA,11,0),"")</f>
        <v>12116129</v>
      </c>
      <c r="Q906" s="349" t="s">
        <v>5849</v>
      </c>
      <c r="R906" s="158" t="s">
        <v>5850</v>
      </c>
      <c r="S906" s="149">
        <f t="shared" si="54"/>
        <v>1</v>
      </c>
      <c r="T906" s="131"/>
      <c r="U906" s="78">
        <f>IFERROR(VLOOKUP($AA906,PLAN!$B:$AA,21,0),"")</f>
        <v>46259</v>
      </c>
      <c r="V906" s="78" t="str">
        <f>IFERROR(VLOOKUP($AA906,PLAN!$B:$AA,22,0),"")</f>
        <v>M9</v>
      </c>
      <c r="W906" s="232"/>
      <c r="X906" s="233"/>
      <c r="Y906" s="212"/>
      <c r="Z906" s="350"/>
      <c r="AA906" s="195" t="s">
        <v>5769</v>
      </c>
      <c r="AB906" s="132">
        <f>VLOOKUP(AA906,PLAN!B:V,20,0)</f>
        <v>46259</v>
      </c>
      <c r="AC906" s="132"/>
    </row>
    <row r="907" spans="3:29" s="79" customFormat="1" ht="21.6" customHeight="1">
      <c r="C907" s="249" t="str">
        <f t="shared" si="53"/>
        <v>Aug29-114</v>
      </c>
      <c r="D907" s="77">
        <f>IFERROR(VLOOKUP($AA907,PLAN!$B:$AA,3,0),"")</f>
        <v>11119495</v>
      </c>
      <c r="E907" s="77" t="str">
        <f>IFERROR(VLOOKUP($AA907,PLAN!$B:$AA,4,0),"")</f>
        <v>1911161-D-A</v>
      </c>
      <c r="F907" s="77" t="str">
        <f>IFERROR(VLOOKUP($AA907,PLAN!$B:$AA,5,0),"")</f>
        <v>HJ70JL450P10000 JP</v>
      </c>
      <c r="G907" s="77" t="str">
        <f>IFERROR(VLOOKUP($AA907,PLAN!$B:$AA,2,0),"")</f>
        <v>1001950263</v>
      </c>
      <c r="H907" s="113">
        <f>IFERROR(VLOOKUP($AA907,PLAN!$B:$AA,7,0),"")</f>
        <v>46263</v>
      </c>
      <c r="I907" s="77" t="str">
        <f>IFERROR(VLOOKUP($AA907,PLAN!$B:$AA,8,0),"")</f>
        <v>0103617952</v>
      </c>
      <c r="J907" s="77" t="str">
        <f>IFERROR(VLOOKUP($AA907,PLAN!$B:$AA,9,0),"")</f>
        <v>260818C02A</v>
      </c>
      <c r="K907" s="77">
        <f>IFERROR(VLOOKUP($AA907,PLAN!$B:$AA,10,0),"")</f>
        <v>1</v>
      </c>
      <c r="L907" s="77" t="str">
        <f>IFERROR(VLOOKUP($AA907,PLAN!$B:$AA,15,0),"")</f>
        <v>JAPAN</v>
      </c>
      <c r="M907" s="77">
        <f>IFERROR(VLOOKUP($AA907,PLAN!$B:$AA,18,0),"")</f>
        <v>0</v>
      </c>
      <c r="N907" s="227">
        <f>IFERROR(VLOOKUP($AA907,PLAN!$B:$AA,19,0),"")</f>
        <v>0</v>
      </c>
      <c r="O907" s="77" t="str">
        <f>IFERROR(VLOOKUP($AA907,PLAN!$B:$AA,12,0),"")</f>
        <v>2112163-0-C</v>
      </c>
      <c r="P907" s="77">
        <f>IFERROR(VLOOKUP($AA907,PLAN!$B:$AA,11,0),"")</f>
        <v>12116130</v>
      </c>
      <c r="Q907" s="349" t="s">
        <v>5851</v>
      </c>
      <c r="R907" s="158" t="s">
        <v>5852</v>
      </c>
      <c r="S907" s="149">
        <f t="shared" si="54"/>
        <v>1</v>
      </c>
      <c r="T907" s="131"/>
      <c r="U907" s="78">
        <f>IFERROR(VLOOKUP($AA907,PLAN!$B:$AA,21,0),"")</f>
        <v>46259</v>
      </c>
      <c r="V907" s="78" t="str">
        <f>IFERROR(VLOOKUP($AA907,PLAN!$B:$AA,22,0),"")</f>
        <v>M9</v>
      </c>
      <c r="W907" s="232"/>
      <c r="X907" s="233"/>
      <c r="Y907" s="212"/>
      <c r="Z907" s="350"/>
      <c r="AA907" s="195" t="s">
        <v>5770</v>
      </c>
      <c r="AB907" s="132">
        <f>VLOOKUP(AA907,PLAN!B:V,20,0)</f>
        <v>46259</v>
      </c>
      <c r="AC907" s="132"/>
    </row>
    <row r="908" spans="3:29" s="79" customFormat="1" ht="21.6" customHeight="1">
      <c r="C908" s="249" t="str">
        <f t="shared" si="53"/>
        <v>Aug29-115</v>
      </c>
      <c r="D908" s="77">
        <f>IFERROR(VLOOKUP($AA908,PLAN!$B:$AA,3,0),"")</f>
        <v>11119497</v>
      </c>
      <c r="E908" s="77" t="str">
        <f>IFERROR(VLOOKUP($AA908,PLAN!$B:$AA,4,0),"")</f>
        <v>1911163-D-A</v>
      </c>
      <c r="F908" s="77" t="str">
        <f>IFERROR(VLOOKUP($AA908,PLAN!$B:$AA,5,0),"")</f>
        <v>HJ70JL450P10001 JP</v>
      </c>
      <c r="G908" s="77" t="str">
        <f>IFERROR(VLOOKUP($AA908,PLAN!$B:$AA,2,0),"")</f>
        <v>1001950264</v>
      </c>
      <c r="H908" s="113">
        <f>IFERROR(VLOOKUP($AA908,PLAN!$B:$AA,7,0),"")</f>
        <v>46263</v>
      </c>
      <c r="I908" s="77" t="str">
        <f>IFERROR(VLOOKUP($AA908,PLAN!$B:$AA,8,0),"")</f>
        <v>0103617954</v>
      </c>
      <c r="J908" s="77" t="str">
        <f>IFERROR(VLOOKUP($AA908,PLAN!$B:$AA,9,0),"")</f>
        <v>260818C03A</v>
      </c>
      <c r="K908" s="77">
        <f>IFERROR(VLOOKUP($AA908,PLAN!$B:$AA,10,0),"")</f>
        <v>1</v>
      </c>
      <c r="L908" s="77" t="str">
        <f>IFERROR(VLOOKUP($AA908,PLAN!$B:$AA,15,0),"")</f>
        <v>JAPAN</v>
      </c>
      <c r="M908" s="77">
        <f>IFERROR(VLOOKUP($AA908,PLAN!$B:$AA,18,0),"")</f>
        <v>0</v>
      </c>
      <c r="N908" s="227">
        <f>IFERROR(VLOOKUP($AA908,PLAN!$B:$AA,19,0),"")</f>
        <v>0</v>
      </c>
      <c r="O908" s="77" t="str">
        <f>IFERROR(VLOOKUP($AA908,PLAN!$B:$AA,12,0),"")</f>
        <v>2112165-0-C</v>
      </c>
      <c r="P908" s="77">
        <f>IFERROR(VLOOKUP($AA908,PLAN!$B:$AA,11,0),"")</f>
        <v>12116132</v>
      </c>
      <c r="Q908" s="349" t="s">
        <v>5853</v>
      </c>
      <c r="R908" s="158" t="s">
        <v>5854</v>
      </c>
      <c r="S908" s="149">
        <f t="shared" si="54"/>
        <v>1</v>
      </c>
      <c r="T908" s="131"/>
      <c r="U908" s="78">
        <f>IFERROR(VLOOKUP($AA908,PLAN!$B:$AA,21,0),"")</f>
        <v>46259</v>
      </c>
      <c r="V908" s="78" t="str">
        <f>IFERROR(VLOOKUP($AA908,PLAN!$B:$AA,22,0),"")</f>
        <v>M9</v>
      </c>
      <c r="W908" s="232"/>
      <c r="X908" s="233"/>
      <c r="Y908" s="212"/>
      <c r="Z908" s="350"/>
      <c r="AA908" s="195" t="s">
        <v>5771</v>
      </c>
      <c r="AB908" s="132">
        <f>VLOOKUP(AA908,PLAN!B:V,20,0)</f>
        <v>46259</v>
      </c>
      <c r="AC908" s="132"/>
    </row>
    <row r="909" spans="3:29" s="79" customFormat="1" ht="21.6" customHeight="1">
      <c r="C909" s="249" t="str">
        <f t="shared" si="53"/>
        <v>Aug29-116</v>
      </c>
      <c r="D909" s="77">
        <f>IFERROR(VLOOKUP($AA909,PLAN!$B:$AA,3,0),"")</f>
        <v>11119506</v>
      </c>
      <c r="E909" s="77" t="str">
        <f>IFERROR(VLOOKUP($AA909,PLAN!$B:$AA,4,0),"")</f>
        <v>1911172-D-A</v>
      </c>
      <c r="F909" s="77" t="str">
        <f>IFERROR(VLOOKUP($AA909,PLAN!$B:$AA,5,0),"")</f>
        <v>HJ70JR352P09020 JP</v>
      </c>
      <c r="G909" s="77" t="str">
        <f>IFERROR(VLOOKUP($AA909,PLAN!$B:$AA,2,0),"")</f>
        <v>1001950265</v>
      </c>
      <c r="H909" s="113">
        <f>IFERROR(VLOOKUP($AA909,PLAN!$B:$AA,7,0),"")</f>
        <v>46263</v>
      </c>
      <c r="I909" s="77" t="str">
        <f>IFERROR(VLOOKUP($AA909,PLAN!$B:$AA,8,0),"")</f>
        <v>0103617955</v>
      </c>
      <c r="J909" s="77" t="str">
        <f>IFERROR(VLOOKUP($AA909,PLAN!$B:$AA,9,0),"")</f>
        <v>260818C04A</v>
      </c>
      <c r="K909" s="77">
        <f>IFERROR(VLOOKUP($AA909,PLAN!$B:$AA,10,0),"")</f>
        <v>1</v>
      </c>
      <c r="L909" s="77" t="str">
        <f>IFERROR(VLOOKUP($AA909,PLAN!$B:$AA,15,0),"")</f>
        <v>JAPAN</v>
      </c>
      <c r="M909" s="77">
        <f>IFERROR(VLOOKUP($AA909,PLAN!$B:$AA,18,0),"")</f>
        <v>0</v>
      </c>
      <c r="N909" s="227">
        <f>IFERROR(VLOOKUP($AA909,PLAN!$B:$AA,19,0),"")</f>
        <v>0</v>
      </c>
      <c r="O909" s="77" t="str">
        <f>IFERROR(VLOOKUP($AA909,PLAN!$B:$AA,12,0),"")</f>
        <v>2112174-0-C</v>
      </c>
      <c r="P909" s="77">
        <f>IFERROR(VLOOKUP($AA909,PLAN!$B:$AA,11,0),"")</f>
        <v>12116141</v>
      </c>
      <c r="Q909" s="349" t="s">
        <v>5855</v>
      </c>
      <c r="R909" s="158" t="s">
        <v>5856</v>
      </c>
      <c r="S909" s="149">
        <f t="shared" si="54"/>
        <v>1</v>
      </c>
      <c r="T909" s="131"/>
      <c r="U909" s="78">
        <f>IFERROR(VLOOKUP($AA909,PLAN!$B:$AA,21,0),"")</f>
        <v>46259</v>
      </c>
      <c r="V909" s="78" t="str">
        <f>IFERROR(VLOOKUP($AA909,PLAN!$B:$AA,22,0),"")</f>
        <v>M9</v>
      </c>
      <c r="W909" s="232"/>
      <c r="X909" s="233"/>
      <c r="Y909" s="212"/>
      <c r="Z909" s="350"/>
      <c r="AA909" s="195" t="s">
        <v>5772</v>
      </c>
      <c r="AB909" s="132">
        <f>VLOOKUP(AA909,PLAN!B:V,20,0)</f>
        <v>46259</v>
      </c>
      <c r="AC909" s="132"/>
    </row>
    <row r="910" spans="3:29" s="79" customFormat="1" ht="21.6" customHeight="1">
      <c r="C910" s="249" t="str">
        <f t="shared" si="53"/>
        <v>Aug29-117</v>
      </c>
      <c r="D910" s="77">
        <f>IFERROR(VLOOKUP($AA910,PLAN!$B:$AA,3,0),"")</f>
        <v>11119512</v>
      </c>
      <c r="E910" s="77" t="str">
        <f>IFERROR(VLOOKUP($AA910,PLAN!$B:$AA,4,0),"")</f>
        <v>1911178-D-A</v>
      </c>
      <c r="F910" s="77" t="str">
        <f>IFERROR(VLOOKUP($AA910,PLAN!$B:$AA,5,0),"")</f>
        <v>HJ70JR452P10020 JP</v>
      </c>
      <c r="G910" s="77" t="str">
        <f>IFERROR(VLOOKUP($AA910,PLAN!$B:$AA,2,0),"")</f>
        <v>1001950266</v>
      </c>
      <c r="H910" s="113">
        <f>IFERROR(VLOOKUP($AA910,PLAN!$B:$AA,7,0),"")</f>
        <v>46263</v>
      </c>
      <c r="I910" s="77" t="str">
        <f>IFERROR(VLOOKUP($AA910,PLAN!$B:$AA,8,0),"")</f>
        <v>0103617956</v>
      </c>
      <c r="J910" s="77" t="str">
        <f>IFERROR(VLOOKUP($AA910,PLAN!$B:$AA,9,0),"")</f>
        <v>260818C05A</v>
      </c>
      <c r="K910" s="77">
        <f>IFERROR(VLOOKUP($AA910,PLAN!$B:$AA,10,0),"")</f>
        <v>1</v>
      </c>
      <c r="L910" s="77" t="str">
        <f>IFERROR(VLOOKUP($AA910,PLAN!$B:$AA,15,0),"")</f>
        <v>JAPAN</v>
      </c>
      <c r="M910" s="77">
        <f>IFERROR(VLOOKUP($AA910,PLAN!$B:$AA,18,0),"")</f>
        <v>0</v>
      </c>
      <c r="N910" s="227">
        <f>IFERROR(VLOOKUP($AA910,PLAN!$B:$AA,19,0),"")</f>
        <v>0</v>
      </c>
      <c r="O910" s="77" t="str">
        <f>IFERROR(VLOOKUP($AA910,PLAN!$B:$AA,12,0),"")</f>
        <v>2112180-0-C</v>
      </c>
      <c r="P910" s="77">
        <f>IFERROR(VLOOKUP($AA910,PLAN!$B:$AA,11,0),"")</f>
        <v>12116147</v>
      </c>
      <c r="Q910" s="349" t="s">
        <v>5857</v>
      </c>
      <c r="R910" s="158" t="s">
        <v>5858</v>
      </c>
      <c r="S910" s="149">
        <f t="shared" si="54"/>
        <v>1</v>
      </c>
      <c r="T910" s="131"/>
      <c r="U910" s="78">
        <f>IFERROR(VLOOKUP($AA910,PLAN!$B:$AA,21,0),"")</f>
        <v>46259</v>
      </c>
      <c r="V910" s="78" t="str">
        <f>IFERROR(VLOOKUP($AA910,PLAN!$B:$AA,22,0),"")</f>
        <v>M9</v>
      </c>
      <c r="W910" s="232"/>
      <c r="X910" s="233"/>
      <c r="Y910" s="212"/>
      <c r="Z910" s="350"/>
      <c r="AA910" s="195" t="s">
        <v>5773</v>
      </c>
      <c r="AB910" s="132">
        <f>VLOOKUP(AA910,PLAN!B:V,20,0)</f>
        <v>46259</v>
      </c>
      <c r="AC910" s="132"/>
    </row>
    <row r="911" spans="3:29" s="79" customFormat="1" ht="21.6" customHeight="1">
      <c r="C911" s="249" t="str">
        <f t="shared" si="53"/>
        <v>Aug29-118</v>
      </c>
      <c r="D911" s="77">
        <f>IFERROR(VLOOKUP($AA911,PLAN!$B:$AA,3,0),"")</f>
        <v>11119376</v>
      </c>
      <c r="E911" s="77" t="str">
        <f>IFERROR(VLOOKUP($AA911,PLAN!$B:$AA,4,0),"")</f>
        <v>1911044-D-A</v>
      </c>
      <c r="F911" s="77" t="str">
        <f>IFERROR(VLOOKUP($AA911,PLAN!$B:$AA,5,0),"")</f>
        <v>HJ60JL400P09000 JP</v>
      </c>
      <c r="G911" s="77" t="str">
        <f>IFERROR(VLOOKUP($AA911,PLAN!$B:$AA,2,0),"")</f>
        <v>1001950267</v>
      </c>
      <c r="H911" s="113">
        <f>IFERROR(VLOOKUP($AA911,PLAN!$B:$AA,7,0),"")</f>
        <v>46263</v>
      </c>
      <c r="I911" s="77" t="str">
        <f>IFERROR(VLOOKUP($AA911,PLAN!$B:$AA,8,0),"")</f>
        <v>0103617957</v>
      </c>
      <c r="J911" s="77" t="str">
        <f>IFERROR(VLOOKUP($AA911,PLAN!$B:$AA,9,0),"")</f>
        <v>260818C06A</v>
      </c>
      <c r="K911" s="77">
        <f>IFERROR(VLOOKUP($AA911,PLAN!$B:$AA,10,0),"")</f>
        <v>1</v>
      </c>
      <c r="L911" s="77" t="str">
        <f>IFERROR(VLOOKUP($AA911,PLAN!$B:$AA,15,0),"")</f>
        <v>JAPAN</v>
      </c>
      <c r="M911" s="77">
        <f>IFERROR(VLOOKUP($AA911,PLAN!$B:$AA,18,0),"")</f>
        <v>0</v>
      </c>
      <c r="N911" s="227">
        <f>IFERROR(VLOOKUP($AA911,PLAN!$B:$AA,19,0),"")</f>
        <v>0</v>
      </c>
      <c r="O911" s="77" t="str">
        <f>IFERROR(VLOOKUP($AA911,PLAN!$B:$AA,12,0),"")</f>
        <v>2112046-0-C</v>
      </c>
      <c r="P911" s="77">
        <f>IFERROR(VLOOKUP($AA911,PLAN!$B:$AA,11,0),"")</f>
        <v>12116011</v>
      </c>
      <c r="Q911" s="148" t="s">
        <v>486</v>
      </c>
      <c r="R911" s="222" t="s">
        <v>487</v>
      </c>
      <c r="S911" s="149">
        <f t="shared" si="54"/>
        <v>1</v>
      </c>
      <c r="T911" s="131"/>
      <c r="U911" s="78">
        <f>IFERROR(VLOOKUP($AA911,PLAN!$B:$AA,21,0),"")</f>
        <v>46259</v>
      </c>
      <c r="V911" s="78" t="str">
        <f>IFERROR(VLOOKUP($AA911,PLAN!$B:$AA,22,0),"")</f>
        <v>M9</v>
      </c>
      <c r="W911" s="232"/>
      <c r="X911" s="233"/>
      <c r="Y911" s="212"/>
      <c r="Z911" s="350"/>
      <c r="AA911" s="195" t="s">
        <v>5774</v>
      </c>
      <c r="AB911" s="132">
        <f>VLOOKUP(AA911,PLAN!B:V,20,0)</f>
        <v>46259</v>
      </c>
      <c r="AC911" s="132"/>
    </row>
    <row r="912" spans="3:29" s="79" customFormat="1" ht="21.6" customHeight="1">
      <c r="C912" s="249" t="str">
        <f t="shared" si="53"/>
        <v>Aug29-119</v>
      </c>
      <c r="D912" s="77">
        <f>IFERROR(VLOOKUP($AA912,PLAN!$B:$AA,3,0),"")</f>
        <v>11119350</v>
      </c>
      <c r="E912" s="77" t="str">
        <f>IFERROR(VLOOKUP($AA912,PLAN!$B:$AA,4,0),"")</f>
        <v>1911018-D-A</v>
      </c>
      <c r="F912" s="77" t="str">
        <f>IFERROR(VLOOKUP($AA912,PLAN!$B:$AA,5,0),"")</f>
        <v>HJ60CP150P10020 JP</v>
      </c>
      <c r="G912" s="77" t="str">
        <f>IFERROR(VLOOKUP($AA912,PLAN!$B:$AA,2,0),"")</f>
        <v>1001950268</v>
      </c>
      <c r="H912" s="113">
        <f>IFERROR(VLOOKUP($AA912,PLAN!$B:$AA,7,0),"")</f>
        <v>46263</v>
      </c>
      <c r="I912" s="77" t="str">
        <f>IFERROR(VLOOKUP($AA912,PLAN!$B:$AA,8,0),"")</f>
        <v>0103617958</v>
      </c>
      <c r="J912" s="77" t="str">
        <f>IFERROR(VLOOKUP($AA912,PLAN!$B:$AA,9,0),"")</f>
        <v>260818C07A</v>
      </c>
      <c r="K912" s="77">
        <f>IFERROR(VLOOKUP($AA912,PLAN!$B:$AA,10,0),"")</f>
        <v>3</v>
      </c>
      <c r="L912" s="77" t="str">
        <f>IFERROR(VLOOKUP($AA912,PLAN!$B:$AA,15,0),"")</f>
        <v>JAPAN</v>
      </c>
      <c r="M912" s="77">
        <f>IFERROR(VLOOKUP($AA912,PLAN!$B:$AA,18,0),"")</f>
        <v>0</v>
      </c>
      <c r="N912" s="227">
        <f>IFERROR(VLOOKUP($AA912,PLAN!$B:$AA,19,0),"")</f>
        <v>0</v>
      </c>
      <c r="O912" s="77" t="str">
        <f>IFERROR(VLOOKUP($AA912,PLAN!$B:$AA,12,0),"")</f>
        <v>2112020-0-C</v>
      </c>
      <c r="P912" s="77">
        <f>IFERROR(VLOOKUP($AA912,PLAN!$B:$AA,11,0),"")</f>
        <v>12115985</v>
      </c>
      <c r="Q912" s="349" t="s">
        <v>5859</v>
      </c>
      <c r="R912" s="158" t="s">
        <v>5860</v>
      </c>
      <c r="S912" s="149">
        <f t="shared" si="54"/>
        <v>3</v>
      </c>
      <c r="T912" s="131"/>
      <c r="U912" s="78">
        <f>IFERROR(VLOOKUP($AA912,PLAN!$B:$AA,21,0),"")</f>
        <v>46259</v>
      </c>
      <c r="V912" s="78" t="str">
        <f>IFERROR(VLOOKUP($AA912,PLAN!$B:$AA,22,0),"")</f>
        <v>M9</v>
      </c>
      <c r="W912" s="232"/>
      <c r="X912" s="233"/>
      <c r="Y912" s="212"/>
      <c r="Z912" s="350"/>
      <c r="AA912" s="195" t="s">
        <v>5775</v>
      </c>
      <c r="AB912" s="132">
        <f>VLOOKUP(AA912,PLAN!B:V,20,0)</f>
        <v>46259</v>
      </c>
      <c r="AC912" s="132"/>
    </row>
    <row r="913" spans="3:29" s="79" customFormat="1" ht="21.6" customHeight="1">
      <c r="C913" s="249" t="str">
        <f t="shared" si="53"/>
        <v>Aug29-120</v>
      </c>
      <c r="D913" s="77">
        <f>IFERROR(VLOOKUP($AA913,PLAN!$B:$AA,3,0),"")</f>
        <v>11119440</v>
      </c>
      <c r="E913" s="77" t="str">
        <f>IFERROR(VLOOKUP($AA913,PLAN!$B:$AA,4,0),"")</f>
        <v>1911106-D-A</v>
      </c>
      <c r="F913" s="77" t="str">
        <f>IFERROR(VLOOKUP($AA913,PLAN!$B:$AA,5,0),"")</f>
        <v>HJ70AL070P10021 JP</v>
      </c>
      <c r="G913" s="77" t="str">
        <f>IFERROR(VLOOKUP($AA913,PLAN!$B:$AA,2,0),"")</f>
        <v>1001950269</v>
      </c>
      <c r="H913" s="113">
        <f>IFERROR(VLOOKUP($AA913,PLAN!$B:$AA,7,0),"")</f>
        <v>46263</v>
      </c>
      <c r="I913" s="77" t="str">
        <f>IFERROR(VLOOKUP($AA913,PLAN!$B:$AA,8,0),"")</f>
        <v>0103617959</v>
      </c>
      <c r="J913" s="77" t="str">
        <f>IFERROR(VLOOKUP($AA913,PLAN!$B:$AA,9,0),"")</f>
        <v>260818C08A</v>
      </c>
      <c r="K913" s="77">
        <f>IFERROR(VLOOKUP($AA913,PLAN!$B:$AA,10,0),"")</f>
        <v>3</v>
      </c>
      <c r="L913" s="77" t="str">
        <f>IFERROR(VLOOKUP($AA913,PLAN!$B:$AA,15,0),"")</f>
        <v>JAPAN</v>
      </c>
      <c r="M913" s="77">
        <f>IFERROR(VLOOKUP($AA913,PLAN!$B:$AA,18,0),"")</f>
        <v>0</v>
      </c>
      <c r="N913" s="227">
        <f>IFERROR(VLOOKUP($AA913,PLAN!$B:$AA,19,0),"")</f>
        <v>0</v>
      </c>
      <c r="O913" s="77" t="str">
        <f>IFERROR(VLOOKUP($AA913,PLAN!$B:$AA,12,0),"")</f>
        <v>2112108-0-C</v>
      </c>
      <c r="P913" s="77">
        <f>IFERROR(VLOOKUP($AA913,PLAN!$B:$AA,11,0),"")</f>
        <v>12116075</v>
      </c>
      <c r="Q913" s="349" t="s">
        <v>5861</v>
      </c>
      <c r="R913" s="158" t="s">
        <v>5862</v>
      </c>
      <c r="S913" s="149">
        <f t="shared" si="54"/>
        <v>3</v>
      </c>
      <c r="T913" s="131"/>
      <c r="U913" s="78">
        <f>IFERROR(VLOOKUP($AA913,PLAN!$B:$AA,21,0),"")</f>
        <v>46259</v>
      </c>
      <c r="V913" s="78" t="str">
        <f>IFERROR(VLOOKUP($AA913,PLAN!$B:$AA,22,0),"")</f>
        <v>M9</v>
      </c>
      <c r="W913" s="232"/>
      <c r="X913" s="233"/>
      <c r="Y913" s="212"/>
      <c r="Z913" s="350"/>
      <c r="AA913" s="195" t="s">
        <v>5776</v>
      </c>
      <c r="AB913" s="132">
        <f>VLOOKUP(AA913,PLAN!B:V,20,0)</f>
        <v>46259</v>
      </c>
      <c r="AC913" s="132"/>
    </row>
    <row r="914" spans="3:29" s="79" customFormat="1" ht="21.6" customHeight="1">
      <c r="C914" s="249" t="str">
        <f t="shared" si="53"/>
        <v>Aug29-121</v>
      </c>
      <c r="D914" s="77">
        <f>IFERROR(VLOOKUP($AA914,PLAN!$B:$AA,3,0),"")</f>
        <v>11119484</v>
      </c>
      <c r="E914" s="77" t="str">
        <f>IFERROR(VLOOKUP($AA914,PLAN!$B:$AA,4,0),"")</f>
        <v>1911150-D-A</v>
      </c>
      <c r="F914" s="77" t="str">
        <f>IFERROR(VLOOKUP($AA914,PLAN!$B:$AA,5,0),"")</f>
        <v>HJ70JL352P09020 JP</v>
      </c>
      <c r="G914" s="77" t="str">
        <f>IFERROR(VLOOKUP($AA914,PLAN!$B:$AA,2,0),"")</f>
        <v>1001950270</v>
      </c>
      <c r="H914" s="113">
        <f>IFERROR(VLOOKUP($AA914,PLAN!$B:$AA,7,0),"")</f>
        <v>46263</v>
      </c>
      <c r="I914" s="77" t="str">
        <f>IFERROR(VLOOKUP($AA914,PLAN!$B:$AA,8,0),"")</f>
        <v>0103617960</v>
      </c>
      <c r="J914" s="77" t="str">
        <f>IFERROR(VLOOKUP($AA914,PLAN!$B:$AA,9,0),"")</f>
        <v>260818C09A</v>
      </c>
      <c r="K914" s="77">
        <f>IFERROR(VLOOKUP($AA914,PLAN!$B:$AA,10,0),"")</f>
        <v>3</v>
      </c>
      <c r="L914" s="77" t="str">
        <f>IFERROR(VLOOKUP($AA914,PLAN!$B:$AA,15,0),"")</f>
        <v>JAPAN</v>
      </c>
      <c r="M914" s="77">
        <f>IFERROR(VLOOKUP($AA914,PLAN!$B:$AA,18,0),"")</f>
        <v>0</v>
      </c>
      <c r="N914" s="227">
        <f>IFERROR(VLOOKUP($AA914,PLAN!$B:$AA,19,0),"")</f>
        <v>0</v>
      </c>
      <c r="O914" s="77" t="str">
        <f>IFERROR(VLOOKUP($AA914,PLAN!$B:$AA,12,0),"")</f>
        <v>2112152-0-C</v>
      </c>
      <c r="P914" s="77">
        <f>IFERROR(VLOOKUP($AA914,PLAN!$B:$AA,11,0),"")</f>
        <v>12116119</v>
      </c>
      <c r="Q914" s="349" t="s">
        <v>5863</v>
      </c>
      <c r="R914" s="158" t="s">
        <v>5864</v>
      </c>
      <c r="S914" s="149">
        <f t="shared" si="54"/>
        <v>3</v>
      </c>
      <c r="T914" s="131"/>
      <c r="U914" s="78">
        <f>IFERROR(VLOOKUP($AA914,PLAN!$B:$AA,21,0),"")</f>
        <v>46259</v>
      </c>
      <c r="V914" s="78" t="str">
        <f>IFERROR(VLOOKUP($AA914,PLAN!$B:$AA,22,0),"")</f>
        <v>M9</v>
      </c>
      <c r="W914" s="232"/>
      <c r="X914" s="233"/>
      <c r="Y914" s="212"/>
      <c r="Z914" s="350"/>
      <c r="AA914" s="195" t="s">
        <v>5777</v>
      </c>
      <c r="AB914" s="132">
        <f>VLOOKUP(AA914,PLAN!B:V,20,0)</f>
        <v>46259</v>
      </c>
      <c r="AC914" s="132"/>
    </row>
    <row r="915" spans="3:29" s="79" customFormat="1" ht="21.6" customHeight="1">
      <c r="C915" s="249" t="str">
        <f t="shared" si="53"/>
        <v>Aug29-122</v>
      </c>
      <c r="D915" s="77">
        <f>IFERROR(VLOOKUP($AA915,PLAN!$B:$AA,3,0),"")</f>
        <v>11119491</v>
      </c>
      <c r="E915" s="77" t="str">
        <f>IFERROR(VLOOKUP($AA915,PLAN!$B:$AA,4,0),"")</f>
        <v>1911157-D-A</v>
      </c>
      <c r="F915" s="77" t="str">
        <f>IFERROR(VLOOKUP($AA915,PLAN!$B:$AA,5,0),"")</f>
        <v>HJ70JL402P09020 JP</v>
      </c>
      <c r="G915" s="77" t="str">
        <f>IFERROR(VLOOKUP($AA915,PLAN!$B:$AA,2,0),"")</f>
        <v>1001950271</v>
      </c>
      <c r="H915" s="113">
        <f>IFERROR(VLOOKUP($AA915,PLAN!$B:$AA,7,0),"")</f>
        <v>46263</v>
      </c>
      <c r="I915" s="77" t="str">
        <f>IFERROR(VLOOKUP($AA915,PLAN!$B:$AA,8,0),"")</f>
        <v>0103617961</v>
      </c>
      <c r="J915" s="77" t="str">
        <f>IFERROR(VLOOKUP($AA915,PLAN!$B:$AA,9,0),"")</f>
        <v>260818C10A</v>
      </c>
      <c r="K915" s="77">
        <f>IFERROR(VLOOKUP($AA915,PLAN!$B:$AA,10,0),"")</f>
        <v>3</v>
      </c>
      <c r="L915" s="77" t="str">
        <f>IFERROR(VLOOKUP($AA915,PLAN!$B:$AA,15,0),"")</f>
        <v>JAPAN</v>
      </c>
      <c r="M915" s="77">
        <f>IFERROR(VLOOKUP($AA915,PLAN!$B:$AA,18,0),"")</f>
        <v>0</v>
      </c>
      <c r="N915" s="227">
        <f>IFERROR(VLOOKUP($AA915,PLAN!$B:$AA,19,0),"")</f>
        <v>0</v>
      </c>
      <c r="O915" s="77" t="str">
        <f>IFERROR(VLOOKUP($AA915,PLAN!$B:$AA,12,0),"")</f>
        <v>2112159-0-C</v>
      </c>
      <c r="P915" s="77">
        <f>IFERROR(VLOOKUP($AA915,PLAN!$B:$AA,11,0),"")</f>
        <v>12116126</v>
      </c>
      <c r="Q915" s="349" t="s">
        <v>5865</v>
      </c>
      <c r="R915" s="149" t="s">
        <v>5866</v>
      </c>
      <c r="S915" s="223">
        <v>2</v>
      </c>
      <c r="T915" s="131"/>
      <c r="U915" s="78">
        <f>IFERROR(VLOOKUP($AA915,PLAN!$B:$AA,21,0),"")</f>
        <v>46259</v>
      </c>
      <c r="V915" s="78" t="str">
        <f>IFERROR(VLOOKUP($AA915,PLAN!$B:$AA,22,0),"")</f>
        <v>M9</v>
      </c>
      <c r="W915" s="232"/>
      <c r="X915" s="233"/>
      <c r="Y915" s="212"/>
      <c r="Z915" s="350"/>
      <c r="AA915" s="195" t="s">
        <v>5778</v>
      </c>
      <c r="AB915" s="132">
        <f>VLOOKUP(AA915,PLAN!B:V,20,0)</f>
        <v>46259</v>
      </c>
      <c r="AC915" s="132"/>
    </row>
    <row r="916" spans="3:29" s="79" customFormat="1" ht="21.6" customHeight="1">
      <c r="C916" s="249"/>
      <c r="D916" s="77"/>
      <c r="E916" s="77"/>
      <c r="F916" s="77"/>
      <c r="G916" s="77"/>
      <c r="H916" s="113"/>
      <c r="I916" s="77"/>
      <c r="J916" s="77"/>
      <c r="K916" s="77"/>
      <c r="L916" s="77"/>
      <c r="M916" s="77"/>
      <c r="N916" s="227"/>
      <c r="O916" s="77"/>
      <c r="P916" s="77"/>
      <c r="Q916" s="349" t="s">
        <v>5867</v>
      </c>
      <c r="R916" s="158" t="s">
        <v>5868</v>
      </c>
      <c r="S916" s="223">
        <v>1</v>
      </c>
      <c r="T916" s="131"/>
      <c r="U916" s="78"/>
      <c r="V916" s="78"/>
      <c r="W916" s="232"/>
      <c r="X916" s="233"/>
      <c r="Y916" s="212"/>
      <c r="Z916" s="350"/>
      <c r="AA916" s="195"/>
      <c r="AB916" s="132"/>
      <c r="AC916" s="132"/>
    </row>
    <row r="917" spans="3:29" s="79" customFormat="1" ht="21.6" customHeight="1">
      <c r="C917" s="249" t="str">
        <f t="shared" si="53"/>
        <v>Aug29-123</v>
      </c>
      <c r="D917" s="77">
        <f>IFERROR(VLOOKUP($AA917,PLAN!$B:$AA,3,0),"")</f>
        <v>11119514</v>
      </c>
      <c r="E917" s="77" t="str">
        <f>IFERROR(VLOOKUP($AA917,PLAN!$B:$AA,4,0),"")</f>
        <v>1911180-D-A</v>
      </c>
      <c r="F917" s="77" t="str">
        <f>IFERROR(VLOOKUP($AA917,PLAN!$B:$AA,5,0),"")</f>
        <v>HJ70JR502P10020 JP</v>
      </c>
      <c r="G917" s="77" t="str">
        <f>IFERROR(VLOOKUP($AA917,PLAN!$B:$AA,2,0),"")</f>
        <v>1001950272</v>
      </c>
      <c r="H917" s="113">
        <f>IFERROR(VLOOKUP($AA917,PLAN!$B:$AA,7,0),"")</f>
        <v>46263</v>
      </c>
      <c r="I917" s="77" t="str">
        <f>IFERROR(VLOOKUP($AA917,PLAN!$B:$AA,8,0),"")</f>
        <v>0103617962</v>
      </c>
      <c r="J917" s="77" t="str">
        <f>IFERROR(VLOOKUP($AA917,PLAN!$B:$AA,9,0),"")</f>
        <v>260818C11A</v>
      </c>
      <c r="K917" s="77">
        <f>IFERROR(VLOOKUP($AA917,PLAN!$B:$AA,10,0),"")</f>
        <v>4</v>
      </c>
      <c r="L917" s="77" t="str">
        <f>IFERROR(VLOOKUP($AA917,PLAN!$B:$AA,15,0),"")</f>
        <v>JAPAN</v>
      </c>
      <c r="M917" s="77">
        <f>IFERROR(VLOOKUP($AA917,PLAN!$B:$AA,18,0),"")</f>
        <v>0</v>
      </c>
      <c r="N917" s="227">
        <f>IFERROR(VLOOKUP($AA917,PLAN!$B:$AA,19,0),"")</f>
        <v>0</v>
      </c>
      <c r="O917" s="77" t="str">
        <f>IFERROR(VLOOKUP($AA917,PLAN!$B:$AA,12,0),"")</f>
        <v>2112182-0-C</v>
      </c>
      <c r="P917" s="77">
        <f>IFERROR(VLOOKUP($AA917,PLAN!$B:$AA,11,0),"")</f>
        <v>12116149</v>
      </c>
      <c r="Q917" s="349" t="s">
        <v>5869</v>
      </c>
      <c r="R917" s="158" t="s">
        <v>5870</v>
      </c>
      <c r="S917" s="149">
        <f t="shared" si="54"/>
        <v>4</v>
      </c>
      <c r="T917" s="131"/>
      <c r="U917" s="78">
        <f>IFERROR(VLOOKUP($AA917,PLAN!$B:$AA,21,0),"")</f>
        <v>46259</v>
      </c>
      <c r="V917" s="78" t="str">
        <f>IFERROR(VLOOKUP($AA917,PLAN!$B:$AA,22,0),"")</f>
        <v>M9</v>
      </c>
      <c r="W917" s="232"/>
      <c r="X917" s="233"/>
      <c r="Y917" s="212"/>
      <c r="Z917" s="350"/>
      <c r="AA917" s="195" t="s">
        <v>5779</v>
      </c>
      <c r="AB917" s="132">
        <f>VLOOKUP(AA917,PLAN!B:V,20,0)</f>
        <v>46259</v>
      </c>
      <c r="AC917" s="132"/>
    </row>
    <row r="918" spans="3:29" s="79" customFormat="1" ht="21.6" customHeight="1">
      <c r="C918" s="249" t="str">
        <f t="shared" si="53"/>
        <v>Aug29-124</v>
      </c>
      <c r="D918" s="77">
        <f>IFERROR(VLOOKUP($AA918,PLAN!$B:$AA,3,0),"")</f>
        <v>11119554</v>
      </c>
      <c r="E918" s="77" t="str">
        <f>IFERROR(VLOOKUP($AA918,PLAN!$B:$AA,4,0),"")</f>
        <v>1911220-D-A</v>
      </c>
      <c r="F918" s="77" t="str">
        <f>IFERROR(VLOOKUP($AA918,PLAN!$B:$AA,5,0),"")</f>
        <v>HJ70SC402P10020 JP</v>
      </c>
      <c r="G918" s="77" t="str">
        <f>IFERROR(VLOOKUP($AA918,PLAN!$B:$AA,2,0),"")</f>
        <v>1001950273</v>
      </c>
      <c r="H918" s="113">
        <f>IFERROR(VLOOKUP($AA918,PLAN!$B:$AA,7,0),"")</f>
        <v>46263</v>
      </c>
      <c r="I918" s="77" t="str">
        <f>IFERROR(VLOOKUP($AA918,PLAN!$B:$AA,8,0),"")</f>
        <v>0103617963</v>
      </c>
      <c r="J918" s="77" t="str">
        <f>IFERROR(VLOOKUP($AA918,PLAN!$B:$AA,9,0),"")</f>
        <v>260818C12A</v>
      </c>
      <c r="K918" s="77">
        <f>IFERROR(VLOOKUP($AA918,PLAN!$B:$AA,10,0),"")</f>
        <v>4</v>
      </c>
      <c r="L918" s="77" t="str">
        <f>IFERROR(VLOOKUP($AA918,PLAN!$B:$AA,15,0),"")</f>
        <v>JAPAN</v>
      </c>
      <c r="M918" s="77">
        <f>IFERROR(VLOOKUP($AA918,PLAN!$B:$AA,18,0),"")</f>
        <v>0</v>
      </c>
      <c r="N918" s="227">
        <f>IFERROR(VLOOKUP($AA918,PLAN!$B:$AA,19,0),"")</f>
        <v>0</v>
      </c>
      <c r="O918" s="77" t="str">
        <f>IFERROR(VLOOKUP($AA918,PLAN!$B:$AA,12,0),"")</f>
        <v>2112222-0-C</v>
      </c>
      <c r="P918" s="77">
        <f>IFERROR(VLOOKUP($AA918,PLAN!$B:$AA,11,0),"")</f>
        <v>12116189</v>
      </c>
      <c r="Q918" s="349" t="s">
        <v>5871</v>
      </c>
      <c r="R918" s="158" t="s">
        <v>5872</v>
      </c>
      <c r="S918" s="149">
        <f t="shared" si="54"/>
        <v>4</v>
      </c>
      <c r="T918" s="131"/>
      <c r="U918" s="78">
        <f>IFERROR(VLOOKUP($AA918,PLAN!$B:$AA,21,0),"")</f>
        <v>46259</v>
      </c>
      <c r="V918" s="78" t="str">
        <f>IFERROR(VLOOKUP($AA918,PLAN!$B:$AA,22,0),"")</f>
        <v>M9</v>
      </c>
      <c r="W918" s="232"/>
      <c r="X918" s="233"/>
      <c r="Y918" s="212"/>
      <c r="Z918" s="350"/>
      <c r="AA918" s="195" t="s">
        <v>5780</v>
      </c>
      <c r="AB918" s="132">
        <f>VLOOKUP(AA918,PLAN!B:V,20,0)</f>
        <v>46259</v>
      </c>
      <c r="AC918" s="132"/>
    </row>
    <row r="919" spans="3:29" s="79" customFormat="1" ht="21.6" customHeight="1">
      <c r="C919" s="249" t="str">
        <f t="shared" si="53"/>
        <v>Aug29-125</v>
      </c>
      <c r="D919" s="77">
        <f>IFERROR(VLOOKUP($AA919,PLAN!$B:$AA,3,0),"")</f>
        <v>11119421</v>
      </c>
      <c r="E919" s="77" t="str">
        <f>IFERROR(VLOOKUP($AA919,PLAN!$B:$AA,4,0),"")</f>
        <v>1911089-D-A</v>
      </c>
      <c r="F919" s="77" t="str">
        <f>IFERROR(VLOOKUP($AA919,PLAN!$B:$AA,5,0),"")</f>
        <v>HJ60SC350P10000 JP</v>
      </c>
      <c r="G919" s="77" t="str">
        <f>IFERROR(VLOOKUP($AA919,PLAN!$B:$AA,2,0),"")</f>
        <v>1001950274</v>
      </c>
      <c r="H919" s="113">
        <f>IFERROR(VLOOKUP($AA919,PLAN!$B:$AA,7,0),"")</f>
        <v>46263</v>
      </c>
      <c r="I919" s="77" t="str">
        <f>IFERROR(VLOOKUP($AA919,PLAN!$B:$AA,8,0),"")</f>
        <v>0103617964</v>
      </c>
      <c r="J919" s="77" t="str">
        <f>IFERROR(VLOOKUP($AA919,PLAN!$B:$AA,9,0),"")</f>
        <v>260818C13A</v>
      </c>
      <c r="K919" s="77">
        <f>IFERROR(VLOOKUP($AA919,PLAN!$B:$AA,10,0),"")</f>
        <v>5</v>
      </c>
      <c r="L919" s="77" t="str">
        <f>IFERROR(VLOOKUP($AA919,PLAN!$B:$AA,15,0),"")</f>
        <v>JAPAN</v>
      </c>
      <c r="M919" s="77">
        <f>IFERROR(VLOOKUP($AA919,PLAN!$B:$AA,18,0),"")</f>
        <v>0</v>
      </c>
      <c r="N919" s="227">
        <f>IFERROR(VLOOKUP($AA919,PLAN!$B:$AA,19,0),"")</f>
        <v>0</v>
      </c>
      <c r="O919" s="77" t="str">
        <f>IFERROR(VLOOKUP($AA919,PLAN!$B:$AA,12,0),"")</f>
        <v>2112091-0-C</v>
      </c>
      <c r="P919" s="77">
        <f>IFERROR(VLOOKUP($AA919,PLAN!$B:$AA,11,0),"")</f>
        <v>12116056</v>
      </c>
      <c r="Q919" s="349" t="s">
        <v>5873</v>
      </c>
      <c r="R919" s="158" t="s">
        <v>5874</v>
      </c>
      <c r="S919" s="149">
        <f t="shared" si="54"/>
        <v>5</v>
      </c>
      <c r="T919" s="131"/>
      <c r="U919" s="78">
        <f>IFERROR(VLOOKUP($AA919,PLAN!$B:$AA,21,0),"")</f>
        <v>46259</v>
      </c>
      <c r="V919" s="78" t="str">
        <f>IFERROR(VLOOKUP($AA919,PLAN!$B:$AA,22,0),"")</f>
        <v>M9</v>
      </c>
      <c r="W919" s="232"/>
      <c r="X919" s="233"/>
      <c r="Y919" s="212"/>
      <c r="Z919" s="350"/>
      <c r="AA919" s="195" t="s">
        <v>5781</v>
      </c>
      <c r="AB919" s="132">
        <f>VLOOKUP(AA919,PLAN!B:V,20,0)</f>
        <v>46259</v>
      </c>
      <c r="AC919" s="132"/>
    </row>
    <row r="920" spans="3:29" s="79" customFormat="1" ht="21.6" customHeight="1">
      <c r="C920" s="249" t="str">
        <f t="shared" si="53"/>
        <v>Aug29-126</v>
      </c>
      <c r="D920" s="77">
        <f>IFERROR(VLOOKUP($AA920,PLAN!$B:$AA,3,0),"")</f>
        <v>11119492</v>
      </c>
      <c r="E920" s="77" t="str">
        <f>IFERROR(VLOOKUP($AA920,PLAN!$B:$AA,4,0),"")</f>
        <v>1911158-D-A</v>
      </c>
      <c r="F920" s="77" t="str">
        <f>IFERROR(VLOOKUP($AA920,PLAN!$B:$AA,5,0),"")</f>
        <v>HJ70JL400P10001 JP</v>
      </c>
      <c r="G920" s="77" t="str">
        <f>IFERROR(VLOOKUP($AA920,PLAN!$B:$AA,2,0),"")</f>
        <v>1001950275</v>
      </c>
      <c r="H920" s="113">
        <f>IFERROR(VLOOKUP($AA920,PLAN!$B:$AA,7,0),"")</f>
        <v>46263</v>
      </c>
      <c r="I920" s="77" t="str">
        <f>IFERROR(VLOOKUP($AA920,PLAN!$B:$AA,8,0),"")</f>
        <v>0103617965</v>
      </c>
      <c r="J920" s="77" t="str">
        <f>IFERROR(VLOOKUP($AA920,PLAN!$B:$AA,9,0),"")</f>
        <v>260818C14A</v>
      </c>
      <c r="K920" s="77">
        <f>IFERROR(VLOOKUP($AA920,PLAN!$B:$AA,10,0),"")</f>
        <v>5</v>
      </c>
      <c r="L920" s="77" t="str">
        <f>IFERROR(VLOOKUP($AA920,PLAN!$B:$AA,15,0),"")</f>
        <v>JAPAN</v>
      </c>
      <c r="M920" s="77">
        <f>IFERROR(VLOOKUP($AA920,PLAN!$B:$AA,18,0),"")</f>
        <v>0</v>
      </c>
      <c r="N920" s="227">
        <f>IFERROR(VLOOKUP($AA920,PLAN!$B:$AA,19,0),"")</f>
        <v>0</v>
      </c>
      <c r="O920" s="77" t="str">
        <f>IFERROR(VLOOKUP($AA920,PLAN!$B:$AA,12,0),"")</f>
        <v>2112160-0-C</v>
      </c>
      <c r="P920" s="77">
        <f>IFERROR(VLOOKUP($AA920,PLAN!$B:$AA,11,0),"")</f>
        <v>12116127</v>
      </c>
      <c r="Q920" s="349" t="s">
        <v>5875</v>
      </c>
      <c r="R920" s="158" t="s">
        <v>5876</v>
      </c>
      <c r="S920" s="149">
        <f t="shared" si="54"/>
        <v>5</v>
      </c>
      <c r="T920" s="131"/>
      <c r="U920" s="78">
        <f>IFERROR(VLOOKUP($AA920,PLAN!$B:$AA,21,0),"")</f>
        <v>46259</v>
      </c>
      <c r="V920" s="78" t="str">
        <f>IFERROR(VLOOKUP($AA920,PLAN!$B:$AA,22,0),"")</f>
        <v>M9</v>
      </c>
      <c r="W920" s="232"/>
      <c r="X920" s="233"/>
      <c r="Y920" s="212"/>
      <c r="Z920" s="350"/>
      <c r="AA920" s="195" t="s">
        <v>5782</v>
      </c>
      <c r="AB920" s="132">
        <f>VLOOKUP(AA920,PLAN!B:V,20,0)</f>
        <v>46259</v>
      </c>
      <c r="AC920" s="132"/>
    </row>
    <row r="921" spans="3:29" s="79" customFormat="1" ht="21.6" customHeight="1">
      <c r="C921" s="249" t="str">
        <f t="shared" si="53"/>
        <v>Aug29-127</v>
      </c>
      <c r="D921" s="77">
        <f>IFERROR(VLOOKUP($AA921,PLAN!$B:$AA,3,0),"")</f>
        <v>11119552</v>
      </c>
      <c r="E921" s="77" t="str">
        <f>IFERROR(VLOOKUP($AA921,PLAN!$B:$AA,4,0),"")</f>
        <v>1911218-D-A</v>
      </c>
      <c r="F921" s="77" t="str">
        <f>IFERROR(VLOOKUP($AA921,PLAN!$B:$AA,5,0),"")</f>
        <v>HJ70SC352P10020 JP</v>
      </c>
      <c r="G921" s="77" t="str">
        <f>IFERROR(VLOOKUP($AA921,PLAN!$B:$AA,2,0),"")</f>
        <v>1001950276</v>
      </c>
      <c r="H921" s="113">
        <f>IFERROR(VLOOKUP($AA921,PLAN!$B:$AA,7,0),"")</f>
        <v>46263</v>
      </c>
      <c r="I921" s="77" t="str">
        <f>IFERROR(VLOOKUP($AA921,PLAN!$B:$AA,8,0),"")</f>
        <v>0103617966</v>
      </c>
      <c r="J921" s="77" t="str">
        <f>IFERROR(VLOOKUP($AA921,PLAN!$B:$AA,9,0),"")</f>
        <v>260818C15A</v>
      </c>
      <c r="K921" s="77">
        <f>IFERROR(VLOOKUP($AA921,PLAN!$B:$AA,10,0),"")</f>
        <v>6</v>
      </c>
      <c r="L921" s="77" t="str">
        <f>IFERROR(VLOOKUP($AA921,PLAN!$B:$AA,15,0),"")</f>
        <v>JAPAN</v>
      </c>
      <c r="M921" s="77">
        <f>IFERROR(VLOOKUP($AA921,PLAN!$B:$AA,18,0),"")</f>
        <v>0</v>
      </c>
      <c r="N921" s="227">
        <f>IFERROR(VLOOKUP($AA921,PLAN!$B:$AA,19,0),"")</f>
        <v>0</v>
      </c>
      <c r="O921" s="77" t="str">
        <f>IFERROR(VLOOKUP($AA921,PLAN!$B:$AA,12,0),"")</f>
        <v>2112220-0-C</v>
      </c>
      <c r="P921" s="77">
        <f>IFERROR(VLOOKUP($AA921,PLAN!$B:$AA,11,0),"")</f>
        <v>12116187</v>
      </c>
      <c r="Q921" s="349" t="s">
        <v>5877</v>
      </c>
      <c r="R921" s="158" t="s">
        <v>5878</v>
      </c>
      <c r="S921" s="149">
        <f t="shared" si="54"/>
        <v>6</v>
      </c>
      <c r="T921" s="131"/>
      <c r="U921" s="78">
        <f>IFERROR(VLOOKUP($AA921,PLAN!$B:$AA,21,0),"")</f>
        <v>46259</v>
      </c>
      <c r="V921" s="78" t="str">
        <f>IFERROR(VLOOKUP($AA921,PLAN!$B:$AA,22,0),"")</f>
        <v>M9</v>
      </c>
      <c r="W921" s="232"/>
      <c r="X921" s="233"/>
      <c r="Y921" s="212"/>
      <c r="Z921" s="350"/>
      <c r="AA921" s="195" t="s">
        <v>5783</v>
      </c>
      <c r="AB921" s="132">
        <f>VLOOKUP(AA921,PLAN!B:V,20,0)</f>
        <v>46259</v>
      </c>
      <c r="AC921" s="132"/>
    </row>
    <row r="922" spans="3:29" s="79" customFormat="1" ht="21.6" customHeight="1">
      <c r="C922" s="249" t="str">
        <f t="shared" si="53"/>
        <v>Aug29-128</v>
      </c>
      <c r="D922" s="77">
        <f>IFERROR(VLOOKUP($AA922,PLAN!$B:$AA,3,0),"")</f>
        <v>11119455</v>
      </c>
      <c r="E922" s="77" t="str">
        <f>IFERROR(VLOOKUP($AA922,PLAN!$B:$AA,4,0),"")</f>
        <v>1911121-D-A</v>
      </c>
      <c r="F922" s="77" t="str">
        <f>IFERROR(VLOOKUP($AA922,PLAN!$B:$AA,5,0),"")</f>
        <v>HJ70AL202P10020 JP</v>
      </c>
      <c r="G922" s="77" t="str">
        <f>IFERROR(VLOOKUP($AA922,PLAN!$B:$AA,2,0),"")</f>
        <v>1001950277</v>
      </c>
      <c r="H922" s="113">
        <f>IFERROR(VLOOKUP($AA922,PLAN!$B:$AA,7,0),"")</f>
        <v>46263</v>
      </c>
      <c r="I922" s="77" t="str">
        <f>IFERROR(VLOOKUP($AA922,PLAN!$B:$AA,8,0),"")</f>
        <v>0103617967</v>
      </c>
      <c r="J922" s="77" t="str">
        <f>IFERROR(VLOOKUP($AA922,PLAN!$B:$AA,9,0),"")</f>
        <v>260818C16A</v>
      </c>
      <c r="K922" s="77">
        <f>IFERROR(VLOOKUP($AA922,PLAN!$B:$AA,10,0),"")</f>
        <v>7</v>
      </c>
      <c r="L922" s="77" t="str">
        <f>IFERROR(VLOOKUP($AA922,PLAN!$B:$AA,15,0),"")</f>
        <v>JAPAN</v>
      </c>
      <c r="M922" s="77">
        <f>IFERROR(VLOOKUP($AA922,PLAN!$B:$AA,18,0),"")</f>
        <v>0</v>
      </c>
      <c r="N922" s="227">
        <f>IFERROR(VLOOKUP($AA922,PLAN!$B:$AA,19,0),"")</f>
        <v>0</v>
      </c>
      <c r="O922" s="77" t="str">
        <f>IFERROR(VLOOKUP($AA922,PLAN!$B:$AA,12,0),"")</f>
        <v>2112123-0-C</v>
      </c>
      <c r="P922" s="77">
        <f>IFERROR(VLOOKUP($AA922,PLAN!$B:$AA,11,0),"")</f>
        <v>12116090</v>
      </c>
      <c r="Q922" s="349" t="s">
        <v>5879</v>
      </c>
      <c r="R922" s="158" t="s">
        <v>5880</v>
      </c>
      <c r="S922" s="149">
        <f t="shared" si="54"/>
        <v>7</v>
      </c>
      <c r="T922" s="131"/>
      <c r="U922" s="78">
        <f>IFERROR(VLOOKUP($AA922,PLAN!$B:$AA,21,0),"")</f>
        <v>46259</v>
      </c>
      <c r="V922" s="78" t="str">
        <f>IFERROR(VLOOKUP($AA922,PLAN!$B:$AA,22,0),"")</f>
        <v>M9</v>
      </c>
      <c r="W922" s="232"/>
      <c r="X922" s="233"/>
      <c r="Y922" s="212"/>
      <c r="Z922" s="350"/>
      <c r="AA922" s="195" t="s">
        <v>5784</v>
      </c>
      <c r="AB922" s="132">
        <f>VLOOKUP(AA922,PLAN!B:V,20,0)</f>
        <v>46259</v>
      </c>
      <c r="AC922" s="132"/>
    </row>
    <row r="923" spans="3:29" s="79" customFormat="1" ht="21.6" customHeight="1">
      <c r="C923" s="249" t="str">
        <f t="shared" si="53"/>
        <v>Aug29-129</v>
      </c>
      <c r="D923" s="77">
        <f>IFERROR(VLOOKUP($AA923,PLAN!$B:$AA,3,0),"")</f>
        <v>11119510</v>
      </c>
      <c r="E923" s="77" t="str">
        <f>IFERROR(VLOOKUP($AA923,PLAN!$B:$AA,4,0),"")</f>
        <v>1911176-D-A</v>
      </c>
      <c r="F923" s="77" t="str">
        <f>IFERROR(VLOOKUP($AA923,PLAN!$B:$AA,5,0),"")</f>
        <v>HJ70JR402P09020 JP</v>
      </c>
      <c r="G923" s="77" t="str">
        <f>IFERROR(VLOOKUP($AA923,PLAN!$B:$AA,2,0),"")</f>
        <v>1001950278</v>
      </c>
      <c r="H923" s="113">
        <f>IFERROR(VLOOKUP($AA923,PLAN!$B:$AA,7,0),"")</f>
        <v>46263</v>
      </c>
      <c r="I923" s="77" t="str">
        <f>IFERROR(VLOOKUP($AA923,PLAN!$B:$AA,8,0),"")</f>
        <v>0103617968</v>
      </c>
      <c r="J923" s="77" t="str">
        <f>IFERROR(VLOOKUP($AA923,PLAN!$B:$AA,9,0),"")</f>
        <v>260818C17A</v>
      </c>
      <c r="K923" s="77">
        <f>IFERROR(VLOOKUP($AA923,PLAN!$B:$AA,10,0),"")</f>
        <v>7</v>
      </c>
      <c r="L923" s="77" t="str">
        <f>IFERROR(VLOOKUP($AA923,PLAN!$B:$AA,15,0),"")</f>
        <v>JAPAN</v>
      </c>
      <c r="M923" s="77">
        <f>IFERROR(VLOOKUP($AA923,PLAN!$B:$AA,18,0),"")</f>
        <v>0</v>
      </c>
      <c r="N923" s="227">
        <f>IFERROR(VLOOKUP($AA923,PLAN!$B:$AA,19,0),"")</f>
        <v>0</v>
      </c>
      <c r="O923" s="77" t="str">
        <f>IFERROR(VLOOKUP($AA923,PLAN!$B:$AA,12,0),"")</f>
        <v>2112178-0-C</v>
      </c>
      <c r="P923" s="77">
        <f>IFERROR(VLOOKUP($AA923,PLAN!$B:$AA,11,0),"")</f>
        <v>12116145</v>
      </c>
      <c r="Q923" s="349" t="s">
        <v>5881</v>
      </c>
      <c r="R923" s="158" t="s">
        <v>5882</v>
      </c>
      <c r="S923" s="149">
        <f t="shared" si="54"/>
        <v>7</v>
      </c>
      <c r="T923" s="131"/>
      <c r="U923" s="78">
        <f>IFERROR(VLOOKUP($AA923,PLAN!$B:$AA,21,0),"")</f>
        <v>46259</v>
      </c>
      <c r="V923" s="78" t="str">
        <f>IFERROR(VLOOKUP($AA923,PLAN!$B:$AA,22,0),"")</f>
        <v>M9</v>
      </c>
      <c r="W923" s="232"/>
      <c r="X923" s="233"/>
      <c r="Y923" s="212"/>
      <c r="Z923" s="350"/>
      <c r="AA923" s="195" t="s">
        <v>5785</v>
      </c>
      <c r="AB923" s="132">
        <f>VLOOKUP(AA923,PLAN!B:V,20,0)</f>
        <v>46259</v>
      </c>
      <c r="AC923" s="132"/>
    </row>
    <row r="924" spans="3:29" s="79" customFormat="1" ht="21.6" customHeight="1">
      <c r="C924" s="249" t="str">
        <f t="shared" si="53"/>
        <v>Aug29-130</v>
      </c>
      <c r="D924" s="77">
        <f>IFERROR(VLOOKUP($AA924,PLAN!$B:$AA,3,0),"")</f>
        <v>11119352</v>
      </c>
      <c r="E924" s="77" t="str">
        <f>IFERROR(VLOOKUP($AA924,PLAN!$B:$AA,4,0),"")</f>
        <v>1911020-D-A</v>
      </c>
      <c r="F924" s="77" t="str">
        <f>IFERROR(VLOOKUP($AA924,PLAN!$B:$AA,5,0),"")</f>
        <v>HJ60CP200P10020 JP</v>
      </c>
      <c r="G924" s="77" t="str">
        <f>IFERROR(VLOOKUP($AA924,PLAN!$B:$AA,2,0),"")</f>
        <v>1001950279</v>
      </c>
      <c r="H924" s="113">
        <f>IFERROR(VLOOKUP($AA924,PLAN!$B:$AA,7,0),"")</f>
        <v>46263</v>
      </c>
      <c r="I924" s="77" t="str">
        <f>IFERROR(VLOOKUP($AA924,PLAN!$B:$AA,8,0),"")</f>
        <v>0103617969</v>
      </c>
      <c r="J924" s="77" t="str">
        <f>IFERROR(VLOOKUP($AA924,PLAN!$B:$AA,9,0),"")</f>
        <v>260818C18A</v>
      </c>
      <c r="K924" s="77">
        <f>IFERROR(VLOOKUP($AA924,PLAN!$B:$AA,10,0),"")</f>
        <v>8</v>
      </c>
      <c r="L924" s="77" t="str">
        <f>IFERROR(VLOOKUP($AA924,PLAN!$B:$AA,15,0),"")</f>
        <v>JAPAN</v>
      </c>
      <c r="M924" s="77">
        <f>IFERROR(VLOOKUP($AA924,PLAN!$B:$AA,18,0),"")</f>
        <v>0</v>
      </c>
      <c r="N924" s="227">
        <f>IFERROR(VLOOKUP($AA924,PLAN!$B:$AA,19,0),"")</f>
        <v>0</v>
      </c>
      <c r="O924" s="77" t="str">
        <f>IFERROR(VLOOKUP($AA924,PLAN!$B:$AA,12,0),"")</f>
        <v>2112022-0-C</v>
      </c>
      <c r="P924" s="77">
        <f>IFERROR(VLOOKUP($AA924,PLAN!$B:$AA,11,0),"")</f>
        <v>12115987</v>
      </c>
      <c r="Q924" s="349" t="s">
        <v>5883</v>
      </c>
      <c r="R924" s="158" t="s">
        <v>5884</v>
      </c>
      <c r="S924" s="149">
        <f t="shared" si="54"/>
        <v>8</v>
      </c>
      <c r="T924" s="131"/>
      <c r="U924" s="78">
        <f>IFERROR(VLOOKUP($AA924,PLAN!$B:$AA,21,0),"")</f>
        <v>46259</v>
      </c>
      <c r="V924" s="78" t="str">
        <f>IFERROR(VLOOKUP($AA924,PLAN!$B:$AA,22,0),"")</f>
        <v>M9</v>
      </c>
      <c r="W924" s="232"/>
      <c r="X924" s="233"/>
      <c r="Y924" s="212"/>
      <c r="Z924" s="350"/>
      <c r="AA924" s="195" t="s">
        <v>5786</v>
      </c>
      <c r="AB924" s="132">
        <f>VLOOKUP(AA924,PLAN!B:V,20,0)</f>
        <v>46259</v>
      </c>
      <c r="AC924" s="132"/>
    </row>
    <row r="925" spans="3:29" s="79" customFormat="1" ht="21.6" customHeight="1">
      <c r="C925" s="249" t="str">
        <f t="shared" si="53"/>
        <v>Aug29-131</v>
      </c>
      <c r="D925" s="77">
        <f>IFERROR(VLOOKUP($AA925,PLAN!$B:$AA,3,0),"")</f>
        <v>11119538</v>
      </c>
      <c r="E925" s="77" t="str">
        <f>IFERROR(VLOOKUP($AA925,PLAN!$B:$AA,4,0),"")</f>
        <v>1911204-D-A</v>
      </c>
      <c r="F925" s="77" t="str">
        <f>IFERROR(VLOOKUP($AA925,PLAN!$B:$AA,5,0),"")</f>
        <v>HJ70AL072P09022 JP</v>
      </c>
      <c r="G925" s="77" t="str">
        <f>IFERROR(VLOOKUP($AA925,PLAN!$B:$AA,2,0),"")</f>
        <v>1001950280</v>
      </c>
      <c r="H925" s="113">
        <f>IFERROR(VLOOKUP($AA925,PLAN!$B:$AA,7,0),"")</f>
        <v>46263</v>
      </c>
      <c r="I925" s="77" t="str">
        <f>IFERROR(VLOOKUP($AA925,PLAN!$B:$AA,8,0),"")</f>
        <v>0103617970</v>
      </c>
      <c r="J925" s="77" t="str">
        <f>IFERROR(VLOOKUP($AA925,PLAN!$B:$AA,9,0),"")</f>
        <v>260818C19A</v>
      </c>
      <c r="K925" s="77">
        <f>IFERROR(VLOOKUP($AA925,PLAN!$B:$AA,10,0),"")</f>
        <v>8</v>
      </c>
      <c r="L925" s="77" t="str">
        <f>IFERROR(VLOOKUP($AA925,PLAN!$B:$AA,15,0),"")</f>
        <v>JAPAN</v>
      </c>
      <c r="M925" s="77">
        <f>IFERROR(VLOOKUP($AA925,PLAN!$B:$AA,18,0),"")</f>
        <v>0</v>
      </c>
      <c r="N925" s="227">
        <f>IFERROR(VLOOKUP($AA925,PLAN!$B:$AA,19,0),"")</f>
        <v>0</v>
      </c>
      <c r="O925" s="77" t="str">
        <f>IFERROR(VLOOKUP($AA925,PLAN!$B:$AA,12,0),"")</f>
        <v>2112206-0-C</v>
      </c>
      <c r="P925" s="77">
        <f>IFERROR(VLOOKUP($AA925,PLAN!$B:$AA,11,0),"")</f>
        <v>12116173</v>
      </c>
      <c r="Q925" s="349" t="s">
        <v>5885</v>
      </c>
      <c r="R925" s="158" t="s">
        <v>5886</v>
      </c>
      <c r="S925" s="149">
        <f t="shared" si="54"/>
        <v>8</v>
      </c>
      <c r="T925" s="131"/>
      <c r="U925" s="78">
        <f>IFERROR(VLOOKUP($AA925,PLAN!$B:$AA,21,0),"")</f>
        <v>46259</v>
      </c>
      <c r="V925" s="78" t="str">
        <f>IFERROR(VLOOKUP($AA925,PLAN!$B:$AA,22,0),"")</f>
        <v>M9</v>
      </c>
      <c r="W925" s="232"/>
      <c r="X925" s="233"/>
      <c r="Y925" s="212"/>
      <c r="Z925" s="350"/>
      <c r="AA925" s="195" t="s">
        <v>5787</v>
      </c>
      <c r="AB925" s="132">
        <f>VLOOKUP(AA925,PLAN!B:V,20,0)</f>
        <v>46259</v>
      </c>
      <c r="AC925" s="132"/>
    </row>
    <row r="926" spans="3:29" s="79" customFormat="1" ht="21.6" customHeight="1">
      <c r="C926" s="249" t="str">
        <f t="shared" si="53"/>
        <v>Aug29-132</v>
      </c>
      <c r="D926" s="77">
        <f>IFERROR(VLOOKUP($AA926,PLAN!$B:$AA,3,0),"")</f>
        <v>11119542</v>
      </c>
      <c r="E926" s="77" t="str">
        <f>IFERROR(VLOOKUP($AA926,PLAN!$B:$AA,4,0),"")</f>
        <v>1911208-D-A</v>
      </c>
      <c r="F926" s="77" t="str">
        <f>IFERROR(VLOOKUP($AA926,PLAN!$B:$AA,5,0),"")</f>
        <v>HJ70AL102P09022 JP</v>
      </c>
      <c r="G926" s="77" t="str">
        <f>IFERROR(VLOOKUP($AA926,PLAN!$B:$AA,2,0),"")</f>
        <v>1001950281</v>
      </c>
      <c r="H926" s="113">
        <f>IFERROR(VLOOKUP($AA926,PLAN!$B:$AA,7,0),"")</f>
        <v>46263</v>
      </c>
      <c r="I926" s="77" t="str">
        <f>IFERROR(VLOOKUP($AA926,PLAN!$B:$AA,8,0),"")</f>
        <v>0103617971</v>
      </c>
      <c r="J926" s="77" t="str">
        <f>IFERROR(VLOOKUP($AA926,PLAN!$B:$AA,9,0),"")</f>
        <v>260818C20A</v>
      </c>
      <c r="K926" s="77">
        <f>IFERROR(VLOOKUP($AA926,PLAN!$B:$AA,10,0),"")</f>
        <v>8</v>
      </c>
      <c r="L926" s="77" t="str">
        <f>IFERROR(VLOOKUP($AA926,PLAN!$B:$AA,15,0),"")</f>
        <v>JAPAN</v>
      </c>
      <c r="M926" s="77">
        <f>IFERROR(VLOOKUP($AA926,PLAN!$B:$AA,18,0),"")</f>
        <v>0</v>
      </c>
      <c r="N926" s="227">
        <f>IFERROR(VLOOKUP($AA926,PLAN!$B:$AA,19,0),"")</f>
        <v>0</v>
      </c>
      <c r="O926" s="77" t="str">
        <f>IFERROR(VLOOKUP($AA926,PLAN!$B:$AA,12,0),"")</f>
        <v>2112210-0-C</v>
      </c>
      <c r="P926" s="77">
        <f>IFERROR(VLOOKUP($AA926,PLAN!$B:$AA,11,0),"")</f>
        <v>12116177</v>
      </c>
      <c r="Q926" s="349" t="s">
        <v>5887</v>
      </c>
      <c r="R926" s="158" t="s">
        <v>5888</v>
      </c>
      <c r="S926" s="149">
        <f t="shared" si="54"/>
        <v>8</v>
      </c>
      <c r="T926" s="131"/>
      <c r="U926" s="78">
        <f>IFERROR(VLOOKUP($AA926,PLAN!$B:$AA,21,0),"")</f>
        <v>46259</v>
      </c>
      <c r="V926" s="78" t="str">
        <f>IFERROR(VLOOKUP($AA926,PLAN!$B:$AA,22,0),"")</f>
        <v>M9</v>
      </c>
      <c r="W926" s="232"/>
      <c r="X926" s="233"/>
      <c r="Y926" s="212"/>
      <c r="Z926" s="350"/>
      <c r="AA926" s="195" t="s">
        <v>5788</v>
      </c>
      <c r="AB926" s="132">
        <f>VLOOKUP(AA926,PLAN!B:V,20,0)</f>
        <v>46259</v>
      </c>
      <c r="AC926" s="132"/>
    </row>
    <row r="927" spans="3:29" s="79" customFormat="1" ht="21.6" customHeight="1">
      <c r="C927" s="249" t="str">
        <f t="shared" si="53"/>
        <v>Aug29-133</v>
      </c>
      <c r="D927" s="77">
        <f>IFERROR(VLOOKUP($AA927,PLAN!$B:$AA,3,0),"")</f>
        <v>11119545</v>
      </c>
      <c r="E927" s="77" t="str">
        <f>IFERROR(VLOOKUP($AA927,PLAN!$B:$AA,4,0),"")</f>
        <v>1911211-D-A</v>
      </c>
      <c r="F927" s="77" t="str">
        <f>IFERROR(VLOOKUP($AA927,PLAN!$B:$AA,5,0),"")</f>
        <v>HJ70AL152P10022 JP</v>
      </c>
      <c r="G927" s="77" t="str">
        <f>IFERROR(VLOOKUP($AA927,PLAN!$B:$AA,2,0),"")</f>
        <v>1001950282</v>
      </c>
      <c r="H927" s="113">
        <f>IFERROR(VLOOKUP($AA927,PLAN!$B:$AA,7,0),"")</f>
        <v>46263</v>
      </c>
      <c r="I927" s="77" t="str">
        <f>IFERROR(VLOOKUP($AA927,PLAN!$B:$AA,8,0),"")</f>
        <v>0103617972</v>
      </c>
      <c r="J927" s="77" t="str">
        <f>IFERROR(VLOOKUP($AA927,PLAN!$B:$AA,9,0),"")</f>
        <v>260818C21A</v>
      </c>
      <c r="K927" s="77">
        <f>IFERROR(VLOOKUP($AA927,PLAN!$B:$AA,10,0),"")</f>
        <v>8</v>
      </c>
      <c r="L927" s="77" t="str">
        <f>IFERROR(VLOOKUP($AA927,PLAN!$B:$AA,15,0),"")</f>
        <v>JAPAN</v>
      </c>
      <c r="M927" s="77">
        <f>IFERROR(VLOOKUP($AA927,PLAN!$B:$AA,18,0),"")</f>
        <v>0</v>
      </c>
      <c r="N927" s="227">
        <f>IFERROR(VLOOKUP($AA927,PLAN!$B:$AA,19,0),"")</f>
        <v>0</v>
      </c>
      <c r="O927" s="77" t="str">
        <f>IFERROR(VLOOKUP($AA927,PLAN!$B:$AA,12,0),"")</f>
        <v>2112213-0-C</v>
      </c>
      <c r="P927" s="77">
        <f>IFERROR(VLOOKUP($AA927,PLAN!$B:$AA,11,0),"")</f>
        <v>12116180</v>
      </c>
      <c r="Q927" s="349" t="s">
        <v>5889</v>
      </c>
      <c r="R927" s="158" t="s">
        <v>5890</v>
      </c>
      <c r="S927" s="149">
        <f t="shared" si="54"/>
        <v>8</v>
      </c>
      <c r="T927" s="131"/>
      <c r="U927" s="78">
        <f>IFERROR(VLOOKUP($AA927,PLAN!$B:$AA,21,0),"")</f>
        <v>46259</v>
      </c>
      <c r="V927" s="78" t="str">
        <f>IFERROR(VLOOKUP($AA927,PLAN!$B:$AA,22,0),"")</f>
        <v>M9</v>
      </c>
      <c r="W927" s="232"/>
      <c r="X927" s="233"/>
      <c r="Y927" s="212"/>
      <c r="Z927" s="350"/>
      <c r="AA927" s="195" t="s">
        <v>5789</v>
      </c>
      <c r="AB927" s="132">
        <f>VLOOKUP(AA927,PLAN!B:V,20,0)</f>
        <v>46259</v>
      </c>
      <c r="AC927" s="132"/>
    </row>
    <row r="928" spans="3:29" s="79" customFormat="1" ht="21.6" customHeight="1">
      <c r="C928" s="249" t="str">
        <f t="shared" si="53"/>
        <v>Aug29-134</v>
      </c>
      <c r="D928" s="77">
        <f>IFERROR(VLOOKUP($AA928,PLAN!$B:$AA,3,0),"")</f>
        <v>11119661</v>
      </c>
      <c r="E928" s="77" t="str">
        <f>IFERROR(VLOOKUP($AA928,PLAN!$B:$AA,4,0),"")</f>
        <v>1911327-D-A</v>
      </c>
      <c r="F928" s="77" t="str">
        <f>IFERROR(VLOOKUP($AA928,PLAN!$B:$AA,5,0),"")</f>
        <v>HJ80AL100P10002 JP</v>
      </c>
      <c r="G928" s="77" t="str">
        <f>IFERROR(VLOOKUP($AA928,PLAN!$B:$AA,2,0),"")</f>
        <v>1001950283</v>
      </c>
      <c r="H928" s="113">
        <f>IFERROR(VLOOKUP($AA928,PLAN!$B:$AA,7,0),"")</f>
        <v>46263</v>
      </c>
      <c r="I928" s="77" t="str">
        <f>IFERROR(VLOOKUP($AA928,PLAN!$B:$AA,8,0),"")</f>
        <v>0103617973</v>
      </c>
      <c r="J928" s="77" t="str">
        <f>IFERROR(VLOOKUP($AA928,PLAN!$B:$AA,9,0),"")</f>
        <v>260818C22A</v>
      </c>
      <c r="K928" s="77">
        <f>IFERROR(VLOOKUP($AA928,PLAN!$B:$AA,10,0),"")</f>
        <v>8</v>
      </c>
      <c r="L928" s="77" t="str">
        <f>IFERROR(VLOOKUP($AA928,PLAN!$B:$AA,15,0),"")</f>
        <v>JAPAN</v>
      </c>
      <c r="M928" s="77">
        <f>IFERROR(VLOOKUP($AA928,PLAN!$B:$AA,18,0),"")</f>
        <v>0</v>
      </c>
      <c r="N928" s="227">
        <f>IFERROR(VLOOKUP($AA928,PLAN!$B:$AA,19,0),"")</f>
        <v>0</v>
      </c>
      <c r="O928" s="77" t="str">
        <f>IFERROR(VLOOKUP($AA928,PLAN!$B:$AA,12,0),"")</f>
        <v>2112329-0-C</v>
      </c>
      <c r="P928" s="77">
        <f>IFERROR(VLOOKUP($AA928,PLAN!$B:$AA,11,0),"")</f>
        <v>12116296</v>
      </c>
      <c r="Q928" s="349" t="s">
        <v>5891</v>
      </c>
      <c r="R928" s="158" t="s">
        <v>5892</v>
      </c>
      <c r="S928" s="149">
        <f t="shared" si="54"/>
        <v>8</v>
      </c>
      <c r="T928" s="131"/>
      <c r="U928" s="78">
        <f>IFERROR(VLOOKUP($AA928,PLAN!$B:$AA,21,0),"")</f>
        <v>46259</v>
      </c>
      <c r="V928" s="78" t="str">
        <f>IFERROR(VLOOKUP($AA928,PLAN!$B:$AA,22,0),"")</f>
        <v>M9</v>
      </c>
      <c r="W928" s="232"/>
      <c r="X928" s="233"/>
      <c r="Y928" s="212"/>
      <c r="Z928" s="350"/>
      <c r="AA928" s="195" t="s">
        <v>5790</v>
      </c>
      <c r="AB928" s="132">
        <f>VLOOKUP(AA928,PLAN!B:V,20,0)</f>
        <v>46259</v>
      </c>
      <c r="AC928" s="132"/>
    </row>
    <row r="929" spans="3:29" s="79" customFormat="1" ht="21.6" customHeight="1">
      <c r="C929" s="249" t="str">
        <f t="shared" si="53"/>
        <v>Aug29-135</v>
      </c>
      <c r="D929" s="77">
        <f>IFERROR(VLOOKUP($AA929,PLAN!$B:$AA,3,0),"")</f>
        <v>11119480</v>
      </c>
      <c r="E929" s="77" t="str">
        <f>IFERROR(VLOOKUP($AA929,PLAN!$B:$AA,4,0),"")</f>
        <v>1911146-D-A</v>
      </c>
      <c r="F929" s="77" t="str">
        <f>IFERROR(VLOOKUP($AA929,PLAN!$B:$AA,5,0),"")</f>
        <v>HJ70IM002P10020 JP</v>
      </c>
      <c r="G929" s="77" t="str">
        <f>IFERROR(VLOOKUP($AA929,PLAN!$B:$AA,2,0),"")</f>
        <v>1001950284</v>
      </c>
      <c r="H929" s="113">
        <f>IFERROR(VLOOKUP($AA929,PLAN!$B:$AA,7,0),"")</f>
        <v>46263</v>
      </c>
      <c r="I929" s="77" t="str">
        <f>IFERROR(VLOOKUP($AA929,PLAN!$B:$AA,8,0),"")</f>
        <v>0103617974</v>
      </c>
      <c r="J929" s="77" t="str">
        <f>IFERROR(VLOOKUP($AA929,PLAN!$B:$AA,9,0),"")</f>
        <v>260818C23A</v>
      </c>
      <c r="K929" s="77">
        <f>IFERROR(VLOOKUP($AA929,PLAN!$B:$AA,10,0),"")</f>
        <v>9</v>
      </c>
      <c r="L929" s="77" t="str">
        <f>IFERROR(VLOOKUP($AA929,PLAN!$B:$AA,15,0),"")</f>
        <v>JAPAN</v>
      </c>
      <c r="M929" s="77">
        <f>IFERROR(VLOOKUP($AA929,PLAN!$B:$AA,18,0),"")</f>
        <v>0</v>
      </c>
      <c r="N929" s="227">
        <f>IFERROR(VLOOKUP($AA929,PLAN!$B:$AA,19,0),"")</f>
        <v>0</v>
      </c>
      <c r="O929" s="77" t="str">
        <f>IFERROR(VLOOKUP($AA929,PLAN!$B:$AA,12,0),"")</f>
        <v>2112148-0-C</v>
      </c>
      <c r="P929" s="77">
        <f>IFERROR(VLOOKUP($AA929,PLAN!$B:$AA,11,0),"")</f>
        <v>12116115</v>
      </c>
      <c r="Q929" s="349" t="s">
        <v>5893</v>
      </c>
      <c r="R929" s="158" t="s">
        <v>5894</v>
      </c>
      <c r="S929" s="149">
        <f t="shared" si="54"/>
        <v>9</v>
      </c>
      <c r="T929" s="131"/>
      <c r="U929" s="78">
        <f>IFERROR(VLOOKUP($AA929,PLAN!$B:$AA,21,0),"")</f>
        <v>46259</v>
      </c>
      <c r="V929" s="78" t="str">
        <f>IFERROR(VLOOKUP($AA929,PLAN!$B:$AA,22,0),"")</f>
        <v>M9</v>
      </c>
      <c r="W929" s="232"/>
      <c r="X929" s="233"/>
      <c r="Y929" s="212"/>
      <c r="Z929" s="350"/>
      <c r="AA929" s="195" t="s">
        <v>5791</v>
      </c>
      <c r="AB929" s="132">
        <f>VLOOKUP(AA929,PLAN!B:V,20,0)</f>
        <v>46259</v>
      </c>
      <c r="AC929" s="132"/>
    </row>
    <row r="930" spans="3:29" s="79" customFormat="1" ht="21.6" customHeight="1">
      <c r="C930" s="249" t="str">
        <f t="shared" si="53"/>
        <v>Aug29-136</v>
      </c>
      <c r="D930" s="77">
        <f>IFERROR(VLOOKUP($AA930,PLAN!$B:$AA,3,0),"")</f>
        <v>11119441</v>
      </c>
      <c r="E930" s="77" t="str">
        <f>IFERROR(VLOOKUP($AA930,PLAN!$B:$AA,4,0),"")</f>
        <v>1911107-D-A</v>
      </c>
      <c r="F930" s="77" t="str">
        <f>IFERROR(VLOOKUP($AA930,PLAN!$B:$AA,5,0),"")</f>
        <v>HJ70AL072P10021 JP</v>
      </c>
      <c r="G930" s="77" t="str">
        <f>IFERROR(VLOOKUP($AA930,PLAN!$B:$AA,2,0),"")</f>
        <v>1001950285</v>
      </c>
      <c r="H930" s="113">
        <f>IFERROR(VLOOKUP($AA930,PLAN!$B:$AA,7,0),"")</f>
        <v>46263</v>
      </c>
      <c r="I930" s="77" t="str">
        <f>IFERROR(VLOOKUP($AA930,PLAN!$B:$AA,8,0),"")</f>
        <v>0103617975</v>
      </c>
      <c r="J930" s="77" t="str">
        <f>IFERROR(VLOOKUP($AA930,PLAN!$B:$AA,9,0),"")</f>
        <v>260818C24A</v>
      </c>
      <c r="K930" s="77">
        <f>IFERROR(VLOOKUP($AA930,PLAN!$B:$AA,10,0),"")</f>
        <v>10</v>
      </c>
      <c r="L930" s="77" t="str">
        <f>IFERROR(VLOOKUP($AA930,PLAN!$B:$AA,15,0),"")</f>
        <v>JAPAN</v>
      </c>
      <c r="M930" s="77">
        <f>IFERROR(VLOOKUP($AA930,PLAN!$B:$AA,18,0),"")</f>
        <v>0</v>
      </c>
      <c r="N930" s="227">
        <f>IFERROR(VLOOKUP($AA930,PLAN!$B:$AA,19,0),"")</f>
        <v>0</v>
      </c>
      <c r="O930" s="77" t="str">
        <f>IFERROR(VLOOKUP($AA930,PLAN!$B:$AA,12,0),"")</f>
        <v>2112109-0-C</v>
      </c>
      <c r="P930" s="77">
        <f>IFERROR(VLOOKUP($AA930,PLAN!$B:$AA,11,0),"")</f>
        <v>12116076</v>
      </c>
      <c r="Q930" s="349" t="s">
        <v>5895</v>
      </c>
      <c r="R930" s="158" t="s">
        <v>5896</v>
      </c>
      <c r="S930" s="149">
        <f t="shared" si="54"/>
        <v>10</v>
      </c>
      <c r="T930" s="131"/>
      <c r="U930" s="78">
        <f>IFERROR(VLOOKUP($AA930,PLAN!$B:$AA,21,0),"")</f>
        <v>46259</v>
      </c>
      <c r="V930" s="78" t="str">
        <f>IFERROR(VLOOKUP($AA930,PLAN!$B:$AA,22,0),"")</f>
        <v>M9</v>
      </c>
      <c r="W930" s="232"/>
      <c r="X930" s="233"/>
      <c r="Y930" s="212"/>
      <c r="Z930" s="350"/>
      <c r="AA930" s="195" t="s">
        <v>5792</v>
      </c>
      <c r="AB930" s="132">
        <f>VLOOKUP(AA930,PLAN!B:V,20,0)</f>
        <v>46259</v>
      </c>
      <c r="AC930" s="132"/>
    </row>
    <row r="931" spans="3:29" s="79" customFormat="1" ht="21.6" customHeight="1">
      <c r="C931" s="249" t="str">
        <f t="shared" si="53"/>
        <v>Aug29-137</v>
      </c>
      <c r="D931" s="77">
        <f>IFERROR(VLOOKUP($AA931,PLAN!$B:$AA,3,0),"")</f>
        <v>11119450</v>
      </c>
      <c r="E931" s="77" t="str">
        <f>IFERROR(VLOOKUP($AA931,PLAN!$B:$AA,4,0),"")</f>
        <v>1911116-D-A</v>
      </c>
      <c r="F931" s="77" t="str">
        <f>IFERROR(VLOOKUP($AA931,PLAN!$B:$AA,5,0),"")</f>
        <v>HJ70AL152P10020 JP</v>
      </c>
      <c r="G931" s="77" t="str">
        <f>IFERROR(VLOOKUP($AA931,PLAN!$B:$AA,2,0),"")</f>
        <v>1001950286</v>
      </c>
      <c r="H931" s="113">
        <f>IFERROR(VLOOKUP($AA931,PLAN!$B:$AA,7,0),"")</f>
        <v>46263</v>
      </c>
      <c r="I931" s="77" t="str">
        <f>IFERROR(VLOOKUP($AA931,PLAN!$B:$AA,8,0),"")</f>
        <v>0103617976</v>
      </c>
      <c r="J931" s="77" t="str">
        <f>IFERROR(VLOOKUP($AA931,PLAN!$B:$AA,9,0),"")</f>
        <v>260818C25A</v>
      </c>
      <c r="K931" s="77">
        <f>IFERROR(VLOOKUP($AA931,PLAN!$B:$AA,10,0),"")</f>
        <v>12</v>
      </c>
      <c r="L931" s="77" t="str">
        <f>IFERROR(VLOOKUP($AA931,PLAN!$B:$AA,15,0),"")</f>
        <v>JAPAN</v>
      </c>
      <c r="M931" s="77">
        <f>IFERROR(VLOOKUP($AA931,PLAN!$B:$AA,18,0),"")</f>
        <v>0</v>
      </c>
      <c r="N931" s="227">
        <f>IFERROR(VLOOKUP($AA931,PLAN!$B:$AA,19,0),"")</f>
        <v>0</v>
      </c>
      <c r="O931" s="77" t="str">
        <f>IFERROR(VLOOKUP($AA931,PLAN!$B:$AA,12,0),"")</f>
        <v>2112118-0-C</v>
      </c>
      <c r="P931" s="77">
        <f>IFERROR(VLOOKUP($AA931,PLAN!$B:$AA,11,0),"")</f>
        <v>12116085</v>
      </c>
      <c r="Q931" s="349" t="s">
        <v>5897</v>
      </c>
      <c r="R931" s="158" t="s">
        <v>5898</v>
      </c>
      <c r="S931" s="149">
        <f t="shared" si="54"/>
        <v>12</v>
      </c>
      <c r="T931" s="131"/>
      <c r="U931" s="78">
        <f>IFERROR(VLOOKUP($AA931,PLAN!$B:$AA,21,0),"")</f>
        <v>46259</v>
      </c>
      <c r="V931" s="78" t="str">
        <f>IFERROR(VLOOKUP($AA931,PLAN!$B:$AA,22,0),"")</f>
        <v>M9</v>
      </c>
      <c r="W931" s="232"/>
      <c r="X931" s="233"/>
      <c r="Y931" s="212"/>
      <c r="Z931" s="350"/>
      <c r="AA931" s="195" t="s">
        <v>5793</v>
      </c>
      <c r="AB931" s="132">
        <f>VLOOKUP(AA931,PLAN!B:V,20,0)</f>
        <v>46259</v>
      </c>
      <c r="AC931" s="132"/>
    </row>
    <row r="932" spans="3:29" s="79" customFormat="1" ht="21.6" customHeight="1">
      <c r="C932" s="249" t="str">
        <f t="shared" si="53"/>
        <v>Aug29-138</v>
      </c>
      <c r="D932" s="77">
        <f>IFERROR(VLOOKUP($AA932,PLAN!$B:$AA,3,0),"")</f>
        <v>11119549</v>
      </c>
      <c r="E932" s="77" t="str">
        <f>IFERROR(VLOOKUP($AA932,PLAN!$B:$AA,4,0),"")</f>
        <v>1911215-D-A</v>
      </c>
      <c r="F932" s="77" t="str">
        <f>IFERROR(VLOOKUP($AA932,PLAN!$B:$AA,5,0),"")</f>
        <v>HJ70AL202P10022 JP</v>
      </c>
      <c r="G932" s="77" t="str">
        <f>IFERROR(VLOOKUP($AA932,PLAN!$B:$AA,2,0),"")</f>
        <v>1001950287</v>
      </c>
      <c r="H932" s="113">
        <f>IFERROR(VLOOKUP($AA932,PLAN!$B:$AA,7,0),"")</f>
        <v>46263</v>
      </c>
      <c r="I932" s="77" t="str">
        <f>IFERROR(VLOOKUP($AA932,PLAN!$B:$AA,8,0),"")</f>
        <v>0103617977</v>
      </c>
      <c r="J932" s="77" t="str">
        <f>IFERROR(VLOOKUP($AA932,PLAN!$B:$AA,9,0),"")</f>
        <v>260818C26A</v>
      </c>
      <c r="K932" s="77">
        <f>IFERROR(VLOOKUP($AA932,PLAN!$B:$AA,10,0),"")</f>
        <v>12</v>
      </c>
      <c r="L932" s="77" t="str">
        <f>IFERROR(VLOOKUP($AA932,PLAN!$B:$AA,15,0),"")</f>
        <v>JAPAN</v>
      </c>
      <c r="M932" s="77">
        <f>IFERROR(VLOOKUP($AA932,PLAN!$B:$AA,18,0),"")</f>
        <v>0</v>
      </c>
      <c r="N932" s="227">
        <f>IFERROR(VLOOKUP($AA932,PLAN!$B:$AA,19,0),"")</f>
        <v>0</v>
      </c>
      <c r="O932" s="77" t="str">
        <f>IFERROR(VLOOKUP($AA932,PLAN!$B:$AA,12,0),"")</f>
        <v>2112217-0-C</v>
      </c>
      <c r="P932" s="77">
        <f>IFERROR(VLOOKUP($AA932,PLAN!$B:$AA,11,0),"")</f>
        <v>12116184</v>
      </c>
      <c r="Q932" s="349" t="s">
        <v>5899</v>
      </c>
      <c r="R932" s="158" t="s">
        <v>5900</v>
      </c>
      <c r="S932" s="149">
        <f t="shared" si="54"/>
        <v>12</v>
      </c>
      <c r="T932" s="131"/>
      <c r="U932" s="78">
        <f>IFERROR(VLOOKUP($AA932,PLAN!$B:$AA,21,0),"")</f>
        <v>46259</v>
      </c>
      <c r="V932" s="78" t="str">
        <f>IFERROR(VLOOKUP($AA932,PLAN!$B:$AA,22,0),"")</f>
        <v>M9</v>
      </c>
      <c r="W932" s="232"/>
      <c r="X932" s="233"/>
      <c r="Y932" s="212"/>
      <c r="Z932" s="350"/>
      <c r="AA932" s="195" t="s">
        <v>5794</v>
      </c>
      <c r="AB932" s="132">
        <f>VLOOKUP(AA932,PLAN!B:V,20,0)</f>
        <v>46259</v>
      </c>
      <c r="AC932" s="132"/>
    </row>
    <row r="933" spans="3:29" s="79" customFormat="1" ht="21.6" customHeight="1">
      <c r="C933" s="249" t="str">
        <f t="shared" si="53"/>
        <v>Aug29-139</v>
      </c>
      <c r="D933" s="77">
        <f>IFERROR(VLOOKUP($AA933,PLAN!$B:$AA,3,0),"")</f>
        <v>11119419</v>
      </c>
      <c r="E933" s="77" t="str">
        <f>IFERROR(VLOOKUP($AA933,PLAN!$B:$AA,4,0),"")</f>
        <v>1911087-D-A</v>
      </c>
      <c r="F933" s="77" t="str">
        <f>IFERROR(VLOOKUP($AA933,PLAN!$B:$AA,5,0),"")</f>
        <v>HJ60AL200P10022 JP</v>
      </c>
      <c r="G933" s="77" t="str">
        <f>IFERROR(VLOOKUP($AA933,PLAN!$B:$AA,2,0),"")</f>
        <v>1001950288</v>
      </c>
      <c r="H933" s="113">
        <f>IFERROR(VLOOKUP($AA933,PLAN!$B:$AA,7,0),"")</f>
        <v>46263</v>
      </c>
      <c r="I933" s="77" t="str">
        <f>IFERROR(VLOOKUP($AA933,PLAN!$B:$AA,8,0),"")</f>
        <v>0103617978</v>
      </c>
      <c r="J933" s="77" t="str">
        <f>IFERROR(VLOOKUP($AA933,PLAN!$B:$AA,9,0),"")</f>
        <v>260818C27A</v>
      </c>
      <c r="K933" s="77">
        <f>IFERROR(VLOOKUP($AA933,PLAN!$B:$AA,10,0),"")</f>
        <v>13</v>
      </c>
      <c r="L933" s="77" t="str">
        <f>IFERROR(VLOOKUP($AA933,PLAN!$B:$AA,15,0),"")</f>
        <v>JAPAN</v>
      </c>
      <c r="M933" s="77">
        <f>IFERROR(VLOOKUP($AA933,PLAN!$B:$AA,18,0),"")</f>
        <v>0</v>
      </c>
      <c r="N933" s="227">
        <f>IFERROR(VLOOKUP($AA933,PLAN!$B:$AA,19,0),"")</f>
        <v>0</v>
      </c>
      <c r="O933" s="77" t="str">
        <f>IFERROR(VLOOKUP($AA933,PLAN!$B:$AA,12,0),"")</f>
        <v>2112089-0-C</v>
      </c>
      <c r="P933" s="77">
        <f>IFERROR(VLOOKUP($AA933,PLAN!$B:$AA,11,0),"")</f>
        <v>12116054</v>
      </c>
      <c r="Q933" s="349" t="s">
        <v>5901</v>
      </c>
      <c r="R933" s="158" t="s">
        <v>5902</v>
      </c>
      <c r="S933" s="149">
        <f t="shared" si="54"/>
        <v>13</v>
      </c>
      <c r="T933" s="131"/>
      <c r="U933" s="78">
        <f>IFERROR(VLOOKUP($AA933,PLAN!$B:$AA,21,0),"")</f>
        <v>46259</v>
      </c>
      <c r="V933" s="78" t="str">
        <f>IFERROR(VLOOKUP($AA933,PLAN!$B:$AA,22,0),"")</f>
        <v>M9</v>
      </c>
      <c r="W933" s="232"/>
      <c r="X933" s="233"/>
      <c r="Y933" s="212"/>
      <c r="Z933" s="350"/>
      <c r="AA933" s="195" t="s">
        <v>5795</v>
      </c>
      <c r="AB933" s="132">
        <f>VLOOKUP(AA933,PLAN!B:V,20,0)</f>
        <v>46259</v>
      </c>
      <c r="AC933" s="132"/>
    </row>
    <row r="934" spans="3:29" s="79" customFormat="1" ht="21.6" customHeight="1">
      <c r="C934" s="249" t="str">
        <f t="shared" si="53"/>
        <v>Aug29-140</v>
      </c>
      <c r="D934" s="77">
        <f>IFERROR(VLOOKUP($AA934,PLAN!$B:$AA,3,0),"")</f>
        <v>11119437</v>
      </c>
      <c r="E934" s="77" t="str">
        <f>IFERROR(VLOOKUP($AA934,PLAN!$B:$AA,4,0),"")</f>
        <v>1911103-D-A</v>
      </c>
      <c r="F934" s="77" t="str">
        <f>IFERROR(VLOOKUP($AA934,PLAN!$B:$AA,5,0),"")</f>
        <v>HJ70AL070P10020 JP</v>
      </c>
      <c r="G934" s="77" t="str">
        <f>IFERROR(VLOOKUP($AA934,PLAN!$B:$AA,2,0),"")</f>
        <v>1001950289</v>
      </c>
      <c r="H934" s="113">
        <f>IFERROR(VLOOKUP($AA934,PLAN!$B:$AA,7,0),"")</f>
        <v>46263</v>
      </c>
      <c r="I934" s="77" t="str">
        <f>IFERROR(VLOOKUP($AA934,PLAN!$B:$AA,8,0),"")</f>
        <v>0103617979</v>
      </c>
      <c r="J934" s="77" t="str">
        <f>IFERROR(VLOOKUP($AA934,PLAN!$B:$AA,9,0),"")</f>
        <v>260818C28A</v>
      </c>
      <c r="K934" s="77">
        <f>IFERROR(VLOOKUP($AA934,PLAN!$B:$AA,10,0),"")</f>
        <v>13</v>
      </c>
      <c r="L934" s="77" t="str">
        <f>IFERROR(VLOOKUP($AA934,PLAN!$B:$AA,15,0),"")</f>
        <v>JAPAN</v>
      </c>
      <c r="M934" s="77">
        <f>IFERROR(VLOOKUP($AA934,PLAN!$B:$AA,18,0),"")</f>
        <v>0</v>
      </c>
      <c r="N934" s="227">
        <f>IFERROR(VLOOKUP($AA934,PLAN!$B:$AA,19,0),"")</f>
        <v>0</v>
      </c>
      <c r="O934" s="77" t="str">
        <f>IFERROR(VLOOKUP($AA934,PLAN!$B:$AA,12,0),"")</f>
        <v>2112105-0-C</v>
      </c>
      <c r="P934" s="77">
        <f>IFERROR(VLOOKUP($AA934,PLAN!$B:$AA,11,0),"")</f>
        <v>12116072</v>
      </c>
      <c r="Q934" s="349" t="s">
        <v>5903</v>
      </c>
      <c r="R934" s="158" t="s">
        <v>5904</v>
      </c>
      <c r="S934" s="149">
        <f t="shared" si="54"/>
        <v>13</v>
      </c>
      <c r="T934" s="131"/>
      <c r="U934" s="78">
        <f>IFERROR(VLOOKUP($AA934,PLAN!$B:$AA,21,0),"")</f>
        <v>46259</v>
      </c>
      <c r="V934" s="78" t="str">
        <f>IFERROR(VLOOKUP($AA934,PLAN!$B:$AA,22,0),"")</f>
        <v>M9</v>
      </c>
      <c r="W934" s="232"/>
      <c r="X934" s="233"/>
      <c r="Y934" s="212"/>
      <c r="Z934" s="350"/>
      <c r="AA934" s="195" t="s">
        <v>5796</v>
      </c>
      <c r="AB934" s="132">
        <f>VLOOKUP(AA934,PLAN!B:V,20,0)</f>
        <v>46259</v>
      </c>
      <c r="AC934" s="132"/>
    </row>
    <row r="935" spans="3:29" s="79" customFormat="1" ht="21.6" customHeight="1">
      <c r="C935" s="249" t="str">
        <f t="shared" si="53"/>
        <v>Aug29-141</v>
      </c>
      <c r="D935" s="77">
        <f>IFERROR(VLOOKUP($AA935,PLAN!$B:$AA,3,0),"")</f>
        <v>11119453</v>
      </c>
      <c r="E935" s="77" t="str">
        <f>IFERROR(VLOOKUP($AA935,PLAN!$B:$AA,4,0),"")</f>
        <v>1911119-D-A</v>
      </c>
      <c r="F935" s="77" t="str">
        <f>IFERROR(VLOOKUP($AA935,PLAN!$B:$AA,5,0),"")</f>
        <v>HJ70AL152P10021 JP</v>
      </c>
      <c r="G935" s="77" t="str">
        <f>IFERROR(VLOOKUP($AA935,PLAN!$B:$AA,2,0),"")</f>
        <v>1001950290</v>
      </c>
      <c r="H935" s="113">
        <f>IFERROR(VLOOKUP($AA935,PLAN!$B:$AA,7,0),"")</f>
        <v>46263</v>
      </c>
      <c r="I935" s="77" t="str">
        <f>IFERROR(VLOOKUP($AA935,PLAN!$B:$AA,8,0),"")</f>
        <v>0103617980</v>
      </c>
      <c r="J935" s="77" t="str">
        <f>IFERROR(VLOOKUP($AA935,PLAN!$B:$AA,9,0),"")</f>
        <v>260818C29A</v>
      </c>
      <c r="K935" s="77">
        <f>IFERROR(VLOOKUP($AA935,PLAN!$B:$AA,10,0),"")</f>
        <v>14</v>
      </c>
      <c r="L935" s="77" t="str">
        <f>IFERROR(VLOOKUP($AA935,PLAN!$B:$AA,15,0),"")</f>
        <v>JAPAN</v>
      </c>
      <c r="M935" s="77">
        <f>IFERROR(VLOOKUP($AA935,PLAN!$B:$AA,18,0),"")</f>
        <v>0</v>
      </c>
      <c r="N935" s="227">
        <f>IFERROR(VLOOKUP($AA935,PLAN!$B:$AA,19,0),"")</f>
        <v>0</v>
      </c>
      <c r="O935" s="77" t="str">
        <f>IFERROR(VLOOKUP($AA935,PLAN!$B:$AA,12,0),"")</f>
        <v>2112121-0-C</v>
      </c>
      <c r="P935" s="77">
        <f>IFERROR(VLOOKUP($AA935,PLAN!$B:$AA,11,0),"")</f>
        <v>12116088</v>
      </c>
      <c r="Q935" s="349" t="s">
        <v>5905</v>
      </c>
      <c r="R935" s="158" t="s">
        <v>5906</v>
      </c>
      <c r="S935" s="149">
        <f t="shared" si="54"/>
        <v>14</v>
      </c>
      <c r="T935" s="131"/>
      <c r="U935" s="78">
        <f>IFERROR(VLOOKUP($AA935,PLAN!$B:$AA,21,0),"")</f>
        <v>46259</v>
      </c>
      <c r="V935" s="78" t="str">
        <f>IFERROR(VLOOKUP($AA935,PLAN!$B:$AA,22,0),"")</f>
        <v>M9</v>
      </c>
      <c r="W935" s="232"/>
      <c r="X935" s="233"/>
      <c r="Y935" s="212"/>
      <c r="Z935" s="350"/>
      <c r="AA935" s="195" t="s">
        <v>5797</v>
      </c>
      <c r="AB935" s="132">
        <f>VLOOKUP(AA935,PLAN!B:V,20,0)</f>
        <v>46259</v>
      </c>
      <c r="AC935" s="132"/>
    </row>
    <row r="936" spans="3:29" s="79" customFormat="1" ht="21.6" customHeight="1">
      <c r="C936" s="249" t="str">
        <f t="shared" si="53"/>
        <v>Aug29-142</v>
      </c>
      <c r="D936" s="77">
        <f>IFERROR(VLOOKUP($AA936,PLAN!$B:$AA,3,0),"")</f>
        <v>11119423</v>
      </c>
      <c r="E936" s="77" t="str">
        <f>IFERROR(VLOOKUP($AA936,PLAN!$B:$AA,4,0),"")</f>
        <v>1911091-D-A</v>
      </c>
      <c r="F936" s="77" t="str">
        <f>IFERROR(VLOOKUP($AA936,PLAN!$B:$AA,5,0),"")</f>
        <v>HJ60SC400P10000 JP</v>
      </c>
      <c r="G936" s="77" t="str">
        <f>IFERROR(VLOOKUP($AA936,PLAN!$B:$AA,2,0),"")</f>
        <v>1001950291</v>
      </c>
      <c r="H936" s="113">
        <f>IFERROR(VLOOKUP($AA936,PLAN!$B:$AA,7,0),"")</f>
        <v>46263</v>
      </c>
      <c r="I936" s="77" t="str">
        <f>IFERROR(VLOOKUP($AA936,PLAN!$B:$AA,8,0),"")</f>
        <v>0103617981</v>
      </c>
      <c r="J936" s="77" t="str">
        <f>IFERROR(VLOOKUP($AA936,PLAN!$B:$AA,9,0),"")</f>
        <v>260818C30A</v>
      </c>
      <c r="K936" s="77">
        <f>IFERROR(VLOOKUP($AA936,PLAN!$B:$AA,10,0),"")</f>
        <v>15</v>
      </c>
      <c r="L936" s="77" t="str">
        <f>IFERROR(VLOOKUP($AA936,PLAN!$B:$AA,15,0),"")</f>
        <v>JAPAN</v>
      </c>
      <c r="M936" s="77">
        <f>IFERROR(VLOOKUP($AA936,PLAN!$B:$AA,18,0),"")</f>
        <v>0</v>
      </c>
      <c r="N936" s="227">
        <f>IFERROR(VLOOKUP($AA936,PLAN!$B:$AA,19,0),"")</f>
        <v>0</v>
      </c>
      <c r="O936" s="77" t="str">
        <f>IFERROR(VLOOKUP($AA936,PLAN!$B:$AA,12,0),"")</f>
        <v>2112093-0-C</v>
      </c>
      <c r="P936" s="77">
        <f>IFERROR(VLOOKUP($AA936,PLAN!$B:$AA,11,0),"")</f>
        <v>12116058</v>
      </c>
      <c r="Q936" s="349" t="s">
        <v>5907</v>
      </c>
      <c r="R936" s="158" t="s">
        <v>5908</v>
      </c>
      <c r="S936" s="149">
        <f t="shared" si="54"/>
        <v>15</v>
      </c>
      <c r="T936" s="131"/>
      <c r="U936" s="78">
        <f>IFERROR(VLOOKUP($AA936,PLAN!$B:$AA,21,0),"")</f>
        <v>46259</v>
      </c>
      <c r="V936" s="78" t="str">
        <f>IFERROR(VLOOKUP($AA936,PLAN!$B:$AA,22,0),"")</f>
        <v>M9</v>
      </c>
      <c r="W936" s="232"/>
      <c r="X936" s="233"/>
      <c r="Y936" s="212"/>
      <c r="Z936" s="350"/>
      <c r="AA936" s="195" t="s">
        <v>5798</v>
      </c>
      <c r="AB936" s="132">
        <f>VLOOKUP(AA936,PLAN!B:V,20,0)</f>
        <v>46259</v>
      </c>
      <c r="AC936" s="132"/>
    </row>
    <row r="937" spans="3:29" s="79" customFormat="1" ht="21.6" customHeight="1">
      <c r="C937" s="249" t="str">
        <f t="shared" si="53"/>
        <v>Aug29-143</v>
      </c>
      <c r="D937" s="77">
        <f>IFERROR(VLOOKUP($AA937,PLAN!$B:$AA,3,0),"")</f>
        <v>11119445</v>
      </c>
      <c r="E937" s="77" t="str">
        <f>IFERROR(VLOOKUP($AA937,PLAN!$B:$AA,4,0),"")</f>
        <v>1911111-D-A</v>
      </c>
      <c r="F937" s="77" t="str">
        <f>IFERROR(VLOOKUP($AA937,PLAN!$B:$AA,5,0),"")</f>
        <v>HJ70AL102P09020 JP</v>
      </c>
      <c r="G937" s="77" t="str">
        <f>IFERROR(VLOOKUP($AA937,PLAN!$B:$AA,2,0),"")</f>
        <v>1001950292</v>
      </c>
      <c r="H937" s="113">
        <f>IFERROR(VLOOKUP($AA937,PLAN!$B:$AA,7,0),"")</f>
        <v>46263</v>
      </c>
      <c r="I937" s="77" t="str">
        <f>IFERROR(VLOOKUP($AA937,PLAN!$B:$AA,8,0),"")</f>
        <v>0103617982</v>
      </c>
      <c r="J937" s="77" t="str">
        <f>IFERROR(VLOOKUP($AA937,PLAN!$B:$AA,9,0),"")</f>
        <v>260818C31A</v>
      </c>
      <c r="K937" s="77">
        <f>IFERROR(VLOOKUP($AA937,PLAN!$B:$AA,10,0),"")</f>
        <v>21</v>
      </c>
      <c r="L937" s="77" t="str">
        <f>IFERROR(VLOOKUP($AA937,PLAN!$B:$AA,15,0),"")</f>
        <v>JAPAN</v>
      </c>
      <c r="M937" s="77">
        <f>IFERROR(VLOOKUP($AA937,PLAN!$B:$AA,18,0),"")</f>
        <v>0</v>
      </c>
      <c r="N937" s="227">
        <f>IFERROR(VLOOKUP($AA937,PLAN!$B:$AA,19,0),"")</f>
        <v>0</v>
      </c>
      <c r="O937" s="77" t="str">
        <f>IFERROR(VLOOKUP($AA937,PLAN!$B:$AA,12,0),"")</f>
        <v>2112113-0-C</v>
      </c>
      <c r="P937" s="77">
        <f>IFERROR(VLOOKUP($AA937,PLAN!$B:$AA,11,0),"")</f>
        <v>12116080</v>
      </c>
      <c r="Q937" s="349" t="s">
        <v>5909</v>
      </c>
      <c r="R937" s="158" t="s">
        <v>5910</v>
      </c>
      <c r="S937" s="149">
        <f t="shared" si="54"/>
        <v>21</v>
      </c>
      <c r="T937" s="131"/>
      <c r="U937" s="78">
        <f>IFERROR(VLOOKUP($AA937,PLAN!$B:$AA,21,0),"")</f>
        <v>46259</v>
      </c>
      <c r="V937" s="78" t="str">
        <f>IFERROR(VLOOKUP($AA937,PLAN!$B:$AA,22,0),"")</f>
        <v>M9</v>
      </c>
      <c r="W937" s="232"/>
      <c r="X937" s="233"/>
      <c r="Y937" s="212"/>
      <c r="Z937" s="350"/>
      <c r="AA937" s="195" t="s">
        <v>5799</v>
      </c>
      <c r="AB937" s="132">
        <f>VLOOKUP(AA937,PLAN!B:V,20,0)</f>
        <v>46259</v>
      </c>
      <c r="AC937" s="132"/>
    </row>
    <row r="938" spans="3:29" s="79" customFormat="1" ht="21.6" customHeight="1">
      <c r="C938" s="249" t="str">
        <f t="shared" si="53"/>
        <v>Aug29-144</v>
      </c>
      <c r="D938" s="77">
        <f>IFERROR(VLOOKUP($AA938,PLAN!$B:$AA,3,0),"")</f>
        <v>11119505</v>
      </c>
      <c r="E938" s="77" t="str">
        <f>IFERROR(VLOOKUP($AA938,PLAN!$B:$AA,4,0),"")</f>
        <v>1911171-D-A</v>
      </c>
      <c r="F938" s="77" t="str">
        <f>IFERROR(VLOOKUP($AA938,PLAN!$B:$AA,5,0),"")</f>
        <v>HJ70JR352P10020 JP</v>
      </c>
      <c r="G938" s="77" t="str">
        <f>IFERROR(VLOOKUP($AA938,PLAN!$B:$AA,2,0),"")</f>
        <v>1001950293</v>
      </c>
      <c r="H938" s="113">
        <f>IFERROR(VLOOKUP($AA938,PLAN!$B:$AA,7,0),"")</f>
        <v>46263</v>
      </c>
      <c r="I938" s="77" t="str">
        <f>IFERROR(VLOOKUP($AA938,PLAN!$B:$AA,8,0),"")</f>
        <v>0103617983</v>
      </c>
      <c r="J938" s="77" t="str">
        <f>IFERROR(VLOOKUP($AA938,PLAN!$B:$AA,9,0),"")</f>
        <v>260818C32A</v>
      </c>
      <c r="K938" s="77">
        <f>IFERROR(VLOOKUP($AA938,PLAN!$B:$AA,10,0),"")</f>
        <v>21</v>
      </c>
      <c r="L938" s="77" t="str">
        <f>IFERROR(VLOOKUP($AA938,PLAN!$B:$AA,15,0),"")</f>
        <v>JAPAN</v>
      </c>
      <c r="M938" s="77">
        <f>IFERROR(VLOOKUP($AA938,PLAN!$B:$AA,18,0),"")</f>
        <v>0</v>
      </c>
      <c r="N938" s="227">
        <f>IFERROR(VLOOKUP($AA938,PLAN!$B:$AA,19,0),"")</f>
        <v>0</v>
      </c>
      <c r="O938" s="77" t="str">
        <f>IFERROR(VLOOKUP($AA938,PLAN!$B:$AA,12,0),"")</f>
        <v>2112173-0-C</v>
      </c>
      <c r="P938" s="77">
        <f>IFERROR(VLOOKUP($AA938,PLAN!$B:$AA,11,0),"")</f>
        <v>12116140</v>
      </c>
      <c r="Q938" s="349" t="s">
        <v>5911</v>
      </c>
      <c r="R938" s="158" t="s">
        <v>5912</v>
      </c>
      <c r="S938" s="149">
        <f t="shared" si="54"/>
        <v>21</v>
      </c>
      <c r="T938" s="131"/>
      <c r="U938" s="78">
        <f>IFERROR(VLOOKUP($AA938,PLAN!$B:$AA,21,0),"")</f>
        <v>46259</v>
      </c>
      <c r="V938" s="78" t="str">
        <f>IFERROR(VLOOKUP($AA938,PLAN!$B:$AA,22,0),"")</f>
        <v>M9</v>
      </c>
      <c r="W938" s="232"/>
      <c r="X938" s="233"/>
      <c r="Y938" s="212"/>
      <c r="Z938" s="350"/>
      <c r="AA938" s="195" t="s">
        <v>5800</v>
      </c>
      <c r="AB938" s="132">
        <f>VLOOKUP(AA938,PLAN!B:V,20,0)</f>
        <v>46259</v>
      </c>
      <c r="AC938" s="132"/>
    </row>
    <row r="939" spans="3:29" s="79" customFormat="1" ht="21.6" customHeight="1">
      <c r="C939" s="249" t="str">
        <f t="shared" si="53"/>
        <v>Aug29-145</v>
      </c>
      <c r="D939" s="77">
        <f>IFERROR(VLOOKUP($AA939,PLAN!$B:$AA,3,0),"")</f>
        <v>11119377</v>
      </c>
      <c r="E939" s="77" t="str">
        <f>IFERROR(VLOOKUP($AA939,PLAN!$B:$AA,4,0),"")</f>
        <v>1911045-D-A</v>
      </c>
      <c r="F939" s="77" t="str">
        <f>IFERROR(VLOOKUP($AA939,PLAN!$B:$AA,5,0),"")</f>
        <v>HJ60JL402P10020 JP</v>
      </c>
      <c r="G939" s="77" t="str">
        <f>IFERROR(VLOOKUP($AA939,PLAN!$B:$AA,2,0),"")</f>
        <v>1001950294</v>
      </c>
      <c r="H939" s="113">
        <f>IFERROR(VLOOKUP($AA939,PLAN!$B:$AA,7,0),"")</f>
        <v>46263</v>
      </c>
      <c r="I939" s="77" t="str">
        <f>IFERROR(VLOOKUP($AA939,PLAN!$B:$AA,8,0),"")</f>
        <v>0103617984</v>
      </c>
      <c r="J939" s="77" t="str">
        <f>IFERROR(VLOOKUP($AA939,PLAN!$B:$AA,9,0),"")</f>
        <v>260818C33A</v>
      </c>
      <c r="K939" s="77">
        <f>IFERROR(VLOOKUP($AA939,PLAN!$B:$AA,10,0),"")</f>
        <v>22</v>
      </c>
      <c r="L939" s="77" t="str">
        <f>IFERROR(VLOOKUP($AA939,PLAN!$B:$AA,15,0),"")</f>
        <v>JAPAN</v>
      </c>
      <c r="M939" s="77">
        <f>IFERROR(VLOOKUP($AA939,PLAN!$B:$AA,18,0),"")</f>
        <v>0</v>
      </c>
      <c r="N939" s="227">
        <f>IFERROR(VLOOKUP($AA939,PLAN!$B:$AA,19,0),"")</f>
        <v>0</v>
      </c>
      <c r="O939" s="77" t="str">
        <f>IFERROR(VLOOKUP($AA939,PLAN!$B:$AA,12,0),"")</f>
        <v>2112047-0-C</v>
      </c>
      <c r="P939" s="77">
        <f>IFERROR(VLOOKUP($AA939,PLAN!$B:$AA,11,0),"")</f>
        <v>12116012</v>
      </c>
      <c r="Q939" s="349" t="s">
        <v>4326</v>
      </c>
      <c r="R939" s="149" t="s">
        <v>4327</v>
      </c>
      <c r="S939" s="149">
        <f t="shared" si="54"/>
        <v>22</v>
      </c>
      <c r="T939" s="131"/>
      <c r="U939" s="78">
        <f>IFERROR(VLOOKUP($AA939,PLAN!$B:$AA,21,0),"")</f>
        <v>46259</v>
      </c>
      <c r="V939" s="78" t="str">
        <f>IFERROR(VLOOKUP($AA939,PLAN!$B:$AA,22,0),"")</f>
        <v>M9</v>
      </c>
      <c r="W939" s="232"/>
      <c r="X939" s="233"/>
      <c r="Y939" s="212"/>
      <c r="Z939" s="350"/>
      <c r="AA939" s="195" t="s">
        <v>5801</v>
      </c>
      <c r="AB939" s="132">
        <f>VLOOKUP(AA939,PLAN!B:V,20,0)</f>
        <v>46259</v>
      </c>
      <c r="AC939" s="132"/>
    </row>
    <row r="940" spans="3:29" s="79" customFormat="1" ht="21.6" customHeight="1">
      <c r="C940" s="249" t="str">
        <f t="shared" si="53"/>
        <v>Aug29-146</v>
      </c>
      <c r="D940" s="77">
        <f>IFERROR(VLOOKUP($AA940,PLAN!$B:$AA,3,0),"")</f>
        <v>11119416</v>
      </c>
      <c r="E940" s="77" t="str">
        <f>IFERROR(VLOOKUP($AA940,PLAN!$B:$AA,4,0),"")</f>
        <v>1911084-E-A</v>
      </c>
      <c r="F940" s="77" t="str">
        <f>IFERROR(VLOOKUP($AA940,PLAN!$B:$AA,5,0),"")</f>
        <v>HJ60AL102P10022 JP</v>
      </c>
      <c r="G940" s="77" t="str">
        <f>IFERROR(VLOOKUP($AA940,PLAN!$B:$AA,2,0),"")</f>
        <v>1001950295</v>
      </c>
      <c r="H940" s="113">
        <f>IFERROR(VLOOKUP($AA940,PLAN!$B:$AA,7,0),"")</f>
        <v>46263</v>
      </c>
      <c r="I940" s="77" t="str">
        <f>IFERROR(VLOOKUP($AA940,PLAN!$B:$AA,8,0),"")</f>
        <v>0103617985</v>
      </c>
      <c r="J940" s="77" t="str">
        <f>IFERROR(VLOOKUP($AA940,PLAN!$B:$AA,9,0),"")</f>
        <v>260818C34A</v>
      </c>
      <c r="K940" s="77">
        <f>IFERROR(VLOOKUP($AA940,PLAN!$B:$AA,10,0),"")</f>
        <v>29</v>
      </c>
      <c r="L940" s="77" t="str">
        <f>IFERROR(VLOOKUP($AA940,PLAN!$B:$AA,15,0),"")</f>
        <v>JAPAN</v>
      </c>
      <c r="M940" s="77">
        <f>IFERROR(VLOOKUP($AA940,PLAN!$B:$AA,18,0),"")</f>
        <v>0</v>
      </c>
      <c r="N940" s="227">
        <f>IFERROR(VLOOKUP($AA940,PLAN!$B:$AA,19,0),"")</f>
        <v>0</v>
      </c>
      <c r="O940" s="77" t="str">
        <f>IFERROR(VLOOKUP($AA940,PLAN!$B:$AA,12,0),"")</f>
        <v>2112086-0-C</v>
      </c>
      <c r="P940" s="77">
        <f>IFERROR(VLOOKUP($AA940,PLAN!$B:$AA,11,0),"")</f>
        <v>12116051</v>
      </c>
      <c r="Q940" s="277" t="s">
        <v>5913</v>
      </c>
      <c r="R940" s="149" t="s">
        <v>5914</v>
      </c>
      <c r="S940" s="149">
        <f t="shared" si="54"/>
        <v>29</v>
      </c>
      <c r="T940" s="131"/>
      <c r="U940" s="78">
        <f>IFERROR(VLOOKUP($AA940,PLAN!$B:$AA,21,0),"")</f>
        <v>46259</v>
      </c>
      <c r="V940" s="78" t="str">
        <f>IFERROR(VLOOKUP($AA940,PLAN!$B:$AA,22,0),"")</f>
        <v>M9</v>
      </c>
      <c r="W940" s="232"/>
      <c r="X940" s="233"/>
      <c r="Y940" s="212"/>
      <c r="Z940" s="350"/>
      <c r="AA940" s="195" t="s">
        <v>5802</v>
      </c>
      <c r="AB940" s="132">
        <f>VLOOKUP(AA940,PLAN!B:V,20,0)</f>
        <v>46259</v>
      </c>
      <c r="AC940" s="132"/>
    </row>
    <row r="941" spans="3:29" s="79" customFormat="1" ht="21.6" customHeight="1">
      <c r="C941" s="249" t="str">
        <f t="shared" si="53"/>
        <v>Aug29-147</v>
      </c>
      <c r="D941" s="77">
        <f>IFERROR(VLOOKUP($AA941,PLAN!$B:$AA,3,0),"")</f>
        <v>11119413</v>
      </c>
      <c r="E941" s="77" t="str">
        <f>IFERROR(VLOOKUP($AA941,PLAN!$B:$AA,4,0),"")</f>
        <v>1911081-D-A</v>
      </c>
      <c r="F941" s="77" t="str">
        <f>IFERROR(VLOOKUP($AA941,PLAN!$B:$AA,5,0),"")</f>
        <v>HJ60AL070P10022 JP</v>
      </c>
      <c r="G941" s="77" t="str">
        <f>IFERROR(VLOOKUP($AA941,PLAN!$B:$AA,2,0),"")</f>
        <v>1001950296</v>
      </c>
      <c r="H941" s="113">
        <f>IFERROR(VLOOKUP($AA941,PLAN!$B:$AA,7,0),"")</f>
        <v>46263</v>
      </c>
      <c r="I941" s="77" t="str">
        <f>IFERROR(VLOOKUP($AA941,PLAN!$B:$AA,8,0),"")</f>
        <v>0103617986</v>
      </c>
      <c r="J941" s="77" t="str">
        <f>IFERROR(VLOOKUP($AA941,PLAN!$B:$AA,9,0),"")</f>
        <v>260818C35A</v>
      </c>
      <c r="K941" s="77">
        <f>IFERROR(VLOOKUP($AA941,PLAN!$B:$AA,10,0),"")</f>
        <v>31</v>
      </c>
      <c r="L941" s="77" t="str">
        <f>IFERROR(VLOOKUP($AA941,PLAN!$B:$AA,15,0),"")</f>
        <v>JAPAN</v>
      </c>
      <c r="M941" s="77">
        <f>IFERROR(VLOOKUP($AA941,PLAN!$B:$AA,18,0),"")</f>
        <v>0</v>
      </c>
      <c r="N941" s="227">
        <f>IFERROR(VLOOKUP($AA941,PLAN!$B:$AA,19,0),"")</f>
        <v>0</v>
      </c>
      <c r="O941" s="77" t="str">
        <f>IFERROR(VLOOKUP($AA941,PLAN!$B:$AA,12,0),"")</f>
        <v>2112083-0-C</v>
      </c>
      <c r="P941" s="77">
        <f>IFERROR(VLOOKUP($AA941,PLAN!$B:$AA,11,0),"")</f>
        <v>12116048</v>
      </c>
      <c r="Q941" s="148" t="s">
        <v>4332</v>
      </c>
      <c r="R941" s="149" t="s">
        <v>4333</v>
      </c>
      <c r="S941" s="149">
        <f t="shared" si="54"/>
        <v>31</v>
      </c>
      <c r="T941" s="131"/>
      <c r="U941" s="78">
        <f>IFERROR(VLOOKUP($AA941,PLAN!$B:$AA,21,0),"")</f>
        <v>46259</v>
      </c>
      <c r="V941" s="78" t="str">
        <f>IFERROR(VLOOKUP($AA941,PLAN!$B:$AA,22,0),"")</f>
        <v>M9</v>
      </c>
      <c r="W941" s="232"/>
      <c r="X941" s="233"/>
      <c r="Y941" s="212"/>
      <c r="Z941" s="350"/>
      <c r="AA941" s="195" t="s">
        <v>5803</v>
      </c>
      <c r="AB941" s="132">
        <f>VLOOKUP(AA941,PLAN!B:V,20,0)</f>
        <v>46259</v>
      </c>
      <c r="AC941" s="132"/>
    </row>
    <row r="942" spans="3:29" s="79" customFormat="1" ht="21.6" customHeight="1">
      <c r="C942" s="249" t="str">
        <f t="shared" si="53"/>
        <v>Aug29-148</v>
      </c>
      <c r="D942" s="77">
        <f>IFERROR(VLOOKUP($AA942,PLAN!$B:$AA,3,0),"")</f>
        <v>11119444</v>
      </c>
      <c r="E942" s="77" t="str">
        <f>IFERROR(VLOOKUP($AA942,PLAN!$B:$AA,4,0),"")</f>
        <v>1911110-D-A</v>
      </c>
      <c r="F942" s="77" t="str">
        <f>IFERROR(VLOOKUP($AA942,PLAN!$B:$AA,5,0),"")</f>
        <v>HJ70AL102P10020 JP</v>
      </c>
      <c r="G942" s="77" t="str">
        <f>IFERROR(VLOOKUP($AA942,PLAN!$B:$AA,2,0),"")</f>
        <v>1001950297</v>
      </c>
      <c r="H942" s="113">
        <f>IFERROR(VLOOKUP($AA942,PLAN!$B:$AA,7,0),"")</f>
        <v>46263</v>
      </c>
      <c r="I942" s="77" t="str">
        <f>IFERROR(VLOOKUP($AA942,PLAN!$B:$AA,8,0),"")</f>
        <v>0103617987</v>
      </c>
      <c r="J942" s="77" t="str">
        <f>IFERROR(VLOOKUP($AA942,PLAN!$B:$AA,9,0),"")</f>
        <v>260818C36A</v>
      </c>
      <c r="K942" s="77">
        <f>IFERROR(VLOOKUP($AA942,PLAN!$B:$AA,10,0),"")</f>
        <v>33</v>
      </c>
      <c r="L942" s="77" t="str">
        <f>IFERROR(VLOOKUP($AA942,PLAN!$B:$AA,15,0),"")</f>
        <v>JAPAN</v>
      </c>
      <c r="M942" s="77">
        <f>IFERROR(VLOOKUP($AA942,PLAN!$B:$AA,18,0),"")</f>
        <v>0</v>
      </c>
      <c r="N942" s="227">
        <f>IFERROR(VLOOKUP($AA942,PLAN!$B:$AA,19,0),"")</f>
        <v>0</v>
      </c>
      <c r="O942" s="77" t="str">
        <f>IFERROR(VLOOKUP($AA942,PLAN!$B:$AA,12,0),"")</f>
        <v>2112112-0-C</v>
      </c>
      <c r="P942" s="77">
        <f>IFERROR(VLOOKUP($AA942,PLAN!$B:$AA,11,0),"")</f>
        <v>12116079</v>
      </c>
      <c r="Q942" s="349" t="s">
        <v>5305</v>
      </c>
      <c r="R942" s="158" t="s">
        <v>5306</v>
      </c>
      <c r="S942" s="149">
        <f t="shared" si="54"/>
        <v>33</v>
      </c>
      <c r="T942" s="131"/>
      <c r="U942" s="78">
        <f>IFERROR(VLOOKUP($AA942,PLAN!$B:$AA,21,0),"")</f>
        <v>46259</v>
      </c>
      <c r="V942" s="78" t="str">
        <f>IFERROR(VLOOKUP($AA942,PLAN!$B:$AA,22,0),"")</f>
        <v>M9</v>
      </c>
      <c r="W942" s="232"/>
      <c r="X942" s="233"/>
      <c r="Y942" s="212"/>
      <c r="Z942" s="350"/>
      <c r="AA942" s="195" t="s">
        <v>5804</v>
      </c>
      <c r="AB942" s="132">
        <f>VLOOKUP(AA942,PLAN!B:V,20,0)</f>
        <v>46259</v>
      </c>
      <c r="AC942" s="132"/>
    </row>
    <row r="943" spans="3:29" s="79" customFormat="1" ht="21.6" customHeight="1">
      <c r="C943" s="249" t="str">
        <f t="shared" si="53"/>
        <v>Aug29-149</v>
      </c>
      <c r="D943" s="77">
        <f>IFERROR(VLOOKUP($AA943,PLAN!$B:$AA,3,0),"")</f>
        <v>11119393</v>
      </c>
      <c r="E943" s="77" t="str">
        <f>IFERROR(VLOOKUP($AA943,PLAN!$B:$AA,4,0),"")</f>
        <v>1911061-D-A</v>
      </c>
      <c r="F943" s="77" t="str">
        <f>IFERROR(VLOOKUP($AA943,PLAN!$B:$AA,5,0),"")</f>
        <v>HJ60JR402P10020 JP</v>
      </c>
      <c r="G943" s="77" t="str">
        <f>IFERROR(VLOOKUP($AA943,PLAN!$B:$AA,2,0),"")</f>
        <v>1001950298</v>
      </c>
      <c r="H943" s="113">
        <f>IFERROR(VLOOKUP($AA943,PLAN!$B:$AA,7,0),"")</f>
        <v>46263</v>
      </c>
      <c r="I943" s="77" t="str">
        <f>IFERROR(VLOOKUP($AA943,PLAN!$B:$AA,8,0),"")</f>
        <v>0103617988</v>
      </c>
      <c r="J943" s="77" t="str">
        <f>IFERROR(VLOOKUP($AA943,PLAN!$B:$AA,9,0),"")</f>
        <v>260818C37A</v>
      </c>
      <c r="K943" s="77">
        <f>IFERROR(VLOOKUP($AA943,PLAN!$B:$AA,10,0),"")</f>
        <v>37</v>
      </c>
      <c r="L943" s="77" t="str">
        <f>IFERROR(VLOOKUP($AA943,PLAN!$B:$AA,15,0),"")</f>
        <v>JAPAN</v>
      </c>
      <c r="M943" s="77">
        <f>IFERROR(VLOOKUP($AA943,PLAN!$B:$AA,18,0),"")</f>
        <v>0</v>
      </c>
      <c r="N943" s="227">
        <f>IFERROR(VLOOKUP($AA943,PLAN!$B:$AA,19,0),"")</f>
        <v>0</v>
      </c>
      <c r="O943" s="77" t="str">
        <f>IFERROR(VLOOKUP($AA943,PLAN!$B:$AA,12,0),"")</f>
        <v>2112063-0-C</v>
      </c>
      <c r="P943" s="77">
        <f>IFERROR(VLOOKUP($AA943,PLAN!$B:$AA,11,0),"")</f>
        <v>12116028</v>
      </c>
      <c r="Q943" s="349" t="s">
        <v>3954</v>
      </c>
      <c r="R943" s="149" t="s">
        <v>3955</v>
      </c>
      <c r="S943" s="149">
        <f t="shared" si="54"/>
        <v>37</v>
      </c>
      <c r="T943" s="131"/>
      <c r="U943" s="78">
        <f>IFERROR(VLOOKUP($AA943,PLAN!$B:$AA,21,0),"")</f>
        <v>46259</v>
      </c>
      <c r="V943" s="78" t="str">
        <f>IFERROR(VLOOKUP($AA943,PLAN!$B:$AA,22,0),"")</f>
        <v>M9</v>
      </c>
      <c r="W943" s="232"/>
      <c r="X943" s="233"/>
      <c r="Y943" s="212"/>
      <c r="Z943" s="350"/>
      <c r="AA943" s="195" t="s">
        <v>5805</v>
      </c>
      <c r="AB943" s="132">
        <f>VLOOKUP(AA943,PLAN!B:V,20,0)</f>
        <v>46259</v>
      </c>
      <c r="AC943" s="132"/>
    </row>
    <row r="944" spans="3:29" s="79" customFormat="1" ht="21.6" customHeight="1">
      <c r="C944" s="249" t="str">
        <f t="shared" si="53"/>
        <v>Aug29-150</v>
      </c>
      <c r="D944" s="77">
        <f>IFERROR(VLOOKUP($AA944,PLAN!$B:$AA,3,0),"")</f>
        <v>11119375</v>
      </c>
      <c r="E944" s="77" t="str">
        <f>IFERROR(VLOOKUP($AA944,PLAN!$B:$AA,4,0),"")</f>
        <v>1911043-E-A</v>
      </c>
      <c r="F944" s="77" t="str">
        <f>IFERROR(VLOOKUP($AA944,PLAN!$B:$AA,5,0),"")</f>
        <v>HJ60JL400P10000 JP</v>
      </c>
      <c r="G944" s="77" t="str">
        <f>IFERROR(VLOOKUP($AA944,PLAN!$B:$AA,2,0),"")</f>
        <v>1001950299</v>
      </c>
      <c r="H944" s="113">
        <f>IFERROR(VLOOKUP($AA944,PLAN!$B:$AA,7,0),"")</f>
        <v>46263</v>
      </c>
      <c r="I944" s="77" t="str">
        <f>IFERROR(VLOOKUP($AA944,PLAN!$B:$AA,8,0),"")</f>
        <v>0103617989</v>
      </c>
      <c r="J944" s="77" t="str">
        <f>IFERROR(VLOOKUP($AA944,PLAN!$B:$AA,9,0),"")</f>
        <v>260818C38A</v>
      </c>
      <c r="K944" s="77">
        <f>IFERROR(VLOOKUP($AA944,PLAN!$B:$AA,10,0),"")</f>
        <v>42</v>
      </c>
      <c r="L944" s="77" t="str">
        <f>IFERROR(VLOOKUP($AA944,PLAN!$B:$AA,15,0),"")</f>
        <v>JAPAN</v>
      </c>
      <c r="M944" s="77">
        <f>IFERROR(VLOOKUP($AA944,PLAN!$B:$AA,18,0),"")</f>
        <v>0</v>
      </c>
      <c r="N944" s="227">
        <f>IFERROR(VLOOKUP($AA944,PLAN!$B:$AA,19,0),"")</f>
        <v>0</v>
      </c>
      <c r="O944" s="77" t="str">
        <f>IFERROR(VLOOKUP($AA944,PLAN!$B:$AA,12,0),"")</f>
        <v>2112045-0-C</v>
      </c>
      <c r="P944" s="77">
        <f>IFERROR(VLOOKUP($AA944,PLAN!$B:$AA,11,0),"")</f>
        <v>12116010</v>
      </c>
      <c r="Q944" s="277" t="s">
        <v>4318</v>
      </c>
      <c r="R944" s="149" t="s">
        <v>4319</v>
      </c>
      <c r="S944" s="149">
        <f t="shared" si="54"/>
        <v>42</v>
      </c>
      <c r="T944" s="131"/>
      <c r="U944" s="78">
        <f>IFERROR(VLOOKUP($AA944,PLAN!$B:$AA,21,0),"")</f>
        <v>46259</v>
      </c>
      <c r="V944" s="78" t="str">
        <f>IFERROR(VLOOKUP($AA944,PLAN!$B:$AA,22,0),"")</f>
        <v>M9</v>
      </c>
      <c r="W944" s="232"/>
      <c r="X944" s="233"/>
      <c r="Y944" s="212"/>
      <c r="Z944" s="350"/>
      <c r="AA944" s="195" t="s">
        <v>5806</v>
      </c>
      <c r="AB944" s="132">
        <f>VLOOKUP(AA944,PLAN!B:V,20,0)</f>
        <v>46259</v>
      </c>
      <c r="AC944" s="132"/>
    </row>
    <row r="945" spans="3:29" s="79" customFormat="1" ht="21.6" customHeight="1">
      <c r="C945" s="249" t="str">
        <f t="shared" si="53"/>
        <v>Aug29-151</v>
      </c>
      <c r="D945" s="77">
        <f>IFERROR(VLOOKUP($AA945,PLAN!$B:$AA,3,0),"")</f>
        <v>11119415</v>
      </c>
      <c r="E945" s="77" t="str">
        <f>IFERROR(VLOOKUP($AA945,PLAN!$B:$AA,4,0),"")</f>
        <v>1911083-D-A</v>
      </c>
      <c r="F945" s="77" t="str">
        <f>IFERROR(VLOOKUP($AA945,PLAN!$B:$AA,5,0),"")</f>
        <v>HJ60AL100P10022 JP</v>
      </c>
      <c r="G945" s="77" t="str">
        <f>IFERROR(VLOOKUP($AA945,PLAN!$B:$AA,2,0),"")</f>
        <v>1001950300</v>
      </c>
      <c r="H945" s="113">
        <f>IFERROR(VLOOKUP($AA945,PLAN!$B:$AA,7,0),"")</f>
        <v>46263</v>
      </c>
      <c r="I945" s="77" t="str">
        <f>IFERROR(VLOOKUP($AA945,PLAN!$B:$AA,8,0),"")</f>
        <v>0103617990</v>
      </c>
      <c r="J945" s="77" t="str">
        <f>IFERROR(VLOOKUP($AA945,PLAN!$B:$AA,9,0),"")</f>
        <v>260818C39A</v>
      </c>
      <c r="K945" s="77">
        <f>IFERROR(VLOOKUP($AA945,PLAN!$B:$AA,10,0),"")</f>
        <v>54</v>
      </c>
      <c r="L945" s="77" t="str">
        <f>IFERROR(VLOOKUP($AA945,PLAN!$B:$AA,15,0),"")</f>
        <v>JAPAN</v>
      </c>
      <c r="M945" s="77">
        <f>IFERROR(VLOOKUP($AA945,PLAN!$B:$AA,18,0),"")</f>
        <v>0</v>
      </c>
      <c r="N945" s="227">
        <f>IFERROR(VLOOKUP($AA945,PLAN!$B:$AA,19,0),"")</f>
        <v>0</v>
      </c>
      <c r="O945" s="77" t="str">
        <f>IFERROR(VLOOKUP($AA945,PLAN!$B:$AA,12,0),"")</f>
        <v>2112085-0-C</v>
      </c>
      <c r="P945" s="77">
        <f>IFERROR(VLOOKUP($AA945,PLAN!$B:$AA,11,0),"")</f>
        <v>12116050</v>
      </c>
      <c r="Q945" s="349" t="s">
        <v>3403</v>
      </c>
      <c r="R945" s="149" t="s">
        <v>3404</v>
      </c>
      <c r="S945" s="223">
        <v>26</v>
      </c>
      <c r="T945" s="131"/>
      <c r="U945" s="78">
        <f>IFERROR(VLOOKUP($AA945,PLAN!$B:$AA,21,0),"")</f>
        <v>46259</v>
      </c>
      <c r="V945" s="78" t="str">
        <f>IFERROR(VLOOKUP($AA945,PLAN!$B:$AA,22,0),"")</f>
        <v>M9</v>
      </c>
      <c r="W945" s="232"/>
      <c r="X945" s="233"/>
      <c r="Y945" s="212"/>
      <c r="Z945" s="350"/>
      <c r="AA945" s="195" t="s">
        <v>5807</v>
      </c>
      <c r="AB945" s="132">
        <f>VLOOKUP(AA945,PLAN!B:V,20,0)</f>
        <v>46259</v>
      </c>
      <c r="AC945" s="132"/>
    </row>
    <row r="946" spans="3:29" s="79" customFormat="1" ht="21.6" customHeight="1">
      <c r="C946" s="249"/>
      <c r="D946" s="77"/>
      <c r="E946" s="77"/>
      <c r="F946" s="77"/>
      <c r="G946" s="77"/>
      <c r="H946" s="113"/>
      <c r="I946" s="77"/>
      <c r="J946" s="77"/>
      <c r="K946" s="77"/>
      <c r="L946" s="77"/>
      <c r="M946" s="77"/>
      <c r="N946" s="227"/>
      <c r="O946" s="77"/>
      <c r="P946" s="77"/>
      <c r="Q946" s="349" t="s">
        <v>5915</v>
      </c>
      <c r="R946" s="149" t="s">
        <v>5916</v>
      </c>
      <c r="S946" s="223">
        <f>K945-S945</f>
        <v>28</v>
      </c>
      <c r="T946" s="131"/>
      <c r="U946" s="78"/>
      <c r="V946" s="78"/>
      <c r="W946" s="232"/>
      <c r="X946" s="233"/>
      <c r="Y946" s="212"/>
      <c r="Z946" s="350"/>
      <c r="AA946" s="195"/>
      <c r="AB946" s="132"/>
      <c r="AC946" s="132"/>
    </row>
    <row r="947" spans="3:29" s="79" customFormat="1" ht="21.6" customHeight="1">
      <c r="C947" s="249" t="str">
        <f t="shared" si="53"/>
        <v>Aug29-152</v>
      </c>
      <c r="D947" s="77">
        <f>IFERROR(VLOOKUP($AA947,PLAN!$B:$AA,3,0),"")</f>
        <v>11119371</v>
      </c>
      <c r="E947" s="77" t="str">
        <f>IFERROR(VLOOKUP($AA947,PLAN!$B:$AA,4,0),"")</f>
        <v>1911039-E-A</v>
      </c>
      <c r="F947" s="77" t="str">
        <f>IFERROR(VLOOKUP($AA947,PLAN!$B:$AA,5,0),"")</f>
        <v>HJ60JL350P10000 JP</v>
      </c>
      <c r="G947" s="77" t="str">
        <f>IFERROR(VLOOKUP($AA947,PLAN!$B:$AA,2,0),"")</f>
        <v>1001950301</v>
      </c>
      <c r="H947" s="113">
        <f>IFERROR(VLOOKUP($AA947,PLAN!$B:$AA,7,0),"")</f>
        <v>46263</v>
      </c>
      <c r="I947" s="77" t="str">
        <f>IFERROR(VLOOKUP($AA947,PLAN!$B:$AA,8,0),"")</f>
        <v>0103617991</v>
      </c>
      <c r="J947" s="77" t="str">
        <f>IFERROR(VLOOKUP($AA947,PLAN!$B:$AA,9,0),"")</f>
        <v>260818C40A</v>
      </c>
      <c r="K947" s="77">
        <f>IFERROR(VLOOKUP($AA947,PLAN!$B:$AA,10,0),"")</f>
        <v>87</v>
      </c>
      <c r="L947" s="77" t="str">
        <f>IFERROR(VLOOKUP($AA947,PLAN!$B:$AA,15,0),"")</f>
        <v>JAPAN</v>
      </c>
      <c r="M947" s="77">
        <f>IFERROR(VLOOKUP($AA947,PLAN!$B:$AA,18,0),"")</f>
        <v>0</v>
      </c>
      <c r="N947" s="227">
        <f>IFERROR(VLOOKUP($AA947,PLAN!$B:$AA,19,0),"")</f>
        <v>0</v>
      </c>
      <c r="O947" s="77" t="str">
        <f>IFERROR(VLOOKUP($AA947,PLAN!$B:$AA,12,0),"")</f>
        <v>2112041-0-C</v>
      </c>
      <c r="P947" s="77">
        <f>IFERROR(VLOOKUP($AA947,PLAN!$B:$AA,11,0),"")</f>
        <v>12116006</v>
      </c>
      <c r="Q947" s="277" t="s">
        <v>3447</v>
      </c>
      <c r="R947" s="222" t="s">
        <v>3448</v>
      </c>
      <c r="S947" s="223">
        <v>9</v>
      </c>
      <c r="T947" s="131"/>
      <c r="U947" s="78">
        <f>IFERROR(VLOOKUP($AA947,PLAN!$B:$AA,21,0),"")</f>
        <v>46259</v>
      </c>
      <c r="V947" s="78" t="str">
        <f>IFERROR(VLOOKUP($AA947,PLAN!$B:$AA,22,0),"")</f>
        <v>M9</v>
      </c>
      <c r="W947" s="232"/>
      <c r="X947" s="233"/>
      <c r="Y947" s="212"/>
      <c r="Z947" s="350"/>
      <c r="AA947" s="195" t="s">
        <v>5808</v>
      </c>
      <c r="AB947" s="132">
        <f>VLOOKUP(AA947,PLAN!B:V,20,0)</f>
        <v>46259</v>
      </c>
      <c r="AC947" s="132"/>
    </row>
    <row r="948" spans="3:29" s="79" customFormat="1" ht="21.6" customHeight="1">
      <c r="C948" s="249"/>
      <c r="D948" s="77"/>
      <c r="E948" s="77"/>
      <c r="F948" s="77"/>
      <c r="G948" s="77"/>
      <c r="H948" s="113"/>
      <c r="I948" s="77"/>
      <c r="J948" s="77"/>
      <c r="K948" s="77"/>
      <c r="L948" s="77"/>
      <c r="M948" s="77"/>
      <c r="N948" s="227"/>
      <c r="O948" s="77"/>
      <c r="P948" s="77"/>
      <c r="Q948" s="349" t="s">
        <v>5917</v>
      </c>
      <c r="R948" s="149" t="s">
        <v>5918</v>
      </c>
      <c r="S948" s="223">
        <f>K947-S947</f>
        <v>78</v>
      </c>
      <c r="T948" s="131"/>
      <c r="U948" s="78"/>
      <c r="V948" s="78"/>
      <c r="W948" s="232"/>
      <c r="X948" s="233"/>
      <c r="Y948" s="212"/>
      <c r="Z948" s="350"/>
      <c r="AA948" s="195"/>
      <c r="AB948" s="132"/>
      <c r="AC948" s="132"/>
    </row>
    <row r="949" spans="3:29" s="79" customFormat="1" ht="21.6" customHeight="1">
      <c r="C949" s="249" t="str">
        <f t="shared" si="53"/>
        <v>Aug29-153</v>
      </c>
      <c r="D949" s="77">
        <f>IFERROR(VLOOKUP($AA949,PLAN!$B:$AA,3,0),"")</f>
        <v>11119541</v>
      </c>
      <c r="E949" s="77" t="str">
        <f>IFERROR(VLOOKUP($AA949,PLAN!$B:$AA,4,0),"")</f>
        <v>1911207-D-A</v>
      </c>
      <c r="F949" s="77" t="str">
        <f>IFERROR(VLOOKUP($AA949,PLAN!$B:$AA,5,0),"")</f>
        <v>HJ70AL102P10022 JP</v>
      </c>
      <c r="G949" s="77" t="str">
        <f>IFERROR(VLOOKUP($AA949,PLAN!$B:$AA,2,0),"")</f>
        <v>1001950302</v>
      </c>
      <c r="H949" s="113">
        <f>IFERROR(VLOOKUP($AA949,PLAN!$B:$AA,7,0),"")</f>
        <v>46263</v>
      </c>
      <c r="I949" s="77" t="str">
        <f>IFERROR(VLOOKUP($AA949,PLAN!$B:$AA,8,0),"")</f>
        <v>0103617992</v>
      </c>
      <c r="J949" s="77" t="str">
        <f>IFERROR(VLOOKUP($AA949,PLAN!$B:$AA,9,0),"")</f>
        <v>260818C41A</v>
      </c>
      <c r="K949" s="77">
        <f>IFERROR(VLOOKUP($AA949,PLAN!$B:$AA,10,0),"")</f>
        <v>91</v>
      </c>
      <c r="L949" s="77" t="str">
        <f>IFERROR(VLOOKUP($AA949,PLAN!$B:$AA,15,0),"")</f>
        <v>JAPAN</v>
      </c>
      <c r="M949" s="77">
        <f>IFERROR(VLOOKUP($AA949,PLAN!$B:$AA,18,0),"")</f>
        <v>0</v>
      </c>
      <c r="N949" s="227">
        <f>IFERROR(VLOOKUP($AA949,PLAN!$B:$AA,19,0),"")</f>
        <v>0</v>
      </c>
      <c r="O949" s="77" t="str">
        <f>IFERROR(VLOOKUP($AA949,PLAN!$B:$AA,12,0),"")</f>
        <v>2112209-0-C</v>
      </c>
      <c r="P949" s="77">
        <f>IFERROR(VLOOKUP($AA949,PLAN!$B:$AA,11,0),"")</f>
        <v>12116176</v>
      </c>
      <c r="Q949" s="349" t="s">
        <v>3769</v>
      </c>
      <c r="R949" s="149" t="s">
        <v>3770</v>
      </c>
      <c r="S949" s="149">
        <f t="shared" si="54"/>
        <v>91</v>
      </c>
      <c r="T949" s="131"/>
      <c r="U949" s="78">
        <f>IFERROR(VLOOKUP($AA949,PLAN!$B:$AA,21,0),"")</f>
        <v>46259</v>
      </c>
      <c r="V949" s="78" t="str">
        <f>IFERROR(VLOOKUP($AA949,PLAN!$B:$AA,22,0),"")</f>
        <v>M9</v>
      </c>
      <c r="W949" s="232"/>
      <c r="X949" s="233"/>
      <c r="Y949" s="212"/>
      <c r="Z949" s="350"/>
      <c r="AA949" s="195" t="s">
        <v>5809</v>
      </c>
      <c r="AB949" s="132">
        <f>VLOOKUP(AA949,PLAN!B:V,20,0)</f>
        <v>46259</v>
      </c>
      <c r="AC949" s="132"/>
    </row>
    <row r="950" spans="3:29" s="79" customFormat="1" ht="21.6" customHeight="1">
      <c r="C950" s="249" t="str">
        <f t="shared" si="53"/>
        <v>Aug29-154</v>
      </c>
      <c r="D950" s="77">
        <f>IFERROR(VLOOKUP($AA950,PLAN!$B:$AA,3,0),"")</f>
        <v>11119446</v>
      </c>
      <c r="E950" s="77" t="str">
        <f>IFERROR(VLOOKUP($AA950,PLAN!$B:$AA,4,0),"")</f>
        <v>1911112-D-A</v>
      </c>
      <c r="F950" s="77" t="str">
        <f>IFERROR(VLOOKUP($AA950,PLAN!$B:$AA,5,0),"")</f>
        <v>HJ70AL100P10021 JP</v>
      </c>
      <c r="G950" s="77" t="str">
        <f>IFERROR(VLOOKUP($AA950,PLAN!$B:$AA,2,0),"")</f>
        <v>1001950303</v>
      </c>
      <c r="H950" s="113">
        <f>IFERROR(VLOOKUP($AA950,PLAN!$B:$AA,7,0),"")</f>
        <v>46263</v>
      </c>
      <c r="I950" s="77" t="str">
        <f>IFERROR(VLOOKUP($AA950,PLAN!$B:$AA,8,0),"")</f>
        <v>0103617993</v>
      </c>
      <c r="J950" s="77" t="str">
        <f>IFERROR(VLOOKUP($AA950,PLAN!$B:$AA,9,0),"")</f>
        <v>260818C42A</v>
      </c>
      <c r="K950" s="77">
        <f>IFERROR(VLOOKUP($AA950,PLAN!$B:$AA,10,0),"")</f>
        <v>1</v>
      </c>
      <c r="L950" s="77" t="str">
        <f>IFERROR(VLOOKUP($AA950,PLAN!$B:$AA,15,0),"")</f>
        <v>JAPAN</v>
      </c>
      <c r="M950" s="77">
        <f>IFERROR(VLOOKUP($AA950,PLAN!$B:$AA,18,0),"")</f>
        <v>0</v>
      </c>
      <c r="N950" s="227">
        <f>IFERROR(VLOOKUP($AA950,PLAN!$B:$AA,19,0),"")</f>
        <v>0</v>
      </c>
      <c r="O950" s="77" t="str">
        <f>IFERROR(VLOOKUP($AA950,PLAN!$B:$AA,12,0),"")</f>
        <v>2112114-0-C</v>
      </c>
      <c r="P950" s="77">
        <f>IFERROR(VLOOKUP($AA950,PLAN!$B:$AA,11,0),"")</f>
        <v>12116081</v>
      </c>
      <c r="Q950" s="349" t="s">
        <v>5919</v>
      </c>
      <c r="R950" s="158" t="s">
        <v>5920</v>
      </c>
      <c r="S950" s="149">
        <f t="shared" si="54"/>
        <v>1</v>
      </c>
      <c r="T950" s="131"/>
      <c r="U950" s="78">
        <f>IFERROR(VLOOKUP($AA950,PLAN!$B:$AA,21,0),"")</f>
        <v>46259</v>
      </c>
      <c r="V950" s="78" t="str">
        <f>IFERROR(VLOOKUP($AA950,PLAN!$B:$AA,22,0),"")</f>
        <v>M9</v>
      </c>
      <c r="W950" s="232"/>
      <c r="X950" s="233"/>
      <c r="Y950" s="212"/>
      <c r="Z950" s="350"/>
      <c r="AA950" s="195" t="s">
        <v>5810</v>
      </c>
      <c r="AB950" s="132">
        <f>VLOOKUP(AA950,PLAN!B:V,20,0)</f>
        <v>46259</v>
      </c>
      <c r="AC950" s="132"/>
    </row>
    <row r="951" spans="3:29" s="79" customFormat="1" ht="21.6" customHeight="1">
      <c r="C951" s="249" t="str">
        <f t="shared" si="53"/>
        <v>Aug29-155</v>
      </c>
      <c r="D951" s="77">
        <f>IFERROR(VLOOKUP($AA951,PLAN!$B:$AA,3,0),"")</f>
        <v>11119544</v>
      </c>
      <c r="E951" s="77" t="str">
        <f>IFERROR(VLOOKUP($AA951,PLAN!$B:$AA,4,0),"")</f>
        <v>1911210-D-A</v>
      </c>
      <c r="F951" s="77" t="str">
        <f>IFERROR(VLOOKUP($AA951,PLAN!$B:$AA,5,0),"")</f>
        <v>HJ70AL150P09022 JP</v>
      </c>
      <c r="G951" s="77" t="str">
        <f>IFERROR(VLOOKUP($AA951,PLAN!$B:$AA,2,0),"")</f>
        <v>1001950304</v>
      </c>
      <c r="H951" s="113">
        <f>IFERROR(VLOOKUP($AA951,PLAN!$B:$AA,7,0),"")</f>
        <v>46263</v>
      </c>
      <c r="I951" s="77" t="str">
        <f>IFERROR(VLOOKUP($AA951,PLAN!$B:$AA,8,0),"")</f>
        <v>0103617994</v>
      </c>
      <c r="J951" s="77" t="str">
        <f>IFERROR(VLOOKUP($AA951,PLAN!$B:$AA,9,0),"")</f>
        <v>260818C43A</v>
      </c>
      <c r="K951" s="77">
        <f>IFERROR(VLOOKUP($AA951,PLAN!$B:$AA,10,0),"")</f>
        <v>1</v>
      </c>
      <c r="L951" s="77" t="str">
        <f>IFERROR(VLOOKUP($AA951,PLAN!$B:$AA,15,0),"")</f>
        <v>JAPAN</v>
      </c>
      <c r="M951" s="77">
        <f>IFERROR(VLOOKUP($AA951,PLAN!$B:$AA,18,0),"")</f>
        <v>0</v>
      </c>
      <c r="N951" s="227">
        <f>IFERROR(VLOOKUP($AA951,PLAN!$B:$AA,19,0),"")</f>
        <v>0</v>
      </c>
      <c r="O951" s="77" t="str">
        <f>IFERROR(VLOOKUP($AA951,PLAN!$B:$AA,12,0),"")</f>
        <v>2112212-0-C</v>
      </c>
      <c r="P951" s="77">
        <f>IFERROR(VLOOKUP($AA951,PLAN!$B:$AA,11,0),"")</f>
        <v>12116179</v>
      </c>
      <c r="Q951" s="349" t="s">
        <v>5921</v>
      </c>
      <c r="R951" s="158" t="s">
        <v>5922</v>
      </c>
      <c r="S951" s="149">
        <f t="shared" si="54"/>
        <v>1</v>
      </c>
      <c r="T951" s="131"/>
      <c r="U951" s="78">
        <f>IFERROR(VLOOKUP($AA951,PLAN!$B:$AA,21,0),"")</f>
        <v>46259</v>
      </c>
      <c r="V951" s="78" t="str">
        <f>IFERROR(VLOOKUP($AA951,PLAN!$B:$AA,22,0),"")</f>
        <v>M9</v>
      </c>
      <c r="W951" s="232"/>
      <c r="X951" s="233"/>
      <c r="Y951" s="212"/>
      <c r="Z951" s="350"/>
      <c r="AA951" s="195" t="s">
        <v>5811</v>
      </c>
      <c r="AB951" s="132">
        <f>VLOOKUP(AA951,PLAN!B:V,20,0)</f>
        <v>46259</v>
      </c>
      <c r="AC951" s="132"/>
    </row>
    <row r="952" spans="3:29" s="79" customFormat="1" ht="21.6" customHeight="1">
      <c r="C952" s="249" t="str">
        <f t="shared" si="53"/>
        <v>Aug29-156</v>
      </c>
      <c r="D952" s="77">
        <f>IFERROR(VLOOKUP($AA952,PLAN!$B:$AA,3,0),"")</f>
        <v>11119660</v>
      </c>
      <c r="E952" s="77" t="str">
        <f>IFERROR(VLOOKUP($AA952,PLAN!$B:$AA,4,0),"")</f>
        <v>1911326-D-A</v>
      </c>
      <c r="F952" s="77" t="str">
        <f>IFERROR(VLOOKUP($AA952,PLAN!$B:$AA,5,0),"")</f>
        <v>HJ80AL072P09002 JP</v>
      </c>
      <c r="G952" s="77" t="str">
        <f>IFERROR(VLOOKUP($AA952,PLAN!$B:$AA,2,0),"")</f>
        <v>1001950305</v>
      </c>
      <c r="H952" s="113">
        <f>IFERROR(VLOOKUP($AA952,PLAN!$B:$AA,7,0),"")</f>
        <v>46263</v>
      </c>
      <c r="I952" s="77" t="str">
        <f>IFERROR(VLOOKUP($AA952,PLAN!$B:$AA,8,0),"")</f>
        <v>0103617995</v>
      </c>
      <c r="J952" s="77" t="str">
        <f>IFERROR(VLOOKUP($AA952,PLAN!$B:$AA,9,0),"")</f>
        <v>260818C44A</v>
      </c>
      <c r="K952" s="77">
        <f>IFERROR(VLOOKUP($AA952,PLAN!$B:$AA,10,0),"")</f>
        <v>1</v>
      </c>
      <c r="L952" s="77" t="str">
        <f>IFERROR(VLOOKUP($AA952,PLAN!$B:$AA,15,0),"")</f>
        <v>JAPAN</v>
      </c>
      <c r="M952" s="77">
        <f>IFERROR(VLOOKUP($AA952,PLAN!$B:$AA,18,0),"")</f>
        <v>0</v>
      </c>
      <c r="N952" s="227">
        <f>IFERROR(VLOOKUP($AA952,PLAN!$B:$AA,19,0),"")</f>
        <v>0</v>
      </c>
      <c r="O952" s="77" t="str">
        <f>IFERROR(VLOOKUP($AA952,PLAN!$B:$AA,12,0),"")</f>
        <v>2112328-0-C</v>
      </c>
      <c r="P952" s="77">
        <f>IFERROR(VLOOKUP($AA952,PLAN!$B:$AA,11,0),"")</f>
        <v>12116295</v>
      </c>
      <c r="Q952" s="349" t="s">
        <v>5923</v>
      </c>
      <c r="R952" s="158" t="s">
        <v>5924</v>
      </c>
      <c r="S952" s="149">
        <f t="shared" si="54"/>
        <v>1</v>
      </c>
      <c r="T952" s="131"/>
      <c r="U952" s="78">
        <f>IFERROR(VLOOKUP($AA952,PLAN!$B:$AA,21,0),"")</f>
        <v>46259</v>
      </c>
      <c r="V952" s="78" t="str">
        <f>IFERROR(VLOOKUP($AA952,PLAN!$B:$AA,22,0),"")</f>
        <v>M9</v>
      </c>
      <c r="W952" s="232"/>
      <c r="X952" s="233"/>
      <c r="Y952" s="212"/>
      <c r="Z952" s="350"/>
      <c r="AA952" s="195" t="s">
        <v>5812</v>
      </c>
      <c r="AB952" s="132">
        <f>VLOOKUP(AA952,PLAN!B:V,20,0)</f>
        <v>46259</v>
      </c>
      <c r="AC952" s="132"/>
    </row>
    <row r="953" spans="3:29" s="79" customFormat="1" ht="21.6" customHeight="1">
      <c r="C953" s="249" t="str">
        <f t="shared" si="53"/>
        <v>Aug29-157</v>
      </c>
      <c r="D953" s="77">
        <f>IFERROR(VLOOKUP($AA953,PLAN!$B:$AA,3,0),"")</f>
        <v>11119573</v>
      </c>
      <c r="E953" s="77" t="str">
        <f>IFERROR(VLOOKUP($AA953,PLAN!$B:$AA,4,0),"")</f>
        <v>1911239-D-A</v>
      </c>
      <c r="F953" s="77" t="str">
        <f>IFERROR(VLOOKUP($AA953,PLAN!$B:$AA,5,0),"")</f>
        <v>HJ80AL072P10001 JP</v>
      </c>
      <c r="G953" s="77" t="str">
        <f>IFERROR(VLOOKUP($AA953,PLAN!$B:$AA,2,0),"")</f>
        <v>1001950306</v>
      </c>
      <c r="H953" s="113">
        <f>IFERROR(VLOOKUP($AA953,PLAN!$B:$AA,7,0),"")</f>
        <v>46263</v>
      </c>
      <c r="I953" s="77" t="str">
        <f>IFERROR(VLOOKUP($AA953,PLAN!$B:$AA,8,0),"")</f>
        <v>0103617997</v>
      </c>
      <c r="J953" s="77" t="str">
        <f>IFERROR(VLOOKUP($AA953,PLAN!$B:$AA,9,0),"")</f>
        <v>260818C45A</v>
      </c>
      <c r="K953" s="77">
        <f>IFERROR(VLOOKUP($AA953,PLAN!$B:$AA,10,0),"")</f>
        <v>1</v>
      </c>
      <c r="L953" s="77" t="str">
        <f>IFERROR(VLOOKUP($AA953,PLAN!$B:$AA,15,0),"")</f>
        <v>JAPAN</v>
      </c>
      <c r="M953" s="77">
        <f>IFERROR(VLOOKUP($AA953,PLAN!$B:$AA,18,0),"")</f>
        <v>0</v>
      </c>
      <c r="N953" s="227">
        <f>IFERROR(VLOOKUP($AA953,PLAN!$B:$AA,19,0),"")</f>
        <v>0</v>
      </c>
      <c r="O953" s="77" t="str">
        <f>IFERROR(VLOOKUP($AA953,PLAN!$B:$AA,12,0),"")</f>
        <v>2112241-0-C</v>
      </c>
      <c r="P953" s="77">
        <f>IFERROR(VLOOKUP($AA953,PLAN!$B:$AA,11,0),"")</f>
        <v>12116208</v>
      </c>
      <c r="Q953" s="349" t="s">
        <v>5925</v>
      </c>
      <c r="R953" s="158" t="s">
        <v>5926</v>
      </c>
      <c r="S953" s="149">
        <f t="shared" si="54"/>
        <v>1</v>
      </c>
      <c r="T953" s="131"/>
      <c r="U953" s="78">
        <f>IFERROR(VLOOKUP($AA953,PLAN!$B:$AA,21,0),"")</f>
        <v>46259</v>
      </c>
      <c r="V953" s="78" t="str">
        <f>IFERROR(VLOOKUP($AA953,PLAN!$B:$AA,22,0),"")</f>
        <v>M9</v>
      </c>
      <c r="W953" s="232"/>
      <c r="X953" s="233"/>
      <c r="Y953" s="212"/>
      <c r="Z953" s="350"/>
      <c r="AA953" s="195" t="s">
        <v>5813</v>
      </c>
      <c r="AB953" s="132">
        <f>VLOOKUP(AA953,PLAN!B:V,20,0)</f>
        <v>46259</v>
      </c>
      <c r="AC953" s="132"/>
    </row>
    <row r="954" spans="3:29" s="79" customFormat="1" ht="21.6" customHeight="1">
      <c r="C954" s="249" t="str">
        <f t="shared" si="53"/>
        <v>Aug29-158</v>
      </c>
      <c r="D954" s="77">
        <f>IFERROR(VLOOKUP($AA954,PLAN!$B:$AA,3,0),"")</f>
        <v>11119601</v>
      </c>
      <c r="E954" s="77" t="str">
        <f>IFERROR(VLOOKUP($AA954,PLAN!$B:$AA,4,0),"")</f>
        <v>1911267-D-A</v>
      </c>
      <c r="F954" s="77" t="str">
        <f>IFERROR(VLOOKUP($AA954,PLAN!$B:$AA,5,0),"")</f>
        <v>HJ80IM000P10010 JP</v>
      </c>
      <c r="G954" s="77" t="str">
        <f>IFERROR(VLOOKUP($AA954,PLAN!$B:$AA,2,0),"")</f>
        <v>1001950307</v>
      </c>
      <c r="H954" s="113">
        <f>IFERROR(VLOOKUP($AA954,PLAN!$B:$AA,7,0),"")</f>
        <v>46263</v>
      </c>
      <c r="I954" s="77" t="str">
        <f>IFERROR(VLOOKUP($AA954,PLAN!$B:$AA,8,0),"")</f>
        <v>0103617998</v>
      </c>
      <c r="J954" s="77" t="str">
        <f>IFERROR(VLOOKUP($AA954,PLAN!$B:$AA,9,0),"")</f>
        <v>260818C46A</v>
      </c>
      <c r="K954" s="77">
        <f>IFERROR(VLOOKUP($AA954,PLAN!$B:$AA,10,0),"")</f>
        <v>1</v>
      </c>
      <c r="L954" s="77" t="str">
        <f>IFERROR(VLOOKUP($AA954,PLAN!$B:$AA,15,0),"")</f>
        <v>JAPAN</v>
      </c>
      <c r="M954" s="77">
        <f>IFERROR(VLOOKUP($AA954,PLAN!$B:$AA,18,0),"")</f>
        <v>0</v>
      </c>
      <c r="N954" s="227">
        <f>IFERROR(VLOOKUP($AA954,PLAN!$B:$AA,19,0),"")</f>
        <v>0</v>
      </c>
      <c r="O954" s="77" t="str">
        <f>IFERROR(VLOOKUP($AA954,PLAN!$B:$AA,12,0),"")</f>
        <v>2112269-0-C</v>
      </c>
      <c r="P954" s="77">
        <f>IFERROR(VLOOKUP($AA954,PLAN!$B:$AA,11,0),"")</f>
        <v>12116236</v>
      </c>
      <c r="Q954" s="349" t="s">
        <v>5927</v>
      </c>
      <c r="R954" s="158" t="s">
        <v>5928</v>
      </c>
      <c r="S954" s="149">
        <f t="shared" si="54"/>
        <v>1</v>
      </c>
      <c r="T954" s="131"/>
      <c r="U954" s="78">
        <f>IFERROR(VLOOKUP($AA954,PLAN!$B:$AA,21,0),"")</f>
        <v>46259</v>
      </c>
      <c r="V954" s="78" t="str">
        <f>IFERROR(VLOOKUP($AA954,PLAN!$B:$AA,22,0),"")</f>
        <v>M9</v>
      </c>
      <c r="W954" s="232"/>
      <c r="X954" s="233"/>
      <c r="Y954" s="212"/>
      <c r="Z954" s="350"/>
      <c r="AA954" s="195" t="s">
        <v>5814</v>
      </c>
      <c r="AB954" s="132">
        <f>VLOOKUP(AA954,PLAN!B:V,20,0)</f>
        <v>46259</v>
      </c>
      <c r="AC954" s="132"/>
    </row>
    <row r="955" spans="3:29" s="79" customFormat="1" ht="21.6" customHeight="1">
      <c r="C955" s="249" t="str">
        <f t="shared" ref="C955:C999" si="55">AA955</f>
        <v>Aug29-159</v>
      </c>
      <c r="D955" s="77">
        <f>IFERROR(VLOOKUP($AA955,PLAN!$B:$AA,3,0),"")</f>
        <v>11119602</v>
      </c>
      <c r="E955" s="77" t="str">
        <f>IFERROR(VLOOKUP($AA955,PLAN!$B:$AA,4,0),"")</f>
        <v>1911268-D-A</v>
      </c>
      <c r="F955" s="77" t="str">
        <f>IFERROR(VLOOKUP($AA955,PLAN!$B:$AA,5,0),"")</f>
        <v>HJ80IM002P10010 JP</v>
      </c>
      <c r="G955" s="77" t="str">
        <f>IFERROR(VLOOKUP($AA955,PLAN!$B:$AA,2,0),"")</f>
        <v>1001950308</v>
      </c>
      <c r="H955" s="113">
        <f>IFERROR(VLOOKUP($AA955,PLAN!$B:$AA,7,0),"")</f>
        <v>46263</v>
      </c>
      <c r="I955" s="77" t="str">
        <f>IFERROR(VLOOKUP($AA955,PLAN!$B:$AA,8,0),"")</f>
        <v>0103617999</v>
      </c>
      <c r="J955" s="77" t="str">
        <f>IFERROR(VLOOKUP($AA955,PLAN!$B:$AA,9,0),"")</f>
        <v>260818C47A</v>
      </c>
      <c r="K955" s="77">
        <f>IFERROR(VLOOKUP($AA955,PLAN!$B:$AA,10,0),"")</f>
        <v>1</v>
      </c>
      <c r="L955" s="77" t="str">
        <f>IFERROR(VLOOKUP($AA955,PLAN!$B:$AA,15,0),"")</f>
        <v>JAPAN</v>
      </c>
      <c r="M955" s="77">
        <f>IFERROR(VLOOKUP($AA955,PLAN!$B:$AA,18,0),"")</f>
        <v>0</v>
      </c>
      <c r="N955" s="227">
        <f>IFERROR(VLOOKUP($AA955,PLAN!$B:$AA,19,0),"")</f>
        <v>0</v>
      </c>
      <c r="O955" s="77" t="str">
        <f>IFERROR(VLOOKUP($AA955,PLAN!$B:$AA,12,0),"")</f>
        <v>2112270-0-C</v>
      </c>
      <c r="P955" s="77">
        <f>IFERROR(VLOOKUP($AA955,PLAN!$B:$AA,11,0),"")</f>
        <v>12116237</v>
      </c>
      <c r="Q955" s="349" t="s">
        <v>5929</v>
      </c>
      <c r="R955" s="158" t="s">
        <v>5930</v>
      </c>
      <c r="S955" s="149">
        <f t="shared" ref="S955:S999" si="56">K955</f>
        <v>1</v>
      </c>
      <c r="T955" s="131"/>
      <c r="U955" s="78">
        <f>IFERROR(VLOOKUP($AA955,PLAN!$B:$AA,21,0),"")</f>
        <v>46259</v>
      </c>
      <c r="V955" s="78" t="str">
        <f>IFERROR(VLOOKUP($AA955,PLAN!$B:$AA,22,0),"")</f>
        <v>M9</v>
      </c>
      <c r="W955" s="232"/>
      <c r="X955" s="233"/>
      <c r="Y955" s="212"/>
      <c r="Z955" s="350"/>
      <c r="AA955" s="195" t="s">
        <v>5815</v>
      </c>
      <c r="AB955" s="132">
        <f>VLOOKUP(AA955,PLAN!B:V,20,0)</f>
        <v>46259</v>
      </c>
      <c r="AC955" s="132"/>
    </row>
    <row r="956" spans="3:29" s="79" customFormat="1" ht="21.6" customHeight="1">
      <c r="C956" s="249" t="str">
        <f t="shared" si="55"/>
        <v>Aug29-160</v>
      </c>
      <c r="D956" s="77">
        <f>IFERROR(VLOOKUP($AA956,PLAN!$B:$AA,3,0),"")</f>
        <v>11119628</v>
      </c>
      <c r="E956" s="77" t="str">
        <f>IFERROR(VLOOKUP($AA956,PLAN!$B:$AA,4,0),"")</f>
        <v>1911294-D-A</v>
      </c>
      <c r="F956" s="77" t="str">
        <f>IFERROR(VLOOKUP($AA956,PLAN!$B:$AA,5,0),"")</f>
        <v>HJ80JR352P09000 JP</v>
      </c>
      <c r="G956" s="77" t="str">
        <f>IFERROR(VLOOKUP($AA956,PLAN!$B:$AA,2,0),"")</f>
        <v>1001950309</v>
      </c>
      <c r="H956" s="113">
        <f>IFERROR(VLOOKUP($AA956,PLAN!$B:$AA,7,0),"")</f>
        <v>46263</v>
      </c>
      <c r="I956" s="77" t="str">
        <f>IFERROR(VLOOKUP($AA956,PLAN!$B:$AA,8,0),"")</f>
        <v>0103618000</v>
      </c>
      <c r="J956" s="77" t="str">
        <f>IFERROR(VLOOKUP($AA956,PLAN!$B:$AA,9,0),"")</f>
        <v>260818C48A</v>
      </c>
      <c r="K956" s="77">
        <f>IFERROR(VLOOKUP($AA956,PLAN!$B:$AA,10,0),"")</f>
        <v>1</v>
      </c>
      <c r="L956" s="77" t="str">
        <f>IFERROR(VLOOKUP($AA956,PLAN!$B:$AA,15,0),"")</f>
        <v>JAPAN</v>
      </c>
      <c r="M956" s="77">
        <f>IFERROR(VLOOKUP($AA956,PLAN!$B:$AA,18,0),"")</f>
        <v>0</v>
      </c>
      <c r="N956" s="227">
        <f>IFERROR(VLOOKUP($AA956,PLAN!$B:$AA,19,0),"")</f>
        <v>0</v>
      </c>
      <c r="O956" s="77" t="str">
        <f>IFERROR(VLOOKUP($AA956,PLAN!$B:$AA,12,0),"")</f>
        <v>2112296-0-C</v>
      </c>
      <c r="P956" s="77">
        <f>IFERROR(VLOOKUP($AA956,PLAN!$B:$AA,11,0),"")</f>
        <v>12116263</v>
      </c>
      <c r="Q956" s="349" t="s">
        <v>5931</v>
      </c>
      <c r="R956" s="158" t="s">
        <v>5932</v>
      </c>
      <c r="S956" s="149">
        <f t="shared" si="56"/>
        <v>1</v>
      </c>
      <c r="T956" s="131"/>
      <c r="U956" s="78">
        <f>IFERROR(VLOOKUP($AA956,PLAN!$B:$AA,21,0),"")</f>
        <v>46259</v>
      </c>
      <c r="V956" s="78" t="str">
        <f>IFERROR(VLOOKUP($AA956,PLAN!$B:$AA,22,0),"")</f>
        <v>M9</v>
      </c>
      <c r="W956" s="232"/>
      <c r="X956" s="233"/>
      <c r="Y956" s="212"/>
      <c r="Z956" s="350"/>
      <c r="AA956" s="195" t="s">
        <v>5816</v>
      </c>
      <c r="AB956" s="132">
        <f>VLOOKUP(AA956,PLAN!B:V,20,0)</f>
        <v>46259</v>
      </c>
      <c r="AC956" s="132"/>
    </row>
    <row r="957" spans="3:29" s="79" customFormat="1" ht="21.6" customHeight="1">
      <c r="C957" s="249" t="str">
        <f t="shared" si="55"/>
        <v>Aug29-161</v>
      </c>
      <c r="D957" s="77">
        <f>IFERROR(VLOOKUP($AA957,PLAN!$B:$AA,3,0),"")</f>
        <v>11119513</v>
      </c>
      <c r="E957" s="77" t="str">
        <f>IFERROR(VLOOKUP($AA957,PLAN!$B:$AA,4,0),"")</f>
        <v>1911179-D-A</v>
      </c>
      <c r="F957" s="77" t="str">
        <f>IFERROR(VLOOKUP($AA957,PLAN!$B:$AA,5,0),"")</f>
        <v>HJ70JR500P10020 JP</v>
      </c>
      <c r="G957" s="77" t="str">
        <f>IFERROR(VLOOKUP($AA957,PLAN!$B:$AA,2,0),"")</f>
        <v>1001950310</v>
      </c>
      <c r="H957" s="113">
        <f>IFERROR(VLOOKUP($AA957,PLAN!$B:$AA,7,0),"")</f>
        <v>46263</v>
      </c>
      <c r="I957" s="77" t="str">
        <f>IFERROR(VLOOKUP($AA957,PLAN!$B:$AA,8,0),"")</f>
        <v>0103618001</v>
      </c>
      <c r="J957" s="77" t="str">
        <f>IFERROR(VLOOKUP($AA957,PLAN!$B:$AA,9,0),"")</f>
        <v>260818C49A</v>
      </c>
      <c r="K957" s="77">
        <f>IFERROR(VLOOKUP($AA957,PLAN!$B:$AA,10,0),"")</f>
        <v>2</v>
      </c>
      <c r="L957" s="77" t="str">
        <f>IFERROR(VLOOKUP($AA957,PLAN!$B:$AA,15,0),"")</f>
        <v>JAPAN</v>
      </c>
      <c r="M957" s="77">
        <f>IFERROR(VLOOKUP($AA957,PLAN!$B:$AA,18,0),"")</f>
        <v>0</v>
      </c>
      <c r="N957" s="227">
        <f>IFERROR(VLOOKUP($AA957,PLAN!$B:$AA,19,0),"")</f>
        <v>0</v>
      </c>
      <c r="O957" s="77" t="str">
        <f>IFERROR(VLOOKUP($AA957,PLAN!$B:$AA,12,0),"")</f>
        <v>2112181-0-C</v>
      </c>
      <c r="P957" s="77">
        <f>IFERROR(VLOOKUP($AA957,PLAN!$B:$AA,11,0),"")</f>
        <v>12116148</v>
      </c>
      <c r="Q957" s="349" t="s">
        <v>5933</v>
      </c>
      <c r="R957" s="158" t="s">
        <v>5934</v>
      </c>
      <c r="S957" s="149">
        <f t="shared" si="56"/>
        <v>2</v>
      </c>
      <c r="T957" s="131"/>
      <c r="U957" s="78">
        <f>IFERROR(VLOOKUP($AA957,PLAN!$B:$AA,21,0),"")</f>
        <v>46259</v>
      </c>
      <c r="V957" s="78" t="str">
        <f>IFERROR(VLOOKUP($AA957,PLAN!$B:$AA,22,0),"")</f>
        <v>M9</v>
      </c>
      <c r="W957" s="232"/>
      <c r="X957" s="233"/>
      <c r="Y957" s="212"/>
      <c r="Z957" s="350"/>
      <c r="AA957" s="195" t="s">
        <v>5817</v>
      </c>
      <c r="AB957" s="132">
        <f>VLOOKUP(AA957,PLAN!B:V,20,0)</f>
        <v>46259</v>
      </c>
      <c r="AC957" s="132"/>
    </row>
    <row r="958" spans="3:29" s="79" customFormat="1" ht="21.6" customHeight="1">
      <c r="C958" s="249" t="str">
        <f t="shared" si="55"/>
        <v>Aug29-162</v>
      </c>
      <c r="D958" s="77">
        <f>IFERROR(VLOOKUP($AA958,PLAN!$B:$AA,3,0),"")</f>
        <v>11119585</v>
      </c>
      <c r="E958" s="77" t="str">
        <f>IFERROR(VLOOKUP($AA958,PLAN!$B:$AA,4,0),"")</f>
        <v>1911251-D-A</v>
      </c>
      <c r="F958" s="77" t="str">
        <f>IFERROR(VLOOKUP($AA958,PLAN!$B:$AA,5,0),"")</f>
        <v>HJ80AL152P10001 JP</v>
      </c>
      <c r="G958" s="77" t="str">
        <f>IFERROR(VLOOKUP($AA958,PLAN!$B:$AA,2,0),"")</f>
        <v>1001950311</v>
      </c>
      <c r="H958" s="113">
        <f>IFERROR(VLOOKUP($AA958,PLAN!$B:$AA,7,0),"")</f>
        <v>46263</v>
      </c>
      <c r="I958" s="77" t="str">
        <f>IFERROR(VLOOKUP($AA958,PLAN!$B:$AA,8,0),"")</f>
        <v>0103618002</v>
      </c>
      <c r="J958" s="77" t="str">
        <f>IFERROR(VLOOKUP($AA958,PLAN!$B:$AA,9,0),"")</f>
        <v>260818C50A</v>
      </c>
      <c r="K958" s="77">
        <f>IFERROR(VLOOKUP($AA958,PLAN!$B:$AA,10,0),"")</f>
        <v>2</v>
      </c>
      <c r="L958" s="77" t="str">
        <f>IFERROR(VLOOKUP($AA958,PLAN!$B:$AA,15,0),"")</f>
        <v>JAPAN</v>
      </c>
      <c r="M958" s="77">
        <f>IFERROR(VLOOKUP($AA958,PLAN!$B:$AA,18,0),"")</f>
        <v>0</v>
      </c>
      <c r="N958" s="227">
        <f>IFERROR(VLOOKUP($AA958,PLAN!$B:$AA,19,0),"")</f>
        <v>0</v>
      </c>
      <c r="O958" s="77" t="str">
        <f>IFERROR(VLOOKUP($AA958,PLAN!$B:$AA,12,0),"")</f>
        <v>2112253-0-C</v>
      </c>
      <c r="P958" s="77">
        <f>IFERROR(VLOOKUP($AA958,PLAN!$B:$AA,11,0),"")</f>
        <v>12116220</v>
      </c>
      <c r="Q958" s="349" t="s">
        <v>5935</v>
      </c>
      <c r="R958" s="158" t="s">
        <v>5936</v>
      </c>
      <c r="S958" s="149">
        <f t="shared" si="56"/>
        <v>2</v>
      </c>
      <c r="T958" s="131"/>
      <c r="U958" s="78">
        <f>IFERROR(VLOOKUP($AA958,PLAN!$B:$AA,21,0),"")</f>
        <v>46259</v>
      </c>
      <c r="V958" s="78" t="str">
        <f>IFERROR(VLOOKUP($AA958,PLAN!$B:$AA,22,0),"")</f>
        <v>M9</v>
      </c>
      <c r="W958" s="232"/>
      <c r="X958" s="233"/>
      <c r="Y958" s="212"/>
      <c r="Z958" s="350"/>
      <c r="AA958" s="195" t="s">
        <v>5818</v>
      </c>
      <c r="AB958" s="132">
        <f>VLOOKUP(AA958,PLAN!B:V,20,0)</f>
        <v>46259</v>
      </c>
      <c r="AC958" s="132"/>
    </row>
    <row r="959" spans="3:29" s="79" customFormat="1" ht="21.6" customHeight="1">
      <c r="C959" s="249" t="str">
        <f t="shared" si="55"/>
        <v>Aug29-163</v>
      </c>
      <c r="D959" s="77">
        <f>IFERROR(VLOOKUP($AA959,PLAN!$B:$AA,3,0),"")</f>
        <v>11119671</v>
      </c>
      <c r="E959" s="77" t="str">
        <f>IFERROR(VLOOKUP($AA959,PLAN!$B:$AA,4,0),"")</f>
        <v>1911337-D-A</v>
      </c>
      <c r="F959" s="77" t="str">
        <f>IFERROR(VLOOKUP($AA959,PLAN!$B:$AA,5,0),"")</f>
        <v>HJ80AL202P10002 JP</v>
      </c>
      <c r="G959" s="77" t="str">
        <f>IFERROR(VLOOKUP($AA959,PLAN!$B:$AA,2,0),"")</f>
        <v>1001950312</v>
      </c>
      <c r="H959" s="113">
        <f>IFERROR(VLOOKUP($AA959,PLAN!$B:$AA,7,0),"")</f>
        <v>46263</v>
      </c>
      <c r="I959" s="77" t="str">
        <f>IFERROR(VLOOKUP($AA959,PLAN!$B:$AA,8,0),"")</f>
        <v>0103618003</v>
      </c>
      <c r="J959" s="77" t="str">
        <f>IFERROR(VLOOKUP($AA959,PLAN!$B:$AA,9,0),"")</f>
        <v>260818C51A</v>
      </c>
      <c r="K959" s="77">
        <f>IFERROR(VLOOKUP($AA959,PLAN!$B:$AA,10,0),"")</f>
        <v>2</v>
      </c>
      <c r="L959" s="77" t="str">
        <f>IFERROR(VLOOKUP($AA959,PLAN!$B:$AA,15,0),"")</f>
        <v>JAPAN</v>
      </c>
      <c r="M959" s="77">
        <f>IFERROR(VLOOKUP($AA959,PLAN!$B:$AA,18,0),"")</f>
        <v>0</v>
      </c>
      <c r="N959" s="227">
        <f>IFERROR(VLOOKUP($AA959,PLAN!$B:$AA,19,0),"")</f>
        <v>0</v>
      </c>
      <c r="O959" s="77" t="str">
        <f>IFERROR(VLOOKUP($AA959,PLAN!$B:$AA,12,0),"")</f>
        <v>2112339-0-C</v>
      </c>
      <c r="P959" s="77">
        <f>IFERROR(VLOOKUP($AA959,PLAN!$B:$AA,11,0),"")</f>
        <v>12116306</v>
      </c>
      <c r="Q959" s="349" t="s">
        <v>5937</v>
      </c>
      <c r="R959" s="158" t="s">
        <v>5938</v>
      </c>
      <c r="S959" s="149">
        <f t="shared" si="56"/>
        <v>2</v>
      </c>
      <c r="T959" s="131"/>
      <c r="U959" s="78">
        <f>IFERROR(VLOOKUP($AA959,PLAN!$B:$AA,21,0),"")</f>
        <v>46259</v>
      </c>
      <c r="V959" s="78" t="str">
        <f>IFERROR(VLOOKUP($AA959,PLAN!$B:$AA,22,0),"")</f>
        <v>M9</v>
      </c>
      <c r="W959" s="232"/>
      <c r="X959" s="233"/>
      <c r="Y959" s="212"/>
      <c r="Z959" s="350"/>
      <c r="AA959" s="195" t="s">
        <v>5819</v>
      </c>
      <c r="AB959" s="132">
        <f>VLOOKUP(AA959,PLAN!B:V,20,0)</f>
        <v>46259</v>
      </c>
      <c r="AC959" s="132"/>
    </row>
    <row r="960" spans="3:29" s="79" customFormat="1" ht="21.6" customHeight="1">
      <c r="C960" s="249" t="str">
        <f t="shared" si="55"/>
        <v>Aug29-164</v>
      </c>
      <c r="D960" s="77">
        <f>IFERROR(VLOOKUP($AA960,PLAN!$B:$AA,3,0),"")</f>
        <v>11119477</v>
      </c>
      <c r="E960" s="77" t="str">
        <f>IFERROR(VLOOKUP($AA960,PLAN!$B:$AA,4,0),"")</f>
        <v>1911143-D-A</v>
      </c>
      <c r="F960" s="77" t="str">
        <f>IFERROR(VLOOKUP($AA960,PLAN!$B:$AA,5,0),"")</f>
        <v>HJ70IM000P10000 JP</v>
      </c>
      <c r="G960" s="77" t="str">
        <f>IFERROR(VLOOKUP($AA960,PLAN!$B:$AA,2,0),"")</f>
        <v>1001950313</v>
      </c>
      <c r="H960" s="113">
        <f>IFERROR(VLOOKUP($AA960,PLAN!$B:$AA,7,0),"")</f>
        <v>46263</v>
      </c>
      <c r="I960" s="77" t="str">
        <f>IFERROR(VLOOKUP($AA960,PLAN!$B:$AA,8,0),"")</f>
        <v>0103618004</v>
      </c>
      <c r="J960" s="77" t="str">
        <f>IFERROR(VLOOKUP($AA960,PLAN!$B:$AA,9,0),"")</f>
        <v>260818C52A</v>
      </c>
      <c r="K960" s="77">
        <f>IFERROR(VLOOKUP($AA960,PLAN!$B:$AA,10,0),"")</f>
        <v>3</v>
      </c>
      <c r="L960" s="77" t="str">
        <f>IFERROR(VLOOKUP($AA960,PLAN!$B:$AA,15,0),"")</f>
        <v>JAPAN</v>
      </c>
      <c r="M960" s="77">
        <f>IFERROR(VLOOKUP($AA960,PLAN!$B:$AA,18,0),"")</f>
        <v>0</v>
      </c>
      <c r="N960" s="227">
        <f>IFERROR(VLOOKUP($AA960,PLAN!$B:$AA,19,0),"")</f>
        <v>0</v>
      </c>
      <c r="O960" s="77" t="str">
        <f>IFERROR(VLOOKUP($AA960,PLAN!$B:$AA,12,0),"")</f>
        <v>2112145-0-C</v>
      </c>
      <c r="P960" s="77">
        <f>IFERROR(VLOOKUP($AA960,PLAN!$B:$AA,11,0),"")</f>
        <v>12116112</v>
      </c>
      <c r="Q960" s="349" t="s">
        <v>5939</v>
      </c>
      <c r="R960" s="158" t="s">
        <v>5940</v>
      </c>
      <c r="S960" s="149">
        <f t="shared" si="56"/>
        <v>3</v>
      </c>
      <c r="T960" s="131"/>
      <c r="U960" s="78">
        <f>IFERROR(VLOOKUP($AA960,PLAN!$B:$AA,21,0),"")</f>
        <v>46259</v>
      </c>
      <c r="V960" s="78" t="str">
        <f>IFERROR(VLOOKUP($AA960,PLAN!$B:$AA,22,0),"")</f>
        <v>M9</v>
      </c>
      <c r="W960" s="232"/>
      <c r="X960" s="233"/>
      <c r="Y960" s="212"/>
      <c r="Z960" s="350"/>
      <c r="AA960" s="195" t="s">
        <v>5820</v>
      </c>
      <c r="AB960" s="132">
        <f>VLOOKUP(AA960,PLAN!B:V,20,0)</f>
        <v>46259</v>
      </c>
      <c r="AC960" s="132"/>
    </row>
    <row r="961" spans="3:29" s="79" customFormat="1" ht="21.6" customHeight="1">
      <c r="C961" s="249" t="str">
        <f t="shared" si="55"/>
        <v>Aug29-165</v>
      </c>
      <c r="D961" s="77">
        <f>IFERROR(VLOOKUP($AA961,PLAN!$B:$AA,3,0),"")</f>
        <v>11119551</v>
      </c>
      <c r="E961" s="77" t="str">
        <f>IFERROR(VLOOKUP($AA961,PLAN!$B:$AA,4,0),"")</f>
        <v>1911217-D-A</v>
      </c>
      <c r="F961" s="77" t="str">
        <f>IFERROR(VLOOKUP($AA961,PLAN!$B:$AA,5,0),"")</f>
        <v>HJ70SC350P10000 JP</v>
      </c>
      <c r="G961" s="77" t="str">
        <f>IFERROR(VLOOKUP($AA961,PLAN!$B:$AA,2,0),"")</f>
        <v>1001950314</v>
      </c>
      <c r="H961" s="113">
        <f>IFERROR(VLOOKUP($AA961,PLAN!$B:$AA,7,0),"")</f>
        <v>46263</v>
      </c>
      <c r="I961" s="77" t="str">
        <f>IFERROR(VLOOKUP($AA961,PLAN!$B:$AA,8,0),"")</f>
        <v>0103618005</v>
      </c>
      <c r="J961" s="77" t="str">
        <f>IFERROR(VLOOKUP($AA961,PLAN!$B:$AA,9,0),"")</f>
        <v>260818C53A</v>
      </c>
      <c r="K961" s="77">
        <f>IFERROR(VLOOKUP($AA961,PLAN!$B:$AA,10,0),"")</f>
        <v>3</v>
      </c>
      <c r="L961" s="77" t="str">
        <f>IFERROR(VLOOKUP($AA961,PLAN!$B:$AA,15,0),"")</f>
        <v>JAPAN</v>
      </c>
      <c r="M961" s="77">
        <f>IFERROR(VLOOKUP($AA961,PLAN!$B:$AA,18,0),"")</f>
        <v>0</v>
      </c>
      <c r="N961" s="227">
        <f>IFERROR(VLOOKUP($AA961,PLAN!$B:$AA,19,0),"")</f>
        <v>0</v>
      </c>
      <c r="O961" s="77" t="str">
        <f>IFERROR(VLOOKUP($AA961,PLAN!$B:$AA,12,0),"")</f>
        <v>2112219-0-C</v>
      </c>
      <c r="P961" s="77">
        <f>IFERROR(VLOOKUP($AA961,PLAN!$B:$AA,11,0),"")</f>
        <v>12116186</v>
      </c>
      <c r="Q961" s="349" t="s">
        <v>5941</v>
      </c>
      <c r="R961" s="158" t="s">
        <v>5942</v>
      </c>
      <c r="S961" s="149">
        <f t="shared" si="56"/>
        <v>3</v>
      </c>
      <c r="T961" s="131"/>
      <c r="U961" s="78">
        <f>IFERROR(VLOOKUP($AA961,PLAN!$B:$AA,21,0),"")</f>
        <v>46259</v>
      </c>
      <c r="V961" s="78" t="str">
        <f>IFERROR(VLOOKUP($AA961,PLAN!$B:$AA,22,0),"")</f>
        <v>M9</v>
      </c>
      <c r="W961" s="232"/>
      <c r="X961" s="233"/>
      <c r="Y961" s="212"/>
      <c r="Z961" s="350"/>
      <c r="AA961" s="195" t="s">
        <v>5821</v>
      </c>
      <c r="AB961" s="132">
        <f>VLOOKUP(AA961,PLAN!B:V,20,0)</f>
        <v>46259</v>
      </c>
      <c r="AC961" s="132"/>
    </row>
    <row r="962" spans="3:29" s="79" customFormat="1" ht="21.6" customHeight="1">
      <c r="C962" s="249" t="str">
        <f t="shared" si="55"/>
        <v>Aug29-166</v>
      </c>
      <c r="D962" s="77">
        <f>IFERROR(VLOOKUP($AA962,PLAN!$B:$AA,3,0),"")</f>
        <v>11119665</v>
      </c>
      <c r="E962" s="77" t="str">
        <f>IFERROR(VLOOKUP($AA962,PLAN!$B:$AA,4,0),"")</f>
        <v>1911331-D-A</v>
      </c>
      <c r="F962" s="77" t="str">
        <f>IFERROR(VLOOKUP($AA962,PLAN!$B:$AA,5,0),"")</f>
        <v>HJ80AL150P10002 JP</v>
      </c>
      <c r="G962" s="77" t="str">
        <f>IFERROR(VLOOKUP($AA962,PLAN!$B:$AA,2,0),"")</f>
        <v>1001950315</v>
      </c>
      <c r="H962" s="113">
        <f>IFERROR(VLOOKUP($AA962,PLAN!$B:$AA,7,0),"")</f>
        <v>46263</v>
      </c>
      <c r="I962" s="77" t="str">
        <f>IFERROR(VLOOKUP($AA962,PLAN!$B:$AA,8,0),"")</f>
        <v>0103618006</v>
      </c>
      <c r="J962" s="77" t="str">
        <f>IFERROR(VLOOKUP($AA962,PLAN!$B:$AA,9,0),"")</f>
        <v>260818C54A</v>
      </c>
      <c r="K962" s="77">
        <f>IFERROR(VLOOKUP($AA962,PLAN!$B:$AA,10,0),"")</f>
        <v>4</v>
      </c>
      <c r="L962" s="77" t="str">
        <f>IFERROR(VLOOKUP($AA962,PLAN!$B:$AA,15,0),"")</f>
        <v>JAPAN</v>
      </c>
      <c r="M962" s="77">
        <f>IFERROR(VLOOKUP($AA962,PLAN!$B:$AA,18,0),"")</f>
        <v>0</v>
      </c>
      <c r="N962" s="227">
        <f>IFERROR(VLOOKUP($AA962,PLAN!$B:$AA,19,0),"")</f>
        <v>0</v>
      </c>
      <c r="O962" s="77" t="str">
        <f>IFERROR(VLOOKUP($AA962,PLAN!$B:$AA,12,0),"")</f>
        <v>2112333-0-C</v>
      </c>
      <c r="P962" s="77">
        <f>IFERROR(VLOOKUP($AA962,PLAN!$B:$AA,11,0),"")</f>
        <v>12116300</v>
      </c>
      <c r="Q962" s="349" t="s">
        <v>5943</v>
      </c>
      <c r="R962" s="158" t="s">
        <v>5944</v>
      </c>
      <c r="S962" s="149">
        <f t="shared" si="56"/>
        <v>4</v>
      </c>
      <c r="T962" s="131"/>
      <c r="U962" s="78">
        <f>IFERROR(VLOOKUP($AA962,PLAN!$B:$AA,21,0),"")</f>
        <v>46259</v>
      </c>
      <c r="V962" s="78" t="str">
        <f>IFERROR(VLOOKUP($AA962,PLAN!$B:$AA,22,0),"")</f>
        <v>M9</v>
      </c>
      <c r="W962" s="232"/>
      <c r="X962" s="233"/>
      <c r="Y962" s="212"/>
      <c r="Z962" s="350"/>
      <c r="AA962" s="195" t="s">
        <v>5822</v>
      </c>
      <c r="AB962" s="132">
        <f>VLOOKUP(AA962,PLAN!B:V,20,0)</f>
        <v>46259</v>
      </c>
      <c r="AC962" s="132"/>
    </row>
    <row r="963" spans="3:29" s="79" customFormat="1" ht="21.6" customHeight="1">
      <c r="C963" s="249" t="str">
        <f t="shared" si="55"/>
        <v>Aug29-167</v>
      </c>
      <c r="D963" s="77">
        <f>IFERROR(VLOOKUP($AA963,PLAN!$B:$AA,3,0),"")</f>
        <v>11119583</v>
      </c>
      <c r="E963" s="77" t="str">
        <f>IFERROR(VLOOKUP($AA963,PLAN!$B:$AA,4,0),"")</f>
        <v>1911249-D-A</v>
      </c>
      <c r="F963" s="77" t="str">
        <f>IFERROR(VLOOKUP($AA963,PLAN!$B:$AA,5,0),"")</f>
        <v>HJ80AL152P09000 JP</v>
      </c>
      <c r="G963" s="77" t="str">
        <f>IFERROR(VLOOKUP($AA963,PLAN!$B:$AA,2,0),"")</f>
        <v>1001950316</v>
      </c>
      <c r="H963" s="113">
        <f>IFERROR(VLOOKUP($AA963,PLAN!$B:$AA,7,0),"")</f>
        <v>46263</v>
      </c>
      <c r="I963" s="77" t="str">
        <f>IFERROR(VLOOKUP($AA963,PLAN!$B:$AA,8,0),"")</f>
        <v>0103618007</v>
      </c>
      <c r="J963" s="77" t="str">
        <f>IFERROR(VLOOKUP($AA963,PLAN!$B:$AA,9,0),"")</f>
        <v>260818C55A</v>
      </c>
      <c r="K963" s="77">
        <f>IFERROR(VLOOKUP($AA963,PLAN!$B:$AA,10,0),"")</f>
        <v>4</v>
      </c>
      <c r="L963" s="77" t="str">
        <f>IFERROR(VLOOKUP($AA963,PLAN!$B:$AA,15,0),"")</f>
        <v>JAPAN</v>
      </c>
      <c r="M963" s="77">
        <f>IFERROR(VLOOKUP($AA963,PLAN!$B:$AA,18,0),"")</f>
        <v>0</v>
      </c>
      <c r="N963" s="227">
        <f>IFERROR(VLOOKUP($AA963,PLAN!$B:$AA,19,0),"")</f>
        <v>0</v>
      </c>
      <c r="O963" s="77" t="str">
        <f>IFERROR(VLOOKUP($AA963,PLAN!$B:$AA,12,0),"")</f>
        <v>2112251-0-C</v>
      </c>
      <c r="P963" s="77">
        <f>IFERROR(VLOOKUP($AA963,PLAN!$B:$AA,11,0),"")</f>
        <v>12116218</v>
      </c>
      <c r="Q963" s="349" t="s">
        <v>5945</v>
      </c>
      <c r="R963" s="158" t="s">
        <v>5946</v>
      </c>
      <c r="S963" s="149">
        <f t="shared" si="56"/>
        <v>4</v>
      </c>
      <c r="T963" s="131"/>
      <c r="U963" s="78">
        <f>IFERROR(VLOOKUP($AA963,PLAN!$B:$AA,21,0),"")</f>
        <v>46259</v>
      </c>
      <c r="V963" s="78" t="str">
        <f>IFERROR(VLOOKUP($AA963,PLAN!$B:$AA,22,0),"")</f>
        <v>M9</v>
      </c>
      <c r="W963" s="232"/>
      <c r="X963" s="233"/>
      <c r="Y963" s="212"/>
      <c r="Z963" s="350"/>
      <c r="AA963" s="195" t="s">
        <v>5823</v>
      </c>
      <c r="AB963" s="132">
        <f>VLOOKUP(AA963,PLAN!B:V,20,0)</f>
        <v>46259</v>
      </c>
      <c r="AC963" s="132"/>
    </row>
    <row r="964" spans="3:29" s="79" customFormat="1" ht="21.6" customHeight="1">
      <c r="C964" s="249" t="str">
        <f t="shared" si="55"/>
        <v>Aug29-168</v>
      </c>
      <c r="D964" s="77">
        <f>IFERROR(VLOOKUP($AA964,PLAN!$B:$AA,3,0),"")</f>
        <v>11119618</v>
      </c>
      <c r="E964" s="77" t="str">
        <f>IFERROR(VLOOKUP($AA964,PLAN!$B:$AA,4,0),"")</f>
        <v>1911284-D-A</v>
      </c>
      <c r="F964" s="77" t="str">
        <f>IFERROR(VLOOKUP($AA964,PLAN!$B:$AA,5,0),"")</f>
        <v>HJ80JL452P10000 JP</v>
      </c>
      <c r="G964" s="77" t="str">
        <f>IFERROR(VLOOKUP($AA964,PLAN!$B:$AA,2,0),"")</f>
        <v>1001950317</v>
      </c>
      <c r="H964" s="113">
        <f>IFERROR(VLOOKUP($AA964,PLAN!$B:$AA,7,0),"")</f>
        <v>46263</v>
      </c>
      <c r="I964" s="77" t="str">
        <f>IFERROR(VLOOKUP($AA964,PLAN!$B:$AA,8,0),"")</f>
        <v>0103618008</v>
      </c>
      <c r="J964" s="77" t="str">
        <f>IFERROR(VLOOKUP($AA964,PLAN!$B:$AA,9,0),"")</f>
        <v>260818C56A</v>
      </c>
      <c r="K964" s="77">
        <f>IFERROR(VLOOKUP($AA964,PLAN!$B:$AA,10,0),"")</f>
        <v>4</v>
      </c>
      <c r="L964" s="77" t="str">
        <f>IFERROR(VLOOKUP($AA964,PLAN!$B:$AA,15,0),"")</f>
        <v>JAPAN</v>
      </c>
      <c r="M964" s="77">
        <f>IFERROR(VLOOKUP($AA964,PLAN!$B:$AA,18,0),"")</f>
        <v>0</v>
      </c>
      <c r="N964" s="227">
        <f>IFERROR(VLOOKUP($AA964,PLAN!$B:$AA,19,0),"")</f>
        <v>0</v>
      </c>
      <c r="O964" s="77" t="str">
        <f>IFERROR(VLOOKUP($AA964,PLAN!$B:$AA,12,0),"")</f>
        <v>2112286-0-C</v>
      </c>
      <c r="P964" s="77">
        <f>IFERROR(VLOOKUP($AA964,PLAN!$B:$AA,11,0),"")</f>
        <v>12116253</v>
      </c>
      <c r="Q964" s="349" t="s">
        <v>5947</v>
      </c>
      <c r="R964" s="158" t="s">
        <v>5948</v>
      </c>
      <c r="S964" s="149">
        <f t="shared" si="56"/>
        <v>4</v>
      </c>
      <c r="T964" s="131"/>
      <c r="U964" s="78">
        <f>IFERROR(VLOOKUP($AA964,PLAN!$B:$AA,21,0),"")</f>
        <v>46259</v>
      </c>
      <c r="V964" s="78" t="str">
        <f>IFERROR(VLOOKUP($AA964,PLAN!$B:$AA,22,0),"")</f>
        <v>M9</v>
      </c>
      <c r="W964" s="232"/>
      <c r="X964" s="233"/>
      <c r="Y964" s="212"/>
      <c r="Z964" s="350"/>
      <c r="AA964" s="195" t="s">
        <v>5824</v>
      </c>
      <c r="AB964" s="132">
        <f>VLOOKUP(AA964,PLAN!B:V,20,0)</f>
        <v>46259</v>
      </c>
      <c r="AC964" s="132"/>
    </row>
    <row r="965" spans="3:29" s="79" customFormat="1" ht="21.6" customHeight="1">
      <c r="C965" s="249" t="str">
        <f t="shared" si="55"/>
        <v>Aug29-169</v>
      </c>
      <c r="D965" s="77">
        <f>IFERROR(VLOOKUP($AA965,PLAN!$B:$AA,3,0),"")</f>
        <v>11119553</v>
      </c>
      <c r="E965" s="77" t="str">
        <f>IFERROR(VLOOKUP($AA965,PLAN!$B:$AA,4,0),"")</f>
        <v>1911219-D-A</v>
      </c>
      <c r="F965" s="77" t="str">
        <f>IFERROR(VLOOKUP($AA965,PLAN!$B:$AA,5,0),"")</f>
        <v>HJ70SC400P10000 JP</v>
      </c>
      <c r="G965" s="77" t="str">
        <f>IFERROR(VLOOKUP($AA965,PLAN!$B:$AA,2,0),"")</f>
        <v>1001950318</v>
      </c>
      <c r="H965" s="113">
        <f>IFERROR(VLOOKUP($AA965,PLAN!$B:$AA,7,0),"")</f>
        <v>46263</v>
      </c>
      <c r="I965" s="77" t="str">
        <f>IFERROR(VLOOKUP($AA965,PLAN!$B:$AA,8,0),"")</f>
        <v>0103618009</v>
      </c>
      <c r="J965" s="77" t="str">
        <f>IFERROR(VLOOKUP($AA965,PLAN!$B:$AA,9,0),"")</f>
        <v>260818C57A</v>
      </c>
      <c r="K965" s="77">
        <f>IFERROR(VLOOKUP($AA965,PLAN!$B:$AA,10,0),"")</f>
        <v>5</v>
      </c>
      <c r="L965" s="77" t="str">
        <f>IFERROR(VLOOKUP($AA965,PLAN!$B:$AA,15,0),"")</f>
        <v>JAPAN</v>
      </c>
      <c r="M965" s="77">
        <f>IFERROR(VLOOKUP($AA965,PLAN!$B:$AA,18,0),"")</f>
        <v>0</v>
      </c>
      <c r="N965" s="227">
        <f>IFERROR(VLOOKUP($AA965,PLAN!$B:$AA,19,0),"")</f>
        <v>0</v>
      </c>
      <c r="O965" s="77" t="str">
        <f>IFERROR(VLOOKUP($AA965,PLAN!$B:$AA,12,0),"")</f>
        <v>2112221-0-C</v>
      </c>
      <c r="P965" s="77">
        <f>IFERROR(VLOOKUP($AA965,PLAN!$B:$AA,11,0),"")</f>
        <v>12116188</v>
      </c>
      <c r="Q965" s="349" t="s">
        <v>2959</v>
      </c>
      <c r="R965" s="149" t="s">
        <v>2960</v>
      </c>
      <c r="S965" s="223">
        <v>3</v>
      </c>
      <c r="T965" s="131"/>
      <c r="U965" s="78">
        <f>IFERROR(VLOOKUP($AA965,PLAN!$B:$AA,21,0),"")</f>
        <v>46259</v>
      </c>
      <c r="V965" s="78" t="str">
        <f>IFERROR(VLOOKUP($AA965,PLAN!$B:$AA,22,0),"")</f>
        <v>M9</v>
      </c>
      <c r="W965" s="232"/>
      <c r="X965" s="233"/>
      <c r="Y965" s="212"/>
      <c r="Z965" s="350"/>
      <c r="AA965" s="195" t="s">
        <v>5825</v>
      </c>
      <c r="AB965" s="132">
        <f>VLOOKUP(AA965,PLAN!B:V,20,0)</f>
        <v>46259</v>
      </c>
      <c r="AC965" s="132"/>
    </row>
    <row r="966" spans="3:29" s="79" customFormat="1" ht="21.6" customHeight="1">
      <c r="C966" s="249"/>
      <c r="D966" s="77"/>
      <c r="E966" s="77"/>
      <c r="F966" s="77"/>
      <c r="G966" s="77"/>
      <c r="H966" s="113"/>
      <c r="I966" s="77"/>
      <c r="J966" s="77"/>
      <c r="K966" s="77"/>
      <c r="L966" s="77"/>
      <c r="M966" s="77"/>
      <c r="N966" s="227"/>
      <c r="O966" s="77"/>
      <c r="P966" s="77"/>
      <c r="Q966" s="349" t="s">
        <v>5949</v>
      </c>
      <c r="R966" s="158" t="s">
        <v>5950</v>
      </c>
      <c r="S966" s="223">
        <v>2</v>
      </c>
      <c r="T966" s="131"/>
      <c r="U966" s="78"/>
      <c r="V966" s="78"/>
      <c r="W966" s="232"/>
      <c r="X966" s="233"/>
      <c r="Y966" s="212"/>
      <c r="Z966" s="350"/>
      <c r="AA966" s="195"/>
      <c r="AB966" s="132"/>
      <c r="AC966" s="132"/>
    </row>
    <row r="967" spans="3:29" s="79" customFormat="1" ht="21.6" customHeight="1">
      <c r="C967" s="249" t="str">
        <f t="shared" si="55"/>
        <v>Aug29-170</v>
      </c>
      <c r="D967" s="77">
        <f>IFERROR(VLOOKUP($AA967,PLAN!$B:$AA,3,0),"")</f>
        <v>11119667</v>
      </c>
      <c r="E967" s="77" t="str">
        <f>IFERROR(VLOOKUP($AA967,PLAN!$B:$AA,4,0),"")</f>
        <v>1911333-D-A</v>
      </c>
      <c r="F967" s="77" t="str">
        <f>IFERROR(VLOOKUP($AA967,PLAN!$B:$AA,5,0),"")</f>
        <v>HJ80AL152P10002 JP</v>
      </c>
      <c r="G967" s="77" t="str">
        <f>IFERROR(VLOOKUP($AA967,PLAN!$B:$AA,2,0),"")</f>
        <v>1001950319</v>
      </c>
      <c r="H967" s="113">
        <f>IFERROR(VLOOKUP($AA967,PLAN!$B:$AA,7,0),"")</f>
        <v>46263</v>
      </c>
      <c r="I967" s="77" t="str">
        <f>IFERROR(VLOOKUP($AA967,PLAN!$B:$AA,8,0),"")</f>
        <v>0103618010</v>
      </c>
      <c r="J967" s="77" t="str">
        <f>IFERROR(VLOOKUP($AA967,PLAN!$B:$AA,9,0),"")</f>
        <v>260818C58A</v>
      </c>
      <c r="K967" s="77">
        <f>IFERROR(VLOOKUP($AA967,PLAN!$B:$AA,10,0),"")</f>
        <v>5</v>
      </c>
      <c r="L967" s="77" t="str">
        <f>IFERROR(VLOOKUP($AA967,PLAN!$B:$AA,15,0),"")</f>
        <v>JAPAN</v>
      </c>
      <c r="M967" s="77">
        <f>IFERROR(VLOOKUP($AA967,PLAN!$B:$AA,18,0),"")</f>
        <v>0</v>
      </c>
      <c r="N967" s="227">
        <f>IFERROR(VLOOKUP($AA967,PLAN!$B:$AA,19,0),"")</f>
        <v>0</v>
      </c>
      <c r="O967" s="77" t="str">
        <f>IFERROR(VLOOKUP($AA967,PLAN!$B:$AA,12,0),"")</f>
        <v>2112335-0-C</v>
      </c>
      <c r="P967" s="77">
        <f>IFERROR(VLOOKUP($AA967,PLAN!$B:$AA,11,0),"")</f>
        <v>12116302</v>
      </c>
      <c r="Q967" s="349" t="s">
        <v>5951</v>
      </c>
      <c r="R967" s="158" t="s">
        <v>5952</v>
      </c>
      <c r="S967" s="149">
        <f t="shared" si="56"/>
        <v>5</v>
      </c>
      <c r="T967" s="131"/>
      <c r="U967" s="78">
        <f>IFERROR(VLOOKUP($AA967,PLAN!$B:$AA,21,0),"")</f>
        <v>46259</v>
      </c>
      <c r="V967" s="78" t="str">
        <f>IFERROR(VLOOKUP($AA967,PLAN!$B:$AA,22,0),"")</f>
        <v>M9</v>
      </c>
      <c r="W967" s="232"/>
      <c r="X967" s="233"/>
      <c r="Y967" s="212"/>
      <c r="Z967" s="350"/>
      <c r="AA967" s="195" t="s">
        <v>5826</v>
      </c>
      <c r="AB967" s="132">
        <f>VLOOKUP(AA967,PLAN!B:V,20,0)</f>
        <v>46259</v>
      </c>
      <c r="AC967" s="132"/>
    </row>
    <row r="968" spans="3:29" s="79" customFormat="1" ht="21.6" customHeight="1">
      <c r="C968" s="249" t="str">
        <f t="shared" si="55"/>
        <v>Aug29-171</v>
      </c>
      <c r="D968" s="77">
        <f>IFERROR(VLOOKUP($AA968,PLAN!$B:$AA,3,0),"")</f>
        <v>11119457</v>
      </c>
      <c r="E968" s="77" t="str">
        <f>IFERROR(VLOOKUP($AA968,PLAN!$B:$AA,4,0),"")</f>
        <v>1911123-D-A</v>
      </c>
      <c r="F968" s="77" t="str">
        <f>IFERROR(VLOOKUP($AA968,PLAN!$B:$AA,5,0),"")</f>
        <v>HJ70CP150P10020 JP</v>
      </c>
      <c r="G968" s="77" t="str">
        <f>IFERROR(VLOOKUP($AA968,PLAN!$B:$AA,2,0),"")</f>
        <v>1001950320</v>
      </c>
      <c r="H968" s="113">
        <f>IFERROR(VLOOKUP($AA968,PLAN!$B:$AA,7,0),"")</f>
        <v>46263</v>
      </c>
      <c r="I968" s="77" t="str">
        <f>IFERROR(VLOOKUP($AA968,PLAN!$B:$AA,8,0),"")</f>
        <v>0103618011</v>
      </c>
      <c r="J968" s="77" t="str">
        <f>IFERROR(VLOOKUP($AA968,PLAN!$B:$AA,9,0),"")</f>
        <v>260818C59A</v>
      </c>
      <c r="K968" s="77">
        <f>IFERROR(VLOOKUP($AA968,PLAN!$B:$AA,10,0),"")</f>
        <v>6</v>
      </c>
      <c r="L968" s="77" t="str">
        <f>IFERROR(VLOOKUP($AA968,PLAN!$B:$AA,15,0),"")</f>
        <v>JAPAN</v>
      </c>
      <c r="M968" s="77">
        <f>IFERROR(VLOOKUP($AA968,PLAN!$B:$AA,18,0),"")</f>
        <v>0</v>
      </c>
      <c r="N968" s="227">
        <f>IFERROR(VLOOKUP($AA968,PLAN!$B:$AA,19,0),"")</f>
        <v>0</v>
      </c>
      <c r="O968" s="77" t="str">
        <f>IFERROR(VLOOKUP($AA968,PLAN!$B:$AA,12,0),"")</f>
        <v>2112125-0-C</v>
      </c>
      <c r="P968" s="77">
        <f>IFERROR(VLOOKUP($AA968,PLAN!$B:$AA,11,0),"")</f>
        <v>12116092</v>
      </c>
      <c r="Q968" s="349" t="s">
        <v>3021</v>
      </c>
      <c r="R968" s="149" t="s">
        <v>3022</v>
      </c>
      <c r="S968" s="223">
        <v>2</v>
      </c>
      <c r="T968" s="131"/>
      <c r="U968" s="78">
        <f>IFERROR(VLOOKUP($AA968,PLAN!$B:$AA,21,0),"")</f>
        <v>46259</v>
      </c>
      <c r="V968" s="78" t="str">
        <f>IFERROR(VLOOKUP($AA968,PLAN!$B:$AA,22,0),"")</f>
        <v>M9</v>
      </c>
      <c r="W968" s="232"/>
      <c r="X968" s="233"/>
      <c r="Y968" s="212"/>
      <c r="Z968" s="350"/>
      <c r="AA968" s="195" t="s">
        <v>5827</v>
      </c>
      <c r="AB968" s="132">
        <f>VLOOKUP(AA968,PLAN!B:V,20,0)</f>
        <v>46259</v>
      </c>
      <c r="AC968" s="132"/>
    </row>
    <row r="969" spans="3:29" s="79" customFormat="1" ht="21.6" customHeight="1">
      <c r="C969" s="249"/>
      <c r="D969" s="77"/>
      <c r="E969" s="77"/>
      <c r="F969" s="77"/>
      <c r="G969" s="77"/>
      <c r="H969" s="113"/>
      <c r="I969" s="77"/>
      <c r="J969" s="77"/>
      <c r="K969" s="77"/>
      <c r="L969" s="77"/>
      <c r="M969" s="77"/>
      <c r="N969" s="227"/>
      <c r="O969" s="77"/>
      <c r="P969" s="77"/>
      <c r="Q969" s="349" t="s">
        <v>5953</v>
      </c>
      <c r="R969" s="158" t="s">
        <v>5954</v>
      </c>
      <c r="S969" s="223">
        <v>4</v>
      </c>
      <c r="T969" s="131"/>
      <c r="U969" s="78"/>
      <c r="V969" s="78"/>
      <c r="W969" s="232"/>
      <c r="X969" s="233"/>
      <c r="Y969" s="212"/>
      <c r="Z969" s="350"/>
      <c r="AA969" s="195"/>
      <c r="AB969" s="132"/>
      <c r="AC969" s="132"/>
    </row>
    <row r="970" spans="3:29" s="79" customFormat="1" ht="21.6" customHeight="1">
      <c r="C970" s="249" t="str">
        <f t="shared" si="55"/>
        <v>Aug29-172</v>
      </c>
      <c r="D970" s="77">
        <f>IFERROR(VLOOKUP($AA970,PLAN!$B:$AA,3,0),"")</f>
        <v>11119511</v>
      </c>
      <c r="E970" s="77" t="str">
        <f>IFERROR(VLOOKUP($AA970,PLAN!$B:$AA,4,0),"")</f>
        <v>1911177-D-A</v>
      </c>
      <c r="F970" s="77" t="str">
        <f>IFERROR(VLOOKUP($AA970,PLAN!$B:$AA,5,0),"")</f>
        <v>HJ70JR450P10020 JP</v>
      </c>
      <c r="G970" s="77" t="str">
        <f>IFERROR(VLOOKUP($AA970,PLAN!$B:$AA,2,0),"")</f>
        <v>1001950321</v>
      </c>
      <c r="H970" s="113">
        <f>IFERROR(VLOOKUP($AA970,PLAN!$B:$AA,7,0),"")</f>
        <v>46263</v>
      </c>
      <c r="I970" s="77" t="str">
        <f>IFERROR(VLOOKUP($AA970,PLAN!$B:$AA,8,0),"")</f>
        <v>0103618012</v>
      </c>
      <c r="J970" s="77" t="str">
        <f>IFERROR(VLOOKUP($AA970,PLAN!$B:$AA,9,0),"")</f>
        <v>260818C60A</v>
      </c>
      <c r="K970" s="77">
        <f>IFERROR(VLOOKUP($AA970,PLAN!$B:$AA,10,0),"")</f>
        <v>6</v>
      </c>
      <c r="L970" s="77" t="str">
        <f>IFERROR(VLOOKUP($AA970,PLAN!$B:$AA,15,0),"")</f>
        <v>JAPAN</v>
      </c>
      <c r="M970" s="77">
        <f>IFERROR(VLOOKUP($AA970,PLAN!$B:$AA,18,0),"")</f>
        <v>0</v>
      </c>
      <c r="N970" s="227">
        <f>IFERROR(VLOOKUP($AA970,PLAN!$B:$AA,19,0),"")</f>
        <v>0</v>
      </c>
      <c r="O970" s="77" t="str">
        <f>IFERROR(VLOOKUP($AA970,PLAN!$B:$AA,12,0),"")</f>
        <v>2112179-0-C</v>
      </c>
      <c r="P970" s="77">
        <f>IFERROR(VLOOKUP($AA970,PLAN!$B:$AA,11,0),"")</f>
        <v>12116146</v>
      </c>
      <c r="Q970" s="349" t="s">
        <v>5955</v>
      </c>
      <c r="R970" s="158" t="s">
        <v>5956</v>
      </c>
      <c r="S970" s="149">
        <f t="shared" si="56"/>
        <v>6</v>
      </c>
      <c r="T970" s="131"/>
      <c r="U970" s="78">
        <f>IFERROR(VLOOKUP($AA970,PLAN!$B:$AA,21,0),"")</f>
        <v>46259</v>
      </c>
      <c r="V970" s="78" t="str">
        <f>IFERROR(VLOOKUP($AA970,PLAN!$B:$AA,22,0),"")</f>
        <v>M9</v>
      </c>
      <c r="W970" s="232"/>
      <c r="X970" s="233"/>
      <c r="Y970" s="212"/>
      <c r="Z970" s="350"/>
      <c r="AA970" s="195" t="s">
        <v>5828</v>
      </c>
      <c r="AB970" s="132">
        <f>VLOOKUP(AA970,PLAN!B:V,20,0)</f>
        <v>46259</v>
      </c>
      <c r="AC970" s="132"/>
    </row>
    <row r="971" spans="3:29" s="79" customFormat="1" ht="21.6" customHeight="1">
      <c r="C971" s="249" t="str">
        <f t="shared" si="55"/>
        <v>Aug29-173</v>
      </c>
      <c r="D971" s="77">
        <f>IFERROR(VLOOKUP($AA971,PLAN!$B:$AA,3,0),"")</f>
        <v>11119625</v>
      </c>
      <c r="E971" s="77" t="str">
        <f>IFERROR(VLOOKUP($AA971,PLAN!$B:$AA,4,0),"")</f>
        <v>1911291-D-A</v>
      </c>
      <c r="F971" s="77" t="str">
        <f>IFERROR(VLOOKUP($AA971,PLAN!$B:$AA,5,0),"")</f>
        <v>HJ80JR350P10000 JP</v>
      </c>
      <c r="G971" s="77" t="str">
        <f>IFERROR(VLOOKUP($AA971,PLAN!$B:$AA,2,0),"")</f>
        <v>1001950322</v>
      </c>
      <c r="H971" s="113">
        <f>IFERROR(VLOOKUP($AA971,PLAN!$B:$AA,7,0),"")</f>
        <v>46263</v>
      </c>
      <c r="I971" s="77" t="str">
        <f>IFERROR(VLOOKUP($AA971,PLAN!$B:$AA,8,0),"")</f>
        <v>0103618013</v>
      </c>
      <c r="J971" s="77" t="str">
        <f>IFERROR(VLOOKUP($AA971,PLAN!$B:$AA,9,0),"")</f>
        <v>260818C61A</v>
      </c>
      <c r="K971" s="77">
        <f>IFERROR(VLOOKUP($AA971,PLAN!$B:$AA,10,0),"")</f>
        <v>7</v>
      </c>
      <c r="L971" s="77" t="str">
        <f>IFERROR(VLOOKUP($AA971,PLAN!$B:$AA,15,0),"")</f>
        <v>JAPAN</v>
      </c>
      <c r="M971" s="77">
        <f>IFERROR(VLOOKUP($AA971,PLAN!$B:$AA,18,0),"")</f>
        <v>0</v>
      </c>
      <c r="N971" s="227">
        <f>IFERROR(VLOOKUP($AA971,PLAN!$B:$AA,19,0),"")</f>
        <v>0</v>
      </c>
      <c r="O971" s="77" t="str">
        <f>IFERROR(VLOOKUP($AA971,PLAN!$B:$AA,12,0),"")</f>
        <v>2112293-0-C</v>
      </c>
      <c r="P971" s="77">
        <f>IFERROR(VLOOKUP($AA971,PLAN!$B:$AA,11,0),"")</f>
        <v>12116260</v>
      </c>
      <c r="Q971" s="349" t="s">
        <v>5957</v>
      </c>
      <c r="R971" s="158" t="s">
        <v>5958</v>
      </c>
      <c r="S971" s="149">
        <f t="shared" si="56"/>
        <v>7</v>
      </c>
      <c r="T971" s="131"/>
      <c r="U971" s="78">
        <f>IFERROR(VLOOKUP($AA971,PLAN!$B:$AA,21,0),"")</f>
        <v>46259</v>
      </c>
      <c r="V971" s="78" t="str">
        <f>IFERROR(VLOOKUP($AA971,PLAN!$B:$AA,22,0),"")</f>
        <v>M9</v>
      </c>
      <c r="W971" s="232"/>
      <c r="X971" s="233"/>
      <c r="Y971" s="212"/>
      <c r="Z971" s="350"/>
      <c r="AA971" s="195" t="s">
        <v>5829</v>
      </c>
      <c r="AB971" s="132">
        <f>VLOOKUP(AA971,PLAN!B:V,20,0)</f>
        <v>46259</v>
      </c>
      <c r="AC971" s="132"/>
    </row>
    <row r="972" spans="3:29" s="79" customFormat="1" ht="21.6" customHeight="1">
      <c r="C972" s="249" t="str">
        <f t="shared" si="55"/>
        <v>Aug29-174</v>
      </c>
      <c r="D972" s="77">
        <f>IFERROR(VLOOKUP($AA972,PLAN!$B:$AA,3,0),"")</f>
        <v>11119540</v>
      </c>
      <c r="E972" s="77" t="str">
        <f>IFERROR(VLOOKUP($AA972,PLAN!$B:$AA,4,0),"")</f>
        <v>1911206-D-A</v>
      </c>
      <c r="F972" s="77" t="str">
        <f>IFERROR(VLOOKUP($AA972,PLAN!$B:$AA,5,0),"")</f>
        <v>HJ70AL100P09022 JP</v>
      </c>
      <c r="G972" s="77" t="str">
        <f>IFERROR(VLOOKUP($AA972,PLAN!$B:$AA,2,0),"")</f>
        <v>1001950323</v>
      </c>
      <c r="H972" s="113">
        <f>IFERROR(VLOOKUP($AA972,PLAN!$B:$AA,7,0),"")</f>
        <v>46263</v>
      </c>
      <c r="I972" s="77" t="str">
        <f>IFERROR(VLOOKUP($AA972,PLAN!$B:$AA,8,0),"")</f>
        <v>0103618014</v>
      </c>
      <c r="J972" s="77" t="str">
        <f>IFERROR(VLOOKUP($AA972,PLAN!$B:$AA,9,0),"")</f>
        <v>260818C62A</v>
      </c>
      <c r="K972" s="77">
        <f>IFERROR(VLOOKUP($AA972,PLAN!$B:$AA,10,0),"")</f>
        <v>10</v>
      </c>
      <c r="L972" s="77" t="str">
        <f>IFERROR(VLOOKUP($AA972,PLAN!$B:$AA,15,0),"")</f>
        <v>JAPAN</v>
      </c>
      <c r="M972" s="77">
        <f>IFERROR(VLOOKUP($AA972,PLAN!$B:$AA,18,0),"")</f>
        <v>0</v>
      </c>
      <c r="N972" s="227">
        <f>IFERROR(VLOOKUP($AA972,PLAN!$B:$AA,19,0),"")</f>
        <v>0</v>
      </c>
      <c r="O972" s="77" t="str">
        <f>IFERROR(VLOOKUP($AA972,PLAN!$B:$AA,12,0),"")</f>
        <v>2112208-0-C</v>
      </c>
      <c r="P972" s="77">
        <f>IFERROR(VLOOKUP($AA972,PLAN!$B:$AA,11,0),"")</f>
        <v>12116175</v>
      </c>
      <c r="Q972" s="349" t="s">
        <v>5959</v>
      </c>
      <c r="R972" s="158" t="s">
        <v>5960</v>
      </c>
      <c r="S972" s="149">
        <f t="shared" si="56"/>
        <v>10</v>
      </c>
      <c r="T972" s="131"/>
      <c r="U972" s="78">
        <f>IFERROR(VLOOKUP($AA972,PLAN!$B:$AA,21,0),"")</f>
        <v>46259</v>
      </c>
      <c r="V972" s="78" t="str">
        <f>IFERROR(VLOOKUP($AA972,PLAN!$B:$AA,22,0),"")</f>
        <v>M9</v>
      </c>
      <c r="W972" s="232"/>
      <c r="X972" s="233"/>
      <c r="Y972" s="212"/>
      <c r="Z972" s="350"/>
      <c r="AA972" s="195" t="s">
        <v>5830</v>
      </c>
      <c r="AB972" s="132">
        <f>VLOOKUP(AA972,PLAN!B:V,20,0)</f>
        <v>46259</v>
      </c>
      <c r="AC972" s="132"/>
    </row>
    <row r="973" spans="3:29" s="79" customFormat="1" ht="21.6" customHeight="1">
      <c r="C973" s="249" t="str">
        <f t="shared" si="55"/>
        <v>Aug29-175</v>
      </c>
      <c r="D973" s="77">
        <f>IFERROR(VLOOKUP($AA973,PLAN!$B:$AA,3,0),"")</f>
        <v>11119452</v>
      </c>
      <c r="E973" s="77" t="str">
        <f>IFERROR(VLOOKUP($AA973,PLAN!$B:$AA,4,0),"")</f>
        <v>1911118-D-A</v>
      </c>
      <c r="F973" s="77" t="str">
        <f>IFERROR(VLOOKUP($AA973,PLAN!$B:$AA,5,0),"")</f>
        <v>HJ70AL150P10021 JP</v>
      </c>
      <c r="G973" s="77" t="str">
        <f>IFERROR(VLOOKUP($AA973,PLAN!$B:$AA,2,0),"")</f>
        <v>1001950324</v>
      </c>
      <c r="H973" s="113">
        <f>IFERROR(VLOOKUP($AA973,PLAN!$B:$AA,7,0),"")</f>
        <v>46263</v>
      </c>
      <c r="I973" s="77" t="str">
        <f>IFERROR(VLOOKUP($AA973,PLAN!$B:$AA,8,0),"")</f>
        <v>0103618015</v>
      </c>
      <c r="J973" s="77" t="str">
        <f>IFERROR(VLOOKUP($AA973,PLAN!$B:$AA,9,0),"")</f>
        <v>260818C63A</v>
      </c>
      <c r="K973" s="77">
        <f>IFERROR(VLOOKUP($AA973,PLAN!$B:$AA,10,0),"")</f>
        <v>10</v>
      </c>
      <c r="L973" s="77" t="str">
        <f>IFERROR(VLOOKUP($AA973,PLAN!$B:$AA,15,0),"")</f>
        <v>JAPAN</v>
      </c>
      <c r="M973" s="77">
        <f>IFERROR(VLOOKUP($AA973,PLAN!$B:$AA,18,0),"")</f>
        <v>0</v>
      </c>
      <c r="N973" s="227">
        <f>IFERROR(VLOOKUP($AA973,PLAN!$B:$AA,19,0),"")</f>
        <v>0</v>
      </c>
      <c r="O973" s="77" t="str">
        <f>IFERROR(VLOOKUP($AA973,PLAN!$B:$AA,12,0),"")</f>
        <v>2112120-0-C</v>
      </c>
      <c r="P973" s="77">
        <f>IFERROR(VLOOKUP($AA973,PLAN!$B:$AA,11,0),"")</f>
        <v>12116087</v>
      </c>
      <c r="Q973" s="349" t="s">
        <v>5961</v>
      </c>
      <c r="R973" s="158" t="s">
        <v>5962</v>
      </c>
      <c r="S973" s="149">
        <f t="shared" si="56"/>
        <v>10</v>
      </c>
      <c r="T973" s="131"/>
      <c r="U973" s="78">
        <f>IFERROR(VLOOKUP($AA973,PLAN!$B:$AA,21,0),"")</f>
        <v>46259</v>
      </c>
      <c r="V973" s="78" t="str">
        <f>IFERROR(VLOOKUP($AA973,PLAN!$B:$AA,22,0),"")</f>
        <v>M9</v>
      </c>
      <c r="W973" s="232"/>
      <c r="X973" s="233"/>
      <c r="Y973" s="212"/>
      <c r="Z973" s="350"/>
      <c r="AA973" s="195" t="s">
        <v>5831</v>
      </c>
      <c r="AB973" s="132">
        <f>VLOOKUP(AA973,PLAN!B:V,20,0)</f>
        <v>46259</v>
      </c>
      <c r="AC973" s="132"/>
    </row>
    <row r="974" spans="3:29" s="79" customFormat="1" ht="21.6" customHeight="1">
      <c r="C974" s="249" t="str">
        <f t="shared" si="55"/>
        <v>Aug29-176</v>
      </c>
      <c r="D974" s="77">
        <f>IFERROR(VLOOKUP($AA974,PLAN!$B:$AA,3,0),"")</f>
        <v>11119579</v>
      </c>
      <c r="E974" s="77" t="str">
        <f>IFERROR(VLOOKUP($AA974,PLAN!$B:$AA,4,0),"")</f>
        <v>1911245-D-A</v>
      </c>
      <c r="F974" s="77" t="str">
        <f>IFERROR(VLOOKUP($AA974,PLAN!$B:$AA,5,0),"")</f>
        <v>HJ80AL102P10001 JP</v>
      </c>
      <c r="G974" s="77" t="str">
        <f>IFERROR(VLOOKUP($AA974,PLAN!$B:$AA,2,0),"")</f>
        <v>1001950325</v>
      </c>
      <c r="H974" s="113">
        <f>IFERROR(VLOOKUP($AA974,PLAN!$B:$AA,7,0),"")</f>
        <v>46263</v>
      </c>
      <c r="I974" s="77" t="str">
        <f>IFERROR(VLOOKUP($AA974,PLAN!$B:$AA,8,0),"")</f>
        <v>0103618016</v>
      </c>
      <c r="J974" s="77" t="str">
        <f>IFERROR(VLOOKUP($AA974,PLAN!$B:$AA,9,0),"")</f>
        <v>260818C64A</v>
      </c>
      <c r="K974" s="77">
        <f>IFERROR(VLOOKUP($AA974,PLAN!$B:$AA,10,0),"")</f>
        <v>11</v>
      </c>
      <c r="L974" s="77" t="str">
        <f>IFERROR(VLOOKUP($AA974,PLAN!$B:$AA,15,0),"")</f>
        <v>JAPAN</v>
      </c>
      <c r="M974" s="77">
        <f>IFERROR(VLOOKUP($AA974,PLAN!$B:$AA,18,0),"")</f>
        <v>0</v>
      </c>
      <c r="N974" s="227">
        <f>IFERROR(VLOOKUP($AA974,PLAN!$B:$AA,19,0),"")</f>
        <v>0</v>
      </c>
      <c r="O974" s="77" t="str">
        <f>IFERROR(VLOOKUP($AA974,PLAN!$B:$AA,12,0),"")</f>
        <v>2112247-0-C</v>
      </c>
      <c r="P974" s="77">
        <f>IFERROR(VLOOKUP($AA974,PLAN!$B:$AA,11,0),"")</f>
        <v>12116214</v>
      </c>
      <c r="Q974" s="349" t="s">
        <v>5963</v>
      </c>
      <c r="R974" s="158" t="s">
        <v>5964</v>
      </c>
      <c r="S974" s="149">
        <f t="shared" si="56"/>
        <v>11</v>
      </c>
      <c r="T974" s="131"/>
      <c r="U974" s="78">
        <f>IFERROR(VLOOKUP($AA974,PLAN!$B:$AA,21,0),"")</f>
        <v>46259</v>
      </c>
      <c r="V974" s="78" t="str">
        <f>IFERROR(VLOOKUP($AA974,PLAN!$B:$AA,22,0),"")</f>
        <v>M9</v>
      </c>
      <c r="W974" s="232"/>
      <c r="X974" s="233"/>
      <c r="Y974" s="212"/>
      <c r="Z974" s="350"/>
      <c r="AA974" s="195" t="s">
        <v>5832</v>
      </c>
      <c r="AB974" s="132">
        <f>VLOOKUP(AA974,PLAN!B:V,20,0)</f>
        <v>46259</v>
      </c>
      <c r="AC974" s="132"/>
    </row>
    <row r="975" spans="3:29" s="79" customFormat="1" ht="21.6" customHeight="1">
      <c r="C975" s="249" t="str">
        <f t="shared" si="55"/>
        <v>Aug29-177</v>
      </c>
      <c r="D975" s="77">
        <f>IFERROR(VLOOKUP($AA975,PLAN!$B:$AA,3,0),"")</f>
        <v>11119547</v>
      </c>
      <c r="E975" s="77" t="str">
        <f>IFERROR(VLOOKUP($AA975,PLAN!$B:$AA,4,0),"")</f>
        <v>1911213-D-A</v>
      </c>
      <c r="F975" s="77" t="str">
        <f>IFERROR(VLOOKUP($AA975,PLAN!$B:$AA,5,0),"")</f>
        <v>HJ70AL200P10022 JP</v>
      </c>
      <c r="G975" s="77" t="str">
        <f>IFERROR(VLOOKUP($AA975,PLAN!$B:$AA,2,0),"")</f>
        <v>1001950326</v>
      </c>
      <c r="H975" s="113">
        <f>IFERROR(VLOOKUP($AA975,PLAN!$B:$AA,7,0),"")</f>
        <v>46263</v>
      </c>
      <c r="I975" s="77" t="str">
        <f>IFERROR(VLOOKUP($AA975,PLAN!$B:$AA,8,0),"")</f>
        <v>0103618017</v>
      </c>
      <c r="J975" s="77" t="str">
        <f>IFERROR(VLOOKUP($AA975,PLAN!$B:$AA,9,0),"")</f>
        <v>260818C65A</v>
      </c>
      <c r="K975" s="77">
        <f>IFERROR(VLOOKUP($AA975,PLAN!$B:$AA,10,0),"")</f>
        <v>12</v>
      </c>
      <c r="L975" s="77" t="str">
        <f>IFERROR(VLOOKUP($AA975,PLAN!$B:$AA,15,0),"")</f>
        <v>JAPAN</v>
      </c>
      <c r="M975" s="77">
        <f>IFERROR(VLOOKUP($AA975,PLAN!$B:$AA,18,0),"")</f>
        <v>0</v>
      </c>
      <c r="N975" s="227">
        <f>IFERROR(VLOOKUP($AA975,PLAN!$B:$AA,19,0),"")</f>
        <v>0</v>
      </c>
      <c r="O975" s="77" t="str">
        <f>IFERROR(VLOOKUP($AA975,PLAN!$B:$AA,12,0),"")</f>
        <v>2112215-0-C</v>
      </c>
      <c r="P975" s="77">
        <f>IFERROR(VLOOKUP($AA975,PLAN!$B:$AA,11,0),"")</f>
        <v>12116182</v>
      </c>
      <c r="Q975" s="349" t="s">
        <v>5965</v>
      </c>
      <c r="R975" s="158" t="s">
        <v>5966</v>
      </c>
      <c r="S975" s="149">
        <f t="shared" si="56"/>
        <v>12</v>
      </c>
      <c r="T975" s="131"/>
      <c r="U975" s="78">
        <f>IFERROR(VLOOKUP($AA975,PLAN!$B:$AA,21,0),"")</f>
        <v>46259</v>
      </c>
      <c r="V975" s="78" t="str">
        <f>IFERROR(VLOOKUP($AA975,PLAN!$B:$AA,22,0),"")</f>
        <v>M9</v>
      </c>
      <c r="W975" s="232"/>
      <c r="X975" s="233"/>
      <c r="Y975" s="212"/>
      <c r="Z975" s="350"/>
      <c r="AA975" s="195" t="s">
        <v>5833</v>
      </c>
      <c r="AB975" s="132">
        <f>VLOOKUP(AA975,PLAN!B:V,20,0)</f>
        <v>46259</v>
      </c>
      <c r="AC975" s="132"/>
    </row>
    <row r="976" spans="3:29" s="79" customFormat="1" ht="21.6" customHeight="1">
      <c r="C976" s="249" t="str">
        <f t="shared" si="55"/>
        <v>Aug29-178</v>
      </c>
      <c r="D976" s="77">
        <f>IFERROR(VLOOKUP($AA976,PLAN!$B:$AA,3,0),"")</f>
        <v>11119535</v>
      </c>
      <c r="E976" s="77" t="str">
        <f>IFERROR(VLOOKUP($AA976,PLAN!$B:$AA,4,0),"")</f>
        <v>1911201-D-A</v>
      </c>
      <c r="F976" s="77" t="str">
        <f>IFERROR(VLOOKUP($AA976,PLAN!$B:$AA,5,0),"")</f>
        <v>HJ70AL070P10022 JP</v>
      </c>
      <c r="G976" s="77" t="str">
        <f>IFERROR(VLOOKUP($AA976,PLAN!$B:$AA,2,0),"")</f>
        <v>1001950327</v>
      </c>
      <c r="H976" s="113">
        <f>IFERROR(VLOOKUP($AA976,PLAN!$B:$AA,7,0),"")</f>
        <v>46263</v>
      </c>
      <c r="I976" s="77" t="str">
        <f>IFERROR(VLOOKUP($AA976,PLAN!$B:$AA,8,0),"")</f>
        <v>0103618018</v>
      </c>
      <c r="J976" s="77" t="str">
        <f>IFERROR(VLOOKUP($AA976,PLAN!$B:$AA,9,0),"")</f>
        <v>260818C66A</v>
      </c>
      <c r="K976" s="77">
        <f>IFERROR(VLOOKUP($AA976,PLAN!$B:$AA,10,0),"")</f>
        <v>15</v>
      </c>
      <c r="L976" s="77" t="str">
        <f>IFERROR(VLOOKUP($AA976,PLAN!$B:$AA,15,0),"")</f>
        <v>JAPAN</v>
      </c>
      <c r="M976" s="77">
        <f>IFERROR(VLOOKUP($AA976,PLAN!$B:$AA,18,0),"")</f>
        <v>0</v>
      </c>
      <c r="N976" s="227">
        <f>IFERROR(VLOOKUP($AA976,PLAN!$B:$AA,19,0),"")</f>
        <v>0</v>
      </c>
      <c r="O976" s="77" t="str">
        <f>IFERROR(VLOOKUP($AA976,PLAN!$B:$AA,12,0),"")</f>
        <v>2112203-0-C</v>
      </c>
      <c r="P976" s="77">
        <f>IFERROR(VLOOKUP($AA976,PLAN!$B:$AA,11,0),"")</f>
        <v>12116170</v>
      </c>
      <c r="Q976" s="349" t="s">
        <v>5967</v>
      </c>
      <c r="R976" s="158" t="s">
        <v>5968</v>
      </c>
      <c r="S976" s="149">
        <f t="shared" si="56"/>
        <v>15</v>
      </c>
      <c r="T976" s="131"/>
      <c r="U976" s="78">
        <f>IFERROR(VLOOKUP($AA976,PLAN!$B:$AA,21,0),"")</f>
        <v>46259</v>
      </c>
      <c r="V976" s="78" t="str">
        <f>IFERROR(VLOOKUP($AA976,PLAN!$B:$AA,22,0),"")</f>
        <v>M9</v>
      </c>
      <c r="W976" s="232"/>
      <c r="X976" s="233"/>
      <c r="Y976" s="212"/>
      <c r="Z976" s="350"/>
      <c r="AA976" s="195" t="s">
        <v>5834</v>
      </c>
      <c r="AB976" s="132">
        <f>VLOOKUP(AA976,PLAN!B:V,20,0)</f>
        <v>46259</v>
      </c>
      <c r="AC976" s="132"/>
    </row>
    <row r="977" spans="3:29" s="79" customFormat="1" ht="21.6" customHeight="1">
      <c r="C977" s="249" t="str">
        <f t="shared" si="55"/>
        <v>Aug29-179</v>
      </c>
      <c r="D977" s="77">
        <f>IFERROR(VLOOKUP($AA977,PLAN!$B:$AA,3,0),"")</f>
        <v>11119454</v>
      </c>
      <c r="E977" s="77" t="str">
        <f>IFERROR(VLOOKUP($AA977,PLAN!$B:$AA,4,0),"")</f>
        <v>1911120-D-A</v>
      </c>
      <c r="F977" s="77" t="str">
        <f>IFERROR(VLOOKUP($AA977,PLAN!$B:$AA,5,0),"")</f>
        <v>HJ70AL200P10020 JP</v>
      </c>
      <c r="G977" s="77" t="str">
        <f>IFERROR(VLOOKUP($AA977,PLAN!$B:$AA,2,0),"")</f>
        <v>1001950328</v>
      </c>
      <c r="H977" s="113">
        <f>IFERROR(VLOOKUP($AA977,PLAN!$B:$AA,7,0),"")</f>
        <v>46263</v>
      </c>
      <c r="I977" s="77" t="str">
        <f>IFERROR(VLOOKUP($AA977,PLAN!$B:$AA,8,0),"")</f>
        <v>0103618019</v>
      </c>
      <c r="J977" s="77" t="str">
        <f>IFERROR(VLOOKUP($AA977,PLAN!$B:$AA,9,0),"")</f>
        <v>260818C67A</v>
      </c>
      <c r="K977" s="77">
        <f>IFERROR(VLOOKUP($AA977,PLAN!$B:$AA,10,0),"")</f>
        <v>28</v>
      </c>
      <c r="L977" s="77" t="str">
        <f>IFERROR(VLOOKUP($AA977,PLAN!$B:$AA,15,0),"")</f>
        <v>JAPAN</v>
      </c>
      <c r="M977" s="77">
        <f>IFERROR(VLOOKUP($AA977,PLAN!$B:$AA,18,0),"")</f>
        <v>0</v>
      </c>
      <c r="N977" s="227">
        <f>IFERROR(VLOOKUP($AA977,PLAN!$B:$AA,19,0),"")</f>
        <v>0</v>
      </c>
      <c r="O977" s="77" t="str">
        <f>IFERROR(VLOOKUP($AA977,PLAN!$B:$AA,12,0),"")</f>
        <v>2112122-0-C</v>
      </c>
      <c r="P977" s="77">
        <f>IFERROR(VLOOKUP($AA977,PLAN!$B:$AA,11,0),"")</f>
        <v>12116089</v>
      </c>
      <c r="Q977" s="349" t="s">
        <v>5969</v>
      </c>
      <c r="R977" s="158" t="s">
        <v>5970</v>
      </c>
      <c r="S977" s="149">
        <f t="shared" si="56"/>
        <v>28</v>
      </c>
      <c r="T977" s="131"/>
      <c r="U977" s="78">
        <f>IFERROR(VLOOKUP($AA977,PLAN!$B:$AA,21,0),"")</f>
        <v>46259</v>
      </c>
      <c r="V977" s="78" t="str">
        <f>IFERROR(VLOOKUP($AA977,PLAN!$B:$AA,22,0),"")</f>
        <v>M9</v>
      </c>
      <c r="W977" s="232"/>
      <c r="X977" s="233"/>
      <c r="Y977" s="212"/>
      <c r="Z977" s="350"/>
      <c r="AA977" s="195" t="s">
        <v>5835</v>
      </c>
      <c r="AB977" s="132">
        <f>VLOOKUP(AA977,PLAN!B:V,20,0)</f>
        <v>46259</v>
      </c>
      <c r="AC977" s="132"/>
    </row>
    <row r="978" spans="3:29" s="79" customFormat="1" ht="21.6" customHeight="1">
      <c r="C978" s="249" t="str">
        <f t="shared" si="55"/>
        <v>Aug29-180</v>
      </c>
      <c r="D978" s="77">
        <f>IFERROR(VLOOKUP($AA978,PLAN!$B:$AA,3,0),"")</f>
        <v>11119448</v>
      </c>
      <c r="E978" s="77" t="str">
        <f>IFERROR(VLOOKUP($AA978,PLAN!$B:$AA,4,0),"")</f>
        <v>1911114-D-A</v>
      </c>
      <c r="F978" s="77" t="str">
        <f>IFERROR(VLOOKUP($AA978,PLAN!$B:$AA,5,0),"")</f>
        <v>HJ70AL150P10020 JP</v>
      </c>
      <c r="G978" s="77" t="str">
        <f>IFERROR(VLOOKUP($AA978,PLAN!$B:$AA,2,0),"")</f>
        <v>1001950329</v>
      </c>
      <c r="H978" s="113">
        <f>IFERROR(VLOOKUP($AA978,PLAN!$B:$AA,7,0),"")</f>
        <v>46263</v>
      </c>
      <c r="I978" s="77" t="str">
        <f>IFERROR(VLOOKUP($AA978,PLAN!$B:$AA,8,0),"")</f>
        <v>0103618020</v>
      </c>
      <c r="J978" s="77" t="str">
        <f>IFERROR(VLOOKUP($AA978,PLAN!$B:$AA,9,0),"")</f>
        <v>260818C68A</v>
      </c>
      <c r="K978" s="77">
        <f>IFERROR(VLOOKUP($AA978,PLAN!$B:$AA,10,0),"")</f>
        <v>29</v>
      </c>
      <c r="L978" s="77" t="str">
        <f>IFERROR(VLOOKUP($AA978,PLAN!$B:$AA,15,0),"")</f>
        <v>JAPAN</v>
      </c>
      <c r="M978" s="77">
        <f>IFERROR(VLOOKUP($AA978,PLAN!$B:$AA,18,0),"")</f>
        <v>0</v>
      </c>
      <c r="N978" s="227">
        <f>IFERROR(VLOOKUP($AA978,PLAN!$B:$AA,19,0),"")</f>
        <v>0</v>
      </c>
      <c r="O978" s="77" t="str">
        <f>IFERROR(VLOOKUP($AA978,PLAN!$B:$AA,12,0),"")</f>
        <v>2112116-0-C</v>
      </c>
      <c r="P978" s="77">
        <f>IFERROR(VLOOKUP($AA978,PLAN!$B:$AA,11,0),"")</f>
        <v>12116083</v>
      </c>
      <c r="Q978" s="349" t="s">
        <v>5971</v>
      </c>
      <c r="R978" s="158" t="s">
        <v>5972</v>
      </c>
      <c r="S978" s="149">
        <f t="shared" si="56"/>
        <v>29</v>
      </c>
      <c r="T978" s="131"/>
      <c r="U978" s="78">
        <f>IFERROR(VLOOKUP($AA978,PLAN!$B:$AA,21,0),"")</f>
        <v>46259</v>
      </c>
      <c r="V978" s="78" t="str">
        <f>IFERROR(VLOOKUP($AA978,PLAN!$B:$AA,22,0),"")</f>
        <v>M9</v>
      </c>
      <c r="W978" s="232"/>
      <c r="X978" s="233"/>
      <c r="Y978" s="212"/>
      <c r="Z978" s="350"/>
      <c r="AA978" s="195" t="s">
        <v>5836</v>
      </c>
      <c r="AB978" s="132">
        <f>VLOOKUP(AA978,PLAN!B:V,20,0)</f>
        <v>46259</v>
      </c>
      <c r="AC978" s="132"/>
    </row>
    <row r="979" spans="3:29" s="79" customFormat="1" ht="21.6" customHeight="1">
      <c r="C979" s="249" t="str">
        <f t="shared" si="55"/>
        <v>Aug29-181</v>
      </c>
      <c r="D979" s="77">
        <f>IFERROR(VLOOKUP($AA979,PLAN!$B:$AA,3,0),"")</f>
        <v>11134312</v>
      </c>
      <c r="E979" s="77" t="str">
        <f>IFERROR(VLOOKUP($AA979,PLAN!$B:$AA,4,0),"")</f>
        <v>1911351-E-A</v>
      </c>
      <c r="F979" s="77" t="str">
        <f>IFERROR(VLOOKUP($AA979,PLAN!$B:$AA,5,0),"")</f>
        <v>HJ80SP372P09000 JP</v>
      </c>
      <c r="G979" s="77" t="str">
        <f>IFERROR(VLOOKUP($AA979,PLAN!$B:$AA,2,0),"")</f>
        <v>1001950330</v>
      </c>
      <c r="H979" s="113">
        <f>IFERROR(VLOOKUP($AA979,PLAN!$B:$AA,7,0),"")</f>
        <v>46263</v>
      </c>
      <c r="I979" s="77" t="str">
        <f>IFERROR(VLOOKUP($AA979,PLAN!$B:$AA,8,0),"")</f>
        <v>0103618022</v>
      </c>
      <c r="J979" s="77" t="str">
        <f>IFERROR(VLOOKUP($AA979,PLAN!$B:$AA,9,0),"")</f>
        <v>260818C69A</v>
      </c>
      <c r="K979" s="77">
        <f>IFERROR(VLOOKUP($AA979,PLAN!$B:$AA,10,0),"")</f>
        <v>1</v>
      </c>
      <c r="L979" s="77" t="str">
        <f>IFERROR(VLOOKUP($AA979,PLAN!$B:$AA,15,0),"")</f>
        <v>JAPAN</v>
      </c>
      <c r="M979" s="77">
        <f>IFERROR(VLOOKUP($AA979,PLAN!$B:$AA,18,0),"")</f>
        <v>0</v>
      </c>
      <c r="N979" s="227">
        <f>IFERROR(VLOOKUP($AA979,PLAN!$B:$AA,19,0),"")</f>
        <v>0</v>
      </c>
      <c r="O979" s="77" t="str">
        <f>IFERROR(VLOOKUP($AA979,PLAN!$B:$AA,12,0),"")</f>
        <v>2112353-0-C</v>
      </c>
      <c r="P979" s="77">
        <f>IFERROR(VLOOKUP($AA979,PLAN!$B:$AA,11,0),"")</f>
        <v>12116320</v>
      </c>
      <c r="Q979" s="349" t="s">
        <v>5973</v>
      </c>
      <c r="R979" s="158" t="s">
        <v>5974</v>
      </c>
      <c r="S979" s="149">
        <f t="shared" si="56"/>
        <v>1</v>
      </c>
      <c r="T979" s="131"/>
      <c r="U979" s="78">
        <f>IFERROR(VLOOKUP($AA979,PLAN!$B:$AA,21,0),"")</f>
        <v>46259</v>
      </c>
      <c r="V979" s="78" t="str">
        <f>IFERROR(VLOOKUP($AA979,PLAN!$B:$AA,22,0),"")</f>
        <v>M10</v>
      </c>
      <c r="W979" s="232"/>
      <c r="X979" s="233"/>
      <c r="Y979" s="212"/>
      <c r="Z979" s="350"/>
      <c r="AA979" s="195" t="s">
        <v>5837</v>
      </c>
      <c r="AB979" s="132">
        <f>VLOOKUP(AA979,PLAN!B:V,20,0)</f>
        <v>46259</v>
      </c>
      <c r="AC979" s="132"/>
    </row>
    <row r="980" spans="3:29" s="79" customFormat="1" ht="21.6" customHeight="1">
      <c r="C980" s="249" t="str">
        <f t="shared" si="55"/>
        <v>Aug29-182</v>
      </c>
      <c r="D980" s="77">
        <f>IFERROR(VLOOKUP($AA980,PLAN!$B:$AA,3,0),"")</f>
        <v>11134290</v>
      </c>
      <c r="E980" s="77" t="str">
        <f>IFERROR(VLOOKUP($AA980,PLAN!$B:$AA,4,0),"")</f>
        <v>1911233-E-A</v>
      </c>
      <c r="F980" s="77" t="str">
        <f>IFERROR(VLOOKUP($AA980,PLAN!$B:$AA,5,0),"")</f>
        <v>HJ70SP452P10020 JP</v>
      </c>
      <c r="G980" s="77" t="str">
        <f>IFERROR(VLOOKUP($AA980,PLAN!$B:$AA,2,0),"")</f>
        <v>1001950331</v>
      </c>
      <c r="H980" s="113">
        <f>IFERROR(VLOOKUP($AA980,PLAN!$B:$AA,7,0),"")</f>
        <v>46263</v>
      </c>
      <c r="I980" s="77" t="str">
        <f>IFERROR(VLOOKUP($AA980,PLAN!$B:$AA,8,0),"")</f>
        <v>0103618023</v>
      </c>
      <c r="J980" s="77" t="str">
        <f>IFERROR(VLOOKUP($AA980,PLAN!$B:$AA,9,0),"")</f>
        <v>260818C70A</v>
      </c>
      <c r="K980" s="77">
        <f>IFERROR(VLOOKUP($AA980,PLAN!$B:$AA,10,0),"")</f>
        <v>7</v>
      </c>
      <c r="L980" s="77" t="str">
        <f>IFERROR(VLOOKUP($AA980,PLAN!$B:$AA,15,0),"")</f>
        <v>JAPAN</v>
      </c>
      <c r="M980" s="77">
        <f>IFERROR(VLOOKUP($AA980,PLAN!$B:$AA,18,0),"")</f>
        <v>0</v>
      </c>
      <c r="N980" s="227">
        <f>IFERROR(VLOOKUP($AA980,PLAN!$B:$AA,19,0),"")</f>
        <v>0</v>
      </c>
      <c r="O980" s="77" t="str">
        <f>IFERROR(VLOOKUP($AA980,PLAN!$B:$AA,12,0),"")</f>
        <v>2112235-0-C</v>
      </c>
      <c r="P980" s="77">
        <f>IFERROR(VLOOKUP($AA980,PLAN!$B:$AA,11,0),"")</f>
        <v>12116202</v>
      </c>
      <c r="Q980" s="349" t="s">
        <v>5975</v>
      </c>
      <c r="R980" s="158" t="s">
        <v>5976</v>
      </c>
      <c r="S980" s="149">
        <f t="shared" si="56"/>
        <v>7</v>
      </c>
      <c r="T980" s="131"/>
      <c r="U980" s="78">
        <f>IFERROR(VLOOKUP($AA980,PLAN!$B:$AA,21,0),"")</f>
        <v>46259</v>
      </c>
      <c r="V980" s="78" t="str">
        <f>IFERROR(VLOOKUP($AA980,PLAN!$B:$AA,22,0),"")</f>
        <v>M10</v>
      </c>
      <c r="W980" s="232"/>
      <c r="X980" s="233"/>
      <c r="Y980" s="212"/>
      <c r="Z980" s="350"/>
      <c r="AA980" s="195" t="s">
        <v>5838</v>
      </c>
      <c r="AB980" s="132">
        <f>VLOOKUP(AA980,PLAN!B:V,20,0)</f>
        <v>46259</v>
      </c>
      <c r="AC980" s="132"/>
    </row>
    <row r="981" spans="3:29" s="79" customFormat="1" ht="21.6" customHeight="1">
      <c r="C981" s="249" t="str">
        <f t="shared" si="55"/>
        <v>Aug29-183</v>
      </c>
      <c r="D981" s="77">
        <f>IFERROR(VLOOKUP($AA981,PLAN!$B:$AA,3,0),"")</f>
        <v>11134263</v>
      </c>
      <c r="E981" s="77" t="str">
        <f>IFERROR(VLOOKUP($AA981,PLAN!$B:$AA,4,0),"")</f>
        <v>1911100-F-A</v>
      </c>
      <c r="F981" s="77" t="str">
        <f>IFERROR(VLOOKUP($AA981,PLAN!$B:$AA,5,0),"")</f>
        <v>HJ60SP372P10020 JP</v>
      </c>
      <c r="G981" s="77" t="str">
        <f>IFERROR(VLOOKUP($AA981,PLAN!$B:$AA,2,0),"")</f>
        <v>1001950332</v>
      </c>
      <c r="H981" s="113">
        <f>IFERROR(VLOOKUP($AA981,PLAN!$B:$AA,7,0),"")</f>
        <v>46270</v>
      </c>
      <c r="I981" s="77" t="str">
        <f>IFERROR(VLOOKUP($AA981,PLAN!$B:$AA,8,0),"")</f>
        <v>0103618024</v>
      </c>
      <c r="J981" s="77" t="str">
        <f>IFERROR(VLOOKUP($AA981,PLAN!$B:$AA,9,0),"")</f>
        <v>260818C71A</v>
      </c>
      <c r="K981" s="77">
        <f>IFERROR(VLOOKUP($AA981,PLAN!$B:$AA,10,0),"")</f>
        <v>14</v>
      </c>
      <c r="L981" s="77" t="str">
        <f>IFERROR(VLOOKUP($AA981,PLAN!$B:$AA,15,0),"")</f>
        <v>JAPAN</v>
      </c>
      <c r="M981" s="77">
        <f>IFERROR(VLOOKUP($AA981,PLAN!$B:$AA,18,0),"")</f>
        <v>0</v>
      </c>
      <c r="N981" s="227">
        <f>IFERROR(VLOOKUP($AA981,PLAN!$B:$AA,19,0),"")</f>
        <v>0</v>
      </c>
      <c r="O981" s="77" t="str">
        <f>IFERROR(VLOOKUP($AA981,PLAN!$B:$AA,12,0),"")</f>
        <v>2112102-0-C</v>
      </c>
      <c r="P981" s="77">
        <f>IFERROR(VLOOKUP($AA981,PLAN!$B:$AA,11,0),"")</f>
        <v>12116067</v>
      </c>
      <c r="Q981" s="349" t="s">
        <v>3974</v>
      </c>
      <c r="R981" s="149" t="s">
        <v>3975</v>
      </c>
      <c r="S981" s="149">
        <f t="shared" si="56"/>
        <v>14</v>
      </c>
      <c r="T981" s="131"/>
      <c r="U981" s="78">
        <f>IFERROR(VLOOKUP($AA981,PLAN!$B:$AA,21,0),"")</f>
        <v>46259</v>
      </c>
      <c r="V981" s="78" t="str">
        <f>IFERROR(VLOOKUP($AA981,PLAN!$B:$AA,22,0),"")</f>
        <v>M10</v>
      </c>
      <c r="W981" s="232"/>
      <c r="X981" s="233"/>
      <c r="Y981" s="212"/>
      <c r="Z981" s="350"/>
      <c r="AA981" s="195" t="s">
        <v>5839</v>
      </c>
      <c r="AB981" s="132">
        <f>VLOOKUP(AA981,PLAN!B:V,20,0)</f>
        <v>46259</v>
      </c>
      <c r="AC981" s="132"/>
    </row>
    <row r="982" spans="3:29" s="79" customFormat="1" ht="21.6" customHeight="1">
      <c r="C982" s="249" t="str">
        <f t="shared" si="55"/>
        <v>Aug29-184</v>
      </c>
      <c r="D982" s="77">
        <f>IFERROR(VLOOKUP($AA982,PLAN!$B:$AA,3,0),"")</f>
        <v>11134265</v>
      </c>
      <c r="E982" s="77" t="str">
        <f>IFERROR(VLOOKUP($AA982,PLAN!$B:$AA,4,0),"")</f>
        <v>1911102-E-A</v>
      </c>
      <c r="F982" s="77" t="str">
        <f>IFERROR(VLOOKUP($AA982,PLAN!$B:$AA,5,0),"")</f>
        <v>HJ60SP402P10020 JP</v>
      </c>
      <c r="G982" s="77" t="str">
        <f>IFERROR(VLOOKUP($AA982,PLAN!$B:$AA,2,0),"")</f>
        <v>1001950333</v>
      </c>
      <c r="H982" s="113">
        <f>IFERROR(VLOOKUP($AA982,PLAN!$B:$AA,7,0),"")</f>
        <v>46270</v>
      </c>
      <c r="I982" s="77" t="str">
        <f>IFERROR(VLOOKUP($AA982,PLAN!$B:$AA,8,0),"")</f>
        <v>0103618025</v>
      </c>
      <c r="J982" s="77" t="str">
        <f>IFERROR(VLOOKUP($AA982,PLAN!$B:$AA,9,0),"")</f>
        <v>260818C72A</v>
      </c>
      <c r="K982" s="77">
        <f>IFERROR(VLOOKUP($AA982,PLAN!$B:$AA,10,0),"")</f>
        <v>15</v>
      </c>
      <c r="L982" s="77" t="str">
        <f>IFERROR(VLOOKUP($AA982,PLAN!$B:$AA,15,0),"")</f>
        <v>JAPAN</v>
      </c>
      <c r="M982" s="77">
        <f>IFERROR(VLOOKUP($AA982,PLAN!$B:$AA,18,0),"")</f>
        <v>0</v>
      </c>
      <c r="N982" s="227">
        <f>IFERROR(VLOOKUP($AA982,PLAN!$B:$AA,19,0),"")</f>
        <v>0</v>
      </c>
      <c r="O982" s="77" t="str">
        <f>IFERROR(VLOOKUP($AA982,PLAN!$B:$AA,12,0),"")</f>
        <v>2112104-0-C</v>
      </c>
      <c r="P982" s="77">
        <f>IFERROR(VLOOKUP($AA982,PLAN!$B:$AA,11,0),"")</f>
        <v>12116069</v>
      </c>
      <c r="Q982" s="148" t="s">
        <v>3970</v>
      </c>
      <c r="R982" s="222" t="s">
        <v>3971</v>
      </c>
      <c r="S982" s="149">
        <f t="shared" si="56"/>
        <v>15</v>
      </c>
      <c r="T982" s="131"/>
      <c r="U982" s="78">
        <f>IFERROR(VLOOKUP($AA982,PLAN!$B:$AA,21,0),"")</f>
        <v>46259</v>
      </c>
      <c r="V982" s="78" t="str">
        <f>IFERROR(VLOOKUP($AA982,PLAN!$B:$AA,22,0),"")</f>
        <v>M10</v>
      </c>
      <c r="W982" s="232"/>
      <c r="X982" s="233"/>
      <c r="Y982" s="212"/>
      <c r="Z982" s="350"/>
      <c r="AA982" s="195" t="s">
        <v>5840</v>
      </c>
      <c r="AB982" s="132">
        <f>VLOOKUP(AA982,PLAN!B:V,20,0)</f>
        <v>46259</v>
      </c>
      <c r="AC982" s="132"/>
    </row>
    <row r="983" spans="3:29" s="79" customFormat="1" ht="21.6" customHeight="1">
      <c r="C983" s="249" t="str">
        <f t="shared" si="55"/>
        <v>Aug29-185</v>
      </c>
      <c r="D983" s="77">
        <f>IFERROR(VLOOKUP($AA983,PLAN!$B:$AA,3,0),"")</f>
        <v>11134258</v>
      </c>
      <c r="E983" s="77" t="str">
        <f>IFERROR(VLOOKUP($AA983,PLAN!$B:$AA,4,0),"")</f>
        <v>1911095-E-A</v>
      </c>
      <c r="F983" s="77" t="str">
        <f>IFERROR(VLOOKUP($AA983,PLAN!$B:$AA,5,0),"")</f>
        <v>HJ60SP320P10000 JP</v>
      </c>
      <c r="G983" s="77" t="str">
        <f>IFERROR(VLOOKUP($AA983,PLAN!$B:$AA,2,0),"")</f>
        <v>1001950334</v>
      </c>
      <c r="H983" s="113">
        <f>IFERROR(VLOOKUP($AA983,PLAN!$B:$AA,7,0),"")</f>
        <v>46270</v>
      </c>
      <c r="I983" s="77" t="str">
        <f>IFERROR(VLOOKUP($AA983,PLAN!$B:$AA,8,0),"")</f>
        <v>0103618026</v>
      </c>
      <c r="J983" s="77" t="str">
        <f>IFERROR(VLOOKUP($AA983,PLAN!$B:$AA,9,0),"")</f>
        <v>260818C73A</v>
      </c>
      <c r="K983" s="77">
        <f>IFERROR(VLOOKUP($AA983,PLAN!$B:$AA,10,0),"")</f>
        <v>24</v>
      </c>
      <c r="L983" s="77" t="str">
        <f>IFERROR(VLOOKUP($AA983,PLAN!$B:$AA,15,0),"")</f>
        <v>JAPAN</v>
      </c>
      <c r="M983" s="77">
        <f>IFERROR(VLOOKUP($AA983,PLAN!$B:$AA,18,0),"")</f>
        <v>0</v>
      </c>
      <c r="N983" s="227">
        <f>IFERROR(VLOOKUP($AA983,PLAN!$B:$AA,19,0),"")</f>
        <v>0</v>
      </c>
      <c r="O983" s="77" t="str">
        <f>IFERROR(VLOOKUP($AA983,PLAN!$B:$AA,12,0),"")</f>
        <v>2112097-0-C</v>
      </c>
      <c r="P983" s="77">
        <f>IFERROR(VLOOKUP($AA983,PLAN!$B:$AA,11,0),"")</f>
        <v>12116062</v>
      </c>
      <c r="Q983" s="148" t="s">
        <v>494</v>
      </c>
      <c r="R983" s="222" t="s">
        <v>495</v>
      </c>
      <c r="S983" s="223">
        <v>14</v>
      </c>
      <c r="T983" s="131"/>
      <c r="U983" s="78">
        <f>IFERROR(VLOOKUP($AA983,PLAN!$B:$AA,21,0),"")</f>
        <v>46259</v>
      </c>
      <c r="V983" s="78" t="str">
        <f>IFERROR(VLOOKUP($AA983,PLAN!$B:$AA,22,0),"")</f>
        <v>M10</v>
      </c>
      <c r="W983" s="232"/>
      <c r="X983" s="233"/>
      <c r="Y983" s="212"/>
      <c r="Z983" s="350"/>
      <c r="AA983" s="195" t="s">
        <v>5841</v>
      </c>
      <c r="AB983" s="132">
        <f>VLOOKUP(AA983,PLAN!B:V,20,0)</f>
        <v>46259</v>
      </c>
      <c r="AC983" s="132"/>
    </row>
    <row r="984" spans="3:29" s="79" customFormat="1" ht="21.6" customHeight="1">
      <c r="C984" s="249">
        <f t="shared" si="55"/>
        <v>0</v>
      </c>
      <c r="D984" s="77" t="str">
        <f>IFERROR(VLOOKUP($AA984,PLAN!$B:$AA,3,0),"")</f>
        <v/>
      </c>
      <c r="E984" s="77" t="str">
        <f>IFERROR(VLOOKUP($AA984,PLAN!$B:$AA,4,0),"")</f>
        <v/>
      </c>
      <c r="F984" s="77" t="str">
        <f>IFERROR(VLOOKUP($AA984,PLAN!$B:$AA,5,0),"")</f>
        <v/>
      </c>
      <c r="G984" s="77" t="str">
        <f>IFERROR(VLOOKUP($AA984,PLAN!$B:$AA,2,0),"")</f>
        <v/>
      </c>
      <c r="H984" s="113" t="str">
        <f>IFERROR(VLOOKUP($AA984,PLAN!$B:$AA,7,0),"")</f>
        <v/>
      </c>
      <c r="I984" s="77" t="str">
        <f>IFERROR(VLOOKUP($AA984,PLAN!$B:$AA,8,0),"")</f>
        <v/>
      </c>
      <c r="J984" s="77" t="str">
        <f>IFERROR(VLOOKUP($AA984,PLAN!$B:$AA,9,0),"")</f>
        <v/>
      </c>
      <c r="K984" s="77" t="str">
        <f>IFERROR(VLOOKUP($AA984,PLAN!$B:$AA,10,0),"")</f>
        <v/>
      </c>
      <c r="L984" s="77" t="str">
        <f>IFERROR(VLOOKUP($AA984,PLAN!$B:$AA,15,0),"")</f>
        <v/>
      </c>
      <c r="M984" s="77" t="str">
        <f>IFERROR(VLOOKUP($AA984,PLAN!$B:$AA,18,0),"")</f>
        <v/>
      </c>
      <c r="N984" s="227" t="str">
        <f>IFERROR(VLOOKUP($AA984,PLAN!$B:$AA,19,0),"")</f>
        <v/>
      </c>
      <c r="O984" s="77" t="str">
        <f>IFERROR(VLOOKUP($AA984,PLAN!$B:$AA,12,0),"")</f>
        <v/>
      </c>
      <c r="P984" s="77" t="str">
        <f>IFERROR(VLOOKUP($AA984,PLAN!$B:$AA,11,0),"")</f>
        <v/>
      </c>
      <c r="Q984" s="148" t="s">
        <v>5977</v>
      </c>
      <c r="R984" s="222" t="s">
        <v>5978</v>
      </c>
      <c r="S984" s="223">
        <f>K983-S983</f>
        <v>10</v>
      </c>
      <c r="T984" s="131"/>
      <c r="U984" s="78" t="str">
        <f>IFERROR(VLOOKUP($AA984,PLAN!$B:$AA,21,0),"")</f>
        <v/>
      </c>
      <c r="V984" s="78" t="str">
        <f>IFERROR(VLOOKUP($AA984,PLAN!$B:$AA,22,0),"")</f>
        <v/>
      </c>
      <c r="W984" s="232"/>
      <c r="X984" s="233"/>
      <c r="Y984" s="212"/>
      <c r="Z984" s="350"/>
      <c r="AA984" s="195"/>
      <c r="AB984" s="132" t="e">
        <f>VLOOKUP(AA984,PLAN!B:V,20,0)</f>
        <v>#N/A</v>
      </c>
      <c r="AC984" s="132"/>
    </row>
    <row r="985" spans="3:29" s="79" customFormat="1" ht="21.6" customHeight="1">
      <c r="C985" s="249" t="str">
        <f t="shared" si="55"/>
        <v>Aug29-186</v>
      </c>
      <c r="D985" s="77">
        <f>IFERROR(VLOOKUP($AA985,PLAN!$B:$AA,3,0),"")</f>
        <v>11134250</v>
      </c>
      <c r="E985" s="77" t="str">
        <f>IFERROR(VLOOKUP($AA985,PLAN!$B:$AA,4,0),"")</f>
        <v>1911067-E-A</v>
      </c>
      <c r="F985" s="77" t="str">
        <f>IFERROR(VLOOKUP($AA985,PLAN!$B:$AA,5,0),"")</f>
        <v>HJ60PB300P10000 JP</v>
      </c>
      <c r="G985" s="77" t="str">
        <f>IFERROR(VLOOKUP($AA985,PLAN!$B:$AA,2,0),"")</f>
        <v>1001950335</v>
      </c>
      <c r="H985" s="113">
        <f>IFERROR(VLOOKUP($AA985,PLAN!$B:$AA,7,0),"")</f>
        <v>46270</v>
      </c>
      <c r="I985" s="77" t="str">
        <f>IFERROR(VLOOKUP($AA985,PLAN!$B:$AA,8,0),"")</f>
        <v>0103618027</v>
      </c>
      <c r="J985" s="77" t="str">
        <f>IFERROR(VLOOKUP($AA985,PLAN!$B:$AA,9,0),"")</f>
        <v>260818C74A</v>
      </c>
      <c r="K985" s="77">
        <f>IFERROR(VLOOKUP($AA985,PLAN!$B:$AA,10,0),"")</f>
        <v>25</v>
      </c>
      <c r="L985" s="77" t="str">
        <f>IFERROR(VLOOKUP($AA985,PLAN!$B:$AA,15,0),"")</f>
        <v>JAPAN</v>
      </c>
      <c r="M985" s="77">
        <f>IFERROR(VLOOKUP($AA985,PLAN!$B:$AA,18,0),"")</f>
        <v>0</v>
      </c>
      <c r="N985" s="227">
        <f>IFERROR(VLOOKUP($AA985,PLAN!$B:$AA,19,0),"")</f>
        <v>0</v>
      </c>
      <c r="O985" s="77" t="str">
        <f>IFERROR(VLOOKUP($AA985,PLAN!$B:$AA,12,0),"")</f>
        <v>2112069-0-C</v>
      </c>
      <c r="P985" s="77">
        <f>IFERROR(VLOOKUP($AA985,PLAN!$B:$AA,11,0),"")</f>
        <v>12116034</v>
      </c>
      <c r="Q985" s="349" t="s">
        <v>3968</v>
      </c>
      <c r="R985" s="149" t="s">
        <v>3969</v>
      </c>
      <c r="S985" s="149">
        <f t="shared" si="56"/>
        <v>25</v>
      </c>
      <c r="T985" s="131"/>
      <c r="U985" s="78">
        <f>IFERROR(VLOOKUP($AA985,PLAN!$B:$AA,21,0),"")</f>
        <v>46259</v>
      </c>
      <c r="V985" s="78" t="str">
        <f>IFERROR(VLOOKUP($AA985,PLAN!$B:$AA,22,0),"")</f>
        <v>M10</v>
      </c>
      <c r="W985" s="232"/>
      <c r="X985" s="233"/>
      <c r="Y985" s="212"/>
      <c r="Z985" s="350"/>
      <c r="AA985" s="195" t="s">
        <v>5842</v>
      </c>
      <c r="AB985" s="132">
        <f>VLOOKUP(AA985,PLAN!B:V,20,0)</f>
        <v>46259</v>
      </c>
      <c r="AC985" s="132"/>
    </row>
    <row r="986" spans="3:29" s="79" customFormat="1" ht="21.6" customHeight="1">
      <c r="C986" s="249" t="str">
        <f t="shared" si="55"/>
        <v>Aug29-187</v>
      </c>
      <c r="D986" s="77">
        <f>IFERROR(VLOOKUP($AA986,PLAN!$B:$AA,3,0),"")</f>
        <v>11134252</v>
      </c>
      <c r="E986" s="77" t="str">
        <f>IFERROR(VLOOKUP($AA986,PLAN!$B:$AA,4,0),"")</f>
        <v>1911069-F-A</v>
      </c>
      <c r="F986" s="77" t="str">
        <f>IFERROR(VLOOKUP($AA986,PLAN!$B:$AA,5,0),"")</f>
        <v>HJ60PB350P10000 JP</v>
      </c>
      <c r="G986" s="77" t="str">
        <f>IFERROR(VLOOKUP($AA986,PLAN!$B:$AA,2,0),"")</f>
        <v>1001950336</v>
      </c>
      <c r="H986" s="113">
        <f>IFERROR(VLOOKUP($AA986,PLAN!$B:$AA,7,0),"")</f>
        <v>46270</v>
      </c>
      <c r="I986" s="77" t="str">
        <f>IFERROR(VLOOKUP($AA986,PLAN!$B:$AA,8,0),"")</f>
        <v>0103618028</v>
      </c>
      <c r="J986" s="77" t="str">
        <f>IFERROR(VLOOKUP($AA986,PLAN!$B:$AA,9,0),"")</f>
        <v>260818C75A</v>
      </c>
      <c r="K986" s="77">
        <f>IFERROR(VLOOKUP($AA986,PLAN!$B:$AA,10,0),"")</f>
        <v>32</v>
      </c>
      <c r="L986" s="77" t="str">
        <f>IFERROR(VLOOKUP($AA986,PLAN!$B:$AA,15,0),"")</f>
        <v>JAPAN</v>
      </c>
      <c r="M986" s="77">
        <f>IFERROR(VLOOKUP($AA986,PLAN!$B:$AA,18,0),"")</f>
        <v>0</v>
      </c>
      <c r="N986" s="227">
        <f>IFERROR(VLOOKUP($AA986,PLAN!$B:$AA,19,0),"")</f>
        <v>0</v>
      </c>
      <c r="O986" s="77" t="str">
        <f>IFERROR(VLOOKUP($AA986,PLAN!$B:$AA,12,0),"")</f>
        <v>2112071-0-C</v>
      </c>
      <c r="P986" s="77">
        <f>IFERROR(VLOOKUP($AA986,PLAN!$B:$AA,11,0),"")</f>
        <v>12116036</v>
      </c>
      <c r="Q986" s="349" t="s">
        <v>3211</v>
      </c>
      <c r="R986" s="149" t="s">
        <v>3212</v>
      </c>
      <c r="S986" s="149">
        <f t="shared" si="56"/>
        <v>32</v>
      </c>
      <c r="T986" s="131"/>
      <c r="U986" s="78">
        <f>IFERROR(VLOOKUP($AA986,PLAN!$B:$AA,21,0),"")</f>
        <v>46259</v>
      </c>
      <c r="V986" s="78" t="str">
        <f>IFERROR(VLOOKUP($AA986,PLAN!$B:$AA,22,0),"")</f>
        <v>M10</v>
      </c>
      <c r="W986" s="232"/>
      <c r="X986" s="233"/>
      <c r="Y986" s="212"/>
      <c r="Z986" s="350"/>
      <c r="AA986" s="195" t="s">
        <v>5843</v>
      </c>
      <c r="AB986" s="132">
        <f>VLOOKUP(AA986,PLAN!B:V,20,0)</f>
        <v>46259</v>
      </c>
      <c r="AC986" s="132"/>
    </row>
    <row r="987" spans="3:29" s="79" customFormat="1" ht="21.6" customHeight="1">
      <c r="C987" s="249" t="str">
        <f t="shared" si="55"/>
        <v>Aug29-188</v>
      </c>
      <c r="D987" s="77">
        <f>IFERROR(VLOOKUP($AA987,PLAN!$B:$AA,3,0),"")</f>
        <v>11134282</v>
      </c>
      <c r="E987" s="77" t="str">
        <f>IFERROR(VLOOKUP($AA987,PLAN!$B:$AA,4,0),"")</f>
        <v>1911225-F-A</v>
      </c>
      <c r="F987" s="77" t="str">
        <f>IFERROR(VLOOKUP($AA987,PLAN!$B:$AA,5,0),"")</f>
        <v>HJ70SP352P10020 JP</v>
      </c>
      <c r="G987" s="77" t="str">
        <f>IFERROR(VLOOKUP($AA987,PLAN!$B:$AA,2,0),"")</f>
        <v>1001950337</v>
      </c>
      <c r="H987" s="113">
        <f>IFERROR(VLOOKUP($AA987,PLAN!$B:$AA,7,0),"")</f>
        <v>46270</v>
      </c>
      <c r="I987" s="77" t="str">
        <f>IFERROR(VLOOKUP($AA987,PLAN!$B:$AA,8,0),"")</f>
        <v>0103618029</v>
      </c>
      <c r="J987" s="77" t="str">
        <f>IFERROR(VLOOKUP($AA987,PLAN!$B:$AA,9,0),"")</f>
        <v>260818C76A</v>
      </c>
      <c r="K987" s="77">
        <f>IFERROR(VLOOKUP($AA987,PLAN!$B:$AA,10,0),"")</f>
        <v>32</v>
      </c>
      <c r="L987" s="77" t="str">
        <f>IFERROR(VLOOKUP($AA987,PLAN!$B:$AA,15,0),"")</f>
        <v>JAPAN</v>
      </c>
      <c r="M987" s="77">
        <f>IFERROR(VLOOKUP($AA987,PLAN!$B:$AA,18,0),"")</f>
        <v>0</v>
      </c>
      <c r="N987" s="227">
        <f>IFERROR(VLOOKUP($AA987,PLAN!$B:$AA,19,0),"")</f>
        <v>0</v>
      </c>
      <c r="O987" s="77" t="str">
        <f>IFERROR(VLOOKUP($AA987,PLAN!$B:$AA,12,0),"")</f>
        <v>2112227-0-C</v>
      </c>
      <c r="P987" s="77">
        <f>IFERROR(VLOOKUP($AA987,PLAN!$B:$AA,11,0),"")</f>
        <v>12116194</v>
      </c>
      <c r="Q987" s="349" t="s">
        <v>3387</v>
      </c>
      <c r="R987" s="149" t="s">
        <v>3388</v>
      </c>
      <c r="S987" s="149">
        <f t="shared" si="56"/>
        <v>32</v>
      </c>
      <c r="T987" s="131"/>
      <c r="U987" s="78">
        <f>IFERROR(VLOOKUP($AA987,PLAN!$B:$AA,21,0),"")</f>
        <v>46259</v>
      </c>
      <c r="V987" s="78" t="str">
        <f>IFERROR(VLOOKUP($AA987,PLAN!$B:$AA,22,0),"")</f>
        <v>M10</v>
      </c>
      <c r="W987" s="232"/>
      <c r="X987" s="233"/>
      <c r="Y987" s="212"/>
      <c r="Z987" s="350"/>
      <c r="AA987" s="195" t="s">
        <v>5844</v>
      </c>
      <c r="AB987" s="132">
        <f>VLOOKUP(AA987,PLAN!B:V,20,0)</f>
        <v>46259</v>
      </c>
      <c r="AC987" s="132"/>
    </row>
    <row r="988" spans="3:29" s="79" customFormat="1" ht="21.6" customHeight="1">
      <c r="C988" s="249" t="str">
        <f t="shared" si="55"/>
        <v>Aug29-189</v>
      </c>
      <c r="D988" s="77">
        <f>IFERROR(VLOOKUP($AA988,PLAN!$B:$AA,3,0),"")</f>
        <v>11134262</v>
      </c>
      <c r="E988" s="77" t="str">
        <f>IFERROR(VLOOKUP($AA988,PLAN!$B:$AA,4,0),"")</f>
        <v>1911099-F-A</v>
      </c>
      <c r="F988" s="77" t="str">
        <f>IFERROR(VLOOKUP($AA988,PLAN!$B:$AA,5,0),"")</f>
        <v>HJ60SP370P10000 JP</v>
      </c>
      <c r="G988" s="77" t="str">
        <f>IFERROR(VLOOKUP($AA988,PLAN!$B:$AA,2,0),"")</f>
        <v>1001950338</v>
      </c>
      <c r="H988" s="113">
        <f>IFERROR(VLOOKUP($AA988,PLAN!$B:$AA,7,0),"")</f>
        <v>46270</v>
      </c>
      <c r="I988" s="77" t="str">
        <f>IFERROR(VLOOKUP($AA988,PLAN!$B:$AA,8,0),"")</f>
        <v>0103618030</v>
      </c>
      <c r="J988" s="77" t="str">
        <f>IFERROR(VLOOKUP($AA988,PLAN!$B:$AA,9,0),"")</f>
        <v>260818C77A</v>
      </c>
      <c r="K988" s="77">
        <f>IFERROR(VLOOKUP($AA988,PLAN!$B:$AA,10,0),"")</f>
        <v>41</v>
      </c>
      <c r="L988" s="77" t="str">
        <f>IFERROR(VLOOKUP($AA988,PLAN!$B:$AA,15,0),"")</f>
        <v>JAPAN</v>
      </c>
      <c r="M988" s="77">
        <f>IFERROR(VLOOKUP($AA988,PLAN!$B:$AA,18,0),"")</f>
        <v>0</v>
      </c>
      <c r="N988" s="227">
        <f>IFERROR(VLOOKUP($AA988,PLAN!$B:$AA,19,0),"")</f>
        <v>0</v>
      </c>
      <c r="O988" s="77" t="str">
        <f>IFERROR(VLOOKUP($AA988,PLAN!$B:$AA,12,0),"")</f>
        <v>2112101-0-C</v>
      </c>
      <c r="P988" s="77">
        <f>IFERROR(VLOOKUP($AA988,PLAN!$B:$AA,11,0),"")</f>
        <v>12116066</v>
      </c>
      <c r="Q988" s="148" t="s">
        <v>3793</v>
      </c>
      <c r="R988" s="149" t="s">
        <v>3794</v>
      </c>
      <c r="S988" s="149">
        <f t="shared" si="56"/>
        <v>41</v>
      </c>
      <c r="T988" s="131"/>
      <c r="U988" s="78">
        <f>IFERROR(VLOOKUP($AA988,PLAN!$B:$AA,21,0),"")</f>
        <v>46259</v>
      </c>
      <c r="V988" s="78" t="str">
        <f>IFERROR(VLOOKUP($AA988,PLAN!$B:$AA,22,0),"")</f>
        <v>M10</v>
      </c>
      <c r="W988" s="232"/>
      <c r="X988" s="233"/>
      <c r="Y988" s="212"/>
      <c r="Z988" s="350"/>
      <c r="AA988" s="195" t="s">
        <v>5845</v>
      </c>
      <c r="AB988" s="132">
        <f>VLOOKUP(AA988,PLAN!B:V,20,0)</f>
        <v>46259</v>
      </c>
      <c r="AC988" s="132"/>
    </row>
    <row r="989" spans="3:29" s="79" customFormat="1" ht="21.6" customHeight="1">
      <c r="C989" s="249" t="str">
        <f t="shared" si="55"/>
        <v>Aug29-190</v>
      </c>
      <c r="D989" s="77">
        <f>IFERROR(VLOOKUP($AA989,PLAN!$B:$AA,3,0),"")</f>
        <v>11134261</v>
      </c>
      <c r="E989" s="77" t="str">
        <f>IFERROR(VLOOKUP($AA989,PLAN!$B:$AA,4,0),"")</f>
        <v>1911098-F-A</v>
      </c>
      <c r="F989" s="77" t="str">
        <f>IFERROR(VLOOKUP($AA989,PLAN!$B:$AA,5,0),"")</f>
        <v>HJ60SP352P10020 JP</v>
      </c>
      <c r="G989" s="77" t="str">
        <f>IFERROR(VLOOKUP($AA989,PLAN!$B:$AA,2,0),"")</f>
        <v>1001950339</v>
      </c>
      <c r="H989" s="113">
        <f>IFERROR(VLOOKUP($AA989,PLAN!$B:$AA,7,0),"")</f>
        <v>46270</v>
      </c>
      <c r="I989" s="77" t="str">
        <f>IFERROR(VLOOKUP($AA989,PLAN!$B:$AA,8,0),"")</f>
        <v>0103618031</v>
      </c>
      <c r="J989" s="77" t="str">
        <f>IFERROR(VLOOKUP($AA989,PLAN!$B:$AA,9,0),"")</f>
        <v>260818C78A</v>
      </c>
      <c r="K989" s="77">
        <f>IFERROR(VLOOKUP($AA989,PLAN!$B:$AA,10,0),"")</f>
        <v>74</v>
      </c>
      <c r="L989" s="77" t="str">
        <f>IFERROR(VLOOKUP($AA989,PLAN!$B:$AA,15,0),"")</f>
        <v>JAPAN</v>
      </c>
      <c r="M989" s="77">
        <f>IFERROR(VLOOKUP($AA989,PLAN!$B:$AA,18,0),"")</f>
        <v>0</v>
      </c>
      <c r="N989" s="227">
        <f>IFERROR(VLOOKUP($AA989,PLAN!$B:$AA,19,0),"")</f>
        <v>0</v>
      </c>
      <c r="O989" s="77" t="str">
        <f>IFERROR(VLOOKUP($AA989,PLAN!$B:$AA,12,0),"")</f>
        <v>2112100-0-C</v>
      </c>
      <c r="P989" s="77">
        <f>IFERROR(VLOOKUP($AA989,PLAN!$B:$AA,11,0),"")</f>
        <v>12116065</v>
      </c>
      <c r="Q989" s="349" t="s">
        <v>3217</v>
      </c>
      <c r="R989" s="149" t="s">
        <v>3218</v>
      </c>
      <c r="S989" s="223">
        <v>11</v>
      </c>
      <c r="T989" s="131"/>
      <c r="U989" s="78">
        <f>IFERROR(VLOOKUP($AA989,PLAN!$B:$AA,21,0),"")</f>
        <v>46259</v>
      </c>
      <c r="V989" s="78" t="str">
        <f>IFERROR(VLOOKUP($AA989,PLAN!$B:$AA,22,0),"")</f>
        <v>M10</v>
      </c>
      <c r="W989" s="232"/>
      <c r="X989" s="233"/>
      <c r="Y989" s="212"/>
      <c r="Z989" s="350"/>
      <c r="AA989" s="195" t="s">
        <v>5846</v>
      </c>
      <c r="AB989" s="132">
        <f>VLOOKUP(AA989,PLAN!B:V,20,0)</f>
        <v>46259</v>
      </c>
      <c r="AC989" s="132"/>
    </row>
    <row r="990" spans="3:29" s="79" customFormat="1" ht="21.6" customHeight="1">
      <c r="C990" s="249">
        <f t="shared" si="55"/>
        <v>0</v>
      </c>
      <c r="D990" s="77" t="str">
        <f>IFERROR(VLOOKUP($AA990,PLAN!$B:$AA,3,0),"")</f>
        <v/>
      </c>
      <c r="E990" s="77" t="str">
        <f>IFERROR(VLOOKUP($AA990,PLAN!$B:$AA,4,0),"")</f>
        <v/>
      </c>
      <c r="F990" s="77" t="str">
        <f>IFERROR(VLOOKUP($AA990,PLAN!$B:$AA,5,0),"")</f>
        <v/>
      </c>
      <c r="G990" s="77" t="str">
        <f>IFERROR(VLOOKUP($AA990,PLAN!$B:$AA,2,0),"")</f>
        <v/>
      </c>
      <c r="H990" s="113" t="str">
        <f>IFERROR(VLOOKUP($AA990,PLAN!$B:$AA,7,0),"")</f>
        <v/>
      </c>
      <c r="I990" s="77" t="str">
        <f>IFERROR(VLOOKUP($AA990,PLAN!$B:$AA,8,0),"")</f>
        <v/>
      </c>
      <c r="J990" s="77" t="str">
        <f>IFERROR(VLOOKUP($AA990,PLAN!$B:$AA,9,0),"")</f>
        <v/>
      </c>
      <c r="K990" s="77" t="str">
        <f>IFERROR(VLOOKUP($AA990,PLAN!$B:$AA,10,0),"")</f>
        <v/>
      </c>
      <c r="L990" s="77" t="str">
        <f>IFERROR(VLOOKUP($AA990,PLAN!$B:$AA,15,0),"")</f>
        <v/>
      </c>
      <c r="M990" s="77" t="str">
        <f>IFERROR(VLOOKUP($AA990,PLAN!$B:$AA,18,0),"")</f>
        <v/>
      </c>
      <c r="N990" s="227" t="str">
        <f>IFERROR(VLOOKUP($AA990,PLAN!$B:$AA,19,0),"")</f>
        <v/>
      </c>
      <c r="O990" s="77" t="str">
        <f>IFERROR(VLOOKUP($AA990,PLAN!$B:$AA,12,0),"")</f>
        <v/>
      </c>
      <c r="P990" s="77" t="str">
        <f>IFERROR(VLOOKUP($AA990,PLAN!$B:$AA,11,0),"")</f>
        <v/>
      </c>
      <c r="Q990" s="349" t="s">
        <v>5979</v>
      </c>
      <c r="R990" s="149" t="s">
        <v>5980</v>
      </c>
      <c r="S990" s="223">
        <f>K989-S989</f>
        <v>63</v>
      </c>
      <c r="T990" s="131"/>
      <c r="U990" s="78" t="str">
        <f>IFERROR(VLOOKUP($AA990,PLAN!$B:$AA,21,0),"")</f>
        <v/>
      </c>
      <c r="V990" s="78" t="str">
        <f>IFERROR(VLOOKUP($AA990,PLAN!$B:$AA,22,0),"")</f>
        <v/>
      </c>
      <c r="W990" s="232"/>
      <c r="X990" s="233"/>
      <c r="Y990" s="212"/>
      <c r="Z990" s="350"/>
      <c r="AA990" s="195"/>
      <c r="AB990" s="132" t="e">
        <f>VLOOKUP(AA990,PLAN!B:V,20,0)</f>
        <v>#N/A</v>
      </c>
      <c r="AC990" s="132"/>
    </row>
    <row r="991" spans="3:29" s="79" customFormat="1" ht="21.6" customHeight="1">
      <c r="C991" s="249" t="str">
        <f t="shared" si="55"/>
        <v>Aug29-191</v>
      </c>
      <c r="D991" s="77">
        <f>IFERROR(VLOOKUP($AA991,PLAN!$B:$AA,3,0),"")</f>
        <v>11134260</v>
      </c>
      <c r="E991" s="77" t="str">
        <f>IFERROR(VLOOKUP($AA991,PLAN!$B:$AA,4,0),"")</f>
        <v>1911097-F-A</v>
      </c>
      <c r="F991" s="77" t="str">
        <f>IFERROR(VLOOKUP($AA991,PLAN!$B:$AA,5,0),"")</f>
        <v>HJ60SP350P10000 JP</v>
      </c>
      <c r="G991" s="77" t="str">
        <f>IFERROR(VLOOKUP($AA991,PLAN!$B:$AA,2,0),"")</f>
        <v>1001950340</v>
      </c>
      <c r="H991" s="113">
        <f>IFERROR(VLOOKUP($AA991,PLAN!$B:$AA,7,0),"")</f>
        <v>46270</v>
      </c>
      <c r="I991" s="77" t="str">
        <f>IFERROR(VLOOKUP($AA991,PLAN!$B:$AA,8,0),"")</f>
        <v>0103618032</v>
      </c>
      <c r="J991" s="77" t="str">
        <f>IFERROR(VLOOKUP($AA991,PLAN!$B:$AA,9,0),"")</f>
        <v>260818C79A</v>
      </c>
      <c r="K991" s="77">
        <f>IFERROR(VLOOKUP($AA991,PLAN!$B:$AA,10,0),"")</f>
        <v>217</v>
      </c>
      <c r="L991" s="77" t="str">
        <f>IFERROR(VLOOKUP($AA991,PLAN!$B:$AA,15,0),"")</f>
        <v>JAPAN</v>
      </c>
      <c r="M991" s="77">
        <f>IFERROR(VLOOKUP($AA991,PLAN!$B:$AA,18,0),"")</f>
        <v>0</v>
      </c>
      <c r="N991" s="227">
        <f>IFERROR(VLOOKUP($AA991,PLAN!$B:$AA,19,0),"")</f>
        <v>0</v>
      </c>
      <c r="O991" s="77" t="str">
        <f>IFERROR(VLOOKUP($AA991,PLAN!$B:$AA,12,0),"")</f>
        <v>2112099-0-C</v>
      </c>
      <c r="P991" s="77">
        <f>IFERROR(VLOOKUP($AA991,PLAN!$B:$AA,11,0),"")</f>
        <v>12116064</v>
      </c>
      <c r="Q991" s="277" t="s">
        <v>3982</v>
      </c>
      <c r="R991" s="149" t="s">
        <v>3983</v>
      </c>
      <c r="S991" s="223">
        <v>117</v>
      </c>
      <c r="T991" s="131"/>
      <c r="U991" s="78">
        <f>IFERROR(VLOOKUP($AA991,PLAN!$B:$AA,21,0),"")</f>
        <v>46259</v>
      </c>
      <c r="V991" s="78" t="str">
        <f>IFERROR(VLOOKUP($AA991,PLAN!$B:$AA,22,0),"")</f>
        <v>M10</v>
      </c>
      <c r="W991" s="232"/>
      <c r="X991" s="233"/>
      <c r="Y991" s="212"/>
      <c r="Z991" s="350"/>
      <c r="AA991" s="195" t="s">
        <v>5847</v>
      </c>
      <c r="AB991" s="132">
        <f>VLOOKUP(AA991,PLAN!B:V,20,0)</f>
        <v>46259</v>
      </c>
      <c r="AC991" s="132"/>
    </row>
    <row r="992" spans="3:29" s="79" customFormat="1" ht="21.6" customHeight="1">
      <c r="C992" s="249">
        <f t="shared" si="55"/>
        <v>0</v>
      </c>
      <c r="D992" s="77" t="str">
        <f>IFERROR(VLOOKUP($AA992,PLAN!$B:$AA,3,0),"")</f>
        <v/>
      </c>
      <c r="E992" s="77" t="str">
        <f>IFERROR(VLOOKUP($AA992,PLAN!$B:$AA,4,0),"")</f>
        <v/>
      </c>
      <c r="F992" s="77" t="str">
        <f>IFERROR(VLOOKUP($AA992,PLAN!$B:$AA,5,0),"")</f>
        <v/>
      </c>
      <c r="G992" s="77" t="str">
        <f>IFERROR(VLOOKUP($AA992,PLAN!$B:$AA,2,0),"")</f>
        <v/>
      </c>
      <c r="H992" s="113" t="str">
        <f>IFERROR(VLOOKUP($AA992,PLAN!$B:$AA,7,0),"")</f>
        <v/>
      </c>
      <c r="I992" s="77" t="str">
        <f>IFERROR(VLOOKUP($AA992,PLAN!$B:$AA,8,0),"")</f>
        <v/>
      </c>
      <c r="J992" s="77" t="str">
        <f>IFERROR(VLOOKUP($AA992,PLAN!$B:$AA,9,0),"")</f>
        <v/>
      </c>
      <c r="K992" s="77" t="str">
        <f>IFERROR(VLOOKUP($AA992,PLAN!$B:$AA,10,0),"")</f>
        <v/>
      </c>
      <c r="L992" s="77" t="str">
        <f>IFERROR(VLOOKUP($AA992,PLAN!$B:$AA,15,0),"")</f>
        <v/>
      </c>
      <c r="M992" s="77" t="str">
        <f>IFERROR(VLOOKUP($AA992,PLAN!$B:$AA,18,0),"")</f>
        <v/>
      </c>
      <c r="N992" s="227" t="str">
        <f>IFERROR(VLOOKUP($AA992,PLAN!$B:$AA,19,0),"")</f>
        <v/>
      </c>
      <c r="O992" s="77" t="str">
        <f>IFERROR(VLOOKUP($AA992,PLAN!$B:$AA,12,0),"")</f>
        <v/>
      </c>
      <c r="P992" s="77" t="str">
        <f>IFERROR(VLOOKUP($AA992,PLAN!$B:$AA,11,0),"")</f>
        <v/>
      </c>
      <c r="Q992" s="277" t="s">
        <v>5981</v>
      </c>
      <c r="R992" s="149" t="s">
        <v>5982</v>
      </c>
      <c r="S992" s="223">
        <f>K991-S991</f>
        <v>100</v>
      </c>
      <c r="T992" s="131"/>
      <c r="U992" s="78" t="str">
        <f>IFERROR(VLOOKUP($AA992,PLAN!$B:$AA,21,0),"")</f>
        <v/>
      </c>
      <c r="V992" s="78" t="str">
        <f>IFERROR(VLOOKUP($AA992,PLAN!$B:$AA,22,0),"")</f>
        <v/>
      </c>
      <c r="W992" s="232"/>
      <c r="X992" s="233"/>
      <c r="Y992" s="212"/>
      <c r="Z992" s="350"/>
      <c r="AA992" s="195"/>
      <c r="AB992" s="132" t="e">
        <f>VLOOKUP(AA992,PLAN!B:V,20,0)</f>
        <v>#N/A</v>
      </c>
      <c r="AC992" s="132"/>
    </row>
    <row r="993" spans="3:29" s="79" customFormat="1" ht="21.6" customHeight="1">
      <c r="C993" s="249" t="str">
        <f t="shared" si="55"/>
        <v>Aug29-192</v>
      </c>
      <c r="D993" s="77">
        <f>IFERROR(VLOOKUP($AA993,PLAN!$B:$AA,3,0),"")</f>
        <v>11134281</v>
      </c>
      <c r="E993" s="77" t="str">
        <f>IFERROR(VLOOKUP($AA993,PLAN!$B:$AA,4,0),"")</f>
        <v>1911224-F-A</v>
      </c>
      <c r="F993" s="77" t="str">
        <f>IFERROR(VLOOKUP($AA993,PLAN!$B:$AA,5,0),"")</f>
        <v>HJ70SP350P10000 JP</v>
      </c>
      <c r="G993" s="77" t="str">
        <f>IFERROR(VLOOKUP($AA993,PLAN!$B:$AA,2,0),"")</f>
        <v>1001950341</v>
      </c>
      <c r="H993" s="113">
        <f>IFERROR(VLOOKUP($AA993,PLAN!$B:$AA,7,0),"")</f>
        <v>46270</v>
      </c>
      <c r="I993" s="77" t="str">
        <f>IFERROR(VLOOKUP($AA993,PLAN!$B:$AA,8,0),"")</f>
        <v>0103618033</v>
      </c>
      <c r="J993" s="77" t="str">
        <f>IFERROR(VLOOKUP($AA993,PLAN!$B:$AA,9,0),"")</f>
        <v>260818C80A</v>
      </c>
      <c r="K993" s="77">
        <f>IFERROR(VLOOKUP($AA993,PLAN!$B:$AA,10,0),"")</f>
        <v>238</v>
      </c>
      <c r="L993" s="77" t="str">
        <f>IFERROR(VLOOKUP($AA993,PLAN!$B:$AA,15,0),"")</f>
        <v>JAPAN</v>
      </c>
      <c r="M993" s="77">
        <f>IFERROR(VLOOKUP($AA993,PLAN!$B:$AA,18,0),"")</f>
        <v>0</v>
      </c>
      <c r="N993" s="227">
        <f>IFERROR(VLOOKUP($AA993,PLAN!$B:$AA,19,0),"")</f>
        <v>0</v>
      </c>
      <c r="O993" s="77" t="str">
        <f>IFERROR(VLOOKUP($AA993,PLAN!$B:$AA,12,0),"")</f>
        <v>2112226-0-C</v>
      </c>
      <c r="P993" s="77">
        <f>IFERROR(VLOOKUP($AA993,PLAN!$B:$AA,11,0),"")</f>
        <v>12116193</v>
      </c>
      <c r="Q993" s="349" t="s">
        <v>3984</v>
      </c>
      <c r="R993" s="149" t="s">
        <v>3985</v>
      </c>
      <c r="S993" s="223">
        <v>91</v>
      </c>
      <c r="T993" s="131"/>
      <c r="U993" s="78">
        <f>IFERROR(VLOOKUP($AA993,PLAN!$B:$AA,21,0),"")</f>
        <v>46259</v>
      </c>
      <c r="V993" s="78" t="str">
        <f>IFERROR(VLOOKUP($AA993,PLAN!$B:$AA,22,0),"")</f>
        <v>M10</v>
      </c>
      <c r="W993" s="232"/>
      <c r="X993" s="233"/>
      <c r="Y993" s="212"/>
      <c r="Z993" s="350"/>
      <c r="AA993" s="195" t="s">
        <v>5848</v>
      </c>
      <c r="AB993" s="132">
        <f>VLOOKUP(AA993,PLAN!B:V,20,0)</f>
        <v>46259</v>
      </c>
      <c r="AC993" s="132"/>
    </row>
    <row r="994" spans="3:29" s="79" customFormat="1" ht="21.6" customHeight="1">
      <c r="C994" s="249">
        <f t="shared" si="55"/>
        <v>0</v>
      </c>
      <c r="D994" s="77" t="str">
        <f>IFERROR(VLOOKUP($AA994,PLAN!$B:$AA,3,0),"")</f>
        <v/>
      </c>
      <c r="E994" s="77" t="str">
        <f>IFERROR(VLOOKUP($AA994,PLAN!$B:$AA,4,0),"")</f>
        <v/>
      </c>
      <c r="F994" s="77" t="str">
        <f>IFERROR(VLOOKUP($AA994,PLAN!$B:$AA,5,0),"")</f>
        <v/>
      </c>
      <c r="G994" s="77" t="str">
        <f>IFERROR(VLOOKUP($AA994,PLAN!$B:$AA,2,0),"")</f>
        <v/>
      </c>
      <c r="H994" s="113" t="str">
        <f>IFERROR(VLOOKUP($AA994,PLAN!$B:$AA,7,0),"")</f>
        <v/>
      </c>
      <c r="I994" s="77" t="str">
        <f>IFERROR(VLOOKUP($AA994,PLAN!$B:$AA,8,0),"")</f>
        <v/>
      </c>
      <c r="J994" s="77" t="str">
        <f>IFERROR(VLOOKUP($AA994,PLAN!$B:$AA,9,0),"")</f>
        <v/>
      </c>
      <c r="K994" s="77" t="str">
        <f>IFERROR(VLOOKUP($AA994,PLAN!$B:$AA,10,0),"")</f>
        <v/>
      </c>
      <c r="L994" s="77" t="str">
        <f>IFERROR(VLOOKUP($AA994,PLAN!$B:$AA,15,0),"")</f>
        <v/>
      </c>
      <c r="M994" s="77" t="str">
        <f>IFERROR(VLOOKUP($AA994,PLAN!$B:$AA,18,0),"")</f>
        <v/>
      </c>
      <c r="N994" s="227" t="str">
        <f>IFERROR(VLOOKUP($AA994,PLAN!$B:$AA,19,0),"")</f>
        <v/>
      </c>
      <c r="O994" s="77" t="str">
        <f>IFERROR(VLOOKUP($AA994,PLAN!$B:$AA,12,0),"")</f>
        <v/>
      </c>
      <c r="P994" s="77" t="str">
        <f>IFERROR(VLOOKUP($AA994,PLAN!$B:$AA,11,0),"")</f>
        <v/>
      </c>
      <c r="Q994" s="349" t="s">
        <v>5983</v>
      </c>
      <c r="R994" s="149" t="s">
        <v>5984</v>
      </c>
      <c r="S994" s="223">
        <v>100</v>
      </c>
      <c r="T994" s="131"/>
      <c r="U994" s="78" t="str">
        <f>IFERROR(VLOOKUP($AA994,PLAN!$B:$AA,21,0),"")</f>
        <v/>
      </c>
      <c r="V994" s="78" t="str">
        <f>IFERROR(VLOOKUP($AA994,PLAN!$B:$AA,22,0),"")</f>
        <v/>
      </c>
      <c r="W994" s="232"/>
      <c r="X994" s="233"/>
      <c r="Y994" s="212"/>
      <c r="Z994" s="350"/>
      <c r="AA994" s="195"/>
      <c r="AB994" s="132" t="e">
        <f>VLOOKUP(AA994,PLAN!B:V,20,0)</f>
        <v>#N/A</v>
      </c>
      <c r="AC994" s="132"/>
    </row>
    <row r="995" spans="3:29" s="79" customFormat="1" ht="21.6" customHeight="1">
      <c r="C995" s="249">
        <f t="shared" si="55"/>
        <v>0</v>
      </c>
      <c r="D995" s="77" t="str">
        <f>IFERROR(VLOOKUP($AA995,PLAN!$B:$AA,3,0),"")</f>
        <v/>
      </c>
      <c r="E995" s="77" t="str">
        <f>IFERROR(VLOOKUP($AA995,PLAN!$B:$AA,4,0),"")</f>
        <v/>
      </c>
      <c r="F995" s="77" t="str">
        <f>IFERROR(VLOOKUP($AA995,PLAN!$B:$AA,5,0),"")</f>
        <v/>
      </c>
      <c r="G995" s="77" t="str">
        <f>IFERROR(VLOOKUP($AA995,PLAN!$B:$AA,2,0),"")</f>
        <v/>
      </c>
      <c r="H995" s="113" t="str">
        <f>IFERROR(VLOOKUP($AA995,PLAN!$B:$AA,7,0),"")</f>
        <v/>
      </c>
      <c r="I995" s="77" t="str">
        <f>IFERROR(VLOOKUP($AA995,PLAN!$B:$AA,8,0),"")</f>
        <v/>
      </c>
      <c r="J995" s="77" t="str">
        <f>IFERROR(VLOOKUP($AA995,PLAN!$B:$AA,9,0),"")</f>
        <v/>
      </c>
      <c r="K995" s="77" t="str">
        <f>IFERROR(VLOOKUP($AA995,PLAN!$B:$AA,10,0),"")</f>
        <v/>
      </c>
      <c r="L995" s="77" t="str">
        <f>IFERROR(VLOOKUP($AA995,PLAN!$B:$AA,15,0),"")</f>
        <v/>
      </c>
      <c r="M995" s="77" t="str">
        <f>IFERROR(VLOOKUP($AA995,PLAN!$B:$AA,18,0),"")</f>
        <v/>
      </c>
      <c r="N995" s="227" t="str">
        <f>IFERROR(VLOOKUP($AA995,PLAN!$B:$AA,19,0),"")</f>
        <v/>
      </c>
      <c r="O995" s="77" t="str">
        <f>IFERROR(VLOOKUP($AA995,PLAN!$B:$AA,12,0),"")</f>
        <v/>
      </c>
      <c r="P995" s="77" t="str">
        <f>IFERROR(VLOOKUP($AA995,PLAN!$B:$AA,11,0),"")</f>
        <v/>
      </c>
      <c r="Q995" s="349" t="s">
        <v>5985</v>
      </c>
      <c r="R995" s="149" t="s">
        <v>5986</v>
      </c>
      <c r="S995" s="223">
        <f>K993-S993-S994</f>
        <v>47</v>
      </c>
      <c r="T995" s="131"/>
      <c r="U995" s="78" t="str">
        <f>IFERROR(VLOOKUP($AA995,PLAN!$B:$AA,21,0),"")</f>
        <v/>
      </c>
      <c r="V995" s="78" t="str">
        <f>IFERROR(VLOOKUP($AA995,PLAN!$B:$AA,22,0),"")</f>
        <v/>
      </c>
      <c r="W995" s="232"/>
      <c r="X995" s="233"/>
      <c r="Y995" s="212"/>
      <c r="Z995" s="350"/>
      <c r="AA995" s="195"/>
      <c r="AB995" s="132" t="e">
        <f>VLOOKUP(AA995,PLAN!B:V,20,0)</f>
        <v>#N/A</v>
      </c>
      <c r="AC995" s="132"/>
    </row>
    <row r="996" spans="3:29" s="79" customFormat="1" ht="21.6" customHeight="1">
      <c r="C996" s="249" t="str">
        <f t="shared" si="55"/>
        <v>Sep05-01</v>
      </c>
      <c r="D996" s="77">
        <f>IFERROR(VLOOKUP($AA996,PLAN!$B:$AA,3,0),"")</f>
        <v>11134285</v>
      </c>
      <c r="E996" s="77" t="str">
        <f>IFERROR(VLOOKUP($AA996,PLAN!$B:$AA,4,0),"")</f>
        <v>1911228-F-A</v>
      </c>
      <c r="F996" s="77" t="str">
        <f>IFERROR(VLOOKUP($AA996,PLAN!$B:$AA,5,0),"")</f>
        <v>HJ70SP372P10020 JP</v>
      </c>
      <c r="G996" s="77" t="str">
        <f>IFERROR(VLOOKUP($AA996,PLAN!$B:$AA,2,0),"")</f>
        <v>1001950533</v>
      </c>
      <c r="H996" s="113">
        <f>IFERROR(VLOOKUP($AA996,PLAN!$B:$AA,7,0),"")</f>
        <v>46270</v>
      </c>
      <c r="I996" s="77" t="str">
        <f>IFERROR(VLOOKUP($AA996,PLAN!$B:$AA,8,0),"")</f>
        <v>0103618360</v>
      </c>
      <c r="J996" s="77" t="str">
        <f>IFERROR(VLOOKUP($AA996,PLAN!$B:$AA,9,0),"")</f>
        <v>260818C81A</v>
      </c>
      <c r="K996" s="77">
        <f>IFERROR(VLOOKUP($AA996,PLAN!$B:$AA,10,0),"")</f>
        <v>83</v>
      </c>
      <c r="L996" s="77" t="str">
        <f>IFERROR(VLOOKUP($AA996,PLAN!$B:$AA,15,0),"")</f>
        <v>JAPAN</v>
      </c>
      <c r="M996" s="77">
        <f>IFERROR(VLOOKUP($AA996,PLAN!$B:$AA,18,0),"")</f>
        <v>0</v>
      </c>
      <c r="N996" s="227">
        <f>IFERROR(VLOOKUP($AA996,PLAN!$B:$AA,19,0),"")</f>
        <v>0</v>
      </c>
      <c r="O996" s="77" t="str">
        <f>IFERROR(VLOOKUP($AA996,PLAN!$B:$AA,12,0),"")</f>
        <v>2112230-0-C</v>
      </c>
      <c r="P996" s="77">
        <f>IFERROR(VLOOKUP($AA996,PLAN!$B:$AA,11,0),"")</f>
        <v>12116197</v>
      </c>
      <c r="Q996" s="349" t="s">
        <v>3379</v>
      </c>
      <c r="R996" s="149" t="s">
        <v>3380</v>
      </c>
      <c r="S996" s="223">
        <v>41</v>
      </c>
      <c r="T996" s="131"/>
      <c r="U996" s="78">
        <f>IFERROR(VLOOKUP($AA996,PLAN!$B:$AA,21,0),"")</f>
        <v>46260</v>
      </c>
      <c r="V996" s="78" t="str">
        <f>IFERROR(VLOOKUP($AA996,PLAN!$B:$AA,22,0),"")</f>
        <v>M9</v>
      </c>
      <c r="W996" s="232"/>
      <c r="X996" s="233"/>
      <c r="Y996" s="212"/>
      <c r="Z996" s="350"/>
      <c r="AA996" s="195" t="s">
        <v>6022</v>
      </c>
      <c r="AB996" s="132">
        <f>VLOOKUP(AA996,PLAN!B:V,20,0)</f>
        <v>46260</v>
      </c>
      <c r="AC996" s="132"/>
    </row>
    <row r="997" spans="3:29" s="79" customFormat="1" ht="21.6" customHeight="1">
      <c r="C997" s="249">
        <f t="shared" si="55"/>
        <v>0</v>
      </c>
      <c r="D997" s="77" t="str">
        <f>IFERROR(VLOOKUP($AA997,PLAN!$B:$AA,3,0),"")</f>
        <v/>
      </c>
      <c r="E997" s="77" t="str">
        <f>IFERROR(VLOOKUP($AA997,PLAN!$B:$AA,4,0),"")</f>
        <v/>
      </c>
      <c r="F997" s="77" t="str">
        <f>IFERROR(VLOOKUP($AA997,PLAN!$B:$AA,5,0),"")</f>
        <v/>
      </c>
      <c r="G997" s="77" t="str">
        <f>IFERROR(VLOOKUP($AA997,PLAN!$B:$AA,2,0),"")</f>
        <v/>
      </c>
      <c r="H997" s="113" t="str">
        <f>IFERROR(VLOOKUP($AA997,PLAN!$B:$AA,7,0),"")</f>
        <v/>
      </c>
      <c r="I997" s="77" t="str">
        <f>IFERROR(VLOOKUP($AA997,PLAN!$B:$AA,8,0),"")</f>
        <v/>
      </c>
      <c r="J997" s="77" t="str">
        <f>IFERROR(VLOOKUP($AA997,PLAN!$B:$AA,9,0),"")</f>
        <v/>
      </c>
      <c r="K997" s="77" t="str">
        <f>IFERROR(VLOOKUP($AA997,PLAN!$B:$AA,10,0),"")</f>
        <v/>
      </c>
      <c r="L997" s="77" t="str">
        <f>IFERROR(VLOOKUP($AA997,PLAN!$B:$AA,15,0),"")</f>
        <v/>
      </c>
      <c r="M997" s="77" t="str">
        <f>IFERROR(VLOOKUP($AA997,PLAN!$B:$AA,18,0),"")</f>
        <v/>
      </c>
      <c r="N997" s="227" t="str">
        <f>IFERROR(VLOOKUP($AA997,PLAN!$B:$AA,19,0),"")</f>
        <v/>
      </c>
      <c r="O997" s="77" t="str">
        <f>IFERROR(VLOOKUP($AA997,PLAN!$B:$AA,12,0),"")</f>
        <v/>
      </c>
      <c r="P997" s="77" t="str">
        <f>IFERROR(VLOOKUP($AA997,PLAN!$B:$AA,11,0),"")</f>
        <v/>
      </c>
      <c r="Q997" s="349" t="s">
        <v>6031</v>
      </c>
      <c r="R997" s="149" t="s">
        <v>6032</v>
      </c>
      <c r="S997" s="223">
        <f>K996-S996</f>
        <v>42</v>
      </c>
      <c r="T997" s="131"/>
      <c r="U997" s="78" t="str">
        <f>IFERROR(VLOOKUP($AA997,PLAN!$B:$AA,21,0),"")</f>
        <v/>
      </c>
      <c r="V997" s="78" t="str">
        <f>IFERROR(VLOOKUP($AA997,PLAN!$B:$AA,22,0),"")</f>
        <v/>
      </c>
      <c r="W997" s="232"/>
      <c r="X997" s="233"/>
      <c r="Y997" s="212"/>
      <c r="Z997" s="350"/>
      <c r="AA997" s="195"/>
      <c r="AB997" s="132" t="e">
        <f>VLOOKUP(AA997,PLAN!B:V,20,0)</f>
        <v>#N/A</v>
      </c>
      <c r="AC997" s="132"/>
    </row>
    <row r="998" spans="3:29" s="79" customFormat="1" ht="21.6" customHeight="1">
      <c r="C998" s="249" t="str">
        <f t="shared" si="55"/>
        <v>Sep05-02</v>
      </c>
      <c r="D998" s="77">
        <f>IFERROR(VLOOKUP($AA998,PLAN!$B:$AA,3,0),"")</f>
        <v>11134282</v>
      </c>
      <c r="E998" s="77" t="str">
        <f>IFERROR(VLOOKUP($AA998,PLAN!$B:$AA,4,0),"")</f>
        <v>1911225-F-A</v>
      </c>
      <c r="F998" s="77" t="str">
        <f>IFERROR(VLOOKUP($AA998,PLAN!$B:$AA,5,0),"")</f>
        <v>HJ70SP352P10020 JP</v>
      </c>
      <c r="G998" s="77" t="str">
        <f>IFERROR(VLOOKUP($AA998,PLAN!$B:$AA,2,0),"")</f>
        <v>1001950535</v>
      </c>
      <c r="H998" s="113">
        <f>IFERROR(VLOOKUP($AA998,PLAN!$B:$AA,7,0),"")</f>
        <v>46270</v>
      </c>
      <c r="I998" s="77" t="str">
        <f>IFERROR(VLOOKUP($AA998,PLAN!$B:$AA,8,0),"")</f>
        <v>0103618362</v>
      </c>
      <c r="J998" s="77" t="str">
        <f>IFERROR(VLOOKUP($AA998,PLAN!$B:$AA,9,0),"")</f>
        <v>260818C82A</v>
      </c>
      <c r="K998" s="77">
        <f>IFERROR(VLOOKUP($AA998,PLAN!$B:$AA,10,0),"")</f>
        <v>161</v>
      </c>
      <c r="L998" s="77" t="str">
        <f>IFERROR(VLOOKUP($AA998,PLAN!$B:$AA,15,0),"")</f>
        <v>JAPAN</v>
      </c>
      <c r="M998" s="77">
        <f>IFERROR(VLOOKUP($AA998,PLAN!$B:$AA,18,0),"")</f>
        <v>0</v>
      </c>
      <c r="N998" s="227">
        <f>IFERROR(VLOOKUP($AA998,PLAN!$B:$AA,19,0),"")</f>
        <v>0</v>
      </c>
      <c r="O998" s="77" t="str">
        <f>IFERROR(VLOOKUP($AA998,PLAN!$B:$AA,12,0),"")</f>
        <v>2112227-0-C</v>
      </c>
      <c r="P998" s="77">
        <f>IFERROR(VLOOKUP($AA998,PLAN!$B:$AA,11,0),"")</f>
        <v>12116194</v>
      </c>
      <c r="Q998" s="148" t="s">
        <v>3387</v>
      </c>
      <c r="R998" s="149" t="s">
        <v>3388</v>
      </c>
      <c r="S998" s="149">
        <v>12</v>
      </c>
      <c r="T998" s="131"/>
      <c r="U998" s="78">
        <f>IFERROR(VLOOKUP($AA998,PLAN!$B:$AA,21,0),"")</f>
        <v>46260</v>
      </c>
      <c r="V998" s="78" t="str">
        <f>IFERROR(VLOOKUP($AA998,PLAN!$B:$AA,22,0),"")</f>
        <v>M9</v>
      </c>
      <c r="W998" s="232"/>
      <c r="X998" s="233"/>
      <c r="Y998" s="212"/>
      <c r="Z998" s="350"/>
      <c r="AA998" s="195" t="s">
        <v>6023</v>
      </c>
      <c r="AB998" s="132">
        <f>VLOOKUP(AA998,PLAN!B:V,20,0)</f>
        <v>46260</v>
      </c>
      <c r="AC998" s="132"/>
    </row>
    <row r="999" spans="3:29" s="79" customFormat="1" ht="21.6" customHeight="1">
      <c r="C999" s="249">
        <f t="shared" si="55"/>
        <v>0</v>
      </c>
      <c r="D999" s="77" t="str">
        <f>IFERROR(VLOOKUP($AA999,PLAN!$B:$AA,3,0),"")</f>
        <v/>
      </c>
      <c r="E999" s="77" t="str">
        <f>IFERROR(VLOOKUP($AA999,PLAN!$B:$AA,4,0),"")</f>
        <v/>
      </c>
      <c r="F999" s="77" t="str">
        <f>IFERROR(VLOOKUP($AA999,PLAN!$B:$AA,5,0),"")</f>
        <v/>
      </c>
      <c r="G999" s="77" t="str">
        <f>IFERROR(VLOOKUP($AA999,PLAN!$B:$AA,2,0),"")</f>
        <v/>
      </c>
      <c r="H999" s="113" t="str">
        <f>IFERROR(VLOOKUP($AA999,PLAN!$B:$AA,7,0),"")</f>
        <v/>
      </c>
      <c r="I999" s="77" t="str">
        <f>IFERROR(VLOOKUP($AA999,PLAN!$B:$AA,8,0),"")</f>
        <v/>
      </c>
      <c r="J999" s="77" t="str">
        <f>IFERROR(VLOOKUP($AA999,PLAN!$B:$AA,9,0),"")</f>
        <v/>
      </c>
      <c r="K999" s="77" t="str">
        <f>IFERROR(VLOOKUP($AA999,PLAN!$B:$AA,10,0),"")</f>
        <v/>
      </c>
      <c r="L999" s="77" t="str">
        <f>IFERROR(VLOOKUP($AA999,PLAN!$B:$AA,15,0),"")</f>
        <v/>
      </c>
      <c r="M999" s="77" t="str">
        <f>IFERROR(VLOOKUP($AA999,PLAN!$B:$AA,18,0),"")</f>
        <v/>
      </c>
      <c r="N999" s="227" t="str">
        <f>IFERROR(VLOOKUP($AA999,PLAN!$B:$AA,19,0),"")</f>
        <v/>
      </c>
      <c r="O999" s="77" t="str">
        <f>IFERROR(VLOOKUP($AA999,PLAN!$B:$AA,12,0),"")</f>
        <v/>
      </c>
      <c r="P999" s="77" t="str">
        <f>IFERROR(VLOOKUP($AA999,PLAN!$B:$AA,11,0),"")</f>
        <v/>
      </c>
      <c r="Q999" s="148" t="s">
        <v>6033</v>
      </c>
      <c r="R999" s="149" t="s">
        <v>6034</v>
      </c>
      <c r="S999" s="149">
        <v>110</v>
      </c>
      <c r="T999" s="131"/>
      <c r="U999" s="78" t="str">
        <f>IFERROR(VLOOKUP($AA999,PLAN!$B:$AA,21,0),"")</f>
        <v/>
      </c>
      <c r="V999" s="78" t="str">
        <f>IFERROR(VLOOKUP($AA999,PLAN!$B:$AA,22,0),"")</f>
        <v/>
      </c>
      <c r="W999" s="232"/>
      <c r="X999" s="233"/>
      <c r="Y999" s="212"/>
      <c r="Z999" s="350"/>
      <c r="AA999" s="195"/>
      <c r="AB999" s="132" t="e">
        <f>VLOOKUP(AA999,PLAN!B:V,20,0)</f>
        <v>#N/A</v>
      </c>
      <c r="AC999" s="132"/>
    </row>
    <row r="1000" spans="3:29" s="79" customFormat="1" ht="21.6" customHeight="1">
      <c r="C1000" s="249">
        <f t="shared" si="21"/>
        <v>0</v>
      </c>
      <c r="D1000" s="77" t="str">
        <f>IFERROR(VLOOKUP($AA1000,PLAN!$B:$AA,3,0),"")</f>
        <v/>
      </c>
      <c r="E1000" s="77" t="str">
        <f>IFERROR(VLOOKUP($AA1000,PLAN!$B:$AA,4,0),"")</f>
        <v/>
      </c>
      <c r="F1000" s="77" t="str">
        <f>IFERROR(VLOOKUP($AA1000,PLAN!$B:$AA,5,0),"")</f>
        <v/>
      </c>
      <c r="G1000" s="77" t="str">
        <f>IFERROR(VLOOKUP($AA1000,PLAN!$B:$AA,2,0),"")</f>
        <v/>
      </c>
      <c r="H1000" s="113" t="str">
        <f>IFERROR(VLOOKUP($AA1000,PLAN!$B:$AA,7,0),"")</f>
        <v/>
      </c>
      <c r="I1000" s="77" t="str">
        <f>IFERROR(VLOOKUP($AA1000,PLAN!$B:$AA,8,0),"")</f>
        <v/>
      </c>
      <c r="J1000" s="77" t="str">
        <f>IFERROR(VLOOKUP($AA1000,PLAN!$B:$AA,9,0),"")</f>
        <v/>
      </c>
      <c r="K1000" s="77" t="str">
        <f>IFERROR(VLOOKUP($AA1000,PLAN!$B:$AA,10,0),"")</f>
        <v/>
      </c>
      <c r="L1000" s="77" t="str">
        <f>IFERROR(VLOOKUP($AA1000,PLAN!$B:$AA,15,0),"")</f>
        <v/>
      </c>
      <c r="M1000" s="77" t="str">
        <f>IFERROR(VLOOKUP($AA1000,PLAN!$B:$AA,18,0),"")</f>
        <v/>
      </c>
      <c r="N1000" s="227" t="str">
        <f>IFERROR(VLOOKUP($AA1000,PLAN!$B:$AA,19,0),"")</f>
        <v/>
      </c>
      <c r="O1000" s="77" t="str">
        <f>IFERROR(VLOOKUP($AA1000,PLAN!$B:$AA,12,0),"")</f>
        <v/>
      </c>
      <c r="P1000" s="77" t="str">
        <f>IFERROR(VLOOKUP($AA1000,PLAN!$B:$AA,11,0),"")</f>
        <v/>
      </c>
      <c r="Q1000" s="148" t="s">
        <v>6035</v>
      </c>
      <c r="R1000" s="149" t="s">
        <v>6036</v>
      </c>
      <c r="S1000" s="149">
        <f>K998-S998-S999</f>
        <v>39</v>
      </c>
      <c r="T1000" s="131"/>
      <c r="U1000" s="78" t="str">
        <f>IFERROR(VLOOKUP($AA1000,PLAN!$B:$AA,21,0),"")</f>
        <v/>
      </c>
      <c r="V1000" s="78" t="str">
        <f>IFERROR(VLOOKUP($AA1000,PLAN!$B:$AA,22,0),"")</f>
        <v/>
      </c>
      <c r="W1000" s="232"/>
      <c r="X1000" s="233"/>
      <c r="Y1000" s="212"/>
      <c r="Z1000" s="350"/>
      <c r="AA1000" s="195"/>
      <c r="AB1000" s="132" t="e">
        <f>VLOOKUP(AA1000,PLAN!B:V,20,0)</f>
        <v>#N/A</v>
      </c>
      <c r="AC1000" s="132"/>
    </row>
    <row r="1001" spans="3:29" s="79" customFormat="1" ht="21.6" customHeight="1">
      <c r="C1001" s="249" t="str">
        <f t="shared" ref="C1001:C1030" si="57">AA1001</f>
        <v>Sep05-03</v>
      </c>
      <c r="D1001" s="77">
        <f>IFERROR(VLOOKUP($AA1001,PLAN!$B:$AA,3,0),"")</f>
        <v>11119503</v>
      </c>
      <c r="E1001" s="77" t="str">
        <f>IFERROR(VLOOKUP($AA1001,PLAN!$B:$AA,4,0),"")</f>
        <v>1911169-D-A</v>
      </c>
      <c r="F1001" s="77" t="str">
        <f>IFERROR(VLOOKUP($AA1001,PLAN!$B:$AA,5,0),"")</f>
        <v>HJ70JR350P10020 JP</v>
      </c>
      <c r="G1001" s="77" t="str">
        <f>IFERROR(VLOOKUP($AA1001,PLAN!$B:$AA,2,0),"")</f>
        <v>1001950537</v>
      </c>
      <c r="H1001" s="113">
        <f>IFERROR(VLOOKUP($AA1001,PLAN!$B:$AA,7,0),"")</f>
        <v>46270</v>
      </c>
      <c r="I1001" s="77" t="str">
        <f>IFERROR(VLOOKUP($AA1001,PLAN!$B:$AA,8,0),"")</f>
        <v>0103618364</v>
      </c>
      <c r="J1001" s="77" t="str">
        <f>IFERROR(VLOOKUP($AA1001,PLAN!$B:$AA,9,0),"")</f>
        <v>260818C83A</v>
      </c>
      <c r="K1001" s="77">
        <f>IFERROR(VLOOKUP($AA1001,PLAN!$B:$AA,10,0),"")</f>
        <v>13</v>
      </c>
      <c r="L1001" s="77" t="str">
        <f>IFERROR(VLOOKUP($AA1001,PLAN!$B:$AA,15,0),"")</f>
        <v>JAPAN</v>
      </c>
      <c r="M1001" s="77">
        <f>IFERROR(VLOOKUP($AA1001,PLAN!$B:$AA,18,0),"")</f>
        <v>0</v>
      </c>
      <c r="N1001" s="227">
        <f>IFERROR(VLOOKUP($AA1001,PLAN!$B:$AA,19,0),"")</f>
        <v>0</v>
      </c>
      <c r="O1001" s="77" t="str">
        <f>IFERROR(VLOOKUP($AA1001,PLAN!$B:$AA,12,0),"")</f>
        <v>2112171-0-C</v>
      </c>
      <c r="P1001" s="77">
        <f>IFERROR(VLOOKUP($AA1001,PLAN!$B:$AA,11,0),"")</f>
        <v>12116138</v>
      </c>
      <c r="Q1001" s="148" t="s">
        <v>811</v>
      </c>
      <c r="R1001" s="149" t="s">
        <v>812</v>
      </c>
      <c r="S1001" s="149">
        <f t="shared" ref="S1001:S1030" si="58">K1001</f>
        <v>13</v>
      </c>
      <c r="T1001" s="131"/>
      <c r="U1001" s="78">
        <f>IFERROR(VLOOKUP($AA1001,PLAN!$B:$AA,21,0),"")</f>
        <v>46260</v>
      </c>
      <c r="V1001" s="78" t="str">
        <f>IFERROR(VLOOKUP($AA1001,PLAN!$B:$AA,22,0),"")</f>
        <v>M9</v>
      </c>
      <c r="W1001" s="232"/>
      <c r="X1001" s="233"/>
      <c r="Y1001" s="212"/>
      <c r="Z1001" s="350"/>
      <c r="AA1001" s="195" t="s">
        <v>6024</v>
      </c>
      <c r="AB1001" s="132">
        <f>VLOOKUP(AA1001,PLAN!B:V,20,0)</f>
        <v>46260</v>
      </c>
      <c r="AC1001" s="132"/>
    </row>
    <row r="1002" spans="3:29" s="79" customFormat="1" ht="21.6" customHeight="1">
      <c r="C1002" s="249" t="str">
        <f t="shared" si="57"/>
        <v>Sep05-04</v>
      </c>
      <c r="D1002" s="77">
        <f>IFERROR(VLOOKUP($AA1002,PLAN!$B:$AA,3,0),"")</f>
        <v>11119490</v>
      </c>
      <c r="E1002" s="77" t="str">
        <f>IFERROR(VLOOKUP($AA1002,PLAN!$B:$AA,4,0),"")</f>
        <v>1911156-D-A</v>
      </c>
      <c r="F1002" s="77" t="str">
        <f>IFERROR(VLOOKUP($AA1002,PLAN!$B:$AA,5,0),"")</f>
        <v>HJ70JL402P10020 JP</v>
      </c>
      <c r="G1002" s="77" t="str">
        <f>IFERROR(VLOOKUP($AA1002,PLAN!$B:$AA,2,0),"")</f>
        <v>1001950540</v>
      </c>
      <c r="H1002" s="113">
        <f>IFERROR(VLOOKUP($AA1002,PLAN!$B:$AA,7,0),"")</f>
        <v>46270</v>
      </c>
      <c r="I1002" s="77" t="str">
        <f>IFERROR(VLOOKUP($AA1002,PLAN!$B:$AA,8,0),"")</f>
        <v>0103618367</v>
      </c>
      <c r="J1002" s="77" t="str">
        <f>IFERROR(VLOOKUP($AA1002,PLAN!$B:$AA,9,0),"")</f>
        <v>260818C84A</v>
      </c>
      <c r="K1002" s="77">
        <f>IFERROR(VLOOKUP($AA1002,PLAN!$B:$AA,10,0),"")</f>
        <v>34</v>
      </c>
      <c r="L1002" s="77" t="str">
        <f>IFERROR(VLOOKUP($AA1002,PLAN!$B:$AA,15,0),"")</f>
        <v>JAPAN</v>
      </c>
      <c r="M1002" s="77">
        <f>IFERROR(VLOOKUP($AA1002,PLAN!$B:$AA,18,0),"")</f>
        <v>0</v>
      </c>
      <c r="N1002" s="227">
        <f>IFERROR(VLOOKUP($AA1002,PLAN!$B:$AA,19,0),"")</f>
        <v>0</v>
      </c>
      <c r="O1002" s="77" t="str">
        <f>IFERROR(VLOOKUP($AA1002,PLAN!$B:$AA,12,0),"")</f>
        <v>2112158-0-C</v>
      </c>
      <c r="P1002" s="77">
        <f>IFERROR(VLOOKUP($AA1002,PLAN!$B:$AA,11,0),"")</f>
        <v>12116125</v>
      </c>
      <c r="Q1002" s="349" t="s">
        <v>4330</v>
      </c>
      <c r="R1002" s="222" t="s">
        <v>4331</v>
      </c>
      <c r="S1002" s="149">
        <f t="shared" si="58"/>
        <v>34</v>
      </c>
      <c r="T1002" s="131"/>
      <c r="U1002" s="78">
        <f>IFERROR(VLOOKUP($AA1002,PLAN!$B:$AA,21,0),"")</f>
        <v>46260</v>
      </c>
      <c r="V1002" s="78" t="str">
        <f>IFERROR(VLOOKUP($AA1002,PLAN!$B:$AA,22,0),"")</f>
        <v>M9</v>
      </c>
      <c r="W1002" s="232"/>
      <c r="X1002" s="233"/>
      <c r="Y1002" s="212"/>
      <c r="Z1002" s="350"/>
      <c r="AA1002" s="195" t="s">
        <v>6025</v>
      </c>
      <c r="AB1002" s="132">
        <f>VLOOKUP(AA1002,PLAN!B:V,20,0)</f>
        <v>46260</v>
      </c>
      <c r="AC1002" s="132"/>
    </row>
    <row r="1003" spans="3:29" s="79" customFormat="1" ht="21.6" customHeight="1">
      <c r="C1003" s="249" t="str">
        <f t="shared" si="57"/>
        <v>Sep05-05</v>
      </c>
      <c r="D1003" s="77">
        <f>IFERROR(VLOOKUP($AA1003,PLAN!$B:$AA,3,0),"")</f>
        <v>11119507</v>
      </c>
      <c r="E1003" s="77" t="str">
        <f>IFERROR(VLOOKUP($AA1003,PLAN!$B:$AA,4,0),"")</f>
        <v>1911173-D-A</v>
      </c>
      <c r="F1003" s="77" t="str">
        <f>IFERROR(VLOOKUP($AA1003,PLAN!$B:$AA,5,0),"")</f>
        <v>HJ70JR400P10020 JP</v>
      </c>
      <c r="G1003" s="77" t="str">
        <f>IFERROR(VLOOKUP($AA1003,PLAN!$B:$AA,2,0),"")</f>
        <v>1001950542</v>
      </c>
      <c r="H1003" s="113">
        <f>IFERROR(VLOOKUP($AA1003,PLAN!$B:$AA,7,0),"")</f>
        <v>46270</v>
      </c>
      <c r="I1003" s="77" t="str">
        <f>IFERROR(VLOOKUP($AA1003,PLAN!$B:$AA,8,0),"")</f>
        <v>0103618369</v>
      </c>
      <c r="J1003" s="77" t="str">
        <f>IFERROR(VLOOKUP($AA1003,PLAN!$B:$AA,9,0),"")</f>
        <v>260818C85A</v>
      </c>
      <c r="K1003" s="77">
        <f>IFERROR(VLOOKUP($AA1003,PLAN!$B:$AA,10,0),"")</f>
        <v>57</v>
      </c>
      <c r="L1003" s="77" t="str">
        <f>IFERROR(VLOOKUP($AA1003,PLAN!$B:$AA,15,0),"")</f>
        <v>JAPAN</v>
      </c>
      <c r="M1003" s="77">
        <f>IFERROR(VLOOKUP($AA1003,PLAN!$B:$AA,18,0),"")</f>
        <v>0</v>
      </c>
      <c r="N1003" s="227">
        <f>IFERROR(VLOOKUP($AA1003,PLAN!$B:$AA,19,0),"")</f>
        <v>0</v>
      </c>
      <c r="O1003" s="77" t="str">
        <f>IFERROR(VLOOKUP($AA1003,PLAN!$B:$AA,12,0),"")</f>
        <v>2112175-0-C</v>
      </c>
      <c r="P1003" s="77">
        <f>IFERROR(VLOOKUP($AA1003,PLAN!$B:$AA,11,0),"")</f>
        <v>12116142</v>
      </c>
      <c r="Q1003" s="148" t="s">
        <v>4005</v>
      </c>
      <c r="R1003" s="149" t="s">
        <v>4006</v>
      </c>
      <c r="S1003" s="149">
        <f t="shared" si="58"/>
        <v>57</v>
      </c>
      <c r="T1003" s="131"/>
      <c r="U1003" s="78">
        <f>IFERROR(VLOOKUP($AA1003,PLAN!$B:$AA,21,0),"")</f>
        <v>46260</v>
      </c>
      <c r="V1003" s="78" t="str">
        <f>IFERROR(VLOOKUP($AA1003,PLAN!$B:$AA,22,0),"")</f>
        <v>M9</v>
      </c>
      <c r="W1003" s="232"/>
      <c r="X1003" s="233"/>
      <c r="Y1003" s="212"/>
      <c r="Z1003" s="350"/>
      <c r="AA1003" s="195" t="s">
        <v>6026</v>
      </c>
      <c r="AB1003" s="132">
        <f>VLOOKUP(AA1003,PLAN!B:V,20,0)</f>
        <v>46260</v>
      </c>
      <c r="AC1003" s="132"/>
    </row>
    <row r="1004" spans="3:29" s="79" customFormat="1" ht="21.6" customHeight="1">
      <c r="C1004" s="249" t="str">
        <f t="shared" si="57"/>
        <v>Sep05-06</v>
      </c>
      <c r="D1004" s="77">
        <f>IFERROR(VLOOKUP($AA1004,PLAN!$B:$AA,3,0),"")</f>
        <v>11116931</v>
      </c>
      <c r="E1004" s="77" t="str">
        <f>IFERROR(VLOOKUP($AA1004,PLAN!$B:$AA,4,0),"")</f>
        <v>1521545-M-A</v>
      </c>
      <c r="F1004" s="77" t="str">
        <f>IFERROR(VLOOKUP($AA1004,PLAN!$B:$AA,5,0),"")</f>
        <v>MS3552H21-ANG100M</v>
      </c>
      <c r="G1004" s="77" t="str">
        <f>IFERROR(VLOOKUP($AA1004,PLAN!$B:$AA,2,0),"")</f>
        <v>1001950544</v>
      </c>
      <c r="H1004" s="113">
        <f>IFERROR(VLOOKUP($AA1004,PLAN!$B:$AA,7,0),"")</f>
        <v>46270</v>
      </c>
      <c r="I1004" s="77" t="str">
        <f>IFERROR(VLOOKUP($AA1004,PLAN!$B:$AA,8,0),"")</f>
        <v>0103618371</v>
      </c>
      <c r="J1004" s="77" t="str">
        <f>IFERROR(VLOOKUP($AA1004,PLAN!$B:$AA,9,0),"")</f>
        <v>260818H01A</v>
      </c>
      <c r="K1004" s="77">
        <f>IFERROR(VLOOKUP($AA1004,PLAN!$B:$AA,10,0),"")</f>
        <v>101</v>
      </c>
      <c r="L1004" s="77" t="str">
        <f>IFERROR(VLOOKUP($AA1004,PLAN!$B:$AA,15,0),"")</f>
        <v>FILMECC</v>
      </c>
      <c r="M1004" s="77">
        <f>IFERROR(VLOOKUP($AA1004,PLAN!$B:$AA,18,0),"")</f>
        <v>0</v>
      </c>
      <c r="N1004" s="227">
        <f>IFERROR(VLOOKUP($AA1004,PLAN!$B:$AA,19,0),"")</f>
        <v>0</v>
      </c>
      <c r="O1004" s="77" t="str">
        <f>IFERROR(VLOOKUP($AA1004,PLAN!$B:$AA,12,0),"")</f>
        <v>2042100-A-C</v>
      </c>
      <c r="P1004" s="77">
        <f>IFERROR(VLOOKUP($AA1004,PLAN!$B:$AA,11,0),"")</f>
        <v>12115880</v>
      </c>
      <c r="Q1004" s="148" t="s">
        <v>6037</v>
      </c>
      <c r="R1004" s="149" t="s">
        <v>6038</v>
      </c>
      <c r="S1004" s="149">
        <f t="shared" si="58"/>
        <v>101</v>
      </c>
      <c r="T1004" s="131"/>
      <c r="U1004" s="78">
        <f>IFERROR(VLOOKUP($AA1004,PLAN!$B:$AA,21,0),"")</f>
        <v>46260</v>
      </c>
      <c r="V1004" s="78" t="str">
        <f>IFERROR(VLOOKUP($AA1004,PLAN!$B:$AA,22,0),"")</f>
        <v>M9</v>
      </c>
      <c r="W1004" s="232"/>
      <c r="X1004" s="233"/>
      <c r="Y1004" s="212"/>
      <c r="Z1004" s="350"/>
      <c r="AA1004" s="195" t="s">
        <v>6027</v>
      </c>
      <c r="AB1004" s="132">
        <f>VLOOKUP(AA1004,PLAN!B:V,20,0)</f>
        <v>46260</v>
      </c>
      <c r="AC1004" s="132"/>
    </row>
    <row r="1005" spans="3:29" s="79" customFormat="1" ht="21.6" customHeight="1">
      <c r="C1005" s="249" t="str">
        <f t="shared" si="57"/>
        <v>Sep05-07</v>
      </c>
      <c r="D1005" s="77">
        <f>IFERROR(VLOOKUP($AA1005,PLAN!$B:$AA,3,0),"")</f>
        <v>11116929</v>
      </c>
      <c r="E1005" s="77" t="str">
        <f>IFERROR(VLOOKUP($AA1005,PLAN!$B:$AA,4,0),"")</f>
        <v>1521543-K-A</v>
      </c>
      <c r="F1005" s="77" t="str">
        <f>IFERROR(VLOOKUP($AA1005,PLAN!$B:$AA,5,0),"")</f>
        <v>MS3552H21-ANG70G</v>
      </c>
      <c r="G1005" s="77" t="str">
        <f>IFERROR(VLOOKUP($AA1005,PLAN!$B:$AA,2,0),"")</f>
        <v>1001950546</v>
      </c>
      <c r="H1005" s="113">
        <f>IFERROR(VLOOKUP($AA1005,PLAN!$B:$AA,7,0),"")</f>
        <v>46270</v>
      </c>
      <c r="I1005" s="77" t="str">
        <f>IFERROR(VLOOKUP($AA1005,PLAN!$B:$AA,8,0),"")</f>
        <v>0103618373</v>
      </c>
      <c r="J1005" s="77" t="str">
        <f>IFERROR(VLOOKUP($AA1005,PLAN!$B:$AA,9,0),"")</f>
        <v>260818H02A</v>
      </c>
      <c r="K1005" s="77">
        <f>IFERROR(VLOOKUP($AA1005,PLAN!$B:$AA,10,0),"")</f>
        <v>64</v>
      </c>
      <c r="L1005" s="77" t="str">
        <f>IFERROR(VLOOKUP($AA1005,PLAN!$B:$AA,15,0),"")</f>
        <v>FILMECC</v>
      </c>
      <c r="M1005" s="77">
        <f>IFERROR(VLOOKUP($AA1005,PLAN!$B:$AA,18,0),"")</f>
        <v>0</v>
      </c>
      <c r="N1005" s="227">
        <f>IFERROR(VLOOKUP($AA1005,PLAN!$B:$AA,19,0),"")</f>
        <v>0</v>
      </c>
      <c r="O1005" s="77" t="str">
        <f>IFERROR(VLOOKUP($AA1005,PLAN!$B:$AA,12,0),"")</f>
        <v>2042098-A-C</v>
      </c>
      <c r="P1005" s="77">
        <f>IFERROR(VLOOKUP($AA1005,PLAN!$B:$AA,11,0),"")</f>
        <v>12115878</v>
      </c>
      <c r="Q1005" s="349" t="s">
        <v>6043</v>
      </c>
      <c r="R1005" s="149" t="s">
        <v>6044</v>
      </c>
      <c r="S1005" s="149">
        <f t="shared" si="58"/>
        <v>64</v>
      </c>
      <c r="T1005" s="131"/>
      <c r="U1005" s="78">
        <f>IFERROR(VLOOKUP($AA1005,PLAN!$B:$AA,21,0),"")</f>
        <v>46260</v>
      </c>
      <c r="V1005" s="78" t="str">
        <f>IFERROR(VLOOKUP($AA1005,PLAN!$B:$AA,22,0),"")</f>
        <v>M9</v>
      </c>
      <c r="W1005" s="232"/>
      <c r="X1005" s="233"/>
      <c r="Y1005" s="212"/>
      <c r="Z1005" s="350"/>
      <c r="AA1005" s="195" t="s">
        <v>6028</v>
      </c>
      <c r="AB1005" s="132">
        <f>VLOOKUP(AA1005,PLAN!B:V,20,0)</f>
        <v>46260</v>
      </c>
      <c r="AC1005" s="132"/>
    </row>
    <row r="1006" spans="3:29" s="79" customFormat="1" ht="21.6" customHeight="1">
      <c r="C1006" s="249" t="str">
        <f t="shared" si="57"/>
        <v>Sep05-08</v>
      </c>
      <c r="D1006" s="77">
        <f>IFERROR(VLOOKUP($AA1006,PLAN!$B:$AA,3,0),"")</f>
        <v>11116932</v>
      </c>
      <c r="E1006" s="77" t="str">
        <f>IFERROR(VLOOKUP($AA1006,PLAN!$B:$AA,4,0),"")</f>
        <v>1521546-M-A</v>
      </c>
      <c r="F1006" s="77" t="str">
        <f>IFERROR(VLOOKUP($AA1006,PLAN!$B:$AA,5,0),"")</f>
        <v>MS3552H21-PIG100N</v>
      </c>
      <c r="G1006" s="77" t="str">
        <f>IFERROR(VLOOKUP($AA1006,PLAN!$B:$AA,2,0),"")</f>
        <v>1001950548</v>
      </c>
      <c r="H1006" s="113">
        <f>IFERROR(VLOOKUP($AA1006,PLAN!$B:$AA,7,0),"")</f>
        <v>46270</v>
      </c>
      <c r="I1006" s="77" t="str">
        <f>IFERROR(VLOOKUP($AA1006,PLAN!$B:$AA,8,0),"")</f>
        <v>0103618375</v>
      </c>
      <c r="J1006" s="77" t="str">
        <f>IFERROR(VLOOKUP($AA1006,PLAN!$B:$AA,9,0),"")</f>
        <v>260818H03A</v>
      </c>
      <c r="K1006" s="77">
        <f>IFERROR(VLOOKUP($AA1006,PLAN!$B:$AA,10,0),"")</f>
        <v>251</v>
      </c>
      <c r="L1006" s="77" t="str">
        <f>IFERROR(VLOOKUP($AA1006,PLAN!$B:$AA,15,0),"")</f>
        <v>FILMECC</v>
      </c>
      <c r="M1006" s="77">
        <f>IFERROR(VLOOKUP($AA1006,PLAN!$B:$AA,18,0),"")</f>
        <v>0</v>
      </c>
      <c r="N1006" s="227">
        <f>IFERROR(VLOOKUP($AA1006,PLAN!$B:$AA,19,0),"")</f>
        <v>0</v>
      </c>
      <c r="O1006" s="77" t="str">
        <f>IFERROR(VLOOKUP($AA1006,PLAN!$B:$AA,12,0),"")</f>
        <v>2042101-A-C</v>
      </c>
      <c r="P1006" s="77">
        <f>IFERROR(VLOOKUP($AA1006,PLAN!$B:$AA,11,0),"")</f>
        <v>12115881</v>
      </c>
      <c r="Q1006" s="349" t="s">
        <v>6039</v>
      </c>
      <c r="R1006" s="158" t="s">
        <v>6040</v>
      </c>
      <c r="S1006" s="149">
        <f t="shared" si="58"/>
        <v>251</v>
      </c>
      <c r="T1006" s="131"/>
      <c r="U1006" s="78">
        <f>IFERROR(VLOOKUP($AA1006,PLAN!$B:$AA,21,0),"")</f>
        <v>46260</v>
      </c>
      <c r="V1006" s="78" t="str">
        <f>IFERROR(VLOOKUP($AA1006,PLAN!$B:$AA,22,0),"")</f>
        <v>M9</v>
      </c>
      <c r="W1006" s="232"/>
      <c r="X1006" s="233"/>
      <c r="Y1006" s="212"/>
      <c r="Z1006" s="350"/>
      <c r="AA1006" s="195" t="s">
        <v>6029</v>
      </c>
      <c r="AB1006" s="132">
        <f>VLOOKUP(AA1006,PLAN!B:V,20,0)</f>
        <v>46260</v>
      </c>
      <c r="AC1006" s="132"/>
    </row>
    <row r="1007" spans="3:29" s="79" customFormat="1" ht="21.6" customHeight="1">
      <c r="C1007" s="249" t="str">
        <f t="shared" si="57"/>
        <v>Sep05-09</v>
      </c>
      <c r="D1007" s="77">
        <f>IFERROR(VLOOKUP($AA1007,PLAN!$B:$AA,3,0),"")</f>
        <v>11116930</v>
      </c>
      <c r="E1007" s="77" t="str">
        <f>IFERROR(VLOOKUP($AA1007,PLAN!$B:$AA,4,0),"")</f>
        <v>1521544-M-A</v>
      </c>
      <c r="F1007" s="77" t="str">
        <f>IFERROR(VLOOKUP($AA1007,PLAN!$B:$AA,5,0),"")</f>
        <v>MS3552H26-PIG110J</v>
      </c>
      <c r="G1007" s="77" t="str">
        <f>IFERROR(VLOOKUP($AA1007,PLAN!$B:$AA,2,0),"")</f>
        <v>1001950551</v>
      </c>
      <c r="H1007" s="113">
        <f>IFERROR(VLOOKUP($AA1007,PLAN!$B:$AA,7,0),"")</f>
        <v>46270</v>
      </c>
      <c r="I1007" s="77" t="str">
        <f>IFERROR(VLOOKUP($AA1007,PLAN!$B:$AA,8,0),"")</f>
        <v>0103618378</v>
      </c>
      <c r="J1007" s="77" t="str">
        <f>IFERROR(VLOOKUP($AA1007,PLAN!$B:$AA,9,0),"")</f>
        <v>260818H04A</v>
      </c>
      <c r="K1007" s="77">
        <f>IFERROR(VLOOKUP($AA1007,PLAN!$B:$AA,10,0),"")</f>
        <v>231</v>
      </c>
      <c r="L1007" s="77" t="str">
        <f>IFERROR(VLOOKUP($AA1007,PLAN!$B:$AA,15,0),"")</f>
        <v>FILMECC</v>
      </c>
      <c r="M1007" s="77">
        <f>IFERROR(VLOOKUP($AA1007,PLAN!$B:$AA,18,0),"")</f>
        <v>0</v>
      </c>
      <c r="N1007" s="227">
        <f>IFERROR(VLOOKUP($AA1007,PLAN!$B:$AA,19,0),"")</f>
        <v>0</v>
      </c>
      <c r="O1007" s="77" t="str">
        <f>IFERROR(VLOOKUP($AA1007,PLAN!$B:$AA,12,0),"")</f>
        <v>2042099-A-C</v>
      </c>
      <c r="P1007" s="77">
        <f>IFERROR(VLOOKUP($AA1007,PLAN!$B:$AA,11,0),"")</f>
        <v>12115879</v>
      </c>
      <c r="Q1007" s="349" t="s">
        <v>6041</v>
      </c>
      <c r="R1007" s="158" t="s">
        <v>6042</v>
      </c>
      <c r="S1007" s="149">
        <f t="shared" si="58"/>
        <v>231</v>
      </c>
      <c r="T1007" s="131"/>
      <c r="U1007" s="78">
        <f>IFERROR(VLOOKUP($AA1007,PLAN!$B:$AA,21,0),"")</f>
        <v>46260</v>
      </c>
      <c r="V1007" s="78" t="str">
        <f>IFERROR(VLOOKUP($AA1007,PLAN!$B:$AA,22,0),"")</f>
        <v>M9</v>
      </c>
      <c r="W1007" s="232"/>
      <c r="X1007" s="233"/>
      <c r="Y1007" s="212"/>
      <c r="Z1007" s="350"/>
      <c r="AA1007" s="195" t="s">
        <v>6030</v>
      </c>
      <c r="AB1007" s="132">
        <f>VLOOKUP(AA1007,PLAN!B:V,20,0)</f>
        <v>46260</v>
      </c>
      <c r="AC1007" s="132"/>
    </row>
    <row r="1008" spans="3:29" s="79" customFormat="1" ht="21.6" customHeight="1">
      <c r="C1008" s="249">
        <f t="shared" si="57"/>
        <v>0</v>
      </c>
      <c r="D1008" s="77" t="str">
        <f>IFERROR(VLOOKUP($AA1008,PLAN!$B:$AA,3,0),"")</f>
        <v/>
      </c>
      <c r="E1008" s="77" t="str">
        <f>IFERROR(VLOOKUP($AA1008,PLAN!$B:$AA,4,0),"")</f>
        <v/>
      </c>
      <c r="F1008" s="77" t="str">
        <f>IFERROR(VLOOKUP($AA1008,PLAN!$B:$AA,5,0),"")</f>
        <v/>
      </c>
      <c r="G1008" s="77" t="str">
        <f>IFERROR(VLOOKUP($AA1008,PLAN!$B:$AA,2,0),"")</f>
        <v/>
      </c>
      <c r="H1008" s="113" t="str">
        <f>IFERROR(VLOOKUP($AA1008,PLAN!$B:$AA,7,0),"")</f>
        <v/>
      </c>
      <c r="I1008" s="77" t="str">
        <f>IFERROR(VLOOKUP($AA1008,PLAN!$B:$AA,8,0),"")</f>
        <v/>
      </c>
      <c r="J1008" s="77" t="str">
        <f>IFERROR(VLOOKUP($AA1008,PLAN!$B:$AA,9,0),"")</f>
        <v/>
      </c>
      <c r="K1008" s="77" t="str">
        <f>IFERROR(VLOOKUP($AA1008,PLAN!$B:$AA,10,0),"")</f>
        <v/>
      </c>
      <c r="L1008" s="77" t="str">
        <f>IFERROR(VLOOKUP($AA1008,PLAN!$B:$AA,15,0),"")</f>
        <v/>
      </c>
      <c r="M1008" s="77" t="str">
        <f>IFERROR(VLOOKUP($AA1008,PLAN!$B:$AA,18,0),"")</f>
        <v/>
      </c>
      <c r="N1008" s="227" t="str">
        <f>IFERROR(VLOOKUP($AA1008,PLAN!$B:$AA,19,0),"")</f>
        <v/>
      </c>
      <c r="O1008" s="77" t="str">
        <f>IFERROR(VLOOKUP($AA1008,PLAN!$B:$AA,12,0),"")</f>
        <v/>
      </c>
      <c r="P1008" s="77" t="str">
        <f>IFERROR(VLOOKUP($AA1008,PLAN!$B:$AA,11,0),"")</f>
        <v/>
      </c>
      <c r="Q1008" s="148"/>
      <c r="R1008" s="149"/>
      <c r="S1008" s="149" t="str">
        <f t="shared" si="58"/>
        <v/>
      </c>
      <c r="T1008" s="131"/>
      <c r="U1008" s="78" t="str">
        <f>IFERROR(VLOOKUP($AA1008,PLAN!$B:$AA,21,0),"")</f>
        <v/>
      </c>
      <c r="V1008" s="78" t="str">
        <f>IFERROR(VLOOKUP($AA1008,PLAN!$B:$AA,22,0),"")</f>
        <v/>
      </c>
      <c r="W1008" s="232"/>
      <c r="X1008" s="233"/>
      <c r="Y1008" s="212"/>
      <c r="Z1008" s="350"/>
      <c r="AA1008" s="195"/>
      <c r="AB1008" s="132" t="e">
        <f>VLOOKUP(AA1008,PLAN!B:V,20,0)</f>
        <v>#N/A</v>
      </c>
      <c r="AC1008" s="132"/>
    </row>
    <row r="1009" spans="3:29" s="79" customFormat="1" ht="21.6" customHeight="1">
      <c r="C1009" s="249">
        <f t="shared" si="57"/>
        <v>0</v>
      </c>
      <c r="D1009" s="77" t="str">
        <f>IFERROR(VLOOKUP($AA1009,PLAN!$B:$AA,3,0),"")</f>
        <v/>
      </c>
      <c r="E1009" s="77" t="str">
        <f>IFERROR(VLOOKUP($AA1009,PLAN!$B:$AA,4,0),"")</f>
        <v/>
      </c>
      <c r="F1009" s="77" t="str">
        <f>IFERROR(VLOOKUP($AA1009,PLAN!$B:$AA,5,0),"")</f>
        <v/>
      </c>
      <c r="G1009" s="77" t="str">
        <f>IFERROR(VLOOKUP($AA1009,PLAN!$B:$AA,2,0),"")</f>
        <v/>
      </c>
      <c r="H1009" s="113" t="str">
        <f>IFERROR(VLOOKUP($AA1009,PLAN!$B:$AA,7,0),"")</f>
        <v/>
      </c>
      <c r="I1009" s="77" t="str">
        <f>IFERROR(VLOOKUP($AA1009,PLAN!$B:$AA,8,0),"")</f>
        <v/>
      </c>
      <c r="J1009" s="77" t="str">
        <f>IFERROR(VLOOKUP($AA1009,PLAN!$B:$AA,9,0),"")</f>
        <v/>
      </c>
      <c r="K1009" s="77" t="str">
        <f>IFERROR(VLOOKUP($AA1009,PLAN!$B:$AA,10,0),"")</f>
        <v/>
      </c>
      <c r="L1009" s="77" t="str">
        <f>IFERROR(VLOOKUP($AA1009,PLAN!$B:$AA,15,0),"")</f>
        <v/>
      </c>
      <c r="M1009" s="77" t="str">
        <f>IFERROR(VLOOKUP($AA1009,PLAN!$B:$AA,18,0),"")</f>
        <v/>
      </c>
      <c r="N1009" s="227" t="str">
        <f>IFERROR(VLOOKUP($AA1009,PLAN!$B:$AA,19,0),"")</f>
        <v/>
      </c>
      <c r="O1009" s="77" t="str">
        <f>IFERROR(VLOOKUP($AA1009,PLAN!$B:$AA,12,0),"")</f>
        <v/>
      </c>
      <c r="P1009" s="77" t="str">
        <f>IFERROR(VLOOKUP($AA1009,PLAN!$B:$AA,11,0),"")</f>
        <v/>
      </c>
      <c r="Q1009" s="148"/>
      <c r="R1009" s="149"/>
      <c r="S1009" s="149" t="str">
        <f t="shared" si="58"/>
        <v/>
      </c>
      <c r="T1009" s="131"/>
      <c r="U1009" s="78" t="str">
        <f>IFERROR(VLOOKUP($AA1009,PLAN!$B:$AA,21,0),"")</f>
        <v/>
      </c>
      <c r="V1009" s="78" t="str">
        <f>IFERROR(VLOOKUP($AA1009,PLAN!$B:$AA,22,0),"")</f>
        <v/>
      </c>
      <c r="W1009" s="232"/>
      <c r="X1009" s="233"/>
      <c r="Y1009" s="212"/>
      <c r="Z1009" s="350"/>
      <c r="AA1009" s="195"/>
      <c r="AB1009" s="132" t="e">
        <f>VLOOKUP(AA1009,PLAN!B:V,20,0)</f>
        <v>#N/A</v>
      </c>
      <c r="AC1009" s="132"/>
    </row>
    <row r="1010" spans="3:29" s="79" customFormat="1" ht="21.6" customHeight="1">
      <c r="C1010" s="249">
        <f t="shared" si="57"/>
        <v>0</v>
      </c>
      <c r="D1010" s="77" t="str">
        <f>IFERROR(VLOOKUP($AA1010,PLAN!$B:$AA,3,0),"")</f>
        <v/>
      </c>
      <c r="E1010" s="77" t="str">
        <f>IFERROR(VLOOKUP($AA1010,PLAN!$B:$AA,4,0),"")</f>
        <v/>
      </c>
      <c r="F1010" s="77" t="str">
        <f>IFERROR(VLOOKUP($AA1010,PLAN!$B:$AA,5,0),"")</f>
        <v/>
      </c>
      <c r="G1010" s="77" t="str">
        <f>IFERROR(VLOOKUP($AA1010,PLAN!$B:$AA,2,0),"")</f>
        <v/>
      </c>
      <c r="H1010" s="113" t="str">
        <f>IFERROR(VLOOKUP($AA1010,PLAN!$B:$AA,7,0),"")</f>
        <v/>
      </c>
      <c r="I1010" s="77" t="str">
        <f>IFERROR(VLOOKUP($AA1010,PLAN!$B:$AA,8,0),"")</f>
        <v/>
      </c>
      <c r="J1010" s="77" t="str">
        <f>IFERROR(VLOOKUP($AA1010,PLAN!$B:$AA,9,0),"")</f>
        <v/>
      </c>
      <c r="K1010" s="77" t="str">
        <f>IFERROR(VLOOKUP($AA1010,PLAN!$B:$AA,10,0),"")</f>
        <v/>
      </c>
      <c r="L1010" s="77" t="str">
        <f>IFERROR(VLOOKUP($AA1010,PLAN!$B:$AA,15,0),"")</f>
        <v/>
      </c>
      <c r="M1010" s="77" t="str">
        <f>IFERROR(VLOOKUP($AA1010,PLAN!$B:$AA,18,0),"")</f>
        <v/>
      </c>
      <c r="N1010" s="227" t="str">
        <f>IFERROR(VLOOKUP($AA1010,PLAN!$B:$AA,19,0),"")</f>
        <v/>
      </c>
      <c r="O1010" s="77" t="str">
        <f>IFERROR(VLOOKUP($AA1010,PLAN!$B:$AA,12,0),"")</f>
        <v/>
      </c>
      <c r="P1010" s="77" t="str">
        <f>IFERROR(VLOOKUP($AA1010,PLAN!$B:$AA,11,0),"")</f>
        <v/>
      </c>
      <c r="Q1010" s="148"/>
      <c r="R1010" s="149"/>
      <c r="S1010" s="149" t="str">
        <f t="shared" si="58"/>
        <v/>
      </c>
      <c r="T1010" s="131"/>
      <c r="U1010" s="78" t="str">
        <f>IFERROR(VLOOKUP($AA1010,PLAN!$B:$AA,21,0),"")</f>
        <v/>
      </c>
      <c r="V1010" s="78" t="str">
        <f>IFERROR(VLOOKUP($AA1010,PLAN!$B:$AA,22,0),"")</f>
        <v/>
      </c>
      <c r="W1010" s="232"/>
      <c r="X1010" s="233"/>
      <c r="Y1010" s="212"/>
      <c r="Z1010" s="350"/>
      <c r="AA1010" s="195"/>
      <c r="AB1010" s="132" t="e">
        <f>VLOOKUP(AA1010,PLAN!B:V,20,0)</f>
        <v>#N/A</v>
      </c>
      <c r="AC1010" s="132"/>
    </row>
    <row r="1011" spans="3:29" s="79" customFormat="1" ht="21.6" customHeight="1">
      <c r="C1011" s="249">
        <f t="shared" si="57"/>
        <v>0</v>
      </c>
      <c r="D1011" s="77" t="str">
        <f>IFERROR(VLOOKUP($AA1011,PLAN!$B:$AA,3,0),"")</f>
        <v/>
      </c>
      <c r="E1011" s="77" t="str">
        <f>IFERROR(VLOOKUP($AA1011,PLAN!$B:$AA,4,0),"")</f>
        <v/>
      </c>
      <c r="F1011" s="77" t="str">
        <f>IFERROR(VLOOKUP($AA1011,PLAN!$B:$AA,5,0),"")</f>
        <v/>
      </c>
      <c r="G1011" s="77" t="str">
        <f>IFERROR(VLOOKUP($AA1011,PLAN!$B:$AA,2,0),"")</f>
        <v/>
      </c>
      <c r="H1011" s="113" t="str">
        <f>IFERROR(VLOOKUP($AA1011,PLAN!$B:$AA,7,0),"")</f>
        <v/>
      </c>
      <c r="I1011" s="77" t="str">
        <f>IFERROR(VLOOKUP($AA1011,PLAN!$B:$AA,8,0),"")</f>
        <v/>
      </c>
      <c r="J1011" s="77" t="str">
        <f>IFERROR(VLOOKUP($AA1011,PLAN!$B:$AA,9,0),"")</f>
        <v/>
      </c>
      <c r="K1011" s="77" t="str">
        <f>IFERROR(VLOOKUP($AA1011,PLAN!$B:$AA,10,0),"")</f>
        <v/>
      </c>
      <c r="L1011" s="77" t="str">
        <f>IFERROR(VLOOKUP($AA1011,PLAN!$B:$AA,15,0),"")</f>
        <v/>
      </c>
      <c r="M1011" s="77" t="str">
        <f>IFERROR(VLOOKUP($AA1011,PLAN!$B:$AA,18,0),"")</f>
        <v/>
      </c>
      <c r="N1011" s="227" t="str">
        <f>IFERROR(VLOOKUP($AA1011,PLAN!$B:$AA,19,0),"")</f>
        <v/>
      </c>
      <c r="O1011" s="77" t="str">
        <f>IFERROR(VLOOKUP($AA1011,PLAN!$B:$AA,12,0),"")</f>
        <v/>
      </c>
      <c r="P1011" s="77" t="str">
        <f>IFERROR(VLOOKUP($AA1011,PLAN!$B:$AA,11,0),"")</f>
        <v/>
      </c>
      <c r="Q1011" s="148"/>
      <c r="R1011" s="149"/>
      <c r="S1011" s="149" t="str">
        <f t="shared" si="58"/>
        <v/>
      </c>
      <c r="T1011" s="131"/>
      <c r="U1011" s="78" t="str">
        <f>IFERROR(VLOOKUP($AA1011,PLAN!$B:$AA,21,0),"")</f>
        <v/>
      </c>
      <c r="V1011" s="78" t="str">
        <f>IFERROR(VLOOKUP($AA1011,PLAN!$B:$AA,22,0),"")</f>
        <v/>
      </c>
      <c r="W1011" s="232"/>
      <c r="X1011" s="233"/>
      <c r="Y1011" s="212"/>
      <c r="Z1011" s="350"/>
      <c r="AA1011" s="195"/>
      <c r="AB1011" s="132" t="e">
        <f>VLOOKUP(AA1011,PLAN!B:V,20,0)</f>
        <v>#N/A</v>
      </c>
      <c r="AC1011" s="132"/>
    </row>
    <row r="1012" spans="3:29" s="79" customFormat="1" ht="21.6" customHeight="1">
      <c r="C1012" s="249">
        <f t="shared" si="57"/>
        <v>0</v>
      </c>
      <c r="D1012" s="77" t="str">
        <f>IFERROR(VLOOKUP($AA1012,PLAN!$B:$AA,3,0),"")</f>
        <v/>
      </c>
      <c r="E1012" s="77" t="str">
        <f>IFERROR(VLOOKUP($AA1012,PLAN!$B:$AA,4,0),"")</f>
        <v/>
      </c>
      <c r="F1012" s="77" t="str">
        <f>IFERROR(VLOOKUP($AA1012,PLAN!$B:$AA,5,0),"")</f>
        <v/>
      </c>
      <c r="G1012" s="77" t="str">
        <f>IFERROR(VLOOKUP($AA1012,PLAN!$B:$AA,2,0),"")</f>
        <v/>
      </c>
      <c r="H1012" s="113" t="str">
        <f>IFERROR(VLOOKUP($AA1012,PLAN!$B:$AA,7,0),"")</f>
        <v/>
      </c>
      <c r="I1012" s="77" t="str">
        <f>IFERROR(VLOOKUP($AA1012,PLAN!$B:$AA,8,0),"")</f>
        <v/>
      </c>
      <c r="J1012" s="77" t="str">
        <f>IFERROR(VLOOKUP($AA1012,PLAN!$B:$AA,9,0),"")</f>
        <v/>
      </c>
      <c r="K1012" s="77" t="str">
        <f>IFERROR(VLOOKUP($AA1012,PLAN!$B:$AA,10,0),"")</f>
        <v/>
      </c>
      <c r="L1012" s="77" t="str">
        <f>IFERROR(VLOOKUP($AA1012,PLAN!$B:$AA,15,0),"")</f>
        <v/>
      </c>
      <c r="M1012" s="77" t="str">
        <f>IFERROR(VLOOKUP($AA1012,PLAN!$B:$AA,18,0),"")</f>
        <v/>
      </c>
      <c r="N1012" s="227" t="str">
        <f>IFERROR(VLOOKUP($AA1012,PLAN!$B:$AA,19,0),"")</f>
        <v/>
      </c>
      <c r="O1012" s="77" t="str">
        <f>IFERROR(VLOOKUP($AA1012,PLAN!$B:$AA,12,0),"")</f>
        <v/>
      </c>
      <c r="P1012" s="77" t="str">
        <f>IFERROR(VLOOKUP($AA1012,PLAN!$B:$AA,11,0),"")</f>
        <v/>
      </c>
      <c r="Q1012" s="148"/>
      <c r="R1012" s="149"/>
      <c r="S1012" s="149" t="str">
        <f t="shared" si="58"/>
        <v/>
      </c>
      <c r="T1012" s="131"/>
      <c r="U1012" s="78" t="str">
        <f>IFERROR(VLOOKUP($AA1012,PLAN!$B:$AA,21,0),"")</f>
        <v/>
      </c>
      <c r="V1012" s="78" t="str">
        <f>IFERROR(VLOOKUP($AA1012,PLAN!$B:$AA,22,0),"")</f>
        <v/>
      </c>
      <c r="W1012" s="232"/>
      <c r="X1012" s="233"/>
      <c r="Y1012" s="212"/>
      <c r="Z1012" s="350"/>
      <c r="AA1012" s="195"/>
      <c r="AB1012" s="132" t="e">
        <f>VLOOKUP(AA1012,PLAN!B:V,20,0)</f>
        <v>#N/A</v>
      </c>
      <c r="AC1012" s="132"/>
    </row>
    <row r="1013" spans="3:29" s="79" customFormat="1" ht="21.6" customHeight="1">
      <c r="C1013" s="249">
        <f t="shared" si="57"/>
        <v>0</v>
      </c>
      <c r="D1013" s="77" t="str">
        <f>IFERROR(VLOOKUP($AA1013,PLAN!$B:$AA,3,0),"")</f>
        <v/>
      </c>
      <c r="E1013" s="77" t="str">
        <f>IFERROR(VLOOKUP($AA1013,PLAN!$B:$AA,4,0),"")</f>
        <v/>
      </c>
      <c r="F1013" s="77" t="str">
        <f>IFERROR(VLOOKUP($AA1013,PLAN!$B:$AA,5,0),"")</f>
        <v/>
      </c>
      <c r="G1013" s="77" t="str">
        <f>IFERROR(VLOOKUP($AA1013,PLAN!$B:$AA,2,0),"")</f>
        <v/>
      </c>
      <c r="H1013" s="113" t="str">
        <f>IFERROR(VLOOKUP($AA1013,PLAN!$B:$AA,7,0),"")</f>
        <v/>
      </c>
      <c r="I1013" s="77" t="str">
        <f>IFERROR(VLOOKUP($AA1013,PLAN!$B:$AA,8,0),"")</f>
        <v/>
      </c>
      <c r="J1013" s="77" t="str">
        <f>IFERROR(VLOOKUP($AA1013,PLAN!$B:$AA,9,0),"")</f>
        <v/>
      </c>
      <c r="K1013" s="77" t="str">
        <f>IFERROR(VLOOKUP($AA1013,PLAN!$B:$AA,10,0),"")</f>
        <v/>
      </c>
      <c r="L1013" s="77" t="str">
        <f>IFERROR(VLOOKUP($AA1013,PLAN!$B:$AA,15,0),"")</f>
        <v/>
      </c>
      <c r="M1013" s="77" t="str">
        <f>IFERROR(VLOOKUP($AA1013,PLAN!$B:$AA,18,0),"")</f>
        <v/>
      </c>
      <c r="N1013" s="227" t="str">
        <f>IFERROR(VLOOKUP($AA1013,PLAN!$B:$AA,19,0),"")</f>
        <v/>
      </c>
      <c r="O1013" s="77" t="str">
        <f>IFERROR(VLOOKUP($AA1013,PLAN!$B:$AA,12,0),"")</f>
        <v/>
      </c>
      <c r="P1013" s="77" t="str">
        <f>IFERROR(VLOOKUP($AA1013,PLAN!$B:$AA,11,0),"")</f>
        <v/>
      </c>
      <c r="Q1013" s="148"/>
      <c r="R1013" s="149"/>
      <c r="S1013" s="149" t="str">
        <f t="shared" si="58"/>
        <v/>
      </c>
      <c r="T1013" s="131"/>
      <c r="U1013" s="78" t="str">
        <f>IFERROR(VLOOKUP($AA1013,PLAN!$B:$AA,21,0),"")</f>
        <v/>
      </c>
      <c r="V1013" s="78" t="str">
        <f>IFERROR(VLOOKUP($AA1013,PLAN!$B:$AA,22,0),"")</f>
        <v/>
      </c>
      <c r="W1013" s="232"/>
      <c r="X1013" s="233"/>
      <c r="Y1013" s="212"/>
      <c r="Z1013" s="350"/>
      <c r="AA1013" s="195"/>
      <c r="AB1013" s="132" t="e">
        <f>VLOOKUP(AA1013,PLAN!B:V,20,0)</f>
        <v>#N/A</v>
      </c>
      <c r="AC1013" s="132"/>
    </row>
    <row r="1014" spans="3:29" s="79" customFormat="1" ht="21.6" customHeight="1">
      <c r="C1014" s="249">
        <f t="shared" si="57"/>
        <v>0</v>
      </c>
      <c r="D1014" s="77" t="str">
        <f>IFERROR(VLOOKUP($AA1014,PLAN!$B:$AA,3,0),"")</f>
        <v/>
      </c>
      <c r="E1014" s="77" t="str">
        <f>IFERROR(VLOOKUP($AA1014,PLAN!$B:$AA,4,0),"")</f>
        <v/>
      </c>
      <c r="F1014" s="77" t="str">
        <f>IFERROR(VLOOKUP($AA1014,PLAN!$B:$AA,5,0),"")</f>
        <v/>
      </c>
      <c r="G1014" s="77" t="str">
        <f>IFERROR(VLOOKUP($AA1014,PLAN!$B:$AA,2,0),"")</f>
        <v/>
      </c>
      <c r="H1014" s="113" t="str">
        <f>IFERROR(VLOOKUP($AA1014,PLAN!$B:$AA,7,0),"")</f>
        <v/>
      </c>
      <c r="I1014" s="77" t="str">
        <f>IFERROR(VLOOKUP($AA1014,PLAN!$B:$AA,8,0),"")</f>
        <v/>
      </c>
      <c r="J1014" s="77" t="str">
        <f>IFERROR(VLOOKUP($AA1014,PLAN!$B:$AA,9,0),"")</f>
        <v/>
      </c>
      <c r="K1014" s="77" t="str">
        <f>IFERROR(VLOOKUP($AA1014,PLAN!$B:$AA,10,0),"")</f>
        <v/>
      </c>
      <c r="L1014" s="77" t="str">
        <f>IFERROR(VLOOKUP($AA1014,PLAN!$B:$AA,15,0),"")</f>
        <v/>
      </c>
      <c r="M1014" s="77" t="str">
        <f>IFERROR(VLOOKUP($AA1014,PLAN!$B:$AA,18,0),"")</f>
        <v/>
      </c>
      <c r="N1014" s="227" t="str">
        <f>IFERROR(VLOOKUP($AA1014,PLAN!$B:$AA,19,0),"")</f>
        <v/>
      </c>
      <c r="O1014" s="77" t="str">
        <f>IFERROR(VLOOKUP($AA1014,PLAN!$B:$AA,12,0),"")</f>
        <v/>
      </c>
      <c r="P1014" s="77" t="str">
        <f>IFERROR(VLOOKUP($AA1014,PLAN!$B:$AA,11,0),"")</f>
        <v/>
      </c>
      <c r="Q1014" s="148"/>
      <c r="R1014" s="149"/>
      <c r="S1014" s="149" t="str">
        <f t="shared" si="58"/>
        <v/>
      </c>
      <c r="T1014" s="131"/>
      <c r="U1014" s="78" t="str">
        <f>IFERROR(VLOOKUP($AA1014,PLAN!$B:$AA,21,0),"")</f>
        <v/>
      </c>
      <c r="V1014" s="78" t="str">
        <f>IFERROR(VLOOKUP($AA1014,PLAN!$B:$AA,22,0),"")</f>
        <v/>
      </c>
      <c r="W1014" s="232"/>
      <c r="X1014" s="233"/>
      <c r="Y1014" s="212"/>
      <c r="Z1014" s="350"/>
      <c r="AA1014" s="195"/>
      <c r="AB1014" s="132" t="e">
        <f>VLOOKUP(AA1014,PLAN!B:V,20,0)</f>
        <v>#N/A</v>
      </c>
      <c r="AC1014" s="132"/>
    </row>
    <row r="1015" spans="3:29" s="79" customFormat="1" ht="21.6" customHeight="1">
      <c r="C1015" s="249">
        <f t="shared" si="57"/>
        <v>0</v>
      </c>
      <c r="D1015" s="77" t="str">
        <f>IFERROR(VLOOKUP($AA1015,PLAN!$B:$AA,3,0),"")</f>
        <v/>
      </c>
      <c r="E1015" s="77" t="str">
        <f>IFERROR(VLOOKUP($AA1015,PLAN!$B:$AA,4,0),"")</f>
        <v/>
      </c>
      <c r="F1015" s="77" t="str">
        <f>IFERROR(VLOOKUP($AA1015,PLAN!$B:$AA,5,0),"")</f>
        <v/>
      </c>
      <c r="G1015" s="77" t="str">
        <f>IFERROR(VLOOKUP($AA1015,PLAN!$B:$AA,2,0),"")</f>
        <v/>
      </c>
      <c r="H1015" s="113" t="str">
        <f>IFERROR(VLOOKUP($AA1015,PLAN!$B:$AA,7,0),"")</f>
        <v/>
      </c>
      <c r="I1015" s="77" t="str">
        <f>IFERROR(VLOOKUP($AA1015,PLAN!$B:$AA,8,0),"")</f>
        <v/>
      </c>
      <c r="J1015" s="77" t="str">
        <f>IFERROR(VLOOKUP($AA1015,PLAN!$B:$AA,9,0),"")</f>
        <v/>
      </c>
      <c r="K1015" s="77" t="str">
        <f>IFERROR(VLOOKUP($AA1015,PLAN!$B:$AA,10,0),"")</f>
        <v/>
      </c>
      <c r="L1015" s="77" t="str">
        <f>IFERROR(VLOOKUP($AA1015,PLAN!$B:$AA,15,0),"")</f>
        <v/>
      </c>
      <c r="M1015" s="77" t="str">
        <f>IFERROR(VLOOKUP($AA1015,PLAN!$B:$AA,18,0),"")</f>
        <v/>
      </c>
      <c r="N1015" s="227" t="str">
        <f>IFERROR(VLOOKUP($AA1015,PLAN!$B:$AA,19,0),"")</f>
        <v/>
      </c>
      <c r="O1015" s="77" t="str">
        <f>IFERROR(VLOOKUP($AA1015,PLAN!$B:$AA,12,0),"")</f>
        <v/>
      </c>
      <c r="P1015" s="77" t="str">
        <f>IFERROR(VLOOKUP($AA1015,PLAN!$B:$AA,11,0),"")</f>
        <v/>
      </c>
      <c r="Q1015" s="148"/>
      <c r="R1015" s="149"/>
      <c r="S1015" s="149" t="str">
        <f t="shared" si="58"/>
        <v/>
      </c>
      <c r="T1015" s="131"/>
      <c r="U1015" s="78" t="str">
        <f>IFERROR(VLOOKUP($AA1015,PLAN!$B:$AA,21,0),"")</f>
        <v/>
      </c>
      <c r="V1015" s="78" t="str">
        <f>IFERROR(VLOOKUP($AA1015,PLAN!$B:$AA,22,0),"")</f>
        <v/>
      </c>
      <c r="W1015" s="232"/>
      <c r="X1015" s="233"/>
      <c r="Y1015" s="212"/>
      <c r="Z1015" s="350"/>
      <c r="AA1015" s="195"/>
      <c r="AB1015" s="132" t="e">
        <f>VLOOKUP(AA1015,PLAN!B:V,20,0)</f>
        <v>#N/A</v>
      </c>
      <c r="AC1015" s="132"/>
    </row>
    <row r="1016" spans="3:29" s="79" customFormat="1" ht="21.6" customHeight="1">
      <c r="C1016" s="249">
        <f t="shared" si="57"/>
        <v>0</v>
      </c>
      <c r="D1016" s="77" t="str">
        <f>IFERROR(VLOOKUP($AA1016,PLAN!$B:$AA,3,0),"")</f>
        <v/>
      </c>
      <c r="E1016" s="77" t="str">
        <f>IFERROR(VLOOKUP($AA1016,PLAN!$B:$AA,4,0),"")</f>
        <v/>
      </c>
      <c r="F1016" s="77" t="str">
        <f>IFERROR(VLOOKUP($AA1016,PLAN!$B:$AA,5,0),"")</f>
        <v/>
      </c>
      <c r="G1016" s="77" t="str">
        <f>IFERROR(VLOOKUP($AA1016,PLAN!$B:$AA,2,0),"")</f>
        <v/>
      </c>
      <c r="H1016" s="113" t="str">
        <f>IFERROR(VLOOKUP($AA1016,PLAN!$B:$AA,7,0),"")</f>
        <v/>
      </c>
      <c r="I1016" s="77" t="str">
        <f>IFERROR(VLOOKUP($AA1016,PLAN!$B:$AA,8,0),"")</f>
        <v/>
      </c>
      <c r="J1016" s="77" t="str">
        <f>IFERROR(VLOOKUP($AA1016,PLAN!$B:$AA,9,0),"")</f>
        <v/>
      </c>
      <c r="K1016" s="77" t="str">
        <f>IFERROR(VLOOKUP($AA1016,PLAN!$B:$AA,10,0),"")</f>
        <v/>
      </c>
      <c r="L1016" s="77" t="str">
        <f>IFERROR(VLOOKUP($AA1016,PLAN!$B:$AA,15,0),"")</f>
        <v/>
      </c>
      <c r="M1016" s="77" t="str">
        <f>IFERROR(VLOOKUP($AA1016,PLAN!$B:$AA,18,0),"")</f>
        <v/>
      </c>
      <c r="N1016" s="227" t="str">
        <f>IFERROR(VLOOKUP($AA1016,PLAN!$B:$AA,19,0),"")</f>
        <v/>
      </c>
      <c r="O1016" s="77" t="str">
        <f>IFERROR(VLOOKUP($AA1016,PLAN!$B:$AA,12,0),"")</f>
        <v/>
      </c>
      <c r="P1016" s="77" t="str">
        <f>IFERROR(VLOOKUP($AA1016,PLAN!$B:$AA,11,0),"")</f>
        <v/>
      </c>
      <c r="Q1016" s="148"/>
      <c r="R1016" s="149"/>
      <c r="S1016" s="149" t="str">
        <f t="shared" si="58"/>
        <v/>
      </c>
      <c r="T1016" s="131"/>
      <c r="U1016" s="78" t="str">
        <f>IFERROR(VLOOKUP($AA1016,PLAN!$B:$AA,21,0),"")</f>
        <v/>
      </c>
      <c r="V1016" s="78" t="str">
        <f>IFERROR(VLOOKUP($AA1016,PLAN!$B:$AA,22,0),"")</f>
        <v/>
      </c>
      <c r="W1016" s="232"/>
      <c r="X1016" s="233"/>
      <c r="Y1016" s="212"/>
      <c r="Z1016" s="350"/>
      <c r="AA1016" s="195"/>
      <c r="AB1016" s="132" t="e">
        <f>VLOOKUP(AA1016,PLAN!B:V,20,0)</f>
        <v>#N/A</v>
      </c>
      <c r="AC1016" s="132"/>
    </row>
    <row r="1017" spans="3:29" s="79" customFormat="1" ht="21.6" customHeight="1">
      <c r="C1017" s="249">
        <f t="shared" si="57"/>
        <v>0</v>
      </c>
      <c r="D1017" s="77" t="str">
        <f>IFERROR(VLOOKUP($AA1017,PLAN!$B:$AA,3,0),"")</f>
        <v/>
      </c>
      <c r="E1017" s="77" t="str">
        <f>IFERROR(VLOOKUP($AA1017,PLAN!$B:$AA,4,0),"")</f>
        <v/>
      </c>
      <c r="F1017" s="77" t="str">
        <f>IFERROR(VLOOKUP($AA1017,PLAN!$B:$AA,5,0),"")</f>
        <v/>
      </c>
      <c r="G1017" s="77" t="str">
        <f>IFERROR(VLOOKUP($AA1017,PLAN!$B:$AA,2,0),"")</f>
        <v/>
      </c>
      <c r="H1017" s="113" t="str">
        <f>IFERROR(VLOOKUP($AA1017,PLAN!$B:$AA,7,0),"")</f>
        <v/>
      </c>
      <c r="I1017" s="77" t="str">
        <f>IFERROR(VLOOKUP($AA1017,PLAN!$B:$AA,8,0),"")</f>
        <v/>
      </c>
      <c r="J1017" s="77" t="str">
        <f>IFERROR(VLOOKUP($AA1017,PLAN!$B:$AA,9,0),"")</f>
        <v/>
      </c>
      <c r="K1017" s="77" t="str">
        <f>IFERROR(VLOOKUP($AA1017,PLAN!$B:$AA,10,0),"")</f>
        <v/>
      </c>
      <c r="L1017" s="77" t="str">
        <f>IFERROR(VLOOKUP($AA1017,PLAN!$B:$AA,15,0),"")</f>
        <v/>
      </c>
      <c r="M1017" s="77" t="str">
        <f>IFERROR(VLOOKUP($AA1017,PLAN!$B:$AA,18,0),"")</f>
        <v/>
      </c>
      <c r="N1017" s="227" t="str">
        <f>IFERROR(VLOOKUP($AA1017,PLAN!$B:$AA,19,0),"")</f>
        <v/>
      </c>
      <c r="O1017" s="77" t="str">
        <f>IFERROR(VLOOKUP($AA1017,PLAN!$B:$AA,12,0),"")</f>
        <v/>
      </c>
      <c r="P1017" s="77" t="str">
        <f>IFERROR(VLOOKUP($AA1017,PLAN!$B:$AA,11,0),"")</f>
        <v/>
      </c>
      <c r="Q1017" s="148"/>
      <c r="R1017" s="149"/>
      <c r="S1017" s="149" t="str">
        <f t="shared" si="58"/>
        <v/>
      </c>
      <c r="T1017" s="131"/>
      <c r="U1017" s="78" t="str">
        <f>IFERROR(VLOOKUP($AA1017,PLAN!$B:$AA,21,0),"")</f>
        <v/>
      </c>
      <c r="V1017" s="78" t="str">
        <f>IFERROR(VLOOKUP($AA1017,PLAN!$B:$AA,22,0),"")</f>
        <v/>
      </c>
      <c r="W1017" s="232"/>
      <c r="X1017" s="233"/>
      <c r="Y1017" s="212"/>
      <c r="Z1017" s="350"/>
      <c r="AA1017" s="195"/>
      <c r="AB1017" s="132" t="e">
        <f>VLOOKUP(AA1017,PLAN!B:V,20,0)</f>
        <v>#N/A</v>
      </c>
      <c r="AC1017" s="132"/>
    </row>
    <row r="1018" spans="3:29" s="79" customFormat="1" ht="21.6" customHeight="1">
      <c r="C1018" s="249">
        <f t="shared" si="57"/>
        <v>0</v>
      </c>
      <c r="D1018" s="77" t="str">
        <f>IFERROR(VLOOKUP($AA1018,PLAN!$B:$AA,3,0),"")</f>
        <v/>
      </c>
      <c r="E1018" s="77" t="str">
        <f>IFERROR(VLOOKUP($AA1018,PLAN!$B:$AA,4,0),"")</f>
        <v/>
      </c>
      <c r="F1018" s="77" t="str">
        <f>IFERROR(VLOOKUP($AA1018,PLAN!$B:$AA,5,0),"")</f>
        <v/>
      </c>
      <c r="G1018" s="77" t="str">
        <f>IFERROR(VLOOKUP($AA1018,PLAN!$B:$AA,2,0),"")</f>
        <v/>
      </c>
      <c r="H1018" s="113" t="str">
        <f>IFERROR(VLOOKUP($AA1018,PLAN!$B:$AA,7,0),"")</f>
        <v/>
      </c>
      <c r="I1018" s="77" t="str">
        <f>IFERROR(VLOOKUP($AA1018,PLAN!$B:$AA,8,0),"")</f>
        <v/>
      </c>
      <c r="J1018" s="77" t="str">
        <f>IFERROR(VLOOKUP($AA1018,PLAN!$B:$AA,9,0),"")</f>
        <v/>
      </c>
      <c r="K1018" s="77" t="str">
        <f>IFERROR(VLOOKUP($AA1018,PLAN!$B:$AA,10,0),"")</f>
        <v/>
      </c>
      <c r="L1018" s="77" t="str">
        <f>IFERROR(VLOOKUP($AA1018,PLAN!$B:$AA,15,0),"")</f>
        <v/>
      </c>
      <c r="M1018" s="77" t="str">
        <f>IFERROR(VLOOKUP($AA1018,PLAN!$B:$AA,18,0),"")</f>
        <v/>
      </c>
      <c r="N1018" s="227" t="str">
        <f>IFERROR(VLOOKUP($AA1018,PLAN!$B:$AA,19,0),"")</f>
        <v/>
      </c>
      <c r="O1018" s="77" t="str">
        <f>IFERROR(VLOOKUP($AA1018,PLAN!$B:$AA,12,0),"")</f>
        <v/>
      </c>
      <c r="P1018" s="77" t="str">
        <f>IFERROR(VLOOKUP($AA1018,PLAN!$B:$AA,11,0),"")</f>
        <v/>
      </c>
      <c r="Q1018" s="148"/>
      <c r="R1018" s="149"/>
      <c r="S1018" s="149" t="str">
        <f t="shared" si="58"/>
        <v/>
      </c>
      <c r="T1018" s="131"/>
      <c r="U1018" s="78" t="str">
        <f>IFERROR(VLOOKUP($AA1018,PLAN!$B:$AA,21,0),"")</f>
        <v/>
      </c>
      <c r="V1018" s="78" t="str">
        <f>IFERROR(VLOOKUP($AA1018,PLAN!$B:$AA,22,0),"")</f>
        <v/>
      </c>
      <c r="W1018" s="232"/>
      <c r="X1018" s="233"/>
      <c r="Y1018" s="212"/>
      <c r="Z1018" s="350"/>
      <c r="AA1018" s="195"/>
      <c r="AB1018" s="132" t="e">
        <f>VLOOKUP(AA1018,PLAN!B:V,20,0)</f>
        <v>#N/A</v>
      </c>
      <c r="AC1018" s="132"/>
    </row>
    <row r="1019" spans="3:29" s="79" customFormat="1" ht="21.6" customHeight="1">
      <c r="C1019" s="249">
        <f t="shared" si="57"/>
        <v>0</v>
      </c>
      <c r="D1019" s="77" t="str">
        <f>IFERROR(VLOOKUP($AA1019,PLAN!$B:$AA,3,0),"")</f>
        <v/>
      </c>
      <c r="E1019" s="77" t="str">
        <f>IFERROR(VLOOKUP($AA1019,PLAN!$B:$AA,4,0),"")</f>
        <v/>
      </c>
      <c r="F1019" s="77" t="str">
        <f>IFERROR(VLOOKUP($AA1019,PLAN!$B:$AA,5,0),"")</f>
        <v/>
      </c>
      <c r="G1019" s="77" t="str">
        <f>IFERROR(VLOOKUP($AA1019,PLAN!$B:$AA,2,0),"")</f>
        <v/>
      </c>
      <c r="H1019" s="113" t="str">
        <f>IFERROR(VLOOKUP($AA1019,PLAN!$B:$AA,7,0),"")</f>
        <v/>
      </c>
      <c r="I1019" s="77" t="str">
        <f>IFERROR(VLOOKUP($AA1019,PLAN!$B:$AA,8,0),"")</f>
        <v/>
      </c>
      <c r="J1019" s="77" t="str">
        <f>IFERROR(VLOOKUP($AA1019,PLAN!$B:$AA,9,0),"")</f>
        <v/>
      </c>
      <c r="K1019" s="77" t="str">
        <f>IFERROR(VLOOKUP($AA1019,PLAN!$B:$AA,10,0),"")</f>
        <v/>
      </c>
      <c r="L1019" s="77" t="str">
        <f>IFERROR(VLOOKUP($AA1019,PLAN!$B:$AA,15,0),"")</f>
        <v/>
      </c>
      <c r="M1019" s="77" t="str">
        <f>IFERROR(VLOOKUP($AA1019,PLAN!$B:$AA,18,0),"")</f>
        <v/>
      </c>
      <c r="N1019" s="227" t="str">
        <f>IFERROR(VLOOKUP($AA1019,PLAN!$B:$AA,19,0),"")</f>
        <v/>
      </c>
      <c r="O1019" s="77" t="str">
        <f>IFERROR(VLOOKUP($AA1019,PLAN!$B:$AA,12,0),"")</f>
        <v/>
      </c>
      <c r="P1019" s="77" t="str">
        <f>IFERROR(VLOOKUP($AA1019,PLAN!$B:$AA,11,0),"")</f>
        <v/>
      </c>
      <c r="Q1019" s="148"/>
      <c r="R1019" s="149"/>
      <c r="S1019" s="149" t="str">
        <f t="shared" si="58"/>
        <v/>
      </c>
      <c r="T1019" s="131"/>
      <c r="U1019" s="78" t="str">
        <f>IFERROR(VLOOKUP($AA1019,PLAN!$B:$AA,21,0),"")</f>
        <v/>
      </c>
      <c r="V1019" s="78" t="str">
        <f>IFERROR(VLOOKUP($AA1019,PLAN!$B:$AA,22,0),"")</f>
        <v/>
      </c>
      <c r="W1019" s="232"/>
      <c r="X1019" s="233"/>
      <c r="Y1019" s="212"/>
      <c r="Z1019" s="350"/>
      <c r="AA1019" s="195"/>
      <c r="AB1019" s="132" t="e">
        <f>VLOOKUP(AA1019,PLAN!B:V,20,0)</f>
        <v>#N/A</v>
      </c>
      <c r="AC1019" s="132"/>
    </row>
    <row r="1020" spans="3:29" s="79" customFormat="1" ht="21.6" customHeight="1">
      <c r="C1020" s="249">
        <f t="shared" si="57"/>
        <v>0</v>
      </c>
      <c r="D1020" s="77" t="str">
        <f>IFERROR(VLOOKUP($AA1020,PLAN!$B:$AA,3,0),"")</f>
        <v/>
      </c>
      <c r="E1020" s="77" t="str">
        <f>IFERROR(VLOOKUP($AA1020,PLAN!$B:$AA,4,0),"")</f>
        <v/>
      </c>
      <c r="F1020" s="77" t="str">
        <f>IFERROR(VLOOKUP($AA1020,PLAN!$B:$AA,5,0),"")</f>
        <v/>
      </c>
      <c r="G1020" s="77" t="str">
        <f>IFERROR(VLOOKUP($AA1020,PLAN!$B:$AA,2,0),"")</f>
        <v/>
      </c>
      <c r="H1020" s="113" t="str">
        <f>IFERROR(VLOOKUP($AA1020,PLAN!$B:$AA,7,0),"")</f>
        <v/>
      </c>
      <c r="I1020" s="77" t="str">
        <f>IFERROR(VLOOKUP($AA1020,PLAN!$B:$AA,8,0),"")</f>
        <v/>
      </c>
      <c r="J1020" s="77" t="str">
        <f>IFERROR(VLOOKUP($AA1020,PLAN!$B:$AA,9,0),"")</f>
        <v/>
      </c>
      <c r="K1020" s="77" t="str">
        <f>IFERROR(VLOOKUP($AA1020,PLAN!$B:$AA,10,0),"")</f>
        <v/>
      </c>
      <c r="L1020" s="77" t="str">
        <f>IFERROR(VLOOKUP($AA1020,PLAN!$B:$AA,15,0),"")</f>
        <v/>
      </c>
      <c r="M1020" s="77" t="str">
        <f>IFERROR(VLOOKUP($AA1020,PLAN!$B:$AA,18,0),"")</f>
        <v/>
      </c>
      <c r="N1020" s="227" t="str">
        <f>IFERROR(VLOOKUP($AA1020,PLAN!$B:$AA,19,0),"")</f>
        <v/>
      </c>
      <c r="O1020" s="77" t="str">
        <f>IFERROR(VLOOKUP($AA1020,PLAN!$B:$AA,12,0),"")</f>
        <v/>
      </c>
      <c r="P1020" s="77" t="str">
        <f>IFERROR(VLOOKUP($AA1020,PLAN!$B:$AA,11,0),"")</f>
        <v/>
      </c>
      <c r="Q1020" s="148"/>
      <c r="R1020" s="149"/>
      <c r="S1020" s="149" t="str">
        <f t="shared" si="58"/>
        <v/>
      </c>
      <c r="T1020" s="131"/>
      <c r="U1020" s="78" t="str">
        <f>IFERROR(VLOOKUP($AA1020,PLAN!$B:$AA,21,0),"")</f>
        <v/>
      </c>
      <c r="V1020" s="78" t="str">
        <f>IFERROR(VLOOKUP($AA1020,PLAN!$B:$AA,22,0),"")</f>
        <v/>
      </c>
      <c r="W1020" s="232"/>
      <c r="X1020" s="233"/>
      <c r="Y1020" s="212"/>
      <c r="Z1020" s="350"/>
      <c r="AA1020" s="195"/>
      <c r="AB1020" s="132" t="e">
        <f>VLOOKUP(AA1020,PLAN!B:V,20,0)</f>
        <v>#N/A</v>
      </c>
      <c r="AC1020" s="132"/>
    </row>
    <row r="1021" spans="3:29" s="79" customFormat="1" ht="21.6" customHeight="1">
      <c r="C1021" s="249">
        <f t="shared" si="57"/>
        <v>0</v>
      </c>
      <c r="D1021" s="77" t="str">
        <f>IFERROR(VLOOKUP($AA1021,PLAN!$B:$AA,3,0),"")</f>
        <v/>
      </c>
      <c r="E1021" s="77" t="str">
        <f>IFERROR(VLOOKUP($AA1021,PLAN!$B:$AA,4,0),"")</f>
        <v/>
      </c>
      <c r="F1021" s="77" t="str">
        <f>IFERROR(VLOOKUP($AA1021,PLAN!$B:$AA,5,0),"")</f>
        <v/>
      </c>
      <c r="G1021" s="77" t="str">
        <f>IFERROR(VLOOKUP($AA1021,PLAN!$B:$AA,2,0),"")</f>
        <v/>
      </c>
      <c r="H1021" s="113" t="str">
        <f>IFERROR(VLOOKUP($AA1021,PLAN!$B:$AA,7,0),"")</f>
        <v/>
      </c>
      <c r="I1021" s="77" t="str">
        <f>IFERROR(VLOOKUP($AA1021,PLAN!$B:$AA,8,0),"")</f>
        <v/>
      </c>
      <c r="J1021" s="77" t="str">
        <f>IFERROR(VLOOKUP($AA1021,PLAN!$B:$AA,9,0),"")</f>
        <v/>
      </c>
      <c r="K1021" s="77" t="str">
        <f>IFERROR(VLOOKUP($AA1021,PLAN!$B:$AA,10,0),"")</f>
        <v/>
      </c>
      <c r="L1021" s="77" t="str">
        <f>IFERROR(VLOOKUP($AA1021,PLAN!$B:$AA,15,0),"")</f>
        <v/>
      </c>
      <c r="M1021" s="77" t="str">
        <f>IFERROR(VLOOKUP($AA1021,PLAN!$B:$AA,18,0),"")</f>
        <v/>
      </c>
      <c r="N1021" s="227" t="str">
        <f>IFERROR(VLOOKUP($AA1021,PLAN!$B:$AA,19,0),"")</f>
        <v/>
      </c>
      <c r="O1021" s="77" t="str">
        <f>IFERROR(VLOOKUP($AA1021,PLAN!$B:$AA,12,0),"")</f>
        <v/>
      </c>
      <c r="P1021" s="77" t="str">
        <f>IFERROR(VLOOKUP($AA1021,PLAN!$B:$AA,11,0),"")</f>
        <v/>
      </c>
      <c r="Q1021" s="148"/>
      <c r="R1021" s="149"/>
      <c r="S1021" s="149" t="str">
        <f t="shared" si="58"/>
        <v/>
      </c>
      <c r="T1021" s="131"/>
      <c r="U1021" s="78" t="str">
        <f>IFERROR(VLOOKUP($AA1021,PLAN!$B:$AA,21,0),"")</f>
        <v/>
      </c>
      <c r="V1021" s="78" t="str">
        <f>IFERROR(VLOOKUP($AA1021,PLAN!$B:$AA,22,0),"")</f>
        <v/>
      </c>
      <c r="W1021" s="232"/>
      <c r="X1021" s="233"/>
      <c r="Y1021" s="212"/>
      <c r="Z1021" s="350"/>
      <c r="AA1021" s="195"/>
      <c r="AB1021" s="132" t="e">
        <f>VLOOKUP(AA1021,PLAN!B:V,20,0)</f>
        <v>#N/A</v>
      </c>
      <c r="AC1021" s="132"/>
    </row>
    <row r="1022" spans="3:29" s="79" customFormat="1" ht="21.6" customHeight="1">
      <c r="C1022" s="249">
        <f t="shared" si="57"/>
        <v>0</v>
      </c>
      <c r="D1022" s="77" t="str">
        <f>IFERROR(VLOOKUP($AA1022,PLAN!$B:$AA,3,0),"")</f>
        <v/>
      </c>
      <c r="E1022" s="77" t="str">
        <f>IFERROR(VLOOKUP($AA1022,PLAN!$B:$AA,4,0),"")</f>
        <v/>
      </c>
      <c r="F1022" s="77" t="str">
        <f>IFERROR(VLOOKUP($AA1022,PLAN!$B:$AA,5,0),"")</f>
        <v/>
      </c>
      <c r="G1022" s="77" t="str">
        <f>IFERROR(VLOOKUP($AA1022,PLAN!$B:$AA,2,0),"")</f>
        <v/>
      </c>
      <c r="H1022" s="113" t="str">
        <f>IFERROR(VLOOKUP($AA1022,PLAN!$B:$AA,7,0),"")</f>
        <v/>
      </c>
      <c r="I1022" s="77" t="str">
        <f>IFERROR(VLOOKUP($AA1022,PLAN!$B:$AA,8,0),"")</f>
        <v/>
      </c>
      <c r="J1022" s="77" t="str">
        <f>IFERROR(VLOOKUP($AA1022,PLAN!$B:$AA,9,0),"")</f>
        <v/>
      </c>
      <c r="K1022" s="77" t="str">
        <f>IFERROR(VLOOKUP($AA1022,PLAN!$B:$AA,10,0),"")</f>
        <v/>
      </c>
      <c r="L1022" s="77" t="str">
        <f>IFERROR(VLOOKUP($AA1022,PLAN!$B:$AA,15,0),"")</f>
        <v/>
      </c>
      <c r="M1022" s="77" t="str">
        <f>IFERROR(VLOOKUP($AA1022,PLAN!$B:$AA,18,0),"")</f>
        <v/>
      </c>
      <c r="N1022" s="227" t="str">
        <f>IFERROR(VLOOKUP($AA1022,PLAN!$B:$AA,19,0),"")</f>
        <v/>
      </c>
      <c r="O1022" s="77" t="str">
        <f>IFERROR(VLOOKUP($AA1022,PLAN!$B:$AA,12,0),"")</f>
        <v/>
      </c>
      <c r="P1022" s="77" t="str">
        <f>IFERROR(VLOOKUP($AA1022,PLAN!$B:$AA,11,0),"")</f>
        <v/>
      </c>
      <c r="Q1022" s="148"/>
      <c r="R1022" s="149"/>
      <c r="S1022" s="149" t="str">
        <f t="shared" si="58"/>
        <v/>
      </c>
      <c r="T1022" s="131"/>
      <c r="U1022" s="78" t="str">
        <f>IFERROR(VLOOKUP($AA1022,PLAN!$B:$AA,21,0),"")</f>
        <v/>
      </c>
      <c r="V1022" s="78" t="str">
        <f>IFERROR(VLOOKUP($AA1022,PLAN!$B:$AA,22,0),"")</f>
        <v/>
      </c>
      <c r="W1022" s="232"/>
      <c r="X1022" s="233"/>
      <c r="Y1022" s="212"/>
      <c r="Z1022" s="350"/>
      <c r="AA1022" s="195"/>
      <c r="AB1022" s="132" t="e">
        <f>VLOOKUP(AA1022,PLAN!B:V,20,0)</f>
        <v>#N/A</v>
      </c>
      <c r="AC1022" s="132"/>
    </row>
    <row r="1023" spans="3:29" s="79" customFormat="1" ht="21.6" customHeight="1">
      <c r="C1023" s="249">
        <f t="shared" si="57"/>
        <v>0</v>
      </c>
      <c r="D1023" s="77" t="str">
        <f>IFERROR(VLOOKUP($AA1023,PLAN!$B:$AA,3,0),"")</f>
        <v/>
      </c>
      <c r="E1023" s="77" t="str">
        <f>IFERROR(VLOOKUP($AA1023,PLAN!$B:$AA,4,0),"")</f>
        <v/>
      </c>
      <c r="F1023" s="77" t="str">
        <f>IFERROR(VLOOKUP($AA1023,PLAN!$B:$AA,5,0),"")</f>
        <v/>
      </c>
      <c r="G1023" s="77" t="str">
        <f>IFERROR(VLOOKUP($AA1023,PLAN!$B:$AA,2,0),"")</f>
        <v/>
      </c>
      <c r="H1023" s="113" t="str">
        <f>IFERROR(VLOOKUP($AA1023,PLAN!$B:$AA,7,0),"")</f>
        <v/>
      </c>
      <c r="I1023" s="77" t="str">
        <f>IFERROR(VLOOKUP($AA1023,PLAN!$B:$AA,8,0),"")</f>
        <v/>
      </c>
      <c r="J1023" s="77" t="str">
        <f>IFERROR(VLOOKUP($AA1023,PLAN!$B:$AA,9,0),"")</f>
        <v/>
      </c>
      <c r="K1023" s="77" t="str">
        <f>IFERROR(VLOOKUP($AA1023,PLAN!$B:$AA,10,0),"")</f>
        <v/>
      </c>
      <c r="L1023" s="77" t="str">
        <f>IFERROR(VLOOKUP($AA1023,PLAN!$B:$AA,15,0),"")</f>
        <v/>
      </c>
      <c r="M1023" s="77" t="str">
        <f>IFERROR(VLOOKUP($AA1023,PLAN!$B:$AA,18,0),"")</f>
        <v/>
      </c>
      <c r="N1023" s="227" t="str">
        <f>IFERROR(VLOOKUP($AA1023,PLAN!$B:$AA,19,0),"")</f>
        <v/>
      </c>
      <c r="O1023" s="77" t="str">
        <f>IFERROR(VLOOKUP($AA1023,PLAN!$B:$AA,12,0),"")</f>
        <v/>
      </c>
      <c r="P1023" s="77" t="str">
        <f>IFERROR(VLOOKUP($AA1023,PLAN!$B:$AA,11,0),"")</f>
        <v/>
      </c>
      <c r="Q1023" s="148"/>
      <c r="R1023" s="149"/>
      <c r="S1023" s="149" t="str">
        <f t="shared" si="58"/>
        <v/>
      </c>
      <c r="T1023" s="131"/>
      <c r="U1023" s="78" t="str">
        <f>IFERROR(VLOOKUP($AA1023,PLAN!$B:$AA,21,0),"")</f>
        <v/>
      </c>
      <c r="V1023" s="78" t="str">
        <f>IFERROR(VLOOKUP($AA1023,PLAN!$B:$AA,22,0),"")</f>
        <v/>
      </c>
      <c r="W1023" s="232"/>
      <c r="X1023" s="233"/>
      <c r="Y1023" s="212"/>
      <c r="Z1023" s="350"/>
      <c r="AA1023" s="195"/>
      <c r="AB1023" s="132" t="e">
        <f>VLOOKUP(AA1023,PLAN!B:V,20,0)</f>
        <v>#N/A</v>
      </c>
      <c r="AC1023" s="132"/>
    </row>
    <row r="1024" spans="3:29" s="79" customFormat="1" ht="21.6" customHeight="1">
      <c r="C1024" s="249">
        <f t="shared" si="57"/>
        <v>0</v>
      </c>
      <c r="D1024" s="77" t="str">
        <f>IFERROR(VLOOKUP($AA1024,PLAN!$B:$AA,3,0),"")</f>
        <v/>
      </c>
      <c r="E1024" s="77" t="str">
        <f>IFERROR(VLOOKUP($AA1024,PLAN!$B:$AA,4,0),"")</f>
        <v/>
      </c>
      <c r="F1024" s="77" t="str">
        <f>IFERROR(VLOOKUP($AA1024,PLAN!$B:$AA,5,0),"")</f>
        <v/>
      </c>
      <c r="G1024" s="77" t="str">
        <f>IFERROR(VLOOKUP($AA1024,PLAN!$B:$AA,2,0),"")</f>
        <v/>
      </c>
      <c r="H1024" s="113" t="str">
        <f>IFERROR(VLOOKUP($AA1024,PLAN!$B:$AA,7,0),"")</f>
        <v/>
      </c>
      <c r="I1024" s="77" t="str">
        <f>IFERROR(VLOOKUP($AA1024,PLAN!$B:$AA,8,0),"")</f>
        <v/>
      </c>
      <c r="J1024" s="77" t="str">
        <f>IFERROR(VLOOKUP($AA1024,PLAN!$B:$AA,9,0),"")</f>
        <v/>
      </c>
      <c r="K1024" s="77" t="str">
        <f>IFERROR(VLOOKUP($AA1024,PLAN!$B:$AA,10,0),"")</f>
        <v/>
      </c>
      <c r="L1024" s="77" t="str">
        <f>IFERROR(VLOOKUP($AA1024,PLAN!$B:$AA,15,0),"")</f>
        <v/>
      </c>
      <c r="M1024" s="77" t="str">
        <f>IFERROR(VLOOKUP($AA1024,PLAN!$B:$AA,18,0),"")</f>
        <v/>
      </c>
      <c r="N1024" s="227" t="str">
        <f>IFERROR(VLOOKUP($AA1024,PLAN!$B:$AA,19,0),"")</f>
        <v/>
      </c>
      <c r="O1024" s="77" t="str">
        <f>IFERROR(VLOOKUP($AA1024,PLAN!$B:$AA,12,0),"")</f>
        <v/>
      </c>
      <c r="P1024" s="77" t="str">
        <f>IFERROR(VLOOKUP($AA1024,PLAN!$B:$AA,11,0),"")</f>
        <v/>
      </c>
      <c r="Q1024" s="148"/>
      <c r="R1024" s="149"/>
      <c r="S1024" s="149" t="str">
        <f t="shared" si="58"/>
        <v/>
      </c>
      <c r="T1024" s="131"/>
      <c r="U1024" s="78" t="str">
        <f>IFERROR(VLOOKUP($AA1024,PLAN!$B:$AA,21,0),"")</f>
        <v/>
      </c>
      <c r="V1024" s="78" t="str">
        <f>IFERROR(VLOOKUP($AA1024,PLAN!$B:$AA,22,0),"")</f>
        <v/>
      </c>
      <c r="W1024" s="232"/>
      <c r="X1024" s="233"/>
      <c r="Y1024" s="212"/>
      <c r="Z1024" s="350"/>
      <c r="AA1024" s="195"/>
      <c r="AB1024" s="132" t="e">
        <f>VLOOKUP(AA1024,PLAN!B:V,20,0)</f>
        <v>#N/A</v>
      </c>
      <c r="AC1024" s="132"/>
    </row>
    <row r="1025" spans="1:29" s="79" customFormat="1" ht="21.6" customHeight="1">
      <c r="C1025" s="249">
        <f t="shared" si="57"/>
        <v>0</v>
      </c>
      <c r="D1025" s="77" t="str">
        <f>IFERROR(VLOOKUP($AA1025,PLAN!$B:$AA,3,0),"")</f>
        <v/>
      </c>
      <c r="E1025" s="77" t="str">
        <f>IFERROR(VLOOKUP($AA1025,PLAN!$B:$AA,4,0),"")</f>
        <v/>
      </c>
      <c r="F1025" s="77" t="str">
        <f>IFERROR(VLOOKUP($AA1025,PLAN!$B:$AA,5,0),"")</f>
        <v/>
      </c>
      <c r="G1025" s="77" t="str">
        <f>IFERROR(VLOOKUP($AA1025,PLAN!$B:$AA,2,0),"")</f>
        <v/>
      </c>
      <c r="H1025" s="113" t="str">
        <f>IFERROR(VLOOKUP($AA1025,PLAN!$B:$AA,7,0),"")</f>
        <v/>
      </c>
      <c r="I1025" s="77" t="str">
        <f>IFERROR(VLOOKUP($AA1025,PLAN!$B:$AA,8,0),"")</f>
        <v/>
      </c>
      <c r="J1025" s="77" t="str">
        <f>IFERROR(VLOOKUP($AA1025,PLAN!$B:$AA,9,0),"")</f>
        <v/>
      </c>
      <c r="K1025" s="77" t="str">
        <f>IFERROR(VLOOKUP($AA1025,PLAN!$B:$AA,10,0),"")</f>
        <v/>
      </c>
      <c r="L1025" s="77" t="str">
        <f>IFERROR(VLOOKUP($AA1025,PLAN!$B:$AA,15,0),"")</f>
        <v/>
      </c>
      <c r="M1025" s="77" t="str">
        <f>IFERROR(VLOOKUP($AA1025,PLAN!$B:$AA,18,0),"")</f>
        <v/>
      </c>
      <c r="N1025" s="227" t="str">
        <f>IFERROR(VLOOKUP($AA1025,PLAN!$B:$AA,19,0),"")</f>
        <v/>
      </c>
      <c r="O1025" s="77" t="str">
        <f>IFERROR(VLOOKUP($AA1025,PLAN!$B:$AA,12,0),"")</f>
        <v/>
      </c>
      <c r="P1025" s="77" t="str">
        <f>IFERROR(VLOOKUP($AA1025,PLAN!$B:$AA,11,0),"")</f>
        <v/>
      </c>
      <c r="Q1025" s="148"/>
      <c r="R1025" s="149"/>
      <c r="S1025" s="149" t="str">
        <f t="shared" si="58"/>
        <v/>
      </c>
      <c r="T1025" s="131"/>
      <c r="U1025" s="78" t="str">
        <f>IFERROR(VLOOKUP($AA1025,PLAN!$B:$AA,21,0),"")</f>
        <v/>
      </c>
      <c r="V1025" s="78" t="str">
        <f>IFERROR(VLOOKUP($AA1025,PLAN!$B:$AA,22,0),"")</f>
        <v/>
      </c>
      <c r="W1025" s="232"/>
      <c r="X1025" s="233"/>
      <c r="Y1025" s="212"/>
      <c r="Z1025" s="350"/>
      <c r="AA1025" s="195"/>
      <c r="AB1025" s="132" t="e">
        <f>VLOOKUP(AA1025,PLAN!B:V,20,0)</f>
        <v>#N/A</v>
      </c>
      <c r="AC1025" s="132"/>
    </row>
    <row r="1026" spans="1:29" s="79" customFormat="1" ht="21.6" customHeight="1">
      <c r="C1026" s="249">
        <f t="shared" si="57"/>
        <v>0</v>
      </c>
      <c r="D1026" s="77" t="str">
        <f>IFERROR(VLOOKUP($AA1026,PLAN!$B:$AA,3,0),"")</f>
        <v/>
      </c>
      <c r="E1026" s="77" t="str">
        <f>IFERROR(VLOOKUP($AA1026,PLAN!$B:$AA,4,0),"")</f>
        <v/>
      </c>
      <c r="F1026" s="77" t="str">
        <f>IFERROR(VLOOKUP($AA1026,PLAN!$B:$AA,5,0),"")</f>
        <v/>
      </c>
      <c r="G1026" s="77" t="str">
        <f>IFERROR(VLOOKUP($AA1026,PLAN!$B:$AA,2,0),"")</f>
        <v/>
      </c>
      <c r="H1026" s="113" t="str">
        <f>IFERROR(VLOOKUP($AA1026,PLAN!$B:$AA,7,0),"")</f>
        <v/>
      </c>
      <c r="I1026" s="77" t="str">
        <f>IFERROR(VLOOKUP($AA1026,PLAN!$B:$AA,8,0),"")</f>
        <v/>
      </c>
      <c r="J1026" s="77" t="str">
        <f>IFERROR(VLOOKUP($AA1026,PLAN!$B:$AA,9,0),"")</f>
        <v/>
      </c>
      <c r="K1026" s="77" t="str">
        <f>IFERROR(VLOOKUP($AA1026,PLAN!$B:$AA,10,0),"")</f>
        <v/>
      </c>
      <c r="L1026" s="77" t="str">
        <f>IFERROR(VLOOKUP($AA1026,PLAN!$B:$AA,15,0),"")</f>
        <v/>
      </c>
      <c r="M1026" s="77" t="str">
        <f>IFERROR(VLOOKUP($AA1026,PLAN!$B:$AA,18,0),"")</f>
        <v/>
      </c>
      <c r="N1026" s="227" t="str">
        <f>IFERROR(VLOOKUP($AA1026,PLAN!$B:$AA,19,0),"")</f>
        <v/>
      </c>
      <c r="O1026" s="77" t="str">
        <f>IFERROR(VLOOKUP($AA1026,PLAN!$B:$AA,12,0),"")</f>
        <v/>
      </c>
      <c r="P1026" s="77" t="str">
        <f>IFERROR(VLOOKUP($AA1026,PLAN!$B:$AA,11,0),"")</f>
        <v/>
      </c>
      <c r="Q1026" s="148"/>
      <c r="R1026" s="149"/>
      <c r="S1026" s="149" t="str">
        <f t="shared" si="58"/>
        <v/>
      </c>
      <c r="T1026" s="131"/>
      <c r="U1026" s="78" t="str">
        <f>IFERROR(VLOOKUP($AA1026,PLAN!$B:$AA,21,0),"")</f>
        <v/>
      </c>
      <c r="V1026" s="78" t="str">
        <f>IFERROR(VLOOKUP($AA1026,PLAN!$B:$AA,22,0),"")</f>
        <v/>
      </c>
      <c r="W1026" s="232"/>
      <c r="X1026" s="233"/>
      <c r="Y1026" s="212"/>
      <c r="Z1026" s="350"/>
      <c r="AA1026" s="195"/>
      <c r="AB1026" s="132" t="e">
        <f>VLOOKUP(AA1026,PLAN!B:V,20,0)</f>
        <v>#N/A</v>
      </c>
      <c r="AC1026" s="132"/>
    </row>
    <row r="1027" spans="1:29" s="79" customFormat="1" ht="21.6" customHeight="1">
      <c r="C1027" s="249">
        <f t="shared" si="57"/>
        <v>0</v>
      </c>
      <c r="D1027" s="77" t="str">
        <f>IFERROR(VLOOKUP($AA1027,PLAN!$B:$AA,3,0),"")</f>
        <v/>
      </c>
      <c r="E1027" s="77" t="str">
        <f>IFERROR(VLOOKUP($AA1027,PLAN!$B:$AA,4,0),"")</f>
        <v/>
      </c>
      <c r="F1027" s="77" t="str">
        <f>IFERROR(VLOOKUP($AA1027,PLAN!$B:$AA,5,0),"")</f>
        <v/>
      </c>
      <c r="G1027" s="77" t="str">
        <f>IFERROR(VLOOKUP($AA1027,PLAN!$B:$AA,2,0),"")</f>
        <v/>
      </c>
      <c r="H1027" s="113" t="str">
        <f>IFERROR(VLOOKUP($AA1027,PLAN!$B:$AA,7,0),"")</f>
        <v/>
      </c>
      <c r="I1027" s="77" t="str">
        <f>IFERROR(VLOOKUP($AA1027,PLAN!$B:$AA,8,0),"")</f>
        <v/>
      </c>
      <c r="J1027" s="77" t="str">
        <f>IFERROR(VLOOKUP($AA1027,PLAN!$B:$AA,9,0),"")</f>
        <v/>
      </c>
      <c r="K1027" s="77" t="str">
        <f>IFERROR(VLOOKUP($AA1027,PLAN!$B:$AA,10,0),"")</f>
        <v/>
      </c>
      <c r="L1027" s="77" t="str">
        <f>IFERROR(VLOOKUP($AA1027,PLAN!$B:$AA,15,0),"")</f>
        <v/>
      </c>
      <c r="M1027" s="77" t="str">
        <f>IFERROR(VLOOKUP($AA1027,PLAN!$B:$AA,18,0),"")</f>
        <v/>
      </c>
      <c r="N1027" s="227" t="str">
        <f>IFERROR(VLOOKUP($AA1027,PLAN!$B:$AA,19,0),"")</f>
        <v/>
      </c>
      <c r="O1027" s="77" t="str">
        <f>IFERROR(VLOOKUP($AA1027,PLAN!$B:$AA,12,0),"")</f>
        <v/>
      </c>
      <c r="P1027" s="77" t="str">
        <f>IFERROR(VLOOKUP($AA1027,PLAN!$B:$AA,11,0),"")</f>
        <v/>
      </c>
      <c r="Q1027" s="148"/>
      <c r="R1027" s="149"/>
      <c r="S1027" s="149" t="str">
        <f t="shared" si="58"/>
        <v/>
      </c>
      <c r="T1027" s="131"/>
      <c r="U1027" s="78" t="str">
        <f>IFERROR(VLOOKUP($AA1027,PLAN!$B:$AA,21,0),"")</f>
        <v/>
      </c>
      <c r="V1027" s="78" t="str">
        <f>IFERROR(VLOOKUP($AA1027,PLAN!$B:$AA,22,0),"")</f>
        <v/>
      </c>
      <c r="W1027" s="232"/>
      <c r="X1027" s="233"/>
      <c r="Y1027" s="212"/>
      <c r="Z1027" s="350"/>
      <c r="AA1027" s="195"/>
      <c r="AB1027" s="132" t="e">
        <f>VLOOKUP(AA1027,PLAN!B:V,20,0)</f>
        <v>#N/A</v>
      </c>
      <c r="AC1027" s="132"/>
    </row>
    <row r="1028" spans="1:29" s="79" customFormat="1" ht="21.6" customHeight="1">
      <c r="C1028" s="249">
        <f t="shared" si="57"/>
        <v>0</v>
      </c>
      <c r="D1028" s="77" t="str">
        <f>IFERROR(VLOOKUP($AA1028,PLAN!$B:$AA,3,0),"")</f>
        <v/>
      </c>
      <c r="E1028" s="77" t="str">
        <f>IFERROR(VLOOKUP($AA1028,PLAN!$B:$AA,4,0),"")</f>
        <v/>
      </c>
      <c r="F1028" s="77" t="str">
        <f>IFERROR(VLOOKUP($AA1028,PLAN!$B:$AA,5,0),"")</f>
        <v/>
      </c>
      <c r="G1028" s="77" t="str">
        <f>IFERROR(VLOOKUP($AA1028,PLAN!$B:$AA,2,0),"")</f>
        <v/>
      </c>
      <c r="H1028" s="113" t="str">
        <f>IFERROR(VLOOKUP($AA1028,PLAN!$B:$AA,7,0),"")</f>
        <v/>
      </c>
      <c r="I1028" s="77" t="str">
        <f>IFERROR(VLOOKUP($AA1028,PLAN!$B:$AA,8,0),"")</f>
        <v/>
      </c>
      <c r="J1028" s="77" t="str">
        <f>IFERROR(VLOOKUP($AA1028,PLAN!$B:$AA,9,0),"")</f>
        <v/>
      </c>
      <c r="K1028" s="77" t="str">
        <f>IFERROR(VLOOKUP($AA1028,PLAN!$B:$AA,10,0),"")</f>
        <v/>
      </c>
      <c r="L1028" s="77" t="str">
        <f>IFERROR(VLOOKUP($AA1028,PLAN!$B:$AA,15,0),"")</f>
        <v/>
      </c>
      <c r="M1028" s="77" t="str">
        <f>IFERROR(VLOOKUP($AA1028,PLAN!$B:$AA,18,0),"")</f>
        <v/>
      </c>
      <c r="N1028" s="227" t="str">
        <f>IFERROR(VLOOKUP($AA1028,PLAN!$B:$AA,19,0),"")</f>
        <v/>
      </c>
      <c r="O1028" s="77" t="str">
        <f>IFERROR(VLOOKUP($AA1028,PLAN!$B:$AA,12,0),"")</f>
        <v/>
      </c>
      <c r="P1028" s="77" t="str">
        <f>IFERROR(VLOOKUP($AA1028,PLAN!$B:$AA,11,0),"")</f>
        <v/>
      </c>
      <c r="Q1028" s="148"/>
      <c r="R1028" s="149"/>
      <c r="S1028" s="149" t="str">
        <f t="shared" si="58"/>
        <v/>
      </c>
      <c r="T1028" s="131"/>
      <c r="U1028" s="78" t="str">
        <f>IFERROR(VLOOKUP($AA1028,PLAN!$B:$AA,21,0),"")</f>
        <v/>
      </c>
      <c r="V1028" s="78" t="str">
        <f>IFERROR(VLOOKUP($AA1028,PLAN!$B:$AA,22,0),"")</f>
        <v/>
      </c>
      <c r="W1028" s="232"/>
      <c r="X1028" s="233"/>
      <c r="Y1028" s="212"/>
      <c r="Z1028" s="350"/>
      <c r="AA1028" s="195"/>
      <c r="AB1028" s="132" t="e">
        <f>VLOOKUP(AA1028,PLAN!B:V,20,0)</f>
        <v>#N/A</v>
      </c>
      <c r="AC1028" s="132"/>
    </row>
    <row r="1029" spans="1:29" s="79" customFormat="1" ht="21.6" customHeight="1">
      <c r="C1029" s="249">
        <f t="shared" si="57"/>
        <v>0</v>
      </c>
      <c r="D1029" s="77" t="str">
        <f>IFERROR(VLOOKUP($AA1029,PLAN!$B:$AA,3,0),"")</f>
        <v/>
      </c>
      <c r="E1029" s="77" t="str">
        <f>IFERROR(VLOOKUP($AA1029,PLAN!$B:$AA,4,0),"")</f>
        <v/>
      </c>
      <c r="F1029" s="77" t="str">
        <f>IFERROR(VLOOKUP($AA1029,PLAN!$B:$AA,5,0),"")</f>
        <v/>
      </c>
      <c r="G1029" s="77" t="str">
        <f>IFERROR(VLOOKUP($AA1029,PLAN!$B:$AA,2,0),"")</f>
        <v/>
      </c>
      <c r="H1029" s="113" t="str">
        <f>IFERROR(VLOOKUP($AA1029,PLAN!$B:$AA,7,0),"")</f>
        <v/>
      </c>
      <c r="I1029" s="77" t="str">
        <f>IFERROR(VLOOKUP($AA1029,PLAN!$B:$AA,8,0),"")</f>
        <v/>
      </c>
      <c r="J1029" s="77" t="str">
        <f>IFERROR(VLOOKUP($AA1029,PLAN!$B:$AA,9,0),"")</f>
        <v/>
      </c>
      <c r="K1029" s="77" t="str">
        <f>IFERROR(VLOOKUP($AA1029,PLAN!$B:$AA,10,0),"")</f>
        <v/>
      </c>
      <c r="L1029" s="77" t="str">
        <f>IFERROR(VLOOKUP($AA1029,PLAN!$B:$AA,15,0),"")</f>
        <v/>
      </c>
      <c r="M1029" s="77" t="str">
        <f>IFERROR(VLOOKUP($AA1029,PLAN!$B:$AA,18,0),"")</f>
        <v/>
      </c>
      <c r="N1029" s="227" t="str">
        <f>IFERROR(VLOOKUP($AA1029,PLAN!$B:$AA,19,0),"")</f>
        <v/>
      </c>
      <c r="O1029" s="77" t="str">
        <f>IFERROR(VLOOKUP($AA1029,PLAN!$B:$AA,12,0),"")</f>
        <v/>
      </c>
      <c r="P1029" s="77" t="str">
        <f>IFERROR(VLOOKUP($AA1029,PLAN!$B:$AA,11,0),"")</f>
        <v/>
      </c>
      <c r="Q1029" s="148"/>
      <c r="R1029" s="149"/>
      <c r="S1029" s="149" t="str">
        <f t="shared" si="58"/>
        <v/>
      </c>
      <c r="T1029" s="131"/>
      <c r="U1029" s="78" t="str">
        <f>IFERROR(VLOOKUP($AA1029,PLAN!$B:$AA,21,0),"")</f>
        <v/>
      </c>
      <c r="V1029" s="78" t="str">
        <f>IFERROR(VLOOKUP($AA1029,PLAN!$B:$AA,22,0),"")</f>
        <v/>
      </c>
      <c r="W1029" s="232"/>
      <c r="X1029" s="233"/>
      <c r="Y1029" s="212"/>
      <c r="Z1029" s="350"/>
      <c r="AA1029" s="195"/>
      <c r="AB1029" s="132" t="e">
        <f>VLOOKUP(AA1029,PLAN!B:V,20,0)</f>
        <v>#N/A</v>
      </c>
      <c r="AC1029" s="132"/>
    </row>
    <row r="1030" spans="1:29" s="79" customFormat="1" ht="21.6" customHeight="1">
      <c r="C1030" s="249">
        <f t="shared" si="57"/>
        <v>0</v>
      </c>
      <c r="D1030" s="77" t="str">
        <f>IFERROR(VLOOKUP($AA1030,PLAN!$B:$AA,3,0),"")</f>
        <v/>
      </c>
      <c r="E1030" s="77" t="str">
        <f>IFERROR(VLOOKUP($AA1030,PLAN!$B:$AA,4,0),"")</f>
        <v/>
      </c>
      <c r="F1030" s="77" t="str">
        <f>IFERROR(VLOOKUP($AA1030,PLAN!$B:$AA,5,0),"")</f>
        <v/>
      </c>
      <c r="G1030" s="77" t="str">
        <f>IFERROR(VLOOKUP($AA1030,PLAN!$B:$AA,2,0),"")</f>
        <v/>
      </c>
      <c r="H1030" s="113" t="str">
        <f>IFERROR(VLOOKUP($AA1030,PLAN!$B:$AA,7,0),"")</f>
        <v/>
      </c>
      <c r="I1030" s="77" t="str">
        <f>IFERROR(VLOOKUP($AA1030,PLAN!$B:$AA,8,0),"")</f>
        <v/>
      </c>
      <c r="J1030" s="77" t="str">
        <f>IFERROR(VLOOKUP($AA1030,PLAN!$B:$AA,9,0),"")</f>
        <v/>
      </c>
      <c r="K1030" s="77" t="str">
        <f>IFERROR(VLOOKUP($AA1030,PLAN!$B:$AA,10,0),"")</f>
        <v/>
      </c>
      <c r="L1030" s="77" t="str">
        <f>IFERROR(VLOOKUP($AA1030,PLAN!$B:$AA,15,0),"")</f>
        <v/>
      </c>
      <c r="M1030" s="77" t="str">
        <f>IFERROR(VLOOKUP($AA1030,PLAN!$B:$AA,18,0),"")</f>
        <v/>
      </c>
      <c r="N1030" s="227" t="str">
        <f>IFERROR(VLOOKUP($AA1030,PLAN!$B:$AA,19,0),"")</f>
        <v/>
      </c>
      <c r="O1030" s="77" t="str">
        <f>IFERROR(VLOOKUP($AA1030,PLAN!$B:$AA,12,0),"")</f>
        <v/>
      </c>
      <c r="P1030" s="77" t="str">
        <f>IFERROR(VLOOKUP($AA1030,PLAN!$B:$AA,11,0),"")</f>
        <v/>
      </c>
      <c r="Q1030" s="148"/>
      <c r="R1030" s="149"/>
      <c r="S1030" s="149" t="str">
        <f t="shared" si="58"/>
        <v/>
      </c>
      <c r="T1030" s="131"/>
      <c r="U1030" s="78" t="str">
        <f>IFERROR(VLOOKUP($AA1030,PLAN!$B:$AA,21,0),"")</f>
        <v/>
      </c>
      <c r="V1030" s="78" t="str">
        <f>IFERROR(VLOOKUP($AA1030,PLAN!$B:$AA,22,0),"")</f>
        <v/>
      </c>
      <c r="W1030" s="232"/>
      <c r="X1030" s="233"/>
      <c r="Y1030" s="212"/>
      <c r="Z1030" s="350"/>
      <c r="AA1030" s="195"/>
      <c r="AB1030" s="132" t="e">
        <f>VLOOKUP(AA1030,PLAN!B:V,20,0)</f>
        <v>#N/A</v>
      </c>
      <c r="AC1030" s="132"/>
    </row>
    <row r="1031" spans="1:29" s="79" customFormat="1" ht="21.6" customHeight="1">
      <c r="C1031" s="249">
        <f t="shared" ref="C1031:C1034" si="59">AA1031</f>
        <v>0</v>
      </c>
      <c r="D1031" s="77" t="str">
        <f>IFERROR(VLOOKUP($AA1031,PLAN!$B:$AA,3,0),"")</f>
        <v/>
      </c>
      <c r="E1031" s="77" t="str">
        <f>IFERROR(VLOOKUP($AA1031,PLAN!$B:$AA,4,0),"")</f>
        <v/>
      </c>
      <c r="F1031" s="77" t="str">
        <f>IFERROR(VLOOKUP($AA1031,PLAN!$B:$AA,5,0),"")</f>
        <v/>
      </c>
      <c r="G1031" s="77" t="str">
        <f>IFERROR(VLOOKUP($AA1031,PLAN!$B:$AA,2,0),"")</f>
        <v/>
      </c>
      <c r="H1031" s="113" t="str">
        <f>IFERROR(VLOOKUP($AA1031,PLAN!$B:$AA,7,0),"")</f>
        <v/>
      </c>
      <c r="I1031" s="77" t="str">
        <f>IFERROR(VLOOKUP($AA1031,PLAN!$B:$AA,8,0),"")</f>
        <v/>
      </c>
      <c r="J1031" s="77" t="str">
        <f>IFERROR(VLOOKUP($AA1031,PLAN!$B:$AA,9,0),"")</f>
        <v/>
      </c>
      <c r="K1031" s="77" t="str">
        <f>IFERROR(VLOOKUP($AA1031,PLAN!$B:$AA,10,0),"")</f>
        <v/>
      </c>
      <c r="L1031" s="77" t="str">
        <f>IFERROR(VLOOKUP($AA1031,PLAN!$B:$AA,15,0),"")</f>
        <v/>
      </c>
      <c r="M1031" s="77" t="str">
        <f>IFERROR(VLOOKUP($AA1031,PLAN!$B:$AA,18,0),"")</f>
        <v/>
      </c>
      <c r="N1031" s="227" t="str">
        <f>IFERROR(VLOOKUP($AA1031,PLAN!$B:$AA,19,0),"")</f>
        <v/>
      </c>
      <c r="O1031" s="77" t="str">
        <f>IFERROR(VLOOKUP($AA1031,PLAN!$B:$AA,12,0),"")</f>
        <v/>
      </c>
      <c r="P1031" s="77" t="str">
        <f>IFERROR(VLOOKUP($AA1031,PLAN!$B:$AA,11,0),"")</f>
        <v/>
      </c>
      <c r="Q1031" s="148"/>
      <c r="R1031" s="149"/>
      <c r="S1031" s="149" t="str">
        <f t="shared" ref="S1031:S1034" si="60">K1031</f>
        <v/>
      </c>
      <c r="T1031" s="131"/>
      <c r="U1031" s="78" t="str">
        <f>IFERROR(VLOOKUP($AA1031,PLAN!$B:$AA,21,0),"")</f>
        <v/>
      </c>
      <c r="V1031" s="78" t="str">
        <f>IFERROR(VLOOKUP($AA1031,PLAN!$B:$AA,22,0),"")</f>
        <v/>
      </c>
      <c r="W1031" s="232"/>
      <c r="X1031" s="233"/>
      <c r="Y1031" s="212"/>
      <c r="Z1031" s="342"/>
      <c r="AA1031" s="195"/>
      <c r="AB1031" s="132" t="e">
        <f>VLOOKUP(AA1031,PLAN!B:V,20,0)</f>
        <v>#N/A</v>
      </c>
      <c r="AC1031" s="132"/>
    </row>
    <row r="1032" spans="1:29" s="79" customFormat="1" ht="21.6" customHeight="1">
      <c r="C1032" s="249">
        <f t="shared" si="59"/>
        <v>0</v>
      </c>
      <c r="D1032" s="77" t="str">
        <f>IFERROR(VLOOKUP($AA1032,PLAN!$B:$AA,3,0),"")</f>
        <v/>
      </c>
      <c r="E1032" s="77" t="str">
        <f>IFERROR(VLOOKUP($AA1032,PLAN!$B:$AA,4,0),"")</f>
        <v/>
      </c>
      <c r="F1032" s="77" t="str">
        <f>IFERROR(VLOOKUP($AA1032,PLAN!$B:$AA,5,0),"")</f>
        <v/>
      </c>
      <c r="G1032" s="77" t="str">
        <f>IFERROR(VLOOKUP($AA1032,PLAN!$B:$AA,2,0),"")</f>
        <v/>
      </c>
      <c r="H1032" s="113" t="str">
        <f>IFERROR(VLOOKUP($AA1032,PLAN!$B:$AA,7,0),"")</f>
        <v/>
      </c>
      <c r="I1032" s="77" t="str">
        <f>IFERROR(VLOOKUP($AA1032,PLAN!$B:$AA,8,0),"")</f>
        <v/>
      </c>
      <c r="J1032" s="77" t="str">
        <f>IFERROR(VLOOKUP($AA1032,PLAN!$B:$AA,9,0),"")</f>
        <v/>
      </c>
      <c r="K1032" s="77" t="str">
        <f>IFERROR(VLOOKUP($AA1032,PLAN!$B:$AA,10,0),"")</f>
        <v/>
      </c>
      <c r="L1032" s="77" t="str">
        <f>IFERROR(VLOOKUP($AA1032,PLAN!$B:$AA,15,0),"")</f>
        <v/>
      </c>
      <c r="M1032" s="77" t="str">
        <f>IFERROR(VLOOKUP($AA1032,PLAN!$B:$AA,18,0),"")</f>
        <v/>
      </c>
      <c r="N1032" s="227" t="str">
        <f>IFERROR(VLOOKUP($AA1032,PLAN!$B:$AA,19,0),"")</f>
        <v/>
      </c>
      <c r="O1032" s="77" t="str">
        <f>IFERROR(VLOOKUP($AA1032,PLAN!$B:$AA,12,0),"")</f>
        <v/>
      </c>
      <c r="P1032" s="77" t="str">
        <f>IFERROR(VLOOKUP($AA1032,PLAN!$B:$AA,11,0),"")</f>
        <v/>
      </c>
      <c r="Q1032" s="148"/>
      <c r="R1032" s="149"/>
      <c r="S1032" s="149" t="str">
        <f t="shared" si="60"/>
        <v/>
      </c>
      <c r="T1032" s="131"/>
      <c r="U1032" s="78" t="str">
        <f>IFERROR(VLOOKUP($AA1032,PLAN!$B:$AA,21,0),"")</f>
        <v/>
      </c>
      <c r="V1032" s="78" t="str">
        <f>IFERROR(VLOOKUP($AA1032,PLAN!$B:$AA,22,0),"")</f>
        <v/>
      </c>
      <c r="W1032" s="232"/>
      <c r="X1032" s="233"/>
      <c r="Y1032" s="212"/>
      <c r="Z1032" s="342"/>
      <c r="AA1032" s="195"/>
      <c r="AB1032" s="132" t="e">
        <f>VLOOKUP(AA1032,PLAN!B:V,20,0)</f>
        <v>#N/A</v>
      </c>
      <c r="AC1032" s="132"/>
    </row>
    <row r="1033" spans="1:29" s="79" customFormat="1" ht="21.6" customHeight="1">
      <c r="C1033" s="249">
        <f t="shared" si="59"/>
        <v>0</v>
      </c>
      <c r="D1033" s="77" t="str">
        <f>IFERROR(VLOOKUP($AA1033,PLAN!$B:$AA,3,0),"")</f>
        <v/>
      </c>
      <c r="E1033" s="77" t="str">
        <f>IFERROR(VLOOKUP($AA1033,PLAN!$B:$AA,4,0),"")</f>
        <v/>
      </c>
      <c r="F1033" s="77" t="str">
        <f>IFERROR(VLOOKUP($AA1033,PLAN!$B:$AA,5,0),"")</f>
        <v/>
      </c>
      <c r="G1033" s="77" t="str">
        <f>IFERROR(VLOOKUP($AA1033,PLAN!$B:$AA,2,0),"")</f>
        <v/>
      </c>
      <c r="H1033" s="113" t="str">
        <f>IFERROR(VLOOKUP($AA1033,PLAN!$B:$AA,7,0),"")</f>
        <v/>
      </c>
      <c r="I1033" s="77" t="str">
        <f>IFERROR(VLOOKUP($AA1033,PLAN!$B:$AA,8,0),"")</f>
        <v/>
      </c>
      <c r="J1033" s="77" t="str">
        <f>IFERROR(VLOOKUP($AA1033,PLAN!$B:$AA,9,0),"")</f>
        <v/>
      </c>
      <c r="K1033" s="77" t="str">
        <f>IFERROR(VLOOKUP($AA1033,PLAN!$B:$AA,10,0),"")</f>
        <v/>
      </c>
      <c r="L1033" s="77" t="str">
        <f>IFERROR(VLOOKUP($AA1033,PLAN!$B:$AA,15,0),"")</f>
        <v/>
      </c>
      <c r="M1033" s="77" t="str">
        <f>IFERROR(VLOOKUP($AA1033,PLAN!$B:$AA,18,0),"")</f>
        <v/>
      </c>
      <c r="N1033" s="227" t="str">
        <f>IFERROR(VLOOKUP($AA1033,PLAN!$B:$AA,19,0),"")</f>
        <v/>
      </c>
      <c r="O1033" s="77" t="str">
        <f>IFERROR(VLOOKUP($AA1033,PLAN!$B:$AA,12,0),"")</f>
        <v/>
      </c>
      <c r="P1033" s="77" t="str">
        <f>IFERROR(VLOOKUP($AA1033,PLAN!$B:$AA,11,0),"")</f>
        <v/>
      </c>
      <c r="Q1033" s="148"/>
      <c r="R1033" s="149"/>
      <c r="S1033" s="149" t="str">
        <f t="shared" si="60"/>
        <v/>
      </c>
      <c r="T1033" s="131"/>
      <c r="U1033" s="78" t="str">
        <f>IFERROR(VLOOKUP($AA1033,PLAN!$B:$AA,21,0),"")</f>
        <v/>
      </c>
      <c r="V1033" s="78" t="str">
        <f>IFERROR(VLOOKUP($AA1033,PLAN!$B:$AA,22,0),"")</f>
        <v/>
      </c>
      <c r="W1033" s="232"/>
      <c r="X1033" s="233"/>
      <c r="Y1033" s="212"/>
      <c r="Z1033" s="342"/>
      <c r="AA1033" s="195"/>
      <c r="AB1033" s="132" t="e">
        <f>VLOOKUP(AA1033,PLAN!B:V,20,0)</f>
        <v>#N/A</v>
      </c>
      <c r="AC1033" s="132"/>
    </row>
    <row r="1034" spans="1:29" s="79" customFormat="1" ht="21.6" customHeight="1">
      <c r="C1034" s="249">
        <f t="shared" si="59"/>
        <v>0</v>
      </c>
      <c r="D1034" s="77" t="str">
        <f>IFERROR(VLOOKUP($AA1034,PLAN!$B:$AA,3,0),"")</f>
        <v/>
      </c>
      <c r="E1034" s="77" t="str">
        <f>IFERROR(VLOOKUP($AA1034,PLAN!$B:$AA,4,0),"")</f>
        <v/>
      </c>
      <c r="F1034" s="77" t="str">
        <f>IFERROR(VLOOKUP($AA1034,PLAN!$B:$AA,5,0),"")</f>
        <v/>
      </c>
      <c r="G1034" s="77" t="str">
        <f>IFERROR(VLOOKUP($AA1034,PLAN!$B:$AA,2,0),"")</f>
        <v/>
      </c>
      <c r="H1034" s="113" t="str">
        <f>IFERROR(VLOOKUP($AA1034,PLAN!$B:$AA,7,0),"")</f>
        <v/>
      </c>
      <c r="I1034" s="77" t="str">
        <f>IFERROR(VLOOKUP($AA1034,PLAN!$B:$AA,8,0),"")</f>
        <v/>
      </c>
      <c r="J1034" s="77" t="str">
        <f>IFERROR(VLOOKUP($AA1034,PLAN!$B:$AA,9,0),"")</f>
        <v/>
      </c>
      <c r="K1034" s="77" t="str">
        <f>IFERROR(VLOOKUP($AA1034,PLAN!$B:$AA,10,0),"")</f>
        <v/>
      </c>
      <c r="L1034" s="77" t="str">
        <f>IFERROR(VLOOKUP($AA1034,PLAN!$B:$AA,15,0),"")</f>
        <v/>
      </c>
      <c r="M1034" s="77" t="str">
        <f>IFERROR(VLOOKUP($AA1034,PLAN!$B:$AA,18,0),"")</f>
        <v/>
      </c>
      <c r="N1034" s="227" t="str">
        <f>IFERROR(VLOOKUP($AA1034,PLAN!$B:$AA,19,0),"")</f>
        <v/>
      </c>
      <c r="O1034" s="77" t="str">
        <f>IFERROR(VLOOKUP($AA1034,PLAN!$B:$AA,12,0),"")</f>
        <v/>
      </c>
      <c r="P1034" s="77" t="str">
        <f>IFERROR(VLOOKUP($AA1034,PLAN!$B:$AA,11,0),"")</f>
        <v/>
      </c>
      <c r="Q1034" s="148"/>
      <c r="R1034" s="149"/>
      <c r="S1034" s="149" t="str">
        <f t="shared" si="60"/>
        <v/>
      </c>
      <c r="T1034" s="131"/>
      <c r="U1034" s="78" t="str">
        <f>IFERROR(VLOOKUP($AA1034,PLAN!$B:$AA,21,0),"")</f>
        <v/>
      </c>
      <c r="V1034" s="78" t="str">
        <f>IFERROR(VLOOKUP($AA1034,PLAN!$B:$AA,22,0),"")</f>
        <v/>
      </c>
      <c r="W1034" s="232"/>
      <c r="X1034" s="233"/>
      <c r="Y1034" s="212"/>
      <c r="Z1034" s="342"/>
      <c r="AA1034" s="195"/>
      <c r="AB1034" s="132" t="e">
        <f>VLOOKUP(AA1034,PLAN!B:V,20,0)</f>
        <v>#N/A</v>
      </c>
      <c r="AC1034" s="132"/>
    </row>
    <row r="1035" spans="1:29" s="79" customFormat="1" ht="25.2" customHeight="1">
      <c r="A1035" s="79" t="e">
        <f t="shared" ref="A1035:A1044" si="61">B1035&amp;AC1035</f>
        <v>#REF!</v>
      </c>
      <c r="B1035" s="79" t="e">
        <f>IF(AC1035=#REF!,#REF!+1,1)</f>
        <v>#REF!</v>
      </c>
      <c r="C1035" s="249"/>
      <c r="D1035" s="121"/>
      <c r="E1035" s="121"/>
      <c r="F1035" s="122"/>
      <c r="G1035" s="122"/>
      <c r="H1035" s="123"/>
      <c r="I1035" s="122"/>
      <c r="J1035" s="122"/>
      <c r="K1035" s="122"/>
      <c r="L1035" s="122"/>
      <c r="M1035" s="122"/>
      <c r="N1035" s="227" t="str">
        <f>IFERROR(VLOOKUP($AA1035,PLAN!$B:$AA,19,0),"")</f>
        <v/>
      </c>
      <c r="O1035" s="122"/>
      <c r="P1035" s="122"/>
      <c r="Q1035" s="138"/>
      <c r="R1035" s="124"/>
      <c r="S1035" s="197"/>
      <c r="T1035" s="125"/>
      <c r="U1035" s="125"/>
      <c r="V1035" s="199"/>
      <c r="W1035" s="234"/>
      <c r="X1035" s="233"/>
      <c r="Y1035" s="212"/>
      <c r="Z1035" s="198"/>
      <c r="AA1035" s="195"/>
      <c r="AB1035" s="132" t="s">
        <v>34</v>
      </c>
      <c r="AC1035" s="132"/>
    </row>
    <row r="1036" spans="1:29" s="84" customFormat="1" ht="28.05" customHeight="1" thickBot="1">
      <c r="A1036" s="79" t="e">
        <f t="shared" si="61"/>
        <v>#REF!</v>
      </c>
      <c r="B1036" s="79" t="e">
        <f t="shared" ref="B1036:B1044" si="62">IF(AC1036=AC1035,B1035+1,1)</f>
        <v>#REF!</v>
      </c>
      <c r="C1036" s="270"/>
      <c r="D1036" s="80"/>
      <c r="E1036" s="80"/>
      <c r="F1036" s="81"/>
      <c r="G1036" s="81"/>
      <c r="H1036" s="114"/>
      <c r="I1036" s="82"/>
      <c r="J1036" s="81"/>
      <c r="K1036" s="83"/>
      <c r="L1036" s="83"/>
      <c r="M1036" s="83"/>
      <c r="N1036" s="269" t="str">
        <f>IFERROR(VLOOKUP($AA1036,PLAN!$B:$AA,19,0),"")</f>
        <v/>
      </c>
      <c r="O1036" s="81"/>
      <c r="P1036" s="81"/>
      <c r="Q1036" s="139"/>
      <c r="R1036" s="153"/>
      <c r="S1036" s="197"/>
      <c r="T1036" s="133"/>
      <c r="U1036" s="133"/>
      <c r="V1036" s="268"/>
      <c r="W1036" s="235"/>
      <c r="X1036" s="236"/>
      <c r="Y1036" s="213"/>
      <c r="Z1036" s="196"/>
      <c r="AA1036" s="195"/>
      <c r="AB1036" s="132" t="s">
        <v>34</v>
      </c>
      <c r="AC1036" s="132"/>
    </row>
    <row r="1037" spans="1:29" s="58" customFormat="1" ht="16.5" customHeight="1">
      <c r="A1037" s="79" t="e">
        <f t="shared" si="61"/>
        <v>#REF!</v>
      </c>
      <c r="B1037" s="79" t="e">
        <f t="shared" si="62"/>
        <v>#REF!</v>
      </c>
      <c r="C1037" s="271"/>
      <c r="D1037" s="272"/>
      <c r="E1037" s="272"/>
      <c r="F1037" s="272"/>
      <c r="G1037" s="272"/>
      <c r="H1037" s="273"/>
      <c r="I1037" s="274"/>
      <c r="J1037" s="275"/>
      <c r="K1037" s="485">
        <f>SUBTOTAL(9,$K$6:$K$1035)</f>
        <v>64434</v>
      </c>
      <c r="L1037" s="485"/>
      <c r="M1037" s="87"/>
      <c r="N1037" s="87"/>
      <c r="O1037" s="85"/>
      <c r="P1037" s="85"/>
      <c r="Q1037" s="140"/>
      <c r="R1037" s="154"/>
      <c r="S1037" s="486">
        <f>SUBTOTAL(9,$S$6:$S$1035)</f>
        <v>64544</v>
      </c>
      <c r="T1037" s="485"/>
      <c r="U1037" s="126"/>
      <c r="V1037" s="88"/>
      <c r="W1037" s="88"/>
      <c r="X1037" s="88"/>
      <c r="Y1037" s="154"/>
      <c r="Z1037" s="194"/>
      <c r="AA1037" s="195"/>
      <c r="AB1037" s="132" t="s">
        <v>34</v>
      </c>
      <c r="AC1037" s="132"/>
    </row>
    <row r="1038" spans="1:29" s="58" customFormat="1" ht="3" customHeight="1">
      <c r="A1038" s="79" t="e">
        <f t="shared" si="61"/>
        <v>#REF!</v>
      </c>
      <c r="B1038" s="79" t="e">
        <f t="shared" si="62"/>
        <v>#REF!</v>
      </c>
      <c r="C1038" s="276"/>
      <c r="D1038" s="89"/>
      <c r="E1038" s="89"/>
      <c r="F1038" s="89"/>
      <c r="G1038" s="89"/>
      <c r="H1038" s="116"/>
      <c r="I1038" s="90"/>
      <c r="J1038" s="89"/>
      <c r="K1038" s="89"/>
      <c r="L1038" s="91"/>
      <c r="M1038" s="89"/>
      <c r="N1038" s="89"/>
      <c r="O1038" s="85"/>
      <c r="P1038" s="85"/>
      <c r="Q1038" s="141"/>
      <c r="R1038" s="155"/>
      <c r="S1038" s="169"/>
      <c r="T1038" s="127"/>
      <c r="U1038" s="127"/>
      <c r="V1038" s="87"/>
      <c r="W1038" s="87"/>
      <c r="X1038" s="87"/>
      <c r="Y1038" s="155"/>
      <c r="Z1038" s="193"/>
      <c r="AA1038" s="195"/>
      <c r="AB1038" s="132" t="s">
        <v>34</v>
      </c>
      <c r="AC1038" s="132"/>
    </row>
    <row r="1039" spans="1:29" s="58" customFormat="1" ht="3" customHeight="1">
      <c r="A1039" s="79" t="e">
        <f t="shared" si="61"/>
        <v>#REF!</v>
      </c>
      <c r="B1039" s="79" t="e">
        <f t="shared" si="62"/>
        <v>#REF!</v>
      </c>
      <c r="C1039" s="479"/>
      <c r="D1039" s="480"/>
      <c r="E1039" s="480"/>
      <c r="F1039" s="480"/>
      <c r="G1039" s="480"/>
      <c r="H1039" s="480"/>
      <c r="I1039" s="480"/>
      <c r="J1039" s="480"/>
      <c r="K1039" s="93"/>
      <c r="L1039" s="93"/>
      <c r="M1039" s="93"/>
      <c r="N1039" s="93"/>
      <c r="O1039" s="94"/>
      <c r="P1039" s="85"/>
      <c r="Q1039" s="141"/>
      <c r="R1039" s="155"/>
      <c r="S1039" s="169"/>
      <c r="T1039" s="127"/>
      <c r="U1039" s="127"/>
      <c r="V1039" s="87"/>
      <c r="W1039" s="87"/>
      <c r="X1039" s="87"/>
      <c r="Y1039" s="155"/>
      <c r="Z1039" s="193"/>
      <c r="AA1039" s="195"/>
      <c r="AB1039" s="132" t="s">
        <v>34</v>
      </c>
      <c r="AC1039" s="132"/>
    </row>
    <row r="1040" spans="1:29" s="58" customFormat="1" ht="3" customHeight="1">
      <c r="A1040" s="79" t="e">
        <f t="shared" si="61"/>
        <v>#REF!</v>
      </c>
      <c r="B1040" s="79" t="e">
        <f t="shared" si="62"/>
        <v>#REF!</v>
      </c>
      <c r="C1040" s="477"/>
      <c r="D1040" s="478"/>
      <c r="E1040" s="95"/>
      <c r="F1040" s="95"/>
      <c r="G1040" s="95"/>
      <c r="H1040" s="117"/>
      <c r="I1040" s="96"/>
      <c r="J1040" s="95"/>
      <c r="K1040" s="95"/>
      <c r="L1040" s="95"/>
      <c r="M1040" s="95"/>
      <c r="N1040" s="95"/>
      <c r="O1040" s="97"/>
      <c r="P1040" s="98"/>
      <c r="Q1040" s="141"/>
      <c r="R1040" s="155"/>
      <c r="S1040" s="169"/>
      <c r="T1040" s="127"/>
      <c r="U1040" s="127"/>
      <c r="V1040" s="87"/>
      <c r="W1040" s="183"/>
      <c r="X1040" s="237"/>
      <c r="Y1040" s="214"/>
      <c r="Z1040" s="192"/>
      <c r="AA1040" s="195"/>
      <c r="AB1040" s="132" t="s">
        <v>34</v>
      </c>
      <c r="AC1040"/>
    </row>
    <row r="1041" spans="1:29" s="58" customFormat="1" ht="70.05" customHeight="1">
      <c r="A1041" s="79" t="e">
        <f t="shared" si="61"/>
        <v>#REF!</v>
      </c>
      <c r="B1041" s="79" t="e">
        <f t="shared" si="62"/>
        <v>#REF!</v>
      </c>
      <c r="C1041" s="479"/>
      <c r="D1041" s="480"/>
      <c r="E1041" s="480"/>
      <c r="F1041" s="480"/>
      <c r="G1041" s="480"/>
      <c r="H1041" s="480"/>
      <c r="I1041" s="480"/>
      <c r="J1041" s="480"/>
      <c r="K1041" s="99"/>
      <c r="L1041" s="99"/>
      <c r="M1041" s="99"/>
      <c r="N1041" s="99"/>
      <c r="O1041" s="100"/>
      <c r="P1041" s="101"/>
      <c r="Q1041" s="141"/>
      <c r="R1041" s="155"/>
      <c r="S1041" s="169"/>
      <c r="T1041" s="127"/>
      <c r="U1041" s="127"/>
      <c r="V1041" s="87"/>
      <c r="W1041" s="183"/>
      <c r="X1041" s="238"/>
      <c r="Y1041" s="215"/>
      <c r="Z1041" s="191"/>
      <c r="AA1041" s="195"/>
      <c r="AB1041" s="132" t="s">
        <v>34</v>
      </c>
      <c r="AC1041"/>
    </row>
    <row r="1042" spans="1:29" s="58" customFormat="1" ht="28.05" customHeight="1" thickBot="1">
      <c r="A1042" s="79" t="e">
        <f t="shared" si="61"/>
        <v>#REF!</v>
      </c>
      <c r="B1042" s="79" t="e">
        <f t="shared" si="62"/>
        <v>#REF!</v>
      </c>
      <c r="C1042" s="481"/>
      <c r="D1042" s="482"/>
      <c r="E1042" s="482"/>
      <c r="F1042" s="482"/>
      <c r="G1042" s="482"/>
      <c r="H1042" s="482"/>
      <c r="I1042" s="482"/>
      <c r="J1042" s="482"/>
      <c r="K1042" s="102"/>
      <c r="L1042" s="102"/>
      <c r="M1042" s="102"/>
      <c r="N1042" s="102"/>
      <c r="O1042" s="103"/>
      <c r="P1042" s="104"/>
      <c r="Q1042" s="142"/>
      <c r="R1042" s="156"/>
      <c r="S1042" s="190"/>
      <c r="T1042" s="128"/>
      <c r="U1042" s="128"/>
      <c r="V1042" s="105"/>
      <c r="W1042" s="189"/>
      <c r="X1042" s="239"/>
      <c r="Y1042" s="216"/>
      <c r="Z1042" s="188"/>
      <c r="AA1042" s="157"/>
      <c r="AB1042" s="132" t="s">
        <v>34</v>
      </c>
      <c r="AC1042"/>
    </row>
    <row r="1043" spans="1:29" s="58" customFormat="1" ht="3.6" customHeight="1">
      <c r="A1043" s="79" t="e">
        <f t="shared" si="61"/>
        <v>#REF!</v>
      </c>
      <c r="B1043" s="79" t="e">
        <f t="shared" si="62"/>
        <v>#REF!</v>
      </c>
      <c r="C1043" s="252"/>
      <c r="D1043" s="162"/>
      <c r="E1043" s="162"/>
      <c r="F1043" s="162"/>
      <c r="G1043" s="162"/>
      <c r="H1043" s="118"/>
      <c r="I1043" s="162"/>
      <c r="J1043" s="162"/>
      <c r="K1043" s="99"/>
      <c r="L1043" s="99"/>
      <c r="M1043" s="99"/>
      <c r="N1043" s="99"/>
      <c r="O1043" s="100"/>
      <c r="P1043" s="101"/>
      <c r="Q1043" s="141"/>
      <c r="R1043" s="155"/>
      <c r="S1043" s="169"/>
      <c r="T1043" s="86"/>
      <c r="U1043" s="86"/>
      <c r="V1043" s="87"/>
      <c r="W1043" s="183"/>
      <c r="X1043" s="85"/>
      <c r="Y1043" s="217"/>
      <c r="Z1043" s="85"/>
      <c r="AA1043" s="157"/>
      <c r="AB1043" s="132" t="s">
        <v>34</v>
      </c>
      <c r="AC1043"/>
    </row>
    <row r="1044" spans="1:29" s="58" customFormat="1" ht="3.6" customHeight="1">
      <c r="A1044" s="79" t="e">
        <f t="shared" si="61"/>
        <v>#REF!</v>
      </c>
      <c r="B1044" s="79" t="e">
        <f t="shared" si="62"/>
        <v>#REF!</v>
      </c>
      <c r="C1044" s="253"/>
      <c r="D1044" s="185"/>
      <c r="E1044" s="185"/>
      <c r="F1044" s="185"/>
      <c r="G1044" s="185"/>
      <c r="H1044" s="187"/>
      <c r="I1044" s="186"/>
      <c r="J1044" s="185"/>
      <c r="K1044" s="185"/>
      <c r="L1044" s="185"/>
      <c r="M1044" s="185"/>
      <c r="N1044" s="185"/>
      <c r="O1044" s="184"/>
      <c r="P1044" s="106"/>
      <c r="Q1044" s="141"/>
      <c r="R1044" s="155"/>
      <c r="S1044" s="169"/>
      <c r="T1044" s="92"/>
      <c r="U1044" s="86"/>
      <c r="V1044" s="87"/>
      <c r="W1044" s="183"/>
      <c r="X1044" s="85"/>
      <c r="Y1044" s="217"/>
      <c r="Z1044" s="85"/>
      <c r="AA1044" s="157"/>
      <c r="AB1044" s="132" t="s">
        <v>34</v>
      </c>
      <c r="AC1044"/>
    </row>
    <row r="1045" spans="1:29" s="58" customFormat="1" ht="1.5" customHeight="1" thickBot="1">
      <c r="C1045" s="254"/>
      <c r="D1045" s="106"/>
      <c r="E1045" s="106"/>
      <c r="F1045" s="106"/>
      <c r="G1045" s="106"/>
      <c r="H1045" s="165"/>
      <c r="I1045" s="181"/>
      <c r="J1045" s="106"/>
      <c r="K1045" s="106"/>
      <c r="L1045" s="180"/>
      <c r="M1045" s="106"/>
      <c r="N1045" s="106"/>
      <c r="O1045" s="106"/>
      <c r="P1045" s="106"/>
      <c r="Q1045" s="143"/>
      <c r="R1045" s="155"/>
      <c r="S1045" s="169"/>
      <c r="T1045" s="178"/>
      <c r="U1045" s="167"/>
      <c r="V1045" s="87"/>
      <c r="W1045" s="115"/>
      <c r="X1045" s="177"/>
      <c r="Y1045" s="218"/>
      <c r="Z1045" s="177"/>
      <c r="AA1045" s="157"/>
      <c r="AB1045" s="182"/>
      <c r="AC1045"/>
    </row>
    <row r="1046" spans="1:29" s="58" customFormat="1" ht="9.6" customHeight="1">
      <c r="C1046" s="254"/>
      <c r="D1046" s="106"/>
      <c r="E1046" s="106"/>
      <c r="F1046" s="106"/>
      <c r="G1046" s="106"/>
      <c r="H1046" s="165"/>
      <c r="I1046" s="181"/>
      <c r="J1046" s="106"/>
      <c r="K1046" s="106"/>
      <c r="L1046" s="180"/>
      <c r="M1046" s="106"/>
      <c r="N1046" s="106"/>
      <c r="O1046" s="106"/>
      <c r="P1046" s="106"/>
      <c r="Q1046" s="143"/>
      <c r="R1046" s="179"/>
      <c r="S1046" s="169"/>
      <c r="T1046" s="178"/>
      <c r="U1046" s="167"/>
      <c r="V1046" s="87"/>
      <c r="W1046" s="115"/>
      <c r="X1046" s="177"/>
      <c r="Y1046" s="218"/>
      <c r="Z1046" s="177"/>
      <c r="AA1046" s="157"/>
      <c r="AB1046" s="176"/>
      <c r="AC1046"/>
    </row>
    <row r="1047" spans="1:29" s="58" customFormat="1" ht="0.6" customHeight="1">
      <c r="C1047" s="255"/>
      <c r="D1047" s="173"/>
      <c r="E1047" s="173"/>
      <c r="F1047" s="173"/>
      <c r="G1047" s="173"/>
      <c r="H1047" s="175"/>
      <c r="I1047" s="174"/>
      <c r="J1047" s="173"/>
      <c r="K1047" s="92"/>
      <c r="L1047" s="172"/>
      <c r="M1047" s="92"/>
      <c r="N1047" s="92"/>
      <c r="O1047" s="171"/>
      <c r="P1047" s="171"/>
      <c r="Q1047" s="170"/>
      <c r="R1047" s="155"/>
      <c r="S1047" s="169"/>
      <c r="T1047" s="168"/>
      <c r="U1047" s="167"/>
      <c r="V1047" s="87"/>
      <c r="W1047" s="115"/>
      <c r="X1047" s="85"/>
      <c r="Y1047" s="217"/>
      <c r="Z1047" s="85"/>
      <c r="AA1047" s="157"/>
      <c r="AB1047" s="163"/>
      <c r="AC1047"/>
    </row>
    <row r="1048" spans="1:29" s="58" customFormat="1" ht="5.55" customHeight="1">
      <c r="C1048" s="256"/>
      <c r="H1048" s="119"/>
      <c r="I1048" s="107"/>
      <c r="L1048" s="108"/>
      <c r="O1048" s="106"/>
      <c r="P1048" s="106"/>
      <c r="Q1048" s="143"/>
      <c r="R1048" s="157"/>
      <c r="S1048" s="166"/>
      <c r="T1048" s="109"/>
      <c r="U1048" s="110"/>
      <c r="V1048" s="106"/>
      <c r="W1048" s="165"/>
      <c r="X1048" s="164"/>
      <c r="Y1048" s="219"/>
      <c r="Z1048" s="164"/>
      <c r="AA1048" s="157"/>
      <c r="AB1048" s="163"/>
      <c r="AC1048"/>
    </row>
    <row r="1049" spans="1:29" s="58" customFormat="1">
      <c r="C1049" s="256"/>
      <c r="H1049" s="119"/>
      <c r="I1049" s="107"/>
      <c r="L1049" s="108"/>
      <c r="O1049" s="106"/>
      <c r="P1049" s="106"/>
      <c r="Q1049" s="143"/>
      <c r="R1049" s="157"/>
      <c r="S1049" s="166"/>
      <c r="T1049" s="109"/>
      <c r="U1049" s="110"/>
      <c r="V1049" s="106"/>
      <c r="W1049" s="165"/>
      <c r="X1049" s="164"/>
      <c r="Y1049" s="219"/>
      <c r="Z1049" s="164"/>
      <c r="AA1049" s="157"/>
      <c r="AB1049" s="163"/>
      <c r="AC1049"/>
    </row>
  </sheetData>
  <autoFilter ref="A6:AC1049">
    <filterColumn colId="24" showButton="0"/>
  </autoFilter>
  <mergeCells count="27">
    <mergeCell ref="C1040:D1040"/>
    <mergeCell ref="C1041:J1042"/>
    <mergeCell ref="U5:V5"/>
    <mergeCell ref="K1037:L1037"/>
    <mergeCell ref="S1037:T1037"/>
    <mergeCell ref="C1039:J1039"/>
    <mergeCell ref="I5:I6"/>
    <mergeCell ref="J5:J6"/>
    <mergeCell ref="K5:K6"/>
    <mergeCell ref="L5:L6"/>
    <mergeCell ref="N5:N6"/>
    <mergeCell ref="C1:D1"/>
    <mergeCell ref="E1:V2"/>
    <mergeCell ref="W5:X5"/>
    <mergeCell ref="W1:Z1"/>
    <mergeCell ref="C2:D2"/>
    <mergeCell ref="W2:Z2"/>
    <mergeCell ref="E4:F4"/>
    <mergeCell ref="M5:M6"/>
    <mergeCell ref="O5:T5"/>
    <mergeCell ref="C5:C6"/>
    <mergeCell ref="D5:D6"/>
    <mergeCell ref="E5:E6"/>
    <mergeCell ref="F5:F6"/>
    <mergeCell ref="G5:G6"/>
    <mergeCell ref="H5:H6"/>
    <mergeCell ref="Y5:Z6"/>
  </mergeCells>
  <conditionalFormatting sqref="C1:C6 C1039:C1048576">
    <cfRule type="cellIs" dxfId="12757" priority="179636" operator="lessThan">
      <formula>"&lt;=0"</formula>
    </cfRule>
  </conditionalFormatting>
  <conditionalFormatting sqref="C48:C67 C7:C13 C25:C44 C73:C185 C227:C376 C502:C514 C633:C647 C597:C629 C650:C696 C698:C1034">
    <cfRule type="cellIs" dxfId="12756" priority="94048" operator="equal">
      <formula>0</formula>
    </cfRule>
  </conditionalFormatting>
  <conditionalFormatting sqref="C1035:C1038">
    <cfRule type="cellIs" dxfId="12755" priority="93913" operator="equal">
      <formula>0</formula>
    </cfRule>
  </conditionalFormatting>
  <conditionalFormatting sqref="Q7:Q8">
    <cfRule type="duplicateValues" dxfId="12754" priority="24148"/>
  </conditionalFormatting>
  <conditionalFormatting sqref="Q7:R8">
    <cfRule type="duplicateValues" dxfId="12753" priority="24149"/>
  </conditionalFormatting>
  <conditionalFormatting sqref="Q7:R8">
    <cfRule type="duplicateValues" dxfId="12752" priority="24150"/>
    <cfRule type="duplicateValues" dxfId="12751" priority="24151"/>
    <cfRule type="duplicateValues" dxfId="12750" priority="24152"/>
  </conditionalFormatting>
  <conditionalFormatting sqref="R7:R8">
    <cfRule type="duplicateValues" dxfId="12749" priority="24153"/>
  </conditionalFormatting>
  <conditionalFormatting sqref="Q7:Q8">
    <cfRule type="duplicateValues" dxfId="12748" priority="24154"/>
  </conditionalFormatting>
  <conditionalFormatting sqref="Q7:Q8">
    <cfRule type="duplicateValues" dxfId="12747" priority="24155"/>
    <cfRule type="duplicateValues" dxfId="12746" priority="24156"/>
  </conditionalFormatting>
  <conditionalFormatting sqref="Q7:Q8">
    <cfRule type="duplicateValues" dxfId="12745" priority="24157"/>
    <cfRule type="duplicateValues" dxfId="12744" priority="24158"/>
    <cfRule type="duplicateValues" dxfId="12743" priority="24159"/>
  </conditionalFormatting>
  <conditionalFormatting sqref="R7:R8">
    <cfRule type="duplicateValues" dxfId="12742" priority="24160"/>
    <cfRule type="duplicateValues" dxfId="12741" priority="24161"/>
    <cfRule type="duplicateValues" dxfId="12740" priority="24162"/>
  </conditionalFormatting>
  <conditionalFormatting sqref="Q7:Q8">
    <cfRule type="duplicateValues" dxfId="12739" priority="24147"/>
  </conditionalFormatting>
  <conditionalFormatting sqref="Q9:R10">
    <cfRule type="duplicateValues" dxfId="12738" priority="24146"/>
  </conditionalFormatting>
  <conditionalFormatting sqref="Q9:R10">
    <cfRule type="duplicateValues" dxfId="12737" priority="24143"/>
    <cfRule type="duplicateValues" dxfId="12736" priority="24144"/>
    <cfRule type="duplicateValues" dxfId="12735" priority="24145"/>
  </conditionalFormatting>
  <conditionalFormatting sqref="R9:R10">
    <cfRule type="duplicateValues" dxfId="12734" priority="24142"/>
  </conditionalFormatting>
  <conditionalFormatting sqref="Q9:R10">
    <cfRule type="duplicateValues" dxfId="12733" priority="24141"/>
  </conditionalFormatting>
  <conditionalFormatting sqref="Q9:Q10">
    <cfRule type="duplicateValues" dxfId="12732" priority="24140"/>
  </conditionalFormatting>
  <conditionalFormatting sqref="Q9:Q10">
    <cfRule type="duplicateValues" dxfId="12731" priority="24139"/>
  </conditionalFormatting>
  <conditionalFormatting sqref="Q9:Q10">
    <cfRule type="duplicateValues" dxfId="12730" priority="24138"/>
  </conditionalFormatting>
  <conditionalFormatting sqref="Q9:Q10">
    <cfRule type="duplicateValues" dxfId="12729" priority="24137"/>
  </conditionalFormatting>
  <conditionalFormatting sqref="R9:R10">
    <cfRule type="duplicateValues" dxfId="12728" priority="24136"/>
  </conditionalFormatting>
  <conditionalFormatting sqref="Q9:Q10">
    <cfRule type="duplicateValues" dxfId="12727" priority="24134"/>
    <cfRule type="duplicateValues" dxfId="12726" priority="24135"/>
  </conditionalFormatting>
  <conditionalFormatting sqref="Q9:Q10">
    <cfRule type="duplicateValues" dxfId="12725" priority="24133"/>
  </conditionalFormatting>
  <conditionalFormatting sqref="Q9:Q10">
    <cfRule type="duplicateValues" dxfId="12724" priority="24132"/>
  </conditionalFormatting>
  <conditionalFormatting sqref="Q9:Q10">
    <cfRule type="duplicateValues" dxfId="12723" priority="24131"/>
  </conditionalFormatting>
  <conditionalFormatting sqref="Q9:Q10">
    <cfRule type="duplicateValues" dxfId="12722" priority="24130"/>
  </conditionalFormatting>
  <conditionalFormatting sqref="Q9:Q10">
    <cfRule type="duplicateValues" dxfId="12721" priority="24129"/>
  </conditionalFormatting>
  <conditionalFormatting sqref="Q9:Q10">
    <cfRule type="duplicateValues" dxfId="12720" priority="24128"/>
  </conditionalFormatting>
  <conditionalFormatting sqref="Q9:Q10">
    <cfRule type="duplicateValues" dxfId="12719" priority="24127"/>
  </conditionalFormatting>
  <conditionalFormatting sqref="Q9:Q10">
    <cfRule type="duplicateValues" dxfId="12718" priority="24126"/>
  </conditionalFormatting>
  <conditionalFormatting sqref="Q9:R10">
    <cfRule type="duplicateValues" dxfId="12717" priority="24125"/>
  </conditionalFormatting>
  <conditionalFormatting sqref="Q9:Q10">
    <cfRule type="duplicateValues" dxfId="12716" priority="24124"/>
  </conditionalFormatting>
  <conditionalFormatting sqref="Q9:R10">
    <cfRule type="duplicateValues" dxfId="12715" priority="24123"/>
  </conditionalFormatting>
  <conditionalFormatting sqref="R9:R10">
    <cfRule type="duplicateValues" dxfId="12714" priority="24122"/>
  </conditionalFormatting>
  <conditionalFormatting sqref="C186:C210">
    <cfRule type="cellIs" dxfId="12713" priority="23471" operator="equal">
      <formula>0</formula>
    </cfRule>
  </conditionalFormatting>
  <conditionalFormatting sqref="R11:R13">
    <cfRule type="duplicateValues" dxfId="12712" priority="18798"/>
  </conditionalFormatting>
  <conditionalFormatting sqref="R11:R13">
    <cfRule type="duplicateValues" dxfId="12711" priority="18795"/>
    <cfRule type="duplicateValues" dxfId="12710" priority="18796"/>
    <cfRule type="duplicateValues" dxfId="12709" priority="18797"/>
  </conditionalFormatting>
  <conditionalFormatting sqref="R11:R13">
    <cfRule type="duplicateValues" dxfId="12708" priority="18794"/>
  </conditionalFormatting>
  <conditionalFormatting sqref="R11:R13">
    <cfRule type="duplicateValues" dxfId="12707" priority="18791"/>
    <cfRule type="duplicateValues" dxfId="12706" priority="18792"/>
    <cfRule type="duplicateValues" dxfId="12705" priority="18793"/>
  </conditionalFormatting>
  <conditionalFormatting sqref="Q11:Q13">
    <cfRule type="duplicateValues" dxfId="12704" priority="18790"/>
  </conditionalFormatting>
  <conditionalFormatting sqref="C46:C47 C68:C72">
    <cfRule type="cellIs" dxfId="12703" priority="18789" operator="equal">
      <formula>0</formula>
    </cfRule>
  </conditionalFormatting>
  <conditionalFormatting sqref="C14:C24">
    <cfRule type="cellIs" dxfId="12702" priority="17834" operator="equal">
      <formula>0</formula>
    </cfRule>
  </conditionalFormatting>
  <conditionalFormatting sqref="R14">
    <cfRule type="duplicateValues" dxfId="12701" priority="17832"/>
  </conditionalFormatting>
  <conditionalFormatting sqref="R14">
    <cfRule type="duplicateValues" dxfId="12700" priority="17829"/>
    <cfRule type="duplicateValues" dxfId="12699" priority="17830"/>
    <cfRule type="duplicateValues" dxfId="12698" priority="17831"/>
  </conditionalFormatting>
  <conditionalFormatting sqref="R14">
    <cfRule type="duplicateValues" dxfId="12697" priority="17828"/>
  </conditionalFormatting>
  <conditionalFormatting sqref="R14">
    <cfRule type="duplicateValues" dxfId="12696" priority="17825"/>
    <cfRule type="duplicateValues" dxfId="12695" priority="17826"/>
    <cfRule type="duplicateValues" dxfId="12694" priority="17827"/>
  </conditionalFormatting>
  <conditionalFormatting sqref="Q14">
    <cfRule type="duplicateValues" dxfId="12693" priority="17824"/>
  </conditionalFormatting>
  <conditionalFormatting sqref="R15:R16">
    <cfRule type="duplicateValues" dxfId="12692" priority="17823"/>
  </conditionalFormatting>
  <conditionalFormatting sqref="R15:R16">
    <cfRule type="duplicateValues" dxfId="12691" priority="17820"/>
    <cfRule type="duplicateValues" dxfId="12690" priority="17821"/>
    <cfRule type="duplicateValues" dxfId="12689" priority="17822"/>
  </conditionalFormatting>
  <conditionalFormatting sqref="R15:R16">
    <cfRule type="duplicateValues" dxfId="12688" priority="17819"/>
  </conditionalFormatting>
  <conditionalFormatting sqref="R15:R16">
    <cfRule type="duplicateValues" dxfId="12687" priority="17816"/>
    <cfRule type="duplicateValues" dxfId="12686" priority="17817"/>
    <cfRule type="duplicateValues" dxfId="12685" priority="17818"/>
  </conditionalFormatting>
  <conditionalFormatting sqref="Q15:Q16">
    <cfRule type="duplicateValues" dxfId="12684" priority="17815"/>
  </conditionalFormatting>
  <conditionalFormatting sqref="R17:R21">
    <cfRule type="duplicateValues" dxfId="12683" priority="17814"/>
  </conditionalFormatting>
  <conditionalFormatting sqref="R17:R21">
    <cfRule type="duplicateValues" dxfId="12682" priority="17811"/>
    <cfRule type="duplicateValues" dxfId="12681" priority="17812"/>
    <cfRule type="duplicateValues" dxfId="12680" priority="17813"/>
  </conditionalFormatting>
  <conditionalFormatting sqref="R17:R21">
    <cfRule type="duplicateValues" dxfId="12679" priority="17810"/>
  </conditionalFormatting>
  <conditionalFormatting sqref="R17:R21">
    <cfRule type="duplicateValues" dxfId="12678" priority="17807"/>
    <cfRule type="duplicateValues" dxfId="12677" priority="17808"/>
    <cfRule type="duplicateValues" dxfId="12676" priority="17809"/>
  </conditionalFormatting>
  <conditionalFormatting sqref="Q17:Q21">
    <cfRule type="duplicateValues" dxfId="12675" priority="17806"/>
  </conditionalFormatting>
  <conditionalFormatting sqref="R22:R24">
    <cfRule type="duplicateValues" dxfId="12674" priority="17805"/>
  </conditionalFormatting>
  <conditionalFormatting sqref="R22:R24">
    <cfRule type="duplicateValues" dxfId="12673" priority="17802"/>
    <cfRule type="duplicateValues" dxfId="12672" priority="17803"/>
    <cfRule type="duplicateValues" dxfId="12671" priority="17804"/>
  </conditionalFormatting>
  <conditionalFormatting sqref="R22:R24">
    <cfRule type="duplicateValues" dxfId="12670" priority="17801"/>
  </conditionalFormatting>
  <conditionalFormatting sqref="R22:R24">
    <cfRule type="duplicateValues" dxfId="12669" priority="17798"/>
    <cfRule type="duplicateValues" dxfId="12668" priority="17799"/>
    <cfRule type="duplicateValues" dxfId="12667" priority="17800"/>
  </conditionalFormatting>
  <conditionalFormatting sqref="Q22:Q24">
    <cfRule type="duplicateValues" dxfId="12666" priority="17797"/>
  </conditionalFormatting>
  <conditionalFormatting sqref="R36">
    <cfRule type="duplicateValues" dxfId="12665" priority="17796"/>
  </conditionalFormatting>
  <conditionalFormatting sqref="R36">
    <cfRule type="duplicateValues" dxfId="12664" priority="17793"/>
    <cfRule type="duplicateValues" dxfId="12663" priority="17794"/>
    <cfRule type="duplicateValues" dxfId="12662" priority="17795"/>
  </conditionalFormatting>
  <conditionalFormatting sqref="R36">
    <cfRule type="duplicateValues" dxfId="12661" priority="17792"/>
  </conditionalFormatting>
  <conditionalFormatting sqref="R36">
    <cfRule type="duplicateValues" dxfId="12660" priority="17789"/>
    <cfRule type="duplicateValues" dxfId="12659" priority="17790"/>
    <cfRule type="duplicateValues" dxfId="12658" priority="17791"/>
  </conditionalFormatting>
  <conditionalFormatting sqref="Q43">
    <cfRule type="duplicateValues" dxfId="12657" priority="17769"/>
  </conditionalFormatting>
  <conditionalFormatting sqref="Q43">
    <cfRule type="duplicateValues" dxfId="12656" priority="17768"/>
  </conditionalFormatting>
  <conditionalFormatting sqref="Q43">
    <cfRule type="duplicateValues" dxfId="12655" priority="17767"/>
  </conditionalFormatting>
  <conditionalFormatting sqref="Q43">
    <cfRule type="duplicateValues" dxfId="12654" priority="17766"/>
  </conditionalFormatting>
  <conditionalFormatting sqref="Q43:R43">
    <cfRule type="duplicateValues" dxfId="12653" priority="17765"/>
  </conditionalFormatting>
  <conditionalFormatting sqref="Q43:R43">
    <cfRule type="duplicateValues" dxfId="12652" priority="17762"/>
    <cfRule type="duplicateValues" dxfId="12651" priority="17763"/>
    <cfRule type="duplicateValues" dxfId="12650" priority="17764"/>
  </conditionalFormatting>
  <conditionalFormatting sqref="R43">
    <cfRule type="duplicateValues" dxfId="12649" priority="17761"/>
  </conditionalFormatting>
  <conditionalFormatting sqref="Q43">
    <cfRule type="duplicateValues" dxfId="12648" priority="17760"/>
  </conditionalFormatting>
  <conditionalFormatting sqref="Q43">
    <cfRule type="duplicateValues" dxfId="12647" priority="17757"/>
    <cfRule type="duplicateValues" dxfId="12646" priority="17758"/>
    <cfRule type="duplicateValues" dxfId="12645" priority="17759"/>
  </conditionalFormatting>
  <conditionalFormatting sqref="R43">
    <cfRule type="duplicateValues" dxfId="12644" priority="17754"/>
    <cfRule type="duplicateValues" dxfId="12643" priority="17755"/>
    <cfRule type="duplicateValues" dxfId="12642" priority="17756"/>
  </conditionalFormatting>
  <conditionalFormatting sqref="Q43">
    <cfRule type="duplicateValues" dxfId="12641" priority="17752"/>
    <cfRule type="duplicateValues" dxfId="12640" priority="17753"/>
  </conditionalFormatting>
  <conditionalFormatting sqref="Q43">
    <cfRule type="duplicateValues" dxfId="12639" priority="17751"/>
  </conditionalFormatting>
  <conditionalFormatting sqref="R48">
    <cfRule type="duplicateValues" dxfId="12638" priority="17687"/>
  </conditionalFormatting>
  <conditionalFormatting sqref="R48">
    <cfRule type="duplicateValues" dxfId="12637" priority="17684"/>
    <cfRule type="duplicateValues" dxfId="12636" priority="17685"/>
    <cfRule type="duplicateValues" dxfId="12635" priority="17686"/>
  </conditionalFormatting>
  <conditionalFormatting sqref="R48">
    <cfRule type="duplicateValues" dxfId="12634" priority="17683"/>
  </conditionalFormatting>
  <conditionalFormatting sqref="R48">
    <cfRule type="duplicateValues" dxfId="12633" priority="17680"/>
    <cfRule type="duplicateValues" dxfId="12632" priority="17681"/>
    <cfRule type="duplicateValues" dxfId="12631" priority="17682"/>
  </conditionalFormatting>
  <conditionalFormatting sqref="Q48">
    <cfRule type="duplicateValues" dxfId="12630" priority="17679"/>
  </conditionalFormatting>
  <conditionalFormatting sqref="R49">
    <cfRule type="duplicateValues" dxfId="12629" priority="17678"/>
  </conditionalFormatting>
  <conditionalFormatting sqref="R49">
    <cfRule type="duplicateValues" dxfId="12628" priority="17675"/>
    <cfRule type="duplicateValues" dxfId="12627" priority="17676"/>
    <cfRule type="duplicateValues" dxfId="12626" priority="17677"/>
  </conditionalFormatting>
  <conditionalFormatting sqref="R49">
    <cfRule type="duplicateValues" dxfId="12625" priority="17674"/>
  </conditionalFormatting>
  <conditionalFormatting sqref="R49">
    <cfRule type="duplicateValues" dxfId="12624" priority="17671"/>
    <cfRule type="duplicateValues" dxfId="12623" priority="17672"/>
    <cfRule type="duplicateValues" dxfId="12622" priority="17673"/>
  </conditionalFormatting>
  <conditionalFormatting sqref="Q49">
    <cfRule type="duplicateValues" dxfId="12621" priority="17670"/>
  </conditionalFormatting>
  <conditionalFormatting sqref="R50">
    <cfRule type="duplicateValues" dxfId="12620" priority="17669"/>
  </conditionalFormatting>
  <conditionalFormatting sqref="R50">
    <cfRule type="duplicateValues" dxfId="12619" priority="17666"/>
    <cfRule type="duplicateValues" dxfId="12618" priority="17667"/>
    <cfRule type="duplicateValues" dxfId="12617" priority="17668"/>
  </conditionalFormatting>
  <conditionalFormatting sqref="R50">
    <cfRule type="duplicateValues" dxfId="12616" priority="17665"/>
  </conditionalFormatting>
  <conditionalFormatting sqref="R50">
    <cfRule type="duplicateValues" dxfId="12615" priority="17662"/>
    <cfRule type="duplicateValues" dxfId="12614" priority="17663"/>
    <cfRule type="duplicateValues" dxfId="12613" priority="17664"/>
  </conditionalFormatting>
  <conditionalFormatting sqref="Q50">
    <cfRule type="duplicateValues" dxfId="12612" priority="17661"/>
  </conditionalFormatting>
  <conditionalFormatting sqref="R51:R52">
    <cfRule type="duplicateValues" dxfId="12611" priority="17660"/>
  </conditionalFormatting>
  <conditionalFormatting sqref="R51:R52">
    <cfRule type="duplicateValues" dxfId="12610" priority="17657"/>
    <cfRule type="duplicateValues" dxfId="12609" priority="17658"/>
    <cfRule type="duplicateValues" dxfId="12608" priority="17659"/>
  </conditionalFormatting>
  <conditionalFormatting sqref="R51:R52">
    <cfRule type="duplicateValues" dxfId="12607" priority="17656"/>
  </conditionalFormatting>
  <conditionalFormatting sqref="R51:R52">
    <cfRule type="duplicateValues" dxfId="12606" priority="17653"/>
    <cfRule type="duplicateValues" dxfId="12605" priority="17654"/>
    <cfRule type="duplicateValues" dxfId="12604" priority="17655"/>
  </conditionalFormatting>
  <conditionalFormatting sqref="Q51:Q52">
    <cfRule type="duplicateValues" dxfId="12603" priority="17652"/>
  </conditionalFormatting>
  <conditionalFormatting sqref="R53:R56">
    <cfRule type="duplicateValues" dxfId="12602" priority="17651"/>
  </conditionalFormatting>
  <conditionalFormatting sqref="R53:R56">
    <cfRule type="duplicateValues" dxfId="12601" priority="17648"/>
    <cfRule type="duplicateValues" dxfId="12600" priority="17649"/>
    <cfRule type="duplicateValues" dxfId="12599" priority="17650"/>
  </conditionalFormatting>
  <conditionalFormatting sqref="R53:R56">
    <cfRule type="duplicateValues" dxfId="12598" priority="17647"/>
  </conditionalFormatting>
  <conditionalFormatting sqref="R53:R56">
    <cfRule type="duplicateValues" dxfId="12597" priority="17644"/>
    <cfRule type="duplicateValues" dxfId="12596" priority="17645"/>
    <cfRule type="duplicateValues" dxfId="12595" priority="17646"/>
  </conditionalFormatting>
  <conditionalFormatting sqref="Q53:Q56">
    <cfRule type="duplicateValues" dxfId="12594" priority="17643"/>
  </conditionalFormatting>
  <conditionalFormatting sqref="Q57">
    <cfRule type="duplicateValues" dxfId="12593" priority="17642"/>
  </conditionalFormatting>
  <conditionalFormatting sqref="Q57:R57">
    <cfRule type="duplicateValues" dxfId="12592" priority="17641"/>
  </conditionalFormatting>
  <conditionalFormatting sqref="Q57:R57">
    <cfRule type="duplicateValues" dxfId="12591" priority="17638"/>
    <cfRule type="duplicateValues" dxfId="12590" priority="17639"/>
    <cfRule type="duplicateValues" dxfId="12589" priority="17640"/>
  </conditionalFormatting>
  <conditionalFormatting sqref="R57">
    <cfRule type="duplicateValues" dxfId="12588" priority="17637"/>
  </conditionalFormatting>
  <conditionalFormatting sqref="Q57">
    <cfRule type="duplicateValues" dxfId="12587" priority="17635"/>
    <cfRule type="duplicateValues" dxfId="12586" priority="17636"/>
  </conditionalFormatting>
  <conditionalFormatting sqref="Q57">
    <cfRule type="duplicateValues" dxfId="12585" priority="17632"/>
    <cfRule type="duplicateValues" dxfId="12584" priority="17633"/>
    <cfRule type="duplicateValues" dxfId="12583" priority="17634"/>
  </conditionalFormatting>
  <conditionalFormatting sqref="R57">
    <cfRule type="duplicateValues" dxfId="12582" priority="17629"/>
    <cfRule type="duplicateValues" dxfId="12581" priority="17630"/>
    <cfRule type="duplicateValues" dxfId="12580" priority="17631"/>
  </conditionalFormatting>
  <conditionalFormatting sqref="Q57">
    <cfRule type="duplicateValues" dxfId="12579" priority="17628"/>
  </conditionalFormatting>
  <conditionalFormatting sqref="Q58:Q59">
    <cfRule type="duplicateValues" dxfId="12578" priority="17627"/>
  </conditionalFormatting>
  <conditionalFormatting sqref="Q58:R59">
    <cfRule type="duplicateValues" dxfId="12577" priority="17626"/>
  </conditionalFormatting>
  <conditionalFormatting sqref="Q58:R59">
    <cfRule type="duplicateValues" dxfId="12576" priority="17623"/>
    <cfRule type="duplicateValues" dxfId="12575" priority="17624"/>
    <cfRule type="duplicateValues" dxfId="12574" priority="17625"/>
  </conditionalFormatting>
  <conditionalFormatting sqref="R58:R59">
    <cfRule type="duplicateValues" dxfId="12573" priority="17622"/>
  </conditionalFormatting>
  <conditionalFormatting sqref="Q58:Q59">
    <cfRule type="duplicateValues" dxfId="12572" priority="17620"/>
    <cfRule type="duplicateValues" dxfId="12571" priority="17621"/>
  </conditionalFormatting>
  <conditionalFormatting sqref="Q58:Q59">
    <cfRule type="duplicateValues" dxfId="12570" priority="17617"/>
    <cfRule type="duplicateValues" dxfId="12569" priority="17618"/>
    <cfRule type="duplicateValues" dxfId="12568" priority="17619"/>
  </conditionalFormatting>
  <conditionalFormatting sqref="R58:R59">
    <cfRule type="duplicateValues" dxfId="12567" priority="17614"/>
    <cfRule type="duplicateValues" dxfId="12566" priority="17615"/>
    <cfRule type="duplicateValues" dxfId="12565" priority="17616"/>
  </conditionalFormatting>
  <conditionalFormatting sqref="Q58:Q59">
    <cfRule type="duplicateValues" dxfId="12564" priority="17613"/>
  </conditionalFormatting>
  <conditionalFormatting sqref="Q60:Q63">
    <cfRule type="duplicateValues" dxfId="12563" priority="17612"/>
  </conditionalFormatting>
  <conditionalFormatting sqref="Q60:R63">
    <cfRule type="duplicateValues" dxfId="12562" priority="17611"/>
  </conditionalFormatting>
  <conditionalFormatting sqref="Q60:R63">
    <cfRule type="duplicateValues" dxfId="12561" priority="17608"/>
    <cfRule type="duplicateValues" dxfId="12560" priority="17609"/>
    <cfRule type="duplicateValues" dxfId="12559" priority="17610"/>
  </conditionalFormatting>
  <conditionalFormatting sqref="R60:R63">
    <cfRule type="duplicateValues" dxfId="12558" priority="17607"/>
  </conditionalFormatting>
  <conditionalFormatting sqref="Q60:Q63">
    <cfRule type="duplicateValues" dxfId="12557" priority="17605"/>
    <cfRule type="duplicateValues" dxfId="12556" priority="17606"/>
  </conditionalFormatting>
  <conditionalFormatting sqref="Q60:Q63">
    <cfRule type="duplicateValues" dxfId="12555" priority="17602"/>
    <cfRule type="duplicateValues" dxfId="12554" priority="17603"/>
    <cfRule type="duplicateValues" dxfId="12553" priority="17604"/>
  </conditionalFormatting>
  <conditionalFormatting sqref="R60:R63">
    <cfRule type="duplicateValues" dxfId="12552" priority="17599"/>
    <cfRule type="duplicateValues" dxfId="12551" priority="17600"/>
    <cfRule type="duplicateValues" dxfId="12550" priority="17601"/>
  </conditionalFormatting>
  <conditionalFormatting sqref="Q60:Q63">
    <cfRule type="duplicateValues" dxfId="12549" priority="17598"/>
  </conditionalFormatting>
  <conditionalFormatting sqref="Q64:Q67">
    <cfRule type="duplicateValues" dxfId="12548" priority="17597"/>
  </conditionalFormatting>
  <conditionalFormatting sqref="Q64:R67">
    <cfRule type="duplicateValues" dxfId="12547" priority="17596"/>
  </conditionalFormatting>
  <conditionalFormatting sqref="Q64:R67">
    <cfRule type="duplicateValues" dxfId="12546" priority="17593"/>
    <cfRule type="duplicateValues" dxfId="12545" priority="17594"/>
    <cfRule type="duplicateValues" dxfId="12544" priority="17595"/>
  </conditionalFormatting>
  <conditionalFormatting sqref="R64:R67">
    <cfRule type="duplicateValues" dxfId="12543" priority="17592"/>
  </conditionalFormatting>
  <conditionalFormatting sqref="Q64:Q67">
    <cfRule type="duplicateValues" dxfId="12542" priority="17590"/>
    <cfRule type="duplicateValues" dxfId="12541" priority="17591"/>
  </conditionalFormatting>
  <conditionalFormatting sqref="Q64:Q67">
    <cfRule type="duplicateValues" dxfId="12540" priority="17587"/>
    <cfRule type="duplicateValues" dxfId="12539" priority="17588"/>
    <cfRule type="duplicateValues" dxfId="12538" priority="17589"/>
  </conditionalFormatting>
  <conditionalFormatting sqref="R64:R67">
    <cfRule type="duplicateValues" dxfId="12537" priority="17584"/>
    <cfRule type="duplicateValues" dxfId="12536" priority="17585"/>
    <cfRule type="duplicateValues" dxfId="12535" priority="17586"/>
  </conditionalFormatting>
  <conditionalFormatting sqref="Q64:Q67">
    <cfRule type="duplicateValues" dxfId="12534" priority="17583"/>
  </conditionalFormatting>
  <conditionalFormatting sqref="R68:R71">
    <cfRule type="duplicateValues" dxfId="12533" priority="17101"/>
  </conditionalFormatting>
  <conditionalFormatting sqref="R68:R71">
    <cfRule type="duplicateValues" dxfId="12532" priority="17098"/>
    <cfRule type="duplicateValues" dxfId="12531" priority="17099"/>
    <cfRule type="duplicateValues" dxfId="12530" priority="17100"/>
  </conditionalFormatting>
  <conditionalFormatting sqref="R68:R71">
    <cfRule type="duplicateValues" dxfId="12529" priority="17097"/>
  </conditionalFormatting>
  <conditionalFormatting sqref="R68:R71">
    <cfRule type="duplicateValues" dxfId="12528" priority="17094"/>
    <cfRule type="duplicateValues" dxfId="12527" priority="17095"/>
    <cfRule type="duplicateValues" dxfId="12526" priority="17096"/>
  </conditionalFormatting>
  <conditionalFormatting sqref="Q68:Q71">
    <cfRule type="duplicateValues" dxfId="12525" priority="17093"/>
  </conditionalFormatting>
  <conditionalFormatting sqref="R72">
    <cfRule type="duplicateValues" dxfId="12524" priority="16623"/>
  </conditionalFormatting>
  <conditionalFormatting sqref="R72">
    <cfRule type="duplicateValues" dxfId="12523" priority="16620"/>
    <cfRule type="duplicateValues" dxfId="12522" priority="16621"/>
    <cfRule type="duplicateValues" dxfId="12521" priority="16622"/>
  </conditionalFormatting>
  <conditionalFormatting sqref="R72">
    <cfRule type="duplicateValues" dxfId="12520" priority="16619"/>
  </conditionalFormatting>
  <conditionalFormatting sqref="R72">
    <cfRule type="duplicateValues" dxfId="12519" priority="16616"/>
    <cfRule type="duplicateValues" dxfId="12518" priority="16617"/>
    <cfRule type="duplicateValues" dxfId="12517" priority="16618"/>
  </conditionalFormatting>
  <conditionalFormatting sqref="Q72">
    <cfRule type="duplicateValues" dxfId="12516" priority="16615"/>
  </conditionalFormatting>
  <conditionalFormatting sqref="Q42">
    <cfRule type="duplicateValues" dxfId="12515" priority="16614"/>
  </conditionalFormatting>
  <conditionalFormatting sqref="Q42">
    <cfRule type="duplicateValues" dxfId="12514" priority="16613"/>
  </conditionalFormatting>
  <conditionalFormatting sqref="Q42">
    <cfRule type="duplicateValues" dxfId="12513" priority="16612"/>
  </conditionalFormatting>
  <conditionalFormatting sqref="Q42">
    <cfRule type="duplicateValues" dxfId="12512" priority="16611"/>
  </conditionalFormatting>
  <conditionalFormatting sqref="Q42:R42">
    <cfRule type="duplicateValues" dxfId="12511" priority="16610"/>
  </conditionalFormatting>
  <conditionalFormatting sqref="Q42:R42">
    <cfRule type="duplicateValues" dxfId="12510" priority="16607"/>
    <cfRule type="duplicateValues" dxfId="12509" priority="16608"/>
    <cfRule type="duplicateValues" dxfId="12508" priority="16609"/>
  </conditionalFormatting>
  <conditionalFormatting sqref="R42">
    <cfRule type="duplicateValues" dxfId="12507" priority="16606"/>
  </conditionalFormatting>
  <conditionalFormatting sqref="Q42">
    <cfRule type="duplicateValues" dxfId="12506" priority="16605"/>
  </conditionalFormatting>
  <conditionalFormatting sqref="Q42">
    <cfRule type="duplicateValues" dxfId="12505" priority="16602"/>
    <cfRule type="duplicateValues" dxfId="12504" priority="16603"/>
    <cfRule type="duplicateValues" dxfId="12503" priority="16604"/>
  </conditionalFormatting>
  <conditionalFormatting sqref="R42">
    <cfRule type="duplicateValues" dxfId="12502" priority="16599"/>
    <cfRule type="duplicateValues" dxfId="12501" priority="16600"/>
    <cfRule type="duplicateValues" dxfId="12500" priority="16601"/>
  </conditionalFormatting>
  <conditionalFormatting sqref="Q42">
    <cfRule type="duplicateValues" dxfId="12499" priority="16597"/>
    <cfRule type="duplicateValues" dxfId="12498" priority="16598"/>
  </conditionalFormatting>
  <conditionalFormatting sqref="Q42">
    <cfRule type="duplicateValues" dxfId="12497" priority="16596"/>
  </conditionalFormatting>
  <conditionalFormatting sqref="R44">
    <cfRule type="duplicateValues" dxfId="12496" priority="16595"/>
  </conditionalFormatting>
  <conditionalFormatting sqref="R44">
    <cfRule type="duplicateValues" dxfId="12495" priority="16592"/>
    <cfRule type="duplicateValues" dxfId="12494" priority="16593"/>
    <cfRule type="duplicateValues" dxfId="12493" priority="16594"/>
  </conditionalFormatting>
  <conditionalFormatting sqref="R44">
    <cfRule type="duplicateValues" dxfId="12492" priority="16591"/>
  </conditionalFormatting>
  <conditionalFormatting sqref="R44">
    <cfRule type="duplicateValues" dxfId="12491" priority="16588"/>
    <cfRule type="duplicateValues" dxfId="12490" priority="16589"/>
    <cfRule type="duplicateValues" dxfId="12489" priority="16590"/>
  </conditionalFormatting>
  <conditionalFormatting sqref="Q44">
    <cfRule type="duplicateValues" dxfId="12488" priority="16587"/>
  </conditionalFormatting>
  <conditionalFormatting sqref="R45">
    <cfRule type="duplicateValues" dxfId="12487" priority="16586"/>
  </conditionalFormatting>
  <conditionalFormatting sqref="R45">
    <cfRule type="duplicateValues" dxfId="12486" priority="16583"/>
    <cfRule type="duplicateValues" dxfId="12485" priority="16584"/>
    <cfRule type="duplicateValues" dxfId="12484" priority="16585"/>
  </conditionalFormatting>
  <conditionalFormatting sqref="R45">
    <cfRule type="duplicateValues" dxfId="12483" priority="16582"/>
  </conditionalFormatting>
  <conditionalFormatting sqref="R45">
    <cfRule type="duplicateValues" dxfId="12482" priority="16579"/>
    <cfRule type="duplicateValues" dxfId="12481" priority="16580"/>
    <cfRule type="duplicateValues" dxfId="12480" priority="16581"/>
  </conditionalFormatting>
  <conditionalFormatting sqref="Q45">
    <cfRule type="duplicateValues" dxfId="12479" priority="16578"/>
  </conditionalFormatting>
  <conditionalFormatting sqref="C45">
    <cfRule type="cellIs" dxfId="12478" priority="16577" operator="equal">
      <formula>0</formula>
    </cfRule>
  </conditionalFormatting>
  <conditionalFormatting sqref="R73:R79">
    <cfRule type="duplicateValues" dxfId="12477" priority="15562"/>
  </conditionalFormatting>
  <conditionalFormatting sqref="R73:R79">
    <cfRule type="duplicateValues" dxfId="12476" priority="15559"/>
    <cfRule type="duplicateValues" dxfId="12475" priority="15560"/>
    <cfRule type="duplicateValues" dxfId="12474" priority="15561"/>
  </conditionalFormatting>
  <conditionalFormatting sqref="R73:R79">
    <cfRule type="duplicateValues" dxfId="12473" priority="15558"/>
  </conditionalFormatting>
  <conditionalFormatting sqref="R73:R79">
    <cfRule type="duplicateValues" dxfId="12472" priority="15555"/>
    <cfRule type="duplicateValues" dxfId="12471" priority="15556"/>
    <cfRule type="duplicateValues" dxfId="12470" priority="15557"/>
  </conditionalFormatting>
  <conditionalFormatting sqref="Q73:Q79">
    <cfRule type="duplicateValues" dxfId="12469" priority="15554"/>
  </conditionalFormatting>
  <conditionalFormatting sqref="Q80">
    <cfRule type="duplicateValues" dxfId="12468" priority="15209"/>
  </conditionalFormatting>
  <conditionalFormatting sqref="Q80:R80">
    <cfRule type="duplicateValues" dxfId="12467" priority="15208"/>
  </conditionalFormatting>
  <conditionalFormatting sqref="Q80:R80">
    <cfRule type="duplicateValues" dxfId="12466" priority="15205"/>
    <cfRule type="duplicateValues" dxfId="12465" priority="15206"/>
    <cfRule type="duplicateValues" dxfId="12464" priority="15207"/>
  </conditionalFormatting>
  <conditionalFormatting sqref="R80">
    <cfRule type="duplicateValues" dxfId="12463" priority="15204"/>
  </conditionalFormatting>
  <conditionalFormatting sqref="Q80">
    <cfRule type="duplicateValues" dxfId="12462" priority="15202"/>
    <cfRule type="duplicateValues" dxfId="12461" priority="15203"/>
  </conditionalFormatting>
  <conditionalFormatting sqref="Q80">
    <cfRule type="duplicateValues" dxfId="12460" priority="15199"/>
    <cfRule type="duplicateValues" dxfId="12459" priority="15200"/>
    <cfRule type="duplicateValues" dxfId="12458" priority="15201"/>
  </conditionalFormatting>
  <conditionalFormatting sqref="R80">
    <cfRule type="duplicateValues" dxfId="12457" priority="15196"/>
    <cfRule type="duplicateValues" dxfId="12456" priority="15197"/>
    <cfRule type="duplicateValues" dxfId="12455" priority="15198"/>
  </conditionalFormatting>
  <conditionalFormatting sqref="Q80">
    <cfRule type="duplicateValues" dxfId="12454" priority="15195"/>
  </conditionalFormatting>
  <conditionalFormatting sqref="Q81:Q85">
    <cfRule type="duplicateValues" dxfId="12453" priority="15194"/>
  </conditionalFormatting>
  <conditionalFormatting sqref="Q81:R85">
    <cfRule type="duplicateValues" dxfId="12452" priority="15193"/>
  </conditionalFormatting>
  <conditionalFormatting sqref="Q81:R85">
    <cfRule type="duplicateValues" dxfId="12451" priority="15190"/>
    <cfRule type="duplicateValues" dxfId="12450" priority="15191"/>
    <cfRule type="duplicateValues" dxfId="12449" priority="15192"/>
  </conditionalFormatting>
  <conditionalFormatting sqref="R81:R85">
    <cfRule type="duplicateValues" dxfId="12448" priority="15189"/>
  </conditionalFormatting>
  <conditionalFormatting sqref="Q81:Q85">
    <cfRule type="duplicateValues" dxfId="12447" priority="15187"/>
    <cfRule type="duplicateValues" dxfId="12446" priority="15188"/>
  </conditionalFormatting>
  <conditionalFormatting sqref="Q81:Q85">
    <cfRule type="duplicateValues" dxfId="12445" priority="15184"/>
    <cfRule type="duplicateValues" dxfId="12444" priority="15185"/>
    <cfRule type="duplicateValues" dxfId="12443" priority="15186"/>
  </conditionalFormatting>
  <conditionalFormatting sqref="R81:R85">
    <cfRule type="duplicateValues" dxfId="12442" priority="15181"/>
    <cfRule type="duplicateValues" dxfId="12441" priority="15182"/>
    <cfRule type="duplicateValues" dxfId="12440" priority="15183"/>
  </conditionalFormatting>
  <conditionalFormatting sqref="Q81:Q85">
    <cfRule type="duplicateValues" dxfId="12439" priority="15180"/>
  </conditionalFormatting>
  <conditionalFormatting sqref="Q86">
    <cfRule type="duplicateValues" dxfId="12438" priority="15179"/>
  </conditionalFormatting>
  <conditionalFormatting sqref="Q86:R86">
    <cfRule type="duplicateValues" dxfId="12437" priority="15178"/>
  </conditionalFormatting>
  <conditionalFormatting sqref="Q86:R86">
    <cfRule type="duplicateValues" dxfId="12436" priority="15175"/>
    <cfRule type="duplicateValues" dxfId="12435" priority="15176"/>
    <cfRule type="duplicateValues" dxfId="12434" priority="15177"/>
  </conditionalFormatting>
  <conditionalFormatting sqref="R86">
    <cfRule type="duplicateValues" dxfId="12433" priority="15174"/>
  </conditionalFormatting>
  <conditionalFormatting sqref="Q86">
    <cfRule type="duplicateValues" dxfId="12432" priority="15172"/>
    <cfRule type="duplicateValues" dxfId="12431" priority="15173"/>
  </conditionalFormatting>
  <conditionalFormatting sqref="Q86">
    <cfRule type="duplicateValues" dxfId="12430" priority="15169"/>
    <cfRule type="duplicateValues" dxfId="12429" priority="15170"/>
    <cfRule type="duplicateValues" dxfId="12428" priority="15171"/>
  </conditionalFormatting>
  <conditionalFormatting sqref="R86">
    <cfRule type="duplicateValues" dxfId="12427" priority="15166"/>
    <cfRule type="duplicateValues" dxfId="12426" priority="15167"/>
    <cfRule type="duplicateValues" dxfId="12425" priority="15168"/>
  </conditionalFormatting>
  <conditionalFormatting sqref="Q86">
    <cfRule type="duplicateValues" dxfId="12424" priority="15165"/>
  </conditionalFormatting>
  <conditionalFormatting sqref="R87:R90">
    <cfRule type="duplicateValues" dxfId="12423" priority="14629"/>
  </conditionalFormatting>
  <conditionalFormatting sqref="R87:R90">
    <cfRule type="duplicateValues" dxfId="12422" priority="14626"/>
    <cfRule type="duplicateValues" dxfId="12421" priority="14627"/>
    <cfRule type="duplicateValues" dxfId="12420" priority="14628"/>
  </conditionalFormatting>
  <conditionalFormatting sqref="R87:R90">
    <cfRule type="duplicateValues" dxfId="12419" priority="14625"/>
  </conditionalFormatting>
  <conditionalFormatting sqref="R87:R90">
    <cfRule type="duplicateValues" dxfId="12418" priority="14622"/>
    <cfRule type="duplicateValues" dxfId="12417" priority="14623"/>
    <cfRule type="duplicateValues" dxfId="12416" priority="14624"/>
  </conditionalFormatting>
  <conditionalFormatting sqref="Q87:Q90">
    <cfRule type="duplicateValues" dxfId="12415" priority="14621"/>
  </conditionalFormatting>
  <conditionalFormatting sqref="R91:R96">
    <cfRule type="duplicateValues" dxfId="12414" priority="14620"/>
  </conditionalFormatting>
  <conditionalFormatting sqref="R91:R96">
    <cfRule type="duplicateValues" dxfId="12413" priority="14617"/>
    <cfRule type="duplicateValues" dxfId="12412" priority="14618"/>
    <cfRule type="duplicateValues" dxfId="12411" priority="14619"/>
  </conditionalFormatting>
  <conditionalFormatting sqref="R91:R96">
    <cfRule type="duplicateValues" dxfId="12410" priority="14616"/>
  </conditionalFormatting>
  <conditionalFormatting sqref="R91:R96">
    <cfRule type="duplicateValues" dxfId="12409" priority="14613"/>
    <cfRule type="duplicateValues" dxfId="12408" priority="14614"/>
    <cfRule type="duplicateValues" dxfId="12407" priority="14615"/>
  </conditionalFormatting>
  <conditionalFormatting sqref="Q91:Q96">
    <cfRule type="duplicateValues" dxfId="12406" priority="14612"/>
  </conditionalFormatting>
  <conditionalFormatting sqref="R97:R104">
    <cfRule type="duplicateValues" dxfId="12405" priority="14534"/>
  </conditionalFormatting>
  <conditionalFormatting sqref="R97:R104">
    <cfRule type="duplicateValues" dxfId="12404" priority="14531"/>
    <cfRule type="duplicateValues" dxfId="12403" priority="14532"/>
    <cfRule type="duplicateValues" dxfId="12402" priority="14533"/>
  </conditionalFormatting>
  <conditionalFormatting sqref="R97:R104">
    <cfRule type="duplicateValues" dxfId="12401" priority="14530"/>
  </conditionalFormatting>
  <conditionalFormatting sqref="R97:R104">
    <cfRule type="duplicateValues" dxfId="12400" priority="14527"/>
    <cfRule type="duplicateValues" dxfId="12399" priority="14528"/>
    <cfRule type="duplicateValues" dxfId="12398" priority="14529"/>
  </conditionalFormatting>
  <conditionalFormatting sqref="Q97:Q104">
    <cfRule type="duplicateValues" dxfId="12397" priority="14526"/>
  </conditionalFormatting>
  <conditionalFormatting sqref="R105:R106">
    <cfRule type="duplicateValues" dxfId="12396" priority="13774"/>
  </conditionalFormatting>
  <conditionalFormatting sqref="R105:R106">
    <cfRule type="duplicateValues" dxfId="12395" priority="13771"/>
    <cfRule type="duplicateValues" dxfId="12394" priority="13772"/>
    <cfRule type="duplicateValues" dxfId="12393" priority="13773"/>
  </conditionalFormatting>
  <conditionalFormatting sqref="R105:R106">
    <cfRule type="duplicateValues" dxfId="12392" priority="13770"/>
  </conditionalFormatting>
  <conditionalFormatting sqref="R105:R106">
    <cfRule type="duplicateValues" dxfId="12391" priority="13767"/>
    <cfRule type="duplicateValues" dxfId="12390" priority="13768"/>
    <cfRule type="duplicateValues" dxfId="12389" priority="13769"/>
  </conditionalFormatting>
  <conditionalFormatting sqref="Q105:Q106">
    <cfRule type="duplicateValues" dxfId="12388" priority="13766"/>
  </conditionalFormatting>
  <conditionalFormatting sqref="R107:R112">
    <cfRule type="duplicateValues" dxfId="12387" priority="13765"/>
  </conditionalFormatting>
  <conditionalFormatting sqref="R107:R112">
    <cfRule type="duplicateValues" dxfId="12386" priority="13762"/>
    <cfRule type="duplicateValues" dxfId="12385" priority="13763"/>
    <cfRule type="duplicateValues" dxfId="12384" priority="13764"/>
  </conditionalFormatting>
  <conditionalFormatting sqref="R107:R112">
    <cfRule type="duplicateValues" dxfId="12383" priority="13761"/>
  </conditionalFormatting>
  <conditionalFormatting sqref="R107:R112">
    <cfRule type="duplicateValues" dxfId="12382" priority="13758"/>
    <cfRule type="duplicateValues" dxfId="12381" priority="13759"/>
    <cfRule type="duplicateValues" dxfId="12380" priority="13760"/>
  </conditionalFormatting>
  <conditionalFormatting sqref="Q107:Q112">
    <cfRule type="duplicateValues" dxfId="12379" priority="13757"/>
  </conditionalFormatting>
  <conditionalFormatting sqref="R113:R114">
    <cfRule type="duplicateValues" dxfId="12378" priority="13594"/>
  </conditionalFormatting>
  <conditionalFormatting sqref="R113:R114">
    <cfRule type="duplicateValues" dxfId="12377" priority="13591"/>
    <cfRule type="duplicateValues" dxfId="12376" priority="13592"/>
    <cfRule type="duplicateValues" dxfId="12375" priority="13593"/>
  </conditionalFormatting>
  <conditionalFormatting sqref="R113:R114">
    <cfRule type="duplicateValues" dxfId="12374" priority="13590"/>
  </conditionalFormatting>
  <conditionalFormatting sqref="R113:R114">
    <cfRule type="duplicateValues" dxfId="12373" priority="13587"/>
    <cfRule type="duplicateValues" dxfId="12372" priority="13588"/>
    <cfRule type="duplicateValues" dxfId="12371" priority="13589"/>
  </conditionalFormatting>
  <conditionalFormatting sqref="Q113:Q114">
    <cfRule type="duplicateValues" dxfId="12370" priority="13586"/>
  </conditionalFormatting>
  <conditionalFormatting sqref="R115:R120">
    <cfRule type="duplicateValues" dxfId="12369" priority="13585"/>
  </conditionalFormatting>
  <conditionalFormatting sqref="R115:R120">
    <cfRule type="duplicateValues" dxfId="12368" priority="13582"/>
    <cfRule type="duplicateValues" dxfId="12367" priority="13583"/>
    <cfRule type="duplicateValues" dxfId="12366" priority="13584"/>
  </conditionalFormatting>
  <conditionalFormatting sqref="R115:R120">
    <cfRule type="duplicateValues" dxfId="12365" priority="13581"/>
  </conditionalFormatting>
  <conditionalFormatting sqref="R115:R120">
    <cfRule type="duplicateValues" dxfId="12364" priority="13578"/>
    <cfRule type="duplicateValues" dxfId="12363" priority="13579"/>
    <cfRule type="duplicateValues" dxfId="12362" priority="13580"/>
  </conditionalFormatting>
  <conditionalFormatting sqref="Q115:Q120">
    <cfRule type="duplicateValues" dxfId="12361" priority="13577"/>
  </conditionalFormatting>
  <conditionalFormatting sqref="Q121:Q124">
    <cfRule type="duplicateValues" dxfId="12360" priority="12916"/>
  </conditionalFormatting>
  <conditionalFormatting sqref="R121:R124">
    <cfRule type="duplicateValues" dxfId="12359" priority="12915"/>
  </conditionalFormatting>
  <conditionalFormatting sqref="R121:R124">
    <cfRule type="duplicateValues" dxfId="12358" priority="12912"/>
    <cfRule type="duplicateValues" dxfId="12357" priority="12913"/>
    <cfRule type="duplicateValues" dxfId="12356" priority="12914"/>
  </conditionalFormatting>
  <conditionalFormatting sqref="Q125:Q130">
    <cfRule type="duplicateValues" dxfId="12355" priority="12911"/>
  </conditionalFormatting>
  <conditionalFormatting sqref="R125:R130">
    <cfRule type="duplicateValues" dxfId="12354" priority="12910"/>
  </conditionalFormatting>
  <conditionalFormatting sqref="R125:R130">
    <cfRule type="duplicateValues" dxfId="12353" priority="12907"/>
    <cfRule type="duplicateValues" dxfId="12352" priority="12908"/>
    <cfRule type="duplicateValues" dxfId="12351" priority="12909"/>
  </conditionalFormatting>
  <conditionalFormatting sqref="Q131">
    <cfRule type="duplicateValues" dxfId="12350" priority="12906"/>
  </conditionalFormatting>
  <conditionalFormatting sqref="Q131">
    <cfRule type="duplicateValues" dxfId="12349" priority="12905"/>
  </conditionalFormatting>
  <conditionalFormatting sqref="Q131">
    <cfRule type="duplicateValues" dxfId="12348" priority="12904"/>
  </conditionalFormatting>
  <conditionalFormatting sqref="Q131">
    <cfRule type="duplicateValues" dxfId="12347" priority="12903"/>
  </conditionalFormatting>
  <conditionalFormatting sqref="Q131">
    <cfRule type="duplicateValues" dxfId="12346" priority="12902"/>
  </conditionalFormatting>
  <conditionalFormatting sqref="Q131">
    <cfRule type="duplicateValues" dxfId="12345" priority="12901"/>
  </conditionalFormatting>
  <conditionalFormatting sqref="Q131">
    <cfRule type="duplicateValues" dxfId="12344" priority="12900"/>
  </conditionalFormatting>
  <conditionalFormatting sqref="Q131:R131">
    <cfRule type="duplicateValues" dxfId="12343" priority="12899"/>
  </conditionalFormatting>
  <conditionalFormatting sqref="Q131:R131">
    <cfRule type="duplicateValues" dxfId="12342" priority="12896"/>
    <cfRule type="duplicateValues" dxfId="12341" priority="12897"/>
    <cfRule type="duplicateValues" dxfId="12340" priority="12898"/>
  </conditionalFormatting>
  <conditionalFormatting sqref="R131">
    <cfRule type="duplicateValues" dxfId="12339" priority="12895"/>
  </conditionalFormatting>
  <conditionalFormatting sqref="Q131">
    <cfRule type="duplicateValues" dxfId="12338" priority="12894"/>
  </conditionalFormatting>
  <conditionalFormatting sqref="Q131">
    <cfRule type="duplicateValues" dxfId="12337" priority="12891"/>
    <cfRule type="duplicateValues" dxfId="12336" priority="12892"/>
    <cfRule type="duplicateValues" dxfId="12335" priority="12893"/>
  </conditionalFormatting>
  <conditionalFormatting sqref="R131">
    <cfRule type="duplicateValues" dxfId="12334" priority="12888"/>
    <cfRule type="duplicateValues" dxfId="12333" priority="12889"/>
    <cfRule type="duplicateValues" dxfId="12332" priority="12890"/>
  </conditionalFormatting>
  <conditionalFormatting sqref="Q131">
    <cfRule type="duplicateValues" dxfId="12331" priority="12886"/>
    <cfRule type="duplicateValues" dxfId="12330" priority="12887"/>
  </conditionalFormatting>
  <conditionalFormatting sqref="Q131">
    <cfRule type="duplicateValues" dxfId="12329" priority="12885"/>
  </conditionalFormatting>
  <conditionalFormatting sqref="Q132">
    <cfRule type="duplicateValues" dxfId="12328" priority="12884"/>
  </conditionalFormatting>
  <conditionalFormatting sqref="Q132">
    <cfRule type="duplicateValues" dxfId="12327" priority="12883"/>
  </conditionalFormatting>
  <conditionalFormatting sqref="Q132">
    <cfRule type="duplicateValues" dxfId="12326" priority="12882"/>
  </conditionalFormatting>
  <conditionalFormatting sqref="Q132">
    <cfRule type="duplicateValues" dxfId="12325" priority="12881"/>
  </conditionalFormatting>
  <conditionalFormatting sqref="Q132">
    <cfRule type="duplicateValues" dxfId="12324" priority="12880"/>
  </conditionalFormatting>
  <conditionalFormatting sqref="Q132">
    <cfRule type="duplicateValues" dxfId="12323" priority="12879"/>
  </conditionalFormatting>
  <conditionalFormatting sqref="Q132">
    <cfRule type="duplicateValues" dxfId="12322" priority="12878"/>
  </conditionalFormatting>
  <conditionalFormatting sqref="Q132:R132">
    <cfRule type="duplicateValues" dxfId="12321" priority="12877"/>
  </conditionalFormatting>
  <conditionalFormatting sqref="Q132:R132">
    <cfRule type="duplicateValues" dxfId="12320" priority="12874"/>
    <cfRule type="duplicateValues" dxfId="12319" priority="12875"/>
    <cfRule type="duplicateValues" dxfId="12318" priority="12876"/>
  </conditionalFormatting>
  <conditionalFormatting sqref="R132">
    <cfRule type="duplicateValues" dxfId="12317" priority="12873"/>
  </conditionalFormatting>
  <conditionalFormatting sqref="Q132">
    <cfRule type="duplicateValues" dxfId="12316" priority="12872"/>
  </conditionalFormatting>
  <conditionalFormatting sqref="Q132">
    <cfRule type="duplicateValues" dxfId="12315" priority="12869"/>
    <cfRule type="duplicateValues" dxfId="12314" priority="12870"/>
    <cfRule type="duplicateValues" dxfId="12313" priority="12871"/>
  </conditionalFormatting>
  <conditionalFormatting sqref="R132">
    <cfRule type="duplicateValues" dxfId="12312" priority="12866"/>
    <cfRule type="duplicateValues" dxfId="12311" priority="12867"/>
    <cfRule type="duplicateValues" dxfId="12310" priority="12868"/>
  </conditionalFormatting>
  <conditionalFormatting sqref="Q132">
    <cfRule type="duplicateValues" dxfId="12309" priority="12864"/>
    <cfRule type="duplicateValues" dxfId="12308" priority="12865"/>
  </conditionalFormatting>
  <conditionalFormatting sqref="Q132">
    <cfRule type="duplicateValues" dxfId="12307" priority="12863"/>
  </conditionalFormatting>
  <conditionalFormatting sqref="Q133">
    <cfRule type="duplicateValues" dxfId="12306" priority="12862"/>
  </conditionalFormatting>
  <conditionalFormatting sqref="Q133">
    <cfRule type="duplicateValues" dxfId="12305" priority="12861"/>
  </conditionalFormatting>
  <conditionalFormatting sqref="Q133">
    <cfRule type="duplicateValues" dxfId="12304" priority="12860"/>
  </conditionalFormatting>
  <conditionalFormatting sqref="Q133:R133">
    <cfRule type="duplicateValues" dxfId="12303" priority="12859"/>
  </conditionalFormatting>
  <conditionalFormatting sqref="Q133:R133">
    <cfRule type="duplicateValues" dxfId="12302" priority="12856"/>
    <cfRule type="duplicateValues" dxfId="12301" priority="12857"/>
    <cfRule type="duplicateValues" dxfId="12300" priority="12858"/>
  </conditionalFormatting>
  <conditionalFormatting sqref="R133">
    <cfRule type="duplicateValues" dxfId="12299" priority="12855"/>
  </conditionalFormatting>
  <conditionalFormatting sqref="Q133">
    <cfRule type="duplicateValues" dxfId="12298" priority="12854"/>
  </conditionalFormatting>
  <conditionalFormatting sqref="Q133">
    <cfRule type="duplicateValues" dxfId="12297" priority="12851"/>
    <cfRule type="duplicateValues" dxfId="12296" priority="12852"/>
    <cfRule type="duplicateValues" dxfId="12295" priority="12853"/>
  </conditionalFormatting>
  <conditionalFormatting sqref="R133">
    <cfRule type="duplicateValues" dxfId="12294" priority="12848"/>
    <cfRule type="duplicateValues" dxfId="12293" priority="12849"/>
    <cfRule type="duplicateValues" dxfId="12292" priority="12850"/>
  </conditionalFormatting>
  <conditionalFormatting sqref="Q133">
    <cfRule type="duplicateValues" dxfId="12291" priority="12846"/>
    <cfRule type="duplicateValues" dxfId="12290" priority="12847"/>
  </conditionalFormatting>
  <conditionalFormatting sqref="Q133">
    <cfRule type="duplicateValues" dxfId="12289" priority="12845"/>
  </conditionalFormatting>
  <conditionalFormatting sqref="Q134">
    <cfRule type="duplicateValues" dxfId="12288" priority="12844"/>
  </conditionalFormatting>
  <conditionalFormatting sqref="Q134">
    <cfRule type="duplicateValues" dxfId="12287" priority="12843"/>
  </conditionalFormatting>
  <conditionalFormatting sqref="Q134:R134">
    <cfRule type="duplicateValues" dxfId="12286" priority="12842"/>
  </conditionalFormatting>
  <conditionalFormatting sqref="Q134:R134">
    <cfRule type="duplicateValues" dxfId="12285" priority="12839"/>
    <cfRule type="duplicateValues" dxfId="12284" priority="12840"/>
    <cfRule type="duplicateValues" dxfId="12283" priority="12841"/>
  </conditionalFormatting>
  <conditionalFormatting sqref="R134">
    <cfRule type="duplicateValues" dxfId="12282" priority="12838"/>
  </conditionalFormatting>
  <conditionalFormatting sqref="Q134">
    <cfRule type="duplicateValues" dxfId="12281" priority="12837"/>
  </conditionalFormatting>
  <conditionalFormatting sqref="Q134">
    <cfRule type="duplicateValues" dxfId="12280" priority="12834"/>
    <cfRule type="duplicateValues" dxfId="12279" priority="12835"/>
    <cfRule type="duplicateValues" dxfId="12278" priority="12836"/>
  </conditionalFormatting>
  <conditionalFormatting sqref="R134">
    <cfRule type="duplicateValues" dxfId="12277" priority="12831"/>
    <cfRule type="duplicateValues" dxfId="12276" priority="12832"/>
    <cfRule type="duplicateValues" dxfId="12275" priority="12833"/>
  </conditionalFormatting>
  <conditionalFormatting sqref="Q134">
    <cfRule type="duplicateValues" dxfId="12274" priority="12829"/>
    <cfRule type="duplicateValues" dxfId="12273" priority="12830"/>
  </conditionalFormatting>
  <conditionalFormatting sqref="Q134">
    <cfRule type="duplicateValues" dxfId="12272" priority="12828"/>
  </conditionalFormatting>
  <conditionalFormatting sqref="Q135">
    <cfRule type="duplicateValues" dxfId="12271" priority="12827"/>
  </conditionalFormatting>
  <conditionalFormatting sqref="Q135">
    <cfRule type="duplicateValues" dxfId="12270" priority="12826"/>
  </conditionalFormatting>
  <conditionalFormatting sqref="Q135">
    <cfRule type="duplicateValues" dxfId="12269" priority="12825"/>
  </conditionalFormatting>
  <conditionalFormatting sqref="Q135:R135">
    <cfRule type="duplicateValues" dxfId="12268" priority="12824"/>
  </conditionalFormatting>
  <conditionalFormatting sqref="Q135:R135">
    <cfRule type="duplicateValues" dxfId="12267" priority="12821"/>
    <cfRule type="duplicateValues" dxfId="12266" priority="12822"/>
    <cfRule type="duplicateValues" dxfId="12265" priority="12823"/>
  </conditionalFormatting>
  <conditionalFormatting sqref="R135">
    <cfRule type="duplicateValues" dxfId="12264" priority="12820"/>
  </conditionalFormatting>
  <conditionalFormatting sqref="Q135">
    <cfRule type="duplicateValues" dxfId="12263" priority="12819"/>
  </conditionalFormatting>
  <conditionalFormatting sqref="Q135">
    <cfRule type="duplicateValues" dxfId="12262" priority="12816"/>
    <cfRule type="duplicateValues" dxfId="12261" priority="12817"/>
    <cfRule type="duplicateValues" dxfId="12260" priority="12818"/>
  </conditionalFormatting>
  <conditionalFormatting sqref="R135">
    <cfRule type="duplicateValues" dxfId="12259" priority="12813"/>
    <cfRule type="duplicateValues" dxfId="12258" priority="12814"/>
    <cfRule type="duplicateValues" dxfId="12257" priority="12815"/>
  </conditionalFormatting>
  <conditionalFormatting sqref="Q135">
    <cfRule type="duplicateValues" dxfId="12256" priority="12811"/>
    <cfRule type="duplicateValues" dxfId="12255" priority="12812"/>
  </conditionalFormatting>
  <conditionalFormatting sqref="Q135">
    <cfRule type="duplicateValues" dxfId="12254" priority="12810"/>
  </conditionalFormatting>
  <conditionalFormatting sqref="Q136">
    <cfRule type="duplicateValues" dxfId="12253" priority="12809"/>
  </conditionalFormatting>
  <conditionalFormatting sqref="Q136">
    <cfRule type="duplicateValues" dxfId="12252" priority="12808"/>
  </conditionalFormatting>
  <conditionalFormatting sqref="Q136">
    <cfRule type="duplicateValues" dxfId="12251" priority="12807"/>
  </conditionalFormatting>
  <conditionalFormatting sqref="Q136">
    <cfRule type="duplicateValues" dxfId="12250" priority="12806"/>
  </conditionalFormatting>
  <conditionalFormatting sqref="Q136:R136">
    <cfRule type="duplicateValues" dxfId="12249" priority="12805"/>
  </conditionalFormatting>
  <conditionalFormatting sqref="Q136:R136">
    <cfRule type="duplicateValues" dxfId="12248" priority="12802"/>
    <cfRule type="duplicateValues" dxfId="12247" priority="12803"/>
    <cfRule type="duplicateValues" dxfId="12246" priority="12804"/>
  </conditionalFormatting>
  <conditionalFormatting sqref="R136">
    <cfRule type="duplicateValues" dxfId="12245" priority="12801"/>
  </conditionalFormatting>
  <conditionalFormatting sqref="Q136">
    <cfRule type="duplicateValues" dxfId="12244" priority="12800"/>
  </conditionalFormatting>
  <conditionalFormatting sqref="Q136">
    <cfRule type="duplicateValues" dxfId="12243" priority="12797"/>
    <cfRule type="duplicateValues" dxfId="12242" priority="12798"/>
    <cfRule type="duplicateValues" dxfId="12241" priority="12799"/>
  </conditionalFormatting>
  <conditionalFormatting sqref="R136">
    <cfRule type="duplicateValues" dxfId="12240" priority="12794"/>
    <cfRule type="duplicateValues" dxfId="12239" priority="12795"/>
    <cfRule type="duplicateValues" dxfId="12238" priority="12796"/>
  </conditionalFormatting>
  <conditionalFormatting sqref="Q136">
    <cfRule type="duplicateValues" dxfId="12237" priority="12792"/>
    <cfRule type="duplicateValues" dxfId="12236" priority="12793"/>
  </conditionalFormatting>
  <conditionalFormatting sqref="Q136">
    <cfRule type="duplicateValues" dxfId="12235" priority="12791"/>
  </conditionalFormatting>
  <conditionalFormatting sqref="Q137">
    <cfRule type="duplicateValues" dxfId="12234" priority="12790"/>
  </conditionalFormatting>
  <conditionalFormatting sqref="Q137">
    <cfRule type="duplicateValues" dxfId="12233" priority="12789"/>
  </conditionalFormatting>
  <conditionalFormatting sqref="Q137:R137">
    <cfRule type="duplicateValues" dxfId="12232" priority="12788"/>
  </conditionalFormatting>
  <conditionalFormatting sqref="Q137:R137">
    <cfRule type="duplicateValues" dxfId="12231" priority="12785"/>
    <cfRule type="duplicateValues" dxfId="12230" priority="12786"/>
    <cfRule type="duplicateValues" dxfId="12229" priority="12787"/>
  </conditionalFormatting>
  <conditionalFormatting sqref="R137">
    <cfRule type="duplicateValues" dxfId="12228" priority="12784"/>
  </conditionalFormatting>
  <conditionalFormatting sqref="Q137">
    <cfRule type="duplicateValues" dxfId="12227" priority="12783"/>
  </conditionalFormatting>
  <conditionalFormatting sqref="Q137">
    <cfRule type="duplicateValues" dxfId="12226" priority="12780"/>
    <cfRule type="duplicateValues" dxfId="12225" priority="12781"/>
    <cfRule type="duplicateValues" dxfId="12224" priority="12782"/>
  </conditionalFormatting>
  <conditionalFormatting sqref="R137">
    <cfRule type="duplicateValues" dxfId="12223" priority="12777"/>
    <cfRule type="duplicateValues" dxfId="12222" priority="12778"/>
    <cfRule type="duplicateValues" dxfId="12221" priority="12779"/>
  </conditionalFormatting>
  <conditionalFormatting sqref="Q137">
    <cfRule type="duplicateValues" dxfId="12220" priority="12775"/>
    <cfRule type="duplicateValues" dxfId="12219" priority="12776"/>
  </conditionalFormatting>
  <conditionalFormatting sqref="Q137">
    <cfRule type="duplicateValues" dxfId="12218" priority="12774"/>
  </conditionalFormatting>
  <conditionalFormatting sqref="Q138">
    <cfRule type="duplicateValues" dxfId="12217" priority="12773"/>
  </conditionalFormatting>
  <conditionalFormatting sqref="Q138">
    <cfRule type="duplicateValues" dxfId="12216" priority="12772"/>
  </conditionalFormatting>
  <conditionalFormatting sqref="Q138">
    <cfRule type="duplicateValues" dxfId="12215" priority="12771"/>
  </conditionalFormatting>
  <conditionalFormatting sqref="Q138">
    <cfRule type="duplicateValues" dxfId="12214" priority="12770"/>
  </conditionalFormatting>
  <conditionalFormatting sqref="Q138:R138">
    <cfRule type="duplicateValues" dxfId="12213" priority="12769"/>
  </conditionalFormatting>
  <conditionalFormatting sqref="Q138:R138">
    <cfRule type="duplicateValues" dxfId="12212" priority="12766"/>
    <cfRule type="duplicateValues" dxfId="12211" priority="12767"/>
    <cfRule type="duplicateValues" dxfId="12210" priority="12768"/>
  </conditionalFormatting>
  <conditionalFormatting sqref="R138">
    <cfRule type="duplicateValues" dxfId="12209" priority="12765"/>
  </conditionalFormatting>
  <conditionalFormatting sqref="Q138">
    <cfRule type="duplicateValues" dxfId="12208" priority="12764"/>
  </conditionalFormatting>
  <conditionalFormatting sqref="Q138">
    <cfRule type="duplicateValues" dxfId="12207" priority="12761"/>
    <cfRule type="duplicateValues" dxfId="12206" priority="12762"/>
    <cfRule type="duplicateValues" dxfId="12205" priority="12763"/>
  </conditionalFormatting>
  <conditionalFormatting sqref="R138">
    <cfRule type="duplicateValues" dxfId="12204" priority="12758"/>
    <cfRule type="duplicateValues" dxfId="12203" priority="12759"/>
    <cfRule type="duplicateValues" dxfId="12202" priority="12760"/>
  </conditionalFormatting>
  <conditionalFormatting sqref="Q138">
    <cfRule type="duplicateValues" dxfId="12201" priority="12756"/>
    <cfRule type="duplicateValues" dxfId="12200" priority="12757"/>
  </conditionalFormatting>
  <conditionalFormatting sqref="Q138">
    <cfRule type="duplicateValues" dxfId="12199" priority="12755"/>
  </conditionalFormatting>
  <conditionalFormatting sqref="R139">
    <cfRule type="duplicateValues" dxfId="12198" priority="12754"/>
  </conditionalFormatting>
  <conditionalFormatting sqref="Q139">
    <cfRule type="duplicateValues" dxfId="12197" priority="12752"/>
    <cfRule type="duplicateValues" dxfId="12196" priority="12753"/>
  </conditionalFormatting>
  <conditionalFormatting sqref="Q139">
    <cfRule type="duplicateValues" dxfId="12195" priority="12751"/>
  </conditionalFormatting>
  <conditionalFormatting sqref="Q139">
    <cfRule type="duplicateValues" dxfId="12194" priority="12750"/>
  </conditionalFormatting>
  <conditionalFormatting sqref="Q139">
    <cfRule type="duplicateValues" dxfId="12193" priority="12749"/>
  </conditionalFormatting>
  <conditionalFormatting sqref="Q139">
    <cfRule type="duplicateValues" dxfId="12192" priority="12748"/>
  </conditionalFormatting>
  <conditionalFormatting sqref="Q139">
    <cfRule type="duplicateValues" dxfId="12191" priority="12747"/>
  </conditionalFormatting>
  <conditionalFormatting sqref="Q139">
    <cfRule type="duplicateValues" dxfId="12190" priority="12746"/>
  </conditionalFormatting>
  <conditionalFormatting sqref="Q139">
    <cfRule type="duplicateValues" dxfId="12189" priority="12745"/>
  </conditionalFormatting>
  <conditionalFormatting sqref="Q139">
    <cfRule type="duplicateValues" dxfId="12188" priority="12744"/>
  </conditionalFormatting>
  <conditionalFormatting sqref="Q139">
    <cfRule type="duplicateValues" dxfId="12187" priority="12743"/>
  </conditionalFormatting>
  <conditionalFormatting sqref="Q139">
    <cfRule type="duplicateValues" dxfId="12186" priority="12740"/>
    <cfRule type="duplicateValues" dxfId="12185" priority="12741"/>
    <cfRule type="duplicateValues" dxfId="12184" priority="12742"/>
  </conditionalFormatting>
  <conditionalFormatting sqref="R139">
    <cfRule type="duplicateValues" dxfId="12183" priority="12739"/>
  </conditionalFormatting>
  <conditionalFormatting sqref="R139">
    <cfRule type="duplicateValues" dxfId="12182" priority="12736"/>
    <cfRule type="duplicateValues" dxfId="12181" priority="12737"/>
    <cfRule type="duplicateValues" dxfId="12180" priority="12738"/>
  </conditionalFormatting>
  <conditionalFormatting sqref="Q139">
    <cfRule type="duplicateValues" dxfId="12179" priority="12735"/>
  </conditionalFormatting>
  <conditionalFormatting sqref="Q140">
    <cfRule type="duplicateValues" dxfId="12178" priority="12734"/>
  </conditionalFormatting>
  <conditionalFormatting sqref="Q140">
    <cfRule type="duplicateValues" dxfId="12177" priority="12733"/>
  </conditionalFormatting>
  <conditionalFormatting sqref="Q140">
    <cfRule type="duplicateValues" dxfId="12176" priority="12732"/>
  </conditionalFormatting>
  <conditionalFormatting sqref="Q140">
    <cfRule type="duplicateValues" dxfId="12175" priority="12731"/>
  </conditionalFormatting>
  <conditionalFormatting sqref="Q140:R140">
    <cfRule type="duplicateValues" dxfId="12174" priority="12730"/>
  </conditionalFormatting>
  <conditionalFormatting sqref="Q140:R140">
    <cfRule type="duplicateValues" dxfId="12173" priority="12727"/>
    <cfRule type="duplicateValues" dxfId="12172" priority="12728"/>
    <cfRule type="duplicateValues" dxfId="12171" priority="12729"/>
  </conditionalFormatting>
  <conditionalFormatting sqref="R140">
    <cfRule type="duplicateValues" dxfId="12170" priority="12726"/>
  </conditionalFormatting>
  <conditionalFormatting sqref="Q140">
    <cfRule type="duplicateValues" dxfId="12169" priority="12725"/>
  </conditionalFormatting>
  <conditionalFormatting sqref="Q140">
    <cfRule type="duplicateValues" dxfId="12168" priority="12722"/>
    <cfRule type="duplicateValues" dxfId="12167" priority="12723"/>
    <cfRule type="duplicateValues" dxfId="12166" priority="12724"/>
  </conditionalFormatting>
  <conditionalFormatting sqref="R140">
    <cfRule type="duplicateValues" dxfId="12165" priority="12719"/>
    <cfRule type="duplicateValues" dxfId="12164" priority="12720"/>
    <cfRule type="duplicateValues" dxfId="12163" priority="12721"/>
  </conditionalFormatting>
  <conditionalFormatting sqref="Q140">
    <cfRule type="duplicateValues" dxfId="12162" priority="12717"/>
    <cfRule type="duplicateValues" dxfId="12161" priority="12718"/>
  </conditionalFormatting>
  <conditionalFormatting sqref="Q140">
    <cfRule type="duplicateValues" dxfId="12160" priority="12716"/>
  </conditionalFormatting>
  <conditionalFormatting sqref="Q141">
    <cfRule type="duplicateValues" dxfId="12159" priority="12715"/>
  </conditionalFormatting>
  <conditionalFormatting sqref="Q141">
    <cfRule type="duplicateValues" dxfId="12158" priority="12714"/>
  </conditionalFormatting>
  <conditionalFormatting sqref="Q141">
    <cfRule type="duplicateValues" dxfId="12157" priority="12713"/>
  </conditionalFormatting>
  <conditionalFormatting sqref="Q141">
    <cfRule type="duplicateValues" dxfId="12156" priority="12712"/>
  </conditionalFormatting>
  <conditionalFormatting sqref="Q141:R141">
    <cfRule type="duplicateValues" dxfId="12155" priority="12711"/>
  </conditionalFormatting>
  <conditionalFormatting sqref="Q141:R141">
    <cfRule type="duplicateValues" dxfId="12154" priority="12708"/>
    <cfRule type="duplicateValues" dxfId="12153" priority="12709"/>
    <cfRule type="duplicateValues" dxfId="12152" priority="12710"/>
  </conditionalFormatting>
  <conditionalFormatting sqref="R141">
    <cfRule type="duplicateValues" dxfId="12151" priority="12707"/>
  </conditionalFormatting>
  <conditionalFormatting sqref="Q141">
    <cfRule type="duplicateValues" dxfId="12150" priority="12706"/>
  </conditionalFormatting>
  <conditionalFormatting sqref="Q141">
    <cfRule type="duplicateValues" dxfId="12149" priority="12703"/>
    <cfRule type="duplicateValues" dxfId="12148" priority="12704"/>
    <cfRule type="duplicateValues" dxfId="12147" priority="12705"/>
  </conditionalFormatting>
  <conditionalFormatting sqref="R141">
    <cfRule type="duplicateValues" dxfId="12146" priority="12700"/>
    <cfRule type="duplicateValues" dxfId="12145" priority="12701"/>
    <cfRule type="duplicateValues" dxfId="12144" priority="12702"/>
  </conditionalFormatting>
  <conditionalFormatting sqref="Q141">
    <cfRule type="duplicateValues" dxfId="12143" priority="12698"/>
    <cfRule type="duplicateValues" dxfId="12142" priority="12699"/>
  </conditionalFormatting>
  <conditionalFormatting sqref="Q141">
    <cfRule type="duplicateValues" dxfId="12141" priority="12697"/>
  </conditionalFormatting>
  <conditionalFormatting sqref="Q142">
    <cfRule type="duplicateValues" dxfId="12140" priority="12696"/>
  </conditionalFormatting>
  <conditionalFormatting sqref="Q142">
    <cfRule type="duplicateValues" dxfId="12139" priority="12695"/>
  </conditionalFormatting>
  <conditionalFormatting sqref="Q142">
    <cfRule type="duplicateValues" dxfId="12138" priority="12694"/>
  </conditionalFormatting>
  <conditionalFormatting sqref="Q142:R142">
    <cfRule type="duplicateValues" dxfId="12137" priority="12693"/>
  </conditionalFormatting>
  <conditionalFormatting sqref="Q142:R142">
    <cfRule type="duplicateValues" dxfId="12136" priority="12690"/>
    <cfRule type="duplicateValues" dxfId="12135" priority="12691"/>
    <cfRule type="duplicateValues" dxfId="12134" priority="12692"/>
  </conditionalFormatting>
  <conditionalFormatting sqref="R142">
    <cfRule type="duplicateValues" dxfId="12133" priority="12689"/>
  </conditionalFormatting>
  <conditionalFormatting sqref="Q142">
    <cfRule type="duplicateValues" dxfId="12132" priority="12688"/>
  </conditionalFormatting>
  <conditionalFormatting sqref="Q142">
    <cfRule type="duplicateValues" dxfId="12131" priority="12685"/>
    <cfRule type="duplicateValues" dxfId="12130" priority="12686"/>
    <cfRule type="duplicateValues" dxfId="12129" priority="12687"/>
  </conditionalFormatting>
  <conditionalFormatting sqref="R142">
    <cfRule type="duplicateValues" dxfId="12128" priority="12682"/>
    <cfRule type="duplicateValues" dxfId="12127" priority="12683"/>
    <cfRule type="duplicateValues" dxfId="12126" priority="12684"/>
  </conditionalFormatting>
  <conditionalFormatting sqref="Q142">
    <cfRule type="duplicateValues" dxfId="12125" priority="12680"/>
    <cfRule type="duplicateValues" dxfId="12124" priority="12681"/>
  </conditionalFormatting>
  <conditionalFormatting sqref="Q142">
    <cfRule type="duplicateValues" dxfId="12123" priority="12679"/>
  </conditionalFormatting>
  <conditionalFormatting sqref="Q143">
    <cfRule type="duplicateValues" dxfId="12122" priority="12678"/>
  </conditionalFormatting>
  <conditionalFormatting sqref="Q143">
    <cfRule type="duplicateValues" dxfId="12121" priority="12677"/>
  </conditionalFormatting>
  <conditionalFormatting sqref="Q143">
    <cfRule type="duplicateValues" dxfId="12120" priority="12676"/>
  </conditionalFormatting>
  <conditionalFormatting sqref="Q143:R143">
    <cfRule type="duplicateValues" dxfId="12119" priority="12675"/>
  </conditionalFormatting>
  <conditionalFormatting sqref="Q143:R143">
    <cfRule type="duplicateValues" dxfId="12118" priority="12672"/>
    <cfRule type="duplicateValues" dxfId="12117" priority="12673"/>
    <cfRule type="duplicateValues" dxfId="12116" priority="12674"/>
  </conditionalFormatting>
  <conditionalFormatting sqref="R143">
    <cfRule type="duplicateValues" dxfId="12115" priority="12671"/>
  </conditionalFormatting>
  <conditionalFormatting sqref="Q143">
    <cfRule type="duplicateValues" dxfId="12114" priority="12670"/>
  </conditionalFormatting>
  <conditionalFormatting sqref="Q143">
    <cfRule type="duplicateValues" dxfId="12113" priority="12667"/>
    <cfRule type="duplicateValues" dxfId="12112" priority="12668"/>
    <cfRule type="duplicateValues" dxfId="12111" priority="12669"/>
  </conditionalFormatting>
  <conditionalFormatting sqref="R143">
    <cfRule type="duplicateValues" dxfId="12110" priority="12664"/>
    <cfRule type="duplicateValues" dxfId="12109" priority="12665"/>
    <cfRule type="duplicateValues" dxfId="12108" priority="12666"/>
  </conditionalFormatting>
  <conditionalFormatting sqref="Q143">
    <cfRule type="duplicateValues" dxfId="12107" priority="12662"/>
    <cfRule type="duplicateValues" dxfId="12106" priority="12663"/>
  </conditionalFormatting>
  <conditionalFormatting sqref="Q143">
    <cfRule type="duplicateValues" dxfId="12105" priority="12661"/>
  </conditionalFormatting>
  <conditionalFormatting sqref="Q144">
    <cfRule type="duplicateValues" dxfId="12104" priority="12660"/>
  </conditionalFormatting>
  <conditionalFormatting sqref="Q144">
    <cfRule type="duplicateValues" dxfId="12103" priority="12659"/>
  </conditionalFormatting>
  <conditionalFormatting sqref="Q144:R144">
    <cfRule type="duplicateValues" dxfId="12102" priority="12658"/>
  </conditionalFormatting>
  <conditionalFormatting sqref="Q144:R144">
    <cfRule type="duplicateValues" dxfId="12101" priority="12655"/>
    <cfRule type="duplicateValues" dxfId="12100" priority="12656"/>
    <cfRule type="duplicateValues" dxfId="12099" priority="12657"/>
  </conditionalFormatting>
  <conditionalFormatting sqref="R144">
    <cfRule type="duplicateValues" dxfId="12098" priority="12654"/>
  </conditionalFormatting>
  <conditionalFormatting sqref="Q144">
    <cfRule type="duplicateValues" dxfId="12097" priority="12653"/>
  </conditionalFormatting>
  <conditionalFormatting sqref="Q144">
    <cfRule type="duplicateValues" dxfId="12096" priority="12650"/>
    <cfRule type="duplicateValues" dxfId="12095" priority="12651"/>
    <cfRule type="duplicateValues" dxfId="12094" priority="12652"/>
  </conditionalFormatting>
  <conditionalFormatting sqref="R144">
    <cfRule type="duplicateValues" dxfId="12093" priority="12647"/>
    <cfRule type="duplicateValues" dxfId="12092" priority="12648"/>
    <cfRule type="duplicateValues" dxfId="12091" priority="12649"/>
  </conditionalFormatting>
  <conditionalFormatting sqref="Q144">
    <cfRule type="duplicateValues" dxfId="12090" priority="12645"/>
    <cfRule type="duplicateValues" dxfId="12089" priority="12646"/>
  </conditionalFormatting>
  <conditionalFormatting sqref="Q144">
    <cfRule type="duplicateValues" dxfId="12088" priority="12644"/>
  </conditionalFormatting>
  <conditionalFormatting sqref="Q145">
    <cfRule type="duplicateValues" dxfId="12087" priority="12643"/>
  </conditionalFormatting>
  <conditionalFormatting sqref="Q145">
    <cfRule type="duplicateValues" dxfId="12086" priority="12642"/>
  </conditionalFormatting>
  <conditionalFormatting sqref="Q145">
    <cfRule type="duplicateValues" dxfId="12085" priority="12641"/>
  </conditionalFormatting>
  <conditionalFormatting sqref="Q145">
    <cfRule type="duplicateValues" dxfId="12084" priority="12640"/>
  </conditionalFormatting>
  <conditionalFormatting sqref="Q145">
    <cfRule type="duplicateValues" dxfId="12083" priority="12639"/>
  </conditionalFormatting>
  <conditionalFormatting sqref="Q145">
    <cfRule type="duplicateValues" dxfId="12082" priority="12638"/>
  </conditionalFormatting>
  <conditionalFormatting sqref="Q145">
    <cfRule type="duplicateValues" dxfId="12081" priority="12637"/>
  </conditionalFormatting>
  <conditionalFormatting sqref="Q145:R145">
    <cfRule type="duplicateValues" dxfId="12080" priority="12636"/>
  </conditionalFormatting>
  <conditionalFormatting sqref="Q145:R145">
    <cfRule type="duplicateValues" dxfId="12079" priority="12633"/>
    <cfRule type="duplicateValues" dxfId="12078" priority="12634"/>
    <cfRule type="duplicateValues" dxfId="12077" priority="12635"/>
  </conditionalFormatting>
  <conditionalFormatting sqref="R145">
    <cfRule type="duplicateValues" dxfId="12076" priority="12632"/>
  </conditionalFormatting>
  <conditionalFormatting sqref="Q145">
    <cfRule type="duplicateValues" dxfId="12075" priority="12631"/>
  </conditionalFormatting>
  <conditionalFormatting sqref="Q145">
    <cfRule type="duplicateValues" dxfId="12074" priority="12628"/>
    <cfRule type="duplicateValues" dxfId="12073" priority="12629"/>
    <cfRule type="duplicateValues" dxfId="12072" priority="12630"/>
  </conditionalFormatting>
  <conditionalFormatting sqref="R145">
    <cfRule type="duplicateValues" dxfId="12071" priority="12625"/>
    <cfRule type="duplicateValues" dxfId="12070" priority="12626"/>
    <cfRule type="duplicateValues" dxfId="12069" priority="12627"/>
  </conditionalFormatting>
  <conditionalFormatting sqref="Q145">
    <cfRule type="duplicateValues" dxfId="12068" priority="12623"/>
    <cfRule type="duplicateValues" dxfId="12067" priority="12624"/>
  </conditionalFormatting>
  <conditionalFormatting sqref="Q145">
    <cfRule type="duplicateValues" dxfId="12066" priority="12622"/>
  </conditionalFormatting>
  <conditionalFormatting sqref="Q146">
    <cfRule type="duplicateValues" dxfId="12065" priority="12621"/>
  </conditionalFormatting>
  <conditionalFormatting sqref="Q146">
    <cfRule type="duplicateValues" dxfId="12064" priority="12620"/>
  </conditionalFormatting>
  <conditionalFormatting sqref="Q146">
    <cfRule type="duplicateValues" dxfId="12063" priority="12619"/>
  </conditionalFormatting>
  <conditionalFormatting sqref="Q146">
    <cfRule type="duplicateValues" dxfId="12062" priority="12618"/>
  </conditionalFormatting>
  <conditionalFormatting sqref="Q146">
    <cfRule type="duplicateValues" dxfId="12061" priority="12617"/>
  </conditionalFormatting>
  <conditionalFormatting sqref="Q146">
    <cfRule type="duplicateValues" dxfId="12060" priority="12616"/>
  </conditionalFormatting>
  <conditionalFormatting sqref="Q146">
    <cfRule type="duplicateValues" dxfId="12059" priority="12615"/>
  </conditionalFormatting>
  <conditionalFormatting sqref="Q146:R146">
    <cfRule type="duplicateValues" dxfId="12058" priority="12614"/>
  </conditionalFormatting>
  <conditionalFormatting sqref="Q146:R146">
    <cfRule type="duplicateValues" dxfId="12057" priority="12611"/>
    <cfRule type="duplicateValues" dxfId="12056" priority="12612"/>
    <cfRule type="duplicateValues" dxfId="12055" priority="12613"/>
  </conditionalFormatting>
  <conditionalFormatting sqref="R146">
    <cfRule type="duplicateValues" dxfId="12054" priority="12610"/>
  </conditionalFormatting>
  <conditionalFormatting sqref="Q146">
    <cfRule type="duplicateValues" dxfId="12053" priority="12609"/>
  </conditionalFormatting>
  <conditionalFormatting sqref="Q146">
    <cfRule type="duplicateValues" dxfId="12052" priority="12606"/>
    <cfRule type="duplicateValues" dxfId="12051" priority="12607"/>
    <cfRule type="duplicateValues" dxfId="12050" priority="12608"/>
  </conditionalFormatting>
  <conditionalFormatting sqref="R146">
    <cfRule type="duplicateValues" dxfId="12049" priority="12603"/>
    <cfRule type="duplicateValues" dxfId="12048" priority="12604"/>
    <cfRule type="duplicateValues" dxfId="12047" priority="12605"/>
  </conditionalFormatting>
  <conditionalFormatting sqref="Q146">
    <cfRule type="duplicateValues" dxfId="12046" priority="12601"/>
    <cfRule type="duplicateValues" dxfId="12045" priority="12602"/>
  </conditionalFormatting>
  <conditionalFormatting sqref="Q146">
    <cfRule type="duplicateValues" dxfId="12044" priority="12600"/>
  </conditionalFormatting>
  <conditionalFormatting sqref="Q147">
    <cfRule type="duplicateValues" dxfId="12043" priority="12599"/>
  </conditionalFormatting>
  <conditionalFormatting sqref="Q147">
    <cfRule type="duplicateValues" dxfId="12042" priority="12598"/>
  </conditionalFormatting>
  <conditionalFormatting sqref="Q147">
    <cfRule type="duplicateValues" dxfId="12041" priority="12597"/>
  </conditionalFormatting>
  <conditionalFormatting sqref="Q147">
    <cfRule type="duplicateValues" dxfId="12040" priority="12596"/>
  </conditionalFormatting>
  <conditionalFormatting sqref="Q147">
    <cfRule type="duplicateValues" dxfId="12039" priority="12595"/>
  </conditionalFormatting>
  <conditionalFormatting sqref="Q147">
    <cfRule type="duplicateValues" dxfId="12038" priority="12594"/>
  </conditionalFormatting>
  <conditionalFormatting sqref="Q147">
    <cfRule type="duplicateValues" dxfId="12037" priority="12593"/>
  </conditionalFormatting>
  <conditionalFormatting sqref="Q147:R147">
    <cfRule type="duplicateValues" dxfId="12036" priority="12592"/>
  </conditionalFormatting>
  <conditionalFormatting sqref="Q147:R147">
    <cfRule type="duplicateValues" dxfId="12035" priority="12589"/>
    <cfRule type="duplicateValues" dxfId="12034" priority="12590"/>
    <cfRule type="duplicateValues" dxfId="12033" priority="12591"/>
  </conditionalFormatting>
  <conditionalFormatting sqref="R147">
    <cfRule type="duplicateValues" dxfId="12032" priority="12588"/>
  </conditionalFormatting>
  <conditionalFormatting sqref="Q147">
    <cfRule type="duplicateValues" dxfId="12031" priority="12587"/>
  </conditionalFormatting>
  <conditionalFormatting sqref="Q147">
    <cfRule type="duplicateValues" dxfId="12030" priority="12584"/>
    <cfRule type="duplicateValues" dxfId="12029" priority="12585"/>
    <cfRule type="duplicateValues" dxfId="12028" priority="12586"/>
  </conditionalFormatting>
  <conditionalFormatting sqref="R147">
    <cfRule type="duplicateValues" dxfId="12027" priority="12581"/>
    <cfRule type="duplicateValues" dxfId="12026" priority="12582"/>
    <cfRule type="duplicateValues" dxfId="12025" priority="12583"/>
  </conditionalFormatting>
  <conditionalFormatting sqref="Q147">
    <cfRule type="duplicateValues" dxfId="12024" priority="12579"/>
    <cfRule type="duplicateValues" dxfId="12023" priority="12580"/>
  </conditionalFormatting>
  <conditionalFormatting sqref="Q147">
    <cfRule type="duplicateValues" dxfId="12022" priority="12578"/>
  </conditionalFormatting>
  <conditionalFormatting sqref="Q148">
    <cfRule type="duplicateValues" dxfId="12021" priority="12577"/>
  </conditionalFormatting>
  <conditionalFormatting sqref="Q148">
    <cfRule type="duplicateValues" dxfId="12020" priority="12576"/>
  </conditionalFormatting>
  <conditionalFormatting sqref="Q148">
    <cfRule type="duplicateValues" dxfId="12019" priority="12575"/>
  </conditionalFormatting>
  <conditionalFormatting sqref="Q148:R148">
    <cfRule type="duplicateValues" dxfId="12018" priority="12574"/>
  </conditionalFormatting>
  <conditionalFormatting sqref="Q148:R148">
    <cfRule type="duplicateValues" dxfId="12017" priority="12571"/>
    <cfRule type="duplicateValues" dxfId="12016" priority="12572"/>
    <cfRule type="duplicateValues" dxfId="12015" priority="12573"/>
  </conditionalFormatting>
  <conditionalFormatting sqref="R148">
    <cfRule type="duplicateValues" dxfId="12014" priority="12570"/>
  </conditionalFormatting>
  <conditionalFormatting sqref="Q148">
    <cfRule type="duplicateValues" dxfId="12013" priority="12569"/>
  </conditionalFormatting>
  <conditionalFormatting sqref="Q148">
    <cfRule type="duplicateValues" dxfId="12012" priority="12566"/>
    <cfRule type="duplicateValues" dxfId="12011" priority="12567"/>
    <cfRule type="duplicateValues" dxfId="12010" priority="12568"/>
  </conditionalFormatting>
  <conditionalFormatting sqref="R148">
    <cfRule type="duplicateValues" dxfId="12009" priority="12563"/>
    <cfRule type="duplicateValues" dxfId="12008" priority="12564"/>
    <cfRule type="duplicateValues" dxfId="12007" priority="12565"/>
  </conditionalFormatting>
  <conditionalFormatting sqref="Q148">
    <cfRule type="duplicateValues" dxfId="12006" priority="12561"/>
    <cfRule type="duplicateValues" dxfId="12005" priority="12562"/>
  </conditionalFormatting>
  <conditionalFormatting sqref="Q148">
    <cfRule type="duplicateValues" dxfId="12004" priority="12560"/>
  </conditionalFormatting>
  <conditionalFormatting sqref="Q149">
    <cfRule type="duplicateValues" dxfId="12003" priority="12559"/>
  </conditionalFormatting>
  <conditionalFormatting sqref="Q149">
    <cfRule type="duplicateValues" dxfId="12002" priority="12558"/>
  </conditionalFormatting>
  <conditionalFormatting sqref="Q149">
    <cfRule type="duplicateValues" dxfId="12001" priority="12557"/>
  </conditionalFormatting>
  <conditionalFormatting sqref="Q149">
    <cfRule type="duplicateValues" dxfId="12000" priority="12556"/>
  </conditionalFormatting>
  <conditionalFormatting sqref="Q149:R149">
    <cfRule type="duplicateValues" dxfId="11999" priority="12555"/>
  </conditionalFormatting>
  <conditionalFormatting sqref="Q149:R149">
    <cfRule type="duplicateValues" dxfId="11998" priority="12552"/>
    <cfRule type="duplicateValues" dxfId="11997" priority="12553"/>
    <cfRule type="duplicateValues" dxfId="11996" priority="12554"/>
  </conditionalFormatting>
  <conditionalFormatting sqref="R149">
    <cfRule type="duplicateValues" dxfId="11995" priority="12551"/>
  </conditionalFormatting>
  <conditionalFormatting sqref="Q149">
    <cfRule type="duplicateValues" dxfId="11994" priority="12550"/>
  </conditionalFormatting>
  <conditionalFormatting sqref="Q149">
    <cfRule type="duplicateValues" dxfId="11993" priority="12547"/>
    <cfRule type="duplicateValues" dxfId="11992" priority="12548"/>
    <cfRule type="duplicateValues" dxfId="11991" priority="12549"/>
  </conditionalFormatting>
  <conditionalFormatting sqref="R149">
    <cfRule type="duplicateValues" dxfId="11990" priority="12544"/>
    <cfRule type="duplicateValues" dxfId="11989" priority="12545"/>
    <cfRule type="duplicateValues" dxfId="11988" priority="12546"/>
  </conditionalFormatting>
  <conditionalFormatting sqref="Q149">
    <cfRule type="duplicateValues" dxfId="11987" priority="12542"/>
    <cfRule type="duplicateValues" dxfId="11986" priority="12543"/>
  </conditionalFormatting>
  <conditionalFormatting sqref="Q149">
    <cfRule type="duplicateValues" dxfId="11985" priority="12541"/>
  </conditionalFormatting>
  <conditionalFormatting sqref="Q150">
    <cfRule type="duplicateValues" dxfId="11984" priority="12540"/>
  </conditionalFormatting>
  <conditionalFormatting sqref="Q150">
    <cfRule type="duplicateValues" dxfId="11983" priority="12539"/>
  </conditionalFormatting>
  <conditionalFormatting sqref="Q150">
    <cfRule type="duplicateValues" dxfId="11982" priority="12538"/>
  </conditionalFormatting>
  <conditionalFormatting sqref="Q150">
    <cfRule type="duplicateValues" dxfId="11981" priority="12537"/>
  </conditionalFormatting>
  <conditionalFormatting sqref="Q150:R150">
    <cfRule type="duplicateValues" dxfId="11980" priority="12536"/>
  </conditionalFormatting>
  <conditionalFormatting sqref="Q150:R150">
    <cfRule type="duplicateValues" dxfId="11979" priority="12533"/>
    <cfRule type="duplicateValues" dxfId="11978" priority="12534"/>
    <cfRule type="duplicateValues" dxfId="11977" priority="12535"/>
  </conditionalFormatting>
  <conditionalFormatting sqref="R150">
    <cfRule type="duplicateValues" dxfId="11976" priority="12532"/>
  </conditionalFormatting>
  <conditionalFormatting sqref="Q150">
    <cfRule type="duplicateValues" dxfId="11975" priority="12531"/>
  </conditionalFormatting>
  <conditionalFormatting sqref="Q150">
    <cfRule type="duplicateValues" dxfId="11974" priority="12528"/>
    <cfRule type="duplicateValues" dxfId="11973" priority="12529"/>
    <cfRule type="duplicateValues" dxfId="11972" priority="12530"/>
  </conditionalFormatting>
  <conditionalFormatting sqref="R150">
    <cfRule type="duplicateValues" dxfId="11971" priority="12525"/>
    <cfRule type="duplicateValues" dxfId="11970" priority="12526"/>
    <cfRule type="duplicateValues" dxfId="11969" priority="12527"/>
  </conditionalFormatting>
  <conditionalFormatting sqref="Q150">
    <cfRule type="duplicateValues" dxfId="11968" priority="12523"/>
    <cfRule type="duplicateValues" dxfId="11967" priority="12524"/>
  </conditionalFormatting>
  <conditionalFormatting sqref="Q150">
    <cfRule type="duplicateValues" dxfId="11966" priority="12522"/>
  </conditionalFormatting>
  <conditionalFormatting sqref="Q151:Q153">
    <cfRule type="duplicateValues" dxfId="11965" priority="12349"/>
  </conditionalFormatting>
  <conditionalFormatting sqref="Q151:R153">
    <cfRule type="duplicateValues" dxfId="11964" priority="12348"/>
  </conditionalFormatting>
  <conditionalFormatting sqref="Q151:R153">
    <cfRule type="duplicateValues" dxfId="11963" priority="12345"/>
    <cfRule type="duplicateValues" dxfId="11962" priority="12346"/>
    <cfRule type="duplicateValues" dxfId="11961" priority="12347"/>
  </conditionalFormatting>
  <conditionalFormatting sqref="R151:R153">
    <cfRule type="duplicateValues" dxfId="11960" priority="12344"/>
  </conditionalFormatting>
  <conditionalFormatting sqref="Q151:Q153">
    <cfRule type="duplicateValues" dxfId="11959" priority="12342"/>
    <cfRule type="duplicateValues" dxfId="11958" priority="12343"/>
  </conditionalFormatting>
  <conditionalFormatting sqref="Q151:Q153">
    <cfRule type="duplicateValues" dxfId="11957" priority="12339"/>
    <cfRule type="duplicateValues" dxfId="11956" priority="12340"/>
    <cfRule type="duplicateValues" dxfId="11955" priority="12341"/>
  </conditionalFormatting>
  <conditionalFormatting sqref="R151:R153">
    <cfRule type="duplicateValues" dxfId="11954" priority="12336"/>
    <cfRule type="duplicateValues" dxfId="11953" priority="12337"/>
    <cfRule type="duplicateValues" dxfId="11952" priority="12338"/>
  </conditionalFormatting>
  <conditionalFormatting sqref="Q151:Q153">
    <cfRule type="duplicateValues" dxfId="11951" priority="12335"/>
  </conditionalFormatting>
  <conditionalFormatting sqref="Q154">
    <cfRule type="duplicateValues" dxfId="11950" priority="12334"/>
  </conditionalFormatting>
  <conditionalFormatting sqref="R154">
    <cfRule type="duplicateValues" dxfId="11949" priority="12333"/>
  </conditionalFormatting>
  <conditionalFormatting sqref="R154">
    <cfRule type="duplicateValues" dxfId="11948" priority="12330"/>
    <cfRule type="duplicateValues" dxfId="11947" priority="12331"/>
    <cfRule type="duplicateValues" dxfId="11946" priority="12332"/>
  </conditionalFormatting>
  <conditionalFormatting sqref="Q155">
    <cfRule type="duplicateValues" dxfId="11945" priority="12329"/>
  </conditionalFormatting>
  <conditionalFormatting sqref="R155">
    <cfRule type="duplicateValues" dxfId="11944" priority="12328"/>
  </conditionalFormatting>
  <conditionalFormatting sqref="R155">
    <cfRule type="duplicateValues" dxfId="11943" priority="12325"/>
    <cfRule type="duplicateValues" dxfId="11942" priority="12326"/>
    <cfRule type="duplicateValues" dxfId="11941" priority="12327"/>
  </conditionalFormatting>
  <conditionalFormatting sqref="Q156:Q158">
    <cfRule type="duplicateValues" dxfId="11940" priority="12324"/>
  </conditionalFormatting>
  <conditionalFormatting sqref="R156:R158">
    <cfRule type="duplicateValues" dxfId="11939" priority="12323"/>
  </conditionalFormatting>
  <conditionalFormatting sqref="R156:R158">
    <cfRule type="duplicateValues" dxfId="11938" priority="12320"/>
    <cfRule type="duplicateValues" dxfId="11937" priority="12321"/>
    <cfRule type="duplicateValues" dxfId="11936" priority="12322"/>
  </conditionalFormatting>
  <conditionalFormatting sqref="Q159:Q165">
    <cfRule type="duplicateValues" dxfId="11935" priority="12319"/>
  </conditionalFormatting>
  <conditionalFormatting sqref="R159:R165">
    <cfRule type="duplicateValues" dxfId="11934" priority="12318"/>
  </conditionalFormatting>
  <conditionalFormatting sqref="R159:R165">
    <cfRule type="duplicateValues" dxfId="11933" priority="12315"/>
    <cfRule type="duplicateValues" dxfId="11932" priority="12316"/>
    <cfRule type="duplicateValues" dxfId="11931" priority="12317"/>
  </conditionalFormatting>
  <conditionalFormatting sqref="C377:C489 C495:C500 C515:C532 C535:C542 C544:C559 C562:C595 C631:C632">
    <cfRule type="cellIs" dxfId="11930" priority="12314" operator="equal">
      <formula>0</formula>
    </cfRule>
  </conditionalFormatting>
  <conditionalFormatting sqref="R191">
    <cfRule type="duplicateValues" dxfId="11929" priority="12311"/>
  </conditionalFormatting>
  <conditionalFormatting sqref="R191">
    <cfRule type="duplicateValues" dxfId="11928" priority="12308"/>
    <cfRule type="duplicateValues" dxfId="11927" priority="12309"/>
    <cfRule type="duplicateValues" dxfId="11926" priority="12310"/>
  </conditionalFormatting>
  <conditionalFormatting sqref="R191">
    <cfRule type="duplicateValues" dxfId="11925" priority="12307"/>
  </conditionalFormatting>
  <conditionalFormatting sqref="R191">
    <cfRule type="duplicateValues" dxfId="11924" priority="12304"/>
    <cfRule type="duplicateValues" dxfId="11923" priority="12305"/>
    <cfRule type="duplicateValues" dxfId="11922" priority="12306"/>
  </conditionalFormatting>
  <conditionalFormatting sqref="Q191">
    <cfRule type="duplicateValues" dxfId="11921" priority="12303"/>
  </conditionalFormatting>
  <conditionalFormatting sqref="R192">
    <cfRule type="duplicateValues" dxfId="11920" priority="12302"/>
  </conditionalFormatting>
  <conditionalFormatting sqref="R192">
    <cfRule type="duplicateValues" dxfId="11919" priority="12299"/>
    <cfRule type="duplicateValues" dxfId="11918" priority="12300"/>
    <cfRule type="duplicateValues" dxfId="11917" priority="12301"/>
  </conditionalFormatting>
  <conditionalFormatting sqref="R192">
    <cfRule type="duplicateValues" dxfId="11916" priority="12298"/>
  </conditionalFormatting>
  <conditionalFormatting sqref="R192">
    <cfRule type="duplicateValues" dxfId="11915" priority="12295"/>
    <cfRule type="duplicateValues" dxfId="11914" priority="12296"/>
    <cfRule type="duplicateValues" dxfId="11913" priority="12297"/>
  </conditionalFormatting>
  <conditionalFormatting sqref="Q192">
    <cfRule type="duplicateValues" dxfId="11912" priority="12294"/>
  </conditionalFormatting>
  <conditionalFormatting sqref="R193">
    <cfRule type="duplicateValues" dxfId="11911" priority="12293"/>
  </conditionalFormatting>
  <conditionalFormatting sqref="R193">
    <cfRule type="duplicateValues" dxfId="11910" priority="12290"/>
    <cfRule type="duplicateValues" dxfId="11909" priority="12291"/>
    <cfRule type="duplicateValues" dxfId="11908" priority="12292"/>
  </conditionalFormatting>
  <conditionalFormatting sqref="R193">
    <cfRule type="duplicateValues" dxfId="11907" priority="12289"/>
  </conditionalFormatting>
  <conditionalFormatting sqref="R193">
    <cfRule type="duplicateValues" dxfId="11906" priority="12286"/>
    <cfRule type="duplicateValues" dxfId="11905" priority="12287"/>
    <cfRule type="duplicateValues" dxfId="11904" priority="12288"/>
  </conditionalFormatting>
  <conditionalFormatting sqref="Q193">
    <cfRule type="duplicateValues" dxfId="11903" priority="12285"/>
  </conditionalFormatting>
  <conditionalFormatting sqref="R194">
    <cfRule type="duplicateValues" dxfId="11902" priority="12284"/>
  </conditionalFormatting>
  <conditionalFormatting sqref="R194">
    <cfRule type="duplicateValues" dxfId="11901" priority="12281"/>
    <cfRule type="duplicateValues" dxfId="11900" priority="12282"/>
    <cfRule type="duplicateValues" dxfId="11899" priority="12283"/>
  </conditionalFormatting>
  <conditionalFormatting sqref="R194">
    <cfRule type="duplicateValues" dxfId="11898" priority="12280"/>
  </conditionalFormatting>
  <conditionalFormatting sqref="R194">
    <cfRule type="duplicateValues" dxfId="11897" priority="12277"/>
    <cfRule type="duplicateValues" dxfId="11896" priority="12278"/>
    <cfRule type="duplicateValues" dxfId="11895" priority="12279"/>
  </conditionalFormatting>
  <conditionalFormatting sqref="Q194">
    <cfRule type="duplicateValues" dxfId="11894" priority="12276"/>
  </conditionalFormatting>
  <conditionalFormatting sqref="R195">
    <cfRule type="duplicateValues" dxfId="11893" priority="12275"/>
  </conditionalFormatting>
  <conditionalFormatting sqref="R195">
    <cfRule type="duplicateValues" dxfId="11892" priority="12272"/>
    <cfRule type="duplicateValues" dxfId="11891" priority="12273"/>
    <cfRule type="duplicateValues" dxfId="11890" priority="12274"/>
  </conditionalFormatting>
  <conditionalFormatting sqref="R195">
    <cfRule type="duplicateValues" dxfId="11889" priority="12271"/>
  </conditionalFormatting>
  <conditionalFormatting sqref="R195">
    <cfRule type="duplicateValues" dxfId="11888" priority="12268"/>
    <cfRule type="duplicateValues" dxfId="11887" priority="12269"/>
    <cfRule type="duplicateValues" dxfId="11886" priority="12270"/>
  </conditionalFormatting>
  <conditionalFormatting sqref="Q195">
    <cfRule type="duplicateValues" dxfId="11885" priority="12267"/>
  </conditionalFormatting>
  <conditionalFormatting sqref="R196">
    <cfRule type="duplicateValues" dxfId="11884" priority="12266"/>
  </conditionalFormatting>
  <conditionalFormatting sqref="R196">
    <cfRule type="duplicateValues" dxfId="11883" priority="12263"/>
    <cfRule type="duplicateValues" dxfId="11882" priority="12264"/>
    <cfRule type="duplicateValues" dxfId="11881" priority="12265"/>
  </conditionalFormatting>
  <conditionalFormatting sqref="R196">
    <cfRule type="duplicateValues" dxfId="11880" priority="12262"/>
  </conditionalFormatting>
  <conditionalFormatting sqref="R196">
    <cfRule type="duplicateValues" dxfId="11879" priority="12259"/>
    <cfRule type="duplicateValues" dxfId="11878" priority="12260"/>
    <cfRule type="duplicateValues" dxfId="11877" priority="12261"/>
  </conditionalFormatting>
  <conditionalFormatting sqref="Q196">
    <cfRule type="duplicateValues" dxfId="11876" priority="12258"/>
  </conditionalFormatting>
  <conditionalFormatting sqref="R197">
    <cfRule type="duplicateValues" dxfId="11875" priority="12257"/>
  </conditionalFormatting>
  <conditionalFormatting sqref="R197">
    <cfRule type="duplicateValues" dxfId="11874" priority="12254"/>
    <cfRule type="duplicateValues" dxfId="11873" priority="12255"/>
    <cfRule type="duplicateValues" dxfId="11872" priority="12256"/>
  </conditionalFormatting>
  <conditionalFormatting sqref="R197">
    <cfRule type="duplicateValues" dxfId="11871" priority="12253"/>
  </conditionalFormatting>
  <conditionalFormatting sqref="R197">
    <cfRule type="duplicateValues" dxfId="11870" priority="12250"/>
    <cfRule type="duplicateValues" dxfId="11869" priority="12251"/>
    <cfRule type="duplicateValues" dxfId="11868" priority="12252"/>
  </conditionalFormatting>
  <conditionalFormatting sqref="Q197">
    <cfRule type="duplicateValues" dxfId="11867" priority="12249"/>
  </conditionalFormatting>
  <conditionalFormatting sqref="R198">
    <cfRule type="duplicateValues" dxfId="11866" priority="12248"/>
  </conditionalFormatting>
  <conditionalFormatting sqref="R198">
    <cfRule type="duplicateValues" dxfId="11865" priority="12245"/>
    <cfRule type="duplicateValues" dxfId="11864" priority="12246"/>
    <cfRule type="duplicateValues" dxfId="11863" priority="12247"/>
  </conditionalFormatting>
  <conditionalFormatting sqref="R198">
    <cfRule type="duplicateValues" dxfId="11862" priority="12244"/>
  </conditionalFormatting>
  <conditionalFormatting sqref="R198">
    <cfRule type="duplicateValues" dxfId="11861" priority="12241"/>
    <cfRule type="duplicateValues" dxfId="11860" priority="12242"/>
    <cfRule type="duplicateValues" dxfId="11859" priority="12243"/>
  </conditionalFormatting>
  <conditionalFormatting sqref="Q198">
    <cfRule type="duplicateValues" dxfId="11858" priority="12240"/>
  </conditionalFormatting>
  <conditionalFormatting sqref="Q199:R200">
    <cfRule type="duplicateValues" dxfId="11857" priority="12239"/>
  </conditionalFormatting>
  <conditionalFormatting sqref="Q199:R200">
    <cfRule type="duplicateValues" dxfId="11856" priority="12236"/>
    <cfRule type="duplicateValues" dxfId="11855" priority="12237"/>
    <cfRule type="duplicateValues" dxfId="11854" priority="12238"/>
  </conditionalFormatting>
  <conditionalFormatting sqref="R199:R200">
    <cfRule type="duplicateValues" dxfId="11853" priority="12235"/>
  </conditionalFormatting>
  <conditionalFormatting sqref="Q199:Q200">
    <cfRule type="duplicateValues" dxfId="11852" priority="12234"/>
  </conditionalFormatting>
  <conditionalFormatting sqref="Q199:Q200">
    <cfRule type="duplicateValues" dxfId="11851" priority="12232"/>
    <cfRule type="duplicateValues" dxfId="11850" priority="12233"/>
  </conditionalFormatting>
  <conditionalFormatting sqref="Q199:Q200">
    <cfRule type="duplicateValues" dxfId="11849" priority="12229"/>
    <cfRule type="duplicateValues" dxfId="11848" priority="12230"/>
    <cfRule type="duplicateValues" dxfId="11847" priority="12231"/>
  </conditionalFormatting>
  <conditionalFormatting sqref="R199:R200">
    <cfRule type="duplicateValues" dxfId="11846" priority="12226"/>
    <cfRule type="duplicateValues" dxfId="11845" priority="12227"/>
    <cfRule type="duplicateValues" dxfId="11844" priority="12228"/>
  </conditionalFormatting>
  <conditionalFormatting sqref="Q199:Q200">
    <cfRule type="duplicateValues" dxfId="11843" priority="12225"/>
  </conditionalFormatting>
  <conditionalFormatting sqref="Q201:R204">
    <cfRule type="duplicateValues" dxfId="11842" priority="12224"/>
  </conditionalFormatting>
  <conditionalFormatting sqref="Q201:R204">
    <cfRule type="duplicateValues" dxfId="11841" priority="12221"/>
    <cfRule type="duplicateValues" dxfId="11840" priority="12222"/>
    <cfRule type="duplicateValues" dxfId="11839" priority="12223"/>
  </conditionalFormatting>
  <conditionalFormatting sqref="R201:R204">
    <cfRule type="duplicateValues" dxfId="11838" priority="12220"/>
  </conditionalFormatting>
  <conditionalFormatting sqref="Q201:R204">
    <cfRule type="duplicateValues" dxfId="11837" priority="12219"/>
  </conditionalFormatting>
  <conditionalFormatting sqref="Q201:Q204">
    <cfRule type="duplicateValues" dxfId="11836" priority="12218"/>
  </conditionalFormatting>
  <conditionalFormatting sqref="Q201:Q204">
    <cfRule type="duplicateValues" dxfId="11835" priority="12217"/>
  </conditionalFormatting>
  <conditionalFormatting sqref="Q201:Q204">
    <cfRule type="duplicateValues" dxfId="11834" priority="12216"/>
  </conditionalFormatting>
  <conditionalFormatting sqref="Q201:Q204">
    <cfRule type="duplicateValues" dxfId="11833" priority="12215"/>
  </conditionalFormatting>
  <conditionalFormatting sqref="R201:R204">
    <cfRule type="duplicateValues" dxfId="11832" priority="12214"/>
  </conditionalFormatting>
  <conditionalFormatting sqref="Q201:Q204">
    <cfRule type="duplicateValues" dxfId="11831" priority="12212"/>
    <cfRule type="duplicateValues" dxfId="11830" priority="12213"/>
  </conditionalFormatting>
  <conditionalFormatting sqref="Q201:Q204">
    <cfRule type="duplicateValues" dxfId="11829" priority="12211"/>
  </conditionalFormatting>
  <conditionalFormatting sqref="Q201:Q204">
    <cfRule type="duplicateValues" dxfId="11828" priority="12210"/>
  </conditionalFormatting>
  <conditionalFormatting sqref="Q201:Q204">
    <cfRule type="duplicateValues" dxfId="11827" priority="12209"/>
  </conditionalFormatting>
  <conditionalFormatting sqref="Q201:Q204">
    <cfRule type="duplicateValues" dxfId="11826" priority="12208"/>
  </conditionalFormatting>
  <conditionalFormatting sqref="Q201:Q204">
    <cfRule type="duplicateValues" dxfId="11825" priority="12207"/>
  </conditionalFormatting>
  <conditionalFormatting sqref="Q201:Q204">
    <cfRule type="duplicateValues" dxfId="11824" priority="12206"/>
  </conditionalFormatting>
  <conditionalFormatting sqref="Q201:Q204">
    <cfRule type="duplicateValues" dxfId="11823" priority="12205"/>
  </conditionalFormatting>
  <conditionalFormatting sqref="Q201:Q204">
    <cfRule type="duplicateValues" dxfId="11822" priority="12204"/>
  </conditionalFormatting>
  <conditionalFormatting sqref="Q201:Q204">
    <cfRule type="duplicateValues" dxfId="11821" priority="12203"/>
  </conditionalFormatting>
  <conditionalFormatting sqref="Q201:Q204">
    <cfRule type="duplicateValues" dxfId="11820" priority="12202"/>
  </conditionalFormatting>
  <conditionalFormatting sqref="Q201:R204">
    <cfRule type="duplicateValues" dxfId="11819" priority="12201"/>
  </conditionalFormatting>
  <conditionalFormatting sqref="Q201:R204">
    <cfRule type="duplicateValues" dxfId="11818" priority="12198"/>
    <cfRule type="duplicateValues" dxfId="11817" priority="12199"/>
    <cfRule type="duplicateValues" dxfId="11816" priority="12200"/>
  </conditionalFormatting>
  <conditionalFormatting sqref="R201:R204">
    <cfRule type="duplicateValues" dxfId="11815" priority="12197"/>
  </conditionalFormatting>
  <conditionalFormatting sqref="Q201:Q204">
    <cfRule type="duplicateValues" dxfId="11814" priority="12195"/>
    <cfRule type="duplicateValues" dxfId="11813" priority="12196"/>
  </conditionalFormatting>
  <conditionalFormatting sqref="Q201:Q204">
    <cfRule type="duplicateValues" dxfId="11812" priority="12192"/>
    <cfRule type="duplicateValues" dxfId="11811" priority="12193"/>
    <cfRule type="duplicateValues" dxfId="11810" priority="12194"/>
  </conditionalFormatting>
  <conditionalFormatting sqref="R201:R204">
    <cfRule type="duplicateValues" dxfId="11809" priority="12189"/>
    <cfRule type="duplicateValues" dxfId="11808" priority="12190"/>
    <cfRule type="duplicateValues" dxfId="11807" priority="12191"/>
  </conditionalFormatting>
  <conditionalFormatting sqref="Q201:Q208">
    <cfRule type="duplicateValues" dxfId="11806" priority="12188"/>
  </conditionalFormatting>
  <conditionalFormatting sqref="Q205:Q208">
    <cfRule type="duplicateValues" dxfId="11805" priority="12187"/>
  </conditionalFormatting>
  <conditionalFormatting sqref="Q205:R208">
    <cfRule type="duplicateValues" dxfId="11804" priority="12186"/>
  </conditionalFormatting>
  <conditionalFormatting sqref="Q205:R208">
    <cfRule type="duplicateValues" dxfId="11803" priority="12183"/>
    <cfRule type="duplicateValues" dxfId="11802" priority="12184"/>
    <cfRule type="duplicateValues" dxfId="11801" priority="12185"/>
  </conditionalFormatting>
  <conditionalFormatting sqref="R205:R208">
    <cfRule type="duplicateValues" dxfId="11800" priority="12182"/>
  </conditionalFormatting>
  <conditionalFormatting sqref="Q205:Q208">
    <cfRule type="duplicateValues" dxfId="11799" priority="12180"/>
    <cfRule type="duplicateValues" dxfId="11798" priority="12181"/>
  </conditionalFormatting>
  <conditionalFormatting sqref="Q205:Q208">
    <cfRule type="duplicateValues" dxfId="11797" priority="12177"/>
    <cfRule type="duplicateValues" dxfId="11796" priority="12178"/>
    <cfRule type="duplicateValues" dxfId="11795" priority="12179"/>
  </conditionalFormatting>
  <conditionalFormatting sqref="R205:R208">
    <cfRule type="duplicateValues" dxfId="11794" priority="12174"/>
    <cfRule type="duplicateValues" dxfId="11793" priority="12175"/>
    <cfRule type="duplicateValues" dxfId="11792" priority="12176"/>
  </conditionalFormatting>
  <conditionalFormatting sqref="Q209:Q210">
    <cfRule type="duplicateValues" dxfId="11791" priority="12173"/>
  </conditionalFormatting>
  <conditionalFormatting sqref="R209:R210">
    <cfRule type="duplicateValues" dxfId="11790" priority="12172"/>
  </conditionalFormatting>
  <conditionalFormatting sqref="R209:R210">
    <cfRule type="duplicateValues" dxfId="11789" priority="12169"/>
    <cfRule type="duplicateValues" dxfId="11788" priority="12170"/>
    <cfRule type="duplicateValues" dxfId="11787" priority="12171"/>
  </conditionalFormatting>
  <conditionalFormatting sqref="C211:C218">
    <cfRule type="cellIs" dxfId="11786" priority="12168" operator="equal">
      <formula>0</formula>
    </cfRule>
  </conditionalFormatting>
  <conditionalFormatting sqref="Q211:Q218">
    <cfRule type="duplicateValues" dxfId="11785" priority="12165"/>
  </conditionalFormatting>
  <conditionalFormatting sqref="R211:R218">
    <cfRule type="duplicateValues" dxfId="11784" priority="12164"/>
  </conditionalFormatting>
  <conditionalFormatting sqref="R211:R218">
    <cfRule type="duplicateValues" dxfId="11783" priority="12161"/>
    <cfRule type="duplicateValues" dxfId="11782" priority="12162"/>
    <cfRule type="duplicateValues" dxfId="11781" priority="12163"/>
  </conditionalFormatting>
  <conditionalFormatting sqref="C219">
    <cfRule type="cellIs" dxfId="11780" priority="12156" operator="equal">
      <formula>0</formula>
    </cfRule>
  </conditionalFormatting>
  <conditionalFormatting sqref="Q219">
    <cfRule type="duplicateValues" dxfId="11779" priority="12155"/>
  </conditionalFormatting>
  <conditionalFormatting sqref="R219">
    <cfRule type="duplicateValues" dxfId="11778" priority="12154"/>
  </conditionalFormatting>
  <conditionalFormatting sqref="R219">
    <cfRule type="duplicateValues" dxfId="11777" priority="12151"/>
    <cfRule type="duplicateValues" dxfId="11776" priority="12152"/>
    <cfRule type="duplicateValues" dxfId="11775" priority="12153"/>
  </conditionalFormatting>
  <conditionalFormatting sqref="R220:R221">
    <cfRule type="duplicateValues" dxfId="11774" priority="12150"/>
  </conditionalFormatting>
  <conditionalFormatting sqref="R220:R221">
    <cfRule type="duplicateValues" dxfId="11773" priority="12147"/>
    <cfRule type="duplicateValues" dxfId="11772" priority="12148"/>
    <cfRule type="duplicateValues" dxfId="11771" priority="12149"/>
  </conditionalFormatting>
  <conditionalFormatting sqref="R220:R221">
    <cfRule type="duplicateValues" dxfId="11770" priority="12146"/>
  </conditionalFormatting>
  <conditionalFormatting sqref="R220:R221">
    <cfRule type="duplicateValues" dxfId="11769" priority="12143"/>
    <cfRule type="duplicateValues" dxfId="11768" priority="12144"/>
    <cfRule type="duplicateValues" dxfId="11767" priority="12145"/>
  </conditionalFormatting>
  <conditionalFormatting sqref="Q220:Q221">
    <cfRule type="duplicateValues" dxfId="11766" priority="12142"/>
  </conditionalFormatting>
  <conditionalFormatting sqref="R222:R223">
    <cfRule type="duplicateValues" dxfId="11765" priority="12141"/>
  </conditionalFormatting>
  <conditionalFormatting sqref="R222:R223">
    <cfRule type="duplicateValues" dxfId="11764" priority="12138"/>
    <cfRule type="duplicateValues" dxfId="11763" priority="12139"/>
    <cfRule type="duplicateValues" dxfId="11762" priority="12140"/>
  </conditionalFormatting>
  <conditionalFormatting sqref="R222:R223">
    <cfRule type="duplicateValues" dxfId="11761" priority="12137"/>
  </conditionalFormatting>
  <conditionalFormatting sqref="R222:R223">
    <cfRule type="duplicateValues" dxfId="11760" priority="12134"/>
    <cfRule type="duplicateValues" dxfId="11759" priority="12135"/>
    <cfRule type="duplicateValues" dxfId="11758" priority="12136"/>
  </conditionalFormatting>
  <conditionalFormatting sqref="Q222:Q223">
    <cfRule type="duplicateValues" dxfId="11757" priority="12133"/>
  </conditionalFormatting>
  <conditionalFormatting sqref="C220:C225">
    <cfRule type="cellIs" dxfId="11756" priority="12132" operator="equal">
      <formula>0</formula>
    </cfRule>
  </conditionalFormatting>
  <conditionalFormatting sqref="C226">
    <cfRule type="cellIs" dxfId="11755" priority="12131" operator="equal">
      <formula>0</formula>
    </cfRule>
  </conditionalFormatting>
  <conditionalFormatting sqref="Q224:R224">
    <cfRule type="duplicateValues" dxfId="11754" priority="12130"/>
  </conditionalFormatting>
  <conditionalFormatting sqref="Q224:R224">
    <cfRule type="duplicateValues" dxfId="11753" priority="12127"/>
    <cfRule type="duplicateValues" dxfId="11752" priority="12128"/>
    <cfRule type="duplicateValues" dxfId="11751" priority="12129"/>
  </conditionalFormatting>
  <conditionalFormatting sqref="R224">
    <cfRule type="duplicateValues" dxfId="11750" priority="12126"/>
  </conditionalFormatting>
  <conditionalFormatting sqref="Q224:R224">
    <cfRule type="duplicateValues" dxfId="11749" priority="12125"/>
  </conditionalFormatting>
  <conditionalFormatting sqref="Q224">
    <cfRule type="duplicateValues" dxfId="11748" priority="12124"/>
  </conditionalFormatting>
  <conditionalFormatting sqref="Q224">
    <cfRule type="duplicateValues" dxfId="11747" priority="12123"/>
  </conditionalFormatting>
  <conditionalFormatting sqref="Q224">
    <cfRule type="duplicateValues" dxfId="11746" priority="12122"/>
  </conditionalFormatting>
  <conditionalFormatting sqref="Q224">
    <cfRule type="duplicateValues" dxfId="11745" priority="12121"/>
  </conditionalFormatting>
  <conditionalFormatting sqref="R224">
    <cfRule type="duplicateValues" dxfId="11744" priority="12120"/>
  </conditionalFormatting>
  <conditionalFormatting sqref="Q224">
    <cfRule type="duplicateValues" dxfId="11743" priority="12118"/>
    <cfRule type="duplicateValues" dxfId="11742" priority="12119"/>
  </conditionalFormatting>
  <conditionalFormatting sqref="Q224">
    <cfRule type="duplicateValues" dxfId="11741" priority="12117"/>
  </conditionalFormatting>
  <conditionalFormatting sqref="Q224">
    <cfRule type="duplicateValues" dxfId="11740" priority="12116"/>
  </conditionalFormatting>
  <conditionalFormatting sqref="Q224">
    <cfRule type="duplicateValues" dxfId="11739" priority="12115"/>
  </conditionalFormatting>
  <conditionalFormatting sqref="Q224">
    <cfRule type="duplicateValues" dxfId="11738" priority="12114"/>
  </conditionalFormatting>
  <conditionalFormatting sqref="Q224">
    <cfRule type="duplicateValues" dxfId="11737" priority="12113"/>
  </conditionalFormatting>
  <conditionalFormatting sqref="Q224">
    <cfRule type="duplicateValues" dxfId="11736" priority="12112"/>
  </conditionalFormatting>
  <conditionalFormatting sqref="Q224">
    <cfRule type="duplicateValues" dxfId="11735" priority="12111"/>
  </conditionalFormatting>
  <conditionalFormatting sqref="Q224">
    <cfRule type="duplicateValues" dxfId="11734" priority="12110"/>
  </conditionalFormatting>
  <conditionalFormatting sqref="Q224:R224">
    <cfRule type="duplicateValues" dxfId="11733" priority="12109"/>
  </conditionalFormatting>
  <conditionalFormatting sqref="Q224">
    <cfRule type="duplicateValues" dxfId="11732" priority="12108"/>
  </conditionalFormatting>
  <conditionalFormatting sqref="R224">
    <cfRule type="duplicateValues" dxfId="11731" priority="12107"/>
  </conditionalFormatting>
  <conditionalFormatting sqref="Q224">
    <cfRule type="duplicateValues" dxfId="11730" priority="12106"/>
  </conditionalFormatting>
  <conditionalFormatting sqref="Q225">
    <cfRule type="duplicateValues" dxfId="11729" priority="12105"/>
  </conditionalFormatting>
  <conditionalFormatting sqref="Q225:R225">
    <cfRule type="duplicateValues" dxfId="11728" priority="12104"/>
  </conditionalFormatting>
  <conditionalFormatting sqref="Q225:R225">
    <cfRule type="duplicateValues" dxfId="11727" priority="12101"/>
    <cfRule type="duplicateValues" dxfId="11726" priority="12102"/>
    <cfRule type="duplicateValues" dxfId="11725" priority="12103"/>
  </conditionalFormatting>
  <conditionalFormatting sqref="R225">
    <cfRule type="duplicateValues" dxfId="11724" priority="12100"/>
  </conditionalFormatting>
  <conditionalFormatting sqref="Q225">
    <cfRule type="duplicateValues" dxfId="11723" priority="12098"/>
    <cfRule type="duplicateValues" dxfId="11722" priority="12099"/>
  </conditionalFormatting>
  <conditionalFormatting sqref="Q225">
    <cfRule type="duplicateValues" dxfId="11721" priority="12095"/>
    <cfRule type="duplicateValues" dxfId="11720" priority="12096"/>
    <cfRule type="duplicateValues" dxfId="11719" priority="12097"/>
  </conditionalFormatting>
  <conditionalFormatting sqref="R225">
    <cfRule type="duplicateValues" dxfId="11718" priority="12092"/>
    <cfRule type="duplicateValues" dxfId="11717" priority="12093"/>
    <cfRule type="duplicateValues" dxfId="11716" priority="12094"/>
  </conditionalFormatting>
  <conditionalFormatting sqref="Q225">
    <cfRule type="duplicateValues" dxfId="11715" priority="12091"/>
  </conditionalFormatting>
  <conditionalFormatting sqref="Q226:Q227">
    <cfRule type="duplicateValues" dxfId="11714" priority="12090"/>
  </conditionalFormatting>
  <conditionalFormatting sqref="Q226:R227">
    <cfRule type="duplicateValues" dxfId="11713" priority="12089"/>
  </conditionalFormatting>
  <conditionalFormatting sqref="Q226:R227">
    <cfRule type="duplicateValues" dxfId="11712" priority="12086"/>
    <cfRule type="duplicateValues" dxfId="11711" priority="12087"/>
    <cfRule type="duplicateValues" dxfId="11710" priority="12088"/>
  </conditionalFormatting>
  <conditionalFormatting sqref="R226:R227">
    <cfRule type="duplicateValues" dxfId="11709" priority="12085"/>
  </conditionalFormatting>
  <conditionalFormatting sqref="Q226:Q227">
    <cfRule type="duplicateValues" dxfId="11708" priority="12083"/>
    <cfRule type="duplicateValues" dxfId="11707" priority="12084"/>
  </conditionalFormatting>
  <conditionalFormatting sqref="Q226:Q227">
    <cfRule type="duplicateValues" dxfId="11706" priority="12080"/>
    <cfRule type="duplicateValues" dxfId="11705" priority="12081"/>
    <cfRule type="duplicateValues" dxfId="11704" priority="12082"/>
  </conditionalFormatting>
  <conditionalFormatting sqref="R226:R227">
    <cfRule type="duplicateValues" dxfId="11703" priority="12077"/>
    <cfRule type="duplicateValues" dxfId="11702" priority="12078"/>
    <cfRule type="duplicateValues" dxfId="11701" priority="12079"/>
  </conditionalFormatting>
  <conditionalFormatting sqref="Q226:Q227">
    <cfRule type="duplicateValues" dxfId="11700" priority="12076"/>
  </conditionalFormatting>
  <conditionalFormatting sqref="Q228:Q232">
    <cfRule type="duplicateValues" dxfId="11699" priority="12075"/>
  </conditionalFormatting>
  <conditionalFormatting sqref="R228:R232">
    <cfRule type="duplicateValues" dxfId="11698" priority="12074"/>
  </conditionalFormatting>
  <conditionalFormatting sqref="R228:R232">
    <cfRule type="duplicateValues" dxfId="11697" priority="12071"/>
    <cfRule type="duplicateValues" dxfId="11696" priority="12072"/>
    <cfRule type="duplicateValues" dxfId="11695" priority="12073"/>
  </conditionalFormatting>
  <conditionalFormatting sqref="Q233:Q238">
    <cfRule type="duplicateValues" dxfId="11694" priority="12070"/>
  </conditionalFormatting>
  <conditionalFormatting sqref="R233:R238">
    <cfRule type="duplicateValues" dxfId="11693" priority="12069"/>
  </conditionalFormatting>
  <conditionalFormatting sqref="R233:R238">
    <cfRule type="duplicateValues" dxfId="11692" priority="12066"/>
    <cfRule type="duplicateValues" dxfId="11691" priority="12067"/>
    <cfRule type="duplicateValues" dxfId="11690" priority="12068"/>
  </conditionalFormatting>
  <conditionalFormatting sqref="Q239:Q240">
    <cfRule type="duplicateValues" dxfId="11689" priority="12065"/>
  </conditionalFormatting>
  <conditionalFormatting sqref="R239:R240">
    <cfRule type="duplicateValues" dxfId="11688" priority="12064"/>
  </conditionalFormatting>
  <conditionalFormatting sqref="R239:R240">
    <cfRule type="duplicateValues" dxfId="11687" priority="12061"/>
    <cfRule type="duplicateValues" dxfId="11686" priority="12062"/>
    <cfRule type="duplicateValues" dxfId="11685" priority="12063"/>
  </conditionalFormatting>
  <conditionalFormatting sqref="Q241:Q245">
    <cfRule type="duplicateValues" dxfId="11684" priority="12060"/>
  </conditionalFormatting>
  <conditionalFormatting sqref="R241:R245">
    <cfRule type="duplicateValues" dxfId="11683" priority="12059"/>
  </conditionalFormatting>
  <conditionalFormatting sqref="R241:R245">
    <cfRule type="duplicateValues" dxfId="11682" priority="12056"/>
    <cfRule type="duplicateValues" dxfId="11681" priority="12057"/>
    <cfRule type="duplicateValues" dxfId="11680" priority="12058"/>
  </conditionalFormatting>
  <conditionalFormatting sqref="Q246:R246">
    <cfRule type="duplicateValues" dxfId="11679" priority="12055"/>
  </conditionalFormatting>
  <conditionalFormatting sqref="Q246:R246">
    <cfRule type="duplicateValues" dxfId="11678" priority="12052"/>
    <cfRule type="duplicateValues" dxfId="11677" priority="12053"/>
    <cfRule type="duplicateValues" dxfId="11676" priority="12054"/>
  </conditionalFormatting>
  <conditionalFormatting sqref="R246">
    <cfRule type="duplicateValues" dxfId="11675" priority="12051"/>
  </conditionalFormatting>
  <conditionalFormatting sqref="Q246:R246">
    <cfRule type="duplicateValues" dxfId="11674" priority="12050"/>
  </conditionalFormatting>
  <conditionalFormatting sqref="Q246">
    <cfRule type="duplicateValues" dxfId="11673" priority="12049"/>
  </conditionalFormatting>
  <conditionalFormatting sqref="Q246">
    <cfRule type="duplicateValues" dxfId="11672" priority="12048"/>
  </conditionalFormatting>
  <conditionalFormatting sqref="Q246">
    <cfRule type="duplicateValues" dxfId="11671" priority="12047"/>
  </conditionalFormatting>
  <conditionalFormatting sqref="Q246">
    <cfRule type="duplicateValues" dxfId="11670" priority="12046"/>
  </conditionalFormatting>
  <conditionalFormatting sqref="R246">
    <cfRule type="duplicateValues" dxfId="11669" priority="12045"/>
  </conditionalFormatting>
  <conditionalFormatting sqref="Q246">
    <cfRule type="duplicateValues" dxfId="11668" priority="12043"/>
    <cfRule type="duplicateValues" dxfId="11667" priority="12044"/>
  </conditionalFormatting>
  <conditionalFormatting sqref="Q246">
    <cfRule type="duplicateValues" dxfId="11666" priority="12042"/>
  </conditionalFormatting>
  <conditionalFormatting sqref="Q246">
    <cfRule type="duplicateValues" dxfId="11665" priority="12041"/>
  </conditionalFormatting>
  <conditionalFormatting sqref="Q246">
    <cfRule type="duplicateValues" dxfId="11664" priority="12040"/>
  </conditionalFormatting>
  <conditionalFormatting sqref="Q246">
    <cfRule type="duplicateValues" dxfId="11663" priority="12039"/>
  </conditionalFormatting>
  <conditionalFormatting sqref="Q246">
    <cfRule type="duplicateValues" dxfId="11662" priority="12038"/>
  </conditionalFormatting>
  <conditionalFormatting sqref="Q246">
    <cfRule type="duplicateValues" dxfId="11661" priority="12037"/>
  </conditionalFormatting>
  <conditionalFormatting sqref="Q246">
    <cfRule type="duplicateValues" dxfId="11660" priority="12036"/>
  </conditionalFormatting>
  <conditionalFormatting sqref="Q246">
    <cfRule type="duplicateValues" dxfId="11659" priority="12035"/>
  </conditionalFormatting>
  <conditionalFormatting sqref="Q246:R246">
    <cfRule type="duplicateValues" dxfId="11658" priority="12034"/>
  </conditionalFormatting>
  <conditionalFormatting sqref="Q246">
    <cfRule type="duplicateValues" dxfId="11657" priority="12033"/>
  </conditionalFormatting>
  <conditionalFormatting sqref="Q246:R246">
    <cfRule type="duplicateValues" dxfId="11656" priority="12032"/>
  </conditionalFormatting>
  <conditionalFormatting sqref="R246">
    <cfRule type="duplicateValues" dxfId="11655" priority="12031"/>
  </conditionalFormatting>
  <conditionalFormatting sqref="Q246">
    <cfRule type="duplicateValues" dxfId="11654" priority="12030"/>
  </conditionalFormatting>
  <conditionalFormatting sqref="Q247:R247">
    <cfRule type="duplicateValues" dxfId="11653" priority="12029"/>
  </conditionalFormatting>
  <conditionalFormatting sqref="Q247:R247">
    <cfRule type="duplicateValues" dxfId="11652" priority="12026"/>
    <cfRule type="duplicateValues" dxfId="11651" priority="12027"/>
    <cfRule type="duplicateValues" dxfId="11650" priority="12028"/>
  </conditionalFormatting>
  <conditionalFormatting sqref="R247">
    <cfRule type="duplicateValues" dxfId="11649" priority="12025"/>
  </conditionalFormatting>
  <conditionalFormatting sqref="Q247:R247">
    <cfRule type="duplicateValues" dxfId="11648" priority="12024"/>
  </conditionalFormatting>
  <conditionalFormatting sqref="Q247">
    <cfRule type="duplicateValues" dxfId="11647" priority="12023"/>
  </conditionalFormatting>
  <conditionalFormatting sqref="Q247">
    <cfRule type="duplicateValues" dxfId="11646" priority="12022"/>
  </conditionalFormatting>
  <conditionalFormatting sqref="Q247">
    <cfRule type="duplicateValues" dxfId="11645" priority="12021"/>
  </conditionalFormatting>
  <conditionalFormatting sqref="Q247">
    <cfRule type="duplicateValues" dxfId="11644" priority="12020"/>
  </conditionalFormatting>
  <conditionalFormatting sqref="R247">
    <cfRule type="duplicateValues" dxfId="11643" priority="12019"/>
  </conditionalFormatting>
  <conditionalFormatting sqref="Q247">
    <cfRule type="duplicateValues" dxfId="11642" priority="12017"/>
    <cfRule type="duplicateValues" dxfId="11641" priority="12018"/>
  </conditionalFormatting>
  <conditionalFormatting sqref="Q247">
    <cfRule type="duplicateValues" dxfId="11640" priority="12016"/>
  </conditionalFormatting>
  <conditionalFormatting sqref="Q247">
    <cfRule type="duplicateValues" dxfId="11639" priority="12015"/>
  </conditionalFormatting>
  <conditionalFormatting sqref="Q247">
    <cfRule type="duplicateValues" dxfId="11638" priority="12014"/>
  </conditionalFormatting>
  <conditionalFormatting sqref="Q247">
    <cfRule type="duplicateValues" dxfId="11637" priority="12013"/>
  </conditionalFormatting>
  <conditionalFormatting sqref="Q247">
    <cfRule type="duplicateValues" dxfId="11636" priority="12012"/>
  </conditionalFormatting>
  <conditionalFormatting sqref="Q247">
    <cfRule type="duplicateValues" dxfId="11635" priority="12011"/>
  </conditionalFormatting>
  <conditionalFormatting sqref="Q247">
    <cfRule type="duplicateValues" dxfId="11634" priority="12010"/>
  </conditionalFormatting>
  <conditionalFormatting sqref="Q247">
    <cfRule type="duplicateValues" dxfId="11633" priority="12009"/>
  </conditionalFormatting>
  <conditionalFormatting sqref="Q247:R247">
    <cfRule type="duplicateValues" dxfId="11632" priority="12008"/>
  </conditionalFormatting>
  <conditionalFormatting sqref="Q247">
    <cfRule type="duplicateValues" dxfId="11631" priority="12007"/>
  </conditionalFormatting>
  <conditionalFormatting sqref="Q247:R247">
    <cfRule type="duplicateValues" dxfId="11630" priority="12006"/>
  </conditionalFormatting>
  <conditionalFormatting sqref="R247">
    <cfRule type="duplicateValues" dxfId="11629" priority="12005"/>
  </conditionalFormatting>
  <conditionalFormatting sqref="Q247">
    <cfRule type="duplicateValues" dxfId="11628" priority="12004"/>
  </conditionalFormatting>
  <conditionalFormatting sqref="Q248:R248">
    <cfRule type="duplicateValues" dxfId="11627" priority="12003"/>
  </conditionalFormatting>
  <conditionalFormatting sqref="Q248:R248">
    <cfRule type="duplicateValues" dxfId="11626" priority="12000"/>
    <cfRule type="duplicateValues" dxfId="11625" priority="12001"/>
    <cfRule type="duplicateValues" dxfId="11624" priority="12002"/>
  </conditionalFormatting>
  <conditionalFormatting sqref="R248">
    <cfRule type="duplicateValues" dxfId="11623" priority="11999"/>
  </conditionalFormatting>
  <conditionalFormatting sqref="Q248:R248">
    <cfRule type="duplicateValues" dxfId="11622" priority="11998"/>
  </conditionalFormatting>
  <conditionalFormatting sqref="Q248">
    <cfRule type="duplicateValues" dxfId="11621" priority="11997"/>
  </conditionalFormatting>
  <conditionalFormatting sqref="Q248">
    <cfRule type="duplicateValues" dxfId="11620" priority="11996"/>
  </conditionalFormatting>
  <conditionalFormatting sqref="Q248">
    <cfRule type="duplicateValues" dxfId="11619" priority="11995"/>
  </conditionalFormatting>
  <conditionalFormatting sqref="Q248">
    <cfRule type="duplicateValues" dxfId="11618" priority="11994"/>
  </conditionalFormatting>
  <conditionalFormatting sqref="R248">
    <cfRule type="duplicateValues" dxfId="11617" priority="11993"/>
  </conditionalFormatting>
  <conditionalFormatting sqref="Q248">
    <cfRule type="duplicateValues" dxfId="11616" priority="11991"/>
    <cfRule type="duplicateValues" dxfId="11615" priority="11992"/>
  </conditionalFormatting>
  <conditionalFormatting sqref="Q248">
    <cfRule type="duplicateValues" dxfId="11614" priority="11990"/>
  </conditionalFormatting>
  <conditionalFormatting sqref="Q248">
    <cfRule type="duplicateValues" dxfId="11613" priority="11989"/>
  </conditionalFormatting>
  <conditionalFormatting sqref="Q248">
    <cfRule type="duplicateValues" dxfId="11612" priority="11988"/>
  </conditionalFormatting>
  <conditionalFormatting sqref="Q248">
    <cfRule type="duplicateValues" dxfId="11611" priority="11987"/>
  </conditionalFormatting>
  <conditionalFormatting sqref="Q248">
    <cfRule type="duplicateValues" dxfId="11610" priority="11986"/>
  </conditionalFormatting>
  <conditionalFormatting sqref="Q248">
    <cfRule type="duplicateValues" dxfId="11609" priority="11985"/>
  </conditionalFormatting>
  <conditionalFormatting sqref="Q248">
    <cfRule type="duplicateValues" dxfId="11608" priority="11984"/>
  </conditionalFormatting>
  <conditionalFormatting sqref="Q248">
    <cfRule type="duplicateValues" dxfId="11607" priority="11983"/>
  </conditionalFormatting>
  <conditionalFormatting sqref="Q248:R248">
    <cfRule type="duplicateValues" dxfId="11606" priority="11982"/>
  </conditionalFormatting>
  <conditionalFormatting sqref="Q248">
    <cfRule type="duplicateValues" dxfId="11605" priority="11981"/>
  </conditionalFormatting>
  <conditionalFormatting sqref="Q248:R248">
    <cfRule type="duplicateValues" dxfId="11604" priority="11980"/>
  </conditionalFormatting>
  <conditionalFormatting sqref="R248">
    <cfRule type="duplicateValues" dxfId="11603" priority="11979"/>
  </conditionalFormatting>
  <conditionalFormatting sqref="Q248">
    <cfRule type="duplicateValues" dxfId="11602" priority="11978"/>
  </conditionalFormatting>
  <conditionalFormatting sqref="Q251">
    <cfRule type="duplicateValues" dxfId="11601" priority="11934"/>
  </conditionalFormatting>
  <conditionalFormatting sqref="Q251:R251">
    <cfRule type="duplicateValues" dxfId="11600" priority="11933"/>
  </conditionalFormatting>
  <conditionalFormatting sqref="Q251:R251">
    <cfRule type="duplicateValues" dxfId="11599" priority="11930"/>
    <cfRule type="duplicateValues" dxfId="11598" priority="11931"/>
    <cfRule type="duplicateValues" dxfId="11597" priority="11932"/>
  </conditionalFormatting>
  <conditionalFormatting sqref="R251">
    <cfRule type="duplicateValues" dxfId="11596" priority="11929"/>
  </conditionalFormatting>
  <conditionalFormatting sqref="Q251">
    <cfRule type="duplicateValues" dxfId="11595" priority="11927"/>
    <cfRule type="duplicateValues" dxfId="11594" priority="11928"/>
  </conditionalFormatting>
  <conditionalFormatting sqref="Q251">
    <cfRule type="duplicateValues" dxfId="11593" priority="11924"/>
    <cfRule type="duplicateValues" dxfId="11592" priority="11925"/>
    <cfRule type="duplicateValues" dxfId="11591" priority="11926"/>
  </conditionalFormatting>
  <conditionalFormatting sqref="R251">
    <cfRule type="duplicateValues" dxfId="11590" priority="11921"/>
    <cfRule type="duplicateValues" dxfId="11589" priority="11922"/>
    <cfRule type="duplicateValues" dxfId="11588" priority="11923"/>
  </conditionalFormatting>
  <conditionalFormatting sqref="Q251">
    <cfRule type="duplicateValues" dxfId="11587" priority="11920"/>
  </conditionalFormatting>
  <conditionalFormatting sqref="Q252:Q254">
    <cfRule type="duplicateValues" dxfId="11586" priority="11904"/>
  </conditionalFormatting>
  <conditionalFormatting sqref="Q252:R254">
    <cfRule type="duplicateValues" dxfId="11585" priority="11903"/>
  </conditionalFormatting>
  <conditionalFormatting sqref="Q252:R254">
    <cfRule type="duplicateValues" dxfId="11584" priority="11900"/>
    <cfRule type="duplicateValues" dxfId="11583" priority="11901"/>
    <cfRule type="duplicateValues" dxfId="11582" priority="11902"/>
  </conditionalFormatting>
  <conditionalFormatting sqref="R252:R254">
    <cfRule type="duplicateValues" dxfId="11581" priority="11899"/>
  </conditionalFormatting>
  <conditionalFormatting sqref="Q252:Q254">
    <cfRule type="duplicateValues" dxfId="11580" priority="11897"/>
    <cfRule type="duplicateValues" dxfId="11579" priority="11898"/>
  </conditionalFormatting>
  <conditionalFormatting sqref="Q252:Q254">
    <cfRule type="duplicateValues" dxfId="11578" priority="11894"/>
    <cfRule type="duplicateValues" dxfId="11577" priority="11895"/>
    <cfRule type="duplicateValues" dxfId="11576" priority="11896"/>
  </conditionalFormatting>
  <conditionalFormatting sqref="R252:R254">
    <cfRule type="duplicateValues" dxfId="11575" priority="11891"/>
    <cfRule type="duplicateValues" dxfId="11574" priority="11892"/>
    <cfRule type="duplicateValues" dxfId="11573" priority="11893"/>
  </conditionalFormatting>
  <conditionalFormatting sqref="Q252:Q254">
    <cfRule type="duplicateValues" dxfId="11572" priority="11890"/>
  </conditionalFormatting>
  <conditionalFormatting sqref="Q255">
    <cfRule type="duplicateValues" dxfId="11571" priority="11889"/>
  </conditionalFormatting>
  <conditionalFormatting sqref="Q255">
    <cfRule type="duplicateValues" dxfId="11570" priority="11888"/>
  </conditionalFormatting>
  <conditionalFormatting sqref="Q255:R255">
    <cfRule type="duplicateValues" dxfId="11569" priority="11887"/>
  </conditionalFormatting>
  <conditionalFormatting sqref="Q255:R255">
    <cfRule type="duplicateValues" dxfId="11568" priority="11884"/>
    <cfRule type="duplicateValues" dxfId="11567" priority="11885"/>
    <cfRule type="duplicateValues" dxfId="11566" priority="11886"/>
  </conditionalFormatting>
  <conditionalFormatting sqref="R255">
    <cfRule type="duplicateValues" dxfId="11565" priority="11883"/>
  </conditionalFormatting>
  <conditionalFormatting sqref="Q255">
    <cfRule type="duplicateValues" dxfId="11564" priority="11881"/>
    <cfRule type="duplicateValues" dxfId="11563" priority="11882"/>
  </conditionalFormatting>
  <conditionalFormatting sqref="Q255">
    <cfRule type="duplicateValues" dxfId="11562" priority="11878"/>
    <cfRule type="duplicateValues" dxfId="11561" priority="11879"/>
    <cfRule type="duplicateValues" dxfId="11560" priority="11880"/>
  </conditionalFormatting>
  <conditionalFormatting sqref="R255">
    <cfRule type="duplicateValues" dxfId="11559" priority="11875"/>
    <cfRule type="duplicateValues" dxfId="11558" priority="11876"/>
    <cfRule type="duplicateValues" dxfId="11557" priority="11877"/>
  </conditionalFormatting>
  <conditionalFormatting sqref="Q255">
    <cfRule type="duplicateValues" dxfId="11556" priority="11874"/>
  </conditionalFormatting>
  <conditionalFormatting sqref="Q256">
    <cfRule type="duplicateValues" dxfId="11555" priority="11873"/>
  </conditionalFormatting>
  <conditionalFormatting sqref="Q256">
    <cfRule type="duplicateValues" dxfId="11554" priority="11872"/>
  </conditionalFormatting>
  <conditionalFormatting sqref="Q256:R256">
    <cfRule type="duplicateValues" dxfId="11553" priority="11871"/>
  </conditionalFormatting>
  <conditionalFormatting sqref="Q256:R256">
    <cfRule type="duplicateValues" dxfId="11552" priority="11868"/>
    <cfRule type="duplicateValues" dxfId="11551" priority="11869"/>
    <cfRule type="duplicateValues" dxfId="11550" priority="11870"/>
  </conditionalFormatting>
  <conditionalFormatting sqref="R256">
    <cfRule type="duplicateValues" dxfId="11549" priority="11867"/>
  </conditionalFormatting>
  <conditionalFormatting sqref="Q256">
    <cfRule type="duplicateValues" dxfId="11548" priority="11865"/>
    <cfRule type="duplicateValues" dxfId="11547" priority="11866"/>
  </conditionalFormatting>
  <conditionalFormatting sqref="Q256">
    <cfRule type="duplicateValues" dxfId="11546" priority="11862"/>
    <cfRule type="duplicateValues" dxfId="11545" priority="11863"/>
    <cfRule type="duplicateValues" dxfId="11544" priority="11864"/>
  </conditionalFormatting>
  <conditionalFormatting sqref="R256">
    <cfRule type="duplicateValues" dxfId="11543" priority="11859"/>
    <cfRule type="duplicateValues" dxfId="11542" priority="11860"/>
    <cfRule type="duplicateValues" dxfId="11541" priority="11861"/>
  </conditionalFormatting>
  <conditionalFormatting sqref="Q256">
    <cfRule type="duplicateValues" dxfId="11540" priority="11858"/>
  </conditionalFormatting>
  <conditionalFormatting sqref="Q257">
    <cfRule type="duplicateValues" dxfId="11539" priority="11857"/>
  </conditionalFormatting>
  <conditionalFormatting sqref="Q257">
    <cfRule type="duplicateValues" dxfId="11538" priority="11856"/>
  </conditionalFormatting>
  <conditionalFormatting sqref="Q257:R257">
    <cfRule type="duplicateValues" dxfId="11537" priority="11855"/>
  </conditionalFormatting>
  <conditionalFormatting sqref="Q257:R257">
    <cfRule type="duplicateValues" dxfId="11536" priority="11852"/>
    <cfRule type="duplicateValues" dxfId="11535" priority="11853"/>
    <cfRule type="duplicateValues" dxfId="11534" priority="11854"/>
  </conditionalFormatting>
  <conditionalFormatting sqref="R257">
    <cfRule type="duplicateValues" dxfId="11533" priority="11851"/>
  </conditionalFormatting>
  <conditionalFormatting sqref="Q257">
    <cfRule type="duplicateValues" dxfId="11532" priority="11849"/>
    <cfRule type="duplicateValues" dxfId="11531" priority="11850"/>
  </conditionalFormatting>
  <conditionalFormatting sqref="Q257">
    <cfRule type="duplicateValues" dxfId="11530" priority="11846"/>
    <cfRule type="duplicateValues" dxfId="11529" priority="11847"/>
    <cfRule type="duplicateValues" dxfId="11528" priority="11848"/>
  </conditionalFormatting>
  <conditionalFormatting sqref="R257">
    <cfRule type="duplicateValues" dxfId="11527" priority="11843"/>
    <cfRule type="duplicateValues" dxfId="11526" priority="11844"/>
    <cfRule type="duplicateValues" dxfId="11525" priority="11845"/>
  </conditionalFormatting>
  <conditionalFormatting sqref="Q257">
    <cfRule type="duplicateValues" dxfId="11524" priority="11842"/>
  </conditionalFormatting>
  <conditionalFormatting sqref="Q258">
    <cfRule type="duplicateValues" dxfId="11523" priority="11841"/>
  </conditionalFormatting>
  <conditionalFormatting sqref="Q258:R258">
    <cfRule type="duplicateValues" dxfId="11522" priority="11840"/>
  </conditionalFormatting>
  <conditionalFormatting sqref="Q258:R258">
    <cfRule type="duplicateValues" dxfId="11521" priority="11837"/>
    <cfRule type="duplicateValues" dxfId="11520" priority="11838"/>
    <cfRule type="duplicateValues" dxfId="11519" priority="11839"/>
  </conditionalFormatting>
  <conditionalFormatting sqref="R258">
    <cfRule type="duplicateValues" dxfId="11518" priority="11836"/>
  </conditionalFormatting>
  <conditionalFormatting sqref="Q258">
    <cfRule type="duplicateValues" dxfId="11517" priority="11834"/>
    <cfRule type="duplicateValues" dxfId="11516" priority="11835"/>
  </conditionalFormatting>
  <conditionalFormatting sqref="Q258">
    <cfRule type="duplicateValues" dxfId="11515" priority="11831"/>
    <cfRule type="duplicateValues" dxfId="11514" priority="11832"/>
    <cfRule type="duplicateValues" dxfId="11513" priority="11833"/>
  </conditionalFormatting>
  <conditionalFormatting sqref="R258">
    <cfRule type="duplicateValues" dxfId="11512" priority="11828"/>
    <cfRule type="duplicateValues" dxfId="11511" priority="11829"/>
    <cfRule type="duplicateValues" dxfId="11510" priority="11830"/>
  </conditionalFormatting>
  <conditionalFormatting sqref="Q258">
    <cfRule type="duplicateValues" dxfId="11509" priority="11827"/>
  </conditionalFormatting>
  <conditionalFormatting sqref="Q259">
    <cfRule type="duplicateValues" dxfId="11508" priority="11826"/>
  </conditionalFormatting>
  <conditionalFormatting sqref="Q259:R259">
    <cfRule type="duplicateValues" dxfId="11507" priority="11825"/>
  </conditionalFormatting>
  <conditionalFormatting sqref="Q259:R259">
    <cfRule type="duplicateValues" dxfId="11506" priority="11822"/>
    <cfRule type="duplicateValues" dxfId="11505" priority="11823"/>
    <cfRule type="duplicateValues" dxfId="11504" priority="11824"/>
  </conditionalFormatting>
  <conditionalFormatting sqref="R259">
    <cfRule type="duplicateValues" dxfId="11503" priority="11821"/>
  </conditionalFormatting>
  <conditionalFormatting sqref="Q259">
    <cfRule type="duplicateValues" dxfId="11502" priority="11819"/>
    <cfRule type="duplicateValues" dxfId="11501" priority="11820"/>
  </conditionalFormatting>
  <conditionalFormatting sqref="Q259">
    <cfRule type="duplicateValues" dxfId="11500" priority="11816"/>
    <cfRule type="duplicateValues" dxfId="11499" priority="11817"/>
    <cfRule type="duplicateValues" dxfId="11498" priority="11818"/>
  </conditionalFormatting>
  <conditionalFormatting sqref="R259">
    <cfRule type="duplicateValues" dxfId="11497" priority="11813"/>
    <cfRule type="duplicateValues" dxfId="11496" priority="11814"/>
    <cfRule type="duplicateValues" dxfId="11495" priority="11815"/>
  </conditionalFormatting>
  <conditionalFormatting sqref="Q259">
    <cfRule type="duplicateValues" dxfId="11494" priority="11812"/>
  </conditionalFormatting>
  <conditionalFormatting sqref="Q260">
    <cfRule type="duplicateValues" dxfId="11493" priority="11811"/>
  </conditionalFormatting>
  <conditionalFormatting sqref="Q260:R260">
    <cfRule type="duplicateValues" dxfId="11492" priority="11810"/>
  </conditionalFormatting>
  <conditionalFormatting sqref="Q260:R260">
    <cfRule type="duplicateValues" dxfId="11491" priority="11807"/>
    <cfRule type="duplicateValues" dxfId="11490" priority="11808"/>
    <cfRule type="duplicateValues" dxfId="11489" priority="11809"/>
  </conditionalFormatting>
  <conditionalFormatting sqref="R260">
    <cfRule type="duplicateValues" dxfId="11488" priority="11806"/>
  </conditionalFormatting>
  <conditionalFormatting sqref="Q260">
    <cfRule type="duplicateValues" dxfId="11487" priority="11804"/>
    <cfRule type="duplicateValues" dxfId="11486" priority="11805"/>
  </conditionalFormatting>
  <conditionalFormatting sqref="Q260">
    <cfRule type="duplicateValues" dxfId="11485" priority="11801"/>
    <cfRule type="duplicateValues" dxfId="11484" priority="11802"/>
    <cfRule type="duplicateValues" dxfId="11483" priority="11803"/>
  </conditionalFormatting>
  <conditionalFormatting sqref="R260">
    <cfRule type="duplicateValues" dxfId="11482" priority="11798"/>
    <cfRule type="duplicateValues" dxfId="11481" priority="11799"/>
    <cfRule type="duplicateValues" dxfId="11480" priority="11800"/>
  </conditionalFormatting>
  <conditionalFormatting sqref="Q260">
    <cfRule type="duplicateValues" dxfId="11479" priority="11797"/>
  </conditionalFormatting>
  <conditionalFormatting sqref="Q261">
    <cfRule type="duplicateValues" dxfId="11478" priority="11796"/>
  </conditionalFormatting>
  <conditionalFormatting sqref="Q261:R261">
    <cfRule type="duplicateValues" dxfId="11477" priority="11795"/>
  </conditionalFormatting>
  <conditionalFormatting sqref="Q261:R261">
    <cfRule type="duplicateValues" dxfId="11476" priority="11792"/>
    <cfRule type="duplicateValues" dxfId="11475" priority="11793"/>
    <cfRule type="duplicateValues" dxfId="11474" priority="11794"/>
  </conditionalFormatting>
  <conditionalFormatting sqref="R261">
    <cfRule type="duplicateValues" dxfId="11473" priority="11791"/>
  </conditionalFormatting>
  <conditionalFormatting sqref="Q261">
    <cfRule type="duplicateValues" dxfId="11472" priority="11789"/>
    <cfRule type="duplicateValues" dxfId="11471" priority="11790"/>
  </conditionalFormatting>
  <conditionalFormatting sqref="Q261">
    <cfRule type="duplicateValues" dxfId="11470" priority="11786"/>
    <cfRule type="duplicateValues" dxfId="11469" priority="11787"/>
    <cfRule type="duplicateValues" dxfId="11468" priority="11788"/>
  </conditionalFormatting>
  <conditionalFormatting sqref="R261">
    <cfRule type="duplicateValues" dxfId="11467" priority="11783"/>
    <cfRule type="duplicateValues" dxfId="11466" priority="11784"/>
    <cfRule type="duplicateValues" dxfId="11465" priority="11785"/>
  </conditionalFormatting>
  <conditionalFormatting sqref="Q261">
    <cfRule type="duplicateValues" dxfId="11464" priority="11782"/>
  </conditionalFormatting>
  <conditionalFormatting sqref="Q262">
    <cfRule type="duplicateValues" dxfId="11463" priority="11781"/>
  </conditionalFormatting>
  <conditionalFormatting sqref="Q262">
    <cfRule type="duplicateValues" dxfId="11462" priority="11780"/>
  </conditionalFormatting>
  <conditionalFormatting sqref="Q262:R262">
    <cfRule type="duplicateValues" dxfId="11461" priority="11779"/>
  </conditionalFormatting>
  <conditionalFormatting sqref="Q262:R262">
    <cfRule type="duplicateValues" dxfId="11460" priority="11776"/>
    <cfRule type="duplicateValues" dxfId="11459" priority="11777"/>
    <cfRule type="duplicateValues" dxfId="11458" priority="11778"/>
  </conditionalFormatting>
  <conditionalFormatting sqref="R262">
    <cfRule type="duplicateValues" dxfId="11457" priority="11775"/>
  </conditionalFormatting>
  <conditionalFormatting sqref="Q262">
    <cfRule type="duplicateValues" dxfId="11456" priority="11773"/>
    <cfRule type="duplicateValues" dxfId="11455" priority="11774"/>
  </conditionalFormatting>
  <conditionalFormatting sqref="Q262">
    <cfRule type="duplicateValues" dxfId="11454" priority="11770"/>
    <cfRule type="duplicateValues" dxfId="11453" priority="11771"/>
    <cfRule type="duplicateValues" dxfId="11452" priority="11772"/>
  </conditionalFormatting>
  <conditionalFormatting sqref="R262">
    <cfRule type="duplicateValues" dxfId="11451" priority="11767"/>
    <cfRule type="duplicateValues" dxfId="11450" priority="11768"/>
    <cfRule type="duplicateValues" dxfId="11449" priority="11769"/>
  </conditionalFormatting>
  <conditionalFormatting sqref="Q262">
    <cfRule type="duplicateValues" dxfId="11448" priority="11766"/>
  </conditionalFormatting>
  <conditionalFormatting sqref="Q263">
    <cfRule type="duplicateValues" dxfId="11447" priority="11765"/>
  </conditionalFormatting>
  <conditionalFormatting sqref="Q263:R263">
    <cfRule type="duplicateValues" dxfId="11446" priority="11764"/>
  </conditionalFormatting>
  <conditionalFormatting sqref="Q263:R263">
    <cfRule type="duplicateValues" dxfId="11445" priority="11761"/>
    <cfRule type="duplicateValues" dxfId="11444" priority="11762"/>
    <cfRule type="duplicateValues" dxfId="11443" priority="11763"/>
  </conditionalFormatting>
  <conditionalFormatting sqref="R263">
    <cfRule type="duplicateValues" dxfId="11442" priority="11760"/>
  </conditionalFormatting>
  <conditionalFormatting sqref="Q263">
    <cfRule type="duplicateValues" dxfId="11441" priority="11758"/>
    <cfRule type="duplicateValues" dxfId="11440" priority="11759"/>
  </conditionalFormatting>
  <conditionalFormatting sqref="Q263">
    <cfRule type="duplicateValues" dxfId="11439" priority="11755"/>
    <cfRule type="duplicateValues" dxfId="11438" priority="11756"/>
    <cfRule type="duplicateValues" dxfId="11437" priority="11757"/>
  </conditionalFormatting>
  <conditionalFormatting sqref="R263">
    <cfRule type="duplicateValues" dxfId="11436" priority="11752"/>
    <cfRule type="duplicateValues" dxfId="11435" priority="11753"/>
    <cfRule type="duplicateValues" dxfId="11434" priority="11754"/>
  </conditionalFormatting>
  <conditionalFormatting sqref="Q263">
    <cfRule type="duplicateValues" dxfId="11433" priority="11751"/>
  </conditionalFormatting>
  <conditionalFormatting sqref="Q264">
    <cfRule type="duplicateValues" dxfId="11432" priority="11750"/>
  </conditionalFormatting>
  <conditionalFormatting sqref="Q264:R264">
    <cfRule type="duplicateValues" dxfId="11431" priority="11749"/>
  </conditionalFormatting>
  <conditionalFormatting sqref="Q264:R264">
    <cfRule type="duplicateValues" dxfId="11430" priority="11746"/>
    <cfRule type="duplicateValues" dxfId="11429" priority="11747"/>
    <cfRule type="duplicateValues" dxfId="11428" priority="11748"/>
  </conditionalFormatting>
  <conditionalFormatting sqref="R264">
    <cfRule type="duplicateValues" dxfId="11427" priority="11745"/>
  </conditionalFormatting>
  <conditionalFormatting sqref="Q264">
    <cfRule type="duplicateValues" dxfId="11426" priority="11743"/>
    <cfRule type="duplicateValues" dxfId="11425" priority="11744"/>
  </conditionalFormatting>
  <conditionalFormatting sqref="Q264">
    <cfRule type="duplicateValues" dxfId="11424" priority="11740"/>
    <cfRule type="duplicateValues" dxfId="11423" priority="11741"/>
    <cfRule type="duplicateValues" dxfId="11422" priority="11742"/>
  </conditionalFormatting>
  <conditionalFormatting sqref="R264">
    <cfRule type="duplicateValues" dxfId="11421" priority="11737"/>
    <cfRule type="duplicateValues" dxfId="11420" priority="11738"/>
    <cfRule type="duplicateValues" dxfId="11419" priority="11739"/>
  </conditionalFormatting>
  <conditionalFormatting sqref="Q264">
    <cfRule type="duplicateValues" dxfId="11418" priority="11736"/>
  </conditionalFormatting>
  <conditionalFormatting sqref="Q265">
    <cfRule type="duplicateValues" dxfId="11417" priority="11735"/>
  </conditionalFormatting>
  <conditionalFormatting sqref="Q265:R265">
    <cfRule type="duplicateValues" dxfId="11416" priority="11734"/>
  </conditionalFormatting>
  <conditionalFormatting sqref="Q265:R265">
    <cfRule type="duplicateValues" dxfId="11415" priority="11731"/>
    <cfRule type="duplicateValues" dxfId="11414" priority="11732"/>
    <cfRule type="duplicateValues" dxfId="11413" priority="11733"/>
  </conditionalFormatting>
  <conditionalFormatting sqref="R265">
    <cfRule type="duplicateValues" dxfId="11412" priority="11730"/>
  </conditionalFormatting>
  <conditionalFormatting sqref="Q265">
    <cfRule type="duplicateValues" dxfId="11411" priority="11728"/>
    <cfRule type="duplicateValues" dxfId="11410" priority="11729"/>
  </conditionalFormatting>
  <conditionalFormatting sqref="Q265">
    <cfRule type="duplicateValues" dxfId="11409" priority="11725"/>
    <cfRule type="duplicateValues" dxfId="11408" priority="11726"/>
    <cfRule type="duplicateValues" dxfId="11407" priority="11727"/>
  </conditionalFormatting>
  <conditionalFormatting sqref="R265">
    <cfRule type="duplicateValues" dxfId="11406" priority="11722"/>
    <cfRule type="duplicateValues" dxfId="11405" priority="11723"/>
    <cfRule type="duplicateValues" dxfId="11404" priority="11724"/>
  </conditionalFormatting>
  <conditionalFormatting sqref="Q265">
    <cfRule type="duplicateValues" dxfId="11403" priority="11721"/>
  </conditionalFormatting>
  <conditionalFormatting sqref="Q266">
    <cfRule type="duplicateValues" dxfId="11402" priority="11720"/>
  </conditionalFormatting>
  <conditionalFormatting sqref="Q266:R266">
    <cfRule type="duplicateValues" dxfId="11401" priority="11719"/>
  </conditionalFormatting>
  <conditionalFormatting sqref="Q266:R266">
    <cfRule type="duplicateValues" dxfId="11400" priority="11716"/>
    <cfRule type="duplicateValues" dxfId="11399" priority="11717"/>
    <cfRule type="duplicateValues" dxfId="11398" priority="11718"/>
  </conditionalFormatting>
  <conditionalFormatting sqref="R266">
    <cfRule type="duplicateValues" dxfId="11397" priority="11715"/>
  </conditionalFormatting>
  <conditionalFormatting sqref="Q266">
    <cfRule type="duplicateValues" dxfId="11396" priority="11713"/>
    <cfRule type="duplicateValues" dxfId="11395" priority="11714"/>
  </conditionalFormatting>
  <conditionalFormatting sqref="Q266">
    <cfRule type="duplicateValues" dxfId="11394" priority="11710"/>
    <cfRule type="duplicateValues" dxfId="11393" priority="11711"/>
    <cfRule type="duplicateValues" dxfId="11392" priority="11712"/>
  </conditionalFormatting>
  <conditionalFormatting sqref="R266">
    <cfRule type="duplicateValues" dxfId="11391" priority="11707"/>
    <cfRule type="duplicateValues" dxfId="11390" priority="11708"/>
    <cfRule type="duplicateValues" dxfId="11389" priority="11709"/>
  </conditionalFormatting>
  <conditionalFormatting sqref="Q266">
    <cfRule type="duplicateValues" dxfId="11388" priority="11706"/>
  </conditionalFormatting>
  <conditionalFormatting sqref="Q267">
    <cfRule type="duplicateValues" dxfId="11387" priority="11705"/>
  </conditionalFormatting>
  <conditionalFormatting sqref="Q267:R267">
    <cfRule type="duplicateValues" dxfId="11386" priority="11704"/>
  </conditionalFormatting>
  <conditionalFormatting sqref="Q267:R267">
    <cfRule type="duplicateValues" dxfId="11385" priority="11701"/>
    <cfRule type="duplicateValues" dxfId="11384" priority="11702"/>
    <cfRule type="duplicateValues" dxfId="11383" priority="11703"/>
  </conditionalFormatting>
  <conditionalFormatting sqref="R267">
    <cfRule type="duplicateValues" dxfId="11382" priority="11700"/>
  </conditionalFormatting>
  <conditionalFormatting sqref="Q267">
    <cfRule type="duplicateValues" dxfId="11381" priority="11698"/>
    <cfRule type="duplicateValues" dxfId="11380" priority="11699"/>
  </conditionalFormatting>
  <conditionalFormatting sqref="Q267">
    <cfRule type="duplicateValues" dxfId="11379" priority="11695"/>
    <cfRule type="duplicateValues" dxfId="11378" priority="11696"/>
    <cfRule type="duplicateValues" dxfId="11377" priority="11697"/>
  </conditionalFormatting>
  <conditionalFormatting sqref="R267">
    <cfRule type="duplicateValues" dxfId="11376" priority="11692"/>
    <cfRule type="duplicateValues" dxfId="11375" priority="11693"/>
    <cfRule type="duplicateValues" dxfId="11374" priority="11694"/>
  </conditionalFormatting>
  <conditionalFormatting sqref="Q267">
    <cfRule type="duplicateValues" dxfId="11373" priority="11691"/>
  </conditionalFormatting>
  <conditionalFormatting sqref="Q268">
    <cfRule type="duplicateValues" dxfId="11372" priority="11690"/>
  </conditionalFormatting>
  <conditionalFormatting sqref="Q268:R268">
    <cfRule type="duplicateValues" dxfId="11371" priority="11689"/>
  </conditionalFormatting>
  <conditionalFormatting sqref="Q268:R268">
    <cfRule type="duplicateValues" dxfId="11370" priority="11686"/>
    <cfRule type="duplicateValues" dxfId="11369" priority="11687"/>
    <cfRule type="duplicateValues" dxfId="11368" priority="11688"/>
  </conditionalFormatting>
  <conditionalFormatting sqref="R268">
    <cfRule type="duplicateValues" dxfId="11367" priority="11685"/>
  </conditionalFormatting>
  <conditionalFormatting sqref="Q268">
    <cfRule type="duplicateValues" dxfId="11366" priority="11683"/>
    <cfRule type="duplicateValues" dxfId="11365" priority="11684"/>
  </conditionalFormatting>
  <conditionalFormatting sqref="Q268">
    <cfRule type="duplicateValues" dxfId="11364" priority="11680"/>
    <cfRule type="duplicateValues" dxfId="11363" priority="11681"/>
    <cfRule type="duplicateValues" dxfId="11362" priority="11682"/>
  </conditionalFormatting>
  <conditionalFormatting sqref="R268">
    <cfRule type="duplicateValues" dxfId="11361" priority="11677"/>
    <cfRule type="duplicateValues" dxfId="11360" priority="11678"/>
    <cfRule type="duplicateValues" dxfId="11359" priority="11679"/>
  </conditionalFormatting>
  <conditionalFormatting sqref="Q268">
    <cfRule type="duplicateValues" dxfId="11358" priority="11676"/>
  </conditionalFormatting>
  <conditionalFormatting sqref="Q269">
    <cfRule type="duplicateValues" dxfId="11357" priority="11675"/>
  </conditionalFormatting>
  <conditionalFormatting sqref="Q269:R269">
    <cfRule type="duplicateValues" dxfId="11356" priority="11674"/>
  </conditionalFormatting>
  <conditionalFormatting sqref="Q269:R269">
    <cfRule type="duplicateValues" dxfId="11355" priority="11671"/>
    <cfRule type="duplicateValues" dxfId="11354" priority="11672"/>
    <cfRule type="duplicateValues" dxfId="11353" priority="11673"/>
  </conditionalFormatting>
  <conditionalFormatting sqref="R269">
    <cfRule type="duplicateValues" dxfId="11352" priority="11670"/>
  </conditionalFormatting>
  <conditionalFormatting sqref="Q269">
    <cfRule type="duplicateValues" dxfId="11351" priority="11668"/>
    <cfRule type="duplicateValues" dxfId="11350" priority="11669"/>
  </conditionalFormatting>
  <conditionalFormatting sqref="Q269">
    <cfRule type="duplicateValues" dxfId="11349" priority="11665"/>
    <cfRule type="duplicateValues" dxfId="11348" priority="11666"/>
    <cfRule type="duplicateValues" dxfId="11347" priority="11667"/>
  </conditionalFormatting>
  <conditionalFormatting sqref="R269">
    <cfRule type="duplicateValues" dxfId="11346" priority="11662"/>
    <cfRule type="duplicateValues" dxfId="11345" priority="11663"/>
    <cfRule type="duplicateValues" dxfId="11344" priority="11664"/>
  </conditionalFormatting>
  <conditionalFormatting sqref="Q269">
    <cfRule type="duplicateValues" dxfId="11343" priority="11661"/>
  </conditionalFormatting>
  <conditionalFormatting sqref="Q270:R271">
    <cfRule type="duplicateValues" dxfId="11342" priority="11660"/>
  </conditionalFormatting>
  <conditionalFormatting sqref="Q270:R271">
    <cfRule type="duplicateValues" dxfId="11341" priority="11657"/>
    <cfRule type="duplicateValues" dxfId="11340" priority="11658"/>
    <cfRule type="duplicateValues" dxfId="11339" priority="11659"/>
  </conditionalFormatting>
  <conditionalFormatting sqref="R270:R271">
    <cfRule type="duplicateValues" dxfId="11338" priority="11656"/>
  </conditionalFormatting>
  <conditionalFormatting sqref="Q270:Q271">
    <cfRule type="duplicateValues" dxfId="11337" priority="11655"/>
  </conditionalFormatting>
  <conditionalFormatting sqref="Q270:Q271">
    <cfRule type="duplicateValues" dxfId="11336" priority="11653"/>
    <cfRule type="duplicateValues" dxfId="11335" priority="11654"/>
  </conditionalFormatting>
  <conditionalFormatting sqref="Q270:Q271">
    <cfRule type="duplicateValues" dxfId="11334" priority="11650"/>
    <cfRule type="duplicateValues" dxfId="11333" priority="11651"/>
    <cfRule type="duplicateValues" dxfId="11332" priority="11652"/>
  </conditionalFormatting>
  <conditionalFormatting sqref="R270:R271">
    <cfRule type="duplicateValues" dxfId="11331" priority="11647"/>
    <cfRule type="duplicateValues" dxfId="11330" priority="11648"/>
    <cfRule type="duplicateValues" dxfId="11329" priority="11649"/>
  </conditionalFormatting>
  <conditionalFormatting sqref="Q270:Q271">
    <cfRule type="duplicateValues" dxfId="11328" priority="11646"/>
  </conditionalFormatting>
  <conditionalFormatting sqref="Q272:R273">
    <cfRule type="duplicateValues" dxfId="11327" priority="11645"/>
  </conditionalFormatting>
  <conditionalFormatting sqref="Q272:R273">
    <cfRule type="duplicateValues" dxfId="11326" priority="11642"/>
    <cfRule type="duplicateValues" dxfId="11325" priority="11643"/>
    <cfRule type="duplicateValues" dxfId="11324" priority="11644"/>
  </conditionalFormatting>
  <conditionalFormatting sqref="R272:R273">
    <cfRule type="duplicateValues" dxfId="11323" priority="11641"/>
  </conditionalFormatting>
  <conditionalFormatting sqref="Q272:Q273">
    <cfRule type="duplicateValues" dxfId="11322" priority="11640"/>
  </conditionalFormatting>
  <conditionalFormatting sqref="Q272:Q273">
    <cfRule type="duplicateValues" dxfId="11321" priority="11638"/>
    <cfRule type="duplicateValues" dxfId="11320" priority="11639"/>
  </conditionalFormatting>
  <conditionalFormatting sqref="Q272:Q273">
    <cfRule type="duplicateValues" dxfId="11319" priority="11635"/>
    <cfRule type="duplicateValues" dxfId="11318" priority="11636"/>
    <cfRule type="duplicateValues" dxfId="11317" priority="11637"/>
  </conditionalFormatting>
  <conditionalFormatting sqref="R272:R273">
    <cfRule type="duplicateValues" dxfId="11316" priority="11632"/>
    <cfRule type="duplicateValues" dxfId="11315" priority="11633"/>
    <cfRule type="duplicateValues" dxfId="11314" priority="11634"/>
  </conditionalFormatting>
  <conditionalFormatting sqref="Q272:Q273">
    <cfRule type="duplicateValues" dxfId="11313" priority="11631"/>
  </conditionalFormatting>
  <conditionalFormatting sqref="Q274:R275">
    <cfRule type="duplicateValues" dxfId="11312" priority="11630"/>
  </conditionalFormatting>
  <conditionalFormatting sqref="Q274:R275">
    <cfRule type="duplicateValues" dxfId="11311" priority="11627"/>
    <cfRule type="duplicateValues" dxfId="11310" priority="11628"/>
    <cfRule type="duplicateValues" dxfId="11309" priority="11629"/>
  </conditionalFormatting>
  <conditionalFormatting sqref="R274:R275">
    <cfRule type="duplicateValues" dxfId="11308" priority="11626"/>
  </conditionalFormatting>
  <conditionalFormatting sqref="Q274:Q275">
    <cfRule type="duplicateValues" dxfId="11307" priority="11625"/>
  </conditionalFormatting>
  <conditionalFormatting sqref="Q274:Q275">
    <cfRule type="duplicateValues" dxfId="11306" priority="11623"/>
    <cfRule type="duplicateValues" dxfId="11305" priority="11624"/>
  </conditionalFormatting>
  <conditionalFormatting sqref="Q274:Q275">
    <cfRule type="duplicateValues" dxfId="11304" priority="11620"/>
    <cfRule type="duplicateValues" dxfId="11303" priority="11621"/>
    <cfRule type="duplicateValues" dxfId="11302" priority="11622"/>
  </conditionalFormatting>
  <conditionalFormatting sqref="R274:R275">
    <cfRule type="duplicateValues" dxfId="11301" priority="11617"/>
    <cfRule type="duplicateValues" dxfId="11300" priority="11618"/>
    <cfRule type="duplicateValues" dxfId="11299" priority="11619"/>
  </conditionalFormatting>
  <conditionalFormatting sqref="Q274:Q275">
    <cfRule type="duplicateValues" dxfId="11298" priority="11616"/>
  </conditionalFormatting>
  <conditionalFormatting sqref="Q276:R276">
    <cfRule type="duplicateValues" dxfId="11297" priority="11615"/>
  </conditionalFormatting>
  <conditionalFormatting sqref="Q276:R276">
    <cfRule type="duplicateValues" dxfId="11296" priority="11612"/>
    <cfRule type="duplicateValues" dxfId="11295" priority="11613"/>
    <cfRule type="duplicateValues" dxfId="11294" priority="11614"/>
  </conditionalFormatting>
  <conditionalFormatting sqref="R276">
    <cfRule type="duplicateValues" dxfId="11293" priority="11611"/>
  </conditionalFormatting>
  <conditionalFormatting sqref="Q276">
    <cfRule type="duplicateValues" dxfId="11292" priority="11610"/>
  </conditionalFormatting>
  <conditionalFormatting sqref="Q276">
    <cfRule type="duplicateValues" dxfId="11291" priority="11608"/>
    <cfRule type="duplicateValues" dxfId="11290" priority="11609"/>
  </conditionalFormatting>
  <conditionalFormatting sqref="Q276">
    <cfRule type="duplicateValues" dxfId="11289" priority="11605"/>
    <cfRule type="duplicateValues" dxfId="11288" priority="11606"/>
    <cfRule type="duplicateValues" dxfId="11287" priority="11607"/>
  </conditionalFormatting>
  <conditionalFormatting sqref="R276">
    <cfRule type="duplicateValues" dxfId="11286" priority="11602"/>
    <cfRule type="duplicateValues" dxfId="11285" priority="11603"/>
    <cfRule type="duplicateValues" dxfId="11284" priority="11604"/>
  </conditionalFormatting>
  <conditionalFormatting sqref="Q276">
    <cfRule type="duplicateValues" dxfId="11283" priority="11601"/>
  </conditionalFormatting>
  <conditionalFormatting sqref="Q277:R277">
    <cfRule type="duplicateValues" dxfId="11282" priority="11600"/>
  </conditionalFormatting>
  <conditionalFormatting sqref="Q277:R277">
    <cfRule type="duplicateValues" dxfId="11281" priority="11597"/>
    <cfRule type="duplicateValues" dxfId="11280" priority="11598"/>
    <cfRule type="duplicateValues" dxfId="11279" priority="11599"/>
  </conditionalFormatting>
  <conditionalFormatting sqref="R277">
    <cfRule type="duplicateValues" dxfId="11278" priority="11596"/>
  </conditionalFormatting>
  <conditionalFormatting sqref="Q277">
    <cfRule type="duplicateValues" dxfId="11277" priority="11595"/>
  </conditionalFormatting>
  <conditionalFormatting sqref="Q277">
    <cfRule type="duplicateValues" dxfId="11276" priority="11593"/>
    <cfRule type="duplicateValues" dxfId="11275" priority="11594"/>
  </conditionalFormatting>
  <conditionalFormatting sqref="Q277">
    <cfRule type="duplicateValues" dxfId="11274" priority="11590"/>
    <cfRule type="duplicateValues" dxfId="11273" priority="11591"/>
    <cfRule type="duplicateValues" dxfId="11272" priority="11592"/>
  </conditionalFormatting>
  <conditionalFormatting sqref="R277">
    <cfRule type="duplicateValues" dxfId="11271" priority="11587"/>
    <cfRule type="duplicateValues" dxfId="11270" priority="11588"/>
    <cfRule type="duplicateValues" dxfId="11269" priority="11589"/>
  </conditionalFormatting>
  <conditionalFormatting sqref="Q277">
    <cfRule type="duplicateValues" dxfId="11268" priority="11586"/>
  </conditionalFormatting>
  <conditionalFormatting sqref="Q278:R279">
    <cfRule type="duplicateValues" dxfId="11267" priority="11585"/>
  </conditionalFormatting>
  <conditionalFormatting sqref="Q278:R279">
    <cfRule type="duplicateValues" dxfId="11266" priority="11582"/>
    <cfRule type="duplicateValues" dxfId="11265" priority="11583"/>
    <cfRule type="duplicateValues" dxfId="11264" priority="11584"/>
  </conditionalFormatting>
  <conditionalFormatting sqref="R278:R279">
    <cfRule type="duplicateValues" dxfId="11263" priority="11581"/>
  </conditionalFormatting>
  <conditionalFormatting sqref="Q278:Q279">
    <cfRule type="duplicateValues" dxfId="11262" priority="11580"/>
  </conditionalFormatting>
  <conditionalFormatting sqref="Q278:Q279">
    <cfRule type="duplicateValues" dxfId="11261" priority="11578"/>
    <cfRule type="duplicateValues" dxfId="11260" priority="11579"/>
  </conditionalFormatting>
  <conditionalFormatting sqref="Q278:Q279">
    <cfRule type="duplicateValues" dxfId="11259" priority="11575"/>
    <cfRule type="duplicateValues" dxfId="11258" priority="11576"/>
    <cfRule type="duplicateValues" dxfId="11257" priority="11577"/>
  </conditionalFormatting>
  <conditionalFormatting sqref="R278:R279">
    <cfRule type="duplicateValues" dxfId="11256" priority="11572"/>
    <cfRule type="duplicateValues" dxfId="11255" priority="11573"/>
    <cfRule type="duplicateValues" dxfId="11254" priority="11574"/>
  </conditionalFormatting>
  <conditionalFormatting sqref="Q278:Q279">
    <cfRule type="duplicateValues" dxfId="11253" priority="11571"/>
  </conditionalFormatting>
  <conditionalFormatting sqref="Q280">
    <cfRule type="duplicateValues" dxfId="11252" priority="11570"/>
  </conditionalFormatting>
  <conditionalFormatting sqref="Q280">
    <cfRule type="duplicateValues" dxfId="11251" priority="11569"/>
  </conditionalFormatting>
  <conditionalFormatting sqref="R280">
    <cfRule type="duplicateValues" dxfId="11250" priority="11568"/>
  </conditionalFormatting>
  <conditionalFormatting sqref="Q280">
    <cfRule type="duplicateValues" dxfId="11249" priority="11566"/>
    <cfRule type="duplicateValues" dxfId="11248" priority="11567"/>
  </conditionalFormatting>
  <conditionalFormatting sqref="Q280">
    <cfRule type="duplicateValues" dxfId="11247" priority="11565"/>
  </conditionalFormatting>
  <conditionalFormatting sqref="Q280">
    <cfRule type="duplicateValues" dxfId="11246" priority="11564"/>
  </conditionalFormatting>
  <conditionalFormatting sqref="Q280">
    <cfRule type="duplicateValues" dxfId="11245" priority="11563"/>
  </conditionalFormatting>
  <conditionalFormatting sqref="Q280">
    <cfRule type="duplicateValues" dxfId="11244" priority="11562"/>
  </conditionalFormatting>
  <conditionalFormatting sqref="Q280">
    <cfRule type="duplicateValues" dxfId="11243" priority="11561"/>
  </conditionalFormatting>
  <conditionalFormatting sqref="Q280">
    <cfRule type="duplicateValues" dxfId="11242" priority="11560"/>
  </conditionalFormatting>
  <conditionalFormatting sqref="Q280">
    <cfRule type="duplicateValues" dxfId="11241" priority="11559"/>
  </conditionalFormatting>
  <conditionalFormatting sqref="Q280">
    <cfRule type="duplicateValues" dxfId="11240" priority="11558"/>
  </conditionalFormatting>
  <conditionalFormatting sqref="Q280:R280">
    <cfRule type="duplicateValues" dxfId="11239" priority="11557"/>
  </conditionalFormatting>
  <conditionalFormatting sqref="Q280">
    <cfRule type="duplicateValues" dxfId="11238" priority="11556"/>
  </conditionalFormatting>
  <conditionalFormatting sqref="R280">
    <cfRule type="duplicateValues" dxfId="11237" priority="11555"/>
  </conditionalFormatting>
  <conditionalFormatting sqref="Q280:R280">
    <cfRule type="duplicateValues" dxfId="11236" priority="11552"/>
    <cfRule type="duplicateValues" dxfId="11235" priority="11553"/>
    <cfRule type="duplicateValues" dxfId="11234" priority="11554"/>
  </conditionalFormatting>
  <conditionalFormatting sqref="Q280">
    <cfRule type="duplicateValues" dxfId="11233" priority="11551"/>
  </conditionalFormatting>
  <conditionalFormatting sqref="Q281">
    <cfRule type="duplicateValues" dxfId="11232" priority="11550"/>
  </conditionalFormatting>
  <conditionalFormatting sqref="Q281">
    <cfRule type="duplicateValues" dxfId="11231" priority="11549"/>
  </conditionalFormatting>
  <conditionalFormatting sqref="Q281">
    <cfRule type="duplicateValues" dxfId="11230" priority="11548"/>
  </conditionalFormatting>
  <conditionalFormatting sqref="Q281">
    <cfRule type="duplicateValues" dxfId="11229" priority="11547"/>
  </conditionalFormatting>
  <conditionalFormatting sqref="Q281:R281">
    <cfRule type="duplicateValues" dxfId="11228" priority="11546"/>
  </conditionalFormatting>
  <conditionalFormatting sqref="Q281:R281">
    <cfRule type="duplicateValues" dxfId="11227" priority="11543"/>
    <cfRule type="duplicateValues" dxfId="11226" priority="11544"/>
    <cfRule type="duplicateValues" dxfId="11225" priority="11545"/>
  </conditionalFormatting>
  <conditionalFormatting sqref="R281">
    <cfRule type="duplicateValues" dxfId="11224" priority="11542"/>
  </conditionalFormatting>
  <conditionalFormatting sqref="Q281">
    <cfRule type="duplicateValues" dxfId="11223" priority="11541"/>
  </conditionalFormatting>
  <conditionalFormatting sqref="Q281">
    <cfRule type="duplicateValues" dxfId="11222" priority="11538"/>
    <cfRule type="duplicateValues" dxfId="11221" priority="11539"/>
    <cfRule type="duplicateValues" dxfId="11220" priority="11540"/>
  </conditionalFormatting>
  <conditionalFormatting sqref="R281">
    <cfRule type="duplicateValues" dxfId="11219" priority="11535"/>
    <cfRule type="duplicateValues" dxfId="11218" priority="11536"/>
    <cfRule type="duplicateValues" dxfId="11217" priority="11537"/>
  </conditionalFormatting>
  <conditionalFormatting sqref="Q281">
    <cfRule type="duplicateValues" dxfId="11216" priority="11533"/>
    <cfRule type="duplicateValues" dxfId="11215" priority="11534"/>
  </conditionalFormatting>
  <conditionalFormatting sqref="Q281">
    <cfRule type="duplicateValues" dxfId="11214" priority="11532"/>
  </conditionalFormatting>
  <conditionalFormatting sqref="Q282">
    <cfRule type="duplicateValues" dxfId="11213" priority="11531"/>
  </conditionalFormatting>
  <conditionalFormatting sqref="Q282:R282">
    <cfRule type="duplicateValues" dxfId="11212" priority="11530"/>
  </conditionalFormatting>
  <conditionalFormatting sqref="Q282:R282">
    <cfRule type="duplicateValues" dxfId="11211" priority="11527"/>
    <cfRule type="duplicateValues" dxfId="11210" priority="11528"/>
    <cfRule type="duplicateValues" dxfId="11209" priority="11529"/>
  </conditionalFormatting>
  <conditionalFormatting sqref="R282">
    <cfRule type="duplicateValues" dxfId="11208" priority="11526"/>
  </conditionalFormatting>
  <conditionalFormatting sqref="Q282">
    <cfRule type="duplicateValues" dxfId="11207" priority="11524"/>
    <cfRule type="duplicateValues" dxfId="11206" priority="11525"/>
  </conditionalFormatting>
  <conditionalFormatting sqref="Q282">
    <cfRule type="duplicateValues" dxfId="11205" priority="11521"/>
    <cfRule type="duplicateValues" dxfId="11204" priority="11522"/>
    <cfRule type="duplicateValues" dxfId="11203" priority="11523"/>
  </conditionalFormatting>
  <conditionalFormatting sqref="R282">
    <cfRule type="duplicateValues" dxfId="11202" priority="11518"/>
    <cfRule type="duplicateValues" dxfId="11201" priority="11519"/>
    <cfRule type="duplicateValues" dxfId="11200" priority="11520"/>
  </conditionalFormatting>
  <conditionalFormatting sqref="Q282">
    <cfRule type="duplicateValues" dxfId="11199" priority="11517"/>
  </conditionalFormatting>
  <conditionalFormatting sqref="Q283:R283">
    <cfRule type="duplicateValues" dxfId="11198" priority="11514"/>
    <cfRule type="duplicateValues" dxfId="11197" priority="11515"/>
    <cfRule type="duplicateValues" dxfId="11196" priority="11516"/>
  </conditionalFormatting>
  <conditionalFormatting sqref="R283">
    <cfRule type="duplicateValues" dxfId="11195" priority="11513"/>
  </conditionalFormatting>
  <conditionalFormatting sqref="Q283:R283">
    <cfRule type="duplicateValues" dxfId="11194" priority="11512"/>
  </conditionalFormatting>
  <conditionalFormatting sqref="Q283">
    <cfRule type="duplicateValues" dxfId="11193" priority="11511"/>
  </conditionalFormatting>
  <conditionalFormatting sqref="Q283">
    <cfRule type="duplicateValues" dxfId="11192" priority="11510"/>
  </conditionalFormatting>
  <conditionalFormatting sqref="Q283">
    <cfRule type="duplicateValues" dxfId="11191" priority="11509"/>
  </conditionalFormatting>
  <conditionalFormatting sqref="Q283">
    <cfRule type="duplicateValues" dxfId="11190" priority="11508"/>
  </conditionalFormatting>
  <conditionalFormatting sqref="R283">
    <cfRule type="duplicateValues" dxfId="11189" priority="11507"/>
  </conditionalFormatting>
  <conditionalFormatting sqref="Q283">
    <cfRule type="duplicateValues" dxfId="11188" priority="11505"/>
    <cfRule type="duplicateValues" dxfId="11187" priority="11506"/>
  </conditionalFormatting>
  <conditionalFormatting sqref="Q283">
    <cfRule type="duplicateValues" dxfId="11186" priority="11504"/>
  </conditionalFormatting>
  <conditionalFormatting sqref="Q283">
    <cfRule type="duplicateValues" dxfId="11185" priority="11503"/>
  </conditionalFormatting>
  <conditionalFormatting sqref="Q283">
    <cfRule type="duplicateValues" dxfId="11184" priority="11502"/>
  </conditionalFormatting>
  <conditionalFormatting sqref="Q283">
    <cfRule type="duplicateValues" dxfId="11183" priority="11501"/>
  </conditionalFormatting>
  <conditionalFormatting sqref="Q283">
    <cfRule type="duplicateValues" dxfId="11182" priority="11500"/>
  </conditionalFormatting>
  <conditionalFormatting sqref="Q283">
    <cfRule type="duplicateValues" dxfId="11181" priority="11499"/>
  </conditionalFormatting>
  <conditionalFormatting sqref="Q283">
    <cfRule type="duplicateValues" dxfId="11180" priority="11498"/>
  </conditionalFormatting>
  <conditionalFormatting sqref="Q283">
    <cfRule type="duplicateValues" dxfId="11179" priority="11497"/>
  </conditionalFormatting>
  <conditionalFormatting sqref="Q283:R283">
    <cfRule type="duplicateValues" dxfId="11178" priority="11496"/>
  </conditionalFormatting>
  <conditionalFormatting sqref="Q283">
    <cfRule type="duplicateValues" dxfId="11177" priority="11495"/>
  </conditionalFormatting>
  <conditionalFormatting sqref="R283">
    <cfRule type="duplicateValues" dxfId="11176" priority="11494"/>
  </conditionalFormatting>
  <conditionalFormatting sqref="Q283">
    <cfRule type="duplicateValues" dxfId="11175" priority="11493"/>
  </conditionalFormatting>
  <conditionalFormatting sqref="Q284:R285">
    <cfRule type="duplicateValues" dxfId="11174" priority="11490"/>
    <cfRule type="duplicateValues" dxfId="11173" priority="11491"/>
    <cfRule type="duplicateValues" dxfId="11172" priority="11492"/>
  </conditionalFormatting>
  <conditionalFormatting sqref="R284:R285">
    <cfRule type="duplicateValues" dxfId="11171" priority="11489"/>
  </conditionalFormatting>
  <conditionalFormatting sqref="Q284:R285">
    <cfRule type="duplicateValues" dxfId="11170" priority="11488"/>
  </conditionalFormatting>
  <conditionalFormatting sqref="Q284:Q285">
    <cfRule type="duplicateValues" dxfId="11169" priority="11487"/>
  </conditionalFormatting>
  <conditionalFormatting sqref="Q284:Q285">
    <cfRule type="duplicateValues" dxfId="11168" priority="11486"/>
  </conditionalFormatting>
  <conditionalFormatting sqref="Q284:Q285">
    <cfRule type="duplicateValues" dxfId="11167" priority="11485"/>
  </conditionalFormatting>
  <conditionalFormatting sqref="Q284:Q285">
    <cfRule type="duplicateValues" dxfId="11166" priority="11484"/>
  </conditionalFormatting>
  <conditionalFormatting sqref="R284:R285">
    <cfRule type="duplicateValues" dxfId="11165" priority="11483"/>
  </conditionalFormatting>
  <conditionalFormatting sqref="Q284:Q285">
    <cfRule type="duplicateValues" dxfId="11164" priority="11481"/>
    <cfRule type="duplicateValues" dxfId="11163" priority="11482"/>
  </conditionalFormatting>
  <conditionalFormatting sqref="Q284:Q285">
    <cfRule type="duplicateValues" dxfId="11162" priority="11480"/>
  </conditionalFormatting>
  <conditionalFormatting sqref="Q284:Q285">
    <cfRule type="duplicateValues" dxfId="11161" priority="11479"/>
  </conditionalFormatting>
  <conditionalFormatting sqref="Q284:Q285">
    <cfRule type="duplicateValues" dxfId="11160" priority="11478"/>
  </conditionalFormatting>
  <conditionalFormatting sqref="Q284:Q285">
    <cfRule type="duplicateValues" dxfId="11159" priority="11477"/>
  </conditionalFormatting>
  <conditionalFormatting sqref="Q284:Q285">
    <cfRule type="duplicateValues" dxfId="11158" priority="11476"/>
  </conditionalFormatting>
  <conditionalFormatting sqref="Q284:Q285">
    <cfRule type="duplicateValues" dxfId="11157" priority="11475"/>
  </conditionalFormatting>
  <conditionalFormatting sqref="Q284:Q285">
    <cfRule type="duplicateValues" dxfId="11156" priority="11474"/>
  </conditionalFormatting>
  <conditionalFormatting sqref="Q284:Q285">
    <cfRule type="duplicateValues" dxfId="11155" priority="11473"/>
  </conditionalFormatting>
  <conditionalFormatting sqref="Q284:R285">
    <cfRule type="duplicateValues" dxfId="11154" priority="11472"/>
  </conditionalFormatting>
  <conditionalFormatting sqref="Q284:Q285">
    <cfRule type="duplicateValues" dxfId="11153" priority="11471"/>
  </conditionalFormatting>
  <conditionalFormatting sqref="R284:R285">
    <cfRule type="duplicateValues" dxfId="11152" priority="11470"/>
  </conditionalFormatting>
  <conditionalFormatting sqref="Q284:Q285">
    <cfRule type="duplicateValues" dxfId="11151" priority="11469"/>
  </conditionalFormatting>
  <conditionalFormatting sqref="Q286:Q287">
    <cfRule type="duplicateValues" dxfId="11150" priority="11468"/>
  </conditionalFormatting>
  <conditionalFormatting sqref="Q286:Q287">
    <cfRule type="duplicateValues" dxfId="11149" priority="11467"/>
  </conditionalFormatting>
  <conditionalFormatting sqref="Q286:Q287">
    <cfRule type="duplicateValues" dxfId="11148" priority="11466"/>
  </conditionalFormatting>
  <conditionalFormatting sqref="Q286:Q287">
    <cfRule type="duplicateValues" dxfId="11147" priority="11465"/>
  </conditionalFormatting>
  <conditionalFormatting sqref="Q286:Q287">
    <cfRule type="duplicateValues" dxfId="11146" priority="11464"/>
  </conditionalFormatting>
  <conditionalFormatting sqref="Q286:Q287">
    <cfRule type="duplicateValues" dxfId="11145" priority="11463"/>
  </conditionalFormatting>
  <conditionalFormatting sqref="Q286:Q287">
    <cfRule type="duplicateValues" dxfId="11144" priority="11462"/>
  </conditionalFormatting>
  <conditionalFormatting sqref="Q286:R287">
    <cfRule type="duplicateValues" dxfId="11143" priority="11461"/>
  </conditionalFormatting>
  <conditionalFormatting sqref="Q286:R287">
    <cfRule type="duplicateValues" dxfId="11142" priority="11458"/>
    <cfRule type="duplicateValues" dxfId="11141" priority="11459"/>
    <cfRule type="duplicateValues" dxfId="11140" priority="11460"/>
  </conditionalFormatting>
  <conditionalFormatting sqref="R286:R287">
    <cfRule type="duplicateValues" dxfId="11139" priority="11457"/>
  </conditionalFormatting>
  <conditionalFormatting sqref="Q286:Q287">
    <cfRule type="duplicateValues" dxfId="11138" priority="11456"/>
  </conditionalFormatting>
  <conditionalFormatting sqref="Q286:Q287">
    <cfRule type="duplicateValues" dxfId="11137" priority="11453"/>
    <cfRule type="duplicateValues" dxfId="11136" priority="11454"/>
    <cfRule type="duplicateValues" dxfId="11135" priority="11455"/>
  </conditionalFormatting>
  <conditionalFormatting sqref="R286:R287">
    <cfRule type="duplicateValues" dxfId="11134" priority="11450"/>
    <cfRule type="duplicateValues" dxfId="11133" priority="11451"/>
    <cfRule type="duplicateValues" dxfId="11132" priority="11452"/>
  </conditionalFormatting>
  <conditionalFormatting sqref="Q286:Q287">
    <cfRule type="duplicateValues" dxfId="11131" priority="11448"/>
    <cfRule type="duplicateValues" dxfId="11130" priority="11449"/>
  </conditionalFormatting>
  <conditionalFormatting sqref="Q286:Q287">
    <cfRule type="duplicateValues" dxfId="11129" priority="11447"/>
  </conditionalFormatting>
  <conditionalFormatting sqref="Q288:Q289">
    <cfRule type="duplicateValues" dxfId="11128" priority="11446"/>
  </conditionalFormatting>
  <conditionalFormatting sqref="Q288:Q289">
    <cfRule type="duplicateValues" dxfId="11127" priority="11443"/>
    <cfRule type="duplicateValues" dxfId="11126" priority="11444"/>
    <cfRule type="duplicateValues" dxfId="11125" priority="11445"/>
  </conditionalFormatting>
  <conditionalFormatting sqref="Q288:Q289">
    <cfRule type="duplicateValues" dxfId="11124" priority="11442"/>
  </conditionalFormatting>
  <conditionalFormatting sqref="Q288:Q289">
    <cfRule type="duplicateValues" dxfId="11123" priority="11441"/>
  </conditionalFormatting>
  <conditionalFormatting sqref="Q288:Q289">
    <cfRule type="duplicateValues" dxfId="11122" priority="11440"/>
  </conditionalFormatting>
  <conditionalFormatting sqref="Q288:Q289">
    <cfRule type="duplicateValues" dxfId="11121" priority="11439"/>
  </conditionalFormatting>
  <conditionalFormatting sqref="Q288:Q289">
    <cfRule type="duplicateValues" dxfId="11120" priority="11438"/>
  </conditionalFormatting>
  <conditionalFormatting sqref="R288:R289">
    <cfRule type="duplicateValues" dxfId="11119" priority="11437"/>
  </conditionalFormatting>
  <conditionalFormatting sqref="Q288:Q289">
    <cfRule type="duplicateValues" dxfId="11118" priority="11435"/>
    <cfRule type="duplicateValues" dxfId="11117" priority="11436"/>
  </conditionalFormatting>
  <conditionalFormatting sqref="Q288:Q289">
    <cfRule type="duplicateValues" dxfId="11116" priority="11434"/>
  </conditionalFormatting>
  <conditionalFormatting sqref="Q288:Q289">
    <cfRule type="duplicateValues" dxfId="11115" priority="11433"/>
  </conditionalFormatting>
  <conditionalFormatting sqref="Q288:Q289">
    <cfRule type="duplicateValues" dxfId="11114" priority="11432"/>
  </conditionalFormatting>
  <conditionalFormatting sqref="Q288:Q289">
    <cfRule type="duplicateValues" dxfId="11113" priority="11431"/>
  </conditionalFormatting>
  <conditionalFormatting sqref="Q288:Q289">
    <cfRule type="duplicateValues" dxfId="11112" priority="11430"/>
  </conditionalFormatting>
  <conditionalFormatting sqref="Q288:Q289">
    <cfRule type="duplicateValues" dxfId="11111" priority="11429"/>
  </conditionalFormatting>
  <conditionalFormatting sqref="Q288:Q289">
    <cfRule type="duplicateValues" dxfId="11110" priority="11428"/>
  </conditionalFormatting>
  <conditionalFormatting sqref="Q288:Q289">
    <cfRule type="duplicateValues" dxfId="11109" priority="11427"/>
  </conditionalFormatting>
  <conditionalFormatting sqref="R288:R289">
    <cfRule type="duplicateValues" dxfId="11108" priority="11426"/>
  </conditionalFormatting>
  <conditionalFormatting sqref="R288:R289">
    <cfRule type="duplicateValues" dxfId="11107" priority="11423"/>
    <cfRule type="duplicateValues" dxfId="11106" priority="11424"/>
    <cfRule type="duplicateValues" dxfId="11105" priority="11425"/>
  </conditionalFormatting>
  <conditionalFormatting sqref="Q288:Q289">
    <cfRule type="duplicateValues" dxfId="11104" priority="11422"/>
  </conditionalFormatting>
  <conditionalFormatting sqref="Q290:Q291">
    <cfRule type="duplicateValues" dxfId="11103" priority="11421"/>
  </conditionalFormatting>
  <conditionalFormatting sqref="Q290:Q291">
    <cfRule type="duplicateValues" dxfId="11102" priority="11420"/>
  </conditionalFormatting>
  <conditionalFormatting sqref="Q290:Q291">
    <cfRule type="duplicateValues" dxfId="11101" priority="11419"/>
  </conditionalFormatting>
  <conditionalFormatting sqref="Q290:Q291">
    <cfRule type="duplicateValues" dxfId="11100" priority="11418"/>
  </conditionalFormatting>
  <conditionalFormatting sqref="Q290:R291">
    <cfRule type="duplicateValues" dxfId="11099" priority="11417"/>
  </conditionalFormatting>
  <conditionalFormatting sqref="Q290:R291">
    <cfRule type="duplicateValues" dxfId="11098" priority="11414"/>
    <cfRule type="duplicateValues" dxfId="11097" priority="11415"/>
    <cfRule type="duplicateValues" dxfId="11096" priority="11416"/>
  </conditionalFormatting>
  <conditionalFormatting sqref="R290:R291">
    <cfRule type="duplicateValues" dxfId="11095" priority="11413"/>
  </conditionalFormatting>
  <conditionalFormatting sqref="Q290:Q291">
    <cfRule type="duplicateValues" dxfId="11094" priority="11412"/>
  </conditionalFormatting>
  <conditionalFormatting sqref="Q290:Q291">
    <cfRule type="duplicateValues" dxfId="11093" priority="11409"/>
    <cfRule type="duplicateValues" dxfId="11092" priority="11410"/>
    <cfRule type="duplicateValues" dxfId="11091" priority="11411"/>
  </conditionalFormatting>
  <conditionalFormatting sqref="R290:R291">
    <cfRule type="duplicateValues" dxfId="11090" priority="11406"/>
    <cfRule type="duplicateValues" dxfId="11089" priority="11407"/>
    <cfRule type="duplicateValues" dxfId="11088" priority="11408"/>
  </conditionalFormatting>
  <conditionalFormatting sqref="Q290:Q291">
    <cfRule type="duplicateValues" dxfId="11087" priority="11404"/>
    <cfRule type="duplicateValues" dxfId="11086" priority="11405"/>
  </conditionalFormatting>
  <conditionalFormatting sqref="Q290:Q291">
    <cfRule type="duplicateValues" dxfId="11085" priority="11403"/>
  </conditionalFormatting>
  <conditionalFormatting sqref="Q292:Q293">
    <cfRule type="duplicateValues" dxfId="11084" priority="11402"/>
  </conditionalFormatting>
  <conditionalFormatting sqref="Q292:Q293">
    <cfRule type="duplicateValues" dxfId="11083" priority="11401"/>
  </conditionalFormatting>
  <conditionalFormatting sqref="Q292:Q293">
    <cfRule type="duplicateValues" dxfId="11082" priority="11400"/>
  </conditionalFormatting>
  <conditionalFormatting sqref="Q292:Q293">
    <cfRule type="duplicateValues" dxfId="11081" priority="11399"/>
  </conditionalFormatting>
  <conditionalFormatting sqref="Q292:R292">
    <cfRule type="duplicateValues" dxfId="11080" priority="11398"/>
  </conditionalFormatting>
  <conditionalFormatting sqref="Q292:R292">
    <cfRule type="duplicateValues" dxfId="11079" priority="11395"/>
    <cfRule type="duplicateValues" dxfId="11078" priority="11396"/>
    <cfRule type="duplicateValues" dxfId="11077" priority="11397"/>
  </conditionalFormatting>
  <conditionalFormatting sqref="R292">
    <cfRule type="duplicateValues" dxfId="11076" priority="11394"/>
  </conditionalFormatting>
  <conditionalFormatting sqref="Q292">
    <cfRule type="duplicateValues" dxfId="11075" priority="11393"/>
  </conditionalFormatting>
  <conditionalFormatting sqref="Q292">
    <cfRule type="duplicateValues" dxfId="11074" priority="11390"/>
    <cfRule type="duplicateValues" dxfId="11073" priority="11391"/>
    <cfRule type="duplicateValues" dxfId="11072" priority="11392"/>
  </conditionalFormatting>
  <conditionalFormatting sqref="R292">
    <cfRule type="duplicateValues" dxfId="11071" priority="11387"/>
    <cfRule type="duplicateValues" dxfId="11070" priority="11388"/>
    <cfRule type="duplicateValues" dxfId="11069" priority="11389"/>
  </conditionalFormatting>
  <conditionalFormatting sqref="Q292">
    <cfRule type="duplicateValues" dxfId="11068" priority="11385"/>
    <cfRule type="duplicateValues" dxfId="11067" priority="11386"/>
  </conditionalFormatting>
  <conditionalFormatting sqref="Q293:R293">
    <cfRule type="duplicateValues" dxfId="11066" priority="11384"/>
  </conditionalFormatting>
  <conditionalFormatting sqref="Q293:R293">
    <cfRule type="duplicateValues" dxfId="11065" priority="11381"/>
    <cfRule type="duplicateValues" dxfId="11064" priority="11382"/>
    <cfRule type="duplicateValues" dxfId="11063" priority="11383"/>
  </conditionalFormatting>
  <conditionalFormatting sqref="R293">
    <cfRule type="duplicateValues" dxfId="11062" priority="11380"/>
  </conditionalFormatting>
  <conditionalFormatting sqref="Q293">
    <cfRule type="duplicateValues" dxfId="11061" priority="11379"/>
  </conditionalFormatting>
  <conditionalFormatting sqref="Q293">
    <cfRule type="duplicateValues" dxfId="11060" priority="11376"/>
    <cfRule type="duplicateValues" dxfId="11059" priority="11377"/>
    <cfRule type="duplicateValues" dxfId="11058" priority="11378"/>
  </conditionalFormatting>
  <conditionalFormatting sqref="R293">
    <cfRule type="duplicateValues" dxfId="11057" priority="11373"/>
    <cfRule type="duplicateValues" dxfId="11056" priority="11374"/>
    <cfRule type="duplicateValues" dxfId="11055" priority="11375"/>
  </conditionalFormatting>
  <conditionalFormatting sqref="Q293">
    <cfRule type="duplicateValues" dxfId="11054" priority="11371"/>
    <cfRule type="duplicateValues" dxfId="11053" priority="11372"/>
  </conditionalFormatting>
  <conditionalFormatting sqref="Q292:Q293">
    <cfRule type="duplicateValues" dxfId="11052" priority="11370"/>
  </conditionalFormatting>
  <conditionalFormatting sqref="Q294">
    <cfRule type="duplicateValues" dxfId="11051" priority="11369"/>
  </conditionalFormatting>
  <conditionalFormatting sqref="Q294">
    <cfRule type="duplicateValues" dxfId="11050" priority="11366"/>
    <cfRule type="duplicateValues" dxfId="11049" priority="11367"/>
    <cfRule type="duplicateValues" dxfId="11048" priority="11368"/>
  </conditionalFormatting>
  <conditionalFormatting sqref="Q294">
    <cfRule type="duplicateValues" dxfId="11047" priority="11365"/>
  </conditionalFormatting>
  <conditionalFormatting sqref="Q294">
    <cfRule type="duplicateValues" dxfId="11046" priority="11364"/>
  </conditionalFormatting>
  <conditionalFormatting sqref="Q294">
    <cfRule type="duplicateValues" dxfId="11045" priority="11363"/>
  </conditionalFormatting>
  <conditionalFormatting sqref="Q294">
    <cfRule type="duplicateValues" dxfId="11044" priority="11362"/>
  </conditionalFormatting>
  <conditionalFormatting sqref="Q294">
    <cfRule type="duplicateValues" dxfId="11043" priority="11361"/>
  </conditionalFormatting>
  <conditionalFormatting sqref="R294">
    <cfRule type="duplicateValues" dxfId="11042" priority="11360"/>
  </conditionalFormatting>
  <conditionalFormatting sqref="Q294">
    <cfRule type="duplicateValues" dxfId="11041" priority="11358"/>
    <cfRule type="duplicateValues" dxfId="11040" priority="11359"/>
  </conditionalFormatting>
  <conditionalFormatting sqref="Q294">
    <cfRule type="duplicateValues" dxfId="11039" priority="11357"/>
  </conditionalFormatting>
  <conditionalFormatting sqref="Q294">
    <cfRule type="duplicateValues" dxfId="11038" priority="11356"/>
  </conditionalFormatting>
  <conditionalFormatting sqref="Q294">
    <cfRule type="duplicateValues" dxfId="11037" priority="11355"/>
  </conditionalFormatting>
  <conditionalFormatting sqref="Q294">
    <cfRule type="duplicateValues" dxfId="11036" priority="11354"/>
  </conditionalFormatting>
  <conditionalFormatting sqref="Q294">
    <cfRule type="duplicateValues" dxfId="11035" priority="11353"/>
  </conditionalFormatting>
  <conditionalFormatting sqref="Q294">
    <cfRule type="duplicateValues" dxfId="11034" priority="11352"/>
  </conditionalFormatting>
  <conditionalFormatting sqref="Q294">
    <cfRule type="duplicateValues" dxfId="11033" priority="11351"/>
  </conditionalFormatting>
  <conditionalFormatting sqref="Q294">
    <cfRule type="duplicateValues" dxfId="11032" priority="11350"/>
  </conditionalFormatting>
  <conditionalFormatting sqref="R294">
    <cfRule type="duplicateValues" dxfId="11031" priority="11349"/>
  </conditionalFormatting>
  <conditionalFormatting sqref="R294">
    <cfRule type="duplicateValues" dxfId="11030" priority="11346"/>
    <cfRule type="duplicateValues" dxfId="11029" priority="11347"/>
    <cfRule type="duplicateValues" dxfId="11028" priority="11348"/>
  </conditionalFormatting>
  <conditionalFormatting sqref="Q294">
    <cfRule type="duplicateValues" dxfId="11027" priority="11345"/>
  </conditionalFormatting>
  <conditionalFormatting sqref="Q295:R296">
    <cfRule type="duplicateValues" dxfId="11026" priority="11342"/>
    <cfRule type="duplicateValues" dxfId="11025" priority="11343"/>
    <cfRule type="duplicateValues" dxfId="11024" priority="11344"/>
  </conditionalFormatting>
  <conditionalFormatting sqref="R295:R296">
    <cfRule type="duplicateValues" dxfId="11023" priority="11341"/>
  </conditionalFormatting>
  <conditionalFormatting sqref="Q295:R296">
    <cfRule type="duplicateValues" dxfId="11022" priority="11340"/>
  </conditionalFormatting>
  <conditionalFormatting sqref="Q295:Q296">
    <cfRule type="duplicateValues" dxfId="11021" priority="11339"/>
  </conditionalFormatting>
  <conditionalFormatting sqref="Q295:Q296">
    <cfRule type="duplicateValues" dxfId="11020" priority="11338"/>
  </conditionalFormatting>
  <conditionalFormatting sqref="Q295:Q296">
    <cfRule type="duplicateValues" dxfId="11019" priority="11337"/>
  </conditionalFormatting>
  <conditionalFormatting sqref="Q295:Q296">
    <cfRule type="duplicateValues" dxfId="11018" priority="11336"/>
  </conditionalFormatting>
  <conditionalFormatting sqref="R295:R296">
    <cfRule type="duplicateValues" dxfId="11017" priority="11335"/>
  </conditionalFormatting>
  <conditionalFormatting sqref="Q295:Q296">
    <cfRule type="duplicateValues" dxfId="11016" priority="11333"/>
    <cfRule type="duplicateValues" dxfId="11015" priority="11334"/>
  </conditionalFormatting>
  <conditionalFormatting sqref="Q295:Q296">
    <cfRule type="duplicateValues" dxfId="11014" priority="11332"/>
  </conditionalFormatting>
  <conditionalFormatting sqref="Q295:Q296">
    <cfRule type="duplicateValues" dxfId="11013" priority="11331"/>
  </conditionalFormatting>
  <conditionalFormatting sqref="Q295:Q296">
    <cfRule type="duplicateValues" dxfId="11012" priority="11330"/>
  </conditionalFormatting>
  <conditionalFormatting sqref="Q295:Q296">
    <cfRule type="duplicateValues" dxfId="11011" priority="11329"/>
  </conditionalFormatting>
  <conditionalFormatting sqref="Q295:Q296">
    <cfRule type="duplicateValues" dxfId="11010" priority="11328"/>
  </conditionalFormatting>
  <conditionalFormatting sqref="Q295:Q296">
    <cfRule type="duplicateValues" dxfId="11009" priority="11327"/>
  </conditionalFormatting>
  <conditionalFormatting sqref="Q295:Q296">
    <cfRule type="duplicateValues" dxfId="11008" priority="11326"/>
  </conditionalFormatting>
  <conditionalFormatting sqref="Q295:Q296">
    <cfRule type="duplicateValues" dxfId="11007" priority="11325"/>
  </conditionalFormatting>
  <conditionalFormatting sqref="Q295:R296">
    <cfRule type="duplicateValues" dxfId="11006" priority="11324"/>
  </conditionalFormatting>
  <conditionalFormatting sqref="Q295:Q296">
    <cfRule type="duplicateValues" dxfId="11005" priority="11323"/>
  </conditionalFormatting>
  <conditionalFormatting sqref="R295:R296">
    <cfRule type="duplicateValues" dxfId="11004" priority="11322"/>
  </conditionalFormatting>
  <conditionalFormatting sqref="Q295:Q296">
    <cfRule type="duplicateValues" dxfId="11003" priority="11321"/>
  </conditionalFormatting>
  <conditionalFormatting sqref="Q297:R299">
    <cfRule type="duplicateValues" dxfId="11002" priority="11318"/>
    <cfRule type="duplicateValues" dxfId="11001" priority="11319"/>
    <cfRule type="duplicateValues" dxfId="11000" priority="11320"/>
  </conditionalFormatting>
  <conditionalFormatting sqref="R297:R299">
    <cfRule type="duplicateValues" dxfId="10999" priority="11317"/>
  </conditionalFormatting>
  <conditionalFormatting sqref="Q297:R299">
    <cfRule type="duplicateValues" dxfId="10998" priority="11316"/>
  </conditionalFormatting>
  <conditionalFormatting sqref="Q297:Q299">
    <cfRule type="duplicateValues" dxfId="10997" priority="11315"/>
  </conditionalFormatting>
  <conditionalFormatting sqref="Q297:Q299">
    <cfRule type="duplicateValues" dxfId="10996" priority="11314"/>
  </conditionalFormatting>
  <conditionalFormatting sqref="Q297:Q299">
    <cfRule type="duplicateValues" dxfId="10995" priority="11313"/>
  </conditionalFormatting>
  <conditionalFormatting sqref="Q297:Q299">
    <cfRule type="duplicateValues" dxfId="10994" priority="11312"/>
  </conditionalFormatting>
  <conditionalFormatting sqref="R297:R299">
    <cfRule type="duplicateValues" dxfId="10993" priority="11311"/>
  </conditionalFormatting>
  <conditionalFormatting sqref="Q297:Q299">
    <cfRule type="duplicateValues" dxfId="10992" priority="11309"/>
    <cfRule type="duplicateValues" dxfId="10991" priority="11310"/>
  </conditionalFormatting>
  <conditionalFormatting sqref="Q297:Q299">
    <cfRule type="duplicateValues" dxfId="10990" priority="11308"/>
  </conditionalFormatting>
  <conditionalFormatting sqref="Q297:Q299">
    <cfRule type="duplicateValues" dxfId="10989" priority="11307"/>
  </conditionalFormatting>
  <conditionalFormatting sqref="Q297:Q299">
    <cfRule type="duplicateValues" dxfId="10988" priority="11306"/>
  </conditionalFormatting>
  <conditionalFormatting sqref="Q297:Q299">
    <cfRule type="duplicateValues" dxfId="10987" priority="11305"/>
  </conditionalFormatting>
  <conditionalFormatting sqref="Q297:Q299">
    <cfRule type="duplicateValues" dxfId="10986" priority="11304"/>
  </conditionalFormatting>
  <conditionalFormatting sqref="Q297:Q299">
    <cfRule type="duplicateValues" dxfId="10985" priority="11303"/>
  </conditionalFormatting>
  <conditionalFormatting sqref="Q297:Q299">
    <cfRule type="duplicateValues" dxfId="10984" priority="11302"/>
  </conditionalFormatting>
  <conditionalFormatting sqref="Q297:Q299">
    <cfRule type="duplicateValues" dxfId="10983" priority="11301"/>
  </conditionalFormatting>
  <conditionalFormatting sqref="Q297:R299">
    <cfRule type="duplicateValues" dxfId="10982" priority="11300"/>
  </conditionalFormatting>
  <conditionalFormatting sqref="Q297:Q299">
    <cfRule type="duplicateValues" dxfId="10981" priority="11299"/>
  </conditionalFormatting>
  <conditionalFormatting sqref="R297:R299">
    <cfRule type="duplicateValues" dxfId="10980" priority="11298"/>
  </conditionalFormatting>
  <conditionalFormatting sqref="Q297:Q299">
    <cfRule type="duplicateValues" dxfId="10979" priority="11297"/>
  </conditionalFormatting>
  <conditionalFormatting sqref="Q300">
    <cfRule type="duplicateValues" dxfId="10978" priority="11296"/>
  </conditionalFormatting>
  <conditionalFormatting sqref="Q300:R300">
    <cfRule type="duplicateValues" dxfId="10977" priority="11295"/>
  </conditionalFormatting>
  <conditionalFormatting sqref="Q300:R300">
    <cfRule type="duplicateValues" dxfId="10976" priority="11292"/>
    <cfRule type="duplicateValues" dxfId="10975" priority="11293"/>
    <cfRule type="duplicateValues" dxfId="10974" priority="11294"/>
  </conditionalFormatting>
  <conditionalFormatting sqref="R300">
    <cfRule type="duplicateValues" dxfId="10973" priority="11291"/>
  </conditionalFormatting>
  <conditionalFormatting sqref="Q300">
    <cfRule type="duplicateValues" dxfId="10972" priority="11289"/>
    <cfRule type="duplicateValues" dxfId="10971" priority="11290"/>
  </conditionalFormatting>
  <conditionalFormatting sqref="Q300">
    <cfRule type="duplicateValues" dxfId="10970" priority="11286"/>
    <cfRule type="duplicateValues" dxfId="10969" priority="11287"/>
    <cfRule type="duplicateValues" dxfId="10968" priority="11288"/>
  </conditionalFormatting>
  <conditionalFormatting sqref="R300">
    <cfRule type="duplicateValues" dxfId="10967" priority="11283"/>
    <cfRule type="duplicateValues" dxfId="10966" priority="11284"/>
    <cfRule type="duplicateValues" dxfId="10965" priority="11285"/>
  </conditionalFormatting>
  <conditionalFormatting sqref="Q300">
    <cfRule type="duplicateValues" dxfId="10964" priority="11282"/>
  </conditionalFormatting>
  <conditionalFormatting sqref="Q301:R301">
    <cfRule type="duplicateValues" dxfId="10963" priority="11281"/>
  </conditionalFormatting>
  <conditionalFormatting sqref="Q301:R301">
    <cfRule type="duplicateValues" dxfId="10962" priority="11278"/>
    <cfRule type="duplicateValues" dxfId="10961" priority="11279"/>
    <cfRule type="duplicateValues" dxfId="10960" priority="11280"/>
  </conditionalFormatting>
  <conditionalFormatting sqref="R301">
    <cfRule type="duplicateValues" dxfId="10959" priority="11277"/>
  </conditionalFormatting>
  <conditionalFormatting sqref="Q301:R301">
    <cfRule type="duplicateValues" dxfId="10958" priority="11276"/>
  </conditionalFormatting>
  <conditionalFormatting sqref="Q301">
    <cfRule type="duplicateValues" dxfId="10957" priority="11275"/>
  </conditionalFormatting>
  <conditionalFormatting sqref="Q301">
    <cfRule type="duplicateValues" dxfId="10956" priority="11274"/>
  </conditionalFormatting>
  <conditionalFormatting sqref="Q301">
    <cfRule type="duplicateValues" dxfId="10955" priority="11273"/>
  </conditionalFormatting>
  <conditionalFormatting sqref="Q301">
    <cfRule type="duplicateValues" dxfId="10954" priority="11272"/>
  </conditionalFormatting>
  <conditionalFormatting sqref="R301">
    <cfRule type="duplicateValues" dxfId="10953" priority="11271"/>
  </conditionalFormatting>
  <conditionalFormatting sqref="Q301">
    <cfRule type="duplicateValues" dxfId="10952" priority="11269"/>
    <cfRule type="duplicateValues" dxfId="10951" priority="11270"/>
  </conditionalFormatting>
  <conditionalFormatting sqref="Q301">
    <cfRule type="duplicateValues" dxfId="10950" priority="11268"/>
  </conditionalFormatting>
  <conditionalFormatting sqref="Q301">
    <cfRule type="duplicateValues" dxfId="10949" priority="11267"/>
  </conditionalFormatting>
  <conditionalFormatting sqref="Q301">
    <cfRule type="duplicateValues" dxfId="10948" priority="11266"/>
  </conditionalFormatting>
  <conditionalFormatting sqref="Q301">
    <cfRule type="duplicateValues" dxfId="10947" priority="11265"/>
  </conditionalFormatting>
  <conditionalFormatting sqref="Q301">
    <cfRule type="duplicateValues" dxfId="10946" priority="11264"/>
  </conditionalFormatting>
  <conditionalFormatting sqref="Q301">
    <cfRule type="duplicateValues" dxfId="10945" priority="11263"/>
  </conditionalFormatting>
  <conditionalFormatting sqref="Q301">
    <cfRule type="duplicateValues" dxfId="10944" priority="11262"/>
  </conditionalFormatting>
  <conditionalFormatting sqref="Q301">
    <cfRule type="duplicateValues" dxfId="10943" priority="11261"/>
  </conditionalFormatting>
  <conditionalFormatting sqref="Q301:R301">
    <cfRule type="duplicateValues" dxfId="10942" priority="11260"/>
  </conditionalFormatting>
  <conditionalFormatting sqref="Q301">
    <cfRule type="duplicateValues" dxfId="10941" priority="11259"/>
  </conditionalFormatting>
  <conditionalFormatting sqref="Q301:R301">
    <cfRule type="duplicateValues" dxfId="10940" priority="11258"/>
  </conditionalFormatting>
  <conditionalFormatting sqref="R301">
    <cfRule type="duplicateValues" dxfId="10939" priority="11257"/>
  </conditionalFormatting>
  <conditionalFormatting sqref="Q301">
    <cfRule type="duplicateValues" dxfId="10938" priority="11256"/>
  </conditionalFormatting>
  <conditionalFormatting sqref="Q302">
    <cfRule type="duplicateValues" dxfId="10937" priority="11255"/>
  </conditionalFormatting>
  <conditionalFormatting sqref="Q302">
    <cfRule type="duplicateValues" dxfId="10936" priority="11254"/>
  </conditionalFormatting>
  <conditionalFormatting sqref="Q302">
    <cfRule type="duplicateValues" dxfId="10935" priority="11253"/>
  </conditionalFormatting>
  <conditionalFormatting sqref="Q302">
    <cfRule type="duplicateValues" dxfId="10934" priority="11252"/>
  </conditionalFormatting>
  <conditionalFormatting sqref="Q302:R302">
    <cfRule type="duplicateValues" dxfId="10933" priority="11251"/>
  </conditionalFormatting>
  <conditionalFormatting sqref="Q302:R302">
    <cfRule type="duplicateValues" dxfId="10932" priority="11248"/>
    <cfRule type="duplicateValues" dxfId="10931" priority="11249"/>
    <cfRule type="duplicateValues" dxfId="10930" priority="11250"/>
  </conditionalFormatting>
  <conditionalFormatting sqref="R302">
    <cfRule type="duplicateValues" dxfId="10929" priority="11247"/>
  </conditionalFormatting>
  <conditionalFormatting sqref="Q302">
    <cfRule type="duplicateValues" dxfId="10928" priority="11246"/>
  </conditionalFormatting>
  <conditionalFormatting sqref="Q302">
    <cfRule type="duplicateValues" dxfId="10927" priority="11243"/>
    <cfRule type="duplicateValues" dxfId="10926" priority="11244"/>
    <cfRule type="duplicateValues" dxfId="10925" priority="11245"/>
  </conditionalFormatting>
  <conditionalFormatting sqref="R302">
    <cfRule type="duplicateValues" dxfId="10924" priority="11240"/>
    <cfRule type="duplicateValues" dxfId="10923" priority="11241"/>
    <cfRule type="duplicateValues" dxfId="10922" priority="11242"/>
  </conditionalFormatting>
  <conditionalFormatting sqref="Q302">
    <cfRule type="duplicateValues" dxfId="10921" priority="11238"/>
    <cfRule type="duplicateValues" dxfId="10920" priority="11239"/>
  </conditionalFormatting>
  <conditionalFormatting sqref="Q302">
    <cfRule type="duplicateValues" dxfId="10919" priority="11237"/>
  </conditionalFormatting>
  <conditionalFormatting sqref="R303">
    <cfRule type="duplicateValues" dxfId="10918" priority="11236"/>
  </conditionalFormatting>
  <conditionalFormatting sqref="R303">
    <cfRule type="duplicateValues" dxfId="10917" priority="11233"/>
    <cfRule type="duplicateValues" dxfId="10916" priority="11234"/>
    <cfRule type="duplicateValues" dxfId="10915" priority="11235"/>
  </conditionalFormatting>
  <conditionalFormatting sqref="R303">
    <cfRule type="duplicateValues" dxfId="10914" priority="11232"/>
  </conditionalFormatting>
  <conditionalFormatting sqref="R303">
    <cfRule type="duplicateValues" dxfId="10913" priority="11231"/>
  </conditionalFormatting>
  <conditionalFormatting sqref="Q303">
    <cfRule type="duplicateValues" dxfId="10912" priority="11230"/>
  </conditionalFormatting>
  <conditionalFormatting sqref="Q303">
    <cfRule type="duplicateValues" dxfId="10911" priority="11227"/>
    <cfRule type="duplicateValues" dxfId="10910" priority="11228"/>
    <cfRule type="duplicateValues" dxfId="10909" priority="11229"/>
  </conditionalFormatting>
  <conditionalFormatting sqref="Q303">
    <cfRule type="duplicateValues" dxfId="10908" priority="11226"/>
  </conditionalFormatting>
  <conditionalFormatting sqref="Q303">
    <cfRule type="duplicateValues" dxfId="10907" priority="11225"/>
  </conditionalFormatting>
  <conditionalFormatting sqref="Q303">
    <cfRule type="duplicateValues" dxfId="10906" priority="11224"/>
  </conditionalFormatting>
  <conditionalFormatting sqref="Q303">
    <cfRule type="duplicateValues" dxfId="10905" priority="11223"/>
  </conditionalFormatting>
  <conditionalFormatting sqref="Q303">
    <cfRule type="duplicateValues" dxfId="10904" priority="11222"/>
  </conditionalFormatting>
  <conditionalFormatting sqref="Q303">
    <cfRule type="duplicateValues" dxfId="10903" priority="11221"/>
  </conditionalFormatting>
  <conditionalFormatting sqref="Q303">
    <cfRule type="duplicateValues" dxfId="10902" priority="11220"/>
  </conditionalFormatting>
  <conditionalFormatting sqref="R303">
    <cfRule type="duplicateValues" dxfId="10901" priority="11219"/>
  </conditionalFormatting>
  <conditionalFormatting sqref="Q303">
    <cfRule type="duplicateValues" dxfId="10900" priority="11217"/>
    <cfRule type="duplicateValues" dxfId="10899" priority="11218"/>
  </conditionalFormatting>
  <conditionalFormatting sqref="Q303">
    <cfRule type="duplicateValues" dxfId="10898" priority="11216"/>
  </conditionalFormatting>
  <conditionalFormatting sqref="R303">
    <cfRule type="duplicateValues" dxfId="10897" priority="11215"/>
  </conditionalFormatting>
  <conditionalFormatting sqref="Q303">
    <cfRule type="duplicateValues" dxfId="10896" priority="11214"/>
  </conditionalFormatting>
  <conditionalFormatting sqref="Q303">
    <cfRule type="duplicateValues" dxfId="10895" priority="11213"/>
  </conditionalFormatting>
  <conditionalFormatting sqref="Q303">
    <cfRule type="duplicateValues" dxfId="10894" priority="11212"/>
  </conditionalFormatting>
  <conditionalFormatting sqref="Q303">
    <cfRule type="duplicateValues" dxfId="10893" priority="11211"/>
  </conditionalFormatting>
  <conditionalFormatting sqref="Q303">
    <cfRule type="duplicateValues" dxfId="10892" priority="11210"/>
  </conditionalFormatting>
  <conditionalFormatting sqref="Q303">
    <cfRule type="duplicateValues" dxfId="10891" priority="11209"/>
  </conditionalFormatting>
  <conditionalFormatting sqref="Q303">
    <cfRule type="duplicateValues" dxfId="10890" priority="11208"/>
  </conditionalFormatting>
  <conditionalFormatting sqref="R303">
    <cfRule type="duplicateValues" dxfId="10889" priority="11207"/>
  </conditionalFormatting>
  <conditionalFormatting sqref="Q303">
    <cfRule type="duplicateValues" dxfId="10888" priority="11206"/>
  </conditionalFormatting>
  <conditionalFormatting sqref="Q304:Q305">
    <cfRule type="duplicateValues" dxfId="10887" priority="11205"/>
  </conditionalFormatting>
  <conditionalFormatting sqref="Q304:Q305">
    <cfRule type="duplicateValues" dxfId="10886" priority="11204"/>
  </conditionalFormatting>
  <conditionalFormatting sqref="Q304:Q305">
    <cfRule type="duplicateValues" dxfId="10885" priority="11203"/>
  </conditionalFormatting>
  <conditionalFormatting sqref="Q304:Q305">
    <cfRule type="duplicateValues" dxfId="10884" priority="11202"/>
  </conditionalFormatting>
  <conditionalFormatting sqref="Q304:Q305">
    <cfRule type="duplicateValues" dxfId="10883" priority="11201"/>
  </conditionalFormatting>
  <conditionalFormatting sqref="Q304:Q305">
    <cfRule type="duplicateValues" dxfId="10882" priority="11200"/>
  </conditionalFormatting>
  <conditionalFormatting sqref="Q304:Q305">
    <cfRule type="duplicateValues" dxfId="10881" priority="11199"/>
  </conditionalFormatting>
  <conditionalFormatting sqref="Q305:R305">
    <cfRule type="duplicateValues" dxfId="10880" priority="11198"/>
  </conditionalFormatting>
  <conditionalFormatting sqref="Q305:R305">
    <cfRule type="duplicateValues" dxfId="10879" priority="11195"/>
    <cfRule type="duplicateValues" dxfId="10878" priority="11196"/>
    <cfRule type="duplicateValues" dxfId="10877" priority="11197"/>
  </conditionalFormatting>
  <conditionalFormatting sqref="R305">
    <cfRule type="duplicateValues" dxfId="10876" priority="11194"/>
  </conditionalFormatting>
  <conditionalFormatting sqref="Q305">
    <cfRule type="duplicateValues" dxfId="10875" priority="11193"/>
  </conditionalFormatting>
  <conditionalFormatting sqref="Q305">
    <cfRule type="duplicateValues" dxfId="10874" priority="11190"/>
    <cfRule type="duplicateValues" dxfId="10873" priority="11191"/>
    <cfRule type="duplicateValues" dxfId="10872" priority="11192"/>
  </conditionalFormatting>
  <conditionalFormatting sqref="R305">
    <cfRule type="duplicateValues" dxfId="10871" priority="11187"/>
    <cfRule type="duplicateValues" dxfId="10870" priority="11188"/>
    <cfRule type="duplicateValues" dxfId="10869" priority="11189"/>
  </conditionalFormatting>
  <conditionalFormatting sqref="Q305">
    <cfRule type="duplicateValues" dxfId="10868" priority="11185"/>
    <cfRule type="duplicateValues" dxfId="10867" priority="11186"/>
  </conditionalFormatting>
  <conditionalFormatting sqref="Q304:R304">
    <cfRule type="duplicateValues" dxfId="10866" priority="11184"/>
  </conditionalFormatting>
  <conditionalFormatting sqref="Q304:R304">
    <cfRule type="duplicateValues" dxfId="10865" priority="11181"/>
    <cfRule type="duplicateValues" dxfId="10864" priority="11182"/>
    <cfRule type="duplicateValues" dxfId="10863" priority="11183"/>
  </conditionalFormatting>
  <conditionalFormatting sqref="R304">
    <cfRule type="duplicateValues" dxfId="10862" priority="11180"/>
  </conditionalFormatting>
  <conditionalFormatting sqref="Q304">
    <cfRule type="duplicateValues" dxfId="10861" priority="11179"/>
  </conditionalFormatting>
  <conditionalFormatting sqref="Q304">
    <cfRule type="duplicateValues" dxfId="10860" priority="11176"/>
    <cfRule type="duplicateValues" dxfId="10859" priority="11177"/>
    <cfRule type="duplicateValues" dxfId="10858" priority="11178"/>
  </conditionalFormatting>
  <conditionalFormatting sqref="R304">
    <cfRule type="duplicateValues" dxfId="10857" priority="11173"/>
    <cfRule type="duplicateValues" dxfId="10856" priority="11174"/>
    <cfRule type="duplicateValues" dxfId="10855" priority="11175"/>
  </conditionalFormatting>
  <conditionalFormatting sqref="Q304">
    <cfRule type="duplicateValues" dxfId="10854" priority="11171"/>
    <cfRule type="duplicateValues" dxfId="10853" priority="11172"/>
  </conditionalFormatting>
  <conditionalFormatting sqref="Q304:Q305">
    <cfRule type="duplicateValues" dxfId="10852" priority="11170"/>
  </conditionalFormatting>
  <conditionalFormatting sqref="Q306:R306">
    <cfRule type="duplicateValues" dxfId="10851" priority="11169"/>
  </conditionalFormatting>
  <conditionalFormatting sqref="Q306:R306">
    <cfRule type="duplicateValues" dxfId="10850" priority="11166"/>
    <cfRule type="duplicateValues" dxfId="10849" priority="11167"/>
    <cfRule type="duplicateValues" dxfId="10848" priority="11168"/>
  </conditionalFormatting>
  <conditionalFormatting sqref="R306">
    <cfRule type="duplicateValues" dxfId="10847" priority="11165"/>
  </conditionalFormatting>
  <conditionalFormatting sqref="Q306:R306">
    <cfRule type="duplicateValues" dxfId="10846" priority="11164"/>
  </conditionalFormatting>
  <conditionalFormatting sqref="Q306">
    <cfRule type="duplicateValues" dxfId="10845" priority="11163"/>
  </conditionalFormatting>
  <conditionalFormatting sqref="Q306">
    <cfRule type="duplicateValues" dxfId="10844" priority="11162"/>
  </conditionalFormatting>
  <conditionalFormatting sqref="Q306">
    <cfRule type="duplicateValues" dxfId="10843" priority="11161"/>
  </conditionalFormatting>
  <conditionalFormatting sqref="Q306">
    <cfRule type="duplicateValues" dxfId="10842" priority="11160"/>
  </conditionalFormatting>
  <conditionalFormatting sqref="R306">
    <cfRule type="duplicateValues" dxfId="10841" priority="11159"/>
  </conditionalFormatting>
  <conditionalFormatting sqref="Q306">
    <cfRule type="duplicateValues" dxfId="10840" priority="11157"/>
    <cfRule type="duplicateValues" dxfId="10839" priority="11158"/>
  </conditionalFormatting>
  <conditionalFormatting sqref="Q306">
    <cfRule type="duplicateValues" dxfId="10838" priority="11156"/>
  </conditionalFormatting>
  <conditionalFormatting sqref="Q306">
    <cfRule type="duplicateValues" dxfId="10837" priority="11155"/>
  </conditionalFormatting>
  <conditionalFormatting sqref="Q306">
    <cfRule type="duplicateValues" dxfId="10836" priority="11154"/>
  </conditionalFormatting>
  <conditionalFormatting sqref="Q306">
    <cfRule type="duplicateValues" dxfId="10835" priority="11153"/>
  </conditionalFormatting>
  <conditionalFormatting sqref="Q306">
    <cfRule type="duplicateValues" dxfId="10834" priority="11152"/>
  </conditionalFormatting>
  <conditionalFormatting sqref="Q306">
    <cfRule type="duplicateValues" dxfId="10833" priority="11151"/>
  </conditionalFormatting>
  <conditionalFormatting sqref="Q306">
    <cfRule type="duplicateValues" dxfId="10832" priority="11150"/>
  </conditionalFormatting>
  <conditionalFormatting sqref="Q306">
    <cfRule type="duplicateValues" dxfId="10831" priority="11149"/>
  </conditionalFormatting>
  <conditionalFormatting sqref="Q306:R306">
    <cfRule type="duplicateValues" dxfId="10830" priority="11148"/>
  </conditionalFormatting>
  <conditionalFormatting sqref="Q306">
    <cfRule type="duplicateValues" dxfId="10829" priority="11147"/>
  </conditionalFormatting>
  <conditionalFormatting sqref="Q306:R306">
    <cfRule type="duplicateValues" dxfId="10828" priority="11146"/>
  </conditionalFormatting>
  <conditionalFormatting sqref="R306">
    <cfRule type="duplicateValues" dxfId="10827" priority="11145"/>
  </conditionalFormatting>
  <conditionalFormatting sqref="Q306">
    <cfRule type="duplicateValues" dxfId="10826" priority="11144"/>
  </conditionalFormatting>
  <conditionalFormatting sqref="Q307:R307">
    <cfRule type="duplicateValues" dxfId="10825" priority="11141"/>
    <cfRule type="duplicateValues" dxfId="10824" priority="11142"/>
    <cfRule type="duplicateValues" dxfId="10823" priority="11143"/>
  </conditionalFormatting>
  <conditionalFormatting sqref="R307">
    <cfRule type="duplicateValues" dxfId="10822" priority="11140"/>
  </conditionalFormatting>
  <conditionalFormatting sqref="Q307:R307">
    <cfRule type="duplicateValues" dxfId="10821" priority="11139"/>
  </conditionalFormatting>
  <conditionalFormatting sqref="Q307">
    <cfRule type="duplicateValues" dxfId="10820" priority="11138"/>
  </conditionalFormatting>
  <conditionalFormatting sqref="Q307">
    <cfRule type="duplicateValues" dxfId="10819" priority="11137"/>
  </conditionalFormatting>
  <conditionalFormatting sqref="Q307">
    <cfRule type="duplicateValues" dxfId="10818" priority="11136"/>
  </conditionalFormatting>
  <conditionalFormatting sqref="Q307">
    <cfRule type="duplicateValues" dxfId="10817" priority="11135"/>
  </conditionalFormatting>
  <conditionalFormatting sqref="R307">
    <cfRule type="duplicateValues" dxfId="10816" priority="11134"/>
  </conditionalFormatting>
  <conditionalFormatting sqref="Q307">
    <cfRule type="duplicateValues" dxfId="10815" priority="11132"/>
    <cfRule type="duplicateValues" dxfId="10814" priority="11133"/>
  </conditionalFormatting>
  <conditionalFormatting sqref="Q307">
    <cfRule type="duplicateValues" dxfId="10813" priority="11131"/>
  </conditionalFormatting>
  <conditionalFormatting sqref="Q307">
    <cfRule type="duplicateValues" dxfId="10812" priority="11130"/>
  </conditionalFormatting>
  <conditionalFormatting sqref="Q307">
    <cfRule type="duplicateValues" dxfId="10811" priority="11129"/>
  </conditionalFormatting>
  <conditionalFormatting sqref="Q307">
    <cfRule type="duplicateValues" dxfId="10810" priority="11128"/>
  </conditionalFormatting>
  <conditionalFormatting sqref="Q307">
    <cfRule type="duplicateValues" dxfId="10809" priority="11127"/>
  </conditionalFormatting>
  <conditionalFormatting sqref="Q307">
    <cfRule type="duplicateValues" dxfId="10808" priority="11126"/>
  </conditionalFormatting>
  <conditionalFormatting sqref="Q307">
    <cfRule type="duplicateValues" dxfId="10807" priority="11125"/>
  </conditionalFormatting>
  <conditionalFormatting sqref="Q307">
    <cfRule type="duplicateValues" dxfId="10806" priority="11124"/>
  </conditionalFormatting>
  <conditionalFormatting sqref="Q307:R307">
    <cfRule type="duplicateValues" dxfId="10805" priority="11123"/>
  </conditionalFormatting>
  <conditionalFormatting sqref="Q307">
    <cfRule type="duplicateValues" dxfId="10804" priority="11122"/>
  </conditionalFormatting>
  <conditionalFormatting sqref="R307">
    <cfRule type="duplicateValues" dxfId="10803" priority="11121"/>
  </conditionalFormatting>
  <conditionalFormatting sqref="Q307">
    <cfRule type="duplicateValues" dxfId="10802" priority="11120"/>
  </conditionalFormatting>
  <conditionalFormatting sqref="Q308:R309">
    <cfRule type="duplicateValues" dxfId="10801" priority="11119"/>
  </conditionalFormatting>
  <conditionalFormatting sqref="Q308:R309">
    <cfRule type="duplicateValues" dxfId="10800" priority="11116"/>
    <cfRule type="duplicateValues" dxfId="10799" priority="11117"/>
    <cfRule type="duplicateValues" dxfId="10798" priority="11118"/>
  </conditionalFormatting>
  <conditionalFormatting sqref="R308:R309">
    <cfRule type="duplicateValues" dxfId="10797" priority="11115"/>
  </conditionalFormatting>
  <conditionalFormatting sqref="Q308:R309">
    <cfRule type="duplicateValues" dxfId="10796" priority="11114"/>
  </conditionalFormatting>
  <conditionalFormatting sqref="Q308:Q309">
    <cfRule type="duplicateValues" dxfId="10795" priority="11113"/>
  </conditionalFormatting>
  <conditionalFormatting sqref="Q308:Q309">
    <cfRule type="duplicateValues" dxfId="10794" priority="11112"/>
  </conditionalFormatting>
  <conditionalFormatting sqref="Q308:Q309">
    <cfRule type="duplicateValues" dxfId="10793" priority="11111"/>
  </conditionalFormatting>
  <conditionalFormatting sqref="Q308:Q309">
    <cfRule type="duplicateValues" dxfId="10792" priority="11110"/>
  </conditionalFormatting>
  <conditionalFormatting sqref="R308:R309">
    <cfRule type="duplicateValues" dxfId="10791" priority="11109"/>
  </conditionalFormatting>
  <conditionalFormatting sqref="Q308:Q309">
    <cfRule type="duplicateValues" dxfId="10790" priority="11107"/>
    <cfRule type="duplicateValues" dxfId="10789" priority="11108"/>
  </conditionalFormatting>
  <conditionalFormatting sqref="Q308:Q309">
    <cfRule type="duplicateValues" dxfId="10788" priority="11106"/>
  </conditionalFormatting>
  <conditionalFormatting sqref="Q308:Q309">
    <cfRule type="duplicateValues" dxfId="10787" priority="11105"/>
  </conditionalFormatting>
  <conditionalFormatting sqref="Q308:Q309">
    <cfRule type="duplicateValues" dxfId="10786" priority="11104"/>
  </conditionalFormatting>
  <conditionalFormatting sqref="Q308:Q309">
    <cfRule type="duplicateValues" dxfId="10785" priority="11103"/>
  </conditionalFormatting>
  <conditionalFormatting sqref="Q308:Q309">
    <cfRule type="duplicateValues" dxfId="10784" priority="11102"/>
  </conditionalFormatting>
  <conditionalFormatting sqref="Q308:Q309">
    <cfRule type="duplicateValues" dxfId="10783" priority="11101"/>
  </conditionalFormatting>
  <conditionalFormatting sqref="Q308:Q309">
    <cfRule type="duplicateValues" dxfId="10782" priority="11100"/>
  </conditionalFormatting>
  <conditionalFormatting sqref="Q308:Q309">
    <cfRule type="duplicateValues" dxfId="10781" priority="11099"/>
  </conditionalFormatting>
  <conditionalFormatting sqref="Q308:R309">
    <cfRule type="duplicateValues" dxfId="10780" priority="11098"/>
  </conditionalFormatting>
  <conditionalFormatting sqref="Q308:Q309">
    <cfRule type="duplicateValues" dxfId="10779" priority="11097"/>
  </conditionalFormatting>
  <conditionalFormatting sqref="Q308:R309">
    <cfRule type="duplicateValues" dxfId="10778" priority="11096"/>
  </conditionalFormatting>
  <conditionalFormatting sqref="R308:R309">
    <cfRule type="duplicateValues" dxfId="10777" priority="11095"/>
  </conditionalFormatting>
  <conditionalFormatting sqref="Q308:Q309">
    <cfRule type="duplicateValues" dxfId="10776" priority="11094"/>
  </conditionalFormatting>
  <conditionalFormatting sqref="R310:R311">
    <cfRule type="duplicateValues" dxfId="10775" priority="11093"/>
  </conditionalFormatting>
  <conditionalFormatting sqref="Q310:Q311">
    <cfRule type="duplicateValues" dxfId="10774" priority="11091"/>
    <cfRule type="duplicateValues" dxfId="10773" priority="11092"/>
  </conditionalFormatting>
  <conditionalFormatting sqref="Q310:Q311">
    <cfRule type="duplicateValues" dxfId="10772" priority="11090"/>
  </conditionalFormatting>
  <conditionalFormatting sqref="Q310:Q311">
    <cfRule type="duplicateValues" dxfId="10771" priority="11089"/>
  </conditionalFormatting>
  <conditionalFormatting sqref="Q310:Q311">
    <cfRule type="duplicateValues" dxfId="10770" priority="11088"/>
  </conditionalFormatting>
  <conditionalFormatting sqref="Q310:Q311">
    <cfRule type="duplicateValues" dxfId="10769" priority="11087"/>
  </conditionalFormatting>
  <conditionalFormatting sqref="Q310:Q311">
    <cfRule type="duplicateValues" dxfId="10768" priority="11086"/>
  </conditionalFormatting>
  <conditionalFormatting sqref="Q310:Q311">
    <cfRule type="duplicateValues" dxfId="10767" priority="11085"/>
  </conditionalFormatting>
  <conditionalFormatting sqref="Q310:Q311">
    <cfRule type="duplicateValues" dxfId="10766" priority="11084"/>
  </conditionalFormatting>
  <conditionalFormatting sqref="Q310:Q311">
    <cfRule type="duplicateValues" dxfId="10765" priority="11083"/>
  </conditionalFormatting>
  <conditionalFormatting sqref="Q310:Q311">
    <cfRule type="duplicateValues" dxfId="10764" priority="11082"/>
  </conditionalFormatting>
  <conditionalFormatting sqref="Q310:Q311">
    <cfRule type="duplicateValues" dxfId="10763" priority="11079"/>
    <cfRule type="duplicateValues" dxfId="10762" priority="11080"/>
    <cfRule type="duplicateValues" dxfId="10761" priority="11081"/>
  </conditionalFormatting>
  <conditionalFormatting sqref="R310:R311">
    <cfRule type="duplicateValues" dxfId="10760" priority="11078"/>
  </conditionalFormatting>
  <conditionalFormatting sqref="R310:R311">
    <cfRule type="duplicateValues" dxfId="10759" priority="11075"/>
    <cfRule type="duplicateValues" dxfId="10758" priority="11076"/>
    <cfRule type="duplicateValues" dxfId="10757" priority="11077"/>
  </conditionalFormatting>
  <conditionalFormatting sqref="Q310:Q311">
    <cfRule type="duplicateValues" dxfId="10756" priority="11074"/>
  </conditionalFormatting>
  <conditionalFormatting sqref="Q312:R312">
    <cfRule type="duplicateValues" dxfId="10755" priority="11073"/>
  </conditionalFormatting>
  <conditionalFormatting sqref="Q312:R312">
    <cfRule type="duplicateValues" dxfId="10754" priority="11070"/>
    <cfRule type="duplicateValues" dxfId="10753" priority="11071"/>
    <cfRule type="duplicateValues" dxfId="10752" priority="11072"/>
  </conditionalFormatting>
  <conditionalFormatting sqref="R312">
    <cfRule type="duplicateValues" dxfId="10751" priority="11069"/>
  </conditionalFormatting>
  <conditionalFormatting sqref="Q312:R312">
    <cfRule type="duplicateValues" dxfId="10750" priority="11068"/>
  </conditionalFormatting>
  <conditionalFormatting sqref="Q312">
    <cfRule type="duplicateValues" dxfId="10749" priority="11067"/>
  </conditionalFormatting>
  <conditionalFormatting sqref="Q312">
    <cfRule type="duplicateValues" dxfId="10748" priority="11066"/>
  </conditionalFormatting>
  <conditionalFormatting sqref="Q312">
    <cfRule type="duplicateValues" dxfId="10747" priority="11065"/>
  </conditionalFormatting>
  <conditionalFormatting sqref="Q312">
    <cfRule type="duplicateValues" dxfId="10746" priority="11064"/>
  </conditionalFormatting>
  <conditionalFormatting sqref="R312">
    <cfRule type="duplicateValues" dxfId="10745" priority="11063"/>
  </conditionalFormatting>
  <conditionalFormatting sqref="Q312">
    <cfRule type="duplicateValues" dxfId="10744" priority="11061"/>
    <cfRule type="duplicateValues" dxfId="10743" priority="11062"/>
  </conditionalFormatting>
  <conditionalFormatting sqref="Q312">
    <cfRule type="duplicateValues" dxfId="10742" priority="11060"/>
  </conditionalFormatting>
  <conditionalFormatting sqref="Q312">
    <cfRule type="duplicateValues" dxfId="10741" priority="11059"/>
  </conditionalFormatting>
  <conditionalFormatting sqref="Q312">
    <cfRule type="duplicateValues" dxfId="10740" priority="11058"/>
  </conditionalFormatting>
  <conditionalFormatting sqref="Q312">
    <cfRule type="duplicateValues" dxfId="10739" priority="11057"/>
  </conditionalFormatting>
  <conditionalFormatting sqref="Q312">
    <cfRule type="duplicateValues" dxfId="10738" priority="11056"/>
  </conditionalFormatting>
  <conditionalFormatting sqref="Q312">
    <cfRule type="duplicateValues" dxfId="10737" priority="11055"/>
  </conditionalFormatting>
  <conditionalFormatting sqref="Q312">
    <cfRule type="duplicateValues" dxfId="10736" priority="11054"/>
  </conditionalFormatting>
  <conditionalFormatting sqref="Q312">
    <cfRule type="duplicateValues" dxfId="10735" priority="11053"/>
  </conditionalFormatting>
  <conditionalFormatting sqref="Q312:R312">
    <cfRule type="duplicateValues" dxfId="10734" priority="11052"/>
  </conditionalFormatting>
  <conditionalFormatting sqref="Q312">
    <cfRule type="duplicateValues" dxfId="10733" priority="11051"/>
  </conditionalFormatting>
  <conditionalFormatting sqref="R312">
    <cfRule type="duplicateValues" dxfId="10732" priority="11050"/>
  </conditionalFormatting>
  <conditionalFormatting sqref="Q312">
    <cfRule type="duplicateValues" dxfId="10731" priority="11049"/>
  </conditionalFormatting>
  <conditionalFormatting sqref="Q313:Q314">
    <cfRule type="duplicateValues" dxfId="10730" priority="11048"/>
  </conditionalFormatting>
  <conditionalFormatting sqref="Q313:Q314">
    <cfRule type="duplicateValues" dxfId="10729" priority="11047"/>
  </conditionalFormatting>
  <conditionalFormatting sqref="Q313:Q314">
    <cfRule type="duplicateValues" dxfId="10728" priority="11046"/>
  </conditionalFormatting>
  <conditionalFormatting sqref="Q313:Q314">
    <cfRule type="duplicateValues" dxfId="10727" priority="11045"/>
  </conditionalFormatting>
  <conditionalFormatting sqref="Q313:Q314">
    <cfRule type="duplicateValues" dxfId="10726" priority="11044"/>
  </conditionalFormatting>
  <conditionalFormatting sqref="Q313:Q314">
    <cfRule type="duplicateValues" dxfId="10725" priority="11043"/>
  </conditionalFormatting>
  <conditionalFormatting sqref="Q313:Q314">
    <cfRule type="duplicateValues" dxfId="10724" priority="11042"/>
  </conditionalFormatting>
  <conditionalFormatting sqref="Q313:R314">
    <cfRule type="duplicateValues" dxfId="10723" priority="11041"/>
  </conditionalFormatting>
  <conditionalFormatting sqref="Q313:R314">
    <cfRule type="duplicateValues" dxfId="10722" priority="11038"/>
    <cfRule type="duplicateValues" dxfId="10721" priority="11039"/>
    <cfRule type="duplicateValues" dxfId="10720" priority="11040"/>
  </conditionalFormatting>
  <conditionalFormatting sqref="R313:R314">
    <cfRule type="duplicateValues" dxfId="10719" priority="11037"/>
  </conditionalFormatting>
  <conditionalFormatting sqref="Q313:Q314">
    <cfRule type="duplicateValues" dxfId="10718" priority="11036"/>
  </conditionalFormatting>
  <conditionalFormatting sqref="Q313:Q314">
    <cfRule type="duplicateValues" dxfId="10717" priority="11033"/>
    <cfRule type="duplicateValues" dxfId="10716" priority="11034"/>
    <cfRule type="duplicateValues" dxfId="10715" priority="11035"/>
  </conditionalFormatting>
  <conditionalFormatting sqref="R313:R314">
    <cfRule type="duplicateValues" dxfId="10714" priority="11030"/>
    <cfRule type="duplicateValues" dxfId="10713" priority="11031"/>
    <cfRule type="duplicateValues" dxfId="10712" priority="11032"/>
  </conditionalFormatting>
  <conditionalFormatting sqref="Q313:Q314">
    <cfRule type="duplicateValues" dxfId="10711" priority="11028"/>
    <cfRule type="duplicateValues" dxfId="10710" priority="11029"/>
  </conditionalFormatting>
  <conditionalFormatting sqref="Q313:Q314">
    <cfRule type="duplicateValues" dxfId="10709" priority="11027"/>
  </conditionalFormatting>
  <conditionalFormatting sqref="Q315:R315">
    <cfRule type="duplicateValues" dxfId="10708" priority="11024"/>
    <cfRule type="duplicateValues" dxfId="10707" priority="11025"/>
    <cfRule type="duplicateValues" dxfId="10706" priority="11026"/>
  </conditionalFormatting>
  <conditionalFormatting sqref="R315">
    <cfRule type="duplicateValues" dxfId="10705" priority="11023"/>
  </conditionalFormatting>
  <conditionalFormatting sqref="Q315:R315">
    <cfRule type="duplicateValues" dxfId="10704" priority="11022"/>
  </conditionalFormatting>
  <conditionalFormatting sqref="Q315">
    <cfRule type="duplicateValues" dxfId="10703" priority="11021"/>
  </conditionalFormatting>
  <conditionalFormatting sqref="Q315">
    <cfRule type="duplicateValues" dxfId="10702" priority="11020"/>
  </conditionalFormatting>
  <conditionalFormatting sqref="Q315">
    <cfRule type="duplicateValues" dxfId="10701" priority="11019"/>
  </conditionalFormatting>
  <conditionalFormatting sqref="Q315">
    <cfRule type="duplicateValues" dxfId="10700" priority="11018"/>
  </conditionalFormatting>
  <conditionalFormatting sqref="R315">
    <cfRule type="duplicateValues" dxfId="10699" priority="11017"/>
  </conditionalFormatting>
  <conditionalFormatting sqref="Q315">
    <cfRule type="duplicateValues" dxfId="10698" priority="11015"/>
    <cfRule type="duplicateValues" dxfId="10697" priority="11016"/>
  </conditionalFormatting>
  <conditionalFormatting sqref="Q315">
    <cfRule type="duplicateValues" dxfId="10696" priority="11014"/>
  </conditionalFormatting>
  <conditionalFormatting sqref="Q315">
    <cfRule type="duplicateValues" dxfId="10695" priority="11013"/>
  </conditionalFormatting>
  <conditionalFormatting sqref="Q315">
    <cfRule type="duplicateValues" dxfId="10694" priority="11012"/>
  </conditionalFormatting>
  <conditionalFormatting sqref="Q315">
    <cfRule type="duplicateValues" dxfId="10693" priority="11011"/>
  </conditionalFormatting>
  <conditionalFormatting sqref="Q315">
    <cfRule type="duplicateValues" dxfId="10692" priority="11010"/>
  </conditionalFormatting>
  <conditionalFormatting sqref="Q315">
    <cfRule type="duplicateValues" dxfId="10691" priority="11009"/>
  </conditionalFormatting>
  <conditionalFormatting sqref="Q315">
    <cfRule type="duplicateValues" dxfId="10690" priority="11008"/>
  </conditionalFormatting>
  <conditionalFormatting sqref="Q315">
    <cfRule type="duplicateValues" dxfId="10689" priority="11007"/>
  </conditionalFormatting>
  <conditionalFormatting sqref="Q315:R315">
    <cfRule type="duplicateValues" dxfId="10688" priority="11006"/>
  </conditionalFormatting>
  <conditionalFormatting sqref="Q315">
    <cfRule type="duplicateValues" dxfId="10687" priority="11005"/>
  </conditionalFormatting>
  <conditionalFormatting sqref="R315">
    <cfRule type="duplicateValues" dxfId="10686" priority="11004"/>
  </conditionalFormatting>
  <conditionalFormatting sqref="Q315">
    <cfRule type="duplicateValues" dxfId="10685" priority="11003"/>
  </conditionalFormatting>
  <conditionalFormatting sqref="Q316:R316">
    <cfRule type="duplicateValues" dxfId="10684" priority="11002"/>
  </conditionalFormatting>
  <conditionalFormatting sqref="Q316:R316">
    <cfRule type="duplicateValues" dxfId="10683" priority="10999"/>
    <cfRule type="duplicateValues" dxfId="10682" priority="11000"/>
    <cfRule type="duplicateValues" dxfId="10681" priority="11001"/>
  </conditionalFormatting>
  <conditionalFormatting sqref="R316">
    <cfRule type="duplicateValues" dxfId="10680" priority="10998"/>
  </conditionalFormatting>
  <conditionalFormatting sqref="Q316:R316">
    <cfRule type="duplicateValues" dxfId="10679" priority="10997"/>
  </conditionalFormatting>
  <conditionalFormatting sqref="Q316">
    <cfRule type="duplicateValues" dxfId="10678" priority="10996"/>
  </conditionalFormatting>
  <conditionalFormatting sqref="Q316">
    <cfRule type="duplicateValues" dxfId="10677" priority="10995"/>
  </conditionalFormatting>
  <conditionalFormatting sqref="Q316">
    <cfRule type="duplicateValues" dxfId="10676" priority="10994"/>
  </conditionalFormatting>
  <conditionalFormatting sqref="Q316">
    <cfRule type="duplicateValues" dxfId="10675" priority="10993"/>
  </conditionalFormatting>
  <conditionalFormatting sqref="R316">
    <cfRule type="duplicateValues" dxfId="10674" priority="10992"/>
  </conditionalFormatting>
  <conditionalFormatting sqref="Q316">
    <cfRule type="duplicateValues" dxfId="10673" priority="10990"/>
    <cfRule type="duplicateValues" dxfId="10672" priority="10991"/>
  </conditionalFormatting>
  <conditionalFormatting sqref="Q316">
    <cfRule type="duplicateValues" dxfId="10671" priority="10989"/>
  </conditionalFormatting>
  <conditionalFormatting sqref="Q316">
    <cfRule type="duplicateValues" dxfId="10670" priority="10988"/>
  </conditionalFormatting>
  <conditionalFormatting sqref="Q316">
    <cfRule type="duplicateValues" dxfId="10669" priority="10987"/>
  </conditionalFormatting>
  <conditionalFormatting sqref="Q316">
    <cfRule type="duplicateValues" dxfId="10668" priority="10986"/>
  </conditionalFormatting>
  <conditionalFormatting sqref="Q316">
    <cfRule type="duplicateValues" dxfId="10667" priority="10985"/>
  </conditionalFormatting>
  <conditionalFormatting sqref="Q316">
    <cfRule type="duplicateValues" dxfId="10666" priority="10984"/>
  </conditionalFormatting>
  <conditionalFormatting sqref="Q316">
    <cfRule type="duplicateValues" dxfId="10665" priority="10983"/>
  </conditionalFormatting>
  <conditionalFormatting sqref="Q316">
    <cfRule type="duplicateValues" dxfId="10664" priority="10982"/>
  </conditionalFormatting>
  <conditionalFormatting sqref="Q316">
    <cfRule type="duplicateValues" dxfId="10663" priority="10981"/>
  </conditionalFormatting>
  <conditionalFormatting sqref="Q316">
    <cfRule type="duplicateValues" dxfId="10662" priority="10978"/>
    <cfRule type="duplicateValues" dxfId="10661" priority="10979"/>
    <cfRule type="duplicateValues" dxfId="10660" priority="10980"/>
  </conditionalFormatting>
  <conditionalFormatting sqref="R316">
    <cfRule type="duplicateValues" dxfId="10659" priority="10977"/>
  </conditionalFormatting>
  <conditionalFormatting sqref="R316">
    <cfRule type="duplicateValues" dxfId="10658" priority="10974"/>
    <cfRule type="duplicateValues" dxfId="10657" priority="10975"/>
    <cfRule type="duplicateValues" dxfId="10656" priority="10976"/>
  </conditionalFormatting>
  <conditionalFormatting sqref="Q316">
    <cfRule type="duplicateValues" dxfId="10655" priority="10973"/>
  </conditionalFormatting>
  <conditionalFormatting sqref="Q317:R317">
    <cfRule type="duplicateValues" dxfId="10654" priority="10969"/>
  </conditionalFormatting>
  <conditionalFormatting sqref="Q317:R317">
    <cfRule type="duplicateValues" dxfId="10653" priority="10966"/>
    <cfRule type="duplicateValues" dxfId="10652" priority="10967"/>
    <cfRule type="duplicateValues" dxfId="10651" priority="10968"/>
  </conditionalFormatting>
  <conditionalFormatting sqref="R317">
    <cfRule type="duplicateValues" dxfId="10650" priority="10965"/>
  </conditionalFormatting>
  <conditionalFormatting sqref="Q317:R317">
    <cfRule type="duplicateValues" dxfId="10649" priority="10964"/>
  </conditionalFormatting>
  <conditionalFormatting sqref="Q317">
    <cfRule type="duplicateValues" dxfId="10648" priority="10963"/>
  </conditionalFormatting>
  <conditionalFormatting sqref="Q317">
    <cfRule type="duplicateValues" dxfId="10647" priority="10962"/>
  </conditionalFormatting>
  <conditionalFormatting sqref="Q317">
    <cfRule type="duplicateValues" dxfId="10646" priority="10961"/>
  </conditionalFormatting>
  <conditionalFormatting sqref="Q317">
    <cfRule type="duplicateValues" dxfId="10645" priority="10960"/>
  </conditionalFormatting>
  <conditionalFormatting sqref="R317">
    <cfRule type="duplicateValues" dxfId="10644" priority="10959"/>
  </conditionalFormatting>
  <conditionalFormatting sqref="Q317">
    <cfRule type="duplicateValues" dxfId="10643" priority="10957"/>
    <cfRule type="duplicateValues" dxfId="10642" priority="10958"/>
  </conditionalFormatting>
  <conditionalFormatting sqref="Q317">
    <cfRule type="duplicateValues" dxfId="10641" priority="10956"/>
  </conditionalFormatting>
  <conditionalFormatting sqref="Q317">
    <cfRule type="duplicateValues" dxfId="10640" priority="10955"/>
  </conditionalFormatting>
  <conditionalFormatting sqref="Q317">
    <cfRule type="duplicateValues" dxfId="10639" priority="10954"/>
  </conditionalFormatting>
  <conditionalFormatting sqref="Q317">
    <cfRule type="duplicateValues" dxfId="10638" priority="10953"/>
  </conditionalFormatting>
  <conditionalFormatting sqref="Q317">
    <cfRule type="duplicateValues" dxfId="10637" priority="10952"/>
  </conditionalFormatting>
  <conditionalFormatting sqref="Q317">
    <cfRule type="duplicateValues" dxfId="10636" priority="10951"/>
  </conditionalFormatting>
  <conditionalFormatting sqref="Q317">
    <cfRule type="duplicateValues" dxfId="10635" priority="10950"/>
  </conditionalFormatting>
  <conditionalFormatting sqref="Q317">
    <cfRule type="duplicateValues" dxfId="10634" priority="10949"/>
  </conditionalFormatting>
  <conditionalFormatting sqref="Q317:R317">
    <cfRule type="duplicateValues" dxfId="10633" priority="10970"/>
  </conditionalFormatting>
  <conditionalFormatting sqref="Q317">
    <cfRule type="duplicateValues" dxfId="10632" priority="10971"/>
  </conditionalFormatting>
  <conditionalFormatting sqref="R317">
    <cfRule type="duplicateValues" dxfId="10631" priority="10972"/>
  </conditionalFormatting>
  <conditionalFormatting sqref="Q317">
    <cfRule type="duplicateValues" dxfId="10630" priority="10948"/>
  </conditionalFormatting>
  <conditionalFormatting sqref="Q318:R318">
    <cfRule type="duplicateValues" dxfId="10629" priority="10947"/>
  </conditionalFormatting>
  <conditionalFormatting sqref="Q318:R318">
    <cfRule type="duplicateValues" dxfId="10628" priority="10944"/>
    <cfRule type="duplicateValues" dxfId="10627" priority="10945"/>
    <cfRule type="duplicateValues" dxfId="10626" priority="10946"/>
  </conditionalFormatting>
  <conditionalFormatting sqref="R318">
    <cfRule type="duplicateValues" dxfId="10625" priority="10943"/>
  </conditionalFormatting>
  <conditionalFormatting sqref="Q318:R318">
    <cfRule type="duplicateValues" dxfId="10624" priority="10942"/>
  </conditionalFormatting>
  <conditionalFormatting sqref="Q318">
    <cfRule type="duplicateValues" dxfId="10623" priority="10941"/>
  </conditionalFormatting>
  <conditionalFormatting sqref="Q318">
    <cfRule type="duplicateValues" dxfId="10622" priority="10940"/>
  </conditionalFormatting>
  <conditionalFormatting sqref="Q318">
    <cfRule type="duplicateValues" dxfId="10621" priority="10939"/>
  </conditionalFormatting>
  <conditionalFormatting sqref="Q318">
    <cfRule type="duplicateValues" dxfId="10620" priority="10938"/>
  </conditionalFormatting>
  <conditionalFormatting sqref="R318">
    <cfRule type="duplicateValues" dxfId="10619" priority="10937"/>
  </conditionalFormatting>
  <conditionalFormatting sqref="Q318">
    <cfRule type="duplicateValues" dxfId="10618" priority="10935"/>
    <cfRule type="duplicateValues" dxfId="10617" priority="10936"/>
  </conditionalFormatting>
  <conditionalFormatting sqref="Q318">
    <cfRule type="duplicateValues" dxfId="10616" priority="10934"/>
  </conditionalFormatting>
  <conditionalFormatting sqref="Q318">
    <cfRule type="duplicateValues" dxfId="10615" priority="10933"/>
  </conditionalFormatting>
  <conditionalFormatting sqref="Q318">
    <cfRule type="duplicateValues" dxfId="10614" priority="10932"/>
  </conditionalFormatting>
  <conditionalFormatting sqref="Q318">
    <cfRule type="duplicateValues" dxfId="10613" priority="10931"/>
  </conditionalFormatting>
  <conditionalFormatting sqref="Q318">
    <cfRule type="duplicateValues" dxfId="10612" priority="10930"/>
  </conditionalFormatting>
  <conditionalFormatting sqref="Q318">
    <cfRule type="duplicateValues" dxfId="10611" priority="10929"/>
  </conditionalFormatting>
  <conditionalFormatting sqref="Q318">
    <cfRule type="duplicateValues" dxfId="10610" priority="10928"/>
  </conditionalFormatting>
  <conditionalFormatting sqref="Q318">
    <cfRule type="duplicateValues" dxfId="10609" priority="10927"/>
  </conditionalFormatting>
  <conditionalFormatting sqref="Q318:R318">
    <cfRule type="duplicateValues" dxfId="10608" priority="10926"/>
  </conditionalFormatting>
  <conditionalFormatting sqref="Q318">
    <cfRule type="duplicateValues" dxfId="10607" priority="10925"/>
  </conditionalFormatting>
  <conditionalFormatting sqref="R318">
    <cfRule type="duplicateValues" dxfId="10606" priority="10924"/>
  </conditionalFormatting>
  <conditionalFormatting sqref="Q318">
    <cfRule type="duplicateValues" dxfId="10605" priority="10923"/>
  </conditionalFormatting>
  <conditionalFormatting sqref="Q319:R319">
    <cfRule type="duplicateValues" dxfId="10604" priority="10922"/>
  </conditionalFormatting>
  <conditionalFormatting sqref="Q319:R319">
    <cfRule type="duplicateValues" dxfId="10603" priority="10919"/>
    <cfRule type="duplicateValues" dxfId="10602" priority="10920"/>
    <cfRule type="duplicateValues" dxfId="10601" priority="10921"/>
  </conditionalFormatting>
  <conditionalFormatting sqref="R319">
    <cfRule type="duplicateValues" dxfId="10600" priority="10918"/>
  </conditionalFormatting>
  <conditionalFormatting sqref="Q319:R319">
    <cfRule type="duplicateValues" dxfId="10599" priority="10917"/>
  </conditionalFormatting>
  <conditionalFormatting sqref="Q319">
    <cfRule type="duplicateValues" dxfId="10598" priority="10916"/>
  </conditionalFormatting>
  <conditionalFormatting sqref="Q319">
    <cfRule type="duplicateValues" dxfId="10597" priority="10915"/>
  </conditionalFormatting>
  <conditionalFormatting sqref="Q319">
    <cfRule type="duplicateValues" dxfId="10596" priority="10914"/>
  </conditionalFormatting>
  <conditionalFormatting sqref="Q319">
    <cfRule type="duplicateValues" dxfId="10595" priority="10913"/>
  </conditionalFormatting>
  <conditionalFormatting sqref="R319">
    <cfRule type="duplicateValues" dxfId="10594" priority="10912"/>
  </conditionalFormatting>
  <conditionalFormatting sqref="Q319">
    <cfRule type="duplicateValues" dxfId="10593" priority="10910"/>
    <cfRule type="duplicateValues" dxfId="10592" priority="10911"/>
  </conditionalFormatting>
  <conditionalFormatting sqref="Q319">
    <cfRule type="duplicateValues" dxfId="10591" priority="10909"/>
  </conditionalFormatting>
  <conditionalFormatting sqref="Q319">
    <cfRule type="duplicateValues" dxfId="10590" priority="10908"/>
  </conditionalFormatting>
  <conditionalFormatting sqref="Q319">
    <cfRule type="duplicateValues" dxfId="10589" priority="10907"/>
  </conditionalFormatting>
  <conditionalFormatting sqref="Q319">
    <cfRule type="duplicateValues" dxfId="10588" priority="10906"/>
  </conditionalFormatting>
  <conditionalFormatting sqref="Q319">
    <cfRule type="duplicateValues" dxfId="10587" priority="10905"/>
  </conditionalFormatting>
  <conditionalFormatting sqref="Q319">
    <cfRule type="duplicateValues" dxfId="10586" priority="10904"/>
  </conditionalFormatting>
  <conditionalFormatting sqref="Q319">
    <cfRule type="duplicateValues" dxfId="10585" priority="10903"/>
  </conditionalFormatting>
  <conditionalFormatting sqref="Q319">
    <cfRule type="duplicateValues" dxfId="10584" priority="10902"/>
  </conditionalFormatting>
  <conditionalFormatting sqref="Q319:R319">
    <cfRule type="duplicateValues" dxfId="10583" priority="10901"/>
  </conditionalFormatting>
  <conditionalFormatting sqref="Q319">
    <cfRule type="duplicateValues" dxfId="10582" priority="10900"/>
  </conditionalFormatting>
  <conditionalFormatting sqref="R319">
    <cfRule type="duplicateValues" dxfId="10581" priority="10899"/>
  </conditionalFormatting>
  <conditionalFormatting sqref="Q319">
    <cfRule type="duplicateValues" dxfId="10580" priority="10898"/>
  </conditionalFormatting>
  <conditionalFormatting sqref="Q320">
    <cfRule type="duplicateValues" dxfId="10579" priority="10897"/>
  </conditionalFormatting>
  <conditionalFormatting sqref="Q320">
    <cfRule type="duplicateValues" dxfId="10578" priority="10896"/>
  </conditionalFormatting>
  <conditionalFormatting sqref="Q320">
    <cfRule type="duplicateValues" dxfId="10577" priority="10895"/>
  </conditionalFormatting>
  <conditionalFormatting sqref="R320">
    <cfRule type="duplicateValues" dxfId="10576" priority="10894"/>
  </conditionalFormatting>
  <conditionalFormatting sqref="Q320">
    <cfRule type="duplicateValues" dxfId="10575" priority="10892"/>
    <cfRule type="duplicateValues" dxfId="10574" priority="10893"/>
  </conditionalFormatting>
  <conditionalFormatting sqref="Q320">
    <cfRule type="duplicateValues" dxfId="10573" priority="10891"/>
  </conditionalFormatting>
  <conditionalFormatting sqref="Q320">
    <cfRule type="duplicateValues" dxfId="10572" priority="10890"/>
  </conditionalFormatting>
  <conditionalFormatting sqref="Q320">
    <cfRule type="duplicateValues" dxfId="10571" priority="10889"/>
  </conditionalFormatting>
  <conditionalFormatting sqref="Q320">
    <cfRule type="duplicateValues" dxfId="10570" priority="10888"/>
  </conditionalFormatting>
  <conditionalFormatting sqref="Q320">
    <cfRule type="duplicateValues" dxfId="10569" priority="10887"/>
  </conditionalFormatting>
  <conditionalFormatting sqref="Q320">
    <cfRule type="duplicateValues" dxfId="10568" priority="10886"/>
  </conditionalFormatting>
  <conditionalFormatting sqref="Q320">
    <cfRule type="duplicateValues" dxfId="10567" priority="10885"/>
  </conditionalFormatting>
  <conditionalFormatting sqref="Q320">
    <cfRule type="duplicateValues" dxfId="10566" priority="10884"/>
  </conditionalFormatting>
  <conditionalFormatting sqref="Q320">
    <cfRule type="duplicateValues" dxfId="10565" priority="10883"/>
  </conditionalFormatting>
  <conditionalFormatting sqref="Q320:R320">
    <cfRule type="duplicateValues" dxfId="10564" priority="10882"/>
  </conditionalFormatting>
  <conditionalFormatting sqref="Q320">
    <cfRule type="duplicateValues" dxfId="10563" priority="10881"/>
  </conditionalFormatting>
  <conditionalFormatting sqref="R320">
    <cfRule type="duplicateValues" dxfId="10562" priority="10880"/>
  </conditionalFormatting>
  <conditionalFormatting sqref="Q320:R320">
    <cfRule type="duplicateValues" dxfId="10561" priority="10877"/>
    <cfRule type="duplicateValues" dxfId="10560" priority="10878"/>
    <cfRule type="duplicateValues" dxfId="10559" priority="10879"/>
  </conditionalFormatting>
  <conditionalFormatting sqref="Q321">
    <cfRule type="duplicateValues" dxfId="10558" priority="10876"/>
  </conditionalFormatting>
  <conditionalFormatting sqref="Q321">
    <cfRule type="duplicateValues" dxfId="10557" priority="10875"/>
  </conditionalFormatting>
  <conditionalFormatting sqref="Q321">
    <cfRule type="duplicateValues" dxfId="10556" priority="10874"/>
  </conditionalFormatting>
  <conditionalFormatting sqref="Q321">
    <cfRule type="duplicateValues" dxfId="10555" priority="10873"/>
  </conditionalFormatting>
  <conditionalFormatting sqref="Q321">
    <cfRule type="duplicateValues" dxfId="10554" priority="10872"/>
  </conditionalFormatting>
  <conditionalFormatting sqref="Q321">
    <cfRule type="duplicateValues" dxfId="10553" priority="10871"/>
  </conditionalFormatting>
  <conditionalFormatting sqref="Q321">
    <cfRule type="duplicateValues" dxfId="10552" priority="10870"/>
  </conditionalFormatting>
  <conditionalFormatting sqref="Q321:R321">
    <cfRule type="duplicateValues" dxfId="10551" priority="10869"/>
  </conditionalFormatting>
  <conditionalFormatting sqref="Q321:R321">
    <cfRule type="duplicateValues" dxfId="10550" priority="10866"/>
    <cfRule type="duplicateValues" dxfId="10549" priority="10867"/>
    <cfRule type="duplicateValues" dxfId="10548" priority="10868"/>
  </conditionalFormatting>
  <conditionalFormatting sqref="R321">
    <cfRule type="duplicateValues" dxfId="10547" priority="10865"/>
  </conditionalFormatting>
  <conditionalFormatting sqref="Q321">
    <cfRule type="duplicateValues" dxfId="10546" priority="10864"/>
  </conditionalFormatting>
  <conditionalFormatting sqref="Q321">
    <cfRule type="duplicateValues" dxfId="10545" priority="10861"/>
    <cfRule type="duplicateValues" dxfId="10544" priority="10862"/>
    <cfRule type="duplicateValues" dxfId="10543" priority="10863"/>
  </conditionalFormatting>
  <conditionalFormatting sqref="R321">
    <cfRule type="duplicateValues" dxfId="10542" priority="10858"/>
    <cfRule type="duplicateValues" dxfId="10541" priority="10859"/>
    <cfRule type="duplicateValues" dxfId="10540" priority="10860"/>
  </conditionalFormatting>
  <conditionalFormatting sqref="Q321">
    <cfRule type="duplicateValues" dxfId="10539" priority="10856"/>
    <cfRule type="duplicateValues" dxfId="10538" priority="10857"/>
  </conditionalFormatting>
  <conditionalFormatting sqref="Q321">
    <cfRule type="duplicateValues" dxfId="10537" priority="10855"/>
  </conditionalFormatting>
  <conditionalFormatting sqref="Q322">
    <cfRule type="duplicateValues" dxfId="10536" priority="10854"/>
  </conditionalFormatting>
  <conditionalFormatting sqref="Q322">
    <cfRule type="duplicateValues" dxfId="10535" priority="10853"/>
  </conditionalFormatting>
  <conditionalFormatting sqref="Q322">
    <cfRule type="duplicateValues" dxfId="10534" priority="10852"/>
  </conditionalFormatting>
  <conditionalFormatting sqref="Q322">
    <cfRule type="duplicateValues" dxfId="10533" priority="10851"/>
  </conditionalFormatting>
  <conditionalFormatting sqref="Q322">
    <cfRule type="duplicateValues" dxfId="10532" priority="10850"/>
  </conditionalFormatting>
  <conditionalFormatting sqref="Q322">
    <cfRule type="duplicateValues" dxfId="10531" priority="10849"/>
  </conditionalFormatting>
  <conditionalFormatting sqref="Q322">
    <cfRule type="duplicateValues" dxfId="10530" priority="10848"/>
  </conditionalFormatting>
  <conditionalFormatting sqref="Q322:R322">
    <cfRule type="duplicateValues" dxfId="10529" priority="10847"/>
  </conditionalFormatting>
  <conditionalFormatting sqref="Q322:R322">
    <cfRule type="duplicateValues" dxfId="10528" priority="10844"/>
    <cfRule type="duplicateValues" dxfId="10527" priority="10845"/>
    <cfRule type="duplicateValues" dxfId="10526" priority="10846"/>
  </conditionalFormatting>
  <conditionalFormatting sqref="R322">
    <cfRule type="duplicateValues" dxfId="10525" priority="10843"/>
  </conditionalFormatting>
  <conditionalFormatting sqref="Q322">
    <cfRule type="duplicateValues" dxfId="10524" priority="10842"/>
  </conditionalFormatting>
  <conditionalFormatting sqref="Q322">
    <cfRule type="duplicateValues" dxfId="10523" priority="10839"/>
    <cfRule type="duplicateValues" dxfId="10522" priority="10840"/>
    <cfRule type="duplicateValues" dxfId="10521" priority="10841"/>
  </conditionalFormatting>
  <conditionalFormatting sqref="R322">
    <cfRule type="duplicateValues" dxfId="10520" priority="10836"/>
    <cfRule type="duplicateValues" dxfId="10519" priority="10837"/>
    <cfRule type="duplicateValues" dxfId="10518" priority="10838"/>
  </conditionalFormatting>
  <conditionalFormatting sqref="Q322">
    <cfRule type="duplicateValues" dxfId="10517" priority="10834"/>
    <cfRule type="duplicateValues" dxfId="10516" priority="10835"/>
  </conditionalFormatting>
  <conditionalFormatting sqref="Q322">
    <cfRule type="duplicateValues" dxfId="10515" priority="10833"/>
  </conditionalFormatting>
  <conditionalFormatting sqref="Q323:R323">
    <cfRule type="duplicateValues" dxfId="10514" priority="10832"/>
  </conditionalFormatting>
  <conditionalFormatting sqref="Q323:R323">
    <cfRule type="duplicateValues" dxfId="10513" priority="10829"/>
    <cfRule type="duplicateValues" dxfId="10512" priority="10830"/>
    <cfRule type="duplicateValues" dxfId="10511" priority="10831"/>
  </conditionalFormatting>
  <conditionalFormatting sqref="R323">
    <cfRule type="duplicateValues" dxfId="10510" priority="10828"/>
  </conditionalFormatting>
  <conditionalFormatting sqref="Q323:R323">
    <cfRule type="duplicateValues" dxfId="10509" priority="10827"/>
  </conditionalFormatting>
  <conditionalFormatting sqref="Q323">
    <cfRule type="duplicateValues" dxfId="10508" priority="10826"/>
  </conditionalFormatting>
  <conditionalFormatting sqref="Q323">
    <cfRule type="duplicateValues" dxfId="10507" priority="10825"/>
  </conditionalFormatting>
  <conditionalFormatting sqref="Q323">
    <cfRule type="duplicateValues" dxfId="10506" priority="10824"/>
  </conditionalFormatting>
  <conditionalFormatting sqref="Q323">
    <cfRule type="duplicateValues" dxfId="10505" priority="10823"/>
  </conditionalFormatting>
  <conditionalFormatting sqref="R323">
    <cfRule type="duplicateValues" dxfId="10504" priority="10822"/>
  </conditionalFormatting>
  <conditionalFormatting sqref="Q323">
    <cfRule type="duplicateValues" dxfId="10503" priority="10820"/>
    <cfRule type="duplicateValues" dxfId="10502" priority="10821"/>
  </conditionalFormatting>
  <conditionalFormatting sqref="Q323">
    <cfRule type="duplicateValues" dxfId="10501" priority="10819"/>
  </conditionalFormatting>
  <conditionalFormatting sqref="Q323">
    <cfRule type="duplicateValues" dxfId="10500" priority="10818"/>
  </conditionalFormatting>
  <conditionalFormatting sqref="Q323">
    <cfRule type="duplicateValues" dxfId="10499" priority="10817"/>
  </conditionalFormatting>
  <conditionalFormatting sqref="Q323">
    <cfRule type="duplicateValues" dxfId="10498" priority="10816"/>
  </conditionalFormatting>
  <conditionalFormatting sqref="Q323">
    <cfRule type="duplicateValues" dxfId="10497" priority="10815"/>
  </conditionalFormatting>
  <conditionalFormatting sqref="Q323">
    <cfRule type="duplicateValues" dxfId="10496" priority="10814"/>
  </conditionalFormatting>
  <conditionalFormatting sqref="Q323">
    <cfRule type="duplicateValues" dxfId="10495" priority="10813"/>
  </conditionalFormatting>
  <conditionalFormatting sqref="Q323">
    <cfRule type="duplicateValues" dxfId="10494" priority="10812"/>
  </conditionalFormatting>
  <conditionalFormatting sqref="Q323:R323">
    <cfRule type="duplicateValues" dxfId="10493" priority="10811"/>
  </conditionalFormatting>
  <conditionalFormatting sqref="Q323">
    <cfRule type="duplicateValues" dxfId="10492" priority="10810"/>
  </conditionalFormatting>
  <conditionalFormatting sqref="Q323:R323">
    <cfRule type="duplicateValues" dxfId="10491" priority="10809"/>
  </conditionalFormatting>
  <conditionalFormatting sqref="R323">
    <cfRule type="duplicateValues" dxfId="10490" priority="10808"/>
  </conditionalFormatting>
  <conditionalFormatting sqref="Q323">
    <cfRule type="duplicateValues" dxfId="10489" priority="10807"/>
  </conditionalFormatting>
  <conditionalFormatting sqref="Q451:R456 Q324:R324 Q748:R748">
    <cfRule type="duplicateValues" dxfId="10488" priority="10806"/>
  </conditionalFormatting>
  <conditionalFormatting sqref="Q451:R456 Q324:R324 Q748:R748">
    <cfRule type="duplicateValues" dxfId="10487" priority="10803"/>
    <cfRule type="duplicateValues" dxfId="10486" priority="10804"/>
    <cfRule type="duplicateValues" dxfId="10485" priority="10805"/>
  </conditionalFormatting>
  <conditionalFormatting sqref="R451:R456 R324 R748">
    <cfRule type="duplicateValues" dxfId="10484" priority="10802"/>
  </conditionalFormatting>
  <conditionalFormatting sqref="Q324:R324">
    <cfRule type="duplicateValues" dxfId="10483" priority="10801"/>
  </conditionalFormatting>
  <conditionalFormatting sqref="Q451:Q456 Q324 Q748">
    <cfRule type="duplicateValues" dxfId="10482" priority="10800"/>
  </conditionalFormatting>
  <conditionalFormatting sqref="Q324">
    <cfRule type="duplicateValues" dxfId="10481" priority="10799"/>
  </conditionalFormatting>
  <conditionalFormatting sqref="Q324">
    <cfRule type="duplicateValues" dxfId="10480" priority="10798"/>
  </conditionalFormatting>
  <conditionalFormatting sqref="Q324">
    <cfRule type="duplicateValues" dxfId="10479" priority="10797"/>
  </conditionalFormatting>
  <conditionalFormatting sqref="R324">
    <cfRule type="duplicateValues" dxfId="10478" priority="10796"/>
  </conditionalFormatting>
  <conditionalFormatting sqref="Q451:Q456 Q324 Q748">
    <cfRule type="duplicateValues" dxfId="10477" priority="10794"/>
    <cfRule type="duplicateValues" dxfId="10476" priority="10795"/>
  </conditionalFormatting>
  <conditionalFormatting sqref="Q324">
    <cfRule type="duplicateValues" dxfId="10475" priority="10793"/>
  </conditionalFormatting>
  <conditionalFormatting sqref="Q324:R324">
    <cfRule type="duplicateValues" dxfId="10474" priority="10792"/>
  </conditionalFormatting>
  <conditionalFormatting sqref="Q324">
    <cfRule type="duplicateValues" dxfId="10473" priority="10791"/>
  </conditionalFormatting>
  <conditionalFormatting sqref="Q324">
    <cfRule type="duplicateValues" dxfId="10472" priority="10790"/>
  </conditionalFormatting>
  <conditionalFormatting sqref="Q324">
    <cfRule type="duplicateValues" dxfId="10471" priority="10789"/>
  </conditionalFormatting>
  <conditionalFormatting sqref="Q324">
    <cfRule type="duplicateValues" dxfId="10470" priority="10788"/>
  </conditionalFormatting>
  <conditionalFormatting sqref="Q324">
    <cfRule type="duplicateValues" dxfId="10469" priority="10787"/>
  </conditionalFormatting>
  <conditionalFormatting sqref="Q324">
    <cfRule type="duplicateValues" dxfId="10468" priority="10786"/>
  </conditionalFormatting>
  <conditionalFormatting sqref="Q324">
    <cfRule type="duplicateValues" dxfId="10467" priority="10785"/>
  </conditionalFormatting>
  <conditionalFormatting sqref="Q324">
    <cfRule type="duplicateValues" dxfId="10466" priority="10784"/>
  </conditionalFormatting>
  <conditionalFormatting sqref="R324">
    <cfRule type="duplicateValues" dxfId="10465" priority="10783"/>
  </conditionalFormatting>
  <conditionalFormatting sqref="Q324">
    <cfRule type="duplicateValues" dxfId="10464" priority="10782"/>
  </conditionalFormatting>
  <conditionalFormatting sqref="Q325:R325">
    <cfRule type="duplicateValues" dxfId="10463" priority="10781"/>
  </conditionalFormatting>
  <conditionalFormatting sqref="Q325:R325">
    <cfRule type="duplicateValues" dxfId="10462" priority="10778"/>
    <cfRule type="duplicateValues" dxfId="10461" priority="10779"/>
    <cfRule type="duplicateValues" dxfId="10460" priority="10780"/>
  </conditionalFormatting>
  <conditionalFormatting sqref="R325">
    <cfRule type="duplicateValues" dxfId="10459" priority="10777"/>
  </conditionalFormatting>
  <conditionalFormatting sqref="Q325:R325">
    <cfRule type="duplicateValues" dxfId="10458" priority="10776"/>
  </conditionalFormatting>
  <conditionalFormatting sqref="Q325">
    <cfRule type="duplicateValues" dxfId="10457" priority="10775"/>
  </conditionalFormatting>
  <conditionalFormatting sqref="Q325">
    <cfRule type="duplicateValues" dxfId="10456" priority="10774"/>
  </conditionalFormatting>
  <conditionalFormatting sqref="Q325">
    <cfRule type="duplicateValues" dxfId="10455" priority="10773"/>
  </conditionalFormatting>
  <conditionalFormatting sqref="Q325">
    <cfRule type="duplicateValues" dxfId="10454" priority="10772"/>
  </conditionalFormatting>
  <conditionalFormatting sqref="R325">
    <cfRule type="duplicateValues" dxfId="10453" priority="10771"/>
  </conditionalFormatting>
  <conditionalFormatting sqref="Q325">
    <cfRule type="duplicateValues" dxfId="10452" priority="10769"/>
    <cfRule type="duplicateValues" dxfId="10451" priority="10770"/>
  </conditionalFormatting>
  <conditionalFormatting sqref="Q325">
    <cfRule type="duplicateValues" dxfId="10450" priority="10768"/>
  </conditionalFormatting>
  <conditionalFormatting sqref="Q325">
    <cfRule type="duplicateValues" dxfId="10449" priority="10767"/>
  </conditionalFormatting>
  <conditionalFormatting sqref="Q325">
    <cfRule type="duplicateValues" dxfId="10448" priority="10766"/>
  </conditionalFormatting>
  <conditionalFormatting sqref="Q325">
    <cfRule type="duplicateValues" dxfId="10447" priority="10765"/>
  </conditionalFormatting>
  <conditionalFormatting sqref="Q325">
    <cfRule type="duplicateValues" dxfId="10446" priority="10764"/>
  </conditionalFormatting>
  <conditionalFormatting sqref="Q325">
    <cfRule type="duplicateValues" dxfId="10445" priority="10763"/>
  </conditionalFormatting>
  <conditionalFormatting sqref="Q325">
    <cfRule type="duplicateValues" dxfId="10444" priority="10762"/>
  </conditionalFormatting>
  <conditionalFormatting sqref="Q325">
    <cfRule type="duplicateValues" dxfId="10443" priority="10761"/>
  </conditionalFormatting>
  <conditionalFormatting sqref="Q325">
    <cfRule type="duplicateValues" dxfId="10442" priority="10760"/>
  </conditionalFormatting>
  <conditionalFormatting sqref="Q325">
    <cfRule type="duplicateValues" dxfId="10441" priority="10759"/>
  </conditionalFormatting>
  <conditionalFormatting sqref="R325">
    <cfRule type="duplicateValues" dxfId="10440" priority="10758"/>
  </conditionalFormatting>
  <conditionalFormatting sqref="R325">
    <cfRule type="duplicateValues" dxfId="10439" priority="10755"/>
    <cfRule type="duplicateValues" dxfId="10438" priority="10756"/>
    <cfRule type="duplicateValues" dxfId="10437" priority="10757"/>
  </conditionalFormatting>
  <conditionalFormatting sqref="R325">
    <cfRule type="duplicateValues" dxfId="10436" priority="10754"/>
  </conditionalFormatting>
  <conditionalFormatting sqref="R325">
    <cfRule type="duplicateValues" dxfId="10435" priority="10751"/>
    <cfRule type="duplicateValues" dxfId="10434" priority="10752"/>
    <cfRule type="duplicateValues" dxfId="10433" priority="10753"/>
  </conditionalFormatting>
  <conditionalFormatting sqref="Q325">
    <cfRule type="duplicateValues" dxfId="10432" priority="10750"/>
  </conditionalFormatting>
  <conditionalFormatting sqref="Q326:R326">
    <cfRule type="duplicateValues" dxfId="10431" priority="10749"/>
  </conditionalFormatting>
  <conditionalFormatting sqref="Q326:R326">
    <cfRule type="duplicateValues" dxfId="10430" priority="10746"/>
    <cfRule type="duplicateValues" dxfId="10429" priority="10747"/>
    <cfRule type="duplicateValues" dxfId="10428" priority="10748"/>
  </conditionalFormatting>
  <conditionalFormatting sqref="R326">
    <cfRule type="duplicateValues" dxfId="10427" priority="10745"/>
  </conditionalFormatting>
  <conditionalFormatting sqref="Q326:R326">
    <cfRule type="duplicateValues" dxfId="10426" priority="10744"/>
  </conditionalFormatting>
  <conditionalFormatting sqref="Q326">
    <cfRule type="duplicateValues" dxfId="10425" priority="10743"/>
  </conditionalFormatting>
  <conditionalFormatting sqref="Q326">
    <cfRule type="duplicateValues" dxfId="10424" priority="10742"/>
  </conditionalFormatting>
  <conditionalFormatting sqref="Q326">
    <cfRule type="duplicateValues" dxfId="10423" priority="10741"/>
  </conditionalFormatting>
  <conditionalFormatting sqref="Q326">
    <cfRule type="duplicateValues" dxfId="10422" priority="10740"/>
  </conditionalFormatting>
  <conditionalFormatting sqref="R326">
    <cfRule type="duplicateValues" dxfId="10421" priority="10739"/>
  </conditionalFormatting>
  <conditionalFormatting sqref="Q326">
    <cfRule type="duplicateValues" dxfId="10420" priority="10737"/>
    <cfRule type="duplicateValues" dxfId="10419" priority="10738"/>
  </conditionalFormatting>
  <conditionalFormatting sqref="Q326">
    <cfRule type="duplicateValues" dxfId="10418" priority="10736"/>
  </conditionalFormatting>
  <conditionalFormatting sqref="Q326">
    <cfRule type="duplicateValues" dxfId="10417" priority="10735"/>
  </conditionalFormatting>
  <conditionalFormatting sqref="Q326">
    <cfRule type="duplicateValues" dxfId="10416" priority="10734"/>
  </conditionalFormatting>
  <conditionalFormatting sqref="Q326">
    <cfRule type="duplicateValues" dxfId="10415" priority="10733"/>
  </conditionalFormatting>
  <conditionalFormatting sqref="Q326">
    <cfRule type="duplicateValues" dxfId="10414" priority="10732"/>
  </conditionalFormatting>
  <conditionalFormatting sqref="Q326">
    <cfRule type="duplicateValues" dxfId="10413" priority="10731"/>
  </conditionalFormatting>
  <conditionalFormatting sqref="Q326">
    <cfRule type="duplicateValues" dxfId="10412" priority="10730"/>
  </conditionalFormatting>
  <conditionalFormatting sqref="Q326">
    <cfRule type="duplicateValues" dxfId="10411" priority="10729"/>
  </conditionalFormatting>
  <conditionalFormatting sqref="Q326">
    <cfRule type="duplicateValues" dxfId="10410" priority="10728"/>
  </conditionalFormatting>
  <conditionalFormatting sqref="Q326">
    <cfRule type="duplicateValues" dxfId="10409" priority="10727"/>
  </conditionalFormatting>
  <conditionalFormatting sqref="R326">
    <cfRule type="duplicateValues" dxfId="10408" priority="10726"/>
  </conditionalFormatting>
  <conditionalFormatting sqref="R326">
    <cfRule type="duplicateValues" dxfId="10407" priority="10723"/>
    <cfRule type="duplicateValues" dxfId="10406" priority="10724"/>
    <cfRule type="duplicateValues" dxfId="10405" priority="10725"/>
  </conditionalFormatting>
  <conditionalFormatting sqref="R326">
    <cfRule type="duplicateValues" dxfId="10404" priority="10722"/>
  </conditionalFormatting>
  <conditionalFormatting sqref="R326">
    <cfRule type="duplicateValues" dxfId="10403" priority="10719"/>
    <cfRule type="duplicateValues" dxfId="10402" priority="10720"/>
    <cfRule type="duplicateValues" dxfId="10401" priority="10721"/>
  </conditionalFormatting>
  <conditionalFormatting sqref="Q326">
    <cfRule type="duplicateValues" dxfId="10400" priority="10718"/>
  </conditionalFormatting>
  <conditionalFormatting sqref="Q327:R327">
    <cfRule type="duplicateValues" dxfId="10399" priority="10717"/>
  </conditionalFormatting>
  <conditionalFormatting sqref="Q327:R327">
    <cfRule type="duplicateValues" dxfId="10398" priority="10714"/>
    <cfRule type="duplicateValues" dxfId="10397" priority="10715"/>
    <cfRule type="duplicateValues" dxfId="10396" priority="10716"/>
  </conditionalFormatting>
  <conditionalFormatting sqref="R327">
    <cfRule type="duplicateValues" dxfId="10395" priority="10713"/>
  </conditionalFormatting>
  <conditionalFormatting sqref="Q327:R327">
    <cfRule type="duplicateValues" dxfId="10394" priority="10712"/>
  </conditionalFormatting>
  <conditionalFormatting sqref="Q327">
    <cfRule type="duplicateValues" dxfId="10393" priority="10711"/>
  </conditionalFormatting>
  <conditionalFormatting sqref="Q327">
    <cfRule type="duplicateValues" dxfId="10392" priority="10710"/>
  </conditionalFormatting>
  <conditionalFormatting sqref="Q327">
    <cfRule type="duplicateValues" dxfId="10391" priority="10709"/>
  </conditionalFormatting>
  <conditionalFormatting sqref="Q327">
    <cfRule type="duplicateValues" dxfId="10390" priority="10708"/>
  </conditionalFormatting>
  <conditionalFormatting sqref="R327">
    <cfRule type="duplicateValues" dxfId="10389" priority="10707"/>
  </conditionalFormatting>
  <conditionalFormatting sqref="Q327">
    <cfRule type="duplicateValues" dxfId="10388" priority="10705"/>
    <cfRule type="duplicateValues" dxfId="10387" priority="10706"/>
  </conditionalFormatting>
  <conditionalFormatting sqref="Q327">
    <cfRule type="duplicateValues" dxfId="10386" priority="10704"/>
  </conditionalFormatting>
  <conditionalFormatting sqref="Q327">
    <cfRule type="duplicateValues" dxfId="10385" priority="10703"/>
  </conditionalFormatting>
  <conditionalFormatting sqref="Q327">
    <cfRule type="duplicateValues" dxfId="10384" priority="10702"/>
  </conditionalFormatting>
  <conditionalFormatting sqref="Q327">
    <cfRule type="duplicateValues" dxfId="10383" priority="10701"/>
  </conditionalFormatting>
  <conditionalFormatting sqref="Q327">
    <cfRule type="duplicateValues" dxfId="10382" priority="10700"/>
  </conditionalFormatting>
  <conditionalFormatting sqref="Q327">
    <cfRule type="duplicateValues" dxfId="10381" priority="10699"/>
  </conditionalFormatting>
  <conditionalFormatting sqref="Q327">
    <cfRule type="duplicateValues" dxfId="10380" priority="10698"/>
  </conditionalFormatting>
  <conditionalFormatting sqref="Q327">
    <cfRule type="duplicateValues" dxfId="10379" priority="10697"/>
  </conditionalFormatting>
  <conditionalFormatting sqref="Q327">
    <cfRule type="duplicateValues" dxfId="10378" priority="10696"/>
  </conditionalFormatting>
  <conditionalFormatting sqref="Q327">
    <cfRule type="duplicateValues" dxfId="10377" priority="10695"/>
  </conditionalFormatting>
  <conditionalFormatting sqref="R327">
    <cfRule type="duplicateValues" dxfId="10376" priority="10694"/>
  </conditionalFormatting>
  <conditionalFormatting sqref="R327">
    <cfRule type="duplicateValues" dxfId="10375" priority="10691"/>
    <cfRule type="duplicateValues" dxfId="10374" priority="10692"/>
    <cfRule type="duplicateValues" dxfId="10373" priority="10693"/>
  </conditionalFormatting>
  <conditionalFormatting sqref="R327">
    <cfRule type="duplicateValues" dxfId="10372" priority="10690"/>
  </conditionalFormatting>
  <conditionalFormatting sqref="R327">
    <cfRule type="duplicateValues" dxfId="10371" priority="10687"/>
    <cfRule type="duplicateValues" dxfId="10370" priority="10688"/>
    <cfRule type="duplicateValues" dxfId="10369" priority="10689"/>
  </conditionalFormatting>
  <conditionalFormatting sqref="Q327">
    <cfRule type="duplicateValues" dxfId="10368" priority="10686"/>
  </conditionalFormatting>
  <conditionalFormatting sqref="Q328:R328">
    <cfRule type="duplicateValues" dxfId="10367" priority="10685"/>
  </conditionalFormatting>
  <conditionalFormatting sqref="Q328:R328">
    <cfRule type="duplicateValues" dxfId="10366" priority="10682"/>
    <cfRule type="duplicateValues" dxfId="10365" priority="10683"/>
    <cfRule type="duplicateValues" dxfId="10364" priority="10684"/>
  </conditionalFormatting>
  <conditionalFormatting sqref="R328">
    <cfRule type="duplicateValues" dxfId="10363" priority="10681"/>
  </conditionalFormatting>
  <conditionalFormatting sqref="Q328:R328">
    <cfRule type="duplicateValues" dxfId="10362" priority="10680"/>
  </conditionalFormatting>
  <conditionalFormatting sqref="Q328">
    <cfRule type="duplicateValues" dxfId="10361" priority="10679"/>
  </conditionalFormatting>
  <conditionalFormatting sqref="Q328">
    <cfRule type="duplicateValues" dxfId="10360" priority="10678"/>
  </conditionalFormatting>
  <conditionalFormatting sqref="Q328">
    <cfRule type="duplicateValues" dxfId="10359" priority="10677"/>
  </conditionalFormatting>
  <conditionalFormatting sqref="Q328">
    <cfRule type="duplicateValues" dxfId="10358" priority="10676"/>
  </conditionalFormatting>
  <conditionalFormatting sqref="R328">
    <cfRule type="duplicateValues" dxfId="10357" priority="10675"/>
  </conditionalFormatting>
  <conditionalFormatting sqref="Q328">
    <cfRule type="duplicateValues" dxfId="10356" priority="10673"/>
    <cfRule type="duplicateValues" dxfId="10355" priority="10674"/>
  </conditionalFormatting>
  <conditionalFormatting sqref="Q328">
    <cfRule type="duplicateValues" dxfId="10354" priority="10672"/>
  </conditionalFormatting>
  <conditionalFormatting sqref="Q328">
    <cfRule type="duplicateValues" dxfId="10353" priority="10671"/>
  </conditionalFormatting>
  <conditionalFormatting sqref="Q328">
    <cfRule type="duplicateValues" dxfId="10352" priority="10670"/>
  </conditionalFormatting>
  <conditionalFormatting sqref="Q328">
    <cfRule type="duplicateValues" dxfId="10351" priority="10669"/>
  </conditionalFormatting>
  <conditionalFormatting sqref="Q328">
    <cfRule type="duplicateValues" dxfId="10350" priority="10668"/>
  </conditionalFormatting>
  <conditionalFormatting sqref="Q328">
    <cfRule type="duplicateValues" dxfId="10349" priority="10667"/>
  </conditionalFormatting>
  <conditionalFormatting sqref="Q328">
    <cfRule type="duplicateValues" dxfId="10348" priority="10666"/>
  </conditionalFormatting>
  <conditionalFormatting sqref="Q328">
    <cfRule type="duplicateValues" dxfId="10347" priority="10665"/>
  </conditionalFormatting>
  <conditionalFormatting sqref="Q328">
    <cfRule type="duplicateValues" dxfId="10346" priority="10664"/>
  </conditionalFormatting>
  <conditionalFormatting sqref="Q328">
    <cfRule type="duplicateValues" dxfId="10345" priority="10663"/>
  </conditionalFormatting>
  <conditionalFormatting sqref="R328">
    <cfRule type="duplicateValues" dxfId="10344" priority="10662"/>
  </conditionalFormatting>
  <conditionalFormatting sqref="R328">
    <cfRule type="duplicateValues" dxfId="10343" priority="10659"/>
    <cfRule type="duplicateValues" dxfId="10342" priority="10660"/>
    <cfRule type="duplicateValues" dxfId="10341" priority="10661"/>
  </conditionalFormatting>
  <conditionalFormatting sqref="R328">
    <cfRule type="duplicateValues" dxfId="10340" priority="10658"/>
  </conditionalFormatting>
  <conditionalFormatting sqref="R328">
    <cfRule type="duplicateValues" dxfId="10339" priority="10655"/>
    <cfRule type="duplicateValues" dxfId="10338" priority="10656"/>
    <cfRule type="duplicateValues" dxfId="10337" priority="10657"/>
  </conditionalFormatting>
  <conditionalFormatting sqref="Q328">
    <cfRule type="duplicateValues" dxfId="10336" priority="10654"/>
  </conditionalFormatting>
  <conditionalFormatting sqref="Q329:R329">
    <cfRule type="duplicateValues" dxfId="10335" priority="10653"/>
  </conditionalFormatting>
  <conditionalFormatting sqref="Q329:R329">
    <cfRule type="duplicateValues" dxfId="10334" priority="10650"/>
    <cfRule type="duplicateValues" dxfId="10333" priority="10651"/>
    <cfRule type="duplicateValues" dxfId="10332" priority="10652"/>
  </conditionalFormatting>
  <conditionalFormatting sqref="R329">
    <cfRule type="duplicateValues" dxfId="10331" priority="10649"/>
  </conditionalFormatting>
  <conditionalFormatting sqref="Q329:R329">
    <cfRule type="duplicateValues" dxfId="10330" priority="10648"/>
  </conditionalFormatting>
  <conditionalFormatting sqref="Q329">
    <cfRule type="duplicateValues" dxfId="10329" priority="10647"/>
  </conditionalFormatting>
  <conditionalFormatting sqref="Q329">
    <cfRule type="duplicateValues" dxfId="10328" priority="10646"/>
  </conditionalFormatting>
  <conditionalFormatting sqref="Q329">
    <cfRule type="duplicateValues" dxfId="10327" priority="10645"/>
  </conditionalFormatting>
  <conditionalFormatting sqref="Q329">
    <cfRule type="duplicateValues" dxfId="10326" priority="10644"/>
  </conditionalFormatting>
  <conditionalFormatting sqref="R329">
    <cfRule type="duplicateValues" dxfId="10325" priority="10643"/>
  </conditionalFormatting>
  <conditionalFormatting sqref="Q329">
    <cfRule type="duplicateValues" dxfId="10324" priority="10641"/>
    <cfRule type="duplicateValues" dxfId="10323" priority="10642"/>
  </conditionalFormatting>
  <conditionalFormatting sqref="Q329">
    <cfRule type="duplicateValues" dxfId="10322" priority="10640"/>
  </conditionalFormatting>
  <conditionalFormatting sqref="Q329">
    <cfRule type="duplicateValues" dxfId="10321" priority="10639"/>
  </conditionalFormatting>
  <conditionalFormatting sqref="Q329">
    <cfRule type="duplicateValues" dxfId="10320" priority="10638"/>
  </conditionalFormatting>
  <conditionalFormatting sqref="Q329">
    <cfRule type="duplicateValues" dxfId="10319" priority="10637"/>
  </conditionalFormatting>
  <conditionalFormatting sqref="Q329">
    <cfRule type="duplicateValues" dxfId="10318" priority="10636"/>
  </conditionalFormatting>
  <conditionalFormatting sqref="Q329">
    <cfRule type="duplicateValues" dxfId="10317" priority="10635"/>
  </conditionalFormatting>
  <conditionalFormatting sqref="Q329">
    <cfRule type="duplicateValues" dxfId="10316" priority="10634"/>
  </conditionalFormatting>
  <conditionalFormatting sqref="Q329">
    <cfRule type="duplicateValues" dxfId="10315" priority="10633"/>
  </conditionalFormatting>
  <conditionalFormatting sqref="Q329">
    <cfRule type="duplicateValues" dxfId="10314" priority="10632"/>
  </conditionalFormatting>
  <conditionalFormatting sqref="Q329">
    <cfRule type="duplicateValues" dxfId="10313" priority="10631"/>
  </conditionalFormatting>
  <conditionalFormatting sqref="R329">
    <cfRule type="duplicateValues" dxfId="10312" priority="10630"/>
  </conditionalFormatting>
  <conditionalFormatting sqref="R329">
    <cfRule type="duplicateValues" dxfId="10311" priority="10627"/>
    <cfRule type="duplicateValues" dxfId="10310" priority="10628"/>
    <cfRule type="duplicateValues" dxfId="10309" priority="10629"/>
  </conditionalFormatting>
  <conditionalFormatting sqref="R329">
    <cfRule type="duplicateValues" dxfId="10308" priority="10626"/>
  </conditionalFormatting>
  <conditionalFormatting sqref="R329">
    <cfRule type="duplicateValues" dxfId="10307" priority="10623"/>
    <cfRule type="duplicateValues" dxfId="10306" priority="10624"/>
    <cfRule type="duplicateValues" dxfId="10305" priority="10625"/>
  </conditionalFormatting>
  <conditionalFormatting sqref="Q329">
    <cfRule type="duplicateValues" dxfId="10304" priority="10622"/>
  </conditionalFormatting>
  <conditionalFormatting sqref="Q330:R330">
    <cfRule type="duplicateValues" dxfId="10303" priority="10621"/>
  </conditionalFormatting>
  <conditionalFormatting sqref="Q330:R330">
    <cfRule type="duplicateValues" dxfId="10302" priority="10618"/>
    <cfRule type="duplicateValues" dxfId="10301" priority="10619"/>
    <cfRule type="duplicateValues" dxfId="10300" priority="10620"/>
  </conditionalFormatting>
  <conditionalFormatting sqref="R330">
    <cfRule type="duplicateValues" dxfId="10299" priority="10617"/>
  </conditionalFormatting>
  <conditionalFormatting sqref="Q330:R330">
    <cfRule type="duplicateValues" dxfId="10298" priority="10616"/>
  </conditionalFormatting>
  <conditionalFormatting sqref="Q330">
    <cfRule type="duplicateValues" dxfId="10297" priority="10615"/>
  </conditionalFormatting>
  <conditionalFormatting sqref="Q330">
    <cfRule type="duplicateValues" dxfId="10296" priority="10614"/>
  </conditionalFormatting>
  <conditionalFormatting sqref="Q330">
    <cfRule type="duplicateValues" dxfId="10295" priority="10613"/>
  </conditionalFormatting>
  <conditionalFormatting sqref="Q330">
    <cfRule type="duplicateValues" dxfId="10294" priority="10612"/>
  </conditionalFormatting>
  <conditionalFormatting sqref="R330">
    <cfRule type="duplicateValues" dxfId="10293" priority="10611"/>
  </conditionalFormatting>
  <conditionalFormatting sqref="Q330">
    <cfRule type="duplicateValues" dxfId="10292" priority="10609"/>
    <cfRule type="duplicateValues" dxfId="10291" priority="10610"/>
  </conditionalFormatting>
  <conditionalFormatting sqref="Q330">
    <cfRule type="duplicateValues" dxfId="10290" priority="10608"/>
  </conditionalFormatting>
  <conditionalFormatting sqref="Q330">
    <cfRule type="duplicateValues" dxfId="10289" priority="10607"/>
  </conditionalFormatting>
  <conditionalFormatting sqref="Q330">
    <cfRule type="duplicateValues" dxfId="10288" priority="10606"/>
  </conditionalFormatting>
  <conditionalFormatting sqref="Q330">
    <cfRule type="duplicateValues" dxfId="10287" priority="10605"/>
  </conditionalFormatting>
  <conditionalFormatting sqref="Q330">
    <cfRule type="duplicateValues" dxfId="10286" priority="10604"/>
  </conditionalFormatting>
  <conditionalFormatting sqref="Q330">
    <cfRule type="duplicateValues" dxfId="10285" priority="10603"/>
  </conditionalFormatting>
  <conditionalFormatting sqref="Q330">
    <cfRule type="duplicateValues" dxfId="10284" priority="10602"/>
  </conditionalFormatting>
  <conditionalFormatting sqref="Q330">
    <cfRule type="duplicateValues" dxfId="10283" priority="10601"/>
  </conditionalFormatting>
  <conditionalFormatting sqref="Q330">
    <cfRule type="duplicateValues" dxfId="10282" priority="10600"/>
  </conditionalFormatting>
  <conditionalFormatting sqref="Q330">
    <cfRule type="duplicateValues" dxfId="10281" priority="10599"/>
  </conditionalFormatting>
  <conditionalFormatting sqref="R330">
    <cfRule type="duplicateValues" dxfId="10280" priority="10598"/>
  </conditionalFormatting>
  <conditionalFormatting sqref="R330">
    <cfRule type="duplicateValues" dxfId="10279" priority="10595"/>
    <cfRule type="duplicateValues" dxfId="10278" priority="10596"/>
    <cfRule type="duplicateValues" dxfId="10277" priority="10597"/>
  </conditionalFormatting>
  <conditionalFormatting sqref="R330">
    <cfRule type="duplicateValues" dxfId="10276" priority="10594"/>
  </conditionalFormatting>
  <conditionalFormatting sqref="R330">
    <cfRule type="duplicateValues" dxfId="10275" priority="10591"/>
    <cfRule type="duplicateValues" dxfId="10274" priority="10592"/>
    <cfRule type="duplicateValues" dxfId="10273" priority="10593"/>
  </conditionalFormatting>
  <conditionalFormatting sqref="Q330">
    <cfRule type="duplicateValues" dxfId="10272" priority="10590"/>
  </conditionalFormatting>
  <conditionalFormatting sqref="Q331:R331">
    <cfRule type="duplicateValues" dxfId="10271" priority="10589"/>
  </conditionalFormatting>
  <conditionalFormatting sqref="Q331:R331">
    <cfRule type="duplicateValues" dxfId="10270" priority="10586"/>
    <cfRule type="duplicateValues" dxfId="10269" priority="10587"/>
    <cfRule type="duplicateValues" dxfId="10268" priority="10588"/>
  </conditionalFormatting>
  <conditionalFormatting sqref="R331">
    <cfRule type="duplicateValues" dxfId="10267" priority="10585"/>
  </conditionalFormatting>
  <conditionalFormatting sqref="Q331:R331">
    <cfRule type="duplicateValues" dxfId="10266" priority="10584"/>
  </conditionalFormatting>
  <conditionalFormatting sqref="Q331">
    <cfRule type="duplicateValues" dxfId="10265" priority="10583"/>
  </conditionalFormatting>
  <conditionalFormatting sqref="Q331">
    <cfRule type="duplicateValues" dxfId="10264" priority="10582"/>
  </conditionalFormatting>
  <conditionalFormatting sqref="Q331">
    <cfRule type="duplicateValues" dxfId="10263" priority="10581"/>
  </conditionalFormatting>
  <conditionalFormatting sqref="Q331">
    <cfRule type="duplicateValues" dxfId="10262" priority="10580"/>
  </conditionalFormatting>
  <conditionalFormatting sqref="R331">
    <cfRule type="duplicateValues" dxfId="10261" priority="10579"/>
  </conditionalFormatting>
  <conditionalFormatting sqref="Q331">
    <cfRule type="duplicateValues" dxfId="10260" priority="10577"/>
    <cfRule type="duplicateValues" dxfId="10259" priority="10578"/>
  </conditionalFormatting>
  <conditionalFormatting sqref="Q331">
    <cfRule type="duplicateValues" dxfId="10258" priority="10576"/>
  </conditionalFormatting>
  <conditionalFormatting sqref="Q331">
    <cfRule type="duplicateValues" dxfId="10257" priority="10575"/>
  </conditionalFormatting>
  <conditionalFormatting sqref="Q331">
    <cfRule type="duplicateValues" dxfId="10256" priority="10574"/>
  </conditionalFormatting>
  <conditionalFormatting sqref="Q331">
    <cfRule type="duplicateValues" dxfId="10255" priority="10573"/>
  </conditionalFormatting>
  <conditionalFormatting sqref="Q331">
    <cfRule type="duplicateValues" dxfId="10254" priority="10572"/>
  </conditionalFormatting>
  <conditionalFormatting sqref="Q331">
    <cfRule type="duplicateValues" dxfId="10253" priority="10571"/>
  </conditionalFormatting>
  <conditionalFormatting sqref="Q331">
    <cfRule type="duplicateValues" dxfId="10252" priority="10570"/>
  </conditionalFormatting>
  <conditionalFormatting sqref="Q331">
    <cfRule type="duplicateValues" dxfId="10251" priority="10569"/>
  </conditionalFormatting>
  <conditionalFormatting sqref="Q331">
    <cfRule type="duplicateValues" dxfId="10250" priority="10568"/>
  </conditionalFormatting>
  <conditionalFormatting sqref="Q331">
    <cfRule type="duplicateValues" dxfId="10249" priority="10567"/>
  </conditionalFormatting>
  <conditionalFormatting sqref="R331">
    <cfRule type="duplicateValues" dxfId="10248" priority="10566"/>
  </conditionalFormatting>
  <conditionalFormatting sqref="R331">
    <cfRule type="duplicateValues" dxfId="10247" priority="10563"/>
    <cfRule type="duplicateValues" dxfId="10246" priority="10564"/>
    <cfRule type="duplicateValues" dxfId="10245" priority="10565"/>
  </conditionalFormatting>
  <conditionalFormatting sqref="R331">
    <cfRule type="duplicateValues" dxfId="10244" priority="10562"/>
  </conditionalFormatting>
  <conditionalFormatting sqref="R331">
    <cfRule type="duplicateValues" dxfId="10243" priority="10559"/>
    <cfRule type="duplicateValues" dxfId="10242" priority="10560"/>
    <cfRule type="duplicateValues" dxfId="10241" priority="10561"/>
  </conditionalFormatting>
  <conditionalFormatting sqref="Q331">
    <cfRule type="duplicateValues" dxfId="10240" priority="10558"/>
  </conditionalFormatting>
  <conditionalFormatting sqref="Q332:R332">
    <cfRule type="duplicateValues" dxfId="10239" priority="10557"/>
  </conditionalFormatting>
  <conditionalFormatting sqref="Q332:R332">
    <cfRule type="duplicateValues" dxfId="10238" priority="10554"/>
    <cfRule type="duplicateValues" dxfId="10237" priority="10555"/>
    <cfRule type="duplicateValues" dxfId="10236" priority="10556"/>
  </conditionalFormatting>
  <conditionalFormatting sqref="R332">
    <cfRule type="duplicateValues" dxfId="10235" priority="10553"/>
  </conditionalFormatting>
  <conditionalFormatting sqref="Q332:R332">
    <cfRule type="duplicateValues" dxfId="10234" priority="10552"/>
  </conditionalFormatting>
  <conditionalFormatting sqref="Q332">
    <cfRule type="duplicateValues" dxfId="10233" priority="10551"/>
  </conditionalFormatting>
  <conditionalFormatting sqref="Q332">
    <cfRule type="duplicateValues" dxfId="10232" priority="10550"/>
  </conditionalFormatting>
  <conditionalFormatting sqref="Q332">
    <cfRule type="duplicateValues" dxfId="10231" priority="10549"/>
  </conditionalFormatting>
  <conditionalFormatting sqref="Q332">
    <cfRule type="duplicateValues" dxfId="10230" priority="10548"/>
  </conditionalFormatting>
  <conditionalFormatting sqref="R332">
    <cfRule type="duplicateValues" dxfId="10229" priority="10547"/>
  </conditionalFormatting>
  <conditionalFormatting sqref="Q332">
    <cfRule type="duplicateValues" dxfId="10228" priority="10545"/>
    <cfRule type="duplicateValues" dxfId="10227" priority="10546"/>
  </conditionalFormatting>
  <conditionalFormatting sqref="Q332">
    <cfRule type="duplicateValues" dxfId="10226" priority="10544"/>
  </conditionalFormatting>
  <conditionalFormatting sqref="Q332">
    <cfRule type="duplicateValues" dxfId="10225" priority="10543"/>
  </conditionalFormatting>
  <conditionalFormatting sqref="Q332">
    <cfRule type="duplicateValues" dxfId="10224" priority="10542"/>
  </conditionalFormatting>
  <conditionalFormatting sqref="Q332">
    <cfRule type="duplicateValues" dxfId="10223" priority="10541"/>
  </conditionalFormatting>
  <conditionalFormatting sqref="Q332">
    <cfRule type="duplicateValues" dxfId="10222" priority="10540"/>
  </conditionalFormatting>
  <conditionalFormatting sqref="Q332">
    <cfRule type="duplicateValues" dxfId="10221" priority="10539"/>
  </conditionalFormatting>
  <conditionalFormatting sqref="Q332">
    <cfRule type="duplicateValues" dxfId="10220" priority="10538"/>
  </conditionalFormatting>
  <conditionalFormatting sqref="Q332">
    <cfRule type="duplicateValues" dxfId="10219" priority="10537"/>
  </conditionalFormatting>
  <conditionalFormatting sqref="Q332">
    <cfRule type="duplicateValues" dxfId="10218" priority="10536"/>
  </conditionalFormatting>
  <conditionalFormatting sqref="Q332">
    <cfRule type="duplicateValues" dxfId="10217" priority="10535"/>
  </conditionalFormatting>
  <conditionalFormatting sqref="R332">
    <cfRule type="duplicateValues" dxfId="10216" priority="10534"/>
  </conditionalFormatting>
  <conditionalFormatting sqref="R332">
    <cfRule type="duplicateValues" dxfId="10215" priority="10531"/>
    <cfRule type="duplicateValues" dxfId="10214" priority="10532"/>
    <cfRule type="duplicateValues" dxfId="10213" priority="10533"/>
  </conditionalFormatting>
  <conditionalFormatting sqref="R332">
    <cfRule type="duplicateValues" dxfId="10212" priority="10530"/>
  </conditionalFormatting>
  <conditionalFormatting sqref="R332">
    <cfRule type="duplicateValues" dxfId="10211" priority="10527"/>
    <cfRule type="duplicateValues" dxfId="10210" priority="10528"/>
    <cfRule type="duplicateValues" dxfId="10209" priority="10529"/>
  </conditionalFormatting>
  <conditionalFormatting sqref="Q332">
    <cfRule type="duplicateValues" dxfId="10208" priority="10526"/>
  </conditionalFormatting>
  <conditionalFormatting sqref="Q333:R333">
    <cfRule type="duplicateValues" dxfId="10207" priority="10525"/>
  </conditionalFormatting>
  <conditionalFormatting sqref="Q333:R333">
    <cfRule type="duplicateValues" dxfId="10206" priority="10522"/>
    <cfRule type="duplicateValues" dxfId="10205" priority="10523"/>
    <cfRule type="duplicateValues" dxfId="10204" priority="10524"/>
  </conditionalFormatting>
  <conditionalFormatting sqref="R333">
    <cfRule type="duplicateValues" dxfId="10203" priority="10521"/>
  </conditionalFormatting>
  <conditionalFormatting sqref="Q333:R333">
    <cfRule type="duplicateValues" dxfId="10202" priority="10520"/>
  </conditionalFormatting>
  <conditionalFormatting sqref="Q333">
    <cfRule type="duplicateValues" dxfId="10201" priority="10519"/>
  </conditionalFormatting>
  <conditionalFormatting sqref="Q333">
    <cfRule type="duplicateValues" dxfId="10200" priority="10518"/>
  </conditionalFormatting>
  <conditionalFormatting sqref="Q333">
    <cfRule type="duplicateValues" dxfId="10199" priority="10517"/>
  </conditionalFormatting>
  <conditionalFormatting sqref="Q333">
    <cfRule type="duplicateValues" dxfId="10198" priority="10516"/>
  </conditionalFormatting>
  <conditionalFormatting sqref="R333">
    <cfRule type="duplicateValues" dxfId="10197" priority="10515"/>
  </conditionalFormatting>
  <conditionalFormatting sqref="Q333">
    <cfRule type="duplicateValues" dxfId="10196" priority="10513"/>
    <cfRule type="duplicateValues" dxfId="10195" priority="10514"/>
  </conditionalFormatting>
  <conditionalFormatting sqref="Q333">
    <cfRule type="duplicateValues" dxfId="10194" priority="10512"/>
  </conditionalFormatting>
  <conditionalFormatting sqref="Q333">
    <cfRule type="duplicateValues" dxfId="10193" priority="10511"/>
  </conditionalFormatting>
  <conditionalFormatting sqref="Q333">
    <cfRule type="duplicateValues" dxfId="10192" priority="10510"/>
  </conditionalFormatting>
  <conditionalFormatting sqref="Q333">
    <cfRule type="duplicateValues" dxfId="10191" priority="10509"/>
  </conditionalFormatting>
  <conditionalFormatting sqref="Q333">
    <cfRule type="duplicateValues" dxfId="10190" priority="10508"/>
  </conditionalFormatting>
  <conditionalFormatting sqref="Q333">
    <cfRule type="duplicateValues" dxfId="10189" priority="10507"/>
  </conditionalFormatting>
  <conditionalFormatting sqref="Q333">
    <cfRule type="duplicateValues" dxfId="10188" priority="10506"/>
  </conditionalFormatting>
  <conditionalFormatting sqref="Q333">
    <cfRule type="duplicateValues" dxfId="10187" priority="10505"/>
  </conditionalFormatting>
  <conditionalFormatting sqref="Q333">
    <cfRule type="duplicateValues" dxfId="10186" priority="10504"/>
  </conditionalFormatting>
  <conditionalFormatting sqref="Q333">
    <cfRule type="duplicateValues" dxfId="10185" priority="10503"/>
  </conditionalFormatting>
  <conditionalFormatting sqref="R333">
    <cfRule type="duplicateValues" dxfId="10184" priority="10502"/>
  </conditionalFormatting>
  <conditionalFormatting sqref="R333">
    <cfRule type="duplicateValues" dxfId="10183" priority="10499"/>
    <cfRule type="duplicateValues" dxfId="10182" priority="10500"/>
    <cfRule type="duplicateValues" dxfId="10181" priority="10501"/>
  </conditionalFormatting>
  <conditionalFormatting sqref="R333">
    <cfRule type="duplicateValues" dxfId="10180" priority="10498"/>
  </conditionalFormatting>
  <conditionalFormatting sqref="R333">
    <cfRule type="duplicateValues" dxfId="10179" priority="10495"/>
    <cfRule type="duplicateValues" dxfId="10178" priority="10496"/>
    <cfRule type="duplicateValues" dxfId="10177" priority="10497"/>
  </conditionalFormatting>
  <conditionalFormatting sqref="Q333">
    <cfRule type="duplicateValues" dxfId="10176" priority="10494"/>
  </conditionalFormatting>
  <conditionalFormatting sqref="Q334:R334">
    <cfRule type="duplicateValues" dxfId="10175" priority="10493"/>
  </conditionalFormatting>
  <conditionalFormatting sqref="Q334:R334">
    <cfRule type="duplicateValues" dxfId="10174" priority="10490"/>
    <cfRule type="duplicateValues" dxfId="10173" priority="10491"/>
    <cfRule type="duplicateValues" dxfId="10172" priority="10492"/>
  </conditionalFormatting>
  <conditionalFormatting sqref="R334">
    <cfRule type="duplicateValues" dxfId="10171" priority="10489"/>
  </conditionalFormatting>
  <conditionalFormatting sqref="Q334:R334">
    <cfRule type="duplicateValues" dxfId="10170" priority="10488"/>
  </conditionalFormatting>
  <conditionalFormatting sqref="Q334">
    <cfRule type="duplicateValues" dxfId="10169" priority="10487"/>
  </conditionalFormatting>
  <conditionalFormatting sqref="Q334">
    <cfRule type="duplicateValues" dxfId="10168" priority="10486"/>
  </conditionalFormatting>
  <conditionalFormatting sqref="Q334">
    <cfRule type="duplicateValues" dxfId="10167" priority="10485"/>
  </conditionalFormatting>
  <conditionalFormatting sqref="Q334">
    <cfRule type="duplicateValues" dxfId="10166" priority="10484"/>
  </conditionalFormatting>
  <conditionalFormatting sqref="R334">
    <cfRule type="duplicateValues" dxfId="10165" priority="10483"/>
  </conditionalFormatting>
  <conditionalFormatting sqref="Q334">
    <cfRule type="duplicateValues" dxfId="10164" priority="10481"/>
    <cfRule type="duplicateValues" dxfId="10163" priority="10482"/>
  </conditionalFormatting>
  <conditionalFormatting sqref="Q334">
    <cfRule type="duplicateValues" dxfId="10162" priority="10480"/>
  </conditionalFormatting>
  <conditionalFormatting sqref="Q334">
    <cfRule type="duplicateValues" dxfId="10161" priority="10479"/>
  </conditionalFormatting>
  <conditionalFormatting sqref="Q334">
    <cfRule type="duplicateValues" dxfId="10160" priority="10478"/>
  </conditionalFormatting>
  <conditionalFormatting sqref="Q334">
    <cfRule type="duplicateValues" dxfId="10159" priority="10477"/>
  </conditionalFormatting>
  <conditionalFormatting sqref="Q334">
    <cfRule type="duplicateValues" dxfId="10158" priority="10476"/>
  </conditionalFormatting>
  <conditionalFormatting sqref="Q334">
    <cfRule type="duplicateValues" dxfId="10157" priority="10475"/>
  </conditionalFormatting>
  <conditionalFormatting sqref="Q334">
    <cfRule type="duplicateValues" dxfId="10156" priority="10474"/>
  </conditionalFormatting>
  <conditionalFormatting sqref="Q334">
    <cfRule type="duplicateValues" dxfId="10155" priority="10473"/>
  </conditionalFormatting>
  <conditionalFormatting sqref="Q334">
    <cfRule type="duplicateValues" dxfId="10154" priority="10472"/>
  </conditionalFormatting>
  <conditionalFormatting sqref="Q334">
    <cfRule type="duplicateValues" dxfId="10153" priority="10471"/>
  </conditionalFormatting>
  <conditionalFormatting sqref="R334">
    <cfRule type="duplicateValues" dxfId="10152" priority="10470"/>
  </conditionalFormatting>
  <conditionalFormatting sqref="R334">
    <cfRule type="duplicateValues" dxfId="10151" priority="10467"/>
    <cfRule type="duplicateValues" dxfId="10150" priority="10468"/>
    <cfRule type="duplicateValues" dxfId="10149" priority="10469"/>
  </conditionalFormatting>
  <conditionalFormatting sqref="R334">
    <cfRule type="duplicateValues" dxfId="10148" priority="10466"/>
  </conditionalFormatting>
  <conditionalFormatting sqref="R334">
    <cfRule type="duplicateValues" dxfId="10147" priority="10463"/>
    <cfRule type="duplicateValues" dxfId="10146" priority="10464"/>
    <cfRule type="duplicateValues" dxfId="10145" priority="10465"/>
  </conditionalFormatting>
  <conditionalFormatting sqref="Q334">
    <cfRule type="duplicateValues" dxfId="10144" priority="10462"/>
  </conditionalFormatting>
  <conditionalFormatting sqref="Q335:R335">
    <cfRule type="duplicateValues" dxfId="10143" priority="10461"/>
  </conditionalFormatting>
  <conditionalFormatting sqref="Q335:R335">
    <cfRule type="duplicateValues" dxfId="10142" priority="10458"/>
    <cfRule type="duplicateValues" dxfId="10141" priority="10459"/>
    <cfRule type="duplicateValues" dxfId="10140" priority="10460"/>
  </conditionalFormatting>
  <conditionalFormatting sqref="R335">
    <cfRule type="duplicateValues" dxfId="10139" priority="10457"/>
  </conditionalFormatting>
  <conditionalFormatting sqref="Q335:R335">
    <cfRule type="duplicateValues" dxfId="10138" priority="10456"/>
  </conditionalFormatting>
  <conditionalFormatting sqref="Q335">
    <cfRule type="duplicateValues" dxfId="10137" priority="10455"/>
  </conditionalFormatting>
  <conditionalFormatting sqref="Q335">
    <cfRule type="duplicateValues" dxfId="10136" priority="10454"/>
  </conditionalFormatting>
  <conditionalFormatting sqref="Q335">
    <cfRule type="duplicateValues" dxfId="10135" priority="10453"/>
  </conditionalFormatting>
  <conditionalFormatting sqref="Q335">
    <cfRule type="duplicateValues" dxfId="10134" priority="10452"/>
  </conditionalFormatting>
  <conditionalFormatting sqref="R335">
    <cfRule type="duplicateValues" dxfId="10133" priority="10451"/>
  </conditionalFormatting>
  <conditionalFormatting sqref="Q335">
    <cfRule type="duplicateValues" dxfId="10132" priority="10449"/>
    <cfRule type="duplicateValues" dxfId="10131" priority="10450"/>
  </conditionalFormatting>
  <conditionalFormatting sqref="Q335">
    <cfRule type="duplicateValues" dxfId="10130" priority="10448"/>
  </conditionalFormatting>
  <conditionalFormatting sqref="Q335">
    <cfRule type="duplicateValues" dxfId="10129" priority="10447"/>
  </conditionalFormatting>
  <conditionalFormatting sqref="Q335">
    <cfRule type="duplicateValues" dxfId="10128" priority="10446"/>
  </conditionalFormatting>
  <conditionalFormatting sqref="Q335">
    <cfRule type="duplicateValues" dxfId="10127" priority="10445"/>
  </conditionalFormatting>
  <conditionalFormatting sqref="Q335">
    <cfRule type="duplicateValues" dxfId="10126" priority="10444"/>
  </conditionalFormatting>
  <conditionalFormatting sqref="Q335">
    <cfRule type="duplicateValues" dxfId="10125" priority="10443"/>
  </conditionalFormatting>
  <conditionalFormatting sqref="Q335">
    <cfRule type="duplicateValues" dxfId="10124" priority="10442"/>
  </conditionalFormatting>
  <conditionalFormatting sqref="Q335">
    <cfRule type="duplicateValues" dxfId="10123" priority="10441"/>
  </conditionalFormatting>
  <conditionalFormatting sqref="Q335">
    <cfRule type="duplicateValues" dxfId="10122" priority="10440"/>
  </conditionalFormatting>
  <conditionalFormatting sqref="Q335">
    <cfRule type="duplicateValues" dxfId="10121" priority="10439"/>
  </conditionalFormatting>
  <conditionalFormatting sqref="R335">
    <cfRule type="duplicateValues" dxfId="10120" priority="10438"/>
  </conditionalFormatting>
  <conditionalFormatting sqref="R335">
    <cfRule type="duplicateValues" dxfId="10119" priority="10435"/>
    <cfRule type="duplicateValues" dxfId="10118" priority="10436"/>
    <cfRule type="duplicateValues" dxfId="10117" priority="10437"/>
  </conditionalFormatting>
  <conditionalFormatting sqref="R335">
    <cfRule type="duplicateValues" dxfId="10116" priority="10434"/>
  </conditionalFormatting>
  <conditionalFormatting sqref="R335">
    <cfRule type="duplicateValues" dxfId="10115" priority="10431"/>
    <cfRule type="duplicateValues" dxfId="10114" priority="10432"/>
    <cfRule type="duplicateValues" dxfId="10113" priority="10433"/>
  </conditionalFormatting>
  <conditionalFormatting sqref="Q335">
    <cfRule type="duplicateValues" dxfId="10112" priority="10430"/>
  </conditionalFormatting>
  <conditionalFormatting sqref="Q336:R336">
    <cfRule type="duplicateValues" dxfId="10111" priority="10429"/>
  </conditionalFormatting>
  <conditionalFormatting sqref="Q336:R336">
    <cfRule type="duplicateValues" dxfId="10110" priority="10426"/>
    <cfRule type="duplicateValues" dxfId="10109" priority="10427"/>
    <cfRule type="duplicateValues" dxfId="10108" priority="10428"/>
  </conditionalFormatting>
  <conditionalFormatting sqref="R336">
    <cfRule type="duplicateValues" dxfId="10107" priority="10425"/>
  </conditionalFormatting>
  <conditionalFormatting sqref="Q336:R336">
    <cfRule type="duplicateValues" dxfId="10106" priority="10424"/>
  </conditionalFormatting>
  <conditionalFormatting sqref="Q336">
    <cfRule type="duplicateValues" dxfId="10105" priority="10423"/>
  </conditionalFormatting>
  <conditionalFormatting sqref="Q336">
    <cfRule type="duplicateValues" dxfId="10104" priority="10422"/>
  </conditionalFormatting>
  <conditionalFormatting sqref="Q336">
    <cfRule type="duplicateValues" dxfId="10103" priority="10421"/>
  </conditionalFormatting>
  <conditionalFormatting sqref="Q336">
    <cfRule type="duplicateValues" dxfId="10102" priority="10420"/>
  </conditionalFormatting>
  <conditionalFormatting sqref="R336">
    <cfRule type="duplicateValues" dxfId="10101" priority="10419"/>
  </conditionalFormatting>
  <conditionalFormatting sqref="Q336">
    <cfRule type="duplicateValues" dxfId="10100" priority="10417"/>
    <cfRule type="duplicateValues" dxfId="10099" priority="10418"/>
  </conditionalFormatting>
  <conditionalFormatting sqref="Q336">
    <cfRule type="duplicateValues" dxfId="10098" priority="10416"/>
  </conditionalFormatting>
  <conditionalFormatting sqref="Q336">
    <cfRule type="duplicateValues" dxfId="10097" priority="10415"/>
  </conditionalFormatting>
  <conditionalFormatting sqref="Q336">
    <cfRule type="duplicateValues" dxfId="10096" priority="10414"/>
  </conditionalFormatting>
  <conditionalFormatting sqref="Q336">
    <cfRule type="duplicateValues" dxfId="10095" priority="10413"/>
  </conditionalFormatting>
  <conditionalFormatting sqref="Q336">
    <cfRule type="duplicateValues" dxfId="10094" priority="10412"/>
  </conditionalFormatting>
  <conditionalFormatting sqref="Q336">
    <cfRule type="duplicateValues" dxfId="10093" priority="10411"/>
  </conditionalFormatting>
  <conditionalFormatting sqref="Q336">
    <cfRule type="duplicateValues" dxfId="10092" priority="10410"/>
  </conditionalFormatting>
  <conditionalFormatting sqref="Q336">
    <cfRule type="duplicateValues" dxfId="10091" priority="10409"/>
  </conditionalFormatting>
  <conditionalFormatting sqref="Q336">
    <cfRule type="duplicateValues" dxfId="10090" priority="10408"/>
  </conditionalFormatting>
  <conditionalFormatting sqref="Q336">
    <cfRule type="duplicateValues" dxfId="10089" priority="10407"/>
  </conditionalFormatting>
  <conditionalFormatting sqref="R336">
    <cfRule type="duplicateValues" dxfId="10088" priority="10406"/>
  </conditionalFormatting>
  <conditionalFormatting sqref="R336">
    <cfRule type="duplicateValues" dxfId="10087" priority="10403"/>
    <cfRule type="duplicateValues" dxfId="10086" priority="10404"/>
    <cfRule type="duplicateValues" dxfId="10085" priority="10405"/>
  </conditionalFormatting>
  <conditionalFormatting sqref="R336">
    <cfRule type="duplicateValues" dxfId="10084" priority="10402"/>
  </conditionalFormatting>
  <conditionalFormatting sqref="R336">
    <cfRule type="duplicateValues" dxfId="10083" priority="10399"/>
    <cfRule type="duplicateValues" dxfId="10082" priority="10400"/>
    <cfRule type="duplicateValues" dxfId="10081" priority="10401"/>
  </conditionalFormatting>
  <conditionalFormatting sqref="Q336">
    <cfRule type="duplicateValues" dxfId="10080" priority="10398"/>
  </conditionalFormatting>
  <conditionalFormatting sqref="R337">
    <cfRule type="duplicateValues" dxfId="10079" priority="10397"/>
  </conditionalFormatting>
  <conditionalFormatting sqref="R337">
    <cfRule type="duplicateValues" dxfId="10078" priority="10394"/>
    <cfRule type="duplicateValues" dxfId="10077" priority="10395"/>
    <cfRule type="duplicateValues" dxfId="10076" priority="10396"/>
  </conditionalFormatting>
  <conditionalFormatting sqref="R337">
    <cfRule type="duplicateValues" dxfId="10075" priority="10393"/>
  </conditionalFormatting>
  <conditionalFormatting sqref="R337">
    <cfRule type="duplicateValues" dxfId="10074" priority="10390"/>
    <cfRule type="duplicateValues" dxfId="10073" priority="10391"/>
    <cfRule type="duplicateValues" dxfId="10072" priority="10392"/>
  </conditionalFormatting>
  <conditionalFormatting sqref="Q337">
    <cfRule type="duplicateValues" dxfId="10071" priority="10389"/>
  </conditionalFormatting>
  <conditionalFormatting sqref="Q338:R338">
    <cfRule type="duplicateValues" dxfId="10070" priority="10388"/>
  </conditionalFormatting>
  <conditionalFormatting sqref="Q338:R338">
    <cfRule type="duplicateValues" dxfId="10069" priority="10385"/>
    <cfRule type="duplicateValues" dxfId="10068" priority="10386"/>
    <cfRule type="duplicateValues" dxfId="10067" priority="10387"/>
  </conditionalFormatting>
  <conditionalFormatting sqref="R338">
    <cfRule type="duplicateValues" dxfId="10066" priority="10384"/>
  </conditionalFormatting>
  <conditionalFormatting sqref="Q338:R338">
    <cfRule type="duplicateValues" dxfId="10065" priority="10383"/>
  </conditionalFormatting>
  <conditionalFormatting sqref="Q338">
    <cfRule type="duplicateValues" dxfId="10064" priority="10382"/>
  </conditionalFormatting>
  <conditionalFormatting sqref="Q338">
    <cfRule type="duplicateValues" dxfId="10063" priority="10381"/>
  </conditionalFormatting>
  <conditionalFormatting sqref="Q338">
    <cfRule type="duplicateValues" dxfId="10062" priority="10380"/>
  </conditionalFormatting>
  <conditionalFormatting sqref="Q338">
    <cfRule type="duplicateValues" dxfId="10061" priority="10379"/>
  </conditionalFormatting>
  <conditionalFormatting sqref="R338">
    <cfRule type="duplicateValues" dxfId="10060" priority="10378"/>
  </conditionalFormatting>
  <conditionalFormatting sqref="Q338">
    <cfRule type="duplicateValues" dxfId="10059" priority="10376"/>
    <cfRule type="duplicateValues" dxfId="10058" priority="10377"/>
  </conditionalFormatting>
  <conditionalFormatting sqref="Q338">
    <cfRule type="duplicateValues" dxfId="10057" priority="10375"/>
  </conditionalFormatting>
  <conditionalFormatting sqref="Q338">
    <cfRule type="duplicateValues" dxfId="10056" priority="10374"/>
  </conditionalFormatting>
  <conditionalFormatting sqref="Q338">
    <cfRule type="duplicateValues" dxfId="10055" priority="10373"/>
  </conditionalFormatting>
  <conditionalFormatting sqref="Q338">
    <cfRule type="duplicateValues" dxfId="10054" priority="10372"/>
  </conditionalFormatting>
  <conditionalFormatting sqref="Q338">
    <cfRule type="duplicateValues" dxfId="10053" priority="10371"/>
  </conditionalFormatting>
  <conditionalFormatting sqref="Q338">
    <cfRule type="duplicateValues" dxfId="10052" priority="10370"/>
  </conditionalFormatting>
  <conditionalFormatting sqref="Q338">
    <cfRule type="duplicateValues" dxfId="10051" priority="10369"/>
  </conditionalFormatting>
  <conditionalFormatting sqref="Q338">
    <cfRule type="duplicateValues" dxfId="10050" priority="10368"/>
  </conditionalFormatting>
  <conditionalFormatting sqref="Q338">
    <cfRule type="duplicateValues" dxfId="10049" priority="10367"/>
  </conditionalFormatting>
  <conditionalFormatting sqref="Q338">
    <cfRule type="duplicateValues" dxfId="10048" priority="10366"/>
  </conditionalFormatting>
  <conditionalFormatting sqref="R338">
    <cfRule type="duplicateValues" dxfId="10047" priority="10365"/>
  </conditionalFormatting>
  <conditionalFormatting sqref="R338">
    <cfRule type="duplicateValues" dxfId="10046" priority="10362"/>
    <cfRule type="duplicateValues" dxfId="10045" priority="10363"/>
    <cfRule type="duplicateValues" dxfId="10044" priority="10364"/>
  </conditionalFormatting>
  <conditionalFormatting sqref="R338">
    <cfRule type="duplicateValues" dxfId="10043" priority="10361"/>
  </conditionalFormatting>
  <conditionalFormatting sqref="R338">
    <cfRule type="duplicateValues" dxfId="10042" priority="10358"/>
    <cfRule type="duplicateValues" dxfId="10041" priority="10359"/>
    <cfRule type="duplicateValues" dxfId="10040" priority="10360"/>
  </conditionalFormatting>
  <conditionalFormatting sqref="Q338">
    <cfRule type="duplicateValues" dxfId="10039" priority="10357"/>
  </conditionalFormatting>
  <conditionalFormatting sqref="Q339:R339">
    <cfRule type="duplicateValues" dxfId="10038" priority="10356"/>
  </conditionalFormatting>
  <conditionalFormatting sqref="Q339:R339">
    <cfRule type="duplicateValues" dxfId="10037" priority="10353"/>
    <cfRule type="duplicateValues" dxfId="10036" priority="10354"/>
    <cfRule type="duplicateValues" dxfId="10035" priority="10355"/>
  </conditionalFormatting>
  <conditionalFormatting sqref="R339">
    <cfRule type="duplicateValues" dxfId="10034" priority="10352"/>
  </conditionalFormatting>
  <conditionalFormatting sqref="Q339:R339">
    <cfRule type="duplicateValues" dxfId="10033" priority="10351"/>
  </conditionalFormatting>
  <conditionalFormatting sqref="Q339">
    <cfRule type="duplicateValues" dxfId="10032" priority="10350"/>
  </conditionalFormatting>
  <conditionalFormatting sqref="Q339">
    <cfRule type="duplicateValues" dxfId="10031" priority="10349"/>
  </conditionalFormatting>
  <conditionalFormatting sqref="Q339">
    <cfRule type="duplicateValues" dxfId="10030" priority="10348"/>
  </conditionalFormatting>
  <conditionalFormatting sqref="Q339">
    <cfRule type="duplicateValues" dxfId="10029" priority="10347"/>
  </conditionalFormatting>
  <conditionalFormatting sqref="R339">
    <cfRule type="duplicateValues" dxfId="10028" priority="10346"/>
  </conditionalFormatting>
  <conditionalFormatting sqref="Q339">
    <cfRule type="duplicateValues" dxfId="10027" priority="10344"/>
    <cfRule type="duplicateValues" dxfId="10026" priority="10345"/>
  </conditionalFormatting>
  <conditionalFormatting sqref="Q339">
    <cfRule type="duplicateValues" dxfId="10025" priority="10343"/>
  </conditionalFormatting>
  <conditionalFormatting sqref="Q339">
    <cfRule type="duplicateValues" dxfId="10024" priority="10342"/>
  </conditionalFormatting>
  <conditionalFormatting sqref="Q339">
    <cfRule type="duplicateValues" dxfId="10023" priority="10341"/>
  </conditionalFormatting>
  <conditionalFormatting sqref="Q339">
    <cfRule type="duplicateValues" dxfId="10022" priority="10340"/>
  </conditionalFormatting>
  <conditionalFormatting sqref="Q339">
    <cfRule type="duplicateValues" dxfId="10021" priority="10339"/>
  </conditionalFormatting>
  <conditionalFormatting sqref="Q339">
    <cfRule type="duplicateValues" dxfId="10020" priority="10338"/>
  </conditionalFormatting>
  <conditionalFormatting sqref="Q339">
    <cfRule type="duplicateValues" dxfId="10019" priority="10337"/>
  </conditionalFormatting>
  <conditionalFormatting sqref="Q339">
    <cfRule type="duplicateValues" dxfId="10018" priority="10336"/>
  </conditionalFormatting>
  <conditionalFormatting sqref="Q339">
    <cfRule type="duplicateValues" dxfId="10017" priority="10335"/>
  </conditionalFormatting>
  <conditionalFormatting sqref="Q339">
    <cfRule type="duplicateValues" dxfId="10016" priority="10334"/>
  </conditionalFormatting>
  <conditionalFormatting sqref="R339">
    <cfRule type="duplicateValues" dxfId="10015" priority="10333"/>
  </conditionalFormatting>
  <conditionalFormatting sqref="R339">
    <cfRule type="duplicateValues" dxfId="10014" priority="10330"/>
    <cfRule type="duplicateValues" dxfId="10013" priority="10331"/>
    <cfRule type="duplicateValues" dxfId="10012" priority="10332"/>
  </conditionalFormatting>
  <conditionalFormatting sqref="R339">
    <cfRule type="duplicateValues" dxfId="10011" priority="10329"/>
  </conditionalFormatting>
  <conditionalFormatting sqref="R339">
    <cfRule type="duplicateValues" dxfId="10010" priority="10326"/>
    <cfRule type="duplicateValues" dxfId="10009" priority="10327"/>
    <cfRule type="duplicateValues" dxfId="10008" priority="10328"/>
  </conditionalFormatting>
  <conditionalFormatting sqref="Q339">
    <cfRule type="duplicateValues" dxfId="10007" priority="10325"/>
  </conditionalFormatting>
  <conditionalFormatting sqref="Q340:R340">
    <cfRule type="duplicateValues" dxfId="10006" priority="10324"/>
  </conditionalFormatting>
  <conditionalFormatting sqref="Q340:R340">
    <cfRule type="duplicateValues" dxfId="10005" priority="10321"/>
    <cfRule type="duplicateValues" dxfId="10004" priority="10322"/>
    <cfRule type="duplicateValues" dxfId="10003" priority="10323"/>
  </conditionalFormatting>
  <conditionalFormatting sqref="R340">
    <cfRule type="duplicateValues" dxfId="10002" priority="10320"/>
  </conditionalFormatting>
  <conditionalFormatting sqref="Q340:R340">
    <cfRule type="duplicateValues" dxfId="10001" priority="10319"/>
  </conditionalFormatting>
  <conditionalFormatting sqref="Q340">
    <cfRule type="duplicateValues" dxfId="10000" priority="10318"/>
  </conditionalFormatting>
  <conditionalFormatting sqref="Q340">
    <cfRule type="duplicateValues" dxfId="9999" priority="10317"/>
  </conditionalFormatting>
  <conditionalFormatting sqref="Q340">
    <cfRule type="duplicateValues" dxfId="9998" priority="10316"/>
  </conditionalFormatting>
  <conditionalFormatting sqref="Q340">
    <cfRule type="duplicateValues" dxfId="9997" priority="10315"/>
  </conditionalFormatting>
  <conditionalFormatting sqref="R340">
    <cfRule type="duplicateValues" dxfId="9996" priority="10314"/>
  </conditionalFormatting>
  <conditionalFormatting sqref="Q340">
    <cfRule type="duplicateValues" dxfId="9995" priority="10312"/>
    <cfRule type="duplicateValues" dxfId="9994" priority="10313"/>
  </conditionalFormatting>
  <conditionalFormatting sqref="Q340">
    <cfRule type="duplicateValues" dxfId="9993" priority="10311"/>
  </conditionalFormatting>
  <conditionalFormatting sqref="Q340">
    <cfRule type="duplicateValues" dxfId="9992" priority="10310"/>
  </conditionalFormatting>
  <conditionalFormatting sqref="Q340">
    <cfRule type="duplicateValues" dxfId="9991" priority="10309"/>
  </conditionalFormatting>
  <conditionalFormatting sqref="Q340">
    <cfRule type="duplicateValues" dxfId="9990" priority="10308"/>
  </conditionalFormatting>
  <conditionalFormatting sqref="Q340">
    <cfRule type="duplicateValues" dxfId="9989" priority="10307"/>
  </conditionalFormatting>
  <conditionalFormatting sqref="Q340">
    <cfRule type="duplicateValues" dxfId="9988" priority="10306"/>
  </conditionalFormatting>
  <conditionalFormatting sqref="Q340">
    <cfRule type="duplicateValues" dxfId="9987" priority="10305"/>
  </conditionalFormatting>
  <conditionalFormatting sqref="Q340">
    <cfRule type="duplicateValues" dxfId="9986" priority="10304"/>
  </conditionalFormatting>
  <conditionalFormatting sqref="Q340">
    <cfRule type="duplicateValues" dxfId="9985" priority="10303"/>
  </conditionalFormatting>
  <conditionalFormatting sqref="Q340">
    <cfRule type="duplicateValues" dxfId="9984" priority="10302"/>
  </conditionalFormatting>
  <conditionalFormatting sqref="R340">
    <cfRule type="duplicateValues" dxfId="9983" priority="10301"/>
  </conditionalFormatting>
  <conditionalFormatting sqref="R340">
    <cfRule type="duplicateValues" dxfId="9982" priority="10298"/>
    <cfRule type="duplicateValues" dxfId="9981" priority="10299"/>
    <cfRule type="duplicateValues" dxfId="9980" priority="10300"/>
  </conditionalFormatting>
  <conditionalFormatting sqref="R340">
    <cfRule type="duplicateValues" dxfId="9979" priority="10297"/>
  </conditionalFormatting>
  <conditionalFormatting sqref="R340">
    <cfRule type="duplicateValues" dxfId="9978" priority="10294"/>
    <cfRule type="duplicateValues" dxfId="9977" priority="10295"/>
    <cfRule type="duplicateValues" dxfId="9976" priority="10296"/>
  </conditionalFormatting>
  <conditionalFormatting sqref="Q340">
    <cfRule type="duplicateValues" dxfId="9975" priority="10293"/>
  </conditionalFormatting>
  <conditionalFormatting sqref="Q341:R341">
    <cfRule type="duplicateValues" dxfId="9974" priority="10292"/>
  </conditionalFormatting>
  <conditionalFormatting sqref="Q341:R341">
    <cfRule type="duplicateValues" dxfId="9973" priority="10289"/>
    <cfRule type="duplicateValues" dxfId="9972" priority="10290"/>
    <cfRule type="duplicateValues" dxfId="9971" priority="10291"/>
  </conditionalFormatting>
  <conditionalFormatting sqref="R341">
    <cfRule type="duplicateValues" dxfId="9970" priority="10288"/>
  </conditionalFormatting>
  <conditionalFormatting sqref="Q341:R341">
    <cfRule type="duplicateValues" dxfId="9969" priority="10287"/>
  </conditionalFormatting>
  <conditionalFormatting sqref="Q341">
    <cfRule type="duplicateValues" dxfId="9968" priority="10286"/>
  </conditionalFormatting>
  <conditionalFormatting sqref="Q341">
    <cfRule type="duplicateValues" dxfId="9967" priority="10285"/>
  </conditionalFormatting>
  <conditionalFormatting sqref="Q341">
    <cfRule type="duplicateValues" dxfId="9966" priority="10284"/>
  </conditionalFormatting>
  <conditionalFormatting sqref="Q341">
    <cfRule type="duplicateValues" dxfId="9965" priority="10283"/>
  </conditionalFormatting>
  <conditionalFormatting sqref="R341">
    <cfRule type="duplicateValues" dxfId="9964" priority="10282"/>
  </conditionalFormatting>
  <conditionalFormatting sqref="Q341">
    <cfRule type="duplicateValues" dxfId="9963" priority="10280"/>
    <cfRule type="duplicateValues" dxfId="9962" priority="10281"/>
  </conditionalFormatting>
  <conditionalFormatting sqref="Q341">
    <cfRule type="duplicateValues" dxfId="9961" priority="10279"/>
  </conditionalFormatting>
  <conditionalFormatting sqref="Q341">
    <cfRule type="duplicateValues" dxfId="9960" priority="10278"/>
  </conditionalFormatting>
  <conditionalFormatting sqref="Q341">
    <cfRule type="duplicateValues" dxfId="9959" priority="10277"/>
  </conditionalFormatting>
  <conditionalFormatting sqref="Q341">
    <cfRule type="duplicateValues" dxfId="9958" priority="10276"/>
  </conditionalFormatting>
  <conditionalFormatting sqref="Q341">
    <cfRule type="duplicateValues" dxfId="9957" priority="10275"/>
  </conditionalFormatting>
  <conditionalFormatting sqref="Q341">
    <cfRule type="duplicateValues" dxfId="9956" priority="10274"/>
  </conditionalFormatting>
  <conditionalFormatting sqref="Q341">
    <cfRule type="duplicateValues" dxfId="9955" priority="10273"/>
  </conditionalFormatting>
  <conditionalFormatting sqref="Q341">
    <cfRule type="duplicateValues" dxfId="9954" priority="10272"/>
  </conditionalFormatting>
  <conditionalFormatting sqref="Q341">
    <cfRule type="duplicateValues" dxfId="9953" priority="10271"/>
  </conditionalFormatting>
  <conditionalFormatting sqref="Q341">
    <cfRule type="duplicateValues" dxfId="9952" priority="10270"/>
  </conditionalFormatting>
  <conditionalFormatting sqref="R341">
    <cfRule type="duplicateValues" dxfId="9951" priority="10269"/>
  </conditionalFormatting>
  <conditionalFormatting sqref="R341">
    <cfRule type="duplicateValues" dxfId="9950" priority="10266"/>
    <cfRule type="duplicateValues" dxfId="9949" priority="10267"/>
    <cfRule type="duplicateValues" dxfId="9948" priority="10268"/>
  </conditionalFormatting>
  <conditionalFormatting sqref="R341">
    <cfRule type="duplicateValues" dxfId="9947" priority="10265"/>
  </conditionalFormatting>
  <conditionalFormatting sqref="R341">
    <cfRule type="duplicateValues" dxfId="9946" priority="10262"/>
    <cfRule type="duplicateValues" dxfId="9945" priority="10263"/>
    <cfRule type="duplicateValues" dxfId="9944" priority="10264"/>
  </conditionalFormatting>
  <conditionalFormatting sqref="Q341">
    <cfRule type="duplicateValues" dxfId="9943" priority="10261"/>
  </conditionalFormatting>
  <conditionalFormatting sqref="Q342:R342">
    <cfRule type="duplicateValues" dxfId="9942" priority="10260"/>
  </conditionalFormatting>
  <conditionalFormatting sqref="Q342:R342">
    <cfRule type="duplicateValues" dxfId="9941" priority="10257"/>
    <cfRule type="duplicateValues" dxfId="9940" priority="10258"/>
    <cfRule type="duplicateValues" dxfId="9939" priority="10259"/>
  </conditionalFormatting>
  <conditionalFormatting sqref="R342">
    <cfRule type="duplicateValues" dxfId="9938" priority="10256"/>
  </conditionalFormatting>
  <conditionalFormatting sqref="Q342:R342">
    <cfRule type="duplicateValues" dxfId="9937" priority="10255"/>
  </conditionalFormatting>
  <conditionalFormatting sqref="Q342">
    <cfRule type="duplicateValues" dxfId="9936" priority="10254"/>
  </conditionalFormatting>
  <conditionalFormatting sqref="Q342">
    <cfRule type="duplicateValues" dxfId="9935" priority="10253"/>
  </conditionalFormatting>
  <conditionalFormatting sqref="Q342">
    <cfRule type="duplicateValues" dxfId="9934" priority="10252"/>
  </conditionalFormatting>
  <conditionalFormatting sqref="Q342">
    <cfRule type="duplicateValues" dxfId="9933" priority="10251"/>
  </conditionalFormatting>
  <conditionalFormatting sqref="R342">
    <cfRule type="duplicateValues" dxfId="9932" priority="10250"/>
  </conditionalFormatting>
  <conditionalFormatting sqref="Q342">
    <cfRule type="duplicateValues" dxfId="9931" priority="10248"/>
    <cfRule type="duplicateValues" dxfId="9930" priority="10249"/>
  </conditionalFormatting>
  <conditionalFormatting sqref="Q342">
    <cfRule type="duplicateValues" dxfId="9929" priority="10247"/>
  </conditionalFormatting>
  <conditionalFormatting sqref="Q342">
    <cfRule type="duplicateValues" dxfId="9928" priority="10246"/>
  </conditionalFormatting>
  <conditionalFormatting sqref="Q342">
    <cfRule type="duplicateValues" dxfId="9927" priority="10245"/>
  </conditionalFormatting>
  <conditionalFormatting sqref="Q342">
    <cfRule type="duplicateValues" dxfId="9926" priority="10244"/>
  </conditionalFormatting>
  <conditionalFormatting sqref="Q342">
    <cfRule type="duplicateValues" dxfId="9925" priority="10243"/>
  </conditionalFormatting>
  <conditionalFormatting sqref="Q342">
    <cfRule type="duplicateValues" dxfId="9924" priority="10242"/>
  </conditionalFormatting>
  <conditionalFormatting sqref="Q342">
    <cfRule type="duplicateValues" dxfId="9923" priority="10241"/>
  </conditionalFormatting>
  <conditionalFormatting sqref="Q342">
    <cfRule type="duplicateValues" dxfId="9922" priority="10240"/>
  </conditionalFormatting>
  <conditionalFormatting sqref="Q342">
    <cfRule type="duplicateValues" dxfId="9921" priority="10239"/>
  </conditionalFormatting>
  <conditionalFormatting sqref="Q342">
    <cfRule type="duplicateValues" dxfId="9920" priority="10238"/>
  </conditionalFormatting>
  <conditionalFormatting sqref="R342">
    <cfRule type="duplicateValues" dxfId="9919" priority="10237"/>
  </conditionalFormatting>
  <conditionalFormatting sqref="R342">
    <cfRule type="duplicateValues" dxfId="9918" priority="10234"/>
    <cfRule type="duplicateValues" dxfId="9917" priority="10235"/>
    <cfRule type="duplicateValues" dxfId="9916" priority="10236"/>
  </conditionalFormatting>
  <conditionalFormatting sqref="R342">
    <cfRule type="duplicateValues" dxfId="9915" priority="10233"/>
  </conditionalFormatting>
  <conditionalFormatting sqref="R342">
    <cfRule type="duplicateValues" dxfId="9914" priority="10230"/>
    <cfRule type="duplicateValues" dxfId="9913" priority="10231"/>
    <cfRule type="duplicateValues" dxfId="9912" priority="10232"/>
  </conditionalFormatting>
  <conditionalFormatting sqref="Q342">
    <cfRule type="duplicateValues" dxfId="9911" priority="10229"/>
  </conditionalFormatting>
  <conditionalFormatting sqref="Q343:R343">
    <cfRule type="duplicateValues" dxfId="9910" priority="10228"/>
  </conditionalFormatting>
  <conditionalFormatting sqref="Q343:R343">
    <cfRule type="duplicateValues" dxfId="9909" priority="10225"/>
    <cfRule type="duplicateValues" dxfId="9908" priority="10226"/>
    <cfRule type="duplicateValues" dxfId="9907" priority="10227"/>
  </conditionalFormatting>
  <conditionalFormatting sqref="R343">
    <cfRule type="duplicateValues" dxfId="9906" priority="10224"/>
  </conditionalFormatting>
  <conditionalFormatting sqref="Q343:R343">
    <cfRule type="duplicateValues" dxfId="9905" priority="10223"/>
  </conditionalFormatting>
  <conditionalFormatting sqref="Q343">
    <cfRule type="duplicateValues" dxfId="9904" priority="10222"/>
  </conditionalFormatting>
  <conditionalFormatting sqref="Q343">
    <cfRule type="duplicateValues" dxfId="9903" priority="10221"/>
  </conditionalFormatting>
  <conditionalFormatting sqref="Q343">
    <cfRule type="duplicateValues" dxfId="9902" priority="10220"/>
  </conditionalFormatting>
  <conditionalFormatting sqref="Q343">
    <cfRule type="duplicateValues" dxfId="9901" priority="10219"/>
  </conditionalFormatting>
  <conditionalFormatting sqref="R343">
    <cfRule type="duplicateValues" dxfId="9900" priority="10218"/>
  </conditionalFormatting>
  <conditionalFormatting sqref="Q343">
    <cfRule type="duplicateValues" dxfId="9899" priority="10216"/>
    <cfRule type="duplicateValues" dxfId="9898" priority="10217"/>
  </conditionalFormatting>
  <conditionalFormatting sqref="Q343">
    <cfRule type="duplicateValues" dxfId="9897" priority="10215"/>
  </conditionalFormatting>
  <conditionalFormatting sqref="Q343">
    <cfRule type="duplicateValues" dxfId="9896" priority="10214"/>
  </conditionalFormatting>
  <conditionalFormatting sqref="Q343">
    <cfRule type="duplicateValues" dxfId="9895" priority="10213"/>
  </conditionalFormatting>
  <conditionalFormatting sqref="Q343">
    <cfRule type="duplicateValues" dxfId="9894" priority="10212"/>
  </conditionalFormatting>
  <conditionalFormatting sqref="Q343">
    <cfRule type="duplicateValues" dxfId="9893" priority="10211"/>
  </conditionalFormatting>
  <conditionalFormatting sqref="Q343">
    <cfRule type="duplicateValues" dxfId="9892" priority="10210"/>
  </conditionalFormatting>
  <conditionalFormatting sqref="Q343">
    <cfRule type="duplicateValues" dxfId="9891" priority="10209"/>
  </conditionalFormatting>
  <conditionalFormatting sqref="Q343">
    <cfRule type="duplicateValues" dxfId="9890" priority="10208"/>
  </conditionalFormatting>
  <conditionalFormatting sqref="Q343">
    <cfRule type="duplicateValues" dxfId="9889" priority="10207"/>
  </conditionalFormatting>
  <conditionalFormatting sqref="Q343">
    <cfRule type="duplicateValues" dxfId="9888" priority="10206"/>
  </conditionalFormatting>
  <conditionalFormatting sqref="R343">
    <cfRule type="duplicateValues" dxfId="9887" priority="10205"/>
  </conditionalFormatting>
  <conditionalFormatting sqref="R343">
    <cfRule type="duplicateValues" dxfId="9886" priority="10202"/>
    <cfRule type="duplicateValues" dxfId="9885" priority="10203"/>
    <cfRule type="duplicateValues" dxfId="9884" priority="10204"/>
  </conditionalFormatting>
  <conditionalFormatting sqref="R343">
    <cfRule type="duplicateValues" dxfId="9883" priority="10201"/>
  </conditionalFormatting>
  <conditionalFormatting sqref="R343">
    <cfRule type="duplicateValues" dxfId="9882" priority="10198"/>
    <cfRule type="duplicateValues" dxfId="9881" priority="10199"/>
    <cfRule type="duplicateValues" dxfId="9880" priority="10200"/>
  </conditionalFormatting>
  <conditionalFormatting sqref="Q343">
    <cfRule type="duplicateValues" dxfId="9879" priority="10197"/>
  </conditionalFormatting>
  <conditionalFormatting sqref="Q344:R344">
    <cfRule type="duplicateValues" dxfId="9878" priority="10196"/>
  </conditionalFormatting>
  <conditionalFormatting sqref="Q344:R344">
    <cfRule type="duplicateValues" dxfId="9877" priority="10193"/>
    <cfRule type="duplicateValues" dxfId="9876" priority="10194"/>
    <cfRule type="duplicateValues" dxfId="9875" priority="10195"/>
  </conditionalFormatting>
  <conditionalFormatting sqref="R344">
    <cfRule type="duplicateValues" dxfId="9874" priority="10192"/>
  </conditionalFormatting>
  <conditionalFormatting sqref="Q344:R344">
    <cfRule type="duplicateValues" dxfId="9873" priority="10191"/>
  </conditionalFormatting>
  <conditionalFormatting sqref="Q344">
    <cfRule type="duplicateValues" dxfId="9872" priority="10190"/>
  </conditionalFormatting>
  <conditionalFormatting sqref="Q344">
    <cfRule type="duplicateValues" dxfId="9871" priority="10189"/>
  </conditionalFormatting>
  <conditionalFormatting sqref="Q344">
    <cfRule type="duplicateValues" dxfId="9870" priority="10188"/>
  </conditionalFormatting>
  <conditionalFormatting sqref="Q344">
    <cfRule type="duplicateValues" dxfId="9869" priority="10187"/>
  </conditionalFormatting>
  <conditionalFormatting sqref="R344">
    <cfRule type="duplicateValues" dxfId="9868" priority="10186"/>
  </conditionalFormatting>
  <conditionalFormatting sqref="Q344">
    <cfRule type="duplicateValues" dxfId="9867" priority="10184"/>
    <cfRule type="duplicateValues" dxfId="9866" priority="10185"/>
  </conditionalFormatting>
  <conditionalFormatting sqref="Q344">
    <cfRule type="duplicateValues" dxfId="9865" priority="10183"/>
  </conditionalFormatting>
  <conditionalFormatting sqref="Q344">
    <cfRule type="duplicateValues" dxfId="9864" priority="10182"/>
  </conditionalFormatting>
  <conditionalFormatting sqref="Q344">
    <cfRule type="duplicateValues" dxfId="9863" priority="10181"/>
  </conditionalFormatting>
  <conditionalFormatting sqref="Q344">
    <cfRule type="duplicateValues" dxfId="9862" priority="10180"/>
  </conditionalFormatting>
  <conditionalFormatting sqref="Q344">
    <cfRule type="duplicateValues" dxfId="9861" priority="10179"/>
  </conditionalFormatting>
  <conditionalFormatting sqref="Q344">
    <cfRule type="duplicateValues" dxfId="9860" priority="10178"/>
  </conditionalFormatting>
  <conditionalFormatting sqref="Q344">
    <cfRule type="duplicateValues" dxfId="9859" priority="10177"/>
  </conditionalFormatting>
  <conditionalFormatting sqref="Q344">
    <cfRule type="duplicateValues" dxfId="9858" priority="10176"/>
  </conditionalFormatting>
  <conditionalFormatting sqref="Q344">
    <cfRule type="duplicateValues" dxfId="9857" priority="10175"/>
  </conditionalFormatting>
  <conditionalFormatting sqref="Q344">
    <cfRule type="duplicateValues" dxfId="9856" priority="10174"/>
  </conditionalFormatting>
  <conditionalFormatting sqref="R344">
    <cfRule type="duplicateValues" dxfId="9855" priority="10173"/>
  </conditionalFormatting>
  <conditionalFormatting sqref="R344">
    <cfRule type="duplicateValues" dxfId="9854" priority="10170"/>
    <cfRule type="duplicateValues" dxfId="9853" priority="10171"/>
    <cfRule type="duplicateValues" dxfId="9852" priority="10172"/>
  </conditionalFormatting>
  <conditionalFormatting sqref="R344">
    <cfRule type="duplicateValues" dxfId="9851" priority="10169"/>
  </conditionalFormatting>
  <conditionalFormatting sqref="R344">
    <cfRule type="duplicateValues" dxfId="9850" priority="10166"/>
    <cfRule type="duplicateValues" dxfId="9849" priority="10167"/>
    <cfRule type="duplicateValues" dxfId="9848" priority="10168"/>
  </conditionalFormatting>
  <conditionalFormatting sqref="Q344">
    <cfRule type="duplicateValues" dxfId="9847" priority="10165"/>
  </conditionalFormatting>
  <conditionalFormatting sqref="Q345:R345">
    <cfRule type="duplicateValues" dxfId="9846" priority="10164"/>
  </conditionalFormatting>
  <conditionalFormatting sqref="Q345:R345">
    <cfRule type="duplicateValues" dxfId="9845" priority="10161"/>
    <cfRule type="duplicateValues" dxfId="9844" priority="10162"/>
    <cfRule type="duplicateValues" dxfId="9843" priority="10163"/>
  </conditionalFormatting>
  <conditionalFormatting sqref="R345">
    <cfRule type="duplicateValues" dxfId="9842" priority="10160"/>
  </conditionalFormatting>
  <conditionalFormatting sqref="Q345:R345">
    <cfRule type="duplicateValues" dxfId="9841" priority="10159"/>
  </conditionalFormatting>
  <conditionalFormatting sqref="Q345">
    <cfRule type="duplicateValues" dxfId="9840" priority="10158"/>
  </conditionalFormatting>
  <conditionalFormatting sqref="Q345">
    <cfRule type="duplicateValues" dxfId="9839" priority="10157"/>
  </conditionalFormatting>
  <conditionalFormatting sqref="Q345">
    <cfRule type="duplicateValues" dxfId="9838" priority="10156"/>
  </conditionalFormatting>
  <conditionalFormatting sqref="Q345">
    <cfRule type="duplicateValues" dxfId="9837" priority="10155"/>
  </conditionalFormatting>
  <conditionalFormatting sqref="R345">
    <cfRule type="duplicateValues" dxfId="9836" priority="10154"/>
  </conditionalFormatting>
  <conditionalFormatting sqref="Q345">
    <cfRule type="duplicateValues" dxfId="9835" priority="10152"/>
    <cfRule type="duplicateValues" dxfId="9834" priority="10153"/>
  </conditionalFormatting>
  <conditionalFormatting sqref="Q345">
    <cfRule type="duplicateValues" dxfId="9833" priority="10151"/>
  </conditionalFormatting>
  <conditionalFormatting sqref="Q345">
    <cfRule type="duplicateValues" dxfId="9832" priority="10150"/>
  </conditionalFormatting>
  <conditionalFormatting sqref="Q345">
    <cfRule type="duplicateValues" dxfId="9831" priority="10149"/>
  </conditionalFormatting>
  <conditionalFormatting sqref="Q345">
    <cfRule type="duplicateValues" dxfId="9830" priority="10148"/>
  </conditionalFormatting>
  <conditionalFormatting sqref="Q345">
    <cfRule type="duplicateValues" dxfId="9829" priority="10147"/>
  </conditionalFormatting>
  <conditionalFormatting sqref="Q345">
    <cfRule type="duplicateValues" dxfId="9828" priority="10146"/>
  </conditionalFormatting>
  <conditionalFormatting sqref="Q345">
    <cfRule type="duplicateValues" dxfId="9827" priority="10145"/>
  </conditionalFormatting>
  <conditionalFormatting sqref="Q345">
    <cfRule type="duplicateValues" dxfId="9826" priority="10144"/>
  </conditionalFormatting>
  <conditionalFormatting sqref="Q345">
    <cfRule type="duplicateValues" dxfId="9825" priority="10143"/>
  </conditionalFormatting>
  <conditionalFormatting sqref="Q345">
    <cfRule type="duplicateValues" dxfId="9824" priority="10142"/>
  </conditionalFormatting>
  <conditionalFormatting sqref="R345">
    <cfRule type="duplicateValues" dxfId="9823" priority="10141"/>
  </conditionalFormatting>
  <conditionalFormatting sqref="R345">
    <cfRule type="duplicateValues" dxfId="9822" priority="10138"/>
    <cfRule type="duplicateValues" dxfId="9821" priority="10139"/>
    <cfRule type="duplicateValues" dxfId="9820" priority="10140"/>
  </conditionalFormatting>
  <conditionalFormatting sqref="R345">
    <cfRule type="duplicateValues" dxfId="9819" priority="10137"/>
  </conditionalFormatting>
  <conditionalFormatting sqref="R345">
    <cfRule type="duplicateValues" dxfId="9818" priority="10134"/>
    <cfRule type="duplicateValues" dxfId="9817" priority="10135"/>
    <cfRule type="duplicateValues" dxfId="9816" priority="10136"/>
  </conditionalFormatting>
  <conditionalFormatting sqref="Q345">
    <cfRule type="duplicateValues" dxfId="9815" priority="10133"/>
  </conditionalFormatting>
  <conditionalFormatting sqref="Q346">
    <cfRule type="duplicateValues" dxfId="9814" priority="10118"/>
  </conditionalFormatting>
  <conditionalFormatting sqref="Q346">
    <cfRule type="duplicateValues" dxfId="9813" priority="10117"/>
  </conditionalFormatting>
  <conditionalFormatting sqref="Q346">
    <cfRule type="duplicateValues" dxfId="9812" priority="10116"/>
  </conditionalFormatting>
  <conditionalFormatting sqref="Q346:R346">
    <cfRule type="duplicateValues" dxfId="9811" priority="10119"/>
  </conditionalFormatting>
  <conditionalFormatting sqref="Q346:R346">
    <cfRule type="duplicateValues" dxfId="9810" priority="10120"/>
    <cfRule type="duplicateValues" dxfId="9809" priority="10121"/>
    <cfRule type="duplicateValues" dxfId="9808" priority="10122"/>
  </conditionalFormatting>
  <conditionalFormatting sqref="R346">
    <cfRule type="duplicateValues" dxfId="9807" priority="10123"/>
  </conditionalFormatting>
  <conditionalFormatting sqref="Q346">
    <cfRule type="duplicateValues" dxfId="9806" priority="10124"/>
  </conditionalFormatting>
  <conditionalFormatting sqref="Q346">
    <cfRule type="duplicateValues" dxfId="9805" priority="10125"/>
    <cfRule type="duplicateValues" dxfId="9804" priority="10126"/>
    <cfRule type="duplicateValues" dxfId="9803" priority="10127"/>
  </conditionalFormatting>
  <conditionalFormatting sqref="R346">
    <cfRule type="duplicateValues" dxfId="9802" priority="10128"/>
    <cfRule type="duplicateValues" dxfId="9801" priority="10129"/>
    <cfRule type="duplicateValues" dxfId="9800" priority="10130"/>
  </conditionalFormatting>
  <conditionalFormatting sqref="Q346">
    <cfRule type="duplicateValues" dxfId="9799" priority="10131"/>
    <cfRule type="duplicateValues" dxfId="9798" priority="10132"/>
  </conditionalFormatting>
  <conditionalFormatting sqref="Q346">
    <cfRule type="duplicateValues" dxfId="9797" priority="10115"/>
  </conditionalFormatting>
  <conditionalFormatting sqref="Q346">
    <cfRule type="duplicateValues" dxfId="9796" priority="10114"/>
  </conditionalFormatting>
  <conditionalFormatting sqref="Q347">
    <cfRule type="duplicateValues" dxfId="9795" priority="10113"/>
  </conditionalFormatting>
  <conditionalFormatting sqref="Q347">
    <cfRule type="duplicateValues" dxfId="9794" priority="10112"/>
  </conditionalFormatting>
  <conditionalFormatting sqref="Q347">
    <cfRule type="duplicateValues" dxfId="9793" priority="10111"/>
  </conditionalFormatting>
  <conditionalFormatting sqref="Q347">
    <cfRule type="duplicateValues" dxfId="9792" priority="10110"/>
  </conditionalFormatting>
  <conditionalFormatting sqref="Q347">
    <cfRule type="duplicateValues" dxfId="9791" priority="10109"/>
  </conditionalFormatting>
  <conditionalFormatting sqref="Q347">
    <cfRule type="duplicateValues" dxfId="9790" priority="10108"/>
  </conditionalFormatting>
  <conditionalFormatting sqref="Q347">
    <cfRule type="duplicateValues" dxfId="9789" priority="10107"/>
  </conditionalFormatting>
  <conditionalFormatting sqref="Q347:R347">
    <cfRule type="duplicateValues" dxfId="9788" priority="10106"/>
  </conditionalFormatting>
  <conditionalFormatting sqref="Q347:R347">
    <cfRule type="duplicateValues" dxfId="9787" priority="10103"/>
    <cfRule type="duplicateValues" dxfId="9786" priority="10104"/>
    <cfRule type="duplicateValues" dxfId="9785" priority="10105"/>
  </conditionalFormatting>
  <conditionalFormatting sqref="R347">
    <cfRule type="duplicateValues" dxfId="9784" priority="10102"/>
  </conditionalFormatting>
  <conditionalFormatting sqref="Q347">
    <cfRule type="duplicateValues" dxfId="9783" priority="10101"/>
  </conditionalFormatting>
  <conditionalFormatting sqref="Q347">
    <cfRule type="duplicateValues" dxfId="9782" priority="10098"/>
    <cfRule type="duplicateValues" dxfId="9781" priority="10099"/>
    <cfRule type="duplicateValues" dxfId="9780" priority="10100"/>
  </conditionalFormatting>
  <conditionalFormatting sqref="R347">
    <cfRule type="duplicateValues" dxfId="9779" priority="10095"/>
    <cfRule type="duplicateValues" dxfId="9778" priority="10096"/>
    <cfRule type="duplicateValues" dxfId="9777" priority="10097"/>
  </conditionalFormatting>
  <conditionalFormatting sqref="Q347">
    <cfRule type="duplicateValues" dxfId="9776" priority="10093"/>
    <cfRule type="duplicateValues" dxfId="9775" priority="10094"/>
  </conditionalFormatting>
  <conditionalFormatting sqref="Q347">
    <cfRule type="duplicateValues" dxfId="9774" priority="10092"/>
  </conditionalFormatting>
  <conditionalFormatting sqref="Q348">
    <cfRule type="duplicateValues" dxfId="9773" priority="10091"/>
  </conditionalFormatting>
  <conditionalFormatting sqref="Q348">
    <cfRule type="duplicateValues" dxfId="9772" priority="10090"/>
  </conditionalFormatting>
  <conditionalFormatting sqref="Q348">
    <cfRule type="duplicateValues" dxfId="9771" priority="10089"/>
  </conditionalFormatting>
  <conditionalFormatting sqref="Q348">
    <cfRule type="duplicateValues" dxfId="9770" priority="10088"/>
  </conditionalFormatting>
  <conditionalFormatting sqref="Q348">
    <cfRule type="duplicateValues" dxfId="9769" priority="10087"/>
  </conditionalFormatting>
  <conditionalFormatting sqref="Q348:R348">
    <cfRule type="duplicateValues" dxfId="9768" priority="10086"/>
  </conditionalFormatting>
  <conditionalFormatting sqref="Q348:R348">
    <cfRule type="duplicateValues" dxfId="9767" priority="10083"/>
    <cfRule type="duplicateValues" dxfId="9766" priority="10084"/>
    <cfRule type="duplicateValues" dxfId="9765" priority="10085"/>
  </conditionalFormatting>
  <conditionalFormatting sqref="R348">
    <cfRule type="duplicateValues" dxfId="9764" priority="10082"/>
  </conditionalFormatting>
  <conditionalFormatting sqref="Q348">
    <cfRule type="duplicateValues" dxfId="9763" priority="10081"/>
  </conditionalFormatting>
  <conditionalFormatting sqref="Q348">
    <cfRule type="duplicateValues" dxfId="9762" priority="10078"/>
    <cfRule type="duplicateValues" dxfId="9761" priority="10079"/>
    <cfRule type="duplicateValues" dxfId="9760" priority="10080"/>
  </conditionalFormatting>
  <conditionalFormatting sqref="R348">
    <cfRule type="duplicateValues" dxfId="9759" priority="10075"/>
    <cfRule type="duplicateValues" dxfId="9758" priority="10076"/>
    <cfRule type="duplicateValues" dxfId="9757" priority="10077"/>
  </conditionalFormatting>
  <conditionalFormatting sqref="Q348">
    <cfRule type="duplicateValues" dxfId="9756" priority="10073"/>
    <cfRule type="duplicateValues" dxfId="9755" priority="10074"/>
  </conditionalFormatting>
  <conditionalFormatting sqref="Q348">
    <cfRule type="duplicateValues" dxfId="9754" priority="10072"/>
  </conditionalFormatting>
  <conditionalFormatting sqref="Q349">
    <cfRule type="duplicateValues" dxfId="9753" priority="10071"/>
  </conditionalFormatting>
  <conditionalFormatting sqref="Q349">
    <cfRule type="duplicateValues" dxfId="9752" priority="10070"/>
  </conditionalFormatting>
  <conditionalFormatting sqref="Q349:R349">
    <cfRule type="duplicateValues" dxfId="9751" priority="10069"/>
  </conditionalFormatting>
  <conditionalFormatting sqref="Q349:R349">
    <cfRule type="duplicateValues" dxfId="9750" priority="10066"/>
    <cfRule type="duplicateValues" dxfId="9749" priority="10067"/>
    <cfRule type="duplicateValues" dxfId="9748" priority="10068"/>
  </conditionalFormatting>
  <conditionalFormatting sqref="R349">
    <cfRule type="duplicateValues" dxfId="9747" priority="10065"/>
  </conditionalFormatting>
  <conditionalFormatting sqref="Q349">
    <cfRule type="duplicateValues" dxfId="9746" priority="10064"/>
  </conditionalFormatting>
  <conditionalFormatting sqref="Q349">
    <cfRule type="duplicateValues" dxfId="9745" priority="10061"/>
    <cfRule type="duplicateValues" dxfId="9744" priority="10062"/>
    <cfRule type="duplicateValues" dxfId="9743" priority="10063"/>
  </conditionalFormatting>
  <conditionalFormatting sqref="R349">
    <cfRule type="duplicateValues" dxfId="9742" priority="10058"/>
    <cfRule type="duplicateValues" dxfId="9741" priority="10059"/>
    <cfRule type="duplicateValues" dxfId="9740" priority="10060"/>
  </conditionalFormatting>
  <conditionalFormatting sqref="Q349">
    <cfRule type="duplicateValues" dxfId="9739" priority="10056"/>
    <cfRule type="duplicateValues" dxfId="9738" priority="10057"/>
  </conditionalFormatting>
  <conditionalFormatting sqref="Q349">
    <cfRule type="duplicateValues" dxfId="9737" priority="10055"/>
  </conditionalFormatting>
  <conditionalFormatting sqref="Q350">
    <cfRule type="duplicateValues" dxfId="9736" priority="10054"/>
  </conditionalFormatting>
  <conditionalFormatting sqref="Q350">
    <cfRule type="duplicateValues" dxfId="9735" priority="10053"/>
  </conditionalFormatting>
  <conditionalFormatting sqref="Q350:R350">
    <cfRule type="duplicateValues" dxfId="9734" priority="10052"/>
  </conditionalFormatting>
  <conditionalFormatting sqref="Q350:R350">
    <cfRule type="duplicateValues" dxfId="9733" priority="10049"/>
    <cfRule type="duplicateValues" dxfId="9732" priority="10050"/>
    <cfRule type="duplicateValues" dxfId="9731" priority="10051"/>
  </conditionalFormatting>
  <conditionalFormatting sqref="R350">
    <cfRule type="duplicateValues" dxfId="9730" priority="10048"/>
  </conditionalFormatting>
  <conditionalFormatting sqref="Q350">
    <cfRule type="duplicateValues" dxfId="9729" priority="10047"/>
  </conditionalFormatting>
  <conditionalFormatting sqref="Q350">
    <cfRule type="duplicateValues" dxfId="9728" priority="10044"/>
    <cfRule type="duplicateValues" dxfId="9727" priority="10045"/>
    <cfRule type="duplicateValues" dxfId="9726" priority="10046"/>
  </conditionalFormatting>
  <conditionalFormatting sqref="R350">
    <cfRule type="duplicateValues" dxfId="9725" priority="10041"/>
    <cfRule type="duplicateValues" dxfId="9724" priority="10042"/>
    <cfRule type="duplicateValues" dxfId="9723" priority="10043"/>
  </conditionalFormatting>
  <conditionalFormatting sqref="Q350">
    <cfRule type="duplicateValues" dxfId="9722" priority="10039"/>
    <cfRule type="duplicateValues" dxfId="9721" priority="10040"/>
  </conditionalFormatting>
  <conditionalFormatting sqref="Q350">
    <cfRule type="duplicateValues" dxfId="9720" priority="10038"/>
  </conditionalFormatting>
  <conditionalFormatting sqref="Q351:R351">
    <cfRule type="duplicateValues" dxfId="9719" priority="10037"/>
  </conditionalFormatting>
  <conditionalFormatting sqref="Q351:R351">
    <cfRule type="duplicateValues" dxfId="9718" priority="10034"/>
    <cfRule type="duplicateValues" dxfId="9717" priority="10035"/>
    <cfRule type="duplicateValues" dxfId="9716" priority="10036"/>
  </conditionalFormatting>
  <conditionalFormatting sqref="R351">
    <cfRule type="duplicateValues" dxfId="9715" priority="10033"/>
  </conditionalFormatting>
  <conditionalFormatting sqref="Q351:R351">
    <cfRule type="duplicateValues" dxfId="9714" priority="10032"/>
  </conditionalFormatting>
  <conditionalFormatting sqref="Q351">
    <cfRule type="duplicateValues" dxfId="9713" priority="10031"/>
  </conditionalFormatting>
  <conditionalFormatting sqref="Q351">
    <cfRule type="duplicateValues" dxfId="9712" priority="10030"/>
  </conditionalFormatting>
  <conditionalFormatting sqref="Q351">
    <cfRule type="duplicateValues" dxfId="9711" priority="10029"/>
  </conditionalFormatting>
  <conditionalFormatting sqref="Q351">
    <cfRule type="duplicateValues" dxfId="9710" priority="10028"/>
  </conditionalFormatting>
  <conditionalFormatting sqref="R351">
    <cfRule type="duplicateValues" dxfId="9709" priority="10027"/>
  </conditionalFormatting>
  <conditionalFormatting sqref="Q351">
    <cfRule type="duplicateValues" dxfId="9708" priority="10025"/>
    <cfRule type="duplicateValues" dxfId="9707" priority="10026"/>
  </conditionalFormatting>
  <conditionalFormatting sqref="Q351">
    <cfRule type="duplicateValues" dxfId="9706" priority="10024"/>
  </conditionalFormatting>
  <conditionalFormatting sqref="Q351">
    <cfRule type="duplicateValues" dxfId="9705" priority="10023"/>
  </conditionalFormatting>
  <conditionalFormatting sqref="Q351">
    <cfRule type="duplicateValues" dxfId="9704" priority="10022"/>
  </conditionalFormatting>
  <conditionalFormatting sqref="Q351">
    <cfRule type="duplicateValues" dxfId="9703" priority="10021"/>
  </conditionalFormatting>
  <conditionalFormatting sqref="Q351">
    <cfRule type="duplicateValues" dxfId="9702" priority="10020"/>
  </conditionalFormatting>
  <conditionalFormatting sqref="Q351">
    <cfRule type="duplicateValues" dxfId="9701" priority="10019"/>
  </conditionalFormatting>
  <conditionalFormatting sqref="Q351">
    <cfRule type="duplicateValues" dxfId="9700" priority="10018"/>
  </conditionalFormatting>
  <conditionalFormatting sqref="Q351">
    <cfRule type="duplicateValues" dxfId="9699" priority="10017"/>
  </conditionalFormatting>
  <conditionalFormatting sqref="Q351:R351">
    <cfRule type="duplicateValues" dxfId="9698" priority="10016"/>
  </conditionalFormatting>
  <conditionalFormatting sqref="Q351">
    <cfRule type="duplicateValues" dxfId="9697" priority="10015"/>
  </conditionalFormatting>
  <conditionalFormatting sqref="Q351:R351">
    <cfRule type="duplicateValues" dxfId="9696" priority="10014"/>
  </conditionalFormatting>
  <conditionalFormatting sqref="R351">
    <cfRule type="duplicateValues" dxfId="9695" priority="10013"/>
  </conditionalFormatting>
  <conditionalFormatting sqref="Q351">
    <cfRule type="duplicateValues" dxfId="9694" priority="10012"/>
  </conditionalFormatting>
  <conditionalFormatting sqref="Q352:R352">
    <cfRule type="duplicateValues" dxfId="9693" priority="10009"/>
    <cfRule type="duplicateValues" dxfId="9692" priority="10010"/>
    <cfRule type="duplicateValues" dxfId="9691" priority="10011"/>
  </conditionalFormatting>
  <conditionalFormatting sqref="R352">
    <cfRule type="duplicateValues" dxfId="9690" priority="10008"/>
  </conditionalFormatting>
  <conditionalFormatting sqref="Q352:R352">
    <cfRule type="duplicateValues" dxfId="9689" priority="10007"/>
  </conditionalFormatting>
  <conditionalFormatting sqref="Q352">
    <cfRule type="duplicateValues" dxfId="9688" priority="10006"/>
  </conditionalFormatting>
  <conditionalFormatting sqref="Q352">
    <cfRule type="duplicateValues" dxfId="9687" priority="10005"/>
  </conditionalFormatting>
  <conditionalFormatting sqref="Q352">
    <cfRule type="duplicateValues" dxfId="9686" priority="10004"/>
  </conditionalFormatting>
  <conditionalFormatting sqref="Q352">
    <cfRule type="duplicateValues" dxfId="9685" priority="10003"/>
  </conditionalFormatting>
  <conditionalFormatting sqref="R352">
    <cfRule type="duplicateValues" dxfId="9684" priority="10002"/>
  </conditionalFormatting>
  <conditionalFormatting sqref="Q352">
    <cfRule type="duplicateValues" dxfId="9683" priority="10000"/>
    <cfRule type="duplicateValues" dxfId="9682" priority="10001"/>
  </conditionalFormatting>
  <conditionalFormatting sqref="Q352">
    <cfRule type="duplicateValues" dxfId="9681" priority="9999"/>
  </conditionalFormatting>
  <conditionalFormatting sqref="Q352">
    <cfRule type="duplicateValues" dxfId="9680" priority="9998"/>
  </conditionalFormatting>
  <conditionalFormatting sqref="Q352">
    <cfRule type="duplicateValues" dxfId="9679" priority="9997"/>
  </conditionalFormatting>
  <conditionalFormatting sqref="Q352">
    <cfRule type="duplicateValues" dxfId="9678" priority="9996"/>
  </conditionalFormatting>
  <conditionalFormatting sqref="Q352">
    <cfRule type="duplicateValues" dxfId="9677" priority="9995"/>
  </conditionalFormatting>
  <conditionalFormatting sqref="Q352">
    <cfRule type="duplicateValues" dxfId="9676" priority="9994"/>
  </conditionalFormatting>
  <conditionalFormatting sqref="Q352">
    <cfRule type="duplicateValues" dxfId="9675" priority="9993"/>
  </conditionalFormatting>
  <conditionalFormatting sqref="Q352">
    <cfRule type="duplicateValues" dxfId="9674" priority="9992"/>
  </conditionalFormatting>
  <conditionalFormatting sqref="Q352:R352">
    <cfRule type="duplicateValues" dxfId="9673" priority="9991"/>
  </conditionalFormatting>
  <conditionalFormatting sqref="Q352">
    <cfRule type="duplicateValues" dxfId="9672" priority="9990"/>
  </conditionalFormatting>
  <conditionalFormatting sqref="R352">
    <cfRule type="duplicateValues" dxfId="9671" priority="9989"/>
  </conditionalFormatting>
  <conditionalFormatting sqref="Q352">
    <cfRule type="duplicateValues" dxfId="9670" priority="9988"/>
  </conditionalFormatting>
  <conditionalFormatting sqref="Q353">
    <cfRule type="duplicateValues" dxfId="9669" priority="9986"/>
    <cfRule type="duplicateValues" dxfId="9668" priority="9987"/>
  </conditionalFormatting>
  <conditionalFormatting sqref="Q353">
    <cfRule type="duplicateValues" dxfId="9667" priority="9985"/>
  </conditionalFormatting>
  <conditionalFormatting sqref="Q353">
    <cfRule type="duplicateValues" dxfId="9666" priority="9984"/>
  </conditionalFormatting>
  <conditionalFormatting sqref="Q353">
    <cfRule type="duplicateValues" dxfId="9665" priority="9983"/>
  </conditionalFormatting>
  <conditionalFormatting sqref="Q353">
    <cfRule type="duplicateValues" dxfId="9664" priority="9982"/>
  </conditionalFormatting>
  <conditionalFormatting sqref="Q353">
    <cfRule type="duplicateValues" dxfId="9663" priority="9981"/>
  </conditionalFormatting>
  <conditionalFormatting sqref="Q353">
    <cfRule type="duplicateValues" dxfId="9662" priority="9980"/>
  </conditionalFormatting>
  <conditionalFormatting sqref="Q353">
    <cfRule type="duplicateValues" dxfId="9661" priority="9979"/>
  </conditionalFormatting>
  <conditionalFormatting sqref="Q353">
    <cfRule type="duplicateValues" dxfId="9660" priority="9978"/>
  </conditionalFormatting>
  <conditionalFormatting sqref="Q353:R353">
    <cfRule type="duplicateValues" dxfId="9659" priority="9977"/>
  </conditionalFormatting>
  <conditionalFormatting sqref="Q353:R353">
    <cfRule type="duplicateValues" dxfId="9658" priority="9974"/>
    <cfRule type="duplicateValues" dxfId="9657" priority="9975"/>
    <cfRule type="duplicateValues" dxfId="9656" priority="9976"/>
  </conditionalFormatting>
  <conditionalFormatting sqref="R353">
    <cfRule type="duplicateValues" dxfId="9655" priority="9973"/>
  </conditionalFormatting>
  <conditionalFormatting sqref="Q353">
    <cfRule type="duplicateValues" dxfId="9654" priority="9972"/>
  </conditionalFormatting>
  <conditionalFormatting sqref="Q353">
    <cfRule type="duplicateValues" dxfId="9653" priority="9969"/>
    <cfRule type="duplicateValues" dxfId="9652" priority="9970"/>
    <cfRule type="duplicateValues" dxfId="9651" priority="9971"/>
  </conditionalFormatting>
  <conditionalFormatting sqref="R353">
    <cfRule type="duplicateValues" dxfId="9650" priority="9966"/>
    <cfRule type="duplicateValues" dxfId="9649" priority="9967"/>
    <cfRule type="duplicateValues" dxfId="9648" priority="9968"/>
  </conditionalFormatting>
  <conditionalFormatting sqref="Q353">
    <cfRule type="duplicateValues" dxfId="9647" priority="9965"/>
  </conditionalFormatting>
  <conditionalFormatting sqref="Q354">
    <cfRule type="duplicateValues" dxfId="9646" priority="9964"/>
  </conditionalFormatting>
  <conditionalFormatting sqref="Q354">
    <cfRule type="duplicateValues" dxfId="9645" priority="9963"/>
  </conditionalFormatting>
  <conditionalFormatting sqref="Q354:R354">
    <cfRule type="duplicateValues" dxfId="9644" priority="9962"/>
  </conditionalFormatting>
  <conditionalFormatting sqref="Q354:R354">
    <cfRule type="duplicateValues" dxfId="9643" priority="9959"/>
    <cfRule type="duplicateValues" dxfId="9642" priority="9960"/>
    <cfRule type="duplicateValues" dxfId="9641" priority="9961"/>
  </conditionalFormatting>
  <conditionalFormatting sqref="R354">
    <cfRule type="duplicateValues" dxfId="9640" priority="9958"/>
  </conditionalFormatting>
  <conditionalFormatting sqref="Q354">
    <cfRule type="duplicateValues" dxfId="9639" priority="9957"/>
  </conditionalFormatting>
  <conditionalFormatting sqref="Q354">
    <cfRule type="duplicateValues" dxfId="9638" priority="9954"/>
    <cfRule type="duplicateValues" dxfId="9637" priority="9955"/>
    <cfRule type="duplicateValues" dxfId="9636" priority="9956"/>
  </conditionalFormatting>
  <conditionalFormatting sqref="R354">
    <cfRule type="duplicateValues" dxfId="9635" priority="9951"/>
    <cfRule type="duplicateValues" dxfId="9634" priority="9952"/>
    <cfRule type="duplicateValues" dxfId="9633" priority="9953"/>
  </conditionalFormatting>
  <conditionalFormatting sqref="Q354">
    <cfRule type="duplicateValues" dxfId="9632" priority="9949"/>
    <cfRule type="duplicateValues" dxfId="9631" priority="9950"/>
  </conditionalFormatting>
  <conditionalFormatting sqref="Q354">
    <cfRule type="duplicateValues" dxfId="9630" priority="9948"/>
  </conditionalFormatting>
  <conditionalFormatting sqref="Q355">
    <cfRule type="duplicateValues" dxfId="9629" priority="9941"/>
  </conditionalFormatting>
  <conditionalFormatting sqref="Q355">
    <cfRule type="duplicateValues" dxfId="9628" priority="9940"/>
  </conditionalFormatting>
  <conditionalFormatting sqref="Q355">
    <cfRule type="duplicateValues" dxfId="9627" priority="9939"/>
  </conditionalFormatting>
  <conditionalFormatting sqref="R355">
    <cfRule type="duplicateValues" dxfId="9626" priority="9938"/>
  </conditionalFormatting>
  <conditionalFormatting sqref="Q355">
    <cfRule type="duplicateValues" dxfId="9625" priority="9936"/>
    <cfRule type="duplicateValues" dxfId="9624" priority="9937"/>
  </conditionalFormatting>
  <conditionalFormatting sqref="Q355">
    <cfRule type="duplicateValues" dxfId="9623" priority="9935"/>
  </conditionalFormatting>
  <conditionalFormatting sqref="Q355:R355">
    <cfRule type="duplicateValues" dxfId="9622" priority="9942"/>
  </conditionalFormatting>
  <conditionalFormatting sqref="Q355">
    <cfRule type="duplicateValues" dxfId="9621" priority="9943"/>
  </conditionalFormatting>
  <conditionalFormatting sqref="R355">
    <cfRule type="duplicateValues" dxfId="9620" priority="9944"/>
  </conditionalFormatting>
  <conditionalFormatting sqref="Q355:R355">
    <cfRule type="duplicateValues" dxfId="9619" priority="9945"/>
    <cfRule type="duplicateValues" dxfId="9618" priority="9946"/>
    <cfRule type="duplicateValues" dxfId="9617" priority="9947"/>
  </conditionalFormatting>
  <conditionalFormatting sqref="Q355">
    <cfRule type="duplicateValues" dxfId="9616" priority="9934"/>
  </conditionalFormatting>
  <conditionalFormatting sqref="Q355">
    <cfRule type="duplicateValues" dxfId="9615" priority="9933"/>
  </conditionalFormatting>
  <conditionalFormatting sqref="Q355">
    <cfRule type="duplicateValues" dxfId="9614" priority="9932"/>
  </conditionalFormatting>
  <conditionalFormatting sqref="Q355">
    <cfRule type="duplicateValues" dxfId="9613" priority="9931"/>
  </conditionalFormatting>
  <conditionalFormatting sqref="Q355">
    <cfRule type="duplicateValues" dxfId="9612" priority="9930"/>
  </conditionalFormatting>
  <conditionalFormatting sqref="Q355">
    <cfRule type="duplicateValues" dxfId="9611" priority="9929"/>
  </conditionalFormatting>
  <conditionalFormatting sqref="Q355">
    <cfRule type="duplicateValues" dxfId="9610" priority="9928"/>
  </conditionalFormatting>
  <conditionalFormatting sqref="Q355">
    <cfRule type="duplicateValues" dxfId="9609" priority="9927"/>
  </conditionalFormatting>
  <conditionalFormatting sqref="Q356:R356">
    <cfRule type="duplicateValues" dxfId="9608" priority="9926"/>
  </conditionalFormatting>
  <conditionalFormatting sqref="Q356:R356">
    <cfRule type="duplicateValues" dxfId="9607" priority="9923"/>
    <cfRule type="duplicateValues" dxfId="9606" priority="9924"/>
    <cfRule type="duplicateValues" dxfId="9605" priority="9925"/>
  </conditionalFormatting>
  <conditionalFormatting sqref="R356">
    <cfRule type="duplicateValues" dxfId="9604" priority="9922"/>
  </conditionalFormatting>
  <conditionalFormatting sqref="Q356:R356">
    <cfRule type="duplicateValues" dxfId="9603" priority="9921"/>
  </conditionalFormatting>
  <conditionalFormatting sqref="Q356">
    <cfRule type="duplicateValues" dxfId="9602" priority="9920"/>
  </conditionalFormatting>
  <conditionalFormatting sqref="Q356">
    <cfRule type="duplicateValues" dxfId="9601" priority="9919"/>
  </conditionalFormatting>
  <conditionalFormatting sqref="Q356">
    <cfRule type="duplicateValues" dxfId="9600" priority="9918"/>
  </conditionalFormatting>
  <conditionalFormatting sqref="Q356">
    <cfRule type="duplicateValues" dxfId="9599" priority="9917"/>
  </conditionalFormatting>
  <conditionalFormatting sqref="R356">
    <cfRule type="duplicateValues" dxfId="9598" priority="9916"/>
  </conditionalFormatting>
  <conditionalFormatting sqref="Q356">
    <cfRule type="duplicateValues" dxfId="9597" priority="9914"/>
    <cfRule type="duplicateValues" dxfId="9596" priority="9915"/>
  </conditionalFormatting>
  <conditionalFormatting sqref="Q356">
    <cfRule type="duplicateValues" dxfId="9595" priority="9913"/>
  </conditionalFormatting>
  <conditionalFormatting sqref="Q356">
    <cfRule type="duplicateValues" dxfId="9594" priority="9912"/>
  </conditionalFormatting>
  <conditionalFormatting sqref="Q356">
    <cfRule type="duplicateValues" dxfId="9593" priority="9911"/>
  </conditionalFormatting>
  <conditionalFormatting sqref="Q356">
    <cfRule type="duplicateValues" dxfId="9592" priority="9910"/>
  </conditionalFormatting>
  <conditionalFormatting sqref="Q356">
    <cfRule type="duplicateValues" dxfId="9591" priority="9909"/>
  </conditionalFormatting>
  <conditionalFormatting sqref="Q356">
    <cfRule type="duplicateValues" dxfId="9590" priority="9908"/>
  </conditionalFormatting>
  <conditionalFormatting sqref="Q356">
    <cfRule type="duplicateValues" dxfId="9589" priority="9907"/>
  </conditionalFormatting>
  <conditionalFormatting sqref="Q356">
    <cfRule type="duplicateValues" dxfId="9588" priority="9906"/>
  </conditionalFormatting>
  <conditionalFormatting sqref="Q356:R356">
    <cfRule type="duplicateValues" dxfId="9587" priority="9905"/>
  </conditionalFormatting>
  <conditionalFormatting sqref="Q356">
    <cfRule type="duplicateValues" dxfId="9586" priority="9904"/>
  </conditionalFormatting>
  <conditionalFormatting sqref="R356">
    <cfRule type="duplicateValues" dxfId="9585" priority="9903"/>
  </conditionalFormatting>
  <conditionalFormatting sqref="Q356">
    <cfRule type="duplicateValues" dxfId="9584" priority="9902"/>
  </conditionalFormatting>
  <conditionalFormatting sqref="Q357:Q358">
    <cfRule type="duplicateValues" dxfId="9583" priority="9901"/>
  </conditionalFormatting>
  <conditionalFormatting sqref="Q357:Q358">
    <cfRule type="duplicateValues" dxfId="9582" priority="9900"/>
  </conditionalFormatting>
  <conditionalFormatting sqref="Q357:Q358">
    <cfRule type="duplicateValues" dxfId="9581" priority="9899"/>
  </conditionalFormatting>
  <conditionalFormatting sqref="Q357:Q358">
    <cfRule type="duplicateValues" dxfId="9580" priority="9898"/>
  </conditionalFormatting>
  <conditionalFormatting sqref="R357:R358">
    <cfRule type="duplicateValues" dxfId="9579" priority="9897"/>
  </conditionalFormatting>
  <conditionalFormatting sqref="Q357:Q358">
    <cfRule type="duplicateValues" dxfId="9578" priority="9895"/>
    <cfRule type="duplicateValues" dxfId="9577" priority="9896"/>
  </conditionalFormatting>
  <conditionalFormatting sqref="Q357:Q358">
    <cfRule type="duplicateValues" dxfId="9576" priority="9894"/>
  </conditionalFormatting>
  <conditionalFormatting sqref="Q357:Q358">
    <cfRule type="duplicateValues" dxfId="9575" priority="9893"/>
  </conditionalFormatting>
  <conditionalFormatting sqref="Q357:Q358">
    <cfRule type="duplicateValues" dxfId="9574" priority="9892"/>
  </conditionalFormatting>
  <conditionalFormatting sqref="Q357:Q358">
    <cfRule type="duplicateValues" dxfId="9573" priority="9891"/>
  </conditionalFormatting>
  <conditionalFormatting sqref="Q357:Q358">
    <cfRule type="duplicateValues" dxfId="9572" priority="9890"/>
  </conditionalFormatting>
  <conditionalFormatting sqref="Q357:Q358">
    <cfRule type="duplicateValues" dxfId="9571" priority="9889"/>
  </conditionalFormatting>
  <conditionalFormatting sqref="Q357:Q358">
    <cfRule type="duplicateValues" dxfId="9570" priority="9888"/>
  </conditionalFormatting>
  <conditionalFormatting sqref="Q357:Q358">
    <cfRule type="duplicateValues" dxfId="9569" priority="9887"/>
  </conditionalFormatting>
  <conditionalFormatting sqref="Q357:R358">
    <cfRule type="duplicateValues" dxfId="9568" priority="9886"/>
  </conditionalFormatting>
  <conditionalFormatting sqref="Q357:Q358">
    <cfRule type="duplicateValues" dxfId="9567" priority="9885"/>
  </conditionalFormatting>
  <conditionalFormatting sqref="R357:R358">
    <cfRule type="duplicateValues" dxfId="9566" priority="9884"/>
  </conditionalFormatting>
  <conditionalFormatting sqref="Q357:R358">
    <cfRule type="duplicateValues" dxfId="9565" priority="9881"/>
    <cfRule type="duplicateValues" dxfId="9564" priority="9882"/>
    <cfRule type="duplicateValues" dxfId="9563" priority="9883"/>
  </conditionalFormatting>
  <conditionalFormatting sqref="Q357:Q358">
    <cfRule type="duplicateValues" dxfId="9562" priority="9880"/>
  </conditionalFormatting>
  <conditionalFormatting sqref="Q359">
    <cfRule type="duplicateValues" dxfId="9561" priority="9879"/>
  </conditionalFormatting>
  <conditionalFormatting sqref="Q359">
    <cfRule type="duplicateValues" dxfId="9560" priority="9878"/>
  </conditionalFormatting>
  <conditionalFormatting sqref="Q359">
    <cfRule type="duplicateValues" dxfId="9559" priority="9877"/>
  </conditionalFormatting>
  <conditionalFormatting sqref="Q359">
    <cfRule type="duplicateValues" dxfId="9558" priority="9876"/>
  </conditionalFormatting>
  <conditionalFormatting sqref="Q359">
    <cfRule type="duplicateValues" dxfId="9557" priority="9875"/>
  </conditionalFormatting>
  <conditionalFormatting sqref="Q359:R359">
    <cfRule type="duplicateValues" dxfId="9556" priority="9874"/>
  </conditionalFormatting>
  <conditionalFormatting sqref="Q359:R359">
    <cfRule type="duplicateValues" dxfId="9555" priority="9871"/>
    <cfRule type="duplicateValues" dxfId="9554" priority="9872"/>
    <cfRule type="duplicateValues" dxfId="9553" priority="9873"/>
  </conditionalFormatting>
  <conditionalFormatting sqref="R359">
    <cfRule type="duplicateValues" dxfId="9552" priority="9870"/>
  </conditionalFormatting>
  <conditionalFormatting sqref="Q359">
    <cfRule type="duplicateValues" dxfId="9551" priority="9869"/>
  </conditionalFormatting>
  <conditionalFormatting sqref="Q359">
    <cfRule type="duplicateValues" dxfId="9550" priority="9866"/>
    <cfRule type="duplicateValues" dxfId="9549" priority="9867"/>
    <cfRule type="duplicateValues" dxfId="9548" priority="9868"/>
  </conditionalFormatting>
  <conditionalFormatting sqref="R359">
    <cfRule type="duplicateValues" dxfId="9547" priority="9863"/>
    <cfRule type="duplicateValues" dxfId="9546" priority="9864"/>
    <cfRule type="duplicateValues" dxfId="9545" priority="9865"/>
  </conditionalFormatting>
  <conditionalFormatting sqref="Q359">
    <cfRule type="duplicateValues" dxfId="9544" priority="9861"/>
    <cfRule type="duplicateValues" dxfId="9543" priority="9862"/>
  </conditionalFormatting>
  <conditionalFormatting sqref="Q359">
    <cfRule type="duplicateValues" dxfId="9542" priority="9860"/>
  </conditionalFormatting>
  <conditionalFormatting sqref="Q360">
    <cfRule type="duplicateValues" dxfId="9541" priority="9859"/>
  </conditionalFormatting>
  <conditionalFormatting sqref="Q360">
    <cfRule type="duplicateValues" dxfId="9540" priority="9858"/>
  </conditionalFormatting>
  <conditionalFormatting sqref="R360">
    <cfRule type="duplicateValues" dxfId="9539" priority="9857"/>
  </conditionalFormatting>
  <conditionalFormatting sqref="Q360">
    <cfRule type="duplicateValues" dxfId="9538" priority="9855"/>
    <cfRule type="duplicateValues" dxfId="9537" priority="9856"/>
  </conditionalFormatting>
  <conditionalFormatting sqref="Q360">
    <cfRule type="duplicateValues" dxfId="9536" priority="9854"/>
  </conditionalFormatting>
  <conditionalFormatting sqref="Q360">
    <cfRule type="duplicateValues" dxfId="9535" priority="9853"/>
  </conditionalFormatting>
  <conditionalFormatting sqref="Q360">
    <cfRule type="duplicateValues" dxfId="9534" priority="9852"/>
  </conditionalFormatting>
  <conditionalFormatting sqref="Q360">
    <cfRule type="duplicateValues" dxfId="9533" priority="9851"/>
  </conditionalFormatting>
  <conditionalFormatting sqref="Q360">
    <cfRule type="duplicateValues" dxfId="9532" priority="9850"/>
  </conditionalFormatting>
  <conditionalFormatting sqref="Q360">
    <cfRule type="duplicateValues" dxfId="9531" priority="9849"/>
  </conditionalFormatting>
  <conditionalFormatting sqref="Q360">
    <cfRule type="duplicateValues" dxfId="9530" priority="9848"/>
  </conditionalFormatting>
  <conditionalFormatting sqref="Q360">
    <cfRule type="duplicateValues" dxfId="9529" priority="9847"/>
  </conditionalFormatting>
  <conditionalFormatting sqref="Q360:R360">
    <cfRule type="duplicateValues" dxfId="9528" priority="9846"/>
  </conditionalFormatting>
  <conditionalFormatting sqref="Q360">
    <cfRule type="duplicateValues" dxfId="9527" priority="9845"/>
  </conditionalFormatting>
  <conditionalFormatting sqref="R360">
    <cfRule type="duplicateValues" dxfId="9526" priority="9844"/>
  </conditionalFormatting>
  <conditionalFormatting sqref="Q360:R360">
    <cfRule type="duplicateValues" dxfId="9525" priority="9841"/>
    <cfRule type="duplicateValues" dxfId="9524" priority="9842"/>
    <cfRule type="duplicateValues" dxfId="9523" priority="9843"/>
  </conditionalFormatting>
  <conditionalFormatting sqref="Q360">
    <cfRule type="duplicateValues" dxfId="9522" priority="9840"/>
  </conditionalFormatting>
  <conditionalFormatting sqref="Q361:R361">
    <cfRule type="duplicateValues" dxfId="9521" priority="9839"/>
  </conditionalFormatting>
  <conditionalFormatting sqref="Q361:R361">
    <cfRule type="duplicateValues" dxfId="9520" priority="9836"/>
    <cfRule type="duplicateValues" dxfId="9519" priority="9837"/>
    <cfRule type="duplicateValues" dxfId="9518" priority="9838"/>
  </conditionalFormatting>
  <conditionalFormatting sqref="R361">
    <cfRule type="duplicateValues" dxfId="9517" priority="9835"/>
  </conditionalFormatting>
  <conditionalFormatting sqref="Q361">
    <cfRule type="duplicateValues" dxfId="9516" priority="9834"/>
  </conditionalFormatting>
  <conditionalFormatting sqref="Q361">
    <cfRule type="duplicateValues" dxfId="9515" priority="9831"/>
    <cfRule type="duplicateValues" dxfId="9514" priority="9832"/>
    <cfRule type="duplicateValues" dxfId="9513" priority="9833"/>
  </conditionalFormatting>
  <conditionalFormatting sqref="R361">
    <cfRule type="duplicateValues" dxfId="9512" priority="9828"/>
    <cfRule type="duplicateValues" dxfId="9511" priority="9829"/>
    <cfRule type="duplicateValues" dxfId="9510" priority="9830"/>
  </conditionalFormatting>
  <conditionalFormatting sqref="Q361">
    <cfRule type="duplicateValues" dxfId="9509" priority="9826"/>
    <cfRule type="duplicateValues" dxfId="9508" priority="9827"/>
  </conditionalFormatting>
  <conditionalFormatting sqref="Q361">
    <cfRule type="duplicateValues" dxfId="9507" priority="9825"/>
  </conditionalFormatting>
  <conditionalFormatting sqref="Q361">
    <cfRule type="duplicateValues" dxfId="9506" priority="9824"/>
  </conditionalFormatting>
  <conditionalFormatting sqref="Q361">
    <cfRule type="duplicateValues" dxfId="9505" priority="9823"/>
  </conditionalFormatting>
  <conditionalFormatting sqref="Q361">
    <cfRule type="duplicateValues" dxfId="9504" priority="9822"/>
  </conditionalFormatting>
  <conditionalFormatting sqref="Q361">
    <cfRule type="duplicateValues" dxfId="9503" priority="9821"/>
  </conditionalFormatting>
  <conditionalFormatting sqref="Q361">
    <cfRule type="duplicateValues" dxfId="9502" priority="9820"/>
  </conditionalFormatting>
  <conditionalFormatting sqref="Q362:R362">
    <cfRule type="duplicateValues" dxfId="9501" priority="9817"/>
    <cfRule type="duplicateValues" dxfId="9500" priority="9818"/>
    <cfRule type="duplicateValues" dxfId="9499" priority="9819"/>
  </conditionalFormatting>
  <conditionalFormatting sqref="R362">
    <cfRule type="duplicateValues" dxfId="9498" priority="9816"/>
  </conditionalFormatting>
  <conditionalFormatting sqref="Q362:R362">
    <cfRule type="duplicateValues" dxfId="9497" priority="9815"/>
  </conditionalFormatting>
  <conditionalFormatting sqref="Q362">
    <cfRule type="duplicateValues" dxfId="9496" priority="9814"/>
  </conditionalFormatting>
  <conditionalFormatting sqref="Q362">
    <cfRule type="duplicateValues" dxfId="9495" priority="9813"/>
  </conditionalFormatting>
  <conditionalFormatting sqref="Q362">
    <cfRule type="duplicateValues" dxfId="9494" priority="9812"/>
  </conditionalFormatting>
  <conditionalFormatting sqref="Q362">
    <cfRule type="duplicateValues" dxfId="9493" priority="9811"/>
  </conditionalFormatting>
  <conditionalFormatting sqref="R362">
    <cfRule type="duplicateValues" dxfId="9492" priority="9810"/>
  </conditionalFormatting>
  <conditionalFormatting sqref="Q362">
    <cfRule type="duplicateValues" dxfId="9491" priority="9808"/>
    <cfRule type="duplicateValues" dxfId="9490" priority="9809"/>
  </conditionalFormatting>
  <conditionalFormatting sqref="Q362">
    <cfRule type="duplicateValues" dxfId="9489" priority="9807"/>
  </conditionalFormatting>
  <conditionalFormatting sqref="Q362">
    <cfRule type="duplicateValues" dxfId="9488" priority="9806"/>
  </conditionalFormatting>
  <conditionalFormatting sqref="Q362">
    <cfRule type="duplicateValues" dxfId="9487" priority="9805"/>
  </conditionalFormatting>
  <conditionalFormatting sqref="Q362">
    <cfRule type="duplicateValues" dxfId="9486" priority="9804"/>
  </conditionalFormatting>
  <conditionalFormatting sqref="Q362">
    <cfRule type="duplicateValues" dxfId="9485" priority="9803"/>
  </conditionalFormatting>
  <conditionalFormatting sqref="Q362">
    <cfRule type="duplicateValues" dxfId="9484" priority="9802"/>
  </conditionalFormatting>
  <conditionalFormatting sqref="Q362">
    <cfRule type="duplicateValues" dxfId="9483" priority="9801"/>
  </conditionalFormatting>
  <conditionalFormatting sqref="Q362">
    <cfRule type="duplicateValues" dxfId="9482" priority="9800"/>
  </conditionalFormatting>
  <conditionalFormatting sqref="Q362:R362">
    <cfRule type="duplicateValues" dxfId="9481" priority="9799"/>
  </conditionalFormatting>
  <conditionalFormatting sqref="Q362">
    <cfRule type="duplicateValues" dxfId="9480" priority="9798"/>
  </conditionalFormatting>
  <conditionalFormatting sqref="R362">
    <cfRule type="duplicateValues" dxfId="9479" priority="9797"/>
  </conditionalFormatting>
  <conditionalFormatting sqref="Q362">
    <cfRule type="duplicateValues" dxfId="9478" priority="9796"/>
  </conditionalFormatting>
  <conditionalFormatting sqref="Q363:R363">
    <cfRule type="duplicateValues" dxfId="9477" priority="9795"/>
  </conditionalFormatting>
  <conditionalFormatting sqref="Q363:R363">
    <cfRule type="duplicateValues" dxfId="9476" priority="9792"/>
    <cfRule type="duplicateValues" dxfId="9475" priority="9793"/>
    <cfRule type="duplicateValues" dxfId="9474" priority="9794"/>
  </conditionalFormatting>
  <conditionalFormatting sqref="R363">
    <cfRule type="duplicateValues" dxfId="9473" priority="9791"/>
  </conditionalFormatting>
  <conditionalFormatting sqref="Q363:R363">
    <cfRule type="duplicateValues" dxfId="9472" priority="9790"/>
  </conditionalFormatting>
  <conditionalFormatting sqref="Q363">
    <cfRule type="duplicateValues" dxfId="9471" priority="9789"/>
  </conditionalFormatting>
  <conditionalFormatting sqref="Q363">
    <cfRule type="duplicateValues" dxfId="9470" priority="9788"/>
  </conditionalFormatting>
  <conditionalFormatting sqref="Q363">
    <cfRule type="duplicateValues" dxfId="9469" priority="9787"/>
  </conditionalFormatting>
  <conditionalFormatting sqref="Q363">
    <cfRule type="duplicateValues" dxfId="9468" priority="9786"/>
  </conditionalFormatting>
  <conditionalFormatting sqref="R363">
    <cfRule type="duplicateValues" dxfId="9467" priority="9785"/>
  </conditionalFormatting>
  <conditionalFormatting sqref="Q363">
    <cfRule type="duplicateValues" dxfId="9466" priority="9783"/>
    <cfRule type="duplicateValues" dxfId="9465" priority="9784"/>
  </conditionalFormatting>
  <conditionalFormatting sqref="Q363">
    <cfRule type="duplicateValues" dxfId="9464" priority="9782"/>
  </conditionalFormatting>
  <conditionalFormatting sqref="Q363">
    <cfRule type="duplicateValues" dxfId="9463" priority="9781"/>
  </conditionalFormatting>
  <conditionalFormatting sqref="Q363">
    <cfRule type="duplicateValues" dxfId="9462" priority="9780"/>
  </conditionalFormatting>
  <conditionalFormatting sqref="Q363">
    <cfRule type="duplicateValues" dxfId="9461" priority="9779"/>
  </conditionalFormatting>
  <conditionalFormatting sqref="Q363">
    <cfRule type="duplicateValues" dxfId="9460" priority="9778"/>
  </conditionalFormatting>
  <conditionalFormatting sqref="Q363">
    <cfRule type="duplicateValues" dxfId="9459" priority="9777"/>
  </conditionalFormatting>
  <conditionalFormatting sqref="Q363">
    <cfRule type="duplicateValues" dxfId="9458" priority="9776"/>
  </conditionalFormatting>
  <conditionalFormatting sqref="Q363">
    <cfRule type="duplicateValues" dxfId="9457" priority="9775"/>
  </conditionalFormatting>
  <conditionalFormatting sqref="Q363:R363">
    <cfRule type="duplicateValues" dxfId="9456" priority="9774"/>
  </conditionalFormatting>
  <conditionalFormatting sqref="Q363">
    <cfRule type="duplicateValues" dxfId="9455" priority="9773"/>
  </conditionalFormatting>
  <conditionalFormatting sqref="Q363:R363">
    <cfRule type="duplicateValues" dxfId="9454" priority="9772"/>
  </conditionalFormatting>
  <conditionalFormatting sqref="R363">
    <cfRule type="duplicateValues" dxfId="9453" priority="9771"/>
  </conditionalFormatting>
  <conditionalFormatting sqref="Q363">
    <cfRule type="duplicateValues" dxfId="9452" priority="9770"/>
  </conditionalFormatting>
  <conditionalFormatting sqref="Q364:R364">
    <cfRule type="duplicateValues" dxfId="9451" priority="9769"/>
  </conditionalFormatting>
  <conditionalFormatting sqref="Q364:R364">
    <cfRule type="duplicateValues" dxfId="9450" priority="9766"/>
    <cfRule type="duplicateValues" dxfId="9449" priority="9767"/>
    <cfRule type="duplicateValues" dxfId="9448" priority="9768"/>
  </conditionalFormatting>
  <conditionalFormatting sqref="R364">
    <cfRule type="duplicateValues" dxfId="9447" priority="9765"/>
  </conditionalFormatting>
  <conditionalFormatting sqref="Q364:R364">
    <cfRule type="duplicateValues" dxfId="9446" priority="9764"/>
  </conditionalFormatting>
  <conditionalFormatting sqref="Q364">
    <cfRule type="duplicateValues" dxfId="9445" priority="9763"/>
  </conditionalFormatting>
  <conditionalFormatting sqref="Q364">
    <cfRule type="duplicateValues" dxfId="9444" priority="9762"/>
  </conditionalFormatting>
  <conditionalFormatting sqref="Q364">
    <cfRule type="duplicateValues" dxfId="9443" priority="9761"/>
  </conditionalFormatting>
  <conditionalFormatting sqref="Q364">
    <cfRule type="duplicateValues" dxfId="9442" priority="9760"/>
  </conditionalFormatting>
  <conditionalFormatting sqref="R364">
    <cfRule type="duplicateValues" dxfId="9441" priority="9759"/>
  </conditionalFormatting>
  <conditionalFormatting sqref="Q364">
    <cfRule type="duplicateValues" dxfId="9440" priority="9757"/>
    <cfRule type="duplicateValues" dxfId="9439" priority="9758"/>
  </conditionalFormatting>
  <conditionalFormatting sqref="Q364">
    <cfRule type="duplicateValues" dxfId="9438" priority="9756"/>
  </conditionalFormatting>
  <conditionalFormatting sqref="Q364">
    <cfRule type="duplicateValues" dxfId="9437" priority="9755"/>
  </conditionalFormatting>
  <conditionalFormatting sqref="Q364">
    <cfRule type="duplicateValues" dxfId="9436" priority="9754"/>
  </conditionalFormatting>
  <conditionalFormatting sqref="Q364">
    <cfRule type="duplicateValues" dxfId="9435" priority="9753"/>
  </conditionalFormatting>
  <conditionalFormatting sqref="Q364">
    <cfRule type="duplicateValues" dxfId="9434" priority="9752"/>
  </conditionalFormatting>
  <conditionalFormatting sqref="Q364">
    <cfRule type="duplicateValues" dxfId="9433" priority="9751"/>
  </conditionalFormatting>
  <conditionalFormatting sqref="Q364">
    <cfRule type="duplicateValues" dxfId="9432" priority="9750"/>
  </conditionalFormatting>
  <conditionalFormatting sqref="Q364">
    <cfRule type="duplicateValues" dxfId="9431" priority="9749"/>
  </conditionalFormatting>
  <conditionalFormatting sqref="Q364:R364">
    <cfRule type="duplicateValues" dxfId="9430" priority="9748"/>
  </conditionalFormatting>
  <conditionalFormatting sqref="Q364">
    <cfRule type="duplicateValues" dxfId="9429" priority="9747"/>
  </conditionalFormatting>
  <conditionalFormatting sqref="R364">
    <cfRule type="duplicateValues" dxfId="9428" priority="9746"/>
  </conditionalFormatting>
  <conditionalFormatting sqref="Q364">
    <cfRule type="duplicateValues" dxfId="9427" priority="9745"/>
  </conditionalFormatting>
  <conditionalFormatting sqref="Q365:R365">
    <cfRule type="duplicateValues" dxfId="9426" priority="9744"/>
  </conditionalFormatting>
  <conditionalFormatting sqref="Q365:R365">
    <cfRule type="duplicateValues" dxfId="9425" priority="9741"/>
    <cfRule type="duplicateValues" dxfId="9424" priority="9742"/>
    <cfRule type="duplicateValues" dxfId="9423" priority="9743"/>
  </conditionalFormatting>
  <conditionalFormatting sqref="R365">
    <cfRule type="duplicateValues" dxfId="9422" priority="9740"/>
  </conditionalFormatting>
  <conditionalFormatting sqref="Q365:R365">
    <cfRule type="duplicateValues" dxfId="9421" priority="9739"/>
  </conditionalFormatting>
  <conditionalFormatting sqref="Q365">
    <cfRule type="duplicateValues" dxfId="9420" priority="9738"/>
  </conditionalFormatting>
  <conditionalFormatting sqref="Q365">
    <cfRule type="duplicateValues" dxfId="9419" priority="9737"/>
  </conditionalFormatting>
  <conditionalFormatting sqref="Q365">
    <cfRule type="duplicateValues" dxfId="9418" priority="9736"/>
  </conditionalFormatting>
  <conditionalFormatting sqref="Q365">
    <cfRule type="duplicateValues" dxfId="9417" priority="9735"/>
  </conditionalFormatting>
  <conditionalFormatting sqref="R365">
    <cfRule type="duplicateValues" dxfId="9416" priority="9734"/>
  </conditionalFormatting>
  <conditionalFormatting sqref="Q365">
    <cfRule type="duplicateValues" dxfId="9415" priority="9732"/>
    <cfRule type="duplicateValues" dxfId="9414" priority="9733"/>
  </conditionalFormatting>
  <conditionalFormatting sqref="Q365">
    <cfRule type="duplicateValues" dxfId="9413" priority="9731"/>
  </conditionalFormatting>
  <conditionalFormatting sqref="Q365:R365">
    <cfRule type="duplicateValues" dxfId="9412" priority="9730"/>
  </conditionalFormatting>
  <conditionalFormatting sqref="Q365">
    <cfRule type="duplicateValues" dxfId="9411" priority="9729"/>
  </conditionalFormatting>
  <conditionalFormatting sqref="Q365">
    <cfRule type="duplicateValues" dxfId="9410" priority="9728"/>
  </conditionalFormatting>
  <conditionalFormatting sqref="Q365">
    <cfRule type="duplicateValues" dxfId="9409" priority="9727"/>
  </conditionalFormatting>
  <conditionalFormatting sqref="Q365">
    <cfRule type="duplicateValues" dxfId="9408" priority="9726"/>
  </conditionalFormatting>
  <conditionalFormatting sqref="Q365">
    <cfRule type="duplicateValues" dxfId="9407" priority="9725"/>
  </conditionalFormatting>
  <conditionalFormatting sqref="Q365">
    <cfRule type="duplicateValues" dxfId="9406" priority="9724"/>
  </conditionalFormatting>
  <conditionalFormatting sqref="Q365">
    <cfRule type="duplicateValues" dxfId="9405" priority="9723"/>
  </conditionalFormatting>
  <conditionalFormatting sqref="Q365">
    <cfRule type="duplicateValues" dxfId="9404" priority="9722"/>
  </conditionalFormatting>
  <conditionalFormatting sqref="R365">
    <cfRule type="duplicateValues" dxfId="9403" priority="9721"/>
  </conditionalFormatting>
  <conditionalFormatting sqref="Q365">
    <cfRule type="duplicateValues" dxfId="9402" priority="9720"/>
  </conditionalFormatting>
  <conditionalFormatting sqref="Q366:R366">
    <cfRule type="duplicateValues" dxfId="9401" priority="9719"/>
  </conditionalFormatting>
  <conditionalFormatting sqref="Q366:R366">
    <cfRule type="duplicateValues" dxfId="9400" priority="9716"/>
    <cfRule type="duplicateValues" dxfId="9399" priority="9717"/>
    <cfRule type="duplicateValues" dxfId="9398" priority="9718"/>
  </conditionalFormatting>
  <conditionalFormatting sqref="R366">
    <cfRule type="duplicateValues" dxfId="9397" priority="9715"/>
  </conditionalFormatting>
  <conditionalFormatting sqref="Q366:R366">
    <cfRule type="duplicateValues" dxfId="9396" priority="9714"/>
  </conditionalFormatting>
  <conditionalFormatting sqref="Q366">
    <cfRule type="duplicateValues" dxfId="9395" priority="9713"/>
  </conditionalFormatting>
  <conditionalFormatting sqref="Q366">
    <cfRule type="duplicateValues" dxfId="9394" priority="9712"/>
  </conditionalFormatting>
  <conditionalFormatting sqref="Q366">
    <cfRule type="duplicateValues" dxfId="9393" priority="9711"/>
  </conditionalFormatting>
  <conditionalFormatting sqref="Q366">
    <cfRule type="duplicateValues" dxfId="9392" priority="9710"/>
  </conditionalFormatting>
  <conditionalFormatting sqref="R366">
    <cfRule type="duplicateValues" dxfId="9391" priority="9709"/>
  </conditionalFormatting>
  <conditionalFormatting sqref="Q366">
    <cfRule type="duplicateValues" dxfId="9390" priority="9707"/>
    <cfRule type="duplicateValues" dxfId="9389" priority="9708"/>
  </conditionalFormatting>
  <conditionalFormatting sqref="Q366">
    <cfRule type="duplicateValues" dxfId="9388" priority="9706"/>
  </conditionalFormatting>
  <conditionalFormatting sqref="Q366">
    <cfRule type="duplicateValues" dxfId="9387" priority="9705"/>
  </conditionalFormatting>
  <conditionalFormatting sqref="Q366">
    <cfRule type="duplicateValues" dxfId="9386" priority="9704"/>
  </conditionalFormatting>
  <conditionalFormatting sqref="Q366">
    <cfRule type="duplicateValues" dxfId="9385" priority="9703"/>
  </conditionalFormatting>
  <conditionalFormatting sqref="Q366">
    <cfRule type="duplicateValues" dxfId="9384" priority="9702"/>
  </conditionalFormatting>
  <conditionalFormatting sqref="Q366">
    <cfRule type="duplicateValues" dxfId="9383" priority="9701"/>
  </conditionalFormatting>
  <conditionalFormatting sqref="Q366">
    <cfRule type="duplicateValues" dxfId="9382" priority="9700"/>
  </conditionalFormatting>
  <conditionalFormatting sqref="Q366">
    <cfRule type="duplicateValues" dxfId="9381" priority="9699"/>
  </conditionalFormatting>
  <conditionalFormatting sqref="Q366:R366">
    <cfRule type="duplicateValues" dxfId="9380" priority="9698"/>
  </conditionalFormatting>
  <conditionalFormatting sqref="Q366">
    <cfRule type="duplicateValues" dxfId="9379" priority="9697"/>
  </conditionalFormatting>
  <conditionalFormatting sqref="R366">
    <cfRule type="duplicateValues" dxfId="9378" priority="9696"/>
  </conditionalFormatting>
  <conditionalFormatting sqref="Q366">
    <cfRule type="duplicateValues" dxfId="9377" priority="9695"/>
  </conditionalFormatting>
  <conditionalFormatting sqref="Q367">
    <cfRule type="duplicateValues" dxfId="9376" priority="9694"/>
  </conditionalFormatting>
  <conditionalFormatting sqref="Q367">
    <cfRule type="duplicateValues" dxfId="9375" priority="9693"/>
  </conditionalFormatting>
  <conditionalFormatting sqref="Q367">
    <cfRule type="duplicateValues" dxfId="9374" priority="9692"/>
  </conditionalFormatting>
  <conditionalFormatting sqref="Q367">
    <cfRule type="duplicateValues" dxfId="9373" priority="9691"/>
  </conditionalFormatting>
  <conditionalFormatting sqref="Q367">
    <cfRule type="duplicateValues" dxfId="9372" priority="9690"/>
  </conditionalFormatting>
  <conditionalFormatting sqref="Q367:R367">
    <cfRule type="duplicateValues" dxfId="9371" priority="9689"/>
  </conditionalFormatting>
  <conditionalFormatting sqref="Q367:R367">
    <cfRule type="duplicateValues" dxfId="9370" priority="9686"/>
    <cfRule type="duplicateValues" dxfId="9369" priority="9687"/>
    <cfRule type="duplicateValues" dxfId="9368" priority="9688"/>
  </conditionalFormatting>
  <conditionalFormatting sqref="R367">
    <cfRule type="duplicateValues" dxfId="9367" priority="9685"/>
  </conditionalFormatting>
  <conditionalFormatting sqref="Q367">
    <cfRule type="duplicateValues" dxfId="9366" priority="9684"/>
  </conditionalFormatting>
  <conditionalFormatting sqref="Q367">
    <cfRule type="duplicateValues" dxfId="9365" priority="9681"/>
    <cfRule type="duplicateValues" dxfId="9364" priority="9682"/>
    <cfRule type="duplicateValues" dxfId="9363" priority="9683"/>
  </conditionalFormatting>
  <conditionalFormatting sqref="R367">
    <cfRule type="duplicateValues" dxfId="9362" priority="9678"/>
    <cfRule type="duplicateValues" dxfId="9361" priority="9679"/>
    <cfRule type="duplicateValues" dxfId="9360" priority="9680"/>
  </conditionalFormatting>
  <conditionalFormatting sqref="Q367">
    <cfRule type="duplicateValues" dxfId="9359" priority="9676"/>
    <cfRule type="duplicateValues" dxfId="9358" priority="9677"/>
  </conditionalFormatting>
  <conditionalFormatting sqref="Q367">
    <cfRule type="duplicateValues" dxfId="9357" priority="9675"/>
  </conditionalFormatting>
  <conditionalFormatting sqref="Q368">
    <cfRule type="duplicateValues" dxfId="9356" priority="9674"/>
  </conditionalFormatting>
  <conditionalFormatting sqref="Q368">
    <cfRule type="duplicateValues" dxfId="9355" priority="9673"/>
  </conditionalFormatting>
  <conditionalFormatting sqref="Q368">
    <cfRule type="duplicateValues" dxfId="9354" priority="9672"/>
  </conditionalFormatting>
  <conditionalFormatting sqref="Q368">
    <cfRule type="duplicateValues" dxfId="9353" priority="9671"/>
  </conditionalFormatting>
  <conditionalFormatting sqref="Q368">
    <cfRule type="duplicateValues" dxfId="9352" priority="9670"/>
  </conditionalFormatting>
  <conditionalFormatting sqref="Q368">
    <cfRule type="duplicateValues" dxfId="9351" priority="9669"/>
  </conditionalFormatting>
  <conditionalFormatting sqref="Q368">
    <cfRule type="duplicateValues" dxfId="9350" priority="9668"/>
  </conditionalFormatting>
  <conditionalFormatting sqref="Q368:R368">
    <cfRule type="duplicateValues" dxfId="9349" priority="9667"/>
  </conditionalFormatting>
  <conditionalFormatting sqref="Q368:R368">
    <cfRule type="duplicateValues" dxfId="9348" priority="9664"/>
    <cfRule type="duplicateValues" dxfId="9347" priority="9665"/>
    <cfRule type="duplicateValues" dxfId="9346" priority="9666"/>
  </conditionalFormatting>
  <conditionalFormatting sqref="R368">
    <cfRule type="duplicateValues" dxfId="9345" priority="9663"/>
  </conditionalFormatting>
  <conditionalFormatting sqref="Q368">
    <cfRule type="duplicateValues" dxfId="9344" priority="9662"/>
  </conditionalFormatting>
  <conditionalFormatting sqref="Q368">
    <cfRule type="duplicateValues" dxfId="9343" priority="9659"/>
    <cfRule type="duplicateValues" dxfId="9342" priority="9660"/>
    <cfRule type="duplicateValues" dxfId="9341" priority="9661"/>
  </conditionalFormatting>
  <conditionalFormatting sqref="R368">
    <cfRule type="duplicateValues" dxfId="9340" priority="9656"/>
    <cfRule type="duplicateValues" dxfId="9339" priority="9657"/>
    <cfRule type="duplicateValues" dxfId="9338" priority="9658"/>
  </conditionalFormatting>
  <conditionalFormatting sqref="Q368">
    <cfRule type="duplicateValues" dxfId="9337" priority="9654"/>
    <cfRule type="duplicateValues" dxfId="9336" priority="9655"/>
  </conditionalFormatting>
  <conditionalFormatting sqref="Q368">
    <cfRule type="duplicateValues" dxfId="9335" priority="9653"/>
  </conditionalFormatting>
  <conditionalFormatting sqref="Q369">
    <cfRule type="duplicateValues" dxfId="9334" priority="9652"/>
  </conditionalFormatting>
  <conditionalFormatting sqref="Q369">
    <cfRule type="duplicateValues" dxfId="9333" priority="9651"/>
  </conditionalFormatting>
  <conditionalFormatting sqref="Q369:R369">
    <cfRule type="duplicateValues" dxfId="9332" priority="9650"/>
  </conditionalFormatting>
  <conditionalFormatting sqref="Q369:R369">
    <cfRule type="duplicateValues" dxfId="9331" priority="9647"/>
    <cfRule type="duplicateValues" dxfId="9330" priority="9648"/>
    <cfRule type="duplicateValues" dxfId="9329" priority="9649"/>
  </conditionalFormatting>
  <conditionalFormatting sqref="R369">
    <cfRule type="duplicateValues" dxfId="9328" priority="9646"/>
  </conditionalFormatting>
  <conditionalFormatting sqref="Q369">
    <cfRule type="duplicateValues" dxfId="9327" priority="9645"/>
  </conditionalFormatting>
  <conditionalFormatting sqref="Q369">
    <cfRule type="duplicateValues" dxfId="9326" priority="9642"/>
    <cfRule type="duplicateValues" dxfId="9325" priority="9643"/>
    <cfRule type="duplicateValues" dxfId="9324" priority="9644"/>
  </conditionalFormatting>
  <conditionalFormatting sqref="R369">
    <cfRule type="duplicateValues" dxfId="9323" priority="9639"/>
    <cfRule type="duplicateValues" dxfId="9322" priority="9640"/>
    <cfRule type="duplicateValues" dxfId="9321" priority="9641"/>
  </conditionalFormatting>
  <conditionalFormatting sqref="Q369">
    <cfRule type="duplicateValues" dxfId="9320" priority="9637"/>
    <cfRule type="duplicateValues" dxfId="9319" priority="9638"/>
  </conditionalFormatting>
  <conditionalFormatting sqref="Q369">
    <cfRule type="duplicateValues" dxfId="9318" priority="9636"/>
  </conditionalFormatting>
  <conditionalFormatting sqref="Q370">
    <cfRule type="duplicateValues" dxfId="9317" priority="9635"/>
  </conditionalFormatting>
  <conditionalFormatting sqref="Q370">
    <cfRule type="duplicateValues" dxfId="9316" priority="9634"/>
  </conditionalFormatting>
  <conditionalFormatting sqref="Q370:R370">
    <cfRule type="duplicateValues" dxfId="9315" priority="9633"/>
  </conditionalFormatting>
  <conditionalFormatting sqref="Q370:R370">
    <cfRule type="duplicateValues" dxfId="9314" priority="9630"/>
    <cfRule type="duplicateValues" dxfId="9313" priority="9631"/>
    <cfRule type="duplicateValues" dxfId="9312" priority="9632"/>
  </conditionalFormatting>
  <conditionalFormatting sqref="R370">
    <cfRule type="duplicateValues" dxfId="9311" priority="9629"/>
  </conditionalFormatting>
  <conditionalFormatting sqref="Q370">
    <cfRule type="duplicateValues" dxfId="9310" priority="9628"/>
  </conditionalFormatting>
  <conditionalFormatting sqref="Q370">
    <cfRule type="duplicateValues" dxfId="9309" priority="9625"/>
    <cfRule type="duplicateValues" dxfId="9308" priority="9626"/>
    <cfRule type="duplicateValues" dxfId="9307" priority="9627"/>
  </conditionalFormatting>
  <conditionalFormatting sqref="R370">
    <cfRule type="duplicateValues" dxfId="9306" priority="9622"/>
    <cfRule type="duplicateValues" dxfId="9305" priority="9623"/>
    <cfRule type="duplicateValues" dxfId="9304" priority="9624"/>
  </conditionalFormatting>
  <conditionalFormatting sqref="Q370">
    <cfRule type="duplicateValues" dxfId="9303" priority="9620"/>
    <cfRule type="duplicateValues" dxfId="9302" priority="9621"/>
  </conditionalFormatting>
  <conditionalFormatting sqref="Q370">
    <cfRule type="duplicateValues" dxfId="9301" priority="9619"/>
  </conditionalFormatting>
  <conditionalFormatting sqref="Q371">
    <cfRule type="duplicateValues" dxfId="9300" priority="9618"/>
  </conditionalFormatting>
  <conditionalFormatting sqref="Q371">
    <cfRule type="duplicateValues" dxfId="9299" priority="9617"/>
  </conditionalFormatting>
  <conditionalFormatting sqref="Q371">
    <cfRule type="duplicateValues" dxfId="9298" priority="9616"/>
  </conditionalFormatting>
  <conditionalFormatting sqref="Q371">
    <cfRule type="duplicateValues" dxfId="9297" priority="9615"/>
  </conditionalFormatting>
  <conditionalFormatting sqref="Q371">
    <cfRule type="duplicateValues" dxfId="9296" priority="9614"/>
  </conditionalFormatting>
  <conditionalFormatting sqref="Q371:R371">
    <cfRule type="duplicateValues" dxfId="9295" priority="9613"/>
  </conditionalFormatting>
  <conditionalFormatting sqref="Q371:R371">
    <cfRule type="duplicateValues" dxfId="9294" priority="9610"/>
    <cfRule type="duplicateValues" dxfId="9293" priority="9611"/>
    <cfRule type="duplicateValues" dxfId="9292" priority="9612"/>
  </conditionalFormatting>
  <conditionalFormatting sqref="R371">
    <cfRule type="duplicateValues" dxfId="9291" priority="9609"/>
  </conditionalFormatting>
  <conditionalFormatting sqref="Q371">
    <cfRule type="duplicateValues" dxfId="9290" priority="9608"/>
  </conditionalFormatting>
  <conditionalFormatting sqref="Q371">
    <cfRule type="duplicateValues" dxfId="9289" priority="9605"/>
    <cfRule type="duplicateValues" dxfId="9288" priority="9606"/>
    <cfRule type="duplicateValues" dxfId="9287" priority="9607"/>
  </conditionalFormatting>
  <conditionalFormatting sqref="R371">
    <cfRule type="duplicateValues" dxfId="9286" priority="9602"/>
    <cfRule type="duplicateValues" dxfId="9285" priority="9603"/>
    <cfRule type="duplicateValues" dxfId="9284" priority="9604"/>
  </conditionalFormatting>
  <conditionalFormatting sqref="Q371">
    <cfRule type="duplicateValues" dxfId="9283" priority="9600"/>
    <cfRule type="duplicateValues" dxfId="9282" priority="9601"/>
  </conditionalFormatting>
  <conditionalFormatting sqref="Q371">
    <cfRule type="duplicateValues" dxfId="9281" priority="9599"/>
  </conditionalFormatting>
  <conditionalFormatting sqref="Q372:R372">
    <cfRule type="duplicateValues" dxfId="9280" priority="9598"/>
  </conditionalFormatting>
  <conditionalFormatting sqref="Q372:R372">
    <cfRule type="duplicateValues" dxfId="9279" priority="9595"/>
    <cfRule type="duplicateValues" dxfId="9278" priority="9596"/>
    <cfRule type="duplicateValues" dxfId="9277" priority="9597"/>
  </conditionalFormatting>
  <conditionalFormatting sqref="R372">
    <cfRule type="duplicateValues" dxfId="9276" priority="9594"/>
  </conditionalFormatting>
  <conditionalFormatting sqref="Q372:R372">
    <cfRule type="duplicateValues" dxfId="9275" priority="9593"/>
  </conditionalFormatting>
  <conditionalFormatting sqref="Q372">
    <cfRule type="duplicateValues" dxfId="9274" priority="9592"/>
  </conditionalFormatting>
  <conditionalFormatting sqref="Q372">
    <cfRule type="duplicateValues" dxfId="9273" priority="9591"/>
  </conditionalFormatting>
  <conditionalFormatting sqref="Q372">
    <cfRule type="duplicateValues" dxfId="9272" priority="9590"/>
  </conditionalFormatting>
  <conditionalFormatting sqref="Q372">
    <cfRule type="duplicateValues" dxfId="9271" priority="9589"/>
  </conditionalFormatting>
  <conditionalFormatting sqref="R372">
    <cfRule type="duplicateValues" dxfId="9270" priority="9588"/>
  </conditionalFormatting>
  <conditionalFormatting sqref="Q372">
    <cfRule type="duplicateValues" dxfId="9269" priority="9586"/>
    <cfRule type="duplicateValues" dxfId="9268" priority="9587"/>
  </conditionalFormatting>
  <conditionalFormatting sqref="Q372">
    <cfRule type="duplicateValues" dxfId="9267" priority="9585"/>
  </conditionalFormatting>
  <conditionalFormatting sqref="Q372:R372">
    <cfRule type="duplicateValues" dxfId="9266" priority="9584"/>
  </conditionalFormatting>
  <conditionalFormatting sqref="Q372">
    <cfRule type="duplicateValues" dxfId="9265" priority="9583"/>
  </conditionalFormatting>
  <conditionalFormatting sqref="Q372">
    <cfRule type="duplicateValues" dxfId="9264" priority="9582"/>
  </conditionalFormatting>
  <conditionalFormatting sqref="Q372">
    <cfRule type="duplicateValues" dxfId="9263" priority="9581"/>
  </conditionalFormatting>
  <conditionalFormatting sqref="Q372">
    <cfRule type="duplicateValues" dxfId="9262" priority="9580"/>
  </conditionalFormatting>
  <conditionalFormatting sqref="Q372">
    <cfRule type="duplicateValues" dxfId="9261" priority="9579"/>
  </conditionalFormatting>
  <conditionalFormatting sqref="Q372">
    <cfRule type="duplicateValues" dxfId="9260" priority="9578"/>
  </conditionalFormatting>
  <conditionalFormatting sqref="Q372">
    <cfRule type="duplicateValues" dxfId="9259" priority="9577"/>
  </conditionalFormatting>
  <conditionalFormatting sqref="Q372">
    <cfRule type="duplicateValues" dxfId="9258" priority="9576"/>
  </conditionalFormatting>
  <conditionalFormatting sqref="R372">
    <cfRule type="duplicateValues" dxfId="9257" priority="9575"/>
  </conditionalFormatting>
  <conditionalFormatting sqref="Q372">
    <cfRule type="duplicateValues" dxfId="9256" priority="9574"/>
  </conditionalFormatting>
  <conditionalFormatting sqref="Q373">
    <cfRule type="duplicateValues" dxfId="9255" priority="9573"/>
  </conditionalFormatting>
  <conditionalFormatting sqref="Q373">
    <cfRule type="duplicateValues" dxfId="9254" priority="9572"/>
  </conditionalFormatting>
  <conditionalFormatting sqref="Q373">
    <cfRule type="duplicateValues" dxfId="9253" priority="9571"/>
  </conditionalFormatting>
  <conditionalFormatting sqref="Q373:R373">
    <cfRule type="duplicateValues" dxfId="9252" priority="9570"/>
  </conditionalFormatting>
  <conditionalFormatting sqref="Q373:R373">
    <cfRule type="duplicateValues" dxfId="9251" priority="9567"/>
    <cfRule type="duplicateValues" dxfId="9250" priority="9568"/>
    <cfRule type="duplicateValues" dxfId="9249" priority="9569"/>
  </conditionalFormatting>
  <conditionalFormatting sqref="R373">
    <cfRule type="duplicateValues" dxfId="9248" priority="9566"/>
  </conditionalFormatting>
  <conditionalFormatting sqref="Q373">
    <cfRule type="duplicateValues" dxfId="9247" priority="9565"/>
  </conditionalFormatting>
  <conditionalFormatting sqref="Q373">
    <cfRule type="duplicateValues" dxfId="9246" priority="9562"/>
    <cfRule type="duplicateValues" dxfId="9245" priority="9563"/>
    <cfRule type="duplicateValues" dxfId="9244" priority="9564"/>
  </conditionalFormatting>
  <conditionalFormatting sqref="R373">
    <cfRule type="duplicateValues" dxfId="9243" priority="9559"/>
    <cfRule type="duplicateValues" dxfId="9242" priority="9560"/>
    <cfRule type="duplicateValues" dxfId="9241" priority="9561"/>
  </conditionalFormatting>
  <conditionalFormatting sqref="Q373">
    <cfRule type="duplicateValues" dxfId="9240" priority="9557"/>
    <cfRule type="duplicateValues" dxfId="9239" priority="9558"/>
  </conditionalFormatting>
  <conditionalFormatting sqref="Q373">
    <cfRule type="duplicateValues" dxfId="9238" priority="9556"/>
  </conditionalFormatting>
  <conditionalFormatting sqref="Q374">
    <cfRule type="duplicateValues" dxfId="9237" priority="9555"/>
  </conditionalFormatting>
  <conditionalFormatting sqref="Q374">
    <cfRule type="duplicateValues" dxfId="9236" priority="9554"/>
  </conditionalFormatting>
  <conditionalFormatting sqref="Q374">
    <cfRule type="duplicateValues" dxfId="9235" priority="9553"/>
  </conditionalFormatting>
  <conditionalFormatting sqref="Q374:R374">
    <cfRule type="duplicateValues" dxfId="9234" priority="9552"/>
  </conditionalFormatting>
  <conditionalFormatting sqref="Q374:R374">
    <cfRule type="duplicateValues" dxfId="9233" priority="9549"/>
    <cfRule type="duplicateValues" dxfId="9232" priority="9550"/>
    <cfRule type="duplicateValues" dxfId="9231" priority="9551"/>
  </conditionalFormatting>
  <conditionalFormatting sqref="R374">
    <cfRule type="duplicateValues" dxfId="9230" priority="9548"/>
  </conditionalFormatting>
  <conditionalFormatting sqref="Q374">
    <cfRule type="duplicateValues" dxfId="9229" priority="9547"/>
  </conditionalFormatting>
  <conditionalFormatting sqref="Q374">
    <cfRule type="duplicateValues" dxfId="9228" priority="9544"/>
    <cfRule type="duplicateValues" dxfId="9227" priority="9545"/>
    <cfRule type="duplicateValues" dxfId="9226" priority="9546"/>
  </conditionalFormatting>
  <conditionalFormatting sqref="R374">
    <cfRule type="duplicateValues" dxfId="9225" priority="9541"/>
    <cfRule type="duplicateValues" dxfId="9224" priority="9542"/>
    <cfRule type="duplicateValues" dxfId="9223" priority="9543"/>
  </conditionalFormatting>
  <conditionalFormatting sqref="Q374">
    <cfRule type="duplicateValues" dxfId="9222" priority="9539"/>
    <cfRule type="duplicateValues" dxfId="9221" priority="9540"/>
  </conditionalFormatting>
  <conditionalFormatting sqref="Q374">
    <cfRule type="duplicateValues" dxfId="9220" priority="9538"/>
  </conditionalFormatting>
  <conditionalFormatting sqref="Q375:R376">
    <cfRule type="duplicateValues" dxfId="9219" priority="9534"/>
  </conditionalFormatting>
  <conditionalFormatting sqref="Q375:R376">
    <cfRule type="duplicateValues" dxfId="9218" priority="9531"/>
    <cfRule type="duplicateValues" dxfId="9217" priority="9532"/>
    <cfRule type="duplicateValues" dxfId="9216" priority="9533"/>
  </conditionalFormatting>
  <conditionalFormatting sqref="R375:R376">
    <cfRule type="duplicateValues" dxfId="9215" priority="9530"/>
  </conditionalFormatting>
  <conditionalFormatting sqref="Q375:R376">
    <cfRule type="duplicateValues" dxfId="9214" priority="9529"/>
  </conditionalFormatting>
  <conditionalFormatting sqref="Q375:Q376">
    <cfRule type="duplicateValues" dxfId="9213" priority="9528"/>
  </conditionalFormatting>
  <conditionalFormatting sqref="Q375:Q376">
    <cfRule type="duplicateValues" dxfId="9212" priority="9527"/>
  </conditionalFormatting>
  <conditionalFormatting sqref="Q375:Q376">
    <cfRule type="duplicateValues" dxfId="9211" priority="9526"/>
  </conditionalFormatting>
  <conditionalFormatting sqref="Q375:Q376">
    <cfRule type="duplicateValues" dxfId="9210" priority="9525"/>
  </conditionalFormatting>
  <conditionalFormatting sqref="R375:R376">
    <cfRule type="duplicateValues" dxfId="9209" priority="9524"/>
  </conditionalFormatting>
  <conditionalFormatting sqref="Q375:Q376">
    <cfRule type="duplicateValues" dxfId="9208" priority="9522"/>
    <cfRule type="duplicateValues" dxfId="9207" priority="9523"/>
  </conditionalFormatting>
  <conditionalFormatting sqref="Q375:Q376">
    <cfRule type="duplicateValues" dxfId="9206" priority="9521"/>
  </conditionalFormatting>
  <conditionalFormatting sqref="Q375:Q376">
    <cfRule type="duplicateValues" dxfId="9205" priority="9520"/>
  </conditionalFormatting>
  <conditionalFormatting sqref="Q375:Q376">
    <cfRule type="duplicateValues" dxfId="9204" priority="9519"/>
  </conditionalFormatting>
  <conditionalFormatting sqref="Q375:Q376">
    <cfRule type="duplicateValues" dxfId="9203" priority="9518"/>
  </conditionalFormatting>
  <conditionalFormatting sqref="Q375:Q376">
    <cfRule type="duplicateValues" dxfId="9202" priority="9517"/>
  </conditionalFormatting>
  <conditionalFormatting sqref="Q375:Q376">
    <cfRule type="duplicateValues" dxfId="9201" priority="9516"/>
  </conditionalFormatting>
  <conditionalFormatting sqref="Q375:Q376">
    <cfRule type="duplicateValues" dxfId="9200" priority="9515"/>
  </conditionalFormatting>
  <conditionalFormatting sqref="Q375:Q376">
    <cfRule type="duplicateValues" dxfId="9199" priority="9514"/>
  </conditionalFormatting>
  <conditionalFormatting sqref="Q375:R376">
    <cfRule type="duplicateValues" dxfId="9198" priority="9535"/>
  </conditionalFormatting>
  <conditionalFormatting sqref="Q375:Q376">
    <cfRule type="duplicateValues" dxfId="9197" priority="9536"/>
  </conditionalFormatting>
  <conditionalFormatting sqref="R375:R376">
    <cfRule type="duplicateValues" dxfId="9196" priority="9537"/>
  </conditionalFormatting>
  <conditionalFormatting sqref="Q375:Q376">
    <cfRule type="duplicateValues" dxfId="9195" priority="9513"/>
  </conditionalFormatting>
  <conditionalFormatting sqref="R377">
    <cfRule type="duplicateValues" dxfId="9194" priority="9512"/>
  </conditionalFormatting>
  <conditionalFormatting sqref="R377">
    <cfRule type="duplicateValues" dxfId="9193" priority="9509"/>
    <cfRule type="duplicateValues" dxfId="9192" priority="9510"/>
    <cfRule type="duplicateValues" dxfId="9191" priority="9511"/>
  </conditionalFormatting>
  <conditionalFormatting sqref="R377">
    <cfRule type="duplicateValues" dxfId="9190" priority="9508"/>
  </conditionalFormatting>
  <conditionalFormatting sqref="R377">
    <cfRule type="duplicateValues" dxfId="9189" priority="9505"/>
    <cfRule type="duplicateValues" dxfId="9188" priority="9506"/>
    <cfRule type="duplicateValues" dxfId="9187" priority="9507"/>
  </conditionalFormatting>
  <conditionalFormatting sqref="Q377">
    <cfRule type="duplicateValues" dxfId="9186" priority="9504"/>
  </conditionalFormatting>
  <conditionalFormatting sqref="Q378:Q379">
    <cfRule type="duplicateValues" dxfId="9185" priority="9503"/>
  </conditionalFormatting>
  <conditionalFormatting sqref="R378:R379">
    <cfRule type="duplicateValues" dxfId="9184" priority="9502"/>
  </conditionalFormatting>
  <conditionalFormatting sqref="R378:R379">
    <cfRule type="duplicateValues" dxfId="9183" priority="9499"/>
    <cfRule type="duplicateValues" dxfId="9182" priority="9500"/>
    <cfRule type="duplicateValues" dxfId="9181" priority="9501"/>
  </conditionalFormatting>
  <conditionalFormatting sqref="R380">
    <cfRule type="duplicateValues" dxfId="9180" priority="9498"/>
  </conditionalFormatting>
  <conditionalFormatting sqref="R380">
    <cfRule type="duplicateValues" dxfId="9179" priority="9495"/>
    <cfRule type="duplicateValues" dxfId="9178" priority="9496"/>
    <cfRule type="duplicateValues" dxfId="9177" priority="9497"/>
  </conditionalFormatting>
  <conditionalFormatting sqref="R380">
    <cfRule type="duplicateValues" dxfId="9176" priority="9494"/>
  </conditionalFormatting>
  <conditionalFormatting sqref="R380">
    <cfRule type="duplicateValues" dxfId="9175" priority="9491"/>
    <cfRule type="duplicateValues" dxfId="9174" priority="9492"/>
    <cfRule type="duplicateValues" dxfId="9173" priority="9493"/>
  </conditionalFormatting>
  <conditionalFormatting sqref="Q380">
    <cfRule type="duplicateValues" dxfId="9172" priority="9490"/>
  </conditionalFormatting>
  <conditionalFormatting sqref="R381">
    <cfRule type="duplicateValues" dxfId="9171" priority="9489"/>
  </conditionalFormatting>
  <conditionalFormatting sqref="R381">
    <cfRule type="duplicateValues" dxfId="9170" priority="9486"/>
    <cfRule type="duplicateValues" dxfId="9169" priority="9487"/>
    <cfRule type="duplicateValues" dxfId="9168" priority="9488"/>
  </conditionalFormatting>
  <conditionalFormatting sqref="R381">
    <cfRule type="duplicateValues" dxfId="9167" priority="9485"/>
  </conditionalFormatting>
  <conditionalFormatting sqref="R381">
    <cfRule type="duplicateValues" dxfId="9166" priority="9482"/>
    <cfRule type="duplicateValues" dxfId="9165" priority="9483"/>
    <cfRule type="duplicateValues" dxfId="9164" priority="9484"/>
  </conditionalFormatting>
  <conditionalFormatting sqref="Q381">
    <cfRule type="duplicateValues" dxfId="9163" priority="9481"/>
  </conditionalFormatting>
  <conditionalFormatting sqref="R382">
    <cfRule type="duplicateValues" dxfId="9162" priority="9480"/>
  </conditionalFormatting>
  <conditionalFormatting sqref="R382">
    <cfRule type="duplicateValues" dxfId="9161" priority="9477"/>
    <cfRule type="duplicateValues" dxfId="9160" priority="9478"/>
    <cfRule type="duplicateValues" dxfId="9159" priority="9479"/>
  </conditionalFormatting>
  <conditionalFormatting sqref="R382">
    <cfRule type="duplicateValues" dxfId="9158" priority="9476"/>
  </conditionalFormatting>
  <conditionalFormatting sqref="R382">
    <cfRule type="duplicateValues" dxfId="9157" priority="9473"/>
    <cfRule type="duplicateValues" dxfId="9156" priority="9474"/>
    <cfRule type="duplicateValues" dxfId="9155" priority="9475"/>
  </conditionalFormatting>
  <conditionalFormatting sqref="Q382">
    <cfRule type="duplicateValues" dxfId="9154" priority="9472"/>
  </conditionalFormatting>
  <conditionalFormatting sqref="R383:R385">
    <cfRule type="duplicateValues" dxfId="9153" priority="9471"/>
  </conditionalFormatting>
  <conditionalFormatting sqref="R383:R385">
    <cfRule type="duplicateValues" dxfId="9152" priority="9468"/>
    <cfRule type="duplicateValues" dxfId="9151" priority="9469"/>
    <cfRule type="duplicateValues" dxfId="9150" priority="9470"/>
  </conditionalFormatting>
  <conditionalFormatting sqref="R383:R385">
    <cfRule type="duplicateValues" dxfId="9149" priority="9467"/>
  </conditionalFormatting>
  <conditionalFormatting sqref="R383:R385">
    <cfRule type="duplicateValues" dxfId="9148" priority="9464"/>
    <cfRule type="duplicateValues" dxfId="9147" priority="9465"/>
    <cfRule type="duplicateValues" dxfId="9146" priority="9466"/>
  </conditionalFormatting>
  <conditionalFormatting sqref="Q383:Q385">
    <cfRule type="duplicateValues" dxfId="9145" priority="9463"/>
  </conditionalFormatting>
  <conditionalFormatting sqref="R386">
    <cfRule type="duplicateValues" dxfId="9144" priority="9462"/>
  </conditionalFormatting>
  <conditionalFormatting sqref="R386">
    <cfRule type="duplicateValues" dxfId="9143" priority="9459"/>
    <cfRule type="duplicateValues" dxfId="9142" priority="9460"/>
    <cfRule type="duplicateValues" dxfId="9141" priority="9461"/>
  </conditionalFormatting>
  <conditionalFormatting sqref="R386">
    <cfRule type="duplicateValues" dxfId="9140" priority="9458"/>
  </conditionalFormatting>
  <conditionalFormatting sqref="R386">
    <cfRule type="duplicateValues" dxfId="9139" priority="9455"/>
    <cfRule type="duplicateValues" dxfId="9138" priority="9456"/>
    <cfRule type="duplicateValues" dxfId="9137" priority="9457"/>
  </conditionalFormatting>
  <conditionalFormatting sqref="Q386">
    <cfRule type="duplicateValues" dxfId="9136" priority="9454"/>
  </conditionalFormatting>
  <conditionalFormatting sqref="R387">
    <cfRule type="duplicateValues" dxfId="9135" priority="9453"/>
  </conditionalFormatting>
  <conditionalFormatting sqref="R387">
    <cfRule type="duplicateValues" dxfId="9134" priority="9450"/>
    <cfRule type="duplicateValues" dxfId="9133" priority="9451"/>
    <cfRule type="duplicateValues" dxfId="9132" priority="9452"/>
  </conditionalFormatting>
  <conditionalFormatting sqref="R387">
    <cfRule type="duplicateValues" dxfId="9131" priority="9449"/>
  </conditionalFormatting>
  <conditionalFormatting sqref="R387">
    <cfRule type="duplicateValues" dxfId="9130" priority="9446"/>
    <cfRule type="duplicateValues" dxfId="9129" priority="9447"/>
    <cfRule type="duplicateValues" dxfId="9128" priority="9448"/>
  </conditionalFormatting>
  <conditionalFormatting sqref="Q387">
    <cfRule type="duplicateValues" dxfId="9127" priority="9445"/>
  </conditionalFormatting>
  <conditionalFormatting sqref="Q388:R389">
    <cfRule type="duplicateValues" dxfId="9126" priority="9444"/>
  </conditionalFormatting>
  <conditionalFormatting sqref="Q388:R389">
    <cfRule type="duplicateValues" dxfId="9125" priority="9441"/>
    <cfRule type="duplicateValues" dxfId="9124" priority="9442"/>
    <cfRule type="duplicateValues" dxfId="9123" priority="9443"/>
  </conditionalFormatting>
  <conditionalFormatting sqref="R388:R389">
    <cfRule type="duplicateValues" dxfId="9122" priority="9440"/>
  </conditionalFormatting>
  <conditionalFormatting sqref="Q388:Q389">
    <cfRule type="duplicateValues" dxfId="9121" priority="9439"/>
  </conditionalFormatting>
  <conditionalFormatting sqref="Q388:Q389">
    <cfRule type="duplicateValues" dxfId="9120" priority="9437"/>
    <cfRule type="duplicateValues" dxfId="9119" priority="9438"/>
  </conditionalFormatting>
  <conditionalFormatting sqref="Q388:Q389">
    <cfRule type="duplicateValues" dxfId="9118" priority="9434"/>
    <cfRule type="duplicateValues" dxfId="9117" priority="9435"/>
    <cfRule type="duplicateValues" dxfId="9116" priority="9436"/>
  </conditionalFormatting>
  <conditionalFormatting sqref="R388:R389">
    <cfRule type="duplicateValues" dxfId="9115" priority="9431"/>
    <cfRule type="duplicateValues" dxfId="9114" priority="9432"/>
    <cfRule type="duplicateValues" dxfId="9113" priority="9433"/>
  </conditionalFormatting>
  <conditionalFormatting sqref="Q388:Q389">
    <cfRule type="duplicateValues" dxfId="9112" priority="9430"/>
  </conditionalFormatting>
  <conditionalFormatting sqref="Q390:R390">
    <cfRule type="duplicateValues" dxfId="9111" priority="9429"/>
  </conditionalFormatting>
  <conditionalFormatting sqref="Q390:R390">
    <cfRule type="duplicateValues" dxfId="9110" priority="9426"/>
    <cfRule type="duplicateValues" dxfId="9109" priority="9427"/>
    <cfRule type="duplicateValues" dxfId="9108" priority="9428"/>
  </conditionalFormatting>
  <conditionalFormatting sqref="R390">
    <cfRule type="duplicateValues" dxfId="9107" priority="9425"/>
  </conditionalFormatting>
  <conditionalFormatting sqref="Q390:R390">
    <cfRule type="duplicateValues" dxfId="9106" priority="9424"/>
  </conditionalFormatting>
  <conditionalFormatting sqref="Q390">
    <cfRule type="duplicateValues" dxfId="9105" priority="9423"/>
  </conditionalFormatting>
  <conditionalFormatting sqref="Q390">
    <cfRule type="duplicateValues" dxfId="9104" priority="9422"/>
  </conditionalFormatting>
  <conditionalFormatting sqref="Q390">
    <cfRule type="duplicateValues" dxfId="9103" priority="9421"/>
  </conditionalFormatting>
  <conditionalFormatting sqref="Q390">
    <cfRule type="duplicateValues" dxfId="9102" priority="9420"/>
  </conditionalFormatting>
  <conditionalFormatting sqref="R390">
    <cfRule type="duplicateValues" dxfId="9101" priority="9419"/>
  </conditionalFormatting>
  <conditionalFormatting sqref="Q390">
    <cfRule type="duplicateValues" dxfId="9100" priority="9417"/>
    <cfRule type="duplicateValues" dxfId="9099" priority="9418"/>
  </conditionalFormatting>
  <conditionalFormatting sqref="Q390">
    <cfRule type="duplicateValues" dxfId="9098" priority="9416"/>
  </conditionalFormatting>
  <conditionalFormatting sqref="Q390">
    <cfRule type="duplicateValues" dxfId="9097" priority="9415"/>
  </conditionalFormatting>
  <conditionalFormatting sqref="Q390">
    <cfRule type="duplicateValues" dxfId="9096" priority="9414"/>
  </conditionalFormatting>
  <conditionalFormatting sqref="Q390">
    <cfRule type="duplicateValues" dxfId="9095" priority="9413"/>
  </conditionalFormatting>
  <conditionalFormatting sqref="Q390">
    <cfRule type="duplicateValues" dxfId="9094" priority="9412"/>
  </conditionalFormatting>
  <conditionalFormatting sqref="Q390">
    <cfRule type="duplicateValues" dxfId="9093" priority="9411"/>
  </conditionalFormatting>
  <conditionalFormatting sqref="Q390">
    <cfRule type="duplicateValues" dxfId="9092" priority="9410"/>
  </conditionalFormatting>
  <conditionalFormatting sqref="Q390">
    <cfRule type="duplicateValues" dxfId="9091" priority="9409"/>
  </conditionalFormatting>
  <conditionalFormatting sqref="Q390">
    <cfRule type="duplicateValues" dxfId="9090" priority="9408"/>
  </conditionalFormatting>
  <conditionalFormatting sqref="Q390">
    <cfRule type="duplicateValues" dxfId="9089" priority="9407"/>
  </conditionalFormatting>
  <conditionalFormatting sqref="Q390:R390">
    <cfRule type="duplicateValues" dxfId="9088" priority="9406"/>
  </conditionalFormatting>
  <conditionalFormatting sqref="Q390:R390">
    <cfRule type="duplicateValues" dxfId="9087" priority="9403"/>
    <cfRule type="duplicateValues" dxfId="9086" priority="9404"/>
    <cfRule type="duplicateValues" dxfId="9085" priority="9405"/>
  </conditionalFormatting>
  <conditionalFormatting sqref="R390">
    <cfRule type="duplicateValues" dxfId="9084" priority="9402"/>
  </conditionalFormatting>
  <conditionalFormatting sqref="Q390">
    <cfRule type="duplicateValues" dxfId="9083" priority="9400"/>
    <cfRule type="duplicateValues" dxfId="9082" priority="9401"/>
  </conditionalFormatting>
  <conditionalFormatting sqref="Q390">
    <cfRule type="duplicateValues" dxfId="9081" priority="9397"/>
    <cfRule type="duplicateValues" dxfId="9080" priority="9398"/>
    <cfRule type="duplicateValues" dxfId="9079" priority="9399"/>
  </conditionalFormatting>
  <conditionalFormatting sqref="R390">
    <cfRule type="duplicateValues" dxfId="9078" priority="9394"/>
    <cfRule type="duplicateValues" dxfId="9077" priority="9395"/>
    <cfRule type="duplicateValues" dxfId="9076" priority="9396"/>
  </conditionalFormatting>
  <conditionalFormatting sqref="Q390">
    <cfRule type="duplicateValues" dxfId="9075" priority="9393"/>
  </conditionalFormatting>
  <conditionalFormatting sqref="R391:R394">
    <cfRule type="duplicateValues" dxfId="9074" priority="9392"/>
  </conditionalFormatting>
  <conditionalFormatting sqref="R391:R394">
    <cfRule type="duplicateValues" dxfId="9073" priority="9389"/>
    <cfRule type="duplicateValues" dxfId="9072" priority="9390"/>
    <cfRule type="duplicateValues" dxfId="9071" priority="9391"/>
  </conditionalFormatting>
  <conditionalFormatting sqref="R391:R394">
    <cfRule type="duplicateValues" dxfId="9070" priority="9388"/>
  </conditionalFormatting>
  <conditionalFormatting sqref="R391:R394">
    <cfRule type="duplicateValues" dxfId="9069" priority="9385"/>
    <cfRule type="duplicateValues" dxfId="9068" priority="9386"/>
    <cfRule type="duplicateValues" dxfId="9067" priority="9387"/>
  </conditionalFormatting>
  <conditionalFormatting sqref="R395">
    <cfRule type="duplicateValues" dxfId="9066" priority="9384"/>
  </conditionalFormatting>
  <conditionalFormatting sqref="R395">
    <cfRule type="duplicateValues" dxfId="9065" priority="9381"/>
    <cfRule type="duplicateValues" dxfId="9064" priority="9382"/>
    <cfRule type="duplicateValues" dxfId="9063" priority="9383"/>
  </conditionalFormatting>
  <conditionalFormatting sqref="R395">
    <cfRule type="duplicateValues" dxfId="9062" priority="9380"/>
  </conditionalFormatting>
  <conditionalFormatting sqref="R395">
    <cfRule type="duplicateValues" dxfId="9061" priority="9377"/>
    <cfRule type="duplicateValues" dxfId="9060" priority="9378"/>
    <cfRule type="duplicateValues" dxfId="9059" priority="9379"/>
  </conditionalFormatting>
  <conditionalFormatting sqref="Q391:Q395">
    <cfRule type="duplicateValues" dxfId="9058" priority="9376"/>
  </conditionalFormatting>
  <conditionalFormatting sqref="R396">
    <cfRule type="duplicateValues" dxfId="9057" priority="9375"/>
  </conditionalFormatting>
  <conditionalFormatting sqref="R396">
    <cfRule type="duplicateValues" dxfId="9056" priority="9372"/>
    <cfRule type="duplicateValues" dxfId="9055" priority="9373"/>
    <cfRule type="duplicateValues" dxfId="9054" priority="9374"/>
  </conditionalFormatting>
  <conditionalFormatting sqref="R396">
    <cfRule type="duplicateValues" dxfId="9053" priority="9371"/>
  </conditionalFormatting>
  <conditionalFormatting sqref="R396">
    <cfRule type="duplicateValues" dxfId="9052" priority="9368"/>
    <cfRule type="duplicateValues" dxfId="9051" priority="9369"/>
    <cfRule type="duplicateValues" dxfId="9050" priority="9370"/>
  </conditionalFormatting>
  <conditionalFormatting sqref="Q396">
    <cfRule type="duplicateValues" dxfId="9049" priority="9367"/>
  </conditionalFormatting>
  <conditionalFormatting sqref="R397">
    <cfRule type="duplicateValues" dxfId="9048" priority="9366"/>
  </conditionalFormatting>
  <conditionalFormatting sqref="R397">
    <cfRule type="duplicateValues" dxfId="9047" priority="9363"/>
    <cfRule type="duplicateValues" dxfId="9046" priority="9364"/>
    <cfRule type="duplicateValues" dxfId="9045" priority="9365"/>
  </conditionalFormatting>
  <conditionalFormatting sqref="R397">
    <cfRule type="duplicateValues" dxfId="9044" priority="9362"/>
  </conditionalFormatting>
  <conditionalFormatting sqref="R397">
    <cfRule type="duplicateValues" dxfId="9043" priority="9359"/>
    <cfRule type="duplicateValues" dxfId="9042" priority="9360"/>
    <cfRule type="duplicateValues" dxfId="9041" priority="9361"/>
  </conditionalFormatting>
  <conditionalFormatting sqref="Q397">
    <cfRule type="duplicateValues" dxfId="9040" priority="9358"/>
  </conditionalFormatting>
  <conditionalFormatting sqref="Q398">
    <cfRule type="duplicateValues" dxfId="9039" priority="9357"/>
  </conditionalFormatting>
  <conditionalFormatting sqref="Q398:R398">
    <cfRule type="duplicateValues" dxfId="9038" priority="9356"/>
  </conditionalFormatting>
  <conditionalFormatting sqref="Q398:R398">
    <cfRule type="duplicateValues" dxfId="9037" priority="9353"/>
    <cfRule type="duplicateValues" dxfId="9036" priority="9354"/>
    <cfRule type="duplicateValues" dxfId="9035" priority="9355"/>
  </conditionalFormatting>
  <conditionalFormatting sqref="R398">
    <cfRule type="duplicateValues" dxfId="9034" priority="9352"/>
  </conditionalFormatting>
  <conditionalFormatting sqref="Q398">
    <cfRule type="duplicateValues" dxfId="9033" priority="9350"/>
    <cfRule type="duplicateValues" dxfId="9032" priority="9351"/>
  </conditionalFormatting>
  <conditionalFormatting sqref="Q398">
    <cfRule type="duplicateValues" dxfId="9031" priority="9347"/>
    <cfRule type="duplicateValues" dxfId="9030" priority="9348"/>
    <cfRule type="duplicateValues" dxfId="9029" priority="9349"/>
  </conditionalFormatting>
  <conditionalFormatting sqref="R398">
    <cfRule type="duplicateValues" dxfId="9028" priority="9344"/>
    <cfRule type="duplicateValues" dxfId="9027" priority="9345"/>
    <cfRule type="duplicateValues" dxfId="9026" priority="9346"/>
  </conditionalFormatting>
  <conditionalFormatting sqref="Q398">
    <cfRule type="duplicateValues" dxfId="9025" priority="9343"/>
  </conditionalFormatting>
  <conditionalFormatting sqref="Q399:R399">
    <cfRule type="duplicateValues" dxfId="9024" priority="9342"/>
  </conditionalFormatting>
  <conditionalFormatting sqref="Q399:R399">
    <cfRule type="duplicateValues" dxfId="9023" priority="9339"/>
    <cfRule type="duplicateValues" dxfId="9022" priority="9340"/>
    <cfRule type="duplicateValues" dxfId="9021" priority="9341"/>
  </conditionalFormatting>
  <conditionalFormatting sqref="R399">
    <cfRule type="duplicateValues" dxfId="9020" priority="9338"/>
  </conditionalFormatting>
  <conditionalFormatting sqref="Q399:R399">
    <cfRule type="duplicateValues" dxfId="9019" priority="9337"/>
  </conditionalFormatting>
  <conditionalFormatting sqref="Q399">
    <cfRule type="duplicateValues" dxfId="9018" priority="9336"/>
  </conditionalFormatting>
  <conditionalFormatting sqref="Q399">
    <cfRule type="duplicateValues" dxfId="9017" priority="9335"/>
  </conditionalFormatting>
  <conditionalFormatting sqref="Q399">
    <cfRule type="duplicateValues" dxfId="9016" priority="9334"/>
  </conditionalFormatting>
  <conditionalFormatting sqref="Q399">
    <cfRule type="duplicateValues" dxfId="9015" priority="9333"/>
  </conditionalFormatting>
  <conditionalFormatting sqref="R399">
    <cfRule type="duplicateValues" dxfId="9014" priority="9332"/>
  </conditionalFormatting>
  <conditionalFormatting sqref="Q399">
    <cfRule type="duplicateValues" dxfId="9013" priority="9330"/>
    <cfRule type="duplicateValues" dxfId="9012" priority="9331"/>
  </conditionalFormatting>
  <conditionalFormatting sqref="Q399">
    <cfRule type="duplicateValues" dxfId="9011" priority="9329"/>
  </conditionalFormatting>
  <conditionalFormatting sqref="Q399">
    <cfRule type="duplicateValues" dxfId="9010" priority="9328"/>
  </conditionalFormatting>
  <conditionalFormatting sqref="Q399">
    <cfRule type="duplicateValues" dxfId="9009" priority="9327"/>
  </conditionalFormatting>
  <conditionalFormatting sqref="Q399">
    <cfRule type="duplicateValues" dxfId="9008" priority="9326"/>
  </conditionalFormatting>
  <conditionalFormatting sqref="Q399">
    <cfRule type="duplicateValues" dxfId="9007" priority="9325"/>
  </conditionalFormatting>
  <conditionalFormatting sqref="Q399">
    <cfRule type="duplicateValues" dxfId="9006" priority="9324"/>
  </conditionalFormatting>
  <conditionalFormatting sqref="Q399">
    <cfRule type="duplicateValues" dxfId="9005" priority="9323"/>
  </conditionalFormatting>
  <conditionalFormatting sqref="Q399">
    <cfRule type="duplicateValues" dxfId="9004" priority="9322"/>
  </conditionalFormatting>
  <conditionalFormatting sqref="Q399">
    <cfRule type="duplicateValues" dxfId="9003" priority="9321"/>
  </conditionalFormatting>
  <conditionalFormatting sqref="Q399">
    <cfRule type="duplicateValues" dxfId="9002" priority="9320"/>
  </conditionalFormatting>
  <conditionalFormatting sqref="R399">
    <cfRule type="duplicateValues" dxfId="9001" priority="9319"/>
  </conditionalFormatting>
  <conditionalFormatting sqref="R399">
    <cfRule type="duplicateValues" dxfId="9000" priority="9316"/>
    <cfRule type="duplicateValues" dxfId="8999" priority="9317"/>
    <cfRule type="duplicateValues" dxfId="8998" priority="9318"/>
  </conditionalFormatting>
  <conditionalFormatting sqref="R399">
    <cfRule type="duplicateValues" dxfId="8997" priority="9315"/>
  </conditionalFormatting>
  <conditionalFormatting sqref="R399">
    <cfRule type="duplicateValues" dxfId="8996" priority="9312"/>
    <cfRule type="duplicateValues" dxfId="8995" priority="9313"/>
    <cfRule type="duplicateValues" dxfId="8994" priority="9314"/>
  </conditionalFormatting>
  <conditionalFormatting sqref="Q399">
    <cfRule type="duplicateValues" dxfId="8993" priority="9311"/>
  </conditionalFormatting>
  <conditionalFormatting sqref="Q400:R400">
    <cfRule type="duplicateValues" dxfId="8992" priority="9310"/>
  </conditionalFormatting>
  <conditionalFormatting sqref="Q400:R400">
    <cfRule type="duplicateValues" dxfId="8991" priority="9307"/>
    <cfRule type="duplicateValues" dxfId="8990" priority="9308"/>
    <cfRule type="duplicateValues" dxfId="8989" priority="9309"/>
  </conditionalFormatting>
  <conditionalFormatting sqref="R400">
    <cfRule type="duplicateValues" dxfId="8988" priority="9306"/>
  </conditionalFormatting>
  <conditionalFormatting sqref="Q400:R400">
    <cfRule type="duplicateValues" dxfId="8987" priority="9305"/>
  </conditionalFormatting>
  <conditionalFormatting sqref="Q400">
    <cfRule type="duplicateValues" dxfId="8986" priority="9304"/>
  </conditionalFormatting>
  <conditionalFormatting sqref="Q400">
    <cfRule type="duplicateValues" dxfId="8985" priority="9303"/>
  </conditionalFormatting>
  <conditionalFormatting sqref="Q400">
    <cfRule type="duplicateValues" dxfId="8984" priority="9302"/>
  </conditionalFormatting>
  <conditionalFormatting sqref="Q400">
    <cfRule type="duplicateValues" dxfId="8983" priority="9301"/>
  </conditionalFormatting>
  <conditionalFormatting sqref="R400">
    <cfRule type="duplicateValues" dxfId="8982" priority="9300"/>
  </conditionalFormatting>
  <conditionalFormatting sqref="Q400">
    <cfRule type="duplicateValues" dxfId="8981" priority="9298"/>
    <cfRule type="duplicateValues" dxfId="8980" priority="9299"/>
  </conditionalFormatting>
  <conditionalFormatting sqref="Q400">
    <cfRule type="duplicateValues" dxfId="8979" priority="9297"/>
  </conditionalFormatting>
  <conditionalFormatting sqref="Q400">
    <cfRule type="duplicateValues" dxfId="8978" priority="9296"/>
  </conditionalFormatting>
  <conditionalFormatting sqref="Q400">
    <cfRule type="duplicateValues" dxfId="8977" priority="9295"/>
  </conditionalFormatting>
  <conditionalFormatting sqref="Q400">
    <cfRule type="duplicateValues" dxfId="8976" priority="9294"/>
  </conditionalFormatting>
  <conditionalFormatting sqref="Q400">
    <cfRule type="duplicateValues" dxfId="8975" priority="9293"/>
  </conditionalFormatting>
  <conditionalFormatting sqref="Q400">
    <cfRule type="duplicateValues" dxfId="8974" priority="9292"/>
  </conditionalFormatting>
  <conditionalFormatting sqref="Q400">
    <cfRule type="duplicateValues" dxfId="8973" priority="9291"/>
  </conditionalFormatting>
  <conditionalFormatting sqref="Q400">
    <cfRule type="duplicateValues" dxfId="8972" priority="9290"/>
  </conditionalFormatting>
  <conditionalFormatting sqref="Q400">
    <cfRule type="duplicateValues" dxfId="8971" priority="9289"/>
  </conditionalFormatting>
  <conditionalFormatting sqref="Q400">
    <cfRule type="duplicateValues" dxfId="8970" priority="9288"/>
  </conditionalFormatting>
  <conditionalFormatting sqref="R400">
    <cfRule type="duplicateValues" dxfId="8969" priority="9287"/>
  </conditionalFormatting>
  <conditionalFormatting sqref="R400">
    <cfRule type="duplicateValues" dxfId="8968" priority="9284"/>
    <cfRule type="duplicateValues" dxfId="8967" priority="9285"/>
    <cfRule type="duplicateValues" dxfId="8966" priority="9286"/>
  </conditionalFormatting>
  <conditionalFormatting sqref="R400">
    <cfRule type="duplicateValues" dxfId="8965" priority="9283"/>
  </conditionalFormatting>
  <conditionalFormatting sqref="R400">
    <cfRule type="duplicateValues" dxfId="8964" priority="9280"/>
    <cfRule type="duplicateValues" dxfId="8963" priority="9281"/>
    <cfRule type="duplicateValues" dxfId="8962" priority="9282"/>
  </conditionalFormatting>
  <conditionalFormatting sqref="Q400">
    <cfRule type="duplicateValues" dxfId="8961" priority="9279"/>
  </conditionalFormatting>
  <conditionalFormatting sqref="Q401:R401">
    <cfRule type="duplicateValues" dxfId="8960" priority="9278"/>
  </conditionalFormatting>
  <conditionalFormatting sqref="Q401:R401">
    <cfRule type="duplicateValues" dxfId="8959" priority="9275"/>
    <cfRule type="duplicateValues" dxfId="8958" priority="9276"/>
    <cfRule type="duplicateValues" dxfId="8957" priority="9277"/>
  </conditionalFormatting>
  <conditionalFormatting sqref="R401">
    <cfRule type="duplicateValues" dxfId="8956" priority="9274"/>
  </conditionalFormatting>
  <conditionalFormatting sqref="Q401:R401">
    <cfRule type="duplicateValues" dxfId="8955" priority="9273"/>
  </conditionalFormatting>
  <conditionalFormatting sqref="Q401">
    <cfRule type="duplicateValues" dxfId="8954" priority="9272"/>
  </conditionalFormatting>
  <conditionalFormatting sqref="Q401">
    <cfRule type="duplicateValues" dxfId="8953" priority="9271"/>
  </conditionalFormatting>
  <conditionalFormatting sqref="Q401">
    <cfRule type="duplicateValues" dxfId="8952" priority="9270"/>
  </conditionalFormatting>
  <conditionalFormatting sqref="Q401">
    <cfRule type="duplicateValues" dxfId="8951" priority="9269"/>
  </conditionalFormatting>
  <conditionalFormatting sqref="R401">
    <cfRule type="duplicateValues" dxfId="8950" priority="9268"/>
  </conditionalFormatting>
  <conditionalFormatting sqref="Q401">
    <cfRule type="duplicateValues" dxfId="8949" priority="9266"/>
    <cfRule type="duplicateValues" dxfId="8948" priority="9267"/>
  </conditionalFormatting>
  <conditionalFormatting sqref="Q401">
    <cfRule type="duplicateValues" dxfId="8947" priority="9265"/>
  </conditionalFormatting>
  <conditionalFormatting sqref="Q401">
    <cfRule type="duplicateValues" dxfId="8946" priority="9264"/>
  </conditionalFormatting>
  <conditionalFormatting sqref="Q401">
    <cfRule type="duplicateValues" dxfId="8945" priority="9263"/>
  </conditionalFormatting>
  <conditionalFormatting sqref="Q401">
    <cfRule type="duplicateValues" dxfId="8944" priority="9262"/>
  </conditionalFormatting>
  <conditionalFormatting sqref="Q401">
    <cfRule type="duplicateValues" dxfId="8943" priority="9261"/>
  </conditionalFormatting>
  <conditionalFormatting sqref="Q401">
    <cfRule type="duplicateValues" dxfId="8942" priority="9260"/>
  </conditionalFormatting>
  <conditionalFormatting sqref="Q401">
    <cfRule type="duplicateValues" dxfId="8941" priority="9259"/>
  </conditionalFormatting>
  <conditionalFormatting sqref="Q401">
    <cfRule type="duplicateValues" dxfId="8940" priority="9258"/>
  </conditionalFormatting>
  <conditionalFormatting sqref="Q401">
    <cfRule type="duplicateValues" dxfId="8939" priority="9257"/>
  </conditionalFormatting>
  <conditionalFormatting sqref="Q401">
    <cfRule type="duplicateValues" dxfId="8938" priority="9256"/>
  </conditionalFormatting>
  <conditionalFormatting sqref="R401">
    <cfRule type="duplicateValues" dxfId="8937" priority="9255"/>
  </conditionalFormatting>
  <conditionalFormatting sqref="R401">
    <cfRule type="duplicateValues" dxfId="8936" priority="9252"/>
    <cfRule type="duplicateValues" dxfId="8935" priority="9253"/>
    <cfRule type="duplicateValues" dxfId="8934" priority="9254"/>
  </conditionalFormatting>
  <conditionalFormatting sqref="R401">
    <cfRule type="duplicateValues" dxfId="8933" priority="9251"/>
  </conditionalFormatting>
  <conditionalFormatting sqref="R401">
    <cfRule type="duplicateValues" dxfId="8932" priority="9248"/>
    <cfRule type="duplicateValues" dxfId="8931" priority="9249"/>
    <cfRule type="duplicateValues" dxfId="8930" priority="9250"/>
  </conditionalFormatting>
  <conditionalFormatting sqref="Q401">
    <cfRule type="duplicateValues" dxfId="8929" priority="9247"/>
  </conditionalFormatting>
  <conditionalFormatting sqref="Q402:R402">
    <cfRule type="duplicateValues" dxfId="8928" priority="9246"/>
  </conditionalFormatting>
  <conditionalFormatting sqref="Q402:R402">
    <cfRule type="duplicateValues" dxfId="8927" priority="9243"/>
    <cfRule type="duplicateValues" dxfId="8926" priority="9244"/>
    <cfRule type="duplicateValues" dxfId="8925" priority="9245"/>
  </conditionalFormatting>
  <conditionalFormatting sqref="R402">
    <cfRule type="duplicateValues" dxfId="8924" priority="9242"/>
  </conditionalFormatting>
  <conditionalFormatting sqref="Q402:R402">
    <cfRule type="duplicateValues" dxfId="8923" priority="9241"/>
  </conditionalFormatting>
  <conditionalFormatting sqref="Q402">
    <cfRule type="duplicateValues" dxfId="8922" priority="9240"/>
  </conditionalFormatting>
  <conditionalFormatting sqref="Q402">
    <cfRule type="duplicateValues" dxfId="8921" priority="9239"/>
  </conditionalFormatting>
  <conditionalFormatting sqref="Q402">
    <cfRule type="duplicateValues" dxfId="8920" priority="9238"/>
  </conditionalFormatting>
  <conditionalFormatting sqref="Q402">
    <cfRule type="duplicateValues" dxfId="8919" priority="9237"/>
  </conditionalFormatting>
  <conditionalFormatting sqref="R402">
    <cfRule type="duplicateValues" dxfId="8918" priority="9236"/>
  </conditionalFormatting>
  <conditionalFormatting sqref="Q402">
    <cfRule type="duplicateValues" dxfId="8917" priority="9234"/>
    <cfRule type="duplicateValues" dxfId="8916" priority="9235"/>
  </conditionalFormatting>
  <conditionalFormatting sqref="Q402">
    <cfRule type="duplicateValues" dxfId="8915" priority="9233"/>
  </conditionalFormatting>
  <conditionalFormatting sqref="Q402">
    <cfRule type="duplicateValues" dxfId="8914" priority="9232"/>
  </conditionalFormatting>
  <conditionalFormatting sqref="Q402">
    <cfRule type="duplicateValues" dxfId="8913" priority="9231"/>
  </conditionalFormatting>
  <conditionalFormatting sqref="Q402">
    <cfRule type="duplicateValues" dxfId="8912" priority="9230"/>
  </conditionalFormatting>
  <conditionalFormatting sqref="Q402">
    <cfRule type="duplicateValues" dxfId="8911" priority="9229"/>
  </conditionalFormatting>
  <conditionalFormatting sqref="Q402">
    <cfRule type="duplicateValues" dxfId="8910" priority="9228"/>
  </conditionalFormatting>
  <conditionalFormatting sqref="Q402">
    <cfRule type="duplicateValues" dxfId="8909" priority="9227"/>
  </conditionalFormatting>
  <conditionalFormatting sqref="Q402">
    <cfRule type="duplicateValues" dxfId="8908" priority="9226"/>
  </conditionalFormatting>
  <conditionalFormatting sqref="Q402">
    <cfRule type="duplicateValues" dxfId="8907" priority="9225"/>
  </conditionalFormatting>
  <conditionalFormatting sqref="Q402">
    <cfRule type="duplicateValues" dxfId="8906" priority="9224"/>
  </conditionalFormatting>
  <conditionalFormatting sqref="R402">
    <cfRule type="duplicateValues" dxfId="8905" priority="9223"/>
  </conditionalFormatting>
  <conditionalFormatting sqref="R402">
    <cfRule type="duplicateValues" dxfId="8904" priority="9220"/>
    <cfRule type="duplicateValues" dxfId="8903" priority="9221"/>
    <cfRule type="duplicateValues" dxfId="8902" priority="9222"/>
  </conditionalFormatting>
  <conditionalFormatting sqref="R402">
    <cfRule type="duplicateValues" dxfId="8901" priority="9219"/>
  </conditionalFormatting>
  <conditionalFormatting sqref="R402">
    <cfRule type="duplicateValues" dxfId="8900" priority="9216"/>
    <cfRule type="duplicateValues" dxfId="8899" priority="9217"/>
    <cfRule type="duplicateValues" dxfId="8898" priority="9218"/>
  </conditionalFormatting>
  <conditionalFormatting sqref="Q402">
    <cfRule type="duplicateValues" dxfId="8897" priority="9215"/>
  </conditionalFormatting>
  <conditionalFormatting sqref="Q403">
    <cfRule type="duplicateValues" dxfId="8896" priority="9214"/>
  </conditionalFormatting>
  <conditionalFormatting sqref="Q403:R403">
    <cfRule type="duplicateValues" dxfId="8895" priority="9213"/>
  </conditionalFormatting>
  <conditionalFormatting sqref="Q403:R403">
    <cfRule type="duplicateValues" dxfId="8894" priority="9210"/>
    <cfRule type="duplicateValues" dxfId="8893" priority="9211"/>
    <cfRule type="duplicateValues" dxfId="8892" priority="9212"/>
  </conditionalFormatting>
  <conditionalFormatting sqref="R403">
    <cfRule type="duplicateValues" dxfId="8891" priority="9209"/>
  </conditionalFormatting>
  <conditionalFormatting sqref="Q403">
    <cfRule type="duplicateValues" dxfId="8890" priority="9207"/>
    <cfRule type="duplicateValues" dxfId="8889" priority="9208"/>
  </conditionalFormatting>
  <conditionalFormatting sqref="Q403">
    <cfRule type="duplicateValues" dxfId="8888" priority="9204"/>
    <cfRule type="duplicateValues" dxfId="8887" priority="9205"/>
    <cfRule type="duplicateValues" dxfId="8886" priority="9206"/>
  </conditionalFormatting>
  <conditionalFormatting sqref="R403">
    <cfRule type="duplicateValues" dxfId="8885" priority="9201"/>
    <cfRule type="duplicateValues" dxfId="8884" priority="9202"/>
    <cfRule type="duplicateValues" dxfId="8883" priority="9203"/>
  </conditionalFormatting>
  <conditionalFormatting sqref="Q403">
    <cfRule type="duplicateValues" dxfId="8882" priority="9200"/>
  </conditionalFormatting>
  <conditionalFormatting sqref="Q404:R404">
    <cfRule type="duplicateValues" dxfId="8881" priority="9199"/>
  </conditionalFormatting>
  <conditionalFormatting sqref="Q404:R404">
    <cfRule type="duplicateValues" dxfId="8880" priority="9196"/>
    <cfRule type="duplicateValues" dxfId="8879" priority="9197"/>
    <cfRule type="duplicateValues" dxfId="8878" priority="9198"/>
  </conditionalFormatting>
  <conditionalFormatting sqref="R404">
    <cfRule type="duplicateValues" dxfId="8877" priority="9195"/>
  </conditionalFormatting>
  <conditionalFormatting sqref="Q404:R404">
    <cfRule type="duplicateValues" dxfId="8876" priority="9194"/>
  </conditionalFormatting>
  <conditionalFormatting sqref="Q404">
    <cfRule type="duplicateValues" dxfId="8875" priority="9193"/>
  </conditionalFormatting>
  <conditionalFormatting sqref="Q404">
    <cfRule type="duplicateValues" dxfId="8874" priority="9192"/>
  </conditionalFormatting>
  <conditionalFormatting sqref="Q404">
    <cfRule type="duplicateValues" dxfId="8873" priority="9191"/>
  </conditionalFormatting>
  <conditionalFormatting sqref="Q404">
    <cfRule type="duplicateValues" dxfId="8872" priority="9190"/>
  </conditionalFormatting>
  <conditionalFormatting sqref="R404">
    <cfRule type="duplicateValues" dxfId="8871" priority="9189"/>
  </conditionalFormatting>
  <conditionalFormatting sqref="Q404">
    <cfRule type="duplicateValues" dxfId="8870" priority="9187"/>
    <cfRule type="duplicateValues" dxfId="8869" priority="9188"/>
  </conditionalFormatting>
  <conditionalFormatting sqref="Q404">
    <cfRule type="duplicateValues" dxfId="8868" priority="9186"/>
  </conditionalFormatting>
  <conditionalFormatting sqref="Q404">
    <cfRule type="duplicateValues" dxfId="8867" priority="9185"/>
  </conditionalFormatting>
  <conditionalFormatting sqref="Q404">
    <cfRule type="duplicateValues" dxfId="8866" priority="9184"/>
  </conditionalFormatting>
  <conditionalFormatting sqref="Q404">
    <cfRule type="duplicateValues" dxfId="8865" priority="9183"/>
  </conditionalFormatting>
  <conditionalFormatting sqref="Q404">
    <cfRule type="duplicateValues" dxfId="8864" priority="9182"/>
  </conditionalFormatting>
  <conditionalFormatting sqref="Q404">
    <cfRule type="duplicateValues" dxfId="8863" priority="9181"/>
  </conditionalFormatting>
  <conditionalFormatting sqref="Q404">
    <cfRule type="duplicateValues" dxfId="8862" priority="9180"/>
  </conditionalFormatting>
  <conditionalFormatting sqref="Q404">
    <cfRule type="duplicateValues" dxfId="8861" priority="9179"/>
  </conditionalFormatting>
  <conditionalFormatting sqref="Q404">
    <cfRule type="duplicateValues" dxfId="8860" priority="9178"/>
  </conditionalFormatting>
  <conditionalFormatting sqref="Q404">
    <cfRule type="duplicateValues" dxfId="8859" priority="9177"/>
  </conditionalFormatting>
  <conditionalFormatting sqref="R404">
    <cfRule type="duplicateValues" dxfId="8858" priority="9176"/>
  </conditionalFormatting>
  <conditionalFormatting sqref="R404">
    <cfRule type="duplicateValues" dxfId="8857" priority="9173"/>
    <cfRule type="duplicateValues" dxfId="8856" priority="9174"/>
    <cfRule type="duplicateValues" dxfId="8855" priority="9175"/>
  </conditionalFormatting>
  <conditionalFormatting sqref="R404">
    <cfRule type="duplicateValues" dxfId="8854" priority="9172"/>
  </conditionalFormatting>
  <conditionalFormatting sqref="R404">
    <cfRule type="duplicateValues" dxfId="8853" priority="9169"/>
    <cfRule type="duplicateValues" dxfId="8852" priority="9170"/>
    <cfRule type="duplicateValues" dxfId="8851" priority="9171"/>
  </conditionalFormatting>
  <conditionalFormatting sqref="Q404">
    <cfRule type="duplicateValues" dxfId="8850" priority="9168"/>
  </conditionalFormatting>
  <conditionalFormatting sqref="Q405:R405">
    <cfRule type="duplicateValues" dxfId="8849" priority="9167"/>
  </conditionalFormatting>
  <conditionalFormatting sqref="Q405:R405">
    <cfRule type="duplicateValues" dxfId="8848" priority="9164"/>
    <cfRule type="duplicateValues" dxfId="8847" priority="9165"/>
    <cfRule type="duplicateValues" dxfId="8846" priority="9166"/>
  </conditionalFormatting>
  <conditionalFormatting sqref="R405">
    <cfRule type="duplicateValues" dxfId="8845" priority="9163"/>
  </conditionalFormatting>
  <conditionalFormatting sqref="Q405:R405">
    <cfRule type="duplicateValues" dxfId="8844" priority="9162"/>
  </conditionalFormatting>
  <conditionalFormatting sqref="Q405">
    <cfRule type="duplicateValues" dxfId="8843" priority="9161"/>
  </conditionalFormatting>
  <conditionalFormatting sqref="Q405">
    <cfRule type="duplicateValues" dxfId="8842" priority="9160"/>
  </conditionalFormatting>
  <conditionalFormatting sqref="Q405">
    <cfRule type="duplicateValues" dxfId="8841" priority="9159"/>
  </conditionalFormatting>
  <conditionalFormatting sqref="Q405">
    <cfRule type="duplicateValues" dxfId="8840" priority="9158"/>
  </conditionalFormatting>
  <conditionalFormatting sqref="R405">
    <cfRule type="duplicateValues" dxfId="8839" priority="9157"/>
  </conditionalFormatting>
  <conditionalFormatting sqref="Q405">
    <cfRule type="duplicateValues" dxfId="8838" priority="9155"/>
    <cfRule type="duplicateValues" dxfId="8837" priority="9156"/>
  </conditionalFormatting>
  <conditionalFormatting sqref="Q405">
    <cfRule type="duplicateValues" dxfId="8836" priority="9154"/>
  </conditionalFormatting>
  <conditionalFormatting sqref="Q405">
    <cfRule type="duplicateValues" dxfId="8835" priority="9153"/>
  </conditionalFormatting>
  <conditionalFormatting sqref="Q405">
    <cfRule type="duplicateValues" dxfId="8834" priority="9152"/>
  </conditionalFormatting>
  <conditionalFormatting sqref="Q405">
    <cfRule type="duplicateValues" dxfId="8833" priority="9151"/>
  </conditionalFormatting>
  <conditionalFormatting sqref="Q405">
    <cfRule type="duplicateValues" dxfId="8832" priority="9150"/>
  </conditionalFormatting>
  <conditionalFormatting sqref="Q405">
    <cfRule type="duplicateValues" dxfId="8831" priority="9149"/>
  </conditionalFormatting>
  <conditionalFormatting sqref="Q405">
    <cfRule type="duplicateValues" dxfId="8830" priority="9148"/>
  </conditionalFormatting>
  <conditionalFormatting sqref="Q405">
    <cfRule type="duplicateValues" dxfId="8829" priority="9147"/>
  </conditionalFormatting>
  <conditionalFormatting sqref="Q405">
    <cfRule type="duplicateValues" dxfId="8828" priority="9146"/>
  </conditionalFormatting>
  <conditionalFormatting sqref="Q405">
    <cfRule type="duplicateValues" dxfId="8827" priority="9145"/>
  </conditionalFormatting>
  <conditionalFormatting sqref="R405">
    <cfRule type="duplicateValues" dxfId="8826" priority="9144"/>
  </conditionalFormatting>
  <conditionalFormatting sqref="R405">
    <cfRule type="duplicateValues" dxfId="8825" priority="9141"/>
    <cfRule type="duplicateValues" dxfId="8824" priority="9142"/>
    <cfRule type="duplicateValues" dxfId="8823" priority="9143"/>
  </conditionalFormatting>
  <conditionalFormatting sqref="R405">
    <cfRule type="duplicateValues" dxfId="8822" priority="9140"/>
  </conditionalFormatting>
  <conditionalFormatting sqref="R405">
    <cfRule type="duplicateValues" dxfId="8821" priority="9137"/>
    <cfRule type="duplicateValues" dxfId="8820" priority="9138"/>
    <cfRule type="duplicateValues" dxfId="8819" priority="9139"/>
  </conditionalFormatting>
  <conditionalFormatting sqref="Q405">
    <cfRule type="duplicateValues" dxfId="8818" priority="9136"/>
  </conditionalFormatting>
  <conditionalFormatting sqref="Q406:R406">
    <cfRule type="duplicateValues" dxfId="8817" priority="9135"/>
  </conditionalFormatting>
  <conditionalFormatting sqref="Q406:R406">
    <cfRule type="duplicateValues" dxfId="8816" priority="9132"/>
    <cfRule type="duplicateValues" dxfId="8815" priority="9133"/>
    <cfRule type="duplicateValues" dxfId="8814" priority="9134"/>
  </conditionalFormatting>
  <conditionalFormatting sqref="R406">
    <cfRule type="duplicateValues" dxfId="8813" priority="9131"/>
  </conditionalFormatting>
  <conditionalFormatting sqref="Q406:R406">
    <cfRule type="duplicateValues" dxfId="8812" priority="9130"/>
  </conditionalFormatting>
  <conditionalFormatting sqref="Q406">
    <cfRule type="duplicateValues" dxfId="8811" priority="9129"/>
  </conditionalFormatting>
  <conditionalFormatting sqref="Q406">
    <cfRule type="duplicateValues" dxfId="8810" priority="9128"/>
  </conditionalFormatting>
  <conditionalFormatting sqref="Q406">
    <cfRule type="duplicateValues" dxfId="8809" priority="9127"/>
  </conditionalFormatting>
  <conditionalFormatting sqref="Q406">
    <cfRule type="duplicateValues" dxfId="8808" priority="9126"/>
  </conditionalFormatting>
  <conditionalFormatting sqref="R406">
    <cfRule type="duplicateValues" dxfId="8807" priority="9125"/>
  </conditionalFormatting>
  <conditionalFormatting sqref="Q406">
    <cfRule type="duplicateValues" dxfId="8806" priority="9123"/>
    <cfRule type="duplicateValues" dxfId="8805" priority="9124"/>
  </conditionalFormatting>
  <conditionalFormatting sqref="Q406">
    <cfRule type="duplicateValues" dxfId="8804" priority="9122"/>
  </conditionalFormatting>
  <conditionalFormatting sqref="Q406">
    <cfRule type="duplicateValues" dxfId="8803" priority="9121"/>
  </conditionalFormatting>
  <conditionalFormatting sqref="Q406">
    <cfRule type="duplicateValues" dxfId="8802" priority="9120"/>
  </conditionalFormatting>
  <conditionalFormatting sqref="Q406">
    <cfRule type="duplicateValues" dxfId="8801" priority="9119"/>
  </conditionalFormatting>
  <conditionalFormatting sqref="Q406">
    <cfRule type="duplicateValues" dxfId="8800" priority="9118"/>
  </conditionalFormatting>
  <conditionalFormatting sqref="Q406">
    <cfRule type="duplicateValues" dxfId="8799" priority="9117"/>
  </conditionalFormatting>
  <conditionalFormatting sqref="Q406">
    <cfRule type="duplicateValues" dxfId="8798" priority="9116"/>
  </conditionalFormatting>
  <conditionalFormatting sqref="Q406">
    <cfRule type="duplicateValues" dxfId="8797" priority="9115"/>
  </conditionalFormatting>
  <conditionalFormatting sqref="Q406">
    <cfRule type="duplicateValues" dxfId="8796" priority="9114"/>
  </conditionalFormatting>
  <conditionalFormatting sqref="Q406">
    <cfRule type="duplicateValues" dxfId="8795" priority="9113"/>
  </conditionalFormatting>
  <conditionalFormatting sqref="R406">
    <cfRule type="duplicateValues" dxfId="8794" priority="9112"/>
  </conditionalFormatting>
  <conditionalFormatting sqref="R406">
    <cfRule type="duplicateValues" dxfId="8793" priority="9109"/>
    <cfRule type="duplicateValues" dxfId="8792" priority="9110"/>
    <cfRule type="duplicateValues" dxfId="8791" priority="9111"/>
  </conditionalFormatting>
  <conditionalFormatting sqref="R406">
    <cfRule type="duplicateValues" dxfId="8790" priority="9108"/>
  </conditionalFormatting>
  <conditionalFormatting sqref="R406">
    <cfRule type="duplicateValues" dxfId="8789" priority="9105"/>
    <cfRule type="duplicateValues" dxfId="8788" priority="9106"/>
    <cfRule type="duplicateValues" dxfId="8787" priority="9107"/>
  </conditionalFormatting>
  <conditionalFormatting sqref="Q406">
    <cfRule type="duplicateValues" dxfId="8786" priority="9104"/>
  </conditionalFormatting>
  <conditionalFormatting sqref="Q407">
    <cfRule type="duplicateValues" dxfId="8785" priority="9103"/>
  </conditionalFormatting>
  <conditionalFormatting sqref="Q407:R407">
    <cfRule type="duplicateValues" dxfId="8784" priority="9102"/>
  </conditionalFormatting>
  <conditionalFormatting sqref="Q407:R407">
    <cfRule type="duplicateValues" dxfId="8783" priority="9099"/>
    <cfRule type="duplicateValues" dxfId="8782" priority="9100"/>
    <cfRule type="duplicateValues" dxfId="8781" priority="9101"/>
  </conditionalFormatting>
  <conditionalFormatting sqref="R407">
    <cfRule type="duplicateValues" dxfId="8780" priority="9098"/>
  </conditionalFormatting>
  <conditionalFormatting sqref="Q407">
    <cfRule type="duplicateValues" dxfId="8779" priority="9096"/>
    <cfRule type="duplicateValues" dxfId="8778" priority="9097"/>
  </conditionalFormatting>
  <conditionalFormatting sqref="Q407">
    <cfRule type="duplicateValues" dxfId="8777" priority="9093"/>
    <cfRule type="duplicateValues" dxfId="8776" priority="9094"/>
    <cfRule type="duplicateValues" dxfId="8775" priority="9095"/>
  </conditionalFormatting>
  <conditionalFormatting sqref="R407">
    <cfRule type="duplicateValues" dxfId="8774" priority="9090"/>
    <cfRule type="duplicateValues" dxfId="8773" priority="9091"/>
    <cfRule type="duplicateValues" dxfId="8772" priority="9092"/>
  </conditionalFormatting>
  <conditionalFormatting sqref="Q407:Q408">
    <cfRule type="duplicateValues" dxfId="8771" priority="9089"/>
  </conditionalFormatting>
  <conditionalFormatting sqref="Q408:R408">
    <cfRule type="duplicateValues" dxfId="8770" priority="9088"/>
  </conditionalFormatting>
  <conditionalFormatting sqref="Q408:R408">
    <cfRule type="duplicateValues" dxfId="8769" priority="9085"/>
    <cfRule type="duplicateValues" dxfId="8768" priority="9086"/>
    <cfRule type="duplicateValues" dxfId="8767" priority="9087"/>
  </conditionalFormatting>
  <conditionalFormatting sqref="R408">
    <cfRule type="duplicateValues" dxfId="8766" priority="9084"/>
  </conditionalFormatting>
  <conditionalFormatting sqref="Q408:R408">
    <cfRule type="duplicateValues" dxfId="8765" priority="9083"/>
  </conditionalFormatting>
  <conditionalFormatting sqref="Q408">
    <cfRule type="duplicateValues" dxfId="8764" priority="9082"/>
  </conditionalFormatting>
  <conditionalFormatting sqref="Q408">
    <cfRule type="duplicateValues" dxfId="8763" priority="9081"/>
  </conditionalFormatting>
  <conditionalFormatting sqref="Q408">
    <cfRule type="duplicateValues" dxfId="8762" priority="9080"/>
  </conditionalFormatting>
  <conditionalFormatting sqref="Q408">
    <cfRule type="duplicateValues" dxfId="8761" priority="9079"/>
  </conditionalFormatting>
  <conditionalFormatting sqref="R408">
    <cfRule type="duplicateValues" dxfId="8760" priority="9078"/>
  </conditionalFormatting>
  <conditionalFormatting sqref="Q408">
    <cfRule type="duplicateValues" dxfId="8759" priority="9076"/>
    <cfRule type="duplicateValues" dxfId="8758" priority="9077"/>
  </conditionalFormatting>
  <conditionalFormatting sqref="Q408">
    <cfRule type="duplicateValues" dxfId="8757" priority="9075"/>
  </conditionalFormatting>
  <conditionalFormatting sqref="Q408">
    <cfRule type="duplicateValues" dxfId="8756" priority="9074"/>
  </conditionalFormatting>
  <conditionalFormatting sqref="Q408">
    <cfRule type="duplicateValues" dxfId="8755" priority="9073"/>
  </conditionalFormatting>
  <conditionalFormatting sqref="Q408">
    <cfRule type="duplicateValues" dxfId="8754" priority="9072"/>
  </conditionalFormatting>
  <conditionalFormatting sqref="Q408">
    <cfRule type="duplicateValues" dxfId="8753" priority="9071"/>
  </conditionalFormatting>
  <conditionalFormatting sqref="Q408">
    <cfRule type="duplicateValues" dxfId="8752" priority="9070"/>
  </conditionalFormatting>
  <conditionalFormatting sqref="Q408">
    <cfRule type="duplicateValues" dxfId="8751" priority="9069"/>
  </conditionalFormatting>
  <conditionalFormatting sqref="Q408">
    <cfRule type="duplicateValues" dxfId="8750" priority="9068"/>
  </conditionalFormatting>
  <conditionalFormatting sqref="Q408">
    <cfRule type="duplicateValues" dxfId="8749" priority="9067"/>
  </conditionalFormatting>
  <conditionalFormatting sqref="R408">
    <cfRule type="duplicateValues" dxfId="8748" priority="9066"/>
  </conditionalFormatting>
  <conditionalFormatting sqref="R408">
    <cfRule type="duplicateValues" dxfId="8747" priority="9063"/>
    <cfRule type="duplicateValues" dxfId="8746" priority="9064"/>
    <cfRule type="duplicateValues" dxfId="8745" priority="9065"/>
  </conditionalFormatting>
  <conditionalFormatting sqref="R408">
    <cfRule type="duplicateValues" dxfId="8744" priority="9062"/>
  </conditionalFormatting>
  <conditionalFormatting sqref="R408">
    <cfRule type="duplicateValues" dxfId="8743" priority="9059"/>
    <cfRule type="duplicateValues" dxfId="8742" priority="9060"/>
    <cfRule type="duplicateValues" dxfId="8741" priority="9061"/>
  </conditionalFormatting>
  <conditionalFormatting sqref="Q408">
    <cfRule type="duplicateValues" dxfId="8740" priority="9058"/>
  </conditionalFormatting>
  <conditionalFormatting sqref="Q409:R409">
    <cfRule type="duplicateValues" dxfId="8739" priority="9057"/>
  </conditionalFormatting>
  <conditionalFormatting sqref="Q409:R409">
    <cfRule type="duplicateValues" dxfId="8738" priority="9054"/>
    <cfRule type="duplicateValues" dxfId="8737" priority="9055"/>
    <cfRule type="duplicateValues" dxfId="8736" priority="9056"/>
  </conditionalFormatting>
  <conditionalFormatting sqref="R409">
    <cfRule type="duplicateValues" dxfId="8735" priority="9053"/>
  </conditionalFormatting>
  <conditionalFormatting sqref="Q409:R409">
    <cfRule type="duplicateValues" dxfId="8734" priority="9052"/>
  </conditionalFormatting>
  <conditionalFormatting sqref="Q409">
    <cfRule type="duplicateValues" dxfId="8733" priority="9051"/>
  </conditionalFormatting>
  <conditionalFormatting sqref="Q409">
    <cfRule type="duplicateValues" dxfId="8732" priority="9050"/>
  </conditionalFormatting>
  <conditionalFormatting sqref="Q409">
    <cfRule type="duplicateValues" dxfId="8731" priority="9049"/>
  </conditionalFormatting>
  <conditionalFormatting sqref="Q409">
    <cfRule type="duplicateValues" dxfId="8730" priority="9048"/>
  </conditionalFormatting>
  <conditionalFormatting sqref="R409">
    <cfRule type="duplicateValues" dxfId="8729" priority="9047"/>
  </conditionalFormatting>
  <conditionalFormatting sqref="Q409">
    <cfRule type="duplicateValues" dxfId="8728" priority="9045"/>
    <cfRule type="duplicateValues" dxfId="8727" priority="9046"/>
  </conditionalFormatting>
  <conditionalFormatting sqref="Q409">
    <cfRule type="duplicateValues" dxfId="8726" priority="9044"/>
  </conditionalFormatting>
  <conditionalFormatting sqref="Q409">
    <cfRule type="duplicateValues" dxfId="8725" priority="9043"/>
  </conditionalFormatting>
  <conditionalFormatting sqref="Q409">
    <cfRule type="duplicateValues" dxfId="8724" priority="9042"/>
  </conditionalFormatting>
  <conditionalFormatting sqref="Q409">
    <cfRule type="duplicateValues" dxfId="8723" priority="9041"/>
  </conditionalFormatting>
  <conditionalFormatting sqref="Q409">
    <cfRule type="duplicateValues" dxfId="8722" priority="9040"/>
  </conditionalFormatting>
  <conditionalFormatting sqref="Q409">
    <cfRule type="duplicateValues" dxfId="8721" priority="9039"/>
  </conditionalFormatting>
  <conditionalFormatting sqref="Q409">
    <cfRule type="duplicateValues" dxfId="8720" priority="9038"/>
  </conditionalFormatting>
  <conditionalFormatting sqref="Q409">
    <cfRule type="duplicateValues" dxfId="8719" priority="9037"/>
  </conditionalFormatting>
  <conditionalFormatting sqref="Q409:R409">
    <cfRule type="duplicateValues" dxfId="8718" priority="9036"/>
  </conditionalFormatting>
  <conditionalFormatting sqref="Q409">
    <cfRule type="duplicateValues" dxfId="8717" priority="9035"/>
  </conditionalFormatting>
  <conditionalFormatting sqref="Q409:R409">
    <cfRule type="duplicateValues" dxfId="8716" priority="9034"/>
  </conditionalFormatting>
  <conditionalFormatting sqref="R409">
    <cfRule type="duplicateValues" dxfId="8715" priority="9033"/>
  </conditionalFormatting>
  <conditionalFormatting sqref="Q409">
    <cfRule type="duplicateValues" dxfId="8714" priority="9032"/>
  </conditionalFormatting>
  <conditionalFormatting sqref="Q410:R410">
    <cfRule type="duplicateValues" dxfId="8713" priority="9029"/>
    <cfRule type="duplicateValues" dxfId="8712" priority="9030"/>
    <cfRule type="duplicateValues" dxfId="8711" priority="9031"/>
  </conditionalFormatting>
  <conditionalFormatting sqref="R410">
    <cfRule type="duplicateValues" dxfId="8710" priority="9028"/>
  </conditionalFormatting>
  <conditionalFormatting sqref="Q410:R410">
    <cfRule type="duplicateValues" dxfId="8709" priority="9027"/>
  </conditionalFormatting>
  <conditionalFormatting sqref="Q410">
    <cfRule type="duplicateValues" dxfId="8708" priority="9026"/>
  </conditionalFormatting>
  <conditionalFormatting sqref="Q410">
    <cfRule type="duplicateValues" dxfId="8707" priority="9025"/>
  </conditionalFormatting>
  <conditionalFormatting sqref="Q410">
    <cfRule type="duplicateValues" dxfId="8706" priority="9024"/>
  </conditionalFormatting>
  <conditionalFormatting sqref="Q410">
    <cfRule type="duplicateValues" dxfId="8705" priority="9023"/>
  </conditionalFormatting>
  <conditionalFormatting sqref="R410">
    <cfRule type="duplicateValues" dxfId="8704" priority="9022"/>
  </conditionalFormatting>
  <conditionalFormatting sqref="Q410">
    <cfRule type="duplicateValues" dxfId="8703" priority="9020"/>
    <cfRule type="duplicateValues" dxfId="8702" priority="9021"/>
  </conditionalFormatting>
  <conditionalFormatting sqref="Q410">
    <cfRule type="duplicateValues" dxfId="8701" priority="9019"/>
  </conditionalFormatting>
  <conditionalFormatting sqref="Q410">
    <cfRule type="duplicateValues" dxfId="8700" priority="9018"/>
  </conditionalFormatting>
  <conditionalFormatting sqref="Q410">
    <cfRule type="duplicateValues" dxfId="8699" priority="9017"/>
  </conditionalFormatting>
  <conditionalFormatting sqref="Q410">
    <cfRule type="duplicateValues" dxfId="8698" priority="9016"/>
  </conditionalFormatting>
  <conditionalFormatting sqref="Q410">
    <cfRule type="duplicateValues" dxfId="8697" priority="9015"/>
  </conditionalFormatting>
  <conditionalFormatting sqref="Q410">
    <cfRule type="duplicateValues" dxfId="8696" priority="9014"/>
  </conditionalFormatting>
  <conditionalFormatting sqref="Q410">
    <cfRule type="duplicateValues" dxfId="8695" priority="9013"/>
  </conditionalFormatting>
  <conditionalFormatting sqref="Q410">
    <cfRule type="duplicateValues" dxfId="8694" priority="9012"/>
  </conditionalFormatting>
  <conditionalFormatting sqref="Q410:R410">
    <cfRule type="duplicateValues" dxfId="8693" priority="9011"/>
  </conditionalFormatting>
  <conditionalFormatting sqref="Q410">
    <cfRule type="duplicateValues" dxfId="8692" priority="9010"/>
  </conditionalFormatting>
  <conditionalFormatting sqref="R410">
    <cfRule type="duplicateValues" dxfId="8691" priority="9009"/>
  </conditionalFormatting>
  <conditionalFormatting sqref="Q410">
    <cfRule type="duplicateValues" dxfId="8690" priority="9008"/>
  </conditionalFormatting>
  <conditionalFormatting sqref="Q411">
    <cfRule type="duplicateValues" dxfId="8689" priority="8993"/>
  </conditionalFormatting>
  <conditionalFormatting sqref="Q411">
    <cfRule type="duplicateValues" dxfId="8688" priority="8992"/>
  </conditionalFormatting>
  <conditionalFormatting sqref="Q411">
    <cfRule type="duplicateValues" dxfId="8687" priority="8991"/>
  </conditionalFormatting>
  <conditionalFormatting sqref="Q411:R411">
    <cfRule type="duplicateValues" dxfId="8686" priority="8994"/>
  </conditionalFormatting>
  <conditionalFormatting sqref="Q411:R411">
    <cfRule type="duplicateValues" dxfId="8685" priority="8995"/>
    <cfRule type="duplicateValues" dxfId="8684" priority="8996"/>
    <cfRule type="duplicateValues" dxfId="8683" priority="8997"/>
  </conditionalFormatting>
  <conditionalFormatting sqref="R411">
    <cfRule type="duplicateValues" dxfId="8682" priority="8998"/>
  </conditionalFormatting>
  <conditionalFormatting sqref="Q411">
    <cfRule type="duplicateValues" dxfId="8681" priority="8999"/>
  </conditionalFormatting>
  <conditionalFormatting sqref="Q411">
    <cfRule type="duplicateValues" dxfId="8680" priority="9000"/>
    <cfRule type="duplicateValues" dxfId="8679" priority="9001"/>
    <cfRule type="duplicateValues" dxfId="8678" priority="9002"/>
  </conditionalFormatting>
  <conditionalFormatting sqref="R411">
    <cfRule type="duplicateValues" dxfId="8677" priority="9003"/>
    <cfRule type="duplicateValues" dxfId="8676" priority="9004"/>
    <cfRule type="duplicateValues" dxfId="8675" priority="9005"/>
  </conditionalFormatting>
  <conditionalFormatting sqref="Q411">
    <cfRule type="duplicateValues" dxfId="8674" priority="9006"/>
    <cfRule type="duplicateValues" dxfId="8673" priority="9007"/>
  </conditionalFormatting>
  <conditionalFormatting sqref="Q411">
    <cfRule type="duplicateValues" dxfId="8672" priority="8990"/>
  </conditionalFormatting>
  <conditionalFormatting sqref="Q411">
    <cfRule type="duplicateValues" dxfId="8671" priority="8989"/>
  </conditionalFormatting>
  <conditionalFormatting sqref="Q412:R412">
    <cfRule type="duplicateValues" dxfId="8670" priority="8988"/>
  </conditionalFormatting>
  <conditionalFormatting sqref="Q412:R412">
    <cfRule type="duplicateValues" dxfId="8669" priority="8985"/>
    <cfRule type="duplicateValues" dxfId="8668" priority="8986"/>
    <cfRule type="duplicateValues" dxfId="8667" priority="8987"/>
  </conditionalFormatting>
  <conditionalFormatting sqref="R412">
    <cfRule type="duplicateValues" dxfId="8666" priority="8984"/>
  </conditionalFormatting>
  <conditionalFormatting sqref="Q412:R412">
    <cfRule type="duplicateValues" dxfId="8665" priority="8983"/>
  </conditionalFormatting>
  <conditionalFormatting sqref="Q412">
    <cfRule type="duplicateValues" dxfId="8664" priority="8982"/>
  </conditionalFormatting>
  <conditionalFormatting sqref="Q412">
    <cfRule type="duplicateValues" dxfId="8663" priority="8981"/>
  </conditionalFormatting>
  <conditionalFormatting sqref="Q412">
    <cfRule type="duplicateValues" dxfId="8662" priority="8980"/>
  </conditionalFormatting>
  <conditionalFormatting sqref="Q412">
    <cfRule type="duplicateValues" dxfId="8661" priority="8979"/>
  </conditionalFormatting>
  <conditionalFormatting sqref="R412">
    <cfRule type="duplicateValues" dxfId="8660" priority="8978"/>
  </conditionalFormatting>
  <conditionalFormatting sqref="Q412">
    <cfRule type="duplicateValues" dxfId="8659" priority="8976"/>
    <cfRule type="duplicateValues" dxfId="8658" priority="8977"/>
  </conditionalFormatting>
  <conditionalFormatting sqref="Q412">
    <cfRule type="duplicateValues" dxfId="8657" priority="8975"/>
  </conditionalFormatting>
  <conditionalFormatting sqref="Q412">
    <cfRule type="duplicateValues" dxfId="8656" priority="8974"/>
  </conditionalFormatting>
  <conditionalFormatting sqref="Q412">
    <cfRule type="duplicateValues" dxfId="8655" priority="8973"/>
  </conditionalFormatting>
  <conditionalFormatting sqref="Q412">
    <cfRule type="duplicateValues" dxfId="8654" priority="8972"/>
  </conditionalFormatting>
  <conditionalFormatting sqref="Q412">
    <cfRule type="duplicateValues" dxfId="8653" priority="8971"/>
  </conditionalFormatting>
  <conditionalFormatting sqref="Q412">
    <cfRule type="duplicateValues" dxfId="8652" priority="8970"/>
  </conditionalFormatting>
  <conditionalFormatting sqref="Q412">
    <cfRule type="duplicateValues" dxfId="8651" priority="8969"/>
  </conditionalFormatting>
  <conditionalFormatting sqref="Q412">
    <cfRule type="duplicateValues" dxfId="8650" priority="8968"/>
  </conditionalFormatting>
  <conditionalFormatting sqref="Q412">
    <cfRule type="duplicateValues" dxfId="8649" priority="8967"/>
  </conditionalFormatting>
  <conditionalFormatting sqref="Q412">
    <cfRule type="duplicateValues" dxfId="8648" priority="8964"/>
    <cfRule type="duplicateValues" dxfId="8647" priority="8965"/>
    <cfRule type="duplicateValues" dxfId="8646" priority="8966"/>
  </conditionalFormatting>
  <conditionalFormatting sqref="R412">
    <cfRule type="duplicateValues" dxfId="8645" priority="8963"/>
  </conditionalFormatting>
  <conditionalFormatting sqref="R412">
    <cfRule type="duplicateValues" dxfId="8644" priority="8960"/>
    <cfRule type="duplicateValues" dxfId="8643" priority="8961"/>
    <cfRule type="duplicateValues" dxfId="8642" priority="8962"/>
  </conditionalFormatting>
  <conditionalFormatting sqref="Q412">
    <cfRule type="duplicateValues" dxfId="8641" priority="8959"/>
  </conditionalFormatting>
  <conditionalFormatting sqref="R413">
    <cfRule type="duplicateValues" dxfId="8640" priority="8958"/>
  </conditionalFormatting>
  <conditionalFormatting sqref="Q413">
    <cfRule type="duplicateValues" dxfId="8639" priority="8956"/>
    <cfRule type="duplicateValues" dxfId="8638" priority="8957"/>
  </conditionalFormatting>
  <conditionalFormatting sqref="Q413">
    <cfRule type="duplicateValues" dxfId="8637" priority="8955"/>
  </conditionalFormatting>
  <conditionalFormatting sqref="Q413">
    <cfRule type="duplicateValues" dxfId="8636" priority="8954"/>
  </conditionalFormatting>
  <conditionalFormatting sqref="Q413">
    <cfRule type="duplicateValues" dxfId="8635" priority="8953"/>
  </conditionalFormatting>
  <conditionalFormatting sqref="Q413">
    <cfRule type="duplicateValues" dxfId="8634" priority="8952"/>
  </conditionalFormatting>
  <conditionalFormatting sqref="Q413">
    <cfRule type="duplicateValues" dxfId="8633" priority="8951"/>
  </conditionalFormatting>
  <conditionalFormatting sqref="Q413">
    <cfRule type="duplicateValues" dxfId="8632" priority="8950"/>
  </conditionalFormatting>
  <conditionalFormatting sqref="Q413:R413">
    <cfRule type="duplicateValues" dxfId="8631" priority="8949"/>
  </conditionalFormatting>
  <conditionalFormatting sqref="Q413">
    <cfRule type="duplicateValues" dxfId="8630" priority="8948"/>
  </conditionalFormatting>
  <conditionalFormatting sqref="R413">
    <cfRule type="duplicateValues" dxfId="8629" priority="8947"/>
  </conditionalFormatting>
  <conditionalFormatting sqref="Q413">
    <cfRule type="duplicateValues" dxfId="8628" priority="8946"/>
  </conditionalFormatting>
  <conditionalFormatting sqref="Q413">
    <cfRule type="duplicateValues" dxfId="8627" priority="8945"/>
  </conditionalFormatting>
  <conditionalFormatting sqref="Q413:R413">
    <cfRule type="duplicateValues" dxfId="8626" priority="8944"/>
  </conditionalFormatting>
  <conditionalFormatting sqref="Q413:R413">
    <cfRule type="duplicateValues" dxfId="8625" priority="8941"/>
    <cfRule type="duplicateValues" dxfId="8624" priority="8942"/>
    <cfRule type="duplicateValues" dxfId="8623" priority="8943"/>
  </conditionalFormatting>
  <conditionalFormatting sqref="R413">
    <cfRule type="duplicateValues" dxfId="8622" priority="8940"/>
  </conditionalFormatting>
  <conditionalFormatting sqref="Q413">
    <cfRule type="duplicateValues" dxfId="8621" priority="8939"/>
  </conditionalFormatting>
  <conditionalFormatting sqref="Q413">
    <cfRule type="duplicateValues" dxfId="8620" priority="8936"/>
    <cfRule type="duplicateValues" dxfId="8619" priority="8937"/>
    <cfRule type="duplicateValues" dxfId="8618" priority="8938"/>
  </conditionalFormatting>
  <conditionalFormatting sqref="R413">
    <cfRule type="duplicateValues" dxfId="8617" priority="8933"/>
    <cfRule type="duplicateValues" dxfId="8616" priority="8934"/>
    <cfRule type="duplicateValues" dxfId="8615" priority="8935"/>
  </conditionalFormatting>
  <conditionalFormatting sqref="Q413">
    <cfRule type="duplicateValues" dxfId="8614" priority="8932"/>
  </conditionalFormatting>
  <conditionalFormatting sqref="R414">
    <cfRule type="duplicateValues" dxfId="8613" priority="8931"/>
  </conditionalFormatting>
  <conditionalFormatting sqref="Q414">
    <cfRule type="duplicateValues" dxfId="8612" priority="8929"/>
    <cfRule type="duplicateValues" dxfId="8611" priority="8930"/>
  </conditionalFormatting>
  <conditionalFormatting sqref="Q414">
    <cfRule type="duplicateValues" dxfId="8610" priority="8928"/>
  </conditionalFormatting>
  <conditionalFormatting sqref="Q414">
    <cfRule type="duplicateValues" dxfId="8609" priority="8927"/>
  </conditionalFormatting>
  <conditionalFormatting sqref="Q414">
    <cfRule type="duplicateValues" dxfId="8608" priority="8926"/>
  </conditionalFormatting>
  <conditionalFormatting sqref="Q414">
    <cfRule type="duplicateValues" dxfId="8607" priority="8925"/>
  </conditionalFormatting>
  <conditionalFormatting sqref="Q414">
    <cfRule type="duplicateValues" dxfId="8606" priority="8924"/>
  </conditionalFormatting>
  <conditionalFormatting sqref="Q414">
    <cfRule type="duplicateValues" dxfId="8605" priority="8923"/>
  </conditionalFormatting>
  <conditionalFormatting sqref="Q414">
    <cfRule type="duplicateValues" dxfId="8604" priority="8922"/>
  </conditionalFormatting>
  <conditionalFormatting sqref="Q414">
    <cfRule type="duplicateValues" dxfId="8603" priority="8921"/>
  </conditionalFormatting>
  <conditionalFormatting sqref="Q414:R414">
    <cfRule type="duplicateValues" dxfId="8602" priority="8920"/>
  </conditionalFormatting>
  <conditionalFormatting sqref="Q414:R414">
    <cfRule type="duplicateValues" dxfId="8601" priority="8917"/>
    <cfRule type="duplicateValues" dxfId="8600" priority="8918"/>
    <cfRule type="duplicateValues" dxfId="8599" priority="8919"/>
  </conditionalFormatting>
  <conditionalFormatting sqref="R414">
    <cfRule type="duplicateValues" dxfId="8598" priority="8916"/>
  </conditionalFormatting>
  <conditionalFormatting sqref="Q414">
    <cfRule type="duplicateValues" dxfId="8597" priority="8915"/>
  </conditionalFormatting>
  <conditionalFormatting sqref="Q414">
    <cfRule type="duplicateValues" dxfId="8596" priority="8912"/>
    <cfRule type="duplicateValues" dxfId="8595" priority="8913"/>
    <cfRule type="duplicateValues" dxfId="8594" priority="8914"/>
  </conditionalFormatting>
  <conditionalFormatting sqref="R414">
    <cfRule type="duplicateValues" dxfId="8593" priority="8909"/>
    <cfRule type="duplicateValues" dxfId="8592" priority="8910"/>
    <cfRule type="duplicateValues" dxfId="8591" priority="8911"/>
  </conditionalFormatting>
  <conditionalFormatting sqref="Q414">
    <cfRule type="duplicateValues" dxfId="8590" priority="8908"/>
  </conditionalFormatting>
  <conditionalFormatting sqref="Q415">
    <cfRule type="duplicateValues" dxfId="8589" priority="8906"/>
    <cfRule type="duplicateValues" dxfId="8588" priority="8907"/>
  </conditionalFormatting>
  <conditionalFormatting sqref="Q415">
    <cfRule type="duplicateValues" dxfId="8587" priority="8905"/>
  </conditionalFormatting>
  <conditionalFormatting sqref="Q415">
    <cfRule type="duplicateValues" dxfId="8586" priority="8904"/>
  </conditionalFormatting>
  <conditionalFormatting sqref="Q415">
    <cfRule type="duplicateValues" dxfId="8585" priority="8903"/>
  </conditionalFormatting>
  <conditionalFormatting sqref="Q415">
    <cfRule type="duplicateValues" dxfId="8584" priority="8902"/>
  </conditionalFormatting>
  <conditionalFormatting sqref="Q415">
    <cfRule type="duplicateValues" dxfId="8583" priority="8901"/>
  </conditionalFormatting>
  <conditionalFormatting sqref="Q415">
    <cfRule type="duplicateValues" dxfId="8582" priority="8900"/>
  </conditionalFormatting>
  <conditionalFormatting sqref="Q415">
    <cfRule type="duplicateValues" dxfId="8581" priority="8899"/>
  </conditionalFormatting>
  <conditionalFormatting sqref="Q415">
    <cfRule type="duplicateValues" dxfId="8580" priority="8898"/>
  </conditionalFormatting>
  <conditionalFormatting sqref="Q415:R415">
    <cfRule type="duplicateValues" dxfId="8579" priority="8897"/>
  </conditionalFormatting>
  <conditionalFormatting sqref="Q415:R415">
    <cfRule type="duplicateValues" dxfId="8578" priority="8894"/>
    <cfRule type="duplicateValues" dxfId="8577" priority="8895"/>
    <cfRule type="duplicateValues" dxfId="8576" priority="8896"/>
  </conditionalFormatting>
  <conditionalFormatting sqref="R415">
    <cfRule type="duplicateValues" dxfId="8575" priority="8893"/>
  </conditionalFormatting>
  <conditionalFormatting sqref="Q415">
    <cfRule type="duplicateValues" dxfId="8574" priority="8892"/>
  </conditionalFormatting>
  <conditionalFormatting sqref="Q415">
    <cfRule type="duplicateValues" dxfId="8573" priority="8889"/>
    <cfRule type="duplicateValues" dxfId="8572" priority="8890"/>
    <cfRule type="duplicateValues" dxfId="8571" priority="8891"/>
  </conditionalFormatting>
  <conditionalFormatting sqref="R415">
    <cfRule type="duplicateValues" dxfId="8570" priority="8886"/>
    <cfRule type="duplicateValues" dxfId="8569" priority="8887"/>
    <cfRule type="duplicateValues" dxfId="8568" priority="8888"/>
  </conditionalFormatting>
  <conditionalFormatting sqref="Q415">
    <cfRule type="duplicateValues" dxfId="8567" priority="8885"/>
  </conditionalFormatting>
  <conditionalFormatting sqref="Q416">
    <cfRule type="duplicateValues" dxfId="8566" priority="8884"/>
  </conditionalFormatting>
  <conditionalFormatting sqref="Q416">
    <cfRule type="duplicateValues" dxfId="8565" priority="8883"/>
  </conditionalFormatting>
  <conditionalFormatting sqref="Q416">
    <cfRule type="duplicateValues" dxfId="8564" priority="8882"/>
  </conditionalFormatting>
  <conditionalFormatting sqref="Q416">
    <cfRule type="duplicateValues" dxfId="8563" priority="8881"/>
  </conditionalFormatting>
  <conditionalFormatting sqref="Q416">
    <cfRule type="duplicateValues" dxfId="8562" priority="8880"/>
  </conditionalFormatting>
  <conditionalFormatting sqref="Q416">
    <cfRule type="duplicateValues" dxfId="8561" priority="8879"/>
  </conditionalFormatting>
  <conditionalFormatting sqref="Q416">
    <cfRule type="duplicateValues" dxfId="8560" priority="8878"/>
  </conditionalFormatting>
  <conditionalFormatting sqref="Q416:R416">
    <cfRule type="duplicateValues" dxfId="8559" priority="8877"/>
  </conditionalFormatting>
  <conditionalFormatting sqref="Q416:R416">
    <cfRule type="duplicateValues" dxfId="8558" priority="8874"/>
    <cfRule type="duplicateValues" dxfId="8557" priority="8875"/>
    <cfRule type="duplicateValues" dxfId="8556" priority="8876"/>
  </conditionalFormatting>
  <conditionalFormatting sqref="R416">
    <cfRule type="duplicateValues" dxfId="8555" priority="8873"/>
  </conditionalFormatting>
  <conditionalFormatting sqref="Q416">
    <cfRule type="duplicateValues" dxfId="8554" priority="8872"/>
  </conditionalFormatting>
  <conditionalFormatting sqref="Q416">
    <cfRule type="duplicateValues" dxfId="8553" priority="8869"/>
    <cfRule type="duplicateValues" dxfId="8552" priority="8870"/>
    <cfRule type="duplicateValues" dxfId="8551" priority="8871"/>
  </conditionalFormatting>
  <conditionalFormatting sqref="R416">
    <cfRule type="duplicateValues" dxfId="8550" priority="8866"/>
    <cfRule type="duplicateValues" dxfId="8549" priority="8867"/>
    <cfRule type="duplicateValues" dxfId="8548" priority="8868"/>
  </conditionalFormatting>
  <conditionalFormatting sqref="Q416">
    <cfRule type="duplicateValues" dxfId="8547" priority="8864"/>
    <cfRule type="duplicateValues" dxfId="8546" priority="8865"/>
  </conditionalFormatting>
  <conditionalFormatting sqref="Q416">
    <cfRule type="duplicateValues" dxfId="8545" priority="8863"/>
  </conditionalFormatting>
  <conditionalFormatting sqref="Q417">
    <cfRule type="duplicateValues" dxfId="8544" priority="8862"/>
  </conditionalFormatting>
  <conditionalFormatting sqref="Q417">
    <cfRule type="duplicateValues" dxfId="8543" priority="8861"/>
  </conditionalFormatting>
  <conditionalFormatting sqref="Q417">
    <cfRule type="duplicateValues" dxfId="8542" priority="8860"/>
  </conditionalFormatting>
  <conditionalFormatting sqref="Q417">
    <cfRule type="duplicateValues" dxfId="8541" priority="8859"/>
  </conditionalFormatting>
  <conditionalFormatting sqref="Q417">
    <cfRule type="duplicateValues" dxfId="8540" priority="8858"/>
  </conditionalFormatting>
  <conditionalFormatting sqref="Q417">
    <cfRule type="duplicateValues" dxfId="8539" priority="8857"/>
  </conditionalFormatting>
  <conditionalFormatting sqref="Q417">
    <cfRule type="duplicateValues" dxfId="8538" priority="8856"/>
  </conditionalFormatting>
  <conditionalFormatting sqref="Q417:R417">
    <cfRule type="duplicateValues" dxfId="8537" priority="8855"/>
  </conditionalFormatting>
  <conditionalFormatting sqref="Q417:R417">
    <cfRule type="duplicateValues" dxfId="8536" priority="8852"/>
    <cfRule type="duplicateValues" dxfId="8535" priority="8853"/>
    <cfRule type="duplicateValues" dxfId="8534" priority="8854"/>
  </conditionalFormatting>
  <conditionalFormatting sqref="R417">
    <cfRule type="duplicateValues" dxfId="8533" priority="8851"/>
  </conditionalFormatting>
  <conditionalFormatting sqref="Q417">
    <cfRule type="duplicateValues" dxfId="8532" priority="8850"/>
  </conditionalFormatting>
  <conditionalFormatting sqref="Q417">
    <cfRule type="duplicateValues" dxfId="8531" priority="8847"/>
    <cfRule type="duplicateValues" dxfId="8530" priority="8848"/>
    <cfRule type="duplicateValues" dxfId="8529" priority="8849"/>
  </conditionalFormatting>
  <conditionalFormatting sqref="R417">
    <cfRule type="duplicateValues" dxfId="8528" priority="8844"/>
    <cfRule type="duplicateValues" dxfId="8527" priority="8845"/>
    <cfRule type="duplicateValues" dxfId="8526" priority="8846"/>
  </conditionalFormatting>
  <conditionalFormatting sqref="Q417">
    <cfRule type="duplicateValues" dxfId="8525" priority="8842"/>
    <cfRule type="duplicateValues" dxfId="8524" priority="8843"/>
  </conditionalFormatting>
  <conditionalFormatting sqref="Q417">
    <cfRule type="duplicateValues" dxfId="8523" priority="8841"/>
  </conditionalFormatting>
  <conditionalFormatting sqref="Q418">
    <cfRule type="duplicateValues" dxfId="8522" priority="8840"/>
  </conditionalFormatting>
  <conditionalFormatting sqref="Q418">
    <cfRule type="duplicateValues" dxfId="8521" priority="8839"/>
  </conditionalFormatting>
  <conditionalFormatting sqref="Q418">
    <cfRule type="duplicateValues" dxfId="8520" priority="8838"/>
  </conditionalFormatting>
  <conditionalFormatting sqref="Q418">
    <cfRule type="duplicateValues" dxfId="8519" priority="8837"/>
  </conditionalFormatting>
  <conditionalFormatting sqref="Q418:R418">
    <cfRule type="duplicateValues" dxfId="8518" priority="8836"/>
  </conditionalFormatting>
  <conditionalFormatting sqref="Q418:R418">
    <cfRule type="duplicateValues" dxfId="8517" priority="8833"/>
    <cfRule type="duplicateValues" dxfId="8516" priority="8834"/>
    <cfRule type="duplicateValues" dxfId="8515" priority="8835"/>
  </conditionalFormatting>
  <conditionalFormatting sqref="R418">
    <cfRule type="duplicateValues" dxfId="8514" priority="8832"/>
  </conditionalFormatting>
  <conditionalFormatting sqref="Q418">
    <cfRule type="duplicateValues" dxfId="8513" priority="8831"/>
  </conditionalFormatting>
  <conditionalFormatting sqref="Q418">
    <cfRule type="duplicateValues" dxfId="8512" priority="8828"/>
    <cfRule type="duplicateValues" dxfId="8511" priority="8829"/>
    <cfRule type="duplicateValues" dxfId="8510" priority="8830"/>
  </conditionalFormatting>
  <conditionalFormatting sqref="R418">
    <cfRule type="duplicateValues" dxfId="8509" priority="8825"/>
    <cfRule type="duplicateValues" dxfId="8508" priority="8826"/>
    <cfRule type="duplicateValues" dxfId="8507" priority="8827"/>
  </conditionalFormatting>
  <conditionalFormatting sqref="Q418">
    <cfRule type="duplicateValues" dxfId="8506" priority="8823"/>
    <cfRule type="duplicateValues" dxfId="8505" priority="8824"/>
  </conditionalFormatting>
  <conditionalFormatting sqref="Q418">
    <cfRule type="duplicateValues" dxfId="8504" priority="8822"/>
  </conditionalFormatting>
  <conditionalFormatting sqref="Q419:R419">
    <cfRule type="duplicateValues" dxfId="8503" priority="8821"/>
  </conditionalFormatting>
  <conditionalFormatting sqref="Q419:R419">
    <cfRule type="duplicateValues" dxfId="8502" priority="8818"/>
    <cfRule type="duplicateValues" dxfId="8501" priority="8819"/>
    <cfRule type="duplicateValues" dxfId="8500" priority="8820"/>
  </conditionalFormatting>
  <conditionalFormatting sqref="R419">
    <cfRule type="duplicateValues" dxfId="8499" priority="8817"/>
  </conditionalFormatting>
  <conditionalFormatting sqref="Q419:R419">
    <cfRule type="duplicateValues" dxfId="8498" priority="8816"/>
  </conditionalFormatting>
  <conditionalFormatting sqref="Q419">
    <cfRule type="duplicateValues" dxfId="8497" priority="8815"/>
  </conditionalFormatting>
  <conditionalFormatting sqref="Q419">
    <cfRule type="duplicateValues" dxfId="8496" priority="8814"/>
  </conditionalFormatting>
  <conditionalFormatting sqref="Q419">
    <cfRule type="duplicateValues" dxfId="8495" priority="8813"/>
  </conditionalFormatting>
  <conditionalFormatting sqref="Q419">
    <cfRule type="duplicateValues" dxfId="8494" priority="8812"/>
  </conditionalFormatting>
  <conditionalFormatting sqref="R419">
    <cfRule type="duplicateValues" dxfId="8493" priority="8811"/>
  </conditionalFormatting>
  <conditionalFormatting sqref="Q419">
    <cfRule type="duplicateValues" dxfId="8492" priority="8809"/>
    <cfRule type="duplicateValues" dxfId="8491" priority="8810"/>
  </conditionalFormatting>
  <conditionalFormatting sqref="Q419">
    <cfRule type="duplicateValues" dxfId="8490" priority="8808"/>
  </conditionalFormatting>
  <conditionalFormatting sqref="Q419">
    <cfRule type="duplicateValues" dxfId="8489" priority="8807"/>
  </conditionalFormatting>
  <conditionalFormatting sqref="Q419">
    <cfRule type="duplicateValues" dxfId="8488" priority="8806"/>
  </conditionalFormatting>
  <conditionalFormatting sqref="Q419">
    <cfRule type="duplicateValues" dxfId="8487" priority="8805"/>
  </conditionalFormatting>
  <conditionalFormatting sqref="Q419">
    <cfRule type="duplicateValues" dxfId="8486" priority="8804"/>
  </conditionalFormatting>
  <conditionalFormatting sqref="Q419">
    <cfRule type="duplicateValues" dxfId="8485" priority="8803"/>
  </conditionalFormatting>
  <conditionalFormatting sqref="Q419">
    <cfRule type="duplicateValues" dxfId="8484" priority="8802"/>
  </conditionalFormatting>
  <conditionalFormatting sqref="Q419">
    <cfRule type="duplicateValues" dxfId="8483" priority="8801"/>
  </conditionalFormatting>
  <conditionalFormatting sqref="Q419:R419">
    <cfRule type="duplicateValues" dxfId="8482" priority="8800"/>
  </conditionalFormatting>
  <conditionalFormatting sqref="Q419">
    <cfRule type="duplicateValues" dxfId="8481" priority="8799"/>
  </conditionalFormatting>
  <conditionalFormatting sqref="R419">
    <cfRule type="duplicateValues" dxfId="8480" priority="8798"/>
  </conditionalFormatting>
  <conditionalFormatting sqref="Q419">
    <cfRule type="duplicateValues" dxfId="8479" priority="8797"/>
  </conditionalFormatting>
  <conditionalFormatting sqref="Q420:R420">
    <cfRule type="duplicateValues" dxfId="8478" priority="8794"/>
    <cfRule type="duplicateValues" dxfId="8477" priority="8795"/>
    <cfRule type="duplicateValues" dxfId="8476" priority="8796"/>
  </conditionalFormatting>
  <conditionalFormatting sqref="R420">
    <cfRule type="duplicateValues" dxfId="8475" priority="8793"/>
  </conditionalFormatting>
  <conditionalFormatting sqref="Q420:R420">
    <cfRule type="duplicateValues" dxfId="8474" priority="8792"/>
  </conditionalFormatting>
  <conditionalFormatting sqref="Q420">
    <cfRule type="duplicateValues" dxfId="8473" priority="8791"/>
  </conditionalFormatting>
  <conditionalFormatting sqref="Q420">
    <cfRule type="duplicateValues" dxfId="8472" priority="8790"/>
  </conditionalFormatting>
  <conditionalFormatting sqref="Q420">
    <cfRule type="duplicateValues" dxfId="8471" priority="8789"/>
  </conditionalFormatting>
  <conditionalFormatting sqref="Q420">
    <cfRule type="duplicateValues" dxfId="8470" priority="8788"/>
  </conditionalFormatting>
  <conditionalFormatting sqref="R420">
    <cfRule type="duplicateValues" dxfId="8469" priority="8787"/>
  </conditionalFormatting>
  <conditionalFormatting sqref="Q420">
    <cfRule type="duplicateValues" dxfId="8468" priority="8785"/>
    <cfRule type="duplicateValues" dxfId="8467" priority="8786"/>
  </conditionalFormatting>
  <conditionalFormatting sqref="Q420">
    <cfRule type="duplicateValues" dxfId="8466" priority="8784"/>
  </conditionalFormatting>
  <conditionalFormatting sqref="Q420">
    <cfRule type="duplicateValues" dxfId="8465" priority="8783"/>
  </conditionalFormatting>
  <conditionalFormatting sqref="Q420">
    <cfRule type="duplicateValues" dxfId="8464" priority="8782"/>
  </conditionalFormatting>
  <conditionalFormatting sqref="Q420">
    <cfRule type="duplicateValues" dxfId="8463" priority="8781"/>
  </conditionalFormatting>
  <conditionalFormatting sqref="Q420">
    <cfRule type="duplicateValues" dxfId="8462" priority="8780"/>
  </conditionalFormatting>
  <conditionalFormatting sqref="Q420">
    <cfRule type="duplicateValues" dxfId="8461" priority="8779"/>
  </conditionalFormatting>
  <conditionalFormatting sqref="Q420">
    <cfRule type="duplicateValues" dxfId="8460" priority="8778"/>
  </conditionalFormatting>
  <conditionalFormatting sqref="Q420">
    <cfRule type="duplicateValues" dxfId="8459" priority="8777"/>
  </conditionalFormatting>
  <conditionalFormatting sqref="Q420:R420">
    <cfRule type="duplicateValues" dxfId="8458" priority="8776"/>
  </conditionalFormatting>
  <conditionalFormatting sqref="Q420">
    <cfRule type="duplicateValues" dxfId="8457" priority="8775"/>
  </conditionalFormatting>
  <conditionalFormatting sqref="R420">
    <cfRule type="duplicateValues" dxfId="8456" priority="8774"/>
  </conditionalFormatting>
  <conditionalFormatting sqref="Q420">
    <cfRule type="duplicateValues" dxfId="8455" priority="8773"/>
  </conditionalFormatting>
  <conditionalFormatting sqref="Q421">
    <cfRule type="duplicateValues" dxfId="8454" priority="8772"/>
  </conditionalFormatting>
  <conditionalFormatting sqref="Q421">
    <cfRule type="duplicateValues" dxfId="8453" priority="8771"/>
  </conditionalFormatting>
  <conditionalFormatting sqref="Q421">
    <cfRule type="duplicateValues" dxfId="8452" priority="8770"/>
  </conditionalFormatting>
  <conditionalFormatting sqref="Q421">
    <cfRule type="duplicateValues" dxfId="8451" priority="8769"/>
  </conditionalFormatting>
  <conditionalFormatting sqref="Q421">
    <cfRule type="duplicateValues" dxfId="8450" priority="8768"/>
  </conditionalFormatting>
  <conditionalFormatting sqref="Q421">
    <cfRule type="duplicateValues" dxfId="8449" priority="8767"/>
  </conditionalFormatting>
  <conditionalFormatting sqref="Q421:R421">
    <cfRule type="duplicateValues" dxfId="8448" priority="8766"/>
  </conditionalFormatting>
  <conditionalFormatting sqref="Q421:R421">
    <cfRule type="duplicateValues" dxfId="8447" priority="8763"/>
    <cfRule type="duplicateValues" dxfId="8446" priority="8764"/>
    <cfRule type="duplicateValues" dxfId="8445" priority="8765"/>
  </conditionalFormatting>
  <conditionalFormatting sqref="R421">
    <cfRule type="duplicateValues" dxfId="8444" priority="8762"/>
  </conditionalFormatting>
  <conditionalFormatting sqref="Q421">
    <cfRule type="duplicateValues" dxfId="8443" priority="8761"/>
  </conditionalFormatting>
  <conditionalFormatting sqref="Q421">
    <cfRule type="duplicateValues" dxfId="8442" priority="8758"/>
    <cfRule type="duplicateValues" dxfId="8441" priority="8759"/>
    <cfRule type="duplicateValues" dxfId="8440" priority="8760"/>
  </conditionalFormatting>
  <conditionalFormatting sqref="R421">
    <cfRule type="duplicateValues" dxfId="8439" priority="8755"/>
    <cfRule type="duplicateValues" dxfId="8438" priority="8756"/>
    <cfRule type="duplicateValues" dxfId="8437" priority="8757"/>
  </conditionalFormatting>
  <conditionalFormatting sqref="Q421">
    <cfRule type="duplicateValues" dxfId="8436" priority="8753"/>
    <cfRule type="duplicateValues" dxfId="8435" priority="8754"/>
  </conditionalFormatting>
  <conditionalFormatting sqref="Q421">
    <cfRule type="duplicateValues" dxfId="8434" priority="8752"/>
  </conditionalFormatting>
  <conditionalFormatting sqref="Q422">
    <cfRule type="duplicateValues" dxfId="8433" priority="8751"/>
  </conditionalFormatting>
  <conditionalFormatting sqref="Q422">
    <cfRule type="duplicateValues" dxfId="8432" priority="8750"/>
  </conditionalFormatting>
  <conditionalFormatting sqref="Q422">
    <cfRule type="duplicateValues" dxfId="8431" priority="8749"/>
  </conditionalFormatting>
  <conditionalFormatting sqref="Q422">
    <cfRule type="duplicateValues" dxfId="8430" priority="8748"/>
  </conditionalFormatting>
  <conditionalFormatting sqref="Q422">
    <cfRule type="duplicateValues" dxfId="8429" priority="8747"/>
  </conditionalFormatting>
  <conditionalFormatting sqref="Q422">
    <cfRule type="duplicateValues" dxfId="8428" priority="8746"/>
  </conditionalFormatting>
  <conditionalFormatting sqref="Q422:R422">
    <cfRule type="duplicateValues" dxfId="8427" priority="8745"/>
  </conditionalFormatting>
  <conditionalFormatting sqref="Q422:R422">
    <cfRule type="duplicateValues" dxfId="8426" priority="8742"/>
    <cfRule type="duplicateValues" dxfId="8425" priority="8743"/>
    <cfRule type="duplicateValues" dxfId="8424" priority="8744"/>
  </conditionalFormatting>
  <conditionalFormatting sqref="R422">
    <cfRule type="duplicateValues" dxfId="8423" priority="8741"/>
  </conditionalFormatting>
  <conditionalFormatting sqref="Q422">
    <cfRule type="duplicateValues" dxfId="8422" priority="8740"/>
  </conditionalFormatting>
  <conditionalFormatting sqref="Q422">
    <cfRule type="duplicateValues" dxfId="8421" priority="8737"/>
    <cfRule type="duplicateValues" dxfId="8420" priority="8738"/>
    <cfRule type="duplicateValues" dxfId="8419" priority="8739"/>
  </conditionalFormatting>
  <conditionalFormatting sqref="R422">
    <cfRule type="duplicateValues" dxfId="8418" priority="8734"/>
    <cfRule type="duplicateValues" dxfId="8417" priority="8735"/>
    <cfRule type="duplicateValues" dxfId="8416" priority="8736"/>
  </conditionalFormatting>
  <conditionalFormatting sqref="Q422">
    <cfRule type="duplicateValues" dxfId="8415" priority="8732"/>
    <cfRule type="duplicateValues" dxfId="8414" priority="8733"/>
  </conditionalFormatting>
  <conditionalFormatting sqref="Q422">
    <cfRule type="duplicateValues" dxfId="8413" priority="8731"/>
  </conditionalFormatting>
  <conditionalFormatting sqref="Q423:R423">
    <cfRule type="duplicateValues" dxfId="8412" priority="8728"/>
    <cfRule type="duplicateValues" dxfId="8411" priority="8729"/>
    <cfRule type="duplicateValues" dxfId="8410" priority="8730"/>
  </conditionalFormatting>
  <conditionalFormatting sqref="R423">
    <cfRule type="duplicateValues" dxfId="8409" priority="8727"/>
  </conditionalFormatting>
  <conditionalFormatting sqref="Q423:R423">
    <cfRule type="duplicateValues" dxfId="8408" priority="8726"/>
  </conditionalFormatting>
  <conditionalFormatting sqref="Q423">
    <cfRule type="duplicateValues" dxfId="8407" priority="8725"/>
  </conditionalFormatting>
  <conditionalFormatting sqref="Q423">
    <cfRule type="duplicateValues" dxfId="8406" priority="8724"/>
  </conditionalFormatting>
  <conditionalFormatting sqref="Q423">
    <cfRule type="duplicateValues" dxfId="8405" priority="8723"/>
  </conditionalFormatting>
  <conditionalFormatting sqref="Q423">
    <cfRule type="duplicateValues" dxfId="8404" priority="8722"/>
  </conditionalFormatting>
  <conditionalFormatting sqref="R423">
    <cfRule type="duplicateValues" dxfId="8403" priority="8721"/>
  </conditionalFormatting>
  <conditionalFormatting sqref="Q423">
    <cfRule type="duplicateValues" dxfId="8402" priority="8719"/>
    <cfRule type="duplicateValues" dxfId="8401" priority="8720"/>
  </conditionalFormatting>
  <conditionalFormatting sqref="Q423">
    <cfRule type="duplicateValues" dxfId="8400" priority="8718"/>
  </conditionalFormatting>
  <conditionalFormatting sqref="Q423">
    <cfRule type="duplicateValues" dxfId="8399" priority="8717"/>
  </conditionalFormatting>
  <conditionalFormatting sqref="Q423">
    <cfRule type="duplicateValues" dxfId="8398" priority="8716"/>
  </conditionalFormatting>
  <conditionalFormatting sqref="Q423">
    <cfRule type="duplicateValues" dxfId="8397" priority="8715"/>
  </conditionalFormatting>
  <conditionalFormatting sqref="Q423">
    <cfRule type="duplicateValues" dxfId="8396" priority="8714"/>
  </conditionalFormatting>
  <conditionalFormatting sqref="Q423">
    <cfRule type="duplicateValues" dxfId="8395" priority="8713"/>
  </conditionalFormatting>
  <conditionalFormatting sqref="Q423">
    <cfRule type="duplicateValues" dxfId="8394" priority="8712"/>
  </conditionalFormatting>
  <conditionalFormatting sqref="Q423">
    <cfRule type="duplicateValues" dxfId="8393" priority="8711"/>
  </conditionalFormatting>
  <conditionalFormatting sqref="Q423:R423">
    <cfRule type="duplicateValues" dxfId="8392" priority="8710"/>
  </conditionalFormatting>
  <conditionalFormatting sqref="Q423">
    <cfRule type="duplicateValues" dxfId="8391" priority="8709"/>
  </conditionalFormatting>
  <conditionalFormatting sqref="R423">
    <cfRule type="duplicateValues" dxfId="8390" priority="8708"/>
  </conditionalFormatting>
  <conditionalFormatting sqref="Q423">
    <cfRule type="duplicateValues" dxfId="8389" priority="8707"/>
  </conditionalFormatting>
  <conditionalFormatting sqref="R424">
    <cfRule type="duplicateValues" dxfId="8388" priority="8706"/>
  </conditionalFormatting>
  <conditionalFormatting sqref="Q424">
    <cfRule type="duplicateValues" dxfId="8387" priority="8704"/>
    <cfRule type="duplicateValues" dxfId="8386" priority="8705"/>
  </conditionalFormatting>
  <conditionalFormatting sqref="Q424">
    <cfRule type="duplicateValues" dxfId="8385" priority="8703"/>
  </conditionalFormatting>
  <conditionalFormatting sqref="Q424">
    <cfRule type="duplicateValues" dxfId="8384" priority="8702"/>
  </conditionalFormatting>
  <conditionalFormatting sqref="Q424">
    <cfRule type="duplicateValues" dxfId="8383" priority="8701"/>
  </conditionalFormatting>
  <conditionalFormatting sqref="Q424">
    <cfRule type="duplicateValues" dxfId="8382" priority="8700"/>
  </conditionalFormatting>
  <conditionalFormatting sqref="Q424">
    <cfRule type="duplicateValues" dxfId="8381" priority="8699"/>
  </conditionalFormatting>
  <conditionalFormatting sqref="Q424">
    <cfRule type="duplicateValues" dxfId="8380" priority="8698"/>
  </conditionalFormatting>
  <conditionalFormatting sqref="Q424">
    <cfRule type="duplicateValues" dxfId="8379" priority="8697"/>
  </conditionalFormatting>
  <conditionalFormatting sqref="Q424">
    <cfRule type="duplicateValues" dxfId="8378" priority="8696"/>
  </conditionalFormatting>
  <conditionalFormatting sqref="Q424">
    <cfRule type="duplicateValues" dxfId="8377" priority="8695"/>
  </conditionalFormatting>
  <conditionalFormatting sqref="Q424">
    <cfRule type="duplicateValues" dxfId="8376" priority="8692"/>
    <cfRule type="duplicateValues" dxfId="8375" priority="8693"/>
    <cfRule type="duplicateValues" dxfId="8374" priority="8694"/>
  </conditionalFormatting>
  <conditionalFormatting sqref="R424">
    <cfRule type="duplicateValues" dxfId="8373" priority="8691"/>
  </conditionalFormatting>
  <conditionalFormatting sqref="R424">
    <cfRule type="duplicateValues" dxfId="8372" priority="8688"/>
    <cfRule type="duplicateValues" dxfId="8371" priority="8689"/>
    <cfRule type="duplicateValues" dxfId="8370" priority="8690"/>
  </conditionalFormatting>
  <conditionalFormatting sqref="Q424">
    <cfRule type="duplicateValues" dxfId="8369" priority="8687"/>
  </conditionalFormatting>
  <conditionalFormatting sqref="Q425">
    <cfRule type="duplicateValues" dxfId="8368" priority="8686"/>
  </conditionalFormatting>
  <conditionalFormatting sqref="Q425">
    <cfRule type="duplicateValues" dxfId="8367" priority="8685"/>
  </conditionalFormatting>
  <conditionalFormatting sqref="R425">
    <cfRule type="duplicateValues" dxfId="8366" priority="8684"/>
  </conditionalFormatting>
  <conditionalFormatting sqref="Q425">
    <cfRule type="duplicateValues" dxfId="8365" priority="8682"/>
    <cfRule type="duplicateValues" dxfId="8364" priority="8683"/>
  </conditionalFormatting>
  <conditionalFormatting sqref="Q425">
    <cfRule type="duplicateValues" dxfId="8363" priority="8681"/>
  </conditionalFormatting>
  <conditionalFormatting sqref="Q425">
    <cfRule type="duplicateValues" dxfId="8362" priority="8680"/>
  </conditionalFormatting>
  <conditionalFormatting sqref="Q425">
    <cfRule type="duplicateValues" dxfId="8361" priority="8679"/>
  </conditionalFormatting>
  <conditionalFormatting sqref="Q425">
    <cfRule type="duplicateValues" dxfId="8360" priority="8678"/>
  </conditionalFormatting>
  <conditionalFormatting sqref="Q425">
    <cfRule type="duplicateValues" dxfId="8359" priority="8677"/>
  </conditionalFormatting>
  <conditionalFormatting sqref="Q425">
    <cfRule type="duplicateValues" dxfId="8358" priority="8676"/>
  </conditionalFormatting>
  <conditionalFormatting sqref="Q425">
    <cfRule type="duplicateValues" dxfId="8357" priority="8675"/>
  </conditionalFormatting>
  <conditionalFormatting sqref="Q425">
    <cfRule type="duplicateValues" dxfId="8356" priority="8674"/>
  </conditionalFormatting>
  <conditionalFormatting sqref="Q425:R425">
    <cfRule type="duplicateValues" dxfId="8355" priority="8673"/>
  </conditionalFormatting>
  <conditionalFormatting sqref="Q425">
    <cfRule type="duplicateValues" dxfId="8354" priority="8672"/>
  </conditionalFormatting>
  <conditionalFormatting sqref="R425">
    <cfRule type="duplicateValues" dxfId="8353" priority="8671"/>
  </conditionalFormatting>
  <conditionalFormatting sqref="Q425:R425">
    <cfRule type="duplicateValues" dxfId="8352" priority="8668"/>
    <cfRule type="duplicateValues" dxfId="8351" priority="8669"/>
    <cfRule type="duplicateValues" dxfId="8350" priority="8670"/>
  </conditionalFormatting>
  <conditionalFormatting sqref="Q425">
    <cfRule type="duplicateValues" dxfId="8349" priority="8667"/>
  </conditionalFormatting>
  <conditionalFormatting sqref="R427">
    <cfRule type="duplicateValues" dxfId="8348" priority="8619"/>
  </conditionalFormatting>
  <conditionalFormatting sqref="Q427">
    <cfRule type="duplicateValues" dxfId="8347" priority="8617"/>
    <cfRule type="duplicateValues" dxfId="8346" priority="8618"/>
  </conditionalFormatting>
  <conditionalFormatting sqref="Q427">
    <cfRule type="duplicateValues" dxfId="8345" priority="8616"/>
  </conditionalFormatting>
  <conditionalFormatting sqref="Q427">
    <cfRule type="duplicateValues" dxfId="8344" priority="8615"/>
  </conditionalFormatting>
  <conditionalFormatting sqref="Q427">
    <cfRule type="duplicateValues" dxfId="8343" priority="8614"/>
  </conditionalFormatting>
  <conditionalFormatting sqref="Q427">
    <cfRule type="duplicateValues" dxfId="8342" priority="8613"/>
  </conditionalFormatting>
  <conditionalFormatting sqref="Q427">
    <cfRule type="duplicateValues" dxfId="8341" priority="8612"/>
  </conditionalFormatting>
  <conditionalFormatting sqref="Q427">
    <cfRule type="duplicateValues" dxfId="8340" priority="8611"/>
  </conditionalFormatting>
  <conditionalFormatting sqref="Q427:R427">
    <cfRule type="duplicateValues" dxfId="8339" priority="8610"/>
  </conditionalFormatting>
  <conditionalFormatting sqref="Q427">
    <cfRule type="duplicateValues" dxfId="8338" priority="8609"/>
  </conditionalFormatting>
  <conditionalFormatting sqref="R427">
    <cfRule type="duplicateValues" dxfId="8337" priority="8608"/>
  </conditionalFormatting>
  <conditionalFormatting sqref="Q427">
    <cfRule type="duplicateValues" dxfId="8336" priority="8607"/>
  </conditionalFormatting>
  <conditionalFormatting sqref="Q427">
    <cfRule type="duplicateValues" dxfId="8335" priority="8606"/>
  </conditionalFormatting>
  <conditionalFormatting sqref="Q427:R427">
    <cfRule type="duplicateValues" dxfId="8334" priority="8605"/>
  </conditionalFormatting>
  <conditionalFormatting sqref="Q427:R427">
    <cfRule type="duplicateValues" dxfId="8333" priority="8602"/>
    <cfRule type="duplicateValues" dxfId="8332" priority="8603"/>
    <cfRule type="duplicateValues" dxfId="8331" priority="8604"/>
  </conditionalFormatting>
  <conditionalFormatting sqref="R427">
    <cfRule type="duplicateValues" dxfId="8330" priority="8601"/>
  </conditionalFormatting>
  <conditionalFormatting sqref="Q427">
    <cfRule type="duplicateValues" dxfId="8329" priority="8600"/>
  </conditionalFormatting>
  <conditionalFormatting sqref="Q427">
    <cfRule type="duplicateValues" dxfId="8328" priority="8597"/>
    <cfRule type="duplicateValues" dxfId="8327" priority="8598"/>
    <cfRule type="duplicateValues" dxfId="8326" priority="8599"/>
  </conditionalFormatting>
  <conditionalFormatting sqref="R427">
    <cfRule type="duplicateValues" dxfId="8325" priority="8594"/>
    <cfRule type="duplicateValues" dxfId="8324" priority="8595"/>
    <cfRule type="duplicateValues" dxfId="8323" priority="8596"/>
  </conditionalFormatting>
  <conditionalFormatting sqref="Q427">
    <cfRule type="duplicateValues" dxfId="8322" priority="8593"/>
  </conditionalFormatting>
  <conditionalFormatting sqref="Q426">
    <cfRule type="duplicateValues" dxfId="8321" priority="8592"/>
  </conditionalFormatting>
  <conditionalFormatting sqref="Q426">
    <cfRule type="duplicateValues" dxfId="8320" priority="8591"/>
  </conditionalFormatting>
  <conditionalFormatting sqref="Q426">
    <cfRule type="duplicateValues" dxfId="8319" priority="8590"/>
  </conditionalFormatting>
  <conditionalFormatting sqref="Q426">
    <cfRule type="duplicateValues" dxfId="8318" priority="8589"/>
  </conditionalFormatting>
  <conditionalFormatting sqref="Q426">
    <cfRule type="duplicateValues" dxfId="8317" priority="8588"/>
  </conditionalFormatting>
  <conditionalFormatting sqref="Q426:R426">
    <cfRule type="duplicateValues" dxfId="8316" priority="8587"/>
  </conditionalFormatting>
  <conditionalFormatting sqref="Q426:R426">
    <cfRule type="duplicateValues" dxfId="8315" priority="8584"/>
    <cfRule type="duplicateValues" dxfId="8314" priority="8585"/>
    <cfRule type="duplicateValues" dxfId="8313" priority="8586"/>
  </conditionalFormatting>
  <conditionalFormatting sqref="R426">
    <cfRule type="duplicateValues" dxfId="8312" priority="8583"/>
  </conditionalFormatting>
  <conditionalFormatting sqref="Q426">
    <cfRule type="duplicateValues" dxfId="8311" priority="8582"/>
  </conditionalFormatting>
  <conditionalFormatting sqref="Q426">
    <cfRule type="duplicateValues" dxfId="8310" priority="8579"/>
    <cfRule type="duplicateValues" dxfId="8309" priority="8580"/>
    <cfRule type="duplicateValues" dxfId="8308" priority="8581"/>
  </conditionalFormatting>
  <conditionalFormatting sqref="R426">
    <cfRule type="duplicateValues" dxfId="8307" priority="8576"/>
    <cfRule type="duplicateValues" dxfId="8306" priority="8577"/>
    <cfRule type="duplicateValues" dxfId="8305" priority="8578"/>
  </conditionalFormatting>
  <conditionalFormatting sqref="Q426">
    <cfRule type="duplicateValues" dxfId="8304" priority="8574"/>
    <cfRule type="duplicateValues" dxfId="8303" priority="8575"/>
  </conditionalFormatting>
  <conditionalFormatting sqref="Q426">
    <cfRule type="duplicateValues" dxfId="8302" priority="8573"/>
  </conditionalFormatting>
  <conditionalFormatting sqref="Q428">
    <cfRule type="duplicateValues" dxfId="8301" priority="8572"/>
  </conditionalFormatting>
  <conditionalFormatting sqref="Q428">
    <cfRule type="duplicateValues" dxfId="8300" priority="8571"/>
  </conditionalFormatting>
  <conditionalFormatting sqref="Q428">
    <cfRule type="duplicateValues" dxfId="8299" priority="8570"/>
  </conditionalFormatting>
  <conditionalFormatting sqref="Q428">
    <cfRule type="duplicateValues" dxfId="8298" priority="8569"/>
  </conditionalFormatting>
  <conditionalFormatting sqref="Q428">
    <cfRule type="duplicateValues" dxfId="8297" priority="8568"/>
  </conditionalFormatting>
  <conditionalFormatting sqref="Q428">
    <cfRule type="duplicateValues" dxfId="8296" priority="8567"/>
  </conditionalFormatting>
  <conditionalFormatting sqref="Q428:R428">
    <cfRule type="duplicateValues" dxfId="8295" priority="8566"/>
  </conditionalFormatting>
  <conditionalFormatting sqref="Q428:R428">
    <cfRule type="duplicateValues" dxfId="8294" priority="8563"/>
    <cfRule type="duplicateValues" dxfId="8293" priority="8564"/>
    <cfRule type="duplicateValues" dxfId="8292" priority="8565"/>
  </conditionalFormatting>
  <conditionalFormatting sqref="R428">
    <cfRule type="duplicateValues" dxfId="8291" priority="8562"/>
  </conditionalFormatting>
  <conditionalFormatting sqref="Q428">
    <cfRule type="duplicateValues" dxfId="8290" priority="8561"/>
  </conditionalFormatting>
  <conditionalFormatting sqref="Q428">
    <cfRule type="duplicateValues" dxfId="8289" priority="8558"/>
    <cfRule type="duplicateValues" dxfId="8288" priority="8559"/>
    <cfRule type="duplicateValues" dxfId="8287" priority="8560"/>
  </conditionalFormatting>
  <conditionalFormatting sqref="R428">
    <cfRule type="duplicateValues" dxfId="8286" priority="8555"/>
    <cfRule type="duplicateValues" dxfId="8285" priority="8556"/>
    <cfRule type="duplicateValues" dxfId="8284" priority="8557"/>
  </conditionalFormatting>
  <conditionalFormatting sqref="Q428">
    <cfRule type="duplicateValues" dxfId="8283" priority="8553"/>
    <cfRule type="duplicateValues" dxfId="8282" priority="8554"/>
  </conditionalFormatting>
  <conditionalFormatting sqref="Q428">
    <cfRule type="duplicateValues" dxfId="8281" priority="8552"/>
  </conditionalFormatting>
  <conditionalFormatting sqref="Q429">
    <cfRule type="duplicateValues" dxfId="8280" priority="8551"/>
  </conditionalFormatting>
  <conditionalFormatting sqref="Q429">
    <cfRule type="duplicateValues" dxfId="8279" priority="8550"/>
  </conditionalFormatting>
  <conditionalFormatting sqref="Q429">
    <cfRule type="duplicateValues" dxfId="8278" priority="8549"/>
  </conditionalFormatting>
  <conditionalFormatting sqref="Q429">
    <cfRule type="duplicateValues" dxfId="8277" priority="8548"/>
  </conditionalFormatting>
  <conditionalFormatting sqref="Q429:R429">
    <cfRule type="duplicateValues" dxfId="8276" priority="8547"/>
  </conditionalFormatting>
  <conditionalFormatting sqref="Q429:R429">
    <cfRule type="duplicateValues" dxfId="8275" priority="8544"/>
    <cfRule type="duplicateValues" dxfId="8274" priority="8545"/>
    <cfRule type="duplicateValues" dxfId="8273" priority="8546"/>
  </conditionalFormatting>
  <conditionalFormatting sqref="R429">
    <cfRule type="duplicateValues" dxfId="8272" priority="8543"/>
  </conditionalFormatting>
  <conditionalFormatting sqref="Q429">
    <cfRule type="duplicateValues" dxfId="8271" priority="8542"/>
  </conditionalFormatting>
  <conditionalFormatting sqref="Q429">
    <cfRule type="duplicateValues" dxfId="8270" priority="8539"/>
    <cfRule type="duplicateValues" dxfId="8269" priority="8540"/>
    <cfRule type="duplicateValues" dxfId="8268" priority="8541"/>
  </conditionalFormatting>
  <conditionalFormatting sqref="R429">
    <cfRule type="duplicateValues" dxfId="8267" priority="8536"/>
    <cfRule type="duplicateValues" dxfId="8266" priority="8537"/>
    <cfRule type="duplicateValues" dxfId="8265" priority="8538"/>
  </conditionalFormatting>
  <conditionalFormatting sqref="Q429">
    <cfRule type="duplicateValues" dxfId="8264" priority="8534"/>
    <cfRule type="duplicateValues" dxfId="8263" priority="8535"/>
  </conditionalFormatting>
  <conditionalFormatting sqref="Q429">
    <cfRule type="duplicateValues" dxfId="8262" priority="8533"/>
  </conditionalFormatting>
  <conditionalFormatting sqref="Q430:R430">
    <cfRule type="duplicateValues" dxfId="8261" priority="8529"/>
  </conditionalFormatting>
  <conditionalFormatting sqref="Q430:R430">
    <cfRule type="duplicateValues" dxfId="8260" priority="8526"/>
    <cfRule type="duplicateValues" dxfId="8259" priority="8527"/>
    <cfRule type="duplicateValues" dxfId="8258" priority="8528"/>
  </conditionalFormatting>
  <conditionalFormatting sqref="R430">
    <cfRule type="duplicateValues" dxfId="8257" priority="8525"/>
  </conditionalFormatting>
  <conditionalFormatting sqref="Q430:R430">
    <cfRule type="duplicateValues" dxfId="8256" priority="8524"/>
  </conditionalFormatting>
  <conditionalFormatting sqref="Q430">
    <cfRule type="duplicateValues" dxfId="8255" priority="8523"/>
  </conditionalFormatting>
  <conditionalFormatting sqref="Q430">
    <cfRule type="duplicateValues" dxfId="8254" priority="8522"/>
  </conditionalFormatting>
  <conditionalFormatting sqref="Q430">
    <cfRule type="duplicateValues" dxfId="8253" priority="8521"/>
  </conditionalFormatting>
  <conditionalFormatting sqref="Q430">
    <cfRule type="duplicateValues" dxfId="8252" priority="8520"/>
  </conditionalFormatting>
  <conditionalFormatting sqref="R430">
    <cfRule type="duplicateValues" dxfId="8251" priority="8519"/>
  </conditionalFormatting>
  <conditionalFormatting sqref="Q430">
    <cfRule type="duplicateValues" dxfId="8250" priority="8517"/>
    <cfRule type="duplicateValues" dxfId="8249" priority="8518"/>
  </conditionalFormatting>
  <conditionalFormatting sqref="Q430">
    <cfRule type="duplicateValues" dxfId="8248" priority="8516"/>
  </conditionalFormatting>
  <conditionalFormatting sqref="Q430">
    <cfRule type="duplicateValues" dxfId="8247" priority="8515"/>
  </conditionalFormatting>
  <conditionalFormatting sqref="Q430">
    <cfRule type="duplicateValues" dxfId="8246" priority="8514"/>
  </conditionalFormatting>
  <conditionalFormatting sqref="Q430">
    <cfRule type="duplicateValues" dxfId="8245" priority="8513"/>
  </conditionalFormatting>
  <conditionalFormatting sqref="Q430:R430">
    <cfRule type="duplicateValues" dxfId="8244" priority="8530"/>
  </conditionalFormatting>
  <conditionalFormatting sqref="Q430">
    <cfRule type="duplicateValues" dxfId="8243" priority="8531"/>
  </conditionalFormatting>
  <conditionalFormatting sqref="R430">
    <cfRule type="duplicateValues" dxfId="8242" priority="8532"/>
  </conditionalFormatting>
  <conditionalFormatting sqref="Q430">
    <cfRule type="duplicateValues" dxfId="8241" priority="8512"/>
  </conditionalFormatting>
  <conditionalFormatting sqref="Q430">
    <cfRule type="duplicateValues" dxfId="8240" priority="8511"/>
  </conditionalFormatting>
  <conditionalFormatting sqref="Q430">
    <cfRule type="duplicateValues" dxfId="8239" priority="8510"/>
  </conditionalFormatting>
  <conditionalFormatting sqref="Q430">
    <cfRule type="duplicateValues" dxfId="8238" priority="8509"/>
  </conditionalFormatting>
  <conditionalFormatting sqref="Q430">
    <cfRule type="duplicateValues" dxfId="8237" priority="8508"/>
  </conditionalFormatting>
  <conditionalFormatting sqref="Q431">
    <cfRule type="duplicateValues" dxfId="8236" priority="8507"/>
  </conditionalFormatting>
  <conditionalFormatting sqref="Q431">
    <cfRule type="duplicateValues" dxfId="8235" priority="8506"/>
  </conditionalFormatting>
  <conditionalFormatting sqref="Q431">
    <cfRule type="duplicateValues" dxfId="8234" priority="8505"/>
  </conditionalFormatting>
  <conditionalFormatting sqref="Q431">
    <cfRule type="duplicateValues" dxfId="8233" priority="8504"/>
  </conditionalFormatting>
  <conditionalFormatting sqref="Q431">
    <cfRule type="duplicateValues" dxfId="8232" priority="8503"/>
  </conditionalFormatting>
  <conditionalFormatting sqref="Q431:R431">
    <cfRule type="duplicateValues" dxfId="8231" priority="8502"/>
  </conditionalFormatting>
  <conditionalFormatting sqref="Q431:R431">
    <cfRule type="duplicateValues" dxfId="8230" priority="8499"/>
    <cfRule type="duplicateValues" dxfId="8229" priority="8500"/>
    <cfRule type="duplicateValues" dxfId="8228" priority="8501"/>
  </conditionalFormatting>
  <conditionalFormatting sqref="R431">
    <cfRule type="duplicateValues" dxfId="8227" priority="8498"/>
  </conditionalFormatting>
  <conditionalFormatting sqref="Q431">
    <cfRule type="duplicateValues" dxfId="8226" priority="8497"/>
  </conditionalFormatting>
  <conditionalFormatting sqref="Q431">
    <cfRule type="duplicateValues" dxfId="8225" priority="8494"/>
    <cfRule type="duplicateValues" dxfId="8224" priority="8495"/>
    <cfRule type="duplicateValues" dxfId="8223" priority="8496"/>
  </conditionalFormatting>
  <conditionalFormatting sqref="R431">
    <cfRule type="duplicateValues" dxfId="8222" priority="8491"/>
    <cfRule type="duplicateValues" dxfId="8221" priority="8492"/>
    <cfRule type="duplicateValues" dxfId="8220" priority="8493"/>
  </conditionalFormatting>
  <conditionalFormatting sqref="Q431">
    <cfRule type="duplicateValues" dxfId="8219" priority="8489"/>
    <cfRule type="duplicateValues" dxfId="8218" priority="8490"/>
  </conditionalFormatting>
  <conditionalFormatting sqref="Q431">
    <cfRule type="duplicateValues" dxfId="8217" priority="8488"/>
  </conditionalFormatting>
  <conditionalFormatting sqref="Q432:R432">
    <cfRule type="duplicateValues" dxfId="8216" priority="8487"/>
  </conditionalFormatting>
  <conditionalFormatting sqref="Q432:R432">
    <cfRule type="duplicateValues" dxfId="8215" priority="8484"/>
    <cfRule type="duplicateValues" dxfId="8214" priority="8485"/>
    <cfRule type="duplicateValues" dxfId="8213" priority="8486"/>
  </conditionalFormatting>
  <conditionalFormatting sqref="R432">
    <cfRule type="duplicateValues" dxfId="8212" priority="8483"/>
  </conditionalFormatting>
  <conditionalFormatting sqref="Q432:R432">
    <cfRule type="duplicateValues" dxfId="8211" priority="8482"/>
  </conditionalFormatting>
  <conditionalFormatting sqref="Q432">
    <cfRule type="duplicateValues" dxfId="8210" priority="8481"/>
  </conditionalFormatting>
  <conditionalFormatting sqref="Q432">
    <cfRule type="duplicateValues" dxfId="8209" priority="8480"/>
  </conditionalFormatting>
  <conditionalFormatting sqref="Q432">
    <cfRule type="duplicateValues" dxfId="8208" priority="8479"/>
  </conditionalFormatting>
  <conditionalFormatting sqref="Q432">
    <cfRule type="duplicateValues" dxfId="8207" priority="8478"/>
  </conditionalFormatting>
  <conditionalFormatting sqref="R432">
    <cfRule type="duplicateValues" dxfId="8206" priority="8477"/>
  </conditionalFormatting>
  <conditionalFormatting sqref="Q432">
    <cfRule type="duplicateValues" dxfId="8205" priority="8475"/>
    <cfRule type="duplicateValues" dxfId="8204" priority="8476"/>
  </conditionalFormatting>
  <conditionalFormatting sqref="Q432">
    <cfRule type="duplicateValues" dxfId="8203" priority="8474"/>
  </conditionalFormatting>
  <conditionalFormatting sqref="Q432">
    <cfRule type="duplicateValues" dxfId="8202" priority="8473"/>
  </conditionalFormatting>
  <conditionalFormatting sqref="Q432">
    <cfRule type="duplicateValues" dxfId="8201" priority="8472"/>
  </conditionalFormatting>
  <conditionalFormatting sqref="Q432">
    <cfRule type="duplicateValues" dxfId="8200" priority="8471"/>
  </conditionalFormatting>
  <conditionalFormatting sqref="Q432">
    <cfRule type="duplicateValues" dxfId="8199" priority="8470"/>
  </conditionalFormatting>
  <conditionalFormatting sqref="Q432">
    <cfRule type="duplicateValues" dxfId="8198" priority="8469"/>
  </conditionalFormatting>
  <conditionalFormatting sqref="Q432">
    <cfRule type="duplicateValues" dxfId="8197" priority="8468"/>
  </conditionalFormatting>
  <conditionalFormatting sqref="Q432">
    <cfRule type="duplicateValues" dxfId="8196" priority="8467"/>
  </conditionalFormatting>
  <conditionalFormatting sqref="Q432">
    <cfRule type="duplicateValues" dxfId="8195" priority="8466"/>
  </conditionalFormatting>
  <conditionalFormatting sqref="Q432">
    <cfRule type="duplicateValues" dxfId="8194" priority="8463"/>
    <cfRule type="duplicateValues" dxfId="8193" priority="8464"/>
    <cfRule type="duplicateValues" dxfId="8192" priority="8465"/>
  </conditionalFormatting>
  <conditionalFormatting sqref="R432">
    <cfRule type="duplicateValues" dxfId="8191" priority="8462"/>
  </conditionalFormatting>
  <conditionalFormatting sqref="R432">
    <cfRule type="duplicateValues" dxfId="8190" priority="8459"/>
    <cfRule type="duplicateValues" dxfId="8189" priority="8460"/>
    <cfRule type="duplicateValues" dxfId="8188" priority="8461"/>
  </conditionalFormatting>
  <conditionalFormatting sqref="Q432">
    <cfRule type="duplicateValues" dxfId="8187" priority="8458"/>
  </conditionalFormatting>
  <conditionalFormatting sqref="Q433:R433">
    <cfRule type="duplicateValues" dxfId="8186" priority="8457"/>
  </conditionalFormatting>
  <conditionalFormatting sqref="Q433:R433">
    <cfRule type="duplicateValues" dxfId="8185" priority="8454"/>
    <cfRule type="duplicateValues" dxfId="8184" priority="8455"/>
    <cfRule type="duplicateValues" dxfId="8183" priority="8456"/>
  </conditionalFormatting>
  <conditionalFormatting sqref="R433">
    <cfRule type="duplicateValues" dxfId="8182" priority="8453"/>
  </conditionalFormatting>
  <conditionalFormatting sqref="Q433:R433">
    <cfRule type="duplicateValues" dxfId="8181" priority="8452"/>
  </conditionalFormatting>
  <conditionalFormatting sqref="Q433">
    <cfRule type="duplicateValues" dxfId="8180" priority="8451"/>
  </conditionalFormatting>
  <conditionalFormatting sqref="Q433">
    <cfRule type="duplicateValues" dxfId="8179" priority="8450"/>
  </conditionalFormatting>
  <conditionalFormatting sqref="Q433">
    <cfRule type="duplicateValues" dxfId="8178" priority="8449"/>
  </conditionalFormatting>
  <conditionalFormatting sqref="Q433">
    <cfRule type="duplicateValues" dxfId="8177" priority="8448"/>
  </conditionalFormatting>
  <conditionalFormatting sqref="R433">
    <cfRule type="duplicateValues" dxfId="8176" priority="8447"/>
  </conditionalFormatting>
  <conditionalFormatting sqref="Q433">
    <cfRule type="duplicateValues" dxfId="8175" priority="8445"/>
    <cfRule type="duplicateValues" dxfId="8174" priority="8446"/>
  </conditionalFormatting>
  <conditionalFormatting sqref="Q433">
    <cfRule type="duplicateValues" dxfId="8173" priority="8444"/>
  </conditionalFormatting>
  <conditionalFormatting sqref="Q433">
    <cfRule type="duplicateValues" dxfId="8172" priority="8443"/>
  </conditionalFormatting>
  <conditionalFormatting sqref="Q433">
    <cfRule type="duplicateValues" dxfId="8171" priority="8442"/>
  </conditionalFormatting>
  <conditionalFormatting sqref="Q433">
    <cfRule type="duplicateValues" dxfId="8170" priority="8441"/>
  </conditionalFormatting>
  <conditionalFormatting sqref="Q433">
    <cfRule type="duplicateValues" dxfId="8169" priority="8440"/>
  </conditionalFormatting>
  <conditionalFormatting sqref="Q433">
    <cfRule type="duplicateValues" dxfId="8168" priority="8439"/>
  </conditionalFormatting>
  <conditionalFormatting sqref="Q433">
    <cfRule type="duplicateValues" dxfId="8167" priority="8438"/>
  </conditionalFormatting>
  <conditionalFormatting sqref="Q433">
    <cfRule type="duplicateValues" dxfId="8166" priority="8437"/>
  </conditionalFormatting>
  <conditionalFormatting sqref="Q433:R433">
    <cfRule type="duplicateValues" dxfId="8165" priority="8436"/>
  </conditionalFormatting>
  <conditionalFormatting sqref="Q433">
    <cfRule type="duplicateValues" dxfId="8164" priority="8435"/>
  </conditionalFormatting>
  <conditionalFormatting sqref="Q433:R433">
    <cfRule type="duplicateValues" dxfId="8163" priority="8434"/>
  </conditionalFormatting>
  <conditionalFormatting sqref="R433">
    <cfRule type="duplicateValues" dxfId="8162" priority="8433"/>
  </conditionalFormatting>
  <conditionalFormatting sqref="Q433">
    <cfRule type="duplicateValues" dxfId="8161" priority="8432"/>
  </conditionalFormatting>
  <conditionalFormatting sqref="Q434">
    <cfRule type="duplicateValues" dxfId="8160" priority="8431"/>
  </conditionalFormatting>
  <conditionalFormatting sqref="Q434">
    <cfRule type="duplicateValues" dxfId="8159" priority="8430"/>
  </conditionalFormatting>
  <conditionalFormatting sqref="Q434">
    <cfRule type="duplicateValues" dxfId="8158" priority="8429"/>
  </conditionalFormatting>
  <conditionalFormatting sqref="Q434">
    <cfRule type="duplicateValues" dxfId="8157" priority="8428"/>
  </conditionalFormatting>
  <conditionalFormatting sqref="Q434">
    <cfRule type="duplicateValues" dxfId="8156" priority="8427"/>
  </conditionalFormatting>
  <conditionalFormatting sqref="Q434:R434">
    <cfRule type="duplicateValues" dxfId="8155" priority="8426"/>
  </conditionalFormatting>
  <conditionalFormatting sqref="Q434:R434">
    <cfRule type="duplicateValues" dxfId="8154" priority="8423"/>
    <cfRule type="duplicateValues" dxfId="8153" priority="8424"/>
    <cfRule type="duplicateValues" dxfId="8152" priority="8425"/>
  </conditionalFormatting>
  <conditionalFormatting sqref="R434">
    <cfRule type="duplicateValues" dxfId="8151" priority="8422"/>
  </conditionalFormatting>
  <conditionalFormatting sqref="Q434">
    <cfRule type="duplicateValues" dxfId="8150" priority="8421"/>
  </conditionalFormatting>
  <conditionalFormatting sqref="Q434">
    <cfRule type="duplicateValues" dxfId="8149" priority="8418"/>
    <cfRule type="duplicateValues" dxfId="8148" priority="8419"/>
    <cfRule type="duplicateValues" dxfId="8147" priority="8420"/>
  </conditionalFormatting>
  <conditionalFormatting sqref="R434">
    <cfRule type="duplicateValues" dxfId="8146" priority="8415"/>
    <cfRule type="duplicateValues" dxfId="8145" priority="8416"/>
    <cfRule type="duplicateValues" dxfId="8144" priority="8417"/>
  </conditionalFormatting>
  <conditionalFormatting sqref="Q434">
    <cfRule type="duplicateValues" dxfId="8143" priority="8413"/>
    <cfRule type="duplicateValues" dxfId="8142" priority="8414"/>
  </conditionalFormatting>
  <conditionalFormatting sqref="Q434">
    <cfRule type="duplicateValues" dxfId="8141" priority="8412"/>
  </conditionalFormatting>
  <conditionalFormatting sqref="Q435">
    <cfRule type="duplicateValues" dxfId="8140" priority="8411"/>
  </conditionalFormatting>
  <conditionalFormatting sqref="Q435">
    <cfRule type="duplicateValues" dxfId="8139" priority="8410"/>
  </conditionalFormatting>
  <conditionalFormatting sqref="Q435">
    <cfRule type="duplicateValues" dxfId="8138" priority="8409"/>
  </conditionalFormatting>
  <conditionalFormatting sqref="Q435">
    <cfRule type="duplicateValues" dxfId="8137" priority="8408"/>
  </conditionalFormatting>
  <conditionalFormatting sqref="Q435">
    <cfRule type="duplicateValues" dxfId="8136" priority="8407"/>
  </conditionalFormatting>
  <conditionalFormatting sqref="Q435:R435">
    <cfRule type="duplicateValues" dxfId="8135" priority="8406"/>
  </conditionalFormatting>
  <conditionalFormatting sqref="Q435:R435">
    <cfRule type="duplicateValues" dxfId="8134" priority="8403"/>
    <cfRule type="duplicateValues" dxfId="8133" priority="8404"/>
    <cfRule type="duplicateValues" dxfId="8132" priority="8405"/>
  </conditionalFormatting>
  <conditionalFormatting sqref="R435">
    <cfRule type="duplicateValues" dxfId="8131" priority="8402"/>
  </conditionalFormatting>
  <conditionalFormatting sqref="Q435">
    <cfRule type="duplicateValues" dxfId="8130" priority="8401"/>
  </conditionalFormatting>
  <conditionalFormatting sqref="Q435">
    <cfRule type="duplicateValues" dxfId="8129" priority="8398"/>
    <cfRule type="duplicateValues" dxfId="8128" priority="8399"/>
    <cfRule type="duplicateValues" dxfId="8127" priority="8400"/>
  </conditionalFormatting>
  <conditionalFormatting sqref="R435">
    <cfRule type="duplicateValues" dxfId="8126" priority="8395"/>
    <cfRule type="duplicateValues" dxfId="8125" priority="8396"/>
    <cfRule type="duplicateValues" dxfId="8124" priority="8397"/>
  </conditionalFormatting>
  <conditionalFormatting sqref="Q435">
    <cfRule type="duplicateValues" dxfId="8123" priority="8393"/>
    <cfRule type="duplicateValues" dxfId="8122" priority="8394"/>
  </conditionalFormatting>
  <conditionalFormatting sqref="Q435">
    <cfRule type="duplicateValues" dxfId="8121" priority="8392"/>
  </conditionalFormatting>
  <conditionalFormatting sqref="Q436">
    <cfRule type="duplicateValues" dxfId="8120" priority="8377"/>
  </conditionalFormatting>
  <conditionalFormatting sqref="Q436:R436">
    <cfRule type="duplicateValues" dxfId="8119" priority="8378"/>
  </conditionalFormatting>
  <conditionalFormatting sqref="Q436:R436">
    <cfRule type="duplicateValues" dxfId="8118" priority="8379"/>
    <cfRule type="duplicateValues" dxfId="8117" priority="8380"/>
    <cfRule type="duplicateValues" dxfId="8116" priority="8381"/>
  </conditionalFormatting>
  <conditionalFormatting sqref="R436">
    <cfRule type="duplicateValues" dxfId="8115" priority="8382"/>
  </conditionalFormatting>
  <conditionalFormatting sqref="Q436">
    <cfRule type="duplicateValues" dxfId="8114" priority="8383"/>
  </conditionalFormatting>
  <conditionalFormatting sqref="Q436">
    <cfRule type="duplicateValues" dxfId="8113" priority="8384"/>
    <cfRule type="duplicateValues" dxfId="8112" priority="8385"/>
    <cfRule type="duplicateValues" dxfId="8111" priority="8386"/>
  </conditionalFormatting>
  <conditionalFormatting sqref="R436">
    <cfRule type="duplicateValues" dxfId="8110" priority="8387"/>
    <cfRule type="duplicateValues" dxfId="8109" priority="8388"/>
    <cfRule type="duplicateValues" dxfId="8108" priority="8389"/>
  </conditionalFormatting>
  <conditionalFormatting sqref="Q436">
    <cfRule type="duplicateValues" dxfId="8107" priority="8390"/>
    <cfRule type="duplicateValues" dxfId="8106" priority="8391"/>
  </conditionalFormatting>
  <conditionalFormatting sqref="Q436">
    <cfRule type="duplicateValues" dxfId="8105" priority="8376"/>
  </conditionalFormatting>
  <conditionalFormatting sqref="Q436">
    <cfRule type="duplicateValues" dxfId="8104" priority="8375"/>
  </conditionalFormatting>
  <conditionalFormatting sqref="Q436">
    <cfRule type="duplicateValues" dxfId="8103" priority="8374"/>
  </conditionalFormatting>
  <conditionalFormatting sqref="Q436">
    <cfRule type="duplicateValues" dxfId="8102" priority="8373"/>
  </conditionalFormatting>
  <conditionalFormatting sqref="R437">
    <cfRule type="duplicateValues" dxfId="8101" priority="8372"/>
  </conditionalFormatting>
  <conditionalFormatting sqref="Q437">
    <cfRule type="duplicateValues" dxfId="8100" priority="8370"/>
    <cfRule type="duplicateValues" dxfId="8099" priority="8371"/>
  </conditionalFormatting>
  <conditionalFormatting sqref="Q437">
    <cfRule type="duplicateValues" dxfId="8098" priority="8369"/>
  </conditionalFormatting>
  <conditionalFormatting sqref="Q437">
    <cfRule type="duplicateValues" dxfId="8097" priority="8368"/>
  </conditionalFormatting>
  <conditionalFormatting sqref="Q437">
    <cfRule type="duplicateValues" dxfId="8096" priority="8367"/>
  </conditionalFormatting>
  <conditionalFormatting sqref="Q437">
    <cfRule type="duplicateValues" dxfId="8095" priority="8366"/>
  </conditionalFormatting>
  <conditionalFormatting sqref="Q437">
    <cfRule type="duplicateValues" dxfId="8094" priority="8365"/>
  </conditionalFormatting>
  <conditionalFormatting sqref="Q437">
    <cfRule type="duplicateValues" dxfId="8093" priority="8364"/>
  </conditionalFormatting>
  <conditionalFormatting sqref="Q437">
    <cfRule type="duplicateValues" dxfId="8092" priority="8363"/>
  </conditionalFormatting>
  <conditionalFormatting sqref="Q437">
    <cfRule type="duplicateValues" dxfId="8091" priority="8362"/>
  </conditionalFormatting>
  <conditionalFormatting sqref="Q437">
    <cfRule type="duplicateValues" dxfId="8090" priority="8361"/>
  </conditionalFormatting>
  <conditionalFormatting sqref="Q437">
    <cfRule type="duplicateValues" dxfId="8089" priority="8358"/>
    <cfRule type="duplicateValues" dxfId="8088" priority="8359"/>
    <cfRule type="duplicateValues" dxfId="8087" priority="8360"/>
  </conditionalFormatting>
  <conditionalFormatting sqref="R437">
    <cfRule type="duplicateValues" dxfId="8086" priority="8357"/>
  </conditionalFormatting>
  <conditionalFormatting sqref="R437">
    <cfRule type="duplicateValues" dxfId="8085" priority="8354"/>
    <cfRule type="duplicateValues" dxfId="8084" priority="8355"/>
    <cfRule type="duplicateValues" dxfId="8083" priority="8356"/>
  </conditionalFormatting>
  <conditionalFormatting sqref="Q437">
    <cfRule type="duplicateValues" dxfId="8082" priority="8353"/>
  </conditionalFormatting>
  <conditionalFormatting sqref="Q438">
    <cfRule type="duplicateValues" dxfId="8081" priority="8352"/>
  </conditionalFormatting>
  <conditionalFormatting sqref="Q438">
    <cfRule type="duplicateValues" dxfId="8080" priority="8351"/>
  </conditionalFormatting>
  <conditionalFormatting sqref="Q438">
    <cfRule type="duplicateValues" dxfId="8079" priority="8350"/>
  </conditionalFormatting>
  <conditionalFormatting sqref="Q438">
    <cfRule type="duplicateValues" dxfId="8078" priority="8349"/>
  </conditionalFormatting>
  <conditionalFormatting sqref="Q438">
    <cfRule type="duplicateValues" dxfId="8077" priority="8348"/>
  </conditionalFormatting>
  <conditionalFormatting sqref="Q438">
    <cfRule type="duplicateValues" dxfId="8076" priority="8347"/>
  </conditionalFormatting>
  <conditionalFormatting sqref="Q438:R438">
    <cfRule type="duplicateValues" dxfId="8075" priority="8346"/>
  </conditionalFormatting>
  <conditionalFormatting sqref="Q438:R438">
    <cfRule type="duplicateValues" dxfId="8074" priority="8343"/>
    <cfRule type="duplicateValues" dxfId="8073" priority="8344"/>
    <cfRule type="duplicateValues" dxfId="8072" priority="8345"/>
  </conditionalFormatting>
  <conditionalFormatting sqref="R438">
    <cfRule type="duplicateValues" dxfId="8071" priority="8342"/>
  </conditionalFormatting>
  <conditionalFormatting sqref="Q438">
    <cfRule type="duplicateValues" dxfId="8070" priority="8341"/>
  </conditionalFormatting>
  <conditionalFormatting sqref="Q438">
    <cfRule type="duplicateValues" dxfId="8069" priority="8338"/>
    <cfRule type="duplicateValues" dxfId="8068" priority="8339"/>
    <cfRule type="duplicateValues" dxfId="8067" priority="8340"/>
  </conditionalFormatting>
  <conditionalFormatting sqref="R438">
    <cfRule type="duplicateValues" dxfId="8066" priority="8335"/>
    <cfRule type="duplicateValues" dxfId="8065" priority="8336"/>
    <cfRule type="duplicateValues" dxfId="8064" priority="8337"/>
  </conditionalFormatting>
  <conditionalFormatting sqref="Q438">
    <cfRule type="duplicateValues" dxfId="8063" priority="8333"/>
    <cfRule type="duplicateValues" dxfId="8062" priority="8334"/>
  </conditionalFormatting>
  <conditionalFormatting sqref="Q438">
    <cfRule type="duplicateValues" dxfId="8061" priority="8332"/>
  </conditionalFormatting>
  <conditionalFormatting sqref="Q439">
    <cfRule type="duplicateValues" dxfId="8060" priority="8331"/>
  </conditionalFormatting>
  <conditionalFormatting sqref="Q439">
    <cfRule type="duplicateValues" dxfId="8059" priority="8330"/>
  </conditionalFormatting>
  <conditionalFormatting sqref="Q439:R439">
    <cfRule type="duplicateValues" dxfId="8058" priority="8329"/>
  </conditionalFormatting>
  <conditionalFormatting sqref="Q439:R439">
    <cfRule type="duplicateValues" dxfId="8057" priority="8326"/>
    <cfRule type="duplicateValues" dxfId="8056" priority="8327"/>
    <cfRule type="duplicateValues" dxfId="8055" priority="8328"/>
  </conditionalFormatting>
  <conditionalFormatting sqref="R439">
    <cfRule type="duplicateValues" dxfId="8054" priority="8325"/>
  </conditionalFormatting>
  <conditionalFormatting sqref="Q439">
    <cfRule type="duplicateValues" dxfId="8053" priority="8324"/>
  </conditionalFormatting>
  <conditionalFormatting sqref="Q439">
    <cfRule type="duplicateValues" dxfId="8052" priority="8322"/>
    <cfRule type="duplicateValues" dxfId="8051" priority="8323"/>
  </conditionalFormatting>
  <conditionalFormatting sqref="Q439">
    <cfRule type="duplicateValues" dxfId="8050" priority="8319"/>
    <cfRule type="duplicateValues" dxfId="8049" priority="8320"/>
    <cfRule type="duplicateValues" dxfId="8048" priority="8321"/>
  </conditionalFormatting>
  <conditionalFormatting sqref="R439">
    <cfRule type="duplicateValues" dxfId="8047" priority="8316"/>
    <cfRule type="duplicateValues" dxfId="8046" priority="8317"/>
    <cfRule type="duplicateValues" dxfId="8045" priority="8318"/>
  </conditionalFormatting>
  <conditionalFormatting sqref="Q439">
    <cfRule type="duplicateValues" dxfId="8044" priority="8315"/>
  </conditionalFormatting>
  <conditionalFormatting sqref="Q440:Q441">
    <cfRule type="duplicateValues" dxfId="8043" priority="8314"/>
  </conditionalFormatting>
  <conditionalFormatting sqref="Q440:Q441">
    <cfRule type="duplicateValues" dxfId="8042" priority="8313"/>
  </conditionalFormatting>
  <conditionalFormatting sqref="Q440:Q441">
    <cfRule type="duplicateValues" dxfId="8041" priority="8312"/>
  </conditionalFormatting>
  <conditionalFormatting sqref="Q440:R441">
    <cfRule type="duplicateValues" dxfId="8040" priority="8311"/>
  </conditionalFormatting>
  <conditionalFormatting sqref="Q440:R441">
    <cfRule type="duplicateValues" dxfId="8039" priority="8308"/>
    <cfRule type="duplicateValues" dxfId="8038" priority="8309"/>
    <cfRule type="duplicateValues" dxfId="8037" priority="8310"/>
  </conditionalFormatting>
  <conditionalFormatting sqref="R440:R441">
    <cfRule type="duplicateValues" dxfId="8036" priority="8307"/>
  </conditionalFormatting>
  <conditionalFormatting sqref="Q440:Q441">
    <cfRule type="duplicateValues" dxfId="8035" priority="8306"/>
  </conditionalFormatting>
  <conditionalFormatting sqref="Q440:Q441">
    <cfRule type="duplicateValues" dxfId="8034" priority="8303"/>
    <cfRule type="duplicateValues" dxfId="8033" priority="8304"/>
    <cfRule type="duplicateValues" dxfId="8032" priority="8305"/>
  </conditionalFormatting>
  <conditionalFormatting sqref="R440:R441">
    <cfRule type="duplicateValues" dxfId="8031" priority="8300"/>
    <cfRule type="duplicateValues" dxfId="8030" priority="8301"/>
    <cfRule type="duplicateValues" dxfId="8029" priority="8302"/>
  </conditionalFormatting>
  <conditionalFormatting sqref="Q440:Q441">
    <cfRule type="duplicateValues" dxfId="8028" priority="8298"/>
    <cfRule type="duplicateValues" dxfId="8027" priority="8299"/>
  </conditionalFormatting>
  <conditionalFormatting sqref="Q440:Q441">
    <cfRule type="duplicateValues" dxfId="8026" priority="8297"/>
  </conditionalFormatting>
  <conditionalFormatting sqref="Q442">
    <cfRule type="duplicateValues" dxfId="8025" priority="8296"/>
  </conditionalFormatting>
  <conditionalFormatting sqref="Q442">
    <cfRule type="duplicateValues" dxfId="8024" priority="8295"/>
  </conditionalFormatting>
  <conditionalFormatting sqref="Q442:R442">
    <cfRule type="duplicateValues" dxfId="8023" priority="8294"/>
  </conditionalFormatting>
  <conditionalFormatting sqref="Q442:R442">
    <cfRule type="duplicateValues" dxfId="8022" priority="8291"/>
    <cfRule type="duplicateValues" dxfId="8021" priority="8292"/>
    <cfRule type="duplicateValues" dxfId="8020" priority="8293"/>
  </conditionalFormatting>
  <conditionalFormatting sqref="R442">
    <cfRule type="duplicateValues" dxfId="8019" priority="8290"/>
  </conditionalFormatting>
  <conditionalFormatting sqref="Q442">
    <cfRule type="duplicateValues" dxfId="8018" priority="8289"/>
  </conditionalFormatting>
  <conditionalFormatting sqref="Q442">
    <cfRule type="duplicateValues" dxfId="8017" priority="8287"/>
    <cfRule type="duplicateValues" dxfId="8016" priority="8288"/>
  </conditionalFormatting>
  <conditionalFormatting sqref="Q442">
    <cfRule type="duplicateValues" dxfId="8015" priority="8284"/>
    <cfRule type="duplicateValues" dxfId="8014" priority="8285"/>
    <cfRule type="duplicateValues" dxfId="8013" priority="8286"/>
  </conditionalFormatting>
  <conditionalFormatting sqref="R442">
    <cfRule type="duplicateValues" dxfId="8012" priority="8281"/>
    <cfRule type="duplicateValues" dxfId="8011" priority="8282"/>
    <cfRule type="duplicateValues" dxfId="8010" priority="8283"/>
  </conditionalFormatting>
  <conditionalFormatting sqref="Q442">
    <cfRule type="duplicateValues" dxfId="8009" priority="8280"/>
  </conditionalFormatting>
  <conditionalFormatting sqref="Q443:R443">
    <cfRule type="duplicateValues" dxfId="8008" priority="8279"/>
  </conditionalFormatting>
  <conditionalFormatting sqref="Q443:R443">
    <cfRule type="duplicateValues" dxfId="8007" priority="8276"/>
    <cfRule type="duplicateValues" dxfId="8006" priority="8277"/>
    <cfRule type="duplicateValues" dxfId="8005" priority="8278"/>
  </conditionalFormatting>
  <conditionalFormatting sqref="R443">
    <cfRule type="duplicateValues" dxfId="8004" priority="8275"/>
  </conditionalFormatting>
  <conditionalFormatting sqref="Q443:R443">
    <cfRule type="duplicateValues" dxfId="8003" priority="8274"/>
  </conditionalFormatting>
  <conditionalFormatting sqref="Q443">
    <cfRule type="duplicateValues" dxfId="8002" priority="8273"/>
  </conditionalFormatting>
  <conditionalFormatting sqref="Q443">
    <cfRule type="duplicateValues" dxfId="8001" priority="8272"/>
  </conditionalFormatting>
  <conditionalFormatting sqref="Q443">
    <cfRule type="duplicateValues" dxfId="8000" priority="8271"/>
  </conditionalFormatting>
  <conditionalFormatting sqref="Q443">
    <cfRule type="duplicateValues" dxfId="7999" priority="8270"/>
  </conditionalFormatting>
  <conditionalFormatting sqref="R443">
    <cfRule type="duplicateValues" dxfId="7998" priority="8269"/>
  </conditionalFormatting>
  <conditionalFormatting sqref="Q443">
    <cfRule type="duplicateValues" dxfId="7997" priority="8267"/>
    <cfRule type="duplicateValues" dxfId="7996" priority="8268"/>
  </conditionalFormatting>
  <conditionalFormatting sqref="Q443">
    <cfRule type="duplicateValues" dxfId="7995" priority="8266"/>
  </conditionalFormatting>
  <conditionalFormatting sqref="Q443">
    <cfRule type="duplicateValues" dxfId="7994" priority="8265"/>
  </conditionalFormatting>
  <conditionalFormatting sqref="Q443">
    <cfRule type="duplicateValues" dxfId="7993" priority="8264"/>
  </conditionalFormatting>
  <conditionalFormatting sqref="Q443">
    <cfRule type="duplicateValues" dxfId="7992" priority="8263"/>
  </conditionalFormatting>
  <conditionalFormatting sqref="Q443">
    <cfRule type="duplicateValues" dxfId="7991" priority="8262"/>
  </conditionalFormatting>
  <conditionalFormatting sqref="Q443">
    <cfRule type="duplicateValues" dxfId="7990" priority="8261"/>
  </conditionalFormatting>
  <conditionalFormatting sqref="Q443">
    <cfRule type="duplicateValues" dxfId="7989" priority="8260"/>
  </conditionalFormatting>
  <conditionalFormatting sqref="Q443">
    <cfRule type="duplicateValues" dxfId="7988" priority="8259"/>
  </conditionalFormatting>
  <conditionalFormatting sqref="Q443:R443">
    <cfRule type="duplicateValues" dxfId="7987" priority="8258"/>
  </conditionalFormatting>
  <conditionalFormatting sqref="Q443:R443">
    <cfRule type="duplicateValues" dxfId="7986" priority="8255"/>
    <cfRule type="duplicateValues" dxfId="7985" priority="8256"/>
    <cfRule type="duplicateValues" dxfId="7984" priority="8257"/>
  </conditionalFormatting>
  <conditionalFormatting sqref="R443">
    <cfRule type="duplicateValues" dxfId="7983" priority="8254"/>
  </conditionalFormatting>
  <conditionalFormatting sqref="Q443">
    <cfRule type="duplicateValues" dxfId="7982" priority="8253"/>
  </conditionalFormatting>
  <conditionalFormatting sqref="Q443">
    <cfRule type="duplicateValues" dxfId="7981" priority="8250"/>
    <cfRule type="duplicateValues" dxfId="7980" priority="8251"/>
    <cfRule type="duplicateValues" dxfId="7979" priority="8252"/>
  </conditionalFormatting>
  <conditionalFormatting sqref="R443">
    <cfRule type="duplicateValues" dxfId="7978" priority="8247"/>
    <cfRule type="duplicateValues" dxfId="7977" priority="8248"/>
    <cfRule type="duplicateValues" dxfId="7976" priority="8249"/>
  </conditionalFormatting>
  <conditionalFormatting sqref="Q443">
    <cfRule type="duplicateValues" dxfId="7975" priority="8245"/>
    <cfRule type="duplicateValues" dxfId="7974" priority="8246"/>
  </conditionalFormatting>
  <conditionalFormatting sqref="Q443">
    <cfRule type="duplicateValues" dxfId="7973" priority="8244"/>
  </conditionalFormatting>
  <conditionalFormatting sqref="Q444">
    <cfRule type="duplicateValues" dxfId="7972" priority="8229"/>
  </conditionalFormatting>
  <conditionalFormatting sqref="Q444">
    <cfRule type="duplicateValues" dxfId="7971" priority="8228"/>
  </conditionalFormatting>
  <conditionalFormatting sqref="Q444">
    <cfRule type="duplicateValues" dxfId="7970" priority="8227"/>
  </conditionalFormatting>
  <conditionalFormatting sqref="Q444">
    <cfRule type="duplicateValues" dxfId="7969" priority="8226"/>
  </conditionalFormatting>
  <conditionalFormatting sqref="Q444:R444">
    <cfRule type="duplicateValues" dxfId="7968" priority="8230"/>
  </conditionalFormatting>
  <conditionalFormatting sqref="Q444:R444">
    <cfRule type="duplicateValues" dxfId="7967" priority="8231"/>
    <cfRule type="duplicateValues" dxfId="7966" priority="8232"/>
    <cfRule type="duplicateValues" dxfId="7965" priority="8233"/>
  </conditionalFormatting>
  <conditionalFormatting sqref="R444">
    <cfRule type="duplicateValues" dxfId="7964" priority="8234"/>
  </conditionalFormatting>
  <conditionalFormatting sqref="Q444">
    <cfRule type="duplicateValues" dxfId="7963" priority="8235"/>
  </conditionalFormatting>
  <conditionalFormatting sqref="Q444">
    <cfRule type="duplicateValues" dxfId="7962" priority="8236"/>
    <cfRule type="duplicateValues" dxfId="7961" priority="8237"/>
    <cfRule type="duplicateValues" dxfId="7960" priority="8238"/>
  </conditionalFormatting>
  <conditionalFormatting sqref="R444">
    <cfRule type="duplicateValues" dxfId="7959" priority="8239"/>
    <cfRule type="duplicateValues" dxfId="7958" priority="8240"/>
    <cfRule type="duplicateValues" dxfId="7957" priority="8241"/>
  </conditionalFormatting>
  <conditionalFormatting sqref="Q444">
    <cfRule type="duplicateValues" dxfId="7956" priority="8242"/>
    <cfRule type="duplicateValues" dxfId="7955" priority="8243"/>
  </conditionalFormatting>
  <conditionalFormatting sqref="Q444">
    <cfRule type="duplicateValues" dxfId="7954" priority="8225"/>
  </conditionalFormatting>
  <conditionalFormatting sqref="Q445">
    <cfRule type="duplicateValues" dxfId="7953" priority="8224"/>
  </conditionalFormatting>
  <conditionalFormatting sqref="Q445">
    <cfRule type="duplicateValues" dxfId="7952" priority="8223"/>
  </conditionalFormatting>
  <conditionalFormatting sqref="R445">
    <cfRule type="duplicateValues" dxfId="7951" priority="8222"/>
  </conditionalFormatting>
  <conditionalFormatting sqref="Q445">
    <cfRule type="duplicateValues" dxfId="7950" priority="8220"/>
    <cfRule type="duplicateValues" dxfId="7949" priority="8221"/>
  </conditionalFormatting>
  <conditionalFormatting sqref="Q445">
    <cfRule type="duplicateValues" dxfId="7948" priority="8219"/>
  </conditionalFormatting>
  <conditionalFormatting sqref="Q445">
    <cfRule type="duplicateValues" dxfId="7947" priority="8218"/>
  </conditionalFormatting>
  <conditionalFormatting sqref="Q445">
    <cfRule type="duplicateValues" dxfId="7946" priority="8217"/>
  </conditionalFormatting>
  <conditionalFormatting sqref="Q445">
    <cfRule type="duplicateValues" dxfId="7945" priority="8216"/>
  </conditionalFormatting>
  <conditionalFormatting sqref="Q445">
    <cfRule type="duplicateValues" dxfId="7944" priority="8215"/>
  </conditionalFormatting>
  <conditionalFormatting sqref="Q445">
    <cfRule type="duplicateValues" dxfId="7943" priority="8214"/>
  </conditionalFormatting>
  <conditionalFormatting sqref="Q445">
    <cfRule type="duplicateValues" dxfId="7942" priority="8213"/>
  </conditionalFormatting>
  <conditionalFormatting sqref="Q445">
    <cfRule type="duplicateValues" dxfId="7941" priority="8212"/>
  </conditionalFormatting>
  <conditionalFormatting sqref="Q445:R445">
    <cfRule type="duplicateValues" dxfId="7940" priority="8211"/>
  </conditionalFormatting>
  <conditionalFormatting sqref="Q445">
    <cfRule type="duplicateValues" dxfId="7939" priority="8210"/>
  </conditionalFormatting>
  <conditionalFormatting sqref="R445">
    <cfRule type="duplicateValues" dxfId="7938" priority="8209"/>
  </conditionalFormatting>
  <conditionalFormatting sqref="Q445:R445">
    <cfRule type="duplicateValues" dxfId="7937" priority="8206"/>
    <cfRule type="duplicateValues" dxfId="7936" priority="8207"/>
    <cfRule type="duplicateValues" dxfId="7935" priority="8208"/>
  </conditionalFormatting>
  <conditionalFormatting sqref="Q445">
    <cfRule type="duplicateValues" dxfId="7934" priority="8205"/>
  </conditionalFormatting>
  <conditionalFormatting sqref="Q446">
    <cfRule type="duplicateValues" dxfId="7933" priority="8204"/>
  </conditionalFormatting>
  <conditionalFormatting sqref="R446">
    <cfRule type="duplicateValues" dxfId="7932" priority="8203"/>
  </conditionalFormatting>
  <conditionalFormatting sqref="Q446">
    <cfRule type="duplicateValues" dxfId="7931" priority="8201"/>
    <cfRule type="duplicateValues" dxfId="7930" priority="8202"/>
  </conditionalFormatting>
  <conditionalFormatting sqref="Q446">
    <cfRule type="duplicateValues" dxfId="7929" priority="8200"/>
  </conditionalFormatting>
  <conditionalFormatting sqref="Q446">
    <cfRule type="duplicateValues" dxfId="7928" priority="8199"/>
  </conditionalFormatting>
  <conditionalFormatting sqref="Q446">
    <cfRule type="duplicateValues" dxfId="7927" priority="8198"/>
  </conditionalFormatting>
  <conditionalFormatting sqref="Q446">
    <cfRule type="duplicateValues" dxfId="7926" priority="8197"/>
  </conditionalFormatting>
  <conditionalFormatting sqref="Q446">
    <cfRule type="duplicateValues" dxfId="7925" priority="8196"/>
  </conditionalFormatting>
  <conditionalFormatting sqref="Q446">
    <cfRule type="duplicateValues" dxfId="7924" priority="8195"/>
  </conditionalFormatting>
  <conditionalFormatting sqref="Q446">
    <cfRule type="duplicateValues" dxfId="7923" priority="8194"/>
  </conditionalFormatting>
  <conditionalFormatting sqref="Q446">
    <cfRule type="duplicateValues" dxfId="7922" priority="8193"/>
  </conditionalFormatting>
  <conditionalFormatting sqref="Q446">
    <cfRule type="duplicateValues" dxfId="7921" priority="8192"/>
  </conditionalFormatting>
  <conditionalFormatting sqref="Q446">
    <cfRule type="duplicateValues" dxfId="7920" priority="8189"/>
    <cfRule type="duplicateValues" dxfId="7919" priority="8190"/>
    <cfRule type="duplicateValues" dxfId="7918" priority="8191"/>
  </conditionalFormatting>
  <conditionalFormatting sqref="R446">
    <cfRule type="duplicateValues" dxfId="7917" priority="8188"/>
  </conditionalFormatting>
  <conditionalFormatting sqref="R446">
    <cfRule type="duplicateValues" dxfId="7916" priority="8185"/>
    <cfRule type="duplicateValues" dxfId="7915" priority="8186"/>
    <cfRule type="duplicateValues" dxfId="7914" priority="8187"/>
  </conditionalFormatting>
  <conditionalFormatting sqref="Q446">
    <cfRule type="duplicateValues" dxfId="7913" priority="8184"/>
  </conditionalFormatting>
  <conditionalFormatting sqref="Q447">
    <cfRule type="duplicateValues" dxfId="7912" priority="8183"/>
  </conditionalFormatting>
  <conditionalFormatting sqref="Q447">
    <cfRule type="duplicateValues" dxfId="7911" priority="8182"/>
  </conditionalFormatting>
  <conditionalFormatting sqref="R447">
    <cfRule type="duplicateValues" dxfId="7910" priority="8181"/>
  </conditionalFormatting>
  <conditionalFormatting sqref="Q447">
    <cfRule type="duplicateValues" dxfId="7909" priority="8179"/>
    <cfRule type="duplicateValues" dxfId="7908" priority="8180"/>
  </conditionalFormatting>
  <conditionalFormatting sqref="Q447">
    <cfRule type="duplicateValues" dxfId="7907" priority="8178"/>
  </conditionalFormatting>
  <conditionalFormatting sqref="Q447">
    <cfRule type="duplicateValues" dxfId="7906" priority="8177"/>
  </conditionalFormatting>
  <conditionalFormatting sqref="Q447">
    <cfRule type="duplicateValues" dxfId="7905" priority="8176"/>
  </conditionalFormatting>
  <conditionalFormatting sqref="Q447">
    <cfRule type="duplicateValues" dxfId="7904" priority="8175"/>
  </conditionalFormatting>
  <conditionalFormatting sqref="Q447">
    <cfRule type="duplicateValues" dxfId="7903" priority="8174"/>
  </conditionalFormatting>
  <conditionalFormatting sqref="Q447">
    <cfRule type="duplicateValues" dxfId="7902" priority="8173"/>
  </conditionalFormatting>
  <conditionalFormatting sqref="Q447">
    <cfRule type="duplicateValues" dxfId="7901" priority="8172"/>
  </conditionalFormatting>
  <conditionalFormatting sqref="Q447">
    <cfRule type="duplicateValues" dxfId="7900" priority="8171"/>
  </conditionalFormatting>
  <conditionalFormatting sqref="Q447:R447">
    <cfRule type="duplicateValues" dxfId="7899" priority="8170"/>
  </conditionalFormatting>
  <conditionalFormatting sqref="Q447">
    <cfRule type="duplicateValues" dxfId="7898" priority="8169"/>
  </conditionalFormatting>
  <conditionalFormatting sqref="R447">
    <cfRule type="duplicateValues" dxfId="7897" priority="8168"/>
  </conditionalFormatting>
  <conditionalFormatting sqref="Q447:R447">
    <cfRule type="duplicateValues" dxfId="7896" priority="8165"/>
    <cfRule type="duplicateValues" dxfId="7895" priority="8166"/>
    <cfRule type="duplicateValues" dxfId="7894" priority="8167"/>
  </conditionalFormatting>
  <conditionalFormatting sqref="Q447">
    <cfRule type="duplicateValues" dxfId="7893" priority="8164"/>
  </conditionalFormatting>
  <conditionalFormatting sqref="Q448">
    <cfRule type="duplicateValues" dxfId="7892" priority="8163"/>
  </conditionalFormatting>
  <conditionalFormatting sqref="R448">
    <cfRule type="duplicateValues" dxfId="7891" priority="8162"/>
  </conditionalFormatting>
  <conditionalFormatting sqref="Q448">
    <cfRule type="duplicateValues" dxfId="7890" priority="8160"/>
    <cfRule type="duplicateValues" dxfId="7889" priority="8161"/>
  </conditionalFormatting>
  <conditionalFormatting sqref="Q448">
    <cfRule type="duplicateValues" dxfId="7888" priority="8159"/>
  </conditionalFormatting>
  <conditionalFormatting sqref="Q448">
    <cfRule type="duplicateValues" dxfId="7887" priority="8158"/>
  </conditionalFormatting>
  <conditionalFormatting sqref="Q448">
    <cfRule type="duplicateValues" dxfId="7886" priority="8157"/>
  </conditionalFormatting>
  <conditionalFormatting sqref="Q448">
    <cfRule type="duplicateValues" dxfId="7885" priority="8156"/>
  </conditionalFormatting>
  <conditionalFormatting sqref="Q448">
    <cfRule type="duplicateValues" dxfId="7884" priority="8155"/>
  </conditionalFormatting>
  <conditionalFormatting sqref="Q448">
    <cfRule type="duplicateValues" dxfId="7883" priority="8154"/>
  </conditionalFormatting>
  <conditionalFormatting sqref="Q448">
    <cfRule type="duplicateValues" dxfId="7882" priority="8153"/>
  </conditionalFormatting>
  <conditionalFormatting sqref="Q448">
    <cfRule type="duplicateValues" dxfId="7881" priority="8152"/>
  </conditionalFormatting>
  <conditionalFormatting sqref="Q448">
    <cfRule type="duplicateValues" dxfId="7880" priority="8151"/>
  </conditionalFormatting>
  <conditionalFormatting sqref="Q448">
    <cfRule type="duplicateValues" dxfId="7879" priority="8148"/>
    <cfRule type="duplicateValues" dxfId="7878" priority="8149"/>
    <cfRule type="duplicateValues" dxfId="7877" priority="8150"/>
  </conditionalFormatting>
  <conditionalFormatting sqref="R448">
    <cfRule type="duplicateValues" dxfId="7876" priority="8147"/>
  </conditionalFormatting>
  <conditionalFormatting sqref="R448">
    <cfRule type="duplicateValues" dxfId="7875" priority="8144"/>
    <cfRule type="duplicateValues" dxfId="7874" priority="8145"/>
    <cfRule type="duplicateValues" dxfId="7873" priority="8146"/>
  </conditionalFormatting>
  <conditionalFormatting sqref="Q448">
    <cfRule type="duplicateValues" dxfId="7872" priority="8143"/>
  </conditionalFormatting>
  <conditionalFormatting sqref="R449">
    <cfRule type="duplicateValues" dxfId="7871" priority="8142"/>
  </conditionalFormatting>
  <conditionalFormatting sqref="Q449:R449">
    <cfRule type="duplicateValues" dxfId="7870" priority="8141"/>
  </conditionalFormatting>
  <conditionalFormatting sqref="Q449">
    <cfRule type="duplicateValues" dxfId="7869" priority="8140"/>
  </conditionalFormatting>
  <conditionalFormatting sqref="Q449">
    <cfRule type="duplicateValues" dxfId="7868" priority="8139"/>
  </conditionalFormatting>
  <conditionalFormatting sqref="Q449">
    <cfRule type="duplicateValues" dxfId="7867" priority="8138"/>
  </conditionalFormatting>
  <conditionalFormatting sqref="Q449">
    <cfRule type="duplicateValues" dxfId="7866" priority="8137"/>
  </conditionalFormatting>
  <conditionalFormatting sqref="R449">
    <cfRule type="duplicateValues" dxfId="7865" priority="8136"/>
  </conditionalFormatting>
  <conditionalFormatting sqref="Q449">
    <cfRule type="duplicateValues" dxfId="7864" priority="8134"/>
    <cfRule type="duplicateValues" dxfId="7863" priority="8135"/>
  </conditionalFormatting>
  <conditionalFormatting sqref="Q449">
    <cfRule type="duplicateValues" dxfId="7862" priority="8133"/>
  </conditionalFormatting>
  <conditionalFormatting sqref="Q449">
    <cfRule type="duplicateValues" dxfId="7861" priority="8132"/>
  </conditionalFormatting>
  <conditionalFormatting sqref="Q449">
    <cfRule type="duplicateValues" dxfId="7860" priority="8131"/>
  </conditionalFormatting>
  <conditionalFormatting sqref="Q449">
    <cfRule type="duplicateValues" dxfId="7859" priority="8130"/>
  </conditionalFormatting>
  <conditionalFormatting sqref="Q449">
    <cfRule type="duplicateValues" dxfId="7858" priority="8129"/>
  </conditionalFormatting>
  <conditionalFormatting sqref="Q449">
    <cfRule type="duplicateValues" dxfId="7857" priority="8128"/>
  </conditionalFormatting>
  <conditionalFormatting sqref="Q449">
    <cfRule type="duplicateValues" dxfId="7856" priority="8127"/>
  </conditionalFormatting>
  <conditionalFormatting sqref="Q449">
    <cfRule type="duplicateValues" dxfId="7855" priority="8126"/>
  </conditionalFormatting>
  <conditionalFormatting sqref="Q449:R449">
    <cfRule type="duplicateValues" dxfId="7854" priority="8125"/>
  </conditionalFormatting>
  <conditionalFormatting sqref="Q449">
    <cfRule type="duplicateValues" dxfId="7853" priority="8124"/>
  </conditionalFormatting>
  <conditionalFormatting sqref="R449">
    <cfRule type="duplicateValues" dxfId="7852" priority="8123"/>
  </conditionalFormatting>
  <conditionalFormatting sqref="Q449:R449">
    <cfRule type="duplicateValues" dxfId="7851" priority="8120"/>
    <cfRule type="duplicateValues" dxfId="7850" priority="8121"/>
    <cfRule type="duplicateValues" dxfId="7849" priority="8122"/>
  </conditionalFormatting>
  <conditionalFormatting sqref="Q449">
    <cfRule type="duplicateValues" dxfId="7848" priority="8119"/>
  </conditionalFormatting>
  <conditionalFormatting sqref="Q450">
    <cfRule type="duplicateValues" dxfId="7847" priority="8118"/>
  </conditionalFormatting>
  <conditionalFormatting sqref="Q450">
    <cfRule type="duplicateValues" dxfId="7846" priority="8115"/>
    <cfRule type="duplicateValues" dxfId="7845" priority="8116"/>
    <cfRule type="duplicateValues" dxfId="7844" priority="8117"/>
  </conditionalFormatting>
  <conditionalFormatting sqref="Q450">
    <cfRule type="duplicateValues" dxfId="7843" priority="8114"/>
  </conditionalFormatting>
  <conditionalFormatting sqref="Q450">
    <cfRule type="duplicateValues" dxfId="7842" priority="8113"/>
  </conditionalFormatting>
  <conditionalFormatting sqref="Q450">
    <cfRule type="duplicateValues" dxfId="7841" priority="8112"/>
  </conditionalFormatting>
  <conditionalFormatting sqref="Q450">
    <cfRule type="duplicateValues" dxfId="7840" priority="8111"/>
  </conditionalFormatting>
  <conditionalFormatting sqref="Q450">
    <cfRule type="duplicateValues" dxfId="7839" priority="8110"/>
  </conditionalFormatting>
  <conditionalFormatting sqref="R450">
    <cfRule type="duplicateValues" dxfId="7838" priority="8109"/>
  </conditionalFormatting>
  <conditionalFormatting sqref="Q450">
    <cfRule type="duplicateValues" dxfId="7837" priority="8107"/>
    <cfRule type="duplicateValues" dxfId="7836" priority="8108"/>
  </conditionalFormatting>
  <conditionalFormatting sqref="Q450">
    <cfRule type="duplicateValues" dxfId="7835" priority="8106"/>
  </conditionalFormatting>
  <conditionalFormatting sqref="Q450">
    <cfRule type="duplicateValues" dxfId="7834" priority="8105"/>
  </conditionalFormatting>
  <conditionalFormatting sqref="Q450">
    <cfRule type="duplicateValues" dxfId="7833" priority="8104"/>
  </conditionalFormatting>
  <conditionalFormatting sqref="Q450">
    <cfRule type="duplicateValues" dxfId="7832" priority="8103"/>
  </conditionalFormatting>
  <conditionalFormatting sqref="Q450">
    <cfRule type="duplicateValues" dxfId="7831" priority="8102"/>
  </conditionalFormatting>
  <conditionalFormatting sqref="Q450">
    <cfRule type="duplicateValues" dxfId="7830" priority="8101"/>
  </conditionalFormatting>
  <conditionalFormatting sqref="Q450">
    <cfRule type="duplicateValues" dxfId="7829" priority="8100"/>
  </conditionalFormatting>
  <conditionalFormatting sqref="Q450">
    <cfRule type="duplicateValues" dxfId="7828" priority="8099"/>
  </conditionalFormatting>
  <conditionalFormatting sqref="R450">
    <cfRule type="duplicateValues" dxfId="7827" priority="8098"/>
  </conditionalFormatting>
  <conditionalFormatting sqref="R450">
    <cfRule type="duplicateValues" dxfId="7826" priority="8095"/>
    <cfRule type="duplicateValues" dxfId="7825" priority="8096"/>
    <cfRule type="duplicateValues" dxfId="7824" priority="8097"/>
  </conditionalFormatting>
  <conditionalFormatting sqref="Q450">
    <cfRule type="duplicateValues" dxfId="7823" priority="8094"/>
  </conditionalFormatting>
  <conditionalFormatting sqref="Q457:R457">
    <cfRule type="duplicateValues" dxfId="7822" priority="8093"/>
  </conditionalFormatting>
  <conditionalFormatting sqref="Q457:R457">
    <cfRule type="duplicateValues" dxfId="7821" priority="8090"/>
    <cfRule type="duplicateValues" dxfId="7820" priority="8091"/>
    <cfRule type="duplicateValues" dxfId="7819" priority="8092"/>
  </conditionalFormatting>
  <conditionalFormatting sqref="R457">
    <cfRule type="duplicateValues" dxfId="7818" priority="8089"/>
  </conditionalFormatting>
  <conditionalFormatting sqref="Q457:R457">
    <cfRule type="duplicateValues" dxfId="7817" priority="8088"/>
  </conditionalFormatting>
  <conditionalFormatting sqref="Q457">
    <cfRule type="duplicateValues" dxfId="7816" priority="8087"/>
  </conditionalFormatting>
  <conditionalFormatting sqref="Q457">
    <cfRule type="duplicateValues" dxfId="7815" priority="8086"/>
  </conditionalFormatting>
  <conditionalFormatting sqref="Q457">
    <cfRule type="duplicateValues" dxfId="7814" priority="8085"/>
  </conditionalFormatting>
  <conditionalFormatting sqref="Q457">
    <cfRule type="duplicateValues" dxfId="7813" priority="8084"/>
  </conditionalFormatting>
  <conditionalFormatting sqref="R457">
    <cfRule type="duplicateValues" dxfId="7812" priority="8083"/>
  </conditionalFormatting>
  <conditionalFormatting sqref="Q457">
    <cfRule type="duplicateValues" dxfId="7811" priority="8081"/>
    <cfRule type="duplicateValues" dxfId="7810" priority="8082"/>
  </conditionalFormatting>
  <conditionalFormatting sqref="Q457">
    <cfRule type="duplicateValues" dxfId="7809" priority="8080"/>
  </conditionalFormatting>
  <conditionalFormatting sqref="Q457">
    <cfRule type="duplicateValues" dxfId="7808" priority="8079"/>
  </conditionalFormatting>
  <conditionalFormatting sqref="Q457">
    <cfRule type="duplicateValues" dxfId="7807" priority="8078"/>
  </conditionalFormatting>
  <conditionalFormatting sqref="Q457">
    <cfRule type="duplicateValues" dxfId="7806" priority="8077"/>
  </conditionalFormatting>
  <conditionalFormatting sqref="Q457">
    <cfRule type="duplicateValues" dxfId="7805" priority="8076"/>
  </conditionalFormatting>
  <conditionalFormatting sqref="Q457">
    <cfRule type="duplicateValues" dxfId="7804" priority="8075"/>
  </conditionalFormatting>
  <conditionalFormatting sqref="Q457">
    <cfRule type="duplicateValues" dxfId="7803" priority="8074"/>
  </conditionalFormatting>
  <conditionalFormatting sqref="Q457">
    <cfRule type="duplicateValues" dxfId="7802" priority="8073"/>
  </conditionalFormatting>
  <conditionalFormatting sqref="Q457">
    <cfRule type="duplicateValues" dxfId="7801" priority="8072"/>
  </conditionalFormatting>
  <conditionalFormatting sqref="Q457">
    <cfRule type="duplicateValues" dxfId="7800" priority="8071"/>
  </conditionalFormatting>
  <conditionalFormatting sqref="R457">
    <cfRule type="duplicateValues" dxfId="7799" priority="8070"/>
  </conditionalFormatting>
  <conditionalFormatting sqref="R457">
    <cfRule type="duplicateValues" dxfId="7798" priority="8067"/>
    <cfRule type="duplicateValues" dxfId="7797" priority="8068"/>
    <cfRule type="duplicateValues" dxfId="7796" priority="8069"/>
  </conditionalFormatting>
  <conditionalFormatting sqref="R457">
    <cfRule type="duplicateValues" dxfId="7795" priority="8066"/>
  </conditionalFormatting>
  <conditionalFormatting sqref="R457">
    <cfRule type="duplicateValues" dxfId="7794" priority="8063"/>
    <cfRule type="duplicateValues" dxfId="7793" priority="8064"/>
    <cfRule type="duplicateValues" dxfId="7792" priority="8065"/>
  </conditionalFormatting>
  <conditionalFormatting sqref="Q457">
    <cfRule type="duplicateValues" dxfId="7791" priority="8062"/>
  </conditionalFormatting>
  <conditionalFormatting sqref="Q458:Q463">
    <cfRule type="duplicateValues" dxfId="7790" priority="8061"/>
  </conditionalFormatting>
  <conditionalFormatting sqref="R458:R463">
    <cfRule type="duplicateValues" dxfId="7789" priority="8060"/>
  </conditionalFormatting>
  <conditionalFormatting sqref="R458:R463">
    <cfRule type="duplicateValues" dxfId="7788" priority="8057"/>
    <cfRule type="duplicateValues" dxfId="7787" priority="8058"/>
    <cfRule type="duplicateValues" dxfId="7786" priority="8059"/>
  </conditionalFormatting>
  <conditionalFormatting sqref="Q464">
    <cfRule type="duplicateValues" dxfId="7785" priority="8056"/>
  </conditionalFormatting>
  <conditionalFormatting sqref="R464">
    <cfRule type="duplicateValues" dxfId="7784" priority="8055"/>
  </conditionalFormatting>
  <conditionalFormatting sqref="R464">
    <cfRule type="duplicateValues" dxfId="7783" priority="8052"/>
    <cfRule type="duplicateValues" dxfId="7782" priority="8053"/>
    <cfRule type="duplicateValues" dxfId="7781" priority="8054"/>
  </conditionalFormatting>
  <conditionalFormatting sqref="Q465:Q469">
    <cfRule type="duplicateValues" dxfId="7780" priority="8051"/>
  </conditionalFormatting>
  <conditionalFormatting sqref="R465:R469">
    <cfRule type="duplicateValues" dxfId="7779" priority="8050"/>
  </conditionalFormatting>
  <conditionalFormatting sqref="R465:R469">
    <cfRule type="duplicateValues" dxfId="7778" priority="8047"/>
    <cfRule type="duplicateValues" dxfId="7777" priority="8048"/>
    <cfRule type="duplicateValues" dxfId="7776" priority="8049"/>
  </conditionalFormatting>
  <conditionalFormatting sqref="R470:R471">
    <cfRule type="duplicateValues" dxfId="7775" priority="8046"/>
  </conditionalFormatting>
  <conditionalFormatting sqref="R470:R471">
    <cfRule type="duplicateValues" dxfId="7774" priority="8043"/>
    <cfRule type="duplicateValues" dxfId="7773" priority="8044"/>
    <cfRule type="duplicateValues" dxfId="7772" priority="8045"/>
  </conditionalFormatting>
  <conditionalFormatting sqref="R470:R471">
    <cfRule type="duplicateValues" dxfId="7771" priority="8042"/>
  </conditionalFormatting>
  <conditionalFormatting sqref="R470:R471">
    <cfRule type="duplicateValues" dxfId="7770" priority="8039"/>
    <cfRule type="duplicateValues" dxfId="7769" priority="8040"/>
    <cfRule type="duplicateValues" dxfId="7768" priority="8041"/>
  </conditionalFormatting>
  <conditionalFormatting sqref="Q470:Q471">
    <cfRule type="duplicateValues" dxfId="7767" priority="8038"/>
  </conditionalFormatting>
  <conditionalFormatting sqref="R472:R473">
    <cfRule type="duplicateValues" dxfId="7766" priority="8037"/>
  </conditionalFormatting>
  <conditionalFormatting sqref="R472:R473">
    <cfRule type="duplicateValues" dxfId="7765" priority="8034"/>
    <cfRule type="duplicateValues" dxfId="7764" priority="8035"/>
    <cfRule type="duplicateValues" dxfId="7763" priority="8036"/>
  </conditionalFormatting>
  <conditionalFormatting sqref="R472:R473">
    <cfRule type="duplicateValues" dxfId="7762" priority="8033"/>
  </conditionalFormatting>
  <conditionalFormatting sqref="R472:R473">
    <cfRule type="duplicateValues" dxfId="7761" priority="8030"/>
    <cfRule type="duplicateValues" dxfId="7760" priority="8031"/>
    <cfRule type="duplicateValues" dxfId="7759" priority="8032"/>
  </conditionalFormatting>
  <conditionalFormatting sqref="Q472:Q473">
    <cfRule type="duplicateValues" dxfId="7758" priority="8029"/>
  </conditionalFormatting>
  <conditionalFormatting sqref="R474:R477">
    <cfRule type="duplicateValues" dxfId="7757" priority="8028"/>
  </conditionalFormatting>
  <conditionalFormatting sqref="R474:R477">
    <cfRule type="duplicateValues" dxfId="7756" priority="8025"/>
    <cfRule type="duplicateValues" dxfId="7755" priority="8026"/>
    <cfRule type="duplicateValues" dxfId="7754" priority="8027"/>
  </conditionalFormatting>
  <conditionalFormatting sqref="R474:R477">
    <cfRule type="duplicateValues" dxfId="7753" priority="8024"/>
  </conditionalFormatting>
  <conditionalFormatting sqref="R474:R477">
    <cfRule type="duplicateValues" dxfId="7752" priority="8021"/>
    <cfRule type="duplicateValues" dxfId="7751" priority="8022"/>
    <cfRule type="duplicateValues" dxfId="7750" priority="8023"/>
  </conditionalFormatting>
  <conditionalFormatting sqref="Q474:Q477">
    <cfRule type="duplicateValues" dxfId="7749" priority="8020"/>
  </conditionalFormatting>
  <conditionalFormatting sqref="Q478:R479">
    <cfRule type="duplicateValues" dxfId="7748" priority="8019"/>
  </conditionalFormatting>
  <conditionalFormatting sqref="Q478:R479">
    <cfRule type="duplicateValues" dxfId="7747" priority="8016"/>
    <cfRule type="duplicateValues" dxfId="7746" priority="8017"/>
    <cfRule type="duplicateValues" dxfId="7745" priority="8018"/>
  </conditionalFormatting>
  <conditionalFormatting sqref="R478:R479">
    <cfRule type="duplicateValues" dxfId="7744" priority="8015"/>
  </conditionalFormatting>
  <conditionalFormatting sqref="Q478:R479">
    <cfRule type="duplicateValues" dxfId="7743" priority="8014"/>
  </conditionalFormatting>
  <conditionalFormatting sqref="Q478:Q479">
    <cfRule type="duplicateValues" dxfId="7742" priority="8013"/>
  </conditionalFormatting>
  <conditionalFormatting sqref="Q478:Q479">
    <cfRule type="duplicateValues" dxfId="7741" priority="8012"/>
  </conditionalFormatting>
  <conditionalFormatting sqref="Q478:Q479">
    <cfRule type="duplicateValues" dxfId="7740" priority="8011"/>
  </conditionalFormatting>
  <conditionalFormatting sqref="Q478:Q479">
    <cfRule type="duplicateValues" dxfId="7739" priority="8010"/>
  </conditionalFormatting>
  <conditionalFormatting sqref="R478:R479">
    <cfRule type="duplicateValues" dxfId="7738" priority="8009"/>
  </conditionalFormatting>
  <conditionalFormatting sqref="Q478:Q479">
    <cfRule type="duplicateValues" dxfId="7737" priority="8007"/>
    <cfRule type="duplicateValues" dxfId="7736" priority="8008"/>
  </conditionalFormatting>
  <conditionalFormatting sqref="Q478:Q479">
    <cfRule type="duplicateValues" dxfId="7735" priority="8006"/>
  </conditionalFormatting>
  <conditionalFormatting sqref="Q478:Q479">
    <cfRule type="duplicateValues" dxfId="7734" priority="8005"/>
  </conditionalFormatting>
  <conditionalFormatting sqref="Q478:Q479">
    <cfRule type="duplicateValues" dxfId="7733" priority="8004"/>
  </conditionalFormatting>
  <conditionalFormatting sqref="Q478:Q479">
    <cfRule type="duplicateValues" dxfId="7732" priority="8003"/>
  </conditionalFormatting>
  <conditionalFormatting sqref="Q478:Q479">
    <cfRule type="duplicateValues" dxfId="7731" priority="8002"/>
  </conditionalFormatting>
  <conditionalFormatting sqref="Q478:Q479">
    <cfRule type="duplicateValues" dxfId="7730" priority="8001"/>
  </conditionalFormatting>
  <conditionalFormatting sqref="Q478:Q479">
    <cfRule type="duplicateValues" dxfId="7729" priority="8000"/>
  </conditionalFormatting>
  <conditionalFormatting sqref="Q478:Q479">
    <cfRule type="duplicateValues" dxfId="7728" priority="7999"/>
  </conditionalFormatting>
  <conditionalFormatting sqref="Q478:Q479">
    <cfRule type="duplicateValues" dxfId="7727" priority="7998"/>
  </conditionalFormatting>
  <conditionalFormatting sqref="Q478:Q479">
    <cfRule type="duplicateValues" dxfId="7726" priority="7997"/>
  </conditionalFormatting>
  <conditionalFormatting sqref="R478:R479">
    <cfRule type="duplicateValues" dxfId="7725" priority="7996"/>
  </conditionalFormatting>
  <conditionalFormatting sqref="R478:R479">
    <cfRule type="duplicateValues" dxfId="7724" priority="7993"/>
    <cfRule type="duplicateValues" dxfId="7723" priority="7994"/>
    <cfRule type="duplicateValues" dxfId="7722" priority="7995"/>
  </conditionalFormatting>
  <conditionalFormatting sqref="Q478:Q479">
    <cfRule type="duplicateValues" dxfId="7721" priority="7992"/>
  </conditionalFormatting>
  <conditionalFormatting sqref="Q480:R487">
    <cfRule type="duplicateValues" dxfId="7720" priority="7991"/>
  </conditionalFormatting>
  <conditionalFormatting sqref="Q480:R487">
    <cfRule type="duplicateValues" dxfId="7719" priority="7988"/>
    <cfRule type="duplicateValues" dxfId="7718" priority="7989"/>
    <cfRule type="duplicateValues" dxfId="7717" priority="7990"/>
  </conditionalFormatting>
  <conditionalFormatting sqref="R480:R487">
    <cfRule type="duplicateValues" dxfId="7716" priority="7987"/>
  </conditionalFormatting>
  <conditionalFormatting sqref="Q480:R487">
    <cfRule type="duplicateValues" dxfId="7715" priority="7986"/>
  </conditionalFormatting>
  <conditionalFormatting sqref="Q480:Q487">
    <cfRule type="duplicateValues" dxfId="7714" priority="7985"/>
  </conditionalFormatting>
  <conditionalFormatting sqref="Q480:Q487">
    <cfRule type="duplicateValues" dxfId="7713" priority="7984"/>
  </conditionalFormatting>
  <conditionalFormatting sqref="Q480:Q487">
    <cfRule type="duplicateValues" dxfId="7712" priority="7983"/>
  </conditionalFormatting>
  <conditionalFormatting sqref="Q480:Q487">
    <cfRule type="duplicateValues" dxfId="7711" priority="7982"/>
  </conditionalFormatting>
  <conditionalFormatting sqref="R480:R487">
    <cfRule type="duplicateValues" dxfId="7710" priority="7981"/>
  </conditionalFormatting>
  <conditionalFormatting sqref="Q480:Q487">
    <cfRule type="duplicateValues" dxfId="7709" priority="7979"/>
    <cfRule type="duplicateValues" dxfId="7708" priority="7980"/>
  </conditionalFormatting>
  <conditionalFormatting sqref="Q480:Q487">
    <cfRule type="duplicateValues" dxfId="7707" priority="7978"/>
  </conditionalFormatting>
  <conditionalFormatting sqref="Q480:Q487">
    <cfRule type="duplicateValues" dxfId="7706" priority="7977"/>
  </conditionalFormatting>
  <conditionalFormatting sqref="Q480:Q487">
    <cfRule type="duplicateValues" dxfId="7705" priority="7976"/>
  </conditionalFormatting>
  <conditionalFormatting sqref="Q480:Q487">
    <cfRule type="duplicateValues" dxfId="7704" priority="7975"/>
  </conditionalFormatting>
  <conditionalFormatting sqref="Q480:Q487">
    <cfRule type="duplicateValues" dxfId="7703" priority="7974"/>
  </conditionalFormatting>
  <conditionalFormatting sqref="Q480:Q487">
    <cfRule type="duplicateValues" dxfId="7702" priority="7973"/>
  </conditionalFormatting>
  <conditionalFormatting sqref="Q480:Q487">
    <cfRule type="duplicateValues" dxfId="7701" priority="7972"/>
  </conditionalFormatting>
  <conditionalFormatting sqref="Q480:Q487">
    <cfRule type="duplicateValues" dxfId="7700" priority="7971"/>
  </conditionalFormatting>
  <conditionalFormatting sqref="Q480:Q487">
    <cfRule type="duplicateValues" dxfId="7699" priority="7970"/>
  </conditionalFormatting>
  <conditionalFormatting sqref="Q480:Q487">
    <cfRule type="duplicateValues" dxfId="7698" priority="7969"/>
  </conditionalFormatting>
  <conditionalFormatting sqref="R480:R487">
    <cfRule type="duplicateValues" dxfId="7697" priority="7968"/>
  </conditionalFormatting>
  <conditionalFormatting sqref="R480:R487">
    <cfRule type="duplicateValues" dxfId="7696" priority="7965"/>
    <cfRule type="duplicateValues" dxfId="7695" priority="7966"/>
    <cfRule type="duplicateValues" dxfId="7694" priority="7967"/>
  </conditionalFormatting>
  <conditionalFormatting sqref="Q480:Q487">
    <cfRule type="duplicateValues" dxfId="7693" priority="7964"/>
  </conditionalFormatting>
  <conditionalFormatting sqref="Q480:Q487">
    <cfRule type="duplicateValues" dxfId="7692" priority="7963"/>
  </conditionalFormatting>
  <conditionalFormatting sqref="Q488:Q489">
    <cfRule type="duplicateValues" dxfId="7691" priority="7962"/>
  </conditionalFormatting>
  <conditionalFormatting sqref="R488:R489">
    <cfRule type="duplicateValues" dxfId="7690" priority="7961"/>
  </conditionalFormatting>
  <conditionalFormatting sqref="R488:R489">
    <cfRule type="duplicateValues" dxfId="7689" priority="7958"/>
    <cfRule type="duplicateValues" dxfId="7688" priority="7959"/>
    <cfRule type="duplicateValues" dxfId="7687" priority="7960"/>
  </conditionalFormatting>
  <conditionalFormatting sqref="Q488:Q489">
    <cfRule type="duplicateValues" dxfId="7686" priority="7957"/>
  </conditionalFormatting>
  <conditionalFormatting sqref="C490:C494">
    <cfRule type="cellIs" dxfId="7685" priority="7956" operator="equal">
      <formula>0</formula>
    </cfRule>
  </conditionalFormatting>
  <conditionalFormatting sqref="Q490:Q494">
    <cfRule type="duplicateValues" dxfId="7684" priority="7949"/>
  </conditionalFormatting>
  <conditionalFormatting sqref="R490:R494">
    <cfRule type="duplicateValues" dxfId="7683" priority="7948"/>
  </conditionalFormatting>
  <conditionalFormatting sqref="R490:R494">
    <cfRule type="duplicateValues" dxfId="7682" priority="7945"/>
    <cfRule type="duplicateValues" dxfId="7681" priority="7946"/>
    <cfRule type="duplicateValues" dxfId="7680" priority="7947"/>
  </conditionalFormatting>
  <conditionalFormatting sqref="Q490:Q494">
    <cfRule type="duplicateValues" dxfId="7679" priority="7944"/>
  </conditionalFormatting>
  <conditionalFormatting sqref="R495:R500">
    <cfRule type="duplicateValues" dxfId="7678" priority="7943"/>
  </conditionalFormatting>
  <conditionalFormatting sqref="R495:R500">
    <cfRule type="duplicateValues" dxfId="7677" priority="7940"/>
    <cfRule type="duplicateValues" dxfId="7676" priority="7941"/>
    <cfRule type="duplicateValues" dxfId="7675" priority="7942"/>
  </conditionalFormatting>
  <conditionalFormatting sqref="Q495:Q500">
    <cfRule type="duplicateValues" dxfId="7674" priority="7939"/>
  </conditionalFormatting>
  <conditionalFormatting sqref="Q495:Q500">
    <cfRule type="duplicateValues" dxfId="7673" priority="7938"/>
  </conditionalFormatting>
  <conditionalFormatting sqref="C501">
    <cfRule type="cellIs" dxfId="7672" priority="7937" operator="equal">
      <formula>0</formula>
    </cfRule>
  </conditionalFormatting>
  <conditionalFormatting sqref="R501">
    <cfRule type="duplicateValues" dxfId="7671" priority="7927"/>
  </conditionalFormatting>
  <conditionalFormatting sqref="R501">
    <cfRule type="duplicateValues" dxfId="7670" priority="7924"/>
    <cfRule type="duplicateValues" dxfId="7669" priority="7925"/>
    <cfRule type="duplicateValues" dxfId="7668" priority="7926"/>
  </conditionalFormatting>
  <conditionalFormatting sqref="R501">
    <cfRule type="duplicateValues" dxfId="7667" priority="7923"/>
  </conditionalFormatting>
  <conditionalFormatting sqref="R501">
    <cfRule type="duplicateValues" dxfId="7666" priority="7920"/>
    <cfRule type="duplicateValues" dxfId="7665" priority="7921"/>
    <cfRule type="duplicateValues" dxfId="7664" priority="7922"/>
  </conditionalFormatting>
  <conditionalFormatting sqref="Q501">
    <cfRule type="duplicateValues" dxfId="7663" priority="7919"/>
  </conditionalFormatting>
  <conditionalFormatting sqref="Q501">
    <cfRule type="duplicateValues" dxfId="7662" priority="7918"/>
  </conditionalFormatting>
  <conditionalFormatting sqref="R510">
    <cfRule type="duplicateValues" dxfId="7661" priority="7917"/>
  </conditionalFormatting>
  <conditionalFormatting sqref="R510">
    <cfRule type="duplicateValues" dxfId="7660" priority="7914"/>
    <cfRule type="duplicateValues" dxfId="7659" priority="7915"/>
    <cfRule type="duplicateValues" dxfId="7658" priority="7916"/>
  </conditionalFormatting>
  <conditionalFormatting sqref="R510">
    <cfRule type="duplicateValues" dxfId="7657" priority="7913"/>
  </conditionalFormatting>
  <conditionalFormatting sqref="R510">
    <cfRule type="duplicateValues" dxfId="7656" priority="7910"/>
    <cfRule type="duplicateValues" dxfId="7655" priority="7911"/>
    <cfRule type="duplicateValues" dxfId="7654" priority="7912"/>
  </conditionalFormatting>
  <conditionalFormatting sqref="Q510">
    <cfRule type="duplicateValues" dxfId="7653" priority="7909"/>
  </conditionalFormatting>
  <conditionalFormatting sqref="Q510">
    <cfRule type="duplicateValues" dxfId="7652" priority="7908"/>
  </conditionalFormatting>
  <conditionalFormatting sqref="R511:R514">
    <cfRule type="duplicateValues" dxfId="7651" priority="7907"/>
  </conditionalFormatting>
  <conditionalFormatting sqref="R511:R514">
    <cfRule type="duplicateValues" dxfId="7650" priority="7904"/>
    <cfRule type="duplicateValues" dxfId="7649" priority="7905"/>
    <cfRule type="duplicateValues" dxfId="7648" priority="7906"/>
  </conditionalFormatting>
  <conditionalFormatting sqref="Q511:Q514">
    <cfRule type="duplicateValues" dxfId="7647" priority="7903"/>
  </conditionalFormatting>
  <conditionalFormatting sqref="Q511:Q514">
    <cfRule type="duplicateValues" dxfId="7646" priority="7902"/>
  </conditionalFormatting>
  <conditionalFormatting sqref="R502:R509">
    <cfRule type="duplicateValues" dxfId="7645" priority="7901"/>
  </conditionalFormatting>
  <conditionalFormatting sqref="R502:R509">
    <cfRule type="duplicateValues" dxfId="7644" priority="7898"/>
    <cfRule type="duplicateValues" dxfId="7643" priority="7899"/>
    <cfRule type="duplicateValues" dxfId="7642" priority="7900"/>
  </conditionalFormatting>
  <conditionalFormatting sqref="R502:R509">
    <cfRule type="duplicateValues" dxfId="7641" priority="7897"/>
  </conditionalFormatting>
  <conditionalFormatting sqref="R502:R509">
    <cfRule type="duplicateValues" dxfId="7640" priority="7894"/>
    <cfRule type="duplicateValues" dxfId="7639" priority="7895"/>
    <cfRule type="duplicateValues" dxfId="7638" priority="7896"/>
  </conditionalFormatting>
  <conditionalFormatting sqref="Q502:Q509">
    <cfRule type="duplicateValues" dxfId="7637" priority="7893"/>
  </conditionalFormatting>
  <conditionalFormatting sqref="Q502:Q509">
    <cfRule type="duplicateValues" dxfId="7636" priority="7892"/>
  </conditionalFormatting>
  <conditionalFormatting sqref="R515:R516">
    <cfRule type="duplicateValues" dxfId="7635" priority="7891"/>
  </conditionalFormatting>
  <conditionalFormatting sqref="Q515:R516">
    <cfRule type="duplicateValues" dxfId="7634" priority="7890"/>
  </conditionalFormatting>
  <conditionalFormatting sqref="Q515:Q516">
    <cfRule type="duplicateValues" dxfId="7633" priority="7889"/>
  </conditionalFormatting>
  <conditionalFormatting sqref="Q515:Q516">
    <cfRule type="duplicateValues" dxfId="7632" priority="7888"/>
  </conditionalFormatting>
  <conditionalFormatting sqref="Q515:Q516">
    <cfRule type="duplicateValues" dxfId="7631" priority="7887"/>
  </conditionalFormatting>
  <conditionalFormatting sqref="Q515:Q516">
    <cfRule type="duplicateValues" dxfId="7630" priority="7886"/>
  </conditionalFormatting>
  <conditionalFormatting sqref="R515:R516">
    <cfRule type="duplicateValues" dxfId="7629" priority="7885"/>
  </conditionalFormatting>
  <conditionalFormatting sqref="Q515:Q516">
    <cfRule type="duplicateValues" dxfId="7628" priority="7883"/>
    <cfRule type="duplicateValues" dxfId="7627" priority="7884"/>
  </conditionalFormatting>
  <conditionalFormatting sqref="Q515:Q516">
    <cfRule type="duplicateValues" dxfId="7626" priority="7882"/>
  </conditionalFormatting>
  <conditionalFormatting sqref="Q515:Q516">
    <cfRule type="duplicateValues" dxfId="7625" priority="7881"/>
  </conditionalFormatting>
  <conditionalFormatting sqref="Q515:Q516">
    <cfRule type="duplicateValues" dxfId="7624" priority="7880"/>
  </conditionalFormatting>
  <conditionalFormatting sqref="Q515:Q516">
    <cfRule type="duplicateValues" dxfId="7623" priority="7879"/>
  </conditionalFormatting>
  <conditionalFormatting sqref="Q515:Q516">
    <cfRule type="duplicateValues" dxfId="7622" priority="7878"/>
  </conditionalFormatting>
  <conditionalFormatting sqref="Q515:Q516">
    <cfRule type="duplicateValues" dxfId="7621" priority="7877"/>
  </conditionalFormatting>
  <conditionalFormatting sqref="Q515:Q516">
    <cfRule type="duplicateValues" dxfId="7620" priority="7876"/>
  </conditionalFormatting>
  <conditionalFormatting sqref="Q515:Q516">
    <cfRule type="duplicateValues" dxfId="7619" priority="7875"/>
  </conditionalFormatting>
  <conditionalFormatting sqref="Q515:R515">
    <cfRule type="duplicateValues" dxfId="7618" priority="7874"/>
  </conditionalFormatting>
  <conditionalFormatting sqref="Q515">
    <cfRule type="duplicateValues" dxfId="7617" priority="7873"/>
  </conditionalFormatting>
  <conditionalFormatting sqref="R515">
    <cfRule type="duplicateValues" dxfId="7616" priority="7872"/>
  </conditionalFormatting>
  <conditionalFormatting sqref="Q515:R515">
    <cfRule type="duplicateValues" dxfId="7615" priority="7869"/>
    <cfRule type="duplicateValues" dxfId="7614" priority="7870"/>
    <cfRule type="duplicateValues" dxfId="7613" priority="7871"/>
  </conditionalFormatting>
  <conditionalFormatting sqref="Q515:Q516">
    <cfRule type="duplicateValues" dxfId="7612" priority="7868"/>
  </conditionalFormatting>
  <conditionalFormatting sqref="Q515:Q516">
    <cfRule type="duplicateValues" dxfId="7611" priority="7867"/>
  </conditionalFormatting>
  <conditionalFormatting sqref="Q516:R516">
    <cfRule type="duplicateValues" dxfId="7610" priority="7866"/>
  </conditionalFormatting>
  <conditionalFormatting sqref="Q516">
    <cfRule type="duplicateValues" dxfId="7609" priority="7865"/>
  </conditionalFormatting>
  <conditionalFormatting sqref="R516">
    <cfRule type="duplicateValues" dxfId="7608" priority="7864"/>
  </conditionalFormatting>
  <conditionalFormatting sqref="Q516:R516">
    <cfRule type="duplicateValues" dxfId="7607" priority="7861"/>
    <cfRule type="duplicateValues" dxfId="7606" priority="7862"/>
    <cfRule type="duplicateValues" dxfId="7605" priority="7863"/>
  </conditionalFormatting>
  <conditionalFormatting sqref="Q517:Q518">
    <cfRule type="duplicateValues" dxfId="7604" priority="7860"/>
  </conditionalFormatting>
  <conditionalFormatting sqref="Q517:Q518">
    <cfRule type="duplicateValues" dxfId="7603" priority="7857"/>
    <cfRule type="duplicateValues" dxfId="7602" priority="7858"/>
    <cfRule type="duplicateValues" dxfId="7601" priority="7859"/>
  </conditionalFormatting>
  <conditionalFormatting sqref="Q517:Q518">
    <cfRule type="duplicateValues" dxfId="7600" priority="7856"/>
  </conditionalFormatting>
  <conditionalFormatting sqref="Q517:Q518">
    <cfRule type="duplicateValues" dxfId="7599" priority="7855"/>
  </conditionalFormatting>
  <conditionalFormatting sqref="Q517:Q518">
    <cfRule type="duplicateValues" dxfId="7598" priority="7854"/>
  </conditionalFormatting>
  <conditionalFormatting sqref="Q517:Q518">
    <cfRule type="duplicateValues" dxfId="7597" priority="7853"/>
  </conditionalFormatting>
  <conditionalFormatting sqref="Q517:Q518">
    <cfRule type="duplicateValues" dxfId="7596" priority="7852"/>
  </conditionalFormatting>
  <conditionalFormatting sqref="R517:R518">
    <cfRule type="duplicateValues" dxfId="7595" priority="7851"/>
  </conditionalFormatting>
  <conditionalFormatting sqref="Q517:Q518">
    <cfRule type="duplicateValues" dxfId="7594" priority="7849"/>
    <cfRule type="duplicateValues" dxfId="7593" priority="7850"/>
  </conditionalFormatting>
  <conditionalFormatting sqref="Q517:Q518">
    <cfRule type="duplicateValues" dxfId="7592" priority="7848"/>
  </conditionalFormatting>
  <conditionalFormatting sqref="Q517:Q518">
    <cfRule type="duplicateValues" dxfId="7591" priority="7847"/>
  </conditionalFormatting>
  <conditionalFormatting sqref="Q517:Q518">
    <cfRule type="duplicateValues" dxfId="7590" priority="7846"/>
  </conditionalFormatting>
  <conditionalFormatting sqref="Q517:Q518">
    <cfRule type="duplicateValues" dxfId="7589" priority="7845"/>
  </conditionalFormatting>
  <conditionalFormatting sqref="Q517:Q518">
    <cfRule type="duplicateValues" dxfId="7588" priority="7844"/>
  </conditionalFormatting>
  <conditionalFormatting sqref="Q517:Q518">
    <cfRule type="duplicateValues" dxfId="7587" priority="7843"/>
  </conditionalFormatting>
  <conditionalFormatting sqref="Q517:Q518">
    <cfRule type="duplicateValues" dxfId="7586" priority="7842"/>
  </conditionalFormatting>
  <conditionalFormatting sqref="Q517:Q518">
    <cfRule type="duplicateValues" dxfId="7585" priority="7841"/>
  </conditionalFormatting>
  <conditionalFormatting sqref="R517:R518">
    <cfRule type="duplicateValues" dxfId="7584" priority="7840"/>
  </conditionalFormatting>
  <conditionalFormatting sqref="R517:R518">
    <cfRule type="duplicateValues" dxfId="7583" priority="7837"/>
    <cfRule type="duplicateValues" dxfId="7582" priority="7838"/>
    <cfRule type="duplicateValues" dxfId="7581" priority="7839"/>
  </conditionalFormatting>
  <conditionalFormatting sqref="Q517:Q518">
    <cfRule type="duplicateValues" dxfId="7580" priority="7836"/>
  </conditionalFormatting>
  <conditionalFormatting sqref="Q517:Q518">
    <cfRule type="duplicateValues" dxfId="7579" priority="7835"/>
  </conditionalFormatting>
  <conditionalFormatting sqref="R519:R520">
    <cfRule type="duplicateValues" dxfId="7578" priority="7834"/>
  </conditionalFormatting>
  <conditionalFormatting sqref="Q519:Q520">
    <cfRule type="duplicateValues" dxfId="7577" priority="7832"/>
    <cfRule type="duplicateValues" dxfId="7576" priority="7833"/>
  </conditionalFormatting>
  <conditionalFormatting sqref="Q519:Q520">
    <cfRule type="duplicateValues" dxfId="7575" priority="7831"/>
  </conditionalFormatting>
  <conditionalFormatting sqref="Q519:Q520">
    <cfRule type="duplicateValues" dxfId="7574" priority="7830"/>
  </conditionalFormatting>
  <conditionalFormatting sqref="Q519:Q520">
    <cfRule type="duplicateValues" dxfId="7573" priority="7829"/>
  </conditionalFormatting>
  <conditionalFormatting sqref="Q519:Q520">
    <cfRule type="duplicateValues" dxfId="7572" priority="7828"/>
  </conditionalFormatting>
  <conditionalFormatting sqref="Q519:Q520">
    <cfRule type="duplicateValues" dxfId="7571" priority="7827"/>
  </conditionalFormatting>
  <conditionalFormatting sqref="Q519:Q520">
    <cfRule type="duplicateValues" dxfId="7570" priority="7826"/>
  </conditionalFormatting>
  <conditionalFormatting sqref="Q519:Q520">
    <cfRule type="duplicateValues" dxfId="7569" priority="7825"/>
  </conditionalFormatting>
  <conditionalFormatting sqref="Q519:Q520">
    <cfRule type="duplicateValues" dxfId="7568" priority="7824"/>
  </conditionalFormatting>
  <conditionalFormatting sqref="Q519:Q520">
    <cfRule type="duplicateValues" dxfId="7567" priority="7823"/>
  </conditionalFormatting>
  <conditionalFormatting sqref="Q519:Q520">
    <cfRule type="duplicateValues" dxfId="7566" priority="7820"/>
    <cfRule type="duplicateValues" dxfId="7565" priority="7821"/>
    <cfRule type="duplicateValues" dxfId="7564" priority="7822"/>
  </conditionalFormatting>
  <conditionalFormatting sqref="R519:R520">
    <cfRule type="duplicateValues" dxfId="7563" priority="7819"/>
  </conditionalFormatting>
  <conditionalFormatting sqref="R519:R520">
    <cfRule type="duplicateValues" dxfId="7562" priority="7816"/>
    <cfRule type="duplicateValues" dxfId="7561" priority="7817"/>
    <cfRule type="duplicateValues" dxfId="7560" priority="7818"/>
  </conditionalFormatting>
  <conditionalFormatting sqref="Q519:Q520">
    <cfRule type="duplicateValues" dxfId="7559" priority="7815"/>
  </conditionalFormatting>
  <conditionalFormatting sqref="Q519:Q520">
    <cfRule type="duplicateValues" dxfId="7558" priority="7814"/>
  </conditionalFormatting>
  <conditionalFormatting sqref="Q521:Q522">
    <cfRule type="duplicateValues" dxfId="7557" priority="7813"/>
  </conditionalFormatting>
  <conditionalFormatting sqref="R521:R522">
    <cfRule type="duplicateValues" dxfId="7556" priority="7812"/>
  </conditionalFormatting>
  <conditionalFormatting sqref="Q521:Q522">
    <cfRule type="duplicateValues" dxfId="7555" priority="7810"/>
    <cfRule type="duplicateValues" dxfId="7554" priority="7811"/>
  </conditionalFormatting>
  <conditionalFormatting sqref="Q521:Q522">
    <cfRule type="duplicateValues" dxfId="7553" priority="7809"/>
  </conditionalFormatting>
  <conditionalFormatting sqref="Q521:Q522">
    <cfRule type="duplicateValues" dxfId="7552" priority="7808"/>
  </conditionalFormatting>
  <conditionalFormatting sqref="Q521:Q522">
    <cfRule type="duplicateValues" dxfId="7551" priority="7807"/>
  </conditionalFormatting>
  <conditionalFormatting sqref="Q521:Q522">
    <cfRule type="duplicateValues" dxfId="7550" priority="7806"/>
  </conditionalFormatting>
  <conditionalFormatting sqref="Q521:Q522">
    <cfRule type="duplicateValues" dxfId="7549" priority="7805"/>
  </conditionalFormatting>
  <conditionalFormatting sqref="Q521:Q522">
    <cfRule type="duplicateValues" dxfId="7548" priority="7804"/>
  </conditionalFormatting>
  <conditionalFormatting sqref="Q521:Q522">
    <cfRule type="duplicateValues" dxfId="7547" priority="7803"/>
  </conditionalFormatting>
  <conditionalFormatting sqref="Q521:Q522">
    <cfRule type="duplicateValues" dxfId="7546" priority="7802"/>
  </conditionalFormatting>
  <conditionalFormatting sqref="Q521:Q522">
    <cfRule type="duplicateValues" dxfId="7545" priority="7801"/>
  </conditionalFormatting>
  <conditionalFormatting sqref="Q521:Q522">
    <cfRule type="duplicateValues" dxfId="7544" priority="7798"/>
    <cfRule type="duplicateValues" dxfId="7543" priority="7799"/>
    <cfRule type="duplicateValues" dxfId="7542" priority="7800"/>
  </conditionalFormatting>
  <conditionalFormatting sqref="R521:R522">
    <cfRule type="duplicateValues" dxfId="7541" priority="7797"/>
  </conditionalFormatting>
  <conditionalFormatting sqref="R521:R522">
    <cfRule type="duplicateValues" dxfId="7540" priority="7794"/>
    <cfRule type="duplicateValues" dxfId="7539" priority="7795"/>
    <cfRule type="duplicateValues" dxfId="7538" priority="7796"/>
  </conditionalFormatting>
  <conditionalFormatting sqref="Q521:Q522">
    <cfRule type="duplicateValues" dxfId="7537" priority="7793"/>
  </conditionalFormatting>
  <conditionalFormatting sqref="Q521:Q522">
    <cfRule type="duplicateValues" dxfId="7536" priority="7792"/>
  </conditionalFormatting>
  <conditionalFormatting sqref="Q523:Q524">
    <cfRule type="duplicateValues" dxfId="7535" priority="7791"/>
  </conditionalFormatting>
  <conditionalFormatting sqref="R523:R524">
    <cfRule type="duplicateValues" dxfId="7534" priority="7790"/>
  </conditionalFormatting>
  <conditionalFormatting sqref="R523:R524">
    <cfRule type="duplicateValues" dxfId="7533" priority="7787"/>
    <cfRule type="duplicateValues" dxfId="7532" priority="7788"/>
    <cfRule type="duplicateValues" dxfId="7531" priority="7789"/>
  </conditionalFormatting>
  <conditionalFormatting sqref="Q523:Q524">
    <cfRule type="duplicateValues" dxfId="7530" priority="7786"/>
  </conditionalFormatting>
  <conditionalFormatting sqref="Q525:Q532">
    <cfRule type="duplicateValues" dxfId="7529" priority="7785"/>
  </conditionalFormatting>
  <conditionalFormatting sqref="Q525:R532">
    <cfRule type="duplicateValues" dxfId="7528" priority="7784"/>
  </conditionalFormatting>
  <conditionalFormatting sqref="Q525:R532">
    <cfRule type="duplicateValues" dxfId="7527" priority="7781"/>
    <cfRule type="duplicateValues" dxfId="7526" priority="7782"/>
    <cfRule type="duplicateValues" dxfId="7525" priority="7783"/>
  </conditionalFormatting>
  <conditionalFormatting sqref="R525:R532">
    <cfRule type="duplicateValues" dxfId="7524" priority="7780"/>
  </conditionalFormatting>
  <conditionalFormatting sqref="Q525:Q532">
    <cfRule type="duplicateValues" dxfId="7523" priority="7778"/>
    <cfRule type="duplicateValues" dxfId="7522" priority="7779"/>
  </conditionalFormatting>
  <conditionalFormatting sqref="Q525:Q532">
    <cfRule type="duplicateValues" dxfId="7521" priority="7775"/>
    <cfRule type="duplicateValues" dxfId="7520" priority="7776"/>
    <cfRule type="duplicateValues" dxfId="7519" priority="7777"/>
  </conditionalFormatting>
  <conditionalFormatting sqref="R525:R532">
    <cfRule type="duplicateValues" dxfId="7518" priority="7772"/>
    <cfRule type="duplicateValues" dxfId="7517" priority="7773"/>
    <cfRule type="duplicateValues" dxfId="7516" priority="7774"/>
  </conditionalFormatting>
  <conditionalFormatting sqref="Q525:Q532">
    <cfRule type="duplicateValues" dxfId="7515" priority="7771"/>
  </conditionalFormatting>
  <conditionalFormatting sqref="Q525:Q532">
    <cfRule type="duplicateValues" dxfId="7514" priority="7770"/>
  </conditionalFormatting>
  <conditionalFormatting sqref="C533">
    <cfRule type="cellIs" dxfId="7513" priority="7769" operator="equal">
      <formula>0</formula>
    </cfRule>
  </conditionalFormatting>
  <conditionalFormatting sqref="Q533">
    <cfRule type="duplicateValues" dxfId="7512" priority="7759"/>
  </conditionalFormatting>
  <conditionalFormatting sqref="Q533">
    <cfRule type="duplicateValues" dxfId="7511" priority="7758"/>
  </conditionalFormatting>
  <conditionalFormatting sqref="Q533">
    <cfRule type="duplicateValues" dxfId="7510" priority="7757"/>
  </conditionalFormatting>
  <conditionalFormatting sqref="Q533:R533">
    <cfRule type="duplicateValues" dxfId="7509" priority="7756"/>
  </conditionalFormatting>
  <conditionalFormatting sqref="Q533:R533">
    <cfRule type="duplicateValues" dxfId="7508" priority="7753"/>
    <cfRule type="duplicateValues" dxfId="7507" priority="7754"/>
    <cfRule type="duplicateValues" dxfId="7506" priority="7755"/>
  </conditionalFormatting>
  <conditionalFormatting sqref="R533">
    <cfRule type="duplicateValues" dxfId="7505" priority="7752"/>
  </conditionalFormatting>
  <conditionalFormatting sqref="Q533">
    <cfRule type="duplicateValues" dxfId="7504" priority="7751"/>
  </conditionalFormatting>
  <conditionalFormatting sqref="Q533">
    <cfRule type="duplicateValues" dxfId="7503" priority="7748"/>
    <cfRule type="duplicateValues" dxfId="7502" priority="7749"/>
    <cfRule type="duplicateValues" dxfId="7501" priority="7750"/>
  </conditionalFormatting>
  <conditionalFormatting sqref="R533">
    <cfRule type="duplicateValues" dxfId="7500" priority="7745"/>
    <cfRule type="duplicateValues" dxfId="7499" priority="7746"/>
    <cfRule type="duplicateValues" dxfId="7498" priority="7747"/>
  </conditionalFormatting>
  <conditionalFormatting sqref="Q533">
    <cfRule type="duplicateValues" dxfId="7497" priority="7743"/>
    <cfRule type="duplicateValues" dxfId="7496" priority="7744"/>
  </conditionalFormatting>
  <conditionalFormatting sqref="Q533">
    <cfRule type="duplicateValues" dxfId="7495" priority="7742"/>
  </conditionalFormatting>
  <conditionalFormatting sqref="Q533">
    <cfRule type="duplicateValues" dxfId="7494" priority="7741"/>
  </conditionalFormatting>
  <conditionalFormatting sqref="C534">
    <cfRule type="cellIs" dxfId="7493" priority="7740" operator="equal">
      <formula>0</formula>
    </cfRule>
  </conditionalFormatting>
  <conditionalFormatting sqref="Q534:Q535">
    <cfRule type="duplicateValues" dxfId="7492" priority="7730"/>
  </conditionalFormatting>
  <conditionalFormatting sqref="R534:R535">
    <cfRule type="duplicateValues" dxfId="7491" priority="7729"/>
  </conditionalFormatting>
  <conditionalFormatting sqref="Q534:Q535">
    <cfRule type="duplicateValues" dxfId="7490" priority="7727"/>
    <cfRule type="duplicateValues" dxfId="7489" priority="7728"/>
  </conditionalFormatting>
  <conditionalFormatting sqref="Q534:Q535">
    <cfRule type="duplicateValues" dxfId="7488" priority="7726"/>
  </conditionalFormatting>
  <conditionalFormatting sqref="Q534:Q535">
    <cfRule type="duplicateValues" dxfId="7487" priority="7725"/>
  </conditionalFormatting>
  <conditionalFormatting sqref="Q534:Q535">
    <cfRule type="duplicateValues" dxfId="7486" priority="7724"/>
  </conditionalFormatting>
  <conditionalFormatting sqref="Q534:Q535">
    <cfRule type="duplicateValues" dxfId="7485" priority="7723"/>
  </conditionalFormatting>
  <conditionalFormatting sqref="Q534:Q535">
    <cfRule type="duplicateValues" dxfId="7484" priority="7722"/>
  </conditionalFormatting>
  <conditionalFormatting sqref="Q534:Q535">
    <cfRule type="duplicateValues" dxfId="7483" priority="7721"/>
  </conditionalFormatting>
  <conditionalFormatting sqref="Q534:Q535">
    <cfRule type="duplicateValues" dxfId="7482" priority="7720"/>
  </conditionalFormatting>
  <conditionalFormatting sqref="Q534:Q535">
    <cfRule type="duplicateValues" dxfId="7481" priority="7719"/>
  </conditionalFormatting>
  <conditionalFormatting sqref="Q534:Q535">
    <cfRule type="duplicateValues" dxfId="7480" priority="7718"/>
  </conditionalFormatting>
  <conditionalFormatting sqref="Q534:Q535">
    <cfRule type="duplicateValues" dxfId="7479" priority="7715"/>
    <cfRule type="duplicateValues" dxfId="7478" priority="7716"/>
    <cfRule type="duplicateValues" dxfId="7477" priority="7717"/>
  </conditionalFormatting>
  <conditionalFormatting sqref="R534:R535">
    <cfRule type="duplicateValues" dxfId="7476" priority="7714"/>
  </conditionalFormatting>
  <conditionalFormatting sqref="R534:R535">
    <cfRule type="duplicateValues" dxfId="7475" priority="7711"/>
    <cfRule type="duplicateValues" dxfId="7474" priority="7712"/>
    <cfRule type="duplicateValues" dxfId="7473" priority="7713"/>
  </conditionalFormatting>
  <conditionalFormatting sqref="Q534:Q535">
    <cfRule type="duplicateValues" dxfId="7472" priority="7710"/>
  </conditionalFormatting>
  <conditionalFormatting sqref="Q534:Q535">
    <cfRule type="duplicateValues" dxfId="7471" priority="7709"/>
  </conditionalFormatting>
  <conditionalFormatting sqref="Q536:Q537">
    <cfRule type="duplicateValues" dxfId="7470" priority="7708"/>
  </conditionalFormatting>
  <conditionalFormatting sqref="Q536:Q537">
    <cfRule type="duplicateValues" dxfId="7469" priority="7707"/>
  </conditionalFormatting>
  <conditionalFormatting sqref="Q536:Q537">
    <cfRule type="duplicateValues" dxfId="7468" priority="7706"/>
  </conditionalFormatting>
  <conditionalFormatting sqref="Q536:R537">
    <cfRule type="duplicateValues" dxfId="7467" priority="7705"/>
  </conditionalFormatting>
  <conditionalFormatting sqref="Q536:R537">
    <cfRule type="duplicateValues" dxfId="7466" priority="7702"/>
    <cfRule type="duplicateValues" dxfId="7465" priority="7703"/>
    <cfRule type="duplicateValues" dxfId="7464" priority="7704"/>
  </conditionalFormatting>
  <conditionalFormatting sqref="R536:R537">
    <cfRule type="duplicateValues" dxfId="7463" priority="7701"/>
  </conditionalFormatting>
  <conditionalFormatting sqref="Q536:Q537">
    <cfRule type="duplicateValues" dxfId="7462" priority="7700"/>
  </conditionalFormatting>
  <conditionalFormatting sqref="Q536:Q537">
    <cfRule type="duplicateValues" dxfId="7461" priority="7697"/>
    <cfRule type="duplicateValues" dxfId="7460" priority="7698"/>
    <cfRule type="duplicateValues" dxfId="7459" priority="7699"/>
  </conditionalFormatting>
  <conditionalFormatting sqref="R536:R537">
    <cfRule type="duplicateValues" dxfId="7458" priority="7694"/>
    <cfRule type="duplicateValues" dxfId="7457" priority="7695"/>
    <cfRule type="duplicateValues" dxfId="7456" priority="7696"/>
  </conditionalFormatting>
  <conditionalFormatting sqref="Q536:Q537">
    <cfRule type="duplicateValues" dxfId="7455" priority="7692"/>
    <cfRule type="duplicateValues" dxfId="7454" priority="7693"/>
  </conditionalFormatting>
  <conditionalFormatting sqref="Q536:Q537">
    <cfRule type="duplicateValues" dxfId="7453" priority="7691"/>
  </conditionalFormatting>
  <conditionalFormatting sqref="Q536:Q537">
    <cfRule type="duplicateValues" dxfId="7452" priority="7690"/>
  </conditionalFormatting>
  <conditionalFormatting sqref="Q538">
    <cfRule type="duplicateValues" dxfId="7451" priority="7689"/>
  </conditionalFormatting>
  <conditionalFormatting sqref="Q538">
    <cfRule type="duplicateValues" dxfId="7450" priority="7688"/>
  </conditionalFormatting>
  <conditionalFormatting sqref="Q538">
    <cfRule type="duplicateValues" dxfId="7449" priority="7687"/>
  </conditionalFormatting>
  <conditionalFormatting sqref="Q538:R538">
    <cfRule type="duplicateValues" dxfId="7448" priority="7686"/>
  </conditionalFormatting>
  <conditionalFormatting sqref="Q538:R538">
    <cfRule type="duplicateValues" dxfId="7447" priority="7683"/>
    <cfRule type="duplicateValues" dxfId="7446" priority="7684"/>
    <cfRule type="duplicateValues" dxfId="7445" priority="7685"/>
  </conditionalFormatting>
  <conditionalFormatting sqref="R538">
    <cfRule type="duplicateValues" dxfId="7444" priority="7682"/>
  </conditionalFormatting>
  <conditionalFormatting sqref="Q538">
    <cfRule type="duplicateValues" dxfId="7443" priority="7681"/>
  </conditionalFormatting>
  <conditionalFormatting sqref="Q538">
    <cfRule type="duplicateValues" dxfId="7442" priority="7678"/>
    <cfRule type="duplicateValues" dxfId="7441" priority="7679"/>
    <cfRule type="duplicateValues" dxfId="7440" priority="7680"/>
  </conditionalFormatting>
  <conditionalFormatting sqref="R538">
    <cfRule type="duplicateValues" dxfId="7439" priority="7675"/>
    <cfRule type="duplicateValues" dxfId="7438" priority="7676"/>
    <cfRule type="duplicateValues" dxfId="7437" priority="7677"/>
  </conditionalFormatting>
  <conditionalFormatting sqref="Q538">
    <cfRule type="duplicateValues" dxfId="7436" priority="7673"/>
    <cfRule type="duplicateValues" dxfId="7435" priority="7674"/>
  </conditionalFormatting>
  <conditionalFormatting sqref="Q538">
    <cfRule type="duplicateValues" dxfId="7434" priority="7672"/>
  </conditionalFormatting>
  <conditionalFormatting sqref="Q538">
    <cfRule type="duplicateValues" dxfId="7433" priority="7671"/>
  </conditionalFormatting>
  <conditionalFormatting sqref="Q539:Q542">
    <cfRule type="duplicateValues" dxfId="7432" priority="7670"/>
  </conditionalFormatting>
  <conditionalFormatting sqref="Q539:Q542">
    <cfRule type="duplicateValues" dxfId="7431" priority="7669"/>
  </conditionalFormatting>
  <conditionalFormatting sqref="Q539:Q542">
    <cfRule type="duplicateValues" dxfId="7430" priority="7668"/>
  </conditionalFormatting>
  <conditionalFormatting sqref="Q539:R542">
    <cfRule type="duplicateValues" dxfId="7429" priority="7667"/>
  </conditionalFormatting>
  <conditionalFormatting sqref="Q539:R542">
    <cfRule type="duplicateValues" dxfId="7428" priority="7664"/>
    <cfRule type="duplicateValues" dxfId="7427" priority="7665"/>
    <cfRule type="duplicateValues" dxfId="7426" priority="7666"/>
  </conditionalFormatting>
  <conditionalFormatting sqref="R539:R542">
    <cfRule type="duplicateValues" dxfId="7425" priority="7663"/>
  </conditionalFormatting>
  <conditionalFormatting sqref="Q539:Q542">
    <cfRule type="duplicateValues" dxfId="7424" priority="7662"/>
  </conditionalFormatting>
  <conditionalFormatting sqref="Q539:Q542">
    <cfRule type="duplicateValues" dxfId="7423" priority="7659"/>
    <cfRule type="duplicateValues" dxfId="7422" priority="7660"/>
    <cfRule type="duplicateValues" dxfId="7421" priority="7661"/>
  </conditionalFormatting>
  <conditionalFormatting sqref="R539:R542">
    <cfRule type="duplicateValues" dxfId="7420" priority="7656"/>
    <cfRule type="duplicateValues" dxfId="7419" priority="7657"/>
    <cfRule type="duplicateValues" dxfId="7418" priority="7658"/>
  </conditionalFormatting>
  <conditionalFormatting sqref="Q539:Q542">
    <cfRule type="duplicateValues" dxfId="7417" priority="7654"/>
    <cfRule type="duplicateValues" dxfId="7416" priority="7655"/>
  </conditionalFormatting>
  <conditionalFormatting sqref="Q539:Q542">
    <cfRule type="duplicateValues" dxfId="7415" priority="7653"/>
  </conditionalFormatting>
  <conditionalFormatting sqref="Q539:Q542">
    <cfRule type="duplicateValues" dxfId="7414" priority="7652"/>
  </conditionalFormatting>
  <conditionalFormatting sqref="C543">
    <cfRule type="cellIs" dxfId="7413" priority="7651" operator="equal">
      <formula>0</formula>
    </cfRule>
  </conditionalFormatting>
  <conditionalFormatting sqref="Q543:R544">
    <cfRule type="duplicateValues" dxfId="7412" priority="7641"/>
  </conditionalFormatting>
  <conditionalFormatting sqref="Q543:R544">
    <cfRule type="duplicateValues" dxfId="7411" priority="7638"/>
    <cfRule type="duplicateValues" dxfId="7410" priority="7639"/>
    <cfRule type="duplicateValues" dxfId="7409" priority="7640"/>
  </conditionalFormatting>
  <conditionalFormatting sqref="R543:R544">
    <cfRule type="duplicateValues" dxfId="7408" priority="7637"/>
  </conditionalFormatting>
  <conditionalFormatting sqref="Q543:R544">
    <cfRule type="duplicateValues" dxfId="7407" priority="7636"/>
  </conditionalFormatting>
  <conditionalFormatting sqref="Q543:Q544">
    <cfRule type="duplicateValues" dxfId="7406" priority="7635"/>
  </conditionalFormatting>
  <conditionalFormatting sqref="Q543:Q544">
    <cfRule type="duplicateValues" dxfId="7405" priority="7634"/>
  </conditionalFormatting>
  <conditionalFormatting sqref="Q543:Q544">
    <cfRule type="duplicateValues" dxfId="7404" priority="7633"/>
  </conditionalFormatting>
  <conditionalFormatting sqref="Q543:Q544">
    <cfRule type="duplicateValues" dxfId="7403" priority="7632"/>
  </conditionalFormatting>
  <conditionalFormatting sqref="R543:R544">
    <cfRule type="duplicateValues" dxfId="7402" priority="7631"/>
  </conditionalFormatting>
  <conditionalFormatting sqref="Q543:Q544">
    <cfRule type="duplicateValues" dxfId="7401" priority="7629"/>
    <cfRule type="duplicateValues" dxfId="7400" priority="7630"/>
  </conditionalFormatting>
  <conditionalFormatting sqref="Q543:Q544">
    <cfRule type="duplicateValues" dxfId="7399" priority="7628"/>
  </conditionalFormatting>
  <conditionalFormatting sqref="Q543:Q544">
    <cfRule type="duplicateValues" dxfId="7398" priority="7627"/>
  </conditionalFormatting>
  <conditionalFormatting sqref="Q543:Q544">
    <cfRule type="duplicateValues" dxfId="7397" priority="7626"/>
  </conditionalFormatting>
  <conditionalFormatting sqref="Q543:Q544">
    <cfRule type="duplicateValues" dxfId="7396" priority="7625"/>
  </conditionalFormatting>
  <conditionalFormatting sqref="Q543:Q544">
    <cfRule type="duplicateValues" dxfId="7395" priority="7624"/>
  </conditionalFormatting>
  <conditionalFormatting sqref="Q543:Q544">
    <cfRule type="duplicateValues" dxfId="7394" priority="7623"/>
  </conditionalFormatting>
  <conditionalFormatting sqref="Q543:Q544">
    <cfRule type="duplicateValues" dxfId="7393" priority="7622"/>
  </conditionalFormatting>
  <conditionalFormatting sqref="Q543:Q544">
    <cfRule type="duplicateValues" dxfId="7392" priority="7621"/>
  </conditionalFormatting>
  <conditionalFormatting sqref="Q543:R544">
    <cfRule type="duplicateValues" dxfId="7391" priority="7620"/>
  </conditionalFormatting>
  <conditionalFormatting sqref="Q543:Q544">
    <cfRule type="duplicateValues" dxfId="7390" priority="7619"/>
  </conditionalFormatting>
  <conditionalFormatting sqref="R543:R544">
    <cfRule type="duplicateValues" dxfId="7389" priority="7618"/>
  </conditionalFormatting>
  <conditionalFormatting sqref="Q543:Q544">
    <cfRule type="duplicateValues" dxfId="7388" priority="7617"/>
  </conditionalFormatting>
  <conditionalFormatting sqref="Q543:Q544">
    <cfRule type="duplicateValues" dxfId="7387" priority="7616"/>
  </conditionalFormatting>
  <conditionalFormatting sqref="Q545:R546">
    <cfRule type="duplicateValues" dxfId="7386" priority="7615"/>
  </conditionalFormatting>
  <conditionalFormatting sqref="Q545:R546">
    <cfRule type="duplicateValues" dxfId="7385" priority="7612"/>
    <cfRule type="duplicateValues" dxfId="7384" priority="7613"/>
    <cfRule type="duplicateValues" dxfId="7383" priority="7614"/>
  </conditionalFormatting>
  <conditionalFormatting sqref="R545:R546">
    <cfRule type="duplicateValues" dxfId="7382" priority="7611"/>
  </conditionalFormatting>
  <conditionalFormatting sqref="Q545:R546">
    <cfRule type="duplicateValues" dxfId="7381" priority="7610"/>
  </conditionalFormatting>
  <conditionalFormatting sqref="Q545:Q546">
    <cfRule type="duplicateValues" dxfId="7380" priority="7609"/>
  </conditionalFormatting>
  <conditionalFormatting sqref="Q545:Q546">
    <cfRule type="duplicateValues" dxfId="7379" priority="7608"/>
  </conditionalFormatting>
  <conditionalFormatting sqref="Q545:Q546">
    <cfRule type="duplicateValues" dxfId="7378" priority="7607"/>
  </conditionalFormatting>
  <conditionalFormatting sqref="Q545:Q546">
    <cfRule type="duplicateValues" dxfId="7377" priority="7606"/>
  </conditionalFormatting>
  <conditionalFormatting sqref="R545:R546">
    <cfRule type="duplicateValues" dxfId="7376" priority="7605"/>
  </conditionalFormatting>
  <conditionalFormatting sqref="Q545:Q546">
    <cfRule type="duplicateValues" dxfId="7375" priority="7603"/>
    <cfRule type="duplicateValues" dxfId="7374" priority="7604"/>
  </conditionalFormatting>
  <conditionalFormatting sqref="Q545:Q546">
    <cfRule type="duplicateValues" dxfId="7373" priority="7602"/>
  </conditionalFormatting>
  <conditionalFormatting sqref="Q545:Q546">
    <cfRule type="duplicateValues" dxfId="7372" priority="7601"/>
  </conditionalFormatting>
  <conditionalFormatting sqref="Q545:Q546">
    <cfRule type="duplicateValues" dxfId="7371" priority="7600"/>
  </conditionalFormatting>
  <conditionalFormatting sqref="Q545:Q546">
    <cfRule type="duplicateValues" dxfId="7370" priority="7599"/>
  </conditionalFormatting>
  <conditionalFormatting sqref="Q545:Q546">
    <cfRule type="duplicateValues" dxfId="7369" priority="7598"/>
  </conditionalFormatting>
  <conditionalFormatting sqref="Q545:Q546">
    <cfRule type="duplicateValues" dxfId="7368" priority="7597"/>
  </conditionalFormatting>
  <conditionalFormatting sqref="Q545:Q546">
    <cfRule type="duplicateValues" dxfId="7367" priority="7596"/>
  </conditionalFormatting>
  <conditionalFormatting sqref="Q545:Q546">
    <cfRule type="duplicateValues" dxfId="7366" priority="7595"/>
  </conditionalFormatting>
  <conditionalFormatting sqref="Q545:R546">
    <cfRule type="duplicateValues" dxfId="7365" priority="7594"/>
  </conditionalFormatting>
  <conditionalFormatting sqref="Q545:Q546">
    <cfRule type="duplicateValues" dxfId="7364" priority="7593"/>
  </conditionalFormatting>
  <conditionalFormatting sqref="R545:R546">
    <cfRule type="duplicateValues" dxfId="7363" priority="7592"/>
  </conditionalFormatting>
  <conditionalFormatting sqref="Q545:Q546">
    <cfRule type="duplicateValues" dxfId="7362" priority="7591"/>
  </conditionalFormatting>
  <conditionalFormatting sqref="Q545:Q546">
    <cfRule type="duplicateValues" dxfId="7361" priority="7590"/>
  </conditionalFormatting>
  <conditionalFormatting sqref="Q547:Q548">
    <cfRule type="duplicateValues" dxfId="7360" priority="7589"/>
  </conditionalFormatting>
  <conditionalFormatting sqref="Q547:Q548">
    <cfRule type="duplicateValues" dxfId="7359" priority="7588"/>
  </conditionalFormatting>
  <conditionalFormatting sqref="R547:R548">
    <cfRule type="duplicateValues" dxfId="7358" priority="7587"/>
  </conditionalFormatting>
  <conditionalFormatting sqref="Q547:Q548">
    <cfRule type="duplicateValues" dxfId="7357" priority="7585"/>
    <cfRule type="duplicateValues" dxfId="7356" priority="7586"/>
  </conditionalFormatting>
  <conditionalFormatting sqref="Q547:Q548">
    <cfRule type="duplicateValues" dxfId="7355" priority="7584"/>
  </conditionalFormatting>
  <conditionalFormatting sqref="Q547:Q548">
    <cfRule type="duplicateValues" dxfId="7354" priority="7583"/>
  </conditionalFormatting>
  <conditionalFormatting sqref="Q547:Q548">
    <cfRule type="duplicateValues" dxfId="7353" priority="7582"/>
  </conditionalFormatting>
  <conditionalFormatting sqref="Q547:Q548">
    <cfRule type="duplicateValues" dxfId="7352" priority="7581"/>
  </conditionalFormatting>
  <conditionalFormatting sqref="Q547:Q548">
    <cfRule type="duplicateValues" dxfId="7351" priority="7580"/>
  </conditionalFormatting>
  <conditionalFormatting sqref="Q547:Q548">
    <cfRule type="duplicateValues" dxfId="7350" priority="7579"/>
  </conditionalFormatting>
  <conditionalFormatting sqref="Q547:Q548">
    <cfRule type="duplicateValues" dxfId="7349" priority="7578"/>
  </conditionalFormatting>
  <conditionalFormatting sqref="Q547:Q548">
    <cfRule type="duplicateValues" dxfId="7348" priority="7577"/>
  </conditionalFormatting>
  <conditionalFormatting sqref="Q547:R548">
    <cfRule type="duplicateValues" dxfId="7347" priority="7576"/>
  </conditionalFormatting>
  <conditionalFormatting sqref="Q547:Q548">
    <cfRule type="duplicateValues" dxfId="7346" priority="7575"/>
  </conditionalFormatting>
  <conditionalFormatting sqref="R547:R548">
    <cfRule type="duplicateValues" dxfId="7345" priority="7574"/>
  </conditionalFormatting>
  <conditionalFormatting sqref="Q547:R548">
    <cfRule type="duplicateValues" dxfId="7344" priority="7571"/>
    <cfRule type="duplicateValues" dxfId="7343" priority="7572"/>
    <cfRule type="duplicateValues" dxfId="7342" priority="7573"/>
  </conditionalFormatting>
  <conditionalFormatting sqref="Q547:Q548">
    <cfRule type="duplicateValues" dxfId="7341" priority="7570"/>
  </conditionalFormatting>
  <conditionalFormatting sqref="Q547:Q548">
    <cfRule type="duplicateValues" dxfId="7340" priority="7569"/>
  </conditionalFormatting>
  <conditionalFormatting sqref="Q549:Q552">
    <cfRule type="duplicateValues" dxfId="7339" priority="7568"/>
  </conditionalFormatting>
  <conditionalFormatting sqref="Q549:Q552">
    <cfRule type="duplicateValues" dxfId="7338" priority="7567"/>
  </conditionalFormatting>
  <conditionalFormatting sqref="Q549:Q552">
    <cfRule type="duplicateValues" dxfId="7337" priority="7566"/>
  </conditionalFormatting>
  <conditionalFormatting sqref="R549:R552">
    <cfRule type="duplicateValues" dxfId="7336" priority="7565"/>
  </conditionalFormatting>
  <conditionalFormatting sqref="Q549:Q552">
    <cfRule type="duplicateValues" dxfId="7335" priority="7563"/>
    <cfRule type="duplicateValues" dxfId="7334" priority="7564"/>
  </conditionalFormatting>
  <conditionalFormatting sqref="Q549:Q552">
    <cfRule type="duplicateValues" dxfId="7333" priority="7562"/>
  </conditionalFormatting>
  <conditionalFormatting sqref="Q549:Q552">
    <cfRule type="duplicateValues" dxfId="7332" priority="7561"/>
  </conditionalFormatting>
  <conditionalFormatting sqref="Q549:Q552">
    <cfRule type="duplicateValues" dxfId="7331" priority="7560"/>
  </conditionalFormatting>
  <conditionalFormatting sqref="Q549:Q552">
    <cfRule type="duplicateValues" dxfId="7330" priority="7559"/>
  </conditionalFormatting>
  <conditionalFormatting sqref="Q549:Q552">
    <cfRule type="duplicateValues" dxfId="7329" priority="7558"/>
  </conditionalFormatting>
  <conditionalFormatting sqref="Q549:Q552">
    <cfRule type="duplicateValues" dxfId="7328" priority="7557"/>
  </conditionalFormatting>
  <conditionalFormatting sqref="Q549:Q552">
    <cfRule type="duplicateValues" dxfId="7327" priority="7556"/>
  </conditionalFormatting>
  <conditionalFormatting sqref="Q549:Q552">
    <cfRule type="duplicateValues" dxfId="7326" priority="7555"/>
  </conditionalFormatting>
  <conditionalFormatting sqref="Q549:Q552">
    <cfRule type="duplicateValues" dxfId="7325" priority="7554"/>
  </conditionalFormatting>
  <conditionalFormatting sqref="Q549:R552">
    <cfRule type="duplicateValues" dxfId="7324" priority="7553"/>
  </conditionalFormatting>
  <conditionalFormatting sqref="Q549:Q552">
    <cfRule type="duplicateValues" dxfId="7323" priority="7552"/>
  </conditionalFormatting>
  <conditionalFormatting sqref="R549:R552">
    <cfRule type="duplicateValues" dxfId="7322" priority="7551"/>
  </conditionalFormatting>
  <conditionalFormatting sqref="Q549:R552">
    <cfRule type="duplicateValues" dxfId="7321" priority="7548"/>
    <cfRule type="duplicateValues" dxfId="7320" priority="7549"/>
    <cfRule type="duplicateValues" dxfId="7319" priority="7550"/>
  </conditionalFormatting>
  <conditionalFormatting sqref="Q549:Q552">
    <cfRule type="duplicateValues" dxfId="7318" priority="7547"/>
  </conditionalFormatting>
  <conditionalFormatting sqref="Q554:R554">
    <cfRule type="duplicateValues" dxfId="7317" priority="7546"/>
  </conditionalFormatting>
  <conditionalFormatting sqref="Q554:R554">
    <cfRule type="duplicateValues" dxfId="7316" priority="7543"/>
    <cfRule type="duplicateValues" dxfId="7315" priority="7544"/>
    <cfRule type="duplicateValues" dxfId="7314" priority="7545"/>
  </conditionalFormatting>
  <conditionalFormatting sqref="R554">
    <cfRule type="duplicateValues" dxfId="7313" priority="7542"/>
  </conditionalFormatting>
  <conditionalFormatting sqref="Q554:R554">
    <cfRule type="duplicateValues" dxfId="7312" priority="7541"/>
  </conditionalFormatting>
  <conditionalFormatting sqref="Q554">
    <cfRule type="duplicateValues" dxfId="7311" priority="7540"/>
  </conditionalFormatting>
  <conditionalFormatting sqref="Q554">
    <cfRule type="duplicateValues" dxfId="7310" priority="7539"/>
  </conditionalFormatting>
  <conditionalFormatting sqref="Q554">
    <cfRule type="duplicateValues" dxfId="7309" priority="7538"/>
  </conditionalFormatting>
  <conditionalFormatting sqref="Q554">
    <cfRule type="duplicateValues" dxfId="7308" priority="7537"/>
  </conditionalFormatting>
  <conditionalFormatting sqref="R554">
    <cfRule type="duplicateValues" dxfId="7307" priority="7536"/>
  </conditionalFormatting>
  <conditionalFormatting sqref="Q554">
    <cfRule type="duplicateValues" dxfId="7306" priority="7534"/>
    <cfRule type="duplicateValues" dxfId="7305" priority="7535"/>
  </conditionalFormatting>
  <conditionalFormatting sqref="Q554">
    <cfRule type="duplicateValues" dxfId="7304" priority="7533"/>
  </conditionalFormatting>
  <conditionalFormatting sqref="Q554">
    <cfRule type="duplicateValues" dxfId="7303" priority="7532"/>
  </conditionalFormatting>
  <conditionalFormatting sqref="Q554">
    <cfRule type="duplicateValues" dxfId="7302" priority="7531"/>
  </conditionalFormatting>
  <conditionalFormatting sqref="Q554">
    <cfRule type="duplicateValues" dxfId="7301" priority="7530"/>
  </conditionalFormatting>
  <conditionalFormatting sqref="Q554">
    <cfRule type="duplicateValues" dxfId="7300" priority="7529"/>
  </conditionalFormatting>
  <conditionalFormatting sqref="Q554">
    <cfRule type="duplicateValues" dxfId="7299" priority="7528"/>
  </conditionalFormatting>
  <conditionalFormatting sqref="Q554">
    <cfRule type="duplicateValues" dxfId="7298" priority="7527"/>
  </conditionalFormatting>
  <conditionalFormatting sqref="Q554">
    <cfRule type="duplicateValues" dxfId="7297" priority="7526"/>
  </conditionalFormatting>
  <conditionalFormatting sqref="Q554:R554">
    <cfRule type="duplicateValues" dxfId="7296" priority="7525"/>
  </conditionalFormatting>
  <conditionalFormatting sqref="Q554">
    <cfRule type="duplicateValues" dxfId="7295" priority="7524"/>
  </conditionalFormatting>
  <conditionalFormatting sqref="Q554:R554">
    <cfRule type="duplicateValues" dxfId="7294" priority="7523"/>
  </conditionalFormatting>
  <conditionalFormatting sqref="R554">
    <cfRule type="duplicateValues" dxfId="7293" priority="7522"/>
  </conditionalFormatting>
  <conditionalFormatting sqref="Q554">
    <cfRule type="duplicateValues" dxfId="7292" priority="7521"/>
  </conditionalFormatting>
  <conditionalFormatting sqref="Q554">
    <cfRule type="duplicateValues" dxfId="7291" priority="7520"/>
  </conditionalFormatting>
  <conditionalFormatting sqref="Q553:R553">
    <cfRule type="duplicateValues" dxfId="7290" priority="7519"/>
  </conditionalFormatting>
  <conditionalFormatting sqref="Q553:R553">
    <cfRule type="duplicateValues" dxfId="7289" priority="7516"/>
    <cfRule type="duplicateValues" dxfId="7288" priority="7517"/>
    <cfRule type="duplicateValues" dxfId="7287" priority="7518"/>
  </conditionalFormatting>
  <conditionalFormatting sqref="R553">
    <cfRule type="duplicateValues" dxfId="7286" priority="7515"/>
  </conditionalFormatting>
  <conditionalFormatting sqref="Q553:R553">
    <cfRule type="duplicateValues" dxfId="7285" priority="7514"/>
  </conditionalFormatting>
  <conditionalFormatting sqref="Q553">
    <cfRule type="duplicateValues" dxfId="7284" priority="7513"/>
  </conditionalFormatting>
  <conditionalFormatting sqref="Q553">
    <cfRule type="duplicateValues" dxfId="7283" priority="7512"/>
  </conditionalFormatting>
  <conditionalFormatting sqref="Q553">
    <cfRule type="duplicateValues" dxfId="7282" priority="7511"/>
  </conditionalFormatting>
  <conditionalFormatting sqref="Q553">
    <cfRule type="duplicateValues" dxfId="7281" priority="7510"/>
  </conditionalFormatting>
  <conditionalFormatting sqref="R553">
    <cfRule type="duplicateValues" dxfId="7280" priority="7509"/>
  </conditionalFormatting>
  <conditionalFormatting sqref="Q553">
    <cfRule type="duplicateValues" dxfId="7279" priority="7507"/>
    <cfRule type="duplicateValues" dxfId="7278" priority="7508"/>
  </conditionalFormatting>
  <conditionalFormatting sqref="Q553">
    <cfRule type="duplicateValues" dxfId="7277" priority="7506"/>
  </conditionalFormatting>
  <conditionalFormatting sqref="Q553">
    <cfRule type="duplicateValues" dxfId="7276" priority="7505"/>
  </conditionalFormatting>
  <conditionalFormatting sqref="Q553">
    <cfRule type="duplicateValues" dxfId="7275" priority="7504"/>
  </conditionalFormatting>
  <conditionalFormatting sqref="Q553">
    <cfRule type="duplicateValues" dxfId="7274" priority="7503"/>
  </conditionalFormatting>
  <conditionalFormatting sqref="Q553">
    <cfRule type="duplicateValues" dxfId="7273" priority="7502"/>
  </conditionalFormatting>
  <conditionalFormatting sqref="Q553">
    <cfRule type="duplicateValues" dxfId="7272" priority="7501"/>
  </conditionalFormatting>
  <conditionalFormatting sqref="Q553">
    <cfRule type="duplicateValues" dxfId="7271" priority="7500"/>
  </conditionalFormatting>
  <conditionalFormatting sqref="Q553">
    <cfRule type="duplicateValues" dxfId="7270" priority="7499"/>
  </conditionalFormatting>
  <conditionalFormatting sqref="Q553:R553">
    <cfRule type="duplicateValues" dxfId="7269" priority="7498"/>
  </conditionalFormatting>
  <conditionalFormatting sqref="Q553">
    <cfRule type="duplicateValues" dxfId="7268" priority="7497"/>
  </conditionalFormatting>
  <conditionalFormatting sqref="Q553:R553">
    <cfRule type="duplicateValues" dxfId="7267" priority="7496"/>
  </conditionalFormatting>
  <conditionalFormatting sqref="R553">
    <cfRule type="duplicateValues" dxfId="7266" priority="7495"/>
  </conditionalFormatting>
  <conditionalFormatting sqref="Q553">
    <cfRule type="duplicateValues" dxfId="7265" priority="7494"/>
  </conditionalFormatting>
  <conditionalFormatting sqref="Q553">
    <cfRule type="duplicateValues" dxfId="7264" priority="7493"/>
  </conditionalFormatting>
  <conditionalFormatting sqref="Q555:Q559">
    <cfRule type="duplicateValues" dxfId="7263" priority="7492"/>
  </conditionalFormatting>
  <conditionalFormatting sqref="Q555:Q559">
    <cfRule type="duplicateValues" dxfId="7262" priority="7491"/>
  </conditionalFormatting>
  <conditionalFormatting sqref="Q555:Q559">
    <cfRule type="duplicateValues" dxfId="7261" priority="7490"/>
  </conditionalFormatting>
  <conditionalFormatting sqref="Q555:R559">
    <cfRule type="duplicateValues" dxfId="7260" priority="7489"/>
  </conditionalFormatting>
  <conditionalFormatting sqref="Q555:R559">
    <cfRule type="duplicateValues" dxfId="7259" priority="7486"/>
    <cfRule type="duplicateValues" dxfId="7258" priority="7487"/>
    <cfRule type="duplicateValues" dxfId="7257" priority="7488"/>
  </conditionalFormatting>
  <conditionalFormatting sqref="R555:R559">
    <cfRule type="duplicateValues" dxfId="7256" priority="7485"/>
  </conditionalFormatting>
  <conditionalFormatting sqref="Q555:Q559">
    <cfRule type="duplicateValues" dxfId="7255" priority="7483"/>
    <cfRule type="duplicateValues" dxfId="7254" priority="7484"/>
  </conditionalFormatting>
  <conditionalFormatting sqref="Q555:Q559">
    <cfRule type="duplicateValues" dxfId="7253" priority="7480"/>
    <cfRule type="duplicateValues" dxfId="7252" priority="7481"/>
    <cfRule type="duplicateValues" dxfId="7251" priority="7482"/>
  </conditionalFormatting>
  <conditionalFormatting sqref="R555:R559">
    <cfRule type="duplicateValues" dxfId="7250" priority="7477"/>
    <cfRule type="duplicateValues" dxfId="7249" priority="7478"/>
    <cfRule type="duplicateValues" dxfId="7248" priority="7479"/>
  </conditionalFormatting>
  <conditionalFormatting sqref="C560">
    <cfRule type="cellIs" dxfId="7247" priority="7476" operator="equal">
      <formula>0</formula>
    </cfRule>
  </conditionalFormatting>
  <conditionalFormatting sqref="Q560">
    <cfRule type="duplicateValues" dxfId="7246" priority="7466"/>
  </conditionalFormatting>
  <conditionalFormatting sqref="Q560">
    <cfRule type="duplicateValues" dxfId="7245" priority="7465"/>
  </conditionalFormatting>
  <conditionalFormatting sqref="Q560">
    <cfRule type="duplicateValues" dxfId="7244" priority="7464"/>
  </conditionalFormatting>
  <conditionalFormatting sqref="Q560:R560">
    <cfRule type="duplicateValues" dxfId="7243" priority="7463"/>
  </conditionalFormatting>
  <conditionalFormatting sqref="Q560:R560">
    <cfRule type="duplicateValues" dxfId="7242" priority="7460"/>
    <cfRule type="duplicateValues" dxfId="7241" priority="7461"/>
    <cfRule type="duplicateValues" dxfId="7240" priority="7462"/>
  </conditionalFormatting>
  <conditionalFormatting sqref="R560">
    <cfRule type="duplicateValues" dxfId="7239" priority="7459"/>
  </conditionalFormatting>
  <conditionalFormatting sqref="Q560">
    <cfRule type="duplicateValues" dxfId="7238" priority="7457"/>
    <cfRule type="duplicateValues" dxfId="7237" priority="7458"/>
  </conditionalFormatting>
  <conditionalFormatting sqref="Q560">
    <cfRule type="duplicateValues" dxfId="7236" priority="7454"/>
    <cfRule type="duplicateValues" dxfId="7235" priority="7455"/>
    <cfRule type="duplicateValues" dxfId="7234" priority="7456"/>
  </conditionalFormatting>
  <conditionalFormatting sqref="R560">
    <cfRule type="duplicateValues" dxfId="7233" priority="7451"/>
    <cfRule type="duplicateValues" dxfId="7232" priority="7452"/>
    <cfRule type="duplicateValues" dxfId="7231" priority="7453"/>
  </conditionalFormatting>
  <conditionalFormatting sqref="C561">
    <cfRule type="cellIs" dxfId="7230" priority="7450" operator="equal">
      <formula>0</formula>
    </cfRule>
  </conditionalFormatting>
  <conditionalFormatting sqref="Q561:Q565">
    <cfRule type="duplicateValues" dxfId="7229" priority="7440"/>
  </conditionalFormatting>
  <conditionalFormatting sqref="Q561:Q565">
    <cfRule type="duplicateValues" dxfId="7228" priority="7439"/>
  </conditionalFormatting>
  <conditionalFormatting sqref="Q561:Q565">
    <cfRule type="duplicateValues" dxfId="7227" priority="7438"/>
  </conditionalFormatting>
  <conditionalFormatting sqref="Q561:R565">
    <cfRule type="duplicateValues" dxfId="7226" priority="7437"/>
  </conditionalFormatting>
  <conditionalFormatting sqref="Q561:R565">
    <cfRule type="duplicateValues" dxfId="7225" priority="7434"/>
    <cfRule type="duplicateValues" dxfId="7224" priority="7435"/>
    <cfRule type="duplicateValues" dxfId="7223" priority="7436"/>
  </conditionalFormatting>
  <conditionalFormatting sqref="R561:R565">
    <cfRule type="duplicateValues" dxfId="7222" priority="7433"/>
  </conditionalFormatting>
  <conditionalFormatting sqref="Q561:Q565">
    <cfRule type="duplicateValues" dxfId="7221" priority="7431"/>
    <cfRule type="duplicateValues" dxfId="7220" priority="7432"/>
  </conditionalFormatting>
  <conditionalFormatting sqref="Q561:Q565">
    <cfRule type="duplicateValues" dxfId="7219" priority="7428"/>
    <cfRule type="duplicateValues" dxfId="7218" priority="7429"/>
    <cfRule type="duplicateValues" dxfId="7217" priority="7430"/>
  </conditionalFormatting>
  <conditionalFormatting sqref="R561:R565">
    <cfRule type="duplicateValues" dxfId="7216" priority="7425"/>
    <cfRule type="duplicateValues" dxfId="7215" priority="7426"/>
    <cfRule type="duplicateValues" dxfId="7214" priority="7427"/>
  </conditionalFormatting>
  <conditionalFormatting sqref="Q566:Q570">
    <cfRule type="duplicateValues" dxfId="7213" priority="7424"/>
  </conditionalFormatting>
  <conditionalFormatting sqref="R566:R570">
    <cfRule type="duplicateValues" dxfId="7212" priority="7423"/>
  </conditionalFormatting>
  <conditionalFormatting sqref="Q566:Q570">
    <cfRule type="duplicateValues" dxfId="7211" priority="7421"/>
    <cfRule type="duplicateValues" dxfId="7210" priority="7422"/>
  </conditionalFormatting>
  <conditionalFormatting sqref="Q566:Q570">
    <cfRule type="duplicateValues" dxfId="7209" priority="7420"/>
  </conditionalFormatting>
  <conditionalFormatting sqref="Q566:Q570">
    <cfRule type="duplicateValues" dxfId="7208" priority="7419"/>
  </conditionalFormatting>
  <conditionalFormatting sqref="Q566:Q570">
    <cfRule type="duplicateValues" dxfId="7207" priority="7418"/>
  </conditionalFormatting>
  <conditionalFormatting sqref="Q566:Q570">
    <cfRule type="duplicateValues" dxfId="7206" priority="7417"/>
  </conditionalFormatting>
  <conditionalFormatting sqref="Q566:Q570">
    <cfRule type="duplicateValues" dxfId="7205" priority="7416"/>
  </conditionalFormatting>
  <conditionalFormatting sqref="Q566:Q570">
    <cfRule type="duplicateValues" dxfId="7204" priority="7415"/>
  </conditionalFormatting>
  <conditionalFormatting sqref="Q566:Q570">
    <cfRule type="duplicateValues" dxfId="7203" priority="7414"/>
  </conditionalFormatting>
  <conditionalFormatting sqref="Q566:Q570">
    <cfRule type="duplicateValues" dxfId="7202" priority="7413"/>
  </conditionalFormatting>
  <conditionalFormatting sqref="Q566:Q570">
    <cfRule type="duplicateValues" dxfId="7201" priority="7412"/>
  </conditionalFormatting>
  <conditionalFormatting sqref="Q566:Q570">
    <cfRule type="duplicateValues" dxfId="7200" priority="7409"/>
    <cfRule type="duplicateValues" dxfId="7199" priority="7410"/>
    <cfRule type="duplicateValues" dxfId="7198" priority="7411"/>
  </conditionalFormatting>
  <conditionalFormatting sqref="R566:R570">
    <cfRule type="duplicateValues" dxfId="7197" priority="7408"/>
  </conditionalFormatting>
  <conditionalFormatting sqref="R566:R570">
    <cfRule type="duplicateValues" dxfId="7196" priority="7405"/>
    <cfRule type="duplicateValues" dxfId="7195" priority="7406"/>
    <cfRule type="duplicateValues" dxfId="7194" priority="7407"/>
  </conditionalFormatting>
  <conditionalFormatting sqref="Q566:Q570">
    <cfRule type="duplicateValues" dxfId="7193" priority="7404"/>
  </conditionalFormatting>
  <conditionalFormatting sqref="Q566:Q570">
    <cfRule type="duplicateValues" dxfId="7192" priority="7403"/>
  </conditionalFormatting>
  <conditionalFormatting sqref="Q571:R571">
    <cfRule type="duplicateValues" dxfId="7191" priority="7400"/>
    <cfRule type="duplicateValues" dxfId="7190" priority="7401"/>
    <cfRule type="duplicateValues" dxfId="7189" priority="7402"/>
  </conditionalFormatting>
  <conditionalFormatting sqref="R571">
    <cfRule type="duplicateValues" dxfId="7188" priority="7399"/>
  </conditionalFormatting>
  <conditionalFormatting sqref="Q571:R571">
    <cfRule type="duplicateValues" dxfId="7187" priority="7398"/>
  </conditionalFormatting>
  <conditionalFormatting sqref="Q571">
    <cfRule type="duplicateValues" dxfId="7186" priority="7397"/>
  </conditionalFormatting>
  <conditionalFormatting sqref="Q571">
    <cfRule type="duplicateValues" dxfId="7185" priority="7396"/>
  </conditionalFormatting>
  <conditionalFormatting sqref="Q571">
    <cfRule type="duplicateValues" dxfId="7184" priority="7395"/>
  </conditionalFormatting>
  <conditionalFormatting sqref="Q571">
    <cfRule type="duplicateValues" dxfId="7183" priority="7394"/>
  </conditionalFormatting>
  <conditionalFormatting sqref="R571">
    <cfRule type="duplicateValues" dxfId="7182" priority="7393"/>
  </conditionalFormatting>
  <conditionalFormatting sqref="Q571">
    <cfRule type="duplicateValues" dxfId="7181" priority="7391"/>
    <cfRule type="duplicateValues" dxfId="7180" priority="7392"/>
  </conditionalFormatting>
  <conditionalFormatting sqref="Q571">
    <cfRule type="duplicateValues" dxfId="7179" priority="7390"/>
  </conditionalFormatting>
  <conditionalFormatting sqref="Q571">
    <cfRule type="duplicateValues" dxfId="7178" priority="7389"/>
  </conditionalFormatting>
  <conditionalFormatting sqref="Q571">
    <cfRule type="duplicateValues" dxfId="7177" priority="7388"/>
  </conditionalFormatting>
  <conditionalFormatting sqref="Q571">
    <cfRule type="duplicateValues" dxfId="7176" priority="7387"/>
  </conditionalFormatting>
  <conditionalFormatting sqref="Q571">
    <cfRule type="duplicateValues" dxfId="7175" priority="7386"/>
  </conditionalFormatting>
  <conditionalFormatting sqref="Q571">
    <cfRule type="duplicateValues" dxfId="7174" priority="7385"/>
  </conditionalFormatting>
  <conditionalFormatting sqref="Q571">
    <cfRule type="duplicateValues" dxfId="7173" priority="7384"/>
  </conditionalFormatting>
  <conditionalFormatting sqref="Q571">
    <cfRule type="duplicateValues" dxfId="7172" priority="7383"/>
  </conditionalFormatting>
  <conditionalFormatting sqref="Q571:R571">
    <cfRule type="duplicateValues" dxfId="7171" priority="7382"/>
  </conditionalFormatting>
  <conditionalFormatting sqref="Q571">
    <cfRule type="duplicateValues" dxfId="7170" priority="7381"/>
  </conditionalFormatting>
  <conditionalFormatting sqref="R571">
    <cfRule type="duplicateValues" dxfId="7169" priority="7380"/>
  </conditionalFormatting>
  <conditionalFormatting sqref="Q571">
    <cfRule type="duplicateValues" dxfId="7168" priority="7379"/>
  </conditionalFormatting>
  <conditionalFormatting sqref="Q571">
    <cfRule type="duplicateValues" dxfId="7167" priority="7378"/>
  </conditionalFormatting>
  <conditionalFormatting sqref="Q572">
    <cfRule type="duplicateValues" dxfId="7166" priority="7377"/>
  </conditionalFormatting>
  <conditionalFormatting sqref="Q572">
    <cfRule type="duplicateValues" dxfId="7165" priority="7376"/>
  </conditionalFormatting>
  <conditionalFormatting sqref="Q572">
    <cfRule type="duplicateValues" dxfId="7164" priority="7375"/>
  </conditionalFormatting>
  <conditionalFormatting sqref="Q572">
    <cfRule type="duplicateValues" dxfId="7163" priority="7374"/>
  </conditionalFormatting>
  <conditionalFormatting sqref="Q572">
    <cfRule type="duplicateValues" dxfId="7162" priority="7373"/>
  </conditionalFormatting>
  <conditionalFormatting sqref="Q572">
    <cfRule type="duplicateValues" dxfId="7161" priority="7372"/>
  </conditionalFormatting>
  <conditionalFormatting sqref="Q572">
    <cfRule type="duplicateValues" dxfId="7160" priority="7371"/>
  </conditionalFormatting>
  <conditionalFormatting sqref="Q572:R572">
    <cfRule type="duplicateValues" dxfId="7159" priority="7370"/>
  </conditionalFormatting>
  <conditionalFormatting sqref="Q572:R572">
    <cfRule type="duplicateValues" dxfId="7158" priority="7367"/>
    <cfRule type="duplicateValues" dxfId="7157" priority="7368"/>
    <cfRule type="duplicateValues" dxfId="7156" priority="7369"/>
  </conditionalFormatting>
  <conditionalFormatting sqref="R572">
    <cfRule type="duplicateValues" dxfId="7155" priority="7366"/>
  </conditionalFormatting>
  <conditionalFormatting sqref="Q572">
    <cfRule type="duplicateValues" dxfId="7154" priority="7365"/>
  </conditionalFormatting>
  <conditionalFormatting sqref="Q572">
    <cfRule type="duplicateValues" dxfId="7153" priority="7362"/>
    <cfRule type="duplicateValues" dxfId="7152" priority="7363"/>
    <cfRule type="duplicateValues" dxfId="7151" priority="7364"/>
  </conditionalFormatting>
  <conditionalFormatting sqref="R572">
    <cfRule type="duplicateValues" dxfId="7150" priority="7359"/>
    <cfRule type="duplicateValues" dxfId="7149" priority="7360"/>
    <cfRule type="duplicateValues" dxfId="7148" priority="7361"/>
  </conditionalFormatting>
  <conditionalFormatting sqref="Q572">
    <cfRule type="duplicateValues" dxfId="7147" priority="7357"/>
    <cfRule type="duplicateValues" dxfId="7146" priority="7358"/>
  </conditionalFormatting>
  <conditionalFormatting sqref="Q572">
    <cfRule type="duplicateValues" dxfId="7145" priority="7356"/>
  </conditionalFormatting>
  <conditionalFormatting sqref="Q572">
    <cfRule type="duplicateValues" dxfId="7144" priority="7355"/>
  </conditionalFormatting>
  <conditionalFormatting sqref="Q573:Q575">
    <cfRule type="duplicateValues" dxfId="7143" priority="7354"/>
  </conditionalFormatting>
  <conditionalFormatting sqref="Q573:Q575">
    <cfRule type="duplicateValues" dxfId="7142" priority="7353"/>
  </conditionalFormatting>
  <conditionalFormatting sqref="Q573:Q575">
    <cfRule type="duplicateValues" dxfId="7141" priority="7352"/>
  </conditionalFormatting>
  <conditionalFormatting sqref="Q573:Q575">
    <cfRule type="duplicateValues" dxfId="7140" priority="7351"/>
  </conditionalFormatting>
  <conditionalFormatting sqref="Q573:R575">
    <cfRule type="duplicateValues" dxfId="7139" priority="7350"/>
  </conditionalFormatting>
  <conditionalFormatting sqref="Q573:R575">
    <cfRule type="duplicateValues" dxfId="7138" priority="7347"/>
    <cfRule type="duplicateValues" dxfId="7137" priority="7348"/>
    <cfRule type="duplicateValues" dxfId="7136" priority="7349"/>
  </conditionalFormatting>
  <conditionalFormatting sqref="R573:R575">
    <cfRule type="duplicateValues" dxfId="7135" priority="7346"/>
  </conditionalFormatting>
  <conditionalFormatting sqref="Q573:Q575">
    <cfRule type="duplicateValues" dxfId="7134" priority="7345"/>
  </conditionalFormatting>
  <conditionalFormatting sqref="Q573:Q575">
    <cfRule type="duplicateValues" dxfId="7133" priority="7342"/>
    <cfRule type="duplicateValues" dxfId="7132" priority="7343"/>
    <cfRule type="duplicateValues" dxfId="7131" priority="7344"/>
  </conditionalFormatting>
  <conditionalFormatting sqref="R573:R575">
    <cfRule type="duplicateValues" dxfId="7130" priority="7339"/>
    <cfRule type="duplicateValues" dxfId="7129" priority="7340"/>
    <cfRule type="duplicateValues" dxfId="7128" priority="7341"/>
  </conditionalFormatting>
  <conditionalFormatting sqref="Q573:Q575">
    <cfRule type="duplicateValues" dxfId="7127" priority="7337"/>
    <cfRule type="duplicateValues" dxfId="7126" priority="7338"/>
  </conditionalFormatting>
  <conditionalFormatting sqref="Q573:Q575">
    <cfRule type="duplicateValues" dxfId="7125" priority="7336"/>
  </conditionalFormatting>
  <conditionalFormatting sqref="Q573:Q575">
    <cfRule type="duplicateValues" dxfId="7124" priority="7335"/>
  </conditionalFormatting>
  <conditionalFormatting sqref="Q576:R580">
    <cfRule type="duplicateValues" dxfId="7123" priority="7334"/>
  </conditionalFormatting>
  <conditionalFormatting sqref="Q576:R580">
    <cfRule type="duplicateValues" dxfId="7122" priority="7331"/>
    <cfRule type="duplicateValues" dxfId="7121" priority="7332"/>
    <cfRule type="duplicateValues" dxfId="7120" priority="7333"/>
  </conditionalFormatting>
  <conditionalFormatting sqref="R576:R580">
    <cfRule type="duplicateValues" dxfId="7119" priority="7330"/>
  </conditionalFormatting>
  <conditionalFormatting sqref="Q576:R580">
    <cfRule type="duplicateValues" dxfId="7118" priority="7329"/>
  </conditionalFormatting>
  <conditionalFormatting sqref="Q576:Q580">
    <cfRule type="duplicateValues" dxfId="7117" priority="7328"/>
  </conditionalFormatting>
  <conditionalFormatting sqref="Q576:Q580">
    <cfRule type="duplicateValues" dxfId="7116" priority="7327"/>
  </conditionalFormatting>
  <conditionalFormatting sqref="Q576:Q580">
    <cfRule type="duplicateValues" dxfId="7115" priority="7326"/>
  </conditionalFormatting>
  <conditionalFormatting sqref="Q576:Q580">
    <cfRule type="duplicateValues" dxfId="7114" priority="7325"/>
  </conditionalFormatting>
  <conditionalFormatting sqref="R576:R580">
    <cfRule type="duplicateValues" dxfId="7113" priority="7324"/>
  </conditionalFormatting>
  <conditionalFormatting sqref="Q576:Q580">
    <cfRule type="duplicateValues" dxfId="7112" priority="7322"/>
    <cfRule type="duplicateValues" dxfId="7111" priority="7323"/>
  </conditionalFormatting>
  <conditionalFormatting sqref="Q576:Q580">
    <cfRule type="duplicateValues" dxfId="7110" priority="7321"/>
  </conditionalFormatting>
  <conditionalFormatting sqref="Q576:Q580">
    <cfRule type="duplicateValues" dxfId="7109" priority="7320"/>
  </conditionalFormatting>
  <conditionalFormatting sqref="Q576:Q580">
    <cfRule type="duplicateValues" dxfId="7108" priority="7319"/>
  </conditionalFormatting>
  <conditionalFormatting sqref="Q576:Q580">
    <cfRule type="duplicateValues" dxfId="7107" priority="7318"/>
  </conditionalFormatting>
  <conditionalFormatting sqref="Q576:Q580">
    <cfRule type="duplicateValues" dxfId="7106" priority="7317"/>
  </conditionalFormatting>
  <conditionalFormatting sqref="Q576:Q580">
    <cfRule type="duplicateValues" dxfId="7105" priority="7316"/>
  </conditionalFormatting>
  <conditionalFormatting sqref="Q576:Q580">
    <cfRule type="duplicateValues" dxfId="7104" priority="7315"/>
  </conditionalFormatting>
  <conditionalFormatting sqref="Q576:Q580">
    <cfRule type="duplicateValues" dxfId="7103" priority="7314"/>
  </conditionalFormatting>
  <conditionalFormatting sqref="Q576:R580">
    <cfRule type="duplicateValues" dxfId="7102" priority="7313"/>
  </conditionalFormatting>
  <conditionalFormatting sqref="Q576:Q580">
    <cfRule type="duplicateValues" dxfId="7101" priority="7312"/>
  </conditionalFormatting>
  <conditionalFormatting sqref="R576:R580">
    <cfRule type="duplicateValues" dxfId="7100" priority="7311"/>
  </conditionalFormatting>
  <conditionalFormatting sqref="Q576:Q580">
    <cfRule type="duplicateValues" dxfId="7099" priority="7310"/>
  </conditionalFormatting>
  <conditionalFormatting sqref="Q576:Q580">
    <cfRule type="duplicateValues" dxfId="7098" priority="7309"/>
  </conditionalFormatting>
  <conditionalFormatting sqref="Q581:R582">
    <cfRule type="duplicateValues" dxfId="7097" priority="7308"/>
  </conditionalFormatting>
  <conditionalFormatting sqref="Q581:R582">
    <cfRule type="duplicateValues" dxfId="7096" priority="7305"/>
    <cfRule type="duplicateValues" dxfId="7095" priority="7306"/>
    <cfRule type="duplicateValues" dxfId="7094" priority="7307"/>
  </conditionalFormatting>
  <conditionalFormatting sqref="R581:R582">
    <cfRule type="duplicateValues" dxfId="7093" priority="7304"/>
  </conditionalFormatting>
  <conditionalFormatting sqref="Q581:R582">
    <cfRule type="duplicateValues" dxfId="7092" priority="7303"/>
  </conditionalFormatting>
  <conditionalFormatting sqref="Q581:Q582">
    <cfRule type="duplicateValues" dxfId="7091" priority="7302"/>
  </conditionalFormatting>
  <conditionalFormatting sqref="Q581:Q582">
    <cfRule type="duplicateValues" dxfId="7090" priority="7301"/>
  </conditionalFormatting>
  <conditionalFormatting sqref="Q581:Q582">
    <cfRule type="duplicateValues" dxfId="7089" priority="7300"/>
  </conditionalFormatting>
  <conditionalFormatting sqref="Q581:Q582">
    <cfRule type="duplicateValues" dxfId="7088" priority="7299"/>
  </conditionalFormatting>
  <conditionalFormatting sqref="R581:R582">
    <cfRule type="duplicateValues" dxfId="7087" priority="7298"/>
  </conditionalFormatting>
  <conditionalFormatting sqref="Q581:Q582">
    <cfRule type="duplicateValues" dxfId="7086" priority="7296"/>
    <cfRule type="duplicateValues" dxfId="7085" priority="7297"/>
  </conditionalFormatting>
  <conditionalFormatting sqref="Q581:Q582">
    <cfRule type="duplicateValues" dxfId="7084" priority="7295"/>
  </conditionalFormatting>
  <conditionalFormatting sqref="Q581:Q582">
    <cfRule type="duplicateValues" dxfId="7083" priority="7294"/>
  </conditionalFormatting>
  <conditionalFormatting sqref="Q581:Q582">
    <cfRule type="duplicateValues" dxfId="7082" priority="7293"/>
  </conditionalFormatting>
  <conditionalFormatting sqref="Q581:Q582">
    <cfRule type="duplicateValues" dxfId="7081" priority="7292"/>
  </conditionalFormatting>
  <conditionalFormatting sqref="Q581:Q582">
    <cfRule type="duplicateValues" dxfId="7080" priority="7291"/>
  </conditionalFormatting>
  <conditionalFormatting sqref="Q581:Q582">
    <cfRule type="duplicateValues" dxfId="7079" priority="7290"/>
  </conditionalFormatting>
  <conditionalFormatting sqref="Q581:Q582">
    <cfRule type="duplicateValues" dxfId="7078" priority="7289"/>
  </conditionalFormatting>
  <conditionalFormatting sqref="Q581:Q582">
    <cfRule type="duplicateValues" dxfId="7077" priority="7288"/>
  </conditionalFormatting>
  <conditionalFormatting sqref="Q581:R582">
    <cfRule type="duplicateValues" dxfId="7076" priority="7287"/>
  </conditionalFormatting>
  <conditionalFormatting sqref="Q581:Q582">
    <cfRule type="duplicateValues" dxfId="7075" priority="7286"/>
  </conditionalFormatting>
  <conditionalFormatting sqref="Q581:R582">
    <cfRule type="duplicateValues" dxfId="7074" priority="7285"/>
  </conditionalFormatting>
  <conditionalFormatting sqref="R581:R582">
    <cfRule type="duplicateValues" dxfId="7073" priority="7284"/>
  </conditionalFormatting>
  <conditionalFormatting sqref="Q581:Q582">
    <cfRule type="duplicateValues" dxfId="7072" priority="7283"/>
  </conditionalFormatting>
  <conditionalFormatting sqref="Q581:Q582">
    <cfRule type="duplicateValues" dxfId="7071" priority="7282"/>
  </conditionalFormatting>
  <conditionalFormatting sqref="Q583:R585">
    <cfRule type="duplicateValues" dxfId="7070" priority="7281"/>
  </conditionalFormatting>
  <conditionalFormatting sqref="Q583:R585">
    <cfRule type="duplicateValues" dxfId="7069" priority="7278"/>
    <cfRule type="duplicateValues" dxfId="7068" priority="7279"/>
    <cfRule type="duplicateValues" dxfId="7067" priority="7280"/>
  </conditionalFormatting>
  <conditionalFormatting sqref="R583:R585">
    <cfRule type="duplicateValues" dxfId="7066" priority="7277"/>
  </conditionalFormatting>
  <conditionalFormatting sqref="Q583:R585">
    <cfRule type="duplicateValues" dxfId="7065" priority="7276"/>
  </conditionalFormatting>
  <conditionalFormatting sqref="Q583:Q585">
    <cfRule type="duplicateValues" dxfId="7064" priority="7275"/>
  </conditionalFormatting>
  <conditionalFormatting sqref="Q583:Q585">
    <cfRule type="duplicateValues" dxfId="7063" priority="7274"/>
  </conditionalFormatting>
  <conditionalFormatting sqref="Q583:Q585">
    <cfRule type="duplicateValues" dxfId="7062" priority="7273"/>
  </conditionalFormatting>
  <conditionalFormatting sqref="Q583:Q585">
    <cfRule type="duplicateValues" dxfId="7061" priority="7272"/>
  </conditionalFormatting>
  <conditionalFormatting sqref="R583:R585">
    <cfRule type="duplicateValues" dxfId="7060" priority="7271"/>
  </conditionalFormatting>
  <conditionalFormatting sqref="Q583:Q585">
    <cfRule type="duplicateValues" dxfId="7059" priority="7269"/>
    <cfRule type="duplicateValues" dxfId="7058" priority="7270"/>
  </conditionalFormatting>
  <conditionalFormatting sqref="Q583:Q585">
    <cfRule type="duplicateValues" dxfId="7057" priority="7268"/>
  </conditionalFormatting>
  <conditionalFormatting sqref="Q583:Q585">
    <cfRule type="duplicateValues" dxfId="7056" priority="7267"/>
  </conditionalFormatting>
  <conditionalFormatting sqref="Q583:Q585">
    <cfRule type="duplicateValues" dxfId="7055" priority="7266"/>
  </conditionalFormatting>
  <conditionalFormatting sqref="Q583:Q585">
    <cfRule type="duplicateValues" dxfId="7054" priority="7265"/>
  </conditionalFormatting>
  <conditionalFormatting sqref="Q583:Q585">
    <cfRule type="duplicateValues" dxfId="7053" priority="7264"/>
  </conditionalFormatting>
  <conditionalFormatting sqref="Q583:Q585">
    <cfRule type="duplicateValues" dxfId="7052" priority="7263"/>
  </conditionalFormatting>
  <conditionalFormatting sqref="Q583:Q585">
    <cfRule type="duplicateValues" dxfId="7051" priority="7262"/>
  </conditionalFormatting>
  <conditionalFormatting sqref="Q583:Q585">
    <cfRule type="duplicateValues" dxfId="7050" priority="7261"/>
  </conditionalFormatting>
  <conditionalFormatting sqref="Q583:R585">
    <cfRule type="duplicateValues" dxfId="7049" priority="7260"/>
  </conditionalFormatting>
  <conditionalFormatting sqref="Q583:Q585">
    <cfRule type="duplicateValues" dxfId="7048" priority="7259"/>
  </conditionalFormatting>
  <conditionalFormatting sqref="Q583:R585">
    <cfRule type="duplicateValues" dxfId="7047" priority="7258"/>
  </conditionalFormatting>
  <conditionalFormatting sqref="R583:R585">
    <cfRule type="duplicateValues" dxfId="7046" priority="7257"/>
  </conditionalFormatting>
  <conditionalFormatting sqref="Q583:Q585">
    <cfRule type="duplicateValues" dxfId="7045" priority="7256"/>
  </conditionalFormatting>
  <conditionalFormatting sqref="Q583:Q585">
    <cfRule type="duplicateValues" dxfId="7044" priority="7255"/>
  </conditionalFormatting>
  <conditionalFormatting sqref="Q586">
    <cfRule type="duplicateValues" dxfId="7043" priority="7254"/>
  </conditionalFormatting>
  <conditionalFormatting sqref="Q586:R586">
    <cfRule type="duplicateValues" dxfId="7042" priority="7253"/>
  </conditionalFormatting>
  <conditionalFormatting sqref="Q586:R586">
    <cfRule type="duplicateValues" dxfId="7041" priority="7250"/>
    <cfRule type="duplicateValues" dxfId="7040" priority="7251"/>
    <cfRule type="duplicateValues" dxfId="7039" priority="7252"/>
  </conditionalFormatting>
  <conditionalFormatting sqref="R586">
    <cfRule type="duplicateValues" dxfId="7038" priority="7249"/>
  </conditionalFormatting>
  <conditionalFormatting sqref="Q586">
    <cfRule type="duplicateValues" dxfId="7037" priority="7247"/>
    <cfRule type="duplicateValues" dxfId="7036" priority="7248"/>
  </conditionalFormatting>
  <conditionalFormatting sqref="Q586">
    <cfRule type="duplicateValues" dxfId="7035" priority="7244"/>
    <cfRule type="duplicateValues" dxfId="7034" priority="7245"/>
    <cfRule type="duplicateValues" dxfId="7033" priority="7246"/>
  </conditionalFormatting>
  <conditionalFormatting sqref="R586">
    <cfRule type="duplicateValues" dxfId="7032" priority="7241"/>
    <cfRule type="duplicateValues" dxfId="7031" priority="7242"/>
    <cfRule type="duplicateValues" dxfId="7030" priority="7243"/>
  </conditionalFormatting>
  <conditionalFormatting sqref="Q586">
    <cfRule type="duplicateValues" dxfId="7029" priority="7240"/>
  </conditionalFormatting>
  <conditionalFormatting sqref="Q586">
    <cfRule type="duplicateValues" dxfId="7028" priority="7239"/>
  </conditionalFormatting>
  <conditionalFormatting sqref="Q587">
    <cfRule type="duplicateValues" dxfId="7027" priority="7238"/>
  </conditionalFormatting>
  <conditionalFormatting sqref="Q587:R587">
    <cfRule type="duplicateValues" dxfId="7026" priority="7237"/>
  </conditionalFormatting>
  <conditionalFormatting sqref="Q587:R587">
    <cfRule type="duplicateValues" dxfId="7025" priority="7234"/>
    <cfRule type="duplicateValues" dxfId="7024" priority="7235"/>
    <cfRule type="duplicateValues" dxfId="7023" priority="7236"/>
  </conditionalFormatting>
  <conditionalFormatting sqref="R587">
    <cfRule type="duplicateValues" dxfId="7022" priority="7233"/>
  </conditionalFormatting>
  <conditionalFormatting sqref="Q587">
    <cfRule type="duplicateValues" dxfId="7021" priority="7231"/>
    <cfRule type="duplicateValues" dxfId="7020" priority="7232"/>
  </conditionalFormatting>
  <conditionalFormatting sqref="Q587">
    <cfRule type="duplicateValues" dxfId="7019" priority="7228"/>
    <cfRule type="duplicateValues" dxfId="7018" priority="7229"/>
    <cfRule type="duplicateValues" dxfId="7017" priority="7230"/>
  </conditionalFormatting>
  <conditionalFormatting sqref="R587">
    <cfRule type="duplicateValues" dxfId="7016" priority="7225"/>
    <cfRule type="duplicateValues" dxfId="7015" priority="7226"/>
    <cfRule type="duplicateValues" dxfId="7014" priority="7227"/>
  </conditionalFormatting>
  <conditionalFormatting sqref="Q587">
    <cfRule type="duplicateValues" dxfId="7013" priority="7224"/>
  </conditionalFormatting>
  <conditionalFormatting sqref="Q587">
    <cfRule type="duplicateValues" dxfId="7012" priority="7223"/>
  </conditionalFormatting>
  <conditionalFormatting sqref="Q588">
    <cfRule type="duplicateValues" dxfId="7011" priority="7222"/>
  </conditionalFormatting>
  <conditionalFormatting sqref="Q588:R588">
    <cfRule type="duplicateValues" dxfId="7010" priority="7221"/>
  </conditionalFormatting>
  <conditionalFormatting sqref="Q588:R588">
    <cfRule type="duplicateValues" dxfId="7009" priority="7218"/>
    <cfRule type="duplicateValues" dxfId="7008" priority="7219"/>
    <cfRule type="duplicateValues" dxfId="7007" priority="7220"/>
  </conditionalFormatting>
  <conditionalFormatting sqref="R588">
    <cfRule type="duplicateValues" dxfId="7006" priority="7217"/>
  </conditionalFormatting>
  <conditionalFormatting sqref="Q588">
    <cfRule type="duplicateValues" dxfId="7005" priority="7215"/>
    <cfRule type="duplicateValues" dxfId="7004" priority="7216"/>
  </conditionalFormatting>
  <conditionalFormatting sqref="Q588">
    <cfRule type="duplicateValues" dxfId="7003" priority="7212"/>
    <cfRule type="duplicateValues" dxfId="7002" priority="7213"/>
    <cfRule type="duplicateValues" dxfId="7001" priority="7214"/>
  </conditionalFormatting>
  <conditionalFormatting sqref="R588">
    <cfRule type="duplicateValues" dxfId="7000" priority="7209"/>
    <cfRule type="duplicateValues" dxfId="6999" priority="7210"/>
    <cfRule type="duplicateValues" dxfId="6998" priority="7211"/>
  </conditionalFormatting>
  <conditionalFormatting sqref="Q588">
    <cfRule type="duplicateValues" dxfId="6997" priority="7208"/>
  </conditionalFormatting>
  <conditionalFormatting sqref="Q588">
    <cfRule type="duplicateValues" dxfId="6996" priority="7207"/>
  </conditionalFormatting>
  <conditionalFormatting sqref="Q589">
    <cfRule type="duplicateValues" dxfId="6995" priority="7206"/>
  </conditionalFormatting>
  <conditionalFormatting sqref="Q589:R589">
    <cfRule type="duplicateValues" dxfId="6994" priority="7205"/>
  </conditionalFormatting>
  <conditionalFormatting sqref="Q589:R589">
    <cfRule type="duplicateValues" dxfId="6993" priority="7202"/>
    <cfRule type="duplicateValues" dxfId="6992" priority="7203"/>
    <cfRule type="duplicateValues" dxfId="6991" priority="7204"/>
  </conditionalFormatting>
  <conditionalFormatting sqref="R589">
    <cfRule type="duplicateValues" dxfId="6990" priority="7201"/>
  </conditionalFormatting>
  <conditionalFormatting sqref="Q589">
    <cfRule type="duplicateValues" dxfId="6989" priority="7199"/>
    <cfRule type="duplicateValues" dxfId="6988" priority="7200"/>
  </conditionalFormatting>
  <conditionalFormatting sqref="Q589">
    <cfRule type="duplicateValues" dxfId="6987" priority="7196"/>
    <cfRule type="duplicateValues" dxfId="6986" priority="7197"/>
    <cfRule type="duplicateValues" dxfId="6985" priority="7198"/>
  </conditionalFormatting>
  <conditionalFormatting sqref="R589">
    <cfRule type="duplicateValues" dxfId="6984" priority="7193"/>
    <cfRule type="duplicateValues" dxfId="6983" priority="7194"/>
    <cfRule type="duplicateValues" dxfId="6982" priority="7195"/>
  </conditionalFormatting>
  <conditionalFormatting sqref="Q589">
    <cfRule type="duplicateValues" dxfId="6981" priority="7192"/>
  </conditionalFormatting>
  <conditionalFormatting sqref="Q589">
    <cfRule type="duplicateValues" dxfId="6980" priority="7191"/>
  </conditionalFormatting>
  <conditionalFormatting sqref="Q590">
    <cfRule type="duplicateValues" dxfId="6979" priority="7190"/>
  </conditionalFormatting>
  <conditionalFormatting sqref="Q590">
    <cfRule type="duplicateValues" dxfId="6978" priority="7189"/>
  </conditionalFormatting>
  <conditionalFormatting sqref="Q590">
    <cfRule type="duplicateValues" dxfId="6977" priority="7188"/>
  </conditionalFormatting>
  <conditionalFormatting sqref="Q590:R590">
    <cfRule type="duplicateValues" dxfId="6976" priority="7187"/>
  </conditionalFormatting>
  <conditionalFormatting sqref="Q590:R590">
    <cfRule type="duplicateValues" dxfId="6975" priority="7184"/>
    <cfRule type="duplicateValues" dxfId="6974" priority="7185"/>
    <cfRule type="duplicateValues" dxfId="6973" priority="7186"/>
  </conditionalFormatting>
  <conditionalFormatting sqref="R590">
    <cfRule type="duplicateValues" dxfId="6972" priority="7183"/>
  </conditionalFormatting>
  <conditionalFormatting sqref="Q590">
    <cfRule type="duplicateValues" dxfId="6971" priority="7181"/>
    <cfRule type="duplicateValues" dxfId="6970" priority="7182"/>
  </conditionalFormatting>
  <conditionalFormatting sqref="Q590">
    <cfRule type="duplicateValues" dxfId="6969" priority="7178"/>
    <cfRule type="duplicateValues" dxfId="6968" priority="7179"/>
    <cfRule type="duplicateValues" dxfId="6967" priority="7180"/>
  </conditionalFormatting>
  <conditionalFormatting sqref="R590">
    <cfRule type="duplicateValues" dxfId="6966" priority="7175"/>
    <cfRule type="duplicateValues" dxfId="6965" priority="7176"/>
    <cfRule type="duplicateValues" dxfId="6964" priority="7177"/>
  </conditionalFormatting>
  <conditionalFormatting sqref="Q591:Q595">
    <cfRule type="duplicateValues" dxfId="6963" priority="7174"/>
  </conditionalFormatting>
  <conditionalFormatting sqref="Q591:Q595">
    <cfRule type="duplicateValues" dxfId="6962" priority="7173"/>
  </conditionalFormatting>
  <conditionalFormatting sqref="Q591:Q595">
    <cfRule type="duplicateValues" dxfId="6961" priority="7172"/>
  </conditionalFormatting>
  <conditionalFormatting sqref="Q591:R595">
    <cfRule type="duplicateValues" dxfId="6960" priority="7171"/>
  </conditionalFormatting>
  <conditionalFormatting sqref="Q591:R595">
    <cfRule type="duplicateValues" dxfId="6959" priority="7168"/>
    <cfRule type="duplicateValues" dxfId="6958" priority="7169"/>
    <cfRule type="duplicateValues" dxfId="6957" priority="7170"/>
  </conditionalFormatting>
  <conditionalFormatting sqref="R591:R595">
    <cfRule type="duplicateValues" dxfId="6956" priority="7167"/>
  </conditionalFormatting>
  <conditionalFormatting sqref="Q591:Q595">
    <cfRule type="duplicateValues" dxfId="6955" priority="7165"/>
    <cfRule type="duplicateValues" dxfId="6954" priority="7166"/>
  </conditionalFormatting>
  <conditionalFormatting sqref="Q591:Q595">
    <cfRule type="duplicateValues" dxfId="6953" priority="7162"/>
    <cfRule type="duplicateValues" dxfId="6952" priority="7163"/>
    <cfRule type="duplicateValues" dxfId="6951" priority="7164"/>
  </conditionalFormatting>
  <conditionalFormatting sqref="R591:R595">
    <cfRule type="duplicateValues" dxfId="6950" priority="7159"/>
    <cfRule type="duplicateValues" dxfId="6949" priority="7160"/>
    <cfRule type="duplicateValues" dxfId="6948" priority="7161"/>
  </conditionalFormatting>
  <conditionalFormatting sqref="C596">
    <cfRule type="cellIs" dxfId="6947" priority="7158" operator="equal">
      <formula>0</formula>
    </cfRule>
  </conditionalFormatting>
  <conditionalFormatting sqref="Q596">
    <cfRule type="duplicateValues" dxfId="6946" priority="7148"/>
  </conditionalFormatting>
  <conditionalFormatting sqref="Q596">
    <cfRule type="duplicateValues" dxfId="6945" priority="7147"/>
  </conditionalFormatting>
  <conditionalFormatting sqref="Q596">
    <cfRule type="duplicateValues" dxfId="6944" priority="7146"/>
  </conditionalFormatting>
  <conditionalFormatting sqref="Q596:R596">
    <cfRule type="duplicateValues" dxfId="6943" priority="7145"/>
  </conditionalFormatting>
  <conditionalFormatting sqref="Q596:R596">
    <cfRule type="duplicateValues" dxfId="6942" priority="7142"/>
    <cfRule type="duplicateValues" dxfId="6941" priority="7143"/>
    <cfRule type="duplicateValues" dxfId="6940" priority="7144"/>
  </conditionalFormatting>
  <conditionalFormatting sqref="R596">
    <cfRule type="duplicateValues" dxfId="6939" priority="7141"/>
  </conditionalFormatting>
  <conditionalFormatting sqref="Q596">
    <cfRule type="duplicateValues" dxfId="6938" priority="7139"/>
    <cfRule type="duplicateValues" dxfId="6937" priority="7140"/>
  </conditionalFormatting>
  <conditionalFormatting sqref="Q596">
    <cfRule type="duplicateValues" dxfId="6936" priority="7136"/>
    <cfRule type="duplicateValues" dxfId="6935" priority="7137"/>
    <cfRule type="duplicateValues" dxfId="6934" priority="7138"/>
  </conditionalFormatting>
  <conditionalFormatting sqref="R596">
    <cfRule type="duplicateValues" dxfId="6933" priority="7133"/>
    <cfRule type="duplicateValues" dxfId="6932" priority="7134"/>
    <cfRule type="duplicateValues" dxfId="6931" priority="7135"/>
  </conditionalFormatting>
  <conditionalFormatting sqref="Q597:Q598">
    <cfRule type="duplicateValues" dxfId="6930" priority="7132"/>
  </conditionalFormatting>
  <conditionalFormatting sqref="Q597:Q598">
    <cfRule type="duplicateValues" dxfId="6929" priority="7131"/>
  </conditionalFormatting>
  <conditionalFormatting sqref="Q597:Q598">
    <cfRule type="duplicateValues" dxfId="6928" priority="7130"/>
  </conditionalFormatting>
  <conditionalFormatting sqref="Q597:Q598">
    <cfRule type="duplicateValues" dxfId="6927" priority="7129"/>
  </conditionalFormatting>
  <conditionalFormatting sqref="Q597:Q598">
    <cfRule type="duplicateValues" dxfId="6926" priority="7128"/>
  </conditionalFormatting>
  <conditionalFormatting sqref="Q597:Q598">
    <cfRule type="duplicateValues" dxfId="6925" priority="7127"/>
  </conditionalFormatting>
  <conditionalFormatting sqref="Q597:Q598">
    <cfRule type="duplicateValues" dxfId="6924" priority="7126"/>
  </conditionalFormatting>
  <conditionalFormatting sqref="Q597:R598">
    <cfRule type="duplicateValues" dxfId="6923" priority="7125"/>
  </conditionalFormatting>
  <conditionalFormatting sqref="Q597:R598">
    <cfRule type="duplicateValues" dxfId="6922" priority="7122"/>
    <cfRule type="duplicateValues" dxfId="6921" priority="7123"/>
    <cfRule type="duplicateValues" dxfId="6920" priority="7124"/>
  </conditionalFormatting>
  <conditionalFormatting sqref="R597:R598">
    <cfRule type="duplicateValues" dxfId="6919" priority="7121"/>
  </conditionalFormatting>
  <conditionalFormatting sqref="Q597:Q598">
    <cfRule type="duplicateValues" dxfId="6918" priority="7120"/>
  </conditionalFormatting>
  <conditionalFormatting sqref="Q597:Q598">
    <cfRule type="duplicateValues" dxfId="6917" priority="7117"/>
    <cfRule type="duplicateValues" dxfId="6916" priority="7118"/>
    <cfRule type="duplicateValues" dxfId="6915" priority="7119"/>
  </conditionalFormatting>
  <conditionalFormatting sqref="R597:R598">
    <cfRule type="duplicateValues" dxfId="6914" priority="7114"/>
    <cfRule type="duplicateValues" dxfId="6913" priority="7115"/>
    <cfRule type="duplicateValues" dxfId="6912" priority="7116"/>
  </conditionalFormatting>
  <conditionalFormatting sqref="Q597:Q598">
    <cfRule type="duplicateValues" dxfId="6911" priority="7112"/>
    <cfRule type="duplicateValues" dxfId="6910" priority="7113"/>
  </conditionalFormatting>
  <conditionalFormatting sqref="Q597:Q598">
    <cfRule type="duplicateValues" dxfId="6909" priority="7111"/>
  </conditionalFormatting>
  <conditionalFormatting sqref="Q597:Q598">
    <cfRule type="duplicateValues" dxfId="6908" priority="7110"/>
  </conditionalFormatting>
  <conditionalFormatting sqref="Q604">
    <cfRule type="duplicateValues" dxfId="6907" priority="7109"/>
  </conditionalFormatting>
  <conditionalFormatting sqref="Q604">
    <cfRule type="duplicateValues" dxfId="6906" priority="7108"/>
  </conditionalFormatting>
  <conditionalFormatting sqref="Q604">
    <cfRule type="duplicateValues" dxfId="6905" priority="7107"/>
  </conditionalFormatting>
  <conditionalFormatting sqref="Q604">
    <cfRule type="duplicateValues" dxfId="6904" priority="7106"/>
  </conditionalFormatting>
  <conditionalFormatting sqref="Q604">
    <cfRule type="duplicateValues" dxfId="6903" priority="7105"/>
  </conditionalFormatting>
  <conditionalFormatting sqref="Q604">
    <cfRule type="duplicateValues" dxfId="6902" priority="7104"/>
  </conditionalFormatting>
  <conditionalFormatting sqref="Q604">
    <cfRule type="duplicateValues" dxfId="6901" priority="7103"/>
  </conditionalFormatting>
  <conditionalFormatting sqref="Q604:R604">
    <cfRule type="duplicateValues" dxfId="6900" priority="7102"/>
  </conditionalFormatting>
  <conditionalFormatting sqref="Q604:R604">
    <cfRule type="duplicateValues" dxfId="6899" priority="7099"/>
    <cfRule type="duplicateValues" dxfId="6898" priority="7100"/>
    <cfRule type="duplicateValues" dxfId="6897" priority="7101"/>
  </conditionalFormatting>
  <conditionalFormatting sqref="R604">
    <cfRule type="duplicateValues" dxfId="6896" priority="7098"/>
  </conditionalFormatting>
  <conditionalFormatting sqref="Q604">
    <cfRule type="duplicateValues" dxfId="6895" priority="7097"/>
  </conditionalFormatting>
  <conditionalFormatting sqref="Q604">
    <cfRule type="duplicateValues" dxfId="6894" priority="7094"/>
    <cfRule type="duplicateValues" dxfId="6893" priority="7095"/>
    <cfRule type="duplicateValues" dxfId="6892" priority="7096"/>
  </conditionalFormatting>
  <conditionalFormatting sqref="R604">
    <cfRule type="duplicateValues" dxfId="6891" priority="7091"/>
    <cfRule type="duplicateValues" dxfId="6890" priority="7092"/>
    <cfRule type="duplicateValues" dxfId="6889" priority="7093"/>
  </conditionalFormatting>
  <conditionalFormatting sqref="Q604">
    <cfRule type="duplicateValues" dxfId="6888" priority="7089"/>
    <cfRule type="duplicateValues" dxfId="6887" priority="7090"/>
  </conditionalFormatting>
  <conditionalFormatting sqref="Q604">
    <cfRule type="duplicateValues" dxfId="6886" priority="7088"/>
  </conditionalFormatting>
  <conditionalFormatting sqref="Q604">
    <cfRule type="duplicateValues" dxfId="6885" priority="7087"/>
  </conditionalFormatting>
  <conditionalFormatting sqref="Q599">
    <cfRule type="duplicateValues" dxfId="6884" priority="7086"/>
  </conditionalFormatting>
  <conditionalFormatting sqref="Q599">
    <cfRule type="duplicateValues" dxfId="6883" priority="7085"/>
  </conditionalFormatting>
  <conditionalFormatting sqref="Q599">
    <cfRule type="duplicateValues" dxfId="6882" priority="7084"/>
  </conditionalFormatting>
  <conditionalFormatting sqref="Q599">
    <cfRule type="duplicateValues" dxfId="6881" priority="7083"/>
  </conditionalFormatting>
  <conditionalFormatting sqref="R599">
    <cfRule type="duplicateValues" dxfId="6880" priority="7082"/>
  </conditionalFormatting>
  <conditionalFormatting sqref="Q599">
    <cfRule type="duplicateValues" dxfId="6879" priority="7080"/>
    <cfRule type="duplicateValues" dxfId="6878" priority="7081"/>
  </conditionalFormatting>
  <conditionalFormatting sqref="Q599">
    <cfRule type="duplicateValues" dxfId="6877" priority="7079"/>
  </conditionalFormatting>
  <conditionalFormatting sqref="Q599">
    <cfRule type="duplicateValues" dxfId="6876" priority="7078"/>
  </conditionalFormatting>
  <conditionalFormatting sqref="Q599">
    <cfRule type="duplicateValues" dxfId="6875" priority="7077"/>
  </conditionalFormatting>
  <conditionalFormatting sqref="Q599">
    <cfRule type="duplicateValues" dxfId="6874" priority="7076"/>
  </conditionalFormatting>
  <conditionalFormatting sqref="Q599">
    <cfRule type="duplicateValues" dxfId="6873" priority="7075"/>
  </conditionalFormatting>
  <conditionalFormatting sqref="Q599">
    <cfRule type="duplicateValues" dxfId="6872" priority="7074"/>
  </conditionalFormatting>
  <conditionalFormatting sqref="Q599">
    <cfRule type="duplicateValues" dxfId="6871" priority="7073"/>
  </conditionalFormatting>
  <conditionalFormatting sqref="Q599">
    <cfRule type="duplicateValues" dxfId="6870" priority="7072"/>
  </conditionalFormatting>
  <conditionalFormatting sqref="Q599:R599">
    <cfRule type="duplicateValues" dxfId="6869" priority="7071"/>
  </conditionalFormatting>
  <conditionalFormatting sqref="Q599">
    <cfRule type="duplicateValues" dxfId="6868" priority="7070"/>
  </conditionalFormatting>
  <conditionalFormatting sqref="R599">
    <cfRule type="duplicateValues" dxfId="6867" priority="7069"/>
  </conditionalFormatting>
  <conditionalFormatting sqref="Q599:R599">
    <cfRule type="duplicateValues" dxfId="6866" priority="7066"/>
    <cfRule type="duplicateValues" dxfId="6865" priority="7067"/>
    <cfRule type="duplicateValues" dxfId="6864" priority="7068"/>
  </conditionalFormatting>
  <conditionalFormatting sqref="Q599">
    <cfRule type="duplicateValues" dxfId="6863" priority="7065"/>
  </conditionalFormatting>
  <conditionalFormatting sqref="Q599">
    <cfRule type="duplicateValues" dxfId="6862" priority="7064"/>
  </conditionalFormatting>
  <conditionalFormatting sqref="Q600">
    <cfRule type="duplicateValues" dxfId="6861" priority="7043"/>
  </conditionalFormatting>
  <conditionalFormatting sqref="Q600">
    <cfRule type="duplicateValues" dxfId="6860" priority="7042"/>
  </conditionalFormatting>
  <conditionalFormatting sqref="Q600">
    <cfRule type="duplicateValues" dxfId="6859" priority="7041"/>
  </conditionalFormatting>
  <conditionalFormatting sqref="Q600">
    <cfRule type="duplicateValues" dxfId="6858" priority="7040"/>
  </conditionalFormatting>
  <conditionalFormatting sqref="Q600">
    <cfRule type="duplicateValues" dxfId="6857" priority="7039"/>
  </conditionalFormatting>
  <conditionalFormatting sqref="Q600">
    <cfRule type="duplicateValues" dxfId="6856" priority="7038"/>
  </conditionalFormatting>
  <conditionalFormatting sqref="Q600:R600">
    <cfRule type="duplicateValues" dxfId="6855" priority="7037"/>
  </conditionalFormatting>
  <conditionalFormatting sqref="Q600:R600">
    <cfRule type="duplicateValues" dxfId="6854" priority="7034"/>
    <cfRule type="duplicateValues" dxfId="6853" priority="7035"/>
    <cfRule type="duplicateValues" dxfId="6852" priority="7036"/>
  </conditionalFormatting>
  <conditionalFormatting sqref="R600">
    <cfRule type="duplicateValues" dxfId="6851" priority="7033"/>
  </conditionalFormatting>
  <conditionalFormatting sqref="Q600">
    <cfRule type="duplicateValues" dxfId="6850" priority="7032"/>
  </conditionalFormatting>
  <conditionalFormatting sqref="Q600">
    <cfRule type="duplicateValues" dxfId="6849" priority="7029"/>
    <cfRule type="duplicateValues" dxfId="6848" priority="7030"/>
    <cfRule type="duplicateValues" dxfId="6847" priority="7031"/>
  </conditionalFormatting>
  <conditionalFormatting sqref="R600">
    <cfRule type="duplicateValues" dxfId="6846" priority="7026"/>
    <cfRule type="duplicateValues" dxfId="6845" priority="7027"/>
    <cfRule type="duplicateValues" dxfId="6844" priority="7028"/>
  </conditionalFormatting>
  <conditionalFormatting sqref="Q600">
    <cfRule type="duplicateValues" dxfId="6843" priority="7024"/>
    <cfRule type="duplicateValues" dxfId="6842" priority="7025"/>
  </conditionalFormatting>
  <conditionalFormatting sqref="Q600">
    <cfRule type="duplicateValues" dxfId="6841" priority="7023"/>
  </conditionalFormatting>
  <conditionalFormatting sqref="Q600">
    <cfRule type="duplicateValues" dxfId="6840" priority="7022"/>
  </conditionalFormatting>
  <conditionalFormatting sqref="Q635:Q638">
    <cfRule type="duplicateValues" dxfId="6839" priority="7021"/>
  </conditionalFormatting>
  <conditionalFormatting sqref="R635:R638">
    <cfRule type="duplicateValues" dxfId="6838" priority="7020"/>
  </conditionalFormatting>
  <conditionalFormatting sqref="R635:R638">
    <cfRule type="duplicateValues" dxfId="6837" priority="7017"/>
    <cfRule type="duplicateValues" dxfId="6836" priority="7018"/>
    <cfRule type="duplicateValues" dxfId="6835" priority="7019"/>
  </conditionalFormatting>
  <conditionalFormatting sqref="Q635:Q638">
    <cfRule type="duplicateValues" dxfId="6834" priority="7016"/>
  </conditionalFormatting>
  <conditionalFormatting sqref="Q639">
    <cfRule type="duplicateValues" dxfId="6833" priority="7015"/>
  </conditionalFormatting>
  <conditionalFormatting sqref="R639">
    <cfRule type="duplicateValues" dxfId="6832" priority="7014"/>
  </conditionalFormatting>
  <conditionalFormatting sqref="R639">
    <cfRule type="duplicateValues" dxfId="6831" priority="7011"/>
    <cfRule type="duplicateValues" dxfId="6830" priority="7012"/>
    <cfRule type="duplicateValues" dxfId="6829" priority="7013"/>
  </conditionalFormatting>
  <conditionalFormatting sqref="Q639">
    <cfRule type="duplicateValues" dxfId="6828" priority="7010"/>
  </conditionalFormatting>
  <conditionalFormatting sqref="Q641:Q644">
    <cfRule type="duplicateValues" dxfId="6827" priority="7009"/>
  </conditionalFormatting>
  <conditionalFormatting sqref="R641:R644">
    <cfRule type="duplicateValues" dxfId="6826" priority="7008"/>
  </conditionalFormatting>
  <conditionalFormatting sqref="R641:R644">
    <cfRule type="duplicateValues" dxfId="6825" priority="7005"/>
    <cfRule type="duplicateValues" dxfId="6824" priority="7006"/>
    <cfRule type="duplicateValues" dxfId="6823" priority="7007"/>
  </conditionalFormatting>
  <conditionalFormatting sqref="Q641:Q644">
    <cfRule type="duplicateValues" dxfId="6822" priority="7004"/>
  </conditionalFormatting>
  <conditionalFormatting sqref="Q640">
    <cfRule type="duplicateValues" dxfId="6821" priority="7003"/>
  </conditionalFormatting>
  <conditionalFormatting sqref="R640">
    <cfRule type="duplicateValues" dxfId="6820" priority="7002"/>
  </conditionalFormatting>
  <conditionalFormatting sqref="R640">
    <cfRule type="duplicateValues" dxfId="6819" priority="6999"/>
    <cfRule type="duplicateValues" dxfId="6818" priority="7000"/>
    <cfRule type="duplicateValues" dxfId="6817" priority="7001"/>
  </conditionalFormatting>
  <conditionalFormatting sqref="Q640">
    <cfRule type="duplicateValues" dxfId="6816" priority="6998"/>
  </conditionalFormatting>
  <conditionalFormatting sqref="Q645">
    <cfRule type="duplicateValues" dxfId="6815" priority="6997"/>
  </conditionalFormatting>
  <conditionalFormatting sqref="R645">
    <cfRule type="duplicateValues" dxfId="6814" priority="6996"/>
  </conditionalFormatting>
  <conditionalFormatting sqref="R645">
    <cfRule type="duplicateValues" dxfId="6813" priority="6993"/>
    <cfRule type="duplicateValues" dxfId="6812" priority="6994"/>
    <cfRule type="duplicateValues" dxfId="6811" priority="6995"/>
  </conditionalFormatting>
  <conditionalFormatting sqref="Q645">
    <cfRule type="duplicateValues" dxfId="6810" priority="6992"/>
  </conditionalFormatting>
  <conditionalFormatting sqref="Q646:Q647">
    <cfRule type="duplicateValues" dxfId="6809" priority="6991"/>
  </conditionalFormatting>
  <conditionalFormatting sqref="Q646:Q647">
    <cfRule type="duplicateValues" dxfId="6808" priority="6990"/>
  </conditionalFormatting>
  <conditionalFormatting sqref="Q646:Q647">
    <cfRule type="duplicateValues" dxfId="6807" priority="6989"/>
  </conditionalFormatting>
  <conditionalFormatting sqref="Q646:R647">
    <cfRule type="duplicateValues" dxfId="6806" priority="6988"/>
  </conditionalFormatting>
  <conditionalFormatting sqref="Q646:R647">
    <cfRule type="duplicateValues" dxfId="6805" priority="6985"/>
    <cfRule type="duplicateValues" dxfId="6804" priority="6986"/>
    <cfRule type="duplicateValues" dxfId="6803" priority="6987"/>
  </conditionalFormatting>
  <conditionalFormatting sqref="R646:R647">
    <cfRule type="duplicateValues" dxfId="6802" priority="6984"/>
  </conditionalFormatting>
  <conditionalFormatting sqref="Q646:Q647">
    <cfRule type="duplicateValues" dxfId="6801" priority="6982"/>
    <cfRule type="duplicateValues" dxfId="6800" priority="6983"/>
  </conditionalFormatting>
  <conditionalFormatting sqref="Q646:Q647">
    <cfRule type="duplicateValues" dxfId="6799" priority="6979"/>
    <cfRule type="duplicateValues" dxfId="6798" priority="6980"/>
    <cfRule type="duplicateValues" dxfId="6797" priority="6981"/>
  </conditionalFormatting>
  <conditionalFormatting sqref="R646:R647">
    <cfRule type="duplicateValues" dxfId="6796" priority="6976"/>
    <cfRule type="duplicateValues" dxfId="6795" priority="6977"/>
    <cfRule type="duplicateValues" dxfId="6794" priority="6978"/>
  </conditionalFormatting>
  <conditionalFormatting sqref="Q601:R601">
    <cfRule type="duplicateValues" dxfId="6793" priority="6973"/>
    <cfRule type="duplicateValues" dxfId="6792" priority="6974"/>
    <cfRule type="duplicateValues" dxfId="6791" priority="6975"/>
  </conditionalFormatting>
  <conditionalFormatting sqref="R601">
    <cfRule type="duplicateValues" dxfId="6790" priority="6972"/>
  </conditionalFormatting>
  <conditionalFormatting sqref="Q601:R601">
    <cfRule type="duplicateValues" dxfId="6789" priority="6971"/>
  </conditionalFormatting>
  <conditionalFormatting sqref="Q601">
    <cfRule type="duplicateValues" dxfId="6788" priority="6970"/>
  </conditionalFormatting>
  <conditionalFormatting sqref="Q601">
    <cfRule type="duplicateValues" dxfId="6787" priority="6969"/>
  </conditionalFormatting>
  <conditionalFormatting sqref="Q601">
    <cfRule type="duplicateValues" dxfId="6786" priority="6968"/>
  </conditionalFormatting>
  <conditionalFormatting sqref="Q601">
    <cfRule type="duplicateValues" dxfId="6785" priority="6967"/>
  </conditionalFormatting>
  <conditionalFormatting sqref="R601">
    <cfRule type="duplicateValues" dxfId="6784" priority="6966"/>
  </conditionalFormatting>
  <conditionalFormatting sqref="Q601">
    <cfRule type="duplicateValues" dxfId="6783" priority="6964"/>
    <cfRule type="duplicateValues" dxfId="6782" priority="6965"/>
  </conditionalFormatting>
  <conditionalFormatting sqref="Q601">
    <cfRule type="duplicateValues" dxfId="6781" priority="6963"/>
  </conditionalFormatting>
  <conditionalFormatting sqref="Q601">
    <cfRule type="duplicateValues" dxfId="6780" priority="6962"/>
  </conditionalFormatting>
  <conditionalFormatting sqref="Q601">
    <cfRule type="duplicateValues" dxfId="6779" priority="6961"/>
  </conditionalFormatting>
  <conditionalFormatting sqref="Q601">
    <cfRule type="duplicateValues" dxfId="6778" priority="6960"/>
  </conditionalFormatting>
  <conditionalFormatting sqref="Q601">
    <cfRule type="duplicateValues" dxfId="6777" priority="6959"/>
  </conditionalFormatting>
  <conditionalFormatting sqref="Q601">
    <cfRule type="duplicateValues" dxfId="6776" priority="6958"/>
  </conditionalFormatting>
  <conditionalFormatting sqref="Q601">
    <cfRule type="duplicateValues" dxfId="6775" priority="6957"/>
  </conditionalFormatting>
  <conditionalFormatting sqref="Q601">
    <cfRule type="duplicateValues" dxfId="6774" priority="6956"/>
  </conditionalFormatting>
  <conditionalFormatting sqref="Q601:R601">
    <cfRule type="duplicateValues" dxfId="6773" priority="6955"/>
  </conditionalFormatting>
  <conditionalFormatting sqref="Q601">
    <cfRule type="duplicateValues" dxfId="6772" priority="6954"/>
  </conditionalFormatting>
  <conditionalFormatting sqref="R601">
    <cfRule type="duplicateValues" dxfId="6771" priority="6953"/>
  </conditionalFormatting>
  <conditionalFormatting sqref="Q601">
    <cfRule type="duplicateValues" dxfId="6770" priority="6952"/>
  </conditionalFormatting>
  <conditionalFormatting sqref="Q601">
    <cfRule type="duplicateValues" dxfId="6769" priority="6951"/>
  </conditionalFormatting>
  <conditionalFormatting sqref="Q602:R602">
    <cfRule type="duplicateValues" dxfId="6768" priority="6950"/>
  </conditionalFormatting>
  <conditionalFormatting sqref="Q602:R602">
    <cfRule type="duplicateValues" dxfId="6767" priority="6947"/>
    <cfRule type="duplicateValues" dxfId="6766" priority="6948"/>
    <cfRule type="duplicateValues" dxfId="6765" priority="6949"/>
  </conditionalFormatting>
  <conditionalFormatting sqref="R602">
    <cfRule type="duplicateValues" dxfId="6764" priority="6946"/>
  </conditionalFormatting>
  <conditionalFormatting sqref="Q602:R602">
    <cfRule type="duplicateValues" dxfId="6763" priority="6945"/>
  </conditionalFormatting>
  <conditionalFormatting sqref="Q602">
    <cfRule type="duplicateValues" dxfId="6762" priority="6944"/>
  </conditionalFormatting>
  <conditionalFormatting sqref="Q602">
    <cfRule type="duplicateValues" dxfId="6761" priority="6943"/>
  </conditionalFormatting>
  <conditionalFormatting sqref="Q602">
    <cfRule type="duplicateValues" dxfId="6760" priority="6942"/>
  </conditionalFormatting>
  <conditionalFormatting sqref="Q602">
    <cfRule type="duplicateValues" dxfId="6759" priority="6941"/>
  </conditionalFormatting>
  <conditionalFormatting sqref="R602">
    <cfRule type="duplicateValues" dxfId="6758" priority="6940"/>
  </conditionalFormatting>
  <conditionalFormatting sqref="Q602">
    <cfRule type="duplicateValues" dxfId="6757" priority="6938"/>
    <cfRule type="duplicateValues" dxfId="6756" priority="6939"/>
  </conditionalFormatting>
  <conditionalFormatting sqref="Q602">
    <cfRule type="duplicateValues" dxfId="6755" priority="6937"/>
  </conditionalFormatting>
  <conditionalFormatting sqref="Q602">
    <cfRule type="duplicateValues" dxfId="6754" priority="6936"/>
  </conditionalFormatting>
  <conditionalFormatting sqref="Q602">
    <cfRule type="duplicateValues" dxfId="6753" priority="6935"/>
  </conditionalFormatting>
  <conditionalFormatting sqref="Q602">
    <cfRule type="duplicateValues" dxfId="6752" priority="6934"/>
  </conditionalFormatting>
  <conditionalFormatting sqref="Q602">
    <cfRule type="duplicateValues" dxfId="6751" priority="6933"/>
  </conditionalFormatting>
  <conditionalFormatting sqref="Q602">
    <cfRule type="duplicateValues" dxfId="6750" priority="6932"/>
  </conditionalFormatting>
  <conditionalFormatting sqref="Q602">
    <cfRule type="duplicateValues" dxfId="6749" priority="6931"/>
  </conditionalFormatting>
  <conditionalFormatting sqref="Q602">
    <cfRule type="duplicateValues" dxfId="6748" priority="6930"/>
  </conditionalFormatting>
  <conditionalFormatting sqref="Q602:R602">
    <cfRule type="duplicateValues" dxfId="6747" priority="6929"/>
  </conditionalFormatting>
  <conditionalFormatting sqref="Q602">
    <cfRule type="duplicateValues" dxfId="6746" priority="6928"/>
  </conditionalFormatting>
  <conditionalFormatting sqref="R602">
    <cfRule type="duplicateValues" dxfId="6745" priority="6927"/>
  </conditionalFormatting>
  <conditionalFormatting sqref="Q602">
    <cfRule type="duplicateValues" dxfId="6744" priority="6926"/>
  </conditionalFormatting>
  <conditionalFormatting sqref="Q602">
    <cfRule type="duplicateValues" dxfId="6743" priority="6925"/>
  </conditionalFormatting>
  <conditionalFormatting sqref="Q603:R603">
    <cfRule type="duplicateValues" dxfId="6742" priority="6924"/>
  </conditionalFormatting>
  <conditionalFormatting sqref="Q603:R603">
    <cfRule type="duplicateValues" dxfId="6741" priority="6921"/>
    <cfRule type="duplicateValues" dxfId="6740" priority="6922"/>
    <cfRule type="duplicateValues" dxfId="6739" priority="6923"/>
  </conditionalFormatting>
  <conditionalFormatting sqref="R603">
    <cfRule type="duplicateValues" dxfId="6738" priority="6920"/>
  </conditionalFormatting>
  <conditionalFormatting sqref="Q603:R603">
    <cfRule type="duplicateValues" dxfId="6737" priority="6919"/>
  </conditionalFormatting>
  <conditionalFormatting sqref="Q603">
    <cfRule type="duplicateValues" dxfId="6736" priority="6918"/>
  </conditionalFormatting>
  <conditionalFormatting sqref="Q603">
    <cfRule type="duplicateValues" dxfId="6735" priority="6917"/>
  </conditionalFormatting>
  <conditionalFormatting sqref="Q603">
    <cfRule type="duplicateValues" dxfId="6734" priority="6916"/>
  </conditionalFormatting>
  <conditionalFormatting sqref="Q603">
    <cfRule type="duplicateValues" dxfId="6733" priority="6915"/>
  </conditionalFormatting>
  <conditionalFormatting sqref="R603">
    <cfRule type="duplicateValues" dxfId="6732" priority="6914"/>
  </conditionalFormatting>
  <conditionalFormatting sqref="Q603">
    <cfRule type="duplicateValues" dxfId="6731" priority="6912"/>
    <cfRule type="duplicateValues" dxfId="6730" priority="6913"/>
  </conditionalFormatting>
  <conditionalFormatting sqref="Q603">
    <cfRule type="duplicateValues" dxfId="6729" priority="6911"/>
  </conditionalFormatting>
  <conditionalFormatting sqref="Q603">
    <cfRule type="duplicateValues" dxfId="6728" priority="6910"/>
  </conditionalFormatting>
  <conditionalFormatting sqref="Q603">
    <cfRule type="duplicateValues" dxfId="6727" priority="6909"/>
  </conditionalFormatting>
  <conditionalFormatting sqref="Q603">
    <cfRule type="duplicateValues" dxfId="6726" priority="6908"/>
  </conditionalFormatting>
  <conditionalFormatting sqref="Q603">
    <cfRule type="duplicateValues" dxfId="6725" priority="6907"/>
  </conditionalFormatting>
  <conditionalFormatting sqref="Q603">
    <cfRule type="duplicateValues" dxfId="6724" priority="6906"/>
  </conditionalFormatting>
  <conditionalFormatting sqref="Q603">
    <cfRule type="duplicateValues" dxfId="6723" priority="6905"/>
  </conditionalFormatting>
  <conditionalFormatting sqref="Q603">
    <cfRule type="duplicateValues" dxfId="6722" priority="6904"/>
  </conditionalFormatting>
  <conditionalFormatting sqref="Q603:R603">
    <cfRule type="duplicateValues" dxfId="6721" priority="6903"/>
  </conditionalFormatting>
  <conditionalFormatting sqref="Q603">
    <cfRule type="duplicateValues" dxfId="6720" priority="6902"/>
  </conditionalFormatting>
  <conditionalFormatting sqref="R603">
    <cfRule type="duplicateValues" dxfId="6719" priority="6901"/>
  </conditionalFormatting>
  <conditionalFormatting sqref="Q603">
    <cfRule type="duplicateValues" dxfId="6718" priority="6900"/>
  </conditionalFormatting>
  <conditionalFormatting sqref="Q603">
    <cfRule type="duplicateValues" dxfId="6717" priority="6899"/>
  </conditionalFormatting>
  <conditionalFormatting sqref="Q605">
    <cfRule type="duplicateValues" dxfId="6716" priority="6898"/>
  </conditionalFormatting>
  <conditionalFormatting sqref="Q605">
    <cfRule type="duplicateValues" dxfId="6715" priority="6897"/>
  </conditionalFormatting>
  <conditionalFormatting sqref="Q605">
    <cfRule type="duplicateValues" dxfId="6714" priority="6896"/>
  </conditionalFormatting>
  <conditionalFormatting sqref="Q605">
    <cfRule type="duplicateValues" dxfId="6713" priority="6895"/>
  </conditionalFormatting>
  <conditionalFormatting sqref="Q605">
    <cfRule type="duplicateValues" dxfId="6712" priority="6894"/>
  </conditionalFormatting>
  <conditionalFormatting sqref="Q605">
    <cfRule type="duplicateValues" dxfId="6711" priority="6893"/>
  </conditionalFormatting>
  <conditionalFormatting sqref="Q605">
    <cfRule type="duplicateValues" dxfId="6710" priority="6892"/>
  </conditionalFormatting>
  <conditionalFormatting sqref="Q605:R605">
    <cfRule type="duplicateValues" dxfId="6709" priority="6891"/>
  </conditionalFormatting>
  <conditionalFormatting sqref="Q605:R605">
    <cfRule type="duplicateValues" dxfId="6708" priority="6888"/>
    <cfRule type="duplicateValues" dxfId="6707" priority="6889"/>
    <cfRule type="duplicateValues" dxfId="6706" priority="6890"/>
  </conditionalFormatting>
  <conditionalFormatting sqref="R605">
    <cfRule type="duplicateValues" dxfId="6705" priority="6887"/>
  </conditionalFormatting>
  <conditionalFormatting sqref="Q605">
    <cfRule type="duplicateValues" dxfId="6704" priority="6886"/>
  </conditionalFormatting>
  <conditionalFormatting sqref="Q605">
    <cfRule type="duplicateValues" dxfId="6703" priority="6883"/>
    <cfRule type="duplicateValues" dxfId="6702" priority="6884"/>
    <cfRule type="duplicateValues" dxfId="6701" priority="6885"/>
  </conditionalFormatting>
  <conditionalFormatting sqref="R605">
    <cfRule type="duplicateValues" dxfId="6700" priority="6880"/>
    <cfRule type="duplicateValues" dxfId="6699" priority="6881"/>
    <cfRule type="duplicateValues" dxfId="6698" priority="6882"/>
  </conditionalFormatting>
  <conditionalFormatting sqref="Q605">
    <cfRule type="duplicateValues" dxfId="6697" priority="6878"/>
    <cfRule type="duplicateValues" dxfId="6696" priority="6879"/>
  </conditionalFormatting>
  <conditionalFormatting sqref="Q605">
    <cfRule type="duplicateValues" dxfId="6695" priority="6877"/>
  </conditionalFormatting>
  <conditionalFormatting sqref="Q605">
    <cfRule type="duplicateValues" dxfId="6694" priority="6876"/>
  </conditionalFormatting>
  <conditionalFormatting sqref="Q606:R606">
    <cfRule type="duplicateValues" dxfId="6693" priority="6872"/>
  </conditionalFormatting>
  <conditionalFormatting sqref="Q606:R606">
    <cfRule type="duplicateValues" dxfId="6692" priority="6869"/>
    <cfRule type="duplicateValues" dxfId="6691" priority="6870"/>
    <cfRule type="duplicateValues" dxfId="6690" priority="6871"/>
  </conditionalFormatting>
  <conditionalFormatting sqref="R606">
    <cfRule type="duplicateValues" dxfId="6689" priority="6868"/>
  </conditionalFormatting>
  <conditionalFormatting sqref="Q606:R606">
    <cfRule type="duplicateValues" dxfId="6688" priority="6867"/>
  </conditionalFormatting>
  <conditionalFormatting sqref="Q606">
    <cfRule type="duplicateValues" dxfId="6687" priority="6866"/>
  </conditionalFormatting>
  <conditionalFormatting sqref="Q606">
    <cfRule type="duplicateValues" dxfId="6686" priority="6865"/>
  </conditionalFormatting>
  <conditionalFormatting sqref="Q606">
    <cfRule type="duplicateValues" dxfId="6685" priority="6864"/>
  </conditionalFormatting>
  <conditionalFormatting sqref="Q606">
    <cfRule type="duplicateValues" dxfId="6684" priority="6863"/>
  </conditionalFormatting>
  <conditionalFormatting sqref="R606">
    <cfRule type="duplicateValues" dxfId="6683" priority="6862"/>
  </conditionalFormatting>
  <conditionalFormatting sqref="Q606">
    <cfRule type="duplicateValues" dxfId="6682" priority="6860"/>
    <cfRule type="duplicateValues" dxfId="6681" priority="6861"/>
  </conditionalFormatting>
  <conditionalFormatting sqref="Q606">
    <cfRule type="duplicateValues" dxfId="6680" priority="6859"/>
  </conditionalFormatting>
  <conditionalFormatting sqref="Q606">
    <cfRule type="duplicateValues" dxfId="6679" priority="6858"/>
  </conditionalFormatting>
  <conditionalFormatting sqref="Q606">
    <cfRule type="duplicateValues" dxfId="6678" priority="6857"/>
  </conditionalFormatting>
  <conditionalFormatting sqref="Q606">
    <cfRule type="duplicateValues" dxfId="6677" priority="6856"/>
  </conditionalFormatting>
  <conditionalFormatting sqref="Q606">
    <cfRule type="duplicateValues" dxfId="6676" priority="6855"/>
  </conditionalFormatting>
  <conditionalFormatting sqref="Q606">
    <cfRule type="duplicateValues" dxfId="6675" priority="6854"/>
  </conditionalFormatting>
  <conditionalFormatting sqref="Q606">
    <cfRule type="duplicateValues" dxfId="6674" priority="6853"/>
  </conditionalFormatting>
  <conditionalFormatting sqref="Q606">
    <cfRule type="duplicateValues" dxfId="6673" priority="6852"/>
  </conditionalFormatting>
  <conditionalFormatting sqref="Q606:R606">
    <cfRule type="duplicateValues" dxfId="6672" priority="6873"/>
  </conditionalFormatting>
  <conditionalFormatting sqref="Q606">
    <cfRule type="duplicateValues" dxfId="6671" priority="6874"/>
  </conditionalFormatting>
  <conditionalFormatting sqref="R606">
    <cfRule type="duplicateValues" dxfId="6670" priority="6875"/>
  </conditionalFormatting>
  <conditionalFormatting sqref="Q606">
    <cfRule type="duplicateValues" dxfId="6669" priority="6851"/>
  </conditionalFormatting>
  <conditionalFormatting sqref="Q606">
    <cfRule type="duplicateValues" dxfId="6668" priority="6850"/>
  </conditionalFormatting>
  <conditionalFormatting sqref="Q607:R607">
    <cfRule type="duplicateValues" dxfId="6667" priority="6849"/>
  </conditionalFormatting>
  <conditionalFormatting sqref="Q607:R607">
    <cfRule type="duplicateValues" dxfId="6666" priority="6846"/>
    <cfRule type="duplicateValues" dxfId="6665" priority="6847"/>
    <cfRule type="duplicateValues" dxfId="6664" priority="6848"/>
  </conditionalFormatting>
  <conditionalFormatting sqref="R607">
    <cfRule type="duplicateValues" dxfId="6663" priority="6845"/>
  </conditionalFormatting>
  <conditionalFormatting sqref="Q607:R607">
    <cfRule type="duplicateValues" dxfId="6662" priority="6844"/>
  </conditionalFormatting>
  <conditionalFormatting sqref="Q607">
    <cfRule type="duplicateValues" dxfId="6661" priority="6843"/>
  </conditionalFormatting>
  <conditionalFormatting sqref="Q607">
    <cfRule type="duplicateValues" dxfId="6660" priority="6842"/>
  </conditionalFormatting>
  <conditionalFormatting sqref="Q607">
    <cfRule type="duplicateValues" dxfId="6659" priority="6841"/>
  </conditionalFormatting>
  <conditionalFormatting sqref="Q607">
    <cfRule type="duplicateValues" dxfId="6658" priority="6840"/>
  </conditionalFormatting>
  <conditionalFormatting sqref="R607">
    <cfRule type="duplicateValues" dxfId="6657" priority="6839"/>
  </conditionalFormatting>
  <conditionalFormatting sqref="Q607">
    <cfRule type="duplicateValues" dxfId="6656" priority="6837"/>
    <cfRule type="duplicateValues" dxfId="6655" priority="6838"/>
  </conditionalFormatting>
  <conditionalFormatting sqref="Q607">
    <cfRule type="duplicateValues" dxfId="6654" priority="6836"/>
  </conditionalFormatting>
  <conditionalFormatting sqref="Q607">
    <cfRule type="duplicateValues" dxfId="6653" priority="6835"/>
  </conditionalFormatting>
  <conditionalFormatting sqref="Q607">
    <cfRule type="duplicateValues" dxfId="6652" priority="6834"/>
  </conditionalFormatting>
  <conditionalFormatting sqref="Q607">
    <cfRule type="duplicateValues" dxfId="6651" priority="6833"/>
  </conditionalFormatting>
  <conditionalFormatting sqref="Q607">
    <cfRule type="duplicateValues" dxfId="6650" priority="6832"/>
  </conditionalFormatting>
  <conditionalFormatting sqref="Q607">
    <cfRule type="duplicateValues" dxfId="6649" priority="6831"/>
  </conditionalFormatting>
  <conditionalFormatting sqref="Q607">
    <cfRule type="duplicateValues" dxfId="6648" priority="6830"/>
  </conditionalFormatting>
  <conditionalFormatting sqref="Q607">
    <cfRule type="duplicateValues" dxfId="6647" priority="6829"/>
  </conditionalFormatting>
  <conditionalFormatting sqref="Q607:R607">
    <cfRule type="duplicateValues" dxfId="6646" priority="6828"/>
  </conditionalFormatting>
  <conditionalFormatting sqref="Q607">
    <cfRule type="duplicateValues" dxfId="6645" priority="6827"/>
  </conditionalFormatting>
  <conditionalFormatting sqref="Q607:R607">
    <cfRule type="duplicateValues" dxfId="6644" priority="6826"/>
  </conditionalFormatting>
  <conditionalFormatting sqref="R607">
    <cfRule type="duplicateValues" dxfId="6643" priority="6825"/>
  </conditionalFormatting>
  <conditionalFormatting sqref="Q607">
    <cfRule type="duplicateValues" dxfId="6642" priority="6824"/>
  </conditionalFormatting>
  <conditionalFormatting sqref="Q607">
    <cfRule type="duplicateValues" dxfId="6641" priority="6823"/>
  </conditionalFormatting>
  <conditionalFormatting sqref="Q608">
    <cfRule type="duplicateValues" dxfId="6640" priority="6822"/>
  </conditionalFormatting>
  <conditionalFormatting sqref="Q608">
    <cfRule type="duplicateValues" dxfId="6639" priority="6821"/>
  </conditionalFormatting>
  <conditionalFormatting sqref="Q608">
    <cfRule type="duplicateValues" dxfId="6638" priority="6820"/>
  </conditionalFormatting>
  <conditionalFormatting sqref="Q608">
    <cfRule type="duplicateValues" dxfId="6637" priority="6819"/>
  </conditionalFormatting>
  <conditionalFormatting sqref="Q608">
    <cfRule type="duplicateValues" dxfId="6636" priority="6818"/>
  </conditionalFormatting>
  <conditionalFormatting sqref="Q608">
    <cfRule type="duplicateValues" dxfId="6635" priority="6817"/>
  </conditionalFormatting>
  <conditionalFormatting sqref="Q608">
    <cfRule type="duplicateValues" dxfId="6634" priority="6816"/>
  </conditionalFormatting>
  <conditionalFormatting sqref="Q608:R608">
    <cfRule type="duplicateValues" dxfId="6633" priority="6815"/>
  </conditionalFormatting>
  <conditionalFormatting sqref="Q608:R608">
    <cfRule type="duplicateValues" dxfId="6632" priority="6812"/>
    <cfRule type="duplicateValues" dxfId="6631" priority="6813"/>
    <cfRule type="duplicateValues" dxfId="6630" priority="6814"/>
  </conditionalFormatting>
  <conditionalFormatting sqref="R608">
    <cfRule type="duplicateValues" dxfId="6629" priority="6811"/>
  </conditionalFormatting>
  <conditionalFormatting sqref="Q608">
    <cfRule type="duplicateValues" dxfId="6628" priority="6810"/>
  </conditionalFormatting>
  <conditionalFormatting sqref="Q608">
    <cfRule type="duplicateValues" dxfId="6627" priority="6807"/>
    <cfRule type="duplicateValues" dxfId="6626" priority="6808"/>
    <cfRule type="duplicateValues" dxfId="6625" priority="6809"/>
  </conditionalFormatting>
  <conditionalFormatting sqref="R608">
    <cfRule type="duplicateValues" dxfId="6624" priority="6804"/>
    <cfRule type="duplicateValues" dxfId="6623" priority="6805"/>
    <cfRule type="duplicateValues" dxfId="6622" priority="6806"/>
  </conditionalFormatting>
  <conditionalFormatting sqref="Q608">
    <cfRule type="duplicateValues" dxfId="6621" priority="6802"/>
    <cfRule type="duplicateValues" dxfId="6620" priority="6803"/>
  </conditionalFormatting>
  <conditionalFormatting sqref="Q608">
    <cfRule type="duplicateValues" dxfId="6619" priority="6801"/>
  </conditionalFormatting>
  <conditionalFormatting sqref="Q608">
    <cfRule type="duplicateValues" dxfId="6618" priority="6800"/>
  </conditionalFormatting>
  <conditionalFormatting sqref="Q609">
    <cfRule type="duplicateValues" dxfId="6617" priority="6799"/>
  </conditionalFormatting>
  <conditionalFormatting sqref="Q609">
    <cfRule type="duplicateValues" dxfId="6616" priority="6798"/>
  </conditionalFormatting>
  <conditionalFormatting sqref="Q609">
    <cfRule type="duplicateValues" dxfId="6615" priority="6797"/>
  </conditionalFormatting>
  <conditionalFormatting sqref="Q609">
    <cfRule type="duplicateValues" dxfId="6614" priority="6796"/>
  </conditionalFormatting>
  <conditionalFormatting sqref="Q609:R609">
    <cfRule type="duplicateValues" dxfId="6613" priority="6795"/>
  </conditionalFormatting>
  <conditionalFormatting sqref="Q609:R609">
    <cfRule type="duplicateValues" dxfId="6612" priority="6792"/>
    <cfRule type="duplicateValues" dxfId="6611" priority="6793"/>
    <cfRule type="duplicateValues" dxfId="6610" priority="6794"/>
  </conditionalFormatting>
  <conditionalFormatting sqref="R609">
    <cfRule type="duplicateValues" dxfId="6609" priority="6791"/>
  </conditionalFormatting>
  <conditionalFormatting sqref="Q609">
    <cfRule type="duplicateValues" dxfId="6608" priority="6790"/>
  </conditionalFormatting>
  <conditionalFormatting sqref="Q609">
    <cfRule type="duplicateValues" dxfId="6607" priority="6787"/>
    <cfRule type="duplicateValues" dxfId="6606" priority="6788"/>
    <cfRule type="duplicateValues" dxfId="6605" priority="6789"/>
  </conditionalFormatting>
  <conditionalFormatting sqref="R609">
    <cfRule type="duplicateValues" dxfId="6604" priority="6784"/>
    <cfRule type="duplicateValues" dxfId="6603" priority="6785"/>
    <cfRule type="duplicateValues" dxfId="6602" priority="6786"/>
  </conditionalFormatting>
  <conditionalFormatting sqref="Q609">
    <cfRule type="duplicateValues" dxfId="6601" priority="6782"/>
    <cfRule type="duplicateValues" dxfId="6600" priority="6783"/>
  </conditionalFormatting>
  <conditionalFormatting sqref="Q609">
    <cfRule type="duplicateValues" dxfId="6599" priority="6781"/>
  </conditionalFormatting>
  <conditionalFormatting sqref="Q609">
    <cfRule type="duplicateValues" dxfId="6598" priority="6780"/>
  </conditionalFormatting>
  <conditionalFormatting sqref="Q610:Q611">
    <cfRule type="duplicateValues" dxfId="6597" priority="6779"/>
  </conditionalFormatting>
  <conditionalFormatting sqref="Q610:Q611">
    <cfRule type="duplicateValues" dxfId="6596" priority="6778"/>
  </conditionalFormatting>
  <conditionalFormatting sqref="Q610:Q611">
    <cfRule type="duplicateValues" dxfId="6595" priority="6777"/>
  </conditionalFormatting>
  <conditionalFormatting sqref="Q610:Q611">
    <cfRule type="duplicateValues" dxfId="6594" priority="6776"/>
  </conditionalFormatting>
  <conditionalFormatting sqref="Q610:R611">
    <cfRule type="duplicateValues" dxfId="6593" priority="6775"/>
  </conditionalFormatting>
  <conditionalFormatting sqref="Q610:R611">
    <cfRule type="duplicateValues" dxfId="6592" priority="6772"/>
    <cfRule type="duplicateValues" dxfId="6591" priority="6773"/>
    <cfRule type="duplicateValues" dxfId="6590" priority="6774"/>
  </conditionalFormatting>
  <conditionalFormatting sqref="R610:R611">
    <cfRule type="duplicateValues" dxfId="6589" priority="6771"/>
  </conditionalFormatting>
  <conditionalFormatting sqref="Q610:Q611">
    <cfRule type="duplicateValues" dxfId="6588" priority="6770"/>
  </conditionalFormatting>
  <conditionalFormatting sqref="Q610:Q611">
    <cfRule type="duplicateValues" dxfId="6587" priority="6767"/>
    <cfRule type="duplicateValues" dxfId="6586" priority="6768"/>
    <cfRule type="duplicateValues" dxfId="6585" priority="6769"/>
  </conditionalFormatting>
  <conditionalFormatting sqref="R610:R611">
    <cfRule type="duplicateValues" dxfId="6584" priority="6764"/>
    <cfRule type="duplicateValues" dxfId="6583" priority="6765"/>
    <cfRule type="duplicateValues" dxfId="6582" priority="6766"/>
  </conditionalFormatting>
  <conditionalFormatting sqref="Q610:Q611">
    <cfRule type="duplicateValues" dxfId="6581" priority="6762"/>
    <cfRule type="duplicateValues" dxfId="6580" priority="6763"/>
  </conditionalFormatting>
  <conditionalFormatting sqref="Q610:Q611">
    <cfRule type="duplicateValues" dxfId="6579" priority="6761"/>
  </conditionalFormatting>
  <conditionalFormatting sqref="Q610:Q611">
    <cfRule type="duplicateValues" dxfId="6578" priority="6760"/>
  </conditionalFormatting>
  <conditionalFormatting sqref="Q612">
    <cfRule type="duplicateValues" dxfId="6577" priority="6759"/>
  </conditionalFormatting>
  <conditionalFormatting sqref="Q612">
    <cfRule type="duplicateValues" dxfId="6576" priority="6758"/>
  </conditionalFormatting>
  <conditionalFormatting sqref="R612">
    <cfRule type="duplicateValues" dxfId="6575" priority="6757"/>
  </conditionalFormatting>
  <conditionalFormatting sqref="Q612">
    <cfRule type="duplicateValues" dxfId="6574" priority="6755"/>
    <cfRule type="duplicateValues" dxfId="6573" priority="6756"/>
  </conditionalFormatting>
  <conditionalFormatting sqref="Q612">
    <cfRule type="duplicateValues" dxfId="6572" priority="6754"/>
  </conditionalFormatting>
  <conditionalFormatting sqref="Q612">
    <cfRule type="duplicateValues" dxfId="6571" priority="6753"/>
  </conditionalFormatting>
  <conditionalFormatting sqref="Q612">
    <cfRule type="duplicateValues" dxfId="6570" priority="6752"/>
  </conditionalFormatting>
  <conditionalFormatting sqref="Q612">
    <cfRule type="duplicateValues" dxfId="6569" priority="6751"/>
  </conditionalFormatting>
  <conditionalFormatting sqref="Q612">
    <cfRule type="duplicateValues" dxfId="6568" priority="6750"/>
  </conditionalFormatting>
  <conditionalFormatting sqref="Q612">
    <cfRule type="duplicateValues" dxfId="6567" priority="6749"/>
  </conditionalFormatting>
  <conditionalFormatting sqref="Q612">
    <cfRule type="duplicateValues" dxfId="6566" priority="6748"/>
  </conditionalFormatting>
  <conditionalFormatting sqref="Q612">
    <cfRule type="duplicateValues" dxfId="6565" priority="6747"/>
  </conditionalFormatting>
  <conditionalFormatting sqref="Q612:R612">
    <cfRule type="duplicateValues" dxfId="6564" priority="6746"/>
  </conditionalFormatting>
  <conditionalFormatting sqref="Q612">
    <cfRule type="duplicateValues" dxfId="6563" priority="6745"/>
  </conditionalFormatting>
  <conditionalFormatting sqref="R612">
    <cfRule type="duplicateValues" dxfId="6562" priority="6744"/>
  </conditionalFormatting>
  <conditionalFormatting sqref="Q612:R612">
    <cfRule type="duplicateValues" dxfId="6561" priority="6741"/>
    <cfRule type="duplicateValues" dxfId="6560" priority="6742"/>
    <cfRule type="duplicateValues" dxfId="6559" priority="6743"/>
  </conditionalFormatting>
  <conditionalFormatting sqref="Q612">
    <cfRule type="duplicateValues" dxfId="6558" priority="6740"/>
  </conditionalFormatting>
  <conditionalFormatting sqref="Q612">
    <cfRule type="duplicateValues" dxfId="6557" priority="6739"/>
  </conditionalFormatting>
  <conditionalFormatting sqref="Q613:R613">
    <cfRule type="duplicateValues" dxfId="6556" priority="6738"/>
  </conditionalFormatting>
  <conditionalFormatting sqref="Q613:R613">
    <cfRule type="duplicateValues" dxfId="6555" priority="6735"/>
    <cfRule type="duplicateValues" dxfId="6554" priority="6736"/>
    <cfRule type="duplicateValues" dxfId="6553" priority="6737"/>
  </conditionalFormatting>
  <conditionalFormatting sqref="R613">
    <cfRule type="duplicateValues" dxfId="6552" priority="6734"/>
  </conditionalFormatting>
  <conditionalFormatting sqref="Q613:R613">
    <cfRule type="duplicateValues" dxfId="6551" priority="6733"/>
  </conditionalFormatting>
  <conditionalFormatting sqref="Q613">
    <cfRule type="duplicateValues" dxfId="6550" priority="6732"/>
  </conditionalFormatting>
  <conditionalFormatting sqref="Q613">
    <cfRule type="duplicateValues" dxfId="6549" priority="6731"/>
  </conditionalFormatting>
  <conditionalFormatting sqref="Q613">
    <cfRule type="duplicateValues" dxfId="6548" priority="6730"/>
  </conditionalFormatting>
  <conditionalFormatting sqref="Q613">
    <cfRule type="duplicateValues" dxfId="6547" priority="6729"/>
  </conditionalFormatting>
  <conditionalFormatting sqref="R613">
    <cfRule type="duplicateValues" dxfId="6546" priority="6728"/>
  </conditionalFormatting>
  <conditionalFormatting sqref="Q613">
    <cfRule type="duplicateValues" dxfId="6545" priority="6726"/>
    <cfRule type="duplicateValues" dxfId="6544" priority="6727"/>
  </conditionalFormatting>
  <conditionalFormatting sqref="Q613">
    <cfRule type="duplicateValues" dxfId="6543" priority="6725"/>
  </conditionalFormatting>
  <conditionalFormatting sqref="Q613">
    <cfRule type="duplicateValues" dxfId="6542" priority="6724"/>
  </conditionalFormatting>
  <conditionalFormatting sqref="Q613">
    <cfRule type="duplicateValues" dxfId="6541" priority="6723"/>
  </conditionalFormatting>
  <conditionalFormatting sqref="Q613">
    <cfRule type="duplicateValues" dxfId="6540" priority="6722"/>
  </conditionalFormatting>
  <conditionalFormatting sqref="Q613">
    <cfRule type="duplicateValues" dxfId="6539" priority="6721"/>
  </conditionalFormatting>
  <conditionalFormatting sqref="Q613">
    <cfRule type="duplicateValues" dxfId="6538" priority="6720"/>
  </conditionalFormatting>
  <conditionalFormatting sqref="Q613">
    <cfRule type="duplicateValues" dxfId="6537" priority="6719"/>
  </conditionalFormatting>
  <conditionalFormatting sqref="Q613">
    <cfRule type="duplicateValues" dxfId="6536" priority="6718"/>
  </conditionalFormatting>
  <conditionalFormatting sqref="Q613:R613">
    <cfRule type="duplicateValues" dxfId="6535" priority="6717"/>
  </conditionalFormatting>
  <conditionalFormatting sqref="Q613">
    <cfRule type="duplicateValues" dxfId="6534" priority="6716"/>
  </conditionalFormatting>
  <conditionalFormatting sqref="R613">
    <cfRule type="duplicateValues" dxfId="6533" priority="6715"/>
  </conditionalFormatting>
  <conditionalFormatting sqref="Q613">
    <cfRule type="duplicateValues" dxfId="6532" priority="6714"/>
  </conditionalFormatting>
  <conditionalFormatting sqref="Q613">
    <cfRule type="duplicateValues" dxfId="6531" priority="6713"/>
  </conditionalFormatting>
  <conditionalFormatting sqref="Q614:R614">
    <cfRule type="duplicateValues" dxfId="6530" priority="6712"/>
  </conditionalFormatting>
  <conditionalFormatting sqref="Q614:R614">
    <cfRule type="duplicateValues" dxfId="6529" priority="6709"/>
    <cfRule type="duplicateValues" dxfId="6528" priority="6710"/>
    <cfRule type="duplicateValues" dxfId="6527" priority="6711"/>
  </conditionalFormatting>
  <conditionalFormatting sqref="R614">
    <cfRule type="duplicateValues" dxfId="6526" priority="6708"/>
  </conditionalFormatting>
  <conditionalFormatting sqref="Q614:R614">
    <cfRule type="duplicateValues" dxfId="6525" priority="6707"/>
  </conditionalFormatting>
  <conditionalFormatting sqref="Q614">
    <cfRule type="duplicateValues" dxfId="6524" priority="6706"/>
  </conditionalFormatting>
  <conditionalFormatting sqref="Q614">
    <cfRule type="duplicateValues" dxfId="6523" priority="6705"/>
  </conditionalFormatting>
  <conditionalFormatting sqref="Q614">
    <cfRule type="duplicateValues" dxfId="6522" priority="6704"/>
  </conditionalFormatting>
  <conditionalFormatting sqref="Q614">
    <cfRule type="duplicateValues" dxfId="6521" priority="6703"/>
  </conditionalFormatting>
  <conditionalFormatting sqref="R614">
    <cfRule type="duplicateValues" dxfId="6520" priority="6702"/>
  </conditionalFormatting>
  <conditionalFormatting sqref="Q614">
    <cfRule type="duplicateValues" dxfId="6519" priority="6700"/>
    <cfRule type="duplicateValues" dxfId="6518" priority="6701"/>
  </conditionalFormatting>
  <conditionalFormatting sqref="Q614">
    <cfRule type="duplicateValues" dxfId="6517" priority="6699"/>
  </conditionalFormatting>
  <conditionalFormatting sqref="Q614">
    <cfRule type="duplicateValues" dxfId="6516" priority="6698"/>
  </conditionalFormatting>
  <conditionalFormatting sqref="Q614">
    <cfRule type="duplicateValues" dxfId="6515" priority="6697"/>
  </conditionalFormatting>
  <conditionalFormatting sqref="Q614">
    <cfRule type="duplicateValues" dxfId="6514" priority="6696"/>
  </conditionalFormatting>
  <conditionalFormatting sqref="Q614">
    <cfRule type="duplicateValues" dxfId="6513" priority="6695"/>
  </conditionalFormatting>
  <conditionalFormatting sqref="Q614">
    <cfRule type="duplicateValues" dxfId="6512" priority="6694"/>
  </conditionalFormatting>
  <conditionalFormatting sqref="Q614">
    <cfRule type="duplicateValues" dxfId="6511" priority="6693"/>
  </conditionalFormatting>
  <conditionalFormatting sqref="Q614">
    <cfRule type="duplicateValues" dxfId="6510" priority="6692"/>
  </conditionalFormatting>
  <conditionalFormatting sqref="Q614:R614">
    <cfRule type="duplicateValues" dxfId="6509" priority="6691"/>
  </conditionalFormatting>
  <conditionalFormatting sqref="Q614">
    <cfRule type="duplicateValues" dxfId="6508" priority="6690"/>
  </conditionalFormatting>
  <conditionalFormatting sqref="R614">
    <cfRule type="duplicateValues" dxfId="6507" priority="6689"/>
  </conditionalFormatting>
  <conditionalFormatting sqref="Q614">
    <cfRule type="duplicateValues" dxfId="6506" priority="6688"/>
  </conditionalFormatting>
  <conditionalFormatting sqref="Q614">
    <cfRule type="duplicateValues" dxfId="6505" priority="6687"/>
  </conditionalFormatting>
  <conditionalFormatting sqref="Q615:R616">
    <cfRule type="duplicateValues" dxfId="6504" priority="6684"/>
    <cfRule type="duplicateValues" dxfId="6503" priority="6685"/>
    <cfRule type="duplicateValues" dxfId="6502" priority="6686"/>
  </conditionalFormatting>
  <conditionalFormatting sqref="R615:R616">
    <cfRule type="duplicateValues" dxfId="6501" priority="6683"/>
  </conditionalFormatting>
  <conditionalFormatting sqref="Q615:R616">
    <cfRule type="duplicateValues" dxfId="6500" priority="6682"/>
  </conditionalFormatting>
  <conditionalFormatting sqref="Q615:Q616">
    <cfRule type="duplicateValues" dxfId="6499" priority="6681"/>
  </conditionalFormatting>
  <conditionalFormatting sqref="Q615:Q616">
    <cfRule type="duplicateValues" dxfId="6498" priority="6680"/>
  </conditionalFormatting>
  <conditionalFormatting sqref="Q615:Q616">
    <cfRule type="duplicateValues" dxfId="6497" priority="6679"/>
  </conditionalFormatting>
  <conditionalFormatting sqref="Q615:Q616">
    <cfRule type="duplicateValues" dxfId="6496" priority="6678"/>
  </conditionalFormatting>
  <conditionalFormatting sqref="R615:R616">
    <cfRule type="duplicateValues" dxfId="6495" priority="6677"/>
  </conditionalFormatting>
  <conditionalFormatting sqref="Q615:Q616">
    <cfRule type="duplicateValues" dxfId="6494" priority="6675"/>
    <cfRule type="duplicateValues" dxfId="6493" priority="6676"/>
  </conditionalFormatting>
  <conditionalFormatting sqref="Q615:Q616">
    <cfRule type="duplicateValues" dxfId="6492" priority="6674"/>
  </conditionalFormatting>
  <conditionalFormatting sqref="Q615:Q616">
    <cfRule type="duplicateValues" dxfId="6491" priority="6673"/>
  </conditionalFormatting>
  <conditionalFormatting sqref="Q615:Q616">
    <cfRule type="duplicateValues" dxfId="6490" priority="6672"/>
  </conditionalFormatting>
  <conditionalFormatting sqref="Q615:Q616">
    <cfRule type="duplicateValues" dxfId="6489" priority="6671"/>
  </conditionalFormatting>
  <conditionalFormatting sqref="Q615:Q616">
    <cfRule type="duplicateValues" dxfId="6488" priority="6670"/>
  </conditionalFormatting>
  <conditionalFormatting sqref="Q615:Q616">
    <cfRule type="duplicateValues" dxfId="6487" priority="6669"/>
  </conditionalFormatting>
  <conditionalFormatting sqref="Q615:Q616">
    <cfRule type="duplicateValues" dxfId="6486" priority="6668"/>
  </conditionalFormatting>
  <conditionalFormatting sqref="Q615:Q616">
    <cfRule type="duplicateValues" dxfId="6485" priority="6667"/>
  </conditionalFormatting>
  <conditionalFormatting sqref="Q615:R616">
    <cfRule type="duplicateValues" dxfId="6484" priority="6666"/>
  </conditionalFormatting>
  <conditionalFormatting sqref="Q615:Q616">
    <cfRule type="duplicateValues" dxfId="6483" priority="6665"/>
  </conditionalFormatting>
  <conditionalFormatting sqref="R615:R616">
    <cfRule type="duplicateValues" dxfId="6482" priority="6664"/>
  </conditionalFormatting>
  <conditionalFormatting sqref="Q615:Q616">
    <cfRule type="duplicateValues" dxfId="6481" priority="6663"/>
  </conditionalFormatting>
  <conditionalFormatting sqref="Q615:Q616">
    <cfRule type="duplicateValues" dxfId="6480" priority="6662"/>
  </conditionalFormatting>
  <conditionalFormatting sqref="Q617:R618">
    <cfRule type="duplicateValues" dxfId="6479" priority="6658"/>
  </conditionalFormatting>
  <conditionalFormatting sqref="Q617:R618">
    <cfRule type="duplicateValues" dxfId="6478" priority="6655"/>
    <cfRule type="duplicateValues" dxfId="6477" priority="6656"/>
    <cfRule type="duplicateValues" dxfId="6476" priority="6657"/>
  </conditionalFormatting>
  <conditionalFormatting sqref="R617:R618">
    <cfRule type="duplicateValues" dxfId="6475" priority="6654"/>
  </conditionalFormatting>
  <conditionalFormatting sqref="Q617:R618">
    <cfRule type="duplicateValues" dxfId="6474" priority="6653"/>
  </conditionalFormatting>
  <conditionalFormatting sqref="Q617:Q618">
    <cfRule type="duplicateValues" dxfId="6473" priority="6652"/>
  </conditionalFormatting>
  <conditionalFormatting sqref="Q617:Q618">
    <cfRule type="duplicateValues" dxfId="6472" priority="6651"/>
  </conditionalFormatting>
  <conditionalFormatting sqref="Q617:Q618">
    <cfRule type="duplicateValues" dxfId="6471" priority="6650"/>
  </conditionalFormatting>
  <conditionalFormatting sqref="Q617:Q618">
    <cfRule type="duplicateValues" dxfId="6470" priority="6649"/>
  </conditionalFormatting>
  <conditionalFormatting sqref="R617:R618">
    <cfRule type="duplicateValues" dxfId="6469" priority="6648"/>
  </conditionalFormatting>
  <conditionalFormatting sqref="Q617:Q618">
    <cfRule type="duplicateValues" dxfId="6468" priority="6646"/>
    <cfRule type="duplicateValues" dxfId="6467" priority="6647"/>
  </conditionalFormatting>
  <conditionalFormatting sqref="Q617:Q618">
    <cfRule type="duplicateValues" dxfId="6466" priority="6645"/>
  </conditionalFormatting>
  <conditionalFormatting sqref="Q617:Q618">
    <cfRule type="duplicateValues" dxfId="6465" priority="6644"/>
  </conditionalFormatting>
  <conditionalFormatting sqref="Q617:Q618">
    <cfRule type="duplicateValues" dxfId="6464" priority="6643"/>
  </conditionalFormatting>
  <conditionalFormatting sqref="Q617:Q618">
    <cfRule type="duplicateValues" dxfId="6463" priority="6642"/>
  </conditionalFormatting>
  <conditionalFormatting sqref="Q617:Q618">
    <cfRule type="duplicateValues" dxfId="6462" priority="6641"/>
  </conditionalFormatting>
  <conditionalFormatting sqref="Q617:Q618">
    <cfRule type="duplicateValues" dxfId="6461" priority="6640"/>
  </conditionalFormatting>
  <conditionalFormatting sqref="Q617:Q618">
    <cfRule type="duplicateValues" dxfId="6460" priority="6639"/>
  </conditionalFormatting>
  <conditionalFormatting sqref="Q617:Q618">
    <cfRule type="duplicateValues" dxfId="6459" priority="6638"/>
  </conditionalFormatting>
  <conditionalFormatting sqref="Q617:R618">
    <cfRule type="duplicateValues" dxfId="6458" priority="6659"/>
  </conditionalFormatting>
  <conditionalFormatting sqref="Q617:Q618">
    <cfRule type="duplicateValues" dxfId="6457" priority="6660"/>
  </conditionalFormatting>
  <conditionalFormatting sqref="R617:R618">
    <cfRule type="duplicateValues" dxfId="6456" priority="6661"/>
  </conditionalFormatting>
  <conditionalFormatting sqref="Q617:Q618">
    <cfRule type="duplicateValues" dxfId="6455" priority="6637"/>
  </conditionalFormatting>
  <conditionalFormatting sqref="Q617:Q618">
    <cfRule type="duplicateValues" dxfId="6454" priority="6636"/>
  </conditionalFormatting>
  <conditionalFormatting sqref="Q619:R622">
    <cfRule type="duplicateValues" dxfId="6453" priority="6633"/>
    <cfRule type="duplicateValues" dxfId="6452" priority="6634"/>
    <cfRule type="duplicateValues" dxfId="6451" priority="6635"/>
  </conditionalFormatting>
  <conditionalFormatting sqref="R619:R622">
    <cfRule type="duplicateValues" dxfId="6450" priority="6632"/>
  </conditionalFormatting>
  <conditionalFormatting sqref="Q619:R622">
    <cfRule type="duplicateValues" dxfId="6449" priority="6631"/>
  </conditionalFormatting>
  <conditionalFormatting sqref="Q619:Q622">
    <cfRule type="duplicateValues" dxfId="6448" priority="6630"/>
  </conditionalFormatting>
  <conditionalFormatting sqref="Q619:Q622">
    <cfRule type="duplicateValues" dxfId="6447" priority="6629"/>
  </conditionalFormatting>
  <conditionalFormatting sqref="Q619:Q622">
    <cfRule type="duplicateValues" dxfId="6446" priority="6628"/>
  </conditionalFormatting>
  <conditionalFormatting sqref="Q619:Q622">
    <cfRule type="duplicateValues" dxfId="6445" priority="6627"/>
  </conditionalFormatting>
  <conditionalFormatting sqref="R619:R622">
    <cfRule type="duplicateValues" dxfId="6444" priority="6626"/>
  </conditionalFormatting>
  <conditionalFormatting sqref="Q619:Q622">
    <cfRule type="duplicateValues" dxfId="6443" priority="6624"/>
    <cfRule type="duplicateValues" dxfId="6442" priority="6625"/>
  </conditionalFormatting>
  <conditionalFormatting sqref="Q619:Q622">
    <cfRule type="duplicateValues" dxfId="6441" priority="6623"/>
  </conditionalFormatting>
  <conditionalFormatting sqref="Q619:Q622">
    <cfRule type="duplicateValues" dxfId="6440" priority="6622"/>
  </conditionalFormatting>
  <conditionalFormatting sqref="Q619:Q622">
    <cfRule type="duplicateValues" dxfId="6439" priority="6621"/>
  </conditionalFormatting>
  <conditionalFormatting sqref="Q619:Q622">
    <cfRule type="duplicateValues" dxfId="6438" priority="6620"/>
  </conditionalFormatting>
  <conditionalFormatting sqref="Q619:Q622">
    <cfRule type="duplicateValues" dxfId="6437" priority="6619"/>
  </conditionalFormatting>
  <conditionalFormatting sqref="Q619:Q622">
    <cfRule type="duplicateValues" dxfId="6436" priority="6618"/>
  </conditionalFormatting>
  <conditionalFormatting sqref="Q619:Q622">
    <cfRule type="duplicateValues" dxfId="6435" priority="6617"/>
  </conditionalFormatting>
  <conditionalFormatting sqref="Q619:Q622">
    <cfRule type="duplicateValues" dxfId="6434" priority="6616"/>
  </conditionalFormatting>
  <conditionalFormatting sqref="Q619:R622">
    <cfRule type="duplicateValues" dxfId="6433" priority="6615"/>
  </conditionalFormatting>
  <conditionalFormatting sqref="Q619:Q622">
    <cfRule type="duplicateValues" dxfId="6432" priority="6614"/>
  </conditionalFormatting>
  <conditionalFormatting sqref="R619:R622">
    <cfRule type="duplicateValues" dxfId="6431" priority="6613"/>
  </conditionalFormatting>
  <conditionalFormatting sqref="Q619:Q622">
    <cfRule type="duplicateValues" dxfId="6430" priority="6612"/>
  </conditionalFormatting>
  <conditionalFormatting sqref="Q619:Q622">
    <cfRule type="duplicateValues" dxfId="6429" priority="6611"/>
  </conditionalFormatting>
  <conditionalFormatting sqref="Q623:Q624">
    <cfRule type="duplicateValues" dxfId="6428" priority="6588"/>
  </conditionalFormatting>
  <conditionalFormatting sqref="Q623:Q624">
    <cfRule type="duplicateValues" dxfId="6427" priority="6587"/>
  </conditionalFormatting>
  <conditionalFormatting sqref="Q623:Q624">
    <cfRule type="duplicateValues" dxfId="6426" priority="6586"/>
  </conditionalFormatting>
  <conditionalFormatting sqref="Q623:Q624">
    <cfRule type="duplicateValues" dxfId="6425" priority="6585"/>
  </conditionalFormatting>
  <conditionalFormatting sqref="Q623:Q624">
    <cfRule type="duplicateValues" dxfId="6424" priority="6584"/>
  </conditionalFormatting>
  <conditionalFormatting sqref="Q623:Q624">
    <cfRule type="duplicateValues" dxfId="6423" priority="6583"/>
  </conditionalFormatting>
  <conditionalFormatting sqref="Q623:R624">
    <cfRule type="duplicateValues" dxfId="6422" priority="6582"/>
  </conditionalFormatting>
  <conditionalFormatting sqref="Q623:R624">
    <cfRule type="duplicateValues" dxfId="6421" priority="6579"/>
    <cfRule type="duplicateValues" dxfId="6420" priority="6580"/>
    <cfRule type="duplicateValues" dxfId="6419" priority="6581"/>
  </conditionalFormatting>
  <conditionalFormatting sqref="R623:R624">
    <cfRule type="duplicateValues" dxfId="6418" priority="6578"/>
  </conditionalFormatting>
  <conditionalFormatting sqref="Q623:Q624">
    <cfRule type="duplicateValues" dxfId="6417" priority="6577"/>
  </conditionalFormatting>
  <conditionalFormatting sqref="Q623:Q624">
    <cfRule type="duplicateValues" dxfId="6416" priority="6574"/>
    <cfRule type="duplicateValues" dxfId="6415" priority="6575"/>
    <cfRule type="duplicateValues" dxfId="6414" priority="6576"/>
  </conditionalFormatting>
  <conditionalFormatting sqref="R623:R624">
    <cfRule type="duplicateValues" dxfId="6413" priority="6571"/>
    <cfRule type="duplicateValues" dxfId="6412" priority="6572"/>
    <cfRule type="duplicateValues" dxfId="6411" priority="6573"/>
  </conditionalFormatting>
  <conditionalFormatting sqref="Q623:Q624">
    <cfRule type="duplicateValues" dxfId="6410" priority="6569"/>
    <cfRule type="duplicateValues" dxfId="6409" priority="6570"/>
  </conditionalFormatting>
  <conditionalFormatting sqref="Q623:Q624">
    <cfRule type="duplicateValues" dxfId="6408" priority="6568"/>
  </conditionalFormatting>
  <conditionalFormatting sqref="Q623:Q624">
    <cfRule type="duplicateValues" dxfId="6407" priority="6567"/>
  </conditionalFormatting>
  <conditionalFormatting sqref="Q625:Q626">
    <cfRule type="duplicateValues" dxfId="6406" priority="6566"/>
  </conditionalFormatting>
  <conditionalFormatting sqref="R625:R626">
    <cfRule type="duplicateValues" dxfId="6405" priority="6565"/>
  </conditionalFormatting>
  <conditionalFormatting sqref="Q625:Q626">
    <cfRule type="duplicateValues" dxfId="6404" priority="6563"/>
    <cfRule type="duplicateValues" dxfId="6403" priority="6564"/>
  </conditionalFormatting>
  <conditionalFormatting sqref="Q625:Q626">
    <cfRule type="duplicateValues" dxfId="6402" priority="6562"/>
  </conditionalFormatting>
  <conditionalFormatting sqref="Q625:Q626">
    <cfRule type="duplicateValues" dxfId="6401" priority="6561"/>
  </conditionalFormatting>
  <conditionalFormatting sqref="Q625:Q626">
    <cfRule type="duplicateValues" dxfId="6400" priority="6560"/>
  </conditionalFormatting>
  <conditionalFormatting sqref="Q625:Q626">
    <cfRule type="duplicateValues" dxfId="6399" priority="6559"/>
  </conditionalFormatting>
  <conditionalFormatting sqref="Q625:Q626">
    <cfRule type="duplicateValues" dxfId="6398" priority="6558"/>
  </conditionalFormatting>
  <conditionalFormatting sqref="Q625:Q626">
    <cfRule type="duplicateValues" dxfId="6397" priority="6557"/>
  </conditionalFormatting>
  <conditionalFormatting sqref="Q625:Q626">
    <cfRule type="duplicateValues" dxfId="6396" priority="6556"/>
  </conditionalFormatting>
  <conditionalFormatting sqref="Q625:Q626">
    <cfRule type="duplicateValues" dxfId="6395" priority="6555"/>
  </conditionalFormatting>
  <conditionalFormatting sqref="Q625:Q626">
    <cfRule type="duplicateValues" dxfId="6394" priority="6554"/>
  </conditionalFormatting>
  <conditionalFormatting sqref="Q625:Q626">
    <cfRule type="duplicateValues" dxfId="6393" priority="6551"/>
    <cfRule type="duplicateValues" dxfId="6392" priority="6552"/>
    <cfRule type="duplicateValues" dxfId="6391" priority="6553"/>
  </conditionalFormatting>
  <conditionalFormatting sqref="R625:R626">
    <cfRule type="duplicateValues" dxfId="6390" priority="6550"/>
  </conditionalFormatting>
  <conditionalFormatting sqref="R625:R626">
    <cfRule type="duplicateValues" dxfId="6389" priority="6547"/>
    <cfRule type="duplicateValues" dxfId="6388" priority="6548"/>
    <cfRule type="duplicateValues" dxfId="6387" priority="6549"/>
  </conditionalFormatting>
  <conditionalFormatting sqref="Q625:Q626">
    <cfRule type="duplicateValues" dxfId="6386" priority="6546"/>
  </conditionalFormatting>
  <conditionalFormatting sqref="Q625:Q626">
    <cfRule type="duplicateValues" dxfId="6385" priority="6545"/>
  </conditionalFormatting>
  <conditionalFormatting sqref="Q664">
    <cfRule type="duplicateValues" dxfId="6384" priority="6544"/>
  </conditionalFormatting>
  <conditionalFormatting sqref="R664">
    <cfRule type="duplicateValues" dxfId="6383" priority="6543"/>
  </conditionalFormatting>
  <conditionalFormatting sqref="Q664">
    <cfRule type="duplicateValues" dxfId="6382" priority="6541"/>
    <cfRule type="duplicateValues" dxfId="6381" priority="6542"/>
  </conditionalFormatting>
  <conditionalFormatting sqref="Q664">
    <cfRule type="duplicateValues" dxfId="6380" priority="6540"/>
  </conditionalFormatting>
  <conditionalFormatting sqref="Q664">
    <cfRule type="duplicateValues" dxfId="6379" priority="6539"/>
  </conditionalFormatting>
  <conditionalFormatting sqref="Q664">
    <cfRule type="duplicateValues" dxfId="6378" priority="6538"/>
  </conditionalFormatting>
  <conditionalFormatting sqref="Q664">
    <cfRule type="duplicateValues" dxfId="6377" priority="6537"/>
  </conditionalFormatting>
  <conditionalFormatting sqref="Q664">
    <cfRule type="duplicateValues" dxfId="6376" priority="6536"/>
  </conditionalFormatting>
  <conditionalFormatting sqref="Q664">
    <cfRule type="duplicateValues" dxfId="6375" priority="6535"/>
  </conditionalFormatting>
  <conditionalFormatting sqref="Q664">
    <cfRule type="duplicateValues" dxfId="6374" priority="6534"/>
  </conditionalFormatting>
  <conditionalFormatting sqref="Q664">
    <cfRule type="duplicateValues" dxfId="6373" priority="6533"/>
  </conditionalFormatting>
  <conditionalFormatting sqref="Q664">
    <cfRule type="duplicateValues" dxfId="6372" priority="6532"/>
  </conditionalFormatting>
  <conditionalFormatting sqref="Q664">
    <cfRule type="duplicateValues" dxfId="6371" priority="6529"/>
    <cfRule type="duplicateValues" dxfId="6370" priority="6530"/>
    <cfRule type="duplicateValues" dxfId="6369" priority="6531"/>
  </conditionalFormatting>
  <conditionalFormatting sqref="R664">
    <cfRule type="duplicateValues" dxfId="6368" priority="6528"/>
  </conditionalFormatting>
  <conditionalFormatting sqref="R664">
    <cfRule type="duplicateValues" dxfId="6367" priority="6525"/>
    <cfRule type="duplicateValues" dxfId="6366" priority="6526"/>
    <cfRule type="duplicateValues" dxfId="6365" priority="6527"/>
  </conditionalFormatting>
  <conditionalFormatting sqref="Q664">
    <cfRule type="duplicateValues" dxfId="6364" priority="6524"/>
  </conditionalFormatting>
  <conditionalFormatting sqref="Q664">
    <cfRule type="duplicateValues" dxfId="6363" priority="6523"/>
  </conditionalFormatting>
  <conditionalFormatting sqref="R627:R629">
    <cfRule type="duplicateValues" dxfId="6362" priority="6522"/>
  </conditionalFormatting>
  <conditionalFormatting sqref="Q627:Q629">
    <cfRule type="duplicateValues" dxfId="6361" priority="6520"/>
    <cfRule type="duplicateValues" dxfId="6360" priority="6521"/>
  </conditionalFormatting>
  <conditionalFormatting sqref="Q627:Q629">
    <cfRule type="duplicateValues" dxfId="6359" priority="6519"/>
  </conditionalFormatting>
  <conditionalFormatting sqref="Q627:Q629">
    <cfRule type="duplicateValues" dxfId="6358" priority="6518"/>
  </conditionalFormatting>
  <conditionalFormatting sqref="Q627:Q629">
    <cfRule type="duplicateValues" dxfId="6357" priority="6517"/>
  </conditionalFormatting>
  <conditionalFormatting sqref="Q627:Q629">
    <cfRule type="duplicateValues" dxfId="6356" priority="6516"/>
  </conditionalFormatting>
  <conditionalFormatting sqref="Q627:Q629">
    <cfRule type="duplicateValues" dxfId="6355" priority="6515"/>
  </conditionalFormatting>
  <conditionalFormatting sqref="Q627:Q629">
    <cfRule type="duplicateValues" dxfId="6354" priority="6514"/>
  </conditionalFormatting>
  <conditionalFormatting sqref="Q627:Q629">
    <cfRule type="duplicateValues" dxfId="6353" priority="6513"/>
  </conditionalFormatting>
  <conditionalFormatting sqref="Q627:Q629">
    <cfRule type="duplicateValues" dxfId="6352" priority="6512"/>
  </conditionalFormatting>
  <conditionalFormatting sqref="Q627:Q629">
    <cfRule type="duplicateValues" dxfId="6351" priority="6511"/>
  </conditionalFormatting>
  <conditionalFormatting sqref="Q627:Q629">
    <cfRule type="duplicateValues" dxfId="6350" priority="6508"/>
    <cfRule type="duplicateValues" dxfId="6349" priority="6509"/>
    <cfRule type="duplicateValues" dxfId="6348" priority="6510"/>
  </conditionalFormatting>
  <conditionalFormatting sqref="R627:R629">
    <cfRule type="duplicateValues" dxfId="6347" priority="6507"/>
  </conditionalFormatting>
  <conditionalFormatting sqref="R627:R629">
    <cfRule type="duplicateValues" dxfId="6346" priority="6504"/>
    <cfRule type="duplicateValues" dxfId="6345" priority="6505"/>
    <cfRule type="duplicateValues" dxfId="6344" priority="6506"/>
  </conditionalFormatting>
  <conditionalFormatting sqref="Q627:Q629">
    <cfRule type="duplicateValues" dxfId="6343" priority="6503"/>
  </conditionalFormatting>
  <conditionalFormatting sqref="Q627:Q629">
    <cfRule type="duplicateValues" dxfId="6342" priority="6502"/>
  </conditionalFormatting>
  <conditionalFormatting sqref="C630">
    <cfRule type="cellIs" dxfId="6341" priority="6501" operator="equal">
      <formula>0</formula>
    </cfRule>
  </conditionalFormatting>
  <conditionalFormatting sqref="R665">
    <cfRule type="duplicateValues" dxfId="6340" priority="6491"/>
  </conditionalFormatting>
  <conditionalFormatting sqref="Q665">
    <cfRule type="duplicateValues" dxfId="6339" priority="6489"/>
    <cfRule type="duplicateValues" dxfId="6338" priority="6490"/>
  </conditionalFormatting>
  <conditionalFormatting sqref="Q665">
    <cfRule type="duplicateValues" dxfId="6337" priority="6488"/>
  </conditionalFormatting>
  <conditionalFormatting sqref="Q665">
    <cfRule type="duplicateValues" dxfId="6336" priority="6487"/>
  </conditionalFormatting>
  <conditionalFormatting sqref="Q665">
    <cfRule type="duplicateValues" dxfId="6335" priority="6486"/>
  </conditionalFormatting>
  <conditionalFormatting sqref="Q665">
    <cfRule type="duplicateValues" dxfId="6334" priority="6485"/>
  </conditionalFormatting>
  <conditionalFormatting sqref="Q665">
    <cfRule type="duplicateValues" dxfId="6333" priority="6484"/>
  </conditionalFormatting>
  <conditionalFormatting sqref="Q665">
    <cfRule type="duplicateValues" dxfId="6332" priority="6483"/>
  </conditionalFormatting>
  <conditionalFormatting sqref="Q665">
    <cfRule type="duplicateValues" dxfId="6331" priority="6482"/>
  </conditionalFormatting>
  <conditionalFormatting sqref="Q665">
    <cfRule type="duplicateValues" dxfId="6330" priority="6481"/>
  </conditionalFormatting>
  <conditionalFormatting sqref="Q665">
    <cfRule type="duplicateValues" dxfId="6329" priority="6480"/>
  </conditionalFormatting>
  <conditionalFormatting sqref="Q665">
    <cfRule type="duplicateValues" dxfId="6328" priority="6477"/>
    <cfRule type="duplicateValues" dxfId="6327" priority="6478"/>
    <cfRule type="duplicateValues" dxfId="6326" priority="6479"/>
  </conditionalFormatting>
  <conditionalFormatting sqref="R665">
    <cfRule type="duplicateValues" dxfId="6325" priority="6476"/>
  </conditionalFormatting>
  <conditionalFormatting sqref="R665">
    <cfRule type="duplicateValues" dxfId="6324" priority="6473"/>
    <cfRule type="duplicateValues" dxfId="6323" priority="6474"/>
    <cfRule type="duplicateValues" dxfId="6322" priority="6475"/>
  </conditionalFormatting>
  <conditionalFormatting sqref="Q665">
    <cfRule type="duplicateValues" dxfId="6321" priority="6472"/>
  </conditionalFormatting>
  <conditionalFormatting sqref="Q665">
    <cfRule type="duplicateValues" dxfId="6320" priority="6471"/>
  </conditionalFormatting>
  <conditionalFormatting sqref="R666">
    <cfRule type="duplicateValues" dxfId="6319" priority="6470"/>
  </conditionalFormatting>
  <conditionalFormatting sqref="Q666">
    <cfRule type="duplicateValues" dxfId="6318" priority="6468"/>
    <cfRule type="duplicateValues" dxfId="6317" priority="6469"/>
  </conditionalFormatting>
  <conditionalFormatting sqref="Q666">
    <cfRule type="duplicateValues" dxfId="6316" priority="6467"/>
  </conditionalFormatting>
  <conditionalFormatting sqref="Q666">
    <cfRule type="duplicateValues" dxfId="6315" priority="6466"/>
  </conditionalFormatting>
  <conditionalFormatting sqref="Q666">
    <cfRule type="duplicateValues" dxfId="6314" priority="6465"/>
  </conditionalFormatting>
  <conditionalFormatting sqref="Q666">
    <cfRule type="duplicateValues" dxfId="6313" priority="6464"/>
  </conditionalFormatting>
  <conditionalFormatting sqref="Q666">
    <cfRule type="duplicateValues" dxfId="6312" priority="6463"/>
  </conditionalFormatting>
  <conditionalFormatting sqref="Q666">
    <cfRule type="duplicateValues" dxfId="6311" priority="6462"/>
  </conditionalFormatting>
  <conditionalFormatting sqref="Q666">
    <cfRule type="duplicateValues" dxfId="6310" priority="6461"/>
  </conditionalFormatting>
  <conditionalFormatting sqref="Q666">
    <cfRule type="duplicateValues" dxfId="6309" priority="6460"/>
  </conditionalFormatting>
  <conditionalFormatting sqref="Q666">
    <cfRule type="duplicateValues" dxfId="6308" priority="6459"/>
  </conditionalFormatting>
  <conditionalFormatting sqref="Q666">
    <cfRule type="duplicateValues" dxfId="6307" priority="6456"/>
    <cfRule type="duplicateValues" dxfId="6306" priority="6457"/>
    <cfRule type="duplicateValues" dxfId="6305" priority="6458"/>
  </conditionalFormatting>
  <conditionalFormatting sqref="R666">
    <cfRule type="duplicateValues" dxfId="6304" priority="6455"/>
  </conditionalFormatting>
  <conditionalFormatting sqref="R666">
    <cfRule type="duplicateValues" dxfId="6303" priority="6452"/>
    <cfRule type="duplicateValues" dxfId="6302" priority="6453"/>
    <cfRule type="duplicateValues" dxfId="6301" priority="6454"/>
  </conditionalFormatting>
  <conditionalFormatting sqref="Q666">
    <cfRule type="duplicateValues" dxfId="6300" priority="6451"/>
  </conditionalFormatting>
  <conditionalFormatting sqref="Q666">
    <cfRule type="duplicateValues" dxfId="6299" priority="6450"/>
  </conditionalFormatting>
  <conditionalFormatting sqref="Q662:Q663">
    <cfRule type="duplicateValues" dxfId="6298" priority="6449"/>
  </conditionalFormatting>
  <conditionalFormatting sqref="Q662:Q663">
    <cfRule type="duplicateValues" dxfId="6297" priority="6446"/>
    <cfRule type="duplicateValues" dxfId="6296" priority="6447"/>
    <cfRule type="duplicateValues" dxfId="6295" priority="6448"/>
  </conditionalFormatting>
  <conditionalFormatting sqref="Q662:Q663">
    <cfRule type="duplicateValues" dxfId="6294" priority="6445"/>
  </conditionalFormatting>
  <conditionalFormatting sqref="Q662:Q663">
    <cfRule type="duplicateValues" dxfId="6293" priority="6444"/>
  </conditionalFormatting>
  <conditionalFormatting sqref="Q662:Q663">
    <cfRule type="duplicateValues" dxfId="6292" priority="6443"/>
  </conditionalFormatting>
  <conditionalFormatting sqref="Q662:Q663">
    <cfRule type="duplicateValues" dxfId="6291" priority="6442"/>
  </conditionalFormatting>
  <conditionalFormatting sqref="Q662:Q663">
    <cfRule type="duplicateValues" dxfId="6290" priority="6441"/>
  </conditionalFormatting>
  <conditionalFormatting sqref="R662:R663">
    <cfRule type="duplicateValues" dxfId="6289" priority="6440"/>
  </conditionalFormatting>
  <conditionalFormatting sqref="Q662:Q663">
    <cfRule type="duplicateValues" dxfId="6288" priority="6438"/>
    <cfRule type="duplicateValues" dxfId="6287" priority="6439"/>
  </conditionalFormatting>
  <conditionalFormatting sqref="Q662:Q663">
    <cfRule type="duplicateValues" dxfId="6286" priority="6437"/>
  </conditionalFormatting>
  <conditionalFormatting sqref="Q662:Q663">
    <cfRule type="duplicateValues" dxfId="6285" priority="6436"/>
  </conditionalFormatting>
  <conditionalFormatting sqref="Q662:Q663">
    <cfRule type="duplicateValues" dxfId="6284" priority="6435"/>
  </conditionalFormatting>
  <conditionalFormatting sqref="Q662:Q663">
    <cfRule type="duplicateValues" dxfId="6283" priority="6434"/>
  </conditionalFormatting>
  <conditionalFormatting sqref="Q662:Q663">
    <cfRule type="duplicateValues" dxfId="6282" priority="6433"/>
  </conditionalFormatting>
  <conditionalFormatting sqref="Q662:Q663">
    <cfRule type="duplicateValues" dxfId="6281" priority="6432"/>
  </conditionalFormatting>
  <conditionalFormatting sqref="Q662:Q663">
    <cfRule type="duplicateValues" dxfId="6280" priority="6431"/>
  </conditionalFormatting>
  <conditionalFormatting sqref="Q662:Q663">
    <cfRule type="duplicateValues" dxfId="6279" priority="6430"/>
  </conditionalFormatting>
  <conditionalFormatting sqref="R662:R663">
    <cfRule type="duplicateValues" dxfId="6278" priority="6429"/>
  </conditionalFormatting>
  <conditionalFormatting sqref="R662:R663">
    <cfRule type="duplicateValues" dxfId="6277" priority="6426"/>
    <cfRule type="duplicateValues" dxfId="6276" priority="6427"/>
    <cfRule type="duplicateValues" dxfId="6275" priority="6428"/>
  </conditionalFormatting>
  <conditionalFormatting sqref="Q662:Q663">
    <cfRule type="duplicateValues" dxfId="6274" priority="6425"/>
  </conditionalFormatting>
  <conditionalFormatting sqref="Q662:Q663">
    <cfRule type="duplicateValues" dxfId="6273" priority="6424"/>
  </conditionalFormatting>
  <conditionalFormatting sqref="Q630:Q631">
    <cfRule type="duplicateValues" dxfId="6272" priority="6423"/>
  </conditionalFormatting>
  <conditionalFormatting sqref="Q630:Q631">
    <cfRule type="duplicateValues" dxfId="6271" priority="6422"/>
  </conditionalFormatting>
  <conditionalFormatting sqref="Q630:Q631">
    <cfRule type="duplicateValues" dxfId="6270" priority="6421"/>
  </conditionalFormatting>
  <conditionalFormatting sqref="Q630:Q631">
    <cfRule type="duplicateValues" dxfId="6269" priority="6420"/>
  </conditionalFormatting>
  <conditionalFormatting sqref="Q630:Q631">
    <cfRule type="duplicateValues" dxfId="6268" priority="6419"/>
  </conditionalFormatting>
  <conditionalFormatting sqref="Q630:Q631">
    <cfRule type="duplicateValues" dxfId="6267" priority="6418"/>
  </conditionalFormatting>
  <conditionalFormatting sqref="Q630:R631">
    <cfRule type="duplicateValues" dxfId="6266" priority="6417"/>
  </conditionalFormatting>
  <conditionalFormatting sqref="Q630:R631">
    <cfRule type="duplicateValues" dxfId="6265" priority="6414"/>
    <cfRule type="duplicateValues" dxfId="6264" priority="6415"/>
    <cfRule type="duplicateValues" dxfId="6263" priority="6416"/>
  </conditionalFormatting>
  <conditionalFormatting sqref="R630:R631">
    <cfRule type="duplicateValues" dxfId="6262" priority="6413"/>
  </conditionalFormatting>
  <conditionalFormatting sqref="Q630:Q631">
    <cfRule type="duplicateValues" dxfId="6261" priority="6412"/>
  </conditionalFormatting>
  <conditionalFormatting sqref="Q630:Q631">
    <cfRule type="duplicateValues" dxfId="6260" priority="6409"/>
    <cfRule type="duplicateValues" dxfId="6259" priority="6410"/>
    <cfRule type="duplicateValues" dxfId="6258" priority="6411"/>
  </conditionalFormatting>
  <conditionalFormatting sqref="R630:R631">
    <cfRule type="duplicateValues" dxfId="6257" priority="6406"/>
    <cfRule type="duplicateValues" dxfId="6256" priority="6407"/>
    <cfRule type="duplicateValues" dxfId="6255" priority="6408"/>
  </conditionalFormatting>
  <conditionalFormatting sqref="Q630:Q631">
    <cfRule type="duplicateValues" dxfId="6254" priority="6404"/>
    <cfRule type="duplicateValues" dxfId="6253" priority="6405"/>
  </conditionalFormatting>
  <conditionalFormatting sqref="Q632">
    <cfRule type="duplicateValues" dxfId="6252" priority="6403"/>
  </conditionalFormatting>
  <conditionalFormatting sqref="Q632">
    <cfRule type="duplicateValues" dxfId="6251" priority="6402"/>
  </conditionalFormatting>
  <conditionalFormatting sqref="Q632">
    <cfRule type="duplicateValues" dxfId="6250" priority="6401"/>
  </conditionalFormatting>
  <conditionalFormatting sqref="Q632">
    <cfRule type="duplicateValues" dxfId="6249" priority="6400"/>
  </conditionalFormatting>
  <conditionalFormatting sqref="Q632">
    <cfRule type="duplicateValues" dxfId="6248" priority="6399"/>
  </conditionalFormatting>
  <conditionalFormatting sqref="Q632">
    <cfRule type="duplicateValues" dxfId="6247" priority="6398"/>
  </conditionalFormatting>
  <conditionalFormatting sqref="Q632:R632">
    <cfRule type="duplicateValues" dxfId="6246" priority="6397"/>
  </conditionalFormatting>
  <conditionalFormatting sqref="Q632:R632">
    <cfRule type="duplicateValues" dxfId="6245" priority="6394"/>
    <cfRule type="duplicateValues" dxfId="6244" priority="6395"/>
    <cfRule type="duplicateValues" dxfId="6243" priority="6396"/>
  </conditionalFormatting>
  <conditionalFormatting sqref="R632">
    <cfRule type="duplicateValues" dxfId="6242" priority="6393"/>
  </conditionalFormatting>
  <conditionalFormatting sqref="Q632">
    <cfRule type="duplicateValues" dxfId="6241" priority="6392"/>
  </conditionalFormatting>
  <conditionalFormatting sqref="Q632">
    <cfRule type="duplicateValues" dxfId="6240" priority="6389"/>
    <cfRule type="duplicateValues" dxfId="6239" priority="6390"/>
    <cfRule type="duplicateValues" dxfId="6238" priority="6391"/>
  </conditionalFormatting>
  <conditionalFormatting sqref="R632">
    <cfRule type="duplicateValues" dxfId="6237" priority="6386"/>
    <cfRule type="duplicateValues" dxfId="6236" priority="6387"/>
    <cfRule type="duplicateValues" dxfId="6235" priority="6388"/>
  </conditionalFormatting>
  <conditionalFormatting sqref="Q632">
    <cfRule type="duplicateValues" dxfId="6234" priority="6384"/>
    <cfRule type="duplicateValues" dxfId="6233" priority="6385"/>
  </conditionalFormatting>
  <conditionalFormatting sqref="Q633:R633">
    <cfRule type="duplicateValues" dxfId="6232" priority="6383"/>
  </conditionalFormatting>
  <conditionalFormatting sqref="Q633:R633">
    <cfRule type="duplicateValues" dxfId="6231" priority="6380"/>
    <cfRule type="duplicateValues" dxfId="6230" priority="6381"/>
    <cfRule type="duplicateValues" dxfId="6229" priority="6382"/>
  </conditionalFormatting>
  <conditionalFormatting sqref="R633">
    <cfRule type="duplicateValues" dxfId="6228" priority="6379"/>
  </conditionalFormatting>
  <conditionalFormatting sqref="Q633:R633">
    <cfRule type="duplicateValues" dxfId="6227" priority="6378"/>
  </conditionalFormatting>
  <conditionalFormatting sqref="Q633">
    <cfRule type="duplicateValues" dxfId="6226" priority="6377"/>
  </conditionalFormatting>
  <conditionalFormatting sqref="Q633">
    <cfRule type="duplicateValues" dxfId="6225" priority="6376"/>
  </conditionalFormatting>
  <conditionalFormatting sqref="Q633">
    <cfRule type="duplicateValues" dxfId="6224" priority="6375"/>
  </conditionalFormatting>
  <conditionalFormatting sqref="Q633">
    <cfRule type="duplicateValues" dxfId="6223" priority="6374"/>
  </conditionalFormatting>
  <conditionalFormatting sqref="R633">
    <cfRule type="duplicateValues" dxfId="6222" priority="6373"/>
  </conditionalFormatting>
  <conditionalFormatting sqref="Q633">
    <cfRule type="duplicateValues" dxfId="6221" priority="6371"/>
    <cfRule type="duplicateValues" dxfId="6220" priority="6372"/>
  </conditionalFormatting>
  <conditionalFormatting sqref="Q633">
    <cfRule type="duplicateValues" dxfId="6219" priority="6370"/>
  </conditionalFormatting>
  <conditionalFormatting sqref="Q633">
    <cfRule type="duplicateValues" dxfId="6218" priority="6369"/>
  </conditionalFormatting>
  <conditionalFormatting sqref="Q633">
    <cfRule type="duplicateValues" dxfId="6217" priority="6368"/>
  </conditionalFormatting>
  <conditionalFormatting sqref="Q633">
    <cfRule type="duplicateValues" dxfId="6216" priority="6367"/>
  </conditionalFormatting>
  <conditionalFormatting sqref="Q633">
    <cfRule type="duplicateValues" dxfId="6215" priority="6366"/>
  </conditionalFormatting>
  <conditionalFormatting sqref="Q633">
    <cfRule type="duplicateValues" dxfId="6214" priority="6365"/>
  </conditionalFormatting>
  <conditionalFormatting sqref="Q633">
    <cfRule type="duplicateValues" dxfId="6213" priority="6364"/>
  </conditionalFormatting>
  <conditionalFormatting sqref="Q633">
    <cfRule type="duplicateValues" dxfId="6212" priority="6363"/>
  </conditionalFormatting>
  <conditionalFormatting sqref="Q633:R633">
    <cfRule type="duplicateValues" dxfId="6211" priority="6362"/>
  </conditionalFormatting>
  <conditionalFormatting sqref="Q633">
    <cfRule type="duplicateValues" dxfId="6210" priority="6361"/>
  </conditionalFormatting>
  <conditionalFormatting sqref="Q633:R633">
    <cfRule type="duplicateValues" dxfId="6209" priority="6360"/>
  </conditionalFormatting>
  <conditionalFormatting sqref="R633">
    <cfRule type="duplicateValues" dxfId="6208" priority="6359"/>
  </conditionalFormatting>
  <conditionalFormatting sqref="Q633">
    <cfRule type="duplicateValues" dxfId="6207" priority="6358"/>
  </conditionalFormatting>
  <conditionalFormatting sqref="Q633">
    <cfRule type="duplicateValues" dxfId="6206" priority="6357"/>
  </conditionalFormatting>
  <conditionalFormatting sqref="Q634:R634">
    <cfRule type="duplicateValues" dxfId="6205" priority="6356"/>
  </conditionalFormatting>
  <conditionalFormatting sqref="Q634:R634">
    <cfRule type="duplicateValues" dxfId="6204" priority="6353"/>
    <cfRule type="duplicateValues" dxfId="6203" priority="6354"/>
    <cfRule type="duplicateValues" dxfId="6202" priority="6355"/>
  </conditionalFormatting>
  <conditionalFormatting sqref="R634">
    <cfRule type="duplicateValues" dxfId="6201" priority="6352"/>
  </conditionalFormatting>
  <conditionalFormatting sqref="Q634:R634">
    <cfRule type="duplicateValues" dxfId="6200" priority="6351"/>
  </conditionalFormatting>
  <conditionalFormatting sqref="Q634">
    <cfRule type="duplicateValues" dxfId="6199" priority="6350"/>
  </conditionalFormatting>
  <conditionalFormatting sqref="Q634">
    <cfRule type="duplicateValues" dxfId="6198" priority="6349"/>
  </conditionalFormatting>
  <conditionalFormatting sqref="Q634">
    <cfRule type="duplicateValues" dxfId="6197" priority="6348"/>
  </conditionalFormatting>
  <conditionalFormatting sqref="Q634">
    <cfRule type="duplicateValues" dxfId="6196" priority="6347"/>
  </conditionalFormatting>
  <conditionalFormatting sqref="R634">
    <cfRule type="duplicateValues" dxfId="6195" priority="6346"/>
  </conditionalFormatting>
  <conditionalFormatting sqref="Q634">
    <cfRule type="duplicateValues" dxfId="6194" priority="6344"/>
    <cfRule type="duplicateValues" dxfId="6193" priority="6345"/>
  </conditionalFormatting>
  <conditionalFormatting sqref="Q634">
    <cfRule type="duplicateValues" dxfId="6192" priority="6343"/>
  </conditionalFormatting>
  <conditionalFormatting sqref="Q634">
    <cfRule type="duplicateValues" dxfId="6191" priority="6342"/>
  </conditionalFormatting>
  <conditionalFormatting sqref="Q634">
    <cfRule type="duplicateValues" dxfId="6190" priority="6341"/>
  </conditionalFormatting>
  <conditionalFormatting sqref="Q634">
    <cfRule type="duplicateValues" dxfId="6189" priority="6340"/>
  </conditionalFormatting>
  <conditionalFormatting sqref="Q634">
    <cfRule type="duplicateValues" dxfId="6188" priority="6339"/>
  </conditionalFormatting>
  <conditionalFormatting sqref="Q634">
    <cfRule type="duplicateValues" dxfId="6187" priority="6338"/>
  </conditionalFormatting>
  <conditionalFormatting sqref="Q634">
    <cfRule type="duplicateValues" dxfId="6186" priority="6337"/>
  </conditionalFormatting>
  <conditionalFormatting sqref="Q634">
    <cfRule type="duplicateValues" dxfId="6185" priority="6336"/>
  </conditionalFormatting>
  <conditionalFormatting sqref="Q634:R634">
    <cfRule type="duplicateValues" dxfId="6184" priority="6335"/>
  </conditionalFormatting>
  <conditionalFormatting sqref="Q634">
    <cfRule type="duplicateValues" dxfId="6183" priority="6334"/>
  </conditionalFormatting>
  <conditionalFormatting sqref="Q634:R634">
    <cfRule type="duplicateValues" dxfId="6182" priority="6333"/>
  </conditionalFormatting>
  <conditionalFormatting sqref="R634">
    <cfRule type="duplicateValues" dxfId="6181" priority="6332"/>
  </conditionalFormatting>
  <conditionalFormatting sqref="Q634">
    <cfRule type="duplicateValues" dxfId="6180" priority="6331"/>
  </conditionalFormatting>
  <conditionalFormatting sqref="Q634">
    <cfRule type="duplicateValues" dxfId="6179" priority="6330"/>
  </conditionalFormatting>
  <conditionalFormatting sqref="Q650:R650">
    <cfRule type="duplicateValues" dxfId="6178" priority="6329"/>
  </conditionalFormatting>
  <conditionalFormatting sqref="Q650:R650">
    <cfRule type="duplicateValues" dxfId="6177" priority="6326"/>
    <cfRule type="duplicateValues" dxfId="6176" priority="6327"/>
    <cfRule type="duplicateValues" dxfId="6175" priority="6328"/>
  </conditionalFormatting>
  <conditionalFormatting sqref="R650">
    <cfRule type="duplicateValues" dxfId="6174" priority="6325"/>
  </conditionalFormatting>
  <conditionalFormatting sqref="Q650:R650">
    <cfRule type="duplicateValues" dxfId="6173" priority="6324"/>
  </conditionalFormatting>
  <conditionalFormatting sqref="Q650">
    <cfRule type="duplicateValues" dxfId="6172" priority="6323"/>
  </conditionalFormatting>
  <conditionalFormatting sqref="Q650">
    <cfRule type="duplicateValues" dxfId="6171" priority="6322"/>
  </conditionalFormatting>
  <conditionalFormatting sqref="Q650">
    <cfRule type="duplicateValues" dxfId="6170" priority="6321"/>
  </conditionalFormatting>
  <conditionalFormatting sqref="Q650">
    <cfRule type="duplicateValues" dxfId="6169" priority="6320"/>
  </conditionalFormatting>
  <conditionalFormatting sqref="R650">
    <cfRule type="duplicateValues" dxfId="6168" priority="6319"/>
  </conditionalFormatting>
  <conditionalFormatting sqref="Q650">
    <cfRule type="duplicateValues" dxfId="6167" priority="6317"/>
    <cfRule type="duplicateValues" dxfId="6166" priority="6318"/>
  </conditionalFormatting>
  <conditionalFormatting sqref="Q650">
    <cfRule type="duplicateValues" dxfId="6165" priority="6316"/>
  </conditionalFormatting>
  <conditionalFormatting sqref="Q650">
    <cfRule type="duplicateValues" dxfId="6164" priority="6315"/>
  </conditionalFormatting>
  <conditionalFormatting sqref="Q650">
    <cfRule type="duplicateValues" dxfId="6163" priority="6314"/>
  </conditionalFormatting>
  <conditionalFormatting sqref="Q650">
    <cfRule type="duplicateValues" dxfId="6162" priority="6313"/>
  </conditionalFormatting>
  <conditionalFormatting sqref="Q650">
    <cfRule type="duplicateValues" dxfId="6161" priority="6312"/>
  </conditionalFormatting>
  <conditionalFormatting sqref="Q650">
    <cfRule type="duplicateValues" dxfId="6160" priority="6311"/>
  </conditionalFormatting>
  <conditionalFormatting sqref="Q650">
    <cfRule type="duplicateValues" dxfId="6159" priority="6310"/>
  </conditionalFormatting>
  <conditionalFormatting sqref="Q650">
    <cfRule type="duplicateValues" dxfId="6158" priority="6309"/>
  </conditionalFormatting>
  <conditionalFormatting sqref="Q650:R650">
    <cfRule type="duplicateValues" dxfId="6157" priority="6308"/>
  </conditionalFormatting>
  <conditionalFormatting sqref="Q650">
    <cfRule type="duplicateValues" dxfId="6156" priority="6307"/>
  </conditionalFormatting>
  <conditionalFormatting sqref="R650">
    <cfRule type="duplicateValues" dxfId="6155" priority="6306"/>
  </conditionalFormatting>
  <conditionalFormatting sqref="Q650">
    <cfRule type="duplicateValues" dxfId="6154" priority="6305"/>
  </conditionalFormatting>
  <conditionalFormatting sqref="Q650">
    <cfRule type="duplicateValues" dxfId="6153" priority="6304"/>
  </conditionalFormatting>
  <conditionalFormatting sqref="Q651">
    <cfRule type="duplicateValues" dxfId="6152" priority="6303"/>
  </conditionalFormatting>
  <conditionalFormatting sqref="Q651">
    <cfRule type="duplicateValues" dxfId="6151" priority="6302"/>
  </conditionalFormatting>
  <conditionalFormatting sqref="Q651">
    <cfRule type="duplicateValues" dxfId="6150" priority="6301"/>
  </conditionalFormatting>
  <conditionalFormatting sqref="Q651">
    <cfRule type="duplicateValues" dxfId="6149" priority="6300"/>
  </conditionalFormatting>
  <conditionalFormatting sqref="Q651">
    <cfRule type="duplicateValues" dxfId="6148" priority="6299"/>
  </conditionalFormatting>
  <conditionalFormatting sqref="Q651">
    <cfRule type="duplicateValues" dxfId="6147" priority="6298"/>
  </conditionalFormatting>
  <conditionalFormatting sqref="Q651">
    <cfRule type="duplicateValues" dxfId="6146" priority="6297"/>
  </conditionalFormatting>
  <conditionalFormatting sqref="Q651:R651">
    <cfRule type="duplicateValues" dxfId="6145" priority="6296"/>
  </conditionalFormatting>
  <conditionalFormatting sqref="Q651:R651">
    <cfRule type="duplicateValues" dxfId="6144" priority="6293"/>
    <cfRule type="duplicateValues" dxfId="6143" priority="6294"/>
    <cfRule type="duplicateValues" dxfId="6142" priority="6295"/>
  </conditionalFormatting>
  <conditionalFormatting sqref="R651">
    <cfRule type="duplicateValues" dxfId="6141" priority="6292"/>
  </conditionalFormatting>
  <conditionalFormatting sqref="Q651">
    <cfRule type="duplicateValues" dxfId="6140" priority="6291"/>
  </conditionalFormatting>
  <conditionalFormatting sqref="Q651">
    <cfRule type="duplicateValues" dxfId="6139" priority="6288"/>
    <cfRule type="duplicateValues" dxfId="6138" priority="6289"/>
    <cfRule type="duplicateValues" dxfId="6137" priority="6290"/>
  </conditionalFormatting>
  <conditionalFormatting sqref="R651">
    <cfRule type="duplicateValues" dxfId="6136" priority="6285"/>
    <cfRule type="duplicateValues" dxfId="6135" priority="6286"/>
    <cfRule type="duplicateValues" dxfId="6134" priority="6287"/>
  </conditionalFormatting>
  <conditionalFormatting sqref="Q651">
    <cfRule type="duplicateValues" dxfId="6133" priority="6283"/>
    <cfRule type="duplicateValues" dxfId="6132" priority="6284"/>
  </conditionalFormatting>
  <conditionalFormatting sqref="Q651">
    <cfRule type="duplicateValues" dxfId="6131" priority="6282"/>
  </conditionalFormatting>
  <conditionalFormatting sqref="Q651">
    <cfRule type="duplicateValues" dxfId="6130" priority="6281"/>
  </conditionalFormatting>
  <conditionalFormatting sqref="Q652:R652">
    <cfRule type="duplicateValues" dxfId="6129" priority="6277"/>
  </conditionalFormatting>
  <conditionalFormatting sqref="Q652:R652">
    <cfRule type="duplicateValues" dxfId="6128" priority="6274"/>
    <cfRule type="duplicateValues" dxfId="6127" priority="6275"/>
    <cfRule type="duplicateValues" dxfId="6126" priority="6276"/>
  </conditionalFormatting>
  <conditionalFormatting sqref="R652">
    <cfRule type="duplicateValues" dxfId="6125" priority="6273"/>
  </conditionalFormatting>
  <conditionalFormatting sqref="Q652:R652">
    <cfRule type="duplicateValues" dxfId="6124" priority="6272"/>
  </conditionalFormatting>
  <conditionalFormatting sqref="Q652">
    <cfRule type="duplicateValues" dxfId="6123" priority="6271"/>
  </conditionalFormatting>
  <conditionalFormatting sqref="Q652">
    <cfRule type="duplicateValues" dxfId="6122" priority="6270"/>
  </conditionalFormatting>
  <conditionalFormatting sqref="Q652">
    <cfRule type="duplicateValues" dxfId="6121" priority="6269"/>
  </conditionalFormatting>
  <conditionalFormatting sqref="Q652">
    <cfRule type="duplicateValues" dxfId="6120" priority="6268"/>
  </conditionalFormatting>
  <conditionalFormatting sqref="R652">
    <cfRule type="duplicateValues" dxfId="6119" priority="6267"/>
  </conditionalFormatting>
  <conditionalFormatting sqref="Q652">
    <cfRule type="duplicateValues" dxfId="6118" priority="6265"/>
    <cfRule type="duplicateValues" dxfId="6117" priority="6266"/>
  </conditionalFormatting>
  <conditionalFormatting sqref="Q652">
    <cfRule type="duplicateValues" dxfId="6116" priority="6264"/>
  </conditionalFormatting>
  <conditionalFormatting sqref="Q652">
    <cfRule type="duplicateValues" dxfId="6115" priority="6263"/>
  </conditionalFormatting>
  <conditionalFormatting sqref="Q652">
    <cfRule type="duplicateValues" dxfId="6114" priority="6262"/>
  </conditionalFormatting>
  <conditionalFormatting sqref="Q652">
    <cfRule type="duplicateValues" dxfId="6113" priority="6261"/>
  </conditionalFormatting>
  <conditionalFormatting sqref="Q652">
    <cfRule type="duplicateValues" dxfId="6112" priority="6260"/>
  </conditionalFormatting>
  <conditionalFormatting sqref="Q652">
    <cfRule type="duplicateValues" dxfId="6111" priority="6259"/>
  </conditionalFormatting>
  <conditionalFormatting sqref="Q652">
    <cfRule type="duplicateValues" dxfId="6110" priority="6258"/>
  </conditionalFormatting>
  <conditionalFormatting sqref="Q652">
    <cfRule type="duplicateValues" dxfId="6109" priority="6257"/>
  </conditionalFormatting>
  <conditionalFormatting sqref="Q652:R652">
    <cfRule type="duplicateValues" dxfId="6108" priority="6278"/>
  </conditionalFormatting>
  <conditionalFormatting sqref="Q652">
    <cfRule type="duplicateValues" dxfId="6107" priority="6279"/>
  </conditionalFormatting>
  <conditionalFormatting sqref="R652">
    <cfRule type="duplicateValues" dxfId="6106" priority="6280"/>
  </conditionalFormatting>
  <conditionalFormatting sqref="Q652">
    <cfRule type="duplicateValues" dxfId="6105" priority="6256"/>
  </conditionalFormatting>
  <conditionalFormatting sqref="Q652">
    <cfRule type="duplicateValues" dxfId="6104" priority="6255"/>
  </conditionalFormatting>
  <conditionalFormatting sqref="Q653:R654">
    <cfRule type="duplicateValues" dxfId="6103" priority="6227"/>
  </conditionalFormatting>
  <conditionalFormatting sqref="Q653:R654">
    <cfRule type="duplicateValues" dxfId="6102" priority="6224"/>
    <cfRule type="duplicateValues" dxfId="6101" priority="6225"/>
    <cfRule type="duplicateValues" dxfId="6100" priority="6226"/>
  </conditionalFormatting>
  <conditionalFormatting sqref="R653:R654">
    <cfRule type="duplicateValues" dxfId="6099" priority="6223"/>
  </conditionalFormatting>
  <conditionalFormatting sqref="Q653:R654">
    <cfRule type="duplicateValues" dxfId="6098" priority="6222"/>
  </conditionalFormatting>
  <conditionalFormatting sqref="Q653:Q654">
    <cfRule type="duplicateValues" dxfId="6097" priority="6221"/>
  </conditionalFormatting>
  <conditionalFormatting sqref="Q653:Q654">
    <cfRule type="duplicateValues" dxfId="6096" priority="6220"/>
  </conditionalFormatting>
  <conditionalFormatting sqref="Q653:Q654">
    <cfRule type="duplicateValues" dxfId="6095" priority="6219"/>
  </conditionalFormatting>
  <conditionalFormatting sqref="Q653:Q654">
    <cfRule type="duplicateValues" dxfId="6094" priority="6218"/>
  </conditionalFormatting>
  <conditionalFormatting sqref="R653:R654">
    <cfRule type="duplicateValues" dxfId="6093" priority="6217"/>
  </conditionalFormatting>
  <conditionalFormatting sqref="Q653:Q654">
    <cfRule type="duplicateValues" dxfId="6092" priority="6215"/>
    <cfRule type="duplicateValues" dxfId="6091" priority="6216"/>
  </conditionalFormatting>
  <conditionalFormatting sqref="Q653:Q654">
    <cfRule type="duplicateValues" dxfId="6090" priority="6214"/>
  </conditionalFormatting>
  <conditionalFormatting sqref="Q653:Q654">
    <cfRule type="duplicateValues" dxfId="6089" priority="6213"/>
  </conditionalFormatting>
  <conditionalFormatting sqref="Q653:Q654">
    <cfRule type="duplicateValues" dxfId="6088" priority="6212"/>
  </conditionalFormatting>
  <conditionalFormatting sqref="Q653:Q654">
    <cfRule type="duplicateValues" dxfId="6087" priority="6211"/>
  </conditionalFormatting>
  <conditionalFormatting sqref="Q653:Q654">
    <cfRule type="duplicateValues" dxfId="6086" priority="6210"/>
  </conditionalFormatting>
  <conditionalFormatting sqref="Q653:Q654">
    <cfRule type="duplicateValues" dxfId="6085" priority="6209"/>
  </conditionalFormatting>
  <conditionalFormatting sqref="Q653:Q654">
    <cfRule type="duplicateValues" dxfId="6084" priority="6208"/>
  </conditionalFormatting>
  <conditionalFormatting sqref="Q653:Q654">
    <cfRule type="duplicateValues" dxfId="6083" priority="6207"/>
  </conditionalFormatting>
  <conditionalFormatting sqref="Q653:R654">
    <cfRule type="duplicateValues" dxfId="6082" priority="6206"/>
  </conditionalFormatting>
  <conditionalFormatting sqref="Q653:Q654">
    <cfRule type="duplicateValues" dxfId="6081" priority="6205"/>
  </conditionalFormatting>
  <conditionalFormatting sqref="Q653:R654">
    <cfRule type="duplicateValues" dxfId="6080" priority="6204"/>
  </conditionalFormatting>
  <conditionalFormatting sqref="R653:R654">
    <cfRule type="duplicateValues" dxfId="6079" priority="6203"/>
  </conditionalFormatting>
  <conditionalFormatting sqref="Q653:Q654">
    <cfRule type="duplicateValues" dxfId="6078" priority="6202"/>
  </conditionalFormatting>
  <conditionalFormatting sqref="Q653:Q654">
    <cfRule type="duplicateValues" dxfId="6077" priority="6201"/>
  </conditionalFormatting>
  <conditionalFormatting sqref="Q655:R657">
    <cfRule type="duplicateValues" dxfId="6076" priority="6198"/>
    <cfRule type="duplicateValues" dxfId="6075" priority="6199"/>
    <cfRule type="duplicateValues" dxfId="6074" priority="6200"/>
  </conditionalFormatting>
  <conditionalFormatting sqref="R655:R657">
    <cfRule type="duplicateValues" dxfId="6073" priority="6197"/>
  </conditionalFormatting>
  <conditionalFormatting sqref="Q655:R657">
    <cfRule type="duplicateValues" dxfId="6072" priority="6196"/>
  </conditionalFormatting>
  <conditionalFormatting sqref="Q655:Q657">
    <cfRule type="duplicateValues" dxfId="6071" priority="6195"/>
  </conditionalFormatting>
  <conditionalFormatting sqref="Q655:Q657">
    <cfRule type="duplicateValues" dxfId="6070" priority="6194"/>
  </conditionalFormatting>
  <conditionalFormatting sqref="Q655:Q657">
    <cfRule type="duplicateValues" dxfId="6069" priority="6193"/>
  </conditionalFormatting>
  <conditionalFormatting sqref="Q655:Q657">
    <cfRule type="duplicateValues" dxfId="6068" priority="6192"/>
  </conditionalFormatting>
  <conditionalFormatting sqref="R655:R657">
    <cfRule type="duplicateValues" dxfId="6067" priority="6191"/>
  </conditionalFormatting>
  <conditionalFormatting sqref="Q655:Q657">
    <cfRule type="duplicateValues" dxfId="6066" priority="6189"/>
    <cfRule type="duplicateValues" dxfId="6065" priority="6190"/>
  </conditionalFormatting>
  <conditionalFormatting sqref="Q655:Q657">
    <cfRule type="duplicateValues" dxfId="6064" priority="6188"/>
  </conditionalFormatting>
  <conditionalFormatting sqref="Q655:Q657">
    <cfRule type="duplicateValues" dxfId="6063" priority="6187"/>
  </conditionalFormatting>
  <conditionalFormatting sqref="Q655:Q657">
    <cfRule type="duplicateValues" dxfId="6062" priority="6186"/>
  </conditionalFormatting>
  <conditionalFormatting sqref="Q655:Q657">
    <cfRule type="duplicateValues" dxfId="6061" priority="6185"/>
  </conditionalFormatting>
  <conditionalFormatting sqref="Q655:Q657">
    <cfRule type="duplicateValues" dxfId="6060" priority="6184"/>
  </conditionalFormatting>
  <conditionalFormatting sqref="Q655:Q657">
    <cfRule type="duplicateValues" dxfId="6059" priority="6183"/>
  </conditionalFormatting>
  <conditionalFormatting sqref="Q655:Q657">
    <cfRule type="duplicateValues" dxfId="6058" priority="6182"/>
  </conditionalFormatting>
  <conditionalFormatting sqref="Q655:Q657">
    <cfRule type="duplicateValues" dxfId="6057" priority="6181"/>
  </conditionalFormatting>
  <conditionalFormatting sqref="Q655:R657">
    <cfRule type="duplicateValues" dxfId="6056" priority="6180"/>
  </conditionalFormatting>
  <conditionalFormatting sqref="Q655:Q657">
    <cfRule type="duplicateValues" dxfId="6055" priority="6179"/>
  </conditionalFormatting>
  <conditionalFormatting sqref="R655:R657">
    <cfRule type="duplicateValues" dxfId="6054" priority="6178"/>
  </conditionalFormatting>
  <conditionalFormatting sqref="Q655:Q657">
    <cfRule type="duplicateValues" dxfId="6053" priority="6177"/>
  </conditionalFormatting>
  <conditionalFormatting sqref="Q655:Q657">
    <cfRule type="duplicateValues" dxfId="6052" priority="6176"/>
  </conditionalFormatting>
  <conditionalFormatting sqref="Q658:R661">
    <cfRule type="duplicateValues" dxfId="6051" priority="6172"/>
  </conditionalFormatting>
  <conditionalFormatting sqref="Q658:R661">
    <cfRule type="duplicateValues" dxfId="6050" priority="6169"/>
    <cfRule type="duplicateValues" dxfId="6049" priority="6170"/>
    <cfRule type="duplicateValues" dxfId="6048" priority="6171"/>
  </conditionalFormatting>
  <conditionalFormatting sqref="R658:R661">
    <cfRule type="duplicateValues" dxfId="6047" priority="6168"/>
  </conditionalFormatting>
  <conditionalFormatting sqref="Q658:Q661">
    <cfRule type="duplicateValues" dxfId="6046" priority="6166"/>
  </conditionalFormatting>
  <conditionalFormatting sqref="Q658:Q661">
    <cfRule type="duplicateValues" dxfId="6045" priority="6160"/>
    <cfRule type="duplicateValues" dxfId="6044" priority="6161"/>
  </conditionalFormatting>
  <conditionalFormatting sqref="Q667">
    <cfRule type="duplicateValues" dxfId="6043" priority="6135"/>
  </conditionalFormatting>
  <conditionalFormatting sqref="Q667:R667">
    <cfRule type="duplicateValues" dxfId="6042" priority="6136"/>
  </conditionalFormatting>
  <conditionalFormatting sqref="Q667:R667">
    <cfRule type="duplicateValues" dxfId="6041" priority="6137"/>
    <cfRule type="duplicateValues" dxfId="6040" priority="6138"/>
    <cfRule type="duplicateValues" dxfId="6039" priority="6139"/>
  </conditionalFormatting>
  <conditionalFormatting sqref="R667">
    <cfRule type="duplicateValues" dxfId="6038" priority="6140"/>
  </conditionalFormatting>
  <conditionalFormatting sqref="Q667">
    <cfRule type="duplicateValues" dxfId="6037" priority="6141"/>
  </conditionalFormatting>
  <conditionalFormatting sqref="Q667">
    <cfRule type="duplicateValues" dxfId="6036" priority="6142"/>
    <cfRule type="duplicateValues" dxfId="6035" priority="6143"/>
  </conditionalFormatting>
  <conditionalFormatting sqref="Q667">
    <cfRule type="duplicateValues" dxfId="6034" priority="6144"/>
    <cfRule type="duplicateValues" dxfId="6033" priority="6145"/>
    <cfRule type="duplicateValues" dxfId="6032" priority="6146"/>
  </conditionalFormatting>
  <conditionalFormatting sqref="R667">
    <cfRule type="duplicateValues" dxfId="6031" priority="6147"/>
    <cfRule type="duplicateValues" dxfId="6030" priority="6148"/>
    <cfRule type="duplicateValues" dxfId="6029" priority="6149"/>
  </conditionalFormatting>
  <conditionalFormatting sqref="Q667">
    <cfRule type="duplicateValues" dxfId="6028" priority="6134"/>
  </conditionalFormatting>
  <conditionalFormatting sqref="Q667">
    <cfRule type="duplicateValues" dxfId="6027" priority="6133"/>
  </conditionalFormatting>
  <conditionalFormatting sqref="Q667">
    <cfRule type="duplicateValues" dxfId="6026" priority="6132"/>
  </conditionalFormatting>
  <conditionalFormatting sqref="Q668">
    <cfRule type="duplicateValues" dxfId="6025" priority="6131"/>
  </conditionalFormatting>
  <conditionalFormatting sqref="Q668">
    <cfRule type="duplicateValues" dxfId="6024" priority="6130"/>
  </conditionalFormatting>
  <conditionalFormatting sqref="Q668">
    <cfRule type="duplicateValues" dxfId="6023" priority="6129"/>
  </conditionalFormatting>
  <conditionalFormatting sqref="Q668">
    <cfRule type="duplicateValues" dxfId="6022" priority="6128"/>
  </conditionalFormatting>
  <conditionalFormatting sqref="Q668">
    <cfRule type="duplicateValues" dxfId="6021" priority="6127"/>
  </conditionalFormatting>
  <conditionalFormatting sqref="Q668:R668">
    <cfRule type="duplicateValues" dxfId="6020" priority="6126"/>
  </conditionalFormatting>
  <conditionalFormatting sqref="Q668:R668">
    <cfRule type="duplicateValues" dxfId="6019" priority="6123"/>
    <cfRule type="duplicateValues" dxfId="6018" priority="6124"/>
    <cfRule type="duplicateValues" dxfId="6017" priority="6125"/>
  </conditionalFormatting>
  <conditionalFormatting sqref="R668">
    <cfRule type="duplicateValues" dxfId="6016" priority="6122"/>
  </conditionalFormatting>
  <conditionalFormatting sqref="Q668">
    <cfRule type="duplicateValues" dxfId="6015" priority="6121"/>
  </conditionalFormatting>
  <conditionalFormatting sqref="Q668">
    <cfRule type="duplicateValues" dxfId="6014" priority="6118"/>
    <cfRule type="duplicateValues" dxfId="6013" priority="6119"/>
    <cfRule type="duplicateValues" dxfId="6012" priority="6120"/>
  </conditionalFormatting>
  <conditionalFormatting sqref="R668">
    <cfRule type="duplicateValues" dxfId="6011" priority="6115"/>
    <cfRule type="duplicateValues" dxfId="6010" priority="6116"/>
    <cfRule type="duplicateValues" dxfId="6009" priority="6117"/>
  </conditionalFormatting>
  <conditionalFormatting sqref="Q668">
    <cfRule type="duplicateValues" dxfId="6008" priority="6113"/>
    <cfRule type="duplicateValues" dxfId="6007" priority="6114"/>
  </conditionalFormatting>
  <conditionalFormatting sqref="Q668">
    <cfRule type="duplicateValues" dxfId="6006" priority="6112"/>
  </conditionalFormatting>
  <conditionalFormatting sqref="Q668">
    <cfRule type="duplicateValues" dxfId="6005" priority="6111"/>
  </conditionalFormatting>
  <conditionalFormatting sqref="Q669">
    <cfRule type="duplicateValues" dxfId="6004" priority="6110"/>
  </conditionalFormatting>
  <conditionalFormatting sqref="R669">
    <cfRule type="duplicateValues" dxfId="6003" priority="6109"/>
  </conditionalFormatting>
  <conditionalFormatting sqref="Q669">
    <cfRule type="duplicateValues" dxfId="6002" priority="6107"/>
    <cfRule type="duplicateValues" dxfId="6001" priority="6108"/>
  </conditionalFormatting>
  <conditionalFormatting sqref="Q669">
    <cfRule type="duplicateValues" dxfId="6000" priority="6106"/>
  </conditionalFormatting>
  <conditionalFormatting sqref="Q669">
    <cfRule type="duplicateValues" dxfId="5999" priority="6105"/>
  </conditionalFormatting>
  <conditionalFormatting sqref="Q669">
    <cfRule type="duplicateValues" dxfId="5998" priority="6104"/>
  </conditionalFormatting>
  <conditionalFormatting sqref="Q669">
    <cfRule type="duplicateValues" dxfId="5997" priority="6103"/>
  </conditionalFormatting>
  <conditionalFormatting sqref="Q669">
    <cfRule type="duplicateValues" dxfId="5996" priority="6102"/>
  </conditionalFormatting>
  <conditionalFormatting sqref="Q669">
    <cfRule type="duplicateValues" dxfId="5995" priority="6101"/>
  </conditionalFormatting>
  <conditionalFormatting sqref="Q669">
    <cfRule type="duplicateValues" dxfId="5994" priority="6100"/>
  </conditionalFormatting>
  <conditionalFormatting sqref="Q669">
    <cfRule type="duplicateValues" dxfId="5993" priority="6099"/>
  </conditionalFormatting>
  <conditionalFormatting sqref="Q669">
    <cfRule type="duplicateValues" dxfId="5992" priority="6098"/>
  </conditionalFormatting>
  <conditionalFormatting sqref="Q669">
    <cfRule type="duplicateValues" dxfId="5991" priority="6095"/>
    <cfRule type="duplicateValues" dxfId="5990" priority="6096"/>
    <cfRule type="duplicateValues" dxfId="5989" priority="6097"/>
  </conditionalFormatting>
  <conditionalFormatting sqref="R669">
    <cfRule type="duplicateValues" dxfId="5988" priority="6094"/>
  </conditionalFormatting>
  <conditionalFormatting sqref="R669">
    <cfRule type="duplicateValues" dxfId="5987" priority="6091"/>
    <cfRule type="duplicateValues" dxfId="5986" priority="6092"/>
    <cfRule type="duplicateValues" dxfId="5985" priority="6093"/>
  </conditionalFormatting>
  <conditionalFormatting sqref="Q669">
    <cfRule type="duplicateValues" dxfId="5984" priority="6090"/>
  </conditionalFormatting>
  <conditionalFormatting sqref="Q669">
    <cfRule type="duplicateValues" dxfId="5983" priority="6089"/>
  </conditionalFormatting>
  <conditionalFormatting sqref="Q670">
    <cfRule type="duplicateValues" dxfId="5982" priority="6088"/>
  </conditionalFormatting>
  <conditionalFormatting sqref="Q670">
    <cfRule type="duplicateValues" dxfId="5981" priority="6085"/>
    <cfRule type="duplicateValues" dxfId="5980" priority="6086"/>
    <cfRule type="duplicateValues" dxfId="5979" priority="6087"/>
  </conditionalFormatting>
  <conditionalFormatting sqref="Q670">
    <cfRule type="duplicateValues" dxfId="5978" priority="6084"/>
  </conditionalFormatting>
  <conditionalFormatting sqref="Q670">
    <cfRule type="duplicateValues" dxfId="5977" priority="6083"/>
  </conditionalFormatting>
  <conditionalFormatting sqref="Q670">
    <cfRule type="duplicateValues" dxfId="5976" priority="6082"/>
  </conditionalFormatting>
  <conditionalFormatting sqref="Q670">
    <cfRule type="duplicateValues" dxfId="5975" priority="6081"/>
  </conditionalFormatting>
  <conditionalFormatting sqref="Q670">
    <cfRule type="duplicateValues" dxfId="5974" priority="6080"/>
  </conditionalFormatting>
  <conditionalFormatting sqref="R670">
    <cfRule type="duplicateValues" dxfId="5973" priority="6079"/>
  </conditionalFormatting>
  <conditionalFormatting sqref="Q670">
    <cfRule type="duplicateValues" dxfId="5972" priority="6077"/>
    <cfRule type="duplicateValues" dxfId="5971" priority="6078"/>
  </conditionalFormatting>
  <conditionalFormatting sqref="Q670">
    <cfRule type="duplicateValues" dxfId="5970" priority="6076"/>
  </conditionalFormatting>
  <conditionalFormatting sqref="Q670">
    <cfRule type="duplicateValues" dxfId="5969" priority="6075"/>
  </conditionalFormatting>
  <conditionalFormatting sqref="Q670">
    <cfRule type="duplicateValues" dxfId="5968" priority="6074"/>
  </conditionalFormatting>
  <conditionalFormatting sqref="Q670">
    <cfRule type="duplicateValues" dxfId="5967" priority="6073"/>
  </conditionalFormatting>
  <conditionalFormatting sqref="Q670">
    <cfRule type="duplicateValues" dxfId="5966" priority="6072"/>
  </conditionalFormatting>
  <conditionalFormatting sqref="Q670">
    <cfRule type="duplicateValues" dxfId="5965" priority="6071"/>
  </conditionalFormatting>
  <conditionalFormatting sqref="Q670">
    <cfRule type="duplicateValues" dxfId="5964" priority="6070"/>
  </conditionalFormatting>
  <conditionalFormatting sqref="Q670">
    <cfRule type="duplicateValues" dxfId="5963" priority="6069"/>
  </conditionalFormatting>
  <conditionalFormatting sqref="R670">
    <cfRule type="duplicateValues" dxfId="5962" priority="6068"/>
  </conditionalFormatting>
  <conditionalFormatting sqref="R670">
    <cfRule type="duplicateValues" dxfId="5961" priority="6065"/>
    <cfRule type="duplicateValues" dxfId="5960" priority="6066"/>
    <cfRule type="duplicateValues" dxfId="5959" priority="6067"/>
  </conditionalFormatting>
  <conditionalFormatting sqref="Q670">
    <cfRule type="duplicateValues" dxfId="5958" priority="6064"/>
  </conditionalFormatting>
  <conditionalFormatting sqref="Q670">
    <cfRule type="duplicateValues" dxfId="5957" priority="6063"/>
  </conditionalFormatting>
  <conditionalFormatting sqref="R671">
    <cfRule type="duplicateValues" dxfId="5956" priority="6062"/>
  </conditionalFormatting>
  <conditionalFormatting sqref="Q671:R671">
    <cfRule type="duplicateValues" dxfId="5955" priority="6061"/>
  </conditionalFormatting>
  <conditionalFormatting sqref="Q671">
    <cfRule type="duplicateValues" dxfId="5954" priority="6060"/>
  </conditionalFormatting>
  <conditionalFormatting sqref="Q671">
    <cfRule type="duplicateValues" dxfId="5953" priority="6059"/>
  </conditionalFormatting>
  <conditionalFormatting sqref="Q671">
    <cfRule type="duplicateValues" dxfId="5952" priority="6058"/>
  </conditionalFormatting>
  <conditionalFormatting sqref="Q671">
    <cfRule type="duplicateValues" dxfId="5951" priority="6057"/>
  </conditionalFormatting>
  <conditionalFormatting sqref="R671">
    <cfRule type="duplicateValues" dxfId="5950" priority="6056"/>
  </conditionalFormatting>
  <conditionalFormatting sqref="Q671">
    <cfRule type="duplicateValues" dxfId="5949" priority="6054"/>
    <cfRule type="duplicateValues" dxfId="5948" priority="6055"/>
  </conditionalFormatting>
  <conditionalFormatting sqref="Q671">
    <cfRule type="duplicateValues" dxfId="5947" priority="6053"/>
  </conditionalFormatting>
  <conditionalFormatting sqref="Q671">
    <cfRule type="duplicateValues" dxfId="5946" priority="6052"/>
  </conditionalFormatting>
  <conditionalFormatting sqref="Q671">
    <cfRule type="duplicateValues" dxfId="5945" priority="6051"/>
  </conditionalFormatting>
  <conditionalFormatting sqref="Q671">
    <cfRule type="duplicateValues" dxfId="5944" priority="6050"/>
  </conditionalFormatting>
  <conditionalFormatting sqref="Q671">
    <cfRule type="duplicateValues" dxfId="5943" priority="6049"/>
  </conditionalFormatting>
  <conditionalFormatting sqref="Q671">
    <cfRule type="duplicateValues" dxfId="5942" priority="6048"/>
  </conditionalFormatting>
  <conditionalFormatting sqref="Q671">
    <cfRule type="duplicateValues" dxfId="5941" priority="6047"/>
  </conditionalFormatting>
  <conditionalFormatting sqref="Q671">
    <cfRule type="duplicateValues" dxfId="5940" priority="6046"/>
  </conditionalFormatting>
  <conditionalFormatting sqref="Q671:R671">
    <cfRule type="duplicateValues" dxfId="5939" priority="6045"/>
  </conditionalFormatting>
  <conditionalFormatting sqref="Q671">
    <cfRule type="duplicateValues" dxfId="5938" priority="6044"/>
  </conditionalFormatting>
  <conditionalFormatting sqref="R671">
    <cfRule type="duplicateValues" dxfId="5937" priority="6043"/>
  </conditionalFormatting>
  <conditionalFormatting sqref="Q671:R671">
    <cfRule type="duplicateValues" dxfId="5936" priority="6040"/>
    <cfRule type="duplicateValues" dxfId="5935" priority="6041"/>
    <cfRule type="duplicateValues" dxfId="5934" priority="6042"/>
  </conditionalFormatting>
  <conditionalFormatting sqref="Q671">
    <cfRule type="duplicateValues" dxfId="5933" priority="6039"/>
  </conditionalFormatting>
  <conditionalFormatting sqref="Q671">
    <cfRule type="duplicateValues" dxfId="5932" priority="6038"/>
  </conditionalFormatting>
  <conditionalFormatting sqref="R672">
    <cfRule type="duplicateValues" dxfId="5931" priority="6037"/>
  </conditionalFormatting>
  <conditionalFormatting sqref="Q672">
    <cfRule type="duplicateValues" dxfId="5930" priority="6035"/>
    <cfRule type="duplicateValues" dxfId="5929" priority="6036"/>
  </conditionalFormatting>
  <conditionalFormatting sqref="Q672">
    <cfRule type="duplicateValues" dxfId="5928" priority="6034"/>
  </conditionalFormatting>
  <conditionalFormatting sqref="Q672">
    <cfRule type="duplicateValues" dxfId="5927" priority="6033"/>
  </conditionalFormatting>
  <conditionalFormatting sqref="Q672">
    <cfRule type="duplicateValues" dxfId="5926" priority="6032"/>
  </conditionalFormatting>
  <conditionalFormatting sqref="Q672">
    <cfRule type="duplicateValues" dxfId="5925" priority="6031"/>
  </conditionalFormatting>
  <conditionalFormatting sqref="Q672">
    <cfRule type="duplicateValues" dxfId="5924" priority="6030"/>
  </conditionalFormatting>
  <conditionalFormatting sqref="Q672">
    <cfRule type="duplicateValues" dxfId="5923" priority="6029"/>
  </conditionalFormatting>
  <conditionalFormatting sqref="Q672">
    <cfRule type="duplicateValues" dxfId="5922" priority="6028"/>
  </conditionalFormatting>
  <conditionalFormatting sqref="Q672">
    <cfRule type="duplicateValues" dxfId="5921" priority="6027"/>
  </conditionalFormatting>
  <conditionalFormatting sqref="Q672">
    <cfRule type="duplicateValues" dxfId="5920" priority="6026"/>
  </conditionalFormatting>
  <conditionalFormatting sqref="Q672">
    <cfRule type="duplicateValues" dxfId="5919" priority="6023"/>
    <cfRule type="duplicateValues" dxfId="5918" priority="6024"/>
    <cfRule type="duplicateValues" dxfId="5917" priority="6025"/>
  </conditionalFormatting>
  <conditionalFormatting sqref="R672">
    <cfRule type="duplicateValues" dxfId="5916" priority="6022"/>
  </conditionalFormatting>
  <conditionalFormatting sqref="R672">
    <cfRule type="duplicateValues" dxfId="5915" priority="6019"/>
    <cfRule type="duplicateValues" dxfId="5914" priority="6020"/>
    <cfRule type="duplicateValues" dxfId="5913" priority="6021"/>
  </conditionalFormatting>
  <conditionalFormatting sqref="Q672">
    <cfRule type="duplicateValues" dxfId="5912" priority="6018"/>
  </conditionalFormatting>
  <conditionalFormatting sqref="Q672">
    <cfRule type="duplicateValues" dxfId="5911" priority="6017"/>
  </conditionalFormatting>
  <conditionalFormatting sqref="Q674">
    <cfRule type="duplicateValues" dxfId="5910" priority="6016"/>
  </conditionalFormatting>
  <conditionalFormatting sqref="Q674">
    <cfRule type="duplicateValues" dxfId="5909" priority="6015"/>
  </conditionalFormatting>
  <conditionalFormatting sqref="Q674">
    <cfRule type="duplicateValues" dxfId="5908" priority="6014"/>
  </conditionalFormatting>
  <conditionalFormatting sqref="Q674">
    <cfRule type="duplicateValues" dxfId="5907" priority="6013"/>
  </conditionalFormatting>
  <conditionalFormatting sqref="Q674">
    <cfRule type="duplicateValues" dxfId="5906" priority="6012"/>
  </conditionalFormatting>
  <conditionalFormatting sqref="Q674">
    <cfRule type="duplicateValues" dxfId="5905" priority="6011"/>
  </conditionalFormatting>
  <conditionalFormatting sqref="Q674:R674">
    <cfRule type="duplicateValues" dxfId="5904" priority="6010"/>
  </conditionalFormatting>
  <conditionalFormatting sqref="Q674:R674">
    <cfRule type="duplicateValues" dxfId="5903" priority="6007"/>
    <cfRule type="duplicateValues" dxfId="5902" priority="6008"/>
    <cfRule type="duplicateValues" dxfId="5901" priority="6009"/>
  </conditionalFormatting>
  <conditionalFormatting sqref="R674">
    <cfRule type="duplicateValues" dxfId="5900" priority="6006"/>
  </conditionalFormatting>
  <conditionalFormatting sqref="Q674">
    <cfRule type="duplicateValues" dxfId="5899" priority="6005"/>
  </conditionalFormatting>
  <conditionalFormatting sqref="Q674">
    <cfRule type="duplicateValues" dxfId="5898" priority="6002"/>
    <cfRule type="duplicateValues" dxfId="5897" priority="6003"/>
    <cfRule type="duplicateValues" dxfId="5896" priority="6004"/>
  </conditionalFormatting>
  <conditionalFormatting sqref="R674">
    <cfRule type="duplicateValues" dxfId="5895" priority="5999"/>
    <cfRule type="duplicateValues" dxfId="5894" priority="6000"/>
    <cfRule type="duplicateValues" dxfId="5893" priority="6001"/>
  </conditionalFormatting>
  <conditionalFormatting sqref="Q674">
    <cfRule type="duplicateValues" dxfId="5892" priority="5997"/>
    <cfRule type="duplicateValues" dxfId="5891" priority="5998"/>
  </conditionalFormatting>
  <conditionalFormatting sqref="R675">
    <cfRule type="duplicateValues" dxfId="5890" priority="5996"/>
  </conditionalFormatting>
  <conditionalFormatting sqref="Q675">
    <cfRule type="duplicateValues" dxfId="5889" priority="5994"/>
    <cfRule type="duplicateValues" dxfId="5888" priority="5995"/>
  </conditionalFormatting>
  <conditionalFormatting sqref="Q675">
    <cfRule type="duplicateValues" dxfId="5887" priority="5993"/>
  </conditionalFormatting>
  <conditionalFormatting sqref="Q675">
    <cfRule type="duplicateValues" dxfId="5886" priority="5992"/>
  </conditionalFormatting>
  <conditionalFormatting sqref="Q675">
    <cfRule type="duplicateValues" dxfId="5885" priority="5991"/>
  </conditionalFormatting>
  <conditionalFormatting sqref="Q675">
    <cfRule type="duplicateValues" dxfId="5884" priority="5990"/>
  </conditionalFormatting>
  <conditionalFormatting sqref="Q675">
    <cfRule type="duplicateValues" dxfId="5883" priority="5989"/>
  </conditionalFormatting>
  <conditionalFormatting sqref="Q675">
    <cfRule type="duplicateValues" dxfId="5882" priority="5988"/>
  </conditionalFormatting>
  <conditionalFormatting sqref="Q675">
    <cfRule type="duplicateValues" dxfId="5881" priority="5987"/>
  </conditionalFormatting>
  <conditionalFormatting sqref="Q675">
    <cfRule type="duplicateValues" dxfId="5880" priority="5986"/>
  </conditionalFormatting>
  <conditionalFormatting sqref="Q675">
    <cfRule type="duplicateValues" dxfId="5879" priority="5985"/>
  </conditionalFormatting>
  <conditionalFormatting sqref="Q675">
    <cfRule type="duplicateValues" dxfId="5878" priority="5982"/>
    <cfRule type="duplicateValues" dxfId="5877" priority="5983"/>
    <cfRule type="duplicateValues" dxfId="5876" priority="5984"/>
  </conditionalFormatting>
  <conditionalFormatting sqref="R675">
    <cfRule type="duplicateValues" dxfId="5875" priority="5981"/>
  </conditionalFormatting>
  <conditionalFormatting sqref="R675">
    <cfRule type="duplicateValues" dxfId="5874" priority="5978"/>
    <cfRule type="duplicateValues" dxfId="5873" priority="5979"/>
    <cfRule type="duplicateValues" dxfId="5872" priority="5980"/>
  </conditionalFormatting>
  <conditionalFormatting sqref="Q675">
    <cfRule type="duplicateValues" dxfId="5871" priority="5977"/>
  </conditionalFormatting>
  <conditionalFormatting sqref="Q675">
    <cfRule type="duplicateValues" dxfId="5870" priority="5976"/>
  </conditionalFormatting>
  <conditionalFormatting sqref="R676">
    <cfRule type="duplicateValues" dxfId="5869" priority="5975"/>
  </conditionalFormatting>
  <conditionalFormatting sqref="Q676">
    <cfRule type="duplicateValues" dxfId="5868" priority="5973"/>
    <cfRule type="duplicateValues" dxfId="5867" priority="5974"/>
  </conditionalFormatting>
  <conditionalFormatting sqref="Q676">
    <cfRule type="duplicateValues" dxfId="5866" priority="5972"/>
  </conditionalFormatting>
  <conditionalFormatting sqref="Q676">
    <cfRule type="duplicateValues" dxfId="5865" priority="5971"/>
  </conditionalFormatting>
  <conditionalFormatting sqref="Q676">
    <cfRule type="duplicateValues" dxfId="5864" priority="5970"/>
  </conditionalFormatting>
  <conditionalFormatting sqref="Q676">
    <cfRule type="duplicateValues" dxfId="5863" priority="5969"/>
  </conditionalFormatting>
  <conditionalFormatting sqref="Q676">
    <cfRule type="duplicateValues" dxfId="5862" priority="5968"/>
  </conditionalFormatting>
  <conditionalFormatting sqref="Q676">
    <cfRule type="duplicateValues" dxfId="5861" priority="5967"/>
  </conditionalFormatting>
  <conditionalFormatting sqref="Q676">
    <cfRule type="duplicateValues" dxfId="5860" priority="5966"/>
  </conditionalFormatting>
  <conditionalFormatting sqref="Q676">
    <cfRule type="duplicateValues" dxfId="5859" priority="5965"/>
  </conditionalFormatting>
  <conditionalFormatting sqref="Q676">
    <cfRule type="duplicateValues" dxfId="5858" priority="5964"/>
  </conditionalFormatting>
  <conditionalFormatting sqref="Q676">
    <cfRule type="duplicateValues" dxfId="5857" priority="5961"/>
    <cfRule type="duplicateValues" dxfId="5856" priority="5962"/>
    <cfRule type="duplicateValues" dxfId="5855" priority="5963"/>
  </conditionalFormatting>
  <conditionalFormatting sqref="R676">
    <cfRule type="duplicateValues" dxfId="5854" priority="5960"/>
  </conditionalFormatting>
  <conditionalFormatting sqref="R676">
    <cfRule type="duplicateValues" dxfId="5853" priority="5957"/>
    <cfRule type="duplicateValues" dxfId="5852" priority="5958"/>
    <cfRule type="duplicateValues" dxfId="5851" priority="5959"/>
  </conditionalFormatting>
  <conditionalFormatting sqref="Q676">
    <cfRule type="duplicateValues" dxfId="5850" priority="5956"/>
  </conditionalFormatting>
  <conditionalFormatting sqref="Q676">
    <cfRule type="duplicateValues" dxfId="5849" priority="5955"/>
  </conditionalFormatting>
  <conditionalFormatting sqref="Q677:Q680">
    <cfRule type="duplicateValues" dxfId="5848" priority="5954"/>
  </conditionalFormatting>
  <conditionalFormatting sqref="Q677:Q680">
    <cfRule type="duplicateValues" dxfId="5847" priority="5953"/>
  </conditionalFormatting>
  <conditionalFormatting sqref="Q677:Q680">
    <cfRule type="duplicateValues" dxfId="5846" priority="5952"/>
  </conditionalFormatting>
  <conditionalFormatting sqref="Q677:Q680">
    <cfRule type="duplicateValues" dxfId="5845" priority="5951"/>
  </conditionalFormatting>
  <conditionalFormatting sqref="Q677:Q680">
    <cfRule type="duplicateValues" dxfId="5844" priority="5950"/>
  </conditionalFormatting>
  <conditionalFormatting sqref="Q677:Q680">
    <cfRule type="duplicateValues" dxfId="5843" priority="5949"/>
  </conditionalFormatting>
  <conditionalFormatting sqref="Q677:R680">
    <cfRule type="duplicateValues" dxfId="5842" priority="5948"/>
  </conditionalFormatting>
  <conditionalFormatting sqref="Q677:R680">
    <cfRule type="duplicateValues" dxfId="5841" priority="5945"/>
    <cfRule type="duplicateValues" dxfId="5840" priority="5946"/>
    <cfRule type="duplicateValues" dxfId="5839" priority="5947"/>
  </conditionalFormatting>
  <conditionalFormatting sqref="R677:R680">
    <cfRule type="duplicateValues" dxfId="5838" priority="5944"/>
  </conditionalFormatting>
  <conditionalFormatting sqref="Q677:Q680">
    <cfRule type="duplicateValues" dxfId="5837" priority="5943"/>
  </conditionalFormatting>
  <conditionalFormatting sqref="Q677:Q680">
    <cfRule type="duplicateValues" dxfId="5836" priority="5940"/>
    <cfRule type="duplicateValues" dxfId="5835" priority="5941"/>
    <cfRule type="duplicateValues" dxfId="5834" priority="5942"/>
  </conditionalFormatting>
  <conditionalFormatting sqref="R677:R680">
    <cfRule type="duplicateValues" dxfId="5833" priority="5937"/>
    <cfRule type="duplicateValues" dxfId="5832" priority="5938"/>
    <cfRule type="duplicateValues" dxfId="5831" priority="5939"/>
  </conditionalFormatting>
  <conditionalFormatting sqref="Q677:Q680">
    <cfRule type="duplicateValues" dxfId="5830" priority="5935"/>
    <cfRule type="duplicateValues" dxfId="5829" priority="5936"/>
  </conditionalFormatting>
  <conditionalFormatting sqref="R681">
    <cfRule type="duplicateValues" dxfId="5828" priority="5934"/>
  </conditionalFormatting>
  <conditionalFormatting sqref="Q681">
    <cfRule type="duplicateValues" dxfId="5827" priority="5932"/>
    <cfRule type="duplicateValues" dxfId="5826" priority="5933"/>
  </conditionalFormatting>
  <conditionalFormatting sqref="Q681">
    <cfRule type="duplicateValues" dxfId="5825" priority="5931"/>
  </conditionalFormatting>
  <conditionalFormatting sqref="Q681">
    <cfRule type="duplicateValues" dxfId="5824" priority="5930"/>
  </conditionalFormatting>
  <conditionalFormatting sqref="Q681">
    <cfRule type="duplicateValues" dxfId="5823" priority="5929"/>
  </conditionalFormatting>
  <conditionalFormatting sqref="Q681">
    <cfRule type="duplicateValues" dxfId="5822" priority="5928"/>
  </conditionalFormatting>
  <conditionalFormatting sqref="Q681">
    <cfRule type="duplicateValues" dxfId="5821" priority="5927"/>
  </conditionalFormatting>
  <conditionalFormatting sqref="Q681">
    <cfRule type="duplicateValues" dxfId="5820" priority="5926"/>
  </conditionalFormatting>
  <conditionalFormatting sqref="Q681">
    <cfRule type="duplicateValues" dxfId="5819" priority="5925"/>
  </conditionalFormatting>
  <conditionalFormatting sqref="Q681">
    <cfRule type="duplicateValues" dxfId="5818" priority="5924"/>
  </conditionalFormatting>
  <conditionalFormatting sqref="Q681">
    <cfRule type="duplicateValues" dxfId="5817" priority="5923"/>
  </conditionalFormatting>
  <conditionalFormatting sqref="Q681">
    <cfRule type="duplicateValues" dxfId="5816" priority="5920"/>
    <cfRule type="duplicateValues" dxfId="5815" priority="5921"/>
    <cfRule type="duplicateValues" dxfId="5814" priority="5922"/>
  </conditionalFormatting>
  <conditionalFormatting sqref="R681">
    <cfRule type="duplicateValues" dxfId="5813" priority="5919"/>
  </conditionalFormatting>
  <conditionalFormatting sqref="R681">
    <cfRule type="duplicateValues" dxfId="5812" priority="5916"/>
    <cfRule type="duplicateValues" dxfId="5811" priority="5917"/>
    <cfRule type="duplicateValues" dxfId="5810" priority="5918"/>
  </conditionalFormatting>
  <conditionalFormatting sqref="Q681">
    <cfRule type="duplicateValues" dxfId="5809" priority="5915"/>
  </conditionalFormatting>
  <conditionalFormatting sqref="Q681">
    <cfRule type="duplicateValues" dxfId="5808" priority="5914"/>
  </conditionalFormatting>
  <conditionalFormatting sqref="Q682:Q683">
    <cfRule type="duplicateValues" dxfId="5807" priority="5913"/>
  </conditionalFormatting>
  <conditionalFormatting sqref="R682:R683">
    <cfRule type="duplicateValues" dxfId="5806" priority="5912"/>
  </conditionalFormatting>
  <conditionalFormatting sqref="Q682:Q683">
    <cfRule type="duplicateValues" dxfId="5805" priority="5910"/>
    <cfRule type="duplicateValues" dxfId="5804" priority="5911"/>
  </conditionalFormatting>
  <conditionalFormatting sqref="Q682:Q683">
    <cfRule type="duplicateValues" dxfId="5803" priority="5909"/>
  </conditionalFormatting>
  <conditionalFormatting sqref="Q682:Q683">
    <cfRule type="duplicateValues" dxfId="5802" priority="5908"/>
  </conditionalFormatting>
  <conditionalFormatting sqref="Q682:Q683">
    <cfRule type="duplicateValues" dxfId="5801" priority="5907"/>
  </conditionalFormatting>
  <conditionalFormatting sqref="Q682:Q683">
    <cfRule type="duplicateValues" dxfId="5800" priority="5906"/>
  </conditionalFormatting>
  <conditionalFormatting sqref="Q682:Q683">
    <cfRule type="duplicateValues" dxfId="5799" priority="5905"/>
  </conditionalFormatting>
  <conditionalFormatting sqref="Q682:Q683">
    <cfRule type="duplicateValues" dxfId="5798" priority="5904"/>
  </conditionalFormatting>
  <conditionalFormatting sqref="Q682:Q683">
    <cfRule type="duplicateValues" dxfId="5797" priority="5903"/>
  </conditionalFormatting>
  <conditionalFormatting sqref="Q682:Q683">
    <cfRule type="duplicateValues" dxfId="5796" priority="5902"/>
  </conditionalFormatting>
  <conditionalFormatting sqref="Q682:Q683">
    <cfRule type="duplicateValues" dxfId="5795" priority="5901"/>
  </conditionalFormatting>
  <conditionalFormatting sqref="Q682:Q683">
    <cfRule type="duplicateValues" dxfId="5794" priority="5898"/>
    <cfRule type="duplicateValues" dxfId="5793" priority="5899"/>
    <cfRule type="duplicateValues" dxfId="5792" priority="5900"/>
  </conditionalFormatting>
  <conditionalFormatting sqref="R682:R683">
    <cfRule type="duplicateValues" dxfId="5791" priority="5897"/>
  </conditionalFormatting>
  <conditionalFormatting sqref="R682:R683">
    <cfRule type="duplicateValues" dxfId="5790" priority="5894"/>
    <cfRule type="duplicateValues" dxfId="5789" priority="5895"/>
    <cfRule type="duplicateValues" dxfId="5788" priority="5896"/>
  </conditionalFormatting>
  <conditionalFormatting sqref="Q682:Q683">
    <cfRule type="duplicateValues" dxfId="5787" priority="5893"/>
  </conditionalFormatting>
  <conditionalFormatting sqref="Q682:Q683">
    <cfRule type="duplicateValues" dxfId="5786" priority="5892"/>
  </conditionalFormatting>
  <conditionalFormatting sqref="Q684:Q685">
    <cfRule type="duplicateValues" dxfId="5785" priority="5891"/>
  </conditionalFormatting>
  <conditionalFormatting sqref="Q684:Q685">
    <cfRule type="duplicateValues" dxfId="5784" priority="5890"/>
  </conditionalFormatting>
  <conditionalFormatting sqref="Q684:Q685">
    <cfRule type="duplicateValues" dxfId="5783" priority="5889"/>
  </conditionalFormatting>
  <conditionalFormatting sqref="Q684:Q685">
    <cfRule type="duplicateValues" dxfId="5782" priority="5888"/>
  </conditionalFormatting>
  <conditionalFormatting sqref="Q684:Q685">
    <cfRule type="duplicateValues" dxfId="5781" priority="5887"/>
  </conditionalFormatting>
  <conditionalFormatting sqref="Q684:Q685">
    <cfRule type="duplicateValues" dxfId="5780" priority="5886"/>
  </conditionalFormatting>
  <conditionalFormatting sqref="Q684:R685">
    <cfRule type="duplicateValues" dxfId="5779" priority="5885"/>
  </conditionalFormatting>
  <conditionalFormatting sqref="Q684:R685">
    <cfRule type="duplicateValues" dxfId="5778" priority="5882"/>
    <cfRule type="duplicateValues" dxfId="5777" priority="5883"/>
    <cfRule type="duplicateValues" dxfId="5776" priority="5884"/>
  </conditionalFormatting>
  <conditionalFormatting sqref="R684:R685">
    <cfRule type="duplicateValues" dxfId="5775" priority="5881"/>
  </conditionalFormatting>
  <conditionalFormatting sqref="Q684:Q685">
    <cfRule type="duplicateValues" dxfId="5774" priority="5880"/>
  </conditionalFormatting>
  <conditionalFormatting sqref="Q684:Q685">
    <cfRule type="duplicateValues" dxfId="5773" priority="5877"/>
    <cfRule type="duplicateValues" dxfId="5772" priority="5878"/>
    <cfRule type="duplicateValues" dxfId="5771" priority="5879"/>
  </conditionalFormatting>
  <conditionalFormatting sqref="R684:R685">
    <cfRule type="duplicateValues" dxfId="5770" priority="5874"/>
    <cfRule type="duplicateValues" dxfId="5769" priority="5875"/>
    <cfRule type="duplicateValues" dxfId="5768" priority="5876"/>
  </conditionalFormatting>
  <conditionalFormatting sqref="Q684:Q685">
    <cfRule type="duplicateValues" dxfId="5767" priority="5872"/>
    <cfRule type="duplicateValues" dxfId="5766" priority="5873"/>
  </conditionalFormatting>
  <conditionalFormatting sqref="Q686">
    <cfRule type="duplicateValues" dxfId="5765" priority="5871"/>
  </conditionalFormatting>
  <conditionalFormatting sqref="Q686">
    <cfRule type="duplicateValues" dxfId="5764" priority="5868"/>
    <cfRule type="duplicateValues" dxfId="5763" priority="5869"/>
    <cfRule type="duplicateValues" dxfId="5762" priority="5870"/>
  </conditionalFormatting>
  <conditionalFormatting sqref="Q686">
    <cfRule type="duplicateValues" dxfId="5761" priority="5867"/>
  </conditionalFormatting>
  <conditionalFormatting sqref="Q686">
    <cfRule type="duplicateValues" dxfId="5760" priority="5866"/>
  </conditionalFormatting>
  <conditionalFormatting sqref="Q686">
    <cfRule type="duplicateValues" dxfId="5759" priority="5865"/>
  </conditionalFormatting>
  <conditionalFormatting sqref="Q686">
    <cfRule type="duplicateValues" dxfId="5758" priority="5864"/>
  </conditionalFormatting>
  <conditionalFormatting sqref="Q686">
    <cfRule type="duplicateValues" dxfId="5757" priority="5863"/>
  </conditionalFormatting>
  <conditionalFormatting sqref="R686">
    <cfRule type="duplicateValues" dxfId="5756" priority="5862"/>
  </conditionalFormatting>
  <conditionalFormatting sqref="Q686">
    <cfRule type="duplicateValues" dxfId="5755" priority="5860"/>
    <cfRule type="duplicateValues" dxfId="5754" priority="5861"/>
  </conditionalFormatting>
  <conditionalFormatting sqref="Q686">
    <cfRule type="duplicateValues" dxfId="5753" priority="5859"/>
  </conditionalFormatting>
  <conditionalFormatting sqref="Q686">
    <cfRule type="duplicateValues" dxfId="5752" priority="5858"/>
  </conditionalFormatting>
  <conditionalFormatting sqref="Q686">
    <cfRule type="duplicateValues" dxfId="5751" priority="5857"/>
  </conditionalFormatting>
  <conditionalFormatting sqref="Q686">
    <cfRule type="duplicateValues" dxfId="5750" priority="5856"/>
  </conditionalFormatting>
  <conditionalFormatting sqref="Q686">
    <cfRule type="duplicateValues" dxfId="5749" priority="5855"/>
  </conditionalFormatting>
  <conditionalFormatting sqref="Q686">
    <cfRule type="duplicateValues" dxfId="5748" priority="5854"/>
  </conditionalFormatting>
  <conditionalFormatting sqref="Q686">
    <cfRule type="duplicateValues" dxfId="5747" priority="5853"/>
  </conditionalFormatting>
  <conditionalFormatting sqref="Q686">
    <cfRule type="duplicateValues" dxfId="5746" priority="5852"/>
  </conditionalFormatting>
  <conditionalFormatting sqref="R686">
    <cfRule type="duplicateValues" dxfId="5745" priority="5851"/>
  </conditionalFormatting>
  <conditionalFormatting sqref="R686">
    <cfRule type="duplicateValues" dxfId="5744" priority="5848"/>
    <cfRule type="duplicateValues" dxfId="5743" priority="5849"/>
    <cfRule type="duplicateValues" dxfId="5742" priority="5850"/>
  </conditionalFormatting>
  <conditionalFormatting sqref="Q686">
    <cfRule type="duplicateValues" dxfId="5741" priority="5847"/>
  </conditionalFormatting>
  <conditionalFormatting sqref="Q686">
    <cfRule type="duplicateValues" dxfId="5740" priority="5846"/>
  </conditionalFormatting>
  <conditionalFormatting sqref="R673">
    <cfRule type="duplicateValues" dxfId="5739" priority="5845"/>
  </conditionalFormatting>
  <conditionalFormatting sqref="Q673:R673">
    <cfRule type="duplicateValues" dxfId="5738" priority="5844"/>
  </conditionalFormatting>
  <conditionalFormatting sqref="Q673">
    <cfRule type="duplicateValues" dxfId="5737" priority="5843"/>
  </conditionalFormatting>
  <conditionalFormatting sqref="Q673">
    <cfRule type="duplicateValues" dxfId="5736" priority="5842"/>
  </conditionalFormatting>
  <conditionalFormatting sqref="Q673">
    <cfRule type="duplicateValues" dxfId="5735" priority="5841"/>
  </conditionalFormatting>
  <conditionalFormatting sqref="Q673">
    <cfRule type="duplicateValues" dxfId="5734" priority="5840"/>
  </conditionalFormatting>
  <conditionalFormatting sqref="R673">
    <cfRule type="duplicateValues" dxfId="5733" priority="5839"/>
  </conditionalFormatting>
  <conditionalFormatting sqref="Q673">
    <cfRule type="duplicateValues" dxfId="5732" priority="5837"/>
    <cfRule type="duplicateValues" dxfId="5731" priority="5838"/>
  </conditionalFormatting>
  <conditionalFormatting sqref="Q673">
    <cfRule type="duplicateValues" dxfId="5730" priority="5836"/>
  </conditionalFormatting>
  <conditionalFormatting sqref="Q673">
    <cfRule type="duplicateValues" dxfId="5729" priority="5835"/>
  </conditionalFormatting>
  <conditionalFormatting sqref="Q673">
    <cfRule type="duplicateValues" dxfId="5728" priority="5834"/>
  </conditionalFormatting>
  <conditionalFormatting sqref="Q673">
    <cfRule type="duplicateValues" dxfId="5727" priority="5833"/>
  </conditionalFormatting>
  <conditionalFormatting sqref="Q673">
    <cfRule type="duplicateValues" dxfId="5726" priority="5832"/>
  </conditionalFormatting>
  <conditionalFormatting sqref="Q673">
    <cfRule type="duplicateValues" dxfId="5725" priority="5831"/>
  </conditionalFormatting>
  <conditionalFormatting sqref="Q673">
    <cfRule type="duplicateValues" dxfId="5724" priority="5830"/>
  </conditionalFormatting>
  <conditionalFormatting sqref="Q673">
    <cfRule type="duplicateValues" dxfId="5723" priority="5829"/>
  </conditionalFormatting>
  <conditionalFormatting sqref="Q673:R673">
    <cfRule type="duplicateValues" dxfId="5722" priority="5828"/>
  </conditionalFormatting>
  <conditionalFormatting sqref="Q673">
    <cfRule type="duplicateValues" dxfId="5721" priority="5827"/>
  </conditionalFormatting>
  <conditionalFormatting sqref="R673">
    <cfRule type="duplicateValues" dxfId="5720" priority="5826"/>
  </conditionalFormatting>
  <conditionalFormatting sqref="Q673:R673">
    <cfRule type="duplicateValues" dxfId="5719" priority="5823"/>
    <cfRule type="duplicateValues" dxfId="5718" priority="5824"/>
    <cfRule type="duplicateValues" dxfId="5717" priority="5825"/>
  </conditionalFormatting>
  <conditionalFormatting sqref="Q673">
    <cfRule type="duplicateValues" dxfId="5716" priority="5822"/>
  </conditionalFormatting>
  <conditionalFormatting sqref="Q673">
    <cfRule type="duplicateValues" dxfId="5715" priority="5821"/>
  </conditionalFormatting>
  <conditionalFormatting sqref="Q687">
    <cfRule type="duplicateValues" dxfId="5714" priority="5820"/>
  </conditionalFormatting>
  <conditionalFormatting sqref="Q687">
    <cfRule type="duplicateValues" dxfId="5713" priority="5819"/>
  </conditionalFormatting>
  <conditionalFormatting sqref="Q687">
    <cfRule type="duplicateValues" dxfId="5712" priority="5818"/>
  </conditionalFormatting>
  <conditionalFormatting sqref="Q687:R687">
    <cfRule type="duplicateValues" dxfId="5711" priority="5817"/>
  </conditionalFormatting>
  <conditionalFormatting sqref="Q687:R687">
    <cfRule type="duplicateValues" dxfId="5710" priority="5814"/>
    <cfRule type="duplicateValues" dxfId="5709" priority="5815"/>
    <cfRule type="duplicateValues" dxfId="5708" priority="5816"/>
  </conditionalFormatting>
  <conditionalFormatting sqref="R687">
    <cfRule type="duplicateValues" dxfId="5707" priority="5813"/>
  </conditionalFormatting>
  <conditionalFormatting sqref="Q687">
    <cfRule type="duplicateValues" dxfId="5706" priority="5812"/>
  </conditionalFormatting>
  <conditionalFormatting sqref="Q687">
    <cfRule type="duplicateValues" dxfId="5705" priority="5809"/>
    <cfRule type="duplicateValues" dxfId="5704" priority="5810"/>
    <cfRule type="duplicateValues" dxfId="5703" priority="5811"/>
  </conditionalFormatting>
  <conditionalFormatting sqref="R687">
    <cfRule type="duplicateValues" dxfId="5702" priority="5806"/>
    <cfRule type="duplicateValues" dxfId="5701" priority="5807"/>
    <cfRule type="duplicateValues" dxfId="5700" priority="5808"/>
  </conditionalFormatting>
  <conditionalFormatting sqref="Q687">
    <cfRule type="duplicateValues" dxfId="5699" priority="5804"/>
    <cfRule type="duplicateValues" dxfId="5698" priority="5805"/>
  </conditionalFormatting>
  <conditionalFormatting sqref="Q687">
    <cfRule type="duplicateValues" dxfId="5697" priority="5803"/>
  </conditionalFormatting>
  <conditionalFormatting sqref="Q687">
    <cfRule type="duplicateValues" dxfId="5696" priority="5802"/>
  </conditionalFormatting>
  <conditionalFormatting sqref="C648:C649">
    <cfRule type="cellIs" dxfId="5695" priority="5801" operator="equal">
      <formula>0</formula>
    </cfRule>
  </conditionalFormatting>
  <conditionalFormatting sqref="Q648">
    <cfRule type="duplicateValues" dxfId="5694" priority="5800"/>
  </conditionalFormatting>
  <conditionalFormatting sqref="Q648">
    <cfRule type="duplicateValues" dxfId="5693" priority="5799"/>
  </conditionalFormatting>
  <conditionalFormatting sqref="Q648">
    <cfRule type="duplicateValues" dxfId="5692" priority="5798"/>
  </conditionalFormatting>
  <conditionalFormatting sqref="Q648">
    <cfRule type="duplicateValues" dxfId="5691" priority="5797"/>
  </conditionalFormatting>
  <conditionalFormatting sqref="Q648">
    <cfRule type="duplicateValues" dxfId="5690" priority="5796"/>
  </conditionalFormatting>
  <conditionalFormatting sqref="Q648:R648">
    <cfRule type="duplicateValues" dxfId="5689" priority="5795"/>
  </conditionalFormatting>
  <conditionalFormatting sqref="Q648:R648">
    <cfRule type="duplicateValues" dxfId="5688" priority="5792"/>
    <cfRule type="duplicateValues" dxfId="5687" priority="5793"/>
    <cfRule type="duplicateValues" dxfId="5686" priority="5794"/>
  </conditionalFormatting>
  <conditionalFormatting sqref="R648">
    <cfRule type="duplicateValues" dxfId="5685" priority="5791"/>
  </conditionalFormatting>
  <conditionalFormatting sqref="Q648">
    <cfRule type="duplicateValues" dxfId="5684" priority="5790"/>
  </conditionalFormatting>
  <conditionalFormatting sqref="Q648">
    <cfRule type="duplicateValues" dxfId="5683" priority="5787"/>
    <cfRule type="duplicateValues" dxfId="5682" priority="5788"/>
    <cfRule type="duplicateValues" dxfId="5681" priority="5789"/>
  </conditionalFormatting>
  <conditionalFormatting sqref="R648">
    <cfRule type="duplicateValues" dxfId="5680" priority="5784"/>
    <cfRule type="duplicateValues" dxfId="5679" priority="5785"/>
    <cfRule type="duplicateValues" dxfId="5678" priority="5786"/>
  </conditionalFormatting>
  <conditionalFormatting sqref="Q648">
    <cfRule type="duplicateValues" dxfId="5677" priority="5782"/>
    <cfRule type="duplicateValues" dxfId="5676" priority="5783"/>
  </conditionalFormatting>
  <conditionalFormatting sqref="Q648">
    <cfRule type="duplicateValues" dxfId="5675" priority="5781"/>
  </conditionalFormatting>
  <conditionalFormatting sqref="Q648">
    <cfRule type="duplicateValues" dxfId="5674" priority="5780"/>
  </conditionalFormatting>
  <conditionalFormatting sqref="Q648">
    <cfRule type="duplicateValues" dxfId="5673" priority="5779"/>
  </conditionalFormatting>
  <conditionalFormatting sqref="Q649">
    <cfRule type="duplicateValues" dxfId="5672" priority="5777"/>
  </conditionalFormatting>
  <conditionalFormatting sqref="Q649">
    <cfRule type="duplicateValues" dxfId="5671" priority="5776"/>
  </conditionalFormatting>
  <conditionalFormatting sqref="Q649">
    <cfRule type="duplicateValues" dxfId="5670" priority="5775"/>
  </conditionalFormatting>
  <conditionalFormatting sqref="Q649">
    <cfRule type="duplicateValues" dxfId="5669" priority="5774"/>
  </conditionalFormatting>
  <conditionalFormatting sqref="Q649">
    <cfRule type="duplicateValues" dxfId="5668" priority="5773"/>
  </conditionalFormatting>
  <conditionalFormatting sqref="Q649:R649">
    <cfRule type="duplicateValues" dxfId="5667" priority="5772"/>
  </conditionalFormatting>
  <conditionalFormatting sqref="Q649:R649">
    <cfRule type="duplicateValues" dxfId="5666" priority="5769"/>
    <cfRule type="duplicateValues" dxfId="5665" priority="5770"/>
    <cfRule type="duplicateValues" dxfId="5664" priority="5771"/>
  </conditionalFormatting>
  <conditionalFormatting sqref="R649">
    <cfRule type="duplicateValues" dxfId="5663" priority="5768"/>
  </conditionalFormatting>
  <conditionalFormatting sqref="Q649">
    <cfRule type="duplicateValues" dxfId="5662" priority="5767"/>
  </conditionalFormatting>
  <conditionalFormatting sqref="Q649">
    <cfRule type="duplicateValues" dxfId="5661" priority="5764"/>
    <cfRule type="duplicateValues" dxfId="5660" priority="5765"/>
    <cfRule type="duplicateValues" dxfId="5659" priority="5766"/>
  </conditionalFormatting>
  <conditionalFormatting sqref="R649">
    <cfRule type="duplicateValues" dxfId="5658" priority="5761"/>
    <cfRule type="duplicateValues" dxfId="5657" priority="5762"/>
    <cfRule type="duplicateValues" dxfId="5656" priority="5763"/>
  </conditionalFormatting>
  <conditionalFormatting sqref="Q649">
    <cfRule type="duplicateValues" dxfId="5655" priority="5759"/>
    <cfRule type="duplicateValues" dxfId="5654" priority="5760"/>
  </conditionalFormatting>
  <conditionalFormatting sqref="Q649">
    <cfRule type="duplicateValues" dxfId="5653" priority="5758"/>
  </conditionalFormatting>
  <conditionalFormatting sqref="Q649">
    <cfRule type="duplicateValues" dxfId="5652" priority="5757"/>
  </conditionalFormatting>
  <conditionalFormatting sqref="Q649">
    <cfRule type="duplicateValues" dxfId="5651" priority="5756"/>
  </conditionalFormatting>
  <conditionalFormatting sqref="Q688:Q689">
    <cfRule type="duplicateValues" dxfId="5650" priority="5755"/>
  </conditionalFormatting>
  <conditionalFormatting sqref="R688:R689">
    <cfRule type="duplicateValues" dxfId="5649" priority="5754"/>
  </conditionalFormatting>
  <conditionalFormatting sqref="R688:R689">
    <cfRule type="duplicateValues" dxfId="5648" priority="5751"/>
    <cfRule type="duplicateValues" dxfId="5647" priority="5752"/>
    <cfRule type="duplicateValues" dxfId="5646" priority="5753"/>
  </conditionalFormatting>
  <conditionalFormatting sqref="Q688:Q689">
    <cfRule type="duplicateValues" dxfId="5645" priority="5750"/>
  </conditionalFormatting>
  <conditionalFormatting sqref="Q688:Q689">
    <cfRule type="duplicateValues" dxfId="5644" priority="5749"/>
  </conditionalFormatting>
  <conditionalFormatting sqref="Q690">
    <cfRule type="duplicateValues" dxfId="5643" priority="5748"/>
  </conditionalFormatting>
  <conditionalFormatting sqref="R690">
    <cfRule type="duplicateValues" dxfId="5642" priority="5747"/>
  </conditionalFormatting>
  <conditionalFormatting sqref="R690">
    <cfRule type="duplicateValues" dxfId="5641" priority="5744"/>
    <cfRule type="duplicateValues" dxfId="5640" priority="5745"/>
    <cfRule type="duplicateValues" dxfId="5639" priority="5746"/>
  </conditionalFormatting>
  <conditionalFormatting sqref="Q690">
    <cfRule type="duplicateValues" dxfId="5638" priority="5743"/>
  </conditionalFormatting>
  <conditionalFormatting sqref="Q690">
    <cfRule type="duplicateValues" dxfId="5637" priority="5742"/>
  </conditionalFormatting>
  <conditionalFormatting sqref="Q691:R692">
    <cfRule type="duplicateValues" dxfId="5636" priority="5741"/>
  </conditionalFormatting>
  <conditionalFormatting sqref="Q691:R692">
    <cfRule type="duplicateValues" dxfId="5635" priority="5738"/>
    <cfRule type="duplicateValues" dxfId="5634" priority="5739"/>
    <cfRule type="duplicateValues" dxfId="5633" priority="5740"/>
  </conditionalFormatting>
  <conditionalFormatting sqref="R691:R692">
    <cfRule type="duplicateValues" dxfId="5632" priority="5737"/>
  </conditionalFormatting>
  <conditionalFormatting sqref="Q691:R692">
    <cfRule type="duplicateValues" dxfId="5631" priority="5736"/>
  </conditionalFormatting>
  <conditionalFormatting sqref="Q691:Q692">
    <cfRule type="duplicateValues" dxfId="5630" priority="5735"/>
  </conditionalFormatting>
  <conditionalFormatting sqref="Q691:Q692">
    <cfRule type="duplicateValues" dxfId="5629" priority="5734"/>
  </conditionalFormatting>
  <conditionalFormatting sqref="Q691:Q692">
    <cfRule type="duplicateValues" dxfId="5628" priority="5733"/>
  </conditionalFormatting>
  <conditionalFormatting sqref="Q691:Q692">
    <cfRule type="duplicateValues" dxfId="5627" priority="5732"/>
  </conditionalFormatting>
  <conditionalFormatting sqref="R691:R692">
    <cfRule type="duplicateValues" dxfId="5626" priority="5731"/>
  </conditionalFormatting>
  <conditionalFormatting sqref="Q691:Q692">
    <cfRule type="duplicateValues" dxfId="5625" priority="5729"/>
    <cfRule type="duplicateValues" dxfId="5624" priority="5730"/>
  </conditionalFormatting>
  <conditionalFormatting sqref="Q691:Q692">
    <cfRule type="duplicateValues" dxfId="5623" priority="5728"/>
  </conditionalFormatting>
  <conditionalFormatting sqref="Q691:Q692">
    <cfRule type="duplicateValues" dxfId="5622" priority="5727"/>
  </conditionalFormatting>
  <conditionalFormatting sqref="Q691:Q692">
    <cfRule type="duplicateValues" dxfId="5621" priority="5726"/>
  </conditionalFormatting>
  <conditionalFormatting sqref="Q691:Q692">
    <cfRule type="duplicateValues" dxfId="5620" priority="5725"/>
  </conditionalFormatting>
  <conditionalFormatting sqref="Q691:Q692">
    <cfRule type="duplicateValues" dxfId="5619" priority="5724"/>
  </conditionalFormatting>
  <conditionalFormatting sqref="Q691:Q692">
    <cfRule type="duplicateValues" dxfId="5618" priority="5723"/>
  </conditionalFormatting>
  <conditionalFormatting sqref="Q691:Q692">
    <cfRule type="duplicateValues" dxfId="5617" priority="5722"/>
  </conditionalFormatting>
  <conditionalFormatting sqref="Q691:Q692">
    <cfRule type="duplicateValues" dxfId="5616" priority="5721"/>
  </conditionalFormatting>
  <conditionalFormatting sqref="Q691:Q692">
    <cfRule type="duplicateValues" dxfId="5615" priority="5720"/>
  </conditionalFormatting>
  <conditionalFormatting sqref="Q691:Q692">
    <cfRule type="duplicateValues" dxfId="5614" priority="5719"/>
  </conditionalFormatting>
  <conditionalFormatting sqref="R691:R692">
    <cfRule type="duplicateValues" dxfId="5613" priority="5718"/>
  </conditionalFormatting>
  <conditionalFormatting sqref="R691:R692">
    <cfRule type="duplicateValues" dxfId="5612" priority="5715"/>
    <cfRule type="duplicateValues" dxfId="5611" priority="5716"/>
    <cfRule type="duplicateValues" dxfId="5610" priority="5717"/>
  </conditionalFormatting>
  <conditionalFormatting sqref="R691:R692">
    <cfRule type="duplicateValues" dxfId="5609" priority="5714"/>
  </conditionalFormatting>
  <conditionalFormatting sqref="R691:R692">
    <cfRule type="duplicateValues" dxfId="5608" priority="5711"/>
    <cfRule type="duplicateValues" dxfId="5607" priority="5712"/>
    <cfRule type="duplicateValues" dxfId="5606" priority="5713"/>
  </conditionalFormatting>
  <conditionalFormatting sqref="Q691:Q692">
    <cfRule type="duplicateValues" dxfId="5605" priority="5710"/>
  </conditionalFormatting>
  <conditionalFormatting sqref="Q691:Q692">
    <cfRule type="duplicateValues" dxfId="5604" priority="5709"/>
  </conditionalFormatting>
  <conditionalFormatting sqref="Q691:Q692">
    <cfRule type="duplicateValues" dxfId="5603" priority="5708"/>
  </conditionalFormatting>
  <conditionalFormatting sqref="Q693:R694">
    <cfRule type="duplicateValues" dxfId="5602" priority="5707"/>
  </conditionalFormatting>
  <conditionalFormatting sqref="Q693:R694">
    <cfRule type="duplicateValues" dxfId="5601" priority="5704"/>
    <cfRule type="duplicateValues" dxfId="5600" priority="5705"/>
    <cfRule type="duplicateValues" dxfId="5599" priority="5706"/>
  </conditionalFormatting>
  <conditionalFormatting sqref="R693:R694">
    <cfRule type="duplicateValues" dxfId="5598" priority="5703"/>
  </conditionalFormatting>
  <conditionalFormatting sqref="Q693:R694">
    <cfRule type="duplicateValues" dxfId="5597" priority="5702"/>
  </conditionalFormatting>
  <conditionalFormatting sqref="Q693:Q694">
    <cfRule type="duplicateValues" dxfId="5596" priority="5701"/>
  </conditionalFormatting>
  <conditionalFormatting sqref="Q693:Q694">
    <cfRule type="duplicateValues" dxfId="5595" priority="5700"/>
  </conditionalFormatting>
  <conditionalFormatting sqref="Q693:Q694">
    <cfRule type="duplicateValues" dxfId="5594" priority="5699"/>
  </conditionalFormatting>
  <conditionalFormatting sqref="Q693:Q694">
    <cfRule type="duplicateValues" dxfId="5593" priority="5698"/>
  </conditionalFormatting>
  <conditionalFormatting sqref="R693:R694">
    <cfRule type="duplicateValues" dxfId="5592" priority="5697"/>
  </conditionalFormatting>
  <conditionalFormatting sqref="Q693:Q694">
    <cfRule type="duplicateValues" dxfId="5591" priority="5695"/>
    <cfRule type="duplicateValues" dxfId="5590" priority="5696"/>
  </conditionalFormatting>
  <conditionalFormatting sqref="Q693:Q694">
    <cfRule type="duplicateValues" dxfId="5589" priority="5694"/>
  </conditionalFormatting>
  <conditionalFormatting sqref="Q693:Q694">
    <cfRule type="duplicateValues" dxfId="5588" priority="5693"/>
  </conditionalFormatting>
  <conditionalFormatting sqref="Q693:Q694">
    <cfRule type="duplicateValues" dxfId="5587" priority="5692"/>
  </conditionalFormatting>
  <conditionalFormatting sqref="Q693:Q694">
    <cfRule type="duplicateValues" dxfId="5586" priority="5691"/>
  </conditionalFormatting>
  <conditionalFormatting sqref="Q693:Q694">
    <cfRule type="duplicateValues" dxfId="5585" priority="5690"/>
  </conditionalFormatting>
  <conditionalFormatting sqref="Q693:Q694">
    <cfRule type="duplicateValues" dxfId="5584" priority="5689"/>
  </conditionalFormatting>
  <conditionalFormatting sqref="Q693:Q694">
    <cfRule type="duplicateValues" dxfId="5583" priority="5688"/>
  </conditionalFormatting>
  <conditionalFormatting sqref="Q693:Q694">
    <cfRule type="duplicateValues" dxfId="5582" priority="5687"/>
  </conditionalFormatting>
  <conditionalFormatting sqref="Q693:Q694">
    <cfRule type="duplicateValues" dxfId="5581" priority="5686"/>
  </conditionalFormatting>
  <conditionalFormatting sqref="Q693:Q694">
    <cfRule type="duplicateValues" dxfId="5580" priority="5685"/>
  </conditionalFormatting>
  <conditionalFormatting sqref="R693:R694">
    <cfRule type="duplicateValues" dxfId="5579" priority="5684"/>
  </conditionalFormatting>
  <conditionalFormatting sqref="R693:R694">
    <cfRule type="duplicateValues" dxfId="5578" priority="5681"/>
    <cfRule type="duplicateValues" dxfId="5577" priority="5682"/>
    <cfRule type="duplicateValues" dxfId="5576" priority="5683"/>
  </conditionalFormatting>
  <conditionalFormatting sqref="R693:R694">
    <cfRule type="duplicateValues" dxfId="5575" priority="5680"/>
  </conditionalFormatting>
  <conditionalFormatting sqref="R693:R694">
    <cfRule type="duplicateValues" dxfId="5574" priority="5677"/>
    <cfRule type="duplicateValues" dxfId="5573" priority="5678"/>
    <cfRule type="duplicateValues" dxfId="5572" priority="5679"/>
  </conditionalFormatting>
  <conditionalFormatting sqref="Q693:Q694">
    <cfRule type="duplicateValues" dxfId="5571" priority="5676"/>
  </conditionalFormatting>
  <conditionalFormatting sqref="Q693:Q694">
    <cfRule type="duplicateValues" dxfId="5570" priority="5675"/>
  </conditionalFormatting>
  <conditionalFormatting sqref="Q693:Q694">
    <cfRule type="duplicateValues" dxfId="5569" priority="5674"/>
  </conditionalFormatting>
  <conditionalFormatting sqref="Q695">
    <cfRule type="duplicateValues" dxfId="5568" priority="5673"/>
  </conditionalFormatting>
  <conditionalFormatting sqref="R695">
    <cfRule type="duplicateValues" dxfId="5567" priority="5672"/>
  </conditionalFormatting>
  <conditionalFormatting sqref="R695">
    <cfRule type="duplicateValues" dxfId="5566" priority="5669"/>
    <cfRule type="duplicateValues" dxfId="5565" priority="5670"/>
    <cfRule type="duplicateValues" dxfId="5564" priority="5671"/>
  </conditionalFormatting>
  <conditionalFormatting sqref="Q695">
    <cfRule type="duplicateValues" dxfId="5563" priority="5668"/>
  </conditionalFormatting>
  <conditionalFormatting sqref="Q695">
    <cfRule type="duplicateValues" dxfId="5562" priority="5667"/>
  </conditionalFormatting>
  <conditionalFormatting sqref="Q696:R696">
    <cfRule type="duplicateValues" dxfId="5561" priority="5666"/>
  </conditionalFormatting>
  <conditionalFormatting sqref="Q696:R696">
    <cfRule type="duplicateValues" dxfId="5560" priority="5663"/>
    <cfRule type="duplicateValues" dxfId="5559" priority="5664"/>
    <cfRule type="duplicateValues" dxfId="5558" priority="5665"/>
  </conditionalFormatting>
  <conditionalFormatting sqref="R696">
    <cfRule type="duplicateValues" dxfId="5557" priority="5662"/>
  </conditionalFormatting>
  <conditionalFormatting sqref="Q696:R696">
    <cfRule type="duplicateValues" dxfId="5556" priority="5661"/>
  </conditionalFormatting>
  <conditionalFormatting sqref="Q696">
    <cfRule type="duplicateValues" dxfId="5555" priority="5660"/>
  </conditionalFormatting>
  <conditionalFormatting sqref="Q696">
    <cfRule type="duplicateValues" dxfId="5554" priority="5659"/>
  </conditionalFormatting>
  <conditionalFormatting sqref="Q696">
    <cfRule type="duplicateValues" dxfId="5553" priority="5658"/>
  </conditionalFormatting>
  <conditionalFormatting sqref="Q696">
    <cfRule type="duplicateValues" dxfId="5552" priority="5657"/>
  </conditionalFormatting>
  <conditionalFormatting sqref="R696">
    <cfRule type="duplicateValues" dxfId="5551" priority="5656"/>
  </conditionalFormatting>
  <conditionalFormatting sqref="Q696">
    <cfRule type="duplicateValues" dxfId="5550" priority="5654"/>
    <cfRule type="duplicateValues" dxfId="5549" priority="5655"/>
  </conditionalFormatting>
  <conditionalFormatting sqref="Q696">
    <cfRule type="duplicateValues" dxfId="5548" priority="5653"/>
  </conditionalFormatting>
  <conditionalFormatting sqref="Q696">
    <cfRule type="duplicateValues" dxfId="5547" priority="5652"/>
  </conditionalFormatting>
  <conditionalFormatting sqref="Q696">
    <cfRule type="duplicateValues" dxfId="5546" priority="5651"/>
  </conditionalFormatting>
  <conditionalFormatting sqref="Q696">
    <cfRule type="duplicateValues" dxfId="5545" priority="5650"/>
  </conditionalFormatting>
  <conditionalFormatting sqref="Q696">
    <cfRule type="duplicateValues" dxfId="5544" priority="5649"/>
  </conditionalFormatting>
  <conditionalFormatting sqref="Q696">
    <cfRule type="duplicateValues" dxfId="5543" priority="5648"/>
  </conditionalFormatting>
  <conditionalFormatting sqref="Q696">
    <cfRule type="duplicateValues" dxfId="5542" priority="5647"/>
  </conditionalFormatting>
  <conditionalFormatting sqref="Q696">
    <cfRule type="duplicateValues" dxfId="5541" priority="5646"/>
  </conditionalFormatting>
  <conditionalFormatting sqref="Q696">
    <cfRule type="duplicateValues" dxfId="5540" priority="5645"/>
  </conditionalFormatting>
  <conditionalFormatting sqref="Q696">
    <cfRule type="duplicateValues" dxfId="5539" priority="5644"/>
  </conditionalFormatting>
  <conditionalFormatting sqref="R696">
    <cfRule type="duplicateValues" dxfId="5538" priority="5643"/>
  </conditionalFormatting>
  <conditionalFormatting sqref="R696">
    <cfRule type="duplicateValues" dxfId="5537" priority="5640"/>
    <cfRule type="duplicateValues" dxfId="5536" priority="5641"/>
    <cfRule type="duplicateValues" dxfId="5535" priority="5642"/>
  </conditionalFormatting>
  <conditionalFormatting sqref="R696">
    <cfRule type="duplicateValues" dxfId="5534" priority="5639"/>
  </conditionalFormatting>
  <conditionalFormatting sqref="R696">
    <cfRule type="duplicateValues" dxfId="5533" priority="5636"/>
    <cfRule type="duplicateValues" dxfId="5532" priority="5637"/>
    <cfRule type="duplicateValues" dxfId="5531" priority="5638"/>
  </conditionalFormatting>
  <conditionalFormatting sqref="Q696">
    <cfRule type="duplicateValues" dxfId="5530" priority="5635"/>
  </conditionalFormatting>
  <conditionalFormatting sqref="Q696">
    <cfRule type="duplicateValues" dxfId="5529" priority="5634"/>
  </conditionalFormatting>
  <conditionalFormatting sqref="Q696">
    <cfRule type="duplicateValues" dxfId="5528" priority="5633"/>
  </conditionalFormatting>
  <conditionalFormatting sqref="C697">
    <cfRule type="cellIs" dxfId="5527" priority="5632" operator="equal">
      <formula>0</formula>
    </cfRule>
  </conditionalFormatting>
  <conditionalFormatting sqref="Q697:R697">
    <cfRule type="duplicateValues" dxfId="5526" priority="5621"/>
  </conditionalFormatting>
  <conditionalFormatting sqref="Q697:R697">
    <cfRule type="duplicateValues" dxfId="5525" priority="5618"/>
    <cfRule type="duplicateValues" dxfId="5524" priority="5619"/>
    <cfRule type="duplicateValues" dxfId="5523" priority="5620"/>
  </conditionalFormatting>
  <conditionalFormatting sqref="R697">
    <cfRule type="duplicateValues" dxfId="5522" priority="5617"/>
  </conditionalFormatting>
  <conditionalFormatting sqref="Q697">
    <cfRule type="duplicateValues" dxfId="5521" priority="5616"/>
  </conditionalFormatting>
  <conditionalFormatting sqref="Q697">
    <cfRule type="duplicateValues" dxfId="5520" priority="5614"/>
    <cfRule type="duplicateValues" dxfId="5519" priority="5615"/>
  </conditionalFormatting>
  <conditionalFormatting sqref="Q697">
    <cfRule type="duplicateValues" dxfId="5518" priority="5611"/>
    <cfRule type="duplicateValues" dxfId="5517" priority="5612"/>
    <cfRule type="duplicateValues" dxfId="5516" priority="5613"/>
  </conditionalFormatting>
  <conditionalFormatting sqref="R697">
    <cfRule type="duplicateValues" dxfId="5515" priority="5608"/>
    <cfRule type="duplicateValues" dxfId="5514" priority="5609"/>
    <cfRule type="duplicateValues" dxfId="5513" priority="5610"/>
  </conditionalFormatting>
  <conditionalFormatting sqref="Q697">
    <cfRule type="duplicateValues" dxfId="5512" priority="5607"/>
  </conditionalFormatting>
  <conditionalFormatting sqref="Q697">
    <cfRule type="duplicateValues" dxfId="5511" priority="5606"/>
  </conditionalFormatting>
  <conditionalFormatting sqref="Q697">
    <cfRule type="duplicateValues" dxfId="5510" priority="5605"/>
  </conditionalFormatting>
  <conditionalFormatting sqref="Q698">
    <cfRule type="duplicateValues" dxfId="5509" priority="5604"/>
  </conditionalFormatting>
  <conditionalFormatting sqref="Q698:R698">
    <cfRule type="duplicateValues" dxfId="5508" priority="5603"/>
  </conditionalFormatting>
  <conditionalFormatting sqref="Q698:R698">
    <cfRule type="duplicateValues" dxfId="5507" priority="5600"/>
    <cfRule type="duplicateValues" dxfId="5506" priority="5601"/>
    <cfRule type="duplicateValues" dxfId="5505" priority="5602"/>
  </conditionalFormatting>
  <conditionalFormatting sqref="R698">
    <cfRule type="duplicateValues" dxfId="5504" priority="5599"/>
  </conditionalFormatting>
  <conditionalFormatting sqref="Q698">
    <cfRule type="duplicateValues" dxfId="5503" priority="5597"/>
    <cfRule type="duplicateValues" dxfId="5502" priority="5598"/>
  </conditionalFormatting>
  <conditionalFormatting sqref="Q698">
    <cfRule type="duplicateValues" dxfId="5501" priority="5594"/>
    <cfRule type="duplicateValues" dxfId="5500" priority="5595"/>
    <cfRule type="duplicateValues" dxfId="5499" priority="5596"/>
  </conditionalFormatting>
  <conditionalFormatting sqref="R698">
    <cfRule type="duplicateValues" dxfId="5498" priority="5591"/>
    <cfRule type="duplicateValues" dxfId="5497" priority="5592"/>
    <cfRule type="duplicateValues" dxfId="5496" priority="5593"/>
  </conditionalFormatting>
  <conditionalFormatting sqref="Q698">
    <cfRule type="duplicateValues" dxfId="5495" priority="5590"/>
  </conditionalFormatting>
  <conditionalFormatting sqref="Q698">
    <cfRule type="duplicateValues" dxfId="5494" priority="5589"/>
  </conditionalFormatting>
  <conditionalFormatting sqref="Q698">
    <cfRule type="duplicateValues" dxfId="5493" priority="5588"/>
  </conditionalFormatting>
  <conditionalFormatting sqref="Q699">
    <cfRule type="duplicateValues" dxfId="5492" priority="5587"/>
  </conditionalFormatting>
  <conditionalFormatting sqref="Q699:R699">
    <cfRule type="duplicateValues" dxfId="5491" priority="5586"/>
  </conditionalFormatting>
  <conditionalFormatting sqref="Q699:R699">
    <cfRule type="duplicateValues" dxfId="5490" priority="5583"/>
    <cfRule type="duplicateValues" dxfId="5489" priority="5584"/>
    <cfRule type="duplicateValues" dxfId="5488" priority="5585"/>
  </conditionalFormatting>
  <conditionalFormatting sqref="R699">
    <cfRule type="duplicateValues" dxfId="5487" priority="5582"/>
  </conditionalFormatting>
  <conditionalFormatting sqref="Q699">
    <cfRule type="duplicateValues" dxfId="5486" priority="5580"/>
    <cfRule type="duplicateValues" dxfId="5485" priority="5581"/>
  </conditionalFormatting>
  <conditionalFormatting sqref="Q699">
    <cfRule type="duplicateValues" dxfId="5484" priority="5577"/>
    <cfRule type="duplicateValues" dxfId="5483" priority="5578"/>
    <cfRule type="duplicateValues" dxfId="5482" priority="5579"/>
  </conditionalFormatting>
  <conditionalFormatting sqref="R699">
    <cfRule type="duplicateValues" dxfId="5481" priority="5574"/>
    <cfRule type="duplicateValues" dxfId="5480" priority="5575"/>
    <cfRule type="duplicateValues" dxfId="5479" priority="5576"/>
  </conditionalFormatting>
  <conditionalFormatting sqref="Q699">
    <cfRule type="duplicateValues" dxfId="5478" priority="5573"/>
  </conditionalFormatting>
  <conditionalFormatting sqref="Q699">
    <cfRule type="duplicateValues" dxfId="5477" priority="5572"/>
  </conditionalFormatting>
  <conditionalFormatting sqref="Q699">
    <cfRule type="duplicateValues" dxfId="5476" priority="5571"/>
  </conditionalFormatting>
  <conditionalFormatting sqref="Q700">
    <cfRule type="duplicateValues" dxfId="5475" priority="5570"/>
  </conditionalFormatting>
  <conditionalFormatting sqref="Q700">
    <cfRule type="duplicateValues" dxfId="5474" priority="5569"/>
  </conditionalFormatting>
  <conditionalFormatting sqref="Q700">
    <cfRule type="duplicateValues" dxfId="5473" priority="5568"/>
  </conditionalFormatting>
  <conditionalFormatting sqref="Q700:R700">
    <cfRule type="duplicateValues" dxfId="5472" priority="5567"/>
  </conditionalFormatting>
  <conditionalFormatting sqref="Q700:R700">
    <cfRule type="duplicateValues" dxfId="5471" priority="5564"/>
    <cfRule type="duplicateValues" dxfId="5470" priority="5565"/>
    <cfRule type="duplicateValues" dxfId="5469" priority="5566"/>
  </conditionalFormatting>
  <conditionalFormatting sqref="R700">
    <cfRule type="duplicateValues" dxfId="5468" priority="5563"/>
  </conditionalFormatting>
  <conditionalFormatting sqref="Q700">
    <cfRule type="duplicateValues" dxfId="5467" priority="5561"/>
    <cfRule type="duplicateValues" dxfId="5466" priority="5562"/>
  </conditionalFormatting>
  <conditionalFormatting sqref="Q700">
    <cfRule type="duplicateValues" dxfId="5465" priority="5558"/>
    <cfRule type="duplicateValues" dxfId="5464" priority="5559"/>
    <cfRule type="duplicateValues" dxfId="5463" priority="5560"/>
  </conditionalFormatting>
  <conditionalFormatting sqref="R700">
    <cfRule type="duplicateValues" dxfId="5462" priority="5555"/>
    <cfRule type="duplicateValues" dxfId="5461" priority="5556"/>
    <cfRule type="duplicateValues" dxfId="5460" priority="5557"/>
  </conditionalFormatting>
  <conditionalFormatting sqref="Q700">
    <cfRule type="duplicateValues" dxfId="5459" priority="5554"/>
  </conditionalFormatting>
  <conditionalFormatting sqref="Q701">
    <cfRule type="duplicateValues" dxfId="5458" priority="5553"/>
  </conditionalFormatting>
  <conditionalFormatting sqref="Q701">
    <cfRule type="duplicateValues" dxfId="5457" priority="5552"/>
  </conditionalFormatting>
  <conditionalFormatting sqref="Q701">
    <cfRule type="duplicateValues" dxfId="5456" priority="5551"/>
  </conditionalFormatting>
  <conditionalFormatting sqref="Q701:R701">
    <cfRule type="duplicateValues" dxfId="5455" priority="5550"/>
  </conditionalFormatting>
  <conditionalFormatting sqref="Q701:R701">
    <cfRule type="duplicateValues" dxfId="5454" priority="5547"/>
    <cfRule type="duplicateValues" dxfId="5453" priority="5548"/>
    <cfRule type="duplicateValues" dxfId="5452" priority="5549"/>
  </conditionalFormatting>
  <conditionalFormatting sqref="R701">
    <cfRule type="duplicateValues" dxfId="5451" priority="5546"/>
  </conditionalFormatting>
  <conditionalFormatting sqref="Q701">
    <cfRule type="duplicateValues" dxfId="5450" priority="5544"/>
    <cfRule type="duplicateValues" dxfId="5449" priority="5545"/>
  </conditionalFormatting>
  <conditionalFormatting sqref="Q701">
    <cfRule type="duplicateValues" dxfId="5448" priority="5541"/>
    <cfRule type="duplicateValues" dxfId="5447" priority="5542"/>
    <cfRule type="duplicateValues" dxfId="5446" priority="5543"/>
  </conditionalFormatting>
  <conditionalFormatting sqref="R701">
    <cfRule type="duplicateValues" dxfId="5445" priority="5538"/>
    <cfRule type="duplicateValues" dxfId="5444" priority="5539"/>
    <cfRule type="duplicateValues" dxfId="5443" priority="5540"/>
  </conditionalFormatting>
  <conditionalFormatting sqref="Q701">
    <cfRule type="duplicateValues" dxfId="5442" priority="5537"/>
  </conditionalFormatting>
  <conditionalFormatting sqref="Q702">
    <cfRule type="duplicateValues" dxfId="5441" priority="5536"/>
  </conditionalFormatting>
  <conditionalFormatting sqref="Q702">
    <cfRule type="duplicateValues" dxfId="5440" priority="5535"/>
  </conditionalFormatting>
  <conditionalFormatting sqref="Q702">
    <cfRule type="duplicateValues" dxfId="5439" priority="5534"/>
  </conditionalFormatting>
  <conditionalFormatting sqref="Q702:R702">
    <cfRule type="duplicateValues" dxfId="5438" priority="5533"/>
  </conditionalFormatting>
  <conditionalFormatting sqref="Q702:R702">
    <cfRule type="duplicateValues" dxfId="5437" priority="5530"/>
    <cfRule type="duplicateValues" dxfId="5436" priority="5531"/>
    <cfRule type="duplicateValues" dxfId="5435" priority="5532"/>
  </conditionalFormatting>
  <conditionalFormatting sqref="R702">
    <cfRule type="duplicateValues" dxfId="5434" priority="5529"/>
  </conditionalFormatting>
  <conditionalFormatting sqref="Q702">
    <cfRule type="duplicateValues" dxfId="5433" priority="5527"/>
    <cfRule type="duplicateValues" dxfId="5432" priority="5528"/>
  </conditionalFormatting>
  <conditionalFormatting sqref="Q702">
    <cfRule type="duplicateValues" dxfId="5431" priority="5524"/>
    <cfRule type="duplicateValues" dxfId="5430" priority="5525"/>
    <cfRule type="duplicateValues" dxfId="5429" priority="5526"/>
  </conditionalFormatting>
  <conditionalFormatting sqref="R702">
    <cfRule type="duplicateValues" dxfId="5428" priority="5521"/>
    <cfRule type="duplicateValues" dxfId="5427" priority="5522"/>
    <cfRule type="duplicateValues" dxfId="5426" priority="5523"/>
  </conditionalFormatting>
  <conditionalFormatting sqref="Q702">
    <cfRule type="duplicateValues" dxfId="5425" priority="5520"/>
  </conditionalFormatting>
  <conditionalFormatting sqref="Q703">
    <cfRule type="duplicateValues" dxfId="5424" priority="5519"/>
  </conditionalFormatting>
  <conditionalFormatting sqref="Q703">
    <cfRule type="duplicateValues" dxfId="5423" priority="5518"/>
  </conditionalFormatting>
  <conditionalFormatting sqref="Q703">
    <cfRule type="duplicateValues" dxfId="5422" priority="5517"/>
  </conditionalFormatting>
  <conditionalFormatting sqref="Q703:R703">
    <cfRule type="duplicateValues" dxfId="5421" priority="5516"/>
  </conditionalFormatting>
  <conditionalFormatting sqref="Q703:R703">
    <cfRule type="duplicateValues" dxfId="5420" priority="5513"/>
    <cfRule type="duplicateValues" dxfId="5419" priority="5514"/>
    <cfRule type="duplicateValues" dxfId="5418" priority="5515"/>
  </conditionalFormatting>
  <conditionalFormatting sqref="R703">
    <cfRule type="duplicateValues" dxfId="5417" priority="5512"/>
  </conditionalFormatting>
  <conditionalFormatting sqref="Q703">
    <cfRule type="duplicateValues" dxfId="5416" priority="5510"/>
    <cfRule type="duplicateValues" dxfId="5415" priority="5511"/>
  </conditionalFormatting>
  <conditionalFormatting sqref="Q703">
    <cfRule type="duplicateValues" dxfId="5414" priority="5507"/>
    <cfRule type="duplicateValues" dxfId="5413" priority="5508"/>
    <cfRule type="duplicateValues" dxfId="5412" priority="5509"/>
  </conditionalFormatting>
  <conditionalFormatting sqref="R703">
    <cfRule type="duplicateValues" dxfId="5411" priority="5504"/>
    <cfRule type="duplicateValues" dxfId="5410" priority="5505"/>
    <cfRule type="duplicateValues" dxfId="5409" priority="5506"/>
  </conditionalFormatting>
  <conditionalFormatting sqref="Q703">
    <cfRule type="duplicateValues" dxfId="5408" priority="5503"/>
  </conditionalFormatting>
  <conditionalFormatting sqref="Q704">
    <cfRule type="duplicateValues" dxfId="5407" priority="5502"/>
  </conditionalFormatting>
  <conditionalFormatting sqref="Q704">
    <cfRule type="duplicateValues" dxfId="5406" priority="5501"/>
  </conditionalFormatting>
  <conditionalFormatting sqref="Q704">
    <cfRule type="duplicateValues" dxfId="5405" priority="5500"/>
  </conditionalFormatting>
  <conditionalFormatting sqref="Q704:R704">
    <cfRule type="duplicateValues" dxfId="5404" priority="5499"/>
  </conditionalFormatting>
  <conditionalFormatting sqref="Q704:R704">
    <cfRule type="duplicateValues" dxfId="5403" priority="5496"/>
    <cfRule type="duplicateValues" dxfId="5402" priority="5497"/>
    <cfRule type="duplicateValues" dxfId="5401" priority="5498"/>
  </conditionalFormatting>
  <conditionalFormatting sqref="R704">
    <cfRule type="duplicateValues" dxfId="5400" priority="5495"/>
  </conditionalFormatting>
  <conditionalFormatting sqref="Q704">
    <cfRule type="duplicateValues" dxfId="5399" priority="5493"/>
    <cfRule type="duplicateValues" dxfId="5398" priority="5494"/>
  </conditionalFormatting>
  <conditionalFormatting sqref="Q704">
    <cfRule type="duplicateValues" dxfId="5397" priority="5490"/>
    <cfRule type="duplicateValues" dxfId="5396" priority="5491"/>
    <cfRule type="duplicateValues" dxfId="5395" priority="5492"/>
  </conditionalFormatting>
  <conditionalFormatting sqref="R704">
    <cfRule type="duplicateValues" dxfId="5394" priority="5487"/>
    <cfRule type="duplicateValues" dxfId="5393" priority="5488"/>
    <cfRule type="duplicateValues" dxfId="5392" priority="5489"/>
  </conditionalFormatting>
  <conditionalFormatting sqref="Q704">
    <cfRule type="duplicateValues" dxfId="5391" priority="5486"/>
  </conditionalFormatting>
  <conditionalFormatting sqref="Q705">
    <cfRule type="duplicateValues" dxfId="5390" priority="5485"/>
  </conditionalFormatting>
  <conditionalFormatting sqref="Q705">
    <cfRule type="duplicateValues" dxfId="5389" priority="5484"/>
  </conditionalFormatting>
  <conditionalFormatting sqref="Q705">
    <cfRule type="duplicateValues" dxfId="5388" priority="5483"/>
  </conditionalFormatting>
  <conditionalFormatting sqref="Q705:R705">
    <cfRule type="duplicateValues" dxfId="5387" priority="5482"/>
  </conditionalFormatting>
  <conditionalFormatting sqref="Q705:R705">
    <cfRule type="duplicateValues" dxfId="5386" priority="5479"/>
    <cfRule type="duplicateValues" dxfId="5385" priority="5480"/>
    <cfRule type="duplicateValues" dxfId="5384" priority="5481"/>
  </conditionalFormatting>
  <conditionalFormatting sqref="R705">
    <cfRule type="duplicateValues" dxfId="5383" priority="5478"/>
  </conditionalFormatting>
  <conditionalFormatting sqref="Q705">
    <cfRule type="duplicateValues" dxfId="5382" priority="5476"/>
    <cfRule type="duplicateValues" dxfId="5381" priority="5477"/>
  </conditionalFormatting>
  <conditionalFormatting sqref="Q705">
    <cfRule type="duplicateValues" dxfId="5380" priority="5473"/>
    <cfRule type="duplicateValues" dxfId="5379" priority="5474"/>
    <cfRule type="duplicateValues" dxfId="5378" priority="5475"/>
  </conditionalFormatting>
  <conditionalFormatting sqref="R705">
    <cfRule type="duplicateValues" dxfId="5377" priority="5470"/>
    <cfRule type="duplicateValues" dxfId="5376" priority="5471"/>
    <cfRule type="duplicateValues" dxfId="5375" priority="5472"/>
  </conditionalFormatting>
  <conditionalFormatting sqref="Q705">
    <cfRule type="duplicateValues" dxfId="5374" priority="5469"/>
  </conditionalFormatting>
  <conditionalFormatting sqref="Q706">
    <cfRule type="duplicateValues" dxfId="5373" priority="5468"/>
  </conditionalFormatting>
  <conditionalFormatting sqref="Q706">
    <cfRule type="duplicateValues" dxfId="5372" priority="5467"/>
  </conditionalFormatting>
  <conditionalFormatting sqref="Q706">
    <cfRule type="duplicateValues" dxfId="5371" priority="5466"/>
  </conditionalFormatting>
  <conditionalFormatting sqref="Q706:R706">
    <cfRule type="duplicateValues" dxfId="5370" priority="5465"/>
  </conditionalFormatting>
  <conditionalFormatting sqref="Q706:R706">
    <cfRule type="duplicateValues" dxfId="5369" priority="5462"/>
    <cfRule type="duplicateValues" dxfId="5368" priority="5463"/>
    <cfRule type="duplicateValues" dxfId="5367" priority="5464"/>
  </conditionalFormatting>
  <conditionalFormatting sqref="R706">
    <cfRule type="duplicateValues" dxfId="5366" priority="5461"/>
  </conditionalFormatting>
  <conditionalFormatting sqref="Q706">
    <cfRule type="duplicateValues" dxfId="5365" priority="5459"/>
    <cfRule type="duplicateValues" dxfId="5364" priority="5460"/>
  </conditionalFormatting>
  <conditionalFormatting sqref="Q706">
    <cfRule type="duplicateValues" dxfId="5363" priority="5456"/>
    <cfRule type="duplicateValues" dxfId="5362" priority="5457"/>
    <cfRule type="duplicateValues" dxfId="5361" priority="5458"/>
  </conditionalFormatting>
  <conditionalFormatting sqref="R706">
    <cfRule type="duplicateValues" dxfId="5360" priority="5453"/>
    <cfRule type="duplicateValues" dxfId="5359" priority="5454"/>
    <cfRule type="duplicateValues" dxfId="5358" priority="5455"/>
  </conditionalFormatting>
  <conditionalFormatting sqref="Q706">
    <cfRule type="duplicateValues" dxfId="5357" priority="5452"/>
  </conditionalFormatting>
  <conditionalFormatting sqref="Q707:Q708">
    <cfRule type="duplicateValues" dxfId="5356" priority="5451"/>
  </conditionalFormatting>
  <conditionalFormatting sqref="Q707:R708">
    <cfRule type="duplicateValues" dxfId="5355" priority="5450"/>
  </conditionalFormatting>
  <conditionalFormatting sqref="Q707:R708">
    <cfRule type="duplicateValues" dxfId="5354" priority="5447"/>
    <cfRule type="duplicateValues" dxfId="5353" priority="5448"/>
    <cfRule type="duplicateValues" dxfId="5352" priority="5449"/>
  </conditionalFormatting>
  <conditionalFormatting sqref="R707:R708">
    <cfRule type="duplicateValues" dxfId="5351" priority="5446"/>
  </conditionalFormatting>
  <conditionalFormatting sqref="Q707:Q708">
    <cfRule type="duplicateValues" dxfId="5350" priority="5444"/>
    <cfRule type="duplicateValues" dxfId="5349" priority="5445"/>
  </conditionalFormatting>
  <conditionalFormatting sqref="Q707:Q708">
    <cfRule type="duplicateValues" dxfId="5348" priority="5441"/>
    <cfRule type="duplicateValues" dxfId="5347" priority="5442"/>
    <cfRule type="duplicateValues" dxfId="5346" priority="5443"/>
  </conditionalFormatting>
  <conditionalFormatting sqref="R707:R708">
    <cfRule type="duplicateValues" dxfId="5345" priority="5438"/>
    <cfRule type="duplicateValues" dxfId="5344" priority="5439"/>
    <cfRule type="duplicateValues" dxfId="5343" priority="5440"/>
  </conditionalFormatting>
  <conditionalFormatting sqref="Q707:Q708">
    <cfRule type="duplicateValues" dxfId="5342" priority="5437"/>
  </conditionalFormatting>
  <conditionalFormatting sqref="Q707:Q708">
    <cfRule type="duplicateValues" dxfId="5341" priority="5436"/>
  </conditionalFormatting>
  <conditionalFormatting sqref="Q707:Q708">
    <cfRule type="duplicateValues" dxfId="5340" priority="5435"/>
  </conditionalFormatting>
  <conditionalFormatting sqref="Q709:R709">
    <cfRule type="duplicateValues" dxfId="5339" priority="5434"/>
  </conditionalFormatting>
  <conditionalFormatting sqref="Q709:R709">
    <cfRule type="duplicateValues" dxfId="5338" priority="5431"/>
    <cfRule type="duplicateValues" dxfId="5337" priority="5432"/>
    <cfRule type="duplicateValues" dxfId="5336" priority="5433"/>
  </conditionalFormatting>
  <conditionalFormatting sqref="R709">
    <cfRule type="duplicateValues" dxfId="5335" priority="5430"/>
  </conditionalFormatting>
  <conditionalFormatting sqref="Q709">
    <cfRule type="duplicateValues" dxfId="5334" priority="5429"/>
  </conditionalFormatting>
  <conditionalFormatting sqref="Q709">
    <cfRule type="duplicateValues" dxfId="5333" priority="5427"/>
    <cfRule type="duplicateValues" dxfId="5332" priority="5428"/>
  </conditionalFormatting>
  <conditionalFormatting sqref="Q709">
    <cfRule type="duplicateValues" dxfId="5331" priority="5424"/>
    <cfRule type="duplicateValues" dxfId="5330" priority="5425"/>
    <cfRule type="duplicateValues" dxfId="5329" priority="5426"/>
  </conditionalFormatting>
  <conditionalFormatting sqref="R709">
    <cfRule type="duplicateValues" dxfId="5328" priority="5421"/>
    <cfRule type="duplicateValues" dxfId="5327" priority="5422"/>
    <cfRule type="duplicateValues" dxfId="5326" priority="5423"/>
  </conditionalFormatting>
  <conditionalFormatting sqref="Q709">
    <cfRule type="duplicateValues" dxfId="5325" priority="5420"/>
  </conditionalFormatting>
  <conditionalFormatting sqref="Q709">
    <cfRule type="duplicateValues" dxfId="5324" priority="5419"/>
  </conditionalFormatting>
  <conditionalFormatting sqref="Q709">
    <cfRule type="duplicateValues" dxfId="5323" priority="5418"/>
  </conditionalFormatting>
  <conditionalFormatting sqref="Q710">
    <cfRule type="duplicateValues" dxfId="5322" priority="5417"/>
  </conditionalFormatting>
  <conditionalFormatting sqref="Q710">
    <cfRule type="duplicateValues" dxfId="5321" priority="5416"/>
  </conditionalFormatting>
  <conditionalFormatting sqref="Q710">
    <cfRule type="duplicateValues" dxfId="5320" priority="5415"/>
  </conditionalFormatting>
  <conditionalFormatting sqref="Q710:R710">
    <cfRule type="duplicateValues" dxfId="5319" priority="5414"/>
  </conditionalFormatting>
  <conditionalFormatting sqref="Q710:R710">
    <cfRule type="duplicateValues" dxfId="5318" priority="5411"/>
    <cfRule type="duplicateValues" dxfId="5317" priority="5412"/>
    <cfRule type="duplicateValues" dxfId="5316" priority="5413"/>
  </conditionalFormatting>
  <conditionalFormatting sqref="R710">
    <cfRule type="duplicateValues" dxfId="5315" priority="5410"/>
  </conditionalFormatting>
  <conditionalFormatting sqref="Q710">
    <cfRule type="duplicateValues" dxfId="5314" priority="5409"/>
  </conditionalFormatting>
  <conditionalFormatting sqref="Q710">
    <cfRule type="duplicateValues" dxfId="5313" priority="5407"/>
    <cfRule type="duplicateValues" dxfId="5312" priority="5408"/>
  </conditionalFormatting>
  <conditionalFormatting sqref="Q710">
    <cfRule type="duplicateValues" dxfId="5311" priority="5404"/>
    <cfRule type="duplicateValues" dxfId="5310" priority="5405"/>
    <cfRule type="duplicateValues" dxfId="5309" priority="5406"/>
  </conditionalFormatting>
  <conditionalFormatting sqref="R710">
    <cfRule type="duplicateValues" dxfId="5308" priority="5401"/>
    <cfRule type="duplicateValues" dxfId="5307" priority="5402"/>
    <cfRule type="duplicateValues" dxfId="5306" priority="5403"/>
  </conditionalFormatting>
  <conditionalFormatting sqref="Q711:R711">
    <cfRule type="duplicateValues" dxfId="5305" priority="5400"/>
  </conditionalFormatting>
  <conditionalFormatting sqref="Q711:R711">
    <cfRule type="duplicateValues" dxfId="5304" priority="5397"/>
    <cfRule type="duplicateValues" dxfId="5303" priority="5398"/>
    <cfRule type="duplicateValues" dxfId="5302" priority="5399"/>
  </conditionalFormatting>
  <conditionalFormatting sqref="R711">
    <cfRule type="duplicateValues" dxfId="5301" priority="5396"/>
  </conditionalFormatting>
  <conditionalFormatting sqref="Q711:R711">
    <cfRule type="duplicateValues" dxfId="5300" priority="5395"/>
  </conditionalFormatting>
  <conditionalFormatting sqref="Q711">
    <cfRule type="duplicateValues" dxfId="5299" priority="5394"/>
  </conditionalFormatting>
  <conditionalFormatting sqref="Q711">
    <cfRule type="duplicateValues" dxfId="5298" priority="5393"/>
  </conditionalFormatting>
  <conditionalFormatting sqref="Q711">
    <cfRule type="duplicateValues" dxfId="5297" priority="5392"/>
  </conditionalFormatting>
  <conditionalFormatting sqref="Q711">
    <cfRule type="duplicateValues" dxfId="5296" priority="5391"/>
  </conditionalFormatting>
  <conditionalFormatting sqref="R711">
    <cfRule type="duplicateValues" dxfId="5295" priority="5390"/>
  </conditionalFormatting>
  <conditionalFormatting sqref="Q711">
    <cfRule type="duplicateValues" dxfId="5294" priority="5388"/>
    <cfRule type="duplicateValues" dxfId="5293" priority="5389"/>
  </conditionalFormatting>
  <conditionalFormatting sqref="Q711">
    <cfRule type="duplicateValues" dxfId="5292" priority="5387"/>
  </conditionalFormatting>
  <conditionalFormatting sqref="Q711">
    <cfRule type="duplicateValues" dxfId="5291" priority="5386"/>
  </conditionalFormatting>
  <conditionalFormatting sqref="Q711">
    <cfRule type="duplicateValues" dxfId="5290" priority="5385"/>
  </conditionalFormatting>
  <conditionalFormatting sqref="Q711">
    <cfRule type="duplicateValues" dxfId="5289" priority="5384"/>
  </conditionalFormatting>
  <conditionalFormatting sqref="Q711">
    <cfRule type="duplicateValues" dxfId="5288" priority="5383"/>
  </conditionalFormatting>
  <conditionalFormatting sqref="Q711">
    <cfRule type="duplicateValues" dxfId="5287" priority="5382"/>
  </conditionalFormatting>
  <conditionalFormatting sqref="Q711">
    <cfRule type="duplicateValues" dxfId="5286" priority="5381"/>
  </conditionalFormatting>
  <conditionalFormatting sqref="Q711">
    <cfRule type="duplicateValues" dxfId="5285" priority="5380"/>
  </conditionalFormatting>
  <conditionalFormatting sqref="Q711:R711">
    <cfRule type="duplicateValues" dxfId="5284" priority="5379"/>
  </conditionalFormatting>
  <conditionalFormatting sqref="Q711">
    <cfRule type="duplicateValues" dxfId="5283" priority="5378"/>
  </conditionalFormatting>
  <conditionalFormatting sqref="Q711:R711">
    <cfRule type="duplicateValues" dxfId="5282" priority="5377"/>
  </conditionalFormatting>
  <conditionalFormatting sqref="R711">
    <cfRule type="duplicateValues" dxfId="5281" priority="5376"/>
  </conditionalFormatting>
  <conditionalFormatting sqref="Q711">
    <cfRule type="duplicateValues" dxfId="5280" priority="5375"/>
  </conditionalFormatting>
  <conditionalFormatting sqref="Q711">
    <cfRule type="duplicateValues" dxfId="5279" priority="5374"/>
  </conditionalFormatting>
  <conditionalFormatting sqref="Q711">
    <cfRule type="duplicateValues" dxfId="5278" priority="5373"/>
  </conditionalFormatting>
  <conditionalFormatting sqref="Q712:R713">
    <cfRule type="duplicateValues" dxfId="5277" priority="5372"/>
  </conditionalFormatting>
  <conditionalFormatting sqref="Q712:R713">
    <cfRule type="duplicateValues" dxfId="5276" priority="5369"/>
    <cfRule type="duplicateValues" dxfId="5275" priority="5370"/>
    <cfRule type="duplicateValues" dxfId="5274" priority="5371"/>
  </conditionalFormatting>
  <conditionalFormatting sqref="R712:R713">
    <cfRule type="duplicateValues" dxfId="5273" priority="5368"/>
  </conditionalFormatting>
  <conditionalFormatting sqref="Q712:R713">
    <cfRule type="duplicateValues" dxfId="5272" priority="5367"/>
  </conditionalFormatting>
  <conditionalFormatting sqref="Q712:Q713">
    <cfRule type="duplicateValues" dxfId="5271" priority="5366"/>
  </conditionalFormatting>
  <conditionalFormatting sqref="Q712:Q713">
    <cfRule type="duplicateValues" dxfId="5270" priority="5365"/>
  </conditionalFormatting>
  <conditionalFormatting sqref="Q712:Q713">
    <cfRule type="duplicateValues" dxfId="5269" priority="5364"/>
  </conditionalFormatting>
  <conditionalFormatting sqref="Q712:Q713">
    <cfRule type="duplicateValues" dxfId="5268" priority="5363"/>
  </conditionalFormatting>
  <conditionalFormatting sqref="R712:R713">
    <cfRule type="duplicateValues" dxfId="5267" priority="5362"/>
  </conditionalFormatting>
  <conditionalFormatting sqref="Q712:Q713">
    <cfRule type="duplicateValues" dxfId="5266" priority="5360"/>
    <cfRule type="duplicateValues" dxfId="5265" priority="5361"/>
  </conditionalFormatting>
  <conditionalFormatting sqref="Q712:Q713">
    <cfRule type="duplicateValues" dxfId="5264" priority="5359"/>
  </conditionalFormatting>
  <conditionalFormatting sqref="Q712:Q713">
    <cfRule type="duplicateValues" dxfId="5263" priority="5358"/>
  </conditionalFormatting>
  <conditionalFormatting sqref="Q712:Q713">
    <cfRule type="duplicateValues" dxfId="5262" priority="5357"/>
  </conditionalFormatting>
  <conditionalFormatting sqref="Q712:Q713">
    <cfRule type="duplicateValues" dxfId="5261" priority="5356"/>
  </conditionalFormatting>
  <conditionalFormatting sqref="Q712:Q713">
    <cfRule type="duplicateValues" dxfId="5260" priority="5355"/>
  </conditionalFormatting>
  <conditionalFormatting sqref="Q712:Q713">
    <cfRule type="duplicateValues" dxfId="5259" priority="5354"/>
  </conditionalFormatting>
  <conditionalFormatting sqref="Q712:Q713">
    <cfRule type="duplicateValues" dxfId="5258" priority="5353"/>
  </conditionalFormatting>
  <conditionalFormatting sqref="Q712:Q713">
    <cfRule type="duplicateValues" dxfId="5257" priority="5352"/>
  </conditionalFormatting>
  <conditionalFormatting sqref="Q712:R713">
    <cfRule type="duplicateValues" dxfId="5256" priority="5351"/>
  </conditionalFormatting>
  <conditionalFormatting sqref="Q712:Q713">
    <cfRule type="duplicateValues" dxfId="5255" priority="5350"/>
  </conditionalFormatting>
  <conditionalFormatting sqref="Q712:R713">
    <cfRule type="duplicateValues" dxfId="5254" priority="5349"/>
  </conditionalFormatting>
  <conditionalFormatting sqref="R712:R713">
    <cfRule type="duplicateValues" dxfId="5253" priority="5348"/>
  </conditionalFormatting>
  <conditionalFormatting sqref="Q712:Q713">
    <cfRule type="duplicateValues" dxfId="5252" priority="5347"/>
  </conditionalFormatting>
  <conditionalFormatting sqref="Q712:Q713">
    <cfRule type="duplicateValues" dxfId="5251" priority="5346"/>
  </conditionalFormatting>
  <conditionalFormatting sqref="Q712:Q713">
    <cfRule type="duplicateValues" dxfId="5250" priority="5345"/>
  </conditionalFormatting>
  <conditionalFormatting sqref="Q714">
    <cfRule type="duplicateValues" dxfId="5249" priority="5344"/>
  </conditionalFormatting>
  <conditionalFormatting sqref="Q714">
    <cfRule type="duplicateValues" dxfId="5248" priority="5343"/>
  </conditionalFormatting>
  <conditionalFormatting sqref="Q714">
    <cfRule type="duplicateValues" dxfId="5247" priority="5342"/>
  </conditionalFormatting>
  <conditionalFormatting sqref="Q714:R714">
    <cfRule type="duplicateValues" dxfId="5246" priority="5341"/>
  </conditionalFormatting>
  <conditionalFormatting sqref="Q714:R714">
    <cfRule type="duplicateValues" dxfId="5245" priority="5338"/>
    <cfRule type="duplicateValues" dxfId="5244" priority="5339"/>
    <cfRule type="duplicateValues" dxfId="5243" priority="5340"/>
  </conditionalFormatting>
  <conditionalFormatting sqref="R714">
    <cfRule type="duplicateValues" dxfId="5242" priority="5337"/>
  </conditionalFormatting>
  <conditionalFormatting sqref="Q714">
    <cfRule type="duplicateValues" dxfId="5241" priority="5335"/>
    <cfRule type="duplicateValues" dxfId="5240" priority="5336"/>
  </conditionalFormatting>
  <conditionalFormatting sqref="Q714">
    <cfRule type="duplicateValues" dxfId="5239" priority="5332"/>
    <cfRule type="duplicateValues" dxfId="5238" priority="5333"/>
    <cfRule type="duplicateValues" dxfId="5237" priority="5334"/>
  </conditionalFormatting>
  <conditionalFormatting sqref="R714">
    <cfRule type="duplicateValues" dxfId="5236" priority="5329"/>
    <cfRule type="duplicateValues" dxfId="5235" priority="5330"/>
    <cfRule type="duplicateValues" dxfId="5234" priority="5331"/>
  </conditionalFormatting>
  <conditionalFormatting sqref="Q714">
    <cfRule type="duplicateValues" dxfId="5233" priority="5328"/>
  </conditionalFormatting>
  <conditionalFormatting sqref="Q715:R715">
    <cfRule type="duplicateValues" dxfId="5232" priority="5327"/>
  </conditionalFormatting>
  <conditionalFormatting sqref="Q715:R715">
    <cfRule type="duplicateValues" dxfId="5231" priority="5324"/>
    <cfRule type="duplicateValues" dxfId="5230" priority="5325"/>
    <cfRule type="duplicateValues" dxfId="5229" priority="5326"/>
  </conditionalFormatting>
  <conditionalFormatting sqref="R715">
    <cfRule type="duplicateValues" dxfId="5228" priority="5323"/>
  </conditionalFormatting>
  <conditionalFormatting sqref="Q715:R715">
    <cfRule type="duplicateValues" dxfId="5227" priority="5322"/>
  </conditionalFormatting>
  <conditionalFormatting sqref="Q715">
    <cfRule type="duplicateValues" dxfId="5226" priority="5321"/>
  </conditionalFormatting>
  <conditionalFormatting sqref="Q715">
    <cfRule type="duplicateValues" dxfId="5225" priority="5320"/>
  </conditionalFormatting>
  <conditionalFormatting sqref="Q715">
    <cfRule type="duplicateValues" dxfId="5224" priority="5319"/>
  </conditionalFormatting>
  <conditionalFormatting sqref="Q715">
    <cfRule type="duplicateValues" dxfId="5223" priority="5318"/>
  </conditionalFormatting>
  <conditionalFormatting sqref="R715">
    <cfRule type="duplicateValues" dxfId="5222" priority="5317"/>
  </conditionalFormatting>
  <conditionalFormatting sqref="Q715">
    <cfRule type="duplicateValues" dxfId="5221" priority="5315"/>
    <cfRule type="duplicateValues" dxfId="5220" priority="5316"/>
  </conditionalFormatting>
  <conditionalFormatting sqref="Q715">
    <cfRule type="duplicateValues" dxfId="5219" priority="5314"/>
  </conditionalFormatting>
  <conditionalFormatting sqref="Q715">
    <cfRule type="duplicateValues" dxfId="5218" priority="5313"/>
  </conditionalFormatting>
  <conditionalFormatting sqref="Q715">
    <cfRule type="duplicateValues" dxfId="5217" priority="5312"/>
  </conditionalFormatting>
  <conditionalFormatting sqref="Q715">
    <cfRule type="duplicateValues" dxfId="5216" priority="5311"/>
  </conditionalFormatting>
  <conditionalFormatting sqref="Q715">
    <cfRule type="duplicateValues" dxfId="5215" priority="5310"/>
  </conditionalFormatting>
  <conditionalFormatting sqref="Q715">
    <cfRule type="duplicateValues" dxfId="5214" priority="5309"/>
  </conditionalFormatting>
  <conditionalFormatting sqref="Q715">
    <cfRule type="duplicateValues" dxfId="5213" priority="5308"/>
  </conditionalFormatting>
  <conditionalFormatting sqref="Q715">
    <cfRule type="duplicateValues" dxfId="5212" priority="5307"/>
  </conditionalFormatting>
  <conditionalFormatting sqref="Q715">
    <cfRule type="duplicateValues" dxfId="5211" priority="5306"/>
  </conditionalFormatting>
  <conditionalFormatting sqref="Q715">
    <cfRule type="duplicateValues" dxfId="5210" priority="5305"/>
  </conditionalFormatting>
  <conditionalFormatting sqref="R715">
    <cfRule type="duplicateValues" dxfId="5209" priority="5304"/>
  </conditionalFormatting>
  <conditionalFormatting sqref="R715">
    <cfRule type="duplicateValues" dxfId="5208" priority="5301"/>
    <cfRule type="duplicateValues" dxfId="5207" priority="5302"/>
    <cfRule type="duplicateValues" dxfId="5206" priority="5303"/>
  </conditionalFormatting>
  <conditionalFormatting sqref="R715">
    <cfRule type="duplicateValues" dxfId="5205" priority="5300"/>
  </conditionalFormatting>
  <conditionalFormatting sqref="R715">
    <cfRule type="duplicateValues" dxfId="5204" priority="5297"/>
    <cfRule type="duplicateValues" dxfId="5203" priority="5298"/>
    <cfRule type="duplicateValues" dxfId="5202" priority="5299"/>
  </conditionalFormatting>
  <conditionalFormatting sqref="Q715">
    <cfRule type="duplicateValues" dxfId="5201" priority="5296"/>
  </conditionalFormatting>
  <conditionalFormatting sqref="Q715">
    <cfRule type="duplicateValues" dxfId="5200" priority="5295"/>
  </conditionalFormatting>
  <conditionalFormatting sqref="Q715">
    <cfRule type="duplicateValues" dxfId="5199" priority="5294"/>
  </conditionalFormatting>
  <conditionalFormatting sqref="Q716:R717">
    <cfRule type="duplicateValues" dxfId="5198" priority="5293"/>
  </conditionalFormatting>
  <conditionalFormatting sqref="Q716:R717">
    <cfRule type="duplicateValues" dxfId="5197" priority="5290"/>
    <cfRule type="duplicateValues" dxfId="5196" priority="5291"/>
    <cfRule type="duplicateValues" dxfId="5195" priority="5292"/>
  </conditionalFormatting>
  <conditionalFormatting sqref="R716:R717">
    <cfRule type="duplicateValues" dxfId="5194" priority="5289"/>
  </conditionalFormatting>
  <conditionalFormatting sqref="Q716:R717">
    <cfRule type="duplicateValues" dxfId="5193" priority="5288"/>
  </conditionalFormatting>
  <conditionalFormatting sqref="Q716:Q717">
    <cfRule type="duplicateValues" dxfId="5192" priority="5287"/>
  </conditionalFormatting>
  <conditionalFormatting sqref="Q716:Q717">
    <cfRule type="duplicateValues" dxfId="5191" priority="5286"/>
  </conditionalFormatting>
  <conditionalFormatting sqref="Q716:Q717">
    <cfRule type="duplicateValues" dxfId="5190" priority="5285"/>
  </conditionalFormatting>
  <conditionalFormatting sqref="Q716:Q717">
    <cfRule type="duplicateValues" dxfId="5189" priority="5284"/>
  </conditionalFormatting>
  <conditionalFormatting sqref="R716:R717">
    <cfRule type="duplicateValues" dxfId="5188" priority="5283"/>
  </conditionalFormatting>
  <conditionalFormatting sqref="Q716:Q717">
    <cfRule type="duplicateValues" dxfId="5187" priority="5281"/>
    <cfRule type="duplicateValues" dxfId="5186" priority="5282"/>
  </conditionalFormatting>
  <conditionalFormatting sqref="Q716:Q717">
    <cfRule type="duplicateValues" dxfId="5185" priority="5280"/>
  </conditionalFormatting>
  <conditionalFormatting sqref="Q716:Q717">
    <cfRule type="duplicateValues" dxfId="5184" priority="5279"/>
  </conditionalFormatting>
  <conditionalFormatting sqref="Q716:Q717">
    <cfRule type="duplicateValues" dxfId="5183" priority="5278"/>
  </conditionalFormatting>
  <conditionalFormatting sqref="Q716:Q717">
    <cfRule type="duplicateValues" dxfId="5182" priority="5277"/>
  </conditionalFormatting>
  <conditionalFormatting sqref="Q716:Q717">
    <cfRule type="duplicateValues" dxfId="5181" priority="5276"/>
  </conditionalFormatting>
  <conditionalFormatting sqref="Q716:Q717">
    <cfRule type="duplicateValues" dxfId="5180" priority="5275"/>
  </conditionalFormatting>
  <conditionalFormatting sqref="Q716:Q717">
    <cfRule type="duplicateValues" dxfId="5179" priority="5274"/>
  </conditionalFormatting>
  <conditionalFormatting sqref="Q716:Q717">
    <cfRule type="duplicateValues" dxfId="5178" priority="5273"/>
  </conditionalFormatting>
  <conditionalFormatting sqref="Q716:Q717">
    <cfRule type="duplicateValues" dxfId="5177" priority="5272"/>
  </conditionalFormatting>
  <conditionalFormatting sqref="Q716:Q717">
    <cfRule type="duplicateValues" dxfId="5176" priority="5271"/>
  </conditionalFormatting>
  <conditionalFormatting sqref="R716:R717">
    <cfRule type="duplicateValues" dxfId="5175" priority="5270"/>
  </conditionalFormatting>
  <conditionalFormatting sqref="R716:R717">
    <cfRule type="duplicateValues" dxfId="5174" priority="5267"/>
    <cfRule type="duplicateValues" dxfId="5173" priority="5268"/>
    <cfRule type="duplicateValues" dxfId="5172" priority="5269"/>
  </conditionalFormatting>
  <conditionalFormatting sqref="R716:R717">
    <cfRule type="duplicateValues" dxfId="5171" priority="5266"/>
  </conditionalFormatting>
  <conditionalFormatting sqref="R716:R717">
    <cfRule type="duplicateValues" dxfId="5170" priority="5263"/>
    <cfRule type="duplicateValues" dxfId="5169" priority="5264"/>
    <cfRule type="duplicateValues" dxfId="5168" priority="5265"/>
  </conditionalFormatting>
  <conditionalFormatting sqref="Q716:Q717">
    <cfRule type="duplicateValues" dxfId="5167" priority="5262"/>
  </conditionalFormatting>
  <conditionalFormatting sqref="Q716:Q717">
    <cfRule type="duplicateValues" dxfId="5166" priority="5261"/>
  </conditionalFormatting>
  <conditionalFormatting sqref="Q716:Q717">
    <cfRule type="duplicateValues" dxfId="5165" priority="5260"/>
  </conditionalFormatting>
  <conditionalFormatting sqref="Q718:Q719">
    <cfRule type="duplicateValues" dxfId="5164" priority="5259"/>
  </conditionalFormatting>
  <conditionalFormatting sqref="Q718:Q719">
    <cfRule type="duplicateValues" dxfId="5163" priority="5258"/>
  </conditionalFormatting>
  <conditionalFormatting sqref="Q718:Q719">
    <cfRule type="duplicateValues" dxfId="5162" priority="5257"/>
  </conditionalFormatting>
  <conditionalFormatting sqref="R718:R719">
    <cfRule type="duplicateValues" dxfId="5161" priority="5256"/>
  </conditionalFormatting>
  <conditionalFormatting sqref="R718:R719">
    <cfRule type="duplicateValues" dxfId="5160" priority="5253"/>
    <cfRule type="duplicateValues" dxfId="5159" priority="5254"/>
    <cfRule type="duplicateValues" dxfId="5158" priority="5255"/>
  </conditionalFormatting>
  <conditionalFormatting sqref="Q720">
    <cfRule type="duplicateValues" dxfId="5157" priority="5252"/>
  </conditionalFormatting>
  <conditionalFormatting sqref="Q720">
    <cfRule type="duplicateValues" dxfId="5156" priority="5251"/>
  </conditionalFormatting>
  <conditionalFormatting sqref="Q720">
    <cfRule type="duplicateValues" dxfId="5155" priority="5250"/>
  </conditionalFormatting>
  <conditionalFormatting sqref="R720">
    <cfRule type="duplicateValues" dxfId="5154" priority="5249"/>
  </conditionalFormatting>
  <conditionalFormatting sqref="R720">
    <cfRule type="duplicateValues" dxfId="5153" priority="5246"/>
    <cfRule type="duplicateValues" dxfId="5152" priority="5247"/>
    <cfRule type="duplicateValues" dxfId="5151" priority="5248"/>
  </conditionalFormatting>
  <conditionalFormatting sqref="Q721">
    <cfRule type="duplicateValues" dxfId="5150" priority="5245"/>
  </conditionalFormatting>
  <conditionalFormatting sqref="Q721">
    <cfRule type="duplicateValues" dxfId="5149" priority="5244"/>
  </conditionalFormatting>
  <conditionalFormatting sqref="Q721">
    <cfRule type="duplicateValues" dxfId="5148" priority="5243"/>
  </conditionalFormatting>
  <conditionalFormatting sqref="Q721">
    <cfRule type="duplicateValues" dxfId="5147" priority="5242"/>
  </conditionalFormatting>
  <conditionalFormatting sqref="Q721">
    <cfRule type="duplicateValues" dxfId="5146" priority="5241"/>
  </conditionalFormatting>
  <conditionalFormatting sqref="Q721">
    <cfRule type="duplicateValues" dxfId="5145" priority="5240"/>
  </conditionalFormatting>
  <conditionalFormatting sqref="Q721:R721">
    <cfRule type="duplicateValues" dxfId="5144" priority="5239"/>
  </conditionalFormatting>
  <conditionalFormatting sqref="Q721:R721">
    <cfRule type="duplicateValues" dxfId="5143" priority="5236"/>
    <cfRule type="duplicateValues" dxfId="5142" priority="5237"/>
    <cfRule type="duplicateValues" dxfId="5141" priority="5238"/>
  </conditionalFormatting>
  <conditionalFormatting sqref="R721">
    <cfRule type="duplicateValues" dxfId="5140" priority="5235"/>
  </conditionalFormatting>
  <conditionalFormatting sqref="Q721">
    <cfRule type="duplicateValues" dxfId="5139" priority="5234"/>
  </conditionalFormatting>
  <conditionalFormatting sqref="Q721">
    <cfRule type="duplicateValues" dxfId="5138" priority="5231"/>
    <cfRule type="duplicateValues" dxfId="5137" priority="5232"/>
    <cfRule type="duplicateValues" dxfId="5136" priority="5233"/>
  </conditionalFormatting>
  <conditionalFormatting sqref="R721">
    <cfRule type="duplicateValues" dxfId="5135" priority="5228"/>
    <cfRule type="duplicateValues" dxfId="5134" priority="5229"/>
    <cfRule type="duplicateValues" dxfId="5133" priority="5230"/>
  </conditionalFormatting>
  <conditionalFormatting sqref="Q721">
    <cfRule type="duplicateValues" dxfId="5132" priority="5226"/>
    <cfRule type="duplicateValues" dxfId="5131" priority="5227"/>
  </conditionalFormatting>
  <conditionalFormatting sqref="Q722">
    <cfRule type="duplicateValues" dxfId="5130" priority="5225"/>
  </conditionalFormatting>
  <conditionalFormatting sqref="Q722">
    <cfRule type="duplicateValues" dxfId="5129" priority="5224"/>
  </conditionalFormatting>
  <conditionalFormatting sqref="Q722:R722">
    <cfRule type="duplicateValues" dxfId="5128" priority="5223"/>
  </conditionalFormatting>
  <conditionalFormatting sqref="Q722:R722">
    <cfRule type="duplicateValues" dxfId="5127" priority="5220"/>
    <cfRule type="duplicateValues" dxfId="5126" priority="5221"/>
    <cfRule type="duplicateValues" dxfId="5125" priority="5222"/>
  </conditionalFormatting>
  <conditionalFormatting sqref="R722">
    <cfRule type="duplicateValues" dxfId="5124" priority="5219"/>
  </conditionalFormatting>
  <conditionalFormatting sqref="Q722">
    <cfRule type="duplicateValues" dxfId="5123" priority="5218"/>
  </conditionalFormatting>
  <conditionalFormatting sqref="Q722">
    <cfRule type="duplicateValues" dxfId="5122" priority="5215"/>
    <cfRule type="duplicateValues" dxfId="5121" priority="5216"/>
    <cfRule type="duplicateValues" dxfId="5120" priority="5217"/>
  </conditionalFormatting>
  <conditionalFormatting sqref="R722">
    <cfRule type="duplicateValues" dxfId="5119" priority="5212"/>
    <cfRule type="duplicateValues" dxfId="5118" priority="5213"/>
    <cfRule type="duplicateValues" dxfId="5117" priority="5214"/>
  </conditionalFormatting>
  <conditionalFormatting sqref="Q722">
    <cfRule type="duplicateValues" dxfId="5116" priority="5210"/>
    <cfRule type="duplicateValues" dxfId="5115" priority="5211"/>
  </conditionalFormatting>
  <conditionalFormatting sqref="Q722">
    <cfRule type="duplicateValues" dxfId="5114" priority="5209"/>
  </conditionalFormatting>
  <conditionalFormatting sqref="Q722">
    <cfRule type="duplicateValues" dxfId="5113" priority="5208"/>
  </conditionalFormatting>
  <conditionalFormatting sqref="Q722">
    <cfRule type="duplicateValues" dxfId="5112" priority="5207"/>
  </conditionalFormatting>
  <conditionalFormatting sqref="Q723:Q724">
    <cfRule type="duplicateValues" dxfId="5111" priority="5199"/>
  </conditionalFormatting>
  <conditionalFormatting sqref="R723:R724">
    <cfRule type="duplicateValues" dxfId="5110" priority="5198"/>
  </conditionalFormatting>
  <conditionalFormatting sqref="R723:R724">
    <cfRule type="duplicateValues" dxfId="5109" priority="5195"/>
    <cfRule type="duplicateValues" dxfId="5108" priority="5196"/>
    <cfRule type="duplicateValues" dxfId="5107" priority="5197"/>
  </conditionalFormatting>
  <conditionalFormatting sqref="Q723:Q724">
    <cfRule type="duplicateValues" dxfId="5106" priority="5194"/>
  </conditionalFormatting>
  <conditionalFormatting sqref="Q723:Q724">
    <cfRule type="duplicateValues" dxfId="5105" priority="5193"/>
  </conditionalFormatting>
  <conditionalFormatting sqref="R725">
    <cfRule type="duplicateValues" dxfId="5104" priority="5192"/>
  </conditionalFormatting>
  <conditionalFormatting sqref="Q725">
    <cfRule type="duplicateValues" dxfId="5103" priority="5190"/>
    <cfRule type="duplicateValues" dxfId="5102" priority="5191"/>
  </conditionalFormatting>
  <conditionalFormatting sqref="Q725">
    <cfRule type="duplicateValues" dxfId="5101" priority="5189"/>
  </conditionalFormatting>
  <conditionalFormatting sqref="Q725">
    <cfRule type="duplicateValues" dxfId="5100" priority="5188"/>
  </conditionalFormatting>
  <conditionalFormatting sqref="Q725">
    <cfRule type="duplicateValues" dxfId="5099" priority="5187"/>
  </conditionalFormatting>
  <conditionalFormatting sqref="Q725">
    <cfRule type="duplicateValues" dxfId="5098" priority="5186"/>
  </conditionalFormatting>
  <conditionalFormatting sqref="Q725">
    <cfRule type="duplicateValues" dxfId="5097" priority="5185"/>
  </conditionalFormatting>
  <conditionalFormatting sqref="Q725">
    <cfRule type="duplicateValues" dxfId="5096" priority="5184"/>
  </conditionalFormatting>
  <conditionalFormatting sqref="Q725">
    <cfRule type="duplicateValues" dxfId="5095" priority="5183"/>
  </conditionalFormatting>
  <conditionalFormatting sqref="Q725">
    <cfRule type="duplicateValues" dxfId="5094" priority="5182"/>
  </conditionalFormatting>
  <conditionalFormatting sqref="Q725">
    <cfRule type="duplicateValues" dxfId="5093" priority="5181"/>
  </conditionalFormatting>
  <conditionalFormatting sqref="Q725">
    <cfRule type="duplicateValues" dxfId="5092" priority="5178"/>
    <cfRule type="duplicateValues" dxfId="5091" priority="5179"/>
    <cfRule type="duplicateValues" dxfId="5090" priority="5180"/>
  </conditionalFormatting>
  <conditionalFormatting sqref="R725">
    <cfRule type="duplicateValues" dxfId="5089" priority="5177"/>
  </conditionalFormatting>
  <conditionalFormatting sqref="R725">
    <cfRule type="duplicateValues" dxfId="5088" priority="5174"/>
    <cfRule type="duplicateValues" dxfId="5087" priority="5175"/>
    <cfRule type="duplicateValues" dxfId="5086" priority="5176"/>
  </conditionalFormatting>
  <conditionalFormatting sqref="Q725">
    <cfRule type="duplicateValues" dxfId="5085" priority="5173"/>
  </conditionalFormatting>
  <conditionalFormatting sqref="Q725">
    <cfRule type="duplicateValues" dxfId="5084" priority="5172"/>
  </conditionalFormatting>
  <conditionalFormatting sqref="Q725">
    <cfRule type="duplicateValues" dxfId="5083" priority="5171"/>
  </conditionalFormatting>
  <conditionalFormatting sqref="Q726:R726">
    <cfRule type="duplicateValues" dxfId="5082" priority="5170"/>
  </conditionalFormatting>
  <conditionalFormatting sqref="Q726">
    <cfRule type="duplicateValues" dxfId="5081" priority="5169"/>
  </conditionalFormatting>
  <conditionalFormatting sqref="Q726">
    <cfRule type="duplicateValues" dxfId="5080" priority="5168"/>
  </conditionalFormatting>
  <conditionalFormatting sqref="Q726">
    <cfRule type="duplicateValues" dxfId="5079" priority="5167"/>
  </conditionalFormatting>
  <conditionalFormatting sqref="Q726">
    <cfRule type="duplicateValues" dxfId="5078" priority="5166"/>
  </conditionalFormatting>
  <conditionalFormatting sqref="R726">
    <cfRule type="duplicateValues" dxfId="5077" priority="5165"/>
  </conditionalFormatting>
  <conditionalFormatting sqref="Q726">
    <cfRule type="duplicateValues" dxfId="5076" priority="5163"/>
    <cfRule type="duplicateValues" dxfId="5075" priority="5164"/>
  </conditionalFormatting>
  <conditionalFormatting sqref="Q726">
    <cfRule type="duplicateValues" dxfId="5074" priority="5162"/>
  </conditionalFormatting>
  <conditionalFormatting sqref="Q726">
    <cfRule type="duplicateValues" dxfId="5073" priority="5161"/>
  </conditionalFormatting>
  <conditionalFormatting sqref="Q726">
    <cfRule type="duplicateValues" dxfId="5072" priority="5160"/>
  </conditionalFormatting>
  <conditionalFormatting sqref="Q726">
    <cfRule type="duplicateValues" dxfId="5071" priority="5159"/>
  </conditionalFormatting>
  <conditionalFormatting sqref="Q726">
    <cfRule type="duplicateValues" dxfId="5070" priority="5158"/>
  </conditionalFormatting>
  <conditionalFormatting sqref="Q726">
    <cfRule type="duplicateValues" dxfId="5069" priority="5157"/>
  </conditionalFormatting>
  <conditionalFormatting sqref="Q726">
    <cfRule type="duplicateValues" dxfId="5068" priority="5156"/>
  </conditionalFormatting>
  <conditionalFormatting sqref="Q726">
    <cfRule type="duplicateValues" dxfId="5067" priority="5155"/>
  </conditionalFormatting>
  <conditionalFormatting sqref="Q726:R726">
    <cfRule type="duplicateValues" dxfId="5066" priority="5154"/>
  </conditionalFormatting>
  <conditionalFormatting sqref="Q726">
    <cfRule type="duplicateValues" dxfId="5065" priority="5153"/>
  </conditionalFormatting>
  <conditionalFormatting sqref="R726">
    <cfRule type="duplicateValues" dxfId="5064" priority="5152"/>
  </conditionalFormatting>
  <conditionalFormatting sqref="Q726:R726">
    <cfRule type="duplicateValues" dxfId="5063" priority="5149"/>
    <cfRule type="duplicateValues" dxfId="5062" priority="5150"/>
    <cfRule type="duplicateValues" dxfId="5061" priority="5151"/>
  </conditionalFormatting>
  <conditionalFormatting sqref="Q726">
    <cfRule type="duplicateValues" dxfId="5060" priority="5148"/>
  </conditionalFormatting>
  <conditionalFormatting sqref="Q726">
    <cfRule type="duplicateValues" dxfId="5059" priority="5147"/>
  </conditionalFormatting>
  <conditionalFormatting sqref="Q726">
    <cfRule type="duplicateValues" dxfId="5058" priority="5146"/>
  </conditionalFormatting>
  <conditionalFormatting sqref="Q727">
    <cfRule type="duplicateValues" dxfId="5057" priority="5145"/>
  </conditionalFormatting>
  <conditionalFormatting sqref="Q727">
    <cfRule type="duplicateValues" dxfId="5056" priority="5144"/>
  </conditionalFormatting>
  <conditionalFormatting sqref="Q727">
    <cfRule type="duplicateValues" dxfId="5055" priority="5143"/>
  </conditionalFormatting>
  <conditionalFormatting sqref="Q727">
    <cfRule type="duplicateValues" dxfId="5054" priority="5142"/>
  </conditionalFormatting>
  <conditionalFormatting sqref="R727">
    <cfRule type="duplicateValues" dxfId="5053" priority="5141"/>
  </conditionalFormatting>
  <conditionalFormatting sqref="Q727">
    <cfRule type="duplicateValues" dxfId="5052" priority="5139"/>
    <cfRule type="duplicateValues" dxfId="5051" priority="5140"/>
  </conditionalFormatting>
  <conditionalFormatting sqref="Q727">
    <cfRule type="duplicateValues" dxfId="5050" priority="5138"/>
  </conditionalFormatting>
  <conditionalFormatting sqref="Q727">
    <cfRule type="duplicateValues" dxfId="5049" priority="5137"/>
  </conditionalFormatting>
  <conditionalFormatting sqref="Q727">
    <cfRule type="duplicateValues" dxfId="5048" priority="5136"/>
  </conditionalFormatting>
  <conditionalFormatting sqref="Q727">
    <cfRule type="duplicateValues" dxfId="5047" priority="5135"/>
  </conditionalFormatting>
  <conditionalFormatting sqref="Q727">
    <cfRule type="duplicateValues" dxfId="5046" priority="5134"/>
  </conditionalFormatting>
  <conditionalFormatting sqref="Q727">
    <cfRule type="duplicateValues" dxfId="5045" priority="5133"/>
  </conditionalFormatting>
  <conditionalFormatting sqref="Q727">
    <cfRule type="duplicateValues" dxfId="5044" priority="5132"/>
  </conditionalFormatting>
  <conditionalFormatting sqref="Q727">
    <cfRule type="duplicateValues" dxfId="5043" priority="5131"/>
  </conditionalFormatting>
  <conditionalFormatting sqref="Q727:R727">
    <cfRule type="duplicateValues" dxfId="5042" priority="5130"/>
  </conditionalFormatting>
  <conditionalFormatting sqref="Q727">
    <cfRule type="duplicateValues" dxfId="5041" priority="5129"/>
  </conditionalFormatting>
  <conditionalFormatting sqref="R727">
    <cfRule type="duplicateValues" dxfId="5040" priority="5128"/>
  </conditionalFormatting>
  <conditionalFormatting sqref="Q727:R727">
    <cfRule type="duplicateValues" dxfId="5039" priority="5125"/>
    <cfRule type="duplicateValues" dxfId="5038" priority="5126"/>
    <cfRule type="duplicateValues" dxfId="5037" priority="5127"/>
  </conditionalFormatting>
  <conditionalFormatting sqref="Q727">
    <cfRule type="duplicateValues" dxfId="5036" priority="5124"/>
  </conditionalFormatting>
  <conditionalFormatting sqref="Q727">
    <cfRule type="duplicateValues" dxfId="5035" priority="5123"/>
  </conditionalFormatting>
  <conditionalFormatting sqref="Q727">
    <cfRule type="duplicateValues" dxfId="5034" priority="5122"/>
  </conditionalFormatting>
  <conditionalFormatting sqref="Q728">
    <cfRule type="duplicateValues" dxfId="5033" priority="5121"/>
  </conditionalFormatting>
  <conditionalFormatting sqref="Q728">
    <cfRule type="duplicateValues" dxfId="5032" priority="5120"/>
  </conditionalFormatting>
  <conditionalFormatting sqref="Q728">
    <cfRule type="duplicateValues" dxfId="5031" priority="5119"/>
  </conditionalFormatting>
  <conditionalFormatting sqref="Q728">
    <cfRule type="duplicateValues" dxfId="5030" priority="5118"/>
  </conditionalFormatting>
  <conditionalFormatting sqref="R728">
    <cfRule type="duplicateValues" dxfId="5029" priority="5117"/>
  </conditionalFormatting>
  <conditionalFormatting sqref="Q728">
    <cfRule type="duplicateValues" dxfId="5028" priority="5115"/>
    <cfRule type="duplicateValues" dxfId="5027" priority="5116"/>
  </conditionalFormatting>
  <conditionalFormatting sqref="Q728">
    <cfRule type="duplicateValues" dxfId="5026" priority="5114"/>
  </conditionalFormatting>
  <conditionalFormatting sqref="Q728">
    <cfRule type="duplicateValues" dxfId="5025" priority="5113"/>
  </conditionalFormatting>
  <conditionalFormatting sqref="Q728">
    <cfRule type="duplicateValues" dxfId="5024" priority="5112"/>
  </conditionalFormatting>
  <conditionalFormatting sqref="Q728">
    <cfRule type="duplicateValues" dxfId="5023" priority="5111"/>
  </conditionalFormatting>
  <conditionalFormatting sqref="Q728">
    <cfRule type="duplicateValues" dxfId="5022" priority="5110"/>
  </conditionalFormatting>
  <conditionalFormatting sqref="Q728">
    <cfRule type="duplicateValues" dxfId="5021" priority="5109"/>
  </conditionalFormatting>
  <conditionalFormatting sqref="Q728">
    <cfRule type="duplicateValues" dxfId="5020" priority="5108"/>
  </conditionalFormatting>
  <conditionalFormatting sqref="Q728">
    <cfRule type="duplicateValues" dxfId="5019" priority="5107"/>
  </conditionalFormatting>
  <conditionalFormatting sqref="Q728:R728">
    <cfRule type="duplicateValues" dxfId="5018" priority="5106"/>
  </conditionalFormatting>
  <conditionalFormatting sqref="Q728">
    <cfRule type="duplicateValues" dxfId="5017" priority="5105"/>
  </conditionalFormatting>
  <conditionalFormatting sqref="R728">
    <cfRule type="duplicateValues" dxfId="5016" priority="5104"/>
  </conditionalFormatting>
  <conditionalFormatting sqref="Q728:R728">
    <cfRule type="duplicateValues" dxfId="5015" priority="5101"/>
    <cfRule type="duplicateValues" dxfId="5014" priority="5102"/>
    <cfRule type="duplicateValues" dxfId="5013" priority="5103"/>
  </conditionalFormatting>
  <conditionalFormatting sqref="Q728">
    <cfRule type="duplicateValues" dxfId="5012" priority="5100"/>
  </conditionalFormatting>
  <conditionalFormatting sqref="Q728">
    <cfRule type="duplicateValues" dxfId="5011" priority="5099"/>
  </conditionalFormatting>
  <conditionalFormatting sqref="Q728">
    <cfRule type="duplicateValues" dxfId="5010" priority="5098"/>
  </conditionalFormatting>
  <conditionalFormatting sqref="Q729">
    <cfRule type="duplicateValues" dxfId="5009" priority="5097"/>
  </conditionalFormatting>
  <conditionalFormatting sqref="Q729">
    <cfRule type="duplicateValues" dxfId="5008" priority="5096"/>
  </conditionalFormatting>
  <conditionalFormatting sqref="Q729">
    <cfRule type="duplicateValues" dxfId="5007" priority="5095"/>
  </conditionalFormatting>
  <conditionalFormatting sqref="Q729">
    <cfRule type="duplicateValues" dxfId="5006" priority="5094"/>
  </conditionalFormatting>
  <conditionalFormatting sqref="Q729">
    <cfRule type="duplicateValues" dxfId="5005" priority="5093"/>
  </conditionalFormatting>
  <conditionalFormatting sqref="Q729">
    <cfRule type="duplicateValues" dxfId="5004" priority="5092"/>
  </conditionalFormatting>
  <conditionalFormatting sqref="Q729">
    <cfRule type="duplicateValues" dxfId="5003" priority="5091"/>
  </conditionalFormatting>
  <conditionalFormatting sqref="Q729:R729">
    <cfRule type="duplicateValues" dxfId="5002" priority="5090"/>
  </conditionalFormatting>
  <conditionalFormatting sqref="Q729:R729">
    <cfRule type="duplicateValues" dxfId="5001" priority="5087"/>
    <cfRule type="duplicateValues" dxfId="5000" priority="5088"/>
    <cfRule type="duplicateValues" dxfId="4999" priority="5089"/>
  </conditionalFormatting>
  <conditionalFormatting sqref="R729">
    <cfRule type="duplicateValues" dxfId="4998" priority="5086"/>
  </conditionalFormatting>
  <conditionalFormatting sqref="Q729">
    <cfRule type="duplicateValues" dxfId="4997" priority="5085"/>
  </conditionalFormatting>
  <conditionalFormatting sqref="Q729">
    <cfRule type="duplicateValues" dxfId="4996" priority="5082"/>
    <cfRule type="duplicateValues" dxfId="4995" priority="5083"/>
    <cfRule type="duplicateValues" dxfId="4994" priority="5084"/>
  </conditionalFormatting>
  <conditionalFormatting sqref="R729">
    <cfRule type="duplicateValues" dxfId="4993" priority="5079"/>
    <cfRule type="duplicateValues" dxfId="4992" priority="5080"/>
    <cfRule type="duplicateValues" dxfId="4991" priority="5081"/>
  </conditionalFormatting>
  <conditionalFormatting sqref="Q729">
    <cfRule type="duplicateValues" dxfId="4990" priority="5077"/>
    <cfRule type="duplicateValues" dxfId="4989" priority="5078"/>
  </conditionalFormatting>
  <conditionalFormatting sqref="Q729">
    <cfRule type="duplicateValues" dxfId="4988" priority="5076"/>
  </conditionalFormatting>
  <conditionalFormatting sqref="Q729">
    <cfRule type="duplicateValues" dxfId="4987" priority="5075"/>
  </conditionalFormatting>
  <conditionalFormatting sqref="Q729">
    <cfRule type="duplicateValues" dxfId="4986" priority="5074"/>
  </conditionalFormatting>
  <conditionalFormatting sqref="Q730:R730">
    <cfRule type="duplicateValues" dxfId="4985" priority="5073"/>
  </conditionalFormatting>
  <conditionalFormatting sqref="Q730:R730">
    <cfRule type="duplicateValues" dxfId="4984" priority="5070"/>
    <cfRule type="duplicateValues" dxfId="4983" priority="5071"/>
    <cfRule type="duplicateValues" dxfId="4982" priority="5072"/>
  </conditionalFormatting>
  <conditionalFormatting sqref="R730">
    <cfRule type="duplicateValues" dxfId="4981" priority="5069"/>
  </conditionalFormatting>
  <conditionalFormatting sqref="Q730:R730">
    <cfRule type="duplicateValues" dxfId="4980" priority="5068"/>
  </conditionalFormatting>
  <conditionalFormatting sqref="Q730">
    <cfRule type="duplicateValues" dxfId="4979" priority="5067"/>
  </conditionalFormatting>
  <conditionalFormatting sqref="Q730">
    <cfRule type="duplicateValues" dxfId="4978" priority="5066"/>
  </conditionalFormatting>
  <conditionalFormatting sqref="Q730">
    <cfRule type="duplicateValues" dxfId="4977" priority="5065"/>
  </conditionalFormatting>
  <conditionalFormatting sqref="Q730">
    <cfRule type="duplicateValues" dxfId="4976" priority="5064"/>
  </conditionalFormatting>
  <conditionalFormatting sqref="R730">
    <cfRule type="duplicateValues" dxfId="4975" priority="5063"/>
  </conditionalFormatting>
  <conditionalFormatting sqref="Q730">
    <cfRule type="duplicateValues" dxfId="4974" priority="5061"/>
    <cfRule type="duplicateValues" dxfId="4973" priority="5062"/>
  </conditionalFormatting>
  <conditionalFormatting sqref="Q730">
    <cfRule type="duplicateValues" dxfId="4972" priority="5060"/>
  </conditionalFormatting>
  <conditionalFormatting sqref="Q730">
    <cfRule type="duplicateValues" dxfId="4971" priority="5059"/>
  </conditionalFormatting>
  <conditionalFormatting sqref="Q730">
    <cfRule type="duplicateValues" dxfId="4970" priority="5058"/>
  </conditionalFormatting>
  <conditionalFormatting sqref="Q730">
    <cfRule type="duplicateValues" dxfId="4969" priority="5057"/>
  </conditionalFormatting>
  <conditionalFormatting sqref="Q730">
    <cfRule type="duplicateValues" dxfId="4968" priority="5056"/>
  </conditionalFormatting>
  <conditionalFormatting sqref="Q730">
    <cfRule type="duplicateValues" dxfId="4967" priority="5055"/>
  </conditionalFormatting>
  <conditionalFormatting sqref="Q730">
    <cfRule type="duplicateValues" dxfId="4966" priority="5054"/>
  </conditionalFormatting>
  <conditionalFormatting sqref="Q730">
    <cfRule type="duplicateValues" dxfId="4965" priority="5053"/>
  </conditionalFormatting>
  <conditionalFormatting sqref="Q730:R730">
    <cfRule type="duplicateValues" dxfId="4964" priority="5052"/>
  </conditionalFormatting>
  <conditionalFormatting sqref="Q730">
    <cfRule type="duplicateValues" dxfId="4963" priority="5051"/>
  </conditionalFormatting>
  <conditionalFormatting sqref="R730">
    <cfRule type="duplicateValues" dxfId="4962" priority="5050"/>
  </conditionalFormatting>
  <conditionalFormatting sqref="Q730">
    <cfRule type="duplicateValues" dxfId="4961" priority="5049"/>
  </conditionalFormatting>
  <conditionalFormatting sqref="Q730">
    <cfRule type="duplicateValues" dxfId="4960" priority="5048"/>
  </conditionalFormatting>
  <conditionalFormatting sqref="Q730">
    <cfRule type="duplicateValues" dxfId="4959" priority="5047"/>
  </conditionalFormatting>
  <conditionalFormatting sqref="Q731:R732">
    <cfRule type="duplicateValues" dxfId="4958" priority="5043"/>
  </conditionalFormatting>
  <conditionalFormatting sqref="Q731:R732">
    <cfRule type="duplicateValues" dxfId="4957" priority="5040"/>
    <cfRule type="duplicateValues" dxfId="4956" priority="5041"/>
    <cfRule type="duplicateValues" dxfId="4955" priority="5042"/>
  </conditionalFormatting>
  <conditionalFormatting sqref="R731:R732">
    <cfRule type="duplicateValues" dxfId="4954" priority="5039"/>
  </conditionalFormatting>
  <conditionalFormatting sqref="Q731:R732">
    <cfRule type="duplicateValues" dxfId="4953" priority="5038"/>
  </conditionalFormatting>
  <conditionalFormatting sqref="Q731:Q732">
    <cfRule type="duplicateValues" dxfId="4952" priority="5037"/>
  </conditionalFormatting>
  <conditionalFormatting sqref="Q731:Q732">
    <cfRule type="duplicateValues" dxfId="4951" priority="5036"/>
  </conditionalFormatting>
  <conditionalFormatting sqref="Q731:Q732">
    <cfRule type="duplicateValues" dxfId="4950" priority="5035"/>
  </conditionalFormatting>
  <conditionalFormatting sqref="Q731:Q732">
    <cfRule type="duplicateValues" dxfId="4949" priority="5034"/>
  </conditionalFormatting>
  <conditionalFormatting sqref="R731:R732">
    <cfRule type="duplicateValues" dxfId="4948" priority="5033"/>
  </conditionalFormatting>
  <conditionalFormatting sqref="Q731:Q732">
    <cfRule type="duplicateValues" dxfId="4947" priority="5031"/>
    <cfRule type="duplicateValues" dxfId="4946" priority="5032"/>
  </conditionalFormatting>
  <conditionalFormatting sqref="Q731:Q732">
    <cfRule type="duplicateValues" dxfId="4945" priority="5030"/>
  </conditionalFormatting>
  <conditionalFormatting sqref="Q731:Q732">
    <cfRule type="duplicateValues" dxfId="4944" priority="5029"/>
  </conditionalFormatting>
  <conditionalFormatting sqref="Q731:Q732">
    <cfRule type="duplicateValues" dxfId="4943" priority="5028"/>
  </conditionalFormatting>
  <conditionalFormatting sqref="Q731:Q732">
    <cfRule type="duplicateValues" dxfId="4942" priority="5027"/>
  </conditionalFormatting>
  <conditionalFormatting sqref="Q731:Q732">
    <cfRule type="duplicateValues" dxfId="4941" priority="5026"/>
  </conditionalFormatting>
  <conditionalFormatting sqref="Q731:Q732">
    <cfRule type="duplicateValues" dxfId="4940" priority="5025"/>
  </conditionalFormatting>
  <conditionalFormatting sqref="Q731:Q732">
    <cfRule type="duplicateValues" dxfId="4939" priority="5024"/>
  </conditionalFormatting>
  <conditionalFormatting sqref="Q731:Q732">
    <cfRule type="duplicateValues" dxfId="4938" priority="5023"/>
  </conditionalFormatting>
  <conditionalFormatting sqref="Q731:R732">
    <cfRule type="duplicateValues" dxfId="4937" priority="5044"/>
  </conditionalFormatting>
  <conditionalFormatting sqref="Q731:Q732">
    <cfRule type="duplicateValues" dxfId="4936" priority="5045"/>
  </conditionalFormatting>
  <conditionalFormatting sqref="R731:R732">
    <cfRule type="duplicateValues" dxfId="4935" priority="5046"/>
  </conditionalFormatting>
  <conditionalFormatting sqref="Q731:Q732">
    <cfRule type="duplicateValues" dxfId="4934" priority="5022"/>
  </conditionalFormatting>
  <conditionalFormatting sqref="Q731:Q732">
    <cfRule type="duplicateValues" dxfId="4933" priority="5021"/>
  </conditionalFormatting>
  <conditionalFormatting sqref="Q731:Q732">
    <cfRule type="duplicateValues" dxfId="4932" priority="5020"/>
  </conditionalFormatting>
  <conditionalFormatting sqref="R733">
    <cfRule type="duplicateValues" dxfId="4931" priority="5019"/>
  </conditionalFormatting>
  <conditionalFormatting sqref="Q733">
    <cfRule type="duplicateValues" dxfId="4930" priority="5017"/>
    <cfRule type="duplicateValues" dxfId="4929" priority="5018"/>
  </conditionalFormatting>
  <conditionalFormatting sqref="Q733">
    <cfRule type="duplicateValues" dxfId="4928" priority="5016"/>
  </conditionalFormatting>
  <conditionalFormatting sqref="Q733">
    <cfRule type="duplicateValues" dxfId="4927" priority="5015"/>
  </conditionalFormatting>
  <conditionalFormatting sqref="Q733">
    <cfRule type="duplicateValues" dxfId="4926" priority="5014"/>
  </conditionalFormatting>
  <conditionalFormatting sqref="Q733">
    <cfRule type="duplicateValues" dxfId="4925" priority="5013"/>
  </conditionalFormatting>
  <conditionalFormatting sqref="Q733">
    <cfRule type="duplicateValues" dxfId="4924" priority="5012"/>
  </conditionalFormatting>
  <conditionalFormatting sqref="Q733">
    <cfRule type="duplicateValues" dxfId="4923" priority="5011"/>
  </conditionalFormatting>
  <conditionalFormatting sqref="Q733">
    <cfRule type="duplicateValues" dxfId="4922" priority="5010"/>
  </conditionalFormatting>
  <conditionalFormatting sqref="Q733">
    <cfRule type="duplicateValues" dxfId="4921" priority="5009"/>
  </conditionalFormatting>
  <conditionalFormatting sqref="Q733:R733">
    <cfRule type="duplicateValues" dxfId="4920" priority="5008"/>
  </conditionalFormatting>
  <conditionalFormatting sqref="Q733:R733">
    <cfRule type="duplicateValues" dxfId="4919" priority="5005"/>
    <cfRule type="duplicateValues" dxfId="4918" priority="5006"/>
    <cfRule type="duplicateValues" dxfId="4917" priority="5007"/>
  </conditionalFormatting>
  <conditionalFormatting sqref="R733">
    <cfRule type="duplicateValues" dxfId="4916" priority="5004"/>
  </conditionalFormatting>
  <conditionalFormatting sqref="Q733">
    <cfRule type="duplicateValues" dxfId="4915" priority="5003"/>
  </conditionalFormatting>
  <conditionalFormatting sqref="Q733">
    <cfRule type="duplicateValues" dxfId="4914" priority="5000"/>
    <cfRule type="duplicateValues" dxfId="4913" priority="5001"/>
    <cfRule type="duplicateValues" dxfId="4912" priority="5002"/>
  </conditionalFormatting>
  <conditionalFormatting sqref="R733">
    <cfRule type="duplicateValues" dxfId="4911" priority="4997"/>
    <cfRule type="duplicateValues" dxfId="4910" priority="4998"/>
    <cfRule type="duplicateValues" dxfId="4909" priority="4999"/>
  </conditionalFormatting>
  <conditionalFormatting sqref="Q733">
    <cfRule type="duplicateValues" dxfId="4908" priority="4996"/>
  </conditionalFormatting>
  <conditionalFormatting sqref="Q733">
    <cfRule type="duplicateValues" dxfId="4907" priority="4995"/>
  </conditionalFormatting>
  <conditionalFormatting sqref="Q733">
    <cfRule type="duplicateValues" dxfId="4906" priority="4994"/>
  </conditionalFormatting>
  <conditionalFormatting sqref="Q735:R735">
    <cfRule type="duplicateValues" dxfId="4905" priority="4993"/>
  </conditionalFormatting>
  <conditionalFormatting sqref="Q735:R735">
    <cfRule type="duplicateValues" dxfId="4904" priority="4990"/>
    <cfRule type="duplicateValues" dxfId="4903" priority="4991"/>
    <cfRule type="duplicateValues" dxfId="4902" priority="4992"/>
  </conditionalFormatting>
  <conditionalFormatting sqref="R735">
    <cfRule type="duplicateValues" dxfId="4901" priority="4989"/>
  </conditionalFormatting>
  <conditionalFormatting sqref="Q735:R735">
    <cfRule type="duplicateValues" dxfId="4900" priority="4988"/>
  </conditionalFormatting>
  <conditionalFormatting sqref="Q735">
    <cfRule type="duplicateValues" dxfId="4899" priority="4987"/>
  </conditionalFormatting>
  <conditionalFormatting sqref="Q735">
    <cfRule type="duplicateValues" dxfId="4898" priority="4986"/>
  </conditionalFormatting>
  <conditionalFormatting sqref="Q735">
    <cfRule type="duplicateValues" dxfId="4897" priority="4985"/>
  </conditionalFormatting>
  <conditionalFormatting sqref="Q735">
    <cfRule type="duplicateValues" dxfId="4896" priority="4984"/>
  </conditionalFormatting>
  <conditionalFormatting sqref="R735">
    <cfRule type="duplicateValues" dxfId="4895" priority="4983"/>
  </conditionalFormatting>
  <conditionalFormatting sqref="Q735">
    <cfRule type="duplicateValues" dxfId="4894" priority="4981"/>
    <cfRule type="duplicateValues" dxfId="4893" priority="4982"/>
  </conditionalFormatting>
  <conditionalFormatting sqref="Q735">
    <cfRule type="duplicateValues" dxfId="4892" priority="4980"/>
  </conditionalFormatting>
  <conditionalFormatting sqref="Q735">
    <cfRule type="duplicateValues" dxfId="4891" priority="4979"/>
  </conditionalFormatting>
  <conditionalFormatting sqref="Q735">
    <cfRule type="duplicateValues" dxfId="4890" priority="4978"/>
  </conditionalFormatting>
  <conditionalFormatting sqref="Q735">
    <cfRule type="duplicateValues" dxfId="4889" priority="4977"/>
  </conditionalFormatting>
  <conditionalFormatting sqref="Q735">
    <cfRule type="duplicateValues" dxfId="4888" priority="4976"/>
  </conditionalFormatting>
  <conditionalFormatting sqref="Q735">
    <cfRule type="duplicateValues" dxfId="4887" priority="4975"/>
  </conditionalFormatting>
  <conditionalFormatting sqref="Q735">
    <cfRule type="duplicateValues" dxfId="4886" priority="4974"/>
  </conditionalFormatting>
  <conditionalFormatting sqref="Q735">
    <cfRule type="duplicateValues" dxfId="4885" priority="4973"/>
  </conditionalFormatting>
  <conditionalFormatting sqref="Q735">
    <cfRule type="duplicateValues" dxfId="4884" priority="4972"/>
  </conditionalFormatting>
  <conditionalFormatting sqref="Q735">
    <cfRule type="duplicateValues" dxfId="4883" priority="4971"/>
  </conditionalFormatting>
  <conditionalFormatting sqref="R735">
    <cfRule type="duplicateValues" dxfId="4882" priority="4970"/>
  </conditionalFormatting>
  <conditionalFormatting sqref="R735">
    <cfRule type="duplicateValues" dxfId="4881" priority="4967"/>
    <cfRule type="duplicateValues" dxfId="4880" priority="4968"/>
    <cfRule type="duplicateValues" dxfId="4879" priority="4969"/>
  </conditionalFormatting>
  <conditionalFormatting sqref="R735">
    <cfRule type="duplicateValues" dxfId="4878" priority="4966"/>
  </conditionalFormatting>
  <conditionalFormatting sqref="R735">
    <cfRule type="duplicateValues" dxfId="4877" priority="4963"/>
    <cfRule type="duplicateValues" dxfId="4876" priority="4964"/>
    <cfRule type="duplicateValues" dxfId="4875" priority="4965"/>
  </conditionalFormatting>
  <conditionalFormatting sqref="Q735">
    <cfRule type="duplicateValues" dxfId="4874" priority="4962"/>
  </conditionalFormatting>
  <conditionalFormatting sqref="Q735">
    <cfRule type="duplicateValues" dxfId="4873" priority="4961"/>
  </conditionalFormatting>
  <conditionalFormatting sqref="Q735">
    <cfRule type="duplicateValues" dxfId="4872" priority="4960"/>
  </conditionalFormatting>
  <conditionalFormatting sqref="R734">
    <cfRule type="duplicateValues" dxfId="4871" priority="4959"/>
  </conditionalFormatting>
  <conditionalFormatting sqref="Q734">
    <cfRule type="duplicateValues" dxfId="4870" priority="4957"/>
    <cfRule type="duplicateValues" dxfId="4869" priority="4958"/>
  </conditionalFormatting>
  <conditionalFormatting sqref="Q734">
    <cfRule type="duplicateValues" dxfId="4868" priority="4956"/>
  </conditionalFormatting>
  <conditionalFormatting sqref="Q734">
    <cfRule type="duplicateValues" dxfId="4867" priority="4955"/>
  </conditionalFormatting>
  <conditionalFormatting sqref="Q734">
    <cfRule type="duplicateValues" dxfId="4866" priority="4954"/>
  </conditionalFormatting>
  <conditionalFormatting sqref="Q734">
    <cfRule type="duplicateValues" dxfId="4865" priority="4953"/>
  </conditionalFormatting>
  <conditionalFormatting sqref="Q734">
    <cfRule type="duplicateValues" dxfId="4864" priority="4952"/>
  </conditionalFormatting>
  <conditionalFormatting sqref="Q734">
    <cfRule type="duplicateValues" dxfId="4863" priority="4951"/>
  </conditionalFormatting>
  <conditionalFormatting sqref="Q734:R734">
    <cfRule type="duplicateValues" dxfId="4862" priority="4950"/>
  </conditionalFormatting>
  <conditionalFormatting sqref="Q734">
    <cfRule type="duplicateValues" dxfId="4861" priority="4949"/>
  </conditionalFormatting>
  <conditionalFormatting sqref="R734">
    <cfRule type="duplicateValues" dxfId="4860" priority="4948"/>
  </conditionalFormatting>
  <conditionalFormatting sqref="Q734">
    <cfRule type="duplicateValues" dxfId="4859" priority="4947"/>
  </conditionalFormatting>
  <conditionalFormatting sqref="Q734">
    <cfRule type="duplicateValues" dxfId="4858" priority="4946"/>
  </conditionalFormatting>
  <conditionalFormatting sqref="Q734:R734">
    <cfRule type="duplicateValues" dxfId="4857" priority="4945"/>
  </conditionalFormatting>
  <conditionalFormatting sqref="Q734:R734">
    <cfRule type="duplicateValues" dxfId="4856" priority="4942"/>
    <cfRule type="duplicateValues" dxfId="4855" priority="4943"/>
    <cfRule type="duplicateValues" dxfId="4854" priority="4944"/>
  </conditionalFormatting>
  <conditionalFormatting sqref="R734">
    <cfRule type="duplicateValues" dxfId="4853" priority="4941"/>
  </conditionalFormatting>
  <conditionalFormatting sqref="Q734">
    <cfRule type="duplicateValues" dxfId="4852" priority="4940"/>
  </conditionalFormatting>
  <conditionalFormatting sqref="Q734">
    <cfRule type="duplicateValues" dxfId="4851" priority="4937"/>
    <cfRule type="duplicateValues" dxfId="4850" priority="4938"/>
    <cfRule type="duplicateValues" dxfId="4849" priority="4939"/>
  </conditionalFormatting>
  <conditionalFormatting sqref="R734">
    <cfRule type="duplicateValues" dxfId="4848" priority="4934"/>
    <cfRule type="duplicateValues" dxfId="4847" priority="4935"/>
    <cfRule type="duplicateValues" dxfId="4846" priority="4936"/>
  </conditionalFormatting>
  <conditionalFormatting sqref="Q734">
    <cfRule type="duplicateValues" dxfId="4845" priority="4933"/>
  </conditionalFormatting>
  <conditionalFormatting sqref="Q734">
    <cfRule type="duplicateValues" dxfId="4844" priority="4932"/>
  </conditionalFormatting>
  <conditionalFormatting sqref="Q734">
    <cfRule type="duplicateValues" dxfId="4843" priority="4931"/>
  </conditionalFormatting>
  <conditionalFormatting sqref="Q736:R736">
    <cfRule type="duplicateValues" dxfId="4842" priority="4930"/>
  </conditionalFormatting>
  <conditionalFormatting sqref="Q736:R736">
    <cfRule type="duplicateValues" dxfId="4841" priority="4927"/>
    <cfRule type="duplicateValues" dxfId="4840" priority="4928"/>
    <cfRule type="duplicateValues" dxfId="4839" priority="4929"/>
  </conditionalFormatting>
  <conditionalFormatting sqref="R736">
    <cfRule type="duplicateValues" dxfId="4838" priority="4926"/>
  </conditionalFormatting>
  <conditionalFormatting sqref="Q736:R736">
    <cfRule type="duplicateValues" dxfId="4837" priority="4925"/>
  </conditionalFormatting>
  <conditionalFormatting sqref="Q736">
    <cfRule type="duplicateValues" dxfId="4836" priority="4924"/>
  </conditionalFormatting>
  <conditionalFormatting sqref="Q736">
    <cfRule type="duplicateValues" dxfId="4835" priority="4923"/>
  </conditionalFormatting>
  <conditionalFormatting sqref="Q736">
    <cfRule type="duplicateValues" dxfId="4834" priority="4922"/>
  </conditionalFormatting>
  <conditionalFormatting sqref="Q736">
    <cfRule type="duplicateValues" dxfId="4833" priority="4921"/>
  </conditionalFormatting>
  <conditionalFormatting sqref="R736">
    <cfRule type="duplicateValues" dxfId="4832" priority="4920"/>
  </conditionalFormatting>
  <conditionalFormatting sqref="Q736">
    <cfRule type="duplicateValues" dxfId="4831" priority="4918"/>
    <cfRule type="duplicateValues" dxfId="4830" priority="4919"/>
  </conditionalFormatting>
  <conditionalFormatting sqref="Q736">
    <cfRule type="duplicateValues" dxfId="4829" priority="4917"/>
  </conditionalFormatting>
  <conditionalFormatting sqref="Q736">
    <cfRule type="duplicateValues" dxfId="4828" priority="4916"/>
  </conditionalFormatting>
  <conditionalFormatting sqref="Q736">
    <cfRule type="duplicateValues" dxfId="4827" priority="4915"/>
  </conditionalFormatting>
  <conditionalFormatting sqref="Q736">
    <cfRule type="duplicateValues" dxfId="4826" priority="4914"/>
  </conditionalFormatting>
  <conditionalFormatting sqref="Q736">
    <cfRule type="duplicateValues" dxfId="4825" priority="4913"/>
  </conditionalFormatting>
  <conditionalFormatting sqref="Q736">
    <cfRule type="duplicateValues" dxfId="4824" priority="4912"/>
  </conditionalFormatting>
  <conditionalFormatting sqref="Q736">
    <cfRule type="duplicateValues" dxfId="4823" priority="4911"/>
  </conditionalFormatting>
  <conditionalFormatting sqref="Q736">
    <cfRule type="duplicateValues" dxfId="4822" priority="4910"/>
  </conditionalFormatting>
  <conditionalFormatting sqref="Q736:R736">
    <cfRule type="duplicateValues" dxfId="4821" priority="4909"/>
  </conditionalFormatting>
  <conditionalFormatting sqref="Q736">
    <cfRule type="duplicateValues" dxfId="4820" priority="4908"/>
  </conditionalFormatting>
  <conditionalFormatting sqref="R736">
    <cfRule type="duplicateValues" dxfId="4819" priority="4907"/>
  </conditionalFormatting>
  <conditionalFormatting sqref="Q736">
    <cfRule type="duplicateValues" dxfId="4818" priority="4906"/>
  </conditionalFormatting>
  <conditionalFormatting sqref="Q736">
    <cfRule type="duplicateValues" dxfId="4817" priority="4905"/>
  </conditionalFormatting>
  <conditionalFormatting sqref="Q736">
    <cfRule type="duplicateValues" dxfId="4816" priority="4904"/>
  </conditionalFormatting>
  <conditionalFormatting sqref="Q737:R737">
    <cfRule type="duplicateValues" dxfId="4815" priority="4900"/>
  </conditionalFormatting>
  <conditionalFormatting sqref="Q737:R737">
    <cfRule type="duplicateValues" dxfId="4814" priority="4897"/>
    <cfRule type="duplicateValues" dxfId="4813" priority="4898"/>
    <cfRule type="duplicateValues" dxfId="4812" priority="4899"/>
  </conditionalFormatting>
  <conditionalFormatting sqref="R737">
    <cfRule type="duplicateValues" dxfId="4811" priority="4896"/>
  </conditionalFormatting>
  <conditionalFormatting sqref="Q737:R737">
    <cfRule type="duplicateValues" dxfId="4810" priority="4895"/>
  </conditionalFormatting>
  <conditionalFormatting sqref="Q737">
    <cfRule type="duplicateValues" dxfId="4809" priority="4894"/>
  </conditionalFormatting>
  <conditionalFormatting sqref="Q737">
    <cfRule type="duplicateValues" dxfId="4808" priority="4893"/>
  </conditionalFormatting>
  <conditionalFormatting sqref="Q737">
    <cfRule type="duplicateValues" dxfId="4807" priority="4892"/>
  </conditionalFormatting>
  <conditionalFormatting sqref="Q737">
    <cfRule type="duplicateValues" dxfId="4806" priority="4891"/>
  </conditionalFormatting>
  <conditionalFormatting sqref="R737">
    <cfRule type="duplicateValues" dxfId="4805" priority="4890"/>
  </conditionalFormatting>
  <conditionalFormatting sqref="Q737">
    <cfRule type="duplicateValues" dxfId="4804" priority="4888"/>
    <cfRule type="duplicateValues" dxfId="4803" priority="4889"/>
  </conditionalFormatting>
  <conditionalFormatting sqref="Q737">
    <cfRule type="duplicateValues" dxfId="4802" priority="4887"/>
  </conditionalFormatting>
  <conditionalFormatting sqref="Q737">
    <cfRule type="duplicateValues" dxfId="4801" priority="4886"/>
  </conditionalFormatting>
  <conditionalFormatting sqref="Q737">
    <cfRule type="duplicateValues" dxfId="4800" priority="4885"/>
  </conditionalFormatting>
  <conditionalFormatting sqref="Q737">
    <cfRule type="duplicateValues" dxfId="4799" priority="4884"/>
  </conditionalFormatting>
  <conditionalFormatting sqref="Q737:R737">
    <cfRule type="duplicateValues" dxfId="4798" priority="4901"/>
  </conditionalFormatting>
  <conditionalFormatting sqref="Q737">
    <cfRule type="duplicateValues" dxfId="4797" priority="4902"/>
  </conditionalFormatting>
  <conditionalFormatting sqref="R737">
    <cfRule type="duplicateValues" dxfId="4796" priority="4903"/>
  </conditionalFormatting>
  <conditionalFormatting sqref="Q737">
    <cfRule type="duplicateValues" dxfId="4795" priority="4883"/>
  </conditionalFormatting>
  <conditionalFormatting sqref="Q737">
    <cfRule type="duplicateValues" dxfId="4794" priority="4882"/>
  </conditionalFormatting>
  <conditionalFormatting sqref="Q737">
    <cfRule type="duplicateValues" dxfId="4793" priority="4881"/>
  </conditionalFormatting>
  <conditionalFormatting sqref="Q737">
    <cfRule type="duplicateValues" dxfId="4792" priority="4880"/>
  </conditionalFormatting>
  <conditionalFormatting sqref="Q737">
    <cfRule type="duplicateValues" dxfId="4791" priority="4879"/>
  </conditionalFormatting>
  <conditionalFormatting sqref="Q737">
    <cfRule type="duplicateValues" dxfId="4790" priority="4878"/>
  </conditionalFormatting>
  <conditionalFormatting sqref="Q737">
    <cfRule type="duplicateValues" dxfId="4789" priority="4877"/>
  </conditionalFormatting>
  <conditionalFormatting sqref="Q738:Q739">
    <cfRule type="duplicateValues" dxfId="4788" priority="4876"/>
  </conditionalFormatting>
  <conditionalFormatting sqref="Q738:Q739">
    <cfRule type="duplicateValues" dxfId="4787" priority="4875"/>
  </conditionalFormatting>
  <conditionalFormatting sqref="Q738:Q739">
    <cfRule type="duplicateValues" dxfId="4786" priority="4874"/>
  </conditionalFormatting>
  <conditionalFormatting sqref="Q738:Q739">
    <cfRule type="duplicateValues" dxfId="4785" priority="4873"/>
  </conditionalFormatting>
  <conditionalFormatting sqref="Q738:Q739">
    <cfRule type="duplicateValues" dxfId="4784" priority="4872"/>
  </conditionalFormatting>
  <conditionalFormatting sqref="Q738:Q739">
    <cfRule type="duplicateValues" dxfId="4783" priority="4871"/>
  </conditionalFormatting>
  <conditionalFormatting sqref="Q738:Q739">
    <cfRule type="duplicateValues" dxfId="4782" priority="4870"/>
  </conditionalFormatting>
  <conditionalFormatting sqref="Q738:R739">
    <cfRule type="duplicateValues" dxfId="4781" priority="4869"/>
  </conditionalFormatting>
  <conditionalFormatting sqref="Q738:R739">
    <cfRule type="duplicateValues" dxfId="4780" priority="4866"/>
    <cfRule type="duplicateValues" dxfId="4779" priority="4867"/>
    <cfRule type="duplicateValues" dxfId="4778" priority="4868"/>
  </conditionalFormatting>
  <conditionalFormatting sqref="R738:R739">
    <cfRule type="duplicateValues" dxfId="4777" priority="4865"/>
  </conditionalFormatting>
  <conditionalFormatting sqref="Q738:Q739">
    <cfRule type="duplicateValues" dxfId="4776" priority="4864"/>
  </conditionalFormatting>
  <conditionalFormatting sqref="Q738:Q739">
    <cfRule type="duplicateValues" dxfId="4775" priority="4861"/>
    <cfRule type="duplicateValues" dxfId="4774" priority="4862"/>
    <cfRule type="duplicateValues" dxfId="4773" priority="4863"/>
  </conditionalFormatting>
  <conditionalFormatting sqref="R738:R739">
    <cfRule type="duplicateValues" dxfId="4772" priority="4858"/>
    <cfRule type="duplicateValues" dxfId="4771" priority="4859"/>
    <cfRule type="duplicateValues" dxfId="4770" priority="4860"/>
  </conditionalFormatting>
  <conditionalFormatting sqref="Q738:Q739">
    <cfRule type="duplicateValues" dxfId="4769" priority="4856"/>
    <cfRule type="duplicateValues" dxfId="4768" priority="4857"/>
  </conditionalFormatting>
  <conditionalFormatting sqref="Q738:Q739">
    <cfRule type="duplicateValues" dxfId="4767" priority="4855"/>
  </conditionalFormatting>
  <conditionalFormatting sqref="Q738:Q739">
    <cfRule type="duplicateValues" dxfId="4766" priority="4854"/>
  </conditionalFormatting>
  <conditionalFormatting sqref="Q738:Q739">
    <cfRule type="duplicateValues" dxfId="4765" priority="4853"/>
  </conditionalFormatting>
  <conditionalFormatting sqref="Q740:Q741">
    <cfRule type="duplicateValues" dxfId="4764" priority="4852"/>
  </conditionalFormatting>
  <conditionalFormatting sqref="Q740:Q741">
    <cfRule type="duplicateValues" dxfId="4763" priority="4851"/>
  </conditionalFormatting>
  <conditionalFormatting sqref="R740:R741">
    <cfRule type="duplicateValues" dxfId="4762" priority="4850"/>
  </conditionalFormatting>
  <conditionalFormatting sqref="Q740:Q741">
    <cfRule type="duplicateValues" dxfId="4761" priority="4848"/>
    <cfRule type="duplicateValues" dxfId="4760" priority="4849"/>
  </conditionalFormatting>
  <conditionalFormatting sqref="Q740:Q741">
    <cfRule type="duplicateValues" dxfId="4759" priority="4847"/>
  </conditionalFormatting>
  <conditionalFormatting sqref="Q740:Q741">
    <cfRule type="duplicateValues" dxfId="4758" priority="4846"/>
  </conditionalFormatting>
  <conditionalFormatting sqref="Q740:Q741">
    <cfRule type="duplicateValues" dxfId="4757" priority="4845"/>
  </conditionalFormatting>
  <conditionalFormatting sqref="Q740:Q741">
    <cfRule type="duplicateValues" dxfId="4756" priority="4844"/>
  </conditionalFormatting>
  <conditionalFormatting sqref="Q740:Q741">
    <cfRule type="duplicateValues" dxfId="4755" priority="4843"/>
  </conditionalFormatting>
  <conditionalFormatting sqref="Q740:Q741">
    <cfRule type="duplicateValues" dxfId="4754" priority="4842"/>
  </conditionalFormatting>
  <conditionalFormatting sqref="Q740:Q741">
    <cfRule type="duplicateValues" dxfId="4753" priority="4841"/>
  </conditionalFormatting>
  <conditionalFormatting sqref="Q740:Q741">
    <cfRule type="duplicateValues" dxfId="4752" priority="4840"/>
  </conditionalFormatting>
  <conditionalFormatting sqref="Q740:R741">
    <cfRule type="duplicateValues" dxfId="4751" priority="4839"/>
  </conditionalFormatting>
  <conditionalFormatting sqref="Q740:Q741">
    <cfRule type="duplicateValues" dxfId="4750" priority="4838"/>
  </conditionalFormatting>
  <conditionalFormatting sqref="R740:R741">
    <cfRule type="duplicateValues" dxfId="4749" priority="4837"/>
  </conditionalFormatting>
  <conditionalFormatting sqref="Q740:R741">
    <cfRule type="duplicateValues" dxfId="4748" priority="4834"/>
    <cfRule type="duplicateValues" dxfId="4747" priority="4835"/>
    <cfRule type="duplicateValues" dxfId="4746" priority="4836"/>
  </conditionalFormatting>
  <conditionalFormatting sqref="Q740:Q741">
    <cfRule type="duplicateValues" dxfId="4745" priority="4833"/>
  </conditionalFormatting>
  <conditionalFormatting sqref="Q740:Q741">
    <cfRule type="duplicateValues" dxfId="4744" priority="4832"/>
  </conditionalFormatting>
  <conditionalFormatting sqref="Q740:Q741">
    <cfRule type="duplicateValues" dxfId="4743" priority="4831"/>
  </conditionalFormatting>
  <conditionalFormatting sqref="Q742:R743">
    <cfRule type="duplicateValues" dxfId="4742" priority="4830"/>
  </conditionalFormatting>
  <conditionalFormatting sqref="Q742:R743">
    <cfRule type="duplicateValues" dxfId="4741" priority="4827"/>
    <cfRule type="duplicateValues" dxfId="4740" priority="4828"/>
    <cfRule type="duplicateValues" dxfId="4739" priority="4829"/>
  </conditionalFormatting>
  <conditionalFormatting sqref="R742:R743">
    <cfRule type="duplicateValues" dxfId="4738" priority="4826"/>
  </conditionalFormatting>
  <conditionalFormatting sqref="Q742:R743">
    <cfRule type="duplicateValues" dxfId="4737" priority="4825"/>
  </conditionalFormatting>
  <conditionalFormatting sqref="Q742:Q743">
    <cfRule type="duplicateValues" dxfId="4736" priority="4824"/>
  </conditionalFormatting>
  <conditionalFormatting sqref="Q742:Q743">
    <cfRule type="duplicateValues" dxfId="4735" priority="4823"/>
  </conditionalFormatting>
  <conditionalFormatting sqref="Q742:Q743">
    <cfRule type="duplicateValues" dxfId="4734" priority="4822"/>
  </conditionalFormatting>
  <conditionalFormatting sqref="Q742:Q743">
    <cfRule type="duplicateValues" dxfId="4733" priority="4821"/>
  </conditionalFormatting>
  <conditionalFormatting sqref="R742:R743">
    <cfRule type="duplicateValues" dxfId="4732" priority="4820"/>
  </conditionalFormatting>
  <conditionalFormatting sqref="Q742:Q743">
    <cfRule type="duplicateValues" dxfId="4731" priority="4818"/>
    <cfRule type="duplicateValues" dxfId="4730" priority="4819"/>
  </conditionalFormatting>
  <conditionalFormatting sqref="Q742:Q743">
    <cfRule type="duplicateValues" dxfId="4729" priority="4817"/>
  </conditionalFormatting>
  <conditionalFormatting sqref="Q742:Q743">
    <cfRule type="duplicateValues" dxfId="4728" priority="4816"/>
  </conditionalFormatting>
  <conditionalFormatting sqref="Q742:Q743">
    <cfRule type="duplicateValues" dxfId="4727" priority="4815"/>
  </conditionalFormatting>
  <conditionalFormatting sqref="Q742:Q743">
    <cfRule type="duplicateValues" dxfId="4726" priority="4814"/>
  </conditionalFormatting>
  <conditionalFormatting sqref="Q742:Q743">
    <cfRule type="duplicateValues" dxfId="4725" priority="4813"/>
  </conditionalFormatting>
  <conditionalFormatting sqref="Q742:Q743">
    <cfRule type="duplicateValues" dxfId="4724" priority="4812"/>
  </conditionalFormatting>
  <conditionalFormatting sqref="Q742:Q743">
    <cfRule type="duplicateValues" dxfId="4723" priority="4811"/>
  </conditionalFormatting>
  <conditionalFormatting sqref="Q742:Q743">
    <cfRule type="duplicateValues" dxfId="4722" priority="4810"/>
  </conditionalFormatting>
  <conditionalFormatting sqref="Q743:R743">
    <cfRule type="duplicateValues" dxfId="4721" priority="4809"/>
  </conditionalFormatting>
  <conditionalFormatting sqref="Q743">
    <cfRule type="duplicateValues" dxfId="4720" priority="4808"/>
  </conditionalFormatting>
  <conditionalFormatting sqref="R743">
    <cfRule type="duplicateValues" dxfId="4719" priority="4807"/>
  </conditionalFormatting>
  <conditionalFormatting sqref="Q742:R742">
    <cfRule type="duplicateValues" dxfId="4718" priority="4806"/>
  </conditionalFormatting>
  <conditionalFormatting sqref="Q742">
    <cfRule type="duplicateValues" dxfId="4717" priority="4805"/>
  </conditionalFormatting>
  <conditionalFormatting sqref="R742">
    <cfRule type="duplicateValues" dxfId="4716" priority="4804"/>
  </conditionalFormatting>
  <conditionalFormatting sqref="Q742:Q743">
    <cfRule type="duplicateValues" dxfId="4715" priority="4803"/>
  </conditionalFormatting>
  <conditionalFormatting sqref="Q742:Q743">
    <cfRule type="duplicateValues" dxfId="4714" priority="4802"/>
  </conditionalFormatting>
  <conditionalFormatting sqref="Q742:Q743">
    <cfRule type="duplicateValues" dxfId="4713" priority="4801"/>
  </conditionalFormatting>
  <conditionalFormatting sqref="Q744:R744">
    <cfRule type="duplicateValues" dxfId="4712" priority="4800"/>
  </conditionalFormatting>
  <conditionalFormatting sqref="Q744:R744">
    <cfRule type="duplicateValues" dxfId="4711" priority="4797"/>
    <cfRule type="duplicateValues" dxfId="4710" priority="4798"/>
    <cfRule type="duplicateValues" dxfId="4709" priority="4799"/>
  </conditionalFormatting>
  <conditionalFormatting sqref="R744">
    <cfRule type="duplicateValues" dxfId="4708" priority="4796"/>
  </conditionalFormatting>
  <conditionalFormatting sqref="Q744:R744">
    <cfRule type="duplicateValues" dxfId="4707" priority="4795"/>
  </conditionalFormatting>
  <conditionalFormatting sqref="Q744">
    <cfRule type="duplicateValues" dxfId="4706" priority="4794"/>
  </conditionalFormatting>
  <conditionalFormatting sqref="Q744">
    <cfRule type="duplicateValues" dxfId="4705" priority="4793"/>
  </conditionalFormatting>
  <conditionalFormatting sqref="Q744">
    <cfRule type="duplicateValues" dxfId="4704" priority="4792"/>
  </conditionalFormatting>
  <conditionalFormatting sqref="Q744">
    <cfRule type="duplicateValues" dxfId="4703" priority="4791"/>
  </conditionalFormatting>
  <conditionalFormatting sqref="R744">
    <cfRule type="duplicateValues" dxfId="4702" priority="4790"/>
  </conditionalFormatting>
  <conditionalFormatting sqref="Q744">
    <cfRule type="duplicateValues" dxfId="4701" priority="4788"/>
    <cfRule type="duplicateValues" dxfId="4700" priority="4789"/>
  </conditionalFormatting>
  <conditionalFormatting sqref="Q744">
    <cfRule type="duplicateValues" dxfId="4699" priority="4787"/>
  </conditionalFormatting>
  <conditionalFormatting sqref="Q744">
    <cfRule type="duplicateValues" dxfId="4698" priority="4786"/>
  </conditionalFormatting>
  <conditionalFormatting sqref="Q744">
    <cfRule type="duplicateValues" dxfId="4697" priority="4785"/>
  </conditionalFormatting>
  <conditionalFormatting sqref="Q744">
    <cfRule type="duplicateValues" dxfId="4696" priority="4784"/>
  </conditionalFormatting>
  <conditionalFormatting sqref="Q744">
    <cfRule type="duplicateValues" dxfId="4695" priority="4783"/>
  </conditionalFormatting>
  <conditionalFormatting sqref="Q744">
    <cfRule type="duplicateValues" dxfId="4694" priority="4782"/>
  </conditionalFormatting>
  <conditionalFormatting sqref="Q744">
    <cfRule type="duplicateValues" dxfId="4693" priority="4781"/>
  </conditionalFormatting>
  <conditionalFormatting sqref="Q744">
    <cfRule type="duplicateValues" dxfId="4692" priority="4780"/>
  </conditionalFormatting>
  <conditionalFormatting sqref="Q744:R744">
    <cfRule type="duplicateValues" dxfId="4691" priority="4779"/>
  </conditionalFormatting>
  <conditionalFormatting sqref="Q744">
    <cfRule type="duplicateValues" dxfId="4690" priority="4778"/>
  </conditionalFormatting>
  <conditionalFormatting sqref="Q744:R744">
    <cfRule type="duplicateValues" dxfId="4689" priority="4777"/>
  </conditionalFormatting>
  <conditionalFormatting sqref="R744">
    <cfRule type="duplicateValues" dxfId="4688" priority="4776"/>
  </conditionalFormatting>
  <conditionalFormatting sqref="Q744">
    <cfRule type="duplicateValues" dxfId="4687" priority="4775"/>
  </conditionalFormatting>
  <conditionalFormatting sqref="Q744">
    <cfRule type="duplicateValues" dxfId="4686" priority="4774"/>
  </conditionalFormatting>
  <conditionalFormatting sqref="Q744">
    <cfRule type="duplicateValues" dxfId="4685" priority="4773"/>
  </conditionalFormatting>
  <conditionalFormatting sqref="Q745:R745">
    <cfRule type="duplicateValues" dxfId="4684" priority="4772"/>
  </conditionalFormatting>
  <conditionalFormatting sqref="Q745:R745">
    <cfRule type="duplicateValues" dxfId="4683" priority="4769"/>
    <cfRule type="duplicateValues" dxfId="4682" priority="4770"/>
    <cfRule type="duplicateValues" dxfId="4681" priority="4771"/>
  </conditionalFormatting>
  <conditionalFormatting sqref="R745">
    <cfRule type="duplicateValues" dxfId="4680" priority="4768"/>
  </conditionalFormatting>
  <conditionalFormatting sqref="Q745:R745">
    <cfRule type="duplicateValues" dxfId="4679" priority="4767"/>
  </conditionalFormatting>
  <conditionalFormatting sqref="Q745">
    <cfRule type="duplicateValues" dxfId="4678" priority="4766"/>
  </conditionalFormatting>
  <conditionalFormatting sqref="Q745">
    <cfRule type="duplicateValues" dxfId="4677" priority="4765"/>
  </conditionalFormatting>
  <conditionalFormatting sqref="Q745">
    <cfRule type="duplicateValues" dxfId="4676" priority="4764"/>
  </conditionalFormatting>
  <conditionalFormatting sqref="Q745">
    <cfRule type="duplicateValues" dxfId="4675" priority="4763"/>
  </conditionalFormatting>
  <conditionalFormatting sqref="R745">
    <cfRule type="duplicateValues" dxfId="4674" priority="4762"/>
  </conditionalFormatting>
  <conditionalFormatting sqref="Q745">
    <cfRule type="duplicateValues" dxfId="4673" priority="4760"/>
    <cfRule type="duplicateValues" dxfId="4672" priority="4761"/>
  </conditionalFormatting>
  <conditionalFormatting sqref="Q745">
    <cfRule type="duplicateValues" dxfId="4671" priority="4759"/>
  </conditionalFormatting>
  <conditionalFormatting sqref="Q745">
    <cfRule type="duplicateValues" dxfId="4670" priority="4758"/>
  </conditionalFormatting>
  <conditionalFormatting sqref="Q745">
    <cfRule type="duplicateValues" dxfId="4669" priority="4757"/>
  </conditionalFormatting>
  <conditionalFormatting sqref="Q745">
    <cfRule type="duplicateValues" dxfId="4668" priority="4756"/>
  </conditionalFormatting>
  <conditionalFormatting sqref="Q745">
    <cfRule type="duplicateValues" dxfId="4667" priority="4755"/>
  </conditionalFormatting>
  <conditionalFormatting sqref="Q745">
    <cfRule type="duplicateValues" dxfId="4666" priority="4754"/>
  </conditionalFormatting>
  <conditionalFormatting sqref="Q745">
    <cfRule type="duplicateValues" dxfId="4665" priority="4753"/>
  </conditionalFormatting>
  <conditionalFormatting sqref="Q745">
    <cfRule type="duplicateValues" dxfId="4664" priority="4752"/>
  </conditionalFormatting>
  <conditionalFormatting sqref="Q745:R745">
    <cfRule type="duplicateValues" dxfId="4663" priority="4751"/>
  </conditionalFormatting>
  <conditionalFormatting sqref="Q745">
    <cfRule type="duplicateValues" dxfId="4662" priority="4750"/>
  </conditionalFormatting>
  <conditionalFormatting sqref="Q745:R745">
    <cfRule type="duplicateValues" dxfId="4661" priority="4749"/>
  </conditionalFormatting>
  <conditionalFormatting sqref="R745">
    <cfRule type="duplicateValues" dxfId="4660" priority="4748"/>
  </conditionalFormatting>
  <conditionalFormatting sqref="Q745">
    <cfRule type="duplicateValues" dxfId="4659" priority="4747"/>
  </conditionalFormatting>
  <conditionalFormatting sqref="Q745">
    <cfRule type="duplicateValues" dxfId="4658" priority="4746"/>
  </conditionalFormatting>
  <conditionalFormatting sqref="Q745">
    <cfRule type="duplicateValues" dxfId="4657" priority="4745"/>
  </conditionalFormatting>
  <conditionalFormatting sqref="Q746:Q747">
    <cfRule type="duplicateValues" dxfId="4656" priority="4743"/>
    <cfRule type="duplicateValues" dxfId="4655" priority="4744"/>
  </conditionalFormatting>
  <conditionalFormatting sqref="Q746:Q747">
    <cfRule type="duplicateValues" dxfId="4654" priority="4742"/>
  </conditionalFormatting>
  <conditionalFormatting sqref="Q746:Q747">
    <cfRule type="duplicateValues" dxfId="4653" priority="4741"/>
  </conditionalFormatting>
  <conditionalFormatting sqref="Q746:Q747">
    <cfRule type="duplicateValues" dxfId="4652" priority="4740"/>
  </conditionalFormatting>
  <conditionalFormatting sqref="Q746:Q747">
    <cfRule type="duplicateValues" dxfId="4651" priority="4739"/>
  </conditionalFormatting>
  <conditionalFormatting sqref="Q746:Q747">
    <cfRule type="duplicateValues" dxfId="4650" priority="4738"/>
  </conditionalFormatting>
  <conditionalFormatting sqref="Q746:Q747">
    <cfRule type="duplicateValues" dxfId="4649" priority="4737"/>
  </conditionalFormatting>
  <conditionalFormatting sqref="Q746:Q747">
    <cfRule type="duplicateValues" dxfId="4648" priority="4736"/>
  </conditionalFormatting>
  <conditionalFormatting sqref="Q746:Q747">
    <cfRule type="duplicateValues" dxfId="4647" priority="4735"/>
  </conditionalFormatting>
  <conditionalFormatting sqref="Q746:R747">
    <cfRule type="duplicateValues" dxfId="4646" priority="4734"/>
  </conditionalFormatting>
  <conditionalFormatting sqref="Q746:R747">
    <cfRule type="duplicateValues" dxfId="4645" priority="4731"/>
    <cfRule type="duplicateValues" dxfId="4644" priority="4732"/>
    <cfRule type="duplicateValues" dxfId="4643" priority="4733"/>
  </conditionalFormatting>
  <conditionalFormatting sqref="R746:R747">
    <cfRule type="duplicateValues" dxfId="4642" priority="4730"/>
  </conditionalFormatting>
  <conditionalFormatting sqref="Q746:Q747">
    <cfRule type="duplicateValues" dxfId="4641" priority="4729"/>
  </conditionalFormatting>
  <conditionalFormatting sqref="Q746:Q747">
    <cfRule type="duplicateValues" dxfId="4640" priority="4726"/>
    <cfRule type="duplicateValues" dxfId="4639" priority="4727"/>
    <cfRule type="duplicateValues" dxfId="4638" priority="4728"/>
  </conditionalFormatting>
  <conditionalFormatting sqref="R746:R747">
    <cfRule type="duplicateValues" dxfId="4637" priority="4723"/>
    <cfRule type="duplicateValues" dxfId="4636" priority="4724"/>
    <cfRule type="duplicateValues" dxfId="4635" priority="4725"/>
  </conditionalFormatting>
  <conditionalFormatting sqref="Q746:Q747">
    <cfRule type="duplicateValues" dxfId="4634" priority="4722"/>
  </conditionalFormatting>
  <conditionalFormatting sqref="Q746:Q747">
    <cfRule type="duplicateValues" dxfId="4633" priority="4721"/>
  </conditionalFormatting>
  <conditionalFormatting sqref="Q746:Q747">
    <cfRule type="duplicateValues" dxfId="4632" priority="4720"/>
  </conditionalFormatting>
  <conditionalFormatting sqref="Q749:Q750">
    <cfRule type="duplicateValues" dxfId="4631" priority="4719"/>
  </conditionalFormatting>
  <conditionalFormatting sqref="Q749:Q750">
    <cfRule type="duplicateValues" dxfId="4630" priority="4718"/>
  </conditionalFormatting>
  <conditionalFormatting sqref="Q749:Q750">
    <cfRule type="duplicateValues" dxfId="4629" priority="4717"/>
  </conditionalFormatting>
  <conditionalFormatting sqref="R749:R750">
    <cfRule type="duplicateValues" dxfId="4628" priority="4716"/>
  </conditionalFormatting>
  <conditionalFormatting sqref="R749:R750">
    <cfRule type="duplicateValues" dxfId="4627" priority="4713"/>
    <cfRule type="duplicateValues" dxfId="4626" priority="4714"/>
    <cfRule type="duplicateValues" dxfId="4625" priority="4715"/>
  </conditionalFormatting>
  <conditionalFormatting sqref="Q751">
    <cfRule type="duplicateValues" dxfId="4624" priority="4712"/>
  </conditionalFormatting>
  <conditionalFormatting sqref="Q751">
    <cfRule type="duplicateValues" dxfId="4623" priority="4711"/>
  </conditionalFormatting>
  <conditionalFormatting sqref="Q751">
    <cfRule type="duplicateValues" dxfId="4622" priority="4710"/>
  </conditionalFormatting>
  <conditionalFormatting sqref="R751">
    <cfRule type="duplicateValues" dxfId="4621" priority="4709"/>
  </conditionalFormatting>
  <conditionalFormatting sqref="R751">
    <cfRule type="duplicateValues" dxfId="4620" priority="4706"/>
    <cfRule type="duplicateValues" dxfId="4619" priority="4707"/>
    <cfRule type="duplicateValues" dxfId="4618" priority="4708"/>
  </conditionalFormatting>
  <conditionalFormatting sqref="Q752:R752">
    <cfRule type="duplicateValues" dxfId="4617" priority="4705"/>
  </conditionalFormatting>
  <conditionalFormatting sqref="Q752:R752">
    <cfRule type="duplicateValues" dxfId="4616" priority="4702"/>
    <cfRule type="duplicateValues" dxfId="4615" priority="4703"/>
    <cfRule type="duplicateValues" dxfId="4614" priority="4704"/>
  </conditionalFormatting>
  <conditionalFormatting sqref="R752">
    <cfRule type="duplicateValues" dxfId="4613" priority="4701"/>
  </conditionalFormatting>
  <conditionalFormatting sqref="Q752:R752">
    <cfRule type="duplicateValues" dxfId="4612" priority="4700"/>
  </conditionalFormatting>
  <conditionalFormatting sqref="Q752">
    <cfRule type="duplicateValues" dxfId="4611" priority="4699"/>
  </conditionalFormatting>
  <conditionalFormatting sqref="Q752">
    <cfRule type="duplicateValues" dxfId="4610" priority="4698"/>
  </conditionalFormatting>
  <conditionalFormatting sqref="Q752">
    <cfRule type="duplicateValues" dxfId="4609" priority="4697"/>
  </conditionalFormatting>
  <conditionalFormatting sqref="Q752">
    <cfRule type="duplicateValues" dxfId="4608" priority="4696"/>
  </conditionalFormatting>
  <conditionalFormatting sqref="R752">
    <cfRule type="duplicateValues" dxfId="4607" priority="4695"/>
  </conditionalFormatting>
  <conditionalFormatting sqref="Q752">
    <cfRule type="duplicateValues" dxfId="4606" priority="4693"/>
    <cfRule type="duplicateValues" dxfId="4605" priority="4694"/>
  </conditionalFormatting>
  <conditionalFormatting sqref="Q752">
    <cfRule type="duplicateValues" dxfId="4604" priority="4692"/>
  </conditionalFormatting>
  <conditionalFormatting sqref="Q752">
    <cfRule type="duplicateValues" dxfId="4603" priority="4691"/>
  </conditionalFormatting>
  <conditionalFormatting sqref="Q752">
    <cfRule type="duplicateValues" dxfId="4602" priority="4690"/>
  </conditionalFormatting>
  <conditionalFormatting sqref="Q752">
    <cfRule type="duplicateValues" dxfId="4601" priority="4689"/>
  </conditionalFormatting>
  <conditionalFormatting sqref="Q752">
    <cfRule type="duplicateValues" dxfId="4600" priority="4688"/>
  </conditionalFormatting>
  <conditionalFormatting sqref="Q752">
    <cfRule type="duplicateValues" dxfId="4599" priority="4687"/>
  </conditionalFormatting>
  <conditionalFormatting sqref="Q752">
    <cfRule type="duplicateValues" dxfId="4598" priority="4686"/>
  </conditionalFormatting>
  <conditionalFormatting sqref="Q752">
    <cfRule type="duplicateValues" dxfId="4597" priority="4685"/>
  </conditionalFormatting>
  <conditionalFormatting sqref="Q752">
    <cfRule type="duplicateValues" dxfId="4596" priority="4684"/>
  </conditionalFormatting>
  <conditionalFormatting sqref="Q752">
    <cfRule type="duplicateValues" dxfId="4595" priority="4683"/>
  </conditionalFormatting>
  <conditionalFormatting sqref="R752">
    <cfRule type="duplicateValues" dxfId="4594" priority="4682"/>
  </conditionalFormatting>
  <conditionalFormatting sqref="R752">
    <cfRule type="duplicateValues" dxfId="4593" priority="4679"/>
    <cfRule type="duplicateValues" dxfId="4592" priority="4680"/>
    <cfRule type="duplicateValues" dxfId="4591" priority="4681"/>
  </conditionalFormatting>
  <conditionalFormatting sqref="R752">
    <cfRule type="duplicateValues" dxfId="4590" priority="4678"/>
  </conditionalFormatting>
  <conditionalFormatting sqref="R752">
    <cfRule type="duplicateValues" dxfId="4589" priority="4675"/>
    <cfRule type="duplicateValues" dxfId="4588" priority="4676"/>
    <cfRule type="duplicateValues" dxfId="4587" priority="4677"/>
  </conditionalFormatting>
  <conditionalFormatting sqref="Q752">
    <cfRule type="duplicateValues" dxfId="4586" priority="4674"/>
  </conditionalFormatting>
  <conditionalFormatting sqref="Q752">
    <cfRule type="duplicateValues" dxfId="4585" priority="4673"/>
  </conditionalFormatting>
  <conditionalFormatting sqref="Q752">
    <cfRule type="duplicateValues" dxfId="4584" priority="4672"/>
  </conditionalFormatting>
  <conditionalFormatting sqref="Q753">
    <cfRule type="duplicateValues" dxfId="4583" priority="4671"/>
  </conditionalFormatting>
  <conditionalFormatting sqref="Q753:R753">
    <cfRule type="duplicateValues" dxfId="4582" priority="4670"/>
  </conditionalFormatting>
  <conditionalFormatting sqref="Q753:R753">
    <cfRule type="duplicateValues" dxfId="4581" priority="4667"/>
    <cfRule type="duplicateValues" dxfId="4580" priority="4668"/>
    <cfRule type="duplicateValues" dxfId="4579" priority="4669"/>
  </conditionalFormatting>
  <conditionalFormatting sqref="R753">
    <cfRule type="duplicateValues" dxfId="4578" priority="4666"/>
  </conditionalFormatting>
  <conditionalFormatting sqref="Q753">
    <cfRule type="duplicateValues" dxfId="4577" priority="4664"/>
    <cfRule type="duplicateValues" dxfId="4576" priority="4665"/>
  </conditionalFormatting>
  <conditionalFormatting sqref="Q753">
    <cfRule type="duplicateValues" dxfId="4575" priority="4661"/>
    <cfRule type="duplicateValues" dxfId="4574" priority="4662"/>
    <cfRule type="duplicateValues" dxfId="4573" priority="4663"/>
  </conditionalFormatting>
  <conditionalFormatting sqref="R753">
    <cfRule type="duplicateValues" dxfId="4572" priority="4658"/>
    <cfRule type="duplicateValues" dxfId="4571" priority="4659"/>
    <cfRule type="duplicateValues" dxfId="4570" priority="4660"/>
  </conditionalFormatting>
  <conditionalFormatting sqref="Q753">
    <cfRule type="duplicateValues" dxfId="4569" priority="4657"/>
  </conditionalFormatting>
  <conditionalFormatting sqref="Q753">
    <cfRule type="duplicateValues" dxfId="4568" priority="4656"/>
  </conditionalFormatting>
  <conditionalFormatting sqref="Q753">
    <cfRule type="duplicateValues" dxfId="4567" priority="4655"/>
  </conditionalFormatting>
  <conditionalFormatting sqref="Q754:R755">
    <cfRule type="duplicateValues" dxfId="4566" priority="4654"/>
  </conditionalFormatting>
  <conditionalFormatting sqref="Q754:R755">
    <cfRule type="duplicateValues" dxfId="4565" priority="4651"/>
    <cfRule type="duplicateValues" dxfId="4564" priority="4652"/>
    <cfRule type="duplicateValues" dxfId="4563" priority="4653"/>
  </conditionalFormatting>
  <conditionalFormatting sqref="R754:R755">
    <cfRule type="duplicateValues" dxfId="4562" priority="4650"/>
  </conditionalFormatting>
  <conditionalFormatting sqref="Q754:R755">
    <cfRule type="duplicateValues" dxfId="4561" priority="4649"/>
  </conditionalFormatting>
  <conditionalFormatting sqref="Q754:Q755">
    <cfRule type="duplicateValues" dxfId="4560" priority="4648"/>
  </conditionalFormatting>
  <conditionalFormatting sqref="Q754:Q755">
    <cfRule type="duplicateValues" dxfId="4559" priority="4647"/>
  </conditionalFormatting>
  <conditionalFormatting sqref="Q754:Q755">
    <cfRule type="duplicateValues" dxfId="4558" priority="4646"/>
  </conditionalFormatting>
  <conditionalFormatting sqref="Q754:Q755">
    <cfRule type="duplicateValues" dxfId="4557" priority="4645"/>
  </conditionalFormatting>
  <conditionalFormatting sqref="R754:R755">
    <cfRule type="duplicateValues" dxfId="4556" priority="4644"/>
  </conditionalFormatting>
  <conditionalFormatting sqref="Q754:Q755">
    <cfRule type="duplicateValues" dxfId="4555" priority="4642"/>
    <cfRule type="duplicateValues" dxfId="4554" priority="4643"/>
  </conditionalFormatting>
  <conditionalFormatting sqref="Q754:Q755">
    <cfRule type="duplicateValues" dxfId="4553" priority="4641"/>
  </conditionalFormatting>
  <conditionalFormatting sqref="Q754:Q755">
    <cfRule type="duplicateValues" dxfId="4552" priority="4640"/>
  </conditionalFormatting>
  <conditionalFormatting sqref="Q754:Q755">
    <cfRule type="duplicateValues" dxfId="4551" priority="4639"/>
  </conditionalFormatting>
  <conditionalFormatting sqref="Q754:Q755">
    <cfRule type="duplicateValues" dxfId="4550" priority="4638"/>
  </conditionalFormatting>
  <conditionalFormatting sqref="Q754:Q755">
    <cfRule type="duplicateValues" dxfId="4549" priority="4637"/>
  </conditionalFormatting>
  <conditionalFormatting sqref="Q754:Q755">
    <cfRule type="duplicateValues" dxfId="4548" priority="4636"/>
  </conditionalFormatting>
  <conditionalFormatting sqref="Q754:Q755">
    <cfRule type="duplicateValues" dxfId="4547" priority="4635"/>
  </conditionalFormatting>
  <conditionalFormatting sqref="Q754:Q755">
    <cfRule type="duplicateValues" dxfId="4546" priority="4634"/>
  </conditionalFormatting>
  <conditionalFormatting sqref="Q754:Q755">
    <cfRule type="duplicateValues" dxfId="4545" priority="4633"/>
  </conditionalFormatting>
  <conditionalFormatting sqref="Q754:Q755">
    <cfRule type="duplicateValues" dxfId="4544" priority="4632"/>
  </conditionalFormatting>
  <conditionalFormatting sqref="R754:R755">
    <cfRule type="duplicateValues" dxfId="4543" priority="4631"/>
  </conditionalFormatting>
  <conditionalFormatting sqref="R754:R755">
    <cfRule type="duplicateValues" dxfId="4542" priority="4628"/>
    <cfRule type="duplicateValues" dxfId="4541" priority="4629"/>
    <cfRule type="duplicateValues" dxfId="4540" priority="4630"/>
  </conditionalFormatting>
  <conditionalFormatting sqref="R754:R755">
    <cfRule type="duplicateValues" dxfId="4539" priority="4627"/>
  </conditionalFormatting>
  <conditionalFormatting sqref="R754:R755">
    <cfRule type="duplicateValues" dxfId="4538" priority="4624"/>
    <cfRule type="duplicateValues" dxfId="4537" priority="4625"/>
    <cfRule type="duplicateValues" dxfId="4536" priority="4626"/>
  </conditionalFormatting>
  <conditionalFormatting sqref="Q754:Q755">
    <cfRule type="duplicateValues" dxfId="4535" priority="4623"/>
  </conditionalFormatting>
  <conditionalFormatting sqref="Q754:Q755">
    <cfRule type="duplicateValues" dxfId="4534" priority="4622"/>
  </conditionalFormatting>
  <conditionalFormatting sqref="Q754:Q755">
    <cfRule type="duplicateValues" dxfId="4533" priority="4621"/>
  </conditionalFormatting>
  <conditionalFormatting sqref="S756">
    <cfRule type="duplicateValues" dxfId="4532" priority="4619"/>
  </conditionalFormatting>
  <conditionalFormatting sqref="S756">
    <cfRule type="duplicateValues" dxfId="4531" priority="4616"/>
    <cfRule type="duplicateValues" dxfId="4530" priority="4617"/>
    <cfRule type="duplicateValues" dxfId="4529" priority="4618"/>
  </conditionalFormatting>
  <conditionalFormatting sqref="S756">
    <cfRule type="duplicateValues" dxfId="4528" priority="4615"/>
  </conditionalFormatting>
  <conditionalFormatting sqref="S756">
    <cfRule type="duplicateValues" dxfId="4527" priority="4607"/>
    <cfRule type="duplicateValues" dxfId="4526" priority="4608"/>
    <cfRule type="duplicateValues" dxfId="4525" priority="4609"/>
  </conditionalFormatting>
  <conditionalFormatting sqref="Q756">
    <cfRule type="duplicateValues" dxfId="4524" priority="4603"/>
  </conditionalFormatting>
  <conditionalFormatting sqref="Q756:R756">
    <cfRule type="duplicateValues" dxfId="4523" priority="4602"/>
  </conditionalFormatting>
  <conditionalFormatting sqref="Q756:R756">
    <cfRule type="duplicateValues" dxfId="4522" priority="4599"/>
    <cfRule type="duplicateValues" dxfId="4521" priority="4600"/>
    <cfRule type="duplicateValues" dxfId="4520" priority="4601"/>
  </conditionalFormatting>
  <conditionalFormatting sqref="R756">
    <cfRule type="duplicateValues" dxfId="4519" priority="4598"/>
  </conditionalFormatting>
  <conditionalFormatting sqref="Q756">
    <cfRule type="duplicateValues" dxfId="4518" priority="4596"/>
    <cfRule type="duplicateValues" dxfId="4517" priority="4597"/>
  </conditionalFormatting>
  <conditionalFormatting sqref="Q756">
    <cfRule type="duplicateValues" dxfId="4516" priority="4593"/>
    <cfRule type="duplicateValues" dxfId="4515" priority="4594"/>
    <cfRule type="duplicateValues" dxfId="4514" priority="4595"/>
  </conditionalFormatting>
  <conditionalFormatting sqref="R756">
    <cfRule type="duplicateValues" dxfId="4513" priority="4590"/>
    <cfRule type="duplicateValues" dxfId="4512" priority="4591"/>
    <cfRule type="duplicateValues" dxfId="4511" priority="4592"/>
  </conditionalFormatting>
  <conditionalFormatting sqref="Q756">
    <cfRule type="duplicateValues" dxfId="4510" priority="4589"/>
  </conditionalFormatting>
  <conditionalFormatting sqref="Q756">
    <cfRule type="duplicateValues" dxfId="4509" priority="4588"/>
  </conditionalFormatting>
  <conditionalFormatting sqref="Q756">
    <cfRule type="duplicateValues" dxfId="4508" priority="4587"/>
  </conditionalFormatting>
  <conditionalFormatting sqref="Q757">
    <cfRule type="duplicateValues" dxfId="4507" priority="4586"/>
  </conditionalFormatting>
  <conditionalFormatting sqref="Q757">
    <cfRule type="duplicateValues" dxfId="4506" priority="4585"/>
  </conditionalFormatting>
  <conditionalFormatting sqref="Q757">
    <cfRule type="duplicateValues" dxfId="4505" priority="4584"/>
  </conditionalFormatting>
  <conditionalFormatting sqref="Q757:R757">
    <cfRule type="duplicateValues" dxfId="4504" priority="4583"/>
  </conditionalFormatting>
  <conditionalFormatting sqref="Q757:R757">
    <cfRule type="duplicateValues" dxfId="4503" priority="4580"/>
    <cfRule type="duplicateValues" dxfId="4502" priority="4581"/>
    <cfRule type="duplicateValues" dxfId="4501" priority="4582"/>
  </conditionalFormatting>
  <conditionalFormatting sqref="R757">
    <cfRule type="duplicateValues" dxfId="4500" priority="4579"/>
  </conditionalFormatting>
  <conditionalFormatting sqref="Q757">
    <cfRule type="duplicateValues" dxfId="4499" priority="4577"/>
    <cfRule type="duplicateValues" dxfId="4498" priority="4578"/>
  </conditionalFormatting>
  <conditionalFormatting sqref="Q757">
    <cfRule type="duplicateValues" dxfId="4497" priority="4574"/>
    <cfRule type="duplicateValues" dxfId="4496" priority="4575"/>
    <cfRule type="duplicateValues" dxfId="4495" priority="4576"/>
  </conditionalFormatting>
  <conditionalFormatting sqref="R757">
    <cfRule type="duplicateValues" dxfId="4494" priority="4571"/>
    <cfRule type="duplicateValues" dxfId="4493" priority="4572"/>
    <cfRule type="duplicateValues" dxfId="4492" priority="4573"/>
  </conditionalFormatting>
  <conditionalFormatting sqref="Q757">
    <cfRule type="duplicateValues" dxfId="4491" priority="4570"/>
  </conditionalFormatting>
  <conditionalFormatting sqref="Q758">
    <cfRule type="duplicateValues" dxfId="4490" priority="4569"/>
  </conditionalFormatting>
  <conditionalFormatting sqref="Q758:R758">
    <cfRule type="duplicateValues" dxfId="4489" priority="4568"/>
  </conditionalFormatting>
  <conditionalFormatting sqref="Q758:R758">
    <cfRule type="duplicateValues" dxfId="4488" priority="4565"/>
    <cfRule type="duplicateValues" dxfId="4487" priority="4566"/>
    <cfRule type="duplicateValues" dxfId="4486" priority="4567"/>
  </conditionalFormatting>
  <conditionalFormatting sqref="R758">
    <cfRule type="duplicateValues" dxfId="4485" priority="4564"/>
  </conditionalFormatting>
  <conditionalFormatting sqref="Q758">
    <cfRule type="duplicateValues" dxfId="4484" priority="4562"/>
    <cfRule type="duplicateValues" dxfId="4483" priority="4563"/>
  </conditionalFormatting>
  <conditionalFormatting sqref="Q758">
    <cfRule type="duplicateValues" dxfId="4482" priority="4559"/>
    <cfRule type="duplicateValues" dxfId="4481" priority="4560"/>
    <cfRule type="duplicateValues" dxfId="4480" priority="4561"/>
  </conditionalFormatting>
  <conditionalFormatting sqref="R758">
    <cfRule type="duplicateValues" dxfId="4479" priority="4556"/>
    <cfRule type="duplicateValues" dxfId="4478" priority="4557"/>
    <cfRule type="duplicateValues" dxfId="4477" priority="4558"/>
  </conditionalFormatting>
  <conditionalFormatting sqref="Q758">
    <cfRule type="duplicateValues" dxfId="4476" priority="4555"/>
  </conditionalFormatting>
  <conditionalFormatting sqref="Q758">
    <cfRule type="duplicateValues" dxfId="4475" priority="4554"/>
  </conditionalFormatting>
  <conditionalFormatting sqref="Q758">
    <cfRule type="duplicateValues" dxfId="4474" priority="4553"/>
  </conditionalFormatting>
  <conditionalFormatting sqref="Q759:Q760">
    <cfRule type="duplicateValues" dxfId="4473" priority="4552"/>
  </conditionalFormatting>
  <conditionalFormatting sqref="Q759:R760">
    <cfRule type="duplicateValues" dxfId="4472" priority="4551"/>
  </conditionalFormatting>
  <conditionalFormatting sqref="Q759:R760">
    <cfRule type="duplicateValues" dxfId="4471" priority="4548"/>
    <cfRule type="duplicateValues" dxfId="4470" priority="4549"/>
    <cfRule type="duplicateValues" dxfId="4469" priority="4550"/>
  </conditionalFormatting>
  <conditionalFormatting sqref="R759:R760">
    <cfRule type="duplicateValues" dxfId="4468" priority="4547"/>
  </conditionalFormatting>
  <conditionalFormatting sqref="Q759:Q760">
    <cfRule type="duplicateValues" dxfId="4467" priority="4545"/>
    <cfRule type="duplicateValues" dxfId="4466" priority="4546"/>
  </conditionalFormatting>
  <conditionalFormatting sqref="Q759:Q760">
    <cfRule type="duplicateValues" dxfId="4465" priority="4542"/>
    <cfRule type="duplicateValues" dxfId="4464" priority="4543"/>
    <cfRule type="duplicateValues" dxfId="4463" priority="4544"/>
  </conditionalFormatting>
  <conditionalFormatting sqref="R759:R760">
    <cfRule type="duplicateValues" dxfId="4462" priority="4539"/>
    <cfRule type="duplicateValues" dxfId="4461" priority="4540"/>
    <cfRule type="duplicateValues" dxfId="4460" priority="4541"/>
  </conditionalFormatting>
  <conditionalFormatting sqref="Q759:Q760">
    <cfRule type="duplicateValues" dxfId="4459" priority="4538"/>
  </conditionalFormatting>
  <conditionalFormatting sqref="Q759:Q760">
    <cfRule type="duplicateValues" dxfId="4458" priority="4537"/>
  </conditionalFormatting>
  <conditionalFormatting sqref="Q759:Q760">
    <cfRule type="duplicateValues" dxfId="4457" priority="4536"/>
  </conditionalFormatting>
  <conditionalFormatting sqref="Q761:Q762">
    <cfRule type="duplicateValues" dxfId="4456" priority="4535"/>
  </conditionalFormatting>
  <conditionalFormatting sqref="Q761:Q762">
    <cfRule type="duplicateValues" dxfId="4455" priority="4534"/>
  </conditionalFormatting>
  <conditionalFormatting sqref="Q761:Q762">
    <cfRule type="duplicateValues" dxfId="4454" priority="4533"/>
  </conditionalFormatting>
  <conditionalFormatting sqref="Q761:R762">
    <cfRule type="duplicateValues" dxfId="4453" priority="4532"/>
  </conditionalFormatting>
  <conditionalFormatting sqref="Q761:R762">
    <cfRule type="duplicateValues" dxfId="4452" priority="4529"/>
    <cfRule type="duplicateValues" dxfId="4451" priority="4530"/>
    <cfRule type="duplicateValues" dxfId="4450" priority="4531"/>
  </conditionalFormatting>
  <conditionalFormatting sqref="R761:R762">
    <cfRule type="duplicateValues" dxfId="4449" priority="4528"/>
  </conditionalFormatting>
  <conditionalFormatting sqref="Q761:Q762">
    <cfRule type="duplicateValues" dxfId="4448" priority="4526"/>
    <cfRule type="duplicateValues" dxfId="4447" priority="4527"/>
  </conditionalFormatting>
  <conditionalFormatting sqref="Q761:Q762">
    <cfRule type="duplicateValues" dxfId="4446" priority="4523"/>
    <cfRule type="duplicateValues" dxfId="4445" priority="4524"/>
    <cfRule type="duplicateValues" dxfId="4444" priority="4525"/>
  </conditionalFormatting>
  <conditionalFormatting sqref="R761:R762">
    <cfRule type="duplicateValues" dxfId="4443" priority="4520"/>
    <cfRule type="duplicateValues" dxfId="4442" priority="4521"/>
    <cfRule type="duplicateValues" dxfId="4441" priority="4522"/>
  </conditionalFormatting>
  <conditionalFormatting sqref="Q761:Q762">
    <cfRule type="duplicateValues" dxfId="4440" priority="4519"/>
  </conditionalFormatting>
  <conditionalFormatting sqref="Q763:Q764">
    <cfRule type="duplicateValues" dxfId="4439" priority="4518"/>
  </conditionalFormatting>
  <conditionalFormatting sqref="Q763:Q764">
    <cfRule type="duplicateValues" dxfId="4438" priority="4517"/>
  </conditionalFormatting>
  <conditionalFormatting sqref="Q763:Q764">
    <cfRule type="duplicateValues" dxfId="4437" priority="4516"/>
  </conditionalFormatting>
  <conditionalFormatting sqref="Q763:R764">
    <cfRule type="duplicateValues" dxfId="4436" priority="4515"/>
  </conditionalFormatting>
  <conditionalFormatting sqref="Q763:R764">
    <cfRule type="duplicateValues" dxfId="4435" priority="4512"/>
    <cfRule type="duplicateValues" dxfId="4434" priority="4513"/>
    <cfRule type="duplicateValues" dxfId="4433" priority="4514"/>
  </conditionalFormatting>
  <conditionalFormatting sqref="R763:R764">
    <cfRule type="duplicateValues" dxfId="4432" priority="4511"/>
  </conditionalFormatting>
  <conditionalFormatting sqref="Q763:Q764">
    <cfRule type="duplicateValues" dxfId="4431" priority="4509"/>
    <cfRule type="duplicateValues" dxfId="4430" priority="4510"/>
  </conditionalFormatting>
  <conditionalFormatting sqref="Q763:Q764">
    <cfRule type="duplicateValues" dxfId="4429" priority="4506"/>
    <cfRule type="duplicateValues" dxfId="4428" priority="4507"/>
    <cfRule type="duplicateValues" dxfId="4427" priority="4508"/>
  </conditionalFormatting>
  <conditionalFormatting sqref="R763:R764">
    <cfRule type="duplicateValues" dxfId="4426" priority="4503"/>
    <cfRule type="duplicateValues" dxfId="4425" priority="4504"/>
    <cfRule type="duplicateValues" dxfId="4424" priority="4505"/>
  </conditionalFormatting>
  <conditionalFormatting sqref="Q763:Q764">
    <cfRule type="duplicateValues" dxfId="4423" priority="4502"/>
  </conditionalFormatting>
  <conditionalFormatting sqref="Q765:Q766">
    <cfRule type="duplicateValues" dxfId="4422" priority="4501"/>
  </conditionalFormatting>
  <conditionalFormatting sqref="Q765:Q766">
    <cfRule type="duplicateValues" dxfId="4421" priority="4500"/>
  </conditionalFormatting>
  <conditionalFormatting sqref="Q765:Q766">
    <cfRule type="duplicateValues" dxfId="4420" priority="4499"/>
  </conditionalFormatting>
  <conditionalFormatting sqref="R765:R766">
    <cfRule type="duplicateValues" dxfId="4419" priority="4498"/>
  </conditionalFormatting>
  <conditionalFormatting sqref="R765:R766">
    <cfRule type="duplicateValues" dxfId="4418" priority="4495"/>
    <cfRule type="duplicateValues" dxfId="4417" priority="4496"/>
    <cfRule type="duplicateValues" dxfId="4416" priority="4497"/>
  </conditionalFormatting>
  <conditionalFormatting sqref="Q767:Q772">
    <cfRule type="duplicateValues" dxfId="4415" priority="4494"/>
  </conditionalFormatting>
  <conditionalFormatting sqref="R767:R772">
    <cfRule type="duplicateValues" dxfId="4414" priority="4493"/>
  </conditionalFormatting>
  <conditionalFormatting sqref="R767:R772">
    <cfRule type="duplicateValues" dxfId="4413" priority="4490"/>
    <cfRule type="duplicateValues" dxfId="4412" priority="4491"/>
    <cfRule type="duplicateValues" dxfId="4411" priority="4492"/>
  </conditionalFormatting>
  <conditionalFormatting sqref="Q767:Q772">
    <cfRule type="duplicateValues" dxfId="4410" priority="4489"/>
  </conditionalFormatting>
  <conditionalFormatting sqref="Q767:Q772">
    <cfRule type="duplicateValues" dxfId="4409" priority="4488"/>
  </conditionalFormatting>
  <conditionalFormatting sqref="Q773">
    <cfRule type="duplicateValues" dxfId="4408" priority="4487"/>
  </conditionalFormatting>
  <conditionalFormatting sqref="Q773">
    <cfRule type="duplicateValues" dxfId="4407" priority="4486"/>
  </conditionalFormatting>
  <conditionalFormatting sqref="Q773">
    <cfRule type="duplicateValues" dxfId="4406" priority="4485"/>
  </conditionalFormatting>
  <conditionalFormatting sqref="Q773">
    <cfRule type="duplicateValues" dxfId="4405" priority="4484"/>
  </conditionalFormatting>
  <conditionalFormatting sqref="Q773">
    <cfRule type="duplicateValues" dxfId="4404" priority="4483"/>
  </conditionalFormatting>
  <conditionalFormatting sqref="Q773:R773">
    <cfRule type="duplicateValues" dxfId="4403" priority="4482"/>
  </conditionalFormatting>
  <conditionalFormatting sqref="Q773:R773">
    <cfRule type="duplicateValues" dxfId="4402" priority="4479"/>
    <cfRule type="duplicateValues" dxfId="4401" priority="4480"/>
    <cfRule type="duplicateValues" dxfId="4400" priority="4481"/>
  </conditionalFormatting>
  <conditionalFormatting sqref="R773">
    <cfRule type="duplicateValues" dxfId="4399" priority="4478"/>
  </conditionalFormatting>
  <conditionalFormatting sqref="Q773">
    <cfRule type="duplicateValues" dxfId="4398" priority="4477"/>
  </conditionalFormatting>
  <conditionalFormatting sqref="Q773">
    <cfRule type="duplicateValues" dxfId="4397" priority="4474"/>
    <cfRule type="duplicateValues" dxfId="4396" priority="4475"/>
    <cfRule type="duplicateValues" dxfId="4395" priority="4476"/>
  </conditionalFormatting>
  <conditionalFormatting sqref="R773">
    <cfRule type="duplicateValues" dxfId="4394" priority="4471"/>
    <cfRule type="duplicateValues" dxfId="4393" priority="4472"/>
    <cfRule type="duplicateValues" dxfId="4392" priority="4473"/>
  </conditionalFormatting>
  <conditionalFormatting sqref="Q773">
    <cfRule type="duplicateValues" dxfId="4391" priority="4469"/>
    <cfRule type="duplicateValues" dxfId="4390" priority="4470"/>
  </conditionalFormatting>
  <conditionalFormatting sqref="Q774">
    <cfRule type="duplicateValues" dxfId="4389" priority="4468"/>
  </conditionalFormatting>
  <conditionalFormatting sqref="Q774:R774">
    <cfRule type="duplicateValues" dxfId="4388" priority="4467"/>
  </conditionalFormatting>
  <conditionalFormatting sqref="Q774:R774">
    <cfRule type="duplicateValues" dxfId="4387" priority="4464"/>
    <cfRule type="duplicateValues" dxfId="4386" priority="4465"/>
    <cfRule type="duplicateValues" dxfId="4385" priority="4466"/>
  </conditionalFormatting>
  <conditionalFormatting sqref="R774">
    <cfRule type="duplicateValues" dxfId="4384" priority="4463"/>
  </conditionalFormatting>
  <conditionalFormatting sqref="Q774">
    <cfRule type="duplicateValues" dxfId="4383" priority="4461"/>
    <cfRule type="duplicateValues" dxfId="4382" priority="4462"/>
  </conditionalFormatting>
  <conditionalFormatting sqref="Q774">
    <cfRule type="duplicateValues" dxfId="4381" priority="4458"/>
    <cfRule type="duplicateValues" dxfId="4380" priority="4459"/>
    <cfRule type="duplicateValues" dxfId="4379" priority="4460"/>
  </conditionalFormatting>
  <conditionalFormatting sqref="R774">
    <cfRule type="duplicateValues" dxfId="4378" priority="4455"/>
    <cfRule type="duplicateValues" dxfId="4377" priority="4456"/>
    <cfRule type="duplicateValues" dxfId="4376" priority="4457"/>
  </conditionalFormatting>
  <conditionalFormatting sqref="Q774">
    <cfRule type="duplicateValues" dxfId="4375" priority="4454"/>
  </conditionalFormatting>
  <conditionalFormatting sqref="Q774">
    <cfRule type="duplicateValues" dxfId="4374" priority="4453"/>
  </conditionalFormatting>
  <conditionalFormatting sqref="Q774">
    <cfRule type="duplicateValues" dxfId="4373" priority="4452"/>
  </conditionalFormatting>
  <conditionalFormatting sqref="Q775">
    <cfRule type="duplicateValues" dxfId="4372" priority="4451"/>
  </conditionalFormatting>
  <conditionalFormatting sqref="Q775">
    <cfRule type="duplicateValues" dxfId="4371" priority="4450"/>
  </conditionalFormatting>
  <conditionalFormatting sqref="Q775">
    <cfRule type="duplicateValues" dxfId="4370" priority="4449"/>
  </conditionalFormatting>
  <conditionalFormatting sqref="Q775">
    <cfRule type="duplicateValues" dxfId="4369" priority="4448"/>
  </conditionalFormatting>
  <conditionalFormatting sqref="R775">
    <cfRule type="duplicateValues" dxfId="4368" priority="4447"/>
  </conditionalFormatting>
  <conditionalFormatting sqref="Q775">
    <cfRule type="duplicateValues" dxfId="4367" priority="4445"/>
    <cfRule type="duplicateValues" dxfId="4366" priority="4446"/>
  </conditionalFormatting>
  <conditionalFormatting sqref="Q775">
    <cfRule type="duplicateValues" dxfId="4365" priority="4444"/>
  </conditionalFormatting>
  <conditionalFormatting sqref="Q775">
    <cfRule type="duplicateValues" dxfId="4364" priority="4443"/>
  </conditionalFormatting>
  <conditionalFormatting sqref="Q775">
    <cfRule type="duplicateValues" dxfId="4363" priority="4442"/>
  </conditionalFormatting>
  <conditionalFormatting sqref="Q775">
    <cfRule type="duplicateValues" dxfId="4362" priority="4441"/>
  </conditionalFormatting>
  <conditionalFormatting sqref="Q775">
    <cfRule type="duplicateValues" dxfId="4361" priority="4440"/>
  </conditionalFormatting>
  <conditionalFormatting sqref="Q775">
    <cfRule type="duplicateValues" dxfId="4360" priority="4439"/>
  </conditionalFormatting>
  <conditionalFormatting sqref="Q775">
    <cfRule type="duplicateValues" dxfId="4359" priority="4438"/>
  </conditionalFormatting>
  <conditionalFormatting sqref="Q775">
    <cfRule type="duplicateValues" dxfId="4358" priority="4437"/>
  </conditionalFormatting>
  <conditionalFormatting sqref="Q775:R775">
    <cfRule type="duplicateValues" dxfId="4357" priority="4436"/>
  </conditionalFormatting>
  <conditionalFormatting sqref="Q775">
    <cfRule type="duplicateValues" dxfId="4356" priority="4435"/>
  </conditionalFormatting>
  <conditionalFormatting sqref="R775">
    <cfRule type="duplicateValues" dxfId="4355" priority="4434"/>
  </conditionalFormatting>
  <conditionalFormatting sqref="Q775:R775">
    <cfRule type="duplicateValues" dxfId="4354" priority="4431"/>
    <cfRule type="duplicateValues" dxfId="4353" priority="4432"/>
    <cfRule type="duplicateValues" dxfId="4352" priority="4433"/>
  </conditionalFormatting>
  <conditionalFormatting sqref="Q775">
    <cfRule type="duplicateValues" dxfId="4351" priority="4430"/>
  </conditionalFormatting>
  <conditionalFormatting sqref="Q775">
    <cfRule type="duplicateValues" dxfId="4350" priority="4429"/>
  </conditionalFormatting>
  <conditionalFormatting sqref="Q775">
    <cfRule type="duplicateValues" dxfId="4349" priority="4428"/>
  </conditionalFormatting>
  <conditionalFormatting sqref="Q776">
    <cfRule type="duplicateValues" dxfId="4348" priority="4427"/>
  </conditionalFormatting>
  <conditionalFormatting sqref="Q776:R776">
    <cfRule type="duplicateValues" dxfId="4347" priority="4426"/>
  </conditionalFormatting>
  <conditionalFormatting sqref="Q776:R776">
    <cfRule type="duplicateValues" dxfId="4346" priority="4423"/>
    <cfRule type="duplicateValues" dxfId="4345" priority="4424"/>
    <cfRule type="duplicateValues" dxfId="4344" priority="4425"/>
  </conditionalFormatting>
  <conditionalFormatting sqref="R776">
    <cfRule type="duplicateValues" dxfId="4343" priority="4422"/>
  </conditionalFormatting>
  <conditionalFormatting sqref="Q776">
    <cfRule type="duplicateValues" dxfId="4342" priority="4420"/>
    <cfRule type="duplicateValues" dxfId="4341" priority="4421"/>
  </conditionalFormatting>
  <conditionalFormatting sqref="Q776">
    <cfRule type="duplicateValues" dxfId="4340" priority="4417"/>
    <cfRule type="duplicateValues" dxfId="4339" priority="4418"/>
    <cfRule type="duplicateValues" dxfId="4338" priority="4419"/>
  </conditionalFormatting>
  <conditionalFormatting sqref="R776">
    <cfRule type="duplicateValues" dxfId="4337" priority="4414"/>
    <cfRule type="duplicateValues" dxfId="4336" priority="4415"/>
    <cfRule type="duplicateValues" dxfId="4335" priority="4416"/>
  </conditionalFormatting>
  <conditionalFormatting sqref="Q776">
    <cfRule type="duplicateValues" dxfId="4334" priority="4413"/>
  </conditionalFormatting>
  <conditionalFormatting sqref="Q776">
    <cfRule type="duplicateValues" dxfId="4333" priority="4412"/>
  </conditionalFormatting>
  <conditionalFormatting sqref="Q776">
    <cfRule type="duplicateValues" dxfId="4332" priority="4411"/>
  </conditionalFormatting>
  <conditionalFormatting sqref="Q777:R778">
    <cfRule type="duplicateValues" dxfId="4331" priority="4410"/>
  </conditionalFormatting>
  <conditionalFormatting sqref="Q777:R778">
    <cfRule type="duplicateValues" dxfId="4330" priority="4407"/>
    <cfRule type="duplicateValues" dxfId="4329" priority="4408"/>
    <cfRule type="duplicateValues" dxfId="4328" priority="4409"/>
  </conditionalFormatting>
  <conditionalFormatting sqref="R777:R778">
    <cfRule type="duplicateValues" dxfId="4327" priority="4406"/>
  </conditionalFormatting>
  <conditionalFormatting sqref="Q777:R778">
    <cfRule type="duplicateValues" dxfId="4326" priority="4405"/>
  </conditionalFormatting>
  <conditionalFormatting sqref="Q777:Q778">
    <cfRule type="duplicateValues" dxfId="4325" priority="4404"/>
  </conditionalFormatting>
  <conditionalFormatting sqref="Q777:Q778">
    <cfRule type="duplicateValues" dxfId="4324" priority="4403"/>
  </conditionalFormatting>
  <conditionalFormatting sqref="Q777:Q778">
    <cfRule type="duplicateValues" dxfId="4323" priority="4402"/>
  </conditionalFormatting>
  <conditionalFormatting sqref="Q777:Q778">
    <cfRule type="duplicateValues" dxfId="4322" priority="4401"/>
  </conditionalFormatting>
  <conditionalFormatting sqref="R777:R778">
    <cfRule type="duplicateValues" dxfId="4321" priority="4400"/>
  </conditionalFormatting>
  <conditionalFormatting sqref="Q777:Q778">
    <cfRule type="duplicateValues" dxfId="4320" priority="4398"/>
    <cfRule type="duplicateValues" dxfId="4319" priority="4399"/>
  </conditionalFormatting>
  <conditionalFormatting sqref="Q777:Q778">
    <cfRule type="duplicateValues" dxfId="4318" priority="4397"/>
  </conditionalFormatting>
  <conditionalFormatting sqref="Q777:Q778">
    <cfRule type="duplicateValues" dxfId="4317" priority="4396"/>
  </conditionalFormatting>
  <conditionalFormatting sqref="Q777:Q778">
    <cfRule type="duplicateValues" dxfId="4316" priority="4395"/>
  </conditionalFormatting>
  <conditionalFormatting sqref="Q777:Q778">
    <cfRule type="duplicateValues" dxfId="4315" priority="4394"/>
  </conditionalFormatting>
  <conditionalFormatting sqref="Q777:Q778">
    <cfRule type="duplicateValues" dxfId="4314" priority="4393"/>
  </conditionalFormatting>
  <conditionalFormatting sqref="Q777:Q778">
    <cfRule type="duplicateValues" dxfId="4313" priority="4392"/>
  </conditionalFormatting>
  <conditionalFormatting sqref="Q777:Q778">
    <cfRule type="duplicateValues" dxfId="4312" priority="4391"/>
  </conditionalFormatting>
  <conditionalFormatting sqref="Q777:Q778">
    <cfRule type="duplicateValues" dxfId="4311" priority="4390"/>
  </conditionalFormatting>
  <conditionalFormatting sqref="Q777:Q778">
    <cfRule type="duplicateValues" dxfId="4310" priority="4389"/>
  </conditionalFormatting>
  <conditionalFormatting sqref="Q777:Q778">
    <cfRule type="duplicateValues" dxfId="4309" priority="4386"/>
    <cfRule type="duplicateValues" dxfId="4308" priority="4387"/>
    <cfRule type="duplicateValues" dxfId="4307" priority="4388"/>
  </conditionalFormatting>
  <conditionalFormatting sqref="R777:R778">
    <cfRule type="duplicateValues" dxfId="4306" priority="4385"/>
  </conditionalFormatting>
  <conditionalFormatting sqref="R777:R778">
    <cfRule type="duplicateValues" dxfId="4305" priority="4382"/>
    <cfRule type="duplicateValues" dxfId="4304" priority="4383"/>
    <cfRule type="duplicateValues" dxfId="4303" priority="4384"/>
  </conditionalFormatting>
  <conditionalFormatting sqref="Q777:Q778">
    <cfRule type="duplicateValues" dxfId="4302" priority="4381"/>
  </conditionalFormatting>
  <conditionalFormatting sqref="Q777:Q778">
    <cfRule type="duplicateValues" dxfId="4301" priority="4380"/>
  </conditionalFormatting>
  <conditionalFormatting sqref="Q777:Q778">
    <cfRule type="duplicateValues" dxfId="4300" priority="4379"/>
  </conditionalFormatting>
  <conditionalFormatting sqref="Q779">
    <cfRule type="duplicateValues" dxfId="4299" priority="4378"/>
  </conditionalFormatting>
  <conditionalFormatting sqref="Q779:R779">
    <cfRule type="duplicateValues" dxfId="4298" priority="4377"/>
  </conditionalFormatting>
  <conditionalFormatting sqref="Q779:R779">
    <cfRule type="duplicateValues" dxfId="4297" priority="4374"/>
    <cfRule type="duplicateValues" dxfId="4296" priority="4375"/>
    <cfRule type="duplicateValues" dxfId="4295" priority="4376"/>
  </conditionalFormatting>
  <conditionalFormatting sqref="R779">
    <cfRule type="duplicateValues" dxfId="4294" priority="4373"/>
  </conditionalFormatting>
  <conditionalFormatting sqref="Q779">
    <cfRule type="duplicateValues" dxfId="4293" priority="4371"/>
    <cfRule type="duplicateValues" dxfId="4292" priority="4372"/>
  </conditionalFormatting>
  <conditionalFormatting sqref="Q779">
    <cfRule type="duplicateValues" dxfId="4291" priority="4368"/>
    <cfRule type="duplicateValues" dxfId="4290" priority="4369"/>
    <cfRule type="duplicateValues" dxfId="4289" priority="4370"/>
  </conditionalFormatting>
  <conditionalFormatting sqref="R779">
    <cfRule type="duplicateValues" dxfId="4288" priority="4365"/>
    <cfRule type="duplicateValues" dxfId="4287" priority="4366"/>
    <cfRule type="duplicateValues" dxfId="4286" priority="4367"/>
  </conditionalFormatting>
  <conditionalFormatting sqref="Q779">
    <cfRule type="duplicateValues" dxfId="4285" priority="4364"/>
  </conditionalFormatting>
  <conditionalFormatting sqref="Q779">
    <cfRule type="duplicateValues" dxfId="4284" priority="4363"/>
  </conditionalFormatting>
  <conditionalFormatting sqref="Q779">
    <cfRule type="duplicateValues" dxfId="4283" priority="4362"/>
  </conditionalFormatting>
  <conditionalFormatting sqref="Q780:Q781">
    <cfRule type="duplicateValues" dxfId="4282" priority="4361"/>
  </conditionalFormatting>
  <conditionalFormatting sqref="Q780:R781">
    <cfRule type="duplicateValues" dxfId="4281" priority="4360"/>
  </conditionalFormatting>
  <conditionalFormatting sqref="Q780:R781">
    <cfRule type="duplicateValues" dxfId="4280" priority="4357"/>
    <cfRule type="duplicateValues" dxfId="4279" priority="4358"/>
    <cfRule type="duplicateValues" dxfId="4278" priority="4359"/>
  </conditionalFormatting>
  <conditionalFormatting sqref="R780:R781">
    <cfRule type="duplicateValues" dxfId="4277" priority="4356"/>
  </conditionalFormatting>
  <conditionalFormatting sqref="Q780:Q781">
    <cfRule type="duplicateValues" dxfId="4276" priority="4354"/>
    <cfRule type="duplicateValues" dxfId="4275" priority="4355"/>
  </conditionalFormatting>
  <conditionalFormatting sqref="Q780:Q781">
    <cfRule type="duplicateValues" dxfId="4274" priority="4351"/>
    <cfRule type="duplicateValues" dxfId="4273" priority="4352"/>
    <cfRule type="duplicateValues" dxfId="4272" priority="4353"/>
  </conditionalFormatting>
  <conditionalFormatting sqref="R780:R781">
    <cfRule type="duplicateValues" dxfId="4271" priority="4348"/>
    <cfRule type="duplicateValues" dxfId="4270" priority="4349"/>
    <cfRule type="duplicateValues" dxfId="4269" priority="4350"/>
  </conditionalFormatting>
  <conditionalFormatting sqref="Q780:Q781">
    <cfRule type="duplicateValues" dxfId="4268" priority="4347"/>
  </conditionalFormatting>
  <conditionalFormatting sqref="Q780:Q781">
    <cfRule type="duplicateValues" dxfId="4267" priority="4346"/>
  </conditionalFormatting>
  <conditionalFormatting sqref="Q780:Q781">
    <cfRule type="duplicateValues" dxfId="4266" priority="4345"/>
  </conditionalFormatting>
  <conditionalFormatting sqref="Q782">
    <cfRule type="duplicateValues" dxfId="4265" priority="4344"/>
  </conditionalFormatting>
  <conditionalFormatting sqref="Q782">
    <cfRule type="duplicateValues" dxfId="4264" priority="4343"/>
  </conditionalFormatting>
  <conditionalFormatting sqref="Q782">
    <cfRule type="duplicateValues" dxfId="4263" priority="4342"/>
  </conditionalFormatting>
  <conditionalFormatting sqref="Q782">
    <cfRule type="duplicateValues" dxfId="4262" priority="4341"/>
  </conditionalFormatting>
  <conditionalFormatting sqref="Q782:R782">
    <cfRule type="duplicateValues" dxfId="4261" priority="4340"/>
  </conditionalFormatting>
  <conditionalFormatting sqref="Q782:R782">
    <cfRule type="duplicateValues" dxfId="4260" priority="4337"/>
    <cfRule type="duplicateValues" dxfId="4259" priority="4338"/>
    <cfRule type="duplicateValues" dxfId="4258" priority="4339"/>
  </conditionalFormatting>
  <conditionalFormatting sqref="R782">
    <cfRule type="duplicateValues" dxfId="4257" priority="4336"/>
  </conditionalFormatting>
  <conditionalFormatting sqref="Q782">
    <cfRule type="duplicateValues" dxfId="4256" priority="4334"/>
    <cfRule type="duplicateValues" dxfId="4255" priority="4335"/>
  </conditionalFormatting>
  <conditionalFormatting sqref="Q782">
    <cfRule type="duplicateValues" dxfId="4254" priority="4331"/>
    <cfRule type="duplicateValues" dxfId="4253" priority="4332"/>
    <cfRule type="duplicateValues" dxfId="4252" priority="4333"/>
  </conditionalFormatting>
  <conditionalFormatting sqref="R782">
    <cfRule type="duplicateValues" dxfId="4251" priority="4328"/>
    <cfRule type="duplicateValues" dxfId="4250" priority="4329"/>
    <cfRule type="duplicateValues" dxfId="4249" priority="4330"/>
  </conditionalFormatting>
  <conditionalFormatting sqref="R783">
    <cfRule type="duplicateValues" dxfId="4248" priority="4327"/>
  </conditionalFormatting>
  <conditionalFormatting sqref="Q783">
    <cfRule type="duplicateValues" dxfId="4247" priority="4325"/>
    <cfRule type="duplicateValues" dxfId="4246" priority="4326"/>
  </conditionalFormatting>
  <conditionalFormatting sqref="Q783">
    <cfRule type="duplicateValues" dxfId="4245" priority="4324"/>
  </conditionalFormatting>
  <conditionalFormatting sqref="Q783">
    <cfRule type="duplicateValues" dxfId="4244" priority="4323"/>
  </conditionalFormatting>
  <conditionalFormatting sqref="Q783">
    <cfRule type="duplicateValues" dxfId="4243" priority="4322"/>
  </conditionalFormatting>
  <conditionalFormatting sqref="Q783">
    <cfRule type="duplicateValues" dxfId="4242" priority="4321"/>
  </conditionalFormatting>
  <conditionalFormatting sqref="Q783">
    <cfRule type="duplicateValues" dxfId="4241" priority="4320"/>
  </conditionalFormatting>
  <conditionalFormatting sqref="Q783">
    <cfRule type="duplicateValues" dxfId="4240" priority="4319"/>
  </conditionalFormatting>
  <conditionalFormatting sqref="Q783">
    <cfRule type="duplicateValues" dxfId="4239" priority="4318"/>
  </conditionalFormatting>
  <conditionalFormatting sqref="Q783">
    <cfRule type="duplicateValues" dxfId="4238" priority="4317"/>
  </conditionalFormatting>
  <conditionalFormatting sqref="Q783">
    <cfRule type="duplicateValues" dxfId="4237" priority="4316"/>
  </conditionalFormatting>
  <conditionalFormatting sqref="Q783">
    <cfRule type="duplicateValues" dxfId="4236" priority="4315"/>
  </conditionalFormatting>
  <conditionalFormatting sqref="Q783">
    <cfRule type="duplicateValues" dxfId="4235" priority="4314"/>
  </conditionalFormatting>
  <conditionalFormatting sqref="Q783">
    <cfRule type="duplicateValues" dxfId="4234" priority="4311"/>
    <cfRule type="duplicateValues" dxfId="4233" priority="4312"/>
    <cfRule type="duplicateValues" dxfId="4232" priority="4313"/>
  </conditionalFormatting>
  <conditionalFormatting sqref="R783">
    <cfRule type="duplicateValues" dxfId="4231" priority="4310"/>
  </conditionalFormatting>
  <conditionalFormatting sqref="R783">
    <cfRule type="duplicateValues" dxfId="4230" priority="4307"/>
    <cfRule type="duplicateValues" dxfId="4229" priority="4308"/>
    <cfRule type="duplicateValues" dxfId="4228" priority="4309"/>
  </conditionalFormatting>
  <conditionalFormatting sqref="Q783">
    <cfRule type="duplicateValues" dxfId="4227" priority="4306"/>
  </conditionalFormatting>
  <conditionalFormatting sqref="Q784">
    <cfRule type="duplicateValues" dxfId="4226" priority="4305"/>
  </conditionalFormatting>
  <conditionalFormatting sqref="Q784">
    <cfRule type="duplicateValues" dxfId="4225" priority="4304"/>
  </conditionalFormatting>
  <conditionalFormatting sqref="Q784:R784">
    <cfRule type="duplicateValues" dxfId="4224" priority="4303"/>
  </conditionalFormatting>
  <conditionalFormatting sqref="Q784:R784">
    <cfRule type="duplicateValues" dxfId="4223" priority="4300"/>
    <cfRule type="duplicateValues" dxfId="4222" priority="4301"/>
    <cfRule type="duplicateValues" dxfId="4221" priority="4302"/>
  </conditionalFormatting>
  <conditionalFormatting sqref="R784">
    <cfRule type="duplicateValues" dxfId="4220" priority="4299"/>
  </conditionalFormatting>
  <conditionalFormatting sqref="Q784">
    <cfRule type="duplicateValues" dxfId="4219" priority="4298"/>
  </conditionalFormatting>
  <conditionalFormatting sqref="Q784">
    <cfRule type="duplicateValues" dxfId="4218" priority="4295"/>
    <cfRule type="duplicateValues" dxfId="4217" priority="4296"/>
    <cfRule type="duplicateValues" dxfId="4216" priority="4297"/>
  </conditionalFormatting>
  <conditionalFormatting sqref="R784">
    <cfRule type="duplicateValues" dxfId="4215" priority="4292"/>
    <cfRule type="duplicateValues" dxfId="4214" priority="4293"/>
    <cfRule type="duplicateValues" dxfId="4213" priority="4294"/>
  </conditionalFormatting>
  <conditionalFormatting sqref="Q784">
    <cfRule type="duplicateValues" dxfId="4212" priority="4290"/>
    <cfRule type="duplicateValues" dxfId="4211" priority="4291"/>
  </conditionalFormatting>
  <conditionalFormatting sqref="Q784">
    <cfRule type="duplicateValues" dxfId="4210" priority="4289"/>
  </conditionalFormatting>
  <conditionalFormatting sqref="Q784">
    <cfRule type="duplicateValues" dxfId="4209" priority="4288"/>
  </conditionalFormatting>
  <conditionalFormatting sqref="Q784">
    <cfRule type="duplicateValues" dxfId="4208" priority="4287"/>
  </conditionalFormatting>
  <conditionalFormatting sqref="Q785">
    <cfRule type="duplicateValues" dxfId="4207" priority="4286"/>
  </conditionalFormatting>
  <conditionalFormatting sqref="Q785">
    <cfRule type="duplicateValues" dxfId="4206" priority="4285"/>
  </conditionalFormatting>
  <conditionalFormatting sqref="Q785:R785">
    <cfRule type="duplicateValues" dxfId="4205" priority="4284"/>
  </conditionalFormatting>
  <conditionalFormatting sqref="Q785:R785">
    <cfRule type="duplicateValues" dxfId="4204" priority="4281"/>
    <cfRule type="duplicateValues" dxfId="4203" priority="4282"/>
    <cfRule type="duplicateValues" dxfId="4202" priority="4283"/>
  </conditionalFormatting>
  <conditionalFormatting sqref="R785">
    <cfRule type="duplicateValues" dxfId="4201" priority="4280"/>
  </conditionalFormatting>
  <conditionalFormatting sqref="Q785">
    <cfRule type="duplicateValues" dxfId="4200" priority="4279"/>
  </conditionalFormatting>
  <conditionalFormatting sqref="Q785">
    <cfRule type="duplicateValues" dxfId="4199" priority="4276"/>
    <cfRule type="duplicateValues" dxfId="4198" priority="4277"/>
    <cfRule type="duplicateValues" dxfId="4197" priority="4278"/>
  </conditionalFormatting>
  <conditionalFormatting sqref="R785">
    <cfRule type="duplicateValues" dxfId="4196" priority="4273"/>
    <cfRule type="duplicateValues" dxfId="4195" priority="4274"/>
    <cfRule type="duplicateValues" dxfId="4194" priority="4275"/>
  </conditionalFormatting>
  <conditionalFormatting sqref="Q785">
    <cfRule type="duplicateValues" dxfId="4193" priority="4271"/>
    <cfRule type="duplicateValues" dxfId="4192" priority="4272"/>
  </conditionalFormatting>
  <conditionalFormatting sqref="Q785">
    <cfRule type="duplicateValues" dxfId="4191" priority="4270"/>
  </conditionalFormatting>
  <conditionalFormatting sqref="Q785">
    <cfRule type="duplicateValues" dxfId="4190" priority="4269"/>
  </conditionalFormatting>
  <conditionalFormatting sqref="Q785">
    <cfRule type="duplicateValues" dxfId="4189" priority="4268"/>
  </conditionalFormatting>
  <conditionalFormatting sqref="Q786">
    <cfRule type="duplicateValues" dxfId="4188" priority="4267"/>
  </conditionalFormatting>
  <conditionalFormatting sqref="Q786">
    <cfRule type="duplicateValues" dxfId="4187" priority="4266"/>
  </conditionalFormatting>
  <conditionalFormatting sqref="Q786">
    <cfRule type="duplicateValues" dxfId="4186" priority="4265"/>
  </conditionalFormatting>
  <conditionalFormatting sqref="Q786">
    <cfRule type="duplicateValues" dxfId="4185" priority="4264"/>
  </conditionalFormatting>
  <conditionalFormatting sqref="Q786">
    <cfRule type="duplicateValues" dxfId="4184" priority="4263"/>
  </conditionalFormatting>
  <conditionalFormatting sqref="Q786:R786">
    <cfRule type="duplicateValues" dxfId="4183" priority="4262"/>
  </conditionalFormatting>
  <conditionalFormatting sqref="Q786:R786">
    <cfRule type="duplicateValues" dxfId="4182" priority="4259"/>
    <cfRule type="duplicateValues" dxfId="4181" priority="4260"/>
    <cfRule type="duplicateValues" dxfId="4180" priority="4261"/>
  </conditionalFormatting>
  <conditionalFormatting sqref="R786">
    <cfRule type="duplicateValues" dxfId="4179" priority="4258"/>
  </conditionalFormatting>
  <conditionalFormatting sqref="Q786">
    <cfRule type="duplicateValues" dxfId="4178" priority="4257"/>
  </conditionalFormatting>
  <conditionalFormatting sqref="Q786">
    <cfRule type="duplicateValues" dxfId="4177" priority="4254"/>
    <cfRule type="duplicateValues" dxfId="4176" priority="4255"/>
    <cfRule type="duplicateValues" dxfId="4175" priority="4256"/>
  </conditionalFormatting>
  <conditionalFormatting sqref="R786">
    <cfRule type="duplicateValues" dxfId="4174" priority="4251"/>
    <cfRule type="duplicateValues" dxfId="4173" priority="4252"/>
    <cfRule type="duplicateValues" dxfId="4172" priority="4253"/>
  </conditionalFormatting>
  <conditionalFormatting sqref="Q786">
    <cfRule type="duplicateValues" dxfId="4171" priority="4249"/>
    <cfRule type="duplicateValues" dxfId="4170" priority="4250"/>
  </conditionalFormatting>
  <conditionalFormatting sqref="Q786">
    <cfRule type="duplicateValues" dxfId="4169" priority="4248"/>
  </conditionalFormatting>
  <conditionalFormatting sqref="Q786">
    <cfRule type="duplicateValues" dxfId="4168" priority="4247"/>
  </conditionalFormatting>
  <conditionalFormatting sqref="Q786">
    <cfRule type="duplicateValues" dxfId="4167" priority="4246"/>
  </conditionalFormatting>
  <conditionalFormatting sqref="Q787:R787">
    <cfRule type="duplicateValues" dxfId="4166" priority="4245"/>
  </conditionalFormatting>
  <conditionalFormatting sqref="Q787:R787">
    <cfRule type="duplicateValues" dxfId="4165" priority="4242"/>
    <cfRule type="duplicateValues" dxfId="4164" priority="4243"/>
    <cfRule type="duplicateValues" dxfId="4163" priority="4244"/>
  </conditionalFormatting>
  <conditionalFormatting sqref="R787">
    <cfRule type="duplicateValues" dxfId="4162" priority="4241"/>
  </conditionalFormatting>
  <conditionalFormatting sqref="Q787:R787">
    <cfRule type="duplicateValues" dxfId="4161" priority="4240"/>
  </conditionalFormatting>
  <conditionalFormatting sqref="Q787">
    <cfRule type="duplicateValues" dxfId="4160" priority="4239"/>
  </conditionalFormatting>
  <conditionalFormatting sqref="Q787">
    <cfRule type="duplicateValues" dxfId="4159" priority="4238"/>
  </conditionalFormatting>
  <conditionalFormatting sqref="Q787">
    <cfRule type="duplicateValues" dxfId="4158" priority="4237"/>
  </conditionalFormatting>
  <conditionalFormatting sqref="Q787">
    <cfRule type="duplicateValues" dxfId="4157" priority="4236"/>
  </conditionalFormatting>
  <conditionalFormatting sqref="R787">
    <cfRule type="duplicateValues" dxfId="4156" priority="4235"/>
  </conditionalFormatting>
  <conditionalFormatting sqref="Q787">
    <cfRule type="duplicateValues" dxfId="4155" priority="4233"/>
    <cfRule type="duplicateValues" dxfId="4154" priority="4234"/>
  </conditionalFormatting>
  <conditionalFormatting sqref="Q787">
    <cfRule type="duplicateValues" dxfId="4153" priority="4232"/>
  </conditionalFormatting>
  <conditionalFormatting sqref="Q787">
    <cfRule type="duplicateValues" dxfId="4152" priority="4231"/>
  </conditionalFormatting>
  <conditionalFormatting sqref="Q787">
    <cfRule type="duplicateValues" dxfId="4151" priority="4230"/>
  </conditionalFormatting>
  <conditionalFormatting sqref="Q787">
    <cfRule type="duplicateValues" dxfId="4150" priority="4229"/>
  </conditionalFormatting>
  <conditionalFormatting sqref="Q787">
    <cfRule type="duplicateValues" dxfId="4149" priority="4228"/>
  </conditionalFormatting>
  <conditionalFormatting sqref="Q787">
    <cfRule type="duplicateValues" dxfId="4148" priority="4227"/>
  </conditionalFormatting>
  <conditionalFormatting sqref="Q787">
    <cfRule type="duplicateValues" dxfId="4147" priority="4226"/>
  </conditionalFormatting>
  <conditionalFormatting sqref="Q787">
    <cfRule type="duplicateValues" dxfId="4146" priority="4225"/>
  </conditionalFormatting>
  <conditionalFormatting sqref="Q787">
    <cfRule type="duplicateValues" dxfId="4145" priority="4224"/>
  </conditionalFormatting>
  <conditionalFormatting sqref="Q787">
    <cfRule type="duplicateValues" dxfId="4144" priority="4223"/>
  </conditionalFormatting>
  <conditionalFormatting sqref="Q787">
    <cfRule type="duplicateValues" dxfId="4143" priority="4222"/>
  </conditionalFormatting>
  <conditionalFormatting sqref="Q787:R787">
    <cfRule type="duplicateValues" dxfId="4142" priority="4221"/>
  </conditionalFormatting>
  <conditionalFormatting sqref="Q787">
    <cfRule type="duplicateValues" dxfId="4141" priority="4220"/>
  </conditionalFormatting>
  <conditionalFormatting sqref="Q787:R787">
    <cfRule type="duplicateValues" dxfId="4140" priority="4219"/>
  </conditionalFormatting>
  <conditionalFormatting sqref="R787">
    <cfRule type="duplicateValues" dxfId="4139" priority="4218"/>
  </conditionalFormatting>
  <conditionalFormatting sqref="Q788:R788">
    <cfRule type="duplicateValues" dxfId="4138" priority="4217"/>
  </conditionalFormatting>
  <conditionalFormatting sqref="Q788:R788">
    <cfRule type="duplicateValues" dxfId="4137" priority="4214"/>
    <cfRule type="duplicateValues" dxfId="4136" priority="4215"/>
    <cfRule type="duplicateValues" dxfId="4135" priority="4216"/>
  </conditionalFormatting>
  <conditionalFormatting sqref="R788">
    <cfRule type="duplicateValues" dxfId="4134" priority="4213"/>
  </conditionalFormatting>
  <conditionalFormatting sqref="Q788:R788">
    <cfRule type="duplicateValues" dxfId="4133" priority="4212"/>
  </conditionalFormatting>
  <conditionalFormatting sqref="Q788">
    <cfRule type="duplicateValues" dxfId="4132" priority="4211"/>
  </conditionalFormatting>
  <conditionalFormatting sqref="Q788">
    <cfRule type="duplicateValues" dxfId="4131" priority="4210"/>
  </conditionalFormatting>
  <conditionalFormatting sqref="Q788">
    <cfRule type="duplicateValues" dxfId="4130" priority="4209"/>
  </conditionalFormatting>
  <conditionalFormatting sqref="Q788">
    <cfRule type="duplicateValues" dxfId="4129" priority="4208"/>
  </conditionalFormatting>
  <conditionalFormatting sqref="R788">
    <cfRule type="duplicateValues" dxfId="4128" priority="4207"/>
  </conditionalFormatting>
  <conditionalFormatting sqref="Q788">
    <cfRule type="duplicateValues" dxfId="4127" priority="4205"/>
    <cfRule type="duplicateValues" dxfId="4126" priority="4206"/>
  </conditionalFormatting>
  <conditionalFormatting sqref="Q788">
    <cfRule type="duplicateValues" dxfId="4125" priority="4204"/>
  </conditionalFormatting>
  <conditionalFormatting sqref="Q788">
    <cfRule type="duplicateValues" dxfId="4124" priority="4203"/>
  </conditionalFormatting>
  <conditionalFormatting sqref="Q788">
    <cfRule type="duplicateValues" dxfId="4123" priority="4202"/>
  </conditionalFormatting>
  <conditionalFormatting sqref="Q788">
    <cfRule type="duplicateValues" dxfId="4122" priority="4201"/>
  </conditionalFormatting>
  <conditionalFormatting sqref="Q788">
    <cfRule type="duplicateValues" dxfId="4121" priority="4200"/>
  </conditionalFormatting>
  <conditionalFormatting sqref="Q788">
    <cfRule type="duplicateValues" dxfId="4120" priority="4199"/>
  </conditionalFormatting>
  <conditionalFormatting sqref="Q788">
    <cfRule type="duplicateValues" dxfId="4119" priority="4198"/>
  </conditionalFormatting>
  <conditionalFormatting sqref="Q788">
    <cfRule type="duplicateValues" dxfId="4118" priority="4197"/>
  </conditionalFormatting>
  <conditionalFormatting sqref="Q788:R788">
    <cfRule type="duplicateValues" dxfId="4117" priority="4196"/>
  </conditionalFormatting>
  <conditionalFormatting sqref="Q788">
    <cfRule type="duplicateValues" dxfId="4116" priority="4195"/>
  </conditionalFormatting>
  <conditionalFormatting sqref="R788">
    <cfRule type="duplicateValues" dxfId="4115" priority="4194"/>
  </conditionalFormatting>
  <conditionalFormatting sqref="Q788">
    <cfRule type="duplicateValues" dxfId="4114" priority="4193"/>
  </conditionalFormatting>
  <conditionalFormatting sqref="Q788">
    <cfRule type="duplicateValues" dxfId="4113" priority="4192"/>
  </conditionalFormatting>
  <conditionalFormatting sqref="Q788">
    <cfRule type="duplicateValues" dxfId="4112" priority="4191"/>
  </conditionalFormatting>
  <conditionalFormatting sqref="Q789">
    <cfRule type="duplicateValues" dxfId="4111" priority="4184"/>
  </conditionalFormatting>
  <conditionalFormatting sqref="Q789">
    <cfRule type="duplicateValues" dxfId="4110" priority="4183"/>
  </conditionalFormatting>
  <conditionalFormatting sqref="R789">
    <cfRule type="duplicateValues" dxfId="4109" priority="4182"/>
  </conditionalFormatting>
  <conditionalFormatting sqref="Q789">
    <cfRule type="duplicateValues" dxfId="4108" priority="4180"/>
    <cfRule type="duplicateValues" dxfId="4107" priority="4181"/>
  </conditionalFormatting>
  <conditionalFormatting sqref="Q789">
    <cfRule type="duplicateValues" dxfId="4106" priority="4179"/>
  </conditionalFormatting>
  <conditionalFormatting sqref="Q789">
    <cfRule type="duplicateValues" dxfId="4105" priority="4178"/>
  </conditionalFormatting>
  <conditionalFormatting sqref="Q789">
    <cfRule type="duplicateValues" dxfId="4104" priority="4177"/>
  </conditionalFormatting>
  <conditionalFormatting sqref="Q789">
    <cfRule type="duplicateValues" dxfId="4103" priority="4176"/>
  </conditionalFormatting>
  <conditionalFormatting sqref="Q789:R789">
    <cfRule type="duplicateValues" dxfId="4102" priority="4185"/>
  </conditionalFormatting>
  <conditionalFormatting sqref="Q789">
    <cfRule type="duplicateValues" dxfId="4101" priority="4186"/>
  </conditionalFormatting>
  <conditionalFormatting sqref="R789">
    <cfRule type="duplicateValues" dxfId="4100" priority="4187"/>
  </conditionalFormatting>
  <conditionalFormatting sqref="Q789:R789">
    <cfRule type="duplicateValues" dxfId="4099" priority="4188"/>
    <cfRule type="duplicateValues" dxfId="4098" priority="4189"/>
    <cfRule type="duplicateValues" dxfId="4097" priority="4190"/>
  </conditionalFormatting>
  <conditionalFormatting sqref="Q789">
    <cfRule type="duplicateValues" dxfId="4096" priority="4175"/>
  </conditionalFormatting>
  <conditionalFormatting sqref="Q789">
    <cfRule type="duplicateValues" dxfId="4095" priority="4174"/>
  </conditionalFormatting>
  <conditionalFormatting sqref="Q789">
    <cfRule type="duplicateValues" dxfId="4094" priority="4173"/>
  </conditionalFormatting>
  <conditionalFormatting sqref="Q789">
    <cfRule type="duplicateValues" dxfId="4093" priority="4172"/>
  </conditionalFormatting>
  <conditionalFormatting sqref="Q789">
    <cfRule type="duplicateValues" dxfId="4092" priority="4171"/>
  </conditionalFormatting>
  <conditionalFormatting sqref="Q789">
    <cfRule type="duplicateValues" dxfId="4091" priority="4170"/>
  </conditionalFormatting>
  <conditionalFormatting sqref="Q789">
    <cfRule type="duplicateValues" dxfId="4090" priority="4169"/>
  </conditionalFormatting>
  <conditionalFormatting sqref="Q790">
    <cfRule type="duplicateValues" dxfId="4089" priority="4168"/>
  </conditionalFormatting>
  <conditionalFormatting sqref="Q790">
    <cfRule type="duplicateValues" dxfId="4088" priority="4167"/>
  </conditionalFormatting>
  <conditionalFormatting sqref="Q790">
    <cfRule type="duplicateValues" dxfId="4087" priority="4166"/>
  </conditionalFormatting>
  <conditionalFormatting sqref="Q790">
    <cfRule type="duplicateValues" dxfId="4086" priority="4165"/>
  </conditionalFormatting>
  <conditionalFormatting sqref="Q790">
    <cfRule type="duplicateValues" dxfId="4085" priority="4164"/>
  </conditionalFormatting>
  <conditionalFormatting sqref="Q790">
    <cfRule type="duplicateValues" dxfId="4084" priority="4163"/>
  </conditionalFormatting>
  <conditionalFormatting sqref="Q790:R790">
    <cfRule type="duplicateValues" dxfId="4083" priority="4162"/>
  </conditionalFormatting>
  <conditionalFormatting sqref="Q790:R790">
    <cfRule type="duplicateValues" dxfId="4082" priority="4159"/>
    <cfRule type="duplicateValues" dxfId="4081" priority="4160"/>
    <cfRule type="duplicateValues" dxfId="4080" priority="4161"/>
  </conditionalFormatting>
  <conditionalFormatting sqref="R790">
    <cfRule type="duplicateValues" dxfId="4079" priority="4158"/>
  </conditionalFormatting>
  <conditionalFormatting sqref="Q790">
    <cfRule type="duplicateValues" dxfId="4078" priority="4157"/>
  </conditionalFormatting>
  <conditionalFormatting sqref="Q790">
    <cfRule type="duplicateValues" dxfId="4077" priority="4154"/>
    <cfRule type="duplicateValues" dxfId="4076" priority="4155"/>
    <cfRule type="duplicateValues" dxfId="4075" priority="4156"/>
  </conditionalFormatting>
  <conditionalFormatting sqref="R790">
    <cfRule type="duplicateValues" dxfId="4074" priority="4151"/>
    <cfRule type="duplicateValues" dxfId="4073" priority="4152"/>
    <cfRule type="duplicateValues" dxfId="4072" priority="4153"/>
  </conditionalFormatting>
  <conditionalFormatting sqref="Q790">
    <cfRule type="duplicateValues" dxfId="4071" priority="4149"/>
    <cfRule type="duplicateValues" dxfId="4070" priority="4150"/>
  </conditionalFormatting>
  <conditionalFormatting sqref="Q790">
    <cfRule type="duplicateValues" dxfId="4069" priority="4148"/>
  </conditionalFormatting>
  <conditionalFormatting sqref="Q790">
    <cfRule type="duplicateValues" dxfId="4068" priority="4147"/>
  </conditionalFormatting>
  <conditionalFormatting sqref="Q790">
    <cfRule type="duplicateValues" dxfId="4067" priority="4146"/>
  </conditionalFormatting>
  <conditionalFormatting sqref="Q791:R791">
    <cfRule type="duplicateValues" dxfId="4066" priority="4143"/>
    <cfRule type="duplicateValues" dxfId="4065" priority="4144"/>
    <cfRule type="duplicateValues" dxfId="4064" priority="4145"/>
  </conditionalFormatting>
  <conditionalFormatting sqref="R791">
    <cfRule type="duplicateValues" dxfId="4063" priority="4142"/>
  </conditionalFormatting>
  <conditionalFormatting sqref="Q791:R791">
    <cfRule type="duplicateValues" dxfId="4062" priority="4141"/>
  </conditionalFormatting>
  <conditionalFormatting sqref="Q791">
    <cfRule type="duplicateValues" dxfId="4061" priority="4140"/>
  </conditionalFormatting>
  <conditionalFormatting sqref="Q791">
    <cfRule type="duplicateValues" dxfId="4060" priority="4139"/>
  </conditionalFormatting>
  <conditionalFormatting sqref="Q791">
    <cfRule type="duplicateValues" dxfId="4059" priority="4138"/>
  </conditionalFormatting>
  <conditionalFormatting sqref="Q791">
    <cfRule type="duplicateValues" dxfId="4058" priority="4137"/>
  </conditionalFormatting>
  <conditionalFormatting sqref="R791">
    <cfRule type="duplicateValues" dxfId="4057" priority="4136"/>
  </conditionalFormatting>
  <conditionalFormatting sqref="Q791">
    <cfRule type="duplicateValues" dxfId="4056" priority="4134"/>
    <cfRule type="duplicateValues" dxfId="4055" priority="4135"/>
  </conditionalFormatting>
  <conditionalFormatting sqref="Q791">
    <cfRule type="duplicateValues" dxfId="4054" priority="4133"/>
  </conditionalFormatting>
  <conditionalFormatting sqref="Q791">
    <cfRule type="duplicateValues" dxfId="4053" priority="4132"/>
  </conditionalFormatting>
  <conditionalFormatting sqref="Q791">
    <cfRule type="duplicateValues" dxfId="4052" priority="4131"/>
  </conditionalFormatting>
  <conditionalFormatting sqref="Q791">
    <cfRule type="duplicateValues" dxfId="4051" priority="4130"/>
  </conditionalFormatting>
  <conditionalFormatting sqref="Q791">
    <cfRule type="duplicateValues" dxfId="4050" priority="4129"/>
  </conditionalFormatting>
  <conditionalFormatting sqref="Q791">
    <cfRule type="duplicateValues" dxfId="4049" priority="4128"/>
  </conditionalFormatting>
  <conditionalFormatting sqref="Q791">
    <cfRule type="duplicateValues" dxfId="4048" priority="4127"/>
  </conditionalFormatting>
  <conditionalFormatting sqref="Q791">
    <cfRule type="duplicateValues" dxfId="4047" priority="4126"/>
  </conditionalFormatting>
  <conditionalFormatting sqref="Q791:R791">
    <cfRule type="duplicateValues" dxfId="4046" priority="4125"/>
  </conditionalFormatting>
  <conditionalFormatting sqref="Q791">
    <cfRule type="duplicateValues" dxfId="4045" priority="4124"/>
  </conditionalFormatting>
  <conditionalFormatting sqref="R791">
    <cfRule type="duplicateValues" dxfId="4044" priority="4123"/>
  </conditionalFormatting>
  <conditionalFormatting sqref="Q791">
    <cfRule type="duplicateValues" dxfId="4043" priority="4122"/>
  </conditionalFormatting>
  <conditionalFormatting sqref="Q791">
    <cfRule type="duplicateValues" dxfId="4042" priority="4121"/>
  </conditionalFormatting>
  <conditionalFormatting sqref="Q791">
    <cfRule type="duplicateValues" dxfId="4041" priority="4120"/>
  </conditionalFormatting>
  <conditionalFormatting sqref="Q792:Q793">
    <cfRule type="duplicateValues" dxfId="4040" priority="4119"/>
  </conditionalFormatting>
  <conditionalFormatting sqref="Q792:Q793">
    <cfRule type="duplicateValues" dxfId="4039" priority="4118"/>
  </conditionalFormatting>
  <conditionalFormatting sqref="Q792:Q793">
    <cfRule type="duplicateValues" dxfId="4038" priority="4117"/>
  </conditionalFormatting>
  <conditionalFormatting sqref="Q792:Q793">
    <cfRule type="duplicateValues" dxfId="4037" priority="4116"/>
  </conditionalFormatting>
  <conditionalFormatting sqref="Q792:Q793">
    <cfRule type="duplicateValues" dxfId="4036" priority="4115"/>
  </conditionalFormatting>
  <conditionalFormatting sqref="Q792:R793">
    <cfRule type="duplicateValues" dxfId="4035" priority="4114"/>
  </conditionalFormatting>
  <conditionalFormatting sqref="Q792:R793">
    <cfRule type="duplicateValues" dxfId="4034" priority="4111"/>
    <cfRule type="duplicateValues" dxfId="4033" priority="4112"/>
    <cfRule type="duplicateValues" dxfId="4032" priority="4113"/>
  </conditionalFormatting>
  <conditionalFormatting sqref="R792:R793">
    <cfRule type="duplicateValues" dxfId="4031" priority="4110"/>
  </conditionalFormatting>
  <conditionalFormatting sqref="Q792:Q793">
    <cfRule type="duplicateValues" dxfId="4030" priority="4109"/>
  </conditionalFormatting>
  <conditionalFormatting sqref="Q792:Q793">
    <cfRule type="duplicateValues" dxfId="4029" priority="4106"/>
    <cfRule type="duplicateValues" dxfId="4028" priority="4107"/>
    <cfRule type="duplicateValues" dxfId="4027" priority="4108"/>
  </conditionalFormatting>
  <conditionalFormatting sqref="R792:R793">
    <cfRule type="duplicateValues" dxfId="4026" priority="4103"/>
    <cfRule type="duplicateValues" dxfId="4025" priority="4104"/>
    <cfRule type="duplicateValues" dxfId="4024" priority="4105"/>
  </conditionalFormatting>
  <conditionalFormatting sqref="Q792:Q793">
    <cfRule type="duplicateValues" dxfId="4023" priority="4101"/>
    <cfRule type="duplicateValues" dxfId="4022" priority="4102"/>
  </conditionalFormatting>
  <conditionalFormatting sqref="Q792:Q793">
    <cfRule type="duplicateValues" dxfId="4021" priority="4100"/>
  </conditionalFormatting>
  <conditionalFormatting sqref="Q792:Q793">
    <cfRule type="duplicateValues" dxfId="4020" priority="4099"/>
  </conditionalFormatting>
  <conditionalFormatting sqref="Q792:Q793">
    <cfRule type="duplicateValues" dxfId="4019" priority="4098"/>
  </conditionalFormatting>
  <conditionalFormatting sqref="R794">
    <cfRule type="duplicateValues" dxfId="4018" priority="4097"/>
  </conditionalFormatting>
  <conditionalFormatting sqref="Q794">
    <cfRule type="duplicateValues" dxfId="4017" priority="4095"/>
    <cfRule type="duplicateValues" dxfId="4016" priority="4096"/>
  </conditionalFormatting>
  <conditionalFormatting sqref="Q794">
    <cfRule type="duplicateValues" dxfId="4015" priority="4094"/>
  </conditionalFormatting>
  <conditionalFormatting sqref="Q794">
    <cfRule type="duplicateValues" dxfId="4014" priority="4093"/>
  </conditionalFormatting>
  <conditionalFormatting sqref="Q794">
    <cfRule type="duplicateValues" dxfId="4013" priority="4092"/>
  </conditionalFormatting>
  <conditionalFormatting sqref="Q794">
    <cfRule type="duplicateValues" dxfId="4012" priority="4091"/>
  </conditionalFormatting>
  <conditionalFormatting sqref="Q794">
    <cfRule type="duplicateValues" dxfId="4011" priority="4090"/>
  </conditionalFormatting>
  <conditionalFormatting sqref="Q794">
    <cfRule type="duplicateValues" dxfId="4010" priority="4089"/>
  </conditionalFormatting>
  <conditionalFormatting sqref="Q794">
    <cfRule type="duplicateValues" dxfId="4009" priority="4088"/>
  </conditionalFormatting>
  <conditionalFormatting sqref="Q794">
    <cfRule type="duplicateValues" dxfId="4008" priority="4087"/>
  </conditionalFormatting>
  <conditionalFormatting sqref="Q794:R794">
    <cfRule type="duplicateValues" dxfId="4007" priority="4086"/>
  </conditionalFormatting>
  <conditionalFormatting sqref="Q794:R794">
    <cfRule type="duplicateValues" dxfId="4006" priority="4083"/>
    <cfRule type="duplicateValues" dxfId="4005" priority="4084"/>
    <cfRule type="duplicateValues" dxfId="4004" priority="4085"/>
  </conditionalFormatting>
  <conditionalFormatting sqref="R794">
    <cfRule type="duplicateValues" dxfId="4003" priority="4082"/>
  </conditionalFormatting>
  <conditionalFormatting sqref="Q794">
    <cfRule type="duplicateValues" dxfId="4002" priority="4081"/>
  </conditionalFormatting>
  <conditionalFormatting sqref="Q794">
    <cfRule type="duplicateValues" dxfId="4001" priority="4078"/>
    <cfRule type="duplicateValues" dxfId="4000" priority="4079"/>
    <cfRule type="duplicateValues" dxfId="3999" priority="4080"/>
  </conditionalFormatting>
  <conditionalFormatting sqref="R794">
    <cfRule type="duplicateValues" dxfId="3998" priority="4075"/>
    <cfRule type="duplicateValues" dxfId="3997" priority="4076"/>
    <cfRule type="duplicateValues" dxfId="3996" priority="4077"/>
  </conditionalFormatting>
  <conditionalFormatting sqref="Q794">
    <cfRule type="duplicateValues" dxfId="3995" priority="4074"/>
  </conditionalFormatting>
  <conditionalFormatting sqref="Q794">
    <cfRule type="duplicateValues" dxfId="3994" priority="4073"/>
  </conditionalFormatting>
  <conditionalFormatting sqref="Q794">
    <cfRule type="duplicateValues" dxfId="3993" priority="4072"/>
  </conditionalFormatting>
  <conditionalFormatting sqref="Q795:R796">
    <cfRule type="duplicateValues" dxfId="3992" priority="4069"/>
    <cfRule type="duplicateValues" dxfId="3991" priority="4070"/>
    <cfRule type="duplicateValues" dxfId="3990" priority="4071"/>
  </conditionalFormatting>
  <conditionalFormatting sqref="R795:R796">
    <cfRule type="duplicateValues" dxfId="3989" priority="4068"/>
  </conditionalFormatting>
  <conditionalFormatting sqref="Q795:R796">
    <cfRule type="duplicateValues" dxfId="3988" priority="4067"/>
  </conditionalFormatting>
  <conditionalFormatting sqref="Q795:Q796">
    <cfRule type="duplicateValues" dxfId="3987" priority="4066"/>
  </conditionalFormatting>
  <conditionalFormatting sqref="Q795:Q796">
    <cfRule type="duplicateValues" dxfId="3986" priority="4065"/>
  </conditionalFormatting>
  <conditionalFormatting sqref="Q795:Q796">
    <cfRule type="duplicateValues" dxfId="3985" priority="4064"/>
  </conditionalFormatting>
  <conditionalFormatting sqref="Q795:Q796">
    <cfRule type="duplicateValues" dxfId="3984" priority="4063"/>
  </conditionalFormatting>
  <conditionalFormatting sqref="R795:R796">
    <cfRule type="duplicateValues" dxfId="3983" priority="4062"/>
  </conditionalFormatting>
  <conditionalFormatting sqref="Q795:Q796">
    <cfRule type="duplicateValues" dxfId="3982" priority="4060"/>
    <cfRule type="duplicateValues" dxfId="3981" priority="4061"/>
  </conditionalFormatting>
  <conditionalFormatting sqref="Q795:Q796">
    <cfRule type="duplicateValues" dxfId="3980" priority="4059"/>
  </conditionalFormatting>
  <conditionalFormatting sqref="Q795:Q796">
    <cfRule type="duplicateValues" dxfId="3979" priority="4058"/>
  </conditionalFormatting>
  <conditionalFormatting sqref="Q795:Q796">
    <cfRule type="duplicateValues" dxfId="3978" priority="4057"/>
  </conditionalFormatting>
  <conditionalFormatting sqref="Q795:Q796">
    <cfRule type="duplicateValues" dxfId="3977" priority="4056"/>
  </conditionalFormatting>
  <conditionalFormatting sqref="Q795:Q796">
    <cfRule type="duplicateValues" dxfId="3976" priority="4055"/>
  </conditionalFormatting>
  <conditionalFormatting sqref="Q795:Q796">
    <cfRule type="duplicateValues" dxfId="3975" priority="4054"/>
  </conditionalFormatting>
  <conditionalFormatting sqref="Q795:Q796">
    <cfRule type="duplicateValues" dxfId="3974" priority="4053"/>
  </conditionalFormatting>
  <conditionalFormatting sqref="Q795:Q796">
    <cfRule type="duplicateValues" dxfId="3973" priority="4052"/>
  </conditionalFormatting>
  <conditionalFormatting sqref="Q795:R796">
    <cfRule type="duplicateValues" dxfId="3972" priority="4051"/>
  </conditionalFormatting>
  <conditionalFormatting sqref="Q795:Q796">
    <cfRule type="duplicateValues" dxfId="3971" priority="4050"/>
  </conditionalFormatting>
  <conditionalFormatting sqref="R795:R796">
    <cfRule type="duplicateValues" dxfId="3970" priority="4049"/>
  </conditionalFormatting>
  <conditionalFormatting sqref="Q795:Q796">
    <cfRule type="duplicateValues" dxfId="3969" priority="4048"/>
  </conditionalFormatting>
  <conditionalFormatting sqref="Q795:Q796">
    <cfRule type="duplicateValues" dxfId="3968" priority="4047"/>
  </conditionalFormatting>
  <conditionalFormatting sqref="Q795:Q796">
    <cfRule type="duplicateValues" dxfId="3967" priority="4046"/>
  </conditionalFormatting>
  <conditionalFormatting sqref="Q797:R799">
    <cfRule type="duplicateValues" dxfId="3966" priority="4045"/>
  </conditionalFormatting>
  <conditionalFormatting sqref="Q797:R799">
    <cfRule type="duplicateValues" dxfId="3965" priority="4042"/>
    <cfRule type="duplicateValues" dxfId="3964" priority="4043"/>
    <cfRule type="duplicateValues" dxfId="3963" priority="4044"/>
  </conditionalFormatting>
  <conditionalFormatting sqref="R797:R799">
    <cfRule type="duplicateValues" dxfId="3962" priority="4041"/>
  </conditionalFormatting>
  <conditionalFormatting sqref="Q797:R799">
    <cfRule type="duplicateValues" dxfId="3961" priority="4040"/>
  </conditionalFormatting>
  <conditionalFormatting sqref="Q797:Q799">
    <cfRule type="duplicateValues" dxfId="3960" priority="4039"/>
  </conditionalFormatting>
  <conditionalFormatting sqref="Q797:Q799">
    <cfRule type="duplicateValues" dxfId="3959" priority="4038"/>
  </conditionalFormatting>
  <conditionalFormatting sqref="Q797:Q799">
    <cfRule type="duplicateValues" dxfId="3958" priority="4037"/>
  </conditionalFormatting>
  <conditionalFormatting sqref="Q797:Q799">
    <cfRule type="duplicateValues" dxfId="3957" priority="4036"/>
  </conditionalFormatting>
  <conditionalFormatting sqref="R797:R799">
    <cfRule type="duplicateValues" dxfId="3956" priority="4035"/>
  </conditionalFormatting>
  <conditionalFormatting sqref="Q797:Q799">
    <cfRule type="duplicateValues" dxfId="3955" priority="4033"/>
    <cfRule type="duplicateValues" dxfId="3954" priority="4034"/>
  </conditionalFormatting>
  <conditionalFormatting sqref="Q797:Q799">
    <cfRule type="duplicateValues" dxfId="3953" priority="4032"/>
  </conditionalFormatting>
  <conditionalFormatting sqref="Q797:Q799">
    <cfRule type="duplicateValues" dxfId="3952" priority="4031"/>
  </conditionalFormatting>
  <conditionalFormatting sqref="Q797:Q799">
    <cfRule type="duplicateValues" dxfId="3951" priority="4030"/>
  </conditionalFormatting>
  <conditionalFormatting sqref="Q797:Q799">
    <cfRule type="duplicateValues" dxfId="3950" priority="4029"/>
  </conditionalFormatting>
  <conditionalFormatting sqref="Q797:R799">
    <cfRule type="duplicateValues" dxfId="3949" priority="4028"/>
  </conditionalFormatting>
  <conditionalFormatting sqref="Q797:Q799">
    <cfRule type="duplicateValues" dxfId="3948" priority="4027"/>
  </conditionalFormatting>
  <conditionalFormatting sqref="Q797:Q799">
    <cfRule type="duplicateValues" dxfId="3947" priority="4026"/>
  </conditionalFormatting>
  <conditionalFormatting sqref="Q797:Q799">
    <cfRule type="duplicateValues" dxfId="3946" priority="4025"/>
  </conditionalFormatting>
  <conditionalFormatting sqref="Q797:Q799">
    <cfRule type="duplicateValues" dxfId="3945" priority="4024"/>
  </conditionalFormatting>
  <conditionalFormatting sqref="Q797:Q799">
    <cfRule type="duplicateValues" dxfId="3944" priority="4023"/>
  </conditionalFormatting>
  <conditionalFormatting sqref="Q797:Q799">
    <cfRule type="duplicateValues" dxfId="3943" priority="4022"/>
  </conditionalFormatting>
  <conditionalFormatting sqref="Q797:Q799">
    <cfRule type="duplicateValues" dxfId="3942" priority="4021"/>
  </conditionalFormatting>
  <conditionalFormatting sqref="Q797:Q799">
    <cfRule type="duplicateValues" dxfId="3941" priority="4020"/>
  </conditionalFormatting>
  <conditionalFormatting sqref="Q797:R799">
    <cfRule type="duplicateValues" dxfId="3940" priority="4019"/>
  </conditionalFormatting>
  <conditionalFormatting sqref="R797:R799">
    <cfRule type="duplicateValues" dxfId="3939" priority="4018"/>
  </conditionalFormatting>
  <conditionalFormatting sqref="Q800">
    <cfRule type="duplicateValues" dxfId="3938" priority="3996"/>
  </conditionalFormatting>
  <conditionalFormatting sqref="Q800">
    <cfRule type="duplicateValues" dxfId="3937" priority="3995"/>
  </conditionalFormatting>
  <conditionalFormatting sqref="Q800">
    <cfRule type="duplicateValues" dxfId="3936" priority="3994"/>
  </conditionalFormatting>
  <conditionalFormatting sqref="Q800">
    <cfRule type="duplicateValues" dxfId="3935" priority="3993"/>
  </conditionalFormatting>
  <conditionalFormatting sqref="Q800:R800">
    <cfRule type="duplicateValues" dxfId="3934" priority="3992"/>
  </conditionalFormatting>
  <conditionalFormatting sqref="Q800:R800">
    <cfRule type="duplicateValues" dxfId="3933" priority="3989"/>
    <cfRule type="duplicateValues" dxfId="3932" priority="3990"/>
    <cfRule type="duplicateValues" dxfId="3931" priority="3991"/>
  </conditionalFormatting>
  <conditionalFormatting sqref="R800">
    <cfRule type="duplicateValues" dxfId="3930" priority="3988"/>
  </conditionalFormatting>
  <conditionalFormatting sqref="Q800">
    <cfRule type="duplicateValues" dxfId="3929" priority="3987"/>
  </conditionalFormatting>
  <conditionalFormatting sqref="Q800">
    <cfRule type="duplicateValues" dxfId="3928" priority="3984"/>
    <cfRule type="duplicateValues" dxfId="3927" priority="3985"/>
    <cfRule type="duplicateValues" dxfId="3926" priority="3986"/>
  </conditionalFormatting>
  <conditionalFormatting sqref="R800">
    <cfRule type="duplicateValues" dxfId="3925" priority="3981"/>
    <cfRule type="duplicateValues" dxfId="3924" priority="3982"/>
    <cfRule type="duplicateValues" dxfId="3923" priority="3983"/>
  </conditionalFormatting>
  <conditionalFormatting sqref="Q800">
    <cfRule type="duplicateValues" dxfId="3922" priority="3979"/>
    <cfRule type="duplicateValues" dxfId="3921" priority="3980"/>
  </conditionalFormatting>
  <conditionalFormatting sqref="Q800">
    <cfRule type="duplicateValues" dxfId="3920" priority="3978"/>
  </conditionalFormatting>
  <conditionalFormatting sqref="Q800">
    <cfRule type="duplicateValues" dxfId="3919" priority="3977"/>
  </conditionalFormatting>
  <conditionalFormatting sqref="Q800">
    <cfRule type="duplicateValues" dxfId="3918" priority="3976"/>
  </conditionalFormatting>
  <conditionalFormatting sqref="Q801">
    <cfRule type="duplicateValues" dxfId="3917" priority="3975"/>
  </conditionalFormatting>
  <conditionalFormatting sqref="Q801">
    <cfRule type="duplicateValues" dxfId="3916" priority="3974"/>
  </conditionalFormatting>
  <conditionalFormatting sqref="Q801">
    <cfRule type="duplicateValues" dxfId="3915" priority="3973"/>
  </conditionalFormatting>
  <conditionalFormatting sqref="Q801">
    <cfRule type="duplicateValues" dxfId="3914" priority="3972"/>
  </conditionalFormatting>
  <conditionalFormatting sqref="Q801:R801">
    <cfRule type="duplicateValues" dxfId="3913" priority="3971"/>
  </conditionalFormatting>
  <conditionalFormatting sqref="Q801:R801">
    <cfRule type="duplicateValues" dxfId="3912" priority="3968"/>
    <cfRule type="duplicateValues" dxfId="3911" priority="3969"/>
    <cfRule type="duplicateValues" dxfId="3910" priority="3970"/>
  </conditionalFormatting>
  <conditionalFormatting sqref="R801">
    <cfRule type="duplicateValues" dxfId="3909" priority="3967"/>
  </conditionalFormatting>
  <conditionalFormatting sqref="Q801">
    <cfRule type="duplicateValues" dxfId="3908" priority="3966"/>
  </conditionalFormatting>
  <conditionalFormatting sqref="Q801">
    <cfRule type="duplicateValues" dxfId="3907" priority="3963"/>
    <cfRule type="duplicateValues" dxfId="3906" priority="3964"/>
    <cfRule type="duplicateValues" dxfId="3905" priority="3965"/>
  </conditionalFormatting>
  <conditionalFormatting sqref="R801">
    <cfRule type="duplicateValues" dxfId="3904" priority="3960"/>
    <cfRule type="duplicateValues" dxfId="3903" priority="3961"/>
    <cfRule type="duplicateValues" dxfId="3902" priority="3962"/>
  </conditionalFormatting>
  <conditionalFormatting sqref="Q801">
    <cfRule type="duplicateValues" dxfId="3901" priority="3958"/>
    <cfRule type="duplicateValues" dxfId="3900" priority="3959"/>
  </conditionalFormatting>
  <conditionalFormatting sqref="Q801">
    <cfRule type="duplicateValues" dxfId="3899" priority="3957"/>
  </conditionalFormatting>
  <conditionalFormatting sqref="Q801">
    <cfRule type="duplicateValues" dxfId="3898" priority="3956"/>
  </conditionalFormatting>
  <conditionalFormatting sqref="Q801">
    <cfRule type="duplicateValues" dxfId="3897" priority="3955"/>
  </conditionalFormatting>
  <conditionalFormatting sqref="Q802">
    <cfRule type="duplicateValues" dxfId="3896" priority="3954"/>
  </conditionalFormatting>
  <conditionalFormatting sqref="Q802">
    <cfRule type="duplicateValues" dxfId="3895" priority="3953"/>
  </conditionalFormatting>
  <conditionalFormatting sqref="Q802">
    <cfRule type="duplicateValues" dxfId="3894" priority="3952"/>
  </conditionalFormatting>
  <conditionalFormatting sqref="Q802">
    <cfRule type="duplicateValues" dxfId="3893" priority="3951"/>
  </conditionalFormatting>
  <conditionalFormatting sqref="Q802:R802">
    <cfRule type="duplicateValues" dxfId="3892" priority="3950"/>
  </conditionalFormatting>
  <conditionalFormatting sqref="Q802:R802">
    <cfRule type="duplicateValues" dxfId="3891" priority="3947"/>
    <cfRule type="duplicateValues" dxfId="3890" priority="3948"/>
    <cfRule type="duplicateValues" dxfId="3889" priority="3949"/>
  </conditionalFormatting>
  <conditionalFormatting sqref="R802">
    <cfRule type="duplicateValues" dxfId="3888" priority="3946"/>
  </conditionalFormatting>
  <conditionalFormatting sqref="Q802">
    <cfRule type="duplicateValues" dxfId="3887" priority="3945"/>
  </conditionalFormatting>
  <conditionalFormatting sqref="Q802">
    <cfRule type="duplicateValues" dxfId="3886" priority="3942"/>
    <cfRule type="duplicateValues" dxfId="3885" priority="3943"/>
    <cfRule type="duplicateValues" dxfId="3884" priority="3944"/>
  </conditionalFormatting>
  <conditionalFormatting sqref="R802">
    <cfRule type="duplicateValues" dxfId="3883" priority="3939"/>
    <cfRule type="duplicateValues" dxfId="3882" priority="3940"/>
    <cfRule type="duplicateValues" dxfId="3881" priority="3941"/>
  </conditionalFormatting>
  <conditionalFormatting sqref="Q802">
    <cfRule type="duplicateValues" dxfId="3880" priority="3937"/>
    <cfRule type="duplicateValues" dxfId="3879" priority="3938"/>
  </conditionalFormatting>
  <conditionalFormatting sqref="Q802">
    <cfRule type="duplicateValues" dxfId="3878" priority="3936"/>
  </conditionalFormatting>
  <conditionalFormatting sqref="Q802">
    <cfRule type="duplicateValues" dxfId="3877" priority="3935"/>
  </conditionalFormatting>
  <conditionalFormatting sqref="Q802">
    <cfRule type="duplicateValues" dxfId="3876" priority="3934"/>
  </conditionalFormatting>
  <conditionalFormatting sqref="Q803">
    <cfRule type="duplicateValues" dxfId="3875" priority="3927"/>
  </conditionalFormatting>
  <conditionalFormatting sqref="Q803">
    <cfRule type="duplicateValues" dxfId="3874" priority="3926"/>
  </conditionalFormatting>
  <conditionalFormatting sqref="R803">
    <cfRule type="duplicateValues" dxfId="3873" priority="3925"/>
  </conditionalFormatting>
  <conditionalFormatting sqref="Q803">
    <cfRule type="duplicateValues" dxfId="3872" priority="3923"/>
    <cfRule type="duplicateValues" dxfId="3871" priority="3924"/>
  </conditionalFormatting>
  <conditionalFormatting sqref="Q803">
    <cfRule type="duplicateValues" dxfId="3870" priority="3922"/>
  </conditionalFormatting>
  <conditionalFormatting sqref="Q803">
    <cfRule type="duplicateValues" dxfId="3869" priority="3921"/>
  </conditionalFormatting>
  <conditionalFormatting sqref="Q803">
    <cfRule type="duplicateValues" dxfId="3868" priority="3920"/>
  </conditionalFormatting>
  <conditionalFormatting sqref="Q803">
    <cfRule type="duplicateValues" dxfId="3867" priority="3919"/>
  </conditionalFormatting>
  <conditionalFormatting sqref="Q803:R803">
    <cfRule type="duplicateValues" dxfId="3866" priority="3928"/>
  </conditionalFormatting>
  <conditionalFormatting sqref="Q803">
    <cfRule type="duplicateValues" dxfId="3865" priority="3929"/>
  </conditionalFormatting>
  <conditionalFormatting sqref="R803">
    <cfRule type="duplicateValues" dxfId="3864" priority="3930"/>
  </conditionalFormatting>
  <conditionalFormatting sqref="Q803:R803">
    <cfRule type="duplicateValues" dxfId="3863" priority="3931"/>
    <cfRule type="duplicateValues" dxfId="3862" priority="3932"/>
    <cfRule type="duplicateValues" dxfId="3861" priority="3933"/>
  </conditionalFormatting>
  <conditionalFormatting sqref="Q803">
    <cfRule type="duplicateValues" dxfId="3860" priority="3918"/>
  </conditionalFormatting>
  <conditionalFormatting sqref="Q803">
    <cfRule type="duplicateValues" dxfId="3859" priority="3917"/>
  </conditionalFormatting>
  <conditionalFormatting sqref="Q803">
    <cfRule type="duplicateValues" dxfId="3858" priority="3916"/>
  </conditionalFormatting>
  <conditionalFormatting sqref="Q803">
    <cfRule type="duplicateValues" dxfId="3857" priority="3915"/>
  </conditionalFormatting>
  <conditionalFormatting sqref="Q803">
    <cfRule type="duplicateValues" dxfId="3856" priority="3914"/>
  </conditionalFormatting>
  <conditionalFormatting sqref="Q803">
    <cfRule type="duplicateValues" dxfId="3855" priority="3913"/>
  </conditionalFormatting>
  <conditionalFormatting sqref="Q803">
    <cfRule type="duplicateValues" dxfId="3854" priority="3912"/>
  </conditionalFormatting>
  <conditionalFormatting sqref="Q804:R804">
    <cfRule type="duplicateValues" dxfId="3853" priority="3911"/>
  </conditionalFormatting>
  <conditionalFormatting sqref="Q804:R804">
    <cfRule type="duplicateValues" dxfId="3852" priority="3908"/>
    <cfRule type="duplicateValues" dxfId="3851" priority="3909"/>
    <cfRule type="duplicateValues" dxfId="3850" priority="3910"/>
  </conditionalFormatting>
  <conditionalFormatting sqref="R804">
    <cfRule type="duplicateValues" dxfId="3849" priority="3907"/>
  </conditionalFormatting>
  <conditionalFormatting sqref="Q804:R804">
    <cfRule type="duplicateValues" dxfId="3848" priority="3906"/>
  </conditionalFormatting>
  <conditionalFormatting sqref="Q804">
    <cfRule type="duplicateValues" dxfId="3847" priority="3905"/>
  </conditionalFormatting>
  <conditionalFormatting sqref="Q804">
    <cfRule type="duplicateValues" dxfId="3846" priority="3904"/>
  </conditionalFormatting>
  <conditionalFormatting sqref="Q804">
    <cfRule type="duplicateValues" dxfId="3845" priority="3903"/>
  </conditionalFormatting>
  <conditionalFormatting sqref="Q804">
    <cfRule type="duplicateValues" dxfId="3844" priority="3902"/>
  </conditionalFormatting>
  <conditionalFormatting sqref="R804">
    <cfRule type="duplicateValues" dxfId="3843" priority="3901"/>
  </conditionalFormatting>
  <conditionalFormatting sqref="Q804">
    <cfRule type="duplicateValues" dxfId="3842" priority="3899"/>
    <cfRule type="duplicateValues" dxfId="3841" priority="3900"/>
  </conditionalFormatting>
  <conditionalFormatting sqref="Q804">
    <cfRule type="duplicateValues" dxfId="3840" priority="3898"/>
  </conditionalFormatting>
  <conditionalFormatting sqref="Q804:R804">
    <cfRule type="duplicateValues" dxfId="3839" priority="3897"/>
  </conditionalFormatting>
  <conditionalFormatting sqref="Q804">
    <cfRule type="duplicateValues" dxfId="3838" priority="3896"/>
  </conditionalFormatting>
  <conditionalFormatting sqref="Q804">
    <cfRule type="duplicateValues" dxfId="3837" priority="3895"/>
  </conditionalFormatting>
  <conditionalFormatting sqref="Q804">
    <cfRule type="duplicateValues" dxfId="3836" priority="3894"/>
  </conditionalFormatting>
  <conditionalFormatting sqref="Q804">
    <cfRule type="duplicateValues" dxfId="3835" priority="3893"/>
  </conditionalFormatting>
  <conditionalFormatting sqref="Q804">
    <cfRule type="duplicateValues" dxfId="3834" priority="3892"/>
  </conditionalFormatting>
  <conditionalFormatting sqref="Q804">
    <cfRule type="duplicateValues" dxfId="3833" priority="3891"/>
  </conditionalFormatting>
  <conditionalFormatting sqref="Q804">
    <cfRule type="duplicateValues" dxfId="3832" priority="3890"/>
  </conditionalFormatting>
  <conditionalFormatting sqref="Q804">
    <cfRule type="duplicateValues" dxfId="3831" priority="3889"/>
  </conditionalFormatting>
  <conditionalFormatting sqref="R804">
    <cfRule type="duplicateValues" dxfId="3830" priority="3888"/>
  </conditionalFormatting>
  <conditionalFormatting sqref="Q804">
    <cfRule type="duplicateValues" dxfId="3829" priority="3887"/>
  </conditionalFormatting>
  <conditionalFormatting sqref="Q804">
    <cfRule type="duplicateValues" dxfId="3828" priority="3886"/>
  </conditionalFormatting>
  <conditionalFormatting sqref="Q804">
    <cfRule type="duplicateValues" dxfId="3827" priority="3885"/>
  </conditionalFormatting>
  <conditionalFormatting sqref="R805">
    <cfRule type="duplicateValues" dxfId="3826" priority="3884"/>
  </conditionalFormatting>
  <conditionalFormatting sqref="R805">
    <cfRule type="duplicateValues" dxfId="3825" priority="3881"/>
    <cfRule type="duplicateValues" dxfId="3824" priority="3882"/>
    <cfRule type="duplicateValues" dxfId="3823" priority="3883"/>
  </conditionalFormatting>
  <conditionalFormatting sqref="R805">
    <cfRule type="duplicateValues" dxfId="3822" priority="3880"/>
  </conditionalFormatting>
  <conditionalFormatting sqref="R805">
    <cfRule type="duplicateValues" dxfId="3821" priority="3877"/>
    <cfRule type="duplicateValues" dxfId="3820" priority="3878"/>
    <cfRule type="duplicateValues" dxfId="3819" priority="3879"/>
  </conditionalFormatting>
  <conditionalFormatting sqref="Q805">
    <cfRule type="duplicateValues" dxfId="3818" priority="3876"/>
  </conditionalFormatting>
  <conditionalFormatting sqref="Q805">
    <cfRule type="duplicateValues" dxfId="3817" priority="3875"/>
  </conditionalFormatting>
  <conditionalFormatting sqref="Q805">
    <cfRule type="duplicateValues" dxfId="3816" priority="3874"/>
  </conditionalFormatting>
  <conditionalFormatting sqref="Q806">
    <cfRule type="duplicateValues" dxfId="3815" priority="3873"/>
  </conditionalFormatting>
  <conditionalFormatting sqref="Q806">
    <cfRule type="duplicateValues" dxfId="3814" priority="3872"/>
  </conditionalFormatting>
  <conditionalFormatting sqref="Q806">
    <cfRule type="duplicateValues" dxfId="3813" priority="3871"/>
  </conditionalFormatting>
  <conditionalFormatting sqref="Q806">
    <cfRule type="duplicateValues" dxfId="3812" priority="3870"/>
  </conditionalFormatting>
  <conditionalFormatting sqref="Q806">
    <cfRule type="duplicateValues" dxfId="3811" priority="3869"/>
  </conditionalFormatting>
  <conditionalFormatting sqref="Q806">
    <cfRule type="duplicateValues" dxfId="3810" priority="3868"/>
  </conditionalFormatting>
  <conditionalFormatting sqref="Q806">
    <cfRule type="duplicateValues" dxfId="3809" priority="3867"/>
  </conditionalFormatting>
  <conditionalFormatting sqref="Q806:R806">
    <cfRule type="duplicateValues" dxfId="3808" priority="3866"/>
  </conditionalFormatting>
  <conditionalFormatting sqref="Q806:R806">
    <cfRule type="duplicateValues" dxfId="3807" priority="3863"/>
    <cfRule type="duplicateValues" dxfId="3806" priority="3864"/>
    <cfRule type="duplicateValues" dxfId="3805" priority="3865"/>
  </conditionalFormatting>
  <conditionalFormatting sqref="R806">
    <cfRule type="duplicateValues" dxfId="3804" priority="3862"/>
  </conditionalFormatting>
  <conditionalFormatting sqref="Q806">
    <cfRule type="duplicateValues" dxfId="3803" priority="3861"/>
  </conditionalFormatting>
  <conditionalFormatting sqref="Q806">
    <cfRule type="duplicateValues" dxfId="3802" priority="3858"/>
    <cfRule type="duplicateValues" dxfId="3801" priority="3859"/>
    <cfRule type="duplicateValues" dxfId="3800" priority="3860"/>
  </conditionalFormatting>
  <conditionalFormatting sqref="R806">
    <cfRule type="duplicateValues" dxfId="3799" priority="3855"/>
    <cfRule type="duplicateValues" dxfId="3798" priority="3856"/>
    <cfRule type="duplicateValues" dxfId="3797" priority="3857"/>
  </conditionalFormatting>
  <conditionalFormatting sqref="Q806">
    <cfRule type="duplicateValues" dxfId="3796" priority="3853"/>
    <cfRule type="duplicateValues" dxfId="3795" priority="3854"/>
  </conditionalFormatting>
  <conditionalFormatting sqref="Q806">
    <cfRule type="duplicateValues" dxfId="3794" priority="3852"/>
  </conditionalFormatting>
  <conditionalFormatting sqref="Q806">
    <cfRule type="duplicateValues" dxfId="3793" priority="3851"/>
  </conditionalFormatting>
  <conditionalFormatting sqref="Q806">
    <cfRule type="duplicateValues" dxfId="3792" priority="3850"/>
  </conditionalFormatting>
  <conditionalFormatting sqref="Q807:R807">
    <cfRule type="duplicateValues" dxfId="3791" priority="3847"/>
    <cfRule type="duplicateValues" dxfId="3790" priority="3848"/>
    <cfRule type="duplicateValues" dxfId="3789" priority="3849"/>
  </conditionalFormatting>
  <conditionalFormatting sqref="R807">
    <cfRule type="duplicateValues" dxfId="3788" priority="3846"/>
  </conditionalFormatting>
  <conditionalFormatting sqref="Q807:R807">
    <cfRule type="duplicateValues" dxfId="3787" priority="3845"/>
  </conditionalFormatting>
  <conditionalFormatting sqref="Q807">
    <cfRule type="duplicateValues" dxfId="3786" priority="3844"/>
  </conditionalFormatting>
  <conditionalFormatting sqref="Q807">
    <cfRule type="duplicateValues" dxfId="3785" priority="3843"/>
  </conditionalFormatting>
  <conditionalFormatting sqref="Q807">
    <cfRule type="duplicateValues" dxfId="3784" priority="3842"/>
  </conditionalFormatting>
  <conditionalFormatting sqref="Q807">
    <cfRule type="duplicateValues" dxfId="3783" priority="3841"/>
  </conditionalFormatting>
  <conditionalFormatting sqref="R807">
    <cfRule type="duplicateValues" dxfId="3782" priority="3840"/>
  </conditionalFormatting>
  <conditionalFormatting sqref="Q807">
    <cfRule type="duplicateValues" dxfId="3781" priority="3838"/>
    <cfRule type="duplicateValues" dxfId="3780" priority="3839"/>
  </conditionalFormatting>
  <conditionalFormatting sqref="Q807">
    <cfRule type="duplicateValues" dxfId="3779" priority="3837"/>
  </conditionalFormatting>
  <conditionalFormatting sqref="Q807">
    <cfRule type="duplicateValues" dxfId="3778" priority="3836"/>
  </conditionalFormatting>
  <conditionalFormatting sqref="Q807">
    <cfRule type="duplicateValues" dxfId="3777" priority="3835"/>
  </conditionalFormatting>
  <conditionalFormatting sqref="Q807">
    <cfRule type="duplicateValues" dxfId="3776" priority="3834"/>
  </conditionalFormatting>
  <conditionalFormatting sqref="Q807">
    <cfRule type="duplicateValues" dxfId="3775" priority="3833"/>
  </conditionalFormatting>
  <conditionalFormatting sqref="Q807">
    <cfRule type="duplicateValues" dxfId="3774" priority="3832"/>
  </conditionalFormatting>
  <conditionalFormatting sqref="Q807">
    <cfRule type="duplicateValues" dxfId="3773" priority="3831"/>
  </conditionalFormatting>
  <conditionalFormatting sqref="Q807">
    <cfRule type="duplicateValues" dxfId="3772" priority="3830"/>
  </conditionalFormatting>
  <conditionalFormatting sqref="Q807:R807">
    <cfRule type="duplicateValues" dxfId="3771" priority="3829"/>
  </conditionalFormatting>
  <conditionalFormatting sqref="Q807">
    <cfRule type="duplicateValues" dxfId="3770" priority="3828"/>
  </conditionalFormatting>
  <conditionalFormatting sqref="R807">
    <cfRule type="duplicateValues" dxfId="3769" priority="3827"/>
  </conditionalFormatting>
  <conditionalFormatting sqref="Q807">
    <cfRule type="duplicateValues" dxfId="3768" priority="3826"/>
  </conditionalFormatting>
  <conditionalFormatting sqref="Q807">
    <cfRule type="duplicateValues" dxfId="3767" priority="3825"/>
  </conditionalFormatting>
  <conditionalFormatting sqref="Q807">
    <cfRule type="duplicateValues" dxfId="3766" priority="3824"/>
  </conditionalFormatting>
  <conditionalFormatting sqref="R808">
    <cfRule type="duplicateValues" dxfId="3765" priority="3823"/>
  </conditionalFormatting>
  <conditionalFormatting sqref="R808">
    <cfRule type="duplicateValues" dxfId="3764" priority="3820"/>
    <cfRule type="duplicateValues" dxfId="3763" priority="3821"/>
    <cfRule type="duplicateValues" dxfId="3762" priority="3822"/>
  </conditionalFormatting>
  <conditionalFormatting sqref="R808">
    <cfRule type="duplicateValues" dxfId="3761" priority="3819"/>
  </conditionalFormatting>
  <conditionalFormatting sqref="R808">
    <cfRule type="duplicateValues" dxfId="3760" priority="3816"/>
    <cfRule type="duplicateValues" dxfId="3759" priority="3817"/>
    <cfRule type="duplicateValues" dxfId="3758" priority="3818"/>
  </conditionalFormatting>
  <conditionalFormatting sqref="Q808">
    <cfRule type="duplicateValues" dxfId="3757" priority="3815"/>
  </conditionalFormatting>
  <conditionalFormatting sqref="Q808">
    <cfRule type="duplicateValues" dxfId="3756" priority="3814"/>
  </conditionalFormatting>
  <conditionalFormatting sqref="Q808">
    <cfRule type="duplicateValues" dxfId="3755" priority="3813"/>
  </conditionalFormatting>
  <conditionalFormatting sqref="Q809:R810">
    <cfRule type="duplicateValues" dxfId="3754" priority="3812"/>
  </conditionalFormatting>
  <conditionalFormatting sqref="Q809:R810">
    <cfRule type="duplicateValues" dxfId="3753" priority="3809"/>
    <cfRule type="duplicateValues" dxfId="3752" priority="3810"/>
    <cfRule type="duplicateValues" dxfId="3751" priority="3811"/>
  </conditionalFormatting>
  <conditionalFormatting sqref="R809:R810">
    <cfRule type="duplicateValues" dxfId="3750" priority="3808"/>
  </conditionalFormatting>
  <conditionalFormatting sqref="Q809:R810">
    <cfRule type="duplicateValues" dxfId="3749" priority="3807"/>
  </conditionalFormatting>
  <conditionalFormatting sqref="Q809:Q810">
    <cfRule type="duplicateValues" dxfId="3748" priority="3806"/>
  </conditionalFormatting>
  <conditionalFormatting sqref="Q809:Q810">
    <cfRule type="duplicateValues" dxfId="3747" priority="3805"/>
  </conditionalFormatting>
  <conditionalFormatting sqref="Q809:Q810">
    <cfRule type="duplicateValues" dxfId="3746" priority="3804"/>
  </conditionalFormatting>
  <conditionalFormatting sqref="Q809:Q810">
    <cfRule type="duplicateValues" dxfId="3745" priority="3803"/>
  </conditionalFormatting>
  <conditionalFormatting sqref="R809:R810">
    <cfRule type="duplicateValues" dxfId="3744" priority="3802"/>
  </conditionalFormatting>
  <conditionalFormatting sqref="Q809:Q810">
    <cfRule type="duplicateValues" dxfId="3743" priority="3800"/>
    <cfRule type="duplicateValues" dxfId="3742" priority="3801"/>
  </conditionalFormatting>
  <conditionalFormatting sqref="Q809:Q810">
    <cfRule type="duplicateValues" dxfId="3741" priority="3799"/>
  </conditionalFormatting>
  <conditionalFormatting sqref="Q809:R810">
    <cfRule type="duplicateValues" dxfId="3740" priority="3798"/>
  </conditionalFormatting>
  <conditionalFormatting sqref="Q809:Q810">
    <cfRule type="duplicateValues" dxfId="3739" priority="3797"/>
  </conditionalFormatting>
  <conditionalFormatting sqref="Q809:Q810">
    <cfRule type="duplicateValues" dxfId="3738" priority="3796"/>
  </conditionalFormatting>
  <conditionalFormatting sqref="Q809:Q810">
    <cfRule type="duplicateValues" dxfId="3737" priority="3795"/>
  </conditionalFormatting>
  <conditionalFormatting sqref="Q809:Q810">
    <cfRule type="duplicateValues" dxfId="3736" priority="3794"/>
  </conditionalFormatting>
  <conditionalFormatting sqref="Q809:Q810">
    <cfRule type="duplicateValues" dxfId="3735" priority="3793"/>
  </conditionalFormatting>
  <conditionalFormatting sqref="Q809:Q810">
    <cfRule type="duplicateValues" dxfId="3734" priority="3792"/>
  </conditionalFormatting>
  <conditionalFormatting sqref="Q809:Q810">
    <cfRule type="duplicateValues" dxfId="3733" priority="3791"/>
  </conditionalFormatting>
  <conditionalFormatting sqref="Q809:Q810">
    <cfRule type="duplicateValues" dxfId="3732" priority="3790"/>
  </conditionalFormatting>
  <conditionalFormatting sqref="R809:R810">
    <cfRule type="duplicateValues" dxfId="3731" priority="3789"/>
  </conditionalFormatting>
  <conditionalFormatting sqref="Q809:Q810">
    <cfRule type="duplicateValues" dxfId="3730" priority="3788"/>
  </conditionalFormatting>
  <conditionalFormatting sqref="Q809:Q810">
    <cfRule type="duplicateValues" dxfId="3729" priority="3787"/>
  </conditionalFormatting>
  <conditionalFormatting sqref="Q809:Q810">
    <cfRule type="duplicateValues" dxfId="3728" priority="3786"/>
  </conditionalFormatting>
  <conditionalFormatting sqref="Q811">
    <cfRule type="duplicateValues" dxfId="3727" priority="3785"/>
  </conditionalFormatting>
  <conditionalFormatting sqref="Q811">
    <cfRule type="duplicateValues" dxfId="3726" priority="3784"/>
  </conditionalFormatting>
  <conditionalFormatting sqref="Q811">
    <cfRule type="duplicateValues" dxfId="3725" priority="3783"/>
  </conditionalFormatting>
  <conditionalFormatting sqref="Q811">
    <cfRule type="duplicateValues" dxfId="3724" priority="3782"/>
  </conditionalFormatting>
  <conditionalFormatting sqref="Q811:R811">
    <cfRule type="duplicateValues" dxfId="3723" priority="3781"/>
  </conditionalFormatting>
  <conditionalFormatting sqref="Q811:R811">
    <cfRule type="duplicateValues" dxfId="3722" priority="3778"/>
    <cfRule type="duplicateValues" dxfId="3721" priority="3779"/>
    <cfRule type="duplicateValues" dxfId="3720" priority="3780"/>
  </conditionalFormatting>
  <conditionalFormatting sqref="R811">
    <cfRule type="duplicateValues" dxfId="3719" priority="3777"/>
  </conditionalFormatting>
  <conditionalFormatting sqref="Q811">
    <cfRule type="duplicateValues" dxfId="3718" priority="3776"/>
  </conditionalFormatting>
  <conditionalFormatting sqref="Q811">
    <cfRule type="duplicateValues" dxfId="3717" priority="3773"/>
    <cfRule type="duplicateValues" dxfId="3716" priority="3774"/>
    <cfRule type="duplicateValues" dxfId="3715" priority="3775"/>
  </conditionalFormatting>
  <conditionalFormatting sqref="R811">
    <cfRule type="duplicateValues" dxfId="3714" priority="3770"/>
    <cfRule type="duplicateValues" dxfId="3713" priority="3771"/>
    <cfRule type="duplicateValues" dxfId="3712" priority="3772"/>
  </conditionalFormatting>
  <conditionalFormatting sqref="Q811">
    <cfRule type="duplicateValues" dxfId="3711" priority="3768"/>
    <cfRule type="duplicateValues" dxfId="3710" priority="3769"/>
  </conditionalFormatting>
  <conditionalFormatting sqref="Q811">
    <cfRule type="duplicateValues" dxfId="3709" priority="3767"/>
  </conditionalFormatting>
  <conditionalFormatting sqref="Q811">
    <cfRule type="duplicateValues" dxfId="3708" priority="3766"/>
  </conditionalFormatting>
  <conditionalFormatting sqref="Q811">
    <cfRule type="duplicateValues" dxfId="3707" priority="3765"/>
  </conditionalFormatting>
  <conditionalFormatting sqref="Q812:R812 Q941:R941 Q988:R988 Q998:R999">
    <cfRule type="duplicateValues" dxfId="3706" priority="3762"/>
    <cfRule type="duplicateValues" dxfId="3705" priority="3763"/>
    <cfRule type="duplicateValues" dxfId="3704" priority="3764"/>
  </conditionalFormatting>
  <conditionalFormatting sqref="R812 R941 R988 R998:R999">
    <cfRule type="duplicateValues" dxfId="3703" priority="3761"/>
  </conditionalFormatting>
  <conditionalFormatting sqref="Q812:R812 Q941:R941 Q988:R988 Q998:R999">
    <cfRule type="duplicateValues" dxfId="3702" priority="3760"/>
  </conditionalFormatting>
  <conditionalFormatting sqref="Q812 Q941 Q988 Q998:Q999">
    <cfRule type="duplicateValues" dxfId="3701" priority="3759"/>
  </conditionalFormatting>
  <conditionalFormatting sqref="Q812">
    <cfRule type="duplicateValues" dxfId="3700" priority="3758"/>
  </conditionalFormatting>
  <conditionalFormatting sqref="Q812">
    <cfRule type="duplicateValues" dxfId="3699" priority="3757"/>
  </conditionalFormatting>
  <conditionalFormatting sqref="Q812">
    <cfRule type="duplicateValues" dxfId="3698" priority="3756"/>
  </conditionalFormatting>
  <conditionalFormatting sqref="R812">
    <cfRule type="duplicateValues" dxfId="3697" priority="3755"/>
  </conditionalFormatting>
  <conditionalFormatting sqref="Q812 Q941 Q988 Q998:Q999">
    <cfRule type="duplicateValues" dxfId="3696" priority="3753"/>
    <cfRule type="duplicateValues" dxfId="3695" priority="3754"/>
  </conditionalFormatting>
  <conditionalFormatting sqref="Q812">
    <cfRule type="duplicateValues" dxfId="3694" priority="3752"/>
  </conditionalFormatting>
  <conditionalFormatting sqref="Q812">
    <cfRule type="duplicateValues" dxfId="3693" priority="3751"/>
  </conditionalFormatting>
  <conditionalFormatting sqref="Q812">
    <cfRule type="duplicateValues" dxfId="3692" priority="3750"/>
  </conditionalFormatting>
  <conditionalFormatting sqref="Q812">
    <cfRule type="duplicateValues" dxfId="3691" priority="3749"/>
  </conditionalFormatting>
  <conditionalFormatting sqref="Q812">
    <cfRule type="duplicateValues" dxfId="3690" priority="3748"/>
  </conditionalFormatting>
  <conditionalFormatting sqref="Q812">
    <cfRule type="duplicateValues" dxfId="3689" priority="3747"/>
  </conditionalFormatting>
  <conditionalFormatting sqref="Q812">
    <cfRule type="duplicateValues" dxfId="3688" priority="3746"/>
  </conditionalFormatting>
  <conditionalFormatting sqref="Q812">
    <cfRule type="duplicateValues" dxfId="3687" priority="3745"/>
  </conditionalFormatting>
  <conditionalFormatting sqref="Q812:R812">
    <cfRule type="duplicateValues" dxfId="3686" priority="3744"/>
  </conditionalFormatting>
  <conditionalFormatting sqref="Q812">
    <cfRule type="duplicateValues" dxfId="3685" priority="3743"/>
  </conditionalFormatting>
  <conditionalFormatting sqref="R812">
    <cfRule type="duplicateValues" dxfId="3684" priority="3742"/>
  </conditionalFormatting>
  <conditionalFormatting sqref="Q812">
    <cfRule type="duplicateValues" dxfId="3683" priority="3741"/>
  </conditionalFormatting>
  <conditionalFormatting sqref="Q812">
    <cfRule type="duplicateValues" dxfId="3682" priority="3740"/>
  </conditionalFormatting>
  <conditionalFormatting sqref="Q812">
    <cfRule type="duplicateValues" dxfId="3681" priority="3739"/>
  </conditionalFormatting>
  <conditionalFormatting sqref="Q813">
    <cfRule type="duplicateValues" dxfId="3680" priority="3738"/>
  </conditionalFormatting>
  <conditionalFormatting sqref="Q813">
    <cfRule type="duplicateValues" dxfId="3679" priority="3737"/>
  </conditionalFormatting>
  <conditionalFormatting sqref="Q813">
    <cfRule type="duplicateValues" dxfId="3678" priority="3736"/>
  </conditionalFormatting>
  <conditionalFormatting sqref="Q813">
    <cfRule type="duplicateValues" dxfId="3677" priority="3735"/>
  </conditionalFormatting>
  <conditionalFormatting sqref="Q813:R813">
    <cfRule type="duplicateValues" dxfId="3676" priority="3734"/>
  </conditionalFormatting>
  <conditionalFormatting sqref="Q813:R813">
    <cfRule type="duplicateValues" dxfId="3675" priority="3731"/>
    <cfRule type="duplicateValues" dxfId="3674" priority="3732"/>
    <cfRule type="duplicateValues" dxfId="3673" priority="3733"/>
  </conditionalFormatting>
  <conditionalFormatting sqref="R813">
    <cfRule type="duplicateValues" dxfId="3672" priority="3730"/>
  </conditionalFormatting>
  <conditionalFormatting sqref="Q813">
    <cfRule type="duplicateValues" dxfId="3671" priority="3728"/>
    <cfRule type="duplicateValues" dxfId="3670" priority="3729"/>
  </conditionalFormatting>
  <conditionalFormatting sqref="Q813">
    <cfRule type="duplicateValues" dxfId="3669" priority="3725"/>
    <cfRule type="duplicateValues" dxfId="3668" priority="3726"/>
    <cfRule type="duplicateValues" dxfId="3667" priority="3727"/>
  </conditionalFormatting>
  <conditionalFormatting sqref="R813">
    <cfRule type="duplicateValues" dxfId="3666" priority="3722"/>
    <cfRule type="duplicateValues" dxfId="3665" priority="3723"/>
    <cfRule type="duplicateValues" dxfId="3664" priority="3724"/>
  </conditionalFormatting>
  <conditionalFormatting sqref="Q813">
    <cfRule type="duplicateValues" dxfId="3663" priority="3721"/>
  </conditionalFormatting>
  <conditionalFormatting sqref="Q814">
    <cfRule type="duplicateValues" dxfId="3662" priority="3720"/>
  </conditionalFormatting>
  <conditionalFormatting sqref="Q814">
    <cfRule type="duplicateValues" dxfId="3661" priority="3719"/>
  </conditionalFormatting>
  <conditionalFormatting sqref="Q814">
    <cfRule type="duplicateValues" dxfId="3660" priority="3718"/>
  </conditionalFormatting>
  <conditionalFormatting sqref="Q814:R814">
    <cfRule type="duplicateValues" dxfId="3659" priority="3717"/>
  </conditionalFormatting>
  <conditionalFormatting sqref="Q814:R814">
    <cfRule type="duplicateValues" dxfId="3658" priority="3714"/>
    <cfRule type="duplicateValues" dxfId="3657" priority="3715"/>
    <cfRule type="duplicateValues" dxfId="3656" priority="3716"/>
  </conditionalFormatting>
  <conditionalFormatting sqref="R814">
    <cfRule type="duplicateValues" dxfId="3655" priority="3713"/>
  </conditionalFormatting>
  <conditionalFormatting sqref="Q814">
    <cfRule type="duplicateValues" dxfId="3654" priority="3712"/>
  </conditionalFormatting>
  <conditionalFormatting sqref="Q814">
    <cfRule type="duplicateValues" dxfId="3653" priority="3710"/>
    <cfRule type="duplicateValues" dxfId="3652" priority="3711"/>
  </conditionalFormatting>
  <conditionalFormatting sqref="Q814">
    <cfRule type="duplicateValues" dxfId="3651" priority="3707"/>
    <cfRule type="duplicateValues" dxfId="3650" priority="3708"/>
    <cfRule type="duplicateValues" dxfId="3649" priority="3709"/>
  </conditionalFormatting>
  <conditionalFormatting sqref="R814">
    <cfRule type="duplicateValues" dxfId="3648" priority="3704"/>
    <cfRule type="duplicateValues" dxfId="3647" priority="3705"/>
    <cfRule type="duplicateValues" dxfId="3646" priority="3706"/>
  </conditionalFormatting>
  <conditionalFormatting sqref="Q814">
    <cfRule type="duplicateValues" dxfId="3645" priority="3703"/>
  </conditionalFormatting>
  <conditionalFormatting sqref="Q815:Q816">
    <cfRule type="duplicateValues" dxfId="3644" priority="3694"/>
  </conditionalFormatting>
  <conditionalFormatting sqref="Q815:Q816">
    <cfRule type="duplicateValues" dxfId="3643" priority="3693"/>
  </conditionalFormatting>
  <conditionalFormatting sqref="R815:R816">
    <cfRule type="duplicateValues" dxfId="3642" priority="3692"/>
  </conditionalFormatting>
  <conditionalFormatting sqref="R815:R816">
    <cfRule type="duplicateValues" dxfId="3641" priority="3689"/>
    <cfRule type="duplicateValues" dxfId="3640" priority="3690"/>
    <cfRule type="duplicateValues" dxfId="3639" priority="3691"/>
  </conditionalFormatting>
  <conditionalFormatting sqref="Q815:Q816">
    <cfRule type="duplicateValues" dxfId="3638" priority="3688"/>
  </conditionalFormatting>
  <conditionalFormatting sqref="Q815:Q816">
    <cfRule type="duplicateValues" dxfId="3637" priority="3687"/>
  </conditionalFormatting>
  <conditionalFormatting sqref="Q817">
    <cfRule type="duplicateValues" dxfId="3636" priority="3686"/>
  </conditionalFormatting>
  <conditionalFormatting sqref="Q817">
    <cfRule type="duplicateValues" dxfId="3635" priority="3685"/>
  </conditionalFormatting>
  <conditionalFormatting sqref="R817">
    <cfRule type="duplicateValues" dxfId="3634" priority="3684"/>
  </conditionalFormatting>
  <conditionalFormatting sqref="R817">
    <cfRule type="duplicateValues" dxfId="3633" priority="3681"/>
    <cfRule type="duplicateValues" dxfId="3632" priority="3682"/>
    <cfRule type="duplicateValues" dxfId="3631" priority="3683"/>
  </conditionalFormatting>
  <conditionalFormatting sqref="Q817">
    <cfRule type="duplicateValues" dxfId="3630" priority="3680"/>
  </conditionalFormatting>
  <conditionalFormatting sqref="Q817">
    <cfRule type="duplicateValues" dxfId="3629" priority="3679"/>
  </conditionalFormatting>
  <conditionalFormatting sqref="Q820">
    <cfRule type="duplicateValues" dxfId="3628" priority="3678"/>
  </conditionalFormatting>
  <conditionalFormatting sqref="Q820">
    <cfRule type="duplicateValues" dxfId="3627" priority="3677"/>
  </conditionalFormatting>
  <conditionalFormatting sqref="R820">
    <cfRule type="duplicateValues" dxfId="3626" priority="3676"/>
  </conditionalFormatting>
  <conditionalFormatting sqref="R820">
    <cfRule type="duplicateValues" dxfId="3625" priority="3673"/>
    <cfRule type="duplicateValues" dxfId="3624" priority="3674"/>
    <cfRule type="duplicateValues" dxfId="3623" priority="3675"/>
  </conditionalFormatting>
  <conditionalFormatting sqref="Q820">
    <cfRule type="duplicateValues" dxfId="3622" priority="3672"/>
  </conditionalFormatting>
  <conditionalFormatting sqref="Q820">
    <cfRule type="duplicateValues" dxfId="3621" priority="3671"/>
  </conditionalFormatting>
  <conditionalFormatting sqref="Q821">
    <cfRule type="duplicateValues" dxfId="3620" priority="3670"/>
  </conditionalFormatting>
  <conditionalFormatting sqref="Q821">
    <cfRule type="duplicateValues" dxfId="3619" priority="3669"/>
  </conditionalFormatting>
  <conditionalFormatting sqref="R821">
    <cfRule type="duplicateValues" dxfId="3618" priority="3668"/>
  </conditionalFormatting>
  <conditionalFormatting sqref="R821">
    <cfRule type="duplicateValues" dxfId="3617" priority="3665"/>
    <cfRule type="duplicateValues" dxfId="3616" priority="3666"/>
    <cfRule type="duplicateValues" dxfId="3615" priority="3667"/>
  </conditionalFormatting>
  <conditionalFormatting sqref="Q821">
    <cfRule type="duplicateValues" dxfId="3614" priority="3664"/>
  </conditionalFormatting>
  <conditionalFormatting sqref="Q821">
    <cfRule type="duplicateValues" dxfId="3613" priority="3663"/>
  </conditionalFormatting>
  <conditionalFormatting sqref="Q818:Q819">
    <cfRule type="duplicateValues" dxfId="3612" priority="3662"/>
  </conditionalFormatting>
  <conditionalFormatting sqref="Q818:Q819">
    <cfRule type="duplicateValues" dxfId="3611" priority="3661"/>
  </conditionalFormatting>
  <conditionalFormatting sqref="R818:R819">
    <cfRule type="duplicateValues" dxfId="3610" priority="3660"/>
  </conditionalFormatting>
  <conditionalFormatting sqref="R818:R819">
    <cfRule type="duplicateValues" dxfId="3609" priority="3657"/>
    <cfRule type="duplicateValues" dxfId="3608" priority="3658"/>
    <cfRule type="duplicateValues" dxfId="3607" priority="3659"/>
  </conditionalFormatting>
  <conditionalFormatting sqref="Q818:Q819">
    <cfRule type="duplicateValues" dxfId="3606" priority="3656"/>
  </conditionalFormatting>
  <conditionalFormatting sqref="Q818:Q819">
    <cfRule type="duplicateValues" dxfId="3605" priority="3655"/>
  </conditionalFormatting>
  <conditionalFormatting sqref="Q822">
    <cfRule type="duplicateValues" dxfId="3604" priority="3654"/>
  </conditionalFormatting>
  <conditionalFormatting sqref="Q822">
    <cfRule type="duplicateValues" dxfId="3603" priority="3653"/>
  </conditionalFormatting>
  <conditionalFormatting sqref="R822">
    <cfRule type="duplicateValues" dxfId="3602" priority="3652"/>
  </conditionalFormatting>
  <conditionalFormatting sqref="R822">
    <cfRule type="duplicateValues" dxfId="3601" priority="3649"/>
    <cfRule type="duplicateValues" dxfId="3600" priority="3650"/>
    <cfRule type="duplicateValues" dxfId="3599" priority="3651"/>
  </conditionalFormatting>
  <conditionalFormatting sqref="Q822">
    <cfRule type="duplicateValues" dxfId="3598" priority="3648"/>
  </conditionalFormatting>
  <conditionalFormatting sqref="Q822">
    <cfRule type="duplicateValues" dxfId="3597" priority="3647"/>
  </conditionalFormatting>
  <conditionalFormatting sqref="Q823">
    <cfRule type="duplicateValues" dxfId="3596" priority="3646"/>
  </conditionalFormatting>
  <conditionalFormatting sqref="Q823">
    <cfRule type="duplicateValues" dxfId="3595" priority="3645"/>
  </conditionalFormatting>
  <conditionalFormatting sqref="R823">
    <cfRule type="duplicateValues" dxfId="3594" priority="3644"/>
  </conditionalFormatting>
  <conditionalFormatting sqref="R823">
    <cfRule type="duplicateValues" dxfId="3593" priority="3641"/>
    <cfRule type="duplicateValues" dxfId="3592" priority="3642"/>
    <cfRule type="duplicateValues" dxfId="3591" priority="3643"/>
  </conditionalFormatting>
  <conditionalFormatting sqref="Q823">
    <cfRule type="duplicateValues" dxfId="3590" priority="3640"/>
  </conditionalFormatting>
  <conditionalFormatting sqref="Q823">
    <cfRule type="duplicateValues" dxfId="3589" priority="3639"/>
  </conditionalFormatting>
  <conditionalFormatting sqref="Q824">
    <cfRule type="duplicateValues" dxfId="3588" priority="3638"/>
  </conditionalFormatting>
  <conditionalFormatting sqref="Q824">
    <cfRule type="duplicateValues" dxfId="3587" priority="3637"/>
  </conditionalFormatting>
  <conditionalFormatting sqref="R824">
    <cfRule type="duplicateValues" dxfId="3586" priority="3636"/>
  </conditionalFormatting>
  <conditionalFormatting sqref="R824">
    <cfRule type="duplicateValues" dxfId="3585" priority="3633"/>
    <cfRule type="duplicateValues" dxfId="3584" priority="3634"/>
    <cfRule type="duplicateValues" dxfId="3583" priority="3635"/>
  </conditionalFormatting>
  <conditionalFormatting sqref="Q824">
    <cfRule type="duplicateValues" dxfId="3582" priority="3632"/>
  </conditionalFormatting>
  <conditionalFormatting sqref="Q824">
    <cfRule type="duplicateValues" dxfId="3581" priority="3631"/>
  </conditionalFormatting>
  <conditionalFormatting sqref="Q825:R825">
    <cfRule type="duplicateValues" dxfId="3580" priority="3630"/>
  </conditionalFormatting>
  <conditionalFormatting sqref="Q825:R825">
    <cfRule type="duplicateValues" dxfId="3579" priority="3627"/>
    <cfRule type="duplicateValues" dxfId="3578" priority="3628"/>
    <cfRule type="duplicateValues" dxfId="3577" priority="3629"/>
  </conditionalFormatting>
  <conditionalFormatting sqref="R825">
    <cfRule type="duplicateValues" dxfId="3576" priority="3626"/>
  </conditionalFormatting>
  <conditionalFormatting sqref="Q825">
    <cfRule type="duplicateValues" dxfId="3575" priority="3625"/>
  </conditionalFormatting>
  <conditionalFormatting sqref="Q825">
    <cfRule type="duplicateValues" dxfId="3574" priority="3623"/>
    <cfRule type="duplicateValues" dxfId="3573" priority="3624"/>
  </conditionalFormatting>
  <conditionalFormatting sqref="R825">
    <cfRule type="duplicateValues" dxfId="3572" priority="3620"/>
    <cfRule type="duplicateValues" dxfId="3571" priority="3621"/>
    <cfRule type="duplicateValues" dxfId="3570" priority="3622"/>
  </conditionalFormatting>
  <conditionalFormatting sqref="Q825">
    <cfRule type="duplicateValues" dxfId="3569" priority="3619"/>
  </conditionalFormatting>
  <conditionalFormatting sqref="Q826:R827">
    <cfRule type="duplicateValues" dxfId="3568" priority="3618"/>
  </conditionalFormatting>
  <conditionalFormatting sqref="Q826:R827">
    <cfRule type="duplicateValues" dxfId="3567" priority="3615"/>
    <cfRule type="duplicateValues" dxfId="3566" priority="3616"/>
    <cfRule type="duplicateValues" dxfId="3565" priority="3617"/>
  </conditionalFormatting>
  <conditionalFormatting sqref="R826:R827">
    <cfRule type="duplicateValues" dxfId="3564" priority="3614"/>
  </conditionalFormatting>
  <conditionalFormatting sqref="Q826:Q827">
    <cfRule type="duplicateValues" dxfId="3563" priority="3613"/>
  </conditionalFormatting>
  <conditionalFormatting sqref="Q826:Q827">
    <cfRule type="duplicateValues" dxfId="3562" priority="3611"/>
    <cfRule type="duplicateValues" dxfId="3561" priority="3612"/>
  </conditionalFormatting>
  <conditionalFormatting sqref="R826:R827">
    <cfRule type="duplicateValues" dxfId="3560" priority="3608"/>
    <cfRule type="duplicateValues" dxfId="3559" priority="3609"/>
    <cfRule type="duplicateValues" dxfId="3558" priority="3610"/>
  </conditionalFormatting>
  <conditionalFormatting sqref="Q826:Q827">
    <cfRule type="duplicateValues" dxfId="3557" priority="3607"/>
  </conditionalFormatting>
  <conditionalFormatting sqref="Q845">
    <cfRule type="duplicateValues" dxfId="3556" priority="3606"/>
  </conditionalFormatting>
  <conditionalFormatting sqref="Q845">
    <cfRule type="duplicateValues" dxfId="3555" priority="3605"/>
  </conditionalFormatting>
  <conditionalFormatting sqref="Q845">
    <cfRule type="duplicateValues" dxfId="3554" priority="3604"/>
  </conditionalFormatting>
  <conditionalFormatting sqref="Q845">
    <cfRule type="duplicateValues" dxfId="3553" priority="3603"/>
  </conditionalFormatting>
  <conditionalFormatting sqref="Q845">
    <cfRule type="duplicateValues" dxfId="3552" priority="3602"/>
  </conditionalFormatting>
  <conditionalFormatting sqref="Q845:R845">
    <cfRule type="duplicateValues" dxfId="3551" priority="3601"/>
  </conditionalFormatting>
  <conditionalFormatting sqref="Q845:R845">
    <cfRule type="duplicateValues" dxfId="3550" priority="3598"/>
    <cfRule type="duplicateValues" dxfId="3549" priority="3599"/>
    <cfRule type="duplicateValues" dxfId="3548" priority="3600"/>
  </conditionalFormatting>
  <conditionalFormatting sqref="R845">
    <cfRule type="duplicateValues" dxfId="3547" priority="3597"/>
  </conditionalFormatting>
  <conditionalFormatting sqref="Q845">
    <cfRule type="duplicateValues" dxfId="3546" priority="3596"/>
  </conditionalFormatting>
  <conditionalFormatting sqref="Q845">
    <cfRule type="duplicateValues" dxfId="3545" priority="3593"/>
    <cfRule type="duplicateValues" dxfId="3544" priority="3594"/>
    <cfRule type="duplicateValues" dxfId="3543" priority="3595"/>
  </conditionalFormatting>
  <conditionalFormatting sqref="R845">
    <cfRule type="duplicateValues" dxfId="3542" priority="3590"/>
    <cfRule type="duplicateValues" dxfId="3541" priority="3591"/>
    <cfRule type="duplicateValues" dxfId="3540" priority="3592"/>
  </conditionalFormatting>
  <conditionalFormatting sqref="Q845">
    <cfRule type="duplicateValues" dxfId="3539" priority="3588"/>
    <cfRule type="duplicateValues" dxfId="3538" priority="3589"/>
  </conditionalFormatting>
  <conditionalFormatting sqref="Q845">
    <cfRule type="duplicateValues" dxfId="3537" priority="3587"/>
  </conditionalFormatting>
  <conditionalFormatting sqref="Q828">
    <cfRule type="duplicateValues" dxfId="3536" priority="3586"/>
  </conditionalFormatting>
  <conditionalFormatting sqref="Q828">
    <cfRule type="duplicateValues" dxfId="3535" priority="3585"/>
  </conditionalFormatting>
  <conditionalFormatting sqref="Q828">
    <cfRule type="duplicateValues" dxfId="3534" priority="3584"/>
  </conditionalFormatting>
  <conditionalFormatting sqref="Q828">
    <cfRule type="duplicateValues" dxfId="3533" priority="3583"/>
  </conditionalFormatting>
  <conditionalFormatting sqref="Q828">
    <cfRule type="duplicateValues" dxfId="3532" priority="3582"/>
  </conditionalFormatting>
  <conditionalFormatting sqref="Q828:R828">
    <cfRule type="duplicateValues" dxfId="3531" priority="3581"/>
  </conditionalFormatting>
  <conditionalFormatting sqref="Q828:R828">
    <cfRule type="duplicateValues" dxfId="3530" priority="3578"/>
    <cfRule type="duplicateValues" dxfId="3529" priority="3579"/>
    <cfRule type="duplicateValues" dxfId="3528" priority="3580"/>
  </conditionalFormatting>
  <conditionalFormatting sqref="R828">
    <cfRule type="duplicateValues" dxfId="3527" priority="3577"/>
  </conditionalFormatting>
  <conditionalFormatting sqref="Q828">
    <cfRule type="duplicateValues" dxfId="3526" priority="3576"/>
  </conditionalFormatting>
  <conditionalFormatting sqref="Q828">
    <cfRule type="duplicateValues" dxfId="3525" priority="3573"/>
    <cfRule type="duplicateValues" dxfId="3524" priority="3574"/>
    <cfRule type="duplicateValues" dxfId="3523" priority="3575"/>
  </conditionalFormatting>
  <conditionalFormatting sqref="R828">
    <cfRule type="duplicateValues" dxfId="3522" priority="3570"/>
    <cfRule type="duplicateValues" dxfId="3521" priority="3571"/>
    <cfRule type="duplicateValues" dxfId="3520" priority="3572"/>
  </conditionalFormatting>
  <conditionalFormatting sqref="Q828">
    <cfRule type="duplicateValues" dxfId="3519" priority="3568"/>
    <cfRule type="duplicateValues" dxfId="3518" priority="3569"/>
  </conditionalFormatting>
  <conditionalFormatting sqref="Q828">
    <cfRule type="duplicateValues" dxfId="3517" priority="3567"/>
  </conditionalFormatting>
  <conditionalFormatting sqref="Q832">
    <cfRule type="duplicateValues" dxfId="3516" priority="3566"/>
  </conditionalFormatting>
  <conditionalFormatting sqref="Q832">
    <cfRule type="duplicateValues" dxfId="3515" priority="3565"/>
  </conditionalFormatting>
  <conditionalFormatting sqref="Q832">
    <cfRule type="duplicateValues" dxfId="3514" priority="3564"/>
  </conditionalFormatting>
  <conditionalFormatting sqref="Q832">
    <cfRule type="duplicateValues" dxfId="3513" priority="3563"/>
  </conditionalFormatting>
  <conditionalFormatting sqref="Q832">
    <cfRule type="duplicateValues" dxfId="3512" priority="3562"/>
  </conditionalFormatting>
  <conditionalFormatting sqref="Q832:R832">
    <cfRule type="duplicateValues" dxfId="3511" priority="3561"/>
  </conditionalFormatting>
  <conditionalFormatting sqref="Q832:R832">
    <cfRule type="duplicateValues" dxfId="3510" priority="3558"/>
    <cfRule type="duplicateValues" dxfId="3509" priority="3559"/>
    <cfRule type="duplicateValues" dxfId="3508" priority="3560"/>
  </conditionalFormatting>
  <conditionalFormatting sqref="R832">
    <cfRule type="duplicateValues" dxfId="3507" priority="3557"/>
  </conditionalFormatting>
  <conditionalFormatting sqref="Q832">
    <cfRule type="duplicateValues" dxfId="3506" priority="3556"/>
  </conditionalFormatting>
  <conditionalFormatting sqref="Q832">
    <cfRule type="duplicateValues" dxfId="3505" priority="3553"/>
    <cfRule type="duplicateValues" dxfId="3504" priority="3554"/>
    <cfRule type="duplicateValues" dxfId="3503" priority="3555"/>
  </conditionalFormatting>
  <conditionalFormatting sqref="R832">
    <cfRule type="duplicateValues" dxfId="3502" priority="3550"/>
    <cfRule type="duplicateValues" dxfId="3501" priority="3551"/>
    <cfRule type="duplicateValues" dxfId="3500" priority="3552"/>
  </conditionalFormatting>
  <conditionalFormatting sqref="Q832">
    <cfRule type="duplicateValues" dxfId="3499" priority="3548"/>
    <cfRule type="duplicateValues" dxfId="3498" priority="3549"/>
  </conditionalFormatting>
  <conditionalFormatting sqref="Q832">
    <cfRule type="duplicateValues" dxfId="3497" priority="3547"/>
  </conditionalFormatting>
  <conditionalFormatting sqref="Q829">
    <cfRule type="duplicateValues" dxfId="3496" priority="3546"/>
  </conditionalFormatting>
  <conditionalFormatting sqref="Q829:R829">
    <cfRule type="duplicateValues" dxfId="3495" priority="3545"/>
  </conditionalFormatting>
  <conditionalFormatting sqref="Q829:R829">
    <cfRule type="duplicateValues" dxfId="3494" priority="3542"/>
    <cfRule type="duplicateValues" dxfId="3493" priority="3543"/>
    <cfRule type="duplicateValues" dxfId="3492" priority="3544"/>
  </conditionalFormatting>
  <conditionalFormatting sqref="R829">
    <cfRule type="duplicateValues" dxfId="3491" priority="3541"/>
  </conditionalFormatting>
  <conditionalFormatting sqref="Q829">
    <cfRule type="duplicateValues" dxfId="3490" priority="3539"/>
    <cfRule type="duplicateValues" dxfId="3489" priority="3540"/>
  </conditionalFormatting>
  <conditionalFormatting sqref="Q829">
    <cfRule type="duplicateValues" dxfId="3488" priority="3536"/>
    <cfRule type="duplicateValues" dxfId="3487" priority="3537"/>
    <cfRule type="duplicateValues" dxfId="3486" priority="3538"/>
  </conditionalFormatting>
  <conditionalFormatting sqref="R829">
    <cfRule type="duplicateValues" dxfId="3485" priority="3533"/>
    <cfRule type="duplicateValues" dxfId="3484" priority="3534"/>
    <cfRule type="duplicateValues" dxfId="3483" priority="3535"/>
  </conditionalFormatting>
  <conditionalFormatting sqref="Q829">
    <cfRule type="duplicateValues" dxfId="3482" priority="3532"/>
  </conditionalFormatting>
  <conditionalFormatting sqref="Q829">
    <cfRule type="duplicateValues" dxfId="3481" priority="3531"/>
  </conditionalFormatting>
  <conditionalFormatting sqref="Q829">
    <cfRule type="duplicateValues" dxfId="3480" priority="3530"/>
  </conditionalFormatting>
  <conditionalFormatting sqref="Q829">
    <cfRule type="duplicateValues" dxfId="3479" priority="3529"/>
  </conditionalFormatting>
  <conditionalFormatting sqref="Q830">
    <cfRule type="duplicateValues" dxfId="3478" priority="3528"/>
  </conditionalFormatting>
  <conditionalFormatting sqref="Q830">
    <cfRule type="duplicateValues" dxfId="3477" priority="3527"/>
  </conditionalFormatting>
  <conditionalFormatting sqref="Q830">
    <cfRule type="duplicateValues" dxfId="3476" priority="3526"/>
  </conditionalFormatting>
  <conditionalFormatting sqref="Q830">
    <cfRule type="duplicateValues" dxfId="3475" priority="3525"/>
  </conditionalFormatting>
  <conditionalFormatting sqref="Q830:R830">
    <cfRule type="duplicateValues" dxfId="3474" priority="3524"/>
  </conditionalFormatting>
  <conditionalFormatting sqref="Q830:R830">
    <cfRule type="duplicateValues" dxfId="3473" priority="3521"/>
    <cfRule type="duplicateValues" dxfId="3472" priority="3522"/>
    <cfRule type="duplicateValues" dxfId="3471" priority="3523"/>
  </conditionalFormatting>
  <conditionalFormatting sqref="R830">
    <cfRule type="duplicateValues" dxfId="3470" priority="3520"/>
  </conditionalFormatting>
  <conditionalFormatting sqref="Q830">
    <cfRule type="duplicateValues" dxfId="3469" priority="3518"/>
    <cfRule type="duplicateValues" dxfId="3468" priority="3519"/>
  </conditionalFormatting>
  <conditionalFormatting sqref="Q830">
    <cfRule type="duplicateValues" dxfId="3467" priority="3515"/>
    <cfRule type="duplicateValues" dxfId="3466" priority="3516"/>
    <cfRule type="duplicateValues" dxfId="3465" priority="3517"/>
  </conditionalFormatting>
  <conditionalFormatting sqref="R830">
    <cfRule type="duplicateValues" dxfId="3464" priority="3512"/>
    <cfRule type="duplicateValues" dxfId="3463" priority="3513"/>
    <cfRule type="duplicateValues" dxfId="3462" priority="3514"/>
  </conditionalFormatting>
  <conditionalFormatting sqref="Q830">
    <cfRule type="duplicateValues" dxfId="3461" priority="3511"/>
  </conditionalFormatting>
  <conditionalFormatting sqref="Q831">
    <cfRule type="duplicateValues" dxfId="3460" priority="3510"/>
  </conditionalFormatting>
  <conditionalFormatting sqref="Q831">
    <cfRule type="duplicateValues" dxfId="3459" priority="3509"/>
  </conditionalFormatting>
  <conditionalFormatting sqref="Q831">
    <cfRule type="duplicateValues" dxfId="3458" priority="3508"/>
  </conditionalFormatting>
  <conditionalFormatting sqref="Q831">
    <cfRule type="duplicateValues" dxfId="3457" priority="3507"/>
  </conditionalFormatting>
  <conditionalFormatting sqref="Q831:R831">
    <cfRule type="duplicateValues" dxfId="3456" priority="3506"/>
  </conditionalFormatting>
  <conditionalFormatting sqref="Q831:R831">
    <cfRule type="duplicateValues" dxfId="3455" priority="3503"/>
    <cfRule type="duplicateValues" dxfId="3454" priority="3504"/>
    <cfRule type="duplicateValues" dxfId="3453" priority="3505"/>
  </conditionalFormatting>
  <conditionalFormatting sqref="R831">
    <cfRule type="duplicateValues" dxfId="3452" priority="3502"/>
  </conditionalFormatting>
  <conditionalFormatting sqref="Q831">
    <cfRule type="duplicateValues" dxfId="3451" priority="3500"/>
    <cfRule type="duplicateValues" dxfId="3450" priority="3501"/>
  </conditionalFormatting>
  <conditionalFormatting sqref="Q831">
    <cfRule type="duplicateValues" dxfId="3449" priority="3497"/>
    <cfRule type="duplicateValues" dxfId="3448" priority="3498"/>
    <cfRule type="duplicateValues" dxfId="3447" priority="3499"/>
  </conditionalFormatting>
  <conditionalFormatting sqref="R831">
    <cfRule type="duplicateValues" dxfId="3446" priority="3494"/>
    <cfRule type="duplicateValues" dxfId="3445" priority="3495"/>
    <cfRule type="duplicateValues" dxfId="3444" priority="3496"/>
  </conditionalFormatting>
  <conditionalFormatting sqref="Q831">
    <cfRule type="duplicateValues" dxfId="3443" priority="3493"/>
  </conditionalFormatting>
  <conditionalFormatting sqref="R833">
    <cfRule type="duplicateValues" dxfId="3442" priority="3492"/>
  </conditionalFormatting>
  <conditionalFormatting sqref="Q833">
    <cfRule type="duplicateValues" dxfId="3441" priority="3490"/>
    <cfRule type="duplicateValues" dxfId="3440" priority="3491"/>
  </conditionalFormatting>
  <conditionalFormatting sqref="Q833">
    <cfRule type="duplicateValues" dxfId="3439" priority="3489"/>
  </conditionalFormatting>
  <conditionalFormatting sqref="Q833">
    <cfRule type="duplicateValues" dxfId="3438" priority="3488"/>
  </conditionalFormatting>
  <conditionalFormatting sqref="Q833">
    <cfRule type="duplicateValues" dxfId="3437" priority="3487"/>
  </conditionalFormatting>
  <conditionalFormatting sqref="Q833">
    <cfRule type="duplicateValues" dxfId="3436" priority="3486"/>
  </conditionalFormatting>
  <conditionalFormatting sqref="Q833">
    <cfRule type="duplicateValues" dxfId="3435" priority="3485"/>
  </conditionalFormatting>
  <conditionalFormatting sqref="Q833">
    <cfRule type="duplicateValues" dxfId="3434" priority="3484"/>
  </conditionalFormatting>
  <conditionalFormatting sqref="Q833">
    <cfRule type="duplicateValues" dxfId="3433" priority="3483"/>
  </conditionalFormatting>
  <conditionalFormatting sqref="Q833">
    <cfRule type="duplicateValues" dxfId="3432" priority="3482"/>
  </conditionalFormatting>
  <conditionalFormatting sqref="Q833">
    <cfRule type="duplicateValues" dxfId="3431" priority="3481"/>
  </conditionalFormatting>
  <conditionalFormatting sqref="Q833">
    <cfRule type="duplicateValues" dxfId="3430" priority="3478"/>
    <cfRule type="duplicateValues" dxfId="3429" priority="3479"/>
    <cfRule type="duplicateValues" dxfId="3428" priority="3480"/>
  </conditionalFormatting>
  <conditionalFormatting sqref="R833">
    <cfRule type="duplicateValues" dxfId="3427" priority="3477"/>
  </conditionalFormatting>
  <conditionalFormatting sqref="R833">
    <cfRule type="duplicateValues" dxfId="3426" priority="3474"/>
    <cfRule type="duplicateValues" dxfId="3425" priority="3475"/>
    <cfRule type="duplicateValues" dxfId="3424" priority="3476"/>
  </conditionalFormatting>
  <conditionalFormatting sqref="Q833">
    <cfRule type="duplicateValues" dxfId="3423" priority="3473"/>
  </conditionalFormatting>
  <conditionalFormatting sqref="Q833">
    <cfRule type="duplicateValues" dxfId="3422" priority="3472"/>
  </conditionalFormatting>
  <conditionalFormatting sqref="Q833">
    <cfRule type="duplicateValues" dxfId="3421" priority="3471"/>
  </conditionalFormatting>
  <conditionalFormatting sqref="Q833">
    <cfRule type="duplicateValues" dxfId="3420" priority="3470"/>
  </conditionalFormatting>
  <conditionalFormatting sqref="Q834">
    <cfRule type="duplicateValues" dxfId="3419" priority="3469"/>
  </conditionalFormatting>
  <conditionalFormatting sqref="Q834">
    <cfRule type="duplicateValues" dxfId="3418" priority="3468"/>
  </conditionalFormatting>
  <conditionalFormatting sqref="Q834">
    <cfRule type="duplicateValues" dxfId="3417" priority="3467"/>
  </conditionalFormatting>
  <conditionalFormatting sqref="Q834">
    <cfRule type="duplicateValues" dxfId="3416" priority="3466"/>
  </conditionalFormatting>
  <conditionalFormatting sqref="Q834:R834">
    <cfRule type="duplicateValues" dxfId="3415" priority="3465"/>
  </conditionalFormatting>
  <conditionalFormatting sqref="Q834:R834">
    <cfRule type="duplicateValues" dxfId="3414" priority="3462"/>
    <cfRule type="duplicateValues" dxfId="3413" priority="3463"/>
    <cfRule type="duplicateValues" dxfId="3412" priority="3464"/>
  </conditionalFormatting>
  <conditionalFormatting sqref="R834">
    <cfRule type="duplicateValues" dxfId="3411" priority="3461"/>
  </conditionalFormatting>
  <conditionalFormatting sqref="Q834">
    <cfRule type="duplicateValues" dxfId="3410" priority="3459"/>
    <cfRule type="duplicateValues" dxfId="3409" priority="3460"/>
  </conditionalFormatting>
  <conditionalFormatting sqref="Q834">
    <cfRule type="duplicateValues" dxfId="3408" priority="3456"/>
    <cfRule type="duplicateValues" dxfId="3407" priority="3457"/>
    <cfRule type="duplicateValues" dxfId="3406" priority="3458"/>
  </conditionalFormatting>
  <conditionalFormatting sqref="R834">
    <cfRule type="duplicateValues" dxfId="3405" priority="3453"/>
    <cfRule type="duplicateValues" dxfId="3404" priority="3454"/>
    <cfRule type="duplicateValues" dxfId="3403" priority="3455"/>
  </conditionalFormatting>
  <conditionalFormatting sqref="Q834">
    <cfRule type="duplicateValues" dxfId="3402" priority="3452"/>
  </conditionalFormatting>
  <conditionalFormatting sqref="Q848">
    <cfRule type="duplicateValues" dxfId="3401" priority="3451"/>
  </conditionalFormatting>
  <conditionalFormatting sqref="Q848">
    <cfRule type="duplicateValues" dxfId="3400" priority="3450"/>
  </conditionalFormatting>
  <conditionalFormatting sqref="Q848:R848">
    <cfRule type="duplicateValues" dxfId="3399" priority="3449"/>
  </conditionalFormatting>
  <conditionalFormatting sqref="Q848:R848">
    <cfRule type="duplicateValues" dxfId="3398" priority="3446"/>
    <cfRule type="duplicateValues" dxfId="3397" priority="3447"/>
    <cfRule type="duplicateValues" dxfId="3396" priority="3448"/>
  </conditionalFormatting>
  <conditionalFormatting sqref="R848">
    <cfRule type="duplicateValues" dxfId="3395" priority="3445"/>
  </conditionalFormatting>
  <conditionalFormatting sqref="Q848">
    <cfRule type="duplicateValues" dxfId="3394" priority="3444"/>
  </conditionalFormatting>
  <conditionalFormatting sqref="Q848">
    <cfRule type="duplicateValues" dxfId="3393" priority="3441"/>
    <cfRule type="duplicateValues" dxfId="3392" priority="3442"/>
    <cfRule type="duplicateValues" dxfId="3391" priority="3443"/>
  </conditionalFormatting>
  <conditionalFormatting sqref="R848">
    <cfRule type="duplicateValues" dxfId="3390" priority="3438"/>
    <cfRule type="duplicateValues" dxfId="3389" priority="3439"/>
    <cfRule type="duplicateValues" dxfId="3388" priority="3440"/>
  </conditionalFormatting>
  <conditionalFormatting sqref="Q848">
    <cfRule type="duplicateValues" dxfId="3387" priority="3436"/>
    <cfRule type="duplicateValues" dxfId="3386" priority="3437"/>
  </conditionalFormatting>
  <conditionalFormatting sqref="Q848">
    <cfRule type="duplicateValues" dxfId="3385" priority="3435"/>
  </conditionalFormatting>
  <conditionalFormatting sqref="Q848">
    <cfRule type="duplicateValues" dxfId="3384" priority="3434"/>
  </conditionalFormatting>
  <conditionalFormatting sqref="Q848">
    <cfRule type="duplicateValues" dxfId="3383" priority="3433"/>
  </conditionalFormatting>
  <conditionalFormatting sqref="Q848">
    <cfRule type="duplicateValues" dxfId="3382" priority="3432"/>
  </conditionalFormatting>
  <conditionalFormatting sqref="Q835">
    <cfRule type="duplicateValues" dxfId="3381" priority="3431"/>
  </conditionalFormatting>
  <conditionalFormatting sqref="Q835">
    <cfRule type="duplicateValues" dxfId="3380" priority="3430"/>
  </conditionalFormatting>
  <conditionalFormatting sqref="Q835:R835">
    <cfRule type="duplicateValues" dxfId="3379" priority="3429"/>
  </conditionalFormatting>
  <conditionalFormatting sqref="Q835:R835">
    <cfRule type="duplicateValues" dxfId="3378" priority="3426"/>
    <cfRule type="duplicateValues" dxfId="3377" priority="3427"/>
    <cfRule type="duplicateValues" dxfId="3376" priority="3428"/>
  </conditionalFormatting>
  <conditionalFormatting sqref="R835">
    <cfRule type="duplicateValues" dxfId="3375" priority="3425"/>
  </conditionalFormatting>
  <conditionalFormatting sqref="Q835">
    <cfRule type="duplicateValues" dxfId="3374" priority="3424"/>
  </conditionalFormatting>
  <conditionalFormatting sqref="Q835">
    <cfRule type="duplicateValues" dxfId="3373" priority="3421"/>
    <cfRule type="duplicateValues" dxfId="3372" priority="3422"/>
    <cfRule type="duplicateValues" dxfId="3371" priority="3423"/>
  </conditionalFormatting>
  <conditionalFormatting sqref="R835">
    <cfRule type="duplicateValues" dxfId="3370" priority="3418"/>
    <cfRule type="duplicateValues" dxfId="3369" priority="3419"/>
    <cfRule type="duplicateValues" dxfId="3368" priority="3420"/>
  </conditionalFormatting>
  <conditionalFormatting sqref="Q835">
    <cfRule type="duplicateValues" dxfId="3367" priority="3416"/>
    <cfRule type="duplicateValues" dxfId="3366" priority="3417"/>
  </conditionalFormatting>
  <conditionalFormatting sqref="Q835">
    <cfRule type="duplicateValues" dxfId="3365" priority="3415"/>
  </conditionalFormatting>
  <conditionalFormatting sqref="Q835">
    <cfRule type="duplicateValues" dxfId="3364" priority="3414"/>
  </conditionalFormatting>
  <conditionalFormatting sqref="Q835">
    <cfRule type="duplicateValues" dxfId="3363" priority="3413"/>
  </conditionalFormatting>
  <conditionalFormatting sqref="Q835">
    <cfRule type="duplicateValues" dxfId="3362" priority="3412"/>
  </conditionalFormatting>
  <conditionalFormatting sqref="Q836">
    <cfRule type="duplicateValues" dxfId="3361" priority="3411"/>
  </conditionalFormatting>
  <conditionalFormatting sqref="Q836">
    <cfRule type="duplicateValues" dxfId="3360" priority="3410"/>
  </conditionalFormatting>
  <conditionalFormatting sqref="Q836">
    <cfRule type="duplicateValues" dxfId="3359" priority="3409"/>
  </conditionalFormatting>
  <conditionalFormatting sqref="Q836">
    <cfRule type="duplicateValues" dxfId="3358" priority="3408"/>
  </conditionalFormatting>
  <conditionalFormatting sqref="Q836:R836">
    <cfRule type="duplicateValues" dxfId="3357" priority="3407"/>
  </conditionalFormatting>
  <conditionalFormatting sqref="Q836:R836">
    <cfRule type="duplicateValues" dxfId="3356" priority="3404"/>
    <cfRule type="duplicateValues" dxfId="3355" priority="3405"/>
    <cfRule type="duplicateValues" dxfId="3354" priority="3406"/>
  </conditionalFormatting>
  <conditionalFormatting sqref="R836">
    <cfRule type="duplicateValues" dxfId="3353" priority="3403"/>
  </conditionalFormatting>
  <conditionalFormatting sqref="Q836">
    <cfRule type="duplicateValues" dxfId="3352" priority="3402"/>
  </conditionalFormatting>
  <conditionalFormatting sqref="Q836">
    <cfRule type="duplicateValues" dxfId="3351" priority="3399"/>
    <cfRule type="duplicateValues" dxfId="3350" priority="3400"/>
    <cfRule type="duplicateValues" dxfId="3349" priority="3401"/>
  </conditionalFormatting>
  <conditionalFormatting sqref="R836">
    <cfRule type="duplicateValues" dxfId="3348" priority="3396"/>
    <cfRule type="duplicateValues" dxfId="3347" priority="3397"/>
    <cfRule type="duplicateValues" dxfId="3346" priority="3398"/>
  </conditionalFormatting>
  <conditionalFormatting sqref="Q836">
    <cfRule type="duplicateValues" dxfId="3345" priority="3394"/>
    <cfRule type="duplicateValues" dxfId="3344" priority="3395"/>
  </conditionalFormatting>
  <conditionalFormatting sqref="Q836">
    <cfRule type="duplicateValues" dxfId="3343" priority="3393"/>
  </conditionalFormatting>
  <conditionalFormatting sqref="Q836">
    <cfRule type="duplicateValues" dxfId="3342" priority="3392"/>
  </conditionalFormatting>
  <conditionalFormatting sqref="Q836">
    <cfRule type="duplicateValues" dxfId="3341" priority="3391"/>
  </conditionalFormatting>
  <conditionalFormatting sqref="Q836">
    <cfRule type="duplicateValues" dxfId="3340" priority="3390"/>
  </conditionalFormatting>
  <conditionalFormatting sqref="Q837:R837">
    <cfRule type="duplicateValues" dxfId="3339" priority="3389"/>
  </conditionalFormatting>
  <conditionalFormatting sqref="Q837:R837">
    <cfRule type="duplicateValues" dxfId="3338" priority="3386"/>
    <cfRule type="duplicateValues" dxfId="3337" priority="3387"/>
    <cfRule type="duplicateValues" dxfId="3336" priority="3388"/>
  </conditionalFormatting>
  <conditionalFormatting sqref="R837">
    <cfRule type="duplicateValues" dxfId="3335" priority="3385"/>
  </conditionalFormatting>
  <conditionalFormatting sqref="Q837">
    <cfRule type="duplicateValues" dxfId="3334" priority="3384"/>
  </conditionalFormatting>
  <conditionalFormatting sqref="Q837">
    <cfRule type="duplicateValues" dxfId="3333" priority="3381"/>
    <cfRule type="duplicateValues" dxfId="3332" priority="3382"/>
    <cfRule type="duplicateValues" dxfId="3331" priority="3383"/>
  </conditionalFormatting>
  <conditionalFormatting sqref="R837">
    <cfRule type="duplicateValues" dxfId="3330" priority="3378"/>
    <cfRule type="duplicateValues" dxfId="3329" priority="3379"/>
    <cfRule type="duplicateValues" dxfId="3328" priority="3380"/>
  </conditionalFormatting>
  <conditionalFormatting sqref="Q837">
    <cfRule type="duplicateValues" dxfId="3327" priority="3376"/>
    <cfRule type="duplicateValues" dxfId="3326" priority="3377"/>
  </conditionalFormatting>
  <conditionalFormatting sqref="Q837">
    <cfRule type="duplicateValues" dxfId="3325" priority="3375"/>
  </conditionalFormatting>
  <conditionalFormatting sqref="Q837">
    <cfRule type="duplicateValues" dxfId="3324" priority="3374"/>
  </conditionalFormatting>
  <conditionalFormatting sqref="Q837">
    <cfRule type="duplicateValues" dxfId="3323" priority="3373"/>
  </conditionalFormatting>
  <conditionalFormatting sqref="Q837">
    <cfRule type="duplicateValues" dxfId="3322" priority="3372"/>
  </conditionalFormatting>
  <conditionalFormatting sqref="Q837">
    <cfRule type="duplicateValues" dxfId="3321" priority="3371"/>
  </conditionalFormatting>
  <conditionalFormatting sqref="Q837">
    <cfRule type="duplicateValues" dxfId="3320" priority="3370"/>
  </conditionalFormatting>
  <conditionalFormatting sqref="Q837">
    <cfRule type="duplicateValues" dxfId="3319" priority="3369"/>
  </conditionalFormatting>
  <conditionalFormatting sqref="Q837">
    <cfRule type="duplicateValues" dxfId="3318" priority="3368"/>
  </conditionalFormatting>
  <conditionalFormatting sqref="Q837">
    <cfRule type="duplicateValues" dxfId="3317" priority="3367"/>
  </conditionalFormatting>
  <conditionalFormatting sqref="Q838">
    <cfRule type="duplicateValues" dxfId="3316" priority="3366"/>
  </conditionalFormatting>
  <conditionalFormatting sqref="Q838">
    <cfRule type="duplicateValues" dxfId="3315" priority="3365"/>
  </conditionalFormatting>
  <conditionalFormatting sqref="Q838">
    <cfRule type="duplicateValues" dxfId="3314" priority="3364"/>
  </conditionalFormatting>
  <conditionalFormatting sqref="R838">
    <cfRule type="duplicateValues" dxfId="3313" priority="3363"/>
  </conditionalFormatting>
  <conditionalFormatting sqref="Q838">
    <cfRule type="duplicateValues" dxfId="3312" priority="3361"/>
    <cfRule type="duplicateValues" dxfId="3311" priority="3362"/>
  </conditionalFormatting>
  <conditionalFormatting sqref="Q838">
    <cfRule type="duplicateValues" dxfId="3310" priority="3360"/>
  </conditionalFormatting>
  <conditionalFormatting sqref="Q838">
    <cfRule type="duplicateValues" dxfId="3309" priority="3359"/>
  </conditionalFormatting>
  <conditionalFormatting sqref="Q838">
    <cfRule type="duplicateValues" dxfId="3308" priority="3358"/>
  </conditionalFormatting>
  <conditionalFormatting sqref="Q838">
    <cfRule type="duplicateValues" dxfId="3307" priority="3357"/>
  </conditionalFormatting>
  <conditionalFormatting sqref="Q838">
    <cfRule type="duplicateValues" dxfId="3306" priority="3356"/>
  </conditionalFormatting>
  <conditionalFormatting sqref="Q838">
    <cfRule type="duplicateValues" dxfId="3305" priority="3355"/>
  </conditionalFormatting>
  <conditionalFormatting sqref="Q838">
    <cfRule type="duplicateValues" dxfId="3304" priority="3354"/>
  </conditionalFormatting>
  <conditionalFormatting sqref="Q838">
    <cfRule type="duplicateValues" dxfId="3303" priority="3353"/>
  </conditionalFormatting>
  <conditionalFormatting sqref="Q838">
    <cfRule type="duplicateValues" dxfId="3302" priority="3352"/>
  </conditionalFormatting>
  <conditionalFormatting sqref="Q838:R838">
    <cfRule type="duplicateValues" dxfId="3301" priority="3351"/>
  </conditionalFormatting>
  <conditionalFormatting sqref="Q838">
    <cfRule type="duplicateValues" dxfId="3300" priority="3350"/>
  </conditionalFormatting>
  <conditionalFormatting sqref="R838">
    <cfRule type="duplicateValues" dxfId="3299" priority="3349"/>
  </conditionalFormatting>
  <conditionalFormatting sqref="Q838:R838">
    <cfRule type="duplicateValues" dxfId="3298" priority="3346"/>
    <cfRule type="duplicateValues" dxfId="3297" priority="3347"/>
    <cfRule type="duplicateValues" dxfId="3296" priority="3348"/>
  </conditionalFormatting>
  <conditionalFormatting sqref="Q838">
    <cfRule type="duplicateValues" dxfId="3295" priority="3345"/>
  </conditionalFormatting>
  <conditionalFormatting sqref="Q838">
    <cfRule type="duplicateValues" dxfId="3294" priority="3344"/>
  </conditionalFormatting>
  <conditionalFormatting sqref="Q838">
    <cfRule type="duplicateValues" dxfId="3293" priority="3343"/>
  </conditionalFormatting>
  <conditionalFormatting sqref="Q839:R840">
    <cfRule type="duplicateValues" dxfId="3292" priority="3342"/>
  </conditionalFormatting>
  <conditionalFormatting sqref="Q839:R840">
    <cfRule type="duplicateValues" dxfId="3291" priority="3339"/>
    <cfRule type="duplicateValues" dxfId="3290" priority="3340"/>
    <cfRule type="duplicateValues" dxfId="3289" priority="3341"/>
  </conditionalFormatting>
  <conditionalFormatting sqref="R839:R840">
    <cfRule type="duplicateValues" dxfId="3288" priority="3338"/>
  </conditionalFormatting>
  <conditionalFormatting sqref="Q839:Q840">
    <cfRule type="duplicateValues" dxfId="3287" priority="3337"/>
  </conditionalFormatting>
  <conditionalFormatting sqref="Q839:Q840">
    <cfRule type="duplicateValues" dxfId="3286" priority="3334"/>
    <cfRule type="duplicateValues" dxfId="3285" priority="3335"/>
    <cfRule type="duplicateValues" dxfId="3284" priority="3336"/>
  </conditionalFormatting>
  <conditionalFormatting sqref="R839:R840">
    <cfRule type="duplicateValues" dxfId="3283" priority="3331"/>
    <cfRule type="duplicateValues" dxfId="3282" priority="3332"/>
    <cfRule type="duplicateValues" dxfId="3281" priority="3333"/>
  </conditionalFormatting>
  <conditionalFormatting sqref="Q839:Q840">
    <cfRule type="duplicateValues" dxfId="3280" priority="3329"/>
    <cfRule type="duplicateValues" dxfId="3279" priority="3330"/>
  </conditionalFormatting>
  <conditionalFormatting sqref="Q839:Q840">
    <cfRule type="duplicateValues" dxfId="3278" priority="3328"/>
  </conditionalFormatting>
  <conditionalFormatting sqref="Q839:Q840">
    <cfRule type="duplicateValues" dxfId="3277" priority="3327"/>
  </conditionalFormatting>
  <conditionalFormatting sqref="Q839:Q840">
    <cfRule type="duplicateValues" dxfId="3276" priority="3326"/>
  </conditionalFormatting>
  <conditionalFormatting sqref="Q839:Q840">
    <cfRule type="duplicateValues" dxfId="3275" priority="3325"/>
  </conditionalFormatting>
  <conditionalFormatting sqref="Q839:Q840">
    <cfRule type="duplicateValues" dxfId="3274" priority="3324"/>
  </conditionalFormatting>
  <conditionalFormatting sqref="Q839:Q840">
    <cfRule type="duplicateValues" dxfId="3273" priority="3323"/>
  </conditionalFormatting>
  <conditionalFormatting sqref="Q839:Q840">
    <cfRule type="duplicateValues" dxfId="3272" priority="3322"/>
  </conditionalFormatting>
  <conditionalFormatting sqref="Q839:Q840">
    <cfRule type="duplicateValues" dxfId="3271" priority="3321"/>
  </conditionalFormatting>
  <conditionalFormatting sqref="Q839:Q840">
    <cfRule type="duplicateValues" dxfId="3270" priority="3320"/>
  </conditionalFormatting>
  <conditionalFormatting sqref="Q846:R846">
    <cfRule type="duplicateValues" dxfId="3269" priority="3319"/>
  </conditionalFormatting>
  <conditionalFormatting sqref="Q846:R846">
    <cfRule type="duplicateValues" dxfId="3268" priority="3316"/>
    <cfRule type="duplicateValues" dxfId="3267" priority="3317"/>
    <cfRule type="duplicateValues" dxfId="3266" priority="3318"/>
  </conditionalFormatting>
  <conditionalFormatting sqref="R846">
    <cfRule type="duplicateValues" dxfId="3265" priority="3315"/>
  </conditionalFormatting>
  <conditionalFormatting sqref="Q846">
    <cfRule type="duplicateValues" dxfId="3264" priority="3314"/>
  </conditionalFormatting>
  <conditionalFormatting sqref="Q846">
    <cfRule type="duplicateValues" dxfId="3263" priority="3311"/>
    <cfRule type="duplicateValues" dxfId="3262" priority="3312"/>
    <cfRule type="duplicateValues" dxfId="3261" priority="3313"/>
  </conditionalFormatting>
  <conditionalFormatting sqref="R846">
    <cfRule type="duplicateValues" dxfId="3260" priority="3308"/>
    <cfRule type="duplicateValues" dxfId="3259" priority="3309"/>
    <cfRule type="duplicateValues" dxfId="3258" priority="3310"/>
  </conditionalFormatting>
  <conditionalFormatting sqref="Q846">
    <cfRule type="duplicateValues" dxfId="3257" priority="3306"/>
    <cfRule type="duplicateValues" dxfId="3256" priority="3307"/>
  </conditionalFormatting>
  <conditionalFormatting sqref="Q846">
    <cfRule type="duplicateValues" dxfId="3255" priority="3305"/>
  </conditionalFormatting>
  <conditionalFormatting sqref="Q846">
    <cfRule type="duplicateValues" dxfId="3254" priority="3304"/>
  </conditionalFormatting>
  <conditionalFormatting sqref="Q846">
    <cfRule type="duplicateValues" dxfId="3253" priority="3303"/>
  </conditionalFormatting>
  <conditionalFormatting sqref="Q846">
    <cfRule type="duplicateValues" dxfId="3252" priority="3302"/>
  </conditionalFormatting>
  <conditionalFormatting sqref="Q846">
    <cfRule type="duplicateValues" dxfId="3251" priority="3301"/>
  </conditionalFormatting>
  <conditionalFormatting sqref="Q846">
    <cfRule type="duplicateValues" dxfId="3250" priority="3300"/>
  </conditionalFormatting>
  <conditionalFormatting sqref="Q846">
    <cfRule type="duplicateValues" dxfId="3249" priority="3299"/>
  </conditionalFormatting>
  <conditionalFormatting sqref="Q846">
    <cfRule type="duplicateValues" dxfId="3248" priority="3298"/>
  </conditionalFormatting>
  <conditionalFormatting sqref="Q846">
    <cfRule type="duplicateValues" dxfId="3247" priority="3297"/>
  </conditionalFormatting>
  <conditionalFormatting sqref="Q841:Q842">
    <cfRule type="duplicateValues" dxfId="3246" priority="3296"/>
  </conditionalFormatting>
  <conditionalFormatting sqref="Q841:Q842">
    <cfRule type="duplicateValues" dxfId="3245" priority="3295"/>
  </conditionalFormatting>
  <conditionalFormatting sqref="Q841:R842">
    <cfRule type="duplicateValues" dxfId="3244" priority="3294"/>
  </conditionalFormatting>
  <conditionalFormatting sqref="Q841:R842">
    <cfRule type="duplicateValues" dxfId="3243" priority="3291"/>
    <cfRule type="duplicateValues" dxfId="3242" priority="3292"/>
    <cfRule type="duplicateValues" dxfId="3241" priority="3293"/>
  </conditionalFormatting>
  <conditionalFormatting sqref="R841:R842">
    <cfRule type="duplicateValues" dxfId="3240" priority="3290"/>
  </conditionalFormatting>
  <conditionalFormatting sqref="Q841:Q842">
    <cfRule type="duplicateValues" dxfId="3239" priority="3289"/>
  </conditionalFormatting>
  <conditionalFormatting sqref="Q841:Q842">
    <cfRule type="duplicateValues" dxfId="3238" priority="3286"/>
    <cfRule type="duplicateValues" dxfId="3237" priority="3287"/>
    <cfRule type="duplicateValues" dxfId="3236" priority="3288"/>
  </conditionalFormatting>
  <conditionalFormatting sqref="R841:R842">
    <cfRule type="duplicateValues" dxfId="3235" priority="3283"/>
    <cfRule type="duplicateValues" dxfId="3234" priority="3284"/>
    <cfRule type="duplicateValues" dxfId="3233" priority="3285"/>
  </conditionalFormatting>
  <conditionalFormatting sqref="Q841:Q842">
    <cfRule type="duplicateValues" dxfId="3232" priority="3281"/>
    <cfRule type="duplicateValues" dxfId="3231" priority="3282"/>
  </conditionalFormatting>
  <conditionalFormatting sqref="Q841:Q842">
    <cfRule type="duplicateValues" dxfId="3230" priority="3280"/>
  </conditionalFormatting>
  <conditionalFormatting sqref="Q841:Q842">
    <cfRule type="duplicateValues" dxfId="3229" priority="3279"/>
  </conditionalFormatting>
  <conditionalFormatting sqref="Q841:Q842">
    <cfRule type="duplicateValues" dxfId="3228" priority="3278"/>
  </conditionalFormatting>
  <conditionalFormatting sqref="Q841:Q842">
    <cfRule type="duplicateValues" dxfId="3227" priority="3277"/>
  </conditionalFormatting>
  <conditionalFormatting sqref="Q843:Q844">
    <cfRule type="duplicateValues" dxfId="3226" priority="3254"/>
  </conditionalFormatting>
  <conditionalFormatting sqref="Q843:Q844">
    <cfRule type="duplicateValues" dxfId="3225" priority="3253"/>
  </conditionalFormatting>
  <conditionalFormatting sqref="Q843:Q844">
    <cfRule type="duplicateValues" dxfId="3224" priority="3252"/>
  </conditionalFormatting>
  <conditionalFormatting sqref="Q843:Q844">
    <cfRule type="duplicateValues" dxfId="3223" priority="3251"/>
  </conditionalFormatting>
  <conditionalFormatting sqref="Q843:R844">
    <cfRule type="duplicateValues" dxfId="3222" priority="3250"/>
  </conditionalFormatting>
  <conditionalFormatting sqref="Q843:R844">
    <cfRule type="duplicateValues" dxfId="3221" priority="3247"/>
    <cfRule type="duplicateValues" dxfId="3220" priority="3248"/>
    <cfRule type="duplicateValues" dxfId="3219" priority="3249"/>
  </conditionalFormatting>
  <conditionalFormatting sqref="R843:R844">
    <cfRule type="duplicateValues" dxfId="3218" priority="3246"/>
  </conditionalFormatting>
  <conditionalFormatting sqref="Q843:Q844">
    <cfRule type="duplicateValues" dxfId="3217" priority="3245"/>
  </conditionalFormatting>
  <conditionalFormatting sqref="Q843:Q844">
    <cfRule type="duplicateValues" dxfId="3216" priority="3242"/>
    <cfRule type="duplicateValues" dxfId="3215" priority="3243"/>
    <cfRule type="duplicateValues" dxfId="3214" priority="3244"/>
  </conditionalFormatting>
  <conditionalFormatting sqref="R843:R844">
    <cfRule type="duplicateValues" dxfId="3213" priority="3239"/>
    <cfRule type="duplicateValues" dxfId="3212" priority="3240"/>
    <cfRule type="duplicateValues" dxfId="3211" priority="3241"/>
  </conditionalFormatting>
  <conditionalFormatting sqref="Q843:Q844">
    <cfRule type="duplicateValues" dxfId="3210" priority="3237"/>
    <cfRule type="duplicateValues" dxfId="3209" priority="3238"/>
  </conditionalFormatting>
  <conditionalFormatting sqref="Q843:Q844">
    <cfRule type="duplicateValues" dxfId="3208" priority="3236"/>
  </conditionalFormatting>
  <conditionalFormatting sqref="Q843:Q844">
    <cfRule type="duplicateValues" dxfId="3207" priority="3235"/>
  </conditionalFormatting>
  <conditionalFormatting sqref="Q843:Q844">
    <cfRule type="duplicateValues" dxfId="3206" priority="3234"/>
  </conditionalFormatting>
  <conditionalFormatting sqref="Q843:Q844">
    <cfRule type="duplicateValues" dxfId="3205" priority="3233"/>
  </conditionalFormatting>
  <conditionalFormatting sqref="Q847">
    <cfRule type="duplicateValues" dxfId="3204" priority="3232"/>
  </conditionalFormatting>
  <conditionalFormatting sqref="Q847">
    <cfRule type="duplicateValues" dxfId="3203" priority="3231"/>
  </conditionalFormatting>
  <conditionalFormatting sqref="Q847">
    <cfRule type="duplicateValues" dxfId="3202" priority="3230"/>
  </conditionalFormatting>
  <conditionalFormatting sqref="Q847">
    <cfRule type="duplicateValues" dxfId="3201" priority="3229"/>
  </conditionalFormatting>
  <conditionalFormatting sqref="Q847:R847">
    <cfRule type="duplicateValues" dxfId="3200" priority="3228"/>
  </conditionalFormatting>
  <conditionalFormatting sqref="Q847:R847">
    <cfRule type="duplicateValues" dxfId="3199" priority="3225"/>
    <cfRule type="duplicateValues" dxfId="3198" priority="3226"/>
    <cfRule type="duplicateValues" dxfId="3197" priority="3227"/>
  </conditionalFormatting>
  <conditionalFormatting sqref="R847">
    <cfRule type="duplicateValues" dxfId="3196" priority="3224"/>
  </conditionalFormatting>
  <conditionalFormatting sqref="Q847">
    <cfRule type="duplicateValues" dxfId="3195" priority="3223"/>
  </conditionalFormatting>
  <conditionalFormatting sqref="Q847">
    <cfRule type="duplicateValues" dxfId="3194" priority="3220"/>
    <cfRule type="duplicateValues" dxfId="3193" priority="3221"/>
    <cfRule type="duplicateValues" dxfId="3192" priority="3222"/>
  </conditionalFormatting>
  <conditionalFormatting sqref="R847">
    <cfRule type="duplicateValues" dxfId="3191" priority="3217"/>
    <cfRule type="duplicateValues" dxfId="3190" priority="3218"/>
    <cfRule type="duplicateValues" dxfId="3189" priority="3219"/>
  </conditionalFormatting>
  <conditionalFormatting sqref="Q847">
    <cfRule type="duplicateValues" dxfId="3188" priority="3215"/>
    <cfRule type="duplicateValues" dxfId="3187" priority="3216"/>
  </conditionalFormatting>
  <conditionalFormatting sqref="Q847">
    <cfRule type="duplicateValues" dxfId="3186" priority="3214"/>
  </conditionalFormatting>
  <conditionalFormatting sqref="Q847">
    <cfRule type="duplicateValues" dxfId="3185" priority="3213"/>
  </conditionalFormatting>
  <conditionalFormatting sqref="Q847">
    <cfRule type="duplicateValues" dxfId="3184" priority="3212"/>
  </conditionalFormatting>
  <conditionalFormatting sqref="Q847">
    <cfRule type="duplicateValues" dxfId="3183" priority="3211"/>
  </conditionalFormatting>
  <conditionalFormatting sqref="Q849:Q850">
    <cfRule type="duplicateValues" dxfId="3182" priority="3210"/>
  </conditionalFormatting>
  <conditionalFormatting sqref="Q849:Q850">
    <cfRule type="duplicateValues" dxfId="3181" priority="3209"/>
  </conditionalFormatting>
  <conditionalFormatting sqref="Q849:Q850">
    <cfRule type="duplicateValues" dxfId="3180" priority="3208"/>
  </conditionalFormatting>
  <conditionalFormatting sqref="Q849:Q850">
    <cfRule type="duplicateValues" dxfId="3179" priority="3207"/>
  </conditionalFormatting>
  <conditionalFormatting sqref="Q849:Q850">
    <cfRule type="duplicateValues" dxfId="3178" priority="3206"/>
  </conditionalFormatting>
  <conditionalFormatting sqref="Q849:R850">
    <cfRule type="duplicateValues" dxfId="3177" priority="3205"/>
  </conditionalFormatting>
  <conditionalFormatting sqref="Q849:R850">
    <cfRule type="duplicateValues" dxfId="3176" priority="3202"/>
    <cfRule type="duplicateValues" dxfId="3175" priority="3203"/>
    <cfRule type="duplicateValues" dxfId="3174" priority="3204"/>
  </conditionalFormatting>
  <conditionalFormatting sqref="R849:R850">
    <cfRule type="duplicateValues" dxfId="3173" priority="3201"/>
  </conditionalFormatting>
  <conditionalFormatting sqref="Q849:Q850">
    <cfRule type="duplicateValues" dxfId="3172" priority="3200"/>
  </conditionalFormatting>
  <conditionalFormatting sqref="Q849:Q850">
    <cfRule type="duplicateValues" dxfId="3171" priority="3197"/>
    <cfRule type="duplicateValues" dxfId="3170" priority="3198"/>
    <cfRule type="duplicateValues" dxfId="3169" priority="3199"/>
  </conditionalFormatting>
  <conditionalFormatting sqref="R849:R850">
    <cfRule type="duplicateValues" dxfId="3168" priority="3194"/>
    <cfRule type="duplicateValues" dxfId="3167" priority="3195"/>
    <cfRule type="duplicateValues" dxfId="3166" priority="3196"/>
  </conditionalFormatting>
  <conditionalFormatting sqref="Q849:Q850">
    <cfRule type="duplicateValues" dxfId="3165" priority="3192"/>
    <cfRule type="duplicateValues" dxfId="3164" priority="3193"/>
  </conditionalFormatting>
  <conditionalFormatting sqref="Q849:Q850">
    <cfRule type="duplicateValues" dxfId="3163" priority="3191"/>
  </conditionalFormatting>
  <conditionalFormatting sqref="Q849:Q850">
    <cfRule type="duplicateValues" dxfId="3162" priority="3190"/>
  </conditionalFormatting>
  <conditionalFormatting sqref="Q849:Q850">
    <cfRule type="duplicateValues" dxfId="3161" priority="3189"/>
  </conditionalFormatting>
  <conditionalFormatting sqref="Q849:Q850">
    <cfRule type="duplicateValues" dxfId="3160" priority="3188"/>
  </conditionalFormatting>
  <conditionalFormatting sqref="Q851">
    <cfRule type="duplicateValues" dxfId="3159" priority="3187"/>
  </conditionalFormatting>
  <conditionalFormatting sqref="Q851">
    <cfRule type="duplicateValues" dxfId="3158" priority="3186"/>
  </conditionalFormatting>
  <conditionalFormatting sqref="Q851">
    <cfRule type="duplicateValues" dxfId="3157" priority="3185"/>
  </conditionalFormatting>
  <conditionalFormatting sqref="Q851">
    <cfRule type="duplicateValues" dxfId="3156" priority="3184"/>
  </conditionalFormatting>
  <conditionalFormatting sqref="Q851">
    <cfRule type="duplicateValues" dxfId="3155" priority="3183"/>
  </conditionalFormatting>
  <conditionalFormatting sqref="Q851:R851">
    <cfRule type="duplicateValues" dxfId="3154" priority="3182"/>
  </conditionalFormatting>
  <conditionalFormatting sqref="Q851:R851">
    <cfRule type="duplicateValues" dxfId="3153" priority="3179"/>
    <cfRule type="duplicateValues" dxfId="3152" priority="3180"/>
    <cfRule type="duplicateValues" dxfId="3151" priority="3181"/>
  </conditionalFormatting>
  <conditionalFormatting sqref="R851">
    <cfRule type="duplicateValues" dxfId="3150" priority="3178"/>
  </conditionalFormatting>
  <conditionalFormatting sqref="Q851">
    <cfRule type="duplicateValues" dxfId="3149" priority="3177"/>
  </conditionalFormatting>
  <conditionalFormatting sqref="Q851">
    <cfRule type="duplicateValues" dxfId="3148" priority="3174"/>
    <cfRule type="duplicateValues" dxfId="3147" priority="3175"/>
    <cfRule type="duplicateValues" dxfId="3146" priority="3176"/>
  </conditionalFormatting>
  <conditionalFormatting sqref="R851">
    <cfRule type="duplicateValues" dxfId="3145" priority="3171"/>
    <cfRule type="duplicateValues" dxfId="3144" priority="3172"/>
    <cfRule type="duplicateValues" dxfId="3143" priority="3173"/>
  </conditionalFormatting>
  <conditionalFormatting sqref="Q851">
    <cfRule type="duplicateValues" dxfId="3142" priority="3169"/>
    <cfRule type="duplicateValues" dxfId="3141" priority="3170"/>
  </conditionalFormatting>
  <conditionalFormatting sqref="Q851">
    <cfRule type="duplicateValues" dxfId="3140" priority="3168"/>
  </conditionalFormatting>
  <conditionalFormatting sqref="Q851">
    <cfRule type="duplicateValues" dxfId="3139" priority="3167"/>
  </conditionalFormatting>
  <conditionalFormatting sqref="Q851">
    <cfRule type="duplicateValues" dxfId="3138" priority="3166"/>
  </conditionalFormatting>
  <conditionalFormatting sqref="Q851">
    <cfRule type="duplicateValues" dxfId="3137" priority="3165"/>
  </conditionalFormatting>
  <conditionalFormatting sqref="Q852:R852">
    <cfRule type="duplicateValues" dxfId="3136" priority="3164"/>
  </conditionalFormatting>
  <conditionalFormatting sqref="Q852:R852">
    <cfRule type="duplicateValues" dxfId="3135" priority="3161"/>
    <cfRule type="duplicateValues" dxfId="3134" priority="3162"/>
    <cfRule type="duplicateValues" dxfId="3133" priority="3163"/>
  </conditionalFormatting>
  <conditionalFormatting sqref="R852">
    <cfRule type="duplicateValues" dxfId="3132" priority="3160"/>
  </conditionalFormatting>
  <conditionalFormatting sqref="Q852:R852">
    <cfRule type="duplicateValues" dxfId="3131" priority="3159"/>
  </conditionalFormatting>
  <conditionalFormatting sqref="Q852">
    <cfRule type="duplicateValues" dxfId="3130" priority="3158"/>
  </conditionalFormatting>
  <conditionalFormatting sqref="Q852">
    <cfRule type="duplicateValues" dxfId="3129" priority="3157"/>
  </conditionalFormatting>
  <conditionalFormatting sqref="Q852">
    <cfRule type="duplicateValues" dxfId="3128" priority="3156"/>
  </conditionalFormatting>
  <conditionalFormatting sqref="Q852">
    <cfRule type="duplicateValues" dxfId="3127" priority="3155"/>
  </conditionalFormatting>
  <conditionalFormatting sqref="R852">
    <cfRule type="duplicateValues" dxfId="3126" priority="3154"/>
  </conditionalFormatting>
  <conditionalFormatting sqref="Q852">
    <cfRule type="duplicateValues" dxfId="3125" priority="3152"/>
    <cfRule type="duplicateValues" dxfId="3124" priority="3153"/>
  </conditionalFormatting>
  <conditionalFormatting sqref="Q852">
    <cfRule type="duplicateValues" dxfId="3123" priority="3151"/>
  </conditionalFormatting>
  <conditionalFormatting sqref="Q852">
    <cfRule type="duplicateValues" dxfId="3122" priority="3150"/>
  </conditionalFormatting>
  <conditionalFormatting sqref="Q852">
    <cfRule type="duplicateValues" dxfId="3121" priority="3149"/>
  </conditionalFormatting>
  <conditionalFormatting sqref="Q852">
    <cfRule type="duplicateValues" dxfId="3120" priority="3148"/>
  </conditionalFormatting>
  <conditionalFormatting sqref="Q852">
    <cfRule type="duplicateValues" dxfId="3119" priority="3147"/>
  </conditionalFormatting>
  <conditionalFormatting sqref="Q852">
    <cfRule type="duplicateValues" dxfId="3118" priority="3146"/>
  </conditionalFormatting>
  <conditionalFormatting sqref="Q852">
    <cfRule type="duplicateValues" dxfId="3117" priority="3145"/>
  </conditionalFormatting>
  <conditionalFormatting sqref="Q852">
    <cfRule type="duplicateValues" dxfId="3116" priority="3144"/>
  </conditionalFormatting>
  <conditionalFormatting sqref="Q852:R852">
    <cfRule type="duplicateValues" dxfId="3115" priority="3143"/>
  </conditionalFormatting>
  <conditionalFormatting sqref="Q852">
    <cfRule type="duplicateValues" dxfId="3114" priority="3142"/>
  </conditionalFormatting>
  <conditionalFormatting sqref="R852">
    <cfRule type="duplicateValues" dxfId="3113" priority="3141"/>
  </conditionalFormatting>
  <conditionalFormatting sqref="Q852">
    <cfRule type="duplicateValues" dxfId="3112" priority="3140"/>
  </conditionalFormatting>
  <conditionalFormatting sqref="Q852">
    <cfRule type="duplicateValues" dxfId="3111" priority="3139"/>
  </conditionalFormatting>
  <conditionalFormatting sqref="Q852">
    <cfRule type="duplicateValues" dxfId="3110" priority="3138"/>
  </conditionalFormatting>
  <conditionalFormatting sqref="Q852">
    <cfRule type="duplicateValues" dxfId="3109" priority="3137"/>
  </conditionalFormatting>
  <conditionalFormatting sqref="Q853">
    <cfRule type="duplicateValues" dxfId="3108" priority="3136"/>
  </conditionalFormatting>
  <conditionalFormatting sqref="Q853">
    <cfRule type="duplicateValues" dxfId="3107" priority="3135"/>
  </conditionalFormatting>
  <conditionalFormatting sqref="Q853">
    <cfRule type="duplicateValues" dxfId="3106" priority="3134"/>
  </conditionalFormatting>
  <conditionalFormatting sqref="R853">
    <cfRule type="duplicateValues" dxfId="3105" priority="3133"/>
  </conditionalFormatting>
  <conditionalFormatting sqref="R853">
    <cfRule type="duplicateValues" dxfId="3104" priority="3130"/>
    <cfRule type="duplicateValues" dxfId="3103" priority="3131"/>
    <cfRule type="duplicateValues" dxfId="3102" priority="3132"/>
  </conditionalFormatting>
  <conditionalFormatting sqref="Q853">
    <cfRule type="duplicateValues" dxfId="3101" priority="3129"/>
  </conditionalFormatting>
  <conditionalFormatting sqref="Q854:R854">
    <cfRule type="duplicateValues" dxfId="3100" priority="3128"/>
  </conditionalFormatting>
  <conditionalFormatting sqref="Q854">
    <cfRule type="duplicateValues" dxfId="3099" priority="3127"/>
  </conditionalFormatting>
  <conditionalFormatting sqref="Q854">
    <cfRule type="duplicateValues" dxfId="3098" priority="3126"/>
  </conditionalFormatting>
  <conditionalFormatting sqref="Q854">
    <cfRule type="duplicateValues" dxfId="3097" priority="3125"/>
  </conditionalFormatting>
  <conditionalFormatting sqref="Q854">
    <cfRule type="duplicateValues" dxfId="3096" priority="3124"/>
  </conditionalFormatting>
  <conditionalFormatting sqref="R854">
    <cfRule type="duplicateValues" dxfId="3095" priority="3123"/>
  </conditionalFormatting>
  <conditionalFormatting sqref="Q854">
    <cfRule type="duplicateValues" dxfId="3094" priority="3121"/>
    <cfRule type="duplicateValues" dxfId="3093" priority="3122"/>
  </conditionalFormatting>
  <conditionalFormatting sqref="Q854">
    <cfRule type="duplicateValues" dxfId="3092" priority="3120"/>
  </conditionalFormatting>
  <conditionalFormatting sqref="Q854">
    <cfRule type="duplicateValues" dxfId="3091" priority="3119"/>
  </conditionalFormatting>
  <conditionalFormatting sqref="Q854">
    <cfRule type="duplicateValues" dxfId="3090" priority="3118"/>
  </conditionalFormatting>
  <conditionalFormatting sqref="Q854">
    <cfRule type="duplicateValues" dxfId="3089" priority="3117"/>
  </conditionalFormatting>
  <conditionalFormatting sqref="Q854">
    <cfRule type="duplicateValues" dxfId="3088" priority="3116"/>
  </conditionalFormatting>
  <conditionalFormatting sqref="Q854">
    <cfRule type="duplicateValues" dxfId="3087" priority="3115"/>
  </conditionalFormatting>
  <conditionalFormatting sqref="Q854">
    <cfRule type="duplicateValues" dxfId="3086" priority="3114"/>
  </conditionalFormatting>
  <conditionalFormatting sqref="Q854">
    <cfRule type="duplicateValues" dxfId="3085" priority="3113"/>
  </conditionalFormatting>
  <conditionalFormatting sqref="Q854:R854">
    <cfRule type="duplicateValues" dxfId="3084" priority="3112"/>
  </conditionalFormatting>
  <conditionalFormatting sqref="Q854">
    <cfRule type="duplicateValues" dxfId="3083" priority="3111"/>
  </conditionalFormatting>
  <conditionalFormatting sqref="R854">
    <cfRule type="duplicateValues" dxfId="3082" priority="3110"/>
  </conditionalFormatting>
  <conditionalFormatting sqref="Q854:R854">
    <cfRule type="duplicateValues" dxfId="3081" priority="3107"/>
    <cfRule type="duplicateValues" dxfId="3080" priority="3108"/>
    <cfRule type="duplicateValues" dxfId="3079" priority="3109"/>
  </conditionalFormatting>
  <conditionalFormatting sqref="Q854">
    <cfRule type="duplicateValues" dxfId="3078" priority="3106"/>
  </conditionalFormatting>
  <conditionalFormatting sqref="Q854">
    <cfRule type="duplicateValues" dxfId="3077" priority="3105"/>
  </conditionalFormatting>
  <conditionalFormatting sqref="Q854">
    <cfRule type="duplicateValues" dxfId="3076" priority="3104"/>
  </conditionalFormatting>
  <conditionalFormatting sqref="Q854">
    <cfRule type="duplicateValues" dxfId="3075" priority="3103"/>
  </conditionalFormatting>
  <conditionalFormatting sqref="Q855">
    <cfRule type="duplicateValues" dxfId="3074" priority="3102"/>
  </conditionalFormatting>
  <conditionalFormatting sqref="Q855">
    <cfRule type="duplicateValues" dxfId="3073" priority="3101"/>
  </conditionalFormatting>
  <conditionalFormatting sqref="R855">
    <cfRule type="duplicateValues" dxfId="3072" priority="3100"/>
  </conditionalFormatting>
  <conditionalFormatting sqref="Q855">
    <cfRule type="duplicateValues" dxfId="3071" priority="3098"/>
    <cfRule type="duplicateValues" dxfId="3070" priority="3099"/>
  </conditionalFormatting>
  <conditionalFormatting sqref="Q855">
    <cfRule type="duplicateValues" dxfId="3069" priority="3097"/>
  </conditionalFormatting>
  <conditionalFormatting sqref="Q855">
    <cfRule type="duplicateValues" dxfId="3068" priority="3096"/>
  </conditionalFormatting>
  <conditionalFormatting sqref="Q855">
    <cfRule type="duplicateValues" dxfId="3067" priority="3095"/>
  </conditionalFormatting>
  <conditionalFormatting sqref="Q855">
    <cfRule type="duplicateValues" dxfId="3066" priority="3094"/>
  </conditionalFormatting>
  <conditionalFormatting sqref="Q855">
    <cfRule type="duplicateValues" dxfId="3065" priority="3093"/>
  </conditionalFormatting>
  <conditionalFormatting sqref="Q855">
    <cfRule type="duplicateValues" dxfId="3064" priority="3092"/>
  </conditionalFormatting>
  <conditionalFormatting sqref="Q855">
    <cfRule type="duplicateValues" dxfId="3063" priority="3091"/>
  </conditionalFormatting>
  <conditionalFormatting sqref="Q855">
    <cfRule type="duplicateValues" dxfId="3062" priority="3090"/>
  </conditionalFormatting>
  <conditionalFormatting sqref="Q855:R855">
    <cfRule type="duplicateValues" dxfId="3061" priority="3089"/>
  </conditionalFormatting>
  <conditionalFormatting sqref="Q855">
    <cfRule type="duplicateValues" dxfId="3060" priority="3088"/>
  </conditionalFormatting>
  <conditionalFormatting sqref="R855">
    <cfRule type="duplicateValues" dxfId="3059" priority="3087"/>
  </conditionalFormatting>
  <conditionalFormatting sqref="Q855:R855">
    <cfRule type="duplicateValues" dxfId="3058" priority="3084"/>
    <cfRule type="duplicateValues" dxfId="3057" priority="3085"/>
    <cfRule type="duplicateValues" dxfId="3056" priority="3086"/>
  </conditionalFormatting>
  <conditionalFormatting sqref="Q855">
    <cfRule type="duplicateValues" dxfId="3055" priority="3083"/>
  </conditionalFormatting>
  <conditionalFormatting sqref="Q855">
    <cfRule type="duplicateValues" dxfId="3054" priority="3082"/>
  </conditionalFormatting>
  <conditionalFormatting sqref="Q855">
    <cfRule type="duplicateValues" dxfId="3053" priority="3081"/>
  </conditionalFormatting>
  <conditionalFormatting sqref="Q855">
    <cfRule type="duplicateValues" dxfId="3052" priority="3080"/>
  </conditionalFormatting>
  <conditionalFormatting sqref="R856">
    <cfRule type="duplicateValues" dxfId="3051" priority="3079"/>
  </conditionalFormatting>
  <conditionalFormatting sqref="Q856">
    <cfRule type="duplicateValues" dxfId="3050" priority="3077"/>
    <cfRule type="duplicateValues" dxfId="3049" priority="3078"/>
  </conditionalFormatting>
  <conditionalFormatting sqref="Q856">
    <cfRule type="duplicateValues" dxfId="3048" priority="3076"/>
  </conditionalFormatting>
  <conditionalFormatting sqref="Q856">
    <cfRule type="duplicateValues" dxfId="3047" priority="3075"/>
  </conditionalFormatting>
  <conditionalFormatting sqref="Q856">
    <cfRule type="duplicateValues" dxfId="3046" priority="3074"/>
  </conditionalFormatting>
  <conditionalFormatting sqref="Q856">
    <cfRule type="duplicateValues" dxfId="3045" priority="3073"/>
  </conditionalFormatting>
  <conditionalFormatting sqref="Q856">
    <cfRule type="duplicateValues" dxfId="3044" priority="3072"/>
  </conditionalFormatting>
  <conditionalFormatting sqref="Q856">
    <cfRule type="duplicateValues" dxfId="3043" priority="3071"/>
  </conditionalFormatting>
  <conditionalFormatting sqref="Q856">
    <cfRule type="duplicateValues" dxfId="3042" priority="3070"/>
  </conditionalFormatting>
  <conditionalFormatting sqref="Q856">
    <cfRule type="duplicateValues" dxfId="3041" priority="3069"/>
  </conditionalFormatting>
  <conditionalFormatting sqref="Q856:R856">
    <cfRule type="duplicateValues" dxfId="3040" priority="3068"/>
  </conditionalFormatting>
  <conditionalFormatting sqref="Q856:R856">
    <cfRule type="duplicateValues" dxfId="3039" priority="3065"/>
    <cfRule type="duplicateValues" dxfId="3038" priority="3066"/>
    <cfRule type="duplicateValues" dxfId="3037" priority="3067"/>
  </conditionalFormatting>
  <conditionalFormatting sqref="R856">
    <cfRule type="duplicateValues" dxfId="3036" priority="3064"/>
  </conditionalFormatting>
  <conditionalFormatting sqref="Q856">
    <cfRule type="duplicateValues" dxfId="3035" priority="3063"/>
  </conditionalFormatting>
  <conditionalFormatting sqref="Q856">
    <cfRule type="duplicateValues" dxfId="3034" priority="3060"/>
    <cfRule type="duplicateValues" dxfId="3033" priority="3061"/>
    <cfRule type="duplicateValues" dxfId="3032" priority="3062"/>
  </conditionalFormatting>
  <conditionalFormatting sqref="R856">
    <cfRule type="duplicateValues" dxfId="3031" priority="3057"/>
    <cfRule type="duplicateValues" dxfId="3030" priority="3058"/>
    <cfRule type="duplicateValues" dxfId="3029" priority="3059"/>
  </conditionalFormatting>
  <conditionalFormatting sqref="Q856">
    <cfRule type="duplicateValues" dxfId="3028" priority="3056"/>
  </conditionalFormatting>
  <conditionalFormatting sqref="Q856">
    <cfRule type="duplicateValues" dxfId="3027" priority="3055"/>
  </conditionalFormatting>
  <conditionalFormatting sqref="Q856">
    <cfRule type="duplicateValues" dxfId="3026" priority="3054"/>
  </conditionalFormatting>
  <conditionalFormatting sqref="Q856">
    <cfRule type="duplicateValues" dxfId="3025" priority="3053"/>
  </conditionalFormatting>
  <conditionalFormatting sqref="Q857">
    <cfRule type="duplicateValues" dxfId="3024" priority="3052"/>
  </conditionalFormatting>
  <conditionalFormatting sqref="Q857">
    <cfRule type="duplicateValues" dxfId="3023" priority="3051"/>
  </conditionalFormatting>
  <conditionalFormatting sqref="Q857">
    <cfRule type="duplicateValues" dxfId="3022" priority="3050"/>
  </conditionalFormatting>
  <conditionalFormatting sqref="Q857">
    <cfRule type="duplicateValues" dxfId="3021" priority="3049"/>
  </conditionalFormatting>
  <conditionalFormatting sqref="Q857:R857">
    <cfRule type="duplicateValues" dxfId="3020" priority="3048"/>
  </conditionalFormatting>
  <conditionalFormatting sqref="Q857:R857">
    <cfRule type="duplicateValues" dxfId="3019" priority="3045"/>
    <cfRule type="duplicateValues" dxfId="3018" priority="3046"/>
    <cfRule type="duplicateValues" dxfId="3017" priority="3047"/>
  </conditionalFormatting>
  <conditionalFormatting sqref="R857">
    <cfRule type="duplicateValues" dxfId="3016" priority="3044"/>
  </conditionalFormatting>
  <conditionalFormatting sqref="Q857">
    <cfRule type="duplicateValues" dxfId="3015" priority="3042"/>
    <cfRule type="duplicateValues" dxfId="3014" priority="3043"/>
  </conditionalFormatting>
  <conditionalFormatting sqref="Q857">
    <cfRule type="duplicateValues" dxfId="3013" priority="3039"/>
    <cfRule type="duplicateValues" dxfId="3012" priority="3040"/>
    <cfRule type="duplicateValues" dxfId="3011" priority="3041"/>
  </conditionalFormatting>
  <conditionalFormatting sqref="R857">
    <cfRule type="duplicateValues" dxfId="3010" priority="3036"/>
    <cfRule type="duplicateValues" dxfId="3009" priority="3037"/>
    <cfRule type="duplicateValues" dxfId="3008" priority="3038"/>
  </conditionalFormatting>
  <conditionalFormatting sqref="Q857">
    <cfRule type="duplicateValues" dxfId="3007" priority="3035"/>
  </conditionalFormatting>
  <conditionalFormatting sqref="Q858">
    <cfRule type="duplicateValues" dxfId="3006" priority="3034"/>
  </conditionalFormatting>
  <conditionalFormatting sqref="Q858">
    <cfRule type="duplicateValues" dxfId="3005" priority="3033"/>
  </conditionalFormatting>
  <conditionalFormatting sqref="Q858:R858">
    <cfRule type="duplicateValues" dxfId="3004" priority="3032"/>
  </conditionalFormatting>
  <conditionalFormatting sqref="Q858:R858">
    <cfRule type="duplicateValues" dxfId="3003" priority="3029"/>
    <cfRule type="duplicateValues" dxfId="3002" priority="3030"/>
    <cfRule type="duplicateValues" dxfId="3001" priority="3031"/>
  </conditionalFormatting>
  <conditionalFormatting sqref="R858">
    <cfRule type="duplicateValues" dxfId="3000" priority="3028"/>
  </conditionalFormatting>
  <conditionalFormatting sqref="Q858">
    <cfRule type="duplicateValues" dxfId="2999" priority="3026"/>
    <cfRule type="duplicateValues" dxfId="2998" priority="3027"/>
  </conditionalFormatting>
  <conditionalFormatting sqref="Q858">
    <cfRule type="duplicateValues" dxfId="2997" priority="3023"/>
    <cfRule type="duplicateValues" dxfId="2996" priority="3024"/>
    <cfRule type="duplicateValues" dxfId="2995" priority="3025"/>
  </conditionalFormatting>
  <conditionalFormatting sqref="R858">
    <cfRule type="duplicateValues" dxfId="2994" priority="3020"/>
    <cfRule type="duplicateValues" dxfId="2993" priority="3021"/>
    <cfRule type="duplicateValues" dxfId="2992" priority="3022"/>
  </conditionalFormatting>
  <conditionalFormatting sqref="Q858">
    <cfRule type="duplicateValues" dxfId="2991" priority="3019"/>
  </conditionalFormatting>
  <conditionalFormatting sqref="Q858">
    <cfRule type="duplicateValues" dxfId="2990" priority="3018"/>
  </conditionalFormatting>
  <conditionalFormatting sqref="Q858">
    <cfRule type="duplicateValues" dxfId="2989" priority="3017"/>
  </conditionalFormatting>
  <conditionalFormatting sqref="Q858">
    <cfRule type="duplicateValues" dxfId="2988" priority="3016"/>
  </conditionalFormatting>
  <conditionalFormatting sqref="Q859">
    <cfRule type="duplicateValues" dxfId="2987" priority="3015"/>
  </conditionalFormatting>
  <conditionalFormatting sqref="Q859:R859">
    <cfRule type="duplicateValues" dxfId="2986" priority="3014"/>
  </conditionalFormatting>
  <conditionalFormatting sqref="Q859:R859">
    <cfRule type="duplicateValues" dxfId="2985" priority="3011"/>
    <cfRule type="duplicateValues" dxfId="2984" priority="3012"/>
    <cfRule type="duplicateValues" dxfId="2983" priority="3013"/>
  </conditionalFormatting>
  <conditionalFormatting sqref="R859">
    <cfRule type="duplicateValues" dxfId="2982" priority="3010"/>
  </conditionalFormatting>
  <conditionalFormatting sqref="Q859">
    <cfRule type="duplicateValues" dxfId="2981" priority="3008"/>
    <cfRule type="duplicateValues" dxfId="2980" priority="3009"/>
  </conditionalFormatting>
  <conditionalFormatting sqref="Q859">
    <cfRule type="duplicateValues" dxfId="2979" priority="3005"/>
    <cfRule type="duplicateValues" dxfId="2978" priority="3006"/>
    <cfRule type="duplicateValues" dxfId="2977" priority="3007"/>
  </conditionalFormatting>
  <conditionalFormatting sqref="R859">
    <cfRule type="duplicateValues" dxfId="2976" priority="3002"/>
    <cfRule type="duplicateValues" dxfId="2975" priority="3003"/>
    <cfRule type="duplicateValues" dxfId="2974" priority="3004"/>
  </conditionalFormatting>
  <conditionalFormatting sqref="Q859">
    <cfRule type="duplicateValues" dxfId="2973" priority="3001"/>
  </conditionalFormatting>
  <conditionalFormatting sqref="Q859">
    <cfRule type="duplicateValues" dxfId="2972" priority="3000"/>
  </conditionalFormatting>
  <conditionalFormatting sqref="Q859">
    <cfRule type="duplicateValues" dxfId="2971" priority="2999"/>
  </conditionalFormatting>
  <conditionalFormatting sqref="Q859">
    <cfRule type="duplicateValues" dxfId="2970" priority="2998"/>
  </conditionalFormatting>
  <conditionalFormatting sqref="Q860:R860">
    <cfRule type="duplicateValues" dxfId="2969" priority="2994"/>
  </conditionalFormatting>
  <conditionalFormatting sqref="Q860:R860">
    <cfRule type="duplicateValues" dxfId="2968" priority="2991"/>
    <cfRule type="duplicateValues" dxfId="2967" priority="2992"/>
    <cfRule type="duplicateValues" dxfId="2966" priority="2993"/>
  </conditionalFormatting>
  <conditionalFormatting sqref="R860">
    <cfRule type="duplicateValues" dxfId="2965" priority="2990"/>
  </conditionalFormatting>
  <conditionalFormatting sqref="Q860:R860">
    <cfRule type="duplicateValues" dxfId="2964" priority="2989"/>
  </conditionalFormatting>
  <conditionalFormatting sqref="Q860">
    <cfRule type="duplicateValues" dxfId="2963" priority="2988"/>
  </conditionalFormatting>
  <conditionalFormatting sqref="Q860">
    <cfRule type="duplicateValues" dxfId="2962" priority="2987"/>
  </conditionalFormatting>
  <conditionalFormatting sqref="Q860">
    <cfRule type="duplicateValues" dxfId="2961" priority="2986"/>
  </conditionalFormatting>
  <conditionalFormatting sqref="Q860">
    <cfRule type="duplicateValues" dxfId="2960" priority="2985"/>
  </conditionalFormatting>
  <conditionalFormatting sqref="R860">
    <cfRule type="duplicateValues" dxfId="2959" priority="2984"/>
  </conditionalFormatting>
  <conditionalFormatting sqref="Q860">
    <cfRule type="duplicateValues" dxfId="2958" priority="2982"/>
    <cfRule type="duplicateValues" dxfId="2957" priority="2983"/>
  </conditionalFormatting>
  <conditionalFormatting sqref="Q860">
    <cfRule type="duplicateValues" dxfId="2956" priority="2981"/>
  </conditionalFormatting>
  <conditionalFormatting sqref="Q860">
    <cfRule type="duplicateValues" dxfId="2955" priority="2980"/>
  </conditionalFormatting>
  <conditionalFormatting sqref="Q860">
    <cfRule type="duplicateValues" dxfId="2954" priority="2979"/>
  </conditionalFormatting>
  <conditionalFormatting sqref="Q860">
    <cfRule type="duplicateValues" dxfId="2953" priority="2978"/>
  </conditionalFormatting>
  <conditionalFormatting sqref="Q860">
    <cfRule type="duplicateValues" dxfId="2952" priority="2977"/>
  </conditionalFormatting>
  <conditionalFormatting sqref="Q860">
    <cfRule type="duplicateValues" dxfId="2951" priority="2976"/>
  </conditionalFormatting>
  <conditionalFormatting sqref="Q860">
    <cfRule type="duplicateValues" dxfId="2950" priority="2975"/>
  </conditionalFormatting>
  <conditionalFormatting sqref="Q860">
    <cfRule type="duplicateValues" dxfId="2949" priority="2974"/>
  </conditionalFormatting>
  <conditionalFormatting sqref="Q860:R860">
    <cfRule type="duplicateValues" dxfId="2948" priority="2995"/>
  </conditionalFormatting>
  <conditionalFormatting sqref="Q860">
    <cfRule type="duplicateValues" dxfId="2947" priority="2996"/>
  </conditionalFormatting>
  <conditionalFormatting sqref="R860">
    <cfRule type="duplicateValues" dxfId="2946" priority="2997"/>
  </conditionalFormatting>
  <conditionalFormatting sqref="Q860">
    <cfRule type="duplicateValues" dxfId="2945" priority="2973"/>
  </conditionalFormatting>
  <conditionalFormatting sqref="Q860">
    <cfRule type="duplicateValues" dxfId="2944" priority="2972"/>
  </conditionalFormatting>
  <conditionalFormatting sqref="Q860">
    <cfRule type="duplicateValues" dxfId="2943" priority="2971"/>
  </conditionalFormatting>
  <conditionalFormatting sqref="Q860">
    <cfRule type="duplicateValues" dxfId="2942" priority="2970"/>
  </conditionalFormatting>
  <conditionalFormatting sqref="Q861">
    <cfRule type="duplicateValues" dxfId="2941" priority="2969"/>
  </conditionalFormatting>
  <conditionalFormatting sqref="Q861">
    <cfRule type="duplicateValues" dxfId="2940" priority="2968"/>
  </conditionalFormatting>
  <conditionalFormatting sqref="Q861">
    <cfRule type="duplicateValues" dxfId="2939" priority="2967"/>
  </conditionalFormatting>
  <conditionalFormatting sqref="Q861">
    <cfRule type="duplicateValues" dxfId="2938" priority="2966"/>
  </conditionalFormatting>
  <conditionalFormatting sqref="Q861">
    <cfRule type="duplicateValues" dxfId="2937" priority="2965"/>
  </conditionalFormatting>
  <conditionalFormatting sqref="Q861:R861">
    <cfRule type="duplicateValues" dxfId="2936" priority="2964"/>
  </conditionalFormatting>
  <conditionalFormatting sqref="Q861:R861">
    <cfRule type="duplicateValues" dxfId="2935" priority="2961"/>
    <cfRule type="duplicateValues" dxfId="2934" priority="2962"/>
    <cfRule type="duplicateValues" dxfId="2933" priority="2963"/>
  </conditionalFormatting>
  <conditionalFormatting sqref="R861">
    <cfRule type="duplicateValues" dxfId="2932" priority="2960"/>
  </conditionalFormatting>
  <conditionalFormatting sqref="Q861">
    <cfRule type="duplicateValues" dxfId="2931" priority="2959"/>
  </conditionalFormatting>
  <conditionalFormatting sqref="Q861">
    <cfRule type="duplicateValues" dxfId="2930" priority="2956"/>
    <cfRule type="duplicateValues" dxfId="2929" priority="2957"/>
    <cfRule type="duplicateValues" dxfId="2928" priority="2958"/>
  </conditionalFormatting>
  <conditionalFormatting sqref="R861">
    <cfRule type="duplicateValues" dxfId="2927" priority="2953"/>
    <cfRule type="duplicateValues" dxfId="2926" priority="2954"/>
    <cfRule type="duplicateValues" dxfId="2925" priority="2955"/>
  </conditionalFormatting>
  <conditionalFormatting sqref="Q861">
    <cfRule type="duplicateValues" dxfId="2924" priority="2951"/>
    <cfRule type="duplicateValues" dxfId="2923" priority="2952"/>
  </conditionalFormatting>
  <conditionalFormatting sqref="Q861">
    <cfRule type="duplicateValues" dxfId="2922" priority="2950"/>
  </conditionalFormatting>
  <conditionalFormatting sqref="Q861">
    <cfRule type="duplicateValues" dxfId="2921" priority="2949"/>
  </conditionalFormatting>
  <conditionalFormatting sqref="Q861">
    <cfRule type="duplicateValues" dxfId="2920" priority="2948"/>
  </conditionalFormatting>
  <conditionalFormatting sqref="Q861">
    <cfRule type="duplicateValues" dxfId="2919" priority="2947"/>
  </conditionalFormatting>
  <conditionalFormatting sqref="Q862:R862">
    <cfRule type="duplicateValues" dxfId="2918" priority="2946"/>
  </conditionalFormatting>
  <conditionalFormatting sqref="Q862:R862">
    <cfRule type="duplicateValues" dxfId="2917" priority="2943"/>
    <cfRule type="duplicateValues" dxfId="2916" priority="2944"/>
    <cfRule type="duplicateValues" dxfId="2915" priority="2945"/>
  </conditionalFormatting>
  <conditionalFormatting sqref="R862">
    <cfRule type="duplicateValues" dxfId="2914" priority="2942"/>
  </conditionalFormatting>
  <conditionalFormatting sqref="Q862:R862">
    <cfRule type="duplicateValues" dxfId="2913" priority="2941"/>
  </conditionalFormatting>
  <conditionalFormatting sqref="Q862">
    <cfRule type="duplicateValues" dxfId="2912" priority="2940"/>
  </conditionalFormatting>
  <conditionalFormatting sqref="Q862">
    <cfRule type="duplicateValues" dxfId="2911" priority="2939"/>
  </conditionalFormatting>
  <conditionalFormatting sqref="Q862">
    <cfRule type="duplicateValues" dxfId="2910" priority="2938"/>
  </conditionalFormatting>
  <conditionalFormatting sqref="Q862">
    <cfRule type="duplicateValues" dxfId="2909" priority="2937"/>
  </conditionalFormatting>
  <conditionalFormatting sqref="R862">
    <cfRule type="duplicateValues" dxfId="2908" priority="2936"/>
  </conditionalFormatting>
  <conditionalFormatting sqref="Q862">
    <cfRule type="duplicateValues" dxfId="2907" priority="2934"/>
    <cfRule type="duplicateValues" dxfId="2906" priority="2935"/>
  </conditionalFormatting>
  <conditionalFormatting sqref="Q862">
    <cfRule type="duplicateValues" dxfId="2905" priority="2933"/>
  </conditionalFormatting>
  <conditionalFormatting sqref="Q862">
    <cfRule type="duplicateValues" dxfId="2904" priority="2932"/>
  </conditionalFormatting>
  <conditionalFormatting sqref="Q862">
    <cfRule type="duplicateValues" dxfId="2903" priority="2931"/>
  </conditionalFormatting>
  <conditionalFormatting sqref="Q862">
    <cfRule type="duplicateValues" dxfId="2902" priority="2930"/>
  </conditionalFormatting>
  <conditionalFormatting sqref="Q862">
    <cfRule type="duplicateValues" dxfId="2901" priority="2929"/>
  </conditionalFormatting>
  <conditionalFormatting sqref="Q862">
    <cfRule type="duplicateValues" dxfId="2900" priority="2928"/>
  </conditionalFormatting>
  <conditionalFormatting sqref="Q862">
    <cfRule type="duplicateValues" dxfId="2899" priority="2927"/>
  </conditionalFormatting>
  <conditionalFormatting sqref="Q862">
    <cfRule type="duplicateValues" dxfId="2898" priority="2926"/>
  </conditionalFormatting>
  <conditionalFormatting sqref="Q862:R862">
    <cfRule type="duplicateValues" dxfId="2897" priority="2925"/>
  </conditionalFormatting>
  <conditionalFormatting sqref="Q862">
    <cfRule type="duplicateValues" dxfId="2896" priority="2924"/>
  </conditionalFormatting>
  <conditionalFormatting sqref="Q862">
    <cfRule type="duplicateValues" dxfId="2895" priority="2923"/>
  </conditionalFormatting>
  <conditionalFormatting sqref="Q862">
    <cfRule type="duplicateValues" dxfId="2894" priority="2922"/>
  </conditionalFormatting>
  <conditionalFormatting sqref="Q862">
    <cfRule type="duplicateValues" dxfId="2893" priority="2921"/>
  </conditionalFormatting>
  <conditionalFormatting sqref="Q862:R862">
    <cfRule type="duplicateValues" dxfId="2892" priority="2920"/>
  </conditionalFormatting>
  <conditionalFormatting sqref="R862">
    <cfRule type="duplicateValues" dxfId="2891" priority="2919"/>
  </conditionalFormatting>
  <conditionalFormatting sqref="Q862">
    <cfRule type="duplicateValues" dxfId="2890" priority="2918"/>
  </conditionalFormatting>
  <conditionalFormatting sqref="R863">
    <cfRule type="duplicateValues" dxfId="2889" priority="2917"/>
  </conditionalFormatting>
  <conditionalFormatting sqref="Q863">
    <cfRule type="duplicateValues" dxfId="2888" priority="2915"/>
    <cfRule type="duplicateValues" dxfId="2887" priority="2916"/>
  </conditionalFormatting>
  <conditionalFormatting sqref="Q863">
    <cfRule type="duplicateValues" dxfId="2886" priority="2914"/>
  </conditionalFormatting>
  <conditionalFormatting sqref="Q863">
    <cfRule type="duplicateValues" dxfId="2885" priority="2913"/>
  </conditionalFormatting>
  <conditionalFormatting sqref="Q863">
    <cfRule type="duplicateValues" dxfId="2884" priority="2912"/>
  </conditionalFormatting>
  <conditionalFormatting sqref="Q863">
    <cfRule type="duplicateValues" dxfId="2883" priority="2911"/>
  </conditionalFormatting>
  <conditionalFormatting sqref="Q863">
    <cfRule type="duplicateValues" dxfId="2882" priority="2910"/>
  </conditionalFormatting>
  <conditionalFormatting sqref="Q863">
    <cfRule type="duplicateValues" dxfId="2881" priority="2909"/>
  </conditionalFormatting>
  <conditionalFormatting sqref="Q863">
    <cfRule type="duplicateValues" dxfId="2880" priority="2908"/>
  </conditionalFormatting>
  <conditionalFormatting sqref="Q863">
    <cfRule type="duplicateValues" dxfId="2879" priority="2907"/>
  </conditionalFormatting>
  <conditionalFormatting sqref="Q863">
    <cfRule type="duplicateValues" dxfId="2878" priority="2906"/>
  </conditionalFormatting>
  <conditionalFormatting sqref="Q863">
    <cfRule type="duplicateValues" dxfId="2877" priority="2903"/>
    <cfRule type="duplicateValues" dxfId="2876" priority="2904"/>
    <cfRule type="duplicateValues" dxfId="2875" priority="2905"/>
  </conditionalFormatting>
  <conditionalFormatting sqref="R863">
    <cfRule type="duplicateValues" dxfId="2874" priority="2902"/>
  </conditionalFormatting>
  <conditionalFormatting sqref="R863">
    <cfRule type="duplicateValues" dxfId="2873" priority="2899"/>
    <cfRule type="duplicateValues" dxfId="2872" priority="2900"/>
    <cfRule type="duplicateValues" dxfId="2871" priority="2901"/>
  </conditionalFormatting>
  <conditionalFormatting sqref="Q863">
    <cfRule type="duplicateValues" dxfId="2870" priority="2898"/>
  </conditionalFormatting>
  <conditionalFormatting sqref="Q863">
    <cfRule type="duplicateValues" dxfId="2869" priority="2897"/>
  </conditionalFormatting>
  <conditionalFormatting sqref="Q863">
    <cfRule type="duplicateValues" dxfId="2868" priority="2896"/>
  </conditionalFormatting>
  <conditionalFormatting sqref="Q863">
    <cfRule type="duplicateValues" dxfId="2867" priority="2895"/>
  </conditionalFormatting>
  <conditionalFormatting sqref="R864">
    <cfRule type="duplicateValues" dxfId="2866" priority="2894"/>
  </conditionalFormatting>
  <conditionalFormatting sqref="Q864:R864">
    <cfRule type="duplicateValues" dxfId="2865" priority="2893"/>
  </conditionalFormatting>
  <conditionalFormatting sqref="Q864">
    <cfRule type="duplicateValues" dxfId="2864" priority="2892"/>
  </conditionalFormatting>
  <conditionalFormatting sqref="Q864">
    <cfRule type="duplicateValues" dxfId="2863" priority="2891"/>
  </conditionalFormatting>
  <conditionalFormatting sqref="Q864">
    <cfRule type="duplicateValues" dxfId="2862" priority="2890"/>
  </conditionalFormatting>
  <conditionalFormatting sqref="Q864">
    <cfRule type="duplicateValues" dxfId="2861" priority="2889"/>
  </conditionalFormatting>
  <conditionalFormatting sqref="R864">
    <cfRule type="duplicateValues" dxfId="2860" priority="2888"/>
  </conditionalFormatting>
  <conditionalFormatting sqref="Q864">
    <cfRule type="duplicateValues" dxfId="2859" priority="2886"/>
    <cfRule type="duplicateValues" dxfId="2858" priority="2887"/>
  </conditionalFormatting>
  <conditionalFormatting sqref="Q864">
    <cfRule type="duplicateValues" dxfId="2857" priority="2885"/>
  </conditionalFormatting>
  <conditionalFormatting sqref="Q864">
    <cfRule type="duplicateValues" dxfId="2856" priority="2884"/>
  </conditionalFormatting>
  <conditionalFormatting sqref="Q864">
    <cfRule type="duplicateValues" dxfId="2855" priority="2883"/>
  </conditionalFormatting>
  <conditionalFormatting sqref="Q864">
    <cfRule type="duplicateValues" dxfId="2854" priority="2882"/>
  </conditionalFormatting>
  <conditionalFormatting sqref="Q864">
    <cfRule type="duplicateValues" dxfId="2853" priority="2881"/>
  </conditionalFormatting>
  <conditionalFormatting sqref="Q864">
    <cfRule type="duplicateValues" dxfId="2852" priority="2880"/>
  </conditionalFormatting>
  <conditionalFormatting sqref="Q864">
    <cfRule type="duplicateValues" dxfId="2851" priority="2879"/>
  </conditionalFormatting>
  <conditionalFormatting sqref="Q864">
    <cfRule type="duplicateValues" dxfId="2850" priority="2878"/>
  </conditionalFormatting>
  <conditionalFormatting sqref="Q864:R864">
    <cfRule type="duplicateValues" dxfId="2849" priority="2877"/>
  </conditionalFormatting>
  <conditionalFormatting sqref="Q864">
    <cfRule type="duplicateValues" dxfId="2848" priority="2876"/>
  </conditionalFormatting>
  <conditionalFormatting sqref="R864">
    <cfRule type="duplicateValues" dxfId="2847" priority="2875"/>
  </conditionalFormatting>
  <conditionalFormatting sqref="Q864:R864">
    <cfRule type="duplicateValues" dxfId="2846" priority="2872"/>
    <cfRule type="duplicateValues" dxfId="2845" priority="2873"/>
    <cfRule type="duplicateValues" dxfId="2844" priority="2874"/>
  </conditionalFormatting>
  <conditionalFormatting sqref="Q864">
    <cfRule type="duplicateValues" dxfId="2843" priority="2871"/>
  </conditionalFormatting>
  <conditionalFormatting sqref="Q864">
    <cfRule type="duplicateValues" dxfId="2842" priority="2870"/>
  </conditionalFormatting>
  <conditionalFormatting sqref="Q864">
    <cfRule type="duplicateValues" dxfId="2841" priority="2869"/>
  </conditionalFormatting>
  <conditionalFormatting sqref="Q864">
    <cfRule type="duplicateValues" dxfId="2840" priority="2868"/>
  </conditionalFormatting>
  <conditionalFormatting sqref="Q865">
    <cfRule type="duplicateValues" dxfId="2839" priority="2867"/>
  </conditionalFormatting>
  <conditionalFormatting sqref="Q865">
    <cfRule type="duplicateValues" dxfId="2838" priority="2866"/>
  </conditionalFormatting>
  <conditionalFormatting sqref="Q865">
    <cfRule type="duplicateValues" dxfId="2837" priority="2865"/>
  </conditionalFormatting>
  <conditionalFormatting sqref="Q865">
    <cfRule type="duplicateValues" dxfId="2836" priority="2864"/>
  </conditionalFormatting>
  <conditionalFormatting sqref="Q865">
    <cfRule type="duplicateValues" dxfId="2835" priority="2863"/>
  </conditionalFormatting>
  <conditionalFormatting sqref="Q865:R865">
    <cfRule type="duplicateValues" dxfId="2834" priority="2862"/>
  </conditionalFormatting>
  <conditionalFormatting sqref="Q865:R865">
    <cfRule type="duplicateValues" dxfId="2833" priority="2859"/>
    <cfRule type="duplicateValues" dxfId="2832" priority="2860"/>
    <cfRule type="duplicateValues" dxfId="2831" priority="2861"/>
  </conditionalFormatting>
  <conditionalFormatting sqref="R865">
    <cfRule type="duplicateValues" dxfId="2830" priority="2858"/>
  </conditionalFormatting>
  <conditionalFormatting sqref="Q865">
    <cfRule type="duplicateValues" dxfId="2829" priority="2857"/>
  </conditionalFormatting>
  <conditionalFormatting sqref="Q865">
    <cfRule type="duplicateValues" dxfId="2828" priority="2854"/>
    <cfRule type="duplicateValues" dxfId="2827" priority="2855"/>
    <cfRule type="duplicateValues" dxfId="2826" priority="2856"/>
  </conditionalFormatting>
  <conditionalFormatting sqref="R865">
    <cfRule type="duplicateValues" dxfId="2825" priority="2851"/>
    <cfRule type="duplicateValues" dxfId="2824" priority="2852"/>
    <cfRule type="duplicateValues" dxfId="2823" priority="2853"/>
  </conditionalFormatting>
  <conditionalFormatting sqref="Q865">
    <cfRule type="duplicateValues" dxfId="2822" priority="2849"/>
    <cfRule type="duplicateValues" dxfId="2821" priority="2850"/>
  </conditionalFormatting>
  <conditionalFormatting sqref="Q865">
    <cfRule type="duplicateValues" dxfId="2820" priority="2848"/>
  </conditionalFormatting>
  <conditionalFormatting sqref="Q865">
    <cfRule type="duplicateValues" dxfId="2819" priority="2847"/>
  </conditionalFormatting>
  <conditionalFormatting sqref="Q865">
    <cfRule type="duplicateValues" dxfId="2818" priority="2846"/>
  </conditionalFormatting>
  <conditionalFormatting sqref="Q865">
    <cfRule type="duplicateValues" dxfId="2817" priority="2845"/>
  </conditionalFormatting>
  <conditionalFormatting sqref="Q866:R866">
    <cfRule type="duplicateValues" dxfId="2816" priority="2842"/>
    <cfRule type="duplicateValues" dxfId="2815" priority="2843"/>
    <cfRule type="duplicateValues" dxfId="2814" priority="2844"/>
  </conditionalFormatting>
  <conditionalFormatting sqref="R866">
    <cfRule type="duplicateValues" dxfId="2813" priority="2841"/>
  </conditionalFormatting>
  <conditionalFormatting sqref="Q866:R866">
    <cfRule type="duplicateValues" dxfId="2812" priority="2840"/>
  </conditionalFormatting>
  <conditionalFormatting sqref="Q866">
    <cfRule type="duplicateValues" dxfId="2811" priority="2839"/>
  </conditionalFormatting>
  <conditionalFormatting sqref="Q866">
    <cfRule type="duplicateValues" dxfId="2810" priority="2838"/>
  </conditionalFormatting>
  <conditionalFormatting sqref="Q866">
    <cfRule type="duplicateValues" dxfId="2809" priority="2837"/>
  </conditionalFormatting>
  <conditionalFormatting sqref="Q866">
    <cfRule type="duplicateValues" dxfId="2808" priority="2836"/>
  </conditionalFormatting>
  <conditionalFormatting sqref="R866">
    <cfRule type="duplicateValues" dxfId="2807" priority="2835"/>
  </conditionalFormatting>
  <conditionalFormatting sqref="Q866">
    <cfRule type="duplicateValues" dxfId="2806" priority="2833"/>
    <cfRule type="duplicateValues" dxfId="2805" priority="2834"/>
  </conditionalFormatting>
  <conditionalFormatting sqref="Q866">
    <cfRule type="duplicateValues" dxfId="2804" priority="2832"/>
  </conditionalFormatting>
  <conditionalFormatting sqref="Q866">
    <cfRule type="duplicateValues" dxfId="2803" priority="2831"/>
  </conditionalFormatting>
  <conditionalFormatting sqref="Q866">
    <cfRule type="duplicateValues" dxfId="2802" priority="2830"/>
  </conditionalFormatting>
  <conditionalFormatting sqref="Q866">
    <cfRule type="duplicateValues" dxfId="2801" priority="2829"/>
  </conditionalFormatting>
  <conditionalFormatting sqref="Q866">
    <cfRule type="duplicateValues" dxfId="2800" priority="2828"/>
  </conditionalFormatting>
  <conditionalFormatting sqref="Q866">
    <cfRule type="duplicateValues" dxfId="2799" priority="2827"/>
  </conditionalFormatting>
  <conditionalFormatting sqref="Q866">
    <cfRule type="duplicateValues" dxfId="2798" priority="2826"/>
  </conditionalFormatting>
  <conditionalFormatting sqref="Q866">
    <cfRule type="duplicateValues" dxfId="2797" priority="2825"/>
  </conditionalFormatting>
  <conditionalFormatting sqref="Q866:R866">
    <cfRule type="duplicateValues" dxfId="2796" priority="2824"/>
  </conditionalFormatting>
  <conditionalFormatting sqref="Q866">
    <cfRule type="duplicateValues" dxfId="2795" priority="2823"/>
  </conditionalFormatting>
  <conditionalFormatting sqref="R866">
    <cfRule type="duplicateValues" dxfId="2794" priority="2822"/>
  </conditionalFormatting>
  <conditionalFormatting sqref="Q866">
    <cfRule type="duplicateValues" dxfId="2793" priority="2821"/>
  </conditionalFormatting>
  <conditionalFormatting sqref="Q866">
    <cfRule type="duplicateValues" dxfId="2792" priority="2820"/>
  </conditionalFormatting>
  <conditionalFormatting sqref="Q866">
    <cfRule type="duplicateValues" dxfId="2791" priority="2819"/>
  </conditionalFormatting>
  <conditionalFormatting sqref="Q866">
    <cfRule type="duplicateValues" dxfId="2790" priority="2818"/>
  </conditionalFormatting>
  <conditionalFormatting sqref="Q867:R867">
    <cfRule type="duplicateValues" dxfId="2789" priority="2817"/>
  </conditionalFormatting>
  <conditionalFormatting sqref="Q867:R867">
    <cfRule type="duplicateValues" dxfId="2788" priority="2814"/>
    <cfRule type="duplicateValues" dxfId="2787" priority="2815"/>
    <cfRule type="duplicateValues" dxfId="2786" priority="2816"/>
  </conditionalFormatting>
  <conditionalFormatting sqref="R867">
    <cfRule type="duplicateValues" dxfId="2785" priority="2813"/>
  </conditionalFormatting>
  <conditionalFormatting sqref="Q867:R867">
    <cfRule type="duplicateValues" dxfId="2784" priority="2812"/>
  </conditionalFormatting>
  <conditionalFormatting sqref="Q867">
    <cfRule type="duplicateValues" dxfId="2783" priority="2811"/>
  </conditionalFormatting>
  <conditionalFormatting sqref="Q867">
    <cfRule type="duplicateValues" dxfId="2782" priority="2810"/>
  </conditionalFormatting>
  <conditionalFormatting sqref="Q867">
    <cfRule type="duplicateValues" dxfId="2781" priority="2809"/>
  </conditionalFormatting>
  <conditionalFormatting sqref="Q867">
    <cfRule type="duplicateValues" dxfId="2780" priority="2808"/>
  </conditionalFormatting>
  <conditionalFormatting sqref="R867">
    <cfRule type="duplicateValues" dxfId="2779" priority="2807"/>
  </conditionalFormatting>
  <conditionalFormatting sqref="Q867">
    <cfRule type="duplicateValues" dxfId="2778" priority="2805"/>
    <cfRule type="duplicateValues" dxfId="2777" priority="2806"/>
  </conditionalFormatting>
  <conditionalFormatting sqref="Q867">
    <cfRule type="duplicateValues" dxfId="2776" priority="2804"/>
  </conditionalFormatting>
  <conditionalFormatting sqref="Q867:R867">
    <cfRule type="duplicateValues" dxfId="2775" priority="2803"/>
  </conditionalFormatting>
  <conditionalFormatting sqref="Q867">
    <cfRule type="duplicateValues" dxfId="2774" priority="2802"/>
  </conditionalFormatting>
  <conditionalFormatting sqref="Q867">
    <cfRule type="duplicateValues" dxfId="2773" priority="2801"/>
  </conditionalFormatting>
  <conditionalFormatting sqref="Q867">
    <cfRule type="duplicateValues" dxfId="2772" priority="2800"/>
  </conditionalFormatting>
  <conditionalFormatting sqref="Q867">
    <cfRule type="duplicateValues" dxfId="2771" priority="2799"/>
  </conditionalFormatting>
  <conditionalFormatting sqref="Q867">
    <cfRule type="duplicateValues" dxfId="2770" priority="2798"/>
  </conditionalFormatting>
  <conditionalFormatting sqref="Q867">
    <cfRule type="duplicateValues" dxfId="2769" priority="2797"/>
  </conditionalFormatting>
  <conditionalFormatting sqref="Q867">
    <cfRule type="duplicateValues" dxfId="2768" priority="2796"/>
  </conditionalFormatting>
  <conditionalFormatting sqref="Q867">
    <cfRule type="duplicateValues" dxfId="2767" priority="2795"/>
  </conditionalFormatting>
  <conditionalFormatting sqref="R867">
    <cfRule type="duplicateValues" dxfId="2766" priority="2794"/>
  </conditionalFormatting>
  <conditionalFormatting sqref="Q867">
    <cfRule type="duplicateValues" dxfId="2765" priority="2793"/>
  </conditionalFormatting>
  <conditionalFormatting sqref="Q867">
    <cfRule type="duplicateValues" dxfId="2764" priority="2792"/>
  </conditionalFormatting>
  <conditionalFormatting sqref="Q867">
    <cfRule type="duplicateValues" dxfId="2763" priority="2791"/>
  </conditionalFormatting>
  <conditionalFormatting sqref="Q867">
    <cfRule type="duplicateValues" dxfId="2762" priority="2790"/>
  </conditionalFormatting>
  <conditionalFormatting sqref="Q868:R868">
    <cfRule type="duplicateValues" dxfId="2761" priority="2789"/>
  </conditionalFormatting>
  <conditionalFormatting sqref="Q868:R868">
    <cfRule type="duplicateValues" dxfId="2760" priority="2786"/>
    <cfRule type="duplicateValues" dxfId="2759" priority="2787"/>
    <cfRule type="duplicateValues" dxfId="2758" priority="2788"/>
  </conditionalFormatting>
  <conditionalFormatting sqref="R868">
    <cfRule type="duplicateValues" dxfId="2757" priority="2785"/>
  </conditionalFormatting>
  <conditionalFormatting sqref="Q868:R868">
    <cfRule type="duplicateValues" dxfId="2756" priority="2784"/>
  </conditionalFormatting>
  <conditionalFormatting sqref="Q868">
    <cfRule type="duplicateValues" dxfId="2755" priority="2783"/>
  </conditionalFormatting>
  <conditionalFormatting sqref="Q868">
    <cfRule type="duplicateValues" dxfId="2754" priority="2782"/>
  </conditionalFormatting>
  <conditionalFormatting sqref="Q868">
    <cfRule type="duplicateValues" dxfId="2753" priority="2781"/>
  </conditionalFormatting>
  <conditionalFormatting sqref="Q868">
    <cfRule type="duplicateValues" dxfId="2752" priority="2780"/>
  </conditionalFormatting>
  <conditionalFormatting sqref="R868">
    <cfRule type="duplicateValues" dxfId="2751" priority="2779"/>
  </conditionalFormatting>
  <conditionalFormatting sqref="Q868">
    <cfRule type="duplicateValues" dxfId="2750" priority="2777"/>
    <cfRule type="duplicateValues" dxfId="2749" priority="2778"/>
  </conditionalFormatting>
  <conditionalFormatting sqref="Q868">
    <cfRule type="duplicateValues" dxfId="2748" priority="2776"/>
  </conditionalFormatting>
  <conditionalFormatting sqref="Q868">
    <cfRule type="duplicateValues" dxfId="2747" priority="2775"/>
  </conditionalFormatting>
  <conditionalFormatting sqref="Q868">
    <cfRule type="duplicateValues" dxfId="2746" priority="2774"/>
  </conditionalFormatting>
  <conditionalFormatting sqref="Q868">
    <cfRule type="duplicateValues" dxfId="2745" priority="2773"/>
  </conditionalFormatting>
  <conditionalFormatting sqref="Q868">
    <cfRule type="duplicateValues" dxfId="2744" priority="2772"/>
  </conditionalFormatting>
  <conditionalFormatting sqref="Q868">
    <cfRule type="duplicateValues" dxfId="2743" priority="2771"/>
  </conditionalFormatting>
  <conditionalFormatting sqref="Q868">
    <cfRule type="duplicateValues" dxfId="2742" priority="2770"/>
  </conditionalFormatting>
  <conditionalFormatting sqref="Q868">
    <cfRule type="duplicateValues" dxfId="2741" priority="2769"/>
  </conditionalFormatting>
  <conditionalFormatting sqref="Q868:R868">
    <cfRule type="duplicateValues" dxfId="2740" priority="2768"/>
  </conditionalFormatting>
  <conditionalFormatting sqref="Q868">
    <cfRule type="duplicateValues" dxfId="2739" priority="2767"/>
  </conditionalFormatting>
  <conditionalFormatting sqref="R868">
    <cfRule type="duplicateValues" dxfId="2738" priority="2766"/>
  </conditionalFormatting>
  <conditionalFormatting sqref="Q868">
    <cfRule type="duplicateValues" dxfId="2737" priority="2765"/>
  </conditionalFormatting>
  <conditionalFormatting sqref="Q868">
    <cfRule type="duplicateValues" dxfId="2736" priority="2764"/>
  </conditionalFormatting>
  <conditionalFormatting sqref="Q868">
    <cfRule type="duplicateValues" dxfId="2735" priority="2763"/>
  </conditionalFormatting>
  <conditionalFormatting sqref="Q868">
    <cfRule type="duplicateValues" dxfId="2734" priority="2762"/>
  </conditionalFormatting>
  <conditionalFormatting sqref="Q869:R869">
    <cfRule type="duplicateValues" dxfId="2733" priority="2758"/>
  </conditionalFormatting>
  <conditionalFormatting sqref="Q869:R869">
    <cfRule type="duplicateValues" dxfId="2732" priority="2755"/>
    <cfRule type="duplicateValues" dxfId="2731" priority="2756"/>
    <cfRule type="duplicateValues" dxfId="2730" priority="2757"/>
  </conditionalFormatting>
  <conditionalFormatting sqref="R869">
    <cfRule type="duplicateValues" dxfId="2729" priority="2754"/>
  </conditionalFormatting>
  <conditionalFormatting sqref="Q869:R869">
    <cfRule type="duplicateValues" dxfId="2728" priority="2753"/>
  </conditionalFormatting>
  <conditionalFormatting sqref="Q869">
    <cfRule type="duplicateValues" dxfId="2727" priority="2752"/>
  </conditionalFormatting>
  <conditionalFormatting sqref="Q869">
    <cfRule type="duplicateValues" dxfId="2726" priority="2751"/>
  </conditionalFormatting>
  <conditionalFormatting sqref="Q869">
    <cfRule type="duplicateValues" dxfId="2725" priority="2750"/>
  </conditionalFormatting>
  <conditionalFormatting sqref="Q869">
    <cfRule type="duplicateValues" dxfId="2724" priority="2749"/>
  </conditionalFormatting>
  <conditionalFormatting sqref="R869">
    <cfRule type="duplicateValues" dxfId="2723" priority="2748"/>
  </conditionalFormatting>
  <conditionalFormatting sqref="Q869">
    <cfRule type="duplicateValues" dxfId="2722" priority="2746"/>
    <cfRule type="duplicateValues" dxfId="2721" priority="2747"/>
  </conditionalFormatting>
  <conditionalFormatting sqref="Q869">
    <cfRule type="duplicateValues" dxfId="2720" priority="2745"/>
  </conditionalFormatting>
  <conditionalFormatting sqref="Q869">
    <cfRule type="duplicateValues" dxfId="2719" priority="2744"/>
  </conditionalFormatting>
  <conditionalFormatting sqref="Q869">
    <cfRule type="duplicateValues" dxfId="2718" priority="2743"/>
  </conditionalFormatting>
  <conditionalFormatting sqref="Q869">
    <cfRule type="duplicateValues" dxfId="2717" priority="2742"/>
  </conditionalFormatting>
  <conditionalFormatting sqref="Q869">
    <cfRule type="duplicateValues" dxfId="2716" priority="2741"/>
  </conditionalFormatting>
  <conditionalFormatting sqref="Q869">
    <cfRule type="duplicateValues" dxfId="2715" priority="2740"/>
  </conditionalFormatting>
  <conditionalFormatting sqref="Q869">
    <cfRule type="duplicateValues" dxfId="2714" priority="2739"/>
  </conditionalFormatting>
  <conditionalFormatting sqref="Q869">
    <cfRule type="duplicateValues" dxfId="2713" priority="2738"/>
  </conditionalFormatting>
  <conditionalFormatting sqref="Q869:R869">
    <cfRule type="duplicateValues" dxfId="2712" priority="2759"/>
  </conditionalFormatting>
  <conditionalFormatting sqref="Q869">
    <cfRule type="duplicateValues" dxfId="2711" priority="2760"/>
  </conditionalFormatting>
  <conditionalFormatting sqref="R869">
    <cfRule type="duplicateValues" dxfId="2710" priority="2761"/>
  </conditionalFormatting>
  <conditionalFormatting sqref="Q869">
    <cfRule type="duplicateValues" dxfId="2709" priority="2737"/>
  </conditionalFormatting>
  <conditionalFormatting sqref="Q869">
    <cfRule type="duplicateValues" dxfId="2708" priority="2736"/>
  </conditionalFormatting>
  <conditionalFormatting sqref="Q869">
    <cfRule type="duplicateValues" dxfId="2707" priority="2735"/>
  </conditionalFormatting>
  <conditionalFormatting sqref="Q869">
    <cfRule type="duplicateValues" dxfId="2706" priority="2734"/>
  </conditionalFormatting>
  <conditionalFormatting sqref="Q870:R870">
    <cfRule type="duplicateValues" dxfId="2705" priority="2731"/>
    <cfRule type="duplicateValues" dxfId="2704" priority="2732"/>
    <cfRule type="duplicateValues" dxfId="2703" priority="2733"/>
  </conditionalFormatting>
  <conditionalFormatting sqref="R870">
    <cfRule type="duplicateValues" dxfId="2702" priority="2730"/>
  </conditionalFormatting>
  <conditionalFormatting sqref="Q870:R870">
    <cfRule type="duplicateValues" dxfId="2701" priority="2729"/>
  </conditionalFormatting>
  <conditionalFormatting sqref="Q870">
    <cfRule type="duplicateValues" dxfId="2700" priority="2728"/>
  </conditionalFormatting>
  <conditionalFormatting sqref="Q870">
    <cfRule type="duplicateValues" dxfId="2699" priority="2727"/>
  </conditionalFormatting>
  <conditionalFormatting sqref="Q870">
    <cfRule type="duplicateValues" dxfId="2698" priority="2726"/>
  </conditionalFormatting>
  <conditionalFormatting sqref="Q870">
    <cfRule type="duplicateValues" dxfId="2697" priority="2725"/>
  </conditionalFormatting>
  <conditionalFormatting sqref="R870">
    <cfRule type="duplicateValues" dxfId="2696" priority="2724"/>
  </conditionalFormatting>
  <conditionalFormatting sqref="Q870">
    <cfRule type="duplicateValues" dxfId="2695" priority="2722"/>
    <cfRule type="duplicateValues" dxfId="2694" priority="2723"/>
  </conditionalFormatting>
  <conditionalFormatting sqref="Q870">
    <cfRule type="duplicateValues" dxfId="2693" priority="2721"/>
  </conditionalFormatting>
  <conditionalFormatting sqref="Q870">
    <cfRule type="duplicateValues" dxfId="2692" priority="2720"/>
  </conditionalFormatting>
  <conditionalFormatting sqref="Q870">
    <cfRule type="duplicateValues" dxfId="2691" priority="2719"/>
  </conditionalFormatting>
  <conditionalFormatting sqref="Q870">
    <cfRule type="duplicateValues" dxfId="2690" priority="2718"/>
  </conditionalFormatting>
  <conditionalFormatting sqref="Q870">
    <cfRule type="duplicateValues" dxfId="2689" priority="2717"/>
  </conditionalFormatting>
  <conditionalFormatting sqref="Q870">
    <cfRule type="duplicateValues" dxfId="2688" priority="2716"/>
  </conditionalFormatting>
  <conditionalFormatting sqref="Q870">
    <cfRule type="duplicateValues" dxfId="2687" priority="2715"/>
  </conditionalFormatting>
  <conditionalFormatting sqref="Q870">
    <cfRule type="duplicateValues" dxfId="2686" priority="2714"/>
  </conditionalFormatting>
  <conditionalFormatting sqref="Q870:R870">
    <cfRule type="duplicateValues" dxfId="2685" priority="2713"/>
  </conditionalFormatting>
  <conditionalFormatting sqref="Q870">
    <cfRule type="duplicateValues" dxfId="2684" priority="2712"/>
  </conditionalFormatting>
  <conditionalFormatting sqref="R870">
    <cfRule type="duplicateValues" dxfId="2683" priority="2711"/>
  </conditionalFormatting>
  <conditionalFormatting sqref="Q870">
    <cfRule type="duplicateValues" dxfId="2682" priority="2710"/>
  </conditionalFormatting>
  <conditionalFormatting sqref="Q870">
    <cfRule type="duplicateValues" dxfId="2681" priority="2709"/>
  </conditionalFormatting>
  <conditionalFormatting sqref="Q870">
    <cfRule type="duplicateValues" dxfId="2680" priority="2708"/>
  </conditionalFormatting>
  <conditionalFormatting sqref="Q870">
    <cfRule type="duplicateValues" dxfId="2679" priority="2707"/>
  </conditionalFormatting>
  <conditionalFormatting sqref="Q871:R871">
    <cfRule type="duplicateValues" dxfId="2678" priority="2706"/>
  </conditionalFormatting>
  <conditionalFormatting sqref="Q871">
    <cfRule type="duplicateValues" dxfId="2677" priority="2705"/>
  </conditionalFormatting>
  <conditionalFormatting sqref="Q871">
    <cfRule type="duplicateValues" dxfId="2676" priority="2704"/>
  </conditionalFormatting>
  <conditionalFormatting sqref="Q871">
    <cfRule type="duplicateValues" dxfId="2675" priority="2703"/>
  </conditionalFormatting>
  <conditionalFormatting sqref="Q871">
    <cfRule type="duplicateValues" dxfId="2674" priority="2702"/>
  </conditionalFormatting>
  <conditionalFormatting sqref="R871">
    <cfRule type="duplicateValues" dxfId="2673" priority="2701"/>
  </conditionalFormatting>
  <conditionalFormatting sqref="Q871">
    <cfRule type="duplicateValues" dxfId="2672" priority="2699"/>
    <cfRule type="duplicateValues" dxfId="2671" priority="2700"/>
  </conditionalFormatting>
  <conditionalFormatting sqref="Q871">
    <cfRule type="duplicateValues" dxfId="2670" priority="2698"/>
  </conditionalFormatting>
  <conditionalFormatting sqref="Q871">
    <cfRule type="duplicateValues" dxfId="2669" priority="2697"/>
  </conditionalFormatting>
  <conditionalFormatting sqref="Q871">
    <cfRule type="duplicateValues" dxfId="2668" priority="2696"/>
  </conditionalFormatting>
  <conditionalFormatting sqref="Q871">
    <cfRule type="duplicateValues" dxfId="2667" priority="2695"/>
  </conditionalFormatting>
  <conditionalFormatting sqref="Q871">
    <cfRule type="duplicateValues" dxfId="2666" priority="2694"/>
  </conditionalFormatting>
  <conditionalFormatting sqref="Q871">
    <cfRule type="duplicateValues" dxfId="2665" priority="2693"/>
  </conditionalFormatting>
  <conditionalFormatting sqref="Q871">
    <cfRule type="duplicateValues" dxfId="2664" priority="2692"/>
  </conditionalFormatting>
  <conditionalFormatting sqref="Q871">
    <cfRule type="duplicateValues" dxfId="2663" priority="2691"/>
  </conditionalFormatting>
  <conditionalFormatting sqref="Q871:R871">
    <cfRule type="duplicateValues" dxfId="2662" priority="2690"/>
  </conditionalFormatting>
  <conditionalFormatting sqref="Q871">
    <cfRule type="duplicateValues" dxfId="2661" priority="2689"/>
  </conditionalFormatting>
  <conditionalFormatting sqref="R871">
    <cfRule type="duplicateValues" dxfId="2660" priority="2688"/>
  </conditionalFormatting>
  <conditionalFormatting sqref="Q871:R871">
    <cfRule type="duplicateValues" dxfId="2659" priority="2685"/>
    <cfRule type="duplicateValues" dxfId="2658" priority="2686"/>
    <cfRule type="duplicateValues" dxfId="2657" priority="2687"/>
  </conditionalFormatting>
  <conditionalFormatting sqref="Q871">
    <cfRule type="duplicateValues" dxfId="2656" priority="2684"/>
  </conditionalFormatting>
  <conditionalFormatting sqref="Q871">
    <cfRule type="duplicateValues" dxfId="2655" priority="2683"/>
  </conditionalFormatting>
  <conditionalFormatting sqref="Q871">
    <cfRule type="duplicateValues" dxfId="2654" priority="2682"/>
  </conditionalFormatting>
  <conditionalFormatting sqref="Q871">
    <cfRule type="duplicateValues" dxfId="2653" priority="2681"/>
  </conditionalFormatting>
  <conditionalFormatting sqref="Q872">
    <cfRule type="duplicateValues" dxfId="2652" priority="2680"/>
  </conditionalFormatting>
  <conditionalFormatting sqref="Q872">
    <cfRule type="duplicateValues" dxfId="2651" priority="2679"/>
  </conditionalFormatting>
  <conditionalFormatting sqref="Q872:R872">
    <cfRule type="duplicateValues" dxfId="2650" priority="2678"/>
  </conditionalFormatting>
  <conditionalFormatting sqref="Q872:R872">
    <cfRule type="duplicateValues" dxfId="2649" priority="2675"/>
    <cfRule type="duplicateValues" dxfId="2648" priority="2676"/>
    <cfRule type="duplicateValues" dxfId="2647" priority="2677"/>
  </conditionalFormatting>
  <conditionalFormatting sqref="R872">
    <cfRule type="duplicateValues" dxfId="2646" priority="2674"/>
  </conditionalFormatting>
  <conditionalFormatting sqref="Q872">
    <cfRule type="duplicateValues" dxfId="2645" priority="2673"/>
  </conditionalFormatting>
  <conditionalFormatting sqref="Q872">
    <cfRule type="duplicateValues" dxfId="2644" priority="2670"/>
    <cfRule type="duplicateValues" dxfId="2643" priority="2671"/>
    <cfRule type="duplicateValues" dxfId="2642" priority="2672"/>
  </conditionalFormatting>
  <conditionalFormatting sqref="R872">
    <cfRule type="duplicateValues" dxfId="2641" priority="2667"/>
    <cfRule type="duplicateValues" dxfId="2640" priority="2668"/>
    <cfRule type="duplicateValues" dxfId="2639" priority="2669"/>
  </conditionalFormatting>
  <conditionalFormatting sqref="Q872">
    <cfRule type="duplicateValues" dxfId="2638" priority="2665"/>
    <cfRule type="duplicateValues" dxfId="2637" priority="2666"/>
  </conditionalFormatting>
  <conditionalFormatting sqref="Q872">
    <cfRule type="duplicateValues" dxfId="2636" priority="2664"/>
  </conditionalFormatting>
  <conditionalFormatting sqref="Q872">
    <cfRule type="duplicateValues" dxfId="2635" priority="2663"/>
  </conditionalFormatting>
  <conditionalFormatting sqref="Q872">
    <cfRule type="duplicateValues" dxfId="2634" priority="2662"/>
  </conditionalFormatting>
  <conditionalFormatting sqref="Q872">
    <cfRule type="duplicateValues" dxfId="2633" priority="2661"/>
  </conditionalFormatting>
  <conditionalFormatting sqref="Q873">
    <cfRule type="duplicateValues" dxfId="2632" priority="2660"/>
  </conditionalFormatting>
  <conditionalFormatting sqref="Q873">
    <cfRule type="duplicateValues" dxfId="2631" priority="2659"/>
  </conditionalFormatting>
  <conditionalFormatting sqref="Q873">
    <cfRule type="duplicateValues" dxfId="2630" priority="2658"/>
  </conditionalFormatting>
  <conditionalFormatting sqref="Q873">
    <cfRule type="duplicateValues" dxfId="2629" priority="2657"/>
  </conditionalFormatting>
  <conditionalFormatting sqref="Q873:R873">
    <cfRule type="duplicateValues" dxfId="2628" priority="2656"/>
  </conditionalFormatting>
  <conditionalFormatting sqref="Q873:R873">
    <cfRule type="duplicateValues" dxfId="2627" priority="2653"/>
    <cfRule type="duplicateValues" dxfId="2626" priority="2654"/>
    <cfRule type="duplicateValues" dxfId="2625" priority="2655"/>
  </conditionalFormatting>
  <conditionalFormatting sqref="R873">
    <cfRule type="duplicateValues" dxfId="2624" priority="2652"/>
  </conditionalFormatting>
  <conditionalFormatting sqref="Q873">
    <cfRule type="duplicateValues" dxfId="2623" priority="2650"/>
    <cfRule type="duplicateValues" dxfId="2622" priority="2651"/>
  </conditionalFormatting>
  <conditionalFormatting sqref="Q873">
    <cfRule type="duplicateValues" dxfId="2621" priority="2647"/>
    <cfRule type="duplicateValues" dxfId="2620" priority="2648"/>
    <cfRule type="duplicateValues" dxfId="2619" priority="2649"/>
  </conditionalFormatting>
  <conditionalFormatting sqref="R873">
    <cfRule type="duplicateValues" dxfId="2618" priority="2644"/>
    <cfRule type="duplicateValues" dxfId="2617" priority="2645"/>
    <cfRule type="duplicateValues" dxfId="2616" priority="2646"/>
  </conditionalFormatting>
  <conditionalFormatting sqref="Q873">
    <cfRule type="duplicateValues" dxfId="2615" priority="2643"/>
  </conditionalFormatting>
  <conditionalFormatting sqref="Q874:R874">
    <cfRule type="duplicateValues" dxfId="2614" priority="2642"/>
  </conditionalFormatting>
  <conditionalFormatting sqref="Q874:R874">
    <cfRule type="duplicateValues" dxfId="2613" priority="2639"/>
    <cfRule type="duplicateValues" dxfId="2612" priority="2640"/>
    <cfRule type="duplicateValues" dxfId="2611" priority="2641"/>
  </conditionalFormatting>
  <conditionalFormatting sqref="R874">
    <cfRule type="duplicateValues" dxfId="2610" priority="2638"/>
  </conditionalFormatting>
  <conditionalFormatting sqref="Q874:R874">
    <cfRule type="duplicateValues" dxfId="2609" priority="2637"/>
  </conditionalFormatting>
  <conditionalFormatting sqref="Q874">
    <cfRule type="duplicateValues" dxfId="2608" priority="2636"/>
  </conditionalFormatting>
  <conditionalFormatting sqref="Q874">
    <cfRule type="duplicateValues" dxfId="2607" priority="2635"/>
  </conditionalFormatting>
  <conditionalFormatting sqref="Q874">
    <cfRule type="duplicateValues" dxfId="2606" priority="2634"/>
  </conditionalFormatting>
  <conditionalFormatting sqref="Q874">
    <cfRule type="duplicateValues" dxfId="2605" priority="2633"/>
  </conditionalFormatting>
  <conditionalFormatting sqref="R874">
    <cfRule type="duplicateValues" dxfId="2604" priority="2632"/>
  </conditionalFormatting>
  <conditionalFormatting sqref="Q874">
    <cfRule type="duplicateValues" dxfId="2603" priority="2630"/>
    <cfRule type="duplicateValues" dxfId="2602" priority="2631"/>
  </conditionalFormatting>
  <conditionalFormatting sqref="Q874">
    <cfRule type="duplicateValues" dxfId="2601" priority="2629"/>
  </conditionalFormatting>
  <conditionalFormatting sqref="Q874">
    <cfRule type="duplicateValues" dxfId="2600" priority="2628"/>
  </conditionalFormatting>
  <conditionalFormatting sqref="Q874">
    <cfRule type="duplicateValues" dxfId="2599" priority="2627"/>
  </conditionalFormatting>
  <conditionalFormatting sqref="Q874">
    <cfRule type="duplicateValues" dxfId="2598" priority="2626"/>
  </conditionalFormatting>
  <conditionalFormatting sqref="Q874">
    <cfRule type="duplicateValues" dxfId="2597" priority="2625"/>
  </conditionalFormatting>
  <conditionalFormatting sqref="Q874">
    <cfRule type="duplicateValues" dxfId="2596" priority="2624"/>
  </conditionalFormatting>
  <conditionalFormatting sqref="Q874">
    <cfRule type="duplicateValues" dxfId="2595" priority="2623"/>
  </conditionalFormatting>
  <conditionalFormatting sqref="Q874">
    <cfRule type="duplicateValues" dxfId="2594" priority="2622"/>
  </conditionalFormatting>
  <conditionalFormatting sqref="Q874:R874">
    <cfRule type="duplicateValues" dxfId="2593" priority="2621"/>
  </conditionalFormatting>
  <conditionalFormatting sqref="Q874">
    <cfRule type="duplicateValues" dxfId="2592" priority="2620"/>
  </conditionalFormatting>
  <conditionalFormatting sqref="R874">
    <cfRule type="duplicateValues" dxfId="2591" priority="2619"/>
  </conditionalFormatting>
  <conditionalFormatting sqref="Q874">
    <cfRule type="duplicateValues" dxfId="2590" priority="2618"/>
  </conditionalFormatting>
  <conditionalFormatting sqref="Q874">
    <cfRule type="duplicateValues" dxfId="2589" priority="2617"/>
  </conditionalFormatting>
  <conditionalFormatting sqref="Q874">
    <cfRule type="duplicateValues" dxfId="2588" priority="2616"/>
  </conditionalFormatting>
  <conditionalFormatting sqref="Q874">
    <cfRule type="duplicateValues" dxfId="2587" priority="2615"/>
  </conditionalFormatting>
  <conditionalFormatting sqref="Q875">
    <cfRule type="duplicateValues" dxfId="2586" priority="2614"/>
  </conditionalFormatting>
  <conditionalFormatting sqref="Q875:R875">
    <cfRule type="duplicateValues" dxfId="2585" priority="2613"/>
  </conditionalFormatting>
  <conditionalFormatting sqref="Q875:R875">
    <cfRule type="duplicateValues" dxfId="2584" priority="2610"/>
    <cfRule type="duplicateValues" dxfId="2583" priority="2611"/>
    <cfRule type="duplicateValues" dxfId="2582" priority="2612"/>
  </conditionalFormatting>
  <conditionalFormatting sqref="R875">
    <cfRule type="duplicateValues" dxfId="2581" priority="2609"/>
  </conditionalFormatting>
  <conditionalFormatting sqref="Q875">
    <cfRule type="duplicateValues" dxfId="2580" priority="2607"/>
    <cfRule type="duplicateValues" dxfId="2579" priority="2608"/>
  </conditionalFormatting>
  <conditionalFormatting sqref="Q875">
    <cfRule type="duplicateValues" dxfId="2578" priority="2604"/>
    <cfRule type="duplicateValues" dxfId="2577" priority="2605"/>
    <cfRule type="duplicateValues" dxfId="2576" priority="2606"/>
  </conditionalFormatting>
  <conditionalFormatting sqref="R875">
    <cfRule type="duplicateValues" dxfId="2575" priority="2601"/>
    <cfRule type="duplicateValues" dxfId="2574" priority="2602"/>
    <cfRule type="duplicateValues" dxfId="2573" priority="2603"/>
  </conditionalFormatting>
  <conditionalFormatting sqref="Q875">
    <cfRule type="duplicateValues" dxfId="2572" priority="2600"/>
  </conditionalFormatting>
  <conditionalFormatting sqref="Q875">
    <cfRule type="duplicateValues" dxfId="2571" priority="2599"/>
  </conditionalFormatting>
  <conditionalFormatting sqref="Q875">
    <cfRule type="duplicateValues" dxfId="2570" priority="2598"/>
  </conditionalFormatting>
  <conditionalFormatting sqref="Q875">
    <cfRule type="duplicateValues" dxfId="2569" priority="2597"/>
  </conditionalFormatting>
  <conditionalFormatting sqref="Q876:R876">
    <cfRule type="duplicateValues" dxfId="2568" priority="2593"/>
  </conditionalFormatting>
  <conditionalFormatting sqref="Q876:R876">
    <cfRule type="duplicateValues" dxfId="2567" priority="2590"/>
    <cfRule type="duplicateValues" dxfId="2566" priority="2591"/>
    <cfRule type="duplicateValues" dxfId="2565" priority="2592"/>
  </conditionalFormatting>
  <conditionalFormatting sqref="R876">
    <cfRule type="duplicateValues" dxfId="2564" priority="2589"/>
  </conditionalFormatting>
  <conditionalFormatting sqref="Q876:R876">
    <cfRule type="duplicateValues" dxfId="2563" priority="2588"/>
  </conditionalFormatting>
  <conditionalFormatting sqref="Q876">
    <cfRule type="duplicateValues" dxfId="2562" priority="2587"/>
  </conditionalFormatting>
  <conditionalFormatting sqref="Q876">
    <cfRule type="duplicateValues" dxfId="2561" priority="2586"/>
  </conditionalFormatting>
  <conditionalFormatting sqref="Q876">
    <cfRule type="duplicateValues" dxfId="2560" priority="2585"/>
  </conditionalFormatting>
  <conditionalFormatting sqref="Q876">
    <cfRule type="duplicateValues" dxfId="2559" priority="2584"/>
  </conditionalFormatting>
  <conditionalFormatting sqref="R876">
    <cfRule type="duplicateValues" dxfId="2558" priority="2583"/>
  </conditionalFormatting>
  <conditionalFormatting sqref="Q876">
    <cfRule type="duplicateValues" dxfId="2557" priority="2581"/>
    <cfRule type="duplicateValues" dxfId="2556" priority="2582"/>
  </conditionalFormatting>
  <conditionalFormatting sqref="Q876">
    <cfRule type="duplicateValues" dxfId="2555" priority="2580"/>
  </conditionalFormatting>
  <conditionalFormatting sqref="Q876">
    <cfRule type="duplicateValues" dxfId="2554" priority="2579"/>
  </conditionalFormatting>
  <conditionalFormatting sqref="Q876">
    <cfRule type="duplicateValues" dxfId="2553" priority="2578"/>
  </conditionalFormatting>
  <conditionalFormatting sqref="Q876">
    <cfRule type="duplicateValues" dxfId="2552" priority="2577"/>
  </conditionalFormatting>
  <conditionalFormatting sqref="Q876">
    <cfRule type="duplicateValues" dxfId="2551" priority="2576"/>
  </conditionalFormatting>
  <conditionalFormatting sqref="Q876">
    <cfRule type="duplicateValues" dxfId="2550" priority="2575"/>
  </conditionalFormatting>
  <conditionalFormatting sqref="Q876">
    <cfRule type="duplicateValues" dxfId="2549" priority="2574"/>
  </conditionalFormatting>
  <conditionalFormatting sqref="Q876">
    <cfRule type="duplicateValues" dxfId="2548" priority="2573"/>
  </conditionalFormatting>
  <conditionalFormatting sqref="Q876:R876">
    <cfRule type="duplicateValues" dxfId="2547" priority="2594"/>
  </conditionalFormatting>
  <conditionalFormatting sqref="Q876">
    <cfRule type="duplicateValues" dxfId="2546" priority="2595"/>
  </conditionalFormatting>
  <conditionalFormatting sqref="R876">
    <cfRule type="duplicateValues" dxfId="2545" priority="2596"/>
  </conditionalFormatting>
  <conditionalFormatting sqref="Q876">
    <cfRule type="duplicateValues" dxfId="2544" priority="2572"/>
  </conditionalFormatting>
  <conditionalFormatting sqref="Q876">
    <cfRule type="duplicateValues" dxfId="2543" priority="2571"/>
  </conditionalFormatting>
  <conditionalFormatting sqref="Q876">
    <cfRule type="duplicateValues" dxfId="2542" priority="2570"/>
  </conditionalFormatting>
  <conditionalFormatting sqref="Q876">
    <cfRule type="duplicateValues" dxfId="2541" priority="2569"/>
  </conditionalFormatting>
  <conditionalFormatting sqref="Q877">
    <cfRule type="duplicateValues" dxfId="2540" priority="2568"/>
  </conditionalFormatting>
  <conditionalFormatting sqref="R877">
    <cfRule type="duplicateValues" dxfId="2539" priority="2567"/>
  </conditionalFormatting>
  <conditionalFormatting sqref="Q877">
    <cfRule type="duplicateValues" dxfId="2538" priority="2565"/>
    <cfRule type="duplicateValues" dxfId="2537" priority="2566"/>
  </conditionalFormatting>
  <conditionalFormatting sqref="Q877">
    <cfRule type="duplicateValues" dxfId="2536" priority="2564"/>
  </conditionalFormatting>
  <conditionalFormatting sqref="Q877">
    <cfRule type="duplicateValues" dxfId="2535" priority="2563"/>
  </conditionalFormatting>
  <conditionalFormatting sqref="Q877">
    <cfRule type="duplicateValues" dxfId="2534" priority="2562"/>
  </conditionalFormatting>
  <conditionalFormatting sqref="Q877">
    <cfRule type="duplicateValues" dxfId="2533" priority="2561"/>
  </conditionalFormatting>
  <conditionalFormatting sqref="Q877">
    <cfRule type="duplicateValues" dxfId="2532" priority="2560"/>
  </conditionalFormatting>
  <conditionalFormatting sqref="Q877">
    <cfRule type="duplicateValues" dxfId="2531" priority="2559"/>
  </conditionalFormatting>
  <conditionalFormatting sqref="Q877">
    <cfRule type="duplicateValues" dxfId="2530" priority="2558"/>
  </conditionalFormatting>
  <conditionalFormatting sqref="Q877">
    <cfRule type="duplicateValues" dxfId="2529" priority="2557"/>
  </conditionalFormatting>
  <conditionalFormatting sqref="Q877">
    <cfRule type="duplicateValues" dxfId="2528" priority="2556"/>
  </conditionalFormatting>
  <conditionalFormatting sqref="Q877">
    <cfRule type="duplicateValues" dxfId="2527" priority="2553"/>
    <cfRule type="duplicateValues" dxfId="2526" priority="2554"/>
    <cfRule type="duplicateValues" dxfId="2525" priority="2555"/>
  </conditionalFormatting>
  <conditionalFormatting sqref="R877">
    <cfRule type="duplicateValues" dxfId="2524" priority="2552"/>
  </conditionalFormatting>
  <conditionalFormatting sqref="R877">
    <cfRule type="duplicateValues" dxfId="2523" priority="2549"/>
    <cfRule type="duplicateValues" dxfId="2522" priority="2550"/>
    <cfRule type="duplicateValues" dxfId="2521" priority="2551"/>
  </conditionalFormatting>
  <conditionalFormatting sqref="Q877">
    <cfRule type="duplicateValues" dxfId="2520" priority="2548"/>
  </conditionalFormatting>
  <conditionalFormatting sqref="Q877">
    <cfRule type="duplicateValues" dxfId="2519" priority="2547"/>
  </conditionalFormatting>
  <conditionalFormatting sqref="Q877">
    <cfRule type="duplicateValues" dxfId="2518" priority="2546"/>
  </conditionalFormatting>
  <conditionalFormatting sqref="Q877">
    <cfRule type="duplicateValues" dxfId="2517" priority="2545"/>
  </conditionalFormatting>
  <conditionalFormatting sqref="Q878">
    <cfRule type="duplicateValues" dxfId="2516" priority="2543"/>
    <cfRule type="duplicateValues" dxfId="2515" priority="2544"/>
  </conditionalFormatting>
  <conditionalFormatting sqref="Q878">
    <cfRule type="duplicateValues" dxfId="2514" priority="2542"/>
  </conditionalFormatting>
  <conditionalFormatting sqref="Q878">
    <cfRule type="duplicateValues" dxfId="2513" priority="2541"/>
  </conditionalFormatting>
  <conditionalFormatting sqref="Q878">
    <cfRule type="duplicateValues" dxfId="2512" priority="2540"/>
  </conditionalFormatting>
  <conditionalFormatting sqref="Q878">
    <cfRule type="duplicateValues" dxfId="2511" priority="2539"/>
  </conditionalFormatting>
  <conditionalFormatting sqref="Q878">
    <cfRule type="duplicateValues" dxfId="2510" priority="2538"/>
  </conditionalFormatting>
  <conditionalFormatting sqref="Q878">
    <cfRule type="duplicateValues" dxfId="2509" priority="2537"/>
  </conditionalFormatting>
  <conditionalFormatting sqref="Q878">
    <cfRule type="duplicateValues" dxfId="2508" priority="2536"/>
  </conditionalFormatting>
  <conditionalFormatting sqref="Q878">
    <cfRule type="duplicateValues" dxfId="2507" priority="2535"/>
  </conditionalFormatting>
  <conditionalFormatting sqref="Q878:R878">
    <cfRule type="duplicateValues" dxfId="2506" priority="2534"/>
  </conditionalFormatting>
  <conditionalFormatting sqref="Q878:R878">
    <cfRule type="duplicateValues" dxfId="2505" priority="2531"/>
    <cfRule type="duplicateValues" dxfId="2504" priority="2532"/>
    <cfRule type="duplicateValues" dxfId="2503" priority="2533"/>
  </conditionalFormatting>
  <conditionalFormatting sqref="R878">
    <cfRule type="duplicateValues" dxfId="2502" priority="2530"/>
  </conditionalFormatting>
  <conditionalFormatting sqref="Q878">
    <cfRule type="duplicateValues" dxfId="2501" priority="2529"/>
  </conditionalFormatting>
  <conditionalFormatting sqref="Q878">
    <cfRule type="duplicateValues" dxfId="2500" priority="2526"/>
    <cfRule type="duplicateValues" dxfId="2499" priority="2527"/>
    <cfRule type="duplicateValues" dxfId="2498" priority="2528"/>
  </conditionalFormatting>
  <conditionalFormatting sqref="R878">
    <cfRule type="duplicateValues" dxfId="2497" priority="2523"/>
    <cfRule type="duplicateValues" dxfId="2496" priority="2524"/>
    <cfRule type="duplicateValues" dxfId="2495" priority="2525"/>
  </conditionalFormatting>
  <conditionalFormatting sqref="Q878">
    <cfRule type="duplicateValues" dxfId="2494" priority="2522"/>
  </conditionalFormatting>
  <conditionalFormatting sqref="Q878">
    <cfRule type="duplicateValues" dxfId="2493" priority="2521"/>
  </conditionalFormatting>
  <conditionalFormatting sqref="Q878">
    <cfRule type="duplicateValues" dxfId="2492" priority="2520"/>
  </conditionalFormatting>
  <conditionalFormatting sqref="Q878">
    <cfRule type="duplicateValues" dxfId="2491" priority="2519"/>
  </conditionalFormatting>
  <conditionalFormatting sqref="Q879">
    <cfRule type="duplicateValues" dxfId="2490" priority="2518"/>
  </conditionalFormatting>
  <conditionalFormatting sqref="Q879">
    <cfRule type="duplicateValues" dxfId="2489" priority="2517"/>
  </conditionalFormatting>
  <conditionalFormatting sqref="Q879">
    <cfRule type="duplicateValues" dxfId="2488" priority="2516"/>
  </conditionalFormatting>
  <conditionalFormatting sqref="Q879">
    <cfRule type="duplicateValues" dxfId="2487" priority="2515"/>
  </conditionalFormatting>
  <conditionalFormatting sqref="Q879:R879">
    <cfRule type="duplicateValues" dxfId="2486" priority="2514"/>
  </conditionalFormatting>
  <conditionalFormatting sqref="Q879:R879">
    <cfRule type="duplicateValues" dxfId="2485" priority="2511"/>
    <cfRule type="duplicateValues" dxfId="2484" priority="2512"/>
    <cfRule type="duplicateValues" dxfId="2483" priority="2513"/>
  </conditionalFormatting>
  <conditionalFormatting sqref="R879">
    <cfRule type="duplicateValues" dxfId="2482" priority="2510"/>
  </conditionalFormatting>
  <conditionalFormatting sqref="Q879">
    <cfRule type="duplicateValues" dxfId="2481" priority="2508"/>
    <cfRule type="duplicateValues" dxfId="2480" priority="2509"/>
  </conditionalFormatting>
  <conditionalFormatting sqref="Q879">
    <cfRule type="duplicateValues" dxfId="2479" priority="2505"/>
    <cfRule type="duplicateValues" dxfId="2478" priority="2506"/>
    <cfRule type="duplicateValues" dxfId="2477" priority="2507"/>
  </conditionalFormatting>
  <conditionalFormatting sqref="R879">
    <cfRule type="duplicateValues" dxfId="2476" priority="2502"/>
    <cfRule type="duplicateValues" dxfId="2475" priority="2503"/>
    <cfRule type="duplicateValues" dxfId="2474" priority="2504"/>
  </conditionalFormatting>
  <conditionalFormatting sqref="Q879">
    <cfRule type="duplicateValues" dxfId="2473" priority="2501"/>
  </conditionalFormatting>
  <conditionalFormatting sqref="Q880:R880">
    <cfRule type="duplicateValues" dxfId="2472" priority="2500"/>
  </conditionalFormatting>
  <conditionalFormatting sqref="Q880:R880">
    <cfRule type="duplicateValues" dxfId="2471" priority="2497"/>
    <cfRule type="duplicateValues" dxfId="2470" priority="2498"/>
    <cfRule type="duplicateValues" dxfId="2469" priority="2499"/>
  </conditionalFormatting>
  <conditionalFormatting sqref="R880">
    <cfRule type="duplicateValues" dxfId="2468" priority="2496"/>
  </conditionalFormatting>
  <conditionalFormatting sqref="Q880:R880">
    <cfRule type="duplicateValues" dxfId="2467" priority="2495"/>
  </conditionalFormatting>
  <conditionalFormatting sqref="Q880">
    <cfRule type="duplicateValues" dxfId="2466" priority="2494"/>
  </conditionalFormatting>
  <conditionalFormatting sqref="Q880">
    <cfRule type="duplicateValues" dxfId="2465" priority="2493"/>
  </conditionalFormatting>
  <conditionalFormatting sqref="Q880">
    <cfRule type="duplicateValues" dxfId="2464" priority="2492"/>
  </conditionalFormatting>
  <conditionalFormatting sqref="Q880">
    <cfRule type="duplicateValues" dxfId="2463" priority="2491"/>
  </conditionalFormatting>
  <conditionalFormatting sqref="R880">
    <cfRule type="duplicateValues" dxfId="2462" priority="2490"/>
  </conditionalFormatting>
  <conditionalFormatting sqref="Q880">
    <cfRule type="duplicateValues" dxfId="2461" priority="2488"/>
    <cfRule type="duplicateValues" dxfId="2460" priority="2489"/>
  </conditionalFormatting>
  <conditionalFormatting sqref="Q880">
    <cfRule type="duplicateValues" dxfId="2459" priority="2487"/>
  </conditionalFormatting>
  <conditionalFormatting sqref="Q880:R880">
    <cfRule type="duplicateValues" dxfId="2458" priority="2486"/>
  </conditionalFormatting>
  <conditionalFormatting sqref="Q880">
    <cfRule type="duplicateValues" dxfId="2457" priority="2485"/>
  </conditionalFormatting>
  <conditionalFormatting sqref="Q880">
    <cfRule type="duplicateValues" dxfId="2456" priority="2484"/>
  </conditionalFormatting>
  <conditionalFormatting sqref="Q880">
    <cfRule type="duplicateValues" dxfId="2455" priority="2483"/>
  </conditionalFormatting>
  <conditionalFormatting sqref="Q880">
    <cfRule type="duplicateValues" dxfId="2454" priority="2482"/>
  </conditionalFormatting>
  <conditionalFormatting sqref="Q880">
    <cfRule type="duplicateValues" dxfId="2453" priority="2481"/>
  </conditionalFormatting>
  <conditionalFormatting sqref="Q880">
    <cfRule type="duplicateValues" dxfId="2452" priority="2480"/>
  </conditionalFormatting>
  <conditionalFormatting sqref="Q880">
    <cfRule type="duplicateValues" dxfId="2451" priority="2479"/>
  </conditionalFormatting>
  <conditionalFormatting sqref="Q880">
    <cfRule type="duplicateValues" dxfId="2450" priority="2478"/>
  </conditionalFormatting>
  <conditionalFormatting sqref="R880">
    <cfRule type="duplicateValues" dxfId="2449" priority="2477"/>
  </conditionalFormatting>
  <conditionalFormatting sqref="Q880">
    <cfRule type="duplicateValues" dxfId="2448" priority="2476"/>
  </conditionalFormatting>
  <conditionalFormatting sqref="Q880">
    <cfRule type="duplicateValues" dxfId="2447" priority="2475"/>
  </conditionalFormatting>
  <conditionalFormatting sqref="Q880">
    <cfRule type="duplicateValues" dxfId="2446" priority="2474"/>
  </conditionalFormatting>
  <conditionalFormatting sqref="Q880">
    <cfRule type="duplicateValues" dxfId="2445" priority="2473"/>
  </conditionalFormatting>
  <conditionalFormatting sqref="Q881:R881">
    <cfRule type="duplicateValues" dxfId="2444" priority="2472"/>
  </conditionalFormatting>
  <conditionalFormatting sqref="Q881:R881">
    <cfRule type="duplicateValues" dxfId="2443" priority="2469"/>
    <cfRule type="duplicateValues" dxfId="2442" priority="2470"/>
    <cfRule type="duplicateValues" dxfId="2441" priority="2471"/>
  </conditionalFormatting>
  <conditionalFormatting sqref="R881">
    <cfRule type="duplicateValues" dxfId="2440" priority="2468"/>
  </conditionalFormatting>
  <conditionalFormatting sqref="Q881:R881">
    <cfRule type="duplicateValues" dxfId="2439" priority="2467"/>
  </conditionalFormatting>
  <conditionalFormatting sqref="Q881">
    <cfRule type="duplicateValues" dxfId="2438" priority="2466"/>
  </conditionalFormatting>
  <conditionalFormatting sqref="Q881">
    <cfRule type="duplicateValues" dxfId="2437" priority="2465"/>
  </conditionalFormatting>
  <conditionalFormatting sqref="Q881">
    <cfRule type="duplicateValues" dxfId="2436" priority="2464"/>
  </conditionalFormatting>
  <conditionalFormatting sqref="Q881">
    <cfRule type="duplicateValues" dxfId="2435" priority="2463"/>
  </conditionalFormatting>
  <conditionalFormatting sqref="R881">
    <cfRule type="duplicateValues" dxfId="2434" priority="2462"/>
  </conditionalFormatting>
  <conditionalFormatting sqref="Q881">
    <cfRule type="duplicateValues" dxfId="2433" priority="2460"/>
    <cfRule type="duplicateValues" dxfId="2432" priority="2461"/>
  </conditionalFormatting>
  <conditionalFormatting sqref="Q881">
    <cfRule type="duplicateValues" dxfId="2431" priority="2459"/>
  </conditionalFormatting>
  <conditionalFormatting sqref="Q881">
    <cfRule type="duplicateValues" dxfId="2430" priority="2458"/>
  </conditionalFormatting>
  <conditionalFormatting sqref="Q881">
    <cfRule type="duplicateValues" dxfId="2429" priority="2457"/>
  </conditionalFormatting>
  <conditionalFormatting sqref="Q881">
    <cfRule type="duplicateValues" dxfId="2428" priority="2456"/>
  </conditionalFormatting>
  <conditionalFormatting sqref="Q881">
    <cfRule type="duplicateValues" dxfId="2427" priority="2455"/>
  </conditionalFormatting>
  <conditionalFormatting sqref="Q881">
    <cfRule type="duplicateValues" dxfId="2426" priority="2454"/>
  </conditionalFormatting>
  <conditionalFormatting sqref="Q881">
    <cfRule type="duplicateValues" dxfId="2425" priority="2453"/>
  </conditionalFormatting>
  <conditionalFormatting sqref="Q881">
    <cfRule type="duplicateValues" dxfId="2424" priority="2452"/>
  </conditionalFormatting>
  <conditionalFormatting sqref="Q881:R881">
    <cfRule type="duplicateValues" dxfId="2423" priority="2451"/>
  </conditionalFormatting>
  <conditionalFormatting sqref="Q881">
    <cfRule type="duplicateValues" dxfId="2422" priority="2450"/>
  </conditionalFormatting>
  <conditionalFormatting sqref="R881">
    <cfRule type="duplicateValues" dxfId="2421" priority="2449"/>
  </conditionalFormatting>
  <conditionalFormatting sqref="Q881">
    <cfRule type="duplicateValues" dxfId="2420" priority="2448"/>
  </conditionalFormatting>
  <conditionalFormatting sqref="Q881">
    <cfRule type="duplicateValues" dxfId="2419" priority="2447"/>
  </conditionalFormatting>
  <conditionalFormatting sqref="Q881">
    <cfRule type="duplicateValues" dxfId="2418" priority="2446"/>
  </conditionalFormatting>
  <conditionalFormatting sqref="Q881">
    <cfRule type="duplicateValues" dxfId="2417" priority="2445"/>
  </conditionalFormatting>
  <conditionalFormatting sqref="Q882">
    <cfRule type="duplicateValues" dxfId="2416" priority="2444"/>
  </conditionalFormatting>
  <conditionalFormatting sqref="Q882">
    <cfRule type="duplicateValues" dxfId="2415" priority="2443"/>
  </conditionalFormatting>
  <conditionalFormatting sqref="Q882">
    <cfRule type="duplicateValues" dxfId="2414" priority="2442"/>
  </conditionalFormatting>
  <conditionalFormatting sqref="Q882">
    <cfRule type="duplicateValues" dxfId="2413" priority="2441"/>
  </conditionalFormatting>
  <conditionalFormatting sqref="Q882">
    <cfRule type="duplicateValues" dxfId="2412" priority="2440"/>
  </conditionalFormatting>
  <conditionalFormatting sqref="Q882">
    <cfRule type="duplicateValues" dxfId="2411" priority="2439"/>
  </conditionalFormatting>
  <conditionalFormatting sqref="Q882:R882">
    <cfRule type="duplicateValues" dxfId="2410" priority="2438"/>
  </conditionalFormatting>
  <conditionalFormatting sqref="Q882:R882">
    <cfRule type="duplicateValues" dxfId="2409" priority="2435"/>
    <cfRule type="duplicateValues" dxfId="2408" priority="2436"/>
    <cfRule type="duplicateValues" dxfId="2407" priority="2437"/>
  </conditionalFormatting>
  <conditionalFormatting sqref="R882">
    <cfRule type="duplicateValues" dxfId="2406" priority="2434"/>
  </conditionalFormatting>
  <conditionalFormatting sqref="Q882">
    <cfRule type="duplicateValues" dxfId="2405" priority="2433"/>
  </conditionalFormatting>
  <conditionalFormatting sqref="Q882">
    <cfRule type="duplicateValues" dxfId="2404" priority="2430"/>
    <cfRule type="duplicateValues" dxfId="2403" priority="2431"/>
    <cfRule type="duplicateValues" dxfId="2402" priority="2432"/>
  </conditionalFormatting>
  <conditionalFormatting sqref="R882">
    <cfRule type="duplicateValues" dxfId="2401" priority="2427"/>
    <cfRule type="duplicateValues" dxfId="2400" priority="2428"/>
    <cfRule type="duplicateValues" dxfId="2399" priority="2429"/>
  </conditionalFormatting>
  <conditionalFormatting sqref="Q882">
    <cfRule type="duplicateValues" dxfId="2398" priority="2425"/>
    <cfRule type="duplicateValues" dxfId="2397" priority="2426"/>
  </conditionalFormatting>
  <conditionalFormatting sqref="Q882">
    <cfRule type="duplicateValues" dxfId="2396" priority="2424"/>
  </conditionalFormatting>
  <conditionalFormatting sqref="Q882">
    <cfRule type="duplicateValues" dxfId="2395" priority="2423"/>
  </conditionalFormatting>
  <conditionalFormatting sqref="Q882">
    <cfRule type="duplicateValues" dxfId="2394" priority="2422"/>
  </conditionalFormatting>
  <conditionalFormatting sqref="Q882">
    <cfRule type="duplicateValues" dxfId="2393" priority="2421"/>
  </conditionalFormatting>
  <conditionalFormatting sqref="Q883">
    <cfRule type="duplicateValues" dxfId="2392" priority="2420"/>
  </conditionalFormatting>
  <conditionalFormatting sqref="Q883:R883">
    <cfRule type="duplicateValues" dxfId="2391" priority="2419"/>
  </conditionalFormatting>
  <conditionalFormatting sqref="Q883:R883">
    <cfRule type="duplicateValues" dxfId="2390" priority="2416"/>
    <cfRule type="duplicateValues" dxfId="2389" priority="2417"/>
    <cfRule type="duplicateValues" dxfId="2388" priority="2418"/>
  </conditionalFormatting>
  <conditionalFormatting sqref="R883">
    <cfRule type="duplicateValues" dxfId="2387" priority="2415"/>
  </conditionalFormatting>
  <conditionalFormatting sqref="Q883">
    <cfRule type="duplicateValues" dxfId="2386" priority="2413"/>
    <cfRule type="duplicateValues" dxfId="2385" priority="2414"/>
  </conditionalFormatting>
  <conditionalFormatting sqref="Q883">
    <cfRule type="duplicateValues" dxfId="2384" priority="2410"/>
    <cfRule type="duplicateValues" dxfId="2383" priority="2411"/>
    <cfRule type="duplicateValues" dxfId="2382" priority="2412"/>
  </conditionalFormatting>
  <conditionalFormatting sqref="R883">
    <cfRule type="duplicateValues" dxfId="2381" priority="2407"/>
    <cfRule type="duplicateValues" dxfId="2380" priority="2408"/>
    <cfRule type="duplicateValues" dxfId="2379" priority="2409"/>
  </conditionalFormatting>
  <conditionalFormatting sqref="Q883">
    <cfRule type="duplicateValues" dxfId="2378" priority="2406"/>
  </conditionalFormatting>
  <conditionalFormatting sqref="Q883">
    <cfRule type="duplicateValues" dxfId="2377" priority="2405"/>
  </conditionalFormatting>
  <conditionalFormatting sqref="Q883">
    <cfRule type="duplicateValues" dxfId="2376" priority="2404"/>
  </conditionalFormatting>
  <conditionalFormatting sqref="Q883">
    <cfRule type="duplicateValues" dxfId="2375" priority="2403"/>
  </conditionalFormatting>
  <conditionalFormatting sqref="Q884:Q885">
    <cfRule type="duplicateValues" dxfId="2374" priority="2402"/>
  </conditionalFormatting>
  <conditionalFormatting sqref="R884:R885">
    <cfRule type="duplicateValues" dxfId="2373" priority="2401"/>
  </conditionalFormatting>
  <conditionalFormatting sqref="Q884:Q885">
    <cfRule type="duplicateValues" dxfId="2372" priority="2399"/>
    <cfRule type="duplicateValues" dxfId="2371" priority="2400"/>
  </conditionalFormatting>
  <conditionalFormatting sqref="Q884:Q885">
    <cfRule type="duplicateValues" dxfId="2370" priority="2398"/>
  </conditionalFormatting>
  <conditionalFormatting sqref="Q884:Q885">
    <cfRule type="duplicateValues" dxfId="2369" priority="2397"/>
  </conditionalFormatting>
  <conditionalFormatting sqref="Q884:Q885">
    <cfRule type="duplicateValues" dxfId="2368" priority="2396"/>
  </conditionalFormatting>
  <conditionalFormatting sqref="Q884:Q885">
    <cfRule type="duplicateValues" dxfId="2367" priority="2395"/>
  </conditionalFormatting>
  <conditionalFormatting sqref="Q884:Q885">
    <cfRule type="duplicateValues" dxfId="2366" priority="2394"/>
  </conditionalFormatting>
  <conditionalFormatting sqref="Q884:Q885">
    <cfRule type="duplicateValues" dxfId="2365" priority="2393"/>
  </conditionalFormatting>
  <conditionalFormatting sqref="Q884:Q885">
    <cfRule type="duplicateValues" dxfId="2364" priority="2392"/>
  </conditionalFormatting>
  <conditionalFormatting sqref="Q884:Q885">
    <cfRule type="duplicateValues" dxfId="2363" priority="2391"/>
  </conditionalFormatting>
  <conditionalFormatting sqref="Q884:Q885">
    <cfRule type="duplicateValues" dxfId="2362" priority="2390"/>
  </conditionalFormatting>
  <conditionalFormatting sqref="Q884:Q885">
    <cfRule type="duplicateValues" dxfId="2361" priority="2389"/>
  </conditionalFormatting>
  <conditionalFormatting sqref="Q885">
    <cfRule type="duplicateValues" dxfId="2360" priority="2388"/>
  </conditionalFormatting>
  <conditionalFormatting sqref="Q885">
    <cfRule type="duplicateValues" dxfId="2359" priority="2385"/>
    <cfRule type="duplicateValues" dxfId="2358" priority="2386"/>
    <cfRule type="duplicateValues" dxfId="2357" priority="2387"/>
  </conditionalFormatting>
  <conditionalFormatting sqref="R885">
    <cfRule type="duplicateValues" dxfId="2356" priority="2384"/>
  </conditionalFormatting>
  <conditionalFormatting sqref="R885">
    <cfRule type="duplicateValues" dxfId="2355" priority="2381"/>
    <cfRule type="duplicateValues" dxfId="2354" priority="2382"/>
    <cfRule type="duplicateValues" dxfId="2353" priority="2383"/>
  </conditionalFormatting>
  <conditionalFormatting sqref="Q884">
    <cfRule type="duplicateValues" dxfId="2352" priority="2380"/>
  </conditionalFormatting>
  <conditionalFormatting sqref="Q884">
    <cfRule type="duplicateValues" dxfId="2351" priority="2377"/>
    <cfRule type="duplicateValues" dxfId="2350" priority="2378"/>
    <cfRule type="duplicateValues" dxfId="2349" priority="2379"/>
  </conditionalFormatting>
  <conditionalFormatting sqref="R884">
    <cfRule type="duplicateValues" dxfId="2348" priority="2376"/>
  </conditionalFormatting>
  <conditionalFormatting sqref="R884">
    <cfRule type="duplicateValues" dxfId="2347" priority="2373"/>
    <cfRule type="duplicateValues" dxfId="2346" priority="2374"/>
    <cfRule type="duplicateValues" dxfId="2345" priority="2375"/>
  </conditionalFormatting>
  <conditionalFormatting sqref="Q884:Q885">
    <cfRule type="duplicateValues" dxfId="2344" priority="2372"/>
  </conditionalFormatting>
  <conditionalFormatting sqref="Q884:Q885">
    <cfRule type="duplicateValues" dxfId="2343" priority="2371"/>
  </conditionalFormatting>
  <conditionalFormatting sqref="R886">
    <cfRule type="duplicateValues" dxfId="2342" priority="2370"/>
  </conditionalFormatting>
  <conditionalFormatting sqref="Q886">
    <cfRule type="duplicateValues" dxfId="2341" priority="2368"/>
    <cfRule type="duplicateValues" dxfId="2340" priority="2369"/>
  </conditionalFormatting>
  <conditionalFormatting sqref="Q886">
    <cfRule type="duplicateValues" dxfId="2339" priority="2367"/>
  </conditionalFormatting>
  <conditionalFormatting sqref="Q886">
    <cfRule type="duplicateValues" dxfId="2338" priority="2366"/>
  </conditionalFormatting>
  <conditionalFormatting sqref="Q886">
    <cfRule type="duplicateValues" dxfId="2337" priority="2365"/>
  </conditionalFormatting>
  <conditionalFormatting sqref="Q886">
    <cfRule type="duplicateValues" dxfId="2336" priority="2364"/>
  </conditionalFormatting>
  <conditionalFormatting sqref="Q886">
    <cfRule type="duplicateValues" dxfId="2335" priority="2363"/>
  </conditionalFormatting>
  <conditionalFormatting sqref="Q886">
    <cfRule type="duplicateValues" dxfId="2334" priority="2362"/>
  </conditionalFormatting>
  <conditionalFormatting sqref="Q886">
    <cfRule type="duplicateValues" dxfId="2333" priority="2361"/>
  </conditionalFormatting>
  <conditionalFormatting sqref="Q886">
    <cfRule type="duplicateValues" dxfId="2332" priority="2360"/>
  </conditionalFormatting>
  <conditionalFormatting sqref="Q886">
    <cfRule type="duplicateValues" dxfId="2331" priority="2359"/>
  </conditionalFormatting>
  <conditionalFormatting sqref="Q886">
    <cfRule type="duplicateValues" dxfId="2330" priority="2358"/>
  </conditionalFormatting>
  <conditionalFormatting sqref="Q886">
    <cfRule type="duplicateValues" dxfId="2329" priority="2357"/>
  </conditionalFormatting>
  <conditionalFormatting sqref="Q886">
    <cfRule type="duplicateValues" dxfId="2328" priority="2354"/>
    <cfRule type="duplicateValues" dxfId="2327" priority="2355"/>
    <cfRule type="duplicateValues" dxfId="2326" priority="2356"/>
  </conditionalFormatting>
  <conditionalFormatting sqref="R886">
    <cfRule type="duplicateValues" dxfId="2325" priority="2353"/>
  </conditionalFormatting>
  <conditionalFormatting sqref="R886">
    <cfRule type="duplicateValues" dxfId="2324" priority="2350"/>
    <cfRule type="duplicateValues" dxfId="2323" priority="2351"/>
    <cfRule type="duplicateValues" dxfId="2322" priority="2352"/>
  </conditionalFormatting>
  <conditionalFormatting sqref="Q886">
    <cfRule type="duplicateValues" dxfId="2321" priority="2349"/>
  </conditionalFormatting>
  <conditionalFormatting sqref="Q886">
    <cfRule type="duplicateValues" dxfId="2320" priority="2348"/>
  </conditionalFormatting>
  <conditionalFormatting sqref="Q887:Q888">
    <cfRule type="duplicateValues" dxfId="2319" priority="2347"/>
  </conditionalFormatting>
  <conditionalFormatting sqref="Q887:Q888">
    <cfRule type="duplicateValues" dxfId="2318" priority="2346"/>
  </conditionalFormatting>
  <conditionalFormatting sqref="Q887:Q888">
    <cfRule type="duplicateValues" dxfId="2317" priority="2345"/>
  </conditionalFormatting>
  <conditionalFormatting sqref="Q887:Q888">
    <cfRule type="duplicateValues" dxfId="2316" priority="2344"/>
  </conditionalFormatting>
  <conditionalFormatting sqref="Q887:R888">
    <cfRule type="duplicateValues" dxfId="2315" priority="2343"/>
  </conditionalFormatting>
  <conditionalFormatting sqref="Q887:R888">
    <cfRule type="duplicateValues" dxfId="2314" priority="2340"/>
    <cfRule type="duplicateValues" dxfId="2313" priority="2341"/>
    <cfRule type="duplicateValues" dxfId="2312" priority="2342"/>
  </conditionalFormatting>
  <conditionalFormatting sqref="R887:R888">
    <cfRule type="duplicateValues" dxfId="2311" priority="2339"/>
  </conditionalFormatting>
  <conditionalFormatting sqref="Q887:Q888">
    <cfRule type="duplicateValues" dxfId="2310" priority="2337"/>
    <cfRule type="duplicateValues" dxfId="2309" priority="2338"/>
  </conditionalFormatting>
  <conditionalFormatting sqref="Q887:Q888">
    <cfRule type="duplicateValues" dxfId="2308" priority="2334"/>
    <cfRule type="duplicateValues" dxfId="2307" priority="2335"/>
    <cfRule type="duplicateValues" dxfId="2306" priority="2336"/>
  </conditionalFormatting>
  <conditionalFormatting sqref="R887:R888">
    <cfRule type="duplicateValues" dxfId="2305" priority="2331"/>
    <cfRule type="duplicateValues" dxfId="2304" priority="2332"/>
    <cfRule type="duplicateValues" dxfId="2303" priority="2333"/>
  </conditionalFormatting>
  <conditionalFormatting sqref="Q887:Q888">
    <cfRule type="duplicateValues" dxfId="2302" priority="2330"/>
  </conditionalFormatting>
  <conditionalFormatting sqref="Q889:R889">
    <cfRule type="duplicateValues" dxfId="2301" priority="2329"/>
  </conditionalFormatting>
  <conditionalFormatting sqref="Q889:R889">
    <cfRule type="duplicateValues" dxfId="2300" priority="2326"/>
    <cfRule type="duplicateValues" dxfId="2299" priority="2327"/>
    <cfRule type="duplicateValues" dxfId="2298" priority="2328"/>
  </conditionalFormatting>
  <conditionalFormatting sqref="R889">
    <cfRule type="duplicateValues" dxfId="2297" priority="2325"/>
  </conditionalFormatting>
  <conditionalFormatting sqref="Q889:R889">
    <cfRule type="duplicateValues" dxfId="2296" priority="2324"/>
  </conditionalFormatting>
  <conditionalFormatting sqref="Q889">
    <cfRule type="duplicateValues" dxfId="2295" priority="2323"/>
  </conditionalFormatting>
  <conditionalFormatting sqref="Q889">
    <cfRule type="duplicateValues" dxfId="2294" priority="2322"/>
  </conditionalFormatting>
  <conditionalFormatting sqref="Q889">
    <cfRule type="duplicateValues" dxfId="2293" priority="2321"/>
  </conditionalFormatting>
  <conditionalFormatting sqref="Q889">
    <cfRule type="duplicateValues" dxfId="2292" priority="2320"/>
  </conditionalFormatting>
  <conditionalFormatting sqref="R889">
    <cfRule type="duplicateValues" dxfId="2291" priority="2319"/>
  </conditionalFormatting>
  <conditionalFormatting sqref="Q889">
    <cfRule type="duplicateValues" dxfId="2290" priority="2317"/>
    <cfRule type="duplicateValues" dxfId="2289" priority="2318"/>
  </conditionalFormatting>
  <conditionalFormatting sqref="Q889">
    <cfRule type="duplicateValues" dxfId="2288" priority="2316"/>
  </conditionalFormatting>
  <conditionalFormatting sqref="Q889">
    <cfRule type="duplicateValues" dxfId="2287" priority="2315"/>
  </conditionalFormatting>
  <conditionalFormatting sqref="Q889">
    <cfRule type="duplicateValues" dxfId="2286" priority="2314"/>
  </conditionalFormatting>
  <conditionalFormatting sqref="Q889">
    <cfRule type="duplicateValues" dxfId="2285" priority="2313"/>
  </conditionalFormatting>
  <conditionalFormatting sqref="Q889">
    <cfRule type="duplicateValues" dxfId="2284" priority="2312"/>
  </conditionalFormatting>
  <conditionalFormatting sqref="Q889">
    <cfRule type="duplicateValues" dxfId="2283" priority="2311"/>
  </conditionalFormatting>
  <conditionalFormatting sqref="Q889">
    <cfRule type="duplicateValues" dxfId="2282" priority="2310"/>
  </conditionalFormatting>
  <conditionalFormatting sqref="Q889">
    <cfRule type="duplicateValues" dxfId="2281" priority="2309"/>
  </conditionalFormatting>
  <conditionalFormatting sqref="Q889">
    <cfRule type="duplicateValues" dxfId="2280" priority="2308"/>
  </conditionalFormatting>
  <conditionalFormatting sqref="Q889">
    <cfRule type="duplicateValues" dxfId="2279" priority="2307"/>
  </conditionalFormatting>
  <conditionalFormatting sqref="Q889">
    <cfRule type="duplicateValues" dxfId="2278" priority="2306"/>
  </conditionalFormatting>
  <conditionalFormatting sqref="Q889:R889">
    <cfRule type="duplicateValues" dxfId="2277" priority="2305"/>
  </conditionalFormatting>
  <conditionalFormatting sqref="Q889">
    <cfRule type="duplicateValues" dxfId="2276" priority="2304"/>
  </conditionalFormatting>
  <conditionalFormatting sqref="Q889:R889">
    <cfRule type="duplicateValues" dxfId="2275" priority="2303"/>
  </conditionalFormatting>
  <conditionalFormatting sqref="R889">
    <cfRule type="duplicateValues" dxfId="2274" priority="2302"/>
  </conditionalFormatting>
  <conditionalFormatting sqref="Q889">
    <cfRule type="duplicateValues" dxfId="2273" priority="2301"/>
  </conditionalFormatting>
  <conditionalFormatting sqref="Q890:R890">
    <cfRule type="duplicateValues" dxfId="2272" priority="2300"/>
  </conditionalFormatting>
  <conditionalFormatting sqref="Q890:R890">
    <cfRule type="duplicateValues" dxfId="2271" priority="2297"/>
    <cfRule type="duplicateValues" dxfId="2270" priority="2298"/>
    <cfRule type="duplicateValues" dxfId="2269" priority="2299"/>
  </conditionalFormatting>
  <conditionalFormatting sqref="R890">
    <cfRule type="duplicateValues" dxfId="2268" priority="2296"/>
  </conditionalFormatting>
  <conditionalFormatting sqref="Q890:R890">
    <cfRule type="duplicateValues" dxfId="2267" priority="2295"/>
  </conditionalFormatting>
  <conditionalFormatting sqref="Q890">
    <cfRule type="duplicateValues" dxfId="2266" priority="2294"/>
  </conditionalFormatting>
  <conditionalFormatting sqref="Q890">
    <cfRule type="duplicateValues" dxfId="2265" priority="2293"/>
  </conditionalFormatting>
  <conditionalFormatting sqref="Q890">
    <cfRule type="duplicateValues" dxfId="2264" priority="2292"/>
  </conditionalFormatting>
  <conditionalFormatting sqref="Q890">
    <cfRule type="duplicateValues" dxfId="2263" priority="2291"/>
  </conditionalFormatting>
  <conditionalFormatting sqref="R890">
    <cfRule type="duplicateValues" dxfId="2262" priority="2290"/>
  </conditionalFormatting>
  <conditionalFormatting sqref="Q890">
    <cfRule type="duplicateValues" dxfId="2261" priority="2288"/>
    <cfRule type="duplicateValues" dxfId="2260" priority="2289"/>
  </conditionalFormatting>
  <conditionalFormatting sqref="Q890">
    <cfRule type="duplicateValues" dxfId="2259" priority="2287"/>
  </conditionalFormatting>
  <conditionalFormatting sqref="Q890">
    <cfRule type="duplicateValues" dxfId="2258" priority="2286"/>
  </conditionalFormatting>
  <conditionalFormatting sqref="Q890">
    <cfRule type="duplicateValues" dxfId="2257" priority="2285"/>
  </conditionalFormatting>
  <conditionalFormatting sqref="Q890">
    <cfRule type="duplicateValues" dxfId="2256" priority="2284"/>
  </conditionalFormatting>
  <conditionalFormatting sqref="Q890">
    <cfRule type="duplicateValues" dxfId="2255" priority="2283"/>
  </conditionalFormatting>
  <conditionalFormatting sqref="Q890">
    <cfRule type="duplicateValues" dxfId="2254" priority="2282"/>
  </conditionalFormatting>
  <conditionalFormatting sqref="Q890">
    <cfRule type="duplicateValues" dxfId="2253" priority="2281"/>
  </conditionalFormatting>
  <conditionalFormatting sqref="Q890">
    <cfRule type="duplicateValues" dxfId="2252" priority="2280"/>
  </conditionalFormatting>
  <conditionalFormatting sqref="Q890:R890">
    <cfRule type="duplicateValues" dxfId="2251" priority="2279"/>
  </conditionalFormatting>
  <conditionalFormatting sqref="Q890:R890">
    <cfRule type="duplicateValues" dxfId="2250" priority="2276"/>
    <cfRule type="duplicateValues" dxfId="2249" priority="2277"/>
    <cfRule type="duplicateValues" dxfId="2248" priority="2278"/>
  </conditionalFormatting>
  <conditionalFormatting sqref="R890">
    <cfRule type="duplicateValues" dxfId="2247" priority="2275"/>
  </conditionalFormatting>
  <conditionalFormatting sqref="Q890">
    <cfRule type="duplicateValues" dxfId="2246" priority="2274"/>
  </conditionalFormatting>
  <conditionalFormatting sqref="Q890">
    <cfRule type="duplicateValues" dxfId="2245" priority="2271"/>
    <cfRule type="duplicateValues" dxfId="2244" priority="2272"/>
    <cfRule type="duplicateValues" dxfId="2243" priority="2273"/>
  </conditionalFormatting>
  <conditionalFormatting sqref="R890">
    <cfRule type="duplicateValues" dxfId="2242" priority="2268"/>
    <cfRule type="duplicateValues" dxfId="2241" priority="2269"/>
    <cfRule type="duplicateValues" dxfId="2240" priority="2270"/>
  </conditionalFormatting>
  <conditionalFormatting sqref="Q890">
    <cfRule type="duplicateValues" dxfId="2239" priority="2266"/>
    <cfRule type="duplicateValues" dxfId="2238" priority="2267"/>
  </conditionalFormatting>
  <conditionalFormatting sqref="Q890">
    <cfRule type="duplicateValues" dxfId="2237" priority="2265"/>
  </conditionalFormatting>
  <conditionalFormatting sqref="Q890">
    <cfRule type="duplicateValues" dxfId="2236" priority="2264"/>
  </conditionalFormatting>
  <conditionalFormatting sqref="Q890">
    <cfRule type="duplicateValues" dxfId="2235" priority="2263"/>
  </conditionalFormatting>
  <conditionalFormatting sqref="Q890">
    <cfRule type="duplicateValues" dxfId="2234" priority="2262"/>
  </conditionalFormatting>
  <conditionalFormatting sqref="Q891:R891">
    <cfRule type="duplicateValues" dxfId="2233" priority="2259"/>
    <cfRule type="duplicateValues" dxfId="2232" priority="2260"/>
    <cfRule type="duplicateValues" dxfId="2231" priority="2261"/>
  </conditionalFormatting>
  <conditionalFormatting sqref="R891">
    <cfRule type="duplicateValues" dxfId="2230" priority="2258"/>
  </conditionalFormatting>
  <conditionalFormatting sqref="Q891:R891">
    <cfRule type="duplicateValues" dxfId="2229" priority="2257"/>
  </conditionalFormatting>
  <conditionalFormatting sqref="Q891">
    <cfRule type="duplicateValues" dxfId="2228" priority="2256"/>
  </conditionalFormatting>
  <conditionalFormatting sqref="Q891">
    <cfRule type="duplicateValues" dxfId="2227" priority="2255"/>
  </conditionalFormatting>
  <conditionalFormatting sqref="Q891">
    <cfRule type="duplicateValues" dxfId="2226" priority="2254"/>
  </conditionalFormatting>
  <conditionalFormatting sqref="Q891">
    <cfRule type="duplicateValues" dxfId="2225" priority="2253"/>
  </conditionalFormatting>
  <conditionalFormatting sqref="R891">
    <cfRule type="duplicateValues" dxfId="2224" priority="2252"/>
  </conditionalFormatting>
  <conditionalFormatting sqref="Q891">
    <cfRule type="duplicateValues" dxfId="2223" priority="2250"/>
    <cfRule type="duplicateValues" dxfId="2222" priority="2251"/>
  </conditionalFormatting>
  <conditionalFormatting sqref="Q891">
    <cfRule type="duplicateValues" dxfId="2221" priority="2249"/>
  </conditionalFormatting>
  <conditionalFormatting sqref="Q891">
    <cfRule type="duplicateValues" dxfId="2220" priority="2248"/>
  </conditionalFormatting>
  <conditionalFormatting sqref="Q891">
    <cfRule type="duplicateValues" dxfId="2219" priority="2247"/>
  </conditionalFormatting>
  <conditionalFormatting sqref="Q891">
    <cfRule type="duplicateValues" dxfId="2218" priority="2246"/>
  </conditionalFormatting>
  <conditionalFormatting sqref="Q891">
    <cfRule type="duplicateValues" dxfId="2217" priority="2245"/>
  </conditionalFormatting>
  <conditionalFormatting sqref="Q891">
    <cfRule type="duplicateValues" dxfId="2216" priority="2244"/>
  </conditionalFormatting>
  <conditionalFormatting sqref="Q891">
    <cfRule type="duplicateValues" dxfId="2215" priority="2243"/>
  </conditionalFormatting>
  <conditionalFormatting sqref="Q891">
    <cfRule type="duplicateValues" dxfId="2214" priority="2242"/>
  </conditionalFormatting>
  <conditionalFormatting sqref="Q891:R891">
    <cfRule type="duplicateValues" dxfId="2213" priority="2241"/>
  </conditionalFormatting>
  <conditionalFormatting sqref="Q891">
    <cfRule type="duplicateValues" dxfId="2212" priority="2240"/>
  </conditionalFormatting>
  <conditionalFormatting sqref="R891">
    <cfRule type="duplicateValues" dxfId="2211" priority="2239"/>
  </conditionalFormatting>
  <conditionalFormatting sqref="Q891">
    <cfRule type="duplicateValues" dxfId="2210" priority="2238"/>
  </conditionalFormatting>
  <conditionalFormatting sqref="Q891">
    <cfRule type="duplicateValues" dxfId="2209" priority="2237"/>
  </conditionalFormatting>
  <conditionalFormatting sqref="Q891">
    <cfRule type="duplicateValues" dxfId="2208" priority="2236"/>
  </conditionalFormatting>
  <conditionalFormatting sqref="Q891">
    <cfRule type="duplicateValues" dxfId="2207" priority="2235"/>
  </conditionalFormatting>
  <conditionalFormatting sqref="Q892">
    <cfRule type="duplicateValues" dxfId="2206" priority="2234"/>
  </conditionalFormatting>
  <conditionalFormatting sqref="Q892">
    <cfRule type="duplicateValues" dxfId="2205" priority="2233"/>
  </conditionalFormatting>
  <conditionalFormatting sqref="Q892">
    <cfRule type="duplicateValues" dxfId="2204" priority="2232"/>
  </conditionalFormatting>
  <conditionalFormatting sqref="Q892">
    <cfRule type="duplicateValues" dxfId="2203" priority="2231"/>
  </conditionalFormatting>
  <conditionalFormatting sqref="Q892">
    <cfRule type="duplicateValues" dxfId="2202" priority="2230"/>
  </conditionalFormatting>
  <conditionalFormatting sqref="Q892">
    <cfRule type="duplicateValues" dxfId="2201" priority="2229"/>
  </conditionalFormatting>
  <conditionalFormatting sqref="Q892">
    <cfRule type="duplicateValues" dxfId="2200" priority="2228"/>
  </conditionalFormatting>
  <conditionalFormatting sqref="Q892:R892">
    <cfRule type="duplicateValues" dxfId="2199" priority="2227"/>
  </conditionalFormatting>
  <conditionalFormatting sqref="Q892:R892">
    <cfRule type="duplicateValues" dxfId="2198" priority="2224"/>
    <cfRule type="duplicateValues" dxfId="2197" priority="2225"/>
    <cfRule type="duplicateValues" dxfId="2196" priority="2226"/>
  </conditionalFormatting>
  <conditionalFormatting sqref="R892">
    <cfRule type="duplicateValues" dxfId="2195" priority="2223"/>
  </conditionalFormatting>
  <conditionalFormatting sqref="Q892">
    <cfRule type="duplicateValues" dxfId="2194" priority="2222"/>
  </conditionalFormatting>
  <conditionalFormatting sqref="Q892">
    <cfRule type="duplicateValues" dxfId="2193" priority="2219"/>
    <cfRule type="duplicateValues" dxfId="2192" priority="2220"/>
    <cfRule type="duplicateValues" dxfId="2191" priority="2221"/>
  </conditionalFormatting>
  <conditionalFormatting sqref="R892">
    <cfRule type="duplicateValues" dxfId="2190" priority="2216"/>
    <cfRule type="duplicateValues" dxfId="2189" priority="2217"/>
    <cfRule type="duplicateValues" dxfId="2188" priority="2218"/>
  </conditionalFormatting>
  <conditionalFormatting sqref="Q892">
    <cfRule type="duplicateValues" dxfId="2187" priority="2214"/>
    <cfRule type="duplicateValues" dxfId="2186" priority="2215"/>
  </conditionalFormatting>
  <conditionalFormatting sqref="Q892">
    <cfRule type="duplicateValues" dxfId="2185" priority="2213"/>
  </conditionalFormatting>
  <conditionalFormatting sqref="Q892">
    <cfRule type="duplicateValues" dxfId="2184" priority="2212"/>
  </conditionalFormatting>
  <conditionalFormatting sqref="Q892">
    <cfRule type="duplicateValues" dxfId="2183" priority="2211"/>
  </conditionalFormatting>
  <conditionalFormatting sqref="Q892">
    <cfRule type="duplicateValues" dxfId="2182" priority="2210"/>
  </conditionalFormatting>
  <conditionalFormatting sqref="Q893">
    <cfRule type="duplicateValues" dxfId="2181" priority="2209"/>
  </conditionalFormatting>
  <conditionalFormatting sqref="Q893">
    <cfRule type="duplicateValues" dxfId="2180" priority="2208"/>
  </conditionalFormatting>
  <conditionalFormatting sqref="Q893">
    <cfRule type="duplicateValues" dxfId="2179" priority="2207"/>
  </conditionalFormatting>
  <conditionalFormatting sqref="Q893:R893">
    <cfRule type="duplicateValues" dxfId="2178" priority="2206"/>
  </conditionalFormatting>
  <conditionalFormatting sqref="Q893:R893">
    <cfRule type="duplicateValues" dxfId="2177" priority="2203"/>
    <cfRule type="duplicateValues" dxfId="2176" priority="2204"/>
    <cfRule type="duplicateValues" dxfId="2175" priority="2205"/>
  </conditionalFormatting>
  <conditionalFormatting sqref="R893">
    <cfRule type="duplicateValues" dxfId="2174" priority="2202"/>
  </conditionalFormatting>
  <conditionalFormatting sqref="Q893">
    <cfRule type="duplicateValues" dxfId="2173" priority="2201"/>
  </conditionalFormatting>
  <conditionalFormatting sqref="Q893">
    <cfRule type="duplicateValues" dxfId="2172" priority="2198"/>
    <cfRule type="duplicateValues" dxfId="2171" priority="2199"/>
    <cfRule type="duplicateValues" dxfId="2170" priority="2200"/>
  </conditionalFormatting>
  <conditionalFormatting sqref="R893">
    <cfRule type="duplicateValues" dxfId="2169" priority="2195"/>
    <cfRule type="duplicateValues" dxfId="2168" priority="2196"/>
    <cfRule type="duplicateValues" dxfId="2167" priority="2197"/>
  </conditionalFormatting>
  <conditionalFormatting sqref="Q893">
    <cfRule type="duplicateValues" dxfId="2166" priority="2193"/>
    <cfRule type="duplicateValues" dxfId="2165" priority="2194"/>
  </conditionalFormatting>
  <conditionalFormatting sqref="Q893">
    <cfRule type="duplicateValues" dxfId="2164" priority="2192"/>
  </conditionalFormatting>
  <conditionalFormatting sqref="Q893">
    <cfRule type="duplicateValues" dxfId="2163" priority="2191"/>
  </conditionalFormatting>
  <conditionalFormatting sqref="Q893">
    <cfRule type="duplicateValues" dxfId="2162" priority="2190"/>
  </conditionalFormatting>
  <conditionalFormatting sqref="Q893">
    <cfRule type="duplicateValues" dxfId="2161" priority="2189"/>
  </conditionalFormatting>
  <conditionalFormatting sqref="Q894:Q895">
    <cfRule type="duplicateValues" dxfId="2160" priority="2187"/>
    <cfRule type="duplicateValues" dxfId="2159" priority="2188"/>
  </conditionalFormatting>
  <conditionalFormatting sqref="Q894:Q895">
    <cfRule type="duplicateValues" dxfId="2158" priority="2186"/>
  </conditionalFormatting>
  <conditionalFormatting sqref="Q894:Q895">
    <cfRule type="duplicateValues" dxfId="2157" priority="2185"/>
  </conditionalFormatting>
  <conditionalFormatting sqref="Q894:Q895">
    <cfRule type="duplicateValues" dxfId="2156" priority="2184"/>
  </conditionalFormatting>
  <conditionalFormatting sqref="Q894:Q895">
    <cfRule type="duplicateValues" dxfId="2155" priority="2183"/>
  </conditionalFormatting>
  <conditionalFormatting sqref="Q894:Q895">
    <cfRule type="duplicateValues" dxfId="2154" priority="2182"/>
  </conditionalFormatting>
  <conditionalFormatting sqref="Q894:Q895">
    <cfRule type="duplicateValues" dxfId="2153" priority="2181"/>
  </conditionalFormatting>
  <conditionalFormatting sqref="Q894:Q895">
    <cfRule type="duplicateValues" dxfId="2152" priority="2180"/>
  </conditionalFormatting>
  <conditionalFormatting sqref="Q894:Q895">
    <cfRule type="duplicateValues" dxfId="2151" priority="2179"/>
  </conditionalFormatting>
  <conditionalFormatting sqref="Q894:R895">
    <cfRule type="duplicateValues" dxfId="2150" priority="2178"/>
  </conditionalFormatting>
  <conditionalFormatting sqref="Q894:R895">
    <cfRule type="duplicateValues" dxfId="2149" priority="2175"/>
    <cfRule type="duplicateValues" dxfId="2148" priority="2176"/>
    <cfRule type="duplicateValues" dxfId="2147" priority="2177"/>
  </conditionalFormatting>
  <conditionalFormatting sqref="R894:R895">
    <cfRule type="duplicateValues" dxfId="2146" priority="2174"/>
  </conditionalFormatting>
  <conditionalFormatting sqref="Q894:Q895">
    <cfRule type="duplicateValues" dxfId="2145" priority="2173"/>
  </conditionalFormatting>
  <conditionalFormatting sqref="Q894:Q895">
    <cfRule type="duplicateValues" dxfId="2144" priority="2170"/>
    <cfRule type="duplicateValues" dxfId="2143" priority="2171"/>
    <cfRule type="duplicateValues" dxfId="2142" priority="2172"/>
  </conditionalFormatting>
  <conditionalFormatting sqref="R894:R895">
    <cfRule type="duplicateValues" dxfId="2141" priority="2167"/>
    <cfRule type="duplicateValues" dxfId="2140" priority="2168"/>
    <cfRule type="duplicateValues" dxfId="2139" priority="2169"/>
  </conditionalFormatting>
  <conditionalFormatting sqref="Q894:Q895">
    <cfRule type="duplicateValues" dxfId="2138" priority="2166"/>
  </conditionalFormatting>
  <conditionalFormatting sqref="Q894:Q895">
    <cfRule type="duplicateValues" dxfId="2137" priority="2165"/>
  </conditionalFormatting>
  <conditionalFormatting sqref="Q894:Q895">
    <cfRule type="duplicateValues" dxfId="2136" priority="2164"/>
  </conditionalFormatting>
  <conditionalFormatting sqref="Q894:Q895">
    <cfRule type="duplicateValues" dxfId="2135" priority="2163"/>
  </conditionalFormatting>
  <conditionalFormatting sqref="Q896">
    <cfRule type="duplicateValues" dxfId="2134" priority="2162"/>
  </conditionalFormatting>
  <conditionalFormatting sqref="Q896">
    <cfRule type="duplicateValues" dxfId="2133" priority="2161"/>
  </conditionalFormatting>
  <conditionalFormatting sqref="Q896">
    <cfRule type="duplicateValues" dxfId="2132" priority="2160"/>
  </conditionalFormatting>
  <conditionalFormatting sqref="Q896">
    <cfRule type="duplicateValues" dxfId="2131" priority="2159"/>
  </conditionalFormatting>
  <conditionalFormatting sqref="Q896">
    <cfRule type="duplicateValues" dxfId="2130" priority="2158"/>
  </conditionalFormatting>
  <conditionalFormatting sqref="Q896">
    <cfRule type="duplicateValues" dxfId="2129" priority="2157"/>
  </conditionalFormatting>
  <conditionalFormatting sqref="Q896">
    <cfRule type="duplicateValues" dxfId="2128" priority="2156"/>
  </conditionalFormatting>
  <conditionalFormatting sqref="Q896:R896">
    <cfRule type="duplicateValues" dxfId="2127" priority="2155"/>
  </conditionalFormatting>
  <conditionalFormatting sqref="Q896:R896">
    <cfRule type="duplicateValues" dxfId="2126" priority="2152"/>
    <cfRule type="duplicateValues" dxfId="2125" priority="2153"/>
    <cfRule type="duplicateValues" dxfId="2124" priority="2154"/>
  </conditionalFormatting>
  <conditionalFormatting sqref="R896">
    <cfRule type="duplicateValues" dxfId="2123" priority="2151"/>
  </conditionalFormatting>
  <conditionalFormatting sqref="Q896">
    <cfRule type="duplicateValues" dxfId="2122" priority="2150"/>
  </conditionalFormatting>
  <conditionalFormatting sqref="Q896">
    <cfRule type="duplicateValues" dxfId="2121" priority="2147"/>
    <cfRule type="duplicateValues" dxfId="2120" priority="2148"/>
    <cfRule type="duplicateValues" dxfId="2119" priority="2149"/>
  </conditionalFormatting>
  <conditionalFormatting sqref="R896">
    <cfRule type="duplicateValues" dxfId="2118" priority="2144"/>
    <cfRule type="duplicateValues" dxfId="2117" priority="2145"/>
    <cfRule type="duplicateValues" dxfId="2116" priority="2146"/>
  </conditionalFormatting>
  <conditionalFormatting sqref="Q896">
    <cfRule type="duplicateValues" dxfId="2115" priority="2142"/>
    <cfRule type="duplicateValues" dxfId="2114" priority="2143"/>
  </conditionalFormatting>
  <conditionalFormatting sqref="Q896">
    <cfRule type="duplicateValues" dxfId="2113" priority="2141"/>
  </conditionalFormatting>
  <conditionalFormatting sqref="Q896">
    <cfRule type="duplicateValues" dxfId="2112" priority="2140"/>
  </conditionalFormatting>
  <conditionalFormatting sqref="Q896">
    <cfRule type="duplicateValues" dxfId="2111" priority="2139"/>
  </conditionalFormatting>
  <conditionalFormatting sqref="Q896">
    <cfRule type="duplicateValues" dxfId="2110" priority="2138"/>
  </conditionalFormatting>
  <conditionalFormatting sqref="Q897:R898">
    <cfRule type="duplicateValues" dxfId="2109" priority="2137"/>
  </conditionalFormatting>
  <conditionalFormatting sqref="Q897:R898">
    <cfRule type="duplicateValues" dxfId="2108" priority="2134"/>
    <cfRule type="duplicateValues" dxfId="2107" priority="2135"/>
    <cfRule type="duplicateValues" dxfId="2106" priority="2136"/>
  </conditionalFormatting>
  <conditionalFormatting sqref="R897:R898">
    <cfRule type="duplicateValues" dxfId="2105" priority="2133"/>
  </conditionalFormatting>
  <conditionalFormatting sqref="Q897:R898">
    <cfRule type="duplicateValues" dxfId="2104" priority="2132"/>
  </conditionalFormatting>
  <conditionalFormatting sqref="Q897:Q898">
    <cfRule type="duplicateValues" dxfId="2103" priority="2131"/>
  </conditionalFormatting>
  <conditionalFormatting sqref="Q897:Q898">
    <cfRule type="duplicateValues" dxfId="2102" priority="2130"/>
  </conditionalFormatting>
  <conditionalFormatting sqref="Q897:Q898">
    <cfRule type="duplicateValues" dxfId="2101" priority="2129"/>
  </conditionalFormatting>
  <conditionalFormatting sqref="Q897:Q898">
    <cfRule type="duplicateValues" dxfId="2100" priority="2128"/>
  </conditionalFormatting>
  <conditionalFormatting sqref="R897:R898">
    <cfRule type="duplicateValues" dxfId="2099" priority="2127"/>
  </conditionalFormatting>
  <conditionalFormatting sqref="Q897:Q898">
    <cfRule type="duplicateValues" dxfId="2098" priority="2125"/>
    <cfRule type="duplicateValues" dxfId="2097" priority="2126"/>
  </conditionalFormatting>
  <conditionalFormatting sqref="Q897:Q898">
    <cfRule type="duplicateValues" dxfId="2096" priority="2124"/>
  </conditionalFormatting>
  <conditionalFormatting sqref="Q897:Q898">
    <cfRule type="duplicateValues" dxfId="2095" priority="2123"/>
  </conditionalFormatting>
  <conditionalFormatting sqref="Q897:Q898">
    <cfRule type="duplicateValues" dxfId="2094" priority="2122"/>
  </conditionalFormatting>
  <conditionalFormatting sqref="Q897:Q898">
    <cfRule type="duplicateValues" dxfId="2093" priority="2121"/>
  </conditionalFormatting>
  <conditionalFormatting sqref="Q897:Q898">
    <cfRule type="duplicateValues" dxfId="2092" priority="2120"/>
  </conditionalFormatting>
  <conditionalFormatting sqref="Q897:Q898">
    <cfRule type="duplicateValues" dxfId="2091" priority="2119"/>
  </conditionalFormatting>
  <conditionalFormatting sqref="Q897:Q898">
    <cfRule type="duplicateValues" dxfId="2090" priority="2118"/>
  </conditionalFormatting>
  <conditionalFormatting sqref="Q897:Q898">
    <cfRule type="duplicateValues" dxfId="2089" priority="2117"/>
  </conditionalFormatting>
  <conditionalFormatting sqref="Q897:Q898">
    <cfRule type="duplicateValues" dxfId="2088" priority="2116"/>
  </conditionalFormatting>
  <conditionalFormatting sqref="Q897:Q898">
    <cfRule type="duplicateValues" dxfId="2087" priority="2115"/>
  </conditionalFormatting>
  <conditionalFormatting sqref="Q897:Q898">
    <cfRule type="duplicateValues" dxfId="2086" priority="2114"/>
  </conditionalFormatting>
  <conditionalFormatting sqref="Q897:R898">
    <cfRule type="duplicateValues" dxfId="2085" priority="2113"/>
  </conditionalFormatting>
  <conditionalFormatting sqref="Q897:Q898">
    <cfRule type="duplicateValues" dxfId="2084" priority="2112"/>
  </conditionalFormatting>
  <conditionalFormatting sqref="Q897:R898">
    <cfRule type="duplicateValues" dxfId="2083" priority="2111"/>
  </conditionalFormatting>
  <conditionalFormatting sqref="R897:R898">
    <cfRule type="duplicateValues" dxfId="2082" priority="2110"/>
  </conditionalFormatting>
  <conditionalFormatting sqref="Q897:Q898">
    <cfRule type="duplicateValues" dxfId="2081" priority="2109"/>
  </conditionalFormatting>
  <conditionalFormatting sqref="Q899:R899">
    <cfRule type="duplicateValues" dxfId="2080" priority="2108"/>
  </conditionalFormatting>
  <conditionalFormatting sqref="Q899:R899">
    <cfRule type="duplicateValues" dxfId="2079" priority="2105"/>
    <cfRule type="duplicateValues" dxfId="2078" priority="2106"/>
    <cfRule type="duplicateValues" dxfId="2077" priority="2107"/>
  </conditionalFormatting>
  <conditionalFormatting sqref="R899">
    <cfRule type="duplicateValues" dxfId="2076" priority="2104"/>
  </conditionalFormatting>
  <conditionalFormatting sqref="Q899:R899">
    <cfRule type="duplicateValues" dxfId="2075" priority="2103"/>
  </conditionalFormatting>
  <conditionalFormatting sqref="Q899">
    <cfRule type="duplicateValues" dxfId="2074" priority="2102"/>
  </conditionalFormatting>
  <conditionalFormatting sqref="Q899">
    <cfRule type="duplicateValues" dxfId="2073" priority="2101"/>
  </conditionalFormatting>
  <conditionalFormatting sqref="Q899">
    <cfRule type="duplicateValues" dxfId="2072" priority="2100"/>
  </conditionalFormatting>
  <conditionalFormatting sqref="Q899">
    <cfRule type="duplicateValues" dxfId="2071" priority="2099"/>
  </conditionalFormatting>
  <conditionalFormatting sqref="R899">
    <cfRule type="duplicateValues" dxfId="2070" priority="2098"/>
  </conditionalFormatting>
  <conditionalFormatting sqref="Q899">
    <cfRule type="duplicateValues" dxfId="2069" priority="2096"/>
    <cfRule type="duplicateValues" dxfId="2068" priority="2097"/>
  </conditionalFormatting>
  <conditionalFormatting sqref="Q899">
    <cfRule type="duplicateValues" dxfId="2067" priority="2095"/>
  </conditionalFormatting>
  <conditionalFormatting sqref="Q899">
    <cfRule type="duplicateValues" dxfId="2066" priority="2094"/>
  </conditionalFormatting>
  <conditionalFormatting sqref="Q899">
    <cfRule type="duplicateValues" dxfId="2065" priority="2093"/>
  </conditionalFormatting>
  <conditionalFormatting sqref="Q899">
    <cfRule type="duplicateValues" dxfId="2064" priority="2092"/>
  </conditionalFormatting>
  <conditionalFormatting sqref="Q899">
    <cfRule type="duplicateValues" dxfId="2063" priority="2091"/>
  </conditionalFormatting>
  <conditionalFormatting sqref="Q899">
    <cfRule type="duplicateValues" dxfId="2062" priority="2090"/>
  </conditionalFormatting>
  <conditionalFormatting sqref="Q899">
    <cfRule type="duplicateValues" dxfId="2061" priority="2089"/>
  </conditionalFormatting>
  <conditionalFormatting sqref="Q899">
    <cfRule type="duplicateValues" dxfId="2060" priority="2088"/>
  </conditionalFormatting>
  <conditionalFormatting sqref="Q899:R899">
    <cfRule type="duplicateValues" dxfId="2059" priority="2087"/>
  </conditionalFormatting>
  <conditionalFormatting sqref="Q899">
    <cfRule type="duplicateValues" dxfId="2058" priority="2086"/>
  </conditionalFormatting>
  <conditionalFormatting sqref="R899">
    <cfRule type="duplicateValues" dxfId="2057" priority="2085"/>
  </conditionalFormatting>
  <conditionalFormatting sqref="Q899">
    <cfRule type="duplicateValues" dxfId="2056" priority="2084"/>
  </conditionalFormatting>
  <conditionalFormatting sqref="Q899">
    <cfRule type="duplicateValues" dxfId="2055" priority="2083"/>
  </conditionalFormatting>
  <conditionalFormatting sqref="Q899">
    <cfRule type="duplicateValues" dxfId="2054" priority="2082"/>
  </conditionalFormatting>
  <conditionalFormatting sqref="Q899">
    <cfRule type="duplicateValues" dxfId="2053" priority="2081"/>
  </conditionalFormatting>
  <conditionalFormatting sqref="Q900">
    <cfRule type="duplicateValues" dxfId="2052" priority="2080"/>
  </conditionalFormatting>
  <conditionalFormatting sqref="Q900">
    <cfRule type="duplicateValues" dxfId="2051" priority="2079"/>
  </conditionalFormatting>
  <conditionalFormatting sqref="Q900">
    <cfRule type="duplicateValues" dxfId="2050" priority="2078"/>
  </conditionalFormatting>
  <conditionalFormatting sqref="Q900">
    <cfRule type="duplicateValues" dxfId="2049" priority="2077"/>
  </conditionalFormatting>
  <conditionalFormatting sqref="Q900">
    <cfRule type="duplicateValues" dxfId="2048" priority="2076"/>
  </conditionalFormatting>
  <conditionalFormatting sqref="Q900">
    <cfRule type="duplicateValues" dxfId="2047" priority="2075"/>
  </conditionalFormatting>
  <conditionalFormatting sqref="Q900:R900">
    <cfRule type="duplicateValues" dxfId="2046" priority="2074"/>
  </conditionalFormatting>
  <conditionalFormatting sqref="Q900:R900">
    <cfRule type="duplicateValues" dxfId="2045" priority="2071"/>
    <cfRule type="duplicateValues" dxfId="2044" priority="2072"/>
    <cfRule type="duplicateValues" dxfId="2043" priority="2073"/>
  </conditionalFormatting>
  <conditionalFormatting sqref="R900">
    <cfRule type="duplicateValues" dxfId="2042" priority="2070"/>
  </conditionalFormatting>
  <conditionalFormatting sqref="Q900">
    <cfRule type="duplicateValues" dxfId="2041" priority="2069"/>
  </conditionalFormatting>
  <conditionalFormatting sqref="Q900">
    <cfRule type="duplicateValues" dxfId="2040" priority="2066"/>
    <cfRule type="duplicateValues" dxfId="2039" priority="2067"/>
    <cfRule type="duplicateValues" dxfId="2038" priority="2068"/>
  </conditionalFormatting>
  <conditionalFormatting sqref="R900">
    <cfRule type="duplicateValues" dxfId="2037" priority="2063"/>
    <cfRule type="duplicateValues" dxfId="2036" priority="2064"/>
    <cfRule type="duplicateValues" dxfId="2035" priority="2065"/>
  </conditionalFormatting>
  <conditionalFormatting sqref="Q900">
    <cfRule type="duplicateValues" dxfId="2034" priority="2061"/>
    <cfRule type="duplicateValues" dxfId="2033" priority="2062"/>
  </conditionalFormatting>
  <conditionalFormatting sqref="Q900">
    <cfRule type="duplicateValues" dxfId="2032" priority="2060"/>
  </conditionalFormatting>
  <conditionalFormatting sqref="Q900">
    <cfRule type="duplicateValues" dxfId="2031" priority="2059"/>
  </conditionalFormatting>
  <conditionalFormatting sqref="Q900">
    <cfRule type="duplicateValues" dxfId="2030" priority="2058"/>
  </conditionalFormatting>
  <conditionalFormatting sqref="Q900">
    <cfRule type="duplicateValues" dxfId="2029" priority="2057"/>
  </conditionalFormatting>
  <conditionalFormatting sqref="Q901">
    <cfRule type="duplicateValues" dxfId="2028" priority="2056"/>
  </conditionalFormatting>
  <conditionalFormatting sqref="Q901">
    <cfRule type="duplicateValues" dxfId="2027" priority="2055"/>
  </conditionalFormatting>
  <conditionalFormatting sqref="Q901">
    <cfRule type="duplicateValues" dxfId="2026" priority="2054"/>
  </conditionalFormatting>
  <conditionalFormatting sqref="Q901">
    <cfRule type="duplicateValues" dxfId="2025" priority="2053"/>
  </conditionalFormatting>
  <conditionalFormatting sqref="Q901">
    <cfRule type="duplicateValues" dxfId="2024" priority="2052"/>
  </conditionalFormatting>
  <conditionalFormatting sqref="Q901">
    <cfRule type="duplicateValues" dxfId="2023" priority="2051"/>
  </conditionalFormatting>
  <conditionalFormatting sqref="Q901:R901">
    <cfRule type="duplicateValues" dxfId="2022" priority="2050"/>
  </conditionalFormatting>
  <conditionalFormatting sqref="Q901:R901">
    <cfRule type="duplicateValues" dxfId="2021" priority="2047"/>
    <cfRule type="duplicateValues" dxfId="2020" priority="2048"/>
    <cfRule type="duplicateValues" dxfId="2019" priority="2049"/>
  </conditionalFormatting>
  <conditionalFormatting sqref="R901">
    <cfRule type="duplicateValues" dxfId="2018" priority="2046"/>
  </conditionalFormatting>
  <conditionalFormatting sqref="Q901">
    <cfRule type="duplicateValues" dxfId="2017" priority="2045"/>
  </conditionalFormatting>
  <conditionalFormatting sqref="Q901">
    <cfRule type="duplicateValues" dxfId="2016" priority="2042"/>
    <cfRule type="duplicateValues" dxfId="2015" priority="2043"/>
    <cfRule type="duplicateValues" dxfId="2014" priority="2044"/>
  </conditionalFormatting>
  <conditionalFormatting sqref="R901">
    <cfRule type="duplicateValues" dxfId="2013" priority="2039"/>
    <cfRule type="duplicateValues" dxfId="2012" priority="2040"/>
    <cfRule type="duplicateValues" dxfId="2011" priority="2041"/>
  </conditionalFormatting>
  <conditionalFormatting sqref="Q901">
    <cfRule type="duplicateValues" dxfId="2010" priority="2037"/>
    <cfRule type="duplicateValues" dxfId="2009" priority="2038"/>
  </conditionalFormatting>
  <conditionalFormatting sqref="Q901">
    <cfRule type="duplicateValues" dxfId="2008" priority="2036"/>
  </conditionalFormatting>
  <conditionalFormatting sqref="Q901">
    <cfRule type="duplicateValues" dxfId="2007" priority="2035"/>
  </conditionalFormatting>
  <conditionalFormatting sqref="Q901">
    <cfRule type="duplicateValues" dxfId="2006" priority="2034"/>
  </conditionalFormatting>
  <conditionalFormatting sqref="Q901">
    <cfRule type="duplicateValues" dxfId="2005" priority="2033"/>
  </conditionalFormatting>
  <conditionalFormatting sqref="Q902:R903">
    <cfRule type="duplicateValues" dxfId="2004" priority="2032"/>
  </conditionalFormatting>
  <conditionalFormatting sqref="Q902:R903">
    <cfRule type="duplicateValues" dxfId="2003" priority="2029"/>
    <cfRule type="duplicateValues" dxfId="2002" priority="2030"/>
    <cfRule type="duplicateValues" dxfId="2001" priority="2031"/>
  </conditionalFormatting>
  <conditionalFormatting sqref="R902:R903">
    <cfRule type="duplicateValues" dxfId="2000" priority="2028"/>
  </conditionalFormatting>
  <conditionalFormatting sqref="Q902:R903">
    <cfRule type="duplicateValues" dxfId="1999" priority="2027"/>
  </conditionalFormatting>
  <conditionalFormatting sqref="Q902:Q903">
    <cfRule type="duplicateValues" dxfId="1998" priority="2026"/>
  </conditionalFormatting>
  <conditionalFormatting sqref="Q902:Q903">
    <cfRule type="duplicateValues" dxfId="1997" priority="2025"/>
  </conditionalFormatting>
  <conditionalFormatting sqref="Q902:Q903">
    <cfRule type="duplicateValues" dxfId="1996" priority="2024"/>
  </conditionalFormatting>
  <conditionalFormatting sqref="Q902:Q903">
    <cfRule type="duplicateValues" dxfId="1995" priority="2023"/>
  </conditionalFormatting>
  <conditionalFormatting sqref="R902:R903">
    <cfRule type="duplicateValues" dxfId="1994" priority="2022"/>
  </conditionalFormatting>
  <conditionalFormatting sqref="Q902:Q903">
    <cfRule type="duplicateValues" dxfId="1993" priority="2020"/>
    <cfRule type="duplicateValues" dxfId="1992" priority="2021"/>
  </conditionalFormatting>
  <conditionalFormatting sqref="Q902:Q903">
    <cfRule type="duplicateValues" dxfId="1991" priority="2019"/>
  </conditionalFormatting>
  <conditionalFormatting sqref="Q902:Q903">
    <cfRule type="duplicateValues" dxfId="1990" priority="2018"/>
  </conditionalFormatting>
  <conditionalFormatting sqref="Q902:Q903">
    <cfRule type="duplicateValues" dxfId="1989" priority="2017"/>
  </conditionalFormatting>
  <conditionalFormatting sqref="Q902:Q903">
    <cfRule type="duplicateValues" dxfId="1988" priority="2016"/>
  </conditionalFormatting>
  <conditionalFormatting sqref="Q902:Q903">
    <cfRule type="duplicateValues" dxfId="1987" priority="2015"/>
  </conditionalFormatting>
  <conditionalFormatting sqref="Q902:Q903">
    <cfRule type="duplicateValues" dxfId="1986" priority="2014"/>
  </conditionalFormatting>
  <conditionalFormatting sqref="Q902:Q903">
    <cfRule type="duplicateValues" dxfId="1985" priority="2013"/>
  </conditionalFormatting>
  <conditionalFormatting sqref="Q902:Q903">
    <cfRule type="duplicateValues" dxfId="1984" priority="2012"/>
  </conditionalFormatting>
  <conditionalFormatting sqref="Q902:R903">
    <cfRule type="duplicateValues" dxfId="1983" priority="2011"/>
  </conditionalFormatting>
  <conditionalFormatting sqref="Q902:Q903">
    <cfRule type="duplicateValues" dxfId="1982" priority="2010"/>
  </conditionalFormatting>
  <conditionalFormatting sqref="R902:R903">
    <cfRule type="duplicateValues" dxfId="1981" priority="2009"/>
  </conditionalFormatting>
  <conditionalFormatting sqref="Q902:Q903">
    <cfRule type="duplicateValues" dxfId="1980" priority="2008"/>
  </conditionalFormatting>
  <conditionalFormatting sqref="Q902:Q903">
    <cfRule type="duplicateValues" dxfId="1979" priority="2007"/>
  </conditionalFormatting>
  <conditionalFormatting sqref="Q902:Q903">
    <cfRule type="duplicateValues" dxfId="1978" priority="2006"/>
  </conditionalFormatting>
  <conditionalFormatting sqref="Q902:Q903">
    <cfRule type="duplicateValues" dxfId="1977" priority="2005"/>
  </conditionalFormatting>
  <conditionalFormatting sqref="Q904:Q905">
    <cfRule type="duplicateValues" dxfId="1976" priority="2004"/>
  </conditionalFormatting>
  <conditionalFormatting sqref="Q904:Q905">
    <cfRule type="duplicateValues" dxfId="1975" priority="2003"/>
  </conditionalFormatting>
  <conditionalFormatting sqref="Q904:Q905">
    <cfRule type="duplicateValues" dxfId="1974" priority="2002"/>
  </conditionalFormatting>
  <conditionalFormatting sqref="Q904:Q905">
    <cfRule type="duplicateValues" dxfId="1973" priority="2001"/>
  </conditionalFormatting>
  <conditionalFormatting sqref="Q904:Q905">
    <cfRule type="duplicateValues" dxfId="1972" priority="2000"/>
  </conditionalFormatting>
  <conditionalFormatting sqref="Q904:Q905">
    <cfRule type="duplicateValues" dxfId="1971" priority="1999"/>
  </conditionalFormatting>
  <conditionalFormatting sqref="Q904:Q905">
    <cfRule type="duplicateValues" dxfId="1970" priority="1998"/>
  </conditionalFormatting>
  <conditionalFormatting sqref="Q904:R905">
    <cfRule type="duplicateValues" dxfId="1969" priority="1997"/>
  </conditionalFormatting>
  <conditionalFormatting sqref="Q904:R905">
    <cfRule type="duplicateValues" dxfId="1968" priority="1994"/>
    <cfRule type="duplicateValues" dxfId="1967" priority="1995"/>
    <cfRule type="duplicateValues" dxfId="1966" priority="1996"/>
  </conditionalFormatting>
  <conditionalFormatting sqref="R904:R905">
    <cfRule type="duplicateValues" dxfId="1965" priority="1993"/>
  </conditionalFormatting>
  <conditionalFormatting sqref="Q904:Q905">
    <cfRule type="duplicateValues" dxfId="1964" priority="1992"/>
  </conditionalFormatting>
  <conditionalFormatting sqref="Q904:Q905">
    <cfRule type="duplicateValues" dxfId="1963" priority="1989"/>
    <cfRule type="duplicateValues" dxfId="1962" priority="1990"/>
    <cfRule type="duplicateValues" dxfId="1961" priority="1991"/>
  </conditionalFormatting>
  <conditionalFormatting sqref="R904:R905">
    <cfRule type="duplicateValues" dxfId="1960" priority="1986"/>
    <cfRule type="duplicateValues" dxfId="1959" priority="1987"/>
    <cfRule type="duplicateValues" dxfId="1958" priority="1988"/>
  </conditionalFormatting>
  <conditionalFormatting sqref="Q904:Q905">
    <cfRule type="duplicateValues" dxfId="1957" priority="1984"/>
    <cfRule type="duplicateValues" dxfId="1956" priority="1985"/>
  </conditionalFormatting>
  <conditionalFormatting sqref="Q904:Q905">
    <cfRule type="duplicateValues" dxfId="1955" priority="1983"/>
  </conditionalFormatting>
  <conditionalFormatting sqref="Q904:Q905">
    <cfRule type="duplicateValues" dxfId="1954" priority="1982"/>
  </conditionalFormatting>
  <conditionalFormatting sqref="Q904:Q905">
    <cfRule type="duplicateValues" dxfId="1953" priority="1981"/>
  </conditionalFormatting>
  <conditionalFormatting sqref="Q904:Q905">
    <cfRule type="duplicateValues" dxfId="1952" priority="1980"/>
  </conditionalFormatting>
  <conditionalFormatting sqref="Q906">
    <cfRule type="duplicateValues" dxfId="1951" priority="1979"/>
  </conditionalFormatting>
  <conditionalFormatting sqref="Q906">
    <cfRule type="duplicateValues" dxfId="1950" priority="1978"/>
  </conditionalFormatting>
  <conditionalFormatting sqref="Q906">
    <cfRule type="duplicateValues" dxfId="1949" priority="1977"/>
  </conditionalFormatting>
  <conditionalFormatting sqref="Q906">
    <cfRule type="duplicateValues" dxfId="1948" priority="1976"/>
  </conditionalFormatting>
  <conditionalFormatting sqref="Q906">
    <cfRule type="duplicateValues" dxfId="1947" priority="1975"/>
  </conditionalFormatting>
  <conditionalFormatting sqref="Q906:R906">
    <cfRule type="duplicateValues" dxfId="1946" priority="1974"/>
  </conditionalFormatting>
  <conditionalFormatting sqref="Q906:R906">
    <cfRule type="duplicateValues" dxfId="1945" priority="1971"/>
    <cfRule type="duplicateValues" dxfId="1944" priority="1972"/>
    <cfRule type="duplicateValues" dxfId="1943" priority="1973"/>
  </conditionalFormatting>
  <conditionalFormatting sqref="R906">
    <cfRule type="duplicateValues" dxfId="1942" priority="1970"/>
  </conditionalFormatting>
  <conditionalFormatting sqref="Q906">
    <cfRule type="duplicateValues" dxfId="1941" priority="1969"/>
  </conditionalFormatting>
  <conditionalFormatting sqref="Q906">
    <cfRule type="duplicateValues" dxfId="1940" priority="1966"/>
    <cfRule type="duplicateValues" dxfId="1939" priority="1967"/>
    <cfRule type="duplicateValues" dxfId="1938" priority="1968"/>
  </conditionalFormatting>
  <conditionalFormatting sqref="R906">
    <cfRule type="duplicateValues" dxfId="1937" priority="1963"/>
    <cfRule type="duplicateValues" dxfId="1936" priority="1964"/>
    <cfRule type="duplicateValues" dxfId="1935" priority="1965"/>
  </conditionalFormatting>
  <conditionalFormatting sqref="Q906">
    <cfRule type="duplicateValues" dxfId="1934" priority="1961"/>
    <cfRule type="duplicateValues" dxfId="1933" priority="1962"/>
  </conditionalFormatting>
  <conditionalFormatting sqref="Q906">
    <cfRule type="duplicateValues" dxfId="1932" priority="1960"/>
  </conditionalFormatting>
  <conditionalFormatting sqref="Q906">
    <cfRule type="duplicateValues" dxfId="1931" priority="1959"/>
  </conditionalFormatting>
  <conditionalFormatting sqref="Q906">
    <cfRule type="duplicateValues" dxfId="1930" priority="1958"/>
  </conditionalFormatting>
  <conditionalFormatting sqref="Q906">
    <cfRule type="duplicateValues" dxfId="1929" priority="1957"/>
  </conditionalFormatting>
  <conditionalFormatting sqref="Q907">
    <cfRule type="duplicateValues" dxfId="1928" priority="1956"/>
  </conditionalFormatting>
  <conditionalFormatting sqref="Q907">
    <cfRule type="duplicateValues" dxfId="1927" priority="1955"/>
  </conditionalFormatting>
  <conditionalFormatting sqref="Q907">
    <cfRule type="duplicateValues" dxfId="1926" priority="1954"/>
  </conditionalFormatting>
  <conditionalFormatting sqref="Q907">
    <cfRule type="duplicateValues" dxfId="1925" priority="1953"/>
  </conditionalFormatting>
  <conditionalFormatting sqref="Q907">
    <cfRule type="duplicateValues" dxfId="1924" priority="1952"/>
  </conditionalFormatting>
  <conditionalFormatting sqref="Q907:R907">
    <cfRule type="duplicateValues" dxfId="1923" priority="1951"/>
  </conditionalFormatting>
  <conditionalFormatting sqref="Q907:R907">
    <cfRule type="duplicateValues" dxfId="1922" priority="1948"/>
    <cfRule type="duplicateValues" dxfId="1921" priority="1949"/>
    <cfRule type="duplicateValues" dxfId="1920" priority="1950"/>
  </conditionalFormatting>
  <conditionalFormatting sqref="R907">
    <cfRule type="duplicateValues" dxfId="1919" priority="1947"/>
  </conditionalFormatting>
  <conditionalFormatting sqref="Q907">
    <cfRule type="duplicateValues" dxfId="1918" priority="1946"/>
  </conditionalFormatting>
  <conditionalFormatting sqref="Q907">
    <cfRule type="duplicateValues" dxfId="1917" priority="1943"/>
    <cfRule type="duplicateValues" dxfId="1916" priority="1944"/>
    <cfRule type="duplicateValues" dxfId="1915" priority="1945"/>
  </conditionalFormatting>
  <conditionalFormatting sqref="R907">
    <cfRule type="duplicateValues" dxfId="1914" priority="1940"/>
    <cfRule type="duplicateValues" dxfId="1913" priority="1941"/>
    <cfRule type="duplicateValues" dxfId="1912" priority="1942"/>
  </conditionalFormatting>
  <conditionalFormatting sqref="Q907">
    <cfRule type="duplicateValues" dxfId="1911" priority="1938"/>
    <cfRule type="duplicateValues" dxfId="1910" priority="1939"/>
  </conditionalFormatting>
  <conditionalFormatting sqref="Q907">
    <cfRule type="duplicateValues" dxfId="1909" priority="1937"/>
  </conditionalFormatting>
  <conditionalFormatting sqref="Q907">
    <cfRule type="duplicateValues" dxfId="1908" priority="1936"/>
  </conditionalFormatting>
  <conditionalFormatting sqref="Q907">
    <cfRule type="duplicateValues" dxfId="1907" priority="1935"/>
  </conditionalFormatting>
  <conditionalFormatting sqref="Q907">
    <cfRule type="duplicateValues" dxfId="1906" priority="1934"/>
  </conditionalFormatting>
  <conditionalFormatting sqref="Q908">
    <cfRule type="duplicateValues" dxfId="1905" priority="1933"/>
  </conditionalFormatting>
  <conditionalFormatting sqref="Q908">
    <cfRule type="duplicateValues" dxfId="1904" priority="1932"/>
  </conditionalFormatting>
  <conditionalFormatting sqref="Q908">
    <cfRule type="duplicateValues" dxfId="1903" priority="1931"/>
  </conditionalFormatting>
  <conditionalFormatting sqref="Q908">
    <cfRule type="duplicateValues" dxfId="1902" priority="1930"/>
  </conditionalFormatting>
  <conditionalFormatting sqref="Q908">
    <cfRule type="duplicateValues" dxfId="1901" priority="1929"/>
  </conditionalFormatting>
  <conditionalFormatting sqref="Q908:R908">
    <cfRule type="duplicateValues" dxfId="1900" priority="1928"/>
  </conditionalFormatting>
  <conditionalFormatting sqref="Q908:R908">
    <cfRule type="duplicateValues" dxfId="1899" priority="1925"/>
    <cfRule type="duplicateValues" dxfId="1898" priority="1926"/>
    <cfRule type="duplicateValues" dxfId="1897" priority="1927"/>
  </conditionalFormatting>
  <conditionalFormatting sqref="R908">
    <cfRule type="duplicateValues" dxfId="1896" priority="1924"/>
  </conditionalFormatting>
  <conditionalFormatting sqref="Q908">
    <cfRule type="duplicateValues" dxfId="1895" priority="1923"/>
  </conditionalFormatting>
  <conditionalFormatting sqref="Q908">
    <cfRule type="duplicateValues" dxfId="1894" priority="1920"/>
    <cfRule type="duplicateValues" dxfId="1893" priority="1921"/>
    <cfRule type="duplicateValues" dxfId="1892" priority="1922"/>
  </conditionalFormatting>
  <conditionalFormatting sqref="R908">
    <cfRule type="duplicateValues" dxfId="1891" priority="1917"/>
    <cfRule type="duplicateValues" dxfId="1890" priority="1918"/>
    <cfRule type="duplicateValues" dxfId="1889" priority="1919"/>
  </conditionalFormatting>
  <conditionalFormatting sqref="Q908">
    <cfRule type="duplicateValues" dxfId="1888" priority="1915"/>
    <cfRule type="duplicateValues" dxfId="1887" priority="1916"/>
  </conditionalFormatting>
  <conditionalFormatting sqref="Q908">
    <cfRule type="duplicateValues" dxfId="1886" priority="1914"/>
  </conditionalFormatting>
  <conditionalFormatting sqref="Q908">
    <cfRule type="duplicateValues" dxfId="1885" priority="1913"/>
  </conditionalFormatting>
  <conditionalFormatting sqref="Q908">
    <cfRule type="duplicateValues" dxfId="1884" priority="1912"/>
  </conditionalFormatting>
  <conditionalFormatting sqref="Q908">
    <cfRule type="duplicateValues" dxfId="1883" priority="1911"/>
  </conditionalFormatting>
  <conditionalFormatting sqref="Q909">
    <cfRule type="duplicateValues" dxfId="1882" priority="1910"/>
  </conditionalFormatting>
  <conditionalFormatting sqref="Q909">
    <cfRule type="duplicateValues" dxfId="1881" priority="1909"/>
  </conditionalFormatting>
  <conditionalFormatting sqref="Q909">
    <cfRule type="duplicateValues" dxfId="1880" priority="1908"/>
  </conditionalFormatting>
  <conditionalFormatting sqref="Q909">
    <cfRule type="duplicateValues" dxfId="1879" priority="1907"/>
  </conditionalFormatting>
  <conditionalFormatting sqref="Q909:R909">
    <cfRule type="duplicateValues" dxfId="1878" priority="1906"/>
  </conditionalFormatting>
  <conditionalFormatting sqref="Q909:R909">
    <cfRule type="duplicateValues" dxfId="1877" priority="1903"/>
    <cfRule type="duplicateValues" dxfId="1876" priority="1904"/>
    <cfRule type="duplicateValues" dxfId="1875" priority="1905"/>
  </conditionalFormatting>
  <conditionalFormatting sqref="R909">
    <cfRule type="duplicateValues" dxfId="1874" priority="1902"/>
  </conditionalFormatting>
  <conditionalFormatting sqref="Q909">
    <cfRule type="duplicateValues" dxfId="1873" priority="1901"/>
  </conditionalFormatting>
  <conditionalFormatting sqref="Q909">
    <cfRule type="duplicateValues" dxfId="1872" priority="1898"/>
    <cfRule type="duplicateValues" dxfId="1871" priority="1899"/>
    <cfRule type="duplicateValues" dxfId="1870" priority="1900"/>
  </conditionalFormatting>
  <conditionalFormatting sqref="R909">
    <cfRule type="duplicateValues" dxfId="1869" priority="1895"/>
    <cfRule type="duplicateValues" dxfId="1868" priority="1896"/>
    <cfRule type="duplicateValues" dxfId="1867" priority="1897"/>
  </conditionalFormatting>
  <conditionalFormatting sqref="Q909">
    <cfRule type="duplicateValues" dxfId="1866" priority="1893"/>
    <cfRule type="duplicateValues" dxfId="1865" priority="1894"/>
  </conditionalFormatting>
  <conditionalFormatting sqref="Q909">
    <cfRule type="duplicateValues" dxfId="1864" priority="1892"/>
  </conditionalFormatting>
  <conditionalFormatting sqref="Q909">
    <cfRule type="duplicateValues" dxfId="1863" priority="1891"/>
  </conditionalFormatting>
  <conditionalFormatting sqref="Q909">
    <cfRule type="duplicateValues" dxfId="1862" priority="1890"/>
  </conditionalFormatting>
  <conditionalFormatting sqref="Q909">
    <cfRule type="duplicateValues" dxfId="1861" priority="1889"/>
  </conditionalFormatting>
  <conditionalFormatting sqref="Q910">
    <cfRule type="duplicateValues" dxfId="1860" priority="1888"/>
  </conditionalFormatting>
  <conditionalFormatting sqref="Q910">
    <cfRule type="duplicateValues" dxfId="1859" priority="1887"/>
  </conditionalFormatting>
  <conditionalFormatting sqref="Q910">
    <cfRule type="duplicateValues" dxfId="1858" priority="1886"/>
  </conditionalFormatting>
  <conditionalFormatting sqref="Q910">
    <cfRule type="duplicateValues" dxfId="1857" priority="1885"/>
  </conditionalFormatting>
  <conditionalFormatting sqref="Q910:R910">
    <cfRule type="duplicateValues" dxfId="1856" priority="1884"/>
  </conditionalFormatting>
  <conditionalFormatting sqref="Q910:R910">
    <cfRule type="duplicateValues" dxfId="1855" priority="1881"/>
    <cfRule type="duplicateValues" dxfId="1854" priority="1882"/>
    <cfRule type="duplicateValues" dxfId="1853" priority="1883"/>
  </conditionalFormatting>
  <conditionalFormatting sqref="R910">
    <cfRule type="duplicateValues" dxfId="1852" priority="1880"/>
  </conditionalFormatting>
  <conditionalFormatting sqref="Q910">
    <cfRule type="duplicateValues" dxfId="1851" priority="1879"/>
  </conditionalFormatting>
  <conditionalFormatting sqref="Q910">
    <cfRule type="duplicateValues" dxfId="1850" priority="1876"/>
    <cfRule type="duplicateValues" dxfId="1849" priority="1877"/>
    <cfRule type="duplicateValues" dxfId="1848" priority="1878"/>
  </conditionalFormatting>
  <conditionalFormatting sqref="R910">
    <cfRule type="duplicateValues" dxfId="1847" priority="1873"/>
    <cfRule type="duplicateValues" dxfId="1846" priority="1874"/>
    <cfRule type="duplicateValues" dxfId="1845" priority="1875"/>
  </conditionalFormatting>
  <conditionalFormatting sqref="Q910">
    <cfRule type="duplicateValues" dxfId="1844" priority="1871"/>
    <cfRule type="duplicateValues" dxfId="1843" priority="1872"/>
  </conditionalFormatting>
  <conditionalFormatting sqref="Q910">
    <cfRule type="duplicateValues" dxfId="1842" priority="1870"/>
  </conditionalFormatting>
  <conditionalFormatting sqref="Q910">
    <cfRule type="duplicateValues" dxfId="1841" priority="1869"/>
  </conditionalFormatting>
  <conditionalFormatting sqref="Q910">
    <cfRule type="duplicateValues" dxfId="1840" priority="1868"/>
  </conditionalFormatting>
  <conditionalFormatting sqref="Q910">
    <cfRule type="duplicateValues" dxfId="1839" priority="1867"/>
  </conditionalFormatting>
  <conditionalFormatting sqref="Q911:R911">
    <cfRule type="duplicateValues" dxfId="1838" priority="1864"/>
    <cfRule type="duplicateValues" dxfId="1837" priority="1865"/>
    <cfRule type="duplicateValues" dxfId="1836" priority="1866"/>
  </conditionalFormatting>
  <conditionalFormatting sqref="R911">
    <cfRule type="duplicateValues" dxfId="1835" priority="1863"/>
  </conditionalFormatting>
  <conditionalFormatting sqref="Q911:R911">
    <cfRule type="duplicateValues" dxfId="1834" priority="1862"/>
  </conditionalFormatting>
  <conditionalFormatting sqref="Q911">
    <cfRule type="duplicateValues" dxfId="1833" priority="1861"/>
  </conditionalFormatting>
  <conditionalFormatting sqref="Q911">
    <cfRule type="duplicateValues" dxfId="1832" priority="1860"/>
  </conditionalFormatting>
  <conditionalFormatting sqref="Q911">
    <cfRule type="duplicateValues" dxfId="1831" priority="1859"/>
  </conditionalFormatting>
  <conditionalFormatting sqref="Q911">
    <cfRule type="duplicateValues" dxfId="1830" priority="1858"/>
  </conditionalFormatting>
  <conditionalFormatting sqref="R911">
    <cfRule type="duplicateValues" dxfId="1829" priority="1857"/>
  </conditionalFormatting>
  <conditionalFormatting sqref="Q911">
    <cfRule type="duplicateValues" dxfId="1828" priority="1855"/>
    <cfRule type="duplicateValues" dxfId="1827" priority="1856"/>
  </conditionalFormatting>
  <conditionalFormatting sqref="Q911">
    <cfRule type="duplicateValues" dxfId="1826" priority="1854"/>
  </conditionalFormatting>
  <conditionalFormatting sqref="Q911">
    <cfRule type="duplicateValues" dxfId="1825" priority="1853"/>
  </conditionalFormatting>
  <conditionalFormatting sqref="Q911">
    <cfRule type="duplicateValues" dxfId="1824" priority="1852"/>
  </conditionalFormatting>
  <conditionalFormatting sqref="Q911">
    <cfRule type="duplicateValues" dxfId="1823" priority="1851"/>
  </conditionalFormatting>
  <conditionalFormatting sqref="Q911">
    <cfRule type="duplicateValues" dxfId="1822" priority="1850"/>
  </conditionalFormatting>
  <conditionalFormatting sqref="Q911">
    <cfRule type="duplicateValues" dxfId="1821" priority="1849"/>
  </conditionalFormatting>
  <conditionalFormatting sqref="Q911">
    <cfRule type="duplicateValues" dxfId="1820" priority="1848"/>
  </conditionalFormatting>
  <conditionalFormatting sqref="Q911">
    <cfRule type="duplicateValues" dxfId="1819" priority="1847"/>
  </conditionalFormatting>
  <conditionalFormatting sqref="Q911:R911">
    <cfRule type="duplicateValues" dxfId="1818" priority="1846"/>
  </conditionalFormatting>
  <conditionalFormatting sqref="Q911">
    <cfRule type="duplicateValues" dxfId="1817" priority="1845"/>
  </conditionalFormatting>
  <conditionalFormatting sqref="R911">
    <cfRule type="duplicateValues" dxfId="1816" priority="1844"/>
  </conditionalFormatting>
  <conditionalFormatting sqref="Q911">
    <cfRule type="duplicateValues" dxfId="1815" priority="1843"/>
  </conditionalFormatting>
  <conditionalFormatting sqref="Q911">
    <cfRule type="duplicateValues" dxfId="1814" priority="1842"/>
  </conditionalFormatting>
  <conditionalFormatting sqref="Q911">
    <cfRule type="duplicateValues" dxfId="1813" priority="1841"/>
  </conditionalFormatting>
  <conditionalFormatting sqref="Q911">
    <cfRule type="duplicateValues" dxfId="1812" priority="1840"/>
  </conditionalFormatting>
  <conditionalFormatting sqref="Q912:R912">
    <cfRule type="duplicateValues" dxfId="1811" priority="1839"/>
  </conditionalFormatting>
  <conditionalFormatting sqref="Q912:R912">
    <cfRule type="duplicateValues" dxfId="1810" priority="1836"/>
    <cfRule type="duplicateValues" dxfId="1809" priority="1837"/>
    <cfRule type="duplicateValues" dxfId="1808" priority="1838"/>
  </conditionalFormatting>
  <conditionalFormatting sqref="R912">
    <cfRule type="duplicateValues" dxfId="1807" priority="1835"/>
  </conditionalFormatting>
  <conditionalFormatting sqref="Q912:R912">
    <cfRule type="duplicateValues" dxfId="1806" priority="1834"/>
  </conditionalFormatting>
  <conditionalFormatting sqref="Q912">
    <cfRule type="duplicateValues" dxfId="1805" priority="1833"/>
  </conditionalFormatting>
  <conditionalFormatting sqref="Q912">
    <cfRule type="duplicateValues" dxfId="1804" priority="1832"/>
  </conditionalFormatting>
  <conditionalFormatting sqref="Q912">
    <cfRule type="duplicateValues" dxfId="1803" priority="1831"/>
  </conditionalFormatting>
  <conditionalFormatting sqref="Q912">
    <cfRule type="duplicateValues" dxfId="1802" priority="1830"/>
  </conditionalFormatting>
  <conditionalFormatting sqref="R912">
    <cfRule type="duplicateValues" dxfId="1801" priority="1829"/>
  </conditionalFormatting>
  <conditionalFormatting sqref="Q912">
    <cfRule type="duplicateValues" dxfId="1800" priority="1827"/>
    <cfRule type="duplicateValues" dxfId="1799" priority="1828"/>
  </conditionalFormatting>
  <conditionalFormatting sqref="Q912">
    <cfRule type="duplicateValues" dxfId="1798" priority="1826"/>
  </conditionalFormatting>
  <conditionalFormatting sqref="Q912:R912">
    <cfRule type="duplicateValues" dxfId="1797" priority="1825"/>
  </conditionalFormatting>
  <conditionalFormatting sqref="Q912">
    <cfRule type="duplicateValues" dxfId="1796" priority="1824"/>
  </conditionalFormatting>
  <conditionalFormatting sqref="Q912">
    <cfRule type="duplicateValues" dxfId="1795" priority="1823"/>
  </conditionalFormatting>
  <conditionalFormatting sqref="Q912">
    <cfRule type="duplicateValues" dxfId="1794" priority="1822"/>
  </conditionalFormatting>
  <conditionalFormatting sqref="Q912">
    <cfRule type="duplicateValues" dxfId="1793" priority="1821"/>
  </conditionalFormatting>
  <conditionalFormatting sqref="Q912">
    <cfRule type="duplicateValues" dxfId="1792" priority="1820"/>
  </conditionalFormatting>
  <conditionalFormatting sqref="Q912">
    <cfRule type="duplicateValues" dxfId="1791" priority="1819"/>
  </conditionalFormatting>
  <conditionalFormatting sqref="Q912">
    <cfRule type="duplicateValues" dxfId="1790" priority="1818"/>
  </conditionalFormatting>
  <conditionalFormatting sqref="Q912">
    <cfRule type="duplicateValues" dxfId="1789" priority="1817"/>
  </conditionalFormatting>
  <conditionalFormatting sqref="R912">
    <cfRule type="duplicateValues" dxfId="1788" priority="1816"/>
  </conditionalFormatting>
  <conditionalFormatting sqref="Q912">
    <cfRule type="duplicateValues" dxfId="1787" priority="1815"/>
  </conditionalFormatting>
  <conditionalFormatting sqref="Q912">
    <cfRule type="duplicateValues" dxfId="1786" priority="1814"/>
  </conditionalFormatting>
  <conditionalFormatting sqref="Q912">
    <cfRule type="duplicateValues" dxfId="1785" priority="1813"/>
  </conditionalFormatting>
  <conditionalFormatting sqref="Q912">
    <cfRule type="duplicateValues" dxfId="1784" priority="1812"/>
  </conditionalFormatting>
  <conditionalFormatting sqref="Q913">
    <cfRule type="duplicateValues" dxfId="1783" priority="1810"/>
    <cfRule type="duplicateValues" dxfId="1782" priority="1811"/>
  </conditionalFormatting>
  <conditionalFormatting sqref="Q913">
    <cfRule type="duplicateValues" dxfId="1781" priority="1809"/>
  </conditionalFormatting>
  <conditionalFormatting sqref="Q913">
    <cfRule type="duplicateValues" dxfId="1780" priority="1808"/>
  </conditionalFormatting>
  <conditionalFormatting sqref="Q913">
    <cfRule type="duplicateValues" dxfId="1779" priority="1807"/>
  </conditionalFormatting>
  <conditionalFormatting sqref="Q913">
    <cfRule type="duplicateValues" dxfId="1778" priority="1806"/>
  </conditionalFormatting>
  <conditionalFormatting sqref="Q913">
    <cfRule type="duplicateValues" dxfId="1777" priority="1805"/>
  </conditionalFormatting>
  <conditionalFormatting sqref="Q913">
    <cfRule type="duplicateValues" dxfId="1776" priority="1804"/>
  </conditionalFormatting>
  <conditionalFormatting sqref="Q913">
    <cfRule type="duplicateValues" dxfId="1775" priority="1803"/>
  </conditionalFormatting>
  <conditionalFormatting sqref="Q913">
    <cfRule type="duplicateValues" dxfId="1774" priority="1802"/>
  </conditionalFormatting>
  <conditionalFormatting sqref="Q913:R913">
    <cfRule type="duplicateValues" dxfId="1773" priority="1801"/>
  </conditionalFormatting>
  <conditionalFormatting sqref="Q913:R913">
    <cfRule type="duplicateValues" dxfId="1772" priority="1798"/>
    <cfRule type="duplicateValues" dxfId="1771" priority="1799"/>
    <cfRule type="duplicateValues" dxfId="1770" priority="1800"/>
  </conditionalFormatting>
  <conditionalFormatting sqref="R913">
    <cfRule type="duplicateValues" dxfId="1769" priority="1797"/>
  </conditionalFormatting>
  <conditionalFormatting sqref="Q913">
    <cfRule type="duplicateValues" dxfId="1768" priority="1796"/>
  </conditionalFormatting>
  <conditionalFormatting sqref="Q913">
    <cfRule type="duplicateValues" dxfId="1767" priority="1793"/>
    <cfRule type="duplicateValues" dxfId="1766" priority="1794"/>
    <cfRule type="duplicateValues" dxfId="1765" priority="1795"/>
  </conditionalFormatting>
  <conditionalFormatting sqref="R913">
    <cfRule type="duplicateValues" dxfId="1764" priority="1790"/>
    <cfRule type="duplicateValues" dxfId="1763" priority="1791"/>
    <cfRule type="duplicateValues" dxfId="1762" priority="1792"/>
  </conditionalFormatting>
  <conditionalFormatting sqref="Q913">
    <cfRule type="duplicateValues" dxfId="1761" priority="1789"/>
  </conditionalFormatting>
  <conditionalFormatting sqref="Q913">
    <cfRule type="duplicateValues" dxfId="1760" priority="1788"/>
  </conditionalFormatting>
  <conditionalFormatting sqref="Q913">
    <cfRule type="duplicateValues" dxfId="1759" priority="1787"/>
  </conditionalFormatting>
  <conditionalFormatting sqref="Q913">
    <cfRule type="duplicateValues" dxfId="1758" priority="1786"/>
  </conditionalFormatting>
  <conditionalFormatting sqref="Q914">
    <cfRule type="duplicateValues" dxfId="1757" priority="1785"/>
  </conditionalFormatting>
  <conditionalFormatting sqref="Q914">
    <cfRule type="duplicateValues" dxfId="1756" priority="1784"/>
  </conditionalFormatting>
  <conditionalFormatting sqref="Q914">
    <cfRule type="duplicateValues" dxfId="1755" priority="1783"/>
  </conditionalFormatting>
  <conditionalFormatting sqref="Q914">
    <cfRule type="duplicateValues" dxfId="1754" priority="1782"/>
  </conditionalFormatting>
  <conditionalFormatting sqref="Q914">
    <cfRule type="duplicateValues" dxfId="1753" priority="1781"/>
  </conditionalFormatting>
  <conditionalFormatting sqref="Q914">
    <cfRule type="duplicateValues" dxfId="1752" priority="1780"/>
  </conditionalFormatting>
  <conditionalFormatting sqref="Q914:R914">
    <cfRule type="duplicateValues" dxfId="1751" priority="1779"/>
  </conditionalFormatting>
  <conditionalFormatting sqref="Q914:R914">
    <cfRule type="duplicateValues" dxfId="1750" priority="1776"/>
    <cfRule type="duplicateValues" dxfId="1749" priority="1777"/>
    <cfRule type="duplicateValues" dxfId="1748" priority="1778"/>
  </conditionalFormatting>
  <conditionalFormatting sqref="R914">
    <cfRule type="duplicateValues" dxfId="1747" priority="1775"/>
  </conditionalFormatting>
  <conditionalFormatting sqref="Q914">
    <cfRule type="duplicateValues" dxfId="1746" priority="1774"/>
  </conditionalFormatting>
  <conditionalFormatting sqref="Q914">
    <cfRule type="duplicateValues" dxfId="1745" priority="1771"/>
    <cfRule type="duplicateValues" dxfId="1744" priority="1772"/>
    <cfRule type="duplicateValues" dxfId="1743" priority="1773"/>
  </conditionalFormatting>
  <conditionalFormatting sqref="R914">
    <cfRule type="duplicateValues" dxfId="1742" priority="1768"/>
    <cfRule type="duplicateValues" dxfId="1741" priority="1769"/>
    <cfRule type="duplicateValues" dxfId="1740" priority="1770"/>
  </conditionalFormatting>
  <conditionalFormatting sqref="Q914">
    <cfRule type="duplicateValues" dxfId="1739" priority="1766"/>
    <cfRule type="duplicateValues" dxfId="1738" priority="1767"/>
  </conditionalFormatting>
  <conditionalFormatting sqref="Q914">
    <cfRule type="duplicateValues" dxfId="1737" priority="1765"/>
  </conditionalFormatting>
  <conditionalFormatting sqref="Q914">
    <cfRule type="duplicateValues" dxfId="1736" priority="1764"/>
  </conditionalFormatting>
  <conditionalFormatting sqref="Q914">
    <cfRule type="duplicateValues" dxfId="1735" priority="1763"/>
  </conditionalFormatting>
  <conditionalFormatting sqref="Q914">
    <cfRule type="duplicateValues" dxfId="1734" priority="1762"/>
  </conditionalFormatting>
  <conditionalFormatting sqref="Q915:Q916">
    <cfRule type="duplicateValues" dxfId="1733" priority="1761"/>
  </conditionalFormatting>
  <conditionalFormatting sqref="Q915:Q916">
    <cfRule type="duplicateValues" dxfId="1732" priority="1760"/>
  </conditionalFormatting>
  <conditionalFormatting sqref="Q915:Q916">
    <cfRule type="duplicateValues" dxfId="1731" priority="1759"/>
  </conditionalFormatting>
  <conditionalFormatting sqref="Q915:Q916">
    <cfRule type="duplicateValues" dxfId="1730" priority="1758"/>
  </conditionalFormatting>
  <conditionalFormatting sqref="Q915:Q916">
    <cfRule type="duplicateValues" dxfId="1729" priority="1757"/>
  </conditionalFormatting>
  <conditionalFormatting sqref="Q915:R916">
    <cfRule type="duplicateValues" dxfId="1728" priority="1756"/>
  </conditionalFormatting>
  <conditionalFormatting sqref="Q915:R916">
    <cfRule type="duplicateValues" dxfId="1727" priority="1753"/>
    <cfRule type="duplicateValues" dxfId="1726" priority="1754"/>
    <cfRule type="duplicateValues" dxfId="1725" priority="1755"/>
  </conditionalFormatting>
  <conditionalFormatting sqref="R915:R916">
    <cfRule type="duplicateValues" dxfId="1724" priority="1752"/>
  </conditionalFormatting>
  <conditionalFormatting sqref="Q915:Q916">
    <cfRule type="duplicateValues" dxfId="1723" priority="1751"/>
  </conditionalFormatting>
  <conditionalFormatting sqref="Q915:Q916">
    <cfRule type="duplicateValues" dxfId="1722" priority="1748"/>
    <cfRule type="duplicateValues" dxfId="1721" priority="1749"/>
    <cfRule type="duplicateValues" dxfId="1720" priority="1750"/>
  </conditionalFormatting>
  <conditionalFormatting sqref="R915:R916">
    <cfRule type="duplicateValues" dxfId="1719" priority="1745"/>
    <cfRule type="duplicateValues" dxfId="1718" priority="1746"/>
    <cfRule type="duplicateValues" dxfId="1717" priority="1747"/>
  </conditionalFormatting>
  <conditionalFormatting sqref="Q915:Q916">
    <cfRule type="duplicateValues" dxfId="1716" priority="1743"/>
    <cfRule type="duplicateValues" dxfId="1715" priority="1744"/>
  </conditionalFormatting>
  <conditionalFormatting sqref="Q915:Q916">
    <cfRule type="duplicateValues" dxfId="1714" priority="1742"/>
  </conditionalFormatting>
  <conditionalFormatting sqref="Q915:Q916">
    <cfRule type="duplicateValues" dxfId="1713" priority="1741"/>
  </conditionalFormatting>
  <conditionalFormatting sqref="Q915:Q916">
    <cfRule type="duplicateValues" dxfId="1712" priority="1740"/>
  </conditionalFormatting>
  <conditionalFormatting sqref="Q915:Q916">
    <cfRule type="duplicateValues" dxfId="1711" priority="1739"/>
  </conditionalFormatting>
  <conditionalFormatting sqref="Q917">
    <cfRule type="duplicateValues" dxfId="1710" priority="1724"/>
  </conditionalFormatting>
  <conditionalFormatting sqref="Q917">
    <cfRule type="duplicateValues" dxfId="1709" priority="1723"/>
  </conditionalFormatting>
  <conditionalFormatting sqref="Q917">
    <cfRule type="duplicateValues" dxfId="1708" priority="1722"/>
  </conditionalFormatting>
  <conditionalFormatting sqref="Q917">
    <cfRule type="duplicateValues" dxfId="1707" priority="1721"/>
  </conditionalFormatting>
  <conditionalFormatting sqref="Q917:R917">
    <cfRule type="duplicateValues" dxfId="1706" priority="1725"/>
  </conditionalFormatting>
  <conditionalFormatting sqref="Q917:R917">
    <cfRule type="duplicateValues" dxfId="1705" priority="1726"/>
    <cfRule type="duplicateValues" dxfId="1704" priority="1727"/>
    <cfRule type="duplicateValues" dxfId="1703" priority="1728"/>
  </conditionalFormatting>
  <conditionalFormatting sqref="R917">
    <cfRule type="duplicateValues" dxfId="1702" priority="1729"/>
  </conditionalFormatting>
  <conditionalFormatting sqref="Q917">
    <cfRule type="duplicateValues" dxfId="1701" priority="1730"/>
  </conditionalFormatting>
  <conditionalFormatting sqref="Q917">
    <cfRule type="duplicateValues" dxfId="1700" priority="1731"/>
    <cfRule type="duplicateValues" dxfId="1699" priority="1732"/>
    <cfRule type="duplicateValues" dxfId="1698" priority="1733"/>
  </conditionalFormatting>
  <conditionalFormatting sqref="R917">
    <cfRule type="duplicateValues" dxfId="1697" priority="1734"/>
    <cfRule type="duplicateValues" dxfId="1696" priority="1735"/>
    <cfRule type="duplicateValues" dxfId="1695" priority="1736"/>
  </conditionalFormatting>
  <conditionalFormatting sqref="Q917">
    <cfRule type="duplicateValues" dxfId="1694" priority="1737"/>
    <cfRule type="duplicateValues" dxfId="1693" priority="1738"/>
  </conditionalFormatting>
  <conditionalFormatting sqref="Q917">
    <cfRule type="duplicateValues" dxfId="1692" priority="1720"/>
  </conditionalFormatting>
  <conditionalFormatting sqref="Q917">
    <cfRule type="duplicateValues" dxfId="1691" priority="1719"/>
  </conditionalFormatting>
  <conditionalFormatting sqref="Q917">
    <cfRule type="duplicateValues" dxfId="1690" priority="1718"/>
  </conditionalFormatting>
  <conditionalFormatting sqref="Q917">
    <cfRule type="duplicateValues" dxfId="1689" priority="1717"/>
  </conditionalFormatting>
  <conditionalFormatting sqref="Q918">
    <cfRule type="duplicateValues" dxfId="1688" priority="1716"/>
  </conditionalFormatting>
  <conditionalFormatting sqref="Q918">
    <cfRule type="duplicateValues" dxfId="1687" priority="1715"/>
  </conditionalFormatting>
  <conditionalFormatting sqref="Q918">
    <cfRule type="duplicateValues" dxfId="1686" priority="1714"/>
  </conditionalFormatting>
  <conditionalFormatting sqref="Q918">
    <cfRule type="duplicateValues" dxfId="1685" priority="1713"/>
  </conditionalFormatting>
  <conditionalFormatting sqref="Q918">
    <cfRule type="duplicateValues" dxfId="1684" priority="1712"/>
  </conditionalFormatting>
  <conditionalFormatting sqref="Q918:R918">
    <cfRule type="duplicateValues" dxfId="1683" priority="1711"/>
  </conditionalFormatting>
  <conditionalFormatting sqref="Q918:R918">
    <cfRule type="duplicateValues" dxfId="1682" priority="1708"/>
    <cfRule type="duplicateValues" dxfId="1681" priority="1709"/>
    <cfRule type="duplicateValues" dxfId="1680" priority="1710"/>
  </conditionalFormatting>
  <conditionalFormatting sqref="R918">
    <cfRule type="duplicateValues" dxfId="1679" priority="1707"/>
  </conditionalFormatting>
  <conditionalFormatting sqref="Q918">
    <cfRule type="duplicateValues" dxfId="1678" priority="1706"/>
  </conditionalFormatting>
  <conditionalFormatting sqref="Q918">
    <cfRule type="duplicateValues" dxfId="1677" priority="1703"/>
    <cfRule type="duplicateValues" dxfId="1676" priority="1704"/>
    <cfRule type="duplicateValues" dxfId="1675" priority="1705"/>
  </conditionalFormatting>
  <conditionalFormatting sqref="R918">
    <cfRule type="duplicateValues" dxfId="1674" priority="1700"/>
    <cfRule type="duplicateValues" dxfId="1673" priority="1701"/>
    <cfRule type="duplicateValues" dxfId="1672" priority="1702"/>
  </conditionalFormatting>
  <conditionalFormatting sqref="Q918">
    <cfRule type="duplicateValues" dxfId="1671" priority="1698"/>
    <cfRule type="duplicateValues" dxfId="1670" priority="1699"/>
  </conditionalFormatting>
  <conditionalFormatting sqref="Q918">
    <cfRule type="duplicateValues" dxfId="1669" priority="1697"/>
  </conditionalFormatting>
  <conditionalFormatting sqref="Q918">
    <cfRule type="duplicateValues" dxfId="1668" priority="1696"/>
  </conditionalFormatting>
  <conditionalFormatting sqref="Q918">
    <cfRule type="duplicateValues" dxfId="1667" priority="1695"/>
  </conditionalFormatting>
  <conditionalFormatting sqref="Q918">
    <cfRule type="duplicateValues" dxfId="1666" priority="1694"/>
  </conditionalFormatting>
  <conditionalFormatting sqref="R919">
    <cfRule type="duplicateValues" dxfId="1665" priority="1693"/>
  </conditionalFormatting>
  <conditionalFormatting sqref="Q919">
    <cfRule type="duplicateValues" dxfId="1664" priority="1691"/>
    <cfRule type="duplicateValues" dxfId="1663" priority="1692"/>
  </conditionalFormatting>
  <conditionalFormatting sqref="Q919">
    <cfRule type="duplicateValues" dxfId="1662" priority="1690"/>
  </conditionalFormatting>
  <conditionalFormatting sqref="Q919">
    <cfRule type="duplicateValues" dxfId="1661" priority="1689"/>
  </conditionalFormatting>
  <conditionalFormatting sqref="Q919">
    <cfRule type="duplicateValues" dxfId="1660" priority="1688"/>
  </conditionalFormatting>
  <conditionalFormatting sqref="Q919">
    <cfRule type="duplicateValues" dxfId="1659" priority="1687"/>
  </conditionalFormatting>
  <conditionalFormatting sqref="Q919">
    <cfRule type="duplicateValues" dxfId="1658" priority="1686"/>
  </conditionalFormatting>
  <conditionalFormatting sqref="Q919">
    <cfRule type="duplicateValues" dxfId="1657" priority="1685"/>
  </conditionalFormatting>
  <conditionalFormatting sqref="Q919">
    <cfRule type="duplicateValues" dxfId="1656" priority="1684"/>
  </conditionalFormatting>
  <conditionalFormatting sqref="Q919">
    <cfRule type="duplicateValues" dxfId="1655" priority="1683"/>
  </conditionalFormatting>
  <conditionalFormatting sqref="Q919">
    <cfRule type="duplicateValues" dxfId="1654" priority="1682"/>
  </conditionalFormatting>
  <conditionalFormatting sqref="Q919">
    <cfRule type="duplicateValues" dxfId="1653" priority="1681"/>
  </conditionalFormatting>
  <conditionalFormatting sqref="Q919">
    <cfRule type="duplicateValues" dxfId="1652" priority="1680"/>
  </conditionalFormatting>
  <conditionalFormatting sqref="Q919">
    <cfRule type="duplicateValues" dxfId="1651" priority="1677"/>
    <cfRule type="duplicateValues" dxfId="1650" priority="1678"/>
    <cfRule type="duplicateValues" dxfId="1649" priority="1679"/>
  </conditionalFormatting>
  <conditionalFormatting sqref="R919">
    <cfRule type="duplicateValues" dxfId="1648" priority="1676"/>
  </conditionalFormatting>
  <conditionalFormatting sqref="R919">
    <cfRule type="duplicateValues" dxfId="1647" priority="1673"/>
    <cfRule type="duplicateValues" dxfId="1646" priority="1674"/>
    <cfRule type="duplicateValues" dxfId="1645" priority="1675"/>
  </conditionalFormatting>
  <conditionalFormatting sqref="Q919">
    <cfRule type="duplicateValues" dxfId="1644" priority="1672"/>
  </conditionalFormatting>
  <conditionalFormatting sqref="Q919">
    <cfRule type="duplicateValues" dxfId="1643" priority="1671"/>
  </conditionalFormatting>
  <conditionalFormatting sqref="Q920">
    <cfRule type="duplicateValues" dxfId="1642" priority="1670"/>
  </conditionalFormatting>
  <conditionalFormatting sqref="Q920">
    <cfRule type="duplicateValues" dxfId="1641" priority="1669"/>
  </conditionalFormatting>
  <conditionalFormatting sqref="Q920">
    <cfRule type="duplicateValues" dxfId="1640" priority="1668"/>
  </conditionalFormatting>
  <conditionalFormatting sqref="Q920">
    <cfRule type="duplicateValues" dxfId="1639" priority="1667"/>
  </conditionalFormatting>
  <conditionalFormatting sqref="Q920">
    <cfRule type="duplicateValues" dxfId="1638" priority="1666"/>
  </conditionalFormatting>
  <conditionalFormatting sqref="Q920:R920">
    <cfRule type="duplicateValues" dxfId="1637" priority="1665"/>
  </conditionalFormatting>
  <conditionalFormatting sqref="Q920:R920">
    <cfRule type="duplicateValues" dxfId="1636" priority="1662"/>
    <cfRule type="duplicateValues" dxfId="1635" priority="1663"/>
    <cfRule type="duplicateValues" dxfId="1634" priority="1664"/>
  </conditionalFormatting>
  <conditionalFormatting sqref="R920">
    <cfRule type="duplicateValues" dxfId="1633" priority="1661"/>
  </conditionalFormatting>
  <conditionalFormatting sqref="Q920">
    <cfRule type="duplicateValues" dxfId="1632" priority="1660"/>
  </conditionalFormatting>
  <conditionalFormatting sqref="Q920">
    <cfRule type="duplicateValues" dxfId="1631" priority="1657"/>
    <cfRule type="duplicateValues" dxfId="1630" priority="1658"/>
    <cfRule type="duplicateValues" dxfId="1629" priority="1659"/>
  </conditionalFormatting>
  <conditionalFormatting sqref="R920">
    <cfRule type="duplicateValues" dxfId="1628" priority="1654"/>
    <cfRule type="duplicateValues" dxfId="1627" priority="1655"/>
    <cfRule type="duplicateValues" dxfId="1626" priority="1656"/>
  </conditionalFormatting>
  <conditionalFormatting sqref="Q920">
    <cfRule type="duplicateValues" dxfId="1625" priority="1652"/>
    <cfRule type="duplicateValues" dxfId="1624" priority="1653"/>
  </conditionalFormatting>
  <conditionalFormatting sqref="Q920">
    <cfRule type="duplicateValues" dxfId="1623" priority="1651"/>
  </conditionalFormatting>
  <conditionalFormatting sqref="Q920">
    <cfRule type="duplicateValues" dxfId="1622" priority="1650"/>
  </conditionalFormatting>
  <conditionalFormatting sqref="Q920">
    <cfRule type="duplicateValues" dxfId="1621" priority="1649"/>
  </conditionalFormatting>
  <conditionalFormatting sqref="Q920">
    <cfRule type="duplicateValues" dxfId="1620" priority="1648"/>
  </conditionalFormatting>
  <conditionalFormatting sqref="Q921">
    <cfRule type="duplicateValues" dxfId="1619" priority="1647"/>
  </conditionalFormatting>
  <conditionalFormatting sqref="Q921">
    <cfRule type="duplicateValues" dxfId="1618" priority="1646"/>
  </conditionalFormatting>
  <conditionalFormatting sqref="Q921">
    <cfRule type="duplicateValues" dxfId="1617" priority="1645"/>
  </conditionalFormatting>
  <conditionalFormatting sqref="Q921">
    <cfRule type="duplicateValues" dxfId="1616" priority="1644"/>
  </conditionalFormatting>
  <conditionalFormatting sqref="Q921">
    <cfRule type="duplicateValues" dxfId="1615" priority="1643"/>
  </conditionalFormatting>
  <conditionalFormatting sqref="Q921:R921">
    <cfRule type="duplicateValues" dxfId="1614" priority="1642"/>
  </conditionalFormatting>
  <conditionalFormatting sqref="Q921:R921">
    <cfRule type="duplicateValues" dxfId="1613" priority="1639"/>
    <cfRule type="duplicateValues" dxfId="1612" priority="1640"/>
    <cfRule type="duplicateValues" dxfId="1611" priority="1641"/>
  </conditionalFormatting>
  <conditionalFormatting sqref="R921">
    <cfRule type="duplicateValues" dxfId="1610" priority="1638"/>
  </conditionalFormatting>
  <conditionalFormatting sqref="Q921">
    <cfRule type="duplicateValues" dxfId="1609" priority="1637"/>
  </conditionalFormatting>
  <conditionalFormatting sqref="Q921">
    <cfRule type="duplicateValues" dxfId="1608" priority="1634"/>
    <cfRule type="duplicateValues" dxfId="1607" priority="1635"/>
    <cfRule type="duplicateValues" dxfId="1606" priority="1636"/>
  </conditionalFormatting>
  <conditionalFormatting sqref="R921">
    <cfRule type="duplicateValues" dxfId="1605" priority="1631"/>
    <cfRule type="duplicateValues" dxfId="1604" priority="1632"/>
    <cfRule type="duplicateValues" dxfId="1603" priority="1633"/>
  </conditionalFormatting>
  <conditionalFormatting sqref="Q921">
    <cfRule type="duplicateValues" dxfId="1602" priority="1629"/>
    <cfRule type="duplicateValues" dxfId="1601" priority="1630"/>
  </conditionalFormatting>
  <conditionalFormatting sqref="Q921">
    <cfRule type="duplicateValues" dxfId="1600" priority="1628"/>
  </conditionalFormatting>
  <conditionalFormatting sqref="Q921">
    <cfRule type="duplicateValues" dxfId="1599" priority="1627"/>
  </conditionalFormatting>
  <conditionalFormatting sqref="Q921">
    <cfRule type="duplicateValues" dxfId="1598" priority="1626"/>
  </conditionalFormatting>
  <conditionalFormatting sqref="Q921">
    <cfRule type="duplicateValues" dxfId="1597" priority="1625"/>
  </conditionalFormatting>
  <conditionalFormatting sqref="Q922">
    <cfRule type="duplicateValues" dxfId="1596" priority="1624"/>
  </conditionalFormatting>
  <conditionalFormatting sqref="Q922">
    <cfRule type="duplicateValues" dxfId="1595" priority="1623"/>
  </conditionalFormatting>
  <conditionalFormatting sqref="Q922">
    <cfRule type="duplicateValues" dxfId="1594" priority="1622"/>
  </conditionalFormatting>
  <conditionalFormatting sqref="Q922">
    <cfRule type="duplicateValues" dxfId="1593" priority="1621"/>
  </conditionalFormatting>
  <conditionalFormatting sqref="Q922">
    <cfRule type="duplicateValues" dxfId="1592" priority="1620"/>
  </conditionalFormatting>
  <conditionalFormatting sqref="Q922">
    <cfRule type="duplicateValues" dxfId="1591" priority="1619"/>
  </conditionalFormatting>
  <conditionalFormatting sqref="Q922">
    <cfRule type="duplicateValues" dxfId="1590" priority="1618"/>
  </conditionalFormatting>
  <conditionalFormatting sqref="Q922:R922">
    <cfRule type="duplicateValues" dxfId="1589" priority="1617"/>
  </conditionalFormatting>
  <conditionalFormatting sqref="Q922:R922">
    <cfRule type="duplicateValues" dxfId="1588" priority="1614"/>
    <cfRule type="duplicateValues" dxfId="1587" priority="1615"/>
    <cfRule type="duplicateValues" dxfId="1586" priority="1616"/>
  </conditionalFormatting>
  <conditionalFormatting sqref="R922">
    <cfRule type="duplicateValues" dxfId="1585" priority="1613"/>
  </conditionalFormatting>
  <conditionalFormatting sqref="Q922">
    <cfRule type="duplicateValues" dxfId="1584" priority="1612"/>
  </conditionalFormatting>
  <conditionalFormatting sqref="Q922">
    <cfRule type="duplicateValues" dxfId="1583" priority="1609"/>
    <cfRule type="duplicateValues" dxfId="1582" priority="1610"/>
    <cfRule type="duplicateValues" dxfId="1581" priority="1611"/>
  </conditionalFormatting>
  <conditionalFormatting sqref="R922">
    <cfRule type="duplicateValues" dxfId="1580" priority="1606"/>
    <cfRule type="duplicateValues" dxfId="1579" priority="1607"/>
    <cfRule type="duplicateValues" dxfId="1578" priority="1608"/>
  </conditionalFormatting>
  <conditionalFormatting sqref="Q922">
    <cfRule type="duplicateValues" dxfId="1577" priority="1604"/>
    <cfRule type="duplicateValues" dxfId="1576" priority="1605"/>
  </conditionalFormatting>
  <conditionalFormatting sqref="Q922">
    <cfRule type="duplicateValues" dxfId="1575" priority="1603"/>
  </conditionalFormatting>
  <conditionalFormatting sqref="Q922">
    <cfRule type="duplicateValues" dxfId="1574" priority="1602"/>
  </conditionalFormatting>
  <conditionalFormatting sqref="Q922">
    <cfRule type="duplicateValues" dxfId="1573" priority="1601"/>
  </conditionalFormatting>
  <conditionalFormatting sqref="Q922">
    <cfRule type="duplicateValues" dxfId="1572" priority="1600"/>
  </conditionalFormatting>
  <conditionalFormatting sqref="Q923">
    <cfRule type="duplicateValues" dxfId="1571" priority="1599"/>
  </conditionalFormatting>
  <conditionalFormatting sqref="Q923">
    <cfRule type="duplicateValues" dxfId="1570" priority="1598"/>
  </conditionalFormatting>
  <conditionalFormatting sqref="Q923">
    <cfRule type="duplicateValues" dxfId="1569" priority="1597"/>
  </conditionalFormatting>
  <conditionalFormatting sqref="Q923">
    <cfRule type="duplicateValues" dxfId="1568" priority="1596"/>
  </conditionalFormatting>
  <conditionalFormatting sqref="Q923:R923">
    <cfRule type="duplicateValues" dxfId="1567" priority="1595"/>
  </conditionalFormatting>
  <conditionalFormatting sqref="Q923:R923">
    <cfRule type="duplicateValues" dxfId="1566" priority="1592"/>
    <cfRule type="duplicateValues" dxfId="1565" priority="1593"/>
    <cfRule type="duplicateValues" dxfId="1564" priority="1594"/>
  </conditionalFormatting>
  <conditionalFormatting sqref="R923">
    <cfRule type="duplicateValues" dxfId="1563" priority="1591"/>
  </conditionalFormatting>
  <conditionalFormatting sqref="Q923">
    <cfRule type="duplicateValues" dxfId="1562" priority="1590"/>
  </conditionalFormatting>
  <conditionalFormatting sqref="Q923">
    <cfRule type="duplicateValues" dxfId="1561" priority="1587"/>
    <cfRule type="duplicateValues" dxfId="1560" priority="1588"/>
    <cfRule type="duplicateValues" dxfId="1559" priority="1589"/>
  </conditionalFormatting>
  <conditionalFormatting sqref="R923">
    <cfRule type="duplicateValues" dxfId="1558" priority="1584"/>
    <cfRule type="duplicateValues" dxfId="1557" priority="1585"/>
    <cfRule type="duplicateValues" dxfId="1556" priority="1586"/>
  </conditionalFormatting>
  <conditionalFormatting sqref="Q923">
    <cfRule type="duplicateValues" dxfId="1555" priority="1582"/>
    <cfRule type="duplicateValues" dxfId="1554" priority="1583"/>
  </conditionalFormatting>
  <conditionalFormatting sqref="Q923">
    <cfRule type="duplicateValues" dxfId="1553" priority="1581"/>
  </conditionalFormatting>
  <conditionalFormatting sqref="Q923">
    <cfRule type="duplicateValues" dxfId="1552" priority="1580"/>
  </conditionalFormatting>
  <conditionalFormatting sqref="Q923">
    <cfRule type="duplicateValues" dxfId="1551" priority="1579"/>
  </conditionalFormatting>
  <conditionalFormatting sqref="Q923">
    <cfRule type="duplicateValues" dxfId="1550" priority="1578"/>
  </conditionalFormatting>
  <conditionalFormatting sqref="Q924:R924">
    <cfRule type="duplicateValues" dxfId="1549" priority="1577"/>
  </conditionalFormatting>
  <conditionalFormatting sqref="Q924:R924">
    <cfRule type="duplicateValues" dxfId="1548" priority="1574"/>
    <cfRule type="duplicateValues" dxfId="1547" priority="1575"/>
    <cfRule type="duplicateValues" dxfId="1546" priority="1576"/>
  </conditionalFormatting>
  <conditionalFormatting sqref="R924">
    <cfRule type="duplicateValues" dxfId="1545" priority="1573"/>
  </conditionalFormatting>
  <conditionalFormatting sqref="Q924:R924">
    <cfRule type="duplicateValues" dxfId="1544" priority="1572"/>
  </conditionalFormatting>
  <conditionalFormatting sqref="Q924">
    <cfRule type="duplicateValues" dxfId="1543" priority="1571"/>
  </conditionalFormatting>
  <conditionalFormatting sqref="Q924">
    <cfRule type="duplicateValues" dxfId="1542" priority="1570"/>
  </conditionalFormatting>
  <conditionalFormatting sqref="Q924">
    <cfRule type="duplicateValues" dxfId="1541" priority="1569"/>
  </conditionalFormatting>
  <conditionalFormatting sqref="Q924">
    <cfRule type="duplicateValues" dxfId="1540" priority="1568"/>
  </conditionalFormatting>
  <conditionalFormatting sqref="R924">
    <cfRule type="duplicateValues" dxfId="1539" priority="1567"/>
  </conditionalFormatting>
  <conditionalFormatting sqref="Q924">
    <cfRule type="duplicateValues" dxfId="1538" priority="1565"/>
    <cfRule type="duplicateValues" dxfId="1537" priority="1566"/>
  </conditionalFormatting>
  <conditionalFormatting sqref="Q924">
    <cfRule type="duplicateValues" dxfId="1536" priority="1564"/>
  </conditionalFormatting>
  <conditionalFormatting sqref="Q924:R924">
    <cfRule type="duplicateValues" dxfId="1535" priority="1563"/>
  </conditionalFormatting>
  <conditionalFormatting sqref="Q924">
    <cfRule type="duplicateValues" dxfId="1534" priority="1562"/>
  </conditionalFormatting>
  <conditionalFormatting sqref="Q924">
    <cfRule type="duplicateValues" dxfId="1533" priority="1561"/>
  </conditionalFormatting>
  <conditionalFormatting sqref="Q924">
    <cfRule type="duplicateValues" dxfId="1532" priority="1560"/>
  </conditionalFormatting>
  <conditionalFormatting sqref="Q924">
    <cfRule type="duplicateValues" dxfId="1531" priority="1559"/>
  </conditionalFormatting>
  <conditionalFormatting sqref="Q924">
    <cfRule type="duplicateValues" dxfId="1530" priority="1558"/>
  </conditionalFormatting>
  <conditionalFormatting sqref="Q924">
    <cfRule type="duplicateValues" dxfId="1529" priority="1557"/>
  </conditionalFormatting>
  <conditionalFormatting sqref="Q924">
    <cfRule type="duplicateValues" dxfId="1528" priority="1556"/>
  </conditionalFormatting>
  <conditionalFormatting sqref="Q924">
    <cfRule type="duplicateValues" dxfId="1527" priority="1555"/>
  </conditionalFormatting>
  <conditionalFormatting sqref="R924">
    <cfRule type="duplicateValues" dxfId="1526" priority="1554"/>
  </conditionalFormatting>
  <conditionalFormatting sqref="Q924">
    <cfRule type="duplicateValues" dxfId="1525" priority="1553"/>
  </conditionalFormatting>
  <conditionalFormatting sqref="Q924">
    <cfRule type="duplicateValues" dxfId="1524" priority="1552"/>
  </conditionalFormatting>
  <conditionalFormatting sqref="Q924">
    <cfRule type="duplicateValues" dxfId="1523" priority="1551"/>
  </conditionalFormatting>
  <conditionalFormatting sqref="Q924">
    <cfRule type="duplicateValues" dxfId="1522" priority="1550"/>
  </conditionalFormatting>
  <conditionalFormatting sqref="Q925">
    <cfRule type="duplicateValues" dxfId="1521" priority="1549"/>
  </conditionalFormatting>
  <conditionalFormatting sqref="Q925">
    <cfRule type="duplicateValues" dxfId="1520" priority="1548"/>
  </conditionalFormatting>
  <conditionalFormatting sqref="Q925">
    <cfRule type="duplicateValues" dxfId="1519" priority="1547"/>
  </conditionalFormatting>
  <conditionalFormatting sqref="Q925">
    <cfRule type="duplicateValues" dxfId="1518" priority="1546"/>
  </conditionalFormatting>
  <conditionalFormatting sqref="Q925">
    <cfRule type="duplicateValues" dxfId="1517" priority="1545"/>
  </conditionalFormatting>
  <conditionalFormatting sqref="Q925">
    <cfRule type="duplicateValues" dxfId="1516" priority="1544"/>
  </conditionalFormatting>
  <conditionalFormatting sqref="Q925:R925">
    <cfRule type="duplicateValues" dxfId="1515" priority="1543"/>
  </conditionalFormatting>
  <conditionalFormatting sqref="Q925:R925">
    <cfRule type="duplicateValues" dxfId="1514" priority="1540"/>
    <cfRule type="duplicateValues" dxfId="1513" priority="1541"/>
    <cfRule type="duplicateValues" dxfId="1512" priority="1542"/>
  </conditionalFormatting>
  <conditionalFormatting sqref="R925">
    <cfRule type="duplicateValues" dxfId="1511" priority="1539"/>
  </conditionalFormatting>
  <conditionalFormatting sqref="Q925">
    <cfRule type="duplicateValues" dxfId="1510" priority="1538"/>
  </conditionalFormatting>
  <conditionalFormatting sqref="Q925">
    <cfRule type="duplicateValues" dxfId="1509" priority="1535"/>
    <cfRule type="duplicateValues" dxfId="1508" priority="1536"/>
    <cfRule type="duplicateValues" dxfId="1507" priority="1537"/>
  </conditionalFormatting>
  <conditionalFormatting sqref="R925">
    <cfRule type="duplicateValues" dxfId="1506" priority="1532"/>
    <cfRule type="duplicateValues" dxfId="1505" priority="1533"/>
    <cfRule type="duplicateValues" dxfId="1504" priority="1534"/>
  </conditionalFormatting>
  <conditionalFormatting sqref="Q925">
    <cfRule type="duplicateValues" dxfId="1503" priority="1530"/>
    <cfRule type="duplicateValues" dxfId="1502" priority="1531"/>
  </conditionalFormatting>
  <conditionalFormatting sqref="Q925">
    <cfRule type="duplicateValues" dxfId="1501" priority="1529"/>
  </conditionalFormatting>
  <conditionalFormatting sqref="Q926">
    <cfRule type="duplicateValues" dxfId="1500" priority="1528"/>
  </conditionalFormatting>
  <conditionalFormatting sqref="Q926">
    <cfRule type="duplicateValues" dxfId="1499" priority="1527"/>
  </conditionalFormatting>
  <conditionalFormatting sqref="Q926">
    <cfRule type="duplicateValues" dxfId="1498" priority="1526"/>
  </conditionalFormatting>
  <conditionalFormatting sqref="Q926">
    <cfRule type="duplicateValues" dxfId="1497" priority="1525"/>
  </conditionalFormatting>
  <conditionalFormatting sqref="Q926">
    <cfRule type="duplicateValues" dxfId="1496" priority="1524"/>
  </conditionalFormatting>
  <conditionalFormatting sqref="Q926:R926">
    <cfRule type="duplicateValues" dxfId="1495" priority="1523"/>
  </conditionalFormatting>
  <conditionalFormatting sqref="Q926:R926">
    <cfRule type="duplicateValues" dxfId="1494" priority="1520"/>
    <cfRule type="duplicateValues" dxfId="1493" priority="1521"/>
    <cfRule type="duplicateValues" dxfId="1492" priority="1522"/>
  </conditionalFormatting>
  <conditionalFormatting sqref="R926">
    <cfRule type="duplicateValues" dxfId="1491" priority="1519"/>
  </conditionalFormatting>
  <conditionalFormatting sqref="Q926">
    <cfRule type="duplicateValues" dxfId="1490" priority="1518"/>
  </conditionalFormatting>
  <conditionalFormatting sqref="Q926">
    <cfRule type="duplicateValues" dxfId="1489" priority="1515"/>
    <cfRule type="duplicateValues" dxfId="1488" priority="1516"/>
    <cfRule type="duplicateValues" dxfId="1487" priority="1517"/>
  </conditionalFormatting>
  <conditionalFormatting sqref="R926">
    <cfRule type="duplicateValues" dxfId="1486" priority="1512"/>
    <cfRule type="duplicateValues" dxfId="1485" priority="1513"/>
    <cfRule type="duplicateValues" dxfId="1484" priority="1514"/>
  </conditionalFormatting>
  <conditionalFormatting sqref="Q926">
    <cfRule type="duplicateValues" dxfId="1483" priority="1510"/>
    <cfRule type="duplicateValues" dxfId="1482" priority="1511"/>
  </conditionalFormatting>
  <conditionalFormatting sqref="Q926">
    <cfRule type="duplicateValues" dxfId="1481" priority="1509"/>
  </conditionalFormatting>
  <conditionalFormatting sqref="Q927">
    <cfRule type="duplicateValues" dxfId="1480" priority="1508"/>
  </conditionalFormatting>
  <conditionalFormatting sqref="Q927">
    <cfRule type="duplicateValues" dxfId="1479" priority="1507"/>
  </conditionalFormatting>
  <conditionalFormatting sqref="Q927">
    <cfRule type="duplicateValues" dxfId="1478" priority="1506"/>
  </conditionalFormatting>
  <conditionalFormatting sqref="Q927">
    <cfRule type="duplicateValues" dxfId="1477" priority="1505"/>
  </conditionalFormatting>
  <conditionalFormatting sqref="Q927">
    <cfRule type="duplicateValues" dxfId="1476" priority="1504"/>
  </conditionalFormatting>
  <conditionalFormatting sqref="Q927:R927">
    <cfRule type="duplicateValues" dxfId="1475" priority="1503"/>
  </conditionalFormatting>
  <conditionalFormatting sqref="Q927:R927">
    <cfRule type="duplicateValues" dxfId="1474" priority="1500"/>
    <cfRule type="duplicateValues" dxfId="1473" priority="1501"/>
    <cfRule type="duplicateValues" dxfId="1472" priority="1502"/>
  </conditionalFormatting>
  <conditionalFormatting sqref="R927">
    <cfRule type="duplicateValues" dxfId="1471" priority="1499"/>
  </conditionalFormatting>
  <conditionalFormatting sqref="Q927">
    <cfRule type="duplicateValues" dxfId="1470" priority="1498"/>
  </conditionalFormatting>
  <conditionalFormatting sqref="Q927">
    <cfRule type="duplicateValues" dxfId="1469" priority="1495"/>
    <cfRule type="duplicateValues" dxfId="1468" priority="1496"/>
    <cfRule type="duplicateValues" dxfId="1467" priority="1497"/>
  </conditionalFormatting>
  <conditionalFormatting sqref="R927">
    <cfRule type="duplicateValues" dxfId="1466" priority="1492"/>
    <cfRule type="duplicateValues" dxfId="1465" priority="1493"/>
    <cfRule type="duplicateValues" dxfId="1464" priority="1494"/>
  </conditionalFormatting>
  <conditionalFormatting sqref="Q927">
    <cfRule type="duplicateValues" dxfId="1463" priority="1490"/>
    <cfRule type="duplicateValues" dxfId="1462" priority="1491"/>
  </conditionalFormatting>
  <conditionalFormatting sqref="Q927">
    <cfRule type="duplicateValues" dxfId="1461" priority="1489"/>
  </conditionalFormatting>
  <conditionalFormatting sqref="Q928">
    <cfRule type="duplicateValues" dxfId="1460" priority="1488"/>
  </conditionalFormatting>
  <conditionalFormatting sqref="Q928">
    <cfRule type="duplicateValues" dxfId="1459" priority="1487"/>
  </conditionalFormatting>
  <conditionalFormatting sqref="Q928">
    <cfRule type="duplicateValues" dxfId="1458" priority="1486"/>
  </conditionalFormatting>
  <conditionalFormatting sqref="Q928">
    <cfRule type="duplicateValues" dxfId="1457" priority="1485"/>
  </conditionalFormatting>
  <conditionalFormatting sqref="Q928:R928">
    <cfRule type="duplicateValues" dxfId="1456" priority="1484"/>
  </conditionalFormatting>
  <conditionalFormatting sqref="Q928:R928">
    <cfRule type="duplicateValues" dxfId="1455" priority="1481"/>
    <cfRule type="duplicateValues" dxfId="1454" priority="1482"/>
    <cfRule type="duplicateValues" dxfId="1453" priority="1483"/>
  </conditionalFormatting>
  <conditionalFormatting sqref="R928">
    <cfRule type="duplicateValues" dxfId="1452" priority="1480"/>
  </conditionalFormatting>
  <conditionalFormatting sqref="Q928">
    <cfRule type="duplicateValues" dxfId="1451" priority="1478"/>
    <cfRule type="duplicateValues" dxfId="1450" priority="1479"/>
  </conditionalFormatting>
  <conditionalFormatting sqref="Q928">
    <cfRule type="duplicateValues" dxfId="1449" priority="1475"/>
    <cfRule type="duplicateValues" dxfId="1448" priority="1476"/>
    <cfRule type="duplicateValues" dxfId="1447" priority="1477"/>
  </conditionalFormatting>
  <conditionalFormatting sqref="R928">
    <cfRule type="duplicateValues" dxfId="1446" priority="1472"/>
    <cfRule type="duplicateValues" dxfId="1445" priority="1473"/>
    <cfRule type="duplicateValues" dxfId="1444" priority="1474"/>
  </conditionalFormatting>
  <conditionalFormatting sqref="Q928">
    <cfRule type="duplicateValues" dxfId="1443" priority="1471"/>
  </conditionalFormatting>
  <conditionalFormatting sqref="Q929">
    <cfRule type="duplicateValues" dxfId="1442" priority="1470"/>
  </conditionalFormatting>
  <conditionalFormatting sqref="Q929">
    <cfRule type="duplicateValues" dxfId="1441" priority="1469"/>
  </conditionalFormatting>
  <conditionalFormatting sqref="Q929">
    <cfRule type="duplicateValues" dxfId="1440" priority="1468"/>
  </conditionalFormatting>
  <conditionalFormatting sqref="Q929">
    <cfRule type="duplicateValues" dxfId="1439" priority="1467"/>
  </conditionalFormatting>
  <conditionalFormatting sqref="Q929">
    <cfRule type="duplicateValues" dxfId="1438" priority="1466"/>
  </conditionalFormatting>
  <conditionalFormatting sqref="Q929">
    <cfRule type="duplicateValues" dxfId="1437" priority="1465"/>
  </conditionalFormatting>
  <conditionalFormatting sqref="Q929:R929">
    <cfRule type="duplicateValues" dxfId="1436" priority="1464"/>
  </conditionalFormatting>
  <conditionalFormatting sqref="Q929:R929">
    <cfRule type="duplicateValues" dxfId="1435" priority="1461"/>
    <cfRule type="duplicateValues" dxfId="1434" priority="1462"/>
    <cfRule type="duplicateValues" dxfId="1433" priority="1463"/>
  </conditionalFormatting>
  <conditionalFormatting sqref="R929">
    <cfRule type="duplicateValues" dxfId="1432" priority="1460"/>
  </conditionalFormatting>
  <conditionalFormatting sqref="Q929">
    <cfRule type="duplicateValues" dxfId="1431" priority="1459"/>
  </conditionalFormatting>
  <conditionalFormatting sqref="Q929">
    <cfRule type="duplicateValues" dxfId="1430" priority="1456"/>
    <cfRule type="duplicateValues" dxfId="1429" priority="1457"/>
    <cfRule type="duplicateValues" dxfId="1428" priority="1458"/>
  </conditionalFormatting>
  <conditionalFormatting sqref="R929">
    <cfRule type="duplicateValues" dxfId="1427" priority="1453"/>
    <cfRule type="duplicateValues" dxfId="1426" priority="1454"/>
    <cfRule type="duplicateValues" dxfId="1425" priority="1455"/>
  </conditionalFormatting>
  <conditionalFormatting sqref="Q929">
    <cfRule type="duplicateValues" dxfId="1424" priority="1451"/>
    <cfRule type="duplicateValues" dxfId="1423" priority="1452"/>
  </conditionalFormatting>
  <conditionalFormatting sqref="Q929">
    <cfRule type="duplicateValues" dxfId="1422" priority="1450"/>
  </conditionalFormatting>
  <conditionalFormatting sqref="Q929">
    <cfRule type="duplicateValues" dxfId="1421" priority="1449"/>
  </conditionalFormatting>
  <conditionalFormatting sqref="Q929">
    <cfRule type="duplicateValues" dxfId="1420" priority="1448"/>
  </conditionalFormatting>
  <conditionalFormatting sqref="Q929">
    <cfRule type="duplicateValues" dxfId="1419" priority="1447"/>
  </conditionalFormatting>
  <conditionalFormatting sqref="Q930">
    <cfRule type="duplicateValues" dxfId="1418" priority="1445"/>
    <cfRule type="duplicateValues" dxfId="1417" priority="1446"/>
  </conditionalFormatting>
  <conditionalFormatting sqref="Q930">
    <cfRule type="duplicateValues" dxfId="1416" priority="1444"/>
  </conditionalFormatting>
  <conditionalFormatting sqref="Q930">
    <cfRule type="duplicateValues" dxfId="1415" priority="1443"/>
  </conditionalFormatting>
  <conditionalFormatting sqref="Q930">
    <cfRule type="duplicateValues" dxfId="1414" priority="1442"/>
  </conditionalFormatting>
  <conditionalFormatting sqref="Q930">
    <cfRule type="duplicateValues" dxfId="1413" priority="1441"/>
  </conditionalFormatting>
  <conditionalFormatting sqref="Q930">
    <cfRule type="duplicateValues" dxfId="1412" priority="1440"/>
  </conditionalFormatting>
  <conditionalFormatting sqref="Q930">
    <cfRule type="duplicateValues" dxfId="1411" priority="1439"/>
  </conditionalFormatting>
  <conditionalFormatting sqref="Q930">
    <cfRule type="duplicateValues" dxfId="1410" priority="1438"/>
  </conditionalFormatting>
  <conditionalFormatting sqref="Q930">
    <cfRule type="duplicateValues" dxfId="1409" priority="1437"/>
  </conditionalFormatting>
  <conditionalFormatting sqref="Q930:R930">
    <cfRule type="duplicateValues" dxfId="1408" priority="1436"/>
  </conditionalFormatting>
  <conditionalFormatting sqref="Q930:R930">
    <cfRule type="duplicateValues" dxfId="1407" priority="1433"/>
    <cfRule type="duplicateValues" dxfId="1406" priority="1434"/>
    <cfRule type="duplicateValues" dxfId="1405" priority="1435"/>
  </conditionalFormatting>
  <conditionalFormatting sqref="R930">
    <cfRule type="duplicateValues" dxfId="1404" priority="1432"/>
  </conditionalFormatting>
  <conditionalFormatting sqref="Q930">
    <cfRule type="duplicateValues" dxfId="1403" priority="1431"/>
  </conditionalFormatting>
  <conditionalFormatting sqref="Q930">
    <cfRule type="duplicateValues" dxfId="1402" priority="1428"/>
    <cfRule type="duplicateValues" dxfId="1401" priority="1429"/>
    <cfRule type="duplicateValues" dxfId="1400" priority="1430"/>
  </conditionalFormatting>
  <conditionalFormatting sqref="R930">
    <cfRule type="duplicateValues" dxfId="1399" priority="1425"/>
    <cfRule type="duplicateValues" dxfId="1398" priority="1426"/>
    <cfRule type="duplicateValues" dxfId="1397" priority="1427"/>
  </conditionalFormatting>
  <conditionalFormatting sqref="Q930">
    <cfRule type="duplicateValues" dxfId="1396" priority="1424"/>
  </conditionalFormatting>
  <conditionalFormatting sqref="Q930">
    <cfRule type="duplicateValues" dxfId="1395" priority="1423"/>
  </conditionalFormatting>
  <conditionalFormatting sqref="Q930">
    <cfRule type="duplicateValues" dxfId="1394" priority="1422"/>
  </conditionalFormatting>
  <conditionalFormatting sqref="Q930">
    <cfRule type="duplicateValues" dxfId="1393" priority="1421"/>
  </conditionalFormatting>
  <conditionalFormatting sqref="Q931">
    <cfRule type="duplicateValues" dxfId="1392" priority="1420"/>
  </conditionalFormatting>
  <conditionalFormatting sqref="Q931">
    <cfRule type="duplicateValues" dxfId="1391" priority="1419"/>
  </conditionalFormatting>
  <conditionalFormatting sqref="Q931">
    <cfRule type="duplicateValues" dxfId="1390" priority="1418"/>
  </conditionalFormatting>
  <conditionalFormatting sqref="Q931">
    <cfRule type="duplicateValues" dxfId="1389" priority="1417"/>
  </conditionalFormatting>
  <conditionalFormatting sqref="Q931">
    <cfRule type="duplicateValues" dxfId="1388" priority="1416"/>
  </conditionalFormatting>
  <conditionalFormatting sqref="Q931">
    <cfRule type="duplicateValues" dxfId="1387" priority="1415"/>
  </conditionalFormatting>
  <conditionalFormatting sqref="Q931">
    <cfRule type="duplicateValues" dxfId="1386" priority="1414"/>
  </conditionalFormatting>
  <conditionalFormatting sqref="Q931:R931">
    <cfRule type="duplicateValues" dxfId="1385" priority="1413"/>
  </conditionalFormatting>
  <conditionalFormatting sqref="Q931:R931">
    <cfRule type="duplicateValues" dxfId="1384" priority="1410"/>
    <cfRule type="duplicateValues" dxfId="1383" priority="1411"/>
    <cfRule type="duplicateValues" dxfId="1382" priority="1412"/>
  </conditionalFormatting>
  <conditionalFormatting sqref="R931">
    <cfRule type="duplicateValues" dxfId="1381" priority="1409"/>
  </conditionalFormatting>
  <conditionalFormatting sqref="Q931">
    <cfRule type="duplicateValues" dxfId="1380" priority="1408"/>
  </conditionalFormatting>
  <conditionalFormatting sqref="Q931">
    <cfRule type="duplicateValues" dxfId="1379" priority="1405"/>
    <cfRule type="duplicateValues" dxfId="1378" priority="1406"/>
    <cfRule type="duplicateValues" dxfId="1377" priority="1407"/>
  </conditionalFormatting>
  <conditionalFormatting sqref="R931">
    <cfRule type="duplicateValues" dxfId="1376" priority="1402"/>
    <cfRule type="duplicateValues" dxfId="1375" priority="1403"/>
    <cfRule type="duplicateValues" dxfId="1374" priority="1404"/>
  </conditionalFormatting>
  <conditionalFormatting sqref="Q931">
    <cfRule type="duplicateValues" dxfId="1373" priority="1400"/>
    <cfRule type="duplicateValues" dxfId="1372" priority="1401"/>
  </conditionalFormatting>
  <conditionalFormatting sqref="Q931">
    <cfRule type="duplicateValues" dxfId="1371" priority="1399"/>
  </conditionalFormatting>
  <conditionalFormatting sqref="Q931">
    <cfRule type="duplicateValues" dxfId="1370" priority="1398"/>
  </conditionalFormatting>
  <conditionalFormatting sqref="Q931">
    <cfRule type="duplicateValues" dxfId="1369" priority="1397"/>
  </conditionalFormatting>
  <conditionalFormatting sqref="Q931">
    <cfRule type="duplicateValues" dxfId="1368" priority="1396"/>
  </conditionalFormatting>
  <conditionalFormatting sqref="Q932">
    <cfRule type="duplicateValues" dxfId="1367" priority="1395"/>
  </conditionalFormatting>
  <conditionalFormatting sqref="Q932">
    <cfRule type="duplicateValues" dxfId="1366" priority="1394"/>
  </conditionalFormatting>
  <conditionalFormatting sqref="Q932:R932">
    <cfRule type="duplicateValues" dxfId="1365" priority="1393"/>
  </conditionalFormatting>
  <conditionalFormatting sqref="Q932:R932">
    <cfRule type="duplicateValues" dxfId="1364" priority="1390"/>
    <cfRule type="duplicateValues" dxfId="1363" priority="1391"/>
    <cfRule type="duplicateValues" dxfId="1362" priority="1392"/>
  </conditionalFormatting>
  <conditionalFormatting sqref="R932">
    <cfRule type="duplicateValues" dxfId="1361" priority="1389"/>
  </conditionalFormatting>
  <conditionalFormatting sqref="Q932">
    <cfRule type="duplicateValues" dxfId="1360" priority="1388"/>
  </conditionalFormatting>
  <conditionalFormatting sqref="Q932">
    <cfRule type="duplicateValues" dxfId="1359" priority="1385"/>
    <cfRule type="duplicateValues" dxfId="1358" priority="1386"/>
    <cfRule type="duplicateValues" dxfId="1357" priority="1387"/>
  </conditionalFormatting>
  <conditionalFormatting sqref="R932">
    <cfRule type="duplicateValues" dxfId="1356" priority="1382"/>
    <cfRule type="duplicateValues" dxfId="1355" priority="1383"/>
    <cfRule type="duplicateValues" dxfId="1354" priority="1384"/>
  </conditionalFormatting>
  <conditionalFormatting sqref="Q932">
    <cfRule type="duplicateValues" dxfId="1353" priority="1380"/>
    <cfRule type="duplicateValues" dxfId="1352" priority="1381"/>
  </conditionalFormatting>
  <conditionalFormatting sqref="Q932">
    <cfRule type="duplicateValues" dxfId="1351" priority="1379"/>
  </conditionalFormatting>
  <conditionalFormatting sqref="Q932">
    <cfRule type="duplicateValues" dxfId="1350" priority="1378"/>
  </conditionalFormatting>
  <conditionalFormatting sqref="Q932">
    <cfRule type="duplicateValues" dxfId="1349" priority="1377"/>
  </conditionalFormatting>
  <conditionalFormatting sqref="Q932">
    <cfRule type="duplicateValues" dxfId="1348" priority="1376"/>
  </conditionalFormatting>
  <conditionalFormatting sqref="R933">
    <cfRule type="duplicateValues" dxfId="1347" priority="1375"/>
  </conditionalFormatting>
  <conditionalFormatting sqref="Q933">
    <cfRule type="duplicateValues" dxfId="1346" priority="1373"/>
    <cfRule type="duplicateValues" dxfId="1345" priority="1374"/>
  </conditionalFormatting>
  <conditionalFormatting sqref="Q933">
    <cfRule type="duplicateValues" dxfId="1344" priority="1372"/>
  </conditionalFormatting>
  <conditionalFormatting sqref="Q933">
    <cfRule type="duplicateValues" dxfId="1343" priority="1371"/>
  </conditionalFormatting>
  <conditionalFormatting sqref="Q933">
    <cfRule type="duplicateValues" dxfId="1342" priority="1370"/>
  </conditionalFormatting>
  <conditionalFormatting sqref="Q933">
    <cfRule type="duplicateValues" dxfId="1341" priority="1369"/>
  </conditionalFormatting>
  <conditionalFormatting sqref="Q933">
    <cfRule type="duplicateValues" dxfId="1340" priority="1368"/>
  </conditionalFormatting>
  <conditionalFormatting sqref="Q933">
    <cfRule type="duplicateValues" dxfId="1339" priority="1367"/>
  </conditionalFormatting>
  <conditionalFormatting sqref="Q933">
    <cfRule type="duplicateValues" dxfId="1338" priority="1366"/>
  </conditionalFormatting>
  <conditionalFormatting sqref="Q933">
    <cfRule type="duplicateValues" dxfId="1337" priority="1365"/>
  </conditionalFormatting>
  <conditionalFormatting sqref="Q933">
    <cfRule type="duplicateValues" dxfId="1336" priority="1364"/>
  </conditionalFormatting>
  <conditionalFormatting sqref="Q933">
    <cfRule type="duplicateValues" dxfId="1335" priority="1363"/>
  </conditionalFormatting>
  <conditionalFormatting sqref="Q933">
    <cfRule type="duplicateValues" dxfId="1334" priority="1362"/>
  </conditionalFormatting>
  <conditionalFormatting sqref="Q933">
    <cfRule type="duplicateValues" dxfId="1333" priority="1359"/>
    <cfRule type="duplicateValues" dxfId="1332" priority="1360"/>
    <cfRule type="duplicateValues" dxfId="1331" priority="1361"/>
  </conditionalFormatting>
  <conditionalFormatting sqref="R933">
    <cfRule type="duplicateValues" dxfId="1330" priority="1358"/>
  </conditionalFormatting>
  <conditionalFormatting sqref="R933">
    <cfRule type="duplicateValues" dxfId="1329" priority="1355"/>
    <cfRule type="duplicateValues" dxfId="1328" priority="1356"/>
    <cfRule type="duplicateValues" dxfId="1327" priority="1357"/>
  </conditionalFormatting>
  <conditionalFormatting sqref="Q933">
    <cfRule type="duplicateValues" dxfId="1326" priority="1354"/>
  </conditionalFormatting>
  <conditionalFormatting sqref="Q933">
    <cfRule type="duplicateValues" dxfId="1325" priority="1353"/>
  </conditionalFormatting>
  <conditionalFormatting sqref="Q934">
    <cfRule type="duplicateValues" dxfId="1324" priority="1351"/>
    <cfRule type="duplicateValues" dxfId="1323" priority="1352"/>
  </conditionalFormatting>
  <conditionalFormatting sqref="Q934">
    <cfRule type="duplicateValues" dxfId="1322" priority="1350"/>
  </conditionalFormatting>
  <conditionalFormatting sqref="Q934">
    <cfRule type="duplicateValues" dxfId="1321" priority="1349"/>
  </conditionalFormatting>
  <conditionalFormatting sqref="Q934">
    <cfRule type="duplicateValues" dxfId="1320" priority="1348"/>
  </conditionalFormatting>
  <conditionalFormatting sqref="Q934">
    <cfRule type="duplicateValues" dxfId="1319" priority="1347"/>
  </conditionalFormatting>
  <conditionalFormatting sqref="Q934">
    <cfRule type="duplicateValues" dxfId="1318" priority="1346"/>
  </conditionalFormatting>
  <conditionalFormatting sqref="Q934">
    <cfRule type="duplicateValues" dxfId="1317" priority="1345"/>
  </conditionalFormatting>
  <conditionalFormatting sqref="Q934">
    <cfRule type="duplicateValues" dxfId="1316" priority="1344"/>
  </conditionalFormatting>
  <conditionalFormatting sqref="Q934">
    <cfRule type="duplicateValues" dxfId="1315" priority="1343"/>
  </conditionalFormatting>
  <conditionalFormatting sqref="Q934:R934">
    <cfRule type="duplicateValues" dxfId="1314" priority="1342"/>
  </conditionalFormatting>
  <conditionalFormatting sqref="Q934:R934">
    <cfRule type="duplicateValues" dxfId="1313" priority="1339"/>
    <cfRule type="duplicateValues" dxfId="1312" priority="1340"/>
    <cfRule type="duplicateValues" dxfId="1311" priority="1341"/>
  </conditionalFormatting>
  <conditionalFormatting sqref="R934">
    <cfRule type="duplicateValues" dxfId="1310" priority="1338"/>
  </conditionalFormatting>
  <conditionalFormatting sqref="Q934">
    <cfRule type="duplicateValues" dxfId="1309" priority="1337"/>
  </conditionalFormatting>
  <conditionalFormatting sqref="Q934">
    <cfRule type="duplicateValues" dxfId="1308" priority="1334"/>
    <cfRule type="duplicateValues" dxfId="1307" priority="1335"/>
    <cfRule type="duplicateValues" dxfId="1306" priority="1336"/>
  </conditionalFormatting>
  <conditionalFormatting sqref="R934">
    <cfRule type="duplicateValues" dxfId="1305" priority="1331"/>
    <cfRule type="duplicateValues" dxfId="1304" priority="1332"/>
    <cfRule type="duplicateValues" dxfId="1303" priority="1333"/>
  </conditionalFormatting>
  <conditionalFormatting sqref="Q934">
    <cfRule type="duplicateValues" dxfId="1302" priority="1330"/>
  </conditionalFormatting>
  <conditionalFormatting sqref="Q934">
    <cfRule type="duplicateValues" dxfId="1301" priority="1329"/>
  </conditionalFormatting>
  <conditionalFormatting sqref="Q934">
    <cfRule type="duplicateValues" dxfId="1300" priority="1328"/>
  </conditionalFormatting>
  <conditionalFormatting sqref="Q934">
    <cfRule type="duplicateValues" dxfId="1299" priority="1327"/>
  </conditionalFormatting>
  <conditionalFormatting sqref="Q935">
    <cfRule type="duplicateValues" dxfId="1298" priority="1326"/>
  </conditionalFormatting>
  <conditionalFormatting sqref="Q935">
    <cfRule type="duplicateValues" dxfId="1297" priority="1325"/>
  </conditionalFormatting>
  <conditionalFormatting sqref="Q935">
    <cfRule type="duplicateValues" dxfId="1296" priority="1324"/>
  </conditionalFormatting>
  <conditionalFormatting sqref="Q935">
    <cfRule type="duplicateValues" dxfId="1295" priority="1323"/>
  </conditionalFormatting>
  <conditionalFormatting sqref="Q935">
    <cfRule type="duplicateValues" dxfId="1294" priority="1322"/>
  </conditionalFormatting>
  <conditionalFormatting sqref="Q935">
    <cfRule type="duplicateValues" dxfId="1293" priority="1321"/>
  </conditionalFormatting>
  <conditionalFormatting sqref="Q935">
    <cfRule type="duplicateValues" dxfId="1292" priority="1320"/>
  </conditionalFormatting>
  <conditionalFormatting sqref="Q935:R935">
    <cfRule type="duplicateValues" dxfId="1291" priority="1319"/>
  </conditionalFormatting>
  <conditionalFormatting sqref="Q935:R935">
    <cfRule type="duplicateValues" dxfId="1290" priority="1316"/>
    <cfRule type="duplicateValues" dxfId="1289" priority="1317"/>
    <cfRule type="duplicateValues" dxfId="1288" priority="1318"/>
  </conditionalFormatting>
  <conditionalFormatting sqref="R935">
    <cfRule type="duplicateValues" dxfId="1287" priority="1315"/>
  </conditionalFormatting>
  <conditionalFormatting sqref="Q935">
    <cfRule type="duplicateValues" dxfId="1286" priority="1314"/>
  </conditionalFormatting>
  <conditionalFormatting sqref="Q935">
    <cfRule type="duplicateValues" dxfId="1285" priority="1311"/>
    <cfRule type="duplicateValues" dxfId="1284" priority="1312"/>
    <cfRule type="duplicateValues" dxfId="1283" priority="1313"/>
  </conditionalFormatting>
  <conditionalFormatting sqref="R935">
    <cfRule type="duplicateValues" dxfId="1282" priority="1308"/>
    <cfRule type="duplicateValues" dxfId="1281" priority="1309"/>
    <cfRule type="duplicateValues" dxfId="1280" priority="1310"/>
  </conditionalFormatting>
  <conditionalFormatting sqref="Q935">
    <cfRule type="duplicateValues" dxfId="1279" priority="1306"/>
    <cfRule type="duplicateValues" dxfId="1278" priority="1307"/>
  </conditionalFormatting>
  <conditionalFormatting sqref="Q935">
    <cfRule type="duplicateValues" dxfId="1277" priority="1305"/>
  </conditionalFormatting>
  <conditionalFormatting sqref="Q935">
    <cfRule type="duplicateValues" dxfId="1276" priority="1304"/>
  </conditionalFormatting>
  <conditionalFormatting sqref="Q935">
    <cfRule type="duplicateValues" dxfId="1275" priority="1303"/>
  </conditionalFormatting>
  <conditionalFormatting sqref="Q935">
    <cfRule type="duplicateValues" dxfId="1274" priority="1302"/>
  </conditionalFormatting>
  <conditionalFormatting sqref="R936">
    <cfRule type="duplicateValues" dxfId="1273" priority="1301"/>
  </conditionalFormatting>
  <conditionalFormatting sqref="Q936">
    <cfRule type="duplicateValues" dxfId="1272" priority="1299"/>
    <cfRule type="duplicateValues" dxfId="1271" priority="1300"/>
  </conditionalFormatting>
  <conditionalFormatting sqref="Q936">
    <cfRule type="duplicateValues" dxfId="1270" priority="1298"/>
  </conditionalFormatting>
  <conditionalFormatting sqref="Q936">
    <cfRule type="duplicateValues" dxfId="1269" priority="1297"/>
  </conditionalFormatting>
  <conditionalFormatting sqref="Q936">
    <cfRule type="duplicateValues" dxfId="1268" priority="1296"/>
  </conditionalFormatting>
  <conditionalFormatting sqref="Q936">
    <cfRule type="duplicateValues" dxfId="1267" priority="1295"/>
  </conditionalFormatting>
  <conditionalFormatting sqref="Q936">
    <cfRule type="duplicateValues" dxfId="1266" priority="1294"/>
  </conditionalFormatting>
  <conditionalFormatting sqref="Q936">
    <cfRule type="duplicateValues" dxfId="1265" priority="1293"/>
  </conditionalFormatting>
  <conditionalFormatting sqref="Q936">
    <cfRule type="duplicateValues" dxfId="1264" priority="1292"/>
  </conditionalFormatting>
  <conditionalFormatting sqref="Q936">
    <cfRule type="duplicateValues" dxfId="1263" priority="1291"/>
  </conditionalFormatting>
  <conditionalFormatting sqref="Q936">
    <cfRule type="duplicateValues" dxfId="1262" priority="1290"/>
  </conditionalFormatting>
  <conditionalFormatting sqref="Q936">
    <cfRule type="duplicateValues" dxfId="1261" priority="1287"/>
    <cfRule type="duplicateValues" dxfId="1260" priority="1288"/>
    <cfRule type="duplicateValues" dxfId="1259" priority="1289"/>
  </conditionalFormatting>
  <conditionalFormatting sqref="R936">
    <cfRule type="duplicateValues" dxfId="1258" priority="1286"/>
  </conditionalFormatting>
  <conditionalFormatting sqref="R936">
    <cfRule type="duplicateValues" dxfId="1257" priority="1283"/>
    <cfRule type="duplicateValues" dxfId="1256" priority="1284"/>
    <cfRule type="duplicateValues" dxfId="1255" priority="1285"/>
  </conditionalFormatting>
  <conditionalFormatting sqref="Q936">
    <cfRule type="duplicateValues" dxfId="1254" priority="1282"/>
  </conditionalFormatting>
  <conditionalFormatting sqref="Q936">
    <cfRule type="duplicateValues" dxfId="1253" priority="1281"/>
  </conditionalFormatting>
  <conditionalFormatting sqref="Q936">
    <cfRule type="duplicateValues" dxfId="1252" priority="1280"/>
  </conditionalFormatting>
  <conditionalFormatting sqref="Q936">
    <cfRule type="duplicateValues" dxfId="1251" priority="1279"/>
  </conditionalFormatting>
  <conditionalFormatting sqref="Q937">
    <cfRule type="duplicateValues" dxfId="1250" priority="1278"/>
  </conditionalFormatting>
  <conditionalFormatting sqref="Q937">
    <cfRule type="duplicateValues" dxfId="1249" priority="1277"/>
  </conditionalFormatting>
  <conditionalFormatting sqref="Q937">
    <cfRule type="duplicateValues" dxfId="1248" priority="1276"/>
  </conditionalFormatting>
  <conditionalFormatting sqref="Q937">
    <cfRule type="duplicateValues" dxfId="1247" priority="1275"/>
  </conditionalFormatting>
  <conditionalFormatting sqref="Q937">
    <cfRule type="duplicateValues" dxfId="1246" priority="1274"/>
  </conditionalFormatting>
  <conditionalFormatting sqref="Q937">
    <cfRule type="duplicateValues" dxfId="1245" priority="1273"/>
  </conditionalFormatting>
  <conditionalFormatting sqref="Q937">
    <cfRule type="duplicateValues" dxfId="1244" priority="1272"/>
  </conditionalFormatting>
  <conditionalFormatting sqref="Q937:R937">
    <cfRule type="duplicateValues" dxfId="1243" priority="1271"/>
  </conditionalFormatting>
  <conditionalFormatting sqref="Q937:R937">
    <cfRule type="duplicateValues" dxfId="1242" priority="1268"/>
    <cfRule type="duplicateValues" dxfId="1241" priority="1269"/>
    <cfRule type="duplicateValues" dxfId="1240" priority="1270"/>
  </conditionalFormatting>
  <conditionalFormatting sqref="R937">
    <cfRule type="duplicateValues" dxfId="1239" priority="1267"/>
  </conditionalFormatting>
  <conditionalFormatting sqref="Q937">
    <cfRule type="duplicateValues" dxfId="1238" priority="1266"/>
  </conditionalFormatting>
  <conditionalFormatting sqref="Q937">
    <cfRule type="duplicateValues" dxfId="1237" priority="1263"/>
    <cfRule type="duplicateValues" dxfId="1236" priority="1264"/>
    <cfRule type="duplicateValues" dxfId="1235" priority="1265"/>
  </conditionalFormatting>
  <conditionalFormatting sqref="R937">
    <cfRule type="duplicateValues" dxfId="1234" priority="1260"/>
    <cfRule type="duplicateValues" dxfId="1233" priority="1261"/>
    <cfRule type="duplicateValues" dxfId="1232" priority="1262"/>
  </conditionalFormatting>
  <conditionalFormatting sqref="Q937">
    <cfRule type="duplicateValues" dxfId="1231" priority="1258"/>
    <cfRule type="duplicateValues" dxfId="1230" priority="1259"/>
  </conditionalFormatting>
  <conditionalFormatting sqref="Q937">
    <cfRule type="duplicateValues" dxfId="1229" priority="1257"/>
  </conditionalFormatting>
  <conditionalFormatting sqref="Q937">
    <cfRule type="duplicateValues" dxfId="1228" priority="1256"/>
  </conditionalFormatting>
  <conditionalFormatting sqref="Q937">
    <cfRule type="duplicateValues" dxfId="1227" priority="1255"/>
  </conditionalFormatting>
  <conditionalFormatting sqref="Q937">
    <cfRule type="duplicateValues" dxfId="1226" priority="1254"/>
  </conditionalFormatting>
  <conditionalFormatting sqref="Q938">
    <cfRule type="duplicateValues" dxfId="1225" priority="1253"/>
  </conditionalFormatting>
  <conditionalFormatting sqref="Q938">
    <cfRule type="duplicateValues" dxfId="1224" priority="1252"/>
  </conditionalFormatting>
  <conditionalFormatting sqref="Q938">
    <cfRule type="duplicateValues" dxfId="1223" priority="1251"/>
  </conditionalFormatting>
  <conditionalFormatting sqref="Q938">
    <cfRule type="duplicateValues" dxfId="1222" priority="1250"/>
  </conditionalFormatting>
  <conditionalFormatting sqref="Q938:R938">
    <cfRule type="duplicateValues" dxfId="1221" priority="1249"/>
  </conditionalFormatting>
  <conditionalFormatting sqref="Q938:R938">
    <cfRule type="duplicateValues" dxfId="1220" priority="1246"/>
    <cfRule type="duplicateValues" dxfId="1219" priority="1247"/>
    <cfRule type="duplicateValues" dxfId="1218" priority="1248"/>
  </conditionalFormatting>
  <conditionalFormatting sqref="R938">
    <cfRule type="duplicateValues" dxfId="1217" priority="1245"/>
  </conditionalFormatting>
  <conditionalFormatting sqref="Q938">
    <cfRule type="duplicateValues" dxfId="1216" priority="1244"/>
  </conditionalFormatting>
  <conditionalFormatting sqref="Q938">
    <cfRule type="duplicateValues" dxfId="1215" priority="1241"/>
    <cfRule type="duplicateValues" dxfId="1214" priority="1242"/>
    <cfRule type="duplicateValues" dxfId="1213" priority="1243"/>
  </conditionalFormatting>
  <conditionalFormatting sqref="R938">
    <cfRule type="duplicateValues" dxfId="1212" priority="1238"/>
    <cfRule type="duplicateValues" dxfId="1211" priority="1239"/>
    <cfRule type="duplicateValues" dxfId="1210" priority="1240"/>
  </conditionalFormatting>
  <conditionalFormatting sqref="Q938">
    <cfRule type="duplicateValues" dxfId="1209" priority="1236"/>
    <cfRule type="duplicateValues" dxfId="1208" priority="1237"/>
  </conditionalFormatting>
  <conditionalFormatting sqref="Q938">
    <cfRule type="duplicateValues" dxfId="1207" priority="1235"/>
  </conditionalFormatting>
  <conditionalFormatting sqref="Q938">
    <cfRule type="duplicateValues" dxfId="1206" priority="1234"/>
  </conditionalFormatting>
  <conditionalFormatting sqref="Q938">
    <cfRule type="duplicateValues" dxfId="1205" priority="1233"/>
  </conditionalFormatting>
  <conditionalFormatting sqref="Q938">
    <cfRule type="duplicateValues" dxfId="1204" priority="1232"/>
  </conditionalFormatting>
  <conditionalFormatting sqref="Q939:R939">
    <cfRule type="duplicateValues" dxfId="1203" priority="1229"/>
    <cfRule type="duplicateValues" dxfId="1202" priority="1230"/>
    <cfRule type="duplicateValues" dxfId="1201" priority="1231"/>
  </conditionalFormatting>
  <conditionalFormatting sqref="R939">
    <cfRule type="duplicateValues" dxfId="1200" priority="1228"/>
  </conditionalFormatting>
  <conditionalFormatting sqref="Q939:R939">
    <cfRule type="duplicateValues" dxfId="1199" priority="1227"/>
  </conditionalFormatting>
  <conditionalFormatting sqref="Q939">
    <cfRule type="duplicateValues" dxfId="1198" priority="1226"/>
  </conditionalFormatting>
  <conditionalFormatting sqref="Q939">
    <cfRule type="duplicateValues" dxfId="1197" priority="1225"/>
  </conditionalFormatting>
  <conditionalFormatting sqref="Q939">
    <cfRule type="duplicateValues" dxfId="1196" priority="1224"/>
  </conditionalFormatting>
  <conditionalFormatting sqref="Q939">
    <cfRule type="duplicateValues" dxfId="1195" priority="1223"/>
  </conditionalFormatting>
  <conditionalFormatting sqref="R939">
    <cfRule type="duplicateValues" dxfId="1194" priority="1222"/>
  </conditionalFormatting>
  <conditionalFormatting sqref="Q939">
    <cfRule type="duplicateValues" dxfId="1193" priority="1220"/>
    <cfRule type="duplicateValues" dxfId="1192" priority="1221"/>
  </conditionalFormatting>
  <conditionalFormatting sqref="Q939">
    <cfRule type="duplicateValues" dxfId="1191" priority="1219"/>
  </conditionalFormatting>
  <conditionalFormatting sqref="Q939">
    <cfRule type="duplicateValues" dxfId="1190" priority="1218"/>
  </conditionalFormatting>
  <conditionalFormatting sqref="Q939">
    <cfRule type="duplicateValues" dxfId="1189" priority="1217"/>
  </conditionalFormatting>
  <conditionalFormatting sqref="Q939">
    <cfRule type="duplicateValues" dxfId="1188" priority="1216"/>
  </conditionalFormatting>
  <conditionalFormatting sqref="Q939">
    <cfRule type="duplicateValues" dxfId="1187" priority="1215"/>
  </conditionalFormatting>
  <conditionalFormatting sqref="Q939">
    <cfRule type="duplicateValues" dxfId="1186" priority="1214"/>
  </conditionalFormatting>
  <conditionalFormatting sqref="Q939">
    <cfRule type="duplicateValues" dxfId="1185" priority="1213"/>
  </conditionalFormatting>
  <conditionalFormatting sqref="Q939">
    <cfRule type="duplicateValues" dxfId="1184" priority="1212"/>
  </conditionalFormatting>
  <conditionalFormatting sqref="Q939:R939">
    <cfRule type="duplicateValues" dxfId="1183" priority="1211"/>
  </conditionalFormatting>
  <conditionalFormatting sqref="Q939">
    <cfRule type="duplicateValues" dxfId="1182" priority="1210"/>
  </conditionalFormatting>
  <conditionalFormatting sqref="R939">
    <cfRule type="duplicateValues" dxfId="1181" priority="1209"/>
  </conditionalFormatting>
  <conditionalFormatting sqref="Q939">
    <cfRule type="duplicateValues" dxfId="1180" priority="1208"/>
  </conditionalFormatting>
  <conditionalFormatting sqref="Q939">
    <cfRule type="duplicateValues" dxfId="1179" priority="1207"/>
  </conditionalFormatting>
  <conditionalFormatting sqref="Q939">
    <cfRule type="duplicateValues" dxfId="1178" priority="1206"/>
  </conditionalFormatting>
  <conditionalFormatting sqref="Q939">
    <cfRule type="duplicateValues" dxfId="1177" priority="1205"/>
  </conditionalFormatting>
  <conditionalFormatting sqref="Q940">
    <cfRule type="duplicateValues" dxfId="1176" priority="1204"/>
  </conditionalFormatting>
  <conditionalFormatting sqref="R940">
    <cfRule type="duplicateValues" dxfId="1175" priority="1203"/>
  </conditionalFormatting>
  <conditionalFormatting sqref="Q940">
    <cfRule type="duplicateValues" dxfId="1174" priority="1201"/>
    <cfRule type="duplicateValues" dxfId="1173" priority="1202"/>
  </conditionalFormatting>
  <conditionalFormatting sqref="Q940">
    <cfRule type="duplicateValues" dxfId="1172" priority="1200"/>
  </conditionalFormatting>
  <conditionalFormatting sqref="Q940">
    <cfRule type="duplicateValues" dxfId="1171" priority="1199"/>
  </conditionalFormatting>
  <conditionalFormatting sqref="Q940">
    <cfRule type="duplicateValues" dxfId="1170" priority="1198"/>
  </conditionalFormatting>
  <conditionalFormatting sqref="Q940">
    <cfRule type="duplicateValues" dxfId="1169" priority="1197"/>
  </conditionalFormatting>
  <conditionalFormatting sqref="Q940">
    <cfRule type="duplicateValues" dxfId="1168" priority="1196"/>
  </conditionalFormatting>
  <conditionalFormatting sqref="Q940">
    <cfRule type="duplicateValues" dxfId="1167" priority="1195"/>
  </conditionalFormatting>
  <conditionalFormatting sqref="Q940">
    <cfRule type="duplicateValues" dxfId="1166" priority="1194"/>
  </conditionalFormatting>
  <conditionalFormatting sqref="Q940">
    <cfRule type="duplicateValues" dxfId="1165" priority="1193"/>
  </conditionalFormatting>
  <conditionalFormatting sqref="Q940">
    <cfRule type="duplicateValues" dxfId="1164" priority="1192"/>
  </conditionalFormatting>
  <conditionalFormatting sqref="Q940">
    <cfRule type="duplicateValues" dxfId="1163" priority="1191"/>
  </conditionalFormatting>
  <conditionalFormatting sqref="Q940">
    <cfRule type="duplicateValues" dxfId="1162" priority="1190"/>
  </conditionalFormatting>
  <conditionalFormatting sqref="Q940">
    <cfRule type="duplicateValues" dxfId="1161" priority="1187"/>
    <cfRule type="duplicateValues" dxfId="1160" priority="1188"/>
    <cfRule type="duplicateValues" dxfId="1159" priority="1189"/>
  </conditionalFormatting>
  <conditionalFormatting sqref="R940">
    <cfRule type="duplicateValues" dxfId="1158" priority="1186"/>
  </conditionalFormatting>
  <conditionalFormatting sqref="R940">
    <cfRule type="duplicateValues" dxfId="1157" priority="1183"/>
    <cfRule type="duplicateValues" dxfId="1156" priority="1184"/>
    <cfRule type="duplicateValues" dxfId="1155" priority="1185"/>
  </conditionalFormatting>
  <conditionalFormatting sqref="Q940">
    <cfRule type="duplicateValues" dxfId="1154" priority="1182"/>
  </conditionalFormatting>
  <conditionalFormatting sqref="Q940">
    <cfRule type="duplicateValues" dxfId="1153" priority="1181"/>
  </conditionalFormatting>
  <conditionalFormatting sqref="Q942">
    <cfRule type="duplicateValues" dxfId="1152" priority="1180"/>
  </conditionalFormatting>
  <conditionalFormatting sqref="Q942">
    <cfRule type="duplicateValues" dxfId="1151" priority="1179"/>
  </conditionalFormatting>
  <conditionalFormatting sqref="Q942">
    <cfRule type="duplicateValues" dxfId="1150" priority="1178"/>
  </conditionalFormatting>
  <conditionalFormatting sqref="Q942">
    <cfRule type="duplicateValues" dxfId="1149" priority="1177"/>
  </conditionalFormatting>
  <conditionalFormatting sqref="Q942">
    <cfRule type="duplicateValues" dxfId="1148" priority="1176"/>
  </conditionalFormatting>
  <conditionalFormatting sqref="Q942">
    <cfRule type="duplicateValues" dxfId="1147" priority="1175"/>
  </conditionalFormatting>
  <conditionalFormatting sqref="Q942">
    <cfRule type="duplicateValues" dxfId="1146" priority="1174"/>
  </conditionalFormatting>
  <conditionalFormatting sqref="Q942:R942">
    <cfRule type="duplicateValues" dxfId="1145" priority="1173"/>
  </conditionalFormatting>
  <conditionalFormatting sqref="Q942:R942">
    <cfRule type="duplicateValues" dxfId="1144" priority="1170"/>
    <cfRule type="duplicateValues" dxfId="1143" priority="1171"/>
    <cfRule type="duplicateValues" dxfId="1142" priority="1172"/>
  </conditionalFormatting>
  <conditionalFormatting sqref="R942">
    <cfRule type="duplicateValues" dxfId="1141" priority="1169"/>
  </conditionalFormatting>
  <conditionalFormatting sqref="Q942">
    <cfRule type="duplicateValues" dxfId="1140" priority="1168"/>
  </conditionalFormatting>
  <conditionalFormatting sqref="Q942">
    <cfRule type="duplicateValues" dxfId="1139" priority="1165"/>
    <cfRule type="duplicateValues" dxfId="1138" priority="1166"/>
    <cfRule type="duplicateValues" dxfId="1137" priority="1167"/>
  </conditionalFormatting>
  <conditionalFormatting sqref="R942">
    <cfRule type="duplicateValues" dxfId="1136" priority="1162"/>
    <cfRule type="duplicateValues" dxfId="1135" priority="1163"/>
    <cfRule type="duplicateValues" dxfId="1134" priority="1164"/>
  </conditionalFormatting>
  <conditionalFormatting sqref="Q942">
    <cfRule type="duplicateValues" dxfId="1133" priority="1160"/>
    <cfRule type="duplicateValues" dxfId="1132" priority="1161"/>
  </conditionalFormatting>
  <conditionalFormatting sqref="Q942">
    <cfRule type="duplicateValues" dxfId="1131" priority="1159"/>
  </conditionalFormatting>
  <conditionalFormatting sqref="Q942">
    <cfRule type="duplicateValues" dxfId="1130" priority="1158"/>
  </conditionalFormatting>
  <conditionalFormatting sqref="Q942">
    <cfRule type="duplicateValues" dxfId="1129" priority="1157"/>
  </conditionalFormatting>
  <conditionalFormatting sqref="Q942">
    <cfRule type="duplicateValues" dxfId="1128" priority="1156"/>
  </conditionalFormatting>
  <conditionalFormatting sqref="R943">
    <cfRule type="duplicateValues" dxfId="1127" priority="1155"/>
  </conditionalFormatting>
  <conditionalFormatting sqref="Q943:R943">
    <cfRule type="duplicateValues" dxfId="1126" priority="1154"/>
  </conditionalFormatting>
  <conditionalFormatting sqref="Q943">
    <cfRule type="duplicateValues" dxfId="1125" priority="1153"/>
  </conditionalFormatting>
  <conditionalFormatting sqref="Q943">
    <cfRule type="duplicateValues" dxfId="1124" priority="1152"/>
  </conditionalFormatting>
  <conditionalFormatting sqref="Q943">
    <cfRule type="duplicateValues" dxfId="1123" priority="1151"/>
  </conditionalFormatting>
  <conditionalFormatting sqref="Q943">
    <cfRule type="duplicateValues" dxfId="1122" priority="1150"/>
  </conditionalFormatting>
  <conditionalFormatting sqref="R943">
    <cfRule type="duplicateValues" dxfId="1121" priority="1149"/>
  </conditionalFormatting>
  <conditionalFormatting sqref="Q943">
    <cfRule type="duplicateValues" dxfId="1120" priority="1147"/>
    <cfRule type="duplicateValues" dxfId="1119" priority="1148"/>
  </conditionalFormatting>
  <conditionalFormatting sqref="Q943">
    <cfRule type="duplicateValues" dxfId="1118" priority="1146"/>
  </conditionalFormatting>
  <conditionalFormatting sqref="Q943">
    <cfRule type="duplicateValues" dxfId="1117" priority="1145"/>
  </conditionalFormatting>
  <conditionalFormatting sqref="Q943">
    <cfRule type="duplicateValues" dxfId="1116" priority="1144"/>
  </conditionalFormatting>
  <conditionalFormatting sqref="Q943">
    <cfRule type="duplicateValues" dxfId="1115" priority="1143"/>
  </conditionalFormatting>
  <conditionalFormatting sqref="Q943">
    <cfRule type="duplicateValues" dxfId="1114" priority="1142"/>
  </conditionalFormatting>
  <conditionalFormatting sqref="Q943">
    <cfRule type="duplicateValues" dxfId="1113" priority="1141"/>
  </conditionalFormatting>
  <conditionalFormatting sqref="Q943">
    <cfRule type="duplicateValues" dxfId="1112" priority="1140"/>
  </conditionalFormatting>
  <conditionalFormatting sqref="Q943">
    <cfRule type="duplicateValues" dxfId="1111" priority="1139"/>
  </conditionalFormatting>
  <conditionalFormatting sqref="Q943:R943">
    <cfRule type="duplicateValues" dxfId="1110" priority="1138"/>
  </conditionalFormatting>
  <conditionalFormatting sqref="Q943">
    <cfRule type="duplicateValues" dxfId="1109" priority="1137"/>
  </conditionalFormatting>
  <conditionalFormatting sqref="R943">
    <cfRule type="duplicateValues" dxfId="1108" priority="1136"/>
  </conditionalFormatting>
  <conditionalFormatting sqref="Q943:R943">
    <cfRule type="duplicateValues" dxfId="1107" priority="1133"/>
    <cfRule type="duplicateValues" dxfId="1106" priority="1134"/>
    <cfRule type="duplicateValues" dxfId="1105" priority="1135"/>
  </conditionalFormatting>
  <conditionalFormatting sqref="Q943">
    <cfRule type="duplicateValues" dxfId="1104" priority="1132"/>
  </conditionalFormatting>
  <conditionalFormatting sqref="Q943">
    <cfRule type="duplicateValues" dxfId="1103" priority="1131"/>
  </conditionalFormatting>
  <conditionalFormatting sqref="Q943">
    <cfRule type="duplicateValues" dxfId="1102" priority="1130"/>
  </conditionalFormatting>
  <conditionalFormatting sqref="Q943">
    <cfRule type="duplicateValues" dxfId="1101" priority="1129"/>
  </conditionalFormatting>
  <conditionalFormatting sqref="Q944:R944">
    <cfRule type="duplicateValues" dxfId="1100" priority="1126"/>
    <cfRule type="duplicateValues" dxfId="1099" priority="1127"/>
    <cfRule type="duplicateValues" dxfId="1098" priority="1128"/>
  </conditionalFormatting>
  <conditionalFormatting sqref="R944">
    <cfRule type="duplicateValues" dxfId="1097" priority="1125"/>
  </conditionalFormatting>
  <conditionalFormatting sqref="Q944:R944">
    <cfRule type="duplicateValues" dxfId="1096" priority="1124"/>
  </conditionalFormatting>
  <conditionalFormatting sqref="Q944">
    <cfRule type="duplicateValues" dxfId="1095" priority="1123"/>
  </conditionalFormatting>
  <conditionalFormatting sqref="Q944">
    <cfRule type="duplicateValues" dxfId="1094" priority="1122"/>
  </conditionalFormatting>
  <conditionalFormatting sqref="Q944">
    <cfRule type="duplicateValues" dxfId="1093" priority="1121"/>
  </conditionalFormatting>
  <conditionalFormatting sqref="Q944">
    <cfRule type="duplicateValues" dxfId="1092" priority="1120"/>
  </conditionalFormatting>
  <conditionalFormatting sqref="R944">
    <cfRule type="duplicateValues" dxfId="1091" priority="1119"/>
  </conditionalFormatting>
  <conditionalFormatting sqref="Q944">
    <cfRule type="duplicateValues" dxfId="1090" priority="1117"/>
    <cfRule type="duplicateValues" dxfId="1089" priority="1118"/>
  </conditionalFormatting>
  <conditionalFormatting sqref="Q944">
    <cfRule type="duplicateValues" dxfId="1088" priority="1116"/>
  </conditionalFormatting>
  <conditionalFormatting sqref="Q944">
    <cfRule type="duplicateValues" dxfId="1087" priority="1115"/>
  </conditionalFormatting>
  <conditionalFormatting sqref="Q944">
    <cfRule type="duplicateValues" dxfId="1086" priority="1114"/>
  </conditionalFormatting>
  <conditionalFormatting sqref="Q944">
    <cfRule type="duplicateValues" dxfId="1085" priority="1113"/>
  </conditionalFormatting>
  <conditionalFormatting sqref="Q944">
    <cfRule type="duplicateValues" dxfId="1084" priority="1112"/>
  </conditionalFormatting>
  <conditionalFormatting sqref="Q944">
    <cfRule type="duplicateValues" dxfId="1083" priority="1111"/>
  </conditionalFormatting>
  <conditionalFormatting sqref="Q944">
    <cfRule type="duplicateValues" dxfId="1082" priority="1110"/>
  </conditionalFormatting>
  <conditionalFormatting sqref="Q944">
    <cfRule type="duplicateValues" dxfId="1081" priority="1109"/>
  </conditionalFormatting>
  <conditionalFormatting sqref="Q944:R944">
    <cfRule type="duplicateValues" dxfId="1080" priority="1108"/>
  </conditionalFormatting>
  <conditionalFormatting sqref="Q944">
    <cfRule type="duplicateValues" dxfId="1079" priority="1107"/>
  </conditionalFormatting>
  <conditionalFormatting sqref="R944">
    <cfRule type="duplicateValues" dxfId="1078" priority="1106"/>
  </conditionalFormatting>
  <conditionalFormatting sqref="Q944">
    <cfRule type="duplicateValues" dxfId="1077" priority="1105"/>
  </conditionalFormatting>
  <conditionalFormatting sqref="Q944">
    <cfRule type="duplicateValues" dxfId="1076" priority="1104"/>
  </conditionalFormatting>
  <conditionalFormatting sqref="Q944">
    <cfRule type="duplicateValues" dxfId="1075" priority="1103"/>
  </conditionalFormatting>
  <conditionalFormatting sqref="Q944">
    <cfRule type="duplicateValues" dxfId="1074" priority="1102"/>
  </conditionalFormatting>
  <conditionalFormatting sqref="Q945:Q946">
    <cfRule type="duplicateValues" dxfId="1073" priority="1101"/>
  </conditionalFormatting>
  <conditionalFormatting sqref="Q945:Q946">
    <cfRule type="duplicateValues" dxfId="1072" priority="1098"/>
    <cfRule type="duplicateValues" dxfId="1071" priority="1099"/>
    <cfRule type="duplicateValues" dxfId="1070" priority="1100"/>
  </conditionalFormatting>
  <conditionalFormatting sqref="Q945:Q946">
    <cfRule type="duplicateValues" dxfId="1069" priority="1097"/>
  </conditionalFormatting>
  <conditionalFormatting sqref="Q945:Q946">
    <cfRule type="duplicateValues" dxfId="1068" priority="1096"/>
  </conditionalFormatting>
  <conditionalFormatting sqref="Q945:Q946">
    <cfRule type="duplicateValues" dxfId="1067" priority="1095"/>
  </conditionalFormatting>
  <conditionalFormatting sqref="Q945:Q946">
    <cfRule type="duplicateValues" dxfId="1066" priority="1094"/>
  </conditionalFormatting>
  <conditionalFormatting sqref="Q945:Q946">
    <cfRule type="duplicateValues" dxfId="1065" priority="1093"/>
  </conditionalFormatting>
  <conditionalFormatting sqref="R945:R946">
    <cfRule type="duplicateValues" dxfId="1064" priority="1092"/>
  </conditionalFormatting>
  <conditionalFormatting sqref="Q945:Q946">
    <cfRule type="duplicateValues" dxfId="1063" priority="1090"/>
    <cfRule type="duplicateValues" dxfId="1062" priority="1091"/>
  </conditionalFormatting>
  <conditionalFormatting sqref="Q945:Q946">
    <cfRule type="duplicateValues" dxfId="1061" priority="1089"/>
  </conditionalFormatting>
  <conditionalFormatting sqref="Q945:Q946">
    <cfRule type="duplicateValues" dxfId="1060" priority="1088"/>
  </conditionalFormatting>
  <conditionalFormatting sqref="Q945:Q946">
    <cfRule type="duplicateValues" dxfId="1059" priority="1087"/>
  </conditionalFormatting>
  <conditionalFormatting sqref="Q945:Q946">
    <cfRule type="duplicateValues" dxfId="1058" priority="1086"/>
  </conditionalFormatting>
  <conditionalFormatting sqref="Q945:Q946">
    <cfRule type="duplicateValues" dxfId="1057" priority="1085"/>
  </conditionalFormatting>
  <conditionalFormatting sqref="Q945:Q946">
    <cfRule type="duplicateValues" dxfId="1056" priority="1084"/>
  </conditionalFormatting>
  <conditionalFormatting sqref="Q945:Q946">
    <cfRule type="duplicateValues" dxfId="1055" priority="1083"/>
  </conditionalFormatting>
  <conditionalFormatting sqref="Q945:Q946">
    <cfRule type="duplicateValues" dxfId="1054" priority="1082"/>
  </conditionalFormatting>
  <conditionalFormatting sqref="R945:R946">
    <cfRule type="duplicateValues" dxfId="1053" priority="1081"/>
  </conditionalFormatting>
  <conditionalFormatting sqref="R945:R946">
    <cfRule type="duplicateValues" dxfId="1052" priority="1078"/>
    <cfRule type="duplicateValues" dxfId="1051" priority="1079"/>
    <cfRule type="duplicateValues" dxfId="1050" priority="1080"/>
  </conditionalFormatting>
  <conditionalFormatting sqref="Q945:Q946">
    <cfRule type="duplicateValues" dxfId="1049" priority="1077"/>
  </conditionalFormatting>
  <conditionalFormatting sqref="Q945:Q946">
    <cfRule type="duplicateValues" dxfId="1048" priority="1076"/>
  </conditionalFormatting>
  <conditionalFormatting sqref="Q945:Q946">
    <cfRule type="duplicateValues" dxfId="1047" priority="1075"/>
  </conditionalFormatting>
  <conditionalFormatting sqref="Q945:Q946">
    <cfRule type="duplicateValues" dxfId="1046" priority="1074"/>
  </conditionalFormatting>
  <conditionalFormatting sqref="Q947:R948">
    <cfRule type="duplicateValues" dxfId="1045" priority="1073"/>
  </conditionalFormatting>
  <conditionalFormatting sqref="Q947:R948">
    <cfRule type="duplicateValues" dxfId="1044" priority="1070"/>
    <cfRule type="duplicateValues" dxfId="1043" priority="1071"/>
    <cfRule type="duplicateValues" dxfId="1042" priority="1072"/>
  </conditionalFormatting>
  <conditionalFormatting sqref="R947:R948">
    <cfRule type="duplicateValues" dxfId="1041" priority="1069"/>
  </conditionalFormatting>
  <conditionalFormatting sqref="Q947:R948">
    <cfRule type="duplicateValues" dxfId="1040" priority="1068"/>
  </conditionalFormatting>
  <conditionalFormatting sqref="Q947:Q948">
    <cfRule type="duplicateValues" dxfId="1039" priority="1067"/>
  </conditionalFormatting>
  <conditionalFormatting sqref="Q947:Q948">
    <cfRule type="duplicateValues" dxfId="1038" priority="1066"/>
  </conditionalFormatting>
  <conditionalFormatting sqref="Q947:Q948">
    <cfRule type="duplicateValues" dxfId="1037" priority="1065"/>
  </conditionalFormatting>
  <conditionalFormatting sqref="Q947:Q948">
    <cfRule type="duplicateValues" dxfId="1036" priority="1064"/>
  </conditionalFormatting>
  <conditionalFormatting sqref="R947:R948">
    <cfRule type="duplicateValues" dxfId="1035" priority="1063"/>
  </conditionalFormatting>
  <conditionalFormatting sqref="Q947:Q948">
    <cfRule type="duplicateValues" dxfId="1034" priority="1061"/>
    <cfRule type="duplicateValues" dxfId="1033" priority="1062"/>
  </conditionalFormatting>
  <conditionalFormatting sqref="Q947:Q948">
    <cfRule type="duplicateValues" dxfId="1032" priority="1060"/>
  </conditionalFormatting>
  <conditionalFormatting sqref="Q947:Q948">
    <cfRule type="duplicateValues" dxfId="1031" priority="1059"/>
  </conditionalFormatting>
  <conditionalFormatting sqref="Q947:Q948">
    <cfRule type="duplicateValues" dxfId="1030" priority="1058"/>
  </conditionalFormatting>
  <conditionalFormatting sqref="Q947:Q948">
    <cfRule type="duplicateValues" dxfId="1029" priority="1057"/>
  </conditionalFormatting>
  <conditionalFormatting sqref="Q947:Q948">
    <cfRule type="duplicateValues" dxfId="1028" priority="1056"/>
  </conditionalFormatting>
  <conditionalFormatting sqref="Q947:Q948">
    <cfRule type="duplicateValues" dxfId="1027" priority="1055"/>
  </conditionalFormatting>
  <conditionalFormatting sqref="Q947:Q948">
    <cfRule type="duplicateValues" dxfId="1026" priority="1054"/>
  </conditionalFormatting>
  <conditionalFormatting sqref="Q947:Q948">
    <cfRule type="duplicateValues" dxfId="1025" priority="1053"/>
  </conditionalFormatting>
  <conditionalFormatting sqref="Q947:R948">
    <cfRule type="duplicateValues" dxfId="1024" priority="1052"/>
  </conditionalFormatting>
  <conditionalFormatting sqref="Q947:Q948">
    <cfRule type="duplicateValues" dxfId="1023" priority="1051"/>
  </conditionalFormatting>
  <conditionalFormatting sqref="R947:R948">
    <cfRule type="duplicateValues" dxfId="1022" priority="1050"/>
  </conditionalFormatting>
  <conditionalFormatting sqref="Q947:Q948">
    <cfRule type="duplicateValues" dxfId="1021" priority="1049"/>
  </conditionalFormatting>
  <conditionalFormatting sqref="Q947:Q948">
    <cfRule type="duplicateValues" dxfId="1020" priority="1048"/>
  </conditionalFormatting>
  <conditionalFormatting sqref="Q947:Q948">
    <cfRule type="duplicateValues" dxfId="1019" priority="1047"/>
  </conditionalFormatting>
  <conditionalFormatting sqref="Q947:Q948">
    <cfRule type="duplicateValues" dxfId="1018" priority="1046"/>
  </conditionalFormatting>
  <conditionalFormatting sqref="Q949">
    <cfRule type="duplicateValues" dxfId="1017" priority="1045"/>
  </conditionalFormatting>
  <conditionalFormatting sqref="Q949">
    <cfRule type="duplicateValues" dxfId="1016" priority="1044"/>
  </conditionalFormatting>
  <conditionalFormatting sqref="Q949">
    <cfRule type="duplicateValues" dxfId="1015" priority="1043"/>
  </conditionalFormatting>
  <conditionalFormatting sqref="Q949">
    <cfRule type="duplicateValues" dxfId="1014" priority="1042"/>
  </conditionalFormatting>
  <conditionalFormatting sqref="Q949">
    <cfRule type="duplicateValues" dxfId="1013" priority="1041"/>
  </conditionalFormatting>
  <conditionalFormatting sqref="Q949:R949">
    <cfRule type="duplicateValues" dxfId="1012" priority="1040"/>
  </conditionalFormatting>
  <conditionalFormatting sqref="Q949:R949">
    <cfRule type="duplicateValues" dxfId="1011" priority="1037"/>
    <cfRule type="duplicateValues" dxfId="1010" priority="1038"/>
    <cfRule type="duplicateValues" dxfId="1009" priority="1039"/>
  </conditionalFormatting>
  <conditionalFormatting sqref="R949">
    <cfRule type="duplicateValues" dxfId="1008" priority="1036"/>
  </conditionalFormatting>
  <conditionalFormatting sqref="Q949">
    <cfRule type="duplicateValues" dxfId="1007" priority="1035"/>
  </conditionalFormatting>
  <conditionalFormatting sqref="Q949">
    <cfRule type="duplicateValues" dxfId="1006" priority="1032"/>
    <cfRule type="duplicateValues" dxfId="1005" priority="1033"/>
    <cfRule type="duplicateValues" dxfId="1004" priority="1034"/>
  </conditionalFormatting>
  <conditionalFormatting sqref="R949">
    <cfRule type="duplicateValues" dxfId="1003" priority="1029"/>
    <cfRule type="duplicateValues" dxfId="1002" priority="1030"/>
    <cfRule type="duplicateValues" dxfId="1001" priority="1031"/>
  </conditionalFormatting>
  <conditionalFormatting sqref="Q949">
    <cfRule type="duplicateValues" dxfId="1000" priority="1027"/>
    <cfRule type="duplicateValues" dxfId="999" priority="1028"/>
  </conditionalFormatting>
  <conditionalFormatting sqref="Q949">
    <cfRule type="duplicateValues" dxfId="998" priority="1026"/>
  </conditionalFormatting>
  <conditionalFormatting sqref="Q950">
    <cfRule type="duplicateValues" dxfId="997" priority="1025"/>
  </conditionalFormatting>
  <conditionalFormatting sqref="Q950">
    <cfRule type="duplicateValues" dxfId="996" priority="1024"/>
  </conditionalFormatting>
  <conditionalFormatting sqref="Q950">
    <cfRule type="duplicateValues" dxfId="995" priority="1023"/>
  </conditionalFormatting>
  <conditionalFormatting sqref="Q950">
    <cfRule type="duplicateValues" dxfId="994" priority="1022"/>
  </conditionalFormatting>
  <conditionalFormatting sqref="Q950">
    <cfRule type="duplicateValues" dxfId="993" priority="1021"/>
  </conditionalFormatting>
  <conditionalFormatting sqref="Q950">
    <cfRule type="duplicateValues" dxfId="992" priority="1020"/>
  </conditionalFormatting>
  <conditionalFormatting sqref="Q950">
    <cfRule type="duplicateValues" dxfId="991" priority="1019"/>
  </conditionalFormatting>
  <conditionalFormatting sqref="Q950">
    <cfRule type="duplicateValues" dxfId="990" priority="1018"/>
  </conditionalFormatting>
  <conditionalFormatting sqref="Q950">
    <cfRule type="duplicateValues" dxfId="989" priority="1017"/>
  </conditionalFormatting>
  <conditionalFormatting sqref="Q950:R950">
    <cfRule type="duplicateValues" dxfId="988" priority="1016"/>
  </conditionalFormatting>
  <conditionalFormatting sqref="Q950:R950">
    <cfRule type="duplicateValues" dxfId="987" priority="1013"/>
    <cfRule type="duplicateValues" dxfId="986" priority="1014"/>
    <cfRule type="duplicateValues" dxfId="985" priority="1015"/>
  </conditionalFormatting>
  <conditionalFormatting sqref="R950">
    <cfRule type="duplicateValues" dxfId="984" priority="1012"/>
  </conditionalFormatting>
  <conditionalFormatting sqref="Q950">
    <cfRule type="duplicateValues" dxfId="983" priority="1011"/>
  </conditionalFormatting>
  <conditionalFormatting sqref="Q950">
    <cfRule type="duplicateValues" dxfId="982" priority="1008"/>
    <cfRule type="duplicateValues" dxfId="981" priority="1009"/>
    <cfRule type="duplicateValues" dxfId="980" priority="1010"/>
  </conditionalFormatting>
  <conditionalFormatting sqref="R950">
    <cfRule type="duplicateValues" dxfId="979" priority="1005"/>
    <cfRule type="duplicateValues" dxfId="978" priority="1006"/>
    <cfRule type="duplicateValues" dxfId="977" priority="1007"/>
  </conditionalFormatting>
  <conditionalFormatting sqref="Q950">
    <cfRule type="duplicateValues" dxfId="976" priority="1003"/>
    <cfRule type="duplicateValues" dxfId="975" priority="1004"/>
  </conditionalFormatting>
  <conditionalFormatting sqref="Q950">
    <cfRule type="duplicateValues" dxfId="974" priority="1002"/>
  </conditionalFormatting>
  <conditionalFormatting sqref="Q950">
    <cfRule type="duplicateValues" dxfId="973" priority="1001"/>
  </conditionalFormatting>
  <conditionalFormatting sqref="Q951">
    <cfRule type="duplicateValues" dxfId="972" priority="1000"/>
  </conditionalFormatting>
  <conditionalFormatting sqref="Q951">
    <cfRule type="duplicateValues" dxfId="971" priority="999"/>
  </conditionalFormatting>
  <conditionalFormatting sqref="Q951">
    <cfRule type="duplicateValues" dxfId="970" priority="998"/>
  </conditionalFormatting>
  <conditionalFormatting sqref="Q951">
    <cfRule type="duplicateValues" dxfId="969" priority="997"/>
  </conditionalFormatting>
  <conditionalFormatting sqref="Q951">
    <cfRule type="duplicateValues" dxfId="968" priority="996"/>
  </conditionalFormatting>
  <conditionalFormatting sqref="Q951:R951">
    <cfRule type="duplicateValues" dxfId="967" priority="995"/>
  </conditionalFormatting>
  <conditionalFormatting sqref="Q951:R951">
    <cfRule type="duplicateValues" dxfId="966" priority="992"/>
    <cfRule type="duplicateValues" dxfId="965" priority="993"/>
    <cfRule type="duplicateValues" dxfId="964" priority="994"/>
  </conditionalFormatting>
  <conditionalFormatting sqref="R951">
    <cfRule type="duplicateValues" dxfId="963" priority="991"/>
  </conditionalFormatting>
  <conditionalFormatting sqref="Q951">
    <cfRule type="duplicateValues" dxfId="962" priority="990"/>
  </conditionalFormatting>
  <conditionalFormatting sqref="Q951">
    <cfRule type="duplicateValues" dxfId="961" priority="987"/>
    <cfRule type="duplicateValues" dxfId="960" priority="988"/>
    <cfRule type="duplicateValues" dxfId="959" priority="989"/>
  </conditionalFormatting>
  <conditionalFormatting sqref="R951">
    <cfRule type="duplicateValues" dxfId="958" priority="984"/>
    <cfRule type="duplicateValues" dxfId="957" priority="985"/>
    <cfRule type="duplicateValues" dxfId="956" priority="986"/>
  </conditionalFormatting>
  <conditionalFormatting sqref="Q951">
    <cfRule type="duplicateValues" dxfId="955" priority="982"/>
    <cfRule type="duplicateValues" dxfId="954" priority="983"/>
  </conditionalFormatting>
  <conditionalFormatting sqref="Q951">
    <cfRule type="duplicateValues" dxfId="953" priority="981"/>
  </conditionalFormatting>
  <conditionalFormatting sqref="Q952">
    <cfRule type="duplicateValues" dxfId="952" priority="980"/>
  </conditionalFormatting>
  <conditionalFormatting sqref="Q952">
    <cfRule type="duplicateValues" dxfId="951" priority="979"/>
  </conditionalFormatting>
  <conditionalFormatting sqref="Q952">
    <cfRule type="duplicateValues" dxfId="950" priority="978"/>
  </conditionalFormatting>
  <conditionalFormatting sqref="Q952">
    <cfRule type="duplicateValues" dxfId="949" priority="977"/>
  </conditionalFormatting>
  <conditionalFormatting sqref="Q952:R952">
    <cfRule type="duplicateValues" dxfId="948" priority="976"/>
  </conditionalFormatting>
  <conditionalFormatting sqref="Q952:R952">
    <cfRule type="duplicateValues" dxfId="947" priority="973"/>
    <cfRule type="duplicateValues" dxfId="946" priority="974"/>
    <cfRule type="duplicateValues" dxfId="945" priority="975"/>
  </conditionalFormatting>
  <conditionalFormatting sqref="R952">
    <cfRule type="duplicateValues" dxfId="944" priority="972"/>
  </conditionalFormatting>
  <conditionalFormatting sqref="Q952">
    <cfRule type="duplicateValues" dxfId="943" priority="970"/>
    <cfRule type="duplicateValues" dxfId="942" priority="971"/>
  </conditionalFormatting>
  <conditionalFormatting sqref="Q952">
    <cfRule type="duplicateValues" dxfId="941" priority="967"/>
    <cfRule type="duplicateValues" dxfId="940" priority="968"/>
    <cfRule type="duplicateValues" dxfId="939" priority="969"/>
  </conditionalFormatting>
  <conditionalFormatting sqref="R952">
    <cfRule type="duplicateValues" dxfId="938" priority="964"/>
    <cfRule type="duplicateValues" dxfId="937" priority="965"/>
    <cfRule type="duplicateValues" dxfId="936" priority="966"/>
  </conditionalFormatting>
  <conditionalFormatting sqref="Q952">
    <cfRule type="duplicateValues" dxfId="935" priority="963"/>
  </conditionalFormatting>
  <conditionalFormatting sqref="Q953">
    <cfRule type="duplicateValues" dxfId="934" priority="962"/>
  </conditionalFormatting>
  <conditionalFormatting sqref="Q953">
    <cfRule type="duplicateValues" dxfId="933" priority="961"/>
  </conditionalFormatting>
  <conditionalFormatting sqref="Q953:R953">
    <cfRule type="duplicateValues" dxfId="932" priority="960"/>
  </conditionalFormatting>
  <conditionalFormatting sqref="Q953:R953">
    <cfRule type="duplicateValues" dxfId="931" priority="957"/>
    <cfRule type="duplicateValues" dxfId="930" priority="958"/>
    <cfRule type="duplicateValues" dxfId="929" priority="959"/>
  </conditionalFormatting>
  <conditionalFormatting sqref="R953">
    <cfRule type="duplicateValues" dxfId="928" priority="956"/>
  </conditionalFormatting>
  <conditionalFormatting sqref="Q953">
    <cfRule type="duplicateValues" dxfId="927" priority="955"/>
  </conditionalFormatting>
  <conditionalFormatting sqref="Q953">
    <cfRule type="duplicateValues" dxfId="926" priority="953"/>
    <cfRule type="duplicateValues" dxfId="925" priority="954"/>
  </conditionalFormatting>
  <conditionalFormatting sqref="Q953">
    <cfRule type="duplicateValues" dxfId="924" priority="950"/>
    <cfRule type="duplicateValues" dxfId="923" priority="951"/>
    <cfRule type="duplicateValues" dxfId="922" priority="952"/>
  </conditionalFormatting>
  <conditionalFormatting sqref="R953">
    <cfRule type="duplicateValues" dxfId="921" priority="947"/>
    <cfRule type="duplicateValues" dxfId="920" priority="948"/>
    <cfRule type="duplicateValues" dxfId="919" priority="949"/>
  </conditionalFormatting>
  <conditionalFormatting sqref="Q953">
    <cfRule type="duplicateValues" dxfId="918" priority="946"/>
  </conditionalFormatting>
  <conditionalFormatting sqref="Q953">
    <cfRule type="duplicateValues" dxfId="917" priority="945"/>
  </conditionalFormatting>
  <conditionalFormatting sqref="Q953">
    <cfRule type="duplicateValues" dxfId="916" priority="944"/>
  </conditionalFormatting>
  <conditionalFormatting sqref="Q953">
    <cfRule type="duplicateValues" dxfId="915" priority="943"/>
  </conditionalFormatting>
  <conditionalFormatting sqref="Q954">
    <cfRule type="duplicateValues" dxfId="914" priority="942"/>
  </conditionalFormatting>
  <conditionalFormatting sqref="Q954">
    <cfRule type="duplicateValues" dxfId="913" priority="941"/>
  </conditionalFormatting>
  <conditionalFormatting sqref="Q954:R954">
    <cfRule type="duplicateValues" dxfId="912" priority="940"/>
  </conditionalFormatting>
  <conditionalFormatting sqref="Q954:R954">
    <cfRule type="duplicateValues" dxfId="911" priority="937"/>
    <cfRule type="duplicateValues" dxfId="910" priority="938"/>
    <cfRule type="duplicateValues" dxfId="909" priority="939"/>
  </conditionalFormatting>
  <conditionalFormatting sqref="R954">
    <cfRule type="duplicateValues" dxfId="908" priority="936"/>
  </conditionalFormatting>
  <conditionalFormatting sqref="Q954">
    <cfRule type="duplicateValues" dxfId="907" priority="934"/>
    <cfRule type="duplicateValues" dxfId="906" priority="935"/>
  </conditionalFormatting>
  <conditionalFormatting sqref="Q954">
    <cfRule type="duplicateValues" dxfId="905" priority="931"/>
    <cfRule type="duplicateValues" dxfId="904" priority="932"/>
    <cfRule type="duplicateValues" dxfId="903" priority="933"/>
  </conditionalFormatting>
  <conditionalFormatting sqref="R954">
    <cfRule type="duplicateValues" dxfId="902" priority="928"/>
    <cfRule type="duplicateValues" dxfId="901" priority="929"/>
    <cfRule type="duplicateValues" dxfId="900" priority="930"/>
  </conditionalFormatting>
  <conditionalFormatting sqref="Q954">
    <cfRule type="duplicateValues" dxfId="899" priority="927"/>
  </conditionalFormatting>
  <conditionalFormatting sqref="Q954">
    <cfRule type="duplicateValues" dxfId="898" priority="926"/>
  </conditionalFormatting>
  <conditionalFormatting sqref="Q954">
    <cfRule type="duplicateValues" dxfId="897" priority="925"/>
  </conditionalFormatting>
  <conditionalFormatting sqref="Q954">
    <cfRule type="duplicateValues" dxfId="896" priority="924"/>
  </conditionalFormatting>
  <conditionalFormatting sqref="Q955">
    <cfRule type="duplicateValues" dxfId="895" priority="904"/>
  </conditionalFormatting>
  <conditionalFormatting sqref="Q955">
    <cfRule type="duplicateValues" dxfId="894" priority="903"/>
  </conditionalFormatting>
  <conditionalFormatting sqref="Q955:R955">
    <cfRule type="duplicateValues" dxfId="893" priority="902"/>
  </conditionalFormatting>
  <conditionalFormatting sqref="Q955:R955">
    <cfRule type="duplicateValues" dxfId="892" priority="899"/>
    <cfRule type="duplicateValues" dxfId="891" priority="900"/>
    <cfRule type="duplicateValues" dxfId="890" priority="901"/>
  </conditionalFormatting>
  <conditionalFormatting sqref="R955">
    <cfRule type="duplicateValues" dxfId="889" priority="898"/>
  </conditionalFormatting>
  <conditionalFormatting sqref="Q955">
    <cfRule type="duplicateValues" dxfId="888" priority="896"/>
    <cfRule type="duplicateValues" dxfId="887" priority="897"/>
  </conditionalFormatting>
  <conditionalFormatting sqref="Q955">
    <cfRule type="duplicateValues" dxfId="886" priority="893"/>
    <cfRule type="duplicateValues" dxfId="885" priority="894"/>
    <cfRule type="duplicateValues" dxfId="884" priority="895"/>
  </conditionalFormatting>
  <conditionalFormatting sqref="R955">
    <cfRule type="duplicateValues" dxfId="883" priority="890"/>
    <cfRule type="duplicateValues" dxfId="882" priority="891"/>
    <cfRule type="duplicateValues" dxfId="881" priority="892"/>
  </conditionalFormatting>
  <conditionalFormatting sqref="Q955">
    <cfRule type="duplicateValues" dxfId="880" priority="889"/>
  </conditionalFormatting>
  <conditionalFormatting sqref="Q955">
    <cfRule type="duplicateValues" dxfId="879" priority="888"/>
  </conditionalFormatting>
  <conditionalFormatting sqref="Q955">
    <cfRule type="duplicateValues" dxfId="878" priority="887"/>
  </conditionalFormatting>
  <conditionalFormatting sqref="Q955">
    <cfRule type="duplicateValues" dxfId="877" priority="886"/>
  </conditionalFormatting>
  <conditionalFormatting sqref="Q956">
    <cfRule type="duplicateValues" dxfId="876" priority="885"/>
  </conditionalFormatting>
  <conditionalFormatting sqref="Q956">
    <cfRule type="duplicateValues" dxfId="875" priority="884"/>
  </conditionalFormatting>
  <conditionalFormatting sqref="Q956">
    <cfRule type="duplicateValues" dxfId="874" priority="883"/>
  </conditionalFormatting>
  <conditionalFormatting sqref="Q956">
    <cfRule type="duplicateValues" dxfId="873" priority="882"/>
  </conditionalFormatting>
  <conditionalFormatting sqref="Q956:R956">
    <cfRule type="duplicateValues" dxfId="872" priority="881"/>
  </conditionalFormatting>
  <conditionalFormatting sqref="Q956:R956">
    <cfRule type="duplicateValues" dxfId="871" priority="878"/>
    <cfRule type="duplicateValues" dxfId="870" priority="879"/>
    <cfRule type="duplicateValues" dxfId="869" priority="880"/>
  </conditionalFormatting>
  <conditionalFormatting sqref="R956">
    <cfRule type="duplicateValues" dxfId="868" priority="877"/>
  </conditionalFormatting>
  <conditionalFormatting sqref="Q956">
    <cfRule type="duplicateValues" dxfId="867" priority="875"/>
    <cfRule type="duplicateValues" dxfId="866" priority="876"/>
  </conditionalFormatting>
  <conditionalFormatting sqref="Q956">
    <cfRule type="duplicateValues" dxfId="865" priority="872"/>
    <cfRule type="duplicateValues" dxfId="864" priority="873"/>
    <cfRule type="duplicateValues" dxfId="863" priority="874"/>
  </conditionalFormatting>
  <conditionalFormatting sqref="R956">
    <cfRule type="duplicateValues" dxfId="862" priority="869"/>
    <cfRule type="duplicateValues" dxfId="861" priority="870"/>
    <cfRule type="duplicateValues" dxfId="860" priority="871"/>
  </conditionalFormatting>
  <conditionalFormatting sqref="Q956">
    <cfRule type="duplicateValues" dxfId="859" priority="868"/>
  </conditionalFormatting>
  <conditionalFormatting sqref="Q957">
    <cfRule type="duplicateValues" dxfId="858" priority="867"/>
  </conditionalFormatting>
  <conditionalFormatting sqref="Q957">
    <cfRule type="duplicateValues" dxfId="857" priority="866"/>
  </conditionalFormatting>
  <conditionalFormatting sqref="Q957">
    <cfRule type="duplicateValues" dxfId="856" priority="865"/>
  </conditionalFormatting>
  <conditionalFormatting sqref="Q957">
    <cfRule type="duplicateValues" dxfId="855" priority="864"/>
  </conditionalFormatting>
  <conditionalFormatting sqref="Q957:R957">
    <cfRule type="duplicateValues" dxfId="854" priority="863"/>
  </conditionalFormatting>
  <conditionalFormatting sqref="Q957:R957">
    <cfRule type="duplicateValues" dxfId="853" priority="860"/>
    <cfRule type="duplicateValues" dxfId="852" priority="861"/>
    <cfRule type="duplicateValues" dxfId="851" priority="862"/>
  </conditionalFormatting>
  <conditionalFormatting sqref="R957">
    <cfRule type="duplicateValues" dxfId="850" priority="859"/>
  </conditionalFormatting>
  <conditionalFormatting sqref="Q957">
    <cfRule type="duplicateValues" dxfId="849" priority="858"/>
  </conditionalFormatting>
  <conditionalFormatting sqref="Q957">
    <cfRule type="duplicateValues" dxfId="848" priority="855"/>
    <cfRule type="duplicateValues" dxfId="847" priority="856"/>
    <cfRule type="duplicateValues" dxfId="846" priority="857"/>
  </conditionalFormatting>
  <conditionalFormatting sqref="R957">
    <cfRule type="duplicateValues" dxfId="845" priority="852"/>
    <cfRule type="duplicateValues" dxfId="844" priority="853"/>
    <cfRule type="duplicateValues" dxfId="843" priority="854"/>
  </conditionalFormatting>
  <conditionalFormatting sqref="Q957">
    <cfRule type="duplicateValues" dxfId="842" priority="850"/>
    <cfRule type="duplicateValues" dxfId="841" priority="851"/>
  </conditionalFormatting>
  <conditionalFormatting sqref="Q957">
    <cfRule type="duplicateValues" dxfId="840" priority="849"/>
  </conditionalFormatting>
  <conditionalFormatting sqref="Q957">
    <cfRule type="duplicateValues" dxfId="839" priority="848"/>
  </conditionalFormatting>
  <conditionalFormatting sqref="Q957">
    <cfRule type="duplicateValues" dxfId="838" priority="847"/>
  </conditionalFormatting>
  <conditionalFormatting sqref="Q957">
    <cfRule type="duplicateValues" dxfId="837" priority="846"/>
  </conditionalFormatting>
  <conditionalFormatting sqref="Q958">
    <cfRule type="duplicateValues" dxfId="836" priority="845"/>
  </conditionalFormatting>
  <conditionalFormatting sqref="Q958">
    <cfRule type="duplicateValues" dxfId="835" priority="844"/>
  </conditionalFormatting>
  <conditionalFormatting sqref="Q958:R958">
    <cfRule type="duplicateValues" dxfId="834" priority="843"/>
  </conditionalFormatting>
  <conditionalFormatting sqref="Q958:R958">
    <cfRule type="duplicateValues" dxfId="833" priority="840"/>
    <cfRule type="duplicateValues" dxfId="832" priority="841"/>
    <cfRule type="duplicateValues" dxfId="831" priority="842"/>
  </conditionalFormatting>
  <conditionalFormatting sqref="R958">
    <cfRule type="duplicateValues" dxfId="830" priority="839"/>
  </conditionalFormatting>
  <conditionalFormatting sqref="Q958">
    <cfRule type="duplicateValues" dxfId="829" priority="837"/>
    <cfRule type="duplicateValues" dxfId="828" priority="838"/>
  </conditionalFormatting>
  <conditionalFormatting sqref="Q958">
    <cfRule type="duplicateValues" dxfId="827" priority="834"/>
    <cfRule type="duplicateValues" dxfId="826" priority="835"/>
    <cfRule type="duplicateValues" dxfId="825" priority="836"/>
  </conditionalFormatting>
  <conditionalFormatting sqref="R958">
    <cfRule type="duplicateValues" dxfId="824" priority="831"/>
    <cfRule type="duplicateValues" dxfId="823" priority="832"/>
    <cfRule type="duplicateValues" dxfId="822" priority="833"/>
  </conditionalFormatting>
  <conditionalFormatting sqref="Q958">
    <cfRule type="duplicateValues" dxfId="821" priority="830"/>
  </conditionalFormatting>
  <conditionalFormatting sqref="Q958">
    <cfRule type="duplicateValues" dxfId="820" priority="829"/>
  </conditionalFormatting>
  <conditionalFormatting sqref="Q958">
    <cfRule type="duplicateValues" dxfId="819" priority="828"/>
  </conditionalFormatting>
  <conditionalFormatting sqref="Q958">
    <cfRule type="duplicateValues" dxfId="818" priority="827"/>
  </conditionalFormatting>
  <conditionalFormatting sqref="Q959">
    <cfRule type="duplicateValues" dxfId="817" priority="826"/>
  </conditionalFormatting>
  <conditionalFormatting sqref="Q959">
    <cfRule type="duplicateValues" dxfId="816" priority="825"/>
  </conditionalFormatting>
  <conditionalFormatting sqref="Q959">
    <cfRule type="duplicateValues" dxfId="815" priority="824"/>
  </conditionalFormatting>
  <conditionalFormatting sqref="Q959">
    <cfRule type="duplicateValues" dxfId="814" priority="823"/>
  </conditionalFormatting>
  <conditionalFormatting sqref="Q959:R959">
    <cfRule type="duplicateValues" dxfId="813" priority="822"/>
  </conditionalFormatting>
  <conditionalFormatting sqref="Q959:R959">
    <cfRule type="duplicateValues" dxfId="812" priority="819"/>
    <cfRule type="duplicateValues" dxfId="811" priority="820"/>
    <cfRule type="duplicateValues" dxfId="810" priority="821"/>
  </conditionalFormatting>
  <conditionalFormatting sqref="R959">
    <cfRule type="duplicateValues" dxfId="809" priority="818"/>
  </conditionalFormatting>
  <conditionalFormatting sqref="Q959">
    <cfRule type="duplicateValues" dxfId="808" priority="816"/>
    <cfRule type="duplicateValues" dxfId="807" priority="817"/>
  </conditionalFormatting>
  <conditionalFormatting sqref="Q959">
    <cfRule type="duplicateValues" dxfId="806" priority="813"/>
    <cfRule type="duplicateValues" dxfId="805" priority="814"/>
    <cfRule type="duplicateValues" dxfId="804" priority="815"/>
  </conditionalFormatting>
  <conditionalFormatting sqref="R959">
    <cfRule type="duplicateValues" dxfId="803" priority="810"/>
    <cfRule type="duplicateValues" dxfId="802" priority="811"/>
    <cfRule type="duplicateValues" dxfId="801" priority="812"/>
  </conditionalFormatting>
  <conditionalFormatting sqref="Q959">
    <cfRule type="duplicateValues" dxfId="800" priority="809"/>
  </conditionalFormatting>
  <conditionalFormatting sqref="Q960">
    <cfRule type="duplicateValues" dxfId="799" priority="794"/>
  </conditionalFormatting>
  <conditionalFormatting sqref="Q960">
    <cfRule type="duplicateValues" dxfId="798" priority="793"/>
  </conditionalFormatting>
  <conditionalFormatting sqref="Q960">
    <cfRule type="duplicateValues" dxfId="797" priority="792"/>
  </conditionalFormatting>
  <conditionalFormatting sqref="Q960">
    <cfRule type="duplicateValues" dxfId="796" priority="791"/>
  </conditionalFormatting>
  <conditionalFormatting sqref="Q960:R960">
    <cfRule type="duplicateValues" dxfId="795" priority="795"/>
  </conditionalFormatting>
  <conditionalFormatting sqref="Q960:R960">
    <cfRule type="duplicateValues" dxfId="794" priority="796"/>
    <cfRule type="duplicateValues" dxfId="793" priority="797"/>
    <cfRule type="duplicateValues" dxfId="792" priority="798"/>
  </conditionalFormatting>
  <conditionalFormatting sqref="R960">
    <cfRule type="duplicateValues" dxfId="791" priority="799"/>
  </conditionalFormatting>
  <conditionalFormatting sqref="Q960">
    <cfRule type="duplicateValues" dxfId="790" priority="800"/>
  </conditionalFormatting>
  <conditionalFormatting sqref="Q960">
    <cfRule type="duplicateValues" dxfId="789" priority="801"/>
    <cfRule type="duplicateValues" dxfId="788" priority="802"/>
    <cfRule type="duplicateValues" dxfId="787" priority="803"/>
  </conditionalFormatting>
  <conditionalFormatting sqref="R960">
    <cfRule type="duplicateValues" dxfId="786" priority="804"/>
    <cfRule type="duplicateValues" dxfId="785" priority="805"/>
    <cfRule type="duplicateValues" dxfId="784" priority="806"/>
  </conditionalFormatting>
  <conditionalFormatting sqref="Q960">
    <cfRule type="duplicateValues" dxfId="783" priority="807"/>
    <cfRule type="duplicateValues" dxfId="782" priority="808"/>
  </conditionalFormatting>
  <conditionalFormatting sqref="Q960">
    <cfRule type="duplicateValues" dxfId="781" priority="790"/>
  </conditionalFormatting>
  <conditionalFormatting sqref="Q960">
    <cfRule type="duplicateValues" dxfId="780" priority="789"/>
  </conditionalFormatting>
  <conditionalFormatting sqref="Q960">
    <cfRule type="duplicateValues" dxfId="779" priority="788"/>
  </conditionalFormatting>
  <conditionalFormatting sqref="Q960">
    <cfRule type="duplicateValues" dxfId="778" priority="787"/>
  </conditionalFormatting>
  <conditionalFormatting sqref="Q960">
    <cfRule type="duplicateValues" dxfId="777" priority="786"/>
  </conditionalFormatting>
  <conditionalFormatting sqref="Q960">
    <cfRule type="duplicateValues" dxfId="776" priority="785"/>
  </conditionalFormatting>
  <conditionalFormatting sqref="Q960">
    <cfRule type="duplicateValues" dxfId="775" priority="784"/>
  </conditionalFormatting>
  <conditionalFormatting sqref="Q961">
    <cfRule type="duplicateValues" dxfId="774" priority="783"/>
  </conditionalFormatting>
  <conditionalFormatting sqref="Q961">
    <cfRule type="duplicateValues" dxfId="773" priority="782"/>
  </conditionalFormatting>
  <conditionalFormatting sqref="Q961">
    <cfRule type="duplicateValues" dxfId="772" priority="781"/>
  </conditionalFormatting>
  <conditionalFormatting sqref="Q961">
    <cfRule type="duplicateValues" dxfId="771" priority="780"/>
  </conditionalFormatting>
  <conditionalFormatting sqref="Q961">
    <cfRule type="duplicateValues" dxfId="770" priority="779"/>
  </conditionalFormatting>
  <conditionalFormatting sqref="Q961:R961">
    <cfRule type="duplicateValues" dxfId="769" priority="778"/>
  </conditionalFormatting>
  <conditionalFormatting sqref="Q961:R961">
    <cfRule type="duplicateValues" dxfId="768" priority="775"/>
    <cfRule type="duplicateValues" dxfId="767" priority="776"/>
    <cfRule type="duplicateValues" dxfId="766" priority="777"/>
  </conditionalFormatting>
  <conditionalFormatting sqref="R961">
    <cfRule type="duplicateValues" dxfId="765" priority="774"/>
  </conditionalFormatting>
  <conditionalFormatting sqref="Q961">
    <cfRule type="duplicateValues" dxfId="764" priority="773"/>
  </conditionalFormatting>
  <conditionalFormatting sqref="Q961">
    <cfRule type="duplicateValues" dxfId="763" priority="770"/>
    <cfRule type="duplicateValues" dxfId="762" priority="771"/>
    <cfRule type="duplicateValues" dxfId="761" priority="772"/>
  </conditionalFormatting>
  <conditionalFormatting sqref="R961">
    <cfRule type="duplicateValues" dxfId="760" priority="767"/>
    <cfRule type="duplicateValues" dxfId="759" priority="768"/>
    <cfRule type="duplicateValues" dxfId="758" priority="769"/>
  </conditionalFormatting>
  <conditionalFormatting sqref="Q961">
    <cfRule type="duplicateValues" dxfId="757" priority="765"/>
    <cfRule type="duplicateValues" dxfId="756" priority="766"/>
  </conditionalFormatting>
  <conditionalFormatting sqref="Q961">
    <cfRule type="duplicateValues" dxfId="755" priority="764"/>
  </conditionalFormatting>
  <conditionalFormatting sqref="Q961">
    <cfRule type="duplicateValues" dxfId="754" priority="763"/>
  </conditionalFormatting>
  <conditionalFormatting sqref="Q961">
    <cfRule type="duplicateValues" dxfId="753" priority="762"/>
  </conditionalFormatting>
  <conditionalFormatting sqref="Q961">
    <cfRule type="duplicateValues" dxfId="752" priority="761"/>
  </conditionalFormatting>
  <conditionalFormatting sqref="Q962">
    <cfRule type="duplicateValues" dxfId="751" priority="760"/>
  </conditionalFormatting>
  <conditionalFormatting sqref="Q962">
    <cfRule type="duplicateValues" dxfId="750" priority="759"/>
  </conditionalFormatting>
  <conditionalFormatting sqref="Q962">
    <cfRule type="duplicateValues" dxfId="749" priority="758"/>
  </conditionalFormatting>
  <conditionalFormatting sqref="Q962">
    <cfRule type="duplicateValues" dxfId="748" priority="757"/>
  </conditionalFormatting>
  <conditionalFormatting sqref="Q962:R962">
    <cfRule type="duplicateValues" dxfId="747" priority="756"/>
  </conditionalFormatting>
  <conditionalFormatting sqref="Q962:R962">
    <cfRule type="duplicateValues" dxfId="746" priority="753"/>
    <cfRule type="duplicateValues" dxfId="745" priority="754"/>
    <cfRule type="duplicateValues" dxfId="744" priority="755"/>
  </conditionalFormatting>
  <conditionalFormatting sqref="R962">
    <cfRule type="duplicateValues" dxfId="743" priority="752"/>
  </conditionalFormatting>
  <conditionalFormatting sqref="Q962">
    <cfRule type="duplicateValues" dxfId="742" priority="750"/>
    <cfRule type="duplicateValues" dxfId="741" priority="751"/>
  </conditionalFormatting>
  <conditionalFormatting sqref="Q962">
    <cfRule type="duplicateValues" dxfId="740" priority="747"/>
    <cfRule type="duplicateValues" dxfId="739" priority="748"/>
    <cfRule type="duplicateValues" dxfId="738" priority="749"/>
  </conditionalFormatting>
  <conditionalFormatting sqref="R962">
    <cfRule type="duplicateValues" dxfId="737" priority="744"/>
    <cfRule type="duplicateValues" dxfId="736" priority="745"/>
    <cfRule type="duplicateValues" dxfId="735" priority="746"/>
  </conditionalFormatting>
  <conditionalFormatting sqref="Q962">
    <cfRule type="duplicateValues" dxfId="734" priority="743"/>
  </conditionalFormatting>
  <conditionalFormatting sqref="Q963">
    <cfRule type="duplicateValues" dxfId="733" priority="742"/>
  </conditionalFormatting>
  <conditionalFormatting sqref="Q963">
    <cfRule type="duplicateValues" dxfId="732" priority="741"/>
  </conditionalFormatting>
  <conditionalFormatting sqref="Q963:R963">
    <cfRule type="duplicateValues" dxfId="731" priority="740"/>
  </conditionalFormatting>
  <conditionalFormatting sqref="Q963:R963">
    <cfRule type="duplicateValues" dxfId="730" priority="737"/>
    <cfRule type="duplicateValues" dxfId="729" priority="738"/>
    <cfRule type="duplicateValues" dxfId="728" priority="739"/>
  </conditionalFormatting>
  <conditionalFormatting sqref="R963">
    <cfRule type="duplicateValues" dxfId="727" priority="736"/>
  </conditionalFormatting>
  <conditionalFormatting sqref="Q963">
    <cfRule type="duplicateValues" dxfId="726" priority="734"/>
    <cfRule type="duplicateValues" dxfId="725" priority="735"/>
  </conditionalFormatting>
  <conditionalFormatting sqref="Q963">
    <cfRule type="duplicateValues" dxfId="724" priority="731"/>
    <cfRule type="duplicateValues" dxfId="723" priority="732"/>
    <cfRule type="duplicateValues" dxfId="722" priority="733"/>
  </conditionalFormatting>
  <conditionalFormatting sqref="R963">
    <cfRule type="duplicateValues" dxfId="721" priority="728"/>
    <cfRule type="duplicateValues" dxfId="720" priority="729"/>
    <cfRule type="duplicateValues" dxfId="719" priority="730"/>
  </conditionalFormatting>
  <conditionalFormatting sqref="Q963">
    <cfRule type="duplicateValues" dxfId="718" priority="727"/>
  </conditionalFormatting>
  <conditionalFormatting sqref="Q963">
    <cfRule type="duplicateValues" dxfId="717" priority="726"/>
  </conditionalFormatting>
  <conditionalFormatting sqref="Q963">
    <cfRule type="duplicateValues" dxfId="716" priority="725"/>
  </conditionalFormatting>
  <conditionalFormatting sqref="Q963">
    <cfRule type="duplicateValues" dxfId="715" priority="724"/>
  </conditionalFormatting>
  <conditionalFormatting sqref="Q964">
    <cfRule type="duplicateValues" dxfId="714" priority="723"/>
  </conditionalFormatting>
  <conditionalFormatting sqref="Q964">
    <cfRule type="duplicateValues" dxfId="713" priority="722"/>
  </conditionalFormatting>
  <conditionalFormatting sqref="Q964">
    <cfRule type="duplicateValues" dxfId="712" priority="721"/>
  </conditionalFormatting>
  <conditionalFormatting sqref="Q964">
    <cfRule type="duplicateValues" dxfId="711" priority="720"/>
  </conditionalFormatting>
  <conditionalFormatting sqref="Q964:R964">
    <cfRule type="duplicateValues" dxfId="710" priority="719"/>
  </conditionalFormatting>
  <conditionalFormatting sqref="Q964:R964">
    <cfRule type="duplicateValues" dxfId="709" priority="716"/>
    <cfRule type="duplicateValues" dxfId="708" priority="717"/>
    <cfRule type="duplicateValues" dxfId="707" priority="718"/>
  </conditionalFormatting>
  <conditionalFormatting sqref="R964">
    <cfRule type="duplicateValues" dxfId="706" priority="715"/>
  </conditionalFormatting>
  <conditionalFormatting sqref="Q964">
    <cfRule type="duplicateValues" dxfId="705" priority="713"/>
    <cfRule type="duplicateValues" dxfId="704" priority="714"/>
  </conditionalFormatting>
  <conditionalFormatting sqref="Q964">
    <cfRule type="duplicateValues" dxfId="703" priority="710"/>
    <cfRule type="duplicateValues" dxfId="702" priority="711"/>
    <cfRule type="duplicateValues" dxfId="701" priority="712"/>
  </conditionalFormatting>
  <conditionalFormatting sqref="R964">
    <cfRule type="duplicateValues" dxfId="700" priority="707"/>
    <cfRule type="duplicateValues" dxfId="699" priority="708"/>
    <cfRule type="duplicateValues" dxfId="698" priority="709"/>
  </conditionalFormatting>
  <conditionalFormatting sqref="Q964">
    <cfRule type="duplicateValues" dxfId="697" priority="706"/>
  </conditionalFormatting>
  <conditionalFormatting sqref="Q965:Q966">
    <cfRule type="duplicateValues" dxfId="696" priority="705"/>
  </conditionalFormatting>
  <conditionalFormatting sqref="Q965:Q966">
    <cfRule type="duplicateValues" dxfId="695" priority="704"/>
  </conditionalFormatting>
  <conditionalFormatting sqref="Q965:Q966">
    <cfRule type="duplicateValues" dxfId="694" priority="703"/>
  </conditionalFormatting>
  <conditionalFormatting sqref="Q965:Q966">
    <cfRule type="duplicateValues" dxfId="693" priority="702"/>
  </conditionalFormatting>
  <conditionalFormatting sqref="Q965:Q966">
    <cfRule type="duplicateValues" dxfId="692" priority="701"/>
  </conditionalFormatting>
  <conditionalFormatting sqref="Q965:R966">
    <cfRule type="duplicateValues" dxfId="691" priority="700"/>
  </conditionalFormatting>
  <conditionalFormatting sqref="Q965:R966">
    <cfRule type="duplicateValues" dxfId="690" priority="697"/>
    <cfRule type="duplicateValues" dxfId="689" priority="698"/>
    <cfRule type="duplicateValues" dxfId="688" priority="699"/>
  </conditionalFormatting>
  <conditionalFormatting sqref="R965:R966">
    <cfRule type="duplicateValues" dxfId="687" priority="696"/>
  </conditionalFormatting>
  <conditionalFormatting sqref="Q965:Q966">
    <cfRule type="duplicateValues" dxfId="686" priority="695"/>
  </conditionalFormatting>
  <conditionalFormatting sqref="Q965:Q966">
    <cfRule type="duplicateValues" dxfId="685" priority="692"/>
    <cfRule type="duplicateValues" dxfId="684" priority="693"/>
    <cfRule type="duplicateValues" dxfId="683" priority="694"/>
  </conditionalFormatting>
  <conditionalFormatting sqref="R965:R966">
    <cfRule type="duplicateValues" dxfId="682" priority="689"/>
    <cfRule type="duplicateValues" dxfId="681" priority="690"/>
    <cfRule type="duplicateValues" dxfId="680" priority="691"/>
  </conditionalFormatting>
  <conditionalFormatting sqref="Q965:Q966">
    <cfRule type="duplicateValues" dxfId="679" priority="687"/>
    <cfRule type="duplicateValues" dxfId="678" priority="688"/>
  </conditionalFormatting>
  <conditionalFormatting sqref="Q965:Q966">
    <cfRule type="duplicateValues" dxfId="677" priority="686"/>
  </conditionalFormatting>
  <conditionalFormatting sqref="Q965:Q966">
    <cfRule type="duplicateValues" dxfId="676" priority="685"/>
  </conditionalFormatting>
  <conditionalFormatting sqref="Q965:Q966">
    <cfRule type="duplicateValues" dxfId="675" priority="684"/>
  </conditionalFormatting>
  <conditionalFormatting sqref="Q965:Q966">
    <cfRule type="duplicateValues" dxfId="674" priority="683"/>
  </conditionalFormatting>
  <conditionalFormatting sqref="Q967">
    <cfRule type="duplicateValues" dxfId="673" priority="682"/>
  </conditionalFormatting>
  <conditionalFormatting sqref="Q967">
    <cfRule type="duplicateValues" dxfId="672" priority="681"/>
  </conditionalFormatting>
  <conditionalFormatting sqref="Q967">
    <cfRule type="duplicateValues" dxfId="671" priority="680"/>
  </conditionalFormatting>
  <conditionalFormatting sqref="Q967">
    <cfRule type="duplicateValues" dxfId="670" priority="679"/>
  </conditionalFormatting>
  <conditionalFormatting sqref="Q967:R967">
    <cfRule type="duplicateValues" dxfId="669" priority="678"/>
  </conditionalFormatting>
  <conditionalFormatting sqref="Q967:R967">
    <cfRule type="duplicateValues" dxfId="668" priority="675"/>
    <cfRule type="duplicateValues" dxfId="667" priority="676"/>
    <cfRule type="duplicateValues" dxfId="666" priority="677"/>
  </conditionalFormatting>
  <conditionalFormatting sqref="R967">
    <cfRule type="duplicateValues" dxfId="665" priority="674"/>
  </conditionalFormatting>
  <conditionalFormatting sqref="Q967">
    <cfRule type="duplicateValues" dxfId="664" priority="672"/>
    <cfRule type="duplicateValues" dxfId="663" priority="673"/>
  </conditionalFormatting>
  <conditionalFormatting sqref="Q967">
    <cfRule type="duplicateValues" dxfId="662" priority="669"/>
    <cfRule type="duplicateValues" dxfId="661" priority="670"/>
    <cfRule type="duplicateValues" dxfId="660" priority="671"/>
  </conditionalFormatting>
  <conditionalFormatting sqref="R967">
    <cfRule type="duplicateValues" dxfId="659" priority="666"/>
    <cfRule type="duplicateValues" dxfId="658" priority="667"/>
    <cfRule type="duplicateValues" dxfId="657" priority="668"/>
  </conditionalFormatting>
  <conditionalFormatting sqref="Q967">
    <cfRule type="duplicateValues" dxfId="656" priority="665"/>
  </conditionalFormatting>
  <conditionalFormatting sqref="Q968:Q969">
    <cfRule type="duplicateValues" dxfId="655" priority="664"/>
  </conditionalFormatting>
  <conditionalFormatting sqref="Q968:Q969">
    <cfRule type="duplicateValues" dxfId="654" priority="663"/>
  </conditionalFormatting>
  <conditionalFormatting sqref="Q968:Q969">
    <cfRule type="duplicateValues" dxfId="653" priority="662"/>
  </conditionalFormatting>
  <conditionalFormatting sqref="Q968:Q969">
    <cfRule type="duplicateValues" dxfId="652" priority="661"/>
  </conditionalFormatting>
  <conditionalFormatting sqref="Q968:Q969">
    <cfRule type="duplicateValues" dxfId="651" priority="660"/>
  </conditionalFormatting>
  <conditionalFormatting sqref="Q968:Q969">
    <cfRule type="duplicateValues" dxfId="650" priority="659"/>
  </conditionalFormatting>
  <conditionalFormatting sqref="Q968:Q969">
    <cfRule type="duplicateValues" dxfId="649" priority="658"/>
  </conditionalFormatting>
  <conditionalFormatting sqref="Q968:R969">
    <cfRule type="duplicateValues" dxfId="648" priority="657"/>
  </conditionalFormatting>
  <conditionalFormatting sqref="Q968:R969">
    <cfRule type="duplicateValues" dxfId="647" priority="654"/>
    <cfRule type="duplicateValues" dxfId="646" priority="655"/>
    <cfRule type="duplicateValues" dxfId="645" priority="656"/>
  </conditionalFormatting>
  <conditionalFormatting sqref="R968:R969">
    <cfRule type="duplicateValues" dxfId="644" priority="653"/>
  </conditionalFormatting>
  <conditionalFormatting sqref="Q968:Q969">
    <cfRule type="duplicateValues" dxfId="643" priority="652"/>
  </conditionalFormatting>
  <conditionalFormatting sqref="Q968:Q969">
    <cfRule type="duplicateValues" dxfId="642" priority="649"/>
    <cfRule type="duplicateValues" dxfId="641" priority="650"/>
    <cfRule type="duplicateValues" dxfId="640" priority="651"/>
  </conditionalFormatting>
  <conditionalFormatting sqref="R968:R969">
    <cfRule type="duplicateValues" dxfId="639" priority="646"/>
    <cfRule type="duplicateValues" dxfId="638" priority="647"/>
    <cfRule type="duplicateValues" dxfId="637" priority="648"/>
  </conditionalFormatting>
  <conditionalFormatting sqref="Q968:Q969">
    <cfRule type="duplicateValues" dxfId="636" priority="644"/>
    <cfRule type="duplicateValues" dxfId="635" priority="645"/>
  </conditionalFormatting>
  <conditionalFormatting sqref="Q968:Q969">
    <cfRule type="duplicateValues" dxfId="634" priority="643"/>
  </conditionalFormatting>
  <conditionalFormatting sqref="Q968:Q969">
    <cfRule type="duplicateValues" dxfId="633" priority="642"/>
  </conditionalFormatting>
  <conditionalFormatting sqref="Q968:Q969">
    <cfRule type="duplicateValues" dxfId="632" priority="641"/>
  </conditionalFormatting>
  <conditionalFormatting sqref="Q968:Q969">
    <cfRule type="duplicateValues" dxfId="631" priority="640"/>
  </conditionalFormatting>
  <conditionalFormatting sqref="Q970">
    <cfRule type="duplicateValues" dxfId="630" priority="639"/>
  </conditionalFormatting>
  <conditionalFormatting sqref="Q970">
    <cfRule type="duplicateValues" dxfId="629" priority="638"/>
  </conditionalFormatting>
  <conditionalFormatting sqref="Q970">
    <cfRule type="duplicateValues" dxfId="628" priority="637"/>
  </conditionalFormatting>
  <conditionalFormatting sqref="Q970">
    <cfRule type="duplicateValues" dxfId="627" priority="636"/>
  </conditionalFormatting>
  <conditionalFormatting sqref="Q970:R970">
    <cfRule type="duplicateValues" dxfId="626" priority="635"/>
  </conditionalFormatting>
  <conditionalFormatting sqref="Q970:R970">
    <cfRule type="duplicateValues" dxfId="625" priority="632"/>
    <cfRule type="duplicateValues" dxfId="624" priority="633"/>
    <cfRule type="duplicateValues" dxfId="623" priority="634"/>
  </conditionalFormatting>
  <conditionalFormatting sqref="R970">
    <cfRule type="duplicateValues" dxfId="622" priority="631"/>
  </conditionalFormatting>
  <conditionalFormatting sqref="Q970">
    <cfRule type="duplicateValues" dxfId="621" priority="630"/>
  </conditionalFormatting>
  <conditionalFormatting sqref="Q970">
    <cfRule type="duplicateValues" dxfId="620" priority="627"/>
    <cfRule type="duplicateValues" dxfId="619" priority="628"/>
    <cfRule type="duplicateValues" dxfId="618" priority="629"/>
  </conditionalFormatting>
  <conditionalFormatting sqref="R970">
    <cfRule type="duplicateValues" dxfId="617" priority="624"/>
    <cfRule type="duplicateValues" dxfId="616" priority="625"/>
    <cfRule type="duplicateValues" dxfId="615" priority="626"/>
  </conditionalFormatting>
  <conditionalFormatting sqref="Q970">
    <cfRule type="duplicateValues" dxfId="614" priority="622"/>
    <cfRule type="duplicateValues" dxfId="613" priority="623"/>
  </conditionalFormatting>
  <conditionalFormatting sqref="Q970">
    <cfRule type="duplicateValues" dxfId="612" priority="621"/>
  </conditionalFormatting>
  <conditionalFormatting sqref="Q970">
    <cfRule type="duplicateValues" dxfId="611" priority="620"/>
  </conditionalFormatting>
  <conditionalFormatting sqref="Q970">
    <cfRule type="duplicateValues" dxfId="610" priority="619"/>
  </conditionalFormatting>
  <conditionalFormatting sqref="Q970">
    <cfRule type="duplicateValues" dxfId="609" priority="618"/>
  </conditionalFormatting>
  <conditionalFormatting sqref="Q971">
    <cfRule type="duplicateValues" dxfId="608" priority="617"/>
  </conditionalFormatting>
  <conditionalFormatting sqref="Q971">
    <cfRule type="duplicateValues" dxfId="607" priority="616"/>
  </conditionalFormatting>
  <conditionalFormatting sqref="Q971">
    <cfRule type="duplicateValues" dxfId="606" priority="615"/>
  </conditionalFormatting>
  <conditionalFormatting sqref="Q971">
    <cfRule type="duplicateValues" dxfId="605" priority="614"/>
  </conditionalFormatting>
  <conditionalFormatting sqref="Q971:R971">
    <cfRule type="duplicateValues" dxfId="604" priority="613"/>
  </conditionalFormatting>
  <conditionalFormatting sqref="Q971:R971">
    <cfRule type="duplicateValues" dxfId="603" priority="610"/>
    <cfRule type="duplicateValues" dxfId="602" priority="611"/>
    <cfRule type="duplicateValues" dxfId="601" priority="612"/>
  </conditionalFormatting>
  <conditionalFormatting sqref="R971">
    <cfRule type="duplicateValues" dxfId="600" priority="609"/>
  </conditionalFormatting>
  <conditionalFormatting sqref="Q971">
    <cfRule type="duplicateValues" dxfId="599" priority="607"/>
    <cfRule type="duplicateValues" dxfId="598" priority="608"/>
  </conditionalFormatting>
  <conditionalFormatting sqref="Q971">
    <cfRule type="duplicateValues" dxfId="597" priority="604"/>
    <cfRule type="duplicateValues" dxfId="596" priority="605"/>
    <cfRule type="duplicateValues" dxfId="595" priority="606"/>
  </conditionalFormatting>
  <conditionalFormatting sqref="R971">
    <cfRule type="duplicateValues" dxfId="594" priority="601"/>
    <cfRule type="duplicateValues" dxfId="593" priority="602"/>
    <cfRule type="duplicateValues" dxfId="592" priority="603"/>
  </conditionalFormatting>
  <conditionalFormatting sqref="Q971">
    <cfRule type="duplicateValues" dxfId="591" priority="600"/>
  </conditionalFormatting>
  <conditionalFormatting sqref="Q972">
    <cfRule type="duplicateValues" dxfId="590" priority="599"/>
  </conditionalFormatting>
  <conditionalFormatting sqref="Q972">
    <cfRule type="duplicateValues" dxfId="589" priority="598"/>
  </conditionalFormatting>
  <conditionalFormatting sqref="Q972">
    <cfRule type="duplicateValues" dxfId="588" priority="597"/>
  </conditionalFormatting>
  <conditionalFormatting sqref="Q972">
    <cfRule type="duplicateValues" dxfId="587" priority="596"/>
  </conditionalFormatting>
  <conditionalFormatting sqref="Q972">
    <cfRule type="duplicateValues" dxfId="586" priority="595"/>
  </conditionalFormatting>
  <conditionalFormatting sqref="Q972:R972">
    <cfRule type="duplicateValues" dxfId="585" priority="594"/>
  </conditionalFormatting>
  <conditionalFormatting sqref="Q972:R972">
    <cfRule type="duplicateValues" dxfId="584" priority="591"/>
    <cfRule type="duplicateValues" dxfId="583" priority="592"/>
    <cfRule type="duplicateValues" dxfId="582" priority="593"/>
  </conditionalFormatting>
  <conditionalFormatting sqref="R972">
    <cfRule type="duplicateValues" dxfId="581" priority="590"/>
  </conditionalFormatting>
  <conditionalFormatting sqref="Q972">
    <cfRule type="duplicateValues" dxfId="580" priority="589"/>
  </conditionalFormatting>
  <conditionalFormatting sqref="Q972">
    <cfRule type="duplicateValues" dxfId="579" priority="586"/>
    <cfRule type="duplicateValues" dxfId="578" priority="587"/>
    <cfRule type="duplicateValues" dxfId="577" priority="588"/>
  </conditionalFormatting>
  <conditionalFormatting sqref="R972">
    <cfRule type="duplicateValues" dxfId="576" priority="583"/>
    <cfRule type="duplicateValues" dxfId="575" priority="584"/>
    <cfRule type="duplicateValues" dxfId="574" priority="585"/>
  </conditionalFormatting>
  <conditionalFormatting sqref="Q972">
    <cfRule type="duplicateValues" dxfId="573" priority="581"/>
    <cfRule type="duplicateValues" dxfId="572" priority="582"/>
  </conditionalFormatting>
  <conditionalFormatting sqref="Q972">
    <cfRule type="duplicateValues" dxfId="571" priority="580"/>
  </conditionalFormatting>
  <conditionalFormatting sqref="Q973">
    <cfRule type="duplicateValues" dxfId="570" priority="579"/>
  </conditionalFormatting>
  <conditionalFormatting sqref="Q973">
    <cfRule type="duplicateValues" dxfId="569" priority="578"/>
  </conditionalFormatting>
  <conditionalFormatting sqref="Q973">
    <cfRule type="duplicateValues" dxfId="568" priority="577"/>
  </conditionalFormatting>
  <conditionalFormatting sqref="Q973">
    <cfRule type="duplicateValues" dxfId="567" priority="576"/>
  </conditionalFormatting>
  <conditionalFormatting sqref="Q973">
    <cfRule type="duplicateValues" dxfId="566" priority="575"/>
  </conditionalFormatting>
  <conditionalFormatting sqref="Q973">
    <cfRule type="duplicateValues" dxfId="565" priority="574"/>
  </conditionalFormatting>
  <conditionalFormatting sqref="Q973">
    <cfRule type="duplicateValues" dxfId="564" priority="573"/>
  </conditionalFormatting>
  <conditionalFormatting sqref="Q973:R973">
    <cfRule type="duplicateValues" dxfId="563" priority="572"/>
  </conditionalFormatting>
  <conditionalFormatting sqref="Q973:R973">
    <cfRule type="duplicateValues" dxfId="562" priority="569"/>
    <cfRule type="duplicateValues" dxfId="561" priority="570"/>
    <cfRule type="duplicateValues" dxfId="560" priority="571"/>
  </conditionalFormatting>
  <conditionalFormatting sqref="R973">
    <cfRule type="duplicateValues" dxfId="559" priority="568"/>
  </conditionalFormatting>
  <conditionalFormatting sqref="Q973">
    <cfRule type="duplicateValues" dxfId="558" priority="567"/>
  </conditionalFormatting>
  <conditionalFormatting sqref="Q973">
    <cfRule type="duplicateValues" dxfId="557" priority="564"/>
    <cfRule type="duplicateValues" dxfId="556" priority="565"/>
    <cfRule type="duplicateValues" dxfId="555" priority="566"/>
  </conditionalFormatting>
  <conditionalFormatting sqref="R973">
    <cfRule type="duplicateValues" dxfId="554" priority="561"/>
    <cfRule type="duplicateValues" dxfId="553" priority="562"/>
    <cfRule type="duplicateValues" dxfId="552" priority="563"/>
  </conditionalFormatting>
  <conditionalFormatting sqref="Q973">
    <cfRule type="duplicateValues" dxfId="551" priority="559"/>
    <cfRule type="duplicateValues" dxfId="550" priority="560"/>
  </conditionalFormatting>
  <conditionalFormatting sqref="Q973">
    <cfRule type="duplicateValues" dxfId="549" priority="558"/>
  </conditionalFormatting>
  <conditionalFormatting sqref="Q973">
    <cfRule type="duplicateValues" dxfId="548" priority="557"/>
  </conditionalFormatting>
  <conditionalFormatting sqref="Q973">
    <cfRule type="duplicateValues" dxfId="547" priority="556"/>
  </conditionalFormatting>
  <conditionalFormatting sqref="Q973">
    <cfRule type="duplicateValues" dxfId="546" priority="555"/>
  </conditionalFormatting>
  <conditionalFormatting sqref="Q974">
    <cfRule type="duplicateValues" dxfId="545" priority="540"/>
  </conditionalFormatting>
  <conditionalFormatting sqref="Q974:R974">
    <cfRule type="duplicateValues" dxfId="544" priority="541"/>
  </conditionalFormatting>
  <conditionalFormatting sqref="Q974:R974">
    <cfRule type="duplicateValues" dxfId="543" priority="542"/>
    <cfRule type="duplicateValues" dxfId="542" priority="543"/>
    <cfRule type="duplicateValues" dxfId="541" priority="544"/>
  </conditionalFormatting>
  <conditionalFormatting sqref="R974">
    <cfRule type="duplicateValues" dxfId="540" priority="545"/>
  </conditionalFormatting>
  <conditionalFormatting sqref="Q974">
    <cfRule type="duplicateValues" dxfId="539" priority="546"/>
  </conditionalFormatting>
  <conditionalFormatting sqref="Q974">
    <cfRule type="duplicateValues" dxfId="538" priority="547"/>
    <cfRule type="duplicateValues" dxfId="537" priority="548"/>
  </conditionalFormatting>
  <conditionalFormatting sqref="Q974">
    <cfRule type="duplicateValues" dxfId="536" priority="549"/>
    <cfRule type="duplicateValues" dxfId="535" priority="550"/>
    <cfRule type="duplicateValues" dxfId="534" priority="551"/>
  </conditionalFormatting>
  <conditionalFormatting sqref="R974">
    <cfRule type="duplicateValues" dxfId="533" priority="552"/>
    <cfRule type="duplicateValues" dxfId="532" priority="553"/>
    <cfRule type="duplicateValues" dxfId="531" priority="554"/>
  </conditionalFormatting>
  <conditionalFormatting sqref="Q974">
    <cfRule type="duplicateValues" dxfId="530" priority="539"/>
  </conditionalFormatting>
  <conditionalFormatting sqref="Q974">
    <cfRule type="duplicateValues" dxfId="529" priority="538"/>
  </conditionalFormatting>
  <conditionalFormatting sqref="Q974">
    <cfRule type="duplicateValues" dxfId="528" priority="537"/>
  </conditionalFormatting>
  <conditionalFormatting sqref="Q974">
    <cfRule type="duplicateValues" dxfId="527" priority="536"/>
  </conditionalFormatting>
  <conditionalFormatting sqref="Q974">
    <cfRule type="duplicateValues" dxfId="526" priority="535"/>
  </conditionalFormatting>
  <conditionalFormatting sqref="Q975:R975">
    <cfRule type="duplicateValues" dxfId="525" priority="534"/>
  </conditionalFormatting>
  <conditionalFormatting sqref="Q975:R975">
    <cfRule type="duplicateValues" dxfId="524" priority="531"/>
    <cfRule type="duplicateValues" dxfId="523" priority="532"/>
    <cfRule type="duplicateValues" dxfId="522" priority="533"/>
  </conditionalFormatting>
  <conditionalFormatting sqref="R975">
    <cfRule type="duplicateValues" dxfId="521" priority="530"/>
  </conditionalFormatting>
  <conditionalFormatting sqref="Q975">
    <cfRule type="duplicateValues" dxfId="520" priority="529"/>
  </conditionalFormatting>
  <conditionalFormatting sqref="Q975">
    <cfRule type="duplicateValues" dxfId="519" priority="526"/>
    <cfRule type="duplicateValues" dxfId="518" priority="527"/>
    <cfRule type="duplicateValues" dxfId="517" priority="528"/>
  </conditionalFormatting>
  <conditionalFormatting sqref="R975">
    <cfRule type="duplicateValues" dxfId="516" priority="523"/>
    <cfRule type="duplicateValues" dxfId="515" priority="524"/>
    <cfRule type="duplicateValues" dxfId="514" priority="525"/>
  </conditionalFormatting>
  <conditionalFormatting sqref="Q975">
    <cfRule type="duplicateValues" dxfId="513" priority="521"/>
    <cfRule type="duplicateValues" dxfId="512" priority="522"/>
  </conditionalFormatting>
  <conditionalFormatting sqref="Q975">
    <cfRule type="duplicateValues" dxfId="511" priority="520"/>
  </conditionalFormatting>
  <conditionalFormatting sqref="Q975">
    <cfRule type="duplicateValues" dxfId="510" priority="519"/>
  </conditionalFormatting>
  <conditionalFormatting sqref="Q975">
    <cfRule type="duplicateValues" dxfId="509" priority="518"/>
  </conditionalFormatting>
  <conditionalFormatting sqref="Q975">
    <cfRule type="duplicateValues" dxfId="508" priority="517"/>
  </conditionalFormatting>
  <conditionalFormatting sqref="Q975">
    <cfRule type="duplicateValues" dxfId="507" priority="516"/>
  </conditionalFormatting>
  <conditionalFormatting sqref="Q975">
    <cfRule type="duplicateValues" dxfId="506" priority="515"/>
  </conditionalFormatting>
  <conditionalFormatting sqref="Q975">
    <cfRule type="duplicateValues" dxfId="505" priority="514"/>
  </conditionalFormatting>
  <conditionalFormatting sqref="Q975">
    <cfRule type="duplicateValues" dxfId="504" priority="513"/>
  </conditionalFormatting>
  <conditionalFormatting sqref="Q975">
    <cfRule type="duplicateValues" dxfId="503" priority="512"/>
  </conditionalFormatting>
  <conditionalFormatting sqref="Q976">
    <cfRule type="duplicateValues" dxfId="502" priority="511"/>
  </conditionalFormatting>
  <conditionalFormatting sqref="Q976">
    <cfRule type="duplicateValues" dxfId="501" priority="510"/>
  </conditionalFormatting>
  <conditionalFormatting sqref="Q976">
    <cfRule type="duplicateValues" dxfId="500" priority="509"/>
  </conditionalFormatting>
  <conditionalFormatting sqref="Q976">
    <cfRule type="duplicateValues" dxfId="499" priority="508"/>
  </conditionalFormatting>
  <conditionalFormatting sqref="Q976">
    <cfRule type="duplicateValues" dxfId="498" priority="507"/>
  </conditionalFormatting>
  <conditionalFormatting sqref="Q976">
    <cfRule type="duplicateValues" dxfId="497" priority="506"/>
  </conditionalFormatting>
  <conditionalFormatting sqref="Q976:R976">
    <cfRule type="duplicateValues" dxfId="496" priority="505"/>
  </conditionalFormatting>
  <conditionalFormatting sqref="Q976:R976">
    <cfRule type="duplicateValues" dxfId="495" priority="502"/>
    <cfRule type="duplicateValues" dxfId="494" priority="503"/>
    <cfRule type="duplicateValues" dxfId="493" priority="504"/>
  </conditionalFormatting>
  <conditionalFormatting sqref="R976">
    <cfRule type="duplicateValues" dxfId="492" priority="501"/>
  </conditionalFormatting>
  <conditionalFormatting sqref="Q976">
    <cfRule type="duplicateValues" dxfId="491" priority="500"/>
  </conditionalFormatting>
  <conditionalFormatting sqref="Q976">
    <cfRule type="duplicateValues" dxfId="490" priority="497"/>
    <cfRule type="duplicateValues" dxfId="489" priority="498"/>
    <cfRule type="duplicateValues" dxfId="488" priority="499"/>
  </conditionalFormatting>
  <conditionalFormatting sqref="R976">
    <cfRule type="duplicateValues" dxfId="487" priority="494"/>
    <cfRule type="duplicateValues" dxfId="486" priority="495"/>
    <cfRule type="duplicateValues" dxfId="485" priority="496"/>
  </conditionalFormatting>
  <conditionalFormatting sqref="Q976">
    <cfRule type="duplicateValues" dxfId="484" priority="492"/>
    <cfRule type="duplicateValues" dxfId="483" priority="493"/>
  </conditionalFormatting>
  <conditionalFormatting sqref="Q976">
    <cfRule type="duplicateValues" dxfId="482" priority="491"/>
  </conditionalFormatting>
  <conditionalFormatting sqref="Q977">
    <cfRule type="duplicateValues" dxfId="481" priority="490"/>
  </conditionalFormatting>
  <conditionalFormatting sqref="Q977">
    <cfRule type="duplicateValues" dxfId="480" priority="489"/>
  </conditionalFormatting>
  <conditionalFormatting sqref="Q977">
    <cfRule type="duplicateValues" dxfId="479" priority="488"/>
  </conditionalFormatting>
  <conditionalFormatting sqref="Q977">
    <cfRule type="duplicateValues" dxfId="478" priority="487"/>
  </conditionalFormatting>
  <conditionalFormatting sqref="Q977">
    <cfRule type="duplicateValues" dxfId="477" priority="486"/>
  </conditionalFormatting>
  <conditionalFormatting sqref="Q977">
    <cfRule type="duplicateValues" dxfId="476" priority="485"/>
  </conditionalFormatting>
  <conditionalFormatting sqref="Q977">
    <cfRule type="duplicateValues" dxfId="475" priority="484"/>
  </conditionalFormatting>
  <conditionalFormatting sqref="Q977:R977">
    <cfRule type="duplicateValues" dxfId="474" priority="483"/>
  </conditionalFormatting>
  <conditionalFormatting sqref="Q977:R977">
    <cfRule type="duplicateValues" dxfId="473" priority="480"/>
    <cfRule type="duplicateValues" dxfId="472" priority="481"/>
    <cfRule type="duplicateValues" dxfId="471" priority="482"/>
  </conditionalFormatting>
  <conditionalFormatting sqref="R977">
    <cfRule type="duplicateValues" dxfId="470" priority="479"/>
  </conditionalFormatting>
  <conditionalFormatting sqref="Q977">
    <cfRule type="duplicateValues" dxfId="469" priority="478"/>
  </conditionalFormatting>
  <conditionalFormatting sqref="Q977">
    <cfRule type="duplicateValues" dxfId="468" priority="475"/>
    <cfRule type="duplicateValues" dxfId="467" priority="476"/>
    <cfRule type="duplicateValues" dxfId="466" priority="477"/>
  </conditionalFormatting>
  <conditionalFormatting sqref="R977">
    <cfRule type="duplicateValues" dxfId="465" priority="472"/>
    <cfRule type="duplicateValues" dxfId="464" priority="473"/>
    <cfRule type="duplicateValues" dxfId="463" priority="474"/>
  </conditionalFormatting>
  <conditionalFormatting sqref="Q977">
    <cfRule type="duplicateValues" dxfId="462" priority="470"/>
    <cfRule type="duplicateValues" dxfId="461" priority="471"/>
  </conditionalFormatting>
  <conditionalFormatting sqref="Q977">
    <cfRule type="duplicateValues" dxfId="460" priority="469"/>
  </conditionalFormatting>
  <conditionalFormatting sqref="Q977">
    <cfRule type="duplicateValues" dxfId="459" priority="468"/>
  </conditionalFormatting>
  <conditionalFormatting sqref="Q977">
    <cfRule type="duplicateValues" dxfId="458" priority="467"/>
  </conditionalFormatting>
  <conditionalFormatting sqref="Q977">
    <cfRule type="duplicateValues" dxfId="457" priority="466"/>
  </conditionalFormatting>
  <conditionalFormatting sqref="Q978">
    <cfRule type="duplicateValues" dxfId="456" priority="465"/>
  </conditionalFormatting>
  <conditionalFormatting sqref="Q978">
    <cfRule type="duplicateValues" dxfId="455" priority="464"/>
  </conditionalFormatting>
  <conditionalFormatting sqref="Q978">
    <cfRule type="duplicateValues" dxfId="454" priority="463"/>
  </conditionalFormatting>
  <conditionalFormatting sqref="Q978">
    <cfRule type="duplicateValues" dxfId="453" priority="462"/>
  </conditionalFormatting>
  <conditionalFormatting sqref="Q978">
    <cfRule type="duplicateValues" dxfId="452" priority="461"/>
  </conditionalFormatting>
  <conditionalFormatting sqref="Q978">
    <cfRule type="duplicateValues" dxfId="451" priority="460"/>
  </conditionalFormatting>
  <conditionalFormatting sqref="Q978">
    <cfRule type="duplicateValues" dxfId="450" priority="459"/>
  </conditionalFormatting>
  <conditionalFormatting sqref="Q978:R978">
    <cfRule type="duplicateValues" dxfId="449" priority="458"/>
  </conditionalFormatting>
  <conditionalFormatting sqref="Q978:R978">
    <cfRule type="duplicateValues" dxfId="448" priority="455"/>
    <cfRule type="duplicateValues" dxfId="447" priority="456"/>
    <cfRule type="duplicateValues" dxfId="446" priority="457"/>
  </conditionalFormatting>
  <conditionalFormatting sqref="R978">
    <cfRule type="duplicateValues" dxfId="445" priority="454"/>
  </conditionalFormatting>
  <conditionalFormatting sqref="Q978">
    <cfRule type="duplicateValues" dxfId="444" priority="453"/>
  </conditionalFormatting>
  <conditionalFormatting sqref="Q978">
    <cfRule type="duplicateValues" dxfId="443" priority="450"/>
    <cfRule type="duplicateValues" dxfId="442" priority="451"/>
    <cfRule type="duplicateValues" dxfId="441" priority="452"/>
  </conditionalFormatting>
  <conditionalFormatting sqref="R978">
    <cfRule type="duplicateValues" dxfId="440" priority="447"/>
    <cfRule type="duplicateValues" dxfId="439" priority="448"/>
    <cfRule type="duplicateValues" dxfId="438" priority="449"/>
  </conditionalFormatting>
  <conditionalFormatting sqref="Q978">
    <cfRule type="duplicateValues" dxfId="437" priority="445"/>
    <cfRule type="duplicateValues" dxfId="436" priority="446"/>
  </conditionalFormatting>
  <conditionalFormatting sqref="Q978">
    <cfRule type="duplicateValues" dxfId="435" priority="444"/>
  </conditionalFormatting>
  <conditionalFormatting sqref="Q978">
    <cfRule type="duplicateValues" dxfId="434" priority="443"/>
  </conditionalFormatting>
  <conditionalFormatting sqref="Q978">
    <cfRule type="duplicateValues" dxfId="433" priority="442"/>
  </conditionalFormatting>
  <conditionalFormatting sqref="Q978">
    <cfRule type="duplicateValues" dxfId="432" priority="441"/>
  </conditionalFormatting>
  <conditionalFormatting sqref="Q979">
    <cfRule type="duplicateValues" dxfId="431" priority="440"/>
  </conditionalFormatting>
  <conditionalFormatting sqref="Q979">
    <cfRule type="duplicateValues" dxfId="430" priority="439"/>
  </conditionalFormatting>
  <conditionalFormatting sqref="Q979">
    <cfRule type="duplicateValues" dxfId="429" priority="438"/>
  </conditionalFormatting>
  <conditionalFormatting sqref="Q979">
    <cfRule type="duplicateValues" dxfId="428" priority="437"/>
  </conditionalFormatting>
  <conditionalFormatting sqref="Q979:R979">
    <cfRule type="duplicateValues" dxfId="427" priority="436"/>
  </conditionalFormatting>
  <conditionalFormatting sqref="Q979:R979">
    <cfRule type="duplicateValues" dxfId="426" priority="433"/>
    <cfRule type="duplicateValues" dxfId="425" priority="434"/>
    <cfRule type="duplicateValues" dxfId="424" priority="435"/>
  </conditionalFormatting>
  <conditionalFormatting sqref="R979">
    <cfRule type="duplicateValues" dxfId="423" priority="432"/>
  </conditionalFormatting>
  <conditionalFormatting sqref="Q979">
    <cfRule type="duplicateValues" dxfId="422" priority="431"/>
  </conditionalFormatting>
  <conditionalFormatting sqref="Q979">
    <cfRule type="duplicateValues" dxfId="421" priority="429"/>
    <cfRule type="duplicateValues" dxfId="420" priority="430"/>
  </conditionalFormatting>
  <conditionalFormatting sqref="Q979">
    <cfRule type="duplicateValues" dxfId="419" priority="426"/>
    <cfRule type="duplicateValues" dxfId="418" priority="427"/>
    <cfRule type="duplicateValues" dxfId="417" priority="428"/>
  </conditionalFormatting>
  <conditionalFormatting sqref="R979">
    <cfRule type="duplicateValues" dxfId="416" priority="423"/>
    <cfRule type="duplicateValues" dxfId="415" priority="424"/>
    <cfRule type="duplicateValues" dxfId="414" priority="425"/>
  </conditionalFormatting>
  <conditionalFormatting sqref="Q980">
    <cfRule type="duplicateValues" dxfId="413" priority="422"/>
  </conditionalFormatting>
  <conditionalFormatting sqref="Q980">
    <cfRule type="duplicateValues" dxfId="412" priority="421"/>
  </conditionalFormatting>
  <conditionalFormatting sqref="Q980:R980">
    <cfRule type="duplicateValues" dxfId="411" priority="420"/>
  </conditionalFormatting>
  <conditionalFormatting sqref="Q980:R980">
    <cfRule type="duplicateValues" dxfId="410" priority="417"/>
    <cfRule type="duplicateValues" dxfId="409" priority="418"/>
    <cfRule type="duplicateValues" dxfId="408" priority="419"/>
  </conditionalFormatting>
  <conditionalFormatting sqref="R980">
    <cfRule type="duplicateValues" dxfId="407" priority="416"/>
  </conditionalFormatting>
  <conditionalFormatting sqref="Q980">
    <cfRule type="duplicateValues" dxfId="406" priority="415"/>
  </conditionalFormatting>
  <conditionalFormatting sqref="Q980">
    <cfRule type="duplicateValues" dxfId="405" priority="413"/>
    <cfRule type="duplicateValues" dxfId="404" priority="414"/>
  </conditionalFormatting>
  <conditionalFormatting sqref="Q980">
    <cfRule type="duplicateValues" dxfId="403" priority="410"/>
    <cfRule type="duplicateValues" dxfId="402" priority="411"/>
    <cfRule type="duplicateValues" dxfId="401" priority="412"/>
  </conditionalFormatting>
  <conditionalFormatting sqref="R980">
    <cfRule type="duplicateValues" dxfId="400" priority="407"/>
    <cfRule type="duplicateValues" dxfId="399" priority="408"/>
    <cfRule type="duplicateValues" dxfId="398" priority="409"/>
  </conditionalFormatting>
  <conditionalFormatting sqref="Q980">
    <cfRule type="duplicateValues" dxfId="397" priority="406"/>
  </conditionalFormatting>
  <conditionalFormatting sqref="Q980">
    <cfRule type="duplicateValues" dxfId="396" priority="405"/>
  </conditionalFormatting>
  <conditionalFormatting sqref="Q980">
    <cfRule type="duplicateValues" dxfId="395" priority="404"/>
  </conditionalFormatting>
  <conditionalFormatting sqref="Q980">
    <cfRule type="duplicateValues" dxfId="394" priority="403"/>
  </conditionalFormatting>
  <conditionalFormatting sqref="Q981">
    <cfRule type="duplicateValues" dxfId="393" priority="401"/>
    <cfRule type="duplicateValues" dxfId="392" priority="402"/>
  </conditionalFormatting>
  <conditionalFormatting sqref="Q981">
    <cfRule type="duplicateValues" dxfId="391" priority="400"/>
  </conditionalFormatting>
  <conditionalFormatting sqref="Q981">
    <cfRule type="duplicateValues" dxfId="390" priority="399"/>
  </conditionalFormatting>
  <conditionalFormatting sqref="Q981">
    <cfRule type="duplicateValues" dxfId="389" priority="398"/>
  </conditionalFormatting>
  <conditionalFormatting sqref="Q981">
    <cfRule type="duplicateValues" dxfId="388" priority="397"/>
  </conditionalFormatting>
  <conditionalFormatting sqref="Q981">
    <cfRule type="duplicateValues" dxfId="387" priority="396"/>
  </conditionalFormatting>
  <conditionalFormatting sqref="Q981">
    <cfRule type="duplicateValues" dxfId="386" priority="395"/>
  </conditionalFormatting>
  <conditionalFormatting sqref="Q981">
    <cfRule type="duplicateValues" dxfId="385" priority="394"/>
  </conditionalFormatting>
  <conditionalFormatting sqref="Q981">
    <cfRule type="duplicateValues" dxfId="384" priority="393"/>
  </conditionalFormatting>
  <conditionalFormatting sqref="Q981:R981">
    <cfRule type="duplicateValues" dxfId="383" priority="392"/>
  </conditionalFormatting>
  <conditionalFormatting sqref="Q981:R981">
    <cfRule type="duplicateValues" dxfId="382" priority="389"/>
    <cfRule type="duplicateValues" dxfId="381" priority="390"/>
    <cfRule type="duplicateValues" dxfId="380" priority="391"/>
  </conditionalFormatting>
  <conditionalFormatting sqref="R981">
    <cfRule type="duplicateValues" dxfId="379" priority="388"/>
  </conditionalFormatting>
  <conditionalFormatting sqref="Q981">
    <cfRule type="duplicateValues" dxfId="378" priority="387"/>
  </conditionalFormatting>
  <conditionalFormatting sqref="Q981">
    <cfRule type="duplicateValues" dxfId="377" priority="384"/>
    <cfRule type="duplicateValues" dxfId="376" priority="385"/>
    <cfRule type="duplicateValues" dxfId="375" priority="386"/>
  </conditionalFormatting>
  <conditionalFormatting sqref="R981">
    <cfRule type="duplicateValues" dxfId="374" priority="381"/>
    <cfRule type="duplicateValues" dxfId="373" priority="382"/>
    <cfRule type="duplicateValues" dxfId="372" priority="383"/>
  </conditionalFormatting>
  <conditionalFormatting sqref="Q981">
    <cfRule type="duplicateValues" dxfId="371" priority="380"/>
  </conditionalFormatting>
  <conditionalFormatting sqref="Q981">
    <cfRule type="duplicateValues" dxfId="370" priority="379"/>
  </conditionalFormatting>
  <conditionalFormatting sqref="Q981">
    <cfRule type="duplicateValues" dxfId="369" priority="378"/>
  </conditionalFormatting>
  <conditionalFormatting sqref="Q981">
    <cfRule type="duplicateValues" dxfId="368" priority="377"/>
  </conditionalFormatting>
  <conditionalFormatting sqref="Q982">
    <cfRule type="duplicateValues" dxfId="367" priority="375"/>
    <cfRule type="duplicateValues" dxfId="366" priority="376"/>
  </conditionalFormatting>
  <conditionalFormatting sqref="Q982">
    <cfRule type="duplicateValues" dxfId="365" priority="374"/>
  </conditionalFormatting>
  <conditionalFormatting sqref="Q982">
    <cfRule type="duplicateValues" dxfId="364" priority="373"/>
  </conditionalFormatting>
  <conditionalFormatting sqref="Q982">
    <cfRule type="duplicateValues" dxfId="363" priority="372"/>
  </conditionalFormatting>
  <conditionalFormatting sqref="Q982">
    <cfRule type="duplicateValues" dxfId="362" priority="371"/>
  </conditionalFormatting>
  <conditionalFormatting sqref="Q982">
    <cfRule type="duplicateValues" dxfId="361" priority="370"/>
  </conditionalFormatting>
  <conditionalFormatting sqref="Q982">
    <cfRule type="duplicateValues" dxfId="360" priority="369"/>
  </conditionalFormatting>
  <conditionalFormatting sqref="Q982">
    <cfRule type="duplicateValues" dxfId="359" priority="368"/>
  </conditionalFormatting>
  <conditionalFormatting sqref="Q982">
    <cfRule type="duplicateValues" dxfId="358" priority="367"/>
  </conditionalFormatting>
  <conditionalFormatting sqref="Q982:R982">
    <cfRule type="duplicateValues" dxfId="357" priority="366"/>
  </conditionalFormatting>
  <conditionalFormatting sqref="Q982:R982">
    <cfRule type="duplicateValues" dxfId="356" priority="363"/>
    <cfRule type="duplicateValues" dxfId="355" priority="364"/>
    <cfRule type="duplicateValues" dxfId="354" priority="365"/>
  </conditionalFormatting>
  <conditionalFormatting sqref="R982">
    <cfRule type="duplicateValues" dxfId="353" priority="362"/>
  </conditionalFormatting>
  <conditionalFormatting sqref="Q982">
    <cfRule type="duplicateValues" dxfId="352" priority="361"/>
  </conditionalFormatting>
  <conditionalFormatting sqref="Q982">
    <cfRule type="duplicateValues" dxfId="351" priority="358"/>
    <cfRule type="duplicateValues" dxfId="350" priority="359"/>
    <cfRule type="duplicateValues" dxfId="349" priority="360"/>
  </conditionalFormatting>
  <conditionalFormatting sqref="R982">
    <cfRule type="duplicateValues" dxfId="348" priority="355"/>
    <cfRule type="duplicateValues" dxfId="347" priority="356"/>
    <cfRule type="duplicateValues" dxfId="346" priority="357"/>
  </conditionalFormatting>
  <conditionalFormatting sqref="Q982">
    <cfRule type="duplicateValues" dxfId="345" priority="354"/>
  </conditionalFormatting>
  <conditionalFormatting sqref="Q982">
    <cfRule type="duplicateValues" dxfId="344" priority="353"/>
  </conditionalFormatting>
  <conditionalFormatting sqref="Q982">
    <cfRule type="duplicateValues" dxfId="343" priority="352"/>
  </conditionalFormatting>
  <conditionalFormatting sqref="Q982">
    <cfRule type="duplicateValues" dxfId="342" priority="351"/>
  </conditionalFormatting>
  <conditionalFormatting sqref="R983:R984">
    <cfRule type="duplicateValues" dxfId="341" priority="326"/>
  </conditionalFormatting>
  <conditionalFormatting sqref="Q983:Q984">
    <cfRule type="duplicateValues" dxfId="340" priority="324"/>
    <cfRule type="duplicateValues" dxfId="339" priority="325"/>
  </conditionalFormatting>
  <conditionalFormatting sqref="Q983:Q984">
    <cfRule type="duplicateValues" dxfId="338" priority="323"/>
  </conditionalFormatting>
  <conditionalFormatting sqref="Q983:Q984">
    <cfRule type="duplicateValues" dxfId="337" priority="322"/>
  </conditionalFormatting>
  <conditionalFormatting sqref="Q983:Q984">
    <cfRule type="duplicateValues" dxfId="336" priority="321"/>
  </conditionalFormatting>
  <conditionalFormatting sqref="Q983:Q984">
    <cfRule type="duplicateValues" dxfId="335" priority="320"/>
  </conditionalFormatting>
  <conditionalFormatting sqref="Q983:Q984">
    <cfRule type="duplicateValues" dxfId="334" priority="319"/>
  </conditionalFormatting>
  <conditionalFormatting sqref="Q983:Q984">
    <cfRule type="duplicateValues" dxfId="333" priority="318"/>
  </conditionalFormatting>
  <conditionalFormatting sqref="Q983:Q984">
    <cfRule type="duplicateValues" dxfId="332" priority="317"/>
  </conditionalFormatting>
  <conditionalFormatting sqref="Q983:Q984">
    <cfRule type="duplicateValues" dxfId="331" priority="316"/>
  </conditionalFormatting>
  <conditionalFormatting sqref="Q984">
    <cfRule type="duplicateValues" dxfId="330" priority="315"/>
  </conditionalFormatting>
  <conditionalFormatting sqref="Q984">
    <cfRule type="duplicateValues" dxfId="329" priority="312"/>
    <cfRule type="duplicateValues" dxfId="328" priority="313"/>
    <cfRule type="duplicateValues" dxfId="327" priority="314"/>
  </conditionalFormatting>
  <conditionalFormatting sqref="R984">
    <cfRule type="duplicateValues" dxfId="326" priority="311"/>
  </conditionalFormatting>
  <conditionalFormatting sqref="R984">
    <cfRule type="duplicateValues" dxfId="325" priority="308"/>
    <cfRule type="duplicateValues" dxfId="324" priority="309"/>
    <cfRule type="duplicateValues" dxfId="323" priority="310"/>
  </conditionalFormatting>
  <conditionalFormatting sqref="Q983">
    <cfRule type="duplicateValues" dxfId="322" priority="307"/>
  </conditionalFormatting>
  <conditionalFormatting sqref="Q983">
    <cfRule type="duplicateValues" dxfId="321" priority="304"/>
    <cfRule type="duplicateValues" dxfId="320" priority="305"/>
    <cfRule type="duplicateValues" dxfId="319" priority="306"/>
  </conditionalFormatting>
  <conditionalFormatting sqref="R983">
    <cfRule type="duplicateValues" dxfId="318" priority="303"/>
  </conditionalFormatting>
  <conditionalFormatting sqref="R983">
    <cfRule type="duplicateValues" dxfId="317" priority="300"/>
    <cfRule type="duplicateValues" dxfId="316" priority="301"/>
    <cfRule type="duplicateValues" dxfId="315" priority="302"/>
  </conditionalFormatting>
  <conditionalFormatting sqref="Q983:Q984">
    <cfRule type="duplicateValues" dxfId="314" priority="299"/>
  </conditionalFormatting>
  <conditionalFormatting sqref="Q983:Q984">
    <cfRule type="duplicateValues" dxfId="313" priority="298"/>
  </conditionalFormatting>
  <conditionalFormatting sqref="Q983:Q984">
    <cfRule type="duplicateValues" dxfId="312" priority="297"/>
  </conditionalFormatting>
  <conditionalFormatting sqref="Q983:Q984">
    <cfRule type="duplicateValues" dxfId="311" priority="296"/>
  </conditionalFormatting>
  <conditionalFormatting sqref="Q985">
    <cfRule type="duplicateValues" dxfId="310" priority="295"/>
  </conditionalFormatting>
  <conditionalFormatting sqref="Q985">
    <cfRule type="duplicateValues" dxfId="309" priority="294"/>
  </conditionalFormatting>
  <conditionalFormatting sqref="Q985">
    <cfRule type="duplicateValues" dxfId="308" priority="293"/>
  </conditionalFormatting>
  <conditionalFormatting sqref="Q985">
    <cfRule type="duplicateValues" dxfId="307" priority="292"/>
  </conditionalFormatting>
  <conditionalFormatting sqref="R985">
    <cfRule type="duplicateValues" dxfId="306" priority="291"/>
  </conditionalFormatting>
  <conditionalFormatting sqref="Q985">
    <cfRule type="duplicateValues" dxfId="305" priority="289"/>
    <cfRule type="duplicateValues" dxfId="304" priority="290"/>
  </conditionalFormatting>
  <conditionalFormatting sqref="Q985">
    <cfRule type="duplicateValues" dxfId="303" priority="288"/>
  </conditionalFormatting>
  <conditionalFormatting sqref="Q985">
    <cfRule type="duplicateValues" dxfId="302" priority="287"/>
  </conditionalFormatting>
  <conditionalFormatting sqref="Q985">
    <cfRule type="duplicateValues" dxfId="301" priority="286"/>
  </conditionalFormatting>
  <conditionalFormatting sqref="Q985">
    <cfRule type="duplicateValues" dxfId="300" priority="285"/>
  </conditionalFormatting>
  <conditionalFormatting sqref="Q985">
    <cfRule type="duplicateValues" dxfId="299" priority="284"/>
  </conditionalFormatting>
  <conditionalFormatting sqref="Q985">
    <cfRule type="duplicateValues" dxfId="298" priority="283"/>
  </conditionalFormatting>
  <conditionalFormatting sqref="Q985">
    <cfRule type="duplicateValues" dxfId="297" priority="282"/>
  </conditionalFormatting>
  <conditionalFormatting sqref="Q985">
    <cfRule type="duplicateValues" dxfId="296" priority="281"/>
  </conditionalFormatting>
  <conditionalFormatting sqref="Q985:R985">
    <cfRule type="duplicateValues" dxfId="295" priority="280"/>
  </conditionalFormatting>
  <conditionalFormatting sqref="Q985">
    <cfRule type="duplicateValues" dxfId="294" priority="279"/>
  </conditionalFormatting>
  <conditionalFormatting sqref="R985">
    <cfRule type="duplicateValues" dxfId="293" priority="278"/>
  </conditionalFormatting>
  <conditionalFormatting sqref="Q985:R985">
    <cfRule type="duplicateValues" dxfId="292" priority="275"/>
    <cfRule type="duplicateValues" dxfId="291" priority="276"/>
    <cfRule type="duplicateValues" dxfId="290" priority="277"/>
  </conditionalFormatting>
  <conditionalFormatting sqref="Q985">
    <cfRule type="duplicateValues" dxfId="289" priority="274"/>
  </conditionalFormatting>
  <conditionalFormatting sqref="Q985">
    <cfRule type="duplicateValues" dxfId="288" priority="273"/>
  </conditionalFormatting>
  <conditionalFormatting sqref="Q985">
    <cfRule type="duplicateValues" dxfId="287" priority="272"/>
  </conditionalFormatting>
  <conditionalFormatting sqref="Q985">
    <cfRule type="duplicateValues" dxfId="286" priority="271"/>
  </conditionalFormatting>
  <conditionalFormatting sqref="Q986">
    <cfRule type="duplicateValues" dxfId="285" priority="270"/>
  </conditionalFormatting>
  <conditionalFormatting sqref="Q986">
    <cfRule type="duplicateValues" dxfId="284" priority="269"/>
  </conditionalFormatting>
  <conditionalFormatting sqref="Q986">
    <cfRule type="duplicateValues" dxfId="283" priority="268"/>
  </conditionalFormatting>
  <conditionalFormatting sqref="R986">
    <cfRule type="duplicateValues" dxfId="282" priority="267"/>
  </conditionalFormatting>
  <conditionalFormatting sqref="Q986">
    <cfRule type="duplicateValues" dxfId="281" priority="265"/>
    <cfRule type="duplicateValues" dxfId="280" priority="266"/>
  </conditionalFormatting>
  <conditionalFormatting sqref="Q986">
    <cfRule type="duplicateValues" dxfId="279" priority="264"/>
  </conditionalFormatting>
  <conditionalFormatting sqref="Q986">
    <cfRule type="duplicateValues" dxfId="278" priority="263"/>
  </conditionalFormatting>
  <conditionalFormatting sqref="Q986">
    <cfRule type="duplicateValues" dxfId="277" priority="262"/>
  </conditionalFormatting>
  <conditionalFormatting sqref="Q986">
    <cfRule type="duplicateValues" dxfId="276" priority="261"/>
  </conditionalFormatting>
  <conditionalFormatting sqref="Q986">
    <cfRule type="duplicateValues" dxfId="275" priority="260"/>
  </conditionalFormatting>
  <conditionalFormatting sqref="Q986">
    <cfRule type="duplicateValues" dxfId="274" priority="259"/>
  </conditionalFormatting>
  <conditionalFormatting sqref="Q986">
    <cfRule type="duplicateValues" dxfId="273" priority="258"/>
  </conditionalFormatting>
  <conditionalFormatting sqref="Q986">
    <cfRule type="duplicateValues" dxfId="272" priority="257"/>
  </conditionalFormatting>
  <conditionalFormatting sqref="Q986">
    <cfRule type="duplicateValues" dxfId="271" priority="256"/>
  </conditionalFormatting>
  <conditionalFormatting sqref="Q986:R986">
    <cfRule type="duplicateValues" dxfId="270" priority="255"/>
  </conditionalFormatting>
  <conditionalFormatting sqref="Q986">
    <cfRule type="duplicateValues" dxfId="269" priority="254"/>
  </conditionalFormatting>
  <conditionalFormatting sqref="R986">
    <cfRule type="duplicateValues" dxfId="268" priority="253"/>
  </conditionalFormatting>
  <conditionalFormatting sqref="Q986:R986">
    <cfRule type="duplicateValues" dxfId="267" priority="250"/>
    <cfRule type="duplicateValues" dxfId="266" priority="251"/>
    <cfRule type="duplicateValues" dxfId="265" priority="252"/>
  </conditionalFormatting>
  <conditionalFormatting sqref="Q986">
    <cfRule type="duplicateValues" dxfId="264" priority="249"/>
  </conditionalFormatting>
  <conditionalFormatting sqref="Q986">
    <cfRule type="duplicateValues" dxfId="263" priority="248"/>
  </conditionalFormatting>
  <conditionalFormatting sqref="Q986">
    <cfRule type="duplicateValues" dxfId="262" priority="247"/>
  </conditionalFormatting>
  <conditionalFormatting sqref="Q987">
    <cfRule type="duplicateValues" dxfId="261" priority="246"/>
  </conditionalFormatting>
  <conditionalFormatting sqref="Q987">
    <cfRule type="duplicateValues" dxfId="260" priority="245"/>
  </conditionalFormatting>
  <conditionalFormatting sqref="Q987:R987">
    <cfRule type="duplicateValues" dxfId="259" priority="244"/>
  </conditionalFormatting>
  <conditionalFormatting sqref="Q987:R987">
    <cfRule type="duplicateValues" dxfId="258" priority="241"/>
    <cfRule type="duplicateValues" dxfId="257" priority="242"/>
    <cfRule type="duplicateValues" dxfId="256" priority="243"/>
  </conditionalFormatting>
  <conditionalFormatting sqref="R987">
    <cfRule type="duplicateValues" dxfId="255" priority="240"/>
  </conditionalFormatting>
  <conditionalFormatting sqref="Q987">
    <cfRule type="duplicateValues" dxfId="254" priority="239"/>
  </conditionalFormatting>
  <conditionalFormatting sqref="Q987">
    <cfRule type="duplicateValues" dxfId="253" priority="236"/>
    <cfRule type="duplicateValues" dxfId="252" priority="237"/>
    <cfRule type="duplicateValues" dxfId="251" priority="238"/>
  </conditionalFormatting>
  <conditionalFormatting sqref="R987">
    <cfRule type="duplicateValues" dxfId="250" priority="233"/>
    <cfRule type="duplicateValues" dxfId="249" priority="234"/>
    <cfRule type="duplicateValues" dxfId="248" priority="235"/>
  </conditionalFormatting>
  <conditionalFormatting sqref="Q987">
    <cfRule type="duplicateValues" dxfId="247" priority="231"/>
    <cfRule type="duplicateValues" dxfId="246" priority="232"/>
  </conditionalFormatting>
  <conditionalFormatting sqref="Q987">
    <cfRule type="duplicateValues" dxfId="245" priority="230"/>
  </conditionalFormatting>
  <conditionalFormatting sqref="Q987">
    <cfRule type="duplicateValues" dxfId="244" priority="229"/>
  </conditionalFormatting>
  <conditionalFormatting sqref="Q987">
    <cfRule type="duplicateValues" dxfId="243" priority="228"/>
  </conditionalFormatting>
  <conditionalFormatting sqref="Q987">
    <cfRule type="duplicateValues" dxfId="242" priority="227"/>
  </conditionalFormatting>
  <conditionalFormatting sqref="R989:R990">
    <cfRule type="duplicateValues" dxfId="241" priority="226"/>
  </conditionalFormatting>
  <conditionalFormatting sqref="Q989:Q990">
    <cfRule type="duplicateValues" dxfId="240" priority="224"/>
    <cfRule type="duplicateValues" dxfId="239" priority="225"/>
  </conditionalFormatting>
  <conditionalFormatting sqref="Q989:Q990">
    <cfRule type="duplicateValues" dxfId="238" priority="223"/>
  </conditionalFormatting>
  <conditionalFormatting sqref="Q989:Q990">
    <cfRule type="duplicateValues" dxfId="237" priority="222"/>
  </conditionalFormatting>
  <conditionalFormatting sqref="Q989:Q990">
    <cfRule type="duplicateValues" dxfId="236" priority="221"/>
  </conditionalFormatting>
  <conditionalFormatting sqref="Q989:Q990">
    <cfRule type="duplicateValues" dxfId="235" priority="220"/>
  </conditionalFormatting>
  <conditionalFormatting sqref="Q989:Q990">
    <cfRule type="duplicateValues" dxfId="234" priority="219"/>
  </conditionalFormatting>
  <conditionalFormatting sqref="Q989:Q990">
    <cfRule type="duplicateValues" dxfId="233" priority="218"/>
  </conditionalFormatting>
  <conditionalFormatting sqref="Q989:Q990">
    <cfRule type="duplicateValues" dxfId="232" priority="217"/>
  </conditionalFormatting>
  <conditionalFormatting sqref="Q989:Q990">
    <cfRule type="duplicateValues" dxfId="231" priority="216"/>
  </conditionalFormatting>
  <conditionalFormatting sqref="Q989:R990">
    <cfRule type="duplicateValues" dxfId="230" priority="215"/>
  </conditionalFormatting>
  <conditionalFormatting sqref="Q989:R990">
    <cfRule type="duplicateValues" dxfId="229" priority="212"/>
    <cfRule type="duplicateValues" dxfId="228" priority="213"/>
    <cfRule type="duplicateValues" dxfId="227" priority="214"/>
  </conditionalFormatting>
  <conditionalFormatting sqref="R989:R990">
    <cfRule type="duplicateValues" dxfId="226" priority="211"/>
  </conditionalFormatting>
  <conditionalFormatting sqref="Q989:Q990">
    <cfRule type="duplicateValues" dxfId="225" priority="210"/>
  </conditionalFormatting>
  <conditionalFormatting sqref="Q989:Q990">
    <cfRule type="duplicateValues" dxfId="224" priority="207"/>
    <cfRule type="duplicateValues" dxfId="223" priority="208"/>
    <cfRule type="duplicateValues" dxfId="222" priority="209"/>
  </conditionalFormatting>
  <conditionalFormatting sqref="R989:R990">
    <cfRule type="duplicateValues" dxfId="221" priority="204"/>
    <cfRule type="duplicateValues" dxfId="220" priority="205"/>
    <cfRule type="duplicateValues" dxfId="219" priority="206"/>
  </conditionalFormatting>
  <conditionalFormatting sqref="Q989:Q990">
    <cfRule type="duplicateValues" dxfId="218" priority="203"/>
  </conditionalFormatting>
  <conditionalFormatting sqref="Q989:Q990">
    <cfRule type="duplicateValues" dxfId="217" priority="202"/>
  </conditionalFormatting>
  <conditionalFormatting sqref="Q989:Q990">
    <cfRule type="duplicateValues" dxfId="216" priority="201"/>
  </conditionalFormatting>
  <conditionalFormatting sqref="Q989:R990">
    <cfRule type="duplicateValues" dxfId="215" priority="200"/>
  </conditionalFormatting>
  <conditionalFormatting sqref="Q989:Q990">
    <cfRule type="duplicateValues" dxfId="214" priority="199"/>
  </conditionalFormatting>
  <conditionalFormatting sqref="R989:R990">
    <cfRule type="duplicateValues" dxfId="213" priority="198"/>
  </conditionalFormatting>
  <conditionalFormatting sqref="Q989:Q990">
    <cfRule type="duplicateValues" dxfId="212" priority="197"/>
  </conditionalFormatting>
  <conditionalFormatting sqref="R991:R992">
    <cfRule type="duplicateValues" dxfId="211" priority="196"/>
  </conditionalFormatting>
  <conditionalFormatting sqref="Q991:Q992">
    <cfRule type="duplicateValues" dxfId="210" priority="194"/>
    <cfRule type="duplicateValues" dxfId="209" priority="195"/>
  </conditionalFormatting>
  <conditionalFormatting sqref="Q991:Q992">
    <cfRule type="duplicateValues" dxfId="208" priority="193"/>
  </conditionalFormatting>
  <conditionalFormatting sqref="Q991:Q992">
    <cfRule type="duplicateValues" dxfId="207" priority="192"/>
  </conditionalFormatting>
  <conditionalFormatting sqref="Q991:Q992">
    <cfRule type="duplicateValues" dxfId="206" priority="191"/>
  </conditionalFormatting>
  <conditionalFormatting sqref="Q991:Q992">
    <cfRule type="duplicateValues" dxfId="205" priority="190"/>
  </conditionalFormatting>
  <conditionalFormatting sqref="Q991:Q992">
    <cfRule type="duplicateValues" dxfId="204" priority="189"/>
  </conditionalFormatting>
  <conditionalFormatting sqref="Q991:Q992">
    <cfRule type="duplicateValues" dxfId="203" priority="188"/>
  </conditionalFormatting>
  <conditionalFormatting sqref="Q991:Q992">
    <cfRule type="duplicateValues" dxfId="202" priority="187"/>
  </conditionalFormatting>
  <conditionalFormatting sqref="Q991:Q992">
    <cfRule type="duplicateValues" dxfId="201" priority="186"/>
  </conditionalFormatting>
  <conditionalFormatting sqref="Q991:Q992">
    <cfRule type="duplicateValues" dxfId="200" priority="185"/>
  </conditionalFormatting>
  <conditionalFormatting sqref="Q991:Q992">
    <cfRule type="duplicateValues" dxfId="199" priority="182"/>
    <cfRule type="duplicateValues" dxfId="198" priority="183"/>
    <cfRule type="duplicateValues" dxfId="197" priority="184"/>
  </conditionalFormatting>
  <conditionalFormatting sqref="R991:R992">
    <cfRule type="duplicateValues" dxfId="196" priority="181"/>
  </conditionalFormatting>
  <conditionalFormatting sqref="R991:R992">
    <cfRule type="duplicateValues" dxfId="195" priority="178"/>
    <cfRule type="duplicateValues" dxfId="194" priority="179"/>
    <cfRule type="duplicateValues" dxfId="193" priority="180"/>
  </conditionalFormatting>
  <conditionalFormatting sqref="Q991:Q992">
    <cfRule type="duplicateValues" dxfId="192" priority="177"/>
  </conditionalFormatting>
  <conditionalFormatting sqref="Q991:Q992">
    <cfRule type="duplicateValues" dxfId="191" priority="176"/>
  </conditionalFormatting>
  <conditionalFormatting sqref="Q991:Q992">
    <cfRule type="duplicateValues" dxfId="190" priority="175"/>
  </conditionalFormatting>
  <conditionalFormatting sqref="Q991:Q992">
    <cfRule type="duplicateValues" dxfId="189" priority="174"/>
  </conditionalFormatting>
  <conditionalFormatting sqref="AA1:AA1048576">
    <cfRule type="duplicateValues" dxfId="188" priority="173"/>
  </conditionalFormatting>
  <conditionalFormatting sqref="Q993:Q995">
    <cfRule type="duplicateValues" dxfId="187" priority="172"/>
  </conditionalFormatting>
  <conditionalFormatting sqref="Q993:Q995">
    <cfRule type="duplicateValues" dxfId="186" priority="171"/>
  </conditionalFormatting>
  <conditionalFormatting sqref="Q993:Q995">
    <cfRule type="duplicateValues" dxfId="185" priority="170"/>
  </conditionalFormatting>
  <conditionalFormatting sqref="Q993:Q995">
    <cfRule type="duplicateValues" dxfId="184" priority="169"/>
  </conditionalFormatting>
  <conditionalFormatting sqref="Q993:Q995">
    <cfRule type="duplicateValues" dxfId="183" priority="168"/>
  </conditionalFormatting>
  <conditionalFormatting sqref="Q993:R995">
    <cfRule type="duplicateValues" dxfId="182" priority="167"/>
  </conditionalFormatting>
  <conditionalFormatting sqref="Q993:R995">
    <cfRule type="duplicateValues" dxfId="181" priority="164"/>
    <cfRule type="duplicateValues" dxfId="180" priority="165"/>
    <cfRule type="duplicateValues" dxfId="179" priority="166"/>
  </conditionalFormatting>
  <conditionalFormatting sqref="R993:R995">
    <cfRule type="duplicateValues" dxfId="178" priority="163"/>
  </conditionalFormatting>
  <conditionalFormatting sqref="Q993:Q995">
    <cfRule type="duplicateValues" dxfId="177" priority="162"/>
  </conditionalFormatting>
  <conditionalFormatting sqref="Q993:Q995">
    <cfRule type="duplicateValues" dxfId="176" priority="159"/>
    <cfRule type="duplicateValues" dxfId="175" priority="160"/>
    <cfRule type="duplicateValues" dxfId="174" priority="161"/>
  </conditionalFormatting>
  <conditionalFormatting sqref="R993:R995">
    <cfRule type="duplicateValues" dxfId="173" priority="156"/>
    <cfRule type="duplicateValues" dxfId="172" priority="157"/>
    <cfRule type="duplicateValues" dxfId="171" priority="158"/>
  </conditionalFormatting>
  <conditionalFormatting sqref="Q993:Q995">
    <cfRule type="duplicateValues" dxfId="170" priority="154"/>
    <cfRule type="duplicateValues" dxfId="169" priority="155"/>
  </conditionalFormatting>
  <conditionalFormatting sqref="Q993:Q995">
    <cfRule type="duplicateValues" dxfId="168" priority="153"/>
  </conditionalFormatting>
  <conditionalFormatting sqref="Q993:Q995">
    <cfRule type="duplicateValues" dxfId="167" priority="152"/>
  </conditionalFormatting>
  <conditionalFormatting sqref="Q993:Q995">
    <cfRule type="duplicateValues" dxfId="166" priority="151"/>
  </conditionalFormatting>
  <conditionalFormatting sqref="Q993:Q995">
    <cfRule type="duplicateValues" dxfId="165" priority="150"/>
  </conditionalFormatting>
  <conditionalFormatting sqref="Q996:R997">
    <cfRule type="duplicateValues" dxfId="148" priority="149"/>
  </conditionalFormatting>
  <conditionalFormatting sqref="Q996:R997">
    <cfRule type="duplicateValues" dxfId="147" priority="146"/>
    <cfRule type="duplicateValues" dxfId="146" priority="147"/>
    <cfRule type="duplicateValues" dxfId="145" priority="148"/>
  </conditionalFormatting>
  <conditionalFormatting sqref="R996:R997">
    <cfRule type="duplicateValues" dxfId="144" priority="145"/>
  </conditionalFormatting>
  <conditionalFormatting sqref="Q996:R997">
    <cfRule type="duplicateValues" dxfId="143" priority="144"/>
  </conditionalFormatting>
  <conditionalFormatting sqref="Q996:Q997">
    <cfRule type="duplicateValues" dxfId="142" priority="143"/>
  </conditionalFormatting>
  <conditionalFormatting sqref="Q996:Q997">
    <cfRule type="duplicateValues" dxfId="141" priority="142"/>
  </conditionalFormatting>
  <conditionalFormatting sqref="Q996:Q997">
    <cfRule type="duplicateValues" dxfId="140" priority="141"/>
  </conditionalFormatting>
  <conditionalFormatting sqref="Q996:Q997">
    <cfRule type="duplicateValues" dxfId="139" priority="140"/>
  </conditionalFormatting>
  <conditionalFormatting sqref="R996:R997">
    <cfRule type="duplicateValues" dxfId="138" priority="139"/>
  </conditionalFormatting>
  <conditionalFormatting sqref="Q996:Q997">
    <cfRule type="duplicateValues" dxfId="137" priority="137"/>
    <cfRule type="duplicateValues" dxfId="136" priority="138"/>
  </conditionalFormatting>
  <conditionalFormatting sqref="Q996:Q997">
    <cfRule type="duplicateValues" dxfId="135" priority="136"/>
  </conditionalFormatting>
  <conditionalFormatting sqref="Q996:Q997">
    <cfRule type="duplicateValues" dxfId="134" priority="135"/>
  </conditionalFormatting>
  <conditionalFormatting sqref="Q996:Q997">
    <cfRule type="duplicateValues" dxfId="133" priority="134"/>
  </conditionalFormatting>
  <conditionalFormatting sqref="Q996:Q997">
    <cfRule type="duplicateValues" dxfId="132" priority="133"/>
  </conditionalFormatting>
  <conditionalFormatting sqref="Q996:Q997">
    <cfRule type="duplicateValues" dxfId="131" priority="132"/>
  </conditionalFormatting>
  <conditionalFormatting sqref="Q996:Q997">
    <cfRule type="duplicateValues" dxfId="130" priority="131"/>
  </conditionalFormatting>
  <conditionalFormatting sqref="Q996:Q997">
    <cfRule type="duplicateValues" dxfId="129" priority="130"/>
  </conditionalFormatting>
  <conditionalFormatting sqref="Q996:Q997">
    <cfRule type="duplicateValues" dxfId="128" priority="129"/>
  </conditionalFormatting>
  <conditionalFormatting sqref="Q996:R997">
    <cfRule type="duplicateValues" dxfId="127" priority="128"/>
  </conditionalFormatting>
  <conditionalFormatting sqref="Q996:R997">
    <cfRule type="duplicateValues" dxfId="126" priority="125"/>
    <cfRule type="duplicateValues" dxfId="125" priority="126"/>
    <cfRule type="duplicateValues" dxfId="124" priority="127"/>
  </conditionalFormatting>
  <conditionalFormatting sqref="R996:R997">
    <cfRule type="duplicateValues" dxfId="123" priority="124"/>
  </conditionalFormatting>
  <conditionalFormatting sqref="Q996:Q997">
    <cfRule type="duplicateValues" dxfId="122" priority="123"/>
  </conditionalFormatting>
  <conditionalFormatting sqref="Q996:Q997">
    <cfRule type="duplicateValues" dxfId="121" priority="120"/>
    <cfRule type="duplicateValues" dxfId="120" priority="121"/>
    <cfRule type="duplicateValues" dxfId="119" priority="122"/>
  </conditionalFormatting>
  <conditionalFormatting sqref="R996:R997">
    <cfRule type="duplicateValues" dxfId="118" priority="117"/>
    <cfRule type="duplicateValues" dxfId="117" priority="118"/>
    <cfRule type="duplicateValues" dxfId="116" priority="119"/>
  </conditionalFormatting>
  <conditionalFormatting sqref="Q996:Q997">
    <cfRule type="duplicateValues" dxfId="115" priority="115"/>
    <cfRule type="duplicateValues" dxfId="114" priority="116"/>
  </conditionalFormatting>
  <conditionalFormatting sqref="Q996:Q997">
    <cfRule type="duplicateValues" dxfId="113" priority="114"/>
  </conditionalFormatting>
  <conditionalFormatting sqref="Q996:Q997">
    <cfRule type="duplicateValues" dxfId="112" priority="113"/>
  </conditionalFormatting>
  <conditionalFormatting sqref="Q996:Q997">
    <cfRule type="duplicateValues" dxfId="111" priority="112"/>
  </conditionalFormatting>
  <conditionalFormatting sqref="Q996:Q997">
    <cfRule type="duplicateValues" dxfId="110" priority="111"/>
  </conditionalFormatting>
  <conditionalFormatting sqref="Q1002">
    <cfRule type="duplicateValues" dxfId="109" priority="110"/>
  </conditionalFormatting>
  <conditionalFormatting sqref="Q1002">
    <cfRule type="duplicateValues" dxfId="108" priority="109"/>
  </conditionalFormatting>
  <conditionalFormatting sqref="Q1002">
    <cfRule type="duplicateValues" dxfId="107" priority="108"/>
  </conditionalFormatting>
  <conditionalFormatting sqref="Q1002">
    <cfRule type="duplicateValues" dxfId="106" priority="107"/>
  </conditionalFormatting>
  <conditionalFormatting sqref="Q1002">
    <cfRule type="duplicateValues" dxfId="105" priority="106"/>
  </conditionalFormatting>
  <conditionalFormatting sqref="Q1002:R1002">
    <cfRule type="duplicateValues" dxfId="104" priority="105"/>
  </conditionalFormatting>
  <conditionalFormatting sqref="Q1002:R1002">
    <cfRule type="duplicateValues" dxfId="103" priority="102"/>
    <cfRule type="duplicateValues" dxfId="102" priority="103"/>
    <cfRule type="duplicateValues" dxfId="101" priority="104"/>
  </conditionalFormatting>
  <conditionalFormatting sqref="R1002">
    <cfRule type="duplicateValues" dxfId="100" priority="101"/>
  </conditionalFormatting>
  <conditionalFormatting sqref="Q1002">
    <cfRule type="duplicateValues" dxfId="99" priority="100"/>
  </conditionalFormatting>
  <conditionalFormatting sqref="Q1002">
    <cfRule type="duplicateValues" dxfId="98" priority="97"/>
    <cfRule type="duplicateValues" dxfId="97" priority="98"/>
    <cfRule type="duplicateValues" dxfId="96" priority="99"/>
  </conditionalFormatting>
  <conditionalFormatting sqref="R1002">
    <cfRule type="duplicateValues" dxfId="95" priority="94"/>
    <cfRule type="duplicateValues" dxfId="94" priority="95"/>
    <cfRule type="duplicateValues" dxfId="93" priority="96"/>
  </conditionalFormatting>
  <conditionalFormatting sqref="Q1002">
    <cfRule type="duplicateValues" dxfId="92" priority="92"/>
    <cfRule type="duplicateValues" dxfId="91" priority="93"/>
  </conditionalFormatting>
  <conditionalFormatting sqref="Q1002">
    <cfRule type="duplicateValues" dxfId="90" priority="91"/>
  </conditionalFormatting>
  <conditionalFormatting sqref="Q1002">
    <cfRule type="duplicateValues" dxfId="89" priority="90"/>
  </conditionalFormatting>
  <conditionalFormatting sqref="Q1002">
    <cfRule type="duplicateValues" dxfId="88" priority="89"/>
  </conditionalFormatting>
  <conditionalFormatting sqref="Q1002">
    <cfRule type="duplicateValues" dxfId="87" priority="88"/>
  </conditionalFormatting>
  <conditionalFormatting sqref="Q1006:R1006">
    <cfRule type="duplicateValues" dxfId="86" priority="87"/>
  </conditionalFormatting>
  <conditionalFormatting sqref="Q1006:R1006">
    <cfRule type="duplicateValues" dxfId="85" priority="84"/>
    <cfRule type="duplicateValues" dxfId="84" priority="85"/>
    <cfRule type="duplicateValues" dxfId="83" priority="86"/>
  </conditionalFormatting>
  <conditionalFormatting sqref="R1006">
    <cfRule type="duplicateValues" dxfId="82" priority="83"/>
  </conditionalFormatting>
  <conditionalFormatting sqref="Q1006:R1006">
    <cfRule type="duplicateValues" dxfId="81" priority="82"/>
  </conditionalFormatting>
  <conditionalFormatting sqref="Q1006">
    <cfRule type="duplicateValues" dxfId="80" priority="81"/>
  </conditionalFormatting>
  <conditionalFormatting sqref="Q1006">
    <cfRule type="duplicateValues" dxfId="79" priority="80"/>
  </conditionalFormatting>
  <conditionalFormatting sqref="Q1006">
    <cfRule type="duplicateValues" dxfId="78" priority="79"/>
  </conditionalFormatting>
  <conditionalFormatting sqref="Q1006">
    <cfRule type="duplicateValues" dxfId="77" priority="78"/>
  </conditionalFormatting>
  <conditionalFormatting sqref="R1006">
    <cfRule type="duplicateValues" dxfId="76" priority="77"/>
  </conditionalFormatting>
  <conditionalFormatting sqref="Q1006">
    <cfRule type="duplicateValues" dxfId="75" priority="75"/>
    <cfRule type="duplicateValues" dxfId="74" priority="76"/>
  </conditionalFormatting>
  <conditionalFormatting sqref="Q1006">
    <cfRule type="duplicateValues" dxfId="73" priority="74"/>
  </conditionalFormatting>
  <conditionalFormatting sqref="Q1006">
    <cfRule type="duplicateValues" dxfId="72" priority="73"/>
  </conditionalFormatting>
  <conditionalFormatting sqref="Q1006">
    <cfRule type="duplicateValues" dxfId="71" priority="72"/>
  </conditionalFormatting>
  <conditionalFormatting sqref="Q1006">
    <cfRule type="duplicateValues" dxfId="70" priority="71"/>
  </conditionalFormatting>
  <conditionalFormatting sqref="Q1006">
    <cfRule type="duplicateValues" dxfId="69" priority="70"/>
  </conditionalFormatting>
  <conditionalFormatting sqref="Q1006">
    <cfRule type="duplicateValues" dxfId="68" priority="69"/>
  </conditionalFormatting>
  <conditionalFormatting sqref="Q1006">
    <cfRule type="duplicateValues" dxfId="67" priority="68"/>
  </conditionalFormatting>
  <conditionalFormatting sqref="Q1006">
    <cfRule type="duplicateValues" dxfId="66" priority="67"/>
  </conditionalFormatting>
  <conditionalFormatting sqref="Q1006">
    <cfRule type="duplicateValues" dxfId="65" priority="66"/>
  </conditionalFormatting>
  <conditionalFormatting sqref="Q1006">
    <cfRule type="duplicateValues" dxfId="64" priority="65"/>
  </conditionalFormatting>
  <conditionalFormatting sqref="Q1006">
    <cfRule type="duplicateValues" dxfId="63" priority="64"/>
  </conditionalFormatting>
  <conditionalFormatting sqref="Q1006:R1006">
    <cfRule type="duplicateValues" dxfId="62" priority="63"/>
  </conditionalFormatting>
  <conditionalFormatting sqref="Q1006">
    <cfRule type="duplicateValues" dxfId="61" priority="62"/>
  </conditionalFormatting>
  <conditionalFormatting sqref="Q1006:R1006">
    <cfRule type="duplicateValues" dxfId="60" priority="61"/>
  </conditionalFormatting>
  <conditionalFormatting sqref="R1006">
    <cfRule type="duplicateValues" dxfId="59" priority="60"/>
  </conditionalFormatting>
  <conditionalFormatting sqref="Q1006">
    <cfRule type="duplicateValues" dxfId="58" priority="59"/>
  </conditionalFormatting>
  <conditionalFormatting sqref="Q1007:R1007">
    <cfRule type="duplicateValues" dxfId="57" priority="58"/>
  </conditionalFormatting>
  <conditionalFormatting sqref="Q1007:R1007">
    <cfRule type="duplicateValues" dxfId="56" priority="55"/>
    <cfRule type="duplicateValues" dxfId="55" priority="56"/>
    <cfRule type="duplicateValues" dxfId="54" priority="57"/>
  </conditionalFormatting>
  <conditionalFormatting sqref="R1007">
    <cfRule type="duplicateValues" dxfId="53" priority="54"/>
  </conditionalFormatting>
  <conditionalFormatting sqref="Q1007:R1007">
    <cfRule type="duplicateValues" dxfId="52" priority="53"/>
  </conditionalFormatting>
  <conditionalFormatting sqref="Q1007">
    <cfRule type="duplicateValues" dxfId="51" priority="52"/>
  </conditionalFormatting>
  <conditionalFormatting sqref="Q1007">
    <cfRule type="duplicateValues" dxfId="50" priority="51"/>
  </conditionalFormatting>
  <conditionalFormatting sqref="Q1007">
    <cfRule type="duplicateValues" dxfId="49" priority="50"/>
  </conditionalFormatting>
  <conditionalFormatting sqref="Q1007">
    <cfRule type="duplicateValues" dxfId="48" priority="49"/>
  </conditionalFormatting>
  <conditionalFormatting sqref="R1007">
    <cfRule type="duplicateValues" dxfId="47" priority="48"/>
  </conditionalFormatting>
  <conditionalFormatting sqref="Q1007">
    <cfRule type="duplicateValues" dxfId="46" priority="46"/>
    <cfRule type="duplicateValues" dxfId="45" priority="47"/>
  </conditionalFormatting>
  <conditionalFormatting sqref="Q1007">
    <cfRule type="duplicateValues" dxfId="44" priority="45"/>
  </conditionalFormatting>
  <conditionalFormatting sqref="Q1007">
    <cfRule type="duplicateValues" dxfId="43" priority="44"/>
  </conditionalFormatting>
  <conditionalFormatting sqref="Q1007">
    <cfRule type="duplicateValues" dxfId="42" priority="43"/>
  </conditionalFormatting>
  <conditionalFormatting sqref="Q1007">
    <cfRule type="duplicateValues" dxfId="41" priority="42"/>
  </conditionalFormatting>
  <conditionalFormatting sqref="Q1007">
    <cfRule type="duplicateValues" dxfId="40" priority="41"/>
  </conditionalFormatting>
  <conditionalFormatting sqref="Q1007">
    <cfRule type="duplicateValues" dxfId="39" priority="40"/>
  </conditionalFormatting>
  <conditionalFormatting sqref="Q1007">
    <cfRule type="duplicateValues" dxfId="38" priority="39"/>
  </conditionalFormatting>
  <conditionalFormatting sqref="Q1007">
    <cfRule type="duplicateValues" dxfId="37" priority="38"/>
  </conditionalFormatting>
  <conditionalFormatting sqref="Q1007">
    <cfRule type="duplicateValues" dxfId="36" priority="37"/>
  </conditionalFormatting>
  <conditionalFormatting sqref="Q1007">
    <cfRule type="duplicateValues" dxfId="35" priority="36"/>
  </conditionalFormatting>
  <conditionalFormatting sqref="Q1007">
    <cfRule type="duplicateValues" dxfId="34" priority="35"/>
  </conditionalFormatting>
  <conditionalFormatting sqref="Q1007:R1007">
    <cfRule type="duplicateValues" dxfId="33" priority="34"/>
  </conditionalFormatting>
  <conditionalFormatting sqref="Q1007">
    <cfRule type="duplicateValues" dxfId="32" priority="33"/>
  </conditionalFormatting>
  <conditionalFormatting sqref="Q1007:R1007">
    <cfRule type="duplicateValues" dxfId="31" priority="32"/>
  </conditionalFormatting>
  <conditionalFormatting sqref="R1007">
    <cfRule type="duplicateValues" dxfId="30" priority="31"/>
  </conditionalFormatting>
  <conditionalFormatting sqref="Q1007">
    <cfRule type="duplicateValues" dxfId="29" priority="30"/>
  </conditionalFormatting>
  <conditionalFormatting sqref="Q1005:R1005">
    <cfRule type="duplicateValues" dxfId="28" priority="29"/>
  </conditionalFormatting>
  <conditionalFormatting sqref="Q1005:R1005">
    <cfRule type="duplicateValues" dxfId="27" priority="26"/>
    <cfRule type="duplicateValues" dxfId="26" priority="27"/>
    <cfRule type="duplicateValues" dxfId="25" priority="28"/>
  </conditionalFormatting>
  <conditionalFormatting sqref="R1005">
    <cfRule type="duplicateValues" dxfId="24" priority="25"/>
  </conditionalFormatting>
  <conditionalFormatting sqref="Q1005:R1005">
    <cfRule type="duplicateValues" dxfId="23" priority="24"/>
  </conditionalFormatting>
  <conditionalFormatting sqref="Q1005">
    <cfRule type="duplicateValues" dxfId="22" priority="23"/>
  </conditionalFormatting>
  <conditionalFormatting sqref="Q1005">
    <cfRule type="duplicateValues" dxfId="21" priority="22"/>
  </conditionalFormatting>
  <conditionalFormatting sqref="Q1005">
    <cfRule type="duplicateValues" dxfId="20" priority="21"/>
  </conditionalFormatting>
  <conditionalFormatting sqref="Q1005">
    <cfRule type="duplicateValues" dxfId="19" priority="20"/>
  </conditionalFormatting>
  <conditionalFormatting sqref="R1005">
    <cfRule type="duplicateValues" dxfId="18" priority="19"/>
  </conditionalFormatting>
  <conditionalFormatting sqref="Q1005">
    <cfRule type="duplicateValues" dxfId="17" priority="17"/>
    <cfRule type="duplicateValues" dxfId="16" priority="18"/>
  </conditionalFormatting>
  <conditionalFormatting sqref="Q1005">
    <cfRule type="duplicateValues" dxfId="15" priority="16"/>
  </conditionalFormatting>
  <conditionalFormatting sqref="Q1005">
    <cfRule type="duplicateValues" dxfId="14" priority="15"/>
  </conditionalFormatting>
  <conditionalFormatting sqref="Q1005">
    <cfRule type="duplicateValues" dxfId="13" priority="14"/>
  </conditionalFormatting>
  <conditionalFormatting sqref="Q1005">
    <cfRule type="duplicateValues" dxfId="12" priority="13"/>
  </conditionalFormatting>
  <conditionalFormatting sqref="Q1005">
    <cfRule type="duplicateValues" dxfId="11" priority="12"/>
  </conditionalFormatting>
  <conditionalFormatting sqref="Q1005">
    <cfRule type="duplicateValues" dxfId="10" priority="11"/>
  </conditionalFormatting>
  <conditionalFormatting sqref="Q1005">
    <cfRule type="duplicateValues" dxfId="9" priority="10"/>
  </conditionalFormatting>
  <conditionalFormatting sqref="Q1005">
    <cfRule type="duplicateValues" dxfId="8" priority="9"/>
  </conditionalFormatting>
  <conditionalFormatting sqref="Q1005">
    <cfRule type="duplicateValues" dxfId="7" priority="8"/>
  </conditionalFormatting>
  <conditionalFormatting sqref="Q1005">
    <cfRule type="duplicateValues" dxfId="6" priority="7"/>
  </conditionalFormatting>
  <conditionalFormatting sqref="Q1005">
    <cfRule type="duplicateValues" dxfId="5" priority="6"/>
  </conditionalFormatting>
  <conditionalFormatting sqref="Q1005:R1005">
    <cfRule type="duplicateValues" dxfId="4" priority="5"/>
  </conditionalFormatting>
  <conditionalFormatting sqref="Q1005">
    <cfRule type="duplicateValues" dxfId="3" priority="4"/>
  </conditionalFormatting>
  <conditionalFormatting sqref="Q1005:R1005">
    <cfRule type="duplicateValues" dxfId="2" priority="3"/>
  </conditionalFormatting>
  <conditionalFormatting sqref="R1005">
    <cfRule type="duplicateValues" dxfId="1" priority="2"/>
  </conditionalFormatting>
  <conditionalFormatting sqref="Q1005">
    <cfRule type="duplicateValues" dxfId="0" priority="1"/>
  </conditionalFormatting>
  <pageMargins left="7.4652777777777804E-2" right="0.25" top="0.37" bottom="0.49" header="0.3" footer="0.21"/>
  <pageSetup paperSize="9" scale="10" fitToHeight="4" orientation="landscape" r:id="rId1"/>
  <headerFooter differentFirst="1">
    <oddHeader xml:space="preserve">&amp;R
</oddHeader>
    <oddFooter xml:space="preserve">&amp;LASAHI INTECC HANOI CO.,LTD&amp;C   </oddFooter>
    <firstFooter xml:space="preserve">&amp;L  *  E-Form
ASAHI INTECC HANOI CO., LTD&amp;C   &amp;10Remark: Related document:    AVPC- 0100&amp;R Effective date :   05-Feb.25                                                                                                   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C16"/>
  <sheetViews>
    <sheetView zoomScaleNormal="100" workbookViewId="0">
      <pane xSplit="2" ySplit="2" topLeftCell="BK3" activePane="bottomRight" state="frozen"/>
      <selection pane="topRight" activeCell="C1" sqref="C1"/>
      <selection pane="bottomLeft" activeCell="A3" sqref="A3"/>
      <selection pane="bottomRight" activeCell="BO17" sqref="BO17"/>
    </sheetView>
  </sheetViews>
  <sheetFormatPr defaultColWidth="9.21875" defaultRowHeight="15.6"/>
  <cols>
    <col min="1" max="1" width="6.44140625" style="3" customWidth="1"/>
    <col min="2" max="2" width="8.21875" style="13" customWidth="1"/>
    <col min="3" max="16384" width="9.21875" style="3"/>
  </cols>
  <sheetData>
    <row r="1" spans="1:81" ht="20.25" customHeight="1">
      <c r="A1" s="497" t="s">
        <v>24</v>
      </c>
      <c r="B1" s="497"/>
    </row>
    <row r="2" spans="1:81" ht="20.25" customHeight="1">
      <c r="A2" s="498" t="s">
        <v>25</v>
      </c>
      <c r="B2" s="499"/>
      <c r="C2" s="146">
        <v>46174</v>
      </c>
      <c r="D2" s="146">
        <v>46175</v>
      </c>
      <c r="E2" s="146">
        <v>46176</v>
      </c>
      <c r="F2" s="146">
        <v>46177</v>
      </c>
      <c r="G2" s="146">
        <v>46178</v>
      </c>
      <c r="H2" s="146">
        <v>46179</v>
      </c>
      <c r="I2" s="146">
        <v>46180</v>
      </c>
      <c r="J2" s="146">
        <v>46181</v>
      </c>
      <c r="K2" s="146">
        <v>46182</v>
      </c>
      <c r="L2" s="146">
        <v>46183</v>
      </c>
      <c r="M2" s="146">
        <v>46184</v>
      </c>
      <c r="N2" s="146">
        <v>46185</v>
      </c>
      <c r="O2" s="146">
        <v>46186</v>
      </c>
      <c r="P2" s="146">
        <v>46187</v>
      </c>
      <c r="Q2" s="146">
        <v>46188</v>
      </c>
      <c r="R2" s="146">
        <v>46189</v>
      </c>
      <c r="S2" s="146">
        <v>46190</v>
      </c>
      <c r="T2" s="146">
        <v>46191</v>
      </c>
      <c r="U2" s="146">
        <v>46192</v>
      </c>
      <c r="V2" s="146">
        <v>46193</v>
      </c>
      <c r="W2" s="146">
        <v>46194</v>
      </c>
      <c r="X2" s="146">
        <v>46195</v>
      </c>
      <c r="Y2" s="146">
        <v>46196</v>
      </c>
      <c r="Z2" s="146">
        <v>46197</v>
      </c>
      <c r="AA2" s="146">
        <v>46198</v>
      </c>
      <c r="AB2" s="146">
        <v>46199</v>
      </c>
      <c r="AC2" s="146">
        <v>46200</v>
      </c>
      <c r="AD2" s="146">
        <v>46201</v>
      </c>
      <c r="AE2" s="146">
        <v>46202</v>
      </c>
      <c r="AF2" s="146">
        <v>46203</v>
      </c>
      <c r="AG2" s="146">
        <v>46204</v>
      </c>
      <c r="AH2" s="146">
        <v>46205</v>
      </c>
      <c r="AI2" s="146">
        <v>46206</v>
      </c>
      <c r="AJ2" s="146">
        <v>46207</v>
      </c>
      <c r="AK2" s="146">
        <v>46208</v>
      </c>
      <c r="AL2" s="146">
        <v>46209</v>
      </c>
      <c r="AM2" s="146">
        <v>46210</v>
      </c>
      <c r="AN2" s="146">
        <v>46211</v>
      </c>
      <c r="AO2" s="146">
        <v>46212</v>
      </c>
      <c r="AP2" s="146">
        <v>46213</v>
      </c>
      <c r="AQ2" s="146">
        <v>46214</v>
      </c>
      <c r="AR2" s="146">
        <v>46215</v>
      </c>
      <c r="AS2" s="146">
        <v>46216</v>
      </c>
      <c r="AT2" s="146">
        <v>46217</v>
      </c>
      <c r="AU2" s="146">
        <v>46218</v>
      </c>
      <c r="AV2" s="146">
        <v>46219</v>
      </c>
      <c r="AW2" s="146">
        <v>46220</v>
      </c>
      <c r="AX2" s="146">
        <v>46221</v>
      </c>
      <c r="AY2" s="146">
        <v>46222</v>
      </c>
      <c r="AZ2" s="146">
        <v>46223</v>
      </c>
      <c r="BA2" s="146">
        <v>46224</v>
      </c>
      <c r="BB2" s="146">
        <v>46225</v>
      </c>
      <c r="BC2" s="146">
        <v>46226</v>
      </c>
      <c r="BD2" s="146">
        <v>46227</v>
      </c>
      <c r="BE2" s="146">
        <v>46228</v>
      </c>
      <c r="BF2" s="146">
        <v>46229</v>
      </c>
      <c r="BG2" s="146">
        <v>46230</v>
      </c>
      <c r="BH2" s="146">
        <v>46231</v>
      </c>
      <c r="BI2" s="146">
        <v>46232</v>
      </c>
      <c r="BJ2" s="146">
        <v>46233</v>
      </c>
      <c r="BK2" s="146">
        <v>46234</v>
      </c>
      <c r="BL2" s="146">
        <v>46235</v>
      </c>
      <c r="BM2" s="146">
        <v>46236</v>
      </c>
      <c r="BN2" s="146">
        <v>46237</v>
      </c>
      <c r="BO2" s="146">
        <v>46238</v>
      </c>
      <c r="BP2" s="146">
        <v>46239</v>
      </c>
      <c r="BQ2" s="146">
        <v>46240</v>
      </c>
      <c r="BR2" s="146">
        <v>46241</v>
      </c>
      <c r="BS2" s="146">
        <v>46242</v>
      </c>
      <c r="BT2" s="146">
        <v>46243</v>
      </c>
      <c r="BU2" s="146">
        <v>46244</v>
      </c>
      <c r="BV2" s="146">
        <v>46245</v>
      </c>
      <c r="BW2" s="146">
        <v>46246</v>
      </c>
      <c r="BX2" s="146">
        <v>46247</v>
      </c>
      <c r="BY2" s="146">
        <v>46248</v>
      </c>
      <c r="BZ2" s="146">
        <v>46249</v>
      </c>
      <c r="CA2" s="146">
        <v>46250</v>
      </c>
      <c r="CB2" s="146">
        <v>46251</v>
      </c>
      <c r="CC2" s="146">
        <v>46252</v>
      </c>
    </row>
    <row r="3" spans="1:81" s="2" customFormat="1" ht="21" customHeight="1">
      <c r="A3" s="500" t="s">
        <v>26</v>
      </c>
      <c r="B3" s="4" t="s">
        <v>10</v>
      </c>
      <c r="C3" s="5">
        <f>SUMIF(PLAN!$U:$U,total!C2,PLAN!$K:$K)</f>
        <v>0</v>
      </c>
      <c r="D3" s="5">
        <f>SUMIF(PLAN!$U:$U,total!D2,PLAN!$K:$K)</f>
        <v>0</v>
      </c>
      <c r="E3" s="5">
        <f>SUMIF(PLAN!$U:$U,total!E2,PLAN!$K:$K)</f>
        <v>0</v>
      </c>
      <c r="F3" s="5">
        <f>SUMIF(PLAN!$U:$U,total!F2,PLAN!$K:$K)</f>
        <v>0</v>
      </c>
      <c r="G3" s="5">
        <f>SUMIF(PLAN!$U:$U,total!G2,PLAN!$K:$K)</f>
        <v>0</v>
      </c>
      <c r="H3" s="5">
        <f>SUMIF(PLAN!$U:$U,total!H2,PLAN!$K:$K)</f>
        <v>0</v>
      </c>
      <c r="I3" s="5">
        <f>SUMIF(PLAN!$U:$U,total!I2,PLAN!$K:$K)</f>
        <v>0</v>
      </c>
      <c r="J3" s="5">
        <f>SUMIF(PLAN!$U:$U,total!J2,PLAN!$K:$K)</f>
        <v>0</v>
      </c>
      <c r="K3" s="5">
        <f>SUMIF(PLAN!$U:$U,total!K2,PLAN!$K:$K)</f>
        <v>0</v>
      </c>
      <c r="L3" s="5">
        <f>SUMIF(PLAN!$U:$U,total!L2,PLAN!$K:$K)</f>
        <v>0</v>
      </c>
      <c r="M3" s="5">
        <f>SUMIF(PLAN!$U:$U,total!M2,PLAN!$K:$K)</f>
        <v>0</v>
      </c>
      <c r="N3" s="5">
        <f>SUMIF(PLAN!$U:$U,total!N2,PLAN!$K:$K)</f>
        <v>0</v>
      </c>
      <c r="O3" s="5">
        <f>SUMIF(PLAN!$U:$U,total!O2,PLAN!$K:$K)</f>
        <v>0</v>
      </c>
      <c r="P3" s="5">
        <f>SUMIF(PLAN!$U:$U,total!P2,PLAN!$K:$K)</f>
        <v>0</v>
      </c>
      <c r="Q3" s="5">
        <f>SUMIF(PLAN!$U:$U,total!Q2,PLAN!$K:$K)</f>
        <v>0</v>
      </c>
      <c r="R3" s="5">
        <f>SUMIF(PLAN!$U:$U,total!R2,PLAN!$K:$K)</f>
        <v>0</v>
      </c>
      <c r="S3" s="5">
        <f>SUMIF(PLAN!$U:$U,total!S2,PLAN!$K:$K)</f>
        <v>0</v>
      </c>
      <c r="T3" s="5">
        <f>SUMIF(PLAN!$U:$U,total!T2,PLAN!$K:$K)</f>
        <v>0</v>
      </c>
      <c r="U3" s="5">
        <f>SUMIF(PLAN!$U:$U,total!U2,PLAN!$K:$K)</f>
        <v>0</v>
      </c>
      <c r="V3" s="5">
        <f>SUMIF(PLAN!$U:$U,total!V2,PLAN!$K:$K)</f>
        <v>0</v>
      </c>
      <c r="W3" s="5">
        <f>SUMIF(PLAN!$U:$U,total!W2,PLAN!$K:$K)</f>
        <v>0</v>
      </c>
      <c r="X3" s="5">
        <f>SUMIF(PLAN!$U:$U,total!X2,PLAN!$K:$K)</f>
        <v>0</v>
      </c>
      <c r="Y3" s="5">
        <f>SUMIF(PLAN!$U:$U,total!Y2,PLAN!$K:$K)</f>
        <v>0</v>
      </c>
      <c r="Z3" s="5">
        <f>SUMIF(PLAN!$U:$U,total!Z2,PLAN!$K:$K)</f>
        <v>0</v>
      </c>
      <c r="AA3" s="5">
        <f>SUMIF(PLAN!$U:$U,total!AA2,PLAN!$K:$K)</f>
        <v>0</v>
      </c>
      <c r="AB3" s="5">
        <f>SUMIF(PLAN!$U:$U,total!AB2,PLAN!$K:$K)</f>
        <v>0</v>
      </c>
      <c r="AC3" s="5">
        <f>SUMIF(PLAN!$U:$U,total!AC2,PLAN!$K:$K)</f>
        <v>0</v>
      </c>
      <c r="AD3" s="5">
        <f>SUMIF(PLAN!$U:$U,total!AD2,PLAN!$K:$K)</f>
        <v>0</v>
      </c>
      <c r="AE3" s="5">
        <f>SUMIF(PLAN!$U:$U,total!AE2,PLAN!$K:$K)</f>
        <v>0</v>
      </c>
      <c r="AF3" s="5">
        <f>SUMIF(PLAN!$U:$U,total!AF2,PLAN!$K:$K)</f>
        <v>0</v>
      </c>
      <c r="AG3" s="5">
        <f>SUMIF(PLAN!$U:$U,total!AG2,PLAN!$K:$K)</f>
        <v>0</v>
      </c>
      <c r="AH3" s="5">
        <f>SUMIF(PLAN!$U:$U,total!AH2,PLAN!$K:$K)</f>
        <v>0</v>
      </c>
      <c r="AI3" s="5">
        <f>SUMIF(PLAN!$U:$U,total!AI2,PLAN!$K:$K)</f>
        <v>3306</v>
      </c>
      <c r="AJ3" s="5">
        <f>SUMIF(PLAN!$U:$U,total!AJ2,PLAN!$K:$K)</f>
        <v>0</v>
      </c>
      <c r="AK3" s="5">
        <f>SUMIF(PLAN!$U:$U,total!AK2,PLAN!$K:$K)</f>
        <v>0</v>
      </c>
      <c r="AL3" s="5">
        <f>SUMIF(PLAN!$U:$U,total!AL2,PLAN!$K:$K)</f>
        <v>0</v>
      </c>
      <c r="AM3" s="5">
        <f>SUMIF(PLAN!$U:$U,total!AM2,PLAN!$K:$K)</f>
        <v>0</v>
      </c>
      <c r="AN3" s="5">
        <f>SUMIF(PLAN!$U:$U,total!AN2,PLAN!$K:$K)</f>
        <v>0</v>
      </c>
      <c r="AO3" s="5">
        <f>SUMIF(PLAN!$U:$U,total!AO2,PLAN!$K:$K)</f>
        <v>0</v>
      </c>
      <c r="AP3" s="5">
        <f>SUMIF(PLAN!$U:$U,total!AP2,PLAN!$K:$K)</f>
        <v>0</v>
      </c>
      <c r="AQ3" s="5">
        <f>SUMIF(PLAN!$U:$U,total!AQ2,PLAN!$K:$K)</f>
        <v>0</v>
      </c>
      <c r="AR3" s="5">
        <f>SUMIF(PLAN!$U:$U,total!AR2,PLAN!$K:$K)</f>
        <v>0</v>
      </c>
      <c r="AS3" s="5">
        <f>SUMIF(PLAN!$U:$U,total!AS2,PLAN!$K:$K)</f>
        <v>0</v>
      </c>
      <c r="AT3" s="5">
        <f>SUMIF(PLAN!$U:$U,total!AT2,PLAN!$K:$K)</f>
        <v>0</v>
      </c>
      <c r="AU3" s="5">
        <f>SUMIF(PLAN!$U:$U,total!AU2,PLAN!$K:$K)</f>
        <v>626</v>
      </c>
      <c r="AV3" s="5">
        <f>SUMIF(PLAN!$U:$U,total!AV2,PLAN!$K:$K)</f>
        <v>2356</v>
      </c>
      <c r="AW3" s="5">
        <f>SUMIF(PLAN!$U:$U,total!AW2,PLAN!$K:$K)</f>
        <v>1564</v>
      </c>
      <c r="AX3" s="5">
        <f>SUMIF(PLAN!$U:$U,total!AX2,PLAN!$K:$K)</f>
        <v>487</v>
      </c>
      <c r="AY3" s="5">
        <f>SUMIF(PLAN!$U:$U,total!AY2,PLAN!$K:$K)</f>
        <v>0</v>
      </c>
      <c r="AZ3" s="5">
        <f>SUMIF(PLAN!$U:$U,total!AZ2,PLAN!$K:$K)</f>
        <v>720</v>
      </c>
      <c r="BA3" s="5">
        <f>SUMIF(PLAN!$U:$U,total!BA2,PLAN!$K:$K)</f>
        <v>3118</v>
      </c>
      <c r="BB3" s="5">
        <f>SUMIF(PLAN!$U:$U,total!BB2,PLAN!$K:$K)</f>
        <v>1326</v>
      </c>
      <c r="BC3" s="5">
        <f>SUMIF(PLAN!$U:$U,total!BC2,PLAN!$K:$K)</f>
        <v>901</v>
      </c>
      <c r="BD3" s="5">
        <f>SUMIF(PLAN!$U:$U,total!BD2,PLAN!$K:$K)</f>
        <v>3099</v>
      </c>
      <c r="BE3" s="5">
        <f>SUMIF(PLAN!$U:$U,total!BE2,PLAN!$K:$K)</f>
        <v>0</v>
      </c>
      <c r="BF3" s="5">
        <f>SUMIF(PLAN!$U:$U,total!BF2,PLAN!$K:$K)</f>
        <v>0</v>
      </c>
      <c r="BG3" s="5">
        <f>SUMIF(PLAN!$U:$U,total!BG2,PLAN!$K:$K)</f>
        <v>1367</v>
      </c>
      <c r="BH3" s="5">
        <f>SUMIF(PLAN!$U:$U,total!BH2,PLAN!$K:$K)</f>
        <v>1250</v>
      </c>
      <c r="BI3" s="5">
        <f>SUMIF(PLAN!$U:$U,total!BI2,PLAN!$K:$K)</f>
        <v>1250</v>
      </c>
      <c r="BJ3" s="5">
        <f>SUMIF(PLAN!$U:$U,total!BJ2,PLAN!$K:$K)</f>
        <v>1345</v>
      </c>
      <c r="BK3" s="5">
        <f>SUMIF(PLAN!$U:$U,total!BK2,PLAN!$K:$K)</f>
        <v>956</v>
      </c>
      <c r="BL3" s="5">
        <f>SUMIF(PLAN!$U:$U,total!BL2,PLAN!$K:$K)</f>
        <v>2748</v>
      </c>
      <c r="BM3" s="5">
        <f>SUMIF(PLAN!$U:$U,total!BM2,PLAN!$K:$K)</f>
        <v>0</v>
      </c>
      <c r="BN3" s="5">
        <f>SUMIF(PLAN!$U:$U,total!BN2,PLAN!$K:$K)</f>
        <v>891</v>
      </c>
      <c r="BO3" s="5">
        <f>SUMIF(PLAN!$U:$U,total!BO2,PLAN!$K:$K)</f>
        <v>0</v>
      </c>
      <c r="BP3" s="5">
        <f>SUMIF(PLAN!$U:$U,total!BP2,PLAN!$K:$K)</f>
        <v>1979</v>
      </c>
      <c r="BQ3" s="5">
        <f>SUMIF(PLAN!$U:$U,total!BQ2,PLAN!$K:$K)</f>
        <v>0</v>
      </c>
      <c r="BR3" s="5">
        <f>SUMIF(PLAN!$U:$U,total!BR2,PLAN!$K:$K)</f>
        <v>2062</v>
      </c>
      <c r="BS3" s="5">
        <f>SUMIF(PLAN!$U:$U,total!BS2,PLAN!$K:$K)</f>
        <v>3613</v>
      </c>
      <c r="BT3" s="5">
        <f>SUMIF(PLAN!$U:$U,total!BT2,PLAN!$K:$K)</f>
        <v>0</v>
      </c>
      <c r="BU3" s="5">
        <f>SUMIF(PLAN!$U:$U,total!BU2,PLAN!$K:$K)</f>
        <v>0</v>
      </c>
      <c r="BV3" s="5">
        <f>SUMIF(PLAN!$U:$U,total!BV2,PLAN!$K:$K)</f>
        <v>0</v>
      </c>
      <c r="BW3" s="5">
        <f>SUMIF(PLAN!$U:$U,total!BW2,PLAN!$K:$K)</f>
        <v>0</v>
      </c>
      <c r="BX3" s="5">
        <f>SUMIF(PLAN!$U:$U,total!BX2,PLAN!$K:$K)</f>
        <v>3598</v>
      </c>
      <c r="BY3" s="5">
        <f>SUMIF(PLAN!$U:$U,total!BY2,PLAN!$K:$K)</f>
        <v>3915</v>
      </c>
      <c r="BZ3" s="5">
        <f>SUMIF(PLAN!$U:$U,total!BZ2,PLAN!$K:$K)</f>
        <v>3940</v>
      </c>
      <c r="CA3" s="5">
        <f>SUMIF(PLAN!$U:$U,total!CA2,PLAN!$K:$K)</f>
        <v>0</v>
      </c>
      <c r="CB3" s="5">
        <f>SUMIF(PLAN!$U:$U,total!CB2,PLAN!$K:$K)</f>
        <v>3904</v>
      </c>
      <c r="CC3" s="5">
        <f>SUMIF(PLAN!$U:$U,total!CC2,PLAN!$K:$K)</f>
        <v>3892</v>
      </c>
    </row>
    <row r="4" spans="1:81" s="2" customFormat="1" ht="21" customHeight="1">
      <c r="A4" s="501"/>
      <c r="B4" s="6" t="s">
        <v>27</v>
      </c>
      <c r="C4" s="7">
        <f>SUMIF(PLAN!$U:$U,total!C2,PLAN!$Z:$Z)</f>
        <v>0</v>
      </c>
      <c r="D4" s="7">
        <f>SUMIF(PLAN!$U:$U,total!D2,PLAN!$Z:$Z)</f>
        <v>0</v>
      </c>
      <c r="E4" s="7">
        <f>SUMIF(PLAN!$U:$U,total!E2,PLAN!$Z:$Z)</f>
        <v>0</v>
      </c>
      <c r="F4" s="7">
        <f>SUMIF(PLAN!$U:$U,total!F2,PLAN!$Z:$Z)</f>
        <v>0</v>
      </c>
      <c r="G4" s="7">
        <f>SUMIF(PLAN!$U:$U,total!G2,PLAN!$Z:$Z)</f>
        <v>0</v>
      </c>
      <c r="H4" s="7">
        <f>SUMIF(PLAN!$U:$U,total!H2,PLAN!$Z:$Z)</f>
        <v>0</v>
      </c>
      <c r="I4" s="7">
        <f>SUMIF(PLAN!$U:$U,total!I2,PLAN!$Z:$Z)</f>
        <v>0</v>
      </c>
      <c r="J4" s="7">
        <f>SUMIF(PLAN!$U:$U,total!J2,PLAN!$Z:$Z)</f>
        <v>0</v>
      </c>
      <c r="K4" s="7">
        <f>SUMIF(PLAN!$U:$U,total!K2,PLAN!$Z:$Z)</f>
        <v>0</v>
      </c>
      <c r="L4" s="7">
        <f>SUMIF(PLAN!$U:$U,total!L2,PLAN!$Z:$Z)</f>
        <v>0</v>
      </c>
      <c r="M4" s="7">
        <f>SUMIF(PLAN!$U:$U,total!M2,PLAN!$Z:$Z)</f>
        <v>0</v>
      </c>
      <c r="N4" s="7">
        <f>SUMIF(PLAN!$U:$U,total!N2,PLAN!$Z:$Z)</f>
        <v>0</v>
      </c>
      <c r="O4" s="7">
        <f>SUMIF(PLAN!$U:$U,total!O2,PLAN!$Z:$Z)</f>
        <v>0</v>
      </c>
      <c r="P4" s="7">
        <f>SUMIF(PLAN!$U:$U,total!P2,PLAN!$Z:$Z)</f>
        <v>0</v>
      </c>
      <c r="Q4" s="7">
        <f>SUMIF(PLAN!$U:$U,total!Q2,PLAN!$Z:$Z)</f>
        <v>0</v>
      </c>
      <c r="R4" s="7">
        <f>SUMIF(PLAN!$U:$U,total!R2,PLAN!$Z:$Z)</f>
        <v>0</v>
      </c>
      <c r="S4" s="7">
        <f>SUMIF(PLAN!$U:$U,total!S2,PLAN!$Z:$Z)</f>
        <v>0</v>
      </c>
      <c r="T4" s="7">
        <f>SUMIF(PLAN!$U:$U,total!T2,PLAN!$Z:$Z)</f>
        <v>0</v>
      </c>
      <c r="U4" s="7">
        <f>SUMIF(PLAN!$U:$U,total!U2,PLAN!$Z:$Z)</f>
        <v>0</v>
      </c>
      <c r="V4" s="7">
        <f>SUMIF(PLAN!$U:$U,total!V2,PLAN!$Z:$Z)</f>
        <v>0</v>
      </c>
      <c r="W4" s="7">
        <f>SUMIF(PLAN!$U:$U,total!W2,PLAN!$Z:$Z)</f>
        <v>0</v>
      </c>
      <c r="X4" s="7">
        <f>SUMIF(PLAN!$U:$U,total!X2,PLAN!$Z:$Z)</f>
        <v>0</v>
      </c>
      <c r="Y4" s="7">
        <f>SUMIF(PLAN!$U:$U,total!Y2,PLAN!$Z:$Z)</f>
        <v>0</v>
      </c>
      <c r="Z4" s="7">
        <f>SUMIF(PLAN!$U:$U,total!Z2,PLAN!$Z:$Z)</f>
        <v>0</v>
      </c>
      <c r="AA4" s="7">
        <f>SUMIF(PLAN!$U:$U,total!AA2,PLAN!$Z:$Z)</f>
        <v>0</v>
      </c>
      <c r="AB4" s="7">
        <f>SUMIF(PLAN!$U:$U,total!AB2,PLAN!$Z:$Z)</f>
        <v>0</v>
      </c>
      <c r="AC4" s="7">
        <f>SUMIF(PLAN!$U:$U,total!AC2,PLAN!$Z:$Z)</f>
        <v>0</v>
      </c>
      <c r="AD4" s="7">
        <f>SUMIF(PLAN!$U:$U,total!AD2,PLAN!$Z:$Z)</f>
        <v>0</v>
      </c>
      <c r="AE4" s="7">
        <f>SUMIF(PLAN!$U:$U,total!AE2,PLAN!$Z:$Z)</f>
        <v>0</v>
      </c>
      <c r="AF4" s="7">
        <f>SUMIF(PLAN!$U:$U,total!AF2,PLAN!$Z:$Z)</f>
        <v>0</v>
      </c>
      <c r="AG4" s="7">
        <f>SUMIF(PLAN!$U:$U,total!AG2,PLAN!$Z:$Z)</f>
        <v>0</v>
      </c>
      <c r="AH4" s="7">
        <f>SUMIF(PLAN!$U:$U,total!AH2,PLAN!$Z:$Z)</f>
        <v>0</v>
      </c>
      <c r="AI4" s="7">
        <f>SUMIF(PLAN!$U:$U,total!AI2,PLAN!$Z:$Z)</f>
        <v>6496.29</v>
      </c>
      <c r="AJ4" s="7">
        <f>SUMIF(PLAN!$U:$U,total!AJ2,PLAN!$Z:$Z)</f>
        <v>0</v>
      </c>
      <c r="AK4" s="7">
        <f>SUMIF(PLAN!$U:$U,total!AK2,PLAN!$Z:$Z)</f>
        <v>0</v>
      </c>
      <c r="AL4" s="7">
        <f>SUMIF(PLAN!$U:$U,total!AL2,PLAN!$Z:$Z)</f>
        <v>0</v>
      </c>
      <c r="AM4" s="7">
        <f>SUMIF(PLAN!$U:$U,total!AM2,PLAN!$Z:$Z)</f>
        <v>0</v>
      </c>
      <c r="AN4" s="7">
        <f>SUMIF(PLAN!$U:$U,total!AN2,PLAN!$Z:$Z)</f>
        <v>0</v>
      </c>
      <c r="AO4" s="7">
        <f>SUMIF(PLAN!$U:$U,total!AO2,PLAN!$Z:$Z)</f>
        <v>0</v>
      </c>
      <c r="AP4" s="7">
        <f>SUMIF(PLAN!$U:$U,total!AP2,PLAN!$Z:$Z)</f>
        <v>0</v>
      </c>
      <c r="AQ4" s="7">
        <f>SUMIF(PLAN!$U:$U,total!AQ2,PLAN!$Z:$Z)</f>
        <v>0</v>
      </c>
      <c r="AR4" s="7">
        <f>SUMIF(PLAN!$U:$U,total!AR2,PLAN!$Z:$Z)</f>
        <v>0</v>
      </c>
      <c r="AS4" s="7">
        <f>SUMIF(PLAN!$U:$U,total!AS2,PLAN!$Z:$Z)</f>
        <v>0</v>
      </c>
      <c r="AT4" s="7">
        <f>SUMIF(PLAN!$U:$U,total!AT2,PLAN!$Z:$Z)</f>
        <v>0</v>
      </c>
      <c r="AU4" s="7">
        <f>SUMIF(PLAN!$U:$U,total!AU2,PLAN!$Z:$Z)</f>
        <v>672.95</v>
      </c>
      <c r="AV4" s="7">
        <f>SUMIF(PLAN!$U:$U,total!AV2,PLAN!$Z:$Z)</f>
        <v>2532.6999999999998</v>
      </c>
      <c r="AW4" s="7">
        <f>SUMIF(PLAN!$U:$U,total!AW2,PLAN!$Z:$Z)</f>
        <v>6099.6</v>
      </c>
      <c r="AX4" s="7">
        <f>SUMIF(PLAN!$U:$U,total!AX2,PLAN!$Z:$Z)</f>
        <v>1899.3000000000002</v>
      </c>
      <c r="AY4" s="7">
        <f>SUMIF(PLAN!$U:$U,total!AY2,PLAN!$Z:$Z)</f>
        <v>0</v>
      </c>
      <c r="AZ4" s="7">
        <f>SUMIF(PLAN!$U:$U,total!AZ2,PLAN!$Z:$Z)</f>
        <v>2808</v>
      </c>
      <c r="BA4" s="7">
        <f>SUMIF(PLAN!$U:$U,total!BA2,PLAN!$Z:$Z)</f>
        <v>7882.65</v>
      </c>
      <c r="BB4" s="7">
        <f>SUMIF(PLAN!$U:$U,total!BB2,PLAN!$Z:$Z)</f>
        <v>2831.4</v>
      </c>
      <c r="BC4" s="7">
        <f>SUMIF(PLAN!$U:$U,total!BC2,PLAN!$Z:$Z)</f>
        <v>3299.4</v>
      </c>
      <c r="BD4" s="7">
        <f>SUMIF(PLAN!$U:$U,total!BD2,PLAN!$Z:$Z)</f>
        <v>6539.85</v>
      </c>
      <c r="BE4" s="7">
        <f>SUMIF(PLAN!$U:$U,total!BE2,PLAN!$Z:$Z)</f>
        <v>0</v>
      </c>
      <c r="BF4" s="7">
        <f>SUMIF(PLAN!$U:$U,total!BF2,PLAN!$Z:$Z)</f>
        <v>0</v>
      </c>
      <c r="BG4" s="7">
        <f>SUMIF(PLAN!$U:$U,total!BG2,PLAN!$Z:$Z)</f>
        <v>4784.5466666666671</v>
      </c>
      <c r="BH4" s="7">
        <f>SUMIF(PLAN!$U:$U,total!BH2,PLAN!$Z:$Z)</f>
        <v>4874.9999999999991</v>
      </c>
      <c r="BI4" s="7">
        <f>SUMIF(PLAN!$U:$U,total!BI2,PLAN!$Z:$Z)</f>
        <v>4875</v>
      </c>
      <c r="BJ4" s="7">
        <f>SUMIF(PLAN!$U:$U,total!BJ2,PLAN!$Z:$Z)</f>
        <v>4860.8666666666668</v>
      </c>
      <c r="BK4" s="7">
        <f>SUMIF(PLAN!$U:$U,total!BK2,PLAN!$Z:$Z)</f>
        <v>3340.89</v>
      </c>
      <c r="BL4" s="7">
        <f>SUMIF(PLAN!$U:$U,total!BL2,PLAN!$Z:$Z)</f>
        <v>6032.913333333332</v>
      </c>
      <c r="BM4" s="7">
        <f>SUMIF(PLAN!$U:$U,total!BM2,PLAN!$Z:$Z)</f>
        <v>0</v>
      </c>
      <c r="BN4" s="7">
        <f>SUMIF(PLAN!$U:$U,total!BN2,PLAN!$Z:$Z)</f>
        <v>3474.9</v>
      </c>
      <c r="BO4" s="7">
        <f>SUMIF(PLAN!$U:$U,total!BO2,PLAN!$Z:$Z)</f>
        <v>0</v>
      </c>
      <c r="BP4" s="7">
        <f>SUMIF(PLAN!$U:$U,total!BP2,PLAN!$Z:$Z)</f>
        <v>6465.9599999999964</v>
      </c>
      <c r="BQ4" s="7">
        <f>SUMIF(PLAN!$U:$U,total!BQ2,PLAN!$Z:$Z)</f>
        <v>0</v>
      </c>
      <c r="BR4" s="7">
        <f>SUMIF(PLAN!$U:$U,total!BR2,PLAN!$Z:$Z)</f>
        <v>7872.5650000000005</v>
      </c>
      <c r="BS4" s="7">
        <f>SUMIF(PLAN!$U:$U,total!BS2,PLAN!$Z:$Z)</f>
        <v>7341.7749999999996</v>
      </c>
      <c r="BT4" s="7">
        <f>SUMIF(PLAN!$U:$U,total!BT2,PLAN!$Z:$Z)</f>
        <v>0</v>
      </c>
      <c r="BU4" s="7">
        <f>SUMIF(PLAN!$U:$U,total!BU2,PLAN!$Z:$Z)</f>
        <v>0</v>
      </c>
      <c r="BV4" s="7">
        <f>SUMIF(PLAN!$U:$U,total!BV2,PLAN!$Z:$Z)</f>
        <v>0</v>
      </c>
      <c r="BW4" s="7">
        <f>SUMIF(PLAN!$U:$U,total!BW2,PLAN!$Z:$Z)</f>
        <v>0</v>
      </c>
      <c r="BX4" s="7">
        <f>SUMIF(PLAN!$U:$U,total!BX2,PLAN!$Z:$Z)</f>
        <v>14032.199999999999</v>
      </c>
      <c r="BY4" s="7">
        <f>SUMIF(PLAN!$U:$U,total!BY2,PLAN!$Z:$Z)</f>
        <v>11147.009999999997</v>
      </c>
      <c r="BZ4" s="7">
        <f>SUMIF(PLAN!$U:$U,total!BZ2,PLAN!$Z:$Z)</f>
        <v>11416.77</v>
      </c>
      <c r="CA4" s="7">
        <f>SUMIF(PLAN!$U:$U,total!CA2,PLAN!$Z:$Z)</f>
        <v>0</v>
      </c>
      <c r="CB4" s="7">
        <f>SUMIF(PLAN!$U:$U,total!CB2,PLAN!$Z:$Z)</f>
        <v>10762.328333333335</v>
      </c>
      <c r="CC4" s="7">
        <f>SUMIF(PLAN!$U:$U,total!CC2,PLAN!$Z:$Z)</f>
        <v>11110.81333333333</v>
      </c>
    </row>
    <row r="5" spans="1:81" s="2" customFormat="1" ht="21" customHeight="1">
      <c r="A5" s="502" t="s">
        <v>28</v>
      </c>
      <c r="B5" s="502"/>
      <c r="C5" s="7">
        <f>C4+C4*5%</f>
        <v>0</v>
      </c>
      <c r="D5" s="7">
        <f t="shared" ref="D5:W5" si="0">D4+D4*5%</f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 t="shared" si="0"/>
        <v>0</v>
      </c>
      <c r="P5" s="7">
        <f t="shared" si="0"/>
        <v>0</v>
      </c>
      <c r="Q5" s="7">
        <f t="shared" si="0"/>
        <v>0</v>
      </c>
      <c r="R5" s="7">
        <f t="shared" si="0"/>
        <v>0</v>
      </c>
      <c r="S5" s="7">
        <f t="shared" si="0"/>
        <v>0</v>
      </c>
      <c r="T5" s="7">
        <f t="shared" si="0"/>
        <v>0</v>
      </c>
      <c r="U5" s="7">
        <f t="shared" si="0"/>
        <v>0</v>
      </c>
      <c r="V5" s="7">
        <f t="shared" si="0"/>
        <v>0</v>
      </c>
      <c r="W5" s="7">
        <f t="shared" si="0"/>
        <v>0</v>
      </c>
      <c r="X5" s="7">
        <f t="shared" ref="X5:AK5" si="1">X4+X4*5%</f>
        <v>0</v>
      </c>
      <c r="Y5" s="7">
        <f t="shared" si="1"/>
        <v>0</v>
      </c>
      <c r="Z5" s="7">
        <f t="shared" si="1"/>
        <v>0</v>
      </c>
      <c r="AA5" s="7">
        <f t="shared" si="1"/>
        <v>0</v>
      </c>
      <c r="AB5" s="7">
        <f t="shared" si="1"/>
        <v>0</v>
      </c>
      <c r="AC5" s="7">
        <f t="shared" si="1"/>
        <v>0</v>
      </c>
      <c r="AD5" s="7">
        <f t="shared" si="1"/>
        <v>0</v>
      </c>
      <c r="AE5" s="7">
        <f t="shared" si="1"/>
        <v>0</v>
      </c>
      <c r="AF5" s="7">
        <f t="shared" si="1"/>
        <v>0</v>
      </c>
      <c r="AG5" s="7">
        <f t="shared" si="1"/>
        <v>0</v>
      </c>
      <c r="AH5" s="7">
        <f t="shared" si="1"/>
        <v>0</v>
      </c>
      <c r="AI5" s="7">
        <f t="shared" si="1"/>
        <v>6821.1045000000004</v>
      </c>
      <c r="AJ5" s="7">
        <f t="shared" si="1"/>
        <v>0</v>
      </c>
      <c r="AK5" s="7">
        <f t="shared" si="1"/>
        <v>0</v>
      </c>
      <c r="AL5" s="7">
        <f t="shared" ref="AL5:BE5" si="2">AL4+AL4*5%</f>
        <v>0</v>
      </c>
      <c r="AM5" s="7">
        <f t="shared" si="2"/>
        <v>0</v>
      </c>
      <c r="AN5" s="7">
        <f t="shared" si="2"/>
        <v>0</v>
      </c>
      <c r="AO5" s="7">
        <f t="shared" si="2"/>
        <v>0</v>
      </c>
      <c r="AP5" s="7">
        <f t="shared" si="2"/>
        <v>0</v>
      </c>
      <c r="AQ5" s="7">
        <f t="shared" si="2"/>
        <v>0</v>
      </c>
      <c r="AR5" s="7">
        <f t="shared" si="2"/>
        <v>0</v>
      </c>
      <c r="AS5" s="7">
        <f t="shared" si="2"/>
        <v>0</v>
      </c>
      <c r="AT5" s="7">
        <f t="shared" si="2"/>
        <v>0</v>
      </c>
      <c r="AU5" s="7">
        <f t="shared" si="2"/>
        <v>706.59750000000008</v>
      </c>
      <c r="AV5" s="7">
        <f t="shared" si="2"/>
        <v>2659.335</v>
      </c>
      <c r="AW5" s="7">
        <f t="shared" si="2"/>
        <v>6404.58</v>
      </c>
      <c r="AX5" s="7">
        <f t="shared" si="2"/>
        <v>1994.2650000000001</v>
      </c>
      <c r="AY5" s="7">
        <f t="shared" si="2"/>
        <v>0</v>
      </c>
      <c r="AZ5" s="7">
        <f t="shared" si="2"/>
        <v>2948.4</v>
      </c>
      <c r="BA5" s="7">
        <f t="shared" si="2"/>
        <v>8276.7824999999993</v>
      </c>
      <c r="BB5" s="7">
        <f t="shared" si="2"/>
        <v>2972.9700000000003</v>
      </c>
      <c r="BC5" s="7">
        <f t="shared" si="2"/>
        <v>3464.37</v>
      </c>
      <c r="BD5" s="7">
        <f t="shared" si="2"/>
        <v>6866.8425000000007</v>
      </c>
      <c r="BE5" s="7">
        <f t="shared" si="2"/>
        <v>0</v>
      </c>
      <c r="BF5" s="7">
        <f t="shared" ref="BF5:BS5" si="3">BF4+BF4*5%</f>
        <v>0</v>
      </c>
      <c r="BG5" s="7">
        <f t="shared" si="3"/>
        <v>5023.7740000000003</v>
      </c>
      <c r="BH5" s="7">
        <f t="shared" si="3"/>
        <v>5118.7499999999991</v>
      </c>
      <c r="BI5" s="7">
        <f t="shared" si="3"/>
        <v>5118.75</v>
      </c>
      <c r="BJ5" s="7">
        <f t="shared" si="3"/>
        <v>5103.91</v>
      </c>
      <c r="BK5" s="7">
        <f t="shared" si="3"/>
        <v>3507.9344999999998</v>
      </c>
      <c r="BL5" s="7">
        <f t="shared" si="3"/>
        <v>6334.5589999999984</v>
      </c>
      <c r="BM5" s="7">
        <f t="shared" si="3"/>
        <v>0</v>
      </c>
      <c r="BN5" s="7">
        <f t="shared" si="3"/>
        <v>3648.645</v>
      </c>
      <c r="BO5" s="7">
        <f t="shared" si="3"/>
        <v>0</v>
      </c>
      <c r="BP5" s="7">
        <f t="shared" si="3"/>
        <v>6789.2579999999962</v>
      </c>
      <c r="BQ5" s="7">
        <f t="shared" si="3"/>
        <v>0</v>
      </c>
      <c r="BR5" s="7">
        <f t="shared" si="3"/>
        <v>8266.1932500000003</v>
      </c>
      <c r="BS5" s="7">
        <f t="shared" si="3"/>
        <v>7708.8637499999995</v>
      </c>
      <c r="BT5" s="7">
        <f t="shared" ref="BT5:CC5" si="4">BT4+BT4*5%</f>
        <v>0</v>
      </c>
      <c r="BU5" s="7">
        <f t="shared" si="4"/>
        <v>0</v>
      </c>
      <c r="BV5" s="7">
        <f t="shared" si="4"/>
        <v>0</v>
      </c>
      <c r="BW5" s="7">
        <f t="shared" si="4"/>
        <v>0</v>
      </c>
      <c r="BX5" s="7">
        <f t="shared" si="4"/>
        <v>14733.81</v>
      </c>
      <c r="BY5" s="7">
        <f t="shared" si="4"/>
        <v>11704.360499999997</v>
      </c>
      <c r="BZ5" s="7">
        <f t="shared" si="4"/>
        <v>11987.6085</v>
      </c>
      <c r="CA5" s="7">
        <f t="shared" si="4"/>
        <v>0</v>
      </c>
      <c r="CB5" s="7">
        <f t="shared" si="4"/>
        <v>11300.444750000002</v>
      </c>
      <c r="CC5" s="7">
        <f t="shared" si="4"/>
        <v>11666.353999999996</v>
      </c>
    </row>
    <row r="6" spans="1:81" s="2" customFormat="1" ht="21" customHeight="1">
      <c r="A6" s="502" t="s">
        <v>29</v>
      </c>
      <c r="B6" s="50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</row>
    <row r="7" spans="1:81" ht="20.25" customHeight="1">
      <c r="A7" s="495" t="s">
        <v>30</v>
      </c>
      <c r="B7" s="6">
        <v>430</v>
      </c>
      <c r="C7" s="8">
        <f>C5/$B$7</f>
        <v>0</v>
      </c>
      <c r="D7" s="8">
        <f t="shared" ref="D7:W7" si="5">D5/$B$7</f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ref="X7:AK7" si="6">X5/$B$7</f>
        <v>0</v>
      </c>
      <c r="Y7" s="8">
        <f t="shared" si="6"/>
        <v>0</v>
      </c>
      <c r="Z7" s="8">
        <f t="shared" si="6"/>
        <v>0</v>
      </c>
      <c r="AA7" s="8">
        <f t="shared" si="6"/>
        <v>0</v>
      </c>
      <c r="AB7" s="8">
        <f t="shared" si="6"/>
        <v>0</v>
      </c>
      <c r="AC7" s="8">
        <f t="shared" si="6"/>
        <v>0</v>
      </c>
      <c r="AD7" s="8">
        <f t="shared" si="6"/>
        <v>0</v>
      </c>
      <c r="AE7" s="8">
        <f t="shared" si="6"/>
        <v>0</v>
      </c>
      <c r="AF7" s="8">
        <f t="shared" si="6"/>
        <v>0</v>
      </c>
      <c r="AG7" s="8">
        <f t="shared" si="6"/>
        <v>0</v>
      </c>
      <c r="AH7" s="8">
        <f t="shared" si="6"/>
        <v>0</v>
      </c>
      <c r="AI7" s="8">
        <f t="shared" si="6"/>
        <v>15.863033720930233</v>
      </c>
      <c r="AJ7" s="8">
        <f t="shared" si="6"/>
        <v>0</v>
      </c>
      <c r="AK7" s="8">
        <f t="shared" si="6"/>
        <v>0</v>
      </c>
      <c r="AL7" s="8">
        <f t="shared" ref="AL7:BE7" si="7">AL5/$B$7</f>
        <v>0</v>
      </c>
      <c r="AM7" s="8">
        <f t="shared" si="7"/>
        <v>0</v>
      </c>
      <c r="AN7" s="8">
        <f t="shared" si="7"/>
        <v>0</v>
      </c>
      <c r="AO7" s="8">
        <f t="shared" si="7"/>
        <v>0</v>
      </c>
      <c r="AP7" s="8">
        <f t="shared" si="7"/>
        <v>0</v>
      </c>
      <c r="AQ7" s="8">
        <f t="shared" si="7"/>
        <v>0</v>
      </c>
      <c r="AR7" s="8">
        <f t="shared" si="7"/>
        <v>0</v>
      </c>
      <c r="AS7" s="8">
        <f t="shared" si="7"/>
        <v>0</v>
      </c>
      <c r="AT7" s="8">
        <f t="shared" si="7"/>
        <v>0</v>
      </c>
      <c r="AU7" s="8">
        <f t="shared" si="7"/>
        <v>1.6432500000000001</v>
      </c>
      <c r="AV7" s="8">
        <f t="shared" si="7"/>
        <v>6.1844999999999999</v>
      </c>
      <c r="AW7" s="8">
        <f t="shared" si="7"/>
        <v>14.894372093023255</v>
      </c>
      <c r="AX7" s="8">
        <f t="shared" si="7"/>
        <v>4.6378255813953491</v>
      </c>
      <c r="AY7" s="8">
        <f t="shared" si="7"/>
        <v>0</v>
      </c>
      <c r="AZ7" s="8">
        <f t="shared" si="7"/>
        <v>6.8567441860465115</v>
      </c>
      <c r="BA7" s="8">
        <f t="shared" si="7"/>
        <v>19.248331395348835</v>
      </c>
      <c r="BB7" s="8">
        <f t="shared" si="7"/>
        <v>6.9138837209302331</v>
      </c>
      <c r="BC7" s="8">
        <f t="shared" si="7"/>
        <v>8.0566744186046506</v>
      </c>
      <c r="BD7" s="8">
        <f t="shared" si="7"/>
        <v>15.9694011627907</v>
      </c>
      <c r="BE7" s="8">
        <f t="shared" si="7"/>
        <v>0</v>
      </c>
      <c r="BF7" s="8">
        <f t="shared" ref="BF7:BS7" si="8">BF5/$B$7</f>
        <v>0</v>
      </c>
      <c r="BG7" s="8">
        <f t="shared" si="8"/>
        <v>11.683195348837209</v>
      </c>
      <c r="BH7" s="8">
        <f t="shared" si="8"/>
        <v>11.904069767441859</v>
      </c>
      <c r="BI7" s="8">
        <f t="shared" si="8"/>
        <v>11.904069767441861</v>
      </c>
      <c r="BJ7" s="8">
        <f t="shared" si="8"/>
        <v>11.869558139534883</v>
      </c>
      <c r="BK7" s="8">
        <f t="shared" si="8"/>
        <v>8.1579872093023251</v>
      </c>
      <c r="BL7" s="8">
        <f t="shared" si="8"/>
        <v>14.731532558139531</v>
      </c>
      <c r="BM7" s="8">
        <f t="shared" si="8"/>
        <v>0</v>
      </c>
      <c r="BN7" s="8">
        <f t="shared" si="8"/>
        <v>8.4852209302325576</v>
      </c>
      <c r="BO7" s="8">
        <f t="shared" si="8"/>
        <v>0</v>
      </c>
      <c r="BP7" s="8">
        <f t="shared" si="8"/>
        <v>15.788972093023247</v>
      </c>
      <c r="BQ7" s="8">
        <f t="shared" si="8"/>
        <v>0</v>
      </c>
      <c r="BR7" s="8">
        <f t="shared" si="8"/>
        <v>19.223705232558139</v>
      </c>
      <c r="BS7" s="8">
        <f t="shared" si="8"/>
        <v>17.92759011627907</v>
      </c>
      <c r="BT7" s="8">
        <f t="shared" ref="BT7:CC7" si="9">BT5/$B$7</f>
        <v>0</v>
      </c>
      <c r="BU7" s="8">
        <f t="shared" si="9"/>
        <v>0</v>
      </c>
      <c r="BV7" s="8">
        <f t="shared" si="9"/>
        <v>0</v>
      </c>
      <c r="BW7" s="8">
        <f t="shared" si="9"/>
        <v>0</v>
      </c>
      <c r="BX7" s="8">
        <f t="shared" si="9"/>
        <v>34.264674418604649</v>
      </c>
      <c r="BY7" s="8">
        <f t="shared" si="9"/>
        <v>27.219443023255806</v>
      </c>
      <c r="BZ7" s="8">
        <f t="shared" si="9"/>
        <v>27.878159302325582</v>
      </c>
      <c r="CA7" s="8">
        <f t="shared" si="9"/>
        <v>0</v>
      </c>
      <c r="CB7" s="8">
        <f t="shared" si="9"/>
        <v>26.280104069767447</v>
      </c>
      <c r="CC7" s="8">
        <f t="shared" si="9"/>
        <v>27.131055813953477</v>
      </c>
    </row>
    <row r="8" spans="1:81" ht="20.25" customHeight="1">
      <c r="A8" s="495"/>
      <c r="B8" s="9">
        <v>550</v>
      </c>
      <c r="C8" s="10">
        <f>C5/$B$8</f>
        <v>0</v>
      </c>
      <c r="D8" s="10">
        <f t="shared" ref="D8:W8" si="10">D5/$B$8</f>
        <v>0</v>
      </c>
      <c r="E8" s="10">
        <f t="shared" si="10"/>
        <v>0</v>
      </c>
      <c r="F8" s="10">
        <f t="shared" si="10"/>
        <v>0</v>
      </c>
      <c r="G8" s="10">
        <f t="shared" si="10"/>
        <v>0</v>
      </c>
      <c r="H8" s="10">
        <f t="shared" si="10"/>
        <v>0</v>
      </c>
      <c r="I8" s="10">
        <f t="shared" si="10"/>
        <v>0</v>
      </c>
      <c r="J8" s="10">
        <f t="shared" si="10"/>
        <v>0</v>
      </c>
      <c r="K8" s="10">
        <f t="shared" si="10"/>
        <v>0</v>
      </c>
      <c r="L8" s="10">
        <f t="shared" si="10"/>
        <v>0</v>
      </c>
      <c r="M8" s="10">
        <f t="shared" si="10"/>
        <v>0</v>
      </c>
      <c r="N8" s="10">
        <f t="shared" si="10"/>
        <v>0</v>
      </c>
      <c r="O8" s="10">
        <f t="shared" si="10"/>
        <v>0</v>
      </c>
      <c r="P8" s="10">
        <f t="shared" si="10"/>
        <v>0</v>
      </c>
      <c r="Q8" s="10">
        <f t="shared" si="10"/>
        <v>0</v>
      </c>
      <c r="R8" s="10">
        <f t="shared" si="10"/>
        <v>0</v>
      </c>
      <c r="S8" s="10">
        <f t="shared" si="10"/>
        <v>0</v>
      </c>
      <c r="T8" s="10">
        <f t="shared" si="10"/>
        <v>0</v>
      </c>
      <c r="U8" s="10">
        <f t="shared" si="10"/>
        <v>0</v>
      </c>
      <c r="V8" s="10">
        <f t="shared" si="10"/>
        <v>0</v>
      </c>
      <c r="W8" s="10">
        <f t="shared" si="10"/>
        <v>0</v>
      </c>
      <c r="X8" s="10">
        <f t="shared" ref="X8:AK8" si="11">X5/$B$8</f>
        <v>0</v>
      </c>
      <c r="Y8" s="10">
        <f t="shared" si="11"/>
        <v>0</v>
      </c>
      <c r="Z8" s="10">
        <f t="shared" si="11"/>
        <v>0</v>
      </c>
      <c r="AA8" s="10">
        <f t="shared" si="11"/>
        <v>0</v>
      </c>
      <c r="AB8" s="10">
        <f t="shared" si="11"/>
        <v>0</v>
      </c>
      <c r="AC8" s="10">
        <f t="shared" si="11"/>
        <v>0</v>
      </c>
      <c r="AD8" s="10">
        <f t="shared" si="11"/>
        <v>0</v>
      </c>
      <c r="AE8" s="10">
        <f t="shared" si="11"/>
        <v>0</v>
      </c>
      <c r="AF8" s="10">
        <f t="shared" si="11"/>
        <v>0</v>
      </c>
      <c r="AG8" s="10">
        <f t="shared" si="11"/>
        <v>0</v>
      </c>
      <c r="AH8" s="10">
        <f t="shared" si="11"/>
        <v>0</v>
      </c>
      <c r="AI8" s="10">
        <f t="shared" si="11"/>
        <v>12.402008181818182</v>
      </c>
      <c r="AJ8" s="10">
        <f t="shared" si="11"/>
        <v>0</v>
      </c>
      <c r="AK8" s="10">
        <f t="shared" si="11"/>
        <v>0</v>
      </c>
      <c r="AL8" s="10">
        <f t="shared" ref="AL8:BE8" si="12">AL5/$B$8</f>
        <v>0</v>
      </c>
      <c r="AM8" s="10">
        <f t="shared" si="12"/>
        <v>0</v>
      </c>
      <c r="AN8" s="10">
        <f t="shared" si="12"/>
        <v>0</v>
      </c>
      <c r="AO8" s="10">
        <f t="shared" si="12"/>
        <v>0</v>
      </c>
      <c r="AP8" s="10">
        <f t="shared" si="12"/>
        <v>0</v>
      </c>
      <c r="AQ8" s="10">
        <f t="shared" si="12"/>
        <v>0</v>
      </c>
      <c r="AR8" s="10">
        <f t="shared" si="12"/>
        <v>0</v>
      </c>
      <c r="AS8" s="10">
        <f t="shared" si="12"/>
        <v>0</v>
      </c>
      <c r="AT8" s="10">
        <f t="shared" si="12"/>
        <v>0</v>
      </c>
      <c r="AU8" s="10">
        <f t="shared" si="12"/>
        <v>1.2847227272727275</v>
      </c>
      <c r="AV8" s="10">
        <f t="shared" si="12"/>
        <v>4.8351545454545457</v>
      </c>
      <c r="AW8" s="10">
        <f t="shared" si="12"/>
        <v>11.644690909090908</v>
      </c>
      <c r="AX8" s="10">
        <f t="shared" si="12"/>
        <v>3.625936363636364</v>
      </c>
      <c r="AY8" s="10">
        <f t="shared" si="12"/>
        <v>0</v>
      </c>
      <c r="AZ8" s="10">
        <f t="shared" si="12"/>
        <v>5.3607272727272726</v>
      </c>
      <c r="BA8" s="10">
        <f t="shared" si="12"/>
        <v>15.048695454545454</v>
      </c>
      <c r="BB8" s="10">
        <f t="shared" si="12"/>
        <v>5.4054000000000002</v>
      </c>
      <c r="BC8" s="10">
        <f t="shared" si="12"/>
        <v>6.298854545454545</v>
      </c>
      <c r="BD8" s="10">
        <f t="shared" si="12"/>
        <v>12.485168181818183</v>
      </c>
      <c r="BE8" s="10">
        <f t="shared" si="12"/>
        <v>0</v>
      </c>
      <c r="BF8" s="10">
        <f t="shared" ref="BF8:BS8" si="13">BF5/$B$8</f>
        <v>0</v>
      </c>
      <c r="BG8" s="10">
        <f t="shared" si="13"/>
        <v>9.1341345454545468</v>
      </c>
      <c r="BH8" s="10">
        <f t="shared" si="13"/>
        <v>9.3068181818181799</v>
      </c>
      <c r="BI8" s="10">
        <f t="shared" si="13"/>
        <v>9.3068181818181817</v>
      </c>
      <c r="BJ8" s="10">
        <f t="shared" si="13"/>
        <v>9.2798363636363632</v>
      </c>
      <c r="BK8" s="10">
        <f t="shared" si="13"/>
        <v>6.3780627272727273</v>
      </c>
      <c r="BL8" s="10">
        <f t="shared" si="13"/>
        <v>11.517379999999998</v>
      </c>
      <c r="BM8" s="10">
        <f t="shared" si="13"/>
        <v>0</v>
      </c>
      <c r="BN8" s="10">
        <f t="shared" si="13"/>
        <v>6.6338999999999997</v>
      </c>
      <c r="BO8" s="10">
        <f t="shared" si="13"/>
        <v>0</v>
      </c>
      <c r="BP8" s="10">
        <f t="shared" si="13"/>
        <v>12.344105454545447</v>
      </c>
      <c r="BQ8" s="10">
        <f t="shared" si="13"/>
        <v>0</v>
      </c>
      <c r="BR8" s="10">
        <f t="shared" si="13"/>
        <v>15.029442272727273</v>
      </c>
      <c r="BS8" s="10">
        <f t="shared" si="13"/>
        <v>14.016115909090908</v>
      </c>
      <c r="BT8" s="10">
        <f t="shared" ref="BT8:CC8" si="14">BT5/$B$8</f>
        <v>0</v>
      </c>
      <c r="BU8" s="10">
        <f t="shared" si="14"/>
        <v>0</v>
      </c>
      <c r="BV8" s="10">
        <f t="shared" si="14"/>
        <v>0</v>
      </c>
      <c r="BW8" s="10">
        <f t="shared" si="14"/>
        <v>0</v>
      </c>
      <c r="BX8" s="10">
        <f t="shared" si="14"/>
        <v>26.788745454545452</v>
      </c>
      <c r="BY8" s="10">
        <f t="shared" si="14"/>
        <v>21.28065545454545</v>
      </c>
      <c r="BZ8" s="10">
        <f t="shared" si="14"/>
        <v>21.79565181818182</v>
      </c>
      <c r="CA8" s="10">
        <f t="shared" si="14"/>
        <v>0</v>
      </c>
      <c r="CB8" s="10">
        <f t="shared" si="14"/>
        <v>20.546263181818187</v>
      </c>
      <c r="CC8" s="10">
        <f t="shared" si="14"/>
        <v>21.211552727272718</v>
      </c>
    </row>
    <row r="9" spans="1:81" ht="20.25" customHeight="1">
      <c r="A9" s="496"/>
      <c r="B9" s="11">
        <v>630</v>
      </c>
      <c r="C9" s="12">
        <f>C5/$B$9</f>
        <v>0</v>
      </c>
      <c r="D9" s="12">
        <f t="shared" ref="D9:W9" si="15">D5/$B$9</f>
        <v>0</v>
      </c>
      <c r="E9" s="12">
        <f t="shared" si="15"/>
        <v>0</v>
      </c>
      <c r="F9" s="12">
        <f t="shared" si="15"/>
        <v>0</v>
      </c>
      <c r="G9" s="12">
        <f t="shared" si="15"/>
        <v>0</v>
      </c>
      <c r="H9" s="12">
        <f t="shared" si="15"/>
        <v>0</v>
      </c>
      <c r="I9" s="12">
        <f t="shared" si="15"/>
        <v>0</v>
      </c>
      <c r="J9" s="12">
        <f t="shared" si="15"/>
        <v>0</v>
      </c>
      <c r="K9" s="12">
        <f t="shared" si="15"/>
        <v>0</v>
      </c>
      <c r="L9" s="12">
        <f t="shared" si="15"/>
        <v>0</v>
      </c>
      <c r="M9" s="12">
        <f t="shared" si="15"/>
        <v>0</v>
      </c>
      <c r="N9" s="12">
        <f t="shared" si="15"/>
        <v>0</v>
      </c>
      <c r="O9" s="12">
        <f t="shared" si="15"/>
        <v>0</v>
      </c>
      <c r="P9" s="12">
        <f t="shared" si="15"/>
        <v>0</v>
      </c>
      <c r="Q9" s="12">
        <f t="shared" si="15"/>
        <v>0</v>
      </c>
      <c r="R9" s="12">
        <f t="shared" si="15"/>
        <v>0</v>
      </c>
      <c r="S9" s="12">
        <f t="shared" si="15"/>
        <v>0</v>
      </c>
      <c r="T9" s="12">
        <f t="shared" si="15"/>
        <v>0</v>
      </c>
      <c r="U9" s="12">
        <f t="shared" si="15"/>
        <v>0</v>
      </c>
      <c r="V9" s="12">
        <f t="shared" si="15"/>
        <v>0</v>
      </c>
      <c r="W9" s="12">
        <f t="shared" si="15"/>
        <v>0</v>
      </c>
      <c r="X9" s="12">
        <f t="shared" ref="X9:AK9" si="16">X5/$B$9</f>
        <v>0</v>
      </c>
      <c r="Y9" s="12">
        <f t="shared" si="16"/>
        <v>0</v>
      </c>
      <c r="Z9" s="12">
        <f t="shared" si="16"/>
        <v>0</v>
      </c>
      <c r="AA9" s="12">
        <f t="shared" si="16"/>
        <v>0</v>
      </c>
      <c r="AB9" s="12">
        <f t="shared" si="16"/>
        <v>0</v>
      </c>
      <c r="AC9" s="12">
        <f t="shared" si="16"/>
        <v>0</v>
      </c>
      <c r="AD9" s="12">
        <f t="shared" si="16"/>
        <v>0</v>
      </c>
      <c r="AE9" s="12">
        <f t="shared" si="16"/>
        <v>0</v>
      </c>
      <c r="AF9" s="12">
        <f t="shared" si="16"/>
        <v>0</v>
      </c>
      <c r="AG9" s="12">
        <f t="shared" si="16"/>
        <v>0</v>
      </c>
      <c r="AH9" s="12">
        <f t="shared" si="16"/>
        <v>0</v>
      </c>
      <c r="AI9" s="12">
        <f t="shared" si="16"/>
        <v>10.827150000000001</v>
      </c>
      <c r="AJ9" s="12">
        <f t="shared" si="16"/>
        <v>0</v>
      </c>
      <c r="AK9" s="12">
        <f t="shared" si="16"/>
        <v>0</v>
      </c>
      <c r="AL9" s="12">
        <f t="shared" ref="AL9:BE9" si="17">AL5/$B$9</f>
        <v>0</v>
      </c>
      <c r="AM9" s="12">
        <f t="shared" si="17"/>
        <v>0</v>
      </c>
      <c r="AN9" s="12">
        <f t="shared" si="17"/>
        <v>0</v>
      </c>
      <c r="AO9" s="12">
        <f t="shared" si="17"/>
        <v>0</v>
      </c>
      <c r="AP9" s="12">
        <f t="shared" si="17"/>
        <v>0</v>
      </c>
      <c r="AQ9" s="12">
        <f t="shared" si="17"/>
        <v>0</v>
      </c>
      <c r="AR9" s="12">
        <f t="shared" si="17"/>
        <v>0</v>
      </c>
      <c r="AS9" s="12">
        <f t="shared" si="17"/>
        <v>0</v>
      </c>
      <c r="AT9" s="12">
        <f t="shared" si="17"/>
        <v>0</v>
      </c>
      <c r="AU9" s="12">
        <f t="shared" si="17"/>
        <v>1.1215833333333334</v>
      </c>
      <c r="AV9" s="12">
        <f t="shared" si="17"/>
        <v>4.221166666666667</v>
      </c>
      <c r="AW9" s="12">
        <f t="shared" si="17"/>
        <v>10.166</v>
      </c>
      <c r="AX9" s="12">
        <f t="shared" si="17"/>
        <v>3.1655000000000002</v>
      </c>
      <c r="AY9" s="12">
        <f t="shared" si="17"/>
        <v>0</v>
      </c>
      <c r="AZ9" s="12">
        <f t="shared" si="17"/>
        <v>4.68</v>
      </c>
      <c r="BA9" s="12">
        <f t="shared" si="17"/>
        <v>13.137749999999999</v>
      </c>
      <c r="BB9" s="12">
        <f t="shared" si="17"/>
        <v>4.7190000000000003</v>
      </c>
      <c r="BC9" s="12">
        <f t="shared" si="17"/>
        <v>5.4989999999999997</v>
      </c>
      <c r="BD9" s="12">
        <f t="shared" si="17"/>
        <v>10.899750000000001</v>
      </c>
      <c r="BE9" s="12">
        <f t="shared" si="17"/>
        <v>0</v>
      </c>
      <c r="BF9" s="12">
        <f t="shared" ref="BF9:BS9" si="18">BF5/$B$9</f>
        <v>0</v>
      </c>
      <c r="BG9" s="12">
        <f t="shared" si="18"/>
        <v>7.9742444444444454</v>
      </c>
      <c r="BH9" s="12">
        <f t="shared" si="18"/>
        <v>8.1249999999999982</v>
      </c>
      <c r="BI9" s="12">
        <f t="shared" si="18"/>
        <v>8.125</v>
      </c>
      <c r="BJ9" s="12">
        <f t="shared" si="18"/>
        <v>8.1014444444444447</v>
      </c>
      <c r="BK9" s="12">
        <f t="shared" si="18"/>
        <v>5.5681500000000002</v>
      </c>
      <c r="BL9" s="12">
        <f t="shared" si="18"/>
        <v>10.054855555555553</v>
      </c>
      <c r="BM9" s="12">
        <f t="shared" si="18"/>
        <v>0</v>
      </c>
      <c r="BN9" s="12">
        <f t="shared" si="18"/>
        <v>5.7915000000000001</v>
      </c>
      <c r="BO9" s="12">
        <f t="shared" si="18"/>
        <v>0</v>
      </c>
      <c r="BP9" s="12">
        <f t="shared" si="18"/>
        <v>10.776599999999993</v>
      </c>
      <c r="BQ9" s="12">
        <f t="shared" si="18"/>
        <v>0</v>
      </c>
      <c r="BR9" s="12">
        <f t="shared" si="18"/>
        <v>13.120941666666667</v>
      </c>
      <c r="BS9" s="12">
        <f t="shared" si="18"/>
        <v>12.236291666666666</v>
      </c>
      <c r="BT9" s="12">
        <f t="shared" ref="BT9:CC9" si="19">BT5/$B$9</f>
        <v>0</v>
      </c>
      <c r="BU9" s="12">
        <f t="shared" si="19"/>
        <v>0</v>
      </c>
      <c r="BV9" s="12">
        <f t="shared" si="19"/>
        <v>0</v>
      </c>
      <c r="BW9" s="12">
        <f t="shared" si="19"/>
        <v>0</v>
      </c>
      <c r="BX9" s="12">
        <f t="shared" si="19"/>
        <v>23.387</v>
      </c>
      <c r="BY9" s="12">
        <f t="shared" si="19"/>
        <v>18.578349999999997</v>
      </c>
      <c r="BZ9" s="12">
        <f t="shared" si="19"/>
        <v>19.027950000000001</v>
      </c>
      <c r="CA9" s="12">
        <f t="shared" si="19"/>
        <v>0</v>
      </c>
      <c r="CB9" s="12">
        <f t="shared" si="19"/>
        <v>17.937213888888891</v>
      </c>
      <c r="CC9" s="12">
        <f t="shared" si="19"/>
        <v>18.518022222222214</v>
      </c>
    </row>
    <row r="14" spans="1:81" ht="19.5" customHeight="1"/>
    <row r="15" spans="1:81" ht="24" customHeight="1"/>
    <row r="16" spans="1:81" ht="24.75" customHeight="1"/>
  </sheetData>
  <mergeCells count="6">
    <mergeCell ref="A7:A9"/>
    <mergeCell ref="A1:B1"/>
    <mergeCell ref="A2:B2"/>
    <mergeCell ref="A3:A4"/>
    <mergeCell ref="A5:B5"/>
    <mergeCell ref="A6:B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172"/>
  <sheetViews>
    <sheetView workbookViewId="0">
      <pane xSplit="15" ySplit="1" topLeftCell="X68" activePane="bottomRight" state="frozen"/>
      <selection pane="topRight" activeCell="P1" sqref="P1"/>
      <selection pane="bottomLeft" activeCell="A2" sqref="A2"/>
      <selection pane="bottomRight" activeCell="F92" sqref="F92"/>
    </sheetView>
  </sheetViews>
  <sheetFormatPr defaultColWidth="9.21875" defaultRowHeight="14.4"/>
  <cols>
    <col min="1" max="1" width="9.21875" style="160"/>
    <col min="2" max="15" width="9.21875" style="147"/>
    <col min="16" max="16" width="10.77734375" style="147" customWidth="1"/>
    <col min="17" max="17" width="9.21875" style="147"/>
    <col min="18" max="18" width="12" style="147" customWidth="1"/>
    <col min="19" max="19" width="18.109375" style="147" customWidth="1"/>
    <col min="20" max="20" width="9.21875" style="147"/>
    <col min="21" max="21" width="13.88671875" style="147" customWidth="1"/>
    <col min="22" max="22" width="11.21875" style="147" customWidth="1"/>
    <col min="23" max="23" width="12.109375" style="147" customWidth="1"/>
    <col min="24" max="24" width="13.77734375" style="147" customWidth="1"/>
    <col min="25" max="16384" width="9.21875" style="147"/>
  </cols>
  <sheetData>
    <row r="1" spans="1:20">
      <c r="A1" s="159">
        <v>45732</v>
      </c>
      <c r="B1" s="147" t="s">
        <v>59</v>
      </c>
      <c r="C1" s="147" t="s">
        <v>60</v>
      </c>
      <c r="D1" s="147" t="s">
        <v>61</v>
      </c>
      <c r="E1" s="147" t="s">
        <v>62</v>
      </c>
      <c r="F1" s="147" t="s">
        <v>63</v>
      </c>
      <c r="G1" s="147" t="s">
        <v>55</v>
      </c>
      <c r="H1" s="147" t="s">
        <v>56</v>
      </c>
      <c r="I1" s="147" t="s">
        <v>54</v>
      </c>
      <c r="J1" s="147" t="s">
        <v>57</v>
      </c>
      <c r="K1" s="147" t="s">
        <v>58</v>
      </c>
      <c r="L1" s="147" t="s">
        <v>64</v>
      </c>
      <c r="M1" t="s">
        <v>66</v>
      </c>
      <c r="N1" s="147" t="s">
        <v>65</v>
      </c>
    </row>
    <row r="2" spans="1:20">
      <c r="A2" s="159">
        <v>46174</v>
      </c>
      <c r="B2" s="147">
        <f>SUMIFS(PLAN!$K:$K,PLAN!$V:$V,Sheet1!$A2,PLAN!$W:$W,Sheet1!$B$1)</f>
        <v>0</v>
      </c>
      <c r="C2" s="147">
        <f>SUMIFS(PLAN!$K:$K,PLAN!$V:$V,Sheet1!$A2,PLAN!$W:$W,Sheet1!$C$1)</f>
        <v>0</v>
      </c>
      <c r="D2" s="147">
        <f>SUMIFS(PLAN!$K:$K,PLAN!$V:$V,Sheet1!$A2,PLAN!$W:$W,Sheet1!$D$1)</f>
        <v>0</v>
      </c>
      <c r="E2" s="147">
        <f>SUMIFS(PLAN!$K:$K,PLAN!$V:$V,Sheet1!$A2,PLAN!$W:$W,Sheet1!$E$1)</f>
        <v>0</v>
      </c>
      <c r="F2" s="147">
        <f>SUMIFS(PLAN!$K:$K,PLAN!$V:$V,Sheet1!$A2,PLAN!$W:$W,Sheet1!$F$1)</f>
        <v>0</v>
      </c>
      <c r="G2" s="147">
        <f>SUMIFS(PLAN!$K:$K,PLAN!$V:$V,Sheet1!$A2,PLAN!$W:$W,Sheet1!$G$1)</f>
        <v>0</v>
      </c>
      <c r="H2" s="147">
        <f>SUMIFS(PLAN!$K:$K,PLAN!$V:$V,Sheet1!$A2,PLAN!$W:$W,Sheet1!$H$1)</f>
        <v>0</v>
      </c>
      <c r="I2" s="147">
        <f>SUMIFS(PLAN!$K:$K,PLAN!$V:$V,Sheet1!$A2,PLAN!$W:$W,Sheet1!$I$1)</f>
        <v>0</v>
      </c>
      <c r="J2" s="147">
        <f>SUMIFS(PLAN!$K:$K,PLAN!$V:$V,Sheet1!$A2,PLAN!$W:$W,Sheet1!$J$1)</f>
        <v>0</v>
      </c>
      <c r="K2" s="147">
        <f>SUMIFS(PLAN!$K:$K,PLAN!$V:$V,Sheet1!$A2,PLAN!$W:$W,Sheet1!$K$1)</f>
        <v>0</v>
      </c>
      <c r="L2" s="147">
        <f>SUMIFS(PLAN!$K:$K,PLAN!$V:$V,Sheet1!$A2,PLAN!$W:$W,Sheet1!$L$1)</f>
        <v>0</v>
      </c>
      <c r="M2" s="147">
        <f>SUMIFS(PLAN!$K:$K,PLAN!$V:$V,Sheet1!$A2,PLAN!$W:$W,Sheet1!$M$1)</f>
        <v>0</v>
      </c>
      <c r="N2" s="147">
        <f>SUMIFS(PLAN!$K:$K,PLAN!$V:$V,Sheet1!$A2,PLAN!$W:$W,Sheet1!$N$1)</f>
        <v>0</v>
      </c>
      <c r="O2" s="147">
        <f t="shared" ref="O2" si="0">SUM(B2:N2)</f>
        <v>0</v>
      </c>
      <c r="P2" s="147">
        <v>1001389960</v>
      </c>
    </row>
    <row r="3" spans="1:20">
      <c r="A3" s="159">
        <v>46175</v>
      </c>
      <c r="B3" s="147">
        <f>SUMIFS(PLAN!$K:$K,PLAN!$V:$V,Sheet1!$A3,PLAN!$W:$W,Sheet1!$B$1)</f>
        <v>0</v>
      </c>
      <c r="C3" s="147">
        <f>SUMIFS(PLAN!$K:$K,PLAN!$V:$V,Sheet1!$A3,PLAN!$W:$W,Sheet1!$C$1)</f>
        <v>0</v>
      </c>
      <c r="D3" s="147">
        <f>SUMIFS(PLAN!$K:$K,PLAN!$V:$V,Sheet1!$A3,PLAN!$W:$W,Sheet1!$D$1)</f>
        <v>0</v>
      </c>
      <c r="E3" s="147">
        <f>SUMIFS(PLAN!$K:$K,PLAN!$V:$V,Sheet1!$A3,PLAN!$W:$W,Sheet1!$E$1)</f>
        <v>0</v>
      </c>
      <c r="F3" s="147">
        <f>SUMIFS(PLAN!$K:$K,PLAN!$V:$V,Sheet1!$A3,PLAN!$W:$W,Sheet1!$F$1)</f>
        <v>0</v>
      </c>
      <c r="G3" s="147">
        <f>SUMIFS(PLAN!$K:$K,PLAN!$V:$V,Sheet1!$A3,PLAN!$W:$W,Sheet1!$G$1)</f>
        <v>0</v>
      </c>
      <c r="H3" s="147">
        <f>SUMIFS(PLAN!$K:$K,PLAN!$V:$V,Sheet1!$A3,PLAN!$W:$W,Sheet1!$H$1)</f>
        <v>0</v>
      </c>
      <c r="I3" s="147">
        <f>SUMIFS(PLAN!$K:$K,PLAN!$V:$V,Sheet1!$A3,PLAN!$W:$W,Sheet1!$I$1)</f>
        <v>0</v>
      </c>
      <c r="J3" s="147">
        <f>SUMIFS(PLAN!$K:$K,PLAN!$V:$V,Sheet1!$A3,PLAN!$W:$W,Sheet1!$J$1)</f>
        <v>0</v>
      </c>
      <c r="K3" s="147">
        <f>SUMIFS(PLAN!$K:$K,PLAN!$V:$V,Sheet1!$A3,PLAN!$W:$W,Sheet1!$K$1)</f>
        <v>0</v>
      </c>
      <c r="L3" s="147">
        <f>SUMIFS(PLAN!$K:$K,PLAN!$V:$V,Sheet1!$A3,PLAN!$W:$W,Sheet1!$L$1)</f>
        <v>0</v>
      </c>
      <c r="M3" s="147">
        <f>SUMIFS(PLAN!$K:$K,PLAN!$V:$V,Sheet1!$A3,PLAN!$W:$W,Sheet1!$M$1)</f>
        <v>0</v>
      </c>
      <c r="N3" s="147">
        <f>SUMIFS(PLAN!$K:$K,PLAN!$V:$V,Sheet1!$A3,PLAN!$W:$W,Sheet1!$N$1)</f>
        <v>0</v>
      </c>
      <c r="O3" s="147">
        <f t="shared" ref="O3:O66" si="1">SUM(B3:N3)</f>
        <v>0</v>
      </c>
      <c r="P3" s="147">
        <v>1001389960</v>
      </c>
      <c r="Q3" s="147" t="s">
        <v>85</v>
      </c>
      <c r="R3" s="147" t="s">
        <v>86</v>
      </c>
      <c r="S3" s="147" t="s">
        <v>87</v>
      </c>
      <c r="T3" s="147">
        <v>99</v>
      </c>
    </row>
    <row r="4" spans="1:20">
      <c r="A4" s="159">
        <v>46176</v>
      </c>
      <c r="B4" s="147">
        <f>SUMIFS(PLAN!$K:$K,PLAN!$V:$V,Sheet1!$A4,PLAN!$W:$W,Sheet1!$B$1)</f>
        <v>0</v>
      </c>
      <c r="C4" s="147">
        <f>SUMIFS(PLAN!$K:$K,PLAN!$V:$V,Sheet1!$A4,PLAN!$W:$W,Sheet1!$C$1)</f>
        <v>0</v>
      </c>
      <c r="D4" s="147">
        <f>SUMIFS(PLAN!$K:$K,PLAN!$V:$V,Sheet1!$A4,PLAN!$W:$W,Sheet1!$D$1)</f>
        <v>0</v>
      </c>
      <c r="E4" s="147">
        <f>SUMIFS(PLAN!$K:$K,PLAN!$V:$V,Sheet1!$A4,PLAN!$W:$W,Sheet1!$E$1)</f>
        <v>0</v>
      </c>
      <c r="F4" s="147">
        <f>SUMIFS(PLAN!$K:$K,PLAN!$V:$V,Sheet1!$A4,PLAN!$W:$W,Sheet1!$F$1)</f>
        <v>0</v>
      </c>
      <c r="G4" s="147">
        <f>SUMIFS(PLAN!$K:$K,PLAN!$V:$V,Sheet1!$A4,PLAN!$W:$W,Sheet1!$G$1)</f>
        <v>0</v>
      </c>
      <c r="H4" s="147">
        <f>SUMIFS(PLAN!$K:$K,PLAN!$V:$V,Sheet1!$A4,PLAN!$W:$W,Sheet1!$H$1)</f>
        <v>0</v>
      </c>
      <c r="I4" s="147">
        <f>SUMIFS(PLAN!$K:$K,PLAN!$V:$V,Sheet1!$A4,PLAN!$W:$W,Sheet1!$I$1)</f>
        <v>0</v>
      </c>
      <c r="J4" s="147">
        <f>SUMIFS(PLAN!$K:$K,PLAN!$V:$V,Sheet1!$A4,PLAN!$W:$W,Sheet1!$J$1)</f>
        <v>0</v>
      </c>
      <c r="K4" s="147">
        <f>SUMIFS(PLAN!$K:$K,PLAN!$V:$V,Sheet1!$A4,PLAN!$W:$W,Sheet1!$K$1)</f>
        <v>0</v>
      </c>
      <c r="L4" s="147">
        <f>SUMIFS(PLAN!$K:$K,PLAN!$V:$V,Sheet1!$A4,PLAN!$W:$W,Sheet1!$L$1)</f>
        <v>0</v>
      </c>
      <c r="M4" s="147">
        <f>SUMIFS(PLAN!$K:$K,PLAN!$V:$V,Sheet1!$A4,PLAN!$W:$W,Sheet1!$M$1)</f>
        <v>0</v>
      </c>
      <c r="N4" s="147">
        <f>SUMIFS(PLAN!$K:$K,PLAN!$V:$V,Sheet1!$A4,PLAN!$W:$W,Sheet1!$N$1)</f>
        <v>0</v>
      </c>
      <c r="O4" s="147">
        <f t="shared" si="1"/>
        <v>0</v>
      </c>
      <c r="P4" s="147">
        <v>1001389960</v>
      </c>
      <c r="Q4" s="244" t="s">
        <v>88</v>
      </c>
      <c r="R4" s="244" t="s">
        <v>89</v>
      </c>
      <c r="S4" s="244" t="s">
        <v>90</v>
      </c>
      <c r="T4" s="244">
        <v>94</v>
      </c>
    </row>
    <row r="5" spans="1:20">
      <c r="A5" s="159">
        <v>46177</v>
      </c>
      <c r="B5" s="147">
        <f>SUMIFS(PLAN!$K:$K,PLAN!$V:$V,Sheet1!$A5,PLAN!$W:$W,Sheet1!$B$1)</f>
        <v>0</v>
      </c>
      <c r="C5" s="147">
        <f>SUMIFS(PLAN!$K:$K,PLAN!$V:$V,Sheet1!$A5,PLAN!$W:$W,Sheet1!$C$1)</f>
        <v>0</v>
      </c>
      <c r="D5" s="147">
        <f>SUMIFS(PLAN!$K:$K,PLAN!$V:$V,Sheet1!$A5,PLAN!$W:$W,Sheet1!$D$1)</f>
        <v>0</v>
      </c>
      <c r="E5" s="147">
        <f>SUMIFS(PLAN!$K:$K,PLAN!$V:$V,Sheet1!$A5,PLAN!$W:$W,Sheet1!$E$1)</f>
        <v>0</v>
      </c>
      <c r="F5" s="147">
        <f>SUMIFS(PLAN!$K:$K,PLAN!$V:$V,Sheet1!$A5,PLAN!$W:$W,Sheet1!$F$1)</f>
        <v>0</v>
      </c>
      <c r="G5" s="147">
        <f>SUMIFS(PLAN!$K:$K,PLAN!$V:$V,Sheet1!$A5,PLAN!$W:$W,Sheet1!$G$1)</f>
        <v>0</v>
      </c>
      <c r="H5" s="147">
        <f>SUMIFS(PLAN!$K:$K,PLAN!$V:$V,Sheet1!$A5,PLAN!$W:$W,Sheet1!$H$1)</f>
        <v>0</v>
      </c>
      <c r="I5" s="147">
        <f>SUMIFS(PLAN!$K:$K,PLAN!$V:$V,Sheet1!$A5,PLAN!$W:$W,Sheet1!$I$1)</f>
        <v>0</v>
      </c>
      <c r="J5" s="147">
        <f>SUMIFS(PLAN!$K:$K,PLAN!$V:$V,Sheet1!$A5,PLAN!$W:$W,Sheet1!$J$1)</f>
        <v>0</v>
      </c>
      <c r="K5" s="147">
        <f>SUMIFS(PLAN!$K:$K,PLAN!$V:$V,Sheet1!$A5,PLAN!$W:$W,Sheet1!$K$1)</f>
        <v>0</v>
      </c>
      <c r="L5" s="147">
        <f>SUMIFS(PLAN!$K:$K,PLAN!$V:$V,Sheet1!$A5,PLAN!$W:$W,Sheet1!$L$1)</f>
        <v>0</v>
      </c>
      <c r="M5" s="147">
        <f>SUMIFS(PLAN!$K:$K,PLAN!$V:$V,Sheet1!$A5,PLAN!$W:$W,Sheet1!$M$1)</f>
        <v>0</v>
      </c>
      <c r="N5" s="147">
        <f>SUMIFS(PLAN!$K:$K,PLAN!$V:$V,Sheet1!$A5,PLAN!$W:$W,Sheet1!$N$1)</f>
        <v>0</v>
      </c>
      <c r="O5" s="147">
        <f t="shared" si="1"/>
        <v>0</v>
      </c>
      <c r="Q5" s="244"/>
      <c r="R5" s="244"/>
      <c r="S5" s="244"/>
      <c r="T5" s="244"/>
    </row>
    <row r="6" spans="1:20">
      <c r="A6" s="159">
        <v>46178</v>
      </c>
      <c r="B6" s="147">
        <f>SUMIFS(PLAN!$K:$K,PLAN!$V:$V,Sheet1!$A6,PLAN!$W:$W,Sheet1!$B$1)</f>
        <v>0</v>
      </c>
      <c r="C6" s="147">
        <f>SUMIFS(PLAN!$K:$K,PLAN!$V:$V,Sheet1!$A6,PLAN!$W:$W,Sheet1!$C$1)</f>
        <v>0</v>
      </c>
      <c r="D6" s="147">
        <f>SUMIFS(PLAN!$K:$K,PLAN!$V:$V,Sheet1!$A6,PLAN!$W:$W,Sheet1!$D$1)</f>
        <v>0</v>
      </c>
      <c r="E6" s="147">
        <f>SUMIFS(PLAN!$K:$K,PLAN!$V:$V,Sheet1!$A6,PLAN!$W:$W,Sheet1!$E$1)</f>
        <v>0</v>
      </c>
      <c r="F6" s="147">
        <f>SUMIFS(PLAN!$K:$K,PLAN!$V:$V,Sheet1!$A6,PLAN!$W:$W,Sheet1!$F$1)</f>
        <v>0</v>
      </c>
      <c r="G6" s="147">
        <f>SUMIFS(PLAN!$K:$K,PLAN!$V:$V,Sheet1!$A6,PLAN!$W:$W,Sheet1!$G$1)</f>
        <v>0</v>
      </c>
      <c r="H6" s="147">
        <f>SUMIFS(PLAN!$K:$K,PLAN!$V:$V,Sheet1!$A6,PLAN!$W:$W,Sheet1!$H$1)</f>
        <v>0</v>
      </c>
      <c r="I6" s="147">
        <f>SUMIFS(PLAN!$K:$K,PLAN!$V:$V,Sheet1!$A6,PLAN!$W:$W,Sheet1!$I$1)</f>
        <v>0</v>
      </c>
      <c r="J6" s="147">
        <f>SUMIFS(PLAN!$K:$K,PLAN!$V:$V,Sheet1!$A6,PLAN!$W:$W,Sheet1!$J$1)</f>
        <v>0</v>
      </c>
      <c r="K6" s="147">
        <f>SUMIFS(PLAN!$K:$K,PLAN!$V:$V,Sheet1!$A6,PLAN!$W:$W,Sheet1!$K$1)</f>
        <v>0</v>
      </c>
      <c r="L6" s="147">
        <f>SUMIFS(PLAN!$K:$K,PLAN!$V:$V,Sheet1!$A6,PLAN!$W:$W,Sheet1!$L$1)</f>
        <v>0</v>
      </c>
      <c r="M6" s="147">
        <f>SUMIFS(PLAN!$K:$K,PLAN!$V:$V,Sheet1!$A6,PLAN!$W:$W,Sheet1!$M$1)</f>
        <v>0</v>
      </c>
      <c r="N6" s="147">
        <f>SUMIFS(PLAN!$K:$K,PLAN!$V:$V,Sheet1!$A6,PLAN!$W:$W,Sheet1!$N$1)</f>
        <v>0</v>
      </c>
      <c r="O6" s="147">
        <f t="shared" si="1"/>
        <v>0</v>
      </c>
    </row>
    <row r="7" spans="1:20">
      <c r="A7" s="159">
        <v>46179</v>
      </c>
      <c r="B7" s="147">
        <f>SUMIFS(PLAN!$K:$K,PLAN!$V:$V,Sheet1!$A7,PLAN!$W:$W,Sheet1!$B$1)</f>
        <v>0</v>
      </c>
      <c r="C7" s="147">
        <f>SUMIFS(PLAN!$K:$K,PLAN!$V:$V,Sheet1!$A7,PLAN!$W:$W,Sheet1!$C$1)</f>
        <v>0</v>
      </c>
      <c r="D7" s="147">
        <f>SUMIFS(PLAN!$K:$K,PLAN!$V:$V,Sheet1!$A7,PLAN!$W:$W,Sheet1!$D$1)</f>
        <v>0</v>
      </c>
      <c r="E7" s="147">
        <f>SUMIFS(PLAN!$K:$K,PLAN!$V:$V,Sheet1!$A7,PLAN!$W:$W,Sheet1!$E$1)</f>
        <v>0</v>
      </c>
      <c r="F7" s="147">
        <f>SUMIFS(PLAN!$K:$K,PLAN!$V:$V,Sheet1!$A7,PLAN!$W:$W,Sheet1!$F$1)</f>
        <v>0</v>
      </c>
      <c r="G7" s="147">
        <f>SUMIFS(PLAN!$K:$K,PLAN!$V:$V,Sheet1!$A7,PLAN!$W:$W,Sheet1!$G$1)</f>
        <v>0</v>
      </c>
      <c r="H7" s="147">
        <f>SUMIFS(PLAN!$K:$K,PLAN!$V:$V,Sheet1!$A7,PLAN!$W:$W,Sheet1!$H$1)</f>
        <v>0</v>
      </c>
      <c r="I7" s="147">
        <f>SUMIFS(PLAN!$K:$K,PLAN!$V:$V,Sheet1!$A7,PLAN!$W:$W,Sheet1!$I$1)</f>
        <v>0</v>
      </c>
      <c r="J7" s="147">
        <f>SUMIFS(PLAN!$K:$K,PLAN!$V:$V,Sheet1!$A7,PLAN!$W:$W,Sheet1!$J$1)</f>
        <v>0</v>
      </c>
      <c r="K7" s="147">
        <f>SUMIFS(PLAN!$K:$K,PLAN!$V:$V,Sheet1!$A7,PLAN!$W:$W,Sheet1!$K$1)</f>
        <v>0</v>
      </c>
      <c r="L7" s="147">
        <f>SUMIFS(PLAN!$K:$K,PLAN!$V:$V,Sheet1!$A7,PLAN!$W:$W,Sheet1!$L$1)</f>
        <v>0</v>
      </c>
      <c r="M7" s="147">
        <f>SUMIFS(PLAN!$K:$K,PLAN!$V:$V,Sheet1!$A7,PLAN!$W:$W,Sheet1!$M$1)</f>
        <v>0</v>
      </c>
      <c r="N7" s="147">
        <f>SUMIFS(PLAN!$K:$K,PLAN!$V:$V,Sheet1!$A7,PLAN!$W:$W,Sheet1!$N$1)</f>
        <v>0</v>
      </c>
      <c r="O7" s="147">
        <f t="shared" si="1"/>
        <v>0</v>
      </c>
    </row>
    <row r="8" spans="1:20">
      <c r="A8" s="159">
        <v>46180</v>
      </c>
      <c r="B8" s="147">
        <f>SUMIFS(PLAN!$K:$K,PLAN!$V:$V,Sheet1!$A8,PLAN!$W:$W,Sheet1!$B$1)</f>
        <v>0</v>
      </c>
      <c r="C8" s="147">
        <f>SUMIFS(PLAN!$K:$K,PLAN!$V:$V,Sheet1!$A8,PLAN!$W:$W,Sheet1!$C$1)</f>
        <v>0</v>
      </c>
      <c r="D8" s="147">
        <f>SUMIFS(PLAN!$K:$K,PLAN!$V:$V,Sheet1!$A8,PLAN!$W:$W,Sheet1!$D$1)</f>
        <v>0</v>
      </c>
      <c r="E8" s="147">
        <f>SUMIFS(PLAN!$K:$K,PLAN!$V:$V,Sheet1!$A8,PLAN!$W:$W,Sheet1!$E$1)</f>
        <v>0</v>
      </c>
      <c r="F8" s="147">
        <f>SUMIFS(PLAN!$K:$K,PLAN!$V:$V,Sheet1!$A8,PLAN!$W:$W,Sheet1!$F$1)</f>
        <v>0</v>
      </c>
      <c r="G8" s="147">
        <f>SUMIFS(PLAN!$K:$K,PLAN!$V:$V,Sheet1!$A8,PLAN!$W:$W,Sheet1!$G$1)</f>
        <v>0</v>
      </c>
      <c r="H8" s="147">
        <f>SUMIFS(PLAN!$K:$K,PLAN!$V:$V,Sheet1!$A8,PLAN!$W:$W,Sheet1!$H$1)</f>
        <v>0</v>
      </c>
      <c r="I8" s="147">
        <f>SUMIFS(PLAN!$K:$K,PLAN!$V:$V,Sheet1!$A8,PLAN!$W:$W,Sheet1!$I$1)</f>
        <v>0</v>
      </c>
      <c r="J8" s="147">
        <f>SUMIFS(PLAN!$K:$K,PLAN!$V:$V,Sheet1!$A8,PLAN!$W:$W,Sheet1!$J$1)</f>
        <v>0</v>
      </c>
      <c r="K8" s="147">
        <f>SUMIFS(PLAN!$K:$K,PLAN!$V:$V,Sheet1!$A8,PLAN!$W:$W,Sheet1!$K$1)</f>
        <v>0</v>
      </c>
      <c r="L8" s="147">
        <f>SUMIFS(PLAN!$K:$K,PLAN!$V:$V,Sheet1!$A8,PLAN!$W:$W,Sheet1!$L$1)</f>
        <v>0</v>
      </c>
      <c r="M8" s="147">
        <f>SUMIFS(PLAN!$K:$K,PLAN!$V:$V,Sheet1!$A8,PLAN!$W:$W,Sheet1!$M$1)</f>
        <v>0</v>
      </c>
      <c r="N8" s="147">
        <f>SUMIFS(PLAN!$K:$K,PLAN!$V:$V,Sheet1!$A8,PLAN!$W:$W,Sheet1!$N$1)</f>
        <v>0</v>
      </c>
      <c r="O8" s="147">
        <f t="shared" si="1"/>
        <v>0</v>
      </c>
    </row>
    <row r="9" spans="1:20">
      <c r="A9" s="159">
        <v>46181</v>
      </c>
      <c r="B9" s="147">
        <f>SUMIFS(PLAN!$K:$K,PLAN!$V:$V,Sheet1!$A9,PLAN!$W:$W,Sheet1!$B$1)</f>
        <v>0</v>
      </c>
      <c r="C9" s="147">
        <f>SUMIFS(PLAN!$K:$K,PLAN!$V:$V,Sheet1!$A9,PLAN!$W:$W,Sheet1!$C$1)</f>
        <v>0</v>
      </c>
      <c r="D9" s="147">
        <f>SUMIFS(PLAN!$K:$K,PLAN!$V:$V,Sheet1!$A9,PLAN!$W:$W,Sheet1!$D$1)</f>
        <v>0</v>
      </c>
      <c r="E9" s="147">
        <f>SUMIFS(PLAN!$K:$K,PLAN!$V:$V,Sheet1!$A9,PLAN!$W:$W,Sheet1!$E$1)</f>
        <v>0</v>
      </c>
      <c r="F9" s="147">
        <f>SUMIFS(PLAN!$K:$K,PLAN!$V:$V,Sheet1!$A9,PLAN!$W:$W,Sheet1!$F$1)</f>
        <v>0</v>
      </c>
      <c r="G9" s="147">
        <f>SUMIFS(PLAN!$K:$K,PLAN!$V:$V,Sheet1!$A9,PLAN!$W:$W,Sheet1!$G$1)</f>
        <v>0</v>
      </c>
      <c r="H9" s="147">
        <f>SUMIFS(PLAN!$K:$K,PLAN!$V:$V,Sheet1!$A9,PLAN!$W:$W,Sheet1!$H$1)</f>
        <v>0</v>
      </c>
      <c r="I9" s="147">
        <f>SUMIFS(PLAN!$K:$K,PLAN!$V:$V,Sheet1!$A9,PLAN!$W:$W,Sheet1!$I$1)</f>
        <v>0</v>
      </c>
      <c r="J9" s="147">
        <f>SUMIFS(PLAN!$K:$K,PLAN!$V:$V,Sheet1!$A9,PLAN!$W:$W,Sheet1!$J$1)</f>
        <v>0</v>
      </c>
      <c r="K9" s="147">
        <f>SUMIFS(PLAN!$K:$K,PLAN!$V:$V,Sheet1!$A9,PLAN!$W:$W,Sheet1!$K$1)</f>
        <v>0</v>
      </c>
      <c r="L9" s="147">
        <f>SUMIFS(PLAN!$K:$K,PLAN!$V:$V,Sheet1!$A9,PLAN!$W:$W,Sheet1!$L$1)</f>
        <v>0</v>
      </c>
      <c r="M9" s="147">
        <f>SUMIFS(PLAN!$K:$K,PLAN!$V:$V,Sheet1!$A9,PLAN!$W:$W,Sheet1!$M$1)</f>
        <v>0</v>
      </c>
      <c r="N9" s="147">
        <f>SUMIFS(PLAN!$K:$K,PLAN!$V:$V,Sheet1!$A9,PLAN!$W:$W,Sheet1!$N$1)</f>
        <v>0</v>
      </c>
      <c r="O9" s="147">
        <f t="shared" si="1"/>
        <v>0</v>
      </c>
    </row>
    <row r="10" spans="1:20">
      <c r="A10" s="159">
        <v>46182</v>
      </c>
      <c r="B10" s="147">
        <f>SUMIFS(PLAN!$K:$K,PLAN!$V:$V,Sheet1!$A10,PLAN!$W:$W,Sheet1!$B$1)</f>
        <v>0</v>
      </c>
      <c r="C10" s="147">
        <f>SUMIFS(PLAN!$K:$K,PLAN!$V:$V,Sheet1!$A10,PLAN!$W:$W,Sheet1!$C$1)</f>
        <v>0</v>
      </c>
      <c r="D10" s="147">
        <f>SUMIFS(PLAN!$K:$K,PLAN!$V:$V,Sheet1!$A10,PLAN!$W:$W,Sheet1!$D$1)</f>
        <v>0</v>
      </c>
      <c r="E10" s="147">
        <f>SUMIFS(PLAN!$K:$K,PLAN!$V:$V,Sheet1!$A10,PLAN!$W:$W,Sheet1!$E$1)</f>
        <v>0</v>
      </c>
      <c r="F10" s="147">
        <f>SUMIFS(PLAN!$K:$K,PLAN!$V:$V,Sheet1!$A10,PLAN!$W:$W,Sheet1!$F$1)</f>
        <v>0</v>
      </c>
      <c r="G10" s="147">
        <f>SUMIFS(PLAN!$K:$K,PLAN!$V:$V,Sheet1!$A10,PLAN!$W:$W,Sheet1!$G$1)</f>
        <v>0</v>
      </c>
      <c r="H10" s="147">
        <f>SUMIFS(PLAN!$K:$K,PLAN!$V:$V,Sheet1!$A10,PLAN!$W:$W,Sheet1!$H$1)</f>
        <v>0</v>
      </c>
      <c r="I10" s="147">
        <f>SUMIFS(PLAN!$K:$K,PLAN!$V:$V,Sheet1!$A10,PLAN!$W:$W,Sheet1!$I$1)</f>
        <v>0</v>
      </c>
      <c r="J10" s="147">
        <f>SUMIFS(PLAN!$K:$K,PLAN!$V:$V,Sheet1!$A10,PLAN!$W:$W,Sheet1!$J$1)</f>
        <v>0</v>
      </c>
      <c r="K10" s="147">
        <f>SUMIFS(PLAN!$K:$K,PLAN!$V:$V,Sheet1!$A10,PLAN!$W:$W,Sheet1!$K$1)</f>
        <v>0</v>
      </c>
      <c r="L10" s="147">
        <f>SUMIFS(PLAN!$K:$K,PLAN!$V:$V,Sheet1!$A10,PLAN!$W:$W,Sheet1!$L$1)</f>
        <v>0</v>
      </c>
      <c r="M10" s="147">
        <f>SUMIFS(PLAN!$K:$K,PLAN!$V:$V,Sheet1!$A10,PLAN!$W:$W,Sheet1!$M$1)</f>
        <v>0</v>
      </c>
      <c r="N10" s="147">
        <f>SUMIFS(PLAN!$K:$K,PLAN!$V:$V,Sheet1!$A10,PLAN!$W:$W,Sheet1!$N$1)</f>
        <v>0</v>
      </c>
      <c r="O10" s="147">
        <f t="shared" si="1"/>
        <v>0</v>
      </c>
    </row>
    <row r="11" spans="1:20">
      <c r="A11" s="159">
        <v>46183</v>
      </c>
      <c r="B11" s="147">
        <f>SUMIFS(PLAN!$K:$K,PLAN!$V:$V,Sheet1!$A11,PLAN!$W:$W,Sheet1!$B$1)</f>
        <v>0</v>
      </c>
      <c r="C11" s="147">
        <f>SUMIFS(PLAN!$K:$K,PLAN!$V:$V,Sheet1!$A11,PLAN!$W:$W,Sheet1!$C$1)</f>
        <v>0</v>
      </c>
      <c r="D11" s="147">
        <f>SUMIFS(PLAN!$K:$K,PLAN!$V:$V,Sheet1!$A11,PLAN!$W:$W,Sheet1!$D$1)</f>
        <v>0</v>
      </c>
      <c r="E11" s="147">
        <f>SUMIFS(PLAN!$K:$K,PLAN!$V:$V,Sheet1!$A11,PLAN!$W:$W,Sheet1!$E$1)</f>
        <v>0</v>
      </c>
      <c r="F11" s="147">
        <f>SUMIFS(PLAN!$K:$K,PLAN!$V:$V,Sheet1!$A11,PLAN!$W:$W,Sheet1!$F$1)</f>
        <v>0</v>
      </c>
      <c r="G11" s="147">
        <f>SUMIFS(PLAN!$K:$K,PLAN!$V:$V,Sheet1!$A11,PLAN!$W:$W,Sheet1!$G$1)</f>
        <v>0</v>
      </c>
      <c r="H11" s="147">
        <f>SUMIFS(PLAN!$K:$K,PLAN!$V:$V,Sheet1!$A11,PLAN!$W:$W,Sheet1!$H$1)</f>
        <v>0</v>
      </c>
      <c r="I11" s="147">
        <f>SUMIFS(PLAN!$K:$K,PLAN!$V:$V,Sheet1!$A11,PLAN!$W:$W,Sheet1!$I$1)</f>
        <v>0</v>
      </c>
      <c r="J11" s="147">
        <f>SUMIFS(PLAN!$K:$K,PLAN!$V:$V,Sheet1!$A11,PLAN!$W:$W,Sheet1!$J$1)</f>
        <v>0</v>
      </c>
      <c r="K11" s="147">
        <f>SUMIFS(PLAN!$K:$K,PLAN!$V:$V,Sheet1!$A11,PLAN!$W:$W,Sheet1!$K$1)</f>
        <v>0</v>
      </c>
      <c r="L11" s="147">
        <f>SUMIFS(PLAN!$K:$K,PLAN!$V:$V,Sheet1!$A11,PLAN!$W:$W,Sheet1!$L$1)</f>
        <v>0</v>
      </c>
      <c r="M11" s="147">
        <f>SUMIFS(PLAN!$K:$K,PLAN!$V:$V,Sheet1!$A11,PLAN!$W:$W,Sheet1!$M$1)</f>
        <v>0</v>
      </c>
      <c r="N11" s="147">
        <f>SUMIFS(PLAN!$K:$K,PLAN!$V:$V,Sheet1!$A11,PLAN!$W:$W,Sheet1!$N$1)</f>
        <v>0</v>
      </c>
      <c r="O11" s="147">
        <f t="shared" si="1"/>
        <v>0</v>
      </c>
    </row>
    <row r="12" spans="1:20">
      <c r="A12" s="159">
        <v>46184</v>
      </c>
      <c r="B12" s="147">
        <f>SUMIFS(PLAN!$K:$K,PLAN!$V:$V,Sheet1!$A12,PLAN!$W:$W,Sheet1!$B$1)</f>
        <v>0</v>
      </c>
      <c r="C12" s="147">
        <f>SUMIFS(PLAN!$K:$K,PLAN!$V:$V,Sheet1!$A12,PLAN!$W:$W,Sheet1!$C$1)</f>
        <v>0</v>
      </c>
      <c r="D12" s="147">
        <f>SUMIFS(PLAN!$K:$K,PLAN!$V:$V,Sheet1!$A12,PLAN!$W:$W,Sheet1!$D$1)</f>
        <v>0</v>
      </c>
      <c r="E12" s="147">
        <f>SUMIFS(PLAN!$K:$K,PLAN!$V:$V,Sheet1!$A12,PLAN!$W:$W,Sheet1!$E$1)</f>
        <v>0</v>
      </c>
      <c r="F12" s="147">
        <f>SUMIFS(PLAN!$K:$K,PLAN!$V:$V,Sheet1!$A12,PLAN!$W:$W,Sheet1!$F$1)</f>
        <v>0</v>
      </c>
      <c r="G12" s="147">
        <f>SUMIFS(PLAN!$K:$K,PLAN!$V:$V,Sheet1!$A12,PLAN!$W:$W,Sheet1!$G$1)</f>
        <v>0</v>
      </c>
      <c r="H12" s="147">
        <f>SUMIFS(PLAN!$K:$K,PLAN!$V:$V,Sheet1!$A12,PLAN!$W:$W,Sheet1!$H$1)</f>
        <v>0</v>
      </c>
      <c r="I12" s="147">
        <f>SUMIFS(PLAN!$K:$K,PLAN!$V:$V,Sheet1!$A12,PLAN!$W:$W,Sheet1!$I$1)</f>
        <v>0</v>
      </c>
      <c r="J12" s="147">
        <f>SUMIFS(PLAN!$K:$K,PLAN!$V:$V,Sheet1!$A12,PLAN!$W:$W,Sheet1!$J$1)</f>
        <v>0</v>
      </c>
      <c r="K12" s="147">
        <f>SUMIFS(PLAN!$K:$K,PLAN!$V:$V,Sheet1!$A12,PLAN!$W:$W,Sheet1!$K$1)</f>
        <v>0</v>
      </c>
      <c r="L12" s="147">
        <f>SUMIFS(PLAN!$K:$K,PLAN!$V:$V,Sheet1!$A12,PLAN!$W:$W,Sheet1!$L$1)</f>
        <v>0</v>
      </c>
      <c r="M12" s="147">
        <f>SUMIFS(PLAN!$K:$K,PLAN!$V:$V,Sheet1!$A12,PLAN!$W:$W,Sheet1!$M$1)</f>
        <v>0</v>
      </c>
      <c r="N12" s="147">
        <f>SUMIFS(PLAN!$K:$K,PLAN!$V:$V,Sheet1!$A12,PLAN!$W:$W,Sheet1!$N$1)</f>
        <v>0</v>
      </c>
      <c r="O12" s="147">
        <f t="shared" si="1"/>
        <v>0</v>
      </c>
    </row>
    <row r="13" spans="1:20">
      <c r="A13" s="159">
        <v>46185</v>
      </c>
      <c r="B13" s="147">
        <f>SUMIFS(PLAN!$K:$K,PLAN!$V:$V,Sheet1!$A13,PLAN!$W:$W,Sheet1!$B$1)</f>
        <v>0</v>
      </c>
      <c r="C13" s="147">
        <f>SUMIFS(PLAN!$K:$K,PLAN!$V:$V,Sheet1!$A13,PLAN!$W:$W,Sheet1!$C$1)</f>
        <v>0</v>
      </c>
      <c r="D13" s="147">
        <f>SUMIFS(PLAN!$K:$K,PLAN!$V:$V,Sheet1!$A13,PLAN!$W:$W,Sheet1!$D$1)</f>
        <v>0</v>
      </c>
      <c r="E13" s="147">
        <f>SUMIFS(PLAN!$K:$K,PLAN!$V:$V,Sheet1!$A13,PLAN!$W:$W,Sheet1!$E$1)</f>
        <v>0</v>
      </c>
      <c r="F13" s="147">
        <f>SUMIFS(PLAN!$K:$K,PLAN!$V:$V,Sheet1!$A13,PLAN!$W:$W,Sheet1!$F$1)</f>
        <v>0</v>
      </c>
      <c r="G13" s="147">
        <f>SUMIFS(PLAN!$K:$K,PLAN!$V:$V,Sheet1!$A13,PLAN!$W:$W,Sheet1!$G$1)</f>
        <v>0</v>
      </c>
      <c r="H13" s="147">
        <f>SUMIFS(PLAN!$K:$K,PLAN!$V:$V,Sheet1!$A13,PLAN!$W:$W,Sheet1!$H$1)</f>
        <v>0</v>
      </c>
      <c r="I13" s="147">
        <f>SUMIFS(PLAN!$K:$K,PLAN!$V:$V,Sheet1!$A13,PLAN!$W:$W,Sheet1!$I$1)</f>
        <v>0</v>
      </c>
      <c r="J13" s="147">
        <f>SUMIFS(PLAN!$K:$K,PLAN!$V:$V,Sheet1!$A13,PLAN!$W:$W,Sheet1!$J$1)</f>
        <v>0</v>
      </c>
      <c r="K13" s="147">
        <f>SUMIFS(PLAN!$K:$K,PLAN!$V:$V,Sheet1!$A13,PLAN!$W:$W,Sheet1!$K$1)</f>
        <v>0</v>
      </c>
      <c r="L13" s="147">
        <f>SUMIFS(PLAN!$K:$K,PLAN!$V:$V,Sheet1!$A13,PLAN!$W:$W,Sheet1!$L$1)</f>
        <v>0</v>
      </c>
      <c r="M13" s="147">
        <f>SUMIFS(PLAN!$K:$K,PLAN!$V:$V,Sheet1!$A13,PLAN!$W:$W,Sheet1!$M$1)</f>
        <v>0</v>
      </c>
      <c r="N13" s="147">
        <f>SUMIFS(PLAN!$K:$K,PLAN!$V:$V,Sheet1!$A13,PLAN!$W:$W,Sheet1!$N$1)</f>
        <v>0</v>
      </c>
      <c r="O13" s="147">
        <f t="shared" si="1"/>
        <v>0</v>
      </c>
    </row>
    <row r="14" spans="1:20">
      <c r="A14" s="159">
        <v>46186</v>
      </c>
      <c r="B14" s="147">
        <f>SUMIFS(PLAN!$K:$K,PLAN!$V:$V,Sheet1!$A14,PLAN!$W:$W,Sheet1!$B$1)</f>
        <v>0</v>
      </c>
      <c r="C14" s="147">
        <f>SUMIFS(PLAN!$K:$K,PLAN!$V:$V,Sheet1!$A14,PLAN!$W:$W,Sheet1!$C$1)</f>
        <v>0</v>
      </c>
      <c r="D14" s="147">
        <f>SUMIFS(PLAN!$K:$K,PLAN!$V:$V,Sheet1!$A14,PLAN!$W:$W,Sheet1!$D$1)</f>
        <v>0</v>
      </c>
      <c r="E14" s="147">
        <f>SUMIFS(PLAN!$K:$K,PLAN!$V:$V,Sheet1!$A14,PLAN!$W:$W,Sheet1!$E$1)</f>
        <v>0</v>
      </c>
      <c r="F14" s="147">
        <f>SUMIFS(PLAN!$K:$K,PLAN!$V:$V,Sheet1!$A14,PLAN!$W:$W,Sheet1!$F$1)</f>
        <v>0</v>
      </c>
      <c r="G14" s="147">
        <f>SUMIFS(PLAN!$K:$K,PLAN!$V:$V,Sheet1!$A14,PLAN!$W:$W,Sheet1!$G$1)</f>
        <v>0</v>
      </c>
      <c r="H14" s="147">
        <f>SUMIFS(PLAN!$K:$K,PLAN!$V:$V,Sheet1!$A14,PLAN!$W:$W,Sheet1!$H$1)</f>
        <v>0</v>
      </c>
      <c r="I14" s="147">
        <f>SUMIFS(PLAN!$K:$K,PLAN!$V:$V,Sheet1!$A14,PLAN!$W:$W,Sheet1!$I$1)</f>
        <v>0</v>
      </c>
      <c r="J14" s="147">
        <f>SUMIFS(PLAN!$K:$K,PLAN!$V:$V,Sheet1!$A14,PLAN!$W:$W,Sheet1!$J$1)</f>
        <v>0</v>
      </c>
      <c r="K14" s="147">
        <f>SUMIFS(PLAN!$K:$K,PLAN!$V:$V,Sheet1!$A14,PLAN!$W:$W,Sheet1!$K$1)</f>
        <v>0</v>
      </c>
      <c r="L14" s="147">
        <f>SUMIFS(PLAN!$K:$K,PLAN!$V:$V,Sheet1!$A14,PLAN!$W:$W,Sheet1!$L$1)</f>
        <v>0</v>
      </c>
      <c r="M14" s="147">
        <f>SUMIFS(PLAN!$K:$K,PLAN!$V:$V,Sheet1!$A14,PLAN!$W:$W,Sheet1!$M$1)</f>
        <v>0</v>
      </c>
      <c r="N14" s="147">
        <f>SUMIFS(PLAN!$K:$K,PLAN!$V:$V,Sheet1!$A14,PLAN!$W:$W,Sheet1!$N$1)</f>
        <v>0</v>
      </c>
      <c r="O14" s="147">
        <f t="shared" si="1"/>
        <v>0</v>
      </c>
    </row>
    <row r="15" spans="1:20">
      <c r="A15" s="159">
        <v>46187</v>
      </c>
      <c r="B15" s="147">
        <f>SUMIFS(PLAN!$K:$K,PLAN!$V:$V,Sheet1!$A15,PLAN!$W:$W,Sheet1!$B$1)</f>
        <v>0</v>
      </c>
      <c r="C15" s="147">
        <f>SUMIFS(PLAN!$K:$K,PLAN!$V:$V,Sheet1!$A15,PLAN!$W:$W,Sheet1!$C$1)</f>
        <v>0</v>
      </c>
      <c r="D15" s="147">
        <f>SUMIFS(PLAN!$K:$K,PLAN!$V:$V,Sheet1!$A15,PLAN!$W:$W,Sheet1!$D$1)</f>
        <v>0</v>
      </c>
      <c r="E15" s="147">
        <f>SUMIFS(PLAN!$K:$K,PLAN!$V:$V,Sheet1!$A15,PLAN!$W:$W,Sheet1!$E$1)</f>
        <v>0</v>
      </c>
      <c r="F15" s="147">
        <f>SUMIFS(PLAN!$K:$K,PLAN!$V:$V,Sheet1!$A15,PLAN!$W:$W,Sheet1!$F$1)</f>
        <v>0</v>
      </c>
      <c r="G15" s="147">
        <f>SUMIFS(PLAN!$K:$K,PLAN!$V:$V,Sheet1!$A15,PLAN!$W:$W,Sheet1!$G$1)</f>
        <v>0</v>
      </c>
      <c r="H15" s="147">
        <f>SUMIFS(PLAN!$K:$K,PLAN!$V:$V,Sheet1!$A15,PLAN!$W:$W,Sheet1!$H$1)</f>
        <v>0</v>
      </c>
      <c r="I15" s="147">
        <f>SUMIFS(PLAN!$K:$K,PLAN!$V:$V,Sheet1!$A15,PLAN!$W:$W,Sheet1!$I$1)</f>
        <v>0</v>
      </c>
      <c r="J15" s="147">
        <f>SUMIFS(PLAN!$K:$K,PLAN!$V:$V,Sheet1!$A15,PLAN!$W:$W,Sheet1!$J$1)</f>
        <v>0</v>
      </c>
      <c r="K15" s="147">
        <f>SUMIFS(PLAN!$K:$K,PLAN!$V:$V,Sheet1!$A15,PLAN!$W:$W,Sheet1!$K$1)</f>
        <v>0</v>
      </c>
      <c r="L15" s="147">
        <f>SUMIFS(PLAN!$K:$K,PLAN!$V:$V,Sheet1!$A15,PLAN!$W:$W,Sheet1!$L$1)</f>
        <v>0</v>
      </c>
      <c r="M15" s="147">
        <f>SUMIFS(PLAN!$K:$K,PLAN!$V:$V,Sheet1!$A15,PLAN!$W:$W,Sheet1!$M$1)</f>
        <v>0</v>
      </c>
      <c r="N15" s="147">
        <f>SUMIFS(PLAN!$K:$K,PLAN!$V:$V,Sheet1!$A15,PLAN!$W:$W,Sheet1!$N$1)</f>
        <v>0</v>
      </c>
      <c r="O15" s="147">
        <f t="shared" si="1"/>
        <v>0</v>
      </c>
    </row>
    <row r="16" spans="1:20">
      <c r="A16" s="159">
        <v>46188</v>
      </c>
      <c r="B16" s="147">
        <f>SUMIFS(PLAN!$K:$K,PLAN!$V:$V,Sheet1!$A16,PLAN!$W:$W,Sheet1!$B$1)</f>
        <v>0</v>
      </c>
      <c r="C16" s="147">
        <f>SUMIFS(PLAN!$K:$K,PLAN!$V:$V,Sheet1!$A16,PLAN!$W:$W,Sheet1!$C$1)</f>
        <v>0</v>
      </c>
      <c r="D16" s="147">
        <f>SUMIFS(PLAN!$K:$K,PLAN!$V:$V,Sheet1!$A16,PLAN!$W:$W,Sheet1!$D$1)</f>
        <v>0</v>
      </c>
      <c r="E16" s="147">
        <f>SUMIFS(PLAN!$K:$K,PLAN!$V:$V,Sheet1!$A16,PLAN!$W:$W,Sheet1!$E$1)</f>
        <v>0</v>
      </c>
      <c r="F16" s="147">
        <f>SUMIFS(PLAN!$K:$K,PLAN!$V:$V,Sheet1!$A16,PLAN!$W:$W,Sheet1!$F$1)</f>
        <v>0</v>
      </c>
      <c r="G16" s="147">
        <f>SUMIFS(PLAN!$K:$K,PLAN!$V:$V,Sheet1!$A16,PLAN!$W:$W,Sheet1!$G$1)</f>
        <v>0</v>
      </c>
      <c r="H16" s="147">
        <f>SUMIFS(PLAN!$K:$K,PLAN!$V:$V,Sheet1!$A16,PLAN!$W:$W,Sheet1!$H$1)</f>
        <v>0</v>
      </c>
      <c r="I16" s="147">
        <f>SUMIFS(PLAN!$K:$K,PLAN!$V:$V,Sheet1!$A16,PLAN!$W:$W,Sheet1!$I$1)</f>
        <v>0</v>
      </c>
      <c r="J16" s="147">
        <f>SUMIFS(PLAN!$K:$K,PLAN!$V:$V,Sheet1!$A16,PLAN!$W:$W,Sheet1!$J$1)</f>
        <v>0</v>
      </c>
      <c r="K16" s="147">
        <f>SUMIFS(PLAN!$K:$K,PLAN!$V:$V,Sheet1!$A16,PLAN!$W:$W,Sheet1!$K$1)</f>
        <v>0</v>
      </c>
      <c r="L16" s="147">
        <f>SUMIFS(PLAN!$K:$K,PLAN!$V:$V,Sheet1!$A16,PLAN!$W:$W,Sheet1!$L$1)</f>
        <v>0</v>
      </c>
      <c r="M16" s="147">
        <f>SUMIFS(PLAN!$K:$K,PLAN!$V:$V,Sheet1!$A16,PLAN!$W:$W,Sheet1!$M$1)</f>
        <v>0</v>
      </c>
      <c r="N16" s="147">
        <f>SUMIFS(PLAN!$K:$K,PLAN!$V:$V,Sheet1!$A16,PLAN!$W:$W,Sheet1!$N$1)</f>
        <v>0</v>
      </c>
      <c r="O16" s="147">
        <f t="shared" si="1"/>
        <v>0</v>
      </c>
    </row>
    <row r="17" spans="1:29">
      <c r="A17" s="159">
        <v>46189</v>
      </c>
      <c r="B17" s="147">
        <f>SUMIFS(PLAN!$K:$K,PLAN!$V:$V,Sheet1!$A17,PLAN!$W:$W,Sheet1!$B$1)</f>
        <v>0</v>
      </c>
      <c r="C17" s="147">
        <f>SUMIFS(PLAN!$K:$K,PLAN!$V:$V,Sheet1!$A17,PLAN!$W:$W,Sheet1!$C$1)</f>
        <v>0</v>
      </c>
      <c r="D17" s="147">
        <f>SUMIFS(PLAN!$K:$K,PLAN!$V:$V,Sheet1!$A17,PLAN!$W:$W,Sheet1!$D$1)</f>
        <v>0</v>
      </c>
      <c r="E17" s="147">
        <f>SUMIFS(PLAN!$K:$K,PLAN!$V:$V,Sheet1!$A17,PLAN!$W:$W,Sheet1!$E$1)</f>
        <v>0</v>
      </c>
      <c r="F17" s="147">
        <f>SUMIFS(PLAN!$K:$K,PLAN!$V:$V,Sheet1!$A17,PLAN!$W:$W,Sheet1!$F$1)</f>
        <v>0</v>
      </c>
      <c r="G17" s="147">
        <f>SUMIFS(PLAN!$K:$K,PLAN!$V:$V,Sheet1!$A17,PLAN!$W:$W,Sheet1!$G$1)</f>
        <v>0</v>
      </c>
      <c r="H17" s="147">
        <f>SUMIFS(PLAN!$K:$K,PLAN!$V:$V,Sheet1!$A17,PLAN!$W:$W,Sheet1!$H$1)</f>
        <v>0</v>
      </c>
      <c r="I17" s="147">
        <f>SUMIFS(PLAN!$K:$K,PLAN!$V:$V,Sheet1!$A17,PLAN!$W:$W,Sheet1!$I$1)</f>
        <v>0</v>
      </c>
      <c r="J17" s="147">
        <f>SUMIFS(PLAN!$K:$K,PLAN!$V:$V,Sheet1!$A17,PLAN!$W:$W,Sheet1!$J$1)</f>
        <v>0</v>
      </c>
      <c r="K17" s="147">
        <f>SUMIFS(PLAN!$K:$K,PLAN!$V:$V,Sheet1!$A17,PLAN!$W:$W,Sheet1!$K$1)</f>
        <v>0</v>
      </c>
      <c r="L17" s="147">
        <f>SUMIFS(PLAN!$K:$K,PLAN!$V:$V,Sheet1!$A17,PLAN!$W:$W,Sheet1!$L$1)</f>
        <v>0</v>
      </c>
      <c r="M17" s="147">
        <f>SUMIFS(PLAN!$K:$K,PLAN!$V:$V,Sheet1!$A17,PLAN!$W:$W,Sheet1!$M$1)</f>
        <v>0</v>
      </c>
      <c r="N17" s="147">
        <f>SUMIFS(PLAN!$K:$K,PLAN!$V:$V,Sheet1!$A17,PLAN!$W:$W,Sheet1!$N$1)</f>
        <v>0</v>
      </c>
      <c r="O17" s="147">
        <f t="shared" si="1"/>
        <v>0</v>
      </c>
    </row>
    <row r="18" spans="1:29">
      <c r="A18" s="159">
        <v>46190</v>
      </c>
      <c r="B18" s="147">
        <f>SUMIFS(PLAN!$K:$K,PLAN!$V:$V,Sheet1!$A18,PLAN!$W:$W,Sheet1!$B$1)</f>
        <v>0</v>
      </c>
      <c r="C18" s="147">
        <f>SUMIFS(PLAN!$K:$K,PLAN!$V:$V,Sheet1!$A18,PLAN!$W:$W,Sheet1!$C$1)</f>
        <v>0</v>
      </c>
      <c r="D18" s="147">
        <f>SUMIFS(PLAN!$K:$K,PLAN!$V:$V,Sheet1!$A18,PLAN!$W:$W,Sheet1!$D$1)</f>
        <v>0</v>
      </c>
      <c r="E18" s="147">
        <f>SUMIFS(PLAN!$K:$K,PLAN!$V:$V,Sheet1!$A18,PLAN!$W:$W,Sheet1!$E$1)</f>
        <v>0</v>
      </c>
      <c r="F18" s="147">
        <f>SUMIFS(PLAN!$K:$K,PLAN!$V:$V,Sheet1!$A18,PLAN!$W:$W,Sheet1!$F$1)</f>
        <v>0</v>
      </c>
      <c r="G18" s="147">
        <f>SUMIFS(PLAN!$K:$K,PLAN!$V:$V,Sheet1!$A18,PLAN!$W:$W,Sheet1!$G$1)</f>
        <v>0</v>
      </c>
      <c r="H18" s="147">
        <f>SUMIFS(PLAN!$K:$K,PLAN!$V:$V,Sheet1!$A18,PLAN!$W:$W,Sheet1!$H$1)</f>
        <v>0</v>
      </c>
      <c r="I18" s="147">
        <f>SUMIFS(PLAN!$K:$K,PLAN!$V:$V,Sheet1!$A18,PLAN!$W:$W,Sheet1!$I$1)</f>
        <v>0</v>
      </c>
      <c r="J18" s="147">
        <f>SUMIFS(PLAN!$K:$K,PLAN!$V:$V,Sheet1!$A18,PLAN!$W:$W,Sheet1!$J$1)</f>
        <v>0</v>
      </c>
      <c r="K18" s="147">
        <f>SUMIFS(PLAN!$K:$K,PLAN!$V:$V,Sheet1!$A18,PLAN!$W:$W,Sheet1!$K$1)</f>
        <v>0</v>
      </c>
      <c r="L18" s="147">
        <f>SUMIFS(PLAN!$K:$K,PLAN!$V:$V,Sheet1!$A18,PLAN!$W:$W,Sheet1!$L$1)</f>
        <v>0</v>
      </c>
      <c r="M18" s="147">
        <f>SUMIFS(PLAN!$K:$K,PLAN!$V:$V,Sheet1!$A18,PLAN!$W:$W,Sheet1!$M$1)</f>
        <v>0</v>
      </c>
      <c r="N18" s="147">
        <f>SUMIFS(PLAN!$K:$K,PLAN!$V:$V,Sheet1!$A18,PLAN!$W:$W,Sheet1!$N$1)</f>
        <v>0</v>
      </c>
      <c r="O18" s="147">
        <f t="shared" si="1"/>
        <v>0</v>
      </c>
    </row>
    <row r="19" spans="1:29">
      <c r="A19" s="159">
        <v>46191</v>
      </c>
      <c r="B19" s="147">
        <f>SUMIFS(PLAN!$K:$K,PLAN!$V:$V,Sheet1!$A19,PLAN!$W:$W,Sheet1!$B$1)</f>
        <v>0</v>
      </c>
      <c r="C19" s="147">
        <f>SUMIFS(PLAN!$K:$K,PLAN!$V:$V,Sheet1!$A19,PLAN!$W:$W,Sheet1!$C$1)</f>
        <v>0</v>
      </c>
      <c r="D19" s="147">
        <f>SUMIFS(PLAN!$K:$K,PLAN!$V:$V,Sheet1!$A19,PLAN!$W:$W,Sheet1!$D$1)</f>
        <v>0</v>
      </c>
      <c r="E19" s="147">
        <f>SUMIFS(PLAN!$K:$K,PLAN!$V:$V,Sheet1!$A19,PLAN!$W:$W,Sheet1!$E$1)</f>
        <v>0</v>
      </c>
      <c r="F19" s="147">
        <f>SUMIFS(PLAN!$K:$K,PLAN!$V:$V,Sheet1!$A19,PLAN!$W:$W,Sheet1!$F$1)</f>
        <v>0</v>
      </c>
      <c r="G19" s="147">
        <f>SUMIFS(PLAN!$K:$K,PLAN!$V:$V,Sheet1!$A19,PLAN!$W:$W,Sheet1!$G$1)</f>
        <v>0</v>
      </c>
      <c r="H19" s="147">
        <f>SUMIFS(PLAN!$K:$K,PLAN!$V:$V,Sheet1!$A19,PLAN!$W:$W,Sheet1!$H$1)</f>
        <v>0</v>
      </c>
      <c r="I19" s="147">
        <f>SUMIFS(PLAN!$K:$K,PLAN!$V:$V,Sheet1!$A19,PLAN!$W:$W,Sheet1!$I$1)</f>
        <v>0</v>
      </c>
      <c r="J19" s="147">
        <f>SUMIFS(PLAN!$K:$K,PLAN!$V:$V,Sheet1!$A19,PLAN!$W:$W,Sheet1!$J$1)</f>
        <v>0</v>
      </c>
      <c r="K19" s="147">
        <f>SUMIFS(PLAN!$K:$K,PLAN!$V:$V,Sheet1!$A19,PLAN!$W:$W,Sheet1!$K$1)</f>
        <v>0</v>
      </c>
      <c r="L19" s="147">
        <f>SUMIFS(PLAN!$K:$K,PLAN!$V:$V,Sheet1!$A19,PLAN!$W:$W,Sheet1!$L$1)</f>
        <v>0</v>
      </c>
      <c r="M19" s="147">
        <f>SUMIFS(PLAN!$K:$K,PLAN!$V:$V,Sheet1!$A19,PLAN!$W:$W,Sheet1!$M$1)</f>
        <v>0</v>
      </c>
      <c r="N19" s="147">
        <f>SUMIFS(PLAN!$K:$K,PLAN!$V:$V,Sheet1!$A19,PLAN!$W:$W,Sheet1!$N$1)</f>
        <v>0</v>
      </c>
      <c r="O19" s="147">
        <f t="shared" si="1"/>
        <v>0</v>
      </c>
    </row>
    <row r="20" spans="1:29">
      <c r="A20" s="159">
        <v>46192</v>
      </c>
      <c r="B20" s="147">
        <f>SUMIFS(PLAN!$K:$K,PLAN!$V:$V,Sheet1!$A20,PLAN!$W:$W,Sheet1!$B$1)</f>
        <v>0</v>
      </c>
      <c r="C20" s="147">
        <f>SUMIFS(PLAN!$K:$K,PLAN!$V:$V,Sheet1!$A20,PLAN!$W:$W,Sheet1!$C$1)</f>
        <v>0</v>
      </c>
      <c r="D20" s="147">
        <f>SUMIFS(PLAN!$K:$K,PLAN!$V:$V,Sheet1!$A20,PLAN!$W:$W,Sheet1!$D$1)</f>
        <v>0</v>
      </c>
      <c r="E20" s="147">
        <f>SUMIFS(PLAN!$K:$K,PLAN!$V:$V,Sheet1!$A20,PLAN!$W:$W,Sheet1!$E$1)</f>
        <v>0</v>
      </c>
      <c r="F20" s="147">
        <f>SUMIFS(PLAN!$K:$K,PLAN!$V:$V,Sheet1!$A20,PLAN!$W:$W,Sheet1!$F$1)</f>
        <v>0</v>
      </c>
      <c r="G20" s="147">
        <f>SUMIFS(PLAN!$K:$K,PLAN!$V:$V,Sheet1!$A20,PLAN!$W:$W,Sheet1!$G$1)</f>
        <v>0</v>
      </c>
      <c r="H20" s="147">
        <f>SUMIFS(PLAN!$K:$K,PLAN!$V:$V,Sheet1!$A20,PLAN!$W:$W,Sheet1!$H$1)</f>
        <v>0</v>
      </c>
      <c r="I20" s="147">
        <f>SUMIFS(PLAN!$K:$K,PLAN!$V:$V,Sheet1!$A20,PLAN!$W:$W,Sheet1!$I$1)</f>
        <v>0</v>
      </c>
      <c r="J20" s="147">
        <f>SUMIFS(PLAN!$K:$K,PLAN!$V:$V,Sheet1!$A20,PLAN!$W:$W,Sheet1!$J$1)</f>
        <v>0</v>
      </c>
      <c r="K20" s="147">
        <f>SUMIFS(PLAN!$K:$K,PLAN!$V:$V,Sheet1!$A20,PLAN!$W:$W,Sheet1!$K$1)</f>
        <v>0</v>
      </c>
      <c r="L20" s="147">
        <f>SUMIFS(PLAN!$K:$K,PLAN!$V:$V,Sheet1!$A20,PLAN!$W:$W,Sheet1!$L$1)</f>
        <v>0</v>
      </c>
      <c r="M20" s="147">
        <f>SUMIFS(PLAN!$K:$K,PLAN!$V:$V,Sheet1!$A20,PLAN!$W:$W,Sheet1!$M$1)</f>
        <v>0</v>
      </c>
      <c r="N20" s="147">
        <f>SUMIFS(PLAN!$K:$K,PLAN!$V:$V,Sheet1!$A20,PLAN!$W:$W,Sheet1!$N$1)</f>
        <v>0</v>
      </c>
      <c r="O20" s="147">
        <f t="shared" si="1"/>
        <v>0</v>
      </c>
    </row>
    <row r="21" spans="1:29">
      <c r="A21" s="159">
        <v>46193</v>
      </c>
      <c r="B21" s="147">
        <f>SUMIFS(PLAN!$K:$K,PLAN!$V:$V,Sheet1!$A21,PLAN!$W:$W,Sheet1!$B$1)</f>
        <v>0</v>
      </c>
      <c r="C21" s="147">
        <f>SUMIFS(PLAN!$K:$K,PLAN!$V:$V,Sheet1!$A21,PLAN!$W:$W,Sheet1!$C$1)</f>
        <v>0</v>
      </c>
      <c r="D21" s="147">
        <f>SUMIFS(PLAN!$K:$K,PLAN!$V:$V,Sheet1!$A21,PLAN!$W:$W,Sheet1!$D$1)</f>
        <v>0</v>
      </c>
      <c r="E21" s="147">
        <f>SUMIFS(PLAN!$K:$K,PLAN!$V:$V,Sheet1!$A21,PLAN!$W:$W,Sheet1!$E$1)</f>
        <v>0</v>
      </c>
      <c r="F21" s="147">
        <f>SUMIFS(PLAN!$K:$K,PLAN!$V:$V,Sheet1!$A21,PLAN!$W:$W,Sheet1!$F$1)</f>
        <v>0</v>
      </c>
      <c r="G21" s="147">
        <f>SUMIFS(PLAN!$K:$K,PLAN!$V:$V,Sheet1!$A21,PLAN!$W:$W,Sheet1!$G$1)</f>
        <v>0</v>
      </c>
      <c r="H21" s="147">
        <f>SUMIFS(PLAN!$K:$K,PLAN!$V:$V,Sheet1!$A21,PLAN!$W:$W,Sheet1!$H$1)</f>
        <v>0</v>
      </c>
      <c r="I21" s="147">
        <f>SUMIFS(PLAN!$K:$K,PLAN!$V:$V,Sheet1!$A21,PLAN!$W:$W,Sheet1!$I$1)</f>
        <v>0</v>
      </c>
      <c r="J21" s="147">
        <f>SUMIFS(PLAN!$K:$K,PLAN!$V:$V,Sheet1!$A21,PLAN!$W:$W,Sheet1!$J$1)</f>
        <v>0</v>
      </c>
      <c r="K21" s="147">
        <f>SUMIFS(PLAN!$K:$K,PLAN!$V:$V,Sheet1!$A21,PLAN!$W:$W,Sheet1!$K$1)</f>
        <v>0</v>
      </c>
      <c r="L21" s="147">
        <f>SUMIFS(PLAN!$K:$K,PLAN!$V:$V,Sheet1!$A21,PLAN!$W:$W,Sheet1!$L$1)</f>
        <v>0</v>
      </c>
      <c r="M21" s="147">
        <f>SUMIFS(PLAN!$K:$K,PLAN!$V:$V,Sheet1!$A21,PLAN!$W:$W,Sheet1!$M$1)</f>
        <v>0</v>
      </c>
      <c r="N21" s="147">
        <f>SUMIFS(PLAN!$K:$K,PLAN!$V:$V,Sheet1!$A21,PLAN!$W:$W,Sheet1!$N$1)</f>
        <v>0</v>
      </c>
      <c r="O21" s="147">
        <f t="shared" si="1"/>
        <v>0</v>
      </c>
    </row>
    <row r="22" spans="1:29">
      <c r="A22" s="159">
        <v>46194</v>
      </c>
      <c r="B22" s="147">
        <f>SUMIFS(PLAN!$K:$K,PLAN!$V:$V,Sheet1!$A22,PLAN!$W:$W,Sheet1!$B$1)</f>
        <v>0</v>
      </c>
      <c r="C22" s="147">
        <f>SUMIFS(PLAN!$K:$K,PLAN!$V:$V,Sheet1!$A22,PLAN!$W:$W,Sheet1!$C$1)</f>
        <v>0</v>
      </c>
      <c r="D22" s="147">
        <f>SUMIFS(PLAN!$K:$K,PLAN!$V:$V,Sheet1!$A22,PLAN!$W:$W,Sheet1!$D$1)</f>
        <v>0</v>
      </c>
      <c r="E22" s="147">
        <f>SUMIFS(PLAN!$K:$K,PLAN!$V:$V,Sheet1!$A22,PLAN!$W:$W,Sheet1!$E$1)</f>
        <v>0</v>
      </c>
      <c r="F22" s="147">
        <f>SUMIFS(PLAN!$K:$K,PLAN!$V:$V,Sheet1!$A22,PLAN!$W:$W,Sheet1!$F$1)</f>
        <v>0</v>
      </c>
      <c r="G22" s="147">
        <f>SUMIFS(PLAN!$K:$K,PLAN!$V:$V,Sheet1!$A22,PLAN!$W:$W,Sheet1!$G$1)</f>
        <v>0</v>
      </c>
      <c r="H22" s="147">
        <f>SUMIFS(PLAN!$K:$K,PLAN!$V:$V,Sheet1!$A22,PLAN!$W:$W,Sheet1!$H$1)</f>
        <v>0</v>
      </c>
      <c r="I22" s="147">
        <f>SUMIFS(PLAN!$K:$K,PLAN!$V:$V,Sheet1!$A22,PLAN!$W:$W,Sheet1!$I$1)</f>
        <v>0</v>
      </c>
      <c r="J22" s="147">
        <f>SUMIFS(PLAN!$K:$K,PLAN!$V:$V,Sheet1!$A22,PLAN!$W:$W,Sheet1!$J$1)</f>
        <v>0</v>
      </c>
      <c r="K22" s="147">
        <f>SUMIFS(PLAN!$K:$K,PLAN!$V:$V,Sheet1!$A22,PLAN!$W:$W,Sheet1!$K$1)</f>
        <v>0</v>
      </c>
      <c r="L22" s="147">
        <f>SUMIFS(PLAN!$K:$K,PLAN!$V:$V,Sheet1!$A22,PLAN!$W:$W,Sheet1!$L$1)</f>
        <v>0</v>
      </c>
      <c r="M22" s="147">
        <f>SUMIFS(PLAN!$K:$K,PLAN!$V:$V,Sheet1!$A22,PLAN!$W:$W,Sheet1!$M$1)</f>
        <v>0</v>
      </c>
      <c r="N22" s="147">
        <f>SUMIFS(PLAN!$K:$K,PLAN!$V:$V,Sheet1!$A22,PLAN!$W:$W,Sheet1!$N$1)</f>
        <v>0</v>
      </c>
      <c r="O22" s="147">
        <f t="shared" si="1"/>
        <v>0</v>
      </c>
    </row>
    <row r="23" spans="1:29">
      <c r="A23" s="159">
        <v>46195</v>
      </c>
      <c r="B23" s="147">
        <f>SUMIFS(PLAN!$K:$K,PLAN!$V:$V,Sheet1!$A23,PLAN!$W:$W,Sheet1!$B$1)</f>
        <v>0</v>
      </c>
      <c r="C23" s="147">
        <f>SUMIFS(PLAN!$K:$K,PLAN!$V:$V,Sheet1!$A23,PLAN!$W:$W,Sheet1!$C$1)</f>
        <v>0</v>
      </c>
      <c r="D23" s="147">
        <f>SUMIFS(PLAN!$K:$K,PLAN!$V:$V,Sheet1!$A23,PLAN!$W:$W,Sheet1!$D$1)</f>
        <v>0</v>
      </c>
      <c r="E23" s="147">
        <f>SUMIFS(PLAN!$K:$K,PLAN!$V:$V,Sheet1!$A23,PLAN!$W:$W,Sheet1!$E$1)</f>
        <v>0</v>
      </c>
      <c r="F23" s="147">
        <f>SUMIFS(PLAN!$K:$K,PLAN!$V:$V,Sheet1!$A23,PLAN!$W:$W,Sheet1!$F$1)</f>
        <v>0</v>
      </c>
      <c r="G23" s="147">
        <f>SUMIFS(PLAN!$K:$K,PLAN!$V:$V,Sheet1!$A23,PLAN!$W:$W,Sheet1!$G$1)</f>
        <v>0</v>
      </c>
      <c r="H23" s="147">
        <f>SUMIFS(PLAN!$K:$K,PLAN!$V:$V,Sheet1!$A23,PLAN!$W:$W,Sheet1!$H$1)</f>
        <v>0</v>
      </c>
      <c r="I23" s="147">
        <f>SUMIFS(PLAN!$K:$K,PLAN!$V:$V,Sheet1!$A23,PLAN!$W:$W,Sheet1!$I$1)</f>
        <v>0</v>
      </c>
      <c r="J23" s="147">
        <f>SUMIFS(PLAN!$K:$K,PLAN!$V:$V,Sheet1!$A23,PLAN!$W:$W,Sheet1!$J$1)</f>
        <v>0</v>
      </c>
      <c r="K23" s="147">
        <f>SUMIFS(PLAN!$K:$K,PLAN!$V:$V,Sheet1!$A23,PLAN!$W:$W,Sheet1!$K$1)</f>
        <v>0</v>
      </c>
      <c r="L23" s="147">
        <f>SUMIFS(PLAN!$K:$K,PLAN!$V:$V,Sheet1!$A23,PLAN!$W:$W,Sheet1!$L$1)</f>
        <v>0</v>
      </c>
      <c r="M23" s="147">
        <f>SUMIFS(PLAN!$K:$K,PLAN!$V:$V,Sheet1!$A23,PLAN!$W:$W,Sheet1!$M$1)</f>
        <v>0</v>
      </c>
      <c r="N23" s="147">
        <f>SUMIFS(PLAN!$K:$K,PLAN!$V:$V,Sheet1!$A23,PLAN!$W:$W,Sheet1!$N$1)</f>
        <v>0</v>
      </c>
      <c r="O23" s="147">
        <f t="shared" si="1"/>
        <v>0</v>
      </c>
    </row>
    <row r="24" spans="1:29">
      <c r="A24" s="159">
        <v>46196</v>
      </c>
      <c r="B24" s="147">
        <f>SUMIFS(PLAN!$K:$K,PLAN!$V:$V,Sheet1!$A24,PLAN!$W:$W,Sheet1!$B$1)</f>
        <v>0</v>
      </c>
      <c r="C24" s="147">
        <f>SUMIFS(PLAN!$K:$K,PLAN!$V:$V,Sheet1!$A24,PLAN!$W:$W,Sheet1!$C$1)</f>
        <v>0</v>
      </c>
      <c r="D24" s="147">
        <f>SUMIFS(PLAN!$K:$K,PLAN!$V:$V,Sheet1!$A24,PLAN!$W:$W,Sheet1!$D$1)</f>
        <v>0</v>
      </c>
      <c r="E24" s="147">
        <f>SUMIFS(PLAN!$K:$K,PLAN!$V:$V,Sheet1!$A24,PLAN!$W:$W,Sheet1!$E$1)</f>
        <v>0</v>
      </c>
      <c r="F24" s="147">
        <f>SUMIFS(PLAN!$K:$K,PLAN!$V:$V,Sheet1!$A24,PLAN!$W:$W,Sheet1!$F$1)</f>
        <v>0</v>
      </c>
      <c r="G24" s="147">
        <f>SUMIFS(PLAN!$K:$K,PLAN!$V:$V,Sheet1!$A24,PLAN!$W:$W,Sheet1!$G$1)</f>
        <v>0</v>
      </c>
      <c r="H24" s="147">
        <f>SUMIFS(PLAN!$K:$K,PLAN!$V:$V,Sheet1!$A24,PLAN!$W:$W,Sheet1!$H$1)</f>
        <v>0</v>
      </c>
      <c r="I24" s="147">
        <f>SUMIFS(PLAN!$K:$K,PLAN!$V:$V,Sheet1!$A24,PLAN!$W:$W,Sheet1!$I$1)</f>
        <v>0</v>
      </c>
      <c r="J24" s="147">
        <f>SUMIFS(PLAN!$K:$K,PLAN!$V:$V,Sheet1!$A24,PLAN!$W:$W,Sheet1!$J$1)</f>
        <v>0</v>
      </c>
      <c r="K24" s="147">
        <f>SUMIFS(PLAN!$K:$K,PLAN!$V:$V,Sheet1!$A24,PLAN!$W:$W,Sheet1!$K$1)</f>
        <v>0</v>
      </c>
      <c r="L24" s="147">
        <f>SUMIFS(PLAN!$K:$K,PLAN!$V:$V,Sheet1!$A24,PLAN!$W:$W,Sheet1!$L$1)</f>
        <v>0</v>
      </c>
      <c r="M24" s="147">
        <f>SUMIFS(PLAN!$K:$K,PLAN!$V:$V,Sheet1!$A24,PLAN!$W:$W,Sheet1!$M$1)</f>
        <v>0</v>
      </c>
      <c r="N24" s="147">
        <f>SUMIFS(PLAN!$K:$K,PLAN!$V:$V,Sheet1!$A24,PLAN!$W:$W,Sheet1!$N$1)</f>
        <v>0</v>
      </c>
      <c r="O24" s="147">
        <f t="shared" si="1"/>
        <v>0</v>
      </c>
      <c r="AC24" s="246"/>
    </row>
    <row r="25" spans="1:29">
      <c r="A25" s="159">
        <v>46197</v>
      </c>
      <c r="B25" s="147">
        <f>SUMIFS(PLAN!$K:$K,PLAN!$V:$V,Sheet1!$A25,PLAN!$W:$W,Sheet1!$B$1)</f>
        <v>0</v>
      </c>
      <c r="C25" s="147">
        <f>SUMIFS(PLAN!$K:$K,PLAN!$V:$V,Sheet1!$A25,PLAN!$W:$W,Sheet1!$C$1)</f>
        <v>0</v>
      </c>
      <c r="D25" s="147">
        <f>SUMIFS(PLAN!$K:$K,PLAN!$V:$V,Sheet1!$A25,PLAN!$W:$W,Sheet1!$D$1)</f>
        <v>0</v>
      </c>
      <c r="E25" s="147">
        <f>SUMIFS(PLAN!$K:$K,PLAN!$V:$V,Sheet1!$A25,PLAN!$W:$W,Sheet1!$E$1)</f>
        <v>0</v>
      </c>
      <c r="F25" s="147">
        <f>SUMIFS(PLAN!$K:$K,PLAN!$V:$V,Sheet1!$A25,PLAN!$W:$W,Sheet1!$F$1)</f>
        <v>0</v>
      </c>
      <c r="G25" s="147">
        <f>SUMIFS(PLAN!$K:$K,PLAN!$V:$V,Sheet1!$A25,PLAN!$W:$W,Sheet1!$G$1)</f>
        <v>0</v>
      </c>
      <c r="H25" s="147">
        <f>SUMIFS(PLAN!$K:$K,PLAN!$V:$V,Sheet1!$A25,PLAN!$W:$W,Sheet1!$H$1)</f>
        <v>0</v>
      </c>
      <c r="I25" s="147">
        <f>SUMIFS(PLAN!$K:$K,PLAN!$V:$V,Sheet1!$A25,PLAN!$W:$W,Sheet1!$I$1)</f>
        <v>0</v>
      </c>
      <c r="J25" s="147">
        <f>SUMIFS(PLAN!$K:$K,PLAN!$V:$V,Sheet1!$A25,PLAN!$W:$W,Sheet1!$J$1)</f>
        <v>0</v>
      </c>
      <c r="K25" s="147">
        <f>SUMIFS(PLAN!$K:$K,PLAN!$V:$V,Sheet1!$A25,PLAN!$W:$W,Sheet1!$K$1)</f>
        <v>0</v>
      </c>
      <c r="L25" s="147">
        <f>SUMIFS(PLAN!$K:$K,PLAN!$V:$V,Sheet1!$A25,PLAN!$W:$W,Sheet1!$L$1)</f>
        <v>0</v>
      </c>
      <c r="M25" s="147">
        <f>SUMIFS(PLAN!$K:$K,PLAN!$V:$V,Sheet1!$A25,PLAN!$W:$W,Sheet1!$M$1)</f>
        <v>0</v>
      </c>
      <c r="N25" s="147">
        <f>SUMIFS(PLAN!$K:$K,PLAN!$V:$V,Sheet1!$A25,PLAN!$W:$W,Sheet1!$N$1)</f>
        <v>0</v>
      </c>
      <c r="O25" s="147">
        <f t="shared" si="1"/>
        <v>0</v>
      </c>
    </row>
    <row r="26" spans="1:29">
      <c r="A26" s="159">
        <v>46198</v>
      </c>
      <c r="B26" s="147">
        <f>SUMIFS(PLAN!$K:$K,PLAN!$V:$V,Sheet1!$A26,PLAN!$W:$W,Sheet1!$B$1)</f>
        <v>0</v>
      </c>
      <c r="C26" s="147">
        <f>SUMIFS(PLAN!$K:$K,PLAN!$V:$V,Sheet1!$A26,PLAN!$W:$W,Sheet1!$C$1)</f>
        <v>0</v>
      </c>
      <c r="D26" s="147">
        <f>SUMIFS(PLAN!$K:$K,PLAN!$V:$V,Sheet1!$A26,PLAN!$W:$W,Sheet1!$D$1)</f>
        <v>0</v>
      </c>
      <c r="E26" s="147">
        <f>SUMIFS(PLAN!$K:$K,PLAN!$V:$V,Sheet1!$A26,PLAN!$W:$W,Sheet1!$E$1)</f>
        <v>0</v>
      </c>
      <c r="F26" s="147">
        <f>SUMIFS(PLAN!$K:$K,PLAN!$V:$V,Sheet1!$A26,PLAN!$W:$W,Sheet1!$F$1)</f>
        <v>0</v>
      </c>
      <c r="G26" s="147">
        <f>SUMIFS(PLAN!$K:$K,PLAN!$V:$V,Sheet1!$A26,PLAN!$W:$W,Sheet1!$G$1)</f>
        <v>0</v>
      </c>
      <c r="H26" s="147">
        <f>SUMIFS(PLAN!$K:$K,PLAN!$V:$V,Sheet1!$A26,PLAN!$W:$W,Sheet1!$H$1)</f>
        <v>0</v>
      </c>
      <c r="I26" s="147">
        <f>SUMIFS(PLAN!$K:$K,PLAN!$V:$V,Sheet1!$A26,PLAN!$W:$W,Sheet1!$I$1)</f>
        <v>0</v>
      </c>
      <c r="J26" s="147">
        <f>SUMIFS(PLAN!$K:$K,PLAN!$V:$V,Sheet1!$A26,PLAN!$W:$W,Sheet1!$J$1)</f>
        <v>0</v>
      </c>
      <c r="K26" s="147">
        <f>SUMIFS(PLAN!$K:$K,PLAN!$V:$V,Sheet1!$A26,PLAN!$W:$W,Sheet1!$K$1)</f>
        <v>0</v>
      </c>
      <c r="L26" s="147">
        <f>SUMIFS(PLAN!$K:$K,PLAN!$V:$V,Sheet1!$A26,PLAN!$W:$W,Sheet1!$L$1)</f>
        <v>0</v>
      </c>
      <c r="M26" s="147">
        <f>SUMIFS(PLAN!$K:$K,PLAN!$V:$V,Sheet1!$A26,PLAN!$W:$W,Sheet1!$M$1)</f>
        <v>0</v>
      </c>
      <c r="N26" s="147">
        <f>SUMIFS(PLAN!$K:$K,PLAN!$V:$V,Sheet1!$A26,PLAN!$W:$W,Sheet1!$N$1)</f>
        <v>0</v>
      </c>
      <c r="O26" s="147">
        <f t="shared" si="1"/>
        <v>0</v>
      </c>
    </row>
    <row r="27" spans="1:29">
      <c r="A27" s="159">
        <v>46199</v>
      </c>
      <c r="B27" s="147">
        <f>SUMIFS(PLAN!$K:$K,PLAN!$V:$V,Sheet1!$A27,PLAN!$W:$W,Sheet1!$B$1)</f>
        <v>0</v>
      </c>
      <c r="C27" s="147">
        <f>SUMIFS(PLAN!$K:$K,PLAN!$V:$V,Sheet1!$A27,PLAN!$W:$W,Sheet1!$C$1)</f>
        <v>0</v>
      </c>
      <c r="D27" s="147">
        <f>SUMIFS(PLAN!$K:$K,PLAN!$V:$V,Sheet1!$A27,PLAN!$W:$W,Sheet1!$D$1)</f>
        <v>0</v>
      </c>
      <c r="E27" s="147">
        <f>SUMIFS(PLAN!$K:$K,PLAN!$V:$V,Sheet1!$A27,PLAN!$W:$W,Sheet1!$E$1)</f>
        <v>0</v>
      </c>
      <c r="F27" s="147">
        <f>SUMIFS(PLAN!$K:$K,PLAN!$V:$V,Sheet1!$A27,PLAN!$W:$W,Sheet1!$F$1)</f>
        <v>0</v>
      </c>
      <c r="G27" s="147">
        <f>SUMIFS(PLAN!$K:$K,PLAN!$V:$V,Sheet1!$A27,PLAN!$W:$W,Sheet1!$G$1)</f>
        <v>0</v>
      </c>
      <c r="H27" s="147">
        <f>SUMIFS(PLAN!$K:$K,PLAN!$V:$V,Sheet1!$A27,PLAN!$W:$W,Sheet1!$H$1)</f>
        <v>0</v>
      </c>
      <c r="I27" s="147">
        <f>SUMIFS(PLAN!$K:$K,PLAN!$V:$V,Sheet1!$A27,PLAN!$W:$W,Sheet1!$I$1)</f>
        <v>0</v>
      </c>
      <c r="J27" s="147">
        <f>SUMIFS(PLAN!$K:$K,PLAN!$V:$V,Sheet1!$A27,PLAN!$W:$W,Sheet1!$J$1)</f>
        <v>0</v>
      </c>
      <c r="K27" s="147">
        <f>SUMIFS(PLAN!$K:$K,PLAN!$V:$V,Sheet1!$A27,PLAN!$W:$W,Sheet1!$K$1)</f>
        <v>0</v>
      </c>
      <c r="L27" s="147">
        <f>SUMIFS(PLAN!$K:$K,PLAN!$V:$V,Sheet1!$A27,PLAN!$W:$W,Sheet1!$L$1)</f>
        <v>0</v>
      </c>
      <c r="M27" s="147">
        <f>SUMIFS(PLAN!$K:$K,PLAN!$V:$V,Sheet1!$A27,PLAN!$W:$W,Sheet1!$M$1)</f>
        <v>0</v>
      </c>
      <c r="N27" s="147">
        <f>SUMIFS(PLAN!$K:$K,PLAN!$V:$V,Sheet1!$A27,PLAN!$W:$W,Sheet1!$N$1)</f>
        <v>0</v>
      </c>
      <c r="O27" s="147">
        <f t="shared" si="1"/>
        <v>0</v>
      </c>
    </row>
    <row r="28" spans="1:29">
      <c r="A28" s="159">
        <v>46200</v>
      </c>
      <c r="B28" s="147">
        <f>SUMIFS(PLAN!$K:$K,PLAN!$V:$V,Sheet1!$A28,PLAN!$W:$W,Sheet1!$B$1)</f>
        <v>0</v>
      </c>
      <c r="C28" s="147">
        <f>SUMIFS(PLAN!$K:$K,PLAN!$V:$V,Sheet1!$A28,PLAN!$W:$W,Sheet1!$C$1)</f>
        <v>0</v>
      </c>
      <c r="D28" s="147">
        <f>SUMIFS(PLAN!$K:$K,PLAN!$V:$V,Sheet1!$A28,PLAN!$W:$W,Sheet1!$D$1)</f>
        <v>0</v>
      </c>
      <c r="E28" s="147">
        <f>SUMIFS(PLAN!$K:$K,PLAN!$V:$V,Sheet1!$A28,PLAN!$W:$W,Sheet1!$E$1)</f>
        <v>0</v>
      </c>
      <c r="F28" s="147">
        <f>SUMIFS(PLAN!$K:$K,PLAN!$V:$V,Sheet1!$A28,PLAN!$W:$W,Sheet1!$F$1)</f>
        <v>0</v>
      </c>
      <c r="G28" s="147">
        <f>SUMIFS(PLAN!$K:$K,PLAN!$V:$V,Sheet1!$A28,PLAN!$W:$W,Sheet1!$G$1)</f>
        <v>0</v>
      </c>
      <c r="H28" s="147">
        <f>SUMIFS(PLAN!$K:$K,PLAN!$V:$V,Sheet1!$A28,PLAN!$W:$W,Sheet1!$H$1)</f>
        <v>0</v>
      </c>
      <c r="I28" s="147">
        <f>SUMIFS(PLAN!$K:$K,PLAN!$V:$V,Sheet1!$A28,PLAN!$W:$W,Sheet1!$I$1)</f>
        <v>0</v>
      </c>
      <c r="J28" s="147">
        <f>SUMIFS(PLAN!$K:$K,PLAN!$V:$V,Sheet1!$A28,PLAN!$W:$W,Sheet1!$J$1)</f>
        <v>0</v>
      </c>
      <c r="K28" s="147">
        <f>SUMIFS(PLAN!$K:$K,PLAN!$V:$V,Sheet1!$A28,PLAN!$W:$W,Sheet1!$K$1)</f>
        <v>0</v>
      </c>
      <c r="L28" s="147">
        <f>SUMIFS(PLAN!$K:$K,PLAN!$V:$V,Sheet1!$A28,PLAN!$W:$W,Sheet1!$L$1)</f>
        <v>0</v>
      </c>
      <c r="M28" s="147">
        <f>SUMIFS(PLAN!$K:$K,PLAN!$V:$V,Sheet1!$A28,PLAN!$W:$W,Sheet1!$M$1)</f>
        <v>0</v>
      </c>
      <c r="N28" s="147">
        <f>SUMIFS(PLAN!$K:$K,PLAN!$V:$V,Sheet1!$A28,PLAN!$W:$W,Sheet1!$N$1)</f>
        <v>0</v>
      </c>
      <c r="O28" s="147">
        <f t="shared" si="1"/>
        <v>0</v>
      </c>
    </row>
    <row r="29" spans="1:29">
      <c r="A29" s="159">
        <v>46201</v>
      </c>
      <c r="B29" s="147">
        <f>SUMIFS(PLAN!$K:$K,PLAN!$V:$V,Sheet1!$A29,PLAN!$W:$W,Sheet1!$B$1)</f>
        <v>0</v>
      </c>
      <c r="C29" s="147">
        <f>SUMIFS(PLAN!$K:$K,PLAN!$V:$V,Sheet1!$A29,PLAN!$W:$W,Sheet1!$C$1)</f>
        <v>0</v>
      </c>
      <c r="D29" s="147">
        <f>SUMIFS(PLAN!$K:$K,PLAN!$V:$V,Sheet1!$A29,PLAN!$W:$W,Sheet1!$D$1)</f>
        <v>0</v>
      </c>
      <c r="E29" s="147">
        <f>SUMIFS(PLAN!$K:$K,PLAN!$V:$V,Sheet1!$A29,PLAN!$W:$W,Sheet1!$E$1)</f>
        <v>0</v>
      </c>
      <c r="F29" s="147">
        <f>SUMIFS(PLAN!$K:$K,PLAN!$V:$V,Sheet1!$A29,PLAN!$W:$W,Sheet1!$F$1)</f>
        <v>0</v>
      </c>
      <c r="G29" s="147">
        <f>SUMIFS(PLAN!$K:$K,PLAN!$V:$V,Sheet1!$A29,PLAN!$W:$W,Sheet1!$G$1)</f>
        <v>0</v>
      </c>
      <c r="H29" s="147">
        <f>SUMIFS(PLAN!$K:$K,PLAN!$V:$V,Sheet1!$A29,PLAN!$W:$W,Sheet1!$H$1)</f>
        <v>0</v>
      </c>
      <c r="I29" s="147">
        <f>SUMIFS(PLAN!$K:$K,PLAN!$V:$V,Sheet1!$A29,PLAN!$W:$W,Sheet1!$I$1)</f>
        <v>0</v>
      </c>
      <c r="J29" s="147">
        <f>SUMIFS(PLAN!$K:$K,PLAN!$V:$V,Sheet1!$A29,PLAN!$W:$W,Sheet1!$J$1)</f>
        <v>0</v>
      </c>
      <c r="K29" s="147">
        <f>SUMIFS(PLAN!$K:$K,PLAN!$V:$V,Sheet1!$A29,PLAN!$W:$W,Sheet1!$K$1)</f>
        <v>0</v>
      </c>
      <c r="L29" s="147">
        <f>SUMIFS(PLAN!$K:$K,PLAN!$V:$V,Sheet1!$A29,PLAN!$W:$W,Sheet1!$L$1)</f>
        <v>0</v>
      </c>
      <c r="M29" s="147">
        <f>SUMIFS(PLAN!$K:$K,PLAN!$V:$V,Sheet1!$A29,PLAN!$W:$W,Sheet1!$M$1)</f>
        <v>0</v>
      </c>
      <c r="N29" s="147">
        <f>SUMIFS(PLAN!$K:$K,PLAN!$V:$V,Sheet1!$A29,PLAN!$W:$W,Sheet1!$N$1)</f>
        <v>0</v>
      </c>
      <c r="O29" s="147">
        <f t="shared" si="1"/>
        <v>0</v>
      </c>
      <c r="S29" s="135"/>
      <c r="T29" s="135"/>
      <c r="U29" s="46"/>
      <c r="V29" s="20"/>
      <c r="W29" s="20"/>
      <c r="X29" s="20"/>
      <c r="Y29" s="21"/>
      <c r="Z29" s="53"/>
      <c r="AA29" s="245"/>
      <c r="AB29" s="245"/>
    </row>
    <row r="30" spans="1:29">
      <c r="A30" s="159">
        <v>46202</v>
      </c>
      <c r="B30" s="147">
        <f>SUMIFS(PLAN!$K:$K,PLAN!$V:$V,Sheet1!$A30,PLAN!$W:$W,Sheet1!$B$1)</f>
        <v>0</v>
      </c>
      <c r="C30" s="147">
        <f>SUMIFS(PLAN!$K:$K,PLAN!$V:$V,Sheet1!$A30,PLAN!$W:$W,Sheet1!$C$1)</f>
        <v>0</v>
      </c>
      <c r="D30" s="147">
        <f>SUMIFS(PLAN!$K:$K,PLAN!$V:$V,Sheet1!$A30,PLAN!$W:$W,Sheet1!$D$1)</f>
        <v>0</v>
      </c>
      <c r="E30" s="147">
        <f>SUMIFS(PLAN!$K:$K,PLAN!$V:$V,Sheet1!$A30,PLAN!$W:$W,Sheet1!$E$1)</f>
        <v>0</v>
      </c>
      <c r="F30" s="147">
        <f>SUMIFS(PLAN!$K:$K,PLAN!$V:$V,Sheet1!$A30,PLAN!$W:$W,Sheet1!$F$1)</f>
        <v>0</v>
      </c>
      <c r="G30" s="147">
        <f>SUMIFS(PLAN!$K:$K,PLAN!$V:$V,Sheet1!$A30,PLAN!$W:$W,Sheet1!$G$1)</f>
        <v>0</v>
      </c>
      <c r="H30" s="147">
        <f>SUMIFS(PLAN!$K:$K,PLAN!$V:$V,Sheet1!$A30,PLAN!$W:$W,Sheet1!$H$1)</f>
        <v>0</v>
      </c>
      <c r="I30" s="147">
        <f>SUMIFS(PLAN!$K:$K,PLAN!$V:$V,Sheet1!$A30,PLAN!$W:$W,Sheet1!$I$1)</f>
        <v>0</v>
      </c>
      <c r="J30" s="147">
        <f>SUMIFS(PLAN!$K:$K,PLAN!$V:$V,Sheet1!$A30,PLAN!$W:$W,Sheet1!$J$1)</f>
        <v>0</v>
      </c>
      <c r="K30" s="147">
        <f>SUMIFS(PLAN!$K:$K,PLAN!$V:$V,Sheet1!$A30,PLAN!$W:$W,Sheet1!$K$1)</f>
        <v>0</v>
      </c>
      <c r="L30" s="147">
        <f>SUMIFS(PLAN!$K:$K,PLAN!$V:$V,Sheet1!$A30,PLAN!$W:$W,Sheet1!$L$1)</f>
        <v>0</v>
      </c>
      <c r="M30" s="147">
        <f>SUMIFS(PLAN!$K:$K,PLAN!$V:$V,Sheet1!$A30,PLAN!$W:$W,Sheet1!$M$1)</f>
        <v>0</v>
      </c>
      <c r="N30" s="147">
        <f>SUMIFS(PLAN!$K:$K,PLAN!$V:$V,Sheet1!$A30,PLAN!$W:$W,Sheet1!$N$1)</f>
        <v>0</v>
      </c>
      <c r="O30" s="147">
        <f t="shared" si="1"/>
        <v>0</v>
      </c>
      <c r="S30" s="135"/>
      <c r="T30" s="135"/>
      <c r="U30" s="46"/>
      <c r="V30" s="20"/>
      <c r="W30" s="20"/>
      <c r="X30" s="20"/>
      <c r="Y30" s="21"/>
      <c r="Z30" s="53"/>
      <c r="AA30" s="245"/>
      <c r="AB30" s="245"/>
    </row>
    <row r="31" spans="1:29">
      <c r="A31" s="159">
        <v>46203</v>
      </c>
      <c r="B31" s="147">
        <f>SUMIFS(PLAN!$K:$K,PLAN!$V:$V,Sheet1!$A31,PLAN!$W:$W,Sheet1!$B$1)</f>
        <v>0</v>
      </c>
      <c r="C31" s="147">
        <f>SUMIFS(PLAN!$K:$K,PLAN!$V:$V,Sheet1!$A31,PLAN!$W:$W,Sheet1!$C$1)</f>
        <v>0</v>
      </c>
      <c r="D31" s="147">
        <f>SUMIFS(PLAN!$K:$K,PLAN!$V:$V,Sheet1!$A31,PLAN!$W:$W,Sheet1!$D$1)</f>
        <v>0</v>
      </c>
      <c r="E31" s="147">
        <f>SUMIFS(PLAN!$K:$K,PLAN!$V:$V,Sheet1!$A31,PLAN!$W:$W,Sheet1!$E$1)</f>
        <v>0</v>
      </c>
      <c r="F31" s="147">
        <f>SUMIFS(PLAN!$K:$K,PLAN!$V:$V,Sheet1!$A31,PLAN!$W:$W,Sheet1!$F$1)</f>
        <v>0</v>
      </c>
      <c r="G31" s="147">
        <f>SUMIFS(PLAN!$K:$K,PLAN!$V:$V,Sheet1!$A31,PLAN!$W:$W,Sheet1!$G$1)</f>
        <v>0</v>
      </c>
      <c r="H31" s="147">
        <f>SUMIFS(PLAN!$K:$K,PLAN!$V:$V,Sheet1!$A31,PLAN!$W:$W,Sheet1!$H$1)</f>
        <v>0</v>
      </c>
      <c r="I31" s="147">
        <f>SUMIFS(PLAN!$K:$K,PLAN!$V:$V,Sheet1!$A31,PLAN!$W:$W,Sheet1!$I$1)</f>
        <v>0</v>
      </c>
      <c r="J31" s="147">
        <f>SUMIFS(PLAN!$K:$K,PLAN!$V:$V,Sheet1!$A31,PLAN!$W:$W,Sheet1!$J$1)</f>
        <v>0</v>
      </c>
      <c r="K31" s="147">
        <f>SUMIFS(PLAN!$K:$K,PLAN!$V:$V,Sheet1!$A31,PLAN!$W:$W,Sheet1!$K$1)</f>
        <v>0</v>
      </c>
      <c r="L31" s="147">
        <f>SUMIFS(PLAN!$K:$K,PLAN!$V:$V,Sheet1!$A31,PLAN!$W:$W,Sheet1!$L$1)</f>
        <v>0</v>
      </c>
      <c r="M31" s="147">
        <f>SUMIFS(PLAN!$K:$K,PLAN!$V:$V,Sheet1!$A31,PLAN!$W:$W,Sheet1!$M$1)</f>
        <v>0</v>
      </c>
      <c r="N31" s="147">
        <f>SUMIFS(PLAN!$K:$K,PLAN!$V:$V,Sheet1!$A31,PLAN!$W:$W,Sheet1!$N$1)</f>
        <v>0</v>
      </c>
      <c r="O31" s="147">
        <f t="shared" si="1"/>
        <v>0</v>
      </c>
    </row>
    <row r="32" spans="1:29">
      <c r="A32" s="159">
        <v>46204</v>
      </c>
      <c r="B32" s="147">
        <f>SUMIFS(PLAN!$K:$K,PLAN!$V:$V,Sheet1!$A32,PLAN!$W:$W,Sheet1!$B$1)</f>
        <v>0</v>
      </c>
      <c r="C32" s="147">
        <f>SUMIFS(PLAN!$K:$K,PLAN!$V:$V,Sheet1!$A32,PLAN!$W:$W,Sheet1!$C$1)</f>
        <v>0</v>
      </c>
      <c r="D32" s="147">
        <f>SUMIFS(PLAN!$K:$K,PLAN!$V:$V,Sheet1!$A32,PLAN!$W:$W,Sheet1!$D$1)</f>
        <v>0</v>
      </c>
      <c r="E32" s="147">
        <f>SUMIFS(PLAN!$K:$K,PLAN!$V:$V,Sheet1!$A32,PLAN!$W:$W,Sheet1!$E$1)</f>
        <v>0</v>
      </c>
      <c r="F32" s="147">
        <f>SUMIFS(PLAN!$K:$K,PLAN!$V:$V,Sheet1!$A32,PLAN!$W:$W,Sheet1!$F$1)</f>
        <v>0</v>
      </c>
      <c r="G32" s="147">
        <f>SUMIFS(PLAN!$K:$K,PLAN!$V:$V,Sheet1!$A32,PLAN!$W:$W,Sheet1!$G$1)</f>
        <v>0</v>
      </c>
      <c r="H32" s="147">
        <f>SUMIFS(PLAN!$K:$K,PLAN!$V:$V,Sheet1!$A32,PLAN!$W:$W,Sheet1!$H$1)</f>
        <v>0</v>
      </c>
      <c r="I32" s="147">
        <f>SUMIFS(PLAN!$K:$K,PLAN!$V:$V,Sheet1!$A32,PLAN!$W:$W,Sheet1!$I$1)</f>
        <v>0</v>
      </c>
      <c r="J32" s="147">
        <f>SUMIFS(PLAN!$K:$K,PLAN!$V:$V,Sheet1!$A32,PLAN!$W:$W,Sheet1!$J$1)</f>
        <v>0</v>
      </c>
      <c r="K32" s="147">
        <f>SUMIFS(PLAN!$K:$K,PLAN!$V:$V,Sheet1!$A32,PLAN!$W:$W,Sheet1!$K$1)</f>
        <v>0</v>
      </c>
      <c r="L32" s="147">
        <f>SUMIFS(PLAN!$K:$K,PLAN!$V:$V,Sheet1!$A32,PLAN!$W:$W,Sheet1!$L$1)</f>
        <v>0</v>
      </c>
      <c r="M32" s="147">
        <f>SUMIFS(PLAN!$K:$K,PLAN!$V:$V,Sheet1!$A32,PLAN!$W:$W,Sheet1!$M$1)</f>
        <v>0</v>
      </c>
      <c r="N32" s="147">
        <f>SUMIFS(PLAN!$K:$K,PLAN!$V:$V,Sheet1!$A32,PLAN!$W:$W,Sheet1!$N$1)</f>
        <v>0</v>
      </c>
      <c r="O32" s="147">
        <f t="shared" si="1"/>
        <v>0</v>
      </c>
    </row>
    <row r="33" spans="1:15">
      <c r="A33" s="159">
        <v>46205</v>
      </c>
      <c r="B33" s="147">
        <f>SUMIFS(PLAN!$K:$K,PLAN!$V:$V,Sheet1!$A33,PLAN!$W:$W,Sheet1!$B$1)</f>
        <v>0</v>
      </c>
      <c r="C33" s="147">
        <f>SUMIFS(PLAN!$K:$K,PLAN!$V:$V,Sheet1!$A33,PLAN!$W:$W,Sheet1!$C$1)</f>
        <v>0</v>
      </c>
      <c r="D33" s="147">
        <f>SUMIFS(PLAN!$K:$K,PLAN!$V:$V,Sheet1!$A33,PLAN!$W:$W,Sheet1!$D$1)</f>
        <v>0</v>
      </c>
      <c r="E33" s="147">
        <f>SUMIFS(PLAN!$K:$K,PLAN!$V:$V,Sheet1!$A33,PLAN!$W:$W,Sheet1!$E$1)</f>
        <v>0</v>
      </c>
      <c r="F33" s="147">
        <f>SUMIFS(PLAN!$K:$K,PLAN!$V:$V,Sheet1!$A33,PLAN!$W:$W,Sheet1!$F$1)</f>
        <v>0</v>
      </c>
      <c r="G33" s="147">
        <f>SUMIFS(PLAN!$K:$K,PLAN!$V:$V,Sheet1!$A33,PLAN!$W:$W,Sheet1!$G$1)</f>
        <v>0</v>
      </c>
      <c r="H33" s="147">
        <f>SUMIFS(PLAN!$K:$K,PLAN!$V:$V,Sheet1!$A33,PLAN!$W:$W,Sheet1!$H$1)</f>
        <v>0</v>
      </c>
      <c r="I33" s="147">
        <f>SUMIFS(PLAN!$K:$K,PLAN!$V:$V,Sheet1!$A33,PLAN!$W:$W,Sheet1!$I$1)</f>
        <v>0</v>
      </c>
      <c r="J33" s="147">
        <f>SUMIFS(PLAN!$K:$K,PLAN!$V:$V,Sheet1!$A33,PLAN!$W:$W,Sheet1!$J$1)</f>
        <v>0</v>
      </c>
      <c r="K33" s="147">
        <f>SUMIFS(PLAN!$K:$K,PLAN!$V:$V,Sheet1!$A33,PLAN!$W:$W,Sheet1!$K$1)</f>
        <v>0</v>
      </c>
      <c r="L33" s="147">
        <f>SUMIFS(PLAN!$K:$K,PLAN!$V:$V,Sheet1!$A33,PLAN!$W:$W,Sheet1!$L$1)</f>
        <v>0</v>
      </c>
      <c r="M33" s="147">
        <f>SUMIFS(PLAN!$K:$K,PLAN!$V:$V,Sheet1!$A33,PLAN!$W:$W,Sheet1!$M$1)</f>
        <v>0</v>
      </c>
      <c r="N33" s="147">
        <f>SUMIFS(PLAN!$K:$K,PLAN!$V:$V,Sheet1!$A33,PLAN!$W:$W,Sheet1!$N$1)</f>
        <v>0</v>
      </c>
      <c r="O33" s="147">
        <f t="shared" si="1"/>
        <v>0</v>
      </c>
    </row>
    <row r="34" spans="1:15">
      <c r="A34" s="159">
        <v>46206</v>
      </c>
      <c r="B34" s="147">
        <f>SUMIFS(PLAN!$K:$K,PLAN!$V:$V,Sheet1!$A34,PLAN!$W:$W,Sheet1!$B$1)</f>
        <v>0</v>
      </c>
      <c r="C34" s="147">
        <f>SUMIFS(PLAN!$K:$K,PLAN!$V:$V,Sheet1!$A34,PLAN!$W:$W,Sheet1!$C$1)</f>
        <v>0</v>
      </c>
      <c r="D34" s="147">
        <f>SUMIFS(PLAN!$K:$K,PLAN!$V:$V,Sheet1!$A34,PLAN!$W:$W,Sheet1!$D$1)</f>
        <v>0</v>
      </c>
      <c r="E34" s="147">
        <f>SUMIFS(PLAN!$K:$K,PLAN!$V:$V,Sheet1!$A34,PLAN!$W:$W,Sheet1!$E$1)</f>
        <v>0</v>
      </c>
      <c r="F34" s="147">
        <f>SUMIFS(PLAN!$K:$K,PLAN!$V:$V,Sheet1!$A34,PLAN!$W:$W,Sheet1!$F$1)</f>
        <v>0</v>
      </c>
      <c r="G34" s="147">
        <f>SUMIFS(PLAN!$K:$K,PLAN!$V:$V,Sheet1!$A34,PLAN!$W:$W,Sheet1!$G$1)</f>
        <v>0</v>
      </c>
      <c r="H34" s="147">
        <f>SUMIFS(PLAN!$K:$K,PLAN!$V:$V,Sheet1!$A34,PLAN!$W:$W,Sheet1!$H$1)</f>
        <v>0</v>
      </c>
      <c r="I34" s="147">
        <f>SUMIFS(PLAN!$K:$K,PLAN!$V:$V,Sheet1!$A34,PLAN!$W:$W,Sheet1!$I$1)</f>
        <v>3306</v>
      </c>
      <c r="J34" s="147">
        <f>SUMIFS(PLAN!$K:$K,PLAN!$V:$V,Sheet1!$A34,PLAN!$W:$W,Sheet1!$J$1)</f>
        <v>0</v>
      </c>
      <c r="K34" s="147">
        <f>SUMIFS(PLAN!$K:$K,PLAN!$V:$V,Sheet1!$A34,PLAN!$W:$W,Sheet1!$K$1)</f>
        <v>0</v>
      </c>
      <c r="L34" s="147">
        <f>SUMIFS(PLAN!$K:$K,PLAN!$V:$V,Sheet1!$A34,PLAN!$W:$W,Sheet1!$L$1)</f>
        <v>0</v>
      </c>
      <c r="M34" s="147">
        <f>SUMIFS(PLAN!$K:$K,PLAN!$V:$V,Sheet1!$A34,PLAN!$W:$W,Sheet1!$M$1)</f>
        <v>0</v>
      </c>
      <c r="N34" s="147">
        <f>SUMIFS(PLAN!$K:$K,PLAN!$V:$V,Sheet1!$A34,PLAN!$W:$W,Sheet1!$N$1)</f>
        <v>0</v>
      </c>
      <c r="O34" s="147">
        <f t="shared" si="1"/>
        <v>3306</v>
      </c>
    </row>
    <row r="35" spans="1:15">
      <c r="A35" s="159">
        <v>46207</v>
      </c>
      <c r="B35" s="147">
        <f>SUMIFS(PLAN!$K:$K,PLAN!$V:$V,Sheet1!$A35,PLAN!$W:$W,Sheet1!$B$1)</f>
        <v>0</v>
      </c>
      <c r="C35" s="147">
        <f>SUMIFS(PLAN!$K:$K,PLAN!$V:$V,Sheet1!$A35,PLAN!$W:$W,Sheet1!$C$1)</f>
        <v>0</v>
      </c>
      <c r="D35" s="147">
        <f>SUMIFS(PLAN!$K:$K,PLAN!$V:$V,Sheet1!$A35,PLAN!$W:$W,Sheet1!$D$1)</f>
        <v>0</v>
      </c>
      <c r="E35" s="147">
        <f>SUMIFS(PLAN!$K:$K,PLAN!$V:$V,Sheet1!$A35,PLAN!$W:$W,Sheet1!$E$1)</f>
        <v>0</v>
      </c>
      <c r="F35" s="147">
        <f>SUMIFS(PLAN!$K:$K,PLAN!$V:$V,Sheet1!$A35,PLAN!$W:$W,Sheet1!$F$1)</f>
        <v>0</v>
      </c>
      <c r="G35" s="147">
        <f>SUMIFS(PLAN!$K:$K,PLAN!$V:$V,Sheet1!$A35,PLAN!$W:$W,Sheet1!$G$1)</f>
        <v>0</v>
      </c>
      <c r="H35" s="147">
        <f>SUMIFS(PLAN!$K:$K,PLAN!$V:$V,Sheet1!$A35,PLAN!$W:$W,Sheet1!$H$1)</f>
        <v>0</v>
      </c>
      <c r="I35" s="147">
        <f>SUMIFS(PLAN!$K:$K,PLAN!$V:$V,Sheet1!$A35,PLAN!$W:$W,Sheet1!$I$1)</f>
        <v>0</v>
      </c>
      <c r="J35" s="147">
        <f>SUMIFS(PLAN!$K:$K,PLAN!$V:$V,Sheet1!$A35,PLAN!$W:$W,Sheet1!$J$1)</f>
        <v>0</v>
      </c>
      <c r="K35" s="147">
        <f>SUMIFS(PLAN!$K:$K,PLAN!$V:$V,Sheet1!$A35,PLAN!$W:$W,Sheet1!$K$1)</f>
        <v>0</v>
      </c>
      <c r="L35" s="147">
        <f>SUMIFS(PLAN!$K:$K,PLAN!$V:$V,Sheet1!$A35,PLAN!$W:$W,Sheet1!$L$1)</f>
        <v>0</v>
      </c>
      <c r="M35" s="147">
        <f>SUMIFS(PLAN!$K:$K,PLAN!$V:$V,Sheet1!$A35,PLAN!$W:$W,Sheet1!$M$1)</f>
        <v>0</v>
      </c>
      <c r="N35" s="147">
        <f>SUMIFS(PLAN!$K:$K,PLAN!$V:$V,Sheet1!$A35,PLAN!$W:$W,Sheet1!$N$1)</f>
        <v>0</v>
      </c>
      <c r="O35" s="147">
        <f t="shared" si="1"/>
        <v>0</v>
      </c>
    </row>
    <row r="36" spans="1:15">
      <c r="A36" s="159">
        <v>46208</v>
      </c>
      <c r="B36" s="147">
        <f>SUMIFS(PLAN!$K:$K,PLAN!$V:$V,Sheet1!$A36,PLAN!$W:$W,Sheet1!$B$1)</f>
        <v>0</v>
      </c>
      <c r="C36" s="147">
        <f>SUMIFS(PLAN!$K:$K,PLAN!$V:$V,Sheet1!$A36,PLAN!$W:$W,Sheet1!$C$1)</f>
        <v>0</v>
      </c>
      <c r="D36" s="147">
        <f>SUMIFS(PLAN!$K:$K,PLAN!$V:$V,Sheet1!$A36,PLAN!$W:$W,Sheet1!$D$1)</f>
        <v>0</v>
      </c>
      <c r="E36" s="147">
        <f>SUMIFS(PLAN!$K:$K,PLAN!$V:$V,Sheet1!$A36,PLAN!$W:$W,Sheet1!$E$1)</f>
        <v>0</v>
      </c>
      <c r="F36" s="147">
        <f>SUMIFS(PLAN!$K:$K,PLAN!$V:$V,Sheet1!$A36,PLAN!$W:$W,Sheet1!$F$1)</f>
        <v>0</v>
      </c>
      <c r="G36" s="147">
        <f>SUMIFS(PLAN!$K:$K,PLAN!$V:$V,Sheet1!$A36,PLAN!$W:$W,Sheet1!$G$1)</f>
        <v>0</v>
      </c>
      <c r="H36" s="147">
        <f>SUMIFS(PLAN!$K:$K,PLAN!$V:$V,Sheet1!$A36,PLAN!$W:$W,Sheet1!$H$1)</f>
        <v>0</v>
      </c>
      <c r="I36" s="147">
        <f>SUMIFS(PLAN!$K:$K,PLAN!$V:$V,Sheet1!$A36,PLAN!$W:$W,Sheet1!$I$1)</f>
        <v>0</v>
      </c>
      <c r="J36" s="147">
        <f>SUMIFS(PLAN!$K:$K,PLAN!$V:$V,Sheet1!$A36,PLAN!$W:$W,Sheet1!$J$1)</f>
        <v>0</v>
      </c>
      <c r="K36" s="147">
        <f>SUMIFS(PLAN!$K:$K,PLAN!$V:$V,Sheet1!$A36,PLAN!$W:$W,Sheet1!$K$1)</f>
        <v>0</v>
      </c>
      <c r="L36" s="147">
        <f>SUMIFS(PLAN!$K:$K,PLAN!$V:$V,Sheet1!$A36,PLAN!$W:$W,Sheet1!$L$1)</f>
        <v>0</v>
      </c>
      <c r="M36" s="147">
        <f>SUMIFS(PLAN!$K:$K,PLAN!$V:$V,Sheet1!$A36,PLAN!$W:$W,Sheet1!$M$1)</f>
        <v>0</v>
      </c>
      <c r="N36" s="147">
        <f>SUMIFS(PLAN!$K:$K,PLAN!$V:$V,Sheet1!$A36,PLAN!$W:$W,Sheet1!$N$1)</f>
        <v>0</v>
      </c>
      <c r="O36" s="147">
        <f t="shared" si="1"/>
        <v>0</v>
      </c>
    </row>
    <row r="37" spans="1:15">
      <c r="A37" s="159">
        <v>46209</v>
      </c>
      <c r="B37" s="147">
        <f>SUMIFS(PLAN!$K:$K,PLAN!$V:$V,Sheet1!$A37,PLAN!$W:$W,Sheet1!$B$1)</f>
        <v>0</v>
      </c>
      <c r="C37" s="147">
        <f>SUMIFS(PLAN!$K:$K,PLAN!$V:$V,Sheet1!$A37,PLAN!$W:$W,Sheet1!$C$1)</f>
        <v>0</v>
      </c>
      <c r="D37" s="147">
        <f>SUMIFS(PLAN!$K:$K,PLAN!$V:$V,Sheet1!$A37,PLAN!$W:$W,Sheet1!$D$1)</f>
        <v>0</v>
      </c>
      <c r="E37" s="147">
        <f>SUMIFS(PLAN!$K:$K,PLAN!$V:$V,Sheet1!$A37,PLAN!$W:$W,Sheet1!$E$1)</f>
        <v>0</v>
      </c>
      <c r="F37" s="147">
        <f>SUMIFS(PLAN!$K:$K,PLAN!$V:$V,Sheet1!$A37,PLAN!$W:$W,Sheet1!$F$1)</f>
        <v>0</v>
      </c>
      <c r="G37" s="147">
        <f>SUMIFS(PLAN!$K:$K,PLAN!$V:$V,Sheet1!$A37,PLAN!$W:$W,Sheet1!$G$1)</f>
        <v>0</v>
      </c>
      <c r="H37" s="147">
        <f>SUMIFS(PLAN!$K:$K,PLAN!$V:$V,Sheet1!$A37,PLAN!$W:$W,Sheet1!$H$1)</f>
        <v>0</v>
      </c>
      <c r="I37" s="147">
        <f>SUMIFS(PLAN!$K:$K,PLAN!$V:$V,Sheet1!$A37,PLAN!$W:$W,Sheet1!$I$1)</f>
        <v>0</v>
      </c>
      <c r="J37" s="147">
        <f>SUMIFS(PLAN!$K:$K,PLAN!$V:$V,Sheet1!$A37,PLAN!$W:$W,Sheet1!$J$1)</f>
        <v>0</v>
      </c>
      <c r="K37" s="147">
        <f>SUMIFS(PLAN!$K:$K,PLAN!$V:$V,Sheet1!$A37,PLAN!$W:$W,Sheet1!$K$1)</f>
        <v>0</v>
      </c>
      <c r="L37" s="147">
        <f>SUMIFS(PLAN!$K:$K,PLAN!$V:$V,Sheet1!$A37,PLAN!$W:$W,Sheet1!$L$1)</f>
        <v>0</v>
      </c>
      <c r="M37" s="147">
        <f>SUMIFS(PLAN!$K:$K,PLAN!$V:$V,Sheet1!$A37,PLAN!$W:$W,Sheet1!$M$1)</f>
        <v>0</v>
      </c>
      <c r="N37" s="147">
        <f>SUMIFS(PLAN!$K:$K,PLAN!$V:$V,Sheet1!$A37,PLAN!$W:$W,Sheet1!$N$1)</f>
        <v>0</v>
      </c>
      <c r="O37" s="147">
        <f t="shared" si="1"/>
        <v>0</v>
      </c>
    </row>
    <row r="38" spans="1:15">
      <c r="A38" s="159">
        <v>46210</v>
      </c>
      <c r="B38" s="147">
        <f>SUMIFS(PLAN!$K:$K,PLAN!$V:$V,Sheet1!$A38,PLAN!$W:$W,Sheet1!$B$1)</f>
        <v>0</v>
      </c>
      <c r="C38" s="147">
        <f>SUMIFS(PLAN!$K:$K,PLAN!$V:$V,Sheet1!$A38,PLAN!$W:$W,Sheet1!$C$1)</f>
        <v>0</v>
      </c>
      <c r="D38" s="147">
        <f>SUMIFS(PLAN!$K:$K,PLAN!$V:$V,Sheet1!$A38,PLAN!$W:$W,Sheet1!$D$1)</f>
        <v>0</v>
      </c>
      <c r="E38" s="147">
        <f>SUMIFS(PLAN!$K:$K,PLAN!$V:$V,Sheet1!$A38,PLAN!$W:$W,Sheet1!$E$1)</f>
        <v>0</v>
      </c>
      <c r="F38" s="147">
        <f>SUMIFS(PLAN!$K:$K,PLAN!$V:$V,Sheet1!$A38,PLAN!$W:$W,Sheet1!$F$1)</f>
        <v>0</v>
      </c>
      <c r="G38" s="147">
        <f>SUMIFS(PLAN!$K:$K,PLAN!$V:$V,Sheet1!$A38,PLAN!$W:$W,Sheet1!$G$1)</f>
        <v>0</v>
      </c>
      <c r="H38" s="147">
        <f>SUMIFS(PLAN!$K:$K,PLAN!$V:$V,Sheet1!$A38,PLAN!$W:$W,Sheet1!$H$1)</f>
        <v>0</v>
      </c>
      <c r="I38" s="147">
        <f>SUMIFS(PLAN!$K:$K,PLAN!$V:$V,Sheet1!$A38,PLAN!$W:$W,Sheet1!$I$1)</f>
        <v>0</v>
      </c>
      <c r="J38" s="147">
        <f>SUMIFS(PLAN!$K:$K,PLAN!$V:$V,Sheet1!$A38,PLAN!$W:$W,Sheet1!$J$1)</f>
        <v>0</v>
      </c>
      <c r="K38" s="147">
        <f>SUMIFS(PLAN!$K:$K,PLAN!$V:$V,Sheet1!$A38,PLAN!$W:$W,Sheet1!$K$1)</f>
        <v>0</v>
      </c>
      <c r="L38" s="147">
        <f>SUMIFS(PLAN!$K:$K,PLAN!$V:$V,Sheet1!$A38,PLAN!$W:$W,Sheet1!$L$1)</f>
        <v>0</v>
      </c>
      <c r="M38" s="147">
        <f>SUMIFS(PLAN!$K:$K,PLAN!$V:$V,Sheet1!$A38,PLAN!$W:$W,Sheet1!$M$1)</f>
        <v>0</v>
      </c>
      <c r="N38" s="147">
        <f>SUMIFS(PLAN!$K:$K,PLAN!$V:$V,Sheet1!$A38,PLAN!$W:$W,Sheet1!$N$1)</f>
        <v>0</v>
      </c>
      <c r="O38" s="147">
        <f t="shared" si="1"/>
        <v>0</v>
      </c>
    </row>
    <row r="39" spans="1:15">
      <c r="A39" s="159">
        <v>46211</v>
      </c>
      <c r="B39" s="147">
        <f>SUMIFS(PLAN!$K:$K,PLAN!$V:$V,Sheet1!$A39,PLAN!$W:$W,Sheet1!$B$1)</f>
        <v>0</v>
      </c>
      <c r="C39" s="147">
        <f>SUMIFS(PLAN!$K:$K,PLAN!$V:$V,Sheet1!$A39,PLAN!$W:$W,Sheet1!$C$1)</f>
        <v>0</v>
      </c>
      <c r="D39" s="147">
        <f>SUMIFS(PLAN!$K:$K,PLAN!$V:$V,Sheet1!$A39,PLAN!$W:$W,Sheet1!$D$1)</f>
        <v>0</v>
      </c>
      <c r="E39" s="147">
        <f>SUMIFS(PLAN!$K:$K,PLAN!$V:$V,Sheet1!$A39,PLAN!$W:$W,Sheet1!$E$1)</f>
        <v>0</v>
      </c>
      <c r="F39" s="147">
        <f>SUMIFS(PLAN!$K:$K,PLAN!$V:$V,Sheet1!$A39,PLAN!$W:$W,Sheet1!$F$1)</f>
        <v>0</v>
      </c>
      <c r="G39" s="147">
        <f>SUMIFS(PLAN!$K:$K,PLAN!$V:$V,Sheet1!$A39,PLAN!$W:$W,Sheet1!$G$1)</f>
        <v>0</v>
      </c>
      <c r="H39" s="147">
        <f>SUMIFS(PLAN!$K:$K,PLAN!$V:$V,Sheet1!$A39,PLAN!$W:$W,Sheet1!$H$1)</f>
        <v>0</v>
      </c>
      <c r="I39" s="147">
        <f>SUMIFS(PLAN!$K:$K,PLAN!$V:$V,Sheet1!$A39,PLAN!$W:$W,Sheet1!$I$1)</f>
        <v>0</v>
      </c>
      <c r="J39" s="147">
        <f>SUMIFS(PLAN!$K:$K,PLAN!$V:$V,Sheet1!$A39,PLAN!$W:$W,Sheet1!$J$1)</f>
        <v>0</v>
      </c>
      <c r="K39" s="147">
        <f>SUMIFS(PLAN!$K:$K,PLAN!$V:$V,Sheet1!$A39,PLAN!$W:$W,Sheet1!$K$1)</f>
        <v>0</v>
      </c>
      <c r="L39" s="147">
        <f>SUMIFS(PLAN!$K:$K,PLAN!$V:$V,Sheet1!$A39,PLAN!$W:$W,Sheet1!$L$1)</f>
        <v>0</v>
      </c>
      <c r="M39" s="147">
        <f>SUMIFS(PLAN!$K:$K,PLAN!$V:$V,Sheet1!$A39,PLAN!$W:$W,Sheet1!$M$1)</f>
        <v>0</v>
      </c>
      <c r="N39" s="147">
        <f>SUMIFS(PLAN!$K:$K,PLAN!$V:$V,Sheet1!$A39,PLAN!$W:$W,Sheet1!$N$1)</f>
        <v>0</v>
      </c>
      <c r="O39" s="147">
        <f t="shared" si="1"/>
        <v>0</v>
      </c>
    </row>
    <row r="40" spans="1:15">
      <c r="A40" s="159">
        <v>46212</v>
      </c>
      <c r="B40" s="147">
        <f>SUMIFS(PLAN!$K:$K,PLAN!$V:$V,Sheet1!$A40,PLAN!$W:$W,Sheet1!$B$1)</f>
        <v>0</v>
      </c>
      <c r="C40" s="147">
        <f>SUMIFS(PLAN!$K:$K,PLAN!$V:$V,Sheet1!$A40,PLAN!$W:$W,Sheet1!$C$1)</f>
        <v>0</v>
      </c>
      <c r="D40" s="147">
        <f>SUMIFS(PLAN!$K:$K,PLAN!$V:$V,Sheet1!$A40,PLAN!$W:$W,Sheet1!$D$1)</f>
        <v>0</v>
      </c>
      <c r="E40" s="147">
        <f>SUMIFS(PLAN!$K:$K,PLAN!$V:$V,Sheet1!$A40,PLAN!$W:$W,Sheet1!$E$1)</f>
        <v>0</v>
      </c>
      <c r="F40" s="147">
        <f>SUMIFS(PLAN!$K:$K,PLAN!$V:$V,Sheet1!$A40,PLAN!$W:$W,Sheet1!$F$1)</f>
        <v>0</v>
      </c>
      <c r="G40" s="147">
        <f>SUMIFS(PLAN!$K:$K,PLAN!$V:$V,Sheet1!$A40,PLAN!$W:$W,Sheet1!$G$1)</f>
        <v>0</v>
      </c>
      <c r="H40" s="147">
        <f>SUMIFS(PLAN!$K:$K,PLAN!$V:$V,Sheet1!$A40,PLAN!$W:$W,Sheet1!$H$1)</f>
        <v>0</v>
      </c>
      <c r="I40" s="147">
        <f>SUMIFS(PLAN!$K:$K,PLAN!$V:$V,Sheet1!$A40,PLAN!$W:$W,Sheet1!$I$1)</f>
        <v>0</v>
      </c>
      <c r="J40" s="147">
        <f>SUMIFS(PLAN!$K:$K,PLAN!$V:$V,Sheet1!$A40,PLAN!$W:$W,Sheet1!$J$1)</f>
        <v>0</v>
      </c>
      <c r="K40" s="147">
        <f>SUMIFS(PLAN!$K:$K,PLAN!$V:$V,Sheet1!$A40,PLAN!$W:$W,Sheet1!$K$1)</f>
        <v>0</v>
      </c>
      <c r="L40" s="147">
        <f>SUMIFS(PLAN!$K:$K,PLAN!$V:$V,Sheet1!$A40,PLAN!$W:$W,Sheet1!$L$1)</f>
        <v>0</v>
      </c>
      <c r="M40" s="147">
        <f>SUMIFS(PLAN!$K:$K,PLAN!$V:$V,Sheet1!$A40,PLAN!$W:$W,Sheet1!$M$1)</f>
        <v>0</v>
      </c>
      <c r="N40" s="147">
        <f>SUMIFS(PLAN!$K:$K,PLAN!$V:$V,Sheet1!$A40,PLAN!$W:$W,Sheet1!$N$1)</f>
        <v>0</v>
      </c>
      <c r="O40" s="147">
        <f t="shared" si="1"/>
        <v>0</v>
      </c>
    </row>
    <row r="41" spans="1:15">
      <c r="A41" s="159">
        <v>46213</v>
      </c>
      <c r="B41" s="147">
        <f>SUMIFS(PLAN!$K:$K,PLAN!$V:$V,Sheet1!$A41,PLAN!$W:$W,Sheet1!$B$1)</f>
        <v>0</v>
      </c>
      <c r="C41" s="147">
        <f>SUMIFS(PLAN!$K:$K,PLAN!$V:$V,Sheet1!$A41,PLAN!$W:$W,Sheet1!$C$1)</f>
        <v>0</v>
      </c>
      <c r="D41" s="147">
        <f>SUMIFS(PLAN!$K:$K,PLAN!$V:$V,Sheet1!$A41,PLAN!$W:$W,Sheet1!$D$1)</f>
        <v>0</v>
      </c>
      <c r="E41" s="147">
        <f>SUMIFS(PLAN!$K:$K,PLAN!$V:$V,Sheet1!$A41,PLAN!$W:$W,Sheet1!$E$1)</f>
        <v>0</v>
      </c>
      <c r="F41" s="147">
        <f>SUMIFS(PLAN!$K:$K,PLAN!$V:$V,Sheet1!$A41,PLAN!$W:$W,Sheet1!$F$1)</f>
        <v>0</v>
      </c>
      <c r="G41" s="147">
        <f>SUMIFS(PLAN!$K:$K,PLAN!$V:$V,Sheet1!$A41,PLAN!$W:$W,Sheet1!$G$1)</f>
        <v>0</v>
      </c>
      <c r="H41" s="147">
        <f>SUMIFS(PLAN!$K:$K,PLAN!$V:$V,Sheet1!$A41,PLAN!$W:$W,Sheet1!$H$1)</f>
        <v>0</v>
      </c>
      <c r="I41" s="147">
        <f>SUMIFS(PLAN!$K:$K,PLAN!$V:$V,Sheet1!$A41,PLAN!$W:$W,Sheet1!$I$1)</f>
        <v>0</v>
      </c>
      <c r="J41" s="147">
        <f>SUMIFS(PLAN!$K:$K,PLAN!$V:$V,Sheet1!$A41,PLAN!$W:$W,Sheet1!$J$1)</f>
        <v>0</v>
      </c>
      <c r="K41" s="147">
        <f>SUMIFS(PLAN!$K:$K,PLAN!$V:$V,Sheet1!$A41,PLAN!$W:$W,Sheet1!$K$1)</f>
        <v>0</v>
      </c>
      <c r="L41" s="147">
        <f>SUMIFS(PLAN!$K:$K,PLAN!$V:$V,Sheet1!$A41,PLAN!$W:$W,Sheet1!$L$1)</f>
        <v>0</v>
      </c>
      <c r="M41" s="147">
        <f>SUMIFS(PLAN!$K:$K,PLAN!$V:$V,Sheet1!$A41,PLAN!$W:$W,Sheet1!$M$1)</f>
        <v>0</v>
      </c>
      <c r="N41" s="147">
        <f>SUMIFS(PLAN!$K:$K,PLAN!$V:$V,Sheet1!$A41,PLAN!$W:$W,Sheet1!$N$1)</f>
        <v>0</v>
      </c>
      <c r="O41" s="147">
        <f t="shared" si="1"/>
        <v>0</v>
      </c>
    </row>
    <row r="42" spans="1:15">
      <c r="A42" s="159">
        <v>46214</v>
      </c>
      <c r="B42" s="147">
        <f>SUMIFS(PLAN!$K:$K,PLAN!$V:$V,Sheet1!$A42,PLAN!$W:$W,Sheet1!$B$1)</f>
        <v>0</v>
      </c>
      <c r="C42" s="147">
        <f>SUMIFS(PLAN!$K:$K,PLAN!$V:$V,Sheet1!$A42,PLAN!$W:$W,Sheet1!$C$1)</f>
        <v>0</v>
      </c>
      <c r="D42" s="147">
        <f>SUMIFS(PLAN!$K:$K,PLAN!$V:$V,Sheet1!$A42,PLAN!$W:$W,Sheet1!$D$1)</f>
        <v>0</v>
      </c>
      <c r="E42" s="147">
        <f>SUMIFS(PLAN!$K:$K,PLAN!$V:$V,Sheet1!$A42,PLAN!$W:$W,Sheet1!$E$1)</f>
        <v>0</v>
      </c>
      <c r="F42" s="147">
        <f>SUMIFS(PLAN!$K:$K,PLAN!$V:$V,Sheet1!$A42,PLAN!$W:$W,Sheet1!$F$1)</f>
        <v>0</v>
      </c>
      <c r="G42" s="147">
        <f>SUMIFS(PLAN!$K:$K,PLAN!$V:$V,Sheet1!$A42,PLAN!$W:$W,Sheet1!$G$1)</f>
        <v>0</v>
      </c>
      <c r="H42" s="147">
        <f>SUMIFS(PLAN!$K:$K,PLAN!$V:$V,Sheet1!$A42,PLAN!$W:$W,Sheet1!$H$1)</f>
        <v>0</v>
      </c>
      <c r="I42" s="147">
        <f>SUMIFS(PLAN!$K:$K,PLAN!$V:$V,Sheet1!$A42,PLAN!$W:$W,Sheet1!$I$1)</f>
        <v>0</v>
      </c>
      <c r="J42" s="147">
        <f>SUMIFS(PLAN!$K:$K,PLAN!$V:$V,Sheet1!$A42,PLAN!$W:$W,Sheet1!$J$1)</f>
        <v>0</v>
      </c>
      <c r="K42" s="147">
        <f>SUMIFS(PLAN!$K:$K,PLAN!$V:$V,Sheet1!$A42,PLAN!$W:$W,Sheet1!$K$1)</f>
        <v>0</v>
      </c>
      <c r="L42" s="147">
        <f>SUMIFS(PLAN!$K:$K,PLAN!$V:$V,Sheet1!$A42,PLAN!$W:$W,Sheet1!$L$1)</f>
        <v>0</v>
      </c>
      <c r="M42" s="147">
        <f>SUMIFS(PLAN!$K:$K,PLAN!$V:$V,Sheet1!$A42,PLAN!$W:$W,Sheet1!$M$1)</f>
        <v>0</v>
      </c>
      <c r="N42" s="147">
        <f>SUMIFS(PLAN!$K:$K,PLAN!$V:$V,Sheet1!$A42,PLAN!$W:$W,Sheet1!$N$1)</f>
        <v>0</v>
      </c>
      <c r="O42" s="147">
        <f t="shared" si="1"/>
        <v>0</v>
      </c>
    </row>
    <row r="43" spans="1:15">
      <c r="A43" s="159">
        <v>46215</v>
      </c>
      <c r="B43" s="147">
        <f>SUMIFS(PLAN!$K:$K,PLAN!$V:$V,Sheet1!$A43,PLAN!$W:$W,Sheet1!$B$1)</f>
        <v>0</v>
      </c>
      <c r="C43" s="147">
        <f>SUMIFS(PLAN!$K:$K,PLAN!$V:$V,Sheet1!$A43,PLAN!$W:$W,Sheet1!$C$1)</f>
        <v>0</v>
      </c>
      <c r="D43" s="147">
        <f>SUMIFS(PLAN!$K:$K,PLAN!$V:$V,Sheet1!$A43,PLAN!$W:$W,Sheet1!$D$1)</f>
        <v>0</v>
      </c>
      <c r="E43" s="147">
        <f>SUMIFS(PLAN!$K:$K,PLAN!$V:$V,Sheet1!$A43,PLAN!$W:$W,Sheet1!$E$1)</f>
        <v>0</v>
      </c>
      <c r="F43" s="147">
        <f>SUMIFS(PLAN!$K:$K,PLAN!$V:$V,Sheet1!$A43,PLAN!$W:$W,Sheet1!$F$1)</f>
        <v>0</v>
      </c>
      <c r="G43" s="147">
        <f>SUMIFS(PLAN!$K:$K,PLAN!$V:$V,Sheet1!$A43,PLAN!$W:$W,Sheet1!$G$1)</f>
        <v>0</v>
      </c>
      <c r="H43" s="147">
        <f>SUMIFS(PLAN!$K:$K,PLAN!$V:$V,Sheet1!$A43,PLAN!$W:$W,Sheet1!$H$1)</f>
        <v>0</v>
      </c>
      <c r="I43" s="147">
        <f>SUMIFS(PLAN!$K:$K,PLAN!$V:$V,Sheet1!$A43,PLAN!$W:$W,Sheet1!$I$1)</f>
        <v>0</v>
      </c>
      <c r="J43" s="147">
        <f>SUMIFS(PLAN!$K:$K,PLAN!$V:$V,Sheet1!$A43,PLAN!$W:$W,Sheet1!$J$1)</f>
        <v>0</v>
      </c>
      <c r="K43" s="147">
        <f>SUMIFS(PLAN!$K:$K,PLAN!$V:$V,Sheet1!$A43,PLAN!$W:$W,Sheet1!$K$1)</f>
        <v>0</v>
      </c>
      <c r="L43" s="147">
        <f>SUMIFS(PLAN!$K:$K,PLAN!$V:$V,Sheet1!$A43,PLAN!$W:$W,Sheet1!$L$1)</f>
        <v>0</v>
      </c>
      <c r="M43" s="147">
        <f>SUMIFS(PLAN!$K:$K,PLAN!$V:$V,Sheet1!$A43,PLAN!$W:$W,Sheet1!$M$1)</f>
        <v>0</v>
      </c>
      <c r="N43" s="147">
        <f>SUMIFS(PLAN!$K:$K,PLAN!$V:$V,Sheet1!$A43,PLAN!$W:$W,Sheet1!$N$1)</f>
        <v>0</v>
      </c>
      <c r="O43" s="147">
        <f t="shared" si="1"/>
        <v>0</v>
      </c>
    </row>
    <row r="44" spans="1:15">
      <c r="A44" s="159">
        <v>46216</v>
      </c>
      <c r="B44" s="147">
        <f>SUMIFS(PLAN!$K:$K,PLAN!$V:$V,Sheet1!$A44,PLAN!$W:$W,Sheet1!$B$1)</f>
        <v>0</v>
      </c>
      <c r="C44" s="147">
        <f>SUMIFS(PLAN!$K:$K,PLAN!$V:$V,Sheet1!$A44,PLAN!$W:$W,Sheet1!$C$1)</f>
        <v>0</v>
      </c>
      <c r="D44" s="147">
        <f>SUMIFS(PLAN!$K:$K,PLAN!$V:$V,Sheet1!$A44,PLAN!$W:$W,Sheet1!$D$1)</f>
        <v>0</v>
      </c>
      <c r="E44" s="147">
        <f>SUMIFS(PLAN!$K:$K,PLAN!$V:$V,Sheet1!$A44,PLAN!$W:$W,Sheet1!$E$1)</f>
        <v>0</v>
      </c>
      <c r="F44" s="147">
        <f>SUMIFS(PLAN!$K:$K,PLAN!$V:$V,Sheet1!$A44,PLAN!$W:$W,Sheet1!$F$1)</f>
        <v>0</v>
      </c>
      <c r="G44" s="147">
        <f>SUMIFS(PLAN!$K:$K,PLAN!$V:$V,Sheet1!$A44,PLAN!$W:$W,Sheet1!$G$1)</f>
        <v>0</v>
      </c>
      <c r="H44" s="147">
        <f>SUMIFS(PLAN!$K:$K,PLAN!$V:$V,Sheet1!$A44,PLAN!$W:$W,Sheet1!$H$1)</f>
        <v>0</v>
      </c>
      <c r="I44" s="147">
        <f>SUMIFS(PLAN!$K:$K,PLAN!$V:$V,Sheet1!$A44,PLAN!$W:$W,Sheet1!$I$1)</f>
        <v>0</v>
      </c>
      <c r="J44" s="147">
        <f>SUMIFS(PLAN!$K:$K,PLAN!$V:$V,Sheet1!$A44,PLAN!$W:$W,Sheet1!$J$1)</f>
        <v>0</v>
      </c>
      <c r="K44" s="147">
        <f>SUMIFS(PLAN!$K:$K,PLAN!$V:$V,Sheet1!$A44,PLAN!$W:$W,Sheet1!$K$1)</f>
        <v>0</v>
      </c>
      <c r="L44" s="147">
        <f>SUMIFS(PLAN!$K:$K,PLAN!$V:$V,Sheet1!$A44,PLAN!$W:$W,Sheet1!$L$1)</f>
        <v>0</v>
      </c>
      <c r="M44" s="147">
        <f>SUMIFS(PLAN!$K:$K,PLAN!$V:$V,Sheet1!$A44,PLAN!$W:$W,Sheet1!$M$1)</f>
        <v>0</v>
      </c>
      <c r="N44" s="147">
        <f>SUMIFS(PLAN!$K:$K,PLAN!$V:$V,Sheet1!$A44,PLAN!$W:$W,Sheet1!$N$1)</f>
        <v>0</v>
      </c>
      <c r="O44" s="147">
        <f t="shared" si="1"/>
        <v>0</v>
      </c>
    </row>
    <row r="45" spans="1:15">
      <c r="A45" s="159">
        <v>46217</v>
      </c>
      <c r="B45" s="147">
        <f>SUMIFS(PLAN!$K:$K,PLAN!$V:$V,Sheet1!$A45,PLAN!$W:$W,Sheet1!$B$1)</f>
        <v>0</v>
      </c>
      <c r="C45" s="147">
        <f>SUMIFS(PLAN!$K:$K,PLAN!$V:$V,Sheet1!$A45,PLAN!$W:$W,Sheet1!$C$1)</f>
        <v>0</v>
      </c>
      <c r="D45" s="147">
        <f>SUMIFS(PLAN!$K:$K,PLAN!$V:$V,Sheet1!$A45,PLAN!$W:$W,Sheet1!$D$1)</f>
        <v>0</v>
      </c>
      <c r="E45" s="147">
        <f>SUMIFS(PLAN!$K:$K,PLAN!$V:$V,Sheet1!$A45,PLAN!$W:$W,Sheet1!$E$1)</f>
        <v>0</v>
      </c>
      <c r="F45" s="147">
        <f>SUMIFS(PLAN!$K:$K,PLAN!$V:$V,Sheet1!$A45,PLAN!$W:$W,Sheet1!$F$1)</f>
        <v>0</v>
      </c>
      <c r="G45" s="147">
        <f>SUMIFS(PLAN!$K:$K,PLAN!$V:$V,Sheet1!$A45,PLAN!$W:$W,Sheet1!$G$1)</f>
        <v>0</v>
      </c>
      <c r="H45" s="147">
        <f>SUMIFS(PLAN!$K:$K,PLAN!$V:$V,Sheet1!$A45,PLAN!$W:$W,Sheet1!$H$1)</f>
        <v>0</v>
      </c>
      <c r="I45" s="147">
        <f>SUMIFS(PLAN!$K:$K,PLAN!$V:$V,Sheet1!$A45,PLAN!$W:$W,Sheet1!$I$1)</f>
        <v>0</v>
      </c>
      <c r="J45" s="147">
        <f>SUMIFS(PLAN!$K:$K,PLAN!$V:$V,Sheet1!$A45,PLAN!$W:$W,Sheet1!$J$1)</f>
        <v>0</v>
      </c>
      <c r="K45" s="147">
        <f>SUMIFS(PLAN!$K:$K,PLAN!$V:$V,Sheet1!$A45,PLAN!$W:$W,Sheet1!$K$1)</f>
        <v>0</v>
      </c>
      <c r="L45" s="147">
        <f>SUMIFS(PLAN!$K:$K,PLAN!$V:$V,Sheet1!$A45,PLAN!$W:$W,Sheet1!$L$1)</f>
        <v>0</v>
      </c>
      <c r="M45" s="147">
        <f>SUMIFS(PLAN!$K:$K,PLAN!$V:$V,Sheet1!$A45,PLAN!$W:$W,Sheet1!$M$1)</f>
        <v>0</v>
      </c>
      <c r="N45" s="147">
        <f>SUMIFS(PLAN!$K:$K,PLAN!$V:$V,Sheet1!$A45,PLAN!$W:$W,Sheet1!$N$1)</f>
        <v>0</v>
      </c>
      <c r="O45" s="147">
        <f t="shared" si="1"/>
        <v>0</v>
      </c>
    </row>
    <row r="46" spans="1:15">
      <c r="A46" s="159">
        <v>46218</v>
      </c>
      <c r="B46" s="147">
        <f>SUMIFS(PLAN!$K:$K,PLAN!$V:$V,Sheet1!$A46,PLAN!$W:$W,Sheet1!$B$1)</f>
        <v>0</v>
      </c>
      <c r="C46" s="147">
        <f>SUMIFS(PLAN!$K:$K,PLAN!$V:$V,Sheet1!$A46,PLAN!$W:$W,Sheet1!$C$1)</f>
        <v>0</v>
      </c>
      <c r="D46" s="147">
        <f>SUMIFS(PLAN!$K:$K,PLAN!$V:$V,Sheet1!$A46,PLAN!$W:$W,Sheet1!$D$1)</f>
        <v>0</v>
      </c>
      <c r="E46" s="147">
        <f>SUMIFS(PLAN!$K:$K,PLAN!$V:$V,Sheet1!$A46,PLAN!$W:$W,Sheet1!$E$1)</f>
        <v>0</v>
      </c>
      <c r="F46" s="147">
        <f>SUMIFS(PLAN!$K:$K,PLAN!$V:$V,Sheet1!$A46,PLAN!$W:$W,Sheet1!$F$1)</f>
        <v>0</v>
      </c>
      <c r="G46" s="147">
        <f>SUMIFS(PLAN!$K:$K,PLAN!$V:$V,Sheet1!$A46,PLAN!$W:$W,Sheet1!$G$1)</f>
        <v>0</v>
      </c>
      <c r="H46" s="147">
        <f>SUMIFS(PLAN!$K:$K,PLAN!$V:$V,Sheet1!$A46,PLAN!$W:$W,Sheet1!$H$1)</f>
        <v>0</v>
      </c>
      <c r="I46" s="147">
        <f>SUMIFS(PLAN!$K:$K,PLAN!$V:$V,Sheet1!$A46,PLAN!$W:$W,Sheet1!$I$1)</f>
        <v>626</v>
      </c>
      <c r="J46" s="147">
        <f>SUMIFS(PLAN!$K:$K,PLAN!$V:$V,Sheet1!$A46,PLAN!$W:$W,Sheet1!$J$1)</f>
        <v>0</v>
      </c>
      <c r="K46" s="147">
        <f>SUMIFS(PLAN!$K:$K,PLAN!$V:$V,Sheet1!$A46,PLAN!$W:$W,Sheet1!$K$1)</f>
        <v>0</v>
      </c>
      <c r="L46" s="147">
        <f>SUMIFS(PLAN!$K:$K,PLAN!$V:$V,Sheet1!$A46,PLAN!$W:$W,Sheet1!$L$1)</f>
        <v>0</v>
      </c>
      <c r="M46" s="147">
        <f>SUMIFS(PLAN!$K:$K,PLAN!$V:$V,Sheet1!$A46,PLAN!$W:$W,Sheet1!$M$1)</f>
        <v>0</v>
      </c>
      <c r="N46" s="147">
        <f>SUMIFS(PLAN!$K:$K,PLAN!$V:$V,Sheet1!$A46,PLAN!$W:$W,Sheet1!$N$1)</f>
        <v>0</v>
      </c>
      <c r="O46" s="147">
        <f t="shared" si="1"/>
        <v>626</v>
      </c>
    </row>
    <row r="47" spans="1:15">
      <c r="A47" s="159">
        <v>46219</v>
      </c>
      <c r="B47" s="147">
        <f>SUMIFS(PLAN!$K:$K,PLAN!$V:$V,Sheet1!$A47,PLAN!$W:$W,Sheet1!$B$1)</f>
        <v>0</v>
      </c>
      <c r="C47" s="147">
        <f>SUMIFS(PLAN!$K:$K,PLAN!$V:$V,Sheet1!$A47,PLAN!$W:$W,Sheet1!$C$1)</f>
        <v>0</v>
      </c>
      <c r="D47" s="147">
        <f>SUMIFS(PLAN!$K:$K,PLAN!$V:$V,Sheet1!$A47,PLAN!$W:$W,Sheet1!$D$1)</f>
        <v>0</v>
      </c>
      <c r="E47" s="147">
        <f>SUMIFS(PLAN!$K:$K,PLAN!$V:$V,Sheet1!$A47,PLAN!$W:$W,Sheet1!$E$1)</f>
        <v>0</v>
      </c>
      <c r="F47" s="147">
        <f>SUMIFS(PLAN!$K:$K,PLAN!$V:$V,Sheet1!$A47,PLAN!$W:$W,Sheet1!$F$1)</f>
        <v>0</v>
      </c>
      <c r="G47" s="147">
        <f>SUMIFS(PLAN!$K:$K,PLAN!$V:$V,Sheet1!$A47,PLAN!$W:$W,Sheet1!$G$1)</f>
        <v>0</v>
      </c>
      <c r="H47" s="147">
        <f>SUMIFS(PLAN!$K:$K,PLAN!$V:$V,Sheet1!$A47,PLAN!$W:$W,Sheet1!$H$1)</f>
        <v>0</v>
      </c>
      <c r="I47" s="147">
        <f>SUMIFS(PLAN!$K:$K,PLAN!$V:$V,Sheet1!$A47,PLAN!$W:$W,Sheet1!$I$1)</f>
        <v>2356</v>
      </c>
      <c r="J47" s="147">
        <f>SUMIFS(PLAN!$K:$K,PLAN!$V:$V,Sheet1!$A47,PLAN!$W:$W,Sheet1!$J$1)</f>
        <v>0</v>
      </c>
      <c r="K47" s="147">
        <f>SUMIFS(PLAN!$K:$K,PLAN!$V:$V,Sheet1!$A47,PLAN!$W:$W,Sheet1!$K$1)</f>
        <v>0</v>
      </c>
      <c r="L47" s="147">
        <f>SUMIFS(PLAN!$K:$K,PLAN!$V:$V,Sheet1!$A47,PLAN!$W:$W,Sheet1!$L$1)</f>
        <v>0</v>
      </c>
      <c r="M47" s="147">
        <f>SUMIFS(PLAN!$K:$K,PLAN!$V:$V,Sheet1!$A47,PLAN!$W:$W,Sheet1!$M$1)</f>
        <v>0</v>
      </c>
      <c r="N47" s="147">
        <f>SUMIFS(PLAN!$K:$K,PLAN!$V:$V,Sheet1!$A47,PLAN!$W:$W,Sheet1!$N$1)</f>
        <v>0</v>
      </c>
      <c r="O47" s="147">
        <f t="shared" si="1"/>
        <v>2356</v>
      </c>
    </row>
    <row r="48" spans="1:15">
      <c r="A48" s="159">
        <v>46220</v>
      </c>
      <c r="B48" s="147">
        <f>SUMIFS(PLAN!$K:$K,PLAN!$V:$V,Sheet1!$A48,PLAN!$W:$W,Sheet1!$B$1)</f>
        <v>0</v>
      </c>
      <c r="C48" s="147">
        <f>SUMIFS(PLAN!$K:$K,PLAN!$V:$V,Sheet1!$A48,PLAN!$W:$W,Sheet1!$C$1)</f>
        <v>0</v>
      </c>
      <c r="D48" s="147">
        <f>SUMIFS(PLAN!$K:$K,PLAN!$V:$V,Sheet1!$A48,PLAN!$W:$W,Sheet1!$D$1)</f>
        <v>0</v>
      </c>
      <c r="E48" s="147">
        <f>SUMIFS(PLAN!$K:$K,PLAN!$V:$V,Sheet1!$A48,PLAN!$W:$W,Sheet1!$E$1)</f>
        <v>0</v>
      </c>
      <c r="F48" s="147">
        <f>SUMIFS(PLAN!$K:$K,PLAN!$V:$V,Sheet1!$A48,PLAN!$W:$W,Sheet1!$F$1)</f>
        <v>0</v>
      </c>
      <c r="G48" s="147">
        <f>SUMIFS(PLAN!$K:$K,PLAN!$V:$V,Sheet1!$A48,PLAN!$W:$W,Sheet1!$G$1)</f>
        <v>0</v>
      </c>
      <c r="H48" s="147">
        <f>SUMIFS(PLAN!$K:$K,PLAN!$V:$V,Sheet1!$A48,PLAN!$W:$W,Sheet1!$H$1)</f>
        <v>0</v>
      </c>
      <c r="I48" s="147">
        <f>SUMIFS(PLAN!$K:$K,PLAN!$V:$V,Sheet1!$A48,PLAN!$W:$W,Sheet1!$I$1)</f>
        <v>0</v>
      </c>
      <c r="J48" s="147">
        <f>SUMIFS(PLAN!$K:$K,PLAN!$V:$V,Sheet1!$A48,PLAN!$W:$W,Sheet1!$J$1)</f>
        <v>724</v>
      </c>
      <c r="K48" s="147">
        <f>SUMIFS(PLAN!$K:$K,PLAN!$V:$V,Sheet1!$A48,PLAN!$W:$W,Sheet1!$K$1)</f>
        <v>840</v>
      </c>
      <c r="L48" s="147">
        <f>SUMIFS(PLAN!$K:$K,PLAN!$V:$V,Sheet1!$A48,PLAN!$W:$W,Sheet1!$L$1)</f>
        <v>0</v>
      </c>
      <c r="M48" s="147">
        <f>SUMIFS(PLAN!$K:$K,PLAN!$V:$V,Sheet1!$A48,PLAN!$W:$W,Sheet1!$M$1)</f>
        <v>0</v>
      </c>
      <c r="N48" s="147">
        <f>SUMIFS(PLAN!$K:$K,PLAN!$V:$V,Sheet1!$A48,PLAN!$W:$W,Sheet1!$N$1)</f>
        <v>0</v>
      </c>
      <c r="O48" s="147">
        <f t="shared" si="1"/>
        <v>1564</v>
      </c>
    </row>
    <row r="49" spans="1:15">
      <c r="A49" s="159">
        <v>46221</v>
      </c>
      <c r="B49" s="147">
        <f>SUMIFS(PLAN!$K:$K,PLAN!$V:$V,Sheet1!$A49,PLAN!$W:$W,Sheet1!$B$1)</f>
        <v>0</v>
      </c>
      <c r="C49" s="147">
        <f>SUMIFS(PLAN!$K:$K,PLAN!$V:$V,Sheet1!$A49,PLAN!$W:$W,Sheet1!$C$1)</f>
        <v>0</v>
      </c>
      <c r="D49" s="147">
        <f>SUMIFS(PLAN!$K:$K,PLAN!$V:$V,Sheet1!$A49,PLAN!$W:$W,Sheet1!$D$1)</f>
        <v>0</v>
      </c>
      <c r="E49" s="147">
        <f>SUMIFS(PLAN!$K:$K,PLAN!$V:$V,Sheet1!$A49,PLAN!$W:$W,Sheet1!$E$1)</f>
        <v>0</v>
      </c>
      <c r="F49" s="147">
        <f>SUMIFS(PLAN!$K:$K,PLAN!$V:$V,Sheet1!$A49,PLAN!$W:$W,Sheet1!$F$1)</f>
        <v>0</v>
      </c>
      <c r="G49" s="147">
        <f>SUMIFS(PLAN!$K:$K,PLAN!$V:$V,Sheet1!$A49,PLAN!$W:$W,Sheet1!$G$1)</f>
        <v>0</v>
      </c>
      <c r="H49" s="147">
        <f>SUMIFS(PLAN!$K:$K,PLAN!$V:$V,Sheet1!$A49,PLAN!$W:$W,Sheet1!$H$1)</f>
        <v>0</v>
      </c>
      <c r="I49" s="147">
        <f>SUMIFS(PLAN!$K:$K,PLAN!$V:$V,Sheet1!$A49,PLAN!$W:$W,Sheet1!$I$1)</f>
        <v>0</v>
      </c>
      <c r="J49" s="147">
        <f>SUMIFS(PLAN!$K:$K,PLAN!$V:$V,Sheet1!$A49,PLAN!$W:$W,Sheet1!$J$1)</f>
        <v>0</v>
      </c>
      <c r="K49" s="147">
        <f>SUMIFS(PLAN!$K:$K,PLAN!$V:$V,Sheet1!$A49,PLAN!$W:$W,Sheet1!$K$1)</f>
        <v>487</v>
      </c>
      <c r="L49" s="147">
        <f>SUMIFS(PLAN!$K:$K,PLAN!$V:$V,Sheet1!$A49,PLAN!$W:$W,Sheet1!$L$1)</f>
        <v>0</v>
      </c>
      <c r="M49" s="147">
        <f>SUMIFS(PLAN!$K:$K,PLAN!$V:$V,Sheet1!$A49,PLAN!$W:$W,Sheet1!$M$1)</f>
        <v>0</v>
      </c>
      <c r="N49" s="147">
        <f>SUMIFS(PLAN!$K:$K,PLAN!$V:$V,Sheet1!$A49,PLAN!$W:$W,Sheet1!$N$1)</f>
        <v>0</v>
      </c>
      <c r="O49" s="147">
        <f t="shared" si="1"/>
        <v>487</v>
      </c>
    </row>
    <row r="50" spans="1:15">
      <c r="A50" s="159">
        <v>46222</v>
      </c>
      <c r="B50" s="147">
        <f>SUMIFS(PLAN!$K:$K,PLAN!$V:$V,Sheet1!$A50,PLAN!$W:$W,Sheet1!$B$1)</f>
        <v>0</v>
      </c>
      <c r="C50" s="147">
        <f>SUMIFS(PLAN!$K:$K,PLAN!$V:$V,Sheet1!$A50,PLAN!$W:$W,Sheet1!$C$1)</f>
        <v>0</v>
      </c>
      <c r="D50" s="147">
        <f>SUMIFS(PLAN!$K:$K,PLAN!$V:$V,Sheet1!$A50,PLAN!$W:$W,Sheet1!$D$1)</f>
        <v>0</v>
      </c>
      <c r="E50" s="147">
        <f>SUMIFS(PLAN!$K:$K,PLAN!$V:$V,Sheet1!$A50,PLAN!$W:$W,Sheet1!$E$1)</f>
        <v>0</v>
      </c>
      <c r="F50" s="147">
        <f>SUMIFS(PLAN!$K:$K,PLAN!$V:$V,Sheet1!$A50,PLAN!$W:$W,Sheet1!$F$1)</f>
        <v>0</v>
      </c>
      <c r="G50" s="147">
        <f>SUMIFS(PLAN!$K:$K,PLAN!$V:$V,Sheet1!$A50,PLAN!$W:$W,Sheet1!$G$1)</f>
        <v>0</v>
      </c>
      <c r="H50" s="147">
        <f>SUMIFS(PLAN!$K:$K,PLAN!$V:$V,Sheet1!$A50,PLAN!$W:$W,Sheet1!$H$1)</f>
        <v>0</v>
      </c>
      <c r="I50" s="147">
        <f>SUMIFS(PLAN!$K:$K,PLAN!$V:$V,Sheet1!$A50,PLAN!$W:$W,Sheet1!$I$1)</f>
        <v>0</v>
      </c>
      <c r="J50" s="147">
        <f>SUMIFS(PLAN!$K:$K,PLAN!$V:$V,Sheet1!$A50,PLAN!$W:$W,Sheet1!$J$1)</f>
        <v>0</v>
      </c>
      <c r="K50" s="147">
        <f>SUMIFS(PLAN!$K:$K,PLAN!$V:$V,Sheet1!$A50,PLAN!$W:$W,Sheet1!$K$1)</f>
        <v>0</v>
      </c>
      <c r="L50" s="147">
        <f>SUMIFS(PLAN!$K:$K,PLAN!$V:$V,Sheet1!$A50,PLAN!$W:$W,Sheet1!$L$1)</f>
        <v>0</v>
      </c>
      <c r="M50" s="147">
        <f>SUMIFS(PLAN!$K:$K,PLAN!$V:$V,Sheet1!$A50,PLAN!$W:$W,Sheet1!$M$1)</f>
        <v>0</v>
      </c>
      <c r="N50" s="147">
        <f>SUMIFS(PLAN!$K:$K,PLAN!$V:$V,Sheet1!$A50,PLAN!$W:$W,Sheet1!$N$1)</f>
        <v>0</v>
      </c>
      <c r="O50" s="147">
        <f t="shared" si="1"/>
        <v>0</v>
      </c>
    </row>
    <row r="51" spans="1:15">
      <c r="A51" s="159">
        <v>46223</v>
      </c>
      <c r="B51" s="147">
        <f>SUMIFS(PLAN!$K:$K,PLAN!$V:$V,Sheet1!$A51,PLAN!$W:$W,Sheet1!$B$1)</f>
        <v>0</v>
      </c>
      <c r="C51" s="147">
        <f>SUMIFS(PLAN!$K:$K,PLAN!$V:$V,Sheet1!$A51,PLAN!$W:$W,Sheet1!$C$1)</f>
        <v>0</v>
      </c>
      <c r="D51" s="147">
        <f>SUMIFS(PLAN!$K:$K,PLAN!$V:$V,Sheet1!$A51,PLAN!$W:$W,Sheet1!$D$1)</f>
        <v>0</v>
      </c>
      <c r="E51" s="147">
        <f>SUMIFS(PLAN!$K:$K,PLAN!$V:$V,Sheet1!$A51,PLAN!$W:$W,Sheet1!$E$1)</f>
        <v>0</v>
      </c>
      <c r="F51" s="147">
        <f>SUMIFS(PLAN!$K:$K,PLAN!$V:$V,Sheet1!$A51,PLAN!$W:$W,Sheet1!$F$1)</f>
        <v>0</v>
      </c>
      <c r="G51" s="147">
        <f>SUMIFS(PLAN!$K:$K,PLAN!$V:$V,Sheet1!$A51,PLAN!$W:$W,Sheet1!$G$1)</f>
        <v>0</v>
      </c>
      <c r="H51" s="147">
        <f>SUMIFS(PLAN!$K:$K,PLAN!$V:$V,Sheet1!$A51,PLAN!$W:$W,Sheet1!$H$1)</f>
        <v>0</v>
      </c>
      <c r="I51" s="147">
        <f>SUMIFS(PLAN!$K:$K,PLAN!$V:$V,Sheet1!$A51,PLAN!$W:$W,Sheet1!$I$1)</f>
        <v>0</v>
      </c>
      <c r="J51" s="147">
        <f>SUMIFS(PLAN!$K:$K,PLAN!$V:$V,Sheet1!$A51,PLAN!$W:$W,Sheet1!$J$1)</f>
        <v>0</v>
      </c>
      <c r="K51" s="147">
        <f>SUMIFS(PLAN!$K:$K,PLAN!$V:$V,Sheet1!$A51,PLAN!$W:$W,Sheet1!$K$1)</f>
        <v>720</v>
      </c>
      <c r="L51" s="147">
        <f>SUMIFS(PLAN!$K:$K,PLAN!$V:$V,Sheet1!$A51,PLAN!$W:$W,Sheet1!$L$1)</f>
        <v>0</v>
      </c>
      <c r="M51" s="147">
        <f>SUMIFS(PLAN!$K:$K,PLAN!$V:$V,Sheet1!$A51,PLAN!$W:$W,Sheet1!$M$1)</f>
        <v>0</v>
      </c>
      <c r="N51" s="147">
        <f>SUMIFS(PLAN!$K:$K,PLAN!$V:$V,Sheet1!$A51,PLAN!$W:$W,Sheet1!$N$1)</f>
        <v>0</v>
      </c>
      <c r="O51" s="147">
        <f t="shared" si="1"/>
        <v>720</v>
      </c>
    </row>
    <row r="52" spans="1:15">
      <c r="A52" s="159">
        <v>46224</v>
      </c>
      <c r="B52" s="147">
        <f>SUMIFS(PLAN!$K:$K,PLAN!$V:$V,Sheet1!$A52,PLAN!$W:$W,Sheet1!$B$1)</f>
        <v>0</v>
      </c>
      <c r="C52" s="147">
        <f>SUMIFS(PLAN!$K:$K,PLAN!$V:$V,Sheet1!$A52,PLAN!$W:$W,Sheet1!$C$1)</f>
        <v>0</v>
      </c>
      <c r="D52" s="147">
        <f>SUMIFS(PLAN!$K:$K,PLAN!$V:$V,Sheet1!$A52,PLAN!$W:$W,Sheet1!$D$1)</f>
        <v>0</v>
      </c>
      <c r="E52" s="147">
        <f>SUMIFS(PLAN!$K:$K,PLAN!$V:$V,Sheet1!$A52,PLAN!$W:$W,Sheet1!$E$1)</f>
        <v>0</v>
      </c>
      <c r="F52" s="147">
        <f>SUMIFS(PLAN!$K:$K,PLAN!$V:$V,Sheet1!$A52,PLAN!$W:$W,Sheet1!$F$1)</f>
        <v>0</v>
      </c>
      <c r="G52" s="147">
        <f>SUMIFS(PLAN!$K:$K,PLAN!$V:$V,Sheet1!$A52,PLAN!$W:$W,Sheet1!$G$1)</f>
        <v>0</v>
      </c>
      <c r="H52" s="147">
        <f>SUMIFS(PLAN!$K:$K,PLAN!$V:$V,Sheet1!$A52,PLAN!$W:$W,Sheet1!$H$1)</f>
        <v>0</v>
      </c>
      <c r="I52" s="147">
        <f>SUMIFS(PLAN!$K:$K,PLAN!$V:$V,Sheet1!$A52,PLAN!$W:$W,Sheet1!$I$1)</f>
        <v>1572</v>
      </c>
      <c r="J52" s="147">
        <f>SUMIFS(PLAN!$K:$K,PLAN!$V:$V,Sheet1!$A52,PLAN!$W:$W,Sheet1!$J$1)</f>
        <v>420</v>
      </c>
      <c r="K52" s="147">
        <f>SUMIFS(PLAN!$K:$K,PLAN!$V:$V,Sheet1!$A52,PLAN!$W:$W,Sheet1!$K$1)</f>
        <v>726</v>
      </c>
      <c r="L52" s="147">
        <f>SUMIFS(PLAN!$K:$K,PLAN!$V:$V,Sheet1!$A52,PLAN!$W:$W,Sheet1!$L$1)</f>
        <v>0</v>
      </c>
      <c r="M52" s="147">
        <f>SUMIFS(PLAN!$K:$K,PLAN!$V:$V,Sheet1!$A52,PLAN!$W:$W,Sheet1!$M$1)</f>
        <v>0</v>
      </c>
      <c r="N52" s="147">
        <f>SUMIFS(PLAN!$K:$K,PLAN!$V:$V,Sheet1!$A52,PLAN!$W:$W,Sheet1!$N$1)</f>
        <v>0</v>
      </c>
      <c r="O52" s="147">
        <f t="shared" si="1"/>
        <v>2718</v>
      </c>
    </row>
    <row r="53" spans="1:15">
      <c r="A53" s="159">
        <v>46225</v>
      </c>
      <c r="B53" s="147">
        <f>SUMIFS(PLAN!$K:$K,PLAN!$V:$V,Sheet1!$A53,PLAN!$W:$W,Sheet1!$B$1)</f>
        <v>0</v>
      </c>
      <c r="C53" s="147">
        <f>SUMIFS(PLAN!$K:$K,PLAN!$V:$V,Sheet1!$A53,PLAN!$W:$W,Sheet1!$C$1)</f>
        <v>0</v>
      </c>
      <c r="D53" s="147">
        <f>SUMIFS(PLAN!$K:$K,PLAN!$V:$V,Sheet1!$A53,PLAN!$W:$W,Sheet1!$D$1)</f>
        <v>0</v>
      </c>
      <c r="E53" s="147">
        <f>SUMIFS(PLAN!$K:$K,PLAN!$V:$V,Sheet1!$A53,PLAN!$W:$W,Sheet1!$E$1)</f>
        <v>0</v>
      </c>
      <c r="F53" s="147">
        <f>SUMIFS(PLAN!$K:$K,PLAN!$V:$V,Sheet1!$A53,PLAN!$W:$W,Sheet1!$F$1)</f>
        <v>0</v>
      </c>
      <c r="G53" s="147">
        <f>SUMIFS(PLAN!$K:$K,PLAN!$V:$V,Sheet1!$A53,PLAN!$W:$W,Sheet1!$G$1)</f>
        <v>0</v>
      </c>
      <c r="H53" s="147">
        <f>SUMIFS(PLAN!$K:$K,PLAN!$V:$V,Sheet1!$A53,PLAN!$W:$W,Sheet1!$H$1)</f>
        <v>0</v>
      </c>
      <c r="I53" s="147">
        <f>SUMIFS(PLAN!$K:$K,PLAN!$V:$V,Sheet1!$A53,PLAN!$W:$W,Sheet1!$I$1)</f>
        <v>0</v>
      </c>
      <c r="J53" s="147">
        <f>SUMIFS(PLAN!$K:$K,PLAN!$V:$V,Sheet1!$A53,PLAN!$W:$W,Sheet1!$J$1)</f>
        <v>726</v>
      </c>
      <c r="K53" s="147">
        <f>SUMIFS(PLAN!$K:$K,PLAN!$V:$V,Sheet1!$A53,PLAN!$W:$W,Sheet1!$K$1)</f>
        <v>0</v>
      </c>
      <c r="L53" s="147">
        <f>SUMIFS(PLAN!$K:$K,PLAN!$V:$V,Sheet1!$A53,PLAN!$W:$W,Sheet1!$L$1)</f>
        <v>0</v>
      </c>
      <c r="M53" s="147">
        <f>SUMIFS(PLAN!$K:$K,PLAN!$V:$V,Sheet1!$A53,PLAN!$W:$W,Sheet1!$M$1)</f>
        <v>0</v>
      </c>
      <c r="N53" s="147">
        <f>SUMIFS(PLAN!$K:$K,PLAN!$V:$V,Sheet1!$A53,PLAN!$W:$W,Sheet1!$N$1)</f>
        <v>0</v>
      </c>
      <c r="O53" s="147">
        <f t="shared" si="1"/>
        <v>726</v>
      </c>
    </row>
    <row r="54" spans="1:15">
      <c r="A54" s="159">
        <v>46226</v>
      </c>
      <c r="B54" s="147">
        <f>SUMIFS(PLAN!$K:$K,PLAN!$V:$V,Sheet1!$A54,PLAN!$W:$W,Sheet1!$B$1)</f>
        <v>0</v>
      </c>
      <c r="C54" s="147">
        <f>SUMIFS(PLAN!$K:$K,PLAN!$V:$V,Sheet1!$A54,PLAN!$W:$W,Sheet1!$C$1)</f>
        <v>0</v>
      </c>
      <c r="D54" s="147">
        <f>SUMIFS(PLAN!$K:$K,PLAN!$V:$V,Sheet1!$A54,PLAN!$W:$W,Sheet1!$D$1)</f>
        <v>0</v>
      </c>
      <c r="E54" s="147">
        <f>SUMIFS(PLAN!$K:$K,PLAN!$V:$V,Sheet1!$A54,PLAN!$W:$W,Sheet1!$E$1)</f>
        <v>0</v>
      </c>
      <c r="F54" s="147">
        <f>SUMIFS(PLAN!$K:$K,PLAN!$V:$V,Sheet1!$A54,PLAN!$W:$W,Sheet1!$F$1)</f>
        <v>0</v>
      </c>
      <c r="G54" s="147">
        <f>SUMIFS(PLAN!$K:$K,PLAN!$V:$V,Sheet1!$A54,PLAN!$W:$W,Sheet1!$G$1)</f>
        <v>0</v>
      </c>
      <c r="H54" s="147">
        <f>SUMIFS(PLAN!$K:$K,PLAN!$V:$V,Sheet1!$A54,PLAN!$W:$W,Sheet1!$H$1)</f>
        <v>0</v>
      </c>
      <c r="I54" s="147">
        <f>SUMIFS(PLAN!$K:$K,PLAN!$V:$V,Sheet1!$A54,PLAN!$W:$W,Sheet1!$I$1)</f>
        <v>0</v>
      </c>
      <c r="J54" s="147">
        <f>SUMIFS(PLAN!$K:$K,PLAN!$V:$V,Sheet1!$A54,PLAN!$W:$W,Sheet1!$J$1)</f>
        <v>126</v>
      </c>
      <c r="K54" s="147">
        <f>SUMIFS(PLAN!$K:$K,PLAN!$V:$V,Sheet1!$A54,PLAN!$W:$W,Sheet1!$K$1)</f>
        <v>720</v>
      </c>
      <c r="L54" s="147">
        <f>SUMIFS(PLAN!$K:$K,PLAN!$V:$V,Sheet1!$A54,PLAN!$W:$W,Sheet1!$L$1)</f>
        <v>0</v>
      </c>
      <c r="M54" s="147">
        <f>SUMIFS(PLAN!$K:$K,PLAN!$V:$V,Sheet1!$A54,PLAN!$W:$W,Sheet1!$M$1)</f>
        <v>0</v>
      </c>
      <c r="N54" s="147">
        <f>SUMIFS(PLAN!$K:$K,PLAN!$V:$V,Sheet1!$A54,PLAN!$W:$W,Sheet1!$N$1)</f>
        <v>0</v>
      </c>
      <c r="O54" s="147">
        <f t="shared" si="1"/>
        <v>846</v>
      </c>
    </row>
    <row r="55" spans="1:15">
      <c r="A55" s="159">
        <v>46227</v>
      </c>
      <c r="B55" s="147">
        <f>SUMIFS(PLAN!$K:$K,PLAN!$V:$V,Sheet1!$A55,PLAN!$W:$W,Sheet1!$B$1)</f>
        <v>0</v>
      </c>
      <c r="C55" s="147">
        <f>SUMIFS(PLAN!$K:$K,PLAN!$V:$V,Sheet1!$A55,PLAN!$W:$W,Sheet1!$C$1)</f>
        <v>0</v>
      </c>
      <c r="D55" s="147">
        <f>SUMIFS(PLAN!$K:$K,PLAN!$V:$V,Sheet1!$A55,PLAN!$W:$W,Sheet1!$D$1)</f>
        <v>0</v>
      </c>
      <c r="E55" s="147">
        <f>SUMIFS(PLAN!$K:$K,PLAN!$V:$V,Sheet1!$A55,PLAN!$W:$W,Sheet1!$E$1)</f>
        <v>0</v>
      </c>
      <c r="F55" s="147">
        <f>SUMIFS(PLAN!$K:$K,PLAN!$V:$V,Sheet1!$A55,PLAN!$W:$W,Sheet1!$F$1)</f>
        <v>0</v>
      </c>
      <c r="G55" s="147">
        <f>SUMIFS(PLAN!$K:$K,PLAN!$V:$V,Sheet1!$A55,PLAN!$W:$W,Sheet1!$G$1)</f>
        <v>0</v>
      </c>
      <c r="H55" s="147">
        <f>SUMIFS(PLAN!$K:$K,PLAN!$V:$V,Sheet1!$A55,PLAN!$W:$W,Sheet1!$H$1)</f>
        <v>0</v>
      </c>
      <c r="I55" s="147">
        <f>SUMIFS(PLAN!$K:$K,PLAN!$V:$V,Sheet1!$A55,PLAN!$W:$W,Sheet1!$I$1)</f>
        <v>1926</v>
      </c>
      <c r="J55" s="147">
        <f>SUMIFS(PLAN!$K:$K,PLAN!$V:$V,Sheet1!$A55,PLAN!$W:$W,Sheet1!$J$1)</f>
        <v>426</v>
      </c>
      <c r="K55" s="147">
        <f>SUMIFS(PLAN!$K:$K,PLAN!$V:$V,Sheet1!$A55,PLAN!$W:$W,Sheet1!$K$1)</f>
        <v>720</v>
      </c>
      <c r="L55" s="147">
        <f>SUMIFS(PLAN!$K:$K,PLAN!$V:$V,Sheet1!$A55,PLAN!$W:$W,Sheet1!$L$1)</f>
        <v>0</v>
      </c>
      <c r="M55" s="147">
        <f>SUMIFS(PLAN!$K:$K,PLAN!$V:$V,Sheet1!$A55,PLAN!$W:$W,Sheet1!$M$1)</f>
        <v>0</v>
      </c>
      <c r="N55" s="147">
        <f>SUMIFS(PLAN!$K:$K,PLAN!$V:$V,Sheet1!$A55,PLAN!$W:$W,Sheet1!$N$1)</f>
        <v>0</v>
      </c>
      <c r="O55" s="147">
        <f t="shared" si="1"/>
        <v>3072</v>
      </c>
    </row>
    <row r="56" spans="1:15">
      <c r="A56" s="159">
        <v>46228</v>
      </c>
      <c r="B56" s="147">
        <f>SUMIFS(PLAN!$K:$K,PLAN!$V:$V,Sheet1!$A56,PLAN!$W:$W,Sheet1!$B$1)</f>
        <v>0</v>
      </c>
      <c r="C56" s="147">
        <f>SUMIFS(PLAN!$K:$K,PLAN!$V:$V,Sheet1!$A56,PLAN!$W:$W,Sheet1!$C$1)</f>
        <v>0</v>
      </c>
      <c r="D56" s="147">
        <f>SUMIFS(PLAN!$K:$K,PLAN!$V:$V,Sheet1!$A56,PLAN!$W:$W,Sheet1!$D$1)</f>
        <v>0</v>
      </c>
      <c r="E56" s="147">
        <f>SUMIFS(PLAN!$K:$K,PLAN!$V:$V,Sheet1!$A56,PLAN!$W:$W,Sheet1!$E$1)</f>
        <v>0</v>
      </c>
      <c r="F56" s="147">
        <f>SUMIFS(PLAN!$K:$K,PLAN!$V:$V,Sheet1!$A56,PLAN!$W:$W,Sheet1!$F$1)</f>
        <v>0</v>
      </c>
      <c r="G56" s="147">
        <f>SUMIFS(PLAN!$K:$K,PLAN!$V:$V,Sheet1!$A56,PLAN!$W:$W,Sheet1!$G$1)</f>
        <v>0</v>
      </c>
      <c r="H56" s="147">
        <f>SUMIFS(PLAN!$K:$K,PLAN!$V:$V,Sheet1!$A56,PLAN!$W:$W,Sheet1!$H$1)</f>
        <v>0</v>
      </c>
      <c r="I56" s="147">
        <f>SUMIFS(PLAN!$K:$K,PLAN!$V:$V,Sheet1!$A56,PLAN!$W:$W,Sheet1!$I$1)</f>
        <v>0</v>
      </c>
      <c r="J56" s="147">
        <f>SUMIFS(PLAN!$K:$K,PLAN!$V:$V,Sheet1!$A56,PLAN!$W:$W,Sheet1!$J$1)</f>
        <v>0</v>
      </c>
      <c r="K56" s="147">
        <f>SUMIFS(PLAN!$K:$K,PLAN!$V:$V,Sheet1!$A56,PLAN!$W:$W,Sheet1!$K$1)</f>
        <v>0</v>
      </c>
      <c r="L56" s="147">
        <f>SUMIFS(PLAN!$K:$K,PLAN!$V:$V,Sheet1!$A56,PLAN!$W:$W,Sheet1!$L$1)</f>
        <v>0</v>
      </c>
      <c r="M56" s="147">
        <f>SUMIFS(PLAN!$K:$K,PLAN!$V:$V,Sheet1!$A56,PLAN!$W:$W,Sheet1!$M$1)</f>
        <v>405</v>
      </c>
      <c r="N56" s="147">
        <f>SUMIFS(PLAN!$K:$K,PLAN!$V:$V,Sheet1!$A56,PLAN!$W:$W,Sheet1!$N$1)</f>
        <v>0</v>
      </c>
      <c r="O56" s="147">
        <f t="shared" si="1"/>
        <v>405</v>
      </c>
    </row>
    <row r="57" spans="1:15">
      <c r="A57" s="159">
        <v>46229</v>
      </c>
      <c r="B57" s="147">
        <f>SUMIFS(PLAN!$K:$K,PLAN!$V:$V,Sheet1!$A57,PLAN!$W:$W,Sheet1!$B$1)</f>
        <v>0</v>
      </c>
      <c r="C57" s="147">
        <f>SUMIFS(PLAN!$K:$K,PLAN!$V:$V,Sheet1!$A57,PLAN!$W:$W,Sheet1!$C$1)</f>
        <v>0</v>
      </c>
      <c r="D57" s="147">
        <f>SUMIFS(PLAN!$K:$K,PLAN!$V:$V,Sheet1!$A57,PLAN!$W:$W,Sheet1!$D$1)</f>
        <v>0</v>
      </c>
      <c r="E57" s="147">
        <f>SUMIFS(PLAN!$K:$K,PLAN!$V:$V,Sheet1!$A57,PLAN!$W:$W,Sheet1!$E$1)</f>
        <v>0</v>
      </c>
      <c r="F57" s="147">
        <f>SUMIFS(PLAN!$K:$K,PLAN!$V:$V,Sheet1!$A57,PLAN!$W:$W,Sheet1!$F$1)</f>
        <v>0</v>
      </c>
      <c r="G57" s="147">
        <f>SUMIFS(PLAN!$K:$K,PLAN!$V:$V,Sheet1!$A57,PLAN!$W:$W,Sheet1!$G$1)</f>
        <v>0</v>
      </c>
      <c r="H57" s="147">
        <f>SUMIFS(PLAN!$K:$K,PLAN!$V:$V,Sheet1!$A57,PLAN!$W:$W,Sheet1!$H$1)</f>
        <v>0</v>
      </c>
      <c r="I57" s="147">
        <f>SUMIFS(PLAN!$K:$K,PLAN!$V:$V,Sheet1!$A57,PLAN!$W:$W,Sheet1!$I$1)</f>
        <v>0</v>
      </c>
      <c r="J57" s="147">
        <f>SUMIFS(PLAN!$K:$K,PLAN!$V:$V,Sheet1!$A57,PLAN!$W:$W,Sheet1!$J$1)</f>
        <v>0</v>
      </c>
      <c r="K57" s="147">
        <f>SUMIFS(PLAN!$K:$K,PLAN!$V:$V,Sheet1!$A57,PLAN!$W:$W,Sheet1!$K$1)</f>
        <v>0</v>
      </c>
      <c r="L57" s="147">
        <f>SUMIFS(PLAN!$K:$K,PLAN!$V:$V,Sheet1!$A57,PLAN!$W:$W,Sheet1!$L$1)</f>
        <v>0</v>
      </c>
      <c r="M57" s="147">
        <f>SUMIFS(PLAN!$K:$K,PLAN!$V:$V,Sheet1!$A57,PLAN!$W:$W,Sheet1!$M$1)</f>
        <v>0</v>
      </c>
      <c r="N57" s="147">
        <f>SUMIFS(PLAN!$K:$K,PLAN!$V:$V,Sheet1!$A57,PLAN!$W:$W,Sheet1!$N$1)</f>
        <v>0</v>
      </c>
      <c r="O57" s="147">
        <f t="shared" si="1"/>
        <v>0</v>
      </c>
    </row>
    <row r="58" spans="1:15">
      <c r="A58" s="159">
        <v>46230</v>
      </c>
      <c r="B58" s="147">
        <f>SUMIFS(PLAN!$K:$K,PLAN!$V:$V,Sheet1!$A58,PLAN!$W:$W,Sheet1!$B$1)</f>
        <v>0</v>
      </c>
      <c r="C58" s="147">
        <f>SUMIFS(PLAN!$K:$K,PLAN!$V:$V,Sheet1!$A58,PLAN!$W:$W,Sheet1!$C$1)</f>
        <v>0</v>
      </c>
      <c r="D58" s="147">
        <f>SUMIFS(PLAN!$K:$K,PLAN!$V:$V,Sheet1!$A58,PLAN!$W:$W,Sheet1!$D$1)</f>
        <v>0</v>
      </c>
      <c r="E58" s="147">
        <f>SUMIFS(PLAN!$K:$K,PLAN!$V:$V,Sheet1!$A58,PLAN!$W:$W,Sheet1!$E$1)</f>
        <v>0</v>
      </c>
      <c r="F58" s="147">
        <f>SUMIFS(PLAN!$K:$K,PLAN!$V:$V,Sheet1!$A58,PLAN!$W:$W,Sheet1!$F$1)</f>
        <v>0</v>
      </c>
      <c r="G58" s="147">
        <f>SUMIFS(PLAN!$K:$K,PLAN!$V:$V,Sheet1!$A58,PLAN!$W:$W,Sheet1!$G$1)</f>
        <v>0</v>
      </c>
      <c r="H58" s="147">
        <f>SUMIFS(PLAN!$K:$K,PLAN!$V:$V,Sheet1!$A58,PLAN!$W:$W,Sheet1!$H$1)</f>
        <v>0</v>
      </c>
      <c r="I58" s="147">
        <f>SUMIFS(PLAN!$K:$K,PLAN!$V:$V,Sheet1!$A58,PLAN!$W:$W,Sheet1!$I$1)</f>
        <v>0</v>
      </c>
      <c r="J58" s="147">
        <f>SUMIFS(PLAN!$K:$K,PLAN!$V:$V,Sheet1!$A58,PLAN!$W:$W,Sheet1!$J$1)</f>
        <v>539</v>
      </c>
      <c r="K58" s="147">
        <f>SUMIFS(PLAN!$K:$K,PLAN!$V:$V,Sheet1!$A58,PLAN!$W:$W,Sheet1!$K$1)</f>
        <v>720</v>
      </c>
      <c r="L58" s="147">
        <f>SUMIFS(PLAN!$K:$K,PLAN!$V:$V,Sheet1!$A58,PLAN!$W:$W,Sheet1!$L$1)</f>
        <v>0</v>
      </c>
      <c r="M58" s="147">
        <f>SUMIFS(PLAN!$K:$K,PLAN!$V:$V,Sheet1!$A58,PLAN!$W:$W,Sheet1!$M$1)</f>
        <v>105</v>
      </c>
      <c r="N58" s="147">
        <f>SUMIFS(PLAN!$K:$K,PLAN!$V:$V,Sheet1!$A58,PLAN!$W:$W,Sheet1!$N$1)</f>
        <v>0</v>
      </c>
      <c r="O58" s="147">
        <f t="shared" si="1"/>
        <v>1364</v>
      </c>
    </row>
    <row r="59" spans="1:15">
      <c r="A59" s="159">
        <v>46231</v>
      </c>
      <c r="B59" s="147">
        <f>SUMIFS(PLAN!$K:$K,PLAN!$V:$V,Sheet1!$A59,PLAN!$W:$W,Sheet1!$B$1)</f>
        <v>0</v>
      </c>
      <c r="C59" s="147">
        <f>SUMIFS(PLAN!$K:$K,PLAN!$V:$V,Sheet1!$A59,PLAN!$W:$W,Sheet1!$C$1)</f>
        <v>0</v>
      </c>
      <c r="D59" s="147">
        <f>SUMIFS(PLAN!$K:$K,PLAN!$V:$V,Sheet1!$A59,PLAN!$W:$W,Sheet1!$D$1)</f>
        <v>0</v>
      </c>
      <c r="E59" s="147">
        <f>SUMIFS(PLAN!$K:$K,PLAN!$V:$V,Sheet1!$A59,PLAN!$W:$W,Sheet1!$E$1)</f>
        <v>0</v>
      </c>
      <c r="F59" s="147">
        <f>SUMIFS(PLAN!$K:$K,PLAN!$V:$V,Sheet1!$A59,PLAN!$W:$W,Sheet1!$F$1)</f>
        <v>0</v>
      </c>
      <c r="G59" s="147">
        <f>SUMIFS(PLAN!$K:$K,PLAN!$V:$V,Sheet1!$A59,PLAN!$W:$W,Sheet1!$G$1)</f>
        <v>0</v>
      </c>
      <c r="H59" s="147">
        <f>SUMIFS(PLAN!$K:$K,PLAN!$V:$V,Sheet1!$A59,PLAN!$W:$W,Sheet1!$H$1)</f>
        <v>0</v>
      </c>
      <c r="I59" s="147">
        <f>SUMIFS(PLAN!$K:$K,PLAN!$V:$V,Sheet1!$A59,PLAN!$W:$W,Sheet1!$I$1)</f>
        <v>0</v>
      </c>
      <c r="J59" s="147">
        <f>SUMIFS(PLAN!$K:$K,PLAN!$V:$V,Sheet1!$A59,PLAN!$W:$W,Sheet1!$J$1)</f>
        <v>1250</v>
      </c>
      <c r="K59" s="147">
        <f>SUMIFS(PLAN!$K:$K,PLAN!$V:$V,Sheet1!$A59,PLAN!$W:$W,Sheet1!$K$1)</f>
        <v>0</v>
      </c>
      <c r="L59" s="147">
        <f>SUMIFS(PLAN!$K:$K,PLAN!$V:$V,Sheet1!$A59,PLAN!$W:$W,Sheet1!$L$1)</f>
        <v>0</v>
      </c>
      <c r="M59" s="147">
        <f>SUMIFS(PLAN!$K:$K,PLAN!$V:$V,Sheet1!$A59,PLAN!$W:$W,Sheet1!$M$1)</f>
        <v>0</v>
      </c>
      <c r="N59" s="147">
        <f>SUMIFS(PLAN!$K:$K,PLAN!$V:$V,Sheet1!$A59,PLAN!$W:$W,Sheet1!$N$1)</f>
        <v>0</v>
      </c>
      <c r="O59" s="147">
        <f t="shared" si="1"/>
        <v>1250</v>
      </c>
    </row>
    <row r="60" spans="1:15">
      <c r="A60" s="159">
        <v>46232</v>
      </c>
      <c r="B60" s="147">
        <f>SUMIFS(PLAN!$K:$K,PLAN!$V:$V,Sheet1!$A60,PLAN!$W:$W,Sheet1!$B$1)</f>
        <v>0</v>
      </c>
      <c r="C60" s="147">
        <f>SUMIFS(PLAN!$K:$K,PLAN!$V:$V,Sheet1!$A60,PLAN!$W:$W,Sheet1!$C$1)</f>
        <v>0</v>
      </c>
      <c r="D60" s="147">
        <f>SUMIFS(PLAN!$K:$K,PLAN!$V:$V,Sheet1!$A60,PLAN!$W:$W,Sheet1!$D$1)</f>
        <v>0</v>
      </c>
      <c r="E60" s="147">
        <f>SUMIFS(PLAN!$K:$K,PLAN!$V:$V,Sheet1!$A60,PLAN!$W:$W,Sheet1!$E$1)</f>
        <v>0</v>
      </c>
      <c r="F60" s="147">
        <f>SUMIFS(PLAN!$K:$K,PLAN!$V:$V,Sheet1!$A60,PLAN!$W:$W,Sheet1!$F$1)</f>
        <v>0</v>
      </c>
      <c r="G60" s="147">
        <f>SUMIFS(PLAN!$K:$K,PLAN!$V:$V,Sheet1!$A60,PLAN!$W:$W,Sheet1!$G$1)</f>
        <v>0</v>
      </c>
      <c r="H60" s="147">
        <f>SUMIFS(PLAN!$K:$K,PLAN!$V:$V,Sheet1!$A60,PLAN!$W:$W,Sheet1!$H$1)</f>
        <v>0</v>
      </c>
      <c r="I60" s="147">
        <f>SUMIFS(PLAN!$K:$K,PLAN!$V:$V,Sheet1!$A60,PLAN!$W:$W,Sheet1!$I$1)</f>
        <v>0</v>
      </c>
      <c r="J60" s="147">
        <f>SUMIFS(PLAN!$K:$K,PLAN!$V:$V,Sheet1!$A60,PLAN!$W:$W,Sheet1!$J$1)</f>
        <v>1250</v>
      </c>
      <c r="K60" s="147">
        <f>SUMIFS(PLAN!$K:$K,PLAN!$V:$V,Sheet1!$A60,PLAN!$W:$W,Sheet1!$K$1)</f>
        <v>0</v>
      </c>
      <c r="L60" s="147">
        <f>SUMIFS(PLAN!$K:$K,PLAN!$V:$V,Sheet1!$A60,PLAN!$W:$W,Sheet1!$L$1)</f>
        <v>0</v>
      </c>
      <c r="M60" s="147">
        <f>SUMIFS(PLAN!$K:$K,PLAN!$V:$V,Sheet1!$A60,PLAN!$W:$W,Sheet1!$M$1)</f>
        <v>0</v>
      </c>
      <c r="N60" s="147">
        <f>SUMIFS(PLAN!$K:$K,PLAN!$V:$V,Sheet1!$A60,PLAN!$W:$W,Sheet1!$N$1)</f>
        <v>0</v>
      </c>
      <c r="O60" s="147">
        <f t="shared" si="1"/>
        <v>1250</v>
      </c>
    </row>
    <row r="61" spans="1:15">
      <c r="A61" s="159">
        <v>46233</v>
      </c>
      <c r="B61" s="147">
        <f>SUMIFS(PLAN!$K:$K,PLAN!$V:$V,Sheet1!$A61,PLAN!$W:$W,Sheet1!$B$1)</f>
        <v>0</v>
      </c>
      <c r="C61" s="147">
        <f>SUMIFS(PLAN!$K:$K,PLAN!$V:$V,Sheet1!$A61,PLAN!$W:$W,Sheet1!$C$1)</f>
        <v>0</v>
      </c>
      <c r="D61" s="147">
        <f>SUMIFS(PLAN!$K:$K,PLAN!$V:$V,Sheet1!$A61,PLAN!$W:$W,Sheet1!$D$1)</f>
        <v>0</v>
      </c>
      <c r="E61" s="147">
        <f>SUMIFS(PLAN!$K:$K,PLAN!$V:$V,Sheet1!$A61,PLAN!$W:$W,Sheet1!$E$1)</f>
        <v>0</v>
      </c>
      <c r="F61" s="147">
        <f>SUMIFS(PLAN!$K:$K,PLAN!$V:$V,Sheet1!$A61,PLAN!$W:$W,Sheet1!$F$1)</f>
        <v>0</v>
      </c>
      <c r="G61" s="147">
        <f>SUMIFS(PLAN!$K:$K,PLAN!$V:$V,Sheet1!$A61,PLAN!$W:$W,Sheet1!$G$1)</f>
        <v>0</v>
      </c>
      <c r="H61" s="147">
        <f>SUMIFS(PLAN!$K:$K,PLAN!$V:$V,Sheet1!$A61,PLAN!$W:$W,Sheet1!$H$1)</f>
        <v>0</v>
      </c>
      <c r="I61" s="147">
        <f>SUMIFS(PLAN!$K:$K,PLAN!$V:$V,Sheet1!$A61,PLAN!$W:$W,Sheet1!$I$1)</f>
        <v>65</v>
      </c>
      <c r="J61" s="147">
        <f>SUMIFS(PLAN!$K:$K,PLAN!$V:$V,Sheet1!$A61,PLAN!$W:$W,Sheet1!$J$1)</f>
        <v>1280</v>
      </c>
      <c r="K61" s="147">
        <f>SUMIFS(PLAN!$K:$K,PLAN!$V:$V,Sheet1!$A61,PLAN!$W:$W,Sheet1!$K$1)</f>
        <v>0</v>
      </c>
      <c r="L61" s="147">
        <f>SUMIFS(PLAN!$K:$K,PLAN!$V:$V,Sheet1!$A61,PLAN!$W:$W,Sheet1!$L$1)</f>
        <v>0</v>
      </c>
      <c r="M61" s="147">
        <f>SUMIFS(PLAN!$K:$K,PLAN!$V:$V,Sheet1!$A61,PLAN!$W:$W,Sheet1!$M$1)</f>
        <v>0</v>
      </c>
      <c r="N61" s="147">
        <f>SUMIFS(PLAN!$K:$K,PLAN!$V:$V,Sheet1!$A61,PLAN!$W:$W,Sheet1!$N$1)</f>
        <v>0</v>
      </c>
      <c r="O61" s="147">
        <f t="shared" si="1"/>
        <v>1345</v>
      </c>
    </row>
    <row r="62" spans="1:15">
      <c r="A62" s="159">
        <v>46234</v>
      </c>
      <c r="B62" s="147">
        <f>SUMIFS(PLAN!$K:$K,PLAN!$V:$V,Sheet1!$A62,PLAN!$W:$W,Sheet1!$B$1)</f>
        <v>0</v>
      </c>
      <c r="C62" s="147">
        <f>SUMIFS(PLAN!$K:$K,PLAN!$V:$V,Sheet1!$A62,PLAN!$W:$W,Sheet1!$C$1)</f>
        <v>0</v>
      </c>
      <c r="D62" s="147">
        <f>SUMIFS(PLAN!$K:$K,PLAN!$V:$V,Sheet1!$A62,PLAN!$W:$W,Sheet1!$D$1)</f>
        <v>0</v>
      </c>
      <c r="E62" s="147">
        <f>SUMIFS(PLAN!$K:$K,PLAN!$V:$V,Sheet1!$A62,PLAN!$W:$W,Sheet1!$E$1)</f>
        <v>0</v>
      </c>
      <c r="F62" s="147">
        <f>SUMIFS(PLAN!$K:$K,PLAN!$V:$V,Sheet1!$A62,PLAN!$W:$W,Sheet1!$F$1)</f>
        <v>0</v>
      </c>
      <c r="G62" s="147">
        <f>SUMIFS(PLAN!$K:$K,PLAN!$V:$V,Sheet1!$A62,PLAN!$W:$W,Sheet1!$G$1)</f>
        <v>0</v>
      </c>
      <c r="H62" s="147">
        <f>SUMIFS(PLAN!$K:$K,PLAN!$V:$V,Sheet1!$A62,PLAN!$W:$W,Sheet1!$H$1)</f>
        <v>0</v>
      </c>
      <c r="I62" s="147">
        <f>SUMIFS(PLAN!$K:$K,PLAN!$V:$V,Sheet1!$A62,PLAN!$W:$W,Sheet1!$I$1)</f>
        <v>0</v>
      </c>
      <c r="J62" s="147">
        <f>SUMIFS(PLAN!$K:$K,PLAN!$V:$V,Sheet1!$A62,PLAN!$W:$W,Sheet1!$J$1)</f>
        <v>956</v>
      </c>
      <c r="K62" s="147">
        <f>SUMIFS(PLAN!$K:$K,PLAN!$V:$V,Sheet1!$A62,PLAN!$W:$W,Sheet1!$K$1)</f>
        <v>0</v>
      </c>
      <c r="L62" s="147">
        <f>SUMIFS(PLAN!$K:$K,PLAN!$V:$V,Sheet1!$A62,PLAN!$W:$W,Sheet1!$L$1)</f>
        <v>0</v>
      </c>
      <c r="M62" s="147">
        <f>SUMIFS(PLAN!$K:$K,PLAN!$V:$V,Sheet1!$A62,PLAN!$W:$W,Sheet1!$M$1)</f>
        <v>0</v>
      </c>
      <c r="N62" s="147">
        <f>SUMIFS(PLAN!$K:$K,PLAN!$V:$V,Sheet1!$A62,PLAN!$W:$W,Sheet1!$N$1)</f>
        <v>0</v>
      </c>
      <c r="O62" s="147">
        <f t="shared" si="1"/>
        <v>956</v>
      </c>
    </row>
    <row r="63" spans="1:15">
      <c r="A63" s="159">
        <v>46235</v>
      </c>
      <c r="B63" s="147">
        <f>SUMIFS(PLAN!$K:$K,PLAN!$V:$V,Sheet1!$A63,PLAN!$W:$W,Sheet1!$B$1)</f>
        <v>0</v>
      </c>
      <c r="C63" s="147">
        <f>SUMIFS(PLAN!$K:$K,PLAN!$V:$V,Sheet1!$A63,PLAN!$W:$W,Sheet1!$C$1)</f>
        <v>0</v>
      </c>
      <c r="D63" s="147">
        <f>SUMIFS(PLAN!$K:$K,PLAN!$V:$V,Sheet1!$A63,PLAN!$W:$W,Sheet1!$D$1)</f>
        <v>0</v>
      </c>
      <c r="E63" s="147">
        <f>SUMIFS(PLAN!$K:$K,PLAN!$V:$V,Sheet1!$A63,PLAN!$W:$W,Sheet1!$E$1)</f>
        <v>0</v>
      </c>
      <c r="F63" s="147">
        <f>SUMIFS(PLAN!$K:$K,PLAN!$V:$V,Sheet1!$A63,PLAN!$W:$W,Sheet1!$F$1)</f>
        <v>0</v>
      </c>
      <c r="G63" s="147">
        <f>SUMIFS(PLAN!$K:$K,PLAN!$V:$V,Sheet1!$A63,PLAN!$W:$W,Sheet1!$G$1)</f>
        <v>0</v>
      </c>
      <c r="H63" s="147">
        <f>SUMIFS(PLAN!$K:$K,PLAN!$V:$V,Sheet1!$A63,PLAN!$W:$W,Sheet1!$H$1)</f>
        <v>0</v>
      </c>
      <c r="I63" s="147">
        <f>SUMIFS(PLAN!$K:$K,PLAN!$V:$V,Sheet1!$A63,PLAN!$W:$W,Sheet1!$I$1)</f>
        <v>2286</v>
      </c>
      <c r="J63" s="147">
        <f>SUMIFS(PLAN!$K:$K,PLAN!$V:$V,Sheet1!$A63,PLAN!$W:$W,Sheet1!$J$1)</f>
        <v>462</v>
      </c>
      <c r="K63" s="147">
        <f>SUMIFS(PLAN!$K:$K,PLAN!$V:$V,Sheet1!$A63,PLAN!$W:$W,Sheet1!$K$1)</f>
        <v>0</v>
      </c>
      <c r="L63" s="147">
        <f>SUMIFS(PLAN!$K:$K,PLAN!$V:$V,Sheet1!$A63,PLAN!$W:$W,Sheet1!$L$1)</f>
        <v>0</v>
      </c>
      <c r="M63" s="147">
        <f>SUMIFS(PLAN!$K:$K,PLAN!$V:$V,Sheet1!$A63,PLAN!$W:$W,Sheet1!$M$1)</f>
        <v>0</v>
      </c>
      <c r="N63" s="147">
        <f>SUMIFS(PLAN!$K:$K,PLAN!$V:$V,Sheet1!$A63,PLAN!$W:$W,Sheet1!$N$1)</f>
        <v>0</v>
      </c>
      <c r="O63" s="147">
        <f t="shared" si="1"/>
        <v>2748</v>
      </c>
    </row>
    <row r="64" spans="1:15">
      <c r="A64" s="159">
        <v>46236</v>
      </c>
      <c r="B64" s="147">
        <f>SUMIFS(PLAN!$K:$K,PLAN!$V:$V,Sheet1!$A64,PLAN!$W:$W,Sheet1!$B$1)</f>
        <v>0</v>
      </c>
      <c r="C64" s="147">
        <f>SUMIFS(PLAN!$K:$K,PLAN!$V:$V,Sheet1!$A64,PLAN!$W:$W,Sheet1!$C$1)</f>
        <v>0</v>
      </c>
      <c r="D64" s="147">
        <f>SUMIFS(PLAN!$K:$K,PLAN!$V:$V,Sheet1!$A64,PLAN!$W:$W,Sheet1!$D$1)</f>
        <v>0</v>
      </c>
      <c r="E64" s="147">
        <f>SUMIFS(PLAN!$K:$K,PLAN!$V:$V,Sheet1!$A64,PLAN!$W:$W,Sheet1!$E$1)</f>
        <v>0</v>
      </c>
      <c r="F64" s="147">
        <f>SUMIFS(PLAN!$K:$K,PLAN!$V:$V,Sheet1!$A64,PLAN!$W:$W,Sheet1!$F$1)</f>
        <v>0</v>
      </c>
      <c r="G64" s="147">
        <f>SUMIFS(PLAN!$K:$K,PLAN!$V:$V,Sheet1!$A64,PLAN!$W:$W,Sheet1!$G$1)</f>
        <v>0</v>
      </c>
      <c r="H64" s="147">
        <f>SUMIFS(PLAN!$K:$K,PLAN!$V:$V,Sheet1!$A64,PLAN!$W:$W,Sheet1!$H$1)</f>
        <v>0</v>
      </c>
      <c r="I64" s="147">
        <f>SUMIFS(PLAN!$K:$K,PLAN!$V:$V,Sheet1!$A64,PLAN!$W:$W,Sheet1!$I$1)</f>
        <v>0</v>
      </c>
      <c r="J64" s="147">
        <f>SUMIFS(PLAN!$K:$K,PLAN!$V:$V,Sheet1!$A64,PLAN!$W:$W,Sheet1!$J$1)</f>
        <v>0</v>
      </c>
      <c r="K64" s="147">
        <f>SUMIFS(PLAN!$K:$K,PLAN!$V:$V,Sheet1!$A64,PLAN!$W:$W,Sheet1!$K$1)</f>
        <v>0</v>
      </c>
      <c r="L64" s="147">
        <f>SUMIFS(PLAN!$K:$K,PLAN!$V:$V,Sheet1!$A64,PLAN!$W:$W,Sheet1!$L$1)</f>
        <v>0</v>
      </c>
      <c r="M64" s="147">
        <f>SUMIFS(PLAN!$K:$K,PLAN!$V:$V,Sheet1!$A64,PLAN!$W:$W,Sheet1!$M$1)</f>
        <v>0</v>
      </c>
      <c r="N64" s="147">
        <f>SUMIFS(PLAN!$K:$K,PLAN!$V:$V,Sheet1!$A64,PLAN!$W:$W,Sheet1!$N$1)</f>
        <v>0</v>
      </c>
      <c r="O64" s="147">
        <f t="shared" si="1"/>
        <v>0</v>
      </c>
    </row>
    <row r="65" spans="1:15">
      <c r="A65" s="159">
        <v>46237</v>
      </c>
      <c r="B65" s="147">
        <f>SUMIFS(PLAN!$K:$K,PLAN!$V:$V,Sheet1!$A65,PLAN!$W:$W,Sheet1!$B$1)</f>
        <v>0</v>
      </c>
      <c r="C65" s="147">
        <f>SUMIFS(PLAN!$K:$K,PLAN!$V:$V,Sheet1!$A65,PLAN!$W:$W,Sheet1!$C$1)</f>
        <v>0</v>
      </c>
      <c r="D65" s="147">
        <f>SUMIFS(PLAN!$K:$K,PLAN!$V:$V,Sheet1!$A65,PLAN!$W:$W,Sheet1!$D$1)</f>
        <v>0</v>
      </c>
      <c r="E65" s="147">
        <f>SUMIFS(PLAN!$K:$K,PLAN!$V:$V,Sheet1!$A65,PLAN!$W:$W,Sheet1!$E$1)</f>
        <v>0</v>
      </c>
      <c r="F65" s="147">
        <f>SUMIFS(PLAN!$K:$K,PLAN!$V:$V,Sheet1!$A65,PLAN!$W:$W,Sheet1!$F$1)</f>
        <v>0</v>
      </c>
      <c r="G65" s="147">
        <f>SUMIFS(PLAN!$K:$K,PLAN!$V:$V,Sheet1!$A65,PLAN!$W:$W,Sheet1!$G$1)</f>
        <v>0</v>
      </c>
      <c r="H65" s="147">
        <f>SUMIFS(PLAN!$K:$K,PLAN!$V:$V,Sheet1!$A65,PLAN!$W:$W,Sheet1!$H$1)</f>
        <v>0</v>
      </c>
      <c r="I65" s="147">
        <f>SUMIFS(PLAN!$K:$K,PLAN!$V:$V,Sheet1!$A65,PLAN!$W:$W,Sheet1!$I$1)</f>
        <v>0</v>
      </c>
      <c r="J65" s="147">
        <f>SUMIFS(PLAN!$K:$K,PLAN!$V:$V,Sheet1!$A65,PLAN!$W:$W,Sheet1!$J$1)</f>
        <v>891</v>
      </c>
      <c r="K65" s="147">
        <f>SUMIFS(PLAN!$K:$K,PLAN!$V:$V,Sheet1!$A65,PLAN!$W:$W,Sheet1!$K$1)</f>
        <v>0</v>
      </c>
      <c r="L65" s="147">
        <f>SUMIFS(PLAN!$K:$K,PLAN!$V:$V,Sheet1!$A65,PLAN!$W:$W,Sheet1!$L$1)</f>
        <v>0</v>
      </c>
      <c r="M65" s="147">
        <f>SUMIFS(PLAN!$K:$K,PLAN!$V:$V,Sheet1!$A65,PLAN!$W:$W,Sheet1!$M$1)</f>
        <v>0</v>
      </c>
      <c r="N65" s="147">
        <f>SUMIFS(PLAN!$K:$K,PLAN!$V:$V,Sheet1!$A65,PLAN!$W:$W,Sheet1!$N$1)</f>
        <v>0</v>
      </c>
      <c r="O65" s="147">
        <f t="shared" si="1"/>
        <v>891</v>
      </c>
    </row>
    <row r="66" spans="1:15">
      <c r="A66" s="159">
        <v>46238</v>
      </c>
      <c r="B66" s="147">
        <f>SUMIFS(PLAN!$K:$K,PLAN!$V:$V,Sheet1!$A66,PLAN!$W:$W,Sheet1!$B$1)</f>
        <v>0</v>
      </c>
      <c r="C66" s="147">
        <f>SUMIFS(PLAN!$K:$K,PLAN!$V:$V,Sheet1!$A66,PLAN!$W:$W,Sheet1!$C$1)</f>
        <v>0</v>
      </c>
      <c r="D66" s="147">
        <f>SUMIFS(PLAN!$K:$K,PLAN!$V:$V,Sheet1!$A66,PLAN!$W:$W,Sheet1!$D$1)</f>
        <v>0</v>
      </c>
      <c r="E66" s="147">
        <f>SUMIFS(PLAN!$K:$K,PLAN!$V:$V,Sheet1!$A66,PLAN!$W:$W,Sheet1!$E$1)</f>
        <v>0</v>
      </c>
      <c r="F66" s="147">
        <f>SUMIFS(PLAN!$K:$K,PLAN!$V:$V,Sheet1!$A66,PLAN!$W:$W,Sheet1!$F$1)</f>
        <v>0</v>
      </c>
      <c r="G66" s="147">
        <f>SUMIFS(PLAN!$K:$K,PLAN!$V:$V,Sheet1!$A66,PLAN!$W:$W,Sheet1!$G$1)</f>
        <v>0</v>
      </c>
      <c r="H66" s="147">
        <f>SUMIFS(PLAN!$K:$K,PLAN!$V:$V,Sheet1!$A66,PLAN!$W:$W,Sheet1!$H$1)</f>
        <v>0</v>
      </c>
      <c r="I66" s="147">
        <f>SUMIFS(PLAN!$K:$K,PLAN!$V:$V,Sheet1!$A66,PLAN!$W:$W,Sheet1!$I$1)</f>
        <v>0</v>
      </c>
      <c r="J66" s="147">
        <f>SUMIFS(PLAN!$K:$K,PLAN!$V:$V,Sheet1!$A66,PLAN!$W:$W,Sheet1!$J$1)</f>
        <v>0</v>
      </c>
      <c r="K66" s="147">
        <f>SUMIFS(PLAN!$K:$K,PLAN!$V:$V,Sheet1!$A66,PLAN!$W:$W,Sheet1!$K$1)</f>
        <v>0</v>
      </c>
      <c r="L66" s="147">
        <f>SUMIFS(PLAN!$K:$K,PLAN!$V:$V,Sheet1!$A66,PLAN!$W:$W,Sheet1!$L$1)</f>
        <v>0</v>
      </c>
      <c r="M66" s="147">
        <f>SUMIFS(PLAN!$K:$K,PLAN!$V:$V,Sheet1!$A66,PLAN!$W:$W,Sheet1!$M$1)</f>
        <v>0</v>
      </c>
      <c r="N66" s="147">
        <f>SUMIFS(PLAN!$K:$K,PLAN!$V:$V,Sheet1!$A66,PLAN!$W:$W,Sheet1!$N$1)</f>
        <v>0</v>
      </c>
      <c r="O66" s="147">
        <f t="shared" si="1"/>
        <v>0</v>
      </c>
    </row>
    <row r="67" spans="1:15">
      <c r="A67" s="159">
        <v>46239</v>
      </c>
      <c r="B67" s="147">
        <f>SUMIFS(PLAN!$K:$K,PLAN!$V:$V,Sheet1!$A67,PLAN!$W:$W,Sheet1!$B$1)</f>
        <v>0</v>
      </c>
      <c r="C67" s="147">
        <f>SUMIFS(PLAN!$K:$K,PLAN!$V:$V,Sheet1!$A67,PLAN!$W:$W,Sheet1!$C$1)</f>
        <v>0</v>
      </c>
      <c r="D67" s="147">
        <f>SUMIFS(PLAN!$K:$K,PLAN!$V:$V,Sheet1!$A67,PLAN!$W:$W,Sheet1!$D$1)</f>
        <v>0</v>
      </c>
      <c r="E67" s="147">
        <f>SUMIFS(PLAN!$K:$K,PLAN!$V:$V,Sheet1!$A67,PLAN!$W:$W,Sheet1!$E$1)</f>
        <v>0</v>
      </c>
      <c r="F67" s="147">
        <f>SUMIFS(PLAN!$K:$K,PLAN!$V:$V,Sheet1!$A67,PLAN!$W:$W,Sheet1!$F$1)</f>
        <v>0</v>
      </c>
      <c r="G67" s="147">
        <f>SUMIFS(PLAN!$K:$K,PLAN!$V:$V,Sheet1!$A67,PLAN!$W:$W,Sheet1!$G$1)</f>
        <v>0</v>
      </c>
      <c r="H67" s="147">
        <f>SUMIFS(PLAN!$K:$K,PLAN!$V:$V,Sheet1!$A67,PLAN!$W:$W,Sheet1!$H$1)</f>
        <v>0</v>
      </c>
      <c r="I67" s="147">
        <f>SUMIFS(PLAN!$K:$K,PLAN!$V:$V,Sheet1!$A67,PLAN!$W:$W,Sheet1!$I$1)</f>
        <v>1731</v>
      </c>
      <c r="J67" s="147">
        <f>SUMIFS(PLAN!$K:$K,PLAN!$V:$V,Sheet1!$A67,PLAN!$W:$W,Sheet1!$J$1)</f>
        <v>248</v>
      </c>
      <c r="K67" s="147">
        <f>SUMIFS(PLAN!$K:$K,PLAN!$V:$V,Sheet1!$A67,PLAN!$W:$W,Sheet1!$K$1)</f>
        <v>0</v>
      </c>
      <c r="L67" s="147">
        <f>SUMIFS(PLAN!$K:$K,PLAN!$V:$V,Sheet1!$A67,PLAN!$W:$W,Sheet1!$L$1)</f>
        <v>0</v>
      </c>
      <c r="M67" s="147">
        <f>SUMIFS(PLAN!$K:$K,PLAN!$V:$V,Sheet1!$A67,PLAN!$W:$W,Sheet1!$M$1)</f>
        <v>0</v>
      </c>
      <c r="N67" s="147">
        <f>SUMIFS(PLAN!$K:$K,PLAN!$V:$V,Sheet1!$A67,PLAN!$W:$W,Sheet1!$N$1)</f>
        <v>0</v>
      </c>
      <c r="O67" s="147">
        <f t="shared" ref="O67:O130" si="2">SUM(B67:N67)</f>
        <v>1979</v>
      </c>
    </row>
    <row r="68" spans="1:15">
      <c r="A68" s="159">
        <v>46240</v>
      </c>
      <c r="B68" s="147">
        <f>SUMIFS(PLAN!$K:$K,PLAN!$V:$V,Sheet1!$A68,PLAN!$W:$W,Sheet1!$B$1)</f>
        <v>0</v>
      </c>
      <c r="C68" s="147">
        <f>SUMIFS(PLAN!$K:$K,PLAN!$V:$V,Sheet1!$A68,PLAN!$W:$W,Sheet1!$C$1)</f>
        <v>0</v>
      </c>
      <c r="D68" s="147">
        <f>SUMIFS(PLAN!$K:$K,PLAN!$V:$V,Sheet1!$A68,PLAN!$W:$W,Sheet1!$D$1)</f>
        <v>0</v>
      </c>
      <c r="E68" s="147">
        <f>SUMIFS(PLAN!$K:$K,PLAN!$V:$V,Sheet1!$A68,PLAN!$W:$W,Sheet1!$E$1)</f>
        <v>0</v>
      </c>
      <c r="F68" s="147">
        <f>SUMIFS(PLAN!$K:$K,PLAN!$V:$V,Sheet1!$A68,PLAN!$W:$W,Sheet1!$F$1)</f>
        <v>0</v>
      </c>
      <c r="G68" s="147">
        <f>SUMIFS(PLAN!$K:$K,PLAN!$V:$V,Sheet1!$A68,PLAN!$W:$W,Sheet1!$G$1)</f>
        <v>0</v>
      </c>
      <c r="H68" s="147">
        <f>SUMIFS(PLAN!$K:$K,PLAN!$V:$V,Sheet1!$A68,PLAN!$W:$W,Sheet1!$H$1)</f>
        <v>0</v>
      </c>
      <c r="I68" s="147">
        <f>SUMIFS(PLAN!$K:$K,PLAN!$V:$V,Sheet1!$A68,PLAN!$W:$W,Sheet1!$I$1)</f>
        <v>0</v>
      </c>
      <c r="J68" s="147">
        <f>SUMIFS(PLAN!$K:$K,PLAN!$V:$V,Sheet1!$A68,PLAN!$W:$W,Sheet1!$J$1)</f>
        <v>0</v>
      </c>
      <c r="K68" s="147">
        <f>SUMIFS(PLAN!$K:$K,PLAN!$V:$V,Sheet1!$A68,PLAN!$W:$W,Sheet1!$K$1)</f>
        <v>0</v>
      </c>
      <c r="L68" s="147">
        <f>SUMIFS(PLAN!$K:$K,PLAN!$V:$V,Sheet1!$A68,PLAN!$W:$W,Sheet1!$L$1)</f>
        <v>0</v>
      </c>
      <c r="M68" s="147">
        <f>SUMIFS(PLAN!$K:$K,PLAN!$V:$V,Sheet1!$A68,PLAN!$W:$W,Sheet1!$M$1)</f>
        <v>0</v>
      </c>
      <c r="N68" s="147">
        <f>SUMIFS(PLAN!$K:$K,PLAN!$V:$V,Sheet1!$A68,PLAN!$W:$W,Sheet1!$N$1)</f>
        <v>0</v>
      </c>
      <c r="O68" s="147">
        <f t="shared" si="2"/>
        <v>0</v>
      </c>
    </row>
    <row r="69" spans="1:15">
      <c r="A69" s="159">
        <v>46241</v>
      </c>
      <c r="B69" s="147">
        <f>SUMIFS(PLAN!$K:$K,PLAN!$V:$V,Sheet1!$A69,PLAN!$W:$W,Sheet1!$B$1)</f>
        <v>0</v>
      </c>
      <c r="C69" s="147">
        <f>SUMIFS(PLAN!$K:$K,PLAN!$V:$V,Sheet1!$A69,PLAN!$W:$W,Sheet1!$C$1)</f>
        <v>0</v>
      </c>
      <c r="D69" s="147">
        <f>SUMIFS(PLAN!$K:$K,PLAN!$V:$V,Sheet1!$A69,PLAN!$W:$W,Sheet1!$D$1)</f>
        <v>0</v>
      </c>
      <c r="E69" s="147">
        <f>SUMIFS(PLAN!$K:$K,PLAN!$V:$V,Sheet1!$A69,PLAN!$W:$W,Sheet1!$E$1)</f>
        <v>0</v>
      </c>
      <c r="F69" s="147">
        <f>SUMIFS(PLAN!$K:$K,PLAN!$V:$V,Sheet1!$A69,PLAN!$W:$W,Sheet1!$F$1)</f>
        <v>0</v>
      </c>
      <c r="G69" s="147">
        <f>SUMIFS(PLAN!$K:$K,PLAN!$V:$V,Sheet1!$A69,PLAN!$W:$W,Sheet1!$G$1)</f>
        <v>0</v>
      </c>
      <c r="H69" s="147">
        <f>SUMIFS(PLAN!$K:$K,PLAN!$V:$V,Sheet1!$A69,PLAN!$W:$W,Sheet1!$H$1)</f>
        <v>0</v>
      </c>
      <c r="I69" s="147">
        <f>SUMIFS(PLAN!$K:$K,PLAN!$V:$V,Sheet1!$A69,PLAN!$W:$W,Sheet1!$I$1)</f>
        <v>0</v>
      </c>
      <c r="J69" s="147">
        <f>SUMIFS(PLAN!$K:$K,PLAN!$V:$V,Sheet1!$A69,PLAN!$W:$W,Sheet1!$J$1)</f>
        <v>1336</v>
      </c>
      <c r="K69" s="147">
        <f>SUMIFS(PLAN!$K:$K,PLAN!$V:$V,Sheet1!$A69,PLAN!$W:$W,Sheet1!$K$1)</f>
        <v>726</v>
      </c>
      <c r="L69" s="147">
        <f>SUMIFS(PLAN!$K:$K,PLAN!$V:$V,Sheet1!$A69,PLAN!$W:$W,Sheet1!$L$1)</f>
        <v>0</v>
      </c>
      <c r="M69" s="147">
        <f>SUMIFS(PLAN!$K:$K,PLAN!$V:$V,Sheet1!$A69,PLAN!$W:$W,Sheet1!$M$1)</f>
        <v>0</v>
      </c>
      <c r="N69" s="147">
        <f>SUMIFS(PLAN!$K:$K,PLAN!$V:$V,Sheet1!$A69,PLAN!$W:$W,Sheet1!$N$1)</f>
        <v>0</v>
      </c>
      <c r="O69" s="147">
        <f t="shared" si="2"/>
        <v>2062</v>
      </c>
    </row>
    <row r="70" spans="1:15">
      <c r="A70" s="159">
        <v>46242</v>
      </c>
      <c r="B70" s="147">
        <f>SUMIFS(PLAN!$K:$K,PLAN!$V:$V,Sheet1!$A70,PLAN!$W:$W,Sheet1!$B$1)</f>
        <v>0</v>
      </c>
      <c r="C70" s="147">
        <f>SUMIFS(PLAN!$K:$K,PLAN!$V:$V,Sheet1!$A70,PLAN!$W:$W,Sheet1!$C$1)</f>
        <v>0</v>
      </c>
      <c r="D70" s="147">
        <f>SUMIFS(PLAN!$K:$K,PLAN!$V:$V,Sheet1!$A70,PLAN!$W:$W,Sheet1!$D$1)</f>
        <v>0</v>
      </c>
      <c r="E70" s="147">
        <f>SUMIFS(PLAN!$K:$K,PLAN!$V:$V,Sheet1!$A70,PLAN!$W:$W,Sheet1!$E$1)</f>
        <v>0</v>
      </c>
      <c r="F70" s="147">
        <f>SUMIFS(PLAN!$K:$K,PLAN!$V:$V,Sheet1!$A70,PLAN!$W:$W,Sheet1!$F$1)</f>
        <v>0</v>
      </c>
      <c r="G70" s="147">
        <f>SUMIFS(PLAN!$K:$K,PLAN!$V:$V,Sheet1!$A70,PLAN!$W:$W,Sheet1!$G$1)</f>
        <v>0</v>
      </c>
      <c r="H70" s="147">
        <f>SUMIFS(PLAN!$K:$K,PLAN!$V:$V,Sheet1!$A70,PLAN!$W:$W,Sheet1!$H$1)</f>
        <v>0</v>
      </c>
      <c r="I70" s="147">
        <f>SUMIFS(PLAN!$K:$K,PLAN!$V:$V,Sheet1!$A70,PLAN!$W:$W,Sheet1!$I$1)</f>
        <v>2389</v>
      </c>
      <c r="J70" s="147">
        <f>SUMIFS(PLAN!$K:$K,PLAN!$V:$V,Sheet1!$A70,PLAN!$W:$W,Sheet1!$J$1)</f>
        <v>1224</v>
      </c>
      <c r="K70" s="147">
        <f>SUMIFS(PLAN!$K:$K,PLAN!$V:$V,Sheet1!$A70,PLAN!$W:$W,Sheet1!$K$1)</f>
        <v>0</v>
      </c>
      <c r="L70" s="147">
        <f>SUMIFS(PLAN!$K:$K,PLAN!$V:$V,Sheet1!$A70,PLAN!$W:$W,Sheet1!$L$1)</f>
        <v>0</v>
      </c>
      <c r="M70" s="147">
        <f>SUMIFS(PLAN!$K:$K,PLAN!$V:$V,Sheet1!$A70,PLAN!$W:$W,Sheet1!$M$1)</f>
        <v>0</v>
      </c>
      <c r="N70" s="147">
        <f>SUMIFS(PLAN!$K:$K,PLAN!$V:$V,Sheet1!$A70,PLAN!$W:$W,Sheet1!$N$1)</f>
        <v>0</v>
      </c>
      <c r="O70" s="147">
        <f t="shared" si="2"/>
        <v>3613</v>
      </c>
    </row>
    <row r="71" spans="1:15">
      <c r="A71" s="159">
        <v>46243</v>
      </c>
      <c r="B71" s="147">
        <f>SUMIFS(PLAN!$K:$K,PLAN!$V:$V,Sheet1!$A71,PLAN!$W:$W,Sheet1!$B$1)</f>
        <v>0</v>
      </c>
      <c r="C71" s="147">
        <f>SUMIFS(PLAN!$K:$K,PLAN!$V:$V,Sheet1!$A71,PLAN!$W:$W,Sheet1!$C$1)</f>
        <v>0</v>
      </c>
      <c r="D71" s="147">
        <f>SUMIFS(PLAN!$K:$K,PLAN!$V:$V,Sheet1!$A71,PLAN!$W:$W,Sheet1!$D$1)</f>
        <v>0</v>
      </c>
      <c r="E71" s="147">
        <f>SUMIFS(PLAN!$K:$K,PLAN!$V:$V,Sheet1!$A71,PLAN!$W:$W,Sheet1!$E$1)</f>
        <v>0</v>
      </c>
      <c r="F71" s="147">
        <f>SUMIFS(PLAN!$K:$K,PLAN!$V:$V,Sheet1!$A71,PLAN!$W:$W,Sheet1!$F$1)</f>
        <v>0</v>
      </c>
      <c r="G71" s="147">
        <f>SUMIFS(PLAN!$K:$K,PLAN!$V:$V,Sheet1!$A71,PLAN!$W:$W,Sheet1!$G$1)</f>
        <v>0</v>
      </c>
      <c r="H71" s="147">
        <f>SUMIFS(PLAN!$K:$K,PLAN!$V:$V,Sheet1!$A71,PLAN!$W:$W,Sheet1!$H$1)</f>
        <v>0</v>
      </c>
      <c r="I71" s="147">
        <f>SUMIFS(PLAN!$K:$K,PLAN!$V:$V,Sheet1!$A71,PLAN!$W:$W,Sheet1!$I$1)</f>
        <v>0</v>
      </c>
      <c r="J71" s="147">
        <f>SUMIFS(PLAN!$K:$K,PLAN!$V:$V,Sheet1!$A71,PLAN!$W:$W,Sheet1!$J$1)</f>
        <v>0</v>
      </c>
      <c r="K71" s="147">
        <f>SUMIFS(PLAN!$K:$K,PLAN!$V:$V,Sheet1!$A71,PLAN!$W:$W,Sheet1!$K$1)</f>
        <v>0</v>
      </c>
      <c r="L71" s="147">
        <f>SUMIFS(PLAN!$K:$K,PLAN!$V:$V,Sheet1!$A71,PLAN!$W:$W,Sheet1!$L$1)</f>
        <v>0</v>
      </c>
      <c r="M71" s="147">
        <f>SUMIFS(PLAN!$K:$K,PLAN!$V:$V,Sheet1!$A71,PLAN!$W:$W,Sheet1!$M$1)</f>
        <v>0</v>
      </c>
      <c r="N71" s="147">
        <f>SUMIFS(PLAN!$K:$K,PLAN!$V:$V,Sheet1!$A71,PLAN!$W:$W,Sheet1!$N$1)</f>
        <v>0</v>
      </c>
      <c r="O71" s="147">
        <f t="shared" si="2"/>
        <v>0</v>
      </c>
    </row>
    <row r="72" spans="1:15">
      <c r="A72" s="159">
        <v>46244</v>
      </c>
      <c r="B72" s="147">
        <f>SUMIFS(PLAN!$K:$K,PLAN!$V:$V,Sheet1!$A72,PLAN!$W:$W,Sheet1!$B$1)</f>
        <v>0</v>
      </c>
      <c r="C72" s="147">
        <f>SUMIFS(PLAN!$K:$K,PLAN!$V:$V,Sheet1!$A72,PLAN!$W:$W,Sheet1!$C$1)</f>
        <v>0</v>
      </c>
      <c r="D72" s="147">
        <f>SUMIFS(PLAN!$K:$K,PLAN!$V:$V,Sheet1!$A72,PLAN!$W:$W,Sheet1!$D$1)</f>
        <v>0</v>
      </c>
      <c r="E72" s="147">
        <f>SUMIFS(PLAN!$K:$K,PLAN!$V:$V,Sheet1!$A72,PLAN!$W:$W,Sheet1!$E$1)</f>
        <v>0</v>
      </c>
      <c r="F72" s="147">
        <f>SUMIFS(PLAN!$K:$K,PLAN!$V:$V,Sheet1!$A72,PLAN!$W:$W,Sheet1!$F$1)</f>
        <v>0</v>
      </c>
      <c r="G72" s="147">
        <f>SUMIFS(PLAN!$K:$K,PLAN!$V:$V,Sheet1!$A72,PLAN!$W:$W,Sheet1!$G$1)</f>
        <v>0</v>
      </c>
      <c r="H72" s="147">
        <f>SUMIFS(PLAN!$K:$K,PLAN!$V:$V,Sheet1!$A72,PLAN!$W:$W,Sheet1!$H$1)</f>
        <v>0</v>
      </c>
      <c r="I72" s="147">
        <f>SUMIFS(PLAN!$K:$K,PLAN!$V:$V,Sheet1!$A72,PLAN!$W:$W,Sheet1!$I$1)</f>
        <v>0</v>
      </c>
      <c r="J72" s="147">
        <f>SUMIFS(PLAN!$K:$K,PLAN!$V:$V,Sheet1!$A72,PLAN!$W:$W,Sheet1!$J$1)</f>
        <v>0</v>
      </c>
      <c r="K72" s="147">
        <f>SUMIFS(PLAN!$K:$K,PLAN!$V:$V,Sheet1!$A72,PLAN!$W:$W,Sheet1!$K$1)</f>
        <v>0</v>
      </c>
      <c r="L72" s="147">
        <f>SUMIFS(PLAN!$K:$K,PLAN!$V:$V,Sheet1!$A72,PLAN!$W:$W,Sheet1!$L$1)</f>
        <v>0</v>
      </c>
      <c r="M72" s="147">
        <f>SUMIFS(PLAN!$K:$K,PLAN!$V:$V,Sheet1!$A72,PLAN!$W:$W,Sheet1!$M$1)</f>
        <v>0</v>
      </c>
      <c r="N72" s="147">
        <f>SUMIFS(PLAN!$K:$K,PLAN!$V:$V,Sheet1!$A72,PLAN!$W:$W,Sheet1!$N$1)</f>
        <v>0</v>
      </c>
      <c r="O72" s="147">
        <f t="shared" si="2"/>
        <v>0</v>
      </c>
    </row>
    <row r="73" spans="1:15">
      <c r="A73" s="159">
        <v>46245</v>
      </c>
      <c r="B73" s="147">
        <f>SUMIFS(PLAN!$K:$K,PLAN!$V:$V,Sheet1!$A73,PLAN!$W:$W,Sheet1!$B$1)</f>
        <v>0</v>
      </c>
      <c r="C73" s="147">
        <f>SUMIFS(PLAN!$K:$K,PLAN!$V:$V,Sheet1!$A73,PLAN!$W:$W,Sheet1!$C$1)</f>
        <v>0</v>
      </c>
      <c r="D73" s="147">
        <f>SUMIFS(PLAN!$K:$K,PLAN!$V:$V,Sheet1!$A73,PLAN!$W:$W,Sheet1!$D$1)</f>
        <v>0</v>
      </c>
      <c r="E73" s="147">
        <f>SUMIFS(PLAN!$K:$K,PLAN!$V:$V,Sheet1!$A73,PLAN!$W:$W,Sheet1!$E$1)</f>
        <v>0</v>
      </c>
      <c r="F73" s="147">
        <f>SUMIFS(PLAN!$K:$K,PLAN!$V:$V,Sheet1!$A73,PLAN!$W:$W,Sheet1!$F$1)</f>
        <v>0</v>
      </c>
      <c r="G73" s="147">
        <f>SUMIFS(PLAN!$K:$K,PLAN!$V:$V,Sheet1!$A73,PLAN!$W:$W,Sheet1!$G$1)</f>
        <v>0</v>
      </c>
      <c r="H73" s="147">
        <f>SUMIFS(PLAN!$K:$K,PLAN!$V:$V,Sheet1!$A73,PLAN!$W:$W,Sheet1!$H$1)</f>
        <v>0</v>
      </c>
      <c r="I73" s="147">
        <f>SUMIFS(PLAN!$K:$K,PLAN!$V:$V,Sheet1!$A73,PLAN!$W:$W,Sheet1!$I$1)</f>
        <v>0</v>
      </c>
      <c r="J73" s="147">
        <f>SUMIFS(PLAN!$K:$K,PLAN!$V:$V,Sheet1!$A73,PLAN!$W:$W,Sheet1!$J$1)</f>
        <v>0</v>
      </c>
      <c r="K73" s="147">
        <f>SUMIFS(PLAN!$K:$K,PLAN!$V:$V,Sheet1!$A73,PLAN!$W:$W,Sheet1!$K$1)</f>
        <v>0</v>
      </c>
      <c r="L73" s="147">
        <f>SUMIFS(PLAN!$K:$K,PLAN!$V:$V,Sheet1!$A73,PLAN!$W:$W,Sheet1!$L$1)</f>
        <v>0</v>
      </c>
      <c r="M73" s="147">
        <f>SUMIFS(PLAN!$K:$K,PLAN!$V:$V,Sheet1!$A73,PLAN!$W:$W,Sheet1!$M$1)</f>
        <v>0</v>
      </c>
      <c r="N73" s="147">
        <f>SUMIFS(PLAN!$K:$K,PLAN!$V:$V,Sheet1!$A73,PLAN!$W:$W,Sheet1!$N$1)</f>
        <v>0</v>
      </c>
      <c r="O73" s="147">
        <f t="shared" si="2"/>
        <v>0</v>
      </c>
    </row>
    <row r="74" spans="1:15">
      <c r="A74" s="159">
        <v>46246</v>
      </c>
      <c r="B74" s="147">
        <f>SUMIFS(PLAN!$K:$K,PLAN!$V:$V,Sheet1!$A74,PLAN!$W:$W,Sheet1!$B$1)</f>
        <v>0</v>
      </c>
      <c r="C74" s="147">
        <f>SUMIFS(PLAN!$K:$K,PLAN!$V:$V,Sheet1!$A74,PLAN!$W:$W,Sheet1!$C$1)</f>
        <v>0</v>
      </c>
      <c r="D74" s="147">
        <f>SUMIFS(PLAN!$K:$K,PLAN!$V:$V,Sheet1!$A74,PLAN!$W:$W,Sheet1!$D$1)</f>
        <v>0</v>
      </c>
      <c r="E74" s="147">
        <f>SUMIFS(PLAN!$K:$K,PLAN!$V:$V,Sheet1!$A74,PLAN!$W:$W,Sheet1!$E$1)</f>
        <v>0</v>
      </c>
      <c r="F74" s="147">
        <f>SUMIFS(PLAN!$K:$K,PLAN!$V:$V,Sheet1!$A74,PLAN!$W:$W,Sheet1!$F$1)</f>
        <v>0</v>
      </c>
      <c r="G74" s="147">
        <f>SUMIFS(PLAN!$K:$K,PLAN!$V:$V,Sheet1!$A74,PLAN!$W:$W,Sheet1!$G$1)</f>
        <v>0</v>
      </c>
      <c r="H74" s="147">
        <f>SUMIFS(PLAN!$K:$K,PLAN!$V:$V,Sheet1!$A74,PLAN!$W:$W,Sheet1!$H$1)</f>
        <v>0</v>
      </c>
      <c r="I74" s="147">
        <f>SUMIFS(PLAN!$K:$K,PLAN!$V:$V,Sheet1!$A74,PLAN!$W:$W,Sheet1!$I$1)</f>
        <v>0</v>
      </c>
      <c r="J74" s="147">
        <f>SUMIFS(PLAN!$K:$K,PLAN!$V:$V,Sheet1!$A74,PLAN!$W:$W,Sheet1!$J$1)</f>
        <v>0</v>
      </c>
      <c r="K74" s="147">
        <f>SUMIFS(PLAN!$K:$K,PLAN!$V:$V,Sheet1!$A74,PLAN!$W:$W,Sheet1!$K$1)</f>
        <v>0</v>
      </c>
      <c r="L74" s="147">
        <f>SUMIFS(PLAN!$K:$K,PLAN!$V:$V,Sheet1!$A74,PLAN!$W:$W,Sheet1!$L$1)</f>
        <v>0</v>
      </c>
      <c r="M74" s="147">
        <f>SUMIFS(PLAN!$K:$K,PLAN!$V:$V,Sheet1!$A74,PLAN!$W:$W,Sheet1!$M$1)</f>
        <v>0</v>
      </c>
      <c r="N74" s="147">
        <f>SUMIFS(PLAN!$K:$K,PLAN!$V:$V,Sheet1!$A74,PLAN!$W:$W,Sheet1!$N$1)</f>
        <v>0</v>
      </c>
      <c r="O74" s="147">
        <f t="shared" si="2"/>
        <v>0</v>
      </c>
    </row>
    <row r="75" spans="1:15">
      <c r="A75" s="159">
        <v>46247</v>
      </c>
      <c r="B75" s="147">
        <f>SUMIFS(PLAN!$K:$K,PLAN!$V:$V,Sheet1!$A75,PLAN!$W:$W,Sheet1!$B$1)</f>
        <v>0</v>
      </c>
      <c r="C75" s="147">
        <f>SUMIFS(PLAN!$K:$K,PLAN!$V:$V,Sheet1!$A75,PLAN!$W:$W,Sheet1!$C$1)</f>
        <v>0</v>
      </c>
      <c r="D75" s="147">
        <f>SUMIFS(PLAN!$K:$K,PLAN!$V:$V,Sheet1!$A75,PLAN!$W:$W,Sheet1!$D$1)</f>
        <v>0</v>
      </c>
      <c r="E75" s="147">
        <f>SUMIFS(PLAN!$K:$K,PLAN!$V:$V,Sheet1!$A75,PLAN!$W:$W,Sheet1!$E$1)</f>
        <v>0</v>
      </c>
      <c r="F75" s="147">
        <f>SUMIFS(PLAN!$K:$K,PLAN!$V:$V,Sheet1!$A75,PLAN!$W:$W,Sheet1!$F$1)</f>
        <v>0</v>
      </c>
      <c r="G75" s="147">
        <f>SUMIFS(PLAN!$K:$K,PLAN!$V:$V,Sheet1!$A75,PLAN!$W:$W,Sheet1!$G$1)</f>
        <v>0</v>
      </c>
      <c r="H75" s="147">
        <f>SUMIFS(PLAN!$K:$K,PLAN!$V:$V,Sheet1!$A75,PLAN!$W:$W,Sheet1!$H$1)</f>
        <v>0</v>
      </c>
      <c r="I75" s="147">
        <f>SUMIFS(PLAN!$K:$K,PLAN!$V:$V,Sheet1!$A75,PLAN!$W:$W,Sheet1!$I$1)</f>
        <v>2392</v>
      </c>
      <c r="J75" s="147">
        <f>SUMIFS(PLAN!$K:$K,PLAN!$V:$V,Sheet1!$A75,PLAN!$W:$W,Sheet1!$J$1)</f>
        <v>486</v>
      </c>
      <c r="K75" s="147">
        <f>SUMIFS(PLAN!$K:$K,PLAN!$V:$V,Sheet1!$A75,PLAN!$W:$W,Sheet1!$K$1)</f>
        <v>720</v>
      </c>
      <c r="L75" s="147">
        <f>SUMIFS(PLAN!$K:$K,PLAN!$V:$V,Sheet1!$A75,PLAN!$W:$W,Sheet1!$L$1)</f>
        <v>0</v>
      </c>
      <c r="M75" s="147">
        <f>SUMIFS(PLAN!$K:$K,PLAN!$V:$V,Sheet1!$A75,PLAN!$W:$W,Sheet1!$M$1)</f>
        <v>0</v>
      </c>
      <c r="N75" s="147">
        <f>SUMIFS(PLAN!$K:$K,PLAN!$V:$V,Sheet1!$A75,PLAN!$W:$W,Sheet1!$N$1)</f>
        <v>0</v>
      </c>
      <c r="O75" s="147">
        <f t="shared" si="2"/>
        <v>3598</v>
      </c>
    </row>
    <row r="76" spans="1:15">
      <c r="A76" s="159">
        <v>46248</v>
      </c>
      <c r="B76" s="147">
        <f>SUMIFS(PLAN!$K:$K,PLAN!$V:$V,Sheet1!$A76,PLAN!$W:$W,Sheet1!$B$1)</f>
        <v>0</v>
      </c>
      <c r="C76" s="147">
        <f>SUMIFS(PLAN!$K:$K,PLAN!$V:$V,Sheet1!$A76,PLAN!$W:$W,Sheet1!$C$1)</f>
        <v>0</v>
      </c>
      <c r="D76" s="147">
        <f>SUMIFS(PLAN!$K:$K,PLAN!$V:$V,Sheet1!$A76,PLAN!$W:$W,Sheet1!$D$1)</f>
        <v>0</v>
      </c>
      <c r="E76" s="147">
        <f>SUMIFS(PLAN!$K:$K,PLAN!$V:$V,Sheet1!$A76,PLAN!$W:$W,Sheet1!$E$1)</f>
        <v>0</v>
      </c>
      <c r="F76" s="147">
        <f>SUMIFS(PLAN!$K:$K,PLAN!$V:$V,Sheet1!$A76,PLAN!$W:$W,Sheet1!$F$1)</f>
        <v>0</v>
      </c>
      <c r="G76" s="147">
        <f>SUMIFS(PLAN!$K:$K,PLAN!$V:$V,Sheet1!$A76,PLAN!$W:$W,Sheet1!$G$1)</f>
        <v>0</v>
      </c>
      <c r="H76" s="147">
        <f>SUMIFS(PLAN!$K:$K,PLAN!$V:$V,Sheet1!$A76,PLAN!$W:$W,Sheet1!$H$1)</f>
        <v>0</v>
      </c>
      <c r="I76" s="147">
        <f>SUMIFS(PLAN!$K:$K,PLAN!$V:$V,Sheet1!$A76,PLAN!$W:$W,Sheet1!$I$1)</f>
        <v>2331</v>
      </c>
      <c r="J76" s="147">
        <f>SUMIFS(PLAN!$K:$K,PLAN!$V:$V,Sheet1!$A76,PLAN!$W:$W,Sheet1!$J$1)</f>
        <v>720</v>
      </c>
      <c r="K76" s="147">
        <f>SUMIFS(PLAN!$K:$K,PLAN!$V:$V,Sheet1!$A76,PLAN!$W:$W,Sheet1!$K$1)</f>
        <v>864</v>
      </c>
      <c r="L76" s="147">
        <f>SUMIFS(PLAN!$K:$K,PLAN!$V:$V,Sheet1!$A76,PLAN!$W:$W,Sheet1!$L$1)</f>
        <v>0</v>
      </c>
      <c r="M76" s="147">
        <f>SUMIFS(PLAN!$K:$K,PLAN!$V:$V,Sheet1!$A76,PLAN!$W:$W,Sheet1!$M$1)</f>
        <v>0</v>
      </c>
      <c r="N76" s="147">
        <f>SUMIFS(PLAN!$K:$K,PLAN!$V:$V,Sheet1!$A76,PLAN!$W:$W,Sheet1!$N$1)</f>
        <v>0</v>
      </c>
      <c r="O76" s="147">
        <f t="shared" si="2"/>
        <v>3915</v>
      </c>
    </row>
    <row r="77" spans="1:15">
      <c r="A77" s="159">
        <v>46249</v>
      </c>
      <c r="B77" s="147">
        <f>SUMIFS(PLAN!$K:$K,PLAN!$V:$V,Sheet1!$A77,PLAN!$W:$W,Sheet1!$B$1)</f>
        <v>0</v>
      </c>
      <c r="C77" s="147">
        <f>SUMIFS(PLAN!$K:$K,PLAN!$V:$V,Sheet1!$A77,PLAN!$W:$W,Sheet1!$C$1)</f>
        <v>0</v>
      </c>
      <c r="D77" s="147">
        <f>SUMIFS(PLAN!$K:$K,PLAN!$V:$V,Sheet1!$A77,PLAN!$W:$W,Sheet1!$D$1)</f>
        <v>0</v>
      </c>
      <c r="E77" s="147">
        <f>SUMIFS(PLAN!$K:$K,PLAN!$V:$V,Sheet1!$A77,PLAN!$W:$W,Sheet1!$E$1)</f>
        <v>0</v>
      </c>
      <c r="F77" s="147">
        <f>SUMIFS(PLAN!$K:$K,PLAN!$V:$V,Sheet1!$A77,PLAN!$W:$W,Sheet1!$F$1)</f>
        <v>78</v>
      </c>
      <c r="G77" s="147">
        <f>SUMIFS(PLAN!$K:$K,PLAN!$V:$V,Sheet1!$A77,PLAN!$W:$W,Sheet1!$G$1)</f>
        <v>0</v>
      </c>
      <c r="H77" s="147">
        <f>SUMIFS(PLAN!$K:$K,PLAN!$V:$V,Sheet1!$A77,PLAN!$W:$W,Sheet1!$H$1)</f>
        <v>0</v>
      </c>
      <c r="I77" s="147">
        <f>SUMIFS(PLAN!$K:$K,PLAN!$V:$V,Sheet1!$A77,PLAN!$W:$W,Sheet1!$I$1)</f>
        <v>2302</v>
      </c>
      <c r="J77" s="147">
        <f>SUMIFS(PLAN!$K:$K,PLAN!$V:$V,Sheet1!$A77,PLAN!$W:$W,Sheet1!$J$1)</f>
        <v>720</v>
      </c>
      <c r="K77" s="147">
        <f>SUMIFS(PLAN!$K:$K,PLAN!$V:$V,Sheet1!$A77,PLAN!$W:$W,Sheet1!$K$1)</f>
        <v>840</v>
      </c>
      <c r="L77" s="147">
        <f>SUMIFS(PLAN!$K:$K,PLAN!$V:$V,Sheet1!$A77,PLAN!$W:$W,Sheet1!$L$1)</f>
        <v>0</v>
      </c>
      <c r="M77" s="147">
        <f>SUMIFS(PLAN!$K:$K,PLAN!$V:$V,Sheet1!$A77,PLAN!$W:$W,Sheet1!$M$1)</f>
        <v>0</v>
      </c>
      <c r="N77" s="147">
        <f>SUMIFS(PLAN!$K:$K,PLAN!$V:$V,Sheet1!$A77,PLAN!$W:$W,Sheet1!$N$1)</f>
        <v>0</v>
      </c>
      <c r="O77" s="147">
        <f t="shared" si="2"/>
        <v>3940</v>
      </c>
    </row>
    <row r="78" spans="1:15">
      <c r="A78" s="159">
        <v>46250</v>
      </c>
      <c r="B78" s="147">
        <f>SUMIFS(PLAN!$K:$K,PLAN!$V:$V,Sheet1!$A78,PLAN!$W:$W,Sheet1!$B$1)</f>
        <v>0</v>
      </c>
      <c r="C78" s="147">
        <f>SUMIFS(PLAN!$K:$K,PLAN!$V:$V,Sheet1!$A78,PLAN!$W:$W,Sheet1!$C$1)</f>
        <v>0</v>
      </c>
      <c r="D78" s="147">
        <f>SUMIFS(PLAN!$K:$K,PLAN!$V:$V,Sheet1!$A78,PLAN!$W:$W,Sheet1!$D$1)</f>
        <v>0</v>
      </c>
      <c r="E78" s="147">
        <f>SUMIFS(PLAN!$K:$K,PLAN!$V:$V,Sheet1!$A78,PLAN!$W:$W,Sheet1!$E$1)</f>
        <v>0</v>
      </c>
      <c r="F78" s="147">
        <f>SUMIFS(PLAN!$K:$K,PLAN!$V:$V,Sheet1!$A78,PLAN!$W:$W,Sheet1!$F$1)</f>
        <v>0</v>
      </c>
      <c r="G78" s="147">
        <f>SUMIFS(PLAN!$K:$K,PLAN!$V:$V,Sheet1!$A78,PLAN!$W:$W,Sheet1!$G$1)</f>
        <v>0</v>
      </c>
      <c r="H78" s="147">
        <f>SUMIFS(PLAN!$K:$K,PLAN!$V:$V,Sheet1!$A78,PLAN!$W:$W,Sheet1!$H$1)</f>
        <v>0</v>
      </c>
      <c r="I78" s="147">
        <f>SUMIFS(PLAN!$K:$K,PLAN!$V:$V,Sheet1!$A78,PLAN!$W:$W,Sheet1!$I$1)</f>
        <v>0</v>
      </c>
      <c r="J78" s="147">
        <f>SUMIFS(PLAN!$K:$K,PLAN!$V:$V,Sheet1!$A78,PLAN!$W:$W,Sheet1!$J$1)</f>
        <v>0</v>
      </c>
      <c r="K78" s="147">
        <f>SUMIFS(PLAN!$K:$K,PLAN!$V:$V,Sheet1!$A78,PLAN!$W:$W,Sheet1!$K$1)</f>
        <v>0</v>
      </c>
      <c r="L78" s="147">
        <f>SUMIFS(PLAN!$K:$K,PLAN!$V:$V,Sheet1!$A78,PLAN!$W:$W,Sheet1!$L$1)</f>
        <v>0</v>
      </c>
      <c r="M78" s="147">
        <f>SUMIFS(PLAN!$K:$K,PLAN!$V:$V,Sheet1!$A78,PLAN!$W:$W,Sheet1!$M$1)</f>
        <v>0</v>
      </c>
      <c r="N78" s="147">
        <f>SUMIFS(PLAN!$K:$K,PLAN!$V:$V,Sheet1!$A78,PLAN!$W:$W,Sheet1!$N$1)</f>
        <v>0</v>
      </c>
      <c r="O78" s="147">
        <f t="shared" si="2"/>
        <v>0</v>
      </c>
    </row>
    <row r="79" spans="1:15">
      <c r="A79" s="159">
        <v>46251</v>
      </c>
      <c r="B79" s="147">
        <f>SUMIFS(PLAN!$K:$K,PLAN!$V:$V,Sheet1!$A79,PLAN!$W:$W,Sheet1!$B$1)</f>
        <v>0</v>
      </c>
      <c r="C79" s="147">
        <f>SUMIFS(PLAN!$K:$K,PLAN!$V:$V,Sheet1!$A79,PLAN!$W:$W,Sheet1!$C$1)</f>
        <v>0</v>
      </c>
      <c r="D79" s="147">
        <f>SUMIFS(PLAN!$K:$K,PLAN!$V:$V,Sheet1!$A79,PLAN!$W:$W,Sheet1!$D$1)</f>
        <v>0</v>
      </c>
      <c r="E79" s="147">
        <f>SUMIFS(PLAN!$K:$K,PLAN!$V:$V,Sheet1!$A79,PLAN!$W:$W,Sheet1!$E$1)</f>
        <v>0</v>
      </c>
      <c r="F79" s="147">
        <f>SUMIFS(PLAN!$K:$K,PLAN!$V:$V,Sheet1!$A79,PLAN!$W:$W,Sheet1!$F$1)</f>
        <v>0</v>
      </c>
      <c r="G79" s="147">
        <f>SUMIFS(PLAN!$K:$K,PLAN!$V:$V,Sheet1!$A79,PLAN!$W:$W,Sheet1!$G$1)</f>
        <v>0</v>
      </c>
      <c r="H79" s="147">
        <f>SUMIFS(PLAN!$K:$K,PLAN!$V:$V,Sheet1!$A79,PLAN!$W:$W,Sheet1!$H$1)</f>
        <v>0</v>
      </c>
      <c r="I79" s="147">
        <f>SUMIFS(PLAN!$K:$K,PLAN!$V:$V,Sheet1!$A79,PLAN!$W:$W,Sheet1!$I$1)</f>
        <v>2091</v>
      </c>
      <c r="J79" s="147">
        <f>SUMIFS(PLAN!$K:$K,PLAN!$V:$V,Sheet1!$A79,PLAN!$W:$W,Sheet1!$J$1)</f>
        <v>1017</v>
      </c>
      <c r="K79" s="147">
        <f>SUMIFS(PLAN!$K:$K,PLAN!$V:$V,Sheet1!$A79,PLAN!$W:$W,Sheet1!$K$1)</f>
        <v>796</v>
      </c>
      <c r="L79" s="147">
        <f>SUMIFS(PLAN!$K:$K,PLAN!$V:$V,Sheet1!$A79,PLAN!$W:$W,Sheet1!$L$1)</f>
        <v>0</v>
      </c>
      <c r="M79" s="147">
        <f>SUMIFS(PLAN!$K:$K,PLAN!$V:$V,Sheet1!$A79,PLAN!$W:$W,Sheet1!$M$1)</f>
        <v>0</v>
      </c>
      <c r="N79" s="147">
        <f>SUMIFS(PLAN!$K:$K,PLAN!$V:$V,Sheet1!$A79,PLAN!$W:$W,Sheet1!$N$1)</f>
        <v>0</v>
      </c>
      <c r="O79" s="147">
        <f t="shared" si="2"/>
        <v>3904</v>
      </c>
    </row>
    <row r="80" spans="1:15">
      <c r="A80" s="159">
        <v>46252</v>
      </c>
      <c r="B80" s="147">
        <f>SUMIFS(PLAN!$K:$K,PLAN!$V:$V,Sheet1!$A80,PLAN!$W:$W,Sheet1!$B$1)</f>
        <v>0</v>
      </c>
      <c r="C80" s="147">
        <f>SUMIFS(PLAN!$K:$K,PLAN!$V:$V,Sheet1!$A80,PLAN!$W:$W,Sheet1!$C$1)</f>
        <v>0</v>
      </c>
      <c r="D80" s="147">
        <f>SUMIFS(PLAN!$K:$K,PLAN!$V:$V,Sheet1!$A80,PLAN!$W:$W,Sheet1!$D$1)</f>
        <v>0</v>
      </c>
      <c r="E80" s="147">
        <f>SUMIFS(PLAN!$K:$K,PLAN!$V:$V,Sheet1!$A80,PLAN!$W:$W,Sheet1!$E$1)</f>
        <v>0</v>
      </c>
      <c r="F80" s="147">
        <f>SUMIFS(PLAN!$K:$K,PLAN!$V:$V,Sheet1!$A80,PLAN!$W:$W,Sheet1!$F$1)</f>
        <v>0</v>
      </c>
      <c r="G80" s="147">
        <f>SUMIFS(PLAN!$K:$K,PLAN!$V:$V,Sheet1!$A80,PLAN!$W:$W,Sheet1!$G$1)</f>
        <v>0</v>
      </c>
      <c r="H80" s="147">
        <f>SUMIFS(PLAN!$K:$K,PLAN!$V:$V,Sheet1!$A80,PLAN!$W:$W,Sheet1!$H$1)</f>
        <v>0</v>
      </c>
      <c r="I80" s="147">
        <f>SUMIFS(PLAN!$K:$K,PLAN!$V:$V,Sheet1!$A80,PLAN!$W:$W,Sheet1!$I$1)</f>
        <v>2342</v>
      </c>
      <c r="J80" s="147">
        <f>SUMIFS(PLAN!$K:$K,PLAN!$V:$V,Sheet1!$A80,PLAN!$W:$W,Sheet1!$J$1)</f>
        <v>840</v>
      </c>
      <c r="K80" s="147">
        <f>SUMIFS(PLAN!$K:$K,PLAN!$V:$V,Sheet1!$A80,PLAN!$W:$W,Sheet1!$K$1)</f>
        <v>704</v>
      </c>
      <c r="L80" s="147">
        <f>SUMIFS(PLAN!$K:$K,PLAN!$V:$V,Sheet1!$A80,PLAN!$W:$W,Sheet1!$L$1)</f>
        <v>0</v>
      </c>
      <c r="M80" s="147">
        <f>SUMIFS(PLAN!$K:$K,PLAN!$V:$V,Sheet1!$A80,PLAN!$W:$W,Sheet1!$M$1)</f>
        <v>0</v>
      </c>
      <c r="N80" s="147">
        <f>SUMIFS(PLAN!$K:$K,PLAN!$V:$V,Sheet1!$A80,PLAN!$W:$W,Sheet1!$N$1)</f>
        <v>0</v>
      </c>
      <c r="O80" s="147">
        <f t="shared" si="2"/>
        <v>3886</v>
      </c>
    </row>
    <row r="81" spans="1:15">
      <c r="A81" s="159">
        <v>46253</v>
      </c>
      <c r="B81" s="147">
        <f>SUMIFS(PLAN!$K:$K,PLAN!$V:$V,Sheet1!$A81,PLAN!$W:$W,Sheet1!$B$1)</f>
        <v>0</v>
      </c>
      <c r="C81" s="147">
        <f>SUMIFS(PLAN!$K:$K,PLAN!$V:$V,Sheet1!$A81,PLAN!$W:$W,Sheet1!$C$1)</f>
        <v>0</v>
      </c>
      <c r="D81" s="147">
        <f>SUMIFS(PLAN!$K:$K,PLAN!$V:$V,Sheet1!$A81,PLAN!$W:$W,Sheet1!$D$1)</f>
        <v>0</v>
      </c>
      <c r="E81" s="147">
        <f>SUMIFS(PLAN!$K:$K,PLAN!$V:$V,Sheet1!$A81,PLAN!$W:$W,Sheet1!$E$1)</f>
        <v>0</v>
      </c>
      <c r="F81" s="147">
        <f>SUMIFS(PLAN!$K:$K,PLAN!$V:$V,Sheet1!$A81,PLAN!$W:$W,Sheet1!$F$1)</f>
        <v>0</v>
      </c>
      <c r="G81" s="147">
        <f>SUMIFS(PLAN!$K:$K,PLAN!$V:$V,Sheet1!$A81,PLAN!$W:$W,Sheet1!$G$1)</f>
        <v>0</v>
      </c>
      <c r="H81" s="147">
        <f>SUMIFS(PLAN!$K:$K,PLAN!$V:$V,Sheet1!$A81,PLAN!$W:$W,Sheet1!$H$1)</f>
        <v>0</v>
      </c>
      <c r="I81" s="147">
        <f>SUMIFS(PLAN!$K:$K,PLAN!$V:$V,Sheet1!$A81,PLAN!$W:$W,Sheet1!$I$1)</f>
        <v>2201</v>
      </c>
      <c r="J81" s="147">
        <f>SUMIFS(PLAN!$K:$K,PLAN!$V:$V,Sheet1!$A81,PLAN!$W:$W,Sheet1!$J$1)</f>
        <v>744</v>
      </c>
      <c r="K81" s="147">
        <f>SUMIFS(PLAN!$K:$K,PLAN!$V:$V,Sheet1!$A81,PLAN!$W:$W,Sheet1!$K$1)</f>
        <v>0</v>
      </c>
      <c r="L81" s="147">
        <f>SUMIFS(PLAN!$K:$K,PLAN!$V:$V,Sheet1!$A81,PLAN!$W:$W,Sheet1!$L$1)</f>
        <v>0</v>
      </c>
      <c r="M81" s="147">
        <f>SUMIFS(PLAN!$K:$K,PLAN!$V:$V,Sheet1!$A81,PLAN!$W:$W,Sheet1!$M$1)</f>
        <v>0</v>
      </c>
      <c r="N81" s="147">
        <f>SUMIFS(PLAN!$K:$K,PLAN!$V:$V,Sheet1!$A81,PLAN!$W:$W,Sheet1!$N$1)</f>
        <v>0</v>
      </c>
      <c r="O81" s="147">
        <f t="shared" si="2"/>
        <v>2945</v>
      </c>
    </row>
    <row r="82" spans="1:15">
      <c r="A82" s="159">
        <v>46254</v>
      </c>
      <c r="B82" s="147">
        <f>SUMIFS(PLAN!$K:$K,PLAN!$V:$V,Sheet1!$A82,PLAN!$W:$W,Sheet1!$B$1)</f>
        <v>0</v>
      </c>
      <c r="C82" s="147">
        <f>SUMIFS(PLAN!$K:$K,PLAN!$V:$V,Sheet1!$A82,PLAN!$W:$W,Sheet1!$C$1)</f>
        <v>0</v>
      </c>
      <c r="D82" s="147">
        <f>SUMIFS(PLAN!$K:$K,PLAN!$V:$V,Sheet1!$A82,PLAN!$W:$W,Sheet1!$D$1)</f>
        <v>0</v>
      </c>
      <c r="E82" s="147">
        <f>SUMIFS(PLAN!$K:$K,PLAN!$V:$V,Sheet1!$A82,PLAN!$W:$W,Sheet1!$E$1)</f>
        <v>0</v>
      </c>
      <c r="F82" s="147">
        <f>SUMIFS(PLAN!$K:$K,PLAN!$V:$V,Sheet1!$A82,PLAN!$W:$W,Sheet1!$F$1)</f>
        <v>0</v>
      </c>
      <c r="G82" s="147">
        <f>SUMIFS(PLAN!$K:$K,PLAN!$V:$V,Sheet1!$A82,PLAN!$W:$W,Sheet1!$G$1)</f>
        <v>0</v>
      </c>
      <c r="H82" s="147">
        <f>SUMIFS(PLAN!$K:$K,PLAN!$V:$V,Sheet1!$A82,PLAN!$W:$W,Sheet1!$H$1)</f>
        <v>0</v>
      </c>
      <c r="I82" s="147">
        <f>SUMIFS(PLAN!$K:$K,PLAN!$V:$V,Sheet1!$A82,PLAN!$W:$W,Sheet1!$I$1)</f>
        <v>2369</v>
      </c>
      <c r="J82" s="147">
        <f>SUMIFS(PLAN!$K:$K,PLAN!$V:$V,Sheet1!$A82,PLAN!$W:$W,Sheet1!$J$1)</f>
        <v>752</v>
      </c>
      <c r="K82" s="147">
        <f>SUMIFS(PLAN!$K:$K,PLAN!$V:$V,Sheet1!$A82,PLAN!$W:$W,Sheet1!$K$1)</f>
        <v>0</v>
      </c>
      <c r="L82" s="147">
        <f>SUMIFS(PLAN!$K:$K,PLAN!$V:$V,Sheet1!$A82,PLAN!$W:$W,Sheet1!$L$1)</f>
        <v>0</v>
      </c>
      <c r="M82" s="147">
        <f>SUMIFS(PLAN!$K:$K,PLAN!$V:$V,Sheet1!$A82,PLAN!$W:$W,Sheet1!$M$1)</f>
        <v>0</v>
      </c>
      <c r="N82" s="147">
        <f>SUMIFS(PLAN!$K:$K,PLAN!$V:$V,Sheet1!$A82,PLAN!$W:$W,Sheet1!$N$1)</f>
        <v>0</v>
      </c>
      <c r="O82" s="147">
        <f t="shared" si="2"/>
        <v>3121</v>
      </c>
    </row>
    <row r="83" spans="1:15">
      <c r="A83" s="159">
        <v>46255</v>
      </c>
      <c r="B83" s="147">
        <f>SUMIFS(PLAN!$K:$K,PLAN!$V:$V,Sheet1!$A83,PLAN!$W:$W,Sheet1!$B$1)</f>
        <v>0</v>
      </c>
      <c r="C83" s="147">
        <f>SUMIFS(PLAN!$K:$K,PLAN!$V:$V,Sheet1!$A83,PLAN!$W:$W,Sheet1!$C$1)</f>
        <v>0</v>
      </c>
      <c r="D83" s="147">
        <f>SUMIFS(PLAN!$K:$K,PLAN!$V:$V,Sheet1!$A83,PLAN!$W:$W,Sheet1!$D$1)</f>
        <v>0</v>
      </c>
      <c r="E83" s="147">
        <f>SUMIFS(PLAN!$K:$K,PLAN!$V:$V,Sheet1!$A83,PLAN!$W:$W,Sheet1!$E$1)</f>
        <v>0</v>
      </c>
      <c r="F83" s="147">
        <f>SUMIFS(PLAN!$K:$K,PLAN!$V:$V,Sheet1!$A83,PLAN!$W:$W,Sheet1!$F$1)</f>
        <v>0</v>
      </c>
      <c r="G83" s="147">
        <f>SUMIFS(PLAN!$K:$K,PLAN!$V:$V,Sheet1!$A83,PLAN!$W:$W,Sheet1!$G$1)</f>
        <v>0</v>
      </c>
      <c r="H83" s="147">
        <f>SUMIFS(PLAN!$K:$K,PLAN!$V:$V,Sheet1!$A83,PLAN!$W:$W,Sheet1!$H$1)</f>
        <v>0</v>
      </c>
      <c r="I83" s="147">
        <f>SUMIFS(PLAN!$K:$K,PLAN!$V:$V,Sheet1!$A83,PLAN!$W:$W,Sheet1!$I$1)</f>
        <v>0</v>
      </c>
      <c r="J83" s="147">
        <f>SUMIFS(PLAN!$K:$K,PLAN!$V:$V,Sheet1!$A83,PLAN!$W:$W,Sheet1!$J$1)</f>
        <v>0</v>
      </c>
      <c r="K83" s="147">
        <f>SUMIFS(PLAN!$K:$K,PLAN!$V:$V,Sheet1!$A83,PLAN!$W:$W,Sheet1!$K$1)</f>
        <v>0</v>
      </c>
      <c r="L83" s="147">
        <f>SUMIFS(PLAN!$K:$K,PLAN!$V:$V,Sheet1!$A83,PLAN!$W:$W,Sheet1!$L$1)</f>
        <v>0</v>
      </c>
      <c r="M83" s="147">
        <f>SUMIFS(PLAN!$K:$K,PLAN!$V:$V,Sheet1!$A83,PLAN!$W:$W,Sheet1!$M$1)</f>
        <v>0</v>
      </c>
      <c r="N83" s="147">
        <f>SUMIFS(PLAN!$K:$K,PLAN!$V:$V,Sheet1!$A83,PLAN!$W:$W,Sheet1!$N$1)</f>
        <v>0</v>
      </c>
      <c r="O83" s="147">
        <f t="shared" si="2"/>
        <v>0</v>
      </c>
    </row>
    <row r="84" spans="1:15">
      <c r="A84" s="159">
        <v>46256</v>
      </c>
      <c r="B84" s="147">
        <f>SUMIFS(PLAN!$K:$K,PLAN!$V:$V,Sheet1!$A84,PLAN!$W:$W,Sheet1!$B$1)</f>
        <v>0</v>
      </c>
      <c r="C84" s="147">
        <f>SUMIFS(PLAN!$K:$K,PLAN!$V:$V,Sheet1!$A84,PLAN!$W:$W,Sheet1!$C$1)</f>
        <v>0</v>
      </c>
      <c r="D84" s="147">
        <f>SUMIFS(PLAN!$K:$K,PLAN!$V:$V,Sheet1!$A84,PLAN!$W:$W,Sheet1!$D$1)</f>
        <v>0</v>
      </c>
      <c r="E84" s="147">
        <f>SUMIFS(PLAN!$K:$K,PLAN!$V:$V,Sheet1!$A84,PLAN!$W:$W,Sheet1!$E$1)</f>
        <v>0</v>
      </c>
      <c r="F84" s="147">
        <f>SUMIFS(PLAN!$K:$K,PLAN!$V:$V,Sheet1!$A84,PLAN!$W:$W,Sheet1!$F$1)</f>
        <v>0</v>
      </c>
      <c r="G84" s="147">
        <f>SUMIFS(PLAN!$K:$K,PLAN!$V:$V,Sheet1!$A84,PLAN!$W:$W,Sheet1!$G$1)</f>
        <v>0</v>
      </c>
      <c r="H84" s="147">
        <f>SUMIFS(PLAN!$K:$K,PLAN!$V:$V,Sheet1!$A84,PLAN!$W:$W,Sheet1!$H$1)</f>
        <v>0</v>
      </c>
      <c r="I84" s="147">
        <f>SUMIFS(PLAN!$K:$K,PLAN!$V:$V,Sheet1!$A84,PLAN!$W:$W,Sheet1!$I$1)</f>
        <v>0</v>
      </c>
      <c r="J84" s="147">
        <f>SUMIFS(PLAN!$K:$K,PLAN!$V:$V,Sheet1!$A84,PLAN!$W:$W,Sheet1!$J$1)</f>
        <v>0</v>
      </c>
      <c r="K84" s="147">
        <f>SUMIFS(PLAN!$K:$K,PLAN!$V:$V,Sheet1!$A84,PLAN!$W:$W,Sheet1!$K$1)</f>
        <v>0</v>
      </c>
      <c r="L84" s="147">
        <f>SUMIFS(PLAN!$K:$K,PLAN!$V:$V,Sheet1!$A84,PLAN!$W:$W,Sheet1!$L$1)</f>
        <v>0</v>
      </c>
      <c r="M84" s="147">
        <f>SUMIFS(PLAN!$K:$K,PLAN!$V:$V,Sheet1!$A84,PLAN!$W:$W,Sheet1!$M$1)</f>
        <v>0</v>
      </c>
      <c r="N84" s="147">
        <f>SUMIFS(PLAN!$K:$K,PLAN!$V:$V,Sheet1!$A84,PLAN!$W:$W,Sheet1!$N$1)</f>
        <v>0</v>
      </c>
      <c r="O84" s="147">
        <f t="shared" si="2"/>
        <v>0</v>
      </c>
    </row>
    <row r="85" spans="1:15" ht="15" customHeight="1">
      <c r="A85" s="159">
        <v>46257</v>
      </c>
      <c r="B85" s="147">
        <f>SUMIFS(PLAN!$K:$K,PLAN!$V:$V,Sheet1!$A85,PLAN!$W:$W,Sheet1!$B$1)</f>
        <v>0</v>
      </c>
      <c r="C85" s="147">
        <f>SUMIFS(PLAN!$K:$K,PLAN!$V:$V,Sheet1!$A85,PLAN!$W:$W,Sheet1!$C$1)</f>
        <v>0</v>
      </c>
      <c r="D85" s="147">
        <f>SUMIFS(PLAN!$K:$K,PLAN!$V:$V,Sheet1!$A85,PLAN!$W:$W,Sheet1!$D$1)</f>
        <v>0</v>
      </c>
      <c r="E85" s="147">
        <f>SUMIFS(PLAN!$K:$K,PLAN!$V:$V,Sheet1!$A85,PLAN!$W:$W,Sheet1!$E$1)</f>
        <v>0</v>
      </c>
      <c r="F85" s="147">
        <f>SUMIFS(PLAN!$K:$K,PLAN!$V:$V,Sheet1!$A85,PLAN!$W:$W,Sheet1!$F$1)</f>
        <v>0</v>
      </c>
      <c r="G85" s="147">
        <f>SUMIFS(PLAN!$K:$K,PLAN!$V:$V,Sheet1!$A85,PLAN!$W:$W,Sheet1!$G$1)</f>
        <v>0</v>
      </c>
      <c r="H85" s="147">
        <f>SUMIFS(PLAN!$K:$K,PLAN!$V:$V,Sheet1!$A85,PLAN!$W:$W,Sheet1!$H$1)</f>
        <v>0</v>
      </c>
      <c r="I85" s="147">
        <f>SUMIFS(PLAN!$K:$K,PLAN!$V:$V,Sheet1!$A85,PLAN!$W:$W,Sheet1!$I$1)</f>
        <v>0</v>
      </c>
      <c r="J85" s="147">
        <f>SUMIFS(PLAN!$K:$K,PLAN!$V:$V,Sheet1!$A85,PLAN!$W:$W,Sheet1!$J$1)</f>
        <v>0</v>
      </c>
      <c r="K85" s="147">
        <f>SUMIFS(PLAN!$K:$K,PLAN!$V:$V,Sheet1!$A85,PLAN!$W:$W,Sheet1!$K$1)</f>
        <v>0</v>
      </c>
      <c r="L85" s="147">
        <f>SUMIFS(PLAN!$K:$K,PLAN!$V:$V,Sheet1!$A85,PLAN!$W:$W,Sheet1!$L$1)</f>
        <v>0</v>
      </c>
      <c r="M85" s="147">
        <f>SUMIFS(PLAN!$K:$K,PLAN!$V:$V,Sheet1!$A85,PLAN!$W:$W,Sheet1!$M$1)</f>
        <v>0</v>
      </c>
      <c r="N85" s="147">
        <f>SUMIFS(PLAN!$K:$K,PLAN!$V:$V,Sheet1!$A85,PLAN!$W:$W,Sheet1!$N$1)</f>
        <v>0</v>
      </c>
      <c r="O85" s="147">
        <f t="shared" si="2"/>
        <v>0</v>
      </c>
    </row>
    <row r="86" spans="1:15">
      <c r="A86" s="159">
        <v>46258</v>
      </c>
      <c r="B86" s="147">
        <f>SUMIFS(PLAN!$K:$K,PLAN!$V:$V,Sheet1!$A86,PLAN!$W:$W,Sheet1!$B$1)</f>
        <v>0</v>
      </c>
      <c r="C86" s="147">
        <f>SUMIFS(PLAN!$K:$K,PLAN!$V:$V,Sheet1!$A86,PLAN!$W:$W,Sheet1!$C$1)</f>
        <v>0</v>
      </c>
      <c r="D86" s="147">
        <f>SUMIFS(PLAN!$K:$K,PLAN!$V:$V,Sheet1!$A86,PLAN!$W:$W,Sheet1!$D$1)</f>
        <v>0</v>
      </c>
      <c r="E86" s="147">
        <f>SUMIFS(PLAN!$K:$K,PLAN!$V:$V,Sheet1!$A86,PLAN!$W:$W,Sheet1!$E$1)</f>
        <v>0</v>
      </c>
      <c r="F86" s="147">
        <f>SUMIFS(PLAN!$K:$K,PLAN!$V:$V,Sheet1!$A86,PLAN!$W:$W,Sheet1!$F$1)</f>
        <v>0</v>
      </c>
      <c r="G86" s="147">
        <f>SUMIFS(PLAN!$K:$K,PLAN!$V:$V,Sheet1!$A86,PLAN!$W:$W,Sheet1!$G$1)</f>
        <v>0</v>
      </c>
      <c r="H86" s="147">
        <f>SUMIFS(PLAN!$K:$K,PLAN!$V:$V,Sheet1!$A86,PLAN!$W:$W,Sheet1!$H$1)</f>
        <v>0</v>
      </c>
      <c r="I86" s="147">
        <f>SUMIFS(PLAN!$K:$K,PLAN!$V:$V,Sheet1!$A86,PLAN!$W:$W,Sheet1!$I$1)</f>
        <v>1154</v>
      </c>
      <c r="J86" s="147">
        <f>SUMIFS(PLAN!$K:$K,PLAN!$V:$V,Sheet1!$A86,PLAN!$W:$W,Sheet1!$J$1)</f>
        <v>707</v>
      </c>
      <c r="K86" s="147">
        <f>SUMIFS(PLAN!$K:$K,PLAN!$V:$V,Sheet1!$A86,PLAN!$W:$W,Sheet1!$K$1)</f>
        <v>831</v>
      </c>
      <c r="L86" s="147">
        <f>SUMIFS(PLAN!$K:$K,PLAN!$V:$V,Sheet1!$A86,PLAN!$W:$W,Sheet1!$L$1)</f>
        <v>0</v>
      </c>
      <c r="M86" s="147">
        <f>SUMIFS(PLAN!$K:$K,PLAN!$V:$V,Sheet1!$A86,PLAN!$W:$W,Sheet1!$M$1)</f>
        <v>0</v>
      </c>
      <c r="N86" s="147">
        <f>SUMIFS(PLAN!$K:$K,PLAN!$V:$V,Sheet1!$A86,PLAN!$W:$W,Sheet1!$N$1)</f>
        <v>0</v>
      </c>
      <c r="O86" s="147">
        <f t="shared" si="2"/>
        <v>2692</v>
      </c>
    </row>
    <row r="87" spans="1:15">
      <c r="A87" s="159">
        <v>46259</v>
      </c>
      <c r="B87" s="147">
        <f>SUMIFS(PLAN!$K:$K,PLAN!$V:$V,Sheet1!$A87,PLAN!$W:$W,Sheet1!$B$1)</f>
        <v>0</v>
      </c>
      <c r="C87" s="147">
        <f>SUMIFS(PLAN!$K:$K,PLAN!$V:$V,Sheet1!$A87,PLAN!$W:$W,Sheet1!$C$1)</f>
        <v>0</v>
      </c>
      <c r="D87" s="147">
        <f>SUMIFS(PLAN!$K:$K,PLAN!$V:$V,Sheet1!$A87,PLAN!$W:$W,Sheet1!$D$1)</f>
        <v>0</v>
      </c>
      <c r="E87" s="147">
        <f>SUMIFS(PLAN!$K:$K,PLAN!$V:$V,Sheet1!$A87,PLAN!$W:$W,Sheet1!$E$1)</f>
        <v>0</v>
      </c>
      <c r="F87" s="147">
        <f>SUMIFS(PLAN!$K:$K,PLAN!$V:$V,Sheet1!$A87,PLAN!$W:$W,Sheet1!$F$1)</f>
        <v>0</v>
      </c>
      <c r="G87" s="147">
        <f>SUMIFS(PLAN!$K:$K,PLAN!$V:$V,Sheet1!$A87,PLAN!$W:$W,Sheet1!$G$1)</f>
        <v>0</v>
      </c>
      <c r="H87" s="147">
        <f>SUMIFS(PLAN!$K:$K,PLAN!$V:$V,Sheet1!$A87,PLAN!$W:$W,Sheet1!$H$1)</f>
        <v>0</v>
      </c>
      <c r="I87" s="147">
        <f>SUMIFS(PLAN!$K:$K,PLAN!$V:$V,Sheet1!$A87,PLAN!$W:$W,Sheet1!$I$1)</f>
        <v>0</v>
      </c>
      <c r="J87" s="147">
        <f>SUMIFS(PLAN!$K:$K,PLAN!$V:$V,Sheet1!$A87,PLAN!$W:$W,Sheet1!$J$1)</f>
        <v>837</v>
      </c>
      <c r="K87" s="147">
        <f>SUMIFS(PLAN!$K:$K,PLAN!$V:$V,Sheet1!$A87,PLAN!$W:$W,Sheet1!$K$1)</f>
        <v>720</v>
      </c>
      <c r="L87" s="147">
        <f>SUMIFS(PLAN!$K:$K,PLAN!$V:$V,Sheet1!$A87,PLAN!$W:$W,Sheet1!$L$1)</f>
        <v>0</v>
      </c>
      <c r="M87" s="147">
        <f>SUMIFS(PLAN!$K:$K,PLAN!$V:$V,Sheet1!$A87,PLAN!$W:$W,Sheet1!$M$1)</f>
        <v>0</v>
      </c>
      <c r="N87" s="147">
        <f>SUMIFS(PLAN!$K:$K,PLAN!$V:$V,Sheet1!$A87,PLAN!$W:$W,Sheet1!$N$1)</f>
        <v>0</v>
      </c>
      <c r="O87" s="147">
        <f t="shared" si="2"/>
        <v>1557</v>
      </c>
    </row>
    <row r="88" spans="1:15">
      <c r="A88" s="159">
        <v>46260</v>
      </c>
      <c r="B88" s="147">
        <f>SUMIFS(PLAN!$K:$K,PLAN!$V:$V,Sheet1!$A88,PLAN!$W:$W,Sheet1!$B$1)</f>
        <v>0</v>
      </c>
      <c r="C88" s="147">
        <f>SUMIFS(PLAN!$K:$K,PLAN!$V:$V,Sheet1!$A88,PLAN!$W:$W,Sheet1!$C$1)</f>
        <v>0</v>
      </c>
      <c r="D88" s="147">
        <f>SUMIFS(PLAN!$K:$K,PLAN!$V:$V,Sheet1!$A88,PLAN!$W:$W,Sheet1!$D$1)</f>
        <v>0</v>
      </c>
      <c r="E88" s="147">
        <f>SUMIFS(PLAN!$K:$K,PLAN!$V:$V,Sheet1!$A88,PLAN!$W:$W,Sheet1!$E$1)</f>
        <v>0</v>
      </c>
      <c r="F88" s="147">
        <f>SUMIFS(PLAN!$K:$K,PLAN!$V:$V,Sheet1!$A88,PLAN!$W:$W,Sheet1!$F$1)</f>
        <v>0</v>
      </c>
      <c r="G88" s="147">
        <f>SUMIFS(PLAN!$K:$K,PLAN!$V:$V,Sheet1!$A88,PLAN!$W:$W,Sheet1!$G$1)</f>
        <v>0</v>
      </c>
      <c r="H88" s="147">
        <f>SUMIFS(PLAN!$K:$K,PLAN!$V:$V,Sheet1!$A88,PLAN!$W:$W,Sheet1!$H$1)</f>
        <v>0</v>
      </c>
      <c r="I88" s="147">
        <f>SUMIFS(PLAN!$K:$K,PLAN!$V:$V,Sheet1!$A88,PLAN!$W:$W,Sheet1!$I$1)</f>
        <v>0</v>
      </c>
      <c r="J88" s="147">
        <f>SUMIFS(PLAN!$K:$K,PLAN!$V:$V,Sheet1!$A88,PLAN!$W:$W,Sheet1!$J$1)</f>
        <v>995</v>
      </c>
      <c r="K88" s="147">
        <f>SUMIFS(PLAN!$K:$K,PLAN!$V:$V,Sheet1!$A88,PLAN!$W:$W,Sheet1!$K$1)</f>
        <v>0</v>
      </c>
      <c r="L88" s="147">
        <f>SUMIFS(PLAN!$K:$K,PLAN!$V:$V,Sheet1!$A88,PLAN!$W:$W,Sheet1!$L$1)</f>
        <v>0</v>
      </c>
      <c r="M88" s="147">
        <f>SUMIFS(PLAN!$K:$K,PLAN!$V:$V,Sheet1!$A88,PLAN!$W:$W,Sheet1!$M$1)</f>
        <v>0</v>
      </c>
      <c r="N88" s="147">
        <f>SUMIFS(PLAN!$K:$K,PLAN!$V:$V,Sheet1!$A88,PLAN!$W:$W,Sheet1!$N$1)</f>
        <v>0</v>
      </c>
      <c r="O88" s="147">
        <f t="shared" si="2"/>
        <v>995</v>
      </c>
    </row>
    <row r="89" spans="1:15">
      <c r="A89" s="159">
        <v>46261</v>
      </c>
      <c r="B89" s="147">
        <f>SUMIFS(PLAN!$K:$K,PLAN!$V:$V,Sheet1!$A89,PLAN!$W:$W,Sheet1!$B$1)</f>
        <v>0</v>
      </c>
      <c r="C89" s="147">
        <f>SUMIFS(PLAN!$K:$K,PLAN!$V:$V,Sheet1!$A89,PLAN!$W:$W,Sheet1!$C$1)</f>
        <v>0</v>
      </c>
      <c r="D89" s="147">
        <f>SUMIFS(PLAN!$K:$K,PLAN!$V:$V,Sheet1!$A89,PLAN!$W:$W,Sheet1!$D$1)</f>
        <v>0</v>
      </c>
      <c r="E89" s="147">
        <f>SUMIFS(PLAN!$K:$K,PLAN!$V:$V,Sheet1!$A89,PLAN!$W:$W,Sheet1!$E$1)</f>
        <v>0</v>
      </c>
      <c r="F89" s="147">
        <f>SUMIFS(PLAN!$K:$K,PLAN!$V:$V,Sheet1!$A89,PLAN!$W:$W,Sheet1!$F$1)</f>
        <v>0</v>
      </c>
      <c r="G89" s="147">
        <f>SUMIFS(PLAN!$K:$K,PLAN!$V:$V,Sheet1!$A89,PLAN!$W:$W,Sheet1!$G$1)</f>
        <v>0</v>
      </c>
      <c r="H89" s="147">
        <f>SUMIFS(PLAN!$K:$K,PLAN!$V:$V,Sheet1!$A89,PLAN!$W:$W,Sheet1!$H$1)</f>
        <v>0</v>
      </c>
      <c r="I89" s="147">
        <f>SUMIFS(PLAN!$K:$K,PLAN!$V:$V,Sheet1!$A89,PLAN!$W:$W,Sheet1!$I$1)</f>
        <v>0</v>
      </c>
      <c r="J89" s="147">
        <f>SUMIFS(PLAN!$K:$K,PLAN!$V:$V,Sheet1!$A89,PLAN!$W:$W,Sheet1!$J$1)</f>
        <v>0</v>
      </c>
      <c r="K89" s="147">
        <f>SUMIFS(PLAN!$K:$K,PLAN!$V:$V,Sheet1!$A89,PLAN!$W:$W,Sheet1!$K$1)</f>
        <v>0</v>
      </c>
      <c r="L89" s="147">
        <f>SUMIFS(PLAN!$K:$K,PLAN!$V:$V,Sheet1!$A89,PLAN!$W:$W,Sheet1!$L$1)</f>
        <v>0</v>
      </c>
      <c r="M89" s="147">
        <f>SUMIFS(PLAN!$K:$K,PLAN!$V:$V,Sheet1!$A89,PLAN!$W:$W,Sheet1!$M$1)</f>
        <v>0</v>
      </c>
      <c r="N89" s="147">
        <f>SUMIFS(PLAN!$K:$K,PLAN!$V:$V,Sheet1!$A89,PLAN!$W:$W,Sheet1!$N$1)</f>
        <v>0</v>
      </c>
      <c r="O89" s="147">
        <f t="shared" si="2"/>
        <v>0</v>
      </c>
    </row>
    <row r="90" spans="1:15">
      <c r="A90" s="159">
        <v>46262</v>
      </c>
      <c r="B90" s="147">
        <f>SUMIFS(PLAN!$K:$K,PLAN!$V:$V,Sheet1!$A90,PLAN!$W:$W,Sheet1!$B$1)</f>
        <v>0</v>
      </c>
      <c r="C90" s="147">
        <f>SUMIFS(PLAN!$K:$K,PLAN!$V:$V,Sheet1!$A90,PLAN!$W:$W,Sheet1!$C$1)</f>
        <v>0</v>
      </c>
      <c r="D90" s="147">
        <f>SUMIFS(PLAN!$K:$K,PLAN!$V:$V,Sheet1!$A90,PLAN!$W:$W,Sheet1!$D$1)</f>
        <v>0</v>
      </c>
      <c r="E90" s="147">
        <f>SUMIFS(PLAN!$K:$K,PLAN!$V:$V,Sheet1!$A90,PLAN!$W:$W,Sheet1!$E$1)</f>
        <v>0</v>
      </c>
      <c r="F90" s="147">
        <f>SUMIFS(PLAN!$K:$K,PLAN!$V:$V,Sheet1!$A90,PLAN!$W:$W,Sheet1!$F$1)</f>
        <v>0</v>
      </c>
      <c r="G90" s="147">
        <f>SUMIFS(PLAN!$K:$K,PLAN!$V:$V,Sheet1!$A90,PLAN!$W:$W,Sheet1!$G$1)</f>
        <v>0</v>
      </c>
      <c r="H90" s="147">
        <f>SUMIFS(PLAN!$K:$K,PLAN!$V:$V,Sheet1!$A90,PLAN!$W:$W,Sheet1!$H$1)</f>
        <v>0</v>
      </c>
      <c r="I90" s="147">
        <f>SUMIFS(PLAN!$K:$K,PLAN!$V:$V,Sheet1!$A90,PLAN!$W:$W,Sheet1!$I$1)</f>
        <v>0</v>
      </c>
      <c r="J90" s="147">
        <f>SUMIFS(PLAN!$K:$K,PLAN!$V:$V,Sheet1!$A90,PLAN!$W:$W,Sheet1!$J$1)</f>
        <v>0</v>
      </c>
      <c r="K90" s="147">
        <f>SUMIFS(PLAN!$K:$K,PLAN!$V:$V,Sheet1!$A90,PLAN!$W:$W,Sheet1!$K$1)</f>
        <v>0</v>
      </c>
      <c r="L90" s="147">
        <f>SUMIFS(PLAN!$K:$K,PLAN!$V:$V,Sheet1!$A90,PLAN!$W:$W,Sheet1!$L$1)</f>
        <v>0</v>
      </c>
      <c r="M90" s="147">
        <f>SUMIFS(PLAN!$K:$K,PLAN!$V:$V,Sheet1!$A90,PLAN!$W:$W,Sheet1!$M$1)</f>
        <v>0</v>
      </c>
      <c r="N90" s="147">
        <f>SUMIFS(PLAN!$K:$K,PLAN!$V:$V,Sheet1!$A90,PLAN!$W:$W,Sheet1!$N$1)</f>
        <v>0</v>
      </c>
      <c r="O90" s="147">
        <f t="shared" si="2"/>
        <v>0</v>
      </c>
    </row>
    <row r="91" spans="1:15">
      <c r="A91" s="159">
        <v>46263</v>
      </c>
      <c r="B91" s="147">
        <f>SUMIFS(PLAN!$K:$K,PLAN!$V:$V,Sheet1!$A91,PLAN!$W:$W,Sheet1!$B$1)</f>
        <v>0</v>
      </c>
      <c r="C91" s="147">
        <f>SUMIFS(PLAN!$K:$K,PLAN!$V:$V,Sheet1!$A91,PLAN!$W:$W,Sheet1!$C$1)</f>
        <v>0</v>
      </c>
      <c r="D91" s="147">
        <f>SUMIFS(PLAN!$K:$K,PLAN!$V:$V,Sheet1!$A91,PLAN!$W:$W,Sheet1!$D$1)</f>
        <v>0</v>
      </c>
      <c r="E91" s="147">
        <f>SUMIFS(PLAN!$K:$K,PLAN!$V:$V,Sheet1!$A91,PLAN!$W:$W,Sheet1!$E$1)</f>
        <v>0</v>
      </c>
      <c r="F91" s="147">
        <f>SUMIFS(PLAN!$K:$K,PLAN!$V:$V,Sheet1!$A91,PLAN!$W:$W,Sheet1!$F$1)</f>
        <v>0</v>
      </c>
      <c r="G91" s="147">
        <f>SUMIFS(PLAN!$K:$K,PLAN!$V:$V,Sheet1!$A91,PLAN!$W:$W,Sheet1!$G$1)</f>
        <v>0</v>
      </c>
      <c r="H91" s="147">
        <f>SUMIFS(PLAN!$K:$K,PLAN!$V:$V,Sheet1!$A91,PLAN!$W:$W,Sheet1!$H$1)</f>
        <v>0</v>
      </c>
      <c r="I91" s="147">
        <f>SUMIFS(PLAN!$K:$K,PLAN!$V:$V,Sheet1!$A91,PLAN!$W:$W,Sheet1!$I$1)</f>
        <v>0</v>
      </c>
      <c r="J91" s="147">
        <f>SUMIFS(PLAN!$K:$K,PLAN!$V:$V,Sheet1!$A91,PLAN!$W:$W,Sheet1!$J$1)</f>
        <v>0</v>
      </c>
      <c r="K91" s="147">
        <f>SUMIFS(PLAN!$K:$K,PLAN!$V:$V,Sheet1!$A91,PLAN!$W:$W,Sheet1!$K$1)</f>
        <v>0</v>
      </c>
      <c r="L91" s="147">
        <f>SUMIFS(PLAN!$K:$K,PLAN!$V:$V,Sheet1!$A91,PLAN!$W:$W,Sheet1!$L$1)</f>
        <v>0</v>
      </c>
      <c r="M91" s="147">
        <f>SUMIFS(PLAN!$K:$K,PLAN!$V:$V,Sheet1!$A91,PLAN!$W:$W,Sheet1!$M$1)</f>
        <v>0</v>
      </c>
      <c r="N91" s="147">
        <f>SUMIFS(PLAN!$K:$K,PLAN!$V:$V,Sheet1!$A91,PLAN!$W:$W,Sheet1!$N$1)</f>
        <v>0</v>
      </c>
      <c r="O91" s="147">
        <f t="shared" si="2"/>
        <v>0</v>
      </c>
    </row>
    <row r="92" spans="1:15">
      <c r="A92" s="159">
        <v>46264</v>
      </c>
      <c r="B92" s="147">
        <f>SUMIFS(PLAN!$K:$K,PLAN!$V:$V,Sheet1!$A92,PLAN!$W:$W,Sheet1!$B$1)</f>
        <v>0</v>
      </c>
      <c r="C92" s="147">
        <f>SUMIFS(PLAN!$K:$K,PLAN!$V:$V,Sheet1!$A92,PLAN!$W:$W,Sheet1!$C$1)</f>
        <v>0</v>
      </c>
      <c r="D92" s="147">
        <f>SUMIFS(PLAN!$K:$K,PLAN!$V:$V,Sheet1!$A92,PLAN!$W:$W,Sheet1!$D$1)</f>
        <v>0</v>
      </c>
      <c r="E92" s="147">
        <f>SUMIFS(PLAN!$K:$K,PLAN!$V:$V,Sheet1!$A92,PLAN!$W:$W,Sheet1!$E$1)</f>
        <v>0</v>
      </c>
      <c r="F92" s="147">
        <f>SUMIFS(PLAN!$K:$K,PLAN!$V:$V,Sheet1!$A92,PLAN!$W:$W,Sheet1!$F$1)</f>
        <v>0</v>
      </c>
      <c r="G92" s="147">
        <f>SUMIFS(PLAN!$K:$K,PLAN!$V:$V,Sheet1!$A92,PLAN!$W:$W,Sheet1!$G$1)</f>
        <v>0</v>
      </c>
      <c r="H92" s="147">
        <f>SUMIFS(PLAN!$K:$K,PLAN!$V:$V,Sheet1!$A92,PLAN!$W:$W,Sheet1!$H$1)</f>
        <v>0</v>
      </c>
      <c r="I92" s="147">
        <f>SUMIFS(PLAN!$K:$K,PLAN!$V:$V,Sheet1!$A92,PLAN!$W:$W,Sheet1!$I$1)</f>
        <v>0</v>
      </c>
      <c r="J92" s="147">
        <f>SUMIFS(PLAN!$K:$K,PLAN!$V:$V,Sheet1!$A92,PLAN!$W:$W,Sheet1!$J$1)</f>
        <v>0</v>
      </c>
      <c r="K92" s="147">
        <f>SUMIFS(PLAN!$K:$K,PLAN!$V:$V,Sheet1!$A92,PLAN!$W:$W,Sheet1!$K$1)</f>
        <v>0</v>
      </c>
      <c r="L92" s="147">
        <f>SUMIFS(PLAN!$K:$K,PLAN!$V:$V,Sheet1!$A92,PLAN!$W:$W,Sheet1!$L$1)</f>
        <v>0</v>
      </c>
      <c r="M92" s="147">
        <f>SUMIFS(PLAN!$K:$K,PLAN!$V:$V,Sheet1!$A92,PLAN!$W:$W,Sheet1!$M$1)</f>
        <v>0</v>
      </c>
      <c r="N92" s="147">
        <f>SUMIFS(PLAN!$K:$K,PLAN!$V:$V,Sheet1!$A92,PLAN!$W:$W,Sheet1!$N$1)</f>
        <v>0</v>
      </c>
      <c r="O92" s="147">
        <f t="shared" si="2"/>
        <v>0</v>
      </c>
    </row>
    <row r="93" spans="1:15">
      <c r="A93" s="159">
        <v>46265</v>
      </c>
      <c r="B93" s="147">
        <f>SUMIFS(PLAN!$K:$K,PLAN!$V:$V,Sheet1!$A93,PLAN!$W:$W,Sheet1!$B$1)</f>
        <v>0</v>
      </c>
      <c r="C93" s="147">
        <f>SUMIFS(PLAN!$K:$K,PLAN!$V:$V,Sheet1!$A93,PLAN!$W:$W,Sheet1!$C$1)</f>
        <v>0</v>
      </c>
      <c r="D93" s="147">
        <f>SUMIFS(PLAN!$K:$K,PLAN!$V:$V,Sheet1!$A93,PLAN!$W:$W,Sheet1!$D$1)</f>
        <v>0</v>
      </c>
      <c r="E93" s="147">
        <f>SUMIFS(PLAN!$K:$K,PLAN!$V:$V,Sheet1!$A93,PLAN!$W:$W,Sheet1!$E$1)</f>
        <v>0</v>
      </c>
      <c r="F93" s="147">
        <f>SUMIFS(PLAN!$K:$K,PLAN!$V:$V,Sheet1!$A93,PLAN!$W:$W,Sheet1!$F$1)</f>
        <v>0</v>
      </c>
      <c r="G93" s="147">
        <f>SUMIFS(PLAN!$K:$K,PLAN!$V:$V,Sheet1!$A93,PLAN!$W:$W,Sheet1!$G$1)</f>
        <v>0</v>
      </c>
      <c r="H93" s="147">
        <f>SUMIFS(PLAN!$K:$K,PLAN!$V:$V,Sheet1!$A93,PLAN!$W:$W,Sheet1!$H$1)</f>
        <v>0</v>
      </c>
      <c r="I93" s="147">
        <f>SUMIFS(PLAN!$K:$K,PLAN!$V:$V,Sheet1!$A93,PLAN!$W:$W,Sheet1!$I$1)</f>
        <v>0</v>
      </c>
      <c r="J93" s="147">
        <f>SUMIFS(PLAN!$K:$K,PLAN!$V:$V,Sheet1!$A93,PLAN!$W:$W,Sheet1!$J$1)</f>
        <v>0</v>
      </c>
      <c r="K93" s="147">
        <f>SUMIFS(PLAN!$K:$K,PLAN!$V:$V,Sheet1!$A93,PLAN!$W:$W,Sheet1!$K$1)</f>
        <v>0</v>
      </c>
      <c r="L93" s="147">
        <f>SUMIFS(PLAN!$K:$K,PLAN!$V:$V,Sheet1!$A93,PLAN!$W:$W,Sheet1!$L$1)</f>
        <v>0</v>
      </c>
      <c r="M93" s="147">
        <f>SUMIFS(PLAN!$K:$K,PLAN!$V:$V,Sheet1!$A93,PLAN!$W:$W,Sheet1!$M$1)</f>
        <v>0</v>
      </c>
      <c r="N93" s="147">
        <f>SUMIFS(PLAN!$K:$K,PLAN!$V:$V,Sheet1!$A93,PLAN!$W:$W,Sheet1!$N$1)</f>
        <v>0</v>
      </c>
      <c r="O93" s="147">
        <f t="shared" si="2"/>
        <v>0</v>
      </c>
    </row>
    <row r="94" spans="1:15">
      <c r="A94" s="159">
        <v>46266</v>
      </c>
      <c r="B94" s="147">
        <f>SUMIFS(PLAN!$K:$K,PLAN!$V:$V,Sheet1!$A94,PLAN!$W:$W,Sheet1!$B$1)</f>
        <v>0</v>
      </c>
      <c r="C94" s="147">
        <f>SUMIFS(PLAN!$K:$K,PLAN!$V:$V,Sheet1!$A94,PLAN!$W:$W,Sheet1!$C$1)</f>
        <v>0</v>
      </c>
      <c r="D94" s="147">
        <f>SUMIFS(PLAN!$K:$K,PLAN!$V:$V,Sheet1!$A94,PLAN!$W:$W,Sheet1!$D$1)</f>
        <v>0</v>
      </c>
      <c r="E94" s="147">
        <f>SUMIFS(PLAN!$K:$K,PLAN!$V:$V,Sheet1!$A94,PLAN!$W:$W,Sheet1!$E$1)</f>
        <v>0</v>
      </c>
      <c r="F94" s="147">
        <f>SUMIFS(PLAN!$K:$K,PLAN!$V:$V,Sheet1!$A94,PLAN!$W:$W,Sheet1!$F$1)</f>
        <v>0</v>
      </c>
      <c r="G94" s="147">
        <f>SUMIFS(PLAN!$K:$K,PLAN!$V:$V,Sheet1!$A94,PLAN!$W:$W,Sheet1!$G$1)</f>
        <v>0</v>
      </c>
      <c r="H94" s="147">
        <f>SUMIFS(PLAN!$K:$K,PLAN!$V:$V,Sheet1!$A94,PLAN!$W:$W,Sheet1!$H$1)</f>
        <v>0</v>
      </c>
      <c r="I94" s="147">
        <f>SUMIFS(PLAN!$K:$K,PLAN!$V:$V,Sheet1!$A94,PLAN!$W:$W,Sheet1!$I$1)</f>
        <v>0</v>
      </c>
      <c r="J94" s="147">
        <f>SUMIFS(PLAN!$K:$K,PLAN!$V:$V,Sheet1!$A94,PLAN!$W:$W,Sheet1!$J$1)</f>
        <v>0</v>
      </c>
      <c r="K94" s="147">
        <f>SUMIFS(PLAN!$K:$K,PLAN!$V:$V,Sheet1!$A94,PLAN!$W:$W,Sheet1!$K$1)</f>
        <v>0</v>
      </c>
      <c r="L94" s="147">
        <f>SUMIFS(PLAN!$K:$K,PLAN!$V:$V,Sheet1!$A94,PLAN!$W:$W,Sheet1!$L$1)</f>
        <v>0</v>
      </c>
      <c r="M94" s="147">
        <f>SUMIFS(PLAN!$K:$K,PLAN!$V:$V,Sheet1!$A94,PLAN!$W:$W,Sheet1!$M$1)</f>
        <v>0</v>
      </c>
      <c r="N94" s="147">
        <f>SUMIFS(PLAN!$K:$K,PLAN!$V:$V,Sheet1!$A94,PLAN!$W:$W,Sheet1!$N$1)</f>
        <v>0</v>
      </c>
      <c r="O94" s="147">
        <f t="shared" si="2"/>
        <v>0</v>
      </c>
    </row>
    <row r="95" spans="1:15">
      <c r="A95" s="159">
        <v>46267</v>
      </c>
      <c r="B95" s="147">
        <f>SUMIFS(PLAN!$K:$K,PLAN!$V:$V,Sheet1!$A95,PLAN!$W:$W,Sheet1!$B$1)</f>
        <v>0</v>
      </c>
      <c r="C95" s="147">
        <f>SUMIFS(PLAN!$K:$K,PLAN!$V:$V,Sheet1!$A95,PLAN!$W:$W,Sheet1!$C$1)</f>
        <v>0</v>
      </c>
      <c r="D95" s="147">
        <f>SUMIFS(PLAN!$K:$K,PLAN!$V:$V,Sheet1!$A95,PLAN!$W:$W,Sheet1!$D$1)</f>
        <v>0</v>
      </c>
      <c r="E95" s="147">
        <f>SUMIFS(PLAN!$K:$K,PLAN!$V:$V,Sheet1!$A95,PLAN!$W:$W,Sheet1!$E$1)</f>
        <v>0</v>
      </c>
      <c r="F95" s="147">
        <f>SUMIFS(PLAN!$K:$K,PLAN!$V:$V,Sheet1!$A95,PLAN!$W:$W,Sheet1!$F$1)</f>
        <v>0</v>
      </c>
      <c r="G95" s="147">
        <f>SUMIFS(PLAN!$K:$K,PLAN!$V:$V,Sheet1!$A95,PLAN!$W:$W,Sheet1!$G$1)</f>
        <v>0</v>
      </c>
      <c r="H95" s="147">
        <f>SUMIFS(PLAN!$K:$K,PLAN!$V:$V,Sheet1!$A95,PLAN!$W:$W,Sheet1!$H$1)</f>
        <v>0</v>
      </c>
      <c r="I95" s="147">
        <f>SUMIFS(PLAN!$K:$K,PLAN!$V:$V,Sheet1!$A95,PLAN!$W:$W,Sheet1!$I$1)</f>
        <v>0</v>
      </c>
      <c r="J95" s="147">
        <f>SUMIFS(PLAN!$K:$K,PLAN!$V:$V,Sheet1!$A95,PLAN!$W:$W,Sheet1!$J$1)</f>
        <v>0</v>
      </c>
      <c r="K95" s="147">
        <f>SUMIFS(PLAN!$K:$K,PLAN!$V:$V,Sheet1!$A95,PLAN!$W:$W,Sheet1!$K$1)</f>
        <v>0</v>
      </c>
      <c r="L95" s="147">
        <f>SUMIFS(PLAN!$K:$K,PLAN!$V:$V,Sheet1!$A95,PLAN!$W:$W,Sheet1!$L$1)</f>
        <v>0</v>
      </c>
      <c r="M95" s="147">
        <f>SUMIFS(PLAN!$K:$K,PLAN!$V:$V,Sheet1!$A95,PLAN!$W:$W,Sheet1!$M$1)</f>
        <v>0</v>
      </c>
      <c r="N95" s="147">
        <f>SUMIFS(PLAN!$K:$K,PLAN!$V:$V,Sheet1!$A95,PLAN!$W:$W,Sheet1!$N$1)</f>
        <v>0</v>
      </c>
      <c r="O95" s="147">
        <f t="shared" si="2"/>
        <v>0</v>
      </c>
    </row>
    <row r="96" spans="1:15">
      <c r="A96" s="159">
        <v>46268</v>
      </c>
      <c r="B96" s="147">
        <f>SUMIFS(PLAN!$K:$K,PLAN!$V:$V,Sheet1!$A96,PLAN!$W:$W,Sheet1!$B$1)</f>
        <v>0</v>
      </c>
      <c r="C96" s="147">
        <f>SUMIFS(PLAN!$K:$K,PLAN!$V:$V,Sheet1!$A96,PLAN!$W:$W,Sheet1!$C$1)</f>
        <v>0</v>
      </c>
      <c r="D96" s="147">
        <f>SUMIFS(PLAN!$K:$K,PLAN!$V:$V,Sheet1!$A96,PLAN!$W:$W,Sheet1!$D$1)</f>
        <v>0</v>
      </c>
      <c r="E96" s="147">
        <f>SUMIFS(PLAN!$K:$K,PLAN!$V:$V,Sheet1!$A96,PLAN!$W:$W,Sheet1!$E$1)</f>
        <v>0</v>
      </c>
      <c r="F96" s="147">
        <f>SUMIFS(PLAN!$K:$K,PLAN!$V:$V,Sheet1!$A96,PLAN!$W:$W,Sheet1!$F$1)</f>
        <v>0</v>
      </c>
      <c r="G96" s="147">
        <f>SUMIFS(PLAN!$K:$K,PLAN!$V:$V,Sheet1!$A96,PLAN!$W:$W,Sheet1!$G$1)</f>
        <v>0</v>
      </c>
      <c r="H96" s="147">
        <f>SUMIFS(PLAN!$K:$K,PLAN!$V:$V,Sheet1!$A96,PLAN!$W:$W,Sheet1!$H$1)</f>
        <v>0</v>
      </c>
      <c r="I96" s="147">
        <f>SUMIFS(PLAN!$K:$K,PLAN!$V:$V,Sheet1!$A96,PLAN!$W:$W,Sheet1!$I$1)</f>
        <v>0</v>
      </c>
      <c r="J96" s="147">
        <f>SUMIFS(PLAN!$K:$K,PLAN!$V:$V,Sheet1!$A96,PLAN!$W:$W,Sheet1!$J$1)</f>
        <v>0</v>
      </c>
      <c r="K96" s="147">
        <f>SUMIFS(PLAN!$K:$K,PLAN!$V:$V,Sheet1!$A96,PLAN!$W:$W,Sheet1!$K$1)</f>
        <v>0</v>
      </c>
      <c r="L96" s="147">
        <f>SUMIFS(PLAN!$K:$K,PLAN!$V:$V,Sheet1!$A96,PLAN!$W:$W,Sheet1!$L$1)</f>
        <v>0</v>
      </c>
      <c r="M96" s="147">
        <f>SUMIFS(PLAN!$K:$K,PLAN!$V:$V,Sheet1!$A96,PLAN!$W:$W,Sheet1!$M$1)</f>
        <v>0</v>
      </c>
      <c r="N96" s="147">
        <f>SUMIFS(PLAN!$K:$K,PLAN!$V:$V,Sheet1!$A96,PLAN!$W:$W,Sheet1!$N$1)</f>
        <v>0</v>
      </c>
      <c r="O96" s="147">
        <f t="shared" si="2"/>
        <v>0</v>
      </c>
    </row>
    <row r="97" spans="1:15">
      <c r="A97" s="159">
        <v>46269</v>
      </c>
      <c r="B97" s="147">
        <f>SUMIFS(PLAN!$K:$K,PLAN!$V:$V,Sheet1!$A97,PLAN!$W:$W,Sheet1!$B$1)</f>
        <v>0</v>
      </c>
      <c r="C97" s="147">
        <f>SUMIFS(PLAN!$K:$K,PLAN!$V:$V,Sheet1!$A97,PLAN!$W:$W,Sheet1!$C$1)</f>
        <v>0</v>
      </c>
      <c r="D97" s="147">
        <f>SUMIFS(PLAN!$K:$K,PLAN!$V:$V,Sheet1!$A97,PLAN!$W:$W,Sheet1!$D$1)</f>
        <v>0</v>
      </c>
      <c r="E97" s="147">
        <f>SUMIFS(PLAN!$K:$K,PLAN!$V:$V,Sheet1!$A97,PLAN!$W:$W,Sheet1!$E$1)</f>
        <v>0</v>
      </c>
      <c r="F97" s="147">
        <f>SUMIFS(PLAN!$K:$K,PLAN!$V:$V,Sheet1!$A97,PLAN!$W:$W,Sheet1!$F$1)</f>
        <v>0</v>
      </c>
      <c r="G97" s="147">
        <f>SUMIFS(PLAN!$K:$K,PLAN!$V:$V,Sheet1!$A97,PLAN!$W:$W,Sheet1!$G$1)</f>
        <v>0</v>
      </c>
      <c r="H97" s="147">
        <f>SUMIFS(PLAN!$K:$K,PLAN!$V:$V,Sheet1!$A97,PLAN!$W:$W,Sheet1!$H$1)</f>
        <v>0</v>
      </c>
      <c r="I97" s="147">
        <f>SUMIFS(PLAN!$K:$K,PLAN!$V:$V,Sheet1!$A97,PLAN!$W:$W,Sheet1!$I$1)</f>
        <v>0</v>
      </c>
      <c r="J97" s="147">
        <f>SUMIFS(PLAN!$K:$K,PLAN!$V:$V,Sheet1!$A97,PLAN!$W:$W,Sheet1!$J$1)</f>
        <v>0</v>
      </c>
      <c r="K97" s="147">
        <f>SUMIFS(PLAN!$K:$K,PLAN!$V:$V,Sheet1!$A97,PLAN!$W:$W,Sheet1!$K$1)</f>
        <v>0</v>
      </c>
      <c r="L97" s="147">
        <f>SUMIFS(PLAN!$K:$K,PLAN!$V:$V,Sheet1!$A97,PLAN!$W:$W,Sheet1!$L$1)</f>
        <v>0</v>
      </c>
      <c r="M97" s="147">
        <f>SUMIFS(PLAN!$K:$K,PLAN!$V:$V,Sheet1!$A97,PLAN!$W:$W,Sheet1!$M$1)</f>
        <v>0</v>
      </c>
      <c r="N97" s="147">
        <f>SUMIFS(PLAN!$K:$K,PLAN!$V:$V,Sheet1!$A97,PLAN!$W:$W,Sheet1!$N$1)</f>
        <v>0</v>
      </c>
      <c r="O97" s="147">
        <f t="shared" si="2"/>
        <v>0</v>
      </c>
    </row>
    <row r="98" spans="1:15">
      <c r="A98" s="159">
        <v>46270</v>
      </c>
      <c r="B98" s="147">
        <f>SUMIFS(PLAN!$K:$K,PLAN!$V:$V,Sheet1!$A98,PLAN!$W:$W,Sheet1!$B$1)</f>
        <v>0</v>
      </c>
      <c r="C98" s="147">
        <f>SUMIFS(PLAN!$K:$K,PLAN!$V:$V,Sheet1!$A98,PLAN!$W:$W,Sheet1!$C$1)</f>
        <v>0</v>
      </c>
      <c r="D98" s="147">
        <f>SUMIFS(PLAN!$K:$K,PLAN!$V:$V,Sheet1!$A98,PLAN!$W:$W,Sheet1!$D$1)</f>
        <v>0</v>
      </c>
      <c r="E98" s="147">
        <f>SUMIFS(PLAN!$K:$K,PLAN!$V:$V,Sheet1!$A98,PLAN!$W:$W,Sheet1!$E$1)</f>
        <v>0</v>
      </c>
      <c r="F98" s="147">
        <f>SUMIFS(PLAN!$K:$K,PLAN!$V:$V,Sheet1!$A98,PLAN!$W:$W,Sheet1!$F$1)</f>
        <v>0</v>
      </c>
      <c r="G98" s="147">
        <f>SUMIFS(PLAN!$K:$K,PLAN!$V:$V,Sheet1!$A98,PLAN!$W:$W,Sheet1!$G$1)</f>
        <v>0</v>
      </c>
      <c r="H98" s="147">
        <f>SUMIFS(PLAN!$K:$K,PLAN!$V:$V,Sheet1!$A98,PLAN!$W:$W,Sheet1!$H$1)</f>
        <v>0</v>
      </c>
      <c r="I98" s="147">
        <f>SUMIFS(PLAN!$K:$K,PLAN!$V:$V,Sheet1!$A98,PLAN!$W:$W,Sheet1!$I$1)</f>
        <v>0</v>
      </c>
      <c r="J98" s="147">
        <f>SUMIFS(PLAN!$K:$K,PLAN!$V:$V,Sheet1!$A98,PLAN!$W:$W,Sheet1!$J$1)</f>
        <v>0</v>
      </c>
      <c r="K98" s="147">
        <f>SUMIFS(PLAN!$K:$K,PLAN!$V:$V,Sheet1!$A98,PLAN!$W:$W,Sheet1!$K$1)</f>
        <v>0</v>
      </c>
      <c r="L98" s="147">
        <f>SUMIFS(PLAN!$K:$K,PLAN!$V:$V,Sheet1!$A98,PLAN!$W:$W,Sheet1!$L$1)</f>
        <v>0</v>
      </c>
      <c r="M98" s="147">
        <f>SUMIFS(PLAN!$K:$K,PLAN!$V:$V,Sheet1!$A98,PLAN!$W:$W,Sheet1!$M$1)</f>
        <v>0</v>
      </c>
      <c r="N98" s="147">
        <f>SUMIFS(PLAN!$K:$K,PLAN!$V:$V,Sheet1!$A98,PLAN!$W:$W,Sheet1!$N$1)</f>
        <v>0</v>
      </c>
      <c r="O98" s="147">
        <f t="shared" si="2"/>
        <v>0</v>
      </c>
    </row>
    <row r="99" spans="1:15">
      <c r="A99" s="159">
        <v>46271</v>
      </c>
      <c r="B99" s="147">
        <f>SUMIFS(PLAN!$K:$K,PLAN!$V:$V,Sheet1!$A99,PLAN!$W:$W,Sheet1!$B$1)</f>
        <v>0</v>
      </c>
      <c r="C99" s="147">
        <f>SUMIFS(PLAN!$K:$K,PLAN!$V:$V,Sheet1!$A99,PLAN!$W:$W,Sheet1!$C$1)</f>
        <v>0</v>
      </c>
      <c r="D99" s="147">
        <f>SUMIFS(PLAN!$K:$K,PLAN!$V:$V,Sheet1!$A99,PLAN!$W:$W,Sheet1!$D$1)</f>
        <v>0</v>
      </c>
      <c r="E99" s="147">
        <f>SUMIFS(PLAN!$K:$K,PLAN!$V:$V,Sheet1!$A99,PLAN!$W:$W,Sheet1!$E$1)</f>
        <v>0</v>
      </c>
      <c r="F99" s="147">
        <f>SUMIFS(PLAN!$K:$K,PLAN!$V:$V,Sheet1!$A99,PLAN!$W:$W,Sheet1!$F$1)</f>
        <v>0</v>
      </c>
      <c r="G99" s="147">
        <f>SUMIFS(PLAN!$K:$K,PLAN!$V:$V,Sheet1!$A99,PLAN!$W:$W,Sheet1!$G$1)</f>
        <v>0</v>
      </c>
      <c r="H99" s="147">
        <f>SUMIFS(PLAN!$K:$K,PLAN!$V:$V,Sheet1!$A99,PLAN!$W:$W,Sheet1!$H$1)</f>
        <v>0</v>
      </c>
      <c r="I99" s="147">
        <f>SUMIFS(PLAN!$K:$K,PLAN!$V:$V,Sheet1!$A99,PLAN!$W:$W,Sheet1!$I$1)</f>
        <v>0</v>
      </c>
      <c r="J99" s="147">
        <f>SUMIFS(PLAN!$K:$K,PLAN!$V:$V,Sheet1!$A99,PLAN!$W:$W,Sheet1!$J$1)</f>
        <v>0</v>
      </c>
      <c r="K99" s="147">
        <f>SUMIFS(PLAN!$K:$K,PLAN!$V:$V,Sheet1!$A99,PLAN!$W:$W,Sheet1!$K$1)</f>
        <v>0</v>
      </c>
      <c r="L99" s="147">
        <f>SUMIFS(PLAN!$K:$K,PLAN!$V:$V,Sheet1!$A99,PLAN!$W:$W,Sheet1!$L$1)</f>
        <v>0</v>
      </c>
      <c r="M99" s="147">
        <f>SUMIFS(PLAN!$K:$K,PLAN!$V:$V,Sheet1!$A99,PLAN!$W:$W,Sheet1!$M$1)</f>
        <v>0</v>
      </c>
      <c r="N99" s="147">
        <f>SUMIFS(PLAN!$K:$K,PLAN!$V:$V,Sheet1!$A99,PLAN!$W:$W,Sheet1!$N$1)</f>
        <v>0</v>
      </c>
      <c r="O99" s="147">
        <f t="shared" si="2"/>
        <v>0</v>
      </c>
    </row>
    <row r="100" spans="1:15">
      <c r="A100" s="159">
        <v>46272</v>
      </c>
      <c r="B100" s="147">
        <f>SUMIFS(PLAN!$K:$K,PLAN!$V:$V,Sheet1!$A100,PLAN!$W:$W,Sheet1!$B$1)</f>
        <v>0</v>
      </c>
      <c r="C100" s="147">
        <f>SUMIFS(PLAN!$K:$K,PLAN!$V:$V,Sheet1!$A100,PLAN!$W:$W,Sheet1!$C$1)</f>
        <v>0</v>
      </c>
      <c r="D100" s="147">
        <f>SUMIFS(PLAN!$K:$K,PLAN!$V:$V,Sheet1!$A100,PLAN!$W:$W,Sheet1!$D$1)</f>
        <v>0</v>
      </c>
      <c r="E100" s="147">
        <f>SUMIFS(PLAN!$K:$K,PLAN!$V:$V,Sheet1!$A100,PLAN!$W:$W,Sheet1!$E$1)</f>
        <v>0</v>
      </c>
      <c r="F100" s="147">
        <f>SUMIFS(PLAN!$K:$K,PLAN!$V:$V,Sheet1!$A100,PLAN!$W:$W,Sheet1!$F$1)</f>
        <v>0</v>
      </c>
      <c r="G100" s="147">
        <f>SUMIFS(PLAN!$K:$K,PLAN!$V:$V,Sheet1!$A100,PLAN!$W:$W,Sheet1!$G$1)</f>
        <v>0</v>
      </c>
      <c r="H100" s="147">
        <f>SUMIFS(PLAN!$K:$K,PLAN!$V:$V,Sheet1!$A100,PLAN!$W:$W,Sheet1!$H$1)</f>
        <v>0</v>
      </c>
      <c r="I100" s="147">
        <f>SUMIFS(PLAN!$K:$K,PLAN!$V:$V,Sheet1!$A100,PLAN!$W:$W,Sheet1!$I$1)</f>
        <v>0</v>
      </c>
      <c r="J100" s="147">
        <f>SUMIFS(PLAN!$K:$K,PLAN!$V:$V,Sheet1!$A100,PLAN!$W:$W,Sheet1!$J$1)</f>
        <v>0</v>
      </c>
      <c r="K100" s="147">
        <f>SUMIFS(PLAN!$K:$K,PLAN!$V:$V,Sheet1!$A100,PLAN!$W:$W,Sheet1!$K$1)</f>
        <v>0</v>
      </c>
      <c r="L100" s="147">
        <f>SUMIFS(PLAN!$K:$K,PLAN!$V:$V,Sheet1!$A100,PLAN!$W:$W,Sheet1!$L$1)</f>
        <v>0</v>
      </c>
      <c r="M100" s="147">
        <f>SUMIFS(PLAN!$K:$K,PLAN!$V:$V,Sheet1!$A100,PLAN!$W:$W,Sheet1!$M$1)</f>
        <v>0</v>
      </c>
      <c r="N100" s="147">
        <f>SUMIFS(PLAN!$K:$K,PLAN!$V:$V,Sheet1!$A100,PLAN!$W:$W,Sheet1!$N$1)</f>
        <v>0</v>
      </c>
      <c r="O100" s="147">
        <f t="shared" si="2"/>
        <v>0</v>
      </c>
    </row>
    <row r="101" spans="1:15">
      <c r="A101" s="159">
        <v>46273</v>
      </c>
      <c r="B101" s="147">
        <f>SUMIFS(PLAN!$K:$K,PLAN!$V:$V,Sheet1!$A101,PLAN!$W:$W,Sheet1!$B$1)</f>
        <v>0</v>
      </c>
      <c r="C101" s="147">
        <f>SUMIFS(PLAN!$K:$K,PLAN!$V:$V,Sheet1!$A101,PLAN!$W:$W,Sheet1!$C$1)</f>
        <v>0</v>
      </c>
      <c r="D101" s="147">
        <f>SUMIFS(PLAN!$K:$K,PLAN!$V:$V,Sheet1!$A101,PLAN!$W:$W,Sheet1!$D$1)</f>
        <v>0</v>
      </c>
      <c r="E101" s="147">
        <f>SUMIFS(PLAN!$K:$K,PLAN!$V:$V,Sheet1!$A101,PLAN!$W:$W,Sheet1!$E$1)</f>
        <v>0</v>
      </c>
      <c r="F101" s="147">
        <f>SUMIFS(PLAN!$K:$K,PLAN!$V:$V,Sheet1!$A101,PLAN!$W:$W,Sheet1!$F$1)</f>
        <v>0</v>
      </c>
      <c r="G101" s="147">
        <f>SUMIFS(PLAN!$K:$K,PLAN!$V:$V,Sheet1!$A101,PLAN!$W:$W,Sheet1!$G$1)</f>
        <v>0</v>
      </c>
      <c r="H101" s="147">
        <f>SUMIFS(PLAN!$K:$K,PLAN!$V:$V,Sheet1!$A101,PLAN!$W:$W,Sheet1!$H$1)</f>
        <v>0</v>
      </c>
      <c r="I101" s="147">
        <f>SUMIFS(PLAN!$K:$K,PLAN!$V:$V,Sheet1!$A101,PLAN!$W:$W,Sheet1!$I$1)</f>
        <v>0</v>
      </c>
      <c r="J101" s="147">
        <f>SUMIFS(PLAN!$K:$K,PLAN!$V:$V,Sheet1!$A101,PLAN!$W:$W,Sheet1!$J$1)</f>
        <v>0</v>
      </c>
      <c r="K101" s="147">
        <f>SUMIFS(PLAN!$K:$K,PLAN!$V:$V,Sheet1!$A101,PLAN!$W:$W,Sheet1!$K$1)</f>
        <v>0</v>
      </c>
      <c r="L101" s="147">
        <f>SUMIFS(PLAN!$K:$K,PLAN!$V:$V,Sheet1!$A101,PLAN!$W:$W,Sheet1!$L$1)</f>
        <v>0</v>
      </c>
      <c r="M101" s="147">
        <f>SUMIFS(PLAN!$K:$K,PLAN!$V:$V,Sheet1!$A101,PLAN!$W:$W,Sheet1!$M$1)</f>
        <v>0</v>
      </c>
      <c r="N101" s="147">
        <f>SUMIFS(PLAN!$K:$K,PLAN!$V:$V,Sheet1!$A101,PLAN!$W:$W,Sheet1!$N$1)</f>
        <v>0</v>
      </c>
      <c r="O101" s="147">
        <f t="shared" si="2"/>
        <v>0</v>
      </c>
    </row>
    <row r="102" spans="1:15">
      <c r="A102" s="159">
        <v>46274</v>
      </c>
      <c r="B102" s="147">
        <f>SUMIFS(PLAN!$K:$K,PLAN!$V:$V,Sheet1!$A102,PLAN!$W:$W,Sheet1!$B$1)</f>
        <v>0</v>
      </c>
      <c r="C102" s="147">
        <f>SUMIFS(PLAN!$K:$K,PLAN!$V:$V,Sheet1!$A102,PLAN!$W:$W,Sheet1!$C$1)</f>
        <v>0</v>
      </c>
      <c r="D102" s="147">
        <f>SUMIFS(PLAN!$K:$K,PLAN!$V:$V,Sheet1!$A102,PLAN!$W:$W,Sheet1!$D$1)</f>
        <v>0</v>
      </c>
      <c r="E102" s="147">
        <f>SUMIFS(PLAN!$K:$K,PLAN!$V:$V,Sheet1!$A102,PLAN!$W:$W,Sheet1!$E$1)</f>
        <v>0</v>
      </c>
      <c r="F102" s="147">
        <f>SUMIFS(PLAN!$K:$K,PLAN!$V:$V,Sheet1!$A102,PLAN!$W:$W,Sheet1!$F$1)</f>
        <v>0</v>
      </c>
      <c r="G102" s="147">
        <f>SUMIFS(PLAN!$K:$K,PLAN!$V:$V,Sheet1!$A102,PLAN!$W:$W,Sheet1!$G$1)</f>
        <v>0</v>
      </c>
      <c r="H102" s="147">
        <f>SUMIFS(PLAN!$K:$K,PLAN!$V:$V,Sheet1!$A102,PLAN!$W:$W,Sheet1!$H$1)</f>
        <v>0</v>
      </c>
      <c r="I102" s="147">
        <f>SUMIFS(PLAN!$K:$K,PLAN!$V:$V,Sheet1!$A102,PLAN!$W:$W,Sheet1!$I$1)</f>
        <v>0</v>
      </c>
      <c r="J102" s="147">
        <f>SUMIFS(PLAN!$K:$K,PLAN!$V:$V,Sheet1!$A102,PLAN!$W:$W,Sheet1!$J$1)</f>
        <v>0</v>
      </c>
      <c r="K102" s="147">
        <f>SUMIFS(PLAN!$K:$K,PLAN!$V:$V,Sheet1!$A102,PLAN!$W:$W,Sheet1!$K$1)</f>
        <v>0</v>
      </c>
      <c r="L102" s="147">
        <f>SUMIFS(PLAN!$K:$K,PLAN!$V:$V,Sheet1!$A102,PLAN!$W:$W,Sheet1!$L$1)</f>
        <v>0</v>
      </c>
      <c r="M102" s="147">
        <f>SUMIFS(PLAN!$K:$K,PLAN!$V:$V,Sheet1!$A102,PLAN!$W:$W,Sheet1!$M$1)</f>
        <v>0</v>
      </c>
      <c r="N102" s="147">
        <f>SUMIFS(PLAN!$K:$K,PLAN!$V:$V,Sheet1!$A102,PLAN!$W:$W,Sheet1!$N$1)</f>
        <v>0</v>
      </c>
      <c r="O102" s="147">
        <f t="shared" si="2"/>
        <v>0</v>
      </c>
    </row>
    <row r="103" spans="1:15">
      <c r="A103" s="159">
        <v>46275</v>
      </c>
      <c r="B103" s="147">
        <f>SUMIFS(PLAN!$K:$K,PLAN!$V:$V,Sheet1!$A103,PLAN!$W:$W,Sheet1!$B$1)</f>
        <v>0</v>
      </c>
      <c r="C103" s="147">
        <f>SUMIFS(PLAN!$K:$K,PLAN!$V:$V,Sheet1!$A103,PLAN!$W:$W,Sheet1!$C$1)</f>
        <v>0</v>
      </c>
      <c r="D103" s="147">
        <f>SUMIFS(PLAN!$K:$K,PLAN!$V:$V,Sheet1!$A103,PLAN!$W:$W,Sheet1!$D$1)</f>
        <v>0</v>
      </c>
      <c r="E103" s="147">
        <f>SUMIFS(PLAN!$K:$K,PLAN!$V:$V,Sheet1!$A103,PLAN!$W:$W,Sheet1!$E$1)</f>
        <v>0</v>
      </c>
      <c r="F103" s="147">
        <f>SUMIFS(PLAN!$K:$K,PLAN!$V:$V,Sheet1!$A103,PLAN!$W:$W,Sheet1!$F$1)</f>
        <v>0</v>
      </c>
      <c r="G103" s="147">
        <f>SUMIFS(PLAN!$K:$K,PLAN!$V:$V,Sheet1!$A103,PLAN!$W:$W,Sheet1!$G$1)</f>
        <v>0</v>
      </c>
      <c r="H103" s="147">
        <f>SUMIFS(PLAN!$K:$K,PLAN!$V:$V,Sheet1!$A103,PLAN!$W:$W,Sheet1!$H$1)</f>
        <v>0</v>
      </c>
      <c r="I103" s="147">
        <f>SUMIFS(PLAN!$K:$K,PLAN!$V:$V,Sheet1!$A103,PLAN!$W:$W,Sheet1!$I$1)</f>
        <v>0</v>
      </c>
      <c r="J103" s="147">
        <f>SUMIFS(PLAN!$K:$K,PLAN!$V:$V,Sheet1!$A103,PLAN!$W:$W,Sheet1!$J$1)</f>
        <v>0</v>
      </c>
      <c r="K103" s="147">
        <f>SUMIFS(PLAN!$K:$K,PLAN!$V:$V,Sheet1!$A103,PLAN!$W:$W,Sheet1!$K$1)</f>
        <v>0</v>
      </c>
      <c r="L103" s="147">
        <f>SUMIFS(PLAN!$K:$K,PLAN!$V:$V,Sheet1!$A103,PLAN!$W:$W,Sheet1!$L$1)</f>
        <v>0</v>
      </c>
      <c r="M103" s="147">
        <f>SUMIFS(PLAN!$K:$K,PLAN!$V:$V,Sheet1!$A103,PLAN!$W:$W,Sheet1!$M$1)</f>
        <v>0</v>
      </c>
      <c r="N103" s="147">
        <f>SUMIFS(PLAN!$K:$K,PLAN!$V:$V,Sheet1!$A103,PLAN!$W:$W,Sheet1!$N$1)</f>
        <v>0</v>
      </c>
      <c r="O103" s="147">
        <f t="shared" si="2"/>
        <v>0</v>
      </c>
    </row>
    <row r="104" spans="1:15">
      <c r="A104" s="159">
        <v>46276</v>
      </c>
      <c r="B104" s="147">
        <f>SUMIFS(PLAN!$K:$K,PLAN!$V:$V,Sheet1!$A104,PLAN!$W:$W,Sheet1!$B$1)</f>
        <v>0</v>
      </c>
      <c r="C104" s="147">
        <f>SUMIFS(PLAN!$K:$K,PLAN!$V:$V,Sheet1!$A104,PLAN!$W:$W,Sheet1!$C$1)</f>
        <v>0</v>
      </c>
      <c r="D104" s="147">
        <f>SUMIFS(PLAN!$K:$K,PLAN!$V:$V,Sheet1!$A104,PLAN!$W:$W,Sheet1!$D$1)</f>
        <v>0</v>
      </c>
      <c r="E104" s="147">
        <f>SUMIFS(PLAN!$K:$K,PLAN!$V:$V,Sheet1!$A104,PLAN!$W:$W,Sheet1!$E$1)</f>
        <v>0</v>
      </c>
      <c r="F104" s="147">
        <f>SUMIFS(PLAN!$K:$K,PLAN!$V:$V,Sheet1!$A104,PLAN!$W:$W,Sheet1!$F$1)</f>
        <v>0</v>
      </c>
      <c r="G104" s="147">
        <f>SUMIFS(PLAN!$K:$K,PLAN!$V:$V,Sheet1!$A104,PLAN!$W:$W,Sheet1!$G$1)</f>
        <v>0</v>
      </c>
      <c r="H104" s="147">
        <f>SUMIFS(PLAN!$K:$K,PLAN!$V:$V,Sheet1!$A104,PLAN!$W:$W,Sheet1!$H$1)</f>
        <v>0</v>
      </c>
      <c r="I104" s="147">
        <f>SUMIFS(PLAN!$K:$K,PLAN!$V:$V,Sheet1!$A104,PLAN!$W:$W,Sheet1!$I$1)</f>
        <v>0</v>
      </c>
      <c r="J104" s="147">
        <f>SUMIFS(PLAN!$K:$K,PLAN!$V:$V,Sheet1!$A104,PLAN!$W:$W,Sheet1!$J$1)</f>
        <v>0</v>
      </c>
      <c r="K104" s="147">
        <f>SUMIFS(PLAN!$K:$K,PLAN!$V:$V,Sheet1!$A104,PLAN!$W:$W,Sheet1!$K$1)</f>
        <v>0</v>
      </c>
      <c r="L104" s="147">
        <f>SUMIFS(PLAN!$K:$K,PLAN!$V:$V,Sheet1!$A104,PLAN!$W:$W,Sheet1!$L$1)</f>
        <v>0</v>
      </c>
      <c r="M104" s="147">
        <f>SUMIFS(PLAN!$K:$K,PLAN!$V:$V,Sheet1!$A104,PLAN!$W:$W,Sheet1!$M$1)</f>
        <v>0</v>
      </c>
      <c r="N104" s="147">
        <f>SUMIFS(PLAN!$K:$K,PLAN!$V:$V,Sheet1!$A104,PLAN!$W:$W,Sheet1!$N$1)</f>
        <v>0</v>
      </c>
      <c r="O104" s="147">
        <f t="shared" si="2"/>
        <v>0</v>
      </c>
    </row>
    <row r="105" spans="1:15">
      <c r="A105" s="159">
        <v>46277</v>
      </c>
      <c r="B105" s="147">
        <f>SUMIFS(PLAN!$K:$K,PLAN!$V:$V,Sheet1!$A105,PLAN!$W:$W,Sheet1!$B$1)</f>
        <v>0</v>
      </c>
      <c r="C105" s="147">
        <f>SUMIFS(PLAN!$K:$K,PLAN!$V:$V,Sheet1!$A105,PLAN!$W:$W,Sheet1!$C$1)</f>
        <v>0</v>
      </c>
      <c r="D105" s="147">
        <f>SUMIFS(PLAN!$K:$K,PLAN!$V:$V,Sheet1!$A105,PLAN!$W:$W,Sheet1!$D$1)</f>
        <v>0</v>
      </c>
      <c r="E105" s="147">
        <f>SUMIFS(PLAN!$K:$K,PLAN!$V:$V,Sheet1!$A105,PLAN!$W:$W,Sheet1!$E$1)</f>
        <v>0</v>
      </c>
      <c r="F105" s="147">
        <f>SUMIFS(PLAN!$K:$K,PLAN!$V:$V,Sheet1!$A105,PLAN!$W:$W,Sheet1!$F$1)</f>
        <v>0</v>
      </c>
      <c r="G105" s="147">
        <f>SUMIFS(PLAN!$K:$K,PLAN!$V:$V,Sheet1!$A105,PLAN!$W:$W,Sheet1!$G$1)</f>
        <v>0</v>
      </c>
      <c r="H105" s="147">
        <f>SUMIFS(PLAN!$K:$K,PLAN!$V:$V,Sheet1!$A105,PLAN!$W:$W,Sheet1!$H$1)</f>
        <v>0</v>
      </c>
      <c r="I105" s="147">
        <f>SUMIFS(PLAN!$K:$K,PLAN!$V:$V,Sheet1!$A105,PLAN!$W:$W,Sheet1!$I$1)</f>
        <v>0</v>
      </c>
      <c r="J105" s="147">
        <f>SUMIFS(PLAN!$K:$K,PLAN!$V:$V,Sheet1!$A105,PLAN!$W:$W,Sheet1!$J$1)</f>
        <v>0</v>
      </c>
      <c r="K105" s="147">
        <f>SUMIFS(PLAN!$K:$K,PLAN!$V:$V,Sheet1!$A105,PLAN!$W:$W,Sheet1!$K$1)</f>
        <v>0</v>
      </c>
      <c r="L105" s="147">
        <f>SUMIFS(PLAN!$K:$K,PLAN!$V:$V,Sheet1!$A105,PLAN!$W:$W,Sheet1!$L$1)</f>
        <v>0</v>
      </c>
      <c r="M105" s="147">
        <f>SUMIFS(PLAN!$K:$K,PLAN!$V:$V,Sheet1!$A105,PLAN!$W:$W,Sheet1!$M$1)</f>
        <v>0</v>
      </c>
      <c r="N105" s="147">
        <f>SUMIFS(PLAN!$K:$K,PLAN!$V:$V,Sheet1!$A105,PLAN!$W:$W,Sheet1!$N$1)</f>
        <v>0</v>
      </c>
      <c r="O105" s="147">
        <f t="shared" si="2"/>
        <v>0</v>
      </c>
    </row>
    <row r="106" spans="1:15">
      <c r="A106" s="159">
        <v>46278</v>
      </c>
      <c r="B106" s="147">
        <f>SUMIFS(PLAN!$K:$K,PLAN!$V:$V,Sheet1!$A106,PLAN!$W:$W,Sheet1!$B$1)</f>
        <v>0</v>
      </c>
      <c r="C106" s="147">
        <f>SUMIFS(PLAN!$K:$K,PLAN!$V:$V,Sheet1!$A106,PLAN!$W:$W,Sheet1!$C$1)</f>
        <v>0</v>
      </c>
      <c r="D106" s="147">
        <f>SUMIFS(PLAN!$K:$K,PLAN!$V:$V,Sheet1!$A106,PLAN!$W:$W,Sheet1!$D$1)</f>
        <v>0</v>
      </c>
      <c r="E106" s="147">
        <f>SUMIFS(PLAN!$K:$K,PLAN!$V:$V,Sheet1!$A106,PLAN!$W:$W,Sheet1!$E$1)</f>
        <v>0</v>
      </c>
      <c r="F106" s="147">
        <f>SUMIFS(PLAN!$K:$K,PLAN!$V:$V,Sheet1!$A106,PLAN!$W:$W,Sheet1!$F$1)</f>
        <v>0</v>
      </c>
      <c r="G106" s="147">
        <f>SUMIFS(PLAN!$K:$K,PLAN!$V:$V,Sheet1!$A106,PLAN!$W:$W,Sheet1!$G$1)</f>
        <v>0</v>
      </c>
      <c r="H106" s="147">
        <f>SUMIFS(PLAN!$K:$K,PLAN!$V:$V,Sheet1!$A106,PLAN!$W:$W,Sheet1!$H$1)</f>
        <v>0</v>
      </c>
      <c r="I106" s="147">
        <f>SUMIFS(PLAN!$K:$K,PLAN!$V:$V,Sheet1!$A106,PLAN!$W:$W,Sheet1!$I$1)</f>
        <v>0</v>
      </c>
      <c r="J106" s="147">
        <f>SUMIFS(PLAN!$K:$K,PLAN!$V:$V,Sheet1!$A106,PLAN!$W:$W,Sheet1!$J$1)</f>
        <v>0</v>
      </c>
      <c r="K106" s="147">
        <f>SUMIFS(PLAN!$K:$K,PLAN!$V:$V,Sheet1!$A106,PLAN!$W:$W,Sheet1!$K$1)</f>
        <v>0</v>
      </c>
      <c r="L106" s="147">
        <f>SUMIFS(PLAN!$K:$K,PLAN!$V:$V,Sheet1!$A106,PLAN!$W:$W,Sheet1!$L$1)</f>
        <v>0</v>
      </c>
      <c r="M106" s="147">
        <f>SUMIFS(PLAN!$K:$K,PLAN!$V:$V,Sheet1!$A106,PLAN!$W:$W,Sheet1!$M$1)</f>
        <v>0</v>
      </c>
      <c r="N106" s="147">
        <f>SUMIFS(PLAN!$K:$K,PLAN!$V:$V,Sheet1!$A106,PLAN!$W:$W,Sheet1!$N$1)</f>
        <v>0</v>
      </c>
      <c r="O106" s="147">
        <f t="shared" si="2"/>
        <v>0</v>
      </c>
    </row>
    <row r="107" spans="1:15">
      <c r="A107" s="159">
        <v>46279</v>
      </c>
      <c r="B107" s="147">
        <f>SUMIFS(PLAN!$K:$K,PLAN!$V:$V,Sheet1!$A107,PLAN!$W:$W,Sheet1!$B$1)</f>
        <v>0</v>
      </c>
      <c r="C107" s="147">
        <f>SUMIFS(PLAN!$K:$K,PLAN!$V:$V,Sheet1!$A107,PLAN!$W:$W,Sheet1!$C$1)</f>
        <v>0</v>
      </c>
      <c r="D107" s="147">
        <f>SUMIFS(PLAN!$K:$K,PLAN!$V:$V,Sheet1!$A107,PLAN!$W:$W,Sheet1!$D$1)</f>
        <v>0</v>
      </c>
      <c r="E107" s="147">
        <f>SUMIFS(PLAN!$K:$K,PLAN!$V:$V,Sheet1!$A107,PLAN!$W:$W,Sheet1!$E$1)</f>
        <v>0</v>
      </c>
      <c r="F107" s="147">
        <f>SUMIFS(PLAN!$K:$K,PLAN!$V:$V,Sheet1!$A107,PLAN!$W:$W,Sheet1!$F$1)</f>
        <v>0</v>
      </c>
      <c r="G107" s="147">
        <f>SUMIFS(PLAN!$K:$K,PLAN!$V:$V,Sheet1!$A107,PLAN!$W:$W,Sheet1!$G$1)</f>
        <v>0</v>
      </c>
      <c r="H107" s="147">
        <f>SUMIFS(PLAN!$K:$K,PLAN!$V:$V,Sheet1!$A107,PLAN!$W:$W,Sheet1!$H$1)</f>
        <v>0</v>
      </c>
      <c r="I107" s="147">
        <f>SUMIFS(PLAN!$K:$K,PLAN!$V:$V,Sheet1!$A107,PLAN!$W:$W,Sheet1!$I$1)</f>
        <v>0</v>
      </c>
      <c r="J107" s="147">
        <f>SUMIFS(PLAN!$K:$K,PLAN!$V:$V,Sheet1!$A107,PLAN!$W:$W,Sheet1!$J$1)</f>
        <v>0</v>
      </c>
      <c r="K107" s="147">
        <f>SUMIFS(PLAN!$K:$K,PLAN!$V:$V,Sheet1!$A107,PLAN!$W:$W,Sheet1!$K$1)</f>
        <v>0</v>
      </c>
      <c r="L107" s="147">
        <f>SUMIFS(PLAN!$K:$K,PLAN!$V:$V,Sheet1!$A107,PLAN!$W:$W,Sheet1!$L$1)</f>
        <v>0</v>
      </c>
      <c r="M107" s="147">
        <f>SUMIFS(PLAN!$K:$K,PLAN!$V:$V,Sheet1!$A107,PLAN!$W:$W,Sheet1!$M$1)</f>
        <v>0</v>
      </c>
      <c r="N107" s="147">
        <f>SUMIFS(PLAN!$K:$K,PLAN!$V:$V,Sheet1!$A107,PLAN!$W:$W,Sheet1!$N$1)</f>
        <v>0</v>
      </c>
      <c r="O107" s="147">
        <f t="shared" si="2"/>
        <v>0</v>
      </c>
    </row>
    <row r="108" spans="1:15">
      <c r="A108" s="159">
        <v>46280</v>
      </c>
      <c r="B108" s="147">
        <f>SUMIFS(PLAN!$K:$K,PLAN!$V:$V,Sheet1!$A108,PLAN!$W:$W,Sheet1!$B$1)</f>
        <v>0</v>
      </c>
      <c r="C108" s="147">
        <f>SUMIFS(PLAN!$K:$K,PLAN!$V:$V,Sheet1!$A108,PLAN!$W:$W,Sheet1!$C$1)</f>
        <v>0</v>
      </c>
      <c r="D108" s="147">
        <f>SUMIFS(PLAN!$K:$K,PLAN!$V:$V,Sheet1!$A108,PLAN!$W:$W,Sheet1!$D$1)</f>
        <v>0</v>
      </c>
      <c r="E108" s="147">
        <f>SUMIFS(PLAN!$K:$K,PLAN!$V:$V,Sheet1!$A108,PLAN!$W:$W,Sheet1!$E$1)</f>
        <v>0</v>
      </c>
      <c r="F108" s="147">
        <f>SUMIFS(PLAN!$K:$K,PLAN!$V:$V,Sheet1!$A108,PLAN!$W:$W,Sheet1!$F$1)</f>
        <v>0</v>
      </c>
      <c r="G108" s="147">
        <f>SUMIFS(PLAN!$K:$K,PLAN!$V:$V,Sheet1!$A108,PLAN!$W:$W,Sheet1!$G$1)</f>
        <v>0</v>
      </c>
      <c r="H108" s="147">
        <f>SUMIFS(PLAN!$K:$K,PLAN!$V:$V,Sheet1!$A108,PLAN!$W:$W,Sheet1!$H$1)</f>
        <v>0</v>
      </c>
      <c r="I108" s="147">
        <f>SUMIFS(PLAN!$K:$K,PLAN!$V:$V,Sheet1!$A108,PLAN!$W:$W,Sheet1!$I$1)</f>
        <v>0</v>
      </c>
      <c r="J108" s="147">
        <f>SUMIFS(PLAN!$K:$K,PLAN!$V:$V,Sheet1!$A108,PLAN!$W:$W,Sheet1!$J$1)</f>
        <v>0</v>
      </c>
      <c r="K108" s="147">
        <f>SUMIFS(PLAN!$K:$K,PLAN!$V:$V,Sheet1!$A108,PLAN!$W:$W,Sheet1!$K$1)</f>
        <v>0</v>
      </c>
      <c r="L108" s="147">
        <f>SUMIFS(PLAN!$K:$K,PLAN!$V:$V,Sheet1!$A108,PLAN!$W:$W,Sheet1!$L$1)</f>
        <v>0</v>
      </c>
      <c r="M108" s="147">
        <f>SUMIFS(PLAN!$K:$K,PLAN!$V:$V,Sheet1!$A108,PLAN!$W:$W,Sheet1!$M$1)</f>
        <v>0</v>
      </c>
      <c r="N108" s="147">
        <f>SUMIFS(PLAN!$K:$K,PLAN!$V:$V,Sheet1!$A108,PLAN!$W:$W,Sheet1!$N$1)</f>
        <v>0</v>
      </c>
      <c r="O108" s="147">
        <f t="shared" si="2"/>
        <v>0</v>
      </c>
    </row>
    <row r="109" spans="1:15">
      <c r="A109" s="159">
        <v>46281</v>
      </c>
      <c r="B109" s="147">
        <f>SUMIFS(PLAN!$K:$K,PLAN!$V:$V,Sheet1!$A109,PLAN!$W:$W,Sheet1!$B$1)</f>
        <v>0</v>
      </c>
      <c r="C109" s="147">
        <f>SUMIFS(PLAN!$K:$K,PLAN!$V:$V,Sheet1!$A109,PLAN!$W:$W,Sheet1!$C$1)</f>
        <v>0</v>
      </c>
      <c r="D109" s="147">
        <f>SUMIFS(PLAN!$K:$K,PLAN!$V:$V,Sheet1!$A109,PLAN!$W:$W,Sheet1!$D$1)</f>
        <v>0</v>
      </c>
      <c r="E109" s="147">
        <f>SUMIFS(PLAN!$K:$K,PLAN!$V:$V,Sheet1!$A109,PLAN!$W:$W,Sheet1!$E$1)</f>
        <v>0</v>
      </c>
      <c r="F109" s="147">
        <f>SUMIFS(PLAN!$K:$K,PLAN!$V:$V,Sheet1!$A109,PLAN!$W:$W,Sheet1!$F$1)</f>
        <v>0</v>
      </c>
      <c r="G109" s="147">
        <f>SUMIFS(PLAN!$K:$K,PLAN!$V:$V,Sheet1!$A109,PLAN!$W:$W,Sheet1!$G$1)</f>
        <v>0</v>
      </c>
      <c r="H109" s="147">
        <f>SUMIFS(PLAN!$K:$K,PLAN!$V:$V,Sheet1!$A109,PLAN!$W:$W,Sheet1!$H$1)</f>
        <v>0</v>
      </c>
      <c r="I109" s="147">
        <f>SUMIFS(PLAN!$K:$K,PLAN!$V:$V,Sheet1!$A109,PLAN!$W:$W,Sheet1!$I$1)</f>
        <v>0</v>
      </c>
      <c r="J109" s="147">
        <f>SUMIFS(PLAN!$K:$K,PLAN!$V:$V,Sheet1!$A109,PLAN!$W:$W,Sheet1!$J$1)</f>
        <v>0</v>
      </c>
      <c r="K109" s="147">
        <f>SUMIFS(PLAN!$K:$K,PLAN!$V:$V,Sheet1!$A109,PLAN!$W:$W,Sheet1!$K$1)</f>
        <v>0</v>
      </c>
      <c r="L109" s="147">
        <f>SUMIFS(PLAN!$K:$K,PLAN!$V:$V,Sheet1!$A109,PLAN!$W:$W,Sheet1!$L$1)</f>
        <v>0</v>
      </c>
      <c r="M109" s="147">
        <f>SUMIFS(PLAN!$K:$K,PLAN!$V:$V,Sheet1!$A109,PLAN!$W:$W,Sheet1!$M$1)</f>
        <v>0</v>
      </c>
      <c r="N109" s="147">
        <f>SUMIFS(PLAN!$K:$K,PLAN!$V:$V,Sheet1!$A109,PLAN!$W:$W,Sheet1!$N$1)</f>
        <v>0</v>
      </c>
      <c r="O109" s="147">
        <f t="shared" si="2"/>
        <v>0</v>
      </c>
    </row>
    <row r="110" spans="1:15">
      <c r="A110" s="159">
        <v>46282</v>
      </c>
      <c r="B110" s="147">
        <f>SUMIFS(PLAN!$K:$K,PLAN!$V:$V,Sheet1!$A110,PLAN!$W:$W,Sheet1!$B$1)</f>
        <v>0</v>
      </c>
      <c r="C110" s="147">
        <f>SUMIFS(PLAN!$K:$K,PLAN!$V:$V,Sheet1!$A110,PLAN!$W:$W,Sheet1!$C$1)</f>
        <v>0</v>
      </c>
      <c r="D110" s="147">
        <f>SUMIFS(PLAN!$K:$K,PLAN!$V:$V,Sheet1!$A110,PLAN!$W:$W,Sheet1!$D$1)</f>
        <v>0</v>
      </c>
      <c r="E110" s="147">
        <f>SUMIFS(PLAN!$K:$K,PLAN!$V:$V,Sheet1!$A110,PLAN!$W:$W,Sheet1!$E$1)</f>
        <v>0</v>
      </c>
      <c r="F110" s="147">
        <f>SUMIFS(PLAN!$K:$K,PLAN!$V:$V,Sheet1!$A110,PLAN!$W:$W,Sheet1!$F$1)</f>
        <v>0</v>
      </c>
      <c r="G110" s="147">
        <f>SUMIFS(PLAN!$K:$K,PLAN!$V:$V,Sheet1!$A110,PLAN!$W:$W,Sheet1!$G$1)</f>
        <v>0</v>
      </c>
      <c r="H110" s="147">
        <f>SUMIFS(PLAN!$K:$K,PLAN!$V:$V,Sheet1!$A110,PLAN!$W:$W,Sheet1!$H$1)</f>
        <v>0</v>
      </c>
      <c r="I110" s="147">
        <f>SUMIFS(PLAN!$K:$K,PLAN!$V:$V,Sheet1!$A110,PLAN!$W:$W,Sheet1!$I$1)</f>
        <v>0</v>
      </c>
      <c r="J110" s="147">
        <f>SUMIFS(PLAN!$K:$K,PLAN!$V:$V,Sheet1!$A110,PLAN!$W:$W,Sheet1!$J$1)</f>
        <v>0</v>
      </c>
      <c r="K110" s="147">
        <f>SUMIFS(PLAN!$K:$K,PLAN!$V:$V,Sheet1!$A110,PLAN!$W:$W,Sheet1!$K$1)</f>
        <v>0</v>
      </c>
      <c r="L110" s="147">
        <f>SUMIFS(PLAN!$K:$K,PLAN!$V:$V,Sheet1!$A110,PLAN!$W:$W,Sheet1!$L$1)</f>
        <v>0</v>
      </c>
      <c r="M110" s="147">
        <f>SUMIFS(PLAN!$K:$K,PLAN!$V:$V,Sheet1!$A110,PLAN!$W:$W,Sheet1!$M$1)</f>
        <v>0</v>
      </c>
      <c r="N110" s="147">
        <f>SUMIFS(PLAN!$K:$K,PLAN!$V:$V,Sheet1!$A110,PLAN!$W:$W,Sheet1!$N$1)</f>
        <v>0</v>
      </c>
      <c r="O110" s="147">
        <f t="shared" si="2"/>
        <v>0</v>
      </c>
    </row>
    <row r="111" spans="1:15">
      <c r="A111" s="159">
        <v>46283</v>
      </c>
      <c r="B111" s="147">
        <f>SUMIFS(PLAN!$K:$K,PLAN!$V:$V,Sheet1!$A111,PLAN!$W:$W,Sheet1!$B$1)</f>
        <v>0</v>
      </c>
      <c r="C111" s="147">
        <f>SUMIFS(PLAN!$K:$K,PLAN!$V:$V,Sheet1!$A111,PLAN!$W:$W,Sheet1!$C$1)</f>
        <v>0</v>
      </c>
      <c r="D111" s="147">
        <f>SUMIFS(PLAN!$K:$K,PLAN!$V:$V,Sheet1!$A111,PLAN!$W:$W,Sheet1!$D$1)</f>
        <v>0</v>
      </c>
      <c r="E111" s="147">
        <f>SUMIFS(PLAN!$K:$K,PLAN!$V:$V,Sheet1!$A111,PLAN!$W:$W,Sheet1!$E$1)</f>
        <v>0</v>
      </c>
      <c r="F111" s="147">
        <f>SUMIFS(PLAN!$K:$K,PLAN!$V:$V,Sheet1!$A111,PLAN!$W:$W,Sheet1!$F$1)</f>
        <v>0</v>
      </c>
      <c r="G111" s="147">
        <f>SUMIFS(PLAN!$K:$K,PLAN!$V:$V,Sheet1!$A111,PLAN!$W:$W,Sheet1!$G$1)</f>
        <v>0</v>
      </c>
      <c r="H111" s="147">
        <f>SUMIFS(PLAN!$K:$K,PLAN!$V:$V,Sheet1!$A111,PLAN!$W:$W,Sheet1!$H$1)</f>
        <v>0</v>
      </c>
      <c r="I111" s="147">
        <f>SUMIFS(PLAN!$K:$K,PLAN!$V:$V,Sheet1!$A111,PLAN!$W:$W,Sheet1!$I$1)</f>
        <v>0</v>
      </c>
      <c r="J111" s="147">
        <f>SUMIFS(PLAN!$K:$K,PLAN!$V:$V,Sheet1!$A111,PLAN!$W:$W,Sheet1!$J$1)</f>
        <v>0</v>
      </c>
      <c r="K111" s="147">
        <f>SUMIFS(PLAN!$K:$K,PLAN!$V:$V,Sheet1!$A111,PLAN!$W:$W,Sheet1!$K$1)</f>
        <v>0</v>
      </c>
      <c r="L111" s="147">
        <f>SUMIFS(PLAN!$K:$K,PLAN!$V:$V,Sheet1!$A111,PLAN!$W:$W,Sheet1!$L$1)</f>
        <v>0</v>
      </c>
      <c r="M111" s="147">
        <f>SUMIFS(PLAN!$K:$K,PLAN!$V:$V,Sheet1!$A111,PLAN!$W:$W,Sheet1!$M$1)</f>
        <v>0</v>
      </c>
      <c r="N111" s="147">
        <f>SUMIFS(PLAN!$K:$K,PLAN!$V:$V,Sheet1!$A111,PLAN!$W:$W,Sheet1!$N$1)</f>
        <v>0</v>
      </c>
      <c r="O111" s="147">
        <f t="shared" si="2"/>
        <v>0</v>
      </c>
    </row>
    <row r="112" spans="1:15">
      <c r="A112" s="159">
        <v>46284</v>
      </c>
      <c r="B112" s="147">
        <f>SUMIFS(PLAN!$K:$K,PLAN!$V:$V,Sheet1!$A112,PLAN!$W:$W,Sheet1!$B$1)</f>
        <v>0</v>
      </c>
      <c r="C112" s="147">
        <f>SUMIFS(PLAN!$K:$K,PLAN!$V:$V,Sheet1!$A112,PLAN!$W:$W,Sheet1!$C$1)</f>
        <v>0</v>
      </c>
      <c r="D112" s="147">
        <f>SUMIFS(PLAN!$K:$K,PLAN!$V:$V,Sheet1!$A112,PLAN!$W:$W,Sheet1!$D$1)</f>
        <v>0</v>
      </c>
      <c r="E112" s="147">
        <f>SUMIFS(PLAN!$K:$K,PLAN!$V:$V,Sheet1!$A112,PLAN!$W:$W,Sheet1!$E$1)</f>
        <v>0</v>
      </c>
      <c r="F112" s="147">
        <f>SUMIFS(PLAN!$K:$K,PLAN!$V:$V,Sheet1!$A112,PLAN!$W:$W,Sheet1!$F$1)</f>
        <v>0</v>
      </c>
      <c r="G112" s="147">
        <f>SUMIFS(PLAN!$K:$K,PLAN!$V:$V,Sheet1!$A112,PLAN!$W:$W,Sheet1!$G$1)</f>
        <v>0</v>
      </c>
      <c r="H112" s="147">
        <f>SUMIFS(PLAN!$K:$K,PLAN!$V:$V,Sheet1!$A112,PLAN!$W:$W,Sheet1!$H$1)</f>
        <v>0</v>
      </c>
      <c r="I112" s="147">
        <f>SUMIFS(PLAN!$K:$K,PLAN!$V:$V,Sheet1!$A112,PLAN!$W:$W,Sheet1!$I$1)</f>
        <v>0</v>
      </c>
      <c r="J112" s="147">
        <f>SUMIFS(PLAN!$K:$K,PLAN!$V:$V,Sheet1!$A112,PLAN!$W:$W,Sheet1!$J$1)</f>
        <v>0</v>
      </c>
      <c r="K112" s="147">
        <f>SUMIFS(PLAN!$K:$K,PLAN!$V:$V,Sheet1!$A112,PLAN!$W:$W,Sheet1!$K$1)</f>
        <v>0</v>
      </c>
      <c r="L112" s="147">
        <f>SUMIFS(PLAN!$K:$K,PLAN!$V:$V,Sheet1!$A112,PLAN!$W:$W,Sheet1!$L$1)</f>
        <v>0</v>
      </c>
      <c r="M112" s="147">
        <f>SUMIFS(PLAN!$K:$K,PLAN!$V:$V,Sheet1!$A112,PLAN!$W:$W,Sheet1!$M$1)</f>
        <v>0</v>
      </c>
      <c r="N112" s="147">
        <f>SUMIFS(PLAN!$K:$K,PLAN!$V:$V,Sheet1!$A112,PLAN!$W:$W,Sheet1!$N$1)</f>
        <v>0</v>
      </c>
      <c r="O112" s="147">
        <f t="shared" si="2"/>
        <v>0</v>
      </c>
    </row>
    <row r="113" spans="1:27">
      <c r="A113" s="159">
        <v>46285</v>
      </c>
      <c r="B113" s="147">
        <f>SUMIFS(PLAN!$K:$K,PLAN!$V:$V,Sheet1!$A113,PLAN!$W:$W,Sheet1!$B$1)</f>
        <v>0</v>
      </c>
      <c r="C113" s="147">
        <f>SUMIFS(PLAN!$K:$K,PLAN!$V:$V,Sheet1!$A113,PLAN!$W:$W,Sheet1!$C$1)</f>
        <v>0</v>
      </c>
      <c r="D113" s="147">
        <f>SUMIFS(PLAN!$K:$K,PLAN!$V:$V,Sheet1!$A113,PLAN!$W:$W,Sheet1!$D$1)</f>
        <v>0</v>
      </c>
      <c r="E113" s="147">
        <f>SUMIFS(PLAN!$K:$K,PLAN!$V:$V,Sheet1!$A113,PLAN!$W:$W,Sheet1!$E$1)</f>
        <v>0</v>
      </c>
      <c r="F113" s="147">
        <f>SUMIFS(PLAN!$K:$K,PLAN!$V:$V,Sheet1!$A113,PLAN!$W:$W,Sheet1!$F$1)</f>
        <v>0</v>
      </c>
      <c r="G113" s="147">
        <f>SUMIFS(PLAN!$K:$K,PLAN!$V:$V,Sheet1!$A113,PLAN!$W:$W,Sheet1!$G$1)</f>
        <v>0</v>
      </c>
      <c r="H113" s="147">
        <f>SUMIFS(PLAN!$K:$K,PLAN!$V:$V,Sheet1!$A113,PLAN!$W:$W,Sheet1!$H$1)</f>
        <v>0</v>
      </c>
      <c r="I113" s="147">
        <f>SUMIFS(PLAN!$K:$K,PLAN!$V:$V,Sheet1!$A113,PLAN!$W:$W,Sheet1!$I$1)</f>
        <v>0</v>
      </c>
      <c r="J113" s="147">
        <f>SUMIFS(PLAN!$K:$K,PLAN!$V:$V,Sheet1!$A113,PLAN!$W:$W,Sheet1!$J$1)</f>
        <v>0</v>
      </c>
      <c r="K113" s="147">
        <f>SUMIFS(PLAN!$K:$K,PLAN!$V:$V,Sheet1!$A113,PLAN!$W:$W,Sheet1!$K$1)</f>
        <v>0</v>
      </c>
      <c r="L113" s="147">
        <f>SUMIFS(PLAN!$K:$K,PLAN!$V:$V,Sheet1!$A113,PLAN!$W:$W,Sheet1!$L$1)</f>
        <v>0</v>
      </c>
      <c r="M113" s="147">
        <f>SUMIFS(PLAN!$K:$K,PLAN!$V:$V,Sheet1!$A113,PLAN!$W:$W,Sheet1!$M$1)</f>
        <v>0</v>
      </c>
      <c r="N113" s="147">
        <f>SUMIFS(PLAN!$K:$K,PLAN!$V:$V,Sheet1!$A113,PLAN!$W:$W,Sheet1!$N$1)</f>
        <v>0</v>
      </c>
      <c r="O113" s="147">
        <f t="shared" si="2"/>
        <v>0</v>
      </c>
    </row>
    <row r="114" spans="1:27">
      <c r="A114" s="159">
        <v>46286</v>
      </c>
      <c r="B114" s="147">
        <f>SUMIFS(PLAN!$K:$K,PLAN!$V:$V,Sheet1!$A114,PLAN!$W:$W,Sheet1!$B$1)</f>
        <v>0</v>
      </c>
      <c r="C114" s="147">
        <f>SUMIFS(PLAN!$K:$K,PLAN!$V:$V,Sheet1!$A114,PLAN!$W:$W,Sheet1!$C$1)</f>
        <v>0</v>
      </c>
      <c r="D114" s="147">
        <f>SUMIFS(PLAN!$K:$K,PLAN!$V:$V,Sheet1!$A114,PLAN!$W:$W,Sheet1!$D$1)</f>
        <v>0</v>
      </c>
      <c r="E114" s="147">
        <f>SUMIFS(PLAN!$K:$K,PLAN!$V:$V,Sheet1!$A114,PLAN!$W:$W,Sheet1!$E$1)</f>
        <v>0</v>
      </c>
      <c r="F114" s="147">
        <f>SUMIFS(PLAN!$K:$K,PLAN!$V:$V,Sheet1!$A114,PLAN!$W:$W,Sheet1!$F$1)</f>
        <v>0</v>
      </c>
      <c r="G114" s="147">
        <f>SUMIFS(PLAN!$K:$K,PLAN!$V:$V,Sheet1!$A114,PLAN!$W:$W,Sheet1!$G$1)</f>
        <v>0</v>
      </c>
      <c r="H114" s="147">
        <f>SUMIFS(PLAN!$K:$K,PLAN!$V:$V,Sheet1!$A114,PLAN!$W:$W,Sheet1!$H$1)</f>
        <v>0</v>
      </c>
      <c r="I114" s="147">
        <f>SUMIFS(PLAN!$K:$K,PLAN!$V:$V,Sheet1!$A114,PLAN!$W:$W,Sheet1!$I$1)</f>
        <v>0</v>
      </c>
      <c r="J114" s="147">
        <f>SUMIFS(PLAN!$K:$K,PLAN!$V:$V,Sheet1!$A114,PLAN!$W:$W,Sheet1!$J$1)</f>
        <v>0</v>
      </c>
      <c r="K114" s="147">
        <f>SUMIFS(PLAN!$K:$K,PLAN!$V:$V,Sheet1!$A114,PLAN!$W:$W,Sheet1!$K$1)</f>
        <v>0</v>
      </c>
      <c r="L114" s="147">
        <f>SUMIFS(PLAN!$K:$K,PLAN!$V:$V,Sheet1!$A114,PLAN!$W:$W,Sheet1!$L$1)</f>
        <v>0</v>
      </c>
      <c r="M114" s="147">
        <f>SUMIFS(PLAN!$K:$K,PLAN!$V:$V,Sheet1!$A114,PLAN!$W:$W,Sheet1!$M$1)</f>
        <v>0</v>
      </c>
      <c r="N114" s="147">
        <f>SUMIFS(PLAN!$K:$K,PLAN!$V:$V,Sheet1!$A114,PLAN!$W:$W,Sheet1!$N$1)</f>
        <v>0</v>
      </c>
      <c r="O114" s="147">
        <f t="shared" si="2"/>
        <v>0</v>
      </c>
    </row>
    <row r="115" spans="1:27">
      <c r="A115" s="159">
        <v>46287</v>
      </c>
      <c r="B115" s="147">
        <f>SUMIFS(PLAN!$K:$K,PLAN!$V:$V,Sheet1!$A115,PLAN!$W:$W,Sheet1!$B$1)</f>
        <v>0</v>
      </c>
      <c r="C115" s="147">
        <f>SUMIFS(PLAN!$K:$K,PLAN!$V:$V,Sheet1!$A115,PLAN!$W:$W,Sheet1!$C$1)</f>
        <v>0</v>
      </c>
      <c r="D115" s="147">
        <f>SUMIFS(PLAN!$K:$K,PLAN!$V:$V,Sheet1!$A115,PLAN!$W:$W,Sheet1!$D$1)</f>
        <v>0</v>
      </c>
      <c r="E115" s="147">
        <f>SUMIFS(PLAN!$K:$K,PLAN!$V:$V,Sheet1!$A115,PLAN!$W:$W,Sheet1!$E$1)</f>
        <v>0</v>
      </c>
      <c r="F115" s="147">
        <f>SUMIFS(PLAN!$K:$K,PLAN!$V:$V,Sheet1!$A115,PLAN!$W:$W,Sheet1!$F$1)</f>
        <v>0</v>
      </c>
      <c r="G115" s="147">
        <f>SUMIFS(PLAN!$K:$K,PLAN!$V:$V,Sheet1!$A115,PLAN!$W:$W,Sheet1!$G$1)</f>
        <v>0</v>
      </c>
      <c r="H115" s="147">
        <f>SUMIFS(PLAN!$K:$K,PLAN!$V:$V,Sheet1!$A115,PLAN!$W:$W,Sheet1!$H$1)</f>
        <v>0</v>
      </c>
      <c r="I115" s="147">
        <f>SUMIFS(PLAN!$K:$K,PLAN!$V:$V,Sheet1!$A115,PLAN!$W:$W,Sheet1!$I$1)</f>
        <v>0</v>
      </c>
      <c r="J115" s="147">
        <f>SUMIFS(PLAN!$K:$K,PLAN!$V:$V,Sheet1!$A115,PLAN!$W:$W,Sheet1!$J$1)</f>
        <v>0</v>
      </c>
      <c r="K115" s="147">
        <f>SUMIFS(PLAN!$K:$K,PLAN!$V:$V,Sheet1!$A115,PLAN!$W:$W,Sheet1!$K$1)</f>
        <v>0</v>
      </c>
      <c r="L115" s="147">
        <f>SUMIFS(PLAN!$K:$K,PLAN!$V:$V,Sheet1!$A115,PLAN!$W:$W,Sheet1!$L$1)</f>
        <v>0</v>
      </c>
      <c r="M115" s="147">
        <f>SUMIFS(PLAN!$K:$K,PLAN!$V:$V,Sheet1!$A115,PLAN!$W:$W,Sheet1!$M$1)</f>
        <v>0</v>
      </c>
      <c r="N115" s="147">
        <f>SUMIFS(PLAN!$K:$K,PLAN!$V:$V,Sheet1!$A115,PLAN!$W:$W,Sheet1!$N$1)</f>
        <v>0</v>
      </c>
      <c r="O115" s="147">
        <f t="shared" si="2"/>
        <v>0</v>
      </c>
    </row>
    <row r="116" spans="1:27">
      <c r="A116" s="159">
        <v>46288</v>
      </c>
      <c r="B116" s="147">
        <f>SUMIFS(PLAN!$K:$K,PLAN!$V:$V,Sheet1!$A116,PLAN!$W:$W,Sheet1!$B$1)</f>
        <v>0</v>
      </c>
      <c r="C116" s="147">
        <f>SUMIFS(PLAN!$K:$K,PLAN!$V:$V,Sheet1!$A116,PLAN!$W:$W,Sheet1!$C$1)</f>
        <v>0</v>
      </c>
      <c r="D116" s="147">
        <f>SUMIFS(PLAN!$K:$K,PLAN!$V:$V,Sheet1!$A116,PLAN!$W:$W,Sheet1!$D$1)</f>
        <v>0</v>
      </c>
      <c r="E116" s="147">
        <f>SUMIFS(PLAN!$K:$K,PLAN!$V:$V,Sheet1!$A116,PLAN!$W:$W,Sheet1!$E$1)</f>
        <v>0</v>
      </c>
      <c r="F116" s="147">
        <f>SUMIFS(PLAN!$K:$K,PLAN!$V:$V,Sheet1!$A116,PLAN!$W:$W,Sheet1!$F$1)</f>
        <v>0</v>
      </c>
      <c r="G116" s="147">
        <f>SUMIFS(PLAN!$K:$K,PLAN!$V:$V,Sheet1!$A116,PLAN!$W:$W,Sheet1!$G$1)</f>
        <v>0</v>
      </c>
      <c r="H116" s="147">
        <f>SUMIFS(PLAN!$K:$K,PLAN!$V:$V,Sheet1!$A116,PLAN!$W:$W,Sheet1!$H$1)</f>
        <v>0</v>
      </c>
      <c r="I116" s="147">
        <f>SUMIFS(PLAN!$K:$K,PLAN!$V:$V,Sheet1!$A116,PLAN!$W:$W,Sheet1!$I$1)</f>
        <v>0</v>
      </c>
      <c r="J116" s="147">
        <f>SUMIFS(PLAN!$K:$K,PLAN!$V:$V,Sheet1!$A116,PLAN!$W:$W,Sheet1!$J$1)</f>
        <v>0</v>
      </c>
      <c r="K116" s="147">
        <f>SUMIFS(PLAN!$K:$K,PLAN!$V:$V,Sheet1!$A116,PLAN!$W:$W,Sheet1!$K$1)</f>
        <v>0</v>
      </c>
      <c r="L116" s="147">
        <f>SUMIFS(PLAN!$K:$K,PLAN!$V:$V,Sheet1!$A116,PLAN!$W:$W,Sheet1!$L$1)</f>
        <v>0</v>
      </c>
      <c r="M116" s="147">
        <f>SUMIFS(PLAN!$K:$K,PLAN!$V:$V,Sheet1!$A116,PLAN!$W:$W,Sheet1!$M$1)</f>
        <v>0</v>
      </c>
      <c r="N116" s="147">
        <f>SUMIFS(PLAN!$K:$K,PLAN!$V:$V,Sheet1!$A116,PLAN!$W:$W,Sheet1!$N$1)</f>
        <v>0</v>
      </c>
      <c r="O116" s="147">
        <f t="shared" si="2"/>
        <v>0</v>
      </c>
    </row>
    <row r="117" spans="1:27">
      <c r="A117" s="159">
        <v>46289</v>
      </c>
      <c r="B117" s="147">
        <f>SUMIFS(PLAN!$K:$K,PLAN!$V:$V,Sheet1!$A117,PLAN!$W:$W,Sheet1!$B$1)</f>
        <v>0</v>
      </c>
      <c r="C117" s="147">
        <f>SUMIFS(PLAN!$K:$K,PLAN!$V:$V,Sheet1!$A117,PLAN!$W:$W,Sheet1!$C$1)</f>
        <v>0</v>
      </c>
      <c r="D117" s="147">
        <f>SUMIFS(PLAN!$K:$K,PLAN!$V:$V,Sheet1!$A117,PLAN!$W:$W,Sheet1!$D$1)</f>
        <v>0</v>
      </c>
      <c r="E117" s="147">
        <f>SUMIFS(PLAN!$K:$K,PLAN!$V:$V,Sheet1!$A117,PLAN!$W:$W,Sheet1!$E$1)</f>
        <v>0</v>
      </c>
      <c r="F117" s="147">
        <f>SUMIFS(PLAN!$K:$K,PLAN!$V:$V,Sheet1!$A117,PLAN!$W:$W,Sheet1!$F$1)</f>
        <v>0</v>
      </c>
      <c r="G117" s="147">
        <f>SUMIFS(PLAN!$K:$K,PLAN!$V:$V,Sheet1!$A117,PLAN!$W:$W,Sheet1!$G$1)</f>
        <v>0</v>
      </c>
      <c r="H117" s="147">
        <f>SUMIFS(PLAN!$K:$K,PLAN!$V:$V,Sheet1!$A117,PLAN!$W:$W,Sheet1!$H$1)</f>
        <v>0</v>
      </c>
      <c r="I117" s="147">
        <f>SUMIFS(PLAN!$K:$K,PLAN!$V:$V,Sheet1!$A117,PLAN!$W:$W,Sheet1!$I$1)</f>
        <v>0</v>
      </c>
      <c r="J117" s="147">
        <f>SUMIFS(PLAN!$K:$K,PLAN!$V:$V,Sheet1!$A117,PLAN!$W:$W,Sheet1!$J$1)</f>
        <v>0</v>
      </c>
      <c r="K117" s="147">
        <f>SUMIFS(PLAN!$K:$K,PLAN!$V:$V,Sheet1!$A117,PLAN!$W:$W,Sheet1!$K$1)</f>
        <v>0</v>
      </c>
      <c r="L117" s="147">
        <f>SUMIFS(PLAN!$K:$K,PLAN!$V:$V,Sheet1!$A117,PLAN!$W:$W,Sheet1!$L$1)</f>
        <v>0</v>
      </c>
      <c r="M117" s="147">
        <f>SUMIFS(PLAN!$K:$K,PLAN!$V:$V,Sheet1!$A117,PLAN!$W:$W,Sheet1!$M$1)</f>
        <v>0</v>
      </c>
      <c r="N117" s="147">
        <f>SUMIFS(PLAN!$K:$K,PLAN!$V:$V,Sheet1!$A117,PLAN!$W:$W,Sheet1!$N$1)</f>
        <v>0</v>
      </c>
      <c r="O117" s="147">
        <f t="shared" si="2"/>
        <v>0</v>
      </c>
    </row>
    <row r="118" spans="1:27">
      <c r="A118" s="159">
        <v>46290</v>
      </c>
      <c r="B118" s="147">
        <f>SUMIFS(PLAN!$K:$K,PLAN!$V:$V,Sheet1!$A118,PLAN!$W:$W,Sheet1!$B$1)</f>
        <v>0</v>
      </c>
      <c r="C118" s="147">
        <f>SUMIFS(PLAN!$K:$K,PLAN!$V:$V,Sheet1!$A118,PLAN!$W:$W,Sheet1!$C$1)</f>
        <v>0</v>
      </c>
      <c r="D118" s="147">
        <f>SUMIFS(PLAN!$K:$K,PLAN!$V:$V,Sheet1!$A118,PLAN!$W:$W,Sheet1!$D$1)</f>
        <v>0</v>
      </c>
      <c r="E118" s="147">
        <f>SUMIFS(PLAN!$K:$K,PLAN!$V:$V,Sheet1!$A118,PLAN!$W:$W,Sheet1!$E$1)</f>
        <v>0</v>
      </c>
      <c r="F118" s="147">
        <f>SUMIFS(PLAN!$K:$K,PLAN!$V:$V,Sheet1!$A118,PLAN!$W:$W,Sheet1!$F$1)</f>
        <v>0</v>
      </c>
      <c r="G118" s="147">
        <f>SUMIFS(PLAN!$K:$K,PLAN!$V:$V,Sheet1!$A118,PLAN!$W:$W,Sheet1!$G$1)</f>
        <v>0</v>
      </c>
      <c r="H118" s="147">
        <f>SUMIFS(PLAN!$K:$K,PLAN!$V:$V,Sheet1!$A118,PLAN!$W:$W,Sheet1!$H$1)</f>
        <v>0</v>
      </c>
      <c r="I118" s="147">
        <f>SUMIFS(PLAN!$K:$K,PLAN!$V:$V,Sheet1!$A118,PLAN!$W:$W,Sheet1!$I$1)</f>
        <v>0</v>
      </c>
      <c r="J118" s="147">
        <f>SUMIFS(PLAN!$K:$K,PLAN!$V:$V,Sheet1!$A118,PLAN!$W:$W,Sheet1!$J$1)</f>
        <v>0</v>
      </c>
      <c r="K118" s="147">
        <f>SUMIFS(PLAN!$K:$K,PLAN!$V:$V,Sheet1!$A118,PLAN!$W:$W,Sheet1!$K$1)</f>
        <v>0</v>
      </c>
      <c r="L118" s="147">
        <f>SUMIFS(PLAN!$K:$K,PLAN!$V:$V,Sheet1!$A118,PLAN!$W:$W,Sheet1!$L$1)</f>
        <v>0</v>
      </c>
      <c r="M118" s="147">
        <f>SUMIFS(PLAN!$K:$K,PLAN!$V:$V,Sheet1!$A118,PLAN!$W:$W,Sheet1!$M$1)</f>
        <v>0</v>
      </c>
      <c r="N118" s="147">
        <f>SUMIFS(PLAN!$K:$K,PLAN!$V:$V,Sheet1!$A118,PLAN!$W:$W,Sheet1!$N$1)</f>
        <v>0</v>
      </c>
      <c r="O118" s="147">
        <f t="shared" si="2"/>
        <v>0</v>
      </c>
      <c r="Y118">
        <v>11134343</v>
      </c>
      <c r="Z118" t="s">
        <v>443</v>
      </c>
      <c r="AA118" s="242" t="s">
        <v>442</v>
      </c>
    </row>
    <row r="119" spans="1:27">
      <c r="A119" s="159">
        <v>46291</v>
      </c>
      <c r="B119" s="147">
        <f>SUMIFS(PLAN!$K:$K,PLAN!$V:$V,Sheet1!$A119,PLAN!$W:$W,Sheet1!$B$1)</f>
        <v>0</v>
      </c>
      <c r="C119" s="147">
        <f>SUMIFS(PLAN!$K:$K,PLAN!$V:$V,Sheet1!$A119,PLAN!$W:$W,Sheet1!$C$1)</f>
        <v>0</v>
      </c>
      <c r="D119" s="147">
        <f>SUMIFS(PLAN!$K:$K,PLAN!$V:$V,Sheet1!$A119,PLAN!$W:$W,Sheet1!$D$1)</f>
        <v>0</v>
      </c>
      <c r="E119" s="147">
        <f>SUMIFS(PLAN!$K:$K,PLAN!$V:$V,Sheet1!$A119,PLAN!$W:$W,Sheet1!$E$1)</f>
        <v>0</v>
      </c>
      <c r="F119" s="147">
        <f>SUMIFS(PLAN!$K:$K,PLAN!$V:$V,Sheet1!$A119,PLAN!$W:$W,Sheet1!$F$1)</f>
        <v>0</v>
      </c>
      <c r="G119" s="147">
        <f>SUMIFS(PLAN!$K:$K,PLAN!$V:$V,Sheet1!$A119,PLAN!$W:$W,Sheet1!$G$1)</f>
        <v>0</v>
      </c>
      <c r="H119" s="147">
        <f>SUMIFS(PLAN!$K:$K,PLAN!$V:$V,Sheet1!$A119,PLAN!$W:$W,Sheet1!$H$1)</f>
        <v>0</v>
      </c>
      <c r="I119" s="147">
        <f>SUMIFS(PLAN!$K:$K,PLAN!$V:$V,Sheet1!$A119,PLAN!$W:$W,Sheet1!$I$1)</f>
        <v>0</v>
      </c>
      <c r="J119" s="147">
        <f>SUMIFS(PLAN!$K:$K,PLAN!$V:$V,Sheet1!$A119,PLAN!$W:$W,Sheet1!$J$1)</f>
        <v>0</v>
      </c>
      <c r="K119" s="147">
        <f>SUMIFS(PLAN!$K:$K,PLAN!$V:$V,Sheet1!$A119,PLAN!$W:$W,Sheet1!$K$1)</f>
        <v>0</v>
      </c>
      <c r="L119" s="147">
        <f>SUMIFS(PLAN!$K:$K,PLAN!$V:$V,Sheet1!$A119,PLAN!$W:$W,Sheet1!$L$1)</f>
        <v>0</v>
      </c>
      <c r="M119" s="147">
        <f>SUMIFS(PLAN!$K:$K,PLAN!$V:$V,Sheet1!$A119,PLAN!$W:$W,Sheet1!$M$1)</f>
        <v>0</v>
      </c>
      <c r="N119" s="147">
        <f>SUMIFS(PLAN!$K:$K,PLAN!$V:$V,Sheet1!$A119,PLAN!$W:$W,Sheet1!$N$1)</f>
        <v>0</v>
      </c>
      <c r="O119" s="147">
        <f t="shared" si="2"/>
        <v>0</v>
      </c>
      <c r="Y119">
        <v>11134344</v>
      </c>
      <c r="Z119" t="s">
        <v>443</v>
      </c>
      <c r="AA119" s="242" t="s">
        <v>442</v>
      </c>
    </row>
    <row r="120" spans="1:27">
      <c r="A120" s="159">
        <v>46292</v>
      </c>
      <c r="B120" s="147">
        <f>SUMIFS(PLAN!$K:$K,PLAN!$V:$V,Sheet1!$A120,PLAN!$W:$W,Sheet1!$B$1)</f>
        <v>0</v>
      </c>
      <c r="C120" s="147">
        <f>SUMIFS(PLAN!$K:$K,PLAN!$V:$V,Sheet1!$A120,PLAN!$W:$W,Sheet1!$C$1)</f>
        <v>0</v>
      </c>
      <c r="D120" s="147">
        <f>SUMIFS(PLAN!$K:$K,PLAN!$V:$V,Sheet1!$A120,PLAN!$W:$W,Sheet1!$D$1)</f>
        <v>0</v>
      </c>
      <c r="E120" s="147">
        <f>SUMIFS(PLAN!$K:$K,PLAN!$V:$V,Sheet1!$A120,PLAN!$W:$W,Sheet1!$E$1)</f>
        <v>0</v>
      </c>
      <c r="F120" s="147">
        <f>SUMIFS(PLAN!$K:$K,PLAN!$V:$V,Sheet1!$A120,PLAN!$W:$W,Sheet1!$F$1)</f>
        <v>0</v>
      </c>
      <c r="G120" s="147">
        <f>SUMIFS(PLAN!$K:$K,PLAN!$V:$V,Sheet1!$A120,PLAN!$W:$W,Sheet1!$G$1)</f>
        <v>0</v>
      </c>
      <c r="H120" s="147">
        <f>SUMIFS(PLAN!$K:$K,PLAN!$V:$V,Sheet1!$A120,PLAN!$W:$W,Sheet1!$H$1)</f>
        <v>0</v>
      </c>
      <c r="I120" s="147">
        <f>SUMIFS(PLAN!$K:$K,PLAN!$V:$V,Sheet1!$A120,PLAN!$W:$W,Sheet1!$I$1)</f>
        <v>0</v>
      </c>
      <c r="J120" s="147">
        <f>SUMIFS(PLAN!$K:$K,PLAN!$V:$V,Sheet1!$A120,PLAN!$W:$W,Sheet1!$J$1)</f>
        <v>0</v>
      </c>
      <c r="K120" s="147">
        <f>SUMIFS(PLAN!$K:$K,PLAN!$V:$V,Sheet1!$A120,PLAN!$W:$W,Sheet1!$K$1)</f>
        <v>0</v>
      </c>
      <c r="L120" s="147">
        <f>SUMIFS(PLAN!$K:$K,PLAN!$V:$V,Sheet1!$A120,PLAN!$W:$W,Sheet1!$L$1)</f>
        <v>0</v>
      </c>
      <c r="M120" s="147">
        <f>SUMIFS(PLAN!$K:$K,PLAN!$V:$V,Sheet1!$A120,PLAN!$W:$W,Sheet1!$M$1)</f>
        <v>0</v>
      </c>
      <c r="N120" s="147">
        <f>SUMIFS(PLAN!$K:$K,PLAN!$V:$V,Sheet1!$A120,PLAN!$W:$W,Sheet1!$N$1)</f>
        <v>0</v>
      </c>
      <c r="O120" s="147">
        <f t="shared" si="2"/>
        <v>0</v>
      </c>
      <c r="Y120">
        <v>11134345</v>
      </c>
      <c r="Z120" t="s">
        <v>443</v>
      </c>
      <c r="AA120" s="242" t="s">
        <v>442</v>
      </c>
    </row>
    <row r="121" spans="1:27">
      <c r="A121" s="159">
        <v>46293</v>
      </c>
      <c r="B121" s="147">
        <f>SUMIFS(PLAN!$K:$K,PLAN!$V:$V,Sheet1!$A121,PLAN!$W:$W,Sheet1!$B$1)</f>
        <v>0</v>
      </c>
      <c r="C121" s="147">
        <f>SUMIFS(PLAN!$K:$K,PLAN!$V:$V,Sheet1!$A121,PLAN!$W:$W,Sheet1!$C$1)</f>
        <v>0</v>
      </c>
      <c r="D121" s="147">
        <f>SUMIFS(PLAN!$K:$K,PLAN!$V:$V,Sheet1!$A121,PLAN!$W:$W,Sheet1!$D$1)</f>
        <v>0</v>
      </c>
      <c r="E121" s="147">
        <f>SUMIFS(PLAN!$K:$K,PLAN!$V:$V,Sheet1!$A121,PLAN!$W:$W,Sheet1!$E$1)</f>
        <v>0</v>
      </c>
      <c r="F121" s="147">
        <f>SUMIFS(PLAN!$K:$K,PLAN!$V:$V,Sheet1!$A121,PLAN!$W:$W,Sheet1!$F$1)</f>
        <v>0</v>
      </c>
      <c r="G121" s="147">
        <f>SUMIFS(PLAN!$K:$K,PLAN!$V:$V,Sheet1!$A121,PLAN!$W:$W,Sheet1!$G$1)</f>
        <v>0</v>
      </c>
      <c r="H121" s="147">
        <f>SUMIFS(PLAN!$K:$K,PLAN!$V:$V,Sheet1!$A121,PLAN!$W:$W,Sheet1!$H$1)</f>
        <v>0</v>
      </c>
      <c r="I121" s="147">
        <f>SUMIFS(PLAN!$K:$K,PLAN!$V:$V,Sheet1!$A121,PLAN!$W:$W,Sheet1!$I$1)</f>
        <v>0</v>
      </c>
      <c r="J121" s="147">
        <f>SUMIFS(PLAN!$K:$K,PLAN!$V:$V,Sheet1!$A121,PLAN!$W:$W,Sheet1!$J$1)</f>
        <v>0</v>
      </c>
      <c r="K121" s="147">
        <f>SUMIFS(PLAN!$K:$K,PLAN!$V:$V,Sheet1!$A121,PLAN!$W:$W,Sheet1!$K$1)</f>
        <v>0</v>
      </c>
      <c r="L121" s="147">
        <f>SUMIFS(PLAN!$K:$K,PLAN!$V:$V,Sheet1!$A121,PLAN!$W:$W,Sheet1!$L$1)</f>
        <v>0</v>
      </c>
      <c r="M121" s="147">
        <f>SUMIFS(PLAN!$K:$K,PLAN!$V:$V,Sheet1!$A121,PLAN!$W:$W,Sheet1!$M$1)</f>
        <v>0</v>
      </c>
      <c r="N121" s="147">
        <f>SUMIFS(PLAN!$K:$K,PLAN!$V:$V,Sheet1!$A121,PLAN!$W:$W,Sheet1!$N$1)</f>
        <v>0</v>
      </c>
      <c r="O121" s="147">
        <f t="shared" si="2"/>
        <v>0</v>
      </c>
      <c r="Y121">
        <v>11134346</v>
      </c>
      <c r="Z121" t="s">
        <v>443</v>
      </c>
      <c r="AA121" s="242" t="s">
        <v>442</v>
      </c>
    </row>
    <row r="122" spans="1:27">
      <c r="A122" s="159">
        <v>46294</v>
      </c>
      <c r="B122" s="147">
        <f>SUMIFS(PLAN!$K:$K,PLAN!$V:$V,Sheet1!$A122,PLAN!$W:$W,Sheet1!$B$1)</f>
        <v>0</v>
      </c>
      <c r="C122" s="147">
        <f>SUMIFS(PLAN!$K:$K,PLAN!$V:$V,Sheet1!$A122,PLAN!$W:$W,Sheet1!$C$1)</f>
        <v>0</v>
      </c>
      <c r="D122" s="147">
        <f>SUMIFS(PLAN!$K:$K,PLAN!$V:$V,Sheet1!$A122,PLAN!$W:$W,Sheet1!$D$1)</f>
        <v>0</v>
      </c>
      <c r="E122" s="147">
        <f>SUMIFS(PLAN!$K:$K,PLAN!$V:$V,Sheet1!$A122,PLAN!$W:$W,Sheet1!$E$1)</f>
        <v>0</v>
      </c>
      <c r="F122" s="147">
        <f>SUMIFS(PLAN!$K:$K,PLAN!$V:$V,Sheet1!$A122,PLAN!$W:$W,Sheet1!$F$1)</f>
        <v>0</v>
      </c>
      <c r="G122" s="147">
        <f>SUMIFS(PLAN!$K:$K,PLAN!$V:$V,Sheet1!$A122,PLAN!$W:$W,Sheet1!$G$1)</f>
        <v>0</v>
      </c>
      <c r="H122" s="147">
        <f>SUMIFS(PLAN!$K:$K,PLAN!$V:$V,Sheet1!$A122,PLAN!$W:$W,Sheet1!$H$1)</f>
        <v>0</v>
      </c>
      <c r="I122" s="147">
        <f>SUMIFS(PLAN!$K:$K,PLAN!$V:$V,Sheet1!$A122,PLAN!$W:$W,Sheet1!$I$1)</f>
        <v>0</v>
      </c>
      <c r="J122" s="147">
        <f>SUMIFS(PLAN!$K:$K,PLAN!$V:$V,Sheet1!$A122,PLAN!$W:$W,Sheet1!$J$1)</f>
        <v>0</v>
      </c>
      <c r="K122" s="147">
        <f>SUMIFS(PLAN!$K:$K,PLAN!$V:$V,Sheet1!$A122,PLAN!$W:$W,Sheet1!$K$1)</f>
        <v>0</v>
      </c>
      <c r="L122" s="147">
        <f>SUMIFS(PLAN!$K:$K,PLAN!$V:$V,Sheet1!$A122,PLAN!$W:$W,Sheet1!$L$1)</f>
        <v>0</v>
      </c>
      <c r="M122" s="147">
        <f>SUMIFS(PLAN!$K:$K,PLAN!$V:$V,Sheet1!$A122,PLAN!$W:$W,Sheet1!$M$1)</f>
        <v>0</v>
      </c>
      <c r="N122" s="147">
        <f>SUMIFS(PLAN!$K:$K,PLAN!$V:$V,Sheet1!$A122,PLAN!$W:$W,Sheet1!$N$1)</f>
        <v>0</v>
      </c>
      <c r="O122" s="147">
        <f t="shared" si="2"/>
        <v>0</v>
      </c>
      <c r="Y122">
        <v>11134347</v>
      </c>
      <c r="Z122" t="s">
        <v>443</v>
      </c>
      <c r="AA122" s="242" t="s">
        <v>442</v>
      </c>
    </row>
    <row r="123" spans="1:27">
      <c r="A123" s="159">
        <v>46295</v>
      </c>
      <c r="B123" s="147">
        <f>SUMIFS(PLAN!$K:$K,PLAN!$V:$V,Sheet1!$A123,PLAN!$W:$W,Sheet1!$B$1)</f>
        <v>0</v>
      </c>
      <c r="C123" s="147">
        <f>SUMIFS(PLAN!$K:$K,PLAN!$V:$V,Sheet1!$A123,PLAN!$W:$W,Sheet1!$C$1)</f>
        <v>0</v>
      </c>
      <c r="D123" s="147">
        <f>SUMIFS(PLAN!$K:$K,PLAN!$V:$V,Sheet1!$A123,PLAN!$W:$W,Sheet1!$D$1)</f>
        <v>0</v>
      </c>
      <c r="E123" s="147">
        <f>SUMIFS(PLAN!$K:$K,PLAN!$V:$V,Sheet1!$A123,PLAN!$W:$W,Sheet1!$E$1)</f>
        <v>0</v>
      </c>
      <c r="F123" s="147">
        <f>SUMIFS(PLAN!$K:$K,PLAN!$V:$V,Sheet1!$A123,PLAN!$W:$W,Sheet1!$F$1)</f>
        <v>0</v>
      </c>
      <c r="G123" s="147">
        <f>SUMIFS(PLAN!$K:$K,PLAN!$V:$V,Sheet1!$A123,PLAN!$W:$W,Sheet1!$G$1)</f>
        <v>0</v>
      </c>
      <c r="H123" s="147">
        <f>SUMIFS(PLAN!$K:$K,PLAN!$V:$V,Sheet1!$A123,PLAN!$W:$W,Sheet1!$H$1)</f>
        <v>0</v>
      </c>
      <c r="I123" s="147">
        <f>SUMIFS(PLAN!$K:$K,PLAN!$V:$V,Sheet1!$A123,PLAN!$W:$W,Sheet1!$I$1)</f>
        <v>0</v>
      </c>
      <c r="J123" s="147">
        <f>SUMIFS(PLAN!$K:$K,PLAN!$V:$V,Sheet1!$A123,PLAN!$W:$W,Sheet1!$J$1)</f>
        <v>0</v>
      </c>
      <c r="K123" s="147">
        <f>SUMIFS(PLAN!$K:$K,PLAN!$V:$V,Sheet1!$A123,PLAN!$W:$W,Sheet1!$K$1)</f>
        <v>0</v>
      </c>
      <c r="L123" s="147">
        <f>SUMIFS(PLAN!$K:$K,PLAN!$V:$V,Sheet1!$A123,PLAN!$W:$W,Sheet1!$L$1)</f>
        <v>0</v>
      </c>
      <c r="M123" s="147">
        <f>SUMIFS(PLAN!$K:$K,PLAN!$V:$V,Sheet1!$A123,PLAN!$W:$W,Sheet1!$M$1)</f>
        <v>0</v>
      </c>
      <c r="N123" s="147">
        <f>SUMIFS(PLAN!$K:$K,PLAN!$V:$V,Sheet1!$A123,PLAN!$W:$W,Sheet1!$N$1)</f>
        <v>0</v>
      </c>
      <c r="O123" s="147">
        <f t="shared" si="2"/>
        <v>0</v>
      </c>
      <c r="Y123">
        <v>11134360</v>
      </c>
      <c r="Z123" t="s">
        <v>443</v>
      </c>
      <c r="AA123" s="242" t="s">
        <v>442</v>
      </c>
    </row>
    <row r="124" spans="1:27">
      <c r="A124" s="159">
        <v>46296</v>
      </c>
      <c r="B124" s="147">
        <f>SUMIFS(PLAN!$K:$K,PLAN!$V:$V,Sheet1!$A124,PLAN!$W:$W,Sheet1!$B$1)</f>
        <v>0</v>
      </c>
      <c r="C124" s="147">
        <f>SUMIFS(PLAN!$K:$K,PLAN!$V:$V,Sheet1!$A124,PLAN!$W:$W,Sheet1!$C$1)</f>
        <v>0</v>
      </c>
      <c r="D124" s="147">
        <f>SUMIFS(PLAN!$K:$K,PLAN!$V:$V,Sheet1!$A124,PLAN!$W:$W,Sheet1!$D$1)</f>
        <v>0</v>
      </c>
      <c r="E124" s="147">
        <f>SUMIFS(PLAN!$K:$K,PLAN!$V:$V,Sheet1!$A124,PLAN!$W:$W,Sheet1!$E$1)</f>
        <v>0</v>
      </c>
      <c r="F124" s="147">
        <f>SUMIFS(PLAN!$K:$K,PLAN!$V:$V,Sheet1!$A124,PLAN!$W:$W,Sheet1!$F$1)</f>
        <v>0</v>
      </c>
      <c r="G124" s="147">
        <f>SUMIFS(PLAN!$K:$K,PLAN!$V:$V,Sheet1!$A124,PLAN!$W:$W,Sheet1!$G$1)</f>
        <v>0</v>
      </c>
      <c r="H124" s="147">
        <f>SUMIFS(PLAN!$K:$K,PLAN!$V:$V,Sheet1!$A124,PLAN!$W:$W,Sheet1!$H$1)</f>
        <v>0</v>
      </c>
      <c r="I124" s="147">
        <f>SUMIFS(PLAN!$K:$K,PLAN!$V:$V,Sheet1!$A124,PLAN!$W:$W,Sheet1!$I$1)</f>
        <v>0</v>
      </c>
      <c r="J124" s="147">
        <f>SUMIFS(PLAN!$K:$K,PLAN!$V:$V,Sheet1!$A124,PLAN!$W:$W,Sheet1!$J$1)</f>
        <v>0</v>
      </c>
      <c r="K124" s="147">
        <f>SUMIFS(PLAN!$K:$K,PLAN!$V:$V,Sheet1!$A124,PLAN!$W:$W,Sheet1!$K$1)</f>
        <v>0</v>
      </c>
      <c r="L124" s="147">
        <f>SUMIFS(PLAN!$K:$K,PLAN!$V:$V,Sheet1!$A124,PLAN!$W:$W,Sheet1!$L$1)</f>
        <v>0</v>
      </c>
      <c r="M124" s="147">
        <f>SUMIFS(PLAN!$K:$K,PLAN!$V:$V,Sheet1!$A124,PLAN!$W:$W,Sheet1!$M$1)</f>
        <v>0</v>
      </c>
      <c r="N124" s="147">
        <f>SUMIFS(PLAN!$K:$K,PLAN!$V:$V,Sheet1!$A124,PLAN!$W:$W,Sheet1!$N$1)</f>
        <v>0</v>
      </c>
      <c r="O124" s="147">
        <f t="shared" si="2"/>
        <v>0</v>
      </c>
      <c r="Y124">
        <v>11134361</v>
      </c>
      <c r="Z124" t="s">
        <v>443</v>
      </c>
      <c r="AA124" s="242" t="s">
        <v>442</v>
      </c>
    </row>
    <row r="125" spans="1:27">
      <c r="A125" s="159">
        <v>46297</v>
      </c>
      <c r="B125" s="147">
        <f>SUMIFS(PLAN!$K:$K,PLAN!$V:$V,Sheet1!$A125,PLAN!$W:$W,Sheet1!$B$1)</f>
        <v>0</v>
      </c>
      <c r="C125" s="147">
        <f>SUMIFS(PLAN!$K:$K,PLAN!$V:$V,Sheet1!$A125,PLAN!$W:$W,Sheet1!$C$1)</f>
        <v>0</v>
      </c>
      <c r="D125" s="147">
        <f>SUMIFS(PLAN!$K:$K,PLAN!$V:$V,Sheet1!$A125,PLAN!$W:$W,Sheet1!$D$1)</f>
        <v>0</v>
      </c>
      <c r="E125" s="147">
        <f>SUMIFS(PLAN!$K:$K,PLAN!$V:$V,Sheet1!$A125,PLAN!$W:$W,Sheet1!$E$1)</f>
        <v>0</v>
      </c>
      <c r="F125" s="147">
        <f>SUMIFS(PLAN!$K:$K,PLAN!$V:$V,Sheet1!$A125,PLAN!$W:$W,Sheet1!$F$1)</f>
        <v>0</v>
      </c>
      <c r="G125" s="147">
        <f>SUMIFS(PLAN!$K:$K,PLAN!$V:$V,Sheet1!$A125,PLAN!$W:$W,Sheet1!$G$1)</f>
        <v>0</v>
      </c>
      <c r="H125" s="147">
        <f>SUMIFS(PLAN!$K:$K,PLAN!$V:$V,Sheet1!$A125,PLAN!$W:$W,Sheet1!$H$1)</f>
        <v>0</v>
      </c>
      <c r="I125" s="147">
        <f>SUMIFS(PLAN!$K:$K,PLAN!$V:$V,Sheet1!$A125,PLAN!$W:$W,Sheet1!$I$1)</f>
        <v>0</v>
      </c>
      <c r="J125" s="147">
        <f>SUMIFS(PLAN!$K:$K,PLAN!$V:$V,Sheet1!$A125,PLAN!$W:$W,Sheet1!$J$1)</f>
        <v>0</v>
      </c>
      <c r="K125" s="147">
        <f>SUMIFS(PLAN!$K:$K,PLAN!$V:$V,Sheet1!$A125,PLAN!$W:$W,Sheet1!$K$1)</f>
        <v>0</v>
      </c>
      <c r="L125" s="147">
        <f>SUMIFS(PLAN!$K:$K,PLAN!$V:$V,Sheet1!$A125,PLAN!$W:$W,Sheet1!$L$1)</f>
        <v>0</v>
      </c>
      <c r="M125" s="147">
        <f>SUMIFS(PLAN!$K:$K,PLAN!$V:$V,Sheet1!$A125,PLAN!$W:$W,Sheet1!$M$1)</f>
        <v>0</v>
      </c>
      <c r="N125" s="147">
        <f>SUMIFS(PLAN!$K:$K,PLAN!$V:$V,Sheet1!$A125,PLAN!$W:$W,Sheet1!$N$1)</f>
        <v>0</v>
      </c>
      <c r="O125" s="147">
        <f t="shared" si="2"/>
        <v>0</v>
      </c>
      <c r="Y125">
        <v>11134362</v>
      </c>
      <c r="Z125" t="s">
        <v>443</v>
      </c>
      <c r="AA125" s="242" t="s">
        <v>442</v>
      </c>
    </row>
    <row r="126" spans="1:27">
      <c r="A126" s="159">
        <v>46298</v>
      </c>
      <c r="B126" s="147">
        <f>SUMIFS(PLAN!$K:$K,PLAN!$V:$V,Sheet1!$A126,PLAN!$W:$W,Sheet1!$B$1)</f>
        <v>0</v>
      </c>
      <c r="C126" s="147">
        <f>SUMIFS(PLAN!$K:$K,PLAN!$V:$V,Sheet1!$A126,PLAN!$W:$W,Sheet1!$C$1)</f>
        <v>0</v>
      </c>
      <c r="D126" s="147">
        <f>SUMIFS(PLAN!$K:$K,PLAN!$V:$V,Sheet1!$A126,PLAN!$W:$W,Sheet1!$D$1)</f>
        <v>0</v>
      </c>
      <c r="E126" s="147">
        <f>SUMIFS(PLAN!$K:$K,PLAN!$V:$V,Sheet1!$A126,PLAN!$W:$W,Sheet1!$E$1)</f>
        <v>0</v>
      </c>
      <c r="F126" s="147">
        <f>SUMIFS(PLAN!$K:$K,PLAN!$V:$V,Sheet1!$A126,PLAN!$W:$W,Sheet1!$F$1)</f>
        <v>0</v>
      </c>
      <c r="G126" s="147">
        <f>SUMIFS(PLAN!$K:$K,PLAN!$V:$V,Sheet1!$A126,PLAN!$W:$W,Sheet1!$G$1)</f>
        <v>0</v>
      </c>
      <c r="H126" s="147">
        <f>SUMIFS(PLAN!$K:$K,PLAN!$V:$V,Sheet1!$A126,PLAN!$W:$W,Sheet1!$H$1)</f>
        <v>0</v>
      </c>
      <c r="I126" s="147">
        <f>SUMIFS(PLAN!$K:$K,PLAN!$V:$V,Sheet1!$A126,PLAN!$W:$W,Sheet1!$I$1)</f>
        <v>0</v>
      </c>
      <c r="J126" s="147">
        <f>SUMIFS(PLAN!$K:$K,PLAN!$V:$V,Sheet1!$A126,PLAN!$W:$W,Sheet1!$J$1)</f>
        <v>0</v>
      </c>
      <c r="K126" s="147">
        <f>SUMIFS(PLAN!$K:$K,PLAN!$V:$V,Sheet1!$A126,PLAN!$W:$W,Sheet1!$K$1)</f>
        <v>0</v>
      </c>
      <c r="L126" s="147">
        <f>SUMIFS(PLAN!$K:$K,PLAN!$V:$V,Sheet1!$A126,PLAN!$W:$W,Sheet1!$L$1)</f>
        <v>0</v>
      </c>
      <c r="M126" s="147">
        <f>SUMIFS(PLAN!$K:$K,PLAN!$V:$V,Sheet1!$A126,PLAN!$W:$W,Sheet1!$M$1)</f>
        <v>0</v>
      </c>
      <c r="N126" s="147">
        <f>SUMIFS(PLAN!$K:$K,PLAN!$V:$V,Sheet1!$A126,PLAN!$W:$W,Sheet1!$N$1)</f>
        <v>0</v>
      </c>
      <c r="O126" s="147">
        <f t="shared" si="2"/>
        <v>0</v>
      </c>
      <c r="Y126">
        <v>11134363</v>
      </c>
      <c r="Z126" t="s">
        <v>443</v>
      </c>
      <c r="AA126" s="242" t="s">
        <v>442</v>
      </c>
    </row>
    <row r="127" spans="1:27">
      <c r="A127" s="159">
        <v>46299</v>
      </c>
      <c r="B127" s="147">
        <f>SUMIFS(PLAN!$K:$K,PLAN!$V:$V,Sheet1!$A127,PLAN!$W:$W,Sheet1!$B$1)</f>
        <v>0</v>
      </c>
      <c r="C127" s="147">
        <f>SUMIFS(PLAN!$K:$K,PLAN!$V:$V,Sheet1!$A127,PLAN!$W:$W,Sheet1!$C$1)</f>
        <v>0</v>
      </c>
      <c r="D127" s="147">
        <f>SUMIFS(PLAN!$K:$K,PLAN!$V:$V,Sheet1!$A127,PLAN!$W:$W,Sheet1!$D$1)</f>
        <v>0</v>
      </c>
      <c r="E127" s="147">
        <f>SUMIFS(PLAN!$K:$K,PLAN!$V:$V,Sheet1!$A127,PLAN!$W:$W,Sheet1!$E$1)</f>
        <v>0</v>
      </c>
      <c r="F127" s="147">
        <f>SUMIFS(PLAN!$K:$K,PLAN!$V:$V,Sheet1!$A127,PLAN!$W:$W,Sheet1!$F$1)</f>
        <v>0</v>
      </c>
      <c r="G127" s="147">
        <f>SUMIFS(PLAN!$K:$K,PLAN!$V:$V,Sheet1!$A127,PLAN!$W:$W,Sheet1!$G$1)</f>
        <v>0</v>
      </c>
      <c r="H127" s="147">
        <f>SUMIFS(PLAN!$K:$K,PLAN!$V:$V,Sheet1!$A127,PLAN!$W:$W,Sheet1!$H$1)</f>
        <v>0</v>
      </c>
      <c r="I127" s="147">
        <f>SUMIFS(PLAN!$K:$K,PLAN!$V:$V,Sheet1!$A127,PLAN!$W:$W,Sheet1!$I$1)</f>
        <v>0</v>
      </c>
      <c r="J127" s="147">
        <f>SUMIFS(PLAN!$K:$K,PLAN!$V:$V,Sheet1!$A127,PLAN!$W:$W,Sheet1!$J$1)</f>
        <v>0</v>
      </c>
      <c r="K127" s="147">
        <f>SUMIFS(PLAN!$K:$K,PLAN!$V:$V,Sheet1!$A127,PLAN!$W:$W,Sheet1!$K$1)</f>
        <v>0</v>
      </c>
      <c r="L127" s="147">
        <f>SUMIFS(PLAN!$K:$K,PLAN!$V:$V,Sheet1!$A127,PLAN!$W:$W,Sheet1!$L$1)</f>
        <v>0</v>
      </c>
      <c r="M127" s="147">
        <f>SUMIFS(PLAN!$K:$K,PLAN!$V:$V,Sheet1!$A127,PLAN!$W:$W,Sheet1!$M$1)</f>
        <v>0</v>
      </c>
      <c r="N127" s="147">
        <f>SUMIFS(PLAN!$K:$K,PLAN!$V:$V,Sheet1!$A127,PLAN!$W:$W,Sheet1!$N$1)</f>
        <v>0</v>
      </c>
      <c r="O127" s="147">
        <f t="shared" si="2"/>
        <v>0</v>
      </c>
      <c r="Y127">
        <v>11134364</v>
      </c>
      <c r="Z127" t="s">
        <v>443</v>
      </c>
      <c r="AA127" s="242" t="s">
        <v>442</v>
      </c>
    </row>
    <row r="128" spans="1:27">
      <c r="A128" s="159">
        <v>46300</v>
      </c>
      <c r="B128" s="147">
        <f>SUMIFS(PLAN!$K:$K,PLAN!$V:$V,Sheet1!$A128,PLAN!$W:$W,Sheet1!$B$1)</f>
        <v>0</v>
      </c>
      <c r="C128" s="147">
        <f>SUMIFS(PLAN!$K:$K,PLAN!$V:$V,Sheet1!$A128,PLAN!$W:$W,Sheet1!$C$1)</f>
        <v>0</v>
      </c>
      <c r="D128" s="147">
        <f>SUMIFS(PLAN!$K:$K,PLAN!$V:$V,Sheet1!$A128,PLAN!$W:$W,Sheet1!$D$1)</f>
        <v>0</v>
      </c>
      <c r="E128" s="147">
        <f>SUMIFS(PLAN!$K:$K,PLAN!$V:$V,Sheet1!$A128,PLAN!$W:$W,Sheet1!$E$1)</f>
        <v>0</v>
      </c>
      <c r="F128" s="147">
        <f>SUMIFS(PLAN!$K:$K,PLAN!$V:$V,Sheet1!$A128,PLAN!$W:$W,Sheet1!$F$1)</f>
        <v>0</v>
      </c>
      <c r="G128" s="147">
        <f>SUMIFS(PLAN!$K:$K,PLAN!$V:$V,Sheet1!$A128,PLAN!$W:$W,Sheet1!$G$1)</f>
        <v>0</v>
      </c>
      <c r="H128" s="147">
        <f>SUMIFS(PLAN!$K:$K,PLAN!$V:$V,Sheet1!$A128,PLAN!$W:$W,Sheet1!$H$1)</f>
        <v>0</v>
      </c>
      <c r="I128" s="147">
        <f>SUMIFS(PLAN!$K:$K,PLAN!$V:$V,Sheet1!$A128,PLAN!$W:$W,Sheet1!$I$1)</f>
        <v>0</v>
      </c>
      <c r="J128" s="147">
        <f>SUMIFS(PLAN!$K:$K,PLAN!$V:$V,Sheet1!$A128,PLAN!$W:$W,Sheet1!$J$1)</f>
        <v>0</v>
      </c>
      <c r="K128" s="147">
        <f>SUMIFS(PLAN!$K:$K,PLAN!$V:$V,Sheet1!$A128,PLAN!$W:$W,Sheet1!$K$1)</f>
        <v>0</v>
      </c>
      <c r="L128" s="147">
        <f>SUMIFS(PLAN!$K:$K,PLAN!$V:$V,Sheet1!$A128,PLAN!$W:$W,Sheet1!$L$1)</f>
        <v>0</v>
      </c>
      <c r="M128" s="147">
        <f>SUMIFS(PLAN!$K:$K,PLAN!$V:$V,Sheet1!$A128,PLAN!$W:$W,Sheet1!$M$1)</f>
        <v>0</v>
      </c>
      <c r="N128" s="147">
        <f>SUMIFS(PLAN!$K:$K,PLAN!$V:$V,Sheet1!$A128,PLAN!$W:$W,Sheet1!$N$1)</f>
        <v>0</v>
      </c>
      <c r="O128" s="147">
        <f t="shared" si="2"/>
        <v>0</v>
      </c>
      <c r="Y128">
        <v>11134365</v>
      </c>
      <c r="Z128" t="s">
        <v>443</v>
      </c>
      <c r="AA128" s="242" t="s">
        <v>442</v>
      </c>
    </row>
    <row r="129" spans="1:27">
      <c r="A129" s="159">
        <v>46301</v>
      </c>
      <c r="B129" s="147">
        <f>SUMIFS(PLAN!$K:$K,PLAN!$V:$V,Sheet1!$A129,PLAN!$W:$W,Sheet1!$B$1)</f>
        <v>0</v>
      </c>
      <c r="C129" s="147">
        <f>SUMIFS(PLAN!$K:$K,PLAN!$V:$V,Sheet1!$A129,PLAN!$W:$W,Sheet1!$C$1)</f>
        <v>0</v>
      </c>
      <c r="D129" s="147">
        <f>SUMIFS(PLAN!$K:$K,PLAN!$V:$V,Sheet1!$A129,PLAN!$W:$W,Sheet1!$D$1)</f>
        <v>0</v>
      </c>
      <c r="E129" s="147">
        <f>SUMIFS(PLAN!$K:$K,PLAN!$V:$V,Sheet1!$A129,PLAN!$W:$W,Sheet1!$E$1)</f>
        <v>0</v>
      </c>
      <c r="F129" s="147">
        <f>SUMIFS(PLAN!$K:$K,PLAN!$V:$V,Sheet1!$A129,PLAN!$W:$W,Sheet1!$F$1)</f>
        <v>0</v>
      </c>
      <c r="G129" s="147">
        <f>SUMIFS(PLAN!$K:$K,PLAN!$V:$V,Sheet1!$A129,PLAN!$W:$W,Sheet1!$G$1)</f>
        <v>0</v>
      </c>
      <c r="H129" s="147">
        <f>SUMIFS(PLAN!$K:$K,PLAN!$V:$V,Sheet1!$A129,PLAN!$W:$W,Sheet1!$H$1)</f>
        <v>0</v>
      </c>
      <c r="I129" s="147">
        <f>SUMIFS(PLAN!$K:$K,PLAN!$V:$V,Sheet1!$A129,PLAN!$W:$W,Sheet1!$I$1)</f>
        <v>0</v>
      </c>
      <c r="J129" s="147">
        <f>SUMIFS(PLAN!$K:$K,PLAN!$V:$V,Sheet1!$A129,PLAN!$W:$W,Sheet1!$J$1)</f>
        <v>0</v>
      </c>
      <c r="K129" s="147">
        <f>SUMIFS(PLAN!$K:$K,PLAN!$V:$V,Sheet1!$A129,PLAN!$W:$W,Sheet1!$K$1)</f>
        <v>0</v>
      </c>
      <c r="L129" s="147">
        <f>SUMIFS(PLAN!$K:$K,PLAN!$V:$V,Sheet1!$A129,PLAN!$W:$W,Sheet1!$L$1)</f>
        <v>0</v>
      </c>
      <c r="M129" s="147">
        <f>SUMIFS(PLAN!$K:$K,PLAN!$V:$V,Sheet1!$A129,PLAN!$W:$W,Sheet1!$M$1)</f>
        <v>0</v>
      </c>
      <c r="N129" s="147">
        <f>SUMIFS(PLAN!$K:$K,PLAN!$V:$V,Sheet1!$A129,PLAN!$W:$W,Sheet1!$N$1)</f>
        <v>0</v>
      </c>
      <c r="O129" s="147">
        <f t="shared" si="2"/>
        <v>0</v>
      </c>
      <c r="Y129">
        <v>11134366</v>
      </c>
      <c r="Z129" t="s">
        <v>443</v>
      </c>
      <c r="AA129" s="242" t="s">
        <v>442</v>
      </c>
    </row>
    <row r="130" spans="1:27">
      <c r="A130" s="159">
        <v>46302</v>
      </c>
      <c r="B130" s="147">
        <f>SUMIFS(PLAN!$K:$K,PLAN!$V:$V,Sheet1!$A130,PLAN!$W:$W,Sheet1!$B$1)</f>
        <v>0</v>
      </c>
      <c r="C130" s="147">
        <f>SUMIFS(PLAN!$K:$K,PLAN!$V:$V,Sheet1!$A130,PLAN!$W:$W,Sheet1!$C$1)</f>
        <v>0</v>
      </c>
      <c r="D130" s="147">
        <f>SUMIFS(PLAN!$K:$K,PLAN!$V:$V,Sheet1!$A130,PLAN!$W:$W,Sheet1!$D$1)</f>
        <v>0</v>
      </c>
      <c r="E130" s="147">
        <f>SUMIFS(PLAN!$K:$K,PLAN!$V:$V,Sheet1!$A130,PLAN!$W:$W,Sheet1!$E$1)</f>
        <v>0</v>
      </c>
      <c r="F130" s="147">
        <f>SUMIFS(PLAN!$K:$K,PLAN!$V:$V,Sheet1!$A130,PLAN!$W:$W,Sheet1!$F$1)</f>
        <v>0</v>
      </c>
      <c r="G130" s="147">
        <f>SUMIFS(PLAN!$K:$K,PLAN!$V:$V,Sheet1!$A130,PLAN!$W:$W,Sheet1!$G$1)</f>
        <v>0</v>
      </c>
      <c r="H130" s="147">
        <f>SUMIFS(PLAN!$K:$K,PLAN!$V:$V,Sheet1!$A130,PLAN!$W:$W,Sheet1!$H$1)</f>
        <v>0</v>
      </c>
      <c r="I130" s="147">
        <f>SUMIFS(PLAN!$K:$K,PLAN!$V:$V,Sheet1!$A130,PLAN!$W:$W,Sheet1!$I$1)</f>
        <v>0</v>
      </c>
      <c r="J130" s="147">
        <f>SUMIFS(PLAN!$K:$K,PLAN!$V:$V,Sheet1!$A130,PLAN!$W:$W,Sheet1!$J$1)</f>
        <v>0</v>
      </c>
      <c r="K130" s="147">
        <f>SUMIFS(PLAN!$K:$K,PLAN!$V:$V,Sheet1!$A130,PLAN!$W:$W,Sheet1!$K$1)</f>
        <v>0</v>
      </c>
      <c r="L130" s="147">
        <f>SUMIFS(PLAN!$K:$K,PLAN!$V:$V,Sheet1!$A130,PLAN!$W:$W,Sheet1!$L$1)</f>
        <v>0</v>
      </c>
      <c r="M130" s="147">
        <f>SUMIFS(PLAN!$K:$K,PLAN!$V:$V,Sheet1!$A130,PLAN!$W:$W,Sheet1!$M$1)</f>
        <v>0</v>
      </c>
      <c r="N130" s="147">
        <f>SUMIFS(PLAN!$K:$K,PLAN!$V:$V,Sheet1!$A130,PLAN!$W:$W,Sheet1!$N$1)</f>
        <v>0</v>
      </c>
      <c r="O130" s="147">
        <f t="shared" si="2"/>
        <v>0</v>
      </c>
    </row>
    <row r="131" spans="1:27">
      <c r="A131" s="159">
        <v>46303</v>
      </c>
      <c r="B131" s="147">
        <f>SUMIFS(PLAN!$K:$K,PLAN!$V:$V,Sheet1!$A131,PLAN!$W:$W,Sheet1!$B$1)</f>
        <v>0</v>
      </c>
      <c r="C131" s="147">
        <f>SUMIFS(PLAN!$K:$K,PLAN!$V:$V,Sheet1!$A131,PLAN!$W:$W,Sheet1!$C$1)</f>
        <v>0</v>
      </c>
      <c r="D131" s="147">
        <f>SUMIFS(PLAN!$K:$K,PLAN!$V:$V,Sheet1!$A131,PLAN!$W:$W,Sheet1!$D$1)</f>
        <v>0</v>
      </c>
      <c r="E131" s="147">
        <f>SUMIFS(PLAN!$K:$K,PLAN!$V:$V,Sheet1!$A131,PLAN!$W:$W,Sheet1!$E$1)</f>
        <v>0</v>
      </c>
      <c r="F131" s="147">
        <f>SUMIFS(PLAN!$K:$K,PLAN!$V:$V,Sheet1!$A131,PLAN!$W:$W,Sheet1!$F$1)</f>
        <v>0</v>
      </c>
      <c r="G131" s="147">
        <f>SUMIFS(PLAN!$K:$K,PLAN!$V:$V,Sheet1!$A131,PLAN!$W:$W,Sheet1!$G$1)</f>
        <v>0</v>
      </c>
      <c r="H131" s="147">
        <f>SUMIFS(PLAN!$K:$K,PLAN!$V:$V,Sheet1!$A131,PLAN!$W:$W,Sheet1!$H$1)</f>
        <v>0</v>
      </c>
      <c r="I131" s="147">
        <f>SUMIFS(PLAN!$K:$K,PLAN!$V:$V,Sheet1!$A131,PLAN!$W:$W,Sheet1!$I$1)</f>
        <v>0</v>
      </c>
      <c r="J131" s="147">
        <f>SUMIFS(PLAN!$K:$K,PLAN!$V:$V,Sheet1!$A131,PLAN!$W:$W,Sheet1!$J$1)</f>
        <v>0</v>
      </c>
      <c r="K131" s="147">
        <f>SUMIFS(PLAN!$K:$K,PLAN!$V:$V,Sheet1!$A131,PLAN!$W:$W,Sheet1!$K$1)</f>
        <v>0</v>
      </c>
      <c r="L131" s="147">
        <f>SUMIFS(PLAN!$K:$K,PLAN!$V:$V,Sheet1!$A131,PLAN!$W:$W,Sheet1!$L$1)</f>
        <v>0</v>
      </c>
      <c r="M131" s="147">
        <f>SUMIFS(PLAN!$K:$K,PLAN!$V:$V,Sheet1!$A131,PLAN!$W:$W,Sheet1!$M$1)</f>
        <v>0</v>
      </c>
      <c r="N131" s="147">
        <f>SUMIFS(PLAN!$K:$K,PLAN!$V:$V,Sheet1!$A131,PLAN!$W:$W,Sheet1!$N$1)</f>
        <v>0</v>
      </c>
      <c r="O131" s="147">
        <f t="shared" ref="O131:O172" si="3">SUM(B131:N131)</f>
        <v>0</v>
      </c>
    </row>
    <row r="132" spans="1:27">
      <c r="A132" s="159">
        <v>46304</v>
      </c>
      <c r="B132" s="147">
        <f>SUMIFS(PLAN!$K:$K,PLAN!$V:$V,Sheet1!$A132,PLAN!$W:$W,Sheet1!$B$1)</f>
        <v>0</v>
      </c>
      <c r="C132" s="147">
        <f>SUMIFS(PLAN!$K:$K,PLAN!$V:$V,Sheet1!$A132,PLAN!$W:$W,Sheet1!$C$1)</f>
        <v>0</v>
      </c>
      <c r="D132" s="147">
        <f>SUMIFS(PLAN!$K:$K,PLAN!$V:$V,Sheet1!$A132,PLAN!$W:$W,Sheet1!$D$1)</f>
        <v>0</v>
      </c>
      <c r="E132" s="147">
        <f>SUMIFS(PLAN!$K:$K,PLAN!$V:$V,Sheet1!$A132,PLAN!$W:$W,Sheet1!$E$1)</f>
        <v>0</v>
      </c>
      <c r="F132" s="147">
        <f>SUMIFS(PLAN!$K:$K,PLAN!$V:$V,Sheet1!$A132,PLAN!$W:$W,Sheet1!$F$1)</f>
        <v>0</v>
      </c>
      <c r="G132" s="147">
        <f>SUMIFS(PLAN!$K:$K,PLAN!$V:$V,Sheet1!$A132,PLAN!$W:$W,Sheet1!$G$1)</f>
        <v>0</v>
      </c>
      <c r="H132" s="147">
        <f>SUMIFS(PLAN!$K:$K,PLAN!$V:$V,Sheet1!$A132,PLAN!$W:$W,Sheet1!$H$1)</f>
        <v>0</v>
      </c>
      <c r="I132" s="147">
        <f>SUMIFS(PLAN!$K:$K,PLAN!$V:$V,Sheet1!$A132,PLAN!$W:$W,Sheet1!$I$1)</f>
        <v>0</v>
      </c>
      <c r="J132" s="147">
        <f>SUMIFS(PLAN!$K:$K,PLAN!$V:$V,Sheet1!$A132,PLAN!$W:$W,Sheet1!$J$1)</f>
        <v>0</v>
      </c>
      <c r="K132" s="147">
        <f>SUMIFS(PLAN!$K:$K,PLAN!$V:$V,Sheet1!$A132,PLAN!$W:$W,Sheet1!$K$1)</f>
        <v>0</v>
      </c>
      <c r="L132" s="147">
        <f>SUMIFS(PLAN!$K:$K,PLAN!$V:$V,Sheet1!$A132,PLAN!$W:$W,Sheet1!$L$1)</f>
        <v>0</v>
      </c>
      <c r="M132" s="147">
        <f>SUMIFS(PLAN!$K:$K,PLAN!$V:$V,Sheet1!$A132,PLAN!$W:$W,Sheet1!$M$1)</f>
        <v>0</v>
      </c>
      <c r="N132" s="147">
        <f>SUMIFS(PLAN!$K:$K,PLAN!$V:$V,Sheet1!$A132,PLAN!$W:$W,Sheet1!$N$1)</f>
        <v>0</v>
      </c>
      <c r="O132" s="147">
        <f t="shared" si="3"/>
        <v>0</v>
      </c>
    </row>
    <row r="133" spans="1:27">
      <c r="A133" s="159">
        <v>46305</v>
      </c>
      <c r="B133" s="147">
        <f>SUMIFS(PLAN!$K:$K,PLAN!$V:$V,Sheet1!$A133,PLAN!$W:$W,Sheet1!$B$1)</f>
        <v>0</v>
      </c>
      <c r="C133" s="147">
        <f>SUMIFS(PLAN!$K:$K,PLAN!$V:$V,Sheet1!$A133,PLAN!$W:$W,Sheet1!$C$1)</f>
        <v>0</v>
      </c>
      <c r="D133" s="147">
        <f>SUMIFS(PLAN!$K:$K,PLAN!$V:$V,Sheet1!$A133,PLAN!$W:$W,Sheet1!$D$1)</f>
        <v>0</v>
      </c>
      <c r="E133" s="147">
        <f>SUMIFS(PLAN!$K:$K,PLAN!$V:$V,Sheet1!$A133,PLAN!$W:$W,Sheet1!$E$1)</f>
        <v>0</v>
      </c>
      <c r="F133" s="147">
        <f>SUMIFS(PLAN!$K:$K,PLAN!$V:$V,Sheet1!$A133,PLAN!$W:$W,Sheet1!$F$1)</f>
        <v>0</v>
      </c>
      <c r="G133" s="147">
        <f>SUMIFS(PLAN!$K:$K,PLAN!$V:$V,Sheet1!$A133,PLAN!$W:$W,Sheet1!$G$1)</f>
        <v>0</v>
      </c>
      <c r="H133" s="147">
        <f>SUMIFS(PLAN!$K:$K,PLAN!$V:$V,Sheet1!$A133,PLAN!$W:$W,Sheet1!$H$1)</f>
        <v>0</v>
      </c>
      <c r="I133" s="147">
        <f>SUMIFS(PLAN!$K:$K,PLAN!$V:$V,Sheet1!$A133,PLAN!$W:$W,Sheet1!$I$1)</f>
        <v>0</v>
      </c>
      <c r="J133" s="147">
        <f>SUMIFS(PLAN!$K:$K,PLAN!$V:$V,Sheet1!$A133,PLAN!$W:$W,Sheet1!$J$1)</f>
        <v>0</v>
      </c>
      <c r="K133" s="147">
        <f>SUMIFS(PLAN!$K:$K,PLAN!$V:$V,Sheet1!$A133,PLAN!$W:$W,Sheet1!$K$1)</f>
        <v>0</v>
      </c>
      <c r="L133" s="147">
        <f>SUMIFS(PLAN!$K:$K,PLAN!$V:$V,Sheet1!$A133,PLAN!$W:$W,Sheet1!$L$1)</f>
        <v>0</v>
      </c>
      <c r="M133" s="147">
        <f>SUMIFS(PLAN!$K:$K,PLAN!$V:$V,Sheet1!$A133,PLAN!$W:$W,Sheet1!$M$1)</f>
        <v>0</v>
      </c>
      <c r="N133" s="147">
        <f>SUMIFS(PLAN!$K:$K,PLAN!$V:$V,Sheet1!$A133,PLAN!$W:$W,Sheet1!$N$1)</f>
        <v>0</v>
      </c>
      <c r="O133" s="147">
        <f t="shared" si="3"/>
        <v>0</v>
      </c>
    </row>
    <row r="134" spans="1:27">
      <c r="A134" s="159">
        <v>46306</v>
      </c>
      <c r="B134" s="147">
        <f>SUMIFS(PLAN!$K:$K,PLAN!$V:$V,Sheet1!$A134,PLAN!$W:$W,Sheet1!$B$1)</f>
        <v>0</v>
      </c>
      <c r="C134" s="147">
        <f>SUMIFS(PLAN!$K:$K,PLAN!$V:$V,Sheet1!$A134,PLAN!$W:$W,Sheet1!$C$1)</f>
        <v>0</v>
      </c>
      <c r="D134" s="147">
        <f>SUMIFS(PLAN!$K:$K,PLAN!$V:$V,Sheet1!$A134,PLAN!$W:$W,Sheet1!$D$1)</f>
        <v>0</v>
      </c>
      <c r="E134" s="147">
        <f>SUMIFS(PLAN!$K:$K,PLAN!$V:$V,Sheet1!$A134,PLAN!$W:$W,Sheet1!$E$1)</f>
        <v>0</v>
      </c>
      <c r="F134" s="147">
        <f>SUMIFS(PLAN!$K:$K,PLAN!$V:$V,Sheet1!$A134,PLAN!$W:$W,Sheet1!$F$1)</f>
        <v>0</v>
      </c>
      <c r="G134" s="147">
        <f>SUMIFS(PLAN!$K:$K,PLAN!$V:$V,Sheet1!$A134,PLAN!$W:$W,Sheet1!$G$1)</f>
        <v>0</v>
      </c>
      <c r="H134" s="147">
        <f>SUMIFS(PLAN!$K:$K,PLAN!$V:$V,Sheet1!$A134,PLAN!$W:$W,Sheet1!$H$1)</f>
        <v>0</v>
      </c>
      <c r="I134" s="147">
        <f>SUMIFS(PLAN!$K:$K,PLAN!$V:$V,Sheet1!$A134,PLAN!$W:$W,Sheet1!$I$1)</f>
        <v>0</v>
      </c>
      <c r="J134" s="147">
        <f>SUMIFS(PLAN!$K:$K,PLAN!$V:$V,Sheet1!$A134,PLAN!$W:$W,Sheet1!$J$1)</f>
        <v>0</v>
      </c>
      <c r="K134" s="147">
        <f>SUMIFS(PLAN!$K:$K,PLAN!$V:$V,Sheet1!$A134,PLAN!$W:$W,Sheet1!$K$1)</f>
        <v>0</v>
      </c>
      <c r="L134" s="147">
        <f>SUMIFS(PLAN!$K:$K,PLAN!$V:$V,Sheet1!$A134,PLAN!$W:$W,Sheet1!$L$1)</f>
        <v>0</v>
      </c>
      <c r="M134" s="147">
        <f>SUMIFS(PLAN!$K:$K,PLAN!$V:$V,Sheet1!$A134,PLAN!$W:$W,Sheet1!$M$1)</f>
        <v>0</v>
      </c>
      <c r="N134" s="147">
        <f>SUMIFS(PLAN!$K:$K,PLAN!$V:$V,Sheet1!$A134,PLAN!$W:$W,Sheet1!$N$1)</f>
        <v>0</v>
      </c>
      <c r="O134" s="147">
        <f t="shared" si="3"/>
        <v>0</v>
      </c>
    </row>
    <row r="135" spans="1:27">
      <c r="A135" s="159">
        <v>46307</v>
      </c>
      <c r="B135" s="147">
        <f>SUMIFS(PLAN!$K:$K,PLAN!$V:$V,Sheet1!$A135,PLAN!$W:$W,Sheet1!$B$1)</f>
        <v>0</v>
      </c>
      <c r="C135" s="147">
        <f>SUMIFS(PLAN!$K:$K,PLAN!$V:$V,Sheet1!$A135,PLAN!$W:$W,Sheet1!$C$1)</f>
        <v>0</v>
      </c>
      <c r="D135" s="147">
        <f>SUMIFS(PLAN!$K:$K,PLAN!$V:$V,Sheet1!$A135,PLAN!$W:$W,Sheet1!$D$1)</f>
        <v>0</v>
      </c>
      <c r="E135" s="147">
        <f>SUMIFS(PLAN!$K:$K,PLAN!$V:$V,Sheet1!$A135,PLAN!$W:$W,Sheet1!$E$1)</f>
        <v>0</v>
      </c>
      <c r="F135" s="147">
        <f>SUMIFS(PLAN!$K:$K,PLAN!$V:$V,Sheet1!$A135,PLAN!$W:$W,Sheet1!$F$1)</f>
        <v>0</v>
      </c>
      <c r="G135" s="147">
        <f>SUMIFS(PLAN!$K:$K,PLAN!$V:$V,Sheet1!$A135,PLAN!$W:$W,Sheet1!$G$1)</f>
        <v>0</v>
      </c>
      <c r="H135" s="147">
        <f>SUMIFS(PLAN!$K:$K,PLAN!$V:$V,Sheet1!$A135,PLAN!$W:$W,Sheet1!$H$1)</f>
        <v>0</v>
      </c>
      <c r="I135" s="147">
        <f>SUMIFS(PLAN!$K:$K,PLAN!$V:$V,Sheet1!$A135,PLAN!$W:$W,Sheet1!$I$1)</f>
        <v>0</v>
      </c>
      <c r="J135" s="147">
        <f>SUMIFS(PLAN!$K:$K,PLAN!$V:$V,Sheet1!$A135,PLAN!$W:$W,Sheet1!$J$1)</f>
        <v>0</v>
      </c>
      <c r="K135" s="147">
        <f>SUMIFS(PLAN!$K:$K,PLAN!$V:$V,Sheet1!$A135,PLAN!$W:$W,Sheet1!$K$1)</f>
        <v>0</v>
      </c>
      <c r="L135" s="147">
        <f>SUMIFS(PLAN!$K:$K,PLAN!$V:$V,Sheet1!$A135,PLAN!$W:$W,Sheet1!$L$1)</f>
        <v>0</v>
      </c>
      <c r="M135" s="147">
        <f>SUMIFS(PLAN!$K:$K,PLAN!$V:$V,Sheet1!$A135,PLAN!$W:$W,Sheet1!$M$1)</f>
        <v>0</v>
      </c>
      <c r="N135" s="147">
        <f>SUMIFS(PLAN!$K:$K,PLAN!$V:$V,Sheet1!$A135,PLAN!$W:$W,Sheet1!$N$1)</f>
        <v>0</v>
      </c>
      <c r="O135" s="147">
        <f t="shared" si="3"/>
        <v>0</v>
      </c>
    </row>
    <row r="136" spans="1:27">
      <c r="A136" s="159">
        <v>46308</v>
      </c>
      <c r="B136" s="147">
        <f>SUMIFS(PLAN!$K:$K,PLAN!$V:$V,Sheet1!$A136,PLAN!$W:$W,Sheet1!$B$1)</f>
        <v>0</v>
      </c>
      <c r="C136" s="147">
        <f>SUMIFS(PLAN!$K:$K,PLAN!$V:$V,Sheet1!$A136,PLAN!$W:$W,Sheet1!$C$1)</f>
        <v>0</v>
      </c>
      <c r="D136" s="147">
        <f>SUMIFS(PLAN!$K:$K,PLAN!$V:$V,Sheet1!$A136,PLAN!$W:$W,Sheet1!$D$1)</f>
        <v>0</v>
      </c>
      <c r="E136" s="147">
        <f>SUMIFS(PLAN!$K:$K,PLAN!$V:$V,Sheet1!$A136,PLAN!$W:$W,Sheet1!$E$1)</f>
        <v>0</v>
      </c>
      <c r="F136" s="147">
        <f>SUMIFS(PLAN!$K:$K,PLAN!$V:$V,Sheet1!$A136,PLAN!$W:$W,Sheet1!$F$1)</f>
        <v>0</v>
      </c>
      <c r="G136" s="147">
        <f>SUMIFS(PLAN!$K:$K,PLAN!$V:$V,Sheet1!$A136,PLAN!$W:$W,Sheet1!$G$1)</f>
        <v>0</v>
      </c>
      <c r="H136" s="147">
        <f>SUMIFS(PLAN!$K:$K,PLAN!$V:$V,Sheet1!$A136,PLAN!$W:$W,Sheet1!$H$1)</f>
        <v>0</v>
      </c>
      <c r="I136" s="147">
        <f>SUMIFS(PLAN!$K:$K,PLAN!$V:$V,Sheet1!$A136,PLAN!$W:$W,Sheet1!$I$1)</f>
        <v>0</v>
      </c>
      <c r="J136" s="147">
        <f>SUMIFS(PLAN!$K:$K,PLAN!$V:$V,Sheet1!$A136,PLAN!$W:$W,Sheet1!$J$1)</f>
        <v>0</v>
      </c>
      <c r="K136" s="147">
        <f>SUMIFS(PLAN!$K:$K,PLAN!$V:$V,Sheet1!$A136,PLAN!$W:$W,Sheet1!$K$1)</f>
        <v>0</v>
      </c>
      <c r="L136" s="147">
        <f>SUMIFS(PLAN!$K:$K,PLAN!$V:$V,Sheet1!$A136,PLAN!$W:$W,Sheet1!$L$1)</f>
        <v>0</v>
      </c>
      <c r="M136" s="147">
        <f>SUMIFS(PLAN!$K:$K,PLAN!$V:$V,Sheet1!$A136,PLAN!$W:$W,Sheet1!$M$1)</f>
        <v>0</v>
      </c>
      <c r="N136" s="147">
        <f>SUMIFS(PLAN!$K:$K,PLAN!$V:$V,Sheet1!$A136,PLAN!$W:$W,Sheet1!$N$1)</f>
        <v>0</v>
      </c>
      <c r="O136" s="147">
        <f t="shared" si="3"/>
        <v>0</v>
      </c>
    </row>
    <row r="137" spans="1:27">
      <c r="A137" s="159">
        <v>46309</v>
      </c>
      <c r="B137" s="147">
        <f>SUMIFS(PLAN!$K:$K,PLAN!$V:$V,Sheet1!$A137,PLAN!$W:$W,Sheet1!$B$1)</f>
        <v>0</v>
      </c>
      <c r="C137" s="147">
        <f>SUMIFS(PLAN!$K:$K,PLAN!$V:$V,Sheet1!$A137,PLAN!$W:$W,Sheet1!$C$1)</f>
        <v>0</v>
      </c>
      <c r="D137" s="147">
        <f>SUMIFS(PLAN!$K:$K,PLAN!$V:$V,Sheet1!$A137,PLAN!$W:$W,Sheet1!$D$1)</f>
        <v>0</v>
      </c>
      <c r="E137" s="147">
        <f>SUMIFS(PLAN!$K:$K,PLAN!$V:$V,Sheet1!$A137,PLAN!$W:$W,Sheet1!$E$1)</f>
        <v>0</v>
      </c>
      <c r="F137" s="147">
        <f>SUMIFS(PLAN!$K:$K,PLAN!$V:$V,Sheet1!$A137,PLAN!$W:$W,Sheet1!$F$1)</f>
        <v>0</v>
      </c>
      <c r="G137" s="147">
        <f>SUMIFS(PLAN!$K:$K,PLAN!$V:$V,Sheet1!$A137,PLAN!$W:$W,Sheet1!$G$1)</f>
        <v>0</v>
      </c>
      <c r="H137" s="147">
        <f>SUMIFS(PLAN!$K:$K,PLAN!$V:$V,Sheet1!$A137,PLAN!$W:$W,Sheet1!$H$1)</f>
        <v>0</v>
      </c>
      <c r="I137" s="147">
        <f>SUMIFS(PLAN!$K:$K,PLAN!$V:$V,Sheet1!$A137,PLAN!$W:$W,Sheet1!$I$1)</f>
        <v>0</v>
      </c>
      <c r="J137" s="147">
        <f>SUMIFS(PLAN!$K:$K,PLAN!$V:$V,Sheet1!$A137,PLAN!$W:$W,Sheet1!$J$1)</f>
        <v>0</v>
      </c>
      <c r="K137" s="147">
        <f>SUMIFS(PLAN!$K:$K,PLAN!$V:$V,Sheet1!$A137,PLAN!$W:$W,Sheet1!$K$1)</f>
        <v>0</v>
      </c>
      <c r="L137" s="147">
        <f>SUMIFS(PLAN!$K:$K,PLAN!$V:$V,Sheet1!$A137,PLAN!$W:$W,Sheet1!$L$1)</f>
        <v>0</v>
      </c>
      <c r="M137" s="147">
        <f>SUMIFS(PLAN!$K:$K,PLAN!$V:$V,Sheet1!$A137,PLAN!$W:$W,Sheet1!$M$1)</f>
        <v>0</v>
      </c>
      <c r="N137" s="147">
        <f>SUMIFS(PLAN!$K:$K,PLAN!$V:$V,Sheet1!$A137,PLAN!$W:$W,Sheet1!$N$1)</f>
        <v>0</v>
      </c>
      <c r="O137" s="147">
        <f t="shared" si="3"/>
        <v>0</v>
      </c>
    </row>
    <row r="138" spans="1:27">
      <c r="A138" s="159">
        <v>46310</v>
      </c>
      <c r="B138" s="147">
        <f>SUMIFS(PLAN!$K:$K,PLAN!$V:$V,Sheet1!$A138,PLAN!$W:$W,Sheet1!$B$1)</f>
        <v>0</v>
      </c>
      <c r="C138" s="147">
        <f>SUMIFS(PLAN!$K:$K,PLAN!$V:$V,Sheet1!$A138,PLAN!$W:$W,Sheet1!$C$1)</f>
        <v>0</v>
      </c>
      <c r="D138" s="147">
        <f>SUMIFS(PLAN!$K:$K,PLAN!$V:$V,Sheet1!$A138,PLAN!$W:$W,Sheet1!$D$1)</f>
        <v>0</v>
      </c>
      <c r="E138" s="147">
        <f>SUMIFS(PLAN!$K:$K,PLAN!$V:$V,Sheet1!$A138,PLAN!$W:$W,Sheet1!$E$1)</f>
        <v>0</v>
      </c>
      <c r="F138" s="147">
        <f>SUMIFS(PLAN!$K:$K,PLAN!$V:$V,Sheet1!$A138,PLAN!$W:$W,Sheet1!$F$1)</f>
        <v>0</v>
      </c>
      <c r="G138" s="147">
        <f>SUMIFS(PLAN!$K:$K,PLAN!$V:$V,Sheet1!$A138,PLAN!$W:$W,Sheet1!$G$1)</f>
        <v>0</v>
      </c>
      <c r="H138" s="147">
        <f>SUMIFS(PLAN!$K:$K,PLAN!$V:$V,Sheet1!$A138,PLAN!$W:$W,Sheet1!$H$1)</f>
        <v>0</v>
      </c>
      <c r="I138" s="147">
        <f>SUMIFS(PLAN!$K:$K,PLAN!$V:$V,Sheet1!$A138,PLAN!$W:$W,Sheet1!$I$1)</f>
        <v>0</v>
      </c>
      <c r="J138" s="147">
        <f>SUMIFS(PLAN!$K:$K,PLAN!$V:$V,Sheet1!$A138,PLAN!$W:$W,Sheet1!$J$1)</f>
        <v>0</v>
      </c>
      <c r="K138" s="147">
        <f>SUMIFS(PLAN!$K:$K,PLAN!$V:$V,Sheet1!$A138,PLAN!$W:$W,Sheet1!$K$1)</f>
        <v>0</v>
      </c>
      <c r="L138" s="147">
        <f>SUMIFS(PLAN!$K:$K,PLAN!$V:$V,Sheet1!$A138,PLAN!$W:$W,Sheet1!$L$1)</f>
        <v>0</v>
      </c>
      <c r="M138" s="147">
        <f>SUMIFS(PLAN!$K:$K,PLAN!$V:$V,Sheet1!$A138,PLAN!$W:$W,Sheet1!$M$1)</f>
        <v>0</v>
      </c>
      <c r="N138" s="147">
        <f>SUMIFS(PLAN!$K:$K,PLAN!$V:$V,Sheet1!$A138,PLAN!$W:$W,Sheet1!$N$1)</f>
        <v>0</v>
      </c>
      <c r="O138" s="147">
        <f t="shared" si="3"/>
        <v>0</v>
      </c>
    </row>
    <row r="139" spans="1:27">
      <c r="A139" s="159">
        <v>46311</v>
      </c>
      <c r="B139" s="147">
        <f>SUMIFS(PLAN!$K:$K,PLAN!$V:$V,Sheet1!$A139,PLAN!$W:$W,Sheet1!$B$1)</f>
        <v>0</v>
      </c>
      <c r="C139" s="147">
        <f>SUMIFS(PLAN!$K:$K,PLAN!$V:$V,Sheet1!$A139,PLAN!$W:$W,Sheet1!$C$1)</f>
        <v>0</v>
      </c>
      <c r="D139" s="147">
        <f>SUMIFS(PLAN!$K:$K,PLAN!$V:$V,Sheet1!$A139,PLAN!$W:$W,Sheet1!$D$1)</f>
        <v>0</v>
      </c>
      <c r="E139" s="147">
        <f>SUMIFS(PLAN!$K:$K,PLAN!$V:$V,Sheet1!$A139,PLAN!$W:$W,Sheet1!$E$1)</f>
        <v>0</v>
      </c>
      <c r="F139" s="147">
        <f>SUMIFS(PLAN!$K:$K,PLAN!$V:$V,Sheet1!$A139,PLAN!$W:$W,Sheet1!$F$1)</f>
        <v>0</v>
      </c>
      <c r="G139" s="147">
        <f>SUMIFS(PLAN!$K:$K,PLAN!$V:$V,Sheet1!$A139,PLAN!$W:$W,Sheet1!$G$1)</f>
        <v>0</v>
      </c>
      <c r="H139" s="147">
        <f>SUMIFS(PLAN!$K:$K,PLAN!$V:$V,Sheet1!$A139,PLAN!$W:$W,Sheet1!$H$1)</f>
        <v>0</v>
      </c>
      <c r="I139" s="147">
        <f>SUMIFS(PLAN!$K:$K,PLAN!$V:$V,Sheet1!$A139,PLAN!$W:$W,Sheet1!$I$1)</f>
        <v>0</v>
      </c>
      <c r="J139" s="147">
        <f>SUMIFS(PLAN!$K:$K,PLAN!$V:$V,Sheet1!$A139,PLAN!$W:$W,Sheet1!$J$1)</f>
        <v>0</v>
      </c>
      <c r="K139" s="147">
        <f>SUMIFS(PLAN!$K:$K,PLAN!$V:$V,Sheet1!$A139,PLAN!$W:$W,Sheet1!$K$1)</f>
        <v>0</v>
      </c>
      <c r="L139" s="147">
        <f>SUMIFS(PLAN!$K:$K,PLAN!$V:$V,Sheet1!$A139,PLAN!$W:$W,Sheet1!$L$1)</f>
        <v>0</v>
      </c>
      <c r="M139" s="147">
        <f>SUMIFS(PLAN!$K:$K,PLAN!$V:$V,Sheet1!$A139,PLAN!$W:$W,Sheet1!$M$1)</f>
        <v>0</v>
      </c>
      <c r="N139" s="147">
        <f>SUMIFS(PLAN!$K:$K,PLAN!$V:$V,Sheet1!$A139,PLAN!$W:$W,Sheet1!$N$1)</f>
        <v>0</v>
      </c>
      <c r="O139" s="147">
        <f t="shared" si="3"/>
        <v>0</v>
      </c>
    </row>
    <row r="140" spans="1:27">
      <c r="A140" s="159">
        <v>46312</v>
      </c>
      <c r="B140" s="147">
        <f>SUMIFS(PLAN!$K:$K,PLAN!$V:$V,Sheet1!$A140,PLAN!$W:$W,Sheet1!$B$1)</f>
        <v>0</v>
      </c>
      <c r="C140" s="147">
        <f>SUMIFS(PLAN!$K:$K,PLAN!$V:$V,Sheet1!$A140,PLAN!$W:$W,Sheet1!$C$1)</f>
        <v>0</v>
      </c>
      <c r="D140" s="147">
        <f>SUMIFS(PLAN!$K:$K,PLAN!$V:$V,Sheet1!$A140,PLAN!$W:$W,Sheet1!$D$1)</f>
        <v>0</v>
      </c>
      <c r="E140" s="147">
        <f>SUMIFS(PLAN!$K:$K,PLAN!$V:$V,Sheet1!$A140,PLAN!$W:$W,Sheet1!$E$1)</f>
        <v>0</v>
      </c>
      <c r="F140" s="147">
        <f>SUMIFS(PLAN!$K:$K,PLAN!$V:$V,Sheet1!$A140,PLAN!$W:$W,Sheet1!$F$1)</f>
        <v>0</v>
      </c>
      <c r="G140" s="147">
        <f>SUMIFS(PLAN!$K:$K,PLAN!$V:$V,Sheet1!$A140,PLAN!$W:$W,Sheet1!$G$1)</f>
        <v>0</v>
      </c>
      <c r="H140" s="147">
        <f>SUMIFS(PLAN!$K:$K,PLAN!$V:$V,Sheet1!$A140,PLAN!$W:$W,Sheet1!$H$1)</f>
        <v>0</v>
      </c>
      <c r="I140" s="147">
        <f>SUMIFS(PLAN!$K:$K,PLAN!$V:$V,Sheet1!$A140,PLAN!$W:$W,Sheet1!$I$1)</f>
        <v>0</v>
      </c>
      <c r="J140" s="147">
        <f>SUMIFS(PLAN!$K:$K,PLAN!$V:$V,Sheet1!$A140,PLAN!$W:$W,Sheet1!$J$1)</f>
        <v>0</v>
      </c>
      <c r="K140" s="147">
        <f>SUMIFS(PLAN!$K:$K,PLAN!$V:$V,Sheet1!$A140,PLAN!$W:$W,Sheet1!$K$1)</f>
        <v>0</v>
      </c>
      <c r="L140" s="147">
        <f>SUMIFS(PLAN!$K:$K,PLAN!$V:$V,Sheet1!$A140,PLAN!$W:$W,Sheet1!$L$1)</f>
        <v>0</v>
      </c>
      <c r="M140" s="147">
        <f>SUMIFS(PLAN!$K:$K,PLAN!$V:$V,Sheet1!$A140,PLAN!$W:$W,Sheet1!$M$1)</f>
        <v>0</v>
      </c>
      <c r="N140" s="147">
        <f>SUMIFS(PLAN!$K:$K,PLAN!$V:$V,Sheet1!$A140,PLAN!$W:$W,Sheet1!$N$1)</f>
        <v>0</v>
      </c>
      <c r="O140" s="147">
        <f t="shared" si="3"/>
        <v>0</v>
      </c>
    </row>
    <row r="141" spans="1:27">
      <c r="A141" s="159">
        <v>46313</v>
      </c>
      <c r="B141" s="147">
        <f>SUMIFS(PLAN!$K:$K,PLAN!$V:$V,Sheet1!$A141,PLAN!$W:$W,Sheet1!$B$1)</f>
        <v>0</v>
      </c>
      <c r="C141" s="147">
        <f>SUMIFS(PLAN!$K:$K,PLAN!$V:$V,Sheet1!$A141,PLAN!$W:$W,Sheet1!$C$1)</f>
        <v>0</v>
      </c>
      <c r="D141" s="147">
        <f>SUMIFS(PLAN!$K:$K,PLAN!$V:$V,Sheet1!$A141,PLAN!$W:$W,Sheet1!$D$1)</f>
        <v>0</v>
      </c>
      <c r="E141" s="147">
        <f>SUMIFS(PLAN!$K:$K,PLAN!$V:$V,Sheet1!$A141,PLAN!$W:$W,Sheet1!$E$1)</f>
        <v>0</v>
      </c>
      <c r="F141" s="147">
        <f>SUMIFS(PLAN!$K:$K,PLAN!$V:$V,Sheet1!$A141,PLAN!$W:$W,Sheet1!$F$1)</f>
        <v>0</v>
      </c>
      <c r="G141" s="147">
        <f>SUMIFS(PLAN!$K:$K,PLAN!$V:$V,Sheet1!$A141,PLAN!$W:$W,Sheet1!$G$1)</f>
        <v>0</v>
      </c>
      <c r="H141" s="147">
        <f>SUMIFS(PLAN!$K:$K,PLAN!$V:$V,Sheet1!$A141,PLAN!$W:$W,Sheet1!$H$1)</f>
        <v>0</v>
      </c>
      <c r="I141" s="147">
        <f>SUMIFS(PLAN!$K:$K,PLAN!$V:$V,Sheet1!$A141,PLAN!$W:$W,Sheet1!$I$1)</f>
        <v>0</v>
      </c>
      <c r="J141" s="147">
        <f>SUMIFS(PLAN!$K:$K,PLAN!$V:$V,Sheet1!$A141,PLAN!$W:$W,Sheet1!$J$1)</f>
        <v>0</v>
      </c>
      <c r="K141" s="147">
        <f>SUMIFS(PLAN!$K:$K,PLAN!$V:$V,Sheet1!$A141,PLAN!$W:$W,Sheet1!$K$1)</f>
        <v>0</v>
      </c>
      <c r="L141" s="147">
        <f>SUMIFS(PLAN!$K:$K,PLAN!$V:$V,Sheet1!$A141,PLAN!$W:$W,Sheet1!$L$1)</f>
        <v>0</v>
      </c>
      <c r="M141" s="147">
        <f>SUMIFS(PLAN!$K:$K,PLAN!$V:$V,Sheet1!$A141,PLAN!$W:$W,Sheet1!$M$1)</f>
        <v>0</v>
      </c>
      <c r="N141" s="147">
        <f>SUMIFS(PLAN!$K:$K,PLAN!$V:$V,Sheet1!$A141,PLAN!$W:$W,Sheet1!$N$1)</f>
        <v>0</v>
      </c>
      <c r="O141" s="147">
        <f t="shared" si="3"/>
        <v>0</v>
      </c>
    </row>
    <row r="142" spans="1:27">
      <c r="A142" s="159">
        <v>46314</v>
      </c>
      <c r="B142" s="147">
        <f>SUMIFS(PLAN!$K:$K,PLAN!$V:$V,Sheet1!$A142,PLAN!$W:$W,Sheet1!$B$1)</f>
        <v>0</v>
      </c>
      <c r="C142" s="147">
        <f>SUMIFS(PLAN!$K:$K,PLAN!$V:$V,Sheet1!$A142,PLAN!$W:$W,Sheet1!$C$1)</f>
        <v>0</v>
      </c>
      <c r="D142" s="147">
        <f>SUMIFS(PLAN!$K:$K,PLAN!$V:$V,Sheet1!$A142,PLAN!$W:$W,Sheet1!$D$1)</f>
        <v>0</v>
      </c>
      <c r="E142" s="147">
        <f>SUMIFS(PLAN!$K:$K,PLAN!$V:$V,Sheet1!$A142,PLAN!$W:$W,Sheet1!$E$1)</f>
        <v>0</v>
      </c>
      <c r="F142" s="147">
        <f>SUMIFS(PLAN!$K:$K,PLAN!$V:$V,Sheet1!$A142,PLAN!$W:$W,Sheet1!$F$1)</f>
        <v>0</v>
      </c>
      <c r="G142" s="147">
        <f>SUMIFS(PLAN!$K:$K,PLAN!$V:$V,Sheet1!$A142,PLAN!$W:$W,Sheet1!$G$1)</f>
        <v>0</v>
      </c>
      <c r="H142" s="147">
        <f>SUMIFS(PLAN!$K:$K,PLAN!$V:$V,Sheet1!$A142,PLAN!$W:$W,Sheet1!$H$1)</f>
        <v>0</v>
      </c>
      <c r="I142" s="147">
        <f>SUMIFS(PLAN!$K:$K,PLAN!$V:$V,Sheet1!$A142,PLAN!$W:$W,Sheet1!$I$1)</f>
        <v>0</v>
      </c>
      <c r="J142" s="147">
        <f>SUMIFS(PLAN!$K:$K,PLAN!$V:$V,Sheet1!$A142,PLAN!$W:$W,Sheet1!$J$1)</f>
        <v>0</v>
      </c>
      <c r="K142" s="147">
        <f>SUMIFS(PLAN!$K:$K,PLAN!$V:$V,Sheet1!$A142,PLAN!$W:$W,Sheet1!$K$1)</f>
        <v>0</v>
      </c>
      <c r="L142" s="147">
        <f>SUMIFS(PLAN!$K:$K,PLAN!$V:$V,Sheet1!$A142,PLAN!$W:$W,Sheet1!$L$1)</f>
        <v>0</v>
      </c>
      <c r="M142" s="147">
        <f>SUMIFS(PLAN!$K:$K,PLAN!$V:$V,Sheet1!$A142,PLAN!$W:$W,Sheet1!$M$1)</f>
        <v>0</v>
      </c>
      <c r="N142" s="147">
        <f>SUMIFS(PLAN!$K:$K,PLAN!$V:$V,Sheet1!$A142,PLAN!$W:$W,Sheet1!$N$1)</f>
        <v>0</v>
      </c>
      <c r="O142" s="147">
        <f t="shared" si="3"/>
        <v>0</v>
      </c>
    </row>
    <row r="143" spans="1:27">
      <c r="A143" s="159">
        <v>46315</v>
      </c>
      <c r="B143" s="147">
        <f>SUMIFS(PLAN!$K:$K,PLAN!$V:$V,Sheet1!$A143,PLAN!$W:$W,Sheet1!$B$1)</f>
        <v>0</v>
      </c>
      <c r="C143" s="147">
        <f>SUMIFS(PLAN!$K:$K,PLAN!$V:$V,Sheet1!$A143,PLAN!$W:$W,Sheet1!$C$1)</f>
        <v>0</v>
      </c>
      <c r="D143" s="147">
        <f>SUMIFS(PLAN!$K:$K,PLAN!$V:$V,Sheet1!$A143,PLAN!$W:$W,Sheet1!$D$1)</f>
        <v>0</v>
      </c>
      <c r="E143" s="147">
        <f>SUMIFS(PLAN!$K:$K,PLAN!$V:$V,Sheet1!$A143,PLAN!$W:$W,Sheet1!$E$1)</f>
        <v>0</v>
      </c>
      <c r="F143" s="147">
        <f>SUMIFS(PLAN!$K:$K,PLAN!$V:$V,Sheet1!$A143,PLAN!$W:$W,Sheet1!$F$1)</f>
        <v>0</v>
      </c>
      <c r="G143" s="147">
        <f>SUMIFS(PLAN!$K:$K,PLAN!$V:$V,Sheet1!$A143,PLAN!$W:$W,Sheet1!$G$1)</f>
        <v>0</v>
      </c>
      <c r="H143" s="147">
        <f>SUMIFS(PLAN!$K:$K,PLAN!$V:$V,Sheet1!$A143,PLAN!$W:$W,Sheet1!$H$1)</f>
        <v>0</v>
      </c>
      <c r="I143" s="147">
        <f>SUMIFS(PLAN!$K:$K,PLAN!$V:$V,Sheet1!$A143,PLAN!$W:$W,Sheet1!$I$1)</f>
        <v>0</v>
      </c>
      <c r="J143" s="147">
        <f>SUMIFS(PLAN!$K:$K,PLAN!$V:$V,Sheet1!$A143,PLAN!$W:$W,Sheet1!$J$1)</f>
        <v>0</v>
      </c>
      <c r="K143" s="147">
        <f>SUMIFS(PLAN!$K:$K,PLAN!$V:$V,Sheet1!$A143,PLAN!$W:$W,Sheet1!$K$1)</f>
        <v>0</v>
      </c>
      <c r="L143" s="147">
        <f>SUMIFS(PLAN!$K:$K,PLAN!$V:$V,Sheet1!$A143,PLAN!$W:$W,Sheet1!$L$1)</f>
        <v>0</v>
      </c>
      <c r="M143" s="147">
        <f>SUMIFS(PLAN!$K:$K,PLAN!$V:$V,Sheet1!$A143,PLAN!$W:$W,Sheet1!$M$1)</f>
        <v>0</v>
      </c>
      <c r="N143" s="147">
        <f>SUMIFS(PLAN!$K:$K,PLAN!$V:$V,Sheet1!$A143,PLAN!$W:$W,Sheet1!$N$1)</f>
        <v>0</v>
      </c>
      <c r="O143" s="147">
        <f t="shared" si="3"/>
        <v>0</v>
      </c>
    </row>
    <row r="144" spans="1:27">
      <c r="A144" s="159">
        <v>46316</v>
      </c>
      <c r="B144" s="147">
        <f>SUMIFS(PLAN!$K:$K,PLAN!$V:$V,Sheet1!$A144,PLAN!$W:$W,Sheet1!$B$1)</f>
        <v>0</v>
      </c>
      <c r="C144" s="147">
        <f>SUMIFS(PLAN!$K:$K,PLAN!$V:$V,Sheet1!$A144,PLAN!$W:$W,Sheet1!$C$1)</f>
        <v>0</v>
      </c>
      <c r="D144" s="147">
        <f>SUMIFS(PLAN!$K:$K,PLAN!$V:$V,Sheet1!$A144,PLAN!$W:$W,Sheet1!$D$1)</f>
        <v>0</v>
      </c>
      <c r="E144" s="147">
        <f>SUMIFS(PLAN!$K:$K,PLAN!$V:$V,Sheet1!$A144,PLAN!$W:$W,Sheet1!$E$1)</f>
        <v>0</v>
      </c>
      <c r="F144" s="147">
        <f>SUMIFS(PLAN!$K:$K,PLAN!$V:$V,Sheet1!$A144,PLAN!$W:$W,Sheet1!$F$1)</f>
        <v>0</v>
      </c>
      <c r="G144" s="147">
        <f>SUMIFS(PLAN!$K:$K,PLAN!$V:$V,Sheet1!$A144,PLAN!$W:$W,Sheet1!$G$1)</f>
        <v>0</v>
      </c>
      <c r="H144" s="147">
        <f>SUMIFS(PLAN!$K:$K,PLAN!$V:$V,Sheet1!$A144,PLAN!$W:$W,Sheet1!$H$1)</f>
        <v>0</v>
      </c>
      <c r="I144" s="147">
        <f>SUMIFS(PLAN!$K:$K,PLAN!$V:$V,Sheet1!$A144,PLAN!$W:$W,Sheet1!$I$1)</f>
        <v>0</v>
      </c>
      <c r="J144" s="147">
        <f>SUMIFS(PLAN!$K:$K,PLAN!$V:$V,Sheet1!$A144,PLAN!$W:$W,Sheet1!$J$1)</f>
        <v>0</v>
      </c>
      <c r="K144" s="147">
        <f>SUMIFS(PLAN!$K:$K,PLAN!$V:$V,Sheet1!$A144,PLAN!$W:$W,Sheet1!$K$1)</f>
        <v>0</v>
      </c>
      <c r="L144" s="147">
        <f>SUMIFS(PLAN!$K:$K,PLAN!$V:$V,Sheet1!$A144,PLAN!$W:$W,Sheet1!$L$1)</f>
        <v>0</v>
      </c>
      <c r="M144" s="147">
        <f>SUMIFS(PLAN!$K:$K,PLAN!$V:$V,Sheet1!$A144,PLAN!$W:$W,Sheet1!$M$1)</f>
        <v>0</v>
      </c>
      <c r="N144" s="147">
        <f>SUMIFS(PLAN!$K:$K,PLAN!$V:$V,Sheet1!$A144,PLAN!$W:$W,Sheet1!$N$1)</f>
        <v>0</v>
      </c>
      <c r="O144" s="147">
        <f t="shared" si="3"/>
        <v>0</v>
      </c>
    </row>
    <row r="145" spans="1:15">
      <c r="A145" s="159">
        <v>46317</v>
      </c>
      <c r="B145" s="147">
        <f>SUMIFS(PLAN!$K:$K,PLAN!$V:$V,Sheet1!$A145,PLAN!$W:$W,Sheet1!$B$1)</f>
        <v>0</v>
      </c>
      <c r="C145" s="147">
        <f>SUMIFS(PLAN!$K:$K,PLAN!$V:$V,Sheet1!$A145,PLAN!$W:$W,Sheet1!$C$1)</f>
        <v>0</v>
      </c>
      <c r="D145" s="147">
        <f>SUMIFS(PLAN!$K:$K,PLAN!$V:$V,Sheet1!$A145,PLAN!$W:$W,Sheet1!$D$1)</f>
        <v>0</v>
      </c>
      <c r="E145" s="147">
        <f>SUMIFS(PLAN!$K:$K,PLAN!$V:$V,Sheet1!$A145,PLAN!$W:$W,Sheet1!$E$1)</f>
        <v>0</v>
      </c>
      <c r="F145" s="147">
        <f>SUMIFS(PLAN!$K:$K,PLAN!$V:$V,Sheet1!$A145,PLAN!$W:$W,Sheet1!$F$1)</f>
        <v>0</v>
      </c>
      <c r="G145" s="147">
        <f>SUMIFS(PLAN!$K:$K,PLAN!$V:$V,Sheet1!$A145,PLAN!$W:$W,Sheet1!$G$1)</f>
        <v>0</v>
      </c>
      <c r="H145" s="147">
        <f>SUMIFS(PLAN!$K:$K,PLAN!$V:$V,Sheet1!$A145,PLAN!$W:$W,Sheet1!$H$1)</f>
        <v>0</v>
      </c>
      <c r="I145" s="147">
        <f>SUMIFS(PLAN!$K:$K,PLAN!$V:$V,Sheet1!$A145,PLAN!$W:$W,Sheet1!$I$1)</f>
        <v>0</v>
      </c>
      <c r="J145" s="147">
        <f>SUMIFS(PLAN!$K:$K,PLAN!$V:$V,Sheet1!$A145,PLAN!$W:$W,Sheet1!$J$1)</f>
        <v>0</v>
      </c>
      <c r="K145" s="147">
        <f>SUMIFS(PLAN!$K:$K,PLAN!$V:$V,Sheet1!$A145,PLAN!$W:$W,Sheet1!$K$1)</f>
        <v>0</v>
      </c>
      <c r="L145" s="147">
        <f>SUMIFS(PLAN!$K:$K,PLAN!$V:$V,Sheet1!$A145,PLAN!$W:$W,Sheet1!$L$1)</f>
        <v>0</v>
      </c>
      <c r="M145" s="147">
        <f>SUMIFS(PLAN!$K:$K,PLAN!$V:$V,Sheet1!$A145,PLAN!$W:$W,Sheet1!$M$1)</f>
        <v>0</v>
      </c>
      <c r="N145" s="147">
        <f>SUMIFS(PLAN!$K:$K,PLAN!$V:$V,Sheet1!$A145,PLAN!$W:$W,Sheet1!$N$1)</f>
        <v>0</v>
      </c>
      <c r="O145" s="147">
        <f t="shared" si="3"/>
        <v>0</v>
      </c>
    </row>
    <row r="146" spans="1:15">
      <c r="A146" s="159">
        <v>46318</v>
      </c>
      <c r="B146" s="147">
        <f>SUMIFS(PLAN!$K:$K,PLAN!$V:$V,Sheet1!$A146,PLAN!$W:$W,Sheet1!$B$1)</f>
        <v>0</v>
      </c>
      <c r="C146" s="147">
        <f>SUMIFS(PLAN!$K:$K,PLAN!$V:$V,Sheet1!$A146,PLAN!$W:$W,Sheet1!$C$1)</f>
        <v>0</v>
      </c>
      <c r="D146" s="147">
        <f>SUMIFS(PLAN!$K:$K,PLAN!$V:$V,Sheet1!$A146,PLAN!$W:$W,Sheet1!$D$1)</f>
        <v>0</v>
      </c>
      <c r="E146" s="147">
        <f>SUMIFS(PLAN!$K:$K,PLAN!$V:$V,Sheet1!$A146,PLAN!$W:$W,Sheet1!$E$1)</f>
        <v>0</v>
      </c>
      <c r="F146" s="147">
        <f>SUMIFS(PLAN!$K:$K,PLAN!$V:$V,Sheet1!$A146,PLAN!$W:$W,Sheet1!$F$1)</f>
        <v>0</v>
      </c>
      <c r="G146" s="147">
        <f>SUMIFS(PLAN!$K:$K,PLAN!$V:$V,Sheet1!$A146,PLAN!$W:$W,Sheet1!$G$1)</f>
        <v>0</v>
      </c>
      <c r="H146" s="147">
        <f>SUMIFS(PLAN!$K:$K,PLAN!$V:$V,Sheet1!$A146,PLAN!$W:$W,Sheet1!$H$1)</f>
        <v>0</v>
      </c>
      <c r="I146" s="147">
        <f>SUMIFS(PLAN!$K:$K,PLAN!$V:$V,Sheet1!$A146,PLAN!$W:$W,Sheet1!$I$1)</f>
        <v>0</v>
      </c>
      <c r="J146" s="147">
        <f>SUMIFS(PLAN!$K:$K,PLAN!$V:$V,Sheet1!$A146,PLAN!$W:$W,Sheet1!$J$1)</f>
        <v>0</v>
      </c>
      <c r="K146" s="147">
        <f>SUMIFS(PLAN!$K:$K,PLAN!$V:$V,Sheet1!$A146,PLAN!$W:$W,Sheet1!$K$1)</f>
        <v>0</v>
      </c>
      <c r="L146" s="147">
        <f>SUMIFS(PLAN!$K:$K,PLAN!$V:$V,Sheet1!$A146,PLAN!$W:$W,Sheet1!$L$1)</f>
        <v>0</v>
      </c>
      <c r="M146" s="147">
        <f>SUMIFS(PLAN!$K:$K,PLAN!$V:$V,Sheet1!$A146,PLAN!$W:$W,Sheet1!$M$1)</f>
        <v>0</v>
      </c>
      <c r="N146" s="147">
        <f>SUMIFS(PLAN!$K:$K,PLAN!$V:$V,Sheet1!$A146,PLAN!$W:$W,Sheet1!$N$1)</f>
        <v>0</v>
      </c>
      <c r="O146" s="147">
        <f t="shared" si="3"/>
        <v>0</v>
      </c>
    </row>
    <row r="147" spans="1:15">
      <c r="A147" s="159">
        <v>46319</v>
      </c>
      <c r="B147" s="147">
        <f>SUMIFS(PLAN!$K:$K,PLAN!$V:$V,Sheet1!$A147,PLAN!$W:$W,Sheet1!$B$1)</f>
        <v>0</v>
      </c>
      <c r="C147" s="147">
        <f>SUMIFS(PLAN!$K:$K,PLAN!$V:$V,Sheet1!$A147,PLAN!$W:$W,Sheet1!$C$1)</f>
        <v>0</v>
      </c>
      <c r="D147" s="147">
        <f>SUMIFS(PLAN!$K:$K,PLAN!$V:$V,Sheet1!$A147,PLAN!$W:$W,Sheet1!$D$1)</f>
        <v>0</v>
      </c>
      <c r="E147" s="147">
        <f>SUMIFS(PLAN!$K:$K,PLAN!$V:$V,Sheet1!$A147,PLAN!$W:$W,Sheet1!$E$1)</f>
        <v>0</v>
      </c>
      <c r="F147" s="147">
        <f>SUMIFS(PLAN!$K:$K,PLAN!$V:$V,Sheet1!$A147,PLAN!$W:$W,Sheet1!$F$1)</f>
        <v>0</v>
      </c>
      <c r="G147" s="147">
        <f>SUMIFS(PLAN!$K:$K,PLAN!$V:$V,Sheet1!$A147,PLAN!$W:$W,Sheet1!$G$1)</f>
        <v>0</v>
      </c>
      <c r="H147" s="147">
        <f>SUMIFS(PLAN!$K:$K,PLAN!$V:$V,Sheet1!$A147,PLAN!$W:$W,Sheet1!$H$1)</f>
        <v>0</v>
      </c>
      <c r="I147" s="147">
        <f>SUMIFS(PLAN!$K:$K,PLAN!$V:$V,Sheet1!$A147,PLAN!$W:$W,Sheet1!$I$1)</f>
        <v>0</v>
      </c>
      <c r="J147" s="147">
        <f>SUMIFS(PLAN!$K:$K,PLAN!$V:$V,Sheet1!$A147,PLAN!$W:$W,Sheet1!$J$1)</f>
        <v>0</v>
      </c>
      <c r="K147" s="147">
        <f>SUMIFS(PLAN!$K:$K,PLAN!$V:$V,Sheet1!$A147,PLAN!$W:$W,Sheet1!$K$1)</f>
        <v>0</v>
      </c>
      <c r="L147" s="147">
        <f>SUMIFS(PLAN!$K:$K,PLAN!$V:$V,Sheet1!$A147,PLAN!$W:$W,Sheet1!$L$1)</f>
        <v>0</v>
      </c>
      <c r="M147" s="147">
        <f>SUMIFS(PLAN!$K:$K,PLAN!$V:$V,Sheet1!$A147,PLAN!$W:$W,Sheet1!$M$1)</f>
        <v>0</v>
      </c>
      <c r="N147" s="147">
        <f>SUMIFS(PLAN!$K:$K,PLAN!$V:$V,Sheet1!$A147,PLAN!$W:$W,Sheet1!$N$1)</f>
        <v>0</v>
      </c>
      <c r="O147" s="147">
        <f t="shared" si="3"/>
        <v>0</v>
      </c>
    </row>
    <row r="148" spans="1:15">
      <c r="A148" s="159">
        <v>46320</v>
      </c>
      <c r="B148" s="147">
        <f>SUMIFS(PLAN!$K:$K,PLAN!$V:$V,Sheet1!$A148,PLAN!$W:$W,Sheet1!$B$1)</f>
        <v>0</v>
      </c>
      <c r="C148" s="147">
        <f>SUMIFS(PLAN!$K:$K,PLAN!$V:$V,Sheet1!$A148,PLAN!$W:$W,Sheet1!$C$1)</f>
        <v>0</v>
      </c>
      <c r="D148" s="147">
        <f>SUMIFS(PLAN!$K:$K,PLAN!$V:$V,Sheet1!$A148,PLAN!$W:$W,Sheet1!$D$1)</f>
        <v>0</v>
      </c>
      <c r="E148" s="147">
        <f>SUMIFS(PLAN!$K:$K,PLAN!$V:$V,Sheet1!$A148,PLAN!$W:$W,Sheet1!$E$1)</f>
        <v>0</v>
      </c>
      <c r="F148" s="147">
        <f>SUMIFS(PLAN!$K:$K,PLAN!$V:$V,Sheet1!$A148,PLAN!$W:$W,Sheet1!$F$1)</f>
        <v>0</v>
      </c>
      <c r="G148" s="147">
        <f>SUMIFS(PLAN!$K:$K,PLAN!$V:$V,Sheet1!$A148,PLAN!$W:$W,Sheet1!$G$1)</f>
        <v>0</v>
      </c>
      <c r="H148" s="147">
        <f>SUMIFS(PLAN!$K:$K,PLAN!$V:$V,Sheet1!$A148,PLAN!$W:$W,Sheet1!$H$1)</f>
        <v>0</v>
      </c>
      <c r="I148" s="147">
        <f>SUMIFS(PLAN!$K:$K,PLAN!$V:$V,Sheet1!$A148,PLAN!$W:$W,Sheet1!$I$1)</f>
        <v>0</v>
      </c>
      <c r="J148" s="147">
        <f>SUMIFS(PLAN!$K:$K,PLAN!$V:$V,Sheet1!$A148,PLAN!$W:$W,Sheet1!$J$1)</f>
        <v>0</v>
      </c>
      <c r="K148" s="147">
        <f>SUMIFS(PLAN!$K:$K,PLAN!$V:$V,Sheet1!$A148,PLAN!$W:$W,Sheet1!$K$1)</f>
        <v>0</v>
      </c>
      <c r="L148" s="147">
        <f>SUMIFS(PLAN!$K:$K,PLAN!$V:$V,Sheet1!$A148,PLAN!$W:$W,Sheet1!$L$1)</f>
        <v>0</v>
      </c>
      <c r="M148" s="147">
        <f>SUMIFS(PLAN!$K:$K,PLAN!$V:$V,Sheet1!$A148,PLAN!$W:$W,Sheet1!$M$1)</f>
        <v>0</v>
      </c>
      <c r="N148" s="147">
        <f>SUMIFS(PLAN!$K:$K,PLAN!$V:$V,Sheet1!$A148,PLAN!$W:$W,Sheet1!$N$1)</f>
        <v>0</v>
      </c>
      <c r="O148" s="147">
        <f t="shared" si="3"/>
        <v>0</v>
      </c>
    </row>
    <row r="149" spans="1:15">
      <c r="A149" s="159">
        <v>46321</v>
      </c>
      <c r="B149" s="147">
        <f>SUMIFS(PLAN!$K:$K,PLAN!$V:$V,Sheet1!$A149,PLAN!$W:$W,Sheet1!$B$1)</f>
        <v>0</v>
      </c>
      <c r="C149" s="147">
        <f>SUMIFS(PLAN!$K:$K,PLAN!$V:$V,Sheet1!$A149,PLAN!$W:$W,Sheet1!$C$1)</f>
        <v>0</v>
      </c>
      <c r="D149" s="147">
        <f>SUMIFS(PLAN!$K:$K,PLAN!$V:$V,Sheet1!$A149,PLAN!$W:$W,Sheet1!$D$1)</f>
        <v>0</v>
      </c>
      <c r="E149" s="147">
        <f>SUMIFS(PLAN!$K:$K,PLAN!$V:$V,Sheet1!$A149,PLAN!$W:$W,Sheet1!$E$1)</f>
        <v>0</v>
      </c>
      <c r="F149" s="147">
        <f>SUMIFS(PLAN!$K:$K,PLAN!$V:$V,Sheet1!$A149,PLAN!$W:$W,Sheet1!$F$1)</f>
        <v>0</v>
      </c>
      <c r="G149" s="147">
        <f>SUMIFS(PLAN!$K:$K,PLAN!$V:$V,Sheet1!$A149,PLAN!$W:$W,Sheet1!$G$1)</f>
        <v>0</v>
      </c>
      <c r="H149" s="147">
        <f>SUMIFS(PLAN!$K:$K,PLAN!$V:$V,Sheet1!$A149,PLAN!$W:$W,Sheet1!$H$1)</f>
        <v>0</v>
      </c>
      <c r="I149" s="147">
        <f>SUMIFS(PLAN!$K:$K,PLAN!$V:$V,Sheet1!$A149,PLAN!$W:$W,Sheet1!$I$1)</f>
        <v>0</v>
      </c>
      <c r="J149" s="147">
        <f>SUMIFS(PLAN!$K:$K,PLAN!$V:$V,Sheet1!$A149,PLAN!$W:$W,Sheet1!$J$1)</f>
        <v>0</v>
      </c>
      <c r="K149" s="147">
        <f>SUMIFS(PLAN!$K:$K,PLAN!$V:$V,Sheet1!$A149,PLAN!$W:$W,Sheet1!$K$1)</f>
        <v>0</v>
      </c>
      <c r="L149" s="147">
        <f>SUMIFS(PLAN!$K:$K,PLAN!$V:$V,Sheet1!$A149,PLAN!$W:$W,Sheet1!$L$1)</f>
        <v>0</v>
      </c>
      <c r="M149" s="147">
        <f>SUMIFS(PLAN!$K:$K,PLAN!$V:$V,Sheet1!$A149,PLAN!$W:$W,Sheet1!$M$1)</f>
        <v>0</v>
      </c>
      <c r="N149" s="147">
        <f>SUMIFS(PLAN!$K:$K,PLAN!$V:$V,Sheet1!$A149,PLAN!$W:$W,Sheet1!$N$1)</f>
        <v>0</v>
      </c>
      <c r="O149" s="147">
        <f t="shared" si="3"/>
        <v>0</v>
      </c>
    </row>
    <row r="150" spans="1:15">
      <c r="A150" s="159">
        <v>46322</v>
      </c>
      <c r="B150" s="147">
        <f>SUMIFS(PLAN!$K:$K,PLAN!$V:$V,Sheet1!$A150,PLAN!$W:$W,Sheet1!$B$1)</f>
        <v>0</v>
      </c>
      <c r="C150" s="147">
        <f>SUMIFS(PLAN!$K:$K,PLAN!$V:$V,Sheet1!$A150,PLAN!$W:$W,Sheet1!$C$1)</f>
        <v>0</v>
      </c>
      <c r="D150" s="147">
        <f>SUMIFS(PLAN!$K:$K,PLAN!$V:$V,Sheet1!$A150,PLAN!$W:$W,Sheet1!$D$1)</f>
        <v>0</v>
      </c>
      <c r="E150" s="147">
        <f>SUMIFS(PLAN!$K:$K,PLAN!$V:$V,Sheet1!$A150,PLAN!$W:$W,Sheet1!$E$1)</f>
        <v>0</v>
      </c>
      <c r="F150" s="147">
        <f>SUMIFS(PLAN!$K:$K,PLAN!$V:$V,Sheet1!$A150,PLAN!$W:$W,Sheet1!$F$1)</f>
        <v>0</v>
      </c>
      <c r="G150" s="147">
        <f>SUMIFS(PLAN!$K:$K,PLAN!$V:$V,Sheet1!$A150,PLAN!$W:$W,Sheet1!$G$1)</f>
        <v>0</v>
      </c>
      <c r="H150" s="147">
        <f>SUMIFS(PLAN!$K:$K,PLAN!$V:$V,Sheet1!$A150,PLAN!$W:$W,Sheet1!$H$1)</f>
        <v>0</v>
      </c>
      <c r="I150" s="147">
        <f>SUMIFS(PLAN!$K:$K,PLAN!$V:$V,Sheet1!$A150,PLAN!$W:$W,Sheet1!$I$1)</f>
        <v>0</v>
      </c>
      <c r="J150" s="147">
        <f>SUMIFS(PLAN!$K:$K,PLAN!$V:$V,Sheet1!$A150,PLAN!$W:$W,Sheet1!$J$1)</f>
        <v>0</v>
      </c>
      <c r="K150" s="147">
        <f>SUMIFS(PLAN!$K:$K,PLAN!$V:$V,Sheet1!$A150,PLAN!$W:$W,Sheet1!$K$1)</f>
        <v>0</v>
      </c>
      <c r="L150" s="147">
        <f>SUMIFS(PLAN!$K:$K,PLAN!$V:$V,Sheet1!$A150,PLAN!$W:$W,Sheet1!$L$1)</f>
        <v>0</v>
      </c>
      <c r="M150" s="147">
        <f>SUMIFS(PLAN!$K:$K,PLAN!$V:$V,Sheet1!$A150,PLAN!$W:$W,Sheet1!$M$1)</f>
        <v>0</v>
      </c>
      <c r="N150" s="147">
        <f>SUMIFS(PLAN!$K:$K,PLAN!$V:$V,Sheet1!$A150,PLAN!$W:$W,Sheet1!$N$1)</f>
        <v>0</v>
      </c>
      <c r="O150" s="147">
        <f t="shared" si="3"/>
        <v>0</v>
      </c>
    </row>
    <row r="151" spans="1:15">
      <c r="A151" s="159">
        <v>46323</v>
      </c>
      <c r="B151" s="147">
        <f>SUMIFS(PLAN!$K:$K,PLAN!$V:$V,Sheet1!$A151,PLAN!$W:$W,Sheet1!$B$1)</f>
        <v>0</v>
      </c>
      <c r="C151" s="147">
        <f>SUMIFS(PLAN!$K:$K,PLAN!$V:$V,Sheet1!$A151,PLAN!$W:$W,Sheet1!$C$1)</f>
        <v>0</v>
      </c>
      <c r="D151" s="147">
        <f>SUMIFS(PLAN!$K:$K,PLAN!$V:$V,Sheet1!$A151,PLAN!$W:$W,Sheet1!$D$1)</f>
        <v>0</v>
      </c>
      <c r="E151" s="147">
        <f>SUMIFS(PLAN!$K:$K,PLAN!$V:$V,Sheet1!$A151,PLAN!$W:$W,Sheet1!$E$1)</f>
        <v>0</v>
      </c>
      <c r="F151" s="147">
        <f>SUMIFS(PLAN!$K:$K,PLAN!$V:$V,Sheet1!$A151,PLAN!$W:$W,Sheet1!$F$1)</f>
        <v>0</v>
      </c>
      <c r="G151" s="147">
        <f>SUMIFS(PLAN!$K:$K,PLAN!$V:$V,Sheet1!$A151,PLAN!$W:$W,Sheet1!$G$1)</f>
        <v>0</v>
      </c>
      <c r="H151" s="147">
        <f>SUMIFS(PLAN!$K:$K,PLAN!$V:$V,Sheet1!$A151,PLAN!$W:$W,Sheet1!$H$1)</f>
        <v>0</v>
      </c>
      <c r="I151" s="147">
        <f>SUMIFS(PLAN!$K:$K,PLAN!$V:$V,Sheet1!$A151,PLAN!$W:$W,Sheet1!$I$1)</f>
        <v>0</v>
      </c>
      <c r="J151" s="147">
        <f>SUMIFS(PLAN!$K:$K,PLAN!$V:$V,Sheet1!$A151,PLAN!$W:$W,Sheet1!$J$1)</f>
        <v>0</v>
      </c>
      <c r="K151" s="147">
        <f>SUMIFS(PLAN!$K:$K,PLAN!$V:$V,Sheet1!$A151,PLAN!$W:$W,Sheet1!$K$1)</f>
        <v>0</v>
      </c>
      <c r="L151" s="147">
        <f>SUMIFS(PLAN!$K:$K,PLAN!$V:$V,Sheet1!$A151,PLAN!$W:$W,Sheet1!$L$1)</f>
        <v>0</v>
      </c>
      <c r="M151" s="147">
        <f>SUMIFS(PLAN!$K:$K,PLAN!$V:$V,Sheet1!$A151,PLAN!$W:$W,Sheet1!$M$1)</f>
        <v>0</v>
      </c>
      <c r="N151" s="147">
        <f>SUMIFS(PLAN!$K:$K,PLAN!$V:$V,Sheet1!$A151,PLAN!$W:$W,Sheet1!$N$1)</f>
        <v>0</v>
      </c>
      <c r="O151" s="147">
        <f t="shared" si="3"/>
        <v>0</v>
      </c>
    </row>
    <row r="152" spans="1:15">
      <c r="A152" s="159">
        <v>46324</v>
      </c>
      <c r="B152" s="147">
        <f>SUMIFS(PLAN!$K:$K,PLAN!$V:$V,Sheet1!$A152,PLAN!$W:$W,Sheet1!$B$1)</f>
        <v>0</v>
      </c>
      <c r="C152" s="147">
        <f>SUMIFS(PLAN!$K:$K,PLAN!$V:$V,Sheet1!$A152,PLAN!$W:$W,Sheet1!$C$1)</f>
        <v>0</v>
      </c>
      <c r="D152" s="147">
        <f>SUMIFS(PLAN!$K:$K,PLAN!$V:$V,Sheet1!$A152,PLAN!$W:$W,Sheet1!$D$1)</f>
        <v>0</v>
      </c>
      <c r="E152" s="147">
        <f>SUMIFS(PLAN!$K:$K,PLAN!$V:$V,Sheet1!$A152,PLAN!$W:$W,Sheet1!$E$1)</f>
        <v>0</v>
      </c>
      <c r="F152" s="147">
        <f>SUMIFS(PLAN!$K:$K,PLAN!$V:$V,Sheet1!$A152,PLAN!$W:$W,Sheet1!$F$1)</f>
        <v>0</v>
      </c>
      <c r="G152" s="147">
        <f>SUMIFS(PLAN!$K:$K,PLAN!$V:$V,Sheet1!$A152,PLAN!$W:$W,Sheet1!$G$1)</f>
        <v>0</v>
      </c>
      <c r="H152" s="147">
        <f>SUMIFS(PLAN!$K:$K,PLAN!$V:$V,Sheet1!$A152,PLAN!$W:$W,Sheet1!$H$1)</f>
        <v>0</v>
      </c>
      <c r="I152" s="147">
        <f>SUMIFS(PLAN!$K:$K,PLAN!$V:$V,Sheet1!$A152,PLAN!$W:$W,Sheet1!$I$1)</f>
        <v>0</v>
      </c>
      <c r="J152" s="147">
        <f>SUMIFS(PLAN!$K:$K,PLAN!$V:$V,Sheet1!$A152,PLAN!$W:$W,Sheet1!$J$1)</f>
        <v>0</v>
      </c>
      <c r="K152" s="147">
        <f>SUMIFS(PLAN!$K:$K,PLAN!$V:$V,Sheet1!$A152,PLAN!$W:$W,Sheet1!$K$1)</f>
        <v>0</v>
      </c>
      <c r="L152" s="147">
        <f>SUMIFS(PLAN!$K:$K,PLAN!$V:$V,Sheet1!$A152,PLAN!$W:$W,Sheet1!$L$1)</f>
        <v>0</v>
      </c>
      <c r="M152" s="147">
        <f>SUMIFS(PLAN!$K:$K,PLAN!$V:$V,Sheet1!$A152,PLAN!$W:$W,Sheet1!$M$1)</f>
        <v>0</v>
      </c>
      <c r="N152" s="147">
        <f>SUMIFS(PLAN!$K:$K,PLAN!$V:$V,Sheet1!$A152,PLAN!$W:$W,Sheet1!$N$1)</f>
        <v>0</v>
      </c>
      <c r="O152" s="147">
        <f t="shared" si="3"/>
        <v>0</v>
      </c>
    </row>
    <row r="153" spans="1:15">
      <c r="A153" s="159">
        <v>46325</v>
      </c>
      <c r="B153" s="147">
        <f>SUMIFS(PLAN!$K:$K,PLAN!$V:$V,Sheet1!$A153,PLAN!$W:$W,Sheet1!$B$1)</f>
        <v>0</v>
      </c>
      <c r="C153" s="147">
        <f>SUMIFS(PLAN!$K:$K,PLAN!$V:$V,Sheet1!$A153,PLAN!$W:$W,Sheet1!$C$1)</f>
        <v>0</v>
      </c>
      <c r="D153" s="147">
        <f>SUMIFS(PLAN!$K:$K,PLAN!$V:$V,Sheet1!$A153,PLAN!$W:$W,Sheet1!$D$1)</f>
        <v>0</v>
      </c>
      <c r="E153" s="147">
        <f>SUMIFS(PLAN!$K:$K,PLAN!$V:$V,Sheet1!$A153,PLAN!$W:$W,Sheet1!$E$1)</f>
        <v>0</v>
      </c>
      <c r="F153" s="147">
        <f>SUMIFS(PLAN!$K:$K,PLAN!$V:$V,Sheet1!$A153,PLAN!$W:$W,Sheet1!$F$1)</f>
        <v>0</v>
      </c>
      <c r="G153" s="147">
        <f>SUMIFS(PLAN!$K:$K,PLAN!$V:$V,Sheet1!$A153,PLAN!$W:$W,Sheet1!$G$1)</f>
        <v>0</v>
      </c>
      <c r="H153" s="147">
        <f>SUMIFS(PLAN!$K:$K,PLAN!$V:$V,Sheet1!$A153,PLAN!$W:$W,Sheet1!$H$1)</f>
        <v>0</v>
      </c>
      <c r="I153" s="147">
        <f>SUMIFS(PLAN!$K:$K,PLAN!$V:$V,Sheet1!$A153,PLAN!$W:$W,Sheet1!$I$1)</f>
        <v>0</v>
      </c>
      <c r="J153" s="147">
        <f>SUMIFS(PLAN!$K:$K,PLAN!$V:$V,Sheet1!$A153,PLAN!$W:$W,Sheet1!$J$1)</f>
        <v>0</v>
      </c>
      <c r="K153" s="147">
        <f>SUMIFS(PLAN!$K:$K,PLAN!$V:$V,Sheet1!$A153,PLAN!$W:$W,Sheet1!$K$1)</f>
        <v>0</v>
      </c>
      <c r="L153" s="147">
        <f>SUMIFS(PLAN!$K:$K,PLAN!$V:$V,Sheet1!$A153,PLAN!$W:$W,Sheet1!$L$1)</f>
        <v>0</v>
      </c>
      <c r="M153" s="147">
        <f>SUMIFS(PLAN!$K:$K,PLAN!$V:$V,Sheet1!$A153,PLAN!$W:$W,Sheet1!$M$1)</f>
        <v>0</v>
      </c>
      <c r="N153" s="147">
        <f>SUMIFS(PLAN!$K:$K,PLAN!$V:$V,Sheet1!$A153,PLAN!$W:$W,Sheet1!$N$1)</f>
        <v>0</v>
      </c>
      <c r="O153" s="147">
        <f t="shared" si="3"/>
        <v>0</v>
      </c>
    </row>
    <row r="154" spans="1:15">
      <c r="A154" s="159">
        <v>46326</v>
      </c>
      <c r="B154" s="147">
        <f>SUMIFS(PLAN!$K:$K,PLAN!$V:$V,Sheet1!$A154,PLAN!$W:$W,Sheet1!$B$1)</f>
        <v>0</v>
      </c>
      <c r="C154" s="147">
        <f>SUMIFS(PLAN!$K:$K,PLAN!$V:$V,Sheet1!$A154,PLAN!$W:$W,Sheet1!$C$1)</f>
        <v>0</v>
      </c>
      <c r="D154" s="147">
        <f>SUMIFS(PLAN!$K:$K,PLAN!$V:$V,Sheet1!$A154,PLAN!$W:$W,Sheet1!$D$1)</f>
        <v>0</v>
      </c>
      <c r="E154" s="147">
        <f>SUMIFS(PLAN!$K:$K,PLAN!$V:$V,Sheet1!$A154,PLAN!$W:$W,Sheet1!$E$1)</f>
        <v>0</v>
      </c>
      <c r="F154" s="147">
        <f>SUMIFS(PLAN!$K:$K,PLAN!$V:$V,Sheet1!$A154,PLAN!$W:$W,Sheet1!$F$1)</f>
        <v>0</v>
      </c>
      <c r="G154" s="147">
        <f>SUMIFS(PLAN!$K:$K,PLAN!$V:$V,Sheet1!$A154,PLAN!$W:$W,Sheet1!$G$1)</f>
        <v>0</v>
      </c>
      <c r="H154" s="147">
        <f>SUMIFS(PLAN!$K:$K,PLAN!$V:$V,Sheet1!$A154,PLAN!$W:$W,Sheet1!$H$1)</f>
        <v>0</v>
      </c>
      <c r="I154" s="147">
        <f>SUMIFS(PLAN!$K:$K,PLAN!$V:$V,Sheet1!$A154,PLAN!$W:$W,Sheet1!$I$1)</f>
        <v>0</v>
      </c>
      <c r="J154" s="147">
        <f>SUMIFS(PLAN!$K:$K,PLAN!$V:$V,Sheet1!$A154,PLAN!$W:$W,Sheet1!$J$1)</f>
        <v>0</v>
      </c>
      <c r="K154" s="147">
        <f>SUMIFS(PLAN!$K:$K,PLAN!$V:$V,Sheet1!$A154,PLAN!$W:$W,Sheet1!$K$1)</f>
        <v>0</v>
      </c>
      <c r="L154" s="147">
        <f>SUMIFS(PLAN!$K:$K,PLAN!$V:$V,Sheet1!$A154,PLAN!$W:$W,Sheet1!$L$1)</f>
        <v>0</v>
      </c>
      <c r="M154" s="147">
        <f>SUMIFS(PLAN!$K:$K,PLAN!$V:$V,Sheet1!$A154,PLAN!$W:$W,Sheet1!$M$1)</f>
        <v>0</v>
      </c>
      <c r="N154" s="147">
        <f>SUMIFS(PLAN!$K:$K,PLAN!$V:$V,Sheet1!$A154,PLAN!$W:$W,Sheet1!$N$1)</f>
        <v>0</v>
      </c>
      <c r="O154" s="147">
        <f t="shared" si="3"/>
        <v>0</v>
      </c>
    </row>
    <row r="155" spans="1:15">
      <c r="A155" s="159">
        <v>46327</v>
      </c>
      <c r="B155" s="147">
        <f>SUMIFS(PLAN!$K:$K,PLAN!$V:$V,Sheet1!$A155,PLAN!$W:$W,Sheet1!$B$1)</f>
        <v>0</v>
      </c>
      <c r="C155" s="147">
        <f>SUMIFS(PLAN!$K:$K,PLAN!$V:$V,Sheet1!$A155,PLAN!$W:$W,Sheet1!$C$1)</f>
        <v>0</v>
      </c>
      <c r="D155" s="147">
        <f>SUMIFS(PLAN!$K:$K,PLAN!$V:$V,Sheet1!$A155,PLAN!$W:$W,Sheet1!$D$1)</f>
        <v>0</v>
      </c>
      <c r="E155" s="147">
        <f>SUMIFS(PLAN!$K:$K,PLAN!$V:$V,Sheet1!$A155,PLAN!$W:$W,Sheet1!$E$1)</f>
        <v>0</v>
      </c>
      <c r="F155" s="147">
        <f>SUMIFS(PLAN!$K:$K,PLAN!$V:$V,Sheet1!$A155,PLAN!$W:$W,Sheet1!$F$1)</f>
        <v>0</v>
      </c>
      <c r="G155" s="147">
        <f>SUMIFS(PLAN!$K:$K,PLAN!$V:$V,Sheet1!$A155,PLAN!$W:$W,Sheet1!$G$1)</f>
        <v>0</v>
      </c>
      <c r="H155" s="147">
        <f>SUMIFS(PLAN!$K:$K,PLAN!$V:$V,Sheet1!$A155,PLAN!$W:$W,Sheet1!$H$1)</f>
        <v>0</v>
      </c>
      <c r="I155" s="147">
        <f>SUMIFS(PLAN!$K:$K,PLAN!$V:$V,Sheet1!$A155,PLAN!$W:$W,Sheet1!$I$1)</f>
        <v>0</v>
      </c>
      <c r="J155" s="147">
        <f>SUMIFS(PLAN!$K:$K,PLAN!$V:$V,Sheet1!$A155,PLAN!$W:$W,Sheet1!$J$1)</f>
        <v>0</v>
      </c>
      <c r="K155" s="147">
        <f>SUMIFS(PLAN!$K:$K,PLAN!$V:$V,Sheet1!$A155,PLAN!$W:$W,Sheet1!$K$1)</f>
        <v>0</v>
      </c>
      <c r="L155" s="147">
        <f>SUMIFS(PLAN!$K:$K,PLAN!$V:$V,Sheet1!$A155,PLAN!$W:$W,Sheet1!$L$1)</f>
        <v>0</v>
      </c>
      <c r="M155" s="147">
        <f>SUMIFS(PLAN!$K:$K,PLAN!$V:$V,Sheet1!$A155,PLAN!$W:$W,Sheet1!$M$1)</f>
        <v>0</v>
      </c>
      <c r="N155" s="147">
        <f>SUMIFS(PLAN!$K:$K,PLAN!$V:$V,Sheet1!$A155,PLAN!$W:$W,Sheet1!$N$1)</f>
        <v>0</v>
      </c>
      <c r="O155" s="147">
        <f t="shared" si="3"/>
        <v>0</v>
      </c>
    </row>
    <row r="156" spans="1:15">
      <c r="A156" s="159">
        <v>46328</v>
      </c>
      <c r="B156" s="147">
        <f>SUMIFS(PLAN!$K:$K,PLAN!$V:$V,Sheet1!$A156,PLAN!$W:$W,Sheet1!$B$1)</f>
        <v>0</v>
      </c>
      <c r="C156" s="147">
        <f>SUMIFS(PLAN!$K:$K,PLAN!$V:$V,Sheet1!$A156,PLAN!$W:$W,Sheet1!$C$1)</f>
        <v>0</v>
      </c>
      <c r="D156" s="147">
        <f>SUMIFS(PLAN!$K:$K,PLAN!$V:$V,Sheet1!$A156,PLAN!$W:$W,Sheet1!$D$1)</f>
        <v>0</v>
      </c>
      <c r="E156" s="147">
        <f>SUMIFS(PLAN!$K:$K,PLAN!$V:$V,Sheet1!$A156,PLAN!$W:$W,Sheet1!$E$1)</f>
        <v>0</v>
      </c>
      <c r="F156" s="147">
        <f>SUMIFS(PLAN!$K:$K,PLAN!$V:$V,Sheet1!$A156,PLAN!$W:$W,Sheet1!$F$1)</f>
        <v>0</v>
      </c>
      <c r="G156" s="147">
        <f>SUMIFS(PLAN!$K:$K,PLAN!$V:$V,Sheet1!$A156,PLAN!$W:$W,Sheet1!$G$1)</f>
        <v>0</v>
      </c>
      <c r="H156" s="147">
        <f>SUMIFS(PLAN!$K:$K,PLAN!$V:$V,Sheet1!$A156,PLAN!$W:$W,Sheet1!$H$1)</f>
        <v>0</v>
      </c>
      <c r="I156" s="147">
        <f>SUMIFS(PLAN!$K:$K,PLAN!$V:$V,Sheet1!$A156,PLAN!$W:$W,Sheet1!$I$1)</f>
        <v>0</v>
      </c>
      <c r="J156" s="147">
        <f>SUMIFS(PLAN!$K:$K,PLAN!$V:$V,Sheet1!$A156,PLAN!$W:$W,Sheet1!$J$1)</f>
        <v>0</v>
      </c>
      <c r="K156" s="147">
        <f>SUMIFS(PLAN!$K:$K,PLAN!$V:$V,Sheet1!$A156,PLAN!$W:$W,Sheet1!$K$1)</f>
        <v>0</v>
      </c>
      <c r="L156" s="147">
        <f>SUMIFS(PLAN!$K:$K,PLAN!$V:$V,Sheet1!$A156,PLAN!$W:$W,Sheet1!$L$1)</f>
        <v>0</v>
      </c>
      <c r="M156" s="147">
        <f>SUMIFS(PLAN!$K:$K,PLAN!$V:$V,Sheet1!$A156,PLAN!$W:$W,Sheet1!$M$1)</f>
        <v>0</v>
      </c>
      <c r="N156" s="147">
        <f>SUMIFS(PLAN!$K:$K,PLAN!$V:$V,Sheet1!$A156,PLAN!$W:$W,Sheet1!$N$1)</f>
        <v>0</v>
      </c>
      <c r="O156" s="147">
        <f t="shared" si="3"/>
        <v>0</v>
      </c>
    </row>
    <row r="157" spans="1:15">
      <c r="A157" s="159">
        <v>46329</v>
      </c>
      <c r="B157" s="147">
        <f>SUMIFS(PLAN!$K:$K,PLAN!$V:$V,Sheet1!$A157,PLAN!$W:$W,Sheet1!$B$1)</f>
        <v>0</v>
      </c>
      <c r="C157" s="147">
        <f>SUMIFS(PLAN!$K:$K,PLAN!$V:$V,Sheet1!$A157,PLAN!$W:$W,Sheet1!$C$1)</f>
        <v>0</v>
      </c>
      <c r="D157" s="147">
        <f>SUMIFS(PLAN!$K:$K,PLAN!$V:$V,Sheet1!$A157,PLAN!$W:$W,Sheet1!$D$1)</f>
        <v>0</v>
      </c>
      <c r="E157" s="147">
        <f>SUMIFS(PLAN!$K:$K,PLAN!$V:$V,Sheet1!$A157,PLAN!$W:$W,Sheet1!$E$1)</f>
        <v>0</v>
      </c>
      <c r="F157" s="147">
        <f>SUMIFS(PLAN!$K:$K,PLAN!$V:$V,Sheet1!$A157,PLAN!$W:$W,Sheet1!$F$1)</f>
        <v>0</v>
      </c>
      <c r="G157" s="147">
        <f>SUMIFS(PLAN!$K:$K,PLAN!$V:$V,Sheet1!$A157,PLAN!$W:$W,Sheet1!$G$1)</f>
        <v>0</v>
      </c>
      <c r="H157" s="147">
        <f>SUMIFS(PLAN!$K:$K,PLAN!$V:$V,Sheet1!$A157,PLAN!$W:$W,Sheet1!$H$1)</f>
        <v>0</v>
      </c>
      <c r="I157" s="147">
        <f>SUMIFS(PLAN!$K:$K,PLAN!$V:$V,Sheet1!$A157,PLAN!$W:$W,Sheet1!$I$1)</f>
        <v>0</v>
      </c>
      <c r="J157" s="147">
        <f>SUMIFS(PLAN!$K:$K,PLAN!$V:$V,Sheet1!$A157,PLAN!$W:$W,Sheet1!$J$1)</f>
        <v>0</v>
      </c>
      <c r="K157" s="147">
        <f>SUMIFS(PLAN!$K:$K,PLAN!$V:$V,Sheet1!$A157,PLAN!$W:$W,Sheet1!$K$1)</f>
        <v>0</v>
      </c>
      <c r="L157" s="147">
        <f>SUMIFS(PLAN!$K:$K,PLAN!$V:$V,Sheet1!$A157,PLAN!$W:$W,Sheet1!$L$1)</f>
        <v>0</v>
      </c>
      <c r="M157" s="147">
        <f>SUMIFS(PLAN!$K:$K,PLAN!$V:$V,Sheet1!$A157,PLAN!$W:$W,Sheet1!$M$1)</f>
        <v>0</v>
      </c>
      <c r="N157" s="147">
        <f>SUMIFS(PLAN!$K:$K,PLAN!$V:$V,Sheet1!$A157,PLAN!$W:$W,Sheet1!$N$1)</f>
        <v>0</v>
      </c>
      <c r="O157" s="147">
        <f t="shared" si="3"/>
        <v>0</v>
      </c>
    </row>
    <row r="158" spans="1:15">
      <c r="A158" s="159">
        <v>46330</v>
      </c>
      <c r="B158" s="147">
        <f>SUMIFS(PLAN!$K:$K,PLAN!$V:$V,Sheet1!$A158,PLAN!$W:$W,Sheet1!$B$1)</f>
        <v>0</v>
      </c>
      <c r="C158" s="147">
        <f>SUMIFS(PLAN!$K:$K,PLAN!$V:$V,Sheet1!$A158,PLAN!$W:$W,Sheet1!$C$1)</f>
        <v>0</v>
      </c>
      <c r="D158" s="147">
        <f>SUMIFS(PLAN!$K:$K,PLAN!$V:$V,Sheet1!$A158,PLAN!$W:$W,Sheet1!$D$1)</f>
        <v>0</v>
      </c>
      <c r="E158" s="147">
        <f>SUMIFS(PLAN!$K:$K,PLAN!$V:$V,Sheet1!$A158,PLAN!$W:$W,Sheet1!$E$1)</f>
        <v>0</v>
      </c>
      <c r="F158" s="147">
        <f>SUMIFS(PLAN!$K:$K,PLAN!$V:$V,Sheet1!$A158,PLAN!$W:$W,Sheet1!$F$1)</f>
        <v>0</v>
      </c>
      <c r="G158" s="147">
        <f>SUMIFS(PLAN!$K:$K,PLAN!$V:$V,Sheet1!$A158,PLAN!$W:$W,Sheet1!$G$1)</f>
        <v>0</v>
      </c>
      <c r="H158" s="147">
        <f>SUMIFS(PLAN!$K:$K,PLAN!$V:$V,Sheet1!$A158,PLAN!$W:$W,Sheet1!$H$1)</f>
        <v>0</v>
      </c>
      <c r="I158" s="147">
        <f>SUMIFS(PLAN!$K:$K,PLAN!$V:$V,Sheet1!$A158,PLAN!$W:$W,Sheet1!$I$1)</f>
        <v>0</v>
      </c>
      <c r="J158" s="147">
        <f>SUMIFS(PLAN!$K:$K,PLAN!$V:$V,Sheet1!$A158,PLAN!$W:$W,Sheet1!$J$1)</f>
        <v>0</v>
      </c>
      <c r="K158" s="147">
        <f>SUMIFS(PLAN!$K:$K,PLAN!$V:$V,Sheet1!$A158,PLAN!$W:$W,Sheet1!$K$1)</f>
        <v>0</v>
      </c>
      <c r="L158" s="147">
        <f>SUMIFS(PLAN!$K:$K,PLAN!$V:$V,Sheet1!$A158,PLAN!$W:$W,Sheet1!$L$1)</f>
        <v>0</v>
      </c>
      <c r="M158" s="147">
        <f>SUMIFS(PLAN!$K:$K,PLAN!$V:$V,Sheet1!$A158,PLAN!$W:$W,Sheet1!$M$1)</f>
        <v>0</v>
      </c>
      <c r="N158" s="147">
        <f>SUMIFS(PLAN!$K:$K,PLAN!$V:$V,Sheet1!$A158,PLAN!$W:$W,Sheet1!$N$1)</f>
        <v>0</v>
      </c>
      <c r="O158" s="147">
        <f t="shared" si="3"/>
        <v>0</v>
      </c>
    </row>
    <row r="159" spans="1:15">
      <c r="A159" s="159">
        <v>46331</v>
      </c>
      <c r="B159" s="147">
        <f>SUMIFS(PLAN!$K:$K,PLAN!$V:$V,Sheet1!$A159,PLAN!$W:$W,Sheet1!$B$1)</f>
        <v>0</v>
      </c>
      <c r="C159" s="147">
        <f>SUMIFS(PLAN!$K:$K,PLAN!$V:$V,Sheet1!$A159,PLAN!$W:$W,Sheet1!$C$1)</f>
        <v>0</v>
      </c>
      <c r="D159" s="147">
        <f>SUMIFS(PLAN!$K:$K,PLAN!$V:$V,Sheet1!$A159,PLAN!$W:$W,Sheet1!$D$1)</f>
        <v>0</v>
      </c>
      <c r="E159" s="147">
        <f>SUMIFS(PLAN!$K:$K,PLAN!$V:$V,Sheet1!$A159,PLAN!$W:$W,Sheet1!$E$1)</f>
        <v>0</v>
      </c>
      <c r="F159" s="147">
        <f>SUMIFS(PLAN!$K:$K,PLAN!$V:$V,Sheet1!$A159,PLAN!$W:$W,Sheet1!$F$1)</f>
        <v>0</v>
      </c>
      <c r="G159" s="147">
        <f>SUMIFS(PLAN!$K:$K,PLAN!$V:$V,Sheet1!$A159,PLAN!$W:$W,Sheet1!$G$1)</f>
        <v>0</v>
      </c>
      <c r="H159" s="147">
        <f>SUMIFS(PLAN!$K:$K,PLAN!$V:$V,Sheet1!$A159,PLAN!$W:$W,Sheet1!$H$1)</f>
        <v>0</v>
      </c>
      <c r="I159" s="147">
        <f>SUMIFS(PLAN!$K:$K,PLAN!$V:$V,Sheet1!$A159,PLAN!$W:$W,Sheet1!$I$1)</f>
        <v>0</v>
      </c>
      <c r="J159" s="147">
        <f>SUMIFS(PLAN!$K:$K,PLAN!$V:$V,Sheet1!$A159,PLAN!$W:$W,Sheet1!$J$1)</f>
        <v>0</v>
      </c>
      <c r="K159" s="147">
        <f>SUMIFS(PLAN!$K:$K,PLAN!$V:$V,Sheet1!$A159,PLAN!$W:$W,Sheet1!$K$1)</f>
        <v>0</v>
      </c>
      <c r="L159" s="147">
        <f>SUMIFS(PLAN!$K:$K,PLAN!$V:$V,Sheet1!$A159,PLAN!$W:$W,Sheet1!$L$1)</f>
        <v>0</v>
      </c>
      <c r="M159" s="147">
        <f>SUMIFS(PLAN!$K:$K,PLAN!$V:$V,Sheet1!$A159,PLAN!$W:$W,Sheet1!$M$1)</f>
        <v>0</v>
      </c>
      <c r="N159" s="147">
        <f>SUMIFS(PLAN!$K:$K,PLAN!$V:$V,Sheet1!$A159,PLAN!$W:$W,Sheet1!$N$1)</f>
        <v>0</v>
      </c>
      <c r="O159" s="147">
        <f t="shared" si="3"/>
        <v>0</v>
      </c>
    </row>
    <row r="160" spans="1:15">
      <c r="A160" s="159">
        <v>46332</v>
      </c>
      <c r="B160" s="147">
        <f>SUMIFS(PLAN!$K:$K,PLAN!$V:$V,Sheet1!$A160,PLAN!$W:$W,Sheet1!$B$1)</f>
        <v>0</v>
      </c>
      <c r="C160" s="147">
        <f>SUMIFS(PLAN!$K:$K,PLAN!$V:$V,Sheet1!$A160,PLAN!$W:$W,Sheet1!$C$1)</f>
        <v>0</v>
      </c>
      <c r="D160" s="147">
        <f>SUMIFS(PLAN!$K:$K,PLAN!$V:$V,Sheet1!$A160,PLAN!$W:$W,Sheet1!$D$1)</f>
        <v>0</v>
      </c>
      <c r="E160" s="147">
        <f>SUMIFS(PLAN!$K:$K,PLAN!$V:$V,Sheet1!$A160,PLAN!$W:$W,Sheet1!$E$1)</f>
        <v>0</v>
      </c>
      <c r="F160" s="147">
        <f>SUMIFS(PLAN!$K:$K,PLAN!$V:$V,Sheet1!$A160,PLAN!$W:$W,Sheet1!$F$1)</f>
        <v>0</v>
      </c>
      <c r="G160" s="147">
        <f>SUMIFS(PLAN!$K:$K,PLAN!$V:$V,Sheet1!$A160,PLAN!$W:$W,Sheet1!$G$1)</f>
        <v>0</v>
      </c>
      <c r="H160" s="147">
        <f>SUMIFS(PLAN!$K:$K,PLAN!$V:$V,Sheet1!$A160,PLAN!$W:$W,Sheet1!$H$1)</f>
        <v>0</v>
      </c>
      <c r="I160" s="147">
        <f>SUMIFS(PLAN!$K:$K,PLAN!$V:$V,Sheet1!$A160,PLAN!$W:$W,Sheet1!$I$1)</f>
        <v>0</v>
      </c>
      <c r="J160" s="147">
        <f>SUMIFS(PLAN!$K:$K,PLAN!$V:$V,Sheet1!$A160,PLAN!$W:$W,Sheet1!$J$1)</f>
        <v>0</v>
      </c>
      <c r="K160" s="147">
        <f>SUMIFS(PLAN!$K:$K,PLAN!$V:$V,Sheet1!$A160,PLAN!$W:$W,Sheet1!$K$1)</f>
        <v>0</v>
      </c>
      <c r="L160" s="147">
        <f>SUMIFS(PLAN!$K:$K,PLAN!$V:$V,Sheet1!$A160,PLAN!$W:$W,Sheet1!$L$1)</f>
        <v>0</v>
      </c>
      <c r="M160" s="147">
        <f>SUMIFS(PLAN!$K:$K,PLAN!$V:$V,Sheet1!$A160,PLAN!$W:$W,Sheet1!$M$1)</f>
        <v>0</v>
      </c>
      <c r="N160" s="147">
        <f>SUMIFS(PLAN!$K:$K,PLAN!$V:$V,Sheet1!$A160,PLAN!$W:$W,Sheet1!$N$1)</f>
        <v>0</v>
      </c>
      <c r="O160" s="147">
        <f t="shared" si="3"/>
        <v>0</v>
      </c>
    </row>
    <row r="161" spans="1:15">
      <c r="A161" s="159">
        <v>46333</v>
      </c>
      <c r="B161" s="147">
        <f>SUMIFS(PLAN!$K:$K,PLAN!$V:$V,Sheet1!$A161,PLAN!$W:$W,Sheet1!$B$1)</f>
        <v>0</v>
      </c>
      <c r="C161" s="147">
        <f>SUMIFS(PLAN!$K:$K,PLAN!$V:$V,Sheet1!$A161,PLAN!$W:$W,Sheet1!$C$1)</f>
        <v>0</v>
      </c>
      <c r="D161" s="147">
        <f>SUMIFS(PLAN!$K:$K,PLAN!$V:$V,Sheet1!$A161,PLAN!$W:$W,Sheet1!$D$1)</f>
        <v>0</v>
      </c>
      <c r="E161" s="147">
        <f>SUMIFS(PLAN!$K:$K,PLAN!$V:$V,Sheet1!$A161,PLAN!$W:$W,Sheet1!$E$1)</f>
        <v>0</v>
      </c>
      <c r="F161" s="147">
        <f>SUMIFS(PLAN!$K:$K,PLAN!$V:$V,Sheet1!$A161,PLAN!$W:$W,Sheet1!$F$1)</f>
        <v>0</v>
      </c>
      <c r="G161" s="147">
        <f>SUMIFS(PLAN!$K:$K,PLAN!$V:$V,Sheet1!$A161,PLAN!$W:$W,Sheet1!$G$1)</f>
        <v>0</v>
      </c>
      <c r="H161" s="147">
        <f>SUMIFS(PLAN!$K:$K,PLAN!$V:$V,Sheet1!$A161,PLAN!$W:$W,Sheet1!$H$1)</f>
        <v>0</v>
      </c>
      <c r="I161" s="147">
        <f>SUMIFS(PLAN!$K:$K,PLAN!$V:$V,Sheet1!$A161,PLAN!$W:$W,Sheet1!$I$1)</f>
        <v>0</v>
      </c>
      <c r="J161" s="147">
        <f>SUMIFS(PLAN!$K:$K,PLAN!$V:$V,Sheet1!$A161,PLAN!$W:$W,Sheet1!$J$1)</f>
        <v>0</v>
      </c>
      <c r="K161" s="147">
        <f>SUMIFS(PLAN!$K:$K,PLAN!$V:$V,Sheet1!$A161,PLAN!$W:$W,Sheet1!$K$1)</f>
        <v>0</v>
      </c>
      <c r="L161" s="147">
        <f>SUMIFS(PLAN!$K:$K,PLAN!$V:$V,Sheet1!$A161,PLAN!$W:$W,Sheet1!$L$1)</f>
        <v>0</v>
      </c>
      <c r="M161" s="147">
        <f>SUMIFS(PLAN!$K:$K,PLAN!$V:$V,Sheet1!$A161,PLAN!$W:$W,Sheet1!$M$1)</f>
        <v>0</v>
      </c>
      <c r="N161" s="147">
        <f>SUMIFS(PLAN!$K:$K,PLAN!$V:$V,Sheet1!$A161,PLAN!$W:$W,Sheet1!$N$1)</f>
        <v>0</v>
      </c>
      <c r="O161" s="147">
        <f t="shared" si="3"/>
        <v>0</v>
      </c>
    </row>
    <row r="162" spans="1:15">
      <c r="A162" s="159">
        <v>46334</v>
      </c>
      <c r="B162" s="147">
        <f>SUMIFS(PLAN!$K:$K,PLAN!$V:$V,Sheet1!$A162,PLAN!$W:$W,Sheet1!$B$1)</f>
        <v>0</v>
      </c>
      <c r="C162" s="147">
        <f>SUMIFS(PLAN!$K:$K,PLAN!$V:$V,Sheet1!$A162,PLAN!$W:$W,Sheet1!$C$1)</f>
        <v>0</v>
      </c>
      <c r="D162" s="147">
        <f>SUMIFS(PLAN!$K:$K,PLAN!$V:$V,Sheet1!$A162,PLAN!$W:$W,Sheet1!$D$1)</f>
        <v>0</v>
      </c>
      <c r="E162" s="147">
        <f>SUMIFS(PLAN!$K:$K,PLAN!$V:$V,Sheet1!$A162,PLAN!$W:$W,Sheet1!$E$1)</f>
        <v>0</v>
      </c>
      <c r="F162" s="147">
        <f>SUMIFS(PLAN!$K:$K,PLAN!$V:$V,Sheet1!$A162,PLAN!$W:$W,Sheet1!$F$1)</f>
        <v>0</v>
      </c>
      <c r="G162" s="147">
        <f>SUMIFS(PLAN!$K:$K,PLAN!$V:$V,Sheet1!$A162,PLAN!$W:$W,Sheet1!$G$1)</f>
        <v>0</v>
      </c>
      <c r="H162" s="147">
        <f>SUMIFS(PLAN!$K:$K,PLAN!$V:$V,Sheet1!$A162,PLAN!$W:$W,Sheet1!$H$1)</f>
        <v>0</v>
      </c>
      <c r="I162" s="147">
        <f>SUMIFS(PLAN!$K:$K,PLAN!$V:$V,Sheet1!$A162,PLAN!$W:$W,Sheet1!$I$1)</f>
        <v>0</v>
      </c>
      <c r="J162" s="147">
        <f>SUMIFS(PLAN!$K:$K,PLAN!$V:$V,Sheet1!$A162,PLAN!$W:$W,Sheet1!$J$1)</f>
        <v>0</v>
      </c>
      <c r="K162" s="147">
        <f>SUMIFS(PLAN!$K:$K,PLAN!$V:$V,Sheet1!$A162,PLAN!$W:$W,Sheet1!$K$1)</f>
        <v>0</v>
      </c>
      <c r="L162" s="147">
        <f>SUMIFS(PLAN!$K:$K,PLAN!$V:$V,Sheet1!$A162,PLAN!$W:$W,Sheet1!$L$1)</f>
        <v>0</v>
      </c>
      <c r="M162" s="147">
        <f>SUMIFS(PLAN!$K:$K,PLAN!$V:$V,Sheet1!$A162,PLAN!$W:$W,Sheet1!$M$1)</f>
        <v>0</v>
      </c>
      <c r="N162" s="147">
        <f>SUMIFS(PLAN!$K:$K,PLAN!$V:$V,Sheet1!$A162,PLAN!$W:$W,Sheet1!$N$1)</f>
        <v>0</v>
      </c>
      <c r="O162" s="147">
        <f t="shared" si="3"/>
        <v>0</v>
      </c>
    </row>
    <row r="163" spans="1:15">
      <c r="A163" s="159">
        <v>46335</v>
      </c>
      <c r="B163" s="147">
        <f>SUMIFS(PLAN!$K:$K,PLAN!$V:$V,Sheet1!$A163,PLAN!$W:$W,Sheet1!$B$1)</f>
        <v>0</v>
      </c>
      <c r="C163" s="147">
        <f>SUMIFS(PLAN!$K:$K,PLAN!$V:$V,Sheet1!$A163,PLAN!$W:$W,Sheet1!$C$1)</f>
        <v>0</v>
      </c>
      <c r="D163" s="147">
        <f>SUMIFS(PLAN!$K:$K,PLAN!$V:$V,Sheet1!$A163,PLAN!$W:$W,Sheet1!$D$1)</f>
        <v>0</v>
      </c>
      <c r="E163" s="147">
        <f>SUMIFS(PLAN!$K:$K,PLAN!$V:$V,Sheet1!$A163,PLAN!$W:$W,Sheet1!$E$1)</f>
        <v>0</v>
      </c>
      <c r="F163" s="147">
        <f>SUMIFS(PLAN!$K:$K,PLAN!$V:$V,Sheet1!$A163,PLAN!$W:$W,Sheet1!$F$1)</f>
        <v>0</v>
      </c>
      <c r="G163" s="147">
        <f>SUMIFS(PLAN!$K:$K,PLAN!$V:$V,Sheet1!$A163,PLAN!$W:$W,Sheet1!$G$1)</f>
        <v>0</v>
      </c>
      <c r="H163" s="147">
        <f>SUMIFS(PLAN!$K:$K,PLAN!$V:$V,Sheet1!$A163,PLAN!$W:$W,Sheet1!$H$1)</f>
        <v>0</v>
      </c>
      <c r="I163" s="147">
        <f>SUMIFS(PLAN!$K:$K,PLAN!$V:$V,Sheet1!$A163,PLAN!$W:$W,Sheet1!$I$1)</f>
        <v>0</v>
      </c>
      <c r="J163" s="147">
        <f>SUMIFS(PLAN!$K:$K,PLAN!$V:$V,Sheet1!$A163,PLAN!$W:$W,Sheet1!$J$1)</f>
        <v>0</v>
      </c>
      <c r="K163" s="147">
        <f>SUMIFS(PLAN!$K:$K,PLAN!$V:$V,Sheet1!$A163,PLAN!$W:$W,Sheet1!$K$1)</f>
        <v>0</v>
      </c>
      <c r="L163" s="147">
        <f>SUMIFS(PLAN!$K:$K,PLAN!$V:$V,Sheet1!$A163,PLAN!$W:$W,Sheet1!$L$1)</f>
        <v>0</v>
      </c>
      <c r="M163" s="147">
        <f>SUMIFS(PLAN!$K:$K,PLAN!$V:$V,Sheet1!$A163,PLAN!$W:$W,Sheet1!$M$1)</f>
        <v>0</v>
      </c>
      <c r="N163" s="147">
        <f>SUMIFS(PLAN!$K:$K,PLAN!$V:$V,Sheet1!$A163,PLAN!$W:$W,Sheet1!$N$1)</f>
        <v>0</v>
      </c>
      <c r="O163" s="147">
        <f t="shared" si="3"/>
        <v>0</v>
      </c>
    </row>
    <row r="164" spans="1:15">
      <c r="A164" s="159">
        <v>46336</v>
      </c>
      <c r="B164" s="147">
        <f>SUMIFS(PLAN!$K:$K,PLAN!$V:$V,Sheet1!$A164,PLAN!$W:$W,Sheet1!$B$1)</f>
        <v>0</v>
      </c>
      <c r="C164" s="147">
        <f>SUMIFS(PLAN!$K:$K,PLAN!$V:$V,Sheet1!$A164,PLAN!$W:$W,Sheet1!$C$1)</f>
        <v>0</v>
      </c>
      <c r="D164" s="147">
        <f>SUMIFS(PLAN!$K:$K,PLAN!$V:$V,Sheet1!$A164,PLAN!$W:$W,Sheet1!$D$1)</f>
        <v>0</v>
      </c>
      <c r="E164" s="147">
        <f>SUMIFS(PLAN!$K:$K,PLAN!$V:$V,Sheet1!$A164,PLAN!$W:$W,Sheet1!$E$1)</f>
        <v>0</v>
      </c>
      <c r="F164" s="147">
        <f>SUMIFS(PLAN!$K:$K,PLAN!$V:$V,Sheet1!$A164,PLAN!$W:$W,Sheet1!$F$1)</f>
        <v>0</v>
      </c>
      <c r="G164" s="147">
        <f>SUMIFS(PLAN!$K:$K,PLAN!$V:$V,Sheet1!$A164,PLAN!$W:$W,Sheet1!$G$1)</f>
        <v>0</v>
      </c>
      <c r="H164" s="147">
        <f>SUMIFS(PLAN!$K:$K,PLAN!$V:$V,Sheet1!$A164,PLAN!$W:$W,Sheet1!$H$1)</f>
        <v>0</v>
      </c>
      <c r="I164" s="147">
        <f>SUMIFS(PLAN!$K:$K,PLAN!$V:$V,Sheet1!$A164,PLAN!$W:$W,Sheet1!$I$1)</f>
        <v>0</v>
      </c>
      <c r="J164" s="147">
        <f>SUMIFS(PLAN!$K:$K,PLAN!$V:$V,Sheet1!$A164,PLAN!$W:$W,Sheet1!$J$1)</f>
        <v>0</v>
      </c>
      <c r="K164" s="147">
        <f>SUMIFS(PLAN!$K:$K,PLAN!$V:$V,Sheet1!$A164,PLAN!$W:$W,Sheet1!$K$1)</f>
        <v>0</v>
      </c>
      <c r="L164" s="147">
        <f>SUMIFS(PLAN!$K:$K,PLAN!$V:$V,Sheet1!$A164,PLAN!$W:$W,Sheet1!$L$1)</f>
        <v>0</v>
      </c>
      <c r="M164" s="147">
        <f>SUMIFS(PLAN!$K:$K,PLAN!$V:$V,Sheet1!$A164,PLAN!$W:$W,Sheet1!$M$1)</f>
        <v>0</v>
      </c>
      <c r="N164" s="147">
        <f>SUMIFS(PLAN!$K:$K,PLAN!$V:$V,Sheet1!$A164,PLAN!$W:$W,Sheet1!$N$1)</f>
        <v>0</v>
      </c>
      <c r="O164" s="147">
        <f t="shared" si="3"/>
        <v>0</v>
      </c>
    </row>
    <row r="165" spans="1:15">
      <c r="A165" s="159">
        <v>46337</v>
      </c>
      <c r="B165" s="147">
        <f>SUMIFS(PLAN!$K:$K,PLAN!$V:$V,Sheet1!$A165,PLAN!$W:$W,Sheet1!$B$1)</f>
        <v>0</v>
      </c>
      <c r="C165" s="147">
        <f>SUMIFS(PLAN!$K:$K,PLAN!$V:$V,Sheet1!$A165,PLAN!$W:$W,Sheet1!$C$1)</f>
        <v>0</v>
      </c>
      <c r="D165" s="147">
        <f>SUMIFS(PLAN!$K:$K,PLAN!$V:$V,Sheet1!$A165,PLAN!$W:$W,Sheet1!$D$1)</f>
        <v>0</v>
      </c>
      <c r="E165" s="147">
        <f>SUMIFS(PLAN!$K:$K,PLAN!$V:$V,Sheet1!$A165,PLAN!$W:$W,Sheet1!$E$1)</f>
        <v>0</v>
      </c>
      <c r="F165" s="147">
        <f>SUMIFS(PLAN!$K:$K,PLAN!$V:$V,Sheet1!$A165,PLAN!$W:$W,Sheet1!$F$1)</f>
        <v>0</v>
      </c>
      <c r="G165" s="147">
        <f>SUMIFS(PLAN!$K:$K,PLAN!$V:$V,Sheet1!$A165,PLAN!$W:$W,Sheet1!$G$1)</f>
        <v>0</v>
      </c>
      <c r="H165" s="147">
        <f>SUMIFS(PLAN!$K:$K,PLAN!$V:$V,Sheet1!$A165,PLAN!$W:$W,Sheet1!$H$1)</f>
        <v>0</v>
      </c>
      <c r="I165" s="147">
        <f>SUMIFS(PLAN!$K:$K,PLAN!$V:$V,Sheet1!$A165,PLAN!$W:$W,Sheet1!$I$1)</f>
        <v>0</v>
      </c>
      <c r="J165" s="147">
        <f>SUMIFS(PLAN!$K:$K,PLAN!$V:$V,Sheet1!$A165,PLAN!$W:$W,Sheet1!$J$1)</f>
        <v>0</v>
      </c>
      <c r="K165" s="147">
        <f>SUMIFS(PLAN!$K:$K,PLAN!$V:$V,Sheet1!$A165,PLAN!$W:$W,Sheet1!$K$1)</f>
        <v>0</v>
      </c>
      <c r="L165" s="147">
        <f>SUMIFS(PLAN!$K:$K,PLAN!$V:$V,Sheet1!$A165,PLAN!$W:$W,Sheet1!$L$1)</f>
        <v>0</v>
      </c>
      <c r="M165" s="147">
        <f>SUMIFS(PLAN!$K:$K,PLAN!$V:$V,Sheet1!$A165,PLAN!$W:$W,Sheet1!$M$1)</f>
        <v>0</v>
      </c>
      <c r="N165" s="147">
        <f>SUMIFS(PLAN!$K:$K,PLAN!$V:$V,Sheet1!$A165,PLAN!$W:$W,Sheet1!$N$1)</f>
        <v>0</v>
      </c>
      <c r="O165" s="147">
        <f t="shared" si="3"/>
        <v>0</v>
      </c>
    </row>
    <row r="166" spans="1:15">
      <c r="A166" s="159">
        <v>46338</v>
      </c>
      <c r="B166" s="147">
        <f>SUMIFS(PLAN!$K:$K,PLAN!$V:$V,Sheet1!$A166,PLAN!$W:$W,Sheet1!$B$1)</f>
        <v>0</v>
      </c>
      <c r="C166" s="147">
        <f>SUMIFS(PLAN!$K:$K,PLAN!$V:$V,Sheet1!$A166,PLAN!$W:$W,Sheet1!$C$1)</f>
        <v>0</v>
      </c>
      <c r="D166" s="147">
        <f>SUMIFS(PLAN!$K:$K,PLAN!$V:$V,Sheet1!$A166,PLAN!$W:$W,Sheet1!$D$1)</f>
        <v>0</v>
      </c>
      <c r="E166" s="147">
        <f>SUMIFS(PLAN!$K:$K,PLAN!$V:$V,Sheet1!$A166,PLAN!$W:$W,Sheet1!$E$1)</f>
        <v>0</v>
      </c>
      <c r="F166" s="147">
        <f>SUMIFS(PLAN!$K:$K,PLAN!$V:$V,Sheet1!$A166,PLAN!$W:$W,Sheet1!$F$1)</f>
        <v>0</v>
      </c>
      <c r="G166" s="147">
        <f>SUMIFS(PLAN!$K:$K,PLAN!$V:$V,Sheet1!$A166,PLAN!$W:$W,Sheet1!$G$1)</f>
        <v>0</v>
      </c>
      <c r="H166" s="147">
        <f>SUMIFS(PLAN!$K:$K,PLAN!$V:$V,Sheet1!$A166,PLAN!$W:$W,Sheet1!$H$1)</f>
        <v>0</v>
      </c>
      <c r="I166" s="147">
        <f>SUMIFS(PLAN!$K:$K,PLAN!$V:$V,Sheet1!$A166,PLAN!$W:$W,Sheet1!$I$1)</f>
        <v>0</v>
      </c>
      <c r="J166" s="147">
        <f>SUMIFS(PLAN!$K:$K,PLAN!$V:$V,Sheet1!$A166,PLAN!$W:$W,Sheet1!$J$1)</f>
        <v>0</v>
      </c>
      <c r="K166" s="147">
        <f>SUMIFS(PLAN!$K:$K,PLAN!$V:$V,Sheet1!$A166,PLAN!$W:$W,Sheet1!$K$1)</f>
        <v>0</v>
      </c>
      <c r="L166" s="147">
        <f>SUMIFS(PLAN!$K:$K,PLAN!$V:$V,Sheet1!$A166,PLAN!$W:$W,Sheet1!$L$1)</f>
        <v>0</v>
      </c>
      <c r="M166" s="147">
        <f>SUMIFS(PLAN!$K:$K,PLAN!$V:$V,Sheet1!$A166,PLAN!$W:$W,Sheet1!$M$1)</f>
        <v>0</v>
      </c>
      <c r="N166" s="147">
        <f>SUMIFS(PLAN!$K:$K,PLAN!$V:$V,Sheet1!$A166,PLAN!$W:$W,Sheet1!$N$1)</f>
        <v>0</v>
      </c>
      <c r="O166" s="147">
        <f t="shared" si="3"/>
        <v>0</v>
      </c>
    </row>
    <row r="167" spans="1:15">
      <c r="A167" s="159">
        <v>46339</v>
      </c>
      <c r="B167" s="147">
        <f>SUMIFS(PLAN!$K:$K,PLAN!$V:$V,Sheet1!$A167,PLAN!$W:$W,Sheet1!$B$1)</f>
        <v>0</v>
      </c>
      <c r="C167" s="147">
        <f>SUMIFS(PLAN!$K:$K,PLAN!$V:$V,Sheet1!$A167,PLAN!$W:$W,Sheet1!$C$1)</f>
        <v>0</v>
      </c>
      <c r="D167" s="147">
        <f>SUMIFS(PLAN!$K:$K,PLAN!$V:$V,Sheet1!$A167,PLAN!$W:$W,Sheet1!$D$1)</f>
        <v>0</v>
      </c>
      <c r="E167" s="147">
        <f>SUMIFS(PLAN!$K:$K,PLAN!$V:$V,Sheet1!$A167,PLAN!$W:$W,Sheet1!$E$1)</f>
        <v>0</v>
      </c>
      <c r="F167" s="147">
        <f>SUMIFS(PLAN!$K:$K,PLAN!$V:$V,Sheet1!$A167,PLAN!$W:$W,Sheet1!$F$1)</f>
        <v>0</v>
      </c>
      <c r="G167" s="147">
        <f>SUMIFS(PLAN!$K:$K,PLAN!$V:$V,Sheet1!$A167,PLAN!$W:$W,Sheet1!$G$1)</f>
        <v>0</v>
      </c>
      <c r="H167" s="147">
        <f>SUMIFS(PLAN!$K:$K,PLAN!$V:$V,Sheet1!$A167,PLAN!$W:$W,Sheet1!$H$1)</f>
        <v>0</v>
      </c>
      <c r="I167" s="147">
        <f>SUMIFS(PLAN!$K:$K,PLAN!$V:$V,Sheet1!$A167,PLAN!$W:$W,Sheet1!$I$1)</f>
        <v>0</v>
      </c>
      <c r="J167" s="147">
        <f>SUMIFS(PLAN!$K:$K,PLAN!$V:$V,Sheet1!$A167,PLAN!$W:$W,Sheet1!$J$1)</f>
        <v>0</v>
      </c>
      <c r="K167" s="147">
        <f>SUMIFS(PLAN!$K:$K,PLAN!$V:$V,Sheet1!$A167,PLAN!$W:$W,Sheet1!$K$1)</f>
        <v>0</v>
      </c>
      <c r="L167" s="147">
        <f>SUMIFS(PLAN!$K:$K,PLAN!$V:$V,Sheet1!$A167,PLAN!$W:$W,Sheet1!$L$1)</f>
        <v>0</v>
      </c>
      <c r="M167" s="147">
        <f>SUMIFS(PLAN!$K:$K,PLAN!$V:$V,Sheet1!$A167,PLAN!$W:$W,Sheet1!$M$1)</f>
        <v>0</v>
      </c>
      <c r="N167" s="147">
        <f>SUMIFS(PLAN!$K:$K,PLAN!$V:$V,Sheet1!$A167,PLAN!$W:$W,Sheet1!$N$1)</f>
        <v>0</v>
      </c>
      <c r="O167" s="147">
        <f t="shared" si="3"/>
        <v>0</v>
      </c>
    </row>
    <row r="168" spans="1:15">
      <c r="A168" s="159">
        <v>46340</v>
      </c>
      <c r="B168" s="147">
        <f>SUMIFS(PLAN!$K:$K,PLAN!$V:$V,Sheet1!$A168,PLAN!$W:$W,Sheet1!$B$1)</f>
        <v>0</v>
      </c>
      <c r="C168" s="147">
        <f>SUMIFS(PLAN!$K:$K,PLAN!$V:$V,Sheet1!$A168,PLAN!$W:$W,Sheet1!$C$1)</f>
        <v>0</v>
      </c>
      <c r="D168" s="147">
        <f>SUMIFS(PLAN!$K:$K,PLAN!$V:$V,Sheet1!$A168,PLAN!$W:$W,Sheet1!$D$1)</f>
        <v>0</v>
      </c>
      <c r="E168" s="147">
        <f>SUMIFS(PLAN!$K:$K,PLAN!$V:$V,Sheet1!$A168,PLAN!$W:$W,Sheet1!$E$1)</f>
        <v>0</v>
      </c>
      <c r="F168" s="147">
        <f>SUMIFS(PLAN!$K:$K,PLAN!$V:$V,Sheet1!$A168,PLAN!$W:$W,Sheet1!$F$1)</f>
        <v>0</v>
      </c>
      <c r="G168" s="147">
        <f>SUMIFS(PLAN!$K:$K,PLAN!$V:$V,Sheet1!$A168,PLAN!$W:$W,Sheet1!$G$1)</f>
        <v>0</v>
      </c>
      <c r="H168" s="147">
        <f>SUMIFS(PLAN!$K:$K,PLAN!$V:$V,Sheet1!$A168,PLAN!$W:$W,Sheet1!$H$1)</f>
        <v>0</v>
      </c>
      <c r="I168" s="147">
        <f>SUMIFS(PLAN!$K:$K,PLAN!$V:$V,Sheet1!$A168,PLAN!$W:$W,Sheet1!$I$1)</f>
        <v>0</v>
      </c>
      <c r="J168" s="147">
        <f>SUMIFS(PLAN!$K:$K,PLAN!$V:$V,Sheet1!$A168,PLAN!$W:$W,Sheet1!$J$1)</f>
        <v>0</v>
      </c>
      <c r="K168" s="147">
        <f>SUMIFS(PLAN!$K:$K,PLAN!$V:$V,Sheet1!$A168,PLAN!$W:$W,Sheet1!$K$1)</f>
        <v>0</v>
      </c>
      <c r="L168" s="147">
        <f>SUMIFS(PLAN!$K:$K,PLAN!$V:$V,Sheet1!$A168,PLAN!$W:$W,Sheet1!$L$1)</f>
        <v>0</v>
      </c>
      <c r="M168" s="147">
        <f>SUMIFS(PLAN!$K:$K,PLAN!$V:$V,Sheet1!$A168,PLAN!$W:$W,Sheet1!$M$1)</f>
        <v>0</v>
      </c>
      <c r="N168" s="147">
        <f>SUMIFS(PLAN!$K:$K,PLAN!$V:$V,Sheet1!$A168,PLAN!$W:$W,Sheet1!$N$1)</f>
        <v>0</v>
      </c>
      <c r="O168" s="147">
        <f t="shared" si="3"/>
        <v>0</v>
      </c>
    </row>
    <row r="169" spans="1:15">
      <c r="A169" s="159">
        <v>46341</v>
      </c>
      <c r="B169" s="147">
        <f>SUMIFS(PLAN!$K:$K,PLAN!$V:$V,Sheet1!$A169,PLAN!$W:$W,Sheet1!$B$1)</f>
        <v>0</v>
      </c>
      <c r="C169" s="147">
        <f>SUMIFS(PLAN!$K:$K,PLAN!$V:$V,Sheet1!$A169,PLAN!$W:$W,Sheet1!$C$1)</f>
        <v>0</v>
      </c>
      <c r="D169" s="147">
        <f>SUMIFS(PLAN!$K:$K,PLAN!$V:$V,Sheet1!$A169,PLAN!$W:$W,Sheet1!$D$1)</f>
        <v>0</v>
      </c>
      <c r="E169" s="147">
        <f>SUMIFS(PLAN!$K:$K,PLAN!$V:$V,Sheet1!$A169,PLAN!$W:$W,Sheet1!$E$1)</f>
        <v>0</v>
      </c>
      <c r="F169" s="147">
        <f>SUMIFS(PLAN!$K:$K,PLAN!$V:$V,Sheet1!$A169,PLAN!$W:$W,Sheet1!$F$1)</f>
        <v>0</v>
      </c>
      <c r="G169" s="147">
        <f>SUMIFS(PLAN!$K:$K,PLAN!$V:$V,Sheet1!$A169,PLAN!$W:$W,Sheet1!$G$1)</f>
        <v>0</v>
      </c>
      <c r="H169" s="147">
        <f>SUMIFS(PLAN!$K:$K,PLAN!$V:$V,Sheet1!$A169,PLAN!$W:$W,Sheet1!$H$1)</f>
        <v>0</v>
      </c>
      <c r="I169" s="147">
        <f>SUMIFS(PLAN!$K:$K,PLAN!$V:$V,Sheet1!$A169,PLAN!$W:$W,Sheet1!$I$1)</f>
        <v>0</v>
      </c>
      <c r="J169" s="147">
        <f>SUMIFS(PLAN!$K:$K,PLAN!$V:$V,Sheet1!$A169,PLAN!$W:$W,Sheet1!$J$1)</f>
        <v>0</v>
      </c>
      <c r="K169" s="147">
        <f>SUMIFS(PLAN!$K:$K,PLAN!$V:$V,Sheet1!$A169,PLAN!$W:$W,Sheet1!$K$1)</f>
        <v>0</v>
      </c>
      <c r="L169" s="147">
        <f>SUMIFS(PLAN!$K:$K,PLAN!$V:$V,Sheet1!$A169,PLAN!$W:$W,Sheet1!$L$1)</f>
        <v>0</v>
      </c>
      <c r="M169" s="147">
        <f>SUMIFS(PLAN!$K:$K,PLAN!$V:$V,Sheet1!$A169,PLAN!$W:$W,Sheet1!$M$1)</f>
        <v>0</v>
      </c>
      <c r="N169" s="147">
        <f>SUMIFS(PLAN!$K:$K,PLAN!$V:$V,Sheet1!$A169,PLAN!$W:$W,Sheet1!$N$1)</f>
        <v>0</v>
      </c>
      <c r="O169" s="147">
        <f t="shared" si="3"/>
        <v>0</v>
      </c>
    </row>
    <row r="170" spans="1:15">
      <c r="A170" s="159">
        <v>46342</v>
      </c>
      <c r="B170" s="147">
        <f>SUMIFS(PLAN!$K:$K,PLAN!$V:$V,Sheet1!$A170,PLAN!$W:$W,Sheet1!$B$1)</f>
        <v>0</v>
      </c>
      <c r="C170" s="147">
        <f>SUMIFS(PLAN!$K:$K,PLAN!$V:$V,Sheet1!$A170,PLAN!$W:$W,Sheet1!$C$1)</f>
        <v>0</v>
      </c>
      <c r="D170" s="147">
        <f>SUMIFS(PLAN!$K:$K,PLAN!$V:$V,Sheet1!$A170,PLAN!$W:$W,Sheet1!$D$1)</f>
        <v>0</v>
      </c>
      <c r="E170" s="147">
        <f>SUMIFS(PLAN!$K:$K,PLAN!$V:$V,Sheet1!$A170,PLAN!$W:$W,Sheet1!$E$1)</f>
        <v>0</v>
      </c>
      <c r="F170" s="147">
        <f>SUMIFS(PLAN!$K:$K,PLAN!$V:$V,Sheet1!$A170,PLAN!$W:$W,Sheet1!$F$1)</f>
        <v>0</v>
      </c>
      <c r="G170" s="147">
        <f>SUMIFS(PLAN!$K:$K,PLAN!$V:$V,Sheet1!$A170,PLAN!$W:$W,Sheet1!$G$1)</f>
        <v>0</v>
      </c>
      <c r="H170" s="147">
        <f>SUMIFS(PLAN!$K:$K,PLAN!$V:$V,Sheet1!$A170,PLAN!$W:$W,Sheet1!$H$1)</f>
        <v>0</v>
      </c>
      <c r="I170" s="147">
        <f>SUMIFS(PLAN!$K:$K,PLAN!$V:$V,Sheet1!$A170,PLAN!$W:$W,Sheet1!$I$1)</f>
        <v>0</v>
      </c>
      <c r="J170" s="147">
        <f>SUMIFS(PLAN!$K:$K,PLAN!$V:$V,Sheet1!$A170,PLAN!$W:$W,Sheet1!$J$1)</f>
        <v>0</v>
      </c>
      <c r="K170" s="147">
        <f>SUMIFS(PLAN!$K:$K,PLAN!$V:$V,Sheet1!$A170,PLAN!$W:$W,Sheet1!$K$1)</f>
        <v>0</v>
      </c>
      <c r="L170" s="147">
        <f>SUMIFS(PLAN!$K:$K,PLAN!$V:$V,Sheet1!$A170,PLAN!$W:$W,Sheet1!$L$1)</f>
        <v>0</v>
      </c>
      <c r="M170" s="147">
        <f>SUMIFS(PLAN!$K:$K,PLAN!$V:$V,Sheet1!$A170,PLAN!$W:$W,Sheet1!$M$1)</f>
        <v>0</v>
      </c>
      <c r="N170" s="147">
        <f>SUMIFS(PLAN!$K:$K,PLAN!$V:$V,Sheet1!$A170,PLAN!$W:$W,Sheet1!$N$1)</f>
        <v>0</v>
      </c>
      <c r="O170" s="147">
        <f t="shared" si="3"/>
        <v>0</v>
      </c>
    </row>
    <row r="171" spans="1:15">
      <c r="A171" s="159">
        <v>46343</v>
      </c>
      <c r="B171" s="147">
        <f>SUMIFS(PLAN!$K:$K,PLAN!$V:$V,Sheet1!$A171,PLAN!$W:$W,Sheet1!$B$1)</f>
        <v>0</v>
      </c>
      <c r="C171" s="147">
        <f>SUMIFS(PLAN!$K:$K,PLAN!$V:$V,Sheet1!$A171,PLAN!$W:$W,Sheet1!$C$1)</f>
        <v>0</v>
      </c>
      <c r="D171" s="147">
        <f>SUMIFS(PLAN!$K:$K,PLAN!$V:$V,Sheet1!$A171,PLAN!$W:$W,Sheet1!$D$1)</f>
        <v>0</v>
      </c>
      <c r="E171" s="147">
        <f>SUMIFS(PLAN!$K:$K,PLAN!$V:$V,Sheet1!$A171,PLAN!$W:$W,Sheet1!$E$1)</f>
        <v>0</v>
      </c>
      <c r="F171" s="147">
        <f>SUMIFS(PLAN!$K:$K,PLAN!$V:$V,Sheet1!$A171,PLAN!$W:$W,Sheet1!$F$1)</f>
        <v>0</v>
      </c>
      <c r="G171" s="147">
        <f>SUMIFS(PLAN!$K:$K,PLAN!$V:$V,Sheet1!$A171,PLAN!$W:$W,Sheet1!$G$1)</f>
        <v>0</v>
      </c>
      <c r="H171" s="147">
        <f>SUMIFS(PLAN!$K:$K,PLAN!$V:$V,Sheet1!$A171,PLAN!$W:$W,Sheet1!$H$1)</f>
        <v>0</v>
      </c>
      <c r="I171" s="147">
        <f>SUMIFS(PLAN!$K:$K,PLAN!$V:$V,Sheet1!$A171,PLAN!$W:$W,Sheet1!$I$1)</f>
        <v>0</v>
      </c>
      <c r="J171" s="147">
        <f>SUMIFS(PLAN!$K:$K,PLAN!$V:$V,Sheet1!$A171,PLAN!$W:$W,Sheet1!$J$1)</f>
        <v>0</v>
      </c>
      <c r="K171" s="147">
        <f>SUMIFS(PLAN!$K:$K,PLAN!$V:$V,Sheet1!$A171,PLAN!$W:$W,Sheet1!$K$1)</f>
        <v>0</v>
      </c>
      <c r="L171" s="147">
        <f>SUMIFS(PLAN!$K:$K,PLAN!$V:$V,Sheet1!$A171,PLAN!$W:$W,Sheet1!$L$1)</f>
        <v>0</v>
      </c>
      <c r="M171" s="147">
        <f>SUMIFS(PLAN!$K:$K,PLAN!$V:$V,Sheet1!$A171,PLAN!$W:$W,Sheet1!$M$1)</f>
        <v>0</v>
      </c>
      <c r="N171" s="147">
        <f>SUMIFS(PLAN!$K:$K,PLAN!$V:$V,Sheet1!$A171,PLAN!$W:$W,Sheet1!$N$1)</f>
        <v>0</v>
      </c>
      <c r="O171" s="147">
        <f t="shared" si="3"/>
        <v>0</v>
      </c>
    </row>
    <row r="172" spans="1:15">
      <c r="A172" s="159">
        <v>46344</v>
      </c>
      <c r="B172" s="147">
        <f>SUMIFS(PLAN!$K:$K,PLAN!$V:$V,Sheet1!$A172,PLAN!$W:$W,Sheet1!$B$1)</f>
        <v>0</v>
      </c>
      <c r="C172" s="147">
        <f>SUMIFS(PLAN!$K:$K,PLAN!$V:$V,Sheet1!$A172,PLAN!$W:$W,Sheet1!$C$1)</f>
        <v>0</v>
      </c>
      <c r="D172" s="147">
        <f>SUMIFS(PLAN!$K:$K,PLAN!$V:$V,Sheet1!$A172,PLAN!$W:$W,Sheet1!$D$1)</f>
        <v>0</v>
      </c>
      <c r="E172" s="147">
        <f>SUMIFS(PLAN!$K:$K,PLAN!$V:$V,Sheet1!$A172,PLAN!$W:$W,Sheet1!$E$1)</f>
        <v>0</v>
      </c>
      <c r="F172" s="147">
        <f>SUMIFS(PLAN!$K:$K,PLAN!$V:$V,Sheet1!$A172,PLAN!$W:$W,Sheet1!$F$1)</f>
        <v>0</v>
      </c>
      <c r="G172" s="147">
        <f>SUMIFS(PLAN!$K:$K,PLAN!$V:$V,Sheet1!$A172,PLAN!$W:$W,Sheet1!$G$1)</f>
        <v>0</v>
      </c>
      <c r="H172" s="147">
        <f>SUMIFS(PLAN!$K:$K,PLAN!$V:$V,Sheet1!$A172,PLAN!$W:$W,Sheet1!$H$1)</f>
        <v>0</v>
      </c>
      <c r="I172" s="147">
        <f>SUMIFS(PLAN!$K:$K,PLAN!$V:$V,Sheet1!$A172,PLAN!$W:$W,Sheet1!$I$1)</f>
        <v>0</v>
      </c>
      <c r="J172" s="147">
        <f>SUMIFS(PLAN!$K:$K,PLAN!$V:$V,Sheet1!$A172,PLAN!$W:$W,Sheet1!$J$1)</f>
        <v>0</v>
      </c>
      <c r="K172" s="147">
        <f>SUMIFS(PLAN!$K:$K,PLAN!$V:$V,Sheet1!$A172,PLAN!$W:$W,Sheet1!$K$1)</f>
        <v>0</v>
      </c>
      <c r="L172" s="147">
        <f>SUMIFS(PLAN!$K:$K,PLAN!$V:$V,Sheet1!$A172,PLAN!$W:$W,Sheet1!$L$1)</f>
        <v>0</v>
      </c>
      <c r="M172" s="147">
        <f>SUMIFS(PLAN!$K:$K,PLAN!$V:$V,Sheet1!$A172,PLAN!$W:$W,Sheet1!$M$1)</f>
        <v>0</v>
      </c>
      <c r="N172" s="147">
        <f>SUMIFS(PLAN!$K:$K,PLAN!$V:$V,Sheet1!$A172,PLAN!$W:$W,Sheet1!$N$1)</f>
        <v>0</v>
      </c>
      <c r="O172" s="147">
        <f t="shared" si="3"/>
        <v>0</v>
      </c>
    </row>
  </sheetData>
  <conditionalFormatting sqref="T29:T30">
    <cfRule type="duplicateValues" dxfId="164" priority="17"/>
  </conditionalFormatting>
  <conditionalFormatting sqref="AA29:AA30">
    <cfRule type="duplicateValues" dxfId="163" priority="16"/>
  </conditionalFormatting>
  <conditionalFormatting sqref="Z29:Z30">
    <cfRule type="duplicateValues" dxfId="162" priority="15"/>
  </conditionalFormatting>
  <conditionalFormatting sqref="AA29:AA30">
    <cfRule type="duplicateValues" dxfId="161" priority="13"/>
    <cfRule type="duplicateValues" dxfId="160" priority="14"/>
  </conditionalFormatting>
  <conditionalFormatting sqref="Z29:Z30">
    <cfRule type="duplicateValues" dxfId="159" priority="12"/>
  </conditionalFormatting>
  <conditionalFormatting sqref="Z29:AA30">
    <cfRule type="duplicateValues" dxfId="158" priority="11"/>
  </conditionalFormatting>
  <conditionalFormatting sqref="S29:S30">
    <cfRule type="duplicateValues" dxfId="157" priority="10"/>
  </conditionalFormatting>
  <conditionalFormatting sqref="S29:S30">
    <cfRule type="duplicateValues" dxfId="156" priority="7"/>
    <cfRule type="duplicateValues" dxfId="155" priority="8"/>
    <cfRule type="duplicateValues" dxfId="154" priority="9"/>
  </conditionalFormatting>
  <conditionalFormatting sqref="S29:S30">
    <cfRule type="duplicateValues" dxfId="153" priority="5"/>
    <cfRule type="duplicateValues" dxfId="152" priority="6"/>
  </conditionalFormatting>
  <conditionalFormatting sqref="S29:S30">
    <cfRule type="duplicateValues" dxfId="151" priority="2"/>
    <cfRule type="duplicateValues" dxfId="150" priority="3"/>
    <cfRule type="duplicateValues" dxfId="149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PLAN</vt:lpstr>
      <vt:lpstr>Sheet2</vt:lpstr>
      <vt:lpstr>Sheet3</vt:lpstr>
      <vt:lpstr>Label</vt:lpstr>
      <vt:lpstr>seal (2)</vt:lpstr>
      <vt:lpstr>total</vt:lpstr>
      <vt:lpstr>Sheet1</vt:lpstr>
      <vt:lpstr>Label!Print_Area</vt:lpstr>
      <vt:lpstr>'seal (2)'!Print_Area</vt:lpstr>
      <vt:lpstr>Label!Print_Titles</vt:lpstr>
      <vt:lpstr>'seal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Proctl 7</dc:creator>
  <cp:lastModifiedBy>Production Control 11</cp:lastModifiedBy>
  <cp:lastPrinted>2026-08-18T10:39:52Z</cp:lastPrinted>
  <dcterms:created xsi:type="dcterms:W3CDTF">2018-10-01T02:08:57Z</dcterms:created>
  <dcterms:modified xsi:type="dcterms:W3CDTF">2026-08-18T10:44:22Z</dcterms:modified>
</cp:coreProperties>
</file>